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_rels/chart5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Choix pédagogiques" sheetId="1" state="visible" r:id="rId3"/>
    <sheet name="Données brutes" sheetId="2" state="visible" r:id="rId4"/>
    <sheet name="Scores bruts 40" sheetId="3" state="visible" r:id="rId5"/>
    <sheet name="Scores bruts tous" sheetId="4" state="visible" r:id="rId6"/>
    <sheet name="Données descriptives groupe" sheetId="5" state="visible" r:id="rId7"/>
    <sheet name="Probabilités de réussite" sheetId="6" state="visible" r:id="rId8"/>
    <sheet name="Évolutions des P. de réussite" sheetId="7" state="visible" r:id="rId9"/>
  </sheets>
  <definedNames>
    <definedName function="false" hidden="false" localSheetId="1" name="_xlnm.Print_Area" vbProcedure="false">'Données brutes'!$A$1:$BT$1012</definedName>
    <definedName function="false" hidden="false" localSheetId="4" name="_xlnm.Print_Area" vbProcedure="false">'Données descriptives groupe'!$A$1:$F$23</definedName>
    <definedName function="false" hidden="false" localSheetId="6" name="_xlnm.Print_Area" vbProcedure="false">'Évolutions des P. de réussite'!$A$1:$N$10</definedName>
    <definedName function="false" hidden="false" localSheetId="5" name="_xlnm.Print_Area" vbProcedure="false">'Probabilités de réussite'!$A$1:$J$6</definedName>
    <definedName function="false" hidden="false" localSheetId="2" name="_xlnm.Print_Area" vbProcedure="false">'Scores bruts 40'!$A$1:$J$14</definedName>
    <definedName function="false" hidden="false" localSheetId="3" name="_xlnm.Print_Area" vbProcedure="false">'Scores bruts tous'!$A$1:$J$40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<sst xmlns="http://schemas.openxmlformats.org/spreadsheetml/2006/main" count="2135" uniqueCount="1969">
  <si>
    <t xml:space="preserve">Vos choix pédagogiques</t>
  </si>
  <si>
    <t xml:space="preserve">Variante choisie : 1 = "deux années" ; 2 = "deux groupes" ; 3 = "deux enseignements"</t>
  </si>
  <si>
    <t xml:space="preserve">Note minimale possible </t>
  </si>
  <si>
    <t xml:space="preserve">Note maximale possible</t>
  </si>
  <si>
    <t xml:space="preserve">Données brutes</t>
  </si>
  <si>
    <t xml:space="preserve">Données brutes pour les participants présents à tous les tests</t>
  </si>
  <si>
    <t xml:space="preserve">Probabilités de réussite pour les participants présents à tous les tests</t>
  </si>
  <si>
    <t xml:space="preserve">Scores</t>
  </si>
  <si>
    <t xml:space="preserve">Évolution des scores</t>
  </si>
  <si>
    <t xml:space="preserve">Probabilités de réussite</t>
  </si>
  <si>
    <t xml:space="preserve">Évolution des probabilités de réussite</t>
  </si>
  <si>
    <t xml:space="preserve">Le participant est-il présent à tous les tests ? 1 oui, 0 non</t>
  </si>
  <si>
    <t xml:space="preserve">Numéro d'anonymisation</t>
  </si>
  <si>
    <t xml:space="preserve">Pratique pédagogie habituelle</t>
  </si>
  <si>
    <t xml:space="preserve">Nouvelle pratique pédagogique</t>
  </si>
  <si>
    <t xml:space="preserve">Pratique pédagogique habituelle</t>
  </si>
  <si>
    <t xml:space="preserve">Variante 1 ou 2</t>
  </si>
  <si>
    <t xml:space="preserve">Variante 3</t>
  </si>
  <si>
    <t xml:space="preserve">Pré-test</t>
  </si>
  <si>
    <t xml:space="preserve">Post-test immédiat</t>
  </si>
  <si>
    <t xml:space="preserve">Post-test différé</t>
  </si>
  <si>
    <t xml:space="preserve">Commentaire</t>
  </si>
  <si>
    <t xml:space="preserve">Évolution à court terme
(post-test immédiat - pré-test)</t>
  </si>
  <si>
    <t xml:space="preserve">Évolution à moyen terme
(post-test différé - pré-test)</t>
  </si>
  <si>
    <t xml:space="preserve">Évolution a posteriori
(post-test différé - post-test immédiat)</t>
  </si>
  <si>
    <t xml:space="preserve">Pratique pédagogique habituelle
(trois tests)</t>
  </si>
  <si>
    <t xml:space="preserve">Nouvelle pratique pédagogique
(trois tests)</t>
  </si>
  <si>
    <t xml:space="preserve">Pratiques pédagogiques habituelle et nouvelle
(six tests)</t>
  </si>
  <si>
    <t xml:space="preserve">Variantes 1 ou 2
Pratique pédagogique habituelle
&amp; Variantes 3
Pratiques pédagogiques habituelle et nouvelle</t>
  </si>
  <si>
    <t xml:space="preserve">Variante 1 ou 2
Nouvelle pratique pédagogique</t>
  </si>
  <si>
    <t xml:space="preserve">Moyenne</t>
  </si>
  <si>
    <t xml:space="preserve">Nombre de présents</t>
  </si>
  <si>
    <t xml:space="preserve">Écart-type</t>
  </si>
  <si>
    <t xml:space="preserve">Nombre total</t>
  </si>
  <si>
    <t xml:space="preserve">Intervalle de confiance</t>
  </si>
  <si>
    <t xml:space="preserve">Pourcentage de présents</t>
  </si>
  <si>
    <t xml:space="preserve">Minimum</t>
  </si>
  <si>
    <t xml:space="preserve">Premier quartile</t>
  </si>
  <si>
    <t xml:space="preserve">Médiane</t>
  </si>
  <si>
    <t xml:space="preserve">Troisième quartile</t>
  </si>
  <si>
    <t xml:space="preserve">Maximum</t>
  </si>
  <si>
    <t xml:space="preserve">semble distraite</t>
  </si>
  <si>
    <t xml:space="preserve">Dyslexique</t>
  </si>
  <si>
    <t xml:space="preserve">en retard pré-T 3min</t>
  </si>
  <si>
    <t xml:space="preserve">en décrochage</t>
  </si>
  <si>
    <t xml:space="preserve">Dyslexie-Dysorthographie</t>
  </si>
  <si>
    <t xml:space="preserve">ptd : pleure pendant test ?</t>
  </si>
  <si>
    <t xml:space="preserve">Apprenant 46</t>
  </si>
  <si>
    <t xml:space="preserve">Apprenant 46 ou 46'</t>
  </si>
  <si>
    <t xml:space="preserve">Apprenant 47</t>
  </si>
  <si>
    <t xml:space="preserve">Apprenant 47 ou 47'</t>
  </si>
  <si>
    <t xml:space="preserve">Apprenant 48</t>
  </si>
  <si>
    <t xml:space="preserve">Apprenant 48 ou 48'</t>
  </si>
  <si>
    <t xml:space="preserve">Apprenant 49</t>
  </si>
  <si>
    <t xml:space="preserve">Apprenant 49 ou 49'</t>
  </si>
  <si>
    <t xml:space="preserve">Apprenant 50</t>
  </si>
  <si>
    <t xml:space="preserve">Apprenant 50 ou 50'</t>
  </si>
  <si>
    <t xml:space="preserve">Apprenant 51</t>
  </si>
  <si>
    <t xml:space="preserve">Apprenant 51 ou 51'</t>
  </si>
  <si>
    <t xml:space="preserve">Apprenant 52</t>
  </si>
  <si>
    <t xml:space="preserve">Apprenant 52 ou 52'</t>
  </si>
  <si>
    <t xml:space="preserve">Apprenant 53</t>
  </si>
  <si>
    <t xml:space="preserve">Apprenant 53 ou 53'</t>
  </si>
  <si>
    <t xml:space="preserve">Apprenant 54</t>
  </si>
  <si>
    <t xml:space="preserve">Apprenant 54 ou 54'</t>
  </si>
  <si>
    <t xml:space="preserve">Apprenant 55</t>
  </si>
  <si>
    <t xml:space="preserve">Apprenant 55 ou 55'</t>
  </si>
  <si>
    <t xml:space="preserve">Apprenant 56</t>
  </si>
  <si>
    <t xml:space="preserve">Apprenant 56 ou 56'</t>
  </si>
  <si>
    <t xml:space="preserve">Apprenant 57</t>
  </si>
  <si>
    <t xml:space="preserve">Apprenant 57 ou 57'</t>
  </si>
  <si>
    <t xml:space="preserve">Apprenant 58</t>
  </si>
  <si>
    <t xml:space="preserve">Apprenant 58 ou 58'</t>
  </si>
  <si>
    <t xml:space="preserve">Apprenant 59</t>
  </si>
  <si>
    <t xml:space="preserve">Apprenant 59 ou 59'</t>
  </si>
  <si>
    <t xml:space="preserve">Apprenant 60</t>
  </si>
  <si>
    <t xml:space="preserve">Apprenant 60 ou 60'</t>
  </si>
  <si>
    <t xml:space="preserve">Apprenant 61</t>
  </si>
  <si>
    <t xml:space="preserve">Apprenant 61 ou 61'</t>
  </si>
  <si>
    <t xml:space="preserve">Apprenant 62</t>
  </si>
  <si>
    <t xml:space="preserve">Apprenant 62 ou 62'</t>
  </si>
  <si>
    <t xml:space="preserve">Apprenant 63</t>
  </si>
  <si>
    <t xml:space="preserve">Apprenant 63 ou 63'</t>
  </si>
  <si>
    <t xml:space="preserve">Apprenant 64</t>
  </si>
  <si>
    <t xml:space="preserve">Apprenant 64 ou 64'</t>
  </si>
  <si>
    <t xml:space="preserve">Apprenant 65</t>
  </si>
  <si>
    <t xml:space="preserve">Apprenant 65 ou 65'</t>
  </si>
  <si>
    <t xml:space="preserve">Apprenant 66</t>
  </si>
  <si>
    <t xml:space="preserve">Apprenant 66 ou 66'</t>
  </si>
  <si>
    <t xml:space="preserve">Apprenant 67</t>
  </si>
  <si>
    <t xml:space="preserve">Apprenant 67 ou 67'</t>
  </si>
  <si>
    <t xml:space="preserve">Apprenant 68</t>
  </si>
  <si>
    <t xml:space="preserve">Apprenant 68 ou 68'</t>
  </si>
  <si>
    <t xml:space="preserve">Apprenant 69</t>
  </si>
  <si>
    <t xml:space="preserve">Apprenant 69 ou 69'</t>
  </si>
  <si>
    <t xml:space="preserve">Apprenant 70</t>
  </si>
  <si>
    <t xml:space="preserve">Apprenant 70 ou 70'</t>
  </si>
  <si>
    <t xml:space="preserve">Apprenant 71</t>
  </si>
  <si>
    <t xml:space="preserve">Apprenant 71 ou 71'</t>
  </si>
  <si>
    <t xml:space="preserve">Apprenant 72</t>
  </si>
  <si>
    <t xml:space="preserve">Apprenant 72 ou 72'</t>
  </si>
  <si>
    <t xml:space="preserve">Apprenant 73</t>
  </si>
  <si>
    <t xml:space="preserve">Apprenant 73 ou 73'</t>
  </si>
  <si>
    <t xml:space="preserve">Apprenant 74</t>
  </si>
  <si>
    <t xml:space="preserve">Apprenant 74 ou 74'</t>
  </si>
  <si>
    <t xml:space="preserve">Apprenant 75</t>
  </si>
  <si>
    <t xml:space="preserve">Apprenant 75 ou 75'</t>
  </si>
  <si>
    <t xml:space="preserve">Apprenant 76</t>
  </si>
  <si>
    <t xml:space="preserve">Apprenant 76 ou 76'</t>
  </si>
  <si>
    <t xml:space="preserve">Apprenant 77</t>
  </si>
  <si>
    <t xml:space="preserve">Apprenant 77 ou 77'</t>
  </si>
  <si>
    <t xml:space="preserve">Apprenant 78</t>
  </si>
  <si>
    <t xml:space="preserve">Apprenant 78 ou 78'</t>
  </si>
  <si>
    <t xml:space="preserve">Apprenant 79</t>
  </si>
  <si>
    <t xml:space="preserve">Apprenant 79 ou 79'</t>
  </si>
  <si>
    <t xml:space="preserve">Apprenant 80</t>
  </si>
  <si>
    <t xml:space="preserve">Apprenant 80 ou 80'</t>
  </si>
  <si>
    <t xml:space="preserve">Apprenant 81</t>
  </si>
  <si>
    <t xml:space="preserve">Apprenant 81 ou 81'</t>
  </si>
  <si>
    <t xml:space="preserve">Apprenant 82</t>
  </si>
  <si>
    <t xml:space="preserve">Apprenant 82 ou 82'</t>
  </si>
  <si>
    <t xml:space="preserve">Apprenant 83</t>
  </si>
  <si>
    <t xml:space="preserve">Apprenant 83 ou 83'</t>
  </si>
  <si>
    <t xml:space="preserve">Apprenant 84</t>
  </si>
  <si>
    <t xml:space="preserve">Apprenant 84 ou 84'</t>
  </si>
  <si>
    <t xml:space="preserve">Apprenant 85</t>
  </si>
  <si>
    <t xml:space="preserve">Apprenant 85 ou 85'</t>
  </si>
  <si>
    <t xml:space="preserve">Apprenant 86</t>
  </si>
  <si>
    <t xml:space="preserve">Apprenant 86 ou 86'</t>
  </si>
  <si>
    <t xml:space="preserve">Apprenant 87</t>
  </si>
  <si>
    <t xml:space="preserve">Apprenant 87 ou 87'</t>
  </si>
  <si>
    <t xml:space="preserve">Apprenant 88</t>
  </si>
  <si>
    <t xml:space="preserve">Apprenant 88 ou 88'</t>
  </si>
  <si>
    <t xml:space="preserve">Apprenant 89</t>
  </si>
  <si>
    <t xml:space="preserve">Apprenant 89 ou 89'</t>
  </si>
  <si>
    <t xml:space="preserve">Apprenant 90</t>
  </si>
  <si>
    <t xml:space="preserve">Apprenant 90 ou 90'</t>
  </si>
  <si>
    <t xml:space="preserve">Apprenant 91</t>
  </si>
  <si>
    <t xml:space="preserve">Apprenant 91 ou 91'</t>
  </si>
  <si>
    <t xml:space="preserve">Apprenant 92</t>
  </si>
  <si>
    <t xml:space="preserve">Apprenant 92 ou 92'</t>
  </si>
  <si>
    <t xml:space="preserve">Apprenant 93</t>
  </si>
  <si>
    <t xml:space="preserve">Apprenant 93 ou 93'</t>
  </si>
  <si>
    <t xml:space="preserve">Apprenant 94</t>
  </si>
  <si>
    <t xml:space="preserve">Apprenant 94 ou 94'</t>
  </si>
  <si>
    <t xml:space="preserve">Apprenant 95</t>
  </si>
  <si>
    <t xml:space="preserve">Apprenant 95 ou 95'</t>
  </si>
  <si>
    <t xml:space="preserve">Apprenant 96</t>
  </si>
  <si>
    <t xml:space="preserve">Apprenant 96 ou 96'</t>
  </si>
  <si>
    <t xml:space="preserve">Apprenant 97</t>
  </si>
  <si>
    <t xml:space="preserve">Apprenant 97 ou 97'</t>
  </si>
  <si>
    <t xml:space="preserve">Apprenant 98</t>
  </si>
  <si>
    <t xml:space="preserve">Apprenant 98 ou 98'</t>
  </si>
  <si>
    <t xml:space="preserve">Apprenant 99</t>
  </si>
  <si>
    <t xml:space="preserve">Apprenant 99 ou 99'</t>
  </si>
  <si>
    <t xml:space="preserve">Apprenant 100</t>
  </si>
  <si>
    <t xml:space="preserve">Apprenant 100 ou 100'</t>
  </si>
  <si>
    <t xml:space="preserve">Apprenant 101</t>
  </si>
  <si>
    <t xml:space="preserve">Apprenant 101 ou 101'</t>
  </si>
  <si>
    <t xml:space="preserve">Apprenant 102</t>
  </si>
  <si>
    <t xml:space="preserve">Apprenant 102 ou 102'</t>
  </si>
  <si>
    <t xml:space="preserve">Apprenant 103</t>
  </si>
  <si>
    <t xml:space="preserve">Apprenant 103 ou 103'</t>
  </si>
  <si>
    <t xml:space="preserve">Apprenant 104</t>
  </si>
  <si>
    <t xml:space="preserve">Apprenant 104 ou 104'</t>
  </si>
  <si>
    <t xml:space="preserve">Apprenant 105</t>
  </si>
  <si>
    <t xml:space="preserve">Apprenant 105 ou 105'</t>
  </si>
  <si>
    <t xml:space="preserve">Apprenant 106</t>
  </si>
  <si>
    <t xml:space="preserve">Apprenant 106 ou 106'</t>
  </si>
  <si>
    <t xml:space="preserve">Apprenant 107</t>
  </si>
  <si>
    <t xml:space="preserve">Apprenant 107 ou 107'</t>
  </si>
  <si>
    <t xml:space="preserve">Apprenant 108</t>
  </si>
  <si>
    <t xml:space="preserve">Apprenant 108 ou 108'</t>
  </si>
  <si>
    <t xml:space="preserve">Apprenant 109</t>
  </si>
  <si>
    <t xml:space="preserve">Apprenant 109 ou 109'</t>
  </si>
  <si>
    <t xml:space="preserve">Apprenant 110</t>
  </si>
  <si>
    <t xml:space="preserve">Apprenant 110 ou 110'</t>
  </si>
  <si>
    <t xml:space="preserve">Apprenant 111</t>
  </si>
  <si>
    <t xml:space="preserve">Apprenant 111 ou 111'</t>
  </si>
  <si>
    <t xml:space="preserve">Apprenant 112</t>
  </si>
  <si>
    <t xml:space="preserve">Apprenant 112 ou 112'</t>
  </si>
  <si>
    <t xml:space="preserve">Apprenant 113</t>
  </si>
  <si>
    <t xml:space="preserve">Apprenant 113 ou 113'</t>
  </si>
  <si>
    <t xml:space="preserve">Apprenant 114</t>
  </si>
  <si>
    <t xml:space="preserve">Apprenant 114 ou 114'</t>
  </si>
  <si>
    <t xml:space="preserve">Apprenant 115</t>
  </si>
  <si>
    <t xml:space="preserve">Apprenant 115 ou 115'</t>
  </si>
  <si>
    <t xml:space="preserve">Apprenant 116</t>
  </si>
  <si>
    <t xml:space="preserve">Apprenant 116 ou 116'</t>
  </si>
  <si>
    <t xml:space="preserve">Apprenant 117</t>
  </si>
  <si>
    <t xml:space="preserve">Apprenant 117 ou 117'</t>
  </si>
  <si>
    <t xml:space="preserve">Apprenant 118</t>
  </si>
  <si>
    <t xml:space="preserve">Apprenant 118 ou 118'</t>
  </si>
  <si>
    <t xml:space="preserve">Apprenant 119</t>
  </si>
  <si>
    <t xml:space="preserve">Apprenant 119 ou 119'</t>
  </si>
  <si>
    <t xml:space="preserve">Apprenant 120</t>
  </si>
  <si>
    <t xml:space="preserve">Apprenant 120 ou 120'</t>
  </si>
  <si>
    <t xml:space="preserve">Apprenant 121</t>
  </si>
  <si>
    <t xml:space="preserve">Apprenant 121 ou 121'</t>
  </si>
  <si>
    <t xml:space="preserve">Apprenant 122</t>
  </si>
  <si>
    <t xml:space="preserve">Apprenant 122 ou 122'</t>
  </si>
  <si>
    <t xml:space="preserve">Apprenant 123</t>
  </si>
  <si>
    <t xml:space="preserve">Apprenant 123 ou 123'</t>
  </si>
  <si>
    <t xml:space="preserve">Apprenant 124</t>
  </si>
  <si>
    <t xml:space="preserve">Apprenant 124 ou 124'</t>
  </si>
  <si>
    <t xml:space="preserve">Apprenant 125</t>
  </si>
  <si>
    <t xml:space="preserve">Apprenant 125 ou 125'</t>
  </si>
  <si>
    <t xml:space="preserve">Apprenant 126</t>
  </si>
  <si>
    <t xml:space="preserve">Apprenant 126 ou 126'</t>
  </si>
  <si>
    <t xml:space="preserve">Apprenant 127</t>
  </si>
  <si>
    <t xml:space="preserve">Apprenant 127 ou 127'</t>
  </si>
  <si>
    <t xml:space="preserve">Apprenant 128</t>
  </si>
  <si>
    <t xml:space="preserve">Apprenant 128 ou 128'</t>
  </si>
  <si>
    <t xml:space="preserve">Apprenant 129</t>
  </si>
  <si>
    <t xml:space="preserve">Apprenant 129 ou 129'</t>
  </si>
  <si>
    <t xml:space="preserve">Apprenant 130</t>
  </si>
  <si>
    <t xml:space="preserve">Apprenant 130 ou 130'</t>
  </si>
  <si>
    <t xml:space="preserve">Apprenant 131</t>
  </si>
  <si>
    <t xml:space="preserve">Apprenant 131 ou 131'</t>
  </si>
  <si>
    <t xml:space="preserve">Apprenant 132</t>
  </si>
  <si>
    <t xml:space="preserve">Apprenant 132 ou 132'</t>
  </si>
  <si>
    <t xml:space="preserve">Apprenant 133</t>
  </si>
  <si>
    <t xml:space="preserve">Apprenant 133 ou 133'</t>
  </si>
  <si>
    <t xml:space="preserve">Apprenant 134</t>
  </si>
  <si>
    <t xml:space="preserve">Apprenant 134 ou 134'</t>
  </si>
  <si>
    <t xml:space="preserve">Apprenant 135</t>
  </si>
  <si>
    <t xml:space="preserve">Apprenant 135 ou 135'</t>
  </si>
  <si>
    <t xml:space="preserve">Apprenant 136</t>
  </si>
  <si>
    <t xml:space="preserve">Apprenant 136 ou 136'</t>
  </si>
  <si>
    <t xml:space="preserve">Apprenant 137</t>
  </si>
  <si>
    <t xml:space="preserve">Apprenant 137 ou 137'</t>
  </si>
  <si>
    <t xml:space="preserve">Apprenant 138</t>
  </si>
  <si>
    <t xml:space="preserve">Apprenant 138 ou 138'</t>
  </si>
  <si>
    <t xml:space="preserve">Apprenant 139</t>
  </si>
  <si>
    <t xml:space="preserve">Apprenant 139 ou 139'</t>
  </si>
  <si>
    <t xml:space="preserve">Apprenant 140</t>
  </si>
  <si>
    <t xml:space="preserve">Apprenant 140 ou 140'</t>
  </si>
  <si>
    <t xml:space="preserve">Apprenant 141</t>
  </si>
  <si>
    <t xml:space="preserve">Apprenant 141 ou 141'</t>
  </si>
  <si>
    <t xml:space="preserve">Apprenant 142</t>
  </si>
  <si>
    <t xml:space="preserve">Apprenant 142 ou 142'</t>
  </si>
  <si>
    <t xml:space="preserve">Apprenant 143</t>
  </si>
  <si>
    <t xml:space="preserve">Apprenant 143 ou 143'</t>
  </si>
  <si>
    <t xml:space="preserve">Apprenant 144</t>
  </si>
  <si>
    <t xml:space="preserve">Apprenant 144 ou 144'</t>
  </si>
  <si>
    <t xml:space="preserve">Apprenant 145</t>
  </si>
  <si>
    <t xml:space="preserve">Apprenant 145 ou 145'</t>
  </si>
  <si>
    <t xml:space="preserve">Apprenant 146</t>
  </si>
  <si>
    <t xml:space="preserve">Apprenant 146 ou 146'</t>
  </si>
  <si>
    <t xml:space="preserve">Apprenant 147</t>
  </si>
  <si>
    <t xml:space="preserve">Apprenant 147 ou 147'</t>
  </si>
  <si>
    <t xml:space="preserve">Apprenant 148</t>
  </si>
  <si>
    <t xml:space="preserve">Apprenant 148 ou 148'</t>
  </si>
  <si>
    <t xml:space="preserve">Apprenant 149</t>
  </si>
  <si>
    <t xml:space="preserve">Apprenant 149 ou 149'</t>
  </si>
  <si>
    <t xml:space="preserve">Apprenant 150</t>
  </si>
  <si>
    <t xml:space="preserve">Apprenant 150 ou 150'</t>
  </si>
  <si>
    <t xml:space="preserve">Apprenant 151</t>
  </si>
  <si>
    <t xml:space="preserve">Apprenant 151 ou 151'</t>
  </si>
  <si>
    <t xml:space="preserve">Apprenant 152</t>
  </si>
  <si>
    <t xml:space="preserve">Apprenant 152 ou 152'</t>
  </si>
  <si>
    <t xml:space="preserve">Apprenant 153</t>
  </si>
  <si>
    <t xml:space="preserve">Apprenant 153 ou 153'</t>
  </si>
  <si>
    <t xml:space="preserve">Apprenant 154</t>
  </si>
  <si>
    <t xml:space="preserve">Apprenant 154 ou 154'</t>
  </si>
  <si>
    <t xml:space="preserve">Apprenant 155</t>
  </si>
  <si>
    <t xml:space="preserve">Apprenant 155 ou 155'</t>
  </si>
  <si>
    <t xml:space="preserve">Apprenant 156</t>
  </si>
  <si>
    <t xml:space="preserve">Apprenant 156 ou 156'</t>
  </si>
  <si>
    <t xml:space="preserve">Apprenant 157</t>
  </si>
  <si>
    <t xml:space="preserve">Apprenant 157 ou 157'</t>
  </si>
  <si>
    <t xml:space="preserve">Apprenant 158</t>
  </si>
  <si>
    <t xml:space="preserve">Apprenant 158 ou 158'</t>
  </si>
  <si>
    <t xml:space="preserve">Apprenant 159</t>
  </si>
  <si>
    <t xml:space="preserve">Apprenant 159 ou 159'</t>
  </si>
  <si>
    <t xml:space="preserve">Apprenant 160</t>
  </si>
  <si>
    <t xml:space="preserve">Apprenant 160 ou 160'</t>
  </si>
  <si>
    <t xml:space="preserve">Apprenant 161</t>
  </si>
  <si>
    <t xml:space="preserve">Apprenant 161 ou 161'</t>
  </si>
  <si>
    <t xml:space="preserve">Apprenant 162</t>
  </si>
  <si>
    <t xml:space="preserve">Apprenant 162 ou 162'</t>
  </si>
  <si>
    <t xml:space="preserve">Apprenant 163</t>
  </si>
  <si>
    <t xml:space="preserve">Apprenant 163 ou 163'</t>
  </si>
  <si>
    <t xml:space="preserve">Apprenant 164</t>
  </si>
  <si>
    <t xml:space="preserve">Apprenant 164 ou 164'</t>
  </si>
  <si>
    <t xml:space="preserve">Apprenant 165</t>
  </si>
  <si>
    <t xml:space="preserve">Apprenant 165 ou 165'</t>
  </si>
  <si>
    <t xml:space="preserve">Apprenant 166</t>
  </si>
  <si>
    <t xml:space="preserve">Apprenant 166 ou 166'</t>
  </si>
  <si>
    <t xml:space="preserve">Apprenant 167</t>
  </si>
  <si>
    <t xml:space="preserve">Apprenant 167 ou 167'</t>
  </si>
  <si>
    <t xml:space="preserve">Apprenant 168</t>
  </si>
  <si>
    <t xml:space="preserve">Apprenant 168 ou 168'</t>
  </si>
  <si>
    <t xml:space="preserve">Apprenant 169</t>
  </si>
  <si>
    <t xml:space="preserve">Apprenant 169 ou 169'</t>
  </si>
  <si>
    <t xml:space="preserve">Apprenant 170</t>
  </si>
  <si>
    <t xml:space="preserve">Apprenant 170 ou 170'</t>
  </si>
  <si>
    <t xml:space="preserve">Apprenant 171</t>
  </si>
  <si>
    <t xml:space="preserve">Apprenant 171 ou 171'</t>
  </si>
  <si>
    <t xml:space="preserve">Apprenant 172</t>
  </si>
  <si>
    <t xml:space="preserve">Apprenant 172 ou 172'</t>
  </si>
  <si>
    <t xml:space="preserve">Apprenant 173</t>
  </si>
  <si>
    <t xml:space="preserve">Apprenant 173 ou 173'</t>
  </si>
  <si>
    <t xml:space="preserve">Apprenant 174</t>
  </si>
  <si>
    <t xml:space="preserve">Apprenant 174 ou 174'</t>
  </si>
  <si>
    <t xml:space="preserve">Apprenant 175</t>
  </si>
  <si>
    <t xml:space="preserve">Apprenant 175 ou 175'</t>
  </si>
  <si>
    <t xml:space="preserve">Apprenant 176</t>
  </si>
  <si>
    <t xml:space="preserve">Apprenant 176 ou 176'</t>
  </si>
  <si>
    <t xml:space="preserve">Apprenant 177</t>
  </si>
  <si>
    <t xml:space="preserve">Apprenant 177 ou 177'</t>
  </si>
  <si>
    <t xml:space="preserve">Apprenant 178</t>
  </si>
  <si>
    <t xml:space="preserve">Apprenant 178 ou 178'</t>
  </si>
  <si>
    <t xml:space="preserve">Apprenant 179</t>
  </si>
  <si>
    <t xml:space="preserve">Apprenant 179 ou 179'</t>
  </si>
  <si>
    <t xml:space="preserve">Apprenant 180</t>
  </si>
  <si>
    <t xml:space="preserve">Apprenant 180 ou 180'</t>
  </si>
  <si>
    <t xml:space="preserve">Apprenant 181</t>
  </si>
  <si>
    <t xml:space="preserve">Apprenant 181 ou 181'</t>
  </si>
  <si>
    <t xml:space="preserve">Apprenant 182</t>
  </si>
  <si>
    <t xml:space="preserve">Apprenant 182 ou 182'</t>
  </si>
  <si>
    <t xml:space="preserve">Apprenant 183</t>
  </si>
  <si>
    <t xml:space="preserve">Apprenant 183 ou 183'</t>
  </si>
  <si>
    <t xml:space="preserve">Apprenant 184</t>
  </si>
  <si>
    <t xml:space="preserve">Apprenant 184 ou 184'</t>
  </si>
  <si>
    <t xml:space="preserve">Apprenant 185</t>
  </si>
  <si>
    <t xml:space="preserve">Apprenant 185 ou 185'</t>
  </si>
  <si>
    <t xml:space="preserve">Apprenant 186</t>
  </si>
  <si>
    <t xml:space="preserve">Apprenant 186 ou 186'</t>
  </si>
  <si>
    <t xml:space="preserve">Apprenant 187</t>
  </si>
  <si>
    <t xml:space="preserve">Apprenant 187 ou 187'</t>
  </si>
  <si>
    <t xml:space="preserve">Apprenant 188</t>
  </si>
  <si>
    <t xml:space="preserve">Apprenant 188 ou 188'</t>
  </si>
  <si>
    <t xml:space="preserve">Apprenant 189</t>
  </si>
  <si>
    <t xml:space="preserve">Apprenant 189 ou 189'</t>
  </si>
  <si>
    <t xml:space="preserve">Apprenant 190</t>
  </si>
  <si>
    <t xml:space="preserve">Apprenant 190 ou 190'</t>
  </si>
  <si>
    <t xml:space="preserve">Apprenant 191</t>
  </si>
  <si>
    <t xml:space="preserve">Apprenant 191 ou 191'</t>
  </si>
  <si>
    <t xml:space="preserve">Apprenant 192</t>
  </si>
  <si>
    <t xml:space="preserve">Apprenant 192 ou 192'</t>
  </si>
  <si>
    <t xml:space="preserve">Apprenant 193</t>
  </si>
  <si>
    <t xml:space="preserve">Apprenant 193 ou 193'</t>
  </si>
  <si>
    <t xml:space="preserve">Apprenant 194</t>
  </si>
  <si>
    <t xml:space="preserve">Apprenant 194 ou 194'</t>
  </si>
  <si>
    <t xml:space="preserve">Apprenant 195</t>
  </si>
  <si>
    <t xml:space="preserve">Apprenant 195 ou 195'</t>
  </si>
  <si>
    <t xml:space="preserve">Apprenant 196</t>
  </si>
  <si>
    <t xml:space="preserve">Apprenant 196 ou 196'</t>
  </si>
  <si>
    <t xml:space="preserve">Apprenant 197</t>
  </si>
  <si>
    <t xml:space="preserve">Apprenant 197 ou 197'</t>
  </si>
  <si>
    <t xml:space="preserve">Apprenant 198</t>
  </si>
  <si>
    <t xml:space="preserve">Apprenant 198 ou 198'</t>
  </si>
  <si>
    <t xml:space="preserve">Apprenant 199</t>
  </si>
  <si>
    <t xml:space="preserve">Apprenant 199 ou 199'</t>
  </si>
  <si>
    <t xml:space="preserve">Apprenant 200</t>
  </si>
  <si>
    <t xml:space="preserve">Apprenant 200 ou 200'</t>
  </si>
  <si>
    <t xml:space="preserve">Apprenant 201</t>
  </si>
  <si>
    <t xml:space="preserve">Apprenant 201 ou 201'</t>
  </si>
  <si>
    <t xml:space="preserve">Apprenant 202</t>
  </si>
  <si>
    <t xml:space="preserve">Apprenant 202 ou 202'</t>
  </si>
  <si>
    <t xml:space="preserve">Apprenant 203</t>
  </si>
  <si>
    <t xml:space="preserve">Apprenant 203 ou 203'</t>
  </si>
  <si>
    <t xml:space="preserve">Apprenant 204</t>
  </si>
  <si>
    <t xml:space="preserve">Apprenant 204 ou 204'</t>
  </si>
  <si>
    <t xml:space="preserve">Apprenant 205</t>
  </si>
  <si>
    <t xml:space="preserve">Apprenant 205 ou 205'</t>
  </si>
  <si>
    <t xml:space="preserve">Apprenant 206</t>
  </si>
  <si>
    <t xml:space="preserve">Apprenant 206 ou 206'</t>
  </si>
  <si>
    <t xml:space="preserve">Apprenant 207</t>
  </si>
  <si>
    <t xml:space="preserve">Apprenant 207 ou 207'</t>
  </si>
  <si>
    <t xml:space="preserve">Apprenant 208</t>
  </si>
  <si>
    <t xml:space="preserve">Apprenant 208 ou 208'</t>
  </si>
  <si>
    <t xml:space="preserve">Apprenant 209</t>
  </si>
  <si>
    <t xml:space="preserve">Apprenant 209 ou 209'</t>
  </si>
  <si>
    <t xml:space="preserve">Apprenant 210</t>
  </si>
  <si>
    <t xml:space="preserve">Apprenant 210 ou 210'</t>
  </si>
  <si>
    <t xml:space="preserve">Apprenant 211</t>
  </si>
  <si>
    <t xml:space="preserve">Apprenant 211 ou 211'</t>
  </si>
  <si>
    <t xml:space="preserve">Apprenant 212</t>
  </si>
  <si>
    <t xml:space="preserve">Apprenant 212 ou 212'</t>
  </si>
  <si>
    <t xml:space="preserve">Apprenant 213</t>
  </si>
  <si>
    <t xml:space="preserve">Apprenant 213 ou 213'</t>
  </si>
  <si>
    <t xml:space="preserve">Apprenant 214</t>
  </si>
  <si>
    <t xml:space="preserve">Apprenant 214 ou 214'</t>
  </si>
  <si>
    <t xml:space="preserve">Apprenant 215</t>
  </si>
  <si>
    <t xml:space="preserve">Apprenant 215 ou 215'</t>
  </si>
  <si>
    <t xml:space="preserve">Apprenant 216</t>
  </si>
  <si>
    <t xml:space="preserve">Apprenant 216 ou 216'</t>
  </si>
  <si>
    <t xml:space="preserve">Apprenant 217</t>
  </si>
  <si>
    <t xml:space="preserve">Apprenant 217 ou 217'</t>
  </si>
  <si>
    <t xml:space="preserve">Apprenant 218</t>
  </si>
  <si>
    <t xml:space="preserve">Apprenant 218 ou 218'</t>
  </si>
  <si>
    <t xml:space="preserve">Apprenant 219</t>
  </si>
  <si>
    <t xml:space="preserve">Apprenant 219 ou 219'</t>
  </si>
  <si>
    <t xml:space="preserve">Apprenant 220</t>
  </si>
  <si>
    <t xml:space="preserve">Apprenant 220 ou 220'</t>
  </si>
  <si>
    <t xml:space="preserve">Apprenant 221</t>
  </si>
  <si>
    <t xml:space="preserve">Apprenant 221 ou 221'</t>
  </si>
  <si>
    <t xml:space="preserve">Apprenant 222</t>
  </si>
  <si>
    <t xml:space="preserve">Apprenant 222 ou 222'</t>
  </si>
  <si>
    <t xml:space="preserve">Apprenant 223</t>
  </si>
  <si>
    <t xml:space="preserve">Apprenant 223 ou 223'</t>
  </si>
  <si>
    <t xml:space="preserve">Apprenant 224</t>
  </si>
  <si>
    <t xml:space="preserve">Apprenant 224 ou 224'</t>
  </si>
  <si>
    <t xml:space="preserve">Apprenant 225</t>
  </si>
  <si>
    <t xml:space="preserve">Apprenant 225 ou 225'</t>
  </si>
  <si>
    <t xml:space="preserve">Apprenant 226</t>
  </si>
  <si>
    <t xml:space="preserve">Apprenant 226 ou 226'</t>
  </si>
  <si>
    <t xml:space="preserve">Apprenant 227</t>
  </si>
  <si>
    <t xml:space="preserve">Apprenant 227 ou 227'</t>
  </si>
  <si>
    <t xml:space="preserve">Apprenant 228</t>
  </si>
  <si>
    <t xml:space="preserve">Apprenant 228 ou 228'</t>
  </si>
  <si>
    <t xml:space="preserve">Apprenant 229</t>
  </si>
  <si>
    <t xml:space="preserve">Apprenant 229 ou 229'</t>
  </si>
  <si>
    <t xml:space="preserve">Apprenant 230</t>
  </si>
  <si>
    <t xml:space="preserve">Apprenant 230 ou 230'</t>
  </si>
  <si>
    <t xml:space="preserve">Apprenant 231</t>
  </si>
  <si>
    <t xml:space="preserve">Apprenant 231 ou 231'</t>
  </si>
  <si>
    <t xml:space="preserve">Apprenant 232</t>
  </si>
  <si>
    <t xml:space="preserve">Apprenant 232 ou 232'</t>
  </si>
  <si>
    <t xml:space="preserve">Apprenant 233</t>
  </si>
  <si>
    <t xml:space="preserve">Apprenant 233 ou 233'</t>
  </si>
  <si>
    <t xml:space="preserve">Apprenant 234</t>
  </si>
  <si>
    <t xml:space="preserve">Apprenant 234 ou 234'</t>
  </si>
  <si>
    <t xml:space="preserve">Apprenant 235</t>
  </si>
  <si>
    <t xml:space="preserve">Apprenant 235 ou 235'</t>
  </si>
  <si>
    <t xml:space="preserve">Apprenant 236</t>
  </si>
  <si>
    <t xml:space="preserve">Apprenant 236 ou 236'</t>
  </si>
  <si>
    <t xml:space="preserve">Apprenant 237</t>
  </si>
  <si>
    <t xml:space="preserve">Apprenant 237 ou 237'</t>
  </si>
  <si>
    <t xml:space="preserve">Apprenant 238</t>
  </si>
  <si>
    <t xml:space="preserve">Apprenant 238 ou 238'</t>
  </si>
  <si>
    <t xml:space="preserve">Apprenant 239</t>
  </si>
  <si>
    <t xml:space="preserve">Apprenant 239 ou 239'</t>
  </si>
  <si>
    <t xml:space="preserve">Apprenant 240</t>
  </si>
  <si>
    <t xml:space="preserve">Apprenant 240 ou 240'</t>
  </si>
  <si>
    <t xml:space="preserve">Apprenant 241</t>
  </si>
  <si>
    <t xml:space="preserve">Apprenant 241 ou 241'</t>
  </si>
  <si>
    <t xml:space="preserve">Apprenant 242</t>
  </si>
  <si>
    <t xml:space="preserve">Apprenant 242 ou 242'</t>
  </si>
  <si>
    <t xml:space="preserve">Apprenant 243</t>
  </si>
  <si>
    <t xml:space="preserve">Apprenant 243 ou 243'</t>
  </si>
  <si>
    <t xml:space="preserve">Apprenant 244</t>
  </si>
  <si>
    <t xml:space="preserve">Apprenant 244 ou 244'</t>
  </si>
  <si>
    <t xml:space="preserve">Apprenant 245</t>
  </si>
  <si>
    <t xml:space="preserve">Apprenant 245 ou 245'</t>
  </si>
  <si>
    <t xml:space="preserve">Apprenant 246</t>
  </si>
  <si>
    <t xml:space="preserve">Apprenant 246 ou 246'</t>
  </si>
  <si>
    <t xml:space="preserve">Apprenant 247</t>
  </si>
  <si>
    <t xml:space="preserve">Apprenant 247 ou 247'</t>
  </si>
  <si>
    <t xml:space="preserve">Apprenant 248</t>
  </si>
  <si>
    <t xml:space="preserve">Apprenant 248 ou 248'</t>
  </si>
  <si>
    <t xml:space="preserve">Apprenant 249</t>
  </si>
  <si>
    <t xml:space="preserve">Apprenant 249 ou 249'</t>
  </si>
  <si>
    <t xml:space="preserve">Apprenant 250</t>
  </si>
  <si>
    <t xml:space="preserve">Apprenant 250 ou 250'</t>
  </si>
  <si>
    <t xml:space="preserve">Apprenant 251</t>
  </si>
  <si>
    <t xml:space="preserve">Apprenant 251 ou 251'</t>
  </si>
  <si>
    <t xml:space="preserve">Apprenant 252</t>
  </si>
  <si>
    <t xml:space="preserve">Apprenant 252 ou 252'</t>
  </si>
  <si>
    <t xml:space="preserve">Apprenant 253</t>
  </si>
  <si>
    <t xml:space="preserve">Apprenant 253 ou 253'</t>
  </si>
  <si>
    <t xml:space="preserve">Apprenant 254</t>
  </si>
  <si>
    <t xml:space="preserve">Apprenant 254 ou 254'</t>
  </si>
  <si>
    <t xml:space="preserve">Apprenant 255</t>
  </si>
  <si>
    <t xml:space="preserve">Apprenant 255 ou 255'</t>
  </si>
  <si>
    <t xml:space="preserve">Apprenant 256</t>
  </si>
  <si>
    <t xml:space="preserve">Apprenant 256 ou 256'</t>
  </si>
  <si>
    <t xml:space="preserve">Apprenant 257</t>
  </si>
  <si>
    <t xml:space="preserve">Apprenant 257 ou 257'</t>
  </si>
  <si>
    <t xml:space="preserve">Apprenant 258</t>
  </si>
  <si>
    <t xml:space="preserve">Apprenant 258 ou 258'</t>
  </si>
  <si>
    <t xml:space="preserve">Apprenant 259</t>
  </si>
  <si>
    <t xml:space="preserve">Apprenant 259 ou 259'</t>
  </si>
  <si>
    <t xml:space="preserve">Apprenant 260</t>
  </si>
  <si>
    <t xml:space="preserve">Apprenant 260 ou 260'</t>
  </si>
  <si>
    <t xml:space="preserve">Apprenant 261</t>
  </si>
  <si>
    <t xml:space="preserve">Apprenant 261 ou 261'</t>
  </si>
  <si>
    <t xml:space="preserve">Apprenant 262</t>
  </si>
  <si>
    <t xml:space="preserve">Apprenant 262 ou 262'</t>
  </si>
  <si>
    <t xml:space="preserve">Apprenant 263</t>
  </si>
  <si>
    <t xml:space="preserve">Apprenant 263 ou 263'</t>
  </si>
  <si>
    <t xml:space="preserve">Apprenant 264</t>
  </si>
  <si>
    <t xml:space="preserve">Apprenant 264 ou 264'</t>
  </si>
  <si>
    <t xml:space="preserve">Apprenant 265</t>
  </si>
  <si>
    <t xml:space="preserve">Apprenant 265 ou 265'</t>
  </si>
  <si>
    <t xml:space="preserve">Apprenant 266</t>
  </si>
  <si>
    <t xml:space="preserve">Apprenant 266 ou 266'</t>
  </si>
  <si>
    <t xml:space="preserve">Apprenant 267</t>
  </si>
  <si>
    <t xml:space="preserve">Apprenant 267 ou 267'</t>
  </si>
  <si>
    <t xml:space="preserve">Apprenant 268</t>
  </si>
  <si>
    <t xml:space="preserve">Apprenant 268 ou 268'</t>
  </si>
  <si>
    <t xml:space="preserve">Apprenant 269</t>
  </si>
  <si>
    <t xml:space="preserve">Apprenant 269 ou 269'</t>
  </si>
  <si>
    <t xml:space="preserve">Apprenant 270</t>
  </si>
  <si>
    <t xml:space="preserve">Apprenant 270 ou 270'</t>
  </si>
  <si>
    <t xml:space="preserve">Apprenant 271</t>
  </si>
  <si>
    <t xml:space="preserve">Apprenant 271 ou 271'</t>
  </si>
  <si>
    <t xml:space="preserve">Apprenant 272</t>
  </si>
  <si>
    <t xml:space="preserve">Apprenant 272 ou 272'</t>
  </si>
  <si>
    <t xml:space="preserve">Apprenant 273</t>
  </si>
  <si>
    <t xml:space="preserve">Apprenant 273 ou 273'</t>
  </si>
  <si>
    <t xml:space="preserve">Apprenant 274</t>
  </si>
  <si>
    <t xml:space="preserve">Apprenant 274 ou 274'</t>
  </si>
  <si>
    <t xml:space="preserve">Apprenant 275</t>
  </si>
  <si>
    <t xml:space="preserve">Apprenant 275 ou 275'</t>
  </si>
  <si>
    <t xml:space="preserve">Apprenant 276</t>
  </si>
  <si>
    <t xml:space="preserve">Apprenant 276 ou 276'</t>
  </si>
  <si>
    <t xml:space="preserve">Apprenant 277</t>
  </si>
  <si>
    <t xml:space="preserve">Apprenant 277 ou 277'</t>
  </si>
  <si>
    <t xml:space="preserve">Apprenant 278</t>
  </si>
  <si>
    <t xml:space="preserve">Apprenant 278 ou 278'</t>
  </si>
  <si>
    <t xml:space="preserve">Apprenant 279</t>
  </si>
  <si>
    <t xml:space="preserve">Apprenant 279 ou 279'</t>
  </si>
  <si>
    <t xml:space="preserve">Apprenant 280</t>
  </si>
  <si>
    <t xml:space="preserve">Apprenant 280 ou 280'</t>
  </si>
  <si>
    <t xml:space="preserve">Apprenant 281</t>
  </si>
  <si>
    <t xml:space="preserve">Apprenant 281 ou 281'</t>
  </si>
  <si>
    <t xml:space="preserve">Apprenant 282</t>
  </si>
  <si>
    <t xml:space="preserve">Apprenant 282 ou 282'</t>
  </si>
  <si>
    <t xml:space="preserve">Apprenant 283</t>
  </si>
  <si>
    <t xml:space="preserve">Apprenant 283 ou 283'</t>
  </si>
  <si>
    <t xml:space="preserve">Apprenant 284</t>
  </si>
  <si>
    <t xml:space="preserve">Apprenant 284 ou 284'</t>
  </si>
  <si>
    <t xml:space="preserve">Apprenant 285</t>
  </si>
  <si>
    <t xml:space="preserve">Apprenant 285 ou 285'</t>
  </si>
  <si>
    <t xml:space="preserve">Apprenant 286</t>
  </si>
  <si>
    <t xml:space="preserve">Apprenant 286 ou 286'</t>
  </si>
  <si>
    <t xml:space="preserve">Apprenant 287</t>
  </si>
  <si>
    <t xml:space="preserve">Apprenant 287 ou 287'</t>
  </si>
  <si>
    <t xml:space="preserve">Apprenant 288</t>
  </si>
  <si>
    <t xml:space="preserve">Apprenant 288 ou 288'</t>
  </si>
  <si>
    <t xml:space="preserve">Apprenant 289</t>
  </si>
  <si>
    <t xml:space="preserve">Apprenant 289 ou 289'</t>
  </si>
  <si>
    <t xml:space="preserve">Apprenant 290</t>
  </si>
  <si>
    <t xml:space="preserve">Apprenant 290 ou 290'</t>
  </si>
  <si>
    <t xml:space="preserve">Apprenant 291</t>
  </si>
  <si>
    <t xml:space="preserve">Apprenant 291 ou 291'</t>
  </si>
  <si>
    <t xml:space="preserve">Apprenant 292</t>
  </si>
  <si>
    <t xml:space="preserve">Apprenant 292 ou 292'</t>
  </si>
  <si>
    <t xml:space="preserve">Apprenant 293</t>
  </si>
  <si>
    <t xml:space="preserve">Apprenant 293 ou 293'</t>
  </si>
  <si>
    <t xml:space="preserve">Apprenant 294</t>
  </si>
  <si>
    <t xml:space="preserve">Apprenant 294 ou 294'</t>
  </si>
  <si>
    <t xml:space="preserve">Apprenant 295</t>
  </si>
  <si>
    <t xml:space="preserve">Apprenant 295 ou 295'</t>
  </si>
  <si>
    <t xml:space="preserve">Apprenant 296</t>
  </si>
  <si>
    <t xml:space="preserve">Apprenant 296 ou 296'</t>
  </si>
  <si>
    <t xml:space="preserve">Apprenant 297</t>
  </si>
  <si>
    <t xml:space="preserve">Apprenant 297 ou 297'</t>
  </si>
  <si>
    <t xml:space="preserve">Apprenant 298</t>
  </si>
  <si>
    <t xml:space="preserve">Apprenant 298 ou 298'</t>
  </si>
  <si>
    <t xml:space="preserve">Apprenant 299</t>
  </si>
  <si>
    <t xml:space="preserve">Apprenant 299 ou 299'</t>
  </si>
  <si>
    <t xml:space="preserve">Apprenant 300</t>
  </si>
  <si>
    <t xml:space="preserve">Apprenant 300 ou 300'</t>
  </si>
  <si>
    <t xml:space="preserve">Apprenant 301</t>
  </si>
  <si>
    <t xml:space="preserve">Apprenant 301 ou 301'</t>
  </si>
  <si>
    <t xml:space="preserve">Apprenant 302</t>
  </si>
  <si>
    <t xml:space="preserve">Apprenant 302 ou 302'</t>
  </si>
  <si>
    <t xml:space="preserve">Apprenant 303</t>
  </si>
  <si>
    <t xml:space="preserve">Apprenant 303 ou 303'</t>
  </si>
  <si>
    <t xml:space="preserve">Apprenant 304</t>
  </si>
  <si>
    <t xml:space="preserve">Apprenant 304 ou 304'</t>
  </si>
  <si>
    <t xml:space="preserve">Apprenant 305</t>
  </si>
  <si>
    <t xml:space="preserve">Apprenant 305 ou 305'</t>
  </si>
  <si>
    <t xml:space="preserve">Apprenant 306</t>
  </si>
  <si>
    <t xml:space="preserve">Apprenant 306 ou 306'</t>
  </si>
  <si>
    <t xml:space="preserve">Apprenant 307</t>
  </si>
  <si>
    <t xml:space="preserve">Apprenant 307 ou 307'</t>
  </si>
  <si>
    <t xml:space="preserve">Apprenant 308</t>
  </si>
  <si>
    <t xml:space="preserve">Apprenant 308 ou 308'</t>
  </si>
  <si>
    <t xml:space="preserve">Apprenant 309</t>
  </si>
  <si>
    <t xml:space="preserve">Apprenant 309 ou 309'</t>
  </si>
  <si>
    <t xml:space="preserve">Apprenant 310</t>
  </si>
  <si>
    <t xml:space="preserve">Apprenant 310 ou 310'</t>
  </si>
  <si>
    <t xml:space="preserve">Apprenant 311</t>
  </si>
  <si>
    <t xml:space="preserve">Apprenant 311 ou 311'</t>
  </si>
  <si>
    <t xml:space="preserve">Apprenant 312</t>
  </si>
  <si>
    <t xml:space="preserve">Apprenant 312 ou 312'</t>
  </si>
  <si>
    <t xml:space="preserve">Apprenant 313</t>
  </si>
  <si>
    <t xml:space="preserve">Apprenant 313 ou 313'</t>
  </si>
  <si>
    <t xml:space="preserve">Apprenant 314</t>
  </si>
  <si>
    <t xml:space="preserve">Apprenant 314 ou 314'</t>
  </si>
  <si>
    <t xml:space="preserve">Apprenant 315</t>
  </si>
  <si>
    <t xml:space="preserve">Apprenant 315 ou 315'</t>
  </si>
  <si>
    <t xml:space="preserve">Apprenant 316</t>
  </si>
  <si>
    <t xml:space="preserve">Apprenant 316 ou 316'</t>
  </si>
  <si>
    <t xml:space="preserve">Apprenant 317</t>
  </si>
  <si>
    <t xml:space="preserve">Apprenant 317 ou 317'</t>
  </si>
  <si>
    <t xml:space="preserve">Apprenant 318</t>
  </si>
  <si>
    <t xml:space="preserve">Apprenant 318 ou 318'</t>
  </si>
  <si>
    <t xml:space="preserve">Apprenant 319</t>
  </si>
  <si>
    <t xml:space="preserve">Apprenant 319 ou 319'</t>
  </si>
  <si>
    <t xml:space="preserve">Apprenant 320</t>
  </si>
  <si>
    <t xml:space="preserve">Apprenant 320 ou 320'</t>
  </si>
  <si>
    <t xml:space="preserve">Apprenant 321</t>
  </si>
  <si>
    <t xml:space="preserve">Apprenant 321 ou 321'</t>
  </si>
  <si>
    <t xml:space="preserve">Apprenant 322</t>
  </si>
  <si>
    <t xml:space="preserve">Apprenant 322 ou 322'</t>
  </si>
  <si>
    <t xml:space="preserve">Apprenant 323</t>
  </si>
  <si>
    <t xml:space="preserve">Apprenant 323 ou 323'</t>
  </si>
  <si>
    <t xml:space="preserve">Apprenant 324</t>
  </si>
  <si>
    <t xml:space="preserve">Apprenant 324 ou 324'</t>
  </si>
  <si>
    <t xml:space="preserve">Apprenant 325</t>
  </si>
  <si>
    <t xml:space="preserve">Apprenant 325 ou 325'</t>
  </si>
  <si>
    <t xml:space="preserve">Apprenant 326</t>
  </si>
  <si>
    <t xml:space="preserve">Apprenant 326 ou 326'</t>
  </si>
  <si>
    <t xml:space="preserve">Apprenant 327</t>
  </si>
  <si>
    <t xml:space="preserve">Apprenant 327 ou 327'</t>
  </si>
  <si>
    <t xml:space="preserve">Apprenant 328</t>
  </si>
  <si>
    <t xml:space="preserve">Apprenant 328 ou 328'</t>
  </si>
  <si>
    <t xml:space="preserve">Apprenant 329</t>
  </si>
  <si>
    <t xml:space="preserve">Apprenant 329 ou 329'</t>
  </si>
  <si>
    <t xml:space="preserve">Apprenant 330</t>
  </si>
  <si>
    <t xml:space="preserve">Apprenant 330 ou 330'</t>
  </si>
  <si>
    <t xml:space="preserve">Apprenant 331</t>
  </si>
  <si>
    <t xml:space="preserve">Apprenant 331 ou 331'</t>
  </si>
  <si>
    <t xml:space="preserve">Apprenant 332</t>
  </si>
  <si>
    <t xml:space="preserve">Apprenant 332 ou 332'</t>
  </si>
  <si>
    <t xml:space="preserve">Apprenant 333</t>
  </si>
  <si>
    <t xml:space="preserve">Apprenant 333 ou 333'</t>
  </si>
  <si>
    <t xml:space="preserve">Apprenant 334</t>
  </si>
  <si>
    <t xml:space="preserve">Apprenant 334 ou 334'</t>
  </si>
  <si>
    <t xml:space="preserve">Apprenant 335</t>
  </si>
  <si>
    <t xml:space="preserve">Apprenant 335 ou 335'</t>
  </si>
  <si>
    <t xml:space="preserve">Apprenant 336</t>
  </si>
  <si>
    <t xml:space="preserve">Apprenant 336 ou 336'</t>
  </si>
  <si>
    <t xml:space="preserve">Apprenant 337</t>
  </si>
  <si>
    <t xml:space="preserve">Apprenant 337 ou 337'</t>
  </si>
  <si>
    <t xml:space="preserve">Apprenant 338</t>
  </si>
  <si>
    <t xml:space="preserve">Apprenant 338 ou 338'</t>
  </si>
  <si>
    <t xml:space="preserve">Apprenant 339</t>
  </si>
  <si>
    <t xml:space="preserve">Apprenant 339 ou 339'</t>
  </si>
  <si>
    <t xml:space="preserve">Apprenant 340</t>
  </si>
  <si>
    <t xml:space="preserve">Apprenant 340 ou 340'</t>
  </si>
  <si>
    <t xml:space="preserve">Apprenant 341</t>
  </si>
  <si>
    <t xml:space="preserve">Apprenant 341 ou 341'</t>
  </si>
  <si>
    <t xml:space="preserve">Apprenant 342</t>
  </si>
  <si>
    <t xml:space="preserve">Apprenant 342 ou 342'</t>
  </si>
  <si>
    <t xml:space="preserve">Apprenant 343</t>
  </si>
  <si>
    <t xml:space="preserve">Apprenant 343 ou 343'</t>
  </si>
  <si>
    <t xml:space="preserve">Apprenant 344</t>
  </si>
  <si>
    <t xml:space="preserve">Apprenant 344 ou 344'</t>
  </si>
  <si>
    <t xml:space="preserve">Apprenant 345</t>
  </si>
  <si>
    <t xml:space="preserve">Apprenant 345 ou 345'</t>
  </si>
  <si>
    <t xml:space="preserve">Apprenant 346</t>
  </si>
  <si>
    <t xml:space="preserve">Apprenant 346 ou 346'</t>
  </si>
  <si>
    <t xml:space="preserve">Apprenant 347</t>
  </si>
  <si>
    <t xml:space="preserve">Apprenant 347 ou 347'</t>
  </si>
  <si>
    <t xml:space="preserve">Apprenant 348</t>
  </si>
  <si>
    <t xml:space="preserve">Apprenant 348 ou 348'</t>
  </si>
  <si>
    <t xml:space="preserve">Apprenant 349</t>
  </si>
  <si>
    <t xml:space="preserve">Apprenant 349 ou 349'</t>
  </si>
  <si>
    <t xml:space="preserve">Apprenant 350</t>
  </si>
  <si>
    <t xml:space="preserve">Apprenant 350 ou 350'</t>
  </si>
  <si>
    <t xml:space="preserve">Apprenant 351</t>
  </si>
  <si>
    <t xml:space="preserve">Apprenant 351 ou 351'</t>
  </si>
  <si>
    <t xml:space="preserve">Apprenant 352</t>
  </si>
  <si>
    <t xml:space="preserve">Apprenant 352 ou 352'</t>
  </si>
  <si>
    <t xml:space="preserve">Apprenant 353</t>
  </si>
  <si>
    <t xml:space="preserve">Apprenant 353 ou 353'</t>
  </si>
  <si>
    <t xml:space="preserve">Apprenant 354</t>
  </si>
  <si>
    <t xml:space="preserve">Apprenant 354 ou 354'</t>
  </si>
  <si>
    <t xml:space="preserve">Apprenant 355</t>
  </si>
  <si>
    <t xml:space="preserve">Apprenant 355 ou 355'</t>
  </si>
  <si>
    <t xml:space="preserve">Apprenant 356</t>
  </si>
  <si>
    <t xml:space="preserve">Apprenant 356 ou 356'</t>
  </si>
  <si>
    <t xml:space="preserve">Apprenant 357</t>
  </si>
  <si>
    <t xml:space="preserve">Apprenant 357 ou 357'</t>
  </si>
  <si>
    <t xml:space="preserve">Apprenant 358</t>
  </si>
  <si>
    <t xml:space="preserve">Apprenant 358 ou 358'</t>
  </si>
  <si>
    <t xml:space="preserve">Apprenant 359</t>
  </si>
  <si>
    <t xml:space="preserve">Apprenant 359 ou 359'</t>
  </si>
  <si>
    <t xml:space="preserve">Apprenant 360</t>
  </si>
  <si>
    <t xml:space="preserve">Apprenant 360 ou 360'</t>
  </si>
  <si>
    <t xml:space="preserve">Apprenant 361</t>
  </si>
  <si>
    <t xml:space="preserve">Apprenant 361 ou 361'</t>
  </si>
  <si>
    <t xml:space="preserve">Apprenant 362</t>
  </si>
  <si>
    <t xml:space="preserve">Apprenant 362 ou 362'</t>
  </si>
  <si>
    <t xml:space="preserve">Apprenant 363</t>
  </si>
  <si>
    <t xml:space="preserve">Apprenant 363 ou 363'</t>
  </si>
  <si>
    <t xml:space="preserve">Apprenant 364</t>
  </si>
  <si>
    <t xml:space="preserve">Apprenant 364 ou 364'</t>
  </si>
  <si>
    <t xml:space="preserve">Apprenant 365</t>
  </si>
  <si>
    <t xml:space="preserve">Apprenant 365 ou 365'</t>
  </si>
  <si>
    <t xml:space="preserve">Apprenant 366</t>
  </si>
  <si>
    <t xml:space="preserve">Apprenant 366 ou 366'</t>
  </si>
  <si>
    <t xml:space="preserve">Apprenant 367</t>
  </si>
  <si>
    <t xml:space="preserve">Apprenant 367 ou 367'</t>
  </si>
  <si>
    <t xml:space="preserve">Apprenant 368</t>
  </si>
  <si>
    <t xml:space="preserve">Apprenant 368 ou 368'</t>
  </si>
  <si>
    <t xml:space="preserve">Apprenant 369</t>
  </si>
  <si>
    <t xml:space="preserve">Apprenant 369 ou 369'</t>
  </si>
  <si>
    <t xml:space="preserve">Apprenant 370</t>
  </si>
  <si>
    <t xml:space="preserve">Apprenant 370 ou 370'</t>
  </si>
  <si>
    <t xml:space="preserve">Apprenant 371</t>
  </si>
  <si>
    <t xml:space="preserve">Apprenant 371 ou 371'</t>
  </si>
  <si>
    <t xml:space="preserve">Apprenant 372</t>
  </si>
  <si>
    <t xml:space="preserve">Apprenant 372 ou 372'</t>
  </si>
  <si>
    <t xml:space="preserve">Apprenant 373</t>
  </si>
  <si>
    <t xml:space="preserve">Apprenant 373 ou 373'</t>
  </si>
  <si>
    <t xml:space="preserve">Apprenant 374</t>
  </si>
  <si>
    <t xml:space="preserve">Apprenant 374 ou 374'</t>
  </si>
  <si>
    <t xml:space="preserve">Apprenant 375</t>
  </si>
  <si>
    <t xml:space="preserve">Apprenant 375 ou 375'</t>
  </si>
  <si>
    <t xml:space="preserve">Apprenant 376</t>
  </si>
  <si>
    <t xml:space="preserve">Apprenant 376 ou 376'</t>
  </si>
  <si>
    <t xml:space="preserve">Apprenant 377</t>
  </si>
  <si>
    <t xml:space="preserve">Apprenant 377 ou 377'</t>
  </si>
  <si>
    <t xml:space="preserve">Apprenant 378</t>
  </si>
  <si>
    <t xml:space="preserve">Apprenant 378 ou 378'</t>
  </si>
  <si>
    <t xml:space="preserve">Apprenant 379</t>
  </si>
  <si>
    <t xml:space="preserve">Apprenant 379 ou 379'</t>
  </si>
  <si>
    <t xml:space="preserve">Apprenant 380</t>
  </si>
  <si>
    <t xml:space="preserve">Apprenant 380 ou 380'</t>
  </si>
  <si>
    <t xml:space="preserve">Apprenant 381</t>
  </si>
  <si>
    <t xml:space="preserve">Apprenant 381 ou 381'</t>
  </si>
  <si>
    <t xml:space="preserve">Apprenant 382</t>
  </si>
  <si>
    <t xml:space="preserve">Apprenant 382 ou 382'</t>
  </si>
  <si>
    <t xml:space="preserve">Apprenant 383</t>
  </si>
  <si>
    <t xml:space="preserve">Apprenant 383 ou 383'</t>
  </si>
  <si>
    <t xml:space="preserve">Apprenant 384</t>
  </si>
  <si>
    <t xml:space="preserve">Apprenant 384 ou 384'</t>
  </si>
  <si>
    <t xml:space="preserve">Apprenant 385</t>
  </si>
  <si>
    <t xml:space="preserve">Apprenant 385 ou 385'</t>
  </si>
  <si>
    <t xml:space="preserve">Apprenant 386</t>
  </si>
  <si>
    <t xml:space="preserve">Apprenant 386 ou 386'</t>
  </si>
  <si>
    <t xml:space="preserve">Apprenant 387</t>
  </si>
  <si>
    <t xml:space="preserve">Apprenant 387 ou 387'</t>
  </si>
  <si>
    <t xml:space="preserve">Apprenant 388</t>
  </si>
  <si>
    <t xml:space="preserve">Apprenant 388 ou 388'</t>
  </si>
  <si>
    <t xml:space="preserve">Apprenant 389</t>
  </si>
  <si>
    <t xml:space="preserve">Apprenant 389 ou 389'</t>
  </si>
  <si>
    <t xml:space="preserve">Apprenant 390</t>
  </si>
  <si>
    <t xml:space="preserve">Apprenant 390 ou 390'</t>
  </si>
  <si>
    <t xml:space="preserve">Apprenant 391</t>
  </si>
  <si>
    <t xml:space="preserve">Apprenant 391 ou 391'</t>
  </si>
  <si>
    <t xml:space="preserve">Apprenant 392</t>
  </si>
  <si>
    <t xml:space="preserve">Apprenant 392 ou 392'</t>
  </si>
  <si>
    <t xml:space="preserve">Apprenant 393</t>
  </si>
  <si>
    <t xml:space="preserve">Apprenant 393 ou 393'</t>
  </si>
  <si>
    <t xml:space="preserve">Apprenant 394</t>
  </si>
  <si>
    <t xml:space="preserve">Apprenant 394 ou 394'</t>
  </si>
  <si>
    <t xml:space="preserve">Apprenant 395</t>
  </si>
  <si>
    <t xml:space="preserve">Apprenant 395 ou 395'</t>
  </si>
  <si>
    <t xml:space="preserve">Apprenant 396</t>
  </si>
  <si>
    <t xml:space="preserve">Apprenant 396 ou 396'</t>
  </si>
  <si>
    <t xml:space="preserve">Apprenant 397</t>
  </si>
  <si>
    <t xml:space="preserve">Apprenant 397 ou 397'</t>
  </si>
  <si>
    <t xml:space="preserve">Apprenant 398</t>
  </si>
  <si>
    <t xml:space="preserve">Apprenant 398 ou 398'</t>
  </si>
  <si>
    <t xml:space="preserve">Apprenant 399</t>
  </si>
  <si>
    <t xml:space="preserve">Apprenant 399 ou 399'</t>
  </si>
  <si>
    <t xml:space="preserve">Apprenant 400</t>
  </si>
  <si>
    <t xml:space="preserve">Apprenant 400 ou 400'</t>
  </si>
  <si>
    <t xml:space="preserve">Apprenant 401</t>
  </si>
  <si>
    <t xml:space="preserve">Apprenant 401 ou 401'</t>
  </si>
  <si>
    <t xml:space="preserve">Apprenant 402</t>
  </si>
  <si>
    <t xml:space="preserve">Apprenant 402 ou 402'</t>
  </si>
  <si>
    <t xml:space="preserve">Apprenant 403</t>
  </si>
  <si>
    <t xml:space="preserve">Apprenant 403 ou 403'</t>
  </si>
  <si>
    <t xml:space="preserve">Apprenant 404</t>
  </si>
  <si>
    <t xml:space="preserve">Apprenant 404 ou 404'</t>
  </si>
  <si>
    <t xml:space="preserve">Apprenant 405</t>
  </si>
  <si>
    <t xml:space="preserve">Apprenant 405 ou 405'</t>
  </si>
  <si>
    <t xml:space="preserve">Apprenant 406</t>
  </si>
  <si>
    <t xml:space="preserve">Apprenant 406 ou 406'</t>
  </si>
  <si>
    <t xml:space="preserve">Apprenant 407</t>
  </si>
  <si>
    <t xml:space="preserve">Apprenant 407 ou 407'</t>
  </si>
  <si>
    <t xml:space="preserve">Apprenant 408</t>
  </si>
  <si>
    <t xml:space="preserve">Apprenant 408 ou 408'</t>
  </si>
  <si>
    <t xml:space="preserve">Apprenant 409</t>
  </si>
  <si>
    <t xml:space="preserve">Apprenant 409 ou 409'</t>
  </si>
  <si>
    <t xml:space="preserve">Apprenant 410</t>
  </si>
  <si>
    <t xml:space="preserve">Apprenant 410 ou 410'</t>
  </si>
  <si>
    <t xml:space="preserve">Apprenant 411</t>
  </si>
  <si>
    <t xml:space="preserve">Apprenant 411 ou 411'</t>
  </si>
  <si>
    <t xml:space="preserve">Apprenant 412</t>
  </si>
  <si>
    <t xml:space="preserve">Apprenant 412 ou 412'</t>
  </si>
  <si>
    <t xml:space="preserve">Apprenant 413</t>
  </si>
  <si>
    <t xml:space="preserve">Apprenant 413 ou 413'</t>
  </si>
  <si>
    <t xml:space="preserve">Apprenant 414</t>
  </si>
  <si>
    <t xml:space="preserve">Apprenant 414 ou 414'</t>
  </si>
  <si>
    <t xml:space="preserve">Apprenant 415</t>
  </si>
  <si>
    <t xml:space="preserve">Apprenant 415 ou 415'</t>
  </si>
  <si>
    <t xml:space="preserve">Apprenant 416</t>
  </si>
  <si>
    <t xml:space="preserve">Apprenant 416 ou 416'</t>
  </si>
  <si>
    <t xml:space="preserve">Apprenant 417</t>
  </si>
  <si>
    <t xml:space="preserve">Apprenant 417 ou 417'</t>
  </si>
  <si>
    <t xml:space="preserve">Apprenant 418</t>
  </si>
  <si>
    <t xml:space="preserve">Apprenant 418 ou 418'</t>
  </si>
  <si>
    <t xml:space="preserve">Apprenant 419</t>
  </si>
  <si>
    <t xml:space="preserve">Apprenant 419 ou 419'</t>
  </si>
  <si>
    <t xml:space="preserve">Apprenant 420</t>
  </si>
  <si>
    <t xml:space="preserve">Apprenant 420 ou 420'</t>
  </si>
  <si>
    <t xml:space="preserve">Apprenant 421</t>
  </si>
  <si>
    <t xml:space="preserve">Apprenant 421 ou 421'</t>
  </si>
  <si>
    <t xml:space="preserve">Apprenant 422</t>
  </si>
  <si>
    <t xml:space="preserve">Apprenant 422 ou 422'</t>
  </si>
  <si>
    <t xml:space="preserve">Apprenant 423</t>
  </si>
  <si>
    <t xml:space="preserve">Apprenant 423 ou 423'</t>
  </si>
  <si>
    <t xml:space="preserve">Apprenant 424</t>
  </si>
  <si>
    <t xml:space="preserve">Apprenant 424 ou 424'</t>
  </si>
  <si>
    <t xml:space="preserve">Apprenant 425</t>
  </si>
  <si>
    <t xml:space="preserve">Apprenant 425 ou 425'</t>
  </si>
  <si>
    <t xml:space="preserve">Apprenant 426</t>
  </si>
  <si>
    <t xml:space="preserve">Apprenant 426 ou 426'</t>
  </si>
  <si>
    <t xml:space="preserve">Apprenant 427</t>
  </si>
  <si>
    <t xml:space="preserve">Apprenant 427 ou 427'</t>
  </si>
  <si>
    <t xml:space="preserve">Apprenant 428</t>
  </si>
  <si>
    <t xml:space="preserve">Apprenant 428 ou 428'</t>
  </si>
  <si>
    <t xml:space="preserve">Apprenant 429</t>
  </si>
  <si>
    <t xml:space="preserve">Apprenant 429 ou 429'</t>
  </si>
  <si>
    <t xml:space="preserve">Apprenant 430</t>
  </si>
  <si>
    <t xml:space="preserve">Apprenant 430 ou 430'</t>
  </si>
  <si>
    <t xml:space="preserve">Apprenant 431</t>
  </si>
  <si>
    <t xml:space="preserve">Apprenant 431 ou 431'</t>
  </si>
  <si>
    <t xml:space="preserve">Apprenant 432</t>
  </si>
  <si>
    <t xml:space="preserve">Apprenant 432 ou 432'</t>
  </si>
  <si>
    <t xml:space="preserve">Apprenant 433</t>
  </si>
  <si>
    <t xml:space="preserve">Apprenant 433 ou 433'</t>
  </si>
  <si>
    <t xml:space="preserve">Apprenant 434</t>
  </si>
  <si>
    <t xml:space="preserve">Apprenant 434 ou 434'</t>
  </si>
  <si>
    <t xml:space="preserve">Apprenant 435</t>
  </si>
  <si>
    <t xml:space="preserve">Apprenant 435 ou 435'</t>
  </si>
  <si>
    <t xml:space="preserve">Apprenant 436</t>
  </si>
  <si>
    <t xml:space="preserve">Apprenant 436 ou 436'</t>
  </si>
  <si>
    <t xml:space="preserve">Apprenant 437</t>
  </si>
  <si>
    <t xml:space="preserve">Apprenant 437 ou 437'</t>
  </si>
  <si>
    <t xml:space="preserve">Apprenant 438</t>
  </si>
  <si>
    <t xml:space="preserve">Apprenant 438 ou 438'</t>
  </si>
  <si>
    <t xml:space="preserve">Apprenant 439</t>
  </si>
  <si>
    <t xml:space="preserve">Apprenant 439 ou 439'</t>
  </si>
  <si>
    <t xml:space="preserve">Apprenant 440</t>
  </si>
  <si>
    <t xml:space="preserve">Apprenant 440 ou 440'</t>
  </si>
  <si>
    <t xml:space="preserve">Apprenant 441</t>
  </si>
  <si>
    <t xml:space="preserve">Apprenant 441 ou 441'</t>
  </si>
  <si>
    <t xml:space="preserve">Apprenant 442</t>
  </si>
  <si>
    <t xml:space="preserve">Apprenant 442 ou 442'</t>
  </si>
  <si>
    <t xml:space="preserve">Apprenant 443</t>
  </si>
  <si>
    <t xml:space="preserve">Apprenant 443 ou 443'</t>
  </si>
  <si>
    <t xml:space="preserve">Apprenant 444</t>
  </si>
  <si>
    <t xml:space="preserve">Apprenant 444 ou 444'</t>
  </si>
  <si>
    <t xml:space="preserve">Apprenant 445</t>
  </si>
  <si>
    <t xml:space="preserve">Apprenant 445 ou 445'</t>
  </si>
  <si>
    <t xml:space="preserve">Apprenant 446</t>
  </si>
  <si>
    <t xml:space="preserve">Apprenant 446 ou 446'</t>
  </si>
  <si>
    <t xml:space="preserve">Apprenant 447</t>
  </si>
  <si>
    <t xml:space="preserve">Apprenant 447 ou 447'</t>
  </si>
  <si>
    <t xml:space="preserve">Apprenant 448</t>
  </si>
  <si>
    <t xml:space="preserve">Apprenant 448 ou 448'</t>
  </si>
  <si>
    <t xml:space="preserve">Apprenant 449</t>
  </si>
  <si>
    <t xml:space="preserve">Apprenant 449 ou 449'</t>
  </si>
  <si>
    <t xml:space="preserve">Apprenant 450</t>
  </si>
  <si>
    <t xml:space="preserve">Apprenant 450 ou 450'</t>
  </si>
  <si>
    <t xml:space="preserve">Apprenant 451</t>
  </si>
  <si>
    <t xml:space="preserve">Apprenant 451 ou 451'</t>
  </si>
  <si>
    <t xml:space="preserve">Apprenant 452</t>
  </si>
  <si>
    <t xml:space="preserve">Apprenant 452 ou 452'</t>
  </si>
  <si>
    <t xml:space="preserve">Apprenant 453</t>
  </si>
  <si>
    <t xml:space="preserve">Apprenant 453 ou 453'</t>
  </si>
  <si>
    <t xml:space="preserve">Apprenant 454</t>
  </si>
  <si>
    <t xml:space="preserve">Apprenant 454 ou 454'</t>
  </si>
  <si>
    <t xml:space="preserve">Apprenant 455</t>
  </si>
  <si>
    <t xml:space="preserve">Apprenant 455 ou 455'</t>
  </si>
  <si>
    <t xml:space="preserve">Apprenant 456</t>
  </si>
  <si>
    <t xml:space="preserve">Apprenant 456 ou 456'</t>
  </si>
  <si>
    <t xml:space="preserve">Apprenant 457</t>
  </si>
  <si>
    <t xml:space="preserve">Apprenant 457 ou 457'</t>
  </si>
  <si>
    <t xml:space="preserve">Apprenant 458</t>
  </si>
  <si>
    <t xml:space="preserve">Apprenant 458 ou 458'</t>
  </si>
  <si>
    <t xml:space="preserve">Apprenant 459</t>
  </si>
  <si>
    <t xml:space="preserve">Apprenant 459 ou 459'</t>
  </si>
  <si>
    <t xml:space="preserve">Apprenant 460</t>
  </si>
  <si>
    <t xml:space="preserve">Apprenant 460 ou 460'</t>
  </si>
  <si>
    <t xml:space="preserve">Apprenant 461</t>
  </si>
  <si>
    <t xml:space="preserve">Apprenant 461 ou 461'</t>
  </si>
  <si>
    <t xml:space="preserve">Apprenant 462</t>
  </si>
  <si>
    <t xml:space="preserve">Apprenant 462 ou 462'</t>
  </si>
  <si>
    <t xml:space="preserve">Apprenant 463</t>
  </si>
  <si>
    <t xml:space="preserve">Apprenant 463 ou 463'</t>
  </si>
  <si>
    <t xml:space="preserve">Apprenant 464</t>
  </si>
  <si>
    <t xml:space="preserve">Apprenant 464 ou 464'</t>
  </si>
  <si>
    <t xml:space="preserve">Apprenant 465</t>
  </si>
  <si>
    <t xml:space="preserve">Apprenant 465 ou 465'</t>
  </si>
  <si>
    <t xml:space="preserve">Apprenant 466</t>
  </si>
  <si>
    <t xml:space="preserve">Apprenant 466 ou 466'</t>
  </si>
  <si>
    <t xml:space="preserve">Apprenant 467</t>
  </si>
  <si>
    <t xml:space="preserve">Apprenant 467 ou 467'</t>
  </si>
  <si>
    <t xml:space="preserve">Apprenant 468</t>
  </si>
  <si>
    <t xml:space="preserve">Apprenant 468 ou 468'</t>
  </si>
  <si>
    <t xml:space="preserve">Apprenant 469</t>
  </si>
  <si>
    <t xml:space="preserve">Apprenant 469 ou 469'</t>
  </si>
  <si>
    <t xml:space="preserve">Apprenant 470</t>
  </si>
  <si>
    <t xml:space="preserve">Apprenant 470 ou 470'</t>
  </si>
  <si>
    <t xml:space="preserve">Apprenant 471</t>
  </si>
  <si>
    <t xml:space="preserve">Apprenant 471 ou 471'</t>
  </si>
  <si>
    <t xml:space="preserve">Apprenant 472</t>
  </si>
  <si>
    <t xml:space="preserve">Apprenant 472 ou 472'</t>
  </si>
  <si>
    <t xml:space="preserve">Apprenant 473</t>
  </si>
  <si>
    <t xml:space="preserve">Apprenant 473 ou 473'</t>
  </si>
  <si>
    <t xml:space="preserve">Apprenant 474</t>
  </si>
  <si>
    <t xml:space="preserve">Apprenant 474 ou 474'</t>
  </si>
  <si>
    <t xml:space="preserve">Apprenant 475</t>
  </si>
  <si>
    <t xml:space="preserve">Apprenant 475 ou 475'</t>
  </si>
  <si>
    <t xml:space="preserve">Apprenant 476</t>
  </si>
  <si>
    <t xml:space="preserve">Apprenant 476 ou 476'</t>
  </si>
  <si>
    <t xml:space="preserve">Apprenant 477</t>
  </si>
  <si>
    <t xml:space="preserve">Apprenant 477 ou 477'</t>
  </si>
  <si>
    <t xml:space="preserve">Apprenant 478</t>
  </si>
  <si>
    <t xml:space="preserve">Apprenant 478 ou 478'</t>
  </si>
  <si>
    <t xml:space="preserve">Apprenant 479</t>
  </si>
  <si>
    <t xml:space="preserve">Apprenant 479 ou 479'</t>
  </si>
  <si>
    <t xml:space="preserve">Apprenant 480</t>
  </si>
  <si>
    <t xml:space="preserve">Apprenant 480 ou 480'</t>
  </si>
  <si>
    <t xml:space="preserve">Apprenant 481</t>
  </si>
  <si>
    <t xml:space="preserve">Apprenant 481 ou 481'</t>
  </si>
  <si>
    <t xml:space="preserve">Apprenant 482</t>
  </si>
  <si>
    <t xml:space="preserve">Apprenant 482 ou 482'</t>
  </si>
  <si>
    <t xml:space="preserve">Apprenant 483</t>
  </si>
  <si>
    <t xml:space="preserve">Apprenant 483 ou 483'</t>
  </si>
  <si>
    <t xml:space="preserve">Apprenant 484</t>
  </si>
  <si>
    <t xml:space="preserve">Apprenant 484 ou 484'</t>
  </si>
  <si>
    <t xml:space="preserve">Apprenant 485</t>
  </si>
  <si>
    <t xml:space="preserve">Apprenant 485 ou 485'</t>
  </si>
  <si>
    <t xml:space="preserve">Apprenant 486</t>
  </si>
  <si>
    <t xml:space="preserve">Apprenant 486 ou 486'</t>
  </si>
  <si>
    <t xml:space="preserve">Apprenant 487</t>
  </si>
  <si>
    <t xml:space="preserve">Apprenant 487 ou 487'</t>
  </si>
  <si>
    <t xml:space="preserve">Apprenant 488</t>
  </si>
  <si>
    <t xml:space="preserve">Apprenant 488 ou 488'</t>
  </si>
  <si>
    <t xml:space="preserve">Apprenant 489</t>
  </si>
  <si>
    <t xml:space="preserve">Apprenant 489 ou 489'</t>
  </si>
  <si>
    <t xml:space="preserve">Apprenant 490</t>
  </si>
  <si>
    <t xml:space="preserve">Apprenant 490 ou 490'</t>
  </si>
  <si>
    <t xml:space="preserve">Apprenant 491</t>
  </si>
  <si>
    <t xml:space="preserve">Apprenant 491 ou 491'</t>
  </si>
  <si>
    <t xml:space="preserve">Apprenant 492</t>
  </si>
  <si>
    <t xml:space="preserve">Apprenant 492 ou 492'</t>
  </si>
  <si>
    <t xml:space="preserve">Apprenant 493</t>
  </si>
  <si>
    <t xml:space="preserve">Apprenant 493 ou 493'</t>
  </si>
  <si>
    <t xml:space="preserve">Apprenant 494</t>
  </si>
  <si>
    <t xml:space="preserve">Apprenant 494 ou 494'</t>
  </si>
  <si>
    <t xml:space="preserve">Apprenant 495</t>
  </si>
  <si>
    <t xml:space="preserve">Apprenant 495 ou 495'</t>
  </si>
  <si>
    <t xml:space="preserve">Apprenant 496</t>
  </si>
  <si>
    <t xml:space="preserve">Apprenant 496 ou 496'</t>
  </si>
  <si>
    <t xml:space="preserve">Apprenant 497</t>
  </si>
  <si>
    <t xml:space="preserve">Apprenant 497 ou 497'</t>
  </si>
  <si>
    <t xml:space="preserve">Apprenant 498</t>
  </si>
  <si>
    <t xml:space="preserve">Apprenant 498 ou 498'</t>
  </si>
  <si>
    <t xml:space="preserve">Apprenant 499</t>
  </si>
  <si>
    <t xml:space="preserve">Apprenant 499 ou 499'</t>
  </si>
  <si>
    <t xml:space="preserve">Apprenant 500</t>
  </si>
  <si>
    <t xml:space="preserve">Apprenant 500 ou 500'</t>
  </si>
  <si>
    <t xml:space="preserve">Apprenant 501</t>
  </si>
  <si>
    <t xml:space="preserve">Apprenant 501 ou 501'</t>
  </si>
  <si>
    <t xml:space="preserve">Apprenant 502</t>
  </si>
  <si>
    <t xml:space="preserve">Apprenant 502 ou 502'</t>
  </si>
  <si>
    <t xml:space="preserve">Apprenant 503</t>
  </si>
  <si>
    <t xml:space="preserve">Apprenant 503 ou 503'</t>
  </si>
  <si>
    <t xml:space="preserve">Apprenant 504</t>
  </si>
  <si>
    <t xml:space="preserve">Apprenant 504 ou 504'</t>
  </si>
  <si>
    <t xml:space="preserve">Apprenant 505</t>
  </si>
  <si>
    <t xml:space="preserve">Apprenant 505 ou 505'</t>
  </si>
  <si>
    <t xml:space="preserve">Apprenant 506</t>
  </si>
  <si>
    <t xml:space="preserve">Apprenant 506 ou 506'</t>
  </si>
  <si>
    <t xml:space="preserve">Apprenant 507</t>
  </si>
  <si>
    <t xml:space="preserve">Apprenant 507 ou 507'</t>
  </si>
  <si>
    <t xml:space="preserve">Apprenant 508</t>
  </si>
  <si>
    <t xml:space="preserve">Apprenant 508 ou 508'</t>
  </si>
  <si>
    <t xml:space="preserve">Apprenant 509</t>
  </si>
  <si>
    <t xml:space="preserve">Apprenant 509 ou 509'</t>
  </si>
  <si>
    <t xml:space="preserve">Apprenant 510</t>
  </si>
  <si>
    <t xml:space="preserve">Apprenant 510 ou 510'</t>
  </si>
  <si>
    <t xml:space="preserve">Apprenant 511</t>
  </si>
  <si>
    <t xml:space="preserve">Apprenant 511 ou 511'</t>
  </si>
  <si>
    <t xml:space="preserve">Apprenant 512</t>
  </si>
  <si>
    <t xml:space="preserve">Apprenant 512 ou 512'</t>
  </si>
  <si>
    <t xml:space="preserve">Apprenant 513</t>
  </si>
  <si>
    <t xml:space="preserve">Apprenant 513 ou 513'</t>
  </si>
  <si>
    <t xml:space="preserve">Apprenant 514</t>
  </si>
  <si>
    <t xml:space="preserve">Apprenant 514 ou 514'</t>
  </si>
  <si>
    <t xml:space="preserve">Apprenant 515</t>
  </si>
  <si>
    <t xml:space="preserve">Apprenant 515 ou 515'</t>
  </si>
  <si>
    <t xml:space="preserve">Apprenant 516</t>
  </si>
  <si>
    <t xml:space="preserve">Apprenant 516 ou 516'</t>
  </si>
  <si>
    <t xml:space="preserve">Apprenant 517</t>
  </si>
  <si>
    <t xml:space="preserve">Apprenant 517 ou 517'</t>
  </si>
  <si>
    <t xml:space="preserve">Apprenant 518</t>
  </si>
  <si>
    <t xml:space="preserve">Apprenant 518 ou 518'</t>
  </si>
  <si>
    <t xml:space="preserve">Apprenant 519</t>
  </si>
  <si>
    <t xml:space="preserve">Apprenant 519 ou 519'</t>
  </si>
  <si>
    <t xml:space="preserve">Apprenant 520</t>
  </si>
  <si>
    <t xml:space="preserve">Apprenant 520 ou 520'</t>
  </si>
  <si>
    <t xml:space="preserve">Apprenant 521</t>
  </si>
  <si>
    <t xml:space="preserve">Apprenant 521 ou 521'</t>
  </si>
  <si>
    <t xml:space="preserve">Apprenant 522</t>
  </si>
  <si>
    <t xml:space="preserve">Apprenant 522 ou 522'</t>
  </si>
  <si>
    <t xml:space="preserve">Apprenant 523</t>
  </si>
  <si>
    <t xml:space="preserve">Apprenant 523 ou 523'</t>
  </si>
  <si>
    <t xml:space="preserve">Apprenant 524</t>
  </si>
  <si>
    <t xml:space="preserve">Apprenant 524 ou 524'</t>
  </si>
  <si>
    <t xml:space="preserve">Apprenant 525</t>
  </si>
  <si>
    <t xml:space="preserve">Apprenant 525 ou 525'</t>
  </si>
  <si>
    <t xml:space="preserve">Apprenant 526</t>
  </si>
  <si>
    <t xml:space="preserve">Apprenant 526 ou 526'</t>
  </si>
  <si>
    <t xml:space="preserve">Apprenant 527</t>
  </si>
  <si>
    <t xml:space="preserve">Apprenant 527 ou 527'</t>
  </si>
  <si>
    <t xml:space="preserve">Apprenant 528</t>
  </si>
  <si>
    <t xml:space="preserve">Apprenant 528 ou 528'</t>
  </si>
  <si>
    <t xml:space="preserve">Apprenant 529</t>
  </si>
  <si>
    <t xml:space="preserve">Apprenant 529 ou 529'</t>
  </si>
  <si>
    <t xml:space="preserve">Apprenant 530</t>
  </si>
  <si>
    <t xml:space="preserve">Apprenant 530 ou 530'</t>
  </si>
  <si>
    <t xml:space="preserve">Apprenant 531</t>
  </si>
  <si>
    <t xml:space="preserve">Apprenant 531 ou 531'</t>
  </si>
  <si>
    <t xml:space="preserve">Apprenant 532</t>
  </si>
  <si>
    <t xml:space="preserve">Apprenant 532 ou 532'</t>
  </si>
  <si>
    <t xml:space="preserve">Apprenant 533</t>
  </si>
  <si>
    <t xml:space="preserve">Apprenant 533 ou 533'</t>
  </si>
  <si>
    <t xml:space="preserve">Apprenant 534</t>
  </si>
  <si>
    <t xml:space="preserve">Apprenant 534 ou 534'</t>
  </si>
  <si>
    <t xml:space="preserve">Apprenant 535</t>
  </si>
  <si>
    <t xml:space="preserve">Apprenant 535 ou 535'</t>
  </si>
  <si>
    <t xml:space="preserve">Apprenant 536</t>
  </si>
  <si>
    <t xml:space="preserve">Apprenant 536 ou 536'</t>
  </si>
  <si>
    <t xml:space="preserve">Apprenant 537</t>
  </si>
  <si>
    <t xml:space="preserve">Apprenant 537 ou 537'</t>
  </si>
  <si>
    <t xml:space="preserve">Apprenant 538</t>
  </si>
  <si>
    <t xml:space="preserve">Apprenant 538 ou 538'</t>
  </si>
  <si>
    <t xml:space="preserve">Apprenant 539</t>
  </si>
  <si>
    <t xml:space="preserve">Apprenant 539 ou 539'</t>
  </si>
  <si>
    <t xml:space="preserve">Apprenant 540</t>
  </si>
  <si>
    <t xml:space="preserve">Apprenant 540 ou 540'</t>
  </si>
  <si>
    <t xml:space="preserve">Apprenant 541</t>
  </si>
  <si>
    <t xml:space="preserve">Apprenant 541 ou 541'</t>
  </si>
  <si>
    <t xml:space="preserve">Apprenant 542</t>
  </si>
  <si>
    <t xml:space="preserve">Apprenant 542 ou 542'</t>
  </si>
  <si>
    <t xml:space="preserve">Apprenant 543</t>
  </si>
  <si>
    <t xml:space="preserve">Apprenant 543 ou 543'</t>
  </si>
  <si>
    <t xml:space="preserve">Apprenant 544</t>
  </si>
  <si>
    <t xml:space="preserve">Apprenant 544 ou 544'</t>
  </si>
  <si>
    <t xml:space="preserve">Apprenant 545</t>
  </si>
  <si>
    <t xml:space="preserve">Apprenant 545 ou 545'</t>
  </si>
  <si>
    <t xml:space="preserve">Apprenant 546</t>
  </si>
  <si>
    <t xml:space="preserve">Apprenant 546 ou 546'</t>
  </si>
  <si>
    <t xml:space="preserve">Apprenant 547</t>
  </si>
  <si>
    <t xml:space="preserve">Apprenant 547 ou 547'</t>
  </si>
  <si>
    <t xml:space="preserve">Apprenant 548</t>
  </si>
  <si>
    <t xml:space="preserve">Apprenant 548 ou 548'</t>
  </si>
  <si>
    <t xml:space="preserve">Apprenant 549</t>
  </si>
  <si>
    <t xml:space="preserve">Apprenant 549 ou 549'</t>
  </si>
  <si>
    <t xml:space="preserve">Apprenant 550</t>
  </si>
  <si>
    <t xml:space="preserve">Apprenant 550 ou 550'</t>
  </si>
  <si>
    <t xml:space="preserve">Apprenant 551</t>
  </si>
  <si>
    <t xml:space="preserve">Apprenant 551 ou 551'</t>
  </si>
  <si>
    <t xml:space="preserve">Apprenant 552</t>
  </si>
  <si>
    <t xml:space="preserve">Apprenant 552 ou 552'</t>
  </si>
  <si>
    <t xml:space="preserve">Apprenant 553</t>
  </si>
  <si>
    <t xml:space="preserve">Apprenant 553 ou 553'</t>
  </si>
  <si>
    <t xml:space="preserve">Apprenant 554</t>
  </si>
  <si>
    <t xml:space="preserve">Apprenant 554 ou 554'</t>
  </si>
  <si>
    <t xml:space="preserve">Apprenant 555</t>
  </si>
  <si>
    <t xml:space="preserve">Apprenant 555 ou 555'</t>
  </si>
  <si>
    <t xml:space="preserve">Apprenant 556</t>
  </si>
  <si>
    <t xml:space="preserve">Apprenant 556 ou 556'</t>
  </si>
  <si>
    <t xml:space="preserve">Apprenant 557</t>
  </si>
  <si>
    <t xml:space="preserve">Apprenant 557 ou 557'</t>
  </si>
  <si>
    <t xml:space="preserve">Apprenant 558</t>
  </si>
  <si>
    <t xml:space="preserve">Apprenant 558 ou 558'</t>
  </si>
  <si>
    <t xml:space="preserve">Apprenant 559</t>
  </si>
  <si>
    <t xml:space="preserve">Apprenant 559 ou 559'</t>
  </si>
  <si>
    <t xml:space="preserve">Apprenant 560</t>
  </si>
  <si>
    <t xml:space="preserve">Apprenant 560 ou 560'</t>
  </si>
  <si>
    <t xml:space="preserve">Apprenant 561</t>
  </si>
  <si>
    <t xml:space="preserve">Apprenant 561 ou 561'</t>
  </si>
  <si>
    <t xml:space="preserve">Apprenant 562</t>
  </si>
  <si>
    <t xml:space="preserve">Apprenant 562 ou 562'</t>
  </si>
  <si>
    <t xml:space="preserve">Apprenant 563</t>
  </si>
  <si>
    <t xml:space="preserve">Apprenant 563 ou 563'</t>
  </si>
  <si>
    <t xml:space="preserve">Apprenant 564</t>
  </si>
  <si>
    <t xml:space="preserve">Apprenant 564 ou 564'</t>
  </si>
  <si>
    <t xml:space="preserve">Apprenant 565</t>
  </si>
  <si>
    <t xml:space="preserve">Apprenant 565 ou 565'</t>
  </si>
  <si>
    <t xml:space="preserve">Apprenant 566</t>
  </si>
  <si>
    <t xml:space="preserve">Apprenant 566 ou 566'</t>
  </si>
  <si>
    <t xml:space="preserve">Apprenant 567</t>
  </si>
  <si>
    <t xml:space="preserve">Apprenant 567 ou 567'</t>
  </si>
  <si>
    <t xml:space="preserve">Apprenant 568</t>
  </si>
  <si>
    <t xml:space="preserve">Apprenant 568 ou 568'</t>
  </si>
  <si>
    <t xml:space="preserve">Apprenant 569</t>
  </si>
  <si>
    <t xml:space="preserve">Apprenant 569 ou 569'</t>
  </si>
  <si>
    <t xml:space="preserve">Apprenant 570</t>
  </si>
  <si>
    <t xml:space="preserve">Apprenant 570 ou 570'</t>
  </si>
  <si>
    <t xml:space="preserve">Apprenant 571</t>
  </si>
  <si>
    <t xml:space="preserve">Apprenant 571 ou 571'</t>
  </si>
  <si>
    <t xml:space="preserve">Apprenant 572</t>
  </si>
  <si>
    <t xml:space="preserve">Apprenant 572 ou 572'</t>
  </si>
  <si>
    <t xml:space="preserve">Apprenant 573</t>
  </si>
  <si>
    <t xml:space="preserve">Apprenant 573 ou 573'</t>
  </si>
  <si>
    <t xml:space="preserve">Apprenant 574</t>
  </si>
  <si>
    <t xml:space="preserve">Apprenant 574 ou 574'</t>
  </si>
  <si>
    <t xml:space="preserve">Apprenant 575</t>
  </si>
  <si>
    <t xml:space="preserve">Apprenant 575 ou 575'</t>
  </si>
  <si>
    <t xml:space="preserve">Apprenant 576</t>
  </si>
  <si>
    <t xml:space="preserve">Apprenant 576 ou 576'</t>
  </si>
  <si>
    <t xml:space="preserve">Apprenant 577</t>
  </si>
  <si>
    <t xml:space="preserve">Apprenant 577 ou 577'</t>
  </si>
  <si>
    <t xml:space="preserve">Apprenant 578</t>
  </si>
  <si>
    <t xml:space="preserve">Apprenant 578 ou 578'</t>
  </si>
  <si>
    <t xml:space="preserve">Apprenant 579</t>
  </si>
  <si>
    <t xml:space="preserve">Apprenant 579 ou 579'</t>
  </si>
  <si>
    <t xml:space="preserve">Apprenant 580</t>
  </si>
  <si>
    <t xml:space="preserve">Apprenant 580 ou 580'</t>
  </si>
  <si>
    <t xml:space="preserve">Apprenant 581</t>
  </si>
  <si>
    <t xml:space="preserve">Apprenant 581 ou 581'</t>
  </si>
  <si>
    <t xml:space="preserve">Apprenant 582</t>
  </si>
  <si>
    <t xml:space="preserve">Apprenant 582 ou 582'</t>
  </si>
  <si>
    <t xml:space="preserve">Apprenant 583</t>
  </si>
  <si>
    <t xml:space="preserve">Apprenant 583 ou 583'</t>
  </si>
  <si>
    <t xml:space="preserve">Apprenant 584</t>
  </si>
  <si>
    <t xml:space="preserve">Apprenant 584 ou 584'</t>
  </si>
  <si>
    <t xml:space="preserve">Apprenant 585</t>
  </si>
  <si>
    <t xml:space="preserve">Apprenant 585 ou 585'</t>
  </si>
  <si>
    <t xml:space="preserve">Apprenant 586</t>
  </si>
  <si>
    <t xml:space="preserve">Apprenant 586 ou 586'</t>
  </si>
  <si>
    <t xml:space="preserve">Apprenant 587</t>
  </si>
  <si>
    <t xml:space="preserve">Apprenant 587 ou 587'</t>
  </si>
  <si>
    <t xml:space="preserve">Apprenant 588</t>
  </si>
  <si>
    <t xml:space="preserve">Apprenant 588 ou 588'</t>
  </si>
  <si>
    <t xml:space="preserve">Apprenant 589</t>
  </si>
  <si>
    <t xml:space="preserve">Apprenant 589 ou 589'</t>
  </si>
  <si>
    <t xml:space="preserve">Apprenant 590</t>
  </si>
  <si>
    <t xml:space="preserve">Apprenant 590 ou 590'</t>
  </si>
  <si>
    <t xml:space="preserve">Apprenant 591</t>
  </si>
  <si>
    <t xml:space="preserve">Apprenant 591 ou 591'</t>
  </si>
  <si>
    <t xml:space="preserve">Apprenant 592</t>
  </si>
  <si>
    <t xml:space="preserve">Apprenant 592 ou 592'</t>
  </si>
  <si>
    <t xml:space="preserve">Apprenant 593</t>
  </si>
  <si>
    <t xml:space="preserve">Apprenant 593 ou 593'</t>
  </si>
  <si>
    <t xml:space="preserve">Apprenant 594</t>
  </si>
  <si>
    <t xml:space="preserve">Apprenant 594 ou 594'</t>
  </si>
  <si>
    <t xml:space="preserve">Apprenant 595</t>
  </si>
  <si>
    <t xml:space="preserve">Apprenant 595 ou 595'</t>
  </si>
  <si>
    <t xml:space="preserve">Apprenant 596</t>
  </si>
  <si>
    <t xml:space="preserve">Apprenant 596 ou 596'</t>
  </si>
  <si>
    <t xml:space="preserve">Apprenant 597</t>
  </si>
  <si>
    <t xml:space="preserve">Apprenant 597 ou 597'</t>
  </si>
  <si>
    <t xml:space="preserve">Apprenant 598</t>
  </si>
  <si>
    <t xml:space="preserve">Apprenant 598 ou 598'</t>
  </si>
  <si>
    <t xml:space="preserve">Apprenant 599</t>
  </si>
  <si>
    <t xml:space="preserve">Apprenant 599 ou 599'</t>
  </si>
  <si>
    <t xml:space="preserve">Apprenant 600</t>
  </si>
  <si>
    <t xml:space="preserve">Apprenant 600 ou 600'</t>
  </si>
  <si>
    <t xml:space="preserve">Apprenant 601</t>
  </si>
  <si>
    <t xml:space="preserve">Apprenant 601 ou 601'</t>
  </si>
  <si>
    <t xml:space="preserve">Apprenant 602</t>
  </si>
  <si>
    <t xml:space="preserve">Apprenant 602 ou 602'</t>
  </si>
  <si>
    <t xml:space="preserve">Apprenant 603</t>
  </si>
  <si>
    <t xml:space="preserve">Apprenant 603 ou 603'</t>
  </si>
  <si>
    <t xml:space="preserve">Apprenant 604</t>
  </si>
  <si>
    <t xml:space="preserve">Apprenant 604 ou 604'</t>
  </si>
  <si>
    <t xml:space="preserve">Apprenant 605</t>
  </si>
  <si>
    <t xml:space="preserve">Apprenant 605 ou 605'</t>
  </si>
  <si>
    <t xml:space="preserve">Apprenant 606</t>
  </si>
  <si>
    <t xml:space="preserve">Apprenant 606 ou 606'</t>
  </si>
  <si>
    <t xml:space="preserve">Apprenant 607</t>
  </si>
  <si>
    <t xml:space="preserve">Apprenant 607 ou 607'</t>
  </si>
  <si>
    <t xml:space="preserve">Apprenant 608</t>
  </si>
  <si>
    <t xml:space="preserve">Apprenant 608 ou 608'</t>
  </si>
  <si>
    <t xml:space="preserve">Apprenant 609</t>
  </si>
  <si>
    <t xml:space="preserve">Apprenant 609 ou 609'</t>
  </si>
  <si>
    <t xml:space="preserve">Apprenant 610</t>
  </si>
  <si>
    <t xml:space="preserve">Apprenant 610 ou 610'</t>
  </si>
  <si>
    <t xml:space="preserve">Apprenant 611</t>
  </si>
  <si>
    <t xml:space="preserve">Apprenant 611 ou 611'</t>
  </si>
  <si>
    <t xml:space="preserve">Apprenant 612</t>
  </si>
  <si>
    <t xml:space="preserve">Apprenant 612 ou 612'</t>
  </si>
  <si>
    <t xml:space="preserve">Apprenant 613</t>
  </si>
  <si>
    <t xml:space="preserve">Apprenant 613 ou 613'</t>
  </si>
  <si>
    <t xml:space="preserve">Apprenant 614</t>
  </si>
  <si>
    <t xml:space="preserve">Apprenant 614 ou 614'</t>
  </si>
  <si>
    <t xml:space="preserve">Apprenant 615</t>
  </si>
  <si>
    <t xml:space="preserve">Apprenant 615 ou 615'</t>
  </si>
  <si>
    <t xml:space="preserve">Apprenant 616</t>
  </si>
  <si>
    <t xml:space="preserve">Apprenant 616 ou 616'</t>
  </si>
  <si>
    <t xml:space="preserve">Apprenant 617</t>
  </si>
  <si>
    <t xml:space="preserve">Apprenant 617 ou 617'</t>
  </si>
  <si>
    <t xml:space="preserve">Apprenant 618</t>
  </si>
  <si>
    <t xml:space="preserve">Apprenant 618 ou 618'</t>
  </si>
  <si>
    <t xml:space="preserve">Apprenant 619</t>
  </si>
  <si>
    <t xml:space="preserve">Apprenant 619 ou 619'</t>
  </si>
  <si>
    <t xml:space="preserve">Apprenant 620</t>
  </si>
  <si>
    <t xml:space="preserve">Apprenant 620 ou 620'</t>
  </si>
  <si>
    <t xml:space="preserve">Apprenant 621</t>
  </si>
  <si>
    <t xml:space="preserve">Apprenant 621 ou 621'</t>
  </si>
  <si>
    <t xml:space="preserve">Apprenant 622</t>
  </si>
  <si>
    <t xml:space="preserve">Apprenant 622 ou 622'</t>
  </si>
  <si>
    <t xml:space="preserve">Apprenant 623</t>
  </si>
  <si>
    <t xml:space="preserve">Apprenant 623 ou 623'</t>
  </si>
  <si>
    <t xml:space="preserve">Apprenant 624</t>
  </si>
  <si>
    <t xml:space="preserve">Apprenant 624 ou 624'</t>
  </si>
  <si>
    <t xml:space="preserve">Apprenant 625</t>
  </si>
  <si>
    <t xml:space="preserve">Apprenant 625 ou 625'</t>
  </si>
  <si>
    <t xml:space="preserve">Apprenant 626</t>
  </si>
  <si>
    <t xml:space="preserve">Apprenant 626 ou 626'</t>
  </si>
  <si>
    <t xml:space="preserve">Apprenant 627</t>
  </si>
  <si>
    <t xml:space="preserve">Apprenant 627 ou 627'</t>
  </si>
  <si>
    <t xml:space="preserve">Apprenant 628</t>
  </si>
  <si>
    <t xml:space="preserve">Apprenant 628 ou 628'</t>
  </si>
  <si>
    <t xml:space="preserve">Apprenant 629</t>
  </si>
  <si>
    <t xml:space="preserve">Apprenant 629 ou 629'</t>
  </si>
  <si>
    <t xml:space="preserve">Apprenant 630</t>
  </si>
  <si>
    <t xml:space="preserve">Apprenant 630 ou 630'</t>
  </si>
  <si>
    <t xml:space="preserve">Apprenant 631</t>
  </si>
  <si>
    <t xml:space="preserve">Apprenant 631 ou 631'</t>
  </si>
  <si>
    <t xml:space="preserve">Apprenant 632</t>
  </si>
  <si>
    <t xml:space="preserve">Apprenant 632 ou 632'</t>
  </si>
  <si>
    <t xml:space="preserve">Apprenant 633</t>
  </si>
  <si>
    <t xml:space="preserve">Apprenant 633 ou 633'</t>
  </si>
  <si>
    <t xml:space="preserve">Apprenant 634</t>
  </si>
  <si>
    <t xml:space="preserve">Apprenant 634 ou 634'</t>
  </si>
  <si>
    <t xml:space="preserve">Apprenant 635</t>
  </si>
  <si>
    <t xml:space="preserve">Apprenant 635 ou 635'</t>
  </si>
  <si>
    <t xml:space="preserve">Apprenant 636</t>
  </si>
  <si>
    <t xml:space="preserve">Apprenant 636 ou 636'</t>
  </si>
  <si>
    <t xml:space="preserve">Apprenant 637</t>
  </si>
  <si>
    <t xml:space="preserve">Apprenant 637 ou 637'</t>
  </si>
  <si>
    <t xml:space="preserve">Apprenant 638</t>
  </si>
  <si>
    <t xml:space="preserve">Apprenant 638 ou 638'</t>
  </si>
  <si>
    <t xml:space="preserve">Apprenant 639</t>
  </si>
  <si>
    <t xml:space="preserve">Apprenant 639 ou 639'</t>
  </si>
  <si>
    <t xml:space="preserve">Apprenant 640</t>
  </si>
  <si>
    <t xml:space="preserve">Apprenant 640 ou 640'</t>
  </si>
  <si>
    <t xml:space="preserve">Apprenant 641</t>
  </si>
  <si>
    <t xml:space="preserve">Apprenant 641 ou 641'</t>
  </si>
  <si>
    <t xml:space="preserve">Apprenant 642</t>
  </si>
  <si>
    <t xml:space="preserve">Apprenant 642 ou 642'</t>
  </si>
  <si>
    <t xml:space="preserve">Apprenant 643</t>
  </si>
  <si>
    <t xml:space="preserve">Apprenant 643 ou 643'</t>
  </si>
  <si>
    <t xml:space="preserve">Apprenant 644</t>
  </si>
  <si>
    <t xml:space="preserve">Apprenant 644 ou 644'</t>
  </si>
  <si>
    <t xml:space="preserve">Apprenant 645</t>
  </si>
  <si>
    <t xml:space="preserve">Apprenant 645 ou 645'</t>
  </si>
  <si>
    <t xml:space="preserve">Apprenant 646</t>
  </si>
  <si>
    <t xml:space="preserve">Apprenant 646 ou 646'</t>
  </si>
  <si>
    <t xml:space="preserve">Apprenant 647</t>
  </si>
  <si>
    <t xml:space="preserve">Apprenant 647 ou 647'</t>
  </si>
  <si>
    <t xml:space="preserve">Apprenant 648</t>
  </si>
  <si>
    <t xml:space="preserve">Apprenant 648 ou 648'</t>
  </si>
  <si>
    <t xml:space="preserve">Apprenant 649</t>
  </si>
  <si>
    <t xml:space="preserve">Apprenant 649 ou 649'</t>
  </si>
  <si>
    <t xml:space="preserve">Apprenant 650</t>
  </si>
  <si>
    <t xml:space="preserve">Apprenant 650 ou 650'</t>
  </si>
  <si>
    <t xml:space="preserve">Apprenant 651</t>
  </si>
  <si>
    <t xml:space="preserve">Apprenant 651 ou 651'</t>
  </si>
  <si>
    <t xml:space="preserve">Apprenant 652</t>
  </si>
  <si>
    <t xml:space="preserve">Apprenant 652 ou 652'</t>
  </si>
  <si>
    <t xml:space="preserve">Apprenant 653</t>
  </si>
  <si>
    <t xml:space="preserve">Apprenant 653 ou 653'</t>
  </si>
  <si>
    <t xml:space="preserve">Apprenant 654</t>
  </si>
  <si>
    <t xml:space="preserve">Apprenant 654 ou 654'</t>
  </si>
  <si>
    <t xml:space="preserve">Apprenant 655</t>
  </si>
  <si>
    <t xml:space="preserve">Apprenant 655 ou 655'</t>
  </si>
  <si>
    <t xml:space="preserve">Apprenant 656</t>
  </si>
  <si>
    <t xml:space="preserve">Apprenant 656 ou 656'</t>
  </si>
  <si>
    <t xml:space="preserve">Apprenant 657</t>
  </si>
  <si>
    <t xml:space="preserve">Apprenant 657 ou 657'</t>
  </si>
  <si>
    <t xml:space="preserve">Apprenant 658</t>
  </si>
  <si>
    <t xml:space="preserve">Apprenant 658 ou 658'</t>
  </si>
  <si>
    <t xml:space="preserve">Apprenant 659</t>
  </si>
  <si>
    <t xml:space="preserve">Apprenant 659 ou 659'</t>
  </si>
  <si>
    <t xml:space="preserve">Apprenant 660</t>
  </si>
  <si>
    <t xml:space="preserve">Apprenant 660 ou 660'</t>
  </si>
  <si>
    <t xml:space="preserve">Apprenant 661</t>
  </si>
  <si>
    <t xml:space="preserve">Apprenant 661 ou 661'</t>
  </si>
  <si>
    <t xml:space="preserve">Apprenant 662</t>
  </si>
  <si>
    <t xml:space="preserve">Apprenant 662 ou 662'</t>
  </si>
  <si>
    <t xml:space="preserve">Apprenant 663</t>
  </si>
  <si>
    <t xml:space="preserve">Apprenant 663 ou 663'</t>
  </si>
  <si>
    <t xml:space="preserve">Apprenant 664</t>
  </si>
  <si>
    <t xml:space="preserve">Apprenant 664 ou 664'</t>
  </si>
  <si>
    <t xml:space="preserve">Apprenant 665</t>
  </si>
  <si>
    <t xml:space="preserve">Apprenant 665 ou 665'</t>
  </si>
  <si>
    <t xml:space="preserve">Apprenant 666</t>
  </si>
  <si>
    <t xml:space="preserve">Apprenant 666 ou 666'</t>
  </si>
  <si>
    <t xml:space="preserve">Apprenant 667</t>
  </si>
  <si>
    <t xml:space="preserve">Apprenant 667 ou 667'</t>
  </si>
  <si>
    <t xml:space="preserve">Apprenant 668</t>
  </si>
  <si>
    <t xml:space="preserve">Apprenant 668 ou 668'</t>
  </si>
  <si>
    <t xml:space="preserve">Apprenant 669</t>
  </si>
  <si>
    <t xml:space="preserve">Apprenant 669 ou 669'</t>
  </si>
  <si>
    <t xml:space="preserve">Apprenant 670</t>
  </si>
  <si>
    <t xml:space="preserve">Apprenant 670 ou 670'</t>
  </si>
  <si>
    <t xml:space="preserve">Apprenant 671</t>
  </si>
  <si>
    <t xml:space="preserve">Apprenant 671 ou 671'</t>
  </si>
  <si>
    <t xml:space="preserve">Apprenant 672</t>
  </si>
  <si>
    <t xml:space="preserve">Apprenant 672 ou 672'</t>
  </si>
  <si>
    <t xml:space="preserve">Apprenant 673</t>
  </si>
  <si>
    <t xml:space="preserve">Apprenant 673 ou 673'</t>
  </si>
  <si>
    <t xml:space="preserve">Apprenant 674</t>
  </si>
  <si>
    <t xml:space="preserve">Apprenant 674 ou 674'</t>
  </si>
  <si>
    <t xml:space="preserve">Apprenant 675</t>
  </si>
  <si>
    <t xml:space="preserve">Apprenant 675 ou 675'</t>
  </si>
  <si>
    <t xml:space="preserve">Apprenant 676</t>
  </si>
  <si>
    <t xml:space="preserve">Apprenant 676 ou 676'</t>
  </si>
  <si>
    <t xml:space="preserve">Apprenant 677</t>
  </si>
  <si>
    <t xml:space="preserve">Apprenant 677 ou 677'</t>
  </si>
  <si>
    <t xml:space="preserve">Apprenant 678</t>
  </si>
  <si>
    <t xml:space="preserve">Apprenant 678 ou 678'</t>
  </si>
  <si>
    <t xml:space="preserve">Apprenant 679</t>
  </si>
  <si>
    <t xml:space="preserve">Apprenant 679 ou 679'</t>
  </si>
  <si>
    <t xml:space="preserve">Apprenant 680</t>
  </si>
  <si>
    <t xml:space="preserve">Apprenant 680 ou 680'</t>
  </si>
  <si>
    <t xml:space="preserve">Apprenant 681</t>
  </si>
  <si>
    <t xml:space="preserve">Apprenant 681 ou 681'</t>
  </si>
  <si>
    <t xml:space="preserve">Apprenant 682</t>
  </si>
  <si>
    <t xml:space="preserve">Apprenant 682 ou 682'</t>
  </si>
  <si>
    <t xml:space="preserve">Apprenant 683</t>
  </si>
  <si>
    <t xml:space="preserve">Apprenant 683 ou 683'</t>
  </si>
  <si>
    <t xml:space="preserve">Apprenant 684</t>
  </si>
  <si>
    <t xml:space="preserve">Apprenant 684 ou 684'</t>
  </si>
  <si>
    <t xml:space="preserve">Apprenant 685</t>
  </si>
  <si>
    <t xml:space="preserve">Apprenant 685 ou 685'</t>
  </si>
  <si>
    <t xml:space="preserve">Apprenant 686</t>
  </si>
  <si>
    <t xml:space="preserve">Apprenant 686 ou 686'</t>
  </si>
  <si>
    <t xml:space="preserve">Apprenant 687</t>
  </si>
  <si>
    <t xml:space="preserve">Apprenant 687 ou 687'</t>
  </si>
  <si>
    <t xml:space="preserve">Apprenant 688</t>
  </si>
  <si>
    <t xml:space="preserve">Apprenant 688 ou 688'</t>
  </si>
  <si>
    <t xml:space="preserve">Apprenant 689</t>
  </si>
  <si>
    <t xml:space="preserve">Apprenant 689 ou 689'</t>
  </si>
  <si>
    <t xml:space="preserve">Apprenant 690</t>
  </si>
  <si>
    <t xml:space="preserve">Apprenant 690 ou 690'</t>
  </si>
  <si>
    <t xml:space="preserve">Apprenant 691</t>
  </si>
  <si>
    <t xml:space="preserve">Apprenant 691 ou 691'</t>
  </si>
  <si>
    <t xml:space="preserve">Apprenant 692</t>
  </si>
  <si>
    <t xml:space="preserve">Apprenant 692 ou 692'</t>
  </si>
  <si>
    <t xml:space="preserve">Apprenant 693</t>
  </si>
  <si>
    <t xml:space="preserve">Apprenant 693 ou 693'</t>
  </si>
  <si>
    <t xml:space="preserve">Apprenant 694</t>
  </si>
  <si>
    <t xml:space="preserve">Apprenant 694 ou 694'</t>
  </si>
  <si>
    <t xml:space="preserve">Apprenant 695</t>
  </si>
  <si>
    <t xml:space="preserve">Apprenant 695 ou 695'</t>
  </si>
  <si>
    <t xml:space="preserve">Apprenant 696</t>
  </si>
  <si>
    <t xml:space="preserve">Apprenant 696 ou 696'</t>
  </si>
  <si>
    <t xml:space="preserve">Apprenant 697</t>
  </si>
  <si>
    <t xml:space="preserve">Apprenant 697 ou 697'</t>
  </si>
  <si>
    <t xml:space="preserve">Apprenant 698</t>
  </si>
  <si>
    <t xml:space="preserve">Apprenant 698 ou 698'</t>
  </si>
  <si>
    <t xml:space="preserve">Apprenant 699</t>
  </si>
  <si>
    <t xml:space="preserve">Apprenant 699 ou 699'</t>
  </si>
  <si>
    <t xml:space="preserve">Apprenant 700</t>
  </si>
  <si>
    <t xml:space="preserve">Apprenant 700 ou 700'</t>
  </si>
  <si>
    <t xml:space="preserve">Apprenant 701</t>
  </si>
  <si>
    <t xml:space="preserve">Apprenant 701 ou 701'</t>
  </si>
  <si>
    <t xml:space="preserve">Apprenant 702</t>
  </si>
  <si>
    <t xml:space="preserve">Apprenant 702 ou 702'</t>
  </si>
  <si>
    <t xml:space="preserve">Apprenant 703</t>
  </si>
  <si>
    <t xml:space="preserve">Apprenant 703 ou 703'</t>
  </si>
  <si>
    <t xml:space="preserve">Apprenant 704</t>
  </si>
  <si>
    <t xml:space="preserve">Apprenant 704 ou 704'</t>
  </si>
  <si>
    <t xml:space="preserve">Apprenant 705</t>
  </si>
  <si>
    <t xml:space="preserve">Apprenant 705 ou 705'</t>
  </si>
  <si>
    <t xml:space="preserve">Apprenant 706</t>
  </si>
  <si>
    <t xml:space="preserve">Apprenant 706 ou 706'</t>
  </si>
  <si>
    <t xml:space="preserve">Apprenant 707</t>
  </si>
  <si>
    <t xml:space="preserve">Apprenant 707 ou 707'</t>
  </si>
  <si>
    <t xml:space="preserve">Apprenant 708</t>
  </si>
  <si>
    <t xml:space="preserve">Apprenant 708 ou 708'</t>
  </si>
  <si>
    <t xml:space="preserve">Apprenant 709</t>
  </si>
  <si>
    <t xml:space="preserve">Apprenant 709 ou 709'</t>
  </si>
  <si>
    <t xml:space="preserve">Apprenant 710</t>
  </si>
  <si>
    <t xml:space="preserve">Apprenant 710 ou 710'</t>
  </si>
  <si>
    <t xml:space="preserve">Apprenant 711</t>
  </si>
  <si>
    <t xml:space="preserve">Apprenant 711 ou 711'</t>
  </si>
  <si>
    <t xml:space="preserve">Apprenant 712</t>
  </si>
  <si>
    <t xml:space="preserve">Apprenant 712 ou 712'</t>
  </si>
  <si>
    <t xml:space="preserve">Apprenant 713</t>
  </si>
  <si>
    <t xml:space="preserve">Apprenant 713 ou 713'</t>
  </si>
  <si>
    <t xml:space="preserve">Apprenant 714</t>
  </si>
  <si>
    <t xml:space="preserve">Apprenant 714 ou 714'</t>
  </si>
  <si>
    <t xml:space="preserve">Apprenant 715</t>
  </si>
  <si>
    <t xml:space="preserve">Apprenant 715 ou 715'</t>
  </si>
  <si>
    <t xml:space="preserve">Apprenant 716</t>
  </si>
  <si>
    <t xml:space="preserve">Apprenant 716 ou 716'</t>
  </si>
  <si>
    <t xml:space="preserve">Apprenant 717</t>
  </si>
  <si>
    <t xml:space="preserve">Apprenant 717 ou 717'</t>
  </si>
  <si>
    <t xml:space="preserve">Apprenant 718</t>
  </si>
  <si>
    <t xml:space="preserve">Apprenant 718 ou 718'</t>
  </si>
  <si>
    <t xml:space="preserve">Apprenant 719</t>
  </si>
  <si>
    <t xml:space="preserve">Apprenant 719 ou 719'</t>
  </si>
  <si>
    <t xml:space="preserve">Apprenant 720</t>
  </si>
  <si>
    <t xml:space="preserve">Apprenant 720 ou 720'</t>
  </si>
  <si>
    <t xml:space="preserve">Apprenant 721</t>
  </si>
  <si>
    <t xml:space="preserve">Apprenant 721 ou 721'</t>
  </si>
  <si>
    <t xml:space="preserve">Apprenant 722</t>
  </si>
  <si>
    <t xml:space="preserve">Apprenant 722 ou 722'</t>
  </si>
  <si>
    <t xml:space="preserve">Apprenant 723</t>
  </si>
  <si>
    <t xml:space="preserve">Apprenant 723 ou 723'</t>
  </si>
  <si>
    <t xml:space="preserve">Apprenant 724</t>
  </si>
  <si>
    <t xml:space="preserve">Apprenant 724 ou 724'</t>
  </si>
  <si>
    <t xml:space="preserve">Apprenant 725</t>
  </si>
  <si>
    <t xml:space="preserve">Apprenant 725 ou 725'</t>
  </si>
  <si>
    <t xml:space="preserve">Apprenant 726</t>
  </si>
  <si>
    <t xml:space="preserve">Apprenant 726 ou 726'</t>
  </si>
  <si>
    <t xml:space="preserve">Apprenant 727</t>
  </si>
  <si>
    <t xml:space="preserve">Apprenant 727 ou 727'</t>
  </si>
  <si>
    <t xml:space="preserve">Apprenant 728</t>
  </si>
  <si>
    <t xml:space="preserve">Apprenant 728 ou 728'</t>
  </si>
  <si>
    <t xml:space="preserve">Apprenant 729</t>
  </si>
  <si>
    <t xml:space="preserve">Apprenant 729 ou 729'</t>
  </si>
  <si>
    <t xml:space="preserve">Apprenant 730</t>
  </si>
  <si>
    <t xml:space="preserve">Apprenant 730 ou 730'</t>
  </si>
  <si>
    <t xml:space="preserve">Apprenant 731</t>
  </si>
  <si>
    <t xml:space="preserve">Apprenant 731 ou 731'</t>
  </si>
  <si>
    <t xml:space="preserve">Apprenant 732</t>
  </si>
  <si>
    <t xml:space="preserve">Apprenant 732 ou 732'</t>
  </si>
  <si>
    <t xml:space="preserve">Apprenant 733</t>
  </si>
  <si>
    <t xml:space="preserve">Apprenant 733 ou 733'</t>
  </si>
  <si>
    <t xml:space="preserve">Apprenant 734</t>
  </si>
  <si>
    <t xml:space="preserve">Apprenant 734 ou 734'</t>
  </si>
  <si>
    <t xml:space="preserve">Apprenant 735</t>
  </si>
  <si>
    <t xml:space="preserve">Apprenant 735 ou 735'</t>
  </si>
  <si>
    <t xml:space="preserve">Apprenant 736</t>
  </si>
  <si>
    <t xml:space="preserve">Apprenant 736 ou 736'</t>
  </si>
  <si>
    <t xml:space="preserve">Apprenant 737</t>
  </si>
  <si>
    <t xml:space="preserve">Apprenant 737 ou 737'</t>
  </si>
  <si>
    <t xml:space="preserve">Apprenant 738</t>
  </si>
  <si>
    <t xml:space="preserve">Apprenant 738 ou 738'</t>
  </si>
  <si>
    <t xml:space="preserve">Apprenant 739</t>
  </si>
  <si>
    <t xml:space="preserve">Apprenant 739 ou 739'</t>
  </si>
  <si>
    <t xml:space="preserve">Apprenant 740</t>
  </si>
  <si>
    <t xml:space="preserve">Apprenant 740 ou 740'</t>
  </si>
  <si>
    <t xml:space="preserve">Apprenant 741</t>
  </si>
  <si>
    <t xml:space="preserve">Apprenant 741 ou 741'</t>
  </si>
  <si>
    <t xml:space="preserve">Apprenant 742</t>
  </si>
  <si>
    <t xml:space="preserve">Apprenant 742 ou 742'</t>
  </si>
  <si>
    <t xml:space="preserve">Apprenant 743</t>
  </si>
  <si>
    <t xml:space="preserve">Apprenant 743 ou 743'</t>
  </si>
  <si>
    <t xml:space="preserve">Apprenant 744</t>
  </si>
  <si>
    <t xml:space="preserve">Apprenant 744 ou 744'</t>
  </si>
  <si>
    <t xml:space="preserve">Apprenant 745</t>
  </si>
  <si>
    <t xml:space="preserve">Apprenant 745 ou 745'</t>
  </si>
  <si>
    <t xml:space="preserve">Apprenant 746</t>
  </si>
  <si>
    <t xml:space="preserve">Apprenant 746 ou 746'</t>
  </si>
  <si>
    <t xml:space="preserve">Apprenant 747</t>
  </si>
  <si>
    <t xml:space="preserve">Apprenant 747 ou 747'</t>
  </si>
  <si>
    <t xml:space="preserve">Apprenant 748</t>
  </si>
  <si>
    <t xml:space="preserve">Apprenant 748 ou 748'</t>
  </si>
  <si>
    <t xml:space="preserve">Apprenant 749</t>
  </si>
  <si>
    <t xml:space="preserve">Apprenant 749 ou 749'</t>
  </si>
  <si>
    <t xml:space="preserve">Apprenant 750</t>
  </si>
  <si>
    <t xml:space="preserve">Apprenant 750 ou 750'</t>
  </si>
  <si>
    <t xml:space="preserve">Apprenant 751</t>
  </si>
  <si>
    <t xml:space="preserve">Apprenant 751 ou 751'</t>
  </si>
  <si>
    <t xml:space="preserve">Apprenant 752</t>
  </si>
  <si>
    <t xml:space="preserve">Apprenant 752 ou 752'</t>
  </si>
  <si>
    <t xml:space="preserve">Apprenant 753</t>
  </si>
  <si>
    <t xml:space="preserve">Apprenant 753 ou 753'</t>
  </si>
  <si>
    <t xml:space="preserve">Apprenant 754</t>
  </si>
  <si>
    <t xml:space="preserve">Apprenant 754 ou 754'</t>
  </si>
  <si>
    <t xml:space="preserve">Apprenant 755</t>
  </si>
  <si>
    <t xml:space="preserve">Apprenant 755 ou 755'</t>
  </si>
  <si>
    <t xml:space="preserve">Apprenant 756</t>
  </si>
  <si>
    <t xml:space="preserve">Apprenant 756 ou 756'</t>
  </si>
  <si>
    <t xml:space="preserve">Apprenant 757</t>
  </si>
  <si>
    <t xml:space="preserve">Apprenant 757 ou 757'</t>
  </si>
  <si>
    <t xml:space="preserve">Apprenant 758</t>
  </si>
  <si>
    <t xml:space="preserve">Apprenant 758 ou 758'</t>
  </si>
  <si>
    <t xml:space="preserve">Apprenant 759</t>
  </si>
  <si>
    <t xml:space="preserve">Apprenant 759 ou 759'</t>
  </si>
  <si>
    <t xml:space="preserve">Apprenant 760</t>
  </si>
  <si>
    <t xml:space="preserve">Apprenant 760 ou 760'</t>
  </si>
  <si>
    <t xml:space="preserve">Apprenant 761</t>
  </si>
  <si>
    <t xml:space="preserve">Apprenant 761 ou 761'</t>
  </si>
  <si>
    <t xml:space="preserve">Apprenant 762</t>
  </si>
  <si>
    <t xml:space="preserve">Apprenant 762 ou 762'</t>
  </si>
  <si>
    <t xml:space="preserve">Apprenant 763</t>
  </si>
  <si>
    <t xml:space="preserve">Apprenant 763 ou 763'</t>
  </si>
  <si>
    <t xml:space="preserve">Apprenant 764</t>
  </si>
  <si>
    <t xml:space="preserve">Apprenant 764 ou 764'</t>
  </si>
  <si>
    <t xml:space="preserve">Apprenant 765</t>
  </si>
  <si>
    <t xml:space="preserve">Apprenant 765 ou 765'</t>
  </si>
  <si>
    <t xml:space="preserve">Apprenant 766</t>
  </si>
  <si>
    <t xml:space="preserve">Apprenant 766 ou 766'</t>
  </si>
  <si>
    <t xml:space="preserve">Apprenant 767</t>
  </si>
  <si>
    <t xml:space="preserve">Apprenant 767 ou 767'</t>
  </si>
  <si>
    <t xml:space="preserve">Apprenant 768</t>
  </si>
  <si>
    <t xml:space="preserve">Apprenant 768 ou 768'</t>
  </si>
  <si>
    <t xml:space="preserve">Apprenant 769</t>
  </si>
  <si>
    <t xml:space="preserve">Apprenant 769 ou 769'</t>
  </si>
  <si>
    <t xml:space="preserve">Apprenant 770</t>
  </si>
  <si>
    <t xml:space="preserve">Apprenant 770 ou 770'</t>
  </si>
  <si>
    <t xml:space="preserve">Apprenant 771</t>
  </si>
  <si>
    <t xml:space="preserve">Apprenant 771 ou 771'</t>
  </si>
  <si>
    <t xml:space="preserve">Apprenant 772</t>
  </si>
  <si>
    <t xml:space="preserve">Apprenant 772 ou 772'</t>
  </si>
  <si>
    <t xml:space="preserve">Apprenant 773</t>
  </si>
  <si>
    <t xml:space="preserve">Apprenant 773 ou 773'</t>
  </si>
  <si>
    <t xml:space="preserve">Apprenant 774</t>
  </si>
  <si>
    <t xml:space="preserve">Apprenant 774 ou 774'</t>
  </si>
  <si>
    <t xml:space="preserve">Apprenant 775</t>
  </si>
  <si>
    <t xml:space="preserve">Apprenant 775 ou 775'</t>
  </si>
  <si>
    <t xml:space="preserve">Apprenant 776</t>
  </si>
  <si>
    <t xml:space="preserve">Apprenant 776 ou 776'</t>
  </si>
  <si>
    <t xml:space="preserve">Apprenant 777</t>
  </si>
  <si>
    <t xml:space="preserve">Apprenant 777 ou 777'</t>
  </si>
  <si>
    <t xml:space="preserve">Apprenant 778</t>
  </si>
  <si>
    <t xml:space="preserve">Apprenant 778 ou 778'</t>
  </si>
  <si>
    <t xml:space="preserve">Apprenant 779</t>
  </si>
  <si>
    <t xml:space="preserve">Apprenant 779 ou 779'</t>
  </si>
  <si>
    <t xml:space="preserve">Apprenant 780</t>
  </si>
  <si>
    <t xml:space="preserve">Apprenant 780 ou 780'</t>
  </si>
  <si>
    <t xml:space="preserve">Apprenant 781</t>
  </si>
  <si>
    <t xml:space="preserve">Apprenant 781 ou 781'</t>
  </si>
  <si>
    <t xml:space="preserve">Apprenant 782</t>
  </si>
  <si>
    <t xml:space="preserve">Apprenant 782 ou 782'</t>
  </si>
  <si>
    <t xml:space="preserve">Apprenant 783</t>
  </si>
  <si>
    <t xml:space="preserve">Apprenant 783 ou 783'</t>
  </si>
  <si>
    <t xml:space="preserve">Apprenant 784</t>
  </si>
  <si>
    <t xml:space="preserve">Apprenant 784 ou 784'</t>
  </si>
  <si>
    <t xml:space="preserve">Apprenant 785</t>
  </si>
  <si>
    <t xml:space="preserve">Apprenant 785 ou 785'</t>
  </si>
  <si>
    <t xml:space="preserve">Apprenant 786</t>
  </si>
  <si>
    <t xml:space="preserve">Apprenant 786 ou 786'</t>
  </si>
  <si>
    <t xml:space="preserve">Apprenant 787</t>
  </si>
  <si>
    <t xml:space="preserve">Apprenant 787 ou 787'</t>
  </si>
  <si>
    <t xml:space="preserve">Apprenant 788</t>
  </si>
  <si>
    <t xml:space="preserve">Apprenant 788 ou 788'</t>
  </si>
  <si>
    <t xml:space="preserve">Apprenant 789</t>
  </si>
  <si>
    <t xml:space="preserve">Apprenant 789 ou 789'</t>
  </si>
  <si>
    <t xml:space="preserve">Apprenant 790</t>
  </si>
  <si>
    <t xml:space="preserve">Apprenant 790 ou 790'</t>
  </si>
  <si>
    <t xml:space="preserve">Apprenant 791</t>
  </si>
  <si>
    <t xml:space="preserve">Apprenant 791 ou 791'</t>
  </si>
  <si>
    <t xml:space="preserve">Apprenant 792</t>
  </si>
  <si>
    <t xml:space="preserve">Apprenant 792 ou 792'</t>
  </si>
  <si>
    <t xml:space="preserve">Apprenant 793</t>
  </si>
  <si>
    <t xml:space="preserve">Apprenant 793 ou 793'</t>
  </si>
  <si>
    <t xml:space="preserve">Apprenant 794</t>
  </si>
  <si>
    <t xml:space="preserve">Apprenant 794 ou 794'</t>
  </si>
  <si>
    <t xml:space="preserve">Apprenant 795</t>
  </si>
  <si>
    <t xml:space="preserve">Apprenant 795 ou 795'</t>
  </si>
  <si>
    <t xml:space="preserve">Apprenant 796</t>
  </si>
  <si>
    <t xml:space="preserve">Apprenant 796 ou 796'</t>
  </si>
  <si>
    <t xml:space="preserve">Apprenant 797</t>
  </si>
  <si>
    <t xml:space="preserve">Apprenant 797 ou 797'</t>
  </si>
  <si>
    <t xml:space="preserve">Apprenant 798</t>
  </si>
  <si>
    <t xml:space="preserve">Apprenant 798 ou 798'</t>
  </si>
  <si>
    <t xml:space="preserve">Apprenant 799</t>
  </si>
  <si>
    <t xml:space="preserve">Apprenant 799 ou 799'</t>
  </si>
  <si>
    <t xml:space="preserve">Apprenant 800</t>
  </si>
  <si>
    <t xml:space="preserve">Apprenant 800 ou 800'</t>
  </si>
  <si>
    <t xml:space="preserve">Apprenant 801</t>
  </si>
  <si>
    <t xml:space="preserve">Apprenant 801 ou 801'</t>
  </si>
  <si>
    <t xml:space="preserve">Apprenant 802</t>
  </si>
  <si>
    <t xml:space="preserve">Apprenant 802 ou 802'</t>
  </si>
  <si>
    <t xml:space="preserve">Apprenant 803</t>
  </si>
  <si>
    <t xml:space="preserve">Apprenant 803 ou 803'</t>
  </si>
  <si>
    <t xml:space="preserve">Apprenant 804</t>
  </si>
  <si>
    <t xml:space="preserve">Apprenant 804 ou 804'</t>
  </si>
  <si>
    <t xml:space="preserve">Apprenant 805</t>
  </si>
  <si>
    <t xml:space="preserve">Apprenant 805 ou 805'</t>
  </si>
  <si>
    <t xml:space="preserve">Apprenant 806</t>
  </si>
  <si>
    <t xml:space="preserve">Apprenant 806 ou 806'</t>
  </si>
  <si>
    <t xml:space="preserve">Apprenant 807</t>
  </si>
  <si>
    <t xml:space="preserve">Apprenant 807 ou 807'</t>
  </si>
  <si>
    <t xml:space="preserve">Apprenant 808</t>
  </si>
  <si>
    <t xml:space="preserve">Apprenant 808 ou 808'</t>
  </si>
  <si>
    <t xml:space="preserve">Apprenant 809</t>
  </si>
  <si>
    <t xml:space="preserve">Apprenant 809 ou 809'</t>
  </si>
  <si>
    <t xml:space="preserve">Apprenant 810</t>
  </si>
  <si>
    <t xml:space="preserve">Apprenant 810 ou 810'</t>
  </si>
  <si>
    <t xml:space="preserve">Apprenant 811</t>
  </si>
  <si>
    <t xml:space="preserve">Apprenant 811 ou 811'</t>
  </si>
  <si>
    <t xml:space="preserve">Apprenant 812</t>
  </si>
  <si>
    <t xml:space="preserve">Apprenant 812 ou 812'</t>
  </si>
  <si>
    <t xml:space="preserve">Apprenant 813</t>
  </si>
  <si>
    <t xml:space="preserve">Apprenant 813 ou 813'</t>
  </si>
  <si>
    <t xml:space="preserve">Apprenant 814</t>
  </si>
  <si>
    <t xml:space="preserve">Apprenant 814 ou 814'</t>
  </si>
  <si>
    <t xml:space="preserve">Apprenant 815</t>
  </si>
  <si>
    <t xml:space="preserve">Apprenant 815 ou 815'</t>
  </si>
  <si>
    <t xml:space="preserve">Apprenant 816</t>
  </si>
  <si>
    <t xml:space="preserve">Apprenant 816 ou 816'</t>
  </si>
  <si>
    <t xml:space="preserve">Apprenant 817</t>
  </si>
  <si>
    <t xml:space="preserve">Apprenant 817 ou 817'</t>
  </si>
  <si>
    <t xml:space="preserve">Apprenant 818</t>
  </si>
  <si>
    <t xml:space="preserve">Apprenant 818 ou 818'</t>
  </si>
  <si>
    <t xml:space="preserve">Apprenant 819</t>
  </si>
  <si>
    <t xml:space="preserve">Apprenant 819 ou 819'</t>
  </si>
  <si>
    <t xml:space="preserve">Apprenant 820</t>
  </si>
  <si>
    <t xml:space="preserve">Apprenant 820 ou 820'</t>
  </si>
  <si>
    <t xml:space="preserve">Apprenant 821</t>
  </si>
  <si>
    <t xml:space="preserve">Apprenant 821 ou 821'</t>
  </si>
  <si>
    <t xml:space="preserve">Apprenant 822</t>
  </si>
  <si>
    <t xml:space="preserve">Apprenant 822 ou 822'</t>
  </si>
  <si>
    <t xml:space="preserve">Apprenant 823</t>
  </si>
  <si>
    <t xml:space="preserve">Apprenant 823 ou 823'</t>
  </si>
  <si>
    <t xml:space="preserve">Apprenant 824</t>
  </si>
  <si>
    <t xml:space="preserve">Apprenant 824 ou 824'</t>
  </si>
  <si>
    <t xml:space="preserve">Apprenant 825</t>
  </si>
  <si>
    <t xml:space="preserve">Apprenant 825 ou 825'</t>
  </si>
  <si>
    <t xml:space="preserve">Apprenant 826</t>
  </si>
  <si>
    <t xml:space="preserve">Apprenant 826 ou 826'</t>
  </si>
  <si>
    <t xml:space="preserve">Apprenant 827</t>
  </si>
  <si>
    <t xml:space="preserve">Apprenant 827 ou 827'</t>
  </si>
  <si>
    <t xml:space="preserve">Apprenant 828</t>
  </si>
  <si>
    <t xml:space="preserve">Apprenant 828 ou 828'</t>
  </si>
  <si>
    <t xml:space="preserve">Apprenant 829</t>
  </si>
  <si>
    <t xml:space="preserve">Apprenant 829 ou 829'</t>
  </si>
  <si>
    <t xml:space="preserve">Apprenant 830</t>
  </si>
  <si>
    <t xml:space="preserve">Apprenant 830 ou 830'</t>
  </si>
  <si>
    <t xml:space="preserve">Apprenant 831</t>
  </si>
  <si>
    <t xml:space="preserve">Apprenant 831 ou 831'</t>
  </si>
  <si>
    <t xml:space="preserve">Apprenant 832</t>
  </si>
  <si>
    <t xml:space="preserve">Apprenant 832 ou 832'</t>
  </si>
  <si>
    <t xml:space="preserve">Apprenant 833</t>
  </si>
  <si>
    <t xml:space="preserve">Apprenant 833 ou 833'</t>
  </si>
  <si>
    <t xml:space="preserve">Apprenant 834</t>
  </si>
  <si>
    <t xml:space="preserve">Apprenant 834 ou 834'</t>
  </si>
  <si>
    <t xml:space="preserve">Apprenant 835</t>
  </si>
  <si>
    <t xml:space="preserve">Apprenant 835 ou 835'</t>
  </si>
  <si>
    <t xml:space="preserve">Apprenant 836</t>
  </si>
  <si>
    <t xml:space="preserve">Apprenant 836 ou 836'</t>
  </si>
  <si>
    <t xml:space="preserve">Apprenant 837</t>
  </si>
  <si>
    <t xml:space="preserve">Apprenant 837 ou 837'</t>
  </si>
  <si>
    <t xml:space="preserve">Apprenant 838</t>
  </si>
  <si>
    <t xml:space="preserve">Apprenant 838 ou 838'</t>
  </si>
  <si>
    <t xml:space="preserve">Apprenant 839</t>
  </si>
  <si>
    <t xml:space="preserve">Apprenant 839 ou 839'</t>
  </si>
  <si>
    <t xml:space="preserve">Apprenant 840</t>
  </si>
  <si>
    <t xml:space="preserve">Apprenant 840 ou 840'</t>
  </si>
  <si>
    <t xml:space="preserve">Apprenant 841</t>
  </si>
  <si>
    <t xml:space="preserve">Apprenant 841 ou 841'</t>
  </si>
  <si>
    <t xml:space="preserve">Apprenant 842</t>
  </si>
  <si>
    <t xml:space="preserve">Apprenant 842 ou 842'</t>
  </si>
  <si>
    <t xml:space="preserve">Apprenant 843</t>
  </si>
  <si>
    <t xml:space="preserve">Apprenant 843 ou 843'</t>
  </si>
  <si>
    <t xml:space="preserve">Apprenant 844</t>
  </si>
  <si>
    <t xml:space="preserve">Apprenant 844 ou 844'</t>
  </si>
  <si>
    <t xml:space="preserve">Apprenant 845</t>
  </si>
  <si>
    <t xml:space="preserve">Apprenant 845 ou 845'</t>
  </si>
  <si>
    <t xml:space="preserve">Apprenant 846</t>
  </si>
  <si>
    <t xml:space="preserve">Apprenant 846 ou 846'</t>
  </si>
  <si>
    <t xml:space="preserve">Apprenant 847</t>
  </si>
  <si>
    <t xml:space="preserve">Apprenant 847 ou 847'</t>
  </si>
  <si>
    <t xml:space="preserve">Apprenant 848</t>
  </si>
  <si>
    <t xml:space="preserve">Apprenant 848 ou 848'</t>
  </si>
  <si>
    <t xml:space="preserve">Apprenant 849</t>
  </si>
  <si>
    <t xml:space="preserve">Apprenant 849 ou 849'</t>
  </si>
  <si>
    <t xml:space="preserve">Apprenant 850</t>
  </si>
  <si>
    <t xml:space="preserve">Apprenant 850 ou 850'</t>
  </si>
  <si>
    <t xml:space="preserve">Apprenant 851</t>
  </si>
  <si>
    <t xml:space="preserve">Apprenant 851 ou 851'</t>
  </si>
  <si>
    <t xml:space="preserve">Apprenant 852</t>
  </si>
  <si>
    <t xml:space="preserve">Apprenant 852 ou 852'</t>
  </si>
  <si>
    <t xml:space="preserve">Apprenant 853</t>
  </si>
  <si>
    <t xml:space="preserve">Apprenant 853 ou 853'</t>
  </si>
  <si>
    <t xml:space="preserve">Apprenant 854</t>
  </si>
  <si>
    <t xml:space="preserve">Apprenant 854 ou 854'</t>
  </si>
  <si>
    <t xml:space="preserve">Apprenant 855</t>
  </si>
  <si>
    <t xml:space="preserve">Apprenant 855 ou 855'</t>
  </si>
  <si>
    <t xml:space="preserve">Apprenant 856</t>
  </si>
  <si>
    <t xml:space="preserve">Apprenant 856 ou 856'</t>
  </si>
  <si>
    <t xml:space="preserve">Apprenant 857</t>
  </si>
  <si>
    <t xml:space="preserve">Apprenant 857 ou 857'</t>
  </si>
  <si>
    <t xml:space="preserve">Apprenant 858</t>
  </si>
  <si>
    <t xml:space="preserve">Apprenant 858 ou 858'</t>
  </si>
  <si>
    <t xml:space="preserve">Apprenant 859</t>
  </si>
  <si>
    <t xml:space="preserve">Apprenant 859 ou 859'</t>
  </si>
  <si>
    <t xml:space="preserve">Apprenant 860</t>
  </si>
  <si>
    <t xml:space="preserve">Apprenant 860 ou 860'</t>
  </si>
  <si>
    <t xml:space="preserve">Apprenant 861</t>
  </si>
  <si>
    <t xml:space="preserve">Apprenant 861 ou 861'</t>
  </si>
  <si>
    <t xml:space="preserve">Apprenant 862</t>
  </si>
  <si>
    <t xml:space="preserve">Apprenant 862 ou 862'</t>
  </si>
  <si>
    <t xml:space="preserve">Apprenant 863</t>
  </si>
  <si>
    <t xml:space="preserve">Apprenant 863 ou 863'</t>
  </si>
  <si>
    <t xml:space="preserve">Apprenant 864</t>
  </si>
  <si>
    <t xml:space="preserve">Apprenant 864 ou 864'</t>
  </si>
  <si>
    <t xml:space="preserve">Apprenant 865</t>
  </si>
  <si>
    <t xml:space="preserve">Apprenant 865 ou 865'</t>
  </si>
  <si>
    <t xml:space="preserve">Apprenant 866</t>
  </si>
  <si>
    <t xml:space="preserve">Apprenant 866 ou 866'</t>
  </si>
  <si>
    <t xml:space="preserve">Apprenant 867</t>
  </si>
  <si>
    <t xml:space="preserve">Apprenant 867 ou 867'</t>
  </si>
  <si>
    <t xml:space="preserve">Apprenant 868</t>
  </si>
  <si>
    <t xml:space="preserve">Apprenant 868 ou 868'</t>
  </si>
  <si>
    <t xml:space="preserve">Apprenant 869</t>
  </si>
  <si>
    <t xml:space="preserve">Apprenant 869 ou 869'</t>
  </si>
  <si>
    <t xml:space="preserve">Apprenant 870</t>
  </si>
  <si>
    <t xml:space="preserve">Apprenant 870 ou 870'</t>
  </si>
  <si>
    <t xml:space="preserve">Apprenant 871</t>
  </si>
  <si>
    <t xml:space="preserve">Apprenant 871 ou 871'</t>
  </si>
  <si>
    <t xml:space="preserve">Apprenant 872</t>
  </si>
  <si>
    <t xml:space="preserve">Apprenant 872 ou 872'</t>
  </si>
  <si>
    <t xml:space="preserve">Apprenant 873</t>
  </si>
  <si>
    <t xml:space="preserve">Apprenant 873 ou 873'</t>
  </si>
  <si>
    <t xml:space="preserve">Apprenant 874</t>
  </si>
  <si>
    <t xml:space="preserve">Apprenant 874 ou 874'</t>
  </si>
  <si>
    <t xml:space="preserve">Apprenant 875</t>
  </si>
  <si>
    <t xml:space="preserve">Apprenant 875 ou 875'</t>
  </si>
  <si>
    <t xml:space="preserve">Apprenant 876</t>
  </si>
  <si>
    <t xml:space="preserve">Apprenant 876 ou 876'</t>
  </si>
  <si>
    <t xml:space="preserve">Apprenant 877</t>
  </si>
  <si>
    <t xml:space="preserve">Apprenant 877 ou 877'</t>
  </si>
  <si>
    <t xml:space="preserve">Apprenant 878</t>
  </si>
  <si>
    <t xml:space="preserve">Apprenant 878 ou 878'</t>
  </si>
  <si>
    <t xml:space="preserve">Apprenant 879</t>
  </si>
  <si>
    <t xml:space="preserve">Apprenant 879 ou 879'</t>
  </si>
  <si>
    <t xml:space="preserve">Apprenant 880</t>
  </si>
  <si>
    <t xml:space="preserve">Apprenant 880 ou 880'</t>
  </si>
  <si>
    <t xml:space="preserve">Apprenant 881</t>
  </si>
  <si>
    <t xml:space="preserve">Apprenant 881 ou 881'</t>
  </si>
  <si>
    <t xml:space="preserve">Apprenant 882</t>
  </si>
  <si>
    <t xml:space="preserve">Apprenant 882 ou 882'</t>
  </si>
  <si>
    <t xml:space="preserve">Apprenant 883</t>
  </si>
  <si>
    <t xml:space="preserve">Apprenant 883 ou 883'</t>
  </si>
  <si>
    <t xml:space="preserve">Apprenant 884</t>
  </si>
  <si>
    <t xml:space="preserve">Apprenant 884 ou 884'</t>
  </si>
  <si>
    <t xml:space="preserve">Apprenant 885</t>
  </si>
  <si>
    <t xml:space="preserve">Apprenant 885 ou 885'</t>
  </si>
  <si>
    <t xml:space="preserve">Apprenant 886</t>
  </si>
  <si>
    <t xml:space="preserve">Apprenant 886 ou 886'</t>
  </si>
  <si>
    <t xml:space="preserve">Apprenant 887</t>
  </si>
  <si>
    <t xml:space="preserve">Apprenant 887 ou 887'</t>
  </si>
  <si>
    <t xml:space="preserve">Apprenant 888</t>
  </si>
  <si>
    <t xml:space="preserve">Apprenant 888 ou 888'</t>
  </si>
  <si>
    <t xml:space="preserve">Apprenant 889</t>
  </si>
  <si>
    <t xml:space="preserve">Apprenant 889 ou 889'</t>
  </si>
  <si>
    <t xml:space="preserve">Apprenant 890</t>
  </si>
  <si>
    <t xml:space="preserve">Apprenant 890 ou 890'</t>
  </si>
  <si>
    <t xml:space="preserve">Apprenant 891</t>
  </si>
  <si>
    <t xml:space="preserve">Apprenant 891 ou 891'</t>
  </si>
  <si>
    <t xml:space="preserve">Apprenant 892</t>
  </si>
  <si>
    <t xml:space="preserve">Apprenant 892 ou 892'</t>
  </si>
  <si>
    <t xml:space="preserve">Apprenant 893</t>
  </si>
  <si>
    <t xml:space="preserve">Apprenant 893 ou 893'</t>
  </si>
  <si>
    <t xml:space="preserve">Apprenant 894</t>
  </si>
  <si>
    <t xml:space="preserve">Apprenant 894 ou 894'</t>
  </si>
  <si>
    <t xml:space="preserve">Apprenant 895</t>
  </si>
  <si>
    <t xml:space="preserve">Apprenant 895 ou 895'</t>
  </si>
  <si>
    <t xml:space="preserve">Apprenant 896</t>
  </si>
  <si>
    <t xml:space="preserve">Apprenant 896 ou 896'</t>
  </si>
  <si>
    <t xml:space="preserve">Apprenant 897</t>
  </si>
  <si>
    <t xml:space="preserve">Apprenant 897 ou 897'</t>
  </si>
  <si>
    <t xml:space="preserve">Apprenant 898</t>
  </si>
  <si>
    <t xml:space="preserve">Apprenant 898 ou 898'</t>
  </si>
  <si>
    <t xml:space="preserve">Apprenant 899</t>
  </si>
  <si>
    <t xml:space="preserve">Apprenant 899 ou 899'</t>
  </si>
  <si>
    <t xml:space="preserve">Apprenant 900</t>
  </si>
  <si>
    <t xml:space="preserve">Apprenant 900 ou 900'</t>
  </si>
  <si>
    <t xml:space="preserve">Apprenant 901</t>
  </si>
  <si>
    <t xml:space="preserve">Apprenant 901 ou 901'</t>
  </si>
  <si>
    <t xml:space="preserve">Apprenant 902</t>
  </si>
  <si>
    <t xml:space="preserve">Apprenant 902 ou 902'</t>
  </si>
  <si>
    <t xml:space="preserve">Apprenant 903</t>
  </si>
  <si>
    <t xml:space="preserve">Apprenant 903 ou 903'</t>
  </si>
  <si>
    <t xml:space="preserve">Apprenant 904</t>
  </si>
  <si>
    <t xml:space="preserve">Apprenant 904 ou 904'</t>
  </si>
  <si>
    <t xml:space="preserve">Apprenant 905</t>
  </si>
  <si>
    <t xml:space="preserve">Apprenant 905 ou 905'</t>
  </si>
  <si>
    <t xml:space="preserve">Apprenant 906</t>
  </si>
  <si>
    <t xml:space="preserve">Apprenant 906 ou 906'</t>
  </si>
  <si>
    <t xml:space="preserve">Apprenant 907</t>
  </si>
  <si>
    <t xml:space="preserve">Apprenant 907 ou 907'</t>
  </si>
  <si>
    <t xml:space="preserve">Apprenant 908</t>
  </si>
  <si>
    <t xml:space="preserve">Apprenant 908 ou 908'</t>
  </si>
  <si>
    <t xml:space="preserve">Apprenant 909</t>
  </si>
  <si>
    <t xml:space="preserve">Apprenant 909 ou 909'</t>
  </si>
  <si>
    <t xml:space="preserve">Apprenant 910</t>
  </si>
  <si>
    <t xml:space="preserve">Apprenant 910 ou 910'</t>
  </si>
  <si>
    <t xml:space="preserve">Apprenant 911</t>
  </si>
  <si>
    <t xml:space="preserve">Apprenant 911 ou 911'</t>
  </si>
  <si>
    <t xml:space="preserve">Apprenant 912</t>
  </si>
  <si>
    <t xml:space="preserve">Apprenant 912 ou 912'</t>
  </si>
  <si>
    <t xml:space="preserve">Apprenant 913</t>
  </si>
  <si>
    <t xml:space="preserve">Apprenant 913 ou 913'</t>
  </si>
  <si>
    <t xml:space="preserve">Apprenant 914</t>
  </si>
  <si>
    <t xml:space="preserve">Apprenant 914 ou 914'</t>
  </si>
  <si>
    <t xml:space="preserve">Apprenant 915</t>
  </si>
  <si>
    <t xml:space="preserve">Apprenant 915 ou 915'</t>
  </si>
  <si>
    <t xml:space="preserve">Apprenant 916</t>
  </si>
  <si>
    <t xml:space="preserve">Apprenant 916 ou 916'</t>
  </si>
  <si>
    <t xml:space="preserve">Apprenant 917</t>
  </si>
  <si>
    <t xml:space="preserve">Apprenant 917 ou 917'</t>
  </si>
  <si>
    <t xml:space="preserve">Apprenant 918</t>
  </si>
  <si>
    <t xml:space="preserve">Apprenant 918 ou 918'</t>
  </si>
  <si>
    <t xml:space="preserve">Apprenant 919</t>
  </si>
  <si>
    <t xml:space="preserve">Apprenant 919 ou 919'</t>
  </si>
  <si>
    <t xml:space="preserve">Apprenant 920</t>
  </si>
  <si>
    <t xml:space="preserve">Apprenant 920 ou 920'</t>
  </si>
  <si>
    <t xml:space="preserve">Apprenant 921</t>
  </si>
  <si>
    <t xml:space="preserve">Apprenant 921 ou 921'</t>
  </si>
  <si>
    <t xml:space="preserve">Apprenant 922</t>
  </si>
  <si>
    <t xml:space="preserve">Apprenant 922 ou 922'</t>
  </si>
  <si>
    <t xml:space="preserve">Apprenant 923</t>
  </si>
  <si>
    <t xml:space="preserve">Apprenant 923 ou 923'</t>
  </si>
  <si>
    <t xml:space="preserve">Apprenant 924</t>
  </si>
  <si>
    <t xml:space="preserve">Apprenant 924 ou 924'</t>
  </si>
  <si>
    <t xml:space="preserve">Apprenant 925</t>
  </si>
  <si>
    <t xml:space="preserve">Apprenant 925 ou 925'</t>
  </si>
  <si>
    <t xml:space="preserve">Apprenant 926</t>
  </si>
  <si>
    <t xml:space="preserve">Apprenant 926 ou 926'</t>
  </si>
  <si>
    <t xml:space="preserve">Apprenant 927</t>
  </si>
  <si>
    <t xml:space="preserve">Apprenant 927 ou 927'</t>
  </si>
  <si>
    <t xml:space="preserve">Apprenant 928</t>
  </si>
  <si>
    <t xml:space="preserve">Apprenant 928 ou 928'</t>
  </si>
  <si>
    <t xml:space="preserve">Apprenant 929</t>
  </si>
  <si>
    <t xml:space="preserve">Apprenant 929 ou 929'</t>
  </si>
  <si>
    <t xml:space="preserve">Apprenant 930</t>
  </si>
  <si>
    <t xml:space="preserve">Apprenant 930 ou 930'</t>
  </si>
  <si>
    <t xml:space="preserve">Apprenant 931</t>
  </si>
  <si>
    <t xml:space="preserve">Apprenant 931 ou 931'</t>
  </si>
  <si>
    <t xml:space="preserve">Apprenant 932</t>
  </si>
  <si>
    <t xml:space="preserve">Apprenant 932 ou 932'</t>
  </si>
  <si>
    <t xml:space="preserve">Apprenant 933</t>
  </si>
  <si>
    <t xml:space="preserve">Apprenant 933 ou 933'</t>
  </si>
  <si>
    <t xml:space="preserve">Apprenant 934</t>
  </si>
  <si>
    <t xml:space="preserve">Apprenant 934 ou 934'</t>
  </si>
  <si>
    <t xml:space="preserve">Apprenant 935</t>
  </si>
  <si>
    <t xml:space="preserve">Apprenant 935 ou 935'</t>
  </si>
  <si>
    <t xml:space="preserve">Apprenant 936</t>
  </si>
  <si>
    <t xml:space="preserve">Apprenant 936 ou 936'</t>
  </si>
  <si>
    <t xml:space="preserve">Apprenant 937</t>
  </si>
  <si>
    <t xml:space="preserve">Apprenant 937 ou 937'</t>
  </si>
  <si>
    <t xml:space="preserve">Apprenant 938</t>
  </si>
  <si>
    <t xml:space="preserve">Apprenant 938 ou 938'</t>
  </si>
  <si>
    <t xml:space="preserve">Apprenant 939</t>
  </si>
  <si>
    <t xml:space="preserve">Apprenant 939 ou 939'</t>
  </si>
  <si>
    <t xml:space="preserve">Apprenant 940</t>
  </si>
  <si>
    <t xml:space="preserve">Apprenant 940 ou 940'</t>
  </si>
  <si>
    <t xml:space="preserve">Apprenant 941</t>
  </si>
  <si>
    <t xml:space="preserve">Apprenant 941 ou 941'</t>
  </si>
  <si>
    <t xml:space="preserve">Apprenant 942</t>
  </si>
  <si>
    <t xml:space="preserve">Apprenant 942 ou 942'</t>
  </si>
  <si>
    <t xml:space="preserve">Apprenant 943</t>
  </si>
  <si>
    <t xml:space="preserve">Apprenant 943 ou 943'</t>
  </si>
  <si>
    <t xml:space="preserve">Apprenant 944</t>
  </si>
  <si>
    <t xml:space="preserve">Apprenant 944 ou 944'</t>
  </si>
  <si>
    <t xml:space="preserve">Apprenant 945</t>
  </si>
  <si>
    <t xml:space="preserve">Apprenant 945 ou 945'</t>
  </si>
  <si>
    <t xml:space="preserve">Apprenant 946</t>
  </si>
  <si>
    <t xml:space="preserve">Apprenant 946 ou 946'</t>
  </si>
  <si>
    <t xml:space="preserve">Apprenant 947</t>
  </si>
  <si>
    <t xml:space="preserve">Apprenant 947 ou 947'</t>
  </si>
  <si>
    <t xml:space="preserve">Apprenant 948</t>
  </si>
  <si>
    <t xml:space="preserve">Apprenant 948 ou 948'</t>
  </si>
  <si>
    <t xml:space="preserve">Apprenant 949</t>
  </si>
  <si>
    <t xml:space="preserve">Apprenant 949 ou 949'</t>
  </si>
  <si>
    <t xml:space="preserve">Apprenant 950</t>
  </si>
  <si>
    <t xml:space="preserve">Apprenant 950 ou 950'</t>
  </si>
  <si>
    <t xml:space="preserve">Apprenant 951</t>
  </si>
  <si>
    <t xml:space="preserve">Apprenant 951 ou 951'</t>
  </si>
  <si>
    <t xml:space="preserve">Apprenant 952</t>
  </si>
  <si>
    <t xml:space="preserve">Apprenant 952 ou 952'</t>
  </si>
  <si>
    <t xml:space="preserve">Apprenant 953</t>
  </si>
  <si>
    <t xml:space="preserve">Apprenant 953 ou 953'</t>
  </si>
  <si>
    <t xml:space="preserve">Apprenant 954</t>
  </si>
  <si>
    <t xml:space="preserve">Apprenant 954 ou 954'</t>
  </si>
  <si>
    <t xml:space="preserve">Apprenant 955</t>
  </si>
  <si>
    <t xml:space="preserve">Apprenant 955 ou 955'</t>
  </si>
  <si>
    <t xml:space="preserve">Apprenant 956</t>
  </si>
  <si>
    <t xml:space="preserve">Apprenant 956 ou 956'</t>
  </si>
  <si>
    <t xml:space="preserve">Apprenant 957</t>
  </si>
  <si>
    <t xml:space="preserve">Apprenant 957 ou 957'</t>
  </si>
  <si>
    <t xml:space="preserve">Apprenant 958</t>
  </si>
  <si>
    <t xml:space="preserve">Apprenant 958 ou 958'</t>
  </si>
  <si>
    <t xml:space="preserve">Apprenant 959</t>
  </si>
  <si>
    <t xml:space="preserve">Apprenant 959 ou 959'</t>
  </si>
  <si>
    <t xml:space="preserve">Apprenant 960</t>
  </si>
  <si>
    <t xml:space="preserve">Apprenant 960 ou 960'</t>
  </si>
  <si>
    <t xml:space="preserve">Apprenant 961</t>
  </si>
  <si>
    <t xml:space="preserve">Apprenant 961 ou 961'</t>
  </si>
  <si>
    <t xml:space="preserve">Apprenant 962</t>
  </si>
  <si>
    <t xml:space="preserve">Apprenant 962 ou 962'</t>
  </si>
  <si>
    <t xml:space="preserve">Apprenant 963</t>
  </si>
  <si>
    <t xml:space="preserve">Apprenant 963 ou 963'</t>
  </si>
  <si>
    <t xml:space="preserve">Apprenant 964</t>
  </si>
  <si>
    <t xml:space="preserve">Apprenant 964 ou 964'</t>
  </si>
  <si>
    <t xml:space="preserve">Apprenant 965</t>
  </si>
  <si>
    <t xml:space="preserve">Apprenant 965 ou 965'</t>
  </si>
  <si>
    <t xml:space="preserve">Apprenant 966</t>
  </si>
  <si>
    <t xml:space="preserve">Apprenant 966 ou 966'</t>
  </si>
  <si>
    <t xml:space="preserve">Apprenant 967</t>
  </si>
  <si>
    <t xml:space="preserve">Apprenant 967 ou 967'</t>
  </si>
  <si>
    <t xml:space="preserve">Apprenant 968</t>
  </si>
  <si>
    <t xml:space="preserve">Apprenant 968 ou 968'</t>
  </si>
  <si>
    <t xml:space="preserve">Apprenant 969</t>
  </si>
  <si>
    <t xml:space="preserve">Apprenant 969 ou 969'</t>
  </si>
  <si>
    <t xml:space="preserve">Apprenant 970</t>
  </si>
  <si>
    <t xml:space="preserve">Apprenant 970 ou 970'</t>
  </si>
  <si>
    <t xml:space="preserve">Apprenant 971</t>
  </si>
  <si>
    <t xml:space="preserve">Apprenant 971 ou 971'</t>
  </si>
  <si>
    <t xml:space="preserve">Apprenant 972</t>
  </si>
  <si>
    <t xml:space="preserve">Apprenant 972 ou 972'</t>
  </si>
  <si>
    <t xml:space="preserve">Apprenant 973</t>
  </si>
  <si>
    <t xml:space="preserve">Apprenant 973 ou 973'</t>
  </si>
  <si>
    <t xml:space="preserve">Apprenant 974</t>
  </si>
  <si>
    <t xml:space="preserve">Apprenant 974 ou 974'</t>
  </si>
  <si>
    <t xml:space="preserve">Apprenant 975</t>
  </si>
  <si>
    <t xml:space="preserve">Apprenant 975 ou 975'</t>
  </si>
  <si>
    <t xml:space="preserve">Apprenant 976</t>
  </si>
  <si>
    <t xml:space="preserve">Apprenant 976 ou 976'</t>
  </si>
  <si>
    <t xml:space="preserve">Apprenant 977</t>
  </si>
  <si>
    <t xml:space="preserve">Apprenant 977 ou 977'</t>
  </si>
  <si>
    <t xml:space="preserve">Apprenant 978</t>
  </si>
  <si>
    <t xml:space="preserve">Apprenant 978 ou 978'</t>
  </si>
  <si>
    <t xml:space="preserve">Apprenant 979</t>
  </si>
  <si>
    <t xml:space="preserve">Apprenant 979 ou 979'</t>
  </si>
  <si>
    <t xml:space="preserve">Apprenant 980</t>
  </si>
  <si>
    <t xml:space="preserve">Apprenant 980 ou 980'</t>
  </si>
  <si>
    <t xml:space="preserve">Apprenant 981</t>
  </si>
  <si>
    <t xml:space="preserve">Apprenant 981 ou 981'</t>
  </si>
  <si>
    <t xml:space="preserve">Apprenant 982</t>
  </si>
  <si>
    <t xml:space="preserve">Apprenant 982 ou 982'</t>
  </si>
  <si>
    <t xml:space="preserve">Apprenant 983</t>
  </si>
  <si>
    <t xml:space="preserve">Apprenant 983 ou 983'</t>
  </si>
  <si>
    <t xml:space="preserve">Apprenant 984</t>
  </si>
  <si>
    <t xml:space="preserve">Apprenant 984 ou 984'</t>
  </si>
  <si>
    <t xml:space="preserve">Apprenant 985</t>
  </si>
  <si>
    <t xml:space="preserve">Apprenant 985 ou 985'</t>
  </si>
  <si>
    <t xml:space="preserve">Apprenant 986</t>
  </si>
  <si>
    <t xml:space="preserve">Apprenant 986 ou 986'</t>
  </si>
  <si>
    <t xml:space="preserve">Apprenant 987</t>
  </si>
  <si>
    <t xml:space="preserve">Apprenant 987 ou 987'</t>
  </si>
  <si>
    <t xml:space="preserve">Apprenant 988</t>
  </si>
  <si>
    <t xml:space="preserve">Apprenant 988 ou 988'</t>
  </si>
  <si>
    <t xml:space="preserve">Apprenant 989</t>
  </si>
  <si>
    <t xml:space="preserve">Apprenant 989 ou 989'</t>
  </si>
  <si>
    <t xml:space="preserve">Apprenant 990</t>
  </si>
  <si>
    <t xml:space="preserve">Apprenant 990 ou 990'</t>
  </si>
  <si>
    <t xml:space="preserve">Apprenant 991</t>
  </si>
  <si>
    <t xml:space="preserve">Apprenant 991 ou 991'</t>
  </si>
  <si>
    <t xml:space="preserve">Apprenant 992</t>
  </si>
  <si>
    <t xml:space="preserve">Apprenant 992 ou 992'</t>
  </si>
  <si>
    <t xml:space="preserve">Apprenant 993</t>
  </si>
  <si>
    <t xml:space="preserve">Apprenant 993 ou 993'</t>
  </si>
  <si>
    <t xml:space="preserve">Apprenant 994</t>
  </si>
  <si>
    <t xml:space="preserve">Apprenant 994 ou 994'</t>
  </si>
  <si>
    <t xml:space="preserve">Apprenant 995</t>
  </si>
  <si>
    <t xml:space="preserve">Apprenant 995 ou 995'</t>
  </si>
  <si>
    <t xml:space="preserve">Apprenant 996</t>
  </si>
  <si>
    <t xml:space="preserve">Apprenant 996 ou 996'</t>
  </si>
  <si>
    <t xml:space="preserve">Apprenant 997</t>
  </si>
  <si>
    <t xml:space="preserve">Apprenant 997 ou 997'</t>
  </si>
  <si>
    <t xml:space="preserve">Apprenant 998</t>
  </si>
  <si>
    <t xml:space="preserve">Apprenant 998 ou 998'</t>
  </si>
  <si>
    <t xml:space="preserve">Apprenant 999</t>
  </si>
  <si>
    <t xml:space="preserve">Apprenant 999 ou 999'</t>
  </si>
  <si>
    <t xml:space="preserve">Apprenant 1000</t>
  </si>
  <si>
    <t xml:space="preserve">Apprenant 1000 ou 1000'</t>
  </si>
  <si>
    <t xml:space="preserve">Scores bruts (40 premiers apprenants)</t>
  </si>
  <si>
    <t xml:space="preserve">Scores bruts (tous les apprenants)</t>
  </si>
  <si>
    <t xml:space="preserve">Données descriptives du groupe (apprenants présents à tous les tests)</t>
  </si>
  <si>
    <t xml:space="preserve">Données descriptives pour les apprenants présents à tous les tests ([minimum ; premier quartile ; médiane ; troisième quartile ; maximum])</t>
  </si>
  <si>
    <t xml:space="preserve">Post-test
différé</t>
  </si>
  <si>
    <t xml:space="preserve">Probabilités de réussite (apprenants présents à tous les tests)</t>
  </si>
  <si>
    <t xml:space="preserve">Probabilités de réussite
± intervalle de confiance à 95%</t>
  </si>
  <si>
    <t xml:space="preserve">10 minutes de questions réponses</t>
  </si>
  <si>
    <t xml:space="preserve">10 minutes de Penser Comparer Partager</t>
  </si>
  <si>
    <t xml:space="preserve">Évolutions des probabilités de réussite (apprenants présents à tous les tests)</t>
  </si>
  <si>
    <t xml:space="preserve">Évolutions des probabilités de réussite
± intervalle de confiance à 95%</t>
  </si>
  <si>
    <t xml:space="preserve">Évolution après l'enseignement
(post-test différé - post-test immédiat)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</si>
</sst>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\ %"/>
    <numFmt numFmtId="167" formatCode="0.00"/>
    <numFmt numFmtId="168" formatCode="#,##0"/>
    <numFmt numFmtId="169" formatCode="0.00000"/>
    <numFmt numFmtId="170" formatCode="0%"/>
    <numFmt numFmtId="171" formatCode="\+0%;\-0%;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0F375F"/>
      <name val="Calibri"/>
      <family val="2"/>
      <charset val="1"/>
    </font>
    <font>
      <b val="true"/>
      <sz val="14"/>
      <color rgb="FF0F375F"/>
      <name val="Calibri"/>
      <family val="2"/>
      <charset val="1"/>
    </font>
    <font>
      <b val="true"/>
      <sz val="18"/>
      <color rgb="FF0F375F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1"/>
      <name val="Calibri"/>
      <family val="2"/>
      <charset val="1"/>
    </font>
    <font>
      <sz val="14"/>
      <color rgb="FF0F375F"/>
      <name val="Calibri"/>
      <family val="2"/>
      <charset val="1"/>
    </font>
    <font>
      <sz val="12"/>
      <color theme="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color rgb="FF0F375F"/>
      <name val="Calibri"/>
      <family val="2"/>
      <charset val="1"/>
    </font>
    <font>
      <sz val="12"/>
      <color rgb="FF0F375F"/>
      <name val="Calibri"/>
      <family val="2"/>
      <charset val="1"/>
    </font>
    <font>
      <i val="true"/>
      <sz val="12"/>
      <color rgb="FF0F375F"/>
      <name val="Calibri"/>
      <family val="2"/>
      <charset val="1"/>
    </font>
    <font>
      <sz val="11"/>
      <color rgb="FF0F375F"/>
      <name val="Calibri"/>
      <family val="2"/>
      <charset val="1"/>
    </font>
    <font>
      <sz val="11"/>
      <color rgb="FF0F375F"/>
      <name val="Arial"/>
      <family val="2"/>
      <charset val="1"/>
    </font>
    <font>
      <sz val="12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 val="true"/>
      <sz val="16"/>
      <color rgb="FF595959"/>
      <name val="Calibri"/>
      <family val="2"/>
    </font>
    <font>
      <sz val="11"/>
      <color rgb="FF000000"/>
      <name val="Calibri"/>
      <family val="2"/>
    </font>
    <font>
      <sz val="14"/>
      <color rgb="FF595959"/>
      <name val="Calibri"/>
      <family val="2"/>
    </font>
    <font>
      <b val="true"/>
      <sz val="14"/>
      <color rgb="FF595959"/>
      <name val="Calibri"/>
      <family val="2"/>
    </font>
    <font>
      <sz val="11"/>
      <color rgb="FF595959"/>
      <name val="Calibri"/>
      <family val="2"/>
    </font>
    <font>
      <b val="true"/>
      <sz val="16"/>
      <color rgb="FF0F375F"/>
      <name val="Calibri"/>
      <family val="2"/>
      <charset val="1"/>
    </font>
    <font>
      <b val="true"/>
      <sz val="14"/>
      <name val="Times New Roman"/>
      <family val="1"/>
    </font>
    <font>
      <sz val="14"/>
      <name val="Times New Roman"/>
      <family val="1"/>
    </font>
    <font>
      <b val="true"/>
      <sz val="16"/>
      <name val="Times New Roman"/>
      <family val="1"/>
    </font>
    <font>
      <b val="true"/>
      <sz val="14"/>
      <name val="Calibri"/>
      <family val="0"/>
    </font>
    <font>
      <b val="true"/>
      <sz val="16"/>
      <color rgb="FF000000"/>
      <name val="Calibri"/>
      <family val="2"/>
    </font>
    <font>
      <b val="true"/>
      <sz val="14"/>
      <color rgb="FF000000"/>
      <name val="Calibri"/>
      <family val="2"/>
    </font>
    <font>
      <sz val="12"/>
      <color rgb="FFFF0000"/>
      <name val="Calibri"/>
      <family val="2"/>
      <charset val="1"/>
    </font>
    <font>
      <sz val="16"/>
      <color rgb="FF59595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A00"/>
        <bgColor rgb="FFFF9900"/>
      </patternFill>
    </fill>
    <fill>
      <patternFill patternType="solid">
        <fgColor rgb="FF0F375F"/>
        <bgColor rgb="FF333333"/>
      </patternFill>
    </fill>
    <fill>
      <patternFill patternType="solid">
        <fgColor rgb="FF46B48C"/>
        <bgColor rgb="FF33CCCC"/>
      </patternFill>
    </fill>
    <fill>
      <patternFill patternType="solid">
        <fgColor rgb="FFFFDDDD"/>
        <bgColor rgb="FFFFC7CE"/>
      </patternFill>
    </fill>
    <fill>
      <patternFill patternType="solid">
        <fgColor rgb="FFC6E3EE"/>
        <bgColor rgb="FFD9D9D9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CA00"/>
      </bottom>
      <diagonal/>
    </border>
    <border diagonalUp="false" diagonalDown="false">
      <left style="medium">
        <color rgb="FFFFCA00"/>
      </left>
      <right style="hair">
        <color rgb="FFFFCA00"/>
      </right>
      <top style="medium">
        <color rgb="FFFFCA00"/>
      </top>
      <bottom/>
      <diagonal/>
    </border>
    <border diagonalUp="false" diagonalDown="false">
      <left/>
      <right style="medium">
        <color rgb="FFFFCA00"/>
      </right>
      <top style="medium">
        <color rgb="FFFFCA00"/>
      </top>
      <bottom/>
      <diagonal/>
    </border>
    <border diagonalUp="false" diagonalDown="false">
      <left style="medium">
        <color rgb="FFFFCA00"/>
      </left>
      <right style="hair">
        <color rgb="FFFFCA00"/>
      </right>
      <top/>
      <bottom/>
      <diagonal/>
    </border>
    <border diagonalUp="false" diagonalDown="false">
      <left/>
      <right style="medium">
        <color rgb="FFFFCA00"/>
      </right>
      <top/>
      <bottom/>
      <diagonal/>
    </border>
    <border diagonalUp="false" diagonalDown="false">
      <left style="medium">
        <color rgb="FFFFCA00"/>
      </left>
      <right style="hair">
        <color rgb="FFFFCA00"/>
      </right>
      <top/>
      <bottom style="medium">
        <color rgb="FFFFCA00"/>
      </bottom>
      <diagonal/>
    </border>
    <border diagonalUp="false" diagonalDown="false">
      <left/>
      <right style="medium">
        <color rgb="FFFFCA00"/>
      </right>
      <top/>
      <bottom style="medium">
        <color rgb="FFFFCA00"/>
      </bottom>
      <diagonal/>
    </border>
    <border diagonalUp="false" diagonalDown="false">
      <left/>
      <right/>
      <top style="medium">
        <color rgb="FFFFCA00"/>
      </top>
      <bottom/>
      <diagonal/>
    </border>
    <border diagonalUp="false" diagonalDown="false">
      <left style="hair">
        <color rgb="FFC92E17"/>
      </left>
      <right style="hair">
        <color rgb="FFC92E17"/>
      </right>
      <top style="hair">
        <color rgb="FFC92E17"/>
      </top>
      <bottom style="hair">
        <color rgb="FFC92E17"/>
      </bottom>
      <diagonal/>
    </border>
    <border diagonalUp="false" diagonalDown="false">
      <left style="thick">
        <color rgb="FF0F375F"/>
      </left>
      <right style="thick">
        <color rgb="FF0F375F"/>
      </right>
      <top style="thick">
        <color rgb="FF0F375F"/>
      </top>
      <bottom style="thick">
        <color rgb="FF0F37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4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5" fillId="4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4" fillId="4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6" fillId="6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5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5" fillId="0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2F2F2"/>
      <rgbColor rgb="FFC6E3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DDD"/>
      <rgbColor rgb="FF99CCFF"/>
      <rgbColor rgb="FFFF99CC"/>
      <rgbColor rgb="FFCC99FF"/>
      <rgbColor rgb="FFFFC7CE"/>
      <rgbColor rgb="FF3366FF"/>
      <rgbColor rgb="FF33CCCC"/>
      <rgbColor rgb="FF99CC00"/>
      <rgbColor rgb="FFFFCA00"/>
      <rgbColor rgb="FFFF9900"/>
      <rgbColor rgb="FFFF6600"/>
      <rgbColor rgb="FF595959"/>
      <rgbColor rgb="FF969696"/>
      <rgbColor rgb="FF0F375F"/>
      <rgbColor rgb="FF46B48C"/>
      <rgbColor rgb="FF003300"/>
      <rgbColor rgb="FF333300"/>
      <rgbColor rgb="FFC92E17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5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fr-FR" sz="1600" spc="-1" strike="noStrike">
                <a:solidFill>
                  <a:srgbClr val="595959"/>
                </a:solidFill>
                <a:latin typeface="Calibri"/>
              </a:rPr>
              <a:t>Scores bruts des apprenants pour la pratique pédagogique habituelle au pré-test, au post-test immédiat et au post-test différé</a:t>
            </a:r>
          </a:p>
        </c:rich>
      </c:tx>
      <c:layout>
        <c:manualLayout>
          <c:xMode val="edge"/>
          <c:yMode val="edge"/>
          <c:x val="0.113822456424807"/>
          <c:y val="0.023453205271387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572760437779"/>
          <c:y val="0.279651552378825"/>
          <c:w val="0.659910822861775"/>
          <c:h val="0.593477775295957"/>
        </c:manualLayout>
      </c:layout>
      <c:radarChart>
        <c:radarStyle val="marker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solidFill>
              <a:srgbClr val="0f375f"/>
            </a:solidFill>
            <a:ln cap="rnd" w="28440">
              <a:solidFill>
                <a:srgbClr val="0f375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'Données brutes'!$B$13:$B$52</c:f>
              <c:numCache>
                <c:formatCode>General</c:formatCode>
                <c:ptCount val="4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2</c:v>
                </c:pt>
                <c:pt idx="14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4</c:v>
                </c:pt>
                <c:pt idx="20">
                  <c:v>6</c:v>
                </c:pt>
                <c:pt idx="21">
                  <c:v>2</c:v>
                </c:pt>
                <c:pt idx="22">
                  <c:v>3</c:v>
                </c:pt>
                <c:pt idx="23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5</c:v>
                </c:pt>
                <c:pt idx="30">
                  <c:v>4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</c:numCache>
            </c:numRef>
          </c:val>
        </c:ser>
        <c:ser>
          <c:idx val="1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solidFill>
              <a:srgbClr val="ffca00"/>
            </a:solidFill>
            <a:ln cap="rnd" w="28440">
              <a:solidFill>
                <a:srgbClr val="ffca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'Données brutes'!$C$13:$C$52</c:f>
              <c:numCache>
                <c:formatCode>General</c:formatCode>
                <c:ptCount val="40"/>
                <c:pt idx="0">
                  <c:v>13</c:v>
                </c:pt>
                <c:pt idx="1">
                  <c:v>12</c:v>
                </c:pt>
                <c:pt idx="2">
                  <c:v>15</c:v>
                </c:pt>
                <c:pt idx="4">
                  <c:v>13</c:v>
                </c:pt>
                <c:pt idx="5">
                  <c:v>15</c:v>
                </c:pt>
                <c:pt idx="6">
                  <c:v>3</c:v>
                </c:pt>
                <c:pt idx="7">
                  <c:v>9</c:v>
                </c:pt>
                <c:pt idx="8">
                  <c:v>14</c:v>
                </c:pt>
                <c:pt idx="9">
                  <c:v>12</c:v>
                </c:pt>
                <c:pt idx="10">
                  <c:v>13</c:v>
                </c:pt>
                <c:pt idx="11">
                  <c:v>15</c:v>
                </c:pt>
                <c:pt idx="12">
                  <c:v>14</c:v>
                </c:pt>
                <c:pt idx="13">
                  <c:v>16</c:v>
                </c:pt>
                <c:pt idx="14">
                  <c:v>12</c:v>
                </c:pt>
                <c:pt idx="15">
                  <c:v>13</c:v>
                </c:pt>
                <c:pt idx="16">
                  <c:v>11</c:v>
                </c:pt>
                <c:pt idx="17">
                  <c:v>12</c:v>
                </c:pt>
                <c:pt idx="18">
                  <c:v>9</c:v>
                </c:pt>
                <c:pt idx="19">
                  <c:v>10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9</c:v>
                </c:pt>
                <c:pt idx="25">
                  <c:v>8</c:v>
                </c:pt>
                <c:pt idx="26">
                  <c:v>15</c:v>
                </c:pt>
                <c:pt idx="27">
                  <c:v>13</c:v>
                </c:pt>
                <c:pt idx="28">
                  <c:v>14</c:v>
                </c:pt>
                <c:pt idx="29">
                  <c:v>12</c:v>
                </c:pt>
                <c:pt idx="30">
                  <c:v>16</c:v>
                </c:pt>
                <c:pt idx="31">
                  <c:v>12</c:v>
                </c:pt>
                <c:pt idx="32">
                  <c:v>13</c:v>
                </c:pt>
                <c:pt idx="33">
                  <c:v>12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11</c:v>
                </c:pt>
                <c:pt idx="38">
                  <c:v>10</c:v>
                </c:pt>
              </c:numCache>
            </c:numRef>
          </c:val>
        </c:ser>
        <c:ser>
          <c:idx val="2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solidFill>
              <a:srgbClr val="46b48c"/>
            </a:solidFill>
            <a:ln cap="rnd" w="28440">
              <a:solidFill>
                <a:srgbClr val="46b48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'Données brutes'!$D$13:$D$52</c:f>
              <c:numCache>
                <c:formatCode>General</c:formatCode>
                <c:ptCount val="40"/>
                <c:pt idx="0">
                  <c:v>10</c:v>
                </c:pt>
                <c:pt idx="1">
                  <c:v>9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7</c:v>
                </c:pt>
                <c:pt idx="7">
                  <c:v>7</c:v>
                </c:pt>
                <c:pt idx="8">
                  <c:v>11</c:v>
                </c:pt>
                <c:pt idx="9">
                  <c:v>10</c:v>
                </c:pt>
                <c:pt idx="10">
                  <c:v>13</c:v>
                </c:pt>
                <c:pt idx="11">
                  <c:v>17</c:v>
                </c:pt>
                <c:pt idx="12">
                  <c:v>10</c:v>
                </c:pt>
                <c:pt idx="13">
                  <c:v>11</c:v>
                </c:pt>
                <c:pt idx="14">
                  <c:v>8</c:v>
                </c:pt>
                <c:pt idx="15">
                  <c:v>10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7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6</c:v>
                </c:pt>
                <c:pt idx="25">
                  <c:v>7</c:v>
                </c:pt>
                <c:pt idx="26">
                  <c:v>13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13</c:v>
                </c:pt>
                <c:pt idx="31">
                  <c:v>10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14</c:v>
                </c:pt>
                <c:pt idx="37">
                  <c:v>8</c:v>
                </c:pt>
                <c:pt idx="38">
                  <c:v>10</c:v>
                </c:pt>
                <c:pt idx="39">
                  <c:v>10</c:v>
                </c:pt>
              </c:numCache>
            </c:numRef>
          </c:val>
        </c:ser>
        <c:axId val="61016424"/>
        <c:axId val="46273828"/>
      </c:radarChart>
      <c:catAx>
        <c:axId val="61016424"/>
        <c:scaling>
          <c:orientation val="maxMin"/>
        </c:scaling>
        <c:delete val="1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73828"/>
        <c:auto val="1"/>
        <c:lblAlgn val="ctr"/>
        <c:lblOffset val="100"/>
        <c:noMultiLvlLbl val="0"/>
      </c:catAx>
      <c:valAx>
        <c:axId val="462738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1016424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179301121126091"/>
          <c:y val="0.873805642853425"/>
          <c:w val="0.963568140620861"/>
          <c:h val="0.102410800950197"/>
        </c:manualLayout>
      </c:layout>
      <c:overlay val="0"/>
      <c:spPr>
        <a:noFill/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1" sz="14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fr-FR" sz="1600" spc="-1" strike="noStrike">
                <a:solidFill>
                  <a:srgbClr val="595959"/>
                </a:solidFill>
                <a:latin typeface="Calibri"/>
              </a:rPr>
              <a:t>Scores bruts des apprenants pour la nouvelle pratique pédagogique  au pré-test, au post-test immédiat et au post-test différé</a:t>
            </a:r>
          </a:p>
        </c:rich>
      </c:tx>
      <c:layout>
        <c:manualLayout>
          <c:xMode val="edge"/>
          <c:yMode val="edge"/>
          <c:x val="0.113877848973964"/>
          <c:y val="0.023395721925133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491280720253"/>
          <c:y val="0.274361259655377"/>
          <c:w val="0.665828534349907"/>
          <c:h val="0.598039215686275"/>
        </c:manualLayout>
      </c:layout>
      <c:radarChart>
        <c:radarStyle val="marker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solidFill>
              <a:srgbClr val="0f375f"/>
            </a:solidFill>
            <a:ln cap="rnd" w="28440">
              <a:solidFill>
                <a:srgbClr val="0f375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'Données brutes'!$G$13:$G$52</c:f>
              <c:numCache>
                <c:formatCode>General</c:formatCode>
                <c:ptCount val="40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3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5</c:v>
                </c:pt>
                <c:pt idx="35">
                  <c:v>4</c:v>
                </c:pt>
                <c:pt idx="37">
                  <c:v>3</c:v>
                </c:pt>
                <c:pt idx="38">
                  <c:v>5</c:v>
                </c:pt>
                <c:pt idx="39">
                  <c:v>4</c:v>
                </c:pt>
              </c:numCache>
            </c:numRef>
          </c:val>
        </c:ser>
        <c:ser>
          <c:idx val="1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solidFill>
              <a:srgbClr val="ffca00"/>
            </a:solidFill>
            <a:ln cap="rnd" w="28440">
              <a:solidFill>
                <a:srgbClr val="ffca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'Données brutes'!$H$13:$H$52</c:f>
              <c:numCache>
                <c:formatCode>General</c:formatCode>
                <c:ptCount val="40"/>
                <c:pt idx="0">
                  <c:v>16</c:v>
                </c:pt>
                <c:pt idx="1">
                  <c:v>15</c:v>
                </c:pt>
                <c:pt idx="2">
                  <c:v>17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14</c:v>
                </c:pt>
                <c:pt idx="18">
                  <c:v>15</c:v>
                </c:pt>
                <c:pt idx="19">
                  <c:v>15</c:v>
                </c:pt>
                <c:pt idx="20">
                  <c:v>9</c:v>
                </c:pt>
                <c:pt idx="22">
                  <c:v>16</c:v>
                </c:pt>
                <c:pt idx="25">
                  <c:v>14</c:v>
                </c:pt>
                <c:pt idx="26">
                  <c:v>12</c:v>
                </c:pt>
                <c:pt idx="27">
                  <c:v>16</c:v>
                </c:pt>
                <c:pt idx="28">
                  <c:v>12</c:v>
                </c:pt>
                <c:pt idx="29">
                  <c:v>15</c:v>
                </c:pt>
                <c:pt idx="30">
                  <c:v>5</c:v>
                </c:pt>
                <c:pt idx="31">
                  <c:v>13</c:v>
                </c:pt>
                <c:pt idx="32">
                  <c:v>14</c:v>
                </c:pt>
                <c:pt idx="33">
                  <c:v>19</c:v>
                </c:pt>
                <c:pt idx="34">
                  <c:v>15</c:v>
                </c:pt>
                <c:pt idx="35">
                  <c:v>15</c:v>
                </c:pt>
                <c:pt idx="36">
                  <c:v>13</c:v>
                </c:pt>
                <c:pt idx="37">
                  <c:v>18</c:v>
                </c:pt>
                <c:pt idx="38">
                  <c:v>17</c:v>
                </c:pt>
                <c:pt idx="39">
                  <c:v>16</c:v>
                </c:pt>
              </c:numCache>
            </c:numRef>
          </c:val>
        </c:ser>
        <c:ser>
          <c:idx val="2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solidFill>
              <a:srgbClr val="46b48c"/>
            </a:solidFill>
            <a:ln cap="rnd" w="28440">
              <a:solidFill>
                <a:srgbClr val="46b48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'Données brutes'!$I$13:$I$52</c:f>
              <c:numCache>
                <c:formatCode>General</c:formatCode>
                <c:ptCount val="40"/>
                <c:pt idx="0">
                  <c:v>15</c:v>
                </c:pt>
                <c:pt idx="1">
                  <c:v>16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17</c:v>
                </c:pt>
                <c:pt idx="6">
                  <c:v>13</c:v>
                </c:pt>
                <c:pt idx="7">
                  <c:v>15</c:v>
                </c:pt>
                <c:pt idx="8">
                  <c:v>13</c:v>
                </c:pt>
                <c:pt idx="9">
                  <c:v>11</c:v>
                </c:pt>
                <c:pt idx="10">
                  <c:v>11</c:v>
                </c:pt>
                <c:pt idx="11">
                  <c:v>15</c:v>
                </c:pt>
                <c:pt idx="12">
                  <c:v>14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16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9</c:v>
                </c:pt>
                <c:pt idx="21">
                  <c:v>12</c:v>
                </c:pt>
                <c:pt idx="22">
                  <c:v>15</c:v>
                </c:pt>
                <c:pt idx="23">
                  <c:v>15</c:v>
                </c:pt>
                <c:pt idx="24">
                  <c:v>10</c:v>
                </c:pt>
                <c:pt idx="25">
                  <c:v>13</c:v>
                </c:pt>
                <c:pt idx="26">
                  <c:v>11</c:v>
                </c:pt>
                <c:pt idx="27">
                  <c:v>15</c:v>
                </c:pt>
                <c:pt idx="28">
                  <c:v>10</c:v>
                </c:pt>
                <c:pt idx="29">
                  <c:v>15</c:v>
                </c:pt>
                <c:pt idx="30">
                  <c:v>13</c:v>
                </c:pt>
                <c:pt idx="31">
                  <c:v>12</c:v>
                </c:pt>
                <c:pt idx="32">
                  <c:v>13</c:v>
                </c:pt>
                <c:pt idx="33">
                  <c:v>17</c:v>
                </c:pt>
                <c:pt idx="34">
                  <c:v>15</c:v>
                </c:pt>
                <c:pt idx="35">
                  <c:v>16</c:v>
                </c:pt>
                <c:pt idx="36">
                  <c:v>12</c:v>
                </c:pt>
                <c:pt idx="37">
                  <c:v>17</c:v>
                </c:pt>
                <c:pt idx="38">
                  <c:v>17</c:v>
                </c:pt>
                <c:pt idx="39">
                  <c:v>14</c:v>
                </c:pt>
              </c:numCache>
            </c:numRef>
          </c:val>
        </c:ser>
        <c:axId val="81417762"/>
        <c:axId val="41084415"/>
      </c:radarChart>
      <c:catAx>
        <c:axId val="81417762"/>
        <c:scaling>
          <c:orientation val="maxMin"/>
        </c:scaling>
        <c:delete val="1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84415"/>
        <c:auto val="1"/>
        <c:lblAlgn val="ctr"/>
        <c:lblOffset val="100"/>
        <c:noMultiLvlLbl val="0"/>
      </c:catAx>
      <c:valAx>
        <c:axId val="4108441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417762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14684522120556"/>
          <c:y val="0.867006923374465"/>
          <c:w val="0.96974063433898"/>
          <c:h val="0.109034274784195"/>
        </c:manualLayout>
      </c:layout>
      <c:overlay val="0"/>
      <c:spPr>
        <a:noFill/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1" sz="14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fr-FR" sz="1600" spc="-1" strike="noStrike">
                <a:solidFill>
                  <a:srgbClr val="595959"/>
                </a:solidFill>
                <a:latin typeface="Calibri"/>
              </a:rPr>
              <a:t>Scores bruts des apprenants pour la pratique pédagogique habituelle au pré-test, au post-test immédiat et au post-test différé</a:t>
            </a:r>
          </a:p>
        </c:rich>
      </c:tx>
      <c:layout>
        <c:manualLayout>
          <c:xMode val="edge"/>
          <c:yMode val="edge"/>
          <c:x val="0.0017517601735819"/>
          <c:y val="0.042346251683375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0462294646415445"/>
          <c:y val="0.158012868472243"/>
          <c:w val="0.992847717309481"/>
          <c:h val="0.481221008529104"/>
        </c:manualLayout>
      </c:layout>
      <c:lineChart>
        <c:grouping val="standard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solidFill>
              <a:srgbClr val="0f375f"/>
            </a:solidFill>
            <a:ln cap="rnd" w="28440">
              <a:solidFill>
                <a:srgbClr val="0f375f"/>
              </a:solidFill>
              <a:round/>
            </a:ln>
          </c:spPr>
          <c:marker>
            <c:symbol val="circle"/>
            <c:size val="5"/>
            <c:spPr>
              <a:solidFill>
                <a:srgbClr val="0f375f"/>
              </a:solidFill>
            </c:spPr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brutes'!$A$13:$A$1012</c:f>
              <c:strCache>
                <c:ptCount val="1000"/>
                <c:pt idx="0">
                  <c:v>977</c:v>
                </c:pt>
                <c:pt idx="1">
                  <c:v>429</c:v>
                </c:pt>
                <c:pt idx="2">
                  <c:v>758</c:v>
                </c:pt>
                <c:pt idx="3">
                  <c:v>747</c:v>
                </c:pt>
                <c:pt idx="4">
                  <c:v>998</c:v>
                </c:pt>
                <c:pt idx="5">
                  <c:v>566</c:v>
                </c:pt>
                <c:pt idx="6">
                  <c:v>73</c:v>
                </c:pt>
                <c:pt idx="7">
                  <c:v>241</c:v>
                </c:pt>
                <c:pt idx="8">
                  <c:v>602</c:v>
                </c:pt>
                <c:pt idx="9">
                  <c:v>75</c:v>
                </c:pt>
                <c:pt idx="10">
                  <c:v>704</c:v>
                </c:pt>
                <c:pt idx="11">
                  <c:v>808</c:v>
                </c:pt>
                <c:pt idx="12">
                  <c:v>23</c:v>
                </c:pt>
                <c:pt idx="13">
                  <c:v>130</c:v>
                </c:pt>
                <c:pt idx="14">
                  <c:v>638</c:v>
                </c:pt>
                <c:pt idx="15">
                  <c:v>96</c:v>
                </c:pt>
                <c:pt idx="16">
                  <c:v>77</c:v>
                </c:pt>
                <c:pt idx="17">
                  <c:v>826</c:v>
                </c:pt>
                <c:pt idx="18">
                  <c:v>410</c:v>
                </c:pt>
                <c:pt idx="19">
                  <c:v>649</c:v>
                </c:pt>
                <c:pt idx="20">
                  <c:v>737</c:v>
                </c:pt>
                <c:pt idx="21">
                  <c:v>748</c:v>
                </c:pt>
                <c:pt idx="22">
                  <c:v>397</c:v>
                </c:pt>
                <c:pt idx="23">
                  <c:v>859</c:v>
                </c:pt>
                <c:pt idx="24">
                  <c:v>285</c:v>
                </c:pt>
                <c:pt idx="25">
                  <c:v>458</c:v>
                </c:pt>
                <c:pt idx="26">
                  <c:v>561</c:v>
                </c:pt>
                <c:pt idx="27">
                  <c:v>265</c:v>
                </c:pt>
                <c:pt idx="28">
                  <c:v>991</c:v>
                </c:pt>
                <c:pt idx="29">
                  <c:v>683</c:v>
                </c:pt>
                <c:pt idx="30">
                  <c:v>68</c:v>
                </c:pt>
                <c:pt idx="31">
                  <c:v>148</c:v>
                </c:pt>
                <c:pt idx="32">
                  <c:v>438</c:v>
                </c:pt>
                <c:pt idx="33">
                  <c:v>169</c:v>
                </c:pt>
                <c:pt idx="34">
                  <c:v>328</c:v>
                </c:pt>
                <c:pt idx="35">
                  <c:v>762</c:v>
                </c:pt>
                <c:pt idx="36">
                  <c:v>353</c:v>
                </c:pt>
                <c:pt idx="37">
                  <c:v>701</c:v>
                </c:pt>
                <c:pt idx="38">
                  <c:v>464</c:v>
                </c:pt>
                <c:pt idx="39">
                  <c:v>628</c:v>
                </c:pt>
                <c:pt idx="40">
                  <c:v>283</c:v>
                </c:pt>
                <c:pt idx="41">
                  <c:v>420</c:v>
                </c:pt>
                <c:pt idx="42">
                  <c:v>556</c:v>
                </c:pt>
                <c:pt idx="43">
                  <c:v>191</c:v>
                </c:pt>
                <c:pt idx="44">
                  <c:v>80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brutes'!$B$13:$B$1012</c:f>
              <c:numCache>
                <c:formatCode>General</c:formatCode>
                <c:ptCount val="10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2</c:v>
                </c:pt>
                <c:pt idx="14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4</c:v>
                </c:pt>
                <c:pt idx="20">
                  <c:v>6</c:v>
                </c:pt>
                <c:pt idx="21">
                  <c:v>2</c:v>
                </c:pt>
                <c:pt idx="22">
                  <c:v>3</c:v>
                </c:pt>
                <c:pt idx="23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5</c:v>
                </c:pt>
                <c:pt idx="30">
                  <c:v>4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1</c:v>
                </c:pt>
                <c:pt idx="44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solidFill>
              <a:srgbClr val="ffca00"/>
            </a:solidFill>
            <a:ln cap="rnd" w="28440">
              <a:solidFill>
                <a:srgbClr val="ffca00"/>
              </a:solidFill>
              <a:round/>
            </a:ln>
          </c:spPr>
          <c:marker>
            <c:symbol val="circle"/>
            <c:size val="5"/>
            <c:spPr>
              <a:solidFill>
                <a:srgbClr val="ffca00"/>
              </a:solidFill>
            </c:spPr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brutes'!$A$13:$A$1012</c:f>
              <c:strCache>
                <c:ptCount val="1000"/>
                <c:pt idx="0">
                  <c:v>977</c:v>
                </c:pt>
                <c:pt idx="1">
                  <c:v>429</c:v>
                </c:pt>
                <c:pt idx="2">
                  <c:v>758</c:v>
                </c:pt>
                <c:pt idx="3">
                  <c:v>747</c:v>
                </c:pt>
                <c:pt idx="4">
                  <c:v>998</c:v>
                </c:pt>
                <c:pt idx="5">
                  <c:v>566</c:v>
                </c:pt>
                <c:pt idx="6">
                  <c:v>73</c:v>
                </c:pt>
                <c:pt idx="7">
                  <c:v>241</c:v>
                </c:pt>
                <c:pt idx="8">
                  <c:v>602</c:v>
                </c:pt>
                <c:pt idx="9">
                  <c:v>75</c:v>
                </c:pt>
                <c:pt idx="10">
                  <c:v>704</c:v>
                </c:pt>
                <c:pt idx="11">
                  <c:v>808</c:v>
                </c:pt>
                <c:pt idx="12">
                  <c:v>23</c:v>
                </c:pt>
                <c:pt idx="13">
                  <c:v>130</c:v>
                </c:pt>
                <c:pt idx="14">
                  <c:v>638</c:v>
                </c:pt>
                <c:pt idx="15">
                  <c:v>96</c:v>
                </c:pt>
                <c:pt idx="16">
                  <c:v>77</c:v>
                </c:pt>
                <c:pt idx="17">
                  <c:v>826</c:v>
                </c:pt>
                <c:pt idx="18">
                  <c:v>410</c:v>
                </c:pt>
                <c:pt idx="19">
                  <c:v>649</c:v>
                </c:pt>
                <c:pt idx="20">
                  <c:v>737</c:v>
                </c:pt>
                <c:pt idx="21">
                  <c:v>748</c:v>
                </c:pt>
                <c:pt idx="22">
                  <c:v>397</c:v>
                </c:pt>
                <c:pt idx="23">
                  <c:v>859</c:v>
                </c:pt>
                <c:pt idx="24">
                  <c:v>285</c:v>
                </c:pt>
                <c:pt idx="25">
                  <c:v>458</c:v>
                </c:pt>
                <c:pt idx="26">
                  <c:v>561</c:v>
                </c:pt>
                <c:pt idx="27">
                  <c:v>265</c:v>
                </c:pt>
                <c:pt idx="28">
                  <c:v>991</c:v>
                </c:pt>
                <c:pt idx="29">
                  <c:v>683</c:v>
                </c:pt>
                <c:pt idx="30">
                  <c:v>68</c:v>
                </c:pt>
                <c:pt idx="31">
                  <c:v>148</c:v>
                </c:pt>
                <c:pt idx="32">
                  <c:v>438</c:v>
                </c:pt>
                <c:pt idx="33">
                  <c:v>169</c:v>
                </c:pt>
                <c:pt idx="34">
                  <c:v>328</c:v>
                </c:pt>
                <c:pt idx="35">
                  <c:v>762</c:v>
                </c:pt>
                <c:pt idx="36">
                  <c:v>353</c:v>
                </c:pt>
                <c:pt idx="37">
                  <c:v>701</c:v>
                </c:pt>
                <c:pt idx="38">
                  <c:v>464</c:v>
                </c:pt>
                <c:pt idx="39">
                  <c:v>628</c:v>
                </c:pt>
                <c:pt idx="40">
                  <c:v>283</c:v>
                </c:pt>
                <c:pt idx="41">
                  <c:v>420</c:v>
                </c:pt>
                <c:pt idx="42">
                  <c:v>556</c:v>
                </c:pt>
                <c:pt idx="43">
                  <c:v>191</c:v>
                </c:pt>
                <c:pt idx="44">
                  <c:v>80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brutes'!$C$13:$C$1012</c:f>
              <c:numCache>
                <c:formatCode>General</c:formatCode>
                <c:ptCount val="1000"/>
                <c:pt idx="0">
                  <c:v>13</c:v>
                </c:pt>
                <c:pt idx="1">
                  <c:v>12</c:v>
                </c:pt>
                <c:pt idx="2">
                  <c:v>15</c:v>
                </c:pt>
                <c:pt idx="4">
                  <c:v>13</c:v>
                </c:pt>
                <c:pt idx="5">
                  <c:v>15</c:v>
                </c:pt>
                <c:pt idx="6">
                  <c:v>3</c:v>
                </c:pt>
                <c:pt idx="7">
                  <c:v>9</c:v>
                </c:pt>
                <c:pt idx="8">
                  <c:v>14</c:v>
                </c:pt>
                <c:pt idx="9">
                  <c:v>12</c:v>
                </c:pt>
                <c:pt idx="10">
                  <c:v>13</c:v>
                </c:pt>
                <c:pt idx="11">
                  <c:v>15</c:v>
                </c:pt>
                <c:pt idx="12">
                  <c:v>14</c:v>
                </c:pt>
                <c:pt idx="13">
                  <c:v>16</c:v>
                </c:pt>
                <c:pt idx="14">
                  <c:v>12</c:v>
                </c:pt>
                <c:pt idx="15">
                  <c:v>13</c:v>
                </c:pt>
                <c:pt idx="16">
                  <c:v>11</c:v>
                </c:pt>
                <c:pt idx="17">
                  <c:v>12</c:v>
                </c:pt>
                <c:pt idx="18">
                  <c:v>9</c:v>
                </c:pt>
                <c:pt idx="19">
                  <c:v>10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9</c:v>
                </c:pt>
                <c:pt idx="25">
                  <c:v>8</c:v>
                </c:pt>
                <c:pt idx="26">
                  <c:v>15</c:v>
                </c:pt>
                <c:pt idx="27">
                  <c:v>13</c:v>
                </c:pt>
                <c:pt idx="28">
                  <c:v>14</c:v>
                </c:pt>
                <c:pt idx="29">
                  <c:v>12</c:v>
                </c:pt>
                <c:pt idx="30">
                  <c:v>16</c:v>
                </c:pt>
                <c:pt idx="31">
                  <c:v>12</c:v>
                </c:pt>
                <c:pt idx="32">
                  <c:v>13</c:v>
                </c:pt>
                <c:pt idx="33">
                  <c:v>12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11</c:v>
                </c:pt>
                <c:pt idx="38">
                  <c:v>10</c:v>
                </c:pt>
                <c:pt idx="40">
                  <c:v>15</c:v>
                </c:pt>
                <c:pt idx="41">
                  <c:v>13</c:v>
                </c:pt>
                <c:pt idx="42">
                  <c:v>12</c:v>
                </c:pt>
                <c:pt idx="43">
                  <c:v>15</c:v>
                </c:pt>
                <c:pt idx="44">
                  <c:v>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solidFill>
              <a:srgbClr val="46b48c"/>
            </a:solidFill>
            <a:ln cap="rnd" w="28440">
              <a:solidFill>
                <a:srgbClr val="46b48c"/>
              </a:solidFill>
              <a:round/>
            </a:ln>
          </c:spPr>
          <c:marker>
            <c:symbol val="circle"/>
            <c:size val="5"/>
            <c:spPr>
              <a:solidFill>
                <a:srgbClr val="46b48c"/>
              </a:solidFill>
            </c:spPr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brutes'!$A$13:$A$1012</c:f>
              <c:strCache>
                <c:ptCount val="1000"/>
                <c:pt idx="0">
                  <c:v>977</c:v>
                </c:pt>
                <c:pt idx="1">
                  <c:v>429</c:v>
                </c:pt>
                <c:pt idx="2">
                  <c:v>758</c:v>
                </c:pt>
                <c:pt idx="3">
                  <c:v>747</c:v>
                </c:pt>
                <c:pt idx="4">
                  <c:v>998</c:v>
                </c:pt>
                <c:pt idx="5">
                  <c:v>566</c:v>
                </c:pt>
                <c:pt idx="6">
                  <c:v>73</c:v>
                </c:pt>
                <c:pt idx="7">
                  <c:v>241</c:v>
                </c:pt>
                <c:pt idx="8">
                  <c:v>602</c:v>
                </c:pt>
                <c:pt idx="9">
                  <c:v>75</c:v>
                </c:pt>
                <c:pt idx="10">
                  <c:v>704</c:v>
                </c:pt>
                <c:pt idx="11">
                  <c:v>808</c:v>
                </c:pt>
                <c:pt idx="12">
                  <c:v>23</c:v>
                </c:pt>
                <c:pt idx="13">
                  <c:v>130</c:v>
                </c:pt>
                <c:pt idx="14">
                  <c:v>638</c:v>
                </c:pt>
                <c:pt idx="15">
                  <c:v>96</c:v>
                </c:pt>
                <c:pt idx="16">
                  <c:v>77</c:v>
                </c:pt>
                <c:pt idx="17">
                  <c:v>826</c:v>
                </c:pt>
                <c:pt idx="18">
                  <c:v>410</c:v>
                </c:pt>
                <c:pt idx="19">
                  <c:v>649</c:v>
                </c:pt>
                <c:pt idx="20">
                  <c:v>737</c:v>
                </c:pt>
                <c:pt idx="21">
                  <c:v>748</c:v>
                </c:pt>
                <c:pt idx="22">
                  <c:v>397</c:v>
                </c:pt>
                <c:pt idx="23">
                  <c:v>859</c:v>
                </c:pt>
                <c:pt idx="24">
                  <c:v>285</c:v>
                </c:pt>
                <c:pt idx="25">
                  <c:v>458</c:v>
                </c:pt>
                <c:pt idx="26">
                  <c:v>561</c:v>
                </c:pt>
                <c:pt idx="27">
                  <c:v>265</c:v>
                </c:pt>
                <c:pt idx="28">
                  <c:v>991</c:v>
                </c:pt>
                <c:pt idx="29">
                  <c:v>683</c:v>
                </c:pt>
                <c:pt idx="30">
                  <c:v>68</c:v>
                </c:pt>
                <c:pt idx="31">
                  <c:v>148</c:v>
                </c:pt>
                <c:pt idx="32">
                  <c:v>438</c:v>
                </c:pt>
                <c:pt idx="33">
                  <c:v>169</c:v>
                </c:pt>
                <c:pt idx="34">
                  <c:v>328</c:v>
                </c:pt>
                <c:pt idx="35">
                  <c:v>762</c:v>
                </c:pt>
                <c:pt idx="36">
                  <c:v>353</c:v>
                </c:pt>
                <c:pt idx="37">
                  <c:v>701</c:v>
                </c:pt>
                <c:pt idx="38">
                  <c:v>464</c:v>
                </c:pt>
                <c:pt idx="39">
                  <c:v>628</c:v>
                </c:pt>
                <c:pt idx="40">
                  <c:v>283</c:v>
                </c:pt>
                <c:pt idx="41">
                  <c:v>420</c:v>
                </c:pt>
                <c:pt idx="42">
                  <c:v>556</c:v>
                </c:pt>
                <c:pt idx="43">
                  <c:v>191</c:v>
                </c:pt>
                <c:pt idx="44">
                  <c:v>80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brutes'!$D$13:$D$1012</c:f>
              <c:numCache>
                <c:formatCode>General</c:formatCode>
                <c:ptCount val="1000"/>
                <c:pt idx="0">
                  <c:v>10</c:v>
                </c:pt>
                <c:pt idx="1">
                  <c:v>9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7</c:v>
                </c:pt>
                <c:pt idx="7">
                  <c:v>7</c:v>
                </c:pt>
                <c:pt idx="8">
                  <c:v>11</c:v>
                </c:pt>
                <c:pt idx="9">
                  <c:v>10</c:v>
                </c:pt>
                <c:pt idx="10">
                  <c:v>13</c:v>
                </c:pt>
                <c:pt idx="11">
                  <c:v>17</c:v>
                </c:pt>
                <c:pt idx="12">
                  <c:v>10</c:v>
                </c:pt>
                <c:pt idx="13">
                  <c:v>11</c:v>
                </c:pt>
                <c:pt idx="14">
                  <c:v>8</c:v>
                </c:pt>
                <c:pt idx="15">
                  <c:v>10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7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6</c:v>
                </c:pt>
                <c:pt idx="25">
                  <c:v>7</c:v>
                </c:pt>
                <c:pt idx="26">
                  <c:v>13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13</c:v>
                </c:pt>
                <c:pt idx="31">
                  <c:v>10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14</c:v>
                </c:pt>
                <c:pt idx="37">
                  <c:v>8</c:v>
                </c:pt>
                <c:pt idx="38">
                  <c:v>10</c:v>
                </c:pt>
                <c:pt idx="39">
                  <c:v>10</c:v>
                </c:pt>
                <c:pt idx="40">
                  <c:v>13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025558"/>
        <c:axId val="33277937"/>
      </c:lineChart>
      <c:catAx>
        <c:axId val="2802555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11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277937"/>
        <c:crosses val="autoZero"/>
        <c:auto val="1"/>
        <c:lblAlgn val="ctr"/>
        <c:lblOffset val="100"/>
        <c:noMultiLvlLbl val="0"/>
      </c:catAx>
      <c:valAx>
        <c:axId val="332779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4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lang="fr-FR" sz="1400" spc="-1" strike="noStrike">
                    <a:solidFill>
                      <a:srgbClr val="595959"/>
                    </a:solidFill>
                    <a:latin typeface="Calibri"/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0.000944072975246867"/>
              <c:y val="0.358446805326949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8025558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118126222864454"/>
          <c:y val="0.909582647936883"/>
          <c:w val="0.0325014893983291"/>
          <c:h val="0.0667526564214488"/>
        </c:manualLayout>
      </c:layout>
      <c:overlay val="0"/>
      <c:spPr>
        <a:noFill/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1" sz="14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fr-FR" sz="1600" spc="-1" strike="noStrike">
                <a:solidFill>
                  <a:srgbClr val="595959"/>
                </a:solidFill>
                <a:latin typeface="Calibri"/>
              </a:rPr>
              <a:t>Scores bruts des apprenants pour la nouvelle pratique pédagogique  au pré-test, au post-test immédiat et au post-test différé</a:t>
            </a:r>
          </a:p>
        </c:rich>
      </c:tx>
      <c:layout>
        <c:manualLayout>
          <c:xMode val="edge"/>
          <c:yMode val="edge"/>
          <c:x val="0.00175172604350799"/>
          <c:y val="0.042330097087378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0455909285742119"/>
          <c:y val="0.158058252427184"/>
          <c:w val="0.992911620196037"/>
          <c:h val="0.476038834951456"/>
        </c:manualLayout>
      </c:layout>
      <c:lineChart>
        <c:grouping val="standard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solidFill>
              <a:srgbClr val="0f375f"/>
            </a:solidFill>
            <a:ln cap="rnd" w="28440">
              <a:solidFill>
                <a:srgbClr val="0f375f"/>
              </a:solidFill>
              <a:round/>
            </a:ln>
          </c:spPr>
          <c:marker>
            <c:symbol val="circle"/>
            <c:size val="5"/>
            <c:spPr>
              <a:solidFill>
                <a:srgbClr val="0f375f"/>
              </a:solidFill>
            </c:spPr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brutes'!$F$13:$F$1012</c:f>
              <c:strCache>
                <c:ptCount val="1000"/>
                <c:pt idx="0">
                  <c:v>1953</c:v>
                </c:pt>
                <c:pt idx="1">
                  <c:v>1016</c:v>
                </c:pt>
                <c:pt idx="2">
                  <c:v>1159</c:v>
                </c:pt>
                <c:pt idx="3">
                  <c:v>1669</c:v>
                </c:pt>
                <c:pt idx="4">
                  <c:v>1374</c:v>
                </c:pt>
                <c:pt idx="5">
                  <c:v>1041</c:v>
                </c:pt>
                <c:pt idx="6">
                  <c:v>1579</c:v>
                </c:pt>
                <c:pt idx="7">
                  <c:v>1717</c:v>
                </c:pt>
                <c:pt idx="8">
                  <c:v>1555</c:v>
                </c:pt>
                <c:pt idx="9">
                  <c:v>1443</c:v>
                </c:pt>
                <c:pt idx="10">
                  <c:v>1675</c:v>
                </c:pt>
                <c:pt idx="11">
                  <c:v>1880</c:v>
                </c:pt>
                <c:pt idx="12">
                  <c:v>1863</c:v>
                </c:pt>
                <c:pt idx="13">
                  <c:v>1928</c:v>
                </c:pt>
                <c:pt idx="14">
                  <c:v>1944</c:v>
                </c:pt>
                <c:pt idx="15">
                  <c:v>1601</c:v>
                </c:pt>
                <c:pt idx="16">
                  <c:v>1473</c:v>
                </c:pt>
                <c:pt idx="17">
                  <c:v>1553</c:v>
                </c:pt>
                <c:pt idx="18">
                  <c:v>1246</c:v>
                </c:pt>
                <c:pt idx="19">
                  <c:v>1812</c:v>
                </c:pt>
                <c:pt idx="20">
                  <c:v>1823</c:v>
                </c:pt>
                <c:pt idx="21">
                  <c:v>1795</c:v>
                </c:pt>
                <c:pt idx="22">
                  <c:v>1614</c:v>
                </c:pt>
                <c:pt idx="23">
                  <c:v>1480</c:v>
                </c:pt>
                <c:pt idx="24">
                  <c:v>1664</c:v>
                </c:pt>
                <c:pt idx="25">
                  <c:v>1957</c:v>
                </c:pt>
                <c:pt idx="26">
                  <c:v>1565</c:v>
                </c:pt>
                <c:pt idx="27">
                  <c:v>1098</c:v>
                </c:pt>
                <c:pt idx="28">
                  <c:v>1097</c:v>
                </c:pt>
                <c:pt idx="29">
                  <c:v>1971</c:v>
                </c:pt>
                <c:pt idx="30">
                  <c:v>1102</c:v>
                </c:pt>
                <c:pt idx="31">
                  <c:v>1058</c:v>
                </c:pt>
                <c:pt idx="32">
                  <c:v>1188</c:v>
                </c:pt>
                <c:pt idx="33">
                  <c:v>1333</c:v>
                </c:pt>
                <c:pt idx="34">
                  <c:v>1384</c:v>
                </c:pt>
                <c:pt idx="35">
                  <c:v>1945</c:v>
                </c:pt>
                <c:pt idx="36">
                  <c:v>1287</c:v>
                </c:pt>
                <c:pt idx="37">
                  <c:v>1447</c:v>
                </c:pt>
                <c:pt idx="38">
                  <c:v>1740</c:v>
                </c:pt>
                <c:pt idx="39">
                  <c:v>1589</c:v>
                </c:pt>
                <c:pt idx="40">
                  <c:v>1299</c:v>
                </c:pt>
                <c:pt idx="41">
                  <c:v>1048</c:v>
                </c:pt>
                <c:pt idx="42">
                  <c:v>1110</c:v>
                </c:pt>
                <c:pt idx="43">
                  <c:v>1157</c:v>
                </c:pt>
                <c:pt idx="44">
                  <c:v>1206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brutes'!$G$13:$G$1012</c:f>
              <c:numCache>
                <c:formatCode>General</c:formatCode>
                <c:ptCount val="1000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3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5</c:v>
                </c:pt>
                <c:pt idx="35">
                  <c:v>4</c:v>
                </c:pt>
                <c:pt idx="37">
                  <c:v>3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6</c:v>
                </c:pt>
                <c:pt idx="42">
                  <c:v>2</c:v>
                </c:pt>
                <c:pt idx="43">
                  <c:v>3</c:v>
                </c:pt>
                <c:pt idx="4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solidFill>
              <a:srgbClr val="ffca00"/>
            </a:solidFill>
            <a:ln cap="rnd" w="28440">
              <a:solidFill>
                <a:srgbClr val="ffca00"/>
              </a:solidFill>
              <a:round/>
            </a:ln>
          </c:spPr>
          <c:marker>
            <c:symbol val="circle"/>
            <c:size val="5"/>
            <c:spPr>
              <a:solidFill>
                <a:srgbClr val="ffca00"/>
              </a:solidFill>
            </c:spPr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brutes'!$F$13:$F$1012</c:f>
              <c:strCache>
                <c:ptCount val="1000"/>
                <c:pt idx="0">
                  <c:v>1953</c:v>
                </c:pt>
                <c:pt idx="1">
                  <c:v>1016</c:v>
                </c:pt>
                <c:pt idx="2">
                  <c:v>1159</c:v>
                </c:pt>
                <c:pt idx="3">
                  <c:v>1669</c:v>
                </c:pt>
                <c:pt idx="4">
                  <c:v>1374</c:v>
                </c:pt>
                <c:pt idx="5">
                  <c:v>1041</c:v>
                </c:pt>
                <c:pt idx="6">
                  <c:v>1579</c:v>
                </c:pt>
                <c:pt idx="7">
                  <c:v>1717</c:v>
                </c:pt>
                <c:pt idx="8">
                  <c:v>1555</c:v>
                </c:pt>
                <c:pt idx="9">
                  <c:v>1443</c:v>
                </c:pt>
                <c:pt idx="10">
                  <c:v>1675</c:v>
                </c:pt>
                <c:pt idx="11">
                  <c:v>1880</c:v>
                </c:pt>
                <c:pt idx="12">
                  <c:v>1863</c:v>
                </c:pt>
                <c:pt idx="13">
                  <c:v>1928</c:v>
                </c:pt>
                <c:pt idx="14">
                  <c:v>1944</c:v>
                </c:pt>
                <c:pt idx="15">
                  <c:v>1601</c:v>
                </c:pt>
                <c:pt idx="16">
                  <c:v>1473</c:v>
                </c:pt>
                <c:pt idx="17">
                  <c:v>1553</c:v>
                </c:pt>
                <c:pt idx="18">
                  <c:v>1246</c:v>
                </c:pt>
                <c:pt idx="19">
                  <c:v>1812</c:v>
                </c:pt>
                <c:pt idx="20">
                  <c:v>1823</c:v>
                </c:pt>
                <c:pt idx="21">
                  <c:v>1795</c:v>
                </c:pt>
                <c:pt idx="22">
                  <c:v>1614</c:v>
                </c:pt>
                <c:pt idx="23">
                  <c:v>1480</c:v>
                </c:pt>
                <c:pt idx="24">
                  <c:v>1664</c:v>
                </c:pt>
                <c:pt idx="25">
                  <c:v>1957</c:v>
                </c:pt>
                <c:pt idx="26">
                  <c:v>1565</c:v>
                </c:pt>
                <c:pt idx="27">
                  <c:v>1098</c:v>
                </c:pt>
                <c:pt idx="28">
                  <c:v>1097</c:v>
                </c:pt>
                <c:pt idx="29">
                  <c:v>1971</c:v>
                </c:pt>
                <c:pt idx="30">
                  <c:v>1102</c:v>
                </c:pt>
                <c:pt idx="31">
                  <c:v>1058</c:v>
                </c:pt>
                <c:pt idx="32">
                  <c:v>1188</c:v>
                </c:pt>
                <c:pt idx="33">
                  <c:v>1333</c:v>
                </c:pt>
                <c:pt idx="34">
                  <c:v>1384</c:v>
                </c:pt>
                <c:pt idx="35">
                  <c:v>1945</c:v>
                </c:pt>
                <c:pt idx="36">
                  <c:v>1287</c:v>
                </c:pt>
                <c:pt idx="37">
                  <c:v>1447</c:v>
                </c:pt>
                <c:pt idx="38">
                  <c:v>1740</c:v>
                </c:pt>
                <c:pt idx="39">
                  <c:v>1589</c:v>
                </c:pt>
                <c:pt idx="40">
                  <c:v>1299</c:v>
                </c:pt>
                <c:pt idx="41">
                  <c:v>1048</c:v>
                </c:pt>
                <c:pt idx="42">
                  <c:v>1110</c:v>
                </c:pt>
                <c:pt idx="43">
                  <c:v>1157</c:v>
                </c:pt>
                <c:pt idx="44">
                  <c:v>1206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brutes'!$H$13:$H$1012</c:f>
              <c:numCache>
                <c:formatCode>General</c:formatCode>
                <c:ptCount val="1000"/>
                <c:pt idx="0">
                  <c:v>16</c:v>
                </c:pt>
                <c:pt idx="1">
                  <c:v>15</c:v>
                </c:pt>
                <c:pt idx="2">
                  <c:v>17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14</c:v>
                </c:pt>
                <c:pt idx="18">
                  <c:v>15</c:v>
                </c:pt>
                <c:pt idx="19">
                  <c:v>15</c:v>
                </c:pt>
                <c:pt idx="20">
                  <c:v>9</c:v>
                </c:pt>
                <c:pt idx="22">
                  <c:v>16</c:v>
                </c:pt>
                <c:pt idx="25">
                  <c:v>14</c:v>
                </c:pt>
                <c:pt idx="26">
                  <c:v>12</c:v>
                </c:pt>
                <c:pt idx="27">
                  <c:v>16</c:v>
                </c:pt>
                <c:pt idx="28">
                  <c:v>12</c:v>
                </c:pt>
                <c:pt idx="29">
                  <c:v>15</c:v>
                </c:pt>
                <c:pt idx="30">
                  <c:v>5</c:v>
                </c:pt>
                <c:pt idx="31">
                  <c:v>13</c:v>
                </c:pt>
                <c:pt idx="32">
                  <c:v>14</c:v>
                </c:pt>
                <c:pt idx="33">
                  <c:v>19</c:v>
                </c:pt>
                <c:pt idx="34">
                  <c:v>15</c:v>
                </c:pt>
                <c:pt idx="35">
                  <c:v>15</c:v>
                </c:pt>
                <c:pt idx="36">
                  <c:v>13</c:v>
                </c:pt>
                <c:pt idx="37">
                  <c:v>18</c:v>
                </c:pt>
                <c:pt idx="38">
                  <c:v>17</c:v>
                </c:pt>
                <c:pt idx="39">
                  <c:v>16</c:v>
                </c:pt>
                <c:pt idx="40">
                  <c:v>12</c:v>
                </c:pt>
                <c:pt idx="41">
                  <c:v>13</c:v>
                </c:pt>
                <c:pt idx="42">
                  <c:v>15</c:v>
                </c:pt>
                <c:pt idx="43">
                  <c:v>17</c:v>
                </c:pt>
                <c:pt idx="44">
                  <c:v>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solidFill>
              <a:srgbClr val="46b48c"/>
            </a:solidFill>
            <a:ln cap="rnd" w="28440">
              <a:solidFill>
                <a:srgbClr val="46b48c"/>
              </a:solidFill>
              <a:round/>
            </a:ln>
          </c:spPr>
          <c:marker>
            <c:symbol val="circle"/>
            <c:size val="5"/>
            <c:spPr>
              <a:solidFill>
                <a:srgbClr val="46b48c"/>
              </a:solidFill>
            </c:spPr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brutes'!$F$13:$F$1012</c:f>
              <c:strCache>
                <c:ptCount val="1000"/>
                <c:pt idx="0">
                  <c:v>1953</c:v>
                </c:pt>
                <c:pt idx="1">
                  <c:v>1016</c:v>
                </c:pt>
                <c:pt idx="2">
                  <c:v>1159</c:v>
                </c:pt>
                <c:pt idx="3">
                  <c:v>1669</c:v>
                </c:pt>
                <c:pt idx="4">
                  <c:v>1374</c:v>
                </c:pt>
                <c:pt idx="5">
                  <c:v>1041</c:v>
                </c:pt>
                <c:pt idx="6">
                  <c:v>1579</c:v>
                </c:pt>
                <c:pt idx="7">
                  <c:v>1717</c:v>
                </c:pt>
                <c:pt idx="8">
                  <c:v>1555</c:v>
                </c:pt>
                <c:pt idx="9">
                  <c:v>1443</c:v>
                </c:pt>
                <c:pt idx="10">
                  <c:v>1675</c:v>
                </c:pt>
                <c:pt idx="11">
                  <c:v>1880</c:v>
                </c:pt>
                <c:pt idx="12">
                  <c:v>1863</c:v>
                </c:pt>
                <c:pt idx="13">
                  <c:v>1928</c:v>
                </c:pt>
                <c:pt idx="14">
                  <c:v>1944</c:v>
                </c:pt>
                <c:pt idx="15">
                  <c:v>1601</c:v>
                </c:pt>
                <c:pt idx="16">
                  <c:v>1473</c:v>
                </c:pt>
                <c:pt idx="17">
                  <c:v>1553</c:v>
                </c:pt>
                <c:pt idx="18">
                  <c:v>1246</c:v>
                </c:pt>
                <c:pt idx="19">
                  <c:v>1812</c:v>
                </c:pt>
                <c:pt idx="20">
                  <c:v>1823</c:v>
                </c:pt>
                <c:pt idx="21">
                  <c:v>1795</c:v>
                </c:pt>
                <c:pt idx="22">
                  <c:v>1614</c:v>
                </c:pt>
                <c:pt idx="23">
                  <c:v>1480</c:v>
                </c:pt>
                <c:pt idx="24">
                  <c:v>1664</c:v>
                </c:pt>
                <c:pt idx="25">
                  <c:v>1957</c:v>
                </c:pt>
                <c:pt idx="26">
                  <c:v>1565</c:v>
                </c:pt>
                <c:pt idx="27">
                  <c:v>1098</c:v>
                </c:pt>
                <c:pt idx="28">
                  <c:v>1097</c:v>
                </c:pt>
                <c:pt idx="29">
                  <c:v>1971</c:v>
                </c:pt>
                <c:pt idx="30">
                  <c:v>1102</c:v>
                </c:pt>
                <c:pt idx="31">
                  <c:v>1058</c:v>
                </c:pt>
                <c:pt idx="32">
                  <c:v>1188</c:v>
                </c:pt>
                <c:pt idx="33">
                  <c:v>1333</c:v>
                </c:pt>
                <c:pt idx="34">
                  <c:v>1384</c:v>
                </c:pt>
                <c:pt idx="35">
                  <c:v>1945</c:v>
                </c:pt>
                <c:pt idx="36">
                  <c:v>1287</c:v>
                </c:pt>
                <c:pt idx="37">
                  <c:v>1447</c:v>
                </c:pt>
                <c:pt idx="38">
                  <c:v>1740</c:v>
                </c:pt>
                <c:pt idx="39">
                  <c:v>1589</c:v>
                </c:pt>
                <c:pt idx="40">
                  <c:v>1299</c:v>
                </c:pt>
                <c:pt idx="41">
                  <c:v>1048</c:v>
                </c:pt>
                <c:pt idx="42">
                  <c:v>1110</c:v>
                </c:pt>
                <c:pt idx="43">
                  <c:v>1157</c:v>
                </c:pt>
                <c:pt idx="44">
                  <c:v>1206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brutes'!$I$13:$I$1012</c:f>
              <c:numCache>
                <c:formatCode>General</c:formatCode>
                <c:ptCount val="1000"/>
                <c:pt idx="0">
                  <c:v>15</c:v>
                </c:pt>
                <c:pt idx="1">
                  <c:v>16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17</c:v>
                </c:pt>
                <c:pt idx="6">
                  <c:v>13</c:v>
                </c:pt>
                <c:pt idx="7">
                  <c:v>15</c:v>
                </c:pt>
                <c:pt idx="8">
                  <c:v>13</c:v>
                </c:pt>
                <c:pt idx="9">
                  <c:v>11</c:v>
                </c:pt>
                <c:pt idx="10">
                  <c:v>11</c:v>
                </c:pt>
                <c:pt idx="11">
                  <c:v>15</c:v>
                </c:pt>
                <c:pt idx="12">
                  <c:v>14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16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9</c:v>
                </c:pt>
                <c:pt idx="21">
                  <c:v>12</c:v>
                </c:pt>
                <c:pt idx="22">
                  <c:v>15</c:v>
                </c:pt>
                <c:pt idx="23">
                  <c:v>15</c:v>
                </c:pt>
                <c:pt idx="24">
                  <c:v>10</c:v>
                </c:pt>
                <c:pt idx="25">
                  <c:v>13</c:v>
                </c:pt>
                <c:pt idx="26">
                  <c:v>11</c:v>
                </c:pt>
                <c:pt idx="27">
                  <c:v>15</c:v>
                </c:pt>
                <c:pt idx="28">
                  <c:v>10</c:v>
                </c:pt>
                <c:pt idx="29">
                  <c:v>15</c:v>
                </c:pt>
                <c:pt idx="30">
                  <c:v>13</c:v>
                </c:pt>
                <c:pt idx="31">
                  <c:v>12</c:v>
                </c:pt>
                <c:pt idx="32">
                  <c:v>13</c:v>
                </c:pt>
                <c:pt idx="33">
                  <c:v>17</c:v>
                </c:pt>
                <c:pt idx="34">
                  <c:v>15</c:v>
                </c:pt>
                <c:pt idx="35">
                  <c:v>16</c:v>
                </c:pt>
                <c:pt idx="36">
                  <c:v>12</c:v>
                </c:pt>
                <c:pt idx="37">
                  <c:v>17</c:v>
                </c:pt>
                <c:pt idx="38">
                  <c:v>17</c:v>
                </c:pt>
                <c:pt idx="39">
                  <c:v>14</c:v>
                </c:pt>
                <c:pt idx="40">
                  <c:v>11</c:v>
                </c:pt>
                <c:pt idx="41">
                  <c:v>12</c:v>
                </c:pt>
                <c:pt idx="42">
                  <c:v>15</c:v>
                </c:pt>
                <c:pt idx="43">
                  <c:v>18</c:v>
                </c:pt>
                <c:pt idx="44">
                  <c:v>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924407"/>
        <c:axId val="2344613"/>
      </c:lineChart>
      <c:catAx>
        <c:axId val="1592440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11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44613"/>
        <c:crosses val="autoZero"/>
        <c:auto val="1"/>
        <c:lblAlgn val="ctr"/>
        <c:lblOffset val="100"/>
        <c:noMultiLvlLbl val="0"/>
      </c:catAx>
      <c:valAx>
        <c:axId val="23446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4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lang="fr-FR" sz="1400" spc="-1" strike="noStrike">
                    <a:solidFill>
                      <a:srgbClr val="595959"/>
                    </a:solidFill>
                    <a:latin typeface="Calibri"/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0.00100958932740096"/>
              <c:y val="0.354873786407767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5924407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11748353342846"/>
          <c:y val="0.909590409389067"/>
          <c:w val="0.0325014893983291"/>
          <c:h val="0.0667526564214488"/>
        </c:manualLayout>
      </c:layout>
      <c:overlay val="0"/>
      <c:spPr>
        <a:noFill/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1" sz="14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6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fr-FR" sz="1600" spc="-1" strike="noStrike">
                <a:solidFill>
                  <a:srgbClr val="000000"/>
                </a:solidFill>
                <a:latin typeface="Calibri"/>
              </a:rPr>
              <a:t>Données descriptives des apprenants présents à tous les tests pour la pratique pédagogique habituelle et la nouvelle pratique pédagogique au pré-test, au post-test immédiat et au post-test différé</a:t>
            </a:r>
          </a:p>
        </c:rich>
      </c:tx>
      <c:layout>
        <c:manualLayout>
          <c:xMode val="edge"/>
          <c:yMode val="edge"/>
          <c:x val="0.11375250571727"/>
          <c:y val="0.040986394557823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34580310003106"/>
          <c:y val="0.224319727891156"/>
          <c:w val="0.666901945283605"/>
          <c:h val="0.562755102040816"/>
        </c:manualLayout>
      </c:layout>
      <c:lineChart>
        <c:grouping val="standard"/>
        <c:varyColors val="0"/>
        <c:ser>
          <c:idx val="0"/>
          <c:order val="0"/>
          <c:tx>
            <c:strRef>
              <c:f>'Données brutes'!$V$9</c:f>
              <c:strCache>
                <c:ptCount val="1"/>
                <c:pt idx="0">
                  <c:v>Premier quartile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brutes'!$W$4,'Données brutes'!$AB$4,'Données brutes'!$X$4,'Données brutes'!$AC$4,'Données brutes'!$Y$4,'Données brutes'!$AD$4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'Données brutes'!$W$9,'Données brutes'!$AB$9,'Données brutes'!$X$9,'Données brutes'!$AC$9,'Données brutes'!$Y$9,'Données brutes'!$AD$9</c:f>
              <c:numCache>
                <c:formatCode>0.00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12</c:v>
                </c:pt>
                <c:pt idx="3">
                  <c:v>13.75</c:v>
                </c:pt>
                <c:pt idx="4">
                  <c:v>9</c:v>
                </c:pt>
                <c:pt idx="5">
                  <c:v>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'Données brutes'!$V$8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rgbClr val="ffca00"/>
            </a:solidFill>
            <a:ln w="28440">
              <a:noFill/>
            </a:ln>
          </c:spPr>
          <c:marker>
            <c:symbol val="dash"/>
            <c:size val="12"/>
            <c:spPr>
              <a:solidFill>
                <a:srgbClr val="ffca00"/>
              </a:solidFill>
            </c:spPr>
          </c:marker>
          <c:dPt>
            <c:idx val="0"/>
            <c:marker>
              <c:symbol val="dash"/>
              <c:size val="12"/>
              <c:spPr>
                <a:solidFill>
                  <a:srgbClr val="ffca00"/>
                </a:solidFill>
              </c:spPr>
            </c:marker>
          </c:dPt>
          <c:dPt>
            <c:idx val="2"/>
            <c:marker>
              <c:symbol val="dash"/>
              <c:size val="12"/>
              <c:spPr>
                <a:solidFill>
                  <a:srgbClr val="ffca00"/>
                </a:solidFill>
              </c:spPr>
            </c:marker>
          </c:dPt>
          <c:dPt>
            <c:idx val="4"/>
            <c:marker>
              <c:symbol val="dash"/>
              <c:size val="12"/>
              <c:spPr>
                <a:solidFill>
                  <a:srgbClr val="ffca00"/>
                </a:solidFill>
              </c:spPr>
            </c:marker>
          </c:dPt>
          <c:dLbls>
            <c:dLbl>
              <c:idx val="0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brutes'!$W$4,'Données brutes'!$AB$4,'Données brutes'!$X$4,'Données brutes'!$AC$4,'Données brutes'!$Y$4,'Données brutes'!$AD$4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'Données brutes'!$W$8,'Données brutes'!$AB$8,'Données brutes'!$X$8,'Données brutes'!$AC$8,'Données brutes'!$Y$8,'Données brutes'!$AD$8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'Données brutes'!$V$10</c:f>
              <c:strCache>
                <c:ptCount val="1"/>
                <c:pt idx="0">
                  <c:v>Médiane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dash"/>
            <c:size val="50"/>
            <c:spPr>
              <a:noFill/>
            </c:spPr>
          </c:marker>
          <c:dPt>
            <c:idx val="0"/>
            <c:marker>
              <c:symbol val="dash"/>
              <c:size val="50"/>
              <c:spPr>
                <a:noFill/>
              </c:spPr>
            </c:marker>
          </c:dPt>
          <c:dPt>
            <c:idx val="1"/>
            <c:marker>
              <c:symbol val="dash"/>
              <c:size val="50"/>
              <c:spPr>
                <a:noFill/>
              </c:spPr>
            </c:marker>
          </c:dPt>
          <c:dPt>
            <c:idx val="2"/>
            <c:marker>
              <c:symbol val="dash"/>
              <c:size val="50"/>
              <c:spPr>
                <a:noFill/>
              </c:spPr>
            </c:marker>
          </c:dPt>
          <c:dPt>
            <c:idx val="3"/>
            <c:marker>
              <c:symbol val="dash"/>
              <c:size val="50"/>
              <c:spPr>
                <a:noFill/>
              </c:spPr>
            </c:marker>
          </c:dPt>
          <c:dPt>
            <c:idx val="4"/>
            <c:marker>
              <c:symbol val="dash"/>
              <c:size val="50"/>
              <c:spPr>
                <a:noFill/>
              </c:spPr>
            </c:marker>
          </c:dPt>
          <c:dPt>
            <c:idx val="5"/>
            <c:marker>
              <c:symbol val="dash"/>
              <c:size val="50"/>
              <c:spPr>
                <a:noFill/>
              </c:spPr>
            </c:marker>
          </c:dPt>
          <c:dLbls>
            <c:dLbl>
              <c:idx val="0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brutes'!$W$4,'Données brutes'!$AB$4,'Données brutes'!$X$4,'Données brutes'!$AC$4,'Données brutes'!$Y$4,'Données brutes'!$AD$4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'Données brutes'!$W$10,'Données brutes'!$AB$10,'Données brutes'!$X$10,'Données brutes'!$AC$10,'Données brutes'!$Y$10,'Données brutes'!$AD$10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13</c:v>
                </c:pt>
                <c:pt idx="3">
                  <c:v>15</c:v>
                </c:pt>
                <c:pt idx="4">
                  <c:v>10</c:v>
                </c:pt>
                <c:pt idx="5">
                  <c:v>15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'Données brutes'!$V$12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rgbClr val="0f375f"/>
            </a:solidFill>
            <a:ln w="28440">
              <a:noFill/>
            </a:ln>
          </c:spPr>
          <c:marker>
            <c:symbol val="dash"/>
            <c:size val="12"/>
            <c:spPr>
              <a:solidFill>
                <a:srgbClr val="0f375f"/>
              </a:solidFill>
            </c:spPr>
          </c:marker>
          <c:dPt>
            <c:idx val="1"/>
            <c:marker>
              <c:symbol val="dash"/>
              <c:size val="12"/>
              <c:spPr>
                <a:solidFill>
                  <a:srgbClr val="0f375f"/>
                </a:solidFill>
              </c:spPr>
            </c:marker>
          </c:dPt>
          <c:dPt>
            <c:idx val="3"/>
            <c:marker>
              <c:symbol val="dash"/>
              <c:size val="12"/>
              <c:spPr>
                <a:solidFill>
                  <a:srgbClr val="0f375f"/>
                </a:solidFill>
              </c:spPr>
            </c:marker>
          </c:dPt>
          <c:dPt>
            <c:idx val="5"/>
            <c:marker>
              <c:symbol val="dash"/>
              <c:size val="12"/>
              <c:spPr>
                <a:solidFill>
                  <a:srgbClr val="0f375f"/>
                </a:solidFill>
              </c:spPr>
            </c:marker>
          </c:dPt>
          <c:dLbls>
            <c:dLbl>
              <c:idx val="1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brutes'!$W$4,'Données brutes'!$AB$4,'Données brutes'!$X$4,'Données brutes'!$AC$4,'Données brutes'!$Y$4,'Données brutes'!$AD$4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'Données brutes'!$W$12,'Données brutes'!$AB$12,'Données brutes'!$X$12,'Données brutes'!$AC$12,'Données brutes'!$Y$12,'Données brutes'!$AD$12</c:f>
              <c:numCache>
                <c:formatCode>0.00</c:formatCode>
                <c:ptCount val="6"/>
                <c:pt idx="0">
                  <c:v>6</c:v>
                </c:pt>
                <c:pt idx="1">
                  <c:v>6</c:v>
                </c:pt>
                <c:pt idx="2">
                  <c:v>17</c:v>
                </c:pt>
                <c:pt idx="3">
                  <c:v>19</c:v>
                </c:pt>
                <c:pt idx="4">
                  <c:v>17</c:v>
                </c:pt>
                <c:pt idx="5">
                  <c:v>19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'Données brutes'!$V$11</c:f>
              <c:strCache>
                <c:ptCount val="1"/>
                <c:pt idx="0">
                  <c:v>Troisième quartile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brutes'!$W$4,'Données brutes'!$AB$4,'Données brutes'!$X$4,'Données brutes'!$AC$4,'Données brutes'!$Y$4,'Données brutes'!$AD$4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'Données brutes'!$W$11,'Données brutes'!$AB$11,'Données brutes'!$X$11,'Données brutes'!$AC$11,'Données brutes'!$Y$11,'Données brutes'!$AD$11</c:f>
              <c:numCache>
                <c:formatCode>0.00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15</c:v>
                </c:pt>
                <c:pt idx="3">
                  <c:v>16</c:v>
                </c:pt>
                <c:pt idx="4">
                  <c:v>12</c:v>
                </c:pt>
                <c:pt idx="5">
                  <c:v>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498716"/>
        <c:axId val="80102566"/>
      </c:lineChart>
      <c:catAx>
        <c:axId val="454987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02566"/>
        <c:auto val="1"/>
        <c:lblAlgn val="ctr"/>
        <c:lblOffset val="100"/>
        <c:noMultiLvlLbl val="0"/>
      </c:catAx>
      <c:valAx>
        <c:axId val="8010256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4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4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0.0207233405799147"/>
              <c:y val="0.422108843537415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498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600" spc="-1" strike="noStrike">
                <a:solidFill>
                  <a:srgbClr val="595959"/>
                </a:solidFill>
                <a:latin typeface="Calibri"/>
              </a:rPr>
              <a:t>Probabilités de réussite des apprenants pour la pratique pédagogique habituelle et la nouvelle pratique pédagogique au pré-test, au post-test immédiat et au post-test différé</a:t>
            </a:r>
          </a:p>
        </c:rich>
      </c:tx>
      <c:layout>
        <c:manualLayout>
          <c:xMode val="edge"/>
          <c:yMode val="edge"/>
          <c:x val="0.113745647487979"/>
          <c:y val="0.023410124506076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633836290278"/>
          <c:y val="0.232982927011109"/>
          <c:w val="0.79047145304814"/>
          <c:h val="0.520912547528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'Probabilités de réussite'!$B$4</c:f>
              <c:strCache>
                <c:ptCount val="1"/>
                <c:pt idx="0">
                  <c:v>10 minutes de questions réponses</c:v>
                </c:pt>
              </c:strCache>
            </c:strRef>
          </c:tx>
          <c:spPr>
            <a:solidFill>
              <a:srgbClr val="0f375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'Données brutes'!$AR$7:$AT$7</c:f>
                <c:numCache>
                  <c:formatCode>0\ %</c:formatCode>
                  <c:ptCount val="3"/>
                  <c:pt idx="0">
                    <c:v>0.0241930275506067</c:v>
                  </c:pt>
                  <c:pt idx="1">
                    <c:v>0.0404113479516705</c:v>
                  </c:pt>
                  <c:pt idx="2">
                    <c:v>0.0365591225205506</c:v>
                  </c:pt>
                </c:numCache>
              </c:numRef>
            </c:plus>
            <c:minus>
              <c:numRef>
                <c:f>'Données brutes'!$AR$7:$AT$7</c:f>
                <c:numCache>
                  <c:formatCode>0\ %</c:formatCode>
                  <c:ptCount val="3"/>
                  <c:pt idx="0">
                    <c:v>0.0241930275506067</c:v>
                  </c:pt>
                  <c:pt idx="1">
                    <c:v>0.0404113479516705</c:v>
                  </c:pt>
                  <c:pt idx="2">
                    <c:v>0.0365591225205506</c:v>
                  </c:pt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val>
            <c:numRef>
              <c:f>'Données brutes'!$AR$5:$AT$5</c:f>
              <c:numCache>
                <c:formatCode>0\ %</c:formatCode>
                <c:ptCount val="3"/>
                <c:pt idx="0">
                  <c:v>0.129268292682927</c:v>
                </c:pt>
                <c:pt idx="1">
                  <c:v>0.634146341463415</c:v>
                </c:pt>
                <c:pt idx="2">
                  <c:v>0.524390243902439</c:v>
                </c:pt>
              </c:numCache>
            </c:numRef>
          </c:val>
        </c:ser>
        <c:ser>
          <c:idx val="1"/>
          <c:order val="1"/>
          <c:tx>
            <c:strRef>
              <c:f>'Probabilités de réussite'!$B$5</c:f>
              <c:strCache>
                <c:ptCount val="1"/>
                <c:pt idx="0">
                  <c:v>10 minutes de Penser Comparer Partager</c:v>
                </c:pt>
              </c:strCache>
            </c:strRef>
          </c:tx>
          <c:spPr>
            <a:solidFill>
              <a:srgbClr val="ffca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'Données brutes'!$AW$7:$AY$7</c:f>
                <c:numCache>
                  <c:formatCode>0\ %</c:formatCode>
                  <c:ptCount val="3"/>
                  <c:pt idx="0">
                    <c:v>0.0234039841067568</c:v>
                  </c:pt>
                  <c:pt idx="1">
                    <c:v>0.0400056738145441</c:v>
                  </c:pt>
                  <c:pt idx="2">
                    <c:v>0.0437136079034322</c:v>
                  </c:pt>
                </c:numCache>
              </c:numRef>
            </c:plus>
            <c:minus>
              <c:numRef>
                <c:f>'Données brutes'!$AW$7:$AY$7</c:f>
                <c:numCache>
                  <c:formatCode>0\ %</c:formatCode>
                  <c:ptCount val="3"/>
                  <c:pt idx="0">
                    <c:v>0.0234039841067568</c:v>
                  </c:pt>
                  <c:pt idx="1">
                    <c:v>0.0400056738145441</c:v>
                  </c:pt>
                  <c:pt idx="2">
                    <c:v>0.0437136079034322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val>
            <c:numRef>
              <c:f>'Données brutes'!$AW$5:$AY$5</c:f>
              <c:numCache>
                <c:formatCode>0\ %</c:formatCode>
                <c:ptCount val="3"/>
                <c:pt idx="0">
                  <c:v>0.14875</c:v>
                </c:pt>
                <c:pt idx="1">
                  <c:v>0.73625</c:v>
                </c:pt>
                <c:pt idx="2">
                  <c:v>0.715</c:v>
                </c:pt>
              </c:numCache>
            </c:numRef>
          </c:val>
        </c:ser>
        <c:gapWidth val="129"/>
        <c:overlap val="-27"/>
        <c:axId val="9327099"/>
        <c:axId val="51576237"/>
      </c:barChart>
      <c:catAx>
        <c:axId val="93270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1576237"/>
        <c:crosses val="autoZero"/>
        <c:auto val="1"/>
        <c:lblAlgn val="ctr"/>
        <c:lblOffset val="100"/>
        <c:noMultiLvlLbl val="0"/>
      </c:catAx>
      <c:valAx>
        <c:axId val="5157623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27099"/>
        <c:crosses val="autoZero"/>
        <c:crossBetween val="between"/>
        <c:majorUnit val="0.2"/>
        <c:minorUnit val="0.1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319570710522513"/>
          <c:y val="0.858239464533806"/>
          <c:w val="0.93450414175301"/>
          <c:h val="0.12442178840104"/>
        </c:manualLayout>
      </c:layout>
      <c:overlay val="0"/>
      <c:spPr>
        <a:noFill/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14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600" spc="-1" strike="noStrike">
                <a:solidFill>
                  <a:srgbClr val="595959"/>
                </a:solidFill>
                <a:latin typeface="Calibri"/>
              </a:rPr>
              <a:t>Évolutions des probabilités de réussite des apprenants à court et moyen termes pour la pratique pédagogique habituelle et pour la nouvelle pratique pédagogique</a:t>
            </a:r>
          </a:p>
        </c:rich>
      </c:tx>
      <c:layout>
        <c:manualLayout>
          <c:xMode val="edge"/>
          <c:yMode val="edge"/>
          <c:x val="0.127320577565972"/>
          <c:y val="0.013704318936877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8989259549043"/>
          <c:y val="0.215064368770764"/>
          <c:w val="0.711786044526638"/>
          <c:h val="0.559696843853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'Évolutions des P. de réussite'!$C$3</c:f>
              <c:strCache>
                <c:ptCount val="1"/>
                <c:pt idx="0">
                  <c:v>Évolution à court terme
(post-test immédiat - pré-test)</c:v>
                </c:pt>
              </c:strCache>
            </c:strRef>
          </c:tx>
          <c:spPr>
            <a:solidFill>
              <a:srgbClr val="c6e3e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'Données brutes'!$BB$7,'Données brutes'!$BG$7</c:f>
                <c:numCache>
                  <c:formatCode>0\ %</c:formatCode>
                  <c:ptCount val="2"/>
                  <c:pt idx="0">
                    <c:v>0.0418865071616838</c:v>
                  </c:pt>
                  <c:pt idx="1">
                    <c:v>0.0432250141270436</c:v>
                  </c:pt>
                </c:numCache>
              </c:numRef>
            </c:plus>
            <c:minus>
              <c:numRef>
                <c:f>'Données brutes'!$BB$7,'Données brutes'!$BG$7</c:f>
                <c:numCache>
                  <c:formatCode>0\ %</c:formatCode>
                  <c:ptCount val="2"/>
                  <c:pt idx="0">
                    <c:v>0.0418865071616838</c:v>
                  </c:pt>
                  <c:pt idx="1">
                    <c:v>0.0432250141270436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multiLvlStrRef>
              <c:f>'Évolutions des P. de réussite'!$B$4:$B$5</c:f>
              <c:multiLvlStrCache>
                <c:ptCount val="1"/>
                <c:lvl>
                  <c:pt idx="0">
                    <c:v>10 minutes de Penser Comparer Partager</c:v>
                  </c:pt>
                </c:lvl>
                <c:lvl>
                  <c:pt idx="0">
                    <c:v>10 minutes de questions réponses</c:v>
                  </c:pt>
                </c:lvl>
              </c:multiLvlStrCache>
            </c:multiLvlStrRef>
          </c:cat>
          <c:val>
            <c:numRef>
              <c:f>'Données brutes'!$BB$5,'Données brutes'!$BG$5</c:f>
              <c:numCache>
                <c:formatCode>0\ %</c:formatCode>
                <c:ptCount val="2"/>
                <c:pt idx="0">
                  <c:v>0.504878048780488</c:v>
                </c:pt>
                <c:pt idx="1">
                  <c:v>0.5875</c:v>
                </c:pt>
              </c:numCache>
            </c:numRef>
          </c:val>
        </c:ser>
        <c:ser>
          <c:idx val="1"/>
          <c:order val="1"/>
          <c:tx>
            <c:strRef>
              <c:f>'Évolutions des P. de réussite'!$D$3</c:f>
              <c:strCache>
                <c:ptCount val="1"/>
                <c:pt idx="0">
                  <c:v>Évolution à moyen terme
(post-test différé - pré-test)</c:v>
                </c:pt>
              </c:strCache>
            </c:strRef>
          </c:tx>
          <c:spPr>
            <a:solidFill>
              <a:srgbClr val="46b48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'Données brutes'!$BC$7,'Données brutes'!$BH$7</c:f>
                <c:numCache>
                  <c:formatCode>0\ %</c:formatCode>
                  <c:ptCount val="2"/>
                  <c:pt idx="0">
                    <c:v>0.0392895369997596</c:v>
                  </c:pt>
                  <c:pt idx="1">
                    <c:v>0.0445764769023767</c:v>
                  </c:pt>
                </c:numCache>
              </c:numRef>
            </c:plus>
            <c:minus>
              <c:numRef>
                <c:f>'Données brutes'!$BC$7,'Données brutes'!$BH$7</c:f>
                <c:numCache>
                  <c:formatCode>0\ %</c:formatCode>
                  <c:ptCount val="2"/>
                  <c:pt idx="0">
                    <c:v>0.0392895369997596</c:v>
                  </c:pt>
                  <c:pt idx="1">
                    <c:v>0.0445764769023767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multiLvlStrRef>
              <c:f>'Évolutions des P. de réussite'!$B$4:$B$5</c:f>
              <c:multiLvlStrCache>
                <c:ptCount val="1"/>
                <c:lvl>
                  <c:pt idx="0">
                    <c:v>10 minutes de Penser Comparer Partager</c:v>
                  </c:pt>
                </c:lvl>
                <c:lvl>
                  <c:pt idx="0">
                    <c:v>10 minutes de questions réponses</c:v>
                  </c:pt>
                </c:lvl>
              </c:multiLvlStrCache>
            </c:multiLvlStrRef>
          </c:cat>
          <c:val>
            <c:numRef>
              <c:f>'Données brutes'!$BC$5,'Données brutes'!$BH$5</c:f>
              <c:numCache>
                <c:formatCode>0\ %</c:formatCode>
                <c:ptCount val="2"/>
                <c:pt idx="0">
                  <c:v>0.395121951219512</c:v>
                </c:pt>
                <c:pt idx="1">
                  <c:v>0.56625</c:v>
                </c:pt>
              </c:numCache>
            </c:numRef>
          </c:val>
        </c:ser>
        <c:gapWidth val="132"/>
        <c:overlap val="33"/>
        <c:axId val="7514561"/>
        <c:axId val="64776927"/>
      </c:barChart>
      <c:catAx>
        <c:axId val="75145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4776927"/>
        <c:crosses val="autoZero"/>
        <c:auto val="1"/>
        <c:lblAlgn val="ctr"/>
        <c:lblOffset val="100"/>
        <c:noMultiLvlLbl val="0"/>
      </c:catAx>
      <c:valAx>
        <c:axId val="64776927"/>
        <c:scaling>
          <c:orientation val="minMax"/>
          <c:max val="1"/>
          <c:min val="-0.2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\+0%;\-0%;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514561"/>
        <c:crosses val="autoZero"/>
        <c:crossBetween val="between"/>
        <c:majorUnit val="0.2"/>
        <c:minorUnit val="0.1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183735069855648"/>
          <c:y val="0.893224554684811"/>
          <c:w val="0.958664380500084"/>
          <c:h val="0.0869435609814012"/>
        </c:manualLayout>
      </c:layout>
      <c:overlay val="0"/>
      <c:spPr>
        <a:noFill/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14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600" spc="-1" strike="noStrike">
                <a:solidFill>
                  <a:srgbClr val="595959"/>
                </a:solidFill>
                <a:latin typeface="Calibri"/>
              </a:rPr>
              <a:t>Évolutions des probabilités de réussite des apprenants après l'enseignement pour la
pratique pédagogique habituelle et pour la nouvelle pratique pédagogique</a:t>
            </a:r>
          </a:p>
        </c:rich>
      </c:tx>
      <c:layout>
        <c:manualLayout>
          <c:xMode val="edge"/>
          <c:yMode val="edge"/>
          <c:x val="0.153289949385394"/>
          <c:y val="0.013705030369101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55748373102"/>
          <c:y val="0.213362404609874"/>
          <c:w val="0.753434562545192"/>
          <c:h val="0.560660333281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'Évolutions des P. de réussite'!$E$3</c:f>
              <c:strCache>
                <c:ptCount val="1"/>
                <c:pt idx="0">
                  <c:v>Évolution après l'enseignement
(post-test différé - post-test immédiat)</c:v>
                </c:pt>
              </c:strCache>
            </c:strRef>
          </c:tx>
          <c:spPr>
            <a:solidFill>
              <a:srgbClr val="c92e1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'Données brutes'!$BD$7,'Données brutes'!$BI$7</c:f>
                <c:numCache>
                  <c:formatCode>0\ %</c:formatCode>
                  <c:ptCount val="2"/>
                  <c:pt idx="0">
                    <c:v>0.0254306494908318</c:v>
                  </c:pt>
                  <c:pt idx="1">
                    <c:v>0.0382594648732663</c:v>
                  </c:pt>
                </c:numCache>
              </c:numRef>
            </c:plus>
            <c:minus>
              <c:numRef>
                <c:f>'Données brutes'!$BD$7,'Données brutes'!$BI$7</c:f>
                <c:numCache>
                  <c:formatCode>0\ %</c:formatCode>
                  <c:ptCount val="2"/>
                  <c:pt idx="0">
                    <c:v>0.0254306494908318</c:v>
                  </c:pt>
                  <c:pt idx="1">
                    <c:v>0.0382594648732663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multiLvlStrRef>
              <c:f>'Évolutions des P. de réussite'!$B$4:$B$5</c:f>
              <c:multiLvlStrCache>
                <c:ptCount val="1"/>
                <c:lvl>
                  <c:pt idx="0">
                    <c:v>10 minutes de Penser Comparer Partager</c:v>
                  </c:pt>
                </c:lvl>
                <c:lvl>
                  <c:pt idx="0">
                    <c:v>10 minutes de questions réponses</c:v>
                  </c:pt>
                </c:lvl>
              </c:multiLvlStrCache>
            </c:multiLvlStrRef>
          </c:cat>
          <c:val>
            <c:numRef>
              <c:f>'Données brutes'!$BD$5,'Données brutes'!$BI$5</c:f>
              <c:numCache>
                <c:formatCode>0\ %</c:formatCode>
                <c:ptCount val="2"/>
                <c:pt idx="0">
                  <c:v>-0.109756097560976</c:v>
                </c:pt>
                <c:pt idx="1">
                  <c:v>-0.02125</c:v>
                </c:pt>
              </c:numCache>
            </c:numRef>
          </c:val>
        </c:ser>
        <c:gapWidth val="181"/>
        <c:overlap val="42"/>
        <c:axId val="61384127"/>
        <c:axId val="36613410"/>
      </c:barChart>
      <c:catAx>
        <c:axId val="613841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613410"/>
        <c:crosses val="autoZero"/>
        <c:auto val="1"/>
        <c:lblAlgn val="ctr"/>
        <c:lblOffset val="100"/>
        <c:noMultiLvlLbl val="0"/>
      </c:catAx>
      <c:valAx>
        <c:axId val="36613410"/>
        <c:scaling>
          <c:orientation val="minMax"/>
          <c:max val="0.4"/>
          <c:min val="-0.8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\+0%;\-0%;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1384127"/>
        <c:crosses val="autoZero"/>
        <c:crossBetween val="between"/>
        <c:majorUnit val="0.2"/>
        <c:minorUnit val="0.1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88944749839943"/>
          <c:y val="0.893520236545139"/>
          <c:w val="0.637720391521713"/>
          <c:h val="0.0874297417534722"/>
        </c:manualLayout>
      </c:layout>
      <c:overlay val="0"/>
      <c:spPr>
        <a:noFill/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14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38160">
      <a:solidFill>
        <a:srgbClr val="ffca0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111600</xdr:colOff>
      <xdr:row>1</xdr:row>
      <xdr:rowOff>150120</xdr:rowOff>
    </xdr:from>
    <xdr:to>
      <xdr:col>4</xdr:col>
      <xdr:colOff>792720</xdr:colOff>
      <xdr:row>14</xdr:row>
      <xdr:rowOff>22320</xdr:rowOff>
    </xdr:to>
    <xdr:graphicFrame>
      <xdr:nvGraphicFramePr>
        <xdr:cNvPr id="0" name="Graphique 1"/>
        <xdr:cNvGraphicFramePr/>
      </xdr:nvGraphicFramePr>
      <xdr:xfrm>
        <a:off x="111600" y="1302480"/>
        <a:ext cx="4440240" cy="483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108720</xdr:colOff>
      <xdr:row>1</xdr:row>
      <xdr:rowOff>149760</xdr:rowOff>
    </xdr:from>
    <xdr:to>
      <xdr:col>9</xdr:col>
      <xdr:colOff>787680</xdr:colOff>
      <xdr:row>14</xdr:row>
      <xdr:rowOff>33840</xdr:rowOff>
    </xdr:to>
    <xdr:graphicFrame>
      <xdr:nvGraphicFramePr>
        <xdr:cNvPr id="1" name="Graphique 2"/>
        <xdr:cNvGraphicFramePr/>
      </xdr:nvGraphicFramePr>
      <xdr:xfrm>
        <a:off x="4807800" y="1302120"/>
        <a:ext cx="4438080" cy="484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194400</xdr:colOff>
      <xdr:row>1</xdr:row>
      <xdr:rowOff>92160</xdr:rowOff>
    </xdr:from>
    <xdr:to>
      <xdr:col>170</xdr:col>
      <xdr:colOff>1142640</xdr:colOff>
      <xdr:row>13</xdr:row>
      <xdr:rowOff>131400</xdr:rowOff>
    </xdr:to>
    <xdr:graphicFrame>
      <xdr:nvGraphicFramePr>
        <xdr:cNvPr id="2" name="Graphique 1"/>
        <xdr:cNvGraphicFramePr/>
      </xdr:nvGraphicFramePr>
      <xdr:xfrm>
        <a:off x="194400" y="1244520"/>
        <a:ext cx="203246640" cy="481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190440</xdr:colOff>
      <xdr:row>14</xdr:row>
      <xdr:rowOff>124200</xdr:rowOff>
    </xdr:from>
    <xdr:to>
      <xdr:col>170</xdr:col>
      <xdr:colOff>1142640</xdr:colOff>
      <xdr:row>38</xdr:row>
      <xdr:rowOff>186840</xdr:rowOff>
    </xdr:to>
    <xdr:graphicFrame>
      <xdr:nvGraphicFramePr>
        <xdr:cNvPr id="3" name="Graphique 3"/>
        <xdr:cNvGraphicFramePr/>
      </xdr:nvGraphicFramePr>
      <xdr:xfrm>
        <a:off x="190440" y="6239160"/>
        <a:ext cx="203250600" cy="46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1139760</xdr:colOff>
      <xdr:row>5</xdr:row>
      <xdr:rowOff>314280</xdr:rowOff>
    </xdr:from>
    <xdr:to>
      <xdr:col>4</xdr:col>
      <xdr:colOff>2119320</xdr:colOff>
      <xdr:row>21</xdr:row>
      <xdr:rowOff>165960</xdr:rowOff>
    </xdr:to>
    <xdr:graphicFrame>
      <xdr:nvGraphicFramePr>
        <xdr:cNvPr id="4" name="Graphique 1"/>
        <xdr:cNvGraphicFramePr/>
      </xdr:nvGraphicFramePr>
      <xdr:xfrm>
        <a:off x="1633320" y="4257720"/>
        <a:ext cx="12750480" cy="423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0.786103503769164</cdr:x>
      <cdr:y>0.369302721088435</cdr:y>
    </cdr:from>
    <cdr:to>
      <cdr:x>0.973065303932917</cdr:x>
      <cdr:y>0.671003401360544</cdr:y>
    </cdr:to>
    <cdr:grpSp>
      <cdr:nvGrpSpPr>
        <cdr:cNvPr id="5" name="Groupe 28"/>
        <cdr:cNvGrpSpPr/>
      </cdr:nvGrpSpPr>
      <cdr:grpSpPr>
        <a:xfrm>
          <a:off x="10023480" y="1563480"/>
          <a:ext cx="2383920" cy="1277280"/>
          <a:chOff x="10023480" y="1563480"/>
          <a:chExt cx="2383920" cy="1277280"/>
        </a:xfrm>
      </cdr:grpSpPr>
      <cdr:sp>
        <cdr:nvSpPr>
          <cdr:cNvPr id="6" name="ZoneTexte 1"/>
          <cdr:cNvSpPr/>
        </cdr:nvSpPr>
        <cdr:spPr>
          <a:xfrm>
            <a:off x="10837440" y="1577880"/>
            <a:ext cx="1385640" cy="1262880"/>
          </a:xfrm>
          <a:prstGeom prst="rect">
            <a:avLst/>
          </a:prstGeom>
          <a:noFill/>
          <a:ln w="0">
            <a:noFill/>
          </a:ln>
        </cdr:spPr>
        <cdr:style>
          <a:lnRef idx="0"/>
          <a:fillRef idx="0"/>
          <a:effectRef idx="0"/>
          <a:fontRef idx="minor"/>
        </cdr:style>
        <cdr:txBody>
          <a:bodyPr wrap="none"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1" lang="fr-FR" sz="1400" spc="-1" strike="noStrike">
                <a:latin typeface="Times New Roman"/>
              </a:rPr>
              <a:t>Maximum</a:t>
            </a:r>
            <a:endParaRPr b="0" sz="14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FR" sz="1400" spc="-1" strike="noStrike">
                <a:latin typeface="Times New Roman"/>
              </a:rPr>
              <a:t>Troisième quartile</a:t>
            </a:r>
            <a:endParaRPr b="0" sz="14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1" lang="fr-FR" sz="1600" spc="-1" strike="noStrike">
                <a:latin typeface="Times New Roman"/>
              </a:rPr>
              <a:t>Médiane</a:t>
            </a:r>
            <a:endParaRPr b="0" sz="16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FR" sz="1400" spc="-1" strike="noStrike">
                <a:latin typeface="Times New Roman"/>
              </a:rPr>
              <a:t>Premier quartile</a:t>
            </a:r>
            <a:endParaRPr b="0" sz="14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1" lang="fr-FR" sz="1400" spc="-1" strike="noStrike">
                <a:latin typeface="Times New Roman"/>
              </a:rPr>
              <a:t>Minimum</a:t>
            </a:r>
            <a:endParaRPr b="0" sz="1400" spc="-1" strike="noStrike">
              <a:latin typeface="Times New Roman"/>
            </a:endParaRPr>
          </a:p>
        </cdr:txBody>
      </cdr:sp>
      <cdr:sp>
        <cdr:nvSpPr>
          <cdr:cNvPr id="7" name="Rectangle 3"/>
          <cdr:cNvSpPr/>
        </cdr:nvSpPr>
        <cdr:spPr>
          <a:xfrm>
            <a:off x="10023480" y="1563480"/>
            <a:ext cx="2383920" cy="1234080"/>
          </a:xfrm>
          <a:prstGeom prst="rect">
            <a:avLst/>
          </a:prstGeom>
          <a:noFill/>
          <a:ln w="12700">
            <a:solidFill>
              <a:srgbClr val="000000"/>
            </a:solidFill>
            <a:miter/>
          </a:ln>
        </cdr:spPr>
        <c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cdr:style>
      </cdr:sp>
      <cdr:pic>
        <cdr:nvPicPr>
          <cdr:cNvPr id="8" name="chart" descr=""/>
          <cdr:cNvPicPr/>
        </cdr:nvPicPr>
        <cdr:blipFill>
          <a:blip r:embed="rId1"/>
          <a:stretch/>
        </cdr:blipFill>
        <cdr:spPr>
          <a:xfrm>
            <a:off x="10211400" y="1666800"/>
            <a:ext cx="474120" cy="1075320"/>
          </a:xfrm>
          <a:prstGeom prst="rect">
            <a:avLst/>
          </a:prstGeom>
          <a:ln w="0">
            <a:noFill/>
          </a:ln>
        </cdr:spPr>
      </cdr:pic>
    </cdr:grpSp>
  </cdr:relSizeAnchor>
  <cdr:relSizeAnchor>
    <cdr:from>
      <cdr:x>0.151105338942376</cdr:x>
      <cdr:y>0.867772108843537</cdr:y>
    </cdr:from>
    <cdr:to>
      <cdr:x>0.664643270560998</cdr:x>
      <cdr:y>0.938605442176871</cdr:y>
    </cdr:to>
    <cdr:grpSp>
      <cdr:nvGrpSpPr>
        <cdr:cNvPr id="9" name="Groupe 27"/>
        <cdr:cNvGrpSpPr/>
      </cdr:nvGrpSpPr>
      <cdr:grpSpPr>
        <a:xfrm>
          <a:off x="1926720" y="3673800"/>
          <a:ext cx="6548040" cy="299880"/>
          <a:chOff x="1926720" y="3673800"/>
          <a:chExt cx="6548040" cy="299880"/>
        </a:xfrm>
      </cdr:grpSpPr>
      <cdr:sp>
        <cdr:nvSpPr>
          <cdr:cNvPr id="10" name="ZoneTexte 1"/>
          <cdr:cNvSpPr/>
        </cdr:nvSpPr>
        <cdr:spPr>
          <a:xfrm>
            <a:off x="1926720" y="3673800"/>
            <a:ext cx="6548040" cy="299880"/>
          </a:xfrm>
          <a:prstGeom prst="rect">
            <a:avLst/>
          </a:prstGeom>
          <a:noFill/>
          <a:ln w="0">
            <a:solidFill>
              <a:srgbClr val="000000"/>
            </a:solidFill>
          </a:ln>
        </cdr:spPr>
        <cdr:style>
          <a:lnRef idx="0"/>
          <a:fillRef idx="0"/>
          <a:effectRef idx="0"/>
          <a:fontRef idx="minor"/>
        </cdr:style>
        <cdr:txBody>
          <a:bodyPr wrap="none" lIns="90000" rIns="90000" tIns="45000" bIns="45000" anchor="t">
            <a:noAutofit/>
          </a:bodyPr>
          <a:p>
            <a:pPr>
              <a:lnSpc>
                <a:spcPct val="100000"/>
              </a:lnSpc>
              <a:tabLst>
                <a:tab algn="l" pos="0"/>
              </a:tabLst>
            </a:pPr>
            <a:r>
              <a:rPr b="1" lang="fr-FR" sz="1400" spc="-1" strike="noStrike">
                <a:latin typeface="Calibri"/>
              </a:rPr>
              <a:t>               </a:t>
            </a:r>
            <a:r>
              <a:rPr b="1" lang="fr-FR" sz="1400" spc="-1" strike="noStrike">
                <a:latin typeface="Calibri"/>
              </a:rPr>
              <a:t>Pratique pédagogique habituelle</a:t>
            </a:r>
            <a:r>
              <a:rPr b="1" lang="fr-FR" sz="1400" spc="-1" strike="noStrike">
                <a:latin typeface="Calibri"/>
              </a:rPr>
              <a:t>	</a:t>
            </a:r>
            <a:r>
              <a:rPr b="1" lang="fr-FR" sz="1400" spc="-1" strike="noStrike">
                <a:latin typeface="Calibri"/>
              </a:rPr>
              <a:t>    Nouvelle pratique pédagogique</a:t>
            </a:r>
            <a:endParaRPr b="0" sz="1400" spc="-1" strike="noStrike">
              <a:latin typeface="Times New Roman"/>
            </a:endParaRPr>
          </a:p>
        </cdr:txBody>
      </cdr:sp>
      <cdr:cxnSp>
        <cdr:nvCxnSpPr>
          <cdr:cNvPr id="11" name="Connecteur droit 25"/>
          <cdr:cNvCxnSpPr/>
        </cdr:nvCxnSpPr>
        <cdr:spPr>
          <a:xfrm>
            <a:off x="2169000" y="3823920"/>
            <a:ext cx="369360" cy="360"/>
          </a:xfrm>
          <a:prstGeom prst="straightConnector1">
            <a:avLst/>
          </a:prstGeom>
          <a:ln w="38100">
            <a:solidFill>
              <a:srgbClr val="0f375f"/>
            </a:solidFill>
            <a:miter/>
          </a:ln>
        </cdr:spPr>
      </cdr:cxnSp>
      <cdr:cxnSp>
        <cdr:nvCxnSpPr>
          <cdr:cNvPr id="12" name="Connecteur droit 26"/>
          <cdr:cNvCxnSpPr/>
        </cdr:nvCxnSpPr>
        <cdr:spPr>
          <a:xfrm>
            <a:off x="5473800" y="3819240"/>
            <a:ext cx="369360" cy="360"/>
          </a:xfrm>
          <a:prstGeom prst="straightConnector1">
            <a:avLst/>
          </a:prstGeom>
          <a:ln w="38100">
            <a:solidFill>
              <a:srgbClr val="ffca00"/>
            </a:solidFill>
            <a:miter/>
          </a:ln>
        </cdr:spPr>
      </cdr:cxnSp>
    </cdr:grp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132120</xdr:colOff>
      <xdr:row>1</xdr:row>
      <xdr:rowOff>142200</xdr:rowOff>
    </xdr:from>
    <xdr:to>
      <xdr:col>9</xdr:col>
      <xdr:colOff>1335960</xdr:colOff>
      <xdr:row>5</xdr:row>
      <xdr:rowOff>1360440</xdr:rowOff>
    </xdr:to>
    <xdr:graphicFrame>
      <xdr:nvGraphicFramePr>
        <xdr:cNvPr id="13" name="Graphique 4"/>
        <xdr:cNvGraphicFramePr/>
      </xdr:nvGraphicFramePr>
      <xdr:xfrm>
        <a:off x="9122400" y="1294560"/>
        <a:ext cx="6513120" cy="4828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94320</xdr:colOff>
      <xdr:row>1</xdr:row>
      <xdr:rowOff>244080</xdr:rowOff>
    </xdr:from>
    <xdr:to>
      <xdr:col>8</xdr:col>
      <xdr:colOff>1615680</xdr:colOff>
      <xdr:row>9</xdr:row>
      <xdr:rowOff>92160</xdr:rowOff>
    </xdr:to>
    <xdr:graphicFrame>
      <xdr:nvGraphicFramePr>
        <xdr:cNvPr id="14" name="Graphique 1"/>
        <xdr:cNvGraphicFramePr/>
      </xdr:nvGraphicFramePr>
      <xdr:xfrm>
        <a:off x="10768680" y="1396440"/>
        <a:ext cx="5060880" cy="693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500760</xdr:colOff>
      <xdr:row>1</xdr:row>
      <xdr:rowOff>252000</xdr:rowOff>
    </xdr:from>
    <xdr:to>
      <xdr:col>13</xdr:col>
      <xdr:colOff>453960</xdr:colOff>
      <xdr:row>9</xdr:row>
      <xdr:rowOff>99720</xdr:rowOff>
    </xdr:to>
    <xdr:graphicFrame>
      <xdr:nvGraphicFramePr>
        <xdr:cNvPr id="15" name="Graphique 2"/>
        <xdr:cNvGraphicFramePr/>
      </xdr:nvGraphicFramePr>
      <xdr:xfrm>
        <a:off x="16484400" y="1404360"/>
        <a:ext cx="4978440" cy="693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2" zoomScaleNormal="102" zoomScalePageLayoutView="100" workbookViewId="0">
      <selection pane="topLeft" activeCell="C13" activeCellId="0" sqref="C13"/>
    </sheetView>
  </sheetViews>
  <sheetFormatPr defaultColWidth="10.54296875" defaultRowHeight="14.25" zeroHeight="false" outlineLevelRow="0" outlineLevelCol="0"/>
  <cols>
    <col collapsed="false" customWidth="true" hidden="false" outlineLevel="0" max="1" min="1" style="0" width="24.88"/>
    <col collapsed="false" customWidth="true" hidden="false" outlineLevel="0" max="2" min="2" style="0" width="134.88"/>
    <col collapsed="false" customWidth="true" hidden="false" outlineLevel="0" max="3" min="3" style="0" width="11.44"/>
    <col collapsed="false" customWidth="true" hidden="false" outlineLevel="0" max="4" min="4" style="0" width="24.88"/>
  </cols>
  <sheetData>
    <row r="1" customFormat="false" ht="69" hidden="false" customHeight="true" outlineLevel="0" collapsed="false">
      <c r="A1" s="1" t="s">
        <v>0</v>
      </c>
      <c r="B1" s="1"/>
      <c r="C1" s="1"/>
      <c r="D1" s="1"/>
    </row>
    <row r="2" customFormat="false" ht="18.75" hidden="false" customHeight="true" outlineLevel="0" collapsed="false">
      <c r="C2" s="2"/>
    </row>
    <row r="3" customFormat="false" ht="18.75" hidden="false" customHeight="true" outlineLevel="0" collapsed="false">
      <c r="B3" s="3" t="s">
        <v>1</v>
      </c>
      <c r="C3" s="4" t="n">
        <v>2</v>
      </c>
    </row>
    <row r="4" customFormat="false" ht="18.75" hidden="false" customHeight="true" outlineLevel="0" collapsed="false">
      <c r="B4" s="5" t="s">
        <v>2</v>
      </c>
      <c r="C4" s="6" t="n">
        <v>0</v>
      </c>
    </row>
    <row r="5" customFormat="false" ht="18.75" hidden="false" customHeight="true" outlineLevel="0" collapsed="false">
      <c r="B5" s="7" t="s">
        <v>3</v>
      </c>
      <c r="C5" s="8" t="n">
        <v>20</v>
      </c>
    </row>
    <row r="6" customFormat="false" ht="18.75" hidden="false" customHeight="true" outlineLevel="0" collapsed="false">
      <c r="B6" s="9"/>
      <c r="C6" s="10"/>
    </row>
    <row r="7" customFormat="false" ht="18.75" hidden="false" customHeight="true" outlineLevel="0" collapsed="false">
      <c r="B7" s="11" t="str">
        <f aca="false">IF(C3="?","",IF(AND(C3&lt;&gt;1,C3&lt;&gt;2),"","Variante 1 ou 2"))</f>
        <v>Variante 1 ou 2</v>
      </c>
      <c r="C7" s="12"/>
    </row>
    <row r="8" customFormat="false" ht="18.75" hidden="false" customHeight="true" outlineLevel="0" collapsed="false">
      <c r="B8" s="9" t="str">
        <f aca="false">IF(C3="?","",IF(AND(C3&lt;&gt;1,C3&lt;&gt;2),"","Nombre potentiel d'apprenants du groupe bénéficiant de la pratique pédagogique habituelle"))</f>
        <v>Nombre potentiel d'apprenants du groupe bénéficiant de la pratique pédagogique habituelle</v>
      </c>
      <c r="C8" s="12" t="n">
        <v>45</v>
      </c>
    </row>
    <row r="9" customFormat="false" ht="18.75" hidden="false" customHeight="true" outlineLevel="0" collapsed="false">
      <c r="B9" s="9" t="str">
        <f aca="false">IF(C3="?","",IF(AND(C3&lt;&gt;1,C3&lt;&gt;2),"","Nombre potentiel d'apprenants du groupe bénéficiant de la nouvelle pratique pédagogique"))</f>
        <v>Nombre potentiel d'apprenants du groupe bénéficiant de la nouvelle pratique pédagogique</v>
      </c>
      <c r="C9" s="12" t="n">
        <v>44</v>
      </c>
    </row>
    <row r="10" customFormat="false" ht="18.75" hidden="false" customHeight="true" outlineLevel="0" collapsed="false">
      <c r="B10" s="9" t="str">
        <f aca="false">IF(C3="?","",IF(AND(C3&lt;&gt;1,C3&lt;&gt;2),"","Nombre d'apprenants du groupe bénéficiant de la pratique pédagogique habituelle effectivement présents aux trois tests"))</f>
        <v>Nombre d'apprenants du groupe bénéficiant de la pratique pédagogique habituelle effectivement présents aux trois tests</v>
      </c>
      <c r="C10" s="12" t="n">
        <f aca="false">IF(AND(COUNT('Données brutes'!W13:W1012)&lt;&gt;0,OR(C3=1,C3=2)),COUNT('Données brutes'!W13:W1012),"")</f>
        <v>41</v>
      </c>
    </row>
    <row r="11" customFormat="false" ht="18.75" hidden="false" customHeight="true" outlineLevel="0" collapsed="false">
      <c r="B11" s="9" t="str">
        <f aca="false">IF(C3="?","",IF(AND(C3&lt;&gt;1,C3&lt;&gt;2),"","Nombre d'apprenants du groupe bénéficiant de la nouvelle pratique pédagogique effectivement présents aux trois tests"))</f>
        <v>Nombre d'apprenants du groupe bénéficiant de la nouvelle pratique pédagogique effectivement présents aux trois tests</v>
      </c>
      <c r="C11" s="12" t="n">
        <f aca="false">IF(AND(COUNT('Données brutes'!AB13:AB1012)&lt;&gt;0,OR(C3=1,C3=2)),COUNT('Données brutes'!AB13:AB1012),"")</f>
        <v>40</v>
      </c>
    </row>
    <row r="12" customFormat="false" ht="18.75" hidden="false" customHeight="true" outlineLevel="0" collapsed="false">
      <c r="B12" s="9" t="str">
        <f aca="false">IF(C3="?","",IF(AND(C3&lt;&gt;1,C3&lt;&gt;2),"","Taux de participation du groupe bénéficiant de la pratique pédagogique habituelle"))</f>
        <v>Taux de participation du groupe bénéficiant de la pratique pédagogique habituelle</v>
      </c>
      <c r="C12" s="13" t="n">
        <f aca="false">IF(AND(C8&lt;&gt;"?",C10&lt;&gt;""),C10/C8,"")</f>
        <v>0.911111111111111</v>
      </c>
    </row>
    <row r="13" customFormat="false" ht="18.75" hidden="false" customHeight="true" outlineLevel="0" collapsed="false">
      <c r="B13" s="9" t="str">
        <f aca="false">IF(C3="?","",IF(AND(C3&lt;&gt;1,C3&lt;&gt;2),"","Taux de participation du groupe bénéficiant de la nouvelle pratique pédagogique"))</f>
        <v>Taux de participation du groupe bénéficiant de la nouvelle pratique pédagogique</v>
      </c>
      <c r="C13" s="13" t="n">
        <f aca="false">IF(AND(C9&lt;&gt;"?",C11&lt;&gt;""),C11/C9,"")</f>
        <v>0.909090909090909</v>
      </c>
    </row>
    <row r="14" customFormat="false" ht="18.75" hidden="false" customHeight="true" outlineLevel="0" collapsed="false">
      <c r="B14" s="14"/>
      <c r="C14" s="15"/>
    </row>
    <row r="15" customFormat="false" ht="18.75" hidden="false" customHeight="true" outlineLevel="0" collapsed="false">
      <c r="B15" s="11" t="str">
        <f aca="false">IF(C3="?","",IF(C3&lt;&gt;3,"","Variante 3"))</f>
        <v/>
      </c>
      <c r="C15" s="12"/>
    </row>
    <row r="16" customFormat="false" ht="18.75" hidden="false" customHeight="true" outlineLevel="0" collapsed="false">
      <c r="B16" s="9" t="str">
        <f aca="false">IF(C3="?","",IF(C3&lt;&gt;3,"","Nombre potentiel d'apprenants participant à l'évaluation"))</f>
        <v/>
      </c>
      <c r="C16" s="16" t="str">
        <f aca="false">IF(C3=" ","?",IF(C3&lt;&gt;3," ","?"))</f>
        <v> </v>
      </c>
    </row>
    <row r="17" customFormat="false" ht="18.75" hidden="false" customHeight="true" outlineLevel="0" collapsed="false">
      <c r="B17" s="9" t="str">
        <f aca="false">IF(C3="?","",IF(C3&lt;&gt;3,"","Nombre d'apprenants effectivement présents aux six tests"))</f>
        <v/>
      </c>
      <c r="C17" s="12" t="str">
        <f aca="false">IF(AND(COUNT('Données brutes'!Y13:Y1012)&lt;&gt;0,C3=3),COUNT('Données brutes'!Y13:Y1012),"")</f>
        <v/>
      </c>
    </row>
    <row r="18" customFormat="false" ht="17.35" hidden="false" customHeight="false" outlineLevel="0" collapsed="false">
      <c r="B18" s="9" t="str">
        <f aca="false">IF(C3="?","",IF(C3&lt;&gt;3,"","Taux de participation"))</f>
        <v/>
      </c>
      <c r="C18" s="13" t="str">
        <f aca="false">IF(AND(C16&lt;&gt;"?",C17&lt;&gt;""),C17/C16,"")</f>
        <v/>
      </c>
    </row>
  </sheetData>
  <mergeCells count="1">
    <mergeCell ref="A1:D1"/>
  </mergeCells>
  <conditionalFormatting sqref="C8:C9">
    <cfRule type="containsText" priority="2" operator="containsText" aboveAverage="0" equalAverage="0" bottom="0" percent="0" rank="0" text=" " dxfId="0">
      <formula>NOT(ISERROR(SEARCH(" ",C8)))</formula>
    </cfRule>
    <cfRule type="cellIs" priority="3" operator="notBetween" aboveAverage="0" equalAverage="0" bottom="0" percent="0" rank="0" text="" dxfId="1">
      <formula>2</formula>
      <formula>1000</formula>
    </cfRule>
  </conditionalFormatting>
  <conditionalFormatting sqref="C4:C5">
    <cfRule type="cellIs" priority="4" operator="notBetween" aboveAverage="0" equalAverage="0" bottom="0" percent="0" rank="0" text="" dxfId="2">
      <formula>-100</formula>
      <formula>100</formula>
    </cfRule>
  </conditionalFormatting>
  <conditionalFormatting sqref="C3">
    <cfRule type="cellIs" priority="5" operator="notBetween" aboveAverage="0" equalAverage="0" bottom="0" percent="0" rank="0" text="" dxfId="3">
      <formula>1</formula>
      <formula>3</formula>
    </cfRule>
  </conditionalFormatting>
  <conditionalFormatting sqref="C16">
    <cfRule type="containsText" priority="6" operator="containsText" aboveAverage="0" equalAverage="0" bottom="0" percent="0" rank="0" text=" " dxfId="4">
      <formula>NOT(ISERROR(SEARCH(" ",C16)))</formula>
    </cfRule>
    <cfRule type="cellIs" priority="7" operator="notBetween" aboveAverage="0" equalAverage="0" bottom="0" percent="0" rank="0" text="" dxfId="5">
      <formula>2</formula>
      <formula>1000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1012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70" workbookViewId="0">
      <selection pane="topLeft" activeCell="E22" activeCellId="0" sqref="E22"/>
    </sheetView>
  </sheetViews>
  <sheetFormatPr defaultColWidth="11.5625" defaultRowHeight="14.25" zeroHeight="false" outlineLevelRow="0" outlineLevelCol="0"/>
  <cols>
    <col collapsed="false" customWidth="true" hidden="false" outlineLevel="0" max="1" min="1" style="17" width="26.67"/>
    <col collapsed="false" customWidth="true" hidden="false" outlineLevel="0" max="4" min="2" style="18" width="14.33"/>
    <col collapsed="false" customWidth="true" hidden="false" outlineLevel="0" max="5" min="5" style="18" width="28.56"/>
    <col collapsed="false" customWidth="true" hidden="false" outlineLevel="0" max="6" min="6" style="19" width="26.67"/>
    <col collapsed="false" customWidth="true" hidden="false" outlineLevel="0" max="9" min="7" style="18" width="14.33"/>
    <col collapsed="false" customWidth="true" hidden="false" outlineLevel="0" max="10" min="10" style="18" width="28.56"/>
    <col collapsed="false" customWidth="true" hidden="false" outlineLevel="0" max="11" min="11" style="20" width="26.67"/>
    <col collapsed="false" customWidth="true" hidden="false" outlineLevel="0" max="14" min="12" style="20" width="14.33"/>
    <col collapsed="false" customWidth="true" hidden="false" outlineLevel="0" max="15" min="15" style="18" width="28.56"/>
    <col collapsed="false" customWidth="true" hidden="false" outlineLevel="0" max="16" min="16" style="20" width="26.67"/>
    <col collapsed="false" customWidth="true" hidden="false" outlineLevel="0" max="19" min="17" style="20" width="14.33"/>
    <col collapsed="false" customWidth="true" hidden="false" outlineLevel="0" max="20" min="20" style="18" width="28.56"/>
    <col collapsed="false" customWidth="true" hidden="false" outlineLevel="0" max="21" min="21" style="18" width="75.67"/>
    <col collapsed="false" customWidth="true" hidden="false" outlineLevel="0" max="22" min="22" style="20" width="26.67"/>
    <col collapsed="false" customWidth="true" hidden="false" outlineLevel="0" max="25" min="23" style="20" width="14.33"/>
    <col collapsed="false" customWidth="true" hidden="false" outlineLevel="0" max="26" min="26" style="18" width="28.56"/>
    <col collapsed="false" customWidth="true" hidden="false" outlineLevel="0" max="27" min="27" style="20" width="26.67"/>
    <col collapsed="false" customWidth="true" hidden="false" outlineLevel="0" max="30" min="28" style="20" width="14.33"/>
    <col collapsed="false" customWidth="true" hidden="false" outlineLevel="0" max="31" min="31" style="18" width="28.56"/>
    <col collapsed="false" customWidth="true" hidden="false" outlineLevel="0" max="32" min="32" style="20" width="26.67"/>
    <col collapsed="false" customWidth="true" hidden="false" outlineLevel="0" max="35" min="33" style="20" width="14.33"/>
    <col collapsed="false" customWidth="true" hidden="false" outlineLevel="0" max="36" min="36" style="18" width="28.56"/>
    <col collapsed="false" customWidth="true" hidden="false" outlineLevel="0" max="37" min="37" style="20" width="26.67"/>
    <col collapsed="false" customWidth="true" hidden="false" outlineLevel="0" max="40" min="38" style="20" width="14.33"/>
    <col collapsed="false" customWidth="true" hidden="false" outlineLevel="0" max="41" min="41" style="18" width="28.56"/>
    <col collapsed="false" customWidth="true" hidden="false" outlineLevel="0" max="42" min="42" style="18" width="73"/>
    <col collapsed="false" customWidth="true" hidden="false" outlineLevel="0" max="43" min="43" style="20" width="26.67"/>
    <col collapsed="false" customWidth="true" hidden="false" outlineLevel="0" max="46" min="44" style="20" width="14.33"/>
    <col collapsed="false" customWidth="true" hidden="false" outlineLevel="0" max="47" min="47" style="18" width="28.56"/>
    <col collapsed="false" customWidth="true" hidden="false" outlineLevel="0" max="48" min="48" style="20" width="26.67"/>
    <col collapsed="false" customWidth="true" hidden="false" outlineLevel="0" max="51" min="49" style="20" width="14.33"/>
    <col collapsed="false" customWidth="true" hidden="false" outlineLevel="0" max="52" min="52" style="18" width="28.56"/>
    <col collapsed="false" customWidth="true" hidden="false" outlineLevel="0" max="53" min="53" style="20" width="26.67"/>
    <col collapsed="false" customWidth="true" hidden="false" outlineLevel="0" max="56" min="54" style="20" width="14.33"/>
    <col collapsed="false" customWidth="true" hidden="false" outlineLevel="0" max="57" min="57" style="18" width="28.56"/>
    <col collapsed="false" customWidth="true" hidden="false" outlineLevel="0" max="58" min="58" style="20" width="26.67"/>
    <col collapsed="false" customWidth="true" hidden="false" outlineLevel="0" max="61" min="59" style="20" width="14.33"/>
    <col collapsed="false" customWidth="true" hidden="false" outlineLevel="0" max="62" min="62" style="18" width="28.56"/>
    <col collapsed="false" customWidth="true" hidden="false" outlineLevel="0" max="63" min="63" style="18" width="80.34"/>
    <col collapsed="false" customWidth="true" hidden="false" outlineLevel="0" max="64" min="64" style="17" width="24.67"/>
    <col collapsed="false" customWidth="true" hidden="false" outlineLevel="0" max="67" min="65" style="17" width="23.56"/>
    <col collapsed="false" customWidth="true" hidden="false" outlineLevel="0" max="68" min="68" style="18" width="81.11"/>
    <col collapsed="false" customWidth="true" hidden="false" outlineLevel="0" max="69" min="69" style="0" width="17.88"/>
    <col collapsed="false" customWidth="true" hidden="false" outlineLevel="0" max="71" min="70" style="17" width="26.88"/>
    <col collapsed="false" customWidth="true" hidden="false" outlineLevel="0" max="72" min="72" style="0" width="17.88"/>
    <col collapsed="false" customWidth="true" hidden="false" outlineLevel="0" max="75" min="73" style="18" width="17.88"/>
    <col collapsed="false" customWidth="true" hidden="false" outlineLevel="0" max="76" min="76" style="0" width="17.88"/>
    <col collapsed="false" customWidth="true" hidden="false" outlineLevel="0" max="77" min="77" style="0" width="11.44"/>
    <col collapsed="false" customWidth="false" hidden="false" outlineLevel="0" max="16384" min="78" style="18" width="11.56"/>
  </cols>
  <sheetData>
    <row r="1" s="22" customFormat="true" ht="21.75" hidden="false" customHeight="true" outlineLevel="0" collapsed="false">
      <c r="A1" s="21" t="s">
        <v>4</v>
      </c>
      <c r="B1" s="21"/>
      <c r="C1" s="21"/>
      <c r="D1" s="21"/>
      <c r="E1" s="21"/>
      <c r="F1" s="21" t="s">
        <v>4</v>
      </c>
      <c r="G1" s="21"/>
      <c r="H1" s="21"/>
      <c r="I1" s="21"/>
      <c r="J1" s="21"/>
      <c r="K1" s="21" t="s">
        <v>4</v>
      </c>
      <c r="L1" s="21"/>
      <c r="M1" s="21"/>
      <c r="N1" s="21"/>
      <c r="O1" s="21"/>
      <c r="P1" s="21" t="s">
        <v>4</v>
      </c>
      <c r="Q1" s="21"/>
      <c r="R1" s="21"/>
      <c r="S1" s="21"/>
      <c r="T1" s="21"/>
      <c r="V1" s="21" t="s">
        <v>5</v>
      </c>
      <c r="W1" s="21"/>
      <c r="X1" s="21"/>
      <c r="Y1" s="21"/>
      <c r="Z1" s="21"/>
      <c r="AA1" s="21" t="s">
        <v>5</v>
      </c>
      <c r="AB1" s="21"/>
      <c r="AC1" s="21"/>
      <c r="AD1" s="21"/>
      <c r="AE1" s="21"/>
      <c r="AF1" s="21" t="s">
        <v>5</v>
      </c>
      <c r="AG1" s="21"/>
      <c r="AH1" s="21"/>
      <c r="AI1" s="21"/>
      <c r="AJ1" s="21"/>
      <c r="AK1" s="21" t="s">
        <v>5</v>
      </c>
      <c r="AL1" s="21"/>
      <c r="AM1" s="21"/>
      <c r="AN1" s="21"/>
      <c r="AO1" s="21"/>
      <c r="AQ1" s="21" t="s">
        <v>6</v>
      </c>
      <c r="AR1" s="21"/>
      <c r="AS1" s="21"/>
      <c r="AT1" s="21"/>
      <c r="AU1" s="21"/>
      <c r="AV1" s="21" t="s">
        <v>6</v>
      </c>
      <c r="AW1" s="21"/>
      <c r="AX1" s="21"/>
      <c r="AY1" s="21"/>
      <c r="AZ1" s="21"/>
      <c r="BA1" s="21" t="s">
        <v>6</v>
      </c>
      <c r="BB1" s="21"/>
      <c r="BC1" s="21"/>
      <c r="BD1" s="21"/>
      <c r="BE1" s="21"/>
      <c r="BF1" s="21" t="s">
        <v>6</v>
      </c>
      <c r="BG1" s="21"/>
      <c r="BH1" s="21"/>
      <c r="BI1" s="21"/>
      <c r="BJ1" s="21"/>
      <c r="BL1" s="23"/>
      <c r="BM1" s="24"/>
      <c r="BN1" s="24"/>
      <c r="BO1" s="24"/>
      <c r="BR1" s="23"/>
      <c r="BS1" s="23"/>
    </row>
    <row r="2" s="25" customFormat="true" ht="21.75" hidden="false" customHeight="true" outlineLevel="0" collapsed="false">
      <c r="A2" s="21" t="s">
        <v>7</v>
      </c>
      <c r="B2" s="21"/>
      <c r="C2" s="21"/>
      <c r="D2" s="21"/>
      <c r="E2" s="21"/>
      <c r="F2" s="21" t="s">
        <v>7</v>
      </c>
      <c r="G2" s="21"/>
      <c r="H2" s="21"/>
      <c r="I2" s="21"/>
      <c r="J2" s="21"/>
      <c r="K2" s="21" t="s">
        <v>8</v>
      </c>
      <c r="L2" s="21"/>
      <c r="M2" s="21"/>
      <c r="N2" s="21"/>
      <c r="O2" s="21"/>
      <c r="P2" s="21" t="s">
        <v>8</v>
      </c>
      <c r="Q2" s="21"/>
      <c r="R2" s="21"/>
      <c r="S2" s="21"/>
      <c r="T2" s="21"/>
      <c r="V2" s="21" t="s">
        <v>7</v>
      </c>
      <c r="W2" s="21"/>
      <c r="X2" s="21"/>
      <c r="Y2" s="21"/>
      <c r="Z2" s="21"/>
      <c r="AA2" s="21" t="s">
        <v>7</v>
      </c>
      <c r="AB2" s="21"/>
      <c r="AC2" s="21"/>
      <c r="AD2" s="21"/>
      <c r="AE2" s="21"/>
      <c r="AF2" s="21" t="s">
        <v>8</v>
      </c>
      <c r="AG2" s="21"/>
      <c r="AH2" s="21"/>
      <c r="AI2" s="21"/>
      <c r="AJ2" s="21"/>
      <c r="AK2" s="21" t="s">
        <v>8</v>
      </c>
      <c r="AL2" s="21"/>
      <c r="AM2" s="21"/>
      <c r="AN2" s="21"/>
      <c r="AO2" s="21"/>
      <c r="AQ2" s="21" t="s">
        <v>9</v>
      </c>
      <c r="AR2" s="21"/>
      <c r="AS2" s="21"/>
      <c r="AT2" s="21"/>
      <c r="AU2" s="21"/>
      <c r="AV2" s="21" t="s">
        <v>9</v>
      </c>
      <c r="AW2" s="21"/>
      <c r="AX2" s="21"/>
      <c r="AY2" s="21"/>
      <c r="AZ2" s="21"/>
      <c r="BA2" s="21" t="s">
        <v>10</v>
      </c>
      <c r="BB2" s="21"/>
      <c r="BC2" s="21"/>
      <c r="BD2" s="21"/>
      <c r="BE2" s="21"/>
      <c r="BF2" s="21" t="s">
        <v>10</v>
      </c>
      <c r="BG2" s="21"/>
      <c r="BH2" s="21"/>
      <c r="BI2" s="21"/>
      <c r="BJ2" s="21"/>
      <c r="BL2" s="23"/>
      <c r="BM2" s="21" t="s">
        <v>11</v>
      </c>
      <c r="BN2" s="21"/>
      <c r="BO2" s="21"/>
      <c r="BR2" s="21" t="s">
        <v>12</v>
      </c>
      <c r="BS2" s="21"/>
    </row>
    <row r="3" s="22" customFormat="true" ht="21.75" hidden="false" customHeight="true" outlineLevel="0" collapsed="false">
      <c r="A3" s="21" t="s">
        <v>13</v>
      </c>
      <c r="B3" s="21"/>
      <c r="C3" s="21"/>
      <c r="D3" s="21"/>
      <c r="E3" s="21"/>
      <c r="F3" s="21" t="s">
        <v>14</v>
      </c>
      <c r="G3" s="21"/>
      <c r="H3" s="21"/>
      <c r="I3" s="21"/>
      <c r="J3" s="21"/>
      <c r="K3" s="21" t="s">
        <v>15</v>
      </c>
      <c r="L3" s="21"/>
      <c r="M3" s="21"/>
      <c r="N3" s="21"/>
      <c r="O3" s="21"/>
      <c r="P3" s="21" t="s">
        <v>14</v>
      </c>
      <c r="Q3" s="21"/>
      <c r="R3" s="21"/>
      <c r="S3" s="21"/>
      <c r="T3" s="21"/>
      <c r="V3" s="21" t="s">
        <v>13</v>
      </c>
      <c r="W3" s="21"/>
      <c r="X3" s="21"/>
      <c r="Y3" s="21"/>
      <c r="Z3" s="21"/>
      <c r="AA3" s="21" t="s">
        <v>14</v>
      </c>
      <c r="AB3" s="21"/>
      <c r="AC3" s="21"/>
      <c r="AD3" s="21"/>
      <c r="AE3" s="21"/>
      <c r="AF3" s="21" t="s">
        <v>15</v>
      </c>
      <c r="AG3" s="21"/>
      <c r="AH3" s="21"/>
      <c r="AI3" s="21"/>
      <c r="AJ3" s="21"/>
      <c r="AK3" s="21" t="s">
        <v>14</v>
      </c>
      <c r="AL3" s="21"/>
      <c r="AM3" s="21"/>
      <c r="AN3" s="21"/>
      <c r="AO3" s="21"/>
      <c r="AQ3" s="21" t="s">
        <v>13</v>
      </c>
      <c r="AR3" s="21"/>
      <c r="AS3" s="21"/>
      <c r="AT3" s="21"/>
      <c r="AU3" s="21"/>
      <c r="AV3" s="21" t="s">
        <v>14</v>
      </c>
      <c r="AW3" s="21"/>
      <c r="AX3" s="21"/>
      <c r="AY3" s="21"/>
      <c r="AZ3" s="21"/>
      <c r="BA3" s="21" t="s">
        <v>15</v>
      </c>
      <c r="BB3" s="21"/>
      <c r="BC3" s="21"/>
      <c r="BD3" s="21"/>
      <c r="BE3" s="21"/>
      <c r="BF3" s="21" t="s">
        <v>14</v>
      </c>
      <c r="BG3" s="21"/>
      <c r="BH3" s="21"/>
      <c r="BI3" s="21"/>
      <c r="BJ3" s="21"/>
      <c r="BL3" s="23"/>
      <c r="BM3" s="26" t="s">
        <v>16</v>
      </c>
      <c r="BN3" s="26" t="s">
        <v>16</v>
      </c>
      <c r="BO3" s="26" t="s">
        <v>17</v>
      </c>
      <c r="BR3" s="23"/>
      <c r="BS3" s="23"/>
    </row>
    <row r="4" s="31" customFormat="true" ht="109.5" hidden="false" customHeight="true" outlineLevel="0" collapsed="false">
      <c r="A4" s="27"/>
      <c r="B4" s="28" t="s">
        <v>18</v>
      </c>
      <c r="C4" s="28" t="s">
        <v>19</v>
      </c>
      <c r="D4" s="28" t="s">
        <v>20</v>
      </c>
      <c r="E4" s="29" t="s">
        <v>21</v>
      </c>
      <c r="F4" s="27"/>
      <c r="G4" s="28" t="s">
        <v>18</v>
      </c>
      <c r="H4" s="28" t="s">
        <v>19</v>
      </c>
      <c r="I4" s="28" t="s">
        <v>20</v>
      </c>
      <c r="J4" s="29" t="s">
        <v>21</v>
      </c>
      <c r="K4" s="30"/>
      <c r="L4" s="28" t="s">
        <v>22</v>
      </c>
      <c r="M4" s="28" t="s">
        <v>23</v>
      </c>
      <c r="N4" s="28" t="s">
        <v>24</v>
      </c>
      <c r="O4" s="29" t="s">
        <v>21</v>
      </c>
      <c r="P4" s="30"/>
      <c r="Q4" s="28" t="s">
        <v>22</v>
      </c>
      <c r="R4" s="28" t="s">
        <v>23</v>
      </c>
      <c r="S4" s="28" t="s">
        <v>24</v>
      </c>
      <c r="T4" s="29" t="s">
        <v>21</v>
      </c>
      <c r="V4" s="30"/>
      <c r="W4" s="28" t="s">
        <v>18</v>
      </c>
      <c r="X4" s="28" t="s">
        <v>19</v>
      </c>
      <c r="Y4" s="28" t="s">
        <v>20</v>
      </c>
      <c r="Z4" s="29" t="s">
        <v>21</v>
      </c>
      <c r="AA4" s="30"/>
      <c r="AB4" s="28" t="s">
        <v>18</v>
      </c>
      <c r="AC4" s="28" t="s">
        <v>19</v>
      </c>
      <c r="AD4" s="28" t="s">
        <v>20</v>
      </c>
      <c r="AE4" s="29" t="s">
        <v>21</v>
      </c>
      <c r="AF4" s="30"/>
      <c r="AG4" s="28" t="s">
        <v>22</v>
      </c>
      <c r="AH4" s="28" t="s">
        <v>23</v>
      </c>
      <c r="AI4" s="28" t="s">
        <v>24</v>
      </c>
      <c r="AJ4" s="29" t="s">
        <v>21</v>
      </c>
      <c r="AK4" s="30"/>
      <c r="AL4" s="28" t="s">
        <v>22</v>
      </c>
      <c r="AM4" s="28" t="s">
        <v>23</v>
      </c>
      <c r="AN4" s="28" t="s">
        <v>24</v>
      </c>
      <c r="AO4" s="29" t="s">
        <v>21</v>
      </c>
      <c r="AQ4" s="30"/>
      <c r="AR4" s="28" t="s">
        <v>18</v>
      </c>
      <c r="AS4" s="28" t="s">
        <v>19</v>
      </c>
      <c r="AT4" s="28" t="s">
        <v>20</v>
      </c>
      <c r="AU4" s="29" t="s">
        <v>21</v>
      </c>
      <c r="AV4" s="30"/>
      <c r="AW4" s="28" t="s">
        <v>18</v>
      </c>
      <c r="AX4" s="28" t="s">
        <v>19</v>
      </c>
      <c r="AY4" s="28" t="s">
        <v>20</v>
      </c>
      <c r="AZ4" s="29" t="s">
        <v>21</v>
      </c>
      <c r="BA4" s="30"/>
      <c r="BB4" s="28" t="s">
        <v>22</v>
      </c>
      <c r="BC4" s="28" t="s">
        <v>23</v>
      </c>
      <c r="BD4" s="28" t="s">
        <v>24</v>
      </c>
      <c r="BE4" s="29" t="s">
        <v>21</v>
      </c>
      <c r="BF4" s="30"/>
      <c r="BG4" s="28" t="s">
        <v>22</v>
      </c>
      <c r="BH4" s="28" t="s">
        <v>23</v>
      </c>
      <c r="BI4" s="28" t="s">
        <v>24</v>
      </c>
      <c r="BJ4" s="29" t="s">
        <v>21</v>
      </c>
      <c r="BL4" s="28"/>
      <c r="BM4" s="28" t="s">
        <v>25</v>
      </c>
      <c r="BN4" s="28" t="s">
        <v>26</v>
      </c>
      <c r="BO4" s="28" t="s">
        <v>27</v>
      </c>
      <c r="BR4" s="28" t="s">
        <v>28</v>
      </c>
      <c r="BS4" s="28" t="s">
        <v>29</v>
      </c>
    </row>
    <row r="5" s="35" customFormat="true" ht="21.75" hidden="false" customHeight="true" outlineLevel="0" collapsed="false">
      <c r="A5" s="32" t="s">
        <v>30</v>
      </c>
      <c r="B5" s="33" t="n">
        <f aca="false">IF(COUNT(B13:B1012)=0,"",AVERAGE(B13:B1012))</f>
        <v>2.6046511627907</v>
      </c>
      <c r="C5" s="33" t="n">
        <f aca="false">IF(COUNT(C13:C1012)=0,"",AVERAGE(C13:C1012))</f>
        <v>12.6904761904762</v>
      </c>
      <c r="D5" s="33" t="n">
        <f aca="false">IF(COUNT(D13:D1012)=0,"",AVERAGE(D13:D1012))</f>
        <v>10.5</v>
      </c>
      <c r="E5" s="34"/>
      <c r="F5" s="32" t="s">
        <v>30</v>
      </c>
      <c r="G5" s="33" t="n">
        <f aca="false">IF(COUNT(G13:G1012)=0,"",AVERAGE(G13:G1012))</f>
        <v>2.97674418604651</v>
      </c>
      <c r="H5" s="33" t="n">
        <f aca="false">IF(COUNT(H13:H1012)=0,"",AVERAGE(H13:H1012))</f>
        <v>14.6190476190476</v>
      </c>
      <c r="I5" s="33" t="n">
        <f aca="false">IF(COUNT(I13:I1012)=0,"",AVERAGE(I13:I1012))</f>
        <v>14.0444444444444</v>
      </c>
      <c r="J5" s="34"/>
      <c r="K5" s="32" t="s">
        <v>30</v>
      </c>
      <c r="L5" s="33" t="n">
        <f aca="false">IF(COUNT(L13:L1012)=0,"",AVERAGE(L13:L1012))</f>
        <v>10.0975609756098</v>
      </c>
      <c r="M5" s="33" t="n">
        <f aca="false">IF(COUNT(M13:M1012)=0,"",AVERAGE(M13:M1012))</f>
        <v>7.90697674418605</v>
      </c>
      <c r="N5" s="33" t="n">
        <f aca="false">IF(COUNT(N13:N1012)=0,"",AVERAGE(N13:N1012))</f>
        <v>-2.21428571428571</v>
      </c>
      <c r="O5" s="34"/>
      <c r="P5" s="32" t="s">
        <v>30</v>
      </c>
      <c r="Q5" s="33" t="n">
        <f aca="false">IF(COUNT(Q13:Q1012)=0,"",AVERAGE(Q13:Q1012))</f>
        <v>11.75</v>
      </c>
      <c r="R5" s="33" t="n">
        <f aca="false">IF(COUNT(R13:R1012)=0,"",AVERAGE(R13:R1012))</f>
        <v>11.1860465116279</v>
      </c>
      <c r="S5" s="33" t="n">
        <f aca="false">IF(COUNT(S13:S1012)=0,"",AVERAGE(S13:S1012))</f>
        <v>-0.452380952380952</v>
      </c>
      <c r="T5" s="34"/>
      <c r="V5" s="32" t="s">
        <v>30</v>
      </c>
      <c r="W5" s="33" t="n">
        <f aca="false">IF(COUNT(W13:W1012)=0,"",AVERAGE(W13:W1012))</f>
        <v>2.58536585365854</v>
      </c>
      <c r="X5" s="33" t="n">
        <f aca="false">IF(COUNT(X13:X1012)=0,"",AVERAGE(X13:X1012))</f>
        <v>12.6829268292683</v>
      </c>
      <c r="Y5" s="33" t="n">
        <f aca="false">IF(COUNT(Y13:Y1012)=0,"",AVERAGE(Y13:Y1012))</f>
        <v>10.4878048780488</v>
      </c>
      <c r="Z5" s="34"/>
      <c r="AA5" s="32" t="s">
        <v>30</v>
      </c>
      <c r="AB5" s="33" t="n">
        <f aca="false">IF(COUNT(AB13:AB1012)=0,"",AVERAGE(AB13:AB1012))</f>
        <v>2.975</v>
      </c>
      <c r="AC5" s="33" t="n">
        <f aca="false">IF(COUNT(AC13:AC1012)=0,"",AVERAGE(AC13:AC1012))</f>
        <v>14.725</v>
      </c>
      <c r="AD5" s="33" t="n">
        <f aca="false">IF(COUNT(AD13:AD1012)=0,"",AVERAGE(AD13:AD1012))</f>
        <v>14.3</v>
      </c>
      <c r="AE5" s="34"/>
      <c r="AF5" s="32" t="s">
        <v>30</v>
      </c>
      <c r="AG5" s="33" t="n">
        <f aca="false">IF(COUNT(AG13:AG1012)=0,"",AVERAGE(AG13:AG1012))</f>
        <v>10.0975609756098</v>
      </c>
      <c r="AH5" s="33" t="n">
        <f aca="false">IF(COUNT(AH13:AH1012)=0,"",AVERAGE(AH13:AH1012))</f>
        <v>7.90243902439024</v>
      </c>
      <c r="AI5" s="33" t="n">
        <f aca="false">IF(COUNT(AI13:AI1012)=0,"",AVERAGE(AI13:AI1012))</f>
        <v>-2.19512195121951</v>
      </c>
      <c r="AJ5" s="34"/>
      <c r="AK5" s="32" t="s">
        <v>30</v>
      </c>
      <c r="AL5" s="33" t="n">
        <f aca="false">IF(COUNT(AL13:AL1012)=0,"",AVERAGE(AL13:AL1012))</f>
        <v>11.75</v>
      </c>
      <c r="AM5" s="33" t="n">
        <f aca="false">IF(COUNT(AM13:AM1012)=0,"",AVERAGE(AM13:AM1012))</f>
        <v>11.325</v>
      </c>
      <c r="AN5" s="33" t="n">
        <f aca="false">IF(COUNT(AN13:AN1012)=0,"",AVERAGE(AN13:AN1012))</f>
        <v>-0.425</v>
      </c>
      <c r="AO5" s="34"/>
      <c r="AQ5" s="32" t="s">
        <v>30</v>
      </c>
      <c r="AR5" s="36" t="n">
        <f aca="false">IF(COUNT(AR13:AR1012)=0,"",AVERAGE(AR13:AR1012))</f>
        <v>0.129268292682927</v>
      </c>
      <c r="AS5" s="36" t="n">
        <f aca="false">IF(COUNT(AS13:AS1012)=0,"",AVERAGE(AS13:AS1012))</f>
        <v>0.634146341463415</v>
      </c>
      <c r="AT5" s="36" t="n">
        <f aca="false">IF(COUNT(AT13:AT1012)=0,"",AVERAGE(AT13:AT1012))</f>
        <v>0.524390243902439</v>
      </c>
      <c r="AU5" s="34"/>
      <c r="AV5" s="32" t="s">
        <v>30</v>
      </c>
      <c r="AW5" s="36" t="n">
        <f aca="false">IF(COUNT(AW13:AW1012)=0,"",AVERAGE(AW13:AW1012))</f>
        <v>0.14875</v>
      </c>
      <c r="AX5" s="36" t="n">
        <f aca="false">IF(COUNT(AX13:AX1012)=0,"",AVERAGE(AX13:AX1012))</f>
        <v>0.73625</v>
      </c>
      <c r="AY5" s="36" t="n">
        <f aca="false">IF(COUNT(AY13:AY1012)=0,"",AVERAGE(AY13:AY1012))</f>
        <v>0.715</v>
      </c>
      <c r="AZ5" s="34"/>
      <c r="BA5" s="32" t="s">
        <v>30</v>
      </c>
      <c r="BB5" s="36" t="n">
        <f aca="false">IF(COUNT(BB13:BB1012)=0,"",AVERAGE(BB13:BB1012))</f>
        <v>0.504878048780488</v>
      </c>
      <c r="BC5" s="36" t="n">
        <f aca="false">IF(COUNT(BC13:BC1012)=0,"",AVERAGE(BC13:BC1012))</f>
        <v>0.395121951219512</v>
      </c>
      <c r="BD5" s="36" t="n">
        <f aca="false">IF(COUNT(BD13:BD1012)=0,"",AVERAGE(BD13:BD1012))</f>
        <v>-0.109756097560976</v>
      </c>
      <c r="BE5" s="34"/>
      <c r="BF5" s="32" t="s">
        <v>30</v>
      </c>
      <c r="BG5" s="36" t="n">
        <f aca="false">IF(COUNT(BG13:BG1012)=0,"",AVERAGE(BG13:BG1012))</f>
        <v>0.5875</v>
      </c>
      <c r="BH5" s="36" t="n">
        <f aca="false">IF(COUNT(BH13:BH1012)=0,"",AVERAGE(BH13:BH1012))</f>
        <v>0.56625</v>
      </c>
      <c r="BI5" s="36" t="n">
        <f aca="false">IF(COUNT(BI13:BI1012)=0,"",AVERAGE(BI13:BI1012))</f>
        <v>-0.02125</v>
      </c>
      <c r="BJ5" s="34"/>
      <c r="BL5" s="37" t="s">
        <v>31</v>
      </c>
      <c r="BM5" s="37" t="n">
        <f aca="false">IF(AND('Choix pédagogiques'!C3&lt;&gt;1,'Choix pédagogiques'!C3&lt;&gt;2),"",SUM(BM13:BM1012))</f>
        <v>41</v>
      </c>
      <c r="BN5" s="37" t="n">
        <f aca="false">IF(AND('Choix pédagogiques'!C3&lt;&gt;1,'Choix pédagogiques'!C3&lt;&gt;2),"",SUM(BN13:BN1012))</f>
        <v>40</v>
      </c>
      <c r="BO5" s="37" t="str">
        <f aca="false">IF(OR(COUNT(BO13:BO1012)=0,'Choix pédagogiques'!C3&lt;&gt;3),"",SUM(BO13:BO1012))</f>
        <v/>
      </c>
      <c r="BR5" s="37"/>
      <c r="BS5" s="37"/>
    </row>
    <row r="6" s="35" customFormat="true" ht="21.75" hidden="false" customHeight="true" outlineLevel="0" collapsed="false">
      <c r="A6" s="38" t="s">
        <v>32</v>
      </c>
      <c r="B6" s="39" t="n">
        <f aca="false">IF(COUNT(B13:B1012)&lt;2,"",_xlfn.STDEV.S(B13:B1012))</f>
        <v>1.56051784573066</v>
      </c>
      <c r="C6" s="39" t="n">
        <f aca="false">IF(COUNT(C13:C1012)&lt;2,"",_xlfn.STDEV.S(C13:C1012))</f>
        <v>2.60850480710456</v>
      </c>
      <c r="D6" s="39" t="n">
        <f aca="false">IF(COUNT(D13:D1012)&lt;2,"",_xlfn.STDEV.S(D13:D1012))</f>
        <v>2.31777760435634</v>
      </c>
      <c r="E6" s="34"/>
      <c r="F6" s="38" t="s">
        <v>32</v>
      </c>
      <c r="G6" s="39" t="n">
        <f aca="false">IF(COUNT(G13:G1012)&lt;2,"",_xlfn.STDEV.S(G13:G1012))</f>
        <v>1.47177204648364</v>
      </c>
      <c r="H6" s="39" t="n">
        <f aca="false">IF(COUNT(H13:H1012)&lt;2,"",_xlfn.STDEV.S(H13:H1012))</f>
        <v>2.56574413636412</v>
      </c>
      <c r="I6" s="39" t="n">
        <f aca="false">IF(COUNT(I13:I1012)&lt;2,"",_xlfn.STDEV.S(I13:I1012))</f>
        <v>2.81195140553152</v>
      </c>
      <c r="J6" s="34"/>
      <c r="K6" s="38" t="s">
        <v>32</v>
      </c>
      <c r="L6" s="39" t="n">
        <f aca="false">IF(COUNT(L13:L1012)&lt;2,"",_xlfn.STDEV.S(L13:L1012))</f>
        <v>2.73683099632386</v>
      </c>
      <c r="M6" s="39" t="n">
        <f aca="false">IF(COUNT(M13:M1012)&lt;2,"",_xlfn.STDEV.S(M13:M1012))</f>
        <v>2.5430947914881</v>
      </c>
      <c r="N6" s="39" t="n">
        <f aca="false">IF(COUNT(N13:N1012)&lt;2,"",_xlfn.STDEV.S(N13:N1012))</f>
        <v>1.64592200102237</v>
      </c>
      <c r="O6" s="34"/>
      <c r="P6" s="38" t="s">
        <v>32</v>
      </c>
      <c r="Q6" s="39" t="n">
        <f aca="false">IF(COUNT(Q13:Q1012)&lt;2,"",_xlfn.STDEV.S(Q13:Q1012))</f>
        <v>2.78963282208453</v>
      </c>
      <c r="R6" s="39" t="n">
        <f aca="false">IF(COUNT(R13:R1012)&lt;2,"",_xlfn.STDEV.S(R13:R1012))</f>
        <v>2.90529741083494</v>
      </c>
      <c r="S6" s="39" t="n">
        <f aca="false">IF(COUNT(S13:S1012)&lt;2,"",_xlfn.STDEV.S(S13:S1012))</f>
        <v>2.41137933356825</v>
      </c>
      <c r="T6" s="34"/>
      <c r="V6" s="38" t="s">
        <v>32</v>
      </c>
      <c r="W6" s="39" t="n">
        <f aca="false">IF(COUNT(W13:W1012)&lt;2,"",_xlfn.STDEV.S(W13:W1012))</f>
        <v>1.58075313942591</v>
      </c>
      <c r="X6" s="39" t="n">
        <f aca="false">IF(COUNT(X13:X1012)&lt;2,"",_xlfn.STDEV.S(X13:X1012))</f>
        <v>2.64044526917567</v>
      </c>
      <c r="Y6" s="39" t="n">
        <f aca="false">IF(COUNT(Y13:Y1012)&lt;2,"",_xlfn.STDEV.S(Y13:Y1012))</f>
        <v>2.38874392955285</v>
      </c>
      <c r="Z6" s="34"/>
      <c r="AA6" s="38" t="s">
        <v>32</v>
      </c>
      <c r="AB6" s="39" t="n">
        <f aca="false">IF(COUNT(AB13:AB1012)&lt;2,"",_xlfn.STDEV.S(AB13:AB1012))</f>
        <v>1.51043379742717</v>
      </c>
      <c r="AC6" s="39" t="n">
        <f aca="false">IF(COUNT(AC13:AC1012)&lt;2,"",_xlfn.STDEV.S(AC13:AC1012))</f>
        <v>2.58186476040587</v>
      </c>
      <c r="AD6" s="39" t="n">
        <f aca="false">IF(COUNT(AD13:AD1012)&lt;2,"",_xlfn.STDEV.S(AD13:AD1012))</f>
        <v>2.8211654256662</v>
      </c>
      <c r="AE6" s="34"/>
      <c r="AF6" s="38" t="s">
        <v>32</v>
      </c>
      <c r="AG6" s="39" t="n">
        <f aca="false">IF(COUNT(AG13:AG1012)&lt;2,"",_xlfn.STDEV.S(AG13:AG1012))</f>
        <v>2.73683099632386</v>
      </c>
      <c r="AH6" s="39" t="n">
        <f aca="false">IF(COUNT(AH13:AH1012)&lt;2,"",_xlfn.STDEV.S(AH13:AH1012))</f>
        <v>2.56714703560957</v>
      </c>
      <c r="AI6" s="39" t="n">
        <f aca="false">IF(COUNT(AI13:AI1012)&lt;2,"",_xlfn.STDEV.S(AI13:AI1012))</f>
        <v>1.66161837067243</v>
      </c>
      <c r="AJ6" s="34"/>
      <c r="AK6" s="38" t="s">
        <v>32</v>
      </c>
      <c r="AL6" s="39" t="n">
        <f aca="false">IF(COUNT(AL13:AL1012)&lt;2,"",_xlfn.STDEV.S(AL13:AL1012))</f>
        <v>2.78963282208453</v>
      </c>
      <c r="AM6" s="39" t="n">
        <f aca="false">IF(COUNT(AM13:AM1012)&lt;2,"",_xlfn.STDEV.S(AM13:AM1012))</f>
        <v>2.87685280320041</v>
      </c>
      <c r="AN6" s="39" t="n">
        <f aca="false">IF(COUNT(AN13:AN1012)&lt;2,"",_xlfn.STDEV.S(AN13:AN1012))</f>
        <v>2.4691688625517</v>
      </c>
      <c r="AO6" s="34"/>
      <c r="AQ6" s="38" t="s">
        <v>32</v>
      </c>
      <c r="AR6" s="40" t="n">
        <f aca="false">IF(COUNT(AR13:AR1012)&lt;2,"",_xlfn.STDEV.S(AR13:AR1012))</f>
        <v>0.0790376569712956</v>
      </c>
      <c r="AS6" s="40" t="n">
        <f aca="false">IF(COUNT(AS13:AS1012)&lt;2,"",_xlfn.STDEV.S(AS13:AS1012))</f>
        <v>0.132022263458783</v>
      </c>
      <c r="AT6" s="40" t="n">
        <f aca="false">IF(COUNT(AT13:AT1012)&lt;2,"",_xlfn.STDEV.S(AT13:AT1012))</f>
        <v>0.119437196477643</v>
      </c>
      <c r="AU6" s="34"/>
      <c r="AV6" s="38" t="s">
        <v>32</v>
      </c>
      <c r="AW6" s="40" t="n">
        <f aca="false">IF(COUNT(AW13:AW1012)&lt;2,"",_xlfn.STDEV.S(AW13:AW1012))</f>
        <v>0.0755216898713583</v>
      </c>
      <c r="AX6" s="40" t="n">
        <f aca="false">IF(COUNT(AX13:AX1012)&lt;2,"",_xlfn.STDEV.S(AX13:AX1012))</f>
        <v>0.129093238020293</v>
      </c>
      <c r="AY6" s="40" t="n">
        <f aca="false">IF(COUNT(AY13:AY1012)&lt;2,"",_xlfn.STDEV.S(AY13:AY1012))</f>
        <v>0.141058271283309</v>
      </c>
      <c r="AZ6" s="34"/>
      <c r="BA6" s="38" t="s">
        <v>32</v>
      </c>
      <c r="BB6" s="40" t="n">
        <f aca="false">IF(COUNT(BB13:BB1012)&lt;2,"",_xlfn.STDEV.S(BB13:BB1012))</f>
        <v>0.136841549816193</v>
      </c>
      <c r="BC6" s="40" t="n">
        <f aca="false">IF(COUNT(BC13:BC1012)&lt;2,"",_xlfn.STDEV.S(BC13:BC1012))</f>
        <v>0.128357351780478</v>
      </c>
      <c r="BD6" s="40" t="n">
        <f aca="false">IF(COUNT(BD13:BD1012)&lt;2,"",_xlfn.STDEV.S(BD13:BD1012))</f>
        <v>0.0830809185336214</v>
      </c>
      <c r="BE6" s="34"/>
      <c r="BF6" s="38" t="s">
        <v>32</v>
      </c>
      <c r="BG6" s="40" t="n">
        <f aca="false">IF(COUNT(BG13:BG1012)&lt;2,"",_xlfn.STDEV.S(BG13:BG1012))</f>
        <v>0.139481641104226</v>
      </c>
      <c r="BH6" s="40" t="n">
        <f aca="false">IF(COUNT(BH13:BH1012)&lt;2,"",_xlfn.STDEV.S(BH13:BH1012))</f>
        <v>0.143842640160021</v>
      </c>
      <c r="BI6" s="40" t="n">
        <f aca="false">IF(COUNT(BI13:BI1012)&lt;2,"",_xlfn.STDEV.S(BI13:BI1012))</f>
        <v>0.123458443127585</v>
      </c>
      <c r="BJ6" s="34"/>
      <c r="BL6" s="37" t="s">
        <v>33</v>
      </c>
      <c r="BM6" s="37" t="n">
        <f aca="false">IF(AND('Choix pédagogiques'!C3&lt;&gt;1,'Choix pédagogiques'!C3&lt;&gt;2),"",'Choix pédagogiques'!C8)</f>
        <v>45</v>
      </c>
      <c r="BN6" s="37" t="n">
        <f aca="false">IF(AND('Choix pédagogiques'!C3&lt;&gt;1,'Choix pédagogiques'!C3&lt;&gt;2),"",'Choix pédagogiques'!C9)</f>
        <v>44</v>
      </c>
      <c r="BO6" s="37" t="str">
        <f aca="false">IF(OR(BO5="",'Choix pédagogiques'!C3&lt;&gt;3),"",'Choix pédagogiques'!C16)</f>
        <v/>
      </c>
      <c r="BR6" s="37"/>
      <c r="BS6" s="37"/>
    </row>
    <row r="7" s="35" customFormat="true" ht="21.75" hidden="false" customHeight="true" outlineLevel="0" collapsed="false">
      <c r="A7" s="38" t="s">
        <v>34</v>
      </c>
      <c r="B7" s="39" t="n">
        <f aca="false">IF(OR('Choix pédagogiques'!$C$3=1,'Choix pédagogiques'!$C$3=2),IF(OR(COUNT(B13:B1012)&lt;2,'Choix pédagogiques'!$C10=""),"",IF(B6=0,0,_xlfn.CONFIDENCE.NORM(0.05,B6,'Choix pédagogiques'!$C10))),IF('Choix pédagogiques'!$C$3=3,IF(OR(COUNT(B13:B1012)&lt;2,'Choix pédagogiques'!$C17=""),"",IF(B6=0,0,_xlfn.CONFIDENCE.NORM(0.05,B6,'Choix pédagogiques'!$C17))),""))</f>
        <v>0.477666629827936</v>
      </c>
      <c r="C7" s="39" t="n">
        <f aca="false">IF(OR('Choix pédagogiques'!$C$3=1,'Choix pédagogiques'!$C$3=2),IF(OR(COUNT(C13:C1012)&lt;2,'Choix pédagogiques'!$C10=""),"",IF(C6=0,0,_xlfn.CONFIDENCE.NORM(0.05,C6,'Choix pédagogiques'!$C10))),IF('Choix pédagogiques'!$C$3=3,IF(OR(COUNT(C13:C1012)&lt;2,'Choix pédagogiques'!$C17=""),"",IF(C6=0,0,_xlfn.CONFIDENCE.NORM(0.05,C6,'Choix pédagogiques'!$C17))),""))</f>
        <v>0.798450144936478</v>
      </c>
      <c r="D7" s="39" t="n">
        <f aca="false">IF(OR('Choix pédagogiques'!$C$3=1,'Choix pédagogiques'!$C$3=2),IF(OR(COUNT(D13:D1012)&lt;2,'Choix pédagogiques'!$C10=""),"",IF(D6=0,0,_xlfn.CONFIDENCE.NORM(0.05,D6,'Choix pédagogiques'!$C10))),IF('Choix pédagogiques'!$C$3=3,IF(OR(COUNT(D13:D1012)&lt;2,'Choix pédagogiques'!$C17=""),"",IF(D6=0,0,_xlfn.CONFIDENCE.NORM(0.05,D6,'Choix pédagogiques'!$C17))),""))</f>
        <v>0.709460016745395</v>
      </c>
      <c r="E7" s="34"/>
      <c r="F7" s="38" t="s">
        <v>34</v>
      </c>
      <c r="G7" s="39" t="n">
        <f aca="false">IF(OR('Choix pédagogiques'!$C$3=1,'Choix pédagogiques'!$C$3=2),IF(OR(COUNT(G13:G1012)&lt;2,'Choix pédagogiques'!$C11=""),"",IF(G6=0,0,_xlfn.CONFIDENCE.NORM(0.05,G6,'Choix pédagogiques'!$C11))),IF('Choix pédagogiques'!$C$3=3,IF(OR(COUNT(G13:G1012)&lt;2,'Choix pédagogiques'!$C17=""),"",IF(G6=0,0,_xlfn.CONFIDENCE.NORM(0.05,G6,'Choix pédagogiques'!$C17))),""))</f>
        <v>0.456098501547638</v>
      </c>
      <c r="H7" s="39" t="n">
        <f aca="false">IF(OR('Choix pédagogiques'!$C$3=1,'Choix pédagogiques'!$C$3=2),IF(OR(COUNT(H13:H1012)&lt;2,'Choix pédagogiques'!$C11=""),"",IF(H6=0,0,_xlfn.CONFIDENCE.NORM(0.05,H6,'Choix pédagogiques'!$C11))),IF('Choix pédagogiques'!$C$3=3,IF(OR(COUNT(H13:H1012)&lt;2,'Choix pédagogiques'!$C17=""),"",IF(H6=0,0,_xlfn.CONFIDENCE.NORM(0.05,H6,'Choix pédagogiques'!$C17))),""))</f>
        <v>0.795117734941519</v>
      </c>
      <c r="I7" s="39" t="n">
        <f aca="false">IF(OR('Choix pédagogiques'!$C$3=1,'Choix pédagogiques'!$C$3=2),IF(OR(COUNT(I13:I1012)&lt;2,'Choix pédagogiques'!$C11=""),"",IF(I6=0,0,_xlfn.CONFIDENCE.NORM(0.05,I6,'Choix pédagogiques'!$C11))),IF('Choix pédagogiques'!$C$3=3,IF(OR(COUNT(I13:I1012)&lt;2,'Choix pédagogiques'!$C17=""),"",IF(I6=0,0,_xlfn.CONFIDENCE.NORM(0.05,I6,'Choix pédagogiques'!$C17))),""))</f>
        <v>0.871416756115133</v>
      </c>
      <c r="J7" s="34"/>
      <c r="K7" s="38" t="s">
        <v>34</v>
      </c>
      <c r="L7" s="39" t="n">
        <f aca="false">IF(OR('Choix pédagogiques'!$C$3=1,'Choix pédagogiques'!$C$3=2),IF(OR(COUNT(L13:L1012)&lt;2,'Choix pédagogiques'!$C10=""),"",IF(L6=0,0,_xlfn.CONFIDENCE.NORM(0.05,L6,'Choix pédagogiques'!$C10))),IF('Choix pédagogiques'!$C$3=3,IF(OR(COUNT(L13:L1012)&lt;2,'Choix pédagogiques'!$C17=""),"",IF(L6=0,0,_xlfn.CONFIDENCE.NORM(0.05,L6,'Choix pédagogiques'!$C17))),""))</f>
        <v>0.837730143233674</v>
      </c>
      <c r="M7" s="39" t="n">
        <f aca="false">IF(OR('Choix pédagogiques'!$C$3=1,'Choix pédagogiques'!$C$3=2),IF(OR(COUNT(M13:M1012)&lt;2,'Choix pédagogiques'!$C10=""),"",IF(M6=0,0,_xlfn.CONFIDENCE.NORM(0.05,M6,'Choix pédagogiques'!$C10))),IF('Choix pédagogiques'!$C$3=3,IF(OR(COUNT(M13:M1012)&lt;2,'Choix pédagogiques'!$C17=""),"",IF(M6=0,0,_xlfn.CONFIDENCE.NORM(0.05,M6,'Choix pédagogiques'!$C17))),""))</f>
        <v>0.778428469566354</v>
      </c>
      <c r="N7" s="39" t="n">
        <f aca="false">IF(OR('Choix pédagogiques'!$C$3=1,'Choix pédagogiques'!$C$3=2),IF(OR(COUNT(N13:N1012)&lt;2,'Choix pédagogiques'!$C10=""),"",IF(N6=0,0,_xlfn.CONFIDENCE.NORM(0.05,N6,'Choix pédagogiques'!$C10))),IF('Choix pédagogiques'!$C$3=3,IF(OR(COUNT(N13:N1012)&lt;2,'Choix pédagogiques'!$C17=""),"",IF(N6=0,0,_xlfn.CONFIDENCE.NORM(0.05,N6,'Choix pédagogiques'!$C17))),""))</f>
        <v>0.503808410354895</v>
      </c>
      <c r="O7" s="34"/>
      <c r="P7" s="38" t="s">
        <v>34</v>
      </c>
      <c r="Q7" s="39" t="n">
        <f aca="false">IF(OR('Choix pédagogiques'!$C$3=1,'Choix pédagogiques'!$C$3=2),IF(OR(COUNT(Q13:Q1012)&lt;2,'Choix pédagogiques'!$C11=""),"",IF(Q6=0,0,_xlfn.CONFIDENCE.NORM(0.05,Q6,'Choix pédagogiques'!$C11))),IF('Choix pédagogiques'!$C$3=3,IF(OR(COUNT(Q13:Q1012)&lt;2,'Choix pédagogiques'!$C17=""),"",IF(Q6=0,0,_xlfn.CONFIDENCE.NORM(0.05,Q6,'Choix pédagogiques'!$C17))),""))</f>
        <v>0.864500282540872</v>
      </c>
      <c r="R7" s="39" t="n">
        <f aca="false">IF(OR('Choix pédagogiques'!$C$3=1,'Choix pédagogiques'!$C$3=2),IF(OR(COUNT(R13:R1012)&lt;2,'Choix pédagogiques'!$C11=""),"",IF(R6=0,0,_xlfn.CONFIDENCE.NORM(0.05,R6,'Choix pédagogiques'!$C11))),IF('Choix pédagogiques'!$C$3=3,IF(OR(COUNT(R13:R1012)&lt;2,'Choix pédagogiques'!$C17=""),"",IF(R6=0,0,_xlfn.CONFIDENCE.NORM(0.05,R6,'Choix pédagogiques'!$C17))),""))</f>
        <v>0.900344451301401</v>
      </c>
      <c r="S7" s="39" t="n">
        <f aca="false">IF(OR('Choix pédagogiques'!$C$3=1,'Choix pédagogiques'!$C$3=2),IF(OR(COUNT(S13:S1012)&lt;2,'Choix pédagogiques'!$C11=""),"",IF(S6=0,0,_xlfn.CONFIDENCE.NORM(0.05,S6,'Choix pédagogiques'!$C11))),IF('Choix pédagogiques'!$C$3=3,IF(OR(COUNT(S13:S1012)&lt;2,'Choix pédagogiques'!$C17=""),"",IF(S6=0,0,_xlfn.CONFIDENCE.NORM(0.05,S6,'Choix pédagogiques'!$C17))),""))</f>
        <v>0.747280465973742</v>
      </c>
      <c r="T7" s="34"/>
      <c r="V7" s="38" t="s">
        <v>34</v>
      </c>
      <c r="W7" s="39" t="n">
        <f aca="false">IF(OR('Choix pédagogiques'!$C$3=1,'Choix pédagogiques'!$C$3=2),IF(OR(COUNT(W13:W1012)&lt;2,'Choix pédagogiques'!$C10=""),"",IF(W6=0,0,_xlfn.CONFIDENCE.NORM(0.05,W6,'Choix pédagogiques'!$C10))),IF('Choix pédagogiques'!$C$3=3,IF(OR(COUNT(W13:W1012)&lt;2,'Choix pédagogiques'!$C17=""),"",IF(W6=0,0,_xlfn.CONFIDENCE.NORM(0.05,W6,'Choix pédagogiques'!$C17))),""))</f>
        <v>0.483860551012134</v>
      </c>
      <c r="X7" s="39" t="n">
        <f aca="false">IF(OR('Choix pédagogiques'!$C$3=1,'Choix pédagogiques'!$C$3=2),IF(OR(COUNT(X13:X1012)&lt;2,'Choix pédagogiques'!$C10=""),"",IF(X6=0,0,_xlfn.CONFIDENCE.NORM(0.05,X6,'Choix pédagogiques'!$C10))),IF('Choix pédagogiques'!$C$3=3,IF(OR(COUNT(X13:X1012)&lt;2,'Choix pédagogiques'!$C17=""),"",IF(X6=0,0,_xlfn.CONFIDENCE.NORM(0.05,X6,'Choix pédagogiques'!$C17))),""))</f>
        <v>0.808226959033412</v>
      </c>
      <c r="Y7" s="39" t="n">
        <f aca="false">IF(OR('Choix pédagogiques'!$C$3=1,'Choix pédagogiques'!$C$3=2),IF(OR(COUNT(Y13:Y1012)&lt;2,'Choix pédagogiques'!$C10=""),"",IF(Y6=0,0,_xlfn.CONFIDENCE.NORM(0.05,Y6,'Choix pédagogiques'!$C10))),IF('Choix pédagogiques'!$C$3=3,IF(OR(COUNT(Y13:Y1012)&lt;2,'Choix pédagogiques'!$C17=""),"",IF(Y6=0,0,_xlfn.CONFIDENCE.NORM(0.05,Y6,'Choix pédagogiques'!$C17))),""))</f>
        <v>0.731182450411009</v>
      </c>
      <c r="Z7" s="34"/>
      <c r="AA7" s="38" t="s">
        <v>34</v>
      </c>
      <c r="AB7" s="39" t="n">
        <f aca="false">IF(OR('Choix pédagogiques'!$C$3=1,'Choix pédagogiques'!$C$3=2),IF(OR(COUNT(AB13:AB1012)&lt;2,'Choix pédagogiques'!$C11=""),"",IF(AB6=0,0,_xlfn.CONFIDENCE.NORM(0.05,AB6,'Choix pédagogiques'!$C11))),IF('Choix pédagogiques'!$C$3=3,IF(OR(COUNT(AB13:AB1012)&lt;2,'Choix pédagogiques'!$C17=""),"",IF(AB6=0,0,_xlfn.CONFIDENCE.NORM(0.05,AB6,'Choix pédagogiques'!$C17))),""))</f>
        <v>0.468079682135137</v>
      </c>
      <c r="AC7" s="39" t="n">
        <f aca="false">IF(OR('Choix pédagogiques'!$C$3=1,'Choix pédagogiques'!$C$3=2),IF(OR(COUNT(AC13:AC1012)&lt;2,'Choix pédagogiques'!$C11=""),"",IF(AC6=0,0,_xlfn.CONFIDENCE.NORM(0.05,AC6,'Choix pédagogiques'!$C11))),IF('Choix pédagogiques'!$C$3=3,IF(OR(COUNT(AC13:AC1012)&lt;2,'Choix pédagogiques'!$C17=""),"",IF(AC6=0,0,_xlfn.CONFIDENCE.NORM(0.05,AC6,'Choix pédagogiques'!$C17))),""))</f>
        <v>0.800113476290882</v>
      </c>
      <c r="AD7" s="39" t="n">
        <f aca="false">IF(OR('Choix pédagogiques'!$C$3=1,'Choix pédagogiques'!$C$3=2),IF(OR(COUNT(AD13:AD1012)&lt;2,'Choix pédagogiques'!$C11=""),"",IF(AD6=0,0,_xlfn.CONFIDENCE.NORM(0.05,AD6,'Choix pédagogiques'!$C11))),IF('Choix pédagogiques'!$C$3=3,IF(OR(COUNT(AD13:AD1012)&lt;2,'Choix pédagogiques'!$C17=""),"",IF(AD6=0,0,_xlfn.CONFIDENCE.NORM(0.05,AD6,'Choix pédagogiques'!$C17))),""))</f>
        <v>0.874272158068647</v>
      </c>
      <c r="AE7" s="34"/>
      <c r="AF7" s="38" t="s">
        <v>34</v>
      </c>
      <c r="AG7" s="39" t="n">
        <f aca="false">IF(OR('Choix pédagogiques'!$C$3=1,'Choix pédagogiques'!$C$3=2),IF(OR(COUNT(AG13:AG1012)&lt;2,'Choix pédagogiques'!$C10=""),"",IF(AG6=0,0,_xlfn.CONFIDENCE.NORM(0.05,AG6,'Choix pédagogiques'!$C10))),IF('Choix pédagogiques'!$C$3=3,IF(OR(COUNT(AG13:AG1012)&lt;2,'Choix pédagogiques'!$C17=""),"",IF(AG6=0,0,_xlfn.CONFIDENCE.NORM(0.05,AG6,'Choix pédagogiques'!$C17))),""))</f>
        <v>0.837730143233674</v>
      </c>
      <c r="AH7" s="39" t="n">
        <f aca="false">IF(OR('Choix pédagogiques'!$C$3=1,'Choix pédagogiques'!$C$3=2),IF(OR(COUNT(AH13:AH1012)&lt;2,'Choix pédagogiques'!$C10=""),"",IF(AH6=0,0,_xlfn.CONFIDENCE.NORM(0.05,AH6,'Choix pédagogiques'!$C10))),IF('Choix pédagogiques'!$C$3=3,IF(OR(COUNT(AH13:AH1012)&lt;2,'Choix pédagogiques'!$C17=""),"",IF(AH6=0,0,_xlfn.CONFIDENCE.NORM(0.05,AH6,'Choix pédagogiques'!$C17))),""))</f>
        <v>0.785790739995195</v>
      </c>
      <c r="AI7" s="39" t="n">
        <f aca="false">IF(OR('Choix pédagogiques'!$C$3=1,'Choix pédagogiques'!$C$3=2),IF(OR(COUNT(AI13:AI1012)&lt;2,'Choix pédagogiques'!$C10=""),"",IF(AI6=0,0,_xlfn.CONFIDENCE.NORM(0.05,AI6,'Choix pédagogiques'!$C10))),IF('Choix pédagogiques'!$C$3=3,IF(OR(COUNT(AI13:AI1012)&lt;2,'Choix pédagogiques'!$C17=""),"",IF(AI6=0,0,_xlfn.CONFIDENCE.NORM(0.05,AI6,'Choix pédagogiques'!$C17))),""))</f>
        <v>0.508612989816636</v>
      </c>
      <c r="AJ7" s="34"/>
      <c r="AK7" s="38" t="s">
        <v>34</v>
      </c>
      <c r="AL7" s="39" t="n">
        <f aca="false">IF(OR('Choix pédagogiques'!$C$3=1,'Choix pédagogiques'!$C$3=2),IF(OR(COUNT(AL13:AL1012)&lt;2,'Choix pédagogiques'!$C11=""),"",IF(AL6=0,0,_xlfn.CONFIDENCE.NORM(0.05,AL6,'Choix pédagogiques'!$C11))),IF('Choix pédagogiques'!$C$3=3,IF(OR(COUNT(AL13:AL1012)&lt;2,'Choix pédagogiques'!$C17=""),"",IF(AL6=0,0,_xlfn.CONFIDENCE.NORM(0.05,AL6,'Choix pédagogiques'!$C17))),""))</f>
        <v>0.864500282540872</v>
      </c>
      <c r="AM7" s="39" t="n">
        <f aca="false">IF(OR('Choix pédagogiques'!$C$3=1,'Choix pédagogiques'!$C$3=2),IF(OR(COUNT(AM13:AM1012)&lt;2,'Choix pédagogiques'!$C11=""),"",IF(AM6=0,0,_xlfn.CONFIDENCE.NORM(0.05,AM6,'Choix pédagogiques'!$C11))),IF('Choix pédagogiques'!$C$3=3,IF(OR(COUNT(AM13:AM1012)&lt;2,'Choix pédagogiques'!$C17=""),"",IF(AM6=0,0,_xlfn.CONFIDENCE.NORM(0.05,AM6,'Choix pédagogiques'!$C17))),""))</f>
        <v>0.891529538047532</v>
      </c>
      <c r="AN7" s="39" t="n">
        <f aca="false">IF(OR('Choix pédagogiques'!$C$3=1,'Choix pédagogiques'!$C$3=2),IF(OR(COUNT(AN13:AN1012)&lt;2,'Choix pédagogiques'!$C11=""),"",IF(AN6=0,0,_xlfn.CONFIDENCE.NORM(0.05,AN6,'Choix pédagogiques'!$C11))),IF('Choix pédagogiques'!$C$3=3,IF(OR(COUNT(AN13:AN1012)&lt;2,'Choix pédagogiques'!$C17=""),"",IF(AN6=0,0,_xlfn.CONFIDENCE.NORM(0.05,AN6,'Choix pédagogiques'!$C17))),""))</f>
        <v>0.765189297465325</v>
      </c>
      <c r="AO7" s="34"/>
      <c r="AQ7" s="38" t="s">
        <v>34</v>
      </c>
      <c r="AR7" s="40" t="n">
        <f aca="false">IF(OR('Choix pédagogiques'!$C$3=1,'Choix pédagogiques'!$C$3=2),IF(OR(COUNT(AR13:AR1012)&lt;2,'Choix pédagogiques'!$C10=""),"",IF(AR6=0,0,_xlfn.CONFIDENCE.NORM(0.05,AR6,'Choix pédagogiques'!$C10))),IF('Choix pédagogiques'!$C$3=3,IF(OR(COUNT(AR13:AR1012)&lt;2,'Choix pédagogiques'!$C17=""),"",IF(AR6=0,0,_xlfn.CONFIDENCE.NORM(0.05,AR6,'Choix pédagogiques'!$C17))),""))</f>
        <v>0.0241930275506067</v>
      </c>
      <c r="AS7" s="40" t="n">
        <f aca="false">IF(OR('Choix pédagogiques'!$C$3=1,'Choix pédagogiques'!$C$3=2),IF(OR(COUNT(AS13:AS1012)&lt;2,'Choix pédagogiques'!$C10=""),"",IF(AS6=0,0,_xlfn.CONFIDENCE.NORM(0.05,AS6,'Choix pédagogiques'!$C10))),IF('Choix pédagogiques'!$C$3=3,IF(OR(COUNT(AS13:AS1012)&lt;2,'Choix pédagogiques'!$C17=""),"",IF(AS6=0,0,_xlfn.CONFIDENCE.NORM(0.05,AS6,'Choix pédagogiques'!$C17))),""))</f>
        <v>0.0404113479516705</v>
      </c>
      <c r="AT7" s="40" t="n">
        <f aca="false">IF(OR('Choix pédagogiques'!$C$3=1,'Choix pédagogiques'!$C$3=2),IF(OR(COUNT(AT13:AT1012)&lt;2,'Choix pédagogiques'!$C10=""),"",IF(AT6=0,0,_xlfn.CONFIDENCE.NORM(0.05,AT6,'Choix pédagogiques'!$C10))),IF('Choix pédagogiques'!$C$3=3,IF(OR(COUNT(AT13:AT1012)&lt;2,'Choix pédagogiques'!$C17=""),"",IF(AT6=0,0,_xlfn.CONFIDENCE.NORM(0.05,AT6,'Choix pédagogiques'!$C17))),""))</f>
        <v>0.0365591225205506</v>
      </c>
      <c r="AU7" s="34"/>
      <c r="AV7" s="38" t="s">
        <v>34</v>
      </c>
      <c r="AW7" s="40" t="n">
        <f aca="false">IF(OR('Choix pédagogiques'!$C$3=1,'Choix pédagogiques'!$C$3=2),IF(OR(COUNT(AW13:AW1012)&lt;2,'Choix pédagogiques'!$C11=""),"",IF(AW6=0,0,_xlfn.CONFIDENCE.NORM(0.05,AW6,'Choix pédagogiques'!$C11))),IF('Choix pédagogiques'!$C$3=3,IF(OR(COUNT(AW13:AW1012)&lt;2,'Choix pédagogiques'!$C17=""),"",IF(AW6=0,0,_xlfn.CONFIDENCE.NORM(0.05,AW6,'Choix pédagogiques'!$C17))),""))</f>
        <v>0.0234039841067568</v>
      </c>
      <c r="AX7" s="40" t="n">
        <f aca="false">IF(OR('Choix pédagogiques'!$C$3=1,'Choix pédagogiques'!$C$3=2),IF(OR(COUNT(AX13:AX1012)&lt;2,'Choix pédagogiques'!$C11=""),"",IF(AX6=0,0,_xlfn.CONFIDENCE.NORM(0.05,AX6,'Choix pédagogiques'!$C11))),IF('Choix pédagogiques'!$C$3=3,IF(OR(COUNT(AX13:AX1012)&lt;2,'Choix pédagogiques'!$C17=""),"",IF(AX6=0,0,_xlfn.CONFIDENCE.NORM(0.05,AX6,'Choix pédagogiques'!$C17))),""))</f>
        <v>0.0400056738145441</v>
      </c>
      <c r="AY7" s="40" t="n">
        <f aca="false">IF(OR('Choix pédagogiques'!$C$3=1,'Choix pédagogiques'!$C$3=2),IF(OR(COUNT(AY13:AY1012)&lt;2,'Choix pédagogiques'!$C11=""),"",IF(AY6=0,0,_xlfn.CONFIDENCE.NORM(0.05,AY6,'Choix pédagogiques'!$C11))),IF('Choix pédagogiques'!$C$3=3,IF(OR(COUNT(AY13:AY1012)&lt;2,'Choix pédagogiques'!$C17=""),"",IF(AY6=0,0,_xlfn.CONFIDENCE.NORM(0.05,AY6,'Choix pédagogiques'!$C17))),""))</f>
        <v>0.0437136079034322</v>
      </c>
      <c r="AZ7" s="34"/>
      <c r="BA7" s="38" t="s">
        <v>34</v>
      </c>
      <c r="BB7" s="40" t="n">
        <f aca="false">IF(OR('Choix pédagogiques'!$C$3=1,'Choix pédagogiques'!$C$3=2),IF(OR(COUNT(BB13:BB1012)&lt;2,'Choix pédagogiques'!$C10=""),"",IF(BB6=0,0,_xlfn.CONFIDENCE.NORM(0.05,BB6,'Choix pédagogiques'!$C10))),IF('Choix pédagogiques'!$C$3=3,IF(OR(COUNT(BB13:BB1012)&lt;2,'Choix pédagogiques'!$C17=""),"",IF(BB6=0,0,_xlfn.CONFIDENCE.NORM(0.05,BB6,'Choix pédagogiques'!$C17))),""))</f>
        <v>0.0418865071616838</v>
      </c>
      <c r="BC7" s="40" t="n">
        <f aca="false">IF(OR('Choix pédagogiques'!$C$3=1,'Choix pédagogiques'!$C$3=2),IF(OR(COUNT(BC13:BC1012)&lt;2,'Choix pédagogiques'!$C10=""),"",IF(BC6=0,0,_xlfn.CONFIDENCE.NORM(0.05,BC6,'Choix pédagogiques'!$C10))),IF('Choix pédagogiques'!$C$3=3,IF(OR(COUNT(BC13:BC1012)&lt;2,'Choix pédagogiques'!$C17=""),"",IF(BC6=0,0,_xlfn.CONFIDENCE.NORM(0.05,BC6,'Choix pédagogiques'!$C17))),""))</f>
        <v>0.0392895369997596</v>
      </c>
      <c r="BD7" s="40" t="n">
        <f aca="false">IF(OR('Choix pédagogiques'!$C$3=1,'Choix pédagogiques'!$C$3=2),IF(OR(COUNT(BD13:BD1012)&lt;2,'Choix pédagogiques'!$C10=""),"",IF(BD6=0,0,_xlfn.CONFIDENCE.NORM(0.05,BD6,'Choix pédagogiques'!$C10))),IF('Choix pédagogiques'!$C$3=3,IF(OR(COUNT(BD13:BD1012)&lt;2,'Choix pédagogiques'!$C17=""),"",IF(BD6=0,0,_xlfn.CONFIDENCE.NORM(0.05,BD6,'Choix pédagogiques'!$C17))),""))</f>
        <v>0.0254306494908318</v>
      </c>
      <c r="BE7" s="34"/>
      <c r="BF7" s="38" t="s">
        <v>34</v>
      </c>
      <c r="BG7" s="40" t="n">
        <f aca="false">IF(OR('Choix pédagogiques'!$C$3=1,'Choix pédagogiques'!$C$3=2),IF(OR(COUNT(BG13:BG1012)&lt;2,'Choix pédagogiques'!$C11=""),"",IF(BG6=0,0,_xlfn.CONFIDENCE.NORM(0.05,BG6,'Choix pédagogiques'!$C11))),IF('Choix pédagogiques'!$C$3=3,IF(OR(COUNT(BG13:BG1012)&lt;2,'Choix pédagogiques'!$C17=""),"",IF(BG6=0,0,_xlfn.CONFIDENCE.NORM(0.05,BG6,'Choix pédagogiques'!$C17))),""))</f>
        <v>0.0432250141270436</v>
      </c>
      <c r="BH7" s="40" t="n">
        <f aca="false">IF(OR('Choix pédagogiques'!$C$3=1,'Choix pédagogiques'!$C$3=2),IF(OR(COUNT(BH13:BH1012)&lt;2,'Choix pédagogiques'!$C11=""),"",IF(BH6=0,0,_xlfn.CONFIDENCE.NORM(0.05,BH6,'Choix pédagogiques'!$C11))),IF('Choix pédagogiques'!$C$3=3,IF(OR(COUNT(BH13:BH1012)&lt;2,'Choix pédagogiques'!$C17=""),"",IF(BH6=0,0,_xlfn.CONFIDENCE.NORM(0.05,BH6,'Choix pédagogiques'!$C17))),""))</f>
        <v>0.0445764769023767</v>
      </c>
      <c r="BI7" s="40" t="n">
        <f aca="false">IF(OR('Choix pédagogiques'!$C$3=1,'Choix pédagogiques'!$C$3=2),IF(OR(COUNT(BI13:BI1012)&lt;2,'Choix pédagogiques'!$C11=""),"",IF(BI6=0,0,_xlfn.CONFIDENCE.NORM(0.05,BI6,'Choix pédagogiques'!$C11))),IF('Choix pédagogiques'!$C$3=3,IF(OR(COUNT(BI13:BI1012)&lt;2,'Choix pédagogiques'!$C17=""),"",IF(BI6=0,0,_xlfn.CONFIDENCE.NORM(0.05,BI6,'Choix pédagogiques'!$C17))),""))</f>
        <v>0.0382594648732663</v>
      </c>
      <c r="BJ7" s="34"/>
      <c r="BL7" s="37" t="s">
        <v>35</v>
      </c>
      <c r="BM7" s="41" t="n">
        <f aca="false">IF(OR('Choix pédagogiques'!$C$3=3,BM6="?",BM6=""),"",BM5/BM6)</f>
        <v>0.911111111111111</v>
      </c>
      <c r="BN7" s="41" t="n">
        <f aca="false">IF(OR('Choix pédagogiques'!$C$3=3,BN6="?",BN6=""),"",BN5/BN6)</f>
        <v>0.909090909090909</v>
      </c>
      <c r="BO7" s="41" t="str">
        <f aca="false">IF(OR('Choix pédagogiques'!$C$3=1,'Choix pédagogiques'!$C$3=2,BO6="?",BO6=""),"",BO5/BO6)</f>
        <v/>
      </c>
      <c r="BR7" s="41"/>
      <c r="BS7" s="41"/>
    </row>
    <row r="8" s="44" customFormat="true" ht="21.75" hidden="false" customHeight="true" outlineLevel="0" collapsed="false">
      <c r="A8" s="42" t="s">
        <v>36</v>
      </c>
      <c r="B8" s="33" t="n">
        <f aca="false">IF(COUNT(B13:B1012)=0,"",MIN(B13:B1012))</f>
        <v>0</v>
      </c>
      <c r="C8" s="33" t="n">
        <f aca="false">IF(COUNT(C13:C1012)=0,"",MIN(C13:C1012))</f>
        <v>3</v>
      </c>
      <c r="D8" s="33" t="n">
        <f aca="false">IF(COUNT(D13:D1012)=0,"",MIN(D13:D1012))</f>
        <v>6</v>
      </c>
      <c r="E8" s="43"/>
      <c r="F8" s="42" t="s">
        <v>36</v>
      </c>
      <c r="G8" s="33" t="n">
        <f aca="false">IF(COUNT(G13:G1012)=0,"",MIN(G13:G1012))</f>
        <v>0</v>
      </c>
      <c r="H8" s="33" t="n">
        <f aca="false">IF(COUNT(H13:H1012)=0,"",MIN(H13:H1012))</f>
        <v>5</v>
      </c>
      <c r="I8" s="33" t="n">
        <f aca="false">IF(COUNT(I13:I1012)=0,"",MIN(I13:I1012))</f>
        <v>4</v>
      </c>
      <c r="J8" s="43"/>
      <c r="K8" s="42" t="s">
        <v>36</v>
      </c>
      <c r="L8" s="33" t="n">
        <f aca="false">IF(COUNT(L13:L1012)=0,"",MIN(L13:L1012))</f>
        <v>2</v>
      </c>
      <c r="M8" s="33" t="n">
        <f aca="false">IF(COUNT(M13:M1012)=0,"",MIN(M13:M1012))</f>
        <v>2</v>
      </c>
      <c r="N8" s="33" t="n">
        <f aca="false">IF(COUNT(N13:N1012)=0,"",MIN(N13:N1012))</f>
        <v>-5</v>
      </c>
      <c r="O8" s="43"/>
      <c r="P8" s="42" t="s">
        <v>36</v>
      </c>
      <c r="Q8" s="33" t="n">
        <f aca="false">IF(COUNT(Q13:Q1012)=0,"",MIN(Q13:Q1012))</f>
        <v>4</v>
      </c>
      <c r="R8" s="33" t="n">
        <f aca="false">IF(COUNT(R13:R1012)=0,"",MIN(R13:R1012))</f>
        <v>4</v>
      </c>
      <c r="S8" s="33" t="n">
        <f aca="false">IF(COUNT(S13:S1012)=0,"",MIN(S13:S1012))</f>
        <v>-12</v>
      </c>
      <c r="T8" s="43"/>
      <c r="V8" s="42" t="s">
        <v>36</v>
      </c>
      <c r="W8" s="33" t="n">
        <f aca="false">IF(COUNT(W13:W1012)=0,"",MIN(W13:W1012))</f>
        <v>0</v>
      </c>
      <c r="X8" s="33" t="n">
        <f aca="false">IF(COUNT(X13:X1012)=0,"",MIN(X13:X1012))</f>
        <v>3</v>
      </c>
      <c r="Y8" s="33" t="n">
        <f aca="false">IF(COUNT(Y13:Y1012)=0,"",MIN(Y13:Y1012))</f>
        <v>6</v>
      </c>
      <c r="Z8" s="43"/>
      <c r="AA8" s="42" t="s">
        <v>36</v>
      </c>
      <c r="AB8" s="33" t="n">
        <f aca="false">IF(COUNT(AB13:AB1012)=0,"",MIN(AB13:AB1012))</f>
        <v>0</v>
      </c>
      <c r="AC8" s="33" t="n">
        <f aca="false">IF(COUNT(AC13:AC1012)=0,"",MIN(AC13:AC1012))</f>
        <v>5</v>
      </c>
      <c r="AD8" s="33" t="n">
        <f aca="false">IF(COUNT(AD13:AD1012)=0,"",MIN(AD13:AD1012))</f>
        <v>4</v>
      </c>
      <c r="AE8" s="43"/>
      <c r="AF8" s="42" t="s">
        <v>36</v>
      </c>
      <c r="AG8" s="33" t="n">
        <f aca="false">IF(COUNT(AG13:AG1012)=0,"",MIN(AG13:AG1012))</f>
        <v>2</v>
      </c>
      <c r="AH8" s="33" t="n">
        <f aca="false">IF(COUNT(AH13:AH1012)=0,"",MIN(AH13:AH1012))</f>
        <v>2</v>
      </c>
      <c r="AI8" s="33" t="n">
        <f aca="false">IF(COUNT(AI13:AI1012)=0,"",MIN(AI13:AI1012))</f>
        <v>-5</v>
      </c>
      <c r="AJ8" s="43"/>
      <c r="AK8" s="42" t="s">
        <v>36</v>
      </c>
      <c r="AL8" s="33" t="n">
        <f aca="false">IF(COUNT(AL13:AL1012)=0,"",MIN(AL13:AL1012))</f>
        <v>4</v>
      </c>
      <c r="AM8" s="33" t="n">
        <f aca="false">IF(COUNT(AM13:AM1012)=0,"",MIN(AM13:AM1012))</f>
        <v>4</v>
      </c>
      <c r="AN8" s="33" t="n">
        <f aca="false">IF(COUNT(AN13:AN1012)=0,"",MIN(AN13:AN1012))</f>
        <v>-12</v>
      </c>
      <c r="AO8" s="43"/>
      <c r="AQ8" s="42" t="s">
        <v>36</v>
      </c>
      <c r="AR8" s="33" t="n">
        <f aca="false">IF(COUNT(AR13:AR1012)=0,"",MIN(AR13:AR1012))</f>
        <v>0</v>
      </c>
      <c r="AS8" s="33" t="n">
        <f aca="false">IF(COUNT(AS13:AS1012)=0,"",MIN(AS13:AS1012))</f>
        <v>0.15</v>
      </c>
      <c r="AT8" s="33" t="n">
        <f aca="false">IF(COUNT(AT13:AT1012)=0,"",MIN(AT13:AT1012))</f>
        <v>0.3</v>
      </c>
      <c r="AU8" s="43"/>
      <c r="AV8" s="42" t="s">
        <v>36</v>
      </c>
      <c r="AW8" s="33" t="n">
        <f aca="false">IF(COUNT(AW13:AW1012)=0,"",MIN(AW13:AW1012))</f>
        <v>0</v>
      </c>
      <c r="AX8" s="33" t="n">
        <f aca="false">IF(COUNT(AX13:AX1012)=0,"",MIN(AX13:AX1012))</f>
        <v>0.25</v>
      </c>
      <c r="AY8" s="33" t="n">
        <f aca="false">IF(COUNT(AY13:AY1012)=0,"",MIN(AY13:AY1012))</f>
        <v>0.2</v>
      </c>
      <c r="AZ8" s="43"/>
      <c r="BA8" s="42" t="s">
        <v>36</v>
      </c>
      <c r="BB8" s="33" t="n">
        <f aca="false">IF(COUNT(BB13:BB1012)=0,"",MIN(BB13:BB1012))</f>
        <v>0.1</v>
      </c>
      <c r="BC8" s="33" t="n">
        <f aca="false">IF(COUNT(BC13:BC1012)=0,"",MIN(BC13:BC1012))</f>
        <v>0.1</v>
      </c>
      <c r="BD8" s="33" t="n">
        <f aca="false">IF(COUNT(BD13:BD1012)=0,"",MIN(BD13:BD1012))</f>
        <v>-0.25</v>
      </c>
      <c r="BE8" s="43"/>
      <c r="BF8" s="42" t="s">
        <v>36</v>
      </c>
      <c r="BG8" s="33" t="n">
        <f aca="false">IF(COUNT(BG13:BG1012)=0,"",MIN(BG13:BG1012))</f>
        <v>0.2</v>
      </c>
      <c r="BH8" s="33" t="n">
        <f aca="false">IF(COUNT(BH13:BH1012)=0,"",MIN(BH13:BH1012))</f>
        <v>0.2</v>
      </c>
      <c r="BI8" s="33" t="n">
        <f aca="false">IF(COUNT(BI13:BI1012)=0,"",MIN(BI13:BI1012))</f>
        <v>-0.6</v>
      </c>
      <c r="BJ8" s="43"/>
      <c r="BL8" s="45"/>
      <c r="BM8" s="46"/>
      <c r="BN8" s="46"/>
      <c r="BO8" s="46"/>
      <c r="BR8" s="46"/>
      <c r="BS8" s="46"/>
      <c r="BT8" s="47"/>
    </row>
    <row r="9" s="44" customFormat="true" ht="21.75" hidden="false" customHeight="true" outlineLevel="0" collapsed="false">
      <c r="A9" s="42" t="s">
        <v>37</v>
      </c>
      <c r="B9" s="33" t="n">
        <f aca="false">IF(COUNT(B13:B1012)=0,"",_xlfn.QUARTILE.INC(B13:B1012,1))</f>
        <v>2</v>
      </c>
      <c r="C9" s="33" t="n">
        <f aca="false">IF(COUNT(C13:C1012)=0,"",_xlfn.QUARTILE.INC(C13:C1012,1))</f>
        <v>12</v>
      </c>
      <c r="D9" s="33" t="n">
        <f aca="false">IF(COUNT(D13:D1012)=0,"",_xlfn.QUARTILE.INC(D13:D1012,1))</f>
        <v>9</v>
      </c>
      <c r="E9" s="43"/>
      <c r="F9" s="42" t="s">
        <v>37</v>
      </c>
      <c r="G9" s="33" t="n">
        <f aca="false">IF(COUNT(G13:G1012)=0,"",_xlfn.QUARTILE.INC(G13:G1012,1))</f>
        <v>2</v>
      </c>
      <c r="H9" s="33" t="n">
        <f aca="false">IF(COUNT(H13:H1012)=0,"",_xlfn.QUARTILE.INC(H13:H1012,1))</f>
        <v>13</v>
      </c>
      <c r="I9" s="33" t="n">
        <f aca="false">IF(COUNT(I13:I1012)=0,"",_xlfn.QUARTILE.INC(I13:I1012,1))</f>
        <v>12</v>
      </c>
      <c r="J9" s="43"/>
      <c r="K9" s="42" t="s">
        <v>37</v>
      </c>
      <c r="L9" s="33" t="n">
        <f aca="false">IF(COUNT(L13:L1012)=0,"",_xlfn.QUARTILE.INC(L13:L1012,1))</f>
        <v>9</v>
      </c>
      <c r="M9" s="33" t="n">
        <f aca="false">IF(COUNT(M13:M1012)=0,"",_xlfn.QUARTILE.INC(M13:M1012,1))</f>
        <v>6</v>
      </c>
      <c r="N9" s="33" t="n">
        <f aca="false">IF(COUNT(N13:N1012)=0,"",_xlfn.QUARTILE.INC(N13:N1012,1))</f>
        <v>-3</v>
      </c>
      <c r="O9" s="43"/>
      <c r="P9" s="42" t="s">
        <v>37</v>
      </c>
      <c r="Q9" s="33" t="n">
        <f aca="false">IF(COUNT(Q13:Q1012)=0,"",_xlfn.QUARTILE.INC(Q13:Q1012,1))</f>
        <v>10.75</v>
      </c>
      <c r="R9" s="33" t="n">
        <f aca="false">IF(COUNT(R13:R1012)=0,"",_xlfn.QUARTILE.INC(R13:R1012,1))</f>
        <v>10</v>
      </c>
      <c r="S9" s="33" t="n">
        <f aca="false">IF(COUNT(S13:S1012)=0,"",_xlfn.QUARTILE.INC(S13:S1012,1))</f>
        <v>-1</v>
      </c>
      <c r="T9" s="43"/>
      <c r="V9" s="42" t="s">
        <v>37</v>
      </c>
      <c r="W9" s="33" t="n">
        <f aca="false">IF(COUNT(W13:W1012)=0,"",_xlfn.QUARTILE.INC(W13:W1012,1))</f>
        <v>2</v>
      </c>
      <c r="X9" s="33" t="n">
        <f aca="false">IF(COUNT(X13:X1012)=0,"",_xlfn.QUARTILE.INC(X13:X1012,1))</f>
        <v>12</v>
      </c>
      <c r="Y9" s="33" t="n">
        <f aca="false">IF(COUNT(Y13:Y1012)=0,"",_xlfn.QUARTILE.INC(Y13:Y1012,1))</f>
        <v>9</v>
      </c>
      <c r="Z9" s="43"/>
      <c r="AA9" s="42" t="s">
        <v>37</v>
      </c>
      <c r="AB9" s="33" t="n">
        <f aca="false">IF(COUNT(AB13:AB1012)=0,"",_xlfn.QUARTILE.INC(AB13:AB1012,1))</f>
        <v>2</v>
      </c>
      <c r="AC9" s="33" t="n">
        <f aca="false">IF(COUNT(AC13:AC1012)=0,"",_xlfn.QUARTILE.INC(AC13:AC1012,1))</f>
        <v>13.75</v>
      </c>
      <c r="AD9" s="33" t="n">
        <f aca="false">IF(COUNT(AD13:AD1012)=0,"",_xlfn.QUARTILE.INC(AD13:AD1012,1))</f>
        <v>13</v>
      </c>
      <c r="AE9" s="43"/>
      <c r="AF9" s="42" t="s">
        <v>37</v>
      </c>
      <c r="AG9" s="33" t="n">
        <f aca="false">IF(COUNT(AG13:AG1012)=0,"",_xlfn.QUARTILE.INC(AG13:AG1012,1))</f>
        <v>9</v>
      </c>
      <c r="AH9" s="33" t="n">
        <f aca="false">IF(COUNT(AH13:AH1012)=0,"",_xlfn.QUARTILE.INC(AH13:AH1012,1))</f>
        <v>6</v>
      </c>
      <c r="AI9" s="33" t="n">
        <f aca="false">IF(COUNT(AI13:AI1012)=0,"",_xlfn.QUARTILE.INC(AI13:AI1012,1))</f>
        <v>-3</v>
      </c>
      <c r="AJ9" s="43"/>
      <c r="AK9" s="42" t="s">
        <v>37</v>
      </c>
      <c r="AL9" s="33" t="n">
        <f aca="false">IF(COUNT(AL13:AL1012)=0,"",_xlfn.QUARTILE.INC(AL13:AL1012,1))</f>
        <v>10.75</v>
      </c>
      <c r="AM9" s="33" t="n">
        <f aca="false">IF(COUNT(AM13:AM1012)=0,"",_xlfn.QUARTILE.INC(AM13:AM1012,1))</f>
        <v>10</v>
      </c>
      <c r="AN9" s="33" t="n">
        <f aca="false">IF(COUNT(AN13:AN1012)=0,"",_xlfn.QUARTILE.INC(AN13:AN1012,1))</f>
        <v>-1</v>
      </c>
      <c r="AO9" s="43"/>
      <c r="AQ9" s="42" t="s">
        <v>37</v>
      </c>
      <c r="AR9" s="33" t="n">
        <f aca="false">IF(COUNT(AR13:AR1012)=0,"",_xlfn.QUARTILE.INC(AR13:AR1012,1))</f>
        <v>0.1</v>
      </c>
      <c r="AS9" s="33" t="n">
        <f aca="false">IF(COUNT(AS13:AS1012)=0,"",_xlfn.QUARTILE.INC(AS13:AS1012,1))</f>
        <v>0.6</v>
      </c>
      <c r="AT9" s="33" t="n">
        <f aca="false">IF(COUNT(AT13:AT1012)=0,"",_xlfn.QUARTILE.INC(AT13:AT1012,1))</f>
        <v>0.45</v>
      </c>
      <c r="AU9" s="43"/>
      <c r="AV9" s="42" t="s">
        <v>37</v>
      </c>
      <c r="AW9" s="33" t="n">
        <f aca="false">IF(COUNT(AW13:AW1012)=0,"",_xlfn.QUARTILE.INC(AW13:AW1012,1))</f>
        <v>0.1</v>
      </c>
      <c r="AX9" s="33" t="n">
        <f aca="false">IF(COUNT(AX13:AX1012)=0,"",_xlfn.QUARTILE.INC(AX13:AX1012,1))</f>
        <v>0.6875</v>
      </c>
      <c r="AY9" s="33" t="n">
        <f aca="false">IF(COUNT(AY13:AY1012)=0,"",_xlfn.QUARTILE.INC(AY13:AY1012,1))</f>
        <v>0.65</v>
      </c>
      <c r="AZ9" s="43"/>
      <c r="BA9" s="42" t="s">
        <v>37</v>
      </c>
      <c r="BB9" s="33" t="n">
        <f aca="false">IF(COUNT(BB13:BB1012)=0,"",_xlfn.QUARTILE.INC(BB13:BB1012,1))</f>
        <v>0.45</v>
      </c>
      <c r="BC9" s="33" t="n">
        <f aca="false">IF(COUNT(BC13:BC1012)=0,"",_xlfn.QUARTILE.INC(BC13:BC1012,1))</f>
        <v>0.3</v>
      </c>
      <c r="BD9" s="33" t="n">
        <f aca="false">IF(COUNT(BD13:BD1012)=0,"",_xlfn.QUARTILE.INC(BD13:BD1012,1))</f>
        <v>-0.15</v>
      </c>
      <c r="BE9" s="43"/>
      <c r="BF9" s="42" t="s">
        <v>37</v>
      </c>
      <c r="BG9" s="33" t="n">
        <f aca="false">IF(COUNT(BG13:BG1012)=0,"",_xlfn.QUARTILE.INC(BG13:BG1012,1))</f>
        <v>0.5375</v>
      </c>
      <c r="BH9" s="33" t="n">
        <f aca="false">IF(COUNT(BH13:BH1012)=0,"",_xlfn.QUARTILE.INC(BH13:BH1012,1))</f>
        <v>0.5</v>
      </c>
      <c r="BI9" s="33" t="n">
        <f aca="false">IF(COUNT(BI13:BI1012)=0,"",_xlfn.QUARTILE.INC(BI13:BI1012,1))</f>
        <v>-0.05</v>
      </c>
      <c r="BJ9" s="43"/>
      <c r="BL9" s="45"/>
      <c r="BM9" s="46"/>
      <c r="BN9" s="46"/>
      <c r="BO9" s="46"/>
      <c r="BR9" s="46"/>
      <c r="BS9" s="46"/>
      <c r="BT9" s="47"/>
    </row>
    <row r="10" s="44" customFormat="true" ht="21.75" hidden="false" customHeight="true" outlineLevel="0" collapsed="false">
      <c r="A10" s="48" t="s">
        <v>38</v>
      </c>
      <c r="B10" s="33" t="n">
        <f aca="false">IF(COUNT(B13:B1012)=0,"",MEDIAN(B13:B1012))</f>
        <v>2</v>
      </c>
      <c r="C10" s="33" t="n">
        <f aca="false">IF(COUNT(C13:C1012)=0,"",MEDIAN(C13:C1012))</f>
        <v>13</v>
      </c>
      <c r="D10" s="33" t="n">
        <f aca="false">IF(COUNT(D13:D1012)=0,"",MEDIAN(D13:D1012))</f>
        <v>10</v>
      </c>
      <c r="E10" s="43"/>
      <c r="F10" s="48" t="s">
        <v>38</v>
      </c>
      <c r="G10" s="33" t="n">
        <f aca="false">IF(COUNT(G13:G1012)=0,"",MEDIAN(G13:G1012))</f>
        <v>3</v>
      </c>
      <c r="H10" s="33" t="n">
        <f aca="false">IF(COUNT(H13:H1012)=0,"",MEDIAN(H13:H1012))</f>
        <v>15</v>
      </c>
      <c r="I10" s="33" t="n">
        <f aca="false">IF(COUNT(I13:I1012)=0,"",MEDIAN(I13:I1012))</f>
        <v>15</v>
      </c>
      <c r="J10" s="43"/>
      <c r="K10" s="48" t="s">
        <v>38</v>
      </c>
      <c r="L10" s="33" t="n">
        <f aca="false">IF(COUNT(L13:L1012)=0,"",MEDIAN(L13:L1012))</f>
        <v>10</v>
      </c>
      <c r="M10" s="33" t="n">
        <f aca="false">IF(COUNT(M13:M1012)=0,"",MEDIAN(M13:M1012))</f>
        <v>8</v>
      </c>
      <c r="N10" s="33" t="n">
        <f aca="false">IF(COUNT(N13:N1012)=0,"",MEDIAN(N13:N1012))</f>
        <v>-2</v>
      </c>
      <c r="O10" s="43"/>
      <c r="P10" s="48" t="s">
        <v>38</v>
      </c>
      <c r="Q10" s="33" t="n">
        <f aca="false">IF(COUNT(Q13:Q1012)=0,"",MEDIAN(Q13:Q1012))</f>
        <v>12</v>
      </c>
      <c r="R10" s="33" t="n">
        <f aca="false">IF(COUNT(R13:R1012)=0,"",MEDIAN(R13:R1012))</f>
        <v>12</v>
      </c>
      <c r="S10" s="33" t="n">
        <f aca="false">IF(COUNT(S13:S1012)=0,"",MEDIAN(S13:S1012))</f>
        <v>0</v>
      </c>
      <c r="T10" s="43"/>
      <c r="V10" s="48" t="s">
        <v>38</v>
      </c>
      <c r="W10" s="33" t="n">
        <f aca="false">IF(COUNT(W13:W1012)=0,"",MEDIAN(W13:W1012))</f>
        <v>2</v>
      </c>
      <c r="X10" s="33" t="n">
        <f aca="false">IF(COUNT(X13:X1012)=0,"",MEDIAN(X13:X1012))</f>
        <v>13</v>
      </c>
      <c r="Y10" s="33" t="n">
        <f aca="false">IF(COUNT(Y13:Y1012)=0,"",MEDIAN(Y13:Y1012))</f>
        <v>10</v>
      </c>
      <c r="Z10" s="43"/>
      <c r="AA10" s="48" t="s">
        <v>38</v>
      </c>
      <c r="AB10" s="33" t="n">
        <f aca="false">IF(COUNT(AB13:AB1012)=0,"",MEDIAN(AB13:AB1012))</f>
        <v>3</v>
      </c>
      <c r="AC10" s="33" t="n">
        <f aca="false">IF(COUNT(AC13:AC1012)=0,"",MEDIAN(AC13:AC1012))</f>
        <v>15</v>
      </c>
      <c r="AD10" s="33" t="n">
        <f aca="false">IF(COUNT(AD13:AD1012)=0,"",MEDIAN(AD13:AD1012))</f>
        <v>15</v>
      </c>
      <c r="AE10" s="43"/>
      <c r="AF10" s="48" t="s">
        <v>38</v>
      </c>
      <c r="AG10" s="33" t="n">
        <f aca="false">IF(COUNT(AG13:AG1012)=0,"",MEDIAN(AG13:AG1012))</f>
        <v>10</v>
      </c>
      <c r="AH10" s="33" t="n">
        <f aca="false">IF(COUNT(AH13:AH1012)=0,"",MEDIAN(AH13:AH1012))</f>
        <v>8</v>
      </c>
      <c r="AI10" s="33" t="n">
        <f aca="false">IF(COUNT(AI13:AI1012)=0,"",MEDIAN(AI13:AI1012))</f>
        <v>-2</v>
      </c>
      <c r="AJ10" s="43"/>
      <c r="AK10" s="48" t="s">
        <v>38</v>
      </c>
      <c r="AL10" s="33" t="n">
        <f aca="false">IF(COUNT(AL13:AL1012)=0,"",MEDIAN(AL13:AL1012))</f>
        <v>12</v>
      </c>
      <c r="AM10" s="33" t="n">
        <f aca="false">IF(COUNT(AM13:AM1012)=0,"",MEDIAN(AM13:AM1012))</f>
        <v>12</v>
      </c>
      <c r="AN10" s="33" t="n">
        <f aca="false">IF(COUNT(AN13:AN1012)=0,"",MEDIAN(AN13:AN1012))</f>
        <v>0</v>
      </c>
      <c r="AO10" s="43"/>
      <c r="AQ10" s="48" t="s">
        <v>38</v>
      </c>
      <c r="AR10" s="33" t="n">
        <f aca="false">IF(COUNT(AR13:AR1012)=0,"",MEDIAN(AR13:AR1012))</f>
        <v>0.1</v>
      </c>
      <c r="AS10" s="33" t="n">
        <f aca="false">IF(COUNT(AS13:AS1012)=0,"",MEDIAN(AS13:AS1012))</f>
        <v>0.65</v>
      </c>
      <c r="AT10" s="33" t="n">
        <f aca="false">IF(COUNT(AT13:AT1012)=0,"",MEDIAN(AT13:AT1012))</f>
        <v>0.5</v>
      </c>
      <c r="AU10" s="43"/>
      <c r="AV10" s="48" t="s">
        <v>38</v>
      </c>
      <c r="AW10" s="33" t="n">
        <f aca="false">IF(COUNT(AW13:AW1012)=0,"",MEDIAN(AW13:AW1012))</f>
        <v>0.15</v>
      </c>
      <c r="AX10" s="33" t="n">
        <f aca="false">IF(COUNT(AX13:AX1012)=0,"",MEDIAN(AX13:AX1012))</f>
        <v>0.75</v>
      </c>
      <c r="AY10" s="33" t="n">
        <f aca="false">IF(COUNT(AY13:AY1012)=0,"",MEDIAN(AY13:AY1012))</f>
        <v>0.75</v>
      </c>
      <c r="AZ10" s="43"/>
      <c r="BA10" s="48" t="s">
        <v>38</v>
      </c>
      <c r="BB10" s="33" t="n">
        <f aca="false">IF(COUNT(BB13:BB1012)=0,"",MEDIAN(BB13:BB1012))</f>
        <v>0.5</v>
      </c>
      <c r="BC10" s="33" t="n">
        <f aca="false">IF(COUNT(BC13:BC1012)=0,"",MEDIAN(BC13:BC1012))</f>
        <v>0.4</v>
      </c>
      <c r="BD10" s="33" t="n">
        <f aca="false">IF(COUNT(BD13:BD1012)=0,"",MEDIAN(BD13:BD1012))</f>
        <v>-0.1</v>
      </c>
      <c r="BE10" s="43"/>
      <c r="BF10" s="48" t="s">
        <v>38</v>
      </c>
      <c r="BG10" s="33" t="n">
        <f aca="false">IF(COUNT(BG13:BG1012)=0,"",MEDIAN(BG13:BG1012))</f>
        <v>0.6</v>
      </c>
      <c r="BH10" s="33" t="n">
        <f aca="false">IF(COUNT(BH13:BH1012)=0,"",MEDIAN(BH13:BH1012))</f>
        <v>0.6</v>
      </c>
      <c r="BI10" s="33" t="n">
        <f aca="false">IF(COUNT(BI13:BI1012)=0,"",MEDIAN(BI13:BI1012))</f>
        <v>0</v>
      </c>
      <c r="BJ10" s="43"/>
      <c r="BL10" s="45"/>
      <c r="BM10" s="46"/>
      <c r="BN10" s="46"/>
      <c r="BO10" s="46"/>
      <c r="BR10" s="46"/>
      <c r="BS10" s="46"/>
      <c r="BT10" s="47"/>
    </row>
    <row r="11" s="44" customFormat="true" ht="21.75" hidden="false" customHeight="true" outlineLevel="0" collapsed="false">
      <c r="A11" s="42" t="s">
        <v>39</v>
      </c>
      <c r="B11" s="33" t="n">
        <f aca="false">IF(COUNT(B13:B1012)=0,"",_xlfn.QUARTILE.INC(B13:B1012,3))</f>
        <v>4</v>
      </c>
      <c r="C11" s="33" t="n">
        <f aca="false">IF(COUNT(C13:C1012)=0,"",_xlfn.QUARTILE.INC(C13:C1012,3))</f>
        <v>14.75</v>
      </c>
      <c r="D11" s="33" t="n">
        <f aca="false">IF(COUNT(D13:D1012)=0,"",_xlfn.QUARTILE.INC(D13:D1012,3))</f>
        <v>12</v>
      </c>
      <c r="E11" s="43"/>
      <c r="F11" s="42" t="s">
        <v>39</v>
      </c>
      <c r="G11" s="33" t="n">
        <f aca="false">IF(COUNT(G13:G1012)=0,"",_xlfn.QUARTILE.INC(G13:G1012,3))</f>
        <v>4</v>
      </c>
      <c r="H11" s="33" t="n">
        <f aca="false">IF(COUNT(H13:H1012)=0,"",_xlfn.QUARTILE.INC(H13:H1012,3))</f>
        <v>16</v>
      </c>
      <c r="I11" s="33" t="n">
        <f aca="false">IF(COUNT(I13:I1012)=0,"",_xlfn.QUARTILE.INC(I13:I1012,3))</f>
        <v>16</v>
      </c>
      <c r="J11" s="43"/>
      <c r="K11" s="42" t="s">
        <v>39</v>
      </c>
      <c r="L11" s="33" t="n">
        <f aca="false">IF(COUNT(L13:L1012)=0,"",_xlfn.QUARTILE.INC(L13:L1012,3))</f>
        <v>12</v>
      </c>
      <c r="M11" s="33" t="n">
        <f aca="false">IF(COUNT(M13:M1012)=0,"",_xlfn.QUARTILE.INC(M13:M1012,3))</f>
        <v>9.5</v>
      </c>
      <c r="N11" s="33" t="n">
        <f aca="false">IF(COUNT(N13:N1012)=0,"",_xlfn.QUARTILE.INC(N13:N1012,3))</f>
        <v>-2</v>
      </c>
      <c r="O11" s="43"/>
      <c r="P11" s="42" t="s">
        <v>39</v>
      </c>
      <c r="Q11" s="33" t="n">
        <f aca="false">IF(COUNT(Q13:Q1012)=0,"",_xlfn.QUARTILE.INC(Q13:Q1012,3))</f>
        <v>14</v>
      </c>
      <c r="R11" s="33" t="n">
        <f aca="false">IF(COUNT(R13:R1012)=0,"",_xlfn.QUARTILE.INC(R13:R1012,3))</f>
        <v>13</v>
      </c>
      <c r="S11" s="33" t="n">
        <f aca="false">IF(COUNT(S13:S1012)=0,"",_xlfn.QUARTILE.INC(S13:S1012,3))</f>
        <v>0</v>
      </c>
      <c r="T11" s="43"/>
      <c r="V11" s="42" t="s">
        <v>39</v>
      </c>
      <c r="W11" s="33" t="n">
        <f aca="false">IF(COUNT(W13:W1012)=0,"",_xlfn.QUARTILE.INC(W13:W1012,3))</f>
        <v>4</v>
      </c>
      <c r="X11" s="33" t="n">
        <f aca="false">IF(COUNT(X13:X1012)=0,"",_xlfn.QUARTILE.INC(X13:X1012,3))</f>
        <v>15</v>
      </c>
      <c r="Y11" s="33" t="n">
        <f aca="false">IF(COUNT(Y13:Y1012)=0,"",_xlfn.QUARTILE.INC(Y13:Y1012,3))</f>
        <v>12</v>
      </c>
      <c r="Z11" s="43"/>
      <c r="AA11" s="42" t="s">
        <v>39</v>
      </c>
      <c r="AB11" s="33" t="n">
        <f aca="false">IF(COUNT(AB13:AB1012)=0,"",_xlfn.QUARTILE.INC(AB13:AB1012,3))</f>
        <v>4</v>
      </c>
      <c r="AC11" s="33" t="n">
        <f aca="false">IF(COUNT(AC13:AC1012)=0,"",_xlfn.QUARTILE.INC(AC13:AC1012,3))</f>
        <v>16</v>
      </c>
      <c r="AD11" s="33" t="n">
        <f aca="false">IF(COUNT(AD13:AD1012)=0,"",_xlfn.QUARTILE.INC(AD13:AD1012,3))</f>
        <v>16</v>
      </c>
      <c r="AE11" s="43"/>
      <c r="AF11" s="42" t="s">
        <v>39</v>
      </c>
      <c r="AG11" s="33" t="n">
        <f aca="false">IF(COUNT(AG13:AG1012)=0,"",_xlfn.QUARTILE.INC(AG13:AG1012,3))</f>
        <v>12</v>
      </c>
      <c r="AH11" s="33" t="n">
        <f aca="false">IF(COUNT(AH13:AH1012)=0,"",_xlfn.QUARTILE.INC(AH13:AH1012,3))</f>
        <v>9</v>
      </c>
      <c r="AI11" s="33" t="n">
        <f aca="false">IF(COUNT(AI13:AI1012)=0,"",_xlfn.QUARTILE.INC(AI13:AI1012,3))</f>
        <v>-2</v>
      </c>
      <c r="AJ11" s="43"/>
      <c r="AK11" s="42" t="s">
        <v>39</v>
      </c>
      <c r="AL11" s="33" t="n">
        <f aca="false">IF(COUNT(AL13:AL1012)=0,"",_xlfn.QUARTILE.INC(AL13:AL1012,3))</f>
        <v>14</v>
      </c>
      <c r="AM11" s="33" t="n">
        <f aca="false">IF(COUNT(AM13:AM1012)=0,"",_xlfn.QUARTILE.INC(AM13:AM1012,3))</f>
        <v>13</v>
      </c>
      <c r="AN11" s="33" t="n">
        <f aca="false">IF(COUNT(AN13:AN1012)=0,"",_xlfn.QUARTILE.INC(AN13:AN1012,3))</f>
        <v>0</v>
      </c>
      <c r="AO11" s="43"/>
      <c r="AQ11" s="42" t="s">
        <v>39</v>
      </c>
      <c r="AR11" s="33" t="n">
        <f aca="false">IF(COUNT(AR13:AR1012)=0,"",_xlfn.QUARTILE.INC(AR13:AR1012,3))</f>
        <v>0.2</v>
      </c>
      <c r="AS11" s="33" t="n">
        <f aca="false">IF(COUNT(AS13:AS1012)=0,"",_xlfn.QUARTILE.INC(AS13:AS1012,3))</f>
        <v>0.75</v>
      </c>
      <c r="AT11" s="33" t="n">
        <f aca="false">IF(COUNT(AT13:AT1012)=0,"",_xlfn.QUARTILE.INC(AT13:AT1012,3))</f>
        <v>0.6</v>
      </c>
      <c r="AU11" s="43"/>
      <c r="AV11" s="42" t="s">
        <v>39</v>
      </c>
      <c r="AW11" s="33" t="n">
        <f aca="false">IF(COUNT(AW13:AW1012)=0,"",_xlfn.QUARTILE.INC(AW13:AW1012,3))</f>
        <v>0.2</v>
      </c>
      <c r="AX11" s="33" t="n">
        <f aca="false">IF(COUNT(AX13:AX1012)=0,"",_xlfn.QUARTILE.INC(AX13:AX1012,3))</f>
        <v>0.8</v>
      </c>
      <c r="AY11" s="33" t="n">
        <f aca="false">IF(COUNT(AY13:AY1012)=0,"",_xlfn.QUARTILE.INC(AY13:AY1012,3))</f>
        <v>0.8</v>
      </c>
      <c r="AZ11" s="43"/>
      <c r="BA11" s="42" t="s">
        <v>39</v>
      </c>
      <c r="BB11" s="33" t="n">
        <f aca="false">IF(COUNT(BB13:BB1012)=0,"",_xlfn.QUARTILE.INC(BB13:BB1012,3))</f>
        <v>0.6</v>
      </c>
      <c r="BC11" s="33" t="n">
        <f aca="false">IF(COUNT(BC13:BC1012)=0,"",_xlfn.QUARTILE.INC(BC13:BC1012,3))</f>
        <v>0.45</v>
      </c>
      <c r="BD11" s="33" t="n">
        <f aca="false">IF(COUNT(BD13:BD1012)=0,"",_xlfn.QUARTILE.INC(BD13:BD1012,3))</f>
        <v>-0.1</v>
      </c>
      <c r="BE11" s="43"/>
      <c r="BF11" s="42" t="s">
        <v>39</v>
      </c>
      <c r="BG11" s="33" t="n">
        <f aca="false">IF(COUNT(BG13:BG1012)=0,"",_xlfn.QUARTILE.INC(BG13:BG1012,3))</f>
        <v>0.7</v>
      </c>
      <c r="BH11" s="33" t="n">
        <f aca="false">IF(COUNT(BH13:BH1012)=0,"",_xlfn.QUARTILE.INC(BH13:BH1012,3))</f>
        <v>0.65</v>
      </c>
      <c r="BI11" s="33" t="n">
        <f aca="false">IF(COUNT(BI13:BI1012)=0,"",_xlfn.QUARTILE.INC(BI13:BI1012,3))</f>
        <v>0</v>
      </c>
      <c r="BJ11" s="43"/>
      <c r="BL11" s="45"/>
      <c r="BM11" s="46"/>
      <c r="BN11" s="46"/>
      <c r="BO11" s="46"/>
      <c r="BR11" s="46"/>
      <c r="BS11" s="46"/>
      <c r="BT11" s="47"/>
    </row>
    <row r="12" s="44" customFormat="true" ht="21.75" hidden="false" customHeight="true" outlineLevel="0" collapsed="false">
      <c r="A12" s="42" t="s">
        <v>40</v>
      </c>
      <c r="B12" s="33" t="n">
        <f aca="false">IF(COUNT(B13:B1012)=0,"",MAX(B13:B1012))</f>
        <v>6</v>
      </c>
      <c r="C12" s="33" t="n">
        <f aca="false">IF(COUNT(C13:C1012)=0,"",MAX(C13:C1012))</f>
        <v>17</v>
      </c>
      <c r="D12" s="33" t="n">
        <f aca="false">IF(COUNT(D13:D1012)=0,"",MAX(D13:D1012))</f>
        <v>17</v>
      </c>
      <c r="E12" s="43"/>
      <c r="F12" s="42" t="s">
        <v>40</v>
      </c>
      <c r="G12" s="33" t="n">
        <f aca="false">IF(COUNT(G13:G1012)=0,"",MAX(G13:G1012))</f>
        <v>6</v>
      </c>
      <c r="H12" s="33" t="n">
        <f aca="false">IF(COUNT(H13:H1012)=0,"",MAX(H13:H1012))</f>
        <v>19</v>
      </c>
      <c r="I12" s="33" t="n">
        <f aca="false">IF(COUNT(I13:I1012)=0,"",MAX(I13:I1012))</f>
        <v>19</v>
      </c>
      <c r="J12" s="43"/>
      <c r="K12" s="42" t="s">
        <v>40</v>
      </c>
      <c r="L12" s="33" t="n">
        <f aca="false">IF(COUNT(L13:L1012)=0,"",MAX(L13:L1012))</f>
        <v>14</v>
      </c>
      <c r="M12" s="33" t="n">
        <f aca="false">IF(COUNT(M13:M1012)=0,"",MAX(M13:M1012))</f>
        <v>13</v>
      </c>
      <c r="N12" s="33" t="n">
        <f aca="false">IF(COUNT(N13:N1012)=0,"",MAX(N13:N1012))</f>
        <v>4</v>
      </c>
      <c r="O12" s="43"/>
      <c r="P12" s="42" t="s">
        <v>40</v>
      </c>
      <c r="Q12" s="33" t="n">
        <f aca="false">IF(COUNT(Q13:Q1012)=0,"",MAX(Q13:Q1012))</f>
        <v>16</v>
      </c>
      <c r="R12" s="33" t="n">
        <f aca="false">IF(COUNT(R13:R1012)=0,"",MAX(R13:R1012))</f>
        <v>17</v>
      </c>
      <c r="S12" s="33" t="n">
        <f aca="false">IF(COUNT(S13:S1012)=0,"",MAX(S13:S1012))</f>
        <v>8</v>
      </c>
      <c r="T12" s="43"/>
      <c r="V12" s="42" t="s">
        <v>40</v>
      </c>
      <c r="W12" s="33" t="n">
        <f aca="false">IF(COUNT(W13:W1012)=0,"",MAX(W13:W1012))</f>
        <v>6</v>
      </c>
      <c r="X12" s="33" t="n">
        <f aca="false">IF(COUNT(X13:X1012)=0,"",MAX(X13:X1012))</f>
        <v>17</v>
      </c>
      <c r="Y12" s="33" t="n">
        <f aca="false">IF(COUNT(Y13:Y1012)=0,"",MAX(Y13:Y1012))</f>
        <v>17</v>
      </c>
      <c r="Z12" s="43"/>
      <c r="AA12" s="42" t="s">
        <v>40</v>
      </c>
      <c r="AB12" s="33" t="n">
        <f aca="false">IF(COUNT(AB13:AB1012)=0,"",MAX(AB13:AB1012))</f>
        <v>6</v>
      </c>
      <c r="AC12" s="33" t="n">
        <f aca="false">IF(COUNT(AC13:AC1012)=0,"",MAX(AC13:AC1012))</f>
        <v>19</v>
      </c>
      <c r="AD12" s="33" t="n">
        <f aca="false">IF(COUNT(AD13:AD1012)=0,"",MAX(AD13:AD1012))</f>
        <v>19</v>
      </c>
      <c r="AE12" s="43"/>
      <c r="AF12" s="42" t="s">
        <v>40</v>
      </c>
      <c r="AG12" s="33" t="n">
        <f aca="false">IF(COUNT(AG13:AG1012)=0,"",MAX(AG13:AG1012))</f>
        <v>14</v>
      </c>
      <c r="AH12" s="33" t="n">
        <f aca="false">IF(COUNT(AH13:AH1012)=0,"",MAX(AH13:AH1012))</f>
        <v>13</v>
      </c>
      <c r="AI12" s="33" t="n">
        <f aca="false">IF(COUNT(AI13:AI1012)=0,"",MAX(AI13:AI1012))</f>
        <v>4</v>
      </c>
      <c r="AJ12" s="43"/>
      <c r="AK12" s="42" t="s">
        <v>40</v>
      </c>
      <c r="AL12" s="33" t="n">
        <f aca="false">IF(COUNT(AL13:AL1012)=0,"",MAX(AL13:AL1012))</f>
        <v>16</v>
      </c>
      <c r="AM12" s="33" t="n">
        <f aca="false">IF(COUNT(AM13:AM1012)=0,"",MAX(AM13:AM1012))</f>
        <v>17</v>
      </c>
      <c r="AN12" s="33" t="n">
        <f aca="false">IF(COUNT(AN13:AN1012)=0,"",MAX(AN13:AN1012))</f>
        <v>8</v>
      </c>
      <c r="AO12" s="43"/>
      <c r="AQ12" s="42" t="s">
        <v>40</v>
      </c>
      <c r="AR12" s="33" t="n">
        <f aca="false">IF(COUNT(AR13:AR1012)=0,"",MAX(AR13:AR1012))</f>
        <v>0.3</v>
      </c>
      <c r="AS12" s="33" t="n">
        <f aca="false">IF(COUNT(AS13:AS1012)=0,"",MAX(AS13:AS1012))</f>
        <v>0.85</v>
      </c>
      <c r="AT12" s="33" t="n">
        <f aca="false">IF(COUNT(AT13:AT1012)=0,"",MAX(AT13:AT1012))</f>
        <v>0.85</v>
      </c>
      <c r="AU12" s="43"/>
      <c r="AV12" s="42" t="s">
        <v>40</v>
      </c>
      <c r="AW12" s="33" t="n">
        <f aca="false">IF(COUNT(AW13:AW1012)=0,"",MAX(AW13:AW1012))</f>
        <v>0.3</v>
      </c>
      <c r="AX12" s="33" t="n">
        <f aca="false">IF(COUNT(AX13:AX1012)=0,"",MAX(AX13:AX1012))</f>
        <v>0.95</v>
      </c>
      <c r="AY12" s="33" t="n">
        <f aca="false">IF(COUNT(AY13:AY1012)=0,"",MAX(AY13:AY1012))</f>
        <v>0.95</v>
      </c>
      <c r="AZ12" s="43"/>
      <c r="BA12" s="42" t="s">
        <v>40</v>
      </c>
      <c r="BB12" s="33" t="n">
        <f aca="false">IF(COUNT(BB13:BB1012)=0,"",MAX(BB13:BB1012))</f>
        <v>0.7</v>
      </c>
      <c r="BC12" s="33" t="n">
        <f aca="false">IF(COUNT(BC13:BC1012)=0,"",MAX(BC13:BC1012))</f>
        <v>0.65</v>
      </c>
      <c r="BD12" s="33" t="n">
        <f aca="false">IF(COUNT(BD13:BD1012)=0,"",MAX(BD13:BD1012))</f>
        <v>0.2</v>
      </c>
      <c r="BE12" s="43"/>
      <c r="BF12" s="42" t="s">
        <v>40</v>
      </c>
      <c r="BG12" s="33" t="n">
        <f aca="false">IF(COUNT(BG13:BG1012)=0,"",MAX(BG13:BG1012))</f>
        <v>0.8</v>
      </c>
      <c r="BH12" s="33" t="n">
        <f aca="false">IF(COUNT(BH13:BH1012)=0,"",MAX(BH13:BH1012))</f>
        <v>0.85</v>
      </c>
      <c r="BI12" s="33" t="n">
        <f aca="false">IF(COUNT(BI13:BI1012)=0,"",MAX(BI13:BI1012))</f>
        <v>0.4</v>
      </c>
      <c r="BJ12" s="43"/>
      <c r="BL12" s="45"/>
      <c r="BM12" s="46"/>
      <c r="BN12" s="46"/>
      <c r="BO12" s="46"/>
      <c r="BR12" s="46"/>
      <c r="BS12" s="46"/>
      <c r="BT12" s="47"/>
    </row>
    <row r="13" s="54" customFormat="true" ht="18" hidden="false" customHeight="true" outlineLevel="0" collapsed="false">
      <c r="A13" s="49" t="n">
        <v>977</v>
      </c>
      <c r="B13" s="50" t="n">
        <v>2</v>
      </c>
      <c r="C13" s="50" t="n">
        <v>13</v>
      </c>
      <c r="D13" s="50" t="n">
        <v>10</v>
      </c>
      <c r="E13" s="51"/>
      <c r="F13" s="49" t="n">
        <v>1953</v>
      </c>
      <c r="G13" s="50" t="n">
        <v>3</v>
      </c>
      <c r="H13" s="50" t="n">
        <v>16</v>
      </c>
      <c r="I13" s="50" t="n">
        <v>15</v>
      </c>
      <c r="J13" s="51"/>
      <c r="K13" s="52" t="n">
        <f aca="false">IF($A13&lt;&gt;"",$A13,"")</f>
        <v>977</v>
      </c>
      <c r="L13" s="53" t="n">
        <f aca="false">IF(AND($B13&lt;&gt;"",$C13&lt;&gt;""),$C13-$B13,"")</f>
        <v>11</v>
      </c>
      <c r="M13" s="53" t="n">
        <f aca="false">IF(AND($B13&lt;&gt;"",$D13&lt;&gt;""),$D13-$B13,"")</f>
        <v>8</v>
      </c>
      <c r="N13" s="53" t="n">
        <f aca="false">IF(AND($C13&lt;&gt;"",$D13&lt;&gt;""),$D13-$C13,"")</f>
        <v>-3</v>
      </c>
      <c r="O13" s="53" t="str">
        <f aca="false">IF($E13&lt;&gt;"",$E13,"")</f>
        <v/>
      </c>
      <c r="P13" s="52" t="n">
        <f aca="false">IF($F13&lt;&gt;"",$F13,"")</f>
        <v>1953</v>
      </c>
      <c r="Q13" s="53" t="n">
        <f aca="false">IF(AND($G13&lt;&gt;"",$H13&lt;&gt;""),$H13-$G13,"")</f>
        <v>13</v>
      </c>
      <c r="R13" s="53" t="n">
        <f aca="false">IF(AND($G13&lt;&gt;"",$I13&lt;&gt;""),$I13-$G13,"")</f>
        <v>12</v>
      </c>
      <c r="S13" s="53" t="n">
        <f aca="false">IF(AND($H13&lt;&gt;"",$I13&lt;&gt;""),$I13-$H13,"")</f>
        <v>-1</v>
      </c>
      <c r="T13" s="53" t="str">
        <f aca="false">IF($J13&lt;&gt;"",$J13,"")</f>
        <v/>
      </c>
      <c r="V13" s="52" t="n">
        <f aca="false">IF($A13&lt;&gt;"",$A13,"")</f>
        <v>977</v>
      </c>
      <c r="W13" s="53" t="n">
        <f aca="false">IF(AND(OR('Choix pédagogiques'!$C$3=1,'Choix pédagogiques'!$C$3=2),$BM13=1),B13,IF(AND('Choix pédagogiques'!$C$3=3,$BO13=1),B13,""))</f>
        <v>2</v>
      </c>
      <c r="X13" s="53" t="n">
        <f aca="false">IF(AND(OR('Choix pédagogiques'!$C$3=1,'Choix pédagogiques'!$C$3=2),$BM13=1),C13,IF(AND('Choix pédagogiques'!$C$3=3,$BO13=1),C13,""))</f>
        <v>13</v>
      </c>
      <c r="Y13" s="53" t="n">
        <f aca="false">IF(AND(OR('Choix pédagogiques'!$C$3=1,'Choix pédagogiques'!$C$3=2),$BM13=1),D13,IF(AND('Choix pédagogiques'!$C$3=3,$BO13=1),D13,""))</f>
        <v>10</v>
      </c>
      <c r="Z13" s="53" t="str">
        <f aca="false">IF($E13&lt;&gt;"",$E13,"")</f>
        <v/>
      </c>
      <c r="AA13" s="52" t="n">
        <f aca="false">IF($F13&lt;&gt;"",$F13,"")</f>
        <v>1953</v>
      </c>
      <c r="AB13" s="53" t="n">
        <f aca="false">IF(AND(OR('Choix pédagogiques'!$C$3=1,'Choix pédagogiques'!$C$3=2),$BN13=1),G13,IF(AND('Choix pédagogiques'!$C$3=3,$BO13=1),G13,""))</f>
        <v>3</v>
      </c>
      <c r="AC13" s="53" t="n">
        <f aca="false">IF(AND(OR('Choix pédagogiques'!$C$3=1,'Choix pédagogiques'!$C$3=2),$BN13=1),H13,IF(AND('Choix pédagogiques'!$C$3=3,$BO13=1),H13,""))</f>
        <v>16</v>
      </c>
      <c r="AD13" s="53" t="n">
        <f aca="false">IF(AND(OR('Choix pédagogiques'!$C$3=1,'Choix pédagogiques'!$C$3=2),$BN13=1),I13,IF(AND('Choix pédagogiques'!$C$3=3,$BO13=1),I13,""))</f>
        <v>15</v>
      </c>
      <c r="AE13" s="53" t="str">
        <f aca="false">IF($J13&lt;&gt;"",$J13,"")</f>
        <v/>
      </c>
      <c r="AF13" s="52" t="n">
        <f aca="false">IF($A13&lt;&gt;"",$A13,"")</f>
        <v>977</v>
      </c>
      <c r="AG13" s="53" t="n">
        <f aca="false">IF(AND($W13&lt;&gt;"",$X13&lt;&gt;""),$X13-$W13,"")</f>
        <v>11</v>
      </c>
      <c r="AH13" s="53" t="n">
        <f aca="false">IF(AND($W13&lt;&gt;"",$Y13&lt;&gt;""),$Y13-$W13,"")</f>
        <v>8</v>
      </c>
      <c r="AI13" s="53" t="n">
        <f aca="false">IF(AND($X13&lt;&gt;"",$Y13&lt;&gt;""),$Y13-$X13,"")</f>
        <v>-3</v>
      </c>
      <c r="AJ13" s="53" t="str">
        <f aca="false">IF($E13&lt;&gt;"",$E13,"")</f>
        <v/>
      </c>
      <c r="AK13" s="52" t="n">
        <f aca="false">IF($F13&lt;&gt;"",$F13,"")</f>
        <v>1953</v>
      </c>
      <c r="AL13" s="53" t="n">
        <f aca="false">IF(AND($AB13&lt;&gt;"",$AC13&lt;&gt;""),$AC13-$AB13,"")</f>
        <v>13</v>
      </c>
      <c r="AM13" s="53" t="n">
        <f aca="false">IF(AND($AB13&lt;&gt;"",$AD13&lt;&gt;""),$AD13-$AB13,"")</f>
        <v>12</v>
      </c>
      <c r="AN13" s="53" t="n">
        <f aca="false">IF(AND($AC13&lt;&gt;"",$AD13&lt;&gt;""),$AD13-$AC13,"")</f>
        <v>-1</v>
      </c>
      <c r="AO13" s="53" t="str">
        <f aca="false">IF($J13&lt;&gt;"",$J13,"")</f>
        <v/>
      </c>
      <c r="AQ13" s="52" t="n">
        <f aca="false">IF($A13&lt;&gt;"",$A13,"")</f>
        <v>977</v>
      </c>
      <c r="AR13" s="55" t="n">
        <f aca="false">IF(AND('Choix pédagogiques'!$C$4&lt;&gt;"?",'Choix pédagogiques'!$C$5&lt;&gt;"?",W13&lt;&gt;""),(W13-'Choix pédagogiques'!$C$4)/('Choix pédagogiques'!$C$5-'Choix pédagogiques'!$C$4),"")</f>
        <v>0.1</v>
      </c>
      <c r="AS13" s="55" t="n">
        <f aca="false">IF(AND('Choix pédagogiques'!$C$4&lt;&gt;"?",'Choix pédagogiques'!$C$5&lt;&gt;"?",X13&lt;&gt;""),(X13-'Choix pédagogiques'!$C$4)/('Choix pédagogiques'!$C$5-'Choix pédagogiques'!$C$4),"")</f>
        <v>0.65</v>
      </c>
      <c r="AT13" s="55" t="n">
        <f aca="false">IF(AND('Choix pédagogiques'!$C$4&lt;&gt;"?",'Choix pédagogiques'!$C$5&lt;&gt;"?",Y13&lt;&gt;""),(Y13-'Choix pédagogiques'!$C$4)/('Choix pédagogiques'!$C$5-'Choix pédagogiques'!$C$4),"")</f>
        <v>0.5</v>
      </c>
      <c r="AU13" s="53" t="str">
        <f aca="false">IF($E13&lt;&gt;"",$E13,"")</f>
        <v/>
      </c>
      <c r="AV13" s="52" t="n">
        <f aca="false">IF($F13&lt;&gt;"",$F13,"")</f>
        <v>1953</v>
      </c>
      <c r="AW13" s="55" t="n">
        <f aca="false">IF(AND('Choix pédagogiques'!$C$4&lt;&gt;"?",'Choix pédagogiques'!$C$5&lt;&gt;"?",AB13&lt;&gt;""),(AB13-'Choix pédagogiques'!$C$4)/('Choix pédagogiques'!$C$5-'Choix pédagogiques'!$C$4),"")</f>
        <v>0.15</v>
      </c>
      <c r="AX13" s="55" t="n">
        <f aca="false">IF(AND('Choix pédagogiques'!$C$4&lt;&gt;"?",'Choix pédagogiques'!$C$5&lt;&gt;"?",AC13&lt;&gt;""),(AC13-'Choix pédagogiques'!$C$4)/('Choix pédagogiques'!$C$5-'Choix pédagogiques'!$C$4),"")</f>
        <v>0.8</v>
      </c>
      <c r="AY13" s="55" t="n">
        <f aca="false">IF(AND('Choix pédagogiques'!$C$4&lt;&gt;"?",'Choix pédagogiques'!$C$5&lt;&gt;"?",AD13&lt;&gt;""),(AD13-'Choix pédagogiques'!$C$4)/('Choix pédagogiques'!$C$5-'Choix pédagogiques'!$C$4),"")</f>
        <v>0.75</v>
      </c>
      <c r="AZ13" s="53" t="str">
        <f aca="false">IF($J13&lt;&gt;"",$J13,"")</f>
        <v/>
      </c>
      <c r="BA13" s="52" t="n">
        <f aca="false">IF($A13&lt;&gt;"",$A13,"")</f>
        <v>977</v>
      </c>
      <c r="BB13" s="55" t="n">
        <f aca="false">IF(AND($AR13&lt;&gt;"",$AS13&lt;&gt;""),$AS13-$AR13,"")</f>
        <v>0.55</v>
      </c>
      <c r="BC13" s="55" t="n">
        <f aca="false">IF(AND($AR13&lt;&gt;"",$AT13&lt;&gt;""),$AT13-$AR13,"")</f>
        <v>0.4</v>
      </c>
      <c r="BD13" s="55" t="n">
        <f aca="false">IF(AND($AS13&lt;&gt;"",$AT13&lt;&gt;""),$AT13-$AS13,"")</f>
        <v>-0.15</v>
      </c>
      <c r="BE13" s="53" t="str">
        <f aca="false">IF($E13&lt;&gt;"",$E13,"")</f>
        <v/>
      </c>
      <c r="BF13" s="52" t="n">
        <f aca="false">IF($F13&lt;&gt;"",$F13,"")</f>
        <v>1953</v>
      </c>
      <c r="BG13" s="55" t="n">
        <f aca="false">IF(AND($AW13&lt;&gt;"",$AX13&lt;&gt;""),$AX13-$AW13,"")</f>
        <v>0.65</v>
      </c>
      <c r="BH13" s="55" t="n">
        <f aca="false">IF(AND($AW13&lt;&gt;"",$AY13&lt;&gt;""),$AY13-$AW13,"")</f>
        <v>0.6</v>
      </c>
      <c r="BI13" s="55" t="n">
        <f aca="false">IF(AND($AX13&lt;&gt;"",$AY13&lt;&gt;""),$AY13-$AX13,"")</f>
        <v>-0.05</v>
      </c>
      <c r="BJ13" s="53" t="str">
        <f aca="false">IF($J13&lt;&gt;"",$J13,"")</f>
        <v/>
      </c>
      <c r="BL13" s="52"/>
      <c r="BM13" s="52" t="n">
        <f aca="false">IF(OR(COUNT(B13:D1012)=0,AND('Choix pédagogiques'!$C$3&lt;&gt;1,'Choix pédagogiques'!$C$3&lt;&gt;2)),"",IF(AND(OR('Choix pédagogiques'!$C$3=1,'Choix pédagogiques'!$C$3=2),$B13&lt;&gt;"",$C13&lt;&gt;"",$D13&lt;&gt;""),1,0))</f>
        <v>1</v>
      </c>
      <c r="BN13" s="52" t="n">
        <f aca="false">IF(OR(COUNT(G13:I1012)=0,AND('Choix pédagogiques'!$C$3&lt;&gt;1,'Choix pédagogiques'!$C$3&lt;&gt;2)),"",IF(AND(OR('Choix pédagogiques'!$C$3=1,'Choix pédagogiques'!$C$3=2),AND($G13&lt;&gt;"",$H13&lt;&gt;"",$I13&lt;&gt;"")),1,0))</f>
        <v>1</v>
      </c>
      <c r="BO13" s="52" t="str">
        <f aca="false">IF(OR(COUNT(B13:D1012)=0,COUNT(G13:I1012)=0,'Choix pédagogiques'!C$3&lt;&gt;3),"",IF(AND('Choix pédagogiques'!$C$3=3,$B13&lt;&gt;"",$C13&lt;&gt;"",$D13&lt;&gt;"",$G13&lt;&gt;"",$H13&lt;&gt;"",$I13&lt;&gt;""),1,0))</f>
        <v/>
      </c>
      <c r="BR13" s="52" t="n">
        <v>977</v>
      </c>
      <c r="BS13" s="52" t="n">
        <v>1953</v>
      </c>
    </row>
    <row r="14" s="54" customFormat="true" ht="18" hidden="false" customHeight="true" outlineLevel="0" collapsed="false">
      <c r="A14" s="49" t="n">
        <v>429</v>
      </c>
      <c r="B14" s="50" t="n">
        <v>3</v>
      </c>
      <c r="C14" s="50" t="n">
        <v>12</v>
      </c>
      <c r="D14" s="50" t="n">
        <v>9</v>
      </c>
      <c r="E14" s="51"/>
      <c r="F14" s="49" t="n">
        <v>1016</v>
      </c>
      <c r="G14" s="50" t="n">
        <v>2</v>
      </c>
      <c r="H14" s="50" t="n">
        <v>15</v>
      </c>
      <c r="I14" s="50" t="n">
        <v>16</v>
      </c>
      <c r="J14" s="51"/>
      <c r="K14" s="52" t="n">
        <f aca="false">IF($A14&lt;&gt;"",$A14,"")</f>
        <v>429</v>
      </c>
      <c r="L14" s="53" t="n">
        <f aca="false">IF(AND($B14&lt;&gt;"",$C14&lt;&gt;""),$C14-$B14,"")</f>
        <v>9</v>
      </c>
      <c r="M14" s="53" t="n">
        <f aca="false">IF(AND($B14&lt;&gt;"",$D14&lt;&gt;""),$D14-$B14,"")</f>
        <v>6</v>
      </c>
      <c r="N14" s="53" t="n">
        <f aca="false">IF(AND($C14&lt;&gt;"",$D14&lt;&gt;""),$D14-$C14,"")</f>
        <v>-3</v>
      </c>
      <c r="O14" s="53" t="str">
        <f aca="false">IF($E14&lt;&gt;"",$E14,"")</f>
        <v/>
      </c>
      <c r="P14" s="52" t="n">
        <f aca="false">IF($F14&lt;&gt;"",$F14,"")</f>
        <v>1016</v>
      </c>
      <c r="Q14" s="53" t="n">
        <f aca="false">IF(AND($G14&lt;&gt;"",$H14&lt;&gt;""),$H14-$G14,"")</f>
        <v>13</v>
      </c>
      <c r="R14" s="53" t="n">
        <f aca="false">IF(AND($G14&lt;&gt;"",$I14&lt;&gt;""),$I14-$G14,"")</f>
        <v>14</v>
      </c>
      <c r="S14" s="53" t="n">
        <f aca="false">IF(AND($H14&lt;&gt;"",$I14&lt;&gt;""),$I14-$H14,"")</f>
        <v>1</v>
      </c>
      <c r="T14" s="53" t="str">
        <f aca="false">IF($J14&lt;&gt;"",$J14,"")</f>
        <v/>
      </c>
      <c r="V14" s="52" t="n">
        <f aca="false">IF($A14&lt;&gt;"",$A14,"")</f>
        <v>429</v>
      </c>
      <c r="W14" s="53" t="n">
        <f aca="false">IF(AND(OR('Choix pédagogiques'!$C$3=1,'Choix pédagogiques'!$C$3=2),$BM14=1),B14,IF(AND('Choix pédagogiques'!$C$3=3,$BO14=1),B14,""))</f>
        <v>3</v>
      </c>
      <c r="X14" s="53" t="n">
        <f aca="false">IF(AND(OR('Choix pédagogiques'!$C$3=1,'Choix pédagogiques'!$C$3=2),$BM14=1),C14,IF(AND('Choix pédagogiques'!$C$3=3,$BO14=1),C14,""))</f>
        <v>12</v>
      </c>
      <c r="Y14" s="53" t="n">
        <f aca="false">IF(AND(OR('Choix pédagogiques'!$C$3=1,'Choix pédagogiques'!$C$3=2),$BM14=1),D14,IF(AND('Choix pédagogiques'!$C$3=3,$BO14=1),D14,""))</f>
        <v>9</v>
      </c>
      <c r="Z14" s="53" t="str">
        <f aca="false">IF($E14&lt;&gt;"",$E14,"")</f>
        <v/>
      </c>
      <c r="AA14" s="52" t="n">
        <f aca="false">IF($F14&lt;&gt;"",$F14,"")</f>
        <v>1016</v>
      </c>
      <c r="AB14" s="53" t="n">
        <f aca="false">IF(AND(OR('Choix pédagogiques'!$C$3=1,'Choix pédagogiques'!$C$3=2),$BN14=1),G14,IF(AND('Choix pédagogiques'!$C$3=3,$BO14=1),G14,""))</f>
        <v>2</v>
      </c>
      <c r="AC14" s="53" t="n">
        <f aca="false">IF(AND(OR('Choix pédagogiques'!$C$3=1,'Choix pédagogiques'!$C$3=2),$BN14=1),H14,IF(AND('Choix pédagogiques'!$C$3=3,$BO14=1),H14,""))</f>
        <v>15</v>
      </c>
      <c r="AD14" s="53" t="n">
        <f aca="false">IF(AND(OR('Choix pédagogiques'!$C$3=1,'Choix pédagogiques'!$C$3=2),$BN14=1),I14,IF(AND('Choix pédagogiques'!$C$3=3,$BO14=1),I14,""))</f>
        <v>16</v>
      </c>
      <c r="AE14" s="53" t="str">
        <f aca="false">IF($J14&lt;&gt;"",$J14,"")</f>
        <v/>
      </c>
      <c r="AF14" s="52" t="n">
        <f aca="false">IF($A14&lt;&gt;"",$A14,"")</f>
        <v>429</v>
      </c>
      <c r="AG14" s="53" t="n">
        <f aca="false">IF(AND($W14&lt;&gt;"",$X14&lt;&gt;""),$X14-$W14,"")</f>
        <v>9</v>
      </c>
      <c r="AH14" s="53" t="n">
        <f aca="false">IF(AND($W14&lt;&gt;"",$Y14&lt;&gt;""),$Y14-$W14,"")</f>
        <v>6</v>
      </c>
      <c r="AI14" s="53" t="n">
        <f aca="false">IF(AND($X14&lt;&gt;"",$Y14&lt;&gt;""),$Y14-$X14,"")</f>
        <v>-3</v>
      </c>
      <c r="AJ14" s="53" t="str">
        <f aca="false">IF($E14&lt;&gt;"",$E14,"")</f>
        <v/>
      </c>
      <c r="AK14" s="52" t="n">
        <f aca="false">IF($F14&lt;&gt;"",$F14,"")</f>
        <v>1016</v>
      </c>
      <c r="AL14" s="53" t="n">
        <f aca="false">IF(AND($AB14&lt;&gt;"",$AC14&lt;&gt;""),$AC14-$AB14,"")</f>
        <v>13</v>
      </c>
      <c r="AM14" s="53" t="n">
        <f aca="false">IF(AND($AB14&lt;&gt;"",$AD14&lt;&gt;""),$AD14-$AB14,"")</f>
        <v>14</v>
      </c>
      <c r="AN14" s="53" t="n">
        <f aca="false">IF(AND($AC14&lt;&gt;"",$AD14&lt;&gt;""),$AD14-$AC14,"")</f>
        <v>1</v>
      </c>
      <c r="AO14" s="53" t="str">
        <f aca="false">IF($J14&lt;&gt;"",$J14,"")</f>
        <v/>
      </c>
      <c r="AQ14" s="52" t="n">
        <f aca="false">IF($A14&lt;&gt;"",$A14,"")</f>
        <v>429</v>
      </c>
      <c r="AR14" s="55" t="n">
        <f aca="false">IF(AND('Choix pédagogiques'!$C$4&lt;&gt;"?",'Choix pédagogiques'!$C$5&lt;&gt;"?",W14&lt;&gt;""),(W14-'Choix pédagogiques'!$C$4)/('Choix pédagogiques'!$C$5-'Choix pédagogiques'!$C$4),"")</f>
        <v>0.15</v>
      </c>
      <c r="AS14" s="55" t="n">
        <f aca="false">IF(AND('Choix pédagogiques'!$C$4&lt;&gt;"?",'Choix pédagogiques'!$C$5&lt;&gt;"?",X14&lt;&gt;""),(X14-'Choix pédagogiques'!$C$4)/('Choix pédagogiques'!$C$5-'Choix pédagogiques'!$C$4),"")</f>
        <v>0.6</v>
      </c>
      <c r="AT14" s="55" t="n">
        <f aca="false">IF(AND('Choix pédagogiques'!$C$4&lt;&gt;"?",'Choix pédagogiques'!$C$5&lt;&gt;"?",Y14&lt;&gt;""),(Y14-'Choix pédagogiques'!$C$4)/('Choix pédagogiques'!$C$5-'Choix pédagogiques'!$C$4),"")</f>
        <v>0.45</v>
      </c>
      <c r="AU14" s="53" t="str">
        <f aca="false">IF($E14&lt;&gt;"",$E14,"")</f>
        <v/>
      </c>
      <c r="AV14" s="52" t="n">
        <f aca="false">IF($F14&lt;&gt;"",$F14,"")</f>
        <v>1016</v>
      </c>
      <c r="AW14" s="55" t="n">
        <f aca="false">IF(AND('Choix pédagogiques'!$C$4&lt;&gt;"?",'Choix pédagogiques'!$C$5&lt;&gt;"?",AB14&lt;&gt;""),(AB14-'Choix pédagogiques'!$C$4)/('Choix pédagogiques'!$C$5-'Choix pédagogiques'!$C$4),"")</f>
        <v>0.1</v>
      </c>
      <c r="AX14" s="55" t="n">
        <f aca="false">IF(AND('Choix pédagogiques'!$C$4&lt;&gt;"?",'Choix pédagogiques'!$C$5&lt;&gt;"?",AC14&lt;&gt;""),(AC14-'Choix pédagogiques'!$C$4)/('Choix pédagogiques'!$C$5-'Choix pédagogiques'!$C$4),"")</f>
        <v>0.75</v>
      </c>
      <c r="AY14" s="55" t="n">
        <f aca="false">IF(AND('Choix pédagogiques'!$C$4&lt;&gt;"?",'Choix pédagogiques'!$C$5&lt;&gt;"?",AD14&lt;&gt;""),(AD14-'Choix pédagogiques'!$C$4)/('Choix pédagogiques'!$C$5-'Choix pédagogiques'!$C$4),"")</f>
        <v>0.8</v>
      </c>
      <c r="AZ14" s="53" t="str">
        <f aca="false">IF($J14&lt;&gt;"",$J14,"")</f>
        <v/>
      </c>
      <c r="BA14" s="52" t="n">
        <f aca="false">IF($A14&lt;&gt;"",$A14,"")</f>
        <v>429</v>
      </c>
      <c r="BB14" s="55" t="n">
        <f aca="false">IF(AND($AR14&lt;&gt;"",$AS14&lt;&gt;""),$AS14-$AR14,"")</f>
        <v>0.45</v>
      </c>
      <c r="BC14" s="55" t="n">
        <f aca="false">IF(AND($AR14&lt;&gt;"",$AT14&lt;&gt;""),$AT14-$AR14,"")</f>
        <v>0.3</v>
      </c>
      <c r="BD14" s="55" t="n">
        <f aca="false">IF(AND($AS14&lt;&gt;"",$AT14&lt;&gt;""),$AT14-$AS14,"")</f>
        <v>-0.15</v>
      </c>
      <c r="BE14" s="53" t="str">
        <f aca="false">IF($E14&lt;&gt;"",$E14,"")</f>
        <v/>
      </c>
      <c r="BF14" s="52" t="n">
        <f aca="false">IF($F14&lt;&gt;"",$F14,"")</f>
        <v>1016</v>
      </c>
      <c r="BG14" s="55" t="n">
        <f aca="false">IF(AND($AW14&lt;&gt;"",$AX14&lt;&gt;""),$AX14-$AW14,"")</f>
        <v>0.65</v>
      </c>
      <c r="BH14" s="55" t="n">
        <f aca="false">IF(AND($AW14&lt;&gt;"",$AY14&lt;&gt;""),$AY14-$AW14,"")</f>
        <v>0.7</v>
      </c>
      <c r="BI14" s="55" t="n">
        <f aca="false">IF(AND($AX14&lt;&gt;"",$AY14&lt;&gt;""),$AY14-$AX14,"")</f>
        <v>0.05</v>
      </c>
      <c r="BJ14" s="53" t="str">
        <f aca="false">IF($J14&lt;&gt;"",$J14,"")</f>
        <v/>
      </c>
      <c r="BL14" s="52"/>
      <c r="BM14" s="52" t="n">
        <f aca="false">IF(OR(COUNT(B14:D1013)=0,AND('Choix pédagogiques'!$C$3&lt;&gt;1,'Choix pédagogiques'!$C$3&lt;&gt;2)),"",IF(AND(OR('Choix pédagogiques'!$C$3=1,'Choix pédagogiques'!$C$3=2),$B14&lt;&gt;"",$C14&lt;&gt;"",$D14&lt;&gt;""),1,0))</f>
        <v>1</v>
      </c>
      <c r="BN14" s="52" t="n">
        <f aca="false">IF(OR(COUNT(G14:I1013)=0,AND('Choix pédagogiques'!$C$3&lt;&gt;1,'Choix pédagogiques'!$C$3&lt;&gt;2)),"",IF(AND(OR('Choix pédagogiques'!$C$3=1,'Choix pédagogiques'!$C$3=2),AND($G14&lt;&gt;"",$H14&lt;&gt;"",$I14&lt;&gt;"")),1,0))</f>
        <v>1</v>
      </c>
      <c r="BO14" s="52" t="str">
        <f aca="false">IF(OR(COUNT(B14:D1013)=0,COUNT(G14:I1013)=0,'Choix pédagogiques'!C$3&lt;&gt;3),"",IF(AND('Choix pédagogiques'!$C$3=3,$B14&lt;&gt;"",$C14&lt;&gt;"",$D14&lt;&gt;"",$G14&lt;&gt;"",$H14&lt;&gt;"",$I14&lt;&gt;""),1,0))</f>
        <v/>
      </c>
      <c r="BR14" s="52" t="n">
        <v>429</v>
      </c>
      <c r="BS14" s="52" t="n">
        <v>1016</v>
      </c>
    </row>
    <row r="15" s="54" customFormat="true" ht="18" hidden="false" customHeight="true" outlineLevel="0" collapsed="false">
      <c r="A15" s="49" t="n">
        <v>758</v>
      </c>
      <c r="B15" s="50" t="n">
        <v>4</v>
      </c>
      <c r="C15" s="50" t="n">
        <v>15</v>
      </c>
      <c r="D15" s="50" t="n">
        <v>13</v>
      </c>
      <c r="E15" s="56" t="s">
        <v>41</v>
      </c>
      <c r="F15" s="49" t="n">
        <v>1159</v>
      </c>
      <c r="G15" s="50" t="n">
        <v>5</v>
      </c>
      <c r="H15" s="50" t="n">
        <v>17</v>
      </c>
      <c r="I15" s="50" t="n">
        <v>16</v>
      </c>
      <c r="J15" s="51"/>
      <c r="K15" s="52" t="n">
        <f aca="false">IF($A15&lt;&gt;"",$A15,"")</f>
        <v>758</v>
      </c>
      <c r="L15" s="53" t="n">
        <f aca="false">IF(AND($B15&lt;&gt;"",$C15&lt;&gt;""),$C15-$B15,"")</f>
        <v>11</v>
      </c>
      <c r="M15" s="53" t="n">
        <f aca="false">IF(AND($B15&lt;&gt;"",$D15&lt;&gt;""),$D15-$B15,"")</f>
        <v>9</v>
      </c>
      <c r="N15" s="53" t="n">
        <f aca="false">IF(AND($C15&lt;&gt;"",$D15&lt;&gt;""),$D15-$C15,"")</f>
        <v>-2</v>
      </c>
      <c r="O15" s="53" t="str">
        <f aca="false">IF($E15&lt;&gt;"",$E15,"")</f>
        <v>semble distraite</v>
      </c>
      <c r="P15" s="52" t="n">
        <f aca="false">IF($F15&lt;&gt;"",$F15,"")</f>
        <v>1159</v>
      </c>
      <c r="Q15" s="53" t="n">
        <f aca="false">IF(AND($G15&lt;&gt;"",$H15&lt;&gt;""),$H15-$G15,"")</f>
        <v>12</v>
      </c>
      <c r="R15" s="53" t="n">
        <f aca="false">IF(AND($G15&lt;&gt;"",$I15&lt;&gt;""),$I15-$G15,"")</f>
        <v>11</v>
      </c>
      <c r="S15" s="53" t="n">
        <f aca="false">IF(AND($H15&lt;&gt;"",$I15&lt;&gt;""),$I15-$H15,"")</f>
        <v>-1</v>
      </c>
      <c r="T15" s="53" t="str">
        <f aca="false">IF($J15&lt;&gt;"",$J15,"")</f>
        <v/>
      </c>
      <c r="V15" s="52" t="n">
        <f aca="false">IF($A15&lt;&gt;"",$A15,"")</f>
        <v>758</v>
      </c>
      <c r="W15" s="53" t="n">
        <f aca="false">IF(AND(OR('Choix pédagogiques'!$C$3=1,'Choix pédagogiques'!$C$3=2),$BM15=1),B15,IF(AND('Choix pédagogiques'!$C$3=3,$BO15=1),B15,""))</f>
        <v>4</v>
      </c>
      <c r="X15" s="53" t="n">
        <f aca="false">IF(AND(OR('Choix pédagogiques'!$C$3=1,'Choix pédagogiques'!$C$3=2),$BM15=1),C15,IF(AND('Choix pédagogiques'!$C$3=3,$BO15=1),C15,""))</f>
        <v>15</v>
      </c>
      <c r="Y15" s="53" t="n">
        <f aca="false">IF(AND(OR('Choix pédagogiques'!$C$3=1,'Choix pédagogiques'!$C$3=2),$BM15=1),D15,IF(AND('Choix pédagogiques'!$C$3=3,$BO15=1),D15,""))</f>
        <v>13</v>
      </c>
      <c r="Z15" s="53" t="str">
        <f aca="false">IF($E15&lt;&gt;"",$E15,"")</f>
        <v>semble distraite</v>
      </c>
      <c r="AA15" s="52" t="n">
        <f aca="false">IF($F15&lt;&gt;"",$F15,"")</f>
        <v>1159</v>
      </c>
      <c r="AB15" s="53" t="n">
        <f aca="false">IF(AND(OR('Choix pédagogiques'!$C$3=1,'Choix pédagogiques'!$C$3=2),$BN15=1),G15,IF(AND('Choix pédagogiques'!$C$3=3,$BO15=1),G15,""))</f>
        <v>5</v>
      </c>
      <c r="AC15" s="53" t="n">
        <f aca="false">IF(AND(OR('Choix pédagogiques'!$C$3=1,'Choix pédagogiques'!$C$3=2),$BN15=1),H15,IF(AND('Choix pédagogiques'!$C$3=3,$BO15=1),H15,""))</f>
        <v>17</v>
      </c>
      <c r="AD15" s="53" t="n">
        <f aca="false">IF(AND(OR('Choix pédagogiques'!$C$3=1,'Choix pédagogiques'!$C$3=2),$BN15=1),I15,IF(AND('Choix pédagogiques'!$C$3=3,$BO15=1),I15,""))</f>
        <v>16</v>
      </c>
      <c r="AE15" s="53" t="str">
        <f aca="false">IF($J15&lt;&gt;"",$J15,"")</f>
        <v/>
      </c>
      <c r="AF15" s="52" t="n">
        <f aca="false">IF($A15&lt;&gt;"",$A15,"")</f>
        <v>758</v>
      </c>
      <c r="AG15" s="53" t="n">
        <f aca="false">IF(AND($W15&lt;&gt;"",$X15&lt;&gt;""),$X15-$W15,"")</f>
        <v>11</v>
      </c>
      <c r="AH15" s="53" t="n">
        <f aca="false">IF(AND($W15&lt;&gt;"",$Y15&lt;&gt;""),$Y15-$W15,"")</f>
        <v>9</v>
      </c>
      <c r="AI15" s="53" t="n">
        <f aca="false">IF(AND($X15&lt;&gt;"",$Y15&lt;&gt;""),$Y15-$X15,"")</f>
        <v>-2</v>
      </c>
      <c r="AJ15" s="53" t="str">
        <f aca="false">IF($E15&lt;&gt;"",$E15,"")</f>
        <v>semble distraite</v>
      </c>
      <c r="AK15" s="52" t="n">
        <f aca="false">IF($F15&lt;&gt;"",$F15,"")</f>
        <v>1159</v>
      </c>
      <c r="AL15" s="53" t="n">
        <f aca="false">IF(AND($AB15&lt;&gt;"",$AC15&lt;&gt;""),$AC15-$AB15,"")</f>
        <v>12</v>
      </c>
      <c r="AM15" s="53" t="n">
        <f aca="false">IF(AND($AB15&lt;&gt;"",$AD15&lt;&gt;""),$AD15-$AB15,"")</f>
        <v>11</v>
      </c>
      <c r="AN15" s="53" t="n">
        <f aca="false">IF(AND($AC15&lt;&gt;"",$AD15&lt;&gt;""),$AD15-$AC15,"")</f>
        <v>-1</v>
      </c>
      <c r="AO15" s="53" t="str">
        <f aca="false">IF($J15&lt;&gt;"",$J15,"")</f>
        <v/>
      </c>
      <c r="AQ15" s="52" t="n">
        <f aca="false">IF($A15&lt;&gt;"",$A15,"")</f>
        <v>758</v>
      </c>
      <c r="AR15" s="55" t="n">
        <f aca="false">IF(AND('Choix pédagogiques'!$C$4&lt;&gt;"?",'Choix pédagogiques'!$C$5&lt;&gt;"?",W15&lt;&gt;""),(W15-'Choix pédagogiques'!$C$4)/('Choix pédagogiques'!$C$5-'Choix pédagogiques'!$C$4),"")</f>
        <v>0.2</v>
      </c>
      <c r="AS15" s="55" t="n">
        <f aca="false">IF(AND('Choix pédagogiques'!$C$4&lt;&gt;"?",'Choix pédagogiques'!$C$5&lt;&gt;"?",X15&lt;&gt;""),(X15-'Choix pédagogiques'!$C$4)/('Choix pédagogiques'!$C$5-'Choix pédagogiques'!$C$4),"")</f>
        <v>0.75</v>
      </c>
      <c r="AT15" s="55" t="n">
        <f aca="false">IF(AND('Choix pédagogiques'!$C$4&lt;&gt;"?",'Choix pédagogiques'!$C$5&lt;&gt;"?",Y15&lt;&gt;""),(Y15-'Choix pédagogiques'!$C$4)/('Choix pédagogiques'!$C$5-'Choix pédagogiques'!$C$4),"")</f>
        <v>0.65</v>
      </c>
      <c r="AU15" s="53" t="str">
        <f aca="false">IF($E15&lt;&gt;"",$E15,"")</f>
        <v>semble distraite</v>
      </c>
      <c r="AV15" s="52" t="n">
        <f aca="false">IF($F15&lt;&gt;"",$F15,"")</f>
        <v>1159</v>
      </c>
      <c r="AW15" s="55" t="n">
        <f aca="false">IF(AND('Choix pédagogiques'!$C$4&lt;&gt;"?",'Choix pédagogiques'!$C$5&lt;&gt;"?",AB15&lt;&gt;""),(AB15-'Choix pédagogiques'!$C$4)/('Choix pédagogiques'!$C$5-'Choix pédagogiques'!$C$4),"")</f>
        <v>0.25</v>
      </c>
      <c r="AX15" s="55" t="n">
        <f aca="false">IF(AND('Choix pédagogiques'!$C$4&lt;&gt;"?",'Choix pédagogiques'!$C$5&lt;&gt;"?",AC15&lt;&gt;""),(AC15-'Choix pédagogiques'!$C$4)/('Choix pédagogiques'!$C$5-'Choix pédagogiques'!$C$4),"")</f>
        <v>0.85</v>
      </c>
      <c r="AY15" s="55" t="n">
        <f aca="false">IF(AND('Choix pédagogiques'!$C$4&lt;&gt;"?",'Choix pédagogiques'!$C$5&lt;&gt;"?",AD15&lt;&gt;""),(AD15-'Choix pédagogiques'!$C$4)/('Choix pédagogiques'!$C$5-'Choix pédagogiques'!$C$4),"")</f>
        <v>0.8</v>
      </c>
      <c r="AZ15" s="53" t="str">
        <f aca="false">IF($J15&lt;&gt;"",$J15,"")</f>
        <v/>
      </c>
      <c r="BA15" s="52" t="n">
        <f aca="false">IF($A15&lt;&gt;"",$A15,"")</f>
        <v>758</v>
      </c>
      <c r="BB15" s="55" t="n">
        <f aca="false">IF(AND($AR15&lt;&gt;"",$AS15&lt;&gt;""),$AS15-$AR15,"")</f>
        <v>0.55</v>
      </c>
      <c r="BC15" s="55" t="n">
        <f aca="false">IF(AND($AR15&lt;&gt;"",$AT15&lt;&gt;""),$AT15-$AR15,"")</f>
        <v>0.45</v>
      </c>
      <c r="BD15" s="55" t="n">
        <f aca="false">IF(AND($AS15&lt;&gt;"",$AT15&lt;&gt;""),$AT15-$AS15,"")</f>
        <v>-0.1</v>
      </c>
      <c r="BE15" s="53" t="str">
        <f aca="false">IF($E15&lt;&gt;"",$E15,"")</f>
        <v>semble distraite</v>
      </c>
      <c r="BF15" s="52" t="n">
        <f aca="false">IF($F15&lt;&gt;"",$F15,"")</f>
        <v>1159</v>
      </c>
      <c r="BG15" s="55" t="n">
        <f aca="false">IF(AND($AW15&lt;&gt;"",$AX15&lt;&gt;""),$AX15-$AW15,"")</f>
        <v>0.6</v>
      </c>
      <c r="BH15" s="55" t="n">
        <f aca="false">IF(AND($AW15&lt;&gt;"",$AY15&lt;&gt;""),$AY15-$AW15,"")</f>
        <v>0.55</v>
      </c>
      <c r="BI15" s="55" t="n">
        <f aca="false">IF(AND($AX15&lt;&gt;"",$AY15&lt;&gt;""),$AY15-$AX15,"")</f>
        <v>-0.0499999999999999</v>
      </c>
      <c r="BJ15" s="53" t="str">
        <f aca="false">IF($J15&lt;&gt;"",$J15,"")</f>
        <v/>
      </c>
      <c r="BL15" s="52"/>
      <c r="BM15" s="52" t="n">
        <f aca="false">IF(OR(COUNT(B15:D1014)=0,AND('Choix pédagogiques'!$C$3&lt;&gt;1,'Choix pédagogiques'!$C$3&lt;&gt;2)),"",IF(AND(OR('Choix pédagogiques'!$C$3=1,'Choix pédagogiques'!$C$3=2),$B15&lt;&gt;"",$C15&lt;&gt;"",$D15&lt;&gt;""),1,0))</f>
        <v>1</v>
      </c>
      <c r="BN15" s="52" t="n">
        <f aca="false">IF(OR(COUNT(G15:I1014)=0,AND('Choix pédagogiques'!$C$3&lt;&gt;1,'Choix pédagogiques'!$C$3&lt;&gt;2)),"",IF(AND(OR('Choix pédagogiques'!$C$3=1,'Choix pédagogiques'!$C$3=2),AND($G15&lt;&gt;"",$H15&lt;&gt;"",$I15&lt;&gt;"")),1,0))</f>
        <v>1</v>
      </c>
      <c r="BO15" s="52" t="str">
        <f aca="false">IF(OR(COUNT(B15:D1014)=0,COUNT(G15:I1014)=0,'Choix pédagogiques'!C$3&lt;&gt;3),"",IF(AND('Choix pédagogiques'!$C$3=3,$B15&lt;&gt;"",$C15&lt;&gt;"",$D15&lt;&gt;"",$G15&lt;&gt;"",$H15&lt;&gt;"",$I15&lt;&gt;""),1,0))</f>
        <v/>
      </c>
      <c r="BR15" s="52" t="n">
        <v>758</v>
      </c>
      <c r="BS15" s="52" t="n">
        <v>1159</v>
      </c>
    </row>
    <row r="16" s="54" customFormat="true" ht="18" hidden="false" customHeight="true" outlineLevel="0" collapsed="false">
      <c r="A16" s="49" t="n">
        <v>747</v>
      </c>
      <c r="B16" s="50" t="n">
        <v>2</v>
      </c>
      <c r="C16" s="50"/>
      <c r="D16" s="50" t="n">
        <v>12</v>
      </c>
      <c r="E16" s="51"/>
      <c r="F16" s="49" t="n">
        <v>1669</v>
      </c>
      <c r="G16" s="50" t="n">
        <v>1</v>
      </c>
      <c r="H16" s="50" t="n">
        <v>14</v>
      </c>
      <c r="I16" s="50" t="n">
        <v>15</v>
      </c>
      <c r="J16" s="51"/>
      <c r="K16" s="52" t="n">
        <f aca="false">IF($A16&lt;&gt;"",$A16,"")</f>
        <v>747</v>
      </c>
      <c r="L16" s="53" t="str">
        <f aca="false">IF(AND($B16&lt;&gt;"",$C16&lt;&gt;""),$C16-$B16,"")</f>
        <v/>
      </c>
      <c r="M16" s="53" t="n">
        <f aca="false">IF(AND($B16&lt;&gt;"",$D16&lt;&gt;""),$D16-$B16,"")</f>
        <v>10</v>
      </c>
      <c r="N16" s="53" t="str">
        <f aca="false">IF(AND($C16&lt;&gt;"",$D16&lt;&gt;""),$D16-$C16,"")</f>
        <v/>
      </c>
      <c r="O16" s="53" t="str">
        <f aca="false">IF($E16&lt;&gt;"",$E16,"")</f>
        <v/>
      </c>
      <c r="P16" s="52" t="n">
        <f aca="false">IF($F16&lt;&gt;"",$F16,"")</f>
        <v>1669</v>
      </c>
      <c r="Q16" s="53" t="n">
        <f aca="false">IF(AND($G16&lt;&gt;"",$H16&lt;&gt;""),$H16-$G16,"")</f>
        <v>13</v>
      </c>
      <c r="R16" s="53" t="n">
        <f aca="false">IF(AND($G16&lt;&gt;"",$I16&lt;&gt;""),$I16-$G16,"")</f>
        <v>14</v>
      </c>
      <c r="S16" s="53" t="n">
        <f aca="false">IF(AND($H16&lt;&gt;"",$I16&lt;&gt;""),$I16-$H16,"")</f>
        <v>1</v>
      </c>
      <c r="T16" s="53" t="str">
        <f aca="false">IF($J16&lt;&gt;"",$J16,"")</f>
        <v/>
      </c>
      <c r="V16" s="52" t="n">
        <f aca="false">IF($A16&lt;&gt;"",$A16,"")</f>
        <v>747</v>
      </c>
      <c r="W16" s="53" t="str">
        <f aca="false">IF(AND(OR('Choix pédagogiques'!$C$3=1,'Choix pédagogiques'!$C$3=2),$BM16=1),B16,IF(AND('Choix pédagogiques'!$C$3=3,$BO16=1),B16,""))</f>
        <v/>
      </c>
      <c r="X16" s="53" t="str">
        <f aca="false">IF(AND(OR('Choix pédagogiques'!$C$3=1,'Choix pédagogiques'!$C$3=2),$BM16=1),C16,IF(AND('Choix pédagogiques'!$C$3=3,$BO16=1),C16,""))</f>
        <v/>
      </c>
      <c r="Y16" s="53" t="str">
        <f aca="false">IF(AND(OR('Choix pédagogiques'!$C$3=1,'Choix pédagogiques'!$C$3=2),$BM16=1),D16,IF(AND('Choix pédagogiques'!$C$3=3,$BO16=1),D16,""))</f>
        <v/>
      </c>
      <c r="Z16" s="53" t="str">
        <f aca="false">IF($E16&lt;&gt;"",$E16,"")</f>
        <v/>
      </c>
      <c r="AA16" s="52" t="n">
        <f aca="false">IF($F16&lt;&gt;"",$F16,"")</f>
        <v>1669</v>
      </c>
      <c r="AB16" s="53" t="n">
        <f aca="false">IF(AND(OR('Choix pédagogiques'!$C$3=1,'Choix pédagogiques'!$C$3=2),$BN16=1),G16,IF(AND('Choix pédagogiques'!$C$3=3,$BO16=1),G16,""))</f>
        <v>1</v>
      </c>
      <c r="AC16" s="53" t="n">
        <f aca="false">IF(AND(OR('Choix pédagogiques'!$C$3=1,'Choix pédagogiques'!$C$3=2),$BN16=1),H16,IF(AND('Choix pédagogiques'!$C$3=3,$BO16=1),H16,""))</f>
        <v>14</v>
      </c>
      <c r="AD16" s="53" t="n">
        <f aca="false">IF(AND(OR('Choix pédagogiques'!$C$3=1,'Choix pédagogiques'!$C$3=2),$BN16=1),I16,IF(AND('Choix pédagogiques'!$C$3=3,$BO16=1),I16,""))</f>
        <v>15</v>
      </c>
      <c r="AE16" s="53" t="str">
        <f aca="false">IF($J16&lt;&gt;"",$J16,"")</f>
        <v/>
      </c>
      <c r="AF16" s="52" t="n">
        <f aca="false">IF($A16&lt;&gt;"",$A16,"")</f>
        <v>747</v>
      </c>
      <c r="AG16" s="53" t="str">
        <f aca="false">IF(AND($W16&lt;&gt;"",$X16&lt;&gt;""),$X16-$W16,"")</f>
        <v/>
      </c>
      <c r="AH16" s="53" t="str">
        <f aca="false">IF(AND($W16&lt;&gt;"",$Y16&lt;&gt;""),$Y16-$W16,"")</f>
        <v/>
      </c>
      <c r="AI16" s="53" t="str">
        <f aca="false">IF(AND($X16&lt;&gt;"",$Y16&lt;&gt;""),$Y16-$X16,"")</f>
        <v/>
      </c>
      <c r="AJ16" s="53" t="str">
        <f aca="false">IF($E16&lt;&gt;"",$E16,"")</f>
        <v/>
      </c>
      <c r="AK16" s="52" t="n">
        <f aca="false">IF($F16&lt;&gt;"",$F16,"")</f>
        <v>1669</v>
      </c>
      <c r="AL16" s="53" t="n">
        <f aca="false">IF(AND($AB16&lt;&gt;"",$AC16&lt;&gt;""),$AC16-$AB16,"")</f>
        <v>13</v>
      </c>
      <c r="AM16" s="53" t="n">
        <f aca="false">IF(AND($AB16&lt;&gt;"",$AD16&lt;&gt;""),$AD16-$AB16,"")</f>
        <v>14</v>
      </c>
      <c r="AN16" s="53" t="n">
        <f aca="false">IF(AND($AC16&lt;&gt;"",$AD16&lt;&gt;""),$AD16-$AC16,"")</f>
        <v>1</v>
      </c>
      <c r="AO16" s="53" t="str">
        <f aca="false">IF($J16&lt;&gt;"",$J16,"")</f>
        <v/>
      </c>
      <c r="AQ16" s="52" t="n">
        <f aca="false">IF($A16&lt;&gt;"",$A16,"")</f>
        <v>747</v>
      </c>
      <c r="AR16" s="55" t="str">
        <f aca="false">IF(AND('Choix pédagogiques'!$C$4&lt;&gt;"?",'Choix pédagogiques'!$C$5&lt;&gt;"?",W16&lt;&gt;""),(W16-'Choix pédagogiques'!$C$4)/('Choix pédagogiques'!$C$5-'Choix pédagogiques'!$C$4),"")</f>
        <v/>
      </c>
      <c r="AS16" s="55" t="str">
        <f aca="false">IF(AND('Choix pédagogiques'!$C$4&lt;&gt;"?",'Choix pédagogiques'!$C$5&lt;&gt;"?",X16&lt;&gt;""),(X16-'Choix pédagogiques'!$C$4)/('Choix pédagogiques'!$C$5-'Choix pédagogiques'!$C$4),"")</f>
        <v/>
      </c>
      <c r="AT16" s="55" t="str">
        <f aca="false">IF(AND('Choix pédagogiques'!$C$4&lt;&gt;"?",'Choix pédagogiques'!$C$5&lt;&gt;"?",Y16&lt;&gt;""),(Y16-'Choix pédagogiques'!$C$4)/('Choix pédagogiques'!$C$5-'Choix pédagogiques'!$C$4),"")</f>
        <v/>
      </c>
      <c r="AU16" s="53" t="str">
        <f aca="false">IF($E16&lt;&gt;"",$E16,"")</f>
        <v/>
      </c>
      <c r="AV16" s="52" t="n">
        <f aca="false">IF($F16&lt;&gt;"",$F16,"")</f>
        <v>1669</v>
      </c>
      <c r="AW16" s="55" t="n">
        <f aca="false">IF(AND('Choix pédagogiques'!$C$4&lt;&gt;"?",'Choix pédagogiques'!$C$5&lt;&gt;"?",AB16&lt;&gt;""),(AB16-'Choix pédagogiques'!$C$4)/('Choix pédagogiques'!$C$5-'Choix pédagogiques'!$C$4),"")</f>
        <v>0.05</v>
      </c>
      <c r="AX16" s="55" t="n">
        <f aca="false">IF(AND('Choix pédagogiques'!$C$4&lt;&gt;"?",'Choix pédagogiques'!$C$5&lt;&gt;"?",AC16&lt;&gt;""),(AC16-'Choix pédagogiques'!$C$4)/('Choix pédagogiques'!$C$5-'Choix pédagogiques'!$C$4),"")</f>
        <v>0.7</v>
      </c>
      <c r="AY16" s="55" t="n">
        <f aca="false">IF(AND('Choix pédagogiques'!$C$4&lt;&gt;"?",'Choix pédagogiques'!$C$5&lt;&gt;"?",AD16&lt;&gt;""),(AD16-'Choix pédagogiques'!$C$4)/('Choix pédagogiques'!$C$5-'Choix pédagogiques'!$C$4),"")</f>
        <v>0.75</v>
      </c>
      <c r="AZ16" s="53" t="str">
        <f aca="false">IF($J16&lt;&gt;"",$J16,"")</f>
        <v/>
      </c>
      <c r="BA16" s="52" t="n">
        <f aca="false">IF($A16&lt;&gt;"",$A16,"")</f>
        <v>747</v>
      </c>
      <c r="BB16" s="55" t="str">
        <f aca="false">IF(AND($AR16&lt;&gt;"",$AS16&lt;&gt;""),$AS16-$AR16,"")</f>
        <v/>
      </c>
      <c r="BC16" s="55" t="str">
        <f aca="false">IF(AND($AR16&lt;&gt;"",$AT16&lt;&gt;""),$AT16-$AR16,"")</f>
        <v/>
      </c>
      <c r="BD16" s="55" t="str">
        <f aca="false">IF(AND($AS16&lt;&gt;"",$AT16&lt;&gt;""),$AT16-$AS16,"")</f>
        <v/>
      </c>
      <c r="BE16" s="53" t="str">
        <f aca="false">IF($E16&lt;&gt;"",$E16,"")</f>
        <v/>
      </c>
      <c r="BF16" s="52" t="n">
        <f aca="false">IF($F16&lt;&gt;"",$F16,"")</f>
        <v>1669</v>
      </c>
      <c r="BG16" s="55" t="n">
        <f aca="false">IF(AND($AW16&lt;&gt;"",$AX16&lt;&gt;""),$AX16-$AW16,"")</f>
        <v>0.65</v>
      </c>
      <c r="BH16" s="55" t="n">
        <f aca="false">IF(AND($AW16&lt;&gt;"",$AY16&lt;&gt;""),$AY16-$AW16,"")</f>
        <v>0.7</v>
      </c>
      <c r="BI16" s="55" t="n">
        <f aca="false">IF(AND($AX16&lt;&gt;"",$AY16&lt;&gt;""),$AY16-$AX16,"")</f>
        <v>0.05</v>
      </c>
      <c r="BJ16" s="53" t="str">
        <f aca="false">IF($J16&lt;&gt;"",$J16,"")</f>
        <v/>
      </c>
      <c r="BL16" s="52"/>
      <c r="BM16" s="52" t="n">
        <f aca="false">IF(OR(COUNT(B16:D1015)=0,AND('Choix pédagogiques'!$C$3&lt;&gt;1,'Choix pédagogiques'!$C$3&lt;&gt;2)),"",IF(AND(OR('Choix pédagogiques'!$C$3=1,'Choix pédagogiques'!$C$3=2),$B16&lt;&gt;"",$C16&lt;&gt;"",$D16&lt;&gt;""),1,0))</f>
        <v>0</v>
      </c>
      <c r="BN16" s="52" t="n">
        <f aca="false">IF(OR(COUNT(G16:I1015)=0,AND('Choix pédagogiques'!$C$3&lt;&gt;1,'Choix pédagogiques'!$C$3&lt;&gt;2)),"",IF(AND(OR('Choix pédagogiques'!$C$3=1,'Choix pédagogiques'!$C$3=2),AND($G16&lt;&gt;"",$H16&lt;&gt;"",$I16&lt;&gt;"")),1,0))</f>
        <v>1</v>
      </c>
      <c r="BO16" s="52" t="str">
        <f aca="false">IF(OR(COUNT(B16:D1015)=0,COUNT(G16:I1015)=0,'Choix pédagogiques'!C$3&lt;&gt;3),"",IF(AND('Choix pédagogiques'!$C$3=3,$B16&lt;&gt;"",$C16&lt;&gt;"",$D16&lt;&gt;"",$G16&lt;&gt;"",$H16&lt;&gt;"",$I16&lt;&gt;""),1,0))</f>
        <v/>
      </c>
      <c r="BR16" s="52" t="n">
        <v>747</v>
      </c>
      <c r="BS16" s="52" t="n">
        <v>1669</v>
      </c>
    </row>
    <row r="17" s="54" customFormat="true" ht="18" hidden="false" customHeight="true" outlineLevel="0" collapsed="false">
      <c r="A17" s="49" t="n">
        <v>998</v>
      </c>
      <c r="B17" s="50" t="n">
        <v>3</v>
      </c>
      <c r="C17" s="50" t="n">
        <v>13</v>
      </c>
      <c r="D17" s="50" t="n">
        <v>11</v>
      </c>
      <c r="E17" s="56" t="s">
        <v>42</v>
      </c>
      <c r="F17" s="49" t="n">
        <v>1374</v>
      </c>
      <c r="G17" s="50" t="n">
        <v>3</v>
      </c>
      <c r="H17" s="50" t="n">
        <v>15</v>
      </c>
      <c r="I17" s="50" t="n">
        <v>15</v>
      </c>
      <c r="J17" s="51"/>
      <c r="K17" s="52" t="n">
        <f aca="false">IF($A17&lt;&gt;"",$A17,"")</f>
        <v>998</v>
      </c>
      <c r="L17" s="53" t="n">
        <f aca="false">IF(AND($B17&lt;&gt;"",$C17&lt;&gt;""),$C17-$B17,"")</f>
        <v>10</v>
      </c>
      <c r="M17" s="53" t="n">
        <f aca="false">IF(AND($B17&lt;&gt;"",$D17&lt;&gt;""),$D17-$B17,"")</f>
        <v>8</v>
      </c>
      <c r="N17" s="53" t="n">
        <f aca="false">IF(AND($C17&lt;&gt;"",$D17&lt;&gt;""),$D17-$C17,"")</f>
        <v>-2</v>
      </c>
      <c r="O17" s="53" t="str">
        <f aca="false">IF($E17&lt;&gt;"",$E17,"")</f>
        <v>Dyslexique</v>
      </c>
      <c r="P17" s="52" t="n">
        <f aca="false">IF($F17&lt;&gt;"",$F17,"")</f>
        <v>1374</v>
      </c>
      <c r="Q17" s="53" t="n">
        <f aca="false">IF(AND($G17&lt;&gt;"",$H17&lt;&gt;""),$H17-$G17,"")</f>
        <v>12</v>
      </c>
      <c r="R17" s="53" t="n">
        <f aca="false">IF(AND($G17&lt;&gt;"",$I17&lt;&gt;""),$I17-$G17,"")</f>
        <v>12</v>
      </c>
      <c r="S17" s="53" t="n">
        <f aca="false">IF(AND($H17&lt;&gt;"",$I17&lt;&gt;""),$I17-$H17,"")</f>
        <v>0</v>
      </c>
      <c r="T17" s="53" t="str">
        <f aca="false">IF($J17&lt;&gt;"",$J17,"")</f>
        <v/>
      </c>
      <c r="V17" s="52" t="n">
        <f aca="false">IF($A17&lt;&gt;"",$A17,"")</f>
        <v>998</v>
      </c>
      <c r="W17" s="53" t="n">
        <f aca="false">IF(AND(OR('Choix pédagogiques'!$C$3=1,'Choix pédagogiques'!$C$3=2),$BM17=1),B17,IF(AND('Choix pédagogiques'!$C$3=3,$BO17=1),B17,""))</f>
        <v>3</v>
      </c>
      <c r="X17" s="53" t="n">
        <f aca="false">IF(AND(OR('Choix pédagogiques'!$C$3=1,'Choix pédagogiques'!$C$3=2),$BM17=1),C17,IF(AND('Choix pédagogiques'!$C$3=3,$BO17=1),C17,""))</f>
        <v>13</v>
      </c>
      <c r="Y17" s="53" t="n">
        <f aca="false">IF(AND(OR('Choix pédagogiques'!$C$3=1,'Choix pédagogiques'!$C$3=2),$BM17=1),D17,IF(AND('Choix pédagogiques'!$C$3=3,$BO17=1),D17,""))</f>
        <v>11</v>
      </c>
      <c r="Z17" s="53" t="str">
        <f aca="false">IF($E17&lt;&gt;"",$E17,"")</f>
        <v>Dyslexique</v>
      </c>
      <c r="AA17" s="52" t="n">
        <f aca="false">IF($F17&lt;&gt;"",$F17,"")</f>
        <v>1374</v>
      </c>
      <c r="AB17" s="53" t="n">
        <f aca="false">IF(AND(OR('Choix pédagogiques'!$C$3=1,'Choix pédagogiques'!$C$3=2),$BN17=1),G17,IF(AND('Choix pédagogiques'!$C$3=3,$BO17=1),G17,""))</f>
        <v>3</v>
      </c>
      <c r="AC17" s="53" t="n">
        <f aca="false">IF(AND(OR('Choix pédagogiques'!$C$3=1,'Choix pédagogiques'!$C$3=2),$BN17=1),H17,IF(AND('Choix pédagogiques'!$C$3=3,$BO17=1),H17,""))</f>
        <v>15</v>
      </c>
      <c r="AD17" s="53" t="n">
        <f aca="false">IF(AND(OR('Choix pédagogiques'!$C$3=1,'Choix pédagogiques'!$C$3=2),$BN17=1),I17,IF(AND('Choix pédagogiques'!$C$3=3,$BO17=1),I17,""))</f>
        <v>15</v>
      </c>
      <c r="AE17" s="53" t="str">
        <f aca="false">IF($J17&lt;&gt;"",$J17,"")</f>
        <v/>
      </c>
      <c r="AF17" s="52" t="n">
        <f aca="false">IF($A17&lt;&gt;"",$A17,"")</f>
        <v>998</v>
      </c>
      <c r="AG17" s="53" t="n">
        <f aca="false">IF(AND($W17&lt;&gt;"",$X17&lt;&gt;""),$X17-$W17,"")</f>
        <v>10</v>
      </c>
      <c r="AH17" s="53" t="n">
        <f aca="false">IF(AND($W17&lt;&gt;"",$Y17&lt;&gt;""),$Y17-$W17,"")</f>
        <v>8</v>
      </c>
      <c r="AI17" s="53" t="n">
        <f aca="false">IF(AND($X17&lt;&gt;"",$Y17&lt;&gt;""),$Y17-$X17,"")</f>
        <v>-2</v>
      </c>
      <c r="AJ17" s="53" t="str">
        <f aca="false">IF($E17&lt;&gt;"",$E17,"")</f>
        <v>Dyslexique</v>
      </c>
      <c r="AK17" s="52" t="n">
        <f aca="false">IF($F17&lt;&gt;"",$F17,"")</f>
        <v>1374</v>
      </c>
      <c r="AL17" s="53" t="n">
        <f aca="false">IF(AND($AB17&lt;&gt;"",$AC17&lt;&gt;""),$AC17-$AB17,"")</f>
        <v>12</v>
      </c>
      <c r="AM17" s="53" t="n">
        <f aca="false">IF(AND($AB17&lt;&gt;"",$AD17&lt;&gt;""),$AD17-$AB17,"")</f>
        <v>12</v>
      </c>
      <c r="AN17" s="53" t="n">
        <f aca="false">IF(AND($AC17&lt;&gt;"",$AD17&lt;&gt;""),$AD17-$AC17,"")</f>
        <v>0</v>
      </c>
      <c r="AO17" s="53" t="str">
        <f aca="false">IF($J17&lt;&gt;"",$J17,"")</f>
        <v/>
      </c>
      <c r="AQ17" s="52" t="n">
        <f aca="false">IF($A17&lt;&gt;"",$A17,"")</f>
        <v>998</v>
      </c>
      <c r="AR17" s="55" t="n">
        <f aca="false">IF(AND('Choix pédagogiques'!$C$4&lt;&gt;"?",'Choix pédagogiques'!$C$5&lt;&gt;"?",W17&lt;&gt;""),(W17-'Choix pédagogiques'!$C$4)/('Choix pédagogiques'!$C$5-'Choix pédagogiques'!$C$4),"")</f>
        <v>0.15</v>
      </c>
      <c r="AS17" s="55" t="n">
        <f aca="false">IF(AND('Choix pédagogiques'!$C$4&lt;&gt;"?",'Choix pédagogiques'!$C$5&lt;&gt;"?",X17&lt;&gt;""),(X17-'Choix pédagogiques'!$C$4)/('Choix pédagogiques'!$C$5-'Choix pédagogiques'!$C$4),"")</f>
        <v>0.65</v>
      </c>
      <c r="AT17" s="55" t="n">
        <f aca="false">IF(AND('Choix pédagogiques'!$C$4&lt;&gt;"?",'Choix pédagogiques'!$C$5&lt;&gt;"?",Y17&lt;&gt;""),(Y17-'Choix pédagogiques'!$C$4)/('Choix pédagogiques'!$C$5-'Choix pédagogiques'!$C$4),"")</f>
        <v>0.55</v>
      </c>
      <c r="AU17" s="53" t="str">
        <f aca="false">IF($E17&lt;&gt;"",$E17,"")</f>
        <v>Dyslexique</v>
      </c>
      <c r="AV17" s="52" t="n">
        <f aca="false">IF($F17&lt;&gt;"",$F17,"")</f>
        <v>1374</v>
      </c>
      <c r="AW17" s="55" t="n">
        <f aca="false">IF(AND('Choix pédagogiques'!$C$4&lt;&gt;"?",'Choix pédagogiques'!$C$5&lt;&gt;"?",AB17&lt;&gt;""),(AB17-'Choix pédagogiques'!$C$4)/('Choix pédagogiques'!$C$5-'Choix pédagogiques'!$C$4),"")</f>
        <v>0.15</v>
      </c>
      <c r="AX17" s="55" t="n">
        <f aca="false">IF(AND('Choix pédagogiques'!$C$4&lt;&gt;"?",'Choix pédagogiques'!$C$5&lt;&gt;"?",AC17&lt;&gt;""),(AC17-'Choix pédagogiques'!$C$4)/('Choix pédagogiques'!$C$5-'Choix pédagogiques'!$C$4),"")</f>
        <v>0.75</v>
      </c>
      <c r="AY17" s="55" t="n">
        <f aca="false">IF(AND('Choix pédagogiques'!$C$4&lt;&gt;"?",'Choix pédagogiques'!$C$5&lt;&gt;"?",AD17&lt;&gt;""),(AD17-'Choix pédagogiques'!$C$4)/('Choix pédagogiques'!$C$5-'Choix pédagogiques'!$C$4),"")</f>
        <v>0.75</v>
      </c>
      <c r="AZ17" s="53" t="str">
        <f aca="false">IF($J17&lt;&gt;"",$J17,"")</f>
        <v/>
      </c>
      <c r="BA17" s="52" t="n">
        <f aca="false">IF($A17&lt;&gt;"",$A17,"")</f>
        <v>998</v>
      </c>
      <c r="BB17" s="55" t="n">
        <f aca="false">IF(AND($AR17&lt;&gt;"",$AS17&lt;&gt;""),$AS17-$AR17,"")</f>
        <v>0.5</v>
      </c>
      <c r="BC17" s="55" t="n">
        <f aca="false">IF(AND($AR17&lt;&gt;"",$AT17&lt;&gt;""),$AT17-$AR17,"")</f>
        <v>0.4</v>
      </c>
      <c r="BD17" s="55" t="n">
        <f aca="false">IF(AND($AS17&lt;&gt;"",$AT17&lt;&gt;""),$AT17-$AS17,"")</f>
        <v>-0.1</v>
      </c>
      <c r="BE17" s="53" t="str">
        <f aca="false">IF($E17&lt;&gt;"",$E17,"")</f>
        <v>Dyslexique</v>
      </c>
      <c r="BF17" s="52" t="n">
        <f aca="false">IF($F17&lt;&gt;"",$F17,"")</f>
        <v>1374</v>
      </c>
      <c r="BG17" s="55" t="n">
        <f aca="false">IF(AND($AW17&lt;&gt;"",$AX17&lt;&gt;""),$AX17-$AW17,"")</f>
        <v>0.6</v>
      </c>
      <c r="BH17" s="55" t="n">
        <f aca="false">IF(AND($AW17&lt;&gt;"",$AY17&lt;&gt;""),$AY17-$AW17,"")</f>
        <v>0.6</v>
      </c>
      <c r="BI17" s="55" t="n">
        <f aca="false">IF(AND($AX17&lt;&gt;"",$AY17&lt;&gt;""),$AY17-$AX17,"")</f>
        <v>0</v>
      </c>
      <c r="BJ17" s="53" t="str">
        <f aca="false">IF($J17&lt;&gt;"",$J17,"")</f>
        <v/>
      </c>
      <c r="BL17" s="52"/>
      <c r="BM17" s="52" t="n">
        <f aca="false">IF(OR(COUNT(B17:D1016)=0,AND('Choix pédagogiques'!$C$3&lt;&gt;1,'Choix pédagogiques'!$C$3&lt;&gt;2)),"",IF(AND(OR('Choix pédagogiques'!$C$3=1,'Choix pédagogiques'!$C$3=2),$B17&lt;&gt;"",$C17&lt;&gt;"",$D17&lt;&gt;""),1,0))</f>
        <v>1</v>
      </c>
      <c r="BN17" s="52" t="n">
        <f aca="false">IF(OR(COUNT(G17:I1016)=0,AND('Choix pédagogiques'!$C$3&lt;&gt;1,'Choix pédagogiques'!$C$3&lt;&gt;2)),"",IF(AND(OR('Choix pédagogiques'!$C$3=1,'Choix pédagogiques'!$C$3=2),AND($G17&lt;&gt;"",$H17&lt;&gt;"",$I17&lt;&gt;"")),1,0))</f>
        <v>1</v>
      </c>
      <c r="BO17" s="52" t="str">
        <f aca="false">IF(OR(COUNT(B17:D1016)=0,COUNT(G17:I1016)=0,'Choix pédagogiques'!C$3&lt;&gt;3),"",IF(AND('Choix pédagogiques'!$C$3=3,$B17&lt;&gt;"",$C17&lt;&gt;"",$D17&lt;&gt;"",$G17&lt;&gt;"",$H17&lt;&gt;"",$I17&lt;&gt;""),1,0))</f>
        <v/>
      </c>
      <c r="BR17" s="52" t="n">
        <v>998</v>
      </c>
      <c r="BS17" s="52" t="n">
        <v>1374</v>
      </c>
    </row>
    <row r="18" s="54" customFormat="true" ht="18" hidden="false" customHeight="true" outlineLevel="0" collapsed="false">
      <c r="A18" s="49" t="n">
        <v>566</v>
      </c>
      <c r="B18" s="50" t="n">
        <v>6</v>
      </c>
      <c r="C18" s="50" t="n">
        <v>15</v>
      </c>
      <c r="D18" s="50" t="n">
        <v>11</v>
      </c>
      <c r="E18" s="51"/>
      <c r="F18" s="49" t="n">
        <v>1041</v>
      </c>
      <c r="G18" s="50" t="n">
        <v>4</v>
      </c>
      <c r="H18" s="50" t="n">
        <v>16</v>
      </c>
      <c r="I18" s="50" t="n">
        <v>17</v>
      </c>
      <c r="J18" s="51"/>
      <c r="K18" s="52" t="n">
        <f aca="false">IF($A18&lt;&gt;"",$A18,"")</f>
        <v>566</v>
      </c>
      <c r="L18" s="53" t="n">
        <f aca="false">IF(AND($B18&lt;&gt;"",$C18&lt;&gt;""),$C18-$B18,"")</f>
        <v>9</v>
      </c>
      <c r="M18" s="53" t="n">
        <f aca="false">IF(AND($B18&lt;&gt;"",$D18&lt;&gt;""),$D18-$B18,"")</f>
        <v>5</v>
      </c>
      <c r="N18" s="53" t="n">
        <f aca="false">IF(AND($C18&lt;&gt;"",$D18&lt;&gt;""),$D18-$C18,"")</f>
        <v>-4</v>
      </c>
      <c r="O18" s="53" t="str">
        <f aca="false">IF($E18&lt;&gt;"",$E18,"")</f>
        <v/>
      </c>
      <c r="P18" s="52" t="n">
        <f aca="false">IF($F18&lt;&gt;"",$F18,"")</f>
        <v>1041</v>
      </c>
      <c r="Q18" s="53" t="n">
        <f aca="false">IF(AND($G18&lt;&gt;"",$H18&lt;&gt;""),$H18-$G18,"")</f>
        <v>12</v>
      </c>
      <c r="R18" s="53" t="n">
        <f aca="false">IF(AND($G18&lt;&gt;"",$I18&lt;&gt;""),$I18-$G18,"")</f>
        <v>13</v>
      </c>
      <c r="S18" s="53" t="n">
        <f aca="false">IF(AND($H18&lt;&gt;"",$I18&lt;&gt;""),$I18-$H18,"")</f>
        <v>1</v>
      </c>
      <c r="T18" s="53" t="str">
        <f aca="false">IF($J18&lt;&gt;"",$J18,"")</f>
        <v/>
      </c>
      <c r="V18" s="52" t="n">
        <f aca="false">IF($A18&lt;&gt;"",$A18,"")</f>
        <v>566</v>
      </c>
      <c r="W18" s="53" t="n">
        <f aca="false">IF(AND(OR('Choix pédagogiques'!$C$3=1,'Choix pédagogiques'!$C$3=2),$BM18=1),B18,IF(AND('Choix pédagogiques'!$C$3=3,$BO18=1),B18,""))</f>
        <v>6</v>
      </c>
      <c r="X18" s="53" t="n">
        <f aca="false">IF(AND(OR('Choix pédagogiques'!$C$3=1,'Choix pédagogiques'!$C$3=2),$BM18=1),C18,IF(AND('Choix pédagogiques'!$C$3=3,$BO18=1),C18,""))</f>
        <v>15</v>
      </c>
      <c r="Y18" s="53" t="n">
        <f aca="false">IF(AND(OR('Choix pédagogiques'!$C$3=1,'Choix pédagogiques'!$C$3=2),$BM18=1),D18,IF(AND('Choix pédagogiques'!$C$3=3,$BO18=1),D18,""))</f>
        <v>11</v>
      </c>
      <c r="Z18" s="53" t="str">
        <f aca="false">IF($E18&lt;&gt;"",$E18,"")</f>
        <v/>
      </c>
      <c r="AA18" s="52" t="n">
        <f aca="false">IF($F18&lt;&gt;"",$F18,"")</f>
        <v>1041</v>
      </c>
      <c r="AB18" s="53" t="n">
        <f aca="false">IF(AND(OR('Choix pédagogiques'!$C$3=1,'Choix pédagogiques'!$C$3=2),$BN18=1),G18,IF(AND('Choix pédagogiques'!$C$3=3,$BO18=1),G18,""))</f>
        <v>4</v>
      </c>
      <c r="AC18" s="53" t="n">
        <f aca="false">IF(AND(OR('Choix pédagogiques'!$C$3=1,'Choix pédagogiques'!$C$3=2),$BN18=1),H18,IF(AND('Choix pédagogiques'!$C$3=3,$BO18=1),H18,""))</f>
        <v>16</v>
      </c>
      <c r="AD18" s="53" t="n">
        <f aca="false">IF(AND(OR('Choix pédagogiques'!$C$3=1,'Choix pédagogiques'!$C$3=2),$BN18=1),I18,IF(AND('Choix pédagogiques'!$C$3=3,$BO18=1),I18,""))</f>
        <v>17</v>
      </c>
      <c r="AE18" s="53" t="str">
        <f aca="false">IF($J18&lt;&gt;"",$J18,"")</f>
        <v/>
      </c>
      <c r="AF18" s="52" t="n">
        <f aca="false">IF($A18&lt;&gt;"",$A18,"")</f>
        <v>566</v>
      </c>
      <c r="AG18" s="53" t="n">
        <f aca="false">IF(AND($W18&lt;&gt;"",$X18&lt;&gt;""),$X18-$W18,"")</f>
        <v>9</v>
      </c>
      <c r="AH18" s="53" t="n">
        <f aca="false">IF(AND($W18&lt;&gt;"",$Y18&lt;&gt;""),$Y18-$W18,"")</f>
        <v>5</v>
      </c>
      <c r="AI18" s="53" t="n">
        <f aca="false">IF(AND($X18&lt;&gt;"",$Y18&lt;&gt;""),$Y18-$X18,"")</f>
        <v>-4</v>
      </c>
      <c r="AJ18" s="53" t="str">
        <f aca="false">IF($E18&lt;&gt;"",$E18,"")</f>
        <v/>
      </c>
      <c r="AK18" s="52" t="n">
        <f aca="false">IF($F18&lt;&gt;"",$F18,"")</f>
        <v>1041</v>
      </c>
      <c r="AL18" s="53" t="n">
        <f aca="false">IF(AND($AB18&lt;&gt;"",$AC18&lt;&gt;""),$AC18-$AB18,"")</f>
        <v>12</v>
      </c>
      <c r="AM18" s="53" t="n">
        <f aca="false">IF(AND($AB18&lt;&gt;"",$AD18&lt;&gt;""),$AD18-$AB18,"")</f>
        <v>13</v>
      </c>
      <c r="AN18" s="53" t="n">
        <f aca="false">IF(AND($AC18&lt;&gt;"",$AD18&lt;&gt;""),$AD18-$AC18,"")</f>
        <v>1</v>
      </c>
      <c r="AO18" s="53" t="str">
        <f aca="false">IF($J18&lt;&gt;"",$J18,"")</f>
        <v/>
      </c>
      <c r="AQ18" s="52" t="n">
        <f aca="false">IF($A18&lt;&gt;"",$A18,"")</f>
        <v>566</v>
      </c>
      <c r="AR18" s="55" t="n">
        <f aca="false">IF(AND('Choix pédagogiques'!$C$4&lt;&gt;"?",'Choix pédagogiques'!$C$5&lt;&gt;"?",W18&lt;&gt;""),(W18-'Choix pédagogiques'!$C$4)/('Choix pédagogiques'!$C$5-'Choix pédagogiques'!$C$4),"")</f>
        <v>0.3</v>
      </c>
      <c r="AS18" s="55" t="n">
        <f aca="false">IF(AND('Choix pédagogiques'!$C$4&lt;&gt;"?",'Choix pédagogiques'!$C$5&lt;&gt;"?",X18&lt;&gt;""),(X18-'Choix pédagogiques'!$C$4)/('Choix pédagogiques'!$C$5-'Choix pédagogiques'!$C$4),"")</f>
        <v>0.75</v>
      </c>
      <c r="AT18" s="55" t="n">
        <f aca="false">IF(AND('Choix pédagogiques'!$C$4&lt;&gt;"?",'Choix pédagogiques'!$C$5&lt;&gt;"?",Y18&lt;&gt;""),(Y18-'Choix pédagogiques'!$C$4)/('Choix pédagogiques'!$C$5-'Choix pédagogiques'!$C$4),"")</f>
        <v>0.55</v>
      </c>
      <c r="AU18" s="53" t="str">
        <f aca="false">IF($E18&lt;&gt;"",$E18,"")</f>
        <v/>
      </c>
      <c r="AV18" s="52" t="n">
        <f aca="false">IF($F18&lt;&gt;"",$F18,"")</f>
        <v>1041</v>
      </c>
      <c r="AW18" s="55" t="n">
        <f aca="false">IF(AND('Choix pédagogiques'!$C$4&lt;&gt;"?",'Choix pédagogiques'!$C$5&lt;&gt;"?",AB18&lt;&gt;""),(AB18-'Choix pédagogiques'!$C$4)/('Choix pédagogiques'!$C$5-'Choix pédagogiques'!$C$4),"")</f>
        <v>0.2</v>
      </c>
      <c r="AX18" s="55" t="n">
        <f aca="false">IF(AND('Choix pédagogiques'!$C$4&lt;&gt;"?",'Choix pédagogiques'!$C$5&lt;&gt;"?",AC18&lt;&gt;""),(AC18-'Choix pédagogiques'!$C$4)/('Choix pédagogiques'!$C$5-'Choix pédagogiques'!$C$4),"")</f>
        <v>0.8</v>
      </c>
      <c r="AY18" s="55" t="n">
        <f aca="false">IF(AND('Choix pédagogiques'!$C$4&lt;&gt;"?",'Choix pédagogiques'!$C$5&lt;&gt;"?",AD18&lt;&gt;""),(AD18-'Choix pédagogiques'!$C$4)/('Choix pédagogiques'!$C$5-'Choix pédagogiques'!$C$4),"")</f>
        <v>0.85</v>
      </c>
      <c r="AZ18" s="53" t="str">
        <f aca="false">IF($J18&lt;&gt;"",$J18,"")</f>
        <v/>
      </c>
      <c r="BA18" s="52" t="n">
        <f aca="false">IF($A18&lt;&gt;"",$A18,"")</f>
        <v>566</v>
      </c>
      <c r="BB18" s="55" t="n">
        <f aca="false">IF(AND($AR18&lt;&gt;"",$AS18&lt;&gt;""),$AS18-$AR18,"")</f>
        <v>0.45</v>
      </c>
      <c r="BC18" s="55" t="n">
        <f aca="false">IF(AND($AR18&lt;&gt;"",$AT18&lt;&gt;""),$AT18-$AR18,"")</f>
        <v>0.25</v>
      </c>
      <c r="BD18" s="55" t="n">
        <f aca="false">IF(AND($AS18&lt;&gt;"",$AT18&lt;&gt;""),$AT18-$AS18,"")</f>
        <v>-0.2</v>
      </c>
      <c r="BE18" s="53" t="str">
        <f aca="false">IF($E18&lt;&gt;"",$E18,"")</f>
        <v/>
      </c>
      <c r="BF18" s="52" t="n">
        <f aca="false">IF($F18&lt;&gt;"",$F18,"")</f>
        <v>1041</v>
      </c>
      <c r="BG18" s="55" t="n">
        <f aca="false">IF(AND($AW18&lt;&gt;"",$AX18&lt;&gt;""),$AX18-$AW18,"")</f>
        <v>0.6</v>
      </c>
      <c r="BH18" s="55" t="n">
        <f aca="false">IF(AND($AW18&lt;&gt;"",$AY18&lt;&gt;""),$AY18-$AW18,"")</f>
        <v>0.65</v>
      </c>
      <c r="BI18" s="55" t="n">
        <f aca="false">IF(AND($AX18&lt;&gt;"",$AY18&lt;&gt;""),$AY18-$AX18,"")</f>
        <v>0.0499999999999999</v>
      </c>
      <c r="BJ18" s="53" t="str">
        <f aca="false">IF($J18&lt;&gt;"",$J18,"")</f>
        <v/>
      </c>
      <c r="BL18" s="52"/>
      <c r="BM18" s="52" t="n">
        <f aca="false">IF(OR(COUNT(B18:D1017)=0,AND('Choix pédagogiques'!$C$3&lt;&gt;1,'Choix pédagogiques'!$C$3&lt;&gt;2)),"",IF(AND(OR('Choix pédagogiques'!$C$3=1,'Choix pédagogiques'!$C$3=2),$B18&lt;&gt;"",$C18&lt;&gt;"",$D18&lt;&gt;""),1,0))</f>
        <v>1</v>
      </c>
      <c r="BN18" s="52" t="n">
        <f aca="false">IF(OR(COUNT(G18:I1017)=0,AND('Choix pédagogiques'!$C$3&lt;&gt;1,'Choix pédagogiques'!$C$3&lt;&gt;2)),"",IF(AND(OR('Choix pédagogiques'!$C$3=1,'Choix pédagogiques'!$C$3=2),AND($G18&lt;&gt;"",$H18&lt;&gt;"",$I18&lt;&gt;"")),1,0))</f>
        <v>1</v>
      </c>
      <c r="BO18" s="52" t="str">
        <f aca="false">IF(OR(COUNT(B18:D1017)=0,COUNT(G18:I1017)=0,'Choix pédagogiques'!C$3&lt;&gt;3),"",IF(AND('Choix pédagogiques'!$C$3=3,$B18&lt;&gt;"",$C18&lt;&gt;"",$D18&lt;&gt;"",$G18&lt;&gt;"",$H18&lt;&gt;"",$I18&lt;&gt;""),1,0))</f>
        <v/>
      </c>
      <c r="BR18" s="52" t="n">
        <v>566</v>
      </c>
      <c r="BS18" s="52" t="n">
        <v>1041</v>
      </c>
    </row>
    <row r="19" s="54" customFormat="true" ht="18" hidden="false" customHeight="true" outlineLevel="0" collapsed="false">
      <c r="A19" s="49" t="n">
        <v>73</v>
      </c>
      <c r="B19" s="50" t="n">
        <v>1</v>
      </c>
      <c r="C19" s="50" t="n">
        <v>3</v>
      </c>
      <c r="D19" s="50" t="n">
        <v>7</v>
      </c>
      <c r="E19" s="51"/>
      <c r="F19" s="49" t="n">
        <v>1579</v>
      </c>
      <c r="G19" s="50" t="n">
        <v>5</v>
      </c>
      <c r="H19" s="50" t="n">
        <v>13</v>
      </c>
      <c r="I19" s="50" t="n">
        <v>13</v>
      </c>
      <c r="J19" s="51"/>
      <c r="K19" s="52" t="n">
        <f aca="false">IF($A19&lt;&gt;"",$A19,"")</f>
        <v>73</v>
      </c>
      <c r="L19" s="53" t="n">
        <f aca="false">IF(AND($B19&lt;&gt;"",$C19&lt;&gt;""),$C19-$B19,"")</f>
        <v>2</v>
      </c>
      <c r="M19" s="53" t="n">
        <f aca="false">IF(AND($B19&lt;&gt;"",$D19&lt;&gt;""),$D19-$B19,"")</f>
        <v>6</v>
      </c>
      <c r="N19" s="53" t="n">
        <f aca="false">IF(AND($C19&lt;&gt;"",$D19&lt;&gt;""),$D19-$C19,"")</f>
        <v>4</v>
      </c>
      <c r="O19" s="53" t="str">
        <f aca="false">IF($E19&lt;&gt;"",$E19,"")</f>
        <v/>
      </c>
      <c r="P19" s="52" t="n">
        <f aca="false">IF($F19&lt;&gt;"",$F19,"")</f>
        <v>1579</v>
      </c>
      <c r="Q19" s="53" t="n">
        <f aca="false">IF(AND($G19&lt;&gt;"",$H19&lt;&gt;""),$H19-$G19,"")</f>
        <v>8</v>
      </c>
      <c r="R19" s="53" t="n">
        <f aca="false">IF(AND($G19&lt;&gt;"",$I19&lt;&gt;""),$I19-$G19,"")</f>
        <v>8</v>
      </c>
      <c r="S19" s="53" t="n">
        <f aca="false">IF(AND($H19&lt;&gt;"",$I19&lt;&gt;""),$I19-$H19,"")</f>
        <v>0</v>
      </c>
      <c r="T19" s="53" t="str">
        <f aca="false">IF($J19&lt;&gt;"",$J19,"")</f>
        <v/>
      </c>
      <c r="V19" s="52" t="n">
        <f aca="false">IF($A19&lt;&gt;"",$A19,"")</f>
        <v>73</v>
      </c>
      <c r="W19" s="53" t="n">
        <f aca="false">IF(AND(OR('Choix pédagogiques'!$C$3=1,'Choix pédagogiques'!$C$3=2),$BM19=1),B19,IF(AND('Choix pédagogiques'!$C$3=3,$BO19=1),B19,""))</f>
        <v>1</v>
      </c>
      <c r="X19" s="53" t="n">
        <f aca="false">IF(AND(OR('Choix pédagogiques'!$C$3=1,'Choix pédagogiques'!$C$3=2),$BM19=1),C19,IF(AND('Choix pédagogiques'!$C$3=3,$BO19=1),C19,""))</f>
        <v>3</v>
      </c>
      <c r="Y19" s="53" t="n">
        <f aca="false">IF(AND(OR('Choix pédagogiques'!$C$3=1,'Choix pédagogiques'!$C$3=2),$BM19=1),D19,IF(AND('Choix pédagogiques'!$C$3=3,$BO19=1),D19,""))</f>
        <v>7</v>
      </c>
      <c r="Z19" s="53" t="str">
        <f aca="false">IF($E19&lt;&gt;"",$E19,"")</f>
        <v/>
      </c>
      <c r="AA19" s="52" t="n">
        <f aca="false">IF($F19&lt;&gt;"",$F19,"")</f>
        <v>1579</v>
      </c>
      <c r="AB19" s="53" t="n">
        <f aca="false">IF(AND(OR('Choix pédagogiques'!$C$3=1,'Choix pédagogiques'!$C$3=2),$BN19=1),G19,IF(AND('Choix pédagogiques'!$C$3=3,$BO19=1),G19,""))</f>
        <v>5</v>
      </c>
      <c r="AC19" s="53" t="n">
        <f aca="false">IF(AND(OR('Choix pédagogiques'!$C$3=1,'Choix pédagogiques'!$C$3=2),$BN19=1),H19,IF(AND('Choix pédagogiques'!$C$3=3,$BO19=1),H19,""))</f>
        <v>13</v>
      </c>
      <c r="AD19" s="53" t="n">
        <f aca="false">IF(AND(OR('Choix pédagogiques'!$C$3=1,'Choix pédagogiques'!$C$3=2),$BN19=1),I19,IF(AND('Choix pédagogiques'!$C$3=3,$BO19=1),I19,""))</f>
        <v>13</v>
      </c>
      <c r="AE19" s="53" t="str">
        <f aca="false">IF($J19&lt;&gt;"",$J19,"")</f>
        <v/>
      </c>
      <c r="AF19" s="52" t="n">
        <f aca="false">IF($A19&lt;&gt;"",$A19,"")</f>
        <v>73</v>
      </c>
      <c r="AG19" s="53" t="n">
        <f aca="false">IF(AND($W19&lt;&gt;"",$X19&lt;&gt;""),$X19-$W19,"")</f>
        <v>2</v>
      </c>
      <c r="AH19" s="53" t="n">
        <f aca="false">IF(AND($W19&lt;&gt;"",$Y19&lt;&gt;""),$Y19-$W19,"")</f>
        <v>6</v>
      </c>
      <c r="AI19" s="53" t="n">
        <f aca="false">IF(AND($X19&lt;&gt;"",$Y19&lt;&gt;""),$Y19-$X19,"")</f>
        <v>4</v>
      </c>
      <c r="AJ19" s="53" t="str">
        <f aca="false">IF($E19&lt;&gt;"",$E19,"")</f>
        <v/>
      </c>
      <c r="AK19" s="52" t="n">
        <f aca="false">IF($F19&lt;&gt;"",$F19,"")</f>
        <v>1579</v>
      </c>
      <c r="AL19" s="53" t="n">
        <f aca="false">IF(AND($AB19&lt;&gt;"",$AC19&lt;&gt;""),$AC19-$AB19,"")</f>
        <v>8</v>
      </c>
      <c r="AM19" s="53" t="n">
        <f aca="false">IF(AND($AB19&lt;&gt;"",$AD19&lt;&gt;""),$AD19-$AB19,"")</f>
        <v>8</v>
      </c>
      <c r="AN19" s="53" t="n">
        <f aca="false">IF(AND($AC19&lt;&gt;"",$AD19&lt;&gt;""),$AD19-$AC19,"")</f>
        <v>0</v>
      </c>
      <c r="AO19" s="53" t="str">
        <f aca="false">IF($J19&lt;&gt;"",$J19,"")</f>
        <v/>
      </c>
      <c r="AQ19" s="52" t="n">
        <f aca="false">IF($A19&lt;&gt;"",$A19,"")</f>
        <v>73</v>
      </c>
      <c r="AR19" s="55" t="n">
        <f aca="false">IF(AND('Choix pédagogiques'!$C$4&lt;&gt;"?",'Choix pédagogiques'!$C$5&lt;&gt;"?",W19&lt;&gt;""),(W19-'Choix pédagogiques'!$C$4)/('Choix pédagogiques'!$C$5-'Choix pédagogiques'!$C$4),"")</f>
        <v>0.05</v>
      </c>
      <c r="AS19" s="55" t="n">
        <f aca="false">IF(AND('Choix pédagogiques'!$C$4&lt;&gt;"?",'Choix pédagogiques'!$C$5&lt;&gt;"?",X19&lt;&gt;""),(X19-'Choix pédagogiques'!$C$4)/('Choix pédagogiques'!$C$5-'Choix pédagogiques'!$C$4),"")</f>
        <v>0.15</v>
      </c>
      <c r="AT19" s="55" t="n">
        <f aca="false">IF(AND('Choix pédagogiques'!$C$4&lt;&gt;"?",'Choix pédagogiques'!$C$5&lt;&gt;"?",Y19&lt;&gt;""),(Y19-'Choix pédagogiques'!$C$4)/('Choix pédagogiques'!$C$5-'Choix pédagogiques'!$C$4),"")</f>
        <v>0.35</v>
      </c>
      <c r="AU19" s="53" t="str">
        <f aca="false">IF($E19&lt;&gt;"",$E19,"")</f>
        <v/>
      </c>
      <c r="AV19" s="52" t="n">
        <f aca="false">IF($F19&lt;&gt;"",$F19,"")</f>
        <v>1579</v>
      </c>
      <c r="AW19" s="55" t="n">
        <f aca="false">IF(AND('Choix pédagogiques'!$C$4&lt;&gt;"?",'Choix pédagogiques'!$C$5&lt;&gt;"?",AB19&lt;&gt;""),(AB19-'Choix pédagogiques'!$C$4)/('Choix pédagogiques'!$C$5-'Choix pédagogiques'!$C$4),"")</f>
        <v>0.25</v>
      </c>
      <c r="AX19" s="55" t="n">
        <f aca="false">IF(AND('Choix pédagogiques'!$C$4&lt;&gt;"?",'Choix pédagogiques'!$C$5&lt;&gt;"?",AC19&lt;&gt;""),(AC19-'Choix pédagogiques'!$C$4)/('Choix pédagogiques'!$C$5-'Choix pédagogiques'!$C$4),"")</f>
        <v>0.65</v>
      </c>
      <c r="AY19" s="55" t="n">
        <f aca="false">IF(AND('Choix pédagogiques'!$C$4&lt;&gt;"?",'Choix pédagogiques'!$C$5&lt;&gt;"?",AD19&lt;&gt;""),(AD19-'Choix pédagogiques'!$C$4)/('Choix pédagogiques'!$C$5-'Choix pédagogiques'!$C$4),"")</f>
        <v>0.65</v>
      </c>
      <c r="AZ19" s="53" t="str">
        <f aca="false">IF($J19&lt;&gt;"",$J19,"")</f>
        <v/>
      </c>
      <c r="BA19" s="52" t="n">
        <f aca="false">IF($A19&lt;&gt;"",$A19,"")</f>
        <v>73</v>
      </c>
      <c r="BB19" s="55" t="n">
        <f aca="false">IF(AND($AR19&lt;&gt;"",$AS19&lt;&gt;""),$AS19-$AR19,"")</f>
        <v>0.1</v>
      </c>
      <c r="BC19" s="55" t="n">
        <f aca="false">IF(AND($AR19&lt;&gt;"",$AT19&lt;&gt;""),$AT19-$AR19,"")</f>
        <v>0.3</v>
      </c>
      <c r="BD19" s="55" t="n">
        <f aca="false">IF(AND($AS19&lt;&gt;"",$AT19&lt;&gt;""),$AT19-$AS19,"")</f>
        <v>0.2</v>
      </c>
      <c r="BE19" s="53" t="str">
        <f aca="false">IF($E19&lt;&gt;"",$E19,"")</f>
        <v/>
      </c>
      <c r="BF19" s="52" t="n">
        <f aca="false">IF($F19&lt;&gt;"",$F19,"")</f>
        <v>1579</v>
      </c>
      <c r="BG19" s="55" t="n">
        <f aca="false">IF(AND($AW19&lt;&gt;"",$AX19&lt;&gt;""),$AX19-$AW19,"")</f>
        <v>0.4</v>
      </c>
      <c r="BH19" s="55" t="n">
        <f aca="false">IF(AND($AW19&lt;&gt;"",$AY19&lt;&gt;""),$AY19-$AW19,"")</f>
        <v>0.4</v>
      </c>
      <c r="BI19" s="55" t="n">
        <f aca="false">IF(AND($AX19&lt;&gt;"",$AY19&lt;&gt;""),$AY19-$AX19,"")</f>
        <v>0</v>
      </c>
      <c r="BJ19" s="53" t="str">
        <f aca="false">IF($J19&lt;&gt;"",$J19,"")</f>
        <v/>
      </c>
      <c r="BL19" s="52"/>
      <c r="BM19" s="52" t="n">
        <f aca="false">IF(OR(COUNT(B19:D1018)=0,AND('Choix pédagogiques'!$C$3&lt;&gt;1,'Choix pédagogiques'!$C$3&lt;&gt;2)),"",IF(AND(OR('Choix pédagogiques'!$C$3=1,'Choix pédagogiques'!$C$3=2),$B19&lt;&gt;"",$C19&lt;&gt;"",$D19&lt;&gt;""),1,0))</f>
        <v>1</v>
      </c>
      <c r="BN19" s="52" t="n">
        <f aca="false">IF(OR(COUNT(G19:I1018)=0,AND('Choix pédagogiques'!$C$3&lt;&gt;1,'Choix pédagogiques'!$C$3&lt;&gt;2)),"",IF(AND(OR('Choix pédagogiques'!$C$3=1,'Choix pédagogiques'!$C$3=2),AND($G19&lt;&gt;"",$H19&lt;&gt;"",$I19&lt;&gt;"")),1,0))</f>
        <v>1</v>
      </c>
      <c r="BO19" s="52" t="str">
        <f aca="false">IF(OR(COUNT(B19:D1018)=0,COUNT(G19:I1018)=0,'Choix pédagogiques'!C$3&lt;&gt;3),"",IF(AND('Choix pédagogiques'!$C$3=3,$B19&lt;&gt;"",$C19&lt;&gt;"",$D19&lt;&gt;"",$G19&lt;&gt;"",$H19&lt;&gt;"",$I19&lt;&gt;""),1,0))</f>
        <v/>
      </c>
      <c r="BR19" s="52" t="n">
        <v>73</v>
      </c>
      <c r="BS19" s="52" t="n">
        <v>1579</v>
      </c>
    </row>
    <row r="20" s="54" customFormat="true" ht="18" hidden="false" customHeight="true" outlineLevel="0" collapsed="false">
      <c r="A20" s="49" t="n">
        <v>241</v>
      </c>
      <c r="B20" s="50" t="n">
        <v>5</v>
      </c>
      <c r="C20" s="50" t="n">
        <v>9</v>
      </c>
      <c r="D20" s="50" t="n">
        <v>7</v>
      </c>
      <c r="E20" s="51"/>
      <c r="F20" s="49" t="n">
        <v>1717</v>
      </c>
      <c r="G20" s="50" t="n">
        <v>2</v>
      </c>
      <c r="H20" s="50" t="n">
        <v>14</v>
      </c>
      <c r="I20" s="50" t="n">
        <v>15</v>
      </c>
      <c r="J20" s="51"/>
      <c r="K20" s="52" t="n">
        <f aca="false">IF($A20&lt;&gt;"",$A20,"")</f>
        <v>241</v>
      </c>
      <c r="L20" s="53" t="n">
        <f aca="false">IF(AND($B20&lt;&gt;"",$C20&lt;&gt;""),$C20-$B20,"")</f>
        <v>4</v>
      </c>
      <c r="M20" s="53" t="n">
        <f aca="false">IF(AND($B20&lt;&gt;"",$D20&lt;&gt;""),$D20-$B20,"")</f>
        <v>2</v>
      </c>
      <c r="N20" s="53" t="n">
        <f aca="false">IF(AND($C20&lt;&gt;"",$D20&lt;&gt;""),$D20-$C20,"")</f>
        <v>-2</v>
      </c>
      <c r="O20" s="53" t="str">
        <f aca="false">IF($E20&lt;&gt;"",$E20,"")</f>
        <v/>
      </c>
      <c r="P20" s="52" t="n">
        <f aca="false">IF($F20&lt;&gt;"",$F20,"")</f>
        <v>1717</v>
      </c>
      <c r="Q20" s="53" t="n">
        <f aca="false">IF(AND($G20&lt;&gt;"",$H20&lt;&gt;""),$H20-$G20,"")</f>
        <v>12</v>
      </c>
      <c r="R20" s="53" t="n">
        <f aca="false">IF(AND($G20&lt;&gt;"",$I20&lt;&gt;""),$I20-$G20,"")</f>
        <v>13</v>
      </c>
      <c r="S20" s="53" t="n">
        <f aca="false">IF(AND($H20&lt;&gt;"",$I20&lt;&gt;""),$I20-$H20,"")</f>
        <v>1</v>
      </c>
      <c r="T20" s="53" t="str">
        <f aca="false">IF($J20&lt;&gt;"",$J20,"")</f>
        <v/>
      </c>
      <c r="V20" s="52" t="n">
        <f aca="false">IF($A20&lt;&gt;"",$A20,"")</f>
        <v>241</v>
      </c>
      <c r="W20" s="53" t="n">
        <f aca="false">IF(AND(OR('Choix pédagogiques'!$C$3=1,'Choix pédagogiques'!$C$3=2),$BM20=1),B20,IF(AND('Choix pédagogiques'!$C$3=3,$BO20=1),B20,""))</f>
        <v>5</v>
      </c>
      <c r="X20" s="53" t="n">
        <f aca="false">IF(AND(OR('Choix pédagogiques'!$C$3=1,'Choix pédagogiques'!$C$3=2),$BM20=1),C20,IF(AND('Choix pédagogiques'!$C$3=3,$BO20=1),C20,""))</f>
        <v>9</v>
      </c>
      <c r="Y20" s="53" t="n">
        <f aca="false">IF(AND(OR('Choix pédagogiques'!$C$3=1,'Choix pédagogiques'!$C$3=2),$BM20=1),D20,IF(AND('Choix pédagogiques'!$C$3=3,$BO20=1),D20,""))</f>
        <v>7</v>
      </c>
      <c r="Z20" s="53" t="str">
        <f aca="false">IF($E20&lt;&gt;"",$E20,"")</f>
        <v/>
      </c>
      <c r="AA20" s="52" t="n">
        <f aca="false">IF($F20&lt;&gt;"",$F20,"")</f>
        <v>1717</v>
      </c>
      <c r="AB20" s="53" t="n">
        <f aca="false">IF(AND(OR('Choix pédagogiques'!$C$3=1,'Choix pédagogiques'!$C$3=2),$BN20=1),G20,IF(AND('Choix pédagogiques'!$C$3=3,$BO20=1),G20,""))</f>
        <v>2</v>
      </c>
      <c r="AC20" s="53" t="n">
        <f aca="false">IF(AND(OR('Choix pédagogiques'!$C$3=1,'Choix pédagogiques'!$C$3=2),$BN20=1),H20,IF(AND('Choix pédagogiques'!$C$3=3,$BO20=1),H20,""))</f>
        <v>14</v>
      </c>
      <c r="AD20" s="53" t="n">
        <f aca="false">IF(AND(OR('Choix pédagogiques'!$C$3=1,'Choix pédagogiques'!$C$3=2),$BN20=1),I20,IF(AND('Choix pédagogiques'!$C$3=3,$BO20=1),I20,""))</f>
        <v>15</v>
      </c>
      <c r="AE20" s="53" t="str">
        <f aca="false">IF($J20&lt;&gt;"",$J20,"")</f>
        <v/>
      </c>
      <c r="AF20" s="52" t="n">
        <f aca="false">IF($A20&lt;&gt;"",$A20,"")</f>
        <v>241</v>
      </c>
      <c r="AG20" s="53" t="n">
        <f aca="false">IF(AND($W20&lt;&gt;"",$X20&lt;&gt;""),$X20-$W20,"")</f>
        <v>4</v>
      </c>
      <c r="AH20" s="53" t="n">
        <f aca="false">IF(AND($W20&lt;&gt;"",$Y20&lt;&gt;""),$Y20-$W20,"")</f>
        <v>2</v>
      </c>
      <c r="AI20" s="53" t="n">
        <f aca="false">IF(AND($X20&lt;&gt;"",$Y20&lt;&gt;""),$Y20-$X20,"")</f>
        <v>-2</v>
      </c>
      <c r="AJ20" s="53" t="str">
        <f aca="false">IF($E20&lt;&gt;"",$E20,"")</f>
        <v/>
      </c>
      <c r="AK20" s="52" t="n">
        <f aca="false">IF($F20&lt;&gt;"",$F20,"")</f>
        <v>1717</v>
      </c>
      <c r="AL20" s="53" t="n">
        <f aca="false">IF(AND($AB20&lt;&gt;"",$AC20&lt;&gt;""),$AC20-$AB20,"")</f>
        <v>12</v>
      </c>
      <c r="AM20" s="53" t="n">
        <f aca="false">IF(AND($AB20&lt;&gt;"",$AD20&lt;&gt;""),$AD20-$AB20,"")</f>
        <v>13</v>
      </c>
      <c r="AN20" s="53" t="n">
        <f aca="false">IF(AND($AC20&lt;&gt;"",$AD20&lt;&gt;""),$AD20-$AC20,"")</f>
        <v>1</v>
      </c>
      <c r="AO20" s="53" t="str">
        <f aca="false">IF($J20&lt;&gt;"",$J20,"")</f>
        <v/>
      </c>
      <c r="AQ20" s="52" t="n">
        <f aca="false">IF($A20&lt;&gt;"",$A20,"")</f>
        <v>241</v>
      </c>
      <c r="AR20" s="55" t="n">
        <f aca="false">IF(AND('Choix pédagogiques'!$C$4&lt;&gt;"?",'Choix pédagogiques'!$C$5&lt;&gt;"?",W20&lt;&gt;""),(W20-'Choix pédagogiques'!$C$4)/('Choix pédagogiques'!$C$5-'Choix pédagogiques'!$C$4),"")</f>
        <v>0.25</v>
      </c>
      <c r="AS20" s="55" t="n">
        <f aca="false">IF(AND('Choix pédagogiques'!$C$4&lt;&gt;"?",'Choix pédagogiques'!$C$5&lt;&gt;"?",X20&lt;&gt;""),(X20-'Choix pédagogiques'!$C$4)/('Choix pédagogiques'!$C$5-'Choix pédagogiques'!$C$4),"")</f>
        <v>0.45</v>
      </c>
      <c r="AT20" s="55" t="n">
        <f aca="false">IF(AND('Choix pédagogiques'!$C$4&lt;&gt;"?",'Choix pédagogiques'!$C$5&lt;&gt;"?",Y20&lt;&gt;""),(Y20-'Choix pédagogiques'!$C$4)/('Choix pédagogiques'!$C$5-'Choix pédagogiques'!$C$4),"")</f>
        <v>0.35</v>
      </c>
      <c r="AU20" s="53" t="str">
        <f aca="false">IF($E20&lt;&gt;"",$E20,"")</f>
        <v/>
      </c>
      <c r="AV20" s="52" t="n">
        <f aca="false">IF($F20&lt;&gt;"",$F20,"")</f>
        <v>1717</v>
      </c>
      <c r="AW20" s="55" t="n">
        <f aca="false">IF(AND('Choix pédagogiques'!$C$4&lt;&gt;"?",'Choix pédagogiques'!$C$5&lt;&gt;"?",AB20&lt;&gt;""),(AB20-'Choix pédagogiques'!$C$4)/('Choix pédagogiques'!$C$5-'Choix pédagogiques'!$C$4),"")</f>
        <v>0.1</v>
      </c>
      <c r="AX20" s="55" t="n">
        <f aca="false">IF(AND('Choix pédagogiques'!$C$4&lt;&gt;"?",'Choix pédagogiques'!$C$5&lt;&gt;"?",AC20&lt;&gt;""),(AC20-'Choix pédagogiques'!$C$4)/('Choix pédagogiques'!$C$5-'Choix pédagogiques'!$C$4),"")</f>
        <v>0.7</v>
      </c>
      <c r="AY20" s="55" t="n">
        <f aca="false">IF(AND('Choix pédagogiques'!$C$4&lt;&gt;"?",'Choix pédagogiques'!$C$5&lt;&gt;"?",AD20&lt;&gt;""),(AD20-'Choix pédagogiques'!$C$4)/('Choix pédagogiques'!$C$5-'Choix pédagogiques'!$C$4),"")</f>
        <v>0.75</v>
      </c>
      <c r="AZ20" s="53" t="str">
        <f aca="false">IF($J20&lt;&gt;"",$J20,"")</f>
        <v/>
      </c>
      <c r="BA20" s="52" t="n">
        <f aca="false">IF($A20&lt;&gt;"",$A20,"")</f>
        <v>241</v>
      </c>
      <c r="BB20" s="55" t="n">
        <f aca="false">IF(AND($AR20&lt;&gt;"",$AS20&lt;&gt;""),$AS20-$AR20,"")</f>
        <v>0.2</v>
      </c>
      <c r="BC20" s="55" t="n">
        <f aca="false">IF(AND($AR20&lt;&gt;"",$AT20&lt;&gt;""),$AT20-$AR20,"")</f>
        <v>0.1</v>
      </c>
      <c r="BD20" s="55" t="n">
        <f aca="false">IF(AND($AS20&lt;&gt;"",$AT20&lt;&gt;""),$AT20-$AS20,"")</f>
        <v>-0.1</v>
      </c>
      <c r="BE20" s="53" t="str">
        <f aca="false">IF($E20&lt;&gt;"",$E20,"")</f>
        <v/>
      </c>
      <c r="BF20" s="52" t="n">
        <f aca="false">IF($F20&lt;&gt;"",$F20,"")</f>
        <v>1717</v>
      </c>
      <c r="BG20" s="55" t="n">
        <f aca="false">IF(AND($AW20&lt;&gt;"",$AX20&lt;&gt;""),$AX20-$AW20,"")</f>
        <v>0.6</v>
      </c>
      <c r="BH20" s="55" t="n">
        <f aca="false">IF(AND($AW20&lt;&gt;"",$AY20&lt;&gt;""),$AY20-$AW20,"")</f>
        <v>0.65</v>
      </c>
      <c r="BI20" s="55" t="n">
        <f aca="false">IF(AND($AX20&lt;&gt;"",$AY20&lt;&gt;""),$AY20-$AX20,"")</f>
        <v>0.05</v>
      </c>
      <c r="BJ20" s="53" t="str">
        <f aca="false">IF($J20&lt;&gt;"",$J20,"")</f>
        <v/>
      </c>
      <c r="BL20" s="52"/>
      <c r="BM20" s="52" t="n">
        <f aca="false">IF(OR(COUNT(B20:D1019)=0,AND('Choix pédagogiques'!$C$3&lt;&gt;1,'Choix pédagogiques'!$C$3&lt;&gt;2)),"",IF(AND(OR('Choix pédagogiques'!$C$3=1,'Choix pédagogiques'!$C$3=2),$B20&lt;&gt;"",$C20&lt;&gt;"",$D20&lt;&gt;""),1,0))</f>
        <v>1</v>
      </c>
      <c r="BN20" s="52" t="n">
        <f aca="false">IF(OR(COUNT(G20:I1019)=0,AND('Choix pédagogiques'!$C$3&lt;&gt;1,'Choix pédagogiques'!$C$3&lt;&gt;2)),"",IF(AND(OR('Choix pédagogiques'!$C$3=1,'Choix pédagogiques'!$C$3=2),AND($G20&lt;&gt;"",$H20&lt;&gt;"",$I20&lt;&gt;"")),1,0))</f>
        <v>1</v>
      </c>
      <c r="BO20" s="52" t="str">
        <f aca="false">IF(OR(COUNT(B20:D1019)=0,COUNT(G20:I1019)=0,'Choix pédagogiques'!C$3&lt;&gt;3),"",IF(AND('Choix pédagogiques'!$C$3=3,$B20&lt;&gt;"",$C20&lt;&gt;"",$D20&lt;&gt;"",$G20&lt;&gt;"",$H20&lt;&gt;"",$I20&lt;&gt;""),1,0))</f>
        <v/>
      </c>
      <c r="BR20" s="52" t="n">
        <v>241</v>
      </c>
      <c r="BS20" s="52" t="n">
        <v>1717</v>
      </c>
    </row>
    <row r="21" s="54" customFormat="true" ht="18" hidden="false" customHeight="true" outlineLevel="0" collapsed="false">
      <c r="A21" s="49" t="n">
        <v>602</v>
      </c>
      <c r="B21" s="50" t="n">
        <v>0</v>
      </c>
      <c r="C21" s="50" t="n">
        <v>14</v>
      </c>
      <c r="D21" s="50" t="n">
        <v>11</v>
      </c>
      <c r="E21" s="51"/>
      <c r="F21" s="49" t="n">
        <v>1555</v>
      </c>
      <c r="G21" s="50" t="n">
        <v>3</v>
      </c>
      <c r="H21" s="50" t="n">
        <v>13</v>
      </c>
      <c r="I21" s="50" t="n">
        <v>13</v>
      </c>
      <c r="J21" s="56" t="s">
        <v>43</v>
      </c>
      <c r="K21" s="52" t="n">
        <f aca="false">IF($A21&lt;&gt;"",$A21,"")</f>
        <v>602</v>
      </c>
      <c r="L21" s="53" t="n">
        <f aca="false">IF(AND($B21&lt;&gt;"",$C21&lt;&gt;""),$C21-$B21,"")</f>
        <v>14</v>
      </c>
      <c r="M21" s="53" t="n">
        <f aca="false">IF(AND($B21&lt;&gt;"",$D21&lt;&gt;""),$D21-$B21,"")</f>
        <v>11</v>
      </c>
      <c r="N21" s="53" t="n">
        <f aca="false">IF(AND($C21&lt;&gt;"",$D21&lt;&gt;""),$D21-$C21,"")</f>
        <v>-3</v>
      </c>
      <c r="O21" s="53" t="str">
        <f aca="false">IF($E21&lt;&gt;"",$E21,"")</f>
        <v/>
      </c>
      <c r="P21" s="52" t="n">
        <f aca="false">IF($F21&lt;&gt;"",$F21,"")</f>
        <v>1555</v>
      </c>
      <c r="Q21" s="53" t="n">
        <f aca="false">IF(AND($G21&lt;&gt;"",$H21&lt;&gt;""),$H21-$G21,"")</f>
        <v>10</v>
      </c>
      <c r="R21" s="53" t="n">
        <f aca="false">IF(AND($G21&lt;&gt;"",$I21&lt;&gt;""),$I21-$G21,"")</f>
        <v>10</v>
      </c>
      <c r="S21" s="53" t="n">
        <f aca="false">IF(AND($H21&lt;&gt;"",$I21&lt;&gt;""),$I21-$H21,"")</f>
        <v>0</v>
      </c>
      <c r="T21" s="53" t="str">
        <f aca="false">IF($J21&lt;&gt;"",$J21,"")</f>
        <v>en retard pré-T 3min</v>
      </c>
      <c r="V21" s="52" t="n">
        <f aca="false">IF($A21&lt;&gt;"",$A21,"")</f>
        <v>602</v>
      </c>
      <c r="W21" s="53" t="n">
        <f aca="false">IF(AND(OR('Choix pédagogiques'!$C$3=1,'Choix pédagogiques'!$C$3=2),$BM21=1),B21,IF(AND('Choix pédagogiques'!$C$3=3,$BO21=1),B21,""))</f>
        <v>0</v>
      </c>
      <c r="X21" s="53" t="n">
        <f aca="false">IF(AND(OR('Choix pédagogiques'!$C$3=1,'Choix pédagogiques'!$C$3=2),$BM21=1),C21,IF(AND('Choix pédagogiques'!$C$3=3,$BO21=1),C21,""))</f>
        <v>14</v>
      </c>
      <c r="Y21" s="53" t="n">
        <f aca="false">IF(AND(OR('Choix pédagogiques'!$C$3=1,'Choix pédagogiques'!$C$3=2),$BM21=1),D21,IF(AND('Choix pédagogiques'!$C$3=3,$BO21=1),D21,""))</f>
        <v>11</v>
      </c>
      <c r="Z21" s="53" t="str">
        <f aca="false">IF($E21&lt;&gt;"",$E21,"")</f>
        <v/>
      </c>
      <c r="AA21" s="52" t="n">
        <f aca="false">IF($F21&lt;&gt;"",$F21,"")</f>
        <v>1555</v>
      </c>
      <c r="AB21" s="53" t="n">
        <f aca="false">IF(AND(OR('Choix pédagogiques'!$C$3=1,'Choix pédagogiques'!$C$3=2),$BN21=1),G21,IF(AND('Choix pédagogiques'!$C$3=3,$BO21=1),G21,""))</f>
        <v>3</v>
      </c>
      <c r="AC21" s="53" t="n">
        <f aca="false">IF(AND(OR('Choix pédagogiques'!$C$3=1,'Choix pédagogiques'!$C$3=2),$BN21=1),H21,IF(AND('Choix pédagogiques'!$C$3=3,$BO21=1),H21,""))</f>
        <v>13</v>
      </c>
      <c r="AD21" s="53" t="n">
        <f aca="false">IF(AND(OR('Choix pédagogiques'!$C$3=1,'Choix pédagogiques'!$C$3=2),$BN21=1),I21,IF(AND('Choix pédagogiques'!$C$3=3,$BO21=1),I21,""))</f>
        <v>13</v>
      </c>
      <c r="AE21" s="53" t="str">
        <f aca="false">IF($J21&lt;&gt;"",$J21,"")</f>
        <v>en retard pré-T 3min</v>
      </c>
      <c r="AF21" s="52" t="n">
        <f aca="false">IF($A21&lt;&gt;"",$A21,"")</f>
        <v>602</v>
      </c>
      <c r="AG21" s="53" t="n">
        <f aca="false">IF(AND($W21&lt;&gt;"",$X21&lt;&gt;""),$X21-$W21,"")</f>
        <v>14</v>
      </c>
      <c r="AH21" s="53" t="n">
        <f aca="false">IF(AND($W21&lt;&gt;"",$Y21&lt;&gt;""),$Y21-$W21,"")</f>
        <v>11</v>
      </c>
      <c r="AI21" s="53" t="n">
        <f aca="false">IF(AND($X21&lt;&gt;"",$Y21&lt;&gt;""),$Y21-$X21,"")</f>
        <v>-3</v>
      </c>
      <c r="AJ21" s="53" t="str">
        <f aca="false">IF($E21&lt;&gt;"",$E21,"")</f>
        <v/>
      </c>
      <c r="AK21" s="52" t="n">
        <f aca="false">IF($F21&lt;&gt;"",$F21,"")</f>
        <v>1555</v>
      </c>
      <c r="AL21" s="53" t="n">
        <f aca="false">IF(AND($AB21&lt;&gt;"",$AC21&lt;&gt;""),$AC21-$AB21,"")</f>
        <v>10</v>
      </c>
      <c r="AM21" s="53" t="n">
        <f aca="false">IF(AND($AB21&lt;&gt;"",$AD21&lt;&gt;""),$AD21-$AB21,"")</f>
        <v>10</v>
      </c>
      <c r="AN21" s="53" t="n">
        <f aca="false">IF(AND($AC21&lt;&gt;"",$AD21&lt;&gt;""),$AD21-$AC21,"")</f>
        <v>0</v>
      </c>
      <c r="AO21" s="53" t="str">
        <f aca="false">IF($J21&lt;&gt;"",$J21,"")</f>
        <v>en retard pré-T 3min</v>
      </c>
      <c r="AQ21" s="52" t="n">
        <f aca="false">IF($A21&lt;&gt;"",$A21,"")</f>
        <v>602</v>
      </c>
      <c r="AR21" s="55" t="n">
        <f aca="false">IF(AND('Choix pédagogiques'!$C$4&lt;&gt;"?",'Choix pédagogiques'!$C$5&lt;&gt;"?",W21&lt;&gt;""),(W21-'Choix pédagogiques'!$C$4)/('Choix pédagogiques'!$C$5-'Choix pédagogiques'!$C$4),"")</f>
        <v>0</v>
      </c>
      <c r="AS21" s="55" t="n">
        <f aca="false">IF(AND('Choix pédagogiques'!$C$4&lt;&gt;"?",'Choix pédagogiques'!$C$5&lt;&gt;"?",X21&lt;&gt;""),(X21-'Choix pédagogiques'!$C$4)/('Choix pédagogiques'!$C$5-'Choix pédagogiques'!$C$4),"")</f>
        <v>0.7</v>
      </c>
      <c r="AT21" s="55" t="n">
        <f aca="false">IF(AND('Choix pédagogiques'!$C$4&lt;&gt;"?",'Choix pédagogiques'!$C$5&lt;&gt;"?",Y21&lt;&gt;""),(Y21-'Choix pédagogiques'!$C$4)/('Choix pédagogiques'!$C$5-'Choix pédagogiques'!$C$4),"")</f>
        <v>0.55</v>
      </c>
      <c r="AU21" s="53" t="str">
        <f aca="false">IF($E21&lt;&gt;"",$E21,"")</f>
        <v/>
      </c>
      <c r="AV21" s="52" t="n">
        <f aca="false">IF($F21&lt;&gt;"",$F21,"")</f>
        <v>1555</v>
      </c>
      <c r="AW21" s="55" t="n">
        <f aca="false">IF(AND('Choix pédagogiques'!$C$4&lt;&gt;"?",'Choix pédagogiques'!$C$5&lt;&gt;"?",AB21&lt;&gt;""),(AB21-'Choix pédagogiques'!$C$4)/('Choix pédagogiques'!$C$5-'Choix pédagogiques'!$C$4),"")</f>
        <v>0.15</v>
      </c>
      <c r="AX21" s="55" t="n">
        <f aca="false">IF(AND('Choix pédagogiques'!$C$4&lt;&gt;"?",'Choix pédagogiques'!$C$5&lt;&gt;"?",AC21&lt;&gt;""),(AC21-'Choix pédagogiques'!$C$4)/('Choix pédagogiques'!$C$5-'Choix pédagogiques'!$C$4),"")</f>
        <v>0.65</v>
      </c>
      <c r="AY21" s="55" t="n">
        <f aca="false">IF(AND('Choix pédagogiques'!$C$4&lt;&gt;"?",'Choix pédagogiques'!$C$5&lt;&gt;"?",AD21&lt;&gt;""),(AD21-'Choix pédagogiques'!$C$4)/('Choix pédagogiques'!$C$5-'Choix pédagogiques'!$C$4),"")</f>
        <v>0.65</v>
      </c>
      <c r="AZ21" s="53" t="str">
        <f aca="false">IF($J21&lt;&gt;"",$J21,"")</f>
        <v>en retard pré-T 3min</v>
      </c>
      <c r="BA21" s="52" t="n">
        <f aca="false">IF($A21&lt;&gt;"",$A21,"")</f>
        <v>602</v>
      </c>
      <c r="BB21" s="55" t="n">
        <f aca="false">IF(AND($AR21&lt;&gt;"",$AS21&lt;&gt;""),$AS21-$AR21,"")</f>
        <v>0.7</v>
      </c>
      <c r="BC21" s="55" t="n">
        <f aca="false">IF(AND($AR21&lt;&gt;"",$AT21&lt;&gt;""),$AT21-$AR21,"")</f>
        <v>0.55</v>
      </c>
      <c r="BD21" s="55" t="n">
        <f aca="false">IF(AND($AS21&lt;&gt;"",$AT21&lt;&gt;""),$AT21-$AS21,"")</f>
        <v>-0.15</v>
      </c>
      <c r="BE21" s="53" t="str">
        <f aca="false">IF($E21&lt;&gt;"",$E21,"")</f>
        <v/>
      </c>
      <c r="BF21" s="52" t="n">
        <f aca="false">IF($F21&lt;&gt;"",$F21,"")</f>
        <v>1555</v>
      </c>
      <c r="BG21" s="55" t="n">
        <f aca="false">IF(AND($AW21&lt;&gt;"",$AX21&lt;&gt;""),$AX21-$AW21,"")</f>
        <v>0.5</v>
      </c>
      <c r="BH21" s="55" t="n">
        <f aca="false">IF(AND($AW21&lt;&gt;"",$AY21&lt;&gt;""),$AY21-$AW21,"")</f>
        <v>0.5</v>
      </c>
      <c r="BI21" s="55" t="n">
        <f aca="false">IF(AND($AX21&lt;&gt;"",$AY21&lt;&gt;""),$AY21-$AX21,"")</f>
        <v>0</v>
      </c>
      <c r="BJ21" s="53" t="str">
        <f aca="false">IF($J21&lt;&gt;"",$J21,"")</f>
        <v>en retard pré-T 3min</v>
      </c>
      <c r="BL21" s="52"/>
      <c r="BM21" s="52" t="n">
        <f aca="false">IF(OR(COUNT(B21:D1020)=0,AND('Choix pédagogiques'!$C$3&lt;&gt;1,'Choix pédagogiques'!$C$3&lt;&gt;2)),"",IF(AND(OR('Choix pédagogiques'!$C$3=1,'Choix pédagogiques'!$C$3=2),$B21&lt;&gt;"",$C21&lt;&gt;"",$D21&lt;&gt;""),1,0))</f>
        <v>1</v>
      </c>
      <c r="BN21" s="52" t="n">
        <f aca="false">IF(OR(COUNT(G21:I1020)=0,AND('Choix pédagogiques'!$C$3&lt;&gt;1,'Choix pédagogiques'!$C$3&lt;&gt;2)),"",IF(AND(OR('Choix pédagogiques'!$C$3=1,'Choix pédagogiques'!$C$3=2),AND($G21&lt;&gt;"",$H21&lt;&gt;"",$I21&lt;&gt;"")),1,0))</f>
        <v>1</v>
      </c>
      <c r="BO21" s="52" t="str">
        <f aca="false">IF(OR(COUNT(B21:D1020)=0,COUNT(G21:I1020)=0,'Choix pédagogiques'!C$3&lt;&gt;3),"",IF(AND('Choix pédagogiques'!$C$3=3,$B21&lt;&gt;"",$C21&lt;&gt;"",$D21&lt;&gt;"",$G21&lt;&gt;"",$H21&lt;&gt;"",$I21&lt;&gt;""),1,0))</f>
        <v/>
      </c>
      <c r="BR21" s="52" t="n">
        <v>602</v>
      </c>
      <c r="BS21" s="52" t="n">
        <v>1555</v>
      </c>
    </row>
    <row r="22" s="54" customFormat="true" ht="18" hidden="false" customHeight="true" outlineLevel="0" collapsed="false">
      <c r="A22" s="49" t="n">
        <v>75</v>
      </c>
      <c r="B22" s="50" t="n">
        <v>2</v>
      </c>
      <c r="C22" s="50" t="n">
        <v>12</v>
      </c>
      <c r="D22" s="50" t="n">
        <v>10</v>
      </c>
      <c r="E22" s="51"/>
      <c r="F22" s="49" t="n">
        <v>1443</v>
      </c>
      <c r="G22" s="50"/>
      <c r="H22" s="50" t="n">
        <v>12</v>
      </c>
      <c r="I22" s="50" t="n">
        <v>11</v>
      </c>
      <c r="J22" s="51"/>
      <c r="K22" s="52" t="n">
        <f aca="false">IF($A22&lt;&gt;"",$A22,"")</f>
        <v>75</v>
      </c>
      <c r="L22" s="53" t="n">
        <f aca="false">IF(AND($B22&lt;&gt;"",$C22&lt;&gt;""),$C22-$B22,"")</f>
        <v>10</v>
      </c>
      <c r="M22" s="53" t="n">
        <f aca="false">IF(AND($B22&lt;&gt;"",$D22&lt;&gt;""),$D22-$B22,"")</f>
        <v>8</v>
      </c>
      <c r="N22" s="53" t="n">
        <f aca="false">IF(AND($C22&lt;&gt;"",$D22&lt;&gt;""),$D22-$C22,"")</f>
        <v>-2</v>
      </c>
      <c r="O22" s="53" t="str">
        <f aca="false">IF($E22&lt;&gt;"",$E22,"")</f>
        <v/>
      </c>
      <c r="P22" s="52" t="n">
        <f aca="false">IF($F22&lt;&gt;"",$F22,"")</f>
        <v>1443</v>
      </c>
      <c r="Q22" s="53" t="str">
        <f aca="false">IF(AND($G22&lt;&gt;"",$H22&lt;&gt;""),$H22-$G22,"")</f>
        <v/>
      </c>
      <c r="R22" s="53" t="str">
        <f aca="false">IF(AND($G22&lt;&gt;"",$I22&lt;&gt;""),$I22-$G22,"")</f>
        <v/>
      </c>
      <c r="S22" s="53" t="n">
        <f aca="false">IF(AND($H22&lt;&gt;"",$I22&lt;&gt;""),$I22-$H22,"")</f>
        <v>-1</v>
      </c>
      <c r="T22" s="53" t="str">
        <f aca="false">IF($J22&lt;&gt;"",$J22,"")</f>
        <v/>
      </c>
      <c r="V22" s="52" t="n">
        <f aca="false">IF($A22&lt;&gt;"",$A22,"")</f>
        <v>75</v>
      </c>
      <c r="W22" s="53" t="n">
        <f aca="false">IF(AND(OR('Choix pédagogiques'!$C$3=1,'Choix pédagogiques'!$C$3=2),$BM22=1),B22,IF(AND('Choix pédagogiques'!$C$3=3,$BO22=1),B22,""))</f>
        <v>2</v>
      </c>
      <c r="X22" s="53" t="n">
        <f aca="false">IF(AND(OR('Choix pédagogiques'!$C$3=1,'Choix pédagogiques'!$C$3=2),$BM22=1),C22,IF(AND('Choix pédagogiques'!$C$3=3,$BO22=1),C22,""))</f>
        <v>12</v>
      </c>
      <c r="Y22" s="53" t="n">
        <f aca="false">IF(AND(OR('Choix pédagogiques'!$C$3=1,'Choix pédagogiques'!$C$3=2),$BM22=1),D22,IF(AND('Choix pédagogiques'!$C$3=3,$BO22=1),D22,""))</f>
        <v>10</v>
      </c>
      <c r="Z22" s="53" t="str">
        <f aca="false">IF($E22&lt;&gt;"",$E22,"")</f>
        <v/>
      </c>
      <c r="AA22" s="52" t="n">
        <f aca="false">IF($F22&lt;&gt;"",$F22,"")</f>
        <v>1443</v>
      </c>
      <c r="AB22" s="53" t="str">
        <f aca="false">IF(AND(OR('Choix pédagogiques'!$C$3=1,'Choix pédagogiques'!$C$3=2),$BN22=1),G22,IF(AND('Choix pédagogiques'!$C$3=3,$BO22=1),G22,""))</f>
        <v/>
      </c>
      <c r="AC22" s="53" t="str">
        <f aca="false">IF(AND(OR('Choix pédagogiques'!$C$3=1,'Choix pédagogiques'!$C$3=2),$BN22=1),H22,IF(AND('Choix pédagogiques'!$C$3=3,$BO22=1),H22,""))</f>
        <v/>
      </c>
      <c r="AD22" s="53" t="str">
        <f aca="false">IF(AND(OR('Choix pédagogiques'!$C$3=1,'Choix pédagogiques'!$C$3=2),$BN22=1),I22,IF(AND('Choix pédagogiques'!$C$3=3,$BO22=1),I22,""))</f>
        <v/>
      </c>
      <c r="AE22" s="53" t="str">
        <f aca="false">IF($J22&lt;&gt;"",$J22,"")</f>
        <v/>
      </c>
      <c r="AF22" s="52" t="n">
        <f aca="false">IF($A22&lt;&gt;"",$A22,"")</f>
        <v>75</v>
      </c>
      <c r="AG22" s="53" t="n">
        <f aca="false">IF(AND($W22&lt;&gt;"",$X22&lt;&gt;""),$X22-$W22,"")</f>
        <v>10</v>
      </c>
      <c r="AH22" s="53" t="n">
        <f aca="false">IF(AND($W22&lt;&gt;"",$Y22&lt;&gt;""),$Y22-$W22,"")</f>
        <v>8</v>
      </c>
      <c r="AI22" s="53" t="n">
        <f aca="false">IF(AND($X22&lt;&gt;"",$Y22&lt;&gt;""),$Y22-$X22,"")</f>
        <v>-2</v>
      </c>
      <c r="AJ22" s="53" t="str">
        <f aca="false">IF($E22&lt;&gt;"",$E22,"")</f>
        <v/>
      </c>
      <c r="AK22" s="52" t="n">
        <f aca="false">IF($F22&lt;&gt;"",$F22,"")</f>
        <v>1443</v>
      </c>
      <c r="AL22" s="53" t="str">
        <f aca="false">IF(AND($AB22&lt;&gt;"",$AC22&lt;&gt;""),$AC22-$AB22,"")</f>
        <v/>
      </c>
      <c r="AM22" s="53" t="str">
        <f aca="false">IF(AND($AB22&lt;&gt;"",$AD22&lt;&gt;""),$AD22-$AB22,"")</f>
        <v/>
      </c>
      <c r="AN22" s="53" t="str">
        <f aca="false">IF(AND($AC22&lt;&gt;"",$AD22&lt;&gt;""),$AD22-$AC22,"")</f>
        <v/>
      </c>
      <c r="AO22" s="53" t="str">
        <f aca="false">IF($J22&lt;&gt;"",$J22,"")</f>
        <v/>
      </c>
      <c r="AQ22" s="52" t="n">
        <f aca="false">IF($A22&lt;&gt;"",$A22,"")</f>
        <v>75</v>
      </c>
      <c r="AR22" s="55" t="n">
        <f aca="false">IF(AND('Choix pédagogiques'!$C$4&lt;&gt;"?",'Choix pédagogiques'!$C$5&lt;&gt;"?",W22&lt;&gt;""),(W22-'Choix pédagogiques'!$C$4)/('Choix pédagogiques'!$C$5-'Choix pédagogiques'!$C$4),"")</f>
        <v>0.1</v>
      </c>
      <c r="AS22" s="55" t="n">
        <f aca="false">IF(AND('Choix pédagogiques'!$C$4&lt;&gt;"?",'Choix pédagogiques'!$C$5&lt;&gt;"?",X22&lt;&gt;""),(X22-'Choix pédagogiques'!$C$4)/('Choix pédagogiques'!$C$5-'Choix pédagogiques'!$C$4),"")</f>
        <v>0.6</v>
      </c>
      <c r="AT22" s="55" t="n">
        <f aca="false">IF(AND('Choix pédagogiques'!$C$4&lt;&gt;"?",'Choix pédagogiques'!$C$5&lt;&gt;"?",Y22&lt;&gt;""),(Y22-'Choix pédagogiques'!$C$4)/('Choix pédagogiques'!$C$5-'Choix pédagogiques'!$C$4),"")</f>
        <v>0.5</v>
      </c>
      <c r="AU22" s="53" t="str">
        <f aca="false">IF($E22&lt;&gt;"",$E22,"")</f>
        <v/>
      </c>
      <c r="AV22" s="52" t="n">
        <f aca="false">IF($F22&lt;&gt;"",$F22,"")</f>
        <v>1443</v>
      </c>
      <c r="AW22" s="55" t="str">
        <f aca="false">IF(AND('Choix pédagogiques'!$C$4&lt;&gt;"?",'Choix pédagogiques'!$C$5&lt;&gt;"?",AB22&lt;&gt;""),(AB22-'Choix pédagogiques'!$C$4)/('Choix pédagogiques'!$C$5-'Choix pédagogiques'!$C$4),"")</f>
        <v/>
      </c>
      <c r="AX22" s="55" t="str">
        <f aca="false">IF(AND('Choix pédagogiques'!$C$4&lt;&gt;"?",'Choix pédagogiques'!$C$5&lt;&gt;"?",AC22&lt;&gt;""),(AC22-'Choix pédagogiques'!$C$4)/('Choix pédagogiques'!$C$5-'Choix pédagogiques'!$C$4),"")</f>
        <v/>
      </c>
      <c r="AY22" s="55" t="str">
        <f aca="false">IF(AND('Choix pédagogiques'!$C$4&lt;&gt;"?",'Choix pédagogiques'!$C$5&lt;&gt;"?",AD22&lt;&gt;""),(AD22-'Choix pédagogiques'!$C$4)/('Choix pédagogiques'!$C$5-'Choix pédagogiques'!$C$4),"")</f>
        <v/>
      </c>
      <c r="AZ22" s="53" t="str">
        <f aca="false">IF($J22&lt;&gt;"",$J22,"")</f>
        <v/>
      </c>
      <c r="BA22" s="52" t="n">
        <f aca="false">IF($A22&lt;&gt;"",$A22,"")</f>
        <v>75</v>
      </c>
      <c r="BB22" s="55" t="n">
        <f aca="false">IF(AND($AR22&lt;&gt;"",$AS22&lt;&gt;""),$AS22-$AR22,"")</f>
        <v>0.5</v>
      </c>
      <c r="BC22" s="55" t="n">
        <f aca="false">IF(AND($AR22&lt;&gt;"",$AT22&lt;&gt;""),$AT22-$AR22,"")</f>
        <v>0.4</v>
      </c>
      <c r="BD22" s="55" t="n">
        <f aca="false">IF(AND($AS22&lt;&gt;"",$AT22&lt;&gt;""),$AT22-$AS22,"")</f>
        <v>-0.1</v>
      </c>
      <c r="BE22" s="53" t="str">
        <f aca="false">IF($E22&lt;&gt;"",$E22,"")</f>
        <v/>
      </c>
      <c r="BF22" s="52" t="n">
        <f aca="false">IF($F22&lt;&gt;"",$F22,"")</f>
        <v>1443</v>
      </c>
      <c r="BG22" s="55" t="str">
        <f aca="false">IF(AND($AW22&lt;&gt;"",$AX22&lt;&gt;""),$AX22-$AW22,"")</f>
        <v/>
      </c>
      <c r="BH22" s="55" t="str">
        <f aca="false">IF(AND($AW22&lt;&gt;"",$AY22&lt;&gt;""),$AY22-$AW22,"")</f>
        <v/>
      </c>
      <c r="BI22" s="55" t="str">
        <f aca="false">IF(AND($AX22&lt;&gt;"",$AY22&lt;&gt;""),$AY22-$AX22,"")</f>
        <v/>
      </c>
      <c r="BJ22" s="53" t="str">
        <f aca="false">IF($J22&lt;&gt;"",$J22,"")</f>
        <v/>
      </c>
      <c r="BL22" s="52"/>
      <c r="BM22" s="52" t="n">
        <f aca="false">IF(OR(COUNT(B22:D1021)=0,AND('Choix pédagogiques'!$C$3&lt;&gt;1,'Choix pédagogiques'!$C$3&lt;&gt;2)),"",IF(AND(OR('Choix pédagogiques'!$C$3=1,'Choix pédagogiques'!$C$3=2),$B22&lt;&gt;"",$C22&lt;&gt;"",$D22&lt;&gt;""),1,0))</f>
        <v>1</v>
      </c>
      <c r="BN22" s="52" t="n">
        <f aca="false">IF(OR(COUNT(G22:I1021)=0,AND('Choix pédagogiques'!$C$3&lt;&gt;1,'Choix pédagogiques'!$C$3&lt;&gt;2)),"",IF(AND(OR('Choix pédagogiques'!$C$3=1,'Choix pédagogiques'!$C$3=2),AND($G22&lt;&gt;"",$H22&lt;&gt;"",$I22&lt;&gt;"")),1,0))</f>
        <v>0</v>
      </c>
      <c r="BO22" s="52" t="str">
        <f aca="false">IF(OR(COUNT(B22:D1021)=0,COUNT(G22:I1021)=0,'Choix pédagogiques'!C$3&lt;&gt;3),"",IF(AND('Choix pédagogiques'!$C$3=3,$B22&lt;&gt;"",$C22&lt;&gt;"",$D22&lt;&gt;"",$G22&lt;&gt;"",$H22&lt;&gt;"",$I22&lt;&gt;""),1,0))</f>
        <v/>
      </c>
      <c r="BR22" s="52" t="n">
        <v>75</v>
      </c>
      <c r="BS22" s="52" t="n">
        <v>1443</v>
      </c>
    </row>
    <row r="23" s="54" customFormat="true" ht="18" hidden="false" customHeight="true" outlineLevel="0" collapsed="false">
      <c r="A23" s="49" t="n">
        <v>704</v>
      </c>
      <c r="B23" s="50" t="n">
        <v>3</v>
      </c>
      <c r="C23" s="50" t="n">
        <v>13</v>
      </c>
      <c r="D23" s="50" t="n">
        <v>13</v>
      </c>
      <c r="E23" s="51"/>
      <c r="F23" s="49" t="n">
        <v>1675</v>
      </c>
      <c r="G23" s="50" t="n">
        <v>2</v>
      </c>
      <c r="H23" s="50" t="n">
        <v>12</v>
      </c>
      <c r="I23" s="50" t="n">
        <v>11</v>
      </c>
      <c r="J23" s="51"/>
      <c r="K23" s="52" t="n">
        <f aca="false">IF($A23&lt;&gt;"",$A23,"")</f>
        <v>704</v>
      </c>
      <c r="L23" s="53" t="n">
        <f aca="false">IF(AND($B23&lt;&gt;"",$C23&lt;&gt;""),$C23-$B23,"")</f>
        <v>10</v>
      </c>
      <c r="M23" s="53" t="n">
        <f aca="false">IF(AND($B23&lt;&gt;"",$D23&lt;&gt;""),$D23-$B23,"")</f>
        <v>10</v>
      </c>
      <c r="N23" s="53" t="n">
        <f aca="false">IF(AND($C23&lt;&gt;"",$D23&lt;&gt;""),$D23-$C23,"")</f>
        <v>0</v>
      </c>
      <c r="O23" s="53" t="str">
        <f aca="false">IF($E23&lt;&gt;"",$E23,"")</f>
        <v/>
      </c>
      <c r="P23" s="52" t="n">
        <f aca="false">IF($F23&lt;&gt;"",$F23,"")</f>
        <v>1675</v>
      </c>
      <c r="Q23" s="53" t="n">
        <f aca="false">IF(AND($G23&lt;&gt;"",$H23&lt;&gt;""),$H23-$G23,"")</f>
        <v>10</v>
      </c>
      <c r="R23" s="53" t="n">
        <f aca="false">IF(AND($G23&lt;&gt;"",$I23&lt;&gt;""),$I23-$G23,"")</f>
        <v>9</v>
      </c>
      <c r="S23" s="53" t="n">
        <f aca="false">IF(AND($H23&lt;&gt;"",$I23&lt;&gt;""),$I23-$H23,"")</f>
        <v>-1</v>
      </c>
      <c r="T23" s="53" t="str">
        <f aca="false">IF($J23&lt;&gt;"",$J23,"")</f>
        <v/>
      </c>
      <c r="V23" s="52" t="n">
        <f aca="false">IF($A23&lt;&gt;"",$A23,"")</f>
        <v>704</v>
      </c>
      <c r="W23" s="53" t="n">
        <f aca="false">IF(AND(OR('Choix pédagogiques'!$C$3=1,'Choix pédagogiques'!$C$3=2),$BM23=1),B23,IF(AND('Choix pédagogiques'!$C$3=3,$BO23=1),B23,""))</f>
        <v>3</v>
      </c>
      <c r="X23" s="53" t="n">
        <f aca="false">IF(AND(OR('Choix pédagogiques'!$C$3=1,'Choix pédagogiques'!$C$3=2),$BM23=1),C23,IF(AND('Choix pédagogiques'!$C$3=3,$BO23=1),C23,""))</f>
        <v>13</v>
      </c>
      <c r="Y23" s="53" t="n">
        <f aca="false">IF(AND(OR('Choix pédagogiques'!$C$3=1,'Choix pédagogiques'!$C$3=2),$BM23=1),D23,IF(AND('Choix pédagogiques'!$C$3=3,$BO23=1),D23,""))</f>
        <v>13</v>
      </c>
      <c r="Z23" s="53" t="str">
        <f aca="false">IF($E23&lt;&gt;"",$E23,"")</f>
        <v/>
      </c>
      <c r="AA23" s="52" t="n">
        <f aca="false">IF($F23&lt;&gt;"",$F23,"")</f>
        <v>1675</v>
      </c>
      <c r="AB23" s="53" t="n">
        <f aca="false">IF(AND(OR('Choix pédagogiques'!$C$3=1,'Choix pédagogiques'!$C$3=2),$BN23=1),G23,IF(AND('Choix pédagogiques'!$C$3=3,$BO23=1),G23,""))</f>
        <v>2</v>
      </c>
      <c r="AC23" s="53" t="n">
        <f aca="false">IF(AND(OR('Choix pédagogiques'!$C$3=1,'Choix pédagogiques'!$C$3=2),$BN23=1),H23,IF(AND('Choix pédagogiques'!$C$3=3,$BO23=1),H23,""))</f>
        <v>12</v>
      </c>
      <c r="AD23" s="53" t="n">
        <f aca="false">IF(AND(OR('Choix pédagogiques'!$C$3=1,'Choix pédagogiques'!$C$3=2),$BN23=1),I23,IF(AND('Choix pédagogiques'!$C$3=3,$BO23=1),I23,""))</f>
        <v>11</v>
      </c>
      <c r="AE23" s="53" t="str">
        <f aca="false">IF($J23&lt;&gt;"",$J23,"")</f>
        <v/>
      </c>
      <c r="AF23" s="52" t="n">
        <f aca="false">IF($A23&lt;&gt;"",$A23,"")</f>
        <v>704</v>
      </c>
      <c r="AG23" s="53" t="n">
        <f aca="false">IF(AND($W23&lt;&gt;"",$X23&lt;&gt;""),$X23-$W23,"")</f>
        <v>10</v>
      </c>
      <c r="AH23" s="53" t="n">
        <f aca="false">IF(AND($W23&lt;&gt;"",$Y23&lt;&gt;""),$Y23-$W23,"")</f>
        <v>10</v>
      </c>
      <c r="AI23" s="53" t="n">
        <f aca="false">IF(AND($X23&lt;&gt;"",$Y23&lt;&gt;""),$Y23-$X23,"")</f>
        <v>0</v>
      </c>
      <c r="AJ23" s="53" t="str">
        <f aca="false">IF($E23&lt;&gt;"",$E23,"")</f>
        <v/>
      </c>
      <c r="AK23" s="52" t="n">
        <f aca="false">IF($F23&lt;&gt;"",$F23,"")</f>
        <v>1675</v>
      </c>
      <c r="AL23" s="53" t="n">
        <f aca="false">IF(AND($AB23&lt;&gt;"",$AC23&lt;&gt;""),$AC23-$AB23,"")</f>
        <v>10</v>
      </c>
      <c r="AM23" s="53" t="n">
        <f aca="false">IF(AND($AB23&lt;&gt;"",$AD23&lt;&gt;""),$AD23-$AB23,"")</f>
        <v>9</v>
      </c>
      <c r="AN23" s="53" t="n">
        <f aca="false">IF(AND($AC23&lt;&gt;"",$AD23&lt;&gt;""),$AD23-$AC23,"")</f>
        <v>-1</v>
      </c>
      <c r="AO23" s="53" t="str">
        <f aca="false">IF($J23&lt;&gt;"",$J23,"")</f>
        <v/>
      </c>
      <c r="AQ23" s="52" t="n">
        <f aca="false">IF($A23&lt;&gt;"",$A23,"")</f>
        <v>704</v>
      </c>
      <c r="AR23" s="55" t="n">
        <f aca="false">IF(AND('Choix pédagogiques'!$C$4&lt;&gt;"?",'Choix pédagogiques'!$C$5&lt;&gt;"?",W23&lt;&gt;""),(W23-'Choix pédagogiques'!$C$4)/('Choix pédagogiques'!$C$5-'Choix pédagogiques'!$C$4),"")</f>
        <v>0.15</v>
      </c>
      <c r="AS23" s="55" t="n">
        <f aca="false">IF(AND('Choix pédagogiques'!$C$4&lt;&gt;"?",'Choix pédagogiques'!$C$5&lt;&gt;"?",X23&lt;&gt;""),(X23-'Choix pédagogiques'!$C$4)/('Choix pédagogiques'!$C$5-'Choix pédagogiques'!$C$4),"")</f>
        <v>0.65</v>
      </c>
      <c r="AT23" s="55" t="n">
        <f aca="false">IF(AND('Choix pédagogiques'!$C$4&lt;&gt;"?",'Choix pédagogiques'!$C$5&lt;&gt;"?",Y23&lt;&gt;""),(Y23-'Choix pédagogiques'!$C$4)/('Choix pédagogiques'!$C$5-'Choix pédagogiques'!$C$4),"")</f>
        <v>0.65</v>
      </c>
      <c r="AU23" s="53" t="str">
        <f aca="false">IF($E23&lt;&gt;"",$E23,"")</f>
        <v/>
      </c>
      <c r="AV23" s="52" t="n">
        <f aca="false">IF($F23&lt;&gt;"",$F23,"")</f>
        <v>1675</v>
      </c>
      <c r="AW23" s="55" t="n">
        <f aca="false">IF(AND('Choix pédagogiques'!$C$4&lt;&gt;"?",'Choix pédagogiques'!$C$5&lt;&gt;"?",AB23&lt;&gt;""),(AB23-'Choix pédagogiques'!$C$4)/('Choix pédagogiques'!$C$5-'Choix pédagogiques'!$C$4),"")</f>
        <v>0.1</v>
      </c>
      <c r="AX23" s="55" t="n">
        <f aca="false">IF(AND('Choix pédagogiques'!$C$4&lt;&gt;"?",'Choix pédagogiques'!$C$5&lt;&gt;"?",AC23&lt;&gt;""),(AC23-'Choix pédagogiques'!$C$4)/('Choix pédagogiques'!$C$5-'Choix pédagogiques'!$C$4),"")</f>
        <v>0.6</v>
      </c>
      <c r="AY23" s="55" t="n">
        <f aca="false">IF(AND('Choix pédagogiques'!$C$4&lt;&gt;"?",'Choix pédagogiques'!$C$5&lt;&gt;"?",AD23&lt;&gt;""),(AD23-'Choix pédagogiques'!$C$4)/('Choix pédagogiques'!$C$5-'Choix pédagogiques'!$C$4),"")</f>
        <v>0.55</v>
      </c>
      <c r="AZ23" s="53" t="str">
        <f aca="false">IF($J23&lt;&gt;"",$J23,"")</f>
        <v/>
      </c>
      <c r="BA23" s="52" t="n">
        <f aca="false">IF($A23&lt;&gt;"",$A23,"")</f>
        <v>704</v>
      </c>
      <c r="BB23" s="55" t="n">
        <f aca="false">IF(AND($AR23&lt;&gt;"",$AS23&lt;&gt;""),$AS23-$AR23,"")</f>
        <v>0.5</v>
      </c>
      <c r="BC23" s="55" t="n">
        <f aca="false">IF(AND($AR23&lt;&gt;"",$AT23&lt;&gt;""),$AT23-$AR23,"")</f>
        <v>0.5</v>
      </c>
      <c r="BD23" s="55" t="n">
        <f aca="false">IF(AND($AS23&lt;&gt;"",$AT23&lt;&gt;""),$AT23-$AS23,"")</f>
        <v>0</v>
      </c>
      <c r="BE23" s="53" t="str">
        <f aca="false">IF($E23&lt;&gt;"",$E23,"")</f>
        <v/>
      </c>
      <c r="BF23" s="52" t="n">
        <f aca="false">IF($F23&lt;&gt;"",$F23,"")</f>
        <v>1675</v>
      </c>
      <c r="BG23" s="55" t="n">
        <f aca="false">IF(AND($AW23&lt;&gt;"",$AX23&lt;&gt;""),$AX23-$AW23,"")</f>
        <v>0.5</v>
      </c>
      <c r="BH23" s="55" t="n">
        <f aca="false">IF(AND($AW23&lt;&gt;"",$AY23&lt;&gt;""),$AY23-$AW23,"")</f>
        <v>0.45</v>
      </c>
      <c r="BI23" s="55" t="n">
        <f aca="false">IF(AND($AX23&lt;&gt;"",$AY23&lt;&gt;""),$AY23-$AX23,"")</f>
        <v>-0.0499999999999999</v>
      </c>
      <c r="BJ23" s="53" t="str">
        <f aca="false">IF($J23&lt;&gt;"",$J23,"")</f>
        <v/>
      </c>
      <c r="BL23" s="52"/>
      <c r="BM23" s="52" t="n">
        <f aca="false">IF(OR(COUNT(B23:D1022)=0,AND('Choix pédagogiques'!$C$3&lt;&gt;1,'Choix pédagogiques'!$C$3&lt;&gt;2)),"",IF(AND(OR('Choix pédagogiques'!$C$3=1,'Choix pédagogiques'!$C$3=2),$B23&lt;&gt;"",$C23&lt;&gt;"",$D23&lt;&gt;""),1,0))</f>
        <v>1</v>
      </c>
      <c r="BN23" s="52" t="n">
        <f aca="false">IF(OR(COUNT(G23:I1022)=0,AND('Choix pédagogiques'!$C$3&lt;&gt;1,'Choix pédagogiques'!$C$3&lt;&gt;2)),"",IF(AND(OR('Choix pédagogiques'!$C$3=1,'Choix pédagogiques'!$C$3=2),AND($G23&lt;&gt;"",$H23&lt;&gt;"",$I23&lt;&gt;"")),1,0))</f>
        <v>1</v>
      </c>
      <c r="BO23" s="52" t="str">
        <f aca="false">IF(OR(COUNT(B23:D1022)=0,COUNT(G23:I1022)=0,'Choix pédagogiques'!C$3&lt;&gt;3),"",IF(AND('Choix pédagogiques'!$C$3=3,$B23&lt;&gt;"",$C23&lt;&gt;"",$D23&lt;&gt;"",$G23&lt;&gt;"",$H23&lt;&gt;"",$I23&lt;&gt;""),1,0))</f>
        <v/>
      </c>
      <c r="BR23" s="52" t="n">
        <v>704</v>
      </c>
      <c r="BS23" s="52" t="n">
        <v>1675</v>
      </c>
    </row>
    <row r="24" s="54" customFormat="true" ht="18" hidden="false" customHeight="true" outlineLevel="0" collapsed="false">
      <c r="A24" s="49" t="n">
        <v>808</v>
      </c>
      <c r="B24" s="50" t="n">
        <v>4</v>
      </c>
      <c r="C24" s="50" t="n">
        <v>15</v>
      </c>
      <c r="D24" s="50" t="n">
        <v>17</v>
      </c>
      <c r="E24" s="51"/>
      <c r="F24" s="49" t="n">
        <v>1880</v>
      </c>
      <c r="G24" s="50" t="n">
        <v>1</v>
      </c>
      <c r="H24" s="50" t="n">
        <v>15</v>
      </c>
      <c r="I24" s="50" t="n">
        <v>15</v>
      </c>
      <c r="J24" s="51"/>
      <c r="K24" s="52" t="n">
        <f aca="false">IF($A24&lt;&gt;"",$A24,"")</f>
        <v>808</v>
      </c>
      <c r="L24" s="53" t="n">
        <f aca="false">IF(AND($B24&lt;&gt;"",$C24&lt;&gt;""),$C24-$B24,"")</f>
        <v>11</v>
      </c>
      <c r="M24" s="53" t="n">
        <f aca="false">IF(AND($B24&lt;&gt;"",$D24&lt;&gt;""),$D24-$B24,"")</f>
        <v>13</v>
      </c>
      <c r="N24" s="53" t="n">
        <f aca="false">IF(AND($C24&lt;&gt;"",$D24&lt;&gt;""),$D24-$C24,"")</f>
        <v>2</v>
      </c>
      <c r="O24" s="53" t="str">
        <f aca="false">IF($E24&lt;&gt;"",$E24,"")</f>
        <v/>
      </c>
      <c r="P24" s="52" t="n">
        <f aca="false">IF($F24&lt;&gt;"",$F24,"")</f>
        <v>1880</v>
      </c>
      <c r="Q24" s="53" t="n">
        <f aca="false">IF(AND($G24&lt;&gt;"",$H24&lt;&gt;""),$H24-$G24,"")</f>
        <v>14</v>
      </c>
      <c r="R24" s="53" t="n">
        <f aca="false">IF(AND($G24&lt;&gt;"",$I24&lt;&gt;""),$I24-$G24,"")</f>
        <v>14</v>
      </c>
      <c r="S24" s="53" t="n">
        <f aca="false">IF(AND($H24&lt;&gt;"",$I24&lt;&gt;""),$I24-$H24,"")</f>
        <v>0</v>
      </c>
      <c r="T24" s="53" t="str">
        <f aca="false">IF($J24&lt;&gt;"",$J24,"")</f>
        <v/>
      </c>
      <c r="V24" s="52" t="n">
        <f aca="false">IF($A24&lt;&gt;"",$A24,"")</f>
        <v>808</v>
      </c>
      <c r="W24" s="53" t="n">
        <f aca="false">IF(AND(OR('Choix pédagogiques'!$C$3=1,'Choix pédagogiques'!$C$3=2),$BM24=1),B24,IF(AND('Choix pédagogiques'!$C$3=3,$BO24=1),B24,""))</f>
        <v>4</v>
      </c>
      <c r="X24" s="53" t="n">
        <f aca="false">IF(AND(OR('Choix pédagogiques'!$C$3=1,'Choix pédagogiques'!$C$3=2),$BM24=1),C24,IF(AND('Choix pédagogiques'!$C$3=3,$BO24=1),C24,""))</f>
        <v>15</v>
      </c>
      <c r="Y24" s="53" t="n">
        <f aca="false">IF(AND(OR('Choix pédagogiques'!$C$3=1,'Choix pédagogiques'!$C$3=2),$BM24=1),D24,IF(AND('Choix pédagogiques'!$C$3=3,$BO24=1),D24,""))</f>
        <v>17</v>
      </c>
      <c r="Z24" s="53" t="str">
        <f aca="false">IF($E24&lt;&gt;"",$E24,"")</f>
        <v/>
      </c>
      <c r="AA24" s="52" t="n">
        <f aca="false">IF($F24&lt;&gt;"",$F24,"")</f>
        <v>1880</v>
      </c>
      <c r="AB24" s="53" t="n">
        <f aca="false">IF(AND(OR('Choix pédagogiques'!$C$3=1,'Choix pédagogiques'!$C$3=2),$BN24=1),G24,IF(AND('Choix pédagogiques'!$C$3=3,$BO24=1),G24,""))</f>
        <v>1</v>
      </c>
      <c r="AC24" s="53" t="n">
        <f aca="false">IF(AND(OR('Choix pédagogiques'!$C$3=1,'Choix pédagogiques'!$C$3=2),$BN24=1),H24,IF(AND('Choix pédagogiques'!$C$3=3,$BO24=1),H24,""))</f>
        <v>15</v>
      </c>
      <c r="AD24" s="53" t="n">
        <f aca="false">IF(AND(OR('Choix pédagogiques'!$C$3=1,'Choix pédagogiques'!$C$3=2),$BN24=1),I24,IF(AND('Choix pédagogiques'!$C$3=3,$BO24=1),I24,""))</f>
        <v>15</v>
      </c>
      <c r="AE24" s="53" t="str">
        <f aca="false">IF($J24&lt;&gt;"",$J24,"")</f>
        <v/>
      </c>
      <c r="AF24" s="52" t="n">
        <f aca="false">IF($A24&lt;&gt;"",$A24,"")</f>
        <v>808</v>
      </c>
      <c r="AG24" s="53" t="n">
        <f aca="false">IF(AND($W24&lt;&gt;"",$X24&lt;&gt;""),$X24-$W24,"")</f>
        <v>11</v>
      </c>
      <c r="AH24" s="53" t="n">
        <f aca="false">IF(AND($W24&lt;&gt;"",$Y24&lt;&gt;""),$Y24-$W24,"")</f>
        <v>13</v>
      </c>
      <c r="AI24" s="53" t="n">
        <f aca="false">IF(AND($X24&lt;&gt;"",$Y24&lt;&gt;""),$Y24-$X24,"")</f>
        <v>2</v>
      </c>
      <c r="AJ24" s="53" t="str">
        <f aca="false">IF($E24&lt;&gt;"",$E24,"")</f>
        <v/>
      </c>
      <c r="AK24" s="52" t="n">
        <f aca="false">IF($F24&lt;&gt;"",$F24,"")</f>
        <v>1880</v>
      </c>
      <c r="AL24" s="53" t="n">
        <f aca="false">IF(AND($AB24&lt;&gt;"",$AC24&lt;&gt;""),$AC24-$AB24,"")</f>
        <v>14</v>
      </c>
      <c r="AM24" s="53" t="n">
        <f aca="false">IF(AND($AB24&lt;&gt;"",$AD24&lt;&gt;""),$AD24-$AB24,"")</f>
        <v>14</v>
      </c>
      <c r="AN24" s="53" t="n">
        <f aca="false">IF(AND($AC24&lt;&gt;"",$AD24&lt;&gt;""),$AD24-$AC24,"")</f>
        <v>0</v>
      </c>
      <c r="AO24" s="53" t="str">
        <f aca="false">IF($J24&lt;&gt;"",$J24,"")</f>
        <v/>
      </c>
      <c r="AQ24" s="52" t="n">
        <f aca="false">IF($A24&lt;&gt;"",$A24,"")</f>
        <v>808</v>
      </c>
      <c r="AR24" s="55" t="n">
        <f aca="false">IF(AND('Choix pédagogiques'!$C$4&lt;&gt;"?",'Choix pédagogiques'!$C$5&lt;&gt;"?",W24&lt;&gt;""),(W24-'Choix pédagogiques'!$C$4)/('Choix pédagogiques'!$C$5-'Choix pédagogiques'!$C$4),"")</f>
        <v>0.2</v>
      </c>
      <c r="AS24" s="55" t="n">
        <f aca="false">IF(AND('Choix pédagogiques'!$C$4&lt;&gt;"?",'Choix pédagogiques'!$C$5&lt;&gt;"?",X24&lt;&gt;""),(X24-'Choix pédagogiques'!$C$4)/('Choix pédagogiques'!$C$5-'Choix pédagogiques'!$C$4),"")</f>
        <v>0.75</v>
      </c>
      <c r="AT24" s="55" t="n">
        <f aca="false">IF(AND('Choix pédagogiques'!$C$4&lt;&gt;"?",'Choix pédagogiques'!$C$5&lt;&gt;"?",Y24&lt;&gt;""),(Y24-'Choix pédagogiques'!$C$4)/('Choix pédagogiques'!$C$5-'Choix pédagogiques'!$C$4),"")</f>
        <v>0.85</v>
      </c>
      <c r="AU24" s="53" t="str">
        <f aca="false">IF($E24&lt;&gt;"",$E24,"")</f>
        <v/>
      </c>
      <c r="AV24" s="52" t="n">
        <f aca="false">IF($F24&lt;&gt;"",$F24,"")</f>
        <v>1880</v>
      </c>
      <c r="AW24" s="55" t="n">
        <f aca="false">IF(AND('Choix pédagogiques'!$C$4&lt;&gt;"?",'Choix pédagogiques'!$C$5&lt;&gt;"?",AB24&lt;&gt;""),(AB24-'Choix pédagogiques'!$C$4)/('Choix pédagogiques'!$C$5-'Choix pédagogiques'!$C$4),"")</f>
        <v>0.05</v>
      </c>
      <c r="AX24" s="55" t="n">
        <f aca="false">IF(AND('Choix pédagogiques'!$C$4&lt;&gt;"?",'Choix pédagogiques'!$C$5&lt;&gt;"?",AC24&lt;&gt;""),(AC24-'Choix pédagogiques'!$C$4)/('Choix pédagogiques'!$C$5-'Choix pédagogiques'!$C$4),"")</f>
        <v>0.75</v>
      </c>
      <c r="AY24" s="55" t="n">
        <f aca="false">IF(AND('Choix pédagogiques'!$C$4&lt;&gt;"?",'Choix pédagogiques'!$C$5&lt;&gt;"?",AD24&lt;&gt;""),(AD24-'Choix pédagogiques'!$C$4)/('Choix pédagogiques'!$C$5-'Choix pédagogiques'!$C$4),"")</f>
        <v>0.75</v>
      </c>
      <c r="AZ24" s="53" t="str">
        <f aca="false">IF($J24&lt;&gt;"",$J24,"")</f>
        <v/>
      </c>
      <c r="BA24" s="52" t="n">
        <f aca="false">IF($A24&lt;&gt;"",$A24,"")</f>
        <v>808</v>
      </c>
      <c r="BB24" s="55" t="n">
        <f aca="false">IF(AND($AR24&lt;&gt;"",$AS24&lt;&gt;""),$AS24-$AR24,"")</f>
        <v>0.55</v>
      </c>
      <c r="BC24" s="55" t="n">
        <f aca="false">IF(AND($AR24&lt;&gt;"",$AT24&lt;&gt;""),$AT24-$AR24,"")</f>
        <v>0.65</v>
      </c>
      <c r="BD24" s="55" t="n">
        <f aca="false">IF(AND($AS24&lt;&gt;"",$AT24&lt;&gt;""),$AT24-$AS24,"")</f>
        <v>0.1</v>
      </c>
      <c r="BE24" s="53" t="str">
        <f aca="false">IF($E24&lt;&gt;"",$E24,"")</f>
        <v/>
      </c>
      <c r="BF24" s="52" t="n">
        <f aca="false">IF($F24&lt;&gt;"",$F24,"")</f>
        <v>1880</v>
      </c>
      <c r="BG24" s="55" t="n">
        <f aca="false">IF(AND($AW24&lt;&gt;"",$AX24&lt;&gt;""),$AX24-$AW24,"")</f>
        <v>0.7</v>
      </c>
      <c r="BH24" s="55" t="n">
        <f aca="false">IF(AND($AW24&lt;&gt;"",$AY24&lt;&gt;""),$AY24-$AW24,"")</f>
        <v>0.7</v>
      </c>
      <c r="BI24" s="55" t="n">
        <f aca="false">IF(AND($AX24&lt;&gt;"",$AY24&lt;&gt;""),$AY24-$AX24,"")</f>
        <v>0</v>
      </c>
      <c r="BJ24" s="53" t="str">
        <f aca="false">IF($J24&lt;&gt;"",$J24,"")</f>
        <v/>
      </c>
      <c r="BL24" s="52"/>
      <c r="BM24" s="52" t="n">
        <f aca="false">IF(OR(COUNT(B24:D1023)=0,AND('Choix pédagogiques'!$C$3&lt;&gt;1,'Choix pédagogiques'!$C$3&lt;&gt;2)),"",IF(AND(OR('Choix pédagogiques'!$C$3=1,'Choix pédagogiques'!$C$3=2),$B24&lt;&gt;"",$C24&lt;&gt;"",$D24&lt;&gt;""),1,0))</f>
        <v>1</v>
      </c>
      <c r="BN24" s="52" t="n">
        <f aca="false">IF(OR(COUNT(G24:I1023)=0,AND('Choix pédagogiques'!$C$3&lt;&gt;1,'Choix pédagogiques'!$C$3&lt;&gt;2)),"",IF(AND(OR('Choix pédagogiques'!$C$3=1,'Choix pédagogiques'!$C$3=2),AND($G24&lt;&gt;"",$H24&lt;&gt;"",$I24&lt;&gt;"")),1,0))</f>
        <v>1</v>
      </c>
      <c r="BO24" s="52" t="str">
        <f aca="false">IF(OR(COUNT(B24:D1023)=0,COUNT(G24:I1023)=0,'Choix pédagogiques'!C$3&lt;&gt;3),"",IF(AND('Choix pédagogiques'!$C$3=3,$B24&lt;&gt;"",$C24&lt;&gt;"",$D24&lt;&gt;"",$G24&lt;&gt;"",$H24&lt;&gt;"",$I24&lt;&gt;""),1,0))</f>
        <v/>
      </c>
      <c r="BR24" s="52" t="n">
        <v>808</v>
      </c>
      <c r="BS24" s="52" t="n">
        <v>1880</v>
      </c>
    </row>
    <row r="25" s="54" customFormat="true" ht="18" hidden="false" customHeight="true" outlineLevel="0" collapsed="false">
      <c r="A25" s="49" t="n">
        <v>23</v>
      </c>
      <c r="B25" s="50" t="n">
        <v>5</v>
      </c>
      <c r="C25" s="50" t="n">
        <v>14</v>
      </c>
      <c r="D25" s="50" t="n">
        <v>10</v>
      </c>
      <c r="E25" s="51"/>
      <c r="F25" s="49" t="n">
        <v>1863</v>
      </c>
      <c r="G25" s="50" t="n">
        <v>2</v>
      </c>
      <c r="H25" s="50" t="n">
        <v>16</v>
      </c>
      <c r="I25" s="50" t="n">
        <v>14</v>
      </c>
      <c r="J25" s="51"/>
      <c r="K25" s="52" t="n">
        <f aca="false">IF($A25&lt;&gt;"",$A25,"")</f>
        <v>23</v>
      </c>
      <c r="L25" s="53" t="n">
        <f aca="false">IF(AND($B25&lt;&gt;"",$C25&lt;&gt;""),$C25-$B25,"")</f>
        <v>9</v>
      </c>
      <c r="M25" s="53" t="n">
        <f aca="false">IF(AND($B25&lt;&gt;"",$D25&lt;&gt;""),$D25-$B25,"")</f>
        <v>5</v>
      </c>
      <c r="N25" s="53" t="n">
        <f aca="false">IF(AND($C25&lt;&gt;"",$D25&lt;&gt;""),$D25-$C25,"")</f>
        <v>-4</v>
      </c>
      <c r="O25" s="53" t="str">
        <f aca="false">IF($E25&lt;&gt;"",$E25,"")</f>
        <v/>
      </c>
      <c r="P25" s="52" t="n">
        <f aca="false">IF($F25&lt;&gt;"",$F25,"")</f>
        <v>1863</v>
      </c>
      <c r="Q25" s="53" t="n">
        <f aca="false">IF(AND($G25&lt;&gt;"",$H25&lt;&gt;""),$H25-$G25,"")</f>
        <v>14</v>
      </c>
      <c r="R25" s="53" t="n">
        <f aca="false">IF(AND($G25&lt;&gt;"",$I25&lt;&gt;""),$I25-$G25,"")</f>
        <v>12</v>
      </c>
      <c r="S25" s="53" t="n">
        <f aca="false">IF(AND($H25&lt;&gt;"",$I25&lt;&gt;""),$I25-$H25,"")</f>
        <v>-2</v>
      </c>
      <c r="T25" s="53" t="str">
        <f aca="false">IF($J25&lt;&gt;"",$J25,"")</f>
        <v/>
      </c>
      <c r="V25" s="52" t="n">
        <f aca="false">IF($A25&lt;&gt;"",$A25,"")</f>
        <v>23</v>
      </c>
      <c r="W25" s="53" t="n">
        <f aca="false">IF(AND(OR('Choix pédagogiques'!$C$3=1,'Choix pédagogiques'!$C$3=2),$BM25=1),B25,IF(AND('Choix pédagogiques'!$C$3=3,$BO25=1),B25,""))</f>
        <v>5</v>
      </c>
      <c r="X25" s="53" t="n">
        <f aca="false">IF(AND(OR('Choix pédagogiques'!$C$3=1,'Choix pédagogiques'!$C$3=2),$BM25=1),C25,IF(AND('Choix pédagogiques'!$C$3=3,$BO25=1),C25,""))</f>
        <v>14</v>
      </c>
      <c r="Y25" s="53" t="n">
        <f aca="false">IF(AND(OR('Choix pédagogiques'!$C$3=1,'Choix pédagogiques'!$C$3=2),$BM25=1),D25,IF(AND('Choix pédagogiques'!$C$3=3,$BO25=1),D25,""))</f>
        <v>10</v>
      </c>
      <c r="Z25" s="53" t="str">
        <f aca="false">IF($E25&lt;&gt;"",$E25,"")</f>
        <v/>
      </c>
      <c r="AA25" s="52" t="n">
        <f aca="false">IF($F25&lt;&gt;"",$F25,"")</f>
        <v>1863</v>
      </c>
      <c r="AB25" s="53" t="n">
        <f aca="false">IF(AND(OR('Choix pédagogiques'!$C$3=1,'Choix pédagogiques'!$C$3=2),$BN25=1),G25,IF(AND('Choix pédagogiques'!$C$3=3,$BO25=1),G25,""))</f>
        <v>2</v>
      </c>
      <c r="AC25" s="53" t="n">
        <f aca="false">IF(AND(OR('Choix pédagogiques'!$C$3=1,'Choix pédagogiques'!$C$3=2),$BN25=1),H25,IF(AND('Choix pédagogiques'!$C$3=3,$BO25=1),H25,""))</f>
        <v>16</v>
      </c>
      <c r="AD25" s="53" t="n">
        <f aca="false">IF(AND(OR('Choix pédagogiques'!$C$3=1,'Choix pédagogiques'!$C$3=2),$BN25=1),I25,IF(AND('Choix pédagogiques'!$C$3=3,$BO25=1),I25,""))</f>
        <v>14</v>
      </c>
      <c r="AE25" s="53" t="str">
        <f aca="false">IF($J25&lt;&gt;"",$J25,"")</f>
        <v/>
      </c>
      <c r="AF25" s="52" t="n">
        <f aca="false">IF($A25&lt;&gt;"",$A25,"")</f>
        <v>23</v>
      </c>
      <c r="AG25" s="53" t="n">
        <f aca="false">IF(AND($W25&lt;&gt;"",$X25&lt;&gt;""),$X25-$W25,"")</f>
        <v>9</v>
      </c>
      <c r="AH25" s="53" t="n">
        <f aca="false">IF(AND($W25&lt;&gt;"",$Y25&lt;&gt;""),$Y25-$W25,"")</f>
        <v>5</v>
      </c>
      <c r="AI25" s="53" t="n">
        <f aca="false">IF(AND($X25&lt;&gt;"",$Y25&lt;&gt;""),$Y25-$X25,"")</f>
        <v>-4</v>
      </c>
      <c r="AJ25" s="53" t="str">
        <f aca="false">IF($E25&lt;&gt;"",$E25,"")</f>
        <v/>
      </c>
      <c r="AK25" s="52" t="n">
        <f aca="false">IF($F25&lt;&gt;"",$F25,"")</f>
        <v>1863</v>
      </c>
      <c r="AL25" s="53" t="n">
        <f aca="false">IF(AND($AB25&lt;&gt;"",$AC25&lt;&gt;""),$AC25-$AB25,"")</f>
        <v>14</v>
      </c>
      <c r="AM25" s="53" t="n">
        <f aca="false">IF(AND($AB25&lt;&gt;"",$AD25&lt;&gt;""),$AD25-$AB25,"")</f>
        <v>12</v>
      </c>
      <c r="AN25" s="53" t="n">
        <f aca="false">IF(AND($AC25&lt;&gt;"",$AD25&lt;&gt;""),$AD25-$AC25,"")</f>
        <v>-2</v>
      </c>
      <c r="AO25" s="53" t="str">
        <f aca="false">IF($J25&lt;&gt;"",$J25,"")</f>
        <v/>
      </c>
      <c r="AQ25" s="52" t="n">
        <f aca="false">IF($A25&lt;&gt;"",$A25,"")</f>
        <v>23</v>
      </c>
      <c r="AR25" s="55" t="n">
        <f aca="false">IF(AND('Choix pédagogiques'!$C$4&lt;&gt;"?",'Choix pédagogiques'!$C$5&lt;&gt;"?",W25&lt;&gt;""),(W25-'Choix pédagogiques'!$C$4)/('Choix pédagogiques'!$C$5-'Choix pédagogiques'!$C$4),"")</f>
        <v>0.25</v>
      </c>
      <c r="AS25" s="55" t="n">
        <f aca="false">IF(AND('Choix pédagogiques'!$C$4&lt;&gt;"?",'Choix pédagogiques'!$C$5&lt;&gt;"?",X25&lt;&gt;""),(X25-'Choix pédagogiques'!$C$4)/('Choix pédagogiques'!$C$5-'Choix pédagogiques'!$C$4),"")</f>
        <v>0.7</v>
      </c>
      <c r="AT25" s="55" t="n">
        <f aca="false">IF(AND('Choix pédagogiques'!$C$4&lt;&gt;"?",'Choix pédagogiques'!$C$5&lt;&gt;"?",Y25&lt;&gt;""),(Y25-'Choix pédagogiques'!$C$4)/('Choix pédagogiques'!$C$5-'Choix pédagogiques'!$C$4),"")</f>
        <v>0.5</v>
      </c>
      <c r="AU25" s="53" t="str">
        <f aca="false">IF($E25&lt;&gt;"",$E25,"")</f>
        <v/>
      </c>
      <c r="AV25" s="52" t="n">
        <f aca="false">IF($F25&lt;&gt;"",$F25,"")</f>
        <v>1863</v>
      </c>
      <c r="AW25" s="55" t="n">
        <f aca="false">IF(AND('Choix pédagogiques'!$C$4&lt;&gt;"?",'Choix pédagogiques'!$C$5&lt;&gt;"?",AB25&lt;&gt;""),(AB25-'Choix pédagogiques'!$C$4)/('Choix pédagogiques'!$C$5-'Choix pédagogiques'!$C$4),"")</f>
        <v>0.1</v>
      </c>
      <c r="AX25" s="55" t="n">
        <f aca="false">IF(AND('Choix pédagogiques'!$C$4&lt;&gt;"?",'Choix pédagogiques'!$C$5&lt;&gt;"?",AC25&lt;&gt;""),(AC25-'Choix pédagogiques'!$C$4)/('Choix pédagogiques'!$C$5-'Choix pédagogiques'!$C$4),"")</f>
        <v>0.8</v>
      </c>
      <c r="AY25" s="55" t="n">
        <f aca="false">IF(AND('Choix pédagogiques'!$C$4&lt;&gt;"?",'Choix pédagogiques'!$C$5&lt;&gt;"?",AD25&lt;&gt;""),(AD25-'Choix pédagogiques'!$C$4)/('Choix pédagogiques'!$C$5-'Choix pédagogiques'!$C$4),"")</f>
        <v>0.7</v>
      </c>
      <c r="AZ25" s="53" t="str">
        <f aca="false">IF($J25&lt;&gt;"",$J25,"")</f>
        <v/>
      </c>
      <c r="BA25" s="52" t="n">
        <f aca="false">IF($A25&lt;&gt;"",$A25,"")</f>
        <v>23</v>
      </c>
      <c r="BB25" s="55" t="n">
        <f aca="false">IF(AND($AR25&lt;&gt;"",$AS25&lt;&gt;""),$AS25-$AR25,"")</f>
        <v>0.45</v>
      </c>
      <c r="BC25" s="55" t="n">
        <f aca="false">IF(AND($AR25&lt;&gt;"",$AT25&lt;&gt;""),$AT25-$AR25,"")</f>
        <v>0.25</v>
      </c>
      <c r="BD25" s="55" t="n">
        <f aca="false">IF(AND($AS25&lt;&gt;"",$AT25&lt;&gt;""),$AT25-$AS25,"")</f>
        <v>-0.2</v>
      </c>
      <c r="BE25" s="53" t="str">
        <f aca="false">IF($E25&lt;&gt;"",$E25,"")</f>
        <v/>
      </c>
      <c r="BF25" s="52" t="n">
        <f aca="false">IF($F25&lt;&gt;"",$F25,"")</f>
        <v>1863</v>
      </c>
      <c r="BG25" s="55" t="n">
        <f aca="false">IF(AND($AW25&lt;&gt;"",$AX25&lt;&gt;""),$AX25-$AW25,"")</f>
        <v>0.7</v>
      </c>
      <c r="BH25" s="55" t="n">
        <f aca="false">IF(AND($AW25&lt;&gt;"",$AY25&lt;&gt;""),$AY25-$AW25,"")</f>
        <v>0.6</v>
      </c>
      <c r="BI25" s="55" t="n">
        <f aca="false">IF(AND($AX25&lt;&gt;"",$AY25&lt;&gt;""),$AY25-$AX25,"")</f>
        <v>-0.1</v>
      </c>
      <c r="BJ25" s="53" t="str">
        <f aca="false">IF($J25&lt;&gt;"",$J25,"")</f>
        <v/>
      </c>
      <c r="BL25" s="52"/>
      <c r="BM25" s="52" t="n">
        <f aca="false">IF(OR(COUNT(B25:D1024)=0,AND('Choix pédagogiques'!$C$3&lt;&gt;1,'Choix pédagogiques'!$C$3&lt;&gt;2)),"",IF(AND(OR('Choix pédagogiques'!$C$3=1,'Choix pédagogiques'!$C$3=2),$B25&lt;&gt;"",$C25&lt;&gt;"",$D25&lt;&gt;""),1,0))</f>
        <v>1</v>
      </c>
      <c r="BN25" s="52" t="n">
        <f aca="false">IF(OR(COUNT(G25:I1024)=0,AND('Choix pédagogiques'!$C$3&lt;&gt;1,'Choix pédagogiques'!$C$3&lt;&gt;2)),"",IF(AND(OR('Choix pédagogiques'!$C$3=1,'Choix pédagogiques'!$C$3=2),AND($G25&lt;&gt;"",$H25&lt;&gt;"",$I25&lt;&gt;"")),1,0))</f>
        <v>1</v>
      </c>
      <c r="BO25" s="52" t="str">
        <f aca="false">IF(OR(COUNT(B25:D1024)=0,COUNT(G25:I1024)=0,'Choix pédagogiques'!C$3&lt;&gt;3),"",IF(AND('Choix pédagogiques'!$C$3=3,$B25&lt;&gt;"",$C25&lt;&gt;"",$D25&lt;&gt;"",$G25&lt;&gt;"",$H25&lt;&gt;"",$I25&lt;&gt;""),1,0))</f>
        <v/>
      </c>
      <c r="BR25" s="52" t="n">
        <v>23</v>
      </c>
      <c r="BS25" s="52" t="n">
        <v>1863</v>
      </c>
    </row>
    <row r="26" s="54" customFormat="true" ht="18" hidden="false" customHeight="true" outlineLevel="0" collapsed="false">
      <c r="A26" s="49" t="n">
        <v>130</v>
      </c>
      <c r="B26" s="50" t="n">
        <v>2</v>
      </c>
      <c r="C26" s="50" t="n">
        <v>16</v>
      </c>
      <c r="D26" s="50" t="n">
        <v>11</v>
      </c>
      <c r="E26" s="51"/>
      <c r="F26" s="49" t="n">
        <v>1928</v>
      </c>
      <c r="G26" s="50" t="n">
        <v>4</v>
      </c>
      <c r="H26" s="50" t="n">
        <v>17</v>
      </c>
      <c r="I26" s="50" t="n">
        <v>17</v>
      </c>
      <c r="J26" s="51"/>
      <c r="K26" s="52" t="n">
        <f aca="false">IF($A26&lt;&gt;"",$A26,"")</f>
        <v>130</v>
      </c>
      <c r="L26" s="53" t="n">
        <f aca="false">IF(AND($B26&lt;&gt;"",$C26&lt;&gt;""),$C26-$B26,"")</f>
        <v>14</v>
      </c>
      <c r="M26" s="53" t="n">
        <f aca="false">IF(AND($B26&lt;&gt;"",$D26&lt;&gt;""),$D26-$B26,"")</f>
        <v>9</v>
      </c>
      <c r="N26" s="53" t="n">
        <f aca="false">IF(AND($C26&lt;&gt;"",$D26&lt;&gt;""),$D26-$C26,"")</f>
        <v>-5</v>
      </c>
      <c r="O26" s="53" t="str">
        <f aca="false">IF($E26&lt;&gt;"",$E26,"")</f>
        <v/>
      </c>
      <c r="P26" s="52" t="n">
        <f aca="false">IF($F26&lt;&gt;"",$F26,"")</f>
        <v>1928</v>
      </c>
      <c r="Q26" s="53" t="n">
        <f aca="false">IF(AND($G26&lt;&gt;"",$H26&lt;&gt;""),$H26-$G26,"")</f>
        <v>13</v>
      </c>
      <c r="R26" s="53" t="n">
        <f aca="false">IF(AND($G26&lt;&gt;"",$I26&lt;&gt;""),$I26-$G26,"")</f>
        <v>13</v>
      </c>
      <c r="S26" s="53" t="n">
        <f aca="false">IF(AND($H26&lt;&gt;"",$I26&lt;&gt;""),$I26-$H26,"")</f>
        <v>0</v>
      </c>
      <c r="T26" s="53" t="str">
        <f aca="false">IF($J26&lt;&gt;"",$J26,"")</f>
        <v/>
      </c>
      <c r="V26" s="52" t="n">
        <f aca="false">IF($A26&lt;&gt;"",$A26,"")</f>
        <v>130</v>
      </c>
      <c r="W26" s="53" t="n">
        <f aca="false">IF(AND(OR('Choix pédagogiques'!$C$3=1,'Choix pédagogiques'!$C$3=2),$BM26=1),B26,IF(AND('Choix pédagogiques'!$C$3=3,$BO26=1),B26,""))</f>
        <v>2</v>
      </c>
      <c r="X26" s="53" t="n">
        <f aca="false">IF(AND(OR('Choix pédagogiques'!$C$3=1,'Choix pédagogiques'!$C$3=2),$BM26=1),C26,IF(AND('Choix pédagogiques'!$C$3=3,$BO26=1),C26,""))</f>
        <v>16</v>
      </c>
      <c r="Y26" s="53" t="n">
        <f aca="false">IF(AND(OR('Choix pédagogiques'!$C$3=1,'Choix pédagogiques'!$C$3=2),$BM26=1),D26,IF(AND('Choix pédagogiques'!$C$3=3,$BO26=1),D26,""))</f>
        <v>11</v>
      </c>
      <c r="Z26" s="53" t="str">
        <f aca="false">IF($E26&lt;&gt;"",$E26,"")</f>
        <v/>
      </c>
      <c r="AA26" s="52" t="n">
        <f aca="false">IF($F26&lt;&gt;"",$F26,"")</f>
        <v>1928</v>
      </c>
      <c r="AB26" s="53" t="n">
        <f aca="false">IF(AND(OR('Choix pédagogiques'!$C$3=1,'Choix pédagogiques'!$C$3=2),$BN26=1),G26,IF(AND('Choix pédagogiques'!$C$3=3,$BO26=1),G26,""))</f>
        <v>4</v>
      </c>
      <c r="AC26" s="53" t="n">
        <f aca="false">IF(AND(OR('Choix pédagogiques'!$C$3=1,'Choix pédagogiques'!$C$3=2),$BN26=1),H26,IF(AND('Choix pédagogiques'!$C$3=3,$BO26=1),H26,""))</f>
        <v>17</v>
      </c>
      <c r="AD26" s="53" t="n">
        <f aca="false">IF(AND(OR('Choix pédagogiques'!$C$3=1,'Choix pédagogiques'!$C$3=2),$BN26=1),I26,IF(AND('Choix pédagogiques'!$C$3=3,$BO26=1),I26,""))</f>
        <v>17</v>
      </c>
      <c r="AE26" s="53" t="str">
        <f aca="false">IF($J26&lt;&gt;"",$J26,"")</f>
        <v/>
      </c>
      <c r="AF26" s="52" t="n">
        <f aca="false">IF($A26&lt;&gt;"",$A26,"")</f>
        <v>130</v>
      </c>
      <c r="AG26" s="53" t="n">
        <f aca="false">IF(AND($W26&lt;&gt;"",$X26&lt;&gt;""),$X26-$W26,"")</f>
        <v>14</v>
      </c>
      <c r="AH26" s="53" t="n">
        <f aca="false">IF(AND($W26&lt;&gt;"",$Y26&lt;&gt;""),$Y26-$W26,"")</f>
        <v>9</v>
      </c>
      <c r="AI26" s="53" t="n">
        <f aca="false">IF(AND($X26&lt;&gt;"",$Y26&lt;&gt;""),$Y26-$X26,"")</f>
        <v>-5</v>
      </c>
      <c r="AJ26" s="53" t="str">
        <f aca="false">IF($E26&lt;&gt;"",$E26,"")</f>
        <v/>
      </c>
      <c r="AK26" s="52" t="n">
        <f aca="false">IF($F26&lt;&gt;"",$F26,"")</f>
        <v>1928</v>
      </c>
      <c r="AL26" s="53" t="n">
        <f aca="false">IF(AND($AB26&lt;&gt;"",$AC26&lt;&gt;""),$AC26-$AB26,"")</f>
        <v>13</v>
      </c>
      <c r="AM26" s="53" t="n">
        <f aca="false">IF(AND($AB26&lt;&gt;"",$AD26&lt;&gt;""),$AD26-$AB26,"")</f>
        <v>13</v>
      </c>
      <c r="AN26" s="53" t="n">
        <f aca="false">IF(AND($AC26&lt;&gt;"",$AD26&lt;&gt;""),$AD26-$AC26,"")</f>
        <v>0</v>
      </c>
      <c r="AO26" s="53" t="str">
        <f aca="false">IF($J26&lt;&gt;"",$J26,"")</f>
        <v/>
      </c>
      <c r="AQ26" s="52" t="n">
        <f aca="false">IF($A26&lt;&gt;"",$A26,"")</f>
        <v>130</v>
      </c>
      <c r="AR26" s="55" t="n">
        <f aca="false">IF(AND('Choix pédagogiques'!$C$4&lt;&gt;"?",'Choix pédagogiques'!$C$5&lt;&gt;"?",W26&lt;&gt;""),(W26-'Choix pédagogiques'!$C$4)/('Choix pédagogiques'!$C$5-'Choix pédagogiques'!$C$4),"")</f>
        <v>0.1</v>
      </c>
      <c r="AS26" s="55" t="n">
        <f aca="false">IF(AND('Choix pédagogiques'!$C$4&lt;&gt;"?",'Choix pédagogiques'!$C$5&lt;&gt;"?",X26&lt;&gt;""),(X26-'Choix pédagogiques'!$C$4)/('Choix pédagogiques'!$C$5-'Choix pédagogiques'!$C$4),"")</f>
        <v>0.8</v>
      </c>
      <c r="AT26" s="55" t="n">
        <f aca="false">IF(AND('Choix pédagogiques'!$C$4&lt;&gt;"?",'Choix pédagogiques'!$C$5&lt;&gt;"?",Y26&lt;&gt;""),(Y26-'Choix pédagogiques'!$C$4)/('Choix pédagogiques'!$C$5-'Choix pédagogiques'!$C$4),"")</f>
        <v>0.55</v>
      </c>
      <c r="AU26" s="53" t="str">
        <f aca="false">IF($E26&lt;&gt;"",$E26,"")</f>
        <v/>
      </c>
      <c r="AV26" s="52" t="n">
        <f aca="false">IF($F26&lt;&gt;"",$F26,"")</f>
        <v>1928</v>
      </c>
      <c r="AW26" s="55" t="n">
        <f aca="false">IF(AND('Choix pédagogiques'!$C$4&lt;&gt;"?",'Choix pédagogiques'!$C$5&lt;&gt;"?",AB26&lt;&gt;""),(AB26-'Choix pédagogiques'!$C$4)/('Choix pédagogiques'!$C$5-'Choix pédagogiques'!$C$4),"")</f>
        <v>0.2</v>
      </c>
      <c r="AX26" s="55" t="n">
        <f aca="false">IF(AND('Choix pédagogiques'!$C$4&lt;&gt;"?",'Choix pédagogiques'!$C$5&lt;&gt;"?",AC26&lt;&gt;""),(AC26-'Choix pédagogiques'!$C$4)/('Choix pédagogiques'!$C$5-'Choix pédagogiques'!$C$4),"")</f>
        <v>0.85</v>
      </c>
      <c r="AY26" s="55" t="n">
        <f aca="false">IF(AND('Choix pédagogiques'!$C$4&lt;&gt;"?",'Choix pédagogiques'!$C$5&lt;&gt;"?",AD26&lt;&gt;""),(AD26-'Choix pédagogiques'!$C$4)/('Choix pédagogiques'!$C$5-'Choix pédagogiques'!$C$4),"")</f>
        <v>0.85</v>
      </c>
      <c r="AZ26" s="53" t="str">
        <f aca="false">IF($J26&lt;&gt;"",$J26,"")</f>
        <v/>
      </c>
      <c r="BA26" s="52" t="n">
        <f aca="false">IF($A26&lt;&gt;"",$A26,"")</f>
        <v>130</v>
      </c>
      <c r="BB26" s="55" t="n">
        <f aca="false">IF(AND($AR26&lt;&gt;"",$AS26&lt;&gt;""),$AS26-$AR26,"")</f>
        <v>0.7</v>
      </c>
      <c r="BC26" s="55" t="n">
        <f aca="false">IF(AND($AR26&lt;&gt;"",$AT26&lt;&gt;""),$AT26-$AR26,"")</f>
        <v>0.45</v>
      </c>
      <c r="BD26" s="55" t="n">
        <f aca="false">IF(AND($AS26&lt;&gt;"",$AT26&lt;&gt;""),$AT26-$AS26,"")</f>
        <v>-0.25</v>
      </c>
      <c r="BE26" s="53" t="str">
        <f aca="false">IF($E26&lt;&gt;"",$E26,"")</f>
        <v/>
      </c>
      <c r="BF26" s="52" t="n">
        <f aca="false">IF($F26&lt;&gt;"",$F26,"")</f>
        <v>1928</v>
      </c>
      <c r="BG26" s="55" t="n">
        <f aca="false">IF(AND($AW26&lt;&gt;"",$AX26&lt;&gt;""),$AX26-$AW26,"")</f>
        <v>0.65</v>
      </c>
      <c r="BH26" s="55" t="n">
        <f aca="false">IF(AND($AW26&lt;&gt;"",$AY26&lt;&gt;""),$AY26-$AW26,"")</f>
        <v>0.65</v>
      </c>
      <c r="BI26" s="55" t="n">
        <f aca="false">IF(AND($AX26&lt;&gt;"",$AY26&lt;&gt;""),$AY26-$AX26,"")</f>
        <v>0</v>
      </c>
      <c r="BJ26" s="53" t="str">
        <f aca="false">IF($J26&lt;&gt;"",$J26,"")</f>
        <v/>
      </c>
      <c r="BL26" s="52"/>
      <c r="BM26" s="52" t="n">
        <f aca="false">IF(OR(COUNT(B26:D1025)=0,AND('Choix pédagogiques'!$C$3&lt;&gt;1,'Choix pédagogiques'!$C$3&lt;&gt;2)),"",IF(AND(OR('Choix pédagogiques'!$C$3=1,'Choix pédagogiques'!$C$3=2),$B26&lt;&gt;"",$C26&lt;&gt;"",$D26&lt;&gt;""),1,0))</f>
        <v>1</v>
      </c>
      <c r="BN26" s="52" t="n">
        <f aca="false">IF(OR(COUNT(G26:I1025)=0,AND('Choix pédagogiques'!$C$3&lt;&gt;1,'Choix pédagogiques'!$C$3&lt;&gt;2)),"",IF(AND(OR('Choix pédagogiques'!$C$3=1,'Choix pédagogiques'!$C$3=2),AND($G26&lt;&gt;"",$H26&lt;&gt;"",$I26&lt;&gt;"")),1,0))</f>
        <v>1</v>
      </c>
      <c r="BO26" s="52" t="str">
        <f aca="false">IF(OR(COUNT(B26:D1025)=0,COUNT(G26:I1025)=0,'Choix pédagogiques'!C$3&lt;&gt;3),"",IF(AND('Choix pédagogiques'!$C$3=3,$B26&lt;&gt;"",$C26&lt;&gt;"",$D26&lt;&gt;"",$G26&lt;&gt;"",$H26&lt;&gt;"",$I26&lt;&gt;""),1,0))</f>
        <v/>
      </c>
      <c r="BR26" s="52" t="n">
        <v>130</v>
      </c>
      <c r="BS26" s="52" t="n">
        <v>1928</v>
      </c>
    </row>
    <row r="27" s="54" customFormat="true" ht="18" hidden="false" customHeight="true" outlineLevel="0" collapsed="false">
      <c r="A27" s="49" t="n">
        <v>638</v>
      </c>
      <c r="B27" s="50" t="n">
        <v>3</v>
      </c>
      <c r="C27" s="50" t="n">
        <v>12</v>
      </c>
      <c r="D27" s="50" t="n">
        <v>8</v>
      </c>
      <c r="E27" s="51"/>
      <c r="F27" s="49" t="n">
        <v>1944</v>
      </c>
      <c r="G27" s="50" t="n">
        <v>6</v>
      </c>
      <c r="H27" s="50" t="n">
        <v>18</v>
      </c>
      <c r="I27" s="50" t="n">
        <v>18</v>
      </c>
      <c r="J27" s="51"/>
      <c r="K27" s="52" t="n">
        <f aca="false">IF($A27&lt;&gt;"",$A27,"")</f>
        <v>638</v>
      </c>
      <c r="L27" s="53" t="n">
        <f aca="false">IF(AND($B27&lt;&gt;"",$C27&lt;&gt;""),$C27-$B27,"")</f>
        <v>9</v>
      </c>
      <c r="M27" s="53" t="n">
        <f aca="false">IF(AND($B27&lt;&gt;"",$D27&lt;&gt;""),$D27-$B27,"")</f>
        <v>5</v>
      </c>
      <c r="N27" s="53" t="n">
        <f aca="false">IF(AND($C27&lt;&gt;"",$D27&lt;&gt;""),$D27-$C27,"")</f>
        <v>-4</v>
      </c>
      <c r="O27" s="53" t="str">
        <f aca="false">IF($E27&lt;&gt;"",$E27,"")</f>
        <v/>
      </c>
      <c r="P27" s="52" t="n">
        <f aca="false">IF($F27&lt;&gt;"",$F27,"")</f>
        <v>1944</v>
      </c>
      <c r="Q27" s="53" t="n">
        <f aca="false">IF(AND($G27&lt;&gt;"",$H27&lt;&gt;""),$H27-$G27,"")</f>
        <v>12</v>
      </c>
      <c r="R27" s="53" t="n">
        <f aca="false">IF(AND($G27&lt;&gt;"",$I27&lt;&gt;""),$I27-$G27,"")</f>
        <v>12</v>
      </c>
      <c r="S27" s="53" t="n">
        <f aca="false">IF(AND($H27&lt;&gt;"",$I27&lt;&gt;""),$I27-$H27,"")</f>
        <v>0</v>
      </c>
      <c r="T27" s="53" t="str">
        <f aca="false">IF($J27&lt;&gt;"",$J27,"")</f>
        <v/>
      </c>
      <c r="V27" s="52" t="n">
        <f aca="false">IF($A27&lt;&gt;"",$A27,"")</f>
        <v>638</v>
      </c>
      <c r="W27" s="53" t="n">
        <f aca="false">IF(AND(OR('Choix pédagogiques'!$C$3=1,'Choix pédagogiques'!$C$3=2),$BM27=1),B27,IF(AND('Choix pédagogiques'!$C$3=3,$BO27=1),B27,""))</f>
        <v>3</v>
      </c>
      <c r="X27" s="53" t="n">
        <f aca="false">IF(AND(OR('Choix pédagogiques'!$C$3=1,'Choix pédagogiques'!$C$3=2),$BM27=1),C27,IF(AND('Choix pédagogiques'!$C$3=3,$BO27=1),C27,""))</f>
        <v>12</v>
      </c>
      <c r="Y27" s="53" t="n">
        <f aca="false">IF(AND(OR('Choix pédagogiques'!$C$3=1,'Choix pédagogiques'!$C$3=2),$BM27=1),D27,IF(AND('Choix pédagogiques'!$C$3=3,$BO27=1),D27,""))</f>
        <v>8</v>
      </c>
      <c r="Z27" s="53" t="str">
        <f aca="false">IF($E27&lt;&gt;"",$E27,"")</f>
        <v/>
      </c>
      <c r="AA27" s="52" t="n">
        <f aca="false">IF($F27&lt;&gt;"",$F27,"")</f>
        <v>1944</v>
      </c>
      <c r="AB27" s="53" t="n">
        <f aca="false">IF(AND(OR('Choix pédagogiques'!$C$3=1,'Choix pédagogiques'!$C$3=2),$BN27=1),G27,IF(AND('Choix pédagogiques'!$C$3=3,$BO27=1),G27,""))</f>
        <v>6</v>
      </c>
      <c r="AC27" s="53" t="n">
        <f aca="false">IF(AND(OR('Choix pédagogiques'!$C$3=1,'Choix pédagogiques'!$C$3=2),$BN27=1),H27,IF(AND('Choix pédagogiques'!$C$3=3,$BO27=1),H27,""))</f>
        <v>18</v>
      </c>
      <c r="AD27" s="53" t="n">
        <f aca="false">IF(AND(OR('Choix pédagogiques'!$C$3=1,'Choix pédagogiques'!$C$3=2),$BN27=1),I27,IF(AND('Choix pédagogiques'!$C$3=3,$BO27=1),I27,""))</f>
        <v>18</v>
      </c>
      <c r="AE27" s="53" t="str">
        <f aca="false">IF($J27&lt;&gt;"",$J27,"")</f>
        <v/>
      </c>
      <c r="AF27" s="52" t="n">
        <f aca="false">IF($A27&lt;&gt;"",$A27,"")</f>
        <v>638</v>
      </c>
      <c r="AG27" s="53" t="n">
        <f aca="false">IF(AND($W27&lt;&gt;"",$X27&lt;&gt;""),$X27-$W27,"")</f>
        <v>9</v>
      </c>
      <c r="AH27" s="53" t="n">
        <f aca="false">IF(AND($W27&lt;&gt;"",$Y27&lt;&gt;""),$Y27-$W27,"")</f>
        <v>5</v>
      </c>
      <c r="AI27" s="53" t="n">
        <f aca="false">IF(AND($X27&lt;&gt;"",$Y27&lt;&gt;""),$Y27-$X27,"")</f>
        <v>-4</v>
      </c>
      <c r="AJ27" s="53" t="str">
        <f aca="false">IF($E27&lt;&gt;"",$E27,"")</f>
        <v/>
      </c>
      <c r="AK27" s="52" t="n">
        <f aca="false">IF($F27&lt;&gt;"",$F27,"")</f>
        <v>1944</v>
      </c>
      <c r="AL27" s="53" t="n">
        <f aca="false">IF(AND($AB27&lt;&gt;"",$AC27&lt;&gt;""),$AC27-$AB27,"")</f>
        <v>12</v>
      </c>
      <c r="AM27" s="53" t="n">
        <f aca="false">IF(AND($AB27&lt;&gt;"",$AD27&lt;&gt;""),$AD27-$AB27,"")</f>
        <v>12</v>
      </c>
      <c r="AN27" s="53" t="n">
        <f aca="false">IF(AND($AC27&lt;&gt;"",$AD27&lt;&gt;""),$AD27-$AC27,"")</f>
        <v>0</v>
      </c>
      <c r="AO27" s="53" t="str">
        <f aca="false">IF($J27&lt;&gt;"",$J27,"")</f>
        <v/>
      </c>
      <c r="AQ27" s="52" t="n">
        <f aca="false">IF($A27&lt;&gt;"",$A27,"")</f>
        <v>638</v>
      </c>
      <c r="AR27" s="55" t="n">
        <f aca="false">IF(AND('Choix pédagogiques'!$C$4&lt;&gt;"?",'Choix pédagogiques'!$C$5&lt;&gt;"?",W27&lt;&gt;""),(W27-'Choix pédagogiques'!$C$4)/('Choix pédagogiques'!$C$5-'Choix pédagogiques'!$C$4),"")</f>
        <v>0.15</v>
      </c>
      <c r="AS27" s="55" t="n">
        <f aca="false">IF(AND('Choix pédagogiques'!$C$4&lt;&gt;"?",'Choix pédagogiques'!$C$5&lt;&gt;"?",X27&lt;&gt;""),(X27-'Choix pédagogiques'!$C$4)/('Choix pédagogiques'!$C$5-'Choix pédagogiques'!$C$4),"")</f>
        <v>0.6</v>
      </c>
      <c r="AT27" s="55" t="n">
        <f aca="false">IF(AND('Choix pédagogiques'!$C$4&lt;&gt;"?",'Choix pédagogiques'!$C$5&lt;&gt;"?",Y27&lt;&gt;""),(Y27-'Choix pédagogiques'!$C$4)/('Choix pédagogiques'!$C$5-'Choix pédagogiques'!$C$4),"")</f>
        <v>0.4</v>
      </c>
      <c r="AU27" s="53" t="str">
        <f aca="false">IF($E27&lt;&gt;"",$E27,"")</f>
        <v/>
      </c>
      <c r="AV27" s="52" t="n">
        <f aca="false">IF($F27&lt;&gt;"",$F27,"")</f>
        <v>1944</v>
      </c>
      <c r="AW27" s="55" t="n">
        <f aca="false">IF(AND('Choix pédagogiques'!$C$4&lt;&gt;"?",'Choix pédagogiques'!$C$5&lt;&gt;"?",AB27&lt;&gt;""),(AB27-'Choix pédagogiques'!$C$4)/('Choix pédagogiques'!$C$5-'Choix pédagogiques'!$C$4),"")</f>
        <v>0.3</v>
      </c>
      <c r="AX27" s="55" t="n">
        <f aca="false">IF(AND('Choix pédagogiques'!$C$4&lt;&gt;"?",'Choix pédagogiques'!$C$5&lt;&gt;"?",AC27&lt;&gt;""),(AC27-'Choix pédagogiques'!$C$4)/('Choix pédagogiques'!$C$5-'Choix pédagogiques'!$C$4),"")</f>
        <v>0.9</v>
      </c>
      <c r="AY27" s="55" t="n">
        <f aca="false">IF(AND('Choix pédagogiques'!$C$4&lt;&gt;"?",'Choix pédagogiques'!$C$5&lt;&gt;"?",AD27&lt;&gt;""),(AD27-'Choix pédagogiques'!$C$4)/('Choix pédagogiques'!$C$5-'Choix pédagogiques'!$C$4),"")</f>
        <v>0.9</v>
      </c>
      <c r="AZ27" s="53" t="str">
        <f aca="false">IF($J27&lt;&gt;"",$J27,"")</f>
        <v/>
      </c>
      <c r="BA27" s="52" t="n">
        <f aca="false">IF($A27&lt;&gt;"",$A27,"")</f>
        <v>638</v>
      </c>
      <c r="BB27" s="55" t="n">
        <f aca="false">IF(AND($AR27&lt;&gt;"",$AS27&lt;&gt;""),$AS27-$AR27,"")</f>
        <v>0.45</v>
      </c>
      <c r="BC27" s="55" t="n">
        <f aca="false">IF(AND($AR27&lt;&gt;"",$AT27&lt;&gt;""),$AT27-$AR27,"")</f>
        <v>0.25</v>
      </c>
      <c r="BD27" s="55" t="n">
        <f aca="false">IF(AND($AS27&lt;&gt;"",$AT27&lt;&gt;""),$AT27-$AS27,"")</f>
        <v>-0.2</v>
      </c>
      <c r="BE27" s="53" t="str">
        <f aca="false">IF($E27&lt;&gt;"",$E27,"")</f>
        <v/>
      </c>
      <c r="BF27" s="52" t="n">
        <f aca="false">IF($F27&lt;&gt;"",$F27,"")</f>
        <v>1944</v>
      </c>
      <c r="BG27" s="55" t="n">
        <f aca="false">IF(AND($AW27&lt;&gt;"",$AX27&lt;&gt;""),$AX27-$AW27,"")</f>
        <v>0.6</v>
      </c>
      <c r="BH27" s="55" t="n">
        <f aca="false">IF(AND($AW27&lt;&gt;"",$AY27&lt;&gt;""),$AY27-$AW27,"")</f>
        <v>0.6</v>
      </c>
      <c r="BI27" s="55" t="n">
        <f aca="false">IF(AND($AX27&lt;&gt;"",$AY27&lt;&gt;""),$AY27-$AX27,"")</f>
        <v>0</v>
      </c>
      <c r="BJ27" s="53" t="str">
        <f aca="false">IF($J27&lt;&gt;"",$J27,"")</f>
        <v/>
      </c>
      <c r="BL27" s="52"/>
      <c r="BM27" s="52" t="n">
        <f aca="false">IF(OR(COUNT(B27:D1026)=0,AND('Choix pédagogiques'!$C$3&lt;&gt;1,'Choix pédagogiques'!$C$3&lt;&gt;2)),"",IF(AND(OR('Choix pédagogiques'!$C$3=1,'Choix pédagogiques'!$C$3=2),$B27&lt;&gt;"",$C27&lt;&gt;"",$D27&lt;&gt;""),1,0))</f>
        <v>1</v>
      </c>
      <c r="BN27" s="52" t="n">
        <f aca="false">IF(OR(COUNT(G27:I1026)=0,AND('Choix pédagogiques'!$C$3&lt;&gt;1,'Choix pédagogiques'!$C$3&lt;&gt;2)),"",IF(AND(OR('Choix pédagogiques'!$C$3=1,'Choix pédagogiques'!$C$3=2),AND($G27&lt;&gt;"",$H27&lt;&gt;"",$I27&lt;&gt;"")),1,0))</f>
        <v>1</v>
      </c>
      <c r="BO27" s="52" t="str">
        <f aca="false">IF(OR(COUNT(B27:D1026)=0,COUNT(G27:I1026)=0,'Choix pédagogiques'!C$3&lt;&gt;3),"",IF(AND('Choix pédagogiques'!$C$3=3,$B27&lt;&gt;"",$C27&lt;&gt;"",$D27&lt;&gt;"",$G27&lt;&gt;"",$H27&lt;&gt;"",$I27&lt;&gt;""),1,0))</f>
        <v/>
      </c>
      <c r="BR27" s="52" t="n">
        <v>638</v>
      </c>
      <c r="BS27" s="52" t="n">
        <v>1944</v>
      </c>
    </row>
    <row r="28" s="54" customFormat="true" ht="18" hidden="false" customHeight="true" outlineLevel="0" collapsed="false">
      <c r="A28" s="49" t="n">
        <v>96</v>
      </c>
      <c r="B28" s="50"/>
      <c r="C28" s="50" t="n">
        <v>13</v>
      </c>
      <c r="D28" s="50" t="n">
        <v>10</v>
      </c>
      <c r="E28" s="51"/>
      <c r="F28" s="49" t="n">
        <v>1601</v>
      </c>
      <c r="G28" s="50" t="n">
        <v>2</v>
      </c>
      <c r="H28" s="50" t="n">
        <v>18</v>
      </c>
      <c r="I28" s="50" t="n">
        <v>19</v>
      </c>
      <c r="J28" s="51"/>
      <c r="K28" s="52" t="n">
        <f aca="false">IF($A28&lt;&gt;"",$A28,"")</f>
        <v>96</v>
      </c>
      <c r="L28" s="53" t="str">
        <f aca="false">IF(AND($B28&lt;&gt;"",$C28&lt;&gt;""),$C28-$B28,"")</f>
        <v/>
      </c>
      <c r="M28" s="53" t="str">
        <f aca="false">IF(AND($B28&lt;&gt;"",$D28&lt;&gt;""),$D28-$B28,"")</f>
        <v/>
      </c>
      <c r="N28" s="53" t="n">
        <f aca="false">IF(AND($C28&lt;&gt;"",$D28&lt;&gt;""),$D28-$C28,"")</f>
        <v>-3</v>
      </c>
      <c r="O28" s="53" t="str">
        <f aca="false">IF($E28&lt;&gt;"",$E28,"")</f>
        <v/>
      </c>
      <c r="P28" s="52" t="n">
        <f aca="false">IF($F28&lt;&gt;"",$F28,"")</f>
        <v>1601</v>
      </c>
      <c r="Q28" s="53" t="n">
        <f aca="false">IF(AND($G28&lt;&gt;"",$H28&lt;&gt;""),$H28-$G28,"")</f>
        <v>16</v>
      </c>
      <c r="R28" s="53" t="n">
        <f aca="false">IF(AND($G28&lt;&gt;"",$I28&lt;&gt;""),$I28-$G28,"")</f>
        <v>17</v>
      </c>
      <c r="S28" s="53" t="n">
        <f aca="false">IF(AND($H28&lt;&gt;"",$I28&lt;&gt;""),$I28-$H28,"")</f>
        <v>1</v>
      </c>
      <c r="T28" s="53" t="str">
        <f aca="false">IF($J28&lt;&gt;"",$J28,"")</f>
        <v/>
      </c>
      <c r="V28" s="52" t="n">
        <f aca="false">IF($A28&lt;&gt;"",$A28,"")</f>
        <v>96</v>
      </c>
      <c r="W28" s="53" t="str">
        <f aca="false">IF(AND(OR('Choix pédagogiques'!$C$3=1,'Choix pédagogiques'!$C$3=2),$BM28=1),B28,IF(AND('Choix pédagogiques'!$C$3=3,$BO28=1),B28,""))</f>
        <v/>
      </c>
      <c r="X28" s="53" t="str">
        <f aca="false">IF(AND(OR('Choix pédagogiques'!$C$3=1,'Choix pédagogiques'!$C$3=2),$BM28=1),C28,IF(AND('Choix pédagogiques'!$C$3=3,$BO28=1),C28,""))</f>
        <v/>
      </c>
      <c r="Y28" s="53" t="str">
        <f aca="false">IF(AND(OR('Choix pédagogiques'!$C$3=1,'Choix pédagogiques'!$C$3=2),$BM28=1),D28,IF(AND('Choix pédagogiques'!$C$3=3,$BO28=1),D28,""))</f>
        <v/>
      </c>
      <c r="Z28" s="53" t="str">
        <f aca="false">IF($E28&lt;&gt;"",$E28,"")</f>
        <v/>
      </c>
      <c r="AA28" s="52" t="n">
        <f aca="false">IF($F28&lt;&gt;"",$F28,"")</f>
        <v>1601</v>
      </c>
      <c r="AB28" s="53" t="n">
        <f aca="false">IF(AND(OR('Choix pédagogiques'!$C$3=1,'Choix pédagogiques'!$C$3=2),$BN28=1),G28,IF(AND('Choix pédagogiques'!$C$3=3,$BO28=1),G28,""))</f>
        <v>2</v>
      </c>
      <c r="AC28" s="53" t="n">
        <f aca="false">IF(AND(OR('Choix pédagogiques'!$C$3=1,'Choix pédagogiques'!$C$3=2),$BN28=1),H28,IF(AND('Choix pédagogiques'!$C$3=3,$BO28=1),H28,""))</f>
        <v>18</v>
      </c>
      <c r="AD28" s="53" t="n">
        <f aca="false">IF(AND(OR('Choix pédagogiques'!$C$3=1,'Choix pédagogiques'!$C$3=2),$BN28=1),I28,IF(AND('Choix pédagogiques'!$C$3=3,$BO28=1),I28,""))</f>
        <v>19</v>
      </c>
      <c r="AE28" s="53" t="str">
        <f aca="false">IF($J28&lt;&gt;"",$J28,"")</f>
        <v/>
      </c>
      <c r="AF28" s="52" t="n">
        <f aca="false">IF($A28&lt;&gt;"",$A28,"")</f>
        <v>96</v>
      </c>
      <c r="AG28" s="53" t="str">
        <f aca="false">IF(AND($W28&lt;&gt;"",$X28&lt;&gt;""),$X28-$W28,"")</f>
        <v/>
      </c>
      <c r="AH28" s="53" t="str">
        <f aca="false">IF(AND($W28&lt;&gt;"",$Y28&lt;&gt;""),$Y28-$W28,"")</f>
        <v/>
      </c>
      <c r="AI28" s="53" t="str">
        <f aca="false">IF(AND($X28&lt;&gt;"",$Y28&lt;&gt;""),$Y28-$X28,"")</f>
        <v/>
      </c>
      <c r="AJ28" s="53" t="str">
        <f aca="false">IF($E28&lt;&gt;"",$E28,"")</f>
        <v/>
      </c>
      <c r="AK28" s="52" t="n">
        <f aca="false">IF($F28&lt;&gt;"",$F28,"")</f>
        <v>1601</v>
      </c>
      <c r="AL28" s="53" t="n">
        <f aca="false">IF(AND($AB28&lt;&gt;"",$AC28&lt;&gt;""),$AC28-$AB28,"")</f>
        <v>16</v>
      </c>
      <c r="AM28" s="53" t="n">
        <f aca="false">IF(AND($AB28&lt;&gt;"",$AD28&lt;&gt;""),$AD28-$AB28,"")</f>
        <v>17</v>
      </c>
      <c r="AN28" s="53" t="n">
        <f aca="false">IF(AND($AC28&lt;&gt;"",$AD28&lt;&gt;""),$AD28-$AC28,"")</f>
        <v>1</v>
      </c>
      <c r="AO28" s="53" t="str">
        <f aca="false">IF($J28&lt;&gt;"",$J28,"")</f>
        <v/>
      </c>
      <c r="AQ28" s="52" t="n">
        <f aca="false">IF($A28&lt;&gt;"",$A28,"")</f>
        <v>96</v>
      </c>
      <c r="AR28" s="55" t="str">
        <f aca="false">IF(AND('Choix pédagogiques'!$C$4&lt;&gt;"?",'Choix pédagogiques'!$C$5&lt;&gt;"?",W28&lt;&gt;""),(W28-'Choix pédagogiques'!$C$4)/('Choix pédagogiques'!$C$5-'Choix pédagogiques'!$C$4),"")</f>
        <v/>
      </c>
      <c r="AS28" s="55" t="str">
        <f aca="false">IF(AND('Choix pédagogiques'!$C$4&lt;&gt;"?",'Choix pédagogiques'!$C$5&lt;&gt;"?",X28&lt;&gt;""),(X28-'Choix pédagogiques'!$C$4)/('Choix pédagogiques'!$C$5-'Choix pédagogiques'!$C$4),"")</f>
        <v/>
      </c>
      <c r="AT28" s="55" t="str">
        <f aca="false">IF(AND('Choix pédagogiques'!$C$4&lt;&gt;"?",'Choix pédagogiques'!$C$5&lt;&gt;"?",Y28&lt;&gt;""),(Y28-'Choix pédagogiques'!$C$4)/('Choix pédagogiques'!$C$5-'Choix pédagogiques'!$C$4),"")</f>
        <v/>
      </c>
      <c r="AU28" s="53" t="str">
        <f aca="false">IF($E28&lt;&gt;"",$E28,"")</f>
        <v/>
      </c>
      <c r="AV28" s="52" t="n">
        <f aca="false">IF($F28&lt;&gt;"",$F28,"")</f>
        <v>1601</v>
      </c>
      <c r="AW28" s="55" t="n">
        <f aca="false">IF(AND('Choix pédagogiques'!$C$4&lt;&gt;"?",'Choix pédagogiques'!$C$5&lt;&gt;"?",AB28&lt;&gt;""),(AB28-'Choix pédagogiques'!$C$4)/('Choix pédagogiques'!$C$5-'Choix pédagogiques'!$C$4),"")</f>
        <v>0.1</v>
      </c>
      <c r="AX28" s="55" t="n">
        <f aca="false">IF(AND('Choix pédagogiques'!$C$4&lt;&gt;"?",'Choix pédagogiques'!$C$5&lt;&gt;"?",AC28&lt;&gt;""),(AC28-'Choix pédagogiques'!$C$4)/('Choix pédagogiques'!$C$5-'Choix pédagogiques'!$C$4),"")</f>
        <v>0.9</v>
      </c>
      <c r="AY28" s="55" t="n">
        <f aca="false">IF(AND('Choix pédagogiques'!$C$4&lt;&gt;"?",'Choix pédagogiques'!$C$5&lt;&gt;"?",AD28&lt;&gt;""),(AD28-'Choix pédagogiques'!$C$4)/('Choix pédagogiques'!$C$5-'Choix pédagogiques'!$C$4),"")</f>
        <v>0.95</v>
      </c>
      <c r="AZ28" s="53" t="str">
        <f aca="false">IF($J28&lt;&gt;"",$J28,"")</f>
        <v/>
      </c>
      <c r="BA28" s="52" t="n">
        <f aca="false">IF($A28&lt;&gt;"",$A28,"")</f>
        <v>96</v>
      </c>
      <c r="BB28" s="55" t="str">
        <f aca="false">IF(AND($AR28&lt;&gt;"",$AS28&lt;&gt;""),$AS28-$AR28,"")</f>
        <v/>
      </c>
      <c r="BC28" s="55" t="str">
        <f aca="false">IF(AND($AR28&lt;&gt;"",$AT28&lt;&gt;""),$AT28-$AR28,"")</f>
        <v/>
      </c>
      <c r="BD28" s="55" t="str">
        <f aca="false">IF(AND($AS28&lt;&gt;"",$AT28&lt;&gt;""),$AT28-$AS28,"")</f>
        <v/>
      </c>
      <c r="BE28" s="53" t="str">
        <f aca="false">IF($E28&lt;&gt;"",$E28,"")</f>
        <v/>
      </c>
      <c r="BF28" s="52" t="n">
        <f aca="false">IF($F28&lt;&gt;"",$F28,"")</f>
        <v>1601</v>
      </c>
      <c r="BG28" s="55" t="n">
        <f aca="false">IF(AND($AW28&lt;&gt;"",$AX28&lt;&gt;""),$AX28-$AW28,"")</f>
        <v>0.8</v>
      </c>
      <c r="BH28" s="55" t="n">
        <f aca="false">IF(AND($AW28&lt;&gt;"",$AY28&lt;&gt;""),$AY28-$AW28,"")</f>
        <v>0.85</v>
      </c>
      <c r="BI28" s="55" t="n">
        <f aca="false">IF(AND($AX28&lt;&gt;"",$AY28&lt;&gt;""),$AY28-$AX28,"")</f>
        <v>0.0499999999999999</v>
      </c>
      <c r="BJ28" s="53" t="str">
        <f aca="false">IF($J28&lt;&gt;"",$J28,"")</f>
        <v/>
      </c>
      <c r="BL28" s="52"/>
      <c r="BM28" s="52" t="n">
        <f aca="false">IF(OR(COUNT(B28:D1027)=0,AND('Choix pédagogiques'!$C$3&lt;&gt;1,'Choix pédagogiques'!$C$3&lt;&gt;2)),"",IF(AND(OR('Choix pédagogiques'!$C$3=1,'Choix pédagogiques'!$C$3=2),$B28&lt;&gt;"",$C28&lt;&gt;"",$D28&lt;&gt;""),1,0))</f>
        <v>0</v>
      </c>
      <c r="BN28" s="52" t="n">
        <f aca="false">IF(OR(COUNT(G28:I1027)=0,AND('Choix pédagogiques'!$C$3&lt;&gt;1,'Choix pédagogiques'!$C$3&lt;&gt;2)),"",IF(AND(OR('Choix pédagogiques'!$C$3=1,'Choix pédagogiques'!$C$3=2),AND($G28&lt;&gt;"",$H28&lt;&gt;"",$I28&lt;&gt;"")),1,0))</f>
        <v>1</v>
      </c>
      <c r="BO28" s="52" t="str">
        <f aca="false">IF(OR(COUNT(B28:D1027)=0,COUNT(G28:I1027)=0,'Choix pédagogiques'!C$3&lt;&gt;3),"",IF(AND('Choix pédagogiques'!$C$3=3,$B28&lt;&gt;"",$C28&lt;&gt;"",$D28&lt;&gt;"",$G28&lt;&gt;"",$H28&lt;&gt;"",$I28&lt;&gt;""),1,0))</f>
        <v/>
      </c>
      <c r="BR28" s="52" t="n">
        <v>96</v>
      </c>
      <c r="BS28" s="52" t="n">
        <v>1601</v>
      </c>
    </row>
    <row r="29" s="54" customFormat="true" ht="18" hidden="false" customHeight="true" outlineLevel="0" collapsed="false">
      <c r="A29" s="49" t="n">
        <v>77</v>
      </c>
      <c r="B29" s="50" t="n">
        <v>2</v>
      </c>
      <c r="C29" s="50" t="n">
        <v>11</v>
      </c>
      <c r="D29" s="50" t="n">
        <v>9</v>
      </c>
      <c r="E29" s="51"/>
      <c r="F29" s="49" t="n">
        <v>1473</v>
      </c>
      <c r="G29" s="50" t="n">
        <v>3</v>
      </c>
      <c r="H29" s="50" t="n">
        <v>17</v>
      </c>
      <c r="I29" s="50" t="n">
        <v>16</v>
      </c>
      <c r="J29" s="51"/>
      <c r="K29" s="52" t="n">
        <f aca="false">IF($A29&lt;&gt;"",$A29,"")</f>
        <v>77</v>
      </c>
      <c r="L29" s="53" t="n">
        <f aca="false">IF(AND($B29&lt;&gt;"",$C29&lt;&gt;""),$C29-$B29,"")</f>
        <v>9</v>
      </c>
      <c r="M29" s="53" t="n">
        <f aca="false">IF(AND($B29&lt;&gt;"",$D29&lt;&gt;""),$D29-$B29,"")</f>
        <v>7</v>
      </c>
      <c r="N29" s="53" t="n">
        <f aca="false">IF(AND($C29&lt;&gt;"",$D29&lt;&gt;""),$D29-$C29,"")</f>
        <v>-2</v>
      </c>
      <c r="O29" s="53" t="str">
        <f aca="false">IF($E29&lt;&gt;"",$E29,"")</f>
        <v/>
      </c>
      <c r="P29" s="52" t="n">
        <f aca="false">IF($F29&lt;&gt;"",$F29,"")</f>
        <v>1473</v>
      </c>
      <c r="Q29" s="53" t="n">
        <f aca="false">IF(AND($G29&lt;&gt;"",$H29&lt;&gt;""),$H29-$G29,"")</f>
        <v>14</v>
      </c>
      <c r="R29" s="53" t="n">
        <f aca="false">IF(AND($G29&lt;&gt;"",$I29&lt;&gt;""),$I29-$G29,"")</f>
        <v>13</v>
      </c>
      <c r="S29" s="53" t="n">
        <f aca="false">IF(AND($H29&lt;&gt;"",$I29&lt;&gt;""),$I29-$H29,"")</f>
        <v>-1</v>
      </c>
      <c r="T29" s="53" t="str">
        <f aca="false">IF($J29&lt;&gt;"",$J29,"")</f>
        <v/>
      </c>
      <c r="V29" s="52" t="n">
        <f aca="false">IF($A29&lt;&gt;"",$A29,"")</f>
        <v>77</v>
      </c>
      <c r="W29" s="53" t="n">
        <f aca="false">IF(AND(OR('Choix pédagogiques'!$C$3=1,'Choix pédagogiques'!$C$3=2),$BM29=1),B29,IF(AND('Choix pédagogiques'!$C$3=3,$BO29=1),B29,""))</f>
        <v>2</v>
      </c>
      <c r="X29" s="53" t="n">
        <f aca="false">IF(AND(OR('Choix pédagogiques'!$C$3=1,'Choix pédagogiques'!$C$3=2),$BM29=1),C29,IF(AND('Choix pédagogiques'!$C$3=3,$BO29=1),C29,""))</f>
        <v>11</v>
      </c>
      <c r="Y29" s="53" t="n">
        <f aca="false">IF(AND(OR('Choix pédagogiques'!$C$3=1,'Choix pédagogiques'!$C$3=2),$BM29=1),D29,IF(AND('Choix pédagogiques'!$C$3=3,$BO29=1),D29,""))</f>
        <v>9</v>
      </c>
      <c r="Z29" s="53" t="str">
        <f aca="false">IF($E29&lt;&gt;"",$E29,"")</f>
        <v/>
      </c>
      <c r="AA29" s="52" t="n">
        <f aca="false">IF($F29&lt;&gt;"",$F29,"")</f>
        <v>1473</v>
      </c>
      <c r="AB29" s="53" t="n">
        <f aca="false">IF(AND(OR('Choix pédagogiques'!$C$3=1,'Choix pédagogiques'!$C$3=2),$BN29=1),G29,IF(AND('Choix pédagogiques'!$C$3=3,$BO29=1),G29,""))</f>
        <v>3</v>
      </c>
      <c r="AC29" s="53" t="n">
        <f aca="false">IF(AND(OR('Choix pédagogiques'!$C$3=1,'Choix pédagogiques'!$C$3=2),$BN29=1),H29,IF(AND('Choix pédagogiques'!$C$3=3,$BO29=1),H29,""))</f>
        <v>17</v>
      </c>
      <c r="AD29" s="53" t="n">
        <f aca="false">IF(AND(OR('Choix pédagogiques'!$C$3=1,'Choix pédagogiques'!$C$3=2),$BN29=1),I29,IF(AND('Choix pédagogiques'!$C$3=3,$BO29=1),I29,""))</f>
        <v>16</v>
      </c>
      <c r="AE29" s="53" t="str">
        <f aca="false">IF($J29&lt;&gt;"",$J29,"")</f>
        <v/>
      </c>
      <c r="AF29" s="52" t="n">
        <f aca="false">IF($A29&lt;&gt;"",$A29,"")</f>
        <v>77</v>
      </c>
      <c r="AG29" s="53" t="n">
        <f aca="false">IF(AND($W29&lt;&gt;"",$X29&lt;&gt;""),$X29-$W29,"")</f>
        <v>9</v>
      </c>
      <c r="AH29" s="53" t="n">
        <f aca="false">IF(AND($W29&lt;&gt;"",$Y29&lt;&gt;""),$Y29-$W29,"")</f>
        <v>7</v>
      </c>
      <c r="AI29" s="53" t="n">
        <f aca="false">IF(AND($X29&lt;&gt;"",$Y29&lt;&gt;""),$Y29-$X29,"")</f>
        <v>-2</v>
      </c>
      <c r="AJ29" s="53" t="str">
        <f aca="false">IF($E29&lt;&gt;"",$E29,"")</f>
        <v/>
      </c>
      <c r="AK29" s="52" t="n">
        <f aca="false">IF($F29&lt;&gt;"",$F29,"")</f>
        <v>1473</v>
      </c>
      <c r="AL29" s="53" t="n">
        <f aca="false">IF(AND($AB29&lt;&gt;"",$AC29&lt;&gt;""),$AC29-$AB29,"")</f>
        <v>14</v>
      </c>
      <c r="AM29" s="53" t="n">
        <f aca="false">IF(AND($AB29&lt;&gt;"",$AD29&lt;&gt;""),$AD29-$AB29,"")</f>
        <v>13</v>
      </c>
      <c r="AN29" s="53" t="n">
        <f aca="false">IF(AND($AC29&lt;&gt;"",$AD29&lt;&gt;""),$AD29-$AC29,"")</f>
        <v>-1</v>
      </c>
      <c r="AO29" s="53" t="str">
        <f aca="false">IF($J29&lt;&gt;"",$J29,"")</f>
        <v/>
      </c>
      <c r="AQ29" s="52" t="n">
        <f aca="false">IF($A29&lt;&gt;"",$A29,"")</f>
        <v>77</v>
      </c>
      <c r="AR29" s="55" t="n">
        <f aca="false">IF(AND('Choix pédagogiques'!$C$4&lt;&gt;"?",'Choix pédagogiques'!$C$5&lt;&gt;"?",W29&lt;&gt;""),(W29-'Choix pédagogiques'!$C$4)/('Choix pédagogiques'!$C$5-'Choix pédagogiques'!$C$4),"")</f>
        <v>0.1</v>
      </c>
      <c r="AS29" s="55" t="n">
        <f aca="false">IF(AND('Choix pédagogiques'!$C$4&lt;&gt;"?",'Choix pédagogiques'!$C$5&lt;&gt;"?",X29&lt;&gt;""),(X29-'Choix pédagogiques'!$C$4)/('Choix pédagogiques'!$C$5-'Choix pédagogiques'!$C$4),"")</f>
        <v>0.55</v>
      </c>
      <c r="AT29" s="55" t="n">
        <f aca="false">IF(AND('Choix pédagogiques'!$C$4&lt;&gt;"?",'Choix pédagogiques'!$C$5&lt;&gt;"?",Y29&lt;&gt;""),(Y29-'Choix pédagogiques'!$C$4)/('Choix pédagogiques'!$C$5-'Choix pédagogiques'!$C$4),"")</f>
        <v>0.45</v>
      </c>
      <c r="AU29" s="53" t="str">
        <f aca="false">IF($E29&lt;&gt;"",$E29,"")</f>
        <v/>
      </c>
      <c r="AV29" s="52" t="n">
        <f aca="false">IF($F29&lt;&gt;"",$F29,"")</f>
        <v>1473</v>
      </c>
      <c r="AW29" s="55" t="n">
        <f aca="false">IF(AND('Choix pédagogiques'!$C$4&lt;&gt;"?",'Choix pédagogiques'!$C$5&lt;&gt;"?",AB29&lt;&gt;""),(AB29-'Choix pédagogiques'!$C$4)/('Choix pédagogiques'!$C$5-'Choix pédagogiques'!$C$4),"")</f>
        <v>0.15</v>
      </c>
      <c r="AX29" s="55" t="n">
        <f aca="false">IF(AND('Choix pédagogiques'!$C$4&lt;&gt;"?",'Choix pédagogiques'!$C$5&lt;&gt;"?",AC29&lt;&gt;""),(AC29-'Choix pédagogiques'!$C$4)/('Choix pédagogiques'!$C$5-'Choix pédagogiques'!$C$4),"")</f>
        <v>0.85</v>
      </c>
      <c r="AY29" s="55" t="n">
        <f aca="false">IF(AND('Choix pédagogiques'!$C$4&lt;&gt;"?",'Choix pédagogiques'!$C$5&lt;&gt;"?",AD29&lt;&gt;""),(AD29-'Choix pédagogiques'!$C$4)/('Choix pédagogiques'!$C$5-'Choix pédagogiques'!$C$4),"")</f>
        <v>0.8</v>
      </c>
      <c r="AZ29" s="53" t="str">
        <f aca="false">IF($J29&lt;&gt;"",$J29,"")</f>
        <v/>
      </c>
      <c r="BA29" s="52" t="n">
        <f aca="false">IF($A29&lt;&gt;"",$A29,"")</f>
        <v>77</v>
      </c>
      <c r="BB29" s="55" t="n">
        <f aca="false">IF(AND($AR29&lt;&gt;"",$AS29&lt;&gt;""),$AS29-$AR29,"")</f>
        <v>0.45</v>
      </c>
      <c r="BC29" s="55" t="n">
        <f aca="false">IF(AND($AR29&lt;&gt;"",$AT29&lt;&gt;""),$AT29-$AR29,"")</f>
        <v>0.35</v>
      </c>
      <c r="BD29" s="55" t="n">
        <f aca="false">IF(AND($AS29&lt;&gt;"",$AT29&lt;&gt;""),$AT29-$AS29,"")</f>
        <v>-0.1</v>
      </c>
      <c r="BE29" s="53" t="str">
        <f aca="false">IF($E29&lt;&gt;"",$E29,"")</f>
        <v/>
      </c>
      <c r="BF29" s="52" t="n">
        <f aca="false">IF($F29&lt;&gt;"",$F29,"")</f>
        <v>1473</v>
      </c>
      <c r="BG29" s="55" t="n">
        <f aca="false">IF(AND($AW29&lt;&gt;"",$AX29&lt;&gt;""),$AX29-$AW29,"")</f>
        <v>0.7</v>
      </c>
      <c r="BH29" s="55" t="n">
        <f aca="false">IF(AND($AW29&lt;&gt;"",$AY29&lt;&gt;""),$AY29-$AW29,"")</f>
        <v>0.65</v>
      </c>
      <c r="BI29" s="55" t="n">
        <f aca="false">IF(AND($AX29&lt;&gt;"",$AY29&lt;&gt;""),$AY29-$AX29,"")</f>
        <v>-0.0499999999999999</v>
      </c>
      <c r="BJ29" s="53" t="str">
        <f aca="false">IF($J29&lt;&gt;"",$J29,"")</f>
        <v/>
      </c>
      <c r="BL29" s="52"/>
      <c r="BM29" s="52" t="n">
        <f aca="false">IF(OR(COUNT(B29:D1028)=0,AND('Choix pédagogiques'!$C$3&lt;&gt;1,'Choix pédagogiques'!$C$3&lt;&gt;2)),"",IF(AND(OR('Choix pédagogiques'!$C$3=1,'Choix pédagogiques'!$C$3=2),$B29&lt;&gt;"",$C29&lt;&gt;"",$D29&lt;&gt;""),1,0))</f>
        <v>1</v>
      </c>
      <c r="BN29" s="52" t="n">
        <f aca="false">IF(OR(COUNT(G29:I1028)=0,AND('Choix pédagogiques'!$C$3&lt;&gt;1,'Choix pédagogiques'!$C$3&lt;&gt;2)),"",IF(AND(OR('Choix pédagogiques'!$C$3=1,'Choix pédagogiques'!$C$3=2),AND($G29&lt;&gt;"",$H29&lt;&gt;"",$I29&lt;&gt;"")),1,0))</f>
        <v>1</v>
      </c>
      <c r="BO29" s="52" t="str">
        <f aca="false">IF(OR(COUNT(B29:D1028)=0,COUNT(G29:I1028)=0,'Choix pédagogiques'!C$3&lt;&gt;3),"",IF(AND('Choix pédagogiques'!$C$3=3,$B29&lt;&gt;"",$C29&lt;&gt;"",$D29&lt;&gt;"",$G29&lt;&gt;"",$H29&lt;&gt;"",$I29&lt;&gt;""),1,0))</f>
        <v/>
      </c>
      <c r="BR29" s="52" t="n">
        <v>77</v>
      </c>
      <c r="BS29" s="52" t="n">
        <v>1473</v>
      </c>
    </row>
    <row r="30" s="54" customFormat="true" ht="18" hidden="false" customHeight="true" outlineLevel="0" collapsed="false">
      <c r="A30" s="49" t="n">
        <v>826</v>
      </c>
      <c r="B30" s="50" t="n">
        <v>1</v>
      </c>
      <c r="C30" s="50" t="n">
        <v>12</v>
      </c>
      <c r="D30" s="50" t="n">
        <v>9</v>
      </c>
      <c r="E30" s="51"/>
      <c r="F30" s="49" t="n">
        <v>1553</v>
      </c>
      <c r="G30" s="50" t="n">
        <v>0</v>
      </c>
      <c r="H30" s="50" t="n">
        <v>14</v>
      </c>
      <c r="I30" s="50" t="n">
        <v>14</v>
      </c>
      <c r="J30" s="51"/>
      <c r="K30" s="52" t="n">
        <f aca="false">IF($A30&lt;&gt;"",$A30,"")</f>
        <v>826</v>
      </c>
      <c r="L30" s="53" t="n">
        <f aca="false">IF(AND($B30&lt;&gt;"",$C30&lt;&gt;""),$C30-$B30,"")</f>
        <v>11</v>
      </c>
      <c r="M30" s="53" t="n">
        <f aca="false">IF(AND($B30&lt;&gt;"",$D30&lt;&gt;""),$D30-$B30,"")</f>
        <v>8</v>
      </c>
      <c r="N30" s="53" t="n">
        <f aca="false">IF(AND($C30&lt;&gt;"",$D30&lt;&gt;""),$D30-$C30,"")</f>
        <v>-3</v>
      </c>
      <c r="O30" s="53" t="str">
        <f aca="false">IF($E30&lt;&gt;"",$E30,"")</f>
        <v/>
      </c>
      <c r="P30" s="52" t="n">
        <f aca="false">IF($F30&lt;&gt;"",$F30,"")</f>
        <v>1553</v>
      </c>
      <c r="Q30" s="53" t="n">
        <f aca="false">IF(AND($G30&lt;&gt;"",$H30&lt;&gt;""),$H30-$G30,"")</f>
        <v>14</v>
      </c>
      <c r="R30" s="53" t="n">
        <f aca="false">IF(AND($G30&lt;&gt;"",$I30&lt;&gt;""),$I30-$G30,"")</f>
        <v>14</v>
      </c>
      <c r="S30" s="53" t="n">
        <f aca="false">IF(AND($H30&lt;&gt;"",$I30&lt;&gt;""),$I30-$H30,"")</f>
        <v>0</v>
      </c>
      <c r="T30" s="53" t="str">
        <f aca="false">IF($J30&lt;&gt;"",$J30,"")</f>
        <v/>
      </c>
      <c r="V30" s="52" t="n">
        <f aca="false">IF($A30&lt;&gt;"",$A30,"")</f>
        <v>826</v>
      </c>
      <c r="W30" s="53" t="n">
        <f aca="false">IF(AND(OR('Choix pédagogiques'!$C$3=1,'Choix pédagogiques'!$C$3=2),$BM30=1),B30,IF(AND('Choix pédagogiques'!$C$3=3,$BO30=1),B30,""))</f>
        <v>1</v>
      </c>
      <c r="X30" s="53" t="n">
        <f aca="false">IF(AND(OR('Choix pédagogiques'!$C$3=1,'Choix pédagogiques'!$C$3=2),$BM30=1),C30,IF(AND('Choix pédagogiques'!$C$3=3,$BO30=1),C30,""))</f>
        <v>12</v>
      </c>
      <c r="Y30" s="53" t="n">
        <f aca="false">IF(AND(OR('Choix pédagogiques'!$C$3=1,'Choix pédagogiques'!$C$3=2),$BM30=1),D30,IF(AND('Choix pédagogiques'!$C$3=3,$BO30=1),D30,""))</f>
        <v>9</v>
      </c>
      <c r="Z30" s="53" t="str">
        <f aca="false">IF($E30&lt;&gt;"",$E30,"")</f>
        <v/>
      </c>
      <c r="AA30" s="52" t="n">
        <f aca="false">IF($F30&lt;&gt;"",$F30,"")</f>
        <v>1553</v>
      </c>
      <c r="AB30" s="53" t="n">
        <f aca="false">IF(AND(OR('Choix pédagogiques'!$C$3=1,'Choix pédagogiques'!$C$3=2),$BN30=1),G30,IF(AND('Choix pédagogiques'!$C$3=3,$BO30=1),G30,""))</f>
        <v>0</v>
      </c>
      <c r="AC30" s="53" t="n">
        <f aca="false">IF(AND(OR('Choix pédagogiques'!$C$3=1,'Choix pédagogiques'!$C$3=2),$BN30=1),H30,IF(AND('Choix pédagogiques'!$C$3=3,$BO30=1),H30,""))</f>
        <v>14</v>
      </c>
      <c r="AD30" s="53" t="n">
        <f aca="false">IF(AND(OR('Choix pédagogiques'!$C$3=1,'Choix pédagogiques'!$C$3=2),$BN30=1),I30,IF(AND('Choix pédagogiques'!$C$3=3,$BO30=1),I30,""))</f>
        <v>14</v>
      </c>
      <c r="AE30" s="53" t="str">
        <f aca="false">IF($J30&lt;&gt;"",$J30,"")</f>
        <v/>
      </c>
      <c r="AF30" s="52" t="n">
        <f aca="false">IF($A30&lt;&gt;"",$A30,"")</f>
        <v>826</v>
      </c>
      <c r="AG30" s="53" t="n">
        <f aca="false">IF(AND($W30&lt;&gt;"",$X30&lt;&gt;""),$X30-$W30,"")</f>
        <v>11</v>
      </c>
      <c r="AH30" s="53" t="n">
        <f aca="false">IF(AND($W30&lt;&gt;"",$Y30&lt;&gt;""),$Y30-$W30,"")</f>
        <v>8</v>
      </c>
      <c r="AI30" s="53" t="n">
        <f aca="false">IF(AND($X30&lt;&gt;"",$Y30&lt;&gt;""),$Y30-$X30,"")</f>
        <v>-3</v>
      </c>
      <c r="AJ30" s="53" t="str">
        <f aca="false">IF($E30&lt;&gt;"",$E30,"")</f>
        <v/>
      </c>
      <c r="AK30" s="52" t="n">
        <f aca="false">IF($F30&lt;&gt;"",$F30,"")</f>
        <v>1553</v>
      </c>
      <c r="AL30" s="53" t="n">
        <f aca="false">IF(AND($AB30&lt;&gt;"",$AC30&lt;&gt;""),$AC30-$AB30,"")</f>
        <v>14</v>
      </c>
      <c r="AM30" s="53" t="n">
        <f aca="false">IF(AND($AB30&lt;&gt;"",$AD30&lt;&gt;""),$AD30-$AB30,"")</f>
        <v>14</v>
      </c>
      <c r="AN30" s="53" t="n">
        <f aca="false">IF(AND($AC30&lt;&gt;"",$AD30&lt;&gt;""),$AD30-$AC30,"")</f>
        <v>0</v>
      </c>
      <c r="AO30" s="53" t="str">
        <f aca="false">IF($J30&lt;&gt;"",$J30,"")</f>
        <v/>
      </c>
      <c r="AQ30" s="52" t="n">
        <f aca="false">IF($A30&lt;&gt;"",$A30,"")</f>
        <v>826</v>
      </c>
      <c r="AR30" s="55" t="n">
        <f aca="false">IF(AND('Choix pédagogiques'!$C$4&lt;&gt;"?",'Choix pédagogiques'!$C$5&lt;&gt;"?",W30&lt;&gt;""),(W30-'Choix pédagogiques'!$C$4)/('Choix pédagogiques'!$C$5-'Choix pédagogiques'!$C$4),"")</f>
        <v>0.05</v>
      </c>
      <c r="AS30" s="55" t="n">
        <f aca="false">IF(AND('Choix pédagogiques'!$C$4&lt;&gt;"?",'Choix pédagogiques'!$C$5&lt;&gt;"?",X30&lt;&gt;""),(X30-'Choix pédagogiques'!$C$4)/('Choix pédagogiques'!$C$5-'Choix pédagogiques'!$C$4),"")</f>
        <v>0.6</v>
      </c>
      <c r="AT30" s="55" t="n">
        <f aca="false">IF(AND('Choix pédagogiques'!$C$4&lt;&gt;"?",'Choix pédagogiques'!$C$5&lt;&gt;"?",Y30&lt;&gt;""),(Y30-'Choix pédagogiques'!$C$4)/('Choix pédagogiques'!$C$5-'Choix pédagogiques'!$C$4),"")</f>
        <v>0.45</v>
      </c>
      <c r="AU30" s="53" t="str">
        <f aca="false">IF($E30&lt;&gt;"",$E30,"")</f>
        <v/>
      </c>
      <c r="AV30" s="52" t="n">
        <f aca="false">IF($F30&lt;&gt;"",$F30,"")</f>
        <v>1553</v>
      </c>
      <c r="AW30" s="55" t="n">
        <f aca="false">IF(AND('Choix pédagogiques'!$C$4&lt;&gt;"?",'Choix pédagogiques'!$C$5&lt;&gt;"?",AB30&lt;&gt;""),(AB30-'Choix pédagogiques'!$C$4)/('Choix pédagogiques'!$C$5-'Choix pédagogiques'!$C$4),"")</f>
        <v>0</v>
      </c>
      <c r="AX30" s="55" t="n">
        <f aca="false">IF(AND('Choix pédagogiques'!$C$4&lt;&gt;"?",'Choix pédagogiques'!$C$5&lt;&gt;"?",AC30&lt;&gt;""),(AC30-'Choix pédagogiques'!$C$4)/('Choix pédagogiques'!$C$5-'Choix pédagogiques'!$C$4),"")</f>
        <v>0.7</v>
      </c>
      <c r="AY30" s="55" t="n">
        <f aca="false">IF(AND('Choix pédagogiques'!$C$4&lt;&gt;"?",'Choix pédagogiques'!$C$5&lt;&gt;"?",AD30&lt;&gt;""),(AD30-'Choix pédagogiques'!$C$4)/('Choix pédagogiques'!$C$5-'Choix pédagogiques'!$C$4),"")</f>
        <v>0.7</v>
      </c>
      <c r="AZ30" s="53" t="str">
        <f aca="false">IF($J30&lt;&gt;"",$J30,"")</f>
        <v/>
      </c>
      <c r="BA30" s="52" t="n">
        <f aca="false">IF($A30&lt;&gt;"",$A30,"")</f>
        <v>826</v>
      </c>
      <c r="BB30" s="55" t="n">
        <f aca="false">IF(AND($AR30&lt;&gt;"",$AS30&lt;&gt;""),$AS30-$AR30,"")</f>
        <v>0.55</v>
      </c>
      <c r="BC30" s="55" t="n">
        <f aca="false">IF(AND($AR30&lt;&gt;"",$AT30&lt;&gt;""),$AT30-$AR30,"")</f>
        <v>0.4</v>
      </c>
      <c r="BD30" s="55" t="n">
        <f aca="false">IF(AND($AS30&lt;&gt;"",$AT30&lt;&gt;""),$AT30-$AS30,"")</f>
        <v>-0.15</v>
      </c>
      <c r="BE30" s="53" t="str">
        <f aca="false">IF($E30&lt;&gt;"",$E30,"")</f>
        <v/>
      </c>
      <c r="BF30" s="52" t="n">
        <f aca="false">IF($F30&lt;&gt;"",$F30,"")</f>
        <v>1553</v>
      </c>
      <c r="BG30" s="55" t="n">
        <f aca="false">IF(AND($AW30&lt;&gt;"",$AX30&lt;&gt;""),$AX30-$AW30,"")</f>
        <v>0.7</v>
      </c>
      <c r="BH30" s="55" t="n">
        <f aca="false">IF(AND($AW30&lt;&gt;"",$AY30&lt;&gt;""),$AY30-$AW30,"")</f>
        <v>0.7</v>
      </c>
      <c r="BI30" s="55" t="n">
        <f aca="false">IF(AND($AX30&lt;&gt;"",$AY30&lt;&gt;""),$AY30-$AX30,"")</f>
        <v>0</v>
      </c>
      <c r="BJ30" s="53" t="str">
        <f aca="false">IF($J30&lt;&gt;"",$J30,"")</f>
        <v/>
      </c>
      <c r="BL30" s="52"/>
      <c r="BM30" s="52" t="n">
        <f aca="false">IF(OR(COUNT(B30:D1029)=0,AND('Choix pédagogiques'!$C$3&lt;&gt;1,'Choix pédagogiques'!$C$3&lt;&gt;2)),"",IF(AND(OR('Choix pédagogiques'!$C$3=1,'Choix pédagogiques'!$C$3=2),$B30&lt;&gt;"",$C30&lt;&gt;"",$D30&lt;&gt;""),1,0))</f>
        <v>1</v>
      </c>
      <c r="BN30" s="52" t="n">
        <f aca="false">IF(OR(COUNT(G30:I1029)=0,AND('Choix pédagogiques'!$C$3&lt;&gt;1,'Choix pédagogiques'!$C$3&lt;&gt;2)),"",IF(AND(OR('Choix pédagogiques'!$C$3=1,'Choix pédagogiques'!$C$3=2),AND($G30&lt;&gt;"",$H30&lt;&gt;"",$I30&lt;&gt;"")),1,0))</f>
        <v>1</v>
      </c>
      <c r="BO30" s="52" t="str">
        <f aca="false">IF(OR(COUNT(B30:D1029)=0,COUNT(G30:I1029)=0,'Choix pédagogiques'!C$3&lt;&gt;3),"",IF(AND('Choix pédagogiques'!$C$3=3,$B30&lt;&gt;"",$C30&lt;&gt;"",$D30&lt;&gt;"",$G30&lt;&gt;"",$H30&lt;&gt;"",$I30&lt;&gt;""),1,0))</f>
        <v/>
      </c>
      <c r="BR30" s="52" t="n">
        <v>826</v>
      </c>
      <c r="BS30" s="52" t="n">
        <v>1553</v>
      </c>
    </row>
    <row r="31" s="54" customFormat="true" ht="18" hidden="false" customHeight="true" outlineLevel="0" collapsed="false">
      <c r="A31" s="49" t="n">
        <v>410</v>
      </c>
      <c r="B31" s="50" t="n">
        <v>2</v>
      </c>
      <c r="C31" s="50" t="n">
        <v>9</v>
      </c>
      <c r="D31" s="50" t="n">
        <v>7</v>
      </c>
      <c r="E31" s="51"/>
      <c r="F31" s="49" t="n">
        <v>1246</v>
      </c>
      <c r="G31" s="50" t="n">
        <v>2</v>
      </c>
      <c r="H31" s="50" t="n">
        <v>15</v>
      </c>
      <c r="I31" s="50" t="n">
        <v>15</v>
      </c>
      <c r="J31" s="56" t="s">
        <v>42</v>
      </c>
      <c r="K31" s="52" t="n">
        <f aca="false">IF($A31&lt;&gt;"",$A31,"")</f>
        <v>410</v>
      </c>
      <c r="L31" s="53" t="n">
        <f aca="false">IF(AND($B31&lt;&gt;"",$C31&lt;&gt;""),$C31-$B31,"")</f>
        <v>7</v>
      </c>
      <c r="M31" s="53" t="n">
        <f aca="false">IF(AND($B31&lt;&gt;"",$D31&lt;&gt;""),$D31-$B31,"")</f>
        <v>5</v>
      </c>
      <c r="N31" s="53" t="n">
        <f aca="false">IF(AND($C31&lt;&gt;"",$D31&lt;&gt;""),$D31-$C31,"")</f>
        <v>-2</v>
      </c>
      <c r="O31" s="53" t="str">
        <f aca="false">IF($E31&lt;&gt;"",$E31,"")</f>
        <v/>
      </c>
      <c r="P31" s="52" t="n">
        <f aca="false">IF($F31&lt;&gt;"",$F31,"")</f>
        <v>1246</v>
      </c>
      <c r="Q31" s="53" t="n">
        <f aca="false">IF(AND($G31&lt;&gt;"",$H31&lt;&gt;""),$H31-$G31,"")</f>
        <v>13</v>
      </c>
      <c r="R31" s="53" t="n">
        <f aca="false">IF(AND($G31&lt;&gt;"",$I31&lt;&gt;""),$I31-$G31,"")</f>
        <v>13</v>
      </c>
      <c r="S31" s="53" t="n">
        <f aca="false">IF(AND($H31&lt;&gt;"",$I31&lt;&gt;""),$I31-$H31,"")</f>
        <v>0</v>
      </c>
      <c r="T31" s="53" t="str">
        <f aca="false">IF($J31&lt;&gt;"",$J31,"")</f>
        <v>Dyslexique</v>
      </c>
      <c r="V31" s="52" t="n">
        <f aca="false">IF($A31&lt;&gt;"",$A31,"")</f>
        <v>410</v>
      </c>
      <c r="W31" s="53" t="n">
        <f aca="false">IF(AND(OR('Choix pédagogiques'!$C$3=1,'Choix pédagogiques'!$C$3=2),$BM31=1),B31,IF(AND('Choix pédagogiques'!$C$3=3,$BO31=1),B31,""))</f>
        <v>2</v>
      </c>
      <c r="X31" s="53" t="n">
        <f aca="false">IF(AND(OR('Choix pédagogiques'!$C$3=1,'Choix pédagogiques'!$C$3=2),$BM31=1),C31,IF(AND('Choix pédagogiques'!$C$3=3,$BO31=1),C31,""))</f>
        <v>9</v>
      </c>
      <c r="Y31" s="53" t="n">
        <f aca="false">IF(AND(OR('Choix pédagogiques'!$C$3=1,'Choix pédagogiques'!$C$3=2),$BM31=1),D31,IF(AND('Choix pédagogiques'!$C$3=3,$BO31=1),D31,""))</f>
        <v>7</v>
      </c>
      <c r="Z31" s="53" t="str">
        <f aca="false">IF($E31&lt;&gt;"",$E31,"")</f>
        <v/>
      </c>
      <c r="AA31" s="52" t="n">
        <f aca="false">IF($F31&lt;&gt;"",$F31,"")</f>
        <v>1246</v>
      </c>
      <c r="AB31" s="53" t="n">
        <f aca="false">IF(AND(OR('Choix pédagogiques'!$C$3=1,'Choix pédagogiques'!$C$3=2),$BN31=1),G31,IF(AND('Choix pédagogiques'!$C$3=3,$BO31=1),G31,""))</f>
        <v>2</v>
      </c>
      <c r="AC31" s="53" t="n">
        <f aca="false">IF(AND(OR('Choix pédagogiques'!$C$3=1,'Choix pédagogiques'!$C$3=2),$BN31=1),H31,IF(AND('Choix pédagogiques'!$C$3=3,$BO31=1),H31,""))</f>
        <v>15</v>
      </c>
      <c r="AD31" s="53" t="n">
        <f aca="false">IF(AND(OR('Choix pédagogiques'!$C$3=1,'Choix pédagogiques'!$C$3=2),$BN31=1),I31,IF(AND('Choix pédagogiques'!$C$3=3,$BO31=1),I31,""))</f>
        <v>15</v>
      </c>
      <c r="AE31" s="53" t="str">
        <f aca="false">IF($J31&lt;&gt;"",$J31,"")</f>
        <v>Dyslexique</v>
      </c>
      <c r="AF31" s="52" t="n">
        <f aca="false">IF($A31&lt;&gt;"",$A31,"")</f>
        <v>410</v>
      </c>
      <c r="AG31" s="53" t="n">
        <f aca="false">IF(AND($W31&lt;&gt;"",$X31&lt;&gt;""),$X31-$W31,"")</f>
        <v>7</v>
      </c>
      <c r="AH31" s="53" t="n">
        <f aca="false">IF(AND($W31&lt;&gt;"",$Y31&lt;&gt;""),$Y31-$W31,"")</f>
        <v>5</v>
      </c>
      <c r="AI31" s="53" t="n">
        <f aca="false">IF(AND($X31&lt;&gt;"",$Y31&lt;&gt;""),$Y31-$X31,"")</f>
        <v>-2</v>
      </c>
      <c r="AJ31" s="53" t="str">
        <f aca="false">IF($E31&lt;&gt;"",$E31,"")</f>
        <v/>
      </c>
      <c r="AK31" s="52" t="n">
        <f aca="false">IF($F31&lt;&gt;"",$F31,"")</f>
        <v>1246</v>
      </c>
      <c r="AL31" s="53" t="n">
        <f aca="false">IF(AND($AB31&lt;&gt;"",$AC31&lt;&gt;""),$AC31-$AB31,"")</f>
        <v>13</v>
      </c>
      <c r="AM31" s="53" t="n">
        <f aca="false">IF(AND($AB31&lt;&gt;"",$AD31&lt;&gt;""),$AD31-$AB31,"")</f>
        <v>13</v>
      </c>
      <c r="AN31" s="53" t="n">
        <f aca="false">IF(AND($AC31&lt;&gt;"",$AD31&lt;&gt;""),$AD31-$AC31,"")</f>
        <v>0</v>
      </c>
      <c r="AO31" s="53" t="str">
        <f aca="false">IF($J31&lt;&gt;"",$J31,"")</f>
        <v>Dyslexique</v>
      </c>
      <c r="AQ31" s="52" t="n">
        <f aca="false">IF($A31&lt;&gt;"",$A31,"")</f>
        <v>410</v>
      </c>
      <c r="AR31" s="55" t="n">
        <f aca="false">IF(AND('Choix pédagogiques'!$C$4&lt;&gt;"?",'Choix pédagogiques'!$C$5&lt;&gt;"?",W31&lt;&gt;""),(W31-'Choix pédagogiques'!$C$4)/('Choix pédagogiques'!$C$5-'Choix pédagogiques'!$C$4),"")</f>
        <v>0.1</v>
      </c>
      <c r="AS31" s="55" t="n">
        <f aca="false">IF(AND('Choix pédagogiques'!$C$4&lt;&gt;"?",'Choix pédagogiques'!$C$5&lt;&gt;"?",X31&lt;&gt;""),(X31-'Choix pédagogiques'!$C$4)/('Choix pédagogiques'!$C$5-'Choix pédagogiques'!$C$4),"")</f>
        <v>0.45</v>
      </c>
      <c r="AT31" s="55" t="n">
        <f aca="false">IF(AND('Choix pédagogiques'!$C$4&lt;&gt;"?",'Choix pédagogiques'!$C$5&lt;&gt;"?",Y31&lt;&gt;""),(Y31-'Choix pédagogiques'!$C$4)/('Choix pédagogiques'!$C$5-'Choix pédagogiques'!$C$4),"")</f>
        <v>0.35</v>
      </c>
      <c r="AU31" s="53" t="str">
        <f aca="false">IF($E31&lt;&gt;"",$E31,"")</f>
        <v/>
      </c>
      <c r="AV31" s="52" t="n">
        <f aca="false">IF($F31&lt;&gt;"",$F31,"")</f>
        <v>1246</v>
      </c>
      <c r="AW31" s="55" t="n">
        <f aca="false">IF(AND('Choix pédagogiques'!$C$4&lt;&gt;"?",'Choix pédagogiques'!$C$5&lt;&gt;"?",AB31&lt;&gt;""),(AB31-'Choix pédagogiques'!$C$4)/('Choix pédagogiques'!$C$5-'Choix pédagogiques'!$C$4),"")</f>
        <v>0.1</v>
      </c>
      <c r="AX31" s="55" t="n">
        <f aca="false">IF(AND('Choix pédagogiques'!$C$4&lt;&gt;"?",'Choix pédagogiques'!$C$5&lt;&gt;"?",AC31&lt;&gt;""),(AC31-'Choix pédagogiques'!$C$4)/('Choix pédagogiques'!$C$5-'Choix pédagogiques'!$C$4),"")</f>
        <v>0.75</v>
      </c>
      <c r="AY31" s="55" t="n">
        <f aca="false">IF(AND('Choix pédagogiques'!$C$4&lt;&gt;"?",'Choix pédagogiques'!$C$5&lt;&gt;"?",AD31&lt;&gt;""),(AD31-'Choix pédagogiques'!$C$4)/('Choix pédagogiques'!$C$5-'Choix pédagogiques'!$C$4),"")</f>
        <v>0.75</v>
      </c>
      <c r="AZ31" s="53" t="str">
        <f aca="false">IF($J31&lt;&gt;"",$J31,"")</f>
        <v>Dyslexique</v>
      </c>
      <c r="BA31" s="52" t="n">
        <f aca="false">IF($A31&lt;&gt;"",$A31,"")</f>
        <v>410</v>
      </c>
      <c r="BB31" s="55" t="n">
        <f aca="false">IF(AND($AR31&lt;&gt;"",$AS31&lt;&gt;""),$AS31-$AR31,"")</f>
        <v>0.35</v>
      </c>
      <c r="BC31" s="55" t="n">
        <f aca="false">IF(AND($AR31&lt;&gt;"",$AT31&lt;&gt;""),$AT31-$AR31,"")</f>
        <v>0.25</v>
      </c>
      <c r="BD31" s="55" t="n">
        <f aca="false">IF(AND($AS31&lt;&gt;"",$AT31&lt;&gt;""),$AT31-$AS31,"")</f>
        <v>-0.1</v>
      </c>
      <c r="BE31" s="53" t="str">
        <f aca="false">IF($E31&lt;&gt;"",$E31,"")</f>
        <v/>
      </c>
      <c r="BF31" s="52" t="n">
        <f aca="false">IF($F31&lt;&gt;"",$F31,"")</f>
        <v>1246</v>
      </c>
      <c r="BG31" s="55" t="n">
        <f aca="false">IF(AND($AW31&lt;&gt;"",$AX31&lt;&gt;""),$AX31-$AW31,"")</f>
        <v>0.65</v>
      </c>
      <c r="BH31" s="55" t="n">
        <f aca="false">IF(AND($AW31&lt;&gt;"",$AY31&lt;&gt;""),$AY31-$AW31,"")</f>
        <v>0.65</v>
      </c>
      <c r="BI31" s="55" t="n">
        <f aca="false">IF(AND($AX31&lt;&gt;"",$AY31&lt;&gt;""),$AY31-$AX31,"")</f>
        <v>0</v>
      </c>
      <c r="BJ31" s="53" t="str">
        <f aca="false">IF($J31&lt;&gt;"",$J31,"")</f>
        <v>Dyslexique</v>
      </c>
      <c r="BL31" s="52"/>
      <c r="BM31" s="52" t="n">
        <f aca="false">IF(OR(COUNT(B31:D1030)=0,AND('Choix pédagogiques'!$C$3&lt;&gt;1,'Choix pédagogiques'!$C$3&lt;&gt;2)),"",IF(AND(OR('Choix pédagogiques'!$C$3=1,'Choix pédagogiques'!$C$3=2),$B31&lt;&gt;"",$C31&lt;&gt;"",$D31&lt;&gt;""),1,0))</f>
        <v>1</v>
      </c>
      <c r="BN31" s="52" t="n">
        <f aca="false">IF(OR(COUNT(G31:I1030)=0,AND('Choix pédagogiques'!$C$3&lt;&gt;1,'Choix pédagogiques'!$C$3&lt;&gt;2)),"",IF(AND(OR('Choix pédagogiques'!$C$3=1,'Choix pédagogiques'!$C$3=2),AND($G31&lt;&gt;"",$H31&lt;&gt;"",$I31&lt;&gt;"")),1,0))</f>
        <v>1</v>
      </c>
      <c r="BO31" s="52" t="str">
        <f aca="false">IF(OR(COUNT(B31:D1030)=0,COUNT(G31:I1030)=0,'Choix pédagogiques'!C$3&lt;&gt;3),"",IF(AND('Choix pédagogiques'!$C$3=3,$B31&lt;&gt;"",$C31&lt;&gt;"",$D31&lt;&gt;"",$G31&lt;&gt;"",$H31&lt;&gt;"",$I31&lt;&gt;""),1,0))</f>
        <v/>
      </c>
      <c r="BR31" s="52" t="n">
        <v>410</v>
      </c>
      <c r="BS31" s="52" t="n">
        <v>1246</v>
      </c>
    </row>
    <row r="32" s="54" customFormat="true" ht="18" hidden="false" customHeight="true" outlineLevel="0" collapsed="false">
      <c r="A32" s="49" t="n">
        <v>649</v>
      </c>
      <c r="B32" s="50" t="n">
        <v>4</v>
      </c>
      <c r="C32" s="50" t="n">
        <v>10</v>
      </c>
      <c r="D32" s="50" t="n">
        <v>7</v>
      </c>
      <c r="E32" s="51"/>
      <c r="F32" s="49" t="n">
        <v>1812</v>
      </c>
      <c r="G32" s="50" t="n">
        <v>3</v>
      </c>
      <c r="H32" s="50" t="n">
        <v>15</v>
      </c>
      <c r="I32" s="50" t="n">
        <v>16</v>
      </c>
      <c r="J32" s="51"/>
      <c r="K32" s="52" t="n">
        <f aca="false">IF($A32&lt;&gt;"",$A32,"")</f>
        <v>649</v>
      </c>
      <c r="L32" s="53" t="n">
        <f aca="false">IF(AND($B32&lt;&gt;"",$C32&lt;&gt;""),$C32-$B32,"")</f>
        <v>6</v>
      </c>
      <c r="M32" s="53" t="n">
        <f aca="false">IF(AND($B32&lt;&gt;"",$D32&lt;&gt;""),$D32-$B32,"")</f>
        <v>3</v>
      </c>
      <c r="N32" s="53" t="n">
        <f aca="false">IF(AND($C32&lt;&gt;"",$D32&lt;&gt;""),$D32-$C32,"")</f>
        <v>-3</v>
      </c>
      <c r="O32" s="53" t="str">
        <f aca="false">IF($E32&lt;&gt;"",$E32,"")</f>
        <v/>
      </c>
      <c r="P32" s="52" t="n">
        <f aca="false">IF($F32&lt;&gt;"",$F32,"")</f>
        <v>1812</v>
      </c>
      <c r="Q32" s="53" t="n">
        <f aca="false">IF(AND($G32&lt;&gt;"",$H32&lt;&gt;""),$H32-$G32,"")</f>
        <v>12</v>
      </c>
      <c r="R32" s="53" t="n">
        <f aca="false">IF(AND($G32&lt;&gt;"",$I32&lt;&gt;""),$I32-$G32,"")</f>
        <v>13</v>
      </c>
      <c r="S32" s="53" t="n">
        <f aca="false">IF(AND($H32&lt;&gt;"",$I32&lt;&gt;""),$I32-$H32,"")</f>
        <v>1</v>
      </c>
      <c r="T32" s="53" t="str">
        <f aca="false">IF($J32&lt;&gt;"",$J32,"")</f>
        <v/>
      </c>
      <c r="V32" s="52" t="n">
        <f aca="false">IF($A32&lt;&gt;"",$A32,"")</f>
        <v>649</v>
      </c>
      <c r="W32" s="53" t="n">
        <f aca="false">IF(AND(OR('Choix pédagogiques'!$C$3=1,'Choix pédagogiques'!$C$3=2),$BM32=1),B32,IF(AND('Choix pédagogiques'!$C$3=3,$BO32=1),B32,""))</f>
        <v>4</v>
      </c>
      <c r="X32" s="53" t="n">
        <f aca="false">IF(AND(OR('Choix pédagogiques'!$C$3=1,'Choix pédagogiques'!$C$3=2),$BM32=1),C32,IF(AND('Choix pédagogiques'!$C$3=3,$BO32=1),C32,""))</f>
        <v>10</v>
      </c>
      <c r="Y32" s="53" t="n">
        <f aca="false">IF(AND(OR('Choix pédagogiques'!$C$3=1,'Choix pédagogiques'!$C$3=2),$BM32=1),D32,IF(AND('Choix pédagogiques'!$C$3=3,$BO32=1),D32,""))</f>
        <v>7</v>
      </c>
      <c r="Z32" s="53" t="str">
        <f aca="false">IF($E32&lt;&gt;"",$E32,"")</f>
        <v/>
      </c>
      <c r="AA32" s="52" t="n">
        <f aca="false">IF($F32&lt;&gt;"",$F32,"")</f>
        <v>1812</v>
      </c>
      <c r="AB32" s="53" t="n">
        <f aca="false">IF(AND(OR('Choix pédagogiques'!$C$3=1,'Choix pédagogiques'!$C$3=2),$BN32=1),G32,IF(AND('Choix pédagogiques'!$C$3=3,$BO32=1),G32,""))</f>
        <v>3</v>
      </c>
      <c r="AC32" s="53" t="n">
        <f aca="false">IF(AND(OR('Choix pédagogiques'!$C$3=1,'Choix pédagogiques'!$C$3=2),$BN32=1),H32,IF(AND('Choix pédagogiques'!$C$3=3,$BO32=1),H32,""))</f>
        <v>15</v>
      </c>
      <c r="AD32" s="53" t="n">
        <f aca="false">IF(AND(OR('Choix pédagogiques'!$C$3=1,'Choix pédagogiques'!$C$3=2),$BN32=1),I32,IF(AND('Choix pédagogiques'!$C$3=3,$BO32=1),I32,""))</f>
        <v>16</v>
      </c>
      <c r="AE32" s="53" t="str">
        <f aca="false">IF($J32&lt;&gt;"",$J32,"")</f>
        <v/>
      </c>
      <c r="AF32" s="52" t="n">
        <f aca="false">IF($A32&lt;&gt;"",$A32,"")</f>
        <v>649</v>
      </c>
      <c r="AG32" s="53" t="n">
        <f aca="false">IF(AND($W32&lt;&gt;"",$X32&lt;&gt;""),$X32-$W32,"")</f>
        <v>6</v>
      </c>
      <c r="AH32" s="53" t="n">
        <f aca="false">IF(AND($W32&lt;&gt;"",$Y32&lt;&gt;""),$Y32-$W32,"")</f>
        <v>3</v>
      </c>
      <c r="AI32" s="53" t="n">
        <f aca="false">IF(AND($X32&lt;&gt;"",$Y32&lt;&gt;""),$Y32-$X32,"")</f>
        <v>-3</v>
      </c>
      <c r="AJ32" s="53" t="str">
        <f aca="false">IF($E32&lt;&gt;"",$E32,"")</f>
        <v/>
      </c>
      <c r="AK32" s="52" t="n">
        <f aca="false">IF($F32&lt;&gt;"",$F32,"")</f>
        <v>1812</v>
      </c>
      <c r="AL32" s="53" t="n">
        <f aca="false">IF(AND($AB32&lt;&gt;"",$AC32&lt;&gt;""),$AC32-$AB32,"")</f>
        <v>12</v>
      </c>
      <c r="AM32" s="53" t="n">
        <f aca="false">IF(AND($AB32&lt;&gt;"",$AD32&lt;&gt;""),$AD32-$AB32,"")</f>
        <v>13</v>
      </c>
      <c r="AN32" s="53" t="n">
        <f aca="false">IF(AND($AC32&lt;&gt;"",$AD32&lt;&gt;""),$AD32-$AC32,"")</f>
        <v>1</v>
      </c>
      <c r="AO32" s="53" t="str">
        <f aca="false">IF($J32&lt;&gt;"",$J32,"")</f>
        <v/>
      </c>
      <c r="AQ32" s="52" t="n">
        <f aca="false">IF($A32&lt;&gt;"",$A32,"")</f>
        <v>649</v>
      </c>
      <c r="AR32" s="55" t="n">
        <f aca="false">IF(AND('Choix pédagogiques'!$C$4&lt;&gt;"?",'Choix pédagogiques'!$C$5&lt;&gt;"?",W32&lt;&gt;""),(W32-'Choix pédagogiques'!$C$4)/('Choix pédagogiques'!$C$5-'Choix pédagogiques'!$C$4),"")</f>
        <v>0.2</v>
      </c>
      <c r="AS32" s="55" t="n">
        <f aca="false">IF(AND('Choix pédagogiques'!$C$4&lt;&gt;"?",'Choix pédagogiques'!$C$5&lt;&gt;"?",X32&lt;&gt;""),(X32-'Choix pédagogiques'!$C$4)/('Choix pédagogiques'!$C$5-'Choix pédagogiques'!$C$4),"")</f>
        <v>0.5</v>
      </c>
      <c r="AT32" s="55" t="n">
        <f aca="false">IF(AND('Choix pédagogiques'!$C$4&lt;&gt;"?",'Choix pédagogiques'!$C$5&lt;&gt;"?",Y32&lt;&gt;""),(Y32-'Choix pédagogiques'!$C$4)/('Choix pédagogiques'!$C$5-'Choix pédagogiques'!$C$4),"")</f>
        <v>0.35</v>
      </c>
      <c r="AU32" s="53" t="str">
        <f aca="false">IF($E32&lt;&gt;"",$E32,"")</f>
        <v/>
      </c>
      <c r="AV32" s="52" t="n">
        <f aca="false">IF($F32&lt;&gt;"",$F32,"")</f>
        <v>1812</v>
      </c>
      <c r="AW32" s="55" t="n">
        <f aca="false">IF(AND('Choix pédagogiques'!$C$4&lt;&gt;"?",'Choix pédagogiques'!$C$5&lt;&gt;"?",AB32&lt;&gt;""),(AB32-'Choix pédagogiques'!$C$4)/('Choix pédagogiques'!$C$5-'Choix pédagogiques'!$C$4),"")</f>
        <v>0.15</v>
      </c>
      <c r="AX32" s="55" t="n">
        <f aca="false">IF(AND('Choix pédagogiques'!$C$4&lt;&gt;"?",'Choix pédagogiques'!$C$5&lt;&gt;"?",AC32&lt;&gt;""),(AC32-'Choix pédagogiques'!$C$4)/('Choix pédagogiques'!$C$5-'Choix pédagogiques'!$C$4),"")</f>
        <v>0.75</v>
      </c>
      <c r="AY32" s="55" t="n">
        <f aca="false">IF(AND('Choix pédagogiques'!$C$4&lt;&gt;"?",'Choix pédagogiques'!$C$5&lt;&gt;"?",AD32&lt;&gt;""),(AD32-'Choix pédagogiques'!$C$4)/('Choix pédagogiques'!$C$5-'Choix pédagogiques'!$C$4),"")</f>
        <v>0.8</v>
      </c>
      <c r="AZ32" s="53" t="str">
        <f aca="false">IF($J32&lt;&gt;"",$J32,"")</f>
        <v/>
      </c>
      <c r="BA32" s="52" t="n">
        <f aca="false">IF($A32&lt;&gt;"",$A32,"")</f>
        <v>649</v>
      </c>
      <c r="BB32" s="55" t="n">
        <f aca="false">IF(AND($AR32&lt;&gt;"",$AS32&lt;&gt;""),$AS32-$AR32,"")</f>
        <v>0.3</v>
      </c>
      <c r="BC32" s="55" t="n">
        <f aca="false">IF(AND($AR32&lt;&gt;"",$AT32&lt;&gt;""),$AT32-$AR32,"")</f>
        <v>0.15</v>
      </c>
      <c r="BD32" s="55" t="n">
        <f aca="false">IF(AND($AS32&lt;&gt;"",$AT32&lt;&gt;""),$AT32-$AS32,"")</f>
        <v>-0.15</v>
      </c>
      <c r="BE32" s="53" t="str">
        <f aca="false">IF($E32&lt;&gt;"",$E32,"")</f>
        <v/>
      </c>
      <c r="BF32" s="52" t="n">
        <f aca="false">IF($F32&lt;&gt;"",$F32,"")</f>
        <v>1812</v>
      </c>
      <c r="BG32" s="55" t="n">
        <f aca="false">IF(AND($AW32&lt;&gt;"",$AX32&lt;&gt;""),$AX32-$AW32,"")</f>
        <v>0.6</v>
      </c>
      <c r="BH32" s="55" t="n">
        <f aca="false">IF(AND($AW32&lt;&gt;"",$AY32&lt;&gt;""),$AY32-$AW32,"")</f>
        <v>0.65</v>
      </c>
      <c r="BI32" s="55" t="n">
        <f aca="false">IF(AND($AX32&lt;&gt;"",$AY32&lt;&gt;""),$AY32-$AX32,"")</f>
        <v>0.05</v>
      </c>
      <c r="BJ32" s="53" t="str">
        <f aca="false">IF($J32&lt;&gt;"",$J32,"")</f>
        <v/>
      </c>
      <c r="BL32" s="52"/>
      <c r="BM32" s="52" t="n">
        <f aca="false">IF(OR(COUNT(B32:D1031)=0,AND('Choix pédagogiques'!$C$3&lt;&gt;1,'Choix pédagogiques'!$C$3&lt;&gt;2)),"",IF(AND(OR('Choix pédagogiques'!$C$3=1,'Choix pédagogiques'!$C$3=2),$B32&lt;&gt;"",$C32&lt;&gt;"",$D32&lt;&gt;""),1,0))</f>
        <v>1</v>
      </c>
      <c r="BN32" s="52" t="n">
        <f aca="false">IF(OR(COUNT(G32:I1031)=0,AND('Choix pédagogiques'!$C$3&lt;&gt;1,'Choix pédagogiques'!$C$3&lt;&gt;2)),"",IF(AND(OR('Choix pédagogiques'!$C$3=1,'Choix pédagogiques'!$C$3=2),AND($G32&lt;&gt;"",$H32&lt;&gt;"",$I32&lt;&gt;"")),1,0))</f>
        <v>1</v>
      </c>
      <c r="BO32" s="52" t="str">
        <f aca="false">IF(OR(COUNT(B32:D1031)=0,COUNT(G32:I1031)=0,'Choix pédagogiques'!C$3&lt;&gt;3),"",IF(AND('Choix pédagogiques'!$C$3=3,$B32&lt;&gt;"",$C32&lt;&gt;"",$D32&lt;&gt;"",$G32&lt;&gt;"",$H32&lt;&gt;"",$I32&lt;&gt;""),1,0))</f>
        <v/>
      </c>
      <c r="BR32" s="52" t="n">
        <v>649</v>
      </c>
      <c r="BS32" s="52" t="n">
        <v>1812</v>
      </c>
    </row>
    <row r="33" s="54" customFormat="true" ht="18" hidden="false" customHeight="true" outlineLevel="0" collapsed="false">
      <c r="A33" s="49" t="n">
        <v>737</v>
      </c>
      <c r="B33" s="50" t="n">
        <v>6</v>
      </c>
      <c r="C33" s="50" t="n">
        <v>14</v>
      </c>
      <c r="D33" s="50" t="n">
        <v>12</v>
      </c>
      <c r="E33" s="51"/>
      <c r="F33" s="49" t="n">
        <v>1823</v>
      </c>
      <c r="G33" s="50" t="n">
        <v>5</v>
      </c>
      <c r="H33" s="50" t="n">
        <v>9</v>
      </c>
      <c r="I33" s="50" t="n">
        <v>9</v>
      </c>
      <c r="J33" s="51"/>
      <c r="K33" s="52" t="n">
        <f aca="false">IF($A33&lt;&gt;"",$A33,"")</f>
        <v>737</v>
      </c>
      <c r="L33" s="53" t="n">
        <f aca="false">IF(AND($B33&lt;&gt;"",$C33&lt;&gt;""),$C33-$B33,"")</f>
        <v>8</v>
      </c>
      <c r="M33" s="53" t="n">
        <f aca="false">IF(AND($B33&lt;&gt;"",$D33&lt;&gt;""),$D33-$B33,"")</f>
        <v>6</v>
      </c>
      <c r="N33" s="53" t="n">
        <f aca="false">IF(AND($C33&lt;&gt;"",$D33&lt;&gt;""),$D33-$C33,"")</f>
        <v>-2</v>
      </c>
      <c r="O33" s="53" t="str">
        <f aca="false">IF($E33&lt;&gt;"",$E33,"")</f>
        <v/>
      </c>
      <c r="P33" s="52" t="n">
        <f aca="false">IF($F33&lt;&gt;"",$F33,"")</f>
        <v>1823</v>
      </c>
      <c r="Q33" s="53" t="n">
        <f aca="false">IF(AND($G33&lt;&gt;"",$H33&lt;&gt;""),$H33-$G33,"")</f>
        <v>4</v>
      </c>
      <c r="R33" s="53" t="n">
        <f aca="false">IF(AND($G33&lt;&gt;"",$I33&lt;&gt;""),$I33-$G33,"")</f>
        <v>4</v>
      </c>
      <c r="S33" s="53" t="n">
        <f aca="false">IF(AND($H33&lt;&gt;"",$I33&lt;&gt;""),$I33-$H33,"")</f>
        <v>0</v>
      </c>
      <c r="T33" s="53" t="str">
        <f aca="false">IF($J33&lt;&gt;"",$J33,"")</f>
        <v/>
      </c>
      <c r="V33" s="52" t="n">
        <f aca="false">IF($A33&lt;&gt;"",$A33,"")</f>
        <v>737</v>
      </c>
      <c r="W33" s="53" t="n">
        <f aca="false">IF(AND(OR('Choix pédagogiques'!$C$3=1,'Choix pédagogiques'!$C$3=2),$BM33=1),B33,IF(AND('Choix pédagogiques'!$C$3=3,$BO33=1),B33,""))</f>
        <v>6</v>
      </c>
      <c r="X33" s="53" t="n">
        <f aca="false">IF(AND(OR('Choix pédagogiques'!$C$3=1,'Choix pédagogiques'!$C$3=2),$BM33=1),C33,IF(AND('Choix pédagogiques'!$C$3=3,$BO33=1),C33,""))</f>
        <v>14</v>
      </c>
      <c r="Y33" s="53" t="n">
        <f aca="false">IF(AND(OR('Choix pédagogiques'!$C$3=1,'Choix pédagogiques'!$C$3=2),$BM33=1),D33,IF(AND('Choix pédagogiques'!$C$3=3,$BO33=1),D33,""))</f>
        <v>12</v>
      </c>
      <c r="Z33" s="53" t="str">
        <f aca="false">IF($E33&lt;&gt;"",$E33,"")</f>
        <v/>
      </c>
      <c r="AA33" s="52" t="n">
        <f aca="false">IF($F33&lt;&gt;"",$F33,"")</f>
        <v>1823</v>
      </c>
      <c r="AB33" s="53" t="n">
        <f aca="false">IF(AND(OR('Choix pédagogiques'!$C$3=1,'Choix pédagogiques'!$C$3=2),$BN33=1),G33,IF(AND('Choix pédagogiques'!$C$3=3,$BO33=1),G33,""))</f>
        <v>5</v>
      </c>
      <c r="AC33" s="53" t="n">
        <f aca="false">IF(AND(OR('Choix pédagogiques'!$C$3=1,'Choix pédagogiques'!$C$3=2),$BN33=1),H33,IF(AND('Choix pédagogiques'!$C$3=3,$BO33=1),H33,""))</f>
        <v>9</v>
      </c>
      <c r="AD33" s="53" t="n">
        <f aca="false">IF(AND(OR('Choix pédagogiques'!$C$3=1,'Choix pédagogiques'!$C$3=2),$BN33=1),I33,IF(AND('Choix pédagogiques'!$C$3=3,$BO33=1),I33,""))</f>
        <v>9</v>
      </c>
      <c r="AE33" s="53" t="str">
        <f aca="false">IF($J33&lt;&gt;"",$J33,"")</f>
        <v/>
      </c>
      <c r="AF33" s="52" t="n">
        <f aca="false">IF($A33&lt;&gt;"",$A33,"")</f>
        <v>737</v>
      </c>
      <c r="AG33" s="53" t="n">
        <f aca="false">IF(AND($W33&lt;&gt;"",$X33&lt;&gt;""),$X33-$W33,"")</f>
        <v>8</v>
      </c>
      <c r="AH33" s="53" t="n">
        <f aca="false">IF(AND($W33&lt;&gt;"",$Y33&lt;&gt;""),$Y33-$W33,"")</f>
        <v>6</v>
      </c>
      <c r="AI33" s="53" t="n">
        <f aca="false">IF(AND($X33&lt;&gt;"",$Y33&lt;&gt;""),$Y33-$X33,"")</f>
        <v>-2</v>
      </c>
      <c r="AJ33" s="53" t="str">
        <f aca="false">IF($E33&lt;&gt;"",$E33,"")</f>
        <v/>
      </c>
      <c r="AK33" s="52" t="n">
        <f aca="false">IF($F33&lt;&gt;"",$F33,"")</f>
        <v>1823</v>
      </c>
      <c r="AL33" s="53" t="n">
        <f aca="false">IF(AND($AB33&lt;&gt;"",$AC33&lt;&gt;""),$AC33-$AB33,"")</f>
        <v>4</v>
      </c>
      <c r="AM33" s="53" t="n">
        <f aca="false">IF(AND($AB33&lt;&gt;"",$AD33&lt;&gt;""),$AD33-$AB33,"")</f>
        <v>4</v>
      </c>
      <c r="AN33" s="53" t="n">
        <f aca="false">IF(AND($AC33&lt;&gt;"",$AD33&lt;&gt;""),$AD33-$AC33,"")</f>
        <v>0</v>
      </c>
      <c r="AO33" s="53" t="str">
        <f aca="false">IF($J33&lt;&gt;"",$J33,"")</f>
        <v/>
      </c>
      <c r="AQ33" s="52" t="n">
        <f aca="false">IF($A33&lt;&gt;"",$A33,"")</f>
        <v>737</v>
      </c>
      <c r="AR33" s="55" t="n">
        <f aca="false">IF(AND('Choix pédagogiques'!$C$4&lt;&gt;"?",'Choix pédagogiques'!$C$5&lt;&gt;"?",W33&lt;&gt;""),(W33-'Choix pédagogiques'!$C$4)/('Choix pédagogiques'!$C$5-'Choix pédagogiques'!$C$4),"")</f>
        <v>0.3</v>
      </c>
      <c r="AS33" s="55" t="n">
        <f aca="false">IF(AND('Choix pédagogiques'!$C$4&lt;&gt;"?",'Choix pédagogiques'!$C$5&lt;&gt;"?",X33&lt;&gt;""),(X33-'Choix pédagogiques'!$C$4)/('Choix pédagogiques'!$C$5-'Choix pédagogiques'!$C$4),"")</f>
        <v>0.7</v>
      </c>
      <c r="AT33" s="55" t="n">
        <f aca="false">IF(AND('Choix pédagogiques'!$C$4&lt;&gt;"?",'Choix pédagogiques'!$C$5&lt;&gt;"?",Y33&lt;&gt;""),(Y33-'Choix pédagogiques'!$C$4)/('Choix pédagogiques'!$C$5-'Choix pédagogiques'!$C$4),"")</f>
        <v>0.6</v>
      </c>
      <c r="AU33" s="53" t="str">
        <f aca="false">IF($E33&lt;&gt;"",$E33,"")</f>
        <v/>
      </c>
      <c r="AV33" s="52" t="n">
        <f aca="false">IF($F33&lt;&gt;"",$F33,"")</f>
        <v>1823</v>
      </c>
      <c r="AW33" s="55" t="n">
        <f aca="false">IF(AND('Choix pédagogiques'!$C$4&lt;&gt;"?",'Choix pédagogiques'!$C$5&lt;&gt;"?",AB33&lt;&gt;""),(AB33-'Choix pédagogiques'!$C$4)/('Choix pédagogiques'!$C$5-'Choix pédagogiques'!$C$4),"")</f>
        <v>0.25</v>
      </c>
      <c r="AX33" s="55" t="n">
        <f aca="false">IF(AND('Choix pédagogiques'!$C$4&lt;&gt;"?",'Choix pédagogiques'!$C$5&lt;&gt;"?",AC33&lt;&gt;""),(AC33-'Choix pédagogiques'!$C$4)/('Choix pédagogiques'!$C$5-'Choix pédagogiques'!$C$4),"")</f>
        <v>0.45</v>
      </c>
      <c r="AY33" s="55" t="n">
        <f aca="false">IF(AND('Choix pédagogiques'!$C$4&lt;&gt;"?",'Choix pédagogiques'!$C$5&lt;&gt;"?",AD33&lt;&gt;""),(AD33-'Choix pédagogiques'!$C$4)/('Choix pédagogiques'!$C$5-'Choix pédagogiques'!$C$4),"")</f>
        <v>0.45</v>
      </c>
      <c r="AZ33" s="53" t="str">
        <f aca="false">IF($J33&lt;&gt;"",$J33,"")</f>
        <v/>
      </c>
      <c r="BA33" s="52" t="n">
        <f aca="false">IF($A33&lt;&gt;"",$A33,"")</f>
        <v>737</v>
      </c>
      <c r="BB33" s="55" t="n">
        <f aca="false">IF(AND($AR33&lt;&gt;"",$AS33&lt;&gt;""),$AS33-$AR33,"")</f>
        <v>0.4</v>
      </c>
      <c r="BC33" s="55" t="n">
        <f aca="false">IF(AND($AR33&lt;&gt;"",$AT33&lt;&gt;""),$AT33-$AR33,"")</f>
        <v>0.3</v>
      </c>
      <c r="BD33" s="55" t="n">
        <f aca="false">IF(AND($AS33&lt;&gt;"",$AT33&lt;&gt;""),$AT33-$AS33,"")</f>
        <v>-0.1</v>
      </c>
      <c r="BE33" s="53" t="str">
        <f aca="false">IF($E33&lt;&gt;"",$E33,"")</f>
        <v/>
      </c>
      <c r="BF33" s="52" t="n">
        <f aca="false">IF($F33&lt;&gt;"",$F33,"")</f>
        <v>1823</v>
      </c>
      <c r="BG33" s="55" t="n">
        <f aca="false">IF(AND($AW33&lt;&gt;"",$AX33&lt;&gt;""),$AX33-$AW33,"")</f>
        <v>0.2</v>
      </c>
      <c r="BH33" s="55" t="n">
        <f aca="false">IF(AND($AW33&lt;&gt;"",$AY33&lt;&gt;""),$AY33-$AW33,"")</f>
        <v>0.2</v>
      </c>
      <c r="BI33" s="55" t="n">
        <f aca="false">IF(AND($AX33&lt;&gt;"",$AY33&lt;&gt;""),$AY33-$AX33,"")</f>
        <v>0</v>
      </c>
      <c r="BJ33" s="53" t="str">
        <f aca="false">IF($J33&lt;&gt;"",$J33,"")</f>
        <v/>
      </c>
      <c r="BL33" s="52"/>
      <c r="BM33" s="52" t="n">
        <f aca="false">IF(OR(COUNT(B33:D1032)=0,AND('Choix pédagogiques'!$C$3&lt;&gt;1,'Choix pédagogiques'!$C$3&lt;&gt;2)),"",IF(AND(OR('Choix pédagogiques'!$C$3=1,'Choix pédagogiques'!$C$3=2),$B33&lt;&gt;"",$C33&lt;&gt;"",$D33&lt;&gt;""),1,0))</f>
        <v>1</v>
      </c>
      <c r="BN33" s="52" t="n">
        <f aca="false">IF(OR(COUNT(G33:I1032)=0,AND('Choix pédagogiques'!$C$3&lt;&gt;1,'Choix pédagogiques'!$C$3&lt;&gt;2)),"",IF(AND(OR('Choix pédagogiques'!$C$3=1,'Choix pédagogiques'!$C$3=2),AND($G33&lt;&gt;"",$H33&lt;&gt;"",$I33&lt;&gt;"")),1,0))</f>
        <v>1</v>
      </c>
      <c r="BO33" s="52" t="str">
        <f aca="false">IF(OR(COUNT(B33:D1032)=0,COUNT(G33:I1032)=0,'Choix pédagogiques'!C$3&lt;&gt;3),"",IF(AND('Choix pédagogiques'!$C$3=3,$B33&lt;&gt;"",$C33&lt;&gt;"",$D33&lt;&gt;"",$G33&lt;&gt;"",$H33&lt;&gt;"",$I33&lt;&gt;""),1,0))</f>
        <v/>
      </c>
      <c r="BR33" s="52" t="n">
        <v>737</v>
      </c>
      <c r="BS33" s="52" t="n">
        <v>1823</v>
      </c>
    </row>
    <row r="34" s="54" customFormat="true" ht="18" hidden="false" customHeight="true" outlineLevel="0" collapsed="false">
      <c r="A34" s="49" t="n">
        <v>748</v>
      </c>
      <c r="B34" s="50" t="n">
        <v>2</v>
      </c>
      <c r="C34" s="50" t="n">
        <v>15</v>
      </c>
      <c r="D34" s="50" t="n">
        <v>13</v>
      </c>
      <c r="E34" s="51"/>
      <c r="F34" s="49" t="n">
        <v>1795</v>
      </c>
      <c r="G34" s="50" t="n">
        <v>4</v>
      </c>
      <c r="H34" s="50"/>
      <c r="I34" s="50" t="n">
        <v>12</v>
      </c>
      <c r="J34" s="51"/>
      <c r="K34" s="52" t="n">
        <f aca="false">IF($A34&lt;&gt;"",$A34,"")</f>
        <v>748</v>
      </c>
      <c r="L34" s="53" t="n">
        <f aca="false">IF(AND($B34&lt;&gt;"",$C34&lt;&gt;""),$C34-$B34,"")</f>
        <v>13</v>
      </c>
      <c r="M34" s="53" t="n">
        <f aca="false">IF(AND($B34&lt;&gt;"",$D34&lt;&gt;""),$D34-$B34,"")</f>
        <v>11</v>
      </c>
      <c r="N34" s="53" t="n">
        <f aca="false">IF(AND($C34&lt;&gt;"",$D34&lt;&gt;""),$D34-$C34,"")</f>
        <v>-2</v>
      </c>
      <c r="O34" s="53" t="str">
        <f aca="false">IF($E34&lt;&gt;"",$E34,"")</f>
        <v/>
      </c>
      <c r="P34" s="52" t="n">
        <f aca="false">IF($F34&lt;&gt;"",$F34,"")</f>
        <v>1795</v>
      </c>
      <c r="Q34" s="53" t="str">
        <f aca="false">IF(AND($G34&lt;&gt;"",$H34&lt;&gt;""),$H34-$G34,"")</f>
        <v/>
      </c>
      <c r="R34" s="53" t="n">
        <f aca="false">IF(AND($G34&lt;&gt;"",$I34&lt;&gt;""),$I34-$G34,"")</f>
        <v>8</v>
      </c>
      <c r="S34" s="53" t="str">
        <f aca="false">IF(AND($H34&lt;&gt;"",$I34&lt;&gt;""),$I34-$H34,"")</f>
        <v/>
      </c>
      <c r="T34" s="53" t="str">
        <f aca="false">IF($J34&lt;&gt;"",$J34,"")</f>
        <v/>
      </c>
      <c r="V34" s="52" t="n">
        <f aca="false">IF($A34&lt;&gt;"",$A34,"")</f>
        <v>748</v>
      </c>
      <c r="W34" s="53" t="n">
        <f aca="false">IF(AND(OR('Choix pédagogiques'!$C$3=1,'Choix pédagogiques'!$C$3=2),$BM34=1),B34,IF(AND('Choix pédagogiques'!$C$3=3,$BO34=1),B34,""))</f>
        <v>2</v>
      </c>
      <c r="X34" s="53" t="n">
        <f aca="false">IF(AND(OR('Choix pédagogiques'!$C$3=1,'Choix pédagogiques'!$C$3=2),$BM34=1),C34,IF(AND('Choix pédagogiques'!$C$3=3,$BO34=1),C34,""))</f>
        <v>15</v>
      </c>
      <c r="Y34" s="53" t="n">
        <f aca="false">IF(AND(OR('Choix pédagogiques'!$C$3=1,'Choix pédagogiques'!$C$3=2),$BM34=1),D34,IF(AND('Choix pédagogiques'!$C$3=3,$BO34=1),D34,""))</f>
        <v>13</v>
      </c>
      <c r="Z34" s="53" t="str">
        <f aca="false">IF($E34&lt;&gt;"",$E34,"")</f>
        <v/>
      </c>
      <c r="AA34" s="52" t="n">
        <f aca="false">IF($F34&lt;&gt;"",$F34,"")</f>
        <v>1795</v>
      </c>
      <c r="AB34" s="53" t="str">
        <f aca="false">IF(AND(OR('Choix pédagogiques'!$C$3=1,'Choix pédagogiques'!$C$3=2),$BN34=1),G34,IF(AND('Choix pédagogiques'!$C$3=3,$BO34=1),G34,""))</f>
        <v/>
      </c>
      <c r="AC34" s="53" t="str">
        <f aca="false">IF(AND(OR('Choix pédagogiques'!$C$3=1,'Choix pédagogiques'!$C$3=2),$BN34=1),H34,IF(AND('Choix pédagogiques'!$C$3=3,$BO34=1),H34,""))</f>
        <v/>
      </c>
      <c r="AD34" s="53" t="str">
        <f aca="false">IF(AND(OR('Choix pédagogiques'!$C$3=1,'Choix pédagogiques'!$C$3=2),$BN34=1),I34,IF(AND('Choix pédagogiques'!$C$3=3,$BO34=1),I34,""))</f>
        <v/>
      </c>
      <c r="AE34" s="53" t="str">
        <f aca="false">IF($J34&lt;&gt;"",$J34,"")</f>
        <v/>
      </c>
      <c r="AF34" s="52" t="n">
        <f aca="false">IF($A34&lt;&gt;"",$A34,"")</f>
        <v>748</v>
      </c>
      <c r="AG34" s="53" t="n">
        <f aca="false">IF(AND($W34&lt;&gt;"",$X34&lt;&gt;""),$X34-$W34,"")</f>
        <v>13</v>
      </c>
      <c r="AH34" s="53" t="n">
        <f aca="false">IF(AND($W34&lt;&gt;"",$Y34&lt;&gt;""),$Y34-$W34,"")</f>
        <v>11</v>
      </c>
      <c r="AI34" s="53" t="n">
        <f aca="false">IF(AND($X34&lt;&gt;"",$Y34&lt;&gt;""),$Y34-$X34,"")</f>
        <v>-2</v>
      </c>
      <c r="AJ34" s="53" t="str">
        <f aca="false">IF($E34&lt;&gt;"",$E34,"")</f>
        <v/>
      </c>
      <c r="AK34" s="52" t="n">
        <f aca="false">IF($F34&lt;&gt;"",$F34,"")</f>
        <v>1795</v>
      </c>
      <c r="AL34" s="53" t="str">
        <f aca="false">IF(AND($AB34&lt;&gt;"",$AC34&lt;&gt;""),$AC34-$AB34,"")</f>
        <v/>
      </c>
      <c r="AM34" s="53" t="str">
        <f aca="false">IF(AND($AB34&lt;&gt;"",$AD34&lt;&gt;""),$AD34-$AB34,"")</f>
        <v/>
      </c>
      <c r="AN34" s="53" t="str">
        <f aca="false">IF(AND($AC34&lt;&gt;"",$AD34&lt;&gt;""),$AD34-$AC34,"")</f>
        <v/>
      </c>
      <c r="AO34" s="53" t="str">
        <f aca="false">IF($J34&lt;&gt;"",$J34,"")</f>
        <v/>
      </c>
      <c r="AQ34" s="52" t="n">
        <f aca="false">IF($A34&lt;&gt;"",$A34,"")</f>
        <v>748</v>
      </c>
      <c r="AR34" s="55" t="n">
        <f aca="false">IF(AND('Choix pédagogiques'!$C$4&lt;&gt;"?",'Choix pédagogiques'!$C$5&lt;&gt;"?",W34&lt;&gt;""),(W34-'Choix pédagogiques'!$C$4)/('Choix pédagogiques'!$C$5-'Choix pédagogiques'!$C$4),"")</f>
        <v>0.1</v>
      </c>
      <c r="AS34" s="55" t="n">
        <f aca="false">IF(AND('Choix pédagogiques'!$C$4&lt;&gt;"?",'Choix pédagogiques'!$C$5&lt;&gt;"?",X34&lt;&gt;""),(X34-'Choix pédagogiques'!$C$4)/('Choix pédagogiques'!$C$5-'Choix pédagogiques'!$C$4),"")</f>
        <v>0.75</v>
      </c>
      <c r="AT34" s="55" t="n">
        <f aca="false">IF(AND('Choix pédagogiques'!$C$4&lt;&gt;"?",'Choix pédagogiques'!$C$5&lt;&gt;"?",Y34&lt;&gt;""),(Y34-'Choix pédagogiques'!$C$4)/('Choix pédagogiques'!$C$5-'Choix pédagogiques'!$C$4),"")</f>
        <v>0.65</v>
      </c>
      <c r="AU34" s="53" t="str">
        <f aca="false">IF($E34&lt;&gt;"",$E34,"")</f>
        <v/>
      </c>
      <c r="AV34" s="52" t="n">
        <f aca="false">IF($F34&lt;&gt;"",$F34,"")</f>
        <v>1795</v>
      </c>
      <c r="AW34" s="55" t="str">
        <f aca="false">IF(AND('Choix pédagogiques'!$C$4&lt;&gt;"?",'Choix pédagogiques'!$C$5&lt;&gt;"?",AB34&lt;&gt;""),(AB34-'Choix pédagogiques'!$C$4)/('Choix pédagogiques'!$C$5-'Choix pédagogiques'!$C$4),"")</f>
        <v/>
      </c>
      <c r="AX34" s="55" t="str">
        <f aca="false">IF(AND('Choix pédagogiques'!$C$4&lt;&gt;"?",'Choix pédagogiques'!$C$5&lt;&gt;"?",AC34&lt;&gt;""),(AC34-'Choix pédagogiques'!$C$4)/('Choix pédagogiques'!$C$5-'Choix pédagogiques'!$C$4),"")</f>
        <v/>
      </c>
      <c r="AY34" s="55" t="str">
        <f aca="false">IF(AND('Choix pédagogiques'!$C$4&lt;&gt;"?",'Choix pédagogiques'!$C$5&lt;&gt;"?",AD34&lt;&gt;""),(AD34-'Choix pédagogiques'!$C$4)/('Choix pédagogiques'!$C$5-'Choix pédagogiques'!$C$4),"")</f>
        <v/>
      </c>
      <c r="AZ34" s="53" t="str">
        <f aca="false">IF($J34&lt;&gt;"",$J34,"")</f>
        <v/>
      </c>
      <c r="BA34" s="52" t="n">
        <f aca="false">IF($A34&lt;&gt;"",$A34,"")</f>
        <v>748</v>
      </c>
      <c r="BB34" s="55" t="n">
        <f aca="false">IF(AND($AR34&lt;&gt;"",$AS34&lt;&gt;""),$AS34-$AR34,"")</f>
        <v>0.65</v>
      </c>
      <c r="BC34" s="55" t="n">
        <f aca="false">IF(AND($AR34&lt;&gt;"",$AT34&lt;&gt;""),$AT34-$AR34,"")</f>
        <v>0.55</v>
      </c>
      <c r="BD34" s="55" t="n">
        <f aca="false">IF(AND($AS34&lt;&gt;"",$AT34&lt;&gt;""),$AT34-$AS34,"")</f>
        <v>-0.1</v>
      </c>
      <c r="BE34" s="53" t="str">
        <f aca="false">IF($E34&lt;&gt;"",$E34,"")</f>
        <v/>
      </c>
      <c r="BF34" s="52" t="n">
        <f aca="false">IF($F34&lt;&gt;"",$F34,"")</f>
        <v>1795</v>
      </c>
      <c r="BG34" s="55" t="str">
        <f aca="false">IF(AND($AW34&lt;&gt;"",$AX34&lt;&gt;""),$AX34-$AW34,"")</f>
        <v/>
      </c>
      <c r="BH34" s="55" t="str">
        <f aca="false">IF(AND($AW34&lt;&gt;"",$AY34&lt;&gt;""),$AY34-$AW34,"")</f>
        <v/>
      </c>
      <c r="BI34" s="55" t="str">
        <f aca="false">IF(AND($AX34&lt;&gt;"",$AY34&lt;&gt;""),$AY34-$AX34,"")</f>
        <v/>
      </c>
      <c r="BJ34" s="53" t="str">
        <f aca="false">IF($J34&lt;&gt;"",$J34,"")</f>
        <v/>
      </c>
      <c r="BL34" s="52"/>
      <c r="BM34" s="52" t="n">
        <f aca="false">IF(OR(COUNT(B34:D1033)=0,AND('Choix pédagogiques'!$C$3&lt;&gt;1,'Choix pédagogiques'!$C$3&lt;&gt;2)),"",IF(AND(OR('Choix pédagogiques'!$C$3=1,'Choix pédagogiques'!$C$3=2),$B34&lt;&gt;"",$C34&lt;&gt;"",$D34&lt;&gt;""),1,0))</f>
        <v>1</v>
      </c>
      <c r="BN34" s="52" t="n">
        <f aca="false">IF(OR(COUNT(G34:I1033)=0,AND('Choix pédagogiques'!$C$3&lt;&gt;1,'Choix pédagogiques'!$C$3&lt;&gt;2)),"",IF(AND(OR('Choix pédagogiques'!$C$3=1,'Choix pédagogiques'!$C$3=2),AND($G34&lt;&gt;"",$H34&lt;&gt;"",$I34&lt;&gt;"")),1,0))</f>
        <v>0</v>
      </c>
      <c r="BO34" s="52" t="str">
        <f aca="false">IF(OR(COUNT(B34:D1033)=0,COUNT(G34:I1033)=0,'Choix pédagogiques'!C$3&lt;&gt;3),"",IF(AND('Choix pédagogiques'!$C$3=3,$B34&lt;&gt;"",$C34&lt;&gt;"",$D34&lt;&gt;"",$G34&lt;&gt;"",$H34&lt;&gt;"",$I34&lt;&gt;""),1,0))</f>
        <v/>
      </c>
      <c r="BR34" s="52" t="n">
        <v>748</v>
      </c>
      <c r="BS34" s="52" t="n">
        <v>1795</v>
      </c>
    </row>
    <row r="35" s="54" customFormat="true" ht="18" hidden="false" customHeight="true" outlineLevel="0" collapsed="false">
      <c r="A35" s="49" t="n">
        <v>397</v>
      </c>
      <c r="B35" s="50" t="n">
        <v>3</v>
      </c>
      <c r="C35" s="50" t="n">
        <v>16</v>
      </c>
      <c r="D35" s="50" t="n">
        <v>13</v>
      </c>
      <c r="E35" s="51"/>
      <c r="F35" s="49" t="n">
        <v>1614</v>
      </c>
      <c r="G35" s="50" t="n">
        <v>2</v>
      </c>
      <c r="H35" s="50" t="n">
        <v>16</v>
      </c>
      <c r="I35" s="50" t="n">
        <v>15</v>
      </c>
      <c r="J35" s="51"/>
      <c r="K35" s="52" t="n">
        <f aca="false">IF($A35&lt;&gt;"",$A35,"")</f>
        <v>397</v>
      </c>
      <c r="L35" s="53" t="n">
        <f aca="false">IF(AND($B35&lt;&gt;"",$C35&lt;&gt;""),$C35-$B35,"")</f>
        <v>13</v>
      </c>
      <c r="M35" s="53" t="n">
        <f aca="false">IF(AND($B35&lt;&gt;"",$D35&lt;&gt;""),$D35-$B35,"")</f>
        <v>10</v>
      </c>
      <c r="N35" s="53" t="n">
        <f aca="false">IF(AND($C35&lt;&gt;"",$D35&lt;&gt;""),$D35-$C35,"")</f>
        <v>-3</v>
      </c>
      <c r="O35" s="53" t="str">
        <f aca="false">IF($E35&lt;&gt;"",$E35,"")</f>
        <v/>
      </c>
      <c r="P35" s="52" t="n">
        <f aca="false">IF($F35&lt;&gt;"",$F35,"")</f>
        <v>1614</v>
      </c>
      <c r="Q35" s="53" t="n">
        <f aca="false">IF(AND($G35&lt;&gt;"",$H35&lt;&gt;""),$H35-$G35,"")</f>
        <v>14</v>
      </c>
      <c r="R35" s="53" t="n">
        <f aca="false">IF(AND($G35&lt;&gt;"",$I35&lt;&gt;""),$I35-$G35,"")</f>
        <v>13</v>
      </c>
      <c r="S35" s="53" t="n">
        <f aca="false">IF(AND($H35&lt;&gt;"",$I35&lt;&gt;""),$I35-$H35,"")</f>
        <v>-1</v>
      </c>
      <c r="T35" s="53" t="str">
        <f aca="false">IF($J35&lt;&gt;"",$J35,"")</f>
        <v/>
      </c>
      <c r="V35" s="52" t="n">
        <f aca="false">IF($A35&lt;&gt;"",$A35,"")</f>
        <v>397</v>
      </c>
      <c r="W35" s="53" t="n">
        <f aca="false">IF(AND(OR('Choix pédagogiques'!$C$3=1,'Choix pédagogiques'!$C$3=2),$BM35=1),B35,IF(AND('Choix pédagogiques'!$C$3=3,$BO35=1),B35,""))</f>
        <v>3</v>
      </c>
      <c r="X35" s="53" t="n">
        <f aca="false">IF(AND(OR('Choix pédagogiques'!$C$3=1,'Choix pédagogiques'!$C$3=2),$BM35=1),C35,IF(AND('Choix pédagogiques'!$C$3=3,$BO35=1),C35,""))</f>
        <v>16</v>
      </c>
      <c r="Y35" s="53" t="n">
        <f aca="false">IF(AND(OR('Choix pédagogiques'!$C$3=1,'Choix pédagogiques'!$C$3=2),$BM35=1),D35,IF(AND('Choix pédagogiques'!$C$3=3,$BO35=1),D35,""))</f>
        <v>13</v>
      </c>
      <c r="Z35" s="53" t="str">
        <f aca="false">IF($E35&lt;&gt;"",$E35,"")</f>
        <v/>
      </c>
      <c r="AA35" s="52" t="n">
        <f aca="false">IF($F35&lt;&gt;"",$F35,"")</f>
        <v>1614</v>
      </c>
      <c r="AB35" s="53" t="n">
        <f aca="false">IF(AND(OR('Choix pédagogiques'!$C$3=1,'Choix pédagogiques'!$C$3=2),$BN35=1),G35,IF(AND('Choix pédagogiques'!$C$3=3,$BO35=1),G35,""))</f>
        <v>2</v>
      </c>
      <c r="AC35" s="53" t="n">
        <f aca="false">IF(AND(OR('Choix pédagogiques'!$C$3=1,'Choix pédagogiques'!$C$3=2),$BN35=1),H35,IF(AND('Choix pédagogiques'!$C$3=3,$BO35=1),H35,""))</f>
        <v>16</v>
      </c>
      <c r="AD35" s="53" t="n">
        <f aca="false">IF(AND(OR('Choix pédagogiques'!$C$3=1,'Choix pédagogiques'!$C$3=2),$BN35=1),I35,IF(AND('Choix pédagogiques'!$C$3=3,$BO35=1),I35,""))</f>
        <v>15</v>
      </c>
      <c r="AE35" s="53" t="str">
        <f aca="false">IF($J35&lt;&gt;"",$J35,"")</f>
        <v/>
      </c>
      <c r="AF35" s="52" t="n">
        <f aca="false">IF($A35&lt;&gt;"",$A35,"")</f>
        <v>397</v>
      </c>
      <c r="AG35" s="53" t="n">
        <f aca="false">IF(AND($W35&lt;&gt;"",$X35&lt;&gt;""),$X35-$W35,"")</f>
        <v>13</v>
      </c>
      <c r="AH35" s="53" t="n">
        <f aca="false">IF(AND($W35&lt;&gt;"",$Y35&lt;&gt;""),$Y35-$W35,"")</f>
        <v>10</v>
      </c>
      <c r="AI35" s="53" t="n">
        <f aca="false">IF(AND($X35&lt;&gt;"",$Y35&lt;&gt;""),$Y35-$X35,"")</f>
        <v>-3</v>
      </c>
      <c r="AJ35" s="53" t="str">
        <f aca="false">IF($E35&lt;&gt;"",$E35,"")</f>
        <v/>
      </c>
      <c r="AK35" s="52" t="n">
        <f aca="false">IF($F35&lt;&gt;"",$F35,"")</f>
        <v>1614</v>
      </c>
      <c r="AL35" s="53" t="n">
        <f aca="false">IF(AND($AB35&lt;&gt;"",$AC35&lt;&gt;""),$AC35-$AB35,"")</f>
        <v>14</v>
      </c>
      <c r="AM35" s="53" t="n">
        <f aca="false">IF(AND($AB35&lt;&gt;"",$AD35&lt;&gt;""),$AD35-$AB35,"")</f>
        <v>13</v>
      </c>
      <c r="AN35" s="53" t="n">
        <f aca="false">IF(AND($AC35&lt;&gt;"",$AD35&lt;&gt;""),$AD35-$AC35,"")</f>
        <v>-1</v>
      </c>
      <c r="AO35" s="53" t="str">
        <f aca="false">IF($J35&lt;&gt;"",$J35,"")</f>
        <v/>
      </c>
      <c r="AQ35" s="52" t="n">
        <f aca="false">IF($A35&lt;&gt;"",$A35,"")</f>
        <v>397</v>
      </c>
      <c r="AR35" s="55" t="n">
        <f aca="false">IF(AND('Choix pédagogiques'!$C$4&lt;&gt;"?",'Choix pédagogiques'!$C$5&lt;&gt;"?",W35&lt;&gt;""),(W35-'Choix pédagogiques'!$C$4)/('Choix pédagogiques'!$C$5-'Choix pédagogiques'!$C$4),"")</f>
        <v>0.15</v>
      </c>
      <c r="AS35" s="55" t="n">
        <f aca="false">IF(AND('Choix pédagogiques'!$C$4&lt;&gt;"?",'Choix pédagogiques'!$C$5&lt;&gt;"?",X35&lt;&gt;""),(X35-'Choix pédagogiques'!$C$4)/('Choix pédagogiques'!$C$5-'Choix pédagogiques'!$C$4),"")</f>
        <v>0.8</v>
      </c>
      <c r="AT35" s="55" t="n">
        <f aca="false">IF(AND('Choix pédagogiques'!$C$4&lt;&gt;"?",'Choix pédagogiques'!$C$5&lt;&gt;"?",Y35&lt;&gt;""),(Y35-'Choix pédagogiques'!$C$4)/('Choix pédagogiques'!$C$5-'Choix pédagogiques'!$C$4),"")</f>
        <v>0.65</v>
      </c>
      <c r="AU35" s="53" t="str">
        <f aca="false">IF($E35&lt;&gt;"",$E35,"")</f>
        <v/>
      </c>
      <c r="AV35" s="52" t="n">
        <f aca="false">IF($F35&lt;&gt;"",$F35,"")</f>
        <v>1614</v>
      </c>
      <c r="AW35" s="55" t="n">
        <f aca="false">IF(AND('Choix pédagogiques'!$C$4&lt;&gt;"?",'Choix pédagogiques'!$C$5&lt;&gt;"?",AB35&lt;&gt;""),(AB35-'Choix pédagogiques'!$C$4)/('Choix pédagogiques'!$C$5-'Choix pédagogiques'!$C$4),"")</f>
        <v>0.1</v>
      </c>
      <c r="AX35" s="55" t="n">
        <f aca="false">IF(AND('Choix pédagogiques'!$C$4&lt;&gt;"?",'Choix pédagogiques'!$C$5&lt;&gt;"?",AC35&lt;&gt;""),(AC35-'Choix pédagogiques'!$C$4)/('Choix pédagogiques'!$C$5-'Choix pédagogiques'!$C$4),"")</f>
        <v>0.8</v>
      </c>
      <c r="AY35" s="55" t="n">
        <f aca="false">IF(AND('Choix pédagogiques'!$C$4&lt;&gt;"?",'Choix pédagogiques'!$C$5&lt;&gt;"?",AD35&lt;&gt;""),(AD35-'Choix pédagogiques'!$C$4)/('Choix pédagogiques'!$C$5-'Choix pédagogiques'!$C$4),"")</f>
        <v>0.75</v>
      </c>
      <c r="AZ35" s="53" t="str">
        <f aca="false">IF($J35&lt;&gt;"",$J35,"")</f>
        <v/>
      </c>
      <c r="BA35" s="52" t="n">
        <f aca="false">IF($A35&lt;&gt;"",$A35,"")</f>
        <v>397</v>
      </c>
      <c r="BB35" s="55" t="n">
        <f aca="false">IF(AND($AR35&lt;&gt;"",$AS35&lt;&gt;""),$AS35-$AR35,"")</f>
        <v>0.65</v>
      </c>
      <c r="BC35" s="55" t="n">
        <f aca="false">IF(AND($AR35&lt;&gt;"",$AT35&lt;&gt;""),$AT35-$AR35,"")</f>
        <v>0.5</v>
      </c>
      <c r="BD35" s="55" t="n">
        <f aca="false">IF(AND($AS35&lt;&gt;"",$AT35&lt;&gt;""),$AT35-$AS35,"")</f>
        <v>-0.15</v>
      </c>
      <c r="BE35" s="53" t="str">
        <f aca="false">IF($E35&lt;&gt;"",$E35,"")</f>
        <v/>
      </c>
      <c r="BF35" s="52" t="n">
        <f aca="false">IF($F35&lt;&gt;"",$F35,"")</f>
        <v>1614</v>
      </c>
      <c r="BG35" s="55" t="n">
        <f aca="false">IF(AND($AW35&lt;&gt;"",$AX35&lt;&gt;""),$AX35-$AW35,"")</f>
        <v>0.7</v>
      </c>
      <c r="BH35" s="55" t="n">
        <f aca="false">IF(AND($AW35&lt;&gt;"",$AY35&lt;&gt;""),$AY35-$AW35,"")</f>
        <v>0.65</v>
      </c>
      <c r="BI35" s="55" t="n">
        <f aca="false">IF(AND($AX35&lt;&gt;"",$AY35&lt;&gt;""),$AY35-$AX35,"")</f>
        <v>-0.05</v>
      </c>
      <c r="BJ35" s="53" t="str">
        <f aca="false">IF($J35&lt;&gt;"",$J35,"")</f>
        <v/>
      </c>
      <c r="BL35" s="52"/>
      <c r="BM35" s="52" t="n">
        <f aca="false">IF(OR(COUNT(B35:D1034)=0,AND('Choix pédagogiques'!$C$3&lt;&gt;1,'Choix pédagogiques'!$C$3&lt;&gt;2)),"",IF(AND(OR('Choix pédagogiques'!$C$3=1,'Choix pédagogiques'!$C$3=2),$B35&lt;&gt;"",$C35&lt;&gt;"",$D35&lt;&gt;""),1,0))</f>
        <v>1</v>
      </c>
      <c r="BN35" s="52" t="n">
        <f aca="false">IF(OR(COUNT(G35:I1034)=0,AND('Choix pédagogiques'!$C$3&lt;&gt;1,'Choix pédagogiques'!$C$3&lt;&gt;2)),"",IF(AND(OR('Choix pédagogiques'!$C$3=1,'Choix pédagogiques'!$C$3=2),AND($G35&lt;&gt;"",$H35&lt;&gt;"",$I35&lt;&gt;"")),1,0))</f>
        <v>1</v>
      </c>
      <c r="BO35" s="52" t="str">
        <f aca="false">IF(OR(COUNT(B35:D1034)=0,COUNT(G35:I1034)=0,'Choix pédagogiques'!C$3&lt;&gt;3),"",IF(AND('Choix pédagogiques'!$C$3=3,$B35&lt;&gt;"",$C35&lt;&gt;"",$D35&lt;&gt;"",$G35&lt;&gt;"",$H35&lt;&gt;"",$I35&lt;&gt;""),1,0))</f>
        <v/>
      </c>
      <c r="BR35" s="52" t="n">
        <v>397</v>
      </c>
      <c r="BS35" s="52" t="n">
        <v>1614</v>
      </c>
    </row>
    <row r="36" s="54" customFormat="true" ht="18" hidden="false" customHeight="true" outlineLevel="0" collapsed="false">
      <c r="A36" s="49" t="n">
        <v>859</v>
      </c>
      <c r="B36" s="50" t="n">
        <v>0</v>
      </c>
      <c r="C36" s="50" t="n">
        <v>9</v>
      </c>
      <c r="D36" s="50" t="n">
        <v>6</v>
      </c>
      <c r="E36" s="51"/>
      <c r="F36" s="49" t="n">
        <v>1480</v>
      </c>
      <c r="G36" s="50" t="n">
        <v>2</v>
      </c>
      <c r="H36" s="50"/>
      <c r="I36" s="50" t="n">
        <v>15</v>
      </c>
      <c r="J36" s="51"/>
      <c r="K36" s="52" t="n">
        <f aca="false">IF($A36&lt;&gt;"",$A36,"")</f>
        <v>859</v>
      </c>
      <c r="L36" s="53" t="n">
        <f aca="false">IF(AND($B36&lt;&gt;"",$C36&lt;&gt;""),$C36-$B36,"")</f>
        <v>9</v>
      </c>
      <c r="M36" s="53" t="n">
        <f aca="false">IF(AND($B36&lt;&gt;"",$D36&lt;&gt;""),$D36-$B36,"")</f>
        <v>6</v>
      </c>
      <c r="N36" s="53" t="n">
        <f aca="false">IF(AND($C36&lt;&gt;"",$D36&lt;&gt;""),$D36-$C36,"")</f>
        <v>-3</v>
      </c>
      <c r="O36" s="53" t="str">
        <f aca="false">IF($E36&lt;&gt;"",$E36,"")</f>
        <v/>
      </c>
      <c r="P36" s="52" t="n">
        <f aca="false">IF($F36&lt;&gt;"",$F36,"")</f>
        <v>1480</v>
      </c>
      <c r="Q36" s="53" t="str">
        <f aca="false">IF(AND($G36&lt;&gt;"",$H36&lt;&gt;""),$H36-$G36,"")</f>
        <v/>
      </c>
      <c r="R36" s="53" t="n">
        <f aca="false">IF(AND($G36&lt;&gt;"",$I36&lt;&gt;""),$I36-$G36,"")</f>
        <v>13</v>
      </c>
      <c r="S36" s="53" t="str">
        <f aca="false">IF(AND($H36&lt;&gt;"",$I36&lt;&gt;""),$I36-$H36,"")</f>
        <v/>
      </c>
      <c r="T36" s="53" t="str">
        <f aca="false">IF($J36&lt;&gt;"",$J36,"")</f>
        <v/>
      </c>
      <c r="V36" s="52" t="n">
        <f aca="false">IF($A36&lt;&gt;"",$A36,"")</f>
        <v>859</v>
      </c>
      <c r="W36" s="53" t="n">
        <f aca="false">IF(AND(OR('Choix pédagogiques'!$C$3=1,'Choix pédagogiques'!$C$3=2),$BM36=1),B36,IF(AND('Choix pédagogiques'!$C$3=3,$BO36=1),B36,""))</f>
        <v>0</v>
      </c>
      <c r="X36" s="53" t="n">
        <f aca="false">IF(AND(OR('Choix pédagogiques'!$C$3=1,'Choix pédagogiques'!$C$3=2),$BM36=1),C36,IF(AND('Choix pédagogiques'!$C$3=3,$BO36=1),C36,""))</f>
        <v>9</v>
      </c>
      <c r="Y36" s="53" t="n">
        <f aca="false">IF(AND(OR('Choix pédagogiques'!$C$3=1,'Choix pédagogiques'!$C$3=2),$BM36=1),D36,IF(AND('Choix pédagogiques'!$C$3=3,$BO36=1),D36,""))</f>
        <v>6</v>
      </c>
      <c r="Z36" s="53" t="str">
        <f aca="false">IF($E36&lt;&gt;"",$E36,"")</f>
        <v/>
      </c>
      <c r="AA36" s="52" t="n">
        <f aca="false">IF($F36&lt;&gt;"",$F36,"")</f>
        <v>1480</v>
      </c>
      <c r="AB36" s="53" t="str">
        <f aca="false">IF(AND(OR('Choix pédagogiques'!$C$3=1,'Choix pédagogiques'!$C$3=2),$BN36=1),G36,IF(AND('Choix pédagogiques'!$C$3=3,$BO36=1),G36,""))</f>
        <v/>
      </c>
      <c r="AC36" s="53" t="str">
        <f aca="false">IF(AND(OR('Choix pédagogiques'!$C$3=1,'Choix pédagogiques'!$C$3=2),$BN36=1),H36,IF(AND('Choix pédagogiques'!$C$3=3,$BO36=1),H36,""))</f>
        <v/>
      </c>
      <c r="AD36" s="53" t="str">
        <f aca="false">IF(AND(OR('Choix pédagogiques'!$C$3=1,'Choix pédagogiques'!$C$3=2),$BN36=1),I36,IF(AND('Choix pédagogiques'!$C$3=3,$BO36=1),I36,""))</f>
        <v/>
      </c>
      <c r="AE36" s="53" t="str">
        <f aca="false">IF($J36&lt;&gt;"",$J36,"")</f>
        <v/>
      </c>
      <c r="AF36" s="52" t="n">
        <f aca="false">IF($A36&lt;&gt;"",$A36,"")</f>
        <v>859</v>
      </c>
      <c r="AG36" s="53" t="n">
        <f aca="false">IF(AND($W36&lt;&gt;"",$X36&lt;&gt;""),$X36-$W36,"")</f>
        <v>9</v>
      </c>
      <c r="AH36" s="53" t="n">
        <f aca="false">IF(AND($W36&lt;&gt;"",$Y36&lt;&gt;""),$Y36-$W36,"")</f>
        <v>6</v>
      </c>
      <c r="AI36" s="53" t="n">
        <f aca="false">IF(AND($X36&lt;&gt;"",$Y36&lt;&gt;""),$Y36-$X36,"")</f>
        <v>-3</v>
      </c>
      <c r="AJ36" s="53" t="str">
        <f aca="false">IF($E36&lt;&gt;"",$E36,"")</f>
        <v/>
      </c>
      <c r="AK36" s="52" t="n">
        <f aca="false">IF($F36&lt;&gt;"",$F36,"")</f>
        <v>1480</v>
      </c>
      <c r="AL36" s="53" t="str">
        <f aca="false">IF(AND($AB36&lt;&gt;"",$AC36&lt;&gt;""),$AC36-$AB36,"")</f>
        <v/>
      </c>
      <c r="AM36" s="53" t="str">
        <f aca="false">IF(AND($AB36&lt;&gt;"",$AD36&lt;&gt;""),$AD36-$AB36,"")</f>
        <v/>
      </c>
      <c r="AN36" s="53" t="str">
        <f aca="false">IF(AND($AC36&lt;&gt;"",$AD36&lt;&gt;""),$AD36-$AC36,"")</f>
        <v/>
      </c>
      <c r="AO36" s="53" t="str">
        <f aca="false">IF($J36&lt;&gt;"",$J36,"")</f>
        <v/>
      </c>
      <c r="AQ36" s="52" t="n">
        <f aca="false">IF($A36&lt;&gt;"",$A36,"")</f>
        <v>859</v>
      </c>
      <c r="AR36" s="55" t="n">
        <f aca="false">IF(AND('Choix pédagogiques'!$C$4&lt;&gt;"?",'Choix pédagogiques'!$C$5&lt;&gt;"?",W36&lt;&gt;""),(W36-'Choix pédagogiques'!$C$4)/('Choix pédagogiques'!$C$5-'Choix pédagogiques'!$C$4),"")</f>
        <v>0</v>
      </c>
      <c r="AS36" s="55" t="n">
        <f aca="false">IF(AND('Choix pédagogiques'!$C$4&lt;&gt;"?",'Choix pédagogiques'!$C$5&lt;&gt;"?",X36&lt;&gt;""),(X36-'Choix pédagogiques'!$C$4)/('Choix pédagogiques'!$C$5-'Choix pédagogiques'!$C$4),"")</f>
        <v>0.45</v>
      </c>
      <c r="AT36" s="55" t="n">
        <f aca="false">IF(AND('Choix pédagogiques'!$C$4&lt;&gt;"?",'Choix pédagogiques'!$C$5&lt;&gt;"?",Y36&lt;&gt;""),(Y36-'Choix pédagogiques'!$C$4)/('Choix pédagogiques'!$C$5-'Choix pédagogiques'!$C$4),"")</f>
        <v>0.3</v>
      </c>
      <c r="AU36" s="53" t="str">
        <f aca="false">IF($E36&lt;&gt;"",$E36,"")</f>
        <v/>
      </c>
      <c r="AV36" s="52" t="n">
        <f aca="false">IF($F36&lt;&gt;"",$F36,"")</f>
        <v>1480</v>
      </c>
      <c r="AW36" s="55" t="str">
        <f aca="false">IF(AND('Choix pédagogiques'!$C$4&lt;&gt;"?",'Choix pédagogiques'!$C$5&lt;&gt;"?",AB36&lt;&gt;""),(AB36-'Choix pédagogiques'!$C$4)/('Choix pédagogiques'!$C$5-'Choix pédagogiques'!$C$4),"")</f>
        <v/>
      </c>
      <c r="AX36" s="55" t="str">
        <f aca="false">IF(AND('Choix pédagogiques'!$C$4&lt;&gt;"?",'Choix pédagogiques'!$C$5&lt;&gt;"?",AC36&lt;&gt;""),(AC36-'Choix pédagogiques'!$C$4)/('Choix pédagogiques'!$C$5-'Choix pédagogiques'!$C$4),"")</f>
        <v/>
      </c>
      <c r="AY36" s="55" t="str">
        <f aca="false">IF(AND('Choix pédagogiques'!$C$4&lt;&gt;"?",'Choix pédagogiques'!$C$5&lt;&gt;"?",AD36&lt;&gt;""),(AD36-'Choix pédagogiques'!$C$4)/('Choix pédagogiques'!$C$5-'Choix pédagogiques'!$C$4),"")</f>
        <v/>
      </c>
      <c r="AZ36" s="53" t="str">
        <f aca="false">IF($J36&lt;&gt;"",$J36,"")</f>
        <v/>
      </c>
      <c r="BA36" s="52" t="n">
        <f aca="false">IF($A36&lt;&gt;"",$A36,"")</f>
        <v>859</v>
      </c>
      <c r="BB36" s="55" t="n">
        <f aca="false">IF(AND($AR36&lt;&gt;"",$AS36&lt;&gt;""),$AS36-$AR36,"")</f>
        <v>0.45</v>
      </c>
      <c r="BC36" s="55" t="n">
        <f aca="false">IF(AND($AR36&lt;&gt;"",$AT36&lt;&gt;""),$AT36-$AR36,"")</f>
        <v>0.3</v>
      </c>
      <c r="BD36" s="55" t="n">
        <f aca="false">IF(AND($AS36&lt;&gt;"",$AT36&lt;&gt;""),$AT36-$AS36,"")</f>
        <v>-0.15</v>
      </c>
      <c r="BE36" s="53" t="str">
        <f aca="false">IF($E36&lt;&gt;"",$E36,"")</f>
        <v/>
      </c>
      <c r="BF36" s="52" t="n">
        <f aca="false">IF($F36&lt;&gt;"",$F36,"")</f>
        <v>1480</v>
      </c>
      <c r="BG36" s="55" t="str">
        <f aca="false">IF(AND($AW36&lt;&gt;"",$AX36&lt;&gt;""),$AX36-$AW36,"")</f>
        <v/>
      </c>
      <c r="BH36" s="55" t="str">
        <f aca="false">IF(AND($AW36&lt;&gt;"",$AY36&lt;&gt;""),$AY36-$AW36,"")</f>
        <v/>
      </c>
      <c r="BI36" s="55" t="str">
        <f aca="false">IF(AND($AX36&lt;&gt;"",$AY36&lt;&gt;""),$AY36-$AX36,"")</f>
        <v/>
      </c>
      <c r="BJ36" s="53" t="str">
        <f aca="false">IF($J36&lt;&gt;"",$J36,"")</f>
        <v/>
      </c>
      <c r="BL36" s="52"/>
      <c r="BM36" s="52" t="n">
        <f aca="false">IF(OR(COUNT(B36:D1035)=0,AND('Choix pédagogiques'!$C$3&lt;&gt;1,'Choix pédagogiques'!$C$3&lt;&gt;2)),"",IF(AND(OR('Choix pédagogiques'!$C$3=1,'Choix pédagogiques'!$C$3=2),$B36&lt;&gt;"",$C36&lt;&gt;"",$D36&lt;&gt;""),1,0))</f>
        <v>1</v>
      </c>
      <c r="BN36" s="52" t="n">
        <f aca="false">IF(OR(COUNT(G36:I1035)=0,AND('Choix pédagogiques'!$C$3&lt;&gt;1,'Choix pédagogiques'!$C$3&lt;&gt;2)),"",IF(AND(OR('Choix pédagogiques'!$C$3=1,'Choix pédagogiques'!$C$3=2),AND($G36&lt;&gt;"",$H36&lt;&gt;"",$I36&lt;&gt;"")),1,0))</f>
        <v>0</v>
      </c>
      <c r="BO36" s="52" t="str">
        <f aca="false">IF(OR(COUNT(B36:D1035)=0,COUNT(G36:I1035)=0,'Choix pédagogiques'!C$3&lt;&gt;3),"",IF(AND('Choix pédagogiques'!$C$3=3,$B36&lt;&gt;"",$C36&lt;&gt;"",$D36&lt;&gt;"",$G36&lt;&gt;"",$H36&lt;&gt;"",$I36&lt;&gt;""),1,0))</f>
        <v/>
      </c>
      <c r="BR36" s="52" t="n">
        <v>859</v>
      </c>
      <c r="BS36" s="52" t="n">
        <v>1480</v>
      </c>
    </row>
    <row r="37" s="54" customFormat="true" ht="18" hidden="false" customHeight="true" outlineLevel="0" collapsed="false">
      <c r="A37" s="49" t="n">
        <v>285</v>
      </c>
      <c r="B37" s="50"/>
      <c r="C37" s="50"/>
      <c r="D37" s="50"/>
      <c r="E37" s="56" t="s">
        <v>44</v>
      </c>
      <c r="F37" s="49" t="n">
        <v>1664</v>
      </c>
      <c r="G37" s="50" t="n">
        <v>3</v>
      </c>
      <c r="H37" s="50"/>
      <c r="I37" s="50" t="n">
        <v>10</v>
      </c>
      <c r="J37" s="51"/>
      <c r="K37" s="52" t="n">
        <f aca="false">IF($A37&lt;&gt;"",$A37,"")</f>
        <v>285</v>
      </c>
      <c r="L37" s="53" t="str">
        <f aca="false">IF(AND($B37&lt;&gt;"",$C37&lt;&gt;""),$C37-$B37,"")</f>
        <v/>
      </c>
      <c r="M37" s="53" t="str">
        <f aca="false">IF(AND($B37&lt;&gt;"",$D37&lt;&gt;""),$D37-$B37,"")</f>
        <v/>
      </c>
      <c r="N37" s="53" t="str">
        <f aca="false">IF(AND($C37&lt;&gt;"",$D37&lt;&gt;""),$D37-$C37,"")</f>
        <v/>
      </c>
      <c r="O37" s="53" t="str">
        <f aca="false">IF($E37&lt;&gt;"",$E37,"")</f>
        <v>en décrochage</v>
      </c>
      <c r="P37" s="52" t="n">
        <f aca="false">IF($F37&lt;&gt;"",$F37,"")</f>
        <v>1664</v>
      </c>
      <c r="Q37" s="53" t="str">
        <f aca="false">IF(AND($G37&lt;&gt;"",$H37&lt;&gt;""),$H37-$G37,"")</f>
        <v/>
      </c>
      <c r="R37" s="53" t="n">
        <f aca="false">IF(AND($G37&lt;&gt;"",$I37&lt;&gt;""),$I37-$G37,"")</f>
        <v>7</v>
      </c>
      <c r="S37" s="53" t="str">
        <f aca="false">IF(AND($H37&lt;&gt;"",$I37&lt;&gt;""),$I37-$H37,"")</f>
        <v/>
      </c>
      <c r="T37" s="53" t="str">
        <f aca="false">IF($J37&lt;&gt;"",$J37,"")</f>
        <v/>
      </c>
      <c r="V37" s="52" t="n">
        <f aca="false">IF($A37&lt;&gt;"",$A37,"")</f>
        <v>285</v>
      </c>
      <c r="W37" s="53" t="str">
        <f aca="false">IF(AND(OR('Choix pédagogiques'!$C$3=1,'Choix pédagogiques'!$C$3=2),$BM37=1),B37,IF(AND('Choix pédagogiques'!$C$3=3,$BO37=1),B37,""))</f>
        <v/>
      </c>
      <c r="X37" s="53" t="str">
        <f aca="false">IF(AND(OR('Choix pédagogiques'!$C$3=1,'Choix pédagogiques'!$C$3=2),$BM37=1),C37,IF(AND('Choix pédagogiques'!$C$3=3,$BO37=1),C37,""))</f>
        <v/>
      </c>
      <c r="Y37" s="53" t="str">
        <f aca="false">IF(AND(OR('Choix pédagogiques'!$C$3=1,'Choix pédagogiques'!$C$3=2),$BM37=1),D37,IF(AND('Choix pédagogiques'!$C$3=3,$BO37=1),D37,""))</f>
        <v/>
      </c>
      <c r="Z37" s="53" t="str">
        <f aca="false">IF($E37&lt;&gt;"",$E37,"")</f>
        <v>en décrochage</v>
      </c>
      <c r="AA37" s="52" t="n">
        <f aca="false">IF($F37&lt;&gt;"",$F37,"")</f>
        <v>1664</v>
      </c>
      <c r="AB37" s="53" t="str">
        <f aca="false">IF(AND(OR('Choix pédagogiques'!$C$3=1,'Choix pédagogiques'!$C$3=2),$BN37=1),G37,IF(AND('Choix pédagogiques'!$C$3=3,$BO37=1),G37,""))</f>
        <v/>
      </c>
      <c r="AC37" s="53" t="str">
        <f aca="false">IF(AND(OR('Choix pédagogiques'!$C$3=1,'Choix pédagogiques'!$C$3=2),$BN37=1),H37,IF(AND('Choix pédagogiques'!$C$3=3,$BO37=1),H37,""))</f>
        <v/>
      </c>
      <c r="AD37" s="53" t="str">
        <f aca="false">IF(AND(OR('Choix pédagogiques'!$C$3=1,'Choix pédagogiques'!$C$3=2),$BN37=1),I37,IF(AND('Choix pédagogiques'!$C$3=3,$BO37=1),I37,""))</f>
        <v/>
      </c>
      <c r="AE37" s="53" t="str">
        <f aca="false">IF($J37&lt;&gt;"",$J37,"")</f>
        <v/>
      </c>
      <c r="AF37" s="52" t="n">
        <f aca="false">IF($A37&lt;&gt;"",$A37,"")</f>
        <v>285</v>
      </c>
      <c r="AG37" s="53" t="str">
        <f aca="false">IF(AND($W37&lt;&gt;"",$X37&lt;&gt;""),$X37-$W37,"")</f>
        <v/>
      </c>
      <c r="AH37" s="53" t="str">
        <f aca="false">IF(AND($W37&lt;&gt;"",$Y37&lt;&gt;""),$Y37-$W37,"")</f>
        <v/>
      </c>
      <c r="AI37" s="53" t="str">
        <f aca="false">IF(AND($X37&lt;&gt;"",$Y37&lt;&gt;""),$Y37-$X37,"")</f>
        <v/>
      </c>
      <c r="AJ37" s="53" t="str">
        <f aca="false">IF($E37&lt;&gt;"",$E37,"")</f>
        <v>en décrochage</v>
      </c>
      <c r="AK37" s="52" t="n">
        <f aca="false">IF($F37&lt;&gt;"",$F37,"")</f>
        <v>1664</v>
      </c>
      <c r="AL37" s="53" t="str">
        <f aca="false">IF(AND($AB37&lt;&gt;"",$AC37&lt;&gt;""),$AC37-$AB37,"")</f>
        <v/>
      </c>
      <c r="AM37" s="53" t="str">
        <f aca="false">IF(AND($AB37&lt;&gt;"",$AD37&lt;&gt;""),$AD37-$AB37,"")</f>
        <v/>
      </c>
      <c r="AN37" s="53" t="str">
        <f aca="false">IF(AND($AC37&lt;&gt;"",$AD37&lt;&gt;""),$AD37-$AC37,"")</f>
        <v/>
      </c>
      <c r="AO37" s="53" t="str">
        <f aca="false">IF($J37&lt;&gt;"",$J37,"")</f>
        <v/>
      </c>
      <c r="AQ37" s="52" t="n">
        <f aca="false">IF($A37&lt;&gt;"",$A37,"")</f>
        <v>285</v>
      </c>
      <c r="AR37" s="55" t="str">
        <f aca="false">IF(AND('Choix pédagogiques'!$C$4&lt;&gt;"?",'Choix pédagogiques'!$C$5&lt;&gt;"?",W37&lt;&gt;""),(W37-'Choix pédagogiques'!$C$4)/('Choix pédagogiques'!$C$5-'Choix pédagogiques'!$C$4),"")</f>
        <v/>
      </c>
      <c r="AS37" s="55" t="str">
        <f aca="false">IF(AND('Choix pédagogiques'!$C$4&lt;&gt;"?",'Choix pédagogiques'!$C$5&lt;&gt;"?",X37&lt;&gt;""),(X37-'Choix pédagogiques'!$C$4)/('Choix pédagogiques'!$C$5-'Choix pédagogiques'!$C$4),"")</f>
        <v/>
      </c>
      <c r="AT37" s="55" t="str">
        <f aca="false">IF(AND('Choix pédagogiques'!$C$4&lt;&gt;"?",'Choix pédagogiques'!$C$5&lt;&gt;"?",Y37&lt;&gt;""),(Y37-'Choix pédagogiques'!$C$4)/('Choix pédagogiques'!$C$5-'Choix pédagogiques'!$C$4),"")</f>
        <v/>
      </c>
      <c r="AU37" s="53" t="str">
        <f aca="false">IF($E37&lt;&gt;"",$E37,"")</f>
        <v>en décrochage</v>
      </c>
      <c r="AV37" s="52" t="n">
        <f aca="false">IF($F37&lt;&gt;"",$F37,"")</f>
        <v>1664</v>
      </c>
      <c r="AW37" s="55" t="str">
        <f aca="false">IF(AND('Choix pédagogiques'!$C$4&lt;&gt;"?",'Choix pédagogiques'!$C$5&lt;&gt;"?",AB37&lt;&gt;""),(AB37-'Choix pédagogiques'!$C$4)/('Choix pédagogiques'!$C$5-'Choix pédagogiques'!$C$4),"")</f>
        <v/>
      </c>
      <c r="AX37" s="55" t="str">
        <f aca="false">IF(AND('Choix pédagogiques'!$C$4&lt;&gt;"?",'Choix pédagogiques'!$C$5&lt;&gt;"?",AC37&lt;&gt;""),(AC37-'Choix pédagogiques'!$C$4)/('Choix pédagogiques'!$C$5-'Choix pédagogiques'!$C$4),"")</f>
        <v/>
      </c>
      <c r="AY37" s="55" t="str">
        <f aca="false">IF(AND('Choix pédagogiques'!$C$4&lt;&gt;"?",'Choix pédagogiques'!$C$5&lt;&gt;"?",AD37&lt;&gt;""),(AD37-'Choix pédagogiques'!$C$4)/('Choix pédagogiques'!$C$5-'Choix pédagogiques'!$C$4),"")</f>
        <v/>
      </c>
      <c r="AZ37" s="53" t="str">
        <f aca="false">IF($J37&lt;&gt;"",$J37,"")</f>
        <v/>
      </c>
      <c r="BA37" s="52" t="n">
        <f aca="false">IF($A37&lt;&gt;"",$A37,"")</f>
        <v>285</v>
      </c>
      <c r="BB37" s="55" t="str">
        <f aca="false">IF(AND($AR37&lt;&gt;"",$AS37&lt;&gt;""),$AS37-$AR37,"")</f>
        <v/>
      </c>
      <c r="BC37" s="55" t="str">
        <f aca="false">IF(AND($AR37&lt;&gt;"",$AT37&lt;&gt;""),$AT37-$AR37,"")</f>
        <v/>
      </c>
      <c r="BD37" s="55" t="str">
        <f aca="false">IF(AND($AS37&lt;&gt;"",$AT37&lt;&gt;""),$AT37-$AS37,"")</f>
        <v/>
      </c>
      <c r="BE37" s="53" t="str">
        <f aca="false">IF($E37&lt;&gt;"",$E37,"")</f>
        <v>en décrochage</v>
      </c>
      <c r="BF37" s="52" t="n">
        <f aca="false">IF($F37&lt;&gt;"",$F37,"")</f>
        <v>1664</v>
      </c>
      <c r="BG37" s="55" t="str">
        <f aca="false">IF(AND($AW37&lt;&gt;"",$AX37&lt;&gt;""),$AX37-$AW37,"")</f>
        <v/>
      </c>
      <c r="BH37" s="55" t="str">
        <f aca="false">IF(AND($AW37&lt;&gt;"",$AY37&lt;&gt;""),$AY37-$AW37,"")</f>
        <v/>
      </c>
      <c r="BI37" s="55" t="str">
        <f aca="false">IF(AND($AX37&lt;&gt;"",$AY37&lt;&gt;""),$AY37-$AX37,"")</f>
        <v/>
      </c>
      <c r="BJ37" s="53" t="str">
        <f aca="false">IF($J37&lt;&gt;"",$J37,"")</f>
        <v/>
      </c>
      <c r="BL37" s="52"/>
      <c r="BM37" s="52" t="n">
        <f aca="false">IF(OR(COUNT(B37:D1036)=0,AND('Choix pédagogiques'!$C$3&lt;&gt;1,'Choix pédagogiques'!$C$3&lt;&gt;2)),"",IF(AND(OR('Choix pédagogiques'!$C$3=1,'Choix pédagogiques'!$C$3=2),$B37&lt;&gt;"",$C37&lt;&gt;"",$D37&lt;&gt;""),1,0))</f>
        <v>0</v>
      </c>
      <c r="BN37" s="52" t="n">
        <f aca="false">IF(OR(COUNT(G37:I1036)=0,AND('Choix pédagogiques'!$C$3&lt;&gt;1,'Choix pédagogiques'!$C$3&lt;&gt;2)),"",IF(AND(OR('Choix pédagogiques'!$C$3=1,'Choix pédagogiques'!$C$3=2),AND($G37&lt;&gt;"",$H37&lt;&gt;"",$I37&lt;&gt;"")),1,0))</f>
        <v>0</v>
      </c>
      <c r="BO37" s="52" t="str">
        <f aca="false">IF(OR(COUNT(B37:D1036)=0,COUNT(G37:I1036)=0,'Choix pédagogiques'!C$3&lt;&gt;3),"",IF(AND('Choix pédagogiques'!$C$3=3,$B37&lt;&gt;"",$C37&lt;&gt;"",$D37&lt;&gt;"",$G37&lt;&gt;"",$H37&lt;&gt;"",$I37&lt;&gt;""),1,0))</f>
        <v/>
      </c>
      <c r="BR37" s="52" t="n">
        <v>285</v>
      </c>
      <c r="BS37" s="52" t="n">
        <v>1664</v>
      </c>
    </row>
    <row r="38" s="54" customFormat="true" ht="18" hidden="false" customHeight="true" outlineLevel="0" collapsed="false">
      <c r="A38" s="49" t="n">
        <v>458</v>
      </c>
      <c r="B38" s="50" t="n">
        <v>0</v>
      </c>
      <c r="C38" s="50" t="n">
        <v>8</v>
      </c>
      <c r="D38" s="50" t="n">
        <v>7</v>
      </c>
      <c r="E38" s="51"/>
      <c r="F38" s="49" t="n">
        <v>1957</v>
      </c>
      <c r="G38" s="50" t="n">
        <v>4</v>
      </c>
      <c r="H38" s="50" t="n">
        <v>14</v>
      </c>
      <c r="I38" s="50" t="n">
        <v>13</v>
      </c>
      <c r="J38" s="51"/>
      <c r="K38" s="52" t="n">
        <f aca="false">IF($A38&lt;&gt;"",$A38,"")</f>
        <v>458</v>
      </c>
      <c r="L38" s="53" t="n">
        <f aca="false">IF(AND($B38&lt;&gt;"",$C38&lt;&gt;""),$C38-$B38,"")</f>
        <v>8</v>
      </c>
      <c r="M38" s="53" t="n">
        <f aca="false">IF(AND($B38&lt;&gt;"",$D38&lt;&gt;""),$D38-$B38,"")</f>
        <v>7</v>
      </c>
      <c r="N38" s="53" t="n">
        <f aca="false">IF(AND($C38&lt;&gt;"",$D38&lt;&gt;""),$D38-$C38,"")</f>
        <v>-1</v>
      </c>
      <c r="O38" s="53" t="str">
        <f aca="false">IF($E38&lt;&gt;"",$E38,"")</f>
        <v/>
      </c>
      <c r="P38" s="52" t="n">
        <f aca="false">IF($F38&lt;&gt;"",$F38,"")</f>
        <v>1957</v>
      </c>
      <c r="Q38" s="53" t="n">
        <f aca="false">IF(AND($G38&lt;&gt;"",$H38&lt;&gt;""),$H38-$G38,"")</f>
        <v>10</v>
      </c>
      <c r="R38" s="53" t="n">
        <f aca="false">IF(AND($G38&lt;&gt;"",$I38&lt;&gt;""),$I38-$G38,"")</f>
        <v>9</v>
      </c>
      <c r="S38" s="53" t="n">
        <f aca="false">IF(AND($H38&lt;&gt;"",$I38&lt;&gt;""),$I38-$H38,"")</f>
        <v>-1</v>
      </c>
      <c r="T38" s="53" t="str">
        <f aca="false">IF($J38&lt;&gt;"",$J38,"")</f>
        <v/>
      </c>
      <c r="V38" s="52" t="n">
        <f aca="false">IF($A38&lt;&gt;"",$A38,"")</f>
        <v>458</v>
      </c>
      <c r="W38" s="53" t="n">
        <f aca="false">IF(AND(OR('Choix pédagogiques'!$C$3=1,'Choix pédagogiques'!$C$3=2),$BM38=1),B38,IF(AND('Choix pédagogiques'!$C$3=3,$BO38=1),B38,""))</f>
        <v>0</v>
      </c>
      <c r="X38" s="53" t="n">
        <f aca="false">IF(AND(OR('Choix pédagogiques'!$C$3=1,'Choix pédagogiques'!$C$3=2),$BM38=1),C38,IF(AND('Choix pédagogiques'!$C$3=3,$BO38=1),C38,""))</f>
        <v>8</v>
      </c>
      <c r="Y38" s="53" t="n">
        <f aca="false">IF(AND(OR('Choix pédagogiques'!$C$3=1,'Choix pédagogiques'!$C$3=2),$BM38=1),D38,IF(AND('Choix pédagogiques'!$C$3=3,$BO38=1),D38,""))</f>
        <v>7</v>
      </c>
      <c r="Z38" s="53" t="str">
        <f aca="false">IF($E38&lt;&gt;"",$E38,"")</f>
        <v/>
      </c>
      <c r="AA38" s="52" t="n">
        <f aca="false">IF($F38&lt;&gt;"",$F38,"")</f>
        <v>1957</v>
      </c>
      <c r="AB38" s="53" t="n">
        <f aca="false">IF(AND(OR('Choix pédagogiques'!$C$3=1,'Choix pédagogiques'!$C$3=2),$BN38=1),G38,IF(AND('Choix pédagogiques'!$C$3=3,$BO38=1),G38,""))</f>
        <v>4</v>
      </c>
      <c r="AC38" s="53" t="n">
        <f aca="false">IF(AND(OR('Choix pédagogiques'!$C$3=1,'Choix pédagogiques'!$C$3=2),$BN38=1),H38,IF(AND('Choix pédagogiques'!$C$3=3,$BO38=1),H38,""))</f>
        <v>14</v>
      </c>
      <c r="AD38" s="53" t="n">
        <f aca="false">IF(AND(OR('Choix pédagogiques'!$C$3=1,'Choix pédagogiques'!$C$3=2),$BN38=1),I38,IF(AND('Choix pédagogiques'!$C$3=3,$BO38=1),I38,""))</f>
        <v>13</v>
      </c>
      <c r="AE38" s="53" t="str">
        <f aca="false">IF($J38&lt;&gt;"",$J38,"")</f>
        <v/>
      </c>
      <c r="AF38" s="52" t="n">
        <f aca="false">IF($A38&lt;&gt;"",$A38,"")</f>
        <v>458</v>
      </c>
      <c r="AG38" s="53" t="n">
        <f aca="false">IF(AND($W38&lt;&gt;"",$X38&lt;&gt;""),$X38-$W38,"")</f>
        <v>8</v>
      </c>
      <c r="AH38" s="53" t="n">
        <f aca="false">IF(AND($W38&lt;&gt;"",$Y38&lt;&gt;""),$Y38-$W38,"")</f>
        <v>7</v>
      </c>
      <c r="AI38" s="53" t="n">
        <f aca="false">IF(AND($X38&lt;&gt;"",$Y38&lt;&gt;""),$Y38-$X38,"")</f>
        <v>-1</v>
      </c>
      <c r="AJ38" s="53" t="str">
        <f aca="false">IF($E38&lt;&gt;"",$E38,"")</f>
        <v/>
      </c>
      <c r="AK38" s="52" t="n">
        <f aca="false">IF($F38&lt;&gt;"",$F38,"")</f>
        <v>1957</v>
      </c>
      <c r="AL38" s="53" t="n">
        <f aca="false">IF(AND($AB38&lt;&gt;"",$AC38&lt;&gt;""),$AC38-$AB38,"")</f>
        <v>10</v>
      </c>
      <c r="AM38" s="53" t="n">
        <f aca="false">IF(AND($AB38&lt;&gt;"",$AD38&lt;&gt;""),$AD38-$AB38,"")</f>
        <v>9</v>
      </c>
      <c r="AN38" s="53" t="n">
        <f aca="false">IF(AND($AC38&lt;&gt;"",$AD38&lt;&gt;""),$AD38-$AC38,"")</f>
        <v>-1</v>
      </c>
      <c r="AO38" s="53" t="str">
        <f aca="false">IF($J38&lt;&gt;"",$J38,"")</f>
        <v/>
      </c>
      <c r="AQ38" s="52" t="n">
        <f aca="false">IF($A38&lt;&gt;"",$A38,"")</f>
        <v>458</v>
      </c>
      <c r="AR38" s="55" t="n">
        <f aca="false">IF(AND('Choix pédagogiques'!$C$4&lt;&gt;"?",'Choix pédagogiques'!$C$5&lt;&gt;"?",W38&lt;&gt;""),(W38-'Choix pédagogiques'!$C$4)/('Choix pédagogiques'!$C$5-'Choix pédagogiques'!$C$4),"")</f>
        <v>0</v>
      </c>
      <c r="AS38" s="55" t="n">
        <f aca="false">IF(AND('Choix pédagogiques'!$C$4&lt;&gt;"?",'Choix pédagogiques'!$C$5&lt;&gt;"?",X38&lt;&gt;""),(X38-'Choix pédagogiques'!$C$4)/('Choix pédagogiques'!$C$5-'Choix pédagogiques'!$C$4),"")</f>
        <v>0.4</v>
      </c>
      <c r="AT38" s="55" t="n">
        <f aca="false">IF(AND('Choix pédagogiques'!$C$4&lt;&gt;"?",'Choix pédagogiques'!$C$5&lt;&gt;"?",Y38&lt;&gt;""),(Y38-'Choix pédagogiques'!$C$4)/('Choix pédagogiques'!$C$5-'Choix pédagogiques'!$C$4),"")</f>
        <v>0.35</v>
      </c>
      <c r="AU38" s="53" t="str">
        <f aca="false">IF($E38&lt;&gt;"",$E38,"")</f>
        <v/>
      </c>
      <c r="AV38" s="52" t="n">
        <f aca="false">IF($F38&lt;&gt;"",$F38,"")</f>
        <v>1957</v>
      </c>
      <c r="AW38" s="55" t="n">
        <f aca="false">IF(AND('Choix pédagogiques'!$C$4&lt;&gt;"?",'Choix pédagogiques'!$C$5&lt;&gt;"?",AB38&lt;&gt;""),(AB38-'Choix pédagogiques'!$C$4)/('Choix pédagogiques'!$C$5-'Choix pédagogiques'!$C$4),"")</f>
        <v>0.2</v>
      </c>
      <c r="AX38" s="55" t="n">
        <f aca="false">IF(AND('Choix pédagogiques'!$C$4&lt;&gt;"?",'Choix pédagogiques'!$C$5&lt;&gt;"?",AC38&lt;&gt;""),(AC38-'Choix pédagogiques'!$C$4)/('Choix pédagogiques'!$C$5-'Choix pédagogiques'!$C$4),"")</f>
        <v>0.7</v>
      </c>
      <c r="AY38" s="55" t="n">
        <f aca="false">IF(AND('Choix pédagogiques'!$C$4&lt;&gt;"?",'Choix pédagogiques'!$C$5&lt;&gt;"?",AD38&lt;&gt;""),(AD38-'Choix pédagogiques'!$C$4)/('Choix pédagogiques'!$C$5-'Choix pédagogiques'!$C$4),"")</f>
        <v>0.65</v>
      </c>
      <c r="AZ38" s="53" t="str">
        <f aca="false">IF($J38&lt;&gt;"",$J38,"")</f>
        <v/>
      </c>
      <c r="BA38" s="52" t="n">
        <f aca="false">IF($A38&lt;&gt;"",$A38,"")</f>
        <v>458</v>
      </c>
      <c r="BB38" s="55" t="n">
        <f aca="false">IF(AND($AR38&lt;&gt;"",$AS38&lt;&gt;""),$AS38-$AR38,"")</f>
        <v>0.4</v>
      </c>
      <c r="BC38" s="55" t="n">
        <f aca="false">IF(AND($AR38&lt;&gt;"",$AT38&lt;&gt;""),$AT38-$AR38,"")</f>
        <v>0.35</v>
      </c>
      <c r="BD38" s="55" t="n">
        <f aca="false">IF(AND($AS38&lt;&gt;"",$AT38&lt;&gt;""),$AT38-$AS38,"")</f>
        <v>-0.05</v>
      </c>
      <c r="BE38" s="53" t="str">
        <f aca="false">IF($E38&lt;&gt;"",$E38,"")</f>
        <v/>
      </c>
      <c r="BF38" s="52" t="n">
        <f aca="false">IF($F38&lt;&gt;"",$F38,"")</f>
        <v>1957</v>
      </c>
      <c r="BG38" s="55" t="n">
        <f aca="false">IF(AND($AW38&lt;&gt;"",$AX38&lt;&gt;""),$AX38-$AW38,"")</f>
        <v>0.5</v>
      </c>
      <c r="BH38" s="55" t="n">
        <f aca="false">IF(AND($AW38&lt;&gt;"",$AY38&lt;&gt;""),$AY38-$AW38,"")</f>
        <v>0.45</v>
      </c>
      <c r="BI38" s="55" t="n">
        <f aca="false">IF(AND($AX38&lt;&gt;"",$AY38&lt;&gt;""),$AY38-$AX38,"")</f>
        <v>-0.0499999999999999</v>
      </c>
      <c r="BJ38" s="53" t="str">
        <f aca="false">IF($J38&lt;&gt;"",$J38,"")</f>
        <v/>
      </c>
      <c r="BL38" s="52"/>
      <c r="BM38" s="52" t="n">
        <f aca="false">IF(OR(COUNT(B38:D1037)=0,AND('Choix pédagogiques'!$C$3&lt;&gt;1,'Choix pédagogiques'!$C$3&lt;&gt;2)),"",IF(AND(OR('Choix pédagogiques'!$C$3=1,'Choix pédagogiques'!$C$3=2),$B38&lt;&gt;"",$C38&lt;&gt;"",$D38&lt;&gt;""),1,0))</f>
        <v>1</v>
      </c>
      <c r="BN38" s="52" t="n">
        <f aca="false">IF(OR(COUNT(G38:I1037)=0,AND('Choix pédagogiques'!$C$3&lt;&gt;1,'Choix pédagogiques'!$C$3&lt;&gt;2)),"",IF(AND(OR('Choix pédagogiques'!$C$3=1,'Choix pédagogiques'!$C$3=2),AND($G38&lt;&gt;"",$H38&lt;&gt;"",$I38&lt;&gt;"")),1,0))</f>
        <v>1</v>
      </c>
      <c r="BO38" s="52" t="str">
        <f aca="false">IF(OR(COUNT(B38:D1037)=0,COUNT(G38:I1037)=0,'Choix pédagogiques'!C$3&lt;&gt;3),"",IF(AND('Choix pédagogiques'!$C$3=3,$B38&lt;&gt;"",$C38&lt;&gt;"",$D38&lt;&gt;"",$G38&lt;&gt;"",$H38&lt;&gt;"",$I38&lt;&gt;""),1,0))</f>
        <v/>
      </c>
      <c r="BR38" s="52" t="n">
        <v>458</v>
      </c>
      <c r="BS38" s="52" t="n">
        <v>1957</v>
      </c>
    </row>
    <row r="39" s="54" customFormat="true" ht="18" hidden="false" customHeight="true" outlineLevel="0" collapsed="false">
      <c r="A39" s="49" t="n">
        <v>561</v>
      </c>
      <c r="B39" s="50" t="n">
        <v>1</v>
      </c>
      <c r="C39" s="50" t="n">
        <v>15</v>
      </c>
      <c r="D39" s="50" t="n">
        <v>13</v>
      </c>
      <c r="E39" s="51"/>
      <c r="F39" s="49" t="n">
        <v>1565</v>
      </c>
      <c r="G39" s="50" t="n">
        <v>1</v>
      </c>
      <c r="H39" s="50" t="n">
        <v>12</v>
      </c>
      <c r="I39" s="50" t="n">
        <v>11</v>
      </c>
      <c r="J39" s="51"/>
      <c r="K39" s="52" t="n">
        <f aca="false">IF($A39&lt;&gt;"",$A39,"")</f>
        <v>561</v>
      </c>
      <c r="L39" s="53" t="n">
        <f aca="false">IF(AND($B39&lt;&gt;"",$C39&lt;&gt;""),$C39-$B39,"")</f>
        <v>14</v>
      </c>
      <c r="M39" s="53" t="n">
        <f aca="false">IF(AND($B39&lt;&gt;"",$D39&lt;&gt;""),$D39-$B39,"")</f>
        <v>12</v>
      </c>
      <c r="N39" s="53" t="n">
        <f aca="false">IF(AND($C39&lt;&gt;"",$D39&lt;&gt;""),$D39-$C39,"")</f>
        <v>-2</v>
      </c>
      <c r="O39" s="53" t="str">
        <f aca="false">IF($E39&lt;&gt;"",$E39,"")</f>
        <v/>
      </c>
      <c r="P39" s="52" t="n">
        <f aca="false">IF($F39&lt;&gt;"",$F39,"")</f>
        <v>1565</v>
      </c>
      <c r="Q39" s="53" t="n">
        <f aca="false">IF(AND($G39&lt;&gt;"",$H39&lt;&gt;""),$H39-$G39,"")</f>
        <v>11</v>
      </c>
      <c r="R39" s="53" t="n">
        <f aca="false">IF(AND($G39&lt;&gt;"",$I39&lt;&gt;""),$I39-$G39,"")</f>
        <v>10</v>
      </c>
      <c r="S39" s="53" t="n">
        <f aca="false">IF(AND($H39&lt;&gt;"",$I39&lt;&gt;""),$I39-$H39,"")</f>
        <v>-1</v>
      </c>
      <c r="T39" s="53" t="str">
        <f aca="false">IF($J39&lt;&gt;"",$J39,"")</f>
        <v/>
      </c>
      <c r="V39" s="52" t="n">
        <f aca="false">IF($A39&lt;&gt;"",$A39,"")</f>
        <v>561</v>
      </c>
      <c r="W39" s="53" t="n">
        <f aca="false">IF(AND(OR('Choix pédagogiques'!$C$3=1,'Choix pédagogiques'!$C$3=2),$BM39=1),B39,IF(AND('Choix pédagogiques'!$C$3=3,$BO39=1),B39,""))</f>
        <v>1</v>
      </c>
      <c r="X39" s="53" t="n">
        <f aca="false">IF(AND(OR('Choix pédagogiques'!$C$3=1,'Choix pédagogiques'!$C$3=2),$BM39=1),C39,IF(AND('Choix pédagogiques'!$C$3=3,$BO39=1),C39,""))</f>
        <v>15</v>
      </c>
      <c r="Y39" s="53" t="n">
        <f aca="false">IF(AND(OR('Choix pédagogiques'!$C$3=1,'Choix pédagogiques'!$C$3=2),$BM39=1),D39,IF(AND('Choix pédagogiques'!$C$3=3,$BO39=1),D39,""))</f>
        <v>13</v>
      </c>
      <c r="Z39" s="53" t="str">
        <f aca="false">IF($E39&lt;&gt;"",$E39,"")</f>
        <v/>
      </c>
      <c r="AA39" s="52" t="n">
        <f aca="false">IF($F39&lt;&gt;"",$F39,"")</f>
        <v>1565</v>
      </c>
      <c r="AB39" s="53" t="n">
        <f aca="false">IF(AND(OR('Choix pédagogiques'!$C$3=1,'Choix pédagogiques'!$C$3=2),$BN39=1),G39,IF(AND('Choix pédagogiques'!$C$3=3,$BO39=1),G39,""))</f>
        <v>1</v>
      </c>
      <c r="AC39" s="53" t="n">
        <f aca="false">IF(AND(OR('Choix pédagogiques'!$C$3=1,'Choix pédagogiques'!$C$3=2),$BN39=1),H39,IF(AND('Choix pédagogiques'!$C$3=3,$BO39=1),H39,""))</f>
        <v>12</v>
      </c>
      <c r="AD39" s="53" t="n">
        <f aca="false">IF(AND(OR('Choix pédagogiques'!$C$3=1,'Choix pédagogiques'!$C$3=2),$BN39=1),I39,IF(AND('Choix pédagogiques'!$C$3=3,$BO39=1),I39,""))</f>
        <v>11</v>
      </c>
      <c r="AE39" s="53" t="str">
        <f aca="false">IF($J39&lt;&gt;"",$J39,"")</f>
        <v/>
      </c>
      <c r="AF39" s="52" t="n">
        <f aca="false">IF($A39&lt;&gt;"",$A39,"")</f>
        <v>561</v>
      </c>
      <c r="AG39" s="53" t="n">
        <f aca="false">IF(AND($W39&lt;&gt;"",$X39&lt;&gt;""),$X39-$W39,"")</f>
        <v>14</v>
      </c>
      <c r="AH39" s="53" t="n">
        <f aca="false">IF(AND($W39&lt;&gt;"",$Y39&lt;&gt;""),$Y39-$W39,"")</f>
        <v>12</v>
      </c>
      <c r="AI39" s="53" t="n">
        <f aca="false">IF(AND($X39&lt;&gt;"",$Y39&lt;&gt;""),$Y39-$X39,"")</f>
        <v>-2</v>
      </c>
      <c r="AJ39" s="53" t="str">
        <f aca="false">IF($E39&lt;&gt;"",$E39,"")</f>
        <v/>
      </c>
      <c r="AK39" s="52" t="n">
        <f aca="false">IF($F39&lt;&gt;"",$F39,"")</f>
        <v>1565</v>
      </c>
      <c r="AL39" s="53" t="n">
        <f aca="false">IF(AND($AB39&lt;&gt;"",$AC39&lt;&gt;""),$AC39-$AB39,"")</f>
        <v>11</v>
      </c>
      <c r="AM39" s="53" t="n">
        <f aca="false">IF(AND($AB39&lt;&gt;"",$AD39&lt;&gt;""),$AD39-$AB39,"")</f>
        <v>10</v>
      </c>
      <c r="AN39" s="53" t="n">
        <f aca="false">IF(AND($AC39&lt;&gt;"",$AD39&lt;&gt;""),$AD39-$AC39,"")</f>
        <v>-1</v>
      </c>
      <c r="AO39" s="53" t="str">
        <f aca="false">IF($J39&lt;&gt;"",$J39,"")</f>
        <v/>
      </c>
      <c r="AQ39" s="52" t="n">
        <f aca="false">IF($A39&lt;&gt;"",$A39,"")</f>
        <v>561</v>
      </c>
      <c r="AR39" s="55" t="n">
        <f aca="false">IF(AND('Choix pédagogiques'!$C$4&lt;&gt;"?",'Choix pédagogiques'!$C$5&lt;&gt;"?",W39&lt;&gt;""),(W39-'Choix pédagogiques'!$C$4)/('Choix pédagogiques'!$C$5-'Choix pédagogiques'!$C$4),"")</f>
        <v>0.05</v>
      </c>
      <c r="AS39" s="55" t="n">
        <f aca="false">IF(AND('Choix pédagogiques'!$C$4&lt;&gt;"?",'Choix pédagogiques'!$C$5&lt;&gt;"?",X39&lt;&gt;""),(X39-'Choix pédagogiques'!$C$4)/('Choix pédagogiques'!$C$5-'Choix pédagogiques'!$C$4),"")</f>
        <v>0.75</v>
      </c>
      <c r="AT39" s="55" t="n">
        <f aca="false">IF(AND('Choix pédagogiques'!$C$4&lt;&gt;"?",'Choix pédagogiques'!$C$5&lt;&gt;"?",Y39&lt;&gt;""),(Y39-'Choix pédagogiques'!$C$4)/('Choix pédagogiques'!$C$5-'Choix pédagogiques'!$C$4),"")</f>
        <v>0.65</v>
      </c>
      <c r="AU39" s="53" t="str">
        <f aca="false">IF($E39&lt;&gt;"",$E39,"")</f>
        <v/>
      </c>
      <c r="AV39" s="52" t="n">
        <f aca="false">IF($F39&lt;&gt;"",$F39,"")</f>
        <v>1565</v>
      </c>
      <c r="AW39" s="55" t="n">
        <f aca="false">IF(AND('Choix pédagogiques'!$C$4&lt;&gt;"?",'Choix pédagogiques'!$C$5&lt;&gt;"?",AB39&lt;&gt;""),(AB39-'Choix pédagogiques'!$C$4)/('Choix pédagogiques'!$C$5-'Choix pédagogiques'!$C$4),"")</f>
        <v>0.05</v>
      </c>
      <c r="AX39" s="55" t="n">
        <f aca="false">IF(AND('Choix pédagogiques'!$C$4&lt;&gt;"?",'Choix pédagogiques'!$C$5&lt;&gt;"?",AC39&lt;&gt;""),(AC39-'Choix pédagogiques'!$C$4)/('Choix pédagogiques'!$C$5-'Choix pédagogiques'!$C$4),"")</f>
        <v>0.6</v>
      </c>
      <c r="AY39" s="55" t="n">
        <f aca="false">IF(AND('Choix pédagogiques'!$C$4&lt;&gt;"?",'Choix pédagogiques'!$C$5&lt;&gt;"?",AD39&lt;&gt;""),(AD39-'Choix pédagogiques'!$C$4)/('Choix pédagogiques'!$C$5-'Choix pédagogiques'!$C$4),"")</f>
        <v>0.55</v>
      </c>
      <c r="AZ39" s="53" t="str">
        <f aca="false">IF($J39&lt;&gt;"",$J39,"")</f>
        <v/>
      </c>
      <c r="BA39" s="52" t="n">
        <f aca="false">IF($A39&lt;&gt;"",$A39,"")</f>
        <v>561</v>
      </c>
      <c r="BB39" s="55" t="n">
        <f aca="false">IF(AND($AR39&lt;&gt;"",$AS39&lt;&gt;""),$AS39-$AR39,"")</f>
        <v>0.7</v>
      </c>
      <c r="BC39" s="55" t="n">
        <f aca="false">IF(AND($AR39&lt;&gt;"",$AT39&lt;&gt;""),$AT39-$AR39,"")</f>
        <v>0.6</v>
      </c>
      <c r="BD39" s="55" t="n">
        <f aca="false">IF(AND($AS39&lt;&gt;"",$AT39&lt;&gt;""),$AT39-$AS39,"")</f>
        <v>-0.1</v>
      </c>
      <c r="BE39" s="53" t="str">
        <f aca="false">IF($E39&lt;&gt;"",$E39,"")</f>
        <v/>
      </c>
      <c r="BF39" s="52" t="n">
        <f aca="false">IF($F39&lt;&gt;"",$F39,"")</f>
        <v>1565</v>
      </c>
      <c r="BG39" s="55" t="n">
        <f aca="false">IF(AND($AW39&lt;&gt;"",$AX39&lt;&gt;""),$AX39-$AW39,"")</f>
        <v>0.55</v>
      </c>
      <c r="BH39" s="55" t="n">
        <f aca="false">IF(AND($AW39&lt;&gt;"",$AY39&lt;&gt;""),$AY39-$AW39,"")</f>
        <v>0.5</v>
      </c>
      <c r="BI39" s="55" t="n">
        <f aca="false">IF(AND($AX39&lt;&gt;"",$AY39&lt;&gt;""),$AY39-$AX39,"")</f>
        <v>-0.0499999999999999</v>
      </c>
      <c r="BJ39" s="53" t="str">
        <f aca="false">IF($J39&lt;&gt;"",$J39,"")</f>
        <v/>
      </c>
      <c r="BL39" s="52"/>
      <c r="BM39" s="52" t="n">
        <f aca="false">IF(OR(COUNT(B39:D1038)=0,AND('Choix pédagogiques'!$C$3&lt;&gt;1,'Choix pédagogiques'!$C$3&lt;&gt;2)),"",IF(AND(OR('Choix pédagogiques'!$C$3=1,'Choix pédagogiques'!$C$3=2),$B39&lt;&gt;"",$C39&lt;&gt;"",$D39&lt;&gt;""),1,0))</f>
        <v>1</v>
      </c>
      <c r="BN39" s="52" t="n">
        <f aca="false">IF(OR(COUNT(G39:I1038)=0,AND('Choix pédagogiques'!$C$3&lt;&gt;1,'Choix pédagogiques'!$C$3&lt;&gt;2)),"",IF(AND(OR('Choix pédagogiques'!$C$3=1,'Choix pédagogiques'!$C$3=2),AND($G39&lt;&gt;"",$H39&lt;&gt;"",$I39&lt;&gt;"")),1,0))</f>
        <v>1</v>
      </c>
      <c r="BO39" s="52" t="str">
        <f aca="false">IF(OR(COUNT(B39:D1038)=0,COUNT(G39:I1038)=0,'Choix pédagogiques'!C$3&lt;&gt;3),"",IF(AND('Choix pédagogiques'!$C$3=3,$B39&lt;&gt;"",$C39&lt;&gt;"",$D39&lt;&gt;"",$G39&lt;&gt;"",$H39&lt;&gt;"",$I39&lt;&gt;""),1,0))</f>
        <v/>
      </c>
      <c r="BR39" s="52" t="n">
        <v>561</v>
      </c>
      <c r="BS39" s="52" t="n">
        <v>1565</v>
      </c>
    </row>
    <row r="40" s="54" customFormat="true" ht="18" hidden="false" customHeight="true" outlineLevel="0" collapsed="false">
      <c r="A40" s="49" t="n">
        <v>265</v>
      </c>
      <c r="B40" s="50" t="n">
        <v>2</v>
      </c>
      <c r="C40" s="50" t="n">
        <v>13</v>
      </c>
      <c r="D40" s="50" t="n">
        <v>11</v>
      </c>
      <c r="E40" s="51"/>
      <c r="F40" s="49" t="n">
        <v>1098</v>
      </c>
      <c r="G40" s="50" t="n">
        <v>2</v>
      </c>
      <c r="H40" s="50" t="n">
        <v>16</v>
      </c>
      <c r="I40" s="50" t="n">
        <v>15</v>
      </c>
      <c r="J40" s="51"/>
      <c r="K40" s="52" t="n">
        <f aca="false">IF($A40&lt;&gt;"",$A40,"")</f>
        <v>265</v>
      </c>
      <c r="L40" s="53" t="n">
        <f aca="false">IF(AND($B40&lt;&gt;"",$C40&lt;&gt;""),$C40-$B40,"")</f>
        <v>11</v>
      </c>
      <c r="M40" s="53" t="n">
        <f aca="false">IF(AND($B40&lt;&gt;"",$D40&lt;&gt;""),$D40-$B40,"")</f>
        <v>9</v>
      </c>
      <c r="N40" s="53" t="n">
        <f aca="false">IF(AND($C40&lt;&gt;"",$D40&lt;&gt;""),$D40-$C40,"")</f>
        <v>-2</v>
      </c>
      <c r="O40" s="53" t="str">
        <f aca="false">IF($E40&lt;&gt;"",$E40,"")</f>
        <v/>
      </c>
      <c r="P40" s="52" t="n">
        <f aca="false">IF($F40&lt;&gt;"",$F40,"")</f>
        <v>1098</v>
      </c>
      <c r="Q40" s="53" t="n">
        <f aca="false">IF(AND($G40&lt;&gt;"",$H40&lt;&gt;""),$H40-$G40,"")</f>
        <v>14</v>
      </c>
      <c r="R40" s="53" t="n">
        <f aca="false">IF(AND($G40&lt;&gt;"",$I40&lt;&gt;""),$I40-$G40,"")</f>
        <v>13</v>
      </c>
      <c r="S40" s="53" t="n">
        <f aca="false">IF(AND($H40&lt;&gt;"",$I40&lt;&gt;""),$I40-$H40,"")</f>
        <v>-1</v>
      </c>
      <c r="T40" s="53" t="str">
        <f aca="false">IF($J40&lt;&gt;"",$J40,"")</f>
        <v/>
      </c>
      <c r="V40" s="52" t="n">
        <f aca="false">IF($A40&lt;&gt;"",$A40,"")</f>
        <v>265</v>
      </c>
      <c r="W40" s="53" t="n">
        <f aca="false">IF(AND(OR('Choix pédagogiques'!$C$3=1,'Choix pédagogiques'!$C$3=2),$BM40=1),B40,IF(AND('Choix pédagogiques'!$C$3=3,$BO40=1),B40,""))</f>
        <v>2</v>
      </c>
      <c r="X40" s="53" t="n">
        <f aca="false">IF(AND(OR('Choix pédagogiques'!$C$3=1,'Choix pédagogiques'!$C$3=2),$BM40=1),C40,IF(AND('Choix pédagogiques'!$C$3=3,$BO40=1),C40,""))</f>
        <v>13</v>
      </c>
      <c r="Y40" s="53" t="n">
        <f aca="false">IF(AND(OR('Choix pédagogiques'!$C$3=1,'Choix pédagogiques'!$C$3=2),$BM40=1),D40,IF(AND('Choix pédagogiques'!$C$3=3,$BO40=1),D40,""))</f>
        <v>11</v>
      </c>
      <c r="Z40" s="53" t="str">
        <f aca="false">IF($E40&lt;&gt;"",$E40,"")</f>
        <v/>
      </c>
      <c r="AA40" s="52" t="n">
        <f aca="false">IF($F40&lt;&gt;"",$F40,"")</f>
        <v>1098</v>
      </c>
      <c r="AB40" s="53" t="n">
        <f aca="false">IF(AND(OR('Choix pédagogiques'!$C$3=1,'Choix pédagogiques'!$C$3=2),$BN40=1),G40,IF(AND('Choix pédagogiques'!$C$3=3,$BO40=1),G40,""))</f>
        <v>2</v>
      </c>
      <c r="AC40" s="53" t="n">
        <f aca="false">IF(AND(OR('Choix pédagogiques'!$C$3=1,'Choix pédagogiques'!$C$3=2),$BN40=1),H40,IF(AND('Choix pédagogiques'!$C$3=3,$BO40=1),H40,""))</f>
        <v>16</v>
      </c>
      <c r="AD40" s="53" t="n">
        <f aca="false">IF(AND(OR('Choix pédagogiques'!$C$3=1,'Choix pédagogiques'!$C$3=2),$BN40=1),I40,IF(AND('Choix pédagogiques'!$C$3=3,$BO40=1),I40,""))</f>
        <v>15</v>
      </c>
      <c r="AE40" s="53" t="str">
        <f aca="false">IF($J40&lt;&gt;"",$J40,"")</f>
        <v/>
      </c>
      <c r="AF40" s="52" t="n">
        <f aca="false">IF($A40&lt;&gt;"",$A40,"")</f>
        <v>265</v>
      </c>
      <c r="AG40" s="53" t="n">
        <f aca="false">IF(AND($W40&lt;&gt;"",$X40&lt;&gt;""),$X40-$W40,"")</f>
        <v>11</v>
      </c>
      <c r="AH40" s="53" t="n">
        <f aca="false">IF(AND($W40&lt;&gt;"",$Y40&lt;&gt;""),$Y40-$W40,"")</f>
        <v>9</v>
      </c>
      <c r="AI40" s="53" t="n">
        <f aca="false">IF(AND($X40&lt;&gt;"",$Y40&lt;&gt;""),$Y40-$X40,"")</f>
        <v>-2</v>
      </c>
      <c r="AJ40" s="53" t="str">
        <f aca="false">IF($E40&lt;&gt;"",$E40,"")</f>
        <v/>
      </c>
      <c r="AK40" s="52" t="n">
        <f aca="false">IF($F40&lt;&gt;"",$F40,"")</f>
        <v>1098</v>
      </c>
      <c r="AL40" s="53" t="n">
        <f aca="false">IF(AND($AB40&lt;&gt;"",$AC40&lt;&gt;""),$AC40-$AB40,"")</f>
        <v>14</v>
      </c>
      <c r="AM40" s="53" t="n">
        <f aca="false">IF(AND($AB40&lt;&gt;"",$AD40&lt;&gt;""),$AD40-$AB40,"")</f>
        <v>13</v>
      </c>
      <c r="AN40" s="53" t="n">
        <f aca="false">IF(AND($AC40&lt;&gt;"",$AD40&lt;&gt;""),$AD40-$AC40,"")</f>
        <v>-1</v>
      </c>
      <c r="AO40" s="53" t="str">
        <f aca="false">IF($J40&lt;&gt;"",$J40,"")</f>
        <v/>
      </c>
      <c r="AQ40" s="52" t="n">
        <f aca="false">IF($A40&lt;&gt;"",$A40,"")</f>
        <v>265</v>
      </c>
      <c r="AR40" s="55" t="n">
        <f aca="false">IF(AND('Choix pédagogiques'!$C$4&lt;&gt;"?",'Choix pédagogiques'!$C$5&lt;&gt;"?",W40&lt;&gt;""),(W40-'Choix pédagogiques'!$C$4)/('Choix pédagogiques'!$C$5-'Choix pédagogiques'!$C$4),"")</f>
        <v>0.1</v>
      </c>
      <c r="AS40" s="55" t="n">
        <f aca="false">IF(AND('Choix pédagogiques'!$C$4&lt;&gt;"?",'Choix pédagogiques'!$C$5&lt;&gt;"?",X40&lt;&gt;""),(X40-'Choix pédagogiques'!$C$4)/('Choix pédagogiques'!$C$5-'Choix pédagogiques'!$C$4),"")</f>
        <v>0.65</v>
      </c>
      <c r="AT40" s="55" t="n">
        <f aca="false">IF(AND('Choix pédagogiques'!$C$4&lt;&gt;"?",'Choix pédagogiques'!$C$5&lt;&gt;"?",Y40&lt;&gt;""),(Y40-'Choix pédagogiques'!$C$4)/('Choix pédagogiques'!$C$5-'Choix pédagogiques'!$C$4),"")</f>
        <v>0.55</v>
      </c>
      <c r="AU40" s="53" t="str">
        <f aca="false">IF($E40&lt;&gt;"",$E40,"")</f>
        <v/>
      </c>
      <c r="AV40" s="52" t="n">
        <f aca="false">IF($F40&lt;&gt;"",$F40,"")</f>
        <v>1098</v>
      </c>
      <c r="AW40" s="55" t="n">
        <f aca="false">IF(AND('Choix pédagogiques'!$C$4&lt;&gt;"?",'Choix pédagogiques'!$C$5&lt;&gt;"?",AB40&lt;&gt;""),(AB40-'Choix pédagogiques'!$C$4)/('Choix pédagogiques'!$C$5-'Choix pédagogiques'!$C$4),"")</f>
        <v>0.1</v>
      </c>
      <c r="AX40" s="55" t="n">
        <f aca="false">IF(AND('Choix pédagogiques'!$C$4&lt;&gt;"?",'Choix pédagogiques'!$C$5&lt;&gt;"?",AC40&lt;&gt;""),(AC40-'Choix pédagogiques'!$C$4)/('Choix pédagogiques'!$C$5-'Choix pédagogiques'!$C$4),"")</f>
        <v>0.8</v>
      </c>
      <c r="AY40" s="55" t="n">
        <f aca="false">IF(AND('Choix pédagogiques'!$C$4&lt;&gt;"?",'Choix pédagogiques'!$C$5&lt;&gt;"?",AD40&lt;&gt;""),(AD40-'Choix pédagogiques'!$C$4)/('Choix pédagogiques'!$C$5-'Choix pédagogiques'!$C$4),"")</f>
        <v>0.75</v>
      </c>
      <c r="AZ40" s="53" t="str">
        <f aca="false">IF($J40&lt;&gt;"",$J40,"")</f>
        <v/>
      </c>
      <c r="BA40" s="52" t="n">
        <f aca="false">IF($A40&lt;&gt;"",$A40,"")</f>
        <v>265</v>
      </c>
      <c r="BB40" s="55" t="n">
        <f aca="false">IF(AND($AR40&lt;&gt;"",$AS40&lt;&gt;""),$AS40-$AR40,"")</f>
        <v>0.55</v>
      </c>
      <c r="BC40" s="55" t="n">
        <f aca="false">IF(AND($AR40&lt;&gt;"",$AT40&lt;&gt;""),$AT40-$AR40,"")</f>
        <v>0.45</v>
      </c>
      <c r="BD40" s="55" t="n">
        <f aca="false">IF(AND($AS40&lt;&gt;"",$AT40&lt;&gt;""),$AT40-$AS40,"")</f>
        <v>-0.1</v>
      </c>
      <c r="BE40" s="53" t="str">
        <f aca="false">IF($E40&lt;&gt;"",$E40,"")</f>
        <v/>
      </c>
      <c r="BF40" s="52" t="n">
        <f aca="false">IF($F40&lt;&gt;"",$F40,"")</f>
        <v>1098</v>
      </c>
      <c r="BG40" s="55" t="n">
        <f aca="false">IF(AND($AW40&lt;&gt;"",$AX40&lt;&gt;""),$AX40-$AW40,"")</f>
        <v>0.7</v>
      </c>
      <c r="BH40" s="55" t="n">
        <f aca="false">IF(AND($AW40&lt;&gt;"",$AY40&lt;&gt;""),$AY40-$AW40,"")</f>
        <v>0.65</v>
      </c>
      <c r="BI40" s="55" t="n">
        <f aca="false">IF(AND($AX40&lt;&gt;"",$AY40&lt;&gt;""),$AY40-$AX40,"")</f>
        <v>-0.05</v>
      </c>
      <c r="BJ40" s="53" t="str">
        <f aca="false">IF($J40&lt;&gt;"",$J40,"")</f>
        <v/>
      </c>
      <c r="BL40" s="52"/>
      <c r="BM40" s="52" t="n">
        <f aca="false">IF(OR(COUNT(B40:D1039)=0,AND('Choix pédagogiques'!$C$3&lt;&gt;1,'Choix pédagogiques'!$C$3&lt;&gt;2)),"",IF(AND(OR('Choix pédagogiques'!$C$3=1,'Choix pédagogiques'!$C$3=2),$B40&lt;&gt;"",$C40&lt;&gt;"",$D40&lt;&gt;""),1,0))</f>
        <v>1</v>
      </c>
      <c r="BN40" s="52" t="n">
        <f aca="false">IF(OR(COUNT(G40:I1039)=0,AND('Choix pédagogiques'!$C$3&lt;&gt;1,'Choix pédagogiques'!$C$3&lt;&gt;2)),"",IF(AND(OR('Choix pédagogiques'!$C$3=1,'Choix pédagogiques'!$C$3=2),AND($G40&lt;&gt;"",$H40&lt;&gt;"",$I40&lt;&gt;"")),1,0))</f>
        <v>1</v>
      </c>
      <c r="BO40" s="52" t="str">
        <f aca="false">IF(OR(COUNT(B40:D1039)=0,COUNT(G40:I1039)=0,'Choix pédagogiques'!C$3&lt;&gt;3),"",IF(AND('Choix pédagogiques'!$C$3=3,$B40&lt;&gt;"",$C40&lt;&gt;"",$D40&lt;&gt;"",$G40&lt;&gt;"",$H40&lt;&gt;"",$I40&lt;&gt;""),1,0))</f>
        <v/>
      </c>
      <c r="BR40" s="52" t="n">
        <v>265</v>
      </c>
      <c r="BS40" s="52" t="n">
        <v>1098</v>
      </c>
    </row>
    <row r="41" s="54" customFormat="true" ht="18" hidden="false" customHeight="true" outlineLevel="0" collapsed="false">
      <c r="A41" s="49" t="n">
        <v>991</v>
      </c>
      <c r="B41" s="50" t="n">
        <v>3</v>
      </c>
      <c r="C41" s="50" t="n">
        <v>14</v>
      </c>
      <c r="D41" s="50" t="n">
        <v>11</v>
      </c>
      <c r="E41" s="51"/>
      <c r="F41" s="49" t="n">
        <v>1097</v>
      </c>
      <c r="G41" s="50" t="n">
        <v>3</v>
      </c>
      <c r="H41" s="50" t="n">
        <v>12</v>
      </c>
      <c r="I41" s="50" t="n">
        <v>10</v>
      </c>
      <c r="J41" s="51"/>
      <c r="K41" s="52" t="n">
        <f aca="false">IF($A41&lt;&gt;"",$A41,"")</f>
        <v>991</v>
      </c>
      <c r="L41" s="53" t="n">
        <f aca="false">IF(AND($B41&lt;&gt;"",$C41&lt;&gt;""),$C41-$B41,"")</f>
        <v>11</v>
      </c>
      <c r="M41" s="53" t="n">
        <f aca="false">IF(AND($B41&lt;&gt;"",$D41&lt;&gt;""),$D41-$B41,"")</f>
        <v>8</v>
      </c>
      <c r="N41" s="53" t="n">
        <f aca="false">IF(AND($C41&lt;&gt;"",$D41&lt;&gt;""),$D41-$C41,"")</f>
        <v>-3</v>
      </c>
      <c r="O41" s="53" t="str">
        <f aca="false">IF($E41&lt;&gt;"",$E41,"")</f>
        <v/>
      </c>
      <c r="P41" s="52" t="n">
        <f aca="false">IF($F41&lt;&gt;"",$F41,"")</f>
        <v>1097</v>
      </c>
      <c r="Q41" s="53" t="n">
        <f aca="false">IF(AND($G41&lt;&gt;"",$H41&lt;&gt;""),$H41-$G41,"")</f>
        <v>9</v>
      </c>
      <c r="R41" s="53" t="n">
        <f aca="false">IF(AND($G41&lt;&gt;"",$I41&lt;&gt;""),$I41-$G41,"")</f>
        <v>7</v>
      </c>
      <c r="S41" s="53" t="n">
        <f aca="false">IF(AND($H41&lt;&gt;"",$I41&lt;&gt;""),$I41-$H41,"")</f>
        <v>-2</v>
      </c>
      <c r="T41" s="53" t="str">
        <f aca="false">IF($J41&lt;&gt;"",$J41,"")</f>
        <v/>
      </c>
      <c r="V41" s="52" t="n">
        <f aca="false">IF($A41&lt;&gt;"",$A41,"")</f>
        <v>991</v>
      </c>
      <c r="W41" s="53" t="n">
        <f aca="false">IF(AND(OR('Choix pédagogiques'!$C$3=1,'Choix pédagogiques'!$C$3=2),$BM41=1),B41,IF(AND('Choix pédagogiques'!$C$3=3,$BO41=1),B41,""))</f>
        <v>3</v>
      </c>
      <c r="X41" s="53" t="n">
        <f aca="false">IF(AND(OR('Choix pédagogiques'!$C$3=1,'Choix pédagogiques'!$C$3=2),$BM41=1),C41,IF(AND('Choix pédagogiques'!$C$3=3,$BO41=1),C41,""))</f>
        <v>14</v>
      </c>
      <c r="Y41" s="53" t="n">
        <f aca="false">IF(AND(OR('Choix pédagogiques'!$C$3=1,'Choix pédagogiques'!$C$3=2),$BM41=1),D41,IF(AND('Choix pédagogiques'!$C$3=3,$BO41=1),D41,""))</f>
        <v>11</v>
      </c>
      <c r="Z41" s="53" t="str">
        <f aca="false">IF($E41&lt;&gt;"",$E41,"")</f>
        <v/>
      </c>
      <c r="AA41" s="52" t="n">
        <f aca="false">IF($F41&lt;&gt;"",$F41,"")</f>
        <v>1097</v>
      </c>
      <c r="AB41" s="53" t="n">
        <f aca="false">IF(AND(OR('Choix pédagogiques'!$C$3=1,'Choix pédagogiques'!$C$3=2),$BN41=1),G41,IF(AND('Choix pédagogiques'!$C$3=3,$BO41=1),G41,""))</f>
        <v>3</v>
      </c>
      <c r="AC41" s="53" t="n">
        <f aca="false">IF(AND(OR('Choix pédagogiques'!$C$3=1,'Choix pédagogiques'!$C$3=2),$BN41=1),H41,IF(AND('Choix pédagogiques'!$C$3=3,$BO41=1),H41,""))</f>
        <v>12</v>
      </c>
      <c r="AD41" s="53" t="n">
        <f aca="false">IF(AND(OR('Choix pédagogiques'!$C$3=1,'Choix pédagogiques'!$C$3=2),$BN41=1),I41,IF(AND('Choix pédagogiques'!$C$3=3,$BO41=1),I41,""))</f>
        <v>10</v>
      </c>
      <c r="AE41" s="53" t="str">
        <f aca="false">IF($J41&lt;&gt;"",$J41,"")</f>
        <v/>
      </c>
      <c r="AF41" s="52" t="n">
        <f aca="false">IF($A41&lt;&gt;"",$A41,"")</f>
        <v>991</v>
      </c>
      <c r="AG41" s="53" t="n">
        <f aca="false">IF(AND($W41&lt;&gt;"",$X41&lt;&gt;""),$X41-$W41,"")</f>
        <v>11</v>
      </c>
      <c r="AH41" s="53" t="n">
        <f aca="false">IF(AND($W41&lt;&gt;"",$Y41&lt;&gt;""),$Y41-$W41,"")</f>
        <v>8</v>
      </c>
      <c r="AI41" s="53" t="n">
        <f aca="false">IF(AND($X41&lt;&gt;"",$Y41&lt;&gt;""),$Y41-$X41,"")</f>
        <v>-3</v>
      </c>
      <c r="AJ41" s="53" t="str">
        <f aca="false">IF($E41&lt;&gt;"",$E41,"")</f>
        <v/>
      </c>
      <c r="AK41" s="52" t="n">
        <f aca="false">IF($F41&lt;&gt;"",$F41,"")</f>
        <v>1097</v>
      </c>
      <c r="AL41" s="53" t="n">
        <f aca="false">IF(AND($AB41&lt;&gt;"",$AC41&lt;&gt;""),$AC41-$AB41,"")</f>
        <v>9</v>
      </c>
      <c r="AM41" s="53" t="n">
        <f aca="false">IF(AND($AB41&lt;&gt;"",$AD41&lt;&gt;""),$AD41-$AB41,"")</f>
        <v>7</v>
      </c>
      <c r="AN41" s="53" t="n">
        <f aca="false">IF(AND($AC41&lt;&gt;"",$AD41&lt;&gt;""),$AD41-$AC41,"")</f>
        <v>-2</v>
      </c>
      <c r="AO41" s="53" t="str">
        <f aca="false">IF($J41&lt;&gt;"",$J41,"")</f>
        <v/>
      </c>
      <c r="AQ41" s="52" t="n">
        <f aca="false">IF($A41&lt;&gt;"",$A41,"")</f>
        <v>991</v>
      </c>
      <c r="AR41" s="55" t="n">
        <f aca="false">IF(AND('Choix pédagogiques'!$C$4&lt;&gt;"?",'Choix pédagogiques'!$C$5&lt;&gt;"?",W41&lt;&gt;""),(W41-'Choix pédagogiques'!$C$4)/('Choix pédagogiques'!$C$5-'Choix pédagogiques'!$C$4),"")</f>
        <v>0.15</v>
      </c>
      <c r="AS41" s="55" t="n">
        <f aca="false">IF(AND('Choix pédagogiques'!$C$4&lt;&gt;"?",'Choix pédagogiques'!$C$5&lt;&gt;"?",X41&lt;&gt;""),(X41-'Choix pédagogiques'!$C$4)/('Choix pédagogiques'!$C$5-'Choix pédagogiques'!$C$4),"")</f>
        <v>0.7</v>
      </c>
      <c r="AT41" s="55" t="n">
        <f aca="false">IF(AND('Choix pédagogiques'!$C$4&lt;&gt;"?",'Choix pédagogiques'!$C$5&lt;&gt;"?",Y41&lt;&gt;""),(Y41-'Choix pédagogiques'!$C$4)/('Choix pédagogiques'!$C$5-'Choix pédagogiques'!$C$4),"")</f>
        <v>0.55</v>
      </c>
      <c r="AU41" s="53" t="str">
        <f aca="false">IF($E41&lt;&gt;"",$E41,"")</f>
        <v/>
      </c>
      <c r="AV41" s="52" t="n">
        <f aca="false">IF($F41&lt;&gt;"",$F41,"")</f>
        <v>1097</v>
      </c>
      <c r="AW41" s="55" t="n">
        <f aca="false">IF(AND('Choix pédagogiques'!$C$4&lt;&gt;"?",'Choix pédagogiques'!$C$5&lt;&gt;"?",AB41&lt;&gt;""),(AB41-'Choix pédagogiques'!$C$4)/('Choix pédagogiques'!$C$5-'Choix pédagogiques'!$C$4),"")</f>
        <v>0.15</v>
      </c>
      <c r="AX41" s="55" t="n">
        <f aca="false">IF(AND('Choix pédagogiques'!$C$4&lt;&gt;"?",'Choix pédagogiques'!$C$5&lt;&gt;"?",AC41&lt;&gt;""),(AC41-'Choix pédagogiques'!$C$4)/('Choix pédagogiques'!$C$5-'Choix pédagogiques'!$C$4),"")</f>
        <v>0.6</v>
      </c>
      <c r="AY41" s="55" t="n">
        <f aca="false">IF(AND('Choix pédagogiques'!$C$4&lt;&gt;"?",'Choix pédagogiques'!$C$5&lt;&gt;"?",AD41&lt;&gt;""),(AD41-'Choix pédagogiques'!$C$4)/('Choix pédagogiques'!$C$5-'Choix pédagogiques'!$C$4),"")</f>
        <v>0.5</v>
      </c>
      <c r="AZ41" s="53" t="str">
        <f aca="false">IF($J41&lt;&gt;"",$J41,"")</f>
        <v/>
      </c>
      <c r="BA41" s="52" t="n">
        <f aca="false">IF($A41&lt;&gt;"",$A41,"")</f>
        <v>991</v>
      </c>
      <c r="BB41" s="55" t="n">
        <f aca="false">IF(AND($AR41&lt;&gt;"",$AS41&lt;&gt;""),$AS41-$AR41,"")</f>
        <v>0.55</v>
      </c>
      <c r="BC41" s="55" t="n">
        <f aca="false">IF(AND($AR41&lt;&gt;"",$AT41&lt;&gt;""),$AT41-$AR41,"")</f>
        <v>0.4</v>
      </c>
      <c r="BD41" s="55" t="n">
        <f aca="false">IF(AND($AS41&lt;&gt;"",$AT41&lt;&gt;""),$AT41-$AS41,"")</f>
        <v>-0.15</v>
      </c>
      <c r="BE41" s="53" t="str">
        <f aca="false">IF($E41&lt;&gt;"",$E41,"")</f>
        <v/>
      </c>
      <c r="BF41" s="52" t="n">
        <f aca="false">IF($F41&lt;&gt;"",$F41,"")</f>
        <v>1097</v>
      </c>
      <c r="BG41" s="55" t="n">
        <f aca="false">IF(AND($AW41&lt;&gt;"",$AX41&lt;&gt;""),$AX41-$AW41,"")</f>
        <v>0.45</v>
      </c>
      <c r="BH41" s="55" t="n">
        <f aca="false">IF(AND($AW41&lt;&gt;"",$AY41&lt;&gt;""),$AY41-$AW41,"")</f>
        <v>0.35</v>
      </c>
      <c r="BI41" s="55" t="n">
        <f aca="false">IF(AND($AX41&lt;&gt;"",$AY41&lt;&gt;""),$AY41-$AX41,"")</f>
        <v>-0.1</v>
      </c>
      <c r="BJ41" s="53" t="str">
        <f aca="false">IF($J41&lt;&gt;"",$J41,"")</f>
        <v/>
      </c>
      <c r="BL41" s="52"/>
      <c r="BM41" s="52" t="n">
        <f aca="false">IF(OR(COUNT(B41:D1040)=0,AND('Choix pédagogiques'!$C$3&lt;&gt;1,'Choix pédagogiques'!$C$3&lt;&gt;2)),"",IF(AND(OR('Choix pédagogiques'!$C$3=1,'Choix pédagogiques'!$C$3=2),$B41&lt;&gt;"",$C41&lt;&gt;"",$D41&lt;&gt;""),1,0))</f>
        <v>1</v>
      </c>
      <c r="BN41" s="52" t="n">
        <f aca="false">IF(OR(COUNT(G41:I1040)=0,AND('Choix pédagogiques'!$C$3&lt;&gt;1,'Choix pédagogiques'!$C$3&lt;&gt;2)),"",IF(AND(OR('Choix pédagogiques'!$C$3=1,'Choix pédagogiques'!$C$3=2),AND($G41&lt;&gt;"",$H41&lt;&gt;"",$I41&lt;&gt;"")),1,0))</f>
        <v>1</v>
      </c>
      <c r="BO41" s="52" t="str">
        <f aca="false">IF(OR(COUNT(B41:D1040)=0,COUNT(G41:I1040)=0,'Choix pédagogiques'!C$3&lt;&gt;3),"",IF(AND('Choix pédagogiques'!$C$3=3,$B41&lt;&gt;"",$C41&lt;&gt;"",$D41&lt;&gt;"",$G41&lt;&gt;"",$H41&lt;&gt;"",$I41&lt;&gt;""),1,0))</f>
        <v/>
      </c>
      <c r="BR41" s="52" t="n">
        <v>991</v>
      </c>
      <c r="BS41" s="52" t="n">
        <v>1097</v>
      </c>
    </row>
    <row r="42" s="54" customFormat="true" ht="18" hidden="false" customHeight="true" outlineLevel="0" collapsed="false">
      <c r="A42" s="49" t="n">
        <v>683</v>
      </c>
      <c r="B42" s="50" t="n">
        <v>5</v>
      </c>
      <c r="C42" s="50" t="n">
        <v>12</v>
      </c>
      <c r="D42" s="50" t="n">
        <v>11</v>
      </c>
      <c r="E42" s="56" t="s">
        <v>45</v>
      </c>
      <c r="F42" s="49" t="n">
        <v>1971</v>
      </c>
      <c r="G42" s="50" t="n">
        <v>4</v>
      </c>
      <c r="H42" s="50" t="n">
        <v>15</v>
      </c>
      <c r="I42" s="50" t="n">
        <v>15</v>
      </c>
      <c r="J42" s="51"/>
      <c r="K42" s="52" t="n">
        <f aca="false">IF($A42&lt;&gt;"",$A42,"")</f>
        <v>683</v>
      </c>
      <c r="L42" s="53" t="n">
        <f aca="false">IF(AND($B42&lt;&gt;"",$C42&lt;&gt;""),$C42-$B42,"")</f>
        <v>7</v>
      </c>
      <c r="M42" s="53" t="n">
        <f aca="false">IF(AND($B42&lt;&gt;"",$D42&lt;&gt;""),$D42-$B42,"")</f>
        <v>6</v>
      </c>
      <c r="N42" s="53" t="n">
        <f aca="false">IF(AND($C42&lt;&gt;"",$D42&lt;&gt;""),$D42-$C42,"")</f>
        <v>-1</v>
      </c>
      <c r="O42" s="53" t="str">
        <f aca="false">IF($E42&lt;&gt;"",$E42,"")</f>
        <v>Dyslexie-Dysorthographie</v>
      </c>
      <c r="P42" s="52" t="n">
        <f aca="false">IF($F42&lt;&gt;"",$F42,"")</f>
        <v>1971</v>
      </c>
      <c r="Q42" s="53" t="n">
        <f aca="false">IF(AND($G42&lt;&gt;"",$H42&lt;&gt;""),$H42-$G42,"")</f>
        <v>11</v>
      </c>
      <c r="R42" s="53" t="n">
        <f aca="false">IF(AND($G42&lt;&gt;"",$I42&lt;&gt;""),$I42-$G42,"")</f>
        <v>11</v>
      </c>
      <c r="S42" s="53" t="n">
        <f aca="false">IF(AND($H42&lt;&gt;"",$I42&lt;&gt;""),$I42-$H42,"")</f>
        <v>0</v>
      </c>
      <c r="T42" s="53" t="str">
        <f aca="false">IF($J42&lt;&gt;"",$J42,"")</f>
        <v/>
      </c>
      <c r="V42" s="52" t="n">
        <f aca="false">IF($A42&lt;&gt;"",$A42,"")</f>
        <v>683</v>
      </c>
      <c r="W42" s="53" t="n">
        <f aca="false">IF(AND(OR('Choix pédagogiques'!$C$3=1,'Choix pédagogiques'!$C$3=2),$BM42=1),B42,IF(AND('Choix pédagogiques'!$C$3=3,$BO42=1),B42,""))</f>
        <v>5</v>
      </c>
      <c r="X42" s="53" t="n">
        <f aca="false">IF(AND(OR('Choix pédagogiques'!$C$3=1,'Choix pédagogiques'!$C$3=2),$BM42=1),C42,IF(AND('Choix pédagogiques'!$C$3=3,$BO42=1),C42,""))</f>
        <v>12</v>
      </c>
      <c r="Y42" s="53" t="n">
        <f aca="false">IF(AND(OR('Choix pédagogiques'!$C$3=1,'Choix pédagogiques'!$C$3=2),$BM42=1),D42,IF(AND('Choix pédagogiques'!$C$3=3,$BO42=1),D42,""))</f>
        <v>11</v>
      </c>
      <c r="Z42" s="53" t="str">
        <f aca="false">IF($E42&lt;&gt;"",$E42,"")</f>
        <v>Dyslexie-Dysorthographie</v>
      </c>
      <c r="AA42" s="52" t="n">
        <f aca="false">IF($F42&lt;&gt;"",$F42,"")</f>
        <v>1971</v>
      </c>
      <c r="AB42" s="53" t="n">
        <f aca="false">IF(AND(OR('Choix pédagogiques'!$C$3=1,'Choix pédagogiques'!$C$3=2),$BN42=1),G42,IF(AND('Choix pédagogiques'!$C$3=3,$BO42=1),G42,""))</f>
        <v>4</v>
      </c>
      <c r="AC42" s="53" t="n">
        <f aca="false">IF(AND(OR('Choix pédagogiques'!$C$3=1,'Choix pédagogiques'!$C$3=2),$BN42=1),H42,IF(AND('Choix pédagogiques'!$C$3=3,$BO42=1),H42,""))</f>
        <v>15</v>
      </c>
      <c r="AD42" s="53" t="n">
        <f aca="false">IF(AND(OR('Choix pédagogiques'!$C$3=1,'Choix pédagogiques'!$C$3=2),$BN42=1),I42,IF(AND('Choix pédagogiques'!$C$3=3,$BO42=1),I42,""))</f>
        <v>15</v>
      </c>
      <c r="AE42" s="53" t="str">
        <f aca="false">IF($J42&lt;&gt;"",$J42,"")</f>
        <v/>
      </c>
      <c r="AF42" s="52" t="n">
        <f aca="false">IF($A42&lt;&gt;"",$A42,"")</f>
        <v>683</v>
      </c>
      <c r="AG42" s="53" t="n">
        <f aca="false">IF(AND($W42&lt;&gt;"",$X42&lt;&gt;""),$X42-$W42,"")</f>
        <v>7</v>
      </c>
      <c r="AH42" s="53" t="n">
        <f aca="false">IF(AND($W42&lt;&gt;"",$Y42&lt;&gt;""),$Y42-$W42,"")</f>
        <v>6</v>
      </c>
      <c r="AI42" s="53" t="n">
        <f aca="false">IF(AND($X42&lt;&gt;"",$Y42&lt;&gt;""),$Y42-$X42,"")</f>
        <v>-1</v>
      </c>
      <c r="AJ42" s="53" t="str">
        <f aca="false">IF($E42&lt;&gt;"",$E42,"")</f>
        <v>Dyslexie-Dysorthographie</v>
      </c>
      <c r="AK42" s="52" t="n">
        <f aca="false">IF($F42&lt;&gt;"",$F42,"")</f>
        <v>1971</v>
      </c>
      <c r="AL42" s="53" t="n">
        <f aca="false">IF(AND($AB42&lt;&gt;"",$AC42&lt;&gt;""),$AC42-$AB42,"")</f>
        <v>11</v>
      </c>
      <c r="AM42" s="53" t="n">
        <f aca="false">IF(AND($AB42&lt;&gt;"",$AD42&lt;&gt;""),$AD42-$AB42,"")</f>
        <v>11</v>
      </c>
      <c r="AN42" s="53" t="n">
        <f aca="false">IF(AND($AC42&lt;&gt;"",$AD42&lt;&gt;""),$AD42-$AC42,"")</f>
        <v>0</v>
      </c>
      <c r="AO42" s="53" t="str">
        <f aca="false">IF($J42&lt;&gt;"",$J42,"")</f>
        <v/>
      </c>
      <c r="AQ42" s="52" t="n">
        <f aca="false">IF($A42&lt;&gt;"",$A42,"")</f>
        <v>683</v>
      </c>
      <c r="AR42" s="55" t="n">
        <f aca="false">IF(AND('Choix pédagogiques'!$C$4&lt;&gt;"?",'Choix pédagogiques'!$C$5&lt;&gt;"?",W42&lt;&gt;""),(W42-'Choix pédagogiques'!$C$4)/('Choix pédagogiques'!$C$5-'Choix pédagogiques'!$C$4),"")</f>
        <v>0.25</v>
      </c>
      <c r="AS42" s="55" t="n">
        <f aca="false">IF(AND('Choix pédagogiques'!$C$4&lt;&gt;"?",'Choix pédagogiques'!$C$5&lt;&gt;"?",X42&lt;&gt;""),(X42-'Choix pédagogiques'!$C$4)/('Choix pédagogiques'!$C$5-'Choix pédagogiques'!$C$4),"")</f>
        <v>0.6</v>
      </c>
      <c r="AT42" s="55" t="n">
        <f aca="false">IF(AND('Choix pédagogiques'!$C$4&lt;&gt;"?",'Choix pédagogiques'!$C$5&lt;&gt;"?",Y42&lt;&gt;""),(Y42-'Choix pédagogiques'!$C$4)/('Choix pédagogiques'!$C$5-'Choix pédagogiques'!$C$4),"")</f>
        <v>0.55</v>
      </c>
      <c r="AU42" s="53" t="str">
        <f aca="false">IF($E42&lt;&gt;"",$E42,"")</f>
        <v>Dyslexie-Dysorthographie</v>
      </c>
      <c r="AV42" s="52" t="n">
        <f aca="false">IF($F42&lt;&gt;"",$F42,"")</f>
        <v>1971</v>
      </c>
      <c r="AW42" s="55" t="n">
        <f aca="false">IF(AND('Choix pédagogiques'!$C$4&lt;&gt;"?",'Choix pédagogiques'!$C$5&lt;&gt;"?",AB42&lt;&gt;""),(AB42-'Choix pédagogiques'!$C$4)/('Choix pédagogiques'!$C$5-'Choix pédagogiques'!$C$4),"")</f>
        <v>0.2</v>
      </c>
      <c r="AX42" s="55" t="n">
        <f aca="false">IF(AND('Choix pédagogiques'!$C$4&lt;&gt;"?",'Choix pédagogiques'!$C$5&lt;&gt;"?",AC42&lt;&gt;""),(AC42-'Choix pédagogiques'!$C$4)/('Choix pédagogiques'!$C$5-'Choix pédagogiques'!$C$4),"")</f>
        <v>0.75</v>
      </c>
      <c r="AY42" s="55" t="n">
        <f aca="false">IF(AND('Choix pédagogiques'!$C$4&lt;&gt;"?",'Choix pédagogiques'!$C$5&lt;&gt;"?",AD42&lt;&gt;""),(AD42-'Choix pédagogiques'!$C$4)/('Choix pédagogiques'!$C$5-'Choix pédagogiques'!$C$4),"")</f>
        <v>0.75</v>
      </c>
      <c r="AZ42" s="53" t="str">
        <f aca="false">IF($J42&lt;&gt;"",$J42,"")</f>
        <v/>
      </c>
      <c r="BA42" s="52" t="n">
        <f aca="false">IF($A42&lt;&gt;"",$A42,"")</f>
        <v>683</v>
      </c>
      <c r="BB42" s="55" t="n">
        <f aca="false">IF(AND($AR42&lt;&gt;"",$AS42&lt;&gt;""),$AS42-$AR42,"")</f>
        <v>0.35</v>
      </c>
      <c r="BC42" s="55" t="n">
        <f aca="false">IF(AND($AR42&lt;&gt;"",$AT42&lt;&gt;""),$AT42-$AR42,"")</f>
        <v>0.3</v>
      </c>
      <c r="BD42" s="55" t="n">
        <f aca="false">IF(AND($AS42&lt;&gt;"",$AT42&lt;&gt;""),$AT42-$AS42,"")</f>
        <v>-0.0499999999999999</v>
      </c>
      <c r="BE42" s="53" t="str">
        <f aca="false">IF($E42&lt;&gt;"",$E42,"")</f>
        <v>Dyslexie-Dysorthographie</v>
      </c>
      <c r="BF42" s="52" t="n">
        <f aca="false">IF($F42&lt;&gt;"",$F42,"")</f>
        <v>1971</v>
      </c>
      <c r="BG42" s="55" t="n">
        <f aca="false">IF(AND($AW42&lt;&gt;"",$AX42&lt;&gt;""),$AX42-$AW42,"")</f>
        <v>0.55</v>
      </c>
      <c r="BH42" s="55" t="n">
        <f aca="false">IF(AND($AW42&lt;&gt;"",$AY42&lt;&gt;""),$AY42-$AW42,"")</f>
        <v>0.55</v>
      </c>
      <c r="BI42" s="55" t="n">
        <f aca="false">IF(AND($AX42&lt;&gt;"",$AY42&lt;&gt;""),$AY42-$AX42,"")</f>
        <v>0</v>
      </c>
      <c r="BJ42" s="53" t="str">
        <f aca="false">IF($J42&lt;&gt;"",$J42,"")</f>
        <v/>
      </c>
      <c r="BL42" s="52"/>
      <c r="BM42" s="52" t="n">
        <f aca="false">IF(OR(COUNT(B42:D1041)=0,AND('Choix pédagogiques'!$C$3&lt;&gt;1,'Choix pédagogiques'!$C$3&lt;&gt;2)),"",IF(AND(OR('Choix pédagogiques'!$C$3=1,'Choix pédagogiques'!$C$3=2),$B42&lt;&gt;"",$C42&lt;&gt;"",$D42&lt;&gt;""),1,0))</f>
        <v>1</v>
      </c>
      <c r="BN42" s="52" t="n">
        <f aca="false">IF(OR(COUNT(G42:I1041)=0,AND('Choix pédagogiques'!$C$3&lt;&gt;1,'Choix pédagogiques'!$C$3&lt;&gt;2)),"",IF(AND(OR('Choix pédagogiques'!$C$3=1,'Choix pédagogiques'!$C$3=2),AND($G42&lt;&gt;"",$H42&lt;&gt;"",$I42&lt;&gt;"")),1,0))</f>
        <v>1</v>
      </c>
      <c r="BO42" s="52" t="str">
        <f aca="false">IF(OR(COUNT(B42:D1041)=0,COUNT(G42:I1041)=0,'Choix pédagogiques'!C$3&lt;&gt;3),"",IF(AND('Choix pédagogiques'!$C$3=3,$B42&lt;&gt;"",$C42&lt;&gt;"",$D42&lt;&gt;"",$G42&lt;&gt;"",$H42&lt;&gt;"",$I42&lt;&gt;""),1,0))</f>
        <v/>
      </c>
      <c r="BR42" s="52" t="n">
        <v>683</v>
      </c>
      <c r="BS42" s="52" t="n">
        <v>1971</v>
      </c>
    </row>
    <row r="43" s="54" customFormat="true" ht="18" hidden="false" customHeight="true" outlineLevel="0" collapsed="false">
      <c r="A43" s="49" t="n">
        <v>68</v>
      </c>
      <c r="B43" s="50" t="n">
        <v>4</v>
      </c>
      <c r="C43" s="50" t="n">
        <v>16</v>
      </c>
      <c r="D43" s="50" t="n">
        <v>13</v>
      </c>
      <c r="E43" s="51"/>
      <c r="F43" s="49" t="n">
        <v>1102</v>
      </c>
      <c r="G43" s="50" t="n">
        <v>1</v>
      </c>
      <c r="H43" s="50" t="n">
        <v>5</v>
      </c>
      <c r="I43" s="50" t="n">
        <v>13</v>
      </c>
      <c r="J43" s="51"/>
      <c r="K43" s="52" t="n">
        <f aca="false">IF($A43&lt;&gt;"",$A43,"")</f>
        <v>68</v>
      </c>
      <c r="L43" s="53" t="n">
        <f aca="false">IF(AND($B43&lt;&gt;"",$C43&lt;&gt;""),$C43-$B43,"")</f>
        <v>12</v>
      </c>
      <c r="M43" s="53" t="n">
        <f aca="false">IF(AND($B43&lt;&gt;"",$D43&lt;&gt;""),$D43-$B43,"")</f>
        <v>9</v>
      </c>
      <c r="N43" s="53" t="n">
        <f aca="false">IF(AND($C43&lt;&gt;"",$D43&lt;&gt;""),$D43-$C43,"")</f>
        <v>-3</v>
      </c>
      <c r="O43" s="53" t="str">
        <f aca="false">IF($E43&lt;&gt;"",$E43,"")</f>
        <v/>
      </c>
      <c r="P43" s="52" t="n">
        <f aca="false">IF($F43&lt;&gt;"",$F43,"")</f>
        <v>1102</v>
      </c>
      <c r="Q43" s="53" t="n">
        <f aca="false">IF(AND($G43&lt;&gt;"",$H43&lt;&gt;""),$H43-$G43,"")</f>
        <v>4</v>
      </c>
      <c r="R43" s="53" t="n">
        <f aca="false">IF(AND($G43&lt;&gt;"",$I43&lt;&gt;""),$I43-$G43,"")</f>
        <v>12</v>
      </c>
      <c r="S43" s="53" t="n">
        <f aca="false">IF(AND($H43&lt;&gt;"",$I43&lt;&gt;""),$I43-$H43,"")</f>
        <v>8</v>
      </c>
      <c r="T43" s="53" t="str">
        <f aca="false">IF($J43&lt;&gt;"",$J43,"")</f>
        <v/>
      </c>
      <c r="V43" s="52" t="n">
        <f aca="false">IF($A43&lt;&gt;"",$A43,"")</f>
        <v>68</v>
      </c>
      <c r="W43" s="53" t="n">
        <f aca="false">IF(AND(OR('Choix pédagogiques'!$C$3=1,'Choix pédagogiques'!$C$3=2),$BM43=1),B43,IF(AND('Choix pédagogiques'!$C$3=3,$BO43=1),B43,""))</f>
        <v>4</v>
      </c>
      <c r="X43" s="53" t="n">
        <f aca="false">IF(AND(OR('Choix pédagogiques'!$C$3=1,'Choix pédagogiques'!$C$3=2),$BM43=1),C43,IF(AND('Choix pédagogiques'!$C$3=3,$BO43=1),C43,""))</f>
        <v>16</v>
      </c>
      <c r="Y43" s="53" t="n">
        <f aca="false">IF(AND(OR('Choix pédagogiques'!$C$3=1,'Choix pédagogiques'!$C$3=2),$BM43=1),D43,IF(AND('Choix pédagogiques'!$C$3=3,$BO43=1),D43,""))</f>
        <v>13</v>
      </c>
      <c r="Z43" s="53" t="str">
        <f aca="false">IF($E43&lt;&gt;"",$E43,"")</f>
        <v/>
      </c>
      <c r="AA43" s="52" t="n">
        <f aca="false">IF($F43&lt;&gt;"",$F43,"")</f>
        <v>1102</v>
      </c>
      <c r="AB43" s="53" t="n">
        <f aca="false">IF(AND(OR('Choix pédagogiques'!$C$3=1,'Choix pédagogiques'!$C$3=2),$BN43=1),G43,IF(AND('Choix pédagogiques'!$C$3=3,$BO43=1),G43,""))</f>
        <v>1</v>
      </c>
      <c r="AC43" s="53" t="n">
        <f aca="false">IF(AND(OR('Choix pédagogiques'!$C$3=1,'Choix pédagogiques'!$C$3=2),$BN43=1),H43,IF(AND('Choix pédagogiques'!$C$3=3,$BO43=1),H43,""))</f>
        <v>5</v>
      </c>
      <c r="AD43" s="53" t="n">
        <f aca="false">IF(AND(OR('Choix pédagogiques'!$C$3=1,'Choix pédagogiques'!$C$3=2),$BN43=1),I43,IF(AND('Choix pédagogiques'!$C$3=3,$BO43=1),I43,""))</f>
        <v>13</v>
      </c>
      <c r="AE43" s="53" t="str">
        <f aca="false">IF($J43&lt;&gt;"",$J43,"")</f>
        <v/>
      </c>
      <c r="AF43" s="52" t="n">
        <f aca="false">IF($A43&lt;&gt;"",$A43,"")</f>
        <v>68</v>
      </c>
      <c r="AG43" s="53" t="n">
        <f aca="false">IF(AND($W43&lt;&gt;"",$X43&lt;&gt;""),$X43-$W43,"")</f>
        <v>12</v>
      </c>
      <c r="AH43" s="53" t="n">
        <f aca="false">IF(AND($W43&lt;&gt;"",$Y43&lt;&gt;""),$Y43-$W43,"")</f>
        <v>9</v>
      </c>
      <c r="AI43" s="53" t="n">
        <f aca="false">IF(AND($X43&lt;&gt;"",$Y43&lt;&gt;""),$Y43-$X43,"")</f>
        <v>-3</v>
      </c>
      <c r="AJ43" s="53" t="str">
        <f aca="false">IF($E43&lt;&gt;"",$E43,"")</f>
        <v/>
      </c>
      <c r="AK43" s="52" t="n">
        <f aca="false">IF($F43&lt;&gt;"",$F43,"")</f>
        <v>1102</v>
      </c>
      <c r="AL43" s="53" t="n">
        <f aca="false">IF(AND($AB43&lt;&gt;"",$AC43&lt;&gt;""),$AC43-$AB43,"")</f>
        <v>4</v>
      </c>
      <c r="AM43" s="53" t="n">
        <f aca="false">IF(AND($AB43&lt;&gt;"",$AD43&lt;&gt;""),$AD43-$AB43,"")</f>
        <v>12</v>
      </c>
      <c r="AN43" s="53" t="n">
        <f aca="false">IF(AND($AC43&lt;&gt;"",$AD43&lt;&gt;""),$AD43-$AC43,"")</f>
        <v>8</v>
      </c>
      <c r="AO43" s="53" t="str">
        <f aca="false">IF($J43&lt;&gt;"",$J43,"")</f>
        <v/>
      </c>
      <c r="AQ43" s="52" t="n">
        <f aca="false">IF($A43&lt;&gt;"",$A43,"")</f>
        <v>68</v>
      </c>
      <c r="AR43" s="55" t="n">
        <f aca="false">IF(AND('Choix pédagogiques'!$C$4&lt;&gt;"?",'Choix pédagogiques'!$C$5&lt;&gt;"?",W43&lt;&gt;""),(W43-'Choix pédagogiques'!$C$4)/('Choix pédagogiques'!$C$5-'Choix pédagogiques'!$C$4),"")</f>
        <v>0.2</v>
      </c>
      <c r="AS43" s="55" t="n">
        <f aca="false">IF(AND('Choix pédagogiques'!$C$4&lt;&gt;"?",'Choix pédagogiques'!$C$5&lt;&gt;"?",X43&lt;&gt;""),(X43-'Choix pédagogiques'!$C$4)/('Choix pédagogiques'!$C$5-'Choix pédagogiques'!$C$4),"")</f>
        <v>0.8</v>
      </c>
      <c r="AT43" s="55" t="n">
        <f aca="false">IF(AND('Choix pédagogiques'!$C$4&lt;&gt;"?",'Choix pédagogiques'!$C$5&lt;&gt;"?",Y43&lt;&gt;""),(Y43-'Choix pédagogiques'!$C$4)/('Choix pédagogiques'!$C$5-'Choix pédagogiques'!$C$4),"")</f>
        <v>0.65</v>
      </c>
      <c r="AU43" s="53" t="str">
        <f aca="false">IF($E43&lt;&gt;"",$E43,"")</f>
        <v/>
      </c>
      <c r="AV43" s="52" t="n">
        <f aca="false">IF($F43&lt;&gt;"",$F43,"")</f>
        <v>1102</v>
      </c>
      <c r="AW43" s="55" t="n">
        <f aca="false">IF(AND('Choix pédagogiques'!$C$4&lt;&gt;"?",'Choix pédagogiques'!$C$5&lt;&gt;"?",AB43&lt;&gt;""),(AB43-'Choix pédagogiques'!$C$4)/('Choix pédagogiques'!$C$5-'Choix pédagogiques'!$C$4),"")</f>
        <v>0.05</v>
      </c>
      <c r="AX43" s="55" t="n">
        <f aca="false">IF(AND('Choix pédagogiques'!$C$4&lt;&gt;"?",'Choix pédagogiques'!$C$5&lt;&gt;"?",AC43&lt;&gt;""),(AC43-'Choix pédagogiques'!$C$4)/('Choix pédagogiques'!$C$5-'Choix pédagogiques'!$C$4),"")</f>
        <v>0.25</v>
      </c>
      <c r="AY43" s="55" t="n">
        <f aca="false">IF(AND('Choix pédagogiques'!$C$4&lt;&gt;"?",'Choix pédagogiques'!$C$5&lt;&gt;"?",AD43&lt;&gt;""),(AD43-'Choix pédagogiques'!$C$4)/('Choix pédagogiques'!$C$5-'Choix pédagogiques'!$C$4),"")</f>
        <v>0.65</v>
      </c>
      <c r="AZ43" s="53" t="str">
        <f aca="false">IF($J43&lt;&gt;"",$J43,"")</f>
        <v/>
      </c>
      <c r="BA43" s="52" t="n">
        <f aca="false">IF($A43&lt;&gt;"",$A43,"")</f>
        <v>68</v>
      </c>
      <c r="BB43" s="55" t="n">
        <f aca="false">IF(AND($AR43&lt;&gt;"",$AS43&lt;&gt;""),$AS43-$AR43,"")</f>
        <v>0.6</v>
      </c>
      <c r="BC43" s="55" t="n">
        <f aca="false">IF(AND($AR43&lt;&gt;"",$AT43&lt;&gt;""),$AT43-$AR43,"")</f>
        <v>0.45</v>
      </c>
      <c r="BD43" s="55" t="n">
        <f aca="false">IF(AND($AS43&lt;&gt;"",$AT43&lt;&gt;""),$AT43-$AS43,"")</f>
        <v>-0.15</v>
      </c>
      <c r="BE43" s="53" t="str">
        <f aca="false">IF($E43&lt;&gt;"",$E43,"")</f>
        <v/>
      </c>
      <c r="BF43" s="52" t="n">
        <f aca="false">IF($F43&lt;&gt;"",$F43,"")</f>
        <v>1102</v>
      </c>
      <c r="BG43" s="55" t="n">
        <f aca="false">IF(AND($AW43&lt;&gt;"",$AX43&lt;&gt;""),$AX43-$AW43,"")</f>
        <v>0.2</v>
      </c>
      <c r="BH43" s="55" t="n">
        <f aca="false">IF(AND($AW43&lt;&gt;"",$AY43&lt;&gt;""),$AY43-$AW43,"")</f>
        <v>0.6</v>
      </c>
      <c r="BI43" s="55" t="n">
        <f aca="false">IF(AND($AX43&lt;&gt;"",$AY43&lt;&gt;""),$AY43-$AX43,"")</f>
        <v>0.4</v>
      </c>
      <c r="BJ43" s="53" t="str">
        <f aca="false">IF($J43&lt;&gt;"",$J43,"")</f>
        <v/>
      </c>
      <c r="BL43" s="52"/>
      <c r="BM43" s="52" t="n">
        <f aca="false">IF(OR(COUNT(B43:D1042)=0,AND('Choix pédagogiques'!$C$3&lt;&gt;1,'Choix pédagogiques'!$C$3&lt;&gt;2)),"",IF(AND(OR('Choix pédagogiques'!$C$3=1,'Choix pédagogiques'!$C$3=2),$B43&lt;&gt;"",$C43&lt;&gt;"",$D43&lt;&gt;""),1,0))</f>
        <v>1</v>
      </c>
      <c r="BN43" s="52" t="n">
        <f aca="false">IF(OR(COUNT(G43:I1042)=0,AND('Choix pédagogiques'!$C$3&lt;&gt;1,'Choix pédagogiques'!$C$3&lt;&gt;2)),"",IF(AND(OR('Choix pédagogiques'!$C$3=1,'Choix pédagogiques'!$C$3=2),AND($G43&lt;&gt;"",$H43&lt;&gt;"",$I43&lt;&gt;"")),1,0))</f>
        <v>1</v>
      </c>
      <c r="BO43" s="52" t="str">
        <f aca="false">IF(OR(COUNT(B43:D1042)=0,COUNT(G43:I1042)=0,'Choix pédagogiques'!C$3&lt;&gt;3),"",IF(AND('Choix pédagogiques'!$C$3=3,$B43&lt;&gt;"",$C43&lt;&gt;"",$D43&lt;&gt;"",$G43&lt;&gt;"",$H43&lt;&gt;"",$I43&lt;&gt;""),1,0))</f>
        <v/>
      </c>
      <c r="BR43" s="52" t="n">
        <v>68</v>
      </c>
      <c r="BS43" s="52" t="n">
        <v>1102</v>
      </c>
    </row>
    <row r="44" s="54" customFormat="true" ht="18" hidden="false" customHeight="true" outlineLevel="0" collapsed="false">
      <c r="A44" s="49" t="n">
        <v>148</v>
      </c>
      <c r="B44" s="50" t="n">
        <v>2</v>
      </c>
      <c r="C44" s="50" t="n">
        <v>12</v>
      </c>
      <c r="D44" s="50" t="n">
        <v>10</v>
      </c>
      <c r="E44" s="51"/>
      <c r="F44" s="49" t="n">
        <v>1058</v>
      </c>
      <c r="G44" s="50" t="n">
        <v>2</v>
      </c>
      <c r="H44" s="50" t="n">
        <v>13</v>
      </c>
      <c r="I44" s="50" t="n">
        <v>12</v>
      </c>
      <c r="J44" s="51"/>
      <c r="K44" s="52" t="n">
        <f aca="false">IF($A44&lt;&gt;"",$A44,"")</f>
        <v>148</v>
      </c>
      <c r="L44" s="53" t="n">
        <f aca="false">IF(AND($B44&lt;&gt;"",$C44&lt;&gt;""),$C44-$B44,"")</f>
        <v>10</v>
      </c>
      <c r="M44" s="53" t="n">
        <f aca="false">IF(AND($B44&lt;&gt;"",$D44&lt;&gt;""),$D44-$B44,"")</f>
        <v>8</v>
      </c>
      <c r="N44" s="53" t="n">
        <f aca="false">IF(AND($C44&lt;&gt;"",$D44&lt;&gt;""),$D44-$C44,"")</f>
        <v>-2</v>
      </c>
      <c r="O44" s="53" t="str">
        <f aca="false">IF($E44&lt;&gt;"",$E44,"")</f>
        <v/>
      </c>
      <c r="P44" s="52" t="n">
        <f aca="false">IF($F44&lt;&gt;"",$F44,"")</f>
        <v>1058</v>
      </c>
      <c r="Q44" s="53" t="n">
        <f aca="false">IF(AND($G44&lt;&gt;"",$H44&lt;&gt;""),$H44-$G44,"")</f>
        <v>11</v>
      </c>
      <c r="R44" s="53" t="n">
        <f aca="false">IF(AND($G44&lt;&gt;"",$I44&lt;&gt;""),$I44-$G44,"")</f>
        <v>10</v>
      </c>
      <c r="S44" s="53" t="n">
        <f aca="false">IF(AND($H44&lt;&gt;"",$I44&lt;&gt;""),$I44-$H44,"")</f>
        <v>-1</v>
      </c>
      <c r="T44" s="53" t="str">
        <f aca="false">IF($J44&lt;&gt;"",$J44,"")</f>
        <v/>
      </c>
      <c r="V44" s="52" t="n">
        <f aca="false">IF($A44&lt;&gt;"",$A44,"")</f>
        <v>148</v>
      </c>
      <c r="W44" s="53" t="n">
        <f aca="false">IF(AND(OR('Choix pédagogiques'!$C$3=1,'Choix pédagogiques'!$C$3=2),$BM44=1),B44,IF(AND('Choix pédagogiques'!$C$3=3,$BO44=1),B44,""))</f>
        <v>2</v>
      </c>
      <c r="X44" s="53" t="n">
        <f aca="false">IF(AND(OR('Choix pédagogiques'!$C$3=1,'Choix pédagogiques'!$C$3=2),$BM44=1),C44,IF(AND('Choix pédagogiques'!$C$3=3,$BO44=1),C44,""))</f>
        <v>12</v>
      </c>
      <c r="Y44" s="53" t="n">
        <f aca="false">IF(AND(OR('Choix pédagogiques'!$C$3=1,'Choix pédagogiques'!$C$3=2),$BM44=1),D44,IF(AND('Choix pédagogiques'!$C$3=3,$BO44=1),D44,""))</f>
        <v>10</v>
      </c>
      <c r="Z44" s="53" t="str">
        <f aca="false">IF($E44&lt;&gt;"",$E44,"")</f>
        <v/>
      </c>
      <c r="AA44" s="52" t="n">
        <f aca="false">IF($F44&lt;&gt;"",$F44,"")</f>
        <v>1058</v>
      </c>
      <c r="AB44" s="53" t="n">
        <f aca="false">IF(AND(OR('Choix pédagogiques'!$C$3=1,'Choix pédagogiques'!$C$3=2),$BN44=1),G44,IF(AND('Choix pédagogiques'!$C$3=3,$BO44=1),G44,""))</f>
        <v>2</v>
      </c>
      <c r="AC44" s="53" t="n">
        <f aca="false">IF(AND(OR('Choix pédagogiques'!$C$3=1,'Choix pédagogiques'!$C$3=2),$BN44=1),H44,IF(AND('Choix pédagogiques'!$C$3=3,$BO44=1),H44,""))</f>
        <v>13</v>
      </c>
      <c r="AD44" s="53" t="n">
        <f aca="false">IF(AND(OR('Choix pédagogiques'!$C$3=1,'Choix pédagogiques'!$C$3=2),$BN44=1),I44,IF(AND('Choix pédagogiques'!$C$3=3,$BO44=1),I44,""))</f>
        <v>12</v>
      </c>
      <c r="AE44" s="53" t="str">
        <f aca="false">IF($J44&lt;&gt;"",$J44,"")</f>
        <v/>
      </c>
      <c r="AF44" s="52" t="n">
        <f aca="false">IF($A44&lt;&gt;"",$A44,"")</f>
        <v>148</v>
      </c>
      <c r="AG44" s="53" t="n">
        <f aca="false">IF(AND($W44&lt;&gt;"",$X44&lt;&gt;""),$X44-$W44,"")</f>
        <v>10</v>
      </c>
      <c r="AH44" s="53" t="n">
        <f aca="false">IF(AND($W44&lt;&gt;"",$Y44&lt;&gt;""),$Y44-$W44,"")</f>
        <v>8</v>
      </c>
      <c r="AI44" s="53" t="n">
        <f aca="false">IF(AND($X44&lt;&gt;"",$Y44&lt;&gt;""),$Y44-$X44,"")</f>
        <v>-2</v>
      </c>
      <c r="AJ44" s="53" t="str">
        <f aca="false">IF($E44&lt;&gt;"",$E44,"")</f>
        <v/>
      </c>
      <c r="AK44" s="52" t="n">
        <f aca="false">IF($F44&lt;&gt;"",$F44,"")</f>
        <v>1058</v>
      </c>
      <c r="AL44" s="53" t="n">
        <f aca="false">IF(AND($AB44&lt;&gt;"",$AC44&lt;&gt;""),$AC44-$AB44,"")</f>
        <v>11</v>
      </c>
      <c r="AM44" s="53" t="n">
        <f aca="false">IF(AND($AB44&lt;&gt;"",$AD44&lt;&gt;""),$AD44-$AB44,"")</f>
        <v>10</v>
      </c>
      <c r="AN44" s="53" t="n">
        <f aca="false">IF(AND($AC44&lt;&gt;"",$AD44&lt;&gt;""),$AD44-$AC44,"")</f>
        <v>-1</v>
      </c>
      <c r="AO44" s="53" t="str">
        <f aca="false">IF($J44&lt;&gt;"",$J44,"")</f>
        <v/>
      </c>
      <c r="AQ44" s="52" t="n">
        <f aca="false">IF($A44&lt;&gt;"",$A44,"")</f>
        <v>148</v>
      </c>
      <c r="AR44" s="55" t="n">
        <f aca="false">IF(AND('Choix pédagogiques'!$C$4&lt;&gt;"?",'Choix pédagogiques'!$C$5&lt;&gt;"?",W44&lt;&gt;""),(W44-'Choix pédagogiques'!$C$4)/('Choix pédagogiques'!$C$5-'Choix pédagogiques'!$C$4),"")</f>
        <v>0.1</v>
      </c>
      <c r="AS44" s="55" t="n">
        <f aca="false">IF(AND('Choix pédagogiques'!$C$4&lt;&gt;"?",'Choix pédagogiques'!$C$5&lt;&gt;"?",X44&lt;&gt;""),(X44-'Choix pédagogiques'!$C$4)/('Choix pédagogiques'!$C$5-'Choix pédagogiques'!$C$4),"")</f>
        <v>0.6</v>
      </c>
      <c r="AT44" s="55" t="n">
        <f aca="false">IF(AND('Choix pédagogiques'!$C$4&lt;&gt;"?",'Choix pédagogiques'!$C$5&lt;&gt;"?",Y44&lt;&gt;""),(Y44-'Choix pédagogiques'!$C$4)/('Choix pédagogiques'!$C$5-'Choix pédagogiques'!$C$4),"")</f>
        <v>0.5</v>
      </c>
      <c r="AU44" s="53" t="str">
        <f aca="false">IF($E44&lt;&gt;"",$E44,"")</f>
        <v/>
      </c>
      <c r="AV44" s="52" t="n">
        <f aca="false">IF($F44&lt;&gt;"",$F44,"")</f>
        <v>1058</v>
      </c>
      <c r="AW44" s="55" t="n">
        <f aca="false">IF(AND('Choix pédagogiques'!$C$4&lt;&gt;"?",'Choix pédagogiques'!$C$5&lt;&gt;"?",AB44&lt;&gt;""),(AB44-'Choix pédagogiques'!$C$4)/('Choix pédagogiques'!$C$5-'Choix pédagogiques'!$C$4),"")</f>
        <v>0.1</v>
      </c>
      <c r="AX44" s="55" t="n">
        <f aca="false">IF(AND('Choix pédagogiques'!$C$4&lt;&gt;"?",'Choix pédagogiques'!$C$5&lt;&gt;"?",AC44&lt;&gt;""),(AC44-'Choix pédagogiques'!$C$4)/('Choix pédagogiques'!$C$5-'Choix pédagogiques'!$C$4),"")</f>
        <v>0.65</v>
      </c>
      <c r="AY44" s="55" t="n">
        <f aca="false">IF(AND('Choix pédagogiques'!$C$4&lt;&gt;"?",'Choix pédagogiques'!$C$5&lt;&gt;"?",AD44&lt;&gt;""),(AD44-'Choix pédagogiques'!$C$4)/('Choix pédagogiques'!$C$5-'Choix pédagogiques'!$C$4),"")</f>
        <v>0.6</v>
      </c>
      <c r="AZ44" s="53" t="str">
        <f aca="false">IF($J44&lt;&gt;"",$J44,"")</f>
        <v/>
      </c>
      <c r="BA44" s="52" t="n">
        <f aca="false">IF($A44&lt;&gt;"",$A44,"")</f>
        <v>148</v>
      </c>
      <c r="BB44" s="55" t="n">
        <f aca="false">IF(AND($AR44&lt;&gt;"",$AS44&lt;&gt;""),$AS44-$AR44,"")</f>
        <v>0.5</v>
      </c>
      <c r="BC44" s="55" t="n">
        <f aca="false">IF(AND($AR44&lt;&gt;"",$AT44&lt;&gt;""),$AT44-$AR44,"")</f>
        <v>0.4</v>
      </c>
      <c r="BD44" s="55" t="n">
        <f aca="false">IF(AND($AS44&lt;&gt;"",$AT44&lt;&gt;""),$AT44-$AS44,"")</f>
        <v>-0.1</v>
      </c>
      <c r="BE44" s="53" t="str">
        <f aca="false">IF($E44&lt;&gt;"",$E44,"")</f>
        <v/>
      </c>
      <c r="BF44" s="52" t="n">
        <f aca="false">IF($F44&lt;&gt;"",$F44,"")</f>
        <v>1058</v>
      </c>
      <c r="BG44" s="55" t="n">
        <f aca="false">IF(AND($AW44&lt;&gt;"",$AX44&lt;&gt;""),$AX44-$AW44,"")</f>
        <v>0.55</v>
      </c>
      <c r="BH44" s="55" t="n">
        <f aca="false">IF(AND($AW44&lt;&gt;"",$AY44&lt;&gt;""),$AY44-$AW44,"")</f>
        <v>0.5</v>
      </c>
      <c r="BI44" s="55" t="n">
        <f aca="false">IF(AND($AX44&lt;&gt;"",$AY44&lt;&gt;""),$AY44-$AX44,"")</f>
        <v>-0.05</v>
      </c>
      <c r="BJ44" s="53" t="str">
        <f aca="false">IF($J44&lt;&gt;"",$J44,"")</f>
        <v/>
      </c>
      <c r="BL44" s="52"/>
      <c r="BM44" s="52" t="n">
        <f aca="false">IF(OR(COUNT(B44:D1043)=0,AND('Choix pédagogiques'!$C$3&lt;&gt;1,'Choix pédagogiques'!$C$3&lt;&gt;2)),"",IF(AND(OR('Choix pédagogiques'!$C$3=1,'Choix pédagogiques'!$C$3=2),$B44&lt;&gt;"",$C44&lt;&gt;"",$D44&lt;&gt;""),1,0))</f>
        <v>1</v>
      </c>
      <c r="BN44" s="52" t="n">
        <f aca="false">IF(OR(COUNT(G44:I1043)=0,AND('Choix pédagogiques'!$C$3&lt;&gt;1,'Choix pédagogiques'!$C$3&lt;&gt;2)),"",IF(AND(OR('Choix pédagogiques'!$C$3=1,'Choix pédagogiques'!$C$3=2),AND($G44&lt;&gt;"",$H44&lt;&gt;"",$I44&lt;&gt;"")),1,0))</f>
        <v>1</v>
      </c>
      <c r="BO44" s="52" t="str">
        <f aca="false">IF(OR(COUNT(B44:D1043)=0,COUNT(G44:I1043)=0,'Choix pédagogiques'!C$3&lt;&gt;3),"",IF(AND('Choix pédagogiques'!$C$3=3,$B44&lt;&gt;"",$C44&lt;&gt;"",$D44&lt;&gt;"",$G44&lt;&gt;"",$H44&lt;&gt;"",$I44&lt;&gt;""),1,0))</f>
        <v/>
      </c>
      <c r="BR44" s="52" t="n">
        <v>148</v>
      </c>
      <c r="BS44" s="52" t="n">
        <v>1058</v>
      </c>
    </row>
    <row r="45" s="54" customFormat="true" ht="18" hidden="false" customHeight="true" outlineLevel="0" collapsed="false">
      <c r="A45" s="49" t="n">
        <v>438</v>
      </c>
      <c r="B45" s="50" t="n">
        <v>3</v>
      </c>
      <c r="C45" s="50" t="n">
        <v>13</v>
      </c>
      <c r="D45" s="50" t="n">
        <v>9</v>
      </c>
      <c r="E45" s="51"/>
      <c r="F45" s="49" t="n">
        <v>1188</v>
      </c>
      <c r="G45" s="50" t="n">
        <v>3</v>
      </c>
      <c r="H45" s="50" t="n">
        <v>14</v>
      </c>
      <c r="I45" s="50" t="n">
        <v>13</v>
      </c>
      <c r="J45" s="51"/>
      <c r="K45" s="52" t="n">
        <f aca="false">IF($A45&lt;&gt;"",$A45,"")</f>
        <v>438</v>
      </c>
      <c r="L45" s="53" t="n">
        <f aca="false">IF(AND($B45&lt;&gt;"",$C45&lt;&gt;""),$C45-$B45,"")</f>
        <v>10</v>
      </c>
      <c r="M45" s="53" t="n">
        <f aca="false">IF(AND($B45&lt;&gt;"",$D45&lt;&gt;""),$D45-$B45,"")</f>
        <v>6</v>
      </c>
      <c r="N45" s="53" t="n">
        <f aca="false">IF(AND($C45&lt;&gt;"",$D45&lt;&gt;""),$D45-$C45,"")</f>
        <v>-4</v>
      </c>
      <c r="O45" s="53" t="str">
        <f aca="false">IF($E45&lt;&gt;"",$E45,"")</f>
        <v/>
      </c>
      <c r="P45" s="52" t="n">
        <f aca="false">IF($F45&lt;&gt;"",$F45,"")</f>
        <v>1188</v>
      </c>
      <c r="Q45" s="53" t="n">
        <f aca="false">IF(AND($G45&lt;&gt;"",$H45&lt;&gt;""),$H45-$G45,"")</f>
        <v>11</v>
      </c>
      <c r="R45" s="53" t="n">
        <f aca="false">IF(AND($G45&lt;&gt;"",$I45&lt;&gt;""),$I45-$G45,"")</f>
        <v>10</v>
      </c>
      <c r="S45" s="53" t="n">
        <f aca="false">IF(AND($H45&lt;&gt;"",$I45&lt;&gt;""),$I45-$H45,"")</f>
        <v>-1</v>
      </c>
      <c r="T45" s="53" t="str">
        <f aca="false">IF($J45&lt;&gt;"",$J45,"")</f>
        <v/>
      </c>
      <c r="V45" s="52" t="n">
        <f aca="false">IF($A45&lt;&gt;"",$A45,"")</f>
        <v>438</v>
      </c>
      <c r="W45" s="53" t="n">
        <f aca="false">IF(AND(OR('Choix pédagogiques'!$C$3=1,'Choix pédagogiques'!$C$3=2),$BM45=1),B45,IF(AND('Choix pédagogiques'!$C$3=3,$BO45=1),B45,""))</f>
        <v>3</v>
      </c>
      <c r="X45" s="53" t="n">
        <f aca="false">IF(AND(OR('Choix pédagogiques'!$C$3=1,'Choix pédagogiques'!$C$3=2),$BM45=1),C45,IF(AND('Choix pédagogiques'!$C$3=3,$BO45=1),C45,""))</f>
        <v>13</v>
      </c>
      <c r="Y45" s="53" t="n">
        <f aca="false">IF(AND(OR('Choix pédagogiques'!$C$3=1,'Choix pédagogiques'!$C$3=2),$BM45=1),D45,IF(AND('Choix pédagogiques'!$C$3=3,$BO45=1),D45,""))</f>
        <v>9</v>
      </c>
      <c r="Z45" s="53" t="str">
        <f aca="false">IF($E45&lt;&gt;"",$E45,"")</f>
        <v/>
      </c>
      <c r="AA45" s="52" t="n">
        <f aca="false">IF($F45&lt;&gt;"",$F45,"")</f>
        <v>1188</v>
      </c>
      <c r="AB45" s="53" t="n">
        <f aca="false">IF(AND(OR('Choix pédagogiques'!$C$3=1,'Choix pédagogiques'!$C$3=2),$BN45=1),G45,IF(AND('Choix pédagogiques'!$C$3=3,$BO45=1),G45,""))</f>
        <v>3</v>
      </c>
      <c r="AC45" s="53" t="n">
        <f aca="false">IF(AND(OR('Choix pédagogiques'!$C$3=1,'Choix pédagogiques'!$C$3=2),$BN45=1),H45,IF(AND('Choix pédagogiques'!$C$3=3,$BO45=1),H45,""))</f>
        <v>14</v>
      </c>
      <c r="AD45" s="53" t="n">
        <f aca="false">IF(AND(OR('Choix pédagogiques'!$C$3=1,'Choix pédagogiques'!$C$3=2),$BN45=1),I45,IF(AND('Choix pédagogiques'!$C$3=3,$BO45=1),I45,""))</f>
        <v>13</v>
      </c>
      <c r="AE45" s="53" t="str">
        <f aca="false">IF($J45&lt;&gt;"",$J45,"")</f>
        <v/>
      </c>
      <c r="AF45" s="52" t="n">
        <f aca="false">IF($A45&lt;&gt;"",$A45,"")</f>
        <v>438</v>
      </c>
      <c r="AG45" s="53" t="n">
        <f aca="false">IF(AND($W45&lt;&gt;"",$X45&lt;&gt;""),$X45-$W45,"")</f>
        <v>10</v>
      </c>
      <c r="AH45" s="53" t="n">
        <f aca="false">IF(AND($W45&lt;&gt;"",$Y45&lt;&gt;""),$Y45-$W45,"")</f>
        <v>6</v>
      </c>
      <c r="AI45" s="53" t="n">
        <f aca="false">IF(AND($X45&lt;&gt;"",$Y45&lt;&gt;""),$Y45-$X45,"")</f>
        <v>-4</v>
      </c>
      <c r="AJ45" s="53" t="str">
        <f aca="false">IF($E45&lt;&gt;"",$E45,"")</f>
        <v/>
      </c>
      <c r="AK45" s="52" t="n">
        <f aca="false">IF($F45&lt;&gt;"",$F45,"")</f>
        <v>1188</v>
      </c>
      <c r="AL45" s="53" t="n">
        <f aca="false">IF(AND($AB45&lt;&gt;"",$AC45&lt;&gt;""),$AC45-$AB45,"")</f>
        <v>11</v>
      </c>
      <c r="AM45" s="53" t="n">
        <f aca="false">IF(AND($AB45&lt;&gt;"",$AD45&lt;&gt;""),$AD45-$AB45,"")</f>
        <v>10</v>
      </c>
      <c r="AN45" s="53" t="n">
        <f aca="false">IF(AND($AC45&lt;&gt;"",$AD45&lt;&gt;""),$AD45-$AC45,"")</f>
        <v>-1</v>
      </c>
      <c r="AO45" s="53" t="str">
        <f aca="false">IF($J45&lt;&gt;"",$J45,"")</f>
        <v/>
      </c>
      <c r="AQ45" s="52" t="n">
        <f aca="false">IF($A45&lt;&gt;"",$A45,"")</f>
        <v>438</v>
      </c>
      <c r="AR45" s="55" t="n">
        <f aca="false">IF(AND('Choix pédagogiques'!$C$4&lt;&gt;"?",'Choix pédagogiques'!$C$5&lt;&gt;"?",W45&lt;&gt;""),(W45-'Choix pédagogiques'!$C$4)/('Choix pédagogiques'!$C$5-'Choix pédagogiques'!$C$4),"")</f>
        <v>0.15</v>
      </c>
      <c r="AS45" s="55" t="n">
        <f aca="false">IF(AND('Choix pédagogiques'!$C$4&lt;&gt;"?",'Choix pédagogiques'!$C$5&lt;&gt;"?",X45&lt;&gt;""),(X45-'Choix pédagogiques'!$C$4)/('Choix pédagogiques'!$C$5-'Choix pédagogiques'!$C$4),"")</f>
        <v>0.65</v>
      </c>
      <c r="AT45" s="55" t="n">
        <f aca="false">IF(AND('Choix pédagogiques'!$C$4&lt;&gt;"?",'Choix pédagogiques'!$C$5&lt;&gt;"?",Y45&lt;&gt;""),(Y45-'Choix pédagogiques'!$C$4)/('Choix pédagogiques'!$C$5-'Choix pédagogiques'!$C$4),"")</f>
        <v>0.45</v>
      </c>
      <c r="AU45" s="53" t="str">
        <f aca="false">IF($E45&lt;&gt;"",$E45,"")</f>
        <v/>
      </c>
      <c r="AV45" s="52" t="n">
        <f aca="false">IF($F45&lt;&gt;"",$F45,"")</f>
        <v>1188</v>
      </c>
      <c r="AW45" s="55" t="n">
        <f aca="false">IF(AND('Choix pédagogiques'!$C$4&lt;&gt;"?",'Choix pédagogiques'!$C$5&lt;&gt;"?",AB45&lt;&gt;""),(AB45-'Choix pédagogiques'!$C$4)/('Choix pédagogiques'!$C$5-'Choix pédagogiques'!$C$4),"")</f>
        <v>0.15</v>
      </c>
      <c r="AX45" s="55" t="n">
        <f aca="false">IF(AND('Choix pédagogiques'!$C$4&lt;&gt;"?",'Choix pédagogiques'!$C$5&lt;&gt;"?",AC45&lt;&gt;""),(AC45-'Choix pédagogiques'!$C$4)/('Choix pédagogiques'!$C$5-'Choix pédagogiques'!$C$4),"")</f>
        <v>0.7</v>
      </c>
      <c r="AY45" s="55" t="n">
        <f aca="false">IF(AND('Choix pédagogiques'!$C$4&lt;&gt;"?",'Choix pédagogiques'!$C$5&lt;&gt;"?",AD45&lt;&gt;""),(AD45-'Choix pédagogiques'!$C$4)/('Choix pédagogiques'!$C$5-'Choix pédagogiques'!$C$4),"")</f>
        <v>0.65</v>
      </c>
      <c r="AZ45" s="53" t="str">
        <f aca="false">IF($J45&lt;&gt;"",$J45,"")</f>
        <v/>
      </c>
      <c r="BA45" s="52" t="n">
        <f aca="false">IF($A45&lt;&gt;"",$A45,"")</f>
        <v>438</v>
      </c>
      <c r="BB45" s="55" t="n">
        <f aca="false">IF(AND($AR45&lt;&gt;"",$AS45&lt;&gt;""),$AS45-$AR45,"")</f>
        <v>0.5</v>
      </c>
      <c r="BC45" s="55" t="n">
        <f aca="false">IF(AND($AR45&lt;&gt;"",$AT45&lt;&gt;""),$AT45-$AR45,"")</f>
        <v>0.3</v>
      </c>
      <c r="BD45" s="55" t="n">
        <f aca="false">IF(AND($AS45&lt;&gt;"",$AT45&lt;&gt;""),$AT45-$AS45,"")</f>
        <v>-0.2</v>
      </c>
      <c r="BE45" s="53" t="str">
        <f aca="false">IF($E45&lt;&gt;"",$E45,"")</f>
        <v/>
      </c>
      <c r="BF45" s="52" t="n">
        <f aca="false">IF($F45&lt;&gt;"",$F45,"")</f>
        <v>1188</v>
      </c>
      <c r="BG45" s="55" t="n">
        <f aca="false">IF(AND($AW45&lt;&gt;"",$AX45&lt;&gt;""),$AX45-$AW45,"")</f>
        <v>0.55</v>
      </c>
      <c r="BH45" s="55" t="n">
        <f aca="false">IF(AND($AW45&lt;&gt;"",$AY45&lt;&gt;""),$AY45-$AW45,"")</f>
        <v>0.5</v>
      </c>
      <c r="BI45" s="55" t="n">
        <f aca="false">IF(AND($AX45&lt;&gt;"",$AY45&lt;&gt;""),$AY45-$AX45,"")</f>
        <v>-0.0499999999999999</v>
      </c>
      <c r="BJ45" s="53" t="str">
        <f aca="false">IF($J45&lt;&gt;"",$J45,"")</f>
        <v/>
      </c>
      <c r="BL45" s="52"/>
      <c r="BM45" s="52" t="n">
        <f aca="false">IF(OR(COUNT(B45:D1044)=0,AND('Choix pédagogiques'!$C$3&lt;&gt;1,'Choix pédagogiques'!$C$3&lt;&gt;2)),"",IF(AND(OR('Choix pédagogiques'!$C$3=1,'Choix pédagogiques'!$C$3=2),$B45&lt;&gt;"",$C45&lt;&gt;"",$D45&lt;&gt;""),1,0))</f>
        <v>1</v>
      </c>
      <c r="BN45" s="52" t="n">
        <f aca="false">IF(OR(COUNT(G45:I1044)=0,AND('Choix pédagogiques'!$C$3&lt;&gt;1,'Choix pédagogiques'!$C$3&lt;&gt;2)),"",IF(AND(OR('Choix pédagogiques'!$C$3=1,'Choix pédagogiques'!$C$3=2),AND($G45&lt;&gt;"",$H45&lt;&gt;"",$I45&lt;&gt;"")),1,0))</f>
        <v>1</v>
      </c>
      <c r="BO45" s="52" t="str">
        <f aca="false">IF(OR(COUNT(B45:D1044)=0,COUNT(G45:I1044)=0,'Choix pédagogiques'!C$3&lt;&gt;3),"",IF(AND('Choix pédagogiques'!$C$3=3,$B45&lt;&gt;"",$C45&lt;&gt;"",$D45&lt;&gt;"",$G45&lt;&gt;"",$H45&lt;&gt;"",$I45&lt;&gt;""),1,0))</f>
        <v/>
      </c>
      <c r="BR45" s="52" t="n">
        <v>438</v>
      </c>
      <c r="BS45" s="52" t="n">
        <v>1188</v>
      </c>
    </row>
    <row r="46" s="54" customFormat="true" ht="18" hidden="false" customHeight="true" outlineLevel="0" collapsed="false">
      <c r="A46" s="49" t="n">
        <v>169</v>
      </c>
      <c r="B46" s="50" t="n">
        <v>4</v>
      </c>
      <c r="C46" s="50" t="n">
        <v>12</v>
      </c>
      <c r="D46" s="50" t="n">
        <v>10</v>
      </c>
      <c r="E46" s="51"/>
      <c r="F46" s="49" t="n">
        <v>1333</v>
      </c>
      <c r="G46" s="50" t="n">
        <v>3</v>
      </c>
      <c r="H46" s="50" t="n">
        <v>19</v>
      </c>
      <c r="I46" s="50" t="n">
        <v>17</v>
      </c>
      <c r="J46" s="51"/>
      <c r="K46" s="52" t="n">
        <f aca="false">IF($A46&lt;&gt;"",$A46,"")</f>
        <v>169</v>
      </c>
      <c r="L46" s="53" t="n">
        <f aca="false">IF(AND($B46&lt;&gt;"",$C46&lt;&gt;""),$C46-$B46,"")</f>
        <v>8</v>
      </c>
      <c r="M46" s="53" t="n">
        <f aca="false">IF(AND($B46&lt;&gt;"",$D46&lt;&gt;""),$D46-$B46,"")</f>
        <v>6</v>
      </c>
      <c r="N46" s="53" t="n">
        <f aca="false">IF(AND($C46&lt;&gt;"",$D46&lt;&gt;""),$D46-$C46,"")</f>
        <v>-2</v>
      </c>
      <c r="O46" s="53" t="str">
        <f aca="false">IF($E46&lt;&gt;"",$E46,"")</f>
        <v/>
      </c>
      <c r="P46" s="52" t="n">
        <f aca="false">IF($F46&lt;&gt;"",$F46,"")</f>
        <v>1333</v>
      </c>
      <c r="Q46" s="53" t="n">
        <f aca="false">IF(AND($G46&lt;&gt;"",$H46&lt;&gt;""),$H46-$G46,"")</f>
        <v>16</v>
      </c>
      <c r="R46" s="53" t="n">
        <f aca="false">IF(AND($G46&lt;&gt;"",$I46&lt;&gt;""),$I46-$G46,"")</f>
        <v>14</v>
      </c>
      <c r="S46" s="53" t="n">
        <f aca="false">IF(AND($H46&lt;&gt;"",$I46&lt;&gt;""),$I46-$H46,"")</f>
        <v>-2</v>
      </c>
      <c r="T46" s="53" t="str">
        <f aca="false">IF($J46&lt;&gt;"",$J46,"")</f>
        <v/>
      </c>
      <c r="V46" s="52" t="n">
        <f aca="false">IF($A46&lt;&gt;"",$A46,"")</f>
        <v>169</v>
      </c>
      <c r="W46" s="53" t="n">
        <f aca="false">IF(AND(OR('Choix pédagogiques'!$C$3=1,'Choix pédagogiques'!$C$3=2),$BM46=1),B46,IF(AND('Choix pédagogiques'!$C$3=3,$BO46=1),B46,""))</f>
        <v>4</v>
      </c>
      <c r="X46" s="53" t="n">
        <f aca="false">IF(AND(OR('Choix pédagogiques'!$C$3=1,'Choix pédagogiques'!$C$3=2),$BM46=1),C46,IF(AND('Choix pédagogiques'!$C$3=3,$BO46=1),C46,""))</f>
        <v>12</v>
      </c>
      <c r="Y46" s="53" t="n">
        <f aca="false">IF(AND(OR('Choix pédagogiques'!$C$3=1,'Choix pédagogiques'!$C$3=2),$BM46=1),D46,IF(AND('Choix pédagogiques'!$C$3=3,$BO46=1),D46,""))</f>
        <v>10</v>
      </c>
      <c r="Z46" s="53" t="str">
        <f aca="false">IF($E46&lt;&gt;"",$E46,"")</f>
        <v/>
      </c>
      <c r="AA46" s="52" t="n">
        <f aca="false">IF($F46&lt;&gt;"",$F46,"")</f>
        <v>1333</v>
      </c>
      <c r="AB46" s="53" t="n">
        <f aca="false">IF(AND(OR('Choix pédagogiques'!$C$3=1,'Choix pédagogiques'!$C$3=2),$BN46=1),G46,IF(AND('Choix pédagogiques'!$C$3=3,$BO46=1),G46,""))</f>
        <v>3</v>
      </c>
      <c r="AC46" s="53" t="n">
        <f aca="false">IF(AND(OR('Choix pédagogiques'!$C$3=1,'Choix pédagogiques'!$C$3=2),$BN46=1),H46,IF(AND('Choix pédagogiques'!$C$3=3,$BO46=1),H46,""))</f>
        <v>19</v>
      </c>
      <c r="AD46" s="53" t="n">
        <f aca="false">IF(AND(OR('Choix pédagogiques'!$C$3=1,'Choix pédagogiques'!$C$3=2),$BN46=1),I46,IF(AND('Choix pédagogiques'!$C$3=3,$BO46=1),I46,""))</f>
        <v>17</v>
      </c>
      <c r="AE46" s="53" t="str">
        <f aca="false">IF($J46&lt;&gt;"",$J46,"")</f>
        <v/>
      </c>
      <c r="AF46" s="52" t="n">
        <f aca="false">IF($A46&lt;&gt;"",$A46,"")</f>
        <v>169</v>
      </c>
      <c r="AG46" s="53" t="n">
        <f aca="false">IF(AND($W46&lt;&gt;"",$X46&lt;&gt;""),$X46-$W46,"")</f>
        <v>8</v>
      </c>
      <c r="AH46" s="53" t="n">
        <f aca="false">IF(AND($W46&lt;&gt;"",$Y46&lt;&gt;""),$Y46-$W46,"")</f>
        <v>6</v>
      </c>
      <c r="AI46" s="53" t="n">
        <f aca="false">IF(AND($X46&lt;&gt;"",$Y46&lt;&gt;""),$Y46-$X46,"")</f>
        <v>-2</v>
      </c>
      <c r="AJ46" s="53" t="str">
        <f aca="false">IF($E46&lt;&gt;"",$E46,"")</f>
        <v/>
      </c>
      <c r="AK46" s="52" t="n">
        <f aca="false">IF($F46&lt;&gt;"",$F46,"")</f>
        <v>1333</v>
      </c>
      <c r="AL46" s="53" t="n">
        <f aca="false">IF(AND($AB46&lt;&gt;"",$AC46&lt;&gt;""),$AC46-$AB46,"")</f>
        <v>16</v>
      </c>
      <c r="AM46" s="53" t="n">
        <f aca="false">IF(AND($AB46&lt;&gt;"",$AD46&lt;&gt;""),$AD46-$AB46,"")</f>
        <v>14</v>
      </c>
      <c r="AN46" s="53" t="n">
        <f aca="false">IF(AND($AC46&lt;&gt;"",$AD46&lt;&gt;""),$AD46-$AC46,"")</f>
        <v>-2</v>
      </c>
      <c r="AO46" s="53" t="str">
        <f aca="false">IF($J46&lt;&gt;"",$J46,"")</f>
        <v/>
      </c>
      <c r="AQ46" s="52" t="n">
        <f aca="false">IF($A46&lt;&gt;"",$A46,"")</f>
        <v>169</v>
      </c>
      <c r="AR46" s="55" t="n">
        <f aca="false">IF(AND('Choix pédagogiques'!$C$4&lt;&gt;"?",'Choix pédagogiques'!$C$5&lt;&gt;"?",W46&lt;&gt;""),(W46-'Choix pédagogiques'!$C$4)/('Choix pédagogiques'!$C$5-'Choix pédagogiques'!$C$4),"")</f>
        <v>0.2</v>
      </c>
      <c r="AS46" s="55" t="n">
        <f aca="false">IF(AND('Choix pédagogiques'!$C$4&lt;&gt;"?",'Choix pédagogiques'!$C$5&lt;&gt;"?",X46&lt;&gt;""),(X46-'Choix pédagogiques'!$C$4)/('Choix pédagogiques'!$C$5-'Choix pédagogiques'!$C$4),"")</f>
        <v>0.6</v>
      </c>
      <c r="AT46" s="55" t="n">
        <f aca="false">IF(AND('Choix pédagogiques'!$C$4&lt;&gt;"?",'Choix pédagogiques'!$C$5&lt;&gt;"?",Y46&lt;&gt;""),(Y46-'Choix pédagogiques'!$C$4)/('Choix pédagogiques'!$C$5-'Choix pédagogiques'!$C$4),"")</f>
        <v>0.5</v>
      </c>
      <c r="AU46" s="53" t="str">
        <f aca="false">IF($E46&lt;&gt;"",$E46,"")</f>
        <v/>
      </c>
      <c r="AV46" s="52" t="n">
        <f aca="false">IF($F46&lt;&gt;"",$F46,"")</f>
        <v>1333</v>
      </c>
      <c r="AW46" s="55" t="n">
        <f aca="false">IF(AND('Choix pédagogiques'!$C$4&lt;&gt;"?",'Choix pédagogiques'!$C$5&lt;&gt;"?",AB46&lt;&gt;""),(AB46-'Choix pédagogiques'!$C$4)/('Choix pédagogiques'!$C$5-'Choix pédagogiques'!$C$4),"")</f>
        <v>0.15</v>
      </c>
      <c r="AX46" s="55" t="n">
        <f aca="false">IF(AND('Choix pédagogiques'!$C$4&lt;&gt;"?",'Choix pédagogiques'!$C$5&lt;&gt;"?",AC46&lt;&gt;""),(AC46-'Choix pédagogiques'!$C$4)/('Choix pédagogiques'!$C$5-'Choix pédagogiques'!$C$4),"")</f>
        <v>0.95</v>
      </c>
      <c r="AY46" s="55" t="n">
        <f aca="false">IF(AND('Choix pédagogiques'!$C$4&lt;&gt;"?",'Choix pédagogiques'!$C$5&lt;&gt;"?",AD46&lt;&gt;""),(AD46-'Choix pédagogiques'!$C$4)/('Choix pédagogiques'!$C$5-'Choix pédagogiques'!$C$4),"")</f>
        <v>0.85</v>
      </c>
      <c r="AZ46" s="53" t="str">
        <f aca="false">IF($J46&lt;&gt;"",$J46,"")</f>
        <v/>
      </c>
      <c r="BA46" s="52" t="n">
        <f aca="false">IF($A46&lt;&gt;"",$A46,"")</f>
        <v>169</v>
      </c>
      <c r="BB46" s="55" t="n">
        <f aca="false">IF(AND($AR46&lt;&gt;"",$AS46&lt;&gt;""),$AS46-$AR46,"")</f>
        <v>0.4</v>
      </c>
      <c r="BC46" s="55" t="n">
        <f aca="false">IF(AND($AR46&lt;&gt;"",$AT46&lt;&gt;""),$AT46-$AR46,"")</f>
        <v>0.3</v>
      </c>
      <c r="BD46" s="55" t="n">
        <f aca="false">IF(AND($AS46&lt;&gt;"",$AT46&lt;&gt;""),$AT46-$AS46,"")</f>
        <v>-0.1</v>
      </c>
      <c r="BE46" s="53" t="str">
        <f aca="false">IF($E46&lt;&gt;"",$E46,"")</f>
        <v/>
      </c>
      <c r="BF46" s="52" t="n">
        <f aca="false">IF($F46&lt;&gt;"",$F46,"")</f>
        <v>1333</v>
      </c>
      <c r="BG46" s="55" t="n">
        <f aca="false">IF(AND($AW46&lt;&gt;"",$AX46&lt;&gt;""),$AX46-$AW46,"")</f>
        <v>0.8</v>
      </c>
      <c r="BH46" s="55" t="n">
        <f aca="false">IF(AND($AW46&lt;&gt;"",$AY46&lt;&gt;""),$AY46-$AW46,"")</f>
        <v>0.7</v>
      </c>
      <c r="BI46" s="55" t="n">
        <f aca="false">IF(AND($AX46&lt;&gt;"",$AY46&lt;&gt;""),$AY46-$AX46,"")</f>
        <v>-0.1</v>
      </c>
      <c r="BJ46" s="53" t="str">
        <f aca="false">IF($J46&lt;&gt;"",$J46,"")</f>
        <v/>
      </c>
      <c r="BL46" s="52"/>
      <c r="BM46" s="52" t="n">
        <f aca="false">IF(OR(COUNT(B46:D1045)=0,AND('Choix pédagogiques'!$C$3&lt;&gt;1,'Choix pédagogiques'!$C$3&lt;&gt;2)),"",IF(AND(OR('Choix pédagogiques'!$C$3=1,'Choix pédagogiques'!$C$3=2),$B46&lt;&gt;"",$C46&lt;&gt;"",$D46&lt;&gt;""),1,0))</f>
        <v>1</v>
      </c>
      <c r="BN46" s="52" t="n">
        <f aca="false">IF(OR(COUNT(G46:I1045)=0,AND('Choix pédagogiques'!$C$3&lt;&gt;1,'Choix pédagogiques'!$C$3&lt;&gt;2)),"",IF(AND(OR('Choix pédagogiques'!$C$3=1,'Choix pédagogiques'!$C$3=2),AND($G46&lt;&gt;"",$H46&lt;&gt;"",$I46&lt;&gt;"")),1,0))</f>
        <v>1</v>
      </c>
      <c r="BO46" s="52" t="str">
        <f aca="false">IF(OR(COUNT(B46:D1045)=0,COUNT(G46:I1045)=0,'Choix pédagogiques'!C$3&lt;&gt;3),"",IF(AND('Choix pédagogiques'!$C$3=3,$B46&lt;&gt;"",$C46&lt;&gt;"",$D46&lt;&gt;"",$G46&lt;&gt;"",$H46&lt;&gt;"",$I46&lt;&gt;""),1,0))</f>
        <v/>
      </c>
      <c r="BR46" s="52" t="n">
        <v>169</v>
      </c>
      <c r="BS46" s="52" t="n">
        <v>1333</v>
      </c>
    </row>
    <row r="47" s="54" customFormat="true" ht="18" hidden="false" customHeight="true" outlineLevel="0" collapsed="false">
      <c r="A47" s="49" t="n">
        <v>328</v>
      </c>
      <c r="B47" s="50" t="n">
        <v>2</v>
      </c>
      <c r="C47" s="50" t="n">
        <v>13</v>
      </c>
      <c r="D47" s="50" t="n">
        <v>10</v>
      </c>
      <c r="E47" s="51"/>
      <c r="F47" s="49" t="n">
        <v>1384</v>
      </c>
      <c r="G47" s="50" t="n">
        <v>5</v>
      </c>
      <c r="H47" s="50" t="n">
        <v>15</v>
      </c>
      <c r="I47" s="50" t="n">
        <v>15</v>
      </c>
      <c r="J47" s="51"/>
      <c r="K47" s="52" t="n">
        <f aca="false">IF($A47&lt;&gt;"",$A47,"")</f>
        <v>328</v>
      </c>
      <c r="L47" s="53" t="n">
        <f aca="false">IF(AND($B47&lt;&gt;"",$C47&lt;&gt;""),$C47-$B47,"")</f>
        <v>11</v>
      </c>
      <c r="M47" s="53" t="n">
        <f aca="false">IF(AND($B47&lt;&gt;"",$D47&lt;&gt;""),$D47-$B47,"")</f>
        <v>8</v>
      </c>
      <c r="N47" s="53" t="n">
        <f aca="false">IF(AND($C47&lt;&gt;"",$D47&lt;&gt;""),$D47-$C47,"")</f>
        <v>-3</v>
      </c>
      <c r="O47" s="53" t="str">
        <f aca="false">IF($E47&lt;&gt;"",$E47,"")</f>
        <v/>
      </c>
      <c r="P47" s="52" t="n">
        <f aca="false">IF($F47&lt;&gt;"",$F47,"")</f>
        <v>1384</v>
      </c>
      <c r="Q47" s="53" t="n">
        <f aca="false">IF(AND($G47&lt;&gt;"",$H47&lt;&gt;""),$H47-$G47,"")</f>
        <v>10</v>
      </c>
      <c r="R47" s="53" t="n">
        <f aca="false">IF(AND($G47&lt;&gt;"",$I47&lt;&gt;""),$I47-$G47,"")</f>
        <v>10</v>
      </c>
      <c r="S47" s="53" t="n">
        <f aca="false">IF(AND($H47&lt;&gt;"",$I47&lt;&gt;""),$I47-$H47,"")</f>
        <v>0</v>
      </c>
      <c r="T47" s="53" t="str">
        <f aca="false">IF($J47&lt;&gt;"",$J47,"")</f>
        <v/>
      </c>
      <c r="V47" s="52" t="n">
        <f aca="false">IF($A47&lt;&gt;"",$A47,"")</f>
        <v>328</v>
      </c>
      <c r="W47" s="53" t="n">
        <f aca="false">IF(AND(OR('Choix pédagogiques'!$C$3=1,'Choix pédagogiques'!$C$3=2),$BM47=1),B47,IF(AND('Choix pédagogiques'!$C$3=3,$BO47=1),B47,""))</f>
        <v>2</v>
      </c>
      <c r="X47" s="53" t="n">
        <f aca="false">IF(AND(OR('Choix pédagogiques'!$C$3=1,'Choix pédagogiques'!$C$3=2),$BM47=1),C47,IF(AND('Choix pédagogiques'!$C$3=3,$BO47=1),C47,""))</f>
        <v>13</v>
      </c>
      <c r="Y47" s="53" t="n">
        <f aca="false">IF(AND(OR('Choix pédagogiques'!$C$3=1,'Choix pédagogiques'!$C$3=2),$BM47=1),D47,IF(AND('Choix pédagogiques'!$C$3=3,$BO47=1),D47,""))</f>
        <v>10</v>
      </c>
      <c r="Z47" s="53" t="str">
        <f aca="false">IF($E47&lt;&gt;"",$E47,"")</f>
        <v/>
      </c>
      <c r="AA47" s="52" t="n">
        <f aca="false">IF($F47&lt;&gt;"",$F47,"")</f>
        <v>1384</v>
      </c>
      <c r="AB47" s="53" t="n">
        <f aca="false">IF(AND(OR('Choix pédagogiques'!$C$3=1,'Choix pédagogiques'!$C$3=2),$BN47=1),G47,IF(AND('Choix pédagogiques'!$C$3=3,$BO47=1),G47,""))</f>
        <v>5</v>
      </c>
      <c r="AC47" s="53" t="n">
        <f aca="false">IF(AND(OR('Choix pédagogiques'!$C$3=1,'Choix pédagogiques'!$C$3=2),$BN47=1),H47,IF(AND('Choix pédagogiques'!$C$3=3,$BO47=1),H47,""))</f>
        <v>15</v>
      </c>
      <c r="AD47" s="53" t="n">
        <f aca="false">IF(AND(OR('Choix pédagogiques'!$C$3=1,'Choix pédagogiques'!$C$3=2),$BN47=1),I47,IF(AND('Choix pédagogiques'!$C$3=3,$BO47=1),I47,""))</f>
        <v>15</v>
      </c>
      <c r="AE47" s="53" t="str">
        <f aca="false">IF($J47&lt;&gt;"",$J47,"")</f>
        <v/>
      </c>
      <c r="AF47" s="52" t="n">
        <f aca="false">IF($A47&lt;&gt;"",$A47,"")</f>
        <v>328</v>
      </c>
      <c r="AG47" s="53" t="n">
        <f aca="false">IF(AND($W47&lt;&gt;"",$X47&lt;&gt;""),$X47-$W47,"")</f>
        <v>11</v>
      </c>
      <c r="AH47" s="53" t="n">
        <f aca="false">IF(AND($W47&lt;&gt;"",$Y47&lt;&gt;""),$Y47-$W47,"")</f>
        <v>8</v>
      </c>
      <c r="AI47" s="53" t="n">
        <f aca="false">IF(AND($X47&lt;&gt;"",$Y47&lt;&gt;""),$Y47-$X47,"")</f>
        <v>-3</v>
      </c>
      <c r="AJ47" s="53" t="str">
        <f aca="false">IF($E47&lt;&gt;"",$E47,"")</f>
        <v/>
      </c>
      <c r="AK47" s="52" t="n">
        <f aca="false">IF($F47&lt;&gt;"",$F47,"")</f>
        <v>1384</v>
      </c>
      <c r="AL47" s="53" t="n">
        <f aca="false">IF(AND($AB47&lt;&gt;"",$AC47&lt;&gt;""),$AC47-$AB47,"")</f>
        <v>10</v>
      </c>
      <c r="AM47" s="53" t="n">
        <f aca="false">IF(AND($AB47&lt;&gt;"",$AD47&lt;&gt;""),$AD47-$AB47,"")</f>
        <v>10</v>
      </c>
      <c r="AN47" s="53" t="n">
        <f aca="false">IF(AND($AC47&lt;&gt;"",$AD47&lt;&gt;""),$AD47-$AC47,"")</f>
        <v>0</v>
      </c>
      <c r="AO47" s="53" t="str">
        <f aca="false">IF($J47&lt;&gt;"",$J47,"")</f>
        <v/>
      </c>
      <c r="AQ47" s="52" t="n">
        <f aca="false">IF($A47&lt;&gt;"",$A47,"")</f>
        <v>328</v>
      </c>
      <c r="AR47" s="55" t="n">
        <f aca="false">IF(AND('Choix pédagogiques'!$C$4&lt;&gt;"?",'Choix pédagogiques'!$C$5&lt;&gt;"?",W47&lt;&gt;""),(W47-'Choix pédagogiques'!$C$4)/('Choix pédagogiques'!$C$5-'Choix pédagogiques'!$C$4),"")</f>
        <v>0.1</v>
      </c>
      <c r="AS47" s="55" t="n">
        <f aca="false">IF(AND('Choix pédagogiques'!$C$4&lt;&gt;"?",'Choix pédagogiques'!$C$5&lt;&gt;"?",X47&lt;&gt;""),(X47-'Choix pédagogiques'!$C$4)/('Choix pédagogiques'!$C$5-'Choix pédagogiques'!$C$4),"")</f>
        <v>0.65</v>
      </c>
      <c r="AT47" s="55" t="n">
        <f aca="false">IF(AND('Choix pédagogiques'!$C$4&lt;&gt;"?",'Choix pédagogiques'!$C$5&lt;&gt;"?",Y47&lt;&gt;""),(Y47-'Choix pédagogiques'!$C$4)/('Choix pédagogiques'!$C$5-'Choix pédagogiques'!$C$4),"")</f>
        <v>0.5</v>
      </c>
      <c r="AU47" s="53" t="str">
        <f aca="false">IF($E47&lt;&gt;"",$E47,"")</f>
        <v/>
      </c>
      <c r="AV47" s="52" t="n">
        <f aca="false">IF($F47&lt;&gt;"",$F47,"")</f>
        <v>1384</v>
      </c>
      <c r="AW47" s="55" t="n">
        <f aca="false">IF(AND('Choix pédagogiques'!$C$4&lt;&gt;"?",'Choix pédagogiques'!$C$5&lt;&gt;"?",AB47&lt;&gt;""),(AB47-'Choix pédagogiques'!$C$4)/('Choix pédagogiques'!$C$5-'Choix pédagogiques'!$C$4),"")</f>
        <v>0.25</v>
      </c>
      <c r="AX47" s="55" t="n">
        <f aca="false">IF(AND('Choix pédagogiques'!$C$4&lt;&gt;"?",'Choix pédagogiques'!$C$5&lt;&gt;"?",AC47&lt;&gt;""),(AC47-'Choix pédagogiques'!$C$4)/('Choix pédagogiques'!$C$5-'Choix pédagogiques'!$C$4),"")</f>
        <v>0.75</v>
      </c>
      <c r="AY47" s="55" t="n">
        <f aca="false">IF(AND('Choix pédagogiques'!$C$4&lt;&gt;"?",'Choix pédagogiques'!$C$5&lt;&gt;"?",AD47&lt;&gt;""),(AD47-'Choix pédagogiques'!$C$4)/('Choix pédagogiques'!$C$5-'Choix pédagogiques'!$C$4),"")</f>
        <v>0.75</v>
      </c>
      <c r="AZ47" s="53" t="str">
        <f aca="false">IF($J47&lt;&gt;"",$J47,"")</f>
        <v/>
      </c>
      <c r="BA47" s="52" t="n">
        <f aca="false">IF($A47&lt;&gt;"",$A47,"")</f>
        <v>328</v>
      </c>
      <c r="BB47" s="55" t="n">
        <f aca="false">IF(AND($AR47&lt;&gt;"",$AS47&lt;&gt;""),$AS47-$AR47,"")</f>
        <v>0.55</v>
      </c>
      <c r="BC47" s="55" t="n">
        <f aca="false">IF(AND($AR47&lt;&gt;"",$AT47&lt;&gt;""),$AT47-$AR47,"")</f>
        <v>0.4</v>
      </c>
      <c r="BD47" s="55" t="n">
        <f aca="false">IF(AND($AS47&lt;&gt;"",$AT47&lt;&gt;""),$AT47-$AS47,"")</f>
        <v>-0.15</v>
      </c>
      <c r="BE47" s="53" t="str">
        <f aca="false">IF($E47&lt;&gt;"",$E47,"")</f>
        <v/>
      </c>
      <c r="BF47" s="52" t="n">
        <f aca="false">IF($F47&lt;&gt;"",$F47,"")</f>
        <v>1384</v>
      </c>
      <c r="BG47" s="55" t="n">
        <f aca="false">IF(AND($AW47&lt;&gt;"",$AX47&lt;&gt;""),$AX47-$AW47,"")</f>
        <v>0.5</v>
      </c>
      <c r="BH47" s="55" t="n">
        <f aca="false">IF(AND($AW47&lt;&gt;"",$AY47&lt;&gt;""),$AY47-$AW47,"")</f>
        <v>0.5</v>
      </c>
      <c r="BI47" s="55" t="n">
        <f aca="false">IF(AND($AX47&lt;&gt;"",$AY47&lt;&gt;""),$AY47-$AX47,"")</f>
        <v>0</v>
      </c>
      <c r="BJ47" s="53" t="str">
        <f aca="false">IF($J47&lt;&gt;"",$J47,"")</f>
        <v/>
      </c>
      <c r="BL47" s="52"/>
      <c r="BM47" s="52" t="n">
        <f aca="false">IF(OR(COUNT(B47:D1046)=0,AND('Choix pédagogiques'!$C$3&lt;&gt;1,'Choix pédagogiques'!$C$3&lt;&gt;2)),"",IF(AND(OR('Choix pédagogiques'!$C$3=1,'Choix pédagogiques'!$C$3=2),$B47&lt;&gt;"",$C47&lt;&gt;"",$D47&lt;&gt;""),1,0))</f>
        <v>1</v>
      </c>
      <c r="BN47" s="52" t="n">
        <f aca="false">IF(OR(COUNT(G47:I1046)=0,AND('Choix pédagogiques'!$C$3&lt;&gt;1,'Choix pédagogiques'!$C$3&lt;&gt;2)),"",IF(AND(OR('Choix pédagogiques'!$C$3=1,'Choix pédagogiques'!$C$3=2),AND($G47&lt;&gt;"",$H47&lt;&gt;"",$I47&lt;&gt;"")),1,0))</f>
        <v>1</v>
      </c>
      <c r="BO47" s="52" t="str">
        <f aca="false">IF(OR(COUNT(B47:D1046)=0,COUNT(G47:I1046)=0,'Choix pédagogiques'!C$3&lt;&gt;3),"",IF(AND('Choix pédagogiques'!$C$3=3,$B47&lt;&gt;"",$C47&lt;&gt;"",$D47&lt;&gt;"",$G47&lt;&gt;"",$H47&lt;&gt;"",$I47&lt;&gt;""),1,0))</f>
        <v/>
      </c>
      <c r="BR47" s="52" t="n">
        <v>328</v>
      </c>
      <c r="BS47" s="52" t="n">
        <v>1384</v>
      </c>
    </row>
    <row r="48" s="54" customFormat="true" ht="18" hidden="false" customHeight="true" outlineLevel="0" collapsed="false">
      <c r="A48" s="49" t="n">
        <v>762</v>
      </c>
      <c r="B48" s="50" t="n">
        <v>0</v>
      </c>
      <c r="C48" s="50" t="n">
        <v>13</v>
      </c>
      <c r="D48" s="50" t="n">
        <v>11</v>
      </c>
      <c r="E48" s="51"/>
      <c r="F48" s="49" t="n">
        <v>1945</v>
      </c>
      <c r="G48" s="50" t="n">
        <v>4</v>
      </c>
      <c r="H48" s="50" t="n">
        <v>15</v>
      </c>
      <c r="I48" s="50" t="n">
        <v>16</v>
      </c>
      <c r="J48" s="51"/>
      <c r="K48" s="52" t="n">
        <f aca="false">IF($A48&lt;&gt;"",$A48,"")</f>
        <v>762</v>
      </c>
      <c r="L48" s="53" t="n">
        <f aca="false">IF(AND($B48&lt;&gt;"",$C48&lt;&gt;""),$C48-$B48,"")</f>
        <v>13</v>
      </c>
      <c r="M48" s="53" t="n">
        <f aca="false">IF(AND($B48&lt;&gt;"",$D48&lt;&gt;""),$D48-$B48,"")</f>
        <v>11</v>
      </c>
      <c r="N48" s="53" t="n">
        <f aca="false">IF(AND($C48&lt;&gt;"",$D48&lt;&gt;""),$D48-$C48,"")</f>
        <v>-2</v>
      </c>
      <c r="O48" s="53" t="str">
        <f aca="false">IF($E48&lt;&gt;"",$E48,"")</f>
        <v/>
      </c>
      <c r="P48" s="52" t="n">
        <f aca="false">IF($F48&lt;&gt;"",$F48,"")</f>
        <v>1945</v>
      </c>
      <c r="Q48" s="53" t="n">
        <f aca="false">IF(AND($G48&lt;&gt;"",$H48&lt;&gt;""),$H48-$G48,"")</f>
        <v>11</v>
      </c>
      <c r="R48" s="53" t="n">
        <f aca="false">IF(AND($G48&lt;&gt;"",$I48&lt;&gt;""),$I48-$G48,"")</f>
        <v>12</v>
      </c>
      <c r="S48" s="53" t="n">
        <f aca="false">IF(AND($H48&lt;&gt;"",$I48&lt;&gt;""),$I48-$H48,"")</f>
        <v>1</v>
      </c>
      <c r="T48" s="53" t="str">
        <f aca="false">IF($J48&lt;&gt;"",$J48,"")</f>
        <v/>
      </c>
      <c r="V48" s="52" t="n">
        <f aca="false">IF($A48&lt;&gt;"",$A48,"")</f>
        <v>762</v>
      </c>
      <c r="W48" s="53" t="n">
        <f aca="false">IF(AND(OR('Choix pédagogiques'!$C$3=1,'Choix pédagogiques'!$C$3=2),$BM48=1),B48,IF(AND('Choix pédagogiques'!$C$3=3,$BO48=1),B48,""))</f>
        <v>0</v>
      </c>
      <c r="X48" s="53" t="n">
        <f aca="false">IF(AND(OR('Choix pédagogiques'!$C$3=1,'Choix pédagogiques'!$C$3=2),$BM48=1),C48,IF(AND('Choix pédagogiques'!$C$3=3,$BO48=1),C48,""))</f>
        <v>13</v>
      </c>
      <c r="Y48" s="53" t="n">
        <f aca="false">IF(AND(OR('Choix pédagogiques'!$C$3=1,'Choix pédagogiques'!$C$3=2),$BM48=1),D48,IF(AND('Choix pédagogiques'!$C$3=3,$BO48=1),D48,""))</f>
        <v>11</v>
      </c>
      <c r="Z48" s="53" t="str">
        <f aca="false">IF($E48&lt;&gt;"",$E48,"")</f>
        <v/>
      </c>
      <c r="AA48" s="52" t="n">
        <f aca="false">IF($F48&lt;&gt;"",$F48,"")</f>
        <v>1945</v>
      </c>
      <c r="AB48" s="53" t="n">
        <f aca="false">IF(AND(OR('Choix pédagogiques'!$C$3=1,'Choix pédagogiques'!$C$3=2),$BN48=1),G48,IF(AND('Choix pédagogiques'!$C$3=3,$BO48=1),G48,""))</f>
        <v>4</v>
      </c>
      <c r="AC48" s="53" t="n">
        <f aca="false">IF(AND(OR('Choix pédagogiques'!$C$3=1,'Choix pédagogiques'!$C$3=2),$BN48=1),H48,IF(AND('Choix pédagogiques'!$C$3=3,$BO48=1),H48,""))</f>
        <v>15</v>
      </c>
      <c r="AD48" s="53" t="n">
        <f aca="false">IF(AND(OR('Choix pédagogiques'!$C$3=1,'Choix pédagogiques'!$C$3=2),$BN48=1),I48,IF(AND('Choix pédagogiques'!$C$3=3,$BO48=1),I48,""))</f>
        <v>16</v>
      </c>
      <c r="AE48" s="53" t="str">
        <f aca="false">IF($J48&lt;&gt;"",$J48,"")</f>
        <v/>
      </c>
      <c r="AF48" s="52" t="n">
        <f aca="false">IF($A48&lt;&gt;"",$A48,"")</f>
        <v>762</v>
      </c>
      <c r="AG48" s="53" t="n">
        <f aca="false">IF(AND($W48&lt;&gt;"",$X48&lt;&gt;""),$X48-$W48,"")</f>
        <v>13</v>
      </c>
      <c r="AH48" s="53" t="n">
        <f aca="false">IF(AND($W48&lt;&gt;"",$Y48&lt;&gt;""),$Y48-$W48,"")</f>
        <v>11</v>
      </c>
      <c r="AI48" s="53" t="n">
        <f aca="false">IF(AND($X48&lt;&gt;"",$Y48&lt;&gt;""),$Y48-$X48,"")</f>
        <v>-2</v>
      </c>
      <c r="AJ48" s="53" t="str">
        <f aca="false">IF($E48&lt;&gt;"",$E48,"")</f>
        <v/>
      </c>
      <c r="AK48" s="52" t="n">
        <f aca="false">IF($F48&lt;&gt;"",$F48,"")</f>
        <v>1945</v>
      </c>
      <c r="AL48" s="53" t="n">
        <f aca="false">IF(AND($AB48&lt;&gt;"",$AC48&lt;&gt;""),$AC48-$AB48,"")</f>
        <v>11</v>
      </c>
      <c r="AM48" s="53" t="n">
        <f aca="false">IF(AND($AB48&lt;&gt;"",$AD48&lt;&gt;""),$AD48-$AB48,"")</f>
        <v>12</v>
      </c>
      <c r="AN48" s="53" t="n">
        <f aca="false">IF(AND($AC48&lt;&gt;"",$AD48&lt;&gt;""),$AD48-$AC48,"")</f>
        <v>1</v>
      </c>
      <c r="AO48" s="53" t="str">
        <f aca="false">IF($J48&lt;&gt;"",$J48,"")</f>
        <v/>
      </c>
      <c r="AQ48" s="52" t="n">
        <f aca="false">IF($A48&lt;&gt;"",$A48,"")</f>
        <v>762</v>
      </c>
      <c r="AR48" s="55" t="n">
        <f aca="false">IF(AND('Choix pédagogiques'!$C$4&lt;&gt;"?",'Choix pédagogiques'!$C$5&lt;&gt;"?",W48&lt;&gt;""),(W48-'Choix pédagogiques'!$C$4)/('Choix pédagogiques'!$C$5-'Choix pédagogiques'!$C$4),"")</f>
        <v>0</v>
      </c>
      <c r="AS48" s="55" t="n">
        <f aca="false">IF(AND('Choix pédagogiques'!$C$4&lt;&gt;"?",'Choix pédagogiques'!$C$5&lt;&gt;"?",X48&lt;&gt;""),(X48-'Choix pédagogiques'!$C$4)/('Choix pédagogiques'!$C$5-'Choix pédagogiques'!$C$4),"")</f>
        <v>0.65</v>
      </c>
      <c r="AT48" s="55" t="n">
        <f aca="false">IF(AND('Choix pédagogiques'!$C$4&lt;&gt;"?",'Choix pédagogiques'!$C$5&lt;&gt;"?",Y48&lt;&gt;""),(Y48-'Choix pédagogiques'!$C$4)/('Choix pédagogiques'!$C$5-'Choix pédagogiques'!$C$4),"")</f>
        <v>0.55</v>
      </c>
      <c r="AU48" s="53" t="str">
        <f aca="false">IF($E48&lt;&gt;"",$E48,"")</f>
        <v/>
      </c>
      <c r="AV48" s="52" t="n">
        <f aca="false">IF($F48&lt;&gt;"",$F48,"")</f>
        <v>1945</v>
      </c>
      <c r="AW48" s="55" t="n">
        <f aca="false">IF(AND('Choix pédagogiques'!$C$4&lt;&gt;"?",'Choix pédagogiques'!$C$5&lt;&gt;"?",AB48&lt;&gt;""),(AB48-'Choix pédagogiques'!$C$4)/('Choix pédagogiques'!$C$5-'Choix pédagogiques'!$C$4),"")</f>
        <v>0.2</v>
      </c>
      <c r="AX48" s="55" t="n">
        <f aca="false">IF(AND('Choix pédagogiques'!$C$4&lt;&gt;"?",'Choix pédagogiques'!$C$5&lt;&gt;"?",AC48&lt;&gt;""),(AC48-'Choix pédagogiques'!$C$4)/('Choix pédagogiques'!$C$5-'Choix pédagogiques'!$C$4),"")</f>
        <v>0.75</v>
      </c>
      <c r="AY48" s="55" t="n">
        <f aca="false">IF(AND('Choix pédagogiques'!$C$4&lt;&gt;"?",'Choix pédagogiques'!$C$5&lt;&gt;"?",AD48&lt;&gt;""),(AD48-'Choix pédagogiques'!$C$4)/('Choix pédagogiques'!$C$5-'Choix pédagogiques'!$C$4),"")</f>
        <v>0.8</v>
      </c>
      <c r="AZ48" s="53" t="str">
        <f aca="false">IF($J48&lt;&gt;"",$J48,"")</f>
        <v/>
      </c>
      <c r="BA48" s="52" t="n">
        <f aca="false">IF($A48&lt;&gt;"",$A48,"")</f>
        <v>762</v>
      </c>
      <c r="BB48" s="55" t="n">
        <f aca="false">IF(AND($AR48&lt;&gt;"",$AS48&lt;&gt;""),$AS48-$AR48,"")</f>
        <v>0.65</v>
      </c>
      <c r="BC48" s="55" t="n">
        <f aca="false">IF(AND($AR48&lt;&gt;"",$AT48&lt;&gt;""),$AT48-$AR48,"")</f>
        <v>0.55</v>
      </c>
      <c r="BD48" s="55" t="n">
        <f aca="false">IF(AND($AS48&lt;&gt;"",$AT48&lt;&gt;""),$AT48-$AS48,"")</f>
        <v>-0.1</v>
      </c>
      <c r="BE48" s="53" t="str">
        <f aca="false">IF($E48&lt;&gt;"",$E48,"")</f>
        <v/>
      </c>
      <c r="BF48" s="52" t="n">
        <f aca="false">IF($F48&lt;&gt;"",$F48,"")</f>
        <v>1945</v>
      </c>
      <c r="BG48" s="55" t="n">
        <f aca="false">IF(AND($AW48&lt;&gt;"",$AX48&lt;&gt;""),$AX48-$AW48,"")</f>
        <v>0.55</v>
      </c>
      <c r="BH48" s="55" t="n">
        <f aca="false">IF(AND($AW48&lt;&gt;"",$AY48&lt;&gt;""),$AY48-$AW48,"")</f>
        <v>0.6</v>
      </c>
      <c r="BI48" s="55" t="n">
        <f aca="false">IF(AND($AX48&lt;&gt;"",$AY48&lt;&gt;""),$AY48-$AX48,"")</f>
        <v>0.05</v>
      </c>
      <c r="BJ48" s="53" t="str">
        <f aca="false">IF($J48&lt;&gt;"",$J48,"")</f>
        <v/>
      </c>
      <c r="BL48" s="52"/>
      <c r="BM48" s="52" t="n">
        <f aca="false">IF(OR(COUNT(B48:D1047)=0,AND('Choix pédagogiques'!$C$3&lt;&gt;1,'Choix pédagogiques'!$C$3&lt;&gt;2)),"",IF(AND(OR('Choix pédagogiques'!$C$3=1,'Choix pédagogiques'!$C$3=2),$B48&lt;&gt;"",$C48&lt;&gt;"",$D48&lt;&gt;""),1,0))</f>
        <v>1</v>
      </c>
      <c r="BN48" s="52" t="n">
        <f aca="false">IF(OR(COUNT(G48:I1047)=0,AND('Choix pédagogiques'!$C$3&lt;&gt;1,'Choix pédagogiques'!$C$3&lt;&gt;2)),"",IF(AND(OR('Choix pédagogiques'!$C$3=1,'Choix pédagogiques'!$C$3=2),AND($G48&lt;&gt;"",$H48&lt;&gt;"",$I48&lt;&gt;"")),1,0))</f>
        <v>1</v>
      </c>
      <c r="BO48" s="52" t="str">
        <f aca="false">IF(OR(COUNT(B48:D1047)=0,COUNT(G48:I1047)=0,'Choix pédagogiques'!C$3&lt;&gt;3),"",IF(AND('Choix pédagogiques'!$C$3=3,$B48&lt;&gt;"",$C48&lt;&gt;"",$D48&lt;&gt;"",$G48&lt;&gt;"",$H48&lt;&gt;"",$I48&lt;&gt;""),1,0))</f>
        <v/>
      </c>
      <c r="BR48" s="52" t="n">
        <v>762</v>
      </c>
      <c r="BS48" s="52" t="n">
        <v>1945</v>
      </c>
    </row>
    <row r="49" s="54" customFormat="true" ht="18" hidden="false" customHeight="true" outlineLevel="0" collapsed="false">
      <c r="A49" s="49" t="n">
        <v>353</v>
      </c>
      <c r="B49" s="50" t="n">
        <v>1</v>
      </c>
      <c r="C49" s="50" t="n">
        <v>14</v>
      </c>
      <c r="D49" s="50" t="n">
        <v>14</v>
      </c>
      <c r="E49" s="51"/>
      <c r="F49" s="49" t="n">
        <v>1287</v>
      </c>
      <c r="G49" s="50"/>
      <c r="H49" s="50" t="n">
        <v>13</v>
      </c>
      <c r="I49" s="50" t="n">
        <v>12</v>
      </c>
      <c r="J49" s="51"/>
      <c r="K49" s="52" t="n">
        <f aca="false">IF($A49&lt;&gt;"",$A49,"")</f>
        <v>353</v>
      </c>
      <c r="L49" s="53" t="n">
        <f aca="false">IF(AND($B49&lt;&gt;"",$C49&lt;&gt;""),$C49-$B49,"")</f>
        <v>13</v>
      </c>
      <c r="M49" s="53" t="n">
        <f aca="false">IF(AND($B49&lt;&gt;"",$D49&lt;&gt;""),$D49-$B49,"")</f>
        <v>13</v>
      </c>
      <c r="N49" s="53" t="n">
        <f aca="false">IF(AND($C49&lt;&gt;"",$D49&lt;&gt;""),$D49-$C49,"")</f>
        <v>0</v>
      </c>
      <c r="O49" s="53" t="str">
        <f aca="false">IF($E49&lt;&gt;"",$E49,"")</f>
        <v/>
      </c>
      <c r="P49" s="52" t="n">
        <f aca="false">IF($F49&lt;&gt;"",$F49,"")</f>
        <v>1287</v>
      </c>
      <c r="Q49" s="53" t="str">
        <f aca="false">IF(AND($G49&lt;&gt;"",$H49&lt;&gt;""),$H49-$G49,"")</f>
        <v/>
      </c>
      <c r="R49" s="53" t="str">
        <f aca="false">IF(AND($G49&lt;&gt;"",$I49&lt;&gt;""),$I49-$G49,"")</f>
        <v/>
      </c>
      <c r="S49" s="53" t="n">
        <f aca="false">IF(AND($H49&lt;&gt;"",$I49&lt;&gt;""),$I49-$H49,"")</f>
        <v>-1</v>
      </c>
      <c r="T49" s="53" t="str">
        <f aca="false">IF($J49&lt;&gt;"",$J49,"")</f>
        <v/>
      </c>
      <c r="V49" s="52" t="n">
        <f aca="false">IF($A49&lt;&gt;"",$A49,"")</f>
        <v>353</v>
      </c>
      <c r="W49" s="53" t="n">
        <f aca="false">IF(AND(OR('Choix pédagogiques'!$C$3=1,'Choix pédagogiques'!$C$3=2),$BM49=1),B49,IF(AND('Choix pédagogiques'!$C$3=3,$BO49=1),B49,""))</f>
        <v>1</v>
      </c>
      <c r="X49" s="53" t="n">
        <f aca="false">IF(AND(OR('Choix pédagogiques'!$C$3=1,'Choix pédagogiques'!$C$3=2),$BM49=1),C49,IF(AND('Choix pédagogiques'!$C$3=3,$BO49=1),C49,""))</f>
        <v>14</v>
      </c>
      <c r="Y49" s="53" t="n">
        <f aca="false">IF(AND(OR('Choix pédagogiques'!$C$3=1,'Choix pédagogiques'!$C$3=2),$BM49=1),D49,IF(AND('Choix pédagogiques'!$C$3=3,$BO49=1),D49,""))</f>
        <v>14</v>
      </c>
      <c r="Z49" s="53" t="str">
        <f aca="false">IF($E49&lt;&gt;"",$E49,"")</f>
        <v/>
      </c>
      <c r="AA49" s="52" t="n">
        <f aca="false">IF($F49&lt;&gt;"",$F49,"")</f>
        <v>1287</v>
      </c>
      <c r="AB49" s="53" t="str">
        <f aca="false">IF(AND(OR('Choix pédagogiques'!$C$3=1,'Choix pédagogiques'!$C$3=2),$BN49=1),G49,IF(AND('Choix pédagogiques'!$C$3=3,$BO49=1),G49,""))</f>
        <v/>
      </c>
      <c r="AC49" s="53" t="str">
        <f aca="false">IF(AND(OR('Choix pédagogiques'!$C$3=1,'Choix pédagogiques'!$C$3=2),$BN49=1),H49,IF(AND('Choix pédagogiques'!$C$3=3,$BO49=1),H49,""))</f>
        <v/>
      </c>
      <c r="AD49" s="53" t="str">
        <f aca="false">IF(AND(OR('Choix pédagogiques'!$C$3=1,'Choix pédagogiques'!$C$3=2),$BN49=1),I49,IF(AND('Choix pédagogiques'!$C$3=3,$BO49=1),I49,""))</f>
        <v/>
      </c>
      <c r="AE49" s="53" t="str">
        <f aca="false">IF($J49&lt;&gt;"",$J49,"")</f>
        <v/>
      </c>
      <c r="AF49" s="52" t="n">
        <f aca="false">IF($A49&lt;&gt;"",$A49,"")</f>
        <v>353</v>
      </c>
      <c r="AG49" s="53" t="n">
        <f aca="false">IF(AND($W49&lt;&gt;"",$X49&lt;&gt;""),$X49-$W49,"")</f>
        <v>13</v>
      </c>
      <c r="AH49" s="53" t="n">
        <f aca="false">IF(AND($W49&lt;&gt;"",$Y49&lt;&gt;""),$Y49-$W49,"")</f>
        <v>13</v>
      </c>
      <c r="AI49" s="53" t="n">
        <f aca="false">IF(AND($X49&lt;&gt;"",$Y49&lt;&gt;""),$Y49-$X49,"")</f>
        <v>0</v>
      </c>
      <c r="AJ49" s="53" t="str">
        <f aca="false">IF($E49&lt;&gt;"",$E49,"")</f>
        <v/>
      </c>
      <c r="AK49" s="52" t="n">
        <f aca="false">IF($F49&lt;&gt;"",$F49,"")</f>
        <v>1287</v>
      </c>
      <c r="AL49" s="53" t="str">
        <f aca="false">IF(AND($AB49&lt;&gt;"",$AC49&lt;&gt;""),$AC49-$AB49,"")</f>
        <v/>
      </c>
      <c r="AM49" s="53" t="str">
        <f aca="false">IF(AND($AB49&lt;&gt;"",$AD49&lt;&gt;""),$AD49-$AB49,"")</f>
        <v/>
      </c>
      <c r="AN49" s="53" t="str">
        <f aca="false">IF(AND($AC49&lt;&gt;"",$AD49&lt;&gt;""),$AD49-$AC49,"")</f>
        <v/>
      </c>
      <c r="AO49" s="53" t="str">
        <f aca="false">IF($J49&lt;&gt;"",$J49,"")</f>
        <v/>
      </c>
      <c r="AQ49" s="52" t="n">
        <f aca="false">IF($A49&lt;&gt;"",$A49,"")</f>
        <v>353</v>
      </c>
      <c r="AR49" s="55" t="n">
        <f aca="false">IF(AND('Choix pédagogiques'!$C$4&lt;&gt;"?",'Choix pédagogiques'!$C$5&lt;&gt;"?",W49&lt;&gt;""),(W49-'Choix pédagogiques'!$C$4)/('Choix pédagogiques'!$C$5-'Choix pédagogiques'!$C$4),"")</f>
        <v>0.05</v>
      </c>
      <c r="AS49" s="55" t="n">
        <f aca="false">IF(AND('Choix pédagogiques'!$C$4&lt;&gt;"?",'Choix pédagogiques'!$C$5&lt;&gt;"?",X49&lt;&gt;""),(X49-'Choix pédagogiques'!$C$4)/('Choix pédagogiques'!$C$5-'Choix pédagogiques'!$C$4),"")</f>
        <v>0.7</v>
      </c>
      <c r="AT49" s="55" t="n">
        <f aca="false">IF(AND('Choix pédagogiques'!$C$4&lt;&gt;"?",'Choix pédagogiques'!$C$5&lt;&gt;"?",Y49&lt;&gt;""),(Y49-'Choix pédagogiques'!$C$4)/('Choix pédagogiques'!$C$5-'Choix pédagogiques'!$C$4),"")</f>
        <v>0.7</v>
      </c>
      <c r="AU49" s="53" t="str">
        <f aca="false">IF($E49&lt;&gt;"",$E49,"")</f>
        <v/>
      </c>
      <c r="AV49" s="52" t="n">
        <f aca="false">IF($F49&lt;&gt;"",$F49,"")</f>
        <v>1287</v>
      </c>
      <c r="AW49" s="55" t="str">
        <f aca="false">IF(AND('Choix pédagogiques'!$C$4&lt;&gt;"?",'Choix pédagogiques'!$C$5&lt;&gt;"?",AB49&lt;&gt;""),(AB49-'Choix pédagogiques'!$C$4)/('Choix pédagogiques'!$C$5-'Choix pédagogiques'!$C$4),"")</f>
        <v/>
      </c>
      <c r="AX49" s="55" t="str">
        <f aca="false">IF(AND('Choix pédagogiques'!$C$4&lt;&gt;"?",'Choix pédagogiques'!$C$5&lt;&gt;"?",AC49&lt;&gt;""),(AC49-'Choix pédagogiques'!$C$4)/('Choix pédagogiques'!$C$5-'Choix pédagogiques'!$C$4),"")</f>
        <v/>
      </c>
      <c r="AY49" s="55" t="str">
        <f aca="false">IF(AND('Choix pédagogiques'!$C$4&lt;&gt;"?",'Choix pédagogiques'!$C$5&lt;&gt;"?",AD49&lt;&gt;""),(AD49-'Choix pédagogiques'!$C$4)/('Choix pédagogiques'!$C$5-'Choix pédagogiques'!$C$4),"")</f>
        <v/>
      </c>
      <c r="AZ49" s="53" t="str">
        <f aca="false">IF($J49&lt;&gt;"",$J49,"")</f>
        <v/>
      </c>
      <c r="BA49" s="52" t="n">
        <f aca="false">IF($A49&lt;&gt;"",$A49,"")</f>
        <v>353</v>
      </c>
      <c r="BB49" s="55" t="n">
        <f aca="false">IF(AND($AR49&lt;&gt;"",$AS49&lt;&gt;""),$AS49-$AR49,"")</f>
        <v>0.65</v>
      </c>
      <c r="BC49" s="55" t="n">
        <f aca="false">IF(AND($AR49&lt;&gt;"",$AT49&lt;&gt;""),$AT49-$AR49,"")</f>
        <v>0.65</v>
      </c>
      <c r="BD49" s="55" t="n">
        <f aca="false">IF(AND($AS49&lt;&gt;"",$AT49&lt;&gt;""),$AT49-$AS49,"")</f>
        <v>0</v>
      </c>
      <c r="BE49" s="53" t="str">
        <f aca="false">IF($E49&lt;&gt;"",$E49,"")</f>
        <v/>
      </c>
      <c r="BF49" s="52" t="n">
        <f aca="false">IF($F49&lt;&gt;"",$F49,"")</f>
        <v>1287</v>
      </c>
      <c r="BG49" s="55" t="str">
        <f aca="false">IF(AND($AW49&lt;&gt;"",$AX49&lt;&gt;""),$AX49-$AW49,"")</f>
        <v/>
      </c>
      <c r="BH49" s="55" t="str">
        <f aca="false">IF(AND($AW49&lt;&gt;"",$AY49&lt;&gt;""),$AY49-$AW49,"")</f>
        <v/>
      </c>
      <c r="BI49" s="55" t="str">
        <f aca="false">IF(AND($AX49&lt;&gt;"",$AY49&lt;&gt;""),$AY49-$AX49,"")</f>
        <v/>
      </c>
      <c r="BJ49" s="53" t="str">
        <f aca="false">IF($J49&lt;&gt;"",$J49,"")</f>
        <v/>
      </c>
      <c r="BL49" s="52"/>
      <c r="BM49" s="52" t="n">
        <f aca="false">IF(OR(COUNT(B49:D1048)=0,AND('Choix pédagogiques'!$C$3&lt;&gt;1,'Choix pédagogiques'!$C$3&lt;&gt;2)),"",IF(AND(OR('Choix pédagogiques'!$C$3=1,'Choix pédagogiques'!$C$3=2),$B49&lt;&gt;"",$C49&lt;&gt;"",$D49&lt;&gt;""),1,0))</f>
        <v>1</v>
      </c>
      <c r="BN49" s="52" t="n">
        <f aca="false">IF(OR(COUNT(G49:I1048)=0,AND('Choix pédagogiques'!$C$3&lt;&gt;1,'Choix pédagogiques'!$C$3&lt;&gt;2)),"",IF(AND(OR('Choix pédagogiques'!$C$3=1,'Choix pédagogiques'!$C$3=2),AND($G49&lt;&gt;"",$H49&lt;&gt;"",$I49&lt;&gt;"")),1,0))</f>
        <v>0</v>
      </c>
      <c r="BO49" s="52" t="str">
        <f aca="false">IF(OR(COUNT(B49:D1048)=0,COUNT(G49:I1048)=0,'Choix pédagogiques'!C$3&lt;&gt;3),"",IF(AND('Choix pédagogiques'!$C$3=3,$B49&lt;&gt;"",$C49&lt;&gt;"",$D49&lt;&gt;"",$G49&lt;&gt;"",$H49&lt;&gt;"",$I49&lt;&gt;""),1,0))</f>
        <v/>
      </c>
      <c r="BR49" s="52" t="n">
        <v>353</v>
      </c>
      <c r="BS49" s="52" t="n">
        <v>1287</v>
      </c>
    </row>
    <row r="50" s="54" customFormat="true" ht="18" hidden="false" customHeight="true" outlineLevel="0" collapsed="false">
      <c r="A50" s="49" t="n">
        <v>701</v>
      </c>
      <c r="B50" s="50" t="n">
        <v>2</v>
      </c>
      <c r="C50" s="50" t="n">
        <v>11</v>
      </c>
      <c r="D50" s="50" t="n">
        <v>8</v>
      </c>
      <c r="E50" s="51"/>
      <c r="F50" s="49" t="n">
        <v>1447</v>
      </c>
      <c r="G50" s="50" t="n">
        <v>3</v>
      </c>
      <c r="H50" s="50" t="n">
        <v>18</v>
      </c>
      <c r="I50" s="50" t="n">
        <v>17</v>
      </c>
      <c r="J50" s="51"/>
      <c r="K50" s="52" t="n">
        <f aca="false">IF($A50&lt;&gt;"",$A50,"")</f>
        <v>701</v>
      </c>
      <c r="L50" s="53" t="n">
        <f aca="false">IF(AND($B50&lt;&gt;"",$C50&lt;&gt;""),$C50-$B50,"")</f>
        <v>9</v>
      </c>
      <c r="M50" s="53" t="n">
        <f aca="false">IF(AND($B50&lt;&gt;"",$D50&lt;&gt;""),$D50-$B50,"")</f>
        <v>6</v>
      </c>
      <c r="N50" s="53" t="n">
        <f aca="false">IF(AND($C50&lt;&gt;"",$D50&lt;&gt;""),$D50-$C50,"")</f>
        <v>-3</v>
      </c>
      <c r="O50" s="53" t="str">
        <f aca="false">IF($E50&lt;&gt;"",$E50,"")</f>
        <v/>
      </c>
      <c r="P50" s="52" t="n">
        <f aca="false">IF($F50&lt;&gt;"",$F50,"")</f>
        <v>1447</v>
      </c>
      <c r="Q50" s="53" t="n">
        <f aca="false">IF(AND($G50&lt;&gt;"",$H50&lt;&gt;""),$H50-$G50,"")</f>
        <v>15</v>
      </c>
      <c r="R50" s="53" t="n">
        <f aca="false">IF(AND($G50&lt;&gt;"",$I50&lt;&gt;""),$I50-$G50,"")</f>
        <v>14</v>
      </c>
      <c r="S50" s="53" t="n">
        <f aca="false">IF(AND($H50&lt;&gt;"",$I50&lt;&gt;""),$I50-$H50,"")</f>
        <v>-1</v>
      </c>
      <c r="T50" s="53" t="str">
        <f aca="false">IF($J50&lt;&gt;"",$J50,"")</f>
        <v/>
      </c>
      <c r="V50" s="52" t="n">
        <f aca="false">IF($A50&lt;&gt;"",$A50,"")</f>
        <v>701</v>
      </c>
      <c r="W50" s="53" t="n">
        <f aca="false">IF(AND(OR('Choix pédagogiques'!$C$3=1,'Choix pédagogiques'!$C$3=2),$BM50=1),B50,IF(AND('Choix pédagogiques'!$C$3=3,$BO50=1),B50,""))</f>
        <v>2</v>
      </c>
      <c r="X50" s="53" t="n">
        <f aca="false">IF(AND(OR('Choix pédagogiques'!$C$3=1,'Choix pédagogiques'!$C$3=2),$BM50=1),C50,IF(AND('Choix pédagogiques'!$C$3=3,$BO50=1),C50,""))</f>
        <v>11</v>
      </c>
      <c r="Y50" s="53" t="n">
        <f aca="false">IF(AND(OR('Choix pédagogiques'!$C$3=1,'Choix pédagogiques'!$C$3=2),$BM50=1),D50,IF(AND('Choix pédagogiques'!$C$3=3,$BO50=1),D50,""))</f>
        <v>8</v>
      </c>
      <c r="Z50" s="53" t="str">
        <f aca="false">IF($E50&lt;&gt;"",$E50,"")</f>
        <v/>
      </c>
      <c r="AA50" s="52" t="n">
        <f aca="false">IF($F50&lt;&gt;"",$F50,"")</f>
        <v>1447</v>
      </c>
      <c r="AB50" s="53" t="n">
        <f aca="false">IF(AND(OR('Choix pédagogiques'!$C$3=1,'Choix pédagogiques'!$C$3=2),$BN50=1),G50,IF(AND('Choix pédagogiques'!$C$3=3,$BO50=1),G50,""))</f>
        <v>3</v>
      </c>
      <c r="AC50" s="53" t="n">
        <f aca="false">IF(AND(OR('Choix pédagogiques'!$C$3=1,'Choix pédagogiques'!$C$3=2),$BN50=1),H50,IF(AND('Choix pédagogiques'!$C$3=3,$BO50=1),H50,""))</f>
        <v>18</v>
      </c>
      <c r="AD50" s="53" t="n">
        <f aca="false">IF(AND(OR('Choix pédagogiques'!$C$3=1,'Choix pédagogiques'!$C$3=2),$BN50=1),I50,IF(AND('Choix pédagogiques'!$C$3=3,$BO50=1),I50,""))</f>
        <v>17</v>
      </c>
      <c r="AE50" s="53" t="str">
        <f aca="false">IF($J50&lt;&gt;"",$J50,"")</f>
        <v/>
      </c>
      <c r="AF50" s="52" t="n">
        <f aca="false">IF($A50&lt;&gt;"",$A50,"")</f>
        <v>701</v>
      </c>
      <c r="AG50" s="53" t="n">
        <f aca="false">IF(AND($W50&lt;&gt;"",$X50&lt;&gt;""),$X50-$W50,"")</f>
        <v>9</v>
      </c>
      <c r="AH50" s="53" t="n">
        <f aca="false">IF(AND($W50&lt;&gt;"",$Y50&lt;&gt;""),$Y50-$W50,"")</f>
        <v>6</v>
      </c>
      <c r="AI50" s="53" t="n">
        <f aca="false">IF(AND($X50&lt;&gt;"",$Y50&lt;&gt;""),$Y50-$X50,"")</f>
        <v>-3</v>
      </c>
      <c r="AJ50" s="53" t="str">
        <f aca="false">IF($E50&lt;&gt;"",$E50,"")</f>
        <v/>
      </c>
      <c r="AK50" s="52" t="n">
        <f aca="false">IF($F50&lt;&gt;"",$F50,"")</f>
        <v>1447</v>
      </c>
      <c r="AL50" s="53" t="n">
        <f aca="false">IF(AND($AB50&lt;&gt;"",$AC50&lt;&gt;""),$AC50-$AB50,"")</f>
        <v>15</v>
      </c>
      <c r="AM50" s="53" t="n">
        <f aca="false">IF(AND($AB50&lt;&gt;"",$AD50&lt;&gt;""),$AD50-$AB50,"")</f>
        <v>14</v>
      </c>
      <c r="AN50" s="53" t="n">
        <f aca="false">IF(AND($AC50&lt;&gt;"",$AD50&lt;&gt;""),$AD50-$AC50,"")</f>
        <v>-1</v>
      </c>
      <c r="AO50" s="53" t="str">
        <f aca="false">IF($J50&lt;&gt;"",$J50,"")</f>
        <v/>
      </c>
      <c r="AQ50" s="52" t="n">
        <f aca="false">IF($A50&lt;&gt;"",$A50,"")</f>
        <v>701</v>
      </c>
      <c r="AR50" s="55" t="n">
        <f aca="false">IF(AND('Choix pédagogiques'!$C$4&lt;&gt;"?",'Choix pédagogiques'!$C$5&lt;&gt;"?",W50&lt;&gt;""),(W50-'Choix pédagogiques'!$C$4)/('Choix pédagogiques'!$C$5-'Choix pédagogiques'!$C$4),"")</f>
        <v>0.1</v>
      </c>
      <c r="AS50" s="55" t="n">
        <f aca="false">IF(AND('Choix pédagogiques'!$C$4&lt;&gt;"?",'Choix pédagogiques'!$C$5&lt;&gt;"?",X50&lt;&gt;""),(X50-'Choix pédagogiques'!$C$4)/('Choix pédagogiques'!$C$5-'Choix pédagogiques'!$C$4),"")</f>
        <v>0.55</v>
      </c>
      <c r="AT50" s="55" t="n">
        <f aca="false">IF(AND('Choix pédagogiques'!$C$4&lt;&gt;"?",'Choix pédagogiques'!$C$5&lt;&gt;"?",Y50&lt;&gt;""),(Y50-'Choix pédagogiques'!$C$4)/('Choix pédagogiques'!$C$5-'Choix pédagogiques'!$C$4),"")</f>
        <v>0.4</v>
      </c>
      <c r="AU50" s="53" t="str">
        <f aca="false">IF($E50&lt;&gt;"",$E50,"")</f>
        <v/>
      </c>
      <c r="AV50" s="52" t="n">
        <f aca="false">IF($F50&lt;&gt;"",$F50,"")</f>
        <v>1447</v>
      </c>
      <c r="AW50" s="55" t="n">
        <f aca="false">IF(AND('Choix pédagogiques'!$C$4&lt;&gt;"?",'Choix pédagogiques'!$C$5&lt;&gt;"?",AB50&lt;&gt;""),(AB50-'Choix pédagogiques'!$C$4)/('Choix pédagogiques'!$C$5-'Choix pédagogiques'!$C$4),"")</f>
        <v>0.15</v>
      </c>
      <c r="AX50" s="55" t="n">
        <f aca="false">IF(AND('Choix pédagogiques'!$C$4&lt;&gt;"?",'Choix pédagogiques'!$C$5&lt;&gt;"?",AC50&lt;&gt;""),(AC50-'Choix pédagogiques'!$C$4)/('Choix pédagogiques'!$C$5-'Choix pédagogiques'!$C$4),"")</f>
        <v>0.9</v>
      </c>
      <c r="AY50" s="55" t="n">
        <f aca="false">IF(AND('Choix pédagogiques'!$C$4&lt;&gt;"?",'Choix pédagogiques'!$C$5&lt;&gt;"?",AD50&lt;&gt;""),(AD50-'Choix pédagogiques'!$C$4)/('Choix pédagogiques'!$C$5-'Choix pédagogiques'!$C$4),"")</f>
        <v>0.85</v>
      </c>
      <c r="AZ50" s="53" t="str">
        <f aca="false">IF($J50&lt;&gt;"",$J50,"")</f>
        <v/>
      </c>
      <c r="BA50" s="52" t="n">
        <f aca="false">IF($A50&lt;&gt;"",$A50,"")</f>
        <v>701</v>
      </c>
      <c r="BB50" s="55" t="n">
        <f aca="false">IF(AND($AR50&lt;&gt;"",$AS50&lt;&gt;""),$AS50-$AR50,"")</f>
        <v>0.45</v>
      </c>
      <c r="BC50" s="55" t="n">
        <f aca="false">IF(AND($AR50&lt;&gt;"",$AT50&lt;&gt;""),$AT50-$AR50,"")</f>
        <v>0.3</v>
      </c>
      <c r="BD50" s="55" t="n">
        <f aca="false">IF(AND($AS50&lt;&gt;"",$AT50&lt;&gt;""),$AT50-$AS50,"")</f>
        <v>-0.15</v>
      </c>
      <c r="BE50" s="53" t="str">
        <f aca="false">IF($E50&lt;&gt;"",$E50,"")</f>
        <v/>
      </c>
      <c r="BF50" s="52" t="n">
        <f aca="false">IF($F50&lt;&gt;"",$F50,"")</f>
        <v>1447</v>
      </c>
      <c r="BG50" s="55" t="n">
        <f aca="false">IF(AND($AW50&lt;&gt;"",$AX50&lt;&gt;""),$AX50-$AW50,"")</f>
        <v>0.75</v>
      </c>
      <c r="BH50" s="55" t="n">
        <f aca="false">IF(AND($AW50&lt;&gt;"",$AY50&lt;&gt;""),$AY50-$AW50,"")</f>
        <v>0.7</v>
      </c>
      <c r="BI50" s="55" t="n">
        <f aca="false">IF(AND($AX50&lt;&gt;"",$AY50&lt;&gt;""),$AY50-$AX50,"")</f>
        <v>-0.05</v>
      </c>
      <c r="BJ50" s="53" t="str">
        <f aca="false">IF($J50&lt;&gt;"",$J50,"")</f>
        <v/>
      </c>
      <c r="BL50" s="52"/>
      <c r="BM50" s="52" t="n">
        <f aca="false">IF(OR(COUNT(B50:D1049)=0,AND('Choix pédagogiques'!$C$3&lt;&gt;1,'Choix pédagogiques'!$C$3&lt;&gt;2)),"",IF(AND(OR('Choix pédagogiques'!$C$3=1,'Choix pédagogiques'!$C$3=2),$B50&lt;&gt;"",$C50&lt;&gt;"",$D50&lt;&gt;""),1,0))</f>
        <v>1</v>
      </c>
      <c r="BN50" s="52" t="n">
        <f aca="false">IF(OR(COUNT(G50:I1049)=0,AND('Choix pédagogiques'!$C$3&lt;&gt;1,'Choix pédagogiques'!$C$3&lt;&gt;2)),"",IF(AND(OR('Choix pédagogiques'!$C$3=1,'Choix pédagogiques'!$C$3=2),AND($G50&lt;&gt;"",$H50&lt;&gt;"",$I50&lt;&gt;"")),1,0))</f>
        <v>1</v>
      </c>
      <c r="BO50" s="52" t="str">
        <f aca="false">IF(OR(COUNT(B50:D1049)=0,COUNT(G50:I1049)=0,'Choix pédagogiques'!C$3&lt;&gt;3),"",IF(AND('Choix pédagogiques'!$C$3=3,$B50&lt;&gt;"",$C50&lt;&gt;"",$D50&lt;&gt;"",$G50&lt;&gt;"",$H50&lt;&gt;"",$I50&lt;&gt;""),1,0))</f>
        <v/>
      </c>
      <c r="BR50" s="52" t="n">
        <v>701</v>
      </c>
      <c r="BS50" s="52" t="n">
        <v>1447</v>
      </c>
    </row>
    <row r="51" s="54" customFormat="true" ht="18" hidden="false" customHeight="true" outlineLevel="0" collapsed="false">
      <c r="A51" s="49" t="n">
        <v>464</v>
      </c>
      <c r="B51" s="50" t="n">
        <v>3</v>
      </c>
      <c r="C51" s="50" t="n">
        <v>10</v>
      </c>
      <c r="D51" s="50" t="n">
        <v>10</v>
      </c>
      <c r="E51" s="51"/>
      <c r="F51" s="49" t="n">
        <v>1740</v>
      </c>
      <c r="G51" s="50" t="n">
        <v>5</v>
      </c>
      <c r="H51" s="50" t="n">
        <v>17</v>
      </c>
      <c r="I51" s="50" t="n">
        <v>17</v>
      </c>
      <c r="J51" s="51"/>
      <c r="K51" s="52" t="n">
        <f aca="false">IF($A51&lt;&gt;"",$A51,"")</f>
        <v>464</v>
      </c>
      <c r="L51" s="53" t="n">
        <f aca="false">IF(AND($B51&lt;&gt;"",$C51&lt;&gt;""),$C51-$B51,"")</f>
        <v>7</v>
      </c>
      <c r="M51" s="53" t="n">
        <f aca="false">IF(AND($B51&lt;&gt;"",$D51&lt;&gt;""),$D51-$B51,"")</f>
        <v>7</v>
      </c>
      <c r="N51" s="53" t="n">
        <f aca="false">IF(AND($C51&lt;&gt;"",$D51&lt;&gt;""),$D51-$C51,"")</f>
        <v>0</v>
      </c>
      <c r="O51" s="53" t="str">
        <f aca="false">IF($E51&lt;&gt;"",$E51,"")</f>
        <v/>
      </c>
      <c r="P51" s="52" t="n">
        <f aca="false">IF($F51&lt;&gt;"",$F51,"")</f>
        <v>1740</v>
      </c>
      <c r="Q51" s="53" t="n">
        <f aca="false">IF(AND($G51&lt;&gt;"",$H51&lt;&gt;""),$H51-$G51,"")</f>
        <v>12</v>
      </c>
      <c r="R51" s="53" t="n">
        <f aca="false">IF(AND($G51&lt;&gt;"",$I51&lt;&gt;""),$I51-$G51,"")</f>
        <v>12</v>
      </c>
      <c r="S51" s="53" t="n">
        <f aca="false">IF(AND($H51&lt;&gt;"",$I51&lt;&gt;""),$I51-$H51,"")</f>
        <v>0</v>
      </c>
      <c r="T51" s="53" t="str">
        <f aca="false">IF($J51&lt;&gt;"",$J51,"")</f>
        <v/>
      </c>
      <c r="V51" s="52" t="n">
        <f aca="false">IF($A51&lt;&gt;"",$A51,"")</f>
        <v>464</v>
      </c>
      <c r="W51" s="53" t="n">
        <f aca="false">IF(AND(OR('Choix pédagogiques'!$C$3=1,'Choix pédagogiques'!$C$3=2),$BM51=1),B51,IF(AND('Choix pédagogiques'!$C$3=3,$BO51=1),B51,""))</f>
        <v>3</v>
      </c>
      <c r="X51" s="53" t="n">
        <f aca="false">IF(AND(OR('Choix pédagogiques'!$C$3=1,'Choix pédagogiques'!$C$3=2),$BM51=1),C51,IF(AND('Choix pédagogiques'!$C$3=3,$BO51=1),C51,""))</f>
        <v>10</v>
      </c>
      <c r="Y51" s="53" t="n">
        <f aca="false">IF(AND(OR('Choix pédagogiques'!$C$3=1,'Choix pédagogiques'!$C$3=2),$BM51=1),D51,IF(AND('Choix pédagogiques'!$C$3=3,$BO51=1),D51,""))</f>
        <v>10</v>
      </c>
      <c r="Z51" s="53" t="str">
        <f aca="false">IF($E51&lt;&gt;"",$E51,"")</f>
        <v/>
      </c>
      <c r="AA51" s="52" t="n">
        <f aca="false">IF($F51&lt;&gt;"",$F51,"")</f>
        <v>1740</v>
      </c>
      <c r="AB51" s="53" t="n">
        <f aca="false">IF(AND(OR('Choix pédagogiques'!$C$3=1,'Choix pédagogiques'!$C$3=2),$BN51=1),G51,IF(AND('Choix pédagogiques'!$C$3=3,$BO51=1),G51,""))</f>
        <v>5</v>
      </c>
      <c r="AC51" s="53" t="n">
        <f aca="false">IF(AND(OR('Choix pédagogiques'!$C$3=1,'Choix pédagogiques'!$C$3=2),$BN51=1),H51,IF(AND('Choix pédagogiques'!$C$3=3,$BO51=1),H51,""))</f>
        <v>17</v>
      </c>
      <c r="AD51" s="53" t="n">
        <f aca="false">IF(AND(OR('Choix pédagogiques'!$C$3=1,'Choix pédagogiques'!$C$3=2),$BN51=1),I51,IF(AND('Choix pédagogiques'!$C$3=3,$BO51=1),I51,""))</f>
        <v>17</v>
      </c>
      <c r="AE51" s="53" t="str">
        <f aca="false">IF($J51&lt;&gt;"",$J51,"")</f>
        <v/>
      </c>
      <c r="AF51" s="52" t="n">
        <f aca="false">IF($A51&lt;&gt;"",$A51,"")</f>
        <v>464</v>
      </c>
      <c r="AG51" s="53" t="n">
        <f aca="false">IF(AND($W51&lt;&gt;"",$X51&lt;&gt;""),$X51-$W51,"")</f>
        <v>7</v>
      </c>
      <c r="AH51" s="53" t="n">
        <f aca="false">IF(AND($W51&lt;&gt;"",$Y51&lt;&gt;""),$Y51-$W51,"")</f>
        <v>7</v>
      </c>
      <c r="AI51" s="53" t="n">
        <f aca="false">IF(AND($X51&lt;&gt;"",$Y51&lt;&gt;""),$Y51-$X51,"")</f>
        <v>0</v>
      </c>
      <c r="AJ51" s="53" t="str">
        <f aca="false">IF($E51&lt;&gt;"",$E51,"")</f>
        <v/>
      </c>
      <c r="AK51" s="52" t="n">
        <f aca="false">IF($F51&lt;&gt;"",$F51,"")</f>
        <v>1740</v>
      </c>
      <c r="AL51" s="53" t="n">
        <f aca="false">IF(AND($AB51&lt;&gt;"",$AC51&lt;&gt;""),$AC51-$AB51,"")</f>
        <v>12</v>
      </c>
      <c r="AM51" s="53" t="n">
        <f aca="false">IF(AND($AB51&lt;&gt;"",$AD51&lt;&gt;""),$AD51-$AB51,"")</f>
        <v>12</v>
      </c>
      <c r="AN51" s="53" t="n">
        <f aca="false">IF(AND($AC51&lt;&gt;"",$AD51&lt;&gt;""),$AD51-$AC51,"")</f>
        <v>0</v>
      </c>
      <c r="AO51" s="53" t="str">
        <f aca="false">IF($J51&lt;&gt;"",$J51,"")</f>
        <v/>
      </c>
      <c r="AQ51" s="52" t="n">
        <f aca="false">IF($A51&lt;&gt;"",$A51,"")</f>
        <v>464</v>
      </c>
      <c r="AR51" s="55" t="n">
        <f aca="false">IF(AND('Choix pédagogiques'!$C$4&lt;&gt;"?",'Choix pédagogiques'!$C$5&lt;&gt;"?",W51&lt;&gt;""),(W51-'Choix pédagogiques'!$C$4)/('Choix pédagogiques'!$C$5-'Choix pédagogiques'!$C$4),"")</f>
        <v>0.15</v>
      </c>
      <c r="AS51" s="55" t="n">
        <f aca="false">IF(AND('Choix pédagogiques'!$C$4&lt;&gt;"?",'Choix pédagogiques'!$C$5&lt;&gt;"?",X51&lt;&gt;""),(X51-'Choix pédagogiques'!$C$4)/('Choix pédagogiques'!$C$5-'Choix pédagogiques'!$C$4),"")</f>
        <v>0.5</v>
      </c>
      <c r="AT51" s="55" t="n">
        <f aca="false">IF(AND('Choix pédagogiques'!$C$4&lt;&gt;"?",'Choix pédagogiques'!$C$5&lt;&gt;"?",Y51&lt;&gt;""),(Y51-'Choix pédagogiques'!$C$4)/('Choix pédagogiques'!$C$5-'Choix pédagogiques'!$C$4),"")</f>
        <v>0.5</v>
      </c>
      <c r="AU51" s="53" t="str">
        <f aca="false">IF($E51&lt;&gt;"",$E51,"")</f>
        <v/>
      </c>
      <c r="AV51" s="52" t="n">
        <f aca="false">IF($F51&lt;&gt;"",$F51,"")</f>
        <v>1740</v>
      </c>
      <c r="AW51" s="55" t="n">
        <f aca="false">IF(AND('Choix pédagogiques'!$C$4&lt;&gt;"?",'Choix pédagogiques'!$C$5&lt;&gt;"?",AB51&lt;&gt;""),(AB51-'Choix pédagogiques'!$C$4)/('Choix pédagogiques'!$C$5-'Choix pédagogiques'!$C$4),"")</f>
        <v>0.25</v>
      </c>
      <c r="AX51" s="55" t="n">
        <f aca="false">IF(AND('Choix pédagogiques'!$C$4&lt;&gt;"?",'Choix pédagogiques'!$C$5&lt;&gt;"?",AC51&lt;&gt;""),(AC51-'Choix pédagogiques'!$C$4)/('Choix pédagogiques'!$C$5-'Choix pédagogiques'!$C$4),"")</f>
        <v>0.85</v>
      </c>
      <c r="AY51" s="55" t="n">
        <f aca="false">IF(AND('Choix pédagogiques'!$C$4&lt;&gt;"?",'Choix pédagogiques'!$C$5&lt;&gt;"?",AD51&lt;&gt;""),(AD51-'Choix pédagogiques'!$C$4)/('Choix pédagogiques'!$C$5-'Choix pédagogiques'!$C$4),"")</f>
        <v>0.85</v>
      </c>
      <c r="AZ51" s="53" t="str">
        <f aca="false">IF($J51&lt;&gt;"",$J51,"")</f>
        <v/>
      </c>
      <c r="BA51" s="52" t="n">
        <f aca="false">IF($A51&lt;&gt;"",$A51,"")</f>
        <v>464</v>
      </c>
      <c r="BB51" s="55" t="n">
        <f aca="false">IF(AND($AR51&lt;&gt;"",$AS51&lt;&gt;""),$AS51-$AR51,"")</f>
        <v>0.35</v>
      </c>
      <c r="BC51" s="55" t="n">
        <f aca="false">IF(AND($AR51&lt;&gt;"",$AT51&lt;&gt;""),$AT51-$AR51,"")</f>
        <v>0.35</v>
      </c>
      <c r="BD51" s="55" t="n">
        <f aca="false">IF(AND($AS51&lt;&gt;"",$AT51&lt;&gt;""),$AT51-$AS51,"")</f>
        <v>0</v>
      </c>
      <c r="BE51" s="53" t="str">
        <f aca="false">IF($E51&lt;&gt;"",$E51,"")</f>
        <v/>
      </c>
      <c r="BF51" s="52" t="n">
        <f aca="false">IF($F51&lt;&gt;"",$F51,"")</f>
        <v>1740</v>
      </c>
      <c r="BG51" s="55" t="n">
        <f aca="false">IF(AND($AW51&lt;&gt;"",$AX51&lt;&gt;""),$AX51-$AW51,"")</f>
        <v>0.6</v>
      </c>
      <c r="BH51" s="55" t="n">
        <f aca="false">IF(AND($AW51&lt;&gt;"",$AY51&lt;&gt;""),$AY51-$AW51,"")</f>
        <v>0.6</v>
      </c>
      <c r="BI51" s="55" t="n">
        <f aca="false">IF(AND($AX51&lt;&gt;"",$AY51&lt;&gt;""),$AY51-$AX51,"")</f>
        <v>0</v>
      </c>
      <c r="BJ51" s="53" t="str">
        <f aca="false">IF($J51&lt;&gt;"",$J51,"")</f>
        <v/>
      </c>
      <c r="BL51" s="52"/>
      <c r="BM51" s="52" t="n">
        <f aca="false">IF(OR(COUNT(B51:D1050)=0,AND('Choix pédagogiques'!$C$3&lt;&gt;1,'Choix pédagogiques'!$C$3&lt;&gt;2)),"",IF(AND(OR('Choix pédagogiques'!$C$3=1,'Choix pédagogiques'!$C$3=2),$B51&lt;&gt;"",$C51&lt;&gt;"",$D51&lt;&gt;""),1,0))</f>
        <v>1</v>
      </c>
      <c r="BN51" s="52" t="n">
        <f aca="false">IF(OR(COUNT(G51:I1050)=0,AND('Choix pédagogiques'!$C$3&lt;&gt;1,'Choix pédagogiques'!$C$3&lt;&gt;2)),"",IF(AND(OR('Choix pédagogiques'!$C$3=1,'Choix pédagogiques'!$C$3=2),AND($G51&lt;&gt;"",$H51&lt;&gt;"",$I51&lt;&gt;"")),1,0))</f>
        <v>1</v>
      </c>
      <c r="BO51" s="52" t="str">
        <f aca="false">IF(OR(COUNT(B51:D1050)=0,COUNT(G51:I1050)=0,'Choix pédagogiques'!C$3&lt;&gt;3),"",IF(AND('Choix pédagogiques'!$C$3=3,$B51&lt;&gt;"",$C51&lt;&gt;"",$D51&lt;&gt;"",$G51&lt;&gt;"",$H51&lt;&gt;"",$I51&lt;&gt;""),1,0))</f>
        <v/>
      </c>
      <c r="BR51" s="52" t="n">
        <v>464</v>
      </c>
      <c r="BS51" s="52" t="n">
        <v>1740</v>
      </c>
    </row>
    <row r="52" s="54" customFormat="true" ht="18" hidden="false" customHeight="true" outlineLevel="0" collapsed="false">
      <c r="A52" s="49" t="n">
        <v>628</v>
      </c>
      <c r="B52" s="50" t="n">
        <v>4</v>
      </c>
      <c r="C52" s="50"/>
      <c r="D52" s="50" t="n">
        <v>10</v>
      </c>
      <c r="E52" s="51"/>
      <c r="F52" s="49" t="n">
        <v>1589</v>
      </c>
      <c r="G52" s="50" t="n">
        <v>4</v>
      </c>
      <c r="H52" s="50" t="n">
        <v>16</v>
      </c>
      <c r="I52" s="50" t="n">
        <v>14</v>
      </c>
      <c r="J52" s="51"/>
      <c r="K52" s="52" t="n">
        <f aca="false">IF($A52&lt;&gt;"",$A52,"")</f>
        <v>628</v>
      </c>
      <c r="L52" s="53" t="str">
        <f aca="false">IF(AND($B52&lt;&gt;"",$C52&lt;&gt;""),$C52-$B52,"")</f>
        <v/>
      </c>
      <c r="M52" s="53" t="n">
        <f aca="false">IF(AND($B52&lt;&gt;"",$D52&lt;&gt;""),$D52-$B52,"")</f>
        <v>6</v>
      </c>
      <c r="N52" s="53" t="str">
        <f aca="false">IF(AND($C52&lt;&gt;"",$D52&lt;&gt;""),$D52-$C52,"")</f>
        <v/>
      </c>
      <c r="O52" s="53" t="str">
        <f aca="false">IF($E52&lt;&gt;"",$E52,"")</f>
        <v/>
      </c>
      <c r="P52" s="52" t="n">
        <f aca="false">IF($F52&lt;&gt;"",$F52,"")</f>
        <v>1589</v>
      </c>
      <c r="Q52" s="53" t="n">
        <f aca="false">IF(AND($G52&lt;&gt;"",$H52&lt;&gt;""),$H52-$G52,"")</f>
        <v>12</v>
      </c>
      <c r="R52" s="53" t="n">
        <f aca="false">IF(AND($G52&lt;&gt;"",$I52&lt;&gt;""),$I52-$G52,"")</f>
        <v>10</v>
      </c>
      <c r="S52" s="53" t="n">
        <f aca="false">IF(AND($H52&lt;&gt;"",$I52&lt;&gt;""),$I52-$H52,"")</f>
        <v>-2</v>
      </c>
      <c r="T52" s="53" t="str">
        <f aca="false">IF($J52&lt;&gt;"",$J52,"")</f>
        <v/>
      </c>
      <c r="V52" s="52" t="n">
        <f aca="false">IF($A52&lt;&gt;"",$A52,"")</f>
        <v>628</v>
      </c>
      <c r="W52" s="53" t="str">
        <f aca="false">IF(AND(OR('Choix pédagogiques'!$C$3=1,'Choix pédagogiques'!$C$3=2),$BM52=1),B52,IF(AND('Choix pédagogiques'!$C$3=3,$BO52=1),B52,""))</f>
        <v/>
      </c>
      <c r="X52" s="53" t="str">
        <f aca="false">IF(AND(OR('Choix pédagogiques'!$C$3=1,'Choix pédagogiques'!$C$3=2),$BM52=1),C52,IF(AND('Choix pédagogiques'!$C$3=3,$BO52=1),C52,""))</f>
        <v/>
      </c>
      <c r="Y52" s="53" t="str">
        <f aca="false">IF(AND(OR('Choix pédagogiques'!$C$3=1,'Choix pédagogiques'!$C$3=2),$BM52=1),D52,IF(AND('Choix pédagogiques'!$C$3=3,$BO52=1),D52,""))</f>
        <v/>
      </c>
      <c r="Z52" s="53" t="str">
        <f aca="false">IF($E52&lt;&gt;"",$E52,"")</f>
        <v/>
      </c>
      <c r="AA52" s="52" t="n">
        <f aca="false">IF($F52&lt;&gt;"",$F52,"")</f>
        <v>1589</v>
      </c>
      <c r="AB52" s="53" t="n">
        <f aca="false">IF(AND(OR('Choix pédagogiques'!$C$3=1,'Choix pédagogiques'!$C$3=2),$BN52=1),G52,IF(AND('Choix pédagogiques'!$C$3=3,$BO52=1),G52,""))</f>
        <v>4</v>
      </c>
      <c r="AC52" s="53" t="n">
        <f aca="false">IF(AND(OR('Choix pédagogiques'!$C$3=1,'Choix pédagogiques'!$C$3=2),$BN52=1),H52,IF(AND('Choix pédagogiques'!$C$3=3,$BO52=1),H52,""))</f>
        <v>16</v>
      </c>
      <c r="AD52" s="53" t="n">
        <f aca="false">IF(AND(OR('Choix pédagogiques'!$C$3=1,'Choix pédagogiques'!$C$3=2),$BN52=1),I52,IF(AND('Choix pédagogiques'!$C$3=3,$BO52=1),I52,""))</f>
        <v>14</v>
      </c>
      <c r="AE52" s="53" t="str">
        <f aca="false">IF($J52&lt;&gt;"",$J52,"")</f>
        <v/>
      </c>
      <c r="AF52" s="52" t="n">
        <f aca="false">IF($A52&lt;&gt;"",$A52,"")</f>
        <v>628</v>
      </c>
      <c r="AG52" s="53" t="str">
        <f aca="false">IF(AND($W52&lt;&gt;"",$X52&lt;&gt;""),$X52-$W52,"")</f>
        <v/>
      </c>
      <c r="AH52" s="53" t="str">
        <f aca="false">IF(AND($W52&lt;&gt;"",$Y52&lt;&gt;""),$Y52-$W52,"")</f>
        <v/>
      </c>
      <c r="AI52" s="53" t="str">
        <f aca="false">IF(AND($X52&lt;&gt;"",$Y52&lt;&gt;""),$Y52-$X52,"")</f>
        <v/>
      </c>
      <c r="AJ52" s="53" t="str">
        <f aca="false">IF($E52&lt;&gt;"",$E52,"")</f>
        <v/>
      </c>
      <c r="AK52" s="52" t="n">
        <f aca="false">IF($F52&lt;&gt;"",$F52,"")</f>
        <v>1589</v>
      </c>
      <c r="AL52" s="53" t="n">
        <f aca="false">IF(AND($AB52&lt;&gt;"",$AC52&lt;&gt;""),$AC52-$AB52,"")</f>
        <v>12</v>
      </c>
      <c r="AM52" s="53" t="n">
        <f aca="false">IF(AND($AB52&lt;&gt;"",$AD52&lt;&gt;""),$AD52-$AB52,"")</f>
        <v>10</v>
      </c>
      <c r="AN52" s="53" t="n">
        <f aca="false">IF(AND($AC52&lt;&gt;"",$AD52&lt;&gt;""),$AD52-$AC52,"")</f>
        <v>-2</v>
      </c>
      <c r="AO52" s="53" t="str">
        <f aca="false">IF($J52&lt;&gt;"",$J52,"")</f>
        <v/>
      </c>
      <c r="AQ52" s="52" t="n">
        <f aca="false">IF($A52&lt;&gt;"",$A52,"")</f>
        <v>628</v>
      </c>
      <c r="AR52" s="55" t="str">
        <f aca="false">IF(AND('Choix pédagogiques'!$C$4&lt;&gt;"?",'Choix pédagogiques'!$C$5&lt;&gt;"?",W52&lt;&gt;""),(W52-'Choix pédagogiques'!$C$4)/('Choix pédagogiques'!$C$5-'Choix pédagogiques'!$C$4),"")</f>
        <v/>
      </c>
      <c r="AS52" s="55" t="str">
        <f aca="false">IF(AND('Choix pédagogiques'!$C$4&lt;&gt;"?",'Choix pédagogiques'!$C$5&lt;&gt;"?",X52&lt;&gt;""),(X52-'Choix pédagogiques'!$C$4)/('Choix pédagogiques'!$C$5-'Choix pédagogiques'!$C$4),"")</f>
        <v/>
      </c>
      <c r="AT52" s="55" t="str">
        <f aca="false">IF(AND('Choix pédagogiques'!$C$4&lt;&gt;"?",'Choix pédagogiques'!$C$5&lt;&gt;"?",Y52&lt;&gt;""),(Y52-'Choix pédagogiques'!$C$4)/('Choix pédagogiques'!$C$5-'Choix pédagogiques'!$C$4),"")</f>
        <v/>
      </c>
      <c r="AU52" s="53" t="str">
        <f aca="false">IF($E52&lt;&gt;"",$E52,"")</f>
        <v/>
      </c>
      <c r="AV52" s="52" t="n">
        <f aca="false">IF($F52&lt;&gt;"",$F52,"")</f>
        <v>1589</v>
      </c>
      <c r="AW52" s="55" t="n">
        <f aca="false">IF(AND('Choix pédagogiques'!$C$4&lt;&gt;"?",'Choix pédagogiques'!$C$5&lt;&gt;"?",AB52&lt;&gt;""),(AB52-'Choix pédagogiques'!$C$4)/('Choix pédagogiques'!$C$5-'Choix pédagogiques'!$C$4),"")</f>
        <v>0.2</v>
      </c>
      <c r="AX52" s="55" t="n">
        <f aca="false">IF(AND('Choix pédagogiques'!$C$4&lt;&gt;"?",'Choix pédagogiques'!$C$5&lt;&gt;"?",AC52&lt;&gt;""),(AC52-'Choix pédagogiques'!$C$4)/('Choix pédagogiques'!$C$5-'Choix pédagogiques'!$C$4),"")</f>
        <v>0.8</v>
      </c>
      <c r="AY52" s="55" t="n">
        <f aca="false">IF(AND('Choix pédagogiques'!$C$4&lt;&gt;"?",'Choix pédagogiques'!$C$5&lt;&gt;"?",AD52&lt;&gt;""),(AD52-'Choix pédagogiques'!$C$4)/('Choix pédagogiques'!$C$5-'Choix pédagogiques'!$C$4),"")</f>
        <v>0.7</v>
      </c>
      <c r="AZ52" s="53" t="str">
        <f aca="false">IF($J52&lt;&gt;"",$J52,"")</f>
        <v/>
      </c>
      <c r="BA52" s="52" t="n">
        <f aca="false">IF($A52&lt;&gt;"",$A52,"")</f>
        <v>628</v>
      </c>
      <c r="BB52" s="55" t="str">
        <f aca="false">IF(AND($AR52&lt;&gt;"",$AS52&lt;&gt;""),$AS52-$AR52,"")</f>
        <v/>
      </c>
      <c r="BC52" s="55" t="str">
        <f aca="false">IF(AND($AR52&lt;&gt;"",$AT52&lt;&gt;""),$AT52-$AR52,"")</f>
        <v/>
      </c>
      <c r="BD52" s="55" t="str">
        <f aca="false">IF(AND($AS52&lt;&gt;"",$AT52&lt;&gt;""),$AT52-$AS52,"")</f>
        <v/>
      </c>
      <c r="BE52" s="53" t="str">
        <f aca="false">IF($E52&lt;&gt;"",$E52,"")</f>
        <v/>
      </c>
      <c r="BF52" s="52" t="n">
        <f aca="false">IF($F52&lt;&gt;"",$F52,"")</f>
        <v>1589</v>
      </c>
      <c r="BG52" s="55" t="n">
        <f aca="false">IF(AND($AW52&lt;&gt;"",$AX52&lt;&gt;""),$AX52-$AW52,"")</f>
        <v>0.6</v>
      </c>
      <c r="BH52" s="55" t="n">
        <f aca="false">IF(AND($AW52&lt;&gt;"",$AY52&lt;&gt;""),$AY52-$AW52,"")</f>
        <v>0.5</v>
      </c>
      <c r="BI52" s="55" t="n">
        <f aca="false">IF(AND($AX52&lt;&gt;"",$AY52&lt;&gt;""),$AY52-$AX52,"")</f>
        <v>-0.1</v>
      </c>
      <c r="BJ52" s="53" t="str">
        <f aca="false">IF($J52&lt;&gt;"",$J52,"")</f>
        <v/>
      </c>
      <c r="BL52" s="52"/>
      <c r="BM52" s="52" t="n">
        <f aca="false">IF(OR(COUNT(B52:D1051)=0,AND('Choix pédagogiques'!$C$3&lt;&gt;1,'Choix pédagogiques'!$C$3&lt;&gt;2)),"",IF(AND(OR('Choix pédagogiques'!$C$3=1,'Choix pédagogiques'!$C$3=2),$B52&lt;&gt;"",$C52&lt;&gt;"",$D52&lt;&gt;""),1,0))</f>
        <v>0</v>
      </c>
      <c r="BN52" s="52" t="n">
        <f aca="false">IF(OR(COUNT(G52:I1051)=0,AND('Choix pédagogiques'!$C$3&lt;&gt;1,'Choix pédagogiques'!$C$3&lt;&gt;2)),"",IF(AND(OR('Choix pédagogiques'!$C$3=1,'Choix pédagogiques'!$C$3=2),AND($G52&lt;&gt;"",$H52&lt;&gt;"",$I52&lt;&gt;"")),1,0))</f>
        <v>1</v>
      </c>
      <c r="BO52" s="52" t="str">
        <f aca="false">IF(OR(COUNT(B52:D1051)=0,COUNT(G52:I1051)=0,'Choix pédagogiques'!C$3&lt;&gt;3),"",IF(AND('Choix pédagogiques'!$C$3=3,$B52&lt;&gt;"",$C52&lt;&gt;"",$D52&lt;&gt;"",$G52&lt;&gt;"",$H52&lt;&gt;"",$I52&lt;&gt;""),1,0))</f>
        <v/>
      </c>
      <c r="BR52" s="52" t="n">
        <v>628</v>
      </c>
      <c r="BS52" s="52" t="n">
        <v>1589</v>
      </c>
    </row>
    <row r="53" s="54" customFormat="true" ht="18" hidden="false" customHeight="true" outlineLevel="0" collapsed="false">
      <c r="A53" s="49" t="n">
        <v>283</v>
      </c>
      <c r="B53" s="50" t="n">
        <v>1</v>
      </c>
      <c r="C53" s="50" t="n">
        <v>15</v>
      </c>
      <c r="D53" s="50" t="n">
        <v>13</v>
      </c>
      <c r="E53" s="51"/>
      <c r="F53" s="49" t="n">
        <v>1299</v>
      </c>
      <c r="G53" s="50" t="n">
        <v>4</v>
      </c>
      <c r="H53" s="50" t="n">
        <v>12</v>
      </c>
      <c r="I53" s="50" t="n">
        <v>11</v>
      </c>
      <c r="J53" s="51"/>
      <c r="K53" s="52" t="n">
        <f aca="false">IF($A53&lt;&gt;"",$A53,"")</f>
        <v>283</v>
      </c>
      <c r="L53" s="53" t="n">
        <f aca="false">IF(AND($B53&lt;&gt;"",$C53&lt;&gt;""),$C53-$B53,"")</f>
        <v>14</v>
      </c>
      <c r="M53" s="53" t="n">
        <f aca="false">IF(AND($B53&lt;&gt;"",$D53&lt;&gt;""),$D53-$B53,"")</f>
        <v>12</v>
      </c>
      <c r="N53" s="53" t="n">
        <f aca="false">IF(AND($C53&lt;&gt;"",$D53&lt;&gt;""),$D53-$C53,"")</f>
        <v>-2</v>
      </c>
      <c r="O53" s="53" t="str">
        <f aca="false">IF($E53&lt;&gt;"",$E53,"")</f>
        <v/>
      </c>
      <c r="P53" s="52" t="n">
        <f aca="false">IF($F53&lt;&gt;"",$F53,"")</f>
        <v>1299</v>
      </c>
      <c r="Q53" s="53" t="n">
        <f aca="false">IF(AND($G53&lt;&gt;"",$H53&lt;&gt;""),$H53-$G53,"")</f>
        <v>8</v>
      </c>
      <c r="R53" s="53" t="n">
        <f aca="false">IF(AND($G53&lt;&gt;"",$I53&lt;&gt;""),$I53-$G53,"")</f>
        <v>7</v>
      </c>
      <c r="S53" s="53" t="n">
        <f aca="false">IF(AND($H53&lt;&gt;"",$I53&lt;&gt;""),$I53-$H53,"")</f>
        <v>-1</v>
      </c>
      <c r="T53" s="53" t="str">
        <f aca="false">IF($J53&lt;&gt;"",$J53,"")</f>
        <v/>
      </c>
      <c r="V53" s="52" t="n">
        <f aca="false">IF($A53&lt;&gt;"",$A53,"")</f>
        <v>283</v>
      </c>
      <c r="W53" s="53" t="n">
        <f aca="false">IF(AND(OR('Choix pédagogiques'!$C$3=1,'Choix pédagogiques'!$C$3=2),$BM53=1),B53,IF(AND('Choix pédagogiques'!$C$3=3,$BO53=1),B53,""))</f>
        <v>1</v>
      </c>
      <c r="X53" s="53" t="n">
        <f aca="false">IF(AND(OR('Choix pédagogiques'!$C$3=1,'Choix pédagogiques'!$C$3=2),$BM53=1),C53,IF(AND('Choix pédagogiques'!$C$3=3,$BO53=1),C53,""))</f>
        <v>15</v>
      </c>
      <c r="Y53" s="53" t="n">
        <f aca="false">IF(AND(OR('Choix pédagogiques'!$C$3=1,'Choix pédagogiques'!$C$3=2),$BM53=1),D53,IF(AND('Choix pédagogiques'!$C$3=3,$BO53=1),D53,""))</f>
        <v>13</v>
      </c>
      <c r="Z53" s="53" t="str">
        <f aca="false">IF($E53&lt;&gt;"",$E53,"")</f>
        <v/>
      </c>
      <c r="AA53" s="52" t="n">
        <f aca="false">IF($F53&lt;&gt;"",$F53,"")</f>
        <v>1299</v>
      </c>
      <c r="AB53" s="53" t="n">
        <f aca="false">IF(AND(OR('Choix pédagogiques'!$C$3=1,'Choix pédagogiques'!$C$3=2),$BN53=1),G53,IF(AND('Choix pédagogiques'!$C$3=3,$BO53=1),G53,""))</f>
        <v>4</v>
      </c>
      <c r="AC53" s="53" t="n">
        <f aca="false">IF(AND(OR('Choix pédagogiques'!$C$3=1,'Choix pédagogiques'!$C$3=2),$BN53=1),H53,IF(AND('Choix pédagogiques'!$C$3=3,$BO53=1),H53,""))</f>
        <v>12</v>
      </c>
      <c r="AD53" s="53" t="n">
        <f aca="false">IF(AND(OR('Choix pédagogiques'!$C$3=1,'Choix pédagogiques'!$C$3=2),$BN53=1),I53,IF(AND('Choix pédagogiques'!$C$3=3,$BO53=1),I53,""))</f>
        <v>11</v>
      </c>
      <c r="AE53" s="53" t="str">
        <f aca="false">IF($J53&lt;&gt;"",$J53,"")</f>
        <v/>
      </c>
      <c r="AF53" s="52" t="n">
        <f aca="false">IF($A53&lt;&gt;"",$A53,"")</f>
        <v>283</v>
      </c>
      <c r="AG53" s="53" t="n">
        <f aca="false">IF(AND($W53&lt;&gt;"",$X53&lt;&gt;""),$X53-$W53,"")</f>
        <v>14</v>
      </c>
      <c r="AH53" s="53" t="n">
        <f aca="false">IF(AND($W53&lt;&gt;"",$Y53&lt;&gt;""),$Y53-$W53,"")</f>
        <v>12</v>
      </c>
      <c r="AI53" s="53" t="n">
        <f aca="false">IF(AND($X53&lt;&gt;"",$Y53&lt;&gt;""),$Y53-$X53,"")</f>
        <v>-2</v>
      </c>
      <c r="AJ53" s="53" t="str">
        <f aca="false">IF($E53&lt;&gt;"",$E53,"")</f>
        <v/>
      </c>
      <c r="AK53" s="52" t="n">
        <f aca="false">IF($F53&lt;&gt;"",$F53,"")</f>
        <v>1299</v>
      </c>
      <c r="AL53" s="53" t="n">
        <f aca="false">IF(AND($AB53&lt;&gt;"",$AC53&lt;&gt;""),$AC53-$AB53,"")</f>
        <v>8</v>
      </c>
      <c r="AM53" s="53" t="n">
        <f aca="false">IF(AND($AB53&lt;&gt;"",$AD53&lt;&gt;""),$AD53-$AB53,"")</f>
        <v>7</v>
      </c>
      <c r="AN53" s="53" t="n">
        <f aca="false">IF(AND($AC53&lt;&gt;"",$AD53&lt;&gt;""),$AD53-$AC53,"")</f>
        <v>-1</v>
      </c>
      <c r="AO53" s="53" t="str">
        <f aca="false">IF($J53&lt;&gt;"",$J53,"")</f>
        <v/>
      </c>
      <c r="AQ53" s="52" t="n">
        <f aca="false">IF($A53&lt;&gt;"",$A53,"")</f>
        <v>283</v>
      </c>
      <c r="AR53" s="55" t="n">
        <f aca="false">IF(AND('Choix pédagogiques'!$C$4&lt;&gt;"?",'Choix pédagogiques'!$C$5&lt;&gt;"?",W53&lt;&gt;""),(W53-'Choix pédagogiques'!$C$4)/('Choix pédagogiques'!$C$5-'Choix pédagogiques'!$C$4),"")</f>
        <v>0.05</v>
      </c>
      <c r="AS53" s="55" t="n">
        <f aca="false">IF(AND('Choix pédagogiques'!$C$4&lt;&gt;"?",'Choix pédagogiques'!$C$5&lt;&gt;"?",X53&lt;&gt;""),(X53-'Choix pédagogiques'!$C$4)/('Choix pédagogiques'!$C$5-'Choix pédagogiques'!$C$4),"")</f>
        <v>0.75</v>
      </c>
      <c r="AT53" s="55" t="n">
        <f aca="false">IF(AND('Choix pédagogiques'!$C$4&lt;&gt;"?",'Choix pédagogiques'!$C$5&lt;&gt;"?",Y53&lt;&gt;""),(Y53-'Choix pédagogiques'!$C$4)/('Choix pédagogiques'!$C$5-'Choix pédagogiques'!$C$4),"")</f>
        <v>0.65</v>
      </c>
      <c r="AU53" s="53" t="str">
        <f aca="false">IF($E53&lt;&gt;"",$E53,"")</f>
        <v/>
      </c>
      <c r="AV53" s="52" t="n">
        <f aca="false">IF($F53&lt;&gt;"",$F53,"")</f>
        <v>1299</v>
      </c>
      <c r="AW53" s="55" t="n">
        <f aca="false">IF(AND('Choix pédagogiques'!$C$4&lt;&gt;"?",'Choix pédagogiques'!$C$5&lt;&gt;"?",AB53&lt;&gt;""),(AB53-'Choix pédagogiques'!$C$4)/('Choix pédagogiques'!$C$5-'Choix pédagogiques'!$C$4),"")</f>
        <v>0.2</v>
      </c>
      <c r="AX53" s="55" t="n">
        <f aca="false">IF(AND('Choix pédagogiques'!$C$4&lt;&gt;"?",'Choix pédagogiques'!$C$5&lt;&gt;"?",AC53&lt;&gt;""),(AC53-'Choix pédagogiques'!$C$4)/('Choix pédagogiques'!$C$5-'Choix pédagogiques'!$C$4),"")</f>
        <v>0.6</v>
      </c>
      <c r="AY53" s="55" t="n">
        <f aca="false">IF(AND('Choix pédagogiques'!$C$4&lt;&gt;"?",'Choix pédagogiques'!$C$5&lt;&gt;"?",AD53&lt;&gt;""),(AD53-'Choix pédagogiques'!$C$4)/('Choix pédagogiques'!$C$5-'Choix pédagogiques'!$C$4),"")</f>
        <v>0.55</v>
      </c>
      <c r="AZ53" s="53" t="str">
        <f aca="false">IF($J53&lt;&gt;"",$J53,"")</f>
        <v/>
      </c>
      <c r="BA53" s="52" t="n">
        <f aca="false">IF($A53&lt;&gt;"",$A53,"")</f>
        <v>283</v>
      </c>
      <c r="BB53" s="55" t="n">
        <f aca="false">IF(AND($AR53&lt;&gt;"",$AS53&lt;&gt;""),$AS53-$AR53,"")</f>
        <v>0.7</v>
      </c>
      <c r="BC53" s="55" t="n">
        <f aca="false">IF(AND($AR53&lt;&gt;"",$AT53&lt;&gt;""),$AT53-$AR53,"")</f>
        <v>0.6</v>
      </c>
      <c r="BD53" s="55" t="n">
        <f aca="false">IF(AND($AS53&lt;&gt;"",$AT53&lt;&gt;""),$AT53-$AS53,"")</f>
        <v>-0.1</v>
      </c>
      <c r="BE53" s="53" t="str">
        <f aca="false">IF($E53&lt;&gt;"",$E53,"")</f>
        <v/>
      </c>
      <c r="BF53" s="52" t="n">
        <f aca="false">IF($F53&lt;&gt;"",$F53,"")</f>
        <v>1299</v>
      </c>
      <c r="BG53" s="55" t="n">
        <f aca="false">IF(AND($AW53&lt;&gt;"",$AX53&lt;&gt;""),$AX53-$AW53,"")</f>
        <v>0.4</v>
      </c>
      <c r="BH53" s="55" t="n">
        <f aca="false">IF(AND($AW53&lt;&gt;"",$AY53&lt;&gt;""),$AY53-$AW53,"")</f>
        <v>0.35</v>
      </c>
      <c r="BI53" s="55" t="n">
        <f aca="false">IF(AND($AX53&lt;&gt;"",$AY53&lt;&gt;""),$AY53-$AX53,"")</f>
        <v>-0.0499999999999999</v>
      </c>
      <c r="BJ53" s="53" t="str">
        <f aca="false">IF($J53&lt;&gt;"",$J53,"")</f>
        <v/>
      </c>
      <c r="BL53" s="52"/>
      <c r="BM53" s="52" t="n">
        <f aca="false">IF(OR(COUNT(B53:D1052)=0,AND('Choix pédagogiques'!$C$3&lt;&gt;1,'Choix pédagogiques'!$C$3&lt;&gt;2)),"",IF(AND(OR('Choix pédagogiques'!$C$3=1,'Choix pédagogiques'!$C$3=2),$B53&lt;&gt;"",$C53&lt;&gt;"",$D53&lt;&gt;""),1,0))</f>
        <v>1</v>
      </c>
      <c r="BN53" s="52" t="n">
        <f aca="false">IF(OR(COUNT(G53:I1052)=0,AND('Choix pédagogiques'!$C$3&lt;&gt;1,'Choix pédagogiques'!$C$3&lt;&gt;2)),"",IF(AND(OR('Choix pédagogiques'!$C$3=1,'Choix pédagogiques'!$C$3=2),AND($G53&lt;&gt;"",$H53&lt;&gt;"",$I53&lt;&gt;"")),1,0))</f>
        <v>1</v>
      </c>
      <c r="BO53" s="52" t="str">
        <f aca="false">IF(OR(COUNT(B53:D1052)=0,COUNT(G53:I1052)=0,'Choix pédagogiques'!C$3&lt;&gt;3),"",IF(AND('Choix pédagogiques'!$C$3=3,$B53&lt;&gt;"",$C53&lt;&gt;"",$D53&lt;&gt;"",$G53&lt;&gt;"",$H53&lt;&gt;"",$I53&lt;&gt;""),1,0))</f>
        <v/>
      </c>
      <c r="BR53" s="52" t="n">
        <v>283</v>
      </c>
      <c r="BS53" s="52" t="n">
        <v>1299</v>
      </c>
    </row>
    <row r="54" s="54" customFormat="true" ht="18" hidden="false" customHeight="true" outlineLevel="0" collapsed="false">
      <c r="A54" s="49" t="n">
        <v>420</v>
      </c>
      <c r="B54" s="50" t="n">
        <v>2</v>
      </c>
      <c r="C54" s="50" t="n">
        <v>13</v>
      </c>
      <c r="D54" s="50" t="n">
        <v>10</v>
      </c>
      <c r="E54" s="51"/>
      <c r="F54" s="49" t="n">
        <v>1048</v>
      </c>
      <c r="G54" s="50" t="n">
        <v>6</v>
      </c>
      <c r="H54" s="50" t="n">
        <v>13</v>
      </c>
      <c r="I54" s="50" t="n">
        <v>12</v>
      </c>
      <c r="J54" s="51"/>
      <c r="K54" s="52" t="n">
        <f aca="false">IF($A54&lt;&gt;"",$A54,"")</f>
        <v>420</v>
      </c>
      <c r="L54" s="53" t="n">
        <f aca="false">IF(AND($B54&lt;&gt;"",$C54&lt;&gt;""),$C54-$B54,"")</f>
        <v>11</v>
      </c>
      <c r="M54" s="53" t="n">
        <f aca="false">IF(AND($B54&lt;&gt;"",$D54&lt;&gt;""),$D54-$B54,"")</f>
        <v>8</v>
      </c>
      <c r="N54" s="53" t="n">
        <f aca="false">IF(AND($C54&lt;&gt;"",$D54&lt;&gt;""),$D54-$C54,"")</f>
        <v>-3</v>
      </c>
      <c r="O54" s="53" t="str">
        <f aca="false">IF($E54&lt;&gt;"",$E54,"")</f>
        <v/>
      </c>
      <c r="P54" s="52" t="n">
        <f aca="false">IF($F54&lt;&gt;"",$F54,"")</f>
        <v>1048</v>
      </c>
      <c r="Q54" s="53" t="n">
        <f aca="false">IF(AND($G54&lt;&gt;"",$H54&lt;&gt;""),$H54-$G54,"")</f>
        <v>7</v>
      </c>
      <c r="R54" s="53" t="n">
        <f aca="false">IF(AND($G54&lt;&gt;"",$I54&lt;&gt;""),$I54-$G54,"")</f>
        <v>6</v>
      </c>
      <c r="S54" s="53" t="n">
        <f aca="false">IF(AND($H54&lt;&gt;"",$I54&lt;&gt;""),$I54-$H54,"")</f>
        <v>-1</v>
      </c>
      <c r="T54" s="53" t="str">
        <f aca="false">IF($J54&lt;&gt;"",$J54,"")</f>
        <v/>
      </c>
      <c r="V54" s="52" t="n">
        <f aca="false">IF($A54&lt;&gt;"",$A54,"")</f>
        <v>420</v>
      </c>
      <c r="W54" s="53" t="n">
        <f aca="false">IF(AND(OR('Choix pédagogiques'!$C$3=1,'Choix pédagogiques'!$C$3=2),$BM54=1),B54,IF(AND('Choix pédagogiques'!$C$3=3,$BO54=1),B54,""))</f>
        <v>2</v>
      </c>
      <c r="X54" s="53" t="n">
        <f aca="false">IF(AND(OR('Choix pédagogiques'!$C$3=1,'Choix pédagogiques'!$C$3=2),$BM54=1),C54,IF(AND('Choix pédagogiques'!$C$3=3,$BO54=1),C54,""))</f>
        <v>13</v>
      </c>
      <c r="Y54" s="53" t="n">
        <f aca="false">IF(AND(OR('Choix pédagogiques'!$C$3=1,'Choix pédagogiques'!$C$3=2),$BM54=1),D54,IF(AND('Choix pédagogiques'!$C$3=3,$BO54=1),D54,""))</f>
        <v>10</v>
      </c>
      <c r="Z54" s="53" t="str">
        <f aca="false">IF($E54&lt;&gt;"",$E54,"")</f>
        <v/>
      </c>
      <c r="AA54" s="52" t="n">
        <f aca="false">IF($F54&lt;&gt;"",$F54,"")</f>
        <v>1048</v>
      </c>
      <c r="AB54" s="53" t="n">
        <f aca="false">IF(AND(OR('Choix pédagogiques'!$C$3=1,'Choix pédagogiques'!$C$3=2),$BN54=1),G54,IF(AND('Choix pédagogiques'!$C$3=3,$BO54=1),G54,""))</f>
        <v>6</v>
      </c>
      <c r="AC54" s="53" t="n">
        <f aca="false">IF(AND(OR('Choix pédagogiques'!$C$3=1,'Choix pédagogiques'!$C$3=2),$BN54=1),H54,IF(AND('Choix pédagogiques'!$C$3=3,$BO54=1),H54,""))</f>
        <v>13</v>
      </c>
      <c r="AD54" s="53" t="n">
        <f aca="false">IF(AND(OR('Choix pédagogiques'!$C$3=1,'Choix pédagogiques'!$C$3=2),$BN54=1),I54,IF(AND('Choix pédagogiques'!$C$3=3,$BO54=1),I54,""))</f>
        <v>12</v>
      </c>
      <c r="AE54" s="53" t="str">
        <f aca="false">IF($J54&lt;&gt;"",$J54,"")</f>
        <v/>
      </c>
      <c r="AF54" s="52" t="n">
        <f aca="false">IF($A54&lt;&gt;"",$A54,"")</f>
        <v>420</v>
      </c>
      <c r="AG54" s="53" t="n">
        <f aca="false">IF(AND($W54&lt;&gt;"",$X54&lt;&gt;""),$X54-$W54,"")</f>
        <v>11</v>
      </c>
      <c r="AH54" s="53" t="n">
        <f aca="false">IF(AND($W54&lt;&gt;"",$Y54&lt;&gt;""),$Y54-$W54,"")</f>
        <v>8</v>
      </c>
      <c r="AI54" s="53" t="n">
        <f aca="false">IF(AND($X54&lt;&gt;"",$Y54&lt;&gt;""),$Y54-$X54,"")</f>
        <v>-3</v>
      </c>
      <c r="AJ54" s="53" t="str">
        <f aca="false">IF($E54&lt;&gt;"",$E54,"")</f>
        <v/>
      </c>
      <c r="AK54" s="52" t="n">
        <f aca="false">IF($F54&lt;&gt;"",$F54,"")</f>
        <v>1048</v>
      </c>
      <c r="AL54" s="53" t="n">
        <f aca="false">IF(AND($AB54&lt;&gt;"",$AC54&lt;&gt;""),$AC54-$AB54,"")</f>
        <v>7</v>
      </c>
      <c r="AM54" s="53" t="n">
        <f aca="false">IF(AND($AB54&lt;&gt;"",$AD54&lt;&gt;""),$AD54-$AB54,"")</f>
        <v>6</v>
      </c>
      <c r="AN54" s="53" t="n">
        <f aca="false">IF(AND($AC54&lt;&gt;"",$AD54&lt;&gt;""),$AD54-$AC54,"")</f>
        <v>-1</v>
      </c>
      <c r="AO54" s="53" t="str">
        <f aca="false">IF($J54&lt;&gt;"",$J54,"")</f>
        <v/>
      </c>
      <c r="AQ54" s="52" t="n">
        <f aca="false">IF($A54&lt;&gt;"",$A54,"")</f>
        <v>420</v>
      </c>
      <c r="AR54" s="55" t="n">
        <f aca="false">IF(AND('Choix pédagogiques'!$C$4&lt;&gt;"?",'Choix pédagogiques'!$C$5&lt;&gt;"?",W54&lt;&gt;""),(W54-'Choix pédagogiques'!$C$4)/('Choix pédagogiques'!$C$5-'Choix pédagogiques'!$C$4),"")</f>
        <v>0.1</v>
      </c>
      <c r="AS54" s="55" t="n">
        <f aca="false">IF(AND('Choix pédagogiques'!$C$4&lt;&gt;"?",'Choix pédagogiques'!$C$5&lt;&gt;"?",X54&lt;&gt;""),(X54-'Choix pédagogiques'!$C$4)/('Choix pédagogiques'!$C$5-'Choix pédagogiques'!$C$4),"")</f>
        <v>0.65</v>
      </c>
      <c r="AT54" s="55" t="n">
        <f aca="false">IF(AND('Choix pédagogiques'!$C$4&lt;&gt;"?",'Choix pédagogiques'!$C$5&lt;&gt;"?",Y54&lt;&gt;""),(Y54-'Choix pédagogiques'!$C$4)/('Choix pédagogiques'!$C$5-'Choix pédagogiques'!$C$4),"")</f>
        <v>0.5</v>
      </c>
      <c r="AU54" s="53" t="str">
        <f aca="false">IF($E54&lt;&gt;"",$E54,"")</f>
        <v/>
      </c>
      <c r="AV54" s="52" t="n">
        <f aca="false">IF($F54&lt;&gt;"",$F54,"")</f>
        <v>1048</v>
      </c>
      <c r="AW54" s="55" t="n">
        <f aca="false">IF(AND('Choix pédagogiques'!$C$4&lt;&gt;"?",'Choix pédagogiques'!$C$5&lt;&gt;"?",AB54&lt;&gt;""),(AB54-'Choix pédagogiques'!$C$4)/('Choix pédagogiques'!$C$5-'Choix pédagogiques'!$C$4),"")</f>
        <v>0.3</v>
      </c>
      <c r="AX54" s="55" t="n">
        <f aca="false">IF(AND('Choix pédagogiques'!$C$4&lt;&gt;"?",'Choix pédagogiques'!$C$5&lt;&gt;"?",AC54&lt;&gt;""),(AC54-'Choix pédagogiques'!$C$4)/('Choix pédagogiques'!$C$5-'Choix pédagogiques'!$C$4),"")</f>
        <v>0.65</v>
      </c>
      <c r="AY54" s="55" t="n">
        <f aca="false">IF(AND('Choix pédagogiques'!$C$4&lt;&gt;"?",'Choix pédagogiques'!$C$5&lt;&gt;"?",AD54&lt;&gt;""),(AD54-'Choix pédagogiques'!$C$4)/('Choix pédagogiques'!$C$5-'Choix pédagogiques'!$C$4),"")</f>
        <v>0.6</v>
      </c>
      <c r="AZ54" s="53" t="str">
        <f aca="false">IF($J54&lt;&gt;"",$J54,"")</f>
        <v/>
      </c>
      <c r="BA54" s="52" t="n">
        <f aca="false">IF($A54&lt;&gt;"",$A54,"")</f>
        <v>420</v>
      </c>
      <c r="BB54" s="55" t="n">
        <f aca="false">IF(AND($AR54&lt;&gt;"",$AS54&lt;&gt;""),$AS54-$AR54,"")</f>
        <v>0.55</v>
      </c>
      <c r="BC54" s="55" t="n">
        <f aca="false">IF(AND($AR54&lt;&gt;"",$AT54&lt;&gt;""),$AT54-$AR54,"")</f>
        <v>0.4</v>
      </c>
      <c r="BD54" s="55" t="n">
        <f aca="false">IF(AND($AS54&lt;&gt;"",$AT54&lt;&gt;""),$AT54-$AS54,"")</f>
        <v>-0.15</v>
      </c>
      <c r="BE54" s="53" t="str">
        <f aca="false">IF($E54&lt;&gt;"",$E54,"")</f>
        <v/>
      </c>
      <c r="BF54" s="52" t="n">
        <f aca="false">IF($F54&lt;&gt;"",$F54,"")</f>
        <v>1048</v>
      </c>
      <c r="BG54" s="55" t="n">
        <f aca="false">IF(AND($AW54&lt;&gt;"",$AX54&lt;&gt;""),$AX54-$AW54,"")</f>
        <v>0.35</v>
      </c>
      <c r="BH54" s="55" t="n">
        <f aca="false">IF(AND($AW54&lt;&gt;"",$AY54&lt;&gt;""),$AY54-$AW54,"")</f>
        <v>0.3</v>
      </c>
      <c r="BI54" s="55" t="n">
        <f aca="false">IF(AND($AX54&lt;&gt;"",$AY54&lt;&gt;""),$AY54-$AX54,"")</f>
        <v>-0.05</v>
      </c>
      <c r="BJ54" s="53" t="str">
        <f aca="false">IF($J54&lt;&gt;"",$J54,"")</f>
        <v/>
      </c>
      <c r="BL54" s="52"/>
      <c r="BM54" s="52" t="n">
        <f aca="false">IF(OR(COUNT(B54:D1053)=0,AND('Choix pédagogiques'!$C$3&lt;&gt;1,'Choix pédagogiques'!$C$3&lt;&gt;2)),"",IF(AND(OR('Choix pédagogiques'!$C$3=1,'Choix pédagogiques'!$C$3=2),$B54&lt;&gt;"",$C54&lt;&gt;"",$D54&lt;&gt;""),1,0))</f>
        <v>1</v>
      </c>
      <c r="BN54" s="52" t="n">
        <f aca="false">IF(OR(COUNT(G54:I1053)=0,AND('Choix pédagogiques'!$C$3&lt;&gt;1,'Choix pédagogiques'!$C$3&lt;&gt;2)),"",IF(AND(OR('Choix pédagogiques'!$C$3=1,'Choix pédagogiques'!$C$3=2),AND($G54&lt;&gt;"",$H54&lt;&gt;"",$I54&lt;&gt;"")),1,0))</f>
        <v>1</v>
      </c>
      <c r="BO54" s="52" t="str">
        <f aca="false">IF(OR(COUNT(B54:D1053)=0,COUNT(G54:I1053)=0,'Choix pédagogiques'!C$3&lt;&gt;3),"",IF(AND('Choix pédagogiques'!$C$3=3,$B54&lt;&gt;"",$C54&lt;&gt;"",$D54&lt;&gt;"",$G54&lt;&gt;"",$H54&lt;&gt;"",$I54&lt;&gt;""),1,0))</f>
        <v/>
      </c>
      <c r="BR54" s="52" t="n">
        <v>420</v>
      </c>
      <c r="BS54" s="52" t="n">
        <v>1048</v>
      </c>
    </row>
    <row r="55" s="54" customFormat="true" ht="18" hidden="false" customHeight="true" outlineLevel="0" collapsed="false">
      <c r="A55" s="49" t="n">
        <v>556</v>
      </c>
      <c r="B55" s="50" t="n">
        <v>3</v>
      </c>
      <c r="C55" s="50" t="n">
        <v>12</v>
      </c>
      <c r="D55" s="50" t="n">
        <v>10</v>
      </c>
      <c r="E55" s="51"/>
      <c r="F55" s="49" t="n">
        <v>1110</v>
      </c>
      <c r="G55" s="50" t="n">
        <v>2</v>
      </c>
      <c r="H55" s="50" t="n">
        <v>15</v>
      </c>
      <c r="I55" s="50" t="n">
        <v>15</v>
      </c>
      <c r="J55" s="51"/>
      <c r="K55" s="52" t="n">
        <f aca="false">IF($A55&lt;&gt;"",$A55,"")</f>
        <v>556</v>
      </c>
      <c r="L55" s="53" t="n">
        <f aca="false">IF(AND($B55&lt;&gt;"",$C55&lt;&gt;""),$C55-$B55,"")</f>
        <v>9</v>
      </c>
      <c r="M55" s="53" t="n">
        <f aca="false">IF(AND($B55&lt;&gt;"",$D55&lt;&gt;""),$D55-$B55,"")</f>
        <v>7</v>
      </c>
      <c r="N55" s="53" t="n">
        <f aca="false">IF(AND($C55&lt;&gt;"",$D55&lt;&gt;""),$D55-$C55,"")</f>
        <v>-2</v>
      </c>
      <c r="O55" s="53" t="str">
        <f aca="false">IF($E55&lt;&gt;"",$E55,"")</f>
        <v/>
      </c>
      <c r="P55" s="52" t="n">
        <f aca="false">IF($F55&lt;&gt;"",$F55,"")</f>
        <v>1110</v>
      </c>
      <c r="Q55" s="53" t="n">
        <f aca="false">IF(AND($G55&lt;&gt;"",$H55&lt;&gt;""),$H55-$G55,"")</f>
        <v>13</v>
      </c>
      <c r="R55" s="53" t="n">
        <f aca="false">IF(AND($G55&lt;&gt;"",$I55&lt;&gt;""),$I55-$G55,"")</f>
        <v>13</v>
      </c>
      <c r="S55" s="53" t="n">
        <f aca="false">IF(AND($H55&lt;&gt;"",$I55&lt;&gt;""),$I55-$H55,"")</f>
        <v>0</v>
      </c>
      <c r="T55" s="53" t="str">
        <f aca="false">IF($J55&lt;&gt;"",$J55,"")</f>
        <v/>
      </c>
      <c r="V55" s="52" t="n">
        <f aca="false">IF($A55&lt;&gt;"",$A55,"")</f>
        <v>556</v>
      </c>
      <c r="W55" s="53" t="n">
        <f aca="false">IF(AND(OR('Choix pédagogiques'!$C$3=1,'Choix pédagogiques'!$C$3=2),$BM55=1),B55,IF(AND('Choix pédagogiques'!$C$3=3,$BO55=1),B55,""))</f>
        <v>3</v>
      </c>
      <c r="X55" s="53" t="n">
        <f aca="false">IF(AND(OR('Choix pédagogiques'!$C$3=1,'Choix pédagogiques'!$C$3=2),$BM55=1),C55,IF(AND('Choix pédagogiques'!$C$3=3,$BO55=1),C55,""))</f>
        <v>12</v>
      </c>
      <c r="Y55" s="53" t="n">
        <f aca="false">IF(AND(OR('Choix pédagogiques'!$C$3=1,'Choix pédagogiques'!$C$3=2),$BM55=1),D55,IF(AND('Choix pédagogiques'!$C$3=3,$BO55=1),D55,""))</f>
        <v>10</v>
      </c>
      <c r="Z55" s="53" t="str">
        <f aca="false">IF($E55&lt;&gt;"",$E55,"")</f>
        <v/>
      </c>
      <c r="AA55" s="52" t="n">
        <f aca="false">IF($F55&lt;&gt;"",$F55,"")</f>
        <v>1110</v>
      </c>
      <c r="AB55" s="53" t="n">
        <f aca="false">IF(AND(OR('Choix pédagogiques'!$C$3=1,'Choix pédagogiques'!$C$3=2),$BN55=1),G55,IF(AND('Choix pédagogiques'!$C$3=3,$BO55=1),G55,""))</f>
        <v>2</v>
      </c>
      <c r="AC55" s="53" t="n">
        <f aca="false">IF(AND(OR('Choix pédagogiques'!$C$3=1,'Choix pédagogiques'!$C$3=2),$BN55=1),H55,IF(AND('Choix pédagogiques'!$C$3=3,$BO55=1),H55,""))</f>
        <v>15</v>
      </c>
      <c r="AD55" s="53" t="n">
        <f aca="false">IF(AND(OR('Choix pédagogiques'!$C$3=1,'Choix pédagogiques'!$C$3=2),$BN55=1),I55,IF(AND('Choix pédagogiques'!$C$3=3,$BO55=1),I55,""))</f>
        <v>15</v>
      </c>
      <c r="AE55" s="53" t="str">
        <f aca="false">IF($J55&lt;&gt;"",$J55,"")</f>
        <v/>
      </c>
      <c r="AF55" s="52" t="n">
        <f aca="false">IF($A55&lt;&gt;"",$A55,"")</f>
        <v>556</v>
      </c>
      <c r="AG55" s="53" t="n">
        <f aca="false">IF(AND($W55&lt;&gt;"",$X55&lt;&gt;""),$X55-$W55,"")</f>
        <v>9</v>
      </c>
      <c r="AH55" s="53" t="n">
        <f aca="false">IF(AND($W55&lt;&gt;"",$Y55&lt;&gt;""),$Y55-$W55,"")</f>
        <v>7</v>
      </c>
      <c r="AI55" s="53" t="n">
        <f aca="false">IF(AND($X55&lt;&gt;"",$Y55&lt;&gt;""),$Y55-$X55,"")</f>
        <v>-2</v>
      </c>
      <c r="AJ55" s="53" t="str">
        <f aca="false">IF($E55&lt;&gt;"",$E55,"")</f>
        <v/>
      </c>
      <c r="AK55" s="52" t="n">
        <f aca="false">IF($F55&lt;&gt;"",$F55,"")</f>
        <v>1110</v>
      </c>
      <c r="AL55" s="53" t="n">
        <f aca="false">IF(AND($AB55&lt;&gt;"",$AC55&lt;&gt;""),$AC55-$AB55,"")</f>
        <v>13</v>
      </c>
      <c r="AM55" s="53" t="n">
        <f aca="false">IF(AND($AB55&lt;&gt;"",$AD55&lt;&gt;""),$AD55-$AB55,"")</f>
        <v>13</v>
      </c>
      <c r="AN55" s="53" t="n">
        <f aca="false">IF(AND($AC55&lt;&gt;"",$AD55&lt;&gt;""),$AD55-$AC55,"")</f>
        <v>0</v>
      </c>
      <c r="AO55" s="53" t="str">
        <f aca="false">IF($J55&lt;&gt;"",$J55,"")</f>
        <v/>
      </c>
      <c r="AQ55" s="52" t="n">
        <f aca="false">IF($A55&lt;&gt;"",$A55,"")</f>
        <v>556</v>
      </c>
      <c r="AR55" s="55" t="n">
        <f aca="false">IF(AND('Choix pédagogiques'!$C$4&lt;&gt;"?",'Choix pédagogiques'!$C$5&lt;&gt;"?",W55&lt;&gt;""),(W55-'Choix pédagogiques'!$C$4)/('Choix pédagogiques'!$C$5-'Choix pédagogiques'!$C$4),"")</f>
        <v>0.15</v>
      </c>
      <c r="AS55" s="55" t="n">
        <f aca="false">IF(AND('Choix pédagogiques'!$C$4&lt;&gt;"?",'Choix pédagogiques'!$C$5&lt;&gt;"?",X55&lt;&gt;""),(X55-'Choix pédagogiques'!$C$4)/('Choix pédagogiques'!$C$5-'Choix pédagogiques'!$C$4),"")</f>
        <v>0.6</v>
      </c>
      <c r="AT55" s="55" t="n">
        <f aca="false">IF(AND('Choix pédagogiques'!$C$4&lt;&gt;"?",'Choix pédagogiques'!$C$5&lt;&gt;"?",Y55&lt;&gt;""),(Y55-'Choix pédagogiques'!$C$4)/('Choix pédagogiques'!$C$5-'Choix pédagogiques'!$C$4),"")</f>
        <v>0.5</v>
      </c>
      <c r="AU55" s="53" t="str">
        <f aca="false">IF($E55&lt;&gt;"",$E55,"")</f>
        <v/>
      </c>
      <c r="AV55" s="52" t="n">
        <f aca="false">IF($F55&lt;&gt;"",$F55,"")</f>
        <v>1110</v>
      </c>
      <c r="AW55" s="55" t="n">
        <f aca="false">IF(AND('Choix pédagogiques'!$C$4&lt;&gt;"?",'Choix pédagogiques'!$C$5&lt;&gt;"?",AB55&lt;&gt;""),(AB55-'Choix pédagogiques'!$C$4)/('Choix pédagogiques'!$C$5-'Choix pédagogiques'!$C$4),"")</f>
        <v>0.1</v>
      </c>
      <c r="AX55" s="55" t="n">
        <f aca="false">IF(AND('Choix pédagogiques'!$C$4&lt;&gt;"?",'Choix pédagogiques'!$C$5&lt;&gt;"?",AC55&lt;&gt;""),(AC55-'Choix pédagogiques'!$C$4)/('Choix pédagogiques'!$C$5-'Choix pédagogiques'!$C$4),"")</f>
        <v>0.75</v>
      </c>
      <c r="AY55" s="55" t="n">
        <f aca="false">IF(AND('Choix pédagogiques'!$C$4&lt;&gt;"?",'Choix pédagogiques'!$C$5&lt;&gt;"?",AD55&lt;&gt;""),(AD55-'Choix pédagogiques'!$C$4)/('Choix pédagogiques'!$C$5-'Choix pédagogiques'!$C$4),"")</f>
        <v>0.75</v>
      </c>
      <c r="AZ55" s="53" t="str">
        <f aca="false">IF($J55&lt;&gt;"",$J55,"")</f>
        <v/>
      </c>
      <c r="BA55" s="52" t="n">
        <f aca="false">IF($A55&lt;&gt;"",$A55,"")</f>
        <v>556</v>
      </c>
      <c r="BB55" s="55" t="n">
        <f aca="false">IF(AND($AR55&lt;&gt;"",$AS55&lt;&gt;""),$AS55-$AR55,"")</f>
        <v>0.45</v>
      </c>
      <c r="BC55" s="55" t="n">
        <f aca="false">IF(AND($AR55&lt;&gt;"",$AT55&lt;&gt;""),$AT55-$AR55,"")</f>
        <v>0.35</v>
      </c>
      <c r="BD55" s="55" t="n">
        <f aca="false">IF(AND($AS55&lt;&gt;"",$AT55&lt;&gt;""),$AT55-$AS55,"")</f>
        <v>-0.1</v>
      </c>
      <c r="BE55" s="53" t="str">
        <f aca="false">IF($E55&lt;&gt;"",$E55,"")</f>
        <v/>
      </c>
      <c r="BF55" s="52" t="n">
        <f aca="false">IF($F55&lt;&gt;"",$F55,"")</f>
        <v>1110</v>
      </c>
      <c r="BG55" s="55" t="n">
        <f aca="false">IF(AND($AW55&lt;&gt;"",$AX55&lt;&gt;""),$AX55-$AW55,"")</f>
        <v>0.65</v>
      </c>
      <c r="BH55" s="55" t="n">
        <f aca="false">IF(AND($AW55&lt;&gt;"",$AY55&lt;&gt;""),$AY55-$AW55,"")</f>
        <v>0.65</v>
      </c>
      <c r="BI55" s="55" t="n">
        <f aca="false">IF(AND($AX55&lt;&gt;"",$AY55&lt;&gt;""),$AY55-$AX55,"")</f>
        <v>0</v>
      </c>
      <c r="BJ55" s="53" t="str">
        <f aca="false">IF($J55&lt;&gt;"",$J55,"")</f>
        <v/>
      </c>
      <c r="BL55" s="52"/>
      <c r="BM55" s="52" t="n">
        <f aca="false">IF(OR(COUNT(B55:D1054)=0,AND('Choix pédagogiques'!$C$3&lt;&gt;1,'Choix pédagogiques'!$C$3&lt;&gt;2)),"",IF(AND(OR('Choix pédagogiques'!$C$3=1,'Choix pédagogiques'!$C$3=2),$B55&lt;&gt;"",$C55&lt;&gt;"",$D55&lt;&gt;""),1,0))</f>
        <v>1</v>
      </c>
      <c r="BN55" s="52" t="n">
        <f aca="false">IF(OR(COUNT(G55:I1054)=0,AND('Choix pédagogiques'!$C$3&lt;&gt;1,'Choix pédagogiques'!$C$3&lt;&gt;2)),"",IF(AND(OR('Choix pédagogiques'!$C$3=1,'Choix pédagogiques'!$C$3=2),AND($G55&lt;&gt;"",$H55&lt;&gt;"",$I55&lt;&gt;"")),1,0))</f>
        <v>1</v>
      </c>
      <c r="BO55" s="52" t="str">
        <f aca="false">IF(OR(COUNT(B55:D1054)=0,COUNT(G55:I1054)=0,'Choix pédagogiques'!C$3&lt;&gt;3),"",IF(AND('Choix pédagogiques'!$C$3=3,$B55&lt;&gt;"",$C55&lt;&gt;"",$D55&lt;&gt;"",$G55&lt;&gt;"",$H55&lt;&gt;"",$I55&lt;&gt;""),1,0))</f>
        <v/>
      </c>
      <c r="BR55" s="52" t="n">
        <v>556</v>
      </c>
      <c r="BS55" s="52" t="n">
        <v>1110</v>
      </c>
    </row>
    <row r="56" s="54" customFormat="true" ht="18" hidden="false" customHeight="true" outlineLevel="0" collapsed="false">
      <c r="A56" s="49" t="n">
        <v>191</v>
      </c>
      <c r="B56" s="50" t="n">
        <v>1</v>
      </c>
      <c r="C56" s="50" t="n">
        <v>15</v>
      </c>
      <c r="D56" s="50" t="n">
        <v>10</v>
      </c>
      <c r="E56" s="51"/>
      <c r="F56" s="49" t="n">
        <v>1157</v>
      </c>
      <c r="G56" s="50" t="n">
        <v>3</v>
      </c>
      <c r="H56" s="50" t="n">
        <v>17</v>
      </c>
      <c r="I56" s="50" t="n">
        <v>18</v>
      </c>
      <c r="J56" s="51"/>
      <c r="K56" s="52" t="n">
        <f aca="false">IF($A56&lt;&gt;"",$A56,"")</f>
        <v>191</v>
      </c>
      <c r="L56" s="53" t="n">
        <f aca="false">IF(AND($B56&lt;&gt;"",$C56&lt;&gt;""),$C56-$B56,"")</f>
        <v>14</v>
      </c>
      <c r="M56" s="53" t="n">
        <f aca="false">IF(AND($B56&lt;&gt;"",$D56&lt;&gt;""),$D56-$B56,"")</f>
        <v>9</v>
      </c>
      <c r="N56" s="53" t="n">
        <f aca="false">IF(AND($C56&lt;&gt;"",$D56&lt;&gt;""),$D56-$C56,"")</f>
        <v>-5</v>
      </c>
      <c r="O56" s="53" t="str">
        <f aca="false">IF($E56&lt;&gt;"",$E56,"")</f>
        <v/>
      </c>
      <c r="P56" s="52" t="n">
        <f aca="false">IF($F56&lt;&gt;"",$F56,"")</f>
        <v>1157</v>
      </c>
      <c r="Q56" s="53" t="n">
        <f aca="false">IF(AND($G56&lt;&gt;"",$H56&lt;&gt;""),$H56-$G56,"")</f>
        <v>14</v>
      </c>
      <c r="R56" s="53" t="n">
        <f aca="false">IF(AND($G56&lt;&gt;"",$I56&lt;&gt;""),$I56-$G56,"")</f>
        <v>15</v>
      </c>
      <c r="S56" s="53" t="n">
        <f aca="false">IF(AND($H56&lt;&gt;"",$I56&lt;&gt;""),$I56-$H56,"")</f>
        <v>1</v>
      </c>
      <c r="T56" s="53" t="str">
        <f aca="false">IF($J56&lt;&gt;"",$J56,"")</f>
        <v/>
      </c>
      <c r="V56" s="52" t="n">
        <f aca="false">IF($A56&lt;&gt;"",$A56,"")</f>
        <v>191</v>
      </c>
      <c r="W56" s="53" t="n">
        <f aca="false">IF(AND(OR('Choix pédagogiques'!$C$3=1,'Choix pédagogiques'!$C$3=2),$BM56=1),B56,IF(AND('Choix pédagogiques'!$C$3=3,$BO56=1),B56,""))</f>
        <v>1</v>
      </c>
      <c r="X56" s="53" t="n">
        <f aca="false">IF(AND(OR('Choix pédagogiques'!$C$3=1,'Choix pédagogiques'!$C$3=2),$BM56=1),C56,IF(AND('Choix pédagogiques'!$C$3=3,$BO56=1),C56,""))</f>
        <v>15</v>
      </c>
      <c r="Y56" s="53" t="n">
        <f aca="false">IF(AND(OR('Choix pédagogiques'!$C$3=1,'Choix pédagogiques'!$C$3=2),$BM56=1),D56,IF(AND('Choix pédagogiques'!$C$3=3,$BO56=1),D56,""))</f>
        <v>10</v>
      </c>
      <c r="Z56" s="53" t="str">
        <f aca="false">IF($E56&lt;&gt;"",$E56,"")</f>
        <v/>
      </c>
      <c r="AA56" s="52" t="n">
        <f aca="false">IF($F56&lt;&gt;"",$F56,"")</f>
        <v>1157</v>
      </c>
      <c r="AB56" s="53" t="n">
        <f aca="false">IF(AND(OR('Choix pédagogiques'!$C$3=1,'Choix pédagogiques'!$C$3=2),$BN56=1),G56,IF(AND('Choix pédagogiques'!$C$3=3,$BO56=1),G56,""))</f>
        <v>3</v>
      </c>
      <c r="AC56" s="53" t="n">
        <f aca="false">IF(AND(OR('Choix pédagogiques'!$C$3=1,'Choix pédagogiques'!$C$3=2),$BN56=1),H56,IF(AND('Choix pédagogiques'!$C$3=3,$BO56=1),H56,""))</f>
        <v>17</v>
      </c>
      <c r="AD56" s="53" t="n">
        <f aca="false">IF(AND(OR('Choix pédagogiques'!$C$3=1,'Choix pédagogiques'!$C$3=2),$BN56=1),I56,IF(AND('Choix pédagogiques'!$C$3=3,$BO56=1),I56,""))</f>
        <v>18</v>
      </c>
      <c r="AE56" s="53" t="str">
        <f aca="false">IF($J56&lt;&gt;"",$J56,"")</f>
        <v/>
      </c>
      <c r="AF56" s="52" t="n">
        <f aca="false">IF($A56&lt;&gt;"",$A56,"")</f>
        <v>191</v>
      </c>
      <c r="AG56" s="53" t="n">
        <f aca="false">IF(AND($W56&lt;&gt;"",$X56&lt;&gt;""),$X56-$W56,"")</f>
        <v>14</v>
      </c>
      <c r="AH56" s="53" t="n">
        <f aca="false">IF(AND($W56&lt;&gt;"",$Y56&lt;&gt;""),$Y56-$W56,"")</f>
        <v>9</v>
      </c>
      <c r="AI56" s="53" t="n">
        <f aca="false">IF(AND($X56&lt;&gt;"",$Y56&lt;&gt;""),$Y56-$X56,"")</f>
        <v>-5</v>
      </c>
      <c r="AJ56" s="53" t="str">
        <f aca="false">IF($E56&lt;&gt;"",$E56,"")</f>
        <v/>
      </c>
      <c r="AK56" s="52" t="n">
        <f aca="false">IF($F56&lt;&gt;"",$F56,"")</f>
        <v>1157</v>
      </c>
      <c r="AL56" s="53" t="n">
        <f aca="false">IF(AND($AB56&lt;&gt;"",$AC56&lt;&gt;""),$AC56-$AB56,"")</f>
        <v>14</v>
      </c>
      <c r="AM56" s="53" t="n">
        <f aca="false">IF(AND($AB56&lt;&gt;"",$AD56&lt;&gt;""),$AD56-$AB56,"")</f>
        <v>15</v>
      </c>
      <c r="AN56" s="53" t="n">
        <f aca="false">IF(AND($AC56&lt;&gt;"",$AD56&lt;&gt;""),$AD56-$AC56,"")</f>
        <v>1</v>
      </c>
      <c r="AO56" s="53" t="str">
        <f aca="false">IF($J56&lt;&gt;"",$J56,"")</f>
        <v/>
      </c>
      <c r="AQ56" s="52" t="n">
        <f aca="false">IF($A56&lt;&gt;"",$A56,"")</f>
        <v>191</v>
      </c>
      <c r="AR56" s="55" t="n">
        <f aca="false">IF(AND('Choix pédagogiques'!$C$4&lt;&gt;"?",'Choix pédagogiques'!$C$5&lt;&gt;"?",W56&lt;&gt;""),(W56-'Choix pédagogiques'!$C$4)/('Choix pédagogiques'!$C$5-'Choix pédagogiques'!$C$4),"")</f>
        <v>0.05</v>
      </c>
      <c r="AS56" s="55" t="n">
        <f aca="false">IF(AND('Choix pédagogiques'!$C$4&lt;&gt;"?",'Choix pédagogiques'!$C$5&lt;&gt;"?",X56&lt;&gt;""),(X56-'Choix pédagogiques'!$C$4)/('Choix pédagogiques'!$C$5-'Choix pédagogiques'!$C$4),"")</f>
        <v>0.75</v>
      </c>
      <c r="AT56" s="55" t="n">
        <f aca="false">IF(AND('Choix pédagogiques'!$C$4&lt;&gt;"?",'Choix pédagogiques'!$C$5&lt;&gt;"?",Y56&lt;&gt;""),(Y56-'Choix pédagogiques'!$C$4)/('Choix pédagogiques'!$C$5-'Choix pédagogiques'!$C$4),"")</f>
        <v>0.5</v>
      </c>
      <c r="AU56" s="53" t="str">
        <f aca="false">IF($E56&lt;&gt;"",$E56,"")</f>
        <v/>
      </c>
      <c r="AV56" s="52" t="n">
        <f aca="false">IF($F56&lt;&gt;"",$F56,"")</f>
        <v>1157</v>
      </c>
      <c r="AW56" s="55" t="n">
        <f aca="false">IF(AND('Choix pédagogiques'!$C$4&lt;&gt;"?",'Choix pédagogiques'!$C$5&lt;&gt;"?",AB56&lt;&gt;""),(AB56-'Choix pédagogiques'!$C$4)/('Choix pédagogiques'!$C$5-'Choix pédagogiques'!$C$4),"")</f>
        <v>0.15</v>
      </c>
      <c r="AX56" s="55" t="n">
        <f aca="false">IF(AND('Choix pédagogiques'!$C$4&lt;&gt;"?",'Choix pédagogiques'!$C$5&lt;&gt;"?",AC56&lt;&gt;""),(AC56-'Choix pédagogiques'!$C$4)/('Choix pédagogiques'!$C$5-'Choix pédagogiques'!$C$4),"")</f>
        <v>0.85</v>
      </c>
      <c r="AY56" s="55" t="n">
        <f aca="false">IF(AND('Choix pédagogiques'!$C$4&lt;&gt;"?",'Choix pédagogiques'!$C$5&lt;&gt;"?",AD56&lt;&gt;""),(AD56-'Choix pédagogiques'!$C$4)/('Choix pédagogiques'!$C$5-'Choix pédagogiques'!$C$4),"")</f>
        <v>0.9</v>
      </c>
      <c r="AZ56" s="53" t="str">
        <f aca="false">IF($J56&lt;&gt;"",$J56,"")</f>
        <v/>
      </c>
      <c r="BA56" s="52" t="n">
        <f aca="false">IF($A56&lt;&gt;"",$A56,"")</f>
        <v>191</v>
      </c>
      <c r="BB56" s="55" t="n">
        <f aca="false">IF(AND($AR56&lt;&gt;"",$AS56&lt;&gt;""),$AS56-$AR56,"")</f>
        <v>0.7</v>
      </c>
      <c r="BC56" s="55" t="n">
        <f aca="false">IF(AND($AR56&lt;&gt;"",$AT56&lt;&gt;""),$AT56-$AR56,"")</f>
        <v>0.45</v>
      </c>
      <c r="BD56" s="55" t="n">
        <f aca="false">IF(AND($AS56&lt;&gt;"",$AT56&lt;&gt;""),$AT56-$AS56,"")</f>
        <v>-0.25</v>
      </c>
      <c r="BE56" s="53" t="str">
        <f aca="false">IF($E56&lt;&gt;"",$E56,"")</f>
        <v/>
      </c>
      <c r="BF56" s="52" t="n">
        <f aca="false">IF($F56&lt;&gt;"",$F56,"")</f>
        <v>1157</v>
      </c>
      <c r="BG56" s="55" t="n">
        <f aca="false">IF(AND($AW56&lt;&gt;"",$AX56&lt;&gt;""),$AX56-$AW56,"")</f>
        <v>0.7</v>
      </c>
      <c r="BH56" s="55" t="n">
        <f aca="false">IF(AND($AW56&lt;&gt;"",$AY56&lt;&gt;""),$AY56-$AW56,"")</f>
        <v>0.75</v>
      </c>
      <c r="BI56" s="55" t="n">
        <f aca="false">IF(AND($AX56&lt;&gt;"",$AY56&lt;&gt;""),$AY56-$AX56,"")</f>
        <v>0.05</v>
      </c>
      <c r="BJ56" s="53" t="str">
        <f aca="false">IF($J56&lt;&gt;"",$J56,"")</f>
        <v/>
      </c>
      <c r="BL56" s="52"/>
      <c r="BM56" s="52" t="n">
        <f aca="false">IF(OR(COUNT(B56:D1055)=0,AND('Choix pédagogiques'!$C$3&lt;&gt;1,'Choix pédagogiques'!$C$3&lt;&gt;2)),"",IF(AND(OR('Choix pédagogiques'!$C$3=1,'Choix pédagogiques'!$C$3=2),$B56&lt;&gt;"",$C56&lt;&gt;"",$D56&lt;&gt;""),1,0))</f>
        <v>1</v>
      </c>
      <c r="BN56" s="52" t="n">
        <f aca="false">IF(OR(COUNT(G56:I1055)=0,AND('Choix pédagogiques'!$C$3&lt;&gt;1,'Choix pédagogiques'!$C$3&lt;&gt;2)),"",IF(AND(OR('Choix pédagogiques'!$C$3=1,'Choix pédagogiques'!$C$3=2),AND($G56&lt;&gt;"",$H56&lt;&gt;"",$I56&lt;&gt;"")),1,0))</f>
        <v>1</v>
      </c>
      <c r="BO56" s="52" t="str">
        <f aca="false">IF(OR(COUNT(B56:D1055)=0,COUNT(G56:I1055)=0,'Choix pédagogiques'!C$3&lt;&gt;3),"",IF(AND('Choix pédagogiques'!$C$3=3,$B56&lt;&gt;"",$C56&lt;&gt;"",$D56&lt;&gt;"",$G56&lt;&gt;"",$H56&lt;&gt;"",$I56&lt;&gt;""),1,0))</f>
        <v/>
      </c>
      <c r="BR56" s="52" t="n">
        <v>191</v>
      </c>
      <c r="BS56" s="52" t="n">
        <v>1157</v>
      </c>
    </row>
    <row r="57" s="54" customFormat="true" ht="18" hidden="false" customHeight="true" outlineLevel="0" collapsed="false">
      <c r="A57" s="49" t="n">
        <v>80</v>
      </c>
      <c r="B57" s="50" t="n">
        <v>4</v>
      </c>
      <c r="C57" s="50" t="n">
        <v>17</v>
      </c>
      <c r="D57" s="50" t="n">
        <v>15</v>
      </c>
      <c r="E57" s="51"/>
      <c r="F57" s="49" t="n">
        <v>1206</v>
      </c>
      <c r="G57" s="50" t="n">
        <v>0</v>
      </c>
      <c r="H57" s="50" t="n">
        <v>16</v>
      </c>
      <c r="I57" s="50" t="n">
        <v>4</v>
      </c>
      <c r="J57" s="56" t="s">
        <v>46</v>
      </c>
      <c r="K57" s="52" t="n">
        <f aca="false">IF($A57&lt;&gt;"",$A57,"")</f>
        <v>80</v>
      </c>
      <c r="L57" s="53" t="n">
        <f aca="false">IF(AND($B57&lt;&gt;"",$C57&lt;&gt;""),$C57-$B57,"")</f>
        <v>13</v>
      </c>
      <c r="M57" s="53" t="n">
        <f aca="false">IF(AND($B57&lt;&gt;"",$D57&lt;&gt;""),$D57-$B57,"")</f>
        <v>11</v>
      </c>
      <c r="N57" s="53" t="n">
        <f aca="false">IF(AND($C57&lt;&gt;"",$D57&lt;&gt;""),$D57-$C57,"")</f>
        <v>-2</v>
      </c>
      <c r="O57" s="53" t="str">
        <f aca="false">IF($E57&lt;&gt;"",$E57,"")</f>
        <v/>
      </c>
      <c r="P57" s="52" t="n">
        <f aca="false">IF($F57&lt;&gt;"",$F57,"")</f>
        <v>1206</v>
      </c>
      <c r="Q57" s="53" t="n">
        <f aca="false">IF(AND($G57&lt;&gt;"",$H57&lt;&gt;""),$H57-$G57,"")</f>
        <v>16</v>
      </c>
      <c r="R57" s="53" t="n">
        <f aca="false">IF(AND($G57&lt;&gt;"",$I57&lt;&gt;""),$I57-$G57,"")</f>
        <v>4</v>
      </c>
      <c r="S57" s="53" t="n">
        <f aca="false">IF(AND($H57&lt;&gt;"",$I57&lt;&gt;""),$I57-$H57,"")</f>
        <v>-12</v>
      </c>
      <c r="T57" s="53" t="str">
        <f aca="false">IF($J57&lt;&gt;"",$J57,"")</f>
        <v>ptd : pleure pendant test ?</v>
      </c>
      <c r="V57" s="52" t="n">
        <f aca="false">IF($A57&lt;&gt;"",$A57,"")</f>
        <v>80</v>
      </c>
      <c r="W57" s="53" t="n">
        <f aca="false">IF(AND(OR('Choix pédagogiques'!$C$3=1,'Choix pédagogiques'!$C$3=2),$BM57=1),B57,IF(AND('Choix pédagogiques'!$C$3=3,$BO57=1),B57,""))</f>
        <v>4</v>
      </c>
      <c r="X57" s="53" t="n">
        <f aca="false">IF(AND(OR('Choix pédagogiques'!$C$3=1,'Choix pédagogiques'!$C$3=2),$BM57=1),C57,IF(AND('Choix pédagogiques'!$C$3=3,$BO57=1),C57,""))</f>
        <v>17</v>
      </c>
      <c r="Y57" s="53" t="n">
        <f aca="false">IF(AND(OR('Choix pédagogiques'!$C$3=1,'Choix pédagogiques'!$C$3=2),$BM57=1),D57,IF(AND('Choix pédagogiques'!$C$3=3,$BO57=1),D57,""))</f>
        <v>15</v>
      </c>
      <c r="Z57" s="53" t="str">
        <f aca="false">IF($E57&lt;&gt;"",$E57,"")</f>
        <v/>
      </c>
      <c r="AA57" s="52" t="n">
        <f aca="false">IF($F57&lt;&gt;"",$F57,"")</f>
        <v>1206</v>
      </c>
      <c r="AB57" s="53" t="n">
        <f aca="false">IF(AND(OR('Choix pédagogiques'!$C$3=1,'Choix pédagogiques'!$C$3=2),$BN57=1),G57,IF(AND('Choix pédagogiques'!$C$3=3,$BO57=1),G57,""))</f>
        <v>0</v>
      </c>
      <c r="AC57" s="53" t="n">
        <f aca="false">IF(AND(OR('Choix pédagogiques'!$C$3=1,'Choix pédagogiques'!$C$3=2),$BN57=1),H57,IF(AND('Choix pédagogiques'!$C$3=3,$BO57=1),H57,""))</f>
        <v>16</v>
      </c>
      <c r="AD57" s="53" t="n">
        <f aca="false">IF(AND(OR('Choix pédagogiques'!$C$3=1,'Choix pédagogiques'!$C$3=2),$BN57=1),I57,IF(AND('Choix pédagogiques'!$C$3=3,$BO57=1),I57,""))</f>
        <v>4</v>
      </c>
      <c r="AE57" s="53" t="str">
        <f aca="false">IF($J57&lt;&gt;"",$J57,"")</f>
        <v>ptd : pleure pendant test ?</v>
      </c>
      <c r="AF57" s="52" t="n">
        <f aca="false">IF($A57&lt;&gt;"",$A57,"")</f>
        <v>80</v>
      </c>
      <c r="AG57" s="53" t="n">
        <f aca="false">IF(AND($W57&lt;&gt;"",$X57&lt;&gt;""),$X57-$W57,"")</f>
        <v>13</v>
      </c>
      <c r="AH57" s="53" t="n">
        <f aca="false">IF(AND($W57&lt;&gt;"",$Y57&lt;&gt;""),$Y57-$W57,"")</f>
        <v>11</v>
      </c>
      <c r="AI57" s="53" t="n">
        <f aca="false">IF(AND($X57&lt;&gt;"",$Y57&lt;&gt;""),$Y57-$X57,"")</f>
        <v>-2</v>
      </c>
      <c r="AJ57" s="53" t="str">
        <f aca="false">IF($E57&lt;&gt;"",$E57,"")</f>
        <v/>
      </c>
      <c r="AK57" s="52" t="n">
        <f aca="false">IF($F57&lt;&gt;"",$F57,"")</f>
        <v>1206</v>
      </c>
      <c r="AL57" s="53" t="n">
        <f aca="false">IF(AND($AB57&lt;&gt;"",$AC57&lt;&gt;""),$AC57-$AB57,"")</f>
        <v>16</v>
      </c>
      <c r="AM57" s="53" t="n">
        <f aca="false">IF(AND($AB57&lt;&gt;"",$AD57&lt;&gt;""),$AD57-$AB57,"")</f>
        <v>4</v>
      </c>
      <c r="AN57" s="53" t="n">
        <f aca="false">IF(AND($AC57&lt;&gt;"",$AD57&lt;&gt;""),$AD57-$AC57,"")</f>
        <v>-12</v>
      </c>
      <c r="AO57" s="53" t="str">
        <f aca="false">IF($J57&lt;&gt;"",$J57,"")</f>
        <v>ptd : pleure pendant test ?</v>
      </c>
      <c r="AQ57" s="52" t="n">
        <f aca="false">IF($A57&lt;&gt;"",$A57,"")</f>
        <v>80</v>
      </c>
      <c r="AR57" s="55" t="n">
        <f aca="false">IF(AND('Choix pédagogiques'!$C$4&lt;&gt;"?",'Choix pédagogiques'!$C$5&lt;&gt;"?",W57&lt;&gt;""),(W57-'Choix pédagogiques'!$C$4)/('Choix pédagogiques'!$C$5-'Choix pédagogiques'!$C$4),"")</f>
        <v>0.2</v>
      </c>
      <c r="AS57" s="55" t="n">
        <f aca="false">IF(AND('Choix pédagogiques'!$C$4&lt;&gt;"?",'Choix pédagogiques'!$C$5&lt;&gt;"?",X57&lt;&gt;""),(X57-'Choix pédagogiques'!$C$4)/('Choix pédagogiques'!$C$5-'Choix pédagogiques'!$C$4),"")</f>
        <v>0.85</v>
      </c>
      <c r="AT57" s="55" t="n">
        <f aca="false">IF(AND('Choix pédagogiques'!$C$4&lt;&gt;"?",'Choix pédagogiques'!$C$5&lt;&gt;"?",Y57&lt;&gt;""),(Y57-'Choix pédagogiques'!$C$4)/('Choix pédagogiques'!$C$5-'Choix pédagogiques'!$C$4),"")</f>
        <v>0.75</v>
      </c>
      <c r="AU57" s="53" t="str">
        <f aca="false">IF($E57&lt;&gt;"",$E57,"")</f>
        <v/>
      </c>
      <c r="AV57" s="52" t="n">
        <f aca="false">IF($F57&lt;&gt;"",$F57,"")</f>
        <v>1206</v>
      </c>
      <c r="AW57" s="55" t="n">
        <f aca="false">IF(AND('Choix pédagogiques'!$C$4&lt;&gt;"?",'Choix pédagogiques'!$C$5&lt;&gt;"?",AB57&lt;&gt;""),(AB57-'Choix pédagogiques'!$C$4)/('Choix pédagogiques'!$C$5-'Choix pédagogiques'!$C$4),"")</f>
        <v>0</v>
      </c>
      <c r="AX57" s="55" t="n">
        <f aca="false">IF(AND('Choix pédagogiques'!$C$4&lt;&gt;"?",'Choix pédagogiques'!$C$5&lt;&gt;"?",AC57&lt;&gt;""),(AC57-'Choix pédagogiques'!$C$4)/('Choix pédagogiques'!$C$5-'Choix pédagogiques'!$C$4),"")</f>
        <v>0.8</v>
      </c>
      <c r="AY57" s="55" t="n">
        <f aca="false">IF(AND('Choix pédagogiques'!$C$4&lt;&gt;"?",'Choix pédagogiques'!$C$5&lt;&gt;"?",AD57&lt;&gt;""),(AD57-'Choix pédagogiques'!$C$4)/('Choix pédagogiques'!$C$5-'Choix pédagogiques'!$C$4),"")</f>
        <v>0.2</v>
      </c>
      <c r="AZ57" s="53" t="str">
        <f aca="false">IF($J57&lt;&gt;"",$J57,"")</f>
        <v>ptd : pleure pendant test ?</v>
      </c>
      <c r="BA57" s="52" t="n">
        <f aca="false">IF($A57&lt;&gt;"",$A57,"")</f>
        <v>80</v>
      </c>
      <c r="BB57" s="55" t="n">
        <f aca="false">IF(AND($AR57&lt;&gt;"",$AS57&lt;&gt;""),$AS57-$AR57,"")</f>
        <v>0.65</v>
      </c>
      <c r="BC57" s="55" t="n">
        <f aca="false">IF(AND($AR57&lt;&gt;"",$AT57&lt;&gt;""),$AT57-$AR57,"")</f>
        <v>0.55</v>
      </c>
      <c r="BD57" s="55" t="n">
        <f aca="false">IF(AND($AS57&lt;&gt;"",$AT57&lt;&gt;""),$AT57-$AS57,"")</f>
        <v>-0.1</v>
      </c>
      <c r="BE57" s="53" t="str">
        <f aca="false">IF($E57&lt;&gt;"",$E57,"")</f>
        <v/>
      </c>
      <c r="BF57" s="52" t="n">
        <f aca="false">IF($F57&lt;&gt;"",$F57,"")</f>
        <v>1206</v>
      </c>
      <c r="BG57" s="55" t="n">
        <f aca="false">IF(AND($AW57&lt;&gt;"",$AX57&lt;&gt;""),$AX57-$AW57,"")</f>
        <v>0.8</v>
      </c>
      <c r="BH57" s="55" t="n">
        <f aca="false">IF(AND($AW57&lt;&gt;"",$AY57&lt;&gt;""),$AY57-$AW57,"")</f>
        <v>0.2</v>
      </c>
      <c r="BI57" s="55" t="n">
        <f aca="false">IF(AND($AX57&lt;&gt;"",$AY57&lt;&gt;""),$AY57-$AX57,"")</f>
        <v>-0.6</v>
      </c>
      <c r="BJ57" s="53" t="str">
        <f aca="false">IF($J57&lt;&gt;"",$J57,"")</f>
        <v>ptd : pleure pendant test ?</v>
      </c>
      <c r="BL57" s="52"/>
      <c r="BM57" s="52" t="n">
        <f aca="false">IF(OR(COUNT(B57:D1056)=0,AND('Choix pédagogiques'!$C$3&lt;&gt;1,'Choix pédagogiques'!$C$3&lt;&gt;2)),"",IF(AND(OR('Choix pédagogiques'!$C$3=1,'Choix pédagogiques'!$C$3=2),$B57&lt;&gt;"",$C57&lt;&gt;"",$D57&lt;&gt;""),1,0))</f>
        <v>1</v>
      </c>
      <c r="BN57" s="52" t="n">
        <f aca="false">IF(OR(COUNT(G57:I1056)=0,AND('Choix pédagogiques'!$C$3&lt;&gt;1,'Choix pédagogiques'!$C$3&lt;&gt;2)),"",IF(AND(OR('Choix pédagogiques'!$C$3=1,'Choix pédagogiques'!$C$3=2),AND($G57&lt;&gt;"",$H57&lt;&gt;"",$I57&lt;&gt;"")),1,0))</f>
        <v>1</v>
      </c>
      <c r="BO57" s="52" t="str">
        <f aca="false">IF(OR(COUNT(B57:D1056)=0,COUNT(G57:I1056)=0,'Choix pédagogiques'!C$3&lt;&gt;3),"",IF(AND('Choix pédagogiques'!$C$3=3,$B57&lt;&gt;"",$C57&lt;&gt;"",$D57&lt;&gt;"",$G57&lt;&gt;"",$H57&lt;&gt;"",$I57&lt;&gt;""),1,0))</f>
        <v/>
      </c>
      <c r="BR57" s="52" t="n">
        <v>80</v>
      </c>
      <c r="BS57" s="52" t="n">
        <v>1206</v>
      </c>
    </row>
    <row r="58" s="54" customFormat="true" ht="18" hidden="false" customHeight="true" outlineLevel="0" collapsed="false">
      <c r="A58" s="57" t="s">
        <v>47</v>
      </c>
      <c r="B58" s="50"/>
      <c r="C58" s="50"/>
      <c r="D58" s="50"/>
      <c r="E58" s="51"/>
      <c r="F58" s="57" t="s">
        <v>48</v>
      </c>
      <c r="G58" s="50"/>
      <c r="H58" s="50"/>
      <c r="I58" s="50"/>
      <c r="J58" s="51"/>
      <c r="K58" s="52" t="str">
        <f aca="false">IF($A58&lt;&gt;"",$A58,"")</f>
        <v>Apprenant 46</v>
      </c>
      <c r="L58" s="53" t="str">
        <f aca="false">IF(AND($B58&lt;&gt;"",$C58&lt;&gt;""),$C58-$B58,"")</f>
        <v/>
      </c>
      <c r="M58" s="53" t="str">
        <f aca="false">IF(AND($B58&lt;&gt;"",$D58&lt;&gt;""),$D58-$B58,"")</f>
        <v/>
      </c>
      <c r="N58" s="53" t="str">
        <f aca="false">IF(AND($C58&lt;&gt;"",$D58&lt;&gt;""),$D58-$C58,"")</f>
        <v/>
      </c>
      <c r="O58" s="53" t="str">
        <f aca="false">IF($E58&lt;&gt;"",$E58,"")</f>
        <v/>
      </c>
      <c r="P58" s="52" t="str">
        <f aca="false">IF($F58&lt;&gt;"",$F58,"")</f>
        <v>Apprenant 46 ou 46'</v>
      </c>
      <c r="Q58" s="53" t="str">
        <f aca="false">IF(AND($G58&lt;&gt;"",$H58&lt;&gt;""),$H58-$G58,"")</f>
        <v/>
      </c>
      <c r="R58" s="53" t="str">
        <f aca="false">IF(AND($G58&lt;&gt;"",$I58&lt;&gt;""),$I58-$G58,"")</f>
        <v/>
      </c>
      <c r="S58" s="53" t="str">
        <f aca="false">IF(AND($H58&lt;&gt;"",$I58&lt;&gt;""),$I58-$H58,"")</f>
        <v/>
      </c>
      <c r="T58" s="53" t="str">
        <f aca="false">IF($J58&lt;&gt;"",$J58,"")</f>
        <v/>
      </c>
      <c r="V58" s="52" t="str">
        <f aca="false">IF($A58&lt;&gt;"",$A58,"")</f>
        <v>Apprenant 46</v>
      </c>
      <c r="W58" s="53" t="str">
        <f aca="false">IF(AND(OR('Choix pédagogiques'!$C$3=1,'Choix pédagogiques'!$C$3=2),$BM58=1),B58,IF(AND('Choix pédagogiques'!$C$3=3,$BO58=1),B58,""))</f>
        <v/>
      </c>
      <c r="X58" s="53" t="str">
        <f aca="false">IF(AND(OR('Choix pédagogiques'!$C$3=1,'Choix pédagogiques'!$C$3=2),$BM58=1),C58,IF(AND('Choix pédagogiques'!$C$3=3,$BO58=1),C58,""))</f>
        <v/>
      </c>
      <c r="Y58" s="53" t="str">
        <f aca="false">IF(AND(OR('Choix pédagogiques'!$C$3=1,'Choix pédagogiques'!$C$3=2),$BM58=1),D58,IF(AND('Choix pédagogiques'!$C$3=3,$BO58=1),D58,""))</f>
        <v/>
      </c>
      <c r="Z58" s="53" t="str">
        <f aca="false">IF($E58&lt;&gt;"",$E58,"")</f>
        <v/>
      </c>
      <c r="AA58" s="52" t="str">
        <f aca="false">IF($F58&lt;&gt;"",$F58,"")</f>
        <v>Apprenant 46 ou 46'</v>
      </c>
      <c r="AB58" s="53" t="str">
        <f aca="false">IF(AND(OR('Choix pédagogiques'!$C$3=1,'Choix pédagogiques'!$C$3=2),$BN58=1),G58,IF(AND('Choix pédagogiques'!$C$3=3,$BO58=1),G58,""))</f>
        <v/>
      </c>
      <c r="AC58" s="53" t="str">
        <f aca="false">IF(AND(OR('Choix pédagogiques'!$C$3=1,'Choix pédagogiques'!$C$3=2),$BN58=1),H58,IF(AND('Choix pédagogiques'!$C$3=3,$BO58=1),H58,""))</f>
        <v/>
      </c>
      <c r="AD58" s="53" t="str">
        <f aca="false">IF(AND(OR('Choix pédagogiques'!$C$3=1,'Choix pédagogiques'!$C$3=2),$BN58=1),I58,IF(AND('Choix pédagogiques'!$C$3=3,$BO58=1),I58,""))</f>
        <v/>
      </c>
      <c r="AE58" s="53" t="str">
        <f aca="false">IF($J58&lt;&gt;"",$J58,"")</f>
        <v/>
      </c>
      <c r="AF58" s="52" t="str">
        <f aca="false">IF($A58&lt;&gt;"",$A58,"")</f>
        <v>Apprenant 46</v>
      </c>
      <c r="AG58" s="53" t="str">
        <f aca="false">IF(AND($W58&lt;&gt;"",$X58&lt;&gt;""),$X58-$W58,"")</f>
        <v/>
      </c>
      <c r="AH58" s="53" t="str">
        <f aca="false">IF(AND($W58&lt;&gt;"",$Y58&lt;&gt;""),$Y58-$W58,"")</f>
        <v/>
      </c>
      <c r="AI58" s="53" t="str">
        <f aca="false">IF(AND($X58&lt;&gt;"",$Y58&lt;&gt;""),$Y58-$X58,"")</f>
        <v/>
      </c>
      <c r="AJ58" s="53" t="str">
        <f aca="false">IF($E58&lt;&gt;"",$E58,"")</f>
        <v/>
      </c>
      <c r="AK58" s="52" t="str">
        <f aca="false">IF($F58&lt;&gt;"",$F58,"")</f>
        <v>Apprenant 46 ou 46'</v>
      </c>
      <c r="AL58" s="53" t="str">
        <f aca="false">IF(AND($AB58&lt;&gt;"",$AC58&lt;&gt;""),$AC58-$AB58,"")</f>
        <v/>
      </c>
      <c r="AM58" s="53" t="str">
        <f aca="false">IF(AND($AB58&lt;&gt;"",$AD58&lt;&gt;""),$AD58-$AB58,"")</f>
        <v/>
      </c>
      <c r="AN58" s="53" t="str">
        <f aca="false">IF(AND($AC58&lt;&gt;"",$AD58&lt;&gt;""),$AD58-$AC58,"")</f>
        <v/>
      </c>
      <c r="AO58" s="53" t="str">
        <f aca="false">IF($J58&lt;&gt;"",$J58,"")</f>
        <v/>
      </c>
      <c r="AQ58" s="52" t="str">
        <f aca="false">IF($A58&lt;&gt;"",$A58,"")</f>
        <v>Apprenant 46</v>
      </c>
      <c r="AR58" s="55" t="str">
        <f aca="false">IF(AND('Choix pédagogiques'!$C$4&lt;&gt;"?",'Choix pédagogiques'!$C$5&lt;&gt;"?",W58&lt;&gt;""),(W58-'Choix pédagogiques'!$C$4)/('Choix pédagogiques'!$C$5-'Choix pédagogiques'!$C$4),"")</f>
        <v/>
      </c>
      <c r="AS58" s="55" t="str">
        <f aca="false">IF(AND('Choix pédagogiques'!$C$4&lt;&gt;"?",'Choix pédagogiques'!$C$5&lt;&gt;"?",X58&lt;&gt;""),(X58-'Choix pédagogiques'!$C$4)/('Choix pédagogiques'!$C$5-'Choix pédagogiques'!$C$4),"")</f>
        <v/>
      </c>
      <c r="AT58" s="55" t="str">
        <f aca="false">IF(AND('Choix pédagogiques'!$C$4&lt;&gt;"?",'Choix pédagogiques'!$C$5&lt;&gt;"?",Y58&lt;&gt;""),(Y58-'Choix pédagogiques'!$C$4)/('Choix pédagogiques'!$C$5-'Choix pédagogiques'!$C$4),"")</f>
        <v/>
      </c>
      <c r="AU58" s="53" t="str">
        <f aca="false">IF($E58&lt;&gt;"",$E58,"")</f>
        <v/>
      </c>
      <c r="AV58" s="52" t="str">
        <f aca="false">IF($F58&lt;&gt;"",$F58,"")</f>
        <v>Apprenant 46 ou 46'</v>
      </c>
      <c r="AW58" s="55" t="str">
        <f aca="false">IF(AND('Choix pédagogiques'!$C$4&lt;&gt;"?",'Choix pédagogiques'!$C$5&lt;&gt;"?",AB58&lt;&gt;""),(AB58-'Choix pédagogiques'!$C$4)/('Choix pédagogiques'!$C$5-'Choix pédagogiques'!$C$4),"")</f>
        <v/>
      </c>
      <c r="AX58" s="55" t="str">
        <f aca="false">IF(AND('Choix pédagogiques'!$C$4&lt;&gt;"?",'Choix pédagogiques'!$C$5&lt;&gt;"?",AC58&lt;&gt;""),(AC58-'Choix pédagogiques'!$C$4)/('Choix pédagogiques'!$C$5-'Choix pédagogiques'!$C$4),"")</f>
        <v/>
      </c>
      <c r="AY58" s="55" t="str">
        <f aca="false">IF(AND('Choix pédagogiques'!$C$4&lt;&gt;"?",'Choix pédagogiques'!$C$5&lt;&gt;"?",AD58&lt;&gt;""),(AD58-'Choix pédagogiques'!$C$4)/('Choix pédagogiques'!$C$5-'Choix pédagogiques'!$C$4),"")</f>
        <v/>
      </c>
      <c r="AZ58" s="53" t="str">
        <f aca="false">IF($J58&lt;&gt;"",$J58,"")</f>
        <v/>
      </c>
      <c r="BA58" s="52" t="str">
        <f aca="false">IF($A58&lt;&gt;"",$A58,"")</f>
        <v>Apprenant 46</v>
      </c>
      <c r="BB58" s="55" t="str">
        <f aca="false">IF(AND($AR58&lt;&gt;"",$AS58&lt;&gt;""),$AS58-$AR58,"")</f>
        <v/>
      </c>
      <c r="BC58" s="55" t="str">
        <f aca="false">IF(AND($AR58&lt;&gt;"",$AT58&lt;&gt;""),$AT58-$AR58,"")</f>
        <v/>
      </c>
      <c r="BD58" s="55" t="str">
        <f aca="false">IF(AND($AS58&lt;&gt;"",$AT58&lt;&gt;""),$AT58-$AS58,"")</f>
        <v/>
      </c>
      <c r="BE58" s="53" t="str">
        <f aca="false">IF($E58&lt;&gt;"",$E58,"")</f>
        <v/>
      </c>
      <c r="BF58" s="52" t="str">
        <f aca="false">IF($F58&lt;&gt;"",$F58,"")</f>
        <v>Apprenant 46 ou 46'</v>
      </c>
      <c r="BG58" s="55" t="str">
        <f aca="false">IF(AND($AW58&lt;&gt;"",$AX58&lt;&gt;""),$AX58-$AW58,"")</f>
        <v/>
      </c>
      <c r="BH58" s="55" t="str">
        <f aca="false">IF(AND($AW58&lt;&gt;"",$AY58&lt;&gt;""),$AY58-$AW58,"")</f>
        <v/>
      </c>
      <c r="BI58" s="55" t="str">
        <f aca="false">IF(AND($AX58&lt;&gt;"",$AY58&lt;&gt;""),$AY58-$AX58,"")</f>
        <v/>
      </c>
      <c r="BJ58" s="53" t="str">
        <f aca="false">IF($J58&lt;&gt;"",$J58,"")</f>
        <v/>
      </c>
      <c r="BL58" s="52"/>
      <c r="BM58" s="52" t="str">
        <f aca="false">IF(OR(COUNT(B58:D1057)=0,AND('Choix pédagogiques'!$C$3&lt;&gt;1,'Choix pédagogiques'!$C$3&lt;&gt;2)),"",IF(AND(OR('Choix pédagogiques'!$C$3=1,'Choix pédagogiques'!$C$3=2),$B58&lt;&gt;"",$C58&lt;&gt;"",$D58&lt;&gt;""),1,0))</f>
        <v/>
      </c>
      <c r="BN58" s="52" t="str">
        <f aca="false">IF(OR(COUNT(G58:I1057)=0,AND('Choix pédagogiques'!$C$3&lt;&gt;1,'Choix pédagogiques'!$C$3&lt;&gt;2)),"",IF(AND(OR('Choix pédagogiques'!$C$3=1,'Choix pédagogiques'!$C$3=2),AND($G58&lt;&gt;"",$H58&lt;&gt;"",$I58&lt;&gt;"")),1,0))</f>
        <v/>
      </c>
      <c r="BO58" s="52" t="str">
        <f aca="false">IF(OR(COUNT(B58:D1057)=0,COUNT(G58:I1057)=0,'Choix pédagogiques'!C$3&lt;&gt;3),"",IF(AND('Choix pédagogiques'!$C$3=3,$B58&lt;&gt;"",$C58&lt;&gt;"",$D58&lt;&gt;"",$G58&lt;&gt;"",$H58&lt;&gt;"",$I58&lt;&gt;""),1,0))</f>
        <v/>
      </c>
      <c r="BR58" s="52" t="n">
        <v>789</v>
      </c>
      <c r="BS58" s="52" t="n">
        <v>1445</v>
      </c>
    </row>
    <row r="59" s="54" customFormat="true" ht="18" hidden="false" customHeight="true" outlineLevel="0" collapsed="false">
      <c r="A59" s="57" t="s">
        <v>49</v>
      </c>
      <c r="B59" s="50"/>
      <c r="C59" s="50"/>
      <c r="D59" s="50"/>
      <c r="E59" s="51"/>
      <c r="F59" s="57" t="s">
        <v>50</v>
      </c>
      <c r="G59" s="50"/>
      <c r="H59" s="50"/>
      <c r="I59" s="50"/>
      <c r="J59" s="51"/>
      <c r="K59" s="52" t="str">
        <f aca="false">IF($A59&lt;&gt;"",$A59,"")</f>
        <v>Apprenant 47</v>
      </c>
      <c r="L59" s="53" t="str">
        <f aca="false">IF(AND($B59&lt;&gt;"",$C59&lt;&gt;""),$C59-$B59,"")</f>
        <v/>
      </c>
      <c r="M59" s="53" t="str">
        <f aca="false">IF(AND($B59&lt;&gt;"",$D59&lt;&gt;""),$D59-$B59,"")</f>
        <v/>
      </c>
      <c r="N59" s="53" t="str">
        <f aca="false">IF(AND($C59&lt;&gt;"",$D59&lt;&gt;""),$D59-$C59,"")</f>
        <v/>
      </c>
      <c r="O59" s="53" t="str">
        <f aca="false">IF($E59&lt;&gt;"",$E59,"")</f>
        <v/>
      </c>
      <c r="P59" s="52" t="str">
        <f aca="false">IF($F59&lt;&gt;"",$F59,"")</f>
        <v>Apprenant 47 ou 47'</v>
      </c>
      <c r="Q59" s="53" t="str">
        <f aca="false">IF(AND($G59&lt;&gt;"",$H59&lt;&gt;""),$H59-$G59,"")</f>
        <v/>
      </c>
      <c r="R59" s="53" t="str">
        <f aca="false">IF(AND($G59&lt;&gt;"",$I59&lt;&gt;""),$I59-$G59,"")</f>
        <v/>
      </c>
      <c r="S59" s="53" t="str">
        <f aca="false">IF(AND($H59&lt;&gt;"",$I59&lt;&gt;""),$I59-$H59,"")</f>
        <v/>
      </c>
      <c r="T59" s="53" t="str">
        <f aca="false">IF($J59&lt;&gt;"",$J59,"")</f>
        <v/>
      </c>
      <c r="V59" s="52" t="str">
        <f aca="false">IF($A59&lt;&gt;"",$A59,"")</f>
        <v>Apprenant 47</v>
      </c>
      <c r="W59" s="53" t="str">
        <f aca="false">IF(AND(OR('Choix pédagogiques'!$C$3=1,'Choix pédagogiques'!$C$3=2),$BM59=1),B59,IF(AND('Choix pédagogiques'!$C$3=3,$BO59=1),B59,""))</f>
        <v/>
      </c>
      <c r="X59" s="53" t="str">
        <f aca="false">IF(AND(OR('Choix pédagogiques'!$C$3=1,'Choix pédagogiques'!$C$3=2),$BM59=1),C59,IF(AND('Choix pédagogiques'!$C$3=3,$BO59=1),C59,""))</f>
        <v/>
      </c>
      <c r="Y59" s="53" t="str">
        <f aca="false">IF(AND(OR('Choix pédagogiques'!$C$3=1,'Choix pédagogiques'!$C$3=2),$BM59=1),D59,IF(AND('Choix pédagogiques'!$C$3=3,$BO59=1),D59,""))</f>
        <v/>
      </c>
      <c r="Z59" s="53" t="str">
        <f aca="false">IF($E59&lt;&gt;"",$E59,"")</f>
        <v/>
      </c>
      <c r="AA59" s="52" t="str">
        <f aca="false">IF($F59&lt;&gt;"",$F59,"")</f>
        <v>Apprenant 47 ou 47'</v>
      </c>
      <c r="AB59" s="53" t="str">
        <f aca="false">IF(AND(OR('Choix pédagogiques'!$C$3=1,'Choix pédagogiques'!$C$3=2),$BN59=1),G59,IF(AND('Choix pédagogiques'!$C$3=3,$BO59=1),G59,""))</f>
        <v/>
      </c>
      <c r="AC59" s="53" t="str">
        <f aca="false">IF(AND(OR('Choix pédagogiques'!$C$3=1,'Choix pédagogiques'!$C$3=2),$BN59=1),H59,IF(AND('Choix pédagogiques'!$C$3=3,$BO59=1),H59,""))</f>
        <v/>
      </c>
      <c r="AD59" s="53" t="str">
        <f aca="false">IF(AND(OR('Choix pédagogiques'!$C$3=1,'Choix pédagogiques'!$C$3=2),$BN59=1),I59,IF(AND('Choix pédagogiques'!$C$3=3,$BO59=1),I59,""))</f>
        <v/>
      </c>
      <c r="AE59" s="53" t="str">
        <f aca="false">IF($J59&lt;&gt;"",$J59,"")</f>
        <v/>
      </c>
      <c r="AF59" s="52" t="str">
        <f aca="false">IF($A59&lt;&gt;"",$A59,"")</f>
        <v>Apprenant 47</v>
      </c>
      <c r="AG59" s="53" t="str">
        <f aca="false">IF(AND($W59&lt;&gt;"",$X59&lt;&gt;""),$X59-$W59,"")</f>
        <v/>
      </c>
      <c r="AH59" s="53" t="str">
        <f aca="false">IF(AND($W59&lt;&gt;"",$Y59&lt;&gt;""),$Y59-$W59,"")</f>
        <v/>
      </c>
      <c r="AI59" s="53" t="str">
        <f aca="false">IF(AND($X59&lt;&gt;"",$Y59&lt;&gt;""),$Y59-$X59,"")</f>
        <v/>
      </c>
      <c r="AJ59" s="53" t="str">
        <f aca="false">IF($E59&lt;&gt;"",$E59,"")</f>
        <v/>
      </c>
      <c r="AK59" s="52" t="str">
        <f aca="false">IF($F59&lt;&gt;"",$F59,"")</f>
        <v>Apprenant 47 ou 47'</v>
      </c>
      <c r="AL59" s="53" t="str">
        <f aca="false">IF(AND($AB59&lt;&gt;"",$AC59&lt;&gt;""),$AC59-$AB59,"")</f>
        <v/>
      </c>
      <c r="AM59" s="53" t="str">
        <f aca="false">IF(AND($AB59&lt;&gt;"",$AD59&lt;&gt;""),$AD59-$AB59,"")</f>
        <v/>
      </c>
      <c r="AN59" s="53" t="str">
        <f aca="false">IF(AND($AC59&lt;&gt;"",$AD59&lt;&gt;""),$AD59-$AC59,"")</f>
        <v/>
      </c>
      <c r="AO59" s="53" t="str">
        <f aca="false">IF($J59&lt;&gt;"",$J59,"")</f>
        <v/>
      </c>
      <c r="AQ59" s="52" t="str">
        <f aca="false">IF($A59&lt;&gt;"",$A59,"")</f>
        <v>Apprenant 47</v>
      </c>
      <c r="AR59" s="55" t="str">
        <f aca="false">IF(AND('Choix pédagogiques'!$C$4&lt;&gt;"?",'Choix pédagogiques'!$C$5&lt;&gt;"?",W59&lt;&gt;""),(W59-'Choix pédagogiques'!$C$4)/('Choix pédagogiques'!$C$5-'Choix pédagogiques'!$C$4),"")</f>
        <v/>
      </c>
      <c r="AS59" s="55" t="str">
        <f aca="false">IF(AND('Choix pédagogiques'!$C$4&lt;&gt;"?",'Choix pédagogiques'!$C$5&lt;&gt;"?",X59&lt;&gt;""),(X59-'Choix pédagogiques'!$C$4)/('Choix pédagogiques'!$C$5-'Choix pédagogiques'!$C$4),"")</f>
        <v/>
      </c>
      <c r="AT59" s="55" t="str">
        <f aca="false">IF(AND('Choix pédagogiques'!$C$4&lt;&gt;"?",'Choix pédagogiques'!$C$5&lt;&gt;"?",Y59&lt;&gt;""),(Y59-'Choix pédagogiques'!$C$4)/('Choix pédagogiques'!$C$5-'Choix pédagogiques'!$C$4),"")</f>
        <v/>
      </c>
      <c r="AU59" s="53" t="str">
        <f aca="false">IF($E59&lt;&gt;"",$E59,"")</f>
        <v/>
      </c>
      <c r="AV59" s="52" t="str">
        <f aca="false">IF($F59&lt;&gt;"",$F59,"")</f>
        <v>Apprenant 47 ou 47'</v>
      </c>
      <c r="AW59" s="55" t="str">
        <f aca="false">IF(AND('Choix pédagogiques'!$C$4&lt;&gt;"?",'Choix pédagogiques'!$C$5&lt;&gt;"?",AB59&lt;&gt;""),(AB59-'Choix pédagogiques'!$C$4)/('Choix pédagogiques'!$C$5-'Choix pédagogiques'!$C$4),"")</f>
        <v/>
      </c>
      <c r="AX59" s="55" t="str">
        <f aca="false">IF(AND('Choix pédagogiques'!$C$4&lt;&gt;"?",'Choix pédagogiques'!$C$5&lt;&gt;"?",AC59&lt;&gt;""),(AC59-'Choix pédagogiques'!$C$4)/('Choix pédagogiques'!$C$5-'Choix pédagogiques'!$C$4),"")</f>
        <v/>
      </c>
      <c r="AY59" s="55" t="str">
        <f aca="false">IF(AND('Choix pédagogiques'!$C$4&lt;&gt;"?",'Choix pédagogiques'!$C$5&lt;&gt;"?",AD59&lt;&gt;""),(AD59-'Choix pédagogiques'!$C$4)/('Choix pédagogiques'!$C$5-'Choix pédagogiques'!$C$4),"")</f>
        <v/>
      </c>
      <c r="AZ59" s="53" t="str">
        <f aca="false">IF($J59&lt;&gt;"",$J59,"")</f>
        <v/>
      </c>
      <c r="BA59" s="52" t="str">
        <f aca="false">IF($A59&lt;&gt;"",$A59,"")</f>
        <v>Apprenant 47</v>
      </c>
      <c r="BB59" s="55" t="str">
        <f aca="false">IF(AND($AR59&lt;&gt;"",$AS59&lt;&gt;""),$AS59-$AR59,"")</f>
        <v/>
      </c>
      <c r="BC59" s="55" t="str">
        <f aca="false">IF(AND($AR59&lt;&gt;"",$AT59&lt;&gt;""),$AT59-$AR59,"")</f>
        <v/>
      </c>
      <c r="BD59" s="55" t="str">
        <f aca="false">IF(AND($AS59&lt;&gt;"",$AT59&lt;&gt;""),$AT59-$AS59,"")</f>
        <v/>
      </c>
      <c r="BE59" s="53" t="str">
        <f aca="false">IF($E59&lt;&gt;"",$E59,"")</f>
        <v/>
      </c>
      <c r="BF59" s="52" t="str">
        <f aca="false">IF($F59&lt;&gt;"",$F59,"")</f>
        <v>Apprenant 47 ou 47'</v>
      </c>
      <c r="BG59" s="55" t="str">
        <f aca="false">IF(AND($AW59&lt;&gt;"",$AX59&lt;&gt;""),$AX59-$AW59,"")</f>
        <v/>
      </c>
      <c r="BH59" s="55" t="str">
        <f aca="false">IF(AND($AW59&lt;&gt;"",$AY59&lt;&gt;""),$AY59-$AW59,"")</f>
        <v/>
      </c>
      <c r="BI59" s="55" t="str">
        <f aca="false">IF(AND($AX59&lt;&gt;"",$AY59&lt;&gt;""),$AY59-$AX59,"")</f>
        <v/>
      </c>
      <c r="BJ59" s="53" t="str">
        <f aca="false">IF($J59&lt;&gt;"",$J59,"")</f>
        <v/>
      </c>
      <c r="BL59" s="52"/>
      <c r="BM59" s="52" t="str">
        <f aca="false">IF(OR(COUNT(B59:D1058)=0,AND('Choix pédagogiques'!$C$3&lt;&gt;1,'Choix pédagogiques'!$C$3&lt;&gt;2)),"",IF(AND(OR('Choix pédagogiques'!$C$3=1,'Choix pédagogiques'!$C$3=2),$B59&lt;&gt;"",$C59&lt;&gt;"",$D59&lt;&gt;""),1,0))</f>
        <v/>
      </c>
      <c r="BN59" s="52" t="str">
        <f aca="false">IF(OR(COUNT(G59:I1058)=0,AND('Choix pédagogiques'!$C$3&lt;&gt;1,'Choix pédagogiques'!$C$3&lt;&gt;2)),"",IF(AND(OR('Choix pédagogiques'!$C$3=1,'Choix pédagogiques'!$C$3=2),AND($G59&lt;&gt;"",$H59&lt;&gt;"",$I59&lt;&gt;"")),1,0))</f>
        <v/>
      </c>
      <c r="BO59" s="52" t="str">
        <f aca="false">IF(OR(COUNT(B59:D1058)=0,COUNT(G59:I1058)=0,'Choix pédagogiques'!C$3&lt;&gt;3),"",IF(AND('Choix pédagogiques'!$C$3=3,$B59&lt;&gt;"",$C59&lt;&gt;"",$D59&lt;&gt;"",$G59&lt;&gt;"",$H59&lt;&gt;"",$I59&lt;&gt;""),1,0))</f>
        <v/>
      </c>
      <c r="BR59" s="52" t="n">
        <v>870</v>
      </c>
      <c r="BS59" s="52" t="n">
        <v>1332</v>
      </c>
    </row>
    <row r="60" s="54" customFormat="true" ht="18" hidden="false" customHeight="true" outlineLevel="0" collapsed="false">
      <c r="A60" s="57" t="s">
        <v>51</v>
      </c>
      <c r="B60" s="51"/>
      <c r="C60" s="51"/>
      <c r="D60" s="51"/>
      <c r="E60" s="51"/>
      <c r="F60" s="57" t="s">
        <v>52</v>
      </c>
      <c r="G60" s="50"/>
      <c r="H60" s="50"/>
      <c r="I60" s="50"/>
      <c r="J60" s="51"/>
      <c r="K60" s="52" t="str">
        <f aca="false">IF($A60&lt;&gt;"",$A60,"")</f>
        <v>Apprenant 48</v>
      </c>
      <c r="L60" s="53" t="str">
        <f aca="false">IF(AND($B60&lt;&gt;"",$C60&lt;&gt;""),$C60-$B60,"")</f>
        <v/>
      </c>
      <c r="M60" s="53" t="str">
        <f aca="false">IF(AND($B60&lt;&gt;"",$D60&lt;&gt;""),$D60-$B60,"")</f>
        <v/>
      </c>
      <c r="N60" s="53" t="str">
        <f aca="false">IF(AND($C60&lt;&gt;"",$D60&lt;&gt;""),$D60-$C60,"")</f>
        <v/>
      </c>
      <c r="O60" s="53" t="str">
        <f aca="false">IF($E60&lt;&gt;"",$E60,"")</f>
        <v/>
      </c>
      <c r="P60" s="52" t="str">
        <f aca="false">IF($F60&lt;&gt;"",$F60,"")</f>
        <v>Apprenant 48 ou 48'</v>
      </c>
      <c r="Q60" s="53" t="str">
        <f aca="false">IF(AND($G60&lt;&gt;"",$H60&lt;&gt;""),$H60-$G60,"")</f>
        <v/>
      </c>
      <c r="R60" s="53" t="str">
        <f aca="false">IF(AND($G60&lt;&gt;"",$I60&lt;&gt;""),$I60-$G60,"")</f>
        <v/>
      </c>
      <c r="S60" s="53" t="str">
        <f aca="false">IF(AND($H60&lt;&gt;"",$I60&lt;&gt;""),$I60-$H60,"")</f>
        <v/>
      </c>
      <c r="T60" s="53" t="str">
        <f aca="false">IF($J60&lt;&gt;"",$J60,"")</f>
        <v/>
      </c>
      <c r="V60" s="52" t="str">
        <f aca="false">IF($A60&lt;&gt;"",$A60,"")</f>
        <v>Apprenant 48</v>
      </c>
      <c r="W60" s="53" t="str">
        <f aca="false">IF(AND(OR('Choix pédagogiques'!$C$3=1,'Choix pédagogiques'!$C$3=2),$BM60=1),B60,IF(AND('Choix pédagogiques'!$C$3=3,$BO60=1),B60,""))</f>
        <v/>
      </c>
      <c r="X60" s="53" t="str">
        <f aca="false">IF(AND(OR('Choix pédagogiques'!$C$3=1,'Choix pédagogiques'!$C$3=2),$BM60=1),C60,IF(AND('Choix pédagogiques'!$C$3=3,$BO60=1),C60,""))</f>
        <v/>
      </c>
      <c r="Y60" s="53" t="str">
        <f aca="false">IF(AND(OR('Choix pédagogiques'!$C$3=1,'Choix pédagogiques'!$C$3=2),$BM60=1),D60,IF(AND('Choix pédagogiques'!$C$3=3,$BO60=1),D60,""))</f>
        <v/>
      </c>
      <c r="Z60" s="53" t="str">
        <f aca="false">IF($E60&lt;&gt;"",$E60,"")</f>
        <v/>
      </c>
      <c r="AA60" s="52" t="str">
        <f aca="false">IF($F60&lt;&gt;"",$F60,"")</f>
        <v>Apprenant 48 ou 48'</v>
      </c>
      <c r="AB60" s="53" t="str">
        <f aca="false">IF(AND(OR('Choix pédagogiques'!$C$3=1,'Choix pédagogiques'!$C$3=2),$BN60=1),G60,IF(AND('Choix pédagogiques'!$C$3=3,$BO60=1),G60,""))</f>
        <v/>
      </c>
      <c r="AC60" s="53" t="str">
        <f aca="false">IF(AND(OR('Choix pédagogiques'!$C$3=1,'Choix pédagogiques'!$C$3=2),$BN60=1),H60,IF(AND('Choix pédagogiques'!$C$3=3,$BO60=1),H60,""))</f>
        <v/>
      </c>
      <c r="AD60" s="53" t="str">
        <f aca="false">IF(AND(OR('Choix pédagogiques'!$C$3=1,'Choix pédagogiques'!$C$3=2),$BN60=1),I60,IF(AND('Choix pédagogiques'!$C$3=3,$BO60=1),I60,""))</f>
        <v/>
      </c>
      <c r="AE60" s="53" t="str">
        <f aca="false">IF($J60&lt;&gt;"",$J60,"")</f>
        <v/>
      </c>
      <c r="AF60" s="52" t="str">
        <f aca="false">IF($A60&lt;&gt;"",$A60,"")</f>
        <v>Apprenant 48</v>
      </c>
      <c r="AG60" s="53" t="str">
        <f aca="false">IF(AND($W60&lt;&gt;"",$X60&lt;&gt;""),$X60-$W60,"")</f>
        <v/>
      </c>
      <c r="AH60" s="53" t="str">
        <f aca="false">IF(AND($W60&lt;&gt;"",$Y60&lt;&gt;""),$Y60-$W60,"")</f>
        <v/>
      </c>
      <c r="AI60" s="53" t="str">
        <f aca="false">IF(AND($X60&lt;&gt;"",$Y60&lt;&gt;""),$Y60-$X60,"")</f>
        <v/>
      </c>
      <c r="AJ60" s="53" t="str">
        <f aca="false">IF($E60&lt;&gt;"",$E60,"")</f>
        <v/>
      </c>
      <c r="AK60" s="52" t="str">
        <f aca="false">IF($F60&lt;&gt;"",$F60,"")</f>
        <v>Apprenant 48 ou 48'</v>
      </c>
      <c r="AL60" s="53" t="str">
        <f aca="false">IF(AND($AB60&lt;&gt;"",$AC60&lt;&gt;""),$AC60-$AB60,"")</f>
        <v/>
      </c>
      <c r="AM60" s="53" t="str">
        <f aca="false">IF(AND($AB60&lt;&gt;"",$AD60&lt;&gt;""),$AD60-$AB60,"")</f>
        <v/>
      </c>
      <c r="AN60" s="53" t="str">
        <f aca="false">IF(AND($AC60&lt;&gt;"",$AD60&lt;&gt;""),$AD60-$AC60,"")</f>
        <v/>
      </c>
      <c r="AO60" s="53" t="str">
        <f aca="false">IF($J60&lt;&gt;"",$J60,"")</f>
        <v/>
      </c>
      <c r="AQ60" s="52" t="str">
        <f aca="false">IF($A60&lt;&gt;"",$A60,"")</f>
        <v>Apprenant 48</v>
      </c>
      <c r="AR60" s="55" t="str">
        <f aca="false">IF(AND('Choix pédagogiques'!$C$4&lt;&gt;"?",'Choix pédagogiques'!$C$5&lt;&gt;"?",W60&lt;&gt;""),(W60-'Choix pédagogiques'!$C$4)/('Choix pédagogiques'!$C$5-'Choix pédagogiques'!$C$4),"")</f>
        <v/>
      </c>
      <c r="AS60" s="55" t="str">
        <f aca="false">IF(AND('Choix pédagogiques'!$C$4&lt;&gt;"?",'Choix pédagogiques'!$C$5&lt;&gt;"?",X60&lt;&gt;""),(X60-'Choix pédagogiques'!$C$4)/('Choix pédagogiques'!$C$5-'Choix pédagogiques'!$C$4),"")</f>
        <v/>
      </c>
      <c r="AT60" s="55" t="str">
        <f aca="false">IF(AND('Choix pédagogiques'!$C$4&lt;&gt;"?",'Choix pédagogiques'!$C$5&lt;&gt;"?",Y60&lt;&gt;""),(Y60-'Choix pédagogiques'!$C$4)/('Choix pédagogiques'!$C$5-'Choix pédagogiques'!$C$4),"")</f>
        <v/>
      </c>
      <c r="AU60" s="53" t="str">
        <f aca="false">IF($E60&lt;&gt;"",$E60,"")</f>
        <v/>
      </c>
      <c r="AV60" s="52" t="str">
        <f aca="false">IF($F60&lt;&gt;"",$F60,"")</f>
        <v>Apprenant 48 ou 48'</v>
      </c>
      <c r="AW60" s="55" t="str">
        <f aca="false">IF(AND('Choix pédagogiques'!$C$4&lt;&gt;"?",'Choix pédagogiques'!$C$5&lt;&gt;"?",AB60&lt;&gt;""),(AB60-'Choix pédagogiques'!$C$4)/('Choix pédagogiques'!$C$5-'Choix pédagogiques'!$C$4),"")</f>
        <v/>
      </c>
      <c r="AX60" s="55" t="str">
        <f aca="false">IF(AND('Choix pédagogiques'!$C$4&lt;&gt;"?",'Choix pédagogiques'!$C$5&lt;&gt;"?",AC60&lt;&gt;""),(AC60-'Choix pédagogiques'!$C$4)/('Choix pédagogiques'!$C$5-'Choix pédagogiques'!$C$4),"")</f>
        <v/>
      </c>
      <c r="AY60" s="55" t="str">
        <f aca="false">IF(AND('Choix pédagogiques'!$C$4&lt;&gt;"?",'Choix pédagogiques'!$C$5&lt;&gt;"?",AD60&lt;&gt;""),(AD60-'Choix pédagogiques'!$C$4)/('Choix pédagogiques'!$C$5-'Choix pédagogiques'!$C$4),"")</f>
        <v/>
      </c>
      <c r="AZ60" s="53" t="str">
        <f aca="false">IF($J60&lt;&gt;"",$J60,"")</f>
        <v/>
      </c>
      <c r="BA60" s="52" t="str">
        <f aca="false">IF($A60&lt;&gt;"",$A60,"")</f>
        <v>Apprenant 48</v>
      </c>
      <c r="BB60" s="55" t="str">
        <f aca="false">IF(AND($AR60&lt;&gt;"",$AS60&lt;&gt;""),$AS60-$AR60,"")</f>
        <v/>
      </c>
      <c r="BC60" s="55" t="str">
        <f aca="false">IF(AND($AR60&lt;&gt;"",$AT60&lt;&gt;""),$AT60-$AR60,"")</f>
        <v/>
      </c>
      <c r="BD60" s="55" t="str">
        <f aca="false">IF(AND($AS60&lt;&gt;"",$AT60&lt;&gt;""),$AT60-$AS60,"")</f>
        <v/>
      </c>
      <c r="BE60" s="53" t="str">
        <f aca="false">IF($E60&lt;&gt;"",$E60,"")</f>
        <v/>
      </c>
      <c r="BF60" s="52" t="str">
        <f aca="false">IF($F60&lt;&gt;"",$F60,"")</f>
        <v>Apprenant 48 ou 48'</v>
      </c>
      <c r="BG60" s="55" t="str">
        <f aca="false">IF(AND($AW60&lt;&gt;"",$AX60&lt;&gt;""),$AX60-$AW60,"")</f>
        <v/>
      </c>
      <c r="BH60" s="55" t="str">
        <f aca="false">IF(AND($AW60&lt;&gt;"",$AY60&lt;&gt;""),$AY60-$AW60,"")</f>
        <v/>
      </c>
      <c r="BI60" s="55" t="str">
        <f aca="false">IF(AND($AX60&lt;&gt;"",$AY60&lt;&gt;""),$AY60-$AX60,"")</f>
        <v/>
      </c>
      <c r="BJ60" s="53" t="str">
        <f aca="false">IF($J60&lt;&gt;"",$J60,"")</f>
        <v/>
      </c>
      <c r="BL60" s="52"/>
      <c r="BM60" s="52" t="str">
        <f aca="false">IF(OR(COUNT(B60:D1059)=0,AND('Choix pédagogiques'!$C$3&lt;&gt;1,'Choix pédagogiques'!$C$3&lt;&gt;2)),"",IF(AND(OR('Choix pédagogiques'!$C$3=1,'Choix pédagogiques'!$C$3=2),$B60&lt;&gt;"",$C60&lt;&gt;"",$D60&lt;&gt;""),1,0))</f>
        <v/>
      </c>
      <c r="BN60" s="52" t="str">
        <f aca="false">IF(OR(COUNT(G60:I1059)=0,AND('Choix pédagogiques'!$C$3&lt;&gt;1,'Choix pédagogiques'!$C$3&lt;&gt;2)),"",IF(AND(OR('Choix pédagogiques'!$C$3=1,'Choix pédagogiques'!$C$3=2),AND($G60&lt;&gt;"",$H60&lt;&gt;"",$I60&lt;&gt;"")),1,0))</f>
        <v/>
      </c>
      <c r="BO60" s="52" t="str">
        <f aca="false">IF(OR(COUNT(B60:D1059)=0,COUNT(G60:I1059)=0,'Choix pédagogiques'!C$3&lt;&gt;3),"",IF(AND('Choix pédagogiques'!$C$3=3,$B60&lt;&gt;"",$C60&lt;&gt;"",$D60&lt;&gt;"",$G60&lt;&gt;"",$H60&lt;&gt;"",$I60&lt;&gt;""),1,0))</f>
        <v/>
      </c>
      <c r="BR60" s="52" t="n">
        <v>915</v>
      </c>
      <c r="BS60" s="52" t="n">
        <v>1439</v>
      </c>
    </row>
    <row r="61" s="54" customFormat="true" ht="18" hidden="false" customHeight="true" outlineLevel="0" collapsed="false">
      <c r="A61" s="57" t="s">
        <v>53</v>
      </c>
      <c r="B61" s="51"/>
      <c r="C61" s="51"/>
      <c r="D61" s="51"/>
      <c r="E61" s="51"/>
      <c r="F61" s="57" t="s">
        <v>54</v>
      </c>
      <c r="G61" s="50"/>
      <c r="H61" s="50"/>
      <c r="I61" s="50"/>
      <c r="J61" s="51"/>
      <c r="K61" s="52" t="str">
        <f aca="false">IF($A61&lt;&gt;"",$A61,"")</f>
        <v>Apprenant 49</v>
      </c>
      <c r="L61" s="53" t="str">
        <f aca="false">IF(AND($B61&lt;&gt;"",$C61&lt;&gt;""),$C61-$B61,"")</f>
        <v/>
      </c>
      <c r="M61" s="53" t="str">
        <f aca="false">IF(AND($B61&lt;&gt;"",$D61&lt;&gt;""),$D61-$B61,"")</f>
        <v/>
      </c>
      <c r="N61" s="53" t="str">
        <f aca="false">IF(AND($C61&lt;&gt;"",$D61&lt;&gt;""),$D61-$C61,"")</f>
        <v/>
      </c>
      <c r="O61" s="53" t="str">
        <f aca="false">IF($E61&lt;&gt;"",$E61,"")</f>
        <v/>
      </c>
      <c r="P61" s="52" t="str">
        <f aca="false">IF($F61&lt;&gt;"",$F61,"")</f>
        <v>Apprenant 49 ou 49'</v>
      </c>
      <c r="Q61" s="53" t="str">
        <f aca="false">IF(AND($G61&lt;&gt;"",$H61&lt;&gt;""),$H61-$G61,"")</f>
        <v/>
      </c>
      <c r="R61" s="53" t="str">
        <f aca="false">IF(AND($G61&lt;&gt;"",$I61&lt;&gt;""),$I61-$G61,"")</f>
        <v/>
      </c>
      <c r="S61" s="53" t="str">
        <f aca="false">IF(AND($H61&lt;&gt;"",$I61&lt;&gt;""),$I61-$H61,"")</f>
        <v/>
      </c>
      <c r="T61" s="53" t="str">
        <f aca="false">IF($J61&lt;&gt;"",$J61,"")</f>
        <v/>
      </c>
      <c r="V61" s="52" t="str">
        <f aca="false">IF($A61&lt;&gt;"",$A61,"")</f>
        <v>Apprenant 49</v>
      </c>
      <c r="W61" s="53" t="str">
        <f aca="false">IF(AND(OR('Choix pédagogiques'!$C$3=1,'Choix pédagogiques'!$C$3=2),$BM61=1),B61,IF(AND('Choix pédagogiques'!$C$3=3,$BO61=1),B61,""))</f>
        <v/>
      </c>
      <c r="X61" s="53" t="str">
        <f aca="false">IF(AND(OR('Choix pédagogiques'!$C$3=1,'Choix pédagogiques'!$C$3=2),$BM61=1),C61,IF(AND('Choix pédagogiques'!$C$3=3,$BO61=1),C61,""))</f>
        <v/>
      </c>
      <c r="Y61" s="53" t="str">
        <f aca="false">IF(AND(OR('Choix pédagogiques'!$C$3=1,'Choix pédagogiques'!$C$3=2),$BM61=1),D61,IF(AND('Choix pédagogiques'!$C$3=3,$BO61=1),D61,""))</f>
        <v/>
      </c>
      <c r="Z61" s="53" t="str">
        <f aca="false">IF($E61&lt;&gt;"",$E61,"")</f>
        <v/>
      </c>
      <c r="AA61" s="52" t="str">
        <f aca="false">IF($F61&lt;&gt;"",$F61,"")</f>
        <v>Apprenant 49 ou 49'</v>
      </c>
      <c r="AB61" s="53" t="str">
        <f aca="false">IF(AND(OR('Choix pédagogiques'!$C$3=1,'Choix pédagogiques'!$C$3=2),$BN61=1),G61,IF(AND('Choix pédagogiques'!$C$3=3,$BO61=1),G61,""))</f>
        <v/>
      </c>
      <c r="AC61" s="53" t="str">
        <f aca="false">IF(AND(OR('Choix pédagogiques'!$C$3=1,'Choix pédagogiques'!$C$3=2),$BN61=1),H61,IF(AND('Choix pédagogiques'!$C$3=3,$BO61=1),H61,""))</f>
        <v/>
      </c>
      <c r="AD61" s="53" t="str">
        <f aca="false">IF(AND(OR('Choix pédagogiques'!$C$3=1,'Choix pédagogiques'!$C$3=2),$BN61=1),I61,IF(AND('Choix pédagogiques'!$C$3=3,$BO61=1),I61,""))</f>
        <v/>
      </c>
      <c r="AE61" s="53" t="str">
        <f aca="false">IF($J61&lt;&gt;"",$J61,"")</f>
        <v/>
      </c>
      <c r="AF61" s="52" t="str">
        <f aca="false">IF($A61&lt;&gt;"",$A61,"")</f>
        <v>Apprenant 49</v>
      </c>
      <c r="AG61" s="53" t="str">
        <f aca="false">IF(AND($W61&lt;&gt;"",$X61&lt;&gt;""),$X61-$W61,"")</f>
        <v/>
      </c>
      <c r="AH61" s="53" t="str">
        <f aca="false">IF(AND($W61&lt;&gt;"",$Y61&lt;&gt;""),$Y61-$W61,"")</f>
        <v/>
      </c>
      <c r="AI61" s="53" t="str">
        <f aca="false">IF(AND($X61&lt;&gt;"",$Y61&lt;&gt;""),$Y61-$X61,"")</f>
        <v/>
      </c>
      <c r="AJ61" s="53" t="str">
        <f aca="false">IF($E61&lt;&gt;"",$E61,"")</f>
        <v/>
      </c>
      <c r="AK61" s="52" t="str">
        <f aca="false">IF($F61&lt;&gt;"",$F61,"")</f>
        <v>Apprenant 49 ou 49'</v>
      </c>
      <c r="AL61" s="53" t="str">
        <f aca="false">IF(AND($AB61&lt;&gt;"",$AC61&lt;&gt;""),$AC61-$AB61,"")</f>
        <v/>
      </c>
      <c r="AM61" s="53" t="str">
        <f aca="false">IF(AND($AB61&lt;&gt;"",$AD61&lt;&gt;""),$AD61-$AB61,"")</f>
        <v/>
      </c>
      <c r="AN61" s="53" t="str">
        <f aca="false">IF(AND($AC61&lt;&gt;"",$AD61&lt;&gt;""),$AD61-$AC61,"")</f>
        <v/>
      </c>
      <c r="AO61" s="53" t="str">
        <f aca="false">IF($J61&lt;&gt;"",$J61,"")</f>
        <v/>
      </c>
      <c r="AQ61" s="52" t="str">
        <f aca="false">IF($A61&lt;&gt;"",$A61,"")</f>
        <v>Apprenant 49</v>
      </c>
      <c r="AR61" s="55" t="str">
        <f aca="false">IF(AND('Choix pédagogiques'!$C$4&lt;&gt;"?",'Choix pédagogiques'!$C$5&lt;&gt;"?",W61&lt;&gt;""),(W61-'Choix pédagogiques'!$C$4)/('Choix pédagogiques'!$C$5-'Choix pédagogiques'!$C$4),"")</f>
        <v/>
      </c>
      <c r="AS61" s="55" t="str">
        <f aca="false">IF(AND('Choix pédagogiques'!$C$4&lt;&gt;"?",'Choix pédagogiques'!$C$5&lt;&gt;"?",X61&lt;&gt;""),(X61-'Choix pédagogiques'!$C$4)/('Choix pédagogiques'!$C$5-'Choix pédagogiques'!$C$4),"")</f>
        <v/>
      </c>
      <c r="AT61" s="55" t="str">
        <f aca="false">IF(AND('Choix pédagogiques'!$C$4&lt;&gt;"?",'Choix pédagogiques'!$C$5&lt;&gt;"?",Y61&lt;&gt;""),(Y61-'Choix pédagogiques'!$C$4)/('Choix pédagogiques'!$C$5-'Choix pédagogiques'!$C$4),"")</f>
        <v/>
      </c>
      <c r="AU61" s="53" t="str">
        <f aca="false">IF($E61&lt;&gt;"",$E61,"")</f>
        <v/>
      </c>
      <c r="AV61" s="52" t="str">
        <f aca="false">IF($F61&lt;&gt;"",$F61,"")</f>
        <v>Apprenant 49 ou 49'</v>
      </c>
      <c r="AW61" s="55" t="str">
        <f aca="false">IF(AND('Choix pédagogiques'!$C$4&lt;&gt;"?",'Choix pédagogiques'!$C$5&lt;&gt;"?",AB61&lt;&gt;""),(AB61-'Choix pédagogiques'!$C$4)/('Choix pédagogiques'!$C$5-'Choix pédagogiques'!$C$4),"")</f>
        <v/>
      </c>
      <c r="AX61" s="55" t="str">
        <f aca="false">IF(AND('Choix pédagogiques'!$C$4&lt;&gt;"?",'Choix pédagogiques'!$C$5&lt;&gt;"?",AC61&lt;&gt;""),(AC61-'Choix pédagogiques'!$C$4)/('Choix pédagogiques'!$C$5-'Choix pédagogiques'!$C$4),"")</f>
        <v/>
      </c>
      <c r="AY61" s="55" t="str">
        <f aca="false">IF(AND('Choix pédagogiques'!$C$4&lt;&gt;"?",'Choix pédagogiques'!$C$5&lt;&gt;"?",AD61&lt;&gt;""),(AD61-'Choix pédagogiques'!$C$4)/('Choix pédagogiques'!$C$5-'Choix pédagogiques'!$C$4),"")</f>
        <v/>
      </c>
      <c r="AZ61" s="53" t="str">
        <f aca="false">IF($J61&lt;&gt;"",$J61,"")</f>
        <v/>
      </c>
      <c r="BA61" s="52" t="str">
        <f aca="false">IF($A61&lt;&gt;"",$A61,"")</f>
        <v>Apprenant 49</v>
      </c>
      <c r="BB61" s="55" t="str">
        <f aca="false">IF(AND($AR61&lt;&gt;"",$AS61&lt;&gt;""),$AS61-$AR61,"")</f>
        <v/>
      </c>
      <c r="BC61" s="55" t="str">
        <f aca="false">IF(AND($AR61&lt;&gt;"",$AT61&lt;&gt;""),$AT61-$AR61,"")</f>
        <v/>
      </c>
      <c r="BD61" s="55" t="str">
        <f aca="false">IF(AND($AS61&lt;&gt;"",$AT61&lt;&gt;""),$AT61-$AS61,"")</f>
        <v/>
      </c>
      <c r="BE61" s="53" t="str">
        <f aca="false">IF($E61&lt;&gt;"",$E61,"")</f>
        <v/>
      </c>
      <c r="BF61" s="52" t="str">
        <f aca="false">IF($F61&lt;&gt;"",$F61,"")</f>
        <v>Apprenant 49 ou 49'</v>
      </c>
      <c r="BG61" s="55" t="str">
        <f aca="false">IF(AND($AW61&lt;&gt;"",$AX61&lt;&gt;""),$AX61-$AW61,"")</f>
        <v/>
      </c>
      <c r="BH61" s="55" t="str">
        <f aca="false">IF(AND($AW61&lt;&gt;"",$AY61&lt;&gt;""),$AY61-$AW61,"")</f>
        <v/>
      </c>
      <c r="BI61" s="55" t="str">
        <f aca="false">IF(AND($AX61&lt;&gt;"",$AY61&lt;&gt;""),$AY61-$AX61,"")</f>
        <v/>
      </c>
      <c r="BJ61" s="53" t="str">
        <f aca="false">IF($J61&lt;&gt;"",$J61,"")</f>
        <v/>
      </c>
      <c r="BL61" s="52"/>
      <c r="BM61" s="52" t="str">
        <f aca="false">IF(OR(COUNT(B61:D1060)=0,AND('Choix pédagogiques'!$C$3&lt;&gt;1,'Choix pédagogiques'!$C$3&lt;&gt;2)),"",IF(AND(OR('Choix pédagogiques'!$C$3=1,'Choix pédagogiques'!$C$3=2),$B61&lt;&gt;"",$C61&lt;&gt;"",$D61&lt;&gt;""),1,0))</f>
        <v/>
      </c>
      <c r="BN61" s="52" t="str">
        <f aca="false">IF(OR(COUNT(G61:I1060)=0,AND('Choix pédagogiques'!$C$3&lt;&gt;1,'Choix pédagogiques'!$C$3&lt;&gt;2)),"",IF(AND(OR('Choix pédagogiques'!$C$3=1,'Choix pédagogiques'!$C$3=2),AND($G61&lt;&gt;"",$H61&lt;&gt;"",$I61&lt;&gt;"")),1,0))</f>
        <v/>
      </c>
      <c r="BO61" s="52" t="str">
        <f aca="false">IF(OR(COUNT(B61:D1060)=0,COUNT(G61:I1060)=0,'Choix pédagogiques'!C$3&lt;&gt;3),"",IF(AND('Choix pédagogiques'!$C$3=3,$B61&lt;&gt;"",$C61&lt;&gt;"",$D61&lt;&gt;"",$G61&lt;&gt;"",$H61&lt;&gt;"",$I61&lt;&gt;""),1,0))</f>
        <v/>
      </c>
      <c r="BR61" s="52" t="n">
        <v>45</v>
      </c>
      <c r="BS61" s="52" t="n">
        <v>1846</v>
      </c>
    </row>
    <row r="62" s="54" customFormat="true" ht="18" hidden="false" customHeight="true" outlineLevel="0" collapsed="false">
      <c r="A62" s="57" t="s">
        <v>55</v>
      </c>
      <c r="B62" s="51"/>
      <c r="C62" s="51"/>
      <c r="D62" s="51"/>
      <c r="E62" s="51"/>
      <c r="F62" s="57" t="s">
        <v>56</v>
      </c>
      <c r="G62" s="50"/>
      <c r="H62" s="50"/>
      <c r="I62" s="50"/>
      <c r="J62" s="51"/>
      <c r="K62" s="52" t="str">
        <f aca="false">IF($A62&lt;&gt;"",$A62,"")</f>
        <v>Apprenant 50</v>
      </c>
      <c r="L62" s="53" t="str">
        <f aca="false">IF(AND($B62&lt;&gt;"",$C62&lt;&gt;""),$C62-$B62,"")</f>
        <v/>
      </c>
      <c r="M62" s="53" t="str">
        <f aca="false">IF(AND($B62&lt;&gt;"",$D62&lt;&gt;""),$D62-$B62,"")</f>
        <v/>
      </c>
      <c r="N62" s="53" t="str">
        <f aca="false">IF(AND($C62&lt;&gt;"",$D62&lt;&gt;""),$D62-$C62,"")</f>
        <v/>
      </c>
      <c r="O62" s="53" t="str">
        <f aca="false">IF($E62&lt;&gt;"",$E62,"")</f>
        <v/>
      </c>
      <c r="P62" s="52" t="str">
        <f aca="false">IF($F62&lt;&gt;"",$F62,"")</f>
        <v>Apprenant 50 ou 50'</v>
      </c>
      <c r="Q62" s="53" t="str">
        <f aca="false">IF(AND($G62&lt;&gt;"",$H62&lt;&gt;""),$H62-$G62,"")</f>
        <v/>
      </c>
      <c r="R62" s="53" t="str">
        <f aca="false">IF(AND($G62&lt;&gt;"",$I62&lt;&gt;""),$I62-$G62,"")</f>
        <v/>
      </c>
      <c r="S62" s="53" t="str">
        <f aca="false">IF(AND($H62&lt;&gt;"",$I62&lt;&gt;""),$I62-$H62,"")</f>
        <v/>
      </c>
      <c r="T62" s="53" t="str">
        <f aca="false">IF($J62&lt;&gt;"",$J62,"")</f>
        <v/>
      </c>
      <c r="V62" s="52" t="str">
        <f aca="false">IF($A62&lt;&gt;"",$A62,"")</f>
        <v>Apprenant 50</v>
      </c>
      <c r="W62" s="53" t="str">
        <f aca="false">IF(AND(OR('Choix pédagogiques'!$C$3=1,'Choix pédagogiques'!$C$3=2),$BM62=1),B62,IF(AND('Choix pédagogiques'!$C$3=3,$BO62=1),B62,""))</f>
        <v/>
      </c>
      <c r="X62" s="53" t="str">
        <f aca="false">IF(AND(OR('Choix pédagogiques'!$C$3=1,'Choix pédagogiques'!$C$3=2),$BM62=1),C62,IF(AND('Choix pédagogiques'!$C$3=3,$BO62=1),C62,""))</f>
        <v/>
      </c>
      <c r="Y62" s="53" t="str">
        <f aca="false">IF(AND(OR('Choix pédagogiques'!$C$3=1,'Choix pédagogiques'!$C$3=2),$BM62=1),D62,IF(AND('Choix pédagogiques'!$C$3=3,$BO62=1),D62,""))</f>
        <v/>
      </c>
      <c r="Z62" s="53" t="str">
        <f aca="false">IF($E62&lt;&gt;"",$E62,"")</f>
        <v/>
      </c>
      <c r="AA62" s="52" t="str">
        <f aca="false">IF($F62&lt;&gt;"",$F62,"")</f>
        <v>Apprenant 50 ou 50'</v>
      </c>
      <c r="AB62" s="53" t="str">
        <f aca="false">IF(AND(OR('Choix pédagogiques'!$C$3=1,'Choix pédagogiques'!$C$3=2),$BN62=1),G62,IF(AND('Choix pédagogiques'!$C$3=3,$BO62=1),G62,""))</f>
        <v/>
      </c>
      <c r="AC62" s="53" t="str">
        <f aca="false">IF(AND(OR('Choix pédagogiques'!$C$3=1,'Choix pédagogiques'!$C$3=2),$BN62=1),H62,IF(AND('Choix pédagogiques'!$C$3=3,$BO62=1),H62,""))</f>
        <v/>
      </c>
      <c r="AD62" s="53" t="str">
        <f aca="false">IF(AND(OR('Choix pédagogiques'!$C$3=1,'Choix pédagogiques'!$C$3=2),$BN62=1),I62,IF(AND('Choix pédagogiques'!$C$3=3,$BO62=1),I62,""))</f>
        <v/>
      </c>
      <c r="AE62" s="53" t="str">
        <f aca="false">IF($J62&lt;&gt;"",$J62,"")</f>
        <v/>
      </c>
      <c r="AF62" s="52" t="str">
        <f aca="false">IF($A62&lt;&gt;"",$A62,"")</f>
        <v>Apprenant 50</v>
      </c>
      <c r="AG62" s="53" t="str">
        <f aca="false">IF(AND($W62&lt;&gt;"",$X62&lt;&gt;""),$X62-$W62,"")</f>
        <v/>
      </c>
      <c r="AH62" s="53" t="str">
        <f aca="false">IF(AND($W62&lt;&gt;"",$Y62&lt;&gt;""),$Y62-$W62,"")</f>
        <v/>
      </c>
      <c r="AI62" s="53" t="str">
        <f aca="false">IF(AND($X62&lt;&gt;"",$Y62&lt;&gt;""),$Y62-$X62,"")</f>
        <v/>
      </c>
      <c r="AJ62" s="53" t="str">
        <f aca="false">IF($E62&lt;&gt;"",$E62,"")</f>
        <v/>
      </c>
      <c r="AK62" s="52" t="str">
        <f aca="false">IF($F62&lt;&gt;"",$F62,"")</f>
        <v>Apprenant 50 ou 50'</v>
      </c>
      <c r="AL62" s="53" t="str">
        <f aca="false">IF(AND($AB62&lt;&gt;"",$AC62&lt;&gt;""),$AC62-$AB62,"")</f>
        <v/>
      </c>
      <c r="AM62" s="53" t="str">
        <f aca="false">IF(AND($AB62&lt;&gt;"",$AD62&lt;&gt;""),$AD62-$AB62,"")</f>
        <v/>
      </c>
      <c r="AN62" s="53" t="str">
        <f aca="false">IF(AND($AC62&lt;&gt;"",$AD62&lt;&gt;""),$AD62-$AC62,"")</f>
        <v/>
      </c>
      <c r="AO62" s="53" t="str">
        <f aca="false">IF($J62&lt;&gt;"",$J62,"")</f>
        <v/>
      </c>
      <c r="AQ62" s="52" t="str">
        <f aca="false">IF($A62&lt;&gt;"",$A62,"")</f>
        <v>Apprenant 50</v>
      </c>
      <c r="AR62" s="55" t="str">
        <f aca="false">IF(AND('Choix pédagogiques'!$C$4&lt;&gt;"?",'Choix pédagogiques'!$C$5&lt;&gt;"?",W62&lt;&gt;""),(W62-'Choix pédagogiques'!$C$4)/('Choix pédagogiques'!$C$5-'Choix pédagogiques'!$C$4),"")</f>
        <v/>
      </c>
      <c r="AS62" s="55" t="str">
        <f aca="false">IF(AND('Choix pédagogiques'!$C$4&lt;&gt;"?",'Choix pédagogiques'!$C$5&lt;&gt;"?",X62&lt;&gt;""),(X62-'Choix pédagogiques'!$C$4)/('Choix pédagogiques'!$C$5-'Choix pédagogiques'!$C$4),"")</f>
        <v/>
      </c>
      <c r="AT62" s="55" t="str">
        <f aca="false">IF(AND('Choix pédagogiques'!$C$4&lt;&gt;"?",'Choix pédagogiques'!$C$5&lt;&gt;"?",Y62&lt;&gt;""),(Y62-'Choix pédagogiques'!$C$4)/('Choix pédagogiques'!$C$5-'Choix pédagogiques'!$C$4),"")</f>
        <v/>
      </c>
      <c r="AU62" s="53" t="str">
        <f aca="false">IF($E62&lt;&gt;"",$E62,"")</f>
        <v/>
      </c>
      <c r="AV62" s="52" t="str">
        <f aca="false">IF($F62&lt;&gt;"",$F62,"")</f>
        <v>Apprenant 50 ou 50'</v>
      </c>
      <c r="AW62" s="55" t="str">
        <f aca="false">IF(AND('Choix pédagogiques'!$C$4&lt;&gt;"?",'Choix pédagogiques'!$C$5&lt;&gt;"?",AB62&lt;&gt;""),(AB62-'Choix pédagogiques'!$C$4)/('Choix pédagogiques'!$C$5-'Choix pédagogiques'!$C$4),"")</f>
        <v/>
      </c>
      <c r="AX62" s="55" t="str">
        <f aca="false">IF(AND('Choix pédagogiques'!$C$4&lt;&gt;"?",'Choix pédagogiques'!$C$5&lt;&gt;"?",AC62&lt;&gt;""),(AC62-'Choix pédagogiques'!$C$4)/('Choix pédagogiques'!$C$5-'Choix pédagogiques'!$C$4),"")</f>
        <v/>
      </c>
      <c r="AY62" s="55" t="str">
        <f aca="false">IF(AND('Choix pédagogiques'!$C$4&lt;&gt;"?",'Choix pédagogiques'!$C$5&lt;&gt;"?",AD62&lt;&gt;""),(AD62-'Choix pédagogiques'!$C$4)/('Choix pédagogiques'!$C$5-'Choix pédagogiques'!$C$4),"")</f>
        <v/>
      </c>
      <c r="AZ62" s="53" t="str">
        <f aca="false">IF($J62&lt;&gt;"",$J62,"")</f>
        <v/>
      </c>
      <c r="BA62" s="52" t="str">
        <f aca="false">IF($A62&lt;&gt;"",$A62,"")</f>
        <v>Apprenant 50</v>
      </c>
      <c r="BB62" s="55" t="str">
        <f aca="false">IF(AND($AR62&lt;&gt;"",$AS62&lt;&gt;""),$AS62-$AR62,"")</f>
        <v/>
      </c>
      <c r="BC62" s="55" t="str">
        <f aca="false">IF(AND($AR62&lt;&gt;"",$AT62&lt;&gt;""),$AT62-$AR62,"")</f>
        <v/>
      </c>
      <c r="BD62" s="55" t="str">
        <f aca="false">IF(AND($AS62&lt;&gt;"",$AT62&lt;&gt;""),$AT62-$AS62,"")</f>
        <v/>
      </c>
      <c r="BE62" s="53" t="str">
        <f aca="false">IF($E62&lt;&gt;"",$E62,"")</f>
        <v/>
      </c>
      <c r="BF62" s="52" t="str">
        <f aca="false">IF($F62&lt;&gt;"",$F62,"")</f>
        <v>Apprenant 50 ou 50'</v>
      </c>
      <c r="BG62" s="55" t="str">
        <f aca="false">IF(AND($AW62&lt;&gt;"",$AX62&lt;&gt;""),$AX62-$AW62,"")</f>
        <v/>
      </c>
      <c r="BH62" s="55" t="str">
        <f aca="false">IF(AND($AW62&lt;&gt;"",$AY62&lt;&gt;""),$AY62-$AW62,"")</f>
        <v/>
      </c>
      <c r="BI62" s="55" t="str">
        <f aca="false">IF(AND($AX62&lt;&gt;"",$AY62&lt;&gt;""),$AY62-$AX62,"")</f>
        <v/>
      </c>
      <c r="BJ62" s="53" t="str">
        <f aca="false">IF($J62&lt;&gt;"",$J62,"")</f>
        <v/>
      </c>
      <c r="BL62" s="52"/>
      <c r="BM62" s="52" t="str">
        <f aca="false">IF(OR(COUNT(B62:D1061)=0,AND('Choix pédagogiques'!$C$3&lt;&gt;1,'Choix pédagogiques'!$C$3&lt;&gt;2)),"",IF(AND(OR('Choix pédagogiques'!$C$3=1,'Choix pédagogiques'!$C$3=2),$B62&lt;&gt;"",$C62&lt;&gt;"",$D62&lt;&gt;""),1,0))</f>
        <v/>
      </c>
      <c r="BN62" s="52" t="str">
        <f aca="false">IF(OR(COUNT(G62:I1061)=0,AND('Choix pédagogiques'!$C$3&lt;&gt;1,'Choix pédagogiques'!$C$3&lt;&gt;2)),"",IF(AND(OR('Choix pédagogiques'!$C$3=1,'Choix pédagogiques'!$C$3=2),AND($G62&lt;&gt;"",$H62&lt;&gt;"",$I62&lt;&gt;"")),1,0))</f>
        <v/>
      </c>
      <c r="BO62" s="52" t="str">
        <f aca="false">IF(OR(COUNT(B62:D1061)=0,COUNT(G62:I1061)=0,'Choix pédagogiques'!C$3&lt;&gt;3),"",IF(AND('Choix pédagogiques'!$C$3=3,$B62&lt;&gt;"",$C62&lt;&gt;"",$D62&lt;&gt;"",$G62&lt;&gt;"",$H62&lt;&gt;"",$I62&lt;&gt;""),1,0))</f>
        <v/>
      </c>
      <c r="BR62" s="52" t="n">
        <v>608</v>
      </c>
      <c r="BS62" s="52" t="n">
        <v>1006</v>
      </c>
    </row>
    <row r="63" s="54" customFormat="true" ht="18" hidden="false" customHeight="true" outlineLevel="0" collapsed="false">
      <c r="A63" s="57" t="s">
        <v>57</v>
      </c>
      <c r="B63" s="51"/>
      <c r="C63" s="51"/>
      <c r="D63" s="51"/>
      <c r="E63" s="51"/>
      <c r="F63" s="57" t="s">
        <v>58</v>
      </c>
      <c r="G63" s="50"/>
      <c r="H63" s="50"/>
      <c r="I63" s="50"/>
      <c r="J63" s="51"/>
      <c r="K63" s="52" t="str">
        <f aca="false">IF($A63&lt;&gt;"",$A63,"")</f>
        <v>Apprenant 51</v>
      </c>
      <c r="L63" s="53" t="str">
        <f aca="false">IF(AND($B63&lt;&gt;"",$C63&lt;&gt;""),$C63-$B63,"")</f>
        <v/>
      </c>
      <c r="M63" s="53" t="str">
        <f aca="false">IF(AND($B63&lt;&gt;"",$D63&lt;&gt;""),$D63-$B63,"")</f>
        <v/>
      </c>
      <c r="N63" s="53" t="str">
        <f aca="false">IF(AND($C63&lt;&gt;"",$D63&lt;&gt;""),$D63-$C63,"")</f>
        <v/>
      </c>
      <c r="O63" s="53" t="str">
        <f aca="false">IF($E63&lt;&gt;"",$E63,"")</f>
        <v/>
      </c>
      <c r="P63" s="52" t="str">
        <f aca="false">IF($F63&lt;&gt;"",$F63,"")</f>
        <v>Apprenant 51 ou 51'</v>
      </c>
      <c r="Q63" s="53" t="str">
        <f aca="false">IF(AND($G63&lt;&gt;"",$H63&lt;&gt;""),$H63-$G63,"")</f>
        <v/>
      </c>
      <c r="R63" s="53" t="str">
        <f aca="false">IF(AND($G63&lt;&gt;"",$I63&lt;&gt;""),$I63-$G63,"")</f>
        <v/>
      </c>
      <c r="S63" s="53" t="str">
        <f aca="false">IF(AND($H63&lt;&gt;"",$I63&lt;&gt;""),$I63-$H63,"")</f>
        <v/>
      </c>
      <c r="T63" s="53" t="str">
        <f aca="false">IF($J63&lt;&gt;"",$J63,"")</f>
        <v/>
      </c>
      <c r="V63" s="52" t="str">
        <f aca="false">IF($A63&lt;&gt;"",$A63,"")</f>
        <v>Apprenant 51</v>
      </c>
      <c r="W63" s="53" t="str">
        <f aca="false">IF(AND(OR('Choix pédagogiques'!$C$3=1,'Choix pédagogiques'!$C$3=2),$BM63=1),B63,IF(AND('Choix pédagogiques'!$C$3=3,$BO63=1),B63,""))</f>
        <v/>
      </c>
      <c r="X63" s="53" t="str">
        <f aca="false">IF(AND(OR('Choix pédagogiques'!$C$3=1,'Choix pédagogiques'!$C$3=2),$BM63=1),C63,IF(AND('Choix pédagogiques'!$C$3=3,$BO63=1),C63,""))</f>
        <v/>
      </c>
      <c r="Y63" s="53" t="str">
        <f aca="false">IF(AND(OR('Choix pédagogiques'!$C$3=1,'Choix pédagogiques'!$C$3=2),$BM63=1),D63,IF(AND('Choix pédagogiques'!$C$3=3,$BO63=1),D63,""))</f>
        <v/>
      </c>
      <c r="Z63" s="53" t="str">
        <f aca="false">IF($E63&lt;&gt;"",$E63,"")</f>
        <v/>
      </c>
      <c r="AA63" s="52" t="str">
        <f aca="false">IF($F63&lt;&gt;"",$F63,"")</f>
        <v>Apprenant 51 ou 51'</v>
      </c>
      <c r="AB63" s="53" t="str">
        <f aca="false">IF(AND(OR('Choix pédagogiques'!$C$3=1,'Choix pédagogiques'!$C$3=2),$BN63=1),G63,IF(AND('Choix pédagogiques'!$C$3=3,$BO63=1),G63,""))</f>
        <v/>
      </c>
      <c r="AC63" s="53" t="str">
        <f aca="false">IF(AND(OR('Choix pédagogiques'!$C$3=1,'Choix pédagogiques'!$C$3=2),$BN63=1),H63,IF(AND('Choix pédagogiques'!$C$3=3,$BO63=1),H63,""))</f>
        <v/>
      </c>
      <c r="AD63" s="53" t="str">
        <f aca="false">IF(AND(OR('Choix pédagogiques'!$C$3=1,'Choix pédagogiques'!$C$3=2),$BN63=1),I63,IF(AND('Choix pédagogiques'!$C$3=3,$BO63=1),I63,""))</f>
        <v/>
      </c>
      <c r="AE63" s="53" t="str">
        <f aca="false">IF($J63&lt;&gt;"",$J63,"")</f>
        <v/>
      </c>
      <c r="AF63" s="52" t="str">
        <f aca="false">IF($A63&lt;&gt;"",$A63,"")</f>
        <v>Apprenant 51</v>
      </c>
      <c r="AG63" s="53" t="str">
        <f aca="false">IF(AND($W63&lt;&gt;"",$X63&lt;&gt;""),$X63-$W63,"")</f>
        <v/>
      </c>
      <c r="AH63" s="53" t="str">
        <f aca="false">IF(AND($W63&lt;&gt;"",$Y63&lt;&gt;""),$Y63-$W63,"")</f>
        <v/>
      </c>
      <c r="AI63" s="53" t="str">
        <f aca="false">IF(AND($X63&lt;&gt;"",$Y63&lt;&gt;""),$Y63-$X63,"")</f>
        <v/>
      </c>
      <c r="AJ63" s="53" t="str">
        <f aca="false">IF($E63&lt;&gt;"",$E63,"")</f>
        <v/>
      </c>
      <c r="AK63" s="52" t="str">
        <f aca="false">IF($F63&lt;&gt;"",$F63,"")</f>
        <v>Apprenant 51 ou 51'</v>
      </c>
      <c r="AL63" s="53" t="str">
        <f aca="false">IF(AND($AB63&lt;&gt;"",$AC63&lt;&gt;""),$AC63-$AB63,"")</f>
        <v/>
      </c>
      <c r="AM63" s="53" t="str">
        <f aca="false">IF(AND($AB63&lt;&gt;"",$AD63&lt;&gt;""),$AD63-$AB63,"")</f>
        <v/>
      </c>
      <c r="AN63" s="53" t="str">
        <f aca="false">IF(AND($AC63&lt;&gt;"",$AD63&lt;&gt;""),$AD63-$AC63,"")</f>
        <v/>
      </c>
      <c r="AO63" s="53" t="str">
        <f aca="false">IF($J63&lt;&gt;"",$J63,"")</f>
        <v/>
      </c>
      <c r="AQ63" s="52" t="str">
        <f aca="false">IF($A63&lt;&gt;"",$A63,"")</f>
        <v>Apprenant 51</v>
      </c>
      <c r="AR63" s="55" t="str">
        <f aca="false">IF(AND('Choix pédagogiques'!$C$4&lt;&gt;"?",'Choix pédagogiques'!$C$5&lt;&gt;"?",W63&lt;&gt;""),(W63-'Choix pédagogiques'!$C$4)/('Choix pédagogiques'!$C$5-'Choix pédagogiques'!$C$4),"")</f>
        <v/>
      </c>
      <c r="AS63" s="55" t="str">
        <f aca="false">IF(AND('Choix pédagogiques'!$C$4&lt;&gt;"?",'Choix pédagogiques'!$C$5&lt;&gt;"?",X63&lt;&gt;""),(X63-'Choix pédagogiques'!$C$4)/('Choix pédagogiques'!$C$5-'Choix pédagogiques'!$C$4),"")</f>
        <v/>
      </c>
      <c r="AT63" s="55" t="str">
        <f aca="false">IF(AND('Choix pédagogiques'!$C$4&lt;&gt;"?",'Choix pédagogiques'!$C$5&lt;&gt;"?",Y63&lt;&gt;""),(Y63-'Choix pédagogiques'!$C$4)/('Choix pédagogiques'!$C$5-'Choix pédagogiques'!$C$4),"")</f>
        <v/>
      </c>
      <c r="AU63" s="53" t="str">
        <f aca="false">IF($E63&lt;&gt;"",$E63,"")</f>
        <v/>
      </c>
      <c r="AV63" s="52" t="str">
        <f aca="false">IF($F63&lt;&gt;"",$F63,"")</f>
        <v>Apprenant 51 ou 51'</v>
      </c>
      <c r="AW63" s="55" t="str">
        <f aca="false">IF(AND('Choix pédagogiques'!$C$4&lt;&gt;"?",'Choix pédagogiques'!$C$5&lt;&gt;"?",AB63&lt;&gt;""),(AB63-'Choix pédagogiques'!$C$4)/('Choix pédagogiques'!$C$5-'Choix pédagogiques'!$C$4),"")</f>
        <v/>
      </c>
      <c r="AX63" s="55" t="str">
        <f aca="false">IF(AND('Choix pédagogiques'!$C$4&lt;&gt;"?",'Choix pédagogiques'!$C$5&lt;&gt;"?",AC63&lt;&gt;""),(AC63-'Choix pédagogiques'!$C$4)/('Choix pédagogiques'!$C$5-'Choix pédagogiques'!$C$4),"")</f>
        <v/>
      </c>
      <c r="AY63" s="55" t="str">
        <f aca="false">IF(AND('Choix pédagogiques'!$C$4&lt;&gt;"?",'Choix pédagogiques'!$C$5&lt;&gt;"?",AD63&lt;&gt;""),(AD63-'Choix pédagogiques'!$C$4)/('Choix pédagogiques'!$C$5-'Choix pédagogiques'!$C$4),"")</f>
        <v/>
      </c>
      <c r="AZ63" s="53" t="str">
        <f aca="false">IF($J63&lt;&gt;"",$J63,"")</f>
        <v/>
      </c>
      <c r="BA63" s="52" t="str">
        <f aca="false">IF($A63&lt;&gt;"",$A63,"")</f>
        <v>Apprenant 51</v>
      </c>
      <c r="BB63" s="55" t="str">
        <f aca="false">IF(AND($AR63&lt;&gt;"",$AS63&lt;&gt;""),$AS63-$AR63,"")</f>
        <v/>
      </c>
      <c r="BC63" s="55" t="str">
        <f aca="false">IF(AND($AR63&lt;&gt;"",$AT63&lt;&gt;""),$AT63-$AR63,"")</f>
        <v/>
      </c>
      <c r="BD63" s="55" t="str">
        <f aca="false">IF(AND($AS63&lt;&gt;"",$AT63&lt;&gt;""),$AT63-$AS63,"")</f>
        <v/>
      </c>
      <c r="BE63" s="53" t="str">
        <f aca="false">IF($E63&lt;&gt;"",$E63,"")</f>
        <v/>
      </c>
      <c r="BF63" s="52" t="str">
        <f aca="false">IF($F63&lt;&gt;"",$F63,"")</f>
        <v>Apprenant 51 ou 51'</v>
      </c>
      <c r="BG63" s="55" t="str">
        <f aca="false">IF(AND($AW63&lt;&gt;"",$AX63&lt;&gt;""),$AX63-$AW63,"")</f>
        <v/>
      </c>
      <c r="BH63" s="55" t="str">
        <f aca="false">IF(AND($AW63&lt;&gt;"",$AY63&lt;&gt;""),$AY63-$AW63,"")</f>
        <v/>
      </c>
      <c r="BI63" s="55" t="str">
        <f aca="false">IF(AND($AX63&lt;&gt;"",$AY63&lt;&gt;""),$AY63-$AX63,"")</f>
        <v/>
      </c>
      <c r="BJ63" s="53" t="str">
        <f aca="false">IF($J63&lt;&gt;"",$J63,"")</f>
        <v/>
      </c>
      <c r="BL63" s="52"/>
      <c r="BM63" s="52" t="str">
        <f aca="false">IF(OR(COUNT(B63:D1062)=0,AND('Choix pédagogiques'!$C$3&lt;&gt;1,'Choix pédagogiques'!$C$3&lt;&gt;2)),"",IF(AND(OR('Choix pédagogiques'!$C$3=1,'Choix pédagogiques'!$C$3=2),$B63&lt;&gt;"",$C63&lt;&gt;"",$D63&lt;&gt;""),1,0))</f>
        <v/>
      </c>
      <c r="BN63" s="52" t="str">
        <f aca="false">IF(OR(COUNT(G63:I1062)=0,AND('Choix pédagogiques'!$C$3&lt;&gt;1,'Choix pédagogiques'!$C$3&lt;&gt;2)),"",IF(AND(OR('Choix pédagogiques'!$C$3=1,'Choix pédagogiques'!$C$3=2),AND($G63&lt;&gt;"",$H63&lt;&gt;"",$I63&lt;&gt;"")),1,0))</f>
        <v/>
      </c>
      <c r="BO63" s="52" t="str">
        <f aca="false">IF(OR(COUNT(B63:D1062)=0,COUNT(G63:I1062)=0,'Choix pédagogiques'!C$3&lt;&gt;3),"",IF(AND('Choix pédagogiques'!$C$3=3,$B63&lt;&gt;"",$C63&lt;&gt;"",$D63&lt;&gt;"",$G63&lt;&gt;"",$H63&lt;&gt;"",$I63&lt;&gt;""),1,0))</f>
        <v/>
      </c>
      <c r="BR63" s="52" t="n">
        <v>768</v>
      </c>
      <c r="BS63" s="52" t="n">
        <v>1194</v>
      </c>
    </row>
    <row r="64" s="54" customFormat="true" ht="18" hidden="false" customHeight="true" outlineLevel="0" collapsed="false">
      <c r="A64" s="57" t="s">
        <v>59</v>
      </c>
      <c r="B64" s="51"/>
      <c r="C64" s="51"/>
      <c r="D64" s="51"/>
      <c r="E64" s="51"/>
      <c r="F64" s="57" t="s">
        <v>60</v>
      </c>
      <c r="G64" s="50"/>
      <c r="H64" s="50"/>
      <c r="I64" s="50"/>
      <c r="J64" s="51"/>
      <c r="K64" s="52" t="str">
        <f aca="false">IF($A64&lt;&gt;"",$A64,"")</f>
        <v>Apprenant 52</v>
      </c>
      <c r="L64" s="53" t="str">
        <f aca="false">IF(AND($B64&lt;&gt;"",$C64&lt;&gt;""),$C64-$B64,"")</f>
        <v/>
      </c>
      <c r="M64" s="53" t="str">
        <f aca="false">IF(AND($B64&lt;&gt;"",$D64&lt;&gt;""),$D64-$B64,"")</f>
        <v/>
      </c>
      <c r="N64" s="53" t="str">
        <f aca="false">IF(AND($C64&lt;&gt;"",$D64&lt;&gt;""),$D64-$C64,"")</f>
        <v/>
      </c>
      <c r="O64" s="53" t="str">
        <f aca="false">IF($E64&lt;&gt;"",$E64,"")</f>
        <v/>
      </c>
      <c r="P64" s="52" t="str">
        <f aca="false">IF($F64&lt;&gt;"",$F64,"")</f>
        <v>Apprenant 52 ou 52'</v>
      </c>
      <c r="Q64" s="53" t="str">
        <f aca="false">IF(AND($G64&lt;&gt;"",$H64&lt;&gt;""),$H64-$G64,"")</f>
        <v/>
      </c>
      <c r="R64" s="53" t="str">
        <f aca="false">IF(AND($G64&lt;&gt;"",$I64&lt;&gt;""),$I64-$G64,"")</f>
        <v/>
      </c>
      <c r="S64" s="53" t="str">
        <f aca="false">IF(AND($H64&lt;&gt;"",$I64&lt;&gt;""),$I64-$H64,"")</f>
        <v/>
      </c>
      <c r="T64" s="53" t="str">
        <f aca="false">IF($J64&lt;&gt;"",$J64,"")</f>
        <v/>
      </c>
      <c r="V64" s="52" t="str">
        <f aca="false">IF($A64&lt;&gt;"",$A64,"")</f>
        <v>Apprenant 52</v>
      </c>
      <c r="W64" s="53" t="str">
        <f aca="false">IF(AND(OR('Choix pédagogiques'!$C$3=1,'Choix pédagogiques'!$C$3=2),$BM64=1),B64,IF(AND('Choix pédagogiques'!$C$3=3,$BO64=1),B64,""))</f>
        <v/>
      </c>
      <c r="X64" s="53" t="str">
        <f aca="false">IF(AND(OR('Choix pédagogiques'!$C$3=1,'Choix pédagogiques'!$C$3=2),$BM64=1),C64,IF(AND('Choix pédagogiques'!$C$3=3,$BO64=1),C64,""))</f>
        <v/>
      </c>
      <c r="Y64" s="53" t="str">
        <f aca="false">IF(AND(OR('Choix pédagogiques'!$C$3=1,'Choix pédagogiques'!$C$3=2),$BM64=1),D64,IF(AND('Choix pédagogiques'!$C$3=3,$BO64=1),D64,""))</f>
        <v/>
      </c>
      <c r="Z64" s="53" t="str">
        <f aca="false">IF($E64&lt;&gt;"",$E64,"")</f>
        <v/>
      </c>
      <c r="AA64" s="52" t="str">
        <f aca="false">IF($F64&lt;&gt;"",$F64,"")</f>
        <v>Apprenant 52 ou 52'</v>
      </c>
      <c r="AB64" s="53" t="str">
        <f aca="false">IF(AND(OR('Choix pédagogiques'!$C$3=1,'Choix pédagogiques'!$C$3=2),$BN64=1),G64,IF(AND('Choix pédagogiques'!$C$3=3,$BO64=1),G64,""))</f>
        <v/>
      </c>
      <c r="AC64" s="53" t="str">
        <f aca="false">IF(AND(OR('Choix pédagogiques'!$C$3=1,'Choix pédagogiques'!$C$3=2),$BN64=1),H64,IF(AND('Choix pédagogiques'!$C$3=3,$BO64=1),H64,""))</f>
        <v/>
      </c>
      <c r="AD64" s="53" t="str">
        <f aca="false">IF(AND(OR('Choix pédagogiques'!$C$3=1,'Choix pédagogiques'!$C$3=2),$BN64=1),I64,IF(AND('Choix pédagogiques'!$C$3=3,$BO64=1),I64,""))</f>
        <v/>
      </c>
      <c r="AE64" s="53" t="str">
        <f aca="false">IF($J64&lt;&gt;"",$J64,"")</f>
        <v/>
      </c>
      <c r="AF64" s="52" t="str">
        <f aca="false">IF($A64&lt;&gt;"",$A64,"")</f>
        <v>Apprenant 52</v>
      </c>
      <c r="AG64" s="53" t="str">
        <f aca="false">IF(AND($W64&lt;&gt;"",$X64&lt;&gt;""),$X64-$W64,"")</f>
        <v/>
      </c>
      <c r="AH64" s="53" t="str">
        <f aca="false">IF(AND($W64&lt;&gt;"",$Y64&lt;&gt;""),$Y64-$W64,"")</f>
        <v/>
      </c>
      <c r="AI64" s="53" t="str">
        <f aca="false">IF(AND($X64&lt;&gt;"",$Y64&lt;&gt;""),$Y64-$X64,"")</f>
        <v/>
      </c>
      <c r="AJ64" s="53" t="str">
        <f aca="false">IF($E64&lt;&gt;"",$E64,"")</f>
        <v/>
      </c>
      <c r="AK64" s="52" t="str">
        <f aca="false">IF($F64&lt;&gt;"",$F64,"")</f>
        <v>Apprenant 52 ou 52'</v>
      </c>
      <c r="AL64" s="53" t="str">
        <f aca="false">IF(AND($AB64&lt;&gt;"",$AC64&lt;&gt;""),$AC64-$AB64,"")</f>
        <v/>
      </c>
      <c r="AM64" s="53" t="str">
        <f aca="false">IF(AND($AB64&lt;&gt;"",$AD64&lt;&gt;""),$AD64-$AB64,"")</f>
        <v/>
      </c>
      <c r="AN64" s="53" t="str">
        <f aca="false">IF(AND($AC64&lt;&gt;"",$AD64&lt;&gt;""),$AD64-$AC64,"")</f>
        <v/>
      </c>
      <c r="AO64" s="53" t="str">
        <f aca="false">IF($J64&lt;&gt;"",$J64,"")</f>
        <v/>
      </c>
      <c r="AQ64" s="52" t="str">
        <f aca="false">IF($A64&lt;&gt;"",$A64,"")</f>
        <v>Apprenant 52</v>
      </c>
      <c r="AR64" s="55" t="str">
        <f aca="false">IF(AND('Choix pédagogiques'!$C$4&lt;&gt;"?",'Choix pédagogiques'!$C$5&lt;&gt;"?",W64&lt;&gt;""),(W64-'Choix pédagogiques'!$C$4)/('Choix pédagogiques'!$C$5-'Choix pédagogiques'!$C$4),"")</f>
        <v/>
      </c>
      <c r="AS64" s="55" t="str">
        <f aca="false">IF(AND('Choix pédagogiques'!$C$4&lt;&gt;"?",'Choix pédagogiques'!$C$5&lt;&gt;"?",X64&lt;&gt;""),(X64-'Choix pédagogiques'!$C$4)/('Choix pédagogiques'!$C$5-'Choix pédagogiques'!$C$4),"")</f>
        <v/>
      </c>
      <c r="AT64" s="55" t="str">
        <f aca="false">IF(AND('Choix pédagogiques'!$C$4&lt;&gt;"?",'Choix pédagogiques'!$C$5&lt;&gt;"?",Y64&lt;&gt;""),(Y64-'Choix pédagogiques'!$C$4)/('Choix pédagogiques'!$C$5-'Choix pédagogiques'!$C$4),"")</f>
        <v/>
      </c>
      <c r="AU64" s="53" t="str">
        <f aca="false">IF($E64&lt;&gt;"",$E64,"")</f>
        <v/>
      </c>
      <c r="AV64" s="52" t="str">
        <f aca="false">IF($F64&lt;&gt;"",$F64,"")</f>
        <v>Apprenant 52 ou 52'</v>
      </c>
      <c r="AW64" s="55" t="str">
        <f aca="false">IF(AND('Choix pédagogiques'!$C$4&lt;&gt;"?",'Choix pédagogiques'!$C$5&lt;&gt;"?",AB64&lt;&gt;""),(AB64-'Choix pédagogiques'!$C$4)/('Choix pédagogiques'!$C$5-'Choix pédagogiques'!$C$4),"")</f>
        <v/>
      </c>
      <c r="AX64" s="55" t="str">
        <f aca="false">IF(AND('Choix pédagogiques'!$C$4&lt;&gt;"?",'Choix pédagogiques'!$C$5&lt;&gt;"?",AC64&lt;&gt;""),(AC64-'Choix pédagogiques'!$C$4)/('Choix pédagogiques'!$C$5-'Choix pédagogiques'!$C$4),"")</f>
        <v/>
      </c>
      <c r="AY64" s="55" t="str">
        <f aca="false">IF(AND('Choix pédagogiques'!$C$4&lt;&gt;"?",'Choix pédagogiques'!$C$5&lt;&gt;"?",AD64&lt;&gt;""),(AD64-'Choix pédagogiques'!$C$4)/('Choix pédagogiques'!$C$5-'Choix pédagogiques'!$C$4),"")</f>
        <v/>
      </c>
      <c r="AZ64" s="53" t="str">
        <f aca="false">IF($J64&lt;&gt;"",$J64,"")</f>
        <v/>
      </c>
      <c r="BA64" s="52" t="str">
        <f aca="false">IF($A64&lt;&gt;"",$A64,"")</f>
        <v>Apprenant 52</v>
      </c>
      <c r="BB64" s="55" t="str">
        <f aca="false">IF(AND($AR64&lt;&gt;"",$AS64&lt;&gt;""),$AS64-$AR64,"")</f>
        <v/>
      </c>
      <c r="BC64" s="55" t="str">
        <f aca="false">IF(AND($AR64&lt;&gt;"",$AT64&lt;&gt;""),$AT64-$AR64,"")</f>
        <v/>
      </c>
      <c r="BD64" s="55" t="str">
        <f aca="false">IF(AND($AS64&lt;&gt;"",$AT64&lt;&gt;""),$AT64-$AS64,"")</f>
        <v/>
      </c>
      <c r="BE64" s="53" t="str">
        <f aca="false">IF($E64&lt;&gt;"",$E64,"")</f>
        <v/>
      </c>
      <c r="BF64" s="52" t="str">
        <f aca="false">IF($F64&lt;&gt;"",$F64,"")</f>
        <v>Apprenant 52 ou 52'</v>
      </c>
      <c r="BG64" s="55" t="str">
        <f aca="false">IF(AND($AW64&lt;&gt;"",$AX64&lt;&gt;""),$AX64-$AW64,"")</f>
        <v/>
      </c>
      <c r="BH64" s="55" t="str">
        <f aca="false">IF(AND($AW64&lt;&gt;"",$AY64&lt;&gt;""),$AY64-$AW64,"")</f>
        <v/>
      </c>
      <c r="BI64" s="55" t="str">
        <f aca="false">IF(AND($AX64&lt;&gt;"",$AY64&lt;&gt;""),$AY64-$AX64,"")</f>
        <v/>
      </c>
      <c r="BJ64" s="53" t="str">
        <f aca="false">IF($J64&lt;&gt;"",$J64,"")</f>
        <v/>
      </c>
      <c r="BL64" s="52"/>
      <c r="BM64" s="52" t="str">
        <f aca="false">IF(OR(COUNT(B64:D1063)=0,AND('Choix pédagogiques'!$C$3&lt;&gt;1,'Choix pédagogiques'!$C$3&lt;&gt;2)),"",IF(AND(OR('Choix pédagogiques'!$C$3=1,'Choix pédagogiques'!$C$3=2),$B64&lt;&gt;"",$C64&lt;&gt;"",$D64&lt;&gt;""),1,0))</f>
        <v/>
      </c>
      <c r="BN64" s="52" t="str">
        <f aca="false">IF(OR(COUNT(G64:I1063)=0,AND('Choix pédagogiques'!$C$3&lt;&gt;1,'Choix pédagogiques'!$C$3&lt;&gt;2)),"",IF(AND(OR('Choix pédagogiques'!$C$3=1,'Choix pédagogiques'!$C$3=2),AND($G64&lt;&gt;"",$H64&lt;&gt;"",$I64&lt;&gt;"")),1,0))</f>
        <v/>
      </c>
      <c r="BO64" s="52" t="str">
        <f aca="false">IF(OR(COUNT(B64:D1063)=0,COUNT(G64:I1063)=0,'Choix pédagogiques'!C$3&lt;&gt;3),"",IF(AND('Choix pédagogiques'!$C$3=3,$B64&lt;&gt;"",$C64&lt;&gt;"",$D64&lt;&gt;"",$G64&lt;&gt;"",$H64&lt;&gt;"",$I64&lt;&gt;""),1,0))</f>
        <v/>
      </c>
      <c r="BR64" s="52" t="n">
        <v>593</v>
      </c>
      <c r="BS64" s="52" t="n">
        <v>1289</v>
      </c>
    </row>
    <row r="65" s="54" customFormat="true" ht="18" hidden="false" customHeight="true" outlineLevel="0" collapsed="false">
      <c r="A65" s="57" t="s">
        <v>61</v>
      </c>
      <c r="B65" s="51"/>
      <c r="C65" s="51"/>
      <c r="D65" s="51"/>
      <c r="E65" s="51"/>
      <c r="F65" s="57" t="s">
        <v>62</v>
      </c>
      <c r="G65" s="50"/>
      <c r="H65" s="50"/>
      <c r="I65" s="50"/>
      <c r="J65" s="51"/>
      <c r="K65" s="52" t="str">
        <f aca="false">IF($A65&lt;&gt;"",$A65,"")</f>
        <v>Apprenant 53</v>
      </c>
      <c r="L65" s="53" t="str">
        <f aca="false">IF(AND($B65&lt;&gt;"",$C65&lt;&gt;""),$C65-$B65,"")</f>
        <v/>
      </c>
      <c r="M65" s="53" t="str">
        <f aca="false">IF(AND($B65&lt;&gt;"",$D65&lt;&gt;""),$D65-$B65,"")</f>
        <v/>
      </c>
      <c r="N65" s="53" t="str">
        <f aca="false">IF(AND($C65&lt;&gt;"",$D65&lt;&gt;""),$D65-$C65,"")</f>
        <v/>
      </c>
      <c r="O65" s="53" t="str">
        <f aca="false">IF($E65&lt;&gt;"",$E65,"")</f>
        <v/>
      </c>
      <c r="P65" s="52" t="str">
        <f aca="false">IF($F65&lt;&gt;"",$F65,"")</f>
        <v>Apprenant 53 ou 53'</v>
      </c>
      <c r="Q65" s="53" t="str">
        <f aca="false">IF(AND($G65&lt;&gt;"",$H65&lt;&gt;""),$H65-$G65,"")</f>
        <v/>
      </c>
      <c r="R65" s="53" t="str">
        <f aca="false">IF(AND($G65&lt;&gt;"",$I65&lt;&gt;""),$I65-$G65,"")</f>
        <v/>
      </c>
      <c r="S65" s="53" t="str">
        <f aca="false">IF(AND($H65&lt;&gt;"",$I65&lt;&gt;""),$I65-$H65,"")</f>
        <v/>
      </c>
      <c r="T65" s="53" t="str">
        <f aca="false">IF($J65&lt;&gt;"",$J65,"")</f>
        <v/>
      </c>
      <c r="V65" s="52" t="str">
        <f aca="false">IF($A65&lt;&gt;"",$A65,"")</f>
        <v>Apprenant 53</v>
      </c>
      <c r="W65" s="53" t="str">
        <f aca="false">IF(AND(OR('Choix pédagogiques'!$C$3=1,'Choix pédagogiques'!$C$3=2),$BM65=1),B65,IF(AND('Choix pédagogiques'!$C$3=3,$BO65=1),B65,""))</f>
        <v/>
      </c>
      <c r="X65" s="53" t="str">
        <f aca="false">IF(AND(OR('Choix pédagogiques'!$C$3=1,'Choix pédagogiques'!$C$3=2),$BM65=1),C65,IF(AND('Choix pédagogiques'!$C$3=3,$BO65=1),C65,""))</f>
        <v/>
      </c>
      <c r="Y65" s="53" t="str">
        <f aca="false">IF(AND(OR('Choix pédagogiques'!$C$3=1,'Choix pédagogiques'!$C$3=2),$BM65=1),D65,IF(AND('Choix pédagogiques'!$C$3=3,$BO65=1),D65,""))</f>
        <v/>
      </c>
      <c r="Z65" s="53" t="str">
        <f aca="false">IF($E65&lt;&gt;"",$E65,"")</f>
        <v/>
      </c>
      <c r="AA65" s="52" t="str">
        <f aca="false">IF($F65&lt;&gt;"",$F65,"")</f>
        <v>Apprenant 53 ou 53'</v>
      </c>
      <c r="AB65" s="53" t="str">
        <f aca="false">IF(AND(OR('Choix pédagogiques'!$C$3=1,'Choix pédagogiques'!$C$3=2),$BN65=1),G65,IF(AND('Choix pédagogiques'!$C$3=3,$BO65=1),G65,""))</f>
        <v/>
      </c>
      <c r="AC65" s="53" t="str">
        <f aca="false">IF(AND(OR('Choix pédagogiques'!$C$3=1,'Choix pédagogiques'!$C$3=2),$BN65=1),H65,IF(AND('Choix pédagogiques'!$C$3=3,$BO65=1),H65,""))</f>
        <v/>
      </c>
      <c r="AD65" s="53" t="str">
        <f aca="false">IF(AND(OR('Choix pédagogiques'!$C$3=1,'Choix pédagogiques'!$C$3=2),$BN65=1),I65,IF(AND('Choix pédagogiques'!$C$3=3,$BO65=1),I65,""))</f>
        <v/>
      </c>
      <c r="AE65" s="53" t="str">
        <f aca="false">IF($J65&lt;&gt;"",$J65,"")</f>
        <v/>
      </c>
      <c r="AF65" s="52" t="str">
        <f aca="false">IF($A65&lt;&gt;"",$A65,"")</f>
        <v>Apprenant 53</v>
      </c>
      <c r="AG65" s="53" t="str">
        <f aca="false">IF(AND($W65&lt;&gt;"",$X65&lt;&gt;""),$X65-$W65,"")</f>
        <v/>
      </c>
      <c r="AH65" s="53" t="str">
        <f aca="false">IF(AND($W65&lt;&gt;"",$Y65&lt;&gt;""),$Y65-$W65,"")</f>
        <v/>
      </c>
      <c r="AI65" s="53" t="str">
        <f aca="false">IF(AND($X65&lt;&gt;"",$Y65&lt;&gt;""),$Y65-$X65,"")</f>
        <v/>
      </c>
      <c r="AJ65" s="53" t="str">
        <f aca="false">IF($E65&lt;&gt;"",$E65,"")</f>
        <v/>
      </c>
      <c r="AK65" s="52" t="str">
        <f aca="false">IF($F65&lt;&gt;"",$F65,"")</f>
        <v>Apprenant 53 ou 53'</v>
      </c>
      <c r="AL65" s="53" t="str">
        <f aca="false">IF(AND($AB65&lt;&gt;"",$AC65&lt;&gt;""),$AC65-$AB65,"")</f>
        <v/>
      </c>
      <c r="AM65" s="53" t="str">
        <f aca="false">IF(AND($AB65&lt;&gt;"",$AD65&lt;&gt;""),$AD65-$AB65,"")</f>
        <v/>
      </c>
      <c r="AN65" s="53" t="str">
        <f aca="false">IF(AND($AC65&lt;&gt;"",$AD65&lt;&gt;""),$AD65-$AC65,"")</f>
        <v/>
      </c>
      <c r="AO65" s="53" t="str">
        <f aca="false">IF($J65&lt;&gt;"",$J65,"")</f>
        <v/>
      </c>
      <c r="AQ65" s="52" t="str">
        <f aca="false">IF($A65&lt;&gt;"",$A65,"")</f>
        <v>Apprenant 53</v>
      </c>
      <c r="AR65" s="55" t="str">
        <f aca="false">IF(AND('Choix pédagogiques'!$C$4&lt;&gt;"?",'Choix pédagogiques'!$C$5&lt;&gt;"?",W65&lt;&gt;""),(W65-'Choix pédagogiques'!$C$4)/('Choix pédagogiques'!$C$5-'Choix pédagogiques'!$C$4),"")</f>
        <v/>
      </c>
      <c r="AS65" s="55" t="str">
        <f aca="false">IF(AND('Choix pédagogiques'!$C$4&lt;&gt;"?",'Choix pédagogiques'!$C$5&lt;&gt;"?",X65&lt;&gt;""),(X65-'Choix pédagogiques'!$C$4)/('Choix pédagogiques'!$C$5-'Choix pédagogiques'!$C$4),"")</f>
        <v/>
      </c>
      <c r="AT65" s="55" t="str">
        <f aca="false">IF(AND('Choix pédagogiques'!$C$4&lt;&gt;"?",'Choix pédagogiques'!$C$5&lt;&gt;"?",Y65&lt;&gt;""),(Y65-'Choix pédagogiques'!$C$4)/('Choix pédagogiques'!$C$5-'Choix pédagogiques'!$C$4),"")</f>
        <v/>
      </c>
      <c r="AU65" s="53" t="str">
        <f aca="false">IF($E65&lt;&gt;"",$E65,"")</f>
        <v/>
      </c>
      <c r="AV65" s="52" t="str">
        <f aca="false">IF($F65&lt;&gt;"",$F65,"")</f>
        <v>Apprenant 53 ou 53'</v>
      </c>
      <c r="AW65" s="55" t="str">
        <f aca="false">IF(AND('Choix pédagogiques'!$C$4&lt;&gt;"?",'Choix pédagogiques'!$C$5&lt;&gt;"?",AB65&lt;&gt;""),(AB65-'Choix pédagogiques'!$C$4)/('Choix pédagogiques'!$C$5-'Choix pédagogiques'!$C$4),"")</f>
        <v/>
      </c>
      <c r="AX65" s="55" t="str">
        <f aca="false">IF(AND('Choix pédagogiques'!$C$4&lt;&gt;"?",'Choix pédagogiques'!$C$5&lt;&gt;"?",AC65&lt;&gt;""),(AC65-'Choix pédagogiques'!$C$4)/('Choix pédagogiques'!$C$5-'Choix pédagogiques'!$C$4),"")</f>
        <v/>
      </c>
      <c r="AY65" s="55" t="str">
        <f aca="false">IF(AND('Choix pédagogiques'!$C$4&lt;&gt;"?",'Choix pédagogiques'!$C$5&lt;&gt;"?",AD65&lt;&gt;""),(AD65-'Choix pédagogiques'!$C$4)/('Choix pédagogiques'!$C$5-'Choix pédagogiques'!$C$4),"")</f>
        <v/>
      </c>
      <c r="AZ65" s="53" t="str">
        <f aca="false">IF($J65&lt;&gt;"",$J65,"")</f>
        <v/>
      </c>
      <c r="BA65" s="52" t="str">
        <f aca="false">IF($A65&lt;&gt;"",$A65,"")</f>
        <v>Apprenant 53</v>
      </c>
      <c r="BB65" s="55" t="str">
        <f aca="false">IF(AND($AR65&lt;&gt;"",$AS65&lt;&gt;""),$AS65-$AR65,"")</f>
        <v/>
      </c>
      <c r="BC65" s="55" t="str">
        <f aca="false">IF(AND($AR65&lt;&gt;"",$AT65&lt;&gt;""),$AT65-$AR65,"")</f>
        <v/>
      </c>
      <c r="BD65" s="55" t="str">
        <f aca="false">IF(AND($AS65&lt;&gt;"",$AT65&lt;&gt;""),$AT65-$AS65,"")</f>
        <v/>
      </c>
      <c r="BE65" s="53" t="str">
        <f aca="false">IF($E65&lt;&gt;"",$E65,"")</f>
        <v/>
      </c>
      <c r="BF65" s="52" t="str">
        <f aca="false">IF($F65&lt;&gt;"",$F65,"")</f>
        <v>Apprenant 53 ou 53'</v>
      </c>
      <c r="BG65" s="55" t="str">
        <f aca="false">IF(AND($AW65&lt;&gt;"",$AX65&lt;&gt;""),$AX65-$AW65,"")</f>
        <v/>
      </c>
      <c r="BH65" s="55" t="str">
        <f aca="false">IF(AND($AW65&lt;&gt;"",$AY65&lt;&gt;""),$AY65-$AW65,"")</f>
        <v/>
      </c>
      <c r="BI65" s="55" t="str">
        <f aca="false">IF(AND($AX65&lt;&gt;"",$AY65&lt;&gt;""),$AY65-$AX65,"")</f>
        <v/>
      </c>
      <c r="BJ65" s="53" t="str">
        <f aca="false">IF($J65&lt;&gt;"",$J65,"")</f>
        <v/>
      </c>
      <c r="BL65" s="52"/>
      <c r="BM65" s="52" t="str">
        <f aca="false">IF(OR(COUNT(B65:D1064)=0,AND('Choix pédagogiques'!$C$3&lt;&gt;1,'Choix pédagogiques'!$C$3&lt;&gt;2)),"",IF(AND(OR('Choix pédagogiques'!$C$3=1,'Choix pédagogiques'!$C$3=2),$B65&lt;&gt;"",$C65&lt;&gt;"",$D65&lt;&gt;""),1,0))</f>
        <v/>
      </c>
      <c r="BN65" s="52" t="str">
        <f aca="false">IF(OR(COUNT(G65:I1064)=0,AND('Choix pédagogiques'!$C$3&lt;&gt;1,'Choix pédagogiques'!$C$3&lt;&gt;2)),"",IF(AND(OR('Choix pédagogiques'!$C$3=1,'Choix pédagogiques'!$C$3=2),AND($G65&lt;&gt;"",$H65&lt;&gt;"",$I65&lt;&gt;"")),1,0))</f>
        <v/>
      </c>
      <c r="BO65" s="52" t="str">
        <f aca="false">IF(OR(COUNT(B65:D1064)=0,COUNT(G65:I1064)=0,'Choix pédagogiques'!C$3&lt;&gt;3),"",IF(AND('Choix pédagogiques'!$C$3=3,$B65&lt;&gt;"",$C65&lt;&gt;"",$D65&lt;&gt;"",$G65&lt;&gt;"",$H65&lt;&gt;"",$I65&lt;&gt;""),1,0))</f>
        <v/>
      </c>
      <c r="BR65" s="52" t="n">
        <v>838</v>
      </c>
      <c r="BS65" s="52" t="n">
        <v>1477</v>
      </c>
    </row>
    <row r="66" s="54" customFormat="true" ht="18" hidden="false" customHeight="true" outlineLevel="0" collapsed="false">
      <c r="A66" s="57" t="s">
        <v>63</v>
      </c>
      <c r="B66" s="51"/>
      <c r="C66" s="51"/>
      <c r="D66" s="51"/>
      <c r="E66" s="51"/>
      <c r="F66" s="57" t="s">
        <v>64</v>
      </c>
      <c r="G66" s="50"/>
      <c r="H66" s="50"/>
      <c r="I66" s="50"/>
      <c r="J66" s="51"/>
      <c r="K66" s="52" t="str">
        <f aca="false">IF($A66&lt;&gt;"",$A66,"")</f>
        <v>Apprenant 54</v>
      </c>
      <c r="L66" s="53" t="str">
        <f aca="false">IF(AND($B66&lt;&gt;"",$C66&lt;&gt;""),$C66-$B66,"")</f>
        <v/>
      </c>
      <c r="M66" s="53" t="str">
        <f aca="false">IF(AND($B66&lt;&gt;"",$D66&lt;&gt;""),$D66-$B66,"")</f>
        <v/>
      </c>
      <c r="N66" s="53" t="str">
        <f aca="false">IF(AND($C66&lt;&gt;"",$D66&lt;&gt;""),$D66-$C66,"")</f>
        <v/>
      </c>
      <c r="O66" s="53" t="str">
        <f aca="false">IF($E66&lt;&gt;"",$E66,"")</f>
        <v/>
      </c>
      <c r="P66" s="52" t="str">
        <f aca="false">IF($F66&lt;&gt;"",$F66,"")</f>
        <v>Apprenant 54 ou 54'</v>
      </c>
      <c r="Q66" s="53" t="str">
        <f aca="false">IF(AND($G66&lt;&gt;"",$H66&lt;&gt;""),$H66-$G66,"")</f>
        <v/>
      </c>
      <c r="R66" s="53" t="str">
        <f aca="false">IF(AND($G66&lt;&gt;"",$I66&lt;&gt;""),$I66-$G66,"")</f>
        <v/>
      </c>
      <c r="S66" s="53" t="str">
        <f aca="false">IF(AND($H66&lt;&gt;"",$I66&lt;&gt;""),$I66-$H66,"")</f>
        <v/>
      </c>
      <c r="T66" s="53" t="str">
        <f aca="false">IF($J66&lt;&gt;"",$J66,"")</f>
        <v/>
      </c>
      <c r="V66" s="52" t="str">
        <f aca="false">IF($A66&lt;&gt;"",$A66,"")</f>
        <v>Apprenant 54</v>
      </c>
      <c r="W66" s="53" t="str">
        <f aca="false">IF(AND(OR('Choix pédagogiques'!$C$3=1,'Choix pédagogiques'!$C$3=2),$BM66=1),B66,IF(AND('Choix pédagogiques'!$C$3=3,$BO66=1),B66,""))</f>
        <v/>
      </c>
      <c r="X66" s="53" t="str">
        <f aca="false">IF(AND(OR('Choix pédagogiques'!$C$3=1,'Choix pédagogiques'!$C$3=2),$BM66=1),C66,IF(AND('Choix pédagogiques'!$C$3=3,$BO66=1),C66,""))</f>
        <v/>
      </c>
      <c r="Y66" s="53" t="str">
        <f aca="false">IF(AND(OR('Choix pédagogiques'!$C$3=1,'Choix pédagogiques'!$C$3=2),$BM66=1),D66,IF(AND('Choix pédagogiques'!$C$3=3,$BO66=1),D66,""))</f>
        <v/>
      </c>
      <c r="Z66" s="53" t="str">
        <f aca="false">IF($E66&lt;&gt;"",$E66,"")</f>
        <v/>
      </c>
      <c r="AA66" s="52" t="str">
        <f aca="false">IF($F66&lt;&gt;"",$F66,"")</f>
        <v>Apprenant 54 ou 54'</v>
      </c>
      <c r="AB66" s="53" t="str">
        <f aca="false">IF(AND(OR('Choix pédagogiques'!$C$3=1,'Choix pédagogiques'!$C$3=2),$BN66=1),G66,IF(AND('Choix pédagogiques'!$C$3=3,$BO66=1),G66,""))</f>
        <v/>
      </c>
      <c r="AC66" s="53" t="str">
        <f aca="false">IF(AND(OR('Choix pédagogiques'!$C$3=1,'Choix pédagogiques'!$C$3=2),$BN66=1),H66,IF(AND('Choix pédagogiques'!$C$3=3,$BO66=1),H66,""))</f>
        <v/>
      </c>
      <c r="AD66" s="53" t="str">
        <f aca="false">IF(AND(OR('Choix pédagogiques'!$C$3=1,'Choix pédagogiques'!$C$3=2),$BN66=1),I66,IF(AND('Choix pédagogiques'!$C$3=3,$BO66=1),I66,""))</f>
        <v/>
      </c>
      <c r="AE66" s="53" t="str">
        <f aca="false">IF($J66&lt;&gt;"",$J66,"")</f>
        <v/>
      </c>
      <c r="AF66" s="52" t="str">
        <f aca="false">IF($A66&lt;&gt;"",$A66,"")</f>
        <v>Apprenant 54</v>
      </c>
      <c r="AG66" s="53" t="str">
        <f aca="false">IF(AND($W66&lt;&gt;"",$X66&lt;&gt;""),$X66-$W66,"")</f>
        <v/>
      </c>
      <c r="AH66" s="53" t="str">
        <f aca="false">IF(AND($W66&lt;&gt;"",$Y66&lt;&gt;""),$Y66-$W66,"")</f>
        <v/>
      </c>
      <c r="AI66" s="53" t="str">
        <f aca="false">IF(AND($X66&lt;&gt;"",$Y66&lt;&gt;""),$Y66-$X66,"")</f>
        <v/>
      </c>
      <c r="AJ66" s="53" t="str">
        <f aca="false">IF($E66&lt;&gt;"",$E66,"")</f>
        <v/>
      </c>
      <c r="AK66" s="52" t="str">
        <f aca="false">IF($F66&lt;&gt;"",$F66,"")</f>
        <v>Apprenant 54 ou 54'</v>
      </c>
      <c r="AL66" s="53" t="str">
        <f aca="false">IF(AND($AB66&lt;&gt;"",$AC66&lt;&gt;""),$AC66-$AB66,"")</f>
        <v/>
      </c>
      <c r="AM66" s="53" t="str">
        <f aca="false">IF(AND($AB66&lt;&gt;"",$AD66&lt;&gt;""),$AD66-$AB66,"")</f>
        <v/>
      </c>
      <c r="AN66" s="53" t="str">
        <f aca="false">IF(AND($AC66&lt;&gt;"",$AD66&lt;&gt;""),$AD66-$AC66,"")</f>
        <v/>
      </c>
      <c r="AO66" s="53" t="str">
        <f aca="false">IF($J66&lt;&gt;"",$J66,"")</f>
        <v/>
      </c>
      <c r="AQ66" s="52" t="str">
        <f aca="false">IF($A66&lt;&gt;"",$A66,"")</f>
        <v>Apprenant 54</v>
      </c>
      <c r="AR66" s="55" t="str">
        <f aca="false">IF(AND('Choix pédagogiques'!$C$4&lt;&gt;"?",'Choix pédagogiques'!$C$5&lt;&gt;"?",W66&lt;&gt;""),(W66-'Choix pédagogiques'!$C$4)/('Choix pédagogiques'!$C$5-'Choix pédagogiques'!$C$4),"")</f>
        <v/>
      </c>
      <c r="AS66" s="55" t="str">
        <f aca="false">IF(AND('Choix pédagogiques'!$C$4&lt;&gt;"?",'Choix pédagogiques'!$C$5&lt;&gt;"?",X66&lt;&gt;""),(X66-'Choix pédagogiques'!$C$4)/('Choix pédagogiques'!$C$5-'Choix pédagogiques'!$C$4),"")</f>
        <v/>
      </c>
      <c r="AT66" s="55" t="str">
        <f aca="false">IF(AND('Choix pédagogiques'!$C$4&lt;&gt;"?",'Choix pédagogiques'!$C$5&lt;&gt;"?",Y66&lt;&gt;""),(Y66-'Choix pédagogiques'!$C$4)/('Choix pédagogiques'!$C$5-'Choix pédagogiques'!$C$4),"")</f>
        <v/>
      </c>
      <c r="AU66" s="53" t="str">
        <f aca="false">IF($E66&lt;&gt;"",$E66,"")</f>
        <v/>
      </c>
      <c r="AV66" s="52" t="str">
        <f aca="false">IF($F66&lt;&gt;"",$F66,"")</f>
        <v>Apprenant 54 ou 54'</v>
      </c>
      <c r="AW66" s="55" t="str">
        <f aca="false">IF(AND('Choix pédagogiques'!$C$4&lt;&gt;"?",'Choix pédagogiques'!$C$5&lt;&gt;"?",AB66&lt;&gt;""),(AB66-'Choix pédagogiques'!$C$4)/('Choix pédagogiques'!$C$5-'Choix pédagogiques'!$C$4),"")</f>
        <v/>
      </c>
      <c r="AX66" s="55" t="str">
        <f aca="false">IF(AND('Choix pédagogiques'!$C$4&lt;&gt;"?",'Choix pédagogiques'!$C$5&lt;&gt;"?",AC66&lt;&gt;""),(AC66-'Choix pédagogiques'!$C$4)/('Choix pédagogiques'!$C$5-'Choix pédagogiques'!$C$4),"")</f>
        <v/>
      </c>
      <c r="AY66" s="55" t="str">
        <f aca="false">IF(AND('Choix pédagogiques'!$C$4&lt;&gt;"?",'Choix pédagogiques'!$C$5&lt;&gt;"?",AD66&lt;&gt;""),(AD66-'Choix pédagogiques'!$C$4)/('Choix pédagogiques'!$C$5-'Choix pédagogiques'!$C$4),"")</f>
        <v/>
      </c>
      <c r="AZ66" s="53" t="str">
        <f aca="false">IF($J66&lt;&gt;"",$J66,"")</f>
        <v/>
      </c>
      <c r="BA66" s="52" t="str">
        <f aca="false">IF($A66&lt;&gt;"",$A66,"")</f>
        <v>Apprenant 54</v>
      </c>
      <c r="BB66" s="55" t="str">
        <f aca="false">IF(AND($AR66&lt;&gt;"",$AS66&lt;&gt;""),$AS66-$AR66,"")</f>
        <v/>
      </c>
      <c r="BC66" s="55" t="str">
        <f aca="false">IF(AND($AR66&lt;&gt;"",$AT66&lt;&gt;""),$AT66-$AR66,"")</f>
        <v/>
      </c>
      <c r="BD66" s="55" t="str">
        <f aca="false">IF(AND($AS66&lt;&gt;"",$AT66&lt;&gt;""),$AT66-$AS66,"")</f>
        <v/>
      </c>
      <c r="BE66" s="53" t="str">
        <f aca="false">IF($E66&lt;&gt;"",$E66,"")</f>
        <v/>
      </c>
      <c r="BF66" s="52" t="str">
        <f aca="false">IF($F66&lt;&gt;"",$F66,"")</f>
        <v>Apprenant 54 ou 54'</v>
      </c>
      <c r="BG66" s="55" t="str">
        <f aca="false">IF(AND($AW66&lt;&gt;"",$AX66&lt;&gt;""),$AX66-$AW66,"")</f>
        <v/>
      </c>
      <c r="BH66" s="55" t="str">
        <f aca="false">IF(AND($AW66&lt;&gt;"",$AY66&lt;&gt;""),$AY66-$AW66,"")</f>
        <v/>
      </c>
      <c r="BI66" s="55" t="str">
        <f aca="false">IF(AND($AX66&lt;&gt;"",$AY66&lt;&gt;""),$AY66-$AX66,"")</f>
        <v/>
      </c>
      <c r="BJ66" s="53" t="str">
        <f aca="false">IF($J66&lt;&gt;"",$J66,"")</f>
        <v/>
      </c>
      <c r="BL66" s="52"/>
      <c r="BM66" s="52" t="str">
        <f aca="false">IF(OR(COUNT(B66:D1065)=0,AND('Choix pédagogiques'!$C$3&lt;&gt;1,'Choix pédagogiques'!$C$3&lt;&gt;2)),"",IF(AND(OR('Choix pédagogiques'!$C$3=1,'Choix pédagogiques'!$C$3=2),$B66&lt;&gt;"",$C66&lt;&gt;"",$D66&lt;&gt;""),1,0))</f>
        <v/>
      </c>
      <c r="BN66" s="52" t="str">
        <f aca="false">IF(OR(COUNT(G66:I1065)=0,AND('Choix pédagogiques'!$C$3&lt;&gt;1,'Choix pédagogiques'!$C$3&lt;&gt;2)),"",IF(AND(OR('Choix pédagogiques'!$C$3=1,'Choix pédagogiques'!$C$3=2),AND($G66&lt;&gt;"",$H66&lt;&gt;"",$I66&lt;&gt;"")),1,0))</f>
        <v/>
      </c>
      <c r="BO66" s="52" t="str">
        <f aca="false">IF(OR(COUNT(B66:D1065)=0,COUNT(G66:I1065)=0,'Choix pédagogiques'!C$3&lt;&gt;3),"",IF(AND('Choix pédagogiques'!$C$3=3,$B66&lt;&gt;"",$C66&lt;&gt;"",$D66&lt;&gt;"",$G66&lt;&gt;"",$H66&lt;&gt;"",$I66&lt;&gt;""),1,0))</f>
        <v/>
      </c>
      <c r="BR66" s="52" t="n">
        <v>679</v>
      </c>
      <c r="BS66" s="52" t="n">
        <v>1314</v>
      </c>
    </row>
    <row r="67" s="54" customFormat="true" ht="18" hidden="false" customHeight="true" outlineLevel="0" collapsed="false">
      <c r="A67" s="57" t="s">
        <v>65</v>
      </c>
      <c r="B67" s="51"/>
      <c r="C67" s="51"/>
      <c r="D67" s="51"/>
      <c r="E67" s="51"/>
      <c r="F67" s="57" t="s">
        <v>66</v>
      </c>
      <c r="G67" s="50"/>
      <c r="H67" s="50"/>
      <c r="I67" s="50"/>
      <c r="J67" s="51"/>
      <c r="K67" s="52" t="str">
        <f aca="false">IF($A67&lt;&gt;"",$A67,"")</f>
        <v>Apprenant 55</v>
      </c>
      <c r="L67" s="53" t="str">
        <f aca="false">IF(AND($B67&lt;&gt;"",$C67&lt;&gt;""),$C67-$B67,"")</f>
        <v/>
      </c>
      <c r="M67" s="53" t="str">
        <f aca="false">IF(AND($B67&lt;&gt;"",$D67&lt;&gt;""),$D67-$B67,"")</f>
        <v/>
      </c>
      <c r="N67" s="53" t="str">
        <f aca="false">IF(AND($C67&lt;&gt;"",$D67&lt;&gt;""),$D67-$C67,"")</f>
        <v/>
      </c>
      <c r="O67" s="53" t="str">
        <f aca="false">IF($E67&lt;&gt;"",$E67,"")</f>
        <v/>
      </c>
      <c r="P67" s="52" t="str">
        <f aca="false">IF($F67&lt;&gt;"",$F67,"")</f>
        <v>Apprenant 55 ou 55'</v>
      </c>
      <c r="Q67" s="53" t="str">
        <f aca="false">IF(AND($G67&lt;&gt;"",$H67&lt;&gt;""),$H67-$G67,"")</f>
        <v/>
      </c>
      <c r="R67" s="53" t="str">
        <f aca="false">IF(AND($G67&lt;&gt;"",$I67&lt;&gt;""),$I67-$G67,"")</f>
        <v/>
      </c>
      <c r="S67" s="53" t="str">
        <f aca="false">IF(AND($H67&lt;&gt;"",$I67&lt;&gt;""),$I67-$H67,"")</f>
        <v/>
      </c>
      <c r="T67" s="53" t="str">
        <f aca="false">IF($J67&lt;&gt;"",$J67,"")</f>
        <v/>
      </c>
      <c r="V67" s="52" t="str">
        <f aca="false">IF($A67&lt;&gt;"",$A67,"")</f>
        <v>Apprenant 55</v>
      </c>
      <c r="W67" s="53" t="str">
        <f aca="false">IF(AND(OR('Choix pédagogiques'!$C$3=1,'Choix pédagogiques'!$C$3=2),$BM67=1),B67,IF(AND('Choix pédagogiques'!$C$3=3,$BO67=1),B67,""))</f>
        <v/>
      </c>
      <c r="X67" s="53" t="str">
        <f aca="false">IF(AND(OR('Choix pédagogiques'!$C$3=1,'Choix pédagogiques'!$C$3=2),$BM67=1),C67,IF(AND('Choix pédagogiques'!$C$3=3,$BO67=1),C67,""))</f>
        <v/>
      </c>
      <c r="Y67" s="53" t="str">
        <f aca="false">IF(AND(OR('Choix pédagogiques'!$C$3=1,'Choix pédagogiques'!$C$3=2),$BM67=1),D67,IF(AND('Choix pédagogiques'!$C$3=3,$BO67=1),D67,""))</f>
        <v/>
      </c>
      <c r="Z67" s="53" t="str">
        <f aca="false">IF($E67&lt;&gt;"",$E67,"")</f>
        <v/>
      </c>
      <c r="AA67" s="52" t="str">
        <f aca="false">IF($F67&lt;&gt;"",$F67,"")</f>
        <v>Apprenant 55 ou 55'</v>
      </c>
      <c r="AB67" s="53" t="str">
        <f aca="false">IF(AND(OR('Choix pédagogiques'!$C$3=1,'Choix pédagogiques'!$C$3=2),$BN67=1),G67,IF(AND('Choix pédagogiques'!$C$3=3,$BO67=1),G67,""))</f>
        <v/>
      </c>
      <c r="AC67" s="53" t="str">
        <f aca="false">IF(AND(OR('Choix pédagogiques'!$C$3=1,'Choix pédagogiques'!$C$3=2),$BN67=1),H67,IF(AND('Choix pédagogiques'!$C$3=3,$BO67=1),H67,""))</f>
        <v/>
      </c>
      <c r="AD67" s="53" t="str">
        <f aca="false">IF(AND(OR('Choix pédagogiques'!$C$3=1,'Choix pédagogiques'!$C$3=2),$BN67=1),I67,IF(AND('Choix pédagogiques'!$C$3=3,$BO67=1),I67,""))</f>
        <v/>
      </c>
      <c r="AE67" s="53" t="str">
        <f aca="false">IF($J67&lt;&gt;"",$J67,"")</f>
        <v/>
      </c>
      <c r="AF67" s="52" t="str">
        <f aca="false">IF($A67&lt;&gt;"",$A67,"")</f>
        <v>Apprenant 55</v>
      </c>
      <c r="AG67" s="53" t="str">
        <f aca="false">IF(AND($W67&lt;&gt;"",$X67&lt;&gt;""),$X67-$W67,"")</f>
        <v/>
      </c>
      <c r="AH67" s="53" t="str">
        <f aca="false">IF(AND($W67&lt;&gt;"",$Y67&lt;&gt;""),$Y67-$W67,"")</f>
        <v/>
      </c>
      <c r="AI67" s="53" t="str">
        <f aca="false">IF(AND($X67&lt;&gt;"",$Y67&lt;&gt;""),$Y67-$X67,"")</f>
        <v/>
      </c>
      <c r="AJ67" s="53" t="str">
        <f aca="false">IF($E67&lt;&gt;"",$E67,"")</f>
        <v/>
      </c>
      <c r="AK67" s="52" t="str">
        <f aca="false">IF($F67&lt;&gt;"",$F67,"")</f>
        <v>Apprenant 55 ou 55'</v>
      </c>
      <c r="AL67" s="53" t="str">
        <f aca="false">IF(AND($AB67&lt;&gt;"",$AC67&lt;&gt;""),$AC67-$AB67,"")</f>
        <v/>
      </c>
      <c r="AM67" s="53" t="str">
        <f aca="false">IF(AND($AB67&lt;&gt;"",$AD67&lt;&gt;""),$AD67-$AB67,"")</f>
        <v/>
      </c>
      <c r="AN67" s="53" t="str">
        <f aca="false">IF(AND($AC67&lt;&gt;"",$AD67&lt;&gt;""),$AD67-$AC67,"")</f>
        <v/>
      </c>
      <c r="AO67" s="53" t="str">
        <f aca="false">IF($J67&lt;&gt;"",$J67,"")</f>
        <v/>
      </c>
      <c r="AQ67" s="52" t="str">
        <f aca="false">IF($A67&lt;&gt;"",$A67,"")</f>
        <v>Apprenant 55</v>
      </c>
      <c r="AR67" s="55" t="str">
        <f aca="false">IF(AND('Choix pédagogiques'!$C$4&lt;&gt;"?",'Choix pédagogiques'!$C$5&lt;&gt;"?",W67&lt;&gt;""),(W67-'Choix pédagogiques'!$C$4)/('Choix pédagogiques'!$C$5-'Choix pédagogiques'!$C$4),"")</f>
        <v/>
      </c>
      <c r="AS67" s="55" t="str">
        <f aca="false">IF(AND('Choix pédagogiques'!$C$4&lt;&gt;"?",'Choix pédagogiques'!$C$5&lt;&gt;"?",X67&lt;&gt;""),(X67-'Choix pédagogiques'!$C$4)/('Choix pédagogiques'!$C$5-'Choix pédagogiques'!$C$4),"")</f>
        <v/>
      </c>
      <c r="AT67" s="55" t="str">
        <f aca="false">IF(AND('Choix pédagogiques'!$C$4&lt;&gt;"?",'Choix pédagogiques'!$C$5&lt;&gt;"?",Y67&lt;&gt;""),(Y67-'Choix pédagogiques'!$C$4)/('Choix pédagogiques'!$C$5-'Choix pédagogiques'!$C$4),"")</f>
        <v/>
      </c>
      <c r="AU67" s="53" t="str">
        <f aca="false">IF($E67&lt;&gt;"",$E67,"")</f>
        <v/>
      </c>
      <c r="AV67" s="52" t="str">
        <f aca="false">IF($F67&lt;&gt;"",$F67,"")</f>
        <v>Apprenant 55 ou 55'</v>
      </c>
      <c r="AW67" s="55" t="str">
        <f aca="false">IF(AND('Choix pédagogiques'!$C$4&lt;&gt;"?",'Choix pédagogiques'!$C$5&lt;&gt;"?",AB67&lt;&gt;""),(AB67-'Choix pédagogiques'!$C$4)/('Choix pédagogiques'!$C$5-'Choix pédagogiques'!$C$4),"")</f>
        <v/>
      </c>
      <c r="AX67" s="55" t="str">
        <f aca="false">IF(AND('Choix pédagogiques'!$C$4&lt;&gt;"?",'Choix pédagogiques'!$C$5&lt;&gt;"?",AC67&lt;&gt;""),(AC67-'Choix pédagogiques'!$C$4)/('Choix pédagogiques'!$C$5-'Choix pédagogiques'!$C$4),"")</f>
        <v/>
      </c>
      <c r="AY67" s="55" t="str">
        <f aca="false">IF(AND('Choix pédagogiques'!$C$4&lt;&gt;"?",'Choix pédagogiques'!$C$5&lt;&gt;"?",AD67&lt;&gt;""),(AD67-'Choix pédagogiques'!$C$4)/('Choix pédagogiques'!$C$5-'Choix pédagogiques'!$C$4),"")</f>
        <v/>
      </c>
      <c r="AZ67" s="53" t="str">
        <f aca="false">IF($J67&lt;&gt;"",$J67,"")</f>
        <v/>
      </c>
      <c r="BA67" s="52" t="str">
        <f aca="false">IF($A67&lt;&gt;"",$A67,"")</f>
        <v>Apprenant 55</v>
      </c>
      <c r="BB67" s="55" t="str">
        <f aca="false">IF(AND($AR67&lt;&gt;"",$AS67&lt;&gt;""),$AS67-$AR67,"")</f>
        <v/>
      </c>
      <c r="BC67" s="55" t="str">
        <f aca="false">IF(AND($AR67&lt;&gt;"",$AT67&lt;&gt;""),$AT67-$AR67,"")</f>
        <v/>
      </c>
      <c r="BD67" s="55" t="str">
        <f aca="false">IF(AND($AS67&lt;&gt;"",$AT67&lt;&gt;""),$AT67-$AS67,"")</f>
        <v/>
      </c>
      <c r="BE67" s="53" t="str">
        <f aca="false">IF($E67&lt;&gt;"",$E67,"")</f>
        <v/>
      </c>
      <c r="BF67" s="52" t="str">
        <f aca="false">IF($F67&lt;&gt;"",$F67,"")</f>
        <v>Apprenant 55 ou 55'</v>
      </c>
      <c r="BG67" s="55" t="str">
        <f aca="false">IF(AND($AW67&lt;&gt;"",$AX67&lt;&gt;""),$AX67-$AW67,"")</f>
        <v/>
      </c>
      <c r="BH67" s="55" t="str">
        <f aca="false">IF(AND($AW67&lt;&gt;"",$AY67&lt;&gt;""),$AY67-$AW67,"")</f>
        <v/>
      </c>
      <c r="BI67" s="55" t="str">
        <f aca="false">IF(AND($AX67&lt;&gt;"",$AY67&lt;&gt;""),$AY67-$AX67,"")</f>
        <v/>
      </c>
      <c r="BJ67" s="53" t="str">
        <f aca="false">IF($J67&lt;&gt;"",$J67,"")</f>
        <v/>
      </c>
      <c r="BL67" s="52"/>
      <c r="BM67" s="52" t="str">
        <f aca="false">IF(OR(COUNT(B67:D1066)=0,AND('Choix pédagogiques'!$C$3&lt;&gt;1,'Choix pédagogiques'!$C$3&lt;&gt;2)),"",IF(AND(OR('Choix pédagogiques'!$C$3=1,'Choix pédagogiques'!$C$3=2),$B67&lt;&gt;"",$C67&lt;&gt;"",$D67&lt;&gt;""),1,0))</f>
        <v/>
      </c>
      <c r="BN67" s="52" t="str">
        <f aca="false">IF(OR(COUNT(G67:I1066)=0,AND('Choix pédagogiques'!$C$3&lt;&gt;1,'Choix pédagogiques'!$C$3&lt;&gt;2)),"",IF(AND(OR('Choix pédagogiques'!$C$3=1,'Choix pédagogiques'!$C$3=2),AND($G67&lt;&gt;"",$H67&lt;&gt;"",$I67&lt;&gt;"")),1,0))</f>
        <v/>
      </c>
      <c r="BO67" s="52" t="str">
        <f aca="false">IF(OR(COUNT(B67:D1066)=0,COUNT(G67:I1066)=0,'Choix pédagogiques'!C$3&lt;&gt;3),"",IF(AND('Choix pédagogiques'!$C$3=3,$B67&lt;&gt;"",$C67&lt;&gt;"",$D67&lt;&gt;"",$G67&lt;&gt;"",$H67&lt;&gt;"",$I67&lt;&gt;""),1,0))</f>
        <v/>
      </c>
      <c r="BR67" s="52" t="n">
        <v>128</v>
      </c>
      <c r="BS67" s="52" t="n">
        <v>1651</v>
      </c>
    </row>
    <row r="68" s="54" customFormat="true" ht="18" hidden="false" customHeight="true" outlineLevel="0" collapsed="false">
      <c r="A68" s="57" t="s">
        <v>67</v>
      </c>
      <c r="B68" s="51"/>
      <c r="C68" s="51"/>
      <c r="D68" s="51"/>
      <c r="E68" s="51"/>
      <c r="F68" s="57" t="s">
        <v>68</v>
      </c>
      <c r="G68" s="50"/>
      <c r="H68" s="50"/>
      <c r="I68" s="50"/>
      <c r="J68" s="51"/>
      <c r="K68" s="52" t="str">
        <f aca="false">IF($A68&lt;&gt;"",$A68,"")</f>
        <v>Apprenant 56</v>
      </c>
      <c r="L68" s="53" t="str">
        <f aca="false">IF(AND($B68&lt;&gt;"",$C68&lt;&gt;""),$C68-$B68,"")</f>
        <v/>
      </c>
      <c r="M68" s="53" t="str">
        <f aca="false">IF(AND($B68&lt;&gt;"",$D68&lt;&gt;""),$D68-$B68,"")</f>
        <v/>
      </c>
      <c r="N68" s="53" t="str">
        <f aca="false">IF(AND($C68&lt;&gt;"",$D68&lt;&gt;""),$D68-$C68,"")</f>
        <v/>
      </c>
      <c r="O68" s="53" t="str">
        <f aca="false">IF($E68&lt;&gt;"",$E68,"")</f>
        <v/>
      </c>
      <c r="P68" s="52" t="str">
        <f aca="false">IF($F68&lt;&gt;"",$F68,"")</f>
        <v>Apprenant 56 ou 56'</v>
      </c>
      <c r="Q68" s="53" t="str">
        <f aca="false">IF(AND($G68&lt;&gt;"",$H68&lt;&gt;""),$H68-$G68,"")</f>
        <v/>
      </c>
      <c r="R68" s="53" t="str">
        <f aca="false">IF(AND($G68&lt;&gt;"",$I68&lt;&gt;""),$I68-$G68,"")</f>
        <v/>
      </c>
      <c r="S68" s="53" t="str">
        <f aca="false">IF(AND($H68&lt;&gt;"",$I68&lt;&gt;""),$I68-$H68,"")</f>
        <v/>
      </c>
      <c r="T68" s="53" t="str">
        <f aca="false">IF($J68&lt;&gt;"",$J68,"")</f>
        <v/>
      </c>
      <c r="V68" s="52" t="str">
        <f aca="false">IF($A68&lt;&gt;"",$A68,"")</f>
        <v>Apprenant 56</v>
      </c>
      <c r="W68" s="53" t="str">
        <f aca="false">IF(AND(OR('Choix pédagogiques'!$C$3=1,'Choix pédagogiques'!$C$3=2),$BM68=1),B68,IF(AND('Choix pédagogiques'!$C$3=3,$BO68=1),B68,""))</f>
        <v/>
      </c>
      <c r="X68" s="53" t="str">
        <f aca="false">IF(AND(OR('Choix pédagogiques'!$C$3=1,'Choix pédagogiques'!$C$3=2),$BM68=1),C68,IF(AND('Choix pédagogiques'!$C$3=3,$BO68=1),C68,""))</f>
        <v/>
      </c>
      <c r="Y68" s="53" t="str">
        <f aca="false">IF(AND(OR('Choix pédagogiques'!$C$3=1,'Choix pédagogiques'!$C$3=2),$BM68=1),D68,IF(AND('Choix pédagogiques'!$C$3=3,$BO68=1),D68,""))</f>
        <v/>
      </c>
      <c r="Z68" s="53" t="str">
        <f aca="false">IF($E68&lt;&gt;"",$E68,"")</f>
        <v/>
      </c>
      <c r="AA68" s="52" t="str">
        <f aca="false">IF($F68&lt;&gt;"",$F68,"")</f>
        <v>Apprenant 56 ou 56'</v>
      </c>
      <c r="AB68" s="53" t="str">
        <f aca="false">IF(AND(OR('Choix pédagogiques'!$C$3=1,'Choix pédagogiques'!$C$3=2),$BN68=1),G68,IF(AND('Choix pédagogiques'!$C$3=3,$BO68=1),G68,""))</f>
        <v/>
      </c>
      <c r="AC68" s="53" t="str">
        <f aca="false">IF(AND(OR('Choix pédagogiques'!$C$3=1,'Choix pédagogiques'!$C$3=2),$BN68=1),H68,IF(AND('Choix pédagogiques'!$C$3=3,$BO68=1),H68,""))</f>
        <v/>
      </c>
      <c r="AD68" s="53" t="str">
        <f aca="false">IF(AND(OR('Choix pédagogiques'!$C$3=1,'Choix pédagogiques'!$C$3=2),$BN68=1),I68,IF(AND('Choix pédagogiques'!$C$3=3,$BO68=1),I68,""))</f>
        <v/>
      </c>
      <c r="AE68" s="53" t="str">
        <f aca="false">IF($J68&lt;&gt;"",$J68,"")</f>
        <v/>
      </c>
      <c r="AF68" s="52" t="str">
        <f aca="false">IF($A68&lt;&gt;"",$A68,"")</f>
        <v>Apprenant 56</v>
      </c>
      <c r="AG68" s="53" t="str">
        <f aca="false">IF(AND($W68&lt;&gt;"",$X68&lt;&gt;""),$X68-$W68,"")</f>
        <v/>
      </c>
      <c r="AH68" s="53" t="str">
        <f aca="false">IF(AND($W68&lt;&gt;"",$Y68&lt;&gt;""),$Y68-$W68,"")</f>
        <v/>
      </c>
      <c r="AI68" s="53" t="str">
        <f aca="false">IF(AND($X68&lt;&gt;"",$Y68&lt;&gt;""),$Y68-$X68,"")</f>
        <v/>
      </c>
      <c r="AJ68" s="53" t="str">
        <f aca="false">IF($E68&lt;&gt;"",$E68,"")</f>
        <v/>
      </c>
      <c r="AK68" s="52" t="str">
        <f aca="false">IF($F68&lt;&gt;"",$F68,"")</f>
        <v>Apprenant 56 ou 56'</v>
      </c>
      <c r="AL68" s="53" t="str">
        <f aca="false">IF(AND($AB68&lt;&gt;"",$AC68&lt;&gt;""),$AC68-$AB68,"")</f>
        <v/>
      </c>
      <c r="AM68" s="53" t="str">
        <f aca="false">IF(AND($AB68&lt;&gt;"",$AD68&lt;&gt;""),$AD68-$AB68,"")</f>
        <v/>
      </c>
      <c r="AN68" s="53" t="str">
        <f aca="false">IF(AND($AC68&lt;&gt;"",$AD68&lt;&gt;""),$AD68-$AC68,"")</f>
        <v/>
      </c>
      <c r="AO68" s="53" t="str">
        <f aca="false">IF($J68&lt;&gt;"",$J68,"")</f>
        <v/>
      </c>
      <c r="AQ68" s="52" t="str">
        <f aca="false">IF($A68&lt;&gt;"",$A68,"")</f>
        <v>Apprenant 56</v>
      </c>
      <c r="AR68" s="55" t="str">
        <f aca="false">IF(AND('Choix pédagogiques'!$C$4&lt;&gt;"?",'Choix pédagogiques'!$C$5&lt;&gt;"?",W68&lt;&gt;""),(W68-'Choix pédagogiques'!$C$4)/('Choix pédagogiques'!$C$5-'Choix pédagogiques'!$C$4),"")</f>
        <v/>
      </c>
      <c r="AS68" s="55" t="str">
        <f aca="false">IF(AND('Choix pédagogiques'!$C$4&lt;&gt;"?",'Choix pédagogiques'!$C$5&lt;&gt;"?",X68&lt;&gt;""),(X68-'Choix pédagogiques'!$C$4)/('Choix pédagogiques'!$C$5-'Choix pédagogiques'!$C$4),"")</f>
        <v/>
      </c>
      <c r="AT68" s="55" t="str">
        <f aca="false">IF(AND('Choix pédagogiques'!$C$4&lt;&gt;"?",'Choix pédagogiques'!$C$5&lt;&gt;"?",Y68&lt;&gt;""),(Y68-'Choix pédagogiques'!$C$4)/('Choix pédagogiques'!$C$5-'Choix pédagogiques'!$C$4),"")</f>
        <v/>
      </c>
      <c r="AU68" s="53" t="str">
        <f aca="false">IF($E68&lt;&gt;"",$E68,"")</f>
        <v/>
      </c>
      <c r="AV68" s="52" t="str">
        <f aca="false">IF($F68&lt;&gt;"",$F68,"")</f>
        <v>Apprenant 56 ou 56'</v>
      </c>
      <c r="AW68" s="55" t="str">
        <f aca="false">IF(AND('Choix pédagogiques'!$C$4&lt;&gt;"?",'Choix pédagogiques'!$C$5&lt;&gt;"?",AB68&lt;&gt;""),(AB68-'Choix pédagogiques'!$C$4)/('Choix pédagogiques'!$C$5-'Choix pédagogiques'!$C$4),"")</f>
        <v/>
      </c>
      <c r="AX68" s="55" t="str">
        <f aca="false">IF(AND('Choix pédagogiques'!$C$4&lt;&gt;"?",'Choix pédagogiques'!$C$5&lt;&gt;"?",AC68&lt;&gt;""),(AC68-'Choix pédagogiques'!$C$4)/('Choix pédagogiques'!$C$5-'Choix pédagogiques'!$C$4),"")</f>
        <v/>
      </c>
      <c r="AY68" s="55" t="str">
        <f aca="false">IF(AND('Choix pédagogiques'!$C$4&lt;&gt;"?",'Choix pédagogiques'!$C$5&lt;&gt;"?",AD68&lt;&gt;""),(AD68-'Choix pédagogiques'!$C$4)/('Choix pédagogiques'!$C$5-'Choix pédagogiques'!$C$4),"")</f>
        <v/>
      </c>
      <c r="AZ68" s="53" t="str">
        <f aca="false">IF($J68&lt;&gt;"",$J68,"")</f>
        <v/>
      </c>
      <c r="BA68" s="52" t="str">
        <f aca="false">IF($A68&lt;&gt;"",$A68,"")</f>
        <v>Apprenant 56</v>
      </c>
      <c r="BB68" s="55" t="str">
        <f aca="false">IF(AND($AR68&lt;&gt;"",$AS68&lt;&gt;""),$AS68-$AR68,"")</f>
        <v/>
      </c>
      <c r="BC68" s="55" t="str">
        <f aca="false">IF(AND($AR68&lt;&gt;"",$AT68&lt;&gt;""),$AT68-$AR68,"")</f>
        <v/>
      </c>
      <c r="BD68" s="55" t="str">
        <f aca="false">IF(AND($AS68&lt;&gt;"",$AT68&lt;&gt;""),$AT68-$AS68,"")</f>
        <v/>
      </c>
      <c r="BE68" s="53" t="str">
        <f aca="false">IF($E68&lt;&gt;"",$E68,"")</f>
        <v/>
      </c>
      <c r="BF68" s="52" t="str">
        <f aca="false">IF($F68&lt;&gt;"",$F68,"")</f>
        <v>Apprenant 56 ou 56'</v>
      </c>
      <c r="BG68" s="55" t="str">
        <f aca="false">IF(AND($AW68&lt;&gt;"",$AX68&lt;&gt;""),$AX68-$AW68,"")</f>
        <v/>
      </c>
      <c r="BH68" s="55" t="str">
        <f aca="false">IF(AND($AW68&lt;&gt;"",$AY68&lt;&gt;""),$AY68-$AW68,"")</f>
        <v/>
      </c>
      <c r="BI68" s="55" t="str">
        <f aca="false">IF(AND($AX68&lt;&gt;"",$AY68&lt;&gt;""),$AY68-$AX68,"")</f>
        <v/>
      </c>
      <c r="BJ68" s="53" t="str">
        <f aca="false">IF($J68&lt;&gt;"",$J68,"")</f>
        <v/>
      </c>
      <c r="BL68" s="52"/>
      <c r="BM68" s="52" t="str">
        <f aca="false">IF(OR(COUNT(B68:D1067)=0,AND('Choix pédagogiques'!$C$3&lt;&gt;1,'Choix pédagogiques'!$C$3&lt;&gt;2)),"",IF(AND(OR('Choix pédagogiques'!$C$3=1,'Choix pédagogiques'!$C$3=2),$B68&lt;&gt;"",$C68&lt;&gt;"",$D68&lt;&gt;""),1,0))</f>
        <v/>
      </c>
      <c r="BN68" s="52" t="str">
        <f aca="false">IF(OR(COUNT(G68:I1067)=0,AND('Choix pédagogiques'!$C$3&lt;&gt;1,'Choix pédagogiques'!$C$3&lt;&gt;2)),"",IF(AND(OR('Choix pédagogiques'!$C$3=1,'Choix pédagogiques'!$C$3=2),AND($G68&lt;&gt;"",$H68&lt;&gt;"",$I68&lt;&gt;"")),1,0))</f>
        <v/>
      </c>
      <c r="BO68" s="52" t="str">
        <f aca="false">IF(OR(COUNT(B68:D1067)=0,COUNT(G68:I1067)=0,'Choix pédagogiques'!C$3&lt;&gt;3),"",IF(AND('Choix pédagogiques'!$C$3=3,$B68&lt;&gt;"",$C68&lt;&gt;"",$D68&lt;&gt;"",$G68&lt;&gt;"",$H68&lt;&gt;"",$I68&lt;&gt;""),1,0))</f>
        <v/>
      </c>
      <c r="BR68" s="52" t="n">
        <v>200</v>
      </c>
      <c r="BS68" s="52" t="n">
        <v>1472</v>
      </c>
    </row>
    <row r="69" s="54" customFormat="true" ht="18" hidden="false" customHeight="true" outlineLevel="0" collapsed="false">
      <c r="A69" s="57" t="s">
        <v>69</v>
      </c>
      <c r="B69" s="51"/>
      <c r="C69" s="51"/>
      <c r="D69" s="51"/>
      <c r="E69" s="51"/>
      <c r="F69" s="57" t="s">
        <v>70</v>
      </c>
      <c r="G69" s="50"/>
      <c r="H69" s="50"/>
      <c r="I69" s="50"/>
      <c r="J69" s="51"/>
      <c r="K69" s="52" t="str">
        <f aca="false">IF($A69&lt;&gt;"",$A69,"")</f>
        <v>Apprenant 57</v>
      </c>
      <c r="L69" s="53" t="str">
        <f aca="false">IF(AND($B69&lt;&gt;"",$C69&lt;&gt;""),$C69-$B69,"")</f>
        <v/>
      </c>
      <c r="M69" s="53" t="str">
        <f aca="false">IF(AND($B69&lt;&gt;"",$D69&lt;&gt;""),$D69-$B69,"")</f>
        <v/>
      </c>
      <c r="N69" s="53" t="str">
        <f aca="false">IF(AND($C69&lt;&gt;"",$D69&lt;&gt;""),$D69-$C69,"")</f>
        <v/>
      </c>
      <c r="O69" s="53" t="str">
        <f aca="false">IF($E69&lt;&gt;"",$E69,"")</f>
        <v/>
      </c>
      <c r="P69" s="52" t="str">
        <f aca="false">IF($F69&lt;&gt;"",$F69,"")</f>
        <v>Apprenant 57 ou 57'</v>
      </c>
      <c r="Q69" s="53" t="str">
        <f aca="false">IF(AND($G69&lt;&gt;"",$H69&lt;&gt;""),$H69-$G69,"")</f>
        <v/>
      </c>
      <c r="R69" s="53" t="str">
        <f aca="false">IF(AND($G69&lt;&gt;"",$I69&lt;&gt;""),$I69-$G69,"")</f>
        <v/>
      </c>
      <c r="S69" s="53" t="str">
        <f aca="false">IF(AND($H69&lt;&gt;"",$I69&lt;&gt;""),$I69-$H69,"")</f>
        <v/>
      </c>
      <c r="T69" s="53" t="str">
        <f aca="false">IF($J69&lt;&gt;"",$J69,"")</f>
        <v/>
      </c>
      <c r="V69" s="52" t="str">
        <f aca="false">IF($A69&lt;&gt;"",$A69,"")</f>
        <v>Apprenant 57</v>
      </c>
      <c r="W69" s="53" t="str">
        <f aca="false">IF(AND(OR('Choix pédagogiques'!$C$3=1,'Choix pédagogiques'!$C$3=2),$BM69=1),B69,IF(AND('Choix pédagogiques'!$C$3=3,$BO69=1),B69,""))</f>
        <v/>
      </c>
      <c r="X69" s="53" t="str">
        <f aca="false">IF(AND(OR('Choix pédagogiques'!$C$3=1,'Choix pédagogiques'!$C$3=2),$BM69=1),C69,IF(AND('Choix pédagogiques'!$C$3=3,$BO69=1),C69,""))</f>
        <v/>
      </c>
      <c r="Y69" s="53" t="str">
        <f aca="false">IF(AND(OR('Choix pédagogiques'!$C$3=1,'Choix pédagogiques'!$C$3=2),$BM69=1),D69,IF(AND('Choix pédagogiques'!$C$3=3,$BO69=1),D69,""))</f>
        <v/>
      </c>
      <c r="Z69" s="53" t="str">
        <f aca="false">IF($E69&lt;&gt;"",$E69,"")</f>
        <v/>
      </c>
      <c r="AA69" s="52" t="str">
        <f aca="false">IF($F69&lt;&gt;"",$F69,"")</f>
        <v>Apprenant 57 ou 57'</v>
      </c>
      <c r="AB69" s="53" t="str">
        <f aca="false">IF(AND(OR('Choix pédagogiques'!$C$3=1,'Choix pédagogiques'!$C$3=2),$BN69=1),G69,IF(AND('Choix pédagogiques'!$C$3=3,$BO69=1),G69,""))</f>
        <v/>
      </c>
      <c r="AC69" s="53" t="str">
        <f aca="false">IF(AND(OR('Choix pédagogiques'!$C$3=1,'Choix pédagogiques'!$C$3=2),$BN69=1),H69,IF(AND('Choix pédagogiques'!$C$3=3,$BO69=1),H69,""))</f>
        <v/>
      </c>
      <c r="AD69" s="53" t="str">
        <f aca="false">IF(AND(OR('Choix pédagogiques'!$C$3=1,'Choix pédagogiques'!$C$3=2),$BN69=1),I69,IF(AND('Choix pédagogiques'!$C$3=3,$BO69=1),I69,""))</f>
        <v/>
      </c>
      <c r="AE69" s="53" t="str">
        <f aca="false">IF($J69&lt;&gt;"",$J69,"")</f>
        <v/>
      </c>
      <c r="AF69" s="52" t="str">
        <f aca="false">IF($A69&lt;&gt;"",$A69,"")</f>
        <v>Apprenant 57</v>
      </c>
      <c r="AG69" s="53" t="str">
        <f aca="false">IF(AND($W69&lt;&gt;"",$X69&lt;&gt;""),$X69-$W69,"")</f>
        <v/>
      </c>
      <c r="AH69" s="53" t="str">
        <f aca="false">IF(AND($W69&lt;&gt;"",$Y69&lt;&gt;""),$Y69-$W69,"")</f>
        <v/>
      </c>
      <c r="AI69" s="53" t="str">
        <f aca="false">IF(AND($X69&lt;&gt;"",$Y69&lt;&gt;""),$Y69-$X69,"")</f>
        <v/>
      </c>
      <c r="AJ69" s="53" t="str">
        <f aca="false">IF($E69&lt;&gt;"",$E69,"")</f>
        <v/>
      </c>
      <c r="AK69" s="52" t="str">
        <f aca="false">IF($F69&lt;&gt;"",$F69,"")</f>
        <v>Apprenant 57 ou 57'</v>
      </c>
      <c r="AL69" s="53" t="str">
        <f aca="false">IF(AND($AB69&lt;&gt;"",$AC69&lt;&gt;""),$AC69-$AB69,"")</f>
        <v/>
      </c>
      <c r="AM69" s="53" t="str">
        <f aca="false">IF(AND($AB69&lt;&gt;"",$AD69&lt;&gt;""),$AD69-$AB69,"")</f>
        <v/>
      </c>
      <c r="AN69" s="53" t="str">
        <f aca="false">IF(AND($AC69&lt;&gt;"",$AD69&lt;&gt;""),$AD69-$AC69,"")</f>
        <v/>
      </c>
      <c r="AO69" s="53" t="str">
        <f aca="false">IF($J69&lt;&gt;"",$J69,"")</f>
        <v/>
      </c>
      <c r="AQ69" s="52" t="str">
        <f aca="false">IF($A69&lt;&gt;"",$A69,"")</f>
        <v>Apprenant 57</v>
      </c>
      <c r="AR69" s="55" t="str">
        <f aca="false">IF(AND('Choix pédagogiques'!$C$4&lt;&gt;"?",'Choix pédagogiques'!$C$5&lt;&gt;"?",W69&lt;&gt;""),(W69-'Choix pédagogiques'!$C$4)/('Choix pédagogiques'!$C$5-'Choix pédagogiques'!$C$4),"")</f>
        <v/>
      </c>
      <c r="AS69" s="55" t="str">
        <f aca="false">IF(AND('Choix pédagogiques'!$C$4&lt;&gt;"?",'Choix pédagogiques'!$C$5&lt;&gt;"?",X69&lt;&gt;""),(X69-'Choix pédagogiques'!$C$4)/('Choix pédagogiques'!$C$5-'Choix pédagogiques'!$C$4),"")</f>
        <v/>
      </c>
      <c r="AT69" s="55" t="str">
        <f aca="false">IF(AND('Choix pédagogiques'!$C$4&lt;&gt;"?",'Choix pédagogiques'!$C$5&lt;&gt;"?",Y69&lt;&gt;""),(Y69-'Choix pédagogiques'!$C$4)/('Choix pédagogiques'!$C$5-'Choix pédagogiques'!$C$4),"")</f>
        <v/>
      </c>
      <c r="AU69" s="53" t="str">
        <f aca="false">IF($E69&lt;&gt;"",$E69,"")</f>
        <v/>
      </c>
      <c r="AV69" s="52" t="str">
        <f aca="false">IF($F69&lt;&gt;"",$F69,"")</f>
        <v>Apprenant 57 ou 57'</v>
      </c>
      <c r="AW69" s="55" t="str">
        <f aca="false">IF(AND('Choix pédagogiques'!$C$4&lt;&gt;"?",'Choix pédagogiques'!$C$5&lt;&gt;"?",AB69&lt;&gt;""),(AB69-'Choix pédagogiques'!$C$4)/('Choix pédagogiques'!$C$5-'Choix pédagogiques'!$C$4),"")</f>
        <v/>
      </c>
      <c r="AX69" s="55" t="str">
        <f aca="false">IF(AND('Choix pédagogiques'!$C$4&lt;&gt;"?",'Choix pédagogiques'!$C$5&lt;&gt;"?",AC69&lt;&gt;""),(AC69-'Choix pédagogiques'!$C$4)/('Choix pédagogiques'!$C$5-'Choix pédagogiques'!$C$4),"")</f>
        <v/>
      </c>
      <c r="AY69" s="55" t="str">
        <f aca="false">IF(AND('Choix pédagogiques'!$C$4&lt;&gt;"?",'Choix pédagogiques'!$C$5&lt;&gt;"?",AD69&lt;&gt;""),(AD69-'Choix pédagogiques'!$C$4)/('Choix pédagogiques'!$C$5-'Choix pédagogiques'!$C$4),"")</f>
        <v/>
      </c>
      <c r="AZ69" s="53" t="str">
        <f aca="false">IF($J69&lt;&gt;"",$J69,"")</f>
        <v/>
      </c>
      <c r="BA69" s="52" t="str">
        <f aca="false">IF($A69&lt;&gt;"",$A69,"")</f>
        <v>Apprenant 57</v>
      </c>
      <c r="BB69" s="55" t="str">
        <f aca="false">IF(AND($AR69&lt;&gt;"",$AS69&lt;&gt;""),$AS69-$AR69,"")</f>
        <v/>
      </c>
      <c r="BC69" s="55" t="str">
        <f aca="false">IF(AND($AR69&lt;&gt;"",$AT69&lt;&gt;""),$AT69-$AR69,"")</f>
        <v/>
      </c>
      <c r="BD69" s="55" t="str">
        <f aca="false">IF(AND($AS69&lt;&gt;"",$AT69&lt;&gt;""),$AT69-$AS69,"")</f>
        <v/>
      </c>
      <c r="BE69" s="53" t="str">
        <f aca="false">IF($E69&lt;&gt;"",$E69,"")</f>
        <v/>
      </c>
      <c r="BF69" s="52" t="str">
        <f aca="false">IF($F69&lt;&gt;"",$F69,"")</f>
        <v>Apprenant 57 ou 57'</v>
      </c>
      <c r="BG69" s="55" t="str">
        <f aca="false">IF(AND($AW69&lt;&gt;"",$AX69&lt;&gt;""),$AX69-$AW69,"")</f>
        <v/>
      </c>
      <c r="BH69" s="55" t="str">
        <f aca="false">IF(AND($AW69&lt;&gt;"",$AY69&lt;&gt;""),$AY69-$AW69,"")</f>
        <v/>
      </c>
      <c r="BI69" s="55" t="str">
        <f aca="false">IF(AND($AX69&lt;&gt;"",$AY69&lt;&gt;""),$AY69-$AX69,"")</f>
        <v/>
      </c>
      <c r="BJ69" s="53" t="str">
        <f aca="false">IF($J69&lt;&gt;"",$J69,"")</f>
        <v/>
      </c>
      <c r="BL69" s="52"/>
      <c r="BM69" s="52" t="str">
        <f aca="false">IF(OR(COUNT(B69:D1068)=0,AND('Choix pédagogiques'!$C$3&lt;&gt;1,'Choix pédagogiques'!$C$3&lt;&gt;2)),"",IF(AND(OR('Choix pédagogiques'!$C$3=1,'Choix pédagogiques'!$C$3=2),$B69&lt;&gt;"",$C69&lt;&gt;"",$D69&lt;&gt;""),1,0))</f>
        <v/>
      </c>
      <c r="BN69" s="52" t="str">
        <f aca="false">IF(OR(COUNT(G69:I1068)=0,AND('Choix pédagogiques'!$C$3&lt;&gt;1,'Choix pédagogiques'!$C$3&lt;&gt;2)),"",IF(AND(OR('Choix pédagogiques'!$C$3=1,'Choix pédagogiques'!$C$3=2),AND($G69&lt;&gt;"",$H69&lt;&gt;"",$I69&lt;&gt;"")),1,0))</f>
        <v/>
      </c>
      <c r="BO69" s="52" t="str">
        <f aca="false">IF(OR(COUNT(B69:D1068)=0,COUNT(G69:I1068)=0,'Choix pédagogiques'!C$3&lt;&gt;3),"",IF(AND('Choix pédagogiques'!$C$3=3,$B69&lt;&gt;"",$C69&lt;&gt;"",$D69&lt;&gt;"",$G69&lt;&gt;"",$H69&lt;&gt;"",$I69&lt;&gt;""),1,0))</f>
        <v/>
      </c>
      <c r="BR69" s="52" t="n">
        <v>321</v>
      </c>
      <c r="BS69" s="52" t="n">
        <v>1435</v>
      </c>
    </row>
    <row r="70" s="54" customFormat="true" ht="18" hidden="false" customHeight="true" outlineLevel="0" collapsed="false">
      <c r="A70" s="57" t="s">
        <v>71</v>
      </c>
      <c r="B70" s="51"/>
      <c r="C70" s="51"/>
      <c r="D70" s="51"/>
      <c r="E70" s="51"/>
      <c r="F70" s="57" t="s">
        <v>72</v>
      </c>
      <c r="G70" s="50"/>
      <c r="H70" s="50"/>
      <c r="I70" s="50"/>
      <c r="J70" s="51"/>
      <c r="K70" s="52" t="str">
        <f aca="false">IF($A70&lt;&gt;"",$A70,"")</f>
        <v>Apprenant 58</v>
      </c>
      <c r="L70" s="53" t="str">
        <f aca="false">IF(AND($B70&lt;&gt;"",$C70&lt;&gt;""),$C70-$B70,"")</f>
        <v/>
      </c>
      <c r="M70" s="53" t="str">
        <f aca="false">IF(AND($B70&lt;&gt;"",$D70&lt;&gt;""),$D70-$B70,"")</f>
        <v/>
      </c>
      <c r="N70" s="53" t="str">
        <f aca="false">IF(AND($C70&lt;&gt;"",$D70&lt;&gt;""),$D70-$C70,"")</f>
        <v/>
      </c>
      <c r="O70" s="53" t="str">
        <f aca="false">IF($E70&lt;&gt;"",$E70,"")</f>
        <v/>
      </c>
      <c r="P70" s="52" t="str">
        <f aca="false">IF($F70&lt;&gt;"",$F70,"")</f>
        <v>Apprenant 58 ou 58'</v>
      </c>
      <c r="Q70" s="53" t="str">
        <f aca="false">IF(AND($G70&lt;&gt;"",$H70&lt;&gt;""),$H70-$G70,"")</f>
        <v/>
      </c>
      <c r="R70" s="53" t="str">
        <f aca="false">IF(AND($G70&lt;&gt;"",$I70&lt;&gt;""),$I70-$G70,"")</f>
        <v/>
      </c>
      <c r="S70" s="53" t="str">
        <f aca="false">IF(AND($H70&lt;&gt;"",$I70&lt;&gt;""),$I70-$H70,"")</f>
        <v/>
      </c>
      <c r="T70" s="53" t="str">
        <f aca="false">IF($J70&lt;&gt;"",$J70,"")</f>
        <v/>
      </c>
      <c r="V70" s="52" t="str">
        <f aca="false">IF($A70&lt;&gt;"",$A70,"")</f>
        <v>Apprenant 58</v>
      </c>
      <c r="W70" s="53" t="str">
        <f aca="false">IF(AND(OR('Choix pédagogiques'!$C$3=1,'Choix pédagogiques'!$C$3=2),$BM70=1),B70,IF(AND('Choix pédagogiques'!$C$3=3,$BO70=1),B70,""))</f>
        <v/>
      </c>
      <c r="X70" s="53" t="str">
        <f aca="false">IF(AND(OR('Choix pédagogiques'!$C$3=1,'Choix pédagogiques'!$C$3=2),$BM70=1),C70,IF(AND('Choix pédagogiques'!$C$3=3,$BO70=1),C70,""))</f>
        <v/>
      </c>
      <c r="Y70" s="53" t="str">
        <f aca="false">IF(AND(OR('Choix pédagogiques'!$C$3=1,'Choix pédagogiques'!$C$3=2),$BM70=1),D70,IF(AND('Choix pédagogiques'!$C$3=3,$BO70=1),D70,""))</f>
        <v/>
      </c>
      <c r="Z70" s="53" t="str">
        <f aca="false">IF($E70&lt;&gt;"",$E70,"")</f>
        <v/>
      </c>
      <c r="AA70" s="52" t="str">
        <f aca="false">IF($F70&lt;&gt;"",$F70,"")</f>
        <v>Apprenant 58 ou 58'</v>
      </c>
      <c r="AB70" s="53" t="str">
        <f aca="false">IF(AND(OR('Choix pédagogiques'!$C$3=1,'Choix pédagogiques'!$C$3=2),$BN70=1),G70,IF(AND('Choix pédagogiques'!$C$3=3,$BO70=1),G70,""))</f>
        <v/>
      </c>
      <c r="AC70" s="53" t="str">
        <f aca="false">IF(AND(OR('Choix pédagogiques'!$C$3=1,'Choix pédagogiques'!$C$3=2),$BN70=1),H70,IF(AND('Choix pédagogiques'!$C$3=3,$BO70=1),H70,""))</f>
        <v/>
      </c>
      <c r="AD70" s="53" t="str">
        <f aca="false">IF(AND(OR('Choix pédagogiques'!$C$3=1,'Choix pédagogiques'!$C$3=2),$BN70=1),I70,IF(AND('Choix pédagogiques'!$C$3=3,$BO70=1),I70,""))</f>
        <v/>
      </c>
      <c r="AE70" s="53" t="str">
        <f aca="false">IF($J70&lt;&gt;"",$J70,"")</f>
        <v/>
      </c>
      <c r="AF70" s="52" t="str">
        <f aca="false">IF($A70&lt;&gt;"",$A70,"")</f>
        <v>Apprenant 58</v>
      </c>
      <c r="AG70" s="53" t="str">
        <f aca="false">IF(AND($W70&lt;&gt;"",$X70&lt;&gt;""),$X70-$W70,"")</f>
        <v/>
      </c>
      <c r="AH70" s="53" t="str">
        <f aca="false">IF(AND($W70&lt;&gt;"",$Y70&lt;&gt;""),$Y70-$W70,"")</f>
        <v/>
      </c>
      <c r="AI70" s="53" t="str">
        <f aca="false">IF(AND($X70&lt;&gt;"",$Y70&lt;&gt;""),$Y70-$X70,"")</f>
        <v/>
      </c>
      <c r="AJ70" s="53" t="str">
        <f aca="false">IF($E70&lt;&gt;"",$E70,"")</f>
        <v/>
      </c>
      <c r="AK70" s="52" t="str">
        <f aca="false">IF($F70&lt;&gt;"",$F70,"")</f>
        <v>Apprenant 58 ou 58'</v>
      </c>
      <c r="AL70" s="53" t="str">
        <f aca="false">IF(AND($AB70&lt;&gt;"",$AC70&lt;&gt;""),$AC70-$AB70,"")</f>
        <v/>
      </c>
      <c r="AM70" s="53" t="str">
        <f aca="false">IF(AND($AB70&lt;&gt;"",$AD70&lt;&gt;""),$AD70-$AB70,"")</f>
        <v/>
      </c>
      <c r="AN70" s="53" t="str">
        <f aca="false">IF(AND($AC70&lt;&gt;"",$AD70&lt;&gt;""),$AD70-$AC70,"")</f>
        <v/>
      </c>
      <c r="AO70" s="53" t="str">
        <f aca="false">IF($J70&lt;&gt;"",$J70,"")</f>
        <v/>
      </c>
      <c r="AQ70" s="52" t="str">
        <f aca="false">IF($A70&lt;&gt;"",$A70,"")</f>
        <v>Apprenant 58</v>
      </c>
      <c r="AR70" s="55" t="str">
        <f aca="false">IF(AND('Choix pédagogiques'!$C$4&lt;&gt;"?",'Choix pédagogiques'!$C$5&lt;&gt;"?",W70&lt;&gt;""),(W70-'Choix pédagogiques'!$C$4)/('Choix pédagogiques'!$C$5-'Choix pédagogiques'!$C$4),"")</f>
        <v/>
      </c>
      <c r="AS70" s="55" t="str">
        <f aca="false">IF(AND('Choix pédagogiques'!$C$4&lt;&gt;"?",'Choix pédagogiques'!$C$5&lt;&gt;"?",X70&lt;&gt;""),(X70-'Choix pédagogiques'!$C$4)/('Choix pédagogiques'!$C$5-'Choix pédagogiques'!$C$4),"")</f>
        <v/>
      </c>
      <c r="AT70" s="55" t="str">
        <f aca="false">IF(AND('Choix pédagogiques'!$C$4&lt;&gt;"?",'Choix pédagogiques'!$C$5&lt;&gt;"?",Y70&lt;&gt;""),(Y70-'Choix pédagogiques'!$C$4)/('Choix pédagogiques'!$C$5-'Choix pédagogiques'!$C$4),"")</f>
        <v/>
      </c>
      <c r="AU70" s="53" t="str">
        <f aca="false">IF($E70&lt;&gt;"",$E70,"")</f>
        <v/>
      </c>
      <c r="AV70" s="52" t="str">
        <f aca="false">IF($F70&lt;&gt;"",$F70,"")</f>
        <v>Apprenant 58 ou 58'</v>
      </c>
      <c r="AW70" s="55" t="str">
        <f aca="false">IF(AND('Choix pédagogiques'!$C$4&lt;&gt;"?",'Choix pédagogiques'!$C$5&lt;&gt;"?",AB70&lt;&gt;""),(AB70-'Choix pédagogiques'!$C$4)/('Choix pédagogiques'!$C$5-'Choix pédagogiques'!$C$4),"")</f>
        <v/>
      </c>
      <c r="AX70" s="55" t="str">
        <f aca="false">IF(AND('Choix pédagogiques'!$C$4&lt;&gt;"?",'Choix pédagogiques'!$C$5&lt;&gt;"?",AC70&lt;&gt;""),(AC70-'Choix pédagogiques'!$C$4)/('Choix pédagogiques'!$C$5-'Choix pédagogiques'!$C$4),"")</f>
        <v/>
      </c>
      <c r="AY70" s="55" t="str">
        <f aca="false">IF(AND('Choix pédagogiques'!$C$4&lt;&gt;"?",'Choix pédagogiques'!$C$5&lt;&gt;"?",AD70&lt;&gt;""),(AD70-'Choix pédagogiques'!$C$4)/('Choix pédagogiques'!$C$5-'Choix pédagogiques'!$C$4),"")</f>
        <v/>
      </c>
      <c r="AZ70" s="53" t="str">
        <f aca="false">IF($J70&lt;&gt;"",$J70,"")</f>
        <v/>
      </c>
      <c r="BA70" s="52" t="str">
        <f aca="false">IF($A70&lt;&gt;"",$A70,"")</f>
        <v>Apprenant 58</v>
      </c>
      <c r="BB70" s="55" t="str">
        <f aca="false">IF(AND($AR70&lt;&gt;"",$AS70&lt;&gt;""),$AS70-$AR70,"")</f>
        <v/>
      </c>
      <c r="BC70" s="55" t="str">
        <f aca="false">IF(AND($AR70&lt;&gt;"",$AT70&lt;&gt;""),$AT70-$AR70,"")</f>
        <v/>
      </c>
      <c r="BD70" s="55" t="str">
        <f aca="false">IF(AND($AS70&lt;&gt;"",$AT70&lt;&gt;""),$AT70-$AS70,"")</f>
        <v/>
      </c>
      <c r="BE70" s="53" t="str">
        <f aca="false">IF($E70&lt;&gt;"",$E70,"")</f>
        <v/>
      </c>
      <c r="BF70" s="52" t="str">
        <f aca="false">IF($F70&lt;&gt;"",$F70,"")</f>
        <v>Apprenant 58 ou 58'</v>
      </c>
      <c r="BG70" s="55" t="str">
        <f aca="false">IF(AND($AW70&lt;&gt;"",$AX70&lt;&gt;""),$AX70-$AW70,"")</f>
        <v/>
      </c>
      <c r="BH70" s="55" t="str">
        <f aca="false">IF(AND($AW70&lt;&gt;"",$AY70&lt;&gt;""),$AY70-$AW70,"")</f>
        <v/>
      </c>
      <c r="BI70" s="55" t="str">
        <f aca="false">IF(AND($AX70&lt;&gt;"",$AY70&lt;&gt;""),$AY70-$AX70,"")</f>
        <v/>
      </c>
      <c r="BJ70" s="53" t="str">
        <f aca="false">IF($J70&lt;&gt;"",$J70,"")</f>
        <v/>
      </c>
      <c r="BL70" s="52"/>
      <c r="BM70" s="52" t="str">
        <f aca="false">IF(OR(COUNT(B70:D1069)=0,AND('Choix pédagogiques'!$C$3&lt;&gt;1,'Choix pédagogiques'!$C$3&lt;&gt;2)),"",IF(AND(OR('Choix pédagogiques'!$C$3=1,'Choix pédagogiques'!$C$3=2),$B70&lt;&gt;"",$C70&lt;&gt;"",$D70&lt;&gt;""),1,0))</f>
        <v/>
      </c>
      <c r="BN70" s="52" t="str">
        <f aca="false">IF(OR(COUNT(G70:I1069)=0,AND('Choix pédagogiques'!$C$3&lt;&gt;1,'Choix pédagogiques'!$C$3&lt;&gt;2)),"",IF(AND(OR('Choix pédagogiques'!$C$3=1,'Choix pédagogiques'!$C$3=2),AND($G70&lt;&gt;"",$H70&lt;&gt;"",$I70&lt;&gt;"")),1,0))</f>
        <v/>
      </c>
      <c r="BO70" s="52" t="str">
        <f aca="false">IF(OR(COUNT(B70:D1069)=0,COUNT(G70:I1069)=0,'Choix pédagogiques'!C$3&lt;&gt;3),"",IF(AND('Choix pédagogiques'!$C$3=3,$B70&lt;&gt;"",$C70&lt;&gt;"",$D70&lt;&gt;"",$G70&lt;&gt;"",$H70&lt;&gt;"",$I70&lt;&gt;""),1,0))</f>
        <v/>
      </c>
      <c r="BR70" s="52" t="n">
        <v>707</v>
      </c>
      <c r="BS70" s="52" t="n">
        <v>1895</v>
      </c>
    </row>
    <row r="71" s="54" customFormat="true" ht="18" hidden="false" customHeight="true" outlineLevel="0" collapsed="false">
      <c r="A71" s="57" t="s">
        <v>73</v>
      </c>
      <c r="B71" s="51"/>
      <c r="C71" s="51"/>
      <c r="D71" s="51"/>
      <c r="E71" s="51"/>
      <c r="F71" s="57" t="s">
        <v>74</v>
      </c>
      <c r="G71" s="50"/>
      <c r="H71" s="50"/>
      <c r="I71" s="50"/>
      <c r="J71" s="51"/>
      <c r="K71" s="52" t="str">
        <f aca="false">IF($A71&lt;&gt;"",$A71,"")</f>
        <v>Apprenant 59</v>
      </c>
      <c r="L71" s="53" t="str">
        <f aca="false">IF(AND($B71&lt;&gt;"",$C71&lt;&gt;""),$C71-$B71,"")</f>
        <v/>
      </c>
      <c r="M71" s="53" t="str">
        <f aca="false">IF(AND($B71&lt;&gt;"",$D71&lt;&gt;""),$D71-$B71,"")</f>
        <v/>
      </c>
      <c r="N71" s="53" t="str">
        <f aca="false">IF(AND($C71&lt;&gt;"",$D71&lt;&gt;""),$D71-$C71,"")</f>
        <v/>
      </c>
      <c r="O71" s="53" t="str">
        <f aca="false">IF($E71&lt;&gt;"",$E71,"")</f>
        <v/>
      </c>
      <c r="P71" s="52" t="str">
        <f aca="false">IF($F71&lt;&gt;"",$F71,"")</f>
        <v>Apprenant 59 ou 59'</v>
      </c>
      <c r="Q71" s="53" t="str">
        <f aca="false">IF(AND($G71&lt;&gt;"",$H71&lt;&gt;""),$H71-$G71,"")</f>
        <v/>
      </c>
      <c r="R71" s="53" t="str">
        <f aca="false">IF(AND($G71&lt;&gt;"",$I71&lt;&gt;""),$I71-$G71,"")</f>
        <v/>
      </c>
      <c r="S71" s="53" t="str">
        <f aca="false">IF(AND($H71&lt;&gt;"",$I71&lt;&gt;""),$I71-$H71,"")</f>
        <v/>
      </c>
      <c r="T71" s="53" t="str">
        <f aca="false">IF($J71&lt;&gt;"",$J71,"")</f>
        <v/>
      </c>
      <c r="V71" s="52" t="str">
        <f aca="false">IF($A71&lt;&gt;"",$A71,"")</f>
        <v>Apprenant 59</v>
      </c>
      <c r="W71" s="53" t="str">
        <f aca="false">IF(AND(OR('Choix pédagogiques'!$C$3=1,'Choix pédagogiques'!$C$3=2),$BM71=1),B71,IF(AND('Choix pédagogiques'!$C$3=3,$BO71=1),B71,""))</f>
        <v/>
      </c>
      <c r="X71" s="53" t="str">
        <f aca="false">IF(AND(OR('Choix pédagogiques'!$C$3=1,'Choix pédagogiques'!$C$3=2),$BM71=1),C71,IF(AND('Choix pédagogiques'!$C$3=3,$BO71=1),C71,""))</f>
        <v/>
      </c>
      <c r="Y71" s="53" t="str">
        <f aca="false">IF(AND(OR('Choix pédagogiques'!$C$3=1,'Choix pédagogiques'!$C$3=2),$BM71=1),D71,IF(AND('Choix pédagogiques'!$C$3=3,$BO71=1),D71,""))</f>
        <v/>
      </c>
      <c r="Z71" s="53" t="str">
        <f aca="false">IF($E71&lt;&gt;"",$E71,"")</f>
        <v/>
      </c>
      <c r="AA71" s="52" t="str">
        <f aca="false">IF($F71&lt;&gt;"",$F71,"")</f>
        <v>Apprenant 59 ou 59'</v>
      </c>
      <c r="AB71" s="53" t="str">
        <f aca="false">IF(AND(OR('Choix pédagogiques'!$C$3=1,'Choix pédagogiques'!$C$3=2),$BN71=1),G71,IF(AND('Choix pédagogiques'!$C$3=3,$BO71=1),G71,""))</f>
        <v/>
      </c>
      <c r="AC71" s="53" t="str">
        <f aca="false">IF(AND(OR('Choix pédagogiques'!$C$3=1,'Choix pédagogiques'!$C$3=2),$BN71=1),H71,IF(AND('Choix pédagogiques'!$C$3=3,$BO71=1),H71,""))</f>
        <v/>
      </c>
      <c r="AD71" s="53" t="str">
        <f aca="false">IF(AND(OR('Choix pédagogiques'!$C$3=1,'Choix pédagogiques'!$C$3=2),$BN71=1),I71,IF(AND('Choix pédagogiques'!$C$3=3,$BO71=1),I71,""))</f>
        <v/>
      </c>
      <c r="AE71" s="53" t="str">
        <f aca="false">IF($J71&lt;&gt;"",$J71,"")</f>
        <v/>
      </c>
      <c r="AF71" s="52" t="str">
        <f aca="false">IF($A71&lt;&gt;"",$A71,"")</f>
        <v>Apprenant 59</v>
      </c>
      <c r="AG71" s="53" t="str">
        <f aca="false">IF(AND($W71&lt;&gt;"",$X71&lt;&gt;""),$X71-$W71,"")</f>
        <v/>
      </c>
      <c r="AH71" s="53" t="str">
        <f aca="false">IF(AND($W71&lt;&gt;"",$Y71&lt;&gt;""),$Y71-$W71,"")</f>
        <v/>
      </c>
      <c r="AI71" s="53" t="str">
        <f aca="false">IF(AND($X71&lt;&gt;"",$Y71&lt;&gt;""),$Y71-$X71,"")</f>
        <v/>
      </c>
      <c r="AJ71" s="53" t="str">
        <f aca="false">IF($E71&lt;&gt;"",$E71,"")</f>
        <v/>
      </c>
      <c r="AK71" s="52" t="str">
        <f aca="false">IF($F71&lt;&gt;"",$F71,"")</f>
        <v>Apprenant 59 ou 59'</v>
      </c>
      <c r="AL71" s="53" t="str">
        <f aca="false">IF(AND($AB71&lt;&gt;"",$AC71&lt;&gt;""),$AC71-$AB71,"")</f>
        <v/>
      </c>
      <c r="AM71" s="53" t="str">
        <f aca="false">IF(AND($AB71&lt;&gt;"",$AD71&lt;&gt;""),$AD71-$AB71,"")</f>
        <v/>
      </c>
      <c r="AN71" s="53" t="str">
        <f aca="false">IF(AND($AC71&lt;&gt;"",$AD71&lt;&gt;""),$AD71-$AC71,"")</f>
        <v/>
      </c>
      <c r="AO71" s="53" t="str">
        <f aca="false">IF($J71&lt;&gt;"",$J71,"")</f>
        <v/>
      </c>
      <c r="AQ71" s="52" t="str">
        <f aca="false">IF($A71&lt;&gt;"",$A71,"")</f>
        <v>Apprenant 59</v>
      </c>
      <c r="AR71" s="55" t="str">
        <f aca="false">IF(AND('Choix pédagogiques'!$C$4&lt;&gt;"?",'Choix pédagogiques'!$C$5&lt;&gt;"?",W71&lt;&gt;""),(W71-'Choix pédagogiques'!$C$4)/('Choix pédagogiques'!$C$5-'Choix pédagogiques'!$C$4),"")</f>
        <v/>
      </c>
      <c r="AS71" s="55" t="str">
        <f aca="false">IF(AND('Choix pédagogiques'!$C$4&lt;&gt;"?",'Choix pédagogiques'!$C$5&lt;&gt;"?",X71&lt;&gt;""),(X71-'Choix pédagogiques'!$C$4)/('Choix pédagogiques'!$C$5-'Choix pédagogiques'!$C$4),"")</f>
        <v/>
      </c>
      <c r="AT71" s="55" t="str">
        <f aca="false">IF(AND('Choix pédagogiques'!$C$4&lt;&gt;"?",'Choix pédagogiques'!$C$5&lt;&gt;"?",Y71&lt;&gt;""),(Y71-'Choix pédagogiques'!$C$4)/('Choix pédagogiques'!$C$5-'Choix pédagogiques'!$C$4),"")</f>
        <v/>
      </c>
      <c r="AU71" s="53" t="str">
        <f aca="false">IF($E71&lt;&gt;"",$E71,"")</f>
        <v/>
      </c>
      <c r="AV71" s="52" t="str">
        <f aca="false">IF($F71&lt;&gt;"",$F71,"")</f>
        <v>Apprenant 59 ou 59'</v>
      </c>
      <c r="AW71" s="55" t="str">
        <f aca="false">IF(AND('Choix pédagogiques'!$C$4&lt;&gt;"?",'Choix pédagogiques'!$C$5&lt;&gt;"?",AB71&lt;&gt;""),(AB71-'Choix pédagogiques'!$C$4)/('Choix pédagogiques'!$C$5-'Choix pédagogiques'!$C$4),"")</f>
        <v/>
      </c>
      <c r="AX71" s="55" t="str">
        <f aca="false">IF(AND('Choix pédagogiques'!$C$4&lt;&gt;"?",'Choix pédagogiques'!$C$5&lt;&gt;"?",AC71&lt;&gt;""),(AC71-'Choix pédagogiques'!$C$4)/('Choix pédagogiques'!$C$5-'Choix pédagogiques'!$C$4),"")</f>
        <v/>
      </c>
      <c r="AY71" s="55" t="str">
        <f aca="false">IF(AND('Choix pédagogiques'!$C$4&lt;&gt;"?",'Choix pédagogiques'!$C$5&lt;&gt;"?",AD71&lt;&gt;""),(AD71-'Choix pédagogiques'!$C$4)/('Choix pédagogiques'!$C$5-'Choix pédagogiques'!$C$4),"")</f>
        <v/>
      </c>
      <c r="AZ71" s="53" t="str">
        <f aca="false">IF($J71&lt;&gt;"",$J71,"")</f>
        <v/>
      </c>
      <c r="BA71" s="52" t="str">
        <f aca="false">IF($A71&lt;&gt;"",$A71,"")</f>
        <v>Apprenant 59</v>
      </c>
      <c r="BB71" s="55" t="str">
        <f aca="false">IF(AND($AR71&lt;&gt;"",$AS71&lt;&gt;""),$AS71-$AR71,"")</f>
        <v/>
      </c>
      <c r="BC71" s="55" t="str">
        <f aca="false">IF(AND($AR71&lt;&gt;"",$AT71&lt;&gt;""),$AT71-$AR71,"")</f>
        <v/>
      </c>
      <c r="BD71" s="55" t="str">
        <f aca="false">IF(AND($AS71&lt;&gt;"",$AT71&lt;&gt;""),$AT71-$AS71,"")</f>
        <v/>
      </c>
      <c r="BE71" s="53" t="str">
        <f aca="false">IF($E71&lt;&gt;"",$E71,"")</f>
        <v/>
      </c>
      <c r="BF71" s="52" t="str">
        <f aca="false">IF($F71&lt;&gt;"",$F71,"")</f>
        <v>Apprenant 59 ou 59'</v>
      </c>
      <c r="BG71" s="55" t="str">
        <f aca="false">IF(AND($AW71&lt;&gt;"",$AX71&lt;&gt;""),$AX71-$AW71,"")</f>
        <v/>
      </c>
      <c r="BH71" s="55" t="str">
        <f aca="false">IF(AND($AW71&lt;&gt;"",$AY71&lt;&gt;""),$AY71-$AW71,"")</f>
        <v/>
      </c>
      <c r="BI71" s="55" t="str">
        <f aca="false">IF(AND($AX71&lt;&gt;"",$AY71&lt;&gt;""),$AY71-$AX71,"")</f>
        <v/>
      </c>
      <c r="BJ71" s="53" t="str">
        <f aca="false">IF($J71&lt;&gt;"",$J71,"")</f>
        <v/>
      </c>
      <c r="BL71" s="52"/>
      <c r="BM71" s="52" t="str">
        <f aca="false">IF(OR(COUNT(B71:D1070)=0,AND('Choix pédagogiques'!$C$3&lt;&gt;1,'Choix pédagogiques'!$C$3&lt;&gt;2)),"",IF(AND(OR('Choix pédagogiques'!$C$3=1,'Choix pédagogiques'!$C$3=2),$B71&lt;&gt;"",$C71&lt;&gt;"",$D71&lt;&gt;""),1,0))</f>
        <v/>
      </c>
      <c r="BN71" s="52" t="str">
        <f aca="false">IF(OR(COUNT(G71:I1070)=0,AND('Choix pédagogiques'!$C$3&lt;&gt;1,'Choix pédagogiques'!$C$3&lt;&gt;2)),"",IF(AND(OR('Choix pédagogiques'!$C$3=1,'Choix pédagogiques'!$C$3=2),AND($G71&lt;&gt;"",$H71&lt;&gt;"",$I71&lt;&gt;"")),1,0))</f>
        <v/>
      </c>
      <c r="BO71" s="52" t="str">
        <f aca="false">IF(OR(COUNT(B71:D1070)=0,COUNT(G71:I1070)=0,'Choix pédagogiques'!C$3&lt;&gt;3),"",IF(AND('Choix pédagogiques'!$C$3=3,$B71&lt;&gt;"",$C71&lt;&gt;"",$D71&lt;&gt;"",$G71&lt;&gt;"",$H71&lt;&gt;"",$I71&lt;&gt;""),1,0))</f>
        <v/>
      </c>
      <c r="BR71" s="52" t="n">
        <v>370</v>
      </c>
      <c r="BS71" s="52" t="n">
        <v>1373</v>
      </c>
    </row>
    <row r="72" s="54" customFormat="true" ht="18" hidden="false" customHeight="true" outlineLevel="0" collapsed="false">
      <c r="A72" s="57" t="s">
        <v>75</v>
      </c>
      <c r="B72" s="51"/>
      <c r="C72" s="51"/>
      <c r="D72" s="51"/>
      <c r="E72" s="51"/>
      <c r="F72" s="57" t="s">
        <v>76</v>
      </c>
      <c r="G72" s="50"/>
      <c r="H72" s="50"/>
      <c r="I72" s="50"/>
      <c r="J72" s="51"/>
      <c r="K72" s="52" t="str">
        <f aca="false">IF($A72&lt;&gt;"",$A72,"")</f>
        <v>Apprenant 60</v>
      </c>
      <c r="L72" s="53" t="str">
        <f aca="false">IF(AND($B72&lt;&gt;"",$C72&lt;&gt;""),$C72-$B72,"")</f>
        <v/>
      </c>
      <c r="M72" s="53" t="str">
        <f aca="false">IF(AND($B72&lt;&gt;"",$D72&lt;&gt;""),$D72-$B72,"")</f>
        <v/>
      </c>
      <c r="N72" s="53" t="str">
        <f aca="false">IF(AND($C72&lt;&gt;"",$D72&lt;&gt;""),$D72-$C72,"")</f>
        <v/>
      </c>
      <c r="O72" s="53" t="str">
        <f aca="false">IF($E72&lt;&gt;"",$E72,"")</f>
        <v/>
      </c>
      <c r="P72" s="52" t="str">
        <f aca="false">IF($F72&lt;&gt;"",$F72,"")</f>
        <v>Apprenant 60 ou 60'</v>
      </c>
      <c r="Q72" s="53" t="str">
        <f aca="false">IF(AND($G72&lt;&gt;"",$H72&lt;&gt;""),$H72-$G72,"")</f>
        <v/>
      </c>
      <c r="R72" s="53" t="str">
        <f aca="false">IF(AND($G72&lt;&gt;"",$I72&lt;&gt;""),$I72-$G72,"")</f>
        <v/>
      </c>
      <c r="S72" s="53" t="str">
        <f aca="false">IF(AND($H72&lt;&gt;"",$I72&lt;&gt;""),$I72-$H72,"")</f>
        <v/>
      </c>
      <c r="T72" s="53" t="str">
        <f aca="false">IF($J72&lt;&gt;"",$J72,"")</f>
        <v/>
      </c>
      <c r="V72" s="52" t="str">
        <f aca="false">IF($A72&lt;&gt;"",$A72,"")</f>
        <v>Apprenant 60</v>
      </c>
      <c r="W72" s="53" t="str">
        <f aca="false">IF(AND(OR('Choix pédagogiques'!$C$3=1,'Choix pédagogiques'!$C$3=2),$BM72=1),B72,IF(AND('Choix pédagogiques'!$C$3=3,$BO72=1),B72,""))</f>
        <v/>
      </c>
      <c r="X72" s="53" t="str">
        <f aca="false">IF(AND(OR('Choix pédagogiques'!$C$3=1,'Choix pédagogiques'!$C$3=2),$BM72=1),C72,IF(AND('Choix pédagogiques'!$C$3=3,$BO72=1),C72,""))</f>
        <v/>
      </c>
      <c r="Y72" s="53" t="str">
        <f aca="false">IF(AND(OR('Choix pédagogiques'!$C$3=1,'Choix pédagogiques'!$C$3=2),$BM72=1),D72,IF(AND('Choix pédagogiques'!$C$3=3,$BO72=1),D72,""))</f>
        <v/>
      </c>
      <c r="Z72" s="53" t="str">
        <f aca="false">IF($E72&lt;&gt;"",$E72,"")</f>
        <v/>
      </c>
      <c r="AA72" s="52" t="str">
        <f aca="false">IF($F72&lt;&gt;"",$F72,"")</f>
        <v>Apprenant 60 ou 60'</v>
      </c>
      <c r="AB72" s="53" t="str">
        <f aca="false">IF(AND(OR('Choix pédagogiques'!$C$3=1,'Choix pédagogiques'!$C$3=2),$BN72=1),G72,IF(AND('Choix pédagogiques'!$C$3=3,$BO72=1),G72,""))</f>
        <v/>
      </c>
      <c r="AC72" s="53" t="str">
        <f aca="false">IF(AND(OR('Choix pédagogiques'!$C$3=1,'Choix pédagogiques'!$C$3=2),$BN72=1),H72,IF(AND('Choix pédagogiques'!$C$3=3,$BO72=1),H72,""))</f>
        <v/>
      </c>
      <c r="AD72" s="53" t="str">
        <f aca="false">IF(AND(OR('Choix pédagogiques'!$C$3=1,'Choix pédagogiques'!$C$3=2),$BN72=1),I72,IF(AND('Choix pédagogiques'!$C$3=3,$BO72=1),I72,""))</f>
        <v/>
      </c>
      <c r="AE72" s="53" t="str">
        <f aca="false">IF($J72&lt;&gt;"",$J72,"")</f>
        <v/>
      </c>
      <c r="AF72" s="52" t="str">
        <f aca="false">IF($A72&lt;&gt;"",$A72,"")</f>
        <v>Apprenant 60</v>
      </c>
      <c r="AG72" s="53" t="str">
        <f aca="false">IF(AND($W72&lt;&gt;"",$X72&lt;&gt;""),$X72-$W72,"")</f>
        <v/>
      </c>
      <c r="AH72" s="53" t="str">
        <f aca="false">IF(AND($W72&lt;&gt;"",$Y72&lt;&gt;""),$Y72-$W72,"")</f>
        <v/>
      </c>
      <c r="AI72" s="53" t="str">
        <f aca="false">IF(AND($X72&lt;&gt;"",$Y72&lt;&gt;""),$Y72-$X72,"")</f>
        <v/>
      </c>
      <c r="AJ72" s="53" t="str">
        <f aca="false">IF($E72&lt;&gt;"",$E72,"")</f>
        <v/>
      </c>
      <c r="AK72" s="52" t="str">
        <f aca="false">IF($F72&lt;&gt;"",$F72,"")</f>
        <v>Apprenant 60 ou 60'</v>
      </c>
      <c r="AL72" s="53" t="str">
        <f aca="false">IF(AND($AB72&lt;&gt;"",$AC72&lt;&gt;""),$AC72-$AB72,"")</f>
        <v/>
      </c>
      <c r="AM72" s="53" t="str">
        <f aca="false">IF(AND($AB72&lt;&gt;"",$AD72&lt;&gt;""),$AD72-$AB72,"")</f>
        <v/>
      </c>
      <c r="AN72" s="53" t="str">
        <f aca="false">IF(AND($AC72&lt;&gt;"",$AD72&lt;&gt;""),$AD72-$AC72,"")</f>
        <v/>
      </c>
      <c r="AO72" s="53" t="str">
        <f aca="false">IF($J72&lt;&gt;"",$J72,"")</f>
        <v/>
      </c>
      <c r="AQ72" s="52" t="str">
        <f aca="false">IF($A72&lt;&gt;"",$A72,"")</f>
        <v>Apprenant 60</v>
      </c>
      <c r="AR72" s="55" t="str">
        <f aca="false">IF(AND('Choix pédagogiques'!$C$4&lt;&gt;"?",'Choix pédagogiques'!$C$5&lt;&gt;"?",W72&lt;&gt;""),(W72-'Choix pédagogiques'!$C$4)/('Choix pédagogiques'!$C$5-'Choix pédagogiques'!$C$4),"")</f>
        <v/>
      </c>
      <c r="AS72" s="55" t="str">
        <f aca="false">IF(AND('Choix pédagogiques'!$C$4&lt;&gt;"?",'Choix pédagogiques'!$C$5&lt;&gt;"?",X72&lt;&gt;""),(X72-'Choix pédagogiques'!$C$4)/('Choix pédagogiques'!$C$5-'Choix pédagogiques'!$C$4),"")</f>
        <v/>
      </c>
      <c r="AT72" s="55" t="str">
        <f aca="false">IF(AND('Choix pédagogiques'!$C$4&lt;&gt;"?",'Choix pédagogiques'!$C$5&lt;&gt;"?",Y72&lt;&gt;""),(Y72-'Choix pédagogiques'!$C$4)/('Choix pédagogiques'!$C$5-'Choix pédagogiques'!$C$4),"")</f>
        <v/>
      </c>
      <c r="AU72" s="53" t="str">
        <f aca="false">IF($E72&lt;&gt;"",$E72,"")</f>
        <v/>
      </c>
      <c r="AV72" s="52" t="str">
        <f aca="false">IF($F72&lt;&gt;"",$F72,"")</f>
        <v>Apprenant 60 ou 60'</v>
      </c>
      <c r="AW72" s="55" t="str">
        <f aca="false">IF(AND('Choix pédagogiques'!$C$4&lt;&gt;"?",'Choix pédagogiques'!$C$5&lt;&gt;"?",AB72&lt;&gt;""),(AB72-'Choix pédagogiques'!$C$4)/('Choix pédagogiques'!$C$5-'Choix pédagogiques'!$C$4),"")</f>
        <v/>
      </c>
      <c r="AX72" s="55" t="str">
        <f aca="false">IF(AND('Choix pédagogiques'!$C$4&lt;&gt;"?",'Choix pédagogiques'!$C$5&lt;&gt;"?",AC72&lt;&gt;""),(AC72-'Choix pédagogiques'!$C$4)/('Choix pédagogiques'!$C$5-'Choix pédagogiques'!$C$4),"")</f>
        <v/>
      </c>
      <c r="AY72" s="55" t="str">
        <f aca="false">IF(AND('Choix pédagogiques'!$C$4&lt;&gt;"?",'Choix pédagogiques'!$C$5&lt;&gt;"?",AD72&lt;&gt;""),(AD72-'Choix pédagogiques'!$C$4)/('Choix pédagogiques'!$C$5-'Choix pédagogiques'!$C$4),"")</f>
        <v/>
      </c>
      <c r="AZ72" s="53" t="str">
        <f aca="false">IF($J72&lt;&gt;"",$J72,"")</f>
        <v/>
      </c>
      <c r="BA72" s="52" t="str">
        <f aca="false">IF($A72&lt;&gt;"",$A72,"")</f>
        <v>Apprenant 60</v>
      </c>
      <c r="BB72" s="55" t="str">
        <f aca="false">IF(AND($AR72&lt;&gt;"",$AS72&lt;&gt;""),$AS72-$AR72,"")</f>
        <v/>
      </c>
      <c r="BC72" s="55" t="str">
        <f aca="false">IF(AND($AR72&lt;&gt;"",$AT72&lt;&gt;""),$AT72-$AR72,"")</f>
        <v/>
      </c>
      <c r="BD72" s="55" t="str">
        <f aca="false">IF(AND($AS72&lt;&gt;"",$AT72&lt;&gt;""),$AT72-$AS72,"")</f>
        <v/>
      </c>
      <c r="BE72" s="53" t="str">
        <f aca="false">IF($E72&lt;&gt;"",$E72,"")</f>
        <v/>
      </c>
      <c r="BF72" s="52" t="str">
        <f aca="false">IF($F72&lt;&gt;"",$F72,"")</f>
        <v>Apprenant 60 ou 60'</v>
      </c>
      <c r="BG72" s="55" t="str">
        <f aca="false">IF(AND($AW72&lt;&gt;"",$AX72&lt;&gt;""),$AX72-$AW72,"")</f>
        <v/>
      </c>
      <c r="BH72" s="55" t="str">
        <f aca="false">IF(AND($AW72&lt;&gt;"",$AY72&lt;&gt;""),$AY72-$AW72,"")</f>
        <v/>
      </c>
      <c r="BI72" s="55" t="str">
        <f aca="false">IF(AND($AX72&lt;&gt;"",$AY72&lt;&gt;""),$AY72-$AX72,"")</f>
        <v/>
      </c>
      <c r="BJ72" s="53" t="str">
        <f aca="false">IF($J72&lt;&gt;"",$J72,"")</f>
        <v/>
      </c>
      <c r="BL72" s="52"/>
      <c r="BM72" s="52" t="str">
        <f aca="false">IF(OR(COUNT(B72:D1071)=0,AND('Choix pédagogiques'!$C$3&lt;&gt;1,'Choix pédagogiques'!$C$3&lt;&gt;2)),"",IF(AND(OR('Choix pédagogiques'!$C$3=1,'Choix pédagogiques'!$C$3=2),$B72&lt;&gt;"",$C72&lt;&gt;"",$D72&lt;&gt;""),1,0))</f>
        <v/>
      </c>
      <c r="BN72" s="52" t="str">
        <f aca="false">IF(OR(COUNT(G72:I1071)=0,AND('Choix pédagogiques'!$C$3&lt;&gt;1,'Choix pédagogiques'!$C$3&lt;&gt;2)),"",IF(AND(OR('Choix pédagogiques'!$C$3=1,'Choix pédagogiques'!$C$3=2),AND($G72&lt;&gt;"",$H72&lt;&gt;"",$I72&lt;&gt;"")),1,0))</f>
        <v/>
      </c>
      <c r="BO72" s="52" t="str">
        <f aca="false">IF(OR(COUNT(B72:D1071)=0,COUNT(G72:I1071)=0,'Choix pédagogiques'!C$3&lt;&gt;3),"",IF(AND('Choix pédagogiques'!$C$3=3,$B72&lt;&gt;"",$C72&lt;&gt;"",$D72&lt;&gt;"",$G72&lt;&gt;"",$H72&lt;&gt;"",$I72&lt;&gt;""),1,0))</f>
        <v/>
      </c>
      <c r="BR72" s="52" t="n">
        <v>617</v>
      </c>
      <c r="BS72" s="52" t="n">
        <v>1948</v>
      </c>
    </row>
    <row r="73" s="54" customFormat="true" ht="18" hidden="false" customHeight="true" outlineLevel="0" collapsed="false">
      <c r="A73" s="57" t="s">
        <v>77</v>
      </c>
      <c r="B73" s="51"/>
      <c r="C73" s="51"/>
      <c r="D73" s="51"/>
      <c r="E73" s="51"/>
      <c r="F73" s="57" t="s">
        <v>78</v>
      </c>
      <c r="G73" s="50"/>
      <c r="H73" s="50"/>
      <c r="I73" s="50"/>
      <c r="J73" s="51"/>
      <c r="K73" s="52" t="str">
        <f aca="false">IF($A73&lt;&gt;"",$A73,"")</f>
        <v>Apprenant 61</v>
      </c>
      <c r="L73" s="53" t="str">
        <f aca="false">IF(AND($B73&lt;&gt;"",$C73&lt;&gt;""),$C73-$B73,"")</f>
        <v/>
      </c>
      <c r="M73" s="53" t="str">
        <f aca="false">IF(AND($B73&lt;&gt;"",$D73&lt;&gt;""),$D73-$B73,"")</f>
        <v/>
      </c>
      <c r="N73" s="53" t="str">
        <f aca="false">IF(AND($C73&lt;&gt;"",$D73&lt;&gt;""),$D73-$C73,"")</f>
        <v/>
      </c>
      <c r="O73" s="53" t="str">
        <f aca="false">IF($E73&lt;&gt;"",$E73,"")</f>
        <v/>
      </c>
      <c r="P73" s="52" t="str">
        <f aca="false">IF($F73&lt;&gt;"",$F73,"")</f>
        <v>Apprenant 61 ou 61'</v>
      </c>
      <c r="Q73" s="53" t="str">
        <f aca="false">IF(AND($G73&lt;&gt;"",$H73&lt;&gt;""),$H73-$G73,"")</f>
        <v/>
      </c>
      <c r="R73" s="53" t="str">
        <f aca="false">IF(AND($G73&lt;&gt;"",$I73&lt;&gt;""),$I73-$G73,"")</f>
        <v/>
      </c>
      <c r="S73" s="53" t="str">
        <f aca="false">IF(AND($H73&lt;&gt;"",$I73&lt;&gt;""),$I73-$H73,"")</f>
        <v/>
      </c>
      <c r="T73" s="53" t="str">
        <f aca="false">IF($J73&lt;&gt;"",$J73,"")</f>
        <v/>
      </c>
      <c r="V73" s="52" t="str">
        <f aca="false">IF($A73&lt;&gt;"",$A73,"")</f>
        <v>Apprenant 61</v>
      </c>
      <c r="W73" s="53" t="str">
        <f aca="false">IF(AND(OR('Choix pédagogiques'!$C$3=1,'Choix pédagogiques'!$C$3=2),$BM73=1),B73,IF(AND('Choix pédagogiques'!$C$3=3,$BO73=1),B73,""))</f>
        <v/>
      </c>
      <c r="X73" s="53" t="str">
        <f aca="false">IF(AND(OR('Choix pédagogiques'!$C$3=1,'Choix pédagogiques'!$C$3=2),$BM73=1),C73,IF(AND('Choix pédagogiques'!$C$3=3,$BO73=1),C73,""))</f>
        <v/>
      </c>
      <c r="Y73" s="53" t="str">
        <f aca="false">IF(AND(OR('Choix pédagogiques'!$C$3=1,'Choix pédagogiques'!$C$3=2),$BM73=1),D73,IF(AND('Choix pédagogiques'!$C$3=3,$BO73=1),D73,""))</f>
        <v/>
      </c>
      <c r="Z73" s="53" t="str">
        <f aca="false">IF($E73&lt;&gt;"",$E73,"")</f>
        <v/>
      </c>
      <c r="AA73" s="52" t="str">
        <f aca="false">IF($F73&lt;&gt;"",$F73,"")</f>
        <v>Apprenant 61 ou 61'</v>
      </c>
      <c r="AB73" s="53" t="str">
        <f aca="false">IF(AND(OR('Choix pédagogiques'!$C$3=1,'Choix pédagogiques'!$C$3=2),$BN73=1),G73,IF(AND('Choix pédagogiques'!$C$3=3,$BO73=1),G73,""))</f>
        <v/>
      </c>
      <c r="AC73" s="53" t="str">
        <f aca="false">IF(AND(OR('Choix pédagogiques'!$C$3=1,'Choix pédagogiques'!$C$3=2),$BN73=1),H73,IF(AND('Choix pédagogiques'!$C$3=3,$BO73=1),H73,""))</f>
        <v/>
      </c>
      <c r="AD73" s="53" t="str">
        <f aca="false">IF(AND(OR('Choix pédagogiques'!$C$3=1,'Choix pédagogiques'!$C$3=2),$BN73=1),I73,IF(AND('Choix pédagogiques'!$C$3=3,$BO73=1),I73,""))</f>
        <v/>
      </c>
      <c r="AE73" s="53" t="str">
        <f aca="false">IF($J73&lt;&gt;"",$J73,"")</f>
        <v/>
      </c>
      <c r="AF73" s="52" t="str">
        <f aca="false">IF($A73&lt;&gt;"",$A73,"")</f>
        <v>Apprenant 61</v>
      </c>
      <c r="AG73" s="53" t="str">
        <f aca="false">IF(AND($W73&lt;&gt;"",$X73&lt;&gt;""),$X73-$W73,"")</f>
        <v/>
      </c>
      <c r="AH73" s="53" t="str">
        <f aca="false">IF(AND($W73&lt;&gt;"",$Y73&lt;&gt;""),$Y73-$W73,"")</f>
        <v/>
      </c>
      <c r="AI73" s="53" t="str">
        <f aca="false">IF(AND($X73&lt;&gt;"",$Y73&lt;&gt;""),$Y73-$X73,"")</f>
        <v/>
      </c>
      <c r="AJ73" s="53" t="str">
        <f aca="false">IF($E73&lt;&gt;"",$E73,"")</f>
        <v/>
      </c>
      <c r="AK73" s="52" t="str">
        <f aca="false">IF($F73&lt;&gt;"",$F73,"")</f>
        <v>Apprenant 61 ou 61'</v>
      </c>
      <c r="AL73" s="53" t="str">
        <f aca="false">IF(AND($AB73&lt;&gt;"",$AC73&lt;&gt;""),$AC73-$AB73,"")</f>
        <v/>
      </c>
      <c r="AM73" s="53" t="str">
        <f aca="false">IF(AND($AB73&lt;&gt;"",$AD73&lt;&gt;""),$AD73-$AB73,"")</f>
        <v/>
      </c>
      <c r="AN73" s="53" t="str">
        <f aca="false">IF(AND($AC73&lt;&gt;"",$AD73&lt;&gt;""),$AD73-$AC73,"")</f>
        <v/>
      </c>
      <c r="AO73" s="53" t="str">
        <f aca="false">IF($J73&lt;&gt;"",$J73,"")</f>
        <v/>
      </c>
      <c r="AQ73" s="52" t="str">
        <f aca="false">IF($A73&lt;&gt;"",$A73,"")</f>
        <v>Apprenant 61</v>
      </c>
      <c r="AR73" s="55" t="str">
        <f aca="false">IF(AND('Choix pédagogiques'!$C$4&lt;&gt;"?",'Choix pédagogiques'!$C$5&lt;&gt;"?",W73&lt;&gt;""),(W73-'Choix pédagogiques'!$C$4)/('Choix pédagogiques'!$C$5-'Choix pédagogiques'!$C$4),"")</f>
        <v/>
      </c>
      <c r="AS73" s="55" t="str">
        <f aca="false">IF(AND('Choix pédagogiques'!$C$4&lt;&gt;"?",'Choix pédagogiques'!$C$5&lt;&gt;"?",X73&lt;&gt;""),(X73-'Choix pédagogiques'!$C$4)/('Choix pédagogiques'!$C$5-'Choix pédagogiques'!$C$4),"")</f>
        <v/>
      </c>
      <c r="AT73" s="55" t="str">
        <f aca="false">IF(AND('Choix pédagogiques'!$C$4&lt;&gt;"?",'Choix pédagogiques'!$C$5&lt;&gt;"?",Y73&lt;&gt;""),(Y73-'Choix pédagogiques'!$C$4)/('Choix pédagogiques'!$C$5-'Choix pédagogiques'!$C$4),"")</f>
        <v/>
      </c>
      <c r="AU73" s="53" t="str">
        <f aca="false">IF($E73&lt;&gt;"",$E73,"")</f>
        <v/>
      </c>
      <c r="AV73" s="52" t="str">
        <f aca="false">IF($F73&lt;&gt;"",$F73,"")</f>
        <v>Apprenant 61 ou 61'</v>
      </c>
      <c r="AW73" s="55" t="str">
        <f aca="false">IF(AND('Choix pédagogiques'!$C$4&lt;&gt;"?",'Choix pédagogiques'!$C$5&lt;&gt;"?",AB73&lt;&gt;""),(AB73-'Choix pédagogiques'!$C$4)/('Choix pédagogiques'!$C$5-'Choix pédagogiques'!$C$4),"")</f>
        <v/>
      </c>
      <c r="AX73" s="55" t="str">
        <f aca="false">IF(AND('Choix pédagogiques'!$C$4&lt;&gt;"?",'Choix pédagogiques'!$C$5&lt;&gt;"?",AC73&lt;&gt;""),(AC73-'Choix pédagogiques'!$C$4)/('Choix pédagogiques'!$C$5-'Choix pédagogiques'!$C$4),"")</f>
        <v/>
      </c>
      <c r="AY73" s="55" t="str">
        <f aca="false">IF(AND('Choix pédagogiques'!$C$4&lt;&gt;"?",'Choix pédagogiques'!$C$5&lt;&gt;"?",AD73&lt;&gt;""),(AD73-'Choix pédagogiques'!$C$4)/('Choix pédagogiques'!$C$5-'Choix pédagogiques'!$C$4),"")</f>
        <v/>
      </c>
      <c r="AZ73" s="53" t="str">
        <f aca="false">IF($J73&lt;&gt;"",$J73,"")</f>
        <v/>
      </c>
      <c r="BA73" s="52" t="str">
        <f aca="false">IF($A73&lt;&gt;"",$A73,"")</f>
        <v>Apprenant 61</v>
      </c>
      <c r="BB73" s="55" t="str">
        <f aca="false">IF(AND($AR73&lt;&gt;"",$AS73&lt;&gt;""),$AS73-$AR73,"")</f>
        <v/>
      </c>
      <c r="BC73" s="55" t="str">
        <f aca="false">IF(AND($AR73&lt;&gt;"",$AT73&lt;&gt;""),$AT73-$AR73,"")</f>
        <v/>
      </c>
      <c r="BD73" s="55" t="str">
        <f aca="false">IF(AND($AS73&lt;&gt;"",$AT73&lt;&gt;""),$AT73-$AS73,"")</f>
        <v/>
      </c>
      <c r="BE73" s="53" t="str">
        <f aca="false">IF($E73&lt;&gt;"",$E73,"")</f>
        <v/>
      </c>
      <c r="BF73" s="52" t="str">
        <f aca="false">IF($F73&lt;&gt;"",$F73,"")</f>
        <v>Apprenant 61 ou 61'</v>
      </c>
      <c r="BG73" s="55" t="str">
        <f aca="false">IF(AND($AW73&lt;&gt;"",$AX73&lt;&gt;""),$AX73-$AW73,"")</f>
        <v/>
      </c>
      <c r="BH73" s="55" t="str">
        <f aca="false">IF(AND($AW73&lt;&gt;"",$AY73&lt;&gt;""),$AY73-$AW73,"")</f>
        <v/>
      </c>
      <c r="BI73" s="55" t="str">
        <f aca="false">IF(AND($AX73&lt;&gt;"",$AY73&lt;&gt;""),$AY73-$AX73,"")</f>
        <v/>
      </c>
      <c r="BJ73" s="53" t="str">
        <f aca="false">IF($J73&lt;&gt;"",$J73,"")</f>
        <v/>
      </c>
      <c r="BL73" s="52"/>
      <c r="BM73" s="52" t="str">
        <f aca="false">IF(OR(COUNT(B73:D1072)=0,AND('Choix pédagogiques'!$C$3&lt;&gt;1,'Choix pédagogiques'!$C$3&lt;&gt;2)),"",IF(AND(OR('Choix pédagogiques'!$C$3=1,'Choix pédagogiques'!$C$3=2),$B73&lt;&gt;"",$C73&lt;&gt;"",$D73&lt;&gt;""),1,0))</f>
        <v/>
      </c>
      <c r="BN73" s="52" t="str">
        <f aca="false">IF(OR(COUNT(G73:I1072)=0,AND('Choix pédagogiques'!$C$3&lt;&gt;1,'Choix pédagogiques'!$C$3&lt;&gt;2)),"",IF(AND(OR('Choix pédagogiques'!$C$3=1,'Choix pédagogiques'!$C$3=2),AND($G73&lt;&gt;"",$H73&lt;&gt;"",$I73&lt;&gt;"")),1,0))</f>
        <v/>
      </c>
      <c r="BO73" s="52" t="str">
        <f aca="false">IF(OR(COUNT(B73:D1072)=0,COUNT(G73:I1072)=0,'Choix pédagogiques'!C$3&lt;&gt;3),"",IF(AND('Choix pédagogiques'!$C$3=3,$B73&lt;&gt;"",$C73&lt;&gt;"",$D73&lt;&gt;"",$G73&lt;&gt;"",$H73&lt;&gt;"",$I73&lt;&gt;""),1,0))</f>
        <v/>
      </c>
      <c r="BR73" s="52" t="n">
        <v>603</v>
      </c>
      <c r="BS73" s="52" t="n">
        <v>1673</v>
      </c>
    </row>
    <row r="74" s="54" customFormat="true" ht="18" hidden="false" customHeight="true" outlineLevel="0" collapsed="false">
      <c r="A74" s="57" t="s">
        <v>79</v>
      </c>
      <c r="B74" s="51"/>
      <c r="C74" s="51"/>
      <c r="D74" s="51"/>
      <c r="E74" s="51"/>
      <c r="F74" s="57" t="s">
        <v>80</v>
      </c>
      <c r="G74" s="50"/>
      <c r="H74" s="50"/>
      <c r="I74" s="50"/>
      <c r="J74" s="51"/>
      <c r="K74" s="52" t="str">
        <f aca="false">IF($A74&lt;&gt;"",$A74,"")</f>
        <v>Apprenant 62</v>
      </c>
      <c r="L74" s="53" t="str">
        <f aca="false">IF(AND($B74&lt;&gt;"",$C74&lt;&gt;""),$C74-$B74,"")</f>
        <v/>
      </c>
      <c r="M74" s="53" t="str">
        <f aca="false">IF(AND($B74&lt;&gt;"",$D74&lt;&gt;""),$D74-$B74,"")</f>
        <v/>
      </c>
      <c r="N74" s="53" t="str">
        <f aca="false">IF(AND($C74&lt;&gt;"",$D74&lt;&gt;""),$D74-$C74,"")</f>
        <v/>
      </c>
      <c r="O74" s="53" t="str">
        <f aca="false">IF($E74&lt;&gt;"",$E74,"")</f>
        <v/>
      </c>
      <c r="P74" s="52" t="str">
        <f aca="false">IF($F74&lt;&gt;"",$F74,"")</f>
        <v>Apprenant 62 ou 62'</v>
      </c>
      <c r="Q74" s="53" t="str">
        <f aca="false">IF(AND($G74&lt;&gt;"",$H74&lt;&gt;""),$H74-$G74,"")</f>
        <v/>
      </c>
      <c r="R74" s="53" t="str">
        <f aca="false">IF(AND($G74&lt;&gt;"",$I74&lt;&gt;""),$I74-$G74,"")</f>
        <v/>
      </c>
      <c r="S74" s="53" t="str">
        <f aca="false">IF(AND($H74&lt;&gt;"",$I74&lt;&gt;""),$I74-$H74,"")</f>
        <v/>
      </c>
      <c r="T74" s="53" t="str">
        <f aca="false">IF($J74&lt;&gt;"",$J74,"")</f>
        <v/>
      </c>
      <c r="V74" s="52" t="str">
        <f aca="false">IF($A74&lt;&gt;"",$A74,"")</f>
        <v>Apprenant 62</v>
      </c>
      <c r="W74" s="53" t="str">
        <f aca="false">IF(AND(OR('Choix pédagogiques'!$C$3=1,'Choix pédagogiques'!$C$3=2),$BM74=1),B74,IF(AND('Choix pédagogiques'!$C$3=3,$BO74=1),B74,""))</f>
        <v/>
      </c>
      <c r="X74" s="53" t="str">
        <f aca="false">IF(AND(OR('Choix pédagogiques'!$C$3=1,'Choix pédagogiques'!$C$3=2),$BM74=1),C74,IF(AND('Choix pédagogiques'!$C$3=3,$BO74=1),C74,""))</f>
        <v/>
      </c>
      <c r="Y74" s="53" t="str">
        <f aca="false">IF(AND(OR('Choix pédagogiques'!$C$3=1,'Choix pédagogiques'!$C$3=2),$BM74=1),D74,IF(AND('Choix pédagogiques'!$C$3=3,$BO74=1),D74,""))</f>
        <v/>
      </c>
      <c r="Z74" s="53" t="str">
        <f aca="false">IF($E74&lt;&gt;"",$E74,"")</f>
        <v/>
      </c>
      <c r="AA74" s="52" t="str">
        <f aca="false">IF($F74&lt;&gt;"",$F74,"")</f>
        <v>Apprenant 62 ou 62'</v>
      </c>
      <c r="AB74" s="53" t="str">
        <f aca="false">IF(AND(OR('Choix pédagogiques'!$C$3=1,'Choix pédagogiques'!$C$3=2),$BN74=1),G74,IF(AND('Choix pédagogiques'!$C$3=3,$BO74=1),G74,""))</f>
        <v/>
      </c>
      <c r="AC74" s="53" t="str">
        <f aca="false">IF(AND(OR('Choix pédagogiques'!$C$3=1,'Choix pédagogiques'!$C$3=2),$BN74=1),H74,IF(AND('Choix pédagogiques'!$C$3=3,$BO74=1),H74,""))</f>
        <v/>
      </c>
      <c r="AD74" s="53" t="str">
        <f aca="false">IF(AND(OR('Choix pédagogiques'!$C$3=1,'Choix pédagogiques'!$C$3=2),$BN74=1),I74,IF(AND('Choix pédagogiques'!$C$3=3,$BO74=1),I74,""))</f>
        <v/>
      </c>
      <c r="AE74" s="53" t="str">
        <f aca="false">IF($J74&lt;&gt;"",$J74,"")</f>
        <v/>
      </c>
      <c r="AF74" s="52" t="str">
        <f aca="false">IF($A74&lt;&gt;"",$A74,"")</f>
        <v>Apprenant 62</v>
      </c>
      <c r="AG74" s="53" t="str">
        <f aca="false">IF(AND($W74&lt;&gt;"",$X74&lt;&gt;""),$X74-$W74,"")</f>
        <v/>
      </c>
      <c r="AH74" s="53" t="str">
        <f aca="false">IF(AND($W74&lt;&gt;"",$Y74&lt;&gt;""),$Y74-$W74,"")</f>
        <v/>
      </c>
      <c r="AI74" s="53" t="str">
        <f aca="false">IF(AND($X74&lt;&gt;"",$Y74&lt;&gt;""),$Y74-$X74,"")</f>
        <v/>
      </c>
      <c r="AJ74" s="53" t="str">
        <f aca="false">IF($E74&lt;&gt;"",$E74,"")</f>
        <v/>
      </c>
      <c r="AK74" s="52" t="str">
        <f aca="false">IF($F74&lt;&gt;"",$F74,"")</f>
        <v>Apprenant 62 ou 62'</v>
      </c>
      <c r="AL74" s="53" t="str">
        <f aca="false">IF(AND($AB74&lt;&gt;"",$AC74&lt;&gt;""),$AC74-$AB74,"")</f>
        <v/>
      </c>
      <c r="AM74" s="53" t="str">
        <f aca="false">IF(AND($AB74&lt;&gt;"",$AD74&lt;&gt;""),$AD74-$AB74,"")</f>
        <v/>
      </c>
      <c r="AN74" s="53" t="str">
        <f aca="false">IF(AND($AC74&lt;&gt;"",$AD74&lt;&gt;""),$AD74-$AC74,"")</f>
        <v/>
      </c>
      <c r="AO74" s="53" t="str">
        <f aca="false">IF($J74&lt;&gt;"",$J74,"")</f>
        <v/>
      </c>
      <c r="AQ74" s="52" t="str">
        <f aca="false">IF($A74&lt;&gt;"",$A74,"")</f>
        <v>Apprenant 62</v>
      </c>
      <c r="AR74" s="55" t="str">
        <f aca="false">IF(AND('Choix pédagogiques'!$C$4&lt;&gt;"?",'Choix pédagogiques'!$C$5&lt;&gt;"?",W74&lt;&gt;""),(W74-'Choix pédagogiques'!$C$4)/('Choix pédagogiques'!$C$5-'Choix pédagogiques'!$C$4),"")</f>
        <v/>
      </c>
      <c r="AS74" s="55" t="str">
        <f aca="false">IF(AND('Choix pédagogiques'!$C$4&lt;&gt;"?",'Choix pédagogiques'!$C$5&lt;&gt;"?",X74&lt;&gt;""),(X74-'Choix pédagogiques'!$C$4)/('Choix pédagogiques'!$C$5-'Choix pédagogiques'!$C$4),"")</f>
        <v/>
      </c>
      <c r="AT74" s="55" t="str">
        <f aca="false">IF(AND('Choix pédagogiques'!$C$4&lt;&gt;"?",'Choix pédagogiques'!$C$5&lt;&gt;"?",Y74&lt;&gt;""),(Y74-'Choix pédagogiques'!$C$4)/('Choix pédagogiques'!$C$5-'Choix pédagogiques'!$C$4),"")</f>
        <v/>
      </c>
      <c r="AU74" s="53" t="str">
        <f aca="false">IF($E74&lt;&gt;"",$E74,"")</f>
        <v/>
      </c>
      <c r="AV74" s="52" t="str">
        <f aca="false">IF($F74&lt;&gt;"",$F74,"")</f>
        <v>Apprenant 62 ou 62'</v>
      </c>
      <c r="AW74" s="55" t="str">
        <f aca="false">IF(AND('Choix pédagogiques'!$C$4&lt;&gt;"?",'Choix pédagogiques'!$C$5&lt;&gt;"?",AB74&lt;&gt;""),(AB74-'Choix pédagogiques'!$C$4)/('Choix pédagogiques'!$C$5-'Choix pédagogiques'!$C$4),"")</f>
        <v/>
      </c>
      <c r="AX74" s="55" t="str">
        <f aca="false">IF(AND('Choix pédagogiques'!$C$4&lt;&gt;"?",'Choix pédagogiques'!$C$5&lt;&gt;"?",AC74&lt;&gt;""),(AC74-'Choix pédagogiques'!$C$4)/('Choix pédagogiques'!$C$5-'Choix pédagogiques'!$C$4),"")</f>
        <v/>
      </c>
      <c r="AY74" s="55" t="str">
        <f aca="false">IF(AND('Choix pédagogiques'!$C$4&lt;&gt;"?",'Choix pédagogiques'!$C$5&lt;&gt;"?",AD74&lt;&gt;""),(AD74-'Choix pédagogiques'!$C$4)/('Choix pédagogiques'!$C$5-'Choix pédagogiques'!$C$4),"")</f>
        <v/>
      </c>
      <c r="AZ74" s="53" t="str">
        <f aca="false">IF($J74&lt;&gt;"",$J74,"")</f>
        <v/>
      </c>
      <c r="BA74" s="52" t="str">
        <f aca="false">IF($A74&lt;&gt;"",$A74,"")</f>
        <v>Apprenant 62</v>
      </c>
      <c r="BB74" s="55" t="str">
        <f aca="false">IF(AND($AR74&lt;&gt;"",$AS74&lt;&gt;""),$AS74-$AR74,"")</f>
        <v/>
      </c>
      <c r="BC74" s="55" t="str">
        <f aca="false">IF(AND($AR74&lt;&gt;"",$AT74&lt;&gt;""),$AT74-$AR74,"")</f>
        <v/>
      </c>
      <c r="BD74" s="55" t="str">
        <f aca="false">IF(AND($AS74&lt;&gt;"",$AT74&lt;&gt;""),$AT74-$AS74,"")</f>
        <v/>
      </c>
      <c r="BE74" s="53" t="str">
        <f aca="false">IF($E74&lt;&gt;"",$E74,"")</f>
        <v/>
      </c>
      <c r="BF74" s="52" t="str">
        <f aca="false">IF($F74&lt;&gt;"",$F74,"")</f>
        <v>Apprenant 62 ou 62'</v>
      </c>
      <c r="BG74" s="55" t="str">
        <f aca="false">IF(AND($AW74&lt;&gt;"",$AX74&lt;&gt;""),$AX74-$AW74,"")</f>
        <v/>
      </c>
      <c r="BH74" s="55" t="str">
        <f aca="false">IF(AND($AW74&lt;&gt;"",$AY74&lt;&gt;""),$AY74-$AW74,"")</f>
        <v/>
      </c>
      <c r="BI74" s="55" t="str">
        <f aca="false">IF(AND($AX74&lt;&gt;"",$AY74&lt;&gt;""),$AY74-$AX74,"")</f>
        <v/>
      </c>
      <c r="BJ74" s="53" t="str">
        <f aca="false">IF($J74&lt;&gt;"",$J74,"")</f>
        <v/>
      </c>
      <c r="BL74" s="52"/>
      <c r="BM74" s="52" t="str">
        <f aca="false">IF(OR(COUNT(B74:D1073)=0,AND('Choix pédagogiques'!$C$3&lt;&gt;1,'Choix pédagogiques'!$C$3&lt;&gt;2)),"",IF(AND(OR('Choix pédagogiques'!$C$3=1,'Choix pédagogiques'!$C$3=2),$B74&lt;&gt;"",$C74&lt;&gt;"",$D74&lt;&gt;""),1,0))</f>
        <v/>
      </c>
      <c r="BN74" s="52" t="str">
        <f aca="false">IF(OR(COUNT(G74:I1073)=0,AND('Choix pédagogiques'!$C$3&lt;&gt;1,'Choix pédagogiques'!$C$3&lt;&gt;2)),"",IF(AND(OR('Choix pédagogiques'!$C$3=1,'Choix pédagogiques'!$C$3=2),AND($G74&lt;&gt;"",$H74&lt;&gt;"",$I74&lt;&gt;"")),1,0))</f>
        <v/>
      </c>
      <c r="BO74" s="52" t="str">
        <f aca="false">IF(OR(COUNT(B74:D1073)=0,COUNT(G74:I1073)=0,'Choix pédagogiques'!C$3&lt;&gt;3),"",IF(AND('Choix pédagogiques'!$C$3=3,$B74&lt;&gt;"",$C74&lt;&gt;"",$D74&lt;&gt;"",$G74&lt;&gt;"",$H74&lt;&gt;"",$I74&lt;&gt;""),1,0))</f>
        <v/>
      </c>
      <c r="BR74" s="52" t="n">
        <v>236</v>
      </c>
      <c r="BS74" s="52" t="n">
        <v>1009</v>
      </c>
    </row>
    <row r="75" s="54" customFormat="true" ht="18" hidden="false" customHeight="true" outlineLevel="0" collapsed="false">
      <c r="A75" s="57" t="s">
        <v>81</v>
      </c>
      <c r="B75" s="51"/>
      <c r="C75" s="51"/>
      <c r="D75" s="51"/>
      <c r="E75" s="51"/>
      <c r="F75" s="57" t="s">
        <v>82</v>
      </c>
      <c r="G75" s="50"/>
      <c r="H75" s="50"/>
      <c r="I75" s="50"/>
      <c r="J75" s="51"/>
      <c r="K75" s="52" t="str">
        <f aca="false">IF($A75&lt;&gt;"",$A75,"")</f>
        <v>Apprenant 63</v>
      </c>
      <c r="L75" s="53" t="str">
        <f aca="false">IF(AND($B75&lt;&gt;"",$C75&lt;&gt;""),$C75-$B75,"")</f>
        <v/>
      </c>
      <c r="M75" s="53" t="str">
        <f aca="false">IF(AND($B75&lt;&gt;"",$D75&lt;&gt;""),$D75-$B75,"")</f>
        <v/>
      </c>
      <c r="N75" s="53" t="str">
        <f aca="false">IF(AND($C75&lt;&gt;"",$D75&lt;&gt;""),$D75-$C75,"")</f>
        <v/>
      </c>
      <c r="O75" s="53" t="str">
        <f aca="false">IF($E75&lt;&gt;"",$E75,"")</f>
        <v/>
      </c>
      <c r="P75" s="52" t="str">
        <f aca="false">IF($F75&lt;&gt;"",$F75,"")</f>
        <v>Apprenant 63 ou 63'</v>
      </c>
      <c r="Q75" s="53" t="str">
        <f aca="false">IF(AND($G75&lt;&gt;"",$H75&lt;&gt;""),$H75-$G75,"")</f>
        <v/>
      </c>
      <c r="R75" s="53" t="str">
        <f aca="false">IF(AND($G75&lt;&gt;"",$I75&lt;&gt;""),$I75-$G75,"")</f>
        <v/>
      </c>
      <c r="S75" s="53" t="str">
        <f aca="false">IF(AND($H75&lt;&gt;"",$I75&lt;&gt;""),$I75-$H75,"")</f>
        <v/>
      </c>
      <c r="T75" s="53" t="str">
        <f aca="false">IF($J75&lt;&gt;"",$J75,"")</f>
        <v/>
      </c>
      <c r="V75" s="52" t="str">
        <f aca="false">IF($A75&lt;&gt;"",$A75,"")</f>
        <v>Apprenant 63</v>
      </c>
      <c r="W75" s="53" t="str">
        <f aca="false">IF(AND(OR('Choix pédagogiques'!$C$3=1,'Choix pédagogiques'!$C$3=2),$BM75=1),B75,IF(AND('Choix pédagogiques'!$C$3=3,$BO75=1),B75,""))</f>
        <v/>
      </c>
      <c r="X75" s="53" t="str">
        <f aca="false">IF(AND(OR('Choix pédagogiques'!$C$3=1,'Choix pédagogiques'!$C$3=2),$BM75=1),C75,IF(AND('Choix pédagogiques'!$C$3=3,$BO75=1),C75,""))</f>
        <v/>
      </c>
      <c r="Y75" s="53" t="str">
        <f aca="false">IF(AND(OR('Choix pédagogiques'!$C$3=1,'Choix pédagogiques'!$C$3=2),$BM75=1),D75,IF(AND('Choix pédagogiques'!$C$3=3,$BO75=1),D75,""))</f>
        <v/>
      </c>
      <c r="Z75" s="53" t="str">
        <f aca="false">IF($E75&lt;&gt;"",$E75,"")</f>
        <v/>
      </c>
      <c r="AA75" s="52" t="str">
        <f aca="false">IF($F75&lt;&gt;"",$F75,"")</f>
        <v>Apprenant 63 ou 63'</v>
      </c>
      <c r="AB75" s="53" t="str">
        <f aca="false">IF(AND(OR('Choix pédagogiques'!$C$3=1,'Choix pédagogiques'!$C$3=2),$BN75=1),G75,IF(AND('Choix pédagogiques'!$C$3=3,$BO75=1),G75,""))</f>
        <v/>
      </c>
      <c r="AC75" s="53" t="str">
        <f aca="false">IF(AND(OR('Choix pédagogiques'!$C$3=1,'Choix pédagogiques'!$C$3=2),$BN75=1),H75,IF(AND('Choix pédagogiques'!$C$3=3,$BO75=1),H75,""))</f>
        <v/>
      </c>
      <c r="AD75" s="53" t="str">
        <f aca="false">IF(AND(OR('Choix pédagogiques'!$C$3=1,'Choix pédagogiques'!$C$3=2),$BN75=1),I75,IF(AND('Choix pédagogiques'!$C$3=3,$BO75=1),I75,""))</f>
        <v/>
      </c>
      <c r="AE75" s="53" t="str">
        <f aca="false">IF($J75&lt;&gt;"",$J75,"")</f>
        <v/>
      </c>
      <c r="AF75" s="52" t="str">
        <f aca="false">IF($A75&lt;&gt;"",$A75,"")</f>
        <v>Apprenant 63</v>
      </c>
      <c r="AG75" s="53" t="str">
        <f aca="false">IF(AND($W75&lt;&gt;"",$X75&lt;&gt;""),$X75-$W75,"")</f>
        <v/>
      </c>
      <c r="AH75" s="53" t="str">
        <f aca="false">IF(AND($W75&lt;&gt;"",$Y75&lt;&gt;""),$Y75-$W75,"")</f>
        <v/>
      </c>
      <c r="AI75" s="53" t="str">
        <f aca="false">IF(AND($X75&lt;&gt;"",$Y75&lt;&gt;""),$Y75-$X75,"")</f>
        <v/>
      </c>
      <c r="AJ75" s="53" t="str">
        <f aca="false">IF($E75&lt;&gt;"",$E75,"")</f>
        <v/>
      </c>
      <c r="AK75" s="52" t="str">
        <f aca="false">IF($F75&lt;&gt;"",$F75,"")</f>
        <v>Apprenant 63 ou 63'</v>
      </c>
      <c r="AL75" s="53" t="str">
        <f aca="false">IF(AND($AB75&lt;&gt;"",$AC75&lt;&gt;""),$AC75-$AB75,"")</f>
        <v/>
      </c>
      <c r="AM75" s="53" t="str">
        <f aca="false">IF(AND($AB75&lt;&gt;"",$AD75&lt;&gt;""),$AD75-$AB75,"")</f>
        <v/>
      </c>
      <c r="AN75" s="53" t="str">
        <f aca="false">IF(AND($AC75&lt;&gt;"",$AD75&lt;&gt;""),$AD75-$AC75,"")</f>
        <v/>
      </c>
      <c r="AO75" s="53" t="str">
        <f aca="false">IF($J75&lt;&gt;"",$J75,"")</f>
        <v/>
      </c>
      <c r="AQ75" s="52" t="str">
        <f aca="false">IF($A75&lt;&gt;"",$A75,"")</f>
        <v>Apprenant 63</v>
      </c>
      <c r="AR75" s="55" t="str">
        <f aca="false">IF(AND('Choix pédagogiques'!$C$4&lt;&gt;"?",'Choix pédagogiques'!$C$5&lt;&gt;"?",W75&lt;&gt;""),(W75-'Choix pédagogiques'!$C$4)/('Choix pédagogiques'!$C$5-'Choix pédagogiques'!$C$4),"")</f>
        <v/>
      </c>
      <c r="AS75" s="55" t="str">
        <f aca="false">IF(AND('Choix pédagogiques'!$C$4&lt;&gt;"?",'Choix pédagogiques'!$C$5&lt;&gt;"?",X75&lt;&gt;""),(X75-'Choix pédagogiques'!$C$4)/('Choix pédagogiques'!$C$5-'Choix pédagogiques'!$C$4),"")</f>
        <v/>
      </c>
      <c r="AT75" s="55" t="str">
        <f aca="false">IF(AND('Choix pédagogiques'!$C$4&lt;&gt;"?",'Choix pédagogiques'!$C$5&lt;&gt;"?",Y75&lt;&gt;""),(Y75-'Choix pédagogiques'!$C$4)/('Choix pédagogiques'!$C$5-'Choix pédagogiques'!$C$4),"")</f>
        <v/>
      </c>
      <c r="AU75" s="53" t="str">
        <f aca="false">IF($E75&lt;&gt;"",$E75,"")</f>
        <v/>
      </c>
      <c r="AV75" s="52" t="str">
        <f aca="false">IF($F75&lt;&gt;"",$F75,"")</f>
        <v>Apprenant 63 ou 63'</v>
      </c>
      <c r="AW75" s="55" t="str">
        <f aca="false">IF(AND('Choix pédagogiques'!$C$4&lt;&gt;"?",'Choix pédagogiques'!$C$5&lt;&gt;"?",AB75&lt;&gt;""),(AB75-'Choix pédagogiques'!$C$4)/('Choix pédagogiques'!$C$5-'Choix pédagogiques'!$C$4),"")</f>
        <v/>
      </c>
      <c r="AX75" s="55" t="str">
        <f aca="false">IF(AND('Choix pédagogiques'!$C$4&lt;&gt;"?",'Choix pédagogiques'!$C$5&lt;&gt;"?",AC75&lt;&gt;""),(AC75-'Choix pédagogiques'!$C$4)/('Choix pédagogiques'!$C$5-'Choix pédagogiques'!$C$4),"")</f>
        <v/>
      </c>
      <c r="AY75" s="55" t="str">
        <f aca="false">IF(AND('Choix pédagogiques'!$C$4&lt;&gt;"?",'Choix pédagogiques'!$C$5&lt;&gt;"?",AD75&lt;&gt;""),(AD75-'Choix pédagogiques'!$C$4)/('Choix pédagogiques'!$C$5-'Choix pédagogiques'!$C$4),"")</f>
        <v/>
      </c>
      <c r="AZ75" s="53" t="str">
        <f aca="false">IF($J75&lt;&gt;"",$J75,"")</f>
        <v/>
      </c>
      <c r="BA75" s="52" t="str">
        <f aca="false">IF($A75&lt;&gt;"",$A75,"")</f>
        <v>Apprenant 63</v>
      </c>
      <c r="BB75" s="55" t="str">
        <f aca="false">IF(AND($AR75&lt;&gt;"",$AS75&lt;&gt;""),$AS75-$AR75,"")</f>
        <v/>
      </c>
      <c r="BC75" s="55" t="str">
        <f aca="false">IF(AND($AR75&lt;&gt;"",$AT75&lt;&gt;""),$AT75-$AR75,"")</f>
        <v/>
      </c>
      <c r="BD75" s="55" t="str">
        <f aca="false">IF(AND($AS75&lt;&gt;"",$AT75&lt;&gt;""),$AT75-$AS75,"")</f>
        <v/>
      </c>
      <c r="BE75" s="53" t="str">
        <f aca="false">IF($E75&lt;&gt;"",$E75,"")</f>
        <v/>
      </c>
      <c r="BF75" s="52" t="str">
        <f aca="false">IF($F75&lt;&gt;"",$F75,"")</f>
        <v>Apprenant 63 ou 63'</v>
      </c>
      <c r="BG75" s="55" t="str">
        <f aca="false">IF(AND($AW75&lt;&gt;"",$AX75&lt;&gt;""),$AX75-$AW75,"")</f>
        <v/>
      </c>
      <c r="BH75" s="55" t="str">
        <f aca="false">IF(AND($AW75&lt;&gt;"",$AY75&lt;&gt;""),$AY75-$AW75,"")</f>
        <v/>
      </c>
      <c r="BI75" s="55" t="str">
        <f aca="false">IF(AND($AX75&lt;&gt;"",$AY75&lt;&gt;""),$AY75-$AX75,"")</f>
        <v/>
      </c>
      <c r="BJ75" s="53" t="str">
        <f aca="false">IF($J75&lt;&gt;"",$J75,"")</f>
        <v/>
      </c>
      <c r="BL75" s="52"/>
      <c r="BM75" s="52" t="str">
        <f aca="false">IF(OR(COUNT(B75:D1074)=0,AND('Choix pédagogiques'!$C$3&lt;&gt;1,'Choix pédagogiques'!$C$3&lt;&gt;2)),"",IF(AND(OR('Choix pédagogiques'!$C$3=1,'Choix pédagogiques'!$C$3=2),$B75&lt;&gt;"",$C75&lt;&gt;"",$D75&lt;&gt;""),1,0))</f>
        <v/>
      </c>
      <c r="BN75" s="52" t="str">
        <f aca="false">IF(OR(COUNT(G75:I1074)=0,AND('Choix pédagogiques'!$C$3&lt;&gt;1,'Choix pédagogiques'!$C$3&lt;&gt;2)),"",IF(AND(OR('Choix pédagogiques'!$C$3=1,'Choix pédagogiques'!$C$3=2),AND($G75&lt;&gt;"",$H75&lt;&gt;"",$I75&lt;&gt;"")),1,0))</f>
        <v/>
      </c>
      <c r="BO75" s="52" t="str">
        <f aca="false">IF(OR(COUNT(B75:D1074)=0,COUNT(G75:I1074)=0,'Choix pédagogiques'!C$3&lt;&gt;3),"",IF(AND('Choix pédagogiques'!$C$3=3,$B75&lt;&gt;"",$C75&lt;&gt;"",$D75&lt;&gt;"",$G75&lt;&gt;"",$H75&lt;&gt;"",$I75&lt;&gt;""),1,0))</f>
        <v/>
      </c>
      <c r="BR75" s="52" t="n">
        <v>330</v>
      </c>
      <c r="BS75" s="52" t="n">
        <v>1371</v>
      </c>
    </row>
    <row r="76" s="54" customFormat="true" ht="18" hidden="false" customHeight="true" outlineLevel="0" collapsed="false">
      <c r="A76" s="57" t="s">
        <v>83</v>
      </c>
      <c r="B76" s="51"/>
      <c r="C76" s="51"/>
      <c r="D76" s="51"/>
      <c r="E76" s="51"/>
      <c r="F76" s="57" t="s">
        <v>84</v>
      </c>
      <c r="G76" s="50"/>
      <c r="H76" s="50"/>
      <c r="I76" s="50"/>
      <c r="J76" s="51"/>
      <c r="K76" s="52" t="str">
        <f aca="false">IF($A76&lt;&gt;"",$A76,"")</f>
        <v>Apprenant 64</v>
      </c>
      <c r="L76" s="53" t="str">
        <f aca="false">IF(AND($B76&lt;&gt;"",$C76&lt;&gt;""),$C76-$B76,"")</f>
        <v/>
      </c>
      <c r="M76" s="53" t="str">
        <f aca="false">IF(AND($B76&lt;&gt;"",$D76&lt;&gt;""),$D76-$B76,"")</f>
        <v/>
      </c>
      <c r="N76" s="53" t="str">
        <f aca="false">IF(AND($C76&lt;&gt;"",$D76&lt;&gt;""),$D76-$C76,"")</f>
        <v/>
      </c>
      <c r="O76" s="53" t="str">
        <f aca="false">IF($E76&lt;&gt;"",$E76,"")</f>
        <v/>
      </c>
      <c r="P76" s="52" t="str">
        <f aca="false">IF($F76&lt;&gt;"",$F76,"")</f>
        <v>Apprenant 64 ou 64'</v>
      </c>
      <c r="Q76" s="53" t="str">
        <f aca="false">IF(AND($G76&lt;&gt;"",$H76&lt;&gt;""),$H76-$G76,"")</f>
        <v/>
      </c>
      <c r="R76" s="53" t="str">
        <f aca="false">IF(AND($G76&lt;&gt;"",$I76&lt;&gt;""),$I76-$G76,"")</f>
        <v/>
      </c>
      <c r="S76" s="53" t="str">
        <f aca="false">IF(AND($H76&lt;&gt;"",$I76&lt;&gt;""),$I76-$H76,"")</f>
        <v/>
      </c>
      <c r="T76" s="53" t="str">
        <f aca="false">IF($J76&lt;&gt;"",$J76,"")</f>
        <v/>
      </c>
      <c r="V76" s="52" t="str">
        <f aca="false">IF($A76&lt;&gt;"",$A76,"")</f>
        <v>Apprenant 64</v>
      </c>
      <c r="W76" s="53" t="str">
        <f aca="false">IF(AND(OR('Choix pédagogiques'!$C$3=1,'Choix pédagogiques'!$C$3=2),$BM76=1),B76,IF(AND('Choix pédagogiques'!$C$3=3,$BO76=1),B76,""))</f>
        <v/>
      </c>
      <c r="X76" s="53" t="str">
        <f aca="false">IF(AND(OR('Choix pédagogiques'!$C$3=1,'Choix pédagogiques'!$C$3=2),$BM76=1),C76,IF(AND('Choix pédagogiques'!$C$3=3,$BO76=1),C76,""))</f>
        <v/>
      </c>
      <c r="Y76" s="53" t="str">
        <f aca="false">IF(AND(OR('Choix pédagogiques'!$C$3=1,'Choix pédagogiques'!$C$3=2),$BM76=1),D76,IF(AND('Choix pédagogiques'!$C$3=3,$BO76=1),D76,""))</f>
        <v/>
      </c>
      <c r="Z76" s="53" t="str">
        <f aca="false">IF($E76&lt;&gt;"",$E76,"")</f>
        <v/>
      </c>
      <c r="AA76" s="52" t="str">
        <f aca="false">IF($F76&lt;&gt;"",$F76,"")</f>
        <v>Apprenant 64 ou 64'</v>
      </c>
      <c r="AB76" s="53" t="str">
        <f aca="false">IF(AND(OR('Choix pédagogiques'!$C$3=1,'Choix pédagogiques'!$C$3=2),$BN76=1),G76,IF(AND('Choix pédagogiques'!$C$3=3,$BO76=1),G76,""))</f>
        <v/>
      </c>
      <c r="AC76" s="53" t="str">
        <f aca="false">IF(AND(OR('Choix pédagogiques'!$C$3=1,'Choix pédagogiques'!$C$3=2),$BN76=1),H76,IF(AND('Choix pédagogiques'!$C$3=3,$BO76=1),H76,""))</f>
        <v/>
      </c>
      <c r="AD76" s="53" t="str">
        <f aca="false">IF(AND(OR('Choix pédagogiques'!$C$3=1,'Choix pédagogiques'!$C$3=2),$BN76=1),I76,IF(AND('Choix pédagogiques'!$C$3=3,$BO76=1),I76,""))</f>
        <v/>
      </c>
      <c r="AE76" s="53" t="str">
        <f aca="false">IF($J76&lt;&gt;"",$J76,"")</f>
        <v/>
      </c>
      <c r="AF76" s="52" t="str">
        <f aca="false">IF($A76&lt;&gt;"",$A76,"")</f>
        <v>Apprenant 64</v>
      </c>
      <c r="AG76" s="53" t="str">
        <f aca="false">IF(AND($W76&lt;&gt;"",$X76&lt;&gt;""),$X76-$W76,"")</f>
        <v/>
      </c>
      <c r="AH76" s="53" t="str">
        <f aca="false">IF(AND($W76&lt;&gt;"",$Y76&lt;&gt;""),$Y76-$W76,"")</f>
        <v/>
      </c>
      <c r="AI76" s="53" t="str">
        <f aca="false">IF(AND($X76&lt;&gt;"",$Y76&lt;&gt;""),$Y76-$X76,"")</f>
        <v/>
      </c>
      <c r="AJ76" s="53" t="str">
        <f aca="false">IF($E76&lt;&gt;"",$E76,"")</f>
        <v/>
      </c>
      <c r="AK76" s="52" t="str">
        <f aca="false">IF($F76&lt;&gt;"",$F76,"")</f>
        <v>Apprenant 64 ou 64'</v>
      </c>
      <c r="AL76" s="53" t="str">
        <f aca="false">IF(AND($AB76&lt;&gt;"",$AC76&lt;&gt;""),$AC76-$AB76,"")</f>
        <v/>
      </c>
      <c r="AM76" s="53" t="str">
        <f aca="false">IF(AND($AB76&lt;&gt;"",$AD76&lt;&gt;""),$AD76-$AB76,"")</f>
        <v/>
      </c>
      <c r="AN76" s="53" t="str">
        <f aca="false">IF(AND($AC76&lt;&gt;"",$AD76&lt;&gt;""),$AD76-$AC76,"")</f>
        <v/>
      </c>
      <c r="AO76" s="53" t="str">
        <f aca="false">IF($J76&lt;&gt;"",$J76,"")</f>
        <v/>
      </c>
      <c r="AQ76" s="52" t="str">
        <f aca="false">IF($A76&lt;&gt;"",$A76,"")</f>
        <v>Apprenant 64</v>
      </c>
      <c r="AR76" s="55" t="str">
        <f aca="false">IF(AND('Choix pédagogiques'!$C$4&lt;&gt;"?",'Choix pédagogiques'!$C$5&lt;&gt;"?",W76&lt;&gt;""),(W76-'Choix pédagogiques'!$C$4)/('Choix pédagogiques'!$C$5-'Choix pédagogiques'!$C$4),"")</f>
        <v/>
      </c>
      <c r="AS76" s="55" t="str">
        <f aca="false">IF(AND('Choix pédagogiques'!$C$4&lt;&gt;"?",'Choix pédagogiques'!$C$5&lt;&gt;"?",X76&lt;&gt;""),(X76-'Choix pédagogiques'!$C$4)/('Choix pédagogiques'!$C$5-'Choix pédagogiques'!$C$4),"")</f>
        <v/>
      </c>
      <c r="AT76" s="55" t="str">
        <f aca="false">IF(AND('Choix pédagogiques'!$C$4&lt;&gt;"?",'Choix pédagogiques'!$C$5&lt;&gt;"?",Y76&lt;&gt;""),(Y76-'Choix pédagogiques'!$C$4)/('Choix pédagogiques'!$C$5-'Choix pédagogiques'!$C$4),"")</f>
        <v/>
      </c>
      <c r="AU76" s="53" t="str">
        <f aca="false">IF($E76&lt;&gt;"",$E76,"")</f>
        <v/>
      </c>
      <c r="AV76" s="52" t="str">
        <f aca="false">IF($F76&lt;&gt;"",$F76,"")</f>
        <v>Apprenant 64 ou 64'</v>
      </c>
      <c r="AW76" s="55" t="str">
        <f aca="false">IF(AND('Choix pédagogiques'!$C$4&lt;&gt;"?",'Choix pédagogiques'!$C$5&lt;&gt;"?",AB76&lt;&gt;""),(AB76-'Choix pédagogiques'!$C$4)/('Choix pédagogiques'!$C$5-'Choix pédagogiques'!$C$4),"")</f>
        <v/>
      </c>
      <c r="AX76" s="55" t="str">
        <f aca="false">IF(AND('Choix pédagogiques'!$C$4&lt;&gt;"?",'Choix pédagogiques'!$C$5&lt;&gt;"?",AC76&lt;&gt;""),(AC76-'Choix pédagogiques'!$C$4)/('Choix pédagogiques'!$C$5-'Choix pédagogiques'!$C$4),"")</f>
        <v/>
      </c>
      <c r="AY76" s="55" t="str">
        <f aca="false">IF(AND('Choix pédagogiques'!$C$4&lt;&gt;"?",'Choix pédagogiques'!$C$5&lt;&gt;"?",AD76&lt;&gt;""),(AD76-'Choix pédagogiques'!$C$4)/('Choix pédagogiques'!$C$5-'Choix pédagogiques'!$C$4),"")</f>
        <v/>
      </c>
      <c r="AZ76" s="53" t="str">
        <f aca="false">IF($J76&lt;&gt;"",$J76,"")</f>
        <v/>
      </c>
      <c r="BA76" s="52" t="str">
        <f aca="false">IF($A76&lt;&gt;"",$A76,"")</f>
        <v>Apprenant 64</v>
      </c>
      <c r="BB76" s="55" t="str">
        <f aca="false">IF(AND($AR76&lt;&gt;"",$AS76&lt;&gt;""),$AS76-$AR76,"")</f>
        <v/>
      </c>
      <c r="BC76" s="55" t="str">
        <f aca="false">IF(AND($AR76&lt;&gt;"",$AT76&lt;&gt;""),$AT76-$AR76,"")</f>
        <v/>
      </c>
      <c r="BD76" s="55" t="str">
        <f aca="false">IF(AND($AS76&lt;&gt;"",$AT76&lt;&gt;""),$AT76-$AS76,"")</f>
        <v/>
      </c>
      <c r="BE76" s="53" t="str">
        <f aca="false">IF($E76&lt;&gt;"",$E76,"")</f>
        <v/>
      </c>
      <c r="BF76" s="52" t="str">
        <f aca="false">IF($F76&lt;&gt;"",$F76,"")</f>
        <v>Apprenant 64 ou 64'</v>
      </c>
      <c r="BG76" s="55" t="str">
        <f aca="false">IF(AND($AW76&lt;&gt;"",$AX76&lt;&gt;""),$AX76-$AW76,"")</f>
        <v/>
      </c>
      <c r="BH76" s="55" t="str">
        <f aca="false">IF(AND($AW76&lt;&gt;"",$AY76&lt;&gt;""),$AY76-$AW76,"")</f>
        <v/>
      </c>
      <c r="BI76" s="55" t="str">
        <f aca="false">IF(AND($AX76&lt;&gt;"",$AY76&lt;&gt;""),$AY76-$AX76,"")</f>
        <v/>
      </c>
      <c r="BJ76" s="53" t="str">
        <f aca="false">IF($J76&lt;&gt;"",$J76,"")</f>
        <v/>
      </c>
      <c r="BL76" s="52"/>
      <c r="BM76" s="52" t="str">
        <f aca="false">IF(OR(COUNT(B76:D1075)=0,AND('Choix pédagogiques'!$C$3&lt;&gt;1,'Choix pédagogiques'!$C$3&lt;&gt;2)),"",IF(AND(OR('Choix pédagogiques'!$C$3=1,'Choix pédagogiques'!$C$3=2),$B76&lt;&gt;"",$C76&lt;&gt;"",$D76&lt;&gt;""),1,0))</f>
        <v/>
      </c>
      <c r="BN76" s="52" t="str">
        <f aca="false">IF(OR(COUNT(G76:I1075)=0,AND('Choix pédagogiques'!$C$3&lt;&gt;1,'Choix pédagogiques'!$C$3&lt;&gt;2)),"",IF(AND(OR('Choix pédagogiques'!$C$3=1,'Choix pédagogiques'!$C$3=2),AND($G76&lt;&gt;"",$H76&lt;&gt;"",$I76&lt;&gt;"")),1,0))</f>
        <v/>
      </c>
      <c r="BO76" s="52" t="str">
        <f aca="false">IF(OR(COUNT(B76:D1075)=0,COUNT(G76:I1075)=0,'Choix pédagogiques'!C$3&lt;&gt;3),"",IF(AND('Choix pédagogiques'!$C$3=3,$B76&lt;&gt;"",$C76&lt;&gt;"",$D76&lt;&gt;"",$G76&lt;&gt;"",$H76&lt;&gt;"",$I76&lt;&gt;""),1,0))</f>
        <v/>
      </c>
      <c r="BR76" s="52" t="n">
        <v>905</v>
      </c>
      <c r="BS76" s="52" t="n">
        <v>1979</v>
      </c>
    </row>
    <row r="77" s="54" customFormat="true" ht="18" hidden="false" customHeight="true" outlineLevel="0" collapsed="false">
      <c r="A77" s="57" t="s">
        <v>85</v>
      </c>
      <c r="B77" s="51"/>
      <c r="C77" s="51"/>
      <c r="D77" s="51"/>
      <c r="E77" s="51"/>
      <c r="F77" s="57" t="s">
        <v>86</v>
      </c>
      <c r="G77" s="50"/>
      <c r="H77" s="50"/>
      <c r="I77" s="50"/>
      <c r="J77" s="51"/>
      <c r="K77" s="52" t="str">
        <f aca="false">IF($A77&lt;&gt;"",$A77,"")</f>
        <v>Apprenant 65</v>
      </c>
      <c r="L77" s="53" t="str">
        <f aca="false">IF(AND($B77&lt;&gt;"",$C77&lt;&gt;""),$C77-$B77,"")</f>
        <v/>
      </c>
      <c r="M77" s="53" t="str">
        <f aca="false">IF(AND($B77&lt;&gt;"",$D77&lt;&gt;""),$D77-$B77,"")</f>
        <v/>
      </c>
      <c r="N77" s="53" t="str">
        <f aca="false">IF(AND($C77&lt;&gt;"",$D77&lt;&gt;""),$D77-$C77,"")</f>
        <v/>
      </c>
      <c r="O77" s="53" t="str">
        <f aca="false">IF($E77&lt;&gt;"",$E77,"")</f>
        <v/>
      </c>
      <c r="P77" s="52" t="str">
        <f aca="false">IF($F77&lt;&gt;"",$F77,"")</f>
        <v>Apprenant 65 ou 65'</v>
      </c>
      <c r="Q77" s="53" t="str">
        <f aca="false">IF(AND($G77&lt;&gt;"",$H77&lt;&gt;""),$H77-$G77,"")</f>
        <v/>
      </c>
      <c r="R77" s="53" t="str">
        <f aca="false">IF(AND($G77&lt;&gt;"",$I77&lt;&gt;""),$I77-$G77,"")</f>
        <v/>
      </c>
      <c r="S77" s="53" t="str">
        <f aca="false">IF(AND($H77&lt;&gt;"",$I77&lt;&gt;""),$I77-$H77,"")</f>
        <v/>
      </c>
      <c r="T77" s="53" t="str">
        <f aca="false">IF($J77&lt;&gt;"",$J77,"")</f>
        <v/>
      </c>
      <c r="V77" s="52" t="str">
        <f aca="false">IF($A77&lt;&gt;"",$A77,"")</f>
        <v>Apprenant 65</v>
      </c>
      <c r="W77" s="53" t="str">
        <f aca="false">IF(AND(OR('Choix pédagogiques'!$C$3=1,'Choix pédagogiques'!$C$3=2),$BM77=1),B77,IF(AND('Choix pédagogiques'!$C$3=3,$BO77=1),B77,""))</f>
        <v/>
      </c>
      <c r="X77" s="53" t="str">
        <f aca="false">IF(AND(OR('Choix pédagogiques'!$C$3=1,'Choix pédagogiques'!$C$3=2),$BM77=1),C77,IF(AND('Choix pédagogiques'!$C$3=3,$BO77=1),C77,""))</f>
        <v/>
      </c>
      <c r="Y77" s="53" t="str">
        <f aca="false">IF(AND(OR('Choix pédagogiques'!$C$3=1,'Choix pédagogiques'!$C$3=2),$BM77=1),D77,IF(AND('Choix pédagogiques'!$C$3=3,$BO77=1),D77,""))</f>
        <v/>
      </c>
      <c r="Z77" s="53" t="str">
        <f aca="false">IF($E77&lt;&gt;"",$E77,"")</f>
        <v/>
      </c>
      <c r="AA77" s="52" t="str">
        <f aca="false">IF($F77&lt;&gt;"",$F77,"")</f>
        <v>Apprenant 65 ou 65'</v>
      </c>
      <c r="AB77" s="53" t="str">
        <f aca="false">IF(AND(OR('Choix pédagogiques'!$C$3=1,'Choix pédagogiques'!$C$3=2),$BN77=1),G77,IF(AND('Choix pédagogiques'!$C$3=3,$BO77=1),G77,""))</f>
        <v/>
      </c>
      <c r="AC77" s="53" t="str">
        <f aca="false">IF(AND(OR('Choix pédagogiques'!$C$3=1,'Choix pédagogiques'!$C$3=2),$BN77=1),H77,IF(AND('Choix pédagogiques'!$C$3=3,$BO77=1),H77,""))</f>
        <v/>
      </c>
      <c r="AD77" s="53" t="str">
        <f aca="false">IF(AND(OR('Choix pédagogiques'!$C$3=1,'Choix pédagogiques'!$C$3=2),$BN77=1),I77,IF(AND('Choix pédagogiques'!$C$3=3,$BO77=1),I77,""))</f>
        <v/>
      </c>
      <c r="AE77" s="53" t="str">
        <f aca="false">IF($J77&lt;&gt;"",$J77,"")</f>
        <v/>
      </c>
      <c r="AF77" s="52" t="str">
        <f aca="false">IF($A77&lt;&gt;"",$A77,"")</f>
        <v>Apprenant 65</v>
      </c>
      <c r="AG77" s="53" t="str">
        <f aca="false">IF(AND($W77&lt;&gt;"",$X77&lt;&gt;""),$X77-$W77,"")</f>
        <v/>
      </c>
      <c r="AH77" s="53" t="str">
        <f aca="false">IF(AND($W77&lt;&gt;"",$Y77&lt;&gt;""),$Y77-$W77,"")</f>
        <v/>
      </c>
      <c r="AI77" s="53" t="str">
        <f aca="false">IF(AND($X77&lt;&gt;"",$Y77&lt;&gt;""),$Y77-$X77,"")</f>
        <v/>
      </c>
      <c r="AJ77" s="53" t="str">
        <f aca="false">IF($E77&lt;&gt;"",$E77,"")</f>
        <v/>
      </c>
      <c r="AK77" s="52" t="str">
        <f aca="false">IF($F77&lt;&gt;"",$F77,"")</f>
        <v>Apprenant 65 ou 65'</v>
      </c>
      <c r="AL77" s="53" t="str">
        <f aca="false">IF(AND($AB77&lt;&gt;"",$AC77&lt;&gt;""),$AC77-$AB77,"")</f>
        <v/>
      </c>
      <c r="AM77" s="53" t="str">
        <f aca="false">IF(AND($AB77&lt;&gt;"",$AD77&lt;&gt;""),$AD77-$AB77,"")</f>
        <v/>
      </c>
      <c r="AN77" s="53" t="str">
        <f aca="false">IF(AND($AC77&lt;&gt;"",$AD77&lt;&gt;""),$AD77-$AC77,"")</f>
        <v/>
      </c>
      <c r="AO77" s="53" t="str">
        <f aca="false">IF($J77&lt;&gt;"",$J77,"")</f>
        <v/>
      </c>
      <c r="AQ77" s="52" t="str">
        <f aca="false">IF($A77&lt;&gt;"",$A77,"")</f>
        <v>Apprenant 65</v>
      </c>
      <c r="AR77" s="55" t="str">
        <f aca="false">IF(AND('Choix pédagogiques'!$C$4&lt;&gt;"?",'Choix pédagogiques'!$C$5&lt;&gt;"?",W77&lt;&gt;""),(W77-'Choix pédagogiques'!$C$4)/('Choix pédagogiques'!$C$5-'Choix pédagogiques'!$C$4),"")</f>
        <v/>
      </c>
      <c r="AS77" s="55" t="str">
        <f aca="false">IF(AND('Choix pédagogiques'!$C$4&lt;&gt;"?",'Choix pédagogiques'!$C$5&lt;&gt;"?",X77&lt;&gt;""),(X77-'Choix pédagogiques'!$C$4)/('Choix pédagogiques'!$C$5-'Choix pédagogiques'!$C$4),"")</f>
        <v/>
      </c>
      <c r="AT77" s="55" t="str">
        <f aca="false">IF(AND('Choix pédagogiques'!$C$4&lt;&gt;"?",'Choix pédagogiques'!$C$5&lt;&gt;"?",Y77&lt;&gt;""),(Y77-'Choix pédagogiques'!$C$4)/('Choix pédagogiques'!$C$5-'Choix pédagogiques'!$C$4),"")</f>
        <v/>
      </c>
      <c r="AU77" s="53" t="str">
        <f aca="false">IF($E77&lt;&gt;"",$E77,"")</f>
        <v/>
      </c>
      <c r="AV77" s="52" t="str">
        <f aca="false">IF($F77&lt;&gt;"",$F77,"")</f>
        <v>Apprenant 65 ou 65'</v>
      </c>
      <c r="AW77" s="55" t="str">
        <f aca="false">IF(AND('Choix pédagogiques'!$C$4&lt;&gt;"?",'Choix pédagogiques'!$C$5&lt;&gt;"?",AB77&lt;&gt;""),(AB77-'Choix pédagogiques'!$C$4)/('Choix pédagogiques'!$C$5-'Choix pédagogiques'!$C$4),"")</f>
        <v/>
      </c>
      <c r="AX77" s="55" t="str">
        <f aca="false">IF(AND('Choix pédagogiques'!$C$4&lt;&gt;"?",'Choix pédagogiques'!$C$5&lt;&gt;"?",AC77&lt;&gt;""),(AC77-'Choix pédagogiques'!$C$4)/('Choix pédagogiques'!$C$5-'Choix pédagogiques'!$C$4),"")</f>
        <v/>
      </c>
      <c r="AY77" s="55" t="str">
        <f aca="false">IF(AND('Choix pédagogiques'!$C$4&lt;&gt;"?",'Choix pédagogiques'!$C$5&lt;&gt;"?",AD77&lt;&gt;""),(AD77-'Choix pédagogiques'!$C$4)/('Choix pédagogiques'!$C$5-'Choix pédagogiques'!$C$4),"")</f>
        <v/>
      </c>
      <c r="AZ77" s="53" t="str">
        <f aca="false">IF($J77&lt;&gt;"",$J77,"")</f>
        <v/>
      </c>
      <c r="BA77" s="52" t="str">
        <f aca="false">IF($A77&lt;&gt;"",$A77,"")</f>
        <v>Apprenant 65</v>
      </c>
      <c r="BB77" s="55" t="str">
        <f aca="false">IF(AND($AR77&lt;&gt;"",$AS77&lt;&gt;""),$AS77-$AR77,"")</f>
        <v/>
      </c>
      <c r="BC77" s="55" t="str">
        <f aca="false">IF(AND($AR77&lt;&gt;"",$AT77&lt;&gt;""),$AT77-$AR77,"")</f>
        <v/>
      </c>
      <c r="BD77" s="55" t="str">
        <f aca="false">IF(AND($AS77&lt;&gt;"",$AT77&lt;&gt;""),$AT77-$AS77,"")</f>
        <v/>
      </c>
      <c r="BE77" s="53" t="str">
        <f aca="false">IF($E77&lt;&gt;"",$E77,"")</f>
        <v/>
      </c>
      <c r="BF77" s="52" t="str">
        <f aca="false">IF($F77&lt;&gt;"",$F77,"")</f>
        <v>Apprenant 65 ou 65'</v>
      </c>
      <c r="BG77" s="55" t="str">
        <f aca="false">IF(AND($AW77&lt;&gt;"",$AX77&lt;&gt;""),$AX77-$AW77,"")</f>
        <v/>
      </c>
      <c r="BH77" s="55" t="str">
        <f aca="false">IF(AND($AW77&lt;&gt;"",$AY77&lt;&gt;""),$AY77-$AW77,"")</f>
        <v/>
      </c>
      <c r="BI77" s="55" t="str">
        <f aca="false">IF(AND($AX77&lt;&gt;"",$AY77&lt;&gt;""),$AY77-$AX77,"")</f>
        <v/>
      </c>
      <c r="BJ77" s="53" t="str">
        <f aca="false">IF($J77&lt;&gt;"",$J77,"")</f>
        <v/>
      </c>
      <c r="BL77" s="52"/>
      <c r="BM77" s="52" t="str">
        <f aca="false">IF(OR(COUNT(B77:D1076)=0,AND('Choix pédagogiques'!$C$3&lt;&gt;1,'Choix pédagogiques'!$C$3&lt;&gt;2)),"",IF(AND(OR('Choix pédagogiques'!$C$3=1,'Choix pédagogiques'!$C$3=2),$B77&lt;&gt;"",$C77&lt;&gt;"",$D77&lt;&gt;""),1,0))</f>
        <v/>
      </c>
      <c r="BN77" s="52" t="str">
        <f aca="false">IF(OR(COUNT(G77:I1076)=0,AND('Choix pédagogiques'!$C$3&lt;&gt;1,'Choix pédagogiques'!$C$3&lt;&gt;2)),"",IF(AND(OR('Choix pédagogiques'!$C$3=1,'Choix pédagogiques'!$C$3=2),AND($G77&lt;&gt;"",$H77&lt;&gt;"",$I77&lt;&gt;"")),1,0))</f>
        <v/>
      </c>
      <c r="BO77" s="52" t="str">
        <f aca="false">IF(OR(COUNT(B77:D1076)=0,COUNT(G77:I1076)=0,'Choix pédagogiques'!C$3&lt;&gt;3),"",IF(AND('Choix pédagogiques'!$C$3=3,$B77&lt;&gt;"",$C77&lt;&gt;"",$D77&lt;&gt;"",$G77&lt;&gt;"",$H77&lt;&gt;"",$I77&lt;&gt;""),1,0))</f>
        <v/>
      </c>
      <c r="BR77" s="52" t="n">
        <v>275</v>
      </c>
      <c r="BS77" s="52" t="n">
        <v>1295</v>
      </c>
    </row>
    <row r="78" s="54" customFormat="true" ht="18" hidden="false" customHeight="true" outlineLevel="0" collapsed="false">
      <c r="A78" s="57" t="s">
        <v>87</v>
      </c>
      <c r="B78" s="51"/>
      <c r="C78" s="51"/>
      <c r="D78" s="51"/>
      <c r="E78" s="51"/>
      <c r="F78" s="57" t="s">
        <v>88</v>
      </c>
      <c r="G78" s="50"/>
      <c r="H78" s="50"/>
      <c r="I78" s="50"/>
      <c r="J78" s="51"/>
      <c r="K78" s="52" t="str">
        <f aca="false">IF($A78&lt;&gt;"",$A78,"")</f>
        <v>Apprenant 66</v>
      </c>
      <c r="L78" s="53" t="str">
        <f aca="false">IF(AND($B78&lt;&gt;"",$C78&lt;&gt;""),$C78-$B78,"")</f>
        <v/>
      </c>
      <c r="M78" s="53" t="str">
        <f aca="false">IF(AND($B78&lt;&gt;"",$D78&lt;&gt;""),$D78-$B78,"")</f>
        <v/>
      </c>
      <c r="N78" s="53" t="str">
        <f aca="false">IF(AND($C78&lt;&gt;"",$D78&lt;&gt;""),$D78-$C78,"")</f>
        <v/>
      </c>
      <c r="O78" s="53" t="str">
        <f aca="false">IF($E78&lt;&gt;"",$E78,"")</f>
        <v/>
      </c>
      <c r="P78" s="52" t="str">
        <f aca="false">IF($F78&lt;&gt;"",$F78,"")</f>
        <v>Apprenant 66 ou 66'</v>
      </c>
      <c r="Q78" s="53" t="str">
        <f aca="false">IF(AND($G78&lt;&gt;"",$H78&lt;&gt;""),$H78-$G78,"")</f>
        <v/>
      </c>
      <c r="R78" s="53" t="str">
        <f aca="false">IF(AND($G78&lt;&gt;"",$I78&lt;&gt;""),$I78-$G78,"")</f>
        <v/>
      </c>
      <c r="S78" s="53" t="str">
        <f aca="false">IF(AND($H78&lt;&gt;"",$I78&lt;&gt;""),$I78-$H78,"")</f>
        <v/>
      </c>
      <c r="T78" s="53" t="str">
        <f aca="false">IF($J78&lt;&gt;"",$J78,"")</f>
        <v/>
      </c>
      <c r="V78" s="52" t="str">
        <f aca="false">IF($A78&lt;&gt;"",$A78,"")</f>
        <v>Apprenant 66</v>
      </c>
      <c r="W78" s="53" t="str">
        <f aca="false">IF(AND(OR('Choix pédagogiques'!$C$3=1,'Choix pédagogiques'!$C$3=2),$BM78=1),B78,IF(AND('Choix pédagogiques'!$C$3=3,$BO78=1),B78,""))</f>
        <v/>
      </c>
      <c r="X78" s="53" t="str">
        <f aca="false">IF(AND(OR('Choix pédagogiques'!$C$3=1,'Choix pédagogiques'!$C$3=2),$BM78=1),C78,IF(AND('Choix pédagogiques'!$C$3=3,$BO78=1),C78,""))</f>
        <v/>
      </c>
      <c r="Y78" s="53" t="str">
        <f aca="false">IF(AND(OR('Choix pédagogiques'!$C$3=1,'Choix pédagogiques'!$C$3=2),$BM78=1),D78,IF(AND('Choix pédagogiques'!$C$3=3,$BO78=1),D78,""))</f>
        <v/>
      </c>
      <c r="Z78" s="53" t="str">
        <f aca="false">IF($E78&lt;&gt;"",$E78,"")</f>
        <v/>
      </c>
      <c r="AA78" s="52" t="str">
        <f aca="false">IF($F78&lt;&gt;"",$F78,"")</f>
        <v>Apprenant 66 ou 66'</v>
      </c>
      <c r="AB78" s="53" t="str">
        <f aca="false">IF(AND(OR('Choix pédagogiques'!$C$3=1,'Choix pédagogiques'!$C$3=2),$BN78=1),G78,IF(AND('Choix pédagogiques'!$C$3=3,$BO78=1),G78,""))</f>
        <v/>
      </c>
      <c r="AC78" s="53" t="str">
        <f aca="false">IF(AND(OR('Choix pédagogiques'!$C$3=1,'Choix pédagogiques'!$C$3=2),$BN78=1),H78,IF(AND('Choix pédagogiques'!$C$3=3,$BO78=1),H78,""))</f>
        <v/>
      </c>
      <c r="AD78" s="53" t="str">
        <f aca="false">IF(AND(OR('Choix pédagogiques'!$C$3=1,'Choix pédagogiques'!$C$3=2),$BN78=1),I78,IF(AND('Choix pédagogiques'!$C$3=3,$BO78=1),I78,""))</f>
        <v/>
      </c>
      <c r="AE78" s="53" t="str">
        <f aca="false">IF($J78&lt;&gt;"",$J78,"")</f>
        <v/>
      </c>
      <c r="AF78" s="52" t="str">
        <f aca="false">IF($A78&lt;&gt;"",$A78,"")</f>
        <v>Apprenant 66</v>
      </c>
      <c r="AG78" s="53" t="str">
        <f aca="false">IF(AND($W78&lt;&gt;"",$X78&lt;&gt;""),$X78-$W78,"")</f>
        <v/>
      </c>
      <c r="AH78" s="53" t="str">
        <f aca="false">IF(AND($W78&lt;&gt;"",$Y78&lt;&gt;""),$Y78-$W78,"")</f>
        <v/>
      </c>
      <c r="AI78" s="53" t="str">
        <f aca="false">IF(AND($X78&lt;&gt;"",$Y78&lt;&gt;""),$Y78-$X78,"")</f>
        <v/>
      </c>
      <c r="AJ78" s="53" t="str">
        <f aca="false">IF($E78&lt;&gt;"",$E78,"")</f>
        <v/>
      </c>
      <c r="AK78" s="52" t="str">
        <f aca="false">IF($F78&lt;&gt;"",$F78,"")</f>
        <v>Apprenant 66 ou 66'</v>
      </c>
      <c r="AL78" s="53" t="str">
        <f aca="false">IF(AND($AB78&lt;&gt;"",$AC78&lt;&gt;""),$AC78-$AB78,"")</f>
        <v/>
      </c>
      <c r="AM78" s="53" t="str">
        <f aca="false">IF(AND($AB78&lt;&gt;"",$AD78&lt;&gt;""),$AD78-$AB78,"")</f>
        <v/>
      </c>
      <c r="AN78" s="53" t="str">
        <f aca="false">IF(AND($AC78&lt;&gt;"",$AD78&lt;&gt;""),$AD78-$AC78,"")</f>
        <v/>
      </c>
      <c r="AO78" s="53" t="str">
        <f aca="false">IF($J78&lt;&gt;"",$J78,"")</f>
        <v/>
      </c>
      <c r="AQ78" s="52" t="str">
        <f aca="false">IF($A78&lt;&gt;"",$A78,"")</f>
        <v>Apprenant 66</v>
      </c>
      <c r="AR78" s="55" t="str">
        <f aca="false">IF(AND('Choix pédagogiques'!$C$4&lt;&gt;"?",'Choix pédagogiques'!$C$5&lt;&gt;"?",W78&lt;&gt;""),(W78-'Choix pédagogiques'!$C$4)/('Choix pédagogiques'!$C$5-'Choix pédagogiques'!$C$4),"")</f>
        <v/>
      </c>
      <c r="AS78" s="55" t="str">
        <f aca="false">IF(AND('Choix pédagogiques'!$C$4&lt;&gt;"?",'Choix pédagogiques'!$C$5&lt;&gt;"?",X78&lt;&gt;""),(X78-'Choix pédagogiques'!$C$4)/('Choix pédagogiques'!$C$5-'Choix pédagogiques'!$C$4),"")</f>
        <v/>
      </c>
      <c r="AT78" s="55" t="str">
        <f aca="false">IF(AND('Choix pédagogiques'!$C$4&lt;&gt;"?",'Choix pédagogiques'!$C$5&lt;&gt;"?",Y78&lt;&gt;""),(Y78-'Choix pédagogiques'!$C$4)/('Choix pédagogiques'!$C$5-'Choix pédagogiques'!$C$4),"")</f>
        <v/>
      </c>
      <c r="AU78" s="53" t="str">
        <f aca="false">IF($E78&lt;&gt;"",$E78,"")</f>
        <v/>
      </c>
      <c r="AV78" s="52" t="str">
        <f aca="false">IF($F78&lt;&gt;"",$F78,"")</f>
        <v>Apprenant 66 ou 66'</v>
      </c>
      <c r="AW78" s="55" t="str">
        <f aca="false">IF(AND('Choix pédagogiques'!$C$4&lt;&gt;"?",'Choix pédagogiques'!$C$5&lt;&gt;"?",AB78&lt;&gt;""),(AB78-'Choix pédagogiques'!$C$4)/('Choix pédagogiques'!$C$5-'Choix pédagogiques'!$C$4),"")</f>
        <v/>
      </c>
      <c r="AX78" s="55" t="str">
        <f aca="false">IF(AND('Choix pédagogiques'!$C$4&lt;&gt;"?",'Choix pédagogiques'!$C$5&lt;&gt;"?",AC78&lt;&gt;""),(AC78-'Choix pédagogiques'!$C$4)/('Choix pédagogiques'!$C$5-'Choix pédagogiques'!$C$4),"")</f>
        <v/>
      </c>
      <c r="AY78" s="55" t="str">
        <f aca="false">IF(AND('Choix pédagogiques'!$C$4&lt;&gt;"?",'Choix pédagogiques'!$C$5&lt;&gt;"?",AD78&lt;&gt;""),(AD78-'Choix pédagogiques'!$C$4)/('Choix pédagogiques'!$C$5-'Choix pédagogiques'!$C$4),"")</f>
        <v/>
      </c>
      <c r="AZ78" s="53" t="str">
        <f aca="false">IF($J78&lt;&gt;"",$J78,"")</f>
        <v/>
      </c>
      <c r="BA78" s="52" t="str">
        <f aca="false">IF($A78&lt;&gt;"",$A78,"")</f>
        <v>Apprenant 66</v>
      </c>
      <c r="BB78" s="55" t="str">
        <f aca="false">IF(AND($AR78&lt;&gt;"",$AS78&lt;&gt;""),$AS78-$AR78,"")</f>
        <v/>
      </c>
      <c r="BC78" s="55" t="str">
        <f aca="false">IF(AND($AR78&lt;&gt;"",$AT78&lt;&gt;""),$AT78-$AR78,"")</f>
        <v/>
      </c>
      <c r="BD78" s="55" t="str">
        <f aca="false">IF(AND($AS78&lt;&gt;"",$AT78&lt;&gt;""),$AT78-$AS78,"")</f>
        <v/>
      </c>
      <c r="BE78" s="53" t="str">
        <f aca="false">IF($E78&lt;&gt;"",$E78,"")</f>
        <v/>
      </c>
      <c r="BF78" s="52" t="str">
        <f aca="false">IF($F78&lt;&gt;"",$F78,"")</f>
        <v>Apprenant 66 ou 66'</v>
      </c>
      <c r="BG78" s="55" t="str">
        <f aca="false">IF(AND($AW78&lt;&gt;"",$AX78&lt;&gt;""),$AX78-$AW78,"")</f>
        <v/>
      </c>
      <c r="BH78" s="55" t="str">
        <f aca="false">IF(AND($AW78&lt;&gt;"",$AY78&lt;&gt;""),$AY78-$AW78,"")</f>
        <v/>
      </c>
      <c r="BI78" s="55" t="str">
        <f aca="false">IF(AND($AX78&lt;&gt;"",$AY78&lt;&gt;""),$AY78-$AX78,"")</f>
        <v/>
      </c>
      <c r="BJ78" s="53" t="str">
        <f aca="false">IF($J78&lt;&gt;"",$J78,"")</f>
        <v/>
      </c>
      <c r="BL78" s="52"/>
      <c r="BM78" s="52" t="str">
        <f aca="false">IF(OR(COUNT(B78:D1077)=0,AND('Choix pédagogiques'!$C$3&lt;&gt;1,'Choix pédagogiques'!$C$3&lt;&gt;2)),"",IF(AND(OR('Choix pédagogiques'!$C$3=1,'Choix pédagogiques'!$C$3=2),$B78&lt;&gt;"",$C78&lt;&gt;"",$D78&lt;&gt;""),1,0))</f>
        <v/>
      </c>
      <c r="BN78" s="52" t="str">
        <f aca="false">IF(OR(COUNT(G78:I1077)=0,AND('Choix pédagogiques'!$C$3&lt;&gt;1,'Choix pédagogiques'!$C$3&lt;&gt;2)),"",IF(AND(OR('Choix pédagogiques'!$C$3=1,'Choix pédagogiques'!$C$3=2),AND($G78&lt;&gt;"",$H78&lt;&gt;"",$I78&lt;&gt;"")),1,0))</f>
        <v/>
      </c>
      <c r="BO78" s="52" t="str">
        <f aca="false">IF(OR(COUNT(B78:D1077)=0,COUNT(G78:I1077)=0,'Choix pédagogiques'!C$3&lt;&gt;3),"",IF(AND('Choix pédagogiques'!$C$3=3,$B78&lt;&gt;"",$C78&lt;&gt;"",$D78&lt;&gt;"",$G78&lt;&gt;"",$H78&lt;&gt;"",$I78&lt;&gt;""),1,0))</f>
        <v/>
      </c>
      <c r="BR78" s="52" t="n">
        <v>594</v>
      </c>
      <c r="BS78" s="52" t="n">
        <v>1330</v>
      </c>
    </row>
    <row r="79" s="54" customFormat="true" ht="18" hidden="false" customHeight="true" outlineLevel="0" collapsed="false">
      <c r="A79" s="57" t="s">
        <v>89</v>
      </c>
      <c r="B79" s="51"/>
      <c r="C79" s="51"/>
      <c r="D79" s="51"/>
      <c r="E79" s="51"/>
      <c r="F79" s="57" t="s">
        <v>90</v>
      </c>
      <c r="G79" s="50"/>
      <c r="H79" s="50"/>
      <c r="I79" s="50"/>
      <c r="J79" s="51"/>
      <c r="K79" s="52" t="str">
        <f aca="false">IF($A79&lt;&gt;"",$A79,"")</f>
        <v>Apprenant 67</v>
      </c>
      <c r="L79" s="53" t="str">
        <f aca="false">IF(AND($B79&lt;&gt;"",$C79&lt;&gt;""),$C79-$B79,"")</f>
        <v/>
      </c>
      <c r="M79" s="53" t="str">
        <f aca="false">IF(AND($B79&lt;&gt;"",$D79&lt;&gt;""),$D79-$B79,"")</f>
        <v/>
      </c>
      <c r="N79" s="53" t="str">
        <f aca="false">IF(AND($C79&lt;&gt;"",$D79&lt;&gt;""),$D79-$C79,"")</f>
        <v/>
      </c>
      <c r="O79" s="53" t="str">
        <f aca="false">IF($E79&lt;&gt;"",$E79,"")</f>
        <v/>
      </c>
      <c r="P79" s="52" t="str">
        <f aca="false">IF($F79&lt;&gt;"",$F79,"")</f>
        <v>Apprenant 67 ou 67'</v>
      </c>
      <c r="Q79" s="53" t="str">
        <f aca="false">IF(AND($G79&lt;&gt;"",$H79&lt;&gt;""),$H79-$G79,"")</f>
        <v/>
      </c>
      <c r="R79" s="53" t="str">
        <f aca="false">IF(AND($G79&lt;&gt;"",$I79&lt;&gt;""),$I79-$G79,"")</f>
        <v/>
      </c>
      <c r="S79" s="53" t="str">
        <f aca="false">IF(AND($H79&lt;&gt;"",$I79&lt;&gt;""),$I79-$H79,"")</f>
        <v/>
      </c>
      <c r="T79" s="53" t="str">
        <f aca="false">IF($J79&lt;&gt;"",$J79,"")</f>
        <v/>
      </c>
      <c r="V79" s="52" t="str">
        <f aca="false">IF($A79&lt;&gt;"",$A79,"")</f>
        <v>Apprenant 67</v>
      </c>
      <c r="W79" s="53" t="str">
        <f aca="false">IF(AND(OR('Choix pédagogiques'!$C$3=1,'Choix pédagogiques'!$C$3=2),$BM79=1),B79,IF(AND('Choix pédagogiques'!$C$3=3,$BO79=1),B79,""))</f>
        <v/>
      </c>
      <c r="X79" s="53" t="str">
        <f aca="false">IF(AND(OR('Choix pédagogiques'!$C$3=1,'Choix pédagogiques'!$C$3=2),$BM79=1),C79,IF(AND('Choix pédagogiques'!$C$3=3,$BO79=1),C79,""))</f>
        <v/>
      </c>
      <c r="Y79" s="53" t="str">
        <f aca="false">IF(AND(OR('Choix pédagogiques'!$C$3=1,'Choix pédagogiques'!$C$3=2),$BM79=1),D79,IF(AND('Choix pédagogiques'!$C$3=3,$BO79=1),D79,""))</f>
        <v/>
      </c>
      <c r="Z79" s="53" t="str">
        <f aca="false">IF($E79&lt;&gt;"",$E79,"")</f>
        <v/>
      </c>
      <c r="AA79" s="52" t="str">
        <f aca="false">IF($F79&lt;&gt;"",$F79,"")</f>
        <v>Apprenant 67 ou 67'</v>
      </c>
      <c r="AB79" s="53" t="str">
        <f aca="false">IF(AND(OR('Choix pédagogiques'!$C$3=1,'Choix pédagogiques'!$C$3=2),$BN79=1),G79,IF(AND('Choix pédagogiques'!$C$3=3,$BO79=1),G79,""))</f>
        <v/>
      </c>
      <c r="AC79" s="53" t="str">
        <f aca="false">IF(AND(OR('Choix pédagogiques'!$C$3=1,'Choix pédagogiques'!$C$3=2),$BN79=1),H79,IF(AND('Choix pédagogiques'!$C$3=3,$BO79=1),H79,""))</f>
        <v/>
      </c>
      <c r="AD79" s="53" t="str">
        <f aca="false">IF(AND(OR('Choix pédagogiques'!$C$3=1,'Choix pédagogiques'!$C$3=2),$BN79=1),I79,IF(AND('Choix pédagogiques'!$C$3=3,$BO79=1),I79,""))</f>
        <v/>
      </c>
      <c r="AE79" s="53" t="str">
        <f aca="false">IF($J79&lt;&gt;"",$J79,"")</f>
        <v/>
      </c>
      <c r="AF79" s="52" t="str">
        <f aca="false">IF($A79&lt;&gt;"",$A79,"")</f>
        <v>Apprenant 67</v>
      </c>
      <c r="AG79" s="53" t="str">
        <f aca="false">IF(AND($W79&lt;&gt;"",$X79&lt;&gt;""),$X79-$W79,"")</f>
        <v/>
      </c>
      <c r="AH79" s="53" t="str">
        <f aca="false">IF(AND($W79&lt;&gt;"",$Y79&lt;&gt;""),$Y79-$W79,"")</f>
        <v/>
      </c>
      <c r="AI79" s="53" t="str">
        <f aca="false">IF(AND($X79&lt;&gt;"",$Y79&lt;&gt;""),$Y79-$X79,"")</f>
        <v/>
      </c>
      <c r="AJ79" s="53" t="str">
        <f aca="false">IF($E79&lt;&gt;"",$E79,"")</f>
        <v/>
      </c>
      <c r="AK79" s="52" t="str">
        <f aca="false">IF($F79&lt;&gt;"",$F79,"")</f>
        <v>Apprenant 67 ou 67'</v>
      </c>
      <c r="AL79" s="53" t="str">
        <f aca="false">IF(AND($AB79&lt;&gt;"",$AC79&lt;&gt;""),$AC79-$AB79,"")</f>
        <v/>
      </c>
      <c r="AM79" s="53" t="str">
        <f aca="false">IF(AND($AB79&lt;&gt;"",$AD79&lt;&gt;""),$AD79-$AB79,"")</f>
        <v/>
      </c>
      <c r="AN79" s="53" t="str">
        <f aca="false">IF(AND($AC79&lt;&gt;"",$AD79&lt;&gt;""),$AD79-$AC79,"")</f>
        <v/>
      </c>
      <c r="AO79" s="53" t="str">
        <f aca="false">IF($J79&lt;&gt;"",$J79,"")</f>
        <v/>
      </c>
      <c r="AQ79" s="52" t="str">
        <f aca="false">IF($A79&lt;&gt;"",$A79,"")</f>
        <v>Apprenant 67</v>
      </c>
      <c r="AR79" s="55" t="str">
        <f aca="false">IF(AND('Choix pédagogiques'!$C$4&lt;&gt;"?",'Choix pédagogiques'!$C$5&lt;&gt;"?",W79&lt;&gt;""),(W79-'Choix pédagogiques'!$C$4)/('Choix pédagogiques'!$C$5-'Choix pédagogiques'!$C$4),"")</f>
        <v/>
      </c>
      <c r="AS79" s="55" t="str">
        <f aca="false">IF(AND('Choix pédagogiques'!$C$4&lt;&gt;"?",'Choix pédagogiques'!$C$5&lt;&gt;"?",X79&lt;&gt;""),(X79-'Choix pédagogiques'!$C$4)/('Choix pédagogiques'!$C$5-'Choix pédagogiques'!$C$4),"")</f>
        <v/>
      </c>
      <c r="AT79" s="55" t="str">
        <f aca="false">IF(AND('Choix pédagogiques'!$C$4&lt;&gt;"?",'Choix pédagogiques'!$C$5&lt;&gt;"?",Y79&lt;&gt;""),(Y79-'Choix pédagogiques'!$C$4)/('Choix pédagogiques'!$C$5-'Choix pédagogiques'!$C$4),"")</f>
        <v/>
      </c>
      <c r="AU79" s="53" t="str">
        <f aca="false">IF($E79&lt;&gt;"",$E79,"")</f>
        <v/>
      </c>
      <c r="AV79" s="52" t="str">
        <f aca="false">IF($F79&lt;&gt;"",$F79,"")</f>
        <v>Apprenant 67 ou 67'</v>
      </c>
      <c r="AW79" s="55" t="str">
        <f aca="false">IF(AND('Choix pédagogiques'!$C$4&lt;&gt;"?",'Choix pédagogiques'!$C$5&lt;&gt;"?",AB79&lt;&gt;""),(AB79-'Choix pédagogiques'!$C$4)/('Choix pédagogiques'!$C$5-'Choix pédagogiques'!$C$4),"")</f>
        <v/>
      </c>
      <c r="AX79" s="55" t="str">
        <f aca="false">IF(AND('Choix pédagogiques'!$C$4&lt;&gt;"?",'Choix pédagogiques'!$C$5&lt;&gt;"?",AC79&lt;&gt;""),(AC79-'Choix pédagogiques'!$C$4)/('Choix pédagogiques'!$C$5-'Choix pédagogiques'!$C$4),"")</f>
        <v/>
      </c>
      <c r="AY79" s="55" t="str">
        <f aca="false">IF(AND('Choix pédagogiques'!$C$4&lt;&gt;"?",'Choix pédagogiques'!$C$5&lt;&gt;"?",AD79&lt;&gt;""),(AD79-'Choix pédagogiques'!$C$4)/('Choix pédagogiques'!$C$5-'Choix pédagogiques'!$C$4),"")</f>
        <v/>
      </c>
      <c r="AZ79" s="53" t="str">
        <f aca="false">IF($J79&lt;&gt;"",$J79,"")</f>
        <v/>
      </c>
      <c r="BA79" s="52" t="str">
        <f aca="false">IF($A79&lt;&gt;"",$A79,"")</f>
        <v>Apprenant 67</v>
      </c>
      <c r="BB79" s="55" t="str">
        <f aca="false">IF(AND($AR79&lt;&gt;"",$AS79&lt;&gt;""),$AS79-$AR79,"")</f>
        <v/>
      </c>
      <c r="BC79" s="55" t="str">
        <f aca="false">IF(AND($AR79&lt;&gt;"",$AT79&lt;&gt;""),$AT79-$AR79,"")</f>
        <v/>
      </c>
      <c r="BD79" s="55" t="str">
        <f aca="false">IF(AND($AS79&lt;&gt;"",$AT79&lt;&gt;""),$AT79-$AS79,"")</f>
        <v/>
      </c>
      <c r="BE79" s="53" t="str">
        <f aca="false">IF($E79&lt;&gt;"",$E79,"")</f>
        <v/>
      </c>
      <c r="BF79" s="52" t="str">
        <f aca="false">IF($F79&lt;&gt;"",$F79,"")</f>
        <v>Apprenant 67 ou 67'</v>
      </c>
      <c r="BG79" s="55" t="str">
        <f aca="false">IF(AND($AW79&lt;&gt;"",$AX79&lt;&gt;""),$AX79-$AW79,"")</f>
        <v/>
      </c>
      <c r="BH79" s="55" t="str">
        <f aca="false">IF(AND($AW79&lt;&gt;"",$AY79&lt;&gt;""),$AY79-$AW79,"")</f>
        <v/>
      </c>
      <c r="BI79" s="55" t="str">
        <f aca="false">IF(AND($AX79&lt;&gt;"",$AY79&lt;&gt;""),$AY79-$AX79,"")</f>
        <v/>
      </c>
      <c r="BJ79" s="53" t="str">
        <f aca="false">IF($J79&lt;&gt;"",$J79,"")</f>
        <v/>
      </c>
      <c r="BL79" s="52"/>
      <c r="BM79" s="52" t="str">
        <f aca="false">IF(OR(COUNT(B79:D1078)=0,AND('Choix pédagogiques'!$C$3&lt;&gt;1,'Choix pédagogiques'!$C$3&lt;&gt;2)),"",IF(AND(OR('Choix pédagogiques'!$C$3=1,'Choix pédagogiques'!$C$3=2),$B79&lt;&gt;"",$C79&lt;&gt;"",$D79&lt;&gt;""),1,0))</f>
        <v/>
      </c>
      <c r="BN79" s="52" t="str">
        <f aca="false">IF(OR(COUNT(G79:I1078)=0,AND('Choix pédagogiques'!$C$3&lt;&gt;1,'Choix pédagogiques'!$C$3&lt;&gt;2)),"",IF(AND(OR('Choix pédagogiques'!$C$3=1,'Choix pédagogiques'!$C$3=2),AND($G79&lt;&gt;"",$H79&lt;&gt;"",$I79&lt;&gt;"")),1,0))</f>
        <v/>
      </c>
      <c r="BO79" s="52" t="str">
        <f aca="false">IF(OR(COUNT(B79:D1078)=0,COUNT(G79:I1078)=0,'Choix pédagogiques'!C$3&lt;&gt;3),"",IF(AND('Choix pédagogiques'!$C$3=3,$B79&lt;&gt;"",$C79&lt;&gt;"",$D79&lt;&gt;"",$G79&lt;&gt;"",$H79&lt;&gt;"",$I79&lt;&gt;""),1,0))</f>
        <v/>
      </c>
      <c r="BR79" s="52" t="n">
        <v>314</v>
      </c>
      <c r="BS79" s="52" t="n">
        <v>1387</v>
      </c>
    </row>
    <row r="80" s="54" customFormat="true" ht="18" hidden="false" customHeight="true" outlineLevel="0" collapsed="false">
      <c r="A80" s="57" t="s">
        <v>91</v>
      </c>
      <c r="B80" s="51"/>
      <c r="C80" s="51"/>
      <c r="D80" s="51"/>
      <c r="E80" s="51"/>
      <c r="F80" s="57" t="s">
        <v>92</v>
      </c>
      <c r="G80" s="50"/>
      <c r="H80" s="50"/>
      <c r="I80" s="50"/>
      <c r="J80" s="51"/>
      <c r="K80" s="52" t="str">
        <f aca="false">IF($A80&lt;&gt;"",$A80,"")</f>
        <v>Apprenant 68</v>
      </c>
      <c r="L80" s="53" t="str">
        <f aca="false">IF(AND($B80&lt;&gt;"",$C80&lt;&gt;""),$C80-$B80,"")</f>
        <v/>
      </c>
      <c r="M80" s="53" t="str">
        <f aca="false">IF(AND($B80&lt;&gt;"",$D80&lt;&gt;""),$D80-$B80,"")</f>
        <v/>
      </c>
      <c r="N80" s="53" t="str">
        <f aca="false">IF(AND($C80&lt;&gt;"",$D80&lt;&gt;""),$D80-$C80,"")</f>
        <v/>
      </c>
      <c r="O80" s="53" t="str">
        <f aca="false">IF($E80&lt;&gt;"",$E80,"")</f>
        <v/>
      </c>
      <c r="P80" s="52" t="str">
        <f aca="false">IF($F80&lt;&gt;"",$F80,"")</f>
        <v>Apprenant 68 ou 68'</v>
      </c>
      <c r="Q80" s="53" t="str">
        <f aca="false">IF(AND($G80&lt;&gt;"",$H80&lt;&gt;""),$H80-$G80,"")</f>
        <v/>
      </c>
      <c r="R80" s="53" t="str">
        <f aca="false">IF(AND($G80&lt;&gt;"",$I80&lt;&gt;""),$I80-$G80,"")</f>
        <v/>
      </c>
      <c r="S80" s="53" t="str">
        <f aca="false">IF(AND($H80&lt;&gt;"",$I80&lt;&gt;""),$I80-$H80,"")</f>
        <v/>
      </c>
      <c r="T80" s="53" t="str">
        <f aca="false">IF($J80&lt;&gt;"",$J80,"")</f>
        <v/>
      </c>
      <c r="V80" s="52" t="str">
        <f aca="false">IF($A80&lt;&gt;"",$A80,"")</f>
        <v>Apprenant 68</v>
      </c>
      <c r="W80" s="53" t="str">
        <f aca="false">IF(AND(OR('Choix pédagogiques'!$C$3=1,'Choix pédagogiques'!$C$3=2),$BM80=1),B80,IF(AND('Choix pédagogiques'!$C$3=3,$BO80=1),B80,""))</f>
        <v/>
      </c>
      <c r="X80" s="53" t="str">
        <f aca="false">IF(AND(OR('Choix pédagogiques'!$C$3=1,'Choix pédagogiques'!$C$3=2),$BM80=1),C80,IF(AND('Choix pédagogiques'!$C$3=3,$BO80=1),C80,""))</f>
        <v/>
      </c>
      <c r="Y80" s="53" t="str">
        <f aca="false">IF(AND(OR('Choix pédagogiques'!$C$3=1,'Choix pédagogiques'!$C$3=2),$BM80=1),D80,IF(AND('Choix pédagogiques'!$C$3=3,$BO80=1),D80,""))</f>
        <v/>
      </c>
      <c r="Z80" s="53" t="str">
        <f aca="false">IF($E80&lt;&gt;"",$E80,"")</f>
        <v/>
      </c>
      <c r="AA80" s="52" t="str">
        <f aca="false">IF($F80&lt;&gt;"",$F80,"")</f>
        <v>Apprenant 68 ou 68'</v>
      </c>
      <c r="AB80" s="53" t="str">
        <f aca="false">IF(AND(OR('Choix pédagogiques'!$C$3=1,'Choix pédagogiques'!$C$3=2),$BN80=1),G80,IF(AND('Choix pédagogiques'!$C$3=3,$BO80=1),G80,""))</f>
        <v/>
      </c>
      <c r="AC80" s="53" t="str">
        <f aca="false">IF(AND(OR('Choix pédagogiques'!$C$3=1,'Choix pédagogiques'!$C$3=2),$BN80=1),H80,IF(AND('Choix pédagogiques'!$C$3=3,$BO80=1),H80,""))</f>
        <v/>
      </c>
      <c r="AD80" s="53" t="str">
        <f aca="false">IF(AND(OR('Choix pédagogiques'!$C$3=1,'Choix pédagogiques'!$C$3=2),$BN80=1),I80,IF(AND('Choix pédagogiques'!$C$3=3,$BO80=1),I80,""))</f>
        <v/>
      </c>
      <c r="AE80" s="53" t="str">
        <f aca="false">IF($J80&lt;&gt;"",$J80,"")</f>
        <v/>
      </c>
      <c r="AF80" s="52" t="str">
        <f aca="false">IF($A80&lt;&gt;"",$A80,"")</f>
        <v>Apprenant 68</v>
      </c>
      <c r="AG80" s="53" t="str">
        <f aca="false">IF(AND($W80&lt;&gt;"",$X80&lt;&gt;""),$X80-$W80,"")</f>
        <v/>
      </c>
      <c r="AH80" s="53" t="str">
        <f aca="false">IF(AND($W80&lt;&gt;"",$Y80&lt;&gt;""),$Y80-$W80,"")</f>
        <v/>
      </c>
      <c r="AI80" s="53" t="str">
        <f aca="false">IF(AND($X80&lt;&gt;"",$Y80&lt;&gt;""),$Y80-$X80,"")</f>
        <v/>
      </c>
      <c r="AJ80" s="53" t="str">
        <f aca="false">IF($E80&lt;&gt;"",$E80,"")</f>
        <v/>
      </c>
      <c r="AK80" s="52" t="str">
        <f aca="false">IF($F80&lt;&gt;"",$F80,"")</f>
        <v>Apprenant 68 ou 68'</v>
      </c>
      <c r="AL80" s="53" t="str">
        <f aca="false">IF(AND($AB80&lt;&gt;"",$AC80&lt;&gt;""),$AC80-$AB80,"")</f>
        <v/>
      </c>
      <c r="AM80" s="53" t="str">
        <f aca="false">IF(AND($AB80&lt;&gt;"",$AD80&lt;&gt;""),$AD80-$AB80,"")</f>
        <v/>
      </c>
      <c r="AN80" s="53" t="str">
        <f aca="false">IF(AND($AC80&lt;&gt;"",$AD80&lt;&gt;""),$AD80-$AC80,"")</f>
        <v/>
      </c>
      <c r="AO80" s="53" t="str">
        <f aca="false">IF($J80&lt;&gt;"",$J80,"")</f>
        <v/>
      </c>
      <c r="AQ80" s="52" t="str">
        <f aca="false">IF($A80&lt;&gt;"",$A80,"")</f>
        <v>Apprenant 68</v>
      </c>
      <c r="AR80" s="55" t="str">
        <f aca="false">IF(AND('Choix pédagogiques'!$C$4&lt;&gt;"?",'Choix pédagogiques'!$C$5&lt;&gt;"?",W80&lt;&gt;""),(W80-'Choix pédagogiques'!$C$4)/('Choix pédagogiques'!$C$5-'Choix pédagogiques'!$C$4),"")</f>
        <v/>
      </c>
      <c r="AS80" s="55" t="str">
        <f aca="false">IF(AND('Choix pédagogiques'!$C$4&lt;&gt;"?",'Choix pédagogiques'!$C$5&lt;&gt;"?",X80&lt;&gt;""),(X80-'Choix pédagogiques'!$C$4)/('Choix pédagogiques'!$C$5-'Choix pédagogiques'!$C$4),"")</f>
        <v/>
      </c>
      <c r="AT80" s="55" t="str">
        <f aca="false">IF(AND('Choix pédagogiques'!$C$4&lt;&gt;"?",'Choix pédagogiques'!$C$5&lt;&gt;"?",Y80&lt;&gt;""),(Y80-'Choix pédagogiques'!$C$4)/('Choix pédagogiques'!$C$5-'Choix pédagogiques'!$C$4),"")</f>
        <v/>
      </c>
      <c r="AU80" s="53" t="str">
        <f aca="false">IF($E80&lt;&gt;"",$E80,"")</f>
        <v/>
      </c>
      <c r="AV80" s="52" t="str">
        <f aca="false">IF($F80&lt;&gt;"",$F80,"")</f>
        <v>Apprenant 68 ou 68'</v>
      </c>
      <c r="AW80" s="55" t="str">
        <f aca="false">IF(AND('Choix pédagogiques'!$C$4&lt;&gt;"?",'Choix pédagogiques'!$C$5&lt;&gt;"?",AB80&lt;&gt;""),(AB80-'Choix pédagogiques'!$C$4)/('Choix pédagogiques'!$C$5-'Choix pédagogiques'!$C$4),"")</f>
        <v/>
      </c>
      <c r="AX80" s="55" t="str">
        <f aca="false">IF(AND('Choix pédagogiques'!$C$4&lt;&gt;"?",'Choix pédagogiques'!$C$5&lt;&gt;"?",AC80&lt;&gt;""),(AC80-'Choix pédagogiques'!$C$4)/('Choix pédagogiques'!$C$5-'Choix pédagogiques'!$C$4),"")</f>
        <v/>
      </c>
      <c r="AY80" s="55" t="str">
        <f aca="false">IF(AND('Choix pédagogiques'!$C$4&lt;&gt;"?",'Choix pédagogiques'!$C$5&lt;&gt;"?",AD80&lt;&gt;""),(AD80-'Choix pédagogiques'!$C$4)/('Choix pédagogiques'!$C$5-'Choix pédagogiques'!$C$4),"")</f>
        <v/>
      </c>
      <c r="AZ80" s="53" t="str">
        <f aca="false">IF($J80&lt;&gt;"",$J80,"")</f>
        <v/>
      </c>
      <c r="BA80" s="52" t="str">
        <f aca="false">IF($A80&lt;&gt;"",$A80,"")</f>
        <v>Apprenant 68</v>
      </c>
      <c r="BB80" s="55" t="str">
        <f aca="false">IF(AND($AR80&lt;&gt;"",$AS80&lt;&gt;""),$AS80-$AR80,"")</f>
        <v/>
      </c>
      <c r="BC80" s="55" t="str">
        <f aca="false">IF(AND($AR80&lt;&gt;"",$AT80&lt;&gt;""),$AT80-$AR80,"")</f>
        <v/>
      </c>
      <c r="BD80" s="55" t="str">
        <f aca="false">IF(AND($AS80&lt;&gt;"",$AT80&lt;&gt;""),$AT80-$AS80,"")</f>
        <v/>
      </c>
      <c r="BE80" s="53" t="str">
        <f aca="false">IF($E80&lt;&gt;"",$E80,"")</f>
        <v/>
      </c>
      <c r="BF80" s="52" t="str">
        <f aca="false">IF($F80&lt;&gt;"",$F80,"")</f>
        <v>Apprenant 68 ou 68'</v>
      </c>
      <c r="BG80" s="55" t="str">
        <f aca="false">IF(AND($AW80&lt;&gt;"",$AX80&lt;&gt;""),$AX80-$AW80,"")</f>
        <v/>
      </c>
      <c r="BH80" s="55" t="str">
        <f aca="false">IF(AND($AW80&lt;&gt;"",$AY80&lt;&gt;""),$AY80-$AW80,"")</f>
        <v/>
      </c>
      <c r="BI80" s="55" t="str">
        <f aca="false">IF(AND($AX80&lt;&gt;"",$AY80&lt;&gt;""),$AY80-$AX80,"")</f>
        <v/>
      </c>
      <c r="BJ80" s="53" t="str">
        <f aca="false">IF($J80&lt;&gt;"",$J80,"")</f>
        <v/>
      </c>
      <c r="BL80" s="52"/>
      <c r="BM80" s="52" t="str">
        <f aca="false">IF(OR(COUNT(B80:D1079)=0,AND('Choix pédagogiques'!$C$3&lt;&gt;1,'Choix pédagogiques'!$C$3&lt;&gt;2)),"",IF(AND(OR('Choix pédagogiques'!$C$3=1,'Choix pédagogiques'!$C$3=2),$B80&lt;&gt;"",$C80&lt;&gt;"",$D80&lt;&gt;""),1,0))</f>
        <v/>
      </c>
      <c r="BN80" s="52" t="str">
        <f aca="false">IF(OR(COUNT(G80:I1079)=0,AND('Choix pédagogiques'!$C$3&lt;&gt;1,'Choix pédagogiques'!$C$3&lt;&gt;2)),"",IF(AND(OR('Choix pédagogiques'!$C$3=1,'Choix pédagogiques'!$C$3=2),AND($G80&lt;&gt;"",$H80&lt;&gt;"",$I80&lt;&gt;"")),1,0))</f>
        <v/>
      </c>
      <c r="BO80" s="52" t="str">
        <f aca="false">IF(OR(COUNT(B80:D1079)=0,COUNT(G80:I1079)=0,'Choix pédagogiques'!C$3&lt;&gt;3),"",IF(AND('Choix pédagogiques'!$C$3=3,$B80&lt;&gt;"",$C80&lt;&gt;"",$D80&lt;&gt;"",$G80&lt;&gt;"",$H80&lt;&gt;"",$I80&lt;&gt;""),1,0))</f>
        <v/>
      </c>
      <c r="BR80" s="52" t="n">
        <v>811</v>
      </c>
      <c r="BS80" s="52" t="n">
        <v>1556</v>
      </c>
    </row>
    <row r="81" s="54" customFormat="true" ht="18" hidden="false" customHeight="true" outlineLevel="0" collapsed="false">
      <c r="A81" s="57" t="s">
        <v>93</v>
      </c>
      <c r="B81" s="51"/>
      <c r="C81" s="51"/>
      <c r="D81" s="51"/>
      <c r="E81" s="51"/>
      <c r="F81" s="57" t="s">
        <v>94</v>
      </c>
      <c r="G81" s="50"/>
      <c r="H81" s="50"/>
      <c r="I81" s="50"/>
      <c r="J81" s="51"/>
      <c r="K81" s="52" t="str">
        <f aca="false">IF($A81&lt;&gt;"",$A81,"")</f>
        <v>Apprenant 69</v>
      </c>
      <c r="L81" s="53" t="str">
        <f aca="false">IF(AND($B81&lt;&gt;"",$C81&lt;&gt;""),$C81-$B81,"")</f>
        <v/>
      </c>
      <c r="M81" s="53" t="str">
        <f aca="false">IF(AND($B81&lt;&gt;"",$D81&lt;&gt;""),$D81-$B81,"")</f>
        <v/>
      </c>
      <c r="N81" s="53" t="str">
        <f aca="false">IF(AND($C81&lt;&gt;"",$D81&lt;&gt;""),$D81-$C81,"")</f>
        <v/>
      </c>
      <c r="O81" s="53" t="str">
        <f aca="false">IF($E81&lt;&gt;"",$E81,"")</f>
        <v/>
      </c>
      <c r="P81" s="52" t="str">
        <f aca="false">IF($F81&lt;&gt;"",$F81,"")</f>
        <v>Apprenant 69 ou 69'</v>
      </c>
      <c r="Q81" s="53" t="str">
        <f aca="false">IF(AND($G81&lt;&gt;"",$H81&lt;&gt;""),$H81-$G81,"")</f>
        <v/>
      </c>
      <c r="R81" s="53" t="str">
        <f aca="false">IF(AND($G81&lt;&gt;"",$I81&lt;&gt;""),$I81-$G81,"")</f>
        <v/>
      </c>
      <c r="S81" s="53" t="str">
        <f aca="false">IF(AND($H81&lt;&gt;"",$I81&lt;&gt;""),$I81-$H81,"")</f>
        <v/>
      </c>
      <c r="T81" s="53" t="str">
        <f aca="false">IF($J81&lt;&gt;"",$J81,"")</f>
        <v/>
      </c>
      <c r="V81" s="52" t="str">
        <f aca="false">IF($A81&lt;&gt;"",$A81,"")</f>
        <v>Apprenant 69</v>
      </c>
      <c r="W81" s="53" t="str">
        <f aca="false">IF(AND(OR('Choix pédagogiques'!$C$3=1,'Choix pédagogiques'!$C$3=2),$BM81=1),B81,IF(AND('Choix pédagogiques'!$C$3=3,$BO81=1),B81,""))</f>
        <v/>
      </c>
      <c r="X81" s="53" t="str">
        <f aca="false">IF(AND(OR('Choix pédagogiques'!$C$3=1,'Choix pédagogiques'!$C$3=2),$BM81=1),C81,IF(AND('Choix pédagogiques'!$C$3=3,$BO81=1),C81,""))</f>
        <v/>
      </c>
      <c r="Y81" s="53" t="str">
        <f aca="false">IF(AND(OR('Choix pédagogiques'!$C$3=1,'Choix pédagogiques'!$C$3=2),$BM81=1),D81,IF(AND('Choix pédagogiques'!$C$3=3,$BO81=1),D81,""))</f>
        <v/>
      </c>
      <c r="Z81" s="53" t="str">
        <f aca="false">IF($E81&lt;&gt;"",$E81,"")</f>
        <v/>
      </c>
      <c r="AA81" s="52" t="str">
        <f aca="false">IF($F81&lt;&gt;"",$F81,"")</f>
        <v>Apprenant 69 ou 69'</v>
      </c>
      <c r="AB81" s="53" t="str">
        <f aca="false">IF(AND(OR('Choix pédagogiques'!$C$3=1,'Choix pédagogiques'!$C$3=2),$BN81=1),G81,IF(AND('Choix pédagogiques'!$C$3=3,$BO81=1),G81,""))</f>
        <v/>
      </c>
      <c r="AC81" s="53" t="str">
        <f aca="false">IF(AND(OR('Choix pédagogiques'!$C$3=1,'Choix pédagogiques'!$C$3=2),$BN81=1),H81,IF(AND('Choix pédagogiques'!$C$3=3,$BO81=1),H81,""))</f>
        <v/>
      </c>
      <c r="AD81" s="53" t="str">
        <f aca="false">IF(AND(OR('Choix pédagogiques'!$C$3=1,'Choix pédagogiques'!$C$3=2),$BN81=1),I81,IF(AND('Choix pédagogiques'!$C$3=3,$BO81=1),I81,""))</f>
        <v/>
      </c>
      <c r="AE81" s="53" t="str">
        <f aca="false">IF($J81&lt;&gt;"",$J81,"")</f>
        <v/>
      </c>
      <c r="AF81" s="52" t="str">
        <f aca="false">IF($A81&lt;&gt;"",$A81,"")</f>
        <v>Apprenant 69</v>
      </c>
      <c r="AG81" s="53" t="str">
        <f aca="false">IF(AND($W81&lt;&gt;"",$X81&lt;&gt;""),$X81-$W81,"")</f>
        <v/>
      </c>
      <c r="AH81" s="53" t="str">
        <f aca="false">IF(AND($W81&lt;&gt;"",$Y81&lt;&gt;""),$Y81-$W81,"")</f>
        <v/>
      </c>
      <c r="AI81" s="53" t="str">
        <f aca="false">IF(AND($X81&lt;&gt;"",$Y81&lt;&gt;""),$Y81-$X81,"")</f>
        <v/>
      </c>
      <c r="AJ81" s="53" t="str">
        <f aca="false">IF($E81&lt;&gt;"",$E81,"")</f>
        <v/>
      </c>
      <c r="AK81" s="52" t="str">
        <f aca="false">IF($F81&lt;&gt;"",$F81,"")</f>
        <v>Apprenant 69 ou 69'</v>
      </c>
      <c r="AL81" s="53" t="str">
        <f aca="false">IF(AND($AB81&lt;&gt;"",$AC81&lt;&gt;""),$AC81-$AB81,"")</f>
        <v/>
      </c>
      <c r="AM81" s="53" t="str">
        <f aca="false">IF(AND($AB81&lt;&gt;"",$AD81&lt;&gt;""),$AD81-$AB81,"")</f>
        <v/>
      </c>
      <c r="AN81" s="53" t="str">
        <f aca="false">IF(AND($AC81&lt;&gt;"",$AD81&lt;&gt;""),$AD81-$AC81,"")</f>
        <v/>
      </c>
      <c r="AO81" s="53" t="str">
        <f aca="false">IF($J81&lt;&gt;"",$J81,"")</f>
        <v/>
      </c>
      <c r="AQ81" s="52" t="str">
        <f aca="false">IF($A81&lt;&gt;"",$A81,"")</f>
        <v>Apprenant 69</v>
      </c>
      <c r="AR81" s="55" t="str">
        <f aca="false">IF(AND('Choix pédagogiques'!$C$4&lt;&gt;"?",'Choix pédagogiques'!$C$5&lt;&gt;"?",W81&lt;&gt;""),(W81-'Choix pédagogiques'!$C$4)/('Choix pédagogiques'!$C$5-'Choix pédagogiques'!$C$4),"")</f>
        <v/>
      </c>
      <c r="AS81" s="55" t="str">
        <f aca="false">IF(AND('Choix pédagogiques'!$C$4&lt;&gt;"?",'Choix pédagogiques'!$C$5&lt;&gt;"?",X81&lt;&gt;""),(X81-'Choix pédagogiques'!$C$4)/('Choix pédagogiques'!$C$5-'Choix pédagogiques'!$C$4),"")</f>
        <v/>
      </c>
      <c r="AT81" s="55" t="str">
        <f aca="false">IF(AND('Choix pédagogiques'!$C$4&lt;&gt;"?",'Choix pédagogiques'!$C$5&lt;&gt;"?",Y81&lt;&gt;""),(Y81-'Choix pédagogiques'!$C$4)/('Choix pédagogiques'!$C$5-'Choix pédagogiques'!$C$4),"")</f>
        <v/>
      </c>
      <c r="AU81" s="53" t="str">
        <f aca="false">IF($E81&lt;&gt;"",$E81,"")</f>
        <v/>
      </c>
      <c r="AV81" s="52" t="str">
        <f aca="false">IF($F81&lt;&gt;"",$F81,"")</f>
        <v>Apprenant 69 ou 69'</v>
      </c>
      <c r="AW81" s="55" t="str">
        <f aca="false">IF(AND('Choix pédagogiques'!$C$4&lt;&gt;"?",'Choix pédagogiques'!$C$5&lt;&gt;"?",AB81&lt;&gt;""),(AB81-'Choix pédagogiques'!$C$4)/('Choix pédagogiques'!$C$5-'Choix pédagogiques'!$C$4),"")</f>
        <v/>
      </c>
      <c r="AX81" s="55" t="str">
        <f aca="false">IF(AND('Choix pédagogiques'!$C$4&lt;&gt;"?",'Choix pédagogiques'!$C$5&lt;&gt;"?",AC81&lt;&gt;""),(AC81-'Choix pédagogiques'!$C$4)/('Choix pédagogiques'!$C$5-'Choix pédagogiques'!$C$4),"")</f>
        <v/>
      </c>
      <c r="AY81" s="55" t="str">
        <f aca="false">IF(AND('Choix pédagogiques'!$C$4&lt;&gt;"?",'Choix pédagogiques'!$C$5&lt;&gt;"?",AD81&lt;&gt;""),(AD81-'Choix pédagogiques'!$C$4)/('Choix pédagogiques'!$C$5-'Choix pédagogiques'!$C$4),"")</f>
        <v/>
      </c>
      <c r="AZ81" s="53" t="str">
        <f aca="false">IF($J81&lt;&gt;"",$J81,"")</f>
        <v/>
      </c>
      <c r="BA81" s="52" t="str">
        <f aca="false">IF($A81&lt;&gt;"",$A81,"")</f>
        <v>Apprenant 69</v>
      </c>
      <c r="BB81" s="55" t="str">
        <f aca="false">IF(AND($AR81&lt;&gt;"",$AS81&lt;&gt;""),$AS81-$AR81,"")</f>
        <v/>
      </c>
      <c r="BC81" s="55" t="str">
        <f aca="false">IF(AND($AR81&lt;&gt;"",$AT81&lt;&gt;""),$AT81-$AR81,"")</f>
        <v/>
      </c>
      <c r="BD81" s="55" t="str">
        <f aca="false">IF(AND($AS81&lt;&gt;"",$AT81&lt;&gt;""),$AT81-$AS81,"")</f>
        <v/>
      </c>
      <c r="BE81" s="53" t="str">
        <f aca="false">IF($E81&lt;&gt;"",$E81,"")</f>
        <v/>
      </c>
      <c r="BF81" s="52" t="str">
        <f aca="false">IF($F81&lt;&gt;"",$F81,"")</f>
        <v>Apprenant 69 ou 69'</v>
      </c>
      <c r="BG81" s="55" t="str">
        <f aca="false">IF(AND($AW81&lt;&gt;"",$AX81&lt;&gt;""),$AX81-$AW81,"")</f>
        <v/>
      </c>
      <c r="BH81" s="55" t="str">
        <f aca="false">IF(AND($AW81&lt;&gt;"",$AY81&lt;&gt;""),$AY81-$AW81,"")</f>
        <v/>
      </c>
      <c r="BI81" s="55" t="str">
        <f aca="false">IF(AND($AX81&lt;&gt;"",$AY81&lt;&gt;""),$AY81-$AX81,"")</f>
        <v/>
      </c>
      <c r="BJ81" s="53" t="str">
        <f aca="false">IF($J81&lt;&gt;"",$J81,"")</f>
        <v/>
      </c>
      <c r="BL81" s="52"/>
      <c r="BM81" s="52" t="str">
        <f aca="false">IF(OR(COUNT(B81:D1080)=0,AND('Choix pédagogiques'!$C$3&lt;&gt;1,'Choix pédagogiques'!$C$3&lt;&gt;2)),"",IF(AND(OR('Choix pédagogiques'!$C$3=1,'Choix pédagogiques'!$C$3=2),$B81&lt;&gt;"",$C81&lt;&gt;"",$D81&lt;&gt;""),1,0))</f>
        <v/>
      </c>
      <c r="BN81" s="52" t="str">
        <f aca="false">IF(OR(COUNT(G81:I1080)=0,AND('Choix pédagogiques'!$C$3&lt;&gt;1,'Choix pédagogiques'!$C$3&lt;&gt;2)),"",IF(AND(OR('Choix pédagogiques'!$C$3=1,'Choix pédagogiques'!$C$3=2),AND($G81&lt;&gt;"",$H81&lt;&gt;"",$I81&lt;&gt;"")),1,0))</f>
        <v/>
      </c>
      <c r="BO81" s="52" t="str">
        <f aca="false">IF(OR(COUNT(B81:D1080)=0,COUNT(G81:I1080)=0,'Choix pédagogiques'!C$3&lt;&gt;3),"",IF(AND('Choix pédagogiques'!$C$3=3,$B81&lt;&gt;"",$C81&lt;&gt;"",$D81&lt;&gt;"",$G81&lt;&gt;"",$H81&lt;&gt;"",$I81&lt;&gt;""),1,0))</f>
        <v/>
      </c>
      <c r="BR81" s="52" t="n">
        <v>340</v>
      </c>
      <c r="BS81" s="52" t="n">
        <v>1845</v>
      </c>
    </row>
    <row r="82" s="54" customFormat="true" ht="18" hidden="false" customHeight="true" outlineLevel="0" collapsed="false">
      <c r="A82" s="57" t="s">
        <v>95</v>
      </c>
      <c r="B82" s="51"/>
      <c r="C82" s="51"/>
      <c r="D82" s="51"/>
      <c r="E82" s="51"/>
      <c r="F82" s="57" t="s">
        <v>96</v>
      </c>
      <c r="G82" s="51"/>
      <c r="H82" s="51"/>
      <c r="I82" s="51"/>
      <c r="J82" s="51"/>
      <c r="K82" s="52" t="str">
        <f aca="false">IF($A82&lt;&gt;"",$A82,"")</f>
        <v>Apprenant 70</v>
      </c>
      <c r="L82" s="53" t="str">
        <f aca="false">IF(AND($B82&lt;&gt;"",$C82&lt;&gt;""),$C82-$B82,"")</f>
        <v/>
      </c>
      <c r="M82" s="53" t="str">
        <f aca="false">IF(AND($B82&lt;&gt;"",$D82&lt;&gt;""),$D82-$B82,"")</f>
        <v/>
      </c>
      <c r="N82" s="53" t="str">
        <f aca="false">IF(AND($C82&lt;&gt;"",$D82&lt;&gt;""),$D82-$C82,"")</f>
        <v/>
      </c>
      <c r="O82" s="53" t="str">
        <f aca="false">IF($E82&lt;&gt;"",$E82,"")</f>
        <v/>
      </c>
      <c r="P82" s="52" t="str">
        <f aca="false">IF($F82&lt;&gt;"",$F82,"")</f>
        <v>Apprenant 70 ou 70'</v>
      </c>
      <c r="Q82" s="53" t="str">
        <f aca="false">IF(AND($G82&lt;&gt;"",$H82&lt;&gt;""),$H82-$G82,"")</f>
        <v/>
      </c>
      <c r="R82" s="53" t="str">
        <f aca="false">IF(AND($G82&lt;&gt;"",$I82&lt;&gt;""),$I82-$G82,"")</f>
        <v/>
      </c>
      <c r="S82" s="53" t="str">
        <f aca="false">IF(AND($H82&lt;&gt;"",$I82&lt;&gt;""),$I82-$H82,"")</f>
        <v/>
      </c>
      <c r="T82" s="53" t="str">
        <f aca="false">IF($J82&lt;&gt;"",$J82,"")</f>
        <v/>
      </c>
      <c r="V82" s="52" t="str">
        <f aca="false">IF($A82&lt;&gt;"",$A82,"")</f>
        <v>Apprenant 70</v>
      </c>
      <c r="W82" s="53" t="str">
        <f aca="false">IF(AND(OR('Choix pédagogiques'!$C$3=1,'Choix pédagogiques'!$C$3=2),$BM82=1),B82,IF(AND('Choix pédagogiques'!$C$3=3,$BO82=1),B82,""))</f>
        <v/>
      </c>
      <c r="X82" s="53" t="str">
        <f aca="false">IF(AND(OR('Choix pédagogiques'!$C$3=1,'Choix pédagogiques'!$C$3=2),$BM82=1),C82,IF(AND('Choix pédagogiques'!$C$3=3,$BO82=1),C82,""))</f>
        <v/>
      </c>
      <c r="Y82" s="53" t="str">
        <f aca="false">IF(AND(OR('Choix pédagogiques'!$C$3=1,'Choix pédagogiques'!$C$3=2),$BM82=1),D82,IF(AND('Choix pédagogiques'!$C$3=3,$BO82=1),D82,""))</f>
        <v/>
      </c>
      <c r="Z82" s="53" t="str">
        <f aca="false">IF($E82&lt;&gt;"",$E82,"")</f>
        <v/>
      </c>
      <c r="AA82" s="52" t="str">
        <f aca="false">IF($F82&lt;&gt;"",$F82,"")</f>
        <v>Apprenant 70 ou 70'</v>
      </c>
      <c r="AB82" s="53" t="str">
        <f aca="false">IF(AND(OR('Choix pédagogiques'!$C$3=1,'Choix pédagogiques'!$C$3=2),$BN82=1),G82,IF(AND('Choix pédagogiques'!$C$3=3,$BO82=1),G82,""))</f>
        <v/>
      </c>
      <c r="AC82" s="53" t="str">
        <f aca="false">IF(AND(OR('Choix pédagogiques'!$C$3=1,'Choix pédagogiques'!$C$3=2),$BN82=1),H82,IF(AND('Choix pédagogiques'!$C$3=3,$BO82=1),H82,""))</f>
        <v/>
      </c>
      <c r="AD82" s="53" t="str">
        <f aca="false">IF(AND(OR('Choix pédagogiques'!$C$3=1,'Choix pédagogiques'!$C$3=2),$BN82=1),I82,IF(AND('Choix pédagogiques'!$C$3=3,$BO82=1),I82,""))</f>
        <v/>
      </c>
      <c r="AE82" s="53" t="str">
        <f aca="false">IF($J82&lt;&gt;"",$J82,"")</f>
        <v/>
      </c>
      <c r="AF82" s="52" t="str">
        <f aca="false">IF($A82&lt;&gt;"",$A82,"")</f>
        <v>Apprenant 70</v>
      </c>
      <c r="AG82" s="53" t="str">
        <f aca="false">IF(AND($W82&lt;&gt;"",$X82&lt;&gt;""),$X82-$W82,"")</f>
        <v/>
      </c>
      <c r="AH82" s="53" t="str">
        <f aca="false">IF(AND($W82&lt;&gt;"",$Y82&lt;&gt;""),$Y82-$W82,"")</f>
        <v/>
      </c>
      <c r="AI82" s="53" t="str">
        <f aca="false">IF(AND($X82&lt;&gt;"",$Y82&lt;&gt;""),$Y82-$X82,"")</f>
        <v/>
      </c>
      <c r="AJ82" s="53" t="str">
        <f aca="false">IF($E82&lt;&gt;"",$E82,"")</f>
        <v/>
      </c>
      <c r="AK82" s="52" t="str">
        <f aca="false">IF($F82&lt;&gt;"",$F82,"")</f>
        <v>Apprenant 70 ou 70'</v>
      </c>
      <c r="AL82" s="53" t="str">
        <f aca="false">IF(AND($AB82&lt;&gt;"",$AC82&lt;&gt;""),$AC82-$AB82,"")</f>
        <v/>
      </c>
      <c r="AM82" s="53" t="str">
        <f aca="false">IF(AND($AB82&lt;&gt;"",$AD82&lt;&gt;""),$AD82-$AB82,"")</f>
        <v/>
      </c>
      <c r="AN82" s="53" t="str">
        <f aca="false">IF(AND($AC82&lt;&gt;"",$AD82&lt;&gt;""),$AD82-$AC82,"")</f>
        <v/>
      </c>
      <c r="AO82" s="53" t="str">
        <f aca="false">IF($J82&lt;&gt;"",$J82,"")</f>
        <v/>
      </c>
      <c r="AQ82" s="52" t="str">
        <f aca="false">IF($A82&lt;&gt;"",$A82,"")</f>
        <v>Apprenant 70</v>
      </c>
      <c r="AR82" s="55" t="str">
        <f aca="false">IF(AND('Choix pédagogiques'!$C$4&lt;&gt;"?",'Choix pédagogiques'!$C$5&lt;&gt;"?",W82&lt;&gt;""),(W82-'Choix pédagogiques'!$C$4)/('Choix pédagogiques'!$C$5-'Choix pédagogiques'!$C$4),"")</f>
        <v/>
      </c>
      <c r="AS82" s="55" t="str">
        <f aca="false">IF(AND('Choix pédagogiques'!$C$4&lt;&gt;"?",'Choix pédagogiques'!$C$5&lt;&gt;"?",X82&lt;&gt;""),(X82-'Choix pédagogiques'!$C$4)/('Choix pédagogiques'!$C$5-'Choix pédagogiques'!$C$4),"")</f>
        <v/>
      </c>
      <c r="AT82" s="55" t="str">
        <f aca="false">IF(AND('Choix pédagogiques'!$C$4&lt;&gt;"?",'Choix pédagogiques'!$C$5&lt;&gt;"?",Y82&lt;&gt;""),(Y82-'Choix pédagogiques'!$C$4)/('Choix pédagogiques'!$C$5-'Choix pédagogiques'!$C$4),"")</f>
        <v/>
      </c>
      <c r="AU82" s="53" t="str">
        <f aca="false">IF($E82&lt;&gt;"",$E82,"")</f>
        <v/>
      </c>
      <c r="AV82" s="52" t="str">
        <f aca="false">IF($F82&lt;&gt;"",$F82,"")</f>
        <v>Apprenant 70 ou 70'</v>
      </c>
      <c r="AW82" s="55" t="str">
        <f aca="false">IF(AND('Choix pédagogiques'!$C$4&lt;&gt;"?",'Choix pédagogiques'!$C$5&lt;&gt;"?",AB82&lt;&gt;""),(AB82-'Choix pédagogiques'!$C$4)/('Choix pédagogiques'!$C$5-'Choix pédagogiques'!$C$4),"")</f>
        <v/>
      </c>
      <c r="AX82" s="55" t="str">
        <f aca="false">IF(AND('Choix pédagogiques'!$C$4&lt;&gt;"?",'Choix pédagogiques'!$C$5&lt;&gt;"?",AC82&lt;&gt;""),(AC82-'Choix pédagogiques'!$C$4)/('Choix pédagogiques'!$C$5-'Choix pédagogiques'!$C$4),"")</f>
        <v/>
      </c>
      <c r="AY82" s="55" t="str">
        <f aca="false">IF(AND('Choix pédagogiques'!$C$4&lt;&gt;"?",'Choix pédagogiques'!$C$5&lt;&gt;"?",AD82&lt;&gt;""),(AD82-'Choix pédagogiques'!$C$4)/('Choix pédagogiques'!$C$5-'Choix pédagogiques'!$C$4),"")</f>
        <v/>
      </c>
      <c r="AZ82" s="53" t="str">
        <f aca="false">IF($J82&lt;&gt;"",$J82,"")</f>
        <v/>
      </c>
      <c r="BA82" s="52" t="str">
        <f aca="false">IF($A82&lt;&gt;"",$A82,"")</f>
        <v>Apprenant 70</v>
      </c>
      <c r="BB82" s="55" t="str">
        <f aca="false">IF(AND($AR82&lt;&gt;"",$AS82&lt;&gt;""),$AS82-$AR82,"")</f>
        <v/>
      </c>
      <c r="BC82" s="55" t="str">
        <f aca="false">IF(AND($AR82&lt;&gt;"",$AT82&lt;&gt;""),$AT82-$AR82,"")</f>
        <v/>
      </c>
      <c r="BD82" s="55" t="str">
        <f aca="false">IF(AND($AS82&lt;&gt;"",$AT82&lt;&gt;""),$AT82-$AS82,"")</f>
        <v/>
      </c>
      <c r="BE82" s="53" t="str">
        <f aca="false">IF($E82&lt;&gt;"",$E82,"")</f>
        <v/>
      </c>
      <c r="BF82" s="52" t="str">
        <f aca="false">IF($F82&lt;&gt;"",$F82,"")</f>
        <v>Apprenant 70 ou 70'</v>
      </c>
      <c r="BG82" s="55" t="str">
        <f aca="false">IF(AND($AW82&lt;&gt;"",$AX82&lt;&gt;""),$AX82-$AW82,"")</f>
        <v/>
      </c>
      <c r="BH82" s="55" t="str">
        <f aca="false">IF(AND($AW82&lt;&gt;"",$AY82&lt;&gt;""),$AY82-$AW82,"")</f>
        <v/>
      </c>
      <c r="BI82" s="55" t="str">
        <f aca="false">IF(AND($AX82&lt;&gt;"",$AY82&lt;&gt;""),$AY82-$AX82,"")</f>
        <v/>
      </c>
      <c r="BJ82" s="53" t="str">
        <f aca="false">IF($J82&lt;&gt;"",$J82,"")</f>
        <v/>
      </c>
      <c r="BL82" s="52"/>
      <c r="BM82" s="52" t="str">
        <f aca="false">IF(OR(COUNT(B82:D1081)=0,AND('Choix pédagogiques'!$C$3&lt;&gt;1,'Choix pédagogiques'!$C$3&lt;&gt;2)),"",IF(AND(OR('Choix pédagogiques'!$C$3=1,'Choix pédagogiques'!$C$3=2),$B82&lt;&gt;"",$C82&lt;&gt;"",$D82&lt;&gt;""),1,0))</f>
        <v/>
      </c>
      <c r="BN82" s="52" t="str">
        <f aca="false">IF(OR(COUNT(G82:I1081)=0,AND('Choix pédagogiques'!$C$3&lt;&gt;1,'Choix pédagogiques'!$C$3&lt;&gt;2)),"",IF(AND(OR('Choix pédagogiques'!$C$3=1,'Choix pédagogiques'!$C$3=2),AND($G82&lt;&gt;"",$H82&lt;&gt;"",$I82&lt;&gt;"")),1,0))</f>
        <v/>
      </c>
      <c r="BO82" s="52" t="str">
        <f aca="false">IF(OR(COUNT(B82:D1081)=0,COUNT(G82:I1081)=0,'Choix pédagogiques'!C$3&lt;&gt;3),"",IF(AND('Choix pédagogiques'!$C$3=3,$B82&lt;&gt;"",$C82&lt;&gt;"",$D82&lt;&gt;"",$G82&lt;&gt;"",$H82&lt;&gt;"",$I82&lt;&gt;""),1,0))</f>
        <v/>
      </c>
      <c r="BR82" s="52" t="n">
        <v>93</v>
      </c>
      <c r="BS82" s="52" t="n">
        <v>1994</v>
      </c>
    </row>
    <row r="83" s="54" customFormat="true" ht="18" hidden="false" customHeight="true" outlineLevel="0" collapsed="false">
      <c r="A83" s="57" t="s">
        <v>97</v>
      </c>
      <c r="B83" s="51"/>
      <c r="C83" s="51"/>
      <c r="D83" s="51"/>
      <c r="E83" s="51"/>
      <c r="F83" s="57" t="s">
        <v>98</v>
      </c>
      <c r="G83" s="51"/>
      <c r="H83" s="51"/>
      <c r="I83" s="51"/>
      <c r="J83" s="51"/>
      <c r="K83" s="52" t="str">
        <f aca="false">IF($A83&lt;&gt;"",$A83,"")</f>
        <v>Apprenant 71</v>
      </c>
      <c r="L83" s="53" t="str">
        <f aca="false">IF(AND($B83&lt;&gt;"",$C83&lt;&gt;""),$C83-$B83,"")</f>
        <v/>
      </c>
      <c r="M83" s="53" t="str">
        <f aca="false">IF(AND($B83&lt;&gt;"",$D83&lt;&gt;""),$D83-$B83,"")</f>
        <v/>
      </c>
      <c r="N83" s="53" t="str">
        <f aca="false">IF(AND($C83&lt;&gt;"",$D83&lt;&gt;""),$D83-$C83,"")</f>
        <v/>
      </c>
      <c r="O83" s="53" t="str">
        <f aca="false">IF($E83&lt;&gt;"",$E83,"")</f>
        <v/>
      </c>
      <c r="P83" s="52" t="str">
        <f aca="false">IF($F83&lt;&gt;"",$F83,"")</f>
        <v>Apprenant 71 ou 71'</v>
      </c>
      <c r="Q83" s="53" t="str">
        <f aca="false">IF(AND($G83&lt;&gt;"",$H83&lt;&gt;""),$H83-$G83,"")</f>
        <v/>
      </c>
      <c r="R83" s="53" t="str">
        <f aca="false">IF(AND($G83&lt;&gt;"",$I83&lt;&gt;""),$I83-$G83,"")</f>
        <v/>
      </c>
      <c r="S83" s="53" t="str">
        <f aca="false">IF(AND($H83&lt;&gt;"",$I83&lt;&gt;""),$I83-$H83,"")</f>
        <v/>
      </c>
      <c r="T83" s="53" t="str">
        <f aca="false">IF($J83&lt;&gt;"",$J83,"")</f>
        <v/>
      </c>
      <c r="V83" s="52" t="str">
        <f aca="false">IF($A83&lt;&gt;"",$A83,"")</f>
        <v>Apprenant 71</v>
      </c>
      <c r="W83" s="53" t="str">
        <f aca="false">IF(AND(OR('Choix pédagogiques'!$C$3=1,'Choix pédagogiques'!$C$3=2),$BM83=1),B83,IF(AND('Choix pédagogiques'!$C$3=3,$BO83=1),B83,""))</f>
        <v/>
      </c>
      <c r="X83" s="53" t="str">
        <f aca="false">IF(AND(OR('Choix pédagogiques'!$C$3=1,'Choix pédagogiques'!$C$3=2),$BM83=1),C83,IF(AND('Choix pédagogiques'!$C$3=3,$BO83=1),C83,""))</f>
        <v/>
      </c>
      <c r="Y83" s="53" t="str">
        <f aca="false">IF(AND(OR('Choix pédagogiques'!$C$3=1,'Choix pédagogiques'!$C$3=2),$BM83=1),D83,IF(AND('Choix pédagogiques'!$C$3=3,$BO83=1),D83,""))</f>
        <v/>
      </c>
      <c r="Z83" s="53" t="str">
        <f aca="false">IF($E83&lt;&gt;"",$E83,"")</f>
        <v/>
      </c>
      <c r="AA83" s="52" t="str">
        <f aca="false">IF($F83&lt;&gt;"",$F83,"")</f>
        <v>Apprenant 71 ou 71'</v>
      </c>
      <c r="AB83" s="53" t="str">
        <f aca="false">IF(AND(OR('Choix pédagogiques'!$C$3=1,'Choix pédagogiques'!$C$3=2),$BN83=1),G83,IF(AND('Choix pédagogiques'!$C$3=3,$BO83=1),G83,""))</f>
        <v/>
      </c>
      <c r="AC83" s="53" t="str">
        <f aca="false">IF(AND(OR('Choix pédagogiques'!$C$3=1,'Choix pédagogiques'!$C$3=2),$BN83=1),H83,IF(AND('Choix pédagogiques'!$C$3=3,$BO83=1),H83,""))</f>
        <v/>
      </c>
      <c r="AD83" s="53" t="str">
        <f aca="false">IF(AND(OR('Choix pédagogiques'!$C$3=1,'Choix pédagogiques'!$C$3=2),$BN83=1),I83,IF(AND('Choix pédagogiques'!$C$3=3,$BO83=1),I83,""))</f>
        <v/>
      </c>
      <c r="AE83" s="53" t="str">
        <f aca="false">IF($J83&lt;&gt;"",$J83,"")</f>
        <v/>
      </c>
      <c r="AF83" s="52" t="str">
        <f aca="false">IF($A83&lt;&gt;"",$A83,"")</f>
        <v>Apprenant 71</v>
      </c>
      <c r="AG83" s="53" t="str">
        <f aca="false">IF(AND($W83&lt;&gt;"",$X83&lt;&gt;""),$X83-$W83,"")</f>
        <v/>
      </c>
      <c r="AH83" s="53" t="str">
        <f aca="false">IF(AND($W83&lt;&gt;"",$Y83&lt;&gt;""),$Y83-$W83,"")</f>
        <v/>
      </c>
      <c r="AI83" s="53" t="str">
        <f aca="false">IF(AND($X83&lt;&gt;"",$Y83&lt;&gt;""),$Y83-$X83,"")</f>
        <v/>
      </c>
      <c r="AJ83" s="53" t="str">
        <f aca="false">IF($E83&lt;&gt;"",$E83,"")</f>
        <v/>
      </c>
      <c r="AK83" s="52" t="str">
        <f aca="false">IF($F83&lt;&gt;"",$F83,"")</f>
        <v>Apprenant 71 ou 71'</v>
      </c>
      <c r="AL83" s="53" t="str">
        <f aca="false">IF(AND($AB83&lt;&gt;"",$AC83&lt;&gt;""),$AC83-$AB83,"")</f>
        <v/>
      </c>
      <c r="AM83" s="53" t="str">
        <f aca="false">IF(AND($AB83&lt;&gt;"",$AD83&lt;&gt;""),$AD83-$AB83,"")</f>
        <v/>
      </c>
      <c r="AN83" s="53" t="str">
        <f aca="false">IF(AND($AC83&lt;&gt;"",$AD83&lt;&gt;""),$AD83-$AC83,"")</f>
        <v/>
      </c>
      <c r="AO83" s="53" t="str">
        <f aca="false">IF($J83&lt;&gt;"",$J83,"")</f>
        <v/>
      </c>
      <c r="AQ83" s="52" t="str">
        <f aca="false">IF($A83&lt;&gt;"",$A83,"")</f>
        <v>Apprenant 71</v>
      </c>
      <c r="AR83" s="55" t="str">
        <f aca="false">IF(AND('Choix pédagogiques'!$C$4&lt;&gt;"?",'Choix pédagogiques'!$C$5&lt;&gt;"?",W83&lt;&gt;""),(W83-'Choix pédagogiques'!$C$4)/('Choix pédagogiques'!$C$5-'Choix pédagogiques'!$C$4),"")</f>
        <v/>
      </c>
      <c r="AS83" s="55" t="str">
        <f aca="false">IF(AND('Choix pédagogiques'!$C$4&lt;&gt;"?",'Choix pédagogiques'!$C$5&lt;&gt;"?",X83&lt;&gt;""),(X83-'Choix pédagogiques'!$C$4)/('Choix pédagogiques'!$C$5-'Choix pédagogiques'!$C$4),"")</f>
        <v/>
      </c>
      <c r="AT83" s="55" t="str">
        <f aca="false">IF(AND('Choix pédagogiques'!$C$4&lt;&gt;"?",'Choix pédagogiques'!$C$5&lt;&gt;"?",Y83&lt;&gt;""),(Y83-'Choix pédagogiques'!$C$4)/('Choix pédagogiques'!$C$5-'Choix pédagogiques'!$C$4),"")</f>
        <v/>
      </c>
      <c r="AU83" s="53" t="str">
        <f aca="false">IF($E83&lt;&gt;"",$E83,"")</f>
        <v/>
      </c>
      <c r="AV83" s="52" t="str">
        <f aca="false">IF($F83&lt;&gt;"",$F83,"")</f>
        <v>Apprenant 71 ou 71'</v>
      </c>
      <c r="AW83" s="55" t="str">
        <f aca="false">IF(AND('Choix pédagogiques'!$C$4&lt;&gt;"?",'Choix pédagogiques'!$C$5&lt;&gt;"?",AB83&lt;&gt;""),(AB83-'Choix pédagogiques'!$C$4)/('Choix pédagogiques'!$C$5-'Choix pédagogiques'!$C$4),"")</f>
        <v/>
      </c>
      <c r="AX83" s="55" t="str">
        <f aca="false">IF(AND('Choix pédagogiques'!$C$4&lt;&gt;"?",'Choix pédagogiques'!$C$5&lt;&gt;"?",AC83&lt;&gt;""),(AC83-'Choix pédagogiques'!$C$4)/('Choix pédagogiques'!$C$5-'Choix pédagogiques'!$C$4),"")</f>
        <v/>
      </c>
      <c r="AY83" s="55" t="str">
        <f aca="false">IF(AND('Choix pédagogiques'!$C$4&lt;&gt;"?",'Choix pédagogiques'!$C$5&lt;&gt;"?",AD83&lt;&gt;""),(AD83-'Choix pédagogiques'!$C$4)/('Choix pédagogiques'!$C$5-'Choix pédagogiques'!$C$4),"")</f>
        <v/>
      </c>
      <c r="AZ83" s="53" t="str">
        <f aca="false">IF($J83&lt;&gt;"",$J83,"")</f>
        <v/>
      </c>
      <c r="BA83" s="52" t="str">
        <f aca="false">IF($A83&lt;&gt;"",$A83,"")</f>
        <v>Apprenant 71</v>
      </c>
      <c r="BB83" s="55" t="str">
        <f aca="false">IF(AND($AR83&lt;&gt;"",$AS83&lt;&gt;""),$AS83-$AR83,"")</f>
        <v/>
      </c>
      <c r="BC83" s="55" t="str">
        <f aca="false">IF(AND($AR83&lt;&gt;"",$AT83&lt;&gt;""),$AT83-$AR83,"")</f>
        <v/>
      </c>
      <c r="BD83" s="55" t="str">
        <f aca="false">IF(AND($AS83&lt;&gt;"",$AT83&lt;&gt;""),$AT83-$AS83,"")</f>
        <v/>
      </c>
      <c r="BE83" s="53" t="str">
        <f aca="false">IF($E83&lt;&gt;"",$E83,"")</f>
        <v/>
      </c>
      <c r="BF83" s="52" t="str">
        <f aca="false">IF($F83&lt;&gt;"",$F83,"")</f>
        <v>Apprenant 71 ou 71'</v>
      </c>
      <c r="BG83" s="55" t="str">
        <f aca="false">IF(AND($AW83&lt;&gt;"",$AX83&lt;&gt;""),$AX83-$AW83,"")</f>
        <v/>
      </c>
      <c r="BH83" s="55" t="str">
        <f aca="false">IF(AND($AW83&lt;&gt;"",$AY83&lt;&gt;""),$AY83-$AW83,"")</f>
        <v/>
      </c>
      <c r="BI83" s="55" t="str">
        <f aca="false">IF(AND($AX83&lt;&gt;"",$AY83&lt;&gt;""),$AY83-$AX83,"")</f>
        <v/>
      </c>
      <c r="BJ83" s="53" t="str">
        <f aca="false">IF($J83&lt;&gt;"",$J83,"")</f>
        <v/>
      </c>
      <c r="BL83" s="52"/>
      <c r="BM83" s="52" t="str">
        <f aca="false">IF(OR(COUNT(B83:D1082)=0,AND('Choix pédagogiques'!$C$3&lt;&gt;1,'Choix pédagogiques'!$C$3&lt;&gt;2)),"",IF(AND(OR('Choix pédagogiques'!$C$3=1,'Choix pédagogiques'!$C$3=2),$B83&lt;&gt;"",$C83&lt;&gt;"",$D83&lt;&gt;""),1,0))</f>
        <v/>
      </c>
      <c r="BN83" s="52" t="str">
        <f aca="false">IF(OR(COUNT(G83:I1082)=0,AND('Choix pédagogiques'!$C$3&lt;&gt;1,'Choix pédagogiques'!$C$3&lt;&gt;2)),"",IF(AND(OR('Choix pédagogiques'!$C$3=1,'Choix pédagogiques'!$C$3=2),AND($G83&lt;&gt;"",$H83&lt;&gt;"",$I83&lt;&gt;"")),1,0))</f>
        <v/>
      </c>
      <c r="BO83" s="52" t="str">
        <f aca="false">IF(OR(COUNT(B83:D1082)=0,COUNT(G83:I1082)=0,'Choix pédagogiques'!C$3&lt;&gt;3),"",IF(AND('Choix pédagogiques'!$C$3=3,$B83&lt;&gt;"",$C83&lt;&gt;"",$D83&lt;&gt;"",$G83&lt;&gt;"",$H83&lt;&gt;"",$I83&lt;&gt;""),1,0))</f>
        <v/>
      </c>
      <c r="BR83" s="52" t="n">
        <v>856</v>
      </c>
      <c r="BS83" s="52" t="n">
        <v>1946</v>
      </c>
    </row>
    <row r="84" s="54" customFormat="true" ht="18" hidden="false" customHeight="true" outlineLevel="0" collapsed="false">
      <c r="A84" s="57" t="s">
        <v>99</v>
      </c>
      <c r="B84" s="51"/>
      <c r="C84" s="51"/>
      <c r="D84" s="51"/>
      <c r="E84" s="51"/>
      <c r="F84" s="57" t="s">
        <v>100</v>
      </c>
      <c r="G84" s="51"/>
      <c r="H84" s="51"/>
      <c r="I84" s="51"/>
      <c r="J84" s="51"/>
      <c r="K84" s="52" t="str">
        <f aca="false">IF($A84&lt;&gt;"",$A84,"")</f>
        <v>Apprenant 72</v>
      </c>
      <c r="L84" s="53" t="str">
        <f aca="false">IF(AND($B84&lt;&gt;"",$C84&lt;&gt;""),$C84-$B84,"")</f>
        <v/>
      </c>
      <c r="M84" s="53" t="str">
        <f aca="false">IF(AND($B84&lt;&gt;"",$D84&lt;&gt;""),$D84-$B84,"")</f>
        <v/>
      </c>
      <c r="N84" s="53" t="str">
        <f aca="false">IF(AND($C84&lt;&gt;"",$D84&lt;&gt;""),$D84-$C84,"")</f>
        <v/>
      </c>
      <c r="O84" s="53" t="str">
        <f aca="false">IF($E84&lt;&gt;"",$E84,"")</f>
        <v/>
      </c>
      <c r="P84" s="52" t="str">
        <f aca="false">IF($F84&lt;&gt;"",$F84,"")</f>
        <v>Apprenant 72 ou 72'</v>
      </c>
      <c r="Q84" s="53" t="str">
        <f aca="false">IF(AND($G84&lt;&gt;"",$H84&lt;&gt;""),$H84-$G84,"")</f>
        <v/>
      </c>
      <c r="R84" s="53" t="str">
        <f aca="false">IF(AND($G84&lt;&gt;"",$I84&lt;&gt;""),$I84-$G84,"")</f>
        <v/>
      </c>
      <c r="S84" s="53" t="str">
        <f aca="false">IF(AND($H84&lt;&gt;"",$I84&lt;&gt;""),$I84-$H84,"")</f>
        <v/>
      </c>
      <c r="T84" s="53" t="str">
        <f aca="false">IF($J84&lt;&gt;"",$J84,"")</f>
        <v/>
      </c>
      <c r="V84" s="52" t="str">
        <f aca="false">IF($A84&lt;&gt;"",$A84,"")</f>
        <v>Apprenant 72</v>
      </c>
      <c r="W84" s="53" t="str">
        <f aca="false">IF(AND(OR('Choix pédagogiques'!$C$3=1,'Choix pédagogiques'!$C$3=2),$BM84=1),B84,IF(AND('Choix pédagogiques'!$C$3=3,$BO84=1),B84,""))</f>
        <v/>
      </c>
      <c r="X84" s="53" t="str">
        <f aca="false">IF(AND(OR('Choix pédagogiques'!$C$3=1,'Choix pédagogiques'!$C$3=2),$BM84=1),C84,IF(AND('Choix pédagogiques'!$C$3=3,$BO84=1),C84,""))</f>
        <v/>
      </c>
      <c r="Y84" s="53" t="str">
        <f aca="false">IF(AND(OR('Choix pédagogiques'!$C$3=1,'Choix pédagogiques'!$C$3=2),$BM84=1),D84,IF(AND('Choix pédagogiques'!$C$3=3,$BO84=1),D84,""))</f>
        <v/>
      </c>
      <c r="Z84" s="53" t="str">
        <f aca="false">IF($E84&lt;&gt;"",$E84,"")</f>
        <v/>
      </c>
      <c r="AA84" s="52" t="str">
        <f aca="false">IF($F84&lt;&gt;"",$F84,"")</f>
        <v>Apprenant 72 ou 72'</v>
      </c>
      <c r="AB84" s="53" t="str">
        <f aca="false">IF(AND(OR('Choix pédagogiques'!$C$3=1,'Choix pédagogiques'!$C$3=2),$BN84=1),G84,IF(AND('Choix pédagogiques'!$C$3=3,$BO84=1),G84,""))</f>
        <v/>
      </c>
      <c r="AC84" s="53" t="str">
        <f aca="false">IF(AND(OR('Choix pédagogiques'!$C$3=1,'Choix pédagogiques'!$C$3=2),$BN84=1),H84,IF(AND('Choix pédagogiques'!$C$3=3,$BO84=1),H84,""))</f>
        <v/>
      </c>
      <c r="AD84" s="53" t="str">
        <f aca="false">IF(AND(OR('Choix pédagogiques'!$C$3=1,'Choix pédagogiques'!$C$3=2),$BN84=1),I84,IF(AND('Choix pédagogiques'!$C$3=3,$BO84=1),I84,""))</f>
        <v/>
      </c>
      <c r="AE84" s="53" t="str">
        <f aca="false">IF($J84&lt;&gt;"",$J84,"")</f>
        <v/>
      </c>
      <c r="AF84" s="52" t="str">
        <f aca="false">IF($A84&lt;&gt;"",$A84,"")</f>
        <v>Apprenant 72</v>
      </c>
      <c r="AG84" s="53" t="str">
        <f aca="false">IF(AND($W84&lt;&gt;"",$X84&lt;&gt;""),$X84-$W84,"")</f>
        <v/>
      </c>
      <c r="AH84" s="53" t="str">
        <f aca="false">IF(AND($W84&lt;&gt;"",$Y84&lt;&gt;""),$Y84-$W84,"")</f>
        <v/>
      </c>
      <c r="AI84" s="53" t="str">
        <f aca="false">IF(AND($X84&lt;&gt;"",$Y84&lt;&gt;""),$Y84-$X84,"")</f>
        <v/>
      </c>
      <c r="AJ84" s="53" t="str">
        <f aca="false">IF($E84&lt;&gt;"",$E84,"")</f>
        <v/>
      </c>
      <c r="AK84" s="52" t="str">
        <f aca="false">IF($F84&lt;&gt;"",$F84,"")</f>
        <v>Apprenant 72 ou 72'</v>
      </c>
      <c r="AL84" s="53" t="str">
        <f aca="false">IF(AND($AB84&lt;&gt;"",$AC84&lt;&gt;""),$AC84-$AB84,"")</f>
        <v/>
      </c>
      <c r="AM84" s="53" t="str">
        <f aca="false">IF(AND($AB84&lt;&gt;"",$AD84&lt;&gt;""),$AD84-$AB84,"")</f>
        <v/>
      </c>
      <c r="AN84" s="53" t="str">
        <f aca="false">IF(AND($AC84&lt;&gt;"",$AD84&lt;&gt;""),$AD84-$AC84,"")</f>
        <v/>
      </c>
      <c r="AO84" s="53" t="str">
        <f aca="false">IF($J84&lt;&gt;"",$J84,"")</f>
        <v/>
      </c>
      <c r="AQ84" s="52" t="str">
        <f aca="false">IF($A84&lt;&gt;"",$A84,"")</f>
        <v>Apprenant 72</v>
      </c>
      <c r="AR84" s="55" t="str">
        <f aca="false">IF(AND('Choix pédagogiques'!$C$4&lt;&gt;"?",'Choix pédagogiques'!$C$5&lt;&gt;"?",W84&lt;&gt;""),(W84-'Choix pédagogiques'!$C$4)/('Choix pédagogiques'!$C$5-'Choix pédagogiques'!$C$4),"")</f>
        <v/>
      </c>
      <c r="AS84" s="55" t="str">
        <f aca="false">IF(AND('Choix pédagogiques'!$C$4&lt;&gt;"?",'Choix pédagogiques'!$C$5&lt;&gt;"?",X84&lt;&gt;""),(X84-'Choix pédagogiques'!$C$4)/('Choix pédagogiques'!$C$5-'Choix pédagogiques'!$C$4),"")</f>
        <v/>
      </c>
      <c r="AT84" s="55" t="str">
        <f aca="false">IF(AND('Choix pédagogiques'!$C$4&lt;&gt;"?",'Choix pédagogiques'!$C$5&lt;&gt;"?",Y84&lt;&gt;""),(Y84-'Choix pédagogiques'!$C$4)/('Choix pédagogiques'!$C$5-'Choix pédagogiques'!$C$4),"")</f>
        <v/>
      </c>
      <c r="AU84" s="53" t="str">
        <f aca="false">IF($E84&lt;&gt;"",$E84,"")</f>
        <v/>
      </c>
      <c r="AV84" s="52" t="str">
        <f aca="false">IF($F84&lt;&gt;"",$F84,"")</f>
        <v>Apprenant 72 ou 72'</v>
      </c>
      <c r="AW84" s="55" t="str">
        <f aca="false">IF(AND('Choix pédagogiques'!$C$4&lt;&gt;"?",'Choix pédagogiques'!$C$5&lt;&gt;"?",AB84&lt;&gt;""),(AB84-'Choix pédagogiques'!$C$4)/('Choix pédagogiques'!$C$5-'Choix pédagogiques'!$C$4),"")</f>
        <v/>
      </c>
      <c r="AX84" s="55" t="str">
        <f aca="false">IF(AND('Choix pédagogiques'!$C$4&lt;&gt;"?",'Choix pédagogiques'!$C$5&lt;&gt;"?",AC84&lt;&gt;""),(AC84-'Choix pédagogiques'!$C$4)/('Choix pédagogiques'!$C$5-'Choix pédagogiques'!$C$4),"")</f>
        <v/>
      </c>
      <c r="AY84" s="55" t="str">
        <f aca="false">IF(AND('Choix pédagogiques'!$C$4&lt;&gt;"?",'Choix pédagogiques'!$C$5&lt;&gt;"?",AD84&lt;&gt;""),(AD84-'Choix pédagogiques'!$C$4)/('Choix pédagogiques'!$C$5-'Choix pédagogiques'!$C$4),"")</f>
        <v/>
      </c>
      <c r="AZ84" s="53" t="str">
        <f aca="false">IF($J84&lt;&gt;"",$J84,"")</f>
        <v/>
      </c>
      <c r="BA84" s="52" t="str">
        <f aca="false">IF($A84&lt;&gt;"",$A84,"")</f>
        <v>Apprenant 72</v>
      </c>
      <c r="BB84" s="55" t="str">
        <f aca="false">IF(AND($AR84&lt;&gt;"",$AS84&lt;&gt;""),$AS84-$AR84,"")</f>
        <v/>
      </c>
      <c r="BC84" s="55" t="str">
        <f aca="false">IF(AND($AR84&lt;&gt;"",$AT84&lt;&gt;""),$AT84-$AR84,"")</f>
        <v/>
      </c>
      <c r="BD84" s="55" t="str">
        <f aca="false">IF(AND($AS84&lt;&gt;"",$AT84&lt;&gt;""),$AT84-$AS84,"")</f>
        <v/>
      </c>
      <c r="BE84" s="53" t="str">
        <f aca="false">IF($E84&lt;&gt;"",$E84,"")</f>
        <v/>
      </c>
      <c r="BF84" s="52" t="str">
        <f aca="false">IF($F84&lt;&gt;"",$F84,"")</f>
        <v>Apprenant 72 ou 72'</v>
      </c>
      <c r="BG84" s="55" t="str">
        <f aca="false">IF(AND($AW84&lt;&gt;"",$AX84&lt;&gt;""),$AX84-$AW84,"")</f>
        <v/>
      </c>
      <c r="BH84" s="55" t="str">
        <f aca="false">IF(AND($AW84&lt;&gt;"",$AY84&lt;&gt;""),$AY84-$AW84,"")</f>
        <v/>
      </c>
      <c r="BI84" s="55" t="str">
        <f aca="false">IF(AND($AX84&lt;&gt;"",$AY84&lt;&gt;""),$AY84-$AX84,"")</f>
        <v/>
      </c>
      <c r="BJ84" s="53" t="str">
        <f aca="false">IF($J84&lt;&gt;"",$J84,"")</f>
        <v/>
      </c>
      <c r="BL84" s="52"/>
      <c r="BM84" s="52" t="str">
        <f aca="false">IF(OR(COUNT(B84:D1083)=0,AND('Choix pédagogiques'!$C$3&lt;&gt;1,'Choix pédagogiques'!$C$3&lt;&gt;2)),"",IF(AND(OR('Choix pédagogiques'!$C$3=1,'Choix pédagogiques'!$C$3=2),$B84&lt;&gt;"",$C84&lt;&gt;"",$D84&lt;&gt;""),1,0))</f>
        <v/>
      </c>
      <c r="BN84" s="52" t="str">
        <f aca="false">IF(OR(COUNT(G84:I1083)=0,AND('Choix pédagogiques'!$C$3&lt;&gt;1,'Choix pédagogiques'!$C$3&lt;&gt;2)),"",IF(AND(OR('Choix pédagogiques'!$C$3=1,'Choix pédagogiques'!$C$3=2),AND($G84&lt;&gt;"",$H84&lt;&gt;"",$I84&lt;&gt;"")),1,0))</f>
        <v/>
      </c>
      <c r="BO84" s="52" t="str">
        <f aca="false">IF(OR(COUNT(B84:D1083)=0,COUNT(G84:I1083)=0,'Choix pédagogiques'!C$3&lt;&gt;3),"",IF(AND('Choix pédagogiques'!$C$3=3,$B84&lt;&gt;"",$C84&lt;&gt;"",$D84&lt;&gt;"",$G84&lt;&gt;"",$H84&lt;&gt;"",$I84&lt;&gt;""),1,0))</f>
        <v/>
      </c>
      <c r="BR84" s="52" t="n">
        <v>301</v>
      </c>
      <c r="BS84" s="52" t="n">
        <v>1807</v>
      </c>
    </row>
    <row r="85" s="54" customFormat="true" ht="18" hidden="false" customHeight="true" outlineLevel="0" collapsed="false">
      <c r="A85" s="57" t="s">
        <v>101</v>
      </c>
      <c r="B85" s="51"/>
      <c r="C85" s="51"/>
      <c r="D85" s="51"/>
      <c r="E85" s="51"/>
      <c r="F85" s="57" t="s">
        <v>102</v>
      </c>
      <c r="G85" s="51"/>
      <c r="H85" s="51"/>
      <c r="I85" s="51"/>
      <c r="J85" s="51"/>
      <c r="K85" s="52" t="str">
        <f aca="false">IF($A85&lt;&gt;"",$A85,"")</f>
        <v>Apprenant 73</v>
      </c>
      <c r="L85" s="53" t="str">
        <f aca="false">IF(AND($B85&lt;&gt;"",$C85&lt;&gt;""),$C85-$B85,"")</f>
        <v/>
      </c>
      <c r="M85" s="53" t="str">
        <f aca="false">IF(AND($B85&lt;&gt;"",$D85&lt;&gt;""),$D85-$B85,"")</f>
        <v/>
      </c>
      <c r="N85" s="53" t="str">
        <f aca="false">IF(AND($C85&lt;&gt;"",$D85&lt;&gt;""),$D85-$C85,"")</f>
        <v/>
      </c>
      <c r="O85" s="53" t="str">
        <f aca="false">IF($E85&lt;&gt;"",$E85,"")</f>
        <v/>
      </c>
      <c r="P85" s="52" t="str">
        <f aca="false">IF($F85&lt;&gt;"",$F85,"")</f>
        <v>Apprenant 73 ou 73'</v>
      </c>
      <c r="Q85" s="53" t="str">
        <f aca="false">IF(AND($G85&lt;&gt;"",$H85&lt;&gt;""),$H85-$G85,"")</f>
        <v/>
      </c>
      <c r="R85" s="53" t="str">
        <f aca="false">IF(AND($G85&lt;&gt;"",$I85&lt;&gt;""),$I85-$G85,"")</f>
        <v/>
      </c>
      <c r="S85" s="53" t="str">
        <f aca="false">IF(AND($H85&lt;&gt;"",$I85&lt;&gt;""),$I85-$H85,"")</f>
        <v/>
      </c>
      <c r="T85" s="53" t="str">
        <f aca="false">IF($J85&lt;&gt;"",$J85,"")</f>
        <v/>
      </c>
      <c r="V85" s="52" t="str">
        <f aca="false">IF($A85&lt;&gt;"",$A85,"")</f>
        <v>Apprenant 73</v>
      </c>
      <c r="W85" s="53" t="str">
        <f aca="false">IF(AND(OR('Choix pédagogiques'!$C$3=1,'Choix pédagogiques'!$C$3=2),$BM85=1),B85,IF(AND('Choix pédagogiques'!$C$3=3,$BO85=1),B85,""))</f>
        <v/>
      </c>
      <c r="X85" s="53" t="str">
        <f aca="false">IF(AND(OR('Choix pédagogiques'!$C$3=1,'Choix pédagogiques'!$C$3=2),$BM85=1),C85,IF(AND('Choix pédagogiques'!$C$3=3,$BO85=1),C85,""))</f>
        <v/>
      </c>
      <c r="Y85" s="53" t="str">
        <f aca="false">IF(AND(OR('Choix pédagogiques'!$C$3=1,'Choix pédagogiques'!$C$3=2),$BM85=1),D85,IF(AND('Choix pédagogiques'!$C$3=3,$BO85=1),D85,""))</f>
        <v/>
      </c>
      <c r="Z85" s="53" t="str">
        <f aca="false">IF($E85&lt;&gt;"",$E85,"")</f>
        <v/>
      </c>
      <c r="AA85" s="52" t="str">
        <f aca="false">IF($F85&lt;&gt;"",$F85,"")</f>
        <v>Apprenant 73 ou 73'</v>
      </c>
      <c r="AB85" s="53" t="str">
        <f aca="false">IF(AND(OR('Choix pédagogiques'!$C$3=1,'Choix pédagogiques'!$C$3=2),$BN85=1),G85,IF(AND('Choix pédagogiques'!$C$3=3,$BO85=1),G85,""))</f>
        <v/>
      </c>
      <c r="AC85" s="53" t="str">
        <f aca="false">IF(AND(OR('Choix pédagogiques'!$C$3=1,'Choix pédagogiques'!$C$3=2),$BN85=1),H85,IF(AND('Choix pédagogiques'!$C$3=3,$BO85=1),H85,""))</f>
        <v/>
      </c>
      <c r="AD85" s="53" t="str">
        <f aca="false">IF(AND(OR('Choix pédagogiques'!$C$3=1,'Choix pédagogiques'!$C$3=2),$BN85=1),I85,IF(AND('Choix pédagogiques'!$C$3=3,$BO85=1),I85,""))</f>
        <v/>
      </c>
      <c r="AE85" s="53" t="str">
        <f aca="false">IF($J85&lt;&gt;"",$J85,"")</f>
        <v/>
      </c>
      <c r="AF85" s="52" t="str">
        <f aca="false">IF($A85&lt;&gt;"",$A85,"")</f>
        <v>Apprenant 73</v>
      </c>
      <c r="AG85" s="53" t="str">
        <f aca="false">IF(AND($W85&lt;&gt;"",$X85&lt;&gt;""),$X85-$W85,"")</f>
        <v/>
      </c>
      <c r="AH85" s="53" t="str">
        <f aca="false">IF(AND($W85&lt;&gt;"",$Y85&lt;&gt;""),$Y85-$W85,"")</f>
        <v/>
      </c>
      <c r="AI85" s="53" t="str">
        <f aca="false">IF(AND($X85&lt;&gt;"",$Y85&lt;&gt;""),$Y85-$X85,"")</f>
        <v/>
      </c>
      <c r="AJ85" s="53" t="str">
        <f aca="false">IF($E85&lt;&gt;"",$E85,"")</f>
        <v/>
      </c>
      <c r="AK85" s="52" t="str">
        <f aca="false">IF($F85&lt;&gt;"",$F85,"")</f>
        <v>Apprenant 73 ou 73'</v>
      </c>
      <c r="AL85" s="53" t="str">
        <f aca="false">IF(AND($AB85&lt;&gt;"",$AC85&lt;&gt;""),$AC85-$AB85,"")</f>
        <v/>
      </c>
      <c r="AM85" s="53" t="str">
        <f aca="false">IF(AND($AB85&lt;&gt;"",$AD85&lt;&gt;""),$AD85-$AB85,"")</f>
        <v/>
      </c>
      <c r="AN85" s="53" t="str">
        <f aca="false">IF(AND($AC85&lt;&gt;"",$AD85&lt;&gt;""),$AD85-$AC85,"")</f>
        <v/>
      </c>
      <c r="AO85" s="53" t="str">
        <f aca="false">IF($J85&lt;&gt;"",$J85,"")</f>
        <v/>
      </c>
      <c r="AQ85" s="52" t="str">
        <f aca="false">IF($A85&lt;&gt;"",$A85,"")</f>
        <v>Apprenant 73</v>
      </c>
      <c r="AR85" s="55" t="str">
        <f aca="false">IF(AND('Choix pédagogiques'!$C$4&lt;&gt;"?",'Choix pédagogiques'!$C$5&lt;&gt;"?",W85&lt;&gt;""),(W85-'Choix pédagogiques'!$C$4)/('Choix pédagogiques'!$C$5-'Choix pédagogiques'!$C$4),"")</f>
        <v/>
      </c>
      <c r="AS85" s="55" t="str">
        <f aca="false">IF(AND('Choix pédagogiques'!$C$4&lt;&gt;"?",'Choix pédagogiques'!$C$5&lt;&gt;"?",X85&lt;&gt;""),(X85-'Choix pédagogiques'!$C$4)/('Choix pédagogiques'!$C$5-'Choix pédagogiques'!$C$4),"")</f>
        <v/>
      </c>
      <c r="AT85" s="55" t="str">
        <f aca="false">IF(AND('Choix pédagogiques'!$C$4&lt;&gt;"?",'Choix pédagogiques'!$C$5&lt;&gt;"?",Y85&lt;&gt;""),(Y85-'Choix pédagogiques'!$C$4)/('Choix pédagogiques'!$C$5-'Choix pédagogiques'!$C$4),"")</f>
        <v/>
      </c>
      <c r="AU85" s="53" t="str">
        <f aca="false">IF($E85&lt;&gt;"",$E85,"")</f>
        <v/>
      </c>
      <c r="AV85" s="52" t="str">
        <f aca="false">IF($F85&lt;&gt;"",$F85,"")</f>
        <v>Apprenant 73 ou 73'</v>
      </c>
      <c r="AW85" s="55" t="str">
        <f aca="false">IF(AND('Choix pédagogiques'!$C$4&lt;&gt;"?",'Choix pédagogiques'!$C$5&lt;&gt;"?",AB85&lt;&gt;""),(AB85-'Choix pédagogiques'!$C$4)/('Choix pédagogiques'!$C$5-'Choix pédagogiques'!$C$4),"")</f>
        <v/>
      </c>
      <c r="AX85" s="55" t="str">
        <f aca="false">IF(AND('Choix pédagogiques'!$C$4&lt;&gt;"?",'Choix pédagogiques'!$C$5&lt;&gt;"?",AC85&lt;&gt;""),(AC85-'Choix pédagogiques'!$C$4)/('Choix pédagogiques'!$C$5-'Choix pédagogiques'!$C$4),"")</f>
        <v/>
      </c>
      <c r="AY85" s="55" t="str">
        <f aca="false">IF(AND('Choix pédagogiques'!$C$4&lt;&gt;"?",'Choix pédagogiques'!$C$5&lt;&gt;"?",AD85&lt;&gt;""),(AD85-'Choix pédagogiques'!$C$4)/('Choix pédagogiques'!$C$5-'Choix pédagogiques'!$C$4),"")</f>
        <v/>
      </c>
      <c r="AZ85" s="53" t="str">
        <f aca="false">IF($J85&lt;&gt;"",$J85,"")</f>
        <v/>
      </c>
      <c r="BA85" s="52" t="str">
        <f aca="false">IF($A85&lt;&gt;"",$A85,"")</f>
        <v>Apprenant 73</v>
      </c>
      <c r="BB85" s="55" t="str">
        <f aca="false">IF(AND($AR85&lt;&gt;"",$AS85&lt;&gt;""),$AS85-$AR85,"")</f>
        <v/>
      </c>
      <c r="BC85" s="55" t="str">
        <f aca="false">IF(AND($AR85&lt;&gt;"",$AT85&lt;&gt;""),$AT85-$AR85,"")</f>
        <v/>
      </c>
      <c r="BD85" s="55" t="str">
        <f aca="false">IF(AND($AS85&lt;&gt;"",$AT85&lt;&gt;""),$AT85-$AS85,"")</f>
        <v/>
      </c>
      <c r="BE85" s="53" t="str">
        <f aca="false">IF($E85&lt;&gt;"",$E85,"")</f>
        <v/>
      </c>
      <c r="BF85" s="52" t="str">
        <f aca="false">IF($F85&lt;&gt;"",$F85,"")</f>
        <v>Apprenant 73 ou 73'</v>
      </c>
      <c r="BG85" s="55" t="str">
        <f aca="false">IF(AND($AW85&lt;&gt;"",$AX85&lt;&gt;""),$AX85-$AW85,"")</f>
        <v/>
      </c>
      <c r="BH85" s="55" t="str">
        <f aca="false">IF(AND($AW85&lt;&gt;"",$AY85&lt;&gt;""),$AY85-$AW85,"")</f>
        <v/>
      </c>
      <c r="BI85" s="55" t="str">
        <f aca="false">IF(AND($AX85&lt;&gt;"",$AY85&lt;&gt;""),$AY85-$AX85,"")</f>
        <v/>
      </c>
      <c r="BJ85" s="53" t="str">
        <f aca="false">IF($J85&lt;&gt;"",$J85,"")</f>
        <v/>
      </c>
      <c r="BL85" s="52"/>
      <c r="BM85" s="52" t="str">
        <f aca="false">IF(OR(COUNT(B85:D1084)=0,AND('Choix pédagogiques'!$C$3&lt;&gt;1,'Choix pédagogiques'!$C$3&lt;&gt;2)),"",IF(AND(OR('Choix pédagogiques'!$C$3=1,'Choix pédagogiques'!$C$3=2),$B85&lt;&gt;"",$C85&lt;&gt;"",$D85&lt;&gt;""),1,0))</f>
        <v/>
      </c>
      <c r="BN85" s="52" t="str">
        <f aca="false">IF(OR(COUNT(G85:I1084)=0,AND('Choix pédagogiques'!$C$3&lt;&gt;1,'Choix pédagogiques'!$C$3&lt;&gt;2)),"",IF(AND(OR('Choix pédagogiques'!$C$3=1,'Choix pédagogiques'!$C$3=2),AND($G85&lt;&gt;"",$H85&lt;&gt;"",$I85&lt;&gt;"")),1,0))</f>
        <v/>
      </c>
      <c r="BO85" s="52" t="str">
        <f aca="false">IF(OR(COUNT(B85:D1084)=0,COUNT(G85:I1084)=0,'Choix pédagogiques'!C$3&lt;&gt;3),"",IF(AND('Choix pédagogiques'!$C$3=3,$B85&lt;&gt;"",$C85&lt;&gt;"",$D85&lt;&gt;"",$G85&lt;&gt;"",$H85&lt;&gt;"",$I85&lt;&gt;""),1,0))</f>
        <v/>
      </c>
      <c r="BR85" s="52" t="n">
        <v>437</v>
      </c>
      <c r="BS85" s="52" t="n">
        <v>1615</v>
      </c>
    </row>
    <row r="86" s="54" customFormat="true" ht="18" hidden="false" customHeight="true" outlineLevel="0" collapsed="false">
      <c r="A86" s="57" t="s">
        <v>103</v>
      </c>
      <c r="B86" s="51"/>
      <c r="C86" s="51"/>
      <c r="D86" s="51"/>
      <c r="E86" s="51"/>
      <c r="F86" s="57" t="s">
        <v>104</v>
      </c>
      <c r="G86" s="51"/>
      <c r="H86" s="51"/>
      <c r="I86" s="51"/>
      <c r="J86" s="51"/>
      <c r="K86" s="52" t="str">
        <f aca="false">IF($A86&lt;&gt;"",$A86,"")</f>
        <v>Apprenant 74</v>
      </c>
      <c r="L86" s="53" t="str">
        <f aca="false">IF(AND($B86&lt;&gt;"",$C86&lt;&gt;""),$C86-$B86,"")</f>
        <v/>
      </c>
      <c r="M86" s="53" t="str">
        <f aca="false">IF(AND($B86&lt;&gt;"",$D86&lt;&gt;""),$D86-$B86,"")</f>
        <v/>
      </c>
      <c r="N86" s="53" t="str">
        <f aca="false">IF(AND($C86&lt;&gt;"",$D86&lt;&gt;""),$D86-$C86,"")</f>
        <v/>
      </c>
      <c r="O86" s="53" t="str">
        <f aca="false">IF($E86&lt;&gt;"",$E86,"")</f>
        <v/>
      </c>
      <c r="P86" s="52" t="str">
        <f aca="false">IF($F86&lt;&gt;"",$F86,"")</f>
        <v>Apprenant 74 ou 74'</v>
      </c>
      <c r="Q86" s="53" t="str">
        <f aca="false">IF(AND($G86&lt;&gt;"",$H86&lt;&gt;""),$H86-$G86,"")</f>
        <v/>
      </c>
      <c r="R86" s="53" t="str">
        <f aca="false">IF(AND($G86&lt;&gt;"",$I86&lt;&gt;""),$I86-$G86,"")</f>
        <v/>
      </c>
      <c r="S86" s="53" t="str">
        <f aca="false">IF(AND($H86&lt;&gt;"",$I86&lt;&gt;""),$I86-$H86,"")</f>
        <v/>
      </c>
      <c r="T86" s="53" t="str">
        <f aca="false">IF($J86&lt;&gt;"",$J86,"")</f>
        <v/>
      </c>
      <c r="V86" s="52" t="str">
        <f aca="false">IF($A86&lt;&gt;"",$A86,"")</f>
        <v>Apprenant 74</v>
      </c>
      <c r="W86" s="53" t="str">
        <f aca="false">IF(AND(OR('Choix pédagogiques'!$C$3=1,'Choix pédagogiques'!$C$3=2),$BM86=1),B86,IF(AND('Choix pédagogiques'!$C$3=3,$BO86=1),B86,""))</f>
        <v/>
      </c>
      <c r="X86" s="53" t="str">
        <f aca="false">IF(AND(OR('Choix pédagogiques'!$C$3=1,'Choix pédagogiques'!$C$3=2),$BM86=1),C86,IF(AND('Choix pédagogiques'!$C$3=3,$BO86=1),C86,""))</f>
        <v/>
      </c>
      <c r="Y86" s="53" t="str">
        <f aca="false">IF(AND(OR('Choix pédagogiques'!$C$3=1,'Choix pédagogiques'!$C$3=2),$BM86=1),D86,IF(AND('Choix pédagogiques'!$C$3=3,$BO86=1),D86,""))</f>
        <v/>
      </c>
      <c r="Z86" s="53" t="str">
        <f aca="false">IF($E86&lt;&gt;"",$E86,"")</f>
        <v/>
      </c>
      <c r="AA86" s="52" t="str">
        <f aca="false">IF($F86&lt;&gt;"",$F86,"")</f>
        <v>Apprenant 74 ou 74'</v>
      </c>
      <c r="AB86" s="53" t="str">
        <f aca="false">IF(AND(OR('Choix pédagogiques'!$C$3=1,'Choix pédagogiques'!$C$3=2),$BN86=1),G86,IF(AND('Choix pédagogiques'!$C$3=3,$BO86=1),G86,""))</f>
        <v/>
      </c>
      <c r="AC86" s="53" t="str">
        <f aca="false">IF(AND(OR('Choix pédagogiques'!$C$3=1,'Choix pédagogiques'!$C$3=2),$BN86=1),H86,IF(AND('Choix pédagogiques'!$C$3=3,$BO86=1),H86,""))</f>
        <v/>
      </c>
      <c r="AD86" s="53" t="str">
        <f aca="false">IF(AND(OR('Choix pédagogiques'!$C$3=1,'Choix pédagogiques'!$C$3=2),$BN86=1),I86,IF(AND('Choix pédagogiques'!$C$3=3,$BO86=1),I86,""))</f>
        <v/>
      </c>
      <c r="AE86" s="53" t="str">
        <f aca="false">IF($J86&lt;&gt;"",$J86,"")</f>
        <v/>
      </c>
      <c r="AF86" s="52" t="str">
        <f aca="false">IF($A86&lt;&gt;"",$A86,"")</f>
        <v>Apprenant 74</v>
      </c>
      <c r="AG86" s="53" t="str">
        <f aca="false">IF(AND($W86&lt;&gt;"",$X86&lt;&gt;""),$X86-$W86,"")</f>
        <v/>
      </c>
      <c r="AH86" s="53" t="str">
        <f aca="false">IF(AND($W86&lt;&gt;"",$Y86&lt;&gt;""),$Y86-$W86,"")</f>
        <v/>
      </c>
      <c r="AI86" s="53" t="str">
        <f aca="false">IF(AND($X86&lt;&gt;"",$Y86&lt;&gt;""),$Y86-$X86,"")</f>
        <v/>
      </c>
      <c r="AJ86" s="53" t="str">
        <f aca="false">IF($E86&lt;&gt;"",$E86,"")</f>
        <v/>
      </c>
      <c r="AK86" s="52" t="str">
        <f aca="false">IF($F86&lt;&gt;"",$F86,"")</f>
        <v>Apprenant 74 ou 74'</v>
      </c>
      <c r="AL86" s="53" t="str">
        <f aca="false">IF(AND($AB86&lt;&gt;"",$AC86&lt;&gt;""),$AC86-$AB86,"")</f>
        <v/>
      </c>
      <c r="AM86" s="53" t="str">
        <f aca="false">IF(AND($AB86&lt;&gt;"",$AD86&lt;&gt;""),$AD86-$AB86,"")</f>
        <v/>
      </c>
      <c r="AN86" s="53" t="str">
        <f aca="false">IF(AND($AC86&lt;&gt;"",$AD86&lt;&gt;""),$AD86-$AC86,"")</f>
        <v/>
      </c>
      <c r="AO86" s="53" t="str">
        <f aca="false">IF($J86&lt;&gt;"",$J86,"")</f>
        <v/>
      </c>
      <c r="AQ86" s="52" t="str">
        <f aca="false">IF($A86&lt;&gt;"",$A86,"")</f>
        <v>Apprenant 74</v>
      </c>
      <c r="AR86" s="55" t="str">
        <f aca="false">IF(AND('Choix pédagogiques'!$C$4&lt;&gt;"?",'Choix pédagogiques'!$C$5&lt;&gt;"?",W86&lt;&gt;""),(W86-'Choix pédagogiques'!$C$4)/('Choix pédagogiques'!$C$5-'Choix pédagogiques'!$C$4),"")</f>
        <v/>
      </c>
      <c r="AS86" s="55" t="str">
        <f aca="false">IF(AND('Choix pédagogiques'!$C$4&lt;&gt;"?",'Choix pédagogiques'!$C$5&lt;&gt;"?",X86&lt;&gt;""),(X86-'Choix pédagogiques'!$C$4)/('Choix pédagogiques'!$C$5-'Choix pédagogiques'!$C$4),"")</f>
        <v/>
      </c>
      <c r="AT86" s="55" t="str">
        <f aca="false">IF(AND('Choix pédagogiques'!$C$4&lt;&gt;"?",'Choix pédagogiques'!$C$5&lt;&gt;"?",Y86&lt;&gt;""),(Y86-'Choix pédagogiques'!$C$4)/('Choix pédagogiques'!$C$5-'Choix pédagogiques'!$C$4),"")</f>
        <v/>
      </c>
      <c r="AU86" s="53" t="str">
        <f aca="false">IF($E86&lt;&gt;"",$E86,"")</f>
        <v/>
      </c>
      <c r="AV86" s="52" t="str">
        <f aca="false">IF($F86&lt;&gt;"",$F86,"")</f>
        <v>Apprenant 74 ou 74'</v>
      </c>
      <c r="AW86" s="55" t="str">
        <f aca="false">IF(AND('Choix pédagogiques'!$C$4&lt;&gt;"?",'Choix pédagogiques'!$C$5&lt;&gt;"?",AB86&lt;&gt;""),(AB86-'Choix pédagogiques'!$C$4)/('Choix pédagogiques'!$C$5-'Choix pédagogiques'!$C$4),"")</f>
        <v/>
      </c>
      <c r="AX86" s="55" t="str">
        <f aca="false">IF(AND('Choix pédagogiques'!$C$4&lt;&gt;"?",'Choix pédagogiques'!$C$5&lt;&gt;"?",AC86&lt;&gt;""),(AC86-'Choix pédagogiques'!$C$4)/('Choix pédagogiques'!$C$5-'Choix pédagogiques'!$C$4),"")</f>
        <v/>
      </c>
      <c r="AY86" s="55" t="str">
        <f aca="false">IF(AND('Choix pédagogiques'!$C$4&lt;&gt;"?",'Choix pédagogiques'!$C$5&lt;&gt;"?",AD86&lt;&gt;""),(AD86-'Choix pédagogiques'!$C$4)/('Choix pédagogiques'!$C$5-'Choix pédagogiques'!$C$4),"")</f>
        <v/>
      </c>
      <c r="AZ86" s="53" t="str">
        <f aca="false">IF($J86&lt;&gt;"",$J86,"")</f>
        <v/>
      </c>
      <c r="BA86" s="52" t="str">
        <f aca="false">IF($A86&lt;&gt;"",$A86,"")</f>
        <v>Apprenant 74</v>
      </c>
      <c r="BB86" s="55" t="str">
        <f aca="false">IF(AND($AR86&lt;&gt;"",$AS86&lt;&gt;""),$AS86-$AR86,"")</f>
        <v/>
      </c>
      <c r="BC86" s="55" t="str">
        <f aca="false">IF(AND($AR86&lt;&gt;"",$AT86&lt;&gt;""),$AT86-$AR86,"")</f>
        <v/>
      </c>
      <c r="BD86" s="55" t="str">
        <f aca="false">IF(AND($AS86&lt;&gt;"",$AT86&lt;&gt;""),$AT86-$AS86,"")</f>
        <v/>
      </c>
      <c r="BE86" s="53" t="str">
        <f aca="false">IF($E86&lt;&gt;"",$E86,"")</f>
        <v/>
      </c>
      <c r="BF86" s="52" t="str">
        <f aca="false">IF($F86&lt;&gt;"",$F86,"")</f>
        <v>Apprenant 74 ou 74'</v>
      </c>
      <c r="BG86" s="55" t="str">
        <f aca="false">IF(AND($AW86&lt;&gt;"",$AX86&lt;&gt;""),$AX86-$AW86,"")</f>
        <v/>
      </c>
      <c r="BH86" s="55" t="str">
        <f aca="false">IF(AND($AW86&lt;&gt;"",$AY86&lt;&gt;""),$AY86-$AW86,"")</f>
        <v/>
      </c>
      <c r="BI86" s="55" t="str">
        <f aca="false">IF(AND($AX86&lt;&gt;"",$AY86&lt;&gt;""),$AY86-$AX86,"")</f>
        <v/>
      </c>
      <c r="BJ86" s="53" t="str">
        <f aca="false">IF($J86&lt;&gt;"",$J86,"")</f>
        <v/>
      </c>
      <c r="BL86" s="52"/>
      <c r="BM86" s="52" t="str">
        <f aca="false">IF(OR(COUNT(B86:D1085)=0,AND('Choix pédagogiques'!$C$3&lt;&gt;1,'Choix pédagogiques'!$C$3&lt;&gt;2)),"",IF(AND(OR('Choix pédagogiques'!$C$3=1,'Choix pédagogiques'!$C$3=2),$B86&lt;&gt;"",$C86&lt;&gt;"",$D86&lt;&gt;""),1,0))</f>
        <v/>
      </c>
      <c r="BN86" s="52" t="str">
        <f aca="false">IF(OR(COUNT(G86:I1085)=0,AND('Choix pédagogiques'!$C$3&lt;&gt;1,'Choix pédagogiques'!$C$3&lt;&gt;2)),"",IF(AND(OR('Choix pédagogiques'!$C$3=1,'Choix pédagogiques'!$C$3=2),AND($G86&lt;&gt;"",$H86&lt;&gt;"",$I86&lt;&gt;"")),1,0))</f>
        <v/>
      </c>
      <c r="BO86" s="52" t="str">
        <f aca="false">IF(OR(COUNT(B86:D1085)=0,COUNT(G86:I1085)=0,'Choix pédagogiques'!C$3&lt;&gt;3),"",IF(AND('Choix pédagogiques'!$C$3=3,$B86&lt;&gt;"",$C86&lt;&gt;"",$D86&lt;&gt;"",$G86&lt;&gt;"",$H86&lt;&gt;"",$I86&lt;&gt;""),1,0))</f>
        <v/>
      </c>
      <c r="BR86" s="52" t="n">
        <v>487</v>
      </c>
      <c r="BS86" s="52" t="n">
        <v>1512</v>
      </c>
    </row>
    <row r="87" s="54" customFormat="true" ht="18" hidden="false" customHeight="true" outlineLevel="0" collapsed="false">
      <c r="A87" s="57" t="s">
        <v>105</v>
      </c>
      <c r="B87" s="51"/>
      <c r="C87" s="51"/>
      <c r="D87" s="51"/>
      <c r="E87" s="51"/>
      <c r="F87" s="57" t="s">
        <v>106</v>
      </c>
      <c r="G87" s="51"/>
      <c r="H87" s="51"/>
      <c r="I87" s="51"/>
      <c r="J87" s="51"/>
      <c r="K87" s="52" t="str">
        <f aca="false">IF($A87&lt;&gt;"",$A87,"")</f>
        <v>Apprenant 75</v>
      </c>
      <c r="L87" s="53" t="str">
        <f aca="false">IF(AND($B87&lt;&gt;"",$C87&lt;&gt;""),$C87-$B87,"")</f>
        <v/>
      </c>
      <c r="M87" s="53" t="str">
        <f aca="false">IF(AND($B87&lt;&gt;"",$D87&lt;&gt;""),$D87-$B87,"")</f>
        <v/>
      </c>
      <c r="N87" s="53" t="str">
        <f aca="false">IF(AND($C87&lt;&gt;"",$D87&lt;&gt;""),$D87-$C87,"")</f>
        <v/>
      </c>
      <c r="O87" s="53" t="str">
        <f aca="false">IF($E87&lt;&gt;"",$E87,"")</f>
        <v/>
      </c>
      <c r="P87" s="52" t="str">
        <f aca="false">IF($F87&lt;&gt;"",$F87,"")</f>
        <v>Apprenant 75 ou 75'</v>
      </c>
      <c r="Q87" s="53" t="str">
        <f aca="false">IF(AND($G87&lt;&gt;"",$H87&lt;&gt;""),$H87-$G87,"")</f>
        <v/>
      </c>
      <c r="R87" s="53" t="str">
        <f aca="false">IF(AND($G87&lt;&gt;"",$I87&lt;&gt;""),$I87-$G87,"")</f>
        <v/>
      </c>
      <c r="S87" s="53" t="str">
        <f aca="false">IF(AND($H87&lt;&gt;"",$I87&lt;&gt;""),$I87-$H87,"")</f>
        <v/>
      </c>
      <c r="T87" s="53" t="str">
        <f aca="false">IF($J87&lt;&gt;"",$J87,"")</f>
        <v/>
      </c>
      <c r="V87" s="52" t="str">
        <f aca="false">IF($A87&lt;&gt;"",$A87,"")</f>
        <v>Apprenant 75</v>
      </c>
      <c r="W87" s="53" t="str">
        <f aca="false">IF(AND(OR('Choix pédagogiques'!$C$3=1,'Choix pédagogiques'!$C$3=2),$BM87=1),B87,IF(AND('Choix pédagogiques'!$C$3=3,$BO87=1),B87,""))</f>
        <v/>
      </c>
      <c r="X87" s="53" t="str">
        <f aca="false">IF(AND(OR('Choix pédagogiques'!$C$3=1,'Choix pédagogiques'!$C$3=2),$BM87=1),C87,IF(AND('Choix pédagogiques'!$C$3=3,$BO87=1),C87,""))</f>
        <v/>
      </c>
      <c r="Y87" s="53" t="str">
        <f aca="false">IF(AND(OR('Choix pédagogiques'!$C$3=1,'Choix pédagogiques'!$C$3=2),$BM87=1),D87,IF(AND('Choix pédagogiques'!$C$3=3,$BO87=1),D87,""))</f>
        <v/>
      </c>
      <c r="Z87" s="53" t="str">
        <f aca="false">IF($E87&lt;&gt;"",$E87,"")</f>
        <v/>
      </c>
      <c r="AA87" s="52" t="str">
        <f aca="false">IF($F87&lt;&gt;"",$F87,"")</f>
        <v>Apprenant 75 ou 75'</v>
      </c>
      <c r="AB87" s="53" t="str">
        <f aca="false">IF(AND(OR('Choix pédagogiques'!$C$3=1,'Choix pédagogiques'!$C$3=2),$BN87=1),G87,IF(AND('Choix pédagogiques'!$C$3=3,$BO87=1),G87,""))</f>
        <v/>
      </c>
      <c r="AC87" s="53" t="str">
        <f aca="false">IF(AND(OR('Choix pédagogiques'!$C$3=1,'Choix pédagogiques'!$C$3=2),$BN87=1),H87,IF(AND('Choix pédagogiques'!$C$3=3,$BO87=1),H87,""))</f>
        <v/>
      </c>
      <c r="AD87" s="53" t="str">
        <f aca="false">IF(AND(OR('Choix pédagogiques'!$C$3=1,'Choix pédagogiques'!$C$3=2),$BN87=1),I87,IF(AND('Choix pédagogiques'!$C$3=3,$BO87=1),I87,""))</f>
        <v/>
      </c>
      <c r="AE87" s="53" t="str">
        <f aca="false">IF($J87&lt;&gt;"",$J87,"")</f>
        <v/>
      </c>
      <c r="AF87" s="52" t="str">
        <f aca="false">IF($A87&lt;&gt;"",$A87,"")</f>
        <v>Apprenant 75</v>
      </c>
      <c r="AG87" s="53" t="str">
        <f aca="false">IF(AND($W87&lt;&gt;"",$X87&lt;&gt;""),$X87-$W87,"")</f>
        <v/>
      </c>
      <c r="AH87" s="53" t="str">
        <f aca="false">IF(AND($W87&lt;&gt;"",$Y87&lt;&gt;""),$Y87-$W87,"")</f>
        <v/>
      </c>
      <c r="AI87" s="53" t="str">
        <f aca="false">IF(AND($X87&lt;&gt;"",$Y87&lt;&gt;""),$Y87-$X87,"")</f>
        <v/>
      </c>
      <c r="AJ87" s="53" t="str">
        <f aca="false">IF($E87&lt;&gt;"",$E87,"")</f>
        <v/>
      </c>
      <c r="AK87" s="52" t="str">
        <f aca="false">IF($F87&lt;&gt;"",$F87,"")</f>
        <v>Apprenant 75 ou 75'</v>
      </c>
      <c r="AL87" s="53" t="str">
        <f aca="false">IF(AND($AB87&lt;&gt;"",$AC87&lt;&gt;""),$AC87-$AB87,"")</f>
        <v/>
      </c>
      <c r="AM87" s="53" t="str">
        <f aca="false">IF(AND($AB87&lt;&gt;"",$AD87&lt;&gt;""),$AD87-$AB87,"")</f>
        <v/>
      </c>
      <c r="AN87" s="53" t="str">
        <f aca="false">IF(AND($AC87&lt;&gt;"",$AD87&lt;&gt;""),$AD87-$AC87,"")</f>
        <v/>
      </c>
      <c r="AO87" s="53" t="str">
        <f aca="false">IF($J87&lt;&gt;"",$J87,"")</f>
        <v/>
      </c>
      <c r="AQ87" s="52" t="str">
        <f aca="false">IF($A87&lt;&gt;"",$A87,"")</f>
        <v>Apprenant 75</v>
      </c>
      <c r="AR87" s="55" t="str">
        <f aca="false">IF(AND('Choix pédagogiques'!$C$4&lt;&gt;"?",'Choix pédagogiques'!$C$5&lt;&gt;"?",W87&lt;&gt;""),(W87-'Choix pédagogiques'!$C$4)/('Choix pédagogiques'!$C$5-'Choix pédagogiques'!$C$4),"")</f>
        <v/>
      </c>
      <c r="AS87" s="55" t="str">
        <f aca="false">IF(AND('Choix pédagogiques'!$C$4&lt;&gt;"?",'Choix pédagogiques'!$C$5&lt;&gt;"?",X87&lt;&gt;""),(X87-'Choix pédagogiques'!$C$4)/('Choix pédagogiques'!$C$5-'Choix pédagogiques'!$C$4),"")</f>
        <v/>
      </c>
      <c r="AT87" s="55" t="str">
        <f aca="false">IF(AND('Choix pédagogiques'!$C$4&lt;&gt;"?",'Choix pédagogiques'!$C$5&lt;&gt;"?",Y87&lt;&gt;""),(Y87-'Choix pédagogiques'!$C$4)/('Choix pédagogiques'!$C$5-'Choix pédagogiques'!$C$4),"")</f>
        <v/>
      </c>
      <c r="AU87" s="53" t="str">
        <f aca="false">IF($E87&lt;&gt;"",$E87,"")</f>
        <v/>
      </c>
      <c r="AV87" s="52" t="str">
        <f aca="false">IF($F87&lt;&gt;"",$F87,"")</f>
        <v>Apprenant 75 ou 75'</v>
      </c>
      <c r="AW87" s="55" t="str">
        <f aca="false">IF(AND('Choix pédagogiques'!$C$4&lt;&gt;"?",'Choix pédagogiques'!$C$5&lt;&gt;"?",AB87&lt;&gt;""),(AB87-'Choix pédagogiques'!$C$4)/('Choix pédagogiques'!$C$5-'Choix pédagogiques'!$C$4),"")</f>
        <v/>
      </c>
      <c r="AX87" s="55" t="str">
        <f aca="false">IF(AND('Choix pédagogiques'!$C$4&lt;&gt;"?",'Choix pédagogiques'!$C$5&lt;&gt;"?",AC87&lt;&gt;""),(AC87-'Choix pédagogiques'!$C$4)/('Choix pédagogiques'!$C$5-'Choix pédagogiques'!$C$4),"")</f>
        <v/>
      </c>
      <c r="AY87" s="55" t="str">
        <f aca="false">IF(AND('Choix pédagogiques'!$C$4&lt;&gt;"?",'Choix pédagogiques'!$C$5&lt;&gt;"?",AD87&lt;&gt;""),(AD87-'Choix pédagogiques'!$C$4)/('Choix pédagogiques'!$C$5-'Choix pédagogiques'!$C$4),"")</f>
        <v/>
      </c>
      <c r="AZ87" s="53" t="str">
        <f aca="false">IF($J87&lt;&gt;"",$J87,"")</f>
        <v/>
      </c>
      <c r="BA87" s="52" t="str">
        <f aca="false">IF($A87&lt;&gt;"",$A87,"")</f>
        <v>Apprenant 75</v>
      </c>
      <c r="BB87" s="55" t="str">
        <f aca="false">IF(AND($AR87&lt;&gt;"",$AS87&lt;&gt;""),$AS87-$AR87,"")</f>
        <v/>
      </c>
      <c r="BC87" s="55" t="str">
        <f aca="false">IF(AND($AR87&lt;&gt;"",$AT87&lt;&gt;""),$AT87-$AR87,"")</f>
        <v/>
      </c>
      <c r="BD87" s="55" t="str">
        <f aca="false">IF(AND($AS87&lt;&gt;"",$AT87&lt;&gt;""),$AT87-$AS87,"")</f>
        <v/>
      </c>
      <c r="BE87" s="53" t="str">
        <f aca="false">IF($E87&lt;&gt;"",$E87,"")</f>
        <v/>
      </c>
      <c r="BF87" s="52" t="str">
        <f aca="false">IF($F87&lt;&gt;"",$F87,"")</f>
        <v>Apprenant 75 ou 75'</v>
      </c>
      <c r="BG87" s="55" t="str">
        <f aca="false">IF(AND($AW87&lt;&gt;"",$AX87&lt;&gt;""),$AX87-$AW87,"")</f>
        <v/>
      </c>
      <c r="BH87" s="55" t="str">
        <f aca="false">IF(AND($AW87&lt;&gt;"",$AY87&lt;&gt;""),$AY87-$AW87,"")</f>
        <v/>
      </c>
      <c r="BI87" s="55" t="str">
        <f aca="false">IF(AND($AX87&lt;&gt;"",$AY87&lt;&gt;""),$AY87-$AX87,"")</f>
        <v/>
      </c>
      <c r="BJ87" s="53" t="str">
        <f aca="false">IF($J87&lt;&gt;"",$J87,"")</f>
        <v/>
      </c>
      <c r="BL87" s="52"/>
      <c r="BM87" s="52" t="str">
        <f aca="false">IF(OR(COUNT(B87:D1086)=0,AND('Choix pédagogiques'!$C$3&lt;&gt;1,'Choix pédagogiques'!$C$3&lt;&gt;2)),"",IF(AND(OR('Choix pédagogiques'!$C$3=1,'Choix pédagogiques'!$C$3=2),$B87&lt;&gt;"",$C87&lt;&gt;"",$D87&lt;&gt;""),1,0))</f>
        <v/>
      </c>
      <c r="BN87" s="52" t="str">
        <f aca="false">IF(OR(COUNT(G87:I1086)=0,AND('Choix pédagogiques'!$C$3&lt;&gt;1,'Choix pédagogiques'!$C$3&lt;&gt;2)),"",IF(AND(OR('Choix pédagogiques'!$C$3=1,'Choix pédagogiques'!$C$3=2),AND($G87&lt;&gt;"",$H87&lt;&gt;"",$I87&lt;&gt;"")),1,0))</f>
        <v/>
      </c>
      <c r="BO87" s="52" t="str">
        <f aca="false">IF(OR(COUNT(B87:D1086)=0,COUNT(G87:I1086)=0,'Choix pédagogiques'!C$3&lt;&gt;3),"",IF(AND('Choix pédagogiques'!$C$3=3,$B87&lt;&gt;"",$C87&lt;&gt;"",$D87&lt;&gt;"",$G87&lt;&gt;"",$H87&lt;&gt;"",$I87&lt;&gt;""),1,0))</f>
        <v/>
      </c>
      <c r="BR87" s="52" t="n">
        <v>872</v>
      </c>
      <c r="BS87" s="52" t="n">
        <v>1279</v>
      </c>
    </row>
    <row r="88" s="54" customFormat="true" ht="18" hidden="false" customHeight="true" outlineLevel="0" collapsed="false">
      <c r="A88" s="57" t="s">
        <v>107</v>
      </c>
      <c r="B88" s="51"/>
      <c r="C88" s="51"/>
      <c r="D88" s="51"/>
      <c r="E88" s="51"/>
      <c r="F88" s="57" t="s">
        <v>108</v>
      </c>
      <c r="G88" s="51"/>
      <c r="H88" s="51"/>
      <c r="I88" s="51"/>
      <c r="J88" s="51"/>
      <c r="K88" s="52" t="str">
        <f aca="false">IF($A88&lt;&gt;"",$A88,"")</f>
        <v>Apprenant 76</v>
      </c>
      <c r="L88" s="53" t="str">
        <f aca="false">IF(AND($B88&lt;&gt;"",$C88&lt;&gt;""),$C88-$B88,"")</f>
        <v/>
      </c>
      <c r="M88" s="53" t="str">
        <f aca="false">IF(AND($B88&lt;&gt;"",$D88&lt;&gt;""),$D88-$B88,"")</f>
        <v/>
      </c>
      <c r="N88" s="53" t="str">
        <f aca="false">IF(AND($C88&lt;&gt;"",$D88&lt;&gt;""),$D88-$C88,"")</f>
        <v/>
      </c>
      <c r="O88" s="53" t="str">
        <f aca="false">IF($E88&lt;&gt;"",$E88,"")</f>
        <v/>
      </c>
      <c r="P88" s="52" t="str">
        <f aca="false">IF($F88&lt;&gt;"",$F88,"")</f>
        <v>Apprenant 76 ou 76'</v>
      </c>
      <c r="Q88" s="53" t="str">
        <f aca="false">IF(AND($G88&lt;&gt;"",$H88&lt;&gt;""),$H88-$G88,"")</f>
        <v/>
      </c>
      <c r="R88" s="53" t="str">
        <f aca="false">IF(AND($G88&lt;&gt;"",$I88&lt;&gt;""),$I88-$G88,"")</f>
        <v/>
      </c>
      <c r="S88" s="53" t="str">
        <f aca="false">IF(AND($H88&lt;&gt;"",$I88&lt;&gt;""),$I88-$H88,"")</f>
        <v/>
      </c>
      <c r="T88" s="53" t="str">
        <f aca="false">IF($J88&lt;&gt;"",$J88,"")</f>
        <v/>
      </c>
      <c r="V88" s="52" t="str">
        <f aca="false">IF($A88&lt;&gt;"",$A88,"")</f>
        <v>Apprenant 76</v>
      </c>
      <c r="W88" s="53" t="str">
        <f aca="false">IF(AND(OR('Choix pédagogiques'!$C$3=1,'Choix pédagogiques'!$C$3=2),$BM88=1),B88,IF(AND('Choix pédagogiques'!$C$3=3,$BO88=1),B88,""))</f>
        <v/>
      </c>
      <c r="X88" s="53" t="str">
        <f aca="false">IF(AND(OR('Choix pédagogiques'!$C$3=1,'Choix pédagogiques'!$C$3=2),$BM88=1),C88,IF(AND('Choix pédagogiques'!$C$3=3,$BO88=1),C88,""))</f>
        <v/>
      </c>
      <c r="Y88" s="53" t="str">
        <f aca="false">IF(AND(OR('Choix pédagogiques'!$C$3=1,'Choix pédagogiques'!$C$3=2),$BM88=1),D88,IF(AND('Choix pédagogiques'!$C$3=3,$BO88=1),D88,""))</f>
        <v/>
      </c>
      <c r="Z88" s="53" t="str">
        <f aca="false">IF($E88&lt;&gt;"",$E88,"")</f>
        <v/>
      </c>
      <c r="AA88" s="52" t="str">
        <f aca="false">IF($F88&lt;&gt;"",$F88,"")</f>
        <v>Apprenant 76 ou 76'</v>
      </c>
      <c r="AB88" s="53" t="str">
        <f aca="false">IF(AND(OR('Choix pédagogiques'!$C$3=1,'Choix pédagogiques'!$C$3=2),$BN88=1),G88,IF(AND('Choix pédagogiques'!$C$3=3,$BO88=1),G88,""))</f>
        <v/>
      </c>
      <c r="AC88" s="53" t="str">
        <f aca="false">IF(AND(OR('Choix pédagogiques'!$C$3=1,'Choix pédagogiques'!$C$3=2),$BN88=1),H88,IF(AND('Choix pédagogiques'!$C$3=3,$BO88=1),H88,""))</f>
        <v/>
      </c>
      <c r="AD88" s="53" t="str">
        <f aca="false">IF(AND(OR('Choix pédagogiques'!$C$3=1,'Choix pédagogiques'!$C$3=2),$BN88=1),I88,IF(AND('Choix pédagogiques'!$C$3=3,$BO88=1),I88,""))</f>
        <v/>
      </c>
      <c r="AE88" s="53" t="str">
        <f aca="false">IF($J88&lt;&gt;"",$J88,"")</f>
        <v/>
      </c>
      <c r="AF88" s="52" t="str">
        <f aca="false">IF($A88&lt;&gt;"",$A88,"")</f>
        <v>Apprenant 76</v>
      </c>
      <c r="AG88" s="53" t="str">
        <f aca="false">IF(AND($W88&lt;&gt;"",$X88&lt;&gt;""),$X88-$W88,"")</f>
        <v/>
      </c>
      <c r="AH88" s="53" t="str">
        <f aca="false">IF(AND($W88&lt;&gt;"",$Y88&lt;&gt;""),$Y88-$W88,"")</f>
        <v/>
      </c>
      <c r="AI88" s="53" t="str">
        <f aca="false">IF(AND($X88&lt;&gt;"",$Y88&lt;&gt;""),$Y88-$X88,"")</f>
        <v/>
      </c>
      <c r="AJ88" s="53" t="str">
        <f aca="false">IF($E88&lt;&gt;"",$E88,"")</f>
        <v/>
      </c>
      <c r="AK88" s="52" t="str">
        <f aca="false">IF($F88&lt;&gt;"",$F88,"")</f>
        <v>Apprenant 76 ou 76'</v>
      </c>
      <c r="AL88" s="53" t="str">
        <f aca="false">IF(AND($AB88&lt;&gt;"",$AC88&lt;&gt;""),$AC88-$AB88,"")</f>
        <v/>
      </c>
      <c r="AM88" s="53" t="str">
        <f aca="false">IF(AND($AB88&lt;&gt;"",$AD88&lt;&gt;""),$AD88-$AB88,"")</f>
        <v/>
      </c>
      <c r="AN88" s="53" t="str">
        <f aca="false">IF(AND($AC88&lt;&gt;"",$AD88&lt;&gt;""),$AD88-$AC88,"")</f>
        <v/>
      </c>
      <c r="AO88" s="53" t="str">
        <f aca="false">IF($J88&lt;&gt;"",$J88,"")</f>
        <v/>
      </c>
      <c r="AQ88" s="52" t="str">
        <f aca="false">IF($A88&lt;&gt;"",$A88,"")</f>
        <v>Apprenant 76</v>
      </c>
      <c r="AR88" s="55" t="str">
        <f aca="false">IF(AND('Choix pédagogiques'!$C$4&lt;&gt;"?",'Choix pédagogiques'!$C$5&lt;&gt;"?",W88&lt;&gt;""),(W88-'Choix pédagogiques'!$C$4)/('Choix pédagogiques'!$C$5-'Choix pédagogiques'!$C$4),"")</f>
        <v/>
      </c>
      <c r="AS88" s="55" t="str">
        <f aca="false">IF(AND('Choix pédagogiques'!$C$4&lt;&gt;"?",'Choix pédagogiques'!$C$5&lt;&gt;"?",X88&lt;&gt;""),(X88-'Choix pédagogiques'!$C$4)/('Choix pédagogiques'!$C$5-'Choix pédagogiques'!$C$4),"")</f>
        <v/>
      </c>
      <c r="AT88" s="55" t="str">
        <f aca="false">IF(AND('Choix pédagogiques'!$C$4&lt;&gt;"?",'Choix pédagogiques'!$C$5&lt;&gt;"?",Y88&lt;&gt;""),(Y88-'Choix pédagogiques'!$C$4)/('Choix pédagogiques'!$C$5-'Choix pédagogiques'!$C$4),"")</f>
        <v/>
      </c>
      <c r="AU88" s="53" t="str">
        <f aca="false">IF($E88&lt;&gt;"",$E88,"")</f>
        <v/>
      </c>
      <c r="AV88" s="52" t="str">
        <f aca="false">IF($F88&lt;&gt;"",$F88,"")</f>
        <v>Apprenant 76 ou 76'</v>
      </c>
      <c r="AW88" s="55" t="str">
        <f aca="false">IF(AND('Choix pédagogiques'!$C$4&lt;&gt;"?",'Choix pédagogiques'!$C$5&lt;&gt;"?",AB88&lt;&gt;""),(AB88-'Choix pédagogiques'!$C$4)/('Choix pédagogiques'!$C$5-'Choix pédagogiques'!$C$4),"")</f>
        <v/>
      </c>
      <c r="AX88" s="55" t="str">
        <f aca="false">IF(AND('Choix pédagogiques'!$C$4&lt;&gt;"?",'Choix pédagogiques'!$C$5&lt;&gt;"?",AC88&lt;&gt;""),(AC88-'Choix pédagogiques'!$C$4)/('Choix pédagogiques'!$C$5-'Choix pédagogiques'!$C$4),"")</f>
        <v/>
      </c>
      <c r="AY88" s="55" t="str">
        <f aca="false">IF(AND('Choix pédagogiques'!$C$4&lt;&gt;"?",'Choix pédagogiques'!$C$5&lt;&gt;"?",AD88&lt;&gt;""),(AD88-'Choix pédagogiques'!$C$4)/('Choix pédagogiques'!$C$5-'Choix pédagogiques'!$C$4),"")</f>
        <v/>
      </c>
      <c r="AZ88" s="53" t="str">
        <f aca="false">IF($J88&lt;&gt;"",$J88,"")</f>
        <v/>
      </c>
      <c r="BA88" s="52" t="str">
        <f aca="false">IF($A88&lt;&gt;"",$A88,"")</f>
        <v>Apprenant 76</v>
      </c>
      <c r="BB88" s="55" t="str">
        <f aca="false">IF(AND($AR88&lt;&gt;"",$AS88&lt;&gt;""),$AS88-$AR88,"")</f>
        <v/>
      </c>
      <c r="BC88" s="55" t="str">
        <f aca="false">IF(AND($AR88&lt;&gt;"",$AT88&lt;&gt;""),$AT88-$AR88,"")</f>
        <v/>
      </c>
      <c r="BD88" s="55" t="str">
        <f aca="false">IF(AND($AS88&lt;&gt;"",$AT88&lt;&gt;""),$AT88-$AS88,"")</f>
        <v/>
      </c>
      <c r="BE88" s="53" t="str">
        <f aca="false">IF($E88&lt;&gt;"",$E88,"")</f>
        <v/>
      </c>
      <c r="BF88" s="52" t="str">
        <f aca="false">IF($F88&lt;&gt;"",$F88,"")</f>
        <v>Apprenant 76 ou 76'</v>
      </c>
      <c r="BG88" s="55" t="str">
        <f aca="false">IF(AND($AW88&lt;&gt;"",$AX88&lt;&gt;""),$AX88-$AW88,"")</f>
        <v/>
      </c>
      <c r="BH88" s="55" t="str">
        <f aca="false">IF(AND($AW88&lt;&gt;"",$AY88&lt;&gt;""),$AY88-$AW88,"")</f>
        <v/>
      </c>
      <c r="BI88" s="55" t="str">
        <f aca="false">IF(AND($AX88&lt;&gt;"",$AY88&lt;&gt;""),$AY88-$AX88,"")</f>
        <v/>
      </c>
      <c r="BJ88" s="53" t="str">
        <f aca="false">IF($J88&lt;&gt;"",$J88,"")</f>
        <v/>
      </c>
      <c r="BL88" s="52"/>
      <c r="BM88" s="52" t="str">
        <f aca="false">IF(OR(COUNT(B88:D1087)=0,AND('Choix pédagogiques'!$C$3&lt;&gt;1,'Choix pédagogiques'!$C$3&lt;&gt;2)),"",IF(AND(OR('Choix pédagogiques'!$C$3=1,'Choix pédagogiques'!$C$3=2),$B88&lt;&gt;"",$C88&lt;&gt;"",$D88&lt;&gt;""),1,0))</f>
        <v/>
      </c>
      <c r="BN88" s="52" t="str">
        <f aca="false">IF(OR(COUNT(G88:I1087)=0,AND('Choix pédagogiques'!$C$3&lt;&gt;1,'Choix pédagogiques'!$C$3&lt;&gt;2)),"",IF(AND(OR('Choix pédagogiques'!$C$3=1,'Choix pédagogiques'!$C$3=2),AND($G88&lt;&gt;"",$H88&lt;&gt;"",$I88&lt;&gt;"")),1,0))</f>
        <v/>
      </c>
      <c r="BO88" s="52" t="str">
        <f aca="false">IF(OR(COUNT(B88:D1087)=0,COUNT(G88:I1087)=0,'Choix pédagogiques'!C$3&lt;&gt;3),"",IF(AND('Choix pédagogiques'!$C$3=3,$B88&lt;&gt;"",$C88&lt;&gt;"",$D88&lt;&gt;"",$G88&lt;&gt;"",$H88&lt;&gt;"",$I88&lt;&gt;""),1,0))</f>
        <v/>
      </c>
      <c r="BR88" s="52" t="n">
        <v>222</v>
      </c>
      <c r="BS88" s="52" t="n">
        <v>1677</v>
      </c>
    </row>
    <row r="89" s="54" customFormat="true" ht="18" hidden="false" customHeight="true" outlineLevel="0" collapsed="false">
      <c r="A89" s="57" t="s">
        <v>109</v>
      </c>
      <c r="B89" s="51"/>
      <c r="C89" s="51"/>
      <c r="D89" s="51"/>
      <c r="E89" s="51"/>
      <c r="F89" s="57" t="s">
        <v>110</v>
      </c>
      <c r="G89" s="51"/>
      <c r="H89" s="51"/>
      <c r="I89" s="51"/>
      <c r="J89" s="51"/>
      <c r="K89" s="52" t="str">
        <f aca="false">IF($A89&lt;&gt;"",$A89,"")</f>
        <v>Apprenant 77</v>
      </c>
      <c r="L89" s="53" t="str">
        <f aca="false">IF(AND($B89&lt;&gt;"",$C89&lt;&gt;""),$C89-$B89,"")</f>
        <v/>
      </c>
      <c r="M89" s="53" t="str">
        <f aca="false">IF(AND($B89&lt;&gt;"",$D89&lt;&gt;""),$D89-$B89,"")</f>
        <v/>
      </c>
      <c r="N89" s="53" t="str">
        <f aca="false">IF(AND($C89&lt;&gt;"",$D89&lt;&gt;""),$D89-$C89,"")</f>
        <v/>
      </c>
      <c r="O89" s="53" t="str">
        <f aca="false">IF($E89&lt;&gt;"",$E89,"")</f>
        <v/>
      </c>
      <c r="P89" s="52" t="str">
        <f aca="false">IF($F89&lt;&gt;"",$F89,"")</f>
        <v>Apprenant 77 ou 77'</v>
      </c>
      <c r="Q89" s="53" t="str">
        <f aca="false">IF(AND($G89&lt;&gt;"",$H89&lt;&gt;""),$H89-$G89,"")</f>
        <v/>
      </c>
      <c r="R89" s="53" t="str">
        <f aca="false">IF(AND($G89&lt;&gt;"",$I89&lt;&gt;""),$I89-$G89,"")</f>
        <v/>
      </c>
      <c r="S89" s="53" t="str">
        <f aca="false">IF(AND($H89&lt;&gt;"",$I89&lt;&gt;""),$I89-$H89,"")</f>
        <v/>
      </c>
      <c r="T89" s="53" t="str">
        <f aca="false">IF($J89&lt;&gt;"",$J89,"")</f>
        <v/>
      </c>
      <c r="V89" s="52" t="str">
        <f aca="false">IF($A89&lt;&gt;"",$A89,"")</f>
        <v>Apprenant 77</v>
      </c>
      <c r="W89" s="53" t="str">
        <f aca="false">IF(AND(OR('Choix pédagogiques'!$C$3=1,'Choix pédagogiques'!$C$3=2),$BM89=1),B89,IF(AND('Choix pédagogiques'!$C$3=3,$BO89=1),B89,""))</f>
        <v/>
      </c>
      <c r="X89" s="53" t="str">
        <f aca="false">IF(AND(OR('Choix pédagogiques'!$C$3=1,'Choix pédagogiques'!$C$3=2),$BM89=1),C89,IF(AND('Choix pédagogiques'!$C$3=3,$BO89=1),C89,""))</f>
        <v/>
      </c>
      <c r="Y89" s="53" t="str">
        <f aca="false">IF(AND(OR('Choix pédagogiques'!$C$3=1,'Choix pédagogiques'!$C$3=2),$BM89=1),D89,IF(AND('Choix pédagogiques'!$C$3=3,$BO89=1),D89,""))</f>
        <v/>
      </c>
      <c r="Z89" s="53" t="str">
        <f aca="false">IF($E89&lt;&gt;"",$E89,"")</f>
        <v/>
      </c>
      <c r="AA89" s="52" t="str">
        <f aca="false">IF($F89&lt;&gt;"",$F89,"")</f>
        <v>Apprenant 77 ou 77'</v>
      </c>
      <c r="AB89" s="53" t="str">
        <f aca="false">IF(AND(OR('Choix pédagogiques'!$C$3=1,'Choix pédagogiques'!$C$3=2),$BN89=1),G89,IF(AND('Choix pédagogiques'!$C$3=3,$BO89=1),G89,""))</f>
        <v/>
      </c>
      <c r="AC89" s="53" t="str">
        <f aca="false">IF(AND(OR('Choix pédagogiques'!$C$3=1,'Choix pédagogiques'!$C$3=2),$BN89=1),H89,IF(AND('Choix pédagogiques'!$C$3=3,$BO89=1),H89,""))</f>
        <v/>
      </c>
      <c r="AD89" s="53" t="str">
        <f aca="false">IF(AND(OR('Choix pédagogiques'!$C$3=1,'Choix pédagogiques'!$C$3=2),$BN89=1),I89,IF(AND('Choix pédagogiques'!$C$3=3,$BO89=1),I89,""))</f>
        <v/>
      </c>
      <c r="AE89" s="53" t="str">
        <f aca="false">IF($J89&lt;&gt;"",$J89,"")</f>
        <v/>
      </c>
      <c r="AF89" s="52" t="str">
        <f aca="false">IF($A89&lt;&gt;"",$A89,"")</f>
        <v>Apprenant 77</v>
      </c>
      <c r="AG89" s="53" t="str">
        <f aca="false">IF(AND($W89&lt;&gt;"",$X89&lt;&gt;""),$X89-$W89,"")</f>
        <v/>
      </c>
      <c r="AH89" s="53" t="str">
        <f aca="false">IF(AND($W89&lt;&gt;"",$Y89&lt;&gt;""),$Y89-$W89,"")</f>
        <v/>
      </c>
      <c r="AI89" s="53" t="str">
        <f aca="false">IF(AND($X89&lt;&gt;"",$Y89&lt;&gt;""),$Y89-$X89,"")</f>
        <v/>
      </c>
      <c r="AJ89" s="53" t="str">
        <f aca="false">IF($E89&lt;&gt;"",$E89,"")</f>
        <v/>
      </c>
      <c r="AK89" s="52" t="str">
        <f aca="false">IF($F89&lt;&gt;"",$F89,"")</f>
        <v>Apprenant 77 ou 77'</v>
      </c>
      <c r="AL89" s="53" t="str">
        <f aca="false">IF(AND($AB89&lt;&gt;"",$AC89&lt;&gt;""),$AC89-$AB89,"")</f>
        <v/>
      </c>
      <c r="AM89" s="53" t="str">
        <f aca="false">IF(AND($AB89&lt;&gt;"",$AD89&lt;&gt;""),$AD89-$AB89,"")</f>
        <v/>
      </c>
      <c r="AN89" s="53" t="str">
        <f aca="false">IF(AND($AC89&lt;&gt;"",$AD89&lt;&gt;""),$AD89-$AC89,"")</f>
        <v/>
      </c>
      <c r="AO89" s="53" t="str">
        <f aca="false">IF($J89&lt;&gt;"",$J89,"")</f>
        <v/>
      </c>
      <c r="AQ89" s="52" t="str">
        <f aca="false">IF($A89&lt;&gt;"",$A89,"")</f>
        <v>Apprenant 77</v>
      </c>
      <c r="AR89" s="55" t="str">
        <f aca="false">IF(AND('Choix pédagogiques'!$C$4&lt;&gt;"?",'Choix pédagogiques'!$C$5&lt;&gt;"?",W89&lt;&gt;""),(W89-'Choix pédagogiques'!$C$4)/('Choix pédagogiques'!$C$5-'Choix pédagogiques'!$C$4),"")</f>
        <v/>
      </c>
      <c r="AS89" s="55" t="str">
        <f aca="false">IF(AND('Choix pédagogiques'!$C$4&lt;&gt;"?",'Choix pédagogiques'!$C$5&lt;&gt;"?",X89&lt;&gt;""),(X89-'Choix pédagogiques'!$C$4)/('Choix pédagogiques'!$C$5-'Choix pédagogiques'!$C$4),"")</f>
        <v/>
      </c>
      <c r="AT89" s="55" t="str">
        <f aca="false">IF(AND('Choix pédagogiques'!$C$4&lt;&gt;"?",'Choix pédagogiques'!$C$5&lt;&gt;"?",Y89&lt;&gt;""),(Y89-'Choix pédagogiques'!$C$4)/('Choix pédagogiques'!$C$5-'Choix pédagogiques'!$C$4),"")</f>
        <v/>
      </c>
      <c r="AU89" s="53" t="str">
        <f aca="false">IF($E89&lt;&gt;"",$E89,"")</f>
        <v/>
      </c>
      <c r="AV89" s="52" t="str">
        <f aca="false">IF($F89&lt;&gt;"",$F89,"")</f>
        <v>Apprenant 77 ou 77'</v>
      </c>
      <c r="AW89" s="55" t="str">
        <f aca="false">IF(AND('Choix pédagogiques'!$C$4&lt;&gt;"?",'Choix pédagogiques'!$C$5&lt;&gt;"?",AB89&lt;&gt;""),(AB89-'Choix pédagogiques'!$C$4)/('Choix pédagogiques'!$C$5-'Choix pédagogiques'!$C$4),"")</f>
        <v/>
      </c>
      <c r="AX89" s="55" t="str">
        <f aca="false">IF(AND('Choix pédagogiques'!$C$4&lt;&gt;"?",'Choix pédagogiques'!$C$5&lt;&gt;"?",AC89&lt;&gt;""),(AC89-'Choix pédagogiques'!$C$4)/('Choix pédagogiques'!$C$5-'Choix pédagogiques'!$C$4),"")</f>
        <v/>
      </c>
      <c r="AY89" s="55" t="str">
        <f aca="false">IF(AND('Choix pédagogiques'!$C$4&lt;&gt;"?",'Choix pédagogiques'!$C$5&lt;&gt;"?",AD89&lt;&gt;""),(AD89-'Choix pédagogiques'!$C$4)/('Choix pédagogiques'!$C$5-'Choix pédagogiques'!$C$4),"")</f>
        <v/>
      </c>
      <c r="AZ89" s="53" t="str">
        <f aca="false">IF($J89&lt;&gt;"",$J89,"")</f>
        <v/>
      </c>
      <c r="BA89" s="52" t="str">
        <f aca="false">IF($A89&lt;&gt;"",$A89,"")</f>
        <v>Apprenant 77</v>
      </c>
      <c r="BB89" s="55" t="str">
        <f aca="false">IF(AND($AR89&lt;&gt;"",$AS89&lt;&gt;""),$AS89-$AR89,"")</f>
        <v/>
      </c>
      <c r="BC89" s="55" t="str">
        <f aca="false">IF(AND($AR89&lt;&gt;"",$AT89&lt;&gt;""),$AT89-$AR89,"")</f>
        <v/>
      </c>
      <c r="BD89" s="55" t="str">
        <f aca="false">IF(AND($AS89&lt;&gt;"",$AT89&lt;&gt;""),$AT89-$AS89,"")</f>
        <v/>
      </c>
      <c r="BE89" s="53" t="str">
        <f aca="false">IF($E89&lt;&gt;"",$E89,"")</f>
        <v/>
      </c>
      <c r="BF89" s="52" t="str">
        <f aca="false">IF($F89&lt;&gt;"",$F89,"")</f>
        <v>Apprenant 77 ou 77'</v>
      </c>
      <c r="BG89" s="55" t="str">
        <f aca="false">IF(AND($AW89&lt;&gt;"",$AX89&lt;&gt;""),$AX89-$AW89,"")</f>
        <v/>
      </c>
      <c r="BH89" s="55" t="str">
        <f aca="false">IF(AND($AW89&lt;&gt;"",$AY89&lt;&gt;""),$AY89-$AW89,"")</f>
        <v/>
      </c>
      <c r="BI89" s="55" t="str">
        <f aca="false">IF(AND($AX89&lt;&gt;"",$AY89&lt;&gt;""),$AY89-$AX89,"")</f>
        <v/>
      </c>
      <c r="BJ89" s="53" t="str">
        <f aca="false">IF($J89&lt;&gt;"",$J89,"")</f>
        <v/>
      </c>
      <c r="BL89" s="52"/>
      <c r="BM89" s="52" t="str">
        <f aca="false">IF(OR(COUNT(B89:D1088)=0,AND('Choix pédagogiques'!$C$3&lt;&gt;1,'Choix pédagogiques'!$C$3&lt;&gt;2)),"",IF(AND(OR('Choix pédagogiques'!$C$3=1,'Choix pédagogiques'!$C$3=2),$B89&lt;&gt;"",$C89&lt;&gt;"",$D89&lt;&gt;""),1,0))</f>
        <v/>
      </c>
      <c r="BN89" s="52" t="str">
        <f aca="false">IF(OR(COUNT(G89:I1088)=0,AND('Choix pédagogiques'!$C$3&lt;&gt;1,'Choix pédagogiques'!$C$3&lt;&gt;2)),"",IF(AND(OR('Choix pédagogiques'!$C$3=1,'Choix pédagogiques'!$C$3=2),AND($G89&lt;&gt;"",$H89&lt;&gt;"",$I89&lt;&gt;"")),1,0))</f>
        <v/>
      </c>
      <c r="BO89" s="52" t="str">
        <f aca="false">IF(OR(COUNT(B89:D1088)=0,COUNT(G89:I1088)=0,'Choix pédagogiques'!C$3&lt;&gt;3),"",IF(AND('Choix pédagogiques'!$C$3=3,$B89&lt;&gt;"",$C89&lt;&gt;"",$D89&lt;&gt;"",$G89&lt;&gt;"",$H89&lt;&gt;"",$I89&lt;&gt;""),1,0))</f>
        <v/>
      </c>
      <c r="BR89" s="52" t="n">
        <v>97</v>
      </c>
      <c r="BS89" s="52" t="n">
        <v>1105</v>
      </c>
    </row>
    <row r="90" s="54" customFormat="true" ht="18" hidden="false" customHeight="true" outlineLevel="0" collapsed="false">
      <c r="A90" s="57" t="s">
        <v>111</v>
      </c>
      <c r="B90" s="51"/>
      <c r="C90" s="51"/>
      <c r="D90" s="51"/>
      <c r="E90" s="51"/>
      <c r="F90" s="57" t="s">
        <v>112</v>
      </c>
      <c r="G90" s="51"/>
      <c r="H90" s="51"/>
      <c r="I90" s="51"/>
      <c r="J90" s="51"/>
      <c r="K90" s="52" t="str">
        <f aca="false">IF($A90&lt;&gt;"",$A90,"")</f>
        <v>Apprenant 78</v>
      </c>
      <c r="L90" s="53" t="str">
        <f aca="false">IF(AND($B90&lt;&gt;"",$C90&lt;&gt;""),$C90-$B90,"")</f>
        <v/>
      </c>
      <c r="M90" s="53" t="str">
        <f aca="false">IF(AND($B90&lt;&gt;"",$D90&lt;&gt;""),$D90-$B90,"")</f>
        <v/>
      </c>
      <c r="N90" s="53" t="str">
        <f aca="false">IF(AND($C90&lt;&gt;"",$D90&lt;&gt;""),$D90-$C90,"")</f>
        <v/>
      </c>
      <c r="O90" s="53" t="str">
        <f aca="false">IF($E90&lt;&gt;"",$E90,"")</f>
        <v/>
      </c>
      <c r="P90" s="52" t="str">
        <f aca="false">IF($F90&lt;&gt;"",$F90,"")</f>
        <v>Apprenant 78 ou 78'</v>
      </c>
      <c r="Q90" s="53" t="str">
        <f aca="false">IF(AND($G90&lt;&gt;"",$H90&lt;&gt;""),$H90-$G90,"")</f>
        <v/>
      </c>
      <c r="R90" s="53" t="str">
        <f aca="false">IF(AND($G90&lt;&gt;"",$I90&lt;&gt;""),$I90-$G90,"")</f>
        <v/>
      </c>
      <c r="S90" s="53" t="str">
        <f aca="false">IF(AND($H90&lt;&gt;"",$I90&lt;&gt;""),$I90-$H90,"")</f>
        <v/>
      </c>
      <c r="T90" s="53" t="str">
        <f aca="false">IF($J90&lt;&gt;"",$J90,"")</f>
        <v/>
      </c>
      <c r="V90" s="52" t="str">
        <f aca="false">IF($A90&lt;&gt;"",$A90,"")</f>
        <v>Apprenant 78</v>
      </c>
      <c r="W90" s="53" t="str">
        <f aca="false">IF(AND(OR('Choix pédagogiques'!$C$3=1,'Choix pédagogiques'!$C$3=2),$BM90=1),B90,IF(AND('Choix pédagogiques'!$C$3=3,$BO90=1),B90,""))</f>
        <v/>
      </c>
      <c r="X90" s="53" t="str">
        <f aca="false">IF(AND(OR('Choix pédagogiques'!$C$3=1,'Choix pédagogiques'!$C$3=2),$BM90=1),C90,IF(AND('Choix pédagogiques'!$C$3=3,$BO90=1),C90,""))</f>
        <v/>
      </c>
      <c r="Y90" s="53" t="str">
        <f aca="false">IF(AND(OR('Choix pédagogiques'!$C$3=1,'Choix pédagogiques'!$C$3=2),$BM90=1),D90,IF(AND('Choix pédagogiques'!$C$3=3,$BO90=1),D90,""))</f>
        <v/>
      </c>
      <c r="Z90" s="53" t="str">
        <f aca="false">IF($E90&lt;&gt;"",$E90,"")</f>
        <v/>
      </c>
      <c r="AA90" s="52" t="str">
        <f aca="false">IF($F90&lt;&gt;"",$F90,"")</f>
        <v>Apprenant 78 ou 78'</v>
      </c>
      <c r="AB90" s="53" t="str">
        <f aca="false">IF(AND(OR('Choix pédagogiques'!$C$3=1,'Choix pédagogiques'!$C$3=2),$BN90=1),G90,IF(AND('Choix pédagogiques'!$C$3=3,$BO90=1),G90,""))</f>
        <v/>
      </c>
      <c r="AC90" s="53" t="str">
        <f aca="false">IF(AND(OR('Choix pédagogiques'!$C$3=1,'Choix pédagogiques'!$C$3=2),$BN90=1),H90,IF(AND('Choix pédagogiques'!$C$3=3,$BO90=1),H90,""))</f>
        <v/>
      </c>
      <c r="AD90" s="53" t="str">
        <f aca="false">IF(AND(OR('Choix pédagogiques'!$C$3=1,'Choix pédagogiques'!$C$3=2),$BN90=1),I90,IF(AND('Choix pédagogiques'!$C$3=3,$BO90=1),I90,""))</f>
        <v/>
      </c>
      <c r="AE90" s="53" t="str">
        <f aca="false">IF($J90&lt;&gt;"",$J90,"")</f>
        <v/>
      </c>
      <c r="AF90" s="52" t="str">
        <f aca="false">IF($A90&lt;&gt;"",$A90,"")</f>
        <v>Apprenant 78</v>
      </c>
      <c r="AG90" s="53" t="str">
        <f aca="false">IF(AND($W90&lt;&gt;"",$X90&lt;&gt;""),$X90-$W90,"")</f>
        <v/>
      </c>
      <c r="AH90" s="53" t="str">
        <f aca="false">IF(AND($W90&lt;&gt;"",$Y90&lt;&gt;""),$Y90-$W90,"")</f>
        <v/>
      </c>
      <c r="AI90" s="53" t="str">
        <f aca="false">IF(AND($X90&lt;&gt;"",$Y90&lt;&gt;""),$Y90-$X90,"")</f>
        <v/>
      </c>
      <c r="AJ90" s="53" t="str">
        <f aca="false">IF($E90&lt;&gt;"",$E90,"")</f>
        <v/>
      </c>
      <c r="AK90" s="52" t="str">
        <f aca="false">IF($F90&lt;&gt;"",$F90,"")</f>
        <v>Apprenant 78 ou 78'</v>
      </c>
      <c r="AL90" s="53" t="str">
        <f aca="false">IF(AND($AB90&lt;&gt;"",$AC90&lt;&gt;""),$AC90-$AB90,"")</f>
        <v/>
      </c>
      <c r="AM90" s="53" t="str">
        <f aca="false">IF(AND($AB90&lt;&gt;"",$AD90&lt;&gt;""),$AD90-$AB90,"")</f>
        <v/>
      </c>
      <c r="AN90" s="53" t="str">
        <f aca="false">IF(AND($AC90&lt;&gt;"",$AD90&lt;&gt;""),$AD90-$AC90,"")</f>
        <v/>
      </c>
      <c r="AO90" s="53" t="str">
        <f aca="false">IF($J90&lt;&gt;"",$J90,"")</f>
        <v/>
      </c>
      <c r="AQ90" s="52" t="str">
        <f aca="false">IF($A90&lt;&gt;"",$A90,"")</f>
        <v>Apprenant 78</v>
      </c>
      <c r="AR90" s="55" t="str">
        <f aca="false">IF(AND('Choix pédagogiques'!$C$4&lt;&gt;"?",'Choix pédagogiques'!$C$5&lt;&gt;"?",W90&lt;&gt;""),(W90-'Choix pédagogiques'!$C$4)/('Choix pédagogiques'!$C$5-'Choix pédagogiques'!$C$4),"")</f>
        <v/>
      </c>
      <c r="AS90" s="55" t="str">
        <f aca="false">IF(AND('Choix pédagogiques'!$C$4&lt;&gt;"?",'Choix pédagogiques'!$C$5&lt;&gt;"?",X90&lt;&gt;""),(X90-'Choix pédagogiques'!$C$4)/('Choix pédagogiques'!$C$5-'Choix pédagogiques'!$C$4),"")</f>
        <v/>
      </c>
      <c r="AT90" s="55" t="str">
        <f aca="false">IF(AND('Choix pédagogiques'!$C$4&lt;&gt;"?",'Choix pédagogiques'!$C$5&lt;&gt;"?",Y90&lt;&gt;""),(Y90-'Choix pédagogiques'!$C$4)/('Choix pédagogiques'!$C$5-'Choix pédagogiques'!$C$4),"")</f>
        <v/>
      </c>
      <c r="AU90" s="53" t="str">
        <f aca="false">IF($E90&lt;&gt;"",$E90,"")</f>
        <v/>
      </c>
      <c r="AV90" s="52" t="str">
        <f aca="false">IF($F90&lt;&gt;"",$F90,"")</f>
        <v>Apprenant 78 ou 78'</v>
      </c>
      <c r="AW90" s="55" t="str">
        <f aca="false">IF(AND('Choix pédagogiques'!$C$4&lt;&gt;"?",'Choix pédagogiques'!$C$5&lt;&gt;"?",AB90&lt;&gt;""),(AB90-'Choix pédagogiques'!$C$4)/('Choix pédagogiques'!$C$5-'Choix pédagogiques'!$C$4),"")</f>
        <v/>
      </c>
      <c r="AX90" s="55" t="str">
        <f aca="false">IF(AND('Choix pédagogiques'!$C$4&lt;&gt;"?",'Choix pédagogiques'!$C$5&lt;&gt;"?",AC90&lt;&gt;""),(AC90-'Choix pédagogiques'!$C$4)/('Choix pédagogiques'!$C$5-'Choix pédagogiques'!$C$4),"")</f>
        <v/>
      </c>
      <c r="AY90" s="55" t="str">
        <f aca="false">IF(AND('Choix pédagogiques'!$C$4&lt;&gt;"?",'Choix pédagogiques'!$C$5&lt;&gt;"?",AD90&lt;&gt;""),(AD90-'Choix pédagogiques'!$C$4)/('Choix pédagogiques'!$C$5-'Choix pédagogiques'!$C$4),"")</f>
        <v/>
      </c>
      <c r="AZ90" s="53" t="str">
        <f aca="false">IF($J90&lt;&gt;"",$J90,"")</f>
        <v/>
      </c>
      <c r="BA90" s="52" t="str">
        <f aca="false">IF($A90&lt;&gt;"",$A90,"")</f>
        <v>Apprenant 78</v>
      </c>
      <c r="BB90" s="55" t="str">
        <f aca="false">IF(AND($AR90&lt;&gt;"",$AS90&lt;&gt;""),$AS90-$AR90,"")</f>
        <v/>
      </c>
      <c r="BC90" s="55" t="str">
        <f aca="false">IF(AND($AR90&lt;&gt;"",$AT90&lt;&gt;""),$AT90-$AR90,"")</f>
        <v/>
      </c>
      <c r="BD90" s="55" t="str">
        <f aca="false">IF(AND($AS90&lt;&gt;"",$AT90&lt;&gt;""),$AT90-$AS90,"")</f>
        <v/>
      </c>
      <c r="BE90" s="53" t="str">
        <f aca="false">IF($E90&lt;&gt;"",$E90,"")</f>
        <v/>
      </c>
      <c r="BF90" s="52" t="str">
        <f aca="false">IF($F90&lt;&gt;"",$F90,"")</f>
        <v>Apprenant 78 ou 78'</v>
      </c>
      <c r="BG90" s="55" t="str">
        <f aca="false">IF(AND($AW90&lt;&gt;"",$AX90&lt;&gt;""),$AX90-$AW90,"")</f>
        <v/>
      </c>
      <c r="BH90" s="55" t="str">
        <f aca="false">IF(AND($AW90&lt;&gt;"",$AY90&lt;&gt;""),$AY90-$AW90,"")</f>
        <v/>
      </c>
      <c r="BI90" s="55" t="str">
        <f aca="false">IF(AND($AX90&lt;&gt;"",$AY90&lt;&gt;""),$AY90-$AX90,"")</f>
        <v/>
      </c>
      <c r="BJ90" s="53" t="str">
        <f aca="false">IF($J90&lt;&gt;"",$J90,"")</f>
        <v/>
      </c>
      <c r="BL90" s="52"/>
      <c r="BM90" s="52" t="str">
        <f aca="false">IF(OR(COUNT(B90:D1089)=0,AND('Choix pédagogiques'!$C$3&lt;&gt;1,'Choix pédagogiques'!$C$3&lt;&gt;2)),"",IF(AND(OR('Choix pédagogiques'!$C$3=1,'Choix pédagogiques'!$C$3=2),$B90&lt;&gt;"",$C90&lt;&gt;"",$D90&lt;&gt;""),1,0))</f>
        <v/>
      </c>
      <c r="BN90" s="52" t="str">
        <f aca="false">IF(OR(COUNT(G90:I1089)=0,AND('Choix pédagogiques'!$C$3&lt;&gt;1,'Choix pédagogiques'!$C$3&lt;&gt;2)),"",IF(AND(OR('Choix pédagogiques'!$C$3=1,'Choix pédagogiques'!$C$3=2),AND($G90&lt;&gt;"",$H90&lt;&gt;"",$I90&lt;&gt;"")),1,0))</f>
        <v/>
      </c>
      <c r="BO90" s="52" t="str">
        <f aca="false">IF(OR(COUNT(B90:D1089)=0,COUNT(G90:I1089)=0,'Choix pédagogiques'!C$3&lt;&gt;3),"",IF(AND('Choix pédagogiques'!$C$3=3,$B90&lt;&gt;"",$C90&lt;&gt;"",$D90&lt;&gt;"",$G90&lt;&gt;"",$H90&lt;&gt;"",$I90&lt;&gt;""),1,0))</f>
        <v/>
      </c>
      <c r="BR90" s="52" t="n">
        <v>157</v>
      </c>
      <c r="BS90" s="52" t="n">
        <v>1881</v>
      </c>
    </row>
    <row r="91" s="54" customFormat="true" ht="18" hidden="false" customHeight="true" outlineLevel="0" collapsed="false">
      <c r="A91" s="57" t="s">
        <v>113</v>
      </c>
      <c r="B91" s="51"/>
      <c r="C91" s="51"/>
      <c r="D91" s="51"/>
      <c r="E91" s="51"/>
      <c r="F91" s="57" t="s">
        <v>114</v>
      </c>
      <c r="G91" s="51"/>
      <c r="H91" s="51"/>
      <c r="I91" s="51"/>
      <c r="J91" s="51"/>
      <c r="K91" s="52" t="str">
        <f aca="false">IF($A91&lt;&gt;"",$A91,"")</f>
        <v>Apprenant 79</v>
      </c>
      <c r="L91" s="53" t="str">
        <f aca="false">IF(AND($B91&lt;&gt;"",$C91&lt;&gt;""),$C91-$B91,"")</f>
        <v/>
      </c>
      <c r="M91" s="53" t="str">
        <f aca="false">IF(AND($B91&lt;&gt;"",$D91&lt;&gt;""),$D91-$B91,"")</f>
        <v/>
      </c>
      <c r="N91" s="53" t="str">
        <f aca="false">IF(AND($C91&lt;&gt;"",$D91&lt;&gt;""),$D91-$C91,"")</f>
        <v/>
      </c>
      <c r="O91" s="53" t="str">
        <f aca="false">IF($E91&lt;&gt;"",$E91,"")</f>
        <v/>
      </c>
      <c r="P91" s="52" t="str">
        <f aca="false">IF($F91&lt;&gt;"",$F91,"")</f>
        <v>Apprenant 79 ou 79'</v>
      </c>
      <c r="Q91" s="53" t="str">
        <f aca="false">IF(AND($G91&lt;&gt;"",$H91&lt;&gt;""),$H91-$G91,"")</f>
        <v/>
      </c>
      <c r="R91" s="53" t="str">
        <f aca="false">IF(AND($G91&lt;&gt;"",$I91&lt;&gt;""),$I91-$G91,"")</f>
        <v/>
      </c>
      <c r="S91" s="53" t="str">
        <f aca="false">IF(AND($H91&lt;&gt;"",$I91&lt;&gt;""),$I91-$H91,"")</f>
        <v/>
      </c>
      <c r="T91" s="53" t="str">
        <f aca="false">IF($J91&lt;&gt;"",$J91,"")</f>
        <v/>
      </c>
      <c r="V91" s="52" t="str">
        <f aca="false">IF($A91&lt;&gt;"",$A91,"")</f>
        <v>Apprenant 79</v>
      </c>
      <c r="W91" s="53" t="str">
        <f aca="false">IF(AND(OR('Choix pédagogiques'!$C$3=1,'Choix pédagogiques'!$C$3=2),$BM91=1),B91,IF(AND('Choix pédagogiques'!$C$3=3,$BO91=1),B91,""))</f>
        <v/>
      </c>
      <c r="X91" s="53" t="str">
        <f aca="false">IF(AND(OR('Choix pédagogiques'!$C$3=1,'Choix pédagogiques'!$C$3=2),$BM91=1),C91,IF(AND('Choix pédagogiques'!$C$3=3,$BO91=1),C91,""))</f>
        <v/>
      </c>
      <c r="Y91" s="53" t="str">
        <f aca="false">IF(AND(OR('Choix pédagogiques'!$C$3=1,'Choix pédagogiques'!$C$3=2),$BM91=1),D91,IF(AND('Choix pédagogiques'!$C$3=3,$BO91=1),D91,""))</f>
        <v/>
      </c>
      <c r="Z91" s="53" t="str">
        <f aca="false">IF($E91&lt;&gt;"",$E91,"")</f>
        <v/>
      </c>
      <c r="AA91" s="52" t="str">
        <f aca="false">IF($F91&lt;&gt;"",$F91,"")</f>
        <v>Apprenant 79 ou 79'</v>
      </c>
      <c r="AB91" s="53" t="str">
        <f aca="false">IF(AND(OR('Choix pédagogiques'!$C$3=1,'Choix pédagogiques'!$C$3=2),$BN91=1),G91,IF(AND('Choix pédagogiques'!$C$3=3,$BO91=1),G91,""))</f>
        <v/>
      </c>
      <c r="AC91" s="53" t="str">
        <f aca="false">IF(AND(OR('Choix pédagogiques'!$C$3=1,'Choix pédagogiques'!$C$3=2),$BN91=1),H91,IF(AND('Choix pédagogiques'!$C$3=3,$BO91=1),H91,""))</f>
        <v/>
      </c>
      <c r="AD91" s="53" t="str">
        <f aca="false">IF(AND(OR('Choix pédagogiques'!$C$3=1,'Choix pédagogiques'!$C$3=2),$BN91=1),I91,IF(AND('Choix pédagogiques'!$C$3=3,$BO91=1),I91,""))</f>
        <v/>
      </c>
      <c r="AE91" s="53" t="str">
        <f aca="false">IF($J91&lt;&gt;"",$J91,"")</f>
        <v/>
      </c>
      <c r="AF91" s="52" t="str">
        <f aca="false">IF($A91&lt;&gt;"",$A91,"")</f>
        <v>Apprenant 79</v>
      </c>
      <c r="AG91" s="53" t="str">
        <f aca="false">IF(AND($W91&lt;&gt;"",$X91&lt;&gt;""),$X91-$W91,"")</f>
        <v/>
      </c>
      <c r="AH91" s="53" t="str">
        <f aca="false">IF(AND($W91&lt;&gt;"",$Y91&lt;&gt;""),$Y91-$W91,"")</f>
        <v/>
      </c>
      <c r="AI91" s="53" t="str">
        <f aca="false">IF(AND($X91&lt;&gt;"",$Y91&lt;&gt;""),$Y91-$X91,"")</f>
        <v/>
      </c>
      <c r="AJ91" s="53" t="str">
        <f aca="false">IF($E91&lt;&gt;"",$E91,"")</f>
        <v/>
      </c>
      <c r="AK91" s="52" t="str">
        <f aca="false">IF($F91&lt;&gt;"",$F91,"")</f>
        <v>Apprenant 79 ou 79'</v>
      </c>
      <c r="AL91" s="53" t="str">
        <f aca="false">IF(AND($AB91&lt;&gt;"",$AC91&lt;&gt;""),$AC91-$AB91,"")</f>
        <v/>
      </c>
      <c r="AM91" s="53" t="str">
        <f aca="false">IF(AND($AB91&lt;&gt;"",$AD91&lt;&gt;""),$AD91-$AB91,"")</f>
        <v/>
      </c>
      <c r="AN91" s="53" t="str">
        <f aca="false">IF(AND($AC91&lt;&gt;"",$AD91&lt;&gt;""),$AD91-$AC91,"")</f>
        <v/>
      </c>
      <c r="AO91" s="53" t="str">
        <f aca="false">IF($J91&lt;&gt;"",$J91,"")</f>
        <v/>
      </c>
      <c r="AQ91" s="52" t="str">
        <f aca="false">IF($A91&lt;&gt;"",$A91,"")</f>
        <v>Apprenant 79</v>
      </c>
      <c r="AR91" s="55" t="str">
        <f aca="false">IF(AND('Choix pédagogiques'!$C$4&lt;&gt;"?",'Choix pédagogiques'!$C$5&lt;&gt;"?",W91&lt;&gt;""),(W91-'Choix pédagogiques'!$C$4)/('Choix pédagogiques'!$C$5-'Choix pédagogiques'!$C$4),"")</f>
        <v/>
      </c>
      <c r="AS91" s="55" t="str">
        <f aca="false">IF(AND('Choix pédagogiques'!$C$4&lt;&gt;"?",'Choix pédagogiques'!$C$5&lt;&gt;"?",X91&lt;&gt;""),(X91-'Choix pédagogiques'!$C$4)/('Choix pédagogiques'!$C$5-'Choix pédagogiques'!$C$4),"")</f>
        <v/>
      </c>
      <c r="AT91" s="55" t="str">
        <f aca="false">IF(AND('Choix pédagogiques'!$C$4&lt;&gt;"?",'Choix pédagogiques'!$C$5&lt;&gt;"?",Y91&lt;&gt;""),(Y91-'Choix pédagogiques'!$C$4)/('Choix pédagogiques'!$C$5-'Choix pédagogiques'!$C$4),"")</f>
        <v/>
      </c>
      <c r="AU91" s="53" t="str">
        <f aca="false">IF($E91&lt;&gt;"",$E91,"")</f>
        <v/>
      </c>
      <c r="AV91" s="52" t="str">
        <f aca="false">IF($F91&lt;&gt;"",$F91,"")</f>
        <v>Apprenant 79 ou 79'</v>
      </c>
      <c r="AW91" s="55" t="str">
        <f aca="false">IF(AND('Choix pédagogiques'!$C$4&lt;&gt;"?",'Choix pédagogiques'!$C$5&lt;&gt;"?",AB91&lt;&gt;""),(AB91-'Choix pédagogiques'!$C$4)/('Choix pédagogiques'!$C$5-'Choix pédagogiques'!$C$4),"")</f>
        <v/>
      </c>
      <c r="AX91" s="55" t="str">
        <f aca="false">IF(AND('Choix pédagogiques'!$C$4&lt;&gt;"?",'Choix pédagogiques'!$C$5&lt;&gt;"?",AC91&lt;&gt;""),(AC91-'Choix pédagogiques'!$C$4)/('Choix pédagogiques'!$C$5-'Choix pédagogiques'!$C$4),"")</f>
        <v/>
      </c>
      <c r="AY91" s="55" t="str">
        <f aca="false">IF(AND('Choix pédagogiques'!$C$4&lt;&gt;"?",'Choix pédagogiques'!$C$5&lt;&gt;"?",AD91&lt;&gt;""),(AD91-'Choix pédagogiques'!$C$4)/('Choix pédagogiques'!$C$5-'Choix pédagogiques'!$C$4),"")</f>
        <v/>
      </c>
      <c r="AZ91" s="53" t="str">
        <f aca="false">IF($J91&lt;&gt;"",$J91,"")</f>
        <v/>
      </c>
      <c r="BA91" s="52" t="str">
        <f aca="false">IF($A91&lt;&gt;"",$A91,"")</f>
        <v>Apprenant 79</v>
      </c>
      <c r="BB91" s="55" t="str">
        <f aca="false">IF(AND($AR91&lt;&gt;"",$AS91&lt;&gt;""),$AS91-$AR91,"")</f>
        <v/>
      </c>
      <c r="BC91" s="55" t="str">
        <f aca="false">IF(AND($AR91&lt;&gt;"",$AT91&lt;&gt;""),$AT91-$AR91,"")</f>
        <v/>
      </c>
      <c r="BD91" s="55" t="str">
        <f aca="false">IF(AND($AS91&lt;&gt;"",$AT91&lt;&gt;""),$AT91-$AS91,"")</f>
        <v/>
      </c>
      <c r="BE91" s="53" t="str">
        <f aca="false">IF($E91&lt;&gt;"",$E91,"")</f>
        <v/>
      </c>
      <c r="BF91" s="52" t="str">
        <f aca="false">IF($F91&lt;&gt;"",$F91,"")</f>
        <v>Apprenant 79 ou 79'</v>
      </c>
      <c r="BG91" s="55" t="str">
        <f aca="false">IF(AND($AW91&lt;&gt;"",$AX91&lt;&gt;""),$AX91-$AW91,"")</f>
        <v/>
      </c>
      <c r="BH91" s="55" t="str">
        <f aca="false">IF(AND($AW91&lt;&gt;"",$AY91&lt;&gt;""),$AY91-$AW91,"")</f>
        <v/>
      </c>
      <c r="BI91" s="55" t="str">
        <f aca="false">IF(AND($AX91&lt;&gt;"",$AY91&lt;&gt;""),$AY91-$AX91,"")</f>
        <v/>
      </c>
      <c r="BJ91" s="53" t="str">
        <f aca="false">IF($J91&lt;&gt;"",$J91,"")</f>
        <v/>
      </c>
      <c r="BL91" s="52"/>
      <c r="BM91" s="52" t="str">
        <f aca="false">IF(OR(COUNT(B91:D1090)=0,AND('Choix pédagogiques'!$C$3&lt;&gt;1,'Choix pédagogiques'!$C$3&lt;&gt;2)),"",IF(AND(OR('Choix pédagogiques'!$C$3=1,'Choix pédagogiques'!$C$3=2),$B91&lt;&gt;"",$C91&lt;&gt;"",$D91&lt;&gt;""),1,0))</f>
        <v/>
      </c>
      <c r="BN91" s="52" t="str">
        <f aca="false">IF(OR(COUNT(G91:I1090)=0,AND('Choix pédagogiques'!$C$3&lt;&gt;1,'Choix pédagogiques'!$C$3&lt;&gt;2)),"",IF(AND(OR('Choix pédagogiques'!$C$3=1,'Choix pédagogiques'!$C$3=2),AND($G91&lt;&gt;"",$H91&lt;&gt;"",$I91&lt;&gt;"")),1,0))</f>
        <v/>
      </c>
      <c r="BO91" s="52" t="str">
        <f aca="false">IF(OR(COUNT(B91:D1090)=0,COUNT(G91:I1090)=0,'Choix pédagogiques'!C$3&lt;&gt;3),"",IF(AND('Choix pédagogiques'!$C$3=3,$B91&lt;&gt;"",$C91&lt;&gt;"",$D91&lt;&gt;"",$G91&lt;&gt;"",$H91&lt;&gt;"",$I91&lt;&gt;""),1,0))</f>
        <v/>
      </c>
      <c r="BR91" s="52" t="n">
        <v>26</v>
      </c>
      <c r="BS91" s="52" t="n">
        <v>1471</v>
      </c>
    </row>
    <row r="92" s="54" customFormat="true" ht="18" hidden="false" customHeight="true" outlineLevel="0" collapsed="false">
      <c r="A92" s="57" t="s">
        <v>115</v>
      </c>
      <c r="B92" s="51"/>
      <c r="C92" s="51"/>
      <c r="D92" s="51"/>
      <c r="E92" s="51"/>
      <c r="F92" s="57" t="s">
        <v>116</v>
      </c>
      <c r="G92" s="51"/>
      <c r="H92" s="51"/>
      <c r="I92" s="51"/>
      <c r="J92" s="51"/>
      <c r="K92" s="52" t="str">
        <f aca="false">IF($A92&lt;&gt;"",$A92,"")</f>
        <v>Apprenant 80</v>
      </c>
      <c r="L92" s="53" t="str">
        <f aca="false">IF(AND($B92&lt;&gt;"",$C92&lt;&gt;""),$C92-$B92,"")</f>
        <v/>
      </c>
      <c r="M92" s="53" t="str">
        <f aca="false">IF(AND($B92&lt;&gt;"",$D92&lt;&gt;""),$D92-$B92,"")</f>
        <v/>
      </c>
      <c r="N92" s="53" t="str">
        <f aca="false">IF(AND($C92&lt;&gt;"",$D92&lt;&gt;""),$D92-$C92,"")</f>
        <v/>
      </c>
      <c r="O92" s="53" t="str">
        <f aca="false">IF($E92&lt;&gt;"",$E92,"")</f>
        <v/>
      </c>
      <c r="P92" s="52" t="str">
        <f aca="false">IF($F92&lt;&gt;"",$F92,"")</f>
        <v>Apprenant 80 ou 80'</v>
      </c>
      <c r="Q92" s="53" t="str">
        <f aca="false">IF(AND($G92&lt;&gt;"",$H92&lt;&gt;""),$H92-$G92,"")</f>
        <v/>
      </c>
      <c r="R92" s="53" t="str">
        <f aca="false">IF(AND($G92&lt;&gt;"",$I92&lt;&gt;""),$I92-$G92,"")</f>
        <v/>
      </c>
      <c r="S92" s="53" t="str">
        <f aca="false">IF(AND($H92&lt;&gt;"",$I92&lt;&gt;""),$I92-$H92,"")</f>
        <v/>
      </c>
      <c r="T92" s="53" t="str">
        <f aca="false">IF($J92&lt;&gt;"",$J92,"")</f>
        <v/>
      </c>
      <c r="V92" s="52" t="str">
        <f aca="false">IF($A92&lt;&gt;"",$A92,"")</f>
        <v>Apprenant 80</v>
      </c>
      <c r="W92" s="53" t="str">
        <f aca="false">IF(AND(OR('Choix pédagogiques'!$C$3=1,'Choix pédagogiques'!$C$3=2),$BM92=1),B92,IF(AND('Choix pédagogiques'!$C$3=3,$BO92=1),B92,""))</f>
        <v/>
      </c>
      <c r="X92" s="53" t="str">
        <f aca="false">IF(AND(OR('Choix pédagogiques'!$C$3=1,'Choix pédagogiques'!$C$3=2),$BM92=1),C92,IF(AND('Choix pédagogiques'!$C$3=3,$BO92=1),C92,""))</f>
        <v/>
      </c>
      <c r="Y92" s="53" t="str">
        <f aca="false">IF(AND(OR('Choix pédagogiques'!$C$3=1,'Choix pédagogiques'!$C$3=2),$BM92=1),D92,IF(AND('Choix pédagogiques'!$C$3=3,$BO92=1),D92,""))</f>
        <v/>
      </c>
      <c r="Z92" s="53" t="str">
        <f aca="false">IF($E92&lt;&gt;"",$E92,"")</f>
        <v/>
      </c>
      <c r="AA92" s="52" t="str">
        <f aca="false">IF($F92&lt;&gt;"",$F92,"")</f>
        <v>Apprenant 80 ou 80'</v>
      </c>
      <c r="AB92" s="53" t="str">
        <f aca="false">IF(AND(OR('Choix pédagogiques'!$C$3=1,'Choix pédagogiques'!$C$3=2),$BN92=1),G92,IF(AND('Choix pédagogiques'!$C$3=3,$BO92=1),G92,""))</f>
        <v/>
      </c>
      <c r="AC92" s="53" t="str">
        <f aca="false">IF(AND(OR('Choix pédagogiques'!$C$3=1,'Choix pédagogiques'!$C$3=2),$BN92=1),H92,IF(AND('Choix pédagogiques'!$C$3=3,$BO92=1),H92,""))</f>
        <v/>
      </c>
      <c r="AD92" s="53" t="str">
        <f aca="false">IF(AND(OR('Choix pédagogiques'!$C$3=1,'Choix pédagogiques'!$C$3=2),$BN92=1),I92,IF(AND('Choix pédagogiques'!$C$3=3,$BO92=1),I92,""))</f>
        <v/>
      </c>
      <c r="AE92" s="53" t="str">
        <f aca="false">IF($J92&lt;&gt;"",$J92,"")</f>
        <v/>
      </c>
      <c r="AF92" s="52" t="str">
        <f aca="false">IF($A92&lt;&gt;"",$A92,"")</f>
        <v>Apprenant 80</v>
      </c>
      <c r="AG92" s="53" t="str">
        <f aca="false">IF(AND($W92&lt;&gt;"",$X92&lt;&gt;""),$X92-$W92,"")</f>
        <v/>
      </c>
      <c r="AH92" s="53" t="str">
        <f aca="false">IF(AND($W92&lt;&gt;"",$Y92&lt;&gt;""),$Y92-$W92,"")</f>
        <v/>
      </c>
      <c r="AI92" s="53" t="str">
        <f aca="false">IF(AND($X92&lt;&gt;"",$Y92&lt;&gt;""),$Y92-$X92,"")</f>
        <v/>
      </c>
      <c r="AJ92" s="53" t="str">
        <f aca="false">IF($E92&lt;&gt;"",$E92,"")</f>
        <v/>
      </c>
      <c r="AK92" s="52" t="str">
        <f aca="false">IF($F92&lt;&gt;"",$F92,"")</f>
        <v>Apprenant 80 ou 80'</v>
      </c>
      <c r="AL92" s="53" t="str">
        <f aca="false">IF(AND($AB92&lt;&gt;"",$AC92&lt;&gt;""),$AC92-$AB92,"")</f>
        <v/>
      </c>
      <c r="AM92" s="53" t="str">
        <f aca="false">IF(AND($AB92&lt;&gt;"",$AD92&lt;&gt;""),$AD92-$AB92,"")</f>
        <v/>
      </c>
      <c r="AN92" s="53" t="str">
        <f aca="false">IF(AND($AC92&lt;&gt;"",$AD92&lt;&gt;""),$AD92-$AC92,"")</f>
        <v/>
      </c>
      <c r="AO92" s="53" t="str">
        <f aca="false">IF($J92&lt;&gt;"",$J92,"")</f>
        <v/>
      </c>
      <c r="AQ92" s="52" t="str">
        <f aca="false">IF($A92&lt;&gt;"",$A92,"")</f>
        <v>Apprenant 80</v>
      </c>
      <c r="AR92" s="55" t="str">
        <f aca="false">IF(AND('Choix pédagogiques'!$C$4&lt;&gt;"?",'Choix pédagogiques'!$C$5&lt;&gt;"?",W92&lt;&gt;""),(W92-'Choix pédagogiques'!$C$4)/('Choix pédagogiques'!$C$5-'Choix pédagogiques'!$C$4),"")</f>
        <v/>
      </c>
      <c r="AS92" s="55" t="str">
        <f aca="false">IF(AND('Choix pédagogiques'!$C$4&lt;&gt;"?",'Choix pédagogiques'!$C$5&lt;&gt;"?",X92&lt;&gt;""),(X92-'Choix pédagogiques'!$C$4)/('Choix pédagogiques'!$C$5-'Choix pédagogiques'!$C$4),"")</f>
        <v/>
      </c>
      <c r="AT92" s="55" t="str">
        <f aca="false">IF(AND('Choix pédagogiques'!$C$4&lt;&gt;"?",'Choix pédagogiques'!$C$5&lt;&gt;"?",Y92&lt;&gt;""),(Y92-'Choix pédagogiques'!$C$4)/('Choix pédagogiques'!$C$5-'Choix pédagogiques'!$C$4),"")</f>
        <v/>
      </c>
      <c r="AU92" s="53" t="str">
        <f aca="false">IF($E92&lt;&gt;"",$E92,"")</f>
        <v/>
      </c>
      <c r="AV92" s="52" t="str">
        <f aca="false">IF($F92&lt;&gt;"",$F92,"")</f>
        <v>Apprenant 80 ou 80'</v>
      </c>
      <c r="AW92" s="55" t="str">
        <f aca="false">IF(AND('Choix pédagogiques'!$C$4&lt;&gt;"?",'Choix pédagogiques'!$C$5&lt;&gt;"?",AB92&lt;&gt;""),(AB92-'Choix pédagogiques'!$C$4)/('Choix pédagogiques'!$C$5-'Choix pédagogiques'!$C$4),"")</f>
        <v/>
      </c>
      <c r="AX92" s="55" t="str">
        <f aca="false">IF(AND('Choix pédagogiques'!$C$4&lt;&gt;"?",'Choix pédagogiques'!$C$5&lt;&gt;"?",AC92&lt;&gt;""),(AC92-'Choix pédagogiques'!$C$4)/('Choix pédagogiques'!$C$5-'Choix pédagogiques'!$C$4),"")</f>
        <v/>
      </c>
      <c r="AY92" s="55" t="str">
        <f aca="false">IF(AND('Choix pédagogiques'!$C$4&lt;&gt;"?",'Choix pédagogiques'!$C$5&lt;&gt;"?",AD92&lt;&gt;""),(AD92-'Choix pédagogiques'!$C$4)/('Choix pédagogiques'!$C$5-'Choix pédagogiques'!$C$4),"")</f>
        <v/>
      </c>
      <c r="AZ92" s="53" t="str">
        <f aca="false">IF($J92&lt;&gt;"",$J92,"")</f>
        <v/>
      </c>
      <c r="BA92" s="52" t="str">
        <f aca="false">IF($A92&lt;&gt;"",$A92,"")</f>
        <v>Apprenant 80</v>
      </c>
      <c r="BB92" s="55" t="str">
        <f aca="false">IF(AND($AR92&lt;&gt;"",$AS92&lt;&gt;""),$AS92-$AR92,"")</f>
        <v/>
      </c>
      <c r="BC92" s="55" t="str">
        <f aca="false">IF(AND($AR92&lt;&gt;"",$AT92&lt;&gt;""),$AT92-$AR92,"")</f>
        <v/>
      </c>
      <c r="BD92" s="55" t="str">
        <f aca="false">IF(AND($AS92&lt;&gt;"",$AT92&lt;&gt;""),$AT92-$AS92,"")</f>
        <v/>
      </c>
      <c r="BE92" s="53" t="str">
        <f aca="false">IF($E92&lt;&gt;"",$E92,"")</f>
        <v/>
      </c>
      <c r="BF92" s="52" t="str">
        <f aca="false">IF($F92&lt;&gt;"",$F92,"")</f>
        <v>Apprenant 80 ou 80'</v>
      </c>
      <c r="BG92" s="55" t="str">
        <f aca="false">IF(AND($AW92&lt;&gt;"",$AX92&lt;&gt;""),$AX92-$AW92,"")</f>
        <v/>
      </c>
      <c r="BH92" s="55" t="str">
        <f aca="false">IF(AND($AW92&lt;&gt;"",$AY92&lt;&gt;""),$AY92-$AW92,"")</f>
        <v/>
      </c>
      <c r="BI92" s="55" t="str">
        <f aca="false">IF(AND($AX92&lt;&gt;"",$AY92&lt;&gt;""),$AY92-$AX92,"")</f>
        <v/>
      </c>
      <c r="BJ92" s="53" t="str">
        <f aca="false">IF($J92&lt;&gt;"",$J92,"")</f>
        <v/>
      </c>
      <c r="BL92" s="52"/>
      <c r="BM92" s="52" t="str">
        <f aca="false">IF(OR(COUNT(B92:D1091)=0,AND('Choix pédagogiques'!$C$3&lt;&gt;1,'Choix pédagogiques'!$C$3&lt;&gt;2)),"",IF(AND(OR('Choix pédagogiques'!$C$3=1,'Choix pédagogiques'!$C$3=2),$B92&lt;&gt;"",$C92&lt;&gt;"",$D92&lt;&gt;""),1,0))</f>
        <v/>
      </c>
      <c r="BN92" s="52" t="str">
        <f aca="false">IF(OR(COUNT(G92:I1091)=0,AND('Choix pédagogiques'!$C$3&lt;&gt;1,'Choix pédagogiques'!$C$3&lt;&gt;2)),"",IF(AND(OR('Choix pédagogiques'!$C$3=1,'Choix pédagogiques'!$C$3=2),AND($G92&lt;&gt;"",$H92&lt;&gt;"",$I92&lt;&gt;"")),1,0))</f>
        <v/>
      </c>
      <c r="BO92" s="52" t="str">
        <f aca="false">IF(OR(COUNT(B92:D1091)=0,COUNT(G92:I1091)=0,'Choix pédagogiques'!C$3&lt;&gt;3),"",IF(AND('Choix pédagogiques'!$C$3=3,$B92&lt;&gt;"",$C92&lt;&gt;"",$D92&lt;&gt;"",$G92&lt;&gt;"",$H92&lt;&gt;"",$I92&lt;&gt;""),1,0))</f>
        <v/>
      </c>
      <c r="BR92" s="52" t="n">
        <v>755</v>
      </c>
      <c r="BS92" s="52" t="n">
        <v>1778</v>
      </c>
    </row>
    <row r="93" s="54" customFormat="true" ht="18" hidden="false" customHeight="true" outlineLevel="0" collapsed="false">
      <c r="A93" s="57" t="s">
        <v>117</v>
      </c>
      <c r="B93" s="51"/>
      <c r="C93" s="51"/>
      <c r="D93" s="51"/>
      <c r="E93" s="51"/>
      <c r="F93" s="57" t="s">
        <v>118</v>
      </c>
      <c r="G93" s="51"/>
      <c r="H93" s="51"/>
      <c r="I93" s="51"/>
      <c r="J93" s="51"/>
      <c r="K93" s="52" t="str">
        <f aca="false">IF($A93&lt;&gt;"",$A93,"")</f>
        <v>Apprenant 81</v>
      </c>
      <c r="L93" s="53" t="str">
        <f aca="false">IF(AND($B93&lt;&gt;"",$C93&lt;&gt;""),$C93-$B93,"")</f>
        <v/>
      </c>
      <c r="M93" s="53" t="str">
        <f aca="false">IF(AND($B93&lt;&gt;"",$D93&lt;&gt;""),$D93-$B93,"")</f>
        <v/>
      </c>
      <c r="N93" s="53" t="str">
        <f aca="false">IF(AND($C93&lt;&gt;"",$D93&lt;&gt;""),$D93-$C93,"")</f>
        <v/>
      </c>
      <c r="O93" s="53" t="str">
        <f aca="false">IF($E93&lt;&gt;"",$E93,"")</f>
        <v/>
      </c>
      <c r="P93" s="52" t="str">
        <f aca="false">IF($F93&lt;&gt;"",$F93,"")</f>
        <v>Apprenant 81 ou 81'</v>
      </c>
      <c r="Q93" s="53" t="str">
        <f aca="false">IF(AND($G93&lt;&gt;"",$H93&lt;&gt;""),$H93-$G93,"")</f>
        <v/>
      </c>
      <c r="R93" s="53" t="str">
        <f aca="false">IF(AND($G93&lt;&gt;"",$I93&lt;&gt;""),$I93-$G93,"")</f>
        <v/>
      </c>
      <c r="S93" s="53" t="str">
        <f aca="false">IF(AND($H93&lt;&gt;"",$I93&lt;&gt;""),$I93-$H93,"")</f>
        <v/>
      </c>
      <c r="T93" s="53" t="str">
        <f aca="false">IF($J93&lt;&gt;"",$J93,"")</f>
        <v/>
      </c>
      <c r="V93" s="52" t="str">
        <f aca="false">IF($A93&lt;&gt;"",$A93,"")</f>
        <v>Apprenant 81</v>
      </c>
      <c r="W93" s="53" t="str">
        <f aca="false">IF(AND(OR('Choix pédagogiques'!$C$3=1,'Choix pédagogiques'!$C$3=2),$BM93=1),B93,IF(AND('Choix pédagogiques'!$C$3=3,$BO93=1),B93,""))</f>
        <v/>
      </c>
      <c r="X93" s="53" t="str">
        <f aca="false">IF(AND(OR('Choix pédagogiques'!$C$3=1,'Choix pédagogiques'!$C$3=2),$BM93=1),C93,IF(AND('Choix pédagogiques'!$C$3=3,$BO93=1),C93,""))</f>
        <v/>
      </c>
      <c r="Y93" s="53" t="str">
        <f aca="false">IF(AND(OR('Choix pédagogiques'!$C$3=1,'Choix pédagogiques'!$C$3=2),$BM93=1),D93,IF(AND('Choix pédagogiques'!$C$3=3,$BO93=1),D93,""))</f>
        <v/>
      </c>
      <c r="Z93" s="53" t="str">
        <f aca="false">IF($E93&lt;&gt;"",$E93,"")</f>
        <v/>
      </c>
      <c r="AA93" s="52" t="str">
        <f aca="false">IF($F93&lt;&gt;"",$F93,"")</f>
        <v>Apprenant 81 ou 81'</v>
      </c>
      <c r="AB93" s="53" t="str">
        <f aca="false">IF(AND(OR('Choix pédagogiques'!$C$3=1,'Choix pédagogiques'!$C$3=2),$BN93=1),G93,IF(AND('Choix pédagogiques'!$C$3=3,$BO93=1),G93,""))</f>
        <v/>
      </c>
      <c r="AC93" s="53" t="str">
        <f aca="false">IF(AND(OR('Choix pédagogiques'!$C$3=1,'Choix pédagogiques'!$C$3=2),$BN93=1),H93,IF(AND('Choix pédagogiques'!$C$3=3,$BO93=1),H93,""))</f>
        <v/>
      </c>
      <c r="AD93" s="53" t="str">
        <f aca="false">IF(AND(OR('Choix pédagogiques'!$C$3=1,'Choix pédagogiques'!$C$3=2),$BN93=1),I93,IF(AND('Choix pédagogiques'!$C$3=3,$BO93=1),I93,""))</f>
        <v/>
      </c>
      <c r="AE93" s="53" t="str">
        <f aca="false">IF($J93&lt;&gt;"",$J93,"")</f>
        <v/>
      </c>
      <c r="AF93" s="52" t="str">
        <f aca="false">IF($A93&lt;&gt;"",$A93,"")</f>
        <v>Apprenant 81</v>
      </c>
      <c r="AG93" s="53" t="str">
        <f aca="false">IF(AND($W93&lt;&gt;"",$X93&lt;&gt;""),$X93-$W93,"")</f>
        <v/>
      </c>
      <c r="AH93" s="53" t="str">
        <f aca="false">IF(AND($W93&lt;&gt;"",$Y93&lt;&gt;""),$Y93-$W93,"")</f>
        <v/>
      </c>
      <c r="AI93" s="53" t="str">
        <f aca="false">IF(AND($X93&lt;&gt;"",$Y93&lt;&gt;""),$Y93-$X93,"")</f>
        <v/>
      </c>
      <c r="AJ93" s="53" t="str">
        <f aca="false">IF($E93&lt;&gt;"",$E93,"")</f>
        <v/>
      </c>
      <c r="AK93" s="52" t="str">
        <f aca="false">IF($F93&lt;&gt;"",$F93,"")</f>
        <v>Apprenant 81 ou 81'</v>
      </c>
      <c r="AL93" s="53" t="str">
        <f aca="false">IF(AND($AB93&lt;&gt;"",$AC93&lt;&gt;""),$AC93-$AB93,"")</f>
        <v/>
      </c>
      <c r="AM93" s="53" t="str">
        <f aca="false">IF(AND($AB93&lt;&gt;"",$AD93&lt;&gt;""),$AD93-$AB93,"")</f>
        <v/>
      </c>
      <c r="AN93" s="53" t="str">
        <f aca="false">IF(AND($AC93&lt;&gt;"",$AD93&lt;&gt;""),$AD93-$AC93,"")</f>
        <v/>
      </c>
      <c r="AO93" s="53" t="str">
        <f aca="false">IF($J93&lt;&gt;"",$J93,"")</f>
        <v/>
      </c>
      <c r="AQ93" s="52" t="str">
        <f aca="false">IF($A93&lt;&gt;"",$A93,"")</f>
        <v>Apprenant 81</v>
      </c>
      <c r="AR93" s="55" t="str">
        <f aca="false">IF(AND('Choix pédagogiques'!$C$4&lt;&gt;"?",'Choix pédagogiques'!$C$5&lt;&gt;"?",W93&lt;&gt;""),(W93-'Choix pédagogiques'!$C$4)/('Choix pédagogiques'!$C$5-'Choix pédagogiques'!$C$4),"")</f>
        <v/>
      </c>
      <c r="AS93" s="55" t="str">
        <f aca="false">IF(AND('Choix pédagogiques'!$C$4&lt;&gt;"?",'Choix pédagogiques'!$C$5&lt;&gt;"?",X93&lt;&gt;""),(X93-'Choix pédagogiques'!$C$4)/('Choix pédagogiques'!$C$5-'Choix pédagogiques'!$C$4),"")</f>
        <v/>
      </c>
      <c r="AT93" s="55" t="str">
        <f aca="false">IF(AND('Choix pédagogiques'!$C$4&lt;&gt;"?",'Choix pédagogiques'!$C$5&lt;&gt;"?",Y93&lt;&gt;""),(Y93-'Choix pédagogiques'!$C$4)/('Choix pédagogiques'!$C$5-'Choix pédagogiques'!$C$4),"")</f>
        <v/>
      </c>
      <c r="AU93" s="53" t="str">
        <f aca="false">IF($E93&lt;&gt;"",$E93,"")</f>
        <v/>
      </c>
      <c r="AV93" s="52" t="str">
        <f aca="false">IF($F93&lt;&gt;"",$F93,"")</f>
        <v>Apprenant 81 ou 81'</v>
      </c>
      <c r="AW93" s="55" t="str">
        <f aca="false">IF(AND('Choix pédagogiques'!$C$4&lt;&gt;"?",'Choix pédagogiques'!$C$5&lt;&gt;"?",AB93&lt;&gt;""),(AB93-'Choix pédagogiques'!$C$4)/('Choix pédagogiques'!$C$5-'Choix pédagogiques'!$C$4),"")</f>
        <v/>
      </c>
      <c r="AX93" s="55" t="str">
        <f aca="false">IF(AND('Choix pédagogiques'!$C$4&lt;&gt;"?",'Choix pédagogiques'!$C$5&lt;&gt;"?",AC93&lt;&gt;""),(AC93-'Choix pédagogiques'!$C$4)/('Choix pédagogiques'!$C$5-'Choix pédagogiques'!$C$4),"")</f>
        <v/>
      </c>
      <c r="AY93" s="55" t="str">
        <f aca="false">IF(AND('Choix pédagogiques'!$C$4&lt;&gt;"?",'Choix pédagogiques'!$C$5&lt;&gt;"?",AD93&lt;&gt;""),(AD93-'Choix pédagogiques'!$C$4)/('Choix pédagogiques'!$C$5-'Choix pédagogiques'!$C$4),"")</f>
        <v/>
      </c>
      <c r="AZ93" s="53" t="str">
        <f aca="false">IF($J93&lt;&gt;"",$J93,"")</f>
        <v/>
      </c>
      <c r="BA93" s="52" t="str">
        <f aca="false">IF($A93&lt;&gt;"",$A93,"")</f>
        <v>Apprenant 81</v>
      </c>
      <c r="BB93" s="55" t="str">
        <f aca="false">IF(AND($AR93&lt;&gt;"",$AS93&lt;&gt;""),$AS93-$AR93,"")</f>
        <v/>
      </c>
      <c r="BC93" s="55" t="str">
        <f aca="false">IF(AND($AR93&lt;&gt;"",$AT93&lt;&gt;""),$AT93-$AR93,"")</f>
        <v/>
      </c>
      <c r="BD93" s="55" t="str">
        <f aca="false">IF(AND($AS93&lt;&gt;"",$AT93&lt;&gt;""),$AT93-$AS93,"")</f>
        <v/>
      </c>
      <c r="BE93" s="53" t="str">
        <f aca="false">IF($E93&lt;&gt;"",$E93,"")</f>
        <v/>
      </c>
      <c r="BF93" s="52" t="str">
        <f aca="false">IF($F93&lt;&gt;"",$F93,"")</f>
        <v>Apprenant 81 ou 81'</v>
      </c>
      <c r="BG93" s="55" t="str">
        <f aca="false">IF(AND($AW93&lt;&gt;"",$AX93&lt;&gt;""),$AX93-$AW93,"")</f>
        <v/>
      </c>
      <c r="BH93" s="55" t="str">
        <f aca="false">IF(AND($AW93&lt;&gt;"",$AY93&lt;&gt;""),$AY93-$AW93,"")</f>
        <v/>
      </c>
      <c r="BI93" s="55" t="str">
        <f aca="false">IF(AND($AX93&lt;&gt;"",$AY93&lt;&gt;""),$AY93-$AX93,"")</f>
        <v/>
      </c>
      <c r="BJ93" s="53" t="str">
        <f aca="false">IF($J93&lt;&gt;"",$J93,"")</f>
        <v/>
      </c>
      <c r="BL93" s="52"/>
      <c r="BM93" s="52" t="str">
        <f aca="false">IF(OR(COUNT(B93:D1092)=0,AND('Choix pédagogiques'!$C$3&lt;&gt;1,'Choix pédagogiques'!$C$3&lt;&gt;2)),"",IF(AND(OR('Choix pédagogiques'!$C$3=1,'Choix pédagogiques'!$C$3=2),$B93&lt;&gt;"",$C93&lt;&gt;"",$D93&lt;&gt;""),1,0))</f>
        <v/>
      </c>
      <c r="BN93" s="52" t="str">
        <f aca="false">IF(OR(COUNT(G93:I1092)=0,AND('Choix pédagogiques'!$C$3&lt;&gt;1,'Choix pédagogiques'!$C$3&lt;&gt;2)),"",IF(AND(OR('Choix pédagogiques'!$C$3=1,'Choix pédagogiques'!$C$3=2),AND($G93&lt;&gt;"",$H93&lt;&gt;"",$I93&lt;&gt;"")),1,0))</f>
        <v/>
      </c>
      <c r="BO93" s="52" t="str">
        <f aca="false">IF(OR(COUNT(B93:D1092)=0,COUNT(G93:I1092)=0,'Choix pédagogiques'!C$3&lt;&gt;3),"",IF(AND('Choix pédagogiques'!$C$3=3,$B93&lt;&gt;"",$C93&lt;&gt;"",$D93&lt;&gt;"",$G93&lt;&gt;"",$H93&lt;&gt;"",$I93&lt;&gt;""),1,0))</f>
        <v/>
      </c>
      <c r="BR93" s="52" t="n">
        <v>296</v>
      </c>
      <c r="BS93" s="52" t="n">
        <v>1195</v>
      </c>
    </row>
    <row r="94" s="54" customFormat="true" ht="18" hidden="false" customHeight="true" outlineLevel="0" collapsed="false">
      <c r="A94" s="57" t="s">
        <v>119</v>
      </c>
      <c r="B94" s="51"/>
      <c r="C94" s="51"/>
      <c r="D94" s="51"/>
      <c r="E94" s="51"/>
      <c r="F94" s="57" t="s">
        <v>120</v>
      </c>
      <c r="G94" s="51"/>
      <c r="H94" s="51"/>
      <c r="I94" s="51"/>
      <c r="J94" s="51"/>
      <c r="K94" s="52" t="str">
        <f aca="false">IF($A94&lt;&gt;"",$A94,"")</f>
        <v>Apprenant 82</v>
      </c>
      <c r="L94" s="53" t="str">
        <f aca="false">IF(AND($B94&lt;&gt;"",$C94&lt;&gt;""),$C94-$B94,"")</f>
        <v/>
      </c>
      <c r="M94" s="53" t="str">
        <f aca="false">IF(AND($B94&lt;&gt;"",$D94&lt;&gt;""),$D94-$B94,"")</f>
        <v/>
      </c>
      <c r="N94" s="53" t="str">
        <f aca="false">IF(AND($C94&lt;&gt;"",$D94&lt;&gt;""),$D94-$C94,"")</f>
        <v/>
      </c>
      <c r="O94" s="53" t="str">
        <f aca="false">IF($E94&lt;&gt;"",$E94,"")</f>
        <v/>
      </c>
      <c r="P94" s="52" t="str">
        <f aca="false">IF($F94&lt;&gt;"",$F94,"")</f>
        <v>Apprenant 82 ou 82'</v>
      </c>
      <c r="Q94" s="53" t="str">
        <f aca="false">IF(AND($G94&lt;&gt;"",$H94&lt;&gt;""),$H94-$G94,"")</f>
        <v/>
      </c>
      <c r="R94" s="53" t="str">
        <f aca="false">IF(AND($G94&lt;&gt;"",$I94&lt;&gt;""),$I94-$G94,"")</f>
        <v/>
      </c>
      <c r="S94" s="53" t="str">
        <f aca="false">IF(AND($H94&lt;&gt;"",$I94&lt;&gt;""),$I94-$H94,"")</f>
        <v/>
      </c>
      <c r="T94" s="53" t="str">
        <f aca="false">IF($J94&lt;&gt;"",$J94,"")</f>
        <v/>
      </c>
      <c r="V94" s="52" t="str">
        <f aca="false">IF($A94&lt;&gt;"",$A94,"")</f>
        <v>Apprenant 82</v>
      </c>
      <c r="W94" s="53" t="str">
        <f aca="false">IF(AND(OR('Choix pédagogiques'!$C$3=1,'Choix pédagogiques'!$C$3=2),$BM94=1),B94,IF(AND('Choix pédagogiques'!$C$3=3,$BO94=1),B94,""))</f>
        <v/>
      </c>
      <c r="X94" s="53" t="str">
        <f aca="false">IF(AND(OR('Choix pédagogiques'!$C$3=1,'Choix pédagogiques'!$C$3=2),$BM94=1),C94,IF(AND('Choix pédagogiques'!$C$3=3,$BO94=1),C94,""))</f>
        <v/>
      </c>
      <c r="Y94" s="53" t="str">
        <f aca="false">IF(AND(OR('Choix pédagogiques'!$C$3=1,'Choix pédagogiques'!$C$3=2),$BM94=1),D94,IF(AND('Choix pédagogiques'!$C$3=3,$BO94=1),D94,""))</f>
        <v/>
      </c>
      <c r="Z94" s="53" t="str">
        <f aca="false">IF($E94&lt;&gt;"",$E94,"")</f>
        <v/>
      </c>
      <c r="AA94" s="52" t="str">
        <f aca="false">IF($F94&lt;&gt;"",$F94,"")</f>
        <v>Apprenant 82 ou 82'</v>
      </c>
      <c r="AB94" s="53" t="str">
        <f aca="false">IF(AND(OR('Choix pédagogiques'!$C$3=1,'Choix pédagogiques'!$C$3=2),$BN94=1),G94,IF(AND('Choix pédagogiques'!$C$3=3,$BO94=1),G94,""))</f>
        <v/>
      </c>
      <c r="AC94" s="53" t="str">
        <f aca="false">IF(AND(OR('Choix pédagogiques'!$C$3=1,'Choix pédagogiques'!$C$3=2),$BN94=1),H94,IF(AND('Choix pédagogiques'!$C$3=3,$BO94=1),H94,""))</f>
        <v/>
      </c>
      <c r="AD94" s="53" t="str">
        <f aca="false">IF(AND(OR('Choix pédagogiques'!$C$3=1,'Choix pédagogiques'!$C$3=2),$BN94=1),I94,IF(AND('Choix pédagogiques'!$C$3=3,$BO94=1),I94,""))</f>
        <v/>
      </c>
      <c r="AE94" s="53" t="str">
        <f aca="false">IF($J94&lt;&gt;"",$J94,"")</f>
        <v/>
      </c>
      <c r="AF94" s="52" t="str">
        <f aca="false">IF($A94&lt;&gt;"",$A94,"")</f>
        <v>Apprenant 82</v>
      </c>
      <c r="AG94" s="53" t="str">
        <f aca="false">IF(AND($W94&lt;&gt;"",$X94&lt;&gt;""),$X94-$W94,"")</f>
        <v/>
      </c>
      <c r="AH94" s="53" t="str">
        <f aca="false">IF(AND($W94&lt;&gt;"",$Y94&lt;&gt;""),$Y94-$W94,"")</f>
        <v/>
      </c>
      <c r="AI94" s="53" t="str">
        <f aca="false">IF(AND($X94&lt;&gt;"",$Y94&lt;&gt;""),$Y94-$X94,"")</f>
        <v/>
      </c>
      <c r="AJ94" s="53" t="str">
        <f aca="false">IF($E94&lt;&gt;"",$E94,"")</f>
        <v/>
      </c>
      <c r="AK94" s="52" t="str">
        <f aca="false">IF($F94&lt;&gt;"",$F94,"")</f>
        <v>Apprenant 82 ou 82'</v>
      </c>
      <c r="AL94" s="53" t="str">
        <f aca="false">IF(AND($AB94&lt;&gt;"",$AC94&lt;&gt;""),$AC94-$AB94,"")</f>
        <v/>
      </c>
      <c r="AM94" s="53" t="str">
        <f aca="false">IF(AND($AB94&lt;&gt;"",$AD94&lt;&gt;""),$AD94-$AB94,"")</f>
        <v/>
      </c>
      <c r="AN94" s="53" t="str">
        <f aca="false">IF(AND($AC94&lt;&gt;"",$AD94&lt;&gt;""),$AD94-$AC94,"")</f>
        <v/>
      </c>
      <c r="AO94" s="53" t="str">
        <f aca="false">IF($J94&lt;&gt;"",$J94,"")</f>
        <v/>
      </c>
      <c r="AQ94" s="52" t="str">
        <f aca="false">IF($A94&lt;&gt;"",$A94,"")</f>
        <v>Apprenant 82</v>
      </c>
      <c r="AR94" s="55" t="str">
        <f aca="false">IF(AND('Choix pédagogiques'!$C$4&lt;&gt;"?",'Choix pédagogiques'!$C$5&lt;&gt;"?",W94&lt;&gt;""),(W94-'Choix pédagogiques'!$C$4)/('Choix pédagogiques'!$C$5-'Choix pédagogiques'!$C$4),"")</f>
        <v/>
      </c>
      <c r="AS94" s="55" t="str">
        <f aca="false">IF(AND('Choix pédagogiques'!$C$4&lt;&gt;"?",'Choix pédagogiques'!$C$5&lt;&gt;"?",X94&lt;&gt;""),(X94-'Choix pédagogiques'!$C$4)/('Choix pédagogiques'!$C$5-'Choix pédagogiques'!$C$4),"")</f>
        <v/>
      </c>
      <c r="AT94" s="55" t="str">
        <f aca="false">IF(AND('Choix pédagogiques'!$C$4&lt;&gt;"?",'Choix pédagogiques'!$C$5&lt;&gt;"?",Y94&lt;&gt;""),(Y94-'Choix pédagogiques'!$C$4)/('Choix pédagogiques'!$C$5-'Choix pédagogiques'!$C$4),"")</f>
        <v/>
      </c>
      <c r="AU94" s="53" t="str">
        <f aca="false">IF($E94&lt;&gt;"",$E94,"")</f>
        <v/>
      </c>
      <c r="AV94" s="52" t="str">
        <f aca="false">IF($F94&lt;&gt;"",$F94,"")</f>
        <v>Apprenant 82 ou 82'</v>
      </c>
      <c r="AW94" s="55" t="str">
        <f aca="false">IF(AND('Choix pédagogiques'!$C$4&lt;&gt;"?",'Choix pédagogiques'!$C$5&lt;&gt;"?",AB94&lt;&gt;""),(AB94-'Choix pédagogiques'!$C$4)/('Choix pédagogiques'!$C$5-'Choix pédagogiques'!$C$4),"")</f>
        <v/>
      </c>
      <c r="AX94" s="55" t="str">
        <f aca="false">IF(AND('Choix pédagogiques'!$C$4&lt;&gt;"?",'Choix pédagogiques'!$C$5&lt;&gt;"?",AC94&lt;&gt;""),(AC94-'Choix pédagogiques'!$C$4)/('Choix pédagogiques'!$C$5-'Choix pédagogiques'!$C$4),"")</f>
        <v/>
      </c>
      <c r="AY94" s="55" t="str">
        <f aca="false">IF(AND('Choix pédagogiques'!$C$4&lt;&gt;"?",'Choix pédagogiques'!$C$5&lt;&gt;"?",AD94&lt;&gt;""),(AD94-'Choix pédagogiques'!$C$4)/('Choix pédagogiques'!$C$5-'Choix pédagogiques'!$C$4),"")</f>
        <v/>
      </c>
      <c r="AZ94" s="53" t="str">
        <f aca="false">IF($J94&lt;&gt;"",$J94,"")</f>
        <v/>
      </c>
      <c r="BA94" s="52" t="str">
        <f aca="false">IF($A94&lt;&gt;"",$A94,"")</f>
        <v>Apprenant 82</v>
      </c>
      <c r="BB94" s="55" t="str">
        <f aca="false">IF(AND($AR94&lt;&gt;"",$AS94&lt;&gt;""),$AS94-$AR94,"")</f>
        <v/>
      </c>
      <c r="BC94" s="55" t="str">
        <f aca="false">IF(AND($AR94&lt;&gt;"",$AT94&lt;&gt;""),$AT94-$AR94,"")</f>
        <v/>
      </c>
      <c r="BD94" s="55" t="str">
        <f aca="false">IF(AND($AS94&lt;&gt;"",$AT94&lt;&gt;""),$AT94-$AS94,"")</f>
        <v/>
      </c>
      <c r="BE94" s="53" t="str">
        <f aca="false">IF($E94&lt;&gt;"",$E94,"")</f>
        <v/>
      </c>
      <c r="BF94" s="52" t="str">
        <f aca="false">IF($F94&lt;&gt;"",$F94,"")</f>
        <v>Apprenant 82 ou 82'</v>
      </c>
      <c r="BG94" s="55" t="str">
        <f aca="false">IF(AND($AW94&lt;&gt;"",$AX94&lt;&gt;""),$AX94-$AW94,"")</f>
        <v/>
      </c>
      <c r="BH94" s="55" t="str">
        <f aca="false">IF(AND($AW94&lt;&gt;"",$AY94&lt;&gt;""),$AY94-$AW94,"")</f>
        <v/>
      </c>
      <c r="BI94" s="55" t="str">
        <f aca="false">IF(AND($AX94&lt;&gt;"",$AY94&lt;&gt;""),$AY94-$AX94,"")</f>
        <v/>
      </c>
      <c r="BJ94" s="53" t="str">
        <f aca="false">IF($J94&lt;&gt;"",$J94,"")</f>
        <v/>
      </c>
      <c r="BL94" s="52"/>
      <c r="BM94" s="52" t="str">
        <f aca="false">IF(OR(COUNT(B94:D1093)=0,AND('Choix pédagogiques'!$C$3&lt;&gt;1,'Choix pédagogiques'!$C$3&lt;&gt;2)),"",IF(AND(OR('Choix pédagogiques'!$C$3=1,'Choix pédagogiques'!$C$3=2),$B94&lt;&gt;"",$C94&lt;&gt;"",$D94&lt;&gt;""),1,0))</f>
        <v/>
      </c>
      <c r="BN94" s="52" t="str">
        <f aca="false">IF(OR(COUNT(G94:I1093)=0,AND('Choix pédagogiques'!$C$3&lt;&gt;1,'Choix pédagogiques'!$C$3&lt;&gt;2)),"",IF(AND(OR('Choix pédagogiques'!$C$3=1,'Choix pédagogiques'!$C$3=2),AND($G94&lt;&gt;"",$H94&lt;&gt;"",$I94&lt;&gt;"")),1,0))</f>
        <v/>
      </c>
      <c r="BO94" s="52" t="str">
        <f aca="false">IF(OR(COUNT(B94:D1093)=0,COUNT(G94:I1093)=0,'Choix pédagogiques'!C$3&lt;&gt;3),"",IF(AND('Choix pédagogiques'!$C$3=3,$B94&lt;&gt;"",$C94&lt;&gt;"",$D94&lt;&gt;"",$G94&lt;&gt;"",$H94&lt;&gt;"",$I94&lt;&gt;""),1,0))</f>
        <v/>
      </c>
      <c r="BR94" s="52" t="n">
        <v>213</v>
      </c>
      <c r="BS94" s="52" t="n">
        <v>1449</v>
      </c>
    </row>
    <row r="95" s="54" customFormat="true" ht="18" hidden="false" customHeight="true" outlineLevel="0" collapsed="false">
      <c r="A95" s="57" t="s">
        <v>121</v>
      </c>
      <c r="B95" s="51"/>
      <c r="C95" s="51"/>
      <c r="D95" s="51"/>
      <c r="E95" s="51"/>
      <c r="F95" s="57" t="s">
        <v>122</v>
      </c>
      <c r="G95" s="51"/>
      <c r="H95" s="51"/>
      <c r="I95" s="51"/>
      <c r="J95" s="51"/>
      <c r="K95" s="52" t="str">
        <f aca="false">IF($A95&lt;&gt;"",$A95,"")</f>
        <v>Apprenant 83</v>
      </c>
      <c r="L95" s="53" t="str">
        <f aca="false">IF(AND($B95&lt;&gt;"",$C95&lt;&gt;""),$C95-$B95,"")</f>
        <v/>
      </c>
      <c r="M95" s="53" t="str">
        <f aca="false">IF(AND($B95&lt;&gt;"",$D95&lt;&gt;""),$D95-$B95,"")</f>
        <v/>
      </c>
      <c r="N95" s="53" t="str">
        <f aca="false">IF(AND($C95&lt;&gt;"",$D95&lt;&gt;""),$D95-$C95,"")</f>
        <v/>
      </c>
      <c r="O95" s="53" t="str">
        <f aca="false">IF($E95&lt;&gt;"",$E95,"")</f>
        <v/>
      </c>
      <c r="P95" s="52" t="str">
        <f aca="false">IF($F95&lt;&gt;"",$F95,"")</f>
        <v>Apprenant 83 ou 83'</v>
      </c>
      <c r="Q95" s="53" t="str">
        <f aca="false">IF(AND($G95&lt;&gt;"",$H95&lt;&gt;""),$H95-$G95,"")</f>
        <v/>
      </c>
      <c r="R95" s="53" t="str">
        <f aca="false">IF(AND($G95&lt;&gt;"",$I95&lt;&gt;""),$I95-$G95,"")</f>
        <v/>
      </c>
      <c r="S95" s="53" t="str">
        <f aca="false">IF(AND($H95&lt;&gt;"",$I95&lt;&gt;""),$I95-$H95,"")</f>
        <v/>
      </c>
      <c r="T95" s="53" t="str">
        <f aca="false">IF($J95&lt;&gt;"",$J95,"")</f>
        <v/>
      </c>
      <c r="V95" s="52" t="str">
        <f aca="false">IF($A95&lt;&gt;"",$A95,"")</f>
        <v>Apprenant 83</v>
      </c>
      <c r="W95" s="53" t="str">
        <f aca="false">IF(AND(OR('Choix pédagogiques'!$C$3=1,'Choix pédagogiques'!$C$3=2),$BM95=1),B95,IF(AND('Choix pédagogiques'!$C$3=3,$BO95=1),B95,""))</f>
        <v/>
      </c>
      <c r="X95" s="53" t="str">
        <f aca="false">IF(AND(OR('Choix pédagogiques'!$C$3=1,'Choix pédagogiques'!$C$3=2),$BM95=1),C95,IF(AND('Choix pédagogiques'!$C$3=3,$BO95=1),C95,""))</f>
        <v/>
      </c>
      <c r="Y95" s="53" t="str">
        <f aca="false">IF(AND(OR('Choix pédagogiques'!$C$3=1,'Choix pédagogiques'!$C$3=2),$BM95=1),D95,IF(AND('Choix pédagogiques'!$C$3=3,$BO95=1),D95,""))</f>
        <v/>
      </c>
      <c r="Z95" s="53" t="str">
        <f aca="false">IF($E95&lt;&gt;"",$E95,"")</f>
        <v/>
      </c>
      <c r="AA95" s="52" t="str">
        <f aca="false">IF($F95&lt;&gt;"",$F95,"")</f>
        <v>Apprenant 83 ou 83'</v>
      </c>
      <c r="AB95" s="53" t="str">
        <f aca="false">IF(AND(OR('Choix pédagogiques'!$C$3=1,'Choix pédagogiques'!$C$3=2),$BN95=1),G95,IF(AND('Choix pédagogiques'!$C$3=3,$BO95=1),G95,""))</f>
        <v/>
      </c>
      <c r="AC95" s="53" t="str">
        <f aca="false">IF(AND(OR('Choix pédagogiques'!$C$3=1,'Choix pédagogiques'!$C$3=2),$BN95=1),H95,IF(AND('Choix pédagogiques'!$C$3=3,$BO95=1),H95,""))</f>
        <v/>
      </c>
      <c r="AD95" s="53" t="str">
        <f aca="false">IF(AND(OR('Choix pédagogiques'!$C$3=1,'Choix pédagogiques'!$C$3=2),$BN95=1),I95,IF(AND('Choix pédagogiques'!$C$3=3,$BO95=1),I95,""))</f>
        <v/>
      </c>
      <c r="AE95" s="53" t="str">
        <f aca="false">IF($J95&lt;&gt;"",$J95,"")</f>
        <v/>
      </c>
      <c r="AF95" s="52" t="str">
        <f aca="false">IF($A95&lt;&gt;"",$A95,"")</f>
        <v>Apprenant 83</v>
      </c>
      <c r="AG95" s="53" t="str">
        <f aca="false">IF(AND($W95&lt;&gt;"",$X95&lt;&gt;""),$X95-$W95,"")</f>
        <v/>
      </c>
      <c r="AH95" s="53" t="str">
        <f aca="false">IF(AND($W95&lt;&gt;"",$Y95&lt;&gt;""),$Y95-$W95,"")</f>
        <v/>
      </c>
      <c r="AI95" s="53" t="str">
        <f aca="false">IF(AND($X95&lt;&gt;"",$Y95&lt;&gt;""),$Y95-$X95,"")</f>
        <v/>
      </c>
      <c r="AJ95" s="53" t="str">
        <f aca="false">IF($E95&lt;&gt;"",$E95,"")</f>
        <v/>
      </c>
      <c r="AK95" s="52" t="str">
        <f aca="false">IF($F95&lt;&gt;"",$F95,"")</f>
        <v>Apprenant 83 ou 83'</v>
      </c>
      <c r="AL95" s="53" t="str">
        <f aca="false">IF(AND($AB95&lt;&gt;"",$AC95&lt;&gt;""),$AC95-$AB95,"")</f>
        <v/>
      </c>
      <c r="AM95" s="53" t="str">
        <f aca="false">IF(AND($AB95&lt;&gt;"",$AD95&lt;&gt;""),$AD95-$AB95,"")</f>
        <v/>
      </c>
      <c r="AN95" s="53" t="str">
        <f aca="false">IF(AND($AC95&lt;&gt;"",$AD95&lt;&gt;""),$AD95-$AC95,"")</f>
        <v/>
      </c>
      <c r="AO95" s="53" t="str">
        <f aca="false">IF($J95&lt;&gt;"",$J95,"")</f>
        <v/>
      </c>
      <c r="AQ95" s="52" t="str">
        <f aca="false">IF($A95&lt;&gt;"",$A95,"")</f>
        <v>Apprenant 83</v>
      </c>
      <c r="AR95" s="55" t="str">
        <f aca="false">IF(AND('Choix pédagogiques'!$C$4&lt;&gt;"?",'Choix pédagogiques'!$C$5&lt;&gt;"?",W95&lt;&gt;""),(W95-'Choix pédagogiques'!$C$4)/('Choix pédagogiques'!$C$5-'Choix pédagogiques'!$C$4),"")</f>
        <v/>
      </c>
      <c r="AS95" s="55" t="str">
        <f aca="false">IF(AND('Choix pédagogiques'!$C$4&lt;&gt;"?",'Choix pédagogiques'!$C$5&lt;&gt;"?",X95&lt;&gt;""),(X95-'Choix pédagogiques'!$C$4)/('Choix pédagogiques'!$C$5-'Choix pédagogiques'!$C$4),"")</f>
        <v/>
      </c>
      <c r="AT95" s="55" t="str">
        <f aca="false">IF(AND('Choix pédagogiques'!$C$4&lt;&gt;"?",'Choix pédagogiques'!$C$5&lt;&gt;"?",Y95&lt;&gt;""),(Y95-'Choix pédagogiques'!$C$4)/('Choix pédagogiques'!$C$5-'Choix pédagogiques'!$C$4),"")</f>
        <v/>
      </c>
      <c r="AU95" s="53" t="str">
        <f aca="false">IF($E95&lt;&gt;"",$E95,"")</f>
        <v/>
      </c>
      <c r="AV95" s="52" t="str">
        <f aca="false">IF($F95&lt;&gt;"",$F95,"")</f>
        <v>Apprenant 83 ou 83'</v>
      </c>
      <c r="AW95" s="55" t="str">
        <f aca="false">IF(AND('Choix pédagogiques'!$C$4&lt;&gt;"?",'Choix pédagogiques'!$C$5&lt;&gt;"?",AB95&lt;&gt;""),(AB95-'Choix pédagogiques'!$C$4)/('Choix pédagogiques'!$C$5-'Choix pédagogiques'!$C$4),"")</f>
        <v/>
      </c>
      <c r="AX95" s="55" t="str">
        <f aca="false">IF(AND('Choix pédagogiques'!$C$4&lt;&gt;"?",'Choix pédagogiques'!$C$5&lt;&gt;"?",AC95&lt;&gt;""),(AC95-'Choix pédagogiques'!$C$4)/('Choix pédagogiques'!$C$5-'Choix pédagogiques'!$C$4),"")</f>
        <v/>
      </c>
      <c r="AY95" s="55" t="str">
        <f aca="false">IF(AND('Choix pédagogiques'!$C$4&lt;&gt;"?",'Choix pédagogiques'!$C$5&lt;&gt;"?",AD95&lt;&gt;""),(AD95-'Choix pédagogiques'!$C$4)/('Choix pédagogiques'!$C$5-'Choix pédagogiques'!$C$4),"")</f>
        <v/>
      </c>
      <c r="AZ95" s="53" t="str">
        <f aca="false">IF($J95&lt;&gt;"",$J95,"")</f>
        <v/>
      </c>
      <c r="BA95" s="52" t="str">
        <f aca="false">IF($A95&lt;&gt;"",$A95,"")</f>
        <v>Apprenant 83</v>
      </c>
      <c r="BB95" s="55" t="str">
        <f aca="false">IF(AND($AR95&lt;&gt;"",$AS95&lt;&gt;""),$AS95-$AR95,"")</f>
        <v/>
      </c>
      <c r="BC95" s="55" t="str">
        <f aca="false">IF(AND($AR95&lt;&gt;"",$AT95&lt;&gt;""),$AT95-$AR95,"")</f>
        <v/>
      </c>
      <c r="BD95" s="55" t="str">
        <f aca="false">IF(AND($AS95&lt;&gt;"",$AT95&lt;&gt;""),$AT95-$AS95,"")</f>
        <v/>
      </c>
      <c r="BE95" s="53" t="str">
        <f aca="false">IF($E95&lt;&gt;"",$E95,"")</f>
        <v/>
      </c>
      <c r="BF95" s="52" t="str">
        <f aca="false">IF($F95&lt;&gt;"",$F95,"")</f>
        <v>Apprenant 83 ou 83'</v>
      </c>
      <c r="BG95" s="55" t="str">
        <f aca="false">IF(AND($AW95&lt;&gt;"",$AX95&lt;&gt;""),$AX95-$AW95,"")</f>
        <v/>
      </c>
      <c r="BH95" s="55" t="str">
        <f aca="false">IF(AND($AW95&lt;&gt;"",$AY95&lt;&gt;""),$AY95-$AW95,"")</f>
        <v/>
      </c>
      <c r="BI95" s="55" t="str">
        <f aca="false">IF(AND($AX95&lt;&gt;"",$AY95&lt;&gt;""),$AY95-$AX95,"")</f>
        <v/>
      </c>
      <c r="BJ95" s="53" t="str">
        <f aca="false">IF($J95&lt;&gt;"",$J95,"")</f>
        <v/>
      </c>
      <c r="BL95" s="52"/>
      <c r="BM95" s="52" t="str">
        <f aca="false">IF(OR(COUNT(B95:D1094)=0,AND('Choix pédagogiques'!$C$3&lt;&gt;1,'Choix pédagogiques'!$C$3&lt;&gt;2)),"",IF(AND(OR('Choix pédagogiques'!$C$3=1,'Choix pédagogiques'!$C$3=2),$B95&lt;&gt;"",$C95&lt;&gt;"",$D95&lt;&gt;""),1,0))</f>
        <v/>
      </c>
      <c r="BN95" s="52" t="str">
        <f aca="false">IF(OR(COUNT(G95:I1094)=0,AND('Choix pédagogiques'!$C$3&lt;&gt;1,'Choix pédagogiques'!$C$3&lt;&gt;2)),"",IF(AND(OR('Choix pédagogiques'!$C$3=1,'Choix pédagogiques'!$C$3=2),AND($G95&lt;&gt;"",$H95&lt;&gt;"",$I95&lt;&gt;"")),1,0))</f>
        <v/>
      </c>
      <c r="BO95" s="52" t="str">
        <f aca="false">IF(OR(COUNT(B95:D1094)=0,COUNT(G95:I1094)=0,'Choix pédagogiques'!C$3&lt;&gt;3),"",IF(AND('Choix pédagogiques'!$C$3=3,$B95&lt;&gt;"",$C95&lt;&gt;"",$D95&lt;&gt;"",$G95&lt;&gt;"",$H95&lt;&gt;"",$I95&lt;&gt;""),1,0))</f>
        <v/>
      </c>
      <c r="BR95" s="52" t="n">
        <v>249</v>
      </c>
      <c r="BS95" s="52" t="n">
        <v>1467</v>
      </c>
    </row>
    <row r="96" s="54" customFormat="true" ht="18" hidden="false" customHeight="true" outlineLevel="0" collapsed="false">
      <c r="A96" s="57" t="s">
        <v>123</v>
      </c>
      <c r="B96" s="51"/>
      <c r="C96" s="51"/>
      <c r="D96" s="51"/>
      <c r="E96" s="51"/>
      <c r="F96" s="57" t="s">
        <v>124</v>
      </c>
      <c r="G96" s="51"/>
      <c r="H96" s="51"/>
      <c r="I96" s="51"/>
      <c r="J96" s="51"/>
      <c r="K96" s="52" t="str">
        <f aca="false">IF($A96&lt;&gt;"",$A96,"")</f>
        <v>Apprenant 84</v>
      </c>
      <c r="L96" s="53" t="str">
        <f aca="false">IF(AND($B96&lt;&gt;"",$C96&lt;&gt;""),$C96-$B96,"")</f>
        <v/>
      </c>
      <c r="M96" s="53" t="str">
        <f aca="false">IF(AND($B96&lt;&gt;"",$D96&lt;&gt;""),$D96-$B96,"")</f>
        <v/>
      </c>
      <c r="N96" s="53" t="str">
        <f aca="false">IF(AND($C96&lt;&gt;"",$D96&lt;&gt;""),$D96-$C96,"")</f>
        <v/>
      </c>
      <c r="O96" s="53" t="str">
        <f aca="false">IF($E96&lt;&gt;"",$E96,"")</f>
        <v/>
      </c>
      <c r="P96" s="52" t="str">
        <f aca="false">IF($F96&lt;&gt;"",$F96,"")</f>
        <v>Apprenant 84 ou 84'</v>
      </c>
      <c r="Q96" s="53" t="str">
        <f aca="false">IF(AND($G96&lt;&gt;"",$H96&lt;&gt;""),$H96-$G96,"")</f>
        <v/>
      </c>
      <c r="R96" s="53" t="str">
        <f aca="false">IF(AND($G96&lt;&gt;"",$I96&lt;&gt;""),$I96-$G96,"")</f>
        <v/>
      </c>
      <c r="S96" s="53" t="str">
        <f aca="false">IF(AND($H96&lt;&gt;"",$I96&lt;&gt;""),$I96-$H96,"")</f>
        <v/>
      </c>
      <c r="T96" s="53" t="str">
        <f aca="false">IF($J96&lt;&gt;"",$J96,"")</f>
        <v/>
      </c>
      <c r="V96" s="52" t="str">
        <f aca="false">IF($A96&lt;&gt;"",$A96,"")</f>
        <v>Apprenant 84</v>
      </c>
      <c r="W96" s="53" t="str">
        <f aca="false">IF(AND(OR('Choix pédagogiques'!$C$3=1,'Choix pédagogiques'!$C$3=2),$BM96=1),B96,IF(AND('Choix pédagogiques'!$C$3=3,$BO96=1),B96,""))</f>
        <v/>
      </c>
      <c r="X96" s="53" t="str">
        <f aca="false">IF(AND(OR('Choix pédagogiques'!$C$3=1,'Choix pédagogiques'!$C$3=2),$BM96=1),C96,IF(AND('Choix pédagogiques'!$C$3=3,$BO96=1),C96,""))</f>
        <v/>
      </c>
      <c r="Y96" s="53" t="str">
        <f aca="false">IF(AND(OR('Choix pédagogiques'!$C$3=1,'Choix pédagogiques'!$C$3=2),$BM96=1),D96,IF(AND('Choix pédagogiques'!$C$3=3,$BO96=1),D96,""))</f>
        <v/>
      </c>
      <c r="Z96" s="53" t="str">
        <f aca="false">IF($E96&lt;&gt;"",$E96,"")</f>
        <v/>
      </c>
      <c r="AA96" s="52" t="str">
        <f aca="false">IF($F96&lt;&gt;"",$F96,"")</f>
        <v>Apprenant 84 ou 84'</v>
      </c>
      <c r="AB96" s="53" t="str">
        <f aca="false">IF(AND(OR('Choix pédagogiques'!$C$3=1,'Choix pédagogiques'!$C$3=2),$BN96=1),G96,IF(AND('Choix pédagogiques'!$C$3=3,$BO96=1),G96,""))</f>
        <v/>
      </c>
      <c r="AC96" s="53" t="str">
        <f aca="false">IF(AND(OR('Choix pédagogiques'!$C$3=1,'Choix pédagogiques'!$C$3=2),$BN96=1),H96,IF(AND('Choix pédagogiques'!$C$3=3,$BO96=1),H96,""))</f>
        <v/>
      </c>
      <c r="AD96" s="53" t="str">
        <f aca="false">IF(AND(OR('Choix pédagogiques'!$C$3=1,'Choix pédagogiques'!$C$3=2),$BN96=1),I96,IF(AND('Choix pédagogiques'!$C$3=3,$BO96=1),I96,""))</f>
        <v/>
      </c>
      <c r="AE96" s="53" t="str">
        <f aca="false">IF($J96&lt;&gt;"",$J96,"")</f>
        <v/>
      </c>
      <c r="AF96" s="52" t="str">
        <f aca="false">IF($A96&lt;&gt;"",$A96,"")</f>
        <v>Apprenant 84</v>
      </c>
      <c r="AG96" s="53" t="str">
        <f aca="false">IF(AND($W96&lt;&gt;"",$X96&lt;&gt;""),$X96-$W96,"")</f>
        <v/>
      </c>
      <c r="AH96" s="53" t="str">
        <f aca="false">IF(AND($W96&lt;&gt;"",$Y96&lt;&gt;""),$Y96-$W96,"")</f>
        <v/>
      </c>
      <c r="AI96" s="53" t="str">
        <f aca="false">IF(AND($X96&lt;&gt;"",$Y96&lt;&gt;""),$Y96-$X96,"")</f>
        <v/>
      </c>
      <c r="AJ96" s="53" t="str">
        <f aca="false">IF($E96&lt;&gt;"",$E96,"")</f>
        <v/>
      </c>
      <c r="AK96" s="52" t="str">
        <f aca="false">IF($F96&lt;&gt;"",$F96,"")</f>
        <v>Apprenant 84 ou 84'</v>
      </c>
      <c r="AL96" s="53" t="str">
        <f aca="false">IF(AND($AB96&lt;&gt;"",$AC96&lt;&gt;""),$AC96-$AB96,"")</f>
        <v/>
      </c>
      <c r="AM96" s="53" t="str">
        <f aca="false">IF(AND($AB96&lt;&gt;"",$AD96&lt;&gt;""),$AD96-$AB96,"")</f>
        <v/>
      </c>
      <c r="AN96" s="53" t="str">
        <f aca="false">IF(AND($AC96&lt;&gt;"",$AD96&lt;&gt;""),$AD96-$AC96,"")</f>
        <v/>
      </c>
      <c r="AO96" s="53" t="str">
        <f aca="false">IF($J96&lt;&gt;"",$J96,"")</f>
        <v/>
      </c>
      <c r="AQ96" s="52" t="str">
        <f aca="false">IF($A96&lt;&gt;"",$A96,"")</f>
        <v>Apprenant 84</v>
      </c>
      <c r="AR96" s="55" t="str">
        <f aca="false">IF(AND('Choix pédagogiques'!$C$4&lt;&gt;"?",'Choix pédagogiques'!$C$5&lt;&gt;"?",W96&lt;&gt;""),(W96-'Choix pédagogiques'!$C$4)/('Choix pédagogiques'!$C$5-'Choix pédagogiques'!$C$4),"")</f>
        <v/>
      </c>
      <c r="AS96" s="55" t="str">
        <f aca="false">IF(AND('Choix pédagogiques'!$C$4&lt;&gt;"?",'Choix pédagogiques'!$C$5&lt;&gt;"?",X96&lt;&gt;""),(X96-'Choix pédagogiques'!$C$4)/('Choix pédagogiques'!$C$5-'Choix pédagogiques'!$C$4),"")</f>
        <v/>
      </c>
      <c r="AT96" s="55" t="str">
        <f aca="false">IF(AND('Choix pédagogiques'!$C$4&lt;&gt;"?",'Choix pédagogiques'!$C$5&lt;&gt;"?",Y96&lt;&gt;""),(Y96-'Choix pédagogiques'!$C$4)/('Choix pédagogiques'!$C$5-'Choix pédagogiques'!$C$4),"")</f>
        <v/>
      </c>
      <c r="AU96" s="53" t="str">
        <f aca="false">IF($E96&lt;&gt;"",$E96,"")</f>
        <v/>
      </c>
      <c r="AV96" s="52" t="str">
        <f aca="false">IF($F96&lt;&gt;"",$F96,"")</f>
        <v>Apprenant 84 ou 84'</v>
      </c>
      <c r="AW96" s="55" t="str">
        <f aca="false">IF(AND('Choix pédagogiques'!$C$4&lt;&gt;"?",'Choix pédagogiques'!$C$5&lt;&gt;"?",AB96&lt;&gt;""),(AB96-'Choix pédagogiques'!$C$4)/('Choix pédagogiques'!$C$5-'Choix pédagogiques'!$C$4),"")</f>
        <v/>
      </c>
      <c r="AX96" s="55" t="str">
        <f aca="false">IF(AND('Choix pédagogiques'!$C$4&lt;&gt;"?",'Choix pédagogiques'!$C$5&lt;&gt;"?",AC96&lt;&gt;""),(AC96-'Choix pédagogiques'!$C$4)/('Choix pédagogiques'!$C$5-'Choix pédagogiques'!$C$4),"")</f>
        <v/>
      </c>
      <c r="AY96" s="55" t="str">
        <f aca="false">IF(AND('Choix pédagogiques'!$C$4&lt;&gt;"?",'Choix pédagogiques'!$C$5&lt;&gt;"?",AD96&lt;&gt;""),(AD96-'Choix pédagogiques'!$C$4)/('Choix pédagogiques'!$C$5-'Choix pédagogiques'!$C$4),"")</f>
        <v/>
      </c>
      <c r="AZ96" s="53" t="str">
        <f aca="false">IF($J96&lt;&gt;"",$J96,"")</f>
        <v/>
      </c>
      <c r="BA96" s="52" t="str">
        <f aca="false">IF($A96&lt;&gt;"",$A96,"")</f>
        <v>Apprenant 84</v>
      </c>
      <c r="BB96" s="55" t="str">
        <f aca="false">IF(AND($AR96&lt;&gt;"",$AS96&lt;&gt;""),$AS96-$AR96,"")</f>
        <v/>
      </c>
      <c r="BC96" s="55" t="str">
        <f aca="false">IF(AND($AR96&lt;&gt;"",$AT96&lt;&gt;""),$AT96-$AR96,"")</f>
        <v/>
      </c>
      <c r="BD96" s="55" t="str">
        <f aca="false">IF(AND($AS96&lt;&gt;"",$AT96&lt;&gt;""),$AT96-$AS96,"")</f>
        <v/>
      </c>
      <c r="BE96" s="53" t="str">
        <f aca="false">IF($E96&lt;&gt;"",$E96,"")</f>
        <v/>
      </c>
      <c r="BF96" s="52" t="str">
        <f aca="false">IF($F96&lt;&gt;"",$F96,"")</f>
        <v>Apprenant 84 ou 84'</v>
      </c>
      <c r="BG96" s="55" t="str">
        <f aca="false">IF(AND($AW96&lt;&gt;"",$AX96&lt;&gt;""),$AX96-$AW96,"")</f>
        <v/>
      </c>
      <c r="BH96" s="55" t="str">
        <f aca="false">IF(AND($AW96&lt;&gt;"",$AY96&lt;&gt;""),$AY96-$AW96,"")</f>
        <v/>
      </c>
      <c r="BI96" s="55" t="str">
        <f aca="false">IF(AND($AX96&lt;&gt;"",$AY96&lt;&gt;""),$AY96-$AX96,"")</f>
        <v/>
      </c>
      <c r="BJ96" s="53" t="str">
        <f aca="false">IF($J96&lt;&gt;"",$J96,"")</f>
        <v/>
      </c>
      <c r="BL96" s="52"/>
      <c r="BM96" s="52" t="str">
        <f aca="false">IF(OR(COUNT(B96:D1095)=0,AND('Choix pédagogiques'!$C$3&lt;&gt;1,'Choix pédagogiques'!$C$3&lt;&gt;2)),"",IF(AND(OR('Choix pédagogiques'!$C$3=1,'Choix pédagogiques'!$C$3=2),$B96&lt;&gt;"",$C96&lt;&gt;"",$D96&lt;&gt;""),1,0))</f>
        <v/>
      </c>
      <c r="BN96" s="52" t="str">
        <f aca="false">IF(OR(COUNT(G96:I1095)=0,AND('Choix pédagogiques'!$C$3&lt;&gt;1,'Choix pédagogiques'!$C$3&lt;&gt;2)),"",IF(AND(OR('Choix pédagogiques'!$C$3=1,'Choix pédagogiques'!$C$3=2),AND($G96&lt;&gt;"",$H96&lt;&gt;"",$I96&lt;&gt;"")),1,0))</f>
        <v/>
      </c>
      <c r="BO96" s="52" t="str">
        <f aca="false">IF(OR(COUNT(B96:D1095)=0,COUNT(G96:I1095)=0,'Choix pédagogiques'!C$3&lt;&gt;3),"",IF(AND('Choix pédagogiques'!$C$3=3,$B96&lt;&gt;"",$C96&lt;&gt;"",$D96&lt;&gt;"",$G96&lt;&gt;"",$H96&lt;&gt;"",$I96&lt;&gt;""),1,0))</f>
        <v/>
      </c>
      <c r="BR96" s="52" t="n">
        <v>393</v>
      </c>
      <c r="BS96" s="52" t="n">
        <v>1741</v>
      </c>
    </row>
    <row r="97" s="54" customFormat="true" ht="18" hidden="false" customHeight="true" outlineLevel="0" collapsed="false">
      <c r="A97" s="57" t="s">
        <v>125</v>
      </c>
      <c r="B97" s="51"/>
      <c r="C97" s="51"/>
      <c r="D97" s="51"/>
      <c r="E97" s="51"/>
      <c r="F97" s="57" t="s">
        <v>126</v>
      </c>
      <c r="G97" s="51"/>
      <c r="H97" s="51"/>
      <c r="I97" s="51"/>
      <c r="J97" s="51"/>
      <c r="K97" s="52" t="str">
        <f aca="false">IF($A97&lt;&gt;"",$A97,"")</f>
        <v>Apprenant 85</v>
      </c>
      <c r="L97" s="53" t="str">
        <f aca="false">IF(AND($B97&lt;&gt;"",$C97&lt;&gt;""),$C97-$B97,"")</f>
        <v/>
      </c>
      <c r="M97" s="53" t="str">
        <f aca="false">IF(AND($B97&lt;&gt;"",$D97&lt;&gt;""),$D97-$B97,"")</f>
        <v/>
      </c>
      <c r="N97" s="53" t="str">
        <f aca="false">IF(AND($C97&lt;&gt;"",$D97&lt;&gt;""),$D97-$C97,"")</f>
        <v/>
      </c>
      <c r="O97" s="53" t="str">
        <f aca="false">IF($E97&lt;&gt;"",$E97,"")</f>
        <v/>
      </c>
      <c r="P97" s="52" t="str">
        <f aca="false">IF($F97&lt;&gt;"",$F97,"")</f>
        <v>Apprenant 85 ou 85'</v>
      </c>
      <c r="Q97" s="53" t="str">
        <f aca="false">IF(AND($G97&lt;&gt;"",$H97&lt;&gt;""),$H97-$G97,"")</f>
        <v/>
      </c>
      <c r="R97" s="53" t="str">
        <f aca="false">IF(AND($G97&lt;&gt;"",$I97&lt;&gt;""),$I97-$G97,"")</f>
        <v/>
      </c>
      <c r="S97" s="53" t="str">
        <f aca="false">IF(AND($H97&lt;&gt;"",$I97&lt;&gt;""),$I97-$H97,"")</f>
        <v/>
      </c>
      <c r="T97" s="53" t="str">
        <f aca="false">IF($J97&lt;&gt;"",$J97,"")</f>
        <v/>
      </c>
      <c r="V97" s="52" t="str">
        <f aca="false">IF($A97&lt;&gt;"",$A97,"")</f>
        <v>Apprenant 85</v>
      </c>
      <c r="W97" s="53" t="str">
        <f aca="false">IF(AND(OR('Choix pédagogiques'!$C$3=1,'Choix pédagogiques'!$C$3=2),$BM97=1),B97,IF(AND('Choix pédagogiques'!$C$3=3,$BO97=1),B97,""))</f>
        <v/>
      </c>
      <c r="X97" s="53" t="str">
        <f aca="false">IF(AND(OR('Choix pédagogiques'!$C$3=1,'Choix pédagogiques'!$C$3=2),$BM97=1),C97,IF(AND('Choix pédagogiques'!$C$3=3,$BO97=1),C97,""))</f>
        <v/>
      </c>
      <c r="Y97" s="53" t="str">
        <f aca="false">IF(AND(OR('Choix pédagogiques'!$C$3=1,'Choix pédagogiques'!$C$3=2),$BM97=1),D97,IF(AND('Choix pédagogiques'!$C$3=3,$BO97=1),D97,""))</f>
        <v/>
      </c>
      <c r="Z97" s="53" t="str">
        <f aca="false">IF($E97&lt;&gt;"",$E97,"")</f>
        <v/>
      </c>
      <c r="AA97" s="52" t="str">
        <f aca="false">IF($F97&lt;&gt;"",$F97,"")</f>
        <v>Apprenant 85 ou 85'</v>
      </c>
      <c r="AB97" s="53" t="str">
        <f aca="false">IF(AND(OR('Choix pédagogiques'!$C$3=1,'Choix pédagogiques'!$C$3=2),$BN97=1),G97,IF(AND('Choix pédagogiques'!$C$3=3,$BO97=1),G97,""))</f>
        <v/>
      </c>
      <c r="AC97" s="53" t="str">
        <f aca="false">IF(AND(OR('Choix pédagogiques'!$C$3=1,'Choix pédagogiques'!$C$3=2),$BN97=1),H97,IF(AND('Choix pédagogiques'!$C$3=3,$BO97=1),H97,""))</f>
        <v/>
      </c>
      <c r="AD97" s="53" t="str">
        <f aca="false">IF(AND(OR('Choix pédagogiques'!$C$3=1,'Choix pédagogiques'!$C$3=2),$BN97=1),I97,IF(AND('Choix pédagogiques'!$C$3=3,$BO97=1),I97,""))</f>
        <v/>
      </c>
      <c r="AE97" s="53" t="str">
        <f aca="false">IF($J97&lt;&gt;"",$J97,"")</f>
        <v/>
      </c>
      <c r="AF97" s="52" t="str">
        <f aca="false">IF($A97&lt;&gt;"",$A97,"")</f>
        <v>Apprenant 85</v>
      </c>
      <c r="AG97" s="53" t="str">
        <f aca="false">IF(AND($W97&lt;&gt;"",$X97&lt;&gt;""),$X97-$W97,"")</f>
        <v/>
      </c>
      <c r="AH97" s="53" t="str">
        <f aca="false">IF(AND($W97&lt;&gt;"",$Y97&lt;&gt;""),$Y97-$W97,"")</f>
        <v/>
      </c>
      <c r="AI97" s="53" t="str">
        <f aca="false">IF(AND($X97&lt;&gt;"",$Y97&lt;&gt;""),$Y97-$X97,"")</f>
        <v/>
      </c>
      <c r="AJ97" s="53" t="str">
        <f aca="false">IF($E97&lt;&gt;"",$E97,"")</f>
        <v/>
      </c>
      <c r="AK97" s="52" t="str">
        <f aca="false">IF($F97&lt;&gt;"",$F97,"")</f>
        <v>Apprenant 85 ou 85'</v>
      </c>
      <c r="AL97" s="53" t="str">
        <f aca="false">IF(AND($AB97&lt;&gt;"",$AC97&lt;&gt;""),$AC97-$AB97,"")</f>
        <v/>
      </c>
      <c r="AM97" s="53" t="str">
        <f aca="false">IF(AND($AB97&lt;&gt;"",$AD97&lt;&gt;""),$AD97-$AB97,"")</f>
        <v/>
      </c>
      <c r="AN97" s="53" t="str">
        <f aca="false">IF(AND($AC97&lt;&gt;"",$AD97&lt;&gt;""),$AD97-$AC97,"")</f>
        <v/>
      </c>
      <c r="AO97" s="53" t="str">
        <f aca="false">IF($J97&lt;&gt;"",$J97,"")</f>
        <v/>
      </c>
      <c r="AQ97" s="52" t="str">
        <f aca="false">IF($A97&lt;&gt;"",$A97,"")</f>
        <v>Apprenant 85</v>
      </c>
      <c r="AR97" s="55" t="str">
        <f aca="false">IF(AND('Choix pédagogiques'!$C$4&lt;&gt;"?",'Choix pédagogiques'!$C$5&lt;&gt;"?",W97&lt;&gt;""),(W97-'Choix pédagogiques'!$C$4)/('Choix pédagogiques'!$C$5-'Choix pédagogiques'!$C$4),"")</f>
        <v/>
      </c>
      <c r="AS97" s="55" t="str">
        <f aca="false">IF(AND('Choix pédagogiques'!$C$4&lt;&gt;"?",'Choix pédagogiques'!$C$5&lt;&gt;"?",X97&lt;&gt;""),(X97-'Choix pédagogiques'!$C$4)/('Choix pédagogiques'!$C$5-'Choix pédagogiques'!$C$4),"")</f>
        <v/>
      </c>
      <c r="AT97" s="55" t="str">
        <f aca="false">IF(AND('Choix pédagogiques'!$C$4&lt;&gt;"?",'Choix pédagogiques'!$C$5&lt;&gt;"?",Y97&lt;&gt;""),(Y97-'Choix pédagogiques'!$C$4)/('Choix pédagogiques'!$C$5-'Choix pédagogiques'!$C$4),"")</f>
        <v/>
      </c>
      <c r="AU97" s="53" t="str">
        <f aca="false">IF($E97&lt;&gt;"",$E97,"")</f>
        <v/>
      </c>
      <c r="AV97" s="52" t="str">
        <f aca="false">IF($F97&lt;&gt;"",$F97,"")</f>
        <v>Apprenant 85 ou 85'</v>
      </c>
      <c r="AW97" s="55" t="str">
        <f aca="false">IF(AND('Choix pédagogiques'!$C$4&lt;&gt;"?",'Choix pédagogiques'!$C$5&lt;&gt;"?",AB97&lt;&gt;""),(AB97-'Choix pédagogiques'!$C$4)/('Choix pédagogiques'!$C$5-'Choix pédagogiques'!$C$4),"")</f>
        <v/>
      </c>
      <c r="AX97" s="55" t="str">
        <f aca="false">IF(AND('Choix pédagogiques'!$C$4&lt;&gt;"?",'Choix pédagogiques'!$C$5&lt;&gt;"?",AC97&lt;&gt;""),(AC97-'Choix pédagogiques'!$C$4)/('Choix pédagogiques'!$C$5-'Choix pédagogiques'!$C$4),"")</f>
        <v/>
      </c>
      <c r="AY97" s="55" t="str">
        <f aca="false">IF(AND('Choix pédagogiques'!$C$4&lt;&gt;"?",'Choix pédagogiques'!$C$5&lt;&gt;"?",AD97&lt;&gt;""),(AD97-'Choix pédagogiques'!$C$4)/('Choix pédagogiques'!$C$5-'Choix pédagogiques'!$C$4),"")</f>
        <v/>
      </c>
      <c r="AZ97" s="53" t="str">
        <f aca="false">IF($J97&lt;&gt;"",$J97,"")</f>
        <v/>
      </c>
      <c r="BA97" s="52" t="str">
        <f aca="false">IF($A97&lt;&gt;"",$A97,"")</f>
        <v>Apprenant 85</v>
      </c>
      <c r="BB97" s="55" t="str">
        <f aca="false">IF(AND($AR97&lt;&gt;"",$AS97&lt;&gt;""),$AS97-$AR97,"")</f>
        <v/>
      </c>
      <c r="BC97" s="55" t="str">
        <f aca="false">IF(AND($AR97&lt;&gt;"",$AT97&lt;&gt;""),$AT97-$AR97,"")</f>
        <v/>
      </c>
      <c r="BD97" s="55" t="str">
        <f aca="false">IF(AND($AS97&lt;&gt;"",$AT97&lt;&gt;""),$AT97-$AS97,"")</f>
        <v/>
      </c>
      <c r="BE97" s="53" t="str">
        <f aca="false">IF($E97&lt;&gt;"",$E97,"")</f>
        <v/>
      </c>
      <c r="BF97" s="52" t="str">
        <f aca="false">IF($F97&lt;&gt;"",$F97,"")</f>
        <v>Apprenant 85 ou 85'</v>
      </c>
      <c r="BG97" s="55" t="str">
        <f aca="false">IF(AND($AW97&lt;&gt;"",$AX97&lt;&gt;""),$AX97-$AW97,"")</f>
        <v/>
      </c>
      <c r="BH97" s="55" t="str">
        <f aca="false">IF(AND($AW97&lt;&gt;"",$AY97&lt;&gt;""),$AY97-$AW97,"")</f>
        <v/>
      </c>
      <c r="BI97" s="55" t="str">
        <f aca="false">IF(AND($AX97&lt;&gt;"",$AY97&lt;&gt;""),$AY97-$AX97,"")</f>
        <v/>
      </c>
      <c r="BJ97" s="53" t="str">
        <f aca="false">IF($J97&lt;&gt;"",$J97,"")</f>
        <v/>
      </c>
      <c r="BL97" s="52"/>
      <c r="BM97" s="52" t="str">
        <f aca="false">IF(OR(COUNT(B97:D1096)=0,AND('Choix pédagogiques'!$C$3&lt;&gt;1,'Choix pédagogiques'!$C$3&lt;&gt;2)),"",IF(AND(OR('Choix pédagogiques'!$C$3=1,'Choix pédagogiques'!$C$3=2),$B97&lt;&gt;"",$C97&lt;&gt;"",$D97&lt;&gt;""),1,0))</f>
        <v/>
      </c>
      <c r="BN97" s="52" t="str">
        <f aca="false">IF(OR(COUNT(G97:I1096)=0,AND('Choix pédagogiques'!$C$3&lt;&gt;1,'Choix pédagogiques'!$C$3&lt;&gt;2)),"",IF(AND(OR('Choix pédagogiques'!$C$3=1,'Choix pédagogiques'!$C$3=2),AND($G97&lt;&gt;"",$H97&lt;&gt;"",$I97&lt;&gt;"")),1,0))</f>
        <v/>
      </c>
      <c r="BO97" s="52" t="str">
        <f aca="false">IF(OR(COUNT(B97:D1096)=0,COUNT(G97:I1096)=0,'Choix pédagogiques'!C$3&lt;&gt;3),"",IF(AND('Choix pédagogiques'!$C$3=3,$B97&lt;&gt;"",$C97&lt;&gt;"",$D97&lt;&gt;"",$G97&lt;&gt;"",$H97&lt;&gt;"",$I97&lt;&gt;""),1,0))</f>
        <v/>
      </c>
      <c r="BR97" s="52" t="n">
        <v>558</v>
      </c>
      <c r="BS97" s="52" t="n">
        <v>1782</v>
      </c>
    </row>
    <row r="98" s="54" customFormat="true" ht="18" hidden="false" customHeight="true" outlineLevel="0" collapsed="false">
      <c r="A98" s="57" t="s">
        <v>127</v>
      </c>
      <c r="B98" s="51"/>
      <c r="C98" s="51"/>
      <c r="D98" s="51"/>
      <c r="E98" s="51"/>
      <c r="F98" s="57" t="s">
        <v>128</v>
      </c>
      <c r="G98" s="51"/>
      <c r="H98" s="51"/>
      <c r="I98" s="51"/>
      <c r="J98" s="51"/>
      <c r="K98" s="52" t="str">
        <f aca="false">IF($A98&lt;&gt;"",$A98,"")</f>
        <v>Apprenant 86</v>
      </c>
      <c r="L98" s="53" t="str">
        <f aca="false">IF(AND($B98&lt;&gt;"",$C98&lt;&gt;""),$C98-$B98,"")</f>
        <v/>
      </c>
      <c r="M98" s="53" t="str">
        <f aca="false">IF(AND($B98&lt;&gt;"",$D98&lt;&gt;""),$D98-$B98,"")</f>
        <v/>
      </c>
      <c r="N98" s="53" t="str">
        <f aca="false">IF(AND($C98&lt;&gt;"",$D98&lt;&gt;""),$D98-$C98,"")</f>
        <v/>
      </c>
      <c r="O98" s="53" t="str">
        <f aca="false">IF($E98&lt;&gt;"",$E98,"")</f>
        <v/>
      </c>
      <c r="P98" s="52" t="str">
        <f aca="false">IF($F98&lt;&gt;"",$F98,"")</f>
        <v>Apprenant 86 ou 86'</v>
      </c>
      <c r="Q98" s="53" t="str">
        <f aca="false">IF(AND($G98&lt;&gt;"",$H98&lt;&gt;""),$H98-$G98,"")</f>
        <v/>
      </c>
      <c r="R98" s="53" t="str">
        <f aca="false">IF(AND($G98&lt;&gt;"",$I98&lt;&gt;""),$I98-$G98,"")</f>
        <v/>
      </c>
      <c r="S98" s="53" t="str">
        <f aca="false">IF(AND($H98&lt;&gt;"",$I98&lt;&gt;""),$I98-$H98,"")</f>
        <v/>
      </c>
      <c r="T98" s="53" t="str">
        <f aca="false">IF($J98&lt;&gt;"",$J98,"")</f>
        <v/>
      </c>
      <c r="V98" s="52" t="str">
        <f aca="false">IF($A98&lt;&gt;"",$A98,"")</f>
        <v>Apprenant 86</v>
      </c>
      <c r="W98" s="53" t="str">
        <f aca="false">IF(AND(OR('Choix pédagogiques'!$C$3=1,'Choix pédagogiques'!$C$3=2),$BM98=1),B98,IF(AND('Choix pédagogiques'!$C$3=3,$BO98=1),B98,""))</f>
        <v/>
      </c>
      <c r="X98" s="53" t="str">
        <f aca="false">IF(AND(OR('Choix pédagogiques'!$C$3=1,'Choix pédagogiques'!$C$3=2),$BM98=1),C98,IF(AND('Choix pédagogiques'!$C$3=3,$BO98=1),C98,""))</f>
        <v/>
      </c>
      <c r="Y98" s="53" t="str">
        <f aca="false">IF(AND(OR('Choix pédagogiques'!$C$3=1,'Choix pédagogiques'!$C$3=2),$BM98=1),D98,IF(AND('Choix pédagogiques'!$C$3=3,$BO98=1),D98,""))</f>
        <v/>
      </c>
      <c r="Z98" s="53" t="str">
        <f aca="false">IF($E98&lt;&gt;"",$E98,"")</f>
        <v/>
      </c>
      <c r="AA98" s="52" t="str">
        <f aca="false">IF($F98&lt;&gt;"",$F98,"")</f>
        <v>Apprenant 86 ou 86'</v>
      </c>
      <c r="AB98" s="53" t="str">
        <f aca="false">IF(AND(OR('Choix pédagogiques'!$C$3=1,'Choix pédagogiques'!$C$3=2),$BN98=1),G98,IF(AND('Choix pédagogiques'!$C$3=3,$BO98=1),G98,""))</f>
        <v/>
      </c>
      <c r="AC98" s="53" t="str">
        <f aca="false">IF(AND(OR('Choix pédagogiques'!$C$3=1,'Choix pédagogiques'!$C$3=2),$BN98=1),H98,IF(AND('Choix pédagogiques'!$C$3=3,$BO98=1),H98,""))</f>
        <v/>
      </c>
      <c r="AD98" s="53" t="str">
        <f aca="false">IF(AND(OR('Choix pédagogiques'!$C$3=1,'Choix pédagogiques'!$C$3=2),$BN98=1),I98,IF(AND('Choix pédagogiques'!$C$3=3,$BO98=1),I98,""))</f>
        <v/>
      </c>
      <c r="AE98" s="53" t="str">
        <f aca="false">IF($J98&lt;&gt;"",$J98,"")</f>
        <v/>
      </c>
      <c r="AF98" s="52" t="str">
        <f aca="false">IF($A98&lt;&gt;"",$A98,"")</f>
        <v>Apprenant 86</v>
      </c>
      <c r="AG98" s="53" t="str">
        <f aca="false">IF(AND($W98&lt;&gt;"",$X98&lt;&gt;""),$X98-$W98,"")</f>
        <v/>
      </c>
      <c r="AH98" s="53" t="str">
        <f aca="false">IF(AND($W98&lt;&gt;"",$Y98&lt;&gt;""),$Y98-$W98,"")</f>
        <v/>
      </c>
      <c r="AI98" s="53" t="str">
        <f aca="false">IF(AND($X98&lt;&gt;"",$Y98&lt;&gt;""),$Y98-$X98,"")</f>
        <v/>
      </c>
      <c r="AJ98" s="53" t="str">
        <f aca="false">IF($E98&lt;&gt;"",$E98,"")</f>
        <v/>
      </c>
      <c r="AK98" s="52" t="str">
        <f aca="false">IF($F98&lt;&gt;"",$F98,"")</f>
        <v>Apprenant 86 ou 86'</v>
      </c>
      <c r="AL98" s="53" t="str">
        <f aca="false">IF(AND($AB98&lt;&gt;"",$AC98&lt;&gt;""),$AC98-$AB98,"")</f>
        <v/>
      </c>
      <c r="AM98" s="53" t="str">
        <f aca="false">IF(AND($AB98&lt;&gt;"",$AD98&lt;&gt;""),$AD98-$AB98,"")</f>
        <v/>
      </c>
      <c r="AN98" s="53" t="str">
        <f aca="false">IF(AND($AC98&lt;&gt;"",$AD98&lt;&gt;""),$AD98-$AC98,"")</f>
        <v/>
      </c>
      <c r="AO98" s="53" t="str">
        <f aca="false">IF($J98&lt;&gt;"",$J98,"")</f>
        <v/>
      </c>
      <c r="AQ98" s="52" t="str">
        <f aca="false">IF($A98&lt;&gt;"",$A98,"")</f>
        <v>Apprenant 86</v>
      </c>
      <c r="AR98" s="55" t="str">
        <f aca="false">IF(AND('Choix pédagogiques'!$C$4&lt;&gt;"?",'Choix pédagogiques'!$C$5&lt;&gt;"?",W98&lt;&gt;""),(W98-'Choix pédagogiques'!$C$4)/('Choix pédagogiques'!$C$5-'Choix pédagogiques'!$C$4),"")</f>
        <v/>
      </c>
      <c r="AS98" s="55" t="str">
        <f aca="false">IF(AND('Choix pédagogiques'!$C$4&lt;&gt;"?",'Choix pédagogiques'!$C$5&lt;&gt;"?",X98&lt;&gt;""),(X98-'Choix pédagogiques'!$C$4)/('Choix pédagogiques'!$C$5-'Choix pédagogiques'!$C$4),"")</f>
        <v/>
      </c>
      <c r="AT98" s="55" t="str">
        <f aca="false">IF(AND('Choix pédagogiques'!$C$4&lt;&gt;"?",'Choix pédagogiques'!$C$5&lt;&gt;"?",Y98&lt;&gt;""),(Y98-'Choix pédagogiques'!$C$4)/('Choix pédagogiques'!$C$5-'Choix pédagogiques'!$C$4),"")</f>
        <v/>
      </c>
      <c r="AU98" s="53" t="str">
        <f aca="false">IF($E98&lt;&gt;"",$E98,"")</f>
        <v/>
      </c>
      <c r="AV98" s="52" t="str">
        <f aca="false">IF($F98&lt;&gt;"",$F98,"")</f>
        <v>Apprenant 86 ou 86'</v>
      </c>
      <c r="AW98" s="55" t="str">
        <f aca="false">IF(AND('Choix pédagogiques'!$C$4&lt;&gt;"?",'Choix pédagogiques'!$C$5&lt;&gt;"?",AB98&lt;&gt;""),(AB98-'Choix pédagogiques'!$C$4)/('Choix pédagogiques'!$C$5-'Choix pédagogiques'!$C$4),"")</f>
        <v/>
      </c>
      <c r="AX98" s="55" t="str">
        <f aca="false">IF(AND('Choix pédagogiques'!$C$4&lt;&gt;"?",'Choix pédagogiques'!$C$5&lt;&gt;"?",AC98&lt;&gt;""),(AC98-'Choix pédagogiques'!$C$4)/('Choix pédagogiques'!$C$5-'Choix pédagogiques'!$C$4),"")</f>
        <v/>
      </c>
      <c r="AY98" s="55" t="str">
        <f aca="false">IF(AND('Choix pédagogiques'!$C$4&lt;&gt;"?",'Choix pédagogiques'!$C$5&lt;&gt;"?",AD98&lt;&gt;""),(AD98-'Choix pédagogiques'!$C$4)/('Choix pédagogiques'!$C$5-'Choix pédagogiques'!$C$4),"")</f>
        <v/>
      </c>
      <c r="AZ98" s="53" t="str">
        <f aca="false">IF($J98&lt;&gt;"",$J98,"")</f>
        <v/>
      </c>
      <c r="BA98" s="52" t="str">
        <f aca="false">IF($A98&lt;&gt;"",$A98,"")</f>
        <v>Apprenant 86</v>
      </c>
      <c r="BB98" s="55" t="str">
        <f aca="false">IF(AND($AR98&lt;&gt;"",$AS98&lt;&gt;""),$AS98-$AR98,"")</f>
        <v/>
      </c>
      <c r="BC98" s="55" t="str">
        <f aca="false">IF(AND($AR98&lt;&gt;"",$AT98&lt;&gt;""),$AT98-$AR98,"")</f>
        <v/>
      </c>
      <c r="BD98" s="55" t="str">
        <f aca="false">IF(AND($AS98&lt;&gt;"",$AT98&lt;&gt;""),$AT98-$AS98,"")</f>
        <v/>
      </c>
      <c r="BE98" s="53" t="str">
        <f aca="false">IF($E98&lt;&gt;"",$E98,"")</f>
        <v/>
      </c>
      <c r="BF98" s="52" t="str">
        <f aca="false">IF($F98&lt;&gt;"",$F98,"")</f>
        <v>Apprenant 86 ou 86'</v>
      </c>
      <c r="BG98" s="55" t="str">
        <f aca="false">IF(AND($AW98&lt;&gt;"",$AX98&lt;&gt;""),$AX98-$AW98,"")</f>
        <v/>
      </c>
      <c r="BH98" s="55" t="str">
        <f aca="false">IF(AND($AW98&lt;&gt;"",$AY98&lt;&gt;""),$AY98-$AW98,"")</f>
        <v/>
      </c>
      <c r="BI98" s="55" t="str">
        <f aca="false">IF(AND($AX98&lt;&gt;"",$AY98&lt;&gt;""),$AY98-$AX98,"")</f>
        <v/>
      </c>
      <c r="BJ98" s="53" t="str">
        <f aca="false">IF($J98&lt;&gt;"",$J98,"")</f>
        <v/>
      </c>
      <c r="BL98" s="52"/>
      <c r="BM98" s="52" t="str">
        <f aca="false">IF(OR(COUNT(B98:D1097)=0,AND('Choix pédagogiques'!$C$3&lt;&gt;1,'Choix pédagogiques'!$C$3&lt;&gt;2)),"",IF(AND(OR('Choix pédagogiques'!$C$3=1,'Choix pédagogiques'!$C$3=2),$B98&lt;&gt;"",$C98&lt;&gt;"",$D98&lt;&gt;""),1,0))</f>
        <v/>
      </c>
      <c r="BN98" s="52" t="str">
        <f aca="false">IF(OR(COUNT(G98:I1097)=0,AND('Choix pédagogiques'!$C$3&lt;&gt;1,'Choix pédagogiques'!$C$3&lt;&gt;2)),"",IF(AND(OR('Choix pédagogiques'!$C$3=1,'Choix pédagogiques'!$C$3=2),AND($G98&lt;&gt;"",$H98&lt;&gt;"",$I98&lt;&gt;"")),1,0))</f>
        <v/>
      </c>
      <c r="BO98" s="52" t="str">
        <f aca="false">IF(OR(COUNT(B98:D1097)=0,COUNT(G98:I1097)=0,'Choix pédagogiques'!C$3&lt;&gt;3),"",IF(AND('Choix pédagogiques'!$C$3=3,$B98&lt;&gt;"",$C98&lt;&gt;"",$D98&lt;&gt;"",$G98&lt;&gt;"",$H98&lt;&gt;"",$I98&lt;&gt;""),1,0))</f>
        <v/>
      </c>
      <c r="BR98" s="52" t="n">
        <v>109</v>
      </c>
      <c r="BS98" s="52" t="n">
        <v>1183</v>
      </c>
    </row>
    <row r="99" s="54" customFormat="true" ht="18" hidden="false" customHeight="true" outlineLevel="0" collapsed="false">
      <c r="A99" s="57" t="s">
        <v>129</v>
      </c>
      <c r="B99" s="51"/>
      <c r="C99" s="51"/>
      <c r="D99" s="51"/>
      <c r="E99" s="51"/>
      <c r="F99" s="57" t="s">
        <v>130</v>
      </c>
      <c r="G99" s="51"/>
      <c r="H99" s="51"/>
      <c r="I99" s="51"/>
      <c r="J99" s="51"/>
      <c r="K99" s="52" t="str">
        <f aca="false">IF($A99&lt;&gt;"",$A99,"")</f>
        <v>Apprenant 87</v>
      </c>
      <c r="L99" s="53" t="str">
        <f aca="false">IF(AND($B99&lt;&gt;"",$C99&lt;&gt;""),$C99-$B99,"")</f>
        <v/>
      </c>
      <c r="M99" s="53" t="str">
        <f aca="false">IF(AND($B99&lt;&gt;"",$D99&lt;&gt;""),$D99-$B99,"")</f>
        <v/>
      </c>
      <c r="N99" s="53" t="str">
        <f aca="false">IF(AND($C99&lt;&gt;"",$D99&lt;&gt;""),$D99-$C99,"")</f>
        <v/>
      </c>
      <c r="O99" s="53" t="str">
        <f aca="false">IF($E99&lt;&gt;"",$E99,"")</f>
        <v/>
      </c>
      <c r="P99" s="52" t="str">
        <f aca="false">IF($F99&lt;&gt;"",$F99,"")</f>
        <v>Apprenant 87 ou 87'</v>
      </c>
      <c r="Q99" s="53" t="str">
        <f aca="false">IF(AND($G99&lt;&gt;"",$H99&lt;&gt;""),$H99-$G99,"")</f>
        <v/>
      </c>
      <c r="R99" s="53" t="str">
        <f aca="false">IF(AND($G99&lt;&gt;"",$I99&lt;&gt;""),$I99-$G99,"")</f>
        <v/>
      </c>
      <c r="S99" s="53" t="str">
        <f aca="false">IF(AND($H99&lt;&gt;"",$I99&lt;&gt;""),$I99-$H99,"")</f>
        <v/>
      </c>
      <c r="T99" s="53" t="str">
        <f aca="false">IF($J99&lt;&gt;"",$J99,"")</f>
        <v/>
      </c>
      <c r="V99" s="52" t="str">
        <f aca="false">IF($A99&lt;&gt;"",$A99,"")</f>
        <v>Apprenant 87</v>
      </c>
      <c r="W99" s="53" t="str">
        <f aca="false">IF(AND(OR('Choix pédagogiques'!$C$3=1,'Choix pédagogiques'!$C$3=2),$BM99=1),B99,IF(AND('Choix pédagogiques'!$C$3=3,$BO99=1),B99,""))</f>
        <v/>
      </c>
      <c r="X99" s="53" t="str">
        <f aca="false">IF(AND(OR('Choix pédagogiques'!$C$3=1,'Choix pédagogiques'!$C$3=2),$BM99=1),C99,IF(AND('Choix pédagogiques'!$C$3=3,$BO99=1),C99,""))</f>
        <v/>
      </c>
      <c r="Y99" s="53" t="str">
        <f aca="false">IF(AND(OR('Choix pédagogiques'!$C$3=1,'Choix pédagogiques'!$C$3=2),$BM99=1),D99,IF(AND('Choix pédagogiques'!$C$3=3,$BO99=1),D99,""))</f>
        <v/>
      </c>
      <c r="Z99" s="53" t="str">
        <f aca="false">IF($E99&lt;&gt;"",$E99,"")</f>
        <v/>
      </c>
      <c r="AA99" s="52" t="str">
        <f aca="false">IF($F99&lt;&gt;"",$F99,"")</f>
        <v>Apprenant 87 ou 87'</v>
      </c>
      <c r="AB99" s="53" t="str">
        <f aca="false">IF(AND(OR('Choix pédagogiques'!$C$3=1,'Choix pédagogiques'!$C$3=2),$BN99=1),G99,IF(AND('Choix pédagogiques'!$C$3=3,$BO99=1),G99,""))</f>
        <v/>
      </c>
      <c r="AC99" s="53" t="str">
        <f aca="false">IF(AND(OR('Choix pédagogiques'!$C$3=1,'Choix pédagogiques'!$C$3=2),$BN99=1),H99,IF(AND('Choix pédagogiques'!$C$3=3,$BO99=1),H99,""))</f>
        <v/>
      </c>
      <c r="AD99" s="53" t="str">
        <f aca="false">IF(AND(OR('Choix pédagogiques'!$C$3=1,'Choix pédagogiques'!$C$3=2),$BN99=1),I99,IF(AND('Choix pédagogiques'!$C$3=3,$BO99=1),I99,""))</f>
        <v/>
      </c>
      <c r="AE99" s="53" t="str">
        <f aca="false">IF($J99&lt;&gt;"",$J99,"")</f>
        <v/>
      </c>
      <c r="AF99" s="52" t="str">
        <f aca="false">IF($A99&lt;&gt;"",$A99,"")</f>
        <v>Apprenant 87</v>
      </c>
      <c r="AG99" s="53" t="str">
        <f aca="false">IF(AND($W99&lt;&gt;"",$X99&lt;&gt;""),$X99-$W99,"")</f>
        <v/>
      </c>
      <c r="AH99" s="53" t="str">
        <f aca="false">IF(AND($W99&lt;&gt;"",$Y99&lt;&gt;""),$Y99-$W99,"")</f>
        <v/>
      </c>
      <c r="AI99" s="53" t="str">
        <f aca="false">IF(AND($X99&lt;&gt;"",$Y99&lt;&gt;""),$Y99-$X99,"")</f>
        <v/>
      </c>
      <c r="AJ99" s="53" t="str">
        <f aca="false">IF($E99&lt;&gt;"",$E99,"")</f>
        <v/>
      </c>
      <c r="AK99" s="52" t="str">
        <f aca="false">IF($F99&lt;&gt;"",$F99,"")</f>
        <v>Apprenant 87 ou 87'</v>
      </c>
      <c r="AL99" s="53" t="str">
        <f aca="false">IF(AND($AB99&lt;&gt;"",$AC99&lt;&gt;""),$AC99-$AB99,"")</f>
        <v/>
      </c>
      <c r="AM99" s="53" t="str">
        <f aca="false">IF(AND($AB99&lt;&gt;"",$AD99&lt;&gt;""),$AD99-$AB99,"")</f>
        <v/>
      </c>
      <c r="AN99" s="53" t="str">
        <f aca="false">IF(AND($AC99&lt;&gt;"",$AD99&lt;&gt;""),$AD99-$AC99,"")</f>
        <v/>
      </c>
      <c r="AO99" s="53" t="str">
        <f aca="false">IF($J99&lt;&gt;"",$J99,"")</f>
        <v/>
      </c>
      <c r="AQ99" s="52" t="str">
        <f aca="false">IF($A99&lt;&gt;"",$A99,"")</f>
        <v>Apprenant 87</v>
      </c>
      <c r="AR99" s="55" t="str">
        <f aca="false">IF(AND('Choix pédagogiques'!$C$4&lt;&gt;"?",'Choix pédagogiques'!$C$5&lt;&gt;"?",W99&lt;&gt;""),(W99-'Choix pédagogiques'!$C$4)/('Choix pédagogiques'!$C$5-'Choix pédagogiques'!$C$4),"")</f>
        <v/>
      </c>
      <c r="AS99" s="55" t="str">
        <f aca="false">IF(AND('Choix pédagogiques'!$C$4&lt;&gt;"?",'Choix pédagogiques'!$C$5&lt;&gt;"?",X99&lt;&gt;""),(X99-'Choix pédagogiques'!$C$4)/('Choix pédagogiques'!$C$5-'Choix pédagogiques'!$C$4),"")</f>
        <v/>
      </c>
      <c r="AT99" s="55" t="str">
        <f aca="false">IF(AND('Choix pédagogiques'!$C$4&lt;&gt;"?",'Choix pédagogiques'!$C$5&lt;&gt;"?",Y99&lt;&gt;""),(Y99-'Choix pédagogiques'!$C$4)/('Choix pédagogiques'!$C$5-'Choix pédagogiques'!$C$4),"")</f>
        <v/>
      </c>
      <c r="AU99" s="53" t="str">
        <f aca="false">IF($E99&lt;&gt;"",$E99,"")</f>
        <v/>
      </c>
      <c r="AV99" s="52" t="str">
        <f aca="false">IF($F99&lt;&gt;"",$F99,"")</f>
        <v>Apprenant 87 ou 87'</v>
      </c>
      <c r="AW99" s="55" t="str">
        <f aca="false">IF(AND('Choix pédagogiques'!$C$4&lt;&gt;"?",'Choix pédagogiques'!$C$5&lt;&gt;"?",AB99&lt;&gt;""),(AB99-'Choix pédagogiques'!$C$4)/('Choix pédagogiques'!$C$5-'Choix pédagogiques'!$C$4),"")</f>
        <v/>
      </c>
      <c r="AX99" s="55" t="str">
        <f aca="false">IF(AND('Choix pédagogiques'!$C$4&lt;&gt;"?",'Choix pédagogiques'!$C$5&lt;&gt;"?",AC99&lt;&gt;""),(AC99-'Choix pédagogiques'!$C$4)/('Choix pédagogiques'!$C$5-'Choix pédagogiques'!$C$4),"")</f>
        <v/>
      </c>
      <c r="AY99" s="55" t="str">
        <f aca="false">IF(AND('Choix pédagogiques'!$C$4&lt;&gt;"?",'Choix pédagogiques'!$C$5&lt;&gt;"?",AD99&lt;&gt;""),(AD99-'Choix pédagogiques'!$C$4)/('Choix pédagogiques'!$C$5-'Choix pédagogiques'!$C$4),"")</f>
        <v/>
      </c>
      <c r="AZ99" s="53" t="str">
        <f aca="false">IF($J99&lt;&gt;"",$J99,"")</f>
        <v/>
      </c>
      <c r="BA99" s="52" t="str">
        <f aca="false">IF($A99&lt;&gt;"",$A99,"")</f>
        <v>Apprenant 87</v>
      </c>
      <c r="BB99" s="55" t="str">
        <f aca="false">IF(AND($AR99&lt;&gt;"",$AS99&lt;&gt;""),$AS99-$AR99,"")</f>
        <v/>
      </c>
      <c r="BC99" s="55" t="str">
        <f aca="false">IF(AND($AR99&lt;&gt;"",$AT99&lt;&gt;""),$AT99-$AR99,"")</f>
        <v/>
      </c>
      <c r="BD99" s="55" t="str">
        <f aca="false">IF(AND($AS99&lt;&gt;"",$AT99&lt;&gt;""),$AT99-$AS99,"")</f>
        <v/>
      </c>
      <c r="BE99" s="53" t="str">
        <f aca="false">IF($E99&lt;&gt;"",$E99,"")</f>
        <v/>
      </c>
      <c r="BF99" s="52" t="str">
        <f aca="false">IF($F99&lt;&gt;"",$F99,"")</f>
        <v>Apprenant 87 ou 87'</v>
      </c>
      <c r="BG99" s="55" t="str">
        <f aca="false">IF(AND($AW99&lt;&gt;"",$AX99&lt;&gt;""),$AX99-$AW99,"")</f>
        <v/>
      </c>
      <c r="BH99" s="55" t="str">
        <f aca="false">IF(AND($AW99&lt;&gt;"",$AY99&lt;&gt;""),$AY99-$AW99,"")</f>
        <v/>
      </c>
      <c r="BI99" s="55" t="str">
        <f aca="false">IF(AND($AX99&lt;&gt;"",$AY99&lt;&gt;""),$AY99-$AX99,"")</f>
        <v/>
      </c>
      <c r="BJ99" s="53" t="str">
        <f aca="false">IF($J99&lt;&gt;"",$J99,"")</f>
        <v/>
      </c>
      <c r="BL99" s="52"/>
      <c r="BM99" s="52" t="str">
        <f aca="false">IF(OR(COUNT(B99:D1098)=0,AND('Choix pédagogiques'!$C$3&lt;&gt;1,'Choix pédagogiques'!$C$3&lt;&gt;2)),"",IF(AND(OR('Choix pédagogiques'!$C$3=1,'Choix pédagogiques'!$C$3=2),$B99&lt;&gt;"",$C99&lt;&gt;"",$D99&lt;&gt;""),1,0))</f>
        <v/>
      </c>
      <c r="BN99" s="52" t="str">
        <f aca="false">IF(OR(COUNT(G99:I1098)=0,AND('Choix pédagogiques'!$C$3&lt;&gt;1,'Choix pédagogiques'!$C$3&lt;&gt;2)),"",IF(AND(OR('Choix pédagogiques'!$C$3=1,'Choix pédagogiques'!$C$3=2),AND($G99&lt;&gt;"",$H99&lt;&gt;"",$I99&lt;&gt;"")),1,0))</f>
        <v/>
      </c>
      <c r="BO99" s="52" t="str">
        <f aca="false">IF(OR(COUNT(B99:D1098)=0,COUNT(G99:I1098)=0,'Choix pédagogiques'!C$3&lt;&gt;3),"",IF(AND('Choix pédagogiques'!$C$3=3,$B99&lt;&gt;"",$C99&lt;&gt;"",$D99&lt;&gt;"",$G99&lt;&gt;"",$H99&lt;&gt;"",$I99&lt;&gt;""),1,0))</f>
        <v/>
      </c>
      <c r="BR99" s="52" t="n">
        <v>551</v>
      </c>
      <c r="BS99" s="52" t="n">
        <v>1193</v>
      </c>
    </row>
    <row r="100" s="54" customFormat="true" ht="18" hidden="false" customHeight="true" outlineLevel="0" collapsed="false">
      <c r="A100" s="57" t="s">
        <v>131</v>
      </c>
      <c r="B100" s="51"/>
      <c r="C100" s="51"/>
      <c r="D100" s="51"/>
      <c r="E100" s="51"/>
      <c r="F100" s="57" t="s">
        <v>132</v>
      </c>
      <c r="G100" s="51"/>
      <c r="H100" s="51"/>
      <c r="I100" s="51"/>
      <c r="J100" s="51"/>
      <c r="K100" s="52" t="str">
        <f aca="false">IF($A100&lt;&gt;"",$A100,"")</f>
        <v>Apprenant 88</v>
      </c>
      <c r="L100" s="53" t="str">
        <f aca="false">IF(AND($B100&lt;&gt;"",$C100&lt;&gt;""),$C100-$B100,"")</f>
        <v/>
      </c>
      <c r="M100" s="53" t="str">
        <f aca="false">IF(AND($B100&lt;&gt;"",$D100&lt;&gt;""),$D100-$B100,"")</f>
        <v/>
      </c>
      <c r="N100" s="53" t="str">
        <f aca="false">IF(AND($C100&lt;&gt;"",$D100&lt;&gt;""),$D100-$C100,"")</f>
        <v/>
      </c>
      <c r="O100" s="53" t="str">
        <f aca="false">IF($E100&lt;&gt;"",$E100,"")</f>
        <v/>
      </c>
      <c r="P100" s="52" t="str">
        <f aca="false">IF($F100&lt;&gt;"",$F100,"")</f>
        <v>Apprenant 88 ou 88'</v>
      </c>
      <c r="Q100" s="53" t="str">
        <f aca="false">IF(AND($G100&lt;&gt;"",$H100&lt;&gt;""),$H100-$G100,"")</f>
        <v/>
      </c>
      <c r="R100" s="53" t="str">
        <f aca="false">IF(AND($G100&lt;&gt;"",$I100&lt;&gt;""),$I100-$G100,"")</f>
        <v/>
      </c>
      <c r="S100" s="53" t="str">
        <f aca="false">IF(AND($H100&lt;&gt;"",$I100&lt;&gt;""),$I100-$H100,"")</f>
        <v/>
      </c>
      <c r="T100" s="53" t="str">
        <f aca="false">IF($J100&lt;&gt;"",$J100,"")</f>
        <v/>
      </c>
      <c r="V100" s="52" t="str">
        <f aca="false">IF($A100&lt;&gt;"",$A100,"")</f>
        <v>Apprenant 88</v>
      </c>
      <c r="W100" s="53" t="str">
        <f aca="false">IF(AND(OR('Choix pédagogiques'!$C$3=1,'Choix pédagogiques'!$C$3=2),$BM100=1),B100,IF(AND('Choix pédagogiques'!$C$3=3,$BO100=1),B100,""))</f>
        <v/>
      </c>
      <c r="X100" s="53" t="str">
        <f aca="false">IF(AND(OR('Choix pédagogiques'!$C$3=1,'Choix pédagogiques'!$C$3=2),$BM100=1),C100,IF(AND('Choix pédagogiques'!$C$3=3,$BO100=1),C100,""))</f>
        <v/>
      </c>
      <c r="Y100" s="53" t="str">
        <f aca="false">IF(AND(OR('Choix pédagogiques'!$C$3=1,'Choix pédagogiques'!$C$3=2),$BM100=1),D100,IF(AND('Choix pédagogiques'!$C$3=3,$BO100=1),D100,""))</f>
        <v/>
      </c>
      <c r="Z100" s="53" t="str">
        <f aca="false">IF($E100&lt;&gt;"",$E100,"")</f>
        <v/>
      </c>
      <c r="AA100" s="52" t="str">
        <f aca="false">IF($F100&lt;&gt;"",$F100,"")</f>
        <v>Apprenant 88 ou 88'</v>
      </c>
      <c r="AB100" s="53" t="str">
        <f aca="false">IF(AND(OR('Choix pédagogiques'!$C$3=1,'Choix pédagogiques'!$C$3=2),$BN100=1),G100,IF(AND('Choix pédagogiques'!$C$3=3,$BO100=1),G100,""))</f>
        <v/>
      </c>
      <c r="AC100" s="53" t="str">
        <f aca="false">IF(AND(OR('Choix pédagogiques'!$C$3=1,'Choix pédagogiques'!$C$3=2),$BN100=1),H100,IF(AND('Choix pédagogiques'!$C$3=3,$BO100=1),H100,""))</f>
        <v/>
      </c>
      <c r="AD100" s="53" t="str">
        <f aca="false">IF(AND(OR('Choix pédagogiques'!$C$3=1,'Choix pédagogiques'!$C$3=2),$BN100=1),I100,IF(AND('Choix pédagogiques'!$C$3=3,$BO100=1),I100,""))</f>
        <v/>
      </c>
      <c r="AE100" s="53" t="str">
        <f aca="false">IF($J100&lt;&gt;"",$J100,"")</f>
        <v/>
      </c>
      <c r="AF100" s="52" t="str">
        <f aca="false">IF($A100&lt;&gt;"",$A100,"")</f>
        <v>Apprenant 88</v>
      </c>
      <c r="AG100" s="53" t="str">
        <f aca="false">IF(AND($W100&lt;&gt;"",$X100&lt;&gt;""),$X100-$W100,"")</f>
        <v/>
      </c>
      <c r="AH100" s="53" t="str">
        <f aca="false">IF(AND($W100&lt;&gt;"",$Y100&lt;&gt;""),$Y100-$W100,"")</f>
        <v/>
      </c>
      <c r="AI100" s="53" t="str">
        <f aca="false">IF(AND($X100&lt;&gt;"",$Y100&lt;&gt;""),$Y100-$X100,"")</f>
        <v/>
      </c>
      <c r="AJ100" s="53" t="str">
        <f aca="false">IF($E100&lt;&gt;"",$E100,"")</f>
        <v/>
      </c>
      <c r="AK100" s="52" t="str">
        <f aca="false">IF($F100&lt;&gt;"",$F100,"")</f>
        <v>Apprenant 88 ou 88'</v>
      </c>
      <c r="AL100" s="53" t="str">
        <f aca="false">IF(AND($AB100&lt;&gt;"",$AC100&lt;&gt;""),$AC100-$AB100,"")</f>
        <v/>
      </c>
      <c r="AM100" s="53" t="str">
        <f aca="false">IF(AND($AB100&lt;&gt;"",$AD100&lt;&gt;""),$AD100-$AB100,"")</f>
        <v/>
      </c>
      <c r="AN100" s="53" t="str">
        <f aca="false">IF(AND($AC100&lt;&gt;"",$AD100&lt;&gt;""),$AD100-$AC100,"")</f>
        <v/>
      </c>
      <c r="AO100" s="53" t="str">
        <f aca="false">IF($J100&lt;&gt;"",$J100,"")</f>
        <v/>
      </c>
      <c r="AQ100" s="52" t="str">
        <f aca="false">IF($A100&lt;&gt;"",$A100,"")</f>
        <v>Apprenant 88</v>
      </c>
      <c r="AR100" s="55" t="str">
        <f aca="false">IF(AND('Choix pédagogiques'!$C$4&lt;&gt;"?",'Choix pédagogiques'!$C$5&lt;&gt;"?",W100&lt;&gt;""),(W100-'Choix pédagogiques'!$C$4)/('Choix pédagogiques'!$C$5-'Choix pédagogiques'!$C$4),"")</f>
        <v/>
      </c>
      <c r="AS100" s="55" t="str">
        <f aca="false">IF(AND('Choix pédagogiques'!$C$4&lt;&gt;"?",'Choix pédagogiques'!$C$5&lt;&gt;"?",X100&lt;&gt;""),(X100-'Choix pédagogiques'!$C$4)/('Choix pédagogiques'!$C$5-'Choix pédagogiques'!$C$4),"")</f>
        <v/>
      </c>
      <c r="AT100" s="55" t="str">
        <f aca="false">IF(AND('Choix pédagogiques'!$C$4&lt;&gt;"?",'Choix pédagogiques'!$C$5&lt;&gt;"?",Y100&lt;&gt;""),(Y100-'Choix pédagogiques'!$C$4)/('Choix pédagogiques'!$C$5-'Choix pédagogiques'!$C$4),"")</f>
        <v/>
      </c>
      <c r="AU100" s="53" t="str">
        <f aca="false">IF($E100&lt;&gt;"",$E100,"")</f>
        <v/>
      </c>
      <c r="AV100" s="52" t="str">
        <f aca="false">IF($F100&lt;&gt;"",$F100,"")</f>
        <v>Apprenant 88 ou 88'</v>
      </c>
      <c r="AW100" s="55" t="str">
        <f aca="false">IF(AND('Choix pédagogiques'!$C$4&lt;&gt;"?",'Choix pédagogiques'!$C$5&lt;&gt;"?",AB100&lt;&gt;""),(AB100-'Choix pédagogiques'!$C$4)/('Choix pédagogiques'!$C$5-'Choix pédagogiques'!$C$4),"")</f>
        <v/>
      </c>
      <c r="AX100" s="55" t="str">
        <f aca="false">IF(AND('Choix pédagogiques'!$C$4&lt;&gt;"?",'Choix pédagogiques'!$C$5&lt;&gt;"?",AC100&lt;&gt;""),(AC100-'Choix pédagogiques'!$C$4)/('Choix pédagogiques'!$C$5-'Choix pédagogiques'!$C$4),"")</f>
        <v/>
      </c>
      <c r="AY100" s="55" t="str">
        <f aca="false">IF(AND('Choix pédagogiques'!$C$4&lt;&gt;"?",'Choix pédagogiques'!$C$5&lt;&gt;"?",AD100&lt;&gt;""),(AD100-'Choix pédagogiques'!$C$4)/('Choix pédagogiques'!$C$5-'Choix pédagogiques'!$C$4),"")</f>
        <v/>
      </c>
      <c r="AZ100" s="53" t="str">
        <f aca="false">IF($J100&lt;&gt;"",$J100,"")</f>
        <v/>
      </c>
      <c r="BA100" s="52" t="str">
        <f aca="false">IF($A100&lt;&gt;"",$A100,"")</f>
        <v>Apprenant 88</v>
      </c>
      <c r="BB100" s="55" t="str">
        <f aca="false">IF(AND($AR100&lt;&gt;"",$AS100&lt;&gt;""),$AS100-$AR100,"")</f>
        <v/>
      </c>
      <c r="BC100" s="55" t="str">
        <f aca="false">IF(AND($AR100&lt;&gt;"",$AT100&lt;&gt;""),$AT100-$AR100,"")</f>
        <v/>
      </c>
      <c r="BD100" s="55" t="str">
        <f aca="false">IF(AND($AS100&lt;&gt;"",$AT100&lt;&gt;""),$AT100-$AS100,"")</f>
        <v/>
      </c>
      <c r="BE100" s="53" t="str">
        <f aca="false">IF($E100&lt;&gt;"",$E100,"")</f>
        <v/>
      </c>
      <c r="BF100" s="52" t="str">
        <f aca="false">IF($F100&lt;&gt;"",$F100,"")</f>
        <v>Apprenant 88 ou 88'</v>
      </c>
      <c r="BG100" s="55" t="str">
        <f aca="false">IF(AND($AW100&lt;&gt;"",$AX100&lt;&gt;""),$AX100-$AW100,"")</f>
        <v/>
      </c>
      <c r="BH100" s="55" t="str">
        <f aca="false">IF(AND($AW100&lt;&gt;"",$AY100&lt;&gt;""),$AY100-$AW100,"")</f>
        <v/>
      </c>
      <c r="BI100" s="55" t="str">
        <f aca="false">IF(AND($AX100&lt;&gt;"",$AY100&lt;&gt;""),$AY100-$AX100,"")</f>
        <v/>
      </c>
      <c r="BJ100" s="53" t="str">
        <f aca="false">IF($J100&lt;&gt;"",$J100,"")</f>
        <v/>
      </c>
      <c r="BL100" s="52"/>
      <c r="BM100" s="52" t="str">
        <f aca="false">IF(OR(COUNT(B100:D1099)=0,AND('Choix pédagogiques'!$C$3&lt;&gt;1,'Choix pédagogiques'!$C$3&lt;&gt;2)),"",IF(AND(OR('Choix pédagogiques'!$C$3=1,'Choix pédagogiques'!$C$3=2),$B100&lt;&gt;"",$C100&lt;&gt;"",$D100&lt;&gt;""),1,0))</f>
        <v/>
      </c>
      <c r="BN100" s="52" t="str">
        <f aca="false">IF(OR(COUNT(G100:I1099)=0,AND('Choix pédagogiques'!$C$3&lt;&gt;1,'Choix pédagogiques'!$C$3&lt;&gt;2)),"",IF(AND(OR('Choix pédagogiques'!$C$3=1,'Choix pédagogiques'!$C$3=2),AND($G100&lt;&gt;"",$H100&lt;&gt;"",$I100&lt;&gt;"")),1,0))</f>
        <v/>
      </c>
      <c r="BO100" s="52" t="str">
        <f aca="false">IF(OR(COUNT(B100:D1099)=0,COUNT(G100:I1099)=0,'Choix pédagogiques'!C$3&lt;&gt;3),"",IF(AND('Choix pédagogiques'!$C$3=3,$B100&lt;&gt;"",$C100&lt;&gt;"",$D100&lt;&gt;"",$G100&lt;&gt;"",$H100&lt;&gt;"",$I100&lt;&gt;""),1,0))</f>
        <v/>
      </c>
      <c r="BR100" s="52" t="n">
        <v>828</v>
      </c>
      <c r="BS100" s="52" t="n">
        <v>1738</v>
      </c>
    </row>
    <row r="101" s="54" customFormat="true" ht="18" hidden="false" customHeight="true" outlineLevel="0" collapsed="false">
      <c r="A101" s="57" t="s">
        <v>133</v>
      </c>
      <c r="B101" s="51"/>
      <c r="C101" s="51"/>
      <c r="D101" s="51"/>
      <c r="E101" s="51"/>
      <c r="F101" s="57" t="s">
        <v>134</v>
      </c>
      <c r="G101" s="51"/>
      <c r="H101" s="51"/>
      <c r="I101" s="51"/>
      <c r="J101" s="51"/>
      <c r="K101" s="52" t="str">
        <f aca="false">IF($A101&lt;&gt;"",$A101,"")</f>
        <v>Apprenant 89</v>
      </c>
      <c r="L101" s="53" t="str">
        <f aca="false">IF(AND($B101&lt;&gt;"",$C101&lt;&gt;""),$C101-$B101,"")</f>
        <v/>
      </c>
      <c r="M101" s="53" t="str">
        <f aca="false">IF(AND($B101&lt;&gt;"",$D101&lt;&gt;""),$D101-$B101,"")</f>
        <v/>
      </c>
      <c r="N101" s="53" t="str">
        <f aca="false">IF(AND($C101&lt;&gt;"",$D101&lt;&gt;""),$D101-$C101,"")</f>
        <v/>
      </c>
      <c r="O101" s="53" t="str">
        <f aca="false">IF($E101&lt;&gt;"",$E101,"")</f>
        <v/>
      </c>
      <c r="P101" s="52" t="str">
        <f aca="false">IF($F101&lt;&gt;"",$F101,"")</f>
        <v>Apprenant 89 ou 89'</v>
      </c>
      <c r="Q101" s="53" t="str">
        <f aca="false">IF(AND($G101&lt;&gt;"",$H101&lt;&gt;""),$H101-$G101,"")</f>
        <v/>
      </c>
      <c r="R101" s="53" t="str">
        <f aca="false">IF(AND($G101&lt;&gt;"",$I101&lt;&gt;""),$I101-$G101,"")</f>
        <v/>
      </c>
      <c r="S101" s="53" t="str">
        <f aca="false">IF(AND($H101&lt;&gt;"",$I101&lt;&gt;""),$I101-$H101,"")</f>
        <v/>
      </c>
      <c r="T101" s="53" t="str">
        <f aca="false">IF($J101&lt;&gt;"",$J101,"")</f>
        <v/>
      </c>
      <c r="V101" s="52" t="str">
        <f aca="false">IF($A101&lt;&gt;"",$A101,"")</f>
        <v>Apprenant 89</v>
      </c>
      <c r="W101" s="53" t="str">
        <f aca="false">IF(AND(OR('Choix pédagogiques'!$C$3=1,'Choix pédagogiques'!$C$3=2),$BM101=1),B101,IF(AND('Choix pédagogiques'!$C$3=3,$BO101=1),B101,""))</f>
        <v/>
      </c>
      <c r="X101" s="53" t="str">
        <f aca="false">IF(AND(OR('Choix pédagogiques'!$C$3=1,'Choix pédagogiques'!$C$3=2),$BM101=1),C101,IF(AND('Choix pédagogiques'!$C$3=3,$BO101=1),C101,""))</f>
        <v/>
      </c>
      <c r="Y101" s="53" t="str">
        <f aca="false">IF(AND(OR('Choix pédagogiques'!$C$3=1,'Choix pédagogiques'!$C$3=2),$BM101=1),D101,IF(AND('Choix pédagogiques'!$C$3=3,$BO101=1),D101,""))</f>
        <v/>
      </c>
      <c r="Z101" s="53" t="str">
        <f aca="false">IF($E101&lt;&gt;"",$E101,"")</f>
        <v/>
      </c>
      <c r="AA101" s="52" t="str">
        <f aca="false">IF($F101&lt;&gt;"",$F101,"")</f>
        <v>Apprenant 89 ou 89'</v>
      </c>
      <c r="AB101" s="53" t="str">
        <f aca="false">IF(AND(OR('Choix pédagogiques'!$C$3=1,'Choix pédagogiques'!$C$3=2),$BN101=1),G101,IF(AND('Choix pédagogiques'!$C$3=3,$BO101=1),G101,""))</f>
        <v/>
      </c>
      <c r="AC101" s="53" t="str">
        <f aca="false">IF(AND(OR('Choix pédagogiques'!$C$3=1,'Choix pédagogiques'!$C$3=2),$BN101=1),H101,IF(AND('Choix pédagogiques'!$C$3=3,$BO101=1),H101,""))</f>
        <v/>
      </c>
      <c r="AD101" s="53" t="str">
        <f aca="false">IF(AND(OR('Choix pédagogiques'!$C$3=1,'Choix pédagogiques'!$C$3=2),$BN101=1),I101,IF(AND('Choix pédagogiques'!$C$3=3,$BO101=1),I101,""))</f>
        <v/>
      </c>
      <c r="AE101" s="53" t="str">
        <f aca="false">IF($J101&lt;&gt;"",$J101,"")</f>
        <v/>
      </c>
      <c r="AF101" s="52" t="str">
        <f aca="false">IF($A101&lt;&gt;"",$A101,"")</f>
        <v>Apprenant 89</v>
      </c>
      <c r="AG101" s="53" t="str">
        <f aca="false">IF(AND($W101&lt;&gt;"",$X101&lt;&gt;""),$X101-$W101,"")</f>
        <v/>
      </c>
      <c r="AH101" s="53" t="str">
        <f aca="false">IF(AND($W101&lt;&gt;"",$Y101&lt;&gt;""),$Y101-$W101,"")</f>
        <v/>
      </c>
      <c r="AI101" s="53" t="str">
        <f aca="false">IF(AND($X101&lt;&gt;"",$Y101&lt;&gt;""),$Y101-$X101,"")</f>
        <v/>
      </c>
      <c r="AJ101" s="53" t="str">
        <f aca="false">IF($E101&lt;&gt;"",$E101,"")</f>
        <v/>
      </c>
      <c r="AK101" s="52" t="str">
        <f aca="false">IF($F101&lt;&gt;"",$F101,"")</f>
        <v>Apprenant 89 ou 89'</v>
      </c>
      <c r="AL101" s="53" t="str">
        <f aca="false">IF(AND($AB101&lt;&gt;"",$AC101&lt;&gt;""),$AC101-$AB101,"")</f>
        <v/>
      </c>
      <c r="AM101" s="53" t="str">
        <f aca="false">IF(AND($AB101&lt;&gt;"",$AD101&lt;&gt;""),$AD101-$AB101,"")</f>
        <v/>
      </c>
      <c r="AN101" s="53" t="str">
        <f aca="false">IF(AND($AC101&lt;&gt;"",$AD101&lt;&gt;""),$AD101-$AC101,"")</f>
        <v/>
      </c>
      <c r="AO101" s="53" t="str">
        <f aca="false">IF($J101&lt;&gt;"",$J101,"")</f>
        <v/>
      </c>
      <c r="AQ101" s="52" t="str">
        <f aca="false">IF($A101&lt;&gt;"",$A101,"")</f>
        <v>Apprenant 89</v>
      </c>
      <c r="AR101" s="55" t="str">
        <f aca="false">IF(AND('Choix pédagogiques'!$C$4&lt;&gt;"?",'Choix pédagogiques'!$C$5&lt;&gt;"?",W101&lt;&gt;""),(W101-'Choix pédagogiques'!$C$4)/('Choix pédagogiques'!$C$5-'Choix pédagogiques'!$C$4),"")</f>
        <v/>
      </c>
      <c r="AS101" s="55" t="str">
        <f aca="false">IF(AND('Choix pédagogiques'!$C$4&lt;&gt;"?",'Choix pédagogiques'!$C$5&lt;&gt;"?",X101&lt;&gt;""),(X101-'Choix pédagogiques'!$C$4)/('Choix pédagogiques'!$C$5-'Choix pédagogiques'!$C$4),"")</f>
        <v/>
      </c>
      <c r="AT101" s="55" t="str">
        <f aca="false">IF(AND('Choix pédagogiques'!$C$4&lt;&gt;"?",'Choix pédagogiques'!$C$5&lt;&gt;"?",Y101&lt;&gt;""),(Y101-'Choix pédagogiques'!$C$4)/('Choix pédagogiques'!$C$5-'Choix pédagogiques'!$C$4),"")</f>
        <v/>
      </c>
      <c r="AU101" s="53" t="str">
        <f aca="false">IF($E101&lt;&gt;"",$E101,"")</f>
        <v/>
      </c>
      <c r="AV101" s="52" t="str">
        <f aca="false">IF($F101&lt;&gt;"",$F101,"")</f>
        <v>Apprenant 89 ou 89'</v>
      </c>
      <c r="AW101" s="55" t="str">
        <f aca="false">IF(AND('Choix pédagogiques'!$C$4&lt;&gt;"?",'Choix pédagogiques'!$C$5&lt;&gt;"?",AB101&lt;&gt;""),(AB101-'Choix pédagogiques'!$C$4)/('Choix pédagogiques'!$C$5-'Choix pédagogiques'!$C$4),"")</f>
        <v/>
      </c>
      <c r="AX101" s="55" t="str">
        <f aca="false">IF(AND('Choix pédagogiques'!$C$4&lt;&gt;"?",'Choix pédagogiques'!$C$5&lt;&gt;"?",AC101&lt;&gt;""),(AC101-'Choix pédagogiques'!$C$4)/('Choix pédagogiques'!$C$5-'Choix pédagogiques'!$C$4),"")</f>
        <v/>
      </c>
      <c r="AY101" s="55" t="str">
        <f aca="false">IF(AND('Choix pédagogiques'!$C$4&lt;&gt;"?",'Choix pédagogiques'!$C$5&lt;&gt;"?",AD101&lt;&gt;""),(AD101-'Choix pédagogiques'!$C$4)/('Choix pédagogiques'!$C$5-'Choix pédagogiques'!$C$4),"")</f>
        <v/>
      </c>
      <c r="AZ101" s="53" t="str">
        <f aca="false">IF($J101&lt;&gt;"",$J101,"")</f>
        <v/>
      </c>
      <c r="BA101" s="52" t="str">
        <f aca="false">IF($A101&lt;&gt;"",$A101,"")</f>
        <v>Apprenant 89</v>
      </c>
      <c r="BB101" s="55" t="str">
        <f aca="false">IF(AND($AR101&lt;&gt;"",$AS101&lt;&gt;""),$AS101-$AR101,"")</f>
        <v/>
      </c>
      <c r="BC101" s="55" t="str">
        <f aca="false">IF(AND($AR101&lt;&gt;"",$AT101&lt;&gt;""),$AT101-$AR101,"")</f>
        <v/>
      </c>
      <c r="BD101" s="55" t="str">
        <f aca="false">IF(AND($AS101&lt;&gt;"",$AT101&lt;&gt;""),$AT101-$AS101,"")</f>
        <v/>
      </c>
      <c r="BE101" s="53" t="str">
        <f aca="false">IF($E101&lt;&gt;"",$E101,"")</f>
        <v/>
      </c>
      <c r="BF101" s="52" t="str">
        <f aca="false">IF($F101&lt;&gt;"",$F101,"")</f>
        <v>Apprenant 89 ou 89'</v>
      </c>
      <c r="BG101" s="55" t="str">
        <f aca="false">IF(AND($AW101&lt;&gt;"",$AX101&lt;&gt;""),$AX101-$AW101,"")</f>
        <v/>
      </c>
      <c r="BH101" s="55" t="str">
        <f aca="false">IF(AND($AW101&lt;&gt;"",$AY101&lt;&gt;""),$AY101-$AW101,"")</f>
        <v/>
      </c>
      <c r="BI101" s="55" t="str">
        <f aca="false">IF(AND($AX101&lt;&gt;"",$AY101&lt;&gt;""),$AY101-$AX101,"")</f>
        <v/>
      </c>
      <c r="BJ101" s="53" t="str">
        <f aca="false">IF($J101&lt;&gt;"",$J101,"")</f>
        <v/>
      </c>
      <c r="BL101" s="52"/>
      <c r="BM101" s="52" t="str">
        <f aca="false">IF(OR(COUNT(B101:D1100)=0,AND('Choix pédagogiques'!$C$3&lt;&gt;1,'Choix pédagogiques'!$C$3&lt;&gt;2)),"",IF(AND(OR('Choix pédagogiques'!$C$3=1,'Choix pédagogiques'!$C$3=2),$B101&lt;&gt;"",$C101&lt;&gt;"",$D101&lt;&gt;""),1,0))</f>
        <v/>
      </c>
      <c r="BN101" s="52" t="str">
        <f aca="false">IF(OR(COUNT(G101:I1100)=0,AND('Choix pédagogiques'!$C$3&lt;&gt;1,'Choix pédagogiques'!$C$3&lt;&gt;2)),"",IF(AND(OR('Choix pédagogiques'!$C$3=1,'Choix pédagogiques'!$C$3=2),AND($G101&lt;&gt;"",$H101&lt;&gt;"",$I101&lt;&gt;"")),1,0))</f>
        <v/>
      </c>
      <c r="BO101" s="52" t="str">
        <f aca="false">IF(OR(COUNT(B101:D1100)=0,COUNT(G101:I1100)=0,'Choix pédagogiques'!C$3&lt;&gt;3),"",IF(AND('Choix pédagogiques'!$C$3=3,$B101&lt;&gt;"",$C101&lt;&gt;"",$D101&lt;&gt;"",$G101&lt;&gt;"",$H101&lt;&gt;"",$I101&lt;&gt;""),1,0))</f>
        <v/>
      </c>
      <c r="BR101" s="52" t="n">
        <v>188</v>
      </c>
      <c r="BS101" s="52" t="n">
        <v>1390</v>
      </c>
    </row>
    <row r="102" s="54" customFormat="true" ht="18" hidden="false" customHeight="true" outlineLevel="0" collapsed="false">
      <c r="A102" s="57" t="s">
        <v>135</v>
      </c>
      <c r="B102" s="51"/>
      <c r="C102" s="51"/>
      <c r="D102" s="51"/>
      <c r="E102" s="51"/>
      <c r="F102" s="57" t="s">
        <v>136</v>
      </c>
      <c r="G102" s="51"/>
      <c r="H102" s="51"/>
      <c r="I102" s="51"/>
      <c r="J102" s="51"/>
      <c r="K102" s="52" t="str">
        <f aca="false">IF($A102&lt;&gt;"",$A102,"")</f>
        <v>Apprenant 90</v>
      </c>
      <c r="L102" s="53" t="str">
        <f aca="false">IF(AND($B102&lt;&gt;"",$C102&lt;&gt;""),$C102-$B102,"")</f>
        <v/>
      </c>
      <c r="M102" s="53" t="str">
        <f aca="false">IF(AND($B102&lt;&gt;"",$D102&lt;&gt;""),$D102-$B102,"")</f>
        <v/>
      </c>
      <c r="N102" s="53" t="str">
        <f aca="false">IF(AND($C102&lt;&gt;"",$D102&lt;&gt;""),$D102-$C102,"")</f>
        <v/>
      </c>
      <c r="O102" s="53" t="str">
        <f aca="false">IF($E102&lt;&gt;"",$E102,"")</f>
        <v/>
      </c>
      <c r="P102" s="52" t="str">
        <f aca="false">IF($F102&lt;&gt;"",$F102,"")</f>
        <v>Apprenant 90 ou 90'</v>
      </c>
      <c r="Q102" s="53" t="str">
        <f aca="false">IF(AND($G102&lt;&gt;"",$H102&lt;&gt;""),$H102-$G102,"")</f>
        <v/>
      </c>
      <c r="R102" s="53" t="str">
        <f aca="false">IF(AND($G102&lt;&gt;"",$I102&lt;&gt;""),$I102-$G102,"")</f>
        <v/>
      </c>
      <c r="S102" s="53" t="str">
        <f aca="false">IF(AND($H102&lt;&gt;"",$I102&lt;&gt;""),$I102-$H102,"")</f>
        <v/>
      </c>
      <c r="T102" s="53" t="str">
        <f aca="false">IF($J102&lt;&gt;"",$J102,"")</f>
        <v/>
      </c>
      <c r="V102" s="52" t="str">
        <f aca="false">IF($A102&lt;&gt;"",$A102,"")</f>
        <v>Apprenant 90</v>
      </c>
      <c r="W102" s="53" t="str">
        <f aca="false">IF(AND(OR('Choix pédagogiques'!$C$3=1,'Choix pédagogiques'!$C$3=2),$BM102=1),B102,IF(AND('Choix pédagogiques'!$C$3=3,$BO102=1),B102,""))</f>
        <v/>
      </c>
      <c r="X102" s="53" t="str">
        <f aca="false">IF(AND(OR('Choix pédagogiques'!$C$3=1,'Choix pédagogiques'!$C$3=2),$BM102=1),C102,IF(AND('Choix pédagogiques'!$C$3=3,$BO102=1),C102,""))</f>
        <v/>
      </c>
      <c r="Y102" s="53" t="str">
        <f aca="false">IF(AND(OR('Choix pédagogiques'!$C$3=1,'Choix pédagogiques'!$C$3=2),$BM102=1),D102,IF(AND('Choix pédagogiques'!$C$3=3,$BO102=1),D102,""))</f>
        <v/>
      </c>
      <c r="Z102" s="53" t="str">
        <f aca="false">IF($E102&lt;&gt;"",$E102,"")</f>
        <v/>
      </c>
      <c r="AA102" s="52" t="str">
        <f aca="false">IF($F102&lt;&gt;"",$F102,"")</f>
        <v>Apprenant 90 ou 90'</v>
      </c>
      <c r="AB102" s="53" t="str">
        <f aca="false">IF(AND(OR('Choix pédagogiques'!$C$3=1,'Choix pédagogiques'!$C$3=2),$BN102=1),G102,IF(AND('Choix pédagogiques'!$C$3=3,$BO102=1),G102,""))</f>
        <v/>
      </c>
      <c r="AC102" s="53" t="str">
        <f aca="false">IF(AND(OR('Choix pédagogiques'!$C$3=1,'Choix pédagogiques'!$C$3=2),$BN102=1),H102,IF(AND('Choix pédagogiques'!$C$3=3,$BO102=1),H102,""))</f>
        <v/>
      </c>
      <c r="AD102" s="53" t="str">
        <f aca="false">IF(AND(OR('Choix pédagogiques'!$C$3=1,'Choix pédagogiques'!$C$3=2),$BN102=1),I102,IF(AND('Choix pédagogiques'!$C$3=3,$BO102=1),I102,""))</f>
        <v/>
      </c>
      <c r="AE102" s="53" t="str">
        <f aca="false">IF($J102&lt;&gt;"",$J102,"")</f>
        <v/>
      </c>
      <c r="AF102" s="52" t="str">
        <f aca="false">IF($A102&lt;&gt;"",$A102,"")</f>
        <v>Apprenant 90</v>
      </c>
      <c r="AG102" s="53" t="str">
        <f aca="false">IF(AND($W102&lt;&gt;"",$X102&lt;&gt;""),$X102-$W102,"")</f>
        <v/>
      </c>
      <c r="AH102" s="53" t="str">
        <f aca="false">IF(AND($W102&lt;&gt;"",$Y102&lt;&gt;""),$Y102-$W102,"")</f>
        <v/>
      </c>
      <c r="AI102" s="53" t="str">
        <f aca="false">IF(AND($X102&lt;&gt;"",$Y102&lt;&gt;""),$Y102-$X102,"")</f>
        <v/>
      </c>
      <c r="AJ102" s="53" t="str">
        <f aca="false">IF($E102&lt;&gt;"",$E102,"")</f>
        <v/>
      </c>
      <c r="AK102" s="52" t="str">
        <f aca="false">IF($F102&lt;&gt;"",$F102,"")</f>
        <v>Apprenant 90 ou 90'</v>
      </c>
      <c r="AL102" s="53" t="str">
        <f aca="false">IF(AND($AB102&lt;&gt;"",$AC102&lt;&gt;""),$AC102-$AB102,"")</f>
        <v/>
      </c>
      <c r="AM102" s="53" t="str">
        <f aca="false">IF(AND($AB102&lt;&gt;"",$AD102&lt;&gt;""),$AD102-$AB102,"")</f>
        <v/>
      </c>
      <c r="AN102" s="53" t="str">
        <f aca="false">IF(AND($AC102&lt;&gt;"",$AD102&lt;&gt;""),$AD102-$AC102,"")</f>
        <v/>
      </c>
      <c r="AO102" s="53" t="str">
        <f aca="false">IF($J102&lt;&gt;"",$J102,"")</f>
        <v/>
      </c>
      <c r="AQ102" s="52" t="str">
        <f aca="false">IF($A102&lt;&gt;"",$A102,"")</f>
        <v>Apprenant 90</v>
      </c>
      <c r="AR102" s="55" t="str">
        <f aca="false">IF(AND('Choix pédagogiques'!$C$4&lt;&gt;"?",'Choix pédagogiques'!$C$5&lt;&gt;"?",W102&lt;&gt;""),(W102-'Choix pédagogiques'!$C$4)/('Choix pédagogiques'!$C$5-'Choix pédagogiques'!$C$4),"")</f>
        <v/>
      </c>
      <c r="AS102" s="55" t="str">
        <f aca="false">IF(AND('Choix pédagogiques'!$C$4&lt;&gt;"?",'Choix pédagogiques'!$C$5&lt;&gt;"?",X102&lt;&gt;""),(X102-'Choix pédagogiques'!$C$4)/('Choix pédagogiques'!$C$5-'Choix pédagogiques'!$C$4),"")</f>
        <v/>
      </c>
      <c r="AT102" s="55" t="str">
        <f aca="false">IF(AND('Choix pédagogiques'!$C$4&lt;&gt;"?",'Choix pédagogiques'!$C$5&lt;&gt;"?",Y102&lt;&gt;""),(Y102-'Choix pédagogiques'!$C$4)/('Choix pédagogiques'!$C$5-'Choix pédagogiques'!$C$4),"")</f>
        <v/>
      </c>
      <c r="AU102" s="53" t="str">
        <f aca="false">IF($E102&lt;&gt;"",$E102,"")</f>
        <v/>
      </c>
      <c r="AV102" s="52" t="str">
        <f aca="false">IF($F102&lt;&gt;"",$F102,"")</f>
        <v>Apprenant 90 ou 90'</v>
      </c>
      <c r="AW102" s="55" t="str">
        <f aca="false">IF(AND('Choix pédagogiques'!$C$4&lt;&gt;"?",'Choix pédagogiques'!$C$5&lt;&gt;"?",AB102&lt;&gt;""),(AB102-'Choix pédagogiques'!$C$4)/('Choix pédagogiques'!$C$5-'Choix pédagogiques'!$C$4),"")</f>
        <v/>
      </c>
      <c r="AX102" s="55" t="str">
        <f aca="false">IF(AND('Choix pédagogiques'!$C$4&lt;&gt;"?",'Choix pédagogiques'!$C$5&lt;&gt;"?",AC102&lt;&gt;""),(AC102-'Choix pédagogiques'!$C$4)/('Choix pédagogiques'!$C$5-'Choix pédagogiques'!$C$4),"")</f>
        <v/>
      </c>
      <c r="AY102" s="55" t="str">
        <f aca="false">IF(AND('Choix pédagogiques'!$C$4&lt;&gt;"?",'Choix pédagogiques'!$C$5&lt;&gt;"?",AD102&lt;&gt;""),(AD102-'Choix pédagogiques'!$C$4)/('Choix pédagogiques'!$C$5-'Choix pédagogiques'!$C$4),"")</f>
        <v/>
      </c>
      <c r="AZ102" s="53" t="str">
        <f aca="false">IF($J102&lt;&gt;"",$J102,"")</f>
        <v/>
      </c>
      <c r="BA102" s="52" t="str">
        <f aca="false">IF($A102&lt;&gt;"",$A102,"")</f>
        <v>Apprenant 90</v>
      </c>
      <c r="BB102" s="55" t="str">
        <f aca="false">IF(AND($AR102&lt;&gt;"",$AS102&lt;&gt;""),$AS102-$AR102,"")</f>
        <v/>
      </c>
      <c r="BC102" s="55" t="str">
        <f aca="false">IF(AND($AR102&lt;&gt;"",$AT102&lt;&gt;""),$AT102-$AR102,"")</f>
        <v/>
      </c>
      <c r="BD102" s="55" t="str">
        <f aca="false">IF(AND($AS102&lt;&gt;"",$AT102&lt;&gt;""),$AT102-$AS102,"")</f>
        <v/>
      </c>
      <c r="BE102" s="53" t="str">
        <f aca="false">IF($E102&lt;&gt;"",$E102,"")</f>
        <v/>
      </c>
      <c r="BF102" s="52" t="str">
        <f aca="false">IF($F102&lt;&gt;"",$F102,"")</f>
        <v>Apprenant 90 ou 90'</v>
      </c>
      <c r="BG102" s="55" t="str">
        <f aca="false">IF(AND($AW102&lt;&gt;"",$AX102&lt;&gt;""),$AX102-$AW102,"")</f>
        <v/>
      </c>
      <c r="BH102" s="55" t="str">
        <f aca="false">IF(AND($AW102&lt;&gt;"",$AY102&lt;&gt;""),$AY102-$AW102,"")</f>
        <v/>
      </c>
      <c r="BI102" s="55" t="str">
        <f aca="false">IF(AND($AX102&lt;&gt;"",$AY102&lt;&gt;""),$AY102-$AX102,"")</f>
        <v/>
      </c>
      <c r="BJ102" s="53" t="str">
        <f aca="false">IF($J102&lt;&gt;"",$J102,"")</f>
        <v/>
      </c>
      <c r="BL102" s="52"/>
      <c r="BM102" s="52" t="str">
        <f aca="false">IF(OR(COUNT(B102:D1101)=0,AND('Choix pédagogiques'!$C$3&lt;&gt;1,'Choix pédagogiques'!$C$3&lt;&gt;2)),"",IF(AND(OR('Choix pédagogiques'!$C$3=1,'Choix pédagogiques'!$C$3=2),$B102&lt;&gt;"",$C102&lt;&gt;"",$D102&lt;&gt;""),1,0))</f>
        <v/>
      </c>
      <c r="BN102" s="52" t="str">
        <f aca="false">IF(OR(COUNT(G102:I1101)=0,AND('Choix pédagogiques'!$C$3&lt;&gt;1,'Choix pédagogiques'!$C$3&lt;&gt;2)),"",IF(AND(OR('Choix pédagogiques'!$C$3=1,'Choix pédagogiques'!$C$3=2),AND($G102&lt;&gt;"",$H102&lt;&gt;"",$I102&lt;&gt;"")),1,0))</f>
        <v/>
      </c>
      <c r="BO102" s="52" t="str">
        <f aca="false">IF(OR(COUNT(B102:D1101)=0,COUNT(G102:I1101)=0,'Choix pédagogiques'!C$3&lt;&gt;3),"",IF(AND('Choix pédagogiques'!$C$3=3,$B102&lt;&gt;"",$C102&lt;&gt;"",$D102&lt;&gt;"",$G102&lt;&gt;"",$H102&lt;&gt;"",$I102&lt;&gt;""),1,0))</f>
        <v/>
      </c>
      <c r="BR102" s="52" t="n">
        <v>71</v>
      </c>
      <c r="BS102" s="52" t="n">
        <v>1720</v>
      </c>
    </row>
    <row r="103" s="54" customFormat="true" ht="18" hidden="false" customHeight="true" outlineLevel="0" collapsed="false">
      <c r="A103" s="57" t="s">
        <v>137</v>
      </c>
      <c r="B103" s="51"/>
      <c r="C103" s="51"/>
      <c r="D103" s="51"/>
      <c r="E103" s="51"/>
      <c r="F103" s="57" t="s">
        <v>138</v>
      </c>
      <c r="G103" s="51"/>
      <c r="H103" s="51"/>
      <c r="I103" s="51"/>
      <c r="J103" s="51"/>
      <c r="K103" s="52" t="str">
        <f aca="false">IF($A103&lt;&gt;"",$A103,"")</f>
        <v>Apprenant 91</v>
      </c>
      <c r="L103" s="53" t="str">
        <f aca="false">IF(AND($B103&lt;&gt;"",$C103&lt;&gt;""),$C103-$B103,"")</f>
        <v/>
      </c>
      <c r="M103" s="53" t="str">
        <f aca="false">IF(AND($B103&lt;&gt;"",$D103&lt;&gt;""),$D103-$B103,"")</f>
        <v/>
      </c>
      <c r="N103" s="53" t="str">
        <f aca="false">IF(AND($C103&lt;&gt;"",$D103&lt;&gt;""),$D103-$C103,"")</f>
        <v/>
      </c>
      <c r="O103" s="53" t="str">
        <f aca="false">IF($E103&lt;&gt;"",$E103,"")</f>
        <v/>
      </c>
      <c r="P103" s="52" t="str">
        <f aca="false">IF($F103&lt;&gt;"",$F103,"")</f>
        <v>Apprenant 91 ou 91'</v>
      </c>
      <c r="Q103" s="53" t="str">
        <f aca="false">IF(AND($G103&lt;&gt;"",$H103&lt;&gt;""),$H103-$G103,"")</f>
        <v/>
      </c>
      <c r="R103" s="53" t="str">
        <f aca="false">IF(AND($G103&lt;&gt;"",$I103&lt;&gt;""),$I103-$G103,"")</f>
        <v/>
      </c>
      <c r="S103" s="53" t="str">
        <f aca="false">IF(AND($H103&lt;&gt;"",$I103&lt;&gt;""),$I103-$H103,"")</f>
        <v/>
      </c>
      <c r="T103" s="53" t="str">
        <f aca="false">IF($J103&lt;&gt;"",$J103,"")</f>
        <v/>
      </c>
      <c r="V103" s="52" t="str">
        <f aca="false">IF($A103&lt;&gt;"",$A103,"")</f>
        <v>Apprenant 91</v>
      </c>
      <c r="W103" s="53" t="str">
        <f aca="false">IF(AND(OR('Choix pédagogiques'!$C$3=1,'Choix pédagogiques'!$C$3=2),$BM103=1),B103,IF(AND('Choix pédagogiques'!$C$3=3,$BO103=1),B103,""))</f>
        <v/>
      </c>
      <c r="X103" s="53" t="str">
        <f aca="false">IF(AND(OR('Choix pédagogiques'!$C$3=1,'Choix pédagogiques'!$C$3=2),$BM103=1),C103,IF(AND('Choix pédagogiques'!$C$3=3,$BO103=1),C103,""))</f>
        <v/>
      </c>
      <c r="Y103" s="53" t="str">
        <f aca="false">IF(AND(OR('Choix pédagogiques'!$C$3=1,'Choix pédagogiques'!$C$3=2),$BM103=1),D103,IF(AND('Choix pédagogiques'!$C$3=3,$BO103=1),D103,""))</f>
        <v/>
      </c>
      <c r="Z103" s="53" t="str">
        <f aca="false">IF($E103&lt;&gt;"",$E103,"")</f>
        <v/>
      </c>
      <c r="AA103" s="52" t="str">
        <f aca="false">IF($F103&lt;&gt;"",$F103,"")</f>
        <v>Apprenant 91 ou 91'</v>
      </c>
      <c r="AB103" s="53" t="str">
        <f aca="false">IF(AND(OR('Choix pédagogiques'!$C$3=1,'Choix pédagogiques'!$C$3=2),$BN103=1),G103,IF(AND('Choix pédagogiques'!$C$3=3,$BO103=1),G103,""))</f>
        <v/>
      </c>
      <c r="AC103" s="53" t="str">
        <f aca="false">IF(AND(OR('Choix pédagogiques'!$C$3=1,'Choix pédagogiques'!$C$3=2),$BN103=1),H103,IF(AND('Choix pédagogiques'!$C$3=3,$BO103=1),H103,""))</f>
        <v/>
      </c>
      <c r="AD103" s="53" t="str">
        <f aca="false">IF(AND(OR('Choix pédagogiques'!$C$3=1,'Choix pédagogiques'!$C$3=2),$BN103=1),I103,IF(AND('Choix pédagogiques'!$C$3=3,$BO103=1),I103,""))</f>
        <v/>
      </c>
      <c r="AE103" s="53" t="str">
        <f aca="false">IF($J103&lt;&gt;"",$J103,"")</f>
        <v/>
      </c>
      <c r="AF103" s="52" t="str">
        <f aca="false">IF($A103&lt;&gt;"",$A103,"")</f>
        <v>Apprenant 91</v>
      </c>
      <c r="AG103" s="53" t="str">
        <f aca="false">IF(AND($W103&lt;&gt;"",$X103&lt;&gt;""),$X103-$W103,"")</f>
        <v/>
      </c>
      <c r="AH103" s="53" t="str">
        <f aca="false">IF(AND($W103&lt;&gt;"",$Y103&lt;&gt;""),$Y103-$W103,"")</f>
        <v/>
      </c>
      <c r="AI103" s="53" t="str">
        <f aca="false">IF(AND($X103&lt;&gt;"",$Y103&lt;&gt;""),$Y103-$X103,"")</f>
        <v/>
      </c>
      <c r="AJ103" s="53" t="str">
        <f aca="false">IF($E103&lt;&gt;"",$E103,"")</f>
        <v/>
      </c>
      <c r="AK103" s="52" t="str">
        <f aca="false">IF($F103&lt;&gt;"",$F103,"")</f>
        <v>Apprenant 91 ou 91'</v>
      </c>
      <c r="AL103" s="53" t="str">
        <f aca="false">IF(AND($AB103&lt;&gt;"",$AC103&lt;&gt;""),$AC103-$AB103,"")</f>
        <v/>
      </c>
      <c r="AM103" s="53" t="str">
        <f aca="false">IF(AND($AB103&lt;&gt;"",$AD103&lt;&gt;""),$AD103-$AB103,"")</f>
        <v/>
      </c>
      <c r="AN103" s="53" t="str">
        <f aca="false">IF(AND($AC103&lt;&gt;"",$AD103&lt;&gt;""),$AD103-$AC103,"")</f>
        <v/>
      </c>
      <c r="AO103" s="53" t="str">
        <f aca="false">IF($J103&lt;&gt;"",$J103,"")</f>
        <v/>
      </c>
      <c r="AQ103" s="52" t="str">
        <f aca="false">IF($A103&lt;&gt;"",$A103,"")</f>
        <v>Apprenant 91</v>
      </c>
      <c r="AR103" s="55" t="str">
        <f aca="false">IF(AND('Choix pédagogiques'!$C$4&lt;&gt;"?",'Choix pédagogiques'!$C$5&lt;&gt;"?",W103&lt;&gt;""),(W103-'Choix pédagogiques'!$C$4)/('Choix pédagogiques'!$C$5-'Choix pédagogiques'!$C$4),"")</f>
        <v/>
      </c>
      <c r="AS103" s="55" t="str">
        <f aca="false">IF(AND('Choix pédagogiques'!$C$4&lt;&gt;"?",'Choix pédagogiques'!$C$5&lt;&gt;"?",X103&lt;&gt;""),(X103-'Choix pédagogiques'!$C$4)/('Choix pédagogiques'!$C$5-'Choix pédagogiques'!$C$4),"")</f>
        <v/>
      </c>
      <c r="AT103" s="55" t="str">
        <f aca="false">IF(AND('Choix pédagogiques'!$C$4&lt;&gt;"?",'Choix pédagogiques'!$C$5&lt;&gt;"?",Y103&lt;&gt;""),(Y103-'Choix pédagogiques'!$C$4)/('Choix pédagogiques'!$C$5-'Choix pédagogiques'!$C$4),"")</f>
        <v/>
      </c>
      <c r="AU103" s="53" t="str">
        <f aca="false">IF($E103&lt;&gt;"",$E103,"")</f>
        <v/>
      </c>
      <c r="AV103" s="52" t="str">
        <f aca="false">IF($F103&lt;&gt;"",$F103,"")</f>
        <v>Apprenant 91 ou 91'</v>
      </c>
      <c r="AW103" s="55" t="str">
        <f aca="false">IF(AND('Choix pédagogiques'!$C$4&lt;&gt;"?",'Choix pédagogiques'!$C$5&lt;&gt;"?",AB103&lt;&gt;""),(AB103-'Choix pédagogiques'!$C$4)/('Choix pédagogiques'!$C$5-'Choix pédagogiques'!$C$4),"")</f>
        <v/>
      </c>
      <c r="AX103" s="55" t="str">
        <f aca="false">IF(AND('Choix pédagogiques'!$C$4&lt;&gt;"?",'Choix pédagogiques'!$C$5&lt;&gt;"?",AC103&lt;&gt;""),(AC103-'Choix pédagogiques'!$C$4)/('Choix pédagogiques'!$C$5-'Choix pédagogiques'!$C$4),"")</f>
        <v/>
      </c>
      <c r="AY103" s="55" t="str">
        <f aca="false">IF(AND('Choix pédagogiques'!$C$4&lt;&gt;"?",'Choix pédagogiques'!$C$5&lt;&gt;"?",AD103&lt;&gt;""),(AD103-'Choix pédagogiques'!$C$4)/('Choix pédagogiques'!$C$5-'Choix pédagogiques'!$C$4),"")</f>
        <v/>
      </c>
      <c r="AZ103" s="53" t="str">
        <f aca="false">IF($J103&lt;&gt;"",$J103,"")</f>
        <v/>
      </c>
      <c r="BA103" s="52" t="str">
        <f aca="false">IF($A103&lt;&gt;"",$A103,"")</f>
        <v>Apprenant 91</v>
      </c>
      <c r="BB103" s="55" t="str">
        <f aca="false">IF(AND($AR103&lt;&gt;"",$AS103&lt;&gt;""),$AS103-$AR103,"")</f>
        <v/>
      </c>
      <c r="BC103" s="55" t="str">
        <f aca="false">IF(AND($AR103&lt;&gt;"",$AT103&lt;&gt;""),$AT103-$AR103,"")</f>
        <v/>
      </c>
      <c r="BD103" s="55" t="str">
        <f aca="false">IF(AND($AS103&lt;&gt;"",$AT103&lt;&gt;""),$AT103-$AS103,"")</f>
        <v/>
      </c>
      <c r="BE103" s="53" t="str">
        <f aca="false">IF($E103&lt;&gt;"",$E103,"")</f>
        <v/>
      </c>
      <c r="BF103" s="52" t="str">
        <f aca="false">IF($F103&lt;&gt;"",$F103,"")</f>
        <v>Apprenant 91 ou 91'</v>
      </c>
      <c r="BG103" s="55" t="str">
        <f aca="false">IF(AND($AW103&lt;&gt;"",$AX103&lt;&gt;""),$AX103-$AW103,"")</f>
        <v/>
      </c>
      <c r="BH103" s="55" t="str">
        <f aca="false">IF(AND($AW103&lt;&gt;"",$AY103&lt;&gt;""),$AY103-$AW103,"")</f>
        <v/>
      </c>
      <c r="BI103" s="55" t="str">
        <f aca="false">IF(AND($AX103&lt;&gt;"",$AY103&lt;&gt;""),$AY103-$AX103,"")</f>
        <v/>
      </c>
      <c r="BJ103" s="53" t="str">
        <f aca="false">IF($J103&lt;&gt;"",$J103,"")</f>
        <v/>
      </c>
      <c r="BL103" s="52"/>
      <c r="BM103" s="52" t="str">
        <f aca="false">IF(OR(COUNT(B103:D1102)=0,AND('Choix pédagogiques'!$C$3&lt;&gt;1,'Choix pédagogiques'!$C$3&lt;&gt;2)),"",IF(AND(OR('Choix pédagogiques'!$C$3=1,'Choix pédagogiques'!$C$3=2),$B103&lt;&gt;"",$C103&lt;&gt;"",$D103&lt;&gt;""),1,0))</f>
        <v/>
      </c>
      <c r="BN103" s="52" t="str">
        <f aca="false">IF(OR(COUNT(G103:I1102)=0,AND('Choix pédagogiques'!$C$3&lt;&gt;1,'Choix pédagogiques'!$C$3&lt;&gt;2)),"",IF(AND(OR('Choix pédagogiques'!$C$3=1,'Choix pédagogiques'!$C$3=2),AND($G103&lt;&gt;"",$H103&lt;&gt;"",$I103&lt;&gt;"")),1,0))</f>
        <v/>
      </c>
      <c r="BO103" s="52" t="str">
        <f aca="false">IF(OR(COUNT(B103:D1102)=0,COUNT(G103:I1102)=0,'Choix pédagogiques'!C$3&lt;&gt;3),"",IF(AND('Choix pédagogiques'!$C$3=3,$B103&lt;&gt;"",$C103&lt;&gt;"",$D103&lt;&gt;"",$G103&lt;&gt;"",$H103&lt;&gt;"",$I103&lt;&gt;""),1,0))</f>
        <v/>
      </c>
      <c r="BR103" s="52" t="n">
        <v>854</v>
      </c>
      <c r="BS103" s="52" t="n">
        <v>1779</v>
      </c>
    </row>
    <row r="104" s="54" customFormat="true" ht="18" hidden="false" customHeight="true" outlineLevel="0" collapsed="false">
      <c r="A104" s="57" t="s">
        <v>139</v>
      </c>
      <c r="B104" s="51"/>
      <c r="C104" s="51"/>
      <c r="D104" s="51"/>
      <c r="E104" s="51"/>
      <c r="F104" s="57" t="s">
        <v>140</v>
      </c>
      <c r="G104" s="51"/>
      <c r="H104" s="51"/>
      <c r="I104" s="51"/>
      <c r="J104" s="51"/>
      <c r="K104" s="52" t="str">
        <f aca="false">IF($A104&lt;&gt;"",$A104,"")</f>
        <v>Apprenant 92</v>
      </c>
      <c r="L104" s="53" t="str">
        <f aca="false">IF(AND($B104&lt;&gt;"",$C104&lt;&gt;""),$C104-$B104,"")</f>
        <v/>
      </c>
      <c r="M104" s="53" t="str">
        <f aca="false">IF(AND($B104&lt;&gt;"",$D104&lt;&gt;""),$D104-$B104,"")</f>
        <v/>
      </c>
      <c r="N104" s="53" t="str">
        <f aca="false">IF(AND($C104&lt;&gt;"",$D104&lt;&gt;""),$D104-$C104,"")</f>
        <v/>
      </c>
      <c r="O104" s="53" t="str">
        <f aca="false">IF($E104&lt;&gt;"",$E104,"")</f>
        <v/>
      </c>
      <c r="P104" s="52" t="str">
        <f aca="false">IF($F104&lt;&gt;"",$F104,"")</f>
        <v>Apprenant 92 ou 92'</v>
      </c>
      <c r="Q104" s="53" t="str">
        <f aca="false">IF(AND($G104&lt;&gt;"",$H104&lt;&gt;""),$H104-$G104,"")</f>
        <v/>
      </c>
      <c r="R104" s="53" t="str">
        <f aca="false">IF(AND($G104&lt;&gt;"",$I104&lt;&gt;""),$I104-$G104,"")</f>
        <v/>
      </c>
      <c r="S104" s="53" t="str">
        <f aca="false">IF(AND($H104&lt;&gt;"",$I104&lt;&gt;""),$I104-$H104,"")</f>
        <v/>
      </c>
      <c r="T104" s="53" t="str">
        <f aca="false">IF($J104&lt;&gt;"",$J104,"")</f>
        <v/>
      </c>
      <c r="V104" s="52" t="str">
        <f aca="false">IF($A104&lt;&gt;"",$A104,"")</f>
        <v>Apprenant 92</v>
      </c>
      <c r="W104" s="53" t="str">
        <f aca="false">IF(AND(OR('Choix pédagogiques'!$C$3=1,'Choix pédagogiques'!$C$3=2),$BM104=1),B104,IF(AND('Choix pédagogiques'!$C$3=3,$BO104=1),B104,""))</f>
        <v/>
      </c>
      <c r="X104" s="53" t="str">
        <f aca="false">IF(AND(OR('Choix pédagogiques'!$C$3=1,'Choix pédagogiques'!$C$3=2),$BM104=1),C104,IF(AND('Choix pédagogiques'!$C$3=3,$BO104=1),C104,""))</f>
        <v/>
      </c>
      <c r="Y104" s="53" t="str">
        <f aca="false">IF(AND(OR('Choix pédagogiques'!$C$3=1,'Choix pédagogiques'!$C$3=2),$BM104=1),D104,IF(AND('Choix pédagogiques'!$C$3=3,$BO104=1),D104,""))</f>
        <v/>
      </c>
      <c r="Z104" s="53" t="str">
        <f aca="false">IF($E104&lt;&gt;"",$E104,"")</f>
        <v/>
      </c>
      <c r="AA104" s="52" t="str">
        <f aca="false">IF($F104&lt;&gt;"",$F104,"")</f>
        <v>Apprenant 92 ou 92'</v>
      </c>
      <c r="AB104" s="53" t="str">
        <f aca="false">IF(AND(OR('Choix pédagogiques'!$C$3=1,'Choix pédagogiques'!$C$3=2),$BN104=1),G104,IF(AND('Choix pédagogiques'!$C$3=3,$BO104=1),G104,""))</f>
        <v/>
      </c>
      <c r="AC104" s="53" t="str">
        <f aca="false">IF(AND(OR('Choix pédagogiques'!$C$3=1,'Choix pédagogiques'!$C$3=2),$BN104=1),H104,IF(AND('Choix pédagogiques'!$C$3=3,$BO104=1),H104,""))</f>
        <v/>
      </c>
      <c r="AD104" s="53" t="str">
        <f aca="false">IF(AND(OR('Choix pédagogiques'!$C$3=1,'Choix pédagogiques'!$C$3=2),$BN104=1),I104,IF(AND('Choix pédagogiques'!$C$3=3,$BO104=1),I104,""))</f>
        <v/>
      </c>
      <c r="AE104" s="53" t="str">
        <f aca="false">IF($J104&lt;&gt;"",$J104,"")</f>
        <v/>
      </c>
      <c r="AF104" s="52" t="str">
        <f aca="false">IF($A104&lt;&gt;"",$A104,"")</f>
        <v>Apprenant 92</v>
      </c>
      <c r="AG104" s="53" t="str">
        <f aca="false">IF(AND($W104&lt;&gt;"",$X104&lt;&gt;""),$X104-$W104,"")</f>
        <v/>
      </c>
      <c r="AH104" s="53" t="str">
        <f aca="false">IF(AND($W104&lt;&gt;"",$Y104&lt;&gt;""),$Y104-$W104,"")</f>
        <v/>
      </c>
      <c r="AI104" s="53" t="str">
        <f aca="false">IF(AND($X104&lt;&gt;"",$Y104&lt;&gt;""),$Y104-$X104,"")</f>
        <v/>
      </c>
      <c r="AJ104" s="53" t="str">
        <f aca="false">IF($E104&lt;&gt;"",$E104,"")</f>
        <v/>
      </c>
      <c r="AK104" s="52" t="str">
        <f aca="false">IF($F104&lt;&gt;"",$F104,"")</f>
        <v>Apprenant 92 ou 92'</v>
      </c>
      <c r="AL104" s="53" t="str">
        <f aca="false">IF(AND($AB104&lt;&gt;"",$AC104&lt;&gt;""),$AC104-$AB104,"")</f>
        <v/>
      </c>
      <c r="AM104" s="53" t="str">
        <f aca="false">IF(AND($AB104&lt;&gt;"",$AD104&lt;&gt;""),$AD104-$AB104,"")</f>
        <v/>
      </c>
      <c r="AN104" s="53" t="str">
        <f aca="false">IF(AND($AC104&lt;&gt;"",$AD104&lt;&gt;""),$AD104-$AC104,"")</f>
        <v/>
      </c>
      <c r="AO104" s="53" t="str">
        <f aca="false">IF($J104&lt;&gt;"",$J104,"")</f>
        <v/>
      </c>
      <c r="AQ104" s="52" t="str">
        <f aca="false">IF($A104&lt;&gt;"",$A104,"")</f>
        <v>Apprenant 92</v>
      </c>
      <c r="AR104" s="55" t="str">
        <f aca="false">IF(AND('Choix pédagogiques'!$C$4&lt;&gt;"?",'Choix pédagogiques'!$C$5&lt;&gt;"?",W104&lt;&gt;""),(W104-'Choix pédagogiques'!$C$4)/('Choix pédagogiques'!$C$5-'Choix pédagogiques'!$C$4),"")</f>
        <v/>
      </c>
      <c r="AS104" s="55" t="str">
        <f aca="false">IF(AND('Choix pédagogiques'!$C$4&lt;&gt;"?",'Choix pédagogiques'!$C$5&lt;&gt;"?",X104&lt;&gt;""),(X104-'Choix pédagogiques'!$C$4)/('Choix pédagogiques'!$C$5-'Choix pédagogiques'!$C$4),"")</f>
        <v/>
      </c>
      <c r="AT104" s="55" t="str">
        <f aca="false">IF(AND('Choix pédagogiques'!$C$4&lt;&gt;"?",'Choix pédagogiques'!$C$5&lt;&gt;"?",Y104&lt;&gt;""),(Y104-'Choix pédagogiques'!$C$4)/('Choix pédagogiques'!$C$5-'Choix pédagogiques'!$C$4),"")</f>
        <v/>
      </c>
      <c r="AU104" s="53" t="str">
        <f aca="false">IF($E104&lt;&gt;"",$E104,"")</f>
        <v/>
      </c>
      <c r="AV104" s="52" t="str">
        <f aca="false">IF($F104&lt;&gt;"",$F104,"")</f>
        <v>Apprenant 92 ou 92'</v>
      </c>
      <c r="AW104" s="55" t="str">
        <f aca="false">IF(AND('Choix pédagogiques'!$C$4&lt;&gt;"?",'Choix pédagogiques'!$C$5&lt;&gt;"?",AB104&lt;&gt;""),(AB104-'Choix pédagogiques'!$C$4)/('Choix pédagogiques'!$C$5-'Choix pédagogiques'!$C$4),"")</f>
        <v/>
      </c>
      <c r="AX104" s="55" t="str">
        <f aca="false">IF(AND('Choix pédagogiques'!$C$4&lt;&gt;"?",'Choix pédagogiques'!$C$5&lt;&gt;"?",AC104&lt;&gt;""),(AC104-'Choix pédagogiques'!$C$4)/('Choix pédagogiques'!$C$5-'Choix pédagogiques'!$C$4),"")</f>
        <v/>
      </c>
      <c r="AY104" s="55" t="str">
        <f aca="false">IF(AND('Choix pédagogiques'!$C$4&lt;&gt;"?",'Choix pédagogiques'!$C$5&lt;&gt;"?",AD104&lt;&gt;""),(AD104-'Choix pédagogiques'!$C$4)/('Choix pédagogiques'!$C$5-'Choix pédagogiques'!$C$4),"")</f>
        <v/>
      </c>
      <c r="AZ104" s="53" t="str">
        <f aca="false">IF($J104&lt;&gt;"",$J104,"")</f>
        <v/>
      </c>
      <c r="BA104" s="52" t="str">
        <f aca="false">IF($A104&lt;&gt;"",$A104,"")</f>
        <v>Apprenant 92</v>
      </c>
      <c r="BB104" s="55" t="str">
        <f aca="false">IF(AND($AR104&lt;&gt;"",$AS104&lt;&gt;""),$AS104-$AR104,"")</f>
        <v/>
      </c>
      <c r="BC104" s="55" t="str">
        <f aca="false">IF(AND($AR104&lt;&gt;"",$AT104&lt;&gt;""),$AT104-$AR104,"")</f>
        <v/>
      </c>
      <c r="BD104" s="55" t="str">
        <f aca="false">IF(AND($AS104&lt;&gt;"",$AT104&lt;&gt;""),$AT104-$AS104,"")</f>
        <v/>
      </c>
      <c r="BE104" s="53" t="str">
        <f aca="false">IF($E104&lt;&gt;"",$E104,"")</f>
        <v/>
      </c>
      <c r="BF104" s="52" t="str">
        <f aca="false">IF($F104&lt;&gt;"",$F104,"")</f>
        <v>Apprenant 92 ou 92'</v>
      </c>
      <c r="BG104" s="55" t="str">
        <f aca="false">IF(AND($AW104&lt;&gt;"",$AX104&lt;&gt;""),$AX104-$AW104,"")</f>
        <v/>
      </c>
      <c r="BH104" s="55" t="str">
        <f aca="false">IF(AND($AW104&lt;&gt;"",$AY104&lt;&gt;""),$AY104-$AW104,"")</f>
        <v/>
      </c>
      <c r="BI104" s="55" t="str">
        <f aca="false">IF(AND($AX104&lt;&gt;"",$AY104&lt;&gt;""),$AY104-$AX104,"")</f>
        <v/>
      </c>
      <c r="BJ104" s="53" t="str">
        <f aca="false">IF($J104&lt;&gt;"",$J104,"")</f>
        <v/>
      </c>
      <c r="BL104" s="52"/>
      <c r="BM104" s="52" t="str">
        <f aca="false">IF(OR(COUNT(B104:D1103)=0,AND('Choix pédagogiques'!$C$3&lt;&gt;1,'Choix pédagogiques'!$C$3&lt;&gt;2)),"",IF(AND(OR('Choix pédagogiques'!$C$3=1,'Choix pédagogiques'!$C$3=2),$B104&lt;&gt;"",$C104&lt;&gt;"",$D104&lt;&gt;""),1,0))</f>
        <v/>
      </c>
      <c r="BN104" s="52" t="str">
        <f aca="false">IF(OR(COUNT(G104:I1103)=0,AND('Choix pédagogiques'!$C$3&lt;&gt;1,'Choix pédagogiques'!$C$3&lt;&gt;2)),"",IF(AND(OR('Choix pédagogiques'!$C$3=1,'Choix pédagogiques'!$C$3=2),AND($G104&lt;&gt;"",$H104&lt;&gt;"",$I104&lt;&gt;"")),1,0))</f>
        <v/>
      </c>
      <c r="BO104" s="52" t="str">
        <f aca="false">IF(OR(COUNT(B104:D1103)=0,COUNT(G104:I1103)=0,'Choix pédagogiques'!C$3&lt;&gt;3),"",IF(AND('Choix pédagogiques'!$C$3=3,$B104&lt;&gt;"",$C104&lt;&gt;"",$D104&lt;&gt;"",$G104&lt;&gt;"",$H104&lt;&gt;"",$I104&lt;&gt;""),1,0))</f>
        <v/>
      </c>
      <c r="BR104" s="52" t="n">
        <v>50</v>
      </c>
      <c r="BS104" s="52" t="n">
        <v>1784</v>
      </c>
    </row>
    <row r="105" s="54" customFormat="true" ht="18" hidden="false" customHeight="true" outlineLevel="0" collapsed="false">
      <c r="A105" s="57" t="s">
        <v>141</v>
      </c>
      <c r="B105" s="51"/>
      <c r="C105" s="51"/>
      <c r="D105" s="51"/>
      <c r="E105" s="51"/>
      <c r="F105" s="57" t="s">
        <v>142</v>
      </c>
      <c r="G105" s="51"/>
      <c r="H105" s="51"/>
      <c r="I105" s="51"/>
      <c r="J105" s="51"/>
      <c r="K105" s="52" t="str">
        <f aca="false">IF($A105&lt;&gt;"",$A105,"")</f>
        <v>Apprenant 93</v>
      </c>
      <c r="L105" s="53" t="str">
        <f aca="false">IF(AND($B105&lt;&gt;"",$C105&lt;&gt;""),$C105-$B105,"")</f>
        <v/>
      </c>
      <c r="M105" s="53" t="str">
        <f aca="false">IF(AND($B105&lt;&gt;"",$D105&lt;&gt;""),$D105-$B105,"")</f>
        <v/>
      </c>
      <c r="N105" s="53" t="str">
        <f aca="false">IF(AND($C105&lt;&gt;"",$D105&lt;&gt;""),$D105-$C105,"")</f>
        <v/>
      </c>
      <c r="O105" s="53" t="str">
        <f aca="false">IF($E105&lt;&gt;"",$E105,"")</f>
        <v/>
      </c>
      <c r="P105" s="52" t="str">
        <f aca="false">IF($F105&lt;&gt;"",$F105,"")</f>
        <v>Apprenant 93 ou 93'</v>
      </c>
      <c r="Q105" s="53" t="str">
        <f aca="false">IF(AND($G105&lt;&gt;"",$H105&lt;&gt;""),$H105-$G105,"")</f>
        <v/>
      </c>
      <c r="R105" s="53" t="str">
        <f aca="false">IF(AND($G105&lt;&gt;"",$I105&lt;&gt;""),$I105-$G105,"")</f>
        <v/>
      </c>
      <c r="S105" s="53" t="str">
        <f aca="false">IF(AND($H105&lt;&gt;"",$I105&lt;&gt;""),$I105-$H105,"")</f>
        <v/>
      </c>
      <c r="T105" s="53" t="str">
        <f aca="false">IF($J105&lt;&gt;"",$J105,"")</f>
        <v/>
      </c>
      <c r="V105" s="52" t="str">
        <f aca="false">IF($A105&lt;&gt;"",$A105,"")</f>
        <v>Apprenant 93</v>
      </c>
      <c r="W105" s="53" t="str">
        <f aca="false">IF(AND(OR('Choix pédagogiques'!$C$3=1,'Choix pédagogiques'!$C$3=2),$BM105=1),B105,IF(AND('Choix pédagogiques'!$C$3=3,$BO105=1),B105,""))</f>
        <v/>
      </c>
      <c r="X105" s="53" t="str">
        <f aca="false">IF(AND(OR('Choix pédagogiques'!$C$3=1,'Choix pédagogiques'!$C$3=2),$BM105=1),C105,IF(AND('Choix pédagogiques'!$C$3=3,$BO105=1),C105,""))</f>
        <v/>
      </c>
      <c r="Y105" s="53" t="str">
        <f aca="false">IF(AND(OR('Choix pédagogiques'!$C$3=1,'Choix pédagogiques'!$C$3=2),$BM105=1),D105,IF(AND('Choix pédagogiques'!$C$3=3,$BO105=1),D105,""))</f>
        <v/>
      </c>
      <c r="Z105" s="53" t="str">
        <f aca="false">IF($E105&lt;&gt;"",$E105,"")</f>
        <v/>
      </c>
      <c r="AA105" s="52" t="str">
        <f aca="false">IF($F105&lt;&gt;"",$F105,"")</f>
        <v>Apprenant 93 ou 93'</v>
      </c>
      <c r="AB105" s="53" t="str">
        <f aca="false">IF(AND(OR('Choix pédagogiques'!$C$3=1,'Choix pédagogiques'!$C$3=2),$BN105=1),G105,IF(AND('Choix pédagogiques'!$C$3=3,$BO105=1),G105,""))</f>
        <v/>
      </c>
      <c r="AC105" s="53" t="str">
        <f aca="false">IF(AND(OR('Choix pédagogiques'!$C$3=1,'Choix pédagogiques'!$C$3=2),$BN105=1),H105,IF(AND('Choix pédagogiques'!$C$3=3,$BO105=1),H105,""))</f>
        <v/>
      </c>
      <c r="AD105" s="53" t="str">
        <f aca="false">IF(AND(OR('Choix pédagogiques'!$C$3=1,'Choix pédagogiques'!$C$3=2),$BN105=1),I105,IF(AND('Choix pédagogiques'!$C$3=3,$BO105=1),I105,""))</f>
        <v/>
      </c>
      <c r="AE105" s="53" t="str">
        <f aca="false">IF($J105&lt;&gt;"",$J105,"")</f>
        <v/>
      </c>
      <c r="AF105" s="52" t="str">
        <f aca="false">IF($A105&lt;&gt;"",$A105,"")</f>
        <v>Apprenant 93</v>
      </c>
      <c r="AG105" s="53" t="str">
        <f aca="false">IF(AND($W105&lt;&gt;"",$X105&lt;&gt;""),$X105-$W105,"")</f>
        <v/>
      </c>
      <c r="AH105" s="53" t="str">
        <f aca="false">IF(AND($W105&lt;&gt;"",$Y105&lt;&gt;""),$Y105-$W105,"")</f>
        <v/>
      </c>
      <c r="AI105" s="53" t="str">
        <f aca="false">IF(AND($X105&lt;&gt;"",$Y105&lt;&gt;""),$Y105-$X105,"")</f>
        <v/>
      </c>
      <c r="AJ105" s="53" t="str">
        <f aca="false">IF($E105&lt;&gt;"",$E105,"")</f>
        <v/>
      </c>
      <c r="AK105" s="52" t="str">
        <f aca="false">IF($F105&lt;&gt;"",$F105,"")</f>
        <v>Apprenant 93 ou 93'</v>
      </c>
      <c r="AL105" s="53" t="str">
        <f aca="false">IF(AND($AB105&lt;&gt;"",$AC105&lt;&gt;""),$AC105-$AB105,"")</f>
        <v/>
      </c>
      <c r="AM105" s="53" t="str">
        <f aca="false">IF(AND($AB105&lt;&gt;"",$AD105&lt;&gt;""),$AD105-$AB105,"")</f>
        <v/>
      </c>
      <c r="AN105" s="53" t="str">
        <f aca="false">IF(AND($AC105&lt;&gt;"",$AD105&lt;&gt;""),$AD105-$AC105,"")</f>
        <v/>
      </c>
      <c r="AO105" s="53" t="str">
        <f aca="false">IF($J105&lt;&gt;"",$J105,"")</f>
        <v/>
      </c>
      <c r="AQ105" s="52" t="str">
        <f aca="false">IF($A105&lt;&gt;"",$A105,"")</f>
        <v>Apprenant 93</v>
      </c>
      <c r="AR105" s="55" t="str">
        <f aca="false">IF(AND('Choix pédagogiques'!$C$4&lt;&gt;"?",'Choix pédagogiques'!$C$5&lt;&gt;"?",W105&lt;&gt;""),(W105-'Choix pédagogiques'!$C$4)/('Choix pédagogiques'!$C$5-'Choix pédagogiques'!$C$4),"")</f>
        <v/>
      </c>
      <c r="AS105" s="55" t="str">
        <f aca="false">IF(AND('Choix pédagogiques'!$C$4&lt;&gt;"?",'Choix pédagogiques'!$C$5&lt;&gt;"?",X105&lt;&gt;""),(X105-'Choix pédagogiques'!$C$4)/('Choix pédagogiques'!$C$5-'Choix pédagogiques'!$C$4),"")</f>
        <v/>
      </c>
      <c r="AT105" s="55" t="str">
        <f aca="false">IF(AND('Choix pédagogiques'!$C$4&lt;&gt;"?",'Choix pédagogiques'!$C$5&lt;&gt;"?",Y105&lt;&gt;""),(Y105-'Choix pédagogiques'!$C$4)/('Choix pédagogiques'!$C$5-'Choix pédagogiques'!$C$4),"")</f>
        <v/>
      </c>
      <c r="AU105" s="53" t="str">
        <f aca="false">IF($E105&lt;&gt;"",$E105,"")</f>
        <v/>
      </c>
      <c r="AV105" s="52" t="str">
        <f aca="false">IF($F105&lt;&gt;"",$F105,"")</f>
        <v>Apprenant 93 ou 93'</v>
      </c>
      <c r="AW105" s="55" t="str">
        <f aca="false">IF(AND('Choix pédagogiques'!$C$4&lt;&gt;"?",'Choix pédagogiques'!$C$5&lt;&gt;"?",AB105&lt;&gt;""),(AB105-'Choix pédagogiques'!$C$4)/('Choix pédagogiques'!$C$5-'Choix pédagogiques'!$C$4),"")</f>
        <v/>
      </c>
      <c r="AX105" s="55" t="str">
        <f aca="false">IF(AND('Choix pédagogiques'!$C$4&lt;&gt;"?",'Choix pédagogiques'!$C$5&lt;&gt;"?",AC105&lt;&gt;""),(AC105-'Choix pédagogiques'!$C$4)/('Choix pédagogiques'!$C$5-'Choix pédagogiques'!$C$4),"")</f>
        <v/>
      </c>
      <c r="AY105" s="55" t="str">
        <f aca="false">IF(AND('Choix pédagogiques'!$C$4&lt;&gt;"?",'Choix pédagogiques'!$C$5&lt;&gt;"?",AD105&lt;&gt;""),(AD105-'Choix pédagogiques'!$C$4)/('Choix pédagogiques'!$C$5-'Choix pédagogiques'!$C$4),"")</f>
        <v/>
      </c>
      <c r="AZ105" s="53" t="str">
        <f aca="false">IF($J105&lt;&gt;"",$J105,"")</f>
        <v/>
      </c>
      <c r="BA105" s="52" t="str">
        <f aca="false">IF($A105&lt;&gt;"",$A105,"")</f>
        <v>Apprenant 93</v>
      </c>
      <c r="BB105" s="55" t="str">
        <f aca="false">IF(AND($AR105&lt;&gt;"",$AS105&lt;&gt;""),$AS105-$AR105,"")</f>
        <v/>
      </c>
      <c r="BC105" s="55" t="str">
        <f aca="false">IF(AND($AR105&lt;&gt;"",$AT105&lt;&gt;""),$AT105-$AR105,"")</f>
        <v/>
      </c>
      <c r="BD105" s="55" t="str">
        <f aca="false">IF(AND($AS105&lt;&gt;"",$AT105&lt;&gt;""),$AT105-$AS105,"")</f>
        <v/>
      </c>
      <c r="BE105" s="53" t="str">
        <f aca="false">IF($E105&lt;&gt;"",$E105,"")</f>
        <v/>
      </c>
      <c r="BF105" s="52" t="str">
        <f aca="false">IF($F105&lt;&gt;"",$F105,"")</f>
        <v>Apprenant 93 ou 93'</v>
      </c>
      <c r="BG105" s="55" t="str">
        <f aca="false">IF(AND($AW105&lt;&gt;"",$AX105&lt;&gt;""),$AX105-$AW105,"")</f>
        <v/>
      </c>
      <c r="BH105" s="55" t="str">
        <f aca="false">IF(AND($AW105&lt;&gt;"",$AY105&lt;&gt;""),$AY105-$AW105,"")</f>
        <v/>
      </c>
      <c r="BI105" s="55" t="str">
        <f aca="false">IF(AND($AX105&lt;&gt;"",$AY105&lt;&gt;""),$AY105-$AX105,"")</f>
        <v/>
      </c>
      <c r="BJ105" s="53" t="str">
        <f aca="false">IF($J105&lt;&gt;"",$J105,"")</f>
        <v/>
      </c>
      <c r="BL105" s="52"/>
      <c r="BM105" s="52" t="str">
        <f aca="false">IF(OR(COUNT(B105:D1104)=0,AND('Choix pédagogiques'!$C$3&lt;&gt;1,'Choix pédagogiques'!$C$3&lt;&gt;2)),"",IF(AND(OR('Choix pédagogiques'!$C$3=1,'Choix pédagogiques'!$C$3=2),$B105&lt;&gt;"",$C105&lt;&gt;"",$D105&lt;&gt;""),1,0))</f>
        <v/>
      </c>
      <c r="BN105" s="52" t="str">
        <f aca="false">IF(OR(COUNT(G105:I1104)=0,AND('Choix pédagogiques'!$C$3&lt;&gt;1,'Choix pédagogiques'!$C$3&lt;&gt;2)),"",IF(AND(OR('Choix pédagogiques'!$C$3=1,'Choix pédagogiques'!$C$3=2),AND($G105&lt;&gt;"",$H105&lt;&gt;"",$I105&lt;&gt;"")),1,0))</f>
        <v/>
      </c>
      <c r="BO105" s="52" t="str">
        <f aca="false">IF(OR(COUNT(B105:D1104)=0,COUNT(G105:I1104)=0,'Choix pédagogiques'!C$3&lt;&gt;3),"",IF(AND('Choix pédagogiques'!$C$3=3,$B105&lt;&gt;"",$C105&lt;&gt;"",$D105&lt;&gt;"",$G105&lt;&gt;"",$H105&lt;&gt;"",$I105&lt;&gt;""),1,0))</f>
        <v/>
      </c>
      <c r="BR105" s="52" t="n">
        <v>278</v>
      </c>
      <c r="BS105" s="52" t="n">
        <v>1053</v>
      </c>
    </row>
    <row r="106" s="54" customFormat="true" ht="18" hidden="false" customHeight="true" outlineLevel="0" collapsed="false">
      <c r="A106" s="57" t="s">
        <v>143</v>
      </c>
      <c r="B106" s="51"/>
      <c r="C106" s="51"/>
      <c r="D106" s="51"/>
      <c r="E106" s="51"/>
      <c r="F106" s="57" t="s">
        <v>144</v>
      </c>
      <c r="G106" s="51"/>
      <c r="H106" s="51"/>
      <c r="I106" s="51"/>
      <c r="J106" s="51"/>
      <c r="K106" s="52" t="str">
        <f aca="false">IF($A106&lt;&gt;"",$A106,"")</f>
        <v>Apprenant 94</v>
      </c>
      <c r="L106" s="53" t="str">
        <f aca="false">IF(AND($B106&lt;&gt;"",$C106&lt;&gt;""),$C106-$B106,"")</f>
        <v/>
      </c>
      <c r="M106" s="53" t="str">
        <f aca="false">IF(AND($B106&lt;&gt;"",$D106&lt;&gt;""),$D106-$B106,"")</f>
        <v/>
      </c>
      <c r="N106" s="53" t="str">
        <f aca="false">IF(AND($C106&lt;&gt;"",$D106&lt;&gt;""),$D106-$C106,"")</f>
        <v/>
      </c>
      <c r="O106" s="53" t="str">
        <f aca="false">IF($E106&lt;&gt;"",$E106,"")</f>
        <v/>
      </c>
      <c r="P106" s="52" t="str">
        <f aca="false">IF($F106&lt;&gt;"",$F106,"")</f>
        <v>Apprenant 94 ou 94'</v>
      </c>
      <c r="Q106" s="53" t="str">
        <f aca="false">IF(AND($G106&lt;&gt;"",$H106&lt;&gt;""),$H106-$G106,"")</f>
        <v/>
      </c>
      <c r="R106" s="53" t="str">
        <f aca="false">IF(AND($G106&lt;&gt;"",$I106&lt;&gt;""),$I106-$G106,"")</f>
        <v/>
      </c>
      <c r="S106" s="53" t="str">
        <f aca="false">IF(AND($H106&lt;&gt;"",$I106&lt;&gt;""),$I106-$H106,"")</f>
        <v/>
      </c>
      <c r="T106" s="53" t="str">
        <f aca="false">IF($J106&lt;&gt;"",$J106,"")</f>
        <v/>
      </c>
      <c r="V106" s="52" t="str">
        <f aca="false">IF($A106&lt;&gt;"",$A106,"")</f>
        <v>Apprenant 94</v>
      </c>
      <c r="W106" s="53" t="str">
        <f aca="false">IF(AND(OR('Choix pédagogiques'!$C$3=1,'Choix pédagogiques'!$C$3=2),$BM106=1),B106,IF(AND('Choix pédagogiques'!$C$3=3,$BO106=1),B106,""))</f>
        <v/>
      </c>
      <c r="X106" s="53" t="str">
        <f aca="false">IF(AND(OR('Choix pédagogiques'!$C$3=1,'Choix pédagogiques'!$C$3=2),$BM106=1),C106,IF(AND('Choix pédagogiques'!$C$3=3,$BO106=1),C106,""))</f>
        <v/>
      </c>
      <c r="Y106" s="53" t="str">
        <f aca="false">IF(AND(OR('Choix pédagogiques'!$C$3=1,'Choix pédagogiques'!$C$3=2),$BM106=1),D106,IF(AND('Choix pédagogiques'!$C$3=3,$BO106=1),D106,""))</f>
        <v/>
      </c>
      <c r="Z106" s="53" t="str">
        <f aca="false">IF($E106&lt;&gt;"",$E106,"")</f>
        <v/>
      </c>
      <c r="AA106" s="52" t="str">
        <f aca="false">IF($F106&lt;&gt;"",$F106,"")</f>
        <v>Apprenant 94 ou 94'</v>
      </c>
      <c r="AB106" s="53" t="str">
        <f aca="false">IF(AND(OR('Choix pédagogiques'!$C$3=1,'Choix pédagogiques'!$C$3=2),$BN106=1),G106,IF(AND('Choix pédagogiques'!$C$3=3,$BO106=1),G106,""))</f>
        <v/>
      </c>
      <c r="AC106" s="53" t="str">
        <f aca="false">IF(AND(OR('Choix pédagogiques'!$C$3=1,'Choix pédagogiques'!$C$3=2),$BN106=1),H106,IF(AND('Choix pédagogiques'!$C$3=3,$BO106=1),H106,""))</f>
        <v/>
      </c>
      <c r="AD106" s="53" t="str">
        <f aca="false">IF(AND(OR('Choix pédagogiques'!$C$3=1,'Choix pédagogiques'!$C$3=2),$BN106=1),I106,IF(AND('Choix pédagogiques'!$C$3=3,$BO106=1),I106,""))</f>
        <v/>
      </c>
      <c r="AE106" s="53" t="str">
        <f aca="false">IF($J106&lt;&gt;"",$J106,"")</f>
        <v/>
      </c>
      <c r="AF106" s="52" t="str">
        <f aca="false">IF($A106&lt;&gt;"",$A106,"")</f>
        <v>Apprenant 94</v>
      </c>
      <c r="AG106" s="53" t="str">
        <f aca="false">IF(AND($W106&lt;&gt;"",$X106&lt;&gt;""),$X106-$W106,"")</f>
        <v/>
      </c>
      <c r="AH106" s="53" t="str">
        <f aca="false">IF(AND($W106&lt;&gt;"",$Y106&lt;&gt;""),$Y106-$W106,"")</f>
        <v/>
      </c>
      <c r="AI106" s="53" t="str">
        <f aca="false">IF(AND($X106&lt;&gt;"",$Y106&lt;&gt;""),$Y106-$X106,"")</f>
        <v/>
      </c>
      <c r="AJ106" s="53" t="str">
        <f aca="false">IF($E106&lt;&gt;"",$E106,"")</f>
        <v/>
      </c>
      <c r="AK106" s="52" t="str">
        <f aca="false">IF($F106&lt;&gt;"",$F106,"")</f>
        <v>Apprenant 94 ou 94'</v>
      </c>
      <c r="AL106" s="53" t="str">
        <f aca="false">IF(AND($AB106&lt;&gt;"",$AC106&lt;&gt;""),$AC106-$AB106,"")</f>
        <v/>
      </c>
      <c r="AM106" s="53" t="str">
        <f aca="false">IF(AND($AB106&lt;&gt;"",$AD106&lt;&gt;""),$AD106-$AB106,"")</f>
        <v/>
      </c>
      <c r="AN106" s="53" t="str">
        <f aca="false">IF(AND($AC106&lt;&gt;"",$AD106&lt;&gt;""),$AD106-$AC106,"")</f>
        <v/>
      </c>
      <c r="AO106" s="53" t="str">
        <f aca="false">IF($J106&lt;&gt;"",$J106,"")</f>
        <v/>
      </c>
      <c r="AQ106" s="52" t="str">
        <f aca="false">IF($A106&lt;&gt;"",$A106,"")</f>
        <v>Apprenant 94</v>
      </c>
      <c r="AR106" s="55" t="str">
        <f aca="false">IF(AND('Choix pédagogiques'!$C$4&lt;&gt;"?",'Choix pédagogiques'!$C$5&lt;&gt;"?",W106&lt;&gt;""),(W106-'Choix pédagogiques'!$C$4)/('Choix pédagogiques'!$C$5-'Choix pédagogiques'!$C$4),"")</f>
        <v/>
      </c>
      <c r="AS106" s="55" t="str">
        <f aca="false">IF(AND('Choix pédagogiques'!$C$4&lt;&gt;"?",'Choix pédagogiques'!$C$5&lt;&gt;"?",X106&lt;&gt;""),(X106-'Choix pédagogiques'!$C$4)/('Choix pédagogiques'!$C$5-'Choix pédagogiques'!$C$4),"")</f>
        <v/>
      </c>
      <c r="AT106" s="55" t="str">
        <f aca="false">IF(AND('Choix pédagogiques'!$C$4&lt;&gt;"?",'Choix pédagogiques'!$C$5&lt;&gt;"?",Y106&lt;&gt;""),(Y106-'Choix pédagogiques'!$C$4)/('Choix pédagogiques'!$C$5-'Choix pédagogiques'!$C$4),"")</f>
        <v/>
      </c>
      <c r="AU106" s="53" t="str">
        <f aca="false">IF($E106&lt;&gt;"",$E106,"")</f>
        <v/>
      </c>
      <c r="AV106" s="52" t="str">
        <f aca="false">IF($F106&lt;&gt;"",$F106,"")</f>
        <v>Apprenant 94 ou 94'</v>
      </c>
      <c r="AW106" s="55" t="str">
        <f aca="false">IF(AND('Choix pédagogiques'!$C$4&lt;&gt;"?",'Choix pédagogiques'!$C$5&lt;&gt;"?",AB106&lt;&gt;""),(AB106-'Choix pédagogiques'!$C$4)/('Choix pédagogiques'!$C$5-'Choix pédagogiques'!$C$4),"")</f>
        <v/>
      </c>
      <c r="AX106" s="55" t="str">
        <f aca="false">IF(AND('Choix pédagogiques'!$C$4&lt;&gt;"?",'Choix pédagogiques'!$C$5&lt;&gt;"?",AC106&lt;&gt;""),(AC106-'Choix pédagogiques'!$C$4)/('Choix pédagogiques'!$C$5-'Choix pédagogiques'!$C$4),"")</f>
        <v/>
      </c>
      <c r="AY106" s="55" t="str">
        <f aca="false">IF(AND('Choix pédagogiques'!$C$4&lt;&gt;"?",'Choix pédagogiques'!$C$5&lt;&gt;"?",AD106&lt;&gt;""),(AD106-'Choix pédagogiques'!$C$4)/('Choix pédagogiques'!$C$5-'Choix pédagogiques'!$C$4),"")</f>
        <v/>
      </c>
      <c r="AZ106" s="53" t="str">
        <f aca="false">IF($J106&lt;&gt;"",$J106,"")</f>
        <v/>
      </c>
      <c r="BA106" s="52" t="str">
        <f aca="false">IF($A106&lt;&gt;"",$A106,"")</f>
        <v>Apprenant 94</v>
      </c>
      <c r="BB106" s="55" t="str">
        <f aca="false">IF(AND($AR106&lt;&gt;"",$AS106&lt;&gt;""),$AS106-$AR106,"")</f>
        <v/>
      </c>
      <c r="BC106" s="55" t="str">
        <f aca="false">IF(AND($AR106&lt;&gt;"",$AT106&lt;&gt;""),$AT106-$AR106,"")</f>
        <v/>
      </c>
      <c r="BD106" s="55" t="str">
        <f aca="false">IF(AND($AS106&lt;&gt;"",$AT106&lt;&gt;""),$AT106-$AS106,"")</f>
        <v/>
      </c>
      <c r="BE106" s="53" t="str">
        <f aca="false">IF($E106&lt;&gt;"",$E106,"")</f>
        <v/>
      </c>
      <c r="BF106" s="52" t="str">
        <f aca="false">IF($F106&lt;&gt;"",$F106,"")</f>
        <v>Apprenant 94 ou 94'</v>
      </c>
      <c r="BG106" s="55" t="str">
        <f aca="false">IF(AND($AW106&lt;&gt;"",$AX106&lt;&gt;""),$AX106-$AW106,"")</f>
        <v/>
      </c>
      <c r="BH106" s="55" t="str">
        <f aca="false">IF(AND($AW106&lt;&gt;"",$AY106&lt;&gt;""),$AY106-$AW106,"")</f>
        <v/>
      </c>
      <c r="BI106" s="55" t="str">
        <f aca="false">IF(AND($AX106&lt;&gt;"",$AY106&lt;&gt;""),$AY106-$AX106,"")</f>
        <v/>
      </c>
      <c r="BJ106" s="53" t="str">
        <f aca="false">IF($J106&lt;&gt;"",$J106,"")</f>
        <v/>
      </c>
      <c r="BL106" s="52"/>
      <c r="BM106" s="52" t="str">
        <f aca="false">IF(OR(COUNT(B106:D1105)=0,AND('Choix pédagogiques'!$C$3&lt;&gt;1,'Choix pédagogiques'!$C$3&lt;&gt;2)),"",IF(AND(OR('Choix pédagogiques'!$C$3=1,'Choix pédagogiques'!$C$3=2),$B106&lt;&gt;"",$C106&lt;&gt;"",$D106&lt;&gt;""),1,0))</f>
        <v/>
      </c>
      <c r="BN106" s="52" t="str">
        <f aca="false">IF(OR(COUNT(G106:I1105)=0,AND('Choix pédagogiques'!$C$3&lt;&gt;1,'Choix pédagogiques'!$C$3&lt;&gt;2)),"",IF(AND(OR('Choix pédagogiques'!$C$3=1,'Choix pédagogiques'!$C$3=2),AND($G106&lt;&gt;"",$H106&lt;&gt;"",$I106&lt;&gt;"")),1,0))</f>
        <v/>
      </c>
      <c r="BO106" s="52" t="str">
        <f aca="false">IF(OR(COUNT(B106:D1105)=0,COUNT(G106:I1105)=0,'Choix pédagogiques'!C$3&lt;&gt;3),"",IF(AND('Choix pédagogiques'!$C$3=3,$B106&lt;&gt;"",$C106&lt;&gt;"",$D106&lt;&gt;"",$G106&lt;&gt;"",$H106&lt;&gt;"",$I106&lt;&gt;""),1,0))</f>
        <v/>
      </c>
      <c r="BR106" s="52" t="n">
        <v>753</v>
      </c>
      <c r="BS106" s="52" t="n">
        <v>1909</v>
      </c>
    </row>
    <row r="107" s="54" customFormat="true" ht="18" hidden="false" customHeight="true" outlineLevel="0" collapsed="false">
      <c r="A107" s="57" t="s">
        <v>145</v>
      </c>
      <c r="B107" s="51"/>
      <c r="C107" s="51"/>
      <c r="D107" s="51"/>
      <c r="E107" s="51"/>
      <c r="F107" s="57" t="s">
        <v>146</v>
      </c>
      <c r="G107" s="51"/>
      <c r="H107" s="51"/>
      <c r="I107" s="51"/>
      <c r="J107" s="51"/>
      <c r="K107" s="52" t="str">
        <f aca="false">IF($A107&lt;&gt;"",$A107,"")</f>
        <v>Apprenant 95</v>
      </c>
      <c r="L107" s="53" t="str">
        <f aca="false">IF(AND($B107&lt;&gt;"",$C107&lt;&gt;""),$C107-$B107,"")</f>
        <v/>
      </c>
      <c r="M107" s="53" t="str">
        <f aca="false">IF(AND($B107&lt;&gt;"",$D107&lt;&gt;""),$D107-$B107,"")</f>
        <v/>
      </c>
      <c r="N107" s="53" t="str">
        <f aca="false">IF(AND($C107&lt;&gt;"",$D107&lt;&gt;""),$D107-$C107,"")</f>
        <v/>
      </c>
      <c r="O107" s="53" t="str">
        <f aca="false">IF($E107&lt;&gt;"",$E107,"")</f>
        <v/>
      </c>
      <c r="P107" s="52" t="str">
        <f aca="false">IF($F107&lt;&gt;"",$F107,"")</f>
        <v>Apprenant 95 ou 95'</v>
      </c>
      <c r="Q107" s="53" t="str">
        <f aca="false">IF(AND($G107&lt;&gt;"",$H107&lt;&gt;""),$H107-$G107,"")</f>
        <v/>
      </c>
      <c r="R107" s="53" t="str">
        <f aca="false">IF(AND($G107&lt;&gt;"",$I107&lt;&gt;""),$I107-$G107,"")</f>
        <v/>
      </c>
      <c r="S107" s="53" t="str">
        <f aca="false">IF(AND($H107&lt;&gt;"",$I107&lt;&gt;""),$I107-$H107,"")</f>
        <v/>
      </c>
      <c r="T107" s="53" t="str">
        <f aca="false">IF($J107&lt;&gt;"",$J107,"")</f>
        <v/>
      </c>
      <c r="V107" s="52" t="str">
        <f aca="false">IF($A107&lt;&gt;"",$A107,"")</f>
        <v>Apprenant 95</v>
      </c>
      <c r="W107" s="53" t="str">
        <f aca="false">IF(AND(OR('Choix pédagogiques'!$C$3=1,'Choix pédagogiques'!$C$3=2),$BM107=1),B107,IF(AND('Choix pédagogiques'!$C$3=3,$BO107=1),B107,""))</f>
        <v/>
      </c>
      <c r="X107" s="53" t="str">
        <f aca="false">IF(AND(OR('Choix pédagogiques'!$C$3=1,'Choix pédagogiques'!$C$3=2),$BM107=1),C107,IF(AND('Choix pédagogiques'!$C$3=3,$BO107=1),C107,""))</f>
        <v/>
      </c>
      <c r="Y107" s="53" t="str">
        <f aca="false">IF(AND(OR('Choix pédagogiques'!$C$3=1,'Choix pédagogiques'!$C$3=2),$BM107=1),D107,IF(AND('Choix pédagogiques'!$C$3=3,$BO107=1),D107,""))</f>
        <v/>
      </c>
      <c r="Z107" s="53" t="str">
        <f aca="false">IF($E107&lt;&gt;"",$E107,"")</f>
        <v/>
      </c>
      <c r="AA107" s="52" t="str">
        <f aca="false">IF($F107&lt;&gt;"",$F107,"")</f>
        <v>Apprenant 95 ou 95'</v>
      </c>
      <c r="AB107" s="53" t="str">
        <f aca="false">IF(AND(OR('Choix pédagogiques'!$C$3=1,'Choix pédagogiques'!$C$3=2),$BN107=1),G107,IF(AND('Choix pédagogiques'!$C$3=3,$BO107=1),G107,""))</f>
        <v/>
      </c>
      <c r="AC107" s="53" t="str">
        <f aca="false">IF(AND(OR('Choix pédagogiques'!$C$3=1,'Choix pédagogiques'!$C$3=2),$BN107=1),H107,IF(AND('Choix pédagogiques'!$C$3=3,$BO107=1),H107,""))</f>
        <v/>
      </c>
      <c r="AD107" s="53" t="str">
        <f aca="false">IF(AND(OR('Choix pédagogiques'!$C$3=1,'Choix pédagogiques'!$C$3=2),$BN107=1),I107,IF(AND('Choix pédagogiques'!$C$3=3,$BO107=1),I107,""))</f>
        <v/>
      </c>
      <c r="AE107" s="53" t="str">
        <f aca="false">IF($J107&lt;&gt;"",$J107,"")</f>
        <v/>
      </c>
      <c r="AF107" s="52" t="str">
        <f aca="false">IF($A107&lt;&gt;"",$A107,"")</f>
        <v>Apprenant 95</v>
      </c>
      <c r="AG107" s="53" t="str">
        <f aca="false">IF(AND($W107&lt;&gt;"",$X107&lt;&gt;""),$X107-$W107,"")</f>
        <v/>
      </c>
      <c r="AH107" s="53" t="str">
        <f aca="false">IF(AND($W107&lt;&gt;"",$Y107&lt;&gt;""),$Y107-$W107,"")</f>
        <v/>
      </c>
      <c r="AI107" s="53" t="str">
        <f aca="false">IF(AND($X107&lt;&gt;"",$Y107&lt;&gt;""),$Y107-$X107,"")</f>
        <v/>
      </c>
      <c r="AJ107" s="53" t="str">
        <f aca="false">IF($E107&lt;&gt;"",$E107,"")</f>
        <v/>
      </c>
      <c r="AK107" s="52" t="str">
        <f aca="false">IF($F107&lt;&gt;"",$F107,"")</f>
        <v>Apprenant 95 ou 95'</v>
      </c>
      <c r="AL107" s="53" t="str">
        <f aca="false">IF(AND($AB107&lt;&gt;"",$AC107&lt;&gt;""),$AC107-$AB107,"")</f>
        <v/>
      </c>
      <c r="AM107" s="53" t="str">
        <f aca="false">IF(AND($AB107&lt;&gt;"",$AD107&lt;&gt;""),$AD107-$AB107,"")</f>
        <v/>
      </c>
      <c r="AN107" s="53" t="str">
        <f aca="false">IF(AND($AC107&lt;&gt;"",$AD107&lt;&gt;""),$AD107-$AC107,"")</f>
        <v/>
      </c>
      <c r="AO107" s="53" t="str">
        <f aca="false">IF($J107&lt;&gt;"",$J107,"")</f>
        <v/>
      </c>
      <c r="AQ107" s="52" t="str">
        <f aca="false">IF($A107&lt;&gt;"",$A107,"")</f>
        <v>Apprenant 95</v>
      </c>
      <c r="AR107" s="55" t="str">
        <f aca="false">IF(AND('Choix pédagogiques'!$C$4&lt;&gt;"?",'Choix pédagogiques'!$C$5&lt;&gt;"?",W107&lt;&gt;""),(W107-'Choix pédagogiques'!$C$4)/('Choix pédagogiques'!$C$5-'Choix pédagogiques'!$C$4),"")</f>
        <v/>
      </c>
      <c r="AS107" s="55" t="str">
        <f aca="false">IF(AND('Choix pédagogiques'!$C$4&lt;&gt;"?",'Choix pédagogiques'!$C$5&lt;&gt;"?",X107&lt;&gt;""),(X107-'Choix pédagogiques'!$C$4)/('Choix pédagogiques'!$C$5-'Choix pédagogiques'!$C$4),"")</f>
        <v/>
      </c>
      <c r="AT107" s="55" t="str">
        <f aca="false">IF(AND('Choix pédagogiques'!$C$4&lt;&gt;"?",'Choix pédagogiques'!$C$5&lt;&gt;"?",Y107&lt;&gt;""),(Y107-'Choix pédagogiques'!$C$4)/('Choix pédagogiques'!$C$5-'Choix pédagogiques'!$C$4),"")</f>
        <v/>
      </c>
      <c r="AU107" s="53" t="str">
        <f aca="false">IF($E107&lt;&gt;"",$E107,"")</f>
        <v/>
      </c>
      <c r="AV107" s="52" t="str">
        <f aca="false">IF($F107&lt;&gt;"",$F107,"")</f>
        <v>Apprenant 95 ou 95'</v>
      </c>
      <c r="AW107" s="55" t="str">
        <f aca="false">IF(AND('Choix pédagogiques'!$C$4&lt;&gt;"?",'Choix pédagogiques'!$C$5&lt;&gt;"?",AB107&lt;&gt;""),(AB107-'Choix pédagogiques'!$C$4)/('Choix pédagogiques'!$C$5-'Choix pédagogiques'!$C$4),"")</f>
        <v/>
      </c>
      <c r="AX107" s="55" t="str">
        <f aca="false">IF(AND('Choix pédagogiques'!$C$4&lt;&gt;"?",'Choix pédagogiques'!$C$5&lt;&gt;"?",AC107&lt;&gt;""),(AC107-'Choix pédagogiques'!$C$4)/('Choix pédagogiques'!$C$5-'Choix pédagogiques'!$C$4),"")</f>
        <v/>
      </c>
      <c r="AY107" s="55" t="str">
        <f aca="false">IF(AND('Choix pédagogiques'!$C$4&lt;&gt;"?",'Choix pédagogiques'!$C$5&lt;&gt;"?",AD107&lt;&gt;""),(AD107-'Choix pédagogiques'!$C$4)/('Choix pédagogiques'!$C$5-'Choix pédagogiques'!$C$4),"")</f>
        <v/>
      </c>
      <c r="AZ107" s="53" t="str">
        <f aca="false">IF($J107&lt;&gt;"",$J107,"")</f>
        <v/>
      </c>
      <c r="BA107" s="52" t="str">
        <f aca="false">IF($A107&lt;&gt;"",$A107,"")</f>
        <v>Apprenant 95</v>
      </c>
      <c r="BB107" s="55" t="str">
        <f aca="false">IF(AND($AR107&lt;&gt;"",$AS107&lt;&gt;""),$AS107-$AR107,"")</f>
        <v/>
      </c>
      <c r="BC107" s="55" t="str">
        <f aca="false">IF(AND($AR107&lt;&gt;"",$AT107&lt;&gt;""),$AT107-$AR107,"")</f>
        <v/>
      </c>
      <c r="BD107" s="55" t="str">
        <f aca="false">IF(AND($AS107&lt;&gt;"",$AT107&lt;&gt;""),$AT107-$AS107,"")</f>
        <v/>
      </c>
      <c r="BE107" s="53" t="str">
        <f aca="false">IF($E107&lt;&gt;"",$E107,"")</f>
        <v/>
      </c>
      <c r="BF107" s="52" t="str">
        <f aca="false">IF($F107&lt;&gt;"",$F107,"")</f>
        <v>Apprenant 95 ou 95'</v>
      </c>
      <c r="BG107" s="55" t="str">
        <f aca="false">IF(AND($AW107&lt;&gt;"",$AX107&lt;&gt;""),$AX107-$AW107,"")</f>
        <v/>
      </c>
      <c r="BH107" s="55" t="str">
        <f aca="false">IF(AND($AW107&lt;&gt;"",$AY107&lt;&gt;""),$AY107-$AW107,"")</f>
        <v/>
      </c>
      <c r="BI107" s="55" t="str">
        <f aca="false">IF(AND($AX107&lt;&gt;"",$AY107&lt;&gt;""),$AY107-$AX107,"")</f>
        <v/>
      </c>
      <c r="BJ107" s="53" t="str">
        <f aca="false">IF($J107&lt;&gt;"",$J107,"")</f>
        <v/>
      </c>
      <c r="BL107" s="52"/>
      <c r="BM107" s="52" t="str">
        <f aca="false">IF(OR(COUNT(B107:D1106)=0,AND('Choix pédagogiques'!$C$3&lt;&gt;1,'Choix pédagogiques'!$C$3&lt;&gt;2)),"",IF(AND(OR('Choix pédagogiques'!$C$3=1,'Choix pédagogiques'!$C$3=2),$B107&lt;&gt;"",$C107&lt;&gt;"",$D107&lt;&gt;""),1,0))</f>
        <v/>
      </c>
      <c r="BN107" s="52" t="str">
        <f aca="false">IF(OR(COUNT(G107:I1106)=0,AND('Choix pédagogiques'!$C$3&lt;&gt;1,'Choix pédagogiques'!$C$3&lt;&gt;2)),"",IF(AND(OR('Choix pédagogiques'!$C$3=1,'Choix pédagogiques'!$C$3=2),AND($G107&lt;&gt;"",$H107&lt;&gt;"",$I107&lt;&gt;"")),1,0))</f>
        <v/>
      </c>
      <c r="BO107" s="52" t="str">
        <f aca="false">IF(OR(COUNT(B107:D1106)=0,COUNT(G107:I1106)=0,'Choix pédagogiques'!C$3&lt;&gt;3),"",IF(AND('Choix pédagogiques'!$C$3=3,$B107&lt;&gt;"",$C107&lt;&gt;"",$D107&lt;&gt;"",$G107&lt;&gt;"",$H107&lt;&gt;"",$I107&lt;&gt;""),1,0))</f>
        <v/>
      </c>
      <c r="BR107" s="52" t="n">
        <v>34</v>
      </c>
      <c r="BS107" s="52" t="n">
        <v>1686</v>
      </c>
    </row>
    <row r="108" s="54" customFormat="true" ht="18" hidden="false" customHeight="true" outlineLevel="0" collapsed="false">
      <c r="A108" s="57" t="s">
        <v>147</v>
      </c>
      <c r="B108" s="51"/>
      <c r="C108" s="51"/>
      <c r="D108" s="51"/>
      <c r="E108" s="51"/>
      <c r="F108" s="57" t="s">
        <v>148</v>
      </c>
      <c r="G108" s="51"/>
      <c r="H108" s="51"/>
      <c r="I108" s="51"/>
      <c r="J108" s="51"/>
      <c r="K108" s="52" t="str">
        <f aca="false">IF($A108&lt;&gt;"",$A108,"")</f>
        <v>Apprenant 96</v>
      </c>
      <c r="L108" s="53" t="str">
        <f aca="false">IF(AND($B108&lt;&gt;"",$C108&lt;&gt;""),$C108-$B108,"")</f>
        <v/>
      </c>
      <c r="M108" s="53" t="str">
        <f aca="false">IF(AND($B108&lt;&gt;"",$D108&lt;&gt;""),$D108-$B108,"")</f>
        <v/>
      </c>
      <c r="N108" s="53" t="str">
        <f aca="false">IF(AND($C108&lt;&gt;"",$D108&lt;&gt;""),$D108-$C108,"")</f>
        <v/>
      </c>
      <c r="O108" s="53" t="str">
        <f aca="false">IF($E108&lt;&gt;"",$E108,"")</f>
        <v/>
      </c>
      <c r="P108" s="52" t="str">
        <f aca="false">IF($F108&lt;&gt;"",$F108,"")</f>
        <v>Apprenant 96 ou 96'</v>
      </c>
      <c r="Q108" s="53" t="str">
        <f aca="false">IF(AND($G108&lt;&gt;"",$H108&lt;&gt;""),$H108-$G108,"")</f>
        <v/>
      </c>
      <c r="R108" s="53" t="str">
        <f aca="false">IF(AND($G108&lt;&gt;"",$I108&lt;&gt;""),$I108-$G108,"")</f>
        <v/>
      </c>
      <c r="S108" s="53" t="str">
        <f aca="false">IF(AND($H108&lt;&gt;"",$I108&lt;&gt;""),$I108-$H108,"")</f>
        <v/>
      </c>
      <c r="T108" s="53" t="str">
        <f aca="false">IF($J108&lt;&gt;"",$J108,"")</f>
        <v/>
      </c>
      <c r="V108" s="52" t="str">
        <f aca="false">IF($A108&lt;&gt;"",$A108,"")</f>
        <v>Apprenant 96</v>
      </c>
      <c r="W108" s="53" t="str">
        <f aca="false">IF(AND(OR('Choix pédagogiques'!$C$3=1,'Choix pédagogiques'!$C$3=2),$BM108=1),B108,IF(AND('Choix pédagogiques'!$C$3=3,$BO108=1),B108,""))</f>
        <v/>
      </c>
      <c r="X108" s="53" t="str">
        <f aca="false">IF(AND(OR('Choix pédagogiques'!$C$3=1,'Choix pédagogiques'!$C$3=2),$BM108=1),C108,IF(AND('Choix pédagogiques'!$C$3=3,$BO108=1),C108,""))</f>
        <v/>
      </c>
      <c r="Y108" s="53" t="str">
        <f aca="false">IF(AND(OR('Choix pédagogiques'!$C$3=1,'Choix pédagogiques'!$C$3=2),$BM108=1),D108,IF(AND('Choix pédagogiques'!$C$3=3,$BO108=1),D108,""))</f>
        <v/>
      </c>
      <c r="Z108" s="53" t="str">
        <f aca="false">IF($E108&lt;&gt;"",$E108,"")</f>
        <v/>
      </c>
      <c r="AA108" s="52" t="str">
        <f aca="false">IF($F108&lt;&gt;"",$F108,"")</f>
        <v>Apprenant 96 ou 96'</v>
      </c>
      <c r="AB108" s="53" t="str">
        <f aca="false">IF(AND(OR('Choix pédagogiques'!$C$3=1,'Choix pédagogiques'!$C$3=2),$BN108=1),G108,IF(AND('Choix pédagogiques'!$C$3=3,$BO108=1),G108,""))</f>
        <v/>
      </c>
      <c r="AC108" s="53" t="str">
        <f aca="false">IF(AND(OR('Choix pédagogiques'!$C$3=1,'Choix pédagogiques'!$C$3=2),$BN108=1),H108,IF(AND('Choix pédagogiques'!$C$3=3,$BO108=1),H108,""))</f>
        <v/>
      </c>
      <c r="AD108" s="53" t="str">
        <f aca="false">IF(AND(OR('Choix pédagogiques'!$C$3=1,'Choix pédagogiques'!$C$3=2),$BN108=1),I108,IF(AND('Choix pédagogiques'!$C$3=3,$BO108=1),I108,""))</f>
        <v/>
      </c>
      <c r="AE108" s="53" t="str">
        <f aca="false">IF($J108&lt;&gt;"",$J108,"")</f>
        <v/>
      </c>
      <c r="AF108" s="52" t="str">
        <f aca="false">IF($A108&lt;&gt;"",$A108,"")</f>
        <v>Apprenant 96</v>
      </c>
      <c r="AG108" s="53" t="str">
        <f aca="false">IF(AND($W108&lt;&gt;"",$X108&lt;&gt;""),$X108-$W108,"")</f>
        <v/>
      </c>
      <c r="AH108" s="53" t="str">
        <f aca="false">IF(AND($W108&lt;&gt;"",$Y108&lt;&gt;""),$Y108-$W108,"")</f>
        <v/>
      </c>
      <c r="AI108" s="53" t="str">
        <f aca="false">IF(AND($X108&lt;&gt;"",$Y108&lt;&gt;""),$Y108-$X108,"")</f>
        <v/>
      </c>
      <c r="AJ108" s="53" t="str">
        <f aca="false">IF($E108&lt;&gt;"",$E108,"")</f>
        <v/>
      </c>
      <c r="AK108" s="52" t="str">
        <f aca="false">IF($F108&lt;&gt;"",$F108,"")</f>
        <v>Apprenant 96 ou 96'</v>
      </c>
      <c r="AL108" s="53" t="str">
        <f aca="false">IF(AND($AB108&lt;&gt;"",$AC108&lt;&gt;""),$AC108-$AB108,"")</f>
        <v/>
      </c>
      <c r="AM108" s="53" t="str">
        <f aca="false">IF(AND($AB108&lt;&gt;"",$AD108&lt;&gt;""),$AD108-$AB108,"")</f>
        <v/>
      </c>
      <c r="AN108" s="53" t="str">
        <f aca="false">IF(AND($AC108&lt;&gt;"",$AD108&lt;&gt;""),$AD108-$AC108,"")</f>
        <v/>
      </c>
      <c r="AO108" s="53" t="str">
        <f aca="false">IF($J108&lt;&gt;"",$J108,"")</f>
        <v/>
      </c>
      <c r="AQ108" s="52" t="str">
        <f aca="false">IF($A108&lt;&gt;"",$A108,"")</f>
        <v>Apprenant 96</v>
      </c>
      <c r="AR108" s="55" t="str">
        <f aca="false">IF(AND('Choix pédagogiques'!$C$4&lt;&gt;"?",'Choix pédagogiques'!$C$5&lt;&gt;"?",W108&lt;&gt;""),(W108-'Choix pédagogiques'!$C$4)/('Choix pédagogiques'!$C$5-'Choix pédagogiques'!$C$4),"")</f>
        <v/>
      </c>
      <c r="AS108" s="55" t="str">
        <f aca="false">IF(AND('Choix pédagogiques'!$C$4&lt;&gt;"?",'Choix pédagogiques'!$C$5&lt;&gt;"?",X108&lt;&gt;""),(X108-'Choix pédagogiques'!$C$4)/('Choix pédagogiques'!$C$5-'Choix pédagogiques'!$C$4),"")</f>
        <v/>
      </c>
      <c r="AT108" s="55" t="str">
        <f aca="false">IF(AND('Choix pédagogiques'!$C$4&lt;&gt;"?",'Choix pédagogiques'!$C$5&lt;&gt;"?",Y108&lt;&gt;""),(Y108-'Choix pédagogiques'!$C$4)/('Choix pédagogiques'!$C$5-'Choix pédagogiques'!$C$4),"")</f>
        <v/>
      </c>
      <c r="AU108" s="53" t="str">
        <f aca="false">IF($E108&lt;&gt;"",$E108,"")</f>
        <v/>
      </c>
      <c r="AV108" s="52" t="str">
        <f aca="false">IF($F108&lt;&gt;"",$F108,"")</f>
        <v>Apprenant 96 ou 96'</v>
      </c>
      <c r="AW108" s="55" t="str">
        <f aca="false">IF(AND('Choix pédagogiques'!$C$4&lt;&gt;"?",'Choix pédagogiques'!$C$5&lt;&gt;"?",AB108&lt;&gt;""),(AB108-'Choix pédagogiques'!$C$4)/('Choix pédagogiques'!$C$5-'Choix pédagogiques'!$C$4),"")</f>
        <v/>
      </c>
      <c r="AX108" s="55" t="str">
        <f aca="false">IF(AND('Choix pédagogiques'!$C$4&lt;&gt;"?",'Choix pédagogiques'!$C$5&lt;&gt;"?",AC108&lt;&gt;""),(AC108-'Choix pédagogiques'!$C$4)/('Choix pédagogiques'!$C$5-'Choix pédagogiques'!$C$4),"")</f>
        <v/>
      </c>
      <c r="AY108" s="55" t="str">
        <f aca="false">IF(AND('Choix pédagogiques'!$C$4&lt;&gt;"?",'Choix pédagogiques'!$C$5&lt;&gt;"?",AD108&lt;&gt;""),(AD108-'Choix pédagogiques'!$C$4)/('Choix pédagogiques'!$C$5-'Choix pédagogiques'!$C$4),"")</f>
        <v/>
      </c>
      <c r="AZ108" s="53" t="str">
        <f aca="false">IF($J108&lt;&gt;"",$J108,"")</f>
        <v/>
      </c>
      <c r="BA108" s="52" t="str">
        <f aca="false">IF($A108&lt;&gt;"",$A108,"")</f>
        <v>Apprenant 96</v>
      </c>
      <c r="BB108" s="55" t="str">
        <f aca="false">IF(AND($AR108&lt;&gt;"",$AS108&lt;&gt;""),$AS108-$AR108,"")</f>
        <v/>
      </c>
      <c r="BC108" s="55" t="str">
        <f aca="false">IF(AND($AR108&lt;&gt;"",$AT108&lt;&gt;""),$AT108-$AR108,"")</f>
        <v/>
      </c>
      <c r="BD108" s="55" t="str">
        <f aca="false">IF(AND($AS108&lt;&gt;"",$AT108&lt;&gt;""),$AT108-$AS108,"")</f>
        <v/>
      </c>
      <c r="BE108" s="53" t="str">
        <f aca="false">IF($E108&lt;&gt;"",$E108,"")</f>
        <v/>
      </c>
      <c r="BF108" s="52" t="str">
        <f aca="false">IF($F108&lt;&gt;"",$F108,"")</f>
        <v>Apprenant 96 ou 96'</v>
      </c>
      <c r="BG108" s="55" t="str">
        <f aca="false">IF(AND($AW108&lt;&gt;"",$AX108&lt;&gt;""),$AX108-$AW108,"")</f>
        <v/>
      </c>
      <c r="BH108" s="55" t="str">
        <f aca="false">IF(AND($AW108&lt;&gt;"",$AY108&lt;&gt;""),$AY108-$AW108,"")</f>
        <v/>
      </c>
      <c r="BI108" s="55" t="str">
        <f aca="false">IF(AND($AX108&lt;&gt;"",$AY108&lt;&gt;""),$AY108-$AX108,"")</f>
        <v/>
      </c>
      <c r="BJ108" s="53" t="str">
        <f aca="false">IF($J108&lt;&gt;"",$J108,"")</f>
        <v/>
      </c>
      <c r="BL108" s="52"/>
      <c r="BM108" s="52" t="str">
        <f aca="false">IF(OR(COUNT(B108:D1107)=0,AND('Choix pédagogiques'!$C$3&lt;&gt;1,'Choix pédagogiques'!$C$3&lt;&gt;2)),"",IF(AND(OR('Choix pédagogiques'!$C$3=1,'Choix pédagogiques'!$C$3=2),$B108&lt;&gt;"",$C108&lt;&gt;"",$D108&lt;&gt;""),1,0))</f>
        <v/>
      </c>
      <c r="BN108" s="52" t="str">
        <f aca="false">IF(OR(COUNT(G108:I1107)=0,AND('Choix pédagogiques'!$C$3&lt;&gt;1,'Choix pédagogiques'!$C$3&lt;&gt;2)),"",IF(AND(OR('Choix pédagogiques'!$C$3=1,'Choix pédagogiques'!$C$3=2),AND($G108&lt;&gt;"",$H108&lt;&gt;"",$I108&lt;&gt;"")),1,0))</f>
        <v/>
      </c>
      <c r="BO108" s="52" t="str">
        <f aca="false">IF(OR(COUNT(B108:D1107)=0,COUNT(G108:I1107)=0,'Choix pédagogiques'!C$3&lt;&gt;3),"",IF(AND('Choix pédagogiques'!$C$3=3,$B108&lt;&gt;"",$C108&lt;&gt;"",$D108&lt;&gt;"",$G108&lt;&gt;"",$H108&lt;&gt;"",$I108&lt;&gt;""),1,0))</f>
        <v/>
      </c>
      <c r="BR108" s="52" t="n">
        <v>531</v>
      </c>
      <c r="BS108" s="52" t="n">
        <v>1169</v>
      </c>
    </row>
    <row r="109" s="54" customFormat="true" ht="18" hidden="false" customHeight="true" outlineLevel="0" collapsed="false">
      <c r="A109" s="57" t="s">
        <v>149</v>
      </c>
      <c r="B109" s="51"/>
      <c r="C109" s="51"/>
      <c r="D109" s="51"/>
      <c r="E109" s="51"/>
      <c r="F109" s="57" t="s">
        <v>150</v>
      </c>
      <c r="G109" s="51"/>
      <c r="H109" s="51"/>
      <c r="I109" s="51"/>
      <c r="J109" s="51"/>
      <c r="K109" s="52" t="str">
        <f aca="false">IF($A109&lt;&gt;"",$A109,"")</f>
        <v>Apprenant 97</v>
      </c>
      <c r="L109" s="53" t="str">
        <f aca="false">IF(AND($B109&lt;&gt;"",$C109&lt;&gt;""),$C109-$B109,"")</f>
        <v/>
      </c>
      <c r="M109" s="53" t="str">
        <f aca="false">IF(AND($B109&lt;&gt;"",$D109&lt;&gt;""),$D109-$B109,"")</f>
        <v/>
      </c>
      <c r="N109" s="53" t="str">
        <f aca="false">IF(AND($C109&lt;&gt;"",$D109&lt;&gt;""),$D109-$C109,"")</f>
        <v/>
      </c>
      <c r="O109" s="53" t="str">
        <f aca="false">IF($E109&lt;&gt;"",$E109,"")</f>
        <v/>
      </c>
      <c r="P109" s="52" t="str">
        <f aca="false">IF($F109&lt;&gt;"",$F109,"")</f>
        <v>Apprenant 97 ou 97'</v>
      </c>
      <c r="Q109" s="53" t="str">
        <f aca="false">IF(AND($G109&lt;&gt;"",$H109&lt;&gt;""),$H109-$G109,"")</f>
        <v/>
      </c>
      <c r="R109" s="53" t="str">
        <f aca="false">IF(AND($G109&lt;&gt;"",$I109&lt;&gt;""),$I109-$G109,"")</f>
        <v/>
      </c>
      <c r="S109" s="53" t="str">
        <f aca="false">IF(AND($H109&lt;&gt;"",$I109&lt;&gt;""),$I109-$H109,"")</f>
        <v/>
      </c>
      <c r="T109" s="53" t="str">
        <f aca="false">IF($J109&lt;&gt;"",$J109,"")</f>
        <v/>
      </c>
      <c r="V109" s="52" t="str">
        <f aca="false">IF($A109&lt;&gt;"",$A109,"")</f>
        <v>Apprenant 97</v>
      </c>
      <c r="W109" s="53" t="str">
        <f aca="false">IF(AND(OR('Choix pédagogiques'!$C$3=1,'Choix pédagogiques'!$C$3=2),$BM109=1),B109,IF(AND('Choix pédagogiques'!$C$3=3,$BO109=1),B109,""))</f>
        <v/>
      </c>
      <c r="X109" s="53" t="str">
        <f aca="false">IF(AND(OR('Choix pédagogiques'!$C$3=1,'Choix pédagogiques'!$C$3=2),$BM109=1),C109,IF(AND('Choix pédagogiques'!$C$3=3,$BO109=1),C109,""))</f>
        <v/>
      </c>
      <c r="Y109" s="53" t="str">
        <f aca="false">IF(AND(OR('Choix pédagogiques'!$C$3=1,'Choix pédagogiques'!$C$3=2),$BM109=1),D109,IF(AND('Choix pédagogiques'!$C$3=3,$BO109=1),D109,""))</f>
        <v/>
      </c>
      <c r="Z109" s="53" t="str">
        <f aca="false">IF($E109&lt;&gt;"",$E109,"")</f>
        <v/>
      </c>
      <c r="AA109" s="52" t="str">
        <f aca="false">IF($F109&lt;&gt;"",$F109,"")</f>
        <v>Apprenant 97 ou 97'</v>
      </c>
      <c r="AB109" s="53" t="str">
        <f aca="false">IF(AND(OR('Choix pédagogiques'!$C$3=1,'Choix pédagogiques'!$C$3=2),$BN109=1),G109,IF(AND('Choix pédagogiques'!$C$3=3,$BO109=1),G109,""))</f>
        <v/>
      </c>
      <c r="AC109" s="53" t="str">
        <f aca="false">IF(AND(OR('Choix pédagogiques'!$C$3=1,'Choix pédagogiques'!$C$3=2),$BN109=1),H109,IF(AND('Choix pédagogiques'!$C$3=3,$BO109=1),H109,""))</f>
        <v/>
      </c>
      <c r="AD109" s="53" t="str">
        <f aca="false">IF(AND(OR('Choix pédagogiques'!$C$3=1,'Choix pédagogiques'!$C$3=2),$BN109=1),I109,IF(AND('Choix pédagogiques'!$C$3=3,$BO109=1),I109,""))</f>
        <v/>
      </c>
      <c r="AE109" s="53" t="str">
        <f aca="false">IF($J109&lt;&gt;"",$J109,"")</f>
        <v/>
      </c>
      <c r="AF109" s="52" t="str">
        <f aca="false">IF($A109&lt;&gt;"",$A109,"")</f>
        <v>Apprenant 97</v>
      </c>
      <c r="AG109" s="53" t="str">
        <f aca="false">IF(AND($W109&lt;&gt;"",$X109&lt;&gt;""),$X109-$W109,"")</f>
        <v/>
      </c>
      <c r="AH109" s="53" t="str">
        <f aca="false">IF(AND($W109&lt;&gt;"",$Y109&lt;&gt;""),$Y109-$W109,"")</f>
        <v/>
      </c>
      <c r="AI109" s="53" t="str">
        <f aca="false">IF(AND($X109&lt;&gt;"",$Y109&lt;&gt;""),$Y109-$X109,"")</f>
        <v/>
      </c>
      <c r="AJ109" s="53" t="str">
        <f aca="false">IF($E109&lt;&gt;"",$E109,"")</f>
        <v/>
      </c>
      <c r="AK109" s="52" t="str">
        <f aca="false">IF($F109&lt;&gt;"",$F109,"")</f>
        <v>Apprenant 97 ou 97'</v>
      </c>
      <c r="AL109" s="53" t="str">
        <f aca="false">IF(AND($AB109&lt;&gt;"",$AC109&lt;&gt;""),$AC109-$AB109,"")</f>
        <v/>
      </c>
      <c r="AM109" s="53" t="str">
        <f aca="false">IF(AND($AB109&lt;&gt;"",$AD109&lt;&gt;""),$AD109-$AB109,"")</f>
        <v/>
      </c>
      <c r="AN109" s="53" t="str">
        <f aca="false">IF(AND($AC109&lt;&gt;"",$AD109&lt;&gt;""),$AD109-$AC109,"")</f>
        <v/>
      </c>
      <c r="AO109" s="53" t="str">
        <f aca="false">IF($J109&lt;&gt;"",$J109,"")</f>
        <v/>
      </c>
      <c r="AQ109" s="52" t="str">
        <f aca="false">IF($A109&lt;&gt;"",$A109,"")</f>
        <v>Apprenant 97</v>
      </c>
      <c r="AR109" s="55" t="str">
        <f aca="false">IF(AND('Choix pédagogiques'!$C$4&lt;&gt;"?",'Choix pédagogiques'!$C$5&lt;&gt;"?",W109&lt;&gt;""),(W109-'Choix pédagogiques'!$C$4)/('Choix pédagogiques'!$C$5-'Choix pédagogiques'!$C$4),"")</f>
        <v/>
      </c>
      <c r="AS109" s="55" t="str">
        <f aca="false">IF(AND('Choix pédagogiques'!$C$4&lt;&gt;"?",'Choix pédagogiques'!$C$5&lt;&gt;"?",X109&lt;&gt;""),(X109-'Choix pédagogiques'!$C$4)/('Choix pédagogiques'!$C$5-'Choix pédagogiques'!$C$4),"")</f>
        <v/>
      </c>
      <c r="AT109" s="55" t="str">
        <f aca="false">IF(AND('Choix pédagogiques'!$C$4&lt;&gt;"?",'Choix pédagogiques'!$C$5&lt;&gt;"?",Y109&lt;&gt;""),(Y109-'Choix pédagogiques'!$C$4)/('Choix pédagogiques'!$C$5-'Choix pédagogiques'!$C$4),"")</f>
        <v/>
      </c>
      <c r="AU109" s="53" t="str">
        <f aca="false">IF($E109&lt;&gt;"",$E109,"")</f>
        <v/>
      </c>
      <c r="AV109" s="52" t="str">
        <f aca="false">IF($F109&lt;&gt;"",$F109,"")</f>
        <v>Apprenant 97 ou 97'</v>
      </c>
      <c r="AW109" s="55" t="str">
        <f aca="false">IF(AND('Choix pédagogiques'!$C$4&lt;&gt;"?",'Choix pédagogiques'!$C$5&lt;&gt;"?",AB109&lt;&gt;""),(AB109-'Choix pédagogiques'!$C$4)/('Choix pédagogiques'!$C$5-'Choix pédagogiques'!$C$4),"")</f>
        <v/>
      </c>
      <c r="AX109" s="55" t="str">
        <f aca="false">IF(AND('Choix pédagogiques'!$C$4&lt;&gt;"?",'Choix pédagogiques'!$C$5&lt;&gt;"?",AC109&lt;&gt;""),(AC109-'Choix pédagogiques'!$C$4)/('Choix pédagogiques'!$C$5-'Choix pédagogiques'!$C$4),"")</f>
        <v/>
      </c>
      <c r="AY109" s="55" t="str">
        <f aca="false">IF(AND('Choix pédagogiques'!$C$4&lt;&gt;"?",'Choix pédagogiques'!$C$5&lt;&gt;"?",AD109&lt;&gt;""),(AD109-'Choix pédagogiques'!$C$4)/('Choix pédagogiques'!$C$5-'Choix pédagogiques'!$C$4),"")</f>
        <v/>
      </c>
      <c r="AZ109" s="53" t="str">
        <f aca="false">IF($J109&lt;&gt;"",$J109,"")</f>
        <v/>
      </c>
      <c r="BA109" s="52" t="str">
        <f aca="false">IF($A109&lt;&gt;"",$A109,"")</f>
        <v>Apprenant 97</v>
      </c>
      <c r="BB109" s="55" t="str">
        <f aca="false">IF(AND($AR109&lt;&gt;"",$AS109&lt;&gt;""),$AS109-$AR109,"")</f>
        <v/>
      </c>
      <c r="BC109" s="55" t="str">
        <f aca="false">IF(AND($AR109&lt;&gt;"",$AT109&lt;&gt;""),$AT109-$AR109,"")</f>
        <v/>
      </c>
      <c r="BD109" s="55" t="str">
        <f aca="false">IF(AND($AS109&lt;&gt;"",$AT109&lt;&gt;""),$AT109-$AS109,"")</f>
        <v/>
      </c>
      <c r="BE109" s="53" t="str">
        <f aca="false">IF($E109&lt;&gt;"",$E109,"")</f>
        <v/>
      </c>
      <c r="BF109" s="52" t="str">
        <f aca="false">IF($F109&lt;&gt;"",$F109,"")</f>
        <v>Apprenant 97 ou 97'</v>
      </c>
      <c r="BG109" s="55" t="str">
        <f aca="false">IF(AND($AW109&lt;&gt;"",$AX109&lt;&gt;""),$AX109-$AW109,"")</f>
        <v/>
      </c>
      <c r="BH109" s="55" t="str">
        <f aca="false">IF(AND($AW109&lt;&gt;"",$AY109&lt;&gt;""),$AY109-$AW109,"")</f>
        <v/>
      </c>
      <c r="BI109" s="55" t="str">
        <f aca="false">IF(AND($AX109&lt;&gt;"",$AY109&lt;&gt;""),$AY109-$AX109,"")</f>
        <v/>
      </c>
      <c r="BJ109" s="53" t="str">
        <f aca="false">IF($J109&lt;&gt;"",$J109,"")</f>
        <v/>
      </c>
      <c r="BL109" s="52"/>
      <c r="BM109" s="52" t="str">
        <f aca="false">IF(OR(COUNT(B109:D1108)=0,AND('Choix pédagogiques'!$C$3&lt;&gt;1,'Choix pédagogiques'!$C$3&lt;&gt;2)),"",IF(AND(OR('Choix pédagogiques'!$C$3=1,'Choix pédagogiques'!$C$3=2),$B109&lt;&gt;"",$C109&lt;&gt;"",$D109&lt;&gt;""),1,0))</f>
        <v/>
      </c>
      <c r="BN109" s="52" t="str">
        <f aca="false">IF(OR(COUNT(G109:I1108)=0,AND('Choix pédagogiques'!$C$3&lt;&gt;1,'Choix pédagogiques'!$C$3&lt;&gt;2)),"",IF(AND(OR('Choix pédagogiques'!$C$3=1,'Choix pédagogiques'!$C$3=2),AND($G109&lt;&gt;"",$H109&lt;&gt;"",$I109&lt;&gt;"")),1,0))</f>
        <v/>
      </c>
      <c r="BO109" s="52" t="str">
        <f aca="false">IF(OR(COUNT(B109:D1108)=0,COUNT(G109:I1108)=0,'Choix pédagogiques'!C$3&lt;&gt;3),"",IF(AND('Choix pédagogiques'!$C$3=3,$B109&lt;&gt;"",$C109&lt;&gt;"",$D109&lt;&gt;"",$G109&lt;&gt;"",$H109&lt;&gt;"",$I109&lt;&gt;""),1,0))</f>
        <v/>
      </c>
      <c r="BR109" s="52" t="n">
        <v>810</v>
      </c>
      <c r="BS109" s="52" t="n">
        <v>1317</v>
      </c>
    </row>
    <row r="110" s="54" customFormat="true" ht="18" hidden="false" customHeight="true" outlineLevel="0" collapsed="false">
      <c r="A110" s="57" t="s">
        <v>151</v>
      </c>
      <c r="B110" s="51"/>
      <c r="C110" s="51"/>
      <c r="D110" s="51"/>
      <c r="E110" s="51"/>
      <c r="F110" s="57" t="s">
        <v>152</v>
      </c>
      <c r="G110" s="51"/>
      <c r="H110" s="51"/>
      <c r="I110" s="51"/>
      <c r="J110" s="51"/>
      <c r="K110" s="52" t="str">
        <f aca="false">IF($A110&lt;&gt;"",$A110,"")</f>
        <v>Apprenant 98</v>
      </c>
      <c r="L110" s="53" t="str">
        <f aca="false">IF(AND($B110&lt;&gt;"",$C110&lt;&gt;""),$C110-$B110,"")</f>
        <v/>
      </c>
      <c r="M110" s="53" t="str">
        <f aca="false">IF(AND($B110&lt;&gt;"",$D110&lt;&gt;""),$D110-$B110,"")</f>
        <v/>
      </c>
      <c r="N110" s="53" t="str">
        <f aca="false">IF(AND($C110&lt;&gt;"",$D110&lt;&gt;""),$D110-$C110,"")</f>
        <v/>
      </c>
      <c r="O110" s="53" t="str">
        <f aca="false">IF($E110&lt;&gt;"",$E110,"")</f>
        <v/>
      </c>
      <c r="P110" s="52" t="str">
        <f aca="false">IF($F110&lt;&gt;"",$F110,"")</f>
        <v>Apprenant 98 ou 98'</v>
      </c>
      <c r="Q110" s="53" t="str">
        <f aca="false">IF(AND($G110&lt;&gt;"",$H110&lt;&gt;""),$H110-$G110,"")</f>
        <v/>
      </c>
      <c r="R110" s="53" t="str">
        <f aca="false">IF(AND($G110&lt;&gt;"",$I110&lt;&gt;""),$I110-$G110,"")</f>
        <v/>
      </c>
      <c r="S110" s="53" t="str">
        <f aca="false">IF(AND($H110&lt;&gt;"",$I110&lt;&gt;""),$I110-$H110,"")</f>
        <v/>
      </c>
      <c r="T110" s="53" t="str">
        <f aca="false">IF($J110&lt;&gt;"",$J110,"")</f>
        <v/>
      </c>
      <c r="V110" s="52" t="str">
        <f aca="false">IF($A110&lt;&gt;"",$A110,"")</f>
        <v>Apprenant 98</v>
      </c>
      <c r="W110" s="53" t="str">
        <f aca="false">IF(AND(OR('Choix pédagogiques'!$C$3=1,'Choix pédagogiques'!$C$3=2),$BM110=1),B110,IF(AND('Choix pédagogiques'!$C$3=3,$BO110=1),B110,""))</f>
        <v/>
      </c>
      <c r="X110" s="53" t="str">
        <f aca="false">IF(AND(OR('Choix pédagogiques'!$C$3=1,'Choix pédagogiques'!$C$3=2),$BM110=1),C110,IF(AND('Choix pédagogiques'!$C$3=3,$BO110=1),C110,""))</f>
        <v/>
      </c>
      <c r="Y110" s="53" t="str">
        <f aca="false">IF(AND(OR('Choix pédagogiques'!$C$3=1,'Choix pédagogiques'!$C$3=2),$BM110=1),D110,IF(AND('Choix pédagogiques'!$C$3=3,$BO110=1),D110,""))</f>
        <v/>
      </c>
      <c r="Z110" s="53" t="str">
        <f aca="false">IF($E110&lt;&gt;"",$E110,"")</f>
        <v/>
      </c>
      <c r="AA110" s="52" t="str">
        <f aca="false">IF($F110&lt;&gt;"",$F110,"")</f>
        <v>Apprenant 98 ou 98'</v>
      </c>
      <c r="AB110" s="53" t="str">
        <f aca="false">IF(AND(OR('Choix pédagogiques'!$C$3=1,'Choix pédagogiques'!$C$3=2),$BN110=1),G110,IF(AND('Choix pédagogiques'!$C$3=3,$BO110=1),G110,""))</f>
        <v/>
      </c>
      <c r="AC110" s="53" t="str">
        <f aca="false">IF(AND(OR('Choix pédagogiques'!$C$3=1,'Choix pédagogiques'!$C$3=2),$BN110=1),H110,IF(AND('Choix pédagogiques'!$C$3=3,$BO110=1),H110,""))</f>
        <v/>
      </c>
      <c r="AD110" s="53" t="str">
        <f aca="false">IF(AND(OR('Choix pédagogiques'!$C$3=1,'Choix pédagogiques'!$C$3=2),$BN110=1),I110,IF(AND('Choix pédagogiques'!$C$3=3,$BO110=1),I110,""))</f>
        <v/>
      </c>
      <c r="AE110" s="53" t="str">
        <f aca="false">IF($J110&lt;&gt;"",$J110,"")</f>
        <v/>
      </c>
      <c r="AF110" s="52" t="str">
        <f aca="false">IF($A110&lt;&gt;"",$A110,"")</f>
        <v>Apprenant 98</v>
      </c>
      <c r="AG110" s="53" t="str">
        <f aca="false">IF(AND($W110&lt;&gt;"",$X110&lt;&gt;""),$X110-$W110,"")</f>
        <v/>
      </c>
      <c r="AH110" s="53" t="str">
        <f aca="false">IF(AND($W110&lt;&gt;"",$Y110&lt;&gt;""),$Y110-$W110,"")</f>
        <v/>
      </c>
      <c r="AI110" s="53" t="str">
        <f aca="false">IF(AND($X110&lt;&gt;"",$Y110&lt;&gt;""),$Y110-$X110,"")</f>
        <v/>
      </c>
      <c r="AJ110" s="53" t="str">
        <f aca="false">IF($E110&lt;&gt;"",$E110,"")</f>
        <v/>
      </c>
      <c r="AK110" s="52" t="str">
        <f aca="false">IF($F110&lt;&gt;"",$F110,"")</f>
        <v>Apprenant 98 ou 98'</v>
      </c>
      <c r="AL110" s="53" t="str">
        <f aca="false">IF(AND($AB110&lt;&gt;"",$AC110&lt;&gt;""),$AC110-$AB110,"")</f>
        <v/>
      </c>
      <c r="AM110" s="53" t="str">
        <f aca="false">IF(AND($AB110&lt;&gt;"",$AD110&lt;&gt;""),$AD110-$AB110,"")</f>
        <v/>
      </c>
      <c r="AN110" s="53" t="str">
        <f aca="false">IF(AND($AC110&lt;&gt;"",$AD110&lt;&gt;""),$AD110-$AC110,"")</f>
        <v/>
      </c>
      <c r="AO110" s="53" t="str">
        <f aca="false">IF($J110&lt;&gt;"",$J110,"")</f>
        <v/>
      </c>
      <c r="AQ110" s="52" t="str">
        <f aca="false">IF($A110&lt;&gt;"",$A110,"")</f>
        <v>Apprenant 98</v>
      </c>
      <c r="AR110" s="55" t="str">
        <f aca="false">IF(AND('Choix pédagogiques'!$C$4&lt;&gt;"?",'Choix pédagogiques'!$C$5&lt;&gt;"?",W110&lt;&gt;""),(W110-'Choix pédagogiques'!$C$4)/('Choix pédagogiques'!$C$5-'Choix pédagogiques'!$C$4),"")</f>
        <v/>
      </c>
      <c r="AS110" s="55" t="str">
        <f aca="false">IF(AND('Choix pédagogiques'!$C$4&lt;&gt;"?",'Choix pédagogiques'!$C$5&lt;&gt;"?",X110&lt;&gt;""),(X110-'Choix pédagogiques'!$C$4)/('Choix pédagogiques'!$C$5-'Choix pédagogiques'!$C$4),"")</f>
        <v/>
      </c>
      <c r="AT110" s="55" t="str">
        <f aca="false">IF(AND('Choix pédagogiques'!$C$4&lt;&gt;"?",'Choix pédagogiques'!$C$5&lt;&gt;"?",Y110&lt;&gt;""),(Y110-'Choix pédagogiques'!$C$4)/('Choix pédagogiques'!$C$5-'Choix pédagogiques'!$C$4),"")</f>
        <v/>
      </c>
      <c r="AU110" s="53" t="str">
        <f aca="false">IF($E110&lt;&gt;"",$E110,"")</f>
        <v/>
      </c>
      <c r="AV110" s="52" t="str">
        <f aca="false">IF($F110&lt;&gt;"",$F110,"")</f>
        <v>Apprenant 98 ou 98'</v>
      </c>
      <c r="AW110" s="55" t="str">
        <f aca="false">IF(AND('Choix pédagogiques'!$C$4&lt;&gt;"?",'Choix pédagogiques'!$C$5&lt;&gt;"?",AB110&lt;&gt;""),(AB110-'Choix pédagogiques'!$C$4)/('Choix pédagogiques'!$C$5-'Choix pédagogiques'!$C$4),"")</f>
        <v/>
      </c>
      <c r="AX110" s="55" t="str">
        <f aca="false">IF(AND('Choix pédagogiques'!$C$4&lt;&gt;"?",'Choix pédagogiques'!$C$5&lt;&gt;"?",AC110&lt;&gt;""),(AC110-'Choix pédagogiques'!$C$4)/('Choix pédagogiques'!$C$5-'Choix pédagogiques'!$C$4),"")</f>
        <v/>
      </c>
      <c r="AY110" s="55" t="str">
        <f aca="false">IF(AND('Choix pédagogiques'!$C$4&lt;&gt;"?",'Choix pédagogiques'!$C$5&lt;&gt;"?",AD110&lt;&gt;""),(AD110-'Choix pédagogiques'!$C$4)/('Choix pédagogiques'!$C$5-'Choix pédagogiques'!$C$4),"")</f>
        <v/>
      </c>
      <c r="AZ110" s="53" t="str">
        <f aca="false">IF($J110&lt;&gt;"",$J110,"")</f>
        <v/>
      </c>
      <c r="BA110" s="52" t="str">
        <f aca="false">IF($A110&lt;&gt;"",$A110,"")</f>
        <v>Apprenant 98</v>
      </c>
      <c r="BB110" s="55" t="str">
        <f aca="false">IF(AND($AR110&lt;&gt;"",$AS110&lt;&gt;""),$AS110-$AR110,"")</f>
        <v/>
      </c>
      <c r="BC110" s="55" t="str">
        <f aca="false">IF(AND($AR110&lt;&gt;"",$AT110&lt;&gt;""),$AT110-$AR110,"")</f>
        <v/>
      </c>
      <c r="BD110" s="55" t="str">
        <f aca="false">IF(AND($AS110&lt;&gt;"",$AT110&lt;&gt;""),$AT110-$AS110,"")</f>
        <v/>
      </c>
      <c r="BE110" s="53" t="str">
        <f aca="false">IF($E110&lt;&gt;"",$E110,"")</f>
        <v/>
      </c>
      <c r="BF110" s="52" t="str">
        <f aca="false">IF($F110&lt;&gt;"",$F110,"")</f>
        <v>Apprenant 98 ou 98'</v>
      </c>
      <c r="BG110" s="55" t="str">
        <f aca="false">IF(AND($AW110&lt;&gt;"",$AX110&lt;&gt;""),$AX110-$AW110,"")</f>
        <v/>
      </c>
      <c r="BH110" s="55" t="str">
        <f aca="false">IF(AND($AW110&lt;&gt;"",$AY110&lt;&gt;""),$AY110-$AW110,"")</f>
        <v/>
      </c>
      <c r="BI110" s="55" t="str">
        <f aca="false">IF(AND($AX110&lt;&gt;"",$AY110&lt;&gt;""),$AY110-$AX110,"")</f>
        <v/>
      </c>
      <c r="BJ110" s="53" t="str">
        <f aca="false">IF($J110&lt;&gt;"",$J110,"")</f>
        <v/>
      </c>
      <c r="BL110" s="52"/>
      <c r="BM110" s="52" t="str">
        <f aca="false">IF(OR(COUNT(B110:D1109)=0,AND('Choix pédagogiques'!$C$3&lt;&gt;1,'Choix pédagogiques'!$C$3&lt;&gt;2)),"",IF(AND(OR('Choix pédagogiques'!$C$3=1,'Choix pédagogiques'!$C$3=2),$B110&lt;&gt;"",$C110&lt;&gt;"",$D110&lt;&gt;""),1,0))</f>
        <v/>
      </c>
      <c r="BN110" s="52" t="str">
        <f aca="false">IF(OR(COUNT(G110:I1109)=0,AND('Choix pédagogiques'!$C$3&lt;&gt;1,'Choix pédagogiques'!$C$3&lt;&gt;2)),"",IF(AND(OR('Choix pédagogiques'!$C$3=1,'Choix pédagogiques'!$C$3=2),AND($G110&lt;&gt;"",$H110&lt;&gt;"",$I110&lt;&gt;"")),1,0))</f>
        <v/>
      </c>
      <c r="BO110" s="52" t="str">
        <f aca="false">IF(OR(COUNT(B110:D1109)=0,COUNT(G110:I1109)=0,'Choix pédagogiques'!C$3&lt;&gt;3),"",IF(AND('Choix pédagogiques'!$C$3=3,$B110&lt;&gt;"",$C110&lt;&gt;"",$D110&lt;&gt;"",$G110&lt;&gt;"",$H110&lt;&gt;"",$I110&lt;&gt;""),1,0))</f>
        <v/>
      </c>
      <c r="BR110" s="52" t="n">
        <v>488</v>
      </c>
      <c r="BS110" s="52" t="n">
        <v>1787</v>
      </c>
    </row>
    <row r="111" s="54" customFormat="true" ht="18" hidden="false" customHeight="true" outlineLevel="0" collapsed="false">
      <c r="A111" s="57" t="s">
        <v>153</v>
      </c>
      <c r="B111" s="51"/>
      <c r="C111" s="51"/>
      <c r="D111" s="51"/>
      <c r="E111" s="51"/>
      <c r="F111" s="57" t="s">
        <v>154</v>
      </c>
      <c r="G111" s="51"/>
      <c r="H111" s="51"/>
      <c r="I111" s="51"/>
      <c r="J111" s="51"/>
      <c r="K111" s="52" t="str">
        <f aca="false">IF($A111&lt;&gt;"",$A111,"")</f>
        <v>Apprenant 99</v>
      </c>
      <c r="L111" s="53" t="str">
        <f aca="false">IF(AND($B111&lt;&gt;"",$C111&lt;&gt;""),$C111-$B111,"")</f>
        <v/>
      </c>
      <c r="M111" s="53" t="str">
        <f aca="false">IF(AND($B111&lt;&gt;"",$D111&lt;&gt;""),$D111-$B111,"")</f>
        <v/>
      </c>
      <c r="N111" s="53" t="str">
        <f aca="false">IF(AND($C111&lt;&gt;"",$D111&lt;&gt;""),$D111-$C111,"")</f>
        <v/>
      </c>
      <c r="O111" s="53" t="str">
        <f aca="false">IF($E111&lt;&gt;"",$E111,"")</f>
        <v/>
      </c>
      <c r="P111" s="52" t="str">
        <f aca="false">IF($F111&lt;&gt;"",$F111,"")</f>
        <v>Apprenant 99 ou 99'</v>
      </c>
      <c r="Q111" s="53" t="str">
        <f aca="false">IF(AND($G111&lt;&gt;"",$H111&lt;&gt;""),$H111-$G111,"")</f>
        <v/>
      </c>
      <c r="R111" s="53" t="str">
        <f aca="false">IF(AND($G111&lt;&gt;"",$I111&lt;&gt;""),$I111-$G111,"")</f>
        <v/>
      </c>
      <c r="S111" s="53" t="str">
        <f aca="false">IF(AND($H111&lt;&gt;"",$I111&lt;&gt;""),$I111-$H111,"")</f>
        <v/>
      </c>
      <c r="T111" s="53" t="str">
        <f aca="false">IF($J111&lt;&gt;"",$J111,"")</f>
        <v/>
      </c>
      <c r="V111" s="52" t="str">
        <f aca="false">IF($A111&lt;&gt;"",$A111,"")</f>
        <v>Apprenant 99</v>
      </c>
      <c r="W111" s="53" t="str">
        <f aca="false">IF(AND(OR('Choix pédagogiques'!$C$3=1,'Choix pédagogiques'!$C$3=2),$BM111=1),B111,IF(AND('Choix pédagogiques'!$C$3=3,$BO111=1),B111,""))</f>
        <v/>
      </c>
      <c r="X111" s="53" t="str">
        <f aca="false">IF(AND(OR('Choix pédagogiques'!$C$3=1,'Choix pédagogiques'!$C$3=2),$BM111=1),C111,IF(AND('Choix pédagogiques'!$C$3=3,$BO111=1),C111,""))</f>
        <v/>
      </c>
      <c r="Y111" s="53" t="str">
        <f aca="false">IF(AND(OR('Choix pédagogiques'!$C$3=1,'Choix pédagogiques'!$C$3=2),$BM111=1),D111,IF(AND('Choix pédagogiques'!$C$3=3,$BO111=1),D111,""))</f>
        <v/>
      </c>
      <c r="Z111" s="53" t="str">
        <f aca="false">IF($E111&lt;&gt;"",$E111,"")</f>
        <v/>
      </c>
      <c r="AA111" s="52" t="str">
        <f aca="false">IF($F111&lt;&gt;"",$F111,"")</f>
        <v>Apprenant 99 ou 99'</v>
      </c>
      <c r="AB111" s="53" t="str">
        <f aca="false">IF(AND(OR('Choix pédagogiques'!$C$3=1,'Choix pédagogiques'!$C$3=2),$BN111=1),G111,IF(AND('Choix pédagogiques'!$C$3=3,$BO111=1),G111,""))</f>
        <v/>
      </c>
      <c r="AC111" s="53" t="str">
        <f aca="false">IF(AND(OR('Choix pédagogiques'!$C$3=1,'Choix pédagogiques'!$C$3=2),$BN111=1),H111,IF(AND('Choix pédagogiques'!$C$3=3,$BO111=1),H111,""))</f>
        <v/>
      </c>
      <c r="AD111" s="53" t="str">
        <f aca="false">IF(AND(OR('Choix pédagogiques'!$C$3=1,'Choix pédagogiques'!$C$3=2),$BN111=1),I111,IF(AND('Choix pédagogiques'!$C$3=3,$BO111=1),I111,""))</f>
        <v/>
      </c>
      <c r="AE111" s="53" t="str">
        <f aca="false">IF($J111&lt;&gt;"",$J111,"")</f>
        <v/>
      </c>
      <c r="AF111" s="52" t="str">
        <f aca="false">IF($A111&lt;&gt;"",$A111,"")</f>
        <v>Apprenant 99</v>
      </c>
      <c r="AG111" s="53" t="str">
        <f aca="false">IF(AND($W111&lt;&gt;"",$X111&lt;&gt;""),$X111-$W111,"")</f>
        <v/>
      </c>
      <c r="AH111" s="53" t="str">
        <f aca="false">IF(AND($W111&lt;&gt;"",$Y111&lt;&gt;""),$Y111-$W111,"")</f>
        <v/>
      </c>
      <c r="AI111" s="53" t="str">
        <f aca="false">IF(AND($X111&lt;&gt;"",$Y111&lt;&gt;""),$Y111-$X111,"")</f>
        <v/>
      </c>
      <c r="AJ111" s="53" t="str">
        <f aca="false">IF($E111&lt;&gt;"",$E111,"")</f>
        <v/>
      </c>
      <c r="AK111" s="52" t="str">
        <f aca="false">IF($F111&lt;&gt;"",$F111,"")</f>
        <v>Apprenant 99 ou 99'</v>
      </c>
      <c r="AL111" s="53" t="str">
        <f aca="false">IF(AND($AB111&lt;&gt;"",$AC111&lt;&gt;""),$AC111-$AB111,"")</f>
        <v/>
      </c>
      <c r="AM111" s="53" t="str">
        <f aca="false">IF(AND($AB111&lt;&gt;"",$AD111&lt;&gt;""),$AD111-$AB111,"")</f>
        <v/>
      </c>
      <c r="AN111" s="53" t="str">
        <f aca="false">IF(AND($AC111&lt;&gt;"",$AD111&lt;&gt;""),$AD111-$AC111,"")</f>
        <v/>
      </c>
      <c r="AO111" s="53" t="str">
        <f aca="false">IF($J111&lt;&gt;"",$J111,"")</f>
        <v/>
      </c>
      <c r="AQ111" s="52" t="str">
        <f aca="false">IF($A111&lt;&gt;"",$A111,"")</f>
        <v>Apprenant 99</v>
      </c>
      <c r="AR111" s="55" t="str">
        <f aca="false">IF(AND('Choix pédagogiques'!$C$4&lt;&gt;"?",'Choix pédagogiques'!$C$5&lt;&gt;"?",W111&lt;&gt;""),(W111-'Choix pédagogiques'!$C$4)/('Choix pédagogiques'!$C$5-'Choix pédagogiques'!$C$4),"")</f>
        <v/>
      </c>
      <c r="AS111" s="55" t="str">
        <f aca="false">IF(AND('Choix pédagogiques'!$C$4&lt;&gt;"?",'Choix pédagogiques'!$C$5&lt;&gt;"?",X111&lt;&gt;""),(X111-'Choix pédagogiques'!$C$4)/('Choix pédagogiques'!$C$5-'Choix pédagogiques'!$C$4),"")</f>
        <v/>
      </c>
      <c r="AT111" s="55" t="str">
        <f aca="false">IF(AND('Choix pédagogiques'!$C$4&lt;&gt;"?",'Choix pédagogiques'!$C$5&lt;&gt;"?",Y111&lt;&gt;""),(Y111-'Choix pédagogiques'!$C$4)/('Choix pédagogiques'!$C$5-'Choix pédagogiques'!$C$4),"")</f>
        <v/>
      </c>
      <c r="AU111" s="53" t="str">
        <f aca="false">IF($E111&lt;&gt;"",$E111,"")</f>
        <v/>
      </c>
      <c r="AV111" s="52" t="str">
        <f aca="false">IF($F111&lt;&gt;"",$F111,"")</f>
        <v>Apprenant 99 ou 99'</v>
      </c>
      <c r="AW111" s="55" t="str">
        <f aca="false">IF(AND('Choix pédagogiques'!$C$4&lt;&gt;"?",'Choix pédagogiques'!$C$5&lt;&gt;"?",AB111&lt;&gt;""),(AB111-'Choix pédagogiques'!$C$4)/('Choix pédagogiques'!$C$5-'Choix pédagogiques'!$C$4),"")</f>
        <v/>
      </c>
      <c r="AX111" s="55" t="str">
        <f aca="false">IF(AND('Choix pédagogiques'!$C$4&lt;&gt;"?",'Choix pédagogiques'!$C$5&lt;&gt;"?",AC111&lt;&gt;""),(AC111-'Choix pédagogiques'!$C$4)/('Choix pédagogiques'!$C$5-'Choix pédagogiques'!$C$4),"")</f>
        <v/>
      </c>
      <c r="AY111" s="55" t="str">
        <f aca="false">IF(AND('Choix pédagogiques'!$C$4&lt;&gt;"?",'Choix pédagogiques'!$C$5&lt;&gt;"?",AD111&lt;&gt;""),(AD111-'Choix pédagogiques'!$C$4)/('Choix pédagogiques'!$C$5-'Choix pédagogiques'!$C$4),"")</f>
        <v/>
      </c>
      <c r="AZ111" s="53" t="str">
        <f aca="false">IF($J111&lt;&gt;"",$J111,"")</f>
        <v/>
      </c>
      <c r="BA111" s="52" t="str">
        <f aca="false">IF($A111&lt;&gt;"",$A111,"")</f>
        <v>Apprenant 99</v>
      </c>
      <c r="BB111" s="55" t="str">
        <f aca="false">IF(AND($AR111&lt;&gt;"",$AS111&lt;&gt;""),$AS111-$AR111,"")</f>
        <v/>
      </c>
      <c r="BC111" s="55" t="str">
        <f aca="false">IF(AND($AR111&lt;&gt;"",$AT111&lt;&gt;""),$AT111-$AR111,"")</f>
        <v/>
      </c>
      <c r="BD111" s="55" t="str">
        <f aca="false">IF(AND($AS111&lt;&gt;"",$AT111&lt;&gt;""),$AT111-$AS111,"")</f>
        <v/>
      </c>
      <c r="BE111" s="53" t="str">
        <f aca="false">IF($E111&lt;&gt;"",$E111,"")</f>
        <v/>
      </c>
      <c r="BF111" s="52" t="str">
        <f aca="false">IF($F111&lt;&gt;"",$F111,"")</f>
        <v>Apprenant 99 ou 99'</v>
      </c>
      <c r="BG111" s="55" t="str">
        <f aca="false">IF(AND($AW111&lt;&gt;"",$AX111&lt;&gt;""),$AX111-$AW111,"")</f>
        <v/>
      </c>
      <c r="BH111" s="55" t="str">
        <f aca="false">IF(AND($AW111&lt;&gt;"",$AY111&lt;&gt;""),$AY111-$AW111,"")</f>
        <v/>
      </c>
      <c r="BI111" s="55" t="str">
        <f aca="false">IF(AND($AX111&lt;&gt;"",$AY111&lt;&gt;""),$AY111-$AX111,"")</f>
        <v/>
      </c>
      <c r="BJ111" s="53" t="str">
        <f aca="false">IF($J111&lt;&gt;"",$J111,"")</f>
        <v/>
      </c>
      <c r="BL111" s="52"/>
      <c r="BM111" s="52" t="str">
        <f aca="false">IF(OR(COUNT(B111:D1110)=0,AND('Choix pédagogiques'!$C$3&lt;&gt;1,'Choix pédagogiques'!$C$3&lt;&gt;2)),"",IF(AND(OR('Choix pédagogiques'!$C$3=1,'Choix pédagogiques'!$C$3=2),$B111&lt;&gt;"",$C111&lt;&gt;"",$D111&lt;&gt;""),1,0))</f>
        <v/>
      </c>
      <c r="BN111" s="52" t="str">
        <f aca="false">IF(OR(COUNT(G111:I1110)=0,AND('Choix pédagogiques'!$C$3&lt;&gt;1,'Choix pédagogiques'!$C$3&lt;&gt;2)),"",IF(AND(OR('Choix pédagogiques'!$C$3=1,'Choix pédagogiques'!$C$3=2),AND($G111&lt;&gt;"",$H111&lt;&gt;"",$I111&lt;&gt;"")),1,0))</f>
        <v/>
      </c>
      <c r="BO111" s="52" t="str">
        <f aca="false">IF(OR(COUNT(B111:D1110)=0,COUNT(G111:I1110)=0,'Choix pédagogiques'!C$3&lt;&gt;3),"",IF(AND('Choix pédagogiques'!$C$3=3,$B111&lt;&gt;"",$C111&lt;&gt;"",$D111&lt;&gt;"",$G111&lt;&gt;"",$H111&lt;&gt;"",$I111&lt;&gt;""),1,0))</f>
        <v/>
      </c>
      <c r="BR111" s="52" t="n">
        <v>562</v>
      </c>
      <c r="BS111" s="52" t="n">
        <v>1121</v>
      </c>
    </row>
    <row r="112" s="54" customFormat="true" ht="18" hidden="false" customHeight="true" outlineLevel="0" collapsed="false">
      <c r="A112" s="57" t="s">
        <v>155</v>
      </c>
      <c r="B112" s="51"/>
      <c r="C112" s="51"/>
      <c r="D112" s="51"/>
      <c r="E112" s="51"/>
      <c r="F112" s="57" t="s">
        <v>156</v>
      </c>
      <c r="G112" s="51"/>
      <c r="H112" s="51"/>
      <c r="I112" s="51"/>
      <c r="J112" s="51"/>
      <c r="K112" s="52" t="str">
        <f aca="false">IF($A112&lt;&gt;"",$A112,"")</f>
        <v>Apprenant 100</v>
      </c>
      <c r="L112" s="53" t="str">
        <f aca="false">IF(AND($B112&lt;&gt;"",$C112&lt;&gt;""),$C112-$B112,"")</f>
        <v/>
      </c>
      <c r="M112" s="53" t="str">
        <f aca="false">IF(AND($B112&lt;&gt;"",$D112&lt;&gt;""),$D112-$B112,"")</f>
        <v/>
      </c>
      <c r="N112" s="53" t="str">
        <f aca="false">IF(AND($C112&lt;&gt;"",$D112&lt;&gt;""),$D112-$C112,"")</f>
        <v/>
      </c>
      <c r="O112" s="53" t="str">
        <f aca="false">IF($E112&lt;&gt;"",$E112,"")</f>
        <v/>
      </c>
      <c r="P112" s="52" t="str">
        <f aca="false">IF($F112&lt;&gt;"",$F112,"")</f>
        <v>Apprenant 100 ou 100'</v>
      </c>
      <c r="Q112" s="53" t="str">
        <f aca="false">IF(AND($G112&lt;&gt;"",$H112&lt;&gt;""),$H112-$G112,"")</f>
        <v/>
      </c>
      <c r="R112" s="53" t="str">
        <f aca="false">IF(AND($G112&lt;&gt;"",$I112&lt;&gt;""),$I112-$G112,"")</f>
        <v/>
      </c>
      <c r="S112" s="53" t="str">
        <f aca="false">IF(AND($H112&lt;&gt;"",$I112&lt;&gt;""),$I112-$H112,"")</f>
        <v/>
      </c>
      <c r="T112" s="53" t="str">
        <f aca="false">IF($J112&lt;&gt;"",$J112,"")</f>
        <v/>
      </c>
      <c r="V112" s="52" t="str">
        <f aca="false">IF($A112&lt;&gt;"",$A112,"")</f>
        <v>Apprenant 100</v>
      </c>
      <c r="W112" s="53" t="str">
        <f aca="false">IF(AND(OR('Choix pédagogiques'!$C$3=1,'Choix pédagogiques'!$C$3=2),$BM112=1),B112,IF(AND('Choix pédagogiques'!$C$3=3,$BO112=1),B112,""))</f>
        <v/>
      </c>
      <c r="X112" s="53" t="str">
        <f aca="false">IF(AND(OR('Choix pédagogiques'!$C$3=1,'Choix pédagogiques'!$C$3=2),$BM112=1),C112,IF(AND('Choix pédagogiques'!$C$3=3,$BO112=1),C112,""))</f>
        <v/>
      </c>
      <c r="Y112" s="53" t="str">
        <f aca="false">IF(AND(OR('Choix pédagogiques'!$C$3=1,'Choix pédagogiques'!$C$3=2),$BM112=1),D112,IF(AND('Choix pédagogiques'!$C$3=3,$BO112=1),D112,""))</f>
        <v/>
      </c>
      <c r="Z112" s="53" t="str">
        <f aca="false">IF($E112&lt;&gt;"",$E112,"")</f>
        <v/>
      </c>
      <c r="AA112" s="52" t="str">
        <f aca="false">IF($F112&lt;&gt;"",$F112,"")</f>
        <v>Apprenant 100 ou 100'</v>
      </c>
      <c r="AB112" s="53" t="str">
        <f aca="false">IF(AND(OR('Choix pédagogiques'!$C$3=1,'Choix pédagogiques'!$C$3=2),$BN112=1),G112,IF(AND('Choix pédagogiques'!$C$3=3,$BO112=1),G112,""))</f>
        <v/>
      </c>
      <c r="AC112" s="53" t="str">
        <f aca="false">IF(AND(OR('Choix pédagogiques'!$C$3=1,'Choix pédagogiques'!$C$3=2),$BN112=1),H112,IF(AND('Choix pédagogiques'!$C$3=3,$BO112=1),H112,""))</f>
        <v/>
      </c>
      <c r="AD112" s="53" t="str">
        <f aca="false">IF(AND(OR('Choix pédagogiques'!$C$3=1,'Choix pédagogiques'!$C$3=2),$BN112=1),I112,IF(AND('Choix pédagogiques'!$C$3=3,$BO112=1),I112,""))</f>
        <v/>
      </c>
      <c r="AE112" s="53" t="str">
        <f aca="false">IF($J112&lt;&gt;"",$J112,"")</f>
        <v/>
      </c>
      <c r="AF112" s="52" t="str">
        <f aca="false">IF($A112&lt;&gt;"",$A112,"")</f>
        <v>Apprenant 100</v>
      </c>
      <c r="AG112" s="53" t="str">
        <f aca="false">IF(AND($W112&lt;&gt;"",$X112&lt;&gt;""),$X112-$W112,"")</f>
        <v/>
      </c>
      <c r="AH112" s="53" t="str">
        <f aca="false">IF(AND($W112&lt;&gt;"",$Y112&lt;&gt;""),$Y112-$W112,"")</f>
        <v/>
      </c>
      <c r="AI112" s="53" t="str">
        <f aca="false">IF(AND($X112&lt;&gt;"",$Y112&lt;&gt;""),$Y112-$X112,"")</f>
        <v/>
      </c>
      <c r="AJ112" s="53" t="str">
        <f aca="false">IF($E112&lt;&gt;"",$E112,"")</f>
        <v/>
      </c>
      <c r="AK112" s="52" t="str">
        <f aca="false">IF($F112&lt;&gt;"",$F112,"")</f>
        <v>Apprenant 100 ou 100'</v>
      </c>
      <c r="AL112" s="53" t="str">
        <f aca="false">IF(AND($AB112&lt;&gt;"",$AC112&lt;&gt;""),$AC112-$AB112,"")</f>
        <v/>
      </c>
      <c r="AM112" s="53" t="str">
        <f aca="false">IF(AND($AB112&lt;&gt;"",$AD112&lt;&gt;""),$AD112-$AB112,"")</f>
        <v/>
      </c>
      <c r="AN112" s="53" t="str">
        <f aca="false">IF(AND($AC112&lt;&gt;"",$AD112&lt;&gt;""),$AD112-$AC112,"")</f>
        <v/>
      </c>
      <c r="AO112" s="53" t="str">
        <f aca="false">IF($J112&lt;&gt;"",$J112,"")</f>
        <v/>
      </c>
      <c r="AQ112" s="52" t="str">
        <f aca="false">IF($A112&lt;&gt;"",$A112,"")</f>
        <v>Apprenant 100</v>
      </c>
      <c r="AR112" s="55" t="str">
        <f aca="false">IF(AND('Choix pédagogiques'!$C$4&lt;&gt;"?",'Choix pédagogiques'!$C$5&lt;&gt;"?",W112&lt;&gt;""),(W112-'Choix pédagogiques'!$C$4)/('Choix pédagogiques'!$C$5-'Choix pédagogiques'!$C$4),"")</f>
        <v/>
      </c>
      <c r="AS112" s="55" t="str">
        <f aca="false">IF(AND('Choix pédagogiques'!$C$4&lt;&gt;"?",'Choix pédagogiques'!$C$5&lt;&gt;"?",X112&lt;&gt;""),(X112-'Choix pédagogiques'!$C$4)/('Choix pédagogiques'!$C$5-'Choix pédagogiques'!$C$4),"")</f>
        <v/>
      </c>
      <c r="AT112" s="55" t="str">
        <f aca="false">IF(AND('Choix pédagogiques'!$C$4&lt;&gt;"?",'Choix pédagogiques'!$C$5&lt;&gt;"?",Y112&lt;&gt;""),(Y112-'Choix pédagogiques'!$C$4)/('Choix pédagogiques'!$C$5-'Choix pédagogiques'!$C$4),"")</f>
        <v/>
      </c>
      <c r="AU112" s="53" t="str">
        <f aca="false">IF($E112&lt;&gt;"",$E112,"")</f>
        <v/>
      </c>
      <c r="AV112" s="52" t="str">
        <f aca="false">IF($F112&lt;&gt;"",$F112,"")</f>
        <v>Apprenant 100 ou 100'</v>
      </c>
      <c r="AW112" s="55" t="str">
        <f aca="false">IF(AND('Choix pédagogiques'!$C$4&lt;&gt;"?",'Choix pédagogiques'!$C$5&lt;&gt;"?",AB112&lt;&gt;""),(AB112-'Choix pédagogiques'!$C$4)/('Choix pédagogiques'!$C$5-'Choix pédagogiques'!$C$4),"")</f>
        <v/>
      </c>
      <c r="AX112" s="55" t="str">
        <f aca="false">IF(AND('Choix pédagogiques'!$C$4&lt;&gt;"?",'Choix pédagogiques'!$C$5&lt;&gt;"?",AC112&lt;&gt;""),(AC112-'Choix pédagogiques'!$C$4)/('Choix pédagogiques'!$C$5-'Choix pédagogiques'!$C$4),"")</f>
        <v/>
      </c>
      <c r="AY112" s="55" t="str">
        <f aca="false">IF(AND('Choix pédagogiques'!$C$4&lt;&gt;"?",'Choix pédagogiques'!$C$5&lt;&gt;"?",AD112&lt;&gt;""),(AD112-'Choix pédagogiques'!$C$4)/('Choix pédagogiques'!$C$5-'Choix pédagogiques'!$C$4),"")</f>
        <v/>
      </c>
      <c r="AZ112" s="53" t="str">
        <f aca="false">IF($J112&lt;&gt;"",$J112,"")</f>
        <v/>
      </c>
      <c r="BA112" s="52" t="str">
        <f aca="false">IF($A112&lt;&gt;"",$A112,"")</f>
        <v>Apprenant 100</v>
      </c>
      <c r="BB112" s="55" t="str">
        <f aca="false">IF(AND($AR112&lt;&gt;"",$AS112&lt;&gt;""),$AS112-$AR112,"")</f>
        <v/>
      </c>
      <c r="BC112" s="55" t="str">
        <f aca="false">IF(AND($AR112&lt;&gt;"",$AT112&lt;&gt;""),$AT112-$AR112,"")</f>
        <v/>
      </c>
      <c r="BD112" s="55" t="str">
        <f aca="false">IF(AND($AS112&lt;&gt;"",$AT112&lt;&gt;""),$AT112-$AS112,"")</f>
        <v/>
      </c>
      <c r="BE112" s="53" t="str">
        <f aca="false">IF($E112&lt;&gt;"",$E112,"")</f>
        <v/>
      </c>
      <c r="BF112" s="52" t="str">
        <f aca="false">IF($F112&lt;&gt;"",$F112,"")</f>
        <v>Apprenant 100 ou 100'</v>
      </c>
      <c r="BG112" s="55" t="str">
        <f aca="false">IF(AND($AW112&lt;&gt;"",$AX112&lt;&gt;""),$AX112-$AW112,"")</f>
        <v/>
      </c>
      <c r="BH112" s="55" t="str">
        <f aca="false">IF(AND($AW112&lt;&gt;"",$AY112&lt;&gt;""),$AY112-$AW112,"")</f>
        <v/>
      </c>
      <c r="BI112" s="55" t="str">
        <f aca="false">IF(AND($AX112&lt;&gt;"",$AY112&lt;&gt;""),$AY112-$AX112,"")</f>
        <v/>
      </c>
      <c r="BJ112" s="53" t="str">
        <f aca="false">IF($J112&lt;&gt;"",$J112,"")</f>
        <v/>
      </c>
      <c r="BL112" s="52"/>
      <c r="BM112" s="52" t="str">
        <f aca="false">IF(OR(COUNT(B112:D1111)=0,AND('Choix pédagogiques'!$C$3&lt;&gt;1,'Choix pédagogiques'!$C$3&lt;&gt;2)),"",IF(AND(OR('Choix pédagogiques'!$C$3=1,'Choix pédagogiques'!$C$3=2),$B112&lt;&gt;"",$C112&lt;&gt;"",$D112&lt;&gt;""),1,0))</f>
        <v/>
      </c>
      <c r="BN112" s="52" t="str">
        <f aca="false">IF(OR(COUNT(G112:I1111)=0,AND('Choix pédagogiques'!$C$3&lt;&gt;1,'Choix pédagogiques'!$C$3&lt;&gt;2)),"",IF(AND(OR('Choix pédagogiques'!$C$3=1,'Choix pédagogiques'!$C$3=2),AND($G112&lt;&gt;"",$H112&lt;&gt;"",$I112&lt;&gt;"")),1,0))</f>
        <v/>
      </c>
      <c r="BO112" s="52" t="str">
        <f aca="false">IF(OR(COUNT(B112:D1111)=0,COUNT(G112:I1111)=0,'Choix pédagogiques'!C$3&lt;&gt;3),"",IF(AND('Choix pédagogiques'!$C$3=3,$B112&lt;&gt;"",$C112&lt;&gt;"",$D112&lt;&gt;"",$G112&lt;&gt;"",$H112&lt;&gt;"",$I112&lt;&gt;""),1,0))</f>
        <v/>
      </c>
      <c r="BR112" s="52" t="n">
        <v>484</v>
      </c>
      <c r="BS112" s="52" t="n">
        <v>1813</v>
      </c>
    </row>
    <row r="113" s="54" customFormat="true" ht="18" hidden="false" customHeight="true" outlineLevel="0" collapsed="false">
      <c r="A113" s="57" t="s">
        <v>157</v>
      </c>
      <c r="B113" s="51"/>
      <c r="C113" s="51"/>
      <c r="D113" s="51"/>
      <c r="E113" s="51"/>
      <c r="F113" s="57" t="s">
        <v>158</v>
      </c>
      <c r="G113" s="51"/>
      <c r="H113" s="51"/>
      <c r="I113" s="51"/>
      <c r="J113" s="51"/>
      <c r="K113" s="52" t="str">
        <f aca="false">IF($A113&lt;&gt;"",$A113,"")</f>
        <v>Apprenant 101</v>
      </c>
      <c r="L113" s="53" t="str">
        <f aca="false">IF(AND($B113&lt;&gt;"",$C113&lt;&gt;""),$C113-$B113,"")</f>
        <v/>
      </c>
      <c r="M113" s="53" t="str">
        <f aca="false">IF(AND($B113&lt;&gt;"",$D113&lt;&gt;""),$D113-$B113,"")</f>
        <v/>
      </c>
      <c r="N113" s="53" t="str">
        <f aca="false">IF(AND($C113&lt;&gt;"",$D113&lt;&gt;""),$D113-$C113,"")</f>
        <v/>
      </c>
      <c r="O113" s="53" t="str">
        <f aca="false">IF($E113&lt;&gt;"",$E113,"")</f>
        <v/>
      </c>
      <c r="P113" s="52" t="str">
        <f aca="false">IF($F113&lt;&gt;"",$F113,"")</f>
        <v>Apprenant 101 ou 101'</v>
      </c>
      <c r="Q113" s="53" t="str">
        <f aca="false">IF(AND($G113&lt;&gt;"",$H113&lt;&gt;""),$H113-$G113,"")</f>
        <v/>
      </c>
      <c r="R113" s="53" t="str">
        <f aca="false">IF(AND($G113&lt;&gt;"",$I113&lt;&gt;""),$I113-$G113,"")</f>
        <v/>
      </c>
      <c r="S113" s="53" t="str">
        <f aca="false">IF(AND($H113&lt;&gt;"",$I113&lt;&gt;""),$I113-$H113,"")</f>
        <v/>
      </c>
      <c r="T113" s="53" t="str">
        <f aca="false">IF($J113&lt;&gt;"",$J113,"")</f>
        <v/>
      </c>
      <c r="V113" s="52" t="str">
        <f aca="false">IF($A113&lt;&gt;"",$A113,"")</f>
        <v>Apprenant 101</v>
      </c>
      <c r="W113" s="53" t="str">
        <f aca="false">IF(AND(OR('Choix pédagogiques'!$C$3=1,'Choix pédagogiques'!$C$3=2),$BM113=1),B113,IF(AND('Choix pédagogiques'!$C$3=3,$BO113=1),B113,""))</f>
        <v/>
      </c>
      <c r="X113" s="53" t="str">
        <f aca="false">IF(AND(OR('Choix pédagogiques'!$C$3=1,'Choix pédagogiques'!$C$3=2),$BM113=1),C113,IF(AND('Choix pédagogiques'!$C$3=3,$BO113=1),C113,""))</f>
        <v/>
      </c>
      <c r="Y113" s="53" t="str">
        <f aca="false">IF(AND(OR('Choix pédagogiques'!$C$3=1,'Choix pédagogiques'!$C$3=2),$BM113=1),D113,IF(AND('Choix pédagogiques'!$C$3=3,$BO113=1),D113,""))</f>
        <v/>
      </c>
      <c r="Z113" s="53" t="str">
        <f aca="false">IF($E113&lt;&gt;"",$E113,"")</f>
        <v/>
      </c>
      <c r="AA113" s="52" t="str">
        <f aca="false">IF($F113&lt;&gt;"",$F113,"")</f>
        <v>Apprenant 101 ou 101'</v>
      </c>
      <c r="AB113" s="53" t="str">
        <f aca="false">IF(AND(OR('Choix pédagogiques'!$C$3=1,'Choix pédagogiques'!$C$3=2),$BN113=1),G113,IF(AND('Choix pédagogiques'!$C$3=3,$BO113=1),G113,""))</f>
        <v/>
      </c>
      <c r="AC113" s="53" t="str">
        <f aca="false">IF(AND(OR('Choix pédagogiques'!$C$3=1,'Choix pédagogiques'!$C$3=2),$BN113=1),H113,IF(AND('Choix pédagogiques'!$C$3=3,$BO113=1),H113,""))</f>
        <v/>
      </c>
      <c r="AD113" s="53" t="str">
        <f aca="false">IF(AND(OR('Choix pédagogiques'!$C$3=1,'Choix pédagogiques'!$C$3=2),$BN113=1),I113,IF(AND('Choix pédagogiques'!$C$3=3,$BO113=1),I113,""))</f>
        <v/>
      </c>
      <c r="AE113" s="53" t="str">
        <f aca="false">IF($J113&lt;&gt;"",$J113,"")</f>
        <v/>
      </c>
      <c r="AF113" s="52" t="str">
        <f aca="false">IF($A113&lt;&gt;"",$A113,"")</f>
        <v>Apprenant 101</v>
      </c>
      <c r="AG113" s="53" t="str">
        <f aca="false">IF(AND($W113&lt;&gt;"",$X113&lt;&gt;""),$X113-$W113,"")</f>
        <v/>
      </c>
      <c r="AH113" s="53" t="str">
        <f aca="false">IF(AND($W113&lt;&gt;"",$Y113&lt;&gt;""),$Y113-$W113,"")</f>
        <v/>
      </c>
      <c r="AI113" s="53" t="str">
        <f aca="false">IF(AND($X113&lt;&gt;"",$Y113&lt;&gt;""),$Y113-$X113,"")</f>
        <v/>
      </c>
      <c r="AJ113" s="53" t="str">
        <f aca="false">IF($E113&lt;&gt;"",$E113,"")</f>
        <v/>
      </c>
      <c r="AK113" s="52" t="str">
        <f aca="false">IF($F113&lt;&gt;"",$F113,"")</f>
        <v>Apprenant 101 ou 101'</v>
      </c>
      <c r="AL113" s="53" t="str">
        <f aca="false">IF(AND($AB113&lt;&gt;"",$AC113&lt;&gt;""),$AC113-$AB113,"")</f>
        <v/>
      </c>
      <c r="AM113" s="53" t="str">
        <f aca="false">IF(AND($AB113&lt;&gt;"",$AD113&lt;&gt;""),$AD113-$AB113,"")</f>
        <v/>
      </c>
      <c r="AN113" s="53" t="str">
        <f aca="false">IF(AND($AC113&lt;&gt;"",$AD113&lt;&gt;""),$AD113-$AC113,"")</f>
        <v/>
      </c>
      <c r="AO113" s="53" t="str">
        <f aca="false">IF($J113&lt;&gt;"",$J113,"")</f>
        <v/>
      </c>
      <c r="AQ113" s="52" t="str">
        <f aca="false">IF($A113&lt;&gt;"",$A113,"")</f>
        <v>Apprenant 101</v>
      </c>
      <c r="AR113" s="55" t="str">
        <f aca="false">IF(AND('Choix pédagogiques'!$C$4&lt;&gt;"?",'Choix pédagogiques'!$C$5&lt;&gt;"?",W113&lt;&gt;""),(W113-'Choix pédagogiques'!$C$4)/('Choix pédagogiques'!$C$5-'Choix pédagogiques'!$C$4),"")</f>
        <v/>
      </c>
      <c r="AS113" s="55" t="str">
        <f aca="false">IF(AND('Choix pédagogiques'!$C$4&lt;&gt;"?",'Choix pédagogiques'!$C$5&lt;&gt;"?",X113&lt;&gt;""),(X113-'Choix pédagogiques'!$C$4)/('Choix pédagogiques'!$C$5-'Choix pédagogiques'!$C$4),"")</f>
        <v/>
      </c>
      <c r="AT113" s="55" t="str">
        <f aca="false">IF(AND('Choix pédagogiques'!$C$4&lt;&gt;"?",'Choix pédagogiques'!$C$5&lt;&gt;"?",Y113&lt;&gt;""),(Y113-'Choix pédagogiques'!$C$4)/('Choix pédagogiques'!$C$5-'Choix pédagogiques'!$C$4),"")</f>
        <v/>
      </c>
      <c r="AU113" s="53" t="str">
        <f aca="false">IF($E113&lt;&gt;"",$E113,"")</f>
        <v/>
      </c>
      <c r="AV113" s="52" t="str">
        <f aca="false">IF($F113&lt;&gt;"",$F113,"")</f>
        <v>Apprenant 101 ou 101'</v>
      </c>
      <c r="AW113" s="55" t="str">
        <f aca="false">IF(AND('Choix pédagogiques'!$C$4&lt;&gt;"?",'Choix pédagogiques'!$C$5&lt;&gt;"?",AB113&lt;&gt;""),(AB113-'Choix pédagogiques'!$C$4)/('Choix pédagogiques'!$C$5-'Choix pédagogiques'!$C$4),"")</f>
        <v/>
      </c>
      <c r="AX113" s="55" t="str">
        <f aca="false">IF(AND('Choix pédagogiques'!$C$4&lt;&gt;"?",'Choix pédagogiques'!$C$5&lt;&gt;"?",AC113&lt;&gt;""),(AC113-'Choix pédagogiques'!$C$4)/('Choix pédagogiques'!$C$5-'Choix pédagogiques'!$C$4),"")</f>
        <v/>
      </c>
      <c r="AY113" s="55" t="str">
        <f aca="false">IF(AND('Choix pédagogiques'!$C$4&lt;&gt;"?",'Choix pédagogiques'!$C$5&lt;&gt;"?",AD113&lt;&gt;""),(AD113-'Choix pédagogiques'!$C$4)/('Choix pédagogiques'!$C$5-'Choix pédagogiques'!$C$4),"")</f>
        <v/>
      </c>
      <c r="AZ113" s="53" t="str">
        <f aca="false">IF($J113&lt;&gt;"",$J113,"")</f>
        <v/>
      </c>
      <c r="BA113" s="52" t="str">
        <f aca="false">IF($A113&lt;&gt;"",$A113,"")</f>
        <v>Apprenant 101</v>
      </c>
      <c r="BB113" s="55" t="str">
        <f aca="false">IF(AND($AR113&lt;&gt;"",$AS113&lt;&gt;""),$AS113-$AR113,"")</f>
        <v/>
      </c>
      <c r="BC113" s="55" t="str">
        <f aca="false">IF(AND($AR113&lt;&gt;"",$AT113&lt;&gt;""),$AT113-$AR113,"")</f>
        <v/>
      </c>
      <c r="BD113" s="55" t="str">
        <f aca="false">IF(AND($AS113&lt;&gt;"",$AT113&lt;&gt;""),$AT113-$AS113,"")</f>
        <v/>
      </c>
      <c r="BE113" s="53" t="str">
        <f aca="false">IF($E113&lt;&gt;"",$E113,"")</f>
        <v/>
      </c>
      <c r="BF113" s="52" t="str">
        <f aca="false">IF($F113&lt;&gt;"",$F113,"")</f>
        <v>Apprenant 101 ou 101'</v>
      </c>
      <c r="BG113" s="55" t="str">
        <f aca="false">IF(AND($AW113&lt;&gt;"",$AX113&lt;&gt;""),$AX113-$AW113,"")</f>
        <v/>
      </c>
      <c r="BH113" s="55" t="str">
        <f aca="false">IF(AND($AW113&lt;&gt;"",$AY113&lt;&gt;""),$AY113-$AW113,"")</f>
        <v/>
      </c>
      <c r="BI113" s="55" t="str">
        <f aca="false">IF(AND($AX113&lt;&gt;"",$AY113&lt;&gt;""),$AY113-$AX113,"")</f>
        <v/>
      </c>
      <c r="BJ113" s="53" t="str">
        <f aca="false">IF($J113&lt;&gt;"",$J113,"")</f>
        <v/>
      </c>
      <c r="BL113" s="52"/>
      <c r="BM113" s="52" t="str">
        <f aca="false">IF(OR(COUNT(B113:D1112)=0,AND('Choix pédagogiques'!$C$3&lt;&gt;1,'Choix pédagogiques'!$C$3&lt;&gt;2)),"",IF(AND(OR('Choix pédagogiques'!$C$3=1,'Choix pédagogiques'!$C$3=2),$B113&lt;&gt;"",$C113&lt;&gt;"",$D113&lt;&gt;""),1,0))</f>
        <v/>
      </c>
      <c r="BN113" s="52" t="str">
        <f aca="false">IF(OR(COUNT(G113:I1112)=0,AND('Choix pédagogiques'!$C$3&lt;&gt;1,'Choix pédagogiques'!$C$3&lt;&gt;2)),"",IF(AND(OR('Choix pédagogiques'!$C$3=1,'Choix pédagogiques'!$C$3=2),AND($G113&lt;&gt;"",$H113&lt;&gt;"",$I113&lt;&gt;"")),1,0))</f>
        <v/>
      </c>
      <c r="BO113" s="52" t="str">
        <f aca="false">IF(OR(COUNT(B113:D1112)=0,COUNT(G113:I1112)=0,'Choix pédagogiques'!C$3&lt;&gt;3),"",IF(AND('Choix pédagogiques'!$C$3=3,$B113&lt;&gt;"",$C113&lt;&gt;"",$D113&lt;&gt;"",$G113&lt;&gt;"",$H113&lt;&gt;"",$I113&lt;&gt;""),1,0))</f>
        <v/>
      </c>
      <c r="BR113" s="52" t="n">
        <v>924</v>
      </c>
      <c r="BS113" s="52" t="n">
        <v>1114</v>
      </c>
    </row>
    <row r="114" s="54" customFormat="true" ht="18" hidden="false" customHeight="true" outlineLevel="0" collapsed="false">
      <c r="A114" s="57" t="s">
        <v>159</v>
      </c>
      <c r="B114" s="51"/>
      <c r="C114" s="51"/>
      <c r="D114" s="51"/>
      <c r="E114" s="51"/>
      <c r="F114" s="57" t="s">
        <v>160</v>
      </c>
      <c r="G114" s="51"/>
      <c r="H114" s="51"/>
      <c r="I114" s="51"/>
      <c r="J114" s="51"/>
      <c r="K114" s="52" t="str">
        <f aca="false">IF($A114&lt;&gt;"",$A114,"")</f>
        <v>Apprenant 102</v>
      </c>
      <c r="L114" s="53" t="str">
        <f aca="false">IF(AND($B114&lt;&gt;"",$C114&lt;&gt;""),$C114-$B114,"")</f>
        <v/>
      </c>
      <c r="M114" s="53" t="str">
        <f aca="false">IF(AND($B114&lt;&gt;"",$D114&lt;&gt;""),$D114-$B114,"")</f>
        <v/>
      </c>
      <c r="N114" s="53" t="str">
        <f aca="false">IF(AND($C114&lt;&gt;"",$D114&lt;&gt;""),$D114-$C114,"")</f>
        <v/>
      </c>
      <c r="O114" s="53" t="str">
        <f aca="false">IF($E114&lt;&gt;"",$E114,"")</f>
        <v/>
      </c>
      <c r="P114" s="52" t="str">
        <f aca="false">IF($F114&lt;&gt;"",$F114,"")</f>
        <v>Apprenant 102 ou 102'</v>
      </c>
      <c r="Q114" s="53" t="str">
        <f aca="false">IF(AND($G114&lt;&gt;"",$H114&lt;&gt;""),$H114-$G114,"")</f>
        <v/>
      </c>
      <c r="R114" s="53" t="str">
        <f aca="false">IF(AND($G114&lt;&gt;"",$I114&lt;&gt;""),$I114-$G114,"")</f>
        <v/>
      </c>
      <c r="S114" s="53" t="str">
        <f aca="false">IF(AND($H114&lt;&gt;"",$I114&lt;&gt;""),$I114-$H114,"")</f>
        <v/>
      </c>
      <c r="T114" s="53" t="str">
        <f aca="false">IF($J114&lt;&gt;"",$J114,"")</f>
        <v/>
      </c>
      <c r="V114" s="52" t="str">
        <f aca="false">IF($A114&lt;&gt;"",$A114,"")</f>
        <v>Apprenant 102</v>
      </c>
      <c r="W114" s="53" t="str">
        <f aca="false">IF(AND(OR('Choix pédagogiques'!$C$3=1,'Choix pédagogiques'!$C$3=2),$BM114=1),B114,IF(AND('Choix pédagogiques'!$C$3=3,$BO114=1),B114,""))</f>
        <v/>
      </c>
      <c r="X114" s="53" t="str">
        <f aca="false">IF(AND(OR('Choix pédagogiques'!$C$3=1,'Choix pédagogiques'!$C$3=2),$BM114=1),C114,IF(AND('Choix pédagogiques'!$C$3=3,$BO114=1),C114,""))</f>
        <v/>
      </c>
      <c r="Y114" s="53" t="str">
        <f aca="false">IF(AND(OR('Choix pédagogiques'!$C$3=1,'Choix pédagogiques'!$C$3=2),$BM114=1),D114,IF(AND('Choix pédagogiques'!$C$3=3,$BO114=1),D114,""))</f>
        <v/>
      </c>
      <c r="Z114" s="53" t="str">
        <f aca="false">IF($E114&lt;&gt;"",$E114,"")</f>
        <v/>
      </c>
      <c r="AA114" s="52" t="str">
        <f aca="false">IF($F114&lt;&gt;"",$F114,"")</f>
        <v>Apprenant 102 ou 102'</v>
      </c>
      <c r="AB114" s="53" t="str">
        <f aca="false">IF(AND(OR('Choix pédagogiques'!$C$3=1,'Choix pédagogiques'!$C$3=2),$BN114=1),G114,IF(AND('Choix pédagogiques'!$C$3=3,$BO114=1),G114,""))</f>
        <v/>
      </c>
      <c r="AC114" s="53" t="str">
        <f aca="false">IF(AND(OR('Choix pédagogiques'!$C$3=1,'Choix pédagogiques'!$C$3=2),$BN114=1),H114,IF(AND('Choix pédagogiques'!$C$3=3,$BO114=1),H114,""))</f>
        <v/>
      </c>
      <c r="AD114" s="53" t="str">
        <f aca="false">IF(AND(OR('Choix pédagogiques'!$C$3=1,'Choix pédagogiques'!$C$3=2),$BN114=1),I114,IF(AND('Choix pédagogiques'!$C$3=3,$BO114=1),I114,""))</f>
        <v/>
      </c>
      <c r="AE114" s="53" t="str">
        <f aca="false">IF($J114&lt;&gt;"",$J114,"")</f>
        <v/>
      </c>
      <c r="AF114" s="52" t="str">
        <f aca="false">IF($A114&lt;&gt;"",$A114,"")</f>
        <v>Apprenant 102</v>
      </c>
      <c r="AG114" s="53" t="str">
        <f aca="false">IF(AND($W114&lt;&gt;"",$X114&lt;&gt;""),$X114-$W114,"")</f>
        <v/>
      </c>
      <c r="AH114" s="53" t="str">
        <f aca="false">IF(AND($W114&lt;&gt;"",$Y114&lt;&gt;""),$Y114-$W114,"")</f>
        <v/>
      </c>
      <c r="AI114" s="53" t="str">
        <f aca="false">IF(AND($X114&lt;&gt;"",$Y114&lt;&gt;""),$Y114-$X114,"")</f>
        <v/>
      </c>
      <c r="AJ114" s="53" t="str">
        <f aca="false">IF($E114&lt;&gt;"",$E114,"")</f>
        <v/>
      </c>
      <c r="AK114" s="52" t="str">
        <f aca="false">IF($F114&lt;&gt;"",$F114,"")</f>
        <v>Apprenant 102 ou 102'</v>
      </c>
      <c r="AL114" s="53" t="str">
        <f aca="false">IF(AND($AB114&lt;&gt;"",$AC114&lt;&gt;""),$AC114-$AB114,"")</f>
        <v/>
      </c>
      <c r="AM114" s="53" t="str">
        <f aca="false">IF(AND($AB114&lt;&gt;"",$AD114&lt;&gt;""),$AD114-$AB114,"")</f>
        <v/>
      </c>
      <c r="AN114" s="53" t="str">
        <f aca="false">IF(AND($AC114&lt;&gt;"",$AD114&lt;&gt;""),$AD114-$AC114,"")</f>
        <v/>
      </c>
      <c r="AO114" s="53" t="str">
        <f aca="false">IF($J114&lt;&gt;"",$J114,"")</f>
        <v/>
      </c>
      <c r="AQ114" s="52" t="str">
        <f aca="false">IF($A114&lt;&gt;"",$A114,"")</f>
        <v>Apprenant 102</v>
      </c>
      <c r="AR114" s="55" t="str">
        <f aca="false">IF(AND('Choix pédagogiques'!$C$4&lt;&gt;"?",'Choix pédagogiques'!$C$5&lt;&gt;"?",W114&lt;&gt;""),(W114-'Choix pédagogiques'!$C$4)/('Choix pédagogiques'!$C$5-'Choix pédagogiques'!$C$4),"")</f>
        <v/>
      </c>
      <c r="AS114" s="55" t="str">
        <f aca="false">IF(AND('Choix pédagogiques'!$C$4&lt;&gt;"?",'Choix pédagogiques'!$C$5&lt;&gt;"?",X114&lt;&gt;""),(X114-'Choix pédagogiques'!$C$4)/('Choix pédagogiques'!$C$5-'Choix pédagogiques'!$C$4),"")</f>
        <v/>
      </c>
      <c r="AT114" s="55" t="str">
        <f aca="false">IF(AND('Choix pédagogiques'!$C$4&lt;&gt;"?",'Choix pédagogiques'!$C$5&lt;&gt;"?",Y114&lt;&gt;""),(Y114-'Choix pédagogiques'!$C$4)/('Choix pédagogiques'!$C$5-'Choix pédagogiques'!$C$4),"")</f>
        <v/>
      </c>
      <c r="AU114" s="53" t="str">
        <f aca="false">IF($E114&lt;&gt;"",$E114,"")</f>
        <v/>
      </c>
      <c r="AV114" s="52" t="str">
        <f aca="false">IF($F114&lt;&gt;"",$F114,"")</f>
        <v>Apprenant 102 ou 102'</v>
      </c>
      <c r="AW114" s="55" t="str">
        <f aca="false">IF(AND('Choix pédagogiques'!$C$4&lt;&gt;"?",'Choix pédagogiques'!$C$5&lt;&gt;"?",AB114&lt;&gt;""),(AB114-'Choix pédagogiques'!$C$4)/('Choix pédagogiques'!$C$5-'Choix pédagogiques'!$C$4),"")</f>
        <v/>
      </c>
      <c r="AX114" s="55" t="str">
        <f aca="false">IF(AND('Choix pédagogiques'!$C$4&lt;&gt;"?",'Choix pédagogiques'!$C$5&lt;&gt;"?",AC114&lt;&gt;""),(AC114-'Choix pédagogiques'!$C$4)/('Choix pédagogiques'!$C$5-'Choix pédagogiques'!$C$4),"")</f>
        <v/>
      </c>
      <c r="AY114" s="55" t="str">
        <f aca="false">IF(AND('Choix pédagogiques'!$C$4&lt;&gt;"?",'Choix pédagogiques'!$C$5&lt;&gt;"?",AD114&lt;&gt;""),(AD114-'Choix pédagogiques'!$C$4)/('Choix pédagogiques'!$C$5-'Choix pédagogiques'!$C$4),"")</f>
        <v/>
      </c>
      <c r="AZ114" s="53" t="str">
        <f aca="false">IF($J114&lt;&gt;"",$J114,"")</f>
        <v/>
      </c>
      <c r="BA114" s="52" t="str">
        <f aca="false">IF($A114&lt;&gt;"",$A114,"")</f>
        <v>Apprenant 102</v>
      </c>
      <c r="BB114" s="55" t="str">
        <f aca="false">IF(AND($AR114&lt;&gt;"",$AS114&lt;&gt;""),$AS114-$AR114,"")</f>
        <v/>
      </c>
      <c r="BC114" s="55" t="str">
        <f aca="false">IF(AND($AR114&lt;&gt;"",$AT114&lt;&gt;""),$AT114-$AR114,"")</f>
        <v/>
      </c>
      <c r="BD114" s="55" t="str">
        <f aca="false">IF(AND($AS114&lt;&gt;"",$AT114&lt;&gt;""),$AT114-$AS114,"")</f>
        <v/>
      </c>
      <c r="BE114" s="53" t="str">
        <f aca="false">IF($E114&lt;&gt;"",$E114,"")</f>
        <v/>
      </c>
      <c r="BF114" s="52" t="str">
        <f aca="false">IF($F114&lt;&gt;"",$F114,"")</f>
        <v>Apprenant 102 ou 102'</v>
      </c>
      <c r="BG114" s="55" t="str">
        <f aca="false">IF(AND($AW114&lt;&gt;"",$AX114&lt;&gt;""),$AX114-$AW114,"")</f>
        <v/>
      </c>
      <c r="BH114" s="55" t="str">
        <f aca="false">IF(AND($AW114&lt;&gt;"",$AY114&lt;&gt;""),$AY114-$AW114,"")</f>
        <v/>
      </c>
      <c r="BI114" s="55" t="str">
        <f aca="false">IF(AND($AX114&lt;&gt;"",$AY114&lt;&gt;""),$AY114-$AX114,"")</f>
        <v/>
      </c>
      <c r="BJ114" s="53" t="str">
        <f aca="false">IF($J114&lt;&gt;"",$J114,"")</f>
        <v/>
      </c>
      <c r="BL114" s="52"/>
      <c r="BM114" s="52" t="str">
        <f aca="false">IF(OR(COUNT(B114:D1113)=0,AND('Choix pédagogiques'!$C$3&lt;&gt;1,'Choix pédagogiques'!$C$3&lt;&gt;2)),"",IF(AND(OR('Choix pédagogiques'!$C$3=1,'Choix pédagogiques'!$C$3=2),$B114&lt;&gt;"",$C114&lt;&gt;"",$D114&lt;&gt;""),1,0))</f>
        <v/>
      </c>
      <c r="BN114" s="52" t="str">
        <f aca="false">IF(OR(COUNT(G114:I1113)=0,AND('Choix pédagogiques'!$C$3&lt;&gt;1,'Choix pédagogiques'!$C$3&lt;&gt;2)),"",IF(AND(OR('Choix pédagogiques'!$C$3=1,'Choix pédagogiques'!$C$3=2),AND($G114&lt;&gt;"",$H114&lt;&gt;"",$I114&lt;&gt;"")),1,0))</f>
        <v/>
      </c>
      <c r="BO114" s="52" t="str">
        <f aca="false">IF(OR(COUNT(B114:D1113)=0,COUNT(G114:I1113)=0,'Choix pédagogiques'!C$3&lt;&gt;3),"",IF(AND('Choix pédagogiques'!$C$3=3,$B114&lt;&gt;"",$C114&lt;&gt;"",$D114&lt;&gt;"",$G114&lt;&gt;"",$H114&lt;&gt;"",$I114&lt;&gt;""),1,0))</f>
        <v/>
      </c>
      <c r="BR114" s="52" t="n">
        <v>630</v>
      </c>
      <c r="BS114" s="52" t="n">
        <v>1088</v>
      </c>
    </row>
    <row r="115" s="54" customFormat="true" ht="18" hidden="false" customHeight="true" outlineLevel="0" collapsed="false">
      <c r="A115" s="57" t="s">
        <v>161</v>
      </c>
      <c r="B115" s="51"/>
      <c r="C115" s="51"/>
      <c r="D115" s="51"/>
      <c r="E115" s="51"/>
      <c r="F115" s="57" t="s">
        <v>162</v>
      </c>
      <c r="G115" s="51"/>
      <c r="H115" s="51"/>
      <c r="I115" s="51"/>
      <c r="J115" s="51"/>
      <c r="K115" s="52" t="str">
        <f aca="false">IF($A115&lt;&gt;"",$A115,"")</f>
        <v>Apprenant 103</v>
      </c>
      <c r="L115" s="53" t="str">
        <f aca="false">IF(AND($B115&lt;&gt;"",$C115&lt;&gt;""),$C115-$B115,"")</f>
        <v/>
      </c>
      <c r="M115" s="53" t="str">
        <f aca="false">IF(AND($B115&lt;&gt;"",$D115&lt;&gt;""),$D115-$B115,"")</f>
        <v/>
      </c>
      <c r="N115" s="53" t="str">
        <f aca="false">IF(AND($C115&lt;&gt;"",$D115&lt;&gt;""),$D115-$C115,"")</f>
        <v/>
      </c>
      <c r="O115" s="53" t="str">
        <f aca="false">IF($E115&lt;&gt;"",$E115,"")</f>
        <v/>
      </c>
      <c r="P115" s="52" t="str">
        <f aca="false">IF($F115&lt;&gt;"",$F115,"")</f>
        <v>Apprenant 103 ou 103'</v>
      </c>
      <c r="Q115" s="53" t="str">
        <f aca="false">IF(AND($G115&lt;&gt;"",$H115&lt;&gt;""),$H115-$G115,"")</f>
        <v/>
      </c>
      <c r="R115" s="53" t="str">
        <f aca="false">IF(AND($G115&lt;&gt;"",$I115&lt;&gt;""),$I115-$G115,"")</f>
        <v/>
      </c>
      <c r="S115" s="53" t="str">
        <f aca="false">IF(AND($H115&lt;&gt;"",$I115&lt;&gt;""),$I115-$H115,"")</f>
        <v/>
      </c>
      <c r="T115" s="53" t="str">
        <f aca="false">IF($J115&lt;&gt;"",$J115,"")</f>
        <v/>
      </c>
      <c r="V115" s="52" t="str">
        <f aca="false">IF($A115&lt;&gt;"",$A115,"")</f>
        <v>Apprenant 103</v>
      </c>
      <c r="W115" s="53" t="str">
        <f aca="false">IF(AND(OR('Choix pédagogiques'!$C$3=1,'Choix pédagogiques'!$C$3=2),$BM115=1),B115,IF(AND('Choix pédagogiques'!$C$3=3,$BO115=1),B115,""))</f>
        <v/>
      </c>
      <c r="X115" s="53" t="str">
        <f aca="false">IF(AND(OR('Choix pédagogiques'!$C$3=1,'Choix pédagogiques'!$C$3=2),$BM115=1),C115,IF(AND('Choix pédagogiques'!$C$3=3,$BO115=1),C115,""))</f>
        <v/>
      </c>
      <c r="Y115" s="53" t="str">
        <f aca="false">IF(AND(OR('Choix pédagogiques'!$C$3=1,'Choix pédagogiques'!$C$3=2),$BM115=1),D115,IF(AND('Choix pédagogiques'!$C$3=3,$BO115=1),D115,""))</f>
        <v/>
      </c>
      <c r="Z115" s="53" t="str">
        <f aca="false">IF($E115&lt;&gt;"",$E115,"")</f>
        <v/>
      </c>
      <c r="AA115" s="52" t="str">
        <f aca="false">IF($F115&lt;&gt;"",$F115,"")</f>
        <v>Apprenant 103 ou 103'</v>
      </c>
      <c r="AB115" s="53" t="str">
        <f aca="false">IF(AND(OR('Choix pédagogiques'!$C$3=1,'Choix pédagogiques'!$C$3=2),$BN115=1),G115,IF(AND('Choix pédagogiques'!$C$3=3,$BO115=1),G115,""))</f>
        <v/>
      </c>
      <c r="AC115" s="53" t="str">
        <f aca="false">IF(AND(OR('Choix pédagogiques'!$C$3=1,'Choix pédagogiques'!$C$3=2),$BN115=1),H115,IF(AND('Choix pédagogiques'!$C$3=3,$BO115=1),H115,""))</f>
        <v/>
      </c>
      <c r="AD115" s="53" t="str">
        <f aca="false">IF(AND(OR('Choix pédagogiques'!$C$3=1,'Choix pédagogiques'!$C$3=2),$BN115=1),I115,IF(AND('Choix pédagogiques'!$C$3=3,$BO115=1),I115,""))</f>
        <v/>
      </c>
      <c r="AE115" s="53" t="str">
        <f aca="false">IF($J115&lt;&gt;"",$J115,"")</f>
        <v/>
      </c>
      <c r="AF115" s="52" t="str">
        <f aca="false">IF($A115&lt;&gt;"",$A115,"")</f>
        <v>Apprenant 103</v>
      </c>
      <c r="AG115" s="53" t="str">
        <f aca="false">IF(AND($W115&lt;&gt;"",$X115&lt;&gt;""),$X115-$W115,"")</f>
        <v/>
      </c>
      <c r="AH115" s="53" t="str">
        <f aca="false">IF(AND($W115&lt;&gt;"",$Y115&lt;&gt;""),$Y115-$W115,"")</f>
        <v/>
      </c>
      <c r="AI115" s="53" t="str">
        <f aca="false">IF(AND($X115&lt;&gt;"",$Y115&lt;&gt;""),$Y115-$X115,"")</f>
        <v/>
      </c>
      <c r="AJ115" s="53" t="str">
        <f aca="false">IF($E115&lt;&gt;"",$E115,"")</f>
        <v/>
      </c>
      <c r="AK115" s="52" t="str">
        <f aca="false">IF($F115&lt;&gt;"",$F115,"")</f>
        <v>Apprenant 103 ou 103'</v>
      </c>
      <c r="AL115" s="53" t="str">
        <f aca="false">IF(AND($AB115&lt;&gt;"",$AC115&lt;&gt;""),$AC115-$AB115,"")</f>
        <v/>
      </c>
      <c r="AM115" s="53" t="str">
        <f aca="false">IF(AND($AB115&lt;&gt;"",$AD115&lt;&gt;""),$AD115-$AB115,"")</f>
        <v/>
      </c>
      <c r="AN115" s="53" t="str">
        <f aca="false">IF(AND($AC115&lt;&gt;"",$AD115&lt;&gt;""),$AD115-$AC115,"")</f>
        <v/>
      </c>
      <c r="AO115" s="53" t="str">
        <f aca="false">IF($J115&lt;&gt;"",$J115,"")</f>
        <v/>
      </c>
      <c r="AQ115" s="52" t="str">
        <f aca="false">IF($A115&lt;&gt;"",$A115,"")</f>
        <v>Apprenant 103</v>
      </c>
      <c r="AR115" s="55" t="str">
        <f aca="false">IF(AND('Choix pédagogiques'!$C$4&lt;&gt;"?",'Choix pédagogiques'!$C$5&lt;&gt;"?",W115&lt;&gt;""),(W115-'Choix pédagogiques'!$C$4)/('Choix pédagogiques'!$C$5-'Choix pédagogiques'!$C$4),"")</f>
        <v/>
      </c>
      <c r="AS115" s="55" t="str">
        <f aca="false">IF(AND('Choix pédagogiques'!$C$4&lt;&gt;"?",'Choix pédagogiques'!$C$5&lt;&gt;"?",X115&lt;&gt;""),(X115-'Choix pédagogiques'!$C$4)/('Choix pédagogiques'!$C$5-'Choix pédagogiques'!$C$4),"")</f>
        <v/>
      </c>
      <c r="AT115" s="55" t="str">
        <f aca="false">IF(AND('Choix pédagogiques'!$C$4&lt;&gt;"?",'Choix pédagogiques'!$C$5&lt;&gt;"?",Y115&lt;&gt;""),(Y115-'Choix pédagogiques'!$C$4)/('Choix pédagogiques'!$C$5-'Choix pédagogiques'!$C$4),"")</f>
        <v/>
      </c>
      <c r="AU115" s="53" t="str">
        <f aca="false">IF($E115&lt;&gt;"",$E115,"")</f>
        <v/>
      </c>
      <c r="AV115" s="52" t="str">
        <f aca="false">IF($F115&lt;&gt;"",$F115,"")</f>
        <v>Apprenant 103 ou 103'</v>
      </c>
      <c r="AW115" s="55" t="str">
        <f aca="false">IF(AND('Choix pédagogiques'!$C$4&lt;&gt;"?",'Choix pédagogiques'!$C$5&lt;&gt;"?",AB115&lt;&gt;""),(AB115-'Choix pédagogiques'!$C$4)/('Choix pédagogiques'!$C$5-'Choix pédagogiques'!$C$4),"")</f>
        <v/>
      </c>
      <c r="AX115" s="55" t="str">
        <f aca="false">IF(AND('Choix pédagogiques'!$C$4&lt;&gt;"?",'Choix pédagogiques'!$C$5&lt;&gt;"?",AC115&lt;&gt;""),(AC115-'Choix pédagogiques'!$C$4)/('Choix pédagogiques'!$C$5-'Choix pédagogiques'!$C$4),"")</f>
        <v/>
      </c>
      <c r="AY115" s="55" t="str">
        <f aca="false">IF(AND('Choix pédagogiques'!$C$4&lt;&gt;"?",'Choix pédagogiques'!$C$5&lt;&gt;"?",AD115&lt;&gt;""),(AD115-'Choix pédagogiques'!$C$4)/('Choix pédagogiques'!$C$5-'Choix pédagogiques'!$C$4),"")</f>
        <v/>
      </c>
      <c r="AZ115" s="53" t="str">
        <f aca="false">IF($J115&lt;&gt;"",$J115,"")</f>
        <v/>
      </c>
      <c r="BA115" s="52" t="str">
        <f aca="false">IF($A115&lt;&gt;"",$A115,"")</f>
        <v>Apprenant 103</v>
      </c>
      <c r="BB115" s="55" t="str">
        <f aca="false">IF(AND($AR115&lt;&gt;"",$AS115&lt;&gt;""),$AS115-$AR115,"")</f>
        <v/>
      </c>
      <c r="BC115" s="55" t="str">
        <f aca="false">IF(AND($AR115&lt;&gt;"",$AT115&lt;&gt;""),$AT115-$AR115,"")</f>
        <v/>
      </c>
      <c r="BD115" s="55" t="str">
        <f aca="false">IF(AND($AS115&lt;&gt;"",$AT115&lt;&gt;""),$AT115-$AS115,"")</f>
        <v/>
      </c>
      <c r="BE115" s="53" t="str">
        <f aca="false">IF($E115&lt;&gt;"",$E115,"")</f>
        <v/>
      </c>
      <c r="BF115" s="52" t="str">
        <f aca="false">IF($F115&lt;&gt;"",$F115,"")</f>
        <v>Apprenant 103 ou 103'</v>
      </c>
      <c r="BG115" s="55" t="str">
        <f aca="false">IF(AND($AW115&lt;&gt;"",$AX115&lt;&gt;""),$AX115-$AW115,"")</f>
        <v/>
      </c>
      <c r="BH115" s="55" t="str">
        <f aca="false">IF(AND($AW115&lt;&gt;"",$AY115&lt;&gt;""),$AY115-$AW115,"")</f>
        <v/>
      </c>
      <c r="BI115" s="55" t="str">
        <f aca="false">IF(AND($AX115&lt;&gt;"",$AY115&lt;&gt;""),$AY115-$AX115,"")</f>
        <v/>
      </c>
      <c r="BJ115" s="53" t="str">
        <f aca="false">IF($J115&lt;&gt;"",$J115,"")</f>
        <v/>
      </c>
      <c r="BL115" s="52"/>
      <c r="BM115" s="52" t="str">
        <f aca="false">IF(OR(COUNT(B115:D1114)=0,AND('Choix pédagogiques'!$C$3&lt;&gt;1,'Choix pédagogiques'!$C$3&lt;&gt;2)),"",IF(AND(OR('Choix pédagogiques'!$C$3=1,'Choix pédagogiques'!$C$3=2),$B115&lt;&gt;"",$C115&lt;&gt;"",$D115&lt;&gt;""),1,0))</f>
        <v/>
      </c>
      <c r="BN115" s="52" t="str">
        <f aca="false">IF(OR(COUNT(G115:I1114)=0,AND('Choix pédagogiques'!$C$3&lt;&gt;1,'Choix pédagogiques'!$C$3&lt;&gt;2)),"",IF(AND(OR('Choix pédagogiques'!$C$3=1,'Choix pédagogiques'!$C$3=2),AND($G115&lt;&gt;"",$H115&lt;&gt;"",$I115&lt;&gt;"")),1,0))</f>
        <v/>
      </c>
      <c r="BO115" s="52" t="str">
        <f aca="false">IF(OR(COUNT(B115:D1114)=0,COUNT(G115:I1114)=0,'Choix pédagogiques'!C$3&lt;&gt;3),"",IF(AND('Choix pédagogiques'!$C$3=3,$B115&lt;&gt;"",$C115&lt;&gt;"",$D115&lt;&gt;"",$G115&lt;&gt;"",$H115&lt;&gt;"",$I115&lt;&gt;""),1,0))</f>
        <v/>
      </c>
      <c r="BR115" s="52" t="n">
        <v>470</v>
      </c>
      <c r="BS115" s="52" t="n">
        <v>1315</v>
      </c>
    </row>
    <row r="116" s="54" customFormat="true" ht="18" hidden="false" customHeight="true" outlineLevel="0" collapsed="false">
      <c r="A116" s="57" t="s">
        <v>163</v>
      </c>
      <c r="B116" s="51"/>
      <c r="C116" s="51"/>
      <c r="D116" s="51"/>
      <c r="E116" s="51"/>
      <c r="F116" s="57" t="s">
        <v>164</v>
      </c>
      <c r="G116" s="51"/>
      <c r="H116" s="51"/>
      <c r="I116" s="51"/>
      <c r="J116" s="51"/>
      <c r="K116" s="52" t="str">
        <f aca="false">IF($A116&lt;&gt;"",$A116,"")</f>
        <v>Apprenant 104</v>
      </c>
      <c r="L116" s="53" t="str">
        <f aca="false">IF(AND($B116&lt;&gt;"",$C116&lt;&gt;""),$C116-$B116,"")</f>
        <v/>
      </c>
      <c r="M116" s="53" t="str">
        <f aca="false">IF(AND($B116&lt;&gt;"",$D116&lt;&gt;""),$D116-$B116,"")</f>
        <v/>
      </c>
      <c r="N116" s="53" t="str">
        <f aca="false">IF(AND($C116&lt;&gt;"",$D116&lt;&gt;""),$D116-$C116,"")</f>
        <v/>
      </c>
      <c r="O116" s="53" t="str">
        <f aca="false">IF($E116&lt;&gt;"",$E116,"")</f>
        <v/>
      </c>
      <c r="P116" s="52" t="str">
        <f aca="false">IF($F116&lt;&gt;"",$F116,"")</f>
        <v>Apprenant 104 ou 104'</v>
      </c>
      <c r="Q116" s="53" t="str">
        <f aca="false">IF(AND($G116&lt;&gt;"",$H116&lt;&gt;""),$H116-$G116,"")</f>
        <v/>
      </c>
      <c r="R116" s="53" t="str">
        <f aca="false">IF(AND($G116&lt;&gt;"",$I116&lt;&gt;""),$I116-$G116,"")</f>
        <v/>
      </c>
      <c r="S116" s="53" t="str">
        <f aca="false">IF(AND($H116&lt;&gt;"",$I116&lt;&gt;""),$I116-$H116,"")</f>
        <v/>
      </c>
      <c r="T116" s="53" t="str">
        <f aca="false">IF($J116&lt;&gt;"",$J116,"")</f>
        <v/>
      </c>
      <c r="V116" s="52" t="str">
        <f aca="false">IF($A116&lt;&gt;"",$A116,"")</f>
        <v>Apprenant 104</v>
      </c>
      <c r="W116" s="53" t="str">
        <f aca="false">IF(AND(OR('Choix pédagogiques'!$C$3=1,'Choix pédagogiques'!$C$3=2),$BM116=1),B116,IF(AND('Choix pédagogiques'!$C$3=3,$BO116=1),B116,""))</f>
        <v/>
      </c>
      <c r="X116" s="53" t="str">
        <f aca="false">IF(AND(OR('Choix pédagogiques'!$C$3=1,'Choix pédagogiques'!$C$3=2),$BM116=1),C116,IF(AND('Choix pédagogiques'!$C$3=3,$BO116=1),C116,""))</f>
        <v/>
      </c>
      <c r="Y116" s="53" t="str">
        <f aca="false">IF(AND(OR('Choix pédagogiques'!$C$3=1,'Choix pédagogiques'!$C$3=2),$BM116=1),D116,IF(AND('Choix pédagogiques'!$C$3=3,$BO116=1),D116,""))</f>
        <v/>
      </c>
      <c r="Z116" s="53" t="str">
        <f aca="false">IF($E116&lt;&gt;"",$E116,"")</f>
        <v/>
      </c>
      <c r="AA116" s="52" t="str">
        <f aca="false">IF($F116&lt;&gt;"",$F116,"")</f>
        <v>Apprenant 104 ou 104'</v>
      </c>
      <c r="AB116" s="53" t="str">
        <f aca="false">IF(AND(OR('Choix pédagogiques'!$C$3=1,'Choix pédagogiques'!$C$3=2),$BN116=1),G116,IF(AND('Choix pédagogiques'!$C$3=3,$BO116=1),G116,""))</f>
        <v/>
      </c>
      <c r="AC116" s="53" t="str">
        <f aca="false">IF(AND(OR('Choix pédagogiques'!$C$3=1,'Choix pédagogiques'!$C$3=2),$BN116=1),H116,IF(AND('Choix pédagogiques'!$C$3=3,$BO116=1),H116,""))</f>
        <v/>
      </c>
      <c r="AD116" s="53" t="str">
        <f aca="false">IF(AND(OR('Choix pédagogiques'!$C$3=1,'Choix pédagogiques'!$C$3=2),$BN116=1),I116,IF(AND('Choix pédagogiques'!$C$3=3,$BO116=1),I116,""))</f>
        <v/>
      </c>
      <c r="AE116" s="53" t="str">
        <f aca="false">IF($J116&lt;&gt;"",$J116,"")</f>
        <v/>
      </c>
      <c r="AF116" s="52" t="str">
        <f aca="false">IF($A116&lt;&gt;"",$A116,"")</f>
        <v>Apprenant 104</v>
      </c>
      <c r="AG116" s="53" t="str">
        <f aca="false">IF(AND($W116&lt;&gt;"",$X116&lt;&gt;""),$X116-$W116,"")</f>
        <v/>
      </c>
      <c r="AH116" s="53" t="str">
        <f aca="false">IF(AND($W116&lt;&gt;"",$Y116&lt;&gt;""),$Y116-$W116,"")</f>
        <v/>
      </c>
      <c r="AI116" s="53" t="str">
        <f aca="false">IF(AND($X116&lt;&gt;"",$Y116&lt;&gt;""),$Y116-$X116,"")</f>
        <v/>
      </c>
      <c r="AJ116" s="53" t="str">
        <f aca="false">IF($E116&lt;&gt;"",$E116,"")</f>
        <v/>
      </c>
      <c r="AK116" s="52" t="str">
        <f aca="false">IF($F116&lt;&gt;"",$F116,"")</f>
        <v>Apprenant 104 ou 104'</v>
      </c>
      <c r="AL116" s="53" t="str">
        <f aca="false">IF(AND($AB116&lt;&gt;"",$AC116&lt;&gt;""),$AC116-$AB116,"")</f>
        <v/>
      </c>
      <c r="AM116" s="53" t="str">
        <f aca="false">IF(AND($AB116&lt;&gt;"",$AD116&lt;&gt;""),$AD116-$AB116,"")</f>
        <v/>
      </c>
      <c r="AN116" s="53" t="str">
        <f aca="false">IF(AND($AC116&lt;&gt;"",$AD116&lt;&gt;""),$AD116-$AC116,"")</f>
        <v/>
      </c>
      <c r="AO116" s="53" t="str">
        <f aca="false">IF($J116&lt;&gt;"",$J116,"")</f>
        <v/>
      </c>
      <c r="AQ116" s="52" t="str">
        <f aca="false">IF($A116&lt;&gt;"",$A116,"")</f>
        <v>Apprenant 104</v>
      </c>
      <c r="AR116" s="55" t="str">
        <f aca="false">IF(AND('Choix pédagogiques'!$C$4&lt;&gt;"?",'Choix pédagogiques'!$C$5&lt;&gt;"?",W116&lt;&gt;""),(W116-'Choix pédagogiques'!$C$4)/('Choix pédagogiques'!$C$5-'Choix pédagogiques'!$C$4),"")</f>
        <v/>
      </c>
      <c r="AS116" s="55" t="str">
        <f aca="false">IF(AND('Choix pédagogiques'!$C$4&lt;&gt;"?",'Choix pédagogiques'!$C$5&lt;&gt;"?",X116&lt;&gt;""),(X116-'Choix pédagogiques'!$C$4)/('Choix pédagogiques'!$C$5-'Choix pédagogiques'!$C$4),"")</f>
        <v/>
      </c>
      <c r="AT116" s="55" t="str">
        <f aca="false">IF(AND('Choix pédagogiques'!$C$4&lt;&gt;"?",'Choix pédagogiques'!$C$5&lt;&gt;"?",Y116&lt;&gt;""),(Y116-'Choix pédagogiques'!$C$4)/('Choix pédagogiques'!$C$5-'Choix pédagogiques'!$C$4),"")</f>
        <v/>
      </c>
      <c r="AU116" s="53" t="str">
        <f aca="false">IF($E116&lt;&gt;"",$E116,"")</f>
        <v/>
      </c>
      <c r="AV116" s="52" t="str">
        <f aca="false">IF($F116&lt;&gt;"",$F116,"")</f>
        <v>Apprenant 104 ou 104'</v>
      </c>
      <c r="AW116" s="55" t="str">
        <f aca="false">IF(AND('Choix pédagogiques'!$C$4&lt;&gt;"?",'Choix pédagogiques'!$C$5&lt;&gt;"?",AB116&lt;&gt;""),(AB116-'Choix pédagogiques'!$C$4)/('Choix pédagogiques'!$C$5-'Choix pédagogiques'!$C$4),"")</f>
        <v/>
      </c>
      <c r="AX116" s="55" t="str">
        <f aca="false">IF(AND('Choix pédagogiques'!$C$4&lt;&gt;"?",'Choix pédagogiques'!$C$5&lt;&gt;"?",AC116&lt;&gt;""),(AC116-'Choix pédagogiques'!$C$4)/('Choix pédagogiques'!$C$5-'Choix pédagogiques'!$C$4),"")</f>
        <v/>
      </c>
      <c r="AY116" s="55" t="str">
        <f aca="false">IF(AND('Choix pédagogiques'!$C$4&lt;&gt;"?",'Choix pédagogiques'!$C$5&lt;&gt;"?",AD116&lt;&gt;""),(AD116-'Choix pédagogiques'!$C$4)/('Choix pédagogiques'!$C$5-'Choix pédagogiques'!$C$4),"")</f>
        <v/>
      </c>
      <c r="AZ116" s="53" t="str">
        <f aca="false">IF($J116&lt;&gt;"",$J116,"")</f>
        <v/>
      </c>
      <c r="BA116" s="52" t="str">
        <f aca="false">IF($A116&lt;&gt;"",$A116,"")</f>
        <v>Apprenant 104</v>
      </c>
      <c r="BB116" s="55" t="str">
        <f aca="false">IF(AND($AR116&lt;&gt;"",$AS116&lt;&gt;""),$AS116-$AR116,"")</f>
        <v/>
      </c>
      <c r="BC116" s="55" t="str">
        <f aca="false">IF(AND($AR116&lt;&gt;"",$AT116&lt;&gt;""),$AT116-$AR116,"")</f>
        <v/>
      </c>
      <c r="BD116" s="55" t="str">
        <f aca="false">IF(AND($AS116&lt;&gt;"",$AT116&lt;&gt;""),$AT116-$AS116,"")</f>
        <v/>
      </c>
      <c r="BE116" s="53" t="str">
        <f aca="false">IF($E116&lt;&gt;"",$E116,"")</f>
        <v/>
      </c>
      <c r="BF116" s="52" t="str">
        <f aca="false">IF($F116&lt;&gt;"",$F116,"")</f>
        <v>Apprenant 104 ou 104'</v>
      </c>
      <c r="BG116" s="55" t="str">
        <f aca="false">IF(AND($AW116&lt;&gt;"",$AX116&lt;&gt;""),$AX116-$AW116,"")</f>
        <v/>
      </c>
      <c r="BH116" s="55" t="str">
        <f aca="false">IF(AND($AW116&lt;&gt;"",$AY116&lt;&gt;""),$AY116-$AW116,"")</f>
        <v/>
      </c>
      <c r="BI116" s="55" t="str">
        <f aca="false">IF(AND($AX116&lt;&gt;"",$AY116&lt;&gt;""),$AY116-$AX116,"")</f>
        <v/>
      </c>
      <c r="BJ116" s="53" t="str">
        <f aca="false">IF($J116&lt;&gt;"",$J116,"")</f>
        <v/>
      </c>
      <c r="BL116" s="52"/>
      <c r="BM116" s="52" t="str">
        <f aca="false">IF(OR(COUNT(B116:D1115)=0,AND('Choix pédagogiques'!$C$3&lt;&gt;1,'Choix pédagogiques'!$C$3&lt;&gt;2)),"",IF(AND(OR('Choix pédagogiques'!$C$3=1,'Choix pédagogiques'!$C$3=2),$B116&lt;&gt;"",$C116&lt;&gt;"",$D116&lt;&gt;""),1,0))</f>
        <v/>
      </c>
      <c r="BN116" s="52" t="str">
        <f aca="false">IF(OR(COUNT(G116:I1115)=0,AND('Choix pédagogiques'!$C$3&lt;&gt;1,'Choix pédagogiques'!$C$3&lt;&gt;2)),"",IF(AND(OR('Choix pédagogiques'!$C$3=1,'Choix pédagogiques'!$C$3=2),AND($G116&lt;&gt;"",$H116&lt;&gt;"",$I116&lt;&gt;"")),1,0))</f>
        <v/>
      </c>
      <c r="BO116" s="52" t="str">
        <f aca="false">IF(OR(COUNT(B116:D1115)=0,COUNT(G116:I1115)=0,'Choix pédagogiques'!C$3&lt;&gt;3),"",IF(AND('Choix pédagogiques'!$C$3=3,$B116&lt;&gt;"",$C116&lt;&gt;"",$D116&lt;&gt;"",$G116&lt;&gt;"",$H116&lt;&gt;"",$I116&lt;&gt;""),1,0))</f>
        <v/>
      </c>
      <c r="BR116" s="52" t="n">
        <v>576</v>
      </c>
      <c r="BS116" s="52" t="n">
        <v>1793</v>
      </c>
    </row>
    <row r="117" s="54" customFormat="true" ht="18" hidden="false" customHeight="true" outlineLevel="0" collapsed="false">
      <c r="A117" s="57" t="s">
        <v>165</v>
      </c>
      <c r="B117" s="51"/>
      <c r="C117" s="51"/>
      <c r="D117" s="51"/>
      <c r="E117" s="51"/>
      <c r="F117" s="57" t="s">
        <v>166</v>
      </c>
      <c r="G117" s="51"/>
      <c r="H117" s="51"/>
      <c r="I117" s="51"/>
      <c r="J117" s="51"/>
      <c r="K117" s="52" t="str">
        <f aca="false">IF($A117&lt;&gt;"",$A117,"")</f>
        <v>Apprenant 105</v>
      </c>
      <c r="L117" s="53" t="str">
        <f aca="false">IF(AND($B117&lt;&gt;"",$C117&lt;&gt;""),$C117-$B117,"")</f>
        <v/>
      </c>
      <c r="M117" s="53" t="str">
        <f aca="false">IF(AND($B117&lt;&gt;"",$D117&lt;&gt;""),$D117-$B117,"")</f>
        <v/>
      </c>
      <c r="N117" s="53" t="str">
        <f aca="false">IF(AND($C117&lt;&gt;"",$D117&lt;&gt;""),$D117-$C117,"")</f>
        <v/>
      </c>
      <c r="O117" s="53" t="str">
        <f aca="false">IF($E117&lt;&gt;"",$E117,"")</f>
        <v/>
      </c>
      <c r="P117" s="52" t="str">
        <f aca="false">IF($F117&lt;&gt;"",$F117,"")</f>
        <v>Apprenant 105 ou 105'</v>
      </c>
      <c r="Q117" s="53" t="str">
        <f aca="false">IF(AND($G117&lt;&gt;"",$H117&lt;&gt;""),$H117-$G117,"")</f>
        <v/>
      </c>
      <c r="R117" s="53" t="str">
        <f aca="false">IF(AND($G117&lt;&gt;"",$I117&lt;&gt;""),$I117-$G117,"")</f>
        <v/>
      </c>
      <c r="S117" s="53" t="str">
        <f aca="false">IF(AND($H117&lt;&gt;"",$I117&lt;&gt;""),$I117-$H117,"")</f>
        <v/>
      </c>
      <c r="T117" s="53" t="str">
        <f aca="false">IF($J117&lt;&gt;"",$J117,"")</f>
        <v/>
      </c>
      <c r="V117" s="52" t="str">
        <f aca="false">IF($A117&lt;&gt;"",$A117,"")</f>
        <v>Apprenant 105</v>
      </c>
      <c r="W117" s="53" t="str">
        <f aca="false">IF(AND(OR('Choix pédagogiques'!$C$3=1,'Choix pédagogiques'!$C$3=2),$BM117=1),B117,IF(AND('Choix pédagogiques'!$C$3=3,$BO117=1),B117,""))</f>
        <v/>
      </c>
      <c r="X117" s="53" t="str">
        <f aca="false">IF(AND(OR('Choix pédagogiques'!$C$3=1,'Choix pédagogiques'!$C$3=2),$BM117=1),C117,IF(AND('Choix pédagogiques'!$C$3=3,$BO117=1),C117,""))</f>
        <v/>
      </c>
      <c r="Y117" s="53" t="str">
        <f aca="false">IF(AND(OR('Choix pédagogiques'!$C$3=1,'Choix pédagogiques'!$C$3=2),$BM117=1),D117,IF(AND('Choix pédagogiques'!$C$3=3,$BO117=1),D117,""))</f>
        <v/>
      </c>
      <c r="Z117" s="53" t="str">
        <f aca="false">IF($E117&lt;&gt;"",$E117,"")</f>
        <v/>
      </c>
      <c r="AA117" s="52" t="str">
        <f aca="false">IF($F117&lt;&gt;"",$F117,"")</f>
        <v>Apprenant 105 ou 105'</v>
      </c>
      <c r="AB117" s="53" t="str">
        <f aca="false">IF(AND(OR('Choix pédagogiques'!$C$3=1,'Choix pédagogiques'!$C$3=2),$BN117=1),G117,IF(AND('Choix pédagogiques'!$C$3=3,$BO117=1),G117,""))</f>
        <v/>
      </c>
      <c r="AC117" s="53" t="str">
        <f aca="false">IF(AND(OR('Choix pédagogiques'!$C$3=1,'Choix pédagogiques'!$C$3=2),$BN117=1),H117,IF(AND('Choix pédagogiques'!$C$3=3,$BO117=1),H117,""))</f>
        <v/>
      </c>
      <c r="AD117" s="53" t="str">
        <f aca="false">IF(AND(OR('Choix pédagogiques'!$C$3=1,'Choix pédagogiques'!$C$3=2),$BN117=1),I117,IF(AND('Choix pédagogiques'!$C$3=3,$BO117=1),I117,""))</f>
        <v/>
      </c>
      <c r="AE117" s="53" t="str">
        <f aca="false">IF($J117&lt;&gt;"",$J117,"")</f>
        <v/>
      </c>
      <c r="AF117" s="52" t="str">
        <f aca="false">IF($A117&lt;&gt;"",$A117,"")</f>
        <v>Apprenant 105</v>
      </c>
      <c r="AG117" s="53" t="str">
        <f aca="false">IF(AND($W117&lt;&gt;"",$X117&lt;&gt;""),$X117-$W117,"")</f>
        <v/>
      </c>
      <c r="AH117" s="53" t="str">
        <f aca="false">IF(AND($W117&lt;&gt;"",$Y117&lt;&gt;""),$Y117-$W117,"")</f>
        <v/>
      </c>
      <c r="AI117" s="53" t="str">
        <f aca="false">IF(AND($X117&lt;&gt;"",$Y117&lt;&gt;""),$Y117-$X117,"")</f>
        <v/>
      </c>
      <c r="AJ117" s="53" t="str">
        <f aca="false">IF($E117&lt;&gt;"",$E117,"")</f>
        <v/>
      </c>
      <c r="AK117" s="52" t="str">
        <f aca="false">IF($F117&lt;&gt;"",$F117,"")</f>
        <v>Apprenant 105 ou 105'</v>
      </c>
      <c r="AL117" s="53" t="str">
        <f aca="false">IF(AND($AB117&lt;&gt;"",$AC117&lt;&gt;""),$AC117-$AB117,"")</f>
        <v/>
      </c>
      <c r="AM117" s="53" t="str">
        <f aca="false">IF(AND($AB117&lt;&gt;"",$AD117&lt;&gt;""),$AD117-$AB117,"")</f>
        <v/>
      </c>
      <c r="AN117" s="53" t="str">
        <f aca="false">IF(AND($AC117&lt;&gt;"",$AD117&lt;&gt;""),$AD117-$AC117,"")</f>
        <v/>
      </c>
      <c r="AO117" s="53" t="str">
        <f aca="false">IF($J117&lt;&gt;"",$J117,"")</f>
        <v/>
      </c>
      <c r="AQ117" s="52" t="str">
        <f aca="false">IF($A117&lt;&gt;"",$A117,"")</f>
        <v>Apprenant 105</v>
      </c>
      <c r="AR117" s="55" t="str">
        <f aca="false">IF(AND('Choix pédagogiques'!$C$4&lt;&gt;"?",'Choix pédagogiques'!$C$5&lt;&gt;"?",W117&lt;&gt;""),(W117-'Choix pédagogiques'!$C$4)/('Choix pédagogiques'!$C$5-'Choix pédagogiques'!$C$4),"")</f>
        <v/>
      </c>
      <c r="AS117" s="55" t="str">
        <f aca="false">IF(AND('Choix pédagogiques'!$C$4&lt;&gt;"?",'Choix pédagogiques'!$C$5&lt;&gt;"?",X117&lt;&gt;""),(X117-'Choix pédagogiques'!$C$4)/('Choix pédagogiques'!$C$5-'Choix pédagogiques'!$C$4),"")</f>
        <v/>
      </c>
      <c r="AT117" s="55" t="str">
        <f aca="false">IF(AND('Choix pédagogiques'!$C$4&lt;&gt;"?",'Choix pédagogiques'!$C$5&lt;&gt;"?",Y117&lt;&gt;""),(Y117-'Choix pédagogiques'!$C$4)/('Choix pédagogiques'!$C$5-'Choix pédagogiques'!$C$4),"")</f>
        <v/>
      </c>
      <c r="AU117" s="53" t="str">
        <f aca="false">IF($E117&lt;&gt;"",$E117,"")</f>
        <v/>
      </c>
      <c r="AV117" s="52" t="str">
        <f aca="false">IF($F117&lt;&gt;"",$F117,"")</f>
        <v>Apprenant 105 ou 105'</v>
      </c>
      <c r="AW117" s="55" t="str">
        <f aca="false">IF(AND('Choix pédagogiques'!$C$4&lt;&gt;"?",'Choix pédagogiques'!$C$5&lt;&gt;"?",AB117&lt;&gt;""),(AB117-'Choix pédagogiques'!$C$4)/('Choix pédagogiques'!$C$5-'Choix pédagogiques'!$C$4),"")</f>
        <v/>
      </c>
      <c r="AX117" s="55" t="str">
        <f aca="false">IF(AND('Choix pédagogiques'!$C$4&lt;&gt;"?",'Choix pédagogiques'!$C$5&lt;&gt;"?",AC117&lt;&gt;""),(AC117-'Choix pédagogiques'!$C$4)/('Choix pédagogiques'!$C$5-'Choix pédagogiques'!$C$4),"")</f>
        <v/>
      </c>
      <c r="AY117" s="55" t="str">
        <f aca="false">IF(AND('Choix pédagogiques'!$C$4&lt;&gt;"?",'Choix pédagogiques'!$C$5&lt;&gt;"?",AD117&lt;&gt;""),(AD117-'Choix pédagogiques'!$C$4)/('Choix pédagogiques'!$C$5-'Choix pédagogiques'!$C$4),"")</f>
        <v/>
      </c>
      <c r="AZ117" s="53" t="str">
        <f aca="false">IF($J117&lt;&gt;"",$J117,"")</f>
        <v/>
      </c>
      <c r="BA117" s="52" t="str">
        <f aca="false">IF($A117&lt;&gt;"",$A117,"")</f>
        <v>Apprenant 105</v>
      </c>
      <c r="BB117" s="55" t="str">
        <f aca="false">IF(AND($AR117&lt;&gt;"",$AS117&lt;&gt;""),$AS117-$AR117,"")</f>
        <v/>
      </c>
      <c r="BC117" s="55" t="str">
        <f aca="false">IF(AND($AR117&lt;&gt;"",$AT117&lt;&gt;""),$AT117-$AR117,"")</f>
        <v/>
      </c>
      <c r="BD117" s="55" t="str">
        <f aca="false">IF(AND($AS117&lt;&gt;"",$AT117&lt;&gt;""),$AT117-$AS117,"")</f>
        <v/>
      </c>
      <c r="BE117" s="53" t="str">
        <f aca="false">IF($E117&lt;&gt;"",$E117,"")</f>
        <v/>
      </c>
      <c r="BF117" s="52" t="str">
        <f aca="false">IF($F117&lt;&gt;"",$F117,"")</f>
        <v>Apprenant 105 ou 105'</v>
      </c>
      <c r="BG117" s="55" t="str">
        <f aca="false">IF(AND($AW117&lt;&gt;"",$AX117&lt;&gt;""),$AX117-$AW117,"")</f>
        <v/>
      </c>
      <c r="BH117" s="55" t="str">
        <f aca="false">IF(AND($AW117&lt;&gt;"",$AY117&lt;&gt;""),$AY117-$AW117,"")</f>
        <v/>
      </c>
      <c r="BI117" s="55" t="str">
        <f aca="false">IF(AND($AX117&lt;&gt;"",$AY117&lt;&gt;""),$AY117-$AX117,"")</f>
        <v/>
      </c>
      <c r="BJ117" s="53" t="str">
        <f aca="false">IF($J117&lt;&gt;"",$J117,"")</f>
        <v/>
      </c>
      <c r="BL117" s="52"/>
      <c r="BM117" s="52" t="str">
        <f aca="false">IF(OR(COUNT(B117:D1116)=0,AND('Choix pédagogiques'!$C$3&lt;&gt;1,'Choix pédagogiques'!$C$3&lt;&gt;2)),"",IF(AND(OR('Choix pédagogiques'!$C$3=1,'Choix pédagogiques'!$C$3=2),$B117&lt;&gt;"",$C117&lt;&gt;"",$D117&lt;&gt;""),1,0))</f>
        <v/>
      </c>
      <c r="BN117" s="52" t="str">
        <f aca="false">IF(OR(COUNT(G117:I1116)=0,AND('Choix pédagogiques'!$C$3&lt;&gt;1,'Choix pédagogiques'!$C$3&lt;&gt;2)),"",IF(AND(OR('Choix pédagogiques'!$C$3=1,'Choix pédagogiques'!$C$3=2),AND($G117&lt;&gt;"",$H117&lt;&gt;"",$I117&lt;&gt;"")),1,0))</f>
        <v/>
      </c>
      <c r="BO117" s="52" t="str">
        <f aca="false">IF(OR(COUNT(B117:D1116)=0,COUNT(G117:I1116)=0,'Choix pédagogiques'!C$3&lt;&gt;3),"",IF(AND('Choix pédagogiques'!$C$3=3,$B117&lt;&gt;"",$C117&lt;&gt;"",$D117&lt;&gt;"",$G117&lt;&gt;"",$H117&lt;&gt;"",$I117&lt;&gt;""),1,0))</f>
        <v/>
      </c>
      <c r="BR117" s="52" t="n">
        <v>571</v>
      </c>
      <c r="BS117" s="52" t="n">
        <v>1864</v>
      </c>
    </row>
    <row r="118" s="54" customFormat="true" ht="18" hidden="false" customHeight="true" outlineLevel="0" collapsed="false">
      <c r="A118" s="57" t="s">
        <v>167</v>
      </c>
      <c r="B118" s="51"/>
      <c r="C118" s="51"/>
      <c r="D118" s="51"/>
      <c r="E118" s="51"/>
      <c r="F118" s="57" t="s">
        <v>168</v>
      </c>
      <c r="G118" s="51"/>
      <c r="H118" s="51"/>
      <c r="I118" s="51"/>
      <c r="J118" s="51"/>
      <c r="K118" s="52" t="str">
        <f aca="false">IF($A118&lt;&gt;"",$A118,"")</f>
        <v>Apprenant 106</v>
      </c>
      <c r="L118" s="53" t="str">
        <f aca="false">IF(AND($B118&lt;&gt;"",$C118&lt;&gt;""),$C118-$B118,"")</f>
        <v/>
      </c>
      <c r="M118" s="53" t="str">
        <f aca="false">IF(AND($B118&lt;&gt;"",$D118&lt;&gt;""),$D118-$B118,"")</f>
        <v/>
      </c>
      <c r="N118" s="53" t="str">
        <f aca="false">IF(AND($C118&lt;&gt;"",$D118&lt;&gt;""),$D118-$C118,"")</f>
        <v/>
      </c>
      <c r="O118" s="53" t="str">
        <f aca="false">IF($E118&lt;&gt;"",$E118,"")</f>
        <v/>
      </c>
      <c r="P118" s="52" t="str">
        <f aca="false">IF($F118&lt;&gt;"",$F118,"")</f>
        <v>Apprenant 106 ou 106'</v>
      </c>
      <c r="Q118" s="53" t="str">
        <f aca="false">IF(AND($G118&lt;&gt;"",$H118&lt;&gt;""),$H118-$G118,"")</f>
        <v/>
      </c>
      <c r="R118" s="53" t="str">
        <f aca="false">IF(AND($G118&lt;&gt;"",$I118&lt;&gt;""),$I118-$G118,"")</f>
        <v/>
      </c>
      <c r="S118" s="53" t="str">
        <f aca="false">IF(AND($H118&lt;&gt;"",$I118&lt;&gt;""),$I118-$H118,"")</f>
        <v/>
      </c>
      <c r="T118" s="53" t="str">
        <f aca="false">IF($J118&lt;&gt;"",$J118,"")</f>
        <v/>
      </c>
      <c r="V118" s="52" t="str">
        <f aca="false">IF($A118&lt;&gt;"",$A118,"")</f>
        <v>Apprenant 106</v>
      </c>
      <c r="W118" s="53" t="str">
        <f aca="false">IF(AND(OR('Choix pédagogiques'!$C$3=1,'Choix pédagogiques'!$C$3=2),$BM118=1),B118,IF(AND('Choix pédagogiques'!$C$3=3,$BO118=1),B118,""))</f>
        <v/>
      </c>
      <c r="X118" s="53" t="str">
        <f aca="false">IF(AND(OR('Choix pédagogiques'!$C$3=1,'Choix pédagogiques'!$C$3=2),$BM118=1),C118,IF(AND('Choix pédagogiques'!$C$3=3,$BO118=1),C118,""))</f>
        <v/>
      </c>
      <c r="Y118" s="53" t="str">
        <f aca="false">IF(AND(OR('Choix pédagogiques'!$C$3=1,'Choix pédagogiques'!$C$3=2),$BM118=1),D118,IF(AND('Choix pédagogiques'!$C$3=3,$BO118=1),D118,""))</f>
        <v/>
      </c>
      <c r="Z118" s="53" t="str">
        <f aca="false">IF($E118&lt;&gt;"",$E118,"")</f>
        <v/>
      </c>
      <c r="AA118" s="52" t="str">
        <f aca="false">IF($F118&lt;&gt;"",$F118,"")</f>
        <v>Apprenant 106 ou 106'</v>
      </c>
      <c r="AB118" s="53" t="str">
        <f aca="false">IF(AND(OR('Choix pédagogiques'!$C$3=1,'Choix pédagogiques'!$C$3=2),$BN118=1),G118,IF(AND('Choix pédagogiques'!$C$3=3,$BO118=1),G118,""))</f>
        <v/>
      </c>
      <c r="AC118" s="53" t="str">
        <f aca="false">IF(AND(OR('Choix pédagogiques'!$C$3=1,'Choix pédagogiques'!$C$3=2),$BN118=1),H118,IF(AND('Choix pédagogiques'!$C$3=3,$BO118=1),H118,""))</f>
        <v/>
      </c>
      <c r="AD118" s="53" t="str">
        <f aca="false">IF(AND(OR('Choix pédagogiques'!$C$3=1,'Choix pédagogiques'!$C$3=2),$BN118=1),I118,IF(AND('Choix pédagogiques'!$C$3=3,$BO118=1),I118,""))</f>
        <v/>
      </c>
      <c r="AE118" s="53" t="str">
        <f aca="false">IF($J118&lt;&gt;"",$J118,"")</f>
        <v/>
      </c>
      <c r="AF118" s="52" t="str">
        <f aca="false">IF($A118&lt;&gt;"",$A118,"")</f>
        <v>Apprenant 106</v>
      </c>
      <c r="AG118" s="53" t="str">
        <f aca="false">IF(AND($W118&lt;&gt;"",$X118&lt;&gt;""),$X118-$W118,"")</f>
        <v/>
      </c>
      <c r="AH118" s="53" t="str">
        <f aca="false">IF(AND($W118&lt;&gt;"",$Y118&lt;&gt;""),$Y118-$W118,"")</f>
        <v/>
      </c>
      <c r="AI118" s="53" t="str">
        <f aca="false">IF(AND($X118&lt;&gt;"",$Y118&lt;&gt;""),$Y118-$X118,"")</f>
        <v/>
      </c>
      <c r="AJ118" s="53" t="str">
        <f aca="false">IF($E118&lt;&gt;"",$E118,"")</f>
        <v/>
      </c>
      <c r="AK118" s="52" t="str">
        <f aca="false">IF($F118&lt;&gt;"",$F118,"")</f>
        <v>Apprenant 106 ou 106'</v>
      </c>
      <c r="AL118" s="53" t="str">
        <f aca="false">IF(AND($AB118&lt;&gt;"",$AC118&lt;&gt;""),$AC118-$AB118,"")</f>
        <v/>
      </c>
      <c r="AM118" s="53" t="str">
        <f aca="false">IF(AND($AB118&lt;&gt;"",$AD118&lt;&gt;""),$AD118-$AB118,"")</f>
        <v/>
      </c>
      <c r="AN118" s="53" t="str">
        <f aca="false">IF(AND($AC118&lt;&gt;"",$AD118&lt;&gt;""),$AD118-$AC118,"")</f>
        <v/>
      </c>
      <c r="AO118" s="53" t="str">
        <f aca="false">IF($J118&lt;&gt;"",$J118,"")</f>
        <v/>
      </c>
      <c r="AQ118" s="52" t="str">
        <f aca="false">IF($A118&lt;&gt;"",$A118,"")</f>
        <v>Apprenant 106</v>
      </c>
      <c r="AR118" s="55" t="str">
        <f aca="false">IF(AND('Choix pédagogiques'!$C$4&lt;&gt;"?",'Choix pédagogiques'!$C$5&lt;&gt;"?",W118&lt;&gt;""),(W118-'Choix pédagogiques'!$C$4)/('Choix pédagogiques'!$C$5-'Choix pédagogiques'!$C$4),"")</f>
        <v/>
      </c>
      <c r="AS118" s="55" t="str">
        <f aca="false">IF(AND('Choix pédagogiques'!$C$4&lt;&gt;"?",'Choix pédagogiques'!$C$5&lt;&gt;"?",X118&lt;&gt;""),(X118-'Choix pédagogiques'!$C$4)/('Choix pédagogiques'!$C$5-'Choix pédagogiques'!$C$4),"")</f>
        <v/>
      </c>
      <c r="AT118" s="55" t="str">
        <f aca="false">IF(AND('Choix pédagogiques'!$C$4&lt;&gt;"?",'Choix pédagogiques'!$C$5&lt;&gt;"?",Y118&lt;&gt;""),(Y118-'Choix pédagogiques'!$C$4)/('Choix pédagogiques'!$C$5-'Choix pédagogiques'!$C$4),"")</f>
        <v/>
      </c>
      <c r="AU118" s="53" t="str">
        <f aca="false">IF($E118&lt;&gt;"",$E118,"")</f>
        <v/>
      </c>
      <c r="AV118" s="52" t="str">
        <f aca="false">IF($F118&lt;&gt;"",$F118,"")</f>
        <v>Apprenant 106 ou 106'</v>
      </c>
      <c r="AW118" s="55" t="str">
        <f aca="false">IF(AND('Choix pédagogiques'!$C$4&lt;&gt;"?",'Choix pédagogiques'!$C$5&lt;&gt;"?",AB118&lt;&gt;""),(AB118-'Choix pédagogiques'!$C$4)/('Choix pédagogiques'!$C$5-'Choix pédagogiques'!$C$4),"")</f>
        <v/>
      </c>
      <c r="AX118" s="55" t="str">
        <f aca="false">IF(AND('Choix pédagogiques'!$C$4&lt;&gt;"?",'Choix pédagogiques'!$C$5&lt;&gt;"?",AC118&lt;&gt;""),(AC118-'Choix pédagogiques'!$C$4)/('Choix pédagogiques'!$C$5-'Choix pédagogiques'!$C$4),"")</f>
        <v/>
      </c>
      <c r="AY118" s="55" t="str">
        <f aca="false">IF(AND('Choix pédagogiques'!$C$4&lt;&gt;"?",'Choix pédagogiques'!$C$5&lt;&gt;"?",AD118&lt;&gt;""),(AD118-'Choix pédagogiques'!$C$4)/('Choix pédagogiques'!$C$5-'Choix pédagogiques'!$C$4),"")</f>
        <v/>
      </c>
      <c r="AZ118" s="53" t="str">
        <f aca="false">IF($J118&lt;&gt;"",$J118,"")</f>
        <v/>
      </c>
      <c r="BA118" s="52" t="str">
        <f aca="false">IF($A118&lt;&gt;"",$A118,"")</f>
        <v>Apprenant 106</v>
      </c>
      <c r="BB118" s="55" t="str">
        <f aca="false">IF(AND($AR118&lt;&gt;"",$AS118&lt;&gt;""),$AS118-$AR118,"")</f>
        <v/>
      </c>
      <c r="BC118" s="55" t="str">
        <f aca="false">IF(AND($AR118&lt;&gt;"",$AT118&lt;&gt;""),$AT118-$AR118,"")</f>
        <v/>
      </c>
      <c r="BD118" s="55" t="str">
        <f aca="false">IF(AND($AS118&lt;&gt;"",$AT118&lt;&gt;""),$AT118-$AS118,"")</f>
        <v/>
      </c>
      <c r="BE118" s="53" t="str">
        <f aca="false">IF($E118&lt;&gt;"",$E118,"")</f>
        <v/>
      </c>
      <c r="BF118" s="52" t="str">
        <f aca="false">IF($F118&lt;&gt;"",$F118,"")</f>
        <v>Apprenant 106 ou 106'</v>
      </c>
      <c r="BG118" s="55" t="str">
        <f aca="false">IF(AND($AW118&lt;&gt;"",$AX118&lt;&gt;""),$AX118-$AW118,"")</f>
        <v/>
      </c>
      <c r="BH118" s="55" t="str">
        <f aca="false">IF(AND($AW118&lt;&gt;"",$AY118&lt;&gt;""),$AY118-$AW118,"")</f>
        <v/>
      </c>
      <c r="BI118" s="55" t="str">
        <f aca="false">IF(AND($AX118&lt;&gt;"",$AY118&lt;&gt;""),$AY118-$AX118,"")</f>
        <v/>
      </c>
      <c r="BJ118" s="53" t="str">
        <f aca="false">IF($J118&lt;&gt;"",$J118,"")</f>
        <v/>
      </c>
      <c r="BL118" s="52"/>
      <c r="BM118" s="52" t="str">
        <f aca="false">IF(OR(COUNT(B118:D1117)=0,AND('Choix pédagogiques'!$C$3&lt;&gt;1,'Choix pédagogiques'!$C$3&lt;&gt;2)),"",IF(AND(OR('Choix pédagogiques'!$C$3=1,'Choix pédagogiques'!$C$3=2),$B118&lt;&gt;"",$C118&lt;&gt;"",$D118&lt;&gt;""),1,0))</f>
        <v/>
      </c>
      <c r="BN118" s="52" t="str">
        <f aca="false">IF(OR(COUNT(G118:I1117)=0,AND('Choix pédagogiques'!$C$3&lt;&gt;1,'Choix pédagogiques'!$C$3&lt;&gt;2)),"",IF(AND(OR('Choix pédagogiques'!$C$3=1,'Choix pédagogiques'!$C$3=2),AND($G118&lt;&gt;"",$H118&lt;&gt;"",$I118&lt;&gt;"")),1,0))</f>
        <v/>
      </c>
      <c r="BO118" s="52" t="str">
        <f aca="false">IF(OR(COUNT(B118:D1117)=0,COUNT(G118:I1117)=0,'Choix pédagogiques'!C$3&lt;&gt;3),"",IF(AND('Choix pédagogiques'!$C$3=3,$B118&lt;&gt;"",$C118&lt;&gt;"",$D118&lt;&gt;"",$G118&lt;&gt;"",$H118&lt;&gt;"",$I118&lt;&gt;""),1,0))</f>
        <v/>
      </c>
      <c r="BR118" s="52" t="n">
        <v>102</v>
      </c>
      <c r="BS118" s="52" t="n">
        <v>1318</v>
      </c>
    </row>
    <row r="119" s="54" customFormat="true" ht="18" hidden="false" customHeight="true" outlineLevel="0" collapsed="false">
      <c r="A119" s="57" t="s">
        <v>169</v>
      </c>
      <c r="B119" s="51"/>
      <c r="C119" s="51"/>
      <c r="D119" s="51"/>
      <c r="E119" s="51"/>
      <c r="F119" s="57" t="s">
        <v>170</v>
      </c>
      <c r="G119" s="51"/>
      <c r="H119" s="51"/>
      <c r="I119" s="51"/>
      <c r="J119" s="51"/>
      <c r="K119" s="52" t="str">
        <f aca="false">IF($A119&lt;&gt;"",$A119,"")</f>
        <v>Apprenant 107</v>
      </c>
      <c r="L119" s="53" t="str">
        <f aca="false">IF(AND($B119&lt;&gt;"",$C119&lt;&gt;""),$C119-$B119,"")</f>
        <v/>
      </c>
      <c r="M119" s="53" t="str">
        <f aca="false">IF(AND($B119&lt;&gt;"",$D119&lt;&gt;""),$D119-$B119,"")</f>
        <v/>
      </c>
      <c r="N119" s="53" t="str">
        <f aca="false">IF(AND($C119&lt;&gt;"",$D119&lt;&gt;""),$D119-$C119,"")</f>
        <v/>
      </c>
      <c r="O119" s="53" t="str">
        <f aca="false">IF($E119&lt;&gt;"",$E119,"")</f>
        <v/>
      </c>
      <c r="P119" s="52" t="str">
        <f aca="false">IF($F119&lt;&gt;"",$F119,"")</f>
        <v>Apprenant 107 ou 107'</v>
      </c>
      <c r="Q119" s="53" t="str">
        <f aca="false">IF(AND($G119&lt;&gt;"",$H119&lt;&gt;""),$H119-$G119,"")</f>
        <v/>
      </c>
      <c r="R119" s="53" t="str">
        <f aca="false">IF(AND($G119&lt;&gt;"",$I119&lt;&gt;""),$I119-$G119,"")</f>
        <v/>
      </c>
      <c r="S119" s="53" t="str">
        <f aca="false">IF(AND($H119&lt;&gt;"",$I119&lt;&gt;""),$I119-$H119,"")</f>
        <v/>
      </c>
      <c r="T119" s="53" t="str">
        <f aca="false">IF($J119&lt;&gt;"",$J119,"")</f>
        <v/>
      </c>
      <c r="V119" s="52" t="str">
        <f aca="false">IF($A119&lt;&gt;"",$A119,"")</f>
        <v>Apprenant 107</v>
      </c>
      <c r="W119" s="53" t="str">
        <f aca="false">IF(AND(OR('Choix pédagogiques'!$C$3=1,'Choix pédagogiques'!$C$3=2),$BM119=1),B119,IF(AND('Choix pédagogiques'!$C$3=3,$BO119=1),B119,""))</f>
        <v/>
      </c>
      <c r="X119" s="53" t="str">
        <f aca="false">IF(AND(OR('Choix pédagogiques'!$C$3=1,'Choix pédagogiques'!$C$3=2),$BM119=1),C119,IF(AND('Choix pédagogiques'!$C$3=3,$BO119=1),C119,""))</f>
        <v/>
      </c>
      <c r="Y119" s="53" t="str">
        <f aca="false">IF(AND(OR('Choix pédagogiques'!$C$3=1,'Choix pédagogiques'!$C$3=2),$BM119=1),D119,IF(AND('Choix pédagogiques'!$C$3=3,$BO119=1),D119,""))</f>
        <v/>
      </c>
      <c r="Z119" s="53" t="str">
        <f aca="false">IF($E119&lt;&gt;"",$E119,"")</f>
        <v/>
      </c>
      <c r="AA119" s="52" t="str">
        <f aca="false">IF($F119&lt;&gt;"",$F119,"")</f>
        <v>Apprenant 107 ou 107'</v>
      </c>
      <c r="AB119" s="53" t="str">
        <f aca="false">IF(AND(OR('Choix pédagogiques'!$C$3=1,'Choix pédagogiques'!$C$3=2),$BN119=1),G119,IF(AND('Choix pédagogiques'!$C$3=3,$BO119=1),G119,""))</f>
        <v/>
      </c>
      <c r="AC119" s="53" t="str">
        <f aca="false">IF(AND(OR('Choix pédagogiques'!$C$3=1,'Choix pédagogiques'!$C$3=2),$BN119=1),H119,IF(AND('Choix pédagogiques'!$C$3=3,$BO119=1),H119,""))</f>
        <v/>
      </c>
      <c r="AD119" s="53" t="str">
        <f aca="false">IF(AND(OR('Choix pédagogiques'!$C$3=1,'Choix pédagogiques'!$C$3=2),$BN119=1),I119,IF(AND('Choix pédagogiques'!$C$3=3,$BO119=1),I119,""))</f>
        <v/>
      </c>
      <c r="AE119" s="53" t="str">
        <f aca="false">IF($J119&lt;&gt;"",$J119,"")</f>
        <v/>
      </c>
      <c r="AF119" s="52" t="str">
        <f aca="false">IF($A119&lt;&gt;"",$A119,"")</f>
        <v>Apprenant 107</v>
      </c>
      <c r="AG119" s="53" t="str">
        <f aca="false">IF(AND($W119&lt;&gt;"",$X119&lt;&gt;""),$X119-$W119,"")</f>
        <v/>
      </c>
      <c r="AH119" s="53" t="str">
        <f aca="false">IF(AND($W119&lt;&gt;"",$Y119&lt;&gt;""),$Y119-$W119,"")</f>
        <v/>
      </c>
      <c r="AI119" s="53" t="str">
        <f aca="false">IF(AND($X119&lt;&gt;"",$Y119&lt;&gt;""),$Y119-$X119,"")</f>
        <v/>
      </c>
      <c r="AJ119" s="53" t="str">
        <f aca="false">IF($E119&lt;&gt;"",$E119,"")</f>
        <v/>
      </c>
      <c r="AK119" s="52" t="str">
        <f aca="false">IF($F119&lt;&gt;"",$F119,"")</f>
        <v>Apprenant 107 ou 107'</v>
      </c>
      <c r="AL119" s="53" t="str">
        <f aca="false">IF(AND($AB119&lt;&gt;"",$AC119&lt;&gt;""),$AC119-$AB119,"")</f>
        <v/>
      </c>
      <c r="AM119" s="53" t="str">
        <f aca="false">IF(AND($AB119&lt;&gt;"",$AD119&lt;&gt;""),$AD119-$AB119,"")</f>
        <v/>
      </c>
      <c r="AN119" s="53" t="str">
        <f aca="false">IF(AND($AC119&lt;&gt;"",$AD119&lt;&gt;""),$AD119-$AC119,"")</f>
        <v/>
      </c>
      <c r="AO119" s="53" t="str">
        <f aca="false">IF($J119&lt;&gt;"",$J119,"")</f>
        <v/>
      </c>
      <c r="AQ119" s="52" t="str">
        <f aca="false">IF($A119&lt;&gt;"",$A119,"")</f>
        <v>Apprenant 107</v>
      </c>
      <c r="AR119" s="55" t="str">
        <f aca="false">IF(AND('Choix pédagogiques'!$C$4&lt;&gt;"?",'Choix pédagogiques'!$C$5&lt;&gt;"?",W119&lt;&gt;""),(W119-'Choix pédagogiques'!$C$4)/('Choix pédagogiques'!$C$5-'Choix pédagogiques'!$C$4),"")</f>
        <v/>
      </c>
      <c r="AS119" s="55" t="str">
        <f aca="false">IF(AND('Choix pédagogiques'!$C$4&lt;&gt;"?",'Choix pédagogiques'!$C$5&lt;&gt;"?",X119&lt;&gt;""),(X119-'Choix pédagogiques'!$C$4)/('Choix pédagogiques'!$C$5-'Choix pédagogiques'!$C$4),"")</f>
        <v/>
      </c>
      <c r="AT119" s="55" t="str">
        <f aca="false">IF(AND('Choix pédagogiques'!$C$4&lt;&gt;"?",'Choix pédagogiques'!$C$5&lt;&gt;"?",Y119&lt;&gt;""),(Y119-'Choix pédagogiques'!$C$4)/('Choix pédagogiques'!$C$5-'Choix pédagogiques'!$C$4),"")</f>
        <v/>
      </c>
      <c r="AU119" s="53" t="str">
        <f aca="false">IF($E119&lt;&gt;"",$E119,"")</f>
        <v/>
      </c>
      <c r="AV119" s="52" t="str">
        <f aca="false">IF($F119&lt;&gt;"",$F119,"")</f>
        <v>Apprenant 107 ou 107'</v>
      </c>
      <c r="AW119" s="55" t="str">
        <f aca="false">IF(AND('Choix pédagogiques'!$C$4&lt;&gt;"?",'Choix pédagogiques'!$C$5&lt;&gt;"?",AB119&lt;&gt;""),(AB119-'Choix pédagogiques'!$C$4)/('Choix pédagogiques'!$C$5-'Choix pédagogiques'!$C$4),"")</f>
        <v/>
      </c>
      <c r="AX119" s="55" t="str">
        <f aca="false">IF(AND('Choix pédagogiques'!$C$4&lt;&gt;"?",'Choix pédagogiques'!$C$5&lt;&gt;"?",AC119&lt;&gt;""),(AC119-'Choix pédagogiques'!$C$4)/('Choix pédagogiques'!$C$5-'Choix pédagogiques'!$C$4),"")</f>
        <v/>
      </c>
      <c r="AY119" s="55" t="str">
        <f aca="false">IF(AND('Choix pédagogiques'!$C$4&lt;&gt;"?",'Choix pédagogiques'!$C$5&lt;&gt;"?",AD119&lt;&gt;""),(AD119-'Choix pédagogiques'!$C$4)/('Choix pédagogiques'!$C$5-'Choix pédagogiques'!$C$4),"")</f>
        <v/>
      </c>
      <c r="AZ119" s="53" t="str">
        <f aca="false">IF($J119&lt;&gt;"",$J119,"")</f>
        <v/>
      </c>
      <c r="BA119" s="52" t="str">
        <f aca="false">IF($A119&lt;&gt;"",$A119,"")</f>
        <v>Apprenant 107</v>
      </c>
      <c r="BB119" s="55" t="str">
        <f aca="false">IF(AND($AR119&lt;&gt;"",$AS119&lt;&gt;""),$AS119-$AR119,"")</f>
        <v/>
      </c>
      <c r="BC119" s="55" t="str">
        <f aca="false">IF(AND($AR119&lt;&gt;"",$AT119&lt;&gt;""),$AT119-$AR119,"")</f>
        <v/>
      </c>
      <c r="BD119" s="55" t="str">
        <f aca="false">IF(AND($AS119&lt;&gt;"",$AT119&lt;&gt;""),$AT119-$AS119,"")</f>
        <v/>
      </c>
      <c r="BE119" s="53" t="str">
        <f aca="false">IF($E119&lt;&gt;"",$E119,"")</f>
        <v/>
      </c>
      <c r="BF119" s="52" t="str">
        <f aca="false">IF($F119&lt;&gt;"",$F119,"")</f>
        <v>Apprenant 107 ou 107'</v>
      </c>
      <c r="BG119" s="55" t="str">
        <f aca="false">IF(AND($AW119&lt;&gt;"",$AX119&lt;&gt;""),$AX119-$AW119,"")</f>
        <v/>
      </c>
      <c r="BH119" s="55" t="str">
        <f aca="false">IF(AND($AW119&lt;&gt;"",$AY119&lt;&gt;""),$AY119-$AW119,"")</f>
        <v/>
      </c>
      <c r="BI119" s="55" t="str">
        <f aca="false">IF(AND($AX119&lt;&gt;"",$AY119&lt;&gt;""),$AY119-$AX119,"")</f>
        <v/>
      </c>
      <c r="BJ119" s="53" t="str">
        <f aca="false">IF($J119&lt;&gt;"",$J119,"")</f>
        <v/>
      </c>
      <c r="BL119" s="52"/>
      <c r="BM119" s="52" t="str">
        <f aca="false">IF(OR(COUNT(B119:D1118)=0,AND('Choix pédagogiques'!$C$3&lt;&gt;1,'Choix pédagogiques'!$C$3&lt;&gt;2)),"",IF(AND(OR('Choix pédagogiques'!$C$3=1,'Choix pédagogiques'!$C$3=2),$B119&lt;&gt;"",$C119&lt;&gt;"",$D119&lt;&gt;""),1,0))</f>
        <v/>
      </c>
      <c r="BN119" s="52" t="str">
        <f aca="false">IF(OR(COUNT(G119:I1118)=0,AND('Choix pédagogiques'!$C$3&lt;&gt;1,'Choix pédagogiques'!$C$3&lt;&gt;2)),"",IF(AND(OR('Choix pédagogiques'!$C$3=1,'Choix pédagogiques'!$C$3=2),AND($G119&lt;&gt;"",$H119&lt;&gt;"",$I119&lt;&gt;"")),1,0))</f>
        <v/>
      </c>
      <c r="BO119" s="52" t="str">
        <f aca="false">IF(OR(COUNT(B119:D1118)=0,COUNT(G119:I1118)=0,'Choix pédagogiques'!C$3&lt;&gt;3),"",IF(AND('Choix pédagogiques'!$C$3=3,$B119&lt;&gt;"",$C119&lt;&gt;"",$D119&lt;&gt;"",$G119&lt;&gt;"",$H119&lt;&gt;"",$I119&lt;&gt;""),1,0))</f>
        <v/>
      </c>
      <c r="BR119" s="52" t="n">
        <v>860</v>
      </c>
      <c r="BS119" s="52" t="n">
        <v>1404</v>
      </c>
    </row>
    <row r="120" s="54" customFormat="true" ht="18" hidden="false" customHeight="true" outlineLevel="0" collapsed="false">
      <c r="A120" s="57" t="s">
        <v>171</v>
      </c>
      <c r="B120" s="51"/>
      <c r="C120" s="51"/>
      <c r="D120" s="51"/>
      <c r="E120" s="51"/>
      <c r="F120" s="57" t="s">
        <v>172</v>
      </c>
      <c r="G120" s="51"/>
      <c r="H120" s="51"/>
      <c r="I120" s="51"/>
      <c r="J120" s="51"/>
      <c r="K120" s="52" t="str">
        <f aca="false">IF($A120&lt;&gt;"",$A120,"")</f>
        <v>Apprenant 108</v>
      </c>
      <c r="L120" s="53" t="str">
        <f aca="false">IF(AND($B120&lt;&gt;"",$C120&lt;&gt;""),$C120-$B120,"")</f>
        <v/>
      </c>
      <c r="M120" s="53" t="str">
        <f aca="false">IF(AND($B120&lt;&gt;"",$D120&lt;&gt;""),$D120-$B120,"")</f>
        <v/>
      </c>
      <c r="N120" s="53" t="str">
        <f aca="false">IF(AND($C120&lt;&gt;"",$D120&lt;&gt;""),$D120-$C120,"")</f>
        <v/>
      </c>
      <c r="O120" s="53" t="str">
        <f aca="false">IF($E120&lt;&gt;"",$E120,"")</f>
        <v/>
      </c>
      <c r="P120" s="52" t="str">
        <f aca="false">IF($F120&lt;&gt;"",$F120,"")</f>
        <v>Apprenant 108 ou 108'</v>
      </c>
      <c r="Q120" s="53" t="str">
        <f aca="false">IF(AND($G120&lt;&gt;"",$H120&lt;&gt;""),$H120-$G120,"")</f>
        <v/>
      </c>
      <c r="R120" s="53" t="str">
        <f aca="false">IF(AND($G120&lt;&gt;"",$I120&lt;&gt;""),$I120-$G120,"")</f>
        <v/>
      </c>
      <c r="S120" s="53" t="str">
        <f aca="false">IF(AND($H120&lt;&gt;"",$I120&lt;&gt;""),$I120-$H120,"")</f>
        <v/>
      </c>
      <c r="T120" s="53" t="str">
        <f aca="false">IF($J120&lt;&gt;"",$J120,"")</f>
        <v/>
      </c>
      <c r="V120" s="52" t="str">
        <f aca="false">IF($A120&lt;&gt;"",$A120,"")</f>
        <v>Apprenant 108</v>
      </c>
      <c r="W120" s="53" t="str">
        <f aca="false">IF(AND(OR('Choix pédagogiques'!$C$3=1,'Choix pédagogiques'!$C$3=2),$BM120=1),B120,IF(AND('Choix pédagogiques'!$C$3=3,$BO120=1),B120,""))</f>
        <v/>
      </c>
      <c r="X120" s="53" t="str">
        <f aca="false">IF(AND(OR('Choix pédagogiques'!$C$3=1,'Choix pédagogiques'!$C$3=2),$BM120=1),C120,IF(AND('Choix pédagogiques'!$C$3=3,$BO120=1),C120,""))</f>
        <v/>
      </c>
      <c r="Y120" s="53" t="str">
        <f aca="false">IF(AND(OR('Choix pédagogiques'!$C$3=1,'Choix pédagogiques'!$C$3=2),$BM120=1),D120,IF(AND('Choix pédagogiques'!$C$3=3,$BO120=1),D120,""))</f>
        <v/>
      </c>
      <c r="Z120" s="53" t="str">
        <f aca="false">IF($E120&lt;&gt;"",$E120,"")</f>
        <v/>
      </c>
      <c r="AA120" s="52" t="str">
        <f aca="false">IF($F120&lt;&gt;"",$F120,"")</f>
        <v>Apprenant 108 ou 108'</v>
      </c>
      <c r="AB120" s="53" t="str">
        <f aca="false">IF(AND(OR('Choix pédagogiques'!$C$3=1,'Choix pédagogiques'!$C$3=2),$BN120=1),G120,IF(AND('Choix pédagogiques'!$C$3=3,$BO120=1),G120,""))</f>
        <v/>
      </c>
      <c r="AC120" s="53" t="str">
        <f aca="false">IF(AND(OR('Choix pédagogiques'!$C$3=1,'Choix pédagogiques'!$C$3=2),$BN120=1),H120,IF(AND('Choix pédagogiques'!$C$3=3,$BO120=1),H120,""))</f>
        <v/>
      </c>
      <c r="AD120" s="53" t="str">
        <f aca="false">IF(AND(OR('Choix pédagogiques'!$C$3=1,'Choix pédagogiques'!$C$3=2),$BN120=1),I120,IF(AND('Choix pédagogiques'!$C$3=3,$BO120=1),I120,""))</f>
        <v/>
      </c>
      <c r="AE120" s="53" t="str">
        <f aca="false">IF($J120&lt;&gt;"",$J120,"")</f>
        <v/>
      </c>
      <c r="AF120" s="52" t="str">
        <f aca="false">IF($A120&lt;&gt;"",$A120,"")</f>
        <v>Apprenant 108</v>
      </c>
      <c r="AG120" s="53" t="str">
        <f aca="false">IF(AND($W120&lt;&gt;"",$X120&lt;&gt;""),$X120-$W120,"")</f>
        <v/>
      </c>
      <c r="AH120" s="53" t="str">
        <f aca="false">IF(AND($W120&lt;&gt;"",$Y120&lt;&gt;""),$Y120-$W120,"")</f>
        <v/>
      </c>
      <c r="AI120" s="53" t="str">
        <f aca="false">IF(AND($X120&lt;&gt;"",$Y120&lt;&gt;""),$Y120-$X120,"")</f>
        <v/>
      </c>
      <c r="AJ120" s="53" t="str">
        <f aca="false">IF($E120&lt;&gt;"",$E120,"")</f>
        <v/>
      </c>
      <c r="AK120" s="52" t="str">
        <f aca="false">IF($F120&lt;&gt;"",$F120,"")</f>
        <v>Apprenant 108 ou 108'</v>
      </c>
      <c r="AL120" s="53" t="str">
        <f aca="false">IF(AND($AB120&lt;&gt;"",$AC120&lt;&gt;""),$AC120-$AB120,"")</f>
        <v/>
      </c>
      <c r="AM120" s="53" t="str">
        <f aca="false">IF(AND($AB120&lt;&gt;"",$AD120&lt;&gt;""),$AD120-$AB120,"")</f>
        <v/>
      </c>
      <c r="AN120" s="53" t="str">
        <f aca="false">IF(AND($AC120&lt;&gt;"",$AD120&lt;&gt;""),$AD120-$AC120,"")</f>
        <v/>
      </c>
      <c r="AO120" s="53" t="str">
        <f aca="false">IF($J120&lt;&gt;"",$J120,"")</f>
        <v/>
      </c>
      <c r="AQ120" s="52" t="str">
        <f aca="false">IF($A120&lt;&gt;"",$A120,"")</f>
        <v>Apprenant 108</v>
      </c>
      <c r="AR120" s="55" t="str">
        <f aca="false">IF(AND('Choix pédagogiques'!$C$4&lt;&gt;"?",'Choix pédagogiques'!$C$5&lt;&gt;"?",W120&lt;&gt;""),(W120-'Choix pédagogiques'!$C$4)/('Choix pédagogiques'!$C$5-'Choix pédagogiques'!$C$4),"")</f>
        <v/>
      </c>
      <c r="AS120" s="55" t="str">
        <f aca="false">IF(AND('Choix pédagogiques'!$C$4&lt;&gt;"?",'Choix pédagogiques'!$C$5&lt;&gt;"?",X120&lt;&gt;""),(X120-'Choix pédagogiques'!$C$4)/('Choix pédagogiques'!$C$5-'Choix pédagogiques'!$C$4),"")</f>
        <v/>
      </c>
      <c r="AT120" s="55" t="str">
        <f aca="false">IF(AND('Choix pédagogiques'!$C$4&lt;&gt;"?",'Choix pédagogiques'!$C$5&lt;&gt;"?",Y120&lt;&gt;""),(Y120-'Choix pédagogiques'!$C$4)/('Choix pédagogiques'!$C$5-'Choix pédagogiques'!$C$4),"")</f>
        <v/>
      </c>
      <c r="AU120" s="53" t="str">
        <f aca="false">IF($E120&lt;&gt;"",$E120,"")</f>
        <v/>
      </c>
      <c r="AV120" s="52" t="str">
        <f aca="false">IF($F120&lt;&gt;"",$F120,"")</f>
        <v>Apprenant 108 ou 108'</v>
      </c>
      <c r="AW120" s="55" t="str">
        <f aca="false">IF(AND('Choix pédagogiques'!$C$4&lt;&gt;"?",'Choix pédagogiques'!$C$5&lt;&gt;"?",AB120&lt;&gt;""),(AB120-'Choix pédagogiques'!$C$4)/('Choix pédagogiques'!$C$5-'Choix pédagogiques'!$C$4),"")</f>
        <v/>
      </c>
      <c r="AX120" s="55" t="str">
        <f aca="false">IF(AND('Choix pédagogiques'!$C$4&lt;&gt;"?",'Choix pédagogiques'!$C$5&lt;&gt;"?",AC120&lt;&gt;""),(AC120-'Choix pédagogiques'!$C$4)/('Choix pédagogiques'!$C$5-'Choix pédagogiques'!$C$4),"")</f>
        <v/>
      </c>
      <c r="AY120" s="55" t="str">
        <f aca="false">IF(AND('Choix pédagogiques'!$C$4&lt;&gt;"?",'Choix pédagogiques'!$C$5&lt;&gt;"?",AD120&lt;&gt;""),(AD120-'Choix pédagogiques'!$C$4)/('Choix pédagogiques'!$C$5-'Choix pédagogiques'!$C$4),"")</f>
        <v/>
      </c>
      <c r="AZ120" s="53" t="str">
        <f aca="false">IF($J120&lt;&gt;"",$J120,"")</f>
        <v/>
      </c>
      <c r="BA120" s="52" t="str">
        <f aca="false">IF($A120&lt;&gt;"",$A120,"")</f>
        <v>Apprenant 108</v>
      </c>
      <c r="BB120" s="55" t="str">
        <f aca="false">IF(AND($AR120&lt;&gt;"",$AS120&lt;&gt;""),$AS120-$AR120,"")</f>
        <v/>
      </c>
      <c r="BC120" s="55" t="str">
        <f aca="false">IF(AND($AR120&lt;&gt;"",$AT120&lt;&gt;""),$AT120-$AR120,"")</f>
        <v/>
      </c>
      <c r="BD120" s="55" t="str">
        <f aca="false">IF(AND($AS120&lt;&gt;"",$AT120&lt;&gt;""),$AT120-$AS120,"")</f>
        <v/>
      </c>
      <c r="BE120" s="53" t="str">
        <f aca="false">IF($E120&lt;&gt;"",$E120,"")</f>
        <v/>
      </c>
      <c r="BF120" s="52" t="str">
        <f aca="false">IF($F120&lt;&gt;"",$F120,"")</f>
        <v>Apprenant 108 ou 108'</v>
      </c>
      <c r="BG120" s="55" t="str">
        <f aca="false">IF(AND($AW120&lt;&gt;"",$AX120&lt;&gt;""),$AX120-$AW120,"")</f>
        <v/>
      </c>
      <c r="BH120" s="55" t="str">
        <f aca="false">IF(AND($AW120&lt;&gt;"",$AY120&lt;&gt;""),$AY120-$AW120,"")</f>
        <v/>
      </c>
      <c r="BI120" s="55" t="str">
        <f aca="false">IF(AND($AX120&lt;&gt;"",$AY120&lt;&gt;""),$AY120-$AX120,"")</f>
        <v/>
      </c>
      <c r="BJ120" s="53" t="str">
        <f aca="false">IF($J120&lt;&gt;"",$J120,"")</f>
        <v/>
      </c>
      <c r="BL120" s="52"/>
      <c r="BM120" s="52" t="str">
        <f aca="false">IF(OR(COUNT(B120:D1119)=0,AND('Choix pédagogiques'!$C$3&lt;&gt;1,'Choix pédagogiques'!$C$3&lt;&gt;2)),"",IF(AND(OR('Choix pédagogiques'!$C$3=1,'Choix pédagogiques'!$C$3=2),$B120&lt;&gt;"",$C120&lt;&gt;"",$D120&lt;&gt;""),1,0))</f>
        <v/>
      </c>
      <c r="BN120" s="52" t="str">
        <f aca="false">IF(OR(COUNT(G120:I1119)=0,AND('Choix pédagogiques'!$C$3&lt;&gt;1,'Choix pédagogiques'!$C$3&lt;&gt;2)),"",IF(AND(OR('Choix pédagogiques'!$C$3=1,'Choix pédagogiques'!$C$3=2),AND($G120&lt;&gt;"",$H120&lt;&gt;"",$I120&lt;&gt;"")),1,0))</f>
        <v/>
      </c>
      <c r="BO120" s="52" t="str">
        <f aca="false">IF(OR(COUNT(B120:D1119)=0,COUNT(G120:I1119)=0,'Choix pédagogiques'!C$3&lt;&gt;3),"",IF(AND('Choix pédagogiques'!$C$3=3,$B120&lt;&gt;"",$C120&lt;&gt;"",$D120&lt;&gt;"",$G120&lt;&gt;"",$H120&lt;&gt;"",$I120&lt;&gt;""),1,0))</f>
        <v/>
      </c>
      <c r="BR120" s="52" t="n">
        <v>632</v>
      </c>
      <c r="BS120" s="52" t="n">
        <v>1942</v>
      </c>
    </row>
    <row r="121" s="54" customFormat="true" ht="18" hidden="false" customHeight="true" outlineLevel="0" collapsed="false">
      <c r="A121" s="57" t="s">
        <v>173</v>
      </c>
      <c r="B121" s="51"/>
      <c r="C121" s="51"/>
      <c r="D121" s="51"/>
      <c r="E121" s="51"/>
      <c r="F121" s="57" t="s">
        <v>174</v>
      </c>
      <c r="G121" s="51"/>
      <c r="H121" s="51"/>
      <c r="I121" s="51"/>
      <c r="J121" s="51"/>
      <c r="K121" s="52" t="str">
        <f aca="false">IF($A121&lt;&gt;"",$A121,"")</f>
        <v>Apprenant 109</v>
      </c>
      <c r="L121" s="53" t="str">
        <f aca="false">IF(AND($B121&lt;&gt;"",$C121&lt;&gt;""),$C121-$B121,"")</f>
        <v/>
      </c>
      <c r="M121" s="53" t="str">
        <f aca="false">IF(AND($B121&lt;&gt;"",$D121&lt;&gt;""),$D121-$B121,"")</f>
        <v/>
      </c>
      <c r="N121" s="53" t="str">
        <f aca="false">IF(AND($C121&lt;&gt;"",$D121&lt;&gt;""),$D121-$C121,"")</f>
        <v/>
      </c>
      <c r="O121" s="53" t="str">
        <f aca="false">IF($E121&lt;&gt;"",$E121,"")</f>
        <v/>
      </c>
      <c r="P121" s="52" t="str">
        <f aca="false">IF($F121&lt;&gt;"",$F121,"")</f>
        <v>Apprenant 109 ou 109'</v>
      </c>
      <c r="Q121" s="53" t="str">
        <f aca="false">IF(AND($G121&lt;&gt;"",$H121&lt;&gt;""),$H121-$G121,"")</f>
        <v/>
      </c>
      <c r="R121" s="53" t="str">
        <f aca="false">IF(AND($G121&lt;&gt;"",$I121&lt;&gt;""),$I121-$G121,"")</f>
        <v/>
      </c>
      <c r="S121" s="53" t="str">
        <f aca="false">IF(AND($H121&lt;&gt;"",$I121&lt;&gt;""),$I121-$H121,"")</f>
        <v/>
      </c>
      <c r="T121" s="53" t="str">
        <f aca="false">IF($J121&lt;&gt;"",$J121,"")</f>
        <v/>
      </c>
      <c r="V121" s="52" t="str">
        <f aca="false">IF($A121&lt;&gt;"",$A121,"")</f>
        <v>Apprenant 109</v>
      </c>
      <c r="W121" s="53" t="str">
        <f aca="false">IF(AND(OR('Choix pédagogiques'!$C$3=1,'Choix pédagogiques'!$C$3=2),$BM121=1),B121,IF(AND('Choix pédagogiques'!$C$3=3,$BO121=1),B121,""))</f>
        <v/>
      </c>
      <c r="X121" s="53" t="str">
        <f aca="false">IF(AND(OR('Choix pédagogiques'!$C$3=1,'Choix pédagogiques'!$C$3=2),$BM121=1),C121,IF(AND('Choix pédagogiques'!$C$3=3,$BO121=1),C121,""))</f>
        <v/>
      </c>
      <c r="Y121" s="53" t="str">
        <f aca="false">IF(AND(OR('Choix pédagogiques'!$C$3=1,'Choix pédagogiques'!$C$3=2),$BM121=1),D121,IF(AND('Choix pédagogiques'!$C$3=3,$BO121=1),D121,""))</f>
        <v/>
      </c>
      <c r="Z121" s="53" t="str">
        <f aca="false">IF($E121&lt;&gt;"",$E121,"")</f>
        <v/>
      </c>
      <c r="AA121" s="52" t="str">
        <f aca="false">IF($F121&lt;&gt;"",$F121,"")</f>
        <v>Apprenant 109 ou 109'</v>
      </c>
      <c r="AB121" s="53" t="str">
        <f aca="false">IF(AND(OR('Choix pédagogiques'!$C$3=1,'Choix pédagogiques'!$C$3=2),$BN121=1),G121,IF(AND('Choix pédagogiques'!$C$3=3,$BO121=1),G121,""))</f>
        <v/>
      </c>
      <c r="AC121" s="53" t="str">
        <f aca="false">IF(AND(OR('Choix pédagogiques'!$C$3=1,'Choix pédagogiques'!$C$3=2),$BN121=1),H121,IF(AND('Choix pédagogiques'!$C$3=3,$BO121=1),H121,""))</f>
        <v/>
      </c>
      <c r="AD121" s="53" t="str">
        <f aca="false">IF(AND(OR('Choix pédagogiques'!$C$3=1,'Choix pédagogiques'!$C$3=2),$BN121=1),I121,IF(AND('Choix pédagogiques'!$C$3=3,$BO121=1),I121,""))</f>
        <v/>
      </c>
      <c r="AE121" s="53" t="str">
        <f aca="false">IF($J121&lt;&gt;"",$J121,"")</f>
        <v/>
      </c>
      <c r="AF121" s="52" t="str">
        <f aca="false">IF($A121&lt;&gt;"",$A121,"")</f>
        <v>Apprenant 109</v>
      </c>
      <c r="AG121" s="53" t="str">
        <f aca="false">IF(AND($W121&lt;&gt;"",$X121&lt;&gt;""),$X121-$W121,"")</f>
        <v/>
      </c>
      <c r="AH121" s="53" t="str">
        <f aca="false">IF(AND($W121&lt;&gt;"",$Y121&lt;&gt;""),$Y121-$W121,"")</f>
        <v/>
      </c>
      <c r="AI121" s="53" t="str">
        <f aca="false">IF(AND($X121&lt;&gt;"",$Y121&lt;&gt;""),$Y121-$X121,"")</f>
        <v/>
      </c>
      <c r="AJ121" s="53" t="str">
        <f aca="false">IF($E121&lt;&gt;"",$E121,"")</f>
        <v/>
      </c>
      <c r="AK121" s="52" t="str">
        <f aca="false">IF($F121&lt;&gt;"",$F121,"")</f>
        <v>Apprenant 109 ou 109'</v>
      </c>
      <c r="AL121" s="53" t="str">
        <f aca="false">IF(AND($AB121&lt;&gt;"",$AC121&lt;&gt;""),$AC121-$AB121,"")</f>
        <v/>
      </c>
      <c r="AM121" s="53" t="str">
        <f aca="false">IF(AND($AB121&lt;&gt;"",$AD121&lt;&gt;""),$AD121-$AB121,"")</f>
        <v/>
      </c>
      <c r="AN121" s="53" t="str">
        <f aca="false">IF(AND($AC121&lt;&gt;"",$AD121&lt;&gt;""),$AD121-$AC121,"")</f>
        <v/>
      </c>
      <c r="AO121" s="53" t="str">
        <f aca="false">IF($J121&lt;&gt;"",$J121,"")</f>
        <v/>
      </c>
      <c r="AQ121" s="52" t="str">
        <f aca="false">IF($A121&lt;&gt;"",$A121,"")</f>
        <v>Apprenant 109</v>
      </c>
      <c r="AR121" s="55" t="str">
        <f aca="false">IF(AND('Choix pédagogiques'!$C$4&lt;&gt;"?",'Choix pédagogiques'!$C$5&lt;&gt;"?",W121&lt;&gt;""),(W121-'Choix pédagogiques'!$C$4)/('Choix pédagogiques'!$C$5-'Choix pédagogiques'!$C$4),"")</f>
        <v/>
      </c>
      <c r="AS121" s="55" t="str">
        <f aca="false">IF(AND('Choix pédagogiques'!$C$4&lt;&gt;"?",'Choix pédagogiques'!$C$5&lt;&gt;"?",X121&lt;&gt;""),(X121-'Choix pédagogiques'!$C$4)/('Choix pédagogiques'!$C$5-'Choix pédagogiques'!$C$4),"")</f>
        <v/>
      </c>
      <c r="AT121" s="55" t="str">
        <f aca="false">IF(AND('Choix pédagogiques'!$C$4&lt;&gt;"?",'Choix pédagogiques'!$C$5&lt;&gt;"?",Y121&lt;&gt;""),(Y121-'Choix pédagogiques'!$C$4)/('Choix pédagogiques'!$C$5-'Choix pédagogiques'!$C$4),"")</f>
        <v/>
      </c>
      <c r="AU121" s="53" t="str">
        <f aca="false">IF($E121&lt;&gt;"",$E121,"")</f>
        <v/>
      </c>
      <c r="AV121" s="52" t="str">
        <f aca="false">IF($F121&lt;&gt;"",$F121,"")</f>
        <v>Apprenant 109 ou 109'</v>
      </c>
      <c r="AW121" s="55" t="str">
        <f aca="false">IF(AND('Choix pédagogiques'!$C$4&lt;&gt;"?",'Choix pédagogiques'!$C$5&lt;&gt;"?",AB121&lt;&gt;""),(AB121-'Choix pédagogiques'!$C$4)/('Choix pédagogiques'!$C$5-'Choix pédagogiques'!$C$4),"")</f>
        <v/>
      </c>
      <c r="AX121" s="55" t="str">
        <f aca="false">IF(AND('Choix pédagogiques'!$C$4&lt;&gt;"?",'Choix pédagogiques'!$C$5&lt;&gt;"?",AC121&lt;&gt;""),(AC121-'Choix pédagogiques'!$C$4)/('Choix pédagogiques'!$C$5-'Choix pédagogiques'!$C$4),"")</f>
        <v/>
      </c>
      <c r="AY121" s="55" t="str">
        <f aca="false">IF(AND('Choix pédagogiques'!$C$4&lt;&gt;"?",'Choix pédagogiques'!$C$5&lt;&gt;"?",AD121&lt;&gt;""),(AD121-'Choix pédagogiques'!$C$4)/('Choix pédagogiques'!$C$5-'Choix pédagogiques'!$C$4),"")</f>
        <v/>
      </c>
      <c r="AZ121" s="53" t="str">
        <f aca="false">IF($J121&lt;&gt;"",$J121,"")</f>
        <v/>
      </c>
      <c r="BA121" s="52" t="str">
        <f aca="false">IF($A121&lt;&gt;"",$A121,"")</f>
        <v>Apprenant 109</v>
      </c>
      <c r="BB121" s="55" t="str">
        <f aca="false">IF(AND($AR121&lt;&gt;"",$AS121&lt;&gt;""),$AS121-$AR121,"")</f>
        <v/>
      </c>
      <c r="BC121" s="55" t="str">
        <f aca="false">IF(AND($AR121&lt;&gt;"",$AT121&lt;&gt;""),$AT121-$AR121,"")</f>
        <v/>
      </c>
      <c r="BD121" s="55" t="str">
        <f aca="false">IF(AND($AS121&lt;&gt;"",$AT121&lt;&gt;""),$AT121-$AS121,"")</f>
        <v/>
      </c>
      <c r="BE121" s="53" t="str">
        <f aca="false">IF($E121&lt;&gt;"",$E121,"")</f>
        <v/>
      </c>
      <c r="BF121" s="52" t="str">
        <f aca="false">IF($F121&lt;&gt;"",$F121,"")</f>
        <v>Apprenant 109 ou 109'</v>
      </c>
      <c r="BG121" s="55" t="str">
        <f aca="false">IF(AND($AW121&lt;&gt;"",$AX121&lt;&gt;""),$AX121-$AW121,"")</f>
        <v/>
      </c>
      <c r="BH121" s="55" t="str">
        <f aca="false">IF(AND($AW121&lt;&gt;"",$AY121&lt;&gt;""),$AY121-$AW121,"")</f>
        <v/>
      </c>
      <c r="BI121" s="55" t="str">
        <f aca="false">IF(AND($AX121&lt;&gt;"",$AY121&lt;&gt;""),$AY121-$AX121,"")</f>
        <v/>
      </c>
      <c r="BJ121" s="53" t="str">
        <f aca="false">IF($J121&lt;&gt;"",$J121,"")</f>
        <v/>
      </c>
      <c r="BL121" s="52"/>
      <c r="BM121" s="52" t="str">
        <f aca="false">IF(OR(COUNT(B121:D1120)=0,AND('Choix pédagogiques'!$C$3&lt;&gt;1,'Choix pédagogiques'!$C$3&lt;&gt;2)),"",IF(AND(OR('Choix pédagogiques'!$C$3=1,'Choix pédagogiques'!$C$3=2),$B121&lt;&gt;"",$C121&lt;&gt;"",$D121&lt;&gt;""),1,0))</f>
        <v/>
      </c>
      <c r="BN121" s="52" t="str">
        <f aca="false">IF(OR(COUNT(G121:I1120)=0,AND('Choix pédagogiques'!$C$3&lt;&gt;1,'Choix pédagogiques'!$C$3&lt;&gt;2)),"",IF(AND(OR('Choix pédagogiques'!$C$3=1,'Choix pédagogiques'!$C$3=2),AND($G121&lt;&gt;"",$H121&lt;&gt;"",$I121&lt;&gt;"")),1,0))</f>
        <v/>
      </c>
      <c r="BO121" s="52" t="str">
        <f aca="false">IF(OR(COUNT(B121:D1120)=0,COUNT(G121:I1120)=0,'Choix pédagogiques'!C$3&lt;&gt;3),"",IF(AND('Choix pédagogiques'!$C$3=3,$B121&lt;&gt;"",$C121&lt;&gt;"",$D121&lt;&gt;"",$G121&lt;&gt;"",$H121&lt;&gt;"",$I121&lt;&gt;""),1,0))</f>
        <v/>
      </c>
      <c r="BR121" s="52" t="n">
        <v>546</v>
      </c>
      <c r="BS121" s="52" t="n">
        <v>1410</v>
      </c>
    </row>
    <row r="122" s="54" customFormat="true" ht="18" hidden="false" customHeight="true" outlineLevel="0" collapsed="false">
      <c r="A122" s="57" t="s">
        <v>175</v>
      </c>
      <c r="B122" s="51"/>
      <c r="C122" s="51"/>
      <c r="D122" s="51"/>
      <c r="E122" s="51"/>
      <c r="F122" s="57" t="s">
        <v>176</v>
      </c>
      <c r="G122" s="51"/>
      <c r="H122" s="51"/>
      <c r="I122" s="51"/>
      <c r="J122" s="51"/>
      <c r="K122" s="52" t="str">
        <f aca="false">IF($A122&lt;&gt;"",$A122,"")</f>
        <v>Apprenant 110</v>
      </c>
      <c r="L122" s="53" t="str">
        <f aca="false">IF(AND($B122&lt;&gt;"",$C122&lt;&gt;""),$C122-$B122,"")</f>
        <v/>
      </c>
      <c r="M122" s="53" t="str">
        <f aca="false">IF(AND($B122&lt;&gt;"",$D122&lt;&gt;""),$D122-$B122,"")</f>
        <v/>
      </c>
      <c r="N122" s="53" t="str">
        <f aca="false">IF(AND($C122&lt;&gt;"",$D122&lt;&gt;""),$D122-$C122,"")</f>
        <v/>
      </c>
      <c r="O122" s="53" t="str">
        <f aca="false">IF($E122&lt;&gt;"",$E122,"")</f>
        <v/>
      </c>
      <c r="P122" s="52" t="str">
        <f aca="false">IF($F122&lt;&gt;"",$F122,"")</f>
        <v>Apprenant 110 ou 110'</v>
      </c>
      <c r="Q122" s="53" t="str">
        <f aca="false">IF(AND($G122&lt;&gt;"",$H122&lt;&gt;""),$H122-$G122,"")</f>
        <v/>
      </c>
      <c r="R122" s="53" t="str">
        <f aca="false">IF(AND($G122&lt;&gt;"",$I122&lt;&gt;""),$I122-$G122,"")</f>
        <v/>
      </c>
      <c r="S122" s="53" t="str">
        <f aca="false">IF(AND($H122&lt;&gt;"",$I122&lt;&gt;""),$I122-$H122,"")</f>
        <v/>
      </c>
      <c r="T122" s="53" t="str">
        <f aca="false">IF($J122&lt;&gt;"",$J122,"")</f>
        <v/>
      </c>
      <c r="V122" s="52" t="str">
        <f aca="false">IF($A122&lt;&gt;"",$A122,"")</f>
        <v>Apprenant 110</v>
      </c>
      <c r="W122" s="53" t="str">
        <f aca="false">IF(AND(OR('Choix pédagogiques'!$C$3=1,'Choix pédagogiques'!$C$3=2),$BM122=1),B122,IF(AND('Choix pédagogiques'!$C$3=3,$BO122=1),B122,""))</f>
        <v/>
      </c>
      <c r="X122" s="53" t="str">
        <f aca="false">IF(AND(OR('Choix pédagogiques'!$C$3=1,'Choix pédagogiques'!$C$3=2),$BM122=1),C122,IF(AND('Choix pédagogiques'!$C$3=3,$BO122=1),C122,""))</f>
        <v/>
      </c>
      <c r="Y122" s="53" t="str">
        <f aca="false">IF(AND(OR('Choix pédagogiques'!$C$3=1,'Choix pédagogiques'!$C$3=2),$BM122=1),D122,IF(AND('Choix pédagogiques'!$C$3=3,$BO122=1),D122,""))</f>
        <v/>
      </c>
      <c r="Z122" s="53" t="str">
        <f aca="false">IF($E122&lt;&gt;"",$E122,"")</f>
        <v/>
      </c>
      <c r="AA122" s="52" t="str">
        <f aca="false">IF($F122&lt;&gt;"",$F122,"")</f>
        <v>Apprenant 110 ou 110'</v>
      </c>
      <c r="AB122" s="53" t="str">
        <f aca="false">IF(AND(OR('Choix pédagogiques'!$C$3=1,'Choix pédagogiques'!$C$3=2),$BN122=1),G122,IF(AND('Choix pédagogiques'!$C$3=3,$BO122=1),G122,""))</f>
        <v/>
      </c>
      <c r="AC122" s="53" t="str">
        <f aca="false">IF(AND(OR('Choix pédagogiques'!$C$3=1,'Choix pédagogiques'!$C$3=2),$BN122=1),H122,IF(AND('Choix pédagogiques'!$C$3=3,$BO122=1),H122,""))</f>
        <v/>
      </c>
      <c r="AD122" s="53" t="str">
        <f aca="false">IF(AND(OR('Choix pédagogiques'!$C$3=1,'Choix pédagogiques'!$C$3=2),$BN122=1),I122,IF(AND('Choix pédagogiques'!$C$3=3,$BO122=1),I122,""))</f>
        <v/>
      </c>
      <c r="AE122" s="53" t="str">
        <f aca="false">IF($J122&lt;&gt;"",$J122,"")</f>
        <v/>
      </c>
      <c r="AF122" s="52" t="str">
        <f aca="false">IF($A122&lt;&gt;"",$A122,"")</f>
        <v>Apprenant 110</v>
      </c>
      <c r="AG122" s="53" t="str">
        <f aca="false">IF(AND($W122&lt;&gt;"",$X122&lt;&gt;""),$X122-$W122,"")</f>
        <v/>
      </c>
      <c r="AH122" s="53" t="str">
        <f aca="false">IF(AND($W122&lt;&gt;"",$Y122&lt;&gt;""),$Y122-$W122,"")</f>
        <v/>
      </c>
      <c r="AI122" s="53" t="str">
        <f aca="false">IF(AND($X122&lt;&gt;"",$Y122&lt;&gt;""),$Y122-$X122,"")</f>
        <v/>
      </c>
      <c r="AJ122" s="53" t="str">
        <f aca="false">IF($E122&lt;&gt;"",$E122,"")</f>
        <v/>
      </c>
      <c r="AK122" s="52" t="str">
        <f aca="false">IF($F122&lt;&gt;"",$F122,"")</f>
        <v>Apprenant 110 ou 110'</v>
      </c>
      <c r="AL122" s="53" t="str">
        <f aca="false">IF(AND($AB122&lt;&gt;"",$AC122&lt;&gt;""),$AC122-$AB122,"")</f>
        <v/>
      </c>
      <c r="AM122" s="53" t="str">
        <f aca="false">IF(AND($AB122&lt;&gt;"",$AD122&lt;&gt;""),$AD122-$AB122,"")</f>
        <v/>
      </c>
      <c r="AN122" s="53" t="str">
        <f aca="false">IF(AND($AC122&lt;&gt;"",$AD122&lt;&gt;""),$AD122-$AC122,"")</f>
        <v/>
      </c>
      <c r="AO122" s="53" t="str">
        <f aca="false">IF($J122&lt;&gt;"",$J122,"")</f>
        <v/>
      </c>
      <c r="AQ122" s="52" t="str">
        <f aca="false">IF($A122&lt;&gt;"",$A122,"")</f>
        <v>Apprenant 110</v>
      </c>
      <c r="AR122" s="55" t="str">
        <f aca="false">IF(AND('Choix pédagogiques'!$C$4&lt;&gt;"?",'Choix pédagogiques'!$C$5&lt;&gt;"?",W122&lt;&gt;""),(W122-'Choix pédagogiques'!$C$4)/('Choix pédagogiques'!$C$5-'Choix pédagogiques'!$C$4),"")</f>
        <v/>
      </c>
      <c r="AS122" s="55" t="str">
        <f aca="false">IF(AND('Choix pédagogiques'!$C$4&lt;&gt;"?",'Choix pédagogiques'!$C$5&lt;&gt;"?",X122&lt;&gt;""),(X122-'Choix pédagogiques'!$C$4)/('Choix pédagogiques'!$C$5-'Choix pédagogiques'!$C$4),"")</f>
        <v/>
      </c>
      <c r="AT122" s="55" t="str">
        <f aca="false">IF(AND('Choix pédagogiques'!$C$4&lt;&gt;"?",'Choix pédagogiques'!$C$5&lt;&gt;"?",Y122&lt;&gt;""),(Y122-'Choix pédagogiques'!$C$4)/('Choix pédagogiques'!$C$5-'Choix pédagogiques'!$C$4),"")</f>
        <v/>
      </c>
      <c r="AU122" s="53" t="str">
        <f aca="false">IF($E122&lt;&gt;"",$E122,"")</f>
        <v/>
      </c>
      <c r="AV122" s="52" t="str">
        <f aca="false">IF($F122&lt;&gt;"",$F122,"")</f>
        <v>Apprenant 110 ou 110'</v>
      </c>
      <c r="AW122" s="55" t="str">
        <f aca="false">IF(AND('Choix pédagogiques'!$C$4&lt;&gt;"?",'Choix pédagogiques'!$C$5&lt;&gt;"?",AB122&lt;&gt;""),(AB122-'Choix pédagogiques'!$C$4)/('Choix pédagogiques'!$C$5-'Choix pédagogiques'!$C$4),"")</f>
        <v/>
      </c>
      <c r="AX122" s="55" t="str">
        <f aca="false">IF(AND('Choix pédagogiques'!$C$4&lt;&gt;"?",'Choix pédagogiques'!$C$5&lt;&gt;"?",AC122&lt;&gt;""),(AC122-'Choix pédagogiques'!$C$4)/('Choix pédagogiques'!$C$5-'Choix pédagogiques'!$C$4),"")</f>
        <v/>
      </c>
      <c r="AY122" s="55" t="str">
        <f aca="false">IF(AND('Choix pédagogiques'!$C$4&lt;&gt;"?",'Choix pédagogiques'!$C$5&lt;&gt;"?",AD122&lt;&gt;""),(AD122-'Choix pédagogiques'!$C$4)/('Choix pédagogiques'!$C$5-'Choix pédagogiques'!$C$4),"")</f>
        <v/>
      </c>
      <c r="AZ122" s="53" t="str">
        <f aca="false">IF($J122&lt;&gt;"",$J122,"")</f>
        <v/>
      </c>
      <c r="BA122" s="52" t="str">
        <f aca="false">IF($A122&lt;&gt;"",$A122,"")</f>
        <v>Apprenant 110</v>
      </c>
      <c r="BB122" s="55" t="str">
        <f aca="false">IF(AND($AR122&lt;&gt;"",$AS122&lt;&gt;""),$AS122-$AR122,"")</f>
        <v/>
      </c>
      <c r="BC122" s="55" t="str">
        <f aca="false">IF(AND($AR122&lt;&gt;"",$AT122&lt;&gt;""),$AT122-$AR122,"")</f>
        <v/>
      </c>
      <c r="BD122" s="55" t="str">
        <f aca="false">IF(AND($AS122&lt;&gt;"",$AT122&lt;&gt;""),$AT122-$AS122,"")</f>
        <v/>
      </c>
      <c r="BE122" s="53" t="str">
        <f aca="false">IF($E122&lt;&gt;"",$E122,"")</f>
        <v/>
      </c>
      <c r="BF122" s="52" t="str">
        <f aca="false">IF($F122&lt;&gt;"",$F122,"")</f>
        <v>Apprenant 110 ou 110'</v>
      </c>
      <c r="BG122" s="55" t="str">
        <f aca="false">IF(AND($AW122&lt;&gt;"",$AX122&lt;&gt;""),$AX122-$AW122,"")</f>
        <v/>
      </c>
      <c r="BH122" s="55" t="str">
        <f aca="false">IF(AND($AW122&lt;&gt;"",$AY122&lt;&gt;""),$AY122-$AW122,"")</f>
        <v/>
      </c>
      <c r="BI122" s="55" t="str">
        <f aca="false">IF(AND($AX122&lt;&gt;"",$AY122&lt;&gt;""),$AY122-$AX122,"")</f>
        <v/>
      </c>
      <c r="BJ122" s="53" t="str">
        <f aca="false">IF($J122&lt;&gt;"",$J122,"")</f>
        <v/>
      </c>
      <c r="BL122" s="52"/>
      <c r="BM122" s="52" t="str">
        <f aca="false">IF(OR(COUNT(B122:D1121)=0,AND('Choix pédagogiques'!$C$3&lt;&gt;1,'Choix pédagogiques'!$C$3&lt;&gt;2)),"",IF(AND(OR('Choix pédagogiques'!$C$3=1,'Choix pédagogiques'!$C$3=2),$B122&lt;&gt;"",$C122&lt;&gt;"",$D122&lt;&gt;""),1,0))</f>
        <v/>
      </c>
      <c r="BN122" s="52" t="str">
        <f aca="false">IF(OR(COUNT(G122:I1121)=0,AND('Choix pédagogiques'!$C$3&lt;&gt;1,'Choix pédagogiques'!$C$3&lt;&gt;2)),"",IF(AND(OR('Choix pédagogiques'!$C$3=1,'Choix pédagogiques'!$C$3=2),AND($G122&lt;&gt;"",$H122&lt;&gt;"",$I122&lt;&gt;"")),1,0))</f>
        <v/>
      </c>
      <c r="BO122" s="52" t="str">
        <f aca="false">IF(OR(COUNT(B122:D1121)=0,COUNT(G122:I1121)=0,'Choix pédagogiques'!C$3&lt;&gt;3),"",IF(AND('Choix pédagogiques'!$C$3=3,$B122&lt;&gt;"",$C122&lt;&gt;"",$D122&lt;&gt;"",$G122&lt;&gt;"",$H122&lt;&gt;"",$I122&lt;&gt;""),1,0))</f>
        <v/>
      </c>
      <c r="BR122" s="52" t="n">
        <v>760</v>
      </c>
      <c r="BS122" s="52" t="n">
        <v>1937</v>
      </c>
    </row>
    <row r="123" s="54" customFormat="true" ht="18" hidden="false" customHeight="true" outlineLevel="0" collapsed="false">
      <c r="A123" s="57" t="s">
        <v>177</v>
      </c>
      <c r="B123" s="51"/>
      <c r="C123" s="51"/>
      <c r="D123" s="51"/>
      <c r="E123" s="51"/>
      <c r="F123" s="57" t="s">
        <v>178</v>
      </c>
      <c r="G123" s="51"/>
      <c r="H123" s="51"/>
      <c r="I123" s="51"/>
      <c r="J123" s="51"/>
      <c r="K123" s="52" t="str">
        <f aca="false">IF($A123&lt;&gt;"",$A123,"")</f>
        <v>Apprenant 111</v>
      </c>
      <c r="L123" s="53" t="str">
        <f aca="false">IF(AND($B123&lt;&gt;"",$C123&lt;&gt;""),$C123-$B123,"")</f>
        <v/>
      </c>
      <c r="M123" s="53" t="str">
        <f aca="false">IF(AND($B123&lt;&gt;"",$D123&lt;&gt;""),$D123-$B123,"")</f>
        <v/>
      </c>
      <c r="N123" s="53" t="str">
        <f aca="false">IF(AND($C123&lt;&gt;"",$D123&lt;&gt;""),$D123-$C123,"")</f>
        <v/>
      </c>
      <c r="O123" s="53" t="str">
        <f aca="false">IF($E123&lt;&gt;"",$E123,"")</f>
        <v/>
      </c>
      <c r="P123" s="52" t="str">
        <f aca="false">IF($F123&lt;&gt;"",$F123,"")</f>
        <v>Apprenant 111 ou 111'</v>
      </c>
      <c r="Q123" s="53" t="str">
        <f aca="false">IF(AND($G123&lt;&gt;"",$H123&lt;&gt;""),$H123-$G123,"")</f>
        <v/>
      </c>
      <c r="R123" s="53" t="str">
        <f aca="false">IF(AND($G123&lt;&gt;"",$I123&lt;&gt;""),$I123-$G123,"")</f>
        <v/>
      </c>
      <c r="S123" s="53" t="str">
        <f aca="false">IF(AND($H123&lt;&gt;"",$I123&lt;&gt;""),$I123-$H123,"")</f>
        <v/>
      </c>
      <c r="T123" s="53" t="str">
        <f aca="false">IF($J123&lt;&gt;"",$J123,"")</f>
        <v/>
      </c>
      <c r="V123" s="52" t="str">
        <f aca="false">IF($A123&lt;&gt;"",$A123,"")</f>
        <v>Apprenant 111</v>
      </c>
      <c r="W123" s="53" t="str">
        <f aca="false">IF(AND(OR('Choix pédagogiques'!$C$3=1,'Choix pédagogiques'!$C$3=2),$BM123=1),B123,IF(AND('Choix pédagogiques'!$C$3=3,$BO123=1),B123,""))</f>
        <v/>
      </c>
      <c r="X123" s="53" t="str">
        <f aca="false">IF(AND(OR('Choix pédagogiques'!$C$3=1,'Choix pédagogiques'!$C$3=2),$BM123=1),C123,IF(AND('Choix pédagogiques'!$C$3=3,$BO123=1),C123,""))</f>
        <v/>
      </c>
      <c r="Y123" s="53" t="str">
        <f aca="false">IF(AND(OR('Choix pédagogiques'!$C$3=1,'Choix pédagogiques'!$C$3=2),$BM123=1),D123,IF(AND('Choix pédagogiques'!$C$3=3,$BO123=1),D123,""))</f>
        <v/>
      </c>
      <c r="Z123" s="53" t="str">
        <f aca="false">IF($E123&lt;&gt;"",$E123,"")</f>
        <v/>
      </c>
      <c r="AA123" s="52" t="str">
        <f aca="false">IF($F123&lt;&gt;"",$F123,"")</f>
        <v>Apprenant 111 ou 111'</v>
      </c>
      <c r="AB123" s="53" t="str">
        <f aca="false">IF(AND(OR('Choix pédagogiques'!$C$3=1,'Choix pédagogiques'!$C$3=2),$BN123=1),G123,IF(AND('Choix pédagogiques'!$C$3=3,$BO123=1),G123,""))</f>
        <v/>
      </c>
      <c r="AC123" s="53" t="str">
        <f aca="false">IF(AND(OR('Choix pédagogiques'!$C$3=1,'Choix pédagogiques'!$C$3=2),$BN123=1),H123,IF(AND('Choix pédagogiques'!$C$3=3,$BO123=1),H123,""))</f>
        <v/>
      </c>
      <c r="AD123" s="53" t="str">
        <f aca="false">IF(AND(OR('Choix pédagogiques'!$C$3=1,'Choix pédagogiques'!$C$3=2),$BN123=1),I123,IF(AND('Choix pédagogiques'!$C$3=3,$BO123=1),I123,""))</f>
        <v/>
      </c>
      <c r="AE123" s="53" t="str">
        <f aca="false">IF($J123&lt;&gt;"",$J123,"")</f>
        <v/>
      </c>
      <c r="AF123" s="52" t="str">
        <f aca="false">IF($A123&lt;&gt;"",$A123,"")</f>
        <v>Apprenant 111</v>
      </c>
      <c r="AG123" s="53" t="str">
        <f aca="false">IF(AND($W123&lt;&gt;"",$X123&lt;&gt;""),$X123-$W123,"")</f>
        <v/>
      </c>
      <c r="AH123" s="53" t="str">
        <f aca="false">IF(AND($W123&lt;&gt;"",$Y123&lt;&gt;""),$Y123-$W123,"")</f>
        <v/>
      </c>
      <c r="AI123" s="53" t="str">
        <f aca="false">IF(AND($X123&lt;&gt;"",$Y123&lt;&gt;""),$Y123-$X123,"")</f>
        <v/>
      </c>
      <c r="AJ123" s="53" t="str">
        <f aca="false">IF($E123&lt;&gt;"",$E123,"")</f>
        <v/>
      </c>
      <c r="AK123" s="52" t="str">
        <f aca="false">IF($F123&lt;&gt;"",$F123,"")</f>
        <v>Apprenant 111 ou 111'</v>
      </c>
      <c r="AL123" s="53" t="str">
        <f aca="false">IF(AND($AB123&lt;&gt;"",$AC123&lt;&gt;""),$AC123-$AB123,"")</f>
        <v/>
      </c>
      <c r="AM123" s="53" t="str">
        <f aca="false">IF(AND($AB123&lt;&gt;"",$AD123&lt;&gt;""),$AD123-$AB123,"")</f>
        <v/>
      </c>
      <c r="AN123" s="53" t="str">
        <f aca="false">IF(AND($AC123&lt;&gt;"",$AD123&lt;&gt;""),$AD123-$AC123,"")</f>
        <v/>
      </c>
      <c r="AO123" s="53" t="str">
        <f aca="false">IF($J123&lt;&gt;"",$J123,"")</f>
        <v/>
      </c>
      <c r="AQ123" s="52" t="str">
        <f aca="false">IF($A123&lt;&gt;"",$A123,"")</f>
        <v>Apprenant 111</v>
      </c>
      <c r="AR123" s="55" t="str">
        <f aca="false">IF(AND('Choix pédagogiques'!$C$4&lt;&gt;"?",'Choix pédagogiques'!$C$5&lt;&gt;"?",W123&lt;&gt;""),(W123-'Choix pédagogiques'!$C$4)/('Choix pédagogiques'!$C$5-'Choix pédagogiques'!$C$4),"")</f>
        <v/>
      </c>
      <c r="AS123" s="55" t="str">
        <f aca="false">IF(AND('Choix pédagogiques'!$C$4&lt;&gt;"?",'Choix pédagogiques'!$C$5&lt;&gt;"?",X123&lt;&gt;""),(X123-'Choix pédagogiques'!$C$4)/('Choix pédagogiques'!$C$5-'Choix pédagogiques'!$C$4),"")</f>
        <v/>
      </c>
      <c r="AT123" s="55" t="str">
        <f aca="false">IF(AND('Choix pédagogiques'!$C$4&lt;&gt;"?",'Choix pédagogiques'!$C$5&lt;&gt;"?",Y123&lt;&gt;""),(Y123-'Choix pédagogiques'!$C$4)/('Choix pédagogiques'!$C$5-'Choix pédagogiques'!$C$4),"")</f>
        <v/>
      </c>
      <c r="AU123" s="53" t="str">
        <f aca="false">IF($E123&lt;&gt;"",$E123,"")</f>
        <v/>
      </c>
      <c r="AV123" s="52" t="str">
        <f aca="false">IF($F123&lt;&gt;"",$F123,"")</f>
        <v>Apprenant 111 ou 111'</v>
      </c>
      <c r="AW123" s="55" t="str">
        <f aca="false">IF(AND('Choix pédagogiques'!$C$4&lt;&gt;"?",'Choix pédagogiques'!$C$5&lt;&gt;"?",AB123&lt;&gt;""),(AB123-'Choix pédagogiques'!$C$4)/('Choix pédagogiques'!$C$5-'Choix pédagogiques'!$C$4),"")</f>
        <v/>
      </c>
      <c r="AX123" s="55" t="str">
        <f aca="false">IF(AND('Choix pédagogiques'!$C$4&lt;&gt;"?",'Choix pédagogiques'!$C$5&lt;&gt;"?",AC123&lt;&gt;""),(AC123-'Choix pédagogiques'!$C$4)/('Choix pédagogiques'!$C$5-'Choix pédagogiques'!$C$4),"")</f>
        <v/>
      </c>
      <c r="AY123" s="55" t="str">
        <f aca="false">IF(AND('Choix pédagogiques'!$C$4&lt;&gt;"?",'Choix pédagogiques'!$C$5&lt;&gt;"?",AD123&lt;&gt;""),(AD123-'Choix pédagogiques'!$C$4)/('Choix pédagogiques'!$C$5-'Choix pédagogiques'!$C$4),"")</f>
        <v/>
      </c>
      <c r="AZ123" s="53" t="str">
        <f aca="false">IF($J123&lt;&gt;"",$J123,"")</f>
        <v/>
      </c>
      <c r="BA123" s="52" t="str">
        <f aca="false">IF($A123&lt;&gt;"",$A123,"")</f>
        <v>Apprenant 111</v>
      </c>
      <c r="BB123" s="55" t="str">
        <f aca="false">IF(AND($AR123&lt;&gt;"",$AS123&lt;&gt;""),$AS123-$AR123,"")</f>
        <v/>
      </c>
      <c r="BC123" s="55" t="str">
        <f aca="false">IF(AND($AR123&lt;&gt;"",$AT123&lt;&gt;""),$AT123-$AR123,"")</f>
        <v/>
      </c>
      <c r="BD123" s="55" t="str">
        <f aca="false">IF(AND($AS123&lt;&gt;"",$AT123&lt;&gt;""),$AT123-$AS123,"")</f>
        <v/>
      </c>
      <c r="BE123" s="53" t="str">
        <f aca="false">IF($E123&lt;&gt;"",$E123,"")</f>
        <v/>
      </c>
      <c r="BF123" s="52" t="str">
        <f aca="false">IF($F123&lt;&gt;"",$F123,"")</f>
        <v>Apprenant 111 ou 111'</v>
      </c>
      <c r="BG123" s="55" t="str">
        <f aca="false">IF(AND($AW123&lt;&gt;"",$AX123&lt;&gt;""),$AX123-$AW123,"")</f>
        <v/>
      </c>
      <c r="BH123" s="55" t="str">
        <f aca="false">IF(AND($AW123&lt;&gt;"",$AY123&lt;&gt;""),$AY123-$AW123,"")</f>
        <v/>
      </c>
      <c r="BI123" s="55" t="str">
        <f aca="false">IF(AND($AX123&lt;&gt;"",$AY123&lt;&gt;""),$AY123-$AX123,"")</f>
        <v/>
      </c>
      <c r="BJ123" s="53" t="str">
        <f aca="false">IF($J123&lt;&gt;"",$J123,"")</f>
        <v/>
      </c>
      <c r="BL123" s="52"/>
      <c r="BM123" s="52" t="str">
        <f aca="false">IF(OR(COUNT(B123:D1122)=0,AND('Choix pédagogiques'!$C$3&lt;&gt;1,'Choix pédagogiques'!$C$3&lt;&gt;2)),"",IF(AND(OR('Choix pédagogiques'!$C$3=1,'Choix pédagogiques'!$C$3=2),$B123&lt;&gt;"",$C123&lt;&gt;"",$D123&lt;&gt;""),1,0))</f>
        <v/>
      </c>
      <c r="BN123" s="52" t="str">
        <f aca="false">IF(OR(COUNT(G123:I1122)=0,AND('Choix pédagogiques'!$C$3&lt;&gt;1,'Choix pédagogiques'!$C$3&lt;&gt;2)),"",IF(AND(OR('Choix pédagogiques'!$C$3=1,'Choix pédagogiques'!$C$3=2),AND($G123&lt;&gt;"",$H123&lt;&gt;"",$I123&lt;&gt;"")),1,0))</f>
        <v/>
      </c>
      <c r="BO123" s="52" t="str">
        <f aca="false">IF(OR(COUNT(B123:D1122)=0,COUNT(G123:I1122)=0,'Choix pédagogiques'!C$3&lt;&gt;3),"",IF(AND('Choix pédagogiques'!$C$3=3,$B123&lt;&gt;"",$C123&lt;&gt;"",$D123&lt;&gt;"",$G123&lt;&gt;"",$H123&lt;&gt;"",$I123&lt;&gt;""),1,0))</f>
        <v/>
      </c>
      <c r="BR123" s="52" t="n">
        <v>882</v>
      </c>
      <c r="BS123" s="52" t="n">
        <v>1834</v>
      </c>
    </row>
    <row r="124" s="54" customFormat="true" ht="18" hidden="false" customHeight="true" outlineLevel="0" collapsed="false">
      <c r="A124" s="57" t="s">
        <v>179</v>
      </c>
      <c r="B124" s="51"/>
      <c r="C124" s="51"/>
      <c r="D124" s="51"/>
      <c r="E124" s="51"/>
      <c r="F124" s="57" t="s">
        <v>180</v>
      </c>
      <c r="G124" s="51"/>
      <c r="H124" s="51"/>
      <c r="I124" s="51"/>
      <c r="J124" s="51"/>
      <c r="K124" s="52" t="str">
        <f aca="false">IF($A124&lt;&gt;"",$A124,"")</f>
        <v>Apprenant 112</v>
      </c>
      <c r="L124" s="53" t="str">
        <f aca="false">IF(AND($B124&lt;&gt;"",$C124&lt;&gt;""),$C124-$B124,"")</f>
        <v/>
      </c>
      <c r="M124" s="53" t="str">
        <f aca="false">IF(AND($B124&lt;&gt;"",$D124&lt;&gt;""),$D124-$B124,"")</f>
        <v/>
      </c>
      <c r="N124" s="53" t="str">
        <f aca="false">IF(AND($C124&lt;&gt;"",$D124&lt;&gt;""),$D124-$C124,"")</f>
        <v/>
      </c>
      <c r="O124" s="53" t="str">
        <f aca="false">IF($E124&lt;&gt;"",$E124,"")</f>
        <v/>
      </c>
      <c r="P124" s="52" t="str">
        <f aca="false">IF($F124&lt;&gt;"",$F124,"")</f>
        <v>Apprenant 112 ou 112'</v>
      </c>
      <c r="Q124" s="53" t="str">
        <f aca="false">IF(AND($G124&lt;&gt;"",$H124&lt;&gt;""),$H124-$G124,"")</f>
        <v/>
      </c>
      <c r="R124" s="53" t="str">
        <f aca="false">IF(AND($G124&lt;&gt;"",$I124&lt;&gt;""),$I124-$G124,"")</f>
        <v/>
      </c>
      <c r="S124" s="53" t="str">
        <f aca="false">IF(AND($H124&lt;&gt;"",$I124&lt;&gt;""),$I124-$H124,"")</f>
        <v/>
      </c>
      <c r="T124" s="53" t="str">
        <f aca="false">IF($J124&lt;&gt;"",$J124,"")</f>
        <v/>
      </c>
      <c r="V124" s="52" t="str">
        <f aca="false">IF($A124&lt;&gt;"",$A124,"")</f>
        <v>Apprenant 112</v>
      </c>
      <c r="W124" s="53" t="str">
        <f aca="false">IF(AND(OR('Choix pédagogiques'!$C$3=1,'Choix pédagogiques'!$C$3=2),$BM124=1),B124,IF(AND('Choix pédagogiques'!$C$3=3,$BO124=1),B124,""))</f>
        <v/>
      </c>
      <c r="X124" s="53" t="str">
        <f aca="false">IF(AND(OR('Choix pédagogiques'!$C$3=1,'Choix pédagogiques'!$C$3=2),$BM124=1),C124,IF(AND('Choix pédagogiques'!$C$3=3,$BO124=1),C124,""))</f>
        <v/>
      </c>
      <c r="Y124" s="53" t="str">
        <f aca="false">IF(AND(OR('Choix pédagogiques'!$C$3=1,'Choix pédagogiques'!$C$3=2),$BM124=1),D124,IF(AND('Choix pédagogiques'!$C$3=3,$BO124=1),D124,""))</f>
        <v/>
      </c>
      <c r="Z124" s="53" t="str">
        <f aca="false">IF($E124&lt;&gt;"",$E124,"")</f>
        <v/>
      </c>
      <c r="AA124" s="52" t="str">
        <f aca="false">IF($F124&lt;&gt;"",$F124,"")</f>
        <v>Apprenant 112 ou 112'</v>
      </c>
      <c r="AB124" s="53" t="str">
        <f aca="false">IF(AND(OR('Choix pédagogiques'!$C$3=1,'Choix pédagogiques'!$C$3=2),$BN124=1),G124,IF(AND('Choix pédagogiques'!$C$3=3,$BO124=1),G124,""))</f>
        <v/>
      </c>
      <c r="AC124" s="53" t="str">
        <f aca="false">IF(AND(OR('Choix pédagogiques'!$C$3=1,'Choix pédagogiques'!$C$3=2),$BN124=1),H124,IF(AND('Choix pédagogiques'!$C$3=3,$BO124=1),H124,""))</f>
        <v/>
      </c>
      <c r="AD124" s="53" t="str">
        <f aca="false">IF(AND(OR('Choix pédagogiques'!$C$3=1,'Choix pédagogiques'!$C$3=2),$BN124=1),I124,IF(AND('Choix pédagogiques'!$C$3=3,$BO124=1),I124,""))</f>
        <v/>
      </c>
      <c r="AE124" s="53" t="str">
        <f aca="false">IF($J124&lt;&gt;"",$J124,"")</f>
        <v/>
      </c>
      <c r="AF124" s="52" t="str">
        <f aca="false">IF($A124&lt;&gt;"",$A124,"")</f>
        <v>Apprenant 112</v>
      </c>
      <c r="AG124" s="53" t="str">
        <f aca="false">IF(AND($W124&lt;&gt;"",$X124&lt;&gt;""),$X124-$W124,"")</f>
        <v/>
      </c>
      <c r="AH124" s="53" t="str">
        <f aca="false">IF(AND($W124&lt;&gt;"",$Y124&lt;&gt;""),$Y124-$W124,"")</f>
        <v/>
      </c>
      <c r="AI124" s="53" t="str">
        <f aca="false">IF(AND($X124&lt;&gt;"",$Y124&lt;&gt;""),$Y124-$X124,"")</f>
        <v/>
      </c>
      <c r="AJ124" s="53" t="str">
        <f aca="false">IF($E124&lt;&gt;"",$E124,"")</f>
        <v/>
      </c>
      <c r="AK124" s="52" t="str">
        <f aca="false">IF($F124&lt;&gt;"",$F124,"")</f>
        <v>Apprenant 112 ou 112'</v>
      </c>
      <c r="AL124" s="53" t="str">
        <f aca="false">IF(AND($AB124&lt;&gt;"",$AC124&lt;&gt;""),$AC124-$AB124,"")</f>
        <v/>
      </c>
      <c r="AM124" s="53" t="str">
        <f aca="false">IF(AND($AB124&lt;&gt;"",$AD124&lt;&gt;""),$AD124-$AB124,"")</f>
        <v/>
      </c>
      <c r="AN124" s="53" t="str">
        <f aca="false">IF(AND($AC124&lt;&gt;"",$AD124&lt;&gt;""),$AD124-$AC124,"")</f>
        <v/>
      </c>
      <c r="AO124" s="53" t="str">
        <f aca="false">IF($J124&lt;&gt;"",$J124,"")</f>
        <v/>
      </c>
      <c r="AQ124" s="52" t="str">
        <f aca="false">IF($A124&lt;&gt;"",$A124,"")</f>
        <v>Apprenant 112</v>
      </c>
      <c r="AR124" s="55" t="str">
        <f aca="false">IF(AND('Choix pédagogiques'!$C$4&lt;&gt;"?",'Choix pédagogiques'!$C$5&lt;&gt;"?",W124&lt;&gt;""),(W124-'Choix pédagogiques'!$C$4)/('Choix pédagogiques'!$C$5-'Choix pédagogiques'!$C$4),"")</f>
        <v/>
      </c>
      <c r="AS124" s="55" t="str">
        <f aca="false">IF(AND('Choix pédagogiques'!$C$4&lt;&gt;"?",'Choix pédagogiques'!$C$5&lt;&gt;"?",X124&lt;&gt;""),(X124-'Choix pédagogiques'!$C$4)/('Choix pédagogiques'!$C$5-'Choix pédagogiques'!$C$4),"")</f>
        <v/>
      </c>
      <c r="AT124" s="55" t="str">
        <f aca="false">IF(AND('Choix pédagogiques'!$C$4&lt;&gt;"?",'Choix pédagogiques'!$C$5&lt;&gt;"?",Y124&lt;&gt;""),(Y124-'Choix pédagogiques'!$C$4)/('Choix pédagogiques'!$C$5-'Choix pédagogiques'!$C$4),"")</f>
        <v/>
      </c>
      <c r="AU124" s="53" t="str">
        <f aca="false">IF($E124&lt;&gt;"",$E124,"")</f>
        <v/>
      </c>
      <c r="AV124" s="52" t="str">
        <f aca="false">IF($F124&lt;&gt;"",$F124,"")</f>
        <v>Apprenant 112 ou 112'</v>
      </c>
      <c r="AW124" s="55" t="str">
        <f aca="false">IF(AND('Choix pédagogiques'!$C$4&lt;&gt;"?",'Choix pédagogiques'!$C$5&lt;&gt;"?",AB124&lt;&gt;""),(AB124-'Choix pédagogiques'!$C$4)/('Choix pédagogiques'!$C$5-'Choix pédagogiques'!$C$4),"")</f>
        <v/>
      </c>
      <c r="AX124" s="55" t="str">
        <f aca="false">IF(AND('Choix pédagogiques'!$C$4&lt;&gt;"?",'Choix pédagogiques'!$C$5&lt;&gt;"?",AC124&lt;&gt;""),(AC124-'Choix pédagogiques'!$C$4)/('Choix pédagogiques'!$C$5-'Choix pédagogiques'!$C$4),"")</f>
        <v/>
      </c>
      <c r="AY124" s="55" t="str">
        <f aca="false">IF(AND('Choix pédagogiques'!$C$4&lt;&gt;"?",'Choix pédagogiques'!$C$5&lt;&gt;"?",AD124&lt;&gt;""),(AD124-'Choix pédagogiques'!$C$4)/('Choix pédagogiques'!$C$5-'Choix pédagogiques'!$C$4),"")</f>
        <v/>
      </c>
      <c r="AZ124" s="53" t="str">
        <f aca="false">IF($J124&lt;&gt;"",$J124,"")</f>
        <v/>
      </c>
      <c r="BA124" s="52" t="str">
        <f aca="false">IF($A124&lt;&gt;"",$A124,"")</f>
        <v>Apprenant 112</v>
      </c>
      <c r="BB124" s="55" t="str">
        <f aca="false">IF(AND($AR124&lt;&gt;"",$AS124&lt;&gt;""),$AS124-$AR124,"")</f>
        <v/>
      </c>
      <c r="BC124" s="55" t="str">
        <f aca="false">IF(AND($AR124&lt;&gt;"",$AT124&lt;&gt;""),$AT124-$AR124,"")</f>
        <v/>
      </c>
      <c r="BD124" s="55" t="str">
        <f aca="false">IF(AND($AS124&lt;&gt;"",$AT124&lt;&gt;""),$AT124-$AS124,"")</f>
        <v/>
      </c>
      <c r="BE124" s="53" t="str">
        <f aca="false">IF($E124&lt;&gt;"",$E124,"")</f>
        <v/>
      </c>
      <c r="BF124" s="52" t="str">
        <f aca="false">IF($F124&lt;&gt;"",$F124,"")</f>
        <v>Apprenant 112 ou 112'</v>
      </c>
      <c r="BG124" s="55" t="str">
        <f aca="false">IF(AND($AW124&lt;&gt;"",$AX124&lt;&gt;""),$AX124-$AW124,"")</f>
        <v/>
      </c>
      <c r="BH124" s="55" t="str">
        <f aca="false">IF(AND($AW124&lt;&gt;"",$AY124&lt;&gt;""),$AY124-$AW124,"")</f>
        <v/>
      </c>
      <c r="BI124" s="55" t="str">
        <f aca="false">IF(AND($AX124&lt;&gt;"",$AY124&lt;&gt;""),$AY124-$AX124,"")</f>
        <v/>
      </c>
      <c r="BJ124" s="53" t="str">
        <f aca="false">IF($J124&lt;&gt;"",$J124,"")</f>
        <v/>
      </c>
      <c r="BL124" s="52"/>
      <c r="BM124" s="52" t="str">
        <f aca="false">IF(OR(COUNT(B124:D1123)=0,AND('Choix pédagogiques'!$C$3&lt;&gt;1,'Choix pédagogiques'!$C$3&lt;&gt;2)),"",IF(AND(OR('Choix pédagogiques'!$C$3=1,'Choix pédagogiques'!$C$3=2),$B124&lt;&gt;"",$C124&lt;&gt;"",$D124&lt;&gt;""),1,0))</f>
        <v/>
      </c>
      <c r="BN124" s="52" t="str">
        <f aca="false">IF(OR(COUNT(G124:I1123)=0,AND('Choix pédagogiques'!$C$3&lt;&gt;1,'Choix pédagogiques'!$C$3&lt;&gt;2)),"",IF(AND(OR('Choix pédagogiques'!$C$3=1,'Choix pédagogiques'!$C$3=2),AND($G124&lt;&gt;"",$H124&lt;&gt;"",$I124&lt;&gt;"")),1,0))</f>
        <v/>
      </c>
      <c r="BO124" s="52" t="str">
        <f aca="false">IF(OR(COUNT(B124:D1123)=0,COUNT(G124:I1123)=0,'Choix pédagogiques'!C$3&lt;&gt;3),"",IF(AND('Choix pédagogiques'!$C$3=3,$B124&lt;&gt;"",$C124&lt;&gt;"",$D124&lt;&gt;"",$G124&lt;&gt;"",$H124&lt;&gt;"",$I124&lt;&gt;""),1,0))</f>
        <v/>
      </c>
      <c r="BR124" s="52" t="n">
        <v>235</v>
      </c>
      <c r="BS124" s="52" t="n">
        <v>1550</v>
      </c>
    </row>
    <row r="125" s="54" customFormat="true" ht="18" hidden="false" customHeight="true" outlineLevel="0" collapsed="false">
      <c r="A125" s="57" t="s">
        <v>181</v>
      </c>
      <c r="B125" s="51"/>
      <c r="C125" s="51"/>
      <c r="D125" s="51"/>
      <c r="E125" s="51"/>
      <c r="F125" s="57" t="s">
        <v>182</v>
      </c>
      <c r="G125" s="51"/>
      <c r="H125" s="51"/>
      <c r="I125" s="51"/>
      <c r="J125" s="51"/>
      <c r="K125" s="52" t="str">
        <f aca="false">IF($A125&lt;&gt;"",$A125,"")</f>
        <v>Apprenant 113</v>
      </c>
      <c r="L125" s="53" t="str">
        <f aca="false">IF(AND($B125&lt;&gt;"",$C125&lt;&gt;""),$C125-$B125,"")</f>
        <v/>
      </c>
      <c r="M125" s="53" t="str">
        <f aca="false">IF(AND($B125&lt;&gt;"",$D125&lt;&gt;""),$D125-$B125,"")</f>
        <v/>
      </c>
      <c r="N125" s="53" t="str">
        <f aca="false">IF(AND($C125&lt;&gt;"",$D125&lt;&gt;""),$D125-$C125,"")</f>
        <v/>
      </c>
      <c r="O125" s="53" t="str">
        <f aca="false">IF($E125&lt;&gt;"",$E125,"")</f>
        <v/>
      </c>
      <c r="P125" s="52" t="str">
        <f aca="false">IF($F125&lt;&gt;"",$F125,"")</f>
        <v>Apprenant 113 ou 113'</v>
      </c>
      <c r="Q125" s="53" t="str">
        <f aca="false">IF(AND($G125&lt;&gt;"",$H125&lt;&gt;""),$H125-$G125,"")</f>
        <v/>
      </c>
      <c r="R125" s="53" t="str">
        <f aca="false">IF(AND($G125&lt;&gt;"",$I125&lt;&gt;""),$I125-$G125,"")</f>
        <v/>
      </c>
      <c r="S125" s="53" t="str">
        <f aca="false">IF(AND($H125&lt;&gt;"",$I125&lt;&gt;""),$I125-$H125,"")</f>
        <v/>
      </c>
      <c r="T125" s="53" t="str">
        <f aca="false">IF($J125&lt;&gt;"",$J125,"")</f>
        <v/>
      </c>
      <c r="V125" s="52" t="str">
        <f aca="false">IF($A125&lt;&gt;"",$A125,"")</f>
        <v>Apprenant 113</v>
      </c>
      <c r="W125" s="53" t="str">
        <f aca="false">IF(AND(OR('Choix pédagogiques'!$C$3=1,'Choix pédagogiques'!$C$3=2),$BM125=1),B125,IF(AND('Choix pédagogiques'!$C$3=3,$BO125=1),B125,""))</f>
        <v/>
      </c>
      <c r="X125" s="53" t="str">
        <f aca="false">IF(AND(OR('Choix pédagogiques'!$C$3=1,'Choix pédagogiques'!$C$3=2),$BM125=1),C125,IF(AND('Choix pédagogiques'!$C$3=3,$BO125=1),C125,""))</f>
        <v/>
      </c>
      <c r="Y125" s="53" t="str">
        <f aca="false">IF(AND(OR('Choix pédagogiques'!$C$3=1,'Choix pédagogiques'!$C$3=2),$BM125=1),D125,IF(AND('Choix pédagogiques'!$C$3=3,$BO125=1),D125,""))</f>
        <v/>
      </c>
      <c r="Z125" s="53" t="str">
        <f aca="false">IF($E125&lt;&gt;"",$E125,"")</f>
        <v/>
      </c>
      <c r="AA125" s="52" t="str">
        <f aca="false">IF($F125&lt;&gt;"",$F125,"")</f>
        <v>Apprenant 113 ou 113'</v>
      </c>
      <c r="AB125" s="53" t="str">
        <f aca="false">IF(AND(OR('Choix pédagogiques'!$C$3=1,'Choix pédagogiques'!$C$3=2),$BN125=1),G125,IF(AND('Choix pédagogiques'!$C$3=3,$BO125=1),G125,""))</f>
        <v/>
      </c>
      <c r="AC125" s="53" t="str">
        <f aca="false">IF(AND(OR('Choix pédagogiques'!$C$3=1,'Choix pédagogiques'!$C$3=2),$BN125=1),H125,IF(AND('Choix pédagogiques'!$C$3=3,$BO125=1),H125,""))</f>
        <v/>
      </c>
      <c r="AD125" s="53" t="str">
        <f aca="false">IF(AND(OR('Choix pédagogiques'!$C$3=1,'Choix pédagogiques'!$C$3=2),$BN125=1),I125,IF(AND('Choix pédagogiques'!$C$3=3,$BO125=1),I125,""))</f>
        <v/>
      </c>
      <c r="AE125" s="53" t="str">
        <f aca="false">IF($J125&lt;&gt;"",$J125,"")</f>
        <v/>
      </c>
      <c r="AF125" s="52" t="str">
        <f aca="false">IF($A125&lt;&gt;"",$A125,"")</f>
        <v>Apprenant 113</v>
      </c>
      <c r="AG125" s="53" t="str">
        <f aca="false">IF(AND($W125&lt;&gt;"",$X125&lt;&gt;""),$X125-$W125,"")</f>
        <v/>
      </c>
      <c r="AH125" s="53" t="str">
        <f aca="false">IF(AND($W125&lt;&gt;"",$Y125&lt;&gt;""),$Y125-$W125,"")</f>
        <v/>
      </c>
      <c r="AI125" s="53" t="str">
        <f aca="false">IF(AND($X125&lt;&gt;"",$Y125&lt;&gt;""),$Y125-$X125,"")</f>
        <v/>
      </c>
      <c r="AJ125" s="53" t="str">
        <f aca="false">IF($E125&lt;&gt;"",$E125,"")</f>
        <v/>
      </c>
      <c r="AK125" s="52" t="str">
        <f aca="false">IF($F125&lt;&gt;"",$F125,"")</f>
        <v>Apprenant 113 ou 113'</v>
      </c>
      <c r="AL125" s="53" t="str">
        <f aca="false">IF(AND($AB125&lt;&gt;"",$AC125&lt;&gt;""),$AC125-$AB125,"")</f>
        <v/>
      </c>
      <c r="AM125" s="53" t="str">
        <f aca="false">IF(AND($AB125&lt;&gt;"",$AD125&lt;&gt;""),$AD125-$AB125,"")</f>
        <v/>
      </c>
      <c r="AN125" s="53" t="str">
        <f aca="false">IF(AND($AC125&lt;&gt;"",$AD125&lt;&gt;""),$AD125-$AC125,"")</f>
        <v/>
      </c>
      <c r="AO125" s="53" t="str">
        <f aca="false">IF($J125&lt;&gt;"",$J125,"")</f>
        <v/>
      </c>
      <c r="AQ125" s="52" t="str">
        <f aca="false">IF($A125&lt;&gt;"",$A125,"")</f>
        <v>Apprenant 113</v>
      </c>
      <c r="AR125" s="55" t="str">
        <f aca="false">IF(AND('Choix pédagogiques'!$C$4&lt;&gt;"?",'Choix pédagogiques'!$C$5&lt;&gt;"?",W125&lt;&gt;""),(W125-'Choix pédagogiques'!$C$4)/('Choix pédagogiques'!$C$5-'Choix pédagogiques'!$C$4),"")</f>
        <v/>
      </c>
      <c r="AS125" s="55" t="str">
        <f aca="false">IF(AND('Choix pédagogiques'!$C$4&lt;&gt;"?",'Choix pédagogiques'!$C$5&lt;&gt;"?",X125&lt;&gt;""),(X125-'Choix pédagogiques'!$C$4)/('Choix pédagogiques'!$C$5-'Choix pédagogiques'!$C$4),"")</f>
        <v/>
      </c>
      <c r="AT125" s="55" t="str">
        <f aca="false">IF(AND('Choix pédagogiques'!$C$4&lt;&gt;"?",'Choix pédagogiques'!$C$5&lt;&gt;"?",Y125&lt;&gt;""),(Y125-'Choix pédagogiques'!$C$4)/('Choix pédagogiques'!$C$5-'Choix pédagogiques'!$C$4),"")</f>
        <v/>
      </c>
      <c r="AU125" s="53" t="str">
        <f aca="false">IF($E125&lt;&gt;"",$E125,"")</f>
        <v/>
      </c>
      <c r="AV125" s="52" t="str">
        <f aca="false">IF($F125&lt;&gt;"",$F125,"")</f>
        <v>Apprenant 113 ou 113'</v>
      </c>
      <c r="AW125" s="55" t="str">
        <f aca="false">IF(AND('Choix pédagogiques'!$C$4&lt;&gt;"?",'Choix pédagogiques'!$C$5&lt;&gt;"?",AB125&lt;&gt;""),(AB125-'Choix pédagogiques'!$C$4)/('Choix pédagogiques'!$C$5-'Choix pédagogiques'!$C$4),"")</f>
        <v/>
      </c>
      <c r="AX125" s="55" t="str">
        <f aca="false">IF(AND('Choix pédagogiques'!$C$4&lt;&gt;"?",'Choix pédagogiques'!$C$5&lt;&gt;"?",AC125&lt;&gt;""),(AC125-'Choix pédagogiques'!$C$4)/('Choix pédagogiques'!$C$5-'Choix pédagogiques'!$C$4),"")</f>
        <v/>
      </c>
      <c r="AY125" s="55" t="str">
        <f aca="false">IF(AND('Choix pédagogiques'!$C$4&lt;&gt;"?",'Choix pédagogiques'!$C$5&lt;&gt;"?",AD125&lt;&gt;""),(AD125-'Choix pédagogiques'!$C$4)/('Choix pédagogiques'!$C$5-'Choix pédagogiques'!$C$4),"")</f>
        <v/>
      </c>
      <c r="AZ125" s="53" t="str">
        <f aca="false">IF($J125&lt;&gt;"",$J125,"")</f>
        <v/>
      </c>
      <c r="BA125" s="52" t="str">
        <f aca="false">IF($A125&lt;&gt;"",$A125,"")</f>
        <v>Apprenant 113</v>
      </c>
      <c r="BB125" s="55" t="str">
        <f aca="false">IF(AND($AR125&lt;&gt;"",$AS125&lt;&gt;""),$AS125-$AR125,"")</f>
        <v/>
      </c>
      <c r="BC125" s="55" t="str">
        <f aca="false">IF(AND($AR125&lt;&gt;"",$AT125&lt;&gt;""),$AT125-$AR125,"")</f>
        <v/>
      </c>
      <c r="BD125" s="55" t="str">
        <f aca="false">IF(AND($AS125&lt;&gt;"",$AT125&lt;&gt;""),$AT125-$AS125,"")</f>
        <v/>
      </c>
      <c r="BE125" s="53" t="str">
        <f aca="false">IF($E125&lt;&gt;"",$E125,"")</f>
        <v/>
      </c>
      <c r="BF125" s="52" t="str">
        <f aca="false">IF($F125&lt;&gt;"",$F125,"")</f>
        <v>Apprenant 113 ou 113'</v>
      </c>
      <c r="BG125" s="55" t="str">
        <f aca="false">IF(AND($AW125&lt;&gt;"",$AX125&lt;&gt;""),$AX125-$AW125,"")</f>
        <v/>
      </c>
      <c r="BH125" s="55" t="str">
        <f aca="false">IF(AND($AW125&lt;&gt;"",$AY125&lt;&gt;""),$AY125-$AW125,"")</f>
        <v/>
      </c>
      <c r="BI125" s="55" t="str">
        <f aca="false">IF(AND($AX125&lt;&gt;"",$AY125&lt;&gt;""),$AY125-$AX125,"")</f>
        <v/>
      </c>
      <c r="BJ125" s="53" t="str">
        <f aca="false">IF($J125&lt;&gt;"",$J125,"")</f>
        <v/>
      </c>
      <c r="BL125" s="52"/>
      <c r="BM125" s="52" t="str">
        <f aca="false">IF(OR(COUNT(B125:D1124)=0,AND('Choix pédagogiques'!$C$3&lt;&gt;1,'Choix pédagogiques'!$C$3&lt;&gt;2)),"",IF(AND(OR('Choix pédagogiques'!$C$3=1,'Choix pédagogiques'!$C$3=2),$B125&lt;&gt;"",$C125&lt;&gt;"",$D125&lt;&gt;""),1,0))</f>
        <v/>
      </c>
      <c r="BN125" s="52" t="str">
        <f aca="false">IF(OR(COUNT(G125:I1124)=0,AND('Choix pédagogiques'!$C$3&lt;&gt;1,'Choix pédagogiques'!$C$3&lt;&gt;2)),"",IF(AND(OR('Choix pédagogiques'!$C$3=1,'Choix pédagogiques'!$C$3=2),AND($G125&lt;&gt;"",$H125&lt;&gt;"",$I125&lt;&gt;"")),1,0))</f>
        <v/>
      </c>
      <c r="BO125" s="52" t="str">
        <f aca="false">IF(OR(COUNT(B125:D1124)=0,COUNT(G125:I1124)=0,'Choix pédagogiques'!C$3&lt;&gt;3),"",IF(AND('Choix pédagogiques'!$C$3=3,$B125&lt;&gt;"",$C125&lt;&gt;"",$D125&lt;&gt;"",$G125&lt;&gt;"",$H125&lt;&gt;"",$I125&lt;&gt;""),1,0))</f>
        <v/>
      </c>
      <c r="BR125" s="52" t="n">
        <v>513</v>
      </c>
      <c r="BS125" s="52" t="n">
        <v>1448</v>
      </c>
    </row>
    <row r="126" s="54" customFormat="true" ht="18" hidden="false" customHeight="true" outlineLevel="0" collapsed="false">
      <c r="A126" s="57" t="s">
        <v>183</v>
      </c>
      <c r="B126" s="51"/>
      <c r="C126" s="51"/>
      <c r="D126" s="51"/>
      <c r="E126" s="51"/>
      <c r="F126" s="57" t="s">
        <v>184</v>
      </c>
      <c r="G126" s="51"/>
      <c r="H126" s="51"/>
      <c r="I126" s="51"/>
      <c r="J126" s="51"/>
      <c r="K126" s="52" t="str">
        <f aca="false">IF($A126&lt;&gt;"",$A126,"")</f>
        <v>Apprenant 114</v>
      </c>
      <c r="L126" s="53" t="str">
        <f aca="false">IF(AND($B126&lt;&gt;"",$C126&lt;&gt;""),$C126-$B126,"")</f>
        <v/>
      </c>
      <c r="M126" s="53" t="str">
        <f aca="false">IF(AND($B126&lt;&gt;"",$D126&lt;&gt;""),$D126-$B126,"")</f>
        <v/>
      </c>
      <c r="N126" s="53" t="str">
        <f aca="false">IF(AND($C126&lt;&gt;"",$D126&lt;&gt;""),$D126-$C126,"")</f>
        <v/>
      </c>
      <c r="O126" s="53" t="str">
        <f aca="false">IF($E126&lt;&gt;"",$E126,"")</f>
        <v/>
      </c>
      <c r="P126" s="52" t="str">
        <f aca="false">IF($F126&lt;&gt;"",$F126,"")</f>
        <v>Apprenant 114 ou 114'</v>
      </c>
      <c r="Q126" s="53" t="str">
        <f aca="false">IF(AND($G126&lt;&gt;"",$H126&lt;&gt;""),$H126-$G126,"")</f>
        <v/>
      </c>
      <c r="R126" s="53" t="str">
        <f aca="false">IF(AND($G126&lt;&gt;"",$I126&lt;&gt;""),$I126-$G126,"")</f>
        <v/>
      </c>
      <c r="S126" s="53" t="str">
        <f aca="false">IF(AND($H126&lt;&gt;"",$I126&lt;&gt;""),$I126-$H126,"")</f>
        <v/>
      </c>
      <c r="T126" s="53" t="str">
        <f aca="false">IF($J126&lt;&gt;"",$J126,"")</f>
        <v/>
      </c>
      <c r="V126" s="52" t="str">
        <f aca="false">IF($A126&lt;&gt;"",$A126,"")</f>
        <v>Apprenant 114</v>
      </c>
      <c r="W126" s="53" t="str">
        <f aca="false">IF(AND(OR('Choix pédagogiques'!$C$3=1,'Choix pédagogiques'!$C$3=2),$BM126=1),B126,IF(AND('Choix pédagogiques'!$C$3=3,$BO126=1),B126,""))</f>
        <v/>
      </c>
      <c r="X126" s="53" t="str">
        <f aca="false">IF(AND(OR('Choix pédagogiques'!$C$3=1,'Choix pédagogiques'!$C$3=2),$BM126=1),C126,IF(AND('Choix pédagogiques'!$C$3=3,$BO126=1),C126,""))</f>
        <v/>
      </c>
      <c r="Y126" s="53" t="str">
        <f aca="false">IF(AND(OR('Choix pédagogiques'!$C$3=1,'Choix pédagogiques'!$C$3=2),$BM126=1),D126,IF(AND('Choix pédagogiques'!$C$3=3,$BO126=1),D126,""))</f>
        <v/>
      </c>
      <c r="Z126" s="53" t="str">
        <f aca="false">IF($E126&lt;&gt;"",$E126,"")</f>
        <v/>
      </c>
      <c r="AA126" s="52" t="str">
        <f aca="false">IF($F126&lt;&gt;"",$F126,"")</f>
        <v>Apprenant 114 ou 114'</v>
      </c>
      <c r="AB126" s="53" t="str">
        <f aca="false">IF(AND(OR('Choix pédagogiques'!$C$3=1,'Choix pédagogiques'!$C$3=2),$BN126=1),G126,IF(AND('Choix pédagogiques'!$C$3=3,$BO126=1),G126,""))</f>
        <v/>
      </c>
      <c r="AC126" s="53" t="str">
        <f aca="false">IF(AND(OR('Choix pédagogiques'!$C$3=1,'Choix pédagogiques'!$C$3=2),$BN126=1),H126,IF(AND('Choix pédagogiques'!$C$3=3,$BO126=1),H126,""))</f>
        <v/>
      </c>
      <c r="AD126" s="53" t="str">
        <f aca="false">IF(AND(OR('Choix pédagogiques'!$C$3=1,'Choix pédagogiques'!$C$3=2),$BN126=1),I126,IF(AND('Choix pédagogiques'!$C$3=3,$BO126=1),I126,""))</f>
        <v/>
      </c>
      <c r="AE126" s="53" t="str">
        <f aca="false">IF($J126&lt;&gt;"",$J126,"")</f>
        <v/>
      </c>
      <c r="AF126" s="52" t="str">
        <f aca="false">IF($A126&lt;&gt;"",$A126,"")</f>
        <v>Apprenant 114</v>
      </c>
      <c r="AG126" s="53" t="str">
        <f aca="false">IF(AND($W126&lt;&gt;"",$X126&lt;&gt;""),$X126-$W126,"")</f>
        <v/>
      </c>
      <c r="AH126" s="53" t="str">
        <f aca="false">IF(AND($W126&lt;&gt;"",$Y126&lt;&gt;""),$Y126-$W126,"")</f>
        <v/>
      </c>
      <c r="AI126" s="53" t="str">
        <f aca="false">IF(AND($X126&lt;&gt;"",$Y126&lt;&gt;""),$Y126-$X126,"")</f>
        <v/>
      </c>
      <c r="AJ126" s="53" t="str">
        <f aca="false">IF($E126&lt;&gt;"",$E126,"")</f>
        <v/>
      </c>
      <c r="AK126" s="52" t="str">
        <f aca="false">IF($F126&lt;&gt;"",$F126,"")</f>
        <v>Apprenant 114 ou 114'</v>
      </c>
      <c r="AL126" s="53" t="str">
        <f aca="false">IF(AND($AB126&lt;&gt;"",$AC126&lt;&gt;""),$AC126-$AB126,"")</f>
        <v/>
      </c>
      <c r="AM126" s="53" t="str">
        <f aca="false">IF(AND($AB126&lt;&gt;"",$AD126&lt;&gt;""),$AD126-$AB126,"")</f>
        <v/>
      </c>
      <c r="AN126" s="53" t="str">
        <f aca="false">IF(AND($AC126&lt;&gt;"",$AD126&lt;&gt;""),$AD126-$AC126,"")</f>
        <v/>
      </c>
      <c r="AO126" s="53" t="str">
        <f aca="false">IF($J126&lt;&gt;"",$J126,"")</f>
        <v/>
      </c>
      <c r="AQ126" s="52" t="str">
        <f aca="false">IF($A126&lt;&gt;"",$A126,"")</f>
        <v>Apprenant 114</v>
      </c>
      <c r="AR126" s="55" t="str">
        <f aca="false">IF(AND('Choix pédagogiques'!$C$4&lt;&gt;"?",'Choix pédagogiques'!$C$5&lt;&gt;"?",W126&lt;&gt;""),(W126-'Choix pédagogiques'!$C$4)/('Choix pédagogiques'!$C$5-'Choix pédagogiques'!$C$4),"")</f>
        <v/>
      </c>
      <c r="AS126" s="55" t="str">
        <f aca="false">IF(AND('Choix pédagogiques'!$C$4&lt;&gt;"?",'Choix pédagogiques'!$C$5&lt;&gt;"?",X126&lt;&gt;""),(X126-'Choix pédagogiques'!$C$4)/('Choix pédagogiques'!$C$5-'Choix pédagogiques'!$C$4),"")</f>
        <v/>
      </c>
      <c r="AT126" s="55" t="str">
        <f aca="false">IF(AND('Choix pédagogiques'!$C$4&lt;&gt;"?",'Choix pédagogiques'!$C$5&lt;&gt;"?",Y126&lt;&gt;""),(Y126-'Choix pédagogiques'!$C$4)/('Choix pédagogiques'!$C$5-'Choix pédagogiques'!$C$4),"")</f>
        <v/>
      </c>
      <c r="AU126" s="53" t="str">
        <f aca="false">IF($E126&lt;&gt;"",$E126,"")</f>
        <v/>
      </c>
      <c r="AV126" s="52" t="str">
        <f aca="false">IF($F126&lt;&gt;"",$F126,"")</f>
        <v>Apprenant 114 ou 114'</v>
      </c>
      <c r="AW126" s="55" t="str">
        <f aca="false">IF(AND('Choix pédagogiques'!$C$4&lt;&gt;"?",'Choix pédagogiques'!$C$5&lt;&gt;"?",AB126&lt;&gt;""),(AB126-'Choix pédagogiques'!$C$4)/('Choix pédagogiques'!$C$5-'Choix pédagogiques'!$C$4),"")</f>
        <v/>
      </c>
      <c r="AX126" s="55" t="str">
        <f aca="false">IF(AND('Choix pédagogiques'!$C$4&lt;&gt;"?",'Choix pédagogiques'!$C$5&lt;&gt;"?",AC126&lt;&gt;""),(AC126-'Choix pédagogiques'!$C$4)/('Choix pédagogiques'!$C$5-'Choix pédagogiques'!$C$4),"")</f>
        <v/>
      </c>
      <c r="AY126" s="55" t="str">
        <f aca="false">IF(AND('Choix pédagogiques'!$C$4&lt;&gt;"?",'Choix pédagogiques'!$C$5&lt;&gt;"?",AD126&lt;&gt;""),(AD126-'Choix pédagogiques'!$C$4)/('Choix pédagogiques'!$C$5-'Choix pédagogiques'!$C$4),"")</f>
        <v/>
      </c>
      <c r="AZ126" s="53" t="str">
        <f aca="false">IF($J126&lt;&gt;"",$J126,"")</f>
        <v/>
      </c>
      <c r="BA126" s="52" t="str">
        <f aca="false">IF($A126&lt;&gt;"",$A126,"")</f>
        <v>Apprenant 114</v>
      </c>
      <c r="BB126" s="55" t="str">
        <f aca="false">IF(AND($AR126&lt;&gt;"",$AS126&lt;&gt;""),$AS126-$AR126,"")</f>
        <v/>
      </c>
      <c r="BC126" s="55" t="str">
        <f aca="false">IF(AND($AR126&lt;&gt;"",$AT126&lt;&gt;""),$AT126-$AR126,"")</f>
        <v/>
      </c>
      <c r="BD126" s="55" t="str">
        <f aca="false">IF(AND($AS126&lt;&gt;"",$AT126&lt;&gt;""),$AT126-$AS126,"")</f>
        <v/>
      </c>
      <c r="BE126" s="53" t="str">
        <f aca="false">IF($E126&lt;&gt;"",$E126,"")</f>
        <v/>
      </c>
      <c r="BF126" s="52" t="str">
        <f aca="false">IF($F126&lt;&gt;"",$F126,"")</f>
        <v>Apprenant 114 ou 114'</v>
      </c>
      <c r="BG126" s="55" t="str">
        <f aca="false">IF(AND($AW126&lt;&gt;"",$AX126&lt;&gt;""),$AX126-$AW126,"")</f>
        <v/>
      </c>
      <c r="BH126" s="55" t="str">
        <f aca="false">IF(AND($AW126&lt;&gt;"",$AY126&lt;&gt;""),$AY126-$AW126,"")</f>
        <v/>
      </c>
      <c r="BI126" s="55" t="str">
        <f aca="false">IF(AND($AX126&lt;&gt;"",$AY126&lt;&gt;""),$AY126-$AX126,"")</f>
        <v/>
      </c>
      <c r="BJ126" s="53" t="str">
        <f aca="false">IF($J126&lt;&gt;"",$J126,"")</f>
        <v/>
      </c>
      <c r="BL126" s="52"/>
      <c r="BM126" s="52" t="str">
        <f aca="false">IF(OR(COUNT(B126:D1125)=0,AND('Choix pédagogiques'!$C$3&lt;&gt;1,'Choix pédagogiques'!$C$3&lt;&gt;2)),"",IF(AND(OR('Choix pédagogiques'!$C$3=1,'Choix pédagogiques'!$C$3=2),$B126&lt;&gt;"",$C126&lt;&gt;"",$D126&lt;&gt;""),1,0))</f>
        <v/>
      </c>
      <c r="BN126" s="52" t="str">
        <f aca="false">IF(OR(COUNT(G126:I1125)=0,AND('Choix pédagogiques'!$C$3&lt;&gt;1,'Choix pédagogiques'!$C$3&lt;&gt;2)),"",IF(AND(OR('Choix pédagogiques'!$C$3=1,'Choix pédagogiques'!$C$3=2),AND($G126&lt;&gt;"",$H126&lt;&gt;"",$I126&lt;&gt;"")),1,0))</f>
        <v/>
      </c>
      <c r="BO126" s="52" t="str">
        <f aca="false">IF(OR(COUNT(B126:D1125)=0,COUNT(G126:I1125)=0,'Choix pédagogiques'!C$3&lt;&gt;3),"",IF(AND('Choix pédagogiques'!$C$3=3,$B126&lt;&gt;"",$C126&lt;&gt;"",$D126&lt;&gt;"",$G126&lt;&gt;"",$H126&lt;&gt;"",$I126&lt;&gt;""),1,0))</f>
        <v/>
      </c>
      <c r="BR126" s="52" t="n">
        <v>729</v>
      </c>
      <c r="BS126" s="52" t="n">
        <v>1469</v>
      </c>
    </row>
    <row r="127" s="54" customFormat="true" ht="18" hidden="false" customHeight="true" outlineLevel="0" collapsed="false">
      <c r="A127" s="57" t="s">
        <v>185</v>
      </c>
      <c r="B127" s="51"/>
      <c r="C127" s="51"/>
      <c r="D127" s="51"/>
      <c r="E127" s="51"/>
      <c r="F127" s="57" t="s">
        <v>186</v>
      </c>
      <c r="G127" s="51"/>
      <c r="H127" s="51"/>
      <c r="I127" s="51"/>
      <c r="J127" s="51"/>
      <c r="K127" s="52" t="str">
        <f aca="false">IF($A127&lt;&gt;"",$A127,"")</f>
        <v>Apprenant 115</v>
      </c>
      <c r="L127" s="53" t="str">
        <f aca="false">IF(AND($B127&lt;&gt;"",$C127&lt;&gt;""),$C127-$B127,"")</f>
        <v/>
      </c>
      <c r="M127" s="53" t="str">
        <f aca="false">IF(AND($B127&lt;&gt;"",$D127&lt;&gt;""),$D127-$B127,"")</f>
        <v/>
      </c>
      <c r="N127" s="53" t="str">
        <f aca="false">IF(AND($C127&lt;&gt;"",$D127&lt;&gt;""),$D127-$C127,"")</f>
        <v/>
      </c>
      <c r="O127" s="53" t="str">
        <f aca="false">IF($E127&lt;&gt;"",$E127,"")</f>
        <v/>
      </c>
      <c r="P127" s="52" t="str">
        <f aca="false">IF($F127&lt;&gt;"",$F127,"")</f>
        <v>Apprenant 115 ou 115'</v>
      </c>
      <c r="Q127" s="53" t="str">
        <f aca="false">IF(AND($G127&lt;&gt;"",$H127&lt;&gt;""),$H127-$G127,"")</f>
        <v/>
      </c>
      <c r="R127" s="53" t="str">
        <f aca="false">IF(AND($G127&lt;&gt;"",$I127&lt;&gt;""),$I127-$G127,"")</f>
        <v/>
      </c>
      <c r="S127" s="53" t="str">
        <f aca="false">IF(AND($H127&lt;&gt;"",$I127&lt;&gt;""),$I127-$H127,"")</f>
        <v/>
      </c>
      <c r="T127" s="53" t="str">
        <f aca="false">IF($J127&lt;&gt;"",$J127,"")</f>
        <v/>
      </c>
      <c r="V127" s="52" t="str">
        <f aca="false">IF($A127&lt;&gt;"",$A127,"")</f>
        <v>Apprenant 115</v>
      </c>
      <c r="W127" s="53" t="str">
        <f aca="false">IF(AND(OR('Choix pédagogiques'!$C$3=1,'Choix pédagogiques'!$C$3=2),$BM127=1),B127,IF(AND('Choix pédagogiques'!$C$3=3,$BO127=1),B127,""))</f>
        <v/>
      </c>
      <c r="X127" s="53" t="str">
        <f aca="false">IF(AND(OR('Choix pédagogiques'!$C$3=1,'Choix pédagogiques'!$C$3=2),$BM127=1),C127,IF(AND('Choix pédagogiques'!$C$3=3,$BO127=1),C127,""))</f>
        <v/>
      </c>
      <c r="Y127" s="53" t="str">
        <f aca="false">IF(AND(OR('Choix pédagogiques'!$C$3=1,'Choix pédagogiques'!$C$3=2),$BM127=1),D127,IF(AND('Choix pédagogiques'!$C$3=3,$BO127=1),D127,""))</f>
        <v/>
      </c>
      <c r="Z127" s="53" t="str">
        <f aca="false">IF($E127&lt;&gt;"",$E127,"")</f>
        <v/>
      </c>
      <c r="AA127" s="52" t="str">
        <f aca="false">IF($F127&lt;&gt;"",$F127,"")</f>
        <v>Apprenant 115 ou 115'</v>
      </c>
      <c r="AB127" s="53" t="str">
        <f aca="false">IF(AND(OR('Choix pédagogiques'!$C$3=1,'Choix pédagogiques'!$C$3=2),$BN127=1),G127,IF(AND('Choix pédagogiques'!$C$3=3,$BO127=1),G127,""))</f>
        <v/>
      </c>
      <c r="AC127" s="53" t="str">
        <f aca="false">IF(AND(OR('Choix pédagogiques'!$C$3=1,'Choix pédagogiques'!$C$3=2),$BN127=1),H127,IF(AND('Choix pédagogiques'!$C$3=3,$BO127=1),H127,""))</f>
        <v/>
      </c>
      <c r="AD127" s="53" t="str">
        <f aca="false">IF(AND(OR('Choix pédagogiques'!$C$3=1,'Choix pédagogiques'!$C$3=2),$BN127=1),I127,IF(AND('Choix pédagogiques'!$C$3=3,$BO127=1),I127,""))</f>
        <v/>
      </c>
      <c r="AE127" s="53" t="str">
        <f aca="false">IF($J127&lt;&gt;"",$J127,"")</f>
        <v/>
      </c>
      <c r="AF127" s="52" t="str">
        <f aca="false">IF($A127&lt;&gt;"",$A127,"")</f>
        <v>Apprenant 115</v>
      </c>
      <c r="AG127" s="53" t="str">
        <f aca="false">IF(AND($W127&lt;&gt;"",$X127&lt;&gt;""),$X127-$W127,"")</f>
        <v/>
      </c>
      <c r="AH127" s="53" t="str">
        <f aca="false">IF(AND($W127&lt;&gt;"",$Y127&lt;&gt;""),$Y127-$W127,"")</f>
        <v/>
      </c>
      <c r="AI127" s="53" t="str">
        <f aca="false">IF(AND($X127&lt;&gt;"",$Y127&lt;&gt;""),$Y127-$X127,"")</f>
        <v/>
      </c>
      <c r="AJ127" s="53" t="str">
        <f aca="false">IF($E127&lt;&gt;"",$E127,"")</f>
        <v/>
      </c>
      <c r="AK127" s="52" t="str">
        <f aca="false">IF($F127&lt;&gt;"",$F127,"")</f>
        <v>Apprenant 115 ou 115'</v>
      </c>
      <c r="AL127" s="53" t="str">
        <f aca="false">IF(AND($AB127&lt;&gt;"",$AC127&lt;&gt;""),$AC127-$AB127,"")</f>
        <v/>
      </c>
      <c r="AM127" s="53" t="str">
        <f aca="false">IF(AND($AB127&lt;&gt;"",$AD127&lt;&gt;""),$AD127-$AB127,"")</f>
        <v/>
      </c>
      <c r="AN127" s="53" t="str">
        <f aca="false">IF(AND($AC127&lt;&gt;"",$AD127&lt;&gt;""),$AD127-$AC127,"")</f>
        <v/>
      </c>
      <c r="AO127" s="53" t="str">
        <f aca="false">IF($J127&lt;&gt;"",$J127,"")</f>
        <v/>
      </c>
      <c r="AQ127" s="52" t="str">
        <f aca="false">IF($A127&lt;&gt;"",$A127,"")</f>
        <v>Apprenant 115</v>
      </c>
      <c r="AR127" s="55" t="str">
        <f aca="false">IF(AND('Choix pédagogiques'!$C$4&lt;&gt;"?",'Choix pédagogiques'!$C$5&lt;&gt;"?",W127&lt;&gt;""),(W127-'Choix pédagogiques'!$C$4)/('Choix pédagogiques'!$C$5-'Choix pédagogiques'!$C$4),"")</f>
        <v/>
      </c>
      <c r="AS127" s="55" t="str">
        <f aca="false">IF(AND('Choix pédagogiques'!$C$4&lt;&gt;"?",'Choix pédagogiques'!$C$5&lt;&gt;"?",X127&lt;&gt;""),(X127-'Choix pédagogiques'!$C$4)/('Choix pédagogiques'!$C$5-'Choix pédagogiques'!$C$4),"")</f>
        <v/>
      </c>
      <c r="AT127" s="55" t="str">
        <f aca="false">IF(AND('Choix pédagogiques'!$C$4&lt;&gt;"?",'Choix pédagogiques'!$C$5&lt;&gt;"?",Y127&lt;&gt;""),(Y127-'Choix pédagogiques'!$C$4)/('Choix pédagogiques'!$C$5-'Choix pédagogiques'!$C$4),"")</f>
        <v/>
      </c>
      <c r="AU127" s="53" t="str">
        <f aca="false">IF($E127&lt;&gt;"",$E127,"")</f>
        <v/>
      </c>
      <c r="AV127" s="52" t="str">
        <f aca="false">IF($F127&lt;&gt;"",$F127,"")</f>
        <v>Apprenant 115 ou 115'</v>
      </c>
      <c r="AW127" s="55" t="str">
        <f aca="false">IF(AND('Choix pédagogiques'!$C$4&lt;&gt;"?",'Choix pédagogiques'!$C$5&lt;&gt;"?",AB127&lt;&gt;""),(AB127-'Choix pédagogiques'!$C$4)/('Choix pédagogiques'!$C$5-'Choix pédagogiques'!$C$4),"")</f>
        <v/>
      </c>
      <c r="AX127" s="55" t="str">
        <f aca="false">IF(AND('Choix pédagogiques'!$C$4&lt;&gt;"?",'Choix pédagogiques'!$C$5&lt;&gt;"?",AC127&lt;&gt;""),(AC127-'Choix pédagogiques'!$C$4)/('Choix pédagogiques'!$C$5-'Choix pédagogiques'!$C$4),"")</f>
        <v/>
      </c>
      <c r="AY127" s="55" t="str">
        <f aca="false">IF(AND('Choix pédagogiques'!$C$4&lt;&gt;"?",'Choix pédagogiques'!$C$5&lt;&gt;"?",AD127&lt;&gt;""),(AD127-'Choix pédagogiques'!$C$4)/('Choix pédagogiques'!$C$5-'Choix pédagogiques'!$C$4),"")</f>
        <v/>
      </c>
      <c r="AZ127" s="53" t="str">
        <f aca="false">IF($J127&lt;&gt;"",$J127,"")</f>
        <v/>
      </c>
      <c r="BA127" s="52" t="str">
        <f aca="false">IF($A127&lt;&gt;"",$A127,"")</f>
        <v>Apprenant 115</v>
      </c>
      <c r="BB127" s="55" t="str">
        <f aca="false">IF(AND($AR127&lt;&gt;"",$AS127&lt;&gt;""),$AS127-$AR127,"")</f>
        <v/>
      </c>
      <c r="BC127" s="55" t="str">
        <f aca="false">IF(AND($AR127&lt;&gt;"",$AT127&lt;&gt;""),$AT127-$AR127,"")</f>
        <v/>
      </c>
      <c r="BD127" s="55" t="str">
        <f aca="false">IF(AND($AS127&lt;&gt;"",$AT127&lt;&gt;""),$AT127-$AS127,"")</f>
        <v/>
      </c>
      <c r="BE127" s="53" t="str">
        <f aca="false">IF($E127&lt;&gt;"",$E127,"")</f>
        <v/>
      </c>
      <c r="BF127" s="52" t="str">
        <f aca="false">IF($F127&lt;&gt;"",$F127,"")</f>
        <v>Apprenant 115 ou 115'</v>
      </c>
      <c r="BG127" s="55" t="str">
        <f aca="false">IF(AND($AW127&lt;&gt;"",$AX127&lt;&gt;""),$AX127-$AW127,"")</f>
        <v/>
      </c>
      <c r="BH127" s="55" t="str">
        <f aca="false">IF(AND($AW127&lt;&gt;"",$AY127&lt;&gt;""),$AY127-$AW127,"")</f>
        <v/>
      </c>
      <c r="BI127" s="55" t="str">
        <f aca="false">IF(AND($AX127&lt;&gt;"",$AY127&lt;&gt;""),$AY127-$AX127,"")</f>
        <v/>
      </c>
      <c r="BJ127" s="53" t="str">
        <f aca="false">IF($J127&lt;&gt;"",$J127,"")</f>
        <v/>
      </c>
      <c r="BL127" s="52"/>
      <c r="BM127" s="52" t="str">
        <f aca="false">IF(OR(COUNT(B127:D1126)=0,AND('Choix pédagogiques'!$C$3&lt;&gt;1,'Choix pédagogiques'!$C$3&lt;&gt;2)),"",IF(AND(OR('Choix pédagogiques'!$C$3=1,'Choix pédagogiques'!$C$3=2),$B127&lt;&gt;"",$C127&lt;&gt;"",$D127&lt;&gt;""),1,0))</f>
        <v/>
      </c>
      <c r="BN127" s="52" t="str">
        <f aca="false">IF(OR(COUNT(G127:I1126)=0,AND('Choix pédagogiques'!$C$3&lt;&gt;1,'Choix pédagogiques'!$C$3&lt;&gt;2)),"",IF(AND(OR('Choix pédagogiques'!$C$3=1,'Choix pédagogiques'!$C$3=2),AND($G127&lt;&gt;"",$H127&lt;&gt;"",$I127&lt;&gt;"")),1,0))</f>
        <v/>
      </c>
      <c r="BO127" s="52" t="str">
        <f aca="false">IF(OR(COUNT(B127:D1126)=0,COUNT(G127:I1126)=0,'Choix pédagogiques'!C$3&lt;&gt;3),"",IF(AND('Choix pédagogiques'!$C$3=3,$B127&lt;&gt;"",$C127&lt;&gt;"",$D127&lt;&gt;"",$G127&lt;&gt;"",$H127&lt;&gt;"",$I127&lt;&gt;""),1,0))</f>
        <v/>
      </c>
      <c r="BR127" s="52" t="n">
        <v>196</v>
      </c>
      <c r="BS127" s="52" t="n">
        <v>1089</v>
      </c>
    </row>
    <row r="128" s="54" customFormat="true" ht="18" hidden="false" customHeight="true" outlineLevel="0" collapsed="false">
      <c r="A128" s="57" t="s">
        <v>187</v>
      </c>
      <c r="B128" s="51"/>
      <c r="C128" s="51"/>
      <c r="D128" s="51"/>
      <c r="E128" s="51"/>
      <c r="F128" s="57" t="s">
        <v>188</v>
      </c>
      <c r="G128" s="51"/>
      <c r="H128" s="51"/>
      <c r="I128" s="51"/>
      <c r="J128" s="51"/>
      <c r="K128" s="52" t="str">
        <f aca="false">IF($A128&lt;&gt;"",$A128,"")</f>
        <v>Apprenant 116</v>
      </c>
      <c r="L128" s="53" t="str">
        <f aca="false">IF(AND($B128&lt;&gt;"",$C128&lt;&gt;""),$C128-$B128,"")</f>
        <v/>
      </c>
      <c r="M128" s="53" t="str">
        <f aca="false">IF(AND($B128&lt;&gt;"",$D128&lt;&gt;""),$D128-$B128,"")</f>
        <v/>
      </c>
      <c r="N128" s="53" t="str">
        <f aca="false">IF(AND($C128&lt;&gt;"",$D128&lt;&gt;""),$D128-$C128,"")</f>
        <v/>
      </c>
      <c r="O128" s="53" t="str">
        <f aca="false">IF($E128&lt;&gt;"",$E128,"")</f>
        <v/>
      </c>
      <c r="P128" s="52" t="str">
        <f aca="false">IF($F128&lt;&gt;"",$F128,"")</f>
        <v>Apprenant 116 ou 116'</v>
      </c>
      <c r="Q128" s="53" t="str">
        <f aca="false">IF(AND($G128&lt;&gt;"",$H128&lt;&gt;""),$H128-$G128,"")</f>
        <v/>
      </c>
      <c r="R128" s="53" t="str">
        <f aca="false">IF(AND($G128&lt;&gt;"",$I128&lt;&gt;""),$I128-$G128,"")</f>
        <v/>
      </c>
      <c r="S128" s="53" t="str">
        <f aca="false">IF(AND($H128&lt;&gt;"",$I128&lt;&gt;""),$I128-$H128,"")</f>
        <v/>
      </c>
      <c r="T128" s="53" t="str">
        <f aca="false">IF($J128&lt;&gt;"",$J128,"")</f>
        <v/>
      </c>
      <c r="V128" s="52" t="str">
        <f aca="false">IF($A128&lt;&gt;"",$A128,"")</f>
        <v>Apprenant 116</v>
      </c>
      <c r="W128" s="53" t="str">
        <f aca="false">IF(AND(OR('Choix pédagogiques'!$C$3=1,'Choix pédagogiques'!$C$3=2),$BM128=1),B128,IF(AND('Choix pédagogiques'!$C$3=3,$BO128=1),B128,""))</f>
        <v/>
      </c>
      <c r="X128" s="53" t="str">
        <f aca="false">IF(AND(OR('Choix pédagogiques'!$C$3=1,'Choix pédagogiques'!$C$3=2),$BM128=1),C128,IF(AND('Choix pédagogiques'!$C$3=3,$BO128=1),C128,""))</f>
        <v/>
      </c>
      <c r="Y128" s="53" t="str">
        <f aca="false">IF(AND(OR('Choix pédagogiques'!$C$3=1,'Choix pédagogiques'!$C$3=2),$BM128=1),D128,IF(AND('Choix pédagogiques'!$C$3=3,$BO128=1),D128,""))</f>
        <v/>
      </c>
      <c r="Z128" s="53" t="str">
        <f aca="false">IF($E128&lt;&gt;"",$E128,"")</f>
        <v/>
      </c>
      <c r="AA128" s="52" t="str">
        <f aca="false">IF($F128&lt;&gt;"",$F128,"")</f>
        <v>Apprenant 116 ou 116'</v>
      </c>
      <c r="AB128" s="53" t="str">
        <f aca="false">IF(AND(OR('Choix pédagogiques'!$C$3=1,'Choix pédagogiques'!$C$3=2),$BN128=1),G128,IF(AND('Choix pédagogiques'!$C$3=3,$BO128=1),G128,""))</f>
        <v/>
      </c>
      <c r="AC128" s="53" t="str">
        <f aca="false">IF(AND(OR('Choix pédagogiques'!$C$3=1,'Choix pédagogiques'!$C$3=2),$BN128=1),H128,IF(AND('Choix pédagogiques'!$C$3=3,$BO128=1),H128,""))</f>
        <v/>
      </c>
      <c r="AD128" s="53" t="str">
        <f aca="false">IF(AND(OR('Choix pédagogiques'!$C$3=1,'Choix pédagogiques'!$C$3=2),$BN128=1),I128,IF(AND('Choix pédagogiques'!$C$3=3,$BO128=1),I128,""))</f>
        <v/>
      </c>
      <c r="AE128" s="53" t="str">
        <f aca="false">IF($J128&lt;&gt;"",$J128,"")</f>
        <v/>
      </c>
      <c r="AF128" s="52" t="str">
        <f aca="false">IF($A128&lt;&gt;"",$A128,"")</f>
        <v>Apprenant 116</v>
      </c>
      <c r="AG128" s="53" t="str">
        <f aca="false">IF(AND($W128&lt;&gt;"",$X128&lt;&gt;""),$X128-$W128,"")</f>
        <v/>
      </c>
      <c r="AH128" s="53" t="str">
        <f aca="false">IF(AND($W128&lt;&gt;"",$Y128&lt;&gt;""),$Y128-$W128,"")</f>
        <v/>
      </c>
      <c r="AI128" s="53" t="str">
        <f aca="false">IF(AND($X128&lt;&gt;"",$Y128&lt;&gt;""),$Y128-$X128,"")</f>
        <v/>
      </c>
      <c r="AJ128" s="53" t="str">
        <f aca="false">IF($E128&lt;&gt;"",$E128,"")</f>
        <v/>
      </c>
      <c r="AK128" s="52" t="str">
        <f aca="false">IF($F128&lt;&gt;"",$F128,"")</f>
        <v>Apprenant 116 ou 116'</v>
      </c>
      <c r="AL128" s="53" t="str">
        <f aca="false">IF(AND($AB128&lt;&gt;"",$AC128&lt;&gt;""),$AC128-$AB128,"")</f>
        <v/>
      </c>
      <c r="AM128" s="53" t="str">
        <f aca="false">IF(AND($AB128&lt;&gt;"",$AD128&lt;&gt;""),$AD128-$AB128,"")</f>
        <v/>
      </c>
      <c r="AN128" s="53" t="str">
        <f aca="false">IF(AND($AC128&lt;&gt;"",$AD128&lt;&gt;""),$AD128-$AC128,"")</f>
        <v/>
      </c>
      <c r="AO128" s="53" t="str">
        <f aca="false">IF($J128&lt;&gt;"",$J128,"")</f>
        <v/>
      </c>
      <c r="AQ128" s="52" t="str">
        <f aca="false">IF($A128&lt;&gt;"",$A128,"")</f>
        <v>Apprenant 116</v>
      </c>
      <c r="AR128" s="55" t="str">
        <f aca="false">IF(AND('Choix pédagogiques'!$C$4&lt;&gt;"?",'Choix pédagogiques'!$C$5&lt;&gt;"?",W128&lt;&gt;""),(W128-'Choix pédagogiques'!$C$4)/('Choix pédagogiques'!$C$5-'Choix pédagogiques'!$C$4),"")</f>
        <v/>
      </c>
      <c r="AS128" s="55" t="str">
        <f aca="false">IF(AND('Choix pédagogiques'!$C$4&lt;&gt;"?",'Choix pédagogiques'!$C$5&lt;&gt;"?",X128&lt;&gt;""),(X128-'Choix pédagogiques'!$C$4)/('Choix pédagogiques'!$C$5-'Choix pédagogiques'!$C$4),"")</f>
        <v/>
      </c>
      <c r="AT128" s="55" t="str">
        <f aca="false">IF(AND('Choix pédagogiques'!$C$4&lt;&gt;"?",'Choix pédagogiques'!$C$5&lt;&gt;"?",Y128&lt;&gt;""),(Y128-'Choix pédagogiques'!$C$4)/('Choix pédagogiques'!$C$5-'Choix pédagogiques'!$C$4),"")</f>
        <v/>
      </c>
      <c r="AU128" s="53" t="str">
        <f aca="false">IF($E128&lt;&gt;"",$E128,"")</f>
        <v/>
      </c>
      <c r="AV128" s="52" t="str">
        <f aca="false">IF($F128&lt;&gt;"",$F128,"")</f>
        <v>Apprenant 116 ou 116'</v>
      </c>
      <c r="AW128" s="55" t="str">
        <f aca="false">IF(AND('Choix pédagogiques'!$C$4&lt;&gt;"?",'Choix pédagogiques'!$C$5&lt;&gt;"?",AB128&lt;&gt;""),(AB128-'Choix pédagogiques'!$C$4)/('Choix pédagogiques'!$C$5-'Choix pédagogiques'!$C$4),"")</f>
        <v/>
      </c>
      <c r="AX128" s="55" t="str">
        <f aca="false">IF(AND('Choix pédagogiques'!$C$4&lt;&gt;"?",'Choix pédagogiques'!$C$5&lt;&gt;"?",AC128&lt;&gt;""),(AC128-'Choix pédagogiques'!$C$4)/('Choix pédagogiques'!$C$5-'Choix pédagogiques'!$C$4),"")</f>
        <v/>
      </c>
      <c r="AY128" s="55" t="str">
        <f aca="false">IF(AND('Choix pédagogiques'!$C$4&lt;&gt;"?",'Choix pédagogiques'!$C$5&lt;&gt;"?",AD128&lt;&gt;""),(AD128-'Choix pédagogiques'!$C$4)/('Choix pédagogiques'!$C$5-'Choix pédagogiques'!$C$4),"")</f>
        <v/>
      </c>
      <c r="AZ128" s="53" t="str">
        <f aca="false">IF($J128&lt;&gt;"",$J128,"")</f>
        <v/>
      </c>
      <c r="BA128" s="52" t="str">
        <f aca="false">IF($A128&lt;&gt;"",$A128,"")</f>
        <v>Apprenant 116</v>
      </c>
      <c r="BB128" s="55" t="str">
        <f aca="false">IF(AND($AR128&lt;&gt;"",$AS128&lt;&gt;""),$AS128-$AR128,"")</f>
        <v/>
      </c>
      <c r="BC128" s="55" t="str">
        <f aca="false">IF(AND($AR128&lt;&gt;"",$AT128&lt;&gt;""),$AT128-$AR128,"")</f>
        <v/>
      </c>
      <c r="BD128" s="55" t="str">
        <f aca="false">IF(AND($AS128&lt;&gt;"",$AT128&lt;&gt;""),$AT128-$AS128,"")</f>
        <v/>
      </c>
      <c r="BE128" s="53" t="str">
        <f aca="false">IF($E128&lt;&gt;"",$E128,"")</f>
        <v/>
      </c>
      <c r="BF128" s="52" t="str">
        <f aca="false">IF($F128&lt;&gt;"",$F128,"")</f>
        <v>Apprenant 116 ou 116'</v>
      </c>
      <c r="BG128" s="55" t="str">
        <f aca="false">IF(AND($AW128&lt;&gt;"",$AX128&lt;&gt;""),$AX128-$AW128,"")</f>
        <v/>
      </c>
      <c r="BH128" s="55" t="str">
        <f aca="false">IF(AND($AW128&lt;&gt;"",$AY128&lt;&gt;""),$AY128-$AW128,"")</f>
        <v/>
      </c>
      <c r="BI128" s="55" t="str">
        <f aca="false">IF(AND($AX128&lt;&gt;"",$AY128&lt;&gt;""),$AY128-$AX128,"")</f>
        <v/>
      </c>
      <c r="BJ128" s="53" t="str">
        <f aca="false">IF($J128&lt;&gt;"",$J128,"")</f>
        <v/>
      </c>
      <c r="BL128" s="52"/>
      <c r="BM128" s="52" t="str">
        <f aca="false">IF(OR(COUNT(B128:D1127)=0,AND('Choix pédagogiques'!$C$3&lt;&gt;1,'Choix pédagogiques'!$C$3&lt;&gt;2)),"",IF(AND(OR('Choix pédagogiques'!$C$3=1,'Choix pédagogiques'!$C$3=2),$B128&lt;&gt;"",$C128&lt;&gt;"",$D128&lt;&gt;""),1,0))</f>
        <v/>
      </c>
      <c r="BN128" s="52" t="str">
        <f aca="false">IF(OR(COUNT(G128:I1127)=0,AND('Choix pédagogiques'!$C$3&lt;&gt;1,'Choix pédagogiques'!$C$3&lt;&gt;2)),"",IF(AND(OR('Choix pédagogiques'!$C$3=1,'Choix pédagogiques'!$C$3=2),AND($G128&lt;&gt;"",$H128&lt;&gt;"",$I128&lt;&gt;"")),1,0))</f>
        <v/>
      </c>
      <c r="BO128" s="52" t="str">
        <f aca="false">IF(OR(COUNT(B128:D1127)=0,COUNT(G128:I1127)=0,'Choix pédagogiques'!C$3&lt;&gt;3),"",IF(AND('Choix pédagogiques'!$C$3=3,$B128&lt;&gt;"",$C128&lt;&gt;"",$D128&lt;&gt;"",$G128&lt;&gt;"",$H128&lt;&gt;"",$I128&lt;&gt;""),1,0))</f>
        <v/>
      </c>
      <c r="BR128" s="52" t="n">
        <v>245</v>
      </c>
      <c r="BS128" s="52" t="n">
        <v>1710</v>
      </c>
    </row>
    <row r="129" s="54" customFormat="true" ht="18" hidden="false" customHeight="true" outlineLevel="0" collapsed="false">
      <c r="A129" s="57" t="s">
        <v>189</v>
      </c>
      <c r="B129" s="51"/>
      <c r="C129" s="51"/>
      <c r="D129" s="51"/>
      <c r="E129" s="51"/>
      <c r="F129" s="57" t="s">
        <v>190</v>
      </c>
      <c r="G129" s="51"/>
      <c r="H129" s="51"/>
      <c r="I129" s="51"/>
      <c r="J129" s="51"/>
      <c r="K129" s="52" t="str">
        <f aca="false">IF($A129&lt;&gt;"",$A129,"")</f>
        <v>Apprenant 117</v>
      </c>
      <c r="L129" s="53" t="str">
        <f aca="false">IF(AND($B129&lt;&gt;"",$C129&lt;&gt;""),$C129-$B129,"")</f>
        <v/>
      </c>
      <c r="M129" s="53" t="str">
        <f aca="false">IF(AND($B129&lt;&gt;"",$D129&lt;&gt;""),$D129-$B129,"")</f>
        <v/>
      </c>
      <c r="N129" s="53" t="str">
        <f aca="false">IF(AND($C129&lt;&gt;"",$D129&lt;&gt;""),$D129-$C129,"")</f>
        <v/>
      </c>
      <c r="O129" s="53" t="str">
        <f aca="false">IF($E129&lt;&gt;"",$E129,"")</f>
        <v/>
      </c>
      <c r="P129" s="52" t="str">
        <f aca="false">IF($F129&lt;&gt;"",$F129,"")</f>
        <v>Apprenant 117 ou 117'</v>
      </c>
      <c r="Q129" s="53" t="str">
        <f aca="false">IF(AND($G129&lt;&gt;"",$H129&lt;&gt;""),$H129-$G129,"")</f>
        <v/>
      </c>
      <c r="R129" s="53" t="str">
        <f aca="false">IF(AND($G129&lt;&gt;"",$I129&lt;&gt;""),$I129-$G129,"")</f>
        <v/>
      </c>
      <c r="S129" s="53" t="str">
        <f aca="false">IF(AND($H129&lt;&gt;"",$I129&lt;&gt;""),$I129-$H129,"")</f>
        <v/>
      </c>
      <c r="T129" s="53" t="str">
        <f aca="false">IF($J129&lt;&gt;"",$J129,"")</f>
        <v/>
      </c>
      <c r="V129" s="52" t="str">
        <f aca="false">IF($A129&lt;&gt;"",$A129,"")</f>
        <v>Apprenant 117</v>
      </c>
      <c r="W129" s="53" t="str">
        <f aca="false">IF(AND(OR('Choix pédagogiques'!$C$3=1,'Choix pédagogiques'!$C$3=2),$BM129=1),B129,IF(AND('Choix pédagogiques'!$C$3=3,$BO129=1),B129,""))</f>
        <v/>
      </c>
      <c r="X129" s="53" t="str">
        <f aca="false">IF(AND(OR('Choix pédagogiques'!$C$3=1,'Choix pédagogiques'!$C$3=2),$BM129=1),C129,IF(AND('Choix pédagogiques'!$C$3=3,$BO129=1),C129,""))</f>
        <v/>
      </c>
      <c r="Y129" s="53" t="str">
        <f aca="false">IF(AND(OR('Choix pédagogiques'!$C$3=1,'Choix pédagogiques'!$C$3=2),$BM129=1),D129,IF(AND('Choix pédagogiques'!$C$3=3,$BO129=1),D129,""))</f>
        <v/>
      </c>
      <c r="Z129" s="53" t="str">
        <f aca="false">IF($E129&lt;&gt;"",$E129,"")</f>
        <v/>
      </c>
      <c r="AA129" s="52" t="str">
        <f aca="false">IF($F129&lt;&gt;"",$F129,"")</f>
        <v>Apprenant 117 ou 117'</v>
      </c>
      <c r="AB129" s="53" t="str">
        <f aca="false">IF(AND(OR('Choix pédagogiques'!$C$3=1,'Choix pédagogiques'!$C$3=2),$BN129=1),G129,IF(AND('Choix pédagogiques'!$C$3=3,$BO129=1),G129,""))</f>
        <v/>
      </c>
      <c r="AC129" s="53" t="str">
        <f aca="false">IF(AND(OR('Choix pédagogiques'!$C$3=1,'Choix pédagogiques'!$C$3=2),$BN129=1),H129,IF(AND('Choix pédagogiques'!$C$3=3,$BO129=1),H129,""))</f>
        <v/>
      </c>
      <c r="AD129" s="53" t="str">
        <f aca="false">IF(AND(OR('Choix pédagogiques'!$C$3=1,'Choix pédagogiques'!$C$3=2),$BN129=1),I129,IF(AND('Choix pédagogiques'!$C$3=3,$BO129=1),I129,""))</f>
        <v/>
      </c>
      <c r="AE129" s="53" t="str">
        <f aca="false">IF($J129&lt;&gt;"",$J129,"")</f>
        <v/>
      </c>
      <c r="AF129" s="52" t="str">
        <f aca="false">IF($A129&lt;&gt;"",$A129,"")</f>
        <v>Apprenant 117</v>
      </c>
      <c r="AG129" s="53" t="str">
        <f aca="false">IF(AND($W129&lt;&gt;"",$X129&lt;&gt;""),$X129-$W129,"")</f>
        <v/>
      </c>
      <c r="AH129" s="53" t="str">
        <f aca="false">IF(AND($W129&lt;&gt;"",$Y129&lt;&gt;""),$Y129-$W129,"")</f>
        <v/>
      </c>
      <c r="AI129" s="53" t="str">
        <f aca="false">IF(AND($X129&lt;&gt;"",$Y129&lt;&gt;""),$Y129-$X129,"")</f>
        <v/>
      </c>
      <c r="AJ129" s="53" t="str">
        <f aca="false">IF($E129&lt;&gt;"",$E129,"")</f>
        <v/>
      </c>
      <c r="AK129" s="52" t="str">
        <f aca="false">IF($F129&lt;&gt;"",$F129,"")</f>
        <v>Apprenant 117 ou 117'</v>
      </c>
      <c r="AL129" s="53" t="str">
        <f aca="false">IF(AND($AB129&lt;&gt;"",$AC129&lt;&gt;""),$AC129-$AB129,"")</f>
        <v/>
      </c>
      <c r="AM129" s="53" t="str">
        <f aca="false">IF(AND($AB129&lt;&gt;"",$AD129&lt;&gt;""),$AD129-$AB129,"")</f>
        <v/>
      </c>
      <c r="AN129" s="53" t="str">
        <f aca="false">IF(AND($AC129&lt;&gt;"",$AD129&lt;&gt;""),$AD129-$AC129,"")</f>
        <v/>
      </c>
      <c r="AO129" s="53" t="str">
        <f aca="false">IF($J129&lt;&gt;"",$J129,"")</f>
        <v/>
      </c>
      <c r="AQ129" s="52" t="str">
        <f aca="false">IF($A129&lt;&gt;"",$A129,"")</f>
        <v>Apprenant 117</v>
      </c>
      <c r="AR129" s="55" t="str">
        <f aca="false">IF(AND('Choix pédagogiques'!$C$4&lt;&gt;"?",'Choix pédagogiques'!$C$5&lt;&gt;"?",W129&lt;&gt;""),(W129-'Choix pédagogiques'!$C$4)/('Choix pédagogiques'!$C$5-'Choix pédagogiques'!$C$4),"")</f>
        <v/>
      </c>
      <c r="AS129" s="55" t="str">
        <f aca="false">IF(AND('Choix pédagogiques'!$C$4&lt;&gt;"?",'Choix pédagogiques'!$C$5&lt;&gt;"?",X129&lt;&gt;""),(X129-'Choix pédagogiques'!$C$4)/('Choix pédagogiques'!$C$5-'Choix pédagogiques'!$C$4),"")</f>
        <v/>
      </c>
      <c r="AT129" s="55" t="str">
        <f aca="false">IF(AND('Choix pédagogiques'!$C$4&lt;&gt;"?",'Choix pédagogiques'!$C$5&lt;&gt;"?",Y129&lt;&gt;""),(Y129-'Choix pédagogiques'!$C$4)/('Choix pédagogiques'!$C$5-'Choix pédagogiques'!$C$4),"")</f>
        <v/>
      </c>
      <c r="AU129" s="53" t="str">
        <f aca="false">IF($E129&lt;&gt;"",$E129,"")</f>
        <v/>
      </c>
      <c r="AV129" s="52" t="str">
        <f aca="false">IF($F129&lt;&gt;"",$F129,"")</f>
        <v>Apprenant 117 ou 117'</v>
      </c>
      <c r="AW129" s="55" t="str">
        <f aca="false">IF(AND('Choix pédagogiques'!$C$4&lt;&gt;"?",'Choix pédagogiques'!$C$5&lt;&gt;"?",AB129&lt;&gt;""),(AB129-'Choix pédagogiques'!$C$4)/('Choix pédagogiques'!$C$5-'Choix pédagogiques'!$C$4),"")</f>
        <v/>
      </c>
      <c r="AX129" s="55" t="str">
        <f aca="false">IF(AND('Choix pédagogiques'!$C$4&lt;&gt;"?",'Choix pédagogiques'!$C$5&lt;&gt;"?",AC129&lt;&gt;""),(AC129-'Choix pédagogiques'!$C$4)/('Choix pédagogiques'!$C$5-'Choix pédagogiques'!$C$4),"")</f>
        <v/>
      </c>
      <c r="AY129" s="55" t="str">
        <f aca="false">IF(AND('Choix pédagogiques'!$C$4&lt;&gt;"?",'Choix pédagogiques'!$C$5&lt;&gt;"?",AD129&lt;&gt;""),(AD129-'Choix pédagogiques'!$C$4)/('Choix pédagogiques'!$C$5-'Choix pédagogiques'!$C$4),"")</f>
        <v/>
      </c>
      <c r="AZ129" s="53" t="str">
        <f aca="false">IF($J129&lt;&gt;"",$J129,"")</f>
        <v/>
      </c>
      <c r="BA129" s="52" t="str">
        <f aca="false">IF($A129&lt;&gt;"",$A129,"")</f>
        <v>Apprenant 117</v>
      </c>
      <c r="BB129" s="55" t="str">
        <f aca="false">IF(AND($AR129&lt;&gt;"",$AS129&lt;&gt;""),$AS129-$AR129,"")</f>
        <v/>
      </c>
      <c r="BC129" s="55" t="str">
        <f aca="false">IF(AND($AR129&lt;&gt;"",$AT129&lt;&gt;""),$AT129-$AR129,"")</f>
        <v/>
      </c>
      <c r="BD129" s="55" t="str">
        <f aca="false">IF(AND($AS129&lt;&gt;"",$AT129&lt;&gt;""),$AT129-$AS129,"")</f>
        <v/>
      </c>
      <c r="BE129" s="53" t="str">
        <f aca="false">IF($E129&lt;&gt;"",$E129,"")</f>
        <v/>
      </c>
      <c r="BF129" s="52" t="str">
        <f aca="false">IF($F129&lt;&gt;"",$F129,"")</f>
        <v>Apprenant 117 ou 117'</v>
      </c>
      <c r="BG129" s="55" t="str">
        <f aca="false">IF(AND($AW129&lt;&gt;"",$AX129&lt;&gt;""),$AX129-$AW129,"")</f>
        <v/>
      </c>
      <c r="BH129" s="55" t="str">
        <f aca="false">IF(AND($AW129&lt;&gt;"",$AY129&lt;&gt;""),$AY129-$AW129,"")</f>
        <v/>
      </c>
      <c r="BI129" s="55" t="str">
        <f aca="false">IF(AND($AX129&lt;&gt;"",$AY129&lt;&gt;""),$AY129-$AX129,"")</f>
        <v/>
      </c>
      <c r="BJ129" s="53" t="str">
        <f aca="false">IF($J129&lt;&gt;"",$J129,"")</f>
        <v/>
      </c>
      <c r="BL129" s="52"/>
      <c r="BM129" s="52" t="str">
        <f aca="false">IF(OR(COUNT(B129:D1128)=0,AND('Choix pédagogiques'!$C$3&lt;&gt;1,'Choix pédagogiques'!$C$3&lt;&gt;2)),"",IF(AND(OR('Choix pédagogiques'!$C$3=1,'Choix pédagogiques'!$C$3=2),$B129&lt;&gt;"",$C129&lt;&gt;"",$D129&lt;&gt;""),1,0))</f>
        <v/>
      </c>
      <c r="BN129" s="52" t="str">
        <f aca="false">IF(OR(COUNT(G129:I1128)=0,AND('Choix pédagogiques'!$C$3&lt;&gt;1,'Choix pédagogiques'!$C$3&lt;&gt;2)),"",IF(AND(OR('Choix pédagogiques'!$C$3=1,'Choix pédagogiques'!$C$3=2),AND($G129&lt;&gt;"",$H129&lt;&gt;"",$I129&lt;&gt;"")),1,0))</f>
        <v/>
      </c>
      <c r="BO129" s="52" t="str">
        <f aca="false">IF(OR(COUNT(B129:D1128)=0,COUNT(G129:I1128)=0,'Choix pédagogiques'!C$3&lt;&gt;3),"",IF(AND('Choix pédagogiques'!$C$3=3,$B129&lt;&gt;"",$C129&lt;&gt;"",$D129&lt;&gt;"",$G129&lt;&gt;"",$H129&lt;&gt;"",$I129&lt;&gt;""),1,0))</f>
        <v/>
      </c>
      <c r="BR129" s="52" t="n">
        <v>125</v>
      </c>
      <c r="BS129" s="52" t="n">
        <v>1653</v>
      </c>
    </row>
    <row r="130" s="54" customFormat="true" ht="18" hidden="false" customHeight="true" outlineLevel="0" collapsed="false">
      <c r="A130" s="57" t="s">
        <v>191</v>
      </c>
      <c r="B130" s="51"/>
      <c r="C130" s="51"/>
      <c r="D130" s="51"/>
      <c r="E130" s="51"/>
      <c r="F130" s="57" t="s">
        <v>192</v>
      </c>
      <c r="G130" s="51"/>
      <c r="H130" s="51"/>
      <c r="I130" s="51"/>
      <c r="J130" s="51"/>
      <c r="K130" s="52" t="str">
        <f aca="false">IF($A130&lt;&gt;"",$A130,"")</f>
        <v>Apprenant 118</v>
      </c>
      <c r="L130" s="53" t="str">
        <f aca="false">IF(AND($B130&lt;&gt;"",$C130&lt;&gt;""),$C130-$B130,"")</f>
        <v/>
      </c>
      <c r="M130" s="53" t="str">
        <f aca="false">IF(AND($B130&lt;&gt;"",$D130&lt;&gt;""),$D130-$B130,"")</f>
        <v/>
      </c>
      <c r="N130" s="53" t="str">
        <f aca="false">IF(AND($C130&lt;&gt;"",$D130&lt;&gt;""),$D130-$C130,"")</f>
        <v/>
      </c>
      <c r="O130" s="53" t="str">
        <f aca="false">IF($E130&lt;&gt;"",$E130,"")</f>
        <v/>
      </c>
      <c r="P130" s="52" t="str">
        <f aca="false">IF($F130&lt;&gt;"",$F130,"")</f>
        <v>Apprenant 118 ou 118'</v>
      </c>
      <c r="Q130" s="53" t="str">
        <f aca="false">IF(AND($G130&lt;&gt;"",$H130&lt;&gt;""),$H130-$G130,"")</f>
        <v/>
      </c>
      <c r="R130" s="53" t="str">
        <f aca="false">IF(AND($G130&lt;&gt;"",$I130&lt;&gt;""),$I130-$G130,"")</f>
        <v/>
      </c>
      <c r="S130" s="53" t="str">
        <f aca="false">IF(AND($H130&lt;&gt;"",$I130&lt;&gt;""),$I130-$H130,"")</f>
        <v/>
      </c>
      <c r="T130" s="53" t="str">
        <f aca="false">IF($J130&lt;&gt;"",$J130,"")</f>
        <v/>
      </c>
      <c r="V130" s="52" t="str">
        <f aca="false">IF($A130&lt;&gt;"",$A130,"")</f>
        <v>Apprenant 118</v>
      </c>
      <c r="W130" s="53" t="str">
        <f aca="false">IF(AND(OR('Choix pédagogiques'!$C$3=1,'Choix pédagogiques'!$C$3=2),$BM130=1),B130,IF(AND('Choix pédagogiques'!$C$3=3,$BO130=1),B130,""))</f>
        <v/>
      </c>
      <c r="X130" s="53" t="str">
        <f aca="false">IF(AND(OR('Choix pédagogiques'!$C$3=1,'Choix pédagogiques'!$C$3=2),$BM130=1),C130,IF(AND('Choix pédagogiques'!$C$3=3,$BO130=1),C130,""))</f>
        <v/>
      </c>
      <c r="Y130" s="53" t="str">
        <f aca="false">IF(AND(OR('Choix pédagogiques'!$C$3=1,'Choix pédagogiques'!$C$3=2),$BM130=1),D130,IF(AND('Choix pédagogiques'!$C$3=3,$BO130=1),D130,""))</f>
        <v/>
      </c>
      <c r="Z130" s="53" t="str">
        <f aca="false">IF($E130&lt;&gt;"",$E130,"")</f>
        <v/>
      </c>
      <c r="AA130" s="52" t="str">
        <f aca="false">IF($F130&lt;&gt;"",$F130,"")</f>
        <v>Apprenant 118 ou 118'</v>
      </c>
      <c r="AB130" s="53" t="str">
        <f aca="false">IF(AND(OR('Choix pédagogiques'!$C$3=1,'Choix pédagogiques'!$C$3=2),$BN130=1),G130,IF(AND('Choix pédagogiques'!$C$3=3,$BO130=1),G130,""))</f>
        <v/>
      </c>
      <c r="AC130" s="53" t="str">
        <f aca="false">IF(AND(OR('Choix pédagogiques'!$C$3=1,'Choix pédagogiques'!$C$3=2),$BN130=1),H130,IF(AND('Choix pédagogiques'!$C$3=3,$BO130=1),H130,""))</f>
        <v/>
      </c>
      <c r="AD130" s="53" t="str">
        <f aca="false">IF(AND(OR('Choix pédagogiques'!$C$3=1,'Choix pédagogiques'!$C$3=2),$BN130=1),I130,IF(AND('Choix pédagogiques'!$C$3=3,$BO130=1),I130,""))</f>
        <v/>
      </c>
      <c r="AE130" s="53" t="str">
        <f aca="false">IF($J130&lt;&gt;"",$J130,"")</f>
        <v/>
      </c>
      <c r="AF130" s="52" t="str">
        <f aca="false">IF($A130&lt;&gt;"",$A130,"")</f>
        <v>Apprenant 118</v>
      </c>
      <c r="AG130" s="53" t="str">
        <f aca="false">IF(AND($W130&lt;&gt;"",$X130&lt;&gt;""),$X130-$W130,"")</f>
        <v/>
      </c>
      <c r="AH130" s="53" t="str">
        <f aca="false">IF(AND($W130&lt;&gt;"",$Y130&lt;&gt;""),$Y130-$W130,"")</f>
        <v/>
      </c>
      <c r="AI130" s="53" t="str">
        <f aca="false">IF(AND($X130&lt;&gt;"",$Y130&lt;&gt;""),$Y130-$X130,"")</f>
        <v/>
      </c>
      <c r="AJ130" s="53" t="str">
        <f aca="false">IF($E130&lt;&gt;"",$E130,"")</f>
        <v/>
      </c>
      <c r="AK130" s="52" t="str">
        <f aca="false">IF($F130&lt;&gt;"",$F130,"")</f>
        <v>Apprenant 118 ou 118'</v>
      </c>
      <c r="AL130" s="53" t="str">
        <f aca="false">IF(AND($AB130&lt;&gt;"",$AC130&lt;&gt;""),$AC130-$AB130,"")</f>
        <v/>
      </c>
      <c r="AM130" s="53" t="str">
        <f aca="false">IF(AND($AB130&lt;&gt;"",$AD130&lt;&gt;""),$AD130-$AB130,"")</f>
        <v/>
      </c>
      <c r="AN130" s="53" t="str">
        <f aca="false">IF(AND($AC130&lt;&gt;"",$AD130&lt;&gt;""),$AD130-$AC130,"")</f>
        <v/>
      </c>
      <c r="AO130" s="53" t="str">
        <f aca="false">IF($J130&lt;&gt;"",$J130,"")</f>
        <v/>
      </c>
      <c r="AQ130" s="52" t="str">
        <f aca="false">IF($A130&lt;&gt;"",$A130,"")</f>
        <v>Apprenant 118</v>
      </c>
      <c r="AR130" s="55" t="str">
        <f aca="false">IF(AND('Choix pédagogiques'!$C$4&lt;&gt;"?",'Choix pédagogiques'!$C$5&lt;&gt;"?",W130&lt;&gt;""),(W130-'Choix pédagogiques'!$C$4)/('Choix pédagogiques'!$C$5-'Choix pédagogiques'!$C$4),"")</f>
        <v/>
      </c>
      <c r="AS130" s="55" t="str">
        <f aca="false">IF(AND('Choix pédagogiques'!$C$4&lt;&gt;"?",'Choix pédagogiques'!$C$5&lt;&gt;"?",X130&lt;&gt;""),(X130-'Choix pédagogiques'!$C$4)/('Choix pédagogiques'!$C$5-'Choix pédagogiques'!$C$4),"")</f>
        <v/>
      </c>
      <c r="AT130" s="55" t="str">
        <f aca="false">IF(AND('Choix pédagogiques'!$C$4&lt;&gt;"?",'Choix pédagogiques'!$C$5&lt;&gt;"?",Y130&lt;&gt;""),(Y130-'Choix pédagogiques'!$C$4)/('Choix pédagogiques'!$C$5-'Choix pédagogiques'!$C$4),"")</f>
        <v/>
      </c>
      <c r="AU130" s="53" t="str">
        <f aca="false">IF($E130&lt;&gt;"",$E130,"")</f>
        <v/>
      </c>
      <c r="AV130" s="52" t="str">
        <f aca="false">IF($F130&lt;&gt;"",$F130,"")</f>
        <v>Apprenant 118 ou 118'</v>
      </c>
      <c r="AW130" s="55" t="str">
        <f aca="false">IF(AND('Choix pédagogiques'!$C$4&lt;&gt;"?",'Choix pédagogiques'!$C$5&lt;&gt;"?",AB130&lt;&gt;""),(AB130-'Choix pédagogiques'!$C$4)/('Choix pédagogiques'!$C$5-'Choix pédagogiques'!$C$4),"")</f>
        <v/>
      </c>
      <c r="AX130" s="55" t="str">
        <f aca="false">IF(AND('Choix pédagogiques'!$C$4&lt;&gt;"?",'Choix pédagogiques'!$C$5&lt;&gt;"?",AC130&lt;&gt;""),(AC130-'Choix pédagogiques'!$C$4)/('Choix pédagogiques'!$C$5-'Choix pédagogiques'!$C$4),"")</f>
        <v/>
      </c>
      <c r="AY130" s="55" t="str">
        <f aca="false">IF(AND('Choix pédagogiques'!$C$4&lt;&gt;"?",'Choix pédagogiques'!$C$5&lt;&gt;"?",AD130&lt;&gt;""),(AD130-'Choix pédagogiques'!$C$4)/('Choix pédagogiques'!$C$5-'Choix pédagogiques'!$C$4),"")</f>
        <v/>
      </c>
      <c r="AZ130" s="53" t="str">
        <f aca="false">IF($J130&lt;&gt;"",$J130,"")</f>
        <v/>
      </c>
      <c r="BA130" s="52" t="str">
        <f aca="false">IF($A130&lt;&gt;"",$A130,"")</f>
        <v>Apprenant 118</v>
      </c>
      <c r="BB130" s="55" t="str">
        <f aca="false">IF(AND($AR130&lt;&gt;"",$AS130&lt;&gt;""),$AS130-$AR130,"")</f>
        <v/>
      </c>
      <c r="BC130" s="55" t="str">
        <f aca="false">IF(AND($AR130&lt;&gt;"",$AT130&lt;&gt;""),$AT130-$AR130,"")</f>
        <v/>
      </c>
      <c r="BD130" s="55" t="str">
        <f aca="false">IF(AND($AS130&lt;&gt;"",$AT130&lt;&gt;""),$AT130-$AS130,"")</f>
        <v/>
      </c>
      <c r="BE130" s="53" t="str">
        <f aca="false">IF($E130&lt;&gt;"",$E130,"")</f>
        <v/>
      </c>
      <c r="BF130" s="52" t="str">
        <f aca="false">IF($F130&lt;&gt;"",$F130,"")</f>
        <v>Apprenant 118 ou 118'</v>
      </c>
      <c r="BG130" s="55" t="str">
        <f aca="false">IF(AND($AW130&lt;&gt;"",$AX130&lt;&gt;""),$AX130-$AW130,"")</f>
        <v/>
      </c>
      <c r="BH130" s="55" t="str">
        <f aca="false">IF(AND($AW130&lt;&gt;"",$AY130&lt;&gt;""),$AY130-$AW130,"")</f>
        <v/>
      </c>
      <c r="BI130" s="55" t="str">
        <f aca="false">IF(AND($AX130&lt;&gt;"",$AY130&lt;&gt;""),$AY130-$AX130,"")</f>
        <v/>
      </c>
      <c r="BJ130" s="53" t="str">
        <f aca="false">IF($J130&lt;&gt;"",$J130,"")</f>
        <v/>
      </c>
      <c r="BL130" s="52"/>
      <c r="BM130" s="52" t="str">
        <f aca="false">IF(OR(COUNT(B130:D1129)=0,AND('Choix pédagogiques'!$C$3&lt;&gt;1,'Choix pédagogiques'!$C$3&lt;&gt;2)),"",IF(AND(OR('Choix pédagogiques'!$C$3=1,'Choix pédagogiques'!$C$3=2),$B130&lt;&gt;"",$C130&lt;&gt;"",$D130&lt;&gt;""),1,0))</f>
        <v/>
      </c>
      <c r="BN130" s="52" t="str">
        <f aca="false">IF(OR(COUNT(G130:I1129)=0,AND('Choix pédagogiques'!$C$3&lt;&gt;1,'Choix pédagogiques'!$C$3&lt;&gt;2)),"",IF(AND(OR('Choix pédagogiques'!$C$3=1,'Choix pédagogiques'!$C$3=2),AND($G130&lt;&gt;"",$H130&lt;&gt;"",$I130&lt;&gt;"")),1,0))</f>
        <v/>
      </c>
      <c r="BO130" s="52" t="str">
        <f aca="false">IF(OR(COUNT(B130:D1129)=0,COUNT(G130:I1129)=0,'Choix pédagogiques'!C$3&lt;&gt;3),"",IF(AND('Choix pédagogiques'!$C$3=3,$B130&lt;&gt;"",$C130&lt;&gt;"",$D130&lt;&gt;"",$G130&lt;&gt;"",$H130&lt;&gt;"",$I130&lt;&gt;""),1,0))</f>
        <v/>
      </c>
      <c r="BR130" s="52" t="n">
        <v>980</v>
      </c>
      <c r="BS130" s="52" t="n">
        <v>1774</v>
      </c>
    </row>
    <row r="131" s="54" customFormat="true" ht="18" hidden="false" customHeight="true" outlineLevel="0" collapsed="false">
      <c r="A131" s="57" t="s">
        <v>193</v>
      </c>
      <c r="B131" s="51"/>
      <c r="C131" s="51"/>
      <c r="D131" s="51"/>
      <c r="E131" s="51"/>
      <c r="F131" s="57" t="s">
        <v>194</v>
      </c>
      <c r="G131" s="51"/>
      <c r="H131" s="51"/>
      <c r="I131" s="51"/>
      <c r="J131" s="51"/>
      <c r="K131" s="52" t="str">
        <f aca="false">IF($A131&lt;&gt;"",$A131,"")</f>
        <v>Apprenant 119</v>
      </c>
      <c r="L131" s="53" t="str">
        <f aca="false">IF(AND($B131&lt;&gt;"",$C131&lt;&gt;""),$C131-$B131,"")</f>
        <v/>
      </c>
      <c r="M131" s="53" t="str">
        <f aca="false">IF(AND($B131&lt;&gt;"",$D131&lt;&gt;""),$D131-$B131,"")</f>
        <v/>
      </c>
      <c r="N131" s="53" t="str">
        <f aca="false">IF(AND($C131&lt;&gt;"",$D131&lt;&gt;""),$D131-$C131,"")</f>
        <v/>
      </c>
      <c r="O131" s="53" t="str">
        <f aca="false">IF($E131&lt;&gt;"",$E131,"")</f>
        <v/>
      </c>
      <c r="P131" s="52" t="str">
        <f aca="false">IF($F131&lt;&gt;"",$F131,"")</f>
        <v>Apprenant 119 ou 119'</v>
      </c>
      <c r="Q131" s="53" t="str">
        <f aca="false">IF(AND($G131&lt;&gt;"",$H131&lt;&gt;""),$H131-$G131,"")</f>
        <v/>
      </c>
      <c r="R131" s="53" t="str">
        <f aca="false">IF(AND($G131&lt;&gt;"",$I131&lt;&gt;""),$I131-$G131,"")</f>
        <v/>
      </c>
      <c r="S131" s="53" t="str">
        <f aca="false">IF(AND($H131&lt;&gt;"",$I131&lt;&gt;""),$I131-$H131,"")</f>
        <v/>
      </c>
      <c r="T131" s="53" t="str">
        <f aca="false">IF($J131&lt;&gt;"",$J131,"")</f>
        <v/>
      </c>
      <c r="V131" s="52" t="str">
        <f aca="false">IF($A131&lt;&gt;"",$A131,"")</f>
        <v>Apprenant 119</v>
      </c>
      <c r="W131" s="53" t="str">
        <f aca="false">IF(AND(OR('Choix pédagogiques'!$C$3=1,'Choix pédagogiques'!$C$3=2),$BM131=1),B131,IF(AND('Choix pédagogiques'!$C$3=3,$BO131=1),B131,""))</f>
        <v/>
      </c>
      <c r="X131" s="53" t="str">
        <f aca="false">IF(AND(OR('Choix pédagogiques'!$C$3=1,'Choix pédagogiques'!$C$3=2),$BM131=1),C131,IF(AND('Choix pédagogiques'!$C$3=3,$BO131=1),C131,""))</f>
        <v/>
      </c>
      <c r="Y131" s="53" t="str">
        <f aca="false">IF(AND(OR('Choix pédagogiques'!$C$3=1,'Choix pédagogiques'!$C$3=2),$BM131=1),D131,IF(AND('Choix pédagogiques'!$C$3=3,$BO131=1),D131,""))</f>
        <v/>
      </c>
      <c r="Z131" s="53" t="str">
        <f aca="false">IF($E131&lt;&gt;"",$E131,"")</f>
        <v/>
      </c>
      <c r="AA131" s="52" t="str">
        <f aca="false">IF($F131&lt;&gt;"",$F131,"")</f>
        <v>Apprenant 119 ou 119'</v>
      </c>
      <c r="AB131" s="53" t="str">
        <f aca="false">IF(AND(OR('Choix pédagogiques'!$C$3=1,'Choix pédagogiques'!$C$3=2),$BN131=1),G131,IF(AND('Choix pédagogiques'!$C$3=3,$BO131=1),G131,""))</f>
        <v/>
      </c>
      <c r="AC131" s="53" t="str">
        <f aca="false">IF(AND(OR('Choix pédagogiques'!$C$3=1,'Choix pédagogiques'!$C$3=2),$BN131=1),H131,IF(AND('Choix pédagogiques'!$C$3=3,$BO131=1),H131,""))</f>
        <v/>
      </c>
      <c r="AD131" s="53" t="str">
        <f aca="false">IF(AND(OR('Choix pédagogiques'!$C$3=1,'Choix pédagogiques'!$C$3=2),$BN131=1),I131,IF(AND('Choix pédagogiques'!$C$3=3,$BO131=1),I131,""))</f>
        <v/>
      </c>
      <c r="AE131" s="53" t="str">
        <f aca="false">IF($J131&lt;&gt;"",$J131,"")</f>
        <v/>
      </c>
      <c r="AF131" s="52" t="str">
        <f aca="false">IF($A131&lt;&gt;"",$A131,"")</f>
        <v>Apprenant 119</v>
      </c>
      <c r="AG131" s="53" t="str">
        <f aca="false">IF(AND($W131&lt;&gt;"",$X131&lt;&gt;""),$X131-$W131,"")</f>
        <v/>
      </c>
      <c r="AH131" s="53" t="str">
        <f aca="false">IF(AND($W131&lt;&gt;"",$Y131&lt;&gt;""),$Y131-$W131,"")</f>
        <v/>
      </c>
      <c r="AI131" s="53" t="str">
        <f aca="false">IF(AND($X131&lt;&gt;"",$Y131&lt;&gt;""),$Y131-$X131,"")</f>
        <v/>
      </c>
      <c r="AJ131" s="53" t="str">
        <f aca="false">IF($E131&lt;&gt;"",$E131,"")</f>
        <v/>
      </c>
      <c r="AK131" s="52" t="str">
        <f aca="false">IF($F131&lt;&gt;"",$F131,"")</f>
        <v>Apprenant 119 ou 119'</v>
      </c>
      <c r="AL131" s="53" t="str">
        <f aca="false">IF(AND($AB131&lt;&gt;"",$AC131&lt;&gt;""),$AC131-$AB131,"")</f>
        <v/>
      </c>
      <c r="AM131" s="53" t="str">
        <f aca="false">IF(AND($AB131&lt;&gt;"",$AD131&lt;&gt;""),$AD131-$AB131,"")</f>
        <v/>
      </c>
      <c r="AN131" s="53" t="str">
        <f aca="false">IF(AND($AC131&lt;&gt;"",$AD131&lt;&gt;""),$AD131-$AC131,"")</f>
        <v/>
      </c>
      <c r="AO131" s="53" t="str">
        <f aca="false">IF($J131&lt;&gt;"",$J131,"")</f>
        <v/>
      </c>
      <c r="AQ131" s="52" t="str">
        <f aca="false">IF($A131&lt;&gt;"",$A131,"")</f>
        <v>Apprenant 119</v>
      </c>
      <c r="AR131" s="55" t="str">
        <f aca="false">IF(AND('Choix pédagogiques'!$C$4&lt;&gt;"?",'Choix pédagogiques'!$C$5&lt;&gt;"?",W131&lt;&gt;""),(W131-'Choix pédagogiques'!$C$4)/('Choix pédagogiques'!$C$5-'Choix pédagogiques'!$C$4),"")</f>
        <v/>
      </c>
      <c r="AS131" s="55" t="str">
        <f aca="false">IF(AND('Choix pédagogiques'!$C$4&lt;&gt;"?",'Choix pédagogiques'!$C$5&lt;&gt;"?",X131&lt;&gt;""),(X131-'Choix pédagogiques'!$C$4)/('Choix pédagogiques'!$C$5-'Choix pédagogiques'!$C$4),"")</f>
        <v/>
      </c>
      <c r="AT131" s="55" t="str">
        <f aca="false">IF(AND('Choix pédagogiques'!$C$4&lt;&gt;"?",'Choix pédagogiques'!$C$5&lt;&gt;"?",Y131&lt;&gt;""),(Y131-'Choix pédagogiques'!$C$4)/('Choix pédagogiques'!$C$5-'Choix pédagogiques'!$C$4),"")</f>
        <v/>
      </c>
      <c r="AU131" s="53" t="str">
        <f aca="false">IF($E131&lt;&gt;"",$E131,"")</f>
        <v/>
      </c>
      <c r="AV131" s="52" t="str">
        <f aca="false">IF($F131&lt;&gt;"",$F131,"")</f>
        <v>Apprenant 119 ou 119'</v>
      </c>
      <c r="AW131" s="55" t="str">
        <f aca="false">IF(AND('Choix pédagogiques'!$C$4&lt;&gt;"?",'Choix pédagogiques'!$C$5&lt;&gt;"?",AB131&lt;&gt;""),(AB131-'Choix pédagogiques'!$C$4)/('Choix pédagogiques'!$C$5-'Choix pédagogiques'!$C$4),"")</f>
        <v/>
      </c>
      <c r="AX131" s="55" t="str">
        <f aca="false">IF(AND('Choix pédagogiques'!$C$4&lt;&gt;"?",'Choix pédagogiques'!$C$5&lt;&gt;"?",AC131&lt;&gt;""),(AC131-'Choix pédagogiques'!$C$4)/('Choix pédagogiques'!$C$5-'Choix pédagogiques'!$C$4),"")</f>
        <v/>
      </c>
      <c r="AY131" s="55" t="str">
        <f aca="false">IF(AND('Choix pédagogiques'!$C$4&lt;&gt;"?",'Choix pédagogiques'!$C$5&lt;&gt;"?",AD131&lt;&gt;""),(AD131-'Choix pédagogiques'!$C$4)/('Choix pédagogiques'!$C$5-'Choix pédagogiques'!$C$4),"")</f>
        <v/>
      </c>
      <c r="AZ131" s="53" t="str">
        <f aca="false">IF($J131&lt;&gt;"",$J131,"")</f>
        <v/>
      </c>
      <c r="BA131" s="52" t="str">
        <f aca="false">IF($A131&lt;&gt;"",$A131,"")</f>
        <v>Apprenant 119</v>
      </c>
      <c r="BB131" s="55" t="str">
        <f aca="false">IF(AND($AR131&lt;&gt;"",$AS131&lt;&gt;""),$AS131-$AR131,"")</f>
        <v/>
      </c>
      <c r="BC131" s="55" t="str">
        <f aca="false">IF(AND($AR131&lt;&gt;"",$AT131&lt;&gt;""),$AT131-$AR131,"")</f>
        <v/>
      </c>
      <c r="BD131" s="55" t="str">
        <f aca="false">IF(AND($AS131&lt;&gt;"",$AT131&lt;&gt;""),$AT131-$AS131,"")</f>
        <v/>
      </c>
      <c r="BE131" s="53" t="str">
        <f aca="false">IF($E131&lt;&gt;"",$E131,"")</f>
        <v/>
      </c>
      <c r="BF131" s="52" t="str">
        <f aca="false">IF($F131&lt;&gt;"",$F131,"")</f>
        <v>Apprenant 119 ou 119'</v>
      </c>
      <c r="BG131" s="55" t="str">
        <f aca="false">IF(AND($AW131&lt;&gt;"",$AX131&lt;&gt;""),$AX131-$AW131,"")</f>
        <v/>
      </c>
      <c r="BH131" s="55" t="str">
        <f aca="false">IF(AND($AW131&lt;&gt;"",$AY131&lt;&gt;""),$AY131-$AW131,"")</f>
        <v/>
      </c>
      <c r="BI131" s="55" t="str">
        <f aca="false">IF(AND($AX131&lt;&gt;"",$AY131&lt;&gt;""),$AY131-$AX131,"")</f>
        <v/>
      </c>
      <c r="BJ131" s="53" t="str">
        <f aca="false">IF($J131&lt;&gt;"",$J131,"")</f>
        <v/>
      </c>
      <c r="BL131" s="52"/>
      <c r="BM131" s="52" t="str">
        <f aca="false">IF(OR(COUNT(B131:D1130)=0,AND('Choix pédagogiques'!$C$3&lt;&gt;1,'Choix pédagogiques'!$C$3&lt;&gt;2)),"",IF(AND(OR('Choix pédagogiques'!$C$3=1,'Choix pédagogiques'!$C$3=2),$B131&lt;&gt;"",$C131&lt;&gt;"",$D131&lt;&gt;""),1,0))</f>
        <v/>
      </c>
      <c r="BN131" s="52" t="str">
        <f aca="false">IF(OR(COUNT(G131:I1130)=0,AND('Choix pédagogiques'!$C$3&lt;&gt;1,'Choix pédagogiques'!$C$3&lt;&gt;2)),"",IF(AND(OR('Choix pédagogiques'!$C$3=1,'Choix pédagogiques'!$C$3=2),AND($G131&lt;&gt;"",$H131&lt;&gt;"",$I131&lt;&gt;"")),1,0))</f>
        <v/>
      </c>
      <c r="BO131" s="52" t="str">
        <f aca="false">IF(OR(COUNT(B131:D1130)=0,COUNT(G131:I1130)=0,'Choix pédagogiques'!C$3&lt;&gt;3),"",IF(AND('Choix pédagogiques'!$C$3=3,$B131&lt;&gt;"",$C131&lt;&gt;"",$D131&lt;&gt;"",$G131&lt;&gt;"",$H131&lt;&gt;"",$I131&lt;&gt;""),1,0))</f>
        <v/>
      </c>
      <c r="BR131" s="52" t="n">
        <v>645</v>
      </c>
      <c r="BS131" s="52" t="n">
        <v>1117</v>
      </c>
    </row>
    <row r="132" s="54" customFormat="true" ht="18" hidden="false" customHeight="true" outlineLevel="0" collapsed="false">
      <c r="A132" s="57" t="s">
        <v>195</v>
      </c>
      <c r="B132" s="51"/>
      <c r="C132" s="51"/>
      <c r="D132" s="51"/>
      <c r="E132" s="51"/>
      <c r="F132" s="57" t="s">
        <v>196</v>
      </c>
      <c r="G132" s="51"/>
      <c r="H132" s="51"/>
      <c r="I132" s="51"/>
      <c r="J132" s="51"/>
      <c r="K132" s="52" t="str">
        <f aca="false">IF($A132&lt;&gt;"",$A132,"")</f>
        <v>Apprenant 120</v>
      </c>
      <c r="L132" s="53" t="str">
        <f aca="false">IF(AND($B132&lt;&gt;"",$C132&lt;&gt;""),$C132-$B132,"")</f>
        <v/>
      </c>
      <c r="M132" s="53" t="str">
        <f aca="false">IF(AND($B132&lt;&gt;"",$D132&lt;&gt;""),$D132-$B132,"")</f>
        <v/>
      </c>
      <c r="N132" s="53" t="str">
        <f aca="false">IF(AND($C132&lt;&gt;"",$D132&lt;&gt;""),$D132-$C132,"")</f>
        <v/>
      </c>
      <c r="O132" s="53" t="str">
        <f aca="false">IF($E132&lt;&gt;"",$E132,"")</f>
        <v/>
      </c>
      <c r="P132" s="52" t="str">
        <f aca="false">IF($F132&lt;&gt;"",$F132,"")</f>
        <v>Apprenant 120 ou 120'</v>
      </c>
      <c r="Q132" s="53" t="str">
        <f aca="false">IF(AND($G132&lt;&gt;"",$H132&lt;&gt;""),$H132-$G132,"")</f>
        <v/>
      </c>
      <c r="R132" s="53" t="str">
        <f aca="false">IF(AND($G132&lt;&gt;"",$I132&lt;&gt;""),$I132-$G132,"")</f>
        <v/>
      </c>
      <c r="S132" s="53" t="str">
        <f aca="false">IF(AND($H132&lt;&gt;"",$I132&lt;&gt;""),$I132-$H132,"")</f>
        <v/>
      </c>
      <c r="T132" s="53" t="str">
        <f aca="false">IF($J132&lt;&gt;"",$J132,"")</f>
        <v/>
      </c>
      <c r="V132" s="52" t="str">
        <f aca="false">IF($A132&lt;&gt;"",$A132,"")</f>
        <v>Apprenant 120</v>
      </c>
      <c r="W132" s="53" t="str">
        <f aca="false">IF(AND(OR('Choix pédagogiques'!$C$3=1,'Choix pédagogiques'!$C$3=2),$BM132=1),B132,IF(AND('Choix pédagogiques'!$C$3=3,$BO132=1),B132,""))</f>
        <v/>
      </c>
      <c r="X132" s="53" t="str">
        <f aca="false">IF(AND(OR('Choix pédagogiques'!$C$3=1,'Choix pédagogiques'!$C$3=2),$BM132=1),C132,IF(AND('Choix pédagogiques'!$C$3=3,$BO132=1),C132,""))</f>
        <v/>
      </c>
      <c r="Y132" s="53" t="str">
        <f aca="false">IF(AND(OR('Choix pédagogiques'!$C$3=1,'Choix pédagogiques'!$C$3=2),$BM132=1),D132,IF(AND('Choix pédagogiques'!$C$3=3,$BO132=1),D132,""))</f>
        <v/>
      </c>
      <c r="Z132" s="53" t="str">
        <f aca="false">IF($E132&lt;&gt;"",$E132,"")</f>
        <v/>
      </c>
      <c r="AA132" s="52" t="str">
        <f aca="false">IF($F132&lt;&gt;"",$F132,"")</f>
        <v>Apprenant 120 ou 120'</v>
      </c>
      <c r="AB132" s="53" t="str">
        <f aca="false">IF(AND(OR('Choix pédagogiques'!$C$3=1,'Choix pédagogiques'!$C$3=2),$BN132=1),G132,IF(AND('Choix pédagogiques'!$C$3=3,$BO132=1),G132,""))</f>
        <v/>
      </c>
      <c r="AC132" s="53" t="str">
        <f aca="false">IF(AND(OR('Choix pédagogiques'!$C$3=1,'Choix pédagogiques'!$C$3=2),$BN132=1),H132,IF(AND('Choix pédagogiques'!$C$3=3,$BO132=1),H132,""))</f>
        <v/>
      </c>
      <c r="AD132" s="53" t="str">
        <f aca="false">IF(AND(OR('Choix pédagogiques'!$C$3=1,'Choix pédagogiques'!$C$3=2),$BN132=1),I132,IF(AND('Choix pédagogiques'!$C$3=3,$BO132=1),I132,""))</f>
        <v/>
      </c>
      <c r="AE132" s="53" t="str">
        <f aca="false">IF($J132&lt;&gt;"",$J132,"")</f>
        <v/>
      </c>
      <c r="AF132" s="52" t="str">
        <f aca="false">IF($A132&lt;&gt;"",$A132,"")</f>
        <v>Apprenant 120</v>
      </c>
      <c r="AG132" s="53" t="str">
        <f aca="false">IF(AND($W132&lt;&gt;"",$X132&lt;&gt;""),$X132-$W132,"")</f>
        <v/>
      </c>
      <c r="AH132" s="53" t="str">
        <f aca="false">IF(AND($W132&lt;&gt;"",$Y132&lt;&gt;""),$Y132-$W132,"")</f>
        <v/>
      </c>
      <c r="AI132" s="53" t="str">
        <f aca="false">IF(AND($X132&lt;&gt;"",$Y132&lt;&gt;""),$Y132-$X132,"")</f>
        <v/>
      </c>
      <c r="AJ132" s="53" t="str">
        <f aca="false">IF($E132&lt;&gt;"",$E132,"")</f>
        <v/>
      </c>
      <c r="AK132" s="52" t="str">
        <f aca="false">IF($F132&lt;&gt;"",$F132,"")</f>
        <v>Apprenant 120 ou 120'</v>
      </c>
      <c r="AL132" s="53" t="str">
        <f aca="false">IF(AND($AB132&lt;&gt;"",$AC132&lt;&gt;""),$AC132-$AB132,"")</f>
        <v/>
      </c>
      <c r="AM132" s="53" t="str">
        <f aca="false">IF(AND($AB132&lt;&gt;"",$AD132&lt;&gt;""),$AD132-$AB132,"")</f>
        <v/>
      </c>
      <c r="AN132" s="53" t="str">
        <f aca="false">IF(AND($AC132&lt;&gt;"",$AD132&lt;&gt;""),$AD132-$AC132,"")</f>
        <v/>
      </c>
      <c r="AO132" s="53" t="str">
        <f aca="false">IF($J132&lt;&gt;"",$J132,"")</f>
        <v/>
      </c>
      <c r="AQ132" s="52" t="str">
        <f aca="false">IF($A132&lt;&gt;"",$A132,"")</f>
        <v>Apprenant 120</v>
      </c>
      <c r="AR132" s="55" t="str">
        <f aca="false">IF(AND('Choix pédagogiques'!$C$4&lt;&gt;"?",'Choix pédagogiques'!$C$5&lt;&gt;"?",W132&lt;&gt;""),(W132-'Choix pédagogiques'!$C$4)/('Choix pédagogiques'!$C$5-'Choix pédagogiques'!$C$4),"")</f>
        <v/>
      </c>
      <c r="AS132" s="55" t="str">
        <f aca="false">IF(AND('Choix pédagogiques'!$C$4&lt;&gt;"?",'Choix pédagogiques'!$C$5&lt;&gt;"?",X132&lt;&gt;""),(X132-'Choix pédagogiques'!$C$4)/('Choix pédagogiques'!$C$5-'Choix pédagogiques'!$C$4),"")</f>
        <v/>
      </c>
      <c r="AT132" s="55" t="str">
        <f aca="false">IF(AND('Choix pédagogiques'!$C$4&lt;&gt;"?",'Choix pédagogiques'!$C$5&lt;&gt;"?",Y132&lt;&gt;""),(Y132-'Choix pédagogiques'!$C$4)/('Choix pédagogiques'!$C$5-'Choix pédagogiques'!$C$4),"")</f>
        <v/>
      </c>
      <c r="AU132" s="53" t="str">
        <f aca="false">IF($E132&lt;&gt;"",$E132,"")</f>
        <v/>
      </c>
      <c r="AV132" s="52" t="str">
        <f aca="false">IF($F132&lt;&gt;"",$F132,"")</f>
        <v>Apprenant 120 ou 120'</v>
      </c>
      <c r="AW132" s="55" t="str">
        <f aca="false">IF(AND('Choix pédagogiques'!$C$4&lt;&gt;"?",'Choix pédagogiques'!$C$5&lt;&gt;"?",AB132&lt;&gt;""),(AB132-'Choix pédagogiques'!$C$4)/('Choix pédagogiques'!$C$5-'Choix pédagogiques'!$C$4),"")</f>
        <v/>
      </c>
      <c r="AX132" s="55" t="str">
        <f aca="false">IF(AND('Choix pédagogiques'!$C$4&lt;&gt;"?",'Choix pédagogiques'!$C$5&lt;&gt;"?",AC132&lt;&gt;""),(AC132-'Choix pédagogiques'!$C$4)/('Choix pédagogiques'!$C$5-'Choix pédagogiques'!$C$4),"")</f>
        <v/>
      </c>
      <c r="AY132" s="55" t="str">
        <f aca="false">IF(AND('Choix pédagogiques'!$C$4&lt;&gt;"?",'Choix pédagogiques'!$C$5&lt;&gt;"?",AD132&lt;&gt;""),(AD132-'Choix pédagogiques'!$C$4)/('Choix pédagogiques'!$C$5-'Choix pédagogiques'!$C$4),"")</f>
        <v/>
      </c>
      <c r="AZ132" s="53" t="str">
        <f aca="false">IF($J132&lt;&gt;"",$J132,"")</f>
        <v/>
      </c>
      <c r="BA132" s="52" t="str">
        <f aca="false">IF($A132&lt;&gt;"",$A132,"")</f>
        <v>Apprenant 120</v>
      </c>
      <c r="BB132" s="55" t="str">
        <f aca="false">IF(AND($AR132&lt;&gt;"",$AS132&lt;&gt;""),$AS132-$AR132,"")</f>
        <v/>
      </c>
      <c r="BC132" s="55" t="str">
        <f aca="false">IF(AND($AR132&lt;&gt;"",$AT132&lt;&gt;""),$AT132-$AR132,"")</f>
        <v/>
      </c>
      <c r="BD132" s="55" t="str">
        <f aca="false">IF(AND($AS132&lt;&gt;"",$AT132&lt;&gt;""),$AT132-$AS132,"")</f>
        <v/>
      </c>
      <c r="BE132" s="53" t="str">
        <f aca="false">IF($E132&lt;&gt;"",$E132,"")</f>
        <v/>
      </c>
      <c r="BF132" s="52" t="str">
        <f aca="false">IF($F132&lt;&gt;"",$F132,"")</f>
        <v>Apprenant 120 ou 120'</v>
      </c>
      <c r="BG132" s="55" t="str">
        <f aca="false">IF(AND($AW132&lt;&gt;"",$AX132&lt;&gt;""),$AX132-$AW132,"")</f>
        <v/>
      </c>
      <c r="BH132" s="55" t="str">
        <f aca="false">IF(AND($AW132&lt;&gt;"",$AY132&lt;&gt;""),$AY132-$AW132,"")</f>
        <v/>
      </c>
      <c r="BI132" s="55" t="str">
        <f aca="false">IF(AND($AX132&lt;&gt;"",$AY132&lt;&gt;""),$AY132-$AX132,"")</f>
        <v/>
      </c>
      <c r="BJ132" s="53" t="str">
        <f aca="false">IF($J132&lt;&gt;"",$J132,"")</f>
        <v/>
      </c>
      <c r="BL132" s="52"/>
      <c r="BM132" s="52" t="str">
        <f aca="false">IF(OR(COUNT(B132:D1131)=0,AND('Choix pédagogiques'!$C$3&lt;&gt;1,'Choix pédagogiques'!$C$3&lt;&gt;2)),"",IF(AND(OR('Choix pédagogiques'!$C$3=1,'Choix pédagogiques'!$C$3=2),$B132&lt;&gt;"",$C132&lt;&gt;"",$D132&lt;&gt;""),1,0))</f>
        <v/>
      </c>
      <c r="BN132" s="52" t="str">
        <f aca="false">IF(OR(COUNT(G132:I1131)=0,AND('Choix pédagogiques'!$C$3&lt;&gt;1,'Choix pédagogiques'!$C$3&lt;&gt;2)),"",IF(AND(OR('Choix pédagogiques'!$C$3=1,'Choix pédagogiques'!$C$3=2),AND($G132&lt;&gt;"",$H132&lt;&gt;"",$I132&lt;&gt;"")),1,0))</f>
        <v/>
      </c>
      <c r="BO132" s="52" t="str">
        <f aca="false">IF(OR(COUNT(B132:D1131)=0,COUNT(G132:I1131)=0,'Choix pédagogiques'!C$3&lt;&gt;3),"",IF(AND('Choix pédagogiques'!$C$3=3,$B132&lt;&gt;"",$C132&lt;&gt;"",$D132&lt;&gt;"",$G132&lt;&gt;"",$H132&lt;&gt;"",$I132&lt;&gt;""),1,0))</f>
        <v/>
      </c>
      <c r="BR132" s="52" t="n">
        <v>523</v>
      </c>
      <c r="BS132" s="52" t="n">
        <v>1723</v>
      </c>
    </row>
    <row r="133" s="54" customFormat="true" ht="18" hidden="false" customHeight="true" outlineLevel="0" collapsed="false">
      <c r="A133" s="57" t="s">
        <v>197</v>
      </c>
      <c r="B133" s="51"/>
      <c r="C133" s="51"/>
      <c r="D133" s="51"/>
      <c r="E133" s="51"/>
      <c r="F133" s="57" t="s">
        <v>198</v>
      </c>
      <c r="G133" s="51"/>
      <c r="H133" s="51"/>
      <c r="I133" s="51"/>
      <c r="J133" s="51"/>
      <c r="K133" s="52" t="str">
        <f aca="false">IF($A133&lt;&gt;"",$A133,"")</f>
        <v>Apprenant 121</v>
      </c>
      <c r="L133" s="53" t="str">
        <f aca="false">IF(AND($B133&lt;&gt;"",$C133&lt;&gt;""),$C133-$B133,"")</f>
        <v/>
      </c>
      <c r="M133" s="53" t="str">
        <f aca="false">IF(AND($B133&lt;&gt;"",$D133&lt;&gt;""),$D133-$B133,"")</f>
        <v/>
      </c>
      <c r="N133" s="53" t="str">
        <f aca="false">IF(AND($C133&lt;&gt;"",$D133&lt;&gt;""),$D133-$C133,"")</f>
        <v/>
      </c>
      <c r="O133" s="53" t="str">
        <f aca="false">IF($E133&lt;&gt;"",$E133,"")</f>
        <v/>
      </c>
      <c r="P133" s="52" t="str">
        <f aca="false">IF($F133&lt;&gt;"",$F133,"")</f>
        <v>Apprenant 121 ou 121'</v>
      </c>
      <c r="Q133" s="53" t="str">
        <f aca="false">IF(AND($G133&lt;&gt;"",$H133&lt;&gt;""),$H133-$G133,"")</f>
        <v/>
      </c>
      <c r="R133" s="53" t="str">
        <f aca="false">IF(AND($G133&lt;&gt;"",$I133&lt;&gt;""),$I133-$G133,"")</f>
        <v/>
      </c>
      <c r="S133" s="53" t="str">
        <f aca="false">IF(AND($H133&lt;&gt;"",$I133&lt;&gt;""),$I133-$H133,"")</f>
        <v/>
      </c>
      <c r="T133" s="53" t="str">
        <f aca="false">IF($J133&lt;&gt;"",$J133,"")</f>
        <v/>
      </c>
      <c r="V133" s="52" t="str">
        <f aca="false">IF($A133&lt;&gt;"",$A133,"")</f>
        <v>Apprenant 121</v>
      </c>
      <c r="W133" s="53" t="str">
        <f aca="false">IF(AND(OR('Choix pédagogiques'!$C$3=1,'Choix pédagogiques'!$C$3=2),$BM133=1),B133,IF(AND('Choix pédagogiques'!$C$3=3,$BO133=1),B133,""))</f>
        <v/>
      </c>
      <c r="X133" s="53" t="str">
        <f aca="false">IF(AND(OR('Choix pédagogiques'!$C$3=1,'Choix pédagogiques'!$C$3=2),$BM133=1),C133,IF(AND('Choix pédagogiques'!$C$3=3,$BO133=1),C133,""))</f>
        <v/>
      </c>
      <c r="Y133" s="53" t="str">
        <f aca="false">IF(AND(OR('Choix pédagogiques'!$C$3=1,'Choix pédagogiques'!$C$3=2),$BM133=1),D133,IF(AND('Choix pédagogiques'!$C$3=3,$BO133=1),D133,""))</f>
        <v/>
      </c>
      <c r="Z133" s="53" t="str">
        <f aca="false">IF($E133&lt;&gt;"",$E133,"")</f>
        <v/>
      </c>
      <c r="AA133" s="52" t="str">
        <f aca="false">IF($F133&lt;&gt;"",$F133,"")</f>
        <v>Apprenant 121 ou 121'</v>
      </c>
      <c r="AB133" s="53" t="str">
        <f aca="false">IF(AND(OR('Choix pédagogiques'!$C$3=1,'Choix pédagogiques'!$C$3=2),$BN133=1),G133,IF(AND('Choix pédagogiques'!$C$3=3,$BO133=1),G133,""))</f>
        <v/>
      </c>
      <c r="AC133" s="53" t="str">
        <f aca="false">IF(AND(OR('Choix pédagogiques'!$C$3=1,'Choix pédagogiques'!$C$3=2),$BN133=1),H133,IF(AND('Choix pédagogiques'!$C$3=3,$BO133=1),H133,""))</f>
        <v/>
      </c>
      <c r="AD133" s="53" t="str">
        <f aca="false">IF(AND(OR('Choix pédagogiques'!$C$3=1,'Choix pédagogiques'!$C$3=2),$BN133=1),I133,IF(AND('Choix pédagogiques'!$C$3=3,$BO133=1),I133,""))</f>
        <v/>
      </c>
      <c r="AE133" s="53" t="str">
        <f aca="false">IF($J133&lt;&gt;"",$J133,"")</f>
        <v/>
      </c>
      <c r="AF133" s="52" t="str">
        <f aca="false">IF($A133&lt;&gt;"",$A133,"")</f>
        <v>Apprenant 121</v>
      </c>
      <c r="AG133" s="53" t="str">
        <f aca="false">IF(AND($W133&lt;&gt;"",$X133&lt;&gt;""),$X133-$W133,"")</f>
        <v/>
      </c>
      <c r="AH133" s="53" t="str">
        <f aca="false">IF(AND($W133&lt;&gt;"",$Y133&lt;&gt;""),$Y133-$W133,"")</f>
        <v/>
      </c>
      <c r="AI133" s="53" t="str">
        <f aca="false">IF(AND($X133&lt;&gt;"",$Y133&lt;&gt;""),$Y133-$X133,"")</f>
        <v/>
      </c>
      <c r="AJ133" s="53" t="str">
        <f aca="false">IF($E133&lt;&gt;"",$E133,"")</f>
        <v/>
      </c>
      <c r="AK133" s="52" t="str">
        <f aca="false">IF($F133&lt;&gt;"",$F133,"")</f>
        <v>Apprenant 121 ou 121'</v>
      </c>
      <c r="AL133" s="53" t="str">
        <f aca="false">IF(AND($AB133&lt;&gt;"",$AC133&lt;&gt;""),$AC133-$AB133,"")</f>
        <v/>
      </c>
      <c r="AM133" s="53" t="str">
        <f aca="false">IF(AND($AB133&lt;&gt;"",$AD133&lt;&gt;""),$AD133-$AB133,"")</f>
        <v/>
      </c>
      <c r="AN133" s="53" t="str">
        <f aca="false">IF(AND($AC133&lt;&gt;"",$AD133&lt;&gt;""),$AD133-$AC133,"")</f>
        <v/>
      </c>
      <c r="AO133" s="53" t="str">
        <f aca="false">IF($J133&lt;&gt;"",$J133,"")</f>
        <v/>
      </c>
      <c r="AQ133" s="52" t="str">
        <f aca="false">IF($A133&lt;&gt;"",$A133,"")</f>
        <v>Apprenant 121</v>
      </c>
      <c r="AR133" s="55" t="str">
        <f aca="false">IF(AND('Choix pédagogiques'!$C$4&lt;&gt;"?",'Choix pédagogiques'!$C$5&lt;&gt;"?",W133&lt;&gt;""),(W133-'Choix pédagogiques'!$C$4)/('Choix pédagogiques'!$C$5-'Choix pédagogiques'!$C$4),"")</f>
        <v/>
      </c>
      <c r="AS133" s="55" t="str">
        <f aca="false">IF(AND('Choix pédagogiques'!$C$4&lt;&gt;"?",'Choix pédagogiques'!$C$5&lt;&gt;"?",X133&lt;&gt;""),(X133-'Choix pédagogiques'!$C$4)/('Choix pédagogiques'!$C$5-'Choix pédagogiques'!$C$4),"")</f>
        <v/>
      </c>
      <c r="AT133" s="55" t="str">
        <f aca="false">IF(AND('Choix pédagogiques'!$C$4&lt;&gt;"?",'Choix pédagogiques'!$C$5&lt;&gt;"?",Y133&lt;&gt;""),(Y133-'Choix pédagogiques'!$C$4)/('Choix pédagogiques'!$C$5-'Choix pédagogiques'!$C$4),"")</f>
        <v/>
      </c>
      <c r="AU133" s="53" t="str">
        <f aca="false">IF($E133&lt;&gt;"",$E133,"")</f>
        <v/>
      </c>
      <c r="AV133" s="52" t="str">
        <f aca="false">IF($F133&lt;&gt;"",$F133,"")</f>
        <v>Apprenant 121 ou 121'</v>
      </c>
      <c r="AW133" s="55" t="str">
        <f aca="false">IF(AND('Choix pédagogiques'!$C$4&lt;&gt;"?",'Choix pédagogiques'!$C$5&lt;&gt;"?",AB133&lt;&gt;""),(AB133-'Choix pédagogiques'!$C$4)/('Choix pédagogiques'!$C$5-'Choix pédagogiques'!$C$4),"")</f>
        <v/>
      </c>
      <c r="AX133" s="55" t="str">
        <f aca="false">IF(AND('Choix pédagogiques'!$C$4&lt;&gt;"?",'Choix pédagogiques'!$C$5&lt;&gt;"?",AC133&lt;&gt;""),(AC133-'Choix pédagogiques'!$C$4)/('Choix pédagogiques'!$C$5-'Choix pédagogiques'!$C$4),"")</f>
        <v/>
      </c>
      <c r="AY133" s="55" t="str">
        <f aca="false">IF(AND('Choix pédagogiques'!$C$4&lt;&gt;"?",'Choix pédagogiques'!$C$5&lt;&gt;"?",AD133&lt;&gt;""),(AD133-'Choix pédagogiques'!$C$4)/('Choix pédagogiques'!$C$5-'Choix pédagogiques'!$C$4),"")</f>
        <v/>
      </c>
      <c r="AZ133" s="53" t="str">
        <f aca="false">IF($J133&lt;&gt;"",$J133,"")</f>
        <v/>
      </c>
      <c r="BA133" s="52" t="str">
        <f aca="false">IF($A133&lt;&gt;"",$A133,"")</f>
        <v>Apprenant 121</v>
      </c>
      <c r="BB133" s="55" t="str">
        <f aca="false">IF(AND($AR133&lt;&gt;"",$AS133&lt;&gt;""),$AS133-$AR133,"")</f>
        <v/>
      </c>
      <c r="BC133" s="55" t="str">
        <f aca="false">IF(AND($AR133&lt;&gt;"",$AT133&lt;&gt;""),$AT133-$AR133,"")</f>
        <v/>
      </c>
      <c r="BD133" s="55" t="str">
        <f aca="false">IF(AND($AS133&lt;&gt;"",$AT133&lt;&gt;""),$AT133-$AS133,"")</f>
        <v/>
      </c>
      <c r="BE133" s="53" t="str">
        <f aca="false">IF($E133&lt;&gt;"",$E133,"")</f>
        <v/>
      </c>
      <c r="BF133" s="52" t="str">
        <f aca="false">IF($F133&lt;&gt;"",$F133,"")</f>
        <v>Apprenant 121 ou 121'</v>
      </c>
      <c r="BG133" s="55" t="str">
        <f aca="false">IF(AND($AW133&lt;&gt;"",$AX133&lt;&gt;""),$AX133-$AW133,"")</f>
        <v/>
      </c>
      <c r="BH133" s="55" t="str">
        <f aca="false">IF(AND($AW133&lt;&gt;"",$AY133&lt;&gt;""),$AY133-$AW133,"")</f>
        <v/>
      </c>
      <c r="BI133" s="55" t="str">
        <f aca="false">IF(AND($AX133&lt;&gt;"",$AY133&lt;&gt;""),$AY133-$AX133,"")</f>
        <v/>
      </c>
      <c r="BJ133" s="53" t="str">
        <f aca="false">IF($J133&lt;&gt;"",$J133,"")</f>
        <v/>
      </c>
      <c r="BL133" s="52"/>
      <c r="BM133" s="52" t="str">
        <f aca="false">IF(OR(COUNT(B133:D1132)=0,AND('Choix pédagogiques'!$C$3&lt;&gt;1,'Choix pédagogiques'!$C$3&lt;&gt;2)),"",IF(AND(OR('Choix pédagogiques'!$C$3=1,'Choix pédagogiques'!$C$3=2),$B133&lt;&gt;"",$C133&lt;&gt;"",$D133&lt;&gt;""),1,0))</f>
        <v/>
      </c>
      <c r="BN133" s="52" t="str">
        <f aca="false">IF(OR(COUNT(G133:I1132)=0,AND('Choix pédagogiques'!$C$3&lt;&gt;1,'Choix pédagogiques'!$C$3&lt;&gt;2)),"",IF(AND(OR('Choix pédagogiques'!$C$3=1,'Choix pédagogiques'!$C$3=2),AND($G133&lt;&gt;"",$H133&lt;&gt;"",$I133&lt;&gt;"")),1,0))</f>
        <v/>
      </c>
      <c r="BO133" s="52" t="str">
        <f aca="false">IF(OR(COUNT(B133:D1132)=0,COUNT(G133:I1132)=0,'Choix pédagogiques'!C$3&lt;&gt;3),"",IF(AND('Choix pédagogiques'!$C$3=3,$B133&lt;&gt;"",$C133&lt;&gt;"",$D133&lt;&gt;"",$G133&lt;&gt;"",$H133&lt;&gt;"",$I133&lt;&gt;""),1,0))</f>
        <v/>
      </c>
      <c r="BR133" s="52" t="n">
        <v>279</v>
      </c>
      <c r="BS133" s="52" t="n">
        <v>1411</v>
      </c>
    </row>
    <row r="134" s="54" customFormat="true" ht="18" hidden="false" customHeight="true" outlineLevel="0" collapsed="false">
      <c r="A134" s="57" t="s">
        <v>199</v>
      </c>
      <c r="B134" s="51"/>
      <c r="C134" s="51"/>
      <c r="D134" s="51"/>
      <c r="E134" s="51"/>
      <c r="F134" s="57" t="s">
        <v>200</v>
      </c>
      <c r="G134" s="51"/>
      <c r="H134" s="51"/>
      <c r="I134" s="51"/>
      <c r="J134" s="51"/>
      <c r="K134" s="52" t="str">
        <f aca="false">IF($A134&lt;&gt;"",$A134,"")</f>
        <v>Apprenant 122</v>
      </c>
      <c r="L134" s="53" t="str">
        <f aca="false">IF(AND($B134&lt;&gt;"",$C134&lt;&gt;""),$C134-$B134,"")</f>
        <v/>
      </c>
      <c r="M134" s="53" t="str">
        <f aca="false">IF(AND($B134&lt;&gt;"",$D134&lt;&gt;""),$D134-$B134,"")</f>
        <v/>
      </c>
      <c r="N134" s="53" t="str">
        <f aca="false">IF(AND($C134&lt;&gt;"",$D134&lt;&gt;""),$D134-$C134,"")</f>
        <v/>
      </c>
      <c r="O134" s="53" t="str">
        <f aca="false">IF($E134&lt;&gt;"",$E134,"")</f>
        <v/>
      </c>
      <c r="P134" s="52" t="str">
        <f aca="false">IF($F134&lt;&gt;"",$F134,"")</f>
        <v>Apprenant 122 ou 122'</v>
      </c>
      <c r="Q134" s="53" t="str">
        <f aca="false">IF(AND($G134&lt;&gt;"",$H134&lt;&gt;""),$H134-$G134,"")</f>
        <v/>
      </c>
      <c r="R134" s="53" t="str">
        <f aca="false">IF(AND($G134&lt;&gt;"",$I134&lt;&gt;""),$I134-$G134,"")</f>
        <v/>
      </c>
      <c r="S134" s="53" t="str">
        <f aca="false">IF(AND($H134&lt;&gt;"",$I134&lt;&gt;""),$I134-$H134,"")</f>
        <v/>
      </c>
      <c r="T134" s="53" t="str">
        <f aca="false">IF($J134&lt;&gt;"",$J134,"")</f>
        <v/>
      </c>
      <c r="V134" s="52" t="str">
        <f aca="false">IF($A134&lt;&gt;"",$A134,"")</f>
        <v>Apprenant 122</v>
      </c>
      <c r="W134" s="53" t="str">
        <f aca="false">IF(AND(OR('Choix pédagogiques'!$C$3=1,'Choix pédagogiques'!$C$3=2),$BM134=1),B134,IF(AND('Choix pédagogiques'!$C$3=3,$BO134=1),B134,""))</f>
        <v/>
      </c>
      <c r="X134" s="53" t="str">
        <f aca="false">IF(AND(OR('Choix pédagogiques'!$C$3=1,'Choix pédagogiques'!$C$3=2),$BM134=1),C134,IF(AND('Choix pédagogiques'!$C$3=3,$BO134=1),C134,""))</f>
        <v/>
      </c>
      <c r="Y134" s="53" t="str">
        <f aca="false">IF(AND(OR('Choix pédagogiques'!$C$3=1,'Choix pédagogiques'!$C$3=2),$BM134=1),D134,IF(AND('Choix pédagogiques'!$C$3=3,$BO134=1),D134,""))</f>
        <v/>
      </c>
      <c r="Z134" s="53" t="str">
        <f aca="false">IF($E134&lt;&gt;"",$E134,"")</f>
        <v/>
      </c>
      <c r="AA134" s="52" t="str">
        <f aca="false">IF($F134&lt;&gt;"",$F134,"")</f>
        <v>Apprenant 122 ou 122'</v>
      </c>
      <c r="AB134" s="53" t="str">
        <f aca="false">IF(AND(OR('Choix pédagogiques'!$C$3=1,'Choix pédagogiques'!$C$3=2),$BN134=1),G134,IF(AND('Choix pédagogiques'!$C$3=3,$BO134=1),G134,""))</f>
        <v/>
      </c>
      <c r="AC134" s="53" t="str">
        <f aca="false">IF(AND(OR('Choix pédagogiques'!$C$3=1,'Choix pédagogiques'!$C$3=2),$BN134=1),H134,IF(AND('Choix pédagogiques'!$C$3=3,$BO134=1),H134,""))</f>
        <v/>
      </c>
      <c r="AD134" s="53" t="str">
        <f aca="false">IF(AND(OR('Choix pédagogiques'!$C$3=1,'Choix pédagogiques'!$C$3=2),$BN134=1),I134,IF(AND('Choix pédagogiques'!$C$3=3,$BO134=1),I134,""))</f>
        <v/>
      </c>
      <c r="AE134" s="53" t="str">
        <f aca="false">IF($J134&lt;&gt;"",$J134,"")</f>
        <v/>
      </c>
      <c r="AF134" s="52" t="str">
        <f aca="false">IF($A134&lt;&gt;"",$A134,"")</f>
        <v>Apprenant 122</v>
      </c>
      <c r="AG134" s="53" t="str">
        <f aca="false">IF(AND($W134&lt;&gt;"",$X134&lt;&gt;""),$X134-$W134,"")</f>
        <v/>
      </c>
      <c r="AH134" s="53" t="str">
        <f aca="false">IF(AND($W134&lt;&gt;"",$Y134&lt;&gt;""),$Y134-$W134,"")</f>
        <v/>
      </c>
      <c r="AI134" s="53" t="str">
        <f aca="false">IF(AND($X134&lt;&gt;"",$Y134&lt;&gt;""),$Y134-$X134,"")</f>
        <v/>
      </c>
      <c r="AJ134" s="53" t="str">
        <f aca="false">IF($E134&lt;&gt;"",$E134,"")</f>
        <v/>
      </c>
      <c r="AK134" s="52" t="str">
        <f aca="false">IF($F134&lt;&gt;"",$F134,"")</f>
        <v>Apprenant 122 ou 122'</v>
      </c>
      <c r="AL134" s="53" t="str">
        <f aca="false">IF(AND($AB134&lt;&gt;"",$AC134&lt;&gt;""),$AC134-$AB134,"")</f>
        <v/>
      </c>
      <c r="AM134" s="53" t="str">
        <f aca="false">IF(AND($AB134&lt;&gt;"",$AD134&lt;&gt;""),$AD134-$AB134,"")</f>
        <v/>
      </c>
      <c r="AN134" s="53" t="str">
        <f aca="false">IF(AND($AC134&lt;&gt;"",$AD134&lt;&gt;""),$AD134-$AC134,"")</f>
        <v/>
      </c>
      <c r="AO134" s="53" t="str">
        <f aca="false">IF($J134&lt;&gt;"",$J134,"")</f>
        <v/>
      </c>
      <c r="AQ134" s="52" t="str">
        <f aca="false">IF($A134&lt;&gt;"",$A134,"")</f>
        <v>Apprenant 122</v>
      </c>
      <c r="AR134" s="55" t="str">
        <f aca="false">IF(AND('Choix pédagogiques'!$C$4&lt;&gt;"?",'Choix pédagogiques'!$C$5&lt;&gt;"?",W134&lt;&gt;""),(W134-'Choix pédagogiques'!$C$4)/('Choix pédagogiques'!$C$5-'Choix pédagogiques'!$C$4),"")</f>
        <v/>
      </c>
      <c r="AS134" s="55" t="str">
        <f aca="false">IF(AND('Choix pédagogiques'!$C$4&lt;&gt;"?",'Choix pédagogiques'!$C$5&lt;&gt;"?",X134&lt;&gt;""),(X134-'Choix pédagogiques'!$C$4)/('Choix pédagogiques'!$C$5-'Choix pédagogiques'!$C$4),"")</f>
        <v/>
      </c>
      <c r="AT134" s="55" t="str">
        <f aca="false">IF(AND('Choix pédagogiques'!$C$4&lt;&gt;"?",'Choix pédagogiques'!$C$5&lt;&gt;"?",Y134&lt;&gt;""),(Y134-'Choix pédagogiques'!$C$4)/('Choix pédagogiques'!$C$5-'Choix pédagogiques'!$C$4),"")</f>
        <v/>
      </c>
      <c r="AU134" s="53" t="str">
        <f aca="false">IF($E134&lt;&gt;"",$E134,"")</f>
        <v/>
      </c>
      <c r="AV134" s="52" t="str">
        <f aca="false">IF($F134&lt;&gt;"",$F134,"")</f>
        <v>Apprenant 122 ou 122'</v>
      </c>
      <c r="AW134" s="55" t="str">
        <f aca="false">IF(AND('Choix pédagogiques'!$C$4&lt;&gt;"?",'Choix pédagogiques'!$C$5&lt;&gt;"?",AB134&lt;&gt;""),(AB134-'Choix pédagogiques'!$C$4)/('Choix pédagogiques'!$C$5-'Choix pédagogiques'!$C$4),"")</f>
        <v/>
      </c>
      <c r="AX134" s="55" t="str">
        <f aca="false">IF(AND('Choix pédagogiques'!$C$4&lt;&gt;"?",'Choix pédagogiques'!$C$5&lt;&gt;"?",AC134&lt;&gt;""),(AC134-'Choix pédagogiques'!$C$4)/('Choix pédagogiques'!$C$5-'Choix pédagogiques'!$C$4),"")</f>
        <v/>
      </c>
      <c r="AY134" s="55" t="str">
        <f aca="false">IF(AND('Choix pédagogiques'!$C$4&lt;&gt;"?",'Choix pédagogiques'!$C$5&lt;&gt;"?",AD134&lt;&gt;""),(AD134-'Choix pédagogiques'!$C$4)/('Choix pédagogiques'!$C$5-'Choix pédagogiques'!$C$4),"")</f>
        <v/>
      </c>
      <c r="AZ134" s="53" t="str">
        <f aca="false">IF($J134&lt;&gt;"",$J134,"")</f>
        <v/>
      </c>
      <c r="BA134" s="52" t="str">
        <f aca="false">IF($A134&lt;&gt;"",$A134,"")</f>
        <v>Apprenant 122</v>
      </c>
      <c r="BB134" s="55" t="str">
        <f aca="false">IF(AND($AR134&lt;&gt;"",$AS134&lt;&gt;""),$AS134-$AR134,"")</f>
        <v/>
      </c>
      <c r="BC134" s="55" t="str">
        <f aca="false">IF(AND($AR134&lt;&gt;"",$AT134&lt;&gt;""),$AT134-$AR134,"")</f>
        <v/>
      </c>
      <c r="BD134" s="55" t="str">
        <f aca="false">IF(AND($AS134&lt;&gt;"",$AT134&lt;&gt;""),$AT134-$AS134,"")</f>
        <v/>
      </c>
      <c r="BE134" s="53" t="str">
        <f aca="false">IF($E134&lt;&gt;"",$E134,"")</f>
        <v/>
      </c>
      <c r="BF134" s="52" t="str">
        <f aca="false">IF($F134&lt;&gt;"",$F134,"")</f>
        <v>Apprenant 122 ou 122'</v>
      </c>
      <c r="BG134" s="55" t="str">
        <f aca="false">IF(AND($AW134&lt;&gt;"",$AX134&lt;&gt;""),$AX134-$AW134,"")</f>
        <v/>
      </c>
      <c r="BH134" s="55" t="str">
        <f aca="false">IF(AND($AW134&lt;&gt;"",$AY134&lt;&gt;""),$AY134-$AW134,"")</f>
        <v/>
      </c>
      <c r="BI134" s="55" t="str">
        <f aca="false">IF(AND($AX134&lt;&gt;"",$AY134&lt;&gt;""),$AY134-$AX134,"")</f>
        <v/>
      </c>
      <c r="BJ134" s="53" t="str">
        <f aca="false">IF($J134&lt;&gt;"",$J134,"")</f>
        <v/>
      </c>
      <c r="BL134" s="52"/>
      <c r="BM134" s="52" t="str">
        <f aca="false">IF(OR(COUNT(B134:D1133)=0,AND('Choix pédagogiques'!$C$3&lt;&gt;1,'Choix pédagogiques'!$C$3&lt;&gt;2)),"",IF(AND(OR('Choix pédagogiques'!$C$3=1,'Choix pédagogiques'!$C$3=2),$B134&lt;&gt;"",$C134&lt;&gt;"",$D134&lt;&gt;""),1,0))</f>
        <v/>
      </c>
      <c r="BN134" s="52" t="str">
        <f aca="false">IF(OR(COUNT(G134:I1133)=0,AND('Choix pédagogiques'!$C$3&lt;&gt;1,'Choix pédagogiques'!$C$3&lt;&gt;2)),"",IF(AND(OR('Choix pédagogiques'!$C$3=1,'Choix pédagogiques'!$C$3=2),AND($G134&lt;&gt;"",$H134&lt;&gt;"",$I134&lt;&gt;"")),1,0))</f>
        <v/>
      </c>
      <c r="BO134" s="52" t="str">
        <f aca="false">IF(OR(COUNT(B134:D1133)=0,COUNT(G134:I1133)=0,'Choix pédagogiques'!C$3&lt;&gt;3),"",IF(AND('Choix pédagogiques'!$C$3=3,$B134&lt;&gt;"",$C134&lt;&gt;"",$D134&lt;&gt;"",$G134&lt;&gt;"",$H134&lt;&gt;"",$I134&lt;&gt;""),1,0))</f>
        <v/>
      </c>
      <c r="BR134" s="52" t="n">
        <v>336</v>
      </c>
      <c r="BS134" s="52" t="n">
        <v>1358</v>
      </c>
    </row>
    <row r="135" s="54" customFormat="true" ht="18" hidden="false" customHeight="true" outlineLevel="0" collapsed="false">
      <c r="A135" s="57" t="s">
        <v>201</v>
      </c>
      <c r="B135" s="51"/>
      <c r="C135" s="51"/>
      <c r="D135" s="51"/>
      <c r="E135" s="51"/>
      <c r="F135" s="57" t="s">
        <v>202</v>
      </c>
      <c r="G135" s="51"/>
      <c r="H135" s="51"/>
      <c r="I135" s="51"/>
      <c r="J135" s="51"/>
      <c r="K135" s="52" t="str">
        <f aca="false">IF($A135&lt;&gt;"",$A135,"")</f>
        <v>Apprenant 123</v>
      </c>
      <c r="L135" s="53" t="str">
        <f aca="false">IF(AND($B135&lt;&gt;"",$C135&lt;&gt;""),$C135-$B135,"")</f>
        <v/>
      </c>
      <c r="M135" s="53" t="str">
        <f aca="false">IF(AND($B135&lt;&gt;"",$D135&lt;&gt;""),$D135-$B135,"")</f>
        <v/>
      </c>
      <c r="N135" s="53" t="str">
        <f aca="false">IF(AND($C135&lt;&gt;"",$D135&lt;&gt;""),$D135-$C135,"")</f>
        <v/>
      </c>
      <c r="O135" s="53" t="str">
        <f aca="false">IF($E135&lt;&gt;"",$E135,"")</f>
        <v/>
      </c>
      <c r="P135" s="52" t="str">
        <f aca="false">IF($F135&lt;&gt;"",$F135,"")</f>
        <v>Apprenant 123 ou 123'</v>
      </c>
      <c r="Q135" s="53" t="str">
        <f aca="false">IF(AND($G135&lt;&gt;"",$H135&lt;&gt;""),$H135-$G135,"")</f>
        <v/>
      </c>
      <c r="R135" s="53" t="str">
        <f aca="false">IF(AND($G135&lt;&gt;"",$I135&lt;&gt;""),$I135-$G135,"")</f>
        <v/>
      </c>
      <c r="S135" s="53" t="str">
        <f aca="false">IF(AND($H135&lt;&gt;"",$I135&lt;&gt;""),$I135-$H135,"")</f>
        <v/>
      </c>
      <c r="T135" s="53" t="str">
        <f aca="false">IF($J135&lt;&gt;"",$J135,"")</f>
        <v/>
      </c>
      <c r="V135" s="52" t="str">
        <f aca="false">IF($A135&lt;&gt;"",$A135,"")</f>
        <v>Apprenant 123</v>
      </c>
      <c r="W135" s="53" t="str">
        <f aca="false">IF(AND(OR('Choix pédagogiques'!$C$3=1,'Choix pédagogiques'!$C$3=2),$BM135=1),B135,IF(AND('Choix pédagogiques'!$C$3=3,$BO135=1),B135,""))</f>
        <v/>
      </c>
      <c r="X135" s="53" t="str">
        <f aca="false">IF(AND(OR('Choix pédagogiques'!$C$3=1,'Choix pédagogiques'!$C$3=2),$BM135=1),C135,IF(AND('Choix pédagogiques'!$C$3=3,$BO135=1),C135,""))</f>
        <v/>
      </c>
      <c r="Y135" s="53" t="str">
        <f aca="false">IF(AND(OR('Choix pédagogiques'!$C$3=1,'Choix pédagogiques'!$C$3=2),$BM135=1),D135,IF(AND('Choix pédagogiques'!$C$3=3,$BO135=1),D135,""))</f>
        <v/>
      </c>
      <c r="Z135" s="53" t="str">
        <f aca="false">IF($E135&lt;&gt;"",$E135,"")</f>
        <v/>
      </c>
      <c r="AA135" s="52" t="str">
        <f aca="false">IF($F135&lt;&gt;"",$F135,"")</f>
        <v>Apprenant 123 ou 123'</v>
      </c>
      <c r="AB135" s="53" t="str">
        <f aca="false">IF(AND(OR('Choix pédagogiques'!$C$3=1,'Choix pédagogiques'!$C$3=2),$BN135=1),G135,IF(AND('Choix pédagogiques'!$C$3=3,$BO135=1),G135,""))</f>
        <v/>
      </c>
      <c r="AC135" s="53" t="str">
        <f aca="false">IF(AND(OR('Choix pédagogiques'!$C$3=1,'Choix pédagogiques'!$C$3=2),$BN135=1),H135,IF(AND('Choix pédagogiques'!$C$3=3,$BO135=1),H135,""))</f>
        <v/>
      </c>
      <c r="AD135" s="53" t="str">
        <f aca="false">IF(AND(OR('Choix pédagogiques'!$C$3=1,'Choix pédagogiques'!$C$3=2),$BN135=1),I135,IF(AND('Choix pédagogiques'!$C$3=3,$BO135=1),I135,""))</f>
        <v/>
      </c>
      <c r="AE135" s="53" t="str">
        <f aca="false">IF($J135&lt;&gt;"",$J135,"")</f>
        <v/>
      </c>
      <c r="AF135" s="52" t="str">
        <f aca="false">IF($A135&lt;&gt;"",$A135,"")</f>
        <v>Apprenant 123</v>
      </c>
      <c r="AG135" s="53" t="str">
        <f aca="false">IF(AND($W135&lt;&gt;"",$X135&lt;&gt;""),$X135-$W135,"")</f>
        <v/>
      </c>
      <c r="AH135" s="53" t="str">
        <f aca="false">IF(AND($W135&lt;&gt;"",$Y135&lt;&gt;""),$Y135-$W135,"")</f>
        <v/>
      </c>
      <c r="AI135" s="53" t="str">
        <f aca="false">IF(AND($X135&lt;&gt;"",$Y135&lt;&gt;""),$Y135-$X135,"")</f>
        <v/>
      </c>
      <c r="AJ135" s="53" t="str">
        <f aca="false">IF($E135&lt;&gt;"",$E135,"")</f>
        <v/>
      </c>
      <c r="AK135" s="52" t="str">
        <f aca="false">IF($F135&lt;&gt;"",$F135,"")</f>
        <v>Apprenant 123 ou 123'</v>
      </c>
      <c r="AL135" s="53" t="str">
        <f aca="false">IF(AND($AB135&lt;&gt;"",$AC135&lt;&gt;""),$AC135-$AB135,"")</f>
        <v/>
      </c>
      <c r="AM135" s="53" t="str">
        <f aca="false">IF(AND($AB135&lt;&gt;"",$AD135&lt;&gt;""),$AD135-$AB135,"")</f>
        <v/>
      </c>
      <c r="AN135" s="53" t="str">
        <f aca="false">IF(AND($AC135&lt;&gt;"",$AD135&lt;&gt;""),$AD135-$AC135,"")</f>
        <v/>
      </c>
      <c r="AO135" s="53" t="str">
        <f aca="false">IF($J135&lt;&gt;"",$J135,"")</f>
        <v/>
      </c>
      <c r="AQ135" s="52" t="str">
        <f aca="false">IF($A135&lt;&gt;"",$A135,"")</f>
        <v>Apprenant 123</v>
      </c>
      <c r="AR135" s="55" t="str">
        <f aca="false">IF(AND('Choix pédagogiques'!$C$4&lt;&gt;"?",'Choix pédagogiques'!$C$5&lt;&gt;"?",W135&lt;&gt;""),(W135-'Choix pédagogiques'!$C$4)/('Choix pédagogiques'!$C$5-'Choix pédagogiques'!$C$4),"")</f>
        <v/>
      </c>
      <c r="AS135" s="55" t="str">
        <f aca="false">IF(AND('Choix pédagogiques'!$C$4&lt;&gt;"?",'Choix pédagogiques'!$C$5&lt;&gt;"?",X135&lt;&gt;""),(X135-'Choix pédagogiques'!$C$4)/('Choix pédagogiques'!$C$5-'Choix pédagogiques'!$C$4),"")</f>
        <v/>
      </c>
      <c r="AT135" s="55" t="str">
        <f aca="false">IF(AND('Choix pédagogiques'!$C$4&lt;&gt;"?",'Choix pédagogiques'!$C$5&lt;&gt;"?",Y135&lt;&gt;""),(Y135-'Choix pédagogiques'!$C$4)/('Choix pédagogiques'!$C$5-'Choix pédagogiques'!$C$4),"")</f>
        <v/>
      </c>
      <c r="AU135" s="53" t="str">
        <f aca="false">IF($E135&lt;&gt;"",$E135,"")</f>
        <v/>
      </c>
      <c r="AV135" s="52" t="str">
        <f aca="false">IF($F135&lt;&gt;"",$F135,"")</f>
        <v>Apprenant 123 ou 123'</v>
      </c>
      <c r="AW135" s="55" t="str">
        <f aca="false">IF(AND('Choix pédagogiques'!$C$4&lt;&gt;"?",'Choix pédagogiques'!$C$5&lt;&gt;"?",AB135&lt;&gt;""),(AB135-'Choix pédagogiques'!$C$4)/('Choix pédagogiques'!$C$5-'Choix pédagogiques'!$C$4),"")</f>
        <v/>
      </c>
      <c r="AX135" s="55" t="str">
        <f aca="false">IF(AND('Choix pédagogiques'!$C$4&lt;&gt;"?",'Choix pédagogiques'!$C$5&lt;&gt;"?",AC135&lt;&gt;""),(AC135-'Choix pédagogiques'!$C$4)/('Choix pédagogiques'!$C$5-'Choix pédagogiques'!$C$4),"")</f>
        <v/>
      </c>
      <c r="AY135" s="55" t="str">
        <f aca="false">IF(AND('Choix pédagogiques'!$C$4&lt;&gt;"?",'Choix pédagogiques'!$C$5&lt;&gt;"?",AD135&lt;&gt;""),(AD135-'Choix pédagogiques'!$C$4)/('Choix pédagogiques'!$C$5-'Choix pédagogiques'!$C$4),"")</f>
        <v/>
      </c>
      <c r="AZ135" s="53" t="str">
        <f aca="false">IF($J135&lt;&gt;"",$J135,"")</f>
        <v/>
      </c>
      <c r="BA135" s="52" t="str">
        <f aca="false">IF($A135&lt;&gt;"",$A135,"")</f>
        <v>Apprenant 123</v>
      </c>
      <c r="BB135" s="55" t="str">
        <f aca="false">IF(AND($AR135&lt;&gt;"",$AS135&lt;&gt;""),$AS135-$AR135,"")</f>
        <v/>
      </c>
      <c r="BC135" s="55" t="str">
        <f aca="false">IF(AND($AR135&lt;&gt;"",$AT135&lt;&gt;""),$AT135-$AR135,"")</f>
        <v/>
      </c>
      <c r="BD135" s="55" t="str">
        <f aca="false">IF(AND($AS135&lt;&gt;"",$AT135&lt;&gt;""),$AT135-$AS135,"")</f>
        <v/>
      </c>
      <c r="BE135" s="53" t="str">
        <f aca="false">IF($E135&lt;&gt;"",$E135,"")</f>
        <v/>
      </c>
      <c r="BF135" s="52" t="str">
        <f aca="false">IF($F135&lt;&gt;"",$F135,"")</f>
        <v>Apprenant 123 ou 123'</v>
      </c>
      <c r="BG135" s="55" t="str">
        <f aca="false">IF(AND($AW135&lt;&gt;"",$AX135&lt;&gt;""),$AX135-$AW135,"")</f>
        <v/>
      </c>
      <c r="BH135" s="55" t="str">
        <f aca="false">IF(AND($AW135&lt;&gt;"",$AY135&lt;&gt;""),$AY135-$AW135,"")</f>
        <v/>
      </c>
      <c r="BI135" s="55" t="str">
        <f aca="false">IF(AND($AX135&lt;&gt;"",$AY135&lt;&gt;""),$AY135-$AX135,"")</f>
        <v/>
      </c>
      <c r="BJ135" s="53" t="str">
        <f aca="false">IF($J135&lt;&gt;"",$J135,"")</f>
        <v/>
      </c>
      <c r="BL135" s="52"/>
      <c r="BM135" s="52" t="str">
        <f aca="false">IF(OR(COUNT(B135:D1134)=0,AND('Choix pédagogiques'!$C$3&lt;&gt;1,'Choix pédagogiques'!$C$3&lt;&gt;2)),"",IF(AND(OR('Choix pédagogiques'!$C$3=1,'Choix pédagogiques'!$C$3=2),$B135&lt;&gt;"",$C135&lt;&gt;"",$D135&lt;&gt;""),1,0))</f>
        <v/>
      </c>
      <c r="BN135" s="52" t="str">
        <f aca="false">IF(OR(COUNT(G135:I1134)=0,AND('Choix pédagogiques'!$C$3&lt;&gt;1,'Choix pédagogiques'!$C$3&lt;&gt;2)),"",IF(AND(OR('Choix pédagogiques'!$C$3=1,'Choix pédagogiques'!$C$3=2),AND($G135&lt;&gt;"",$H135&lt;&gt;"",$I135&lt;&gt;"")),1,0))</f>
        <v/>
      </c>
      <c r="BO135" s="52" t="str">
        <f aca="false">IF(OR(COUNT(B135:D1134)=0,COUNT(G135:I1134)=0,'Choix pédagogiques'!C$3&lt;&gt;3),"",IF(AND('Choix pédagogiques'!$C$3=3,$B135&lt;&gt;"",$C135&lt;&gt;"",$D135&lt;&gt;"",$G135&lt;&gt;"",$H135&lt;&gt;"",$I135&lt;&gt;""),1,0))</f>
        <v/>
      </c>
      <c r="BR135" s="52" t="n">
        <v>781</v>
      </c>
      <c r="BS135" s="52" t="n">
        <v>1351</v>
      </c>
    </row>
    <row r="136" s="54" customFormat="true" ht="18" hidden="false" customHeight="true" outlineLevel="0" collapsed="false">
      <c r="A136" s="57" t="s">
        <v>203</v>
      </c>
      <c r="B136" s="51"/>
      <c r="C136" s="51"/>
      <c r="D136" s="51"/>
      <c r="E136" s="51"/>
      <c r="F136" s="57" t="s">
        <v>204</v>
      </c>
      <c r="G136" s="51"/>
      <c r="H136" s="51"/>
      <c r="I136" s="51"/>
      <c r="J136" s="51"/>
      <c r="K136" s="52" t="str">
        <f aca="false">IF($A136&lt;&gt;"",$A136,"")</f>
        <v>Apprenant 124</v>
      </c>
      <c r="L136" s="53" t="str">
        <f aca="false">IF(AND($B136&lt;&gt;"",$C136&lt;&gt;""),$C136-$B136,"")</f>
        <v/>
      </c>
      <c r="M136" s="53" t="str">
        <f aca="false">IF(AND($B136&lt;&gt;"",$D136&lt;&gt;""),$D136-$B136,"")</f>
        <v/>
      </c>
      <c r="N136" s="53" t="str">
        <f aca="false">IF(AND($C136&lt;&gt;"",$D136&lt;&gt;""),$D136-$C136,"")</f>
        <v/>
      </c>
      <c r="O136" s="53" t="str">
        <f aca="false">IF($E136&lt;&gt;"",$E136,"")</f>
        <v/>
      </c>
      <c r="P136" s="52" t="str">
        <f aca="false">IF($F136&lt;&gt;"",$F136,"")</f>
        <v>Apprenant 124 ou 124'</v>
      </c>
      <c r="Q136" s="53" t="str">
        <f aca="false">IF(AND($G136&lt;&gt;"",$H136&lt;&gt;""),$H136-$G136,"")</f>
        <v/>
      </c>
      <c r="R136" s="53" t="str">
        <f aca="false">IF(AND($G136&lt;&gt;"",$I136&lt;&gt;""),$I136-$G136,"")</f>
        <v/>
      </c>
      <c r="S136" s="53" t="str">
        <f aca="false">IF(AND($H136&lt;&gt;"",$I136&lt;&gt;""),$I136-$H136,"")</f>
        <v/>
      </c>
      <c r="T136" s="53" t="str">
        <f aca="false">IF($J136&lt;&gt;"",$J136,"")</f>
        <v/>
      </c>
      <c r="V136" s="52" t="str">
        <f aca="false">IF($A136&lt;&gt;"",$A136,"")</f>
        <v>Apprenant 124</v>
      </c>
      <c r="W136" s="53" t="str">
        <f aca="false">IF(AND(OR('Choix pédagogiques'!$C$3=1,'Choix pédagogiques'!$C$3=2),$BM136=1),B136,IF(AND('Choix pédagogiques'!$C$3=3,$BO136=1),B136,""))</f>
        <v/>
      </c>
      <c r="X136" s="53" t="str">
        <f aca="false">IF(AND(OR('Choix pédagogiques'!$C$3=1,'Choix pédagogiques'!$C$3=2),$BM136=1),C136,IF(AND('Choix pédagogiques'!$C$3=3,$BO136=1),C136,""))</f>
        <v/>
      </c>
      <c r="Y136" s="53" t="str">
        <f aca="false">IF(AND(OR('Choix pédagogiques'!$C$3=1,'Choix pédagogiques'!$C$3=2),$BM136=1),D136,IF(AND('Choix pédagogiques'!$C$3=3,$BO136=1),D136,""))</f>
        <v/>
      </c>
      <c r="Z136" s="53" t="str">
        <f aca="false">IF($E136&lt;&gt;"",$E136,"")</f>
        <v/>
      </c>
      <c r="AA136" s="52" t="str">
        <f aca="false">IF($F136&lt;&gt;"",$F136,"")</f>
        <v>Apprenant 124 ou 124'</v>
      </c>
      <c r="AB136" s="53" t="str">
        <f aca="false">IF(AND(OR('Choix pédagogiques'!$C$3=1,'Choix pédagogiques'!$C$3=2),$BN136=1),G136,IF(AND('Choix pédagogiques'!$C$3=3,$BO136=1),G136,""))</f>
        <v/>
      </c>
      <c r="AC136" s="53" t="str">
        <f aca="false">IF(AND(OR('Choix pédagogiques'!$C$3=1,'Choix pédagogiques'!$C$3=2),$BN136=1),H136,IF(AND('Choix pédagogiques'!$C$3=3,$BO136=1),H136,""))</f>
        <v/>
      </c>
      <c r="AD136" s="53" t="str">
        <f aca="false">IF(AND(OR('Choix pédagogiques'!$C$3=1,'Choix pédagogiques'!$C$3=2),$BN136=1),I136,IF(AND('Choix pédagogiques'!$C$3=3,$BO136=1),I136,""))</f>
        <v/>
      </c>
      <c r="AE136" s="53" t="str">
        <f aca="false">IF($J136&lt;&gt;"",$J136,"")</f>
        <v/>
      </c>
      <c r="AF136" s="52" t="str">
        <f aca="false">IF($A136&lt;&gt;"",$A136,"")</f>
        <v>Apprenant 124</v>
      </c>
      <c r="AG136" s="53" t="str">
        <f aca="false">IF(AND($W136&lt;&gt;"",$X136&lt;&gt;""),$X136-$W136,"")</f>
        <v/>
      </c>
      <c r="AH136" s="53" t="str">
        <f aca="false">IF(AND($W136&lt;&gt;"",$Y136&lt;&gt;""),$Y136-$W136,"")</f>
        <v/>
      </c>
      <c r="AI136" s="53" t="str">
        <f aca="false">IF(AND($X136&lt;&gt;"",$Y136&lt;&gt;""),$Y136-$X136,"")</f>
        <v/>
      </c>
      <c r="AJ136" s="53" t="str">
        <f aca="false">IF($E136&lt;&gt;"",$E136,"")</f>
        <v/>
      </c>
      <c r="AK136" s="52" t="str">
        <f aca="false">IF($F136&lt;&gt;"",$F136,"")</f>
        <v>Apprenant 124 ou 124'</v>
      </c>
      <c r="AL136" s="53" t="str">
        <f aca="false">IF(AND($AB136&lt;&gt;"",$AC136&lt;&gt;""),$AC136-$AB136,"")</f>
        <v/>
      </c>
      <c r="AM136" s="53" t="str">
        <f aca="false">IF(AND($AB136&lt;&gt;"",$AD136&lt;&gt;""),$AD136-$AB136,"")</f>
        <v/>
      </c>
      <c r="AN136" s="53" t="str">
        <f aca="false">IF(AND($AC136&lt;&gt;"",$AD136&lt;&gt;""),$AD136-$AC136,"")</f>
        <v/>
      </c>
      <c r="AO136" s="53" t="str">
        <f aca="false">IF($J136&lt;&gt;"",$J136,"")</f>
        <v/>
      </c>
      <c r="AQ136" s="52" t="str">
        <f aca="false">IF($A136&lt;&gt;"",$A136,"")</f>
        <v>Apprenant 124</v>
      </c>
      <c r="AR136" s="55" t="str">
        <f aca="false">IF(AND('Choix pédagogiques'!$C$4&lt;&gt;"?",'Choix pédagogiques'!$C$5&lt;&gt;"?",W136&lt;&gt;""),(W136-'Choix pédagogiques'!$C$4)/('Choix pédagogiques'!$C$5-'Choix pédagogiques'!$C$4),"")</f>
        <v/>
      </c>
      <c r="AS136" s="55" t="str">
        <f aca="false">IF(AND('Choix pédagogiques'!$C$4&lt;&gt;"?",'Choix pédagogiques'!$C$5&lt;&gt;"?",X136&lt;&gt;""),(X136-'Choix pédagogiques'!$C$4)/('Choix pédagogiques'!$C$5-'Choix pédagogiques'!$C$4),"")</f>
        <v/>
      </c>
      <c r="AT136" s="55" t="str">
        <f aca="false">IF(AND('Choix pédagogiques'!$C$4&lt;&gt;"?",'Choix pédagogiques'!$C$5&lt;&gt;"?",Y136&lt;&gt;""),(Y136-'Choix pédagogiques'!$C$4)/('Choix pédagogiques'!$C$5-'Choix pédagogiques'!$C$4),"")</f>
        <v/>
      </c>
      <c r="AU136" s="53" t="str">
        <f aca="false">IF($E136&lt;&gt;"",$E136,"")</f>
        <v/>
      </c>
      <c r="AV136" s="52" t="str">
        <f aca="false">IF($F136&lt;&gt;"",$F136,"")</f>
        <v>Apprenant 124 ou 124'</v>
      </c>
      <c r="AW136" s="55" t="str">
        <f aca="false">IF(AND('Choix pédagogiques'!$C$4&lt;&gt;"?",'Choix pédagogiques'!$C$5&lt;&gt;"?",AB136&lt;&gt;""),(AB136-'Choix pédagogiques'!$C$4)/('Choix pédagogiques'!$C$5-'Choix pédagogiques'!$C$4),"")</f>
        <v/>
      </c>
      <c r="AX136" s="55" t="str">
        <f aca="false">IF(AND('Choix pédagogiques'!$C$4&lt;&gt;"?",'Choix pédagogiques'!$C$5&lt;&gt;"?",AC136&lt;&gt;""),(AC136-'Choix pédagogiques'!$C$4)/('Choix pédagogiques'!$C$5-'Choix pédagogiques'!$C$4),"")</f>
        <v/>
      </c>
      <c r="AY136" s="55" t="str">
        <f aca="false">IF(AND('Choix pédagogiques'!$C$4&lt;&gt;"?",'Choix pédagogiques'!$C$5&lt;&gt;"?",AD136&lt;&gt;""),(AD136-'Choix pédagogiques'!$C$4)/('Choix pédagogiques'!$C$5-'Choix pédagogiques'!$C$4),"")</f>
        <v/>
      </c>
      <c r="AZ136" s="53" t="str">
        <f aca="false">IF($J136&lt;&gt;"",$J136,"")</f>
        <v/>
      </c>
      <c r="BA136" s="52" t="str">
        <f aca="false">IF($A136&lt;&gt;"",$A136,"")</f>
        <v>Apprenant 124</v>
      </c>
      <c r="BB136" s="55" t="str">
        <f aca="false">IF(AND($AR136&lt;&gt;"",$AS136&lt;&gt;""),$AS136-$AR136,"")</f>
        <v/>
      </c>
      <c r="BC136" s="55" t="str">
        <f aca="false">IF(AND($AR136&lt;&gt;"",$AT136&lt;&gt;""),$AT136-$AR136,"")</f>
        <v/>
      </c>
      <c r="BD136" s="55" t="str">
        <f aca="false">IF(AND($AS136&lt;&gt;"",$AT136&lt;&gt;""),$AT136-$AS136,"")</f>
        <v/>
      </c>
      <c r="BE136" s="53" t="str">
        <f aca="false">IF($E136&lt;&gt;"",$E136,"")</f>
        <v/>
      </c>
      <c r="BF136" s="52" t="str">
        <f aca="false">IF($F136&lt;&gt;"",$F136,"")</f>
        <v>Apprenant 124 ou 124'</v>
      </c>
      <c r="BG136" s="55" t="str">
        <f aca="false">IF(AND($AW136&lt;&gt;"",$AX136&lt;&gt;""),$AX136-$AW136,"")</f>
        <v/>
      </c>
      <c r="BH136" s="55" t="str">
        <f aca="false">IF(AND($AW136&lt;&gt;"",$AY136&lt;&gt;""),$AY136-$AW136,"")</f>
        <v/>
      </c>
      <c r="BI136" s="55" t="str">
        <f aca="false">IF(AND($AX136&lt;&gt;"",$AY136&lt;&gt;""),$AY136-$AX136,"")</f>
        <v/>
      </c>
      <c r="BJ136" s="53" t="str">
        <f aca="false">IF($J136&lt;&gt;"",$J136,"")</f>
        <v/>
      </c>
      <c r="BL136" s="52"/>
      <c r="BM136" s="52" t="str">
        <f aca="false">IF(OR(COUNT(B136:D1135)=0,AND('Choix pédagogiques'!$C$3&lt;&gt;1,'Choix pédagogiques'!$C$3&lt;&gt;2)),"",IF(AND(OR('Choix pédagogiques'!$C$3=1,'Choix pédagogiques'!$C$3=2),$B136&lt;&gt;"",$C136&lt;&gt;"",$D136&lt;&gt;""),1,0))</f>
        <v/>
      </c>
      <c r="BN136" s="52" t="str">
        <f aca="false">IF(OR(COUNT(G136:I1135)=0,AND('Choix pédagogiques'!$C$3&lt;&gt;1,'Choix pédagogiques'!$C$3&lt;&gt;2)),"",IF(AND(OR('Choix pédagogiques'!$C$3=1,'Choix pédagogiques'!$C$3=2),AND($G136&lt;&gt;"",$H136&lt;&gt;"",$I136&lt;&gt;"")),1,0))</f>
        <v/>
      </c>
      <c r="BO136" s="52" t="str">
        <f aca="false">IF(OR(COUNT(B136:D1135)=0,COUNT(G136:I1135)=0,'Choix pédagogiques'!C$3&lt;&gt;3),"",IF(AND('Choix pédagogiques'!$C$3=3,$B136&lt;&gt;"",$C136&lt;&gt;"",$D136&lt;&gt;"",$G136&lt;&gt;"",$H136&lt;&gt;"",$I136&lt;&gt;""),1,0))</f>
        <v/>
      </c>
      <c r="BR136" s="52" t="n">
        <v>105</v>
      </c>
      <c r="BS136" s="52" t="n">
        <v>1520</v>
      </c>
    </row>
    <row r="137" s="54" customFormat="true" ht="18" hidden="false" customHeight="true" outlineLevel="0" collapsed="false">
      <c r="A137" s="57" t="s">
        <v>205</v>
      </c>
      <c r="B137" s="51"/>
      <c r="C137" s="51"/>
      <c r="D137" s="51"/>
      <c r="E137" s="51"/>
      <c r="F137" s="57" t="s">
        <v>206</v>
      </c>
      <c r="G137" s="51"/>
      <c r="H137" s="51"/>
      <c r="I137" s="51"/>
      <c r="J137" s="51"/>
      <c r="K137" s="52" t="str">
        <f aca="false">IF($A137&lt;&gt;"",$A137,"")</f>
        <v>Apprenant 125</v>
      </c>
      <c r="L137" s="53" t="str">
        <f aca="false">IF(AND($B137&lt;&gt;"",$C137&lt;&gt;""),$C137-$B137,"")</f>
        <v/>
      </c>
      <c r="M137" s="53" t="str">
        <f aca="false">IF(AND($B137&lt;&gt;"",$D137&lt;&gt;""),$D137-$B137,"")</f>
        <v/>
      </c>
      <c r="N137" s="53" t="str">
        <f aca="false">IF(AND($C137&lt;&gt;"",$D137&lt;&gt;""),$D137-$C137,"")</f>
        <v/>
      </c>
      <c r="O137" s="53" t="str">
        <f aca="false">IF($E137&lt;&gt;"",$E137,"")</f>
        <v/>
      </c>
      <c r="P137" s="52" t="str">
        <f aca="false">IF($F137&lt;&gt;"",$F137,"")</f>
        <v>Apprenant 125 ou 125'</v>
      </c>
      <c r="Q137" s="53" t="str">
        <f aca="false">IF(AND($G137&lt;&gt;"",$H137&lt;&gt;""),$H137-$G137,"")</f>
        <v/>
      </c>
      <c r="R137" s="53" t="str">
        <f aca="false">IF(AND($G137&lt;&gt;"",$I137&lt;&gt;""),$I137-$G137,"")</f>
        <v/>
      </c>
      <c r="S137" s="53" t="str">
        <f aca="false">IF(AND($H137&lt;&gt;"",$I137&lt;&gt;""),$I137-$H137,"")</f>
        <v/>
      </c>
      <c r="T137" s="53" t="str">
        <f aca="false">IF($J137&lt;&gt;"",$J137,"")</f>
        <v/>
      </c>
      <c r="V137" s="52" t="str">
        <f aca="false">IF($A137&lt;&gt;"",$A137,"")</f>
        <v>Apprenant 125</v>
      </c>
      <c r="W137" s="53" t="str">
        <f aca="false">IF(AND(OR('Choix pédagogiques'!$C$3=1,'Choix pédagogiques'!$C$3=2),$BM137=1),B137,IF(AND('Choix pédagogiques'!$C$3=3,$BO137=1),B137,""))</f>
        <v/>
      </c>
      <c r="X137" s="53" t="str">
        <f aca="false">IF(AND(OR('Choix pédagogiques'!$C$3=1,'Choix pédagogiques'!$C$3=2),$BM137=1),C137,IF(AND('Choix pédagogiques'!$C$3=3,$BO137=1),C137,""))</f>
        <v/>
      </c>
      <c r="Y137" s="53" t="str">
        <f aca="false">IF(AND(OR('Choix pédagogiques'!$C$3=1,'Choix pédagogiques'!$C$3=2),$BM137=1),D137,IF(AND('Choix pédagogiques'!$C$3=3,$BO137=1),D137,""))</f>
        <v/>
      </c>
      <c r="Z137" s="53" t="str">
        <f aca="false">IF($E137&lt;&gt;"",$E137,"")</f>
        <v/>
      </c>
      <c r="AA137" s="52" t="str">
        <f aca="false">IF($F137&lt;&gt;"",$F137,"")</f>
        <v>Apprenant 125 ou 125'</v>
      </c>
      <c r="AB137" s="53" t="str">
        <f aca="false">IF(AND(OR('Choix pédagogiques'!$C$3=1,'Choix pédagogiques'!$C$3=2),$BN137=1),G137,IF(AND('Choix pédagogiques'!$C$3=3,$BO137=1),G137,""))</f>
        <v/>
      </c>
      <c r="AC137" s="53" t="str">
        <f aca="false">IF(AND(OR('Choix pédagogiques'!$C$3=1,'Choix pédagogiques'!$C$3=2),$BN137=1),H137,IF(AND('Choix pédagogiques'!$C$3=3,$BO137=1),H137,""))</f>
        <v/>
      </c>
      <c r="AD137" s="53" t="str">
        <f aca="false">IF(AND(OR('Choix pédagogiques'!$C$3=1,'Choix pédagogiques'!$C$3=2),$BN137=1),I137,IF(AND('Choix pédagogiques'!$C$3=3,$BO137=1),I137,""))</f>
        <v/>
      </c>
      <c r="AE137" s="53" t="str">
        <f aca="false">IF($J137&lt;&gt;"",$J137,"")</f>
        <v/>
      </c>
      <c r="AF137" s="52" t="str">
        <f aca="false">IF($A137&lt;&gt;"",$A137,"")</f>
        <v>Apprenant 125</v>
      </c>
      <c r="AG137" s="53" t="str">
        <f aca="false">IF(AND($W137&lt;&gt;"",$X137&lt;&gt;""),$X137-$W137,"")</f>
        <v/>
      </c>
      <c r="AH137" s="53" t="str">
        <f aca="false">IF(AND($W137&lt;&gt;"",$Y137&lt;&gt;""),$Y137-$W137,"")</f>
        <v/>
      </c>
      <c r="AI137" s="53" t="str">
        <f aca="false">IF(AND($X137&lt;&gt;"",$Y137&lt;&gt;""),$Y137-$X137,"")</f>
        <v/>
      </c>
      <c r="AJ137" s="53" t="str">
        <f aca="false">IF($E137&lt;&gt;"",$E137,"")</f>
        <v/>
      </c>
      <c r="AK137" s="52" t="str">
        <f aca="false">IF($F137&lt;&gt;"",$F137,"")</f>
        <v>Apprenant 125 ou 125'</v>
      </c>
      <c r="AL137" s="53" t="str">
        <f aca="false">IF(AND($AB137&lt;&gt;"",$AC137&lt;&gt;""),$AC137-$AB137,"")</f>
        <v/>
      </c>
      <c r="AM137" s="53" t="str">
        <f aca="false">IF(AND($AB137&lt;&gt;"",$AD137&lt;&gt;""),$AD137-$AB137,"")</f>
        <v/>
      </c>
      <c r="AN137" s="53" t="str">
        <f aca="false">IF(AND($AC137&lt;&gt;"",$AD137&lt;&gt;""),$AD137-$AC137,"")</f>
        <v/>
      </c>
      <c r="AO137" s="53" t="str">
        <f aca="false">IF($J137&lt;&gt;"",$J137,"")</f>
        <v/>
      </c>
      <c r="AQ137" s="52" t="str">
        <f aca="false">IF($A137&lt;&gt;"",$A137,"")</f>
        <v>Apprenant 125</v>
      </c>
      <c r="AR137" s="55" t="str">
        <f aca="false">IF(AND('Choix pédagogiques'!$C$4&lt;&gt;"?",'Choix pédagogiques'!$C$5&lt;&gt;"?",W137&lt;&gt;""),(W137-'Choix pédagogiques'!$C$4)/('Choix pédagogiques'!$C$5-'Choix pédagogiques'!$C$4),"")</f>
        <v/>
      </c>
      <c r="AS137" s="55" t="str">
        <f aca="false">IF(AND('Choix pédagogiques'!$C$4&lt;&gt;"?",'Choix pédagogiques'!$C$5&lt;&gt;"?",X137&lt;&gt;""),(X137-'Choix pédagogiques'!$C$4)/('Choix pédagogiques'!$C$5-'Choix pédagogiques'!$C$4),"")</f>
        <v/>
      </c>
      <c r="AT137" s="55" t="str">
        <f aca="false">IF(AND('Choix pédagogiques'!$C$4&lt;&gt;"?",'Choix pédagogiques'!$C$5&lt;&gt;"?",Y137&lt;&gt;""),(Y137-'Choix pédagogiques'!$C$4)/('Choix pédagogiques'!$C$5-'Choix pédagogiques'!$C$4),"")</f>
        <v/>
      </c>
      <c r="AU137" s="53" t="str">
        <f aca="false">IF($E137&lt;&gt;"",$E137,"")</f>
        <v/>
      </c>
      <c r="AV137" s="52" t="str">
        <f aca="false">IF($F137&lt;&gt;"",$F137,"")</f>
        <v>Apprenant 125 ou 125'</v>
      </c>
      <c r="AW137" s="55" t="str">
        <f aca="false">IF(AND('Choix pédagogiques'!$C$4&lt;&gt;"?",'Choix pédagogiques'!$C$5&lt;&gt;"?",AB137&lt;&gt;""),(AB137-'Choix pédagogiques'!$C$4)/('Choix pédagogiques'!$C$5-'Choix pédagogiques'!$C$4),"")</f>
        <v/>
      </c>
      <c r="AX137" s="55" t="str">
        <f aca="false">IF(AND('Choix pédagogiques'!$C$4&lt;&gt;"?",'Choix pédagogiques'!$C$5&lt;&gt;"?",AC137&lt;&gt;""),(AC137-'Choix pédagogiques'!$C$4)/('Choix pédagogiques'!$C$5-'Choix pédagogiques'!$C$4),"")</f>
        <v/>
      </c>
      <c r="AY137" s="55" t="str">
        <f aca="false">IF(AND('Choix pédagogiques'!$C$4&lt;&gt;"?",'Choix pédagogiques'!$C$5&lt;&gt;"?",AD137&lt;&gt;""),(AD137-'Choix pédagogiques'!$C$4)/('Choix pédagogiques'!$C$5-'Choix pédagogiques'!$C$4),"")</f>
        <v/>
      </c>
      <c r="AZ137" s="53" t="str">
        <f aca="false">IF($J137&lt;&gt;"",$J137,"")</f>
        <v/>
      </c>
      <c r="BA137" s="52" t="str">
        <f aca="false">IF($A137&lt;&gt;"",$A137,"")</f>
        <v>Apprenant 125</v>
      </c>
      <c r="BB137" s="55" t="str">
        <f aca="false">IF(AND($AR137&lt;&gt;"",$AS137&lt;&gt;""),$AS137-$AR137,"")</f>
        <v/>
      </c>
      <c r="BC137" s="55" t="str">
        <f aca="false">IF(AND($AR137&lt;&gt;"",$AT137&lt;&gt;""),$AT137-$AR137,"")</f>
        <v/>
      </c>
      <c r="BD137" s="55" t="str">
        <f aca="false">IF(AND($AS137&lt;&gt;"",$AT137&lt;&gt;""),$AT137-$AS137,"")</f>
        <v/>
      </c>
      <c r="BE137" s="53" t="str">
        <f aca="false">IF($E137&lt;&gt;"",$E137,"")</f>
        <v/>
      </c>
      <c r="BF137" s="52" t="str">
        <f aca="false">IF($F137&lt;&gt;"",$F137,"")</f>
        <v>Apprenant 125 ou 125'</v>
      </c>
      <c r="BG137" s="55" t="str">
        <f aca="false">IF(AND($AW137&lt;&gt;"",$AX137&lt;&gt;""),$AX137-$AW137,"")</f>
        <v/>
      </c>
      <c r="BH137" s="55" t="str">
        <f aca="false">IF(AND($AW137&lt;&gt;"",$AY137&lt;&gt;""),$AY137-$AW137,"")</f>
        <v/>
      </c>
      <c r="BI137" s="55" t="str">
        <f aca="false">IF(AND($AX137&lt;&gt;"",$AY137&lt;&gt;""),$AY137-$AX137,"")</f>
        <v/>
      </c>
      <c r="BJ137" s="53" t="str">
        <f aca="false">IF($J137&lt;&gt;"",$J137,"")</f>
        <v/>
      </c>
      <c r="BL137" s="52"/>
      <c r="BM137" s="52" t="str">
        <f aca="false">IF(OR(COUNT(B137:D1136)=0,AND('Choix pédagogiques'!$C$3&lt;&gt;1,'Choix pédagogiques'!$C$3&lt;&gt;2)),"",IF(AND(OR('Choix pédagogiques'!$C$3=1,'Choix pédagogiques'!$C$3=2),$B137&lt;&gt;"",$C137&lt;&gt;"",$D137&lt;&gt;""),1,0))</f>
        <v/>
      </c>
      <c r="BN137" s="52" t="str">
        <f aca="false">IF(OR(COUNT(G137:I1136)=0,AND('Choix pédagogiques'!$C$3&lt;&gt;1,'Choix pédagogiques'!$C$3&lt;&gt;2)),"",IF(AND(OR('Choix pédagogiques'!$C$3=1,'Choix pédagogiques'!$C$3=2),AND($G137&lt;&gt;"",$H137&lt;&gt;"",$I137&lt;&gt;"")),1,0))</f>
        <v/>
      </c>
      <c r="BO137" s="52" t="str">
        <f aca="false">IF(OR(COUNT(B137:D1136)=0,COUNT(G137:I1136)=0,'Choix pédagogiques'!C$3&lt;&gt;3),"",IF(AND('Choix pédagogiques'!$C$3=3,$B137&lt;&gt;"",$C137&lt;&gt;"",$D137&lt;&gt;"",$G137&lt;&gt;"",$H137&lt;&gt;"",$I137&lt;&gt;""),1,0))</f>
        <v/>
      </c>
      <c r="BR137" s="52" t="n">
        <v>341</v>
      </c>
      <c r="BS137" s="52" t="n">
        <v>1850</v>
      </c>
    </row>
    <row r="138" s="54" customFormat="true" ht="18" hidden="false" customHeight="true" outlineLevel="0" collapsed="false">
      <c r="A138" s="57" t="s">
        <v>207</v>
      </c>
      <c r="B138" s="51"/>
      <c r="C138" s="51"/>
      <c r="D138" s="51"/>
      <c r="E138" s="51"/>
      <c r="F138" s="57" t="s">
        <v>208</v>
      </c>
      <c r="G138" s="51"/>
      <c r="H138" s="51"/>
      <c r="I138" s="51"/>
      <c r="J138" s="51"/>
      <c r="K138" s="52" t="str">
        <f aca="false">IF($A138&lt;&gt;"",$A138,"")</f>
        <v>Apprenant 126</v>
      </c>
      <c r="L138" s="53" t="str">
        <f aca="false">IF(AND($B138&lt;&gt;"",$C138&lt;&gt;""),$C138-$B138,"")</f>
        <v/>
      </c>
      <c r="M138" s="53" t="str">
        <f aca="false">IF(AND($B138&lt;&gt;"",$D138&lt;&gt;""),$D138-$B138,"")</f>
        <v/>
      </c>
      <c r="N138" s="53" t="str">
        <f aca="false">IF(AND($C138&lt;&gt;"",$D138&lt;&gt;""),$D138-$C138,"")</f>
        <v/>
      </c>
      <c r="O138" s="53" t="str">
        <f aca="false">IF($E138&lt;&gt;"",$E138,"")</f>
        <v/>
      </c>
      <c r="P138" s="52" t="str">
        <f aca="false">IF($F138&lt;&gt;"",$F138,"")</f>
        <v>Apprenant 126 ou 126'</v>
      </c>
      <c r="Q138" s="53" t="str">
        <f aca="false">IF(AND($G138&lt;&gt;"",$H138&lt;&gt;""),$H138-$G138,"")</f>
        <v/>
      </c>
      <c r="R138" s="53" t="str">
        <f aca="false">IF(AND($G138&lt;&gt;"",$I138&lt;&gt;""),$I138-$G138,"")</f>
        <v/>
      </c>
      <c r="S138" s="53" t="str">
        <f aca="false">IF(AND($H138&lt;&gt;"",$I138&lt;&gt;""),$I138-$H138,"")</f>
        <v/>
      </c>
      <c r="T138" s="53" t="str">
        <f aca="false">IF($J138&lt;&gt;"",$J138,"")</f>
        <v/>
      </c>
      <c r="V138" s="52" t="str">
        <f aca="false">IF($A138&lt;&gt;"",$A138,"")</f>
        <v>Apprenant 126</v>
      </c>
      <c r="W138" s="53" t="str">
        <f aca="false">IF(AND(OR('Choix pédagogiques'!$C$3=1,'Choix pédagogiques'!$C$3=2),$BM138=1),B138,IF(AND('Choix pédagogiques'!$C$3=3,$BO138=1),B138,""))</f>
        <v/>
      </c>
      <c r="X138" s="53" t="str">
        <f aca="false">IF(AND(OR('Choix pédagogiques'!$C$3=1,'Choix pédagogiques'!$C$3=2),$BM138=1),C138,IF(AND('Choix pédagogiques'!$C$3=3,$BO138=1),C138,""))</f>
        <v/>
      </c>
      <c r="Y138" s="53" t="str">
        <f aca="false">IF(AND(OR('Choix pédagogiques'!$C$3=1,'Choix pédagogiques'!$C$3=2),$BM138=1),D138,IF(AND('Choix pédagogiques'!$C$3=3,$BO138=1),D138,""))</f>
        <v/>
      </c>
      <c r="Z138" s="53" t="str">
        <f aca="false">IF($E138&lt;&gt;"",$E138,"")</f>
        <v/>
      </c>
      <c r="AA138" s="52" t="str">
        <f aca="false">IF($F138&lt;&gt;"",$F138,"")</f>
        <v>Apprenant 126 ou 126'</v>
      </c>
      <c r="AB138" s="53" t="str">
        <f aca="false">IF(AND(OR('Choix pédagogiques'!$C$3=1,'Choix pédagogiques'!$C$3=2),$BN138=1),G138,IF(AND('Choix pédagogiques'!$C$3=3,$BO138=1),G138,""))</f>
        <v/>
      </c>
      <c r="AC138" s="53" t="str">
        <f aca="false">IF(AND(OR('Choix pédagogiques'!$C$3=1,'Choix pédagogiques'!$C$3=2),$BN138=1),H138,IF(AND('Choix pédagogiques'!$C$3=3,$BO138=1),H138,""))</f>
        <v/>
      </c>
      <c r="AD138" s="53" t="str">
        <f aca="false">IF(AND(OR('Choix pédagogiques'!$C$3=1,'Choix pédagogiques'!$C$3=2),$BN138=1),I138,IF(AND('Choix pédagogiques'!$C$3=3,$BO138=1),I138,""))</f>
        <v/>
      </c>
      <c r="AE138" s="53" t="str">
        <f aca="false">IF($J138&lt;&gt;"",$J138,"")</f>
        <v/>
      </c>
      <c r="AF138" s="52" t="str">
        <f aca="false">IF($A138&lt;&gt;"",$A138,"")</f>
        <v>Apprenant 126</v>
      </c>
      <c r="AG138" s="53" t="str">
        <f aca="false">IF(AND($W138&lt;&gt;"",$X138&lt;&gt;""),$X138-$W138,"")</f>
        <v/>
      </c>
      <c r="AH138" s="53" t="str">
        <f aca="false">IF(AND($W138&lt;&gt;"",$Y138&lt;&gt;""),$Y138-$W138,"")</f>
        <v/>
      </c>
      <c r="AI138" s="53" t="str">
        <f aca="false">IF(AND($X138&lt;&gt;"",$Y138&lt;&gt;""),$Y138-$X138,"")</f>
        <v/>
      </c>
      <c r="AJ138" s="53" t="str">
        <f aca="false">IF($E138&lt;&gt;"",$E138,"")</f>
        <v/>
      </c>
      <c r="AK138" s="52" t="str">
        <f aca="false">IF($F138&lt;&gt;"",$F138,"")</f>
        <v>Apprenant 126 ou 126'</v>
      </c>
      <c r="AL138" s="53" t="str">
        <f aca="false">IF(AND($AB138&lt;&gt;"",$AC138&lt;&gt;""),$AC138-$AB138,"")</f>
        <v/>
      </c>
      <c r="AM138" s="53" t="str">
        <f aca="false">IF(AND($AB138&lt;&gt;"",$AD138&lt;&gt;""),$AD138-$AB138,"")</f>
        <v/>
      </c>
      <c r="AN138" s="53" t="str">
        <f aca="false">IF(AND($AC138&lt;&gt;"",$AD138&lt;&gt;""),$AD138-$AC138,"")</f>
        <v/>
      </c>
      <c r="AO138" s="53" t="str">
        <f aca="false">IF($J138&lt;&gt;"",$J138,"")</f>
        <v/>
      </c>
      <c r="AQ138" s="52" t="str">
        <f aca="false">IF($A138&lt;&gt;"",$A138,"")</f>
        <v>Apprenant 126</v>
      </c>
      <c r="AR138" s="55" t="str">
        <f aca="false">IF(AND('Choix pédagogiques'!$C$4&lt;&gt;"?",'Choix pédagogiques'!$C$5&lt;&gt;"?",W138&lt;&gt;""),(W138-'Choix pédagogiques'!$C$4)/('Choix pédagogiques'!$C$5-'Choix pédagogiques'!$C$4),"")</f>
        <v/>
      </c>
      <c r="AS138" s="55" t="str">
        <f aca="false">IF(AND('Choix pédagogiques'!$C$4&lt;&gt;"?",'Choix pédagogiques'!$C$5&lt;&gt;"?",X138&lt;&gt;""),(X138-'Choix pédagogiques'!$C$4)/('Choix pédagogiques'!$C$5-'Choix pédagogiques'!$C$4),"")</f>
        <v/>
      </c>
      <c r="AT138" s="55" t="str">
        <f aca="false">IF(AND('Choix pédagogiques'!$C$4&lt;&gt;"?",'Choix pédagogiques'!$C$5&lt;&gt;"?",Y138&lt;&gt;""),(Y138-'Choix pédagogiques'!$C$4)/('Choix pédagogiques'!$C$5-'Choix pédagogiques'!$C$4),"")</f>
        <v/>
      </c>
      <c r="AU138" s="53" t="str">
        <f aca="false">IF($E138&lt;&gt;"",$E138,"")</f>
        <v/>
      </c>
      <c r="AV138" s="52" t="str">
        <f aca="false">IF($F138&lt;&gt;"",$F138,"")</f>
        <v>Apprenant 126 ou 126'</v>
      </c>
      <c r="AW138" s="55" t="str">
        <f aca="false">IF(AND('Choix pédagogiques'!$C$4&lt;&gt;"?",'Choix pédagogiques'!$C$5&lt;&gt;"?",AB138&lt;&gt;""),(AB138-'Choix pédagogiques'!$C$4)/('Choix pédagogiques'!$C$5-'Choix pédagogiques'!$C$4),"")</f>
        <v/>
      </c>
      <c r="AX138" s="55" t="str">
        <f aca="false">IF(AND('Choix pédagogiques'!$C$4&lt;&gt;"?",'Choix pédagogiques'!$C$5&lt;&gt;"?",AC138&lt;&gt;""),(AC138-'Choix pédagogiques'!$C$4)/('Choix pédagogiques'!$C$5-'Choix pédagogiques'!$C$4),"")</f>
        <v/>
      </c>
      <c r="AY138" s="55" t="str">
        <f aca="false">IF(AND('Choix pédagogiques'!$C$4&lt;&gt;"?",'Choix pédagogiques'!$C$5&lt;&gt;"?",AD138&lt;&gt;""),(AD138-'Choix pédagogiques'!$C$4)/('Choix pédagogiques'!$C$5-'Choix pédagogiques'!$C$4),"")</f>
        <v/>
      </c>
      <c r="AZ138" s="53" t="str">
        <f aca="false">IF($J138&lt;&gt;"",$J138,"")</f>
        <v/>
      </c>
      <c r="BA138" s="52" t="str">
        <f aca="false">IF($A138&lt;&gt;"",$A138,"")</f>
        <v>Apprenant 126</v>
      </c>
      <c r="BB138" s="55" t="str">
        <f aca="false">IF(AND($AR138&lt;&gt;"",$AS138&lt;&gt;""),$AS138-$AR138,"")</f>
        <v/>
      </c>
      <c r="BC138" s="55" t="str">
        <f aca="false">IF(AND($AR138&lt;&gt;"",$AT138&lt;&gt;""),$AT138-$AR138,"")</f>
        <v/>
      </c>
      <c r="BD138" s="55" t="str">
        <f aca="false">IF(AND($AS138&lt;&gt;"",$AT138&lt;&gt;""),$AT138-$AS138,"")</f>
        <v/>
      </c>
      <c r="BE138" s="53" t="str">
        <f aca="false">IF($E138&lt;&gt;"",$E138,"")</f>
        <v/>
      </c>
      <c r="BF138" s="52" t="str">
        <f aca="false">IF($F138&lt;&gt;"",$F138,"")</f>
        <v>Apprenant 126 ou 126'</v>
      </c>
      <c r="BG138" s="55" t="str">
        <f aca="false">IF(AND($AW138&lt;&gt;"",$AX138&lt;&gt;""),$AX138-$AW138,"")</f>
        <v/>
      </c>
      <c r="BH138" s="55" t="str">
        <f aca="false">IF(AND($AW138&lt;&gt;"",$AY138&lt;&gt;""),$AY138-$AW138,"")</f>
        <v/>
      </c>
      <c r="BI138" s="55" t="str">
        <f aca="false">IF(AND($AX138&lt;&gt;"",$AY138&lt;&gt;""),$AY138-$AX138,"")</f>
        <v/>
      </c>
      <c r="BJ138" s="53" t="str">
        <f aca="false">IF($J138&lt;&gt;"",$J138,"")</f>
        <v/>
      </c>
      <c r="BL138" s="52"/>
      <c r="BM138" s="52" t="str">
        <f aca="false">IF(OR(COUNT(B138:D1137)=0,AND('Choix pédagogiques'!$C$3&lt;&gt;1,'Choix pédagogiques'!$C$3&lt;&gt;2)),"",IF(AND(OR('Choix pédagogiques'!$C$3=1,'Choix pédagogiques'!$C$3=2),$B138&lt;&gt;"",$C138&lt;&gt;"",$D138&lt;&gt;""),1,0))</f>
        <v/>
      </c>
      <c r="BN138" s="52" t="str">
        <f aca="false">IF(OR(COUNT(G138:I1137)=0,AND('Choix pédagogiques'!$C$3&lt;&gt;1,'Choix pédagogiques'!$C$3&lt;&gt;2)),"",IF(AND(OR('Choix pédagogiques'!$C$3=1,'Choix pédagogiques'!$C$3=2),AND($G138&lt;&gt;"",$H138&lt;&gt;"",$I138&lt;&gt;"")),1,0))</f>
        <v/>
      </c>
      <c r="BO138" s="52" t="str">
        <f aca="false">IF(OR(COUNT(B138:D1137)=0,COUNT(G138:I1137)=0,'Choix pédagogiques'!C$3&lt;&gt;3),"",IF(AND('Choix pédagogiques'!$C$3=3,$B138&lt;&gt;"",$C138&lt;&gt;"",$D138&lt;&gt;"",$G138&lt;&gt;"",$H138&lt;&gt;"",$I138&lt;&gt;""),1,0))</f>
        <v/>
      </c>
      <c r="BR138" s="52" t="n">
        <v>180</v>
      </c>
      <c r="BS138" s="52" t="n">
        <v>1202</v>
      </c>
    </row>
    <row r="139" s="54" customFormat="true" ht="18" hidden="false" customHeight="true" outlineLevel="0" collapsed="false">
      <c r="A139" s="57" t="s">
        <v>209</v>
      </c>
      <c r="B139" s="51"/>
      <c r="C139" s="51"/>
      <c r="D139" s="51"/>
      <c r="E139" s="51"/>
      <c r="F139" s="57" t="s">
        <v>210</v>
      </c>
      <c r="G139" s="51"/>
      <c r="H139" s="51"/>
      <c r="I139" s="51"/>
      <c r="J139" s="51"/>
      <c r="K139" s="52" t="str">
        <f aca="false">IF($A139&lt;&gt;"",$A139,"")</f>
        <v>Apprenant 127</v>
      </c>
      <c r="L139" s="53" t="str">
        <f aca="false">IF(AND($B139&lt;&gt;"",$C139&lt;&gt;""),$C139-$B139,"")</f>
        <v/>
      </c>
      <c r="M139" s="53" t="str">
        <f aca="false">IF(AND($B139&lt;&gt;"",$D139&lt;&gt;""),$D139-$B139,"")</f>
        <v/>
      </c>
      <c r="N139" s="53" t="str">
        <f aca="false">IF(AND($C139&lt;&gt;"",$D139&lt;&gt;""),$D139-$C139,"")</f>
        <v/>
      </c>
      <c r="O139" s="53" t="str">
        <f aca="false">IF($E139&lt;&gt;"",$E139,"")</f>
        <v/>
      </c>
      <c r="P139" s="52" t="str">
        <f aca="false">IF($F139&lt;&gt;"",$F139,"")</f>
        <v>Apprenant 127 ou 127'</v>
      </c>
      <c r="Q139" s="53" t="str">
        <f aca="false">IF(AND($G139&lt;&gt;"",$H139&lt;&gt;""),$H139-$G139,"")</f>
        <v/>
      </c>
      <c r="R139" s="53" t="str">
        <f aca="false">IF(AND($G139&lt;&gt;"",$I139&lt;&gt;""),$I139-$G139,"")</f>
        <v/>
      </c>
      <c r="S139" s="53" t="str">
        <f aca="false">IF(AND($H139&lt;&gt;"",$I139&lt;&gt;""),$I139-$H139,"")</f>
        <v/>
      </c>
      <c r="T139" s="53" t="str">
        <f aca="false">IF($J139&lt;&gt;"",$J139,"")</f>
        <v/>
      </c>
      <c r="V139" s="52" t="str">
        <f aca="false">IF($A139&lt;&gt;"",$A139,"")</f>
        <v>Apprenant 127</v>
      </c>
      <c r="W139" s="53" t="str">
        <f aca="false">IF(AND(OR('Choix pédagogiques'!$C$3=1,'Choix pédagogiques'!$C$3=2),$BM139=1),B139,IF(AND('Choix pédagogiques'!$C$3=3,$BO139=1),B139,""))</f>
        <v/>
      </c>
      <c r="X139" s="53" t="str">
        <f aca="false">IF(AND(OR('Choix pédagogiques'!$C$3=1,'Choix pédagogiques'!$C$3=2),$BM139=1),C139,IF(AND('Choix pédagogiques'!$C$3=3,$BO139=1),C139,""))</f>
        <v/>
      </c>
      <c r="Y139" s="53" t="str">
        <f aca="false">IF(AND(OR('Choix pédagogiques'!$C$3=1,'Choix pédagogiques'!$C$3=2),$BM139=1),D139,IF(AND('Choix pédagogiques'!$C$3=3,$BO139=1),D139,""))</f>
        <v/>
      </c>
      <c r="Z139" s="53" t="str">
        <f aca="false">IF($E139&lt;&gt;"",$E139,"")</f>
        <v/>
      </c>
      <c r="AA139" s="52" t="str">
        <f aca="false">IF($F139&lt;&gt;"",$F139,"")</f>
        <v>Apprenant 127 ou 127'</v>
      </c>
      <c r="AB139" s="53" t="str">
        <f aca="false">IF(AND(OR('Choix pédagogiques'!$C$3=1,'Choix pédagogiques'!$C$3=2),$BN139=1),G139,IF(AND('Choix pédagogiques'!$C$3=3,$BO139=1),G139,""))</f>
        <v/>
      </c>
      <c r="AC139" s="53" t="str">
        <f aca="false">IF(AND(OR('Choix pédagogiques'!$C$3=1,'Choix pédagogiques'!$C$3=2),$BN139=1),H139,IF(AND('Choix pédagogiques'!$C$3=3,$BO139=1),H139,""))</f>
        <v/>
      </c>
      <c r="AD139" s="53" t="str">
        <f aca="false">IF(AND(OR('Choix pédagogiques'!$C$3=1,'Choix pédagogiques'!$C$3=2),$BN139=1),I139,IF(AND('Choix pédagogiques'!$C$3=3,$BO139=1),I139,""))</f>
        <v/>
      </c>
      <c r="AE139" s="53" t="str">
        <f aca="false">IF($J139&lt;&gt;"",$J139,"")</f>
        <v/>
      </c>
      <c r="AF139" s="52" t="str">
        <f aca="false">IF($A139&lt;&gt;"",$A139,"")</f>
        <v>Apprenant 127</v>
      </c>
      <c r="AG139" s="53" t="str">
        <f aca="false">IF(AND($W139&lt;&gt;"",$X139&lt;&gt;""),$X139-$W139,"")</f>
        <v/>
      </c>
      <c r="AH139" s="53" t="str">
        <f aca="false">IF(AND($W139&lt;&gt;"",$Y139&lt;&gt;""),$Y139-$W139,"")</f>
        <v/>
      </c>
      <c r="AI139" s="53" t="str">
        <f aca="false">IF(AND($X139&lt;&gt;"",$Y139&lt;&gt;""),$Y139-$X139,"")</f>
        <v/>
      </c>
      <c r="AJ139" s="53" t="str">
        <f aca="false">IF($E139&lt;&gt;"",$E139,"")</f>
        <v/>
      </c>
      <c r="AK139" s="52" t="str">
        <f aca="false">IF($F139&lt;&gt;"",$F139,"")</f>
        <v>Apprenant 127 ou 127'</v>
      </c>
      <c r="AL139" s="53" t="str">
        <f aca="false">IF(AND($AB139&lt;&gt;"",$AC139&lt;&gt;""),$AC139-$AB139,"")</f>
        <v/>
      </c>
      <c r="AM139" s="53" t="str">
        <f aca="false">IF(AND($AB139&lt;&gt;"",$AD139&lt;&gt;""),$AD139-$AB139,"")</f>
        <v/>
      </c>
      <c r="AN139" s="53" t="str">
        <f aca="false">IF(AND($AC139&lt;&gt;"",$AD139&lt;&gt;""),$AD139-$AC139,"")</f>
        <v/>
      </c>
      <c r="AO139" s="53" t="str">
        <f aca="false">IF($J139&lt;&gt;"",$J139,"")</f>
        <v/>
      </c>
      <c r="AQ139" s="52" t="str">
        <f aca="false">IF($A139&lt;&gt;"",$A139,"")</f>
        <v>Apprenant 127</v>
      </c>
      <c r="AR139" s="55" t="str">
        <f aca="false">IF(AND('Choix pédagogiques'!$C$4&lt;&gt;"?",'Choix pédagogiques'!$C$5&lt;&gt;"?",W139&lt;&gt;""),(W139-'Choix pédagogiques'!$C$4)/('Choix pédagogiques'!$C$5-'Choix pédagogiques'!$C$4),"")</f>
        <v/>
      </c>
      <c r="AS139" s="55" t="str">
        <f aca="false">IF(AND('Choix pédagogiques'!$C$4&lt;&gt;"?",'Choix pédagogiques'!$C$5&lt;&gt;"?",X139&lt;&gt;""),(X139-'Choix pédagogiques'!$C$4)/('Choix pédagogiques'!$C$5-'Choix pédagogiques'!$C$4),"")</f>
        <v/>
      </c>
      <c r="AT139" s="55" t="str">
        <f aca="false">IF(AND('Choix pédagogiques'!$C$4&lt;&gt;"?",'Choix pédagogiques'!$C$5&lt;&gt;"?",Y139&lt;&gt;""),(Y139-'Choix pédagogiques'!$C$4)/('Choix pédagogiques'!$C$5-'Choix pédagogiques'!$C$4),"")</f>
        <v/>
      </c>
      <c r="AU139" s="53" t="str">
        <f aca="false">IF($E139&lt;&gt;"",$E139,"")</f>
        <v/>
      </c>
      <c r="AV139" s="52" t="str">
        <f aca="false">IF($F139&lt;&gt;"",$F139,"")</f>
        <v>Apprenant 127 ou 127'</v>
      </c>
      <c r="AW139" s="55" t="str">
        <f aca="false">IF(AND('Choix pédagogiques'!$C$4&lt;&gt;"?",'Choix pédagogiques'!$C$5&lt;&gt;"?",AB139&lt;&gt;""),(AB139-'Choix pédagogiques'!$C$4)/('Choix pédagogiques'!$C$5-'Choix pédagogiques'!$C$4),"")</f>
        <v/>
      </c>
      <c r="AX139" s="55" t="str">
        <f aca="false">IF(AND('Choix pédagogiques'!$C$4&lt;&gt;"?",'Choix pédagogiques'!$C$5&lt;&gt;"?",AC139&lt;&gt;""),(AC139-'Choix pédagogiques'!$C$4)/('Choix pédagogiques'!$C$5-'Choix pédagogiques'!$C$4),"")</f>
        <v/>
      </c>
      <c r="AY139" s="55" t="str">
        <f aca="false">IF(AND('Choix pédagogiques'!$C$4&lt;&gt;"?",'Choix pédagogiques'!$C$5&lt;&gt;"?",AD139&lt;&gt;""),(AD139-'Choix pédagogiques'!$C$4)/('Choix pédagogiques'!$C$5-'Choix pédagogiques'!$C$4),"")</f>
        <v/>
      </c>
      <c r="AZ139" s="53" t="str">
        <f aca="false">IF($J139&lt;&gt;"",$J139,"")</f>
        <v/>
      </c>
      <c r="BA139" s="52" t="str">
        <f aca="false">IF($A139&lt;&gt;"",$A139,"")</f>
        <v>Apprenant 127</v>
      </c>
      <c r="BB139" s="55" t="str">
        <f aca="false">IF(AND($AR139&lt;&gt;"",$AS139&lt;&gt;""),$AS139-$AR139,"")</f>
        <v/>
      </c>
      <c r="BC139" s="55" t="str">
        <f aca="false">IF(AND($AR139&lt;&gt;"",$AT139&lt;&gt;""),$AT139-$AR139,"")</f>
        <v/>
      </c>
      <c r="BD139" s="55" t="str">
        <f aca="false">IF(AND($AS139&lt;&gt;"",$AT139&lt;&gt;""),$AT139-$AS139,"")</f>
        <v/>
      </c>
      <c r="BE139" s="53" t="str">
        <f aca="false">IF($E139&lt;&gt;"",$E139,"")</f>
        <v/>
      </c>
      <c r="BF139" s="52" t="str">
        <f aca="false">IF($F139&lt;&gt;"",$F139,"")</f>
        <v>Apprenant 127 ou 127'</v>
      </c>
      <c r="BG139" s="55" t="str">
        <f aca="false">IF(AND($AW139&lt;&gt;"",$AX139&lt;&gt;""),$AX139-$AW139,"")</f>
        <v/>
      </c>
      <c r="BH139" s="55" t="str">
        <f aca="false">IF(AND($AW139&lt;&gt;"",$AY139&lt;&gt;""),$AY139-$AW139,"")</f>
        <v/>
      </c>
      <c r="BI139" s="55" t="str">
        <f aca="false">IF(AND($AX139&lt;&gt;"",$AY139&lt;&gt;""),$AY139-$AX139,"")</f>
        <v/>
      </c>
      <c r="BJ139" s="53" t="str">
        <f aca="false">IF($J139&lt;&gt;"",$J139,"")</f>
        <v/>
      </c>
      <c r="BL139" s="52"/>
      <c r="BM139" s="52" t="str">
        <f aca="false">IF(OR(COUNT(B139:D1138)=0,AND('Choix pédagogiques'!$C$3&lt;&gt;1,'Choix pédagogiques'!$C$3&lt;&gt;2)),"",IF(AND(OR('Choix pédagogiques'!$C$3=1,'Choix pédagogiques'!$C$3=2),$B139&lt;&gt;"",$C139&lt;&gt;"",$D139&lt;&gt;""),1,0))</f>
        <v/>
      </c>
      <c r="BN139" s="52" t="str">
        <f aca="false">IF(OR(COUNT(G139:I1138)=0,AND('Choix pédagogiques'!$C$3&lt;&gt;1,'Choix pédagogiques'!$C$3&lt;&gt;2)),"",IF(AND(OR('Choix pédagogiques'!$C$3=1,'Choix pédagogiques'!$C$3=2),AND($G139&lt;&gt;"",$H139&lt;&gt;"",$I139&lt;&gt;"")),1,0))</f>
        <v/>
      </c>
      <c r="BO139" s="52" t="str">
        <f aca="false">IF(OR(COUNT(B139:D1138)=0,COUNT(G139:I1138)=0,'Choix pédagogiques'!C$3&lt;&gt;3),"",IF(AND('Choix pédagogiques'!$C$3=3,$B139&lt;&gt;"",$C139&lt;&gt;"",$D139&lt;&gt;"",$G139&lt;&gt;"",$H139&lt;&gt;"",$I139&lt;&gt;""),1,0))</f>
        <v/>
      </c>
      <c r="BR139" s="52" t="n">
        <v>739</v>
      </c>
      <c r="BS139" s="52" t="n">
        <v>1145</v>
      </c>
    </row>
    <row r="140" s="54" customFormat="true" ht="18" hidden="false" customHeight="true" outlineLevel="0" collapsed="false">
      <c r="A140" s="57" t="s">
        <v>211</v>
      </c>
      <c r="B140" s="51"/>
      <c r="C140" s="51"/>
      <c r="D140" s="51"/>
      <c r="E140" s="51"/>
      <c r="F140" s="57" t="s">
        <v>212</v>
      </c>
      <c r="G140" s="51"/>
      <c r="H140" s="51"/>
      <c r="I140" s="51"/>
      <c r="J140" s="51"/>
      <c r="K140" s="52" t="str">
        <f aca="false">IF($A140&lt;&gt;"",$A140,"")</f>
        <v>Apprenant 128</v>
      </c>
      <c r="L140" s="53" t="str">
        <f aca="false">IF(AND($B140&lt;&gt;"",$C140&lt;&gt;""),$C140-$B140,"")</f>
        <v/>
      </c>
      <c r="M140" s="53" t="str">
        <f aca="false">IF(AND($B140&lt;&gt;"",$D140&lt;&gt;""),$D140-$B140,"")</f>
        <v/>
      </c>
      <c r="N140" s="53" t="str">
        <f aca="false">IF(AND($C140&lt;&gt;"",$D140&lt;&gt;""),$D140-$C140,"")</f>
        <v/>
      </c>
      <c r="O140" s="53" t="str">
        <f aca="false">IF($E140&lt;&gt;"",$E140,"")</f>
        <v/>
      </c>
      <c r="P140" s="52" t="str">
        <f aca="false">IF($F140&lt;&gt;"",$F140,"")</f>
        <v>Apprenant 128 ou 128'</v>
      </c>
      <c r="Q140" s="53" t="str">
        <f aca="false">IF(AND($G140&lt;&gt;"",$H140&lt;&gt;""),$H140-$G140,"")</f>
        <v/>
      </c>
      <c r="R140" s="53" t="str">
        <f aca="false">IF(AND($G140&lt;&gt;"",$I140&lt;&gt;""),$I140-$G140,"")</f>
        <v/>
      </c>
      <c r="S140" s="53" t="str">
        <f aca="false">IF(AND($H140&lt;&gt;"",$I140&lt;&gt;""),$I140-$H140,"")</f>
        <v/>
      </c>
      <c r="T140" s="53" t="str">
        <f aca="false">IF($J140&lt;&gt;"",$J140,"")</f>
        <v/>
      </c>
      <c r="V140" s="52" t="str">
        <f aca="false">IF($A140&lt;&gt;"",$A140,"")</f>
        <v>Apprenant 128</v>
      </c>
      <c r="W140" s="53" t="str">
        <f aca="false">IF(AND(OR('Choix pédagogiques'!$C$3=1,'Choix pédagogiques'!$C$3=2),$BM140=1),B140,IF(AND('Choix pédagogiques'!$C$3=3,$BO140=1),B140,""))</f>
        <v/>
      </c>
      <c r="X140" s="53" t="str">
        <f aca="false">IF(AND(OR('Choix pédagogiques'!$C$3=1,'Choix pédagogiques'!$C$3=2),$BM140=1),C140,IF(AND('Choix pédagogiques'!$C$3=3,$BO140=1),C140,""))</f>
        <v/>
      </c>
      <c r="Y140" s="53" t="str">
        <f aca="false">IF(AND(OR('Choix pédagogiques'!$C$3=1,'Choix pédagogiques'!$C$3=2),$BM140=1),D140,IF(AND('Choix pédagogiques'!$C$3=3,$BO140=1),D140,""))</f>
        <v/>
      </c>
      <c r="Z140" s="53" t="str">
        <f aca="false">IF($E140&lt;&gt;"",$E140,"")</f>
        <v/>
      </c>
      <c r="AA140" s="52" t="str">
        <f aca="false">IF($F140&lt;&gt;"",$F140,"")</f>
        <v>Apprenant 128 ou 128'</v>
      </c>
      <c r="AB140" s="53" t="str">
        <f aca="false">IF(AND(OR('Choix pédagogiques'!$C$3=1,'Choix pédagogiques'!$C$3=2),$BN140=1),G140,IF(AND('Choix pédagogiques'!$C$3=3,$BO140=1),G140,""))</f>
        <v/>
      </c>
      <c r="AC140" s="53" t="str">
        <f aca="false">IF(AND(OR('Choix pédagogiques'!$C$3=1,'Choix pédagogiques'!$C$3=2),$BN140=1),H140,IF(AND('Choix pédagogiques'!$C$3=3,$BO140=1),H140,""))</f>
        <v/>
      </c>
      <c r="AD140" s="53" t="str">
        <f aca="false">IF(AND(OR('Choix pédagogiques'!$C$3=1,'Choix pédagogiques'!$C$3=2),$BN140=1),I140,IF(AND('Choix pédagogiques'!$C$3=3,$BO140=1),I140,""))</f>
        <v/>
      </c>
      <c r="AE140" s="53" t="str">
        <f aca="false">IF($J140&lt;&gt;"",$J140,"")</f>
        <v/>
      </c>
      <c r="AF140" s="52" t="str">
        <f aca="false">IF($A140&lt;&gt;"",$A140,"")</f>
        <v>Apprenant 128</v>
      </c>
      <c r="AG140" s="53" t="str">
        <f aca="false">IF(AND($W140&lt;&gt;"",$X140&lt;&gt;""),$X140-$W140,"")</f>
        <v/>
      </c>
      <c r="AH140" s="53" t="str">
        <f aca="false">IF(AND($W140&lt;&gt;"",$Y140&lt;&gt;""),$Y140-$W140,"")</f>
        <v/>
      </c>
      <c r="AI140" s="53" t="str">
        <f aca="false">IF(AND($X140&lt;&gt;"",$Y140&lt;&gt;""),$Y140-$X140,"")</f>
        <v/>
      </c>
      <c r="AJ140" s="53" t="str">
        <f aca="false">IF($E140&lt;&gt;"",$E140,"")</f>
        <v/>
      </c>
      <c r="AK140" s="52" t="str">
        <f aca="false">IF($F140&lt;&gt;"",$F140,"")</f>
        <v>Apprenant 128 ou 128'</v>
      </c>
      <c r="AL140" s="53" t="str">
        <f aca="false">IF(AND($AB140&lt;&gt;"",$AC140&lt;&gt;""),$AC140-$AB140,"")</f>
        <v/>
      </c>
      <c r="AM140" s="53" t="str">
        <f aca="false">IF(AND($AB140&lt;&gt;"",$AD140&lt;&gt;""),$AD140-$AB140,"")</f>
        <v/>
      </c>
      <c r="AN140" s="53" t="str">
        <f aca="false">IF(AND($AC140&lt;&gt;"",$AD140&lt;&gt;""),$AD140-$AC140,"")</f>
        <v/>
      </c>
      <c r="AO140" s="53" t="str">
        <f aca="false">IF($J140&lt;&gt;"",$J140,"")</f>
        <v/>
      </c>
      <c r="AQ140" s="52" t="str">
        <f aca="false">IF($A140&lt;&gt;"",$A140,"")</f>
        <v>Apprenant 128</v>
      </c>
      <c r="AR140" s="55" t="str">
        <f aca="false">IF(AND('Choix pédagogiques'!$C$4&lt;&gt;"?",'Choix pédagogiques'!$C$5&lt;&gt;"?",W140&lt;&gt;""),(W140-'Choix pédagogiques'!$C$4)/('Choix pédagogiques'!$C$5-'Choix pédagogiques'!$C$4),"")</f>
        <v/>
      </c>
      <c r="AS140" s="55" t="str">
        <f aca="false">IF(AND('Choix pédagogiques'!$C$4&lt;&gt;"?",'Choix pédagogiques'!$C$5&lt;&gt;"?",X140&lt;&gt;""),(X140-'Choix pédagogiques'!$C$4)/('Choix pédagogiques'!$C$5-'Choix pédagogiques'!$C$4),"")</f>
        <v/>
      </c>
      <c r="AT140" s="55" t="str">
        <f aca="false">IF(AND('Choix pédagogiques'!$C$4&lt;&gt;"?",'Choix pédagogiques'!$C$5&lt;&gt;"?",Y140&lt;&gt;""),(Y140-'Choix pédagogiques'!$C$4)/('Choix pédagogiques'!$C$5-'Choix pédagogiques'!$C$4),"")</f>
        <v/>
      </c>
      <c r="AU140" s="53" t="str">
        <f aca="false">IF($E140&lt;&gt;"",$E140,"")</f>
        <v/>
      </c>
      <c r="AV140" s="52" t="str">
        <f aca="false">IF($F140&lt;&gt;"",$F140,"")</f>
        <v>Apprenant 128 ou 128'</v>
      </c>
      <c r="AW140" s="55" t="str">
        <f aca="false">IF(AND('Choix pédagogiques'!$C$4&lt;&gt;"?",'Choix pédagogiques'!$C$5&lt;&gt;"?",AB140&lt;&gt;""),(AB140-'Choix pédagogiques'!$C$4)/('Choix pédagogiques'!$C$5-'Choix pédagogiques'!$C$4),"")</f>
        <v/>
      </c>
      <c r="AX140" s="55" t="str">
        <f aca="false">IF(AND('Choix pédagogiques'!$C$4&lt;&gt;"?",'Choix pédagogiques'!$C$5&lt;&gt;"?",AC140&lt;&gt;""),(AC140-'Choix pédagogiques'!$C$4)/('Choix pédagogiques'!$C$5-'Choix pédagogiques'!$C$4),"")</f>
        <v/>
      </c>
      <c r="AY140" s="55" t="str">
        <f aca="false">IF(AND('Choix pédagogiques'!$C$4&lt;&gt;"?",'Choix pédagogiques'!$C$5&lt;&gt;"?",AD140&lt;&gt;""),(AD140-'Choix pédagogiques'!$C$4)/('Choix pédagogiques'!$C$5-'Choix pédagogiques'!$C$4),"")</f>
        <v/>
      </c>
      <c r="AZ140" s="53" t="str">
        <f aca="false">IF($J140&lt;&gt;"",$J140,"")</f>
        <v/>
      </c>
      <c r="BA140" s="52" t="str">
        <f aca="false">IF($A140&lt;&gt;"",$A140,"")</f>
        <v>Apprenant 128</v>
      </c>
      <c r="BB140" s="55" t="str">
        <f aca="false">IF(AND($AR140&lt;&gt;"",$AS140&lt;&gt;""),$AS140-$AR140,"")</f>
        <v/>
      </c>
      <c r="BC140" s="55" t="str">
        <f aca="false">IF(AND($AR140&lt;&gt;"",$AT140&lt;&gt;""),$AT140-$AR140,"")</f>
        <v/>
      </c>
      <c r="BD140" s="55" t="str">
        <f aca="false">IF(AND($AS140&lt;&gt;"",$AT140&lt;&gt;""),$AT140-$AS140,"")</f>
        <v/>
      </c>
      <c r="BE140" s="53" t="str">
        <f aca="false">IF($E140&lt;&gt;"",$E140,"")</f>
        <v/>
      </c>
      <c r="BF140" s="52" t="str">
        <f aca="false">IF($F140&lt;&gt;"",$F140,"")</f>
        <v>Apprenant 128 ou 128'</v>
      </c>
      <c r="BG140" s="55" t="str">
        <f aca="false">IF(AND($AW140&lt;&gt;"",$AX140&lt;&gt;""),$AX140-$AW140,"")</f>
        <v/>
      </c>
      <c r="BH140" s="55" t="str">
        <f aca="false">IF(AND($AW140&lt;&gt;"",$AY140&lt;&gt;""),$AY140-$AW140,"")</f>
        <v/>
      </c>
      <c r="BI140" s="55" t="str">
        <f aca="false">IF(AND($AX140&lt;&gt;"",$AY140&lt;&gt;""),$AY140-$AX140,"")</f>
        <v/>
      </c>
      <c r="BJ140" s="53" t="str">
        <f aca="false">IF($J140&lt;&gt;"",$J140,"")</f>
        <v/>
      </c>
      <c r="BL140" s="52"/>
      <c r="BM140" s="52" t="str">
        <f aca="false">IF(OR(COUNT(B140:D1139)=0,AND('Choix pédagogiques'!$C$3&lt;&gt;1,'Choix pédagogiques'!$C$3&lt;&gt;2)),"",IF(AND(OR('Choix pédagogiques'!$C$3=1,'Choix pédagogiques'!$C$3=2),$B140&lt;&gt;"",$C140&lt;&gt;"",$D140&lt;&gt;""),1,0))</f>
        <v/>
      </c>
      <c r="BN140" s="52" t="str">
        <f aca="false">IF(OR(COUNT(G140:I1139)=0,AND('Choix pédagogiques'!$C$3&lt;&gt;1,'Choix pédagogiques'!$C$3&lt;&gt;2)),"",IF(AND(OR('Choix pédagogiques'!$C$3=1,'Choix pédagogiques'!$C$3=2),AND($G140&lt;&gt;"",$H140&lt;&gt;"",$I140&lt;&gt;"")),1,0))</f>
        <v/>
      </c>
      <c r="BO140" s="52" t="str">
        <f aca="false">IF(OR(COUNT(B140:D1139)=0,COUNT(G140:I1139)=0,'Choix pédagogiques'!C$3&lt;&gt;3),"",IF(AND('Choix pédagogiques'!$C$3=3,$B140&lt;&gt;"",$C140&lt;&gt;"",$D140&lt;&gt;"",$G140&lt;&gt;"",$H140&lt;&gt;"",$I140&lt;&gt;""),1,0))</f>
        <v/>
      </c>
      <c r="BR140" s="52" t="n">
        <v>797</v>
      </c>
      <c r="BS140" s="52" t="n">
        <v>1502</v>
      </c>
    </row>
    <row r="141" s="54" customFormat="true" ht="18" hidden="false" customHeight="true" outlineLevel="0" collapsed="false">
      <c r="A141" s="57" t="s">
        <v>213</v>
      </c>
      <c r="B141" s="51"/>
      <c r="C141" s="51"/>
      <c r="D141" s="51"/>
      <c r="E141" s="51"/>
      <c r="F141" s="57" t="s">
        <v>214</v>
      </c>
      <c r="G141" s="51"/>
      <c r="H141" s="51"/>
      <c r="I141" s="51"/>
      <c r="J141" s="51"/>
      <c r="K141" s="52" t="str">
        <f aca="false">IF($A141&lt;&gt;"",$A141,"")</f>
        <v>Apprenant 129</v>
      </c>
      <c r="L141" s="53" t="str">
        <f aca="false">IF(AND($B141&lt;&gt;"",$C141&lt;&gt;""),$C141-$B141,"")</f>
        <v/>
      </c>
      <c r="M141" s="53" t="str">
        <f aca="false">IF(AND($B141&lt;&gt;"",$D141&lt;&gt;""),$D141-$B141,"")</f>
        <v/>
      </c>
      <c r="N141" s="53" t="str">
        <f aca="false">IF(AND($C141&lt;&gt;"",$D141&lt;&gt;""),$D141-$C141,"")</f>
        <v/>
      </c>
      <c r="O141" s="53" t="str">
        <f aca="false">IF($E141&lt;&gt;"",$E141,"")</f>
        <v/>
      </c>
      <c r="P141" s="52" t="str">
        <f aca="false">IF($F141&lt;&gt;"",$F141,"")</f>
        <v>Apprenant 129 ou 129'</v>
      </c>
      <c r="Q141" s="53" t="str">
        <f aca="false">IF(AND($G141&lt;&gt;"",$H141&lt;&gt;""),$H141-$G141,"")</f>
        <v/>
      </c>
      <c r="R141" s="53" t="str">
        <f aca="false">IF(AND($G141&lt;&gt;"",$I141&lt;&gt;""),$I141-$G141,"")</f>
        <v/>
      </c>
      <c r="S141" s="53" t="str">
        <f aca="false">IF(AND($H141&lt;&gt;"",$I141&lt;&gt;""),$I141-$H141,"")</f>
        <v/>
      </c>
      <c r="T141" s="53" t="str">
        <f aca="false">IF($J141&lt;&gt;"",$J141,"")</f>
        <v/>
      </c>
      <c r="V141" s="52" t="str">
        <f aca="false">IF($A141&lt;&gt;"",$A141,"")</f>
        <v>Apprenant 129</v>
      </c>
      <c r="W141" s="53" t="str">
        <f aca="false">IF(AND(OR('Choix pédagogiques'!$C$3=1,'Choix pédagogiques'!$C$3=2),$BM141=1),B141,IF(AND('Choix pédagogiques'!$C$3=3,$BO141=1),B141,""))</f>
        <v/>
      </c>
      <c r="X141" s="53" t="str">
        <f aca="false">IF(AND(OR('Choix pédagogiques'!$C$3=1,'Choix pédagogiques'!$C$3=2),$BM141=1),C141,IF(AND('Choix pédagogiques'!$C$3=3,$BO141=1),C141,""))</f>
        <v/>
      </c>
      <c r="Y141" s="53" t="str">
        <f aca="false">IF(AND(OR('Choix pédagogiques'!$C$3=1,'Choix pédagogiques'!$C$3=2),$BM141=1),D141,IF(AND('Choix pédagogiques'!$C$3=3,$BO141=1),D141,""))</f>
        <v/>
      </c>
      <c r="Z141" s="53" t="str">
        <f aca="false">IF($E141&lt;&gt;"",$E141,"")</f>
        <v/>
      </c>
      <c r="AA141" s="52" t="str">
        <f aca="false">IF($F141&lt;&gt;"",$F141,"")</f>
        <v>Apprenant 129 ou 129'</v>
      </c>
      <c r="AB141" s="53" t="str">
        <f aca="false">IF(AND(OR('Choix pédagogiques'!$C$3=1,'Choix pédagogiques'!$C$3=2),$BN141=1),G141,IF(AND('Choix pédagogiques'!$C$3=3,$BO141=1),G141,""))</f>
        <v/>
      </c>
      <c r="AC141" s="53" t="str">
        <f aca="false">IF(AND(OR('Choix pédagogiques'!$C$3=1,'Choix pédagogiques'!$C$3=2),$BN141=1),H141,IF(AND('Choix pédagogiques'!$C$3=3,$BO141=1),H141,""))</f>
        <v/>
      </c>
      <c r="AD141" s="53" t="str">
        <f aca="false">IF(AND(OR('Choix pédagogiques'!$C$3=1,'Choix pédagogiques'!$C$3=2),$BN141=1),I141,IF(AND('Choix pédagogiques'!$C$3=3,$BO141=1),I141,""))</f>
        <v/>
      </c>
      <c r="AE141" s="53" t="str">
        <f aca="false">IF($J141&lt;&gt;"",$J141,"")</f>
        <v/>
      </c>
      <c r="AF141" s="52" t="str">
        <f aca="false">IF($A141&lt;&gt;"",$A141,"")</f>
        <v>Apprenant 129</v>
      </c>
      <c r="AG141" s="53" t="str">
        <f aca="false">IF(AND($W141&lt;&gt;"",$X141&lt;&gt;""),$X141-$W141,"")</f>
        <v/>
      </c>
      <c r="AH141" s="53" t="str">
        <f aca="false">IF(AND($W141&lt;&gt;"",$Y141&lt;&gt;""),$Y141-$W141,"")</f>
        <v/>
      </c>
      <c r="AI141" s="53" t="str">
        <f aca="false">IF(AND($X141&lt;&gt;"",$Y141&lt;&gt;""),$Y141-$X141,"")</f>
        <v/>
      </c>
      <c r="AJ141" s="53" t="str">
        <f aca="false">IF($E141&lt;&gt;"",$E141,"")</f>
        <v/>
      </c>
      <c r="AK141" s="52" t="str">
        <f aca="false">IF($F141&lt;&gt;"",$F141,"")</f>
        <v>Apprenant 129 ou 129'</v>
      </c>
      <c r="AL141" s="53" t="str">
        <f aca="false">IF(AND($AB141&lt;&gt;"",$AC141&lt;&gt;""),$AC141-$AB141,"")</f>
        <v/>
      </c>
      <c r="AM141" s="53" t="str">
        <f aca="false">IF(AND($AB141&lt;&gt;"",$AD141&lt;&gt;""),$AD141-$AB141,"")</f>
        <v/>
      </c>
      <c r="AN141" s="53" t="str">
        <f aca="false">IF(AND($AC141&lt;&gt;"",$AD141&lt;&gt;""),$AD141-$AC141,"")</f>
        <v/>
      </c>
      <c r="AO141" s="53" t="str">
        <f aca="false">IF($J141&lt;&gt;"",$J141,"")</f>
        <v/>
      </c>
      <c r="AQ141" s="52" t="str">
        <f aca="false">IF($A141&lt;&gt;"",$A141,"")</f>
        <v>Apprenant 129</v>
      </c>
      <c r="AR141" s="55" t="str">
        <f aca="false">IF(AND('Choix pédagogiques'!$C$4&lt;&gt;"?",'Choix pédagogiques'!$C$5&lt;&gt;"?",W141&lt;&gt;""),(W141-'Choix pédagogiques'!$C$4)/('Choix pédagogiques'!$C$5-'Choix pédagogiques'!$C$4),"")</f>
        <v/>
      </c>
      <c r="AS141" s="55" t="str">
        <f aca="false">IF(AND('Choix pédagogiques'!$C$4&lt;&gt;"?",'Choix pédagogiques'!$C$5&lt;&gt;"?",X141&lt;&gt;""),(X141-'Choix pédagogiques'!$C$4)/('Choix pédagogiques'!$C$5-'Choix pédagogiques'!$C$4),"")</f>
        <v/>
      </c>
      <c r="AT141" s="55" t="str">
        <f aca="false">IF(AND('Choix pédagogiques'!$C$4&lt;&gt;"?",'Choix pédagogiques'!$C$5&lt;&gt;"?",Y141&lt;&gt;""),(Y141-'Choix pédagogiques'!$C$4)/('Choix pédagogiques'!$C$5-'Choix pédagogiques'!$C$4),"")</f>
        <v/>
      </c>
      <c r="AU141" s="53" t="str">
        <f aca="false">IF($E141&lt;&gt;"",$E141,"")</f>
        <v/>
      </c>
      <c r="AV141" s="52" t="str">
        <f aca="false">IF($F141&lt;&gt;"",$F141,"")</f>
        <v>Apprenant 129 ou 129'</v>
      </c>
      <c r="AW141" s="55" t="str">
        <f aca="false">IF(AND('Choix pédagogiques'!$C$4&lt;&gt;"?",'Choix pédagogiques'!$C$5&lt;&gt;"?",AB141&lt;&gt;""),(AB141-'Choix pédagogiques'!$C$4)/('Choix pédagogiques'!$C$5-'Choix pédagogiques'!$C$4),"")</f>
        <v/>
      </c>
      <c r="AX141" s="55" t="str">
        <f aca="false">IF(AND('Choix pédagogiques'!$C$4&lt;&gt;"?",'Choix pédagogiques'!$C$5&lt;&gt;"?",AC141&lt;&gt;""),(AC141-'Choix pédagogiques'!$C$4)/('Choix pédagogiques'!$C$5-'Choix pédagogiques'!$C$4),"")</f>
        <v/>
      </c>
      <c r="AY141" s="55" t="str">
        <f aca="false">IF(AND('Choix pédagogiques'!$C$4&lt;&gt;"?",'Choix pédagogiques'!$C$5&lt;&gt;"?",AD141&lt;&gt;""),(AD141-'Choix pédagogiques'!$C$4)/('Choix pédagogiques'!$C$5-'Choix pédagogiques'!$C$4),"")</f>
        <v/>
      </c>
      <c r="AZ141" s="53" t="str">
        <f aca="false">IF($J141&lt;&gt;"",$J141,"")</f>
        <v/>
      </c>
      <c r="BA141" s="52" t="str">
        <f aca="false">IF($A141&lt;&gt;"",$A141,"")</f>
        <v>Apprenant 129</v>
      </c>
      <c r="BB141" s="55" t="str">
        <f aca="false">IF(AND($AR141&lt;&gt;"",$AS141&lt;&gt;""),$AS141-$AR141,"")</f>
        <v/>
      </c>
      <c r="BC141" s="55" t="str">
        <f aca="false">IF(AND($AR141&lt;&gt;"",$AT141&lt;&gt;""),$AT141-$AR141,"")</f>
        <v/>
      </c>
      <c r="BD141" s="55" t="str">
        <f aca="false">IF(AND($AS141&lt;&gt;"",$AT141&lt;&gt;""),$AT141-$AS141,"")</f>
        <v/>
      </c>
      <c r="BE141" s="53" t="str">
        <f aca="false">IF($E141&lt;&gt;"",$E141,"")</f>
        <v/>
      </c>
      <c r="BF141" s="52" t="str">
        <f aca="false">IF($F141&lt;&gt;"",$F141,"")</f>
        <v>Apprenant 129 ou 129'</v>
      </c>
      <c r="BG141" s="55" t="str">
        <f aca="false">IF(AND($AW141&lt;&gt;"",$AX141&lt;&gt;""),$AX141-$AW141,"")</f>
        <v/>
      </c>
      <c r="BH141" s="55" t="str">
        <f aca="false">IF(AND($AW141&lt;&gt;"",$AY141&lt;&gt;""),$AY141-$AW141,"")</f>
        <v/>
      </c>
      <c r="BI141" s="55" t="str">
        <f aca="false">IF(AND($AX141&lt;&gt;"",$AY141&lt;&gt;""),$AY141-$AX141,"")</f>
        <v/>
      </c>
      <c r="BJ141" s="53" t="str">
        <f aca="false">IF($J141&lt;&gt;"",$J141,"")</f>
        <v/>
      </c>
      <c r="BL141" s="52"/>
      <c r="BM141" s="52" t="str">
        <f aca="false">IF(OR(COUNT(B141:D1140)=0,AND('Choix pédagogiques'!$C$3&lt;&gt;1,'Choix pédagogiques'!$C$3&lt;&gt;2)),"",IF(AND(OR('Choix pédagogiques'!$C$3=1,'Choix pédagogiques'!$C$3=2),$B141&lt;&gt;"",$C141&lt;&gt;"",$D141&lt;&gt;""),1,0))</f>
        <v/>
      </c>
      <c r="BN141" s="52" t="str">
        <f aca="false">IF(OR(COUNT(G141:I1140)=0,AND('Choix pédagogiques'!$C$3&lt;&gt;1,'Choix pédagogiques'!$C$3&lt;&gt;2)),"",IF(AND(OR('Choix pédagogiques'!$C$3=1,'Choix pédagogiques'!$C$3=2),AND($G141&lt;&gt;"",$H141&lt;&gt;"",$I141&lt;&gt;"")),1,0))</f>
        <v/>
      </c>
      <c r="BO141" s="52" t="str">
        <f aca="false">IF(OR(COUNT(B141:D1140)=0,COUNT(G141:I1140)=0,'Choix pédagogiques'!C$3&lt;&gt;3),"",IF(AND('Choix pédagogiques'!$C$3=3,$B141&lt;&gt;"",$C141&lt;&gt;"",$D141&lt;&gt;"",$G141&lt;&gt;"",$H141&lt;&gt;"",$I141&lt;&gt;""),1,0))</f>
        <v/>
      </c>
      <c r="BR141" s="52" t="n">
        <v>533</v>
      </c>
      <c r="BS141" s="52" t="n">
        <v>1244</v>
      </c>
    </row>
    <row r="142" s="54" customFormat="true" ht="18" hidden="false" customHeight="true" outlineLevel="0" collapsed="false">
      <c r="A142" s="57" t="s">
        <v>215</v>
      </c>
      <c r="B142" s="51"/>
      <c r="C142" s="51"/>
      <c r="D142" s="51"/>
      <c r="E142" s="51"/>
      <c r="F142" s="57" t="s">
        <v>216</v>
      </c>
      <c r="G142" s="51"/>
      <c r="H142" s="51"/>
      <c r="I142" s="51"/>
      <c r="J142" s="51"/>
      <c r="K142" s="52" t="str">
        <f aca="false">IF($A142&lt;&gt;"",$A142,"")</f>
        <v>Apprenant 130</v>
      </c>
      <c r="L142" s="53" t="str">
        <f aca="false">IF(AND($B142&lt;&gt;"",$C142&lt;&gt;""),$C142-$B142,"")</f>
        <v/>
      </c>
      <c r="M142" s="53" t="str">
        <f aca="false">IF(AND($B142&lt;&gt;"",$D142&lt;&gt;""),$D142-$B142,"")</f>
        <v/>
      </c>
      <c r="N142" s="53" t="str">
        <f aca="false">IF(AND($C142&lt;&gt;"",$D142&lt;&gt;""),$D142-$C142,"")</f>
        <v/>
      </c>
      <c r="O142" s="53" t="str">
        <f aca="false">IF($E142&lt;&gt;"",$E142,"")</f>
        <v/>
      </c>
      <c r="P142" s="52" t="str">
        <f aca="false">IF($F142&lt;&gt;"",$F142,"")</f>
        <v>Apprenant 130 ou 130'</v>
      </c>
      <c r="Q142" s="53" t="str">
        <f aca="false">IF(AND($G142&lt;&gt;"",$H142&lt;&gt;""),$H142-$G142,"")</f>
        <v/>
      </c>
      <c r="R142" s="53" t="str">
        <f aca="false">IF(AND($G142&lt;&gt;"",$I142&lt;&gt;""),$I142-$G142,"")</f>
        <v/>
      </c>
      <c r="S142" s="53" t="str">
        <f aca="false">IF(AND($H142&lt;&gt;"",$I142&lt;&gt;""),$I142-$H142,"")</f>
        <v/>
      </c>
      <c r="T142" s="53" t="str">
        <f aca="false">IF($J142&lt;&gt;"",$J142,"")</f>
        <v/>
      </c>
      <c r="V142" s="52" t="str">
        <f aca="false">IF($A142&lt;&gt;"",$A142,"")</f>
        <v>Apprenant 130</v>
      </c>
      <c r="W142" s="53" t="str">
        <f aca="false">IF(AND(OR('Choix pédagogiques'!$C$3=1,'Choix pédagogiques'!$C$3=2),$BM142=1),B142,IF(AND('Choix pédagogiques'!$C$3=3,$BO142=1),B142,""))</f>
        <v/>
      </c>
      <c r="X142" s="53" t="str">
        <f aca="false">IF(AND(OR('Choix pédagogiques'!$C$3=1,'Choix pédagogiques'!$C$3=2),$BM142=1),C142,IF(AND('Choix pédagogiques'!$C$3=3,$BO142=1),C142,""))</f>
        <v/>
      </c>
      <c r="Y142" s="53" t="str">
        <f aca="false">IF(AND(OR('Choix pédagogiques'!$C$3=1,'Choix pédagogiques'!$C$3=2),$BM142=1),D142,IF(AND('Choix pédagogiques'!$C$3=3,$BO142=1),D142,""))</f>
        <v/>
      </c>
      <c r="Z142" s="53" t="str">
        <f aca="false">IF($E142&lt;&gt;"",$E142,"")</f>
        <v/>
      </c>
      <c r="AA142" s="52" t="str">
        <f aca="false">IF($F142&lt;&gt;"",$F142,"")</f>
        <v>Apprenant 130 ou 130'</v>
      </c>
      <c r="AB142" s="53" t="str">
        <f aca="false">IF(AND(OR('Choix pédagogiques'!$C$3=1,'Choix pédagogiques'!$C$3=2),$BN142=1),G142,IF(AND('Choix pédagogiques'!$C$3=3,$BO142=1),G142,""))</f>
        <v/>
      </c>
      <c r="AC142" s="53" t="str">
        <f aca="false">IF(AND(OR('Choix pédagogiques'!$C$3=1,'Choix pédagogiques'!$C$3=2),$BN142=1),H142,IF(AND('Choix pédagogiques'!$C$3=3,$BO142=1),H142,""))</f>
        <v/>
      </c>
      <c r="AD142" s="53" t="str">
        <f aca="false">IF(AND(OR('Choix pédagogiques'!$C$3=1,'Choix pédagogiques'!$C$3=2),$BN142=1),I142,IF(AND('Choix pédagogiques'!$C$3=3,$BO142=1),I142,""))</f>
        <v/>
      </c>
      <c r="AE142" s="53" t="str">
        <f aca="false">IF($J142&lt;&gt;"",$J142,"")</f>
        <v/>
      </c>
      <c r="AF142" s="52" t="str">
        <f aca="false">IF($A142&lt;&gt;"",$A142,"")</f>
        <v>Apprenant 130</v>
      </c>
      <c r="AG142" s="53" t="str">
        <f aca="false">IF(AND($W142&lt;&gt;"",$X142&lt;&gt;""),$X142-$W142,"")</f>
        <v/>
      </c>
      <c r="AH142" s="53" t="str">
        <f aca="false">IF(AND($W142&lt;&gt;"",$Y142&lt;&gt;""),$Y142-$W142,"")</f>
        <v/>
      </c>
      <c r="AI142" s="53" t="str">
        <f aca="false">IF(AND($X142&lt;&gt;"",$Y142&lt;&gt;""),$Y142-$X142,"")</f>
        <v/>
      </c>
      <c r="AJ142" s="53" t="str">
        <f aca="false">IF($E142&lt;&gt;"",$E142,"")</f>
        <v/>
      </c>
      <c r="AK142" s="52" t="str">
        <f aca="false">IF($F142&lt;&gt;"",$F142,"")</f>
        <v>Apprenant 130 ou 130'</v>
      </c>
      <c r="AL142" s="53" t="str">
        <f aca="false">IF(AND($AB142&lt;&gt;"",$AC142&lt;&gt;""),$AC142-$AB142,"")</f>
        <v/>
      </c>
      <c r="AM142" s="53" t="str">
        <f aca="false">IF(AND($AB142&lt;&gt;"",$AD142&lt;&gt;""),$AD142-$AB142,"")</f>
        <v/>
      </c>
      <c r="AN142" s="53" t="str">
        <f aca="false">IF(AND($AC142&lt;&gt;"",$AD142&lt;&gt;""),$AD142-$AC142,"")</f>
        <v/>
      </c>
      <c r="AO142" s="53" t="str">
        <f aca="false">IF($J142&lt;&gt;"",$J142,"")</f>
        <v/>
      </c>
      <c r="AQ142" s="52" t="str">
        <f aca="false">IF($A142&lt;&gt;"",$A142,"")</f>
        <v>Apprenant 130</v>
      </c>
      <c r="AR142" s="55" t="str">
        <f aca="false">IF(AND('Choix pédagogiques'!$C$4&lt;&gt;"?",'Choix pédagogiques'!$C$5&lt;&gt;"?",W142&lt;&gt;""),(W142-'Choix pédagogiques'!$C$4)/('Choix pédagogiques'!$C$5-'Choix pédagogiques'!$C$4),"")</f>
        <v/>
      </c>
      <c r="AS142" s="55" t="str">
        <f aca="false">IF(AND('Choix pédagogiques'!$C$4&lt;&gt;"?",'Choix pédagogiques'!$C$5&lt;&gt;"?",X142&lt;&gt;""),(X142-'Choix pédagogiques'!$C$4)/('Choix pédagogiques'!$C$5-'Choix pédagogiques'!$C$4),"")</f>
        <v/>
      </c>
      <c r="AT142" s="55" t="str">
        <f aca="false">IF(AND('Choix pédagogiques'!$C$4&lt;&gt;"?",'Choix pédagogiques'!$C$5&lt;&gt;"?",Y142&lt;&gt;""),(Y142-'Choix pédagogiques'!$C$4)/('Choix pédagogiques'!$C$5-'Choix pédagogiques'!$C$4),"")</f>
        <v/>
      </c>
      <c r="AU142" s="53" t="str">
        <f aca="false">IF($E142&lt;&gt;"",$E142,"")</f>
        <v/>
      </c>
      <c r="AV142" s="52" t="str">
        <f aca="false">IF($F142&lt;&gt;"",$F142,"")</f>
        <v>Apprenant 130 ou 130'</v>
      </c>
      <c r="AW142" s="55" t="str">
        <f aca="false">IF(AND('Choix pédagogiques'!$C$4&lt;&gt;"?",'Choix pédagogiques'!$C$5&lt;&gt;"?",AB142&lt;&gt;""),(AB142-'Choix pédagogiques'!$C$4)/('Choix pédagogiques'!$C$5-'Choix pédagogiques'!$C$4),"")</f>
        <v/>
      </c>
      <c r="AX142" s="55" t="str">
        <f aca="false">IF(AND('Choix pédagogiques'!$C$4&lt;&gt;"?",'Choix pédagogiques'!$C$5&lt;&gt;"?",AC142&lt;&gt;""),(AC142-'Choix pédagogiques'!$C$4)/('Choix pédagogiques'!$C$5-'Choix pédagogiques'!$C$4),"")</f>
        <v/>
      </c>
      <c r="AY142" s="55" t="str">
        <f aca="false">IF(AND('Choix pédagogiques'!$C$4&lt;&gt;"?",'Choix pédagogiques'!$C$5&lt;&gt;"?",AD142&lt;&gt;""),(AD142-'Choix pédagogiques'!$C$4)/('Choix pédagogiques'!$C$5-'Choix pédagogiques'!$C$4),"")</f>
        <v/>
      </c>
      <c r="AZ142" s="53" t="str">
        <f aca="false">IF($J142&lt;&gt;"",$J142,"")</f>
        <v/>
      </c>
      <c r="BA142" s="52" t="str">
        <f aca="false">IF($A142&lt;&gt;"",$A142,"")</f>
        <v>Apprenant 130</v>
      </c>
      <c r="BB142" s="55" t="str">
        <f aca="false">IF(AND($AR142&lt;&gt;"",$AS142&lt;&gt;""),$AS142-$AR142,"")</f>
        <v/>
      </c>
      <c r="BC142" s="55" t="str">
        <f aca="false">IF(AND($AR142&lt;&gt;"",$AT142&lt;&gt;""),$AT142-$AR142,"")</f>
        <v/>
      </c>
      <c r="BD142" s="55" t="str">
        <f aca="false">IF(AND($AS142&lt;&gt;"",$AT142&lt;&gt;""),$AT142-$AS142,"")</f>
        <v/>
      </c>
      <c r="BE142" s="53" t="str">
        <f aca="false">IF($E142&lt;&gt;"",$E142,"")</f>
        <v/>
      </c>
      <c r="BF142" s="52" t="str">
        <f aca="false">IF($F142&lt;&gt;"",$F142,"")</f>
        <v>Apprenant 130 ou 130'</v>
      </c>
      <c r="BG142" s="55" t="str">
        <f aca="false">IF(AND($AW142&lt;&gt;"",$AX142&lt;&gt;""),$AX142-$AW142,"")</f>
        <v/>
      </c>
      <c r="BH142" s="55" t="str">
        <f aca="false">IF(AND($AW142&lt;&gt;"",$AY142&lt;&gt;""),$AY142-$AW142,"")</f>
        <v/>
      </c>
      <c r="BI142" s="55" t="str">
        <f aca="false">IF(AND($AX142&lt;&gt;"",$AY142&lt;&gt;""),$AY142-$AX142,"")</f>
        <v/>
      </c>
      <c r="BJ142" s="53" t="str">
        <f aca="false">IF($J142&lt;&gt;"",$J142,"")</f>
        <v/>
      </c>
      <c r="BL142" s="52"/>
      <c r="BM142" s="52" t="str">
        <f aca="false">IF(OR(COUNT(B142:D1141)=0,AND('Choix pédagogiques'!$C$3&lt;&gt;1,'Choix pédagogiques'!$C$3&lt;&gt;2)),"",IF(AND(OR('Choix pédagogiques'!$C$3=1,'Choix pédagogiques'!$C$3=2),$B142&lt;&gt;"",$C142&lt;&gt;"",$D142&lt;&gt;""),1,0))</f>
        <v/>
      </c>
      <c r="BN142" s="52" t="str">
        <f aca="false">IF(OR(COUNT(G142:I1141)=0,AND('Choix pédagogiques'!$C$3&lt;&gt;1,'Choix pédagogiques'!$C$3&lt;&gt;2)),"",IF(AND(OR('Choix pédagogiques'!$C$3=1,'Choix pédagogiques'!$C$3=2),AND($G142&lt;&gt;"",$H142&lt;&gt;"",$I142&lt;&gt;"")),1,0))</f>
        <v/>
      </c>
      <c r="BO142" s="52" t="str">
        <f aca="false">IF(OR(COUNT(B142:D1141)=0,COUNT(G142:I1141)=0,'Choix pédagogiques'!C$3&lt;&gt;3),"",IF(AND('Choix pédagogiques'!$C$3=3,$B142&lt;&gt;"",$C142&lt;&gt;"",$D142&lt;&gt;"",$G142&lt;&gt;"",$H142&lt;&gt;"",$I142&lt;&gt;""),1,0))</f>
        <v/>
      </c>
      <c r="BR142" s="52" t="n">
        <v>817</v>
      </c>
      <c r="BS142" s="52" t="n">
        <v>1634</v>
      </c>
    </row>
    <row r="143" s="54" customFormat="true" ht="18" hidden="false" customHeight="true" outlineLevel="0" collapsed="false">
      <c r="A143" s="57" t="s">
        <v>217</v>
      </c>
      <c r="B143" s="51"/>
      <c r="C143" s="51"/>
      <c r="D143" s="51"/>
      <c r="E143" s="51"/>
      <c r="F143" s="57" t="s">
        <v>218</v>
      </c>
      <c r="G143" s="51"/>
      <c r="H143" s="51"/>
      <c r="I143" s="51"/>
      <c r="J143" s="51"/>
      <c r="K143" s="52" t="str">
        <f aca="false">IF($A143&lt;&gt;"",$A143,"")</f>
        <v>Apprenant 131</v>
      </c>
      <c r="L143" s="53" t="str">
        <f aca="false">IF(AND($B143&lt;&gt;"",$C143&lt;&gt;""),$C143-$B143,"")</f>
        <v/>
      </c>
      <c r="M143" s="53" t="str">
        <f aca="false">IF(AND($B143&lt;&gt;"",$D143&lt;&gt;""),$D143-$B143,"")</f>
        <v/>
      </c>
      <c r="N143" s="53" t="str">
        <f aca="false">IF(AND($C143&lt;&gt;"",$D143&lt;&gt;""),$D143-$C143,"")</f>
        <v/>
      </c>
      <c r="O143" s="53" t="str">
        <f aca="false">IF($E143&lt;&gt;"",$E143,"")</f>
        <v/>
      </c>
      <c r="P143" s="52" t="str">
        <f aca="false">IF($F143&lt;&gt;"",$F143,"")</f>
        <v>Apprenant 131 ou 131'</v>
      </c>
      <c r="Q143" s="53" t="str">
        <f aca="false">IF(AND($G143&lt;&gt;"",$H143&lt;&gt;""),$H143-$G143,"")</f>
        <v/>
      </c>
      <c r="R143" s="53" t="str">
        <f aca="false">IF(AND($G143&lt;&gt;"",$I143&lt;&gt;""),$I143-$G143,"")</f>
        <v/>
      </c>
      <c r="S143" s="53" t="str">
        <f aca="false">IF(AND($H143&lt;&gt;"",$I143&lt;&gt;""),$I143-$H143,"")</f>
        <v/>
      </c>
      <c r="T143" s="53" t="str">
        <f aca="false">IF($J143&lt;&gt;"",$J143,"")</f>
        <v/>
      </c>
      <c r="V143" s="52" t="str">
        <f aca="false">IF($A143&lt;&gt;"",$A143,"")</f>
        <v>Apprenant 131</v>
      </c>
      <c r="W143" s="53" t="str">
        <f aca="false">IF(AND(OR('Choix pédagogiques'!$C$3=1,'Choix pédagogiques'!$C$3=2),$BM143=1),B143,IF(AND('Choix pédagogiques'!$C$3=3,$BO143=1),B143,""))</f>
        <v/>
      </c>
      <c r="X143" s="53" t="str">
        <f aca="false">IF(AND(OR('Choix pédagogiques'!$C$3=1,'Choix pédagogiques'!$C$3=2),$BM143=1),C143,IF(AND('Choix pédagogiques'!$C$3=3,$BO143=1),C143,""))</f>
        <v/>
      </c>
      <c r="Y143" s="53" t="str">
        <f aca="false">IF(AND(OR('Choix pédagogiques'!$C$3=1,'Choix pédagogiques'!$C$3=2),$BM143=1),D143,IF(AND('Choix pédagogiques'!$C$3=3,$BO143=1),D143,""))</f>
        <v/>
      </c>
      <c r="Z143" s="53" t="str">
        <f aca="false">IF($E143&lt;&gt;"",$E143,"")</f>
        <v/>
      </c>
      <c r="AA143" s="52" t="str">
        <f aca="false">IF($F143&lt;&gt;"",$F143,"")</f>
        <v>Apprenant 131 ou 131'</v>
      </c>
      <c r="AB143" s="53" t="str">
        <f aca="false">IF(AND(OR('Choix pédagogiques'!$C$3=1,'Choix pédagogiques'!$C$3=2),$BN143=1),G143,IF(AND('Choix pédagogiques'!$C$3=3,$BO143=1),G143,""))</f>
        <v/>
      </c>
      <c r="AC143" s="53" t="str">
        <f aca="false">IF(AND(OR('Choix pédagogiques'!$C$3=1,'Choix pédagogiques'!$C$3=2),$BN143=1),H143,IF(AND('Choix pédagogiques'!$C$3=3,$BO143=1),H143,""))</f>
        <v/>
      </c>
      <c r="AD143" s="53" t="str">
        <f aca="false">IF(AND(OR('Choix pédagogiques'!$C$3=1,'Choix pédagogiques'!$C$3=2),$BN143=1),I143,IF(AND('Choix pédagogiques'!$C$3=3,$BO143=1),I143,""))</f>
        <v/>
      </c>
      <c r="AE143" s="53" t="str">
        <f aca="false">IF($J143&lt;&gt;"",$J143,"")</f>
        <v/>
      </c>
      <c r="AF143" s="52" t="str">
        <f aca="false">IF($A143&lt;&gt;"",$A143,"")</f>
        <v>Apprenant 131</v>
      </c>
      <c r="AG143" s="53" t="str">
        <f aca="false">IF(AND($W143&lt;&gt;"",$X143&lt;&gt;""),$X143-$W143,"")</f>
        <v/>
      </c>
      <c r="AH143" s="53" t="str">
        <f aca="false">IF(AND($W143&lt;&gt;"",$Y143&lt;&gt;""),$Y143-$W143,"")</f>
        <v/>
      </c>
      <c r="AI143" s="53" t="str">
        <f aca="false">IF(AND($X143&lt;&gt;"",$Y143&lt;&gt;""),$Y143-$X143,"")</f>
        <v/>
      </c>
      <c r="AJ143" s="53" t="str">
        <f aca="false">IF($E143&lt;&gt;"",$E143,"")</f>
        <v/>
      </c>
      <c r="AK143" s="52" t="str">
        <f aca="false">IF($F143&lt;&gt;"",$F143,"")</f>
        <v>Apprenant 131 ou 131'</v>
      </c>
      <c r="AL143" s="53" t="str">
        <f aca="false">IF(AND($AB143&lt;&gt;"",$AC143&lt;&gt;""),$AC143-$AB143,"")</f>
        <v/>
      </c>
      <c r="AM143" s="53" t="str">
        <f aca="false">IF(AND($AB143&lt;&gt;"",$AD143&lt;&gt;""),$AD143-$AB143,"")</f>
        <v/>
      </c>
      <c r="AN143" s="53" t="str">
        <f aca="false">IF(AND($AC143&lt;&gt;"",$AD143&lt;&gt;""),$AD143-$AC143,"")</f>
        <v/>
      </c>
      <c r="AO143" s="53" t="str">
        <f aca="false">IF($J143&lt;&gt;"",$J143,"")</f>
        <v/>
      </c>
      <c r="AQ143" s="52" t="str">
        <f aca="false">IF($A143&lt;&gt;"",$A143,"")</f>
        <v>Apprenant 131</v>
      </c>
      <c r="AR143" s="55" t="str">
        <f aca="false">IF(AND('Choix pédagogiques'!$C$4&lt;&gt;"?",'Choix pédagogiques'!$C$5&lt;&gt;"?",W143&lt;&gt;""),(W143-'Choix pédagogiques'!$C$4)/('Choix pédagogiques'!$C$5-'Choix pédagogiques'!$C$4),"")</f>
        <v/>
      </c>
      <c r="AS143" s="55" t="str">
        <f aca="false">IF(AND('Choix pédagogiques'!$C$4&lt;&gt;"?",'Choix pédagogiques'!$C$5&lt;&gt;"?",X143&lt;&gt;""),(X143-'Choix pédagogiques'!$C$4)/('Choix pédagogiques'!$C$5-'Choix pédagogiques'!$C$4),"")</f>
        <v/>
      </c>
      <c r="AT143" s="55" t="str">
        <f aca="false">IF(AND('Choix pédagogiques'!$C$4&lt;&gt;"?",'Choix pédagogiques'!$C$5&lt;&gt;"?",Y143&lt;&gt;""),(Y143-'Choix pédagogiques'!$C$4)/('Choix pédagogiques'!$C$5-'Choix pédagogiques'!$C$4),"")</f>
        <v/>
      </c>
      <c r="AU143" s="53" t="str">
        <f aca="false">IF($E143&lt;&gt;"",$E143,"")</f>
        <v/>
      </c>
      <c r="AV143" s="52" t="str">
        <f aca="false">IF($F143&lt;&gt;"",$F143,"")</f>
        <v>Apprenant 131 ou 131'</v>
      </c>
      <c r="AW143" s="55" t="str">
        <f aca="false">IF(AND('Choix pédagogiques'!$C$4&lt;&gt;"?",'Choix pédagogiques'!$C$5&lt;&gt;"?",AB143&lt;&gt;""),(AB143-'Choix pédagogiques'!$C$4)/('Choix pédagogiques'!$C$5-'Choix pédagogiques'!$C$4),"")</f>
        <v/>
      </c>
      <c r="AX143" s="55" t="str">
        <f aca="false">IF(AND('Choix pédagogiques'!$C$4&lt;&gt;"?",'Choix pédagogiques'!$C$5&lt;&gt;"?",AC143&lt;&gt;""),(AC143-'Choix pédagogiques'!$C$4)/('Choix pédagogiques'!$C$5-'Choix pédagogiques'!$C$4),"")</f>
        <v/>
      </c>
      <c r="AY143" s="55" t="str">
        <f aca="false">IF(AND('Choix pédagogiques'!$C$4&lt;&gt;"?",'Choix pédagogiques'!$C$5&lt;&gt;"?",AD143&lt;&gt;""),(AD143-'Choix pédagogiques'!$C$4)/('Choix pédagogiques'!$C$5-'Choix pédagogiques'!$C$4),"")</f>
        <v/>
      </c>
      <c r="AZ143" s="53" t="str">
        <f aca="false">IF($J143&lt;&gt;"",$J143,"")</f>
        <v/>
      </c>
      <c r="BA143" s="52" t="str">
        <f aca="false">IF($A143&lt;&gt;"",$A143,"")</f>
        <v>Apprenant 131</v>
      </c>
      <c r="BB143" s="55" t="str">
        <f aca="false">IF(AND($AR143&lt;&gt;"",$AS143&lt;&gt;""),$AS143-$AR143,"")</f>
        <v/>
      </c>
      <c r="BC143" s="55" t="str">
        <f aca="false">IF(AND($AR143&lt;&gt;"",$AT143&lt;&gt;""),$AT143-$AR143,"")</f>
        <v/>
      </c>
      <c r="BD143" s="55" t="str">
        <f aca="false">IF(AND($AS143&lt;&gt;"",$AT143&lt;&gt;""),$AT143-$AS143,"")</f>
        <v/>
      </c>
      <c r="BE143" s="53" t="str">
        <f aca="false">IF($E143&lt;&gt;"",$E143,"")</f>
        <v/>
      </c>
      <c r="BF143" s="52" t="str">
        <f aca="false">IF($F143&lt;&gt;"",$F143,"")</f>
        <v>Apprenant 131 ou 131'</v>
      </c>
      <c r="BG143" s="55" t="str">
        <f aca="false">IF(AND($AW143&lt;&gt;"",$AX143&lt;&gt;""),$AX143-$AW143,"")</f>
        <v/>
      </c>
      <c r="BH143" s="55" t="str">
        <f aca="false">IF(AND($AW143&lt;&gt;"",$AY143&lt;&gt;""),$AY143-$AW143,"")</f>
        <v/>
      </c>
      <c r="BI143" s="55" t="str">
        <f aca="false">IF(AND($AX143&lt;&gt;"",$AY143&lt;&gt;""),$AY143-$AX143,"")</f>
        <v/>
      </c>
      <c r="BJ143" s="53" t="str">
        <f aca="false">IF($J143&lt;&gt;"",$J143,"")</f>
        <v/>
      </c>
      <c r="BL143" s="52"/>
      <c r="BM143" s="52" t="str">
        <f aca="false">IF(OR(COUNT(B143:D1142)=0,AND('Choix pédagogiques'!$C$3&lt;&gt;1,'Choix pédagogiques'!$C$3&lt;&gt;2)),"",IF(AND(OR('Choix pédagogiques'!$C$3=1,'Choix pédagogiques'!$C$3=2),$B143&lt;&gt;"",$C143&lt;&gt;"",$D143&lt;&gt;""),1,0))</f>
        <v/>
      </c>
      <c r="BN143" s="52" t="str">
        <f aca="false">IF(OR(COUNT(G143:I1142)=0,AND('Choix pédagogiques'!$C$3&lt;&gt;1,'Choix pédagogiques'!$C$3&lt;&gt;2)),"",IF(AND(OR('Choix pédagogiques'!$C$3=1,'Choix pédagogiques'!$C$3=2),AND($G143&lt;&gt;"",$H143&lt;&gt;"",$I143&lt;&gt;"")),1,0))</f>
        <v/>
      </c>
      <c r="BO143" s="52" t="str">
        <f aca="false">IF(OR(COUNT(B143:D1142)=0,COUNT(G143:I1142)=0,'Choix pédagogiques'!C$3&lt;&gt;3),"",IF(AND('Choix pédagogiques'!$C$3=3,$B143&lt;&gt;"",$C143&lt;&gt;"",$D143&lt;&gt;"",$G143&lt;&gt;"",$H143&lt;&gt;"",$I143&lt;&gt;""),1,0))</f>
        <v/>
      </c>
      <c r="BR143" s="52" t="n">
        <v>703</v>
      </c>
      <c r="BS143" s="52" t="n">
        <v>1826</v>
      </c>
    </row>
    <row r="144" s="54" customFormat="true" ht="18" hidden="false" customHeight="true" outlineLevel="0" collapsed="false">
      <c r="A144" s="57" t="s">
        <v>219</v>
      </c>
      <c r="B144" s="51"/>
      <c r="C144" s="51"/>
      <c r="D144" s="51"/>
      <c r="E144" s="51"/>
      <c r="F144" s="57" t="s">
        <v>220</v>
      </c>
      <c r="G144" s="51"/>
      <c r="H144" s="51"/>
      <c r="I144" s="51"/>
      <c r="J144" s="51"/>
      <c r="K144" s="52" t="str">
        <f aca="false">IF($A144&lt;&gt;"",$A144,"")</f>
        <v>Apprenant 132</v>
      </c>
      <c r="L144" s="53" t="str">
        <f aca="false">IF(AND($B144&lt;&gt;"",$C144&lt;&gt;""),$C144-$B144,"")</f>
        <v/>
      </c>
      <c r="M144" s="53" t="str">
        <f aca="false">IF(AND($B144&lt;&gt;"",$D144&lt;&gt;""),$D144-$B144,"")</f>
        <v/>
      </c>
      <c r="N144" s="53" t="str">
        <f aca="false">IF(AND($C144&lt;&gt;"",$D144&lt;&gt;""),$D144-$C144,"")</f>
        <v/>
      </c>
      <c r="O144" s="53" t="str">
        <f aca="false">IF($E144&lt;&gt;"",$E144,"")</f>
        <v/>
      </c>
      <c r="P144" s="52" t="str">
        <f aca="false">IF($F144&lt;&gt;"",$F144,"")</f>
        <v>Apprenant 132 ou 132'</v>
      </c>
      <c r="Q144" s="53" t="str">
        <f aca="false">IF(AND($G144&lt;&gt;"",$H144&lt;&gt;""),$H144-$G144,"")</f>
        <v/>
      </c>
      <c r="R144" s="53" t="str">
        <f aca="false">IF(AND($G144&lt;&gt;"",$I144&lt;&gt;""),$I144-$G144,"")</f>
        <v/>
      </c>
      <c r="S144" s="53" t="str">
        <f aca="false">IF(AND($H144&lt;&gt;"",$I144&lt;&gt;""),$I144-$H144,"")</f>
        <v/>
      </c>
      <c r="T144" s="53" t="str">
        <f aca="false">IF($J144&lt;&gt;"",$J144,"")</f>
        <v/>
      </c>
      <c r="V144" s="52" t="str">
        <f aca="false">IF($A144&lt;&gt;"",$A144,"")</f>
        <v>Apprenant 132</v>
      </c>
      <c r="W144" s="53" t="str">
        <f aca="false">IF(AND(OR('Choix pédagogiques'!$C$3=1,'Choix pédagogiques'!$C$3=2),$BM144=1),B144,IF(AND('Choix pédagogiques'!$C$3=3,$BO144=1),B144,""))</f>
        <v/>
      </c>
      <c r="X144" s="53" t="str">
        <f aca="false">IF(AND(OR('Choix pédagogiques'!$C$3=1,'Choix pédagogiques'!$C$3=2),$BM144=1),C144,IF(AND('Choix pédagogiques'!$C$3=3,$BO144=1),C144,""))</f>
        <v/>
      </c>
      <c r="Y144" s="53" t="str">
        <f aca="false">IF(AND(OR('Choix pédagogiques'!$C$3=1,'Choix pédagogiques'!$C$3=2),$BM144=1),D144,IF(AND('Choix pédagogiques'!$C$3=3,$BO144=1),D144,""))</f>
        <v/>
      </c>
      <c r="Z144" s="53" t="str">
        <f aca="false">IF($E144&lt;&gt;"",$E144,"")</f>
        <v/>
      </c>
      <c r="AA144" s="52" t="str">
        <f aca="false">IF($F144&lt;&gt;"",$F144,"")</f>
        <v>Apprenant 132 ou 132'</v>
      </c>
      <c r="AB144" s="53" t="str">
        <f aca="false">IF(AND(OR('Choix pédagogiques'!$C$3=1,'Choix pédagogiques'!$C$3=2),$BN144=1),G144,IF(AND('Choix pédagogiques'!$C$3=3,$BO144=1),G144,""))</f>
        <v/>
      </c>
      <c r="AC144" s="53" t="str">
        <f aca="false">IF(AND(OR('Choix pédagogiques'!$C$3=1,'Choix pédagogiques'!$C$3=2),$BN144=1),H144,IF(AND('Choix pédagogiques'!$C$3=3,$BO144=1),H144,""))</f>
        <v/>
      </c>
      <c r="AD144" s="53" t="str">
        <f aca="false">IF(AND(OR('Choix pédagogiques'!$C$3=1,'Choix pédagogiques'!$C$3=2),$BN144=1),I144,IF(AND('Choix pédagogiques'!$C$3=3,$BO144=1),I144,""))</f>
        <v/>
      </c>
      <c r="AE144" s="53" t="str">
        <f aca="false">IF($J144&lt;&gt;"",$J144,"")</f>
        <v/>
      </c>
      <c r="AF144" s="52" t="str">
        <f aca="false">IF($A144&lt;&gt;"",$A144,"")</f>
        <v>Apprenant 132</v>
      </c>
      <c r="AG144" s="53" t="str">
        <f aca="false">IF(AND($W144&lt;&gt;"",$X144&lt;&gt;""),$X144-$W144,"")</f>
        <v/>
      </c>
      <c r="AH144" s="53" t="str">
        <f aca="false">IF(AND($W144&lt;&gt;"",$Y144&lt;&gt;""),$Y144-$W144,"")</f>
        <v/>
      </c>
      <c r="AI144" s="53" t="str">
        <f aca="false">IF(AND($X144&lt;&gt;"",$Y144&lt;&gt;""),$Y144-$X144,"")</f>
        <v/>
      </c>
      <c r="AJ144" s="53" t="str">
        <f aca="false">IF($E144&lt;&gt;"",$E144,"")</f>
        <v/>
      </c>
      <c r="AK144" s="52" t="str">
        <f aca="false">IF($F144&lt;&gt;"",$F144,"")</f>
        <v>Apprenant 132 ou 132'</v>
      </c>
      <c r="AL144" s="53" t="str">
        <f aca="false">IF(AND($AB144&lt;&gt;"",$AC144&lt;&gt;""),$AC144-$AB144,"")</f>
        <v/>
      </c>
      <c r="AM144" s="53" t="str">
        <f aca="false">IF(AND($AB144&lt;&gt;"",$AD144&lt;&gt;""),$AD144-$AB144,"")</f>
        <v/>
      </c>
      <c r="AN144" s="53" t="str">
        <f aca="false">IF(AND($AC144&lt;&gt;"",$AD144&lt;&gt;""),$AD144-$AC144,"")</f>
        <v/>
      </c>
      <c r="AO144" s="53" t="str">
        <f aca="false">IF($J144&lt;&gt;"",$J144,"")</f>
        <v/>
      </c>
      <c r="AQ144" s="52" t="str">
        <f aca="false">IF($A144&lt;&gt;"",$A144,"")</f>
        <v>Apprenant 132</v>
      </c>
      <c r="AR144" s="55" t="str">
        <f aca="false">IF(AND('Choix pédagogiques'!$C$4&lt;&gt;"?",'Choix pédagogiques'!$C$5&lt;&gt;"?",W144&lt;&gt;""),(W144-'Choix pédagogiques'!$C$4)/('Choix pédagogiques'!$C$5-'Choix pédagogiques'!$C$4),"")</f>
        <v/>
      </c>
      <c r="AS144" s="55" t="str">
        <f aca="false">IF(AND('Choix pédagogiques'!$C$4&lt;&gt;"?",'Choix pédagogiques'!$C$5&lt;&gt;"?",X144&lt;&gt;""),(X144-'Choix pédagogiques'!$C$4)/('Choix pédagogiques'!$C$5-'Choix pédagogiques'!$C$4),"")</f>
        <v/>
      </c>
      <c r="AT144" s="55" t="str">
        <f aca="false">IF(AND('Choix pédagogiques'!$C$4&lt;&gt;"?",'Choix pédagogiques'!$C$5&lt;&gt;"?",Y144&lt;&gt;""),(Y144-'Choix pédagogiques'!$C$4)/('Choix pédagogiques'!$C$5-'Choix pédagogiques'!$C$4),"")</f>
        <v/>
      </c>
      <c r="AU144" s="53" t="str">
        <f aca="false">IF($E144&lt;&gt;"",$E144,"")</f>
        <v/>
      </c>
      <c r="AV144" s="52" t="str">
        <f aca="false">IF($F144&lt;&gt;"",$F144,"")</f>
        <v>Apprenant 132 ou 132'</v>
      </c>
      <c r="AW144" s="55" t="str">
        <f aca="false">IF(AND('Choix pédagogiques'!$C$4&lt;&gt;"?",'Choix pédagogiques'!$C$5&lt;&gt;"?",AB144&lt;&gt;""),(AB144-'Choix pédagogiques'!$C$4)/('Choix pédagogiques'!$C$5-'Choix pédagogiques'!$C$4),"")</f>
        <v/>
      </c>
      <c r="AX144" s="55" t="str">
        <f aca="false">IF(AND('Choix pédagogiques'!$C$4&lt;&gt;"?",'Choix pédagogiques'!$C$5&lt;&gt;"?",AC144&lt;&gt;""),(AC144-'Choix pédagogiques'!$C$4)/('Choix pédagogiques'!$C$5-'Choix pédagogiques'!$C$4),"")</f>
        <v/>
      </c>
      <c r="AY144" s="55" t="str">
        <f aca="false">IF(AND('Choix pédagogiques'!$C$4&lt;&gt;"?",'Choix pédagogiques'!$C$5&lt;&gt;"?",AD144&lt;&gt;""),(AD144-'Choix pédagogiques'!$C$4)/('Choix pédagogiques'!$C$5-'Choix pédagogiques'!$C$4),"")</f>
        <v/>
      </c>
      <c r="AZ144" s="53" t="str">
        <f aca="false">IF($J144&lt;&gt;"",$J144,"")</f>
        <v/>
      </c>
      <c r="BA144" s="52" t="str">
        <f aca="false">IF($A144&lt;&gt;"",$A144,"")</f>
        <v>Apprenant 132</v>
      </c>
      <c r="BB144" s="55" t="str">
        <f aca="false">IF(AND($AR144&lt;&gt;"",$AS144&lt;&gt;""),$AS144-$AR144,"")</f>
        <v/>
      </c>
      <c r="BC144" s="55" t="str">
        <f aca="false">IF(AND($AR144&lt;&gt;"",$AT144&lt;&gt;""),$AT144-$AR144,"")</f>
        <v/>
      </c>
      <c r="BD144" s="55" t="str">
        <f aca="false">IF(AND($AS144&lt;&gt;"",$AT144&lt;&gt;""),$AT144-$AS144,"")</f>
        <v/>
      </c>
      <c r="BE144" s="53" t="str">
        <f aca="false">IF($E144&lt;&gt;"",$E144,"")</f>
        <v/>
      </c>
      <c r="BF144" s="52" t="str">
        <f aca="false">IF($F144&lt;&gt;"",$F144,"")</f>
        <v>Apprenant 132 ou 132'</v>
      </c>
      <c r="BG144" s="55" t="str">
        <f aca="false">IF(AND($AW144&lt;&gt;"",$AX144&lt;&gt;""),$AX144-$AW144,"")</f>
        <v/>
      </c>
      <c r="BH144" s="55" t="str">
        <f aca="false">IF(AND($AW144&lt;&gt;"",$AY144&lt;&gt;""),$AY144-$AW144,"")</f>
        <v/>
      </c>
      <c r="BI144" s="55" t="str">
        <f aca="false">IF(AND($AX144&lt;&gt;"",$AY144&lt;&gt;""),$AY144-$AX144,"")</f>
        <v/>
      </c>
      <c r="BJ144" s="53" t="str">
        <f aca="false">IF($J144&lt;&gt;"",$J144,"")</f>
        <v/>
      </c>
      <c r="BL144" s="52"/>
      <c r="BM144" s="52" t="str">
        <f aca="false">IF(OR(COUNT(B144:D1143)=0,AND('Choix pédagogiques'!$C$3&lt;&gt;1,'Choix pédagogiques'!$C$3&lt;&gt;2)),"",IF(AND(OR('Choix pédagogiques'!$C$3=1,'Choix pédagogiques'!$C$3=2),$B144&lt;&gt;"",$C144&lt;&gt;"",$D144&lt;&gt;""),1,0))</f>
        <v/>
      </c>
      <c r="BN144" s="52" t="str">
        <f aca="false">IF(OR(COUNT(G144:I1143)=0,AND('Choix pédagogiques'!$C$3&lt;&gt;1,'Choix pédagogiques'!$C$3&lt;&gt;2)),"",IF(AND(OR('Choix pédagogiques'!$C$3=1,'Choix pédagogiques'!$C$3=2),AND($G144&lt;&gt;"",$H144&lt;&gt;"",$I144&lt;&gt;"")),1,0))</f>
        <v/>
      </c>
      <c r="BO144" s="52" t="str">
        <f aca="false">IF(OR(COUNT(B144:D1143)=0,COUNT(G144:I1143)=0,'Choix pédagogiques'!C$3&lt;&gt;3),"",IF(AND('Choix pédagogiques'!$C$3=3,$B144&lt;&gt;"",$C144&lt;&gt;"",$D144&lt;&gt;"",$G144&lt;&gt;"",$H144&lt;&gt;"",$I144&lt;&gt;""),1,0))</f>
        <v/>
      </c>
      <c r="BR144" s="52" t="n">
        <v>976</v>
      </c>
      <c r="BS144" s="52" t="n">
        <v>1415</v>
      </c>
    </row>
    <row r="145" s="54" customFormat="true" ht="18" hidden="false" customHeight="true" outlineLevel="0" collapsed="false">
      <c r="A145" s="57" t="s">
        <v>221</v>
      </c>
      <c r="B145" s="51"/>
      <c r="C145" s="51"/>
      <c r="D145" s="51"/>
      <c r="E145" s="51"/>
      <c r="F145" s="57" t="s">
        <v>222</v>
      </c>
      <c r="G145" s="51"/>
      <c r="H145" s="51"/>
      <c r="I145" s="51"/>
      <c r="J145" s="51"/>
      <c r="K145" s="52" t="str">
        <f aca="false">IF($A145&lt;&gt;"",$A145,"")</f>
        <v>Apprenant 133</v>
      </c>
      <c r="L145" s="53" t="str">
        <f aca="false">IF(AND($B145&lt;&gt;"",$C145&lt;&gt;""),$C145-$B145,"")</f>
        <v/>
      </c>
      <c r="M145" s="53" t="str">
        <f aca="false">IF(AND($B145&lt;&gt;"",$D145&lt;&gt;""),$D145-$B145,"")</f>
        <v/>
      </c>
      <c r="N145" s="53" t="str">
        <f aca="false">IF(AND($C145&lt;&gt;"",$D145&lt;&gt;""),$D145-$C145,"")</f>
        <v/>
      </c>
      <c r="O145" s="53" t="str">
        <f aca="false">IF($E145&lt;&gt;"",$E145,"")</f>
        <v/>
      </c>
      <c r="P145" s="52" t="str">
        <f aca="false">IF($F145&lt;&gt;"",$F145,"")</f>
        <v>Apprenant 133 ou 133'</v>
      </c>
      <c r="Q145" s="53" t="str">
        <f aca="false">IF(AND($G145&lt;&gt;"",$H145&lt;&gt;""),$H145-$G145,"")</f>
        <v/>
      </c>
      <c r="R145" s="53" t="str">
        <f aca="false">IF(AND($G145&lt;&gt;"",$I145&lt;&gt;""),$I145-$G145,"")</f>
        <v/>
      </c>
      <c r="S145" s="53" t="str">
        <f aca="false">IF(AND($H145&lt;&gt;"",$I145&lt;&gt;""),$I145-$H145,"")</f>
        <v/>
      </c>
      <c r="T145" s="53" t="str">
        <f aca="false">IF($J145&lt;&gt;"",$J145,"")</f>
        <v/>
      </c>
      <c r="V145" s="52" t="str">
        <f aca="false">IF($A145&lt;&gt;"",$A145,"")</f>
        <v>Apprenant 133</v>
      </c>
      <c r="W145" s="53" t="str">
        <f aca="false">IF(AND(OR('Choix pédagogiques'!$C$3=1,'Choix pédagogiques'!$C$3=2),$BM145=1),B145,IF(AND('Choix pédagogiques'!$C$3=3,$BO145=1),B145,""))</f>
        <v/>
      </c>
      <c r="X145" s="53" t="str">
        <f aca="false">IF(AND(OR('Choix pédagogiques'!$C$3=1,'Choix pédagogiques'!$C$3=2),$BM145=1),C145,IF(AND('Choix pédagogiques'!$C$3=3,$BO145=1),C145,""))</f>
        <v/>
      </c>
      <c r="Y145" s="53" t="str">
        <f aca="false">IF(AND(OR('Choix pédagogiques'!$C$3=1,'Choix pédagogiques'!$C$3=2),$BM145=1),D145,IF(AND('Choix pédagogiques'!$C$3=3,$BO145=1),D145,""))</f>
        <v/>
      </c>
      <c r="Z145" s="53" t="str">
        <f aca="false">IF($E145&lt;&gt;"",$E145,"")</f>
        <v/>
      </c>
      <c r="AA145" s="52" t="str">
        <f aca="false">IF($F145&lt;&gt;"",$F145,"")</f>
        <v>Apprenant 133 ou 133'</v>
      </c>
      <c r="AB145" s="53" t="str">
        <f aca="false">IF(AND(OR('Choix pédagogiques'!$C$3=1,'Choix pédagogiques'!$C$3=2),$BN145=1),G145,IF(AND('Choix pédagogiques'!$C$3=3,$BO145=1),G145,""))</f>
        <v/>
      </c>
      <c r="AC145" s="53" t="str">
        <f aca="false">IF(AND(OR('Choix pédagogiques'!$C$3=1,'Choix pédagogiques'!$C$3=2),$BN145=1),H145,IF(AND('Choix pédagogiques'!$C$3=3,$BO145=1),H145,""))</f>
        <v/>
      </c>
      <c r="AD145" s="53" t="str">
        <f aca="false">IF(AND(OR('Choix pédagogiques'!$C$3=1,'Choix pédagogiques'!$C$3=2),$BN145=1),I145,IF(AND('Choix pédagogiques'!$C$3=3,$BO145=1),I145,""))</f>
        <v/>
      </c>
      <c r="AE145" s="53" t="str">
        <f aca="false">IF($J145&lt;&gt;"",$J145,"")</f>
        <v/>
      </c>
      <c r="AF145" s="52" t="str">
        <f aca="false">IF($A145&lt;&gt;"",$A145,"")</f>
        <v>Apprenant 133</v>
      </c>
      <c r="AG145" s="53" t="str">
        <f aca="false">IF(AND($W145&lt;&gt;"",$X145&lt;&gt;""),$X145-$W145,"")</f>
        <v/>
      </c>
      <c r="AH145" s="53" t="str">
        <f aca="false">IF(AND($W145&lt;&gt;"",$Y145&lt;&gt;""),$Y145-$W145,"")</f>
        <v/>
      </c>
      <c r="AI145" s="53" t="str">
        <f aca="false">IF(AND($X145&lt;&gt;"",$Y145&lt;&gt;""),$Y145-$X145,"")</f>
        <v/>
      </c>
      <c r="AJ145" s="53" t="str">
        <f aca="false">IF($E145&lt;&gt;"",$E145,"")</f>
        <v/>
      </c>
      <c r="AK145" s="52" t="str">
        <f aca="false">IF($F145&lt;&gt;"",$F145,"")</f>
        <v>Apprenant 133 ou 133'</v>
      </c>
      <c r="AL145" s="53" t="str">
        <f aca="false">IF(AND($AB145&lt;&gt;"",$AC145&lt;&gt;""),$AC145-$AB145,"")</f>
        <v/>
      </c>
      <c r="AM145" s="53" t="str">
        <f aca="false">IF(AND($AB145&lt;&gt;"",$AD145&lt;&gt;""),$AD145-$AB145,"")</f>
        <v/>
      </c>
      <c r="AN145" s="53" t="str">
        <f aca="false">IF(AND($AC145&lt;&gt;"",$AD145&lt;&gt;""),$AD145-$AC145,"")</f>
        <v/>
      </c>
      <c r="AO145" s="53" t="str">
        <f aca="false">IF($J145&lt;&gt;"",$J145,"")</f>
        <v/>
      </c>
      <c r="AQ145" s="52" t="str">
        <f aca="false">IF($A145&lt;&gt;"",$A145,"")</f>
        <v>Apprenant 133</v>
      </c>
      <c r="AR145" s="55" t="str">
        <f aca="false">IF(AND('Choix pédagogiques'!$C$4&lt;&gt;"?",'Choix pédagogiques'!$C$5&lt;&gt;"?",W145&lt;&gt;""),(W145-'Choix pédagogiques'!$C$4)/('Choix pédagogiques'!$C$5-'Choix pédagogiques'!$C$4),"")</f>
        <v/>
      </c>
      <c r="AS145" s="55" t="str">
        <f aca="false">IF(AND('Choix pédagogiques'!$C$4&lt;&gt;"?",'Choix pédagogiques'!$C$5&lt;&gt;"?",X145&lt;&gt;""),(X145-'Choix pédagogiques'!$C$4)/('Choix pédagogiques'!$C$5-'Choix pédagogiques'!$C$4),"")</f>
        <v/>
      </c>
      <c r="AT145" s="55" t="str">
        <f aca="false">IF(AND('Choix pédagogiques'!$C$4&lt;&gt;"?",'Choix pédagogiques'!$C$5&lt;&gt;"?",Y145&lt;&gt;""),(Y145-'Choix pédagogiques'!$C$4)/('Choix pédagogiques'!$C$5-'Choix pédagogiques'!$C$4),"")</f>
        <v/>
      </c>
      <c r="AU145" s="53" t="str">
        <f aca="false">IF($E145&lt;&gt;"",$E145,"")</f>
        <v/>
      </c>
      <c r="AV145" s="52" t="str">
        <f aca="false">IF($F145&lt;&gt;"",$F145,"")</f>
        <v>Apprenant 133 ou 133'</v>
      </c>
      <c r="AW145" s="55" t="str">
        <f aca="false">IF(AND('Choix pédagogiques'!$C$4&lt;&gt;"?",'Choix pédagogiques'!$C$5&lt;&gt;"?",AB145&lt;&gt;""),(AB145-'Choix pédagogiques'!$C$4)/('Choix pédagogiques'!$C$5-'Choix pédagogiques'!$C$4),"")</f>
        <v/>
      </c>
      <c r="AX145" s="55" t="str">
        <f aca="false">IF(AND('Choix pédagogiques'!$C$4&lt;&gt;"?",'Choix pédagogiques'!$C$5&lt;&gt;"?",AC145&lt;&gt;""),(AC145-'Choix pédagogiques'!$C$4)/('Choix pédagogiques'!$C$5-'Choix pédagogiques'!$C$4),"")</f>
        <v/>
      </c>
      <c r="AY145" s="55" t="str">
        <f aca="false">IF(AND('Choix pédagogiques'!$C$4&lt;&gt;"?",'Choix pédagogiques'!$C$5&lt;&gt;"?",AD145&lt;&gt;""),(AD145-'Choix pédagogiques'!$C$4)/('Choix pédagogiques'!$C$5-'Choix pédagogiques'!$C$4),"")</f>
        <v/>
      </c>
      <c r="AZ145" s="53" t="str">
        <f aca="false">IF($J145&lt;&gt;"",$J145,"")</f>
        <v/>
      </c>
      <c r="BA145" s="52" t="str">
        <f aca="false">IF($A145&lt;&gt;"",$A145,"")</f>
        <v>Apprenant 133</v>
      </c>
      <c r="BB145" s="55" t="str">
        <f aca="false">IF(AND($AR145&lt;&gt;"",$AS145&lt;&gt;""),$AS145-$AR145,"")</f>
        <v/>
      </c>
      <c r="BC145" s="55" t="str">
        <f aca="false">IF(AND($AR145&lt;&gt;"",$AT145&lt;&gt;""),$AT145-$AR145,"")</f>
        <v/>
      </c>
      <c r="BD145" s="55" t="str">
        <f aca="false">IF(AND($AS145&lt;&gt;"",$AT145&lt;&gt;""),$AT145-$AS145,"")</f>
        <v/>
      </c>
      <c r="BE145" s="53" t="str">
        <f aca="false">IF($E145&lt;&gt;"",$E145,"")</f>
        <v/>
      </c>
      <c r="BF145" s="52" t="str">
        <f aca="false">IF($F145&lt;&gt;"",$F145,"")</f>
        <v>Apprenant 133 ou 133'</v>
      </c>
      <c r="BG145" s="55" t="str">
        <f aca="false">IF(AND($AW145&lt;&gt;"",$AX145&lt;&gt;""),$AX145-$AW145,"")</f>
        <v/>
      </c>
      <c r="BH145" s="55" t="str">
        <f aca="false">IF(AND($AW145&lt;&gt;"",$AY145&lt;&gt;""),$AY145-$AW145,"")</f>
        <v/>
      </c>
      <c r="BI145" s="55" t="str">
        <f aca="false">IF(AND($AX145&lt;&gt;"",$AY145&lt;&gt;""),$AY145-$AX145,"")</f>
        <v/>
      </c>
      <c r="BJ145" s="53" t="str">
        <f aca="false">IF($J145&lt;&gt;"",$J145,"")</f>
        <v/>
      </c>
      <c r="BL145" s="52"/>
      <c r="BM145" s="52" t="str">
        <f aca="false">IF(OR(COUNT(B145:D1144)=0,AND('Choix pédagogiques'!$C$3&lt;&gt;1,'Choix pédagogiques'!$C$3&lt;&gt;2)),"",IF(AND(OR('Choix pédagogiques'!$C$3=1,'Choix pédagogiques'!$C$3=2),$B145&lt;&gt;"",$C145&lt;&gt;"",$D145&lt;&gt;""),1,0))</f>
        <v/>
      </c>
      <c r="BN145" s="52" t="str">
        <f aca="false">IF(OR(COUNT(G145:I1144)=0,AND('Choix pédagogiques'!$C$3&lt;&gt;1,'Choix pédagogiques'!$C$3&lt;&gt;2)),"",IF(AND(OR('Choix pédagogiques'!$C$3=1,'Choix pédagogiques'!$C$3=2),AND($G145&lt;&gt;"",$H145&lt;&gt;"",$I145&lt;&gt;"")),1,0))</f>
        <v/>
      </c>
      <c r="BO145" s="52" t="str">
        <f aca="false">IF(OR(COUNT(B145:D1144)=0,COUNT(G145:I1144)=0,'Choix pédagogiques'!C$3&lt;&gt;3),"",IF(AND('Choix pédagogiques'!$C$3=3,$B145&lt;&gt;"",$C145&lt;&gt;"",$D145&lt;&gt;"",$G145&lt;&gt;"",$H145&lt;&gt;"",$I145&lt;&gt;""),1,0))</f>
        <v/>
      </c>
      <c r="BR145" s="52" t="n">
        <v>214</v>
      </c>
      <c r="BS145" s="52" t="n">
        <v>1209</v>
      </c>
    </row>
    <row r="146" s="54" customFormat="true" ht="18" hidden="false" customHeight="true" outlineLevel="0" collapsed="false">
      <c r="A146" s="57" t="s">
        <v>223</v>
      </c>
      <c r="B146" s="51"/>
      <c r="C146" s="51"/>
      <c r="D146" s="51"/>
      <c r="E146" s="51"/>
      <c r="F146" s="57" t="s">
        <v>224</v>
      </c>
      <c r="G146" s="51"/>
      <c r="H146" s="51"/>
      <c r="I146" s="51"/>
      <c r="J146" s="51"/>
      <c r="K146" s="52" t="str">
        <f aca="false">IF($A146&lt;&gt;"",$A146,"")</f>
        <v>Apprenant 134</v>
      </c>
      <c r="L146" s="53" t="str">
        <f aca="false">IF(AND($B146&lt;&gt;"",$C146&lt;&gt;""),$C146-$B146,"")</f>
        <v/>
      </c>
      <c r="M146" s="53" t="str">
        <f aca="false">IF(AND($B146&lt;&gt;"",$D146&lt;&gt;""),$D146-$B146,"")</f>
        <v/>
      </c>
      <c r="N146" s="53" t="str">
        <f aca="false">IF(AND($C146&lt;&gt;"",$D146&lt;&gt;""),$D146-$C146,"")</f>
        <v/>
      </c>
      <c r="O146" s="53" t="str">
        <f aca="false">IF($E146&lt;&gt;"",$E146,"")</f>
        <v/>
      </c>
      <c r="P146" s="52" t="str">
        <f aca="false">IF($F146&lt;&gt;"",$F146,"")</f>
        <v>Apprenant 134 ou 134'</v>
      </c>
      <c r="Q146" s="53" t="str">
        <f aca="false">IF(AND($G146&lt;&gt;"",$H146&lt;&gt;""),$H146-$G146,"")</f>
        <v/>
      </c>
      <c r="R146" s="53" t="str">
        <f aca="false">IF(AND($G146&lt;&gt;"",$I146&lt;&gt;""),$I146-$G146,"")</f>
        <v/>
      </c>
      <c r="S146" s="53" t="str">
        <f aca="false">IF(AND($H146&lt;&gt;"",$I146&lt;&gt;""),$I146-$H146,"")</f>
        <v/>
      </c>
      <c r="T146" s="53" t="str">
        <f aca="false">IF($J146&lt;&gt;"",$J146,"")</f>
        <v/>
      </c>
      <c r="V146" s="52" t="str">
        <f aca="false">IF($A146&lt;&gt;"",$A146,"")</f>
        <v>Apprenant 134</v>
      </c>
      <c r="W146" s="53" t="str">
        <f aca="false">IF(AND(OR('Choix pédagogiques'!$C$3=1,'Choix pédagogiques'!$C$3=2),$BM146=1),B146,IF(AND('Choix pédagogiques'!$C$3=3,$BO146=1),B146,""))</f>
        <v/>
      </c>
      <c r="X146" s="53" t="str">
        <f aca="false">IF(AND(OR('Choix pédagogiques'!$C$3=1,'Choix pédagogiques'!$C$3=2),$BM146=1),C146,IF(AND('Choix pédagogiques'!$C$3=3,$BO146=1),C146,""))</f>
        <v/>
      </c>
      <c r="Y146" s="53" t="str">
        <f aca="false">IF(AND(OR('Choix pédagogiques'!$C$3=1,'Choix pédagogiques'!$C$3=2),$BM146=1),D146,IF(AND('Choix pédagogiques'!$C$3=3,$BO146=1),D146,""))</f>
        <v/>
      </c>
      <c r="Z146" s="53" t="str">
        <f aca="false">IF($E146&lt;&gt;"",$E146,"")</f>
        <v/>
      </c>
      <c r="AA146" s="52" t="str">
        <f aca="false">IF($F146&lt;&gt;"",$F146,"")</f>
        <v>Apprenant 134 ou 134'</v>
      </c>
      <c r="AB146" s="53" t="str">
        <f aca="false">IF(AND(OR('Choix pédagogiques'!$C$3=1,'Choix pédagogiques'!$C$3=2),$BN146=1),G146,IF(AND('Choix pédagogiques'!$C$3=3,$BO146=1),G146,""))</f>
        <v/>
      </c>
      <c r="AC146" s="53" t="str">
        <f aca="false">IF(AND(OR('Choix pédagogiques'!$C$3=1,'Choix pédagogiques'!$C$3=2),$BN146=1),H146,IF(AND('Choix pédagogiques'!$C$3=3,$BO146=1),H146,""))</f>
        <v/>
      </c>
      <c r="AD146" s="53" t="str">
        <f aca="false">IF(AND(OR('Choix pédagogiques'!$C$3=1,'Choix pédagogiques'!$C$3=2),$BN146=1),I146,IF(AND('Choix pédagogiques'!$C$3=3,$BO146=1),I146,""))</f>
        <v/>
      </c>
      <c r="AE146" s="53" t="str">
        <f aca="false">IF($J146&lt;&gt;"",$J146,"")</f>
        <v/>
      </c>
      <c r="AF146" s="52" t="str">
        <f aca="false">IF($A146&lt;&gt;"",$A146,"")</f>
        <v>Apprenant 134</v>
      </c>
      <c r="AG146" s="53" t="str">
        <f aca="false">IF(AND($W146&lt;&gt;"",$X146&lt;&gt;""),$X146-$W146,"")</f>
        <v/>
      </c>
      <c r="AH146" s="53" t="str">
        <f aca="false">IF(AND($W146&lt;&gt;"",$Y146&lt;&gt;""),$Y146-$W146,"")</f>
        <v/>
      </c>
      <c r="AI146" s="53" t="str">
        <f aca="false">IF(AND($X146&lt;&gt;"",$Y146&lt;&gt;""),$Y146-$X146,"")</f>
        <v/>
      </c>
      <c r="AJ146" s="53" t="str">
        <f aca="false">IF($E146&lt;&gt;"",$E146,"")</f>
        <v/>
      </c>
      <c r="AK146" s="52" t="str">
        <f aca="false">IF($F146&lt;&gt;"",$F146,"")</f>
        <v>Apprenant 134 ou 134'</v>
      </c>
      <c r="AL146" s="53" t="str">
        <f aca="false">IF(AND($AB146&lt;&gt;"",$AC146&lt;&gt;""),$AC146-$AB146,"")</f>
        <v/>
      </c>
      <c r="AM146" s="53" t="str">
        <f aca="false">IF(AND($AB146&lt;&gt;"",$AD146&lt;&gt;""),$AD146-$AB146,"")</f>
        <v/>
      </c>
      <c r="AN146" s="53" t="str">
        <f aca="false">IF(AND($AC146&lt;&gt;"",$AD146&lt;&gt;""),$AD146-$AC146,"")</f>
        <v/>
      </c>
      <c r="AO146" s="53" t="str">
        <f aca="false">IF($J146&lt;&gt;"",$J146,"")</f>
        <v/>
      </c>
      <c r="AQ146" s="52" t="str">
        <f aca="false">IF($A146&lt;&gt;"",$A146,"")</f>
        <v>Apprenant 134</v>
      </c>
      <c r="AR146" s="55" t="str">
        <f aca="false">IF(AND('Choix pédagogiques'!$C$4&lt;&gt;"?",'Choix pédagogiques'!$C$5&lt;&gt;"?",W146&lt;&gt;""),(W146-'Choix pédagogiques'!$C$4)/('Choix pédagogiques'!$C$5-'Choix pédagogiques'!$C$4),"")</f>
        <v/>
      </c>
      <c r="AS146" s="55" t="str">
        <f aca="false">IF(AND('Choix pédagogiques'!$C$4&lt;&gt;"?",'Choix pédagogiques'!$C$5&lt;&gt;"?",X146&lt;&gt;""),(X146-'Choix pédagogiques'!$C$4)/('Choix pédagogiques'!$C$5-'Choix pédagogiques'!$C$4),"")</f>
        <v/>
      </c>
      <c r="AT146" s="55" t="str">
        <f aca="false">IF(AND('Choix pédagogiques'!$C$4&lt;&gt;"?",'Choix pédagogiques'!$C$5&lt;&gt;"?",Y146&lt;&gt;""),(Y146-'Choix pédagogiques'!$C$4)/('Choix pédagogiques'!$C$5-'Choix pédagogiques'!$C$4),"")</f>
        <v/>
      </c>
      <c r="AU146" s="53" t="str">
        <f aca="false">IF($E146&lt;&gt;"",$E146,"")</f>
        <v/>
      </c>
      <c r="AV146" s="52" t="str">
        <f aca="false">IF($F146&lt;&gt;"",$F146,"")</f>
        <v>Apprenant 134 ou 134'</v>
      </c>
      <c r="AW146" s="55" t="str">
        <f aca="false">IF(AND('Choix pédagogiques'!$C$4&lt;&gt;"?",'Choix pédagogiques'!$C$5&lt;&gt;"?",AB146&lt;&gt;""),(AB146-'Choix pédagogiques'!$C$4)/('Choix pédagogiques'!$C$5-'Choix pédagogiques'!$C$4),"")</f>
        <v/>
      </c>
      <c r="AX146" s="55" t="str">
        <f aca="false">IF(AND('Choix pédagogiques'!$C$4&lt;&gt;"?",'Choix pédagogiques'!$C$5&lt;&gt;"?",AC146&lt;&gt;""),(AC146-'Choix pédagogiques'!$C$4)/('Choix pédagogiques'!$C$5-'Choix pédagogiques'!$C$4),"")</f>
        <v/>
      </c>
      <c r="AY146" s="55" t="str">
        <f aca="false">IF(AND('Choix pédagogiques'!$C$4&lt;&gt;"?",'Choix pédagogiques'!$C$5&lt;&gt;"?",AD146&lt;&gt;""),(AD146-'Choix pédagogiques'!$C$4)/('Choix pédagogiques'!$C$5-'Choix pédagogiques'!$C$4),"")</f>
        <v/>
      </c>
      <c r="AZ146" s="53" t="str">
        <f aca="false">IF($J146&lt;&gt;"",$J146,"")</f>
        <v/>
      </c>
      <c r="BA146" s="52" t="str">
        <f aca="false">IF($A146&lt;&gt;"",$A146,"")</f>
        <v>Apprenant 134</v>
      </c>
      <c r="BB146" s="55" t="str">
        <f aca="false">IF(AND($AR146&lt;&gt;"",$AS146&lt;&gt;""),$AS146-$AR146,"")</f>
        <v/>
      </c>
      <c r="BC146" s="55" t="str">
        <f aca="false">IF(AND($AR146&lt;&gt;"",$AT146&lt;&gt;""),$AT146-$AR146,"")</f>
        <v/>
      </c>
      <c r="BD146" s="55" t="str">
        <f aca="false">IF(AND($AS146&lt;&gt;"",$AT146&lt;&gt;""),$AT146-$AS146,"")</f>
        <v/>
      </c>
      <c r="BE146" s="53" t="str">
        <f aca="false">IF($E146&lt;&gt;"",$E146,"")</f>
        <v/>
      </c>
      <c r="BF146" s="52" t="str">
        <f aca="false">IF($F146&lt;&gt;"",$F146,"")</f>
        <v>Apprenant 134 ou 134'</v>
      </c>
      <c r="BG146" s="55" t="str">
        <f aca="false">IF(AND($AW146&lt;&gt;"",$AX146&lt;&gt;""),$AX146-$AW146,"")</f>
        <v/>
      </c>
      <c r="BH146" s="55" t="str">
        <f aca="false">IF(AND($AW146&lt;&gt;"",$AY146&lt;&gt;""),$AY146-$AW146,"")</f>
        <v/>
      </c>
      <c r="BI146" s="55" t="str">
        <f aca="false">IF(AND($AX146&lt;&gt;"",$AY146&lt;&gt;""),$AY146-$AX146,"")</f>
        <v/>
      </c>
      <c r="BJ146" s="53" t="str">
        <f aca="false">IF($J146&lt;&gt;"",$J146,"")</f>
        <v/>
      </c>
      <c r="BL146" s="52"/>
      <c r="BM146" s="52" t="str">
        <f aca="false">IF(OR(COUNT(B146:D1145)=0,AND('Choix pédagogiques'!$C$3&lt;&gt;1,'Choix pédagogiques'!$C$3&lt;&gt;2)),"",IF(AND(OR('Choix pédagogiques'!$C$3=1,'Choix pédagogiques'!$C$3=2),$B146&lt;&gt;"",$C146&lt;&gt;"",$D146&lt;&gt;""),1,0))</f>
        <v/>
      </c>
      <c r="BN146" s="52" t="str">
        <f aca="false">IF(OR(COUNT(G146:I1145)=0,AND('Choix pédagogiques'!$C$3&lt;&gt;1,'Choix pédagogiques'!$C$3&lt;&gt;2)),"",IF(AND(OR('Choix pédagogiques'!$C$3=1,'Choix pédagogiques'!$C$3=2),AND($G146&lt;&gt;"",$H146&lt;&gt;"",$I146&lt;&gt;"")),1,0))</f>
        <v/>
      </c>
      <c r="BO146" s="52" t="str">
        <f aca="false">IF(OR(COUNT(B146:D1145)=0,COUNT(G146:I1145)=0,'Choix pédagogiques'!C$3&lt;&gt;3),"",IF(AND('Choix pédagogiques'!$C$3=3,$B146&lt;&gt;"",$C146&lt;&gt;"",$D146&lt;&gt;"",$G146&lt;&gt;"",$H146&lt;&gt;"",$I146&lt;&gt;""),1,0))</f>
        <v/>
      </c>
      <c r="BR146" s="52" t="n">
        <v>730</v>
      </c>
      <c r="BS146" s="52" t="n">
        <v>1633</v>
      </c>
    </row>
    <row r="147" s="54" customFormat="true" ht="18" hidden="false" customHeight="true" outlineLevel="0" collapsed="false">
      <c r="A147" s="57" t="s">
        <v>225</v>
      </c>
      <c r="B147" s="51"/>
      <c r="C147" s="51"/>
      <c r="D147" s="51"/>
      <c r="E147" s="51"/>
      <c r="F147" s="57" t="s">
        <v>226</v>
      </c>
      <c r="G147" s="51"/>
      <c r="H147" s="51"/>
      <c r="I147" s="51"/>
      <c r="J147" s="51"/>
      <c r="K147" s="52" t="str">
        <f aca="false">IF($A147&lt;&gt;"",$A147,"")</f>
        <v>Apprenant 135</v>
      </c>
      <c r="L147" s="53" t="str">
        <f aca="false">IF(AND($B147&lt;&gt;"",$C147&lt;&gt;""),$C147-$B147,"")</f>
        <v/>
      </c>
      <c r="M147" s="53" t="str">
        <f aca="false">IF(AND($B147&lt;&gt;"",$D147&lt;&gt;""),$D147-$B147,"")</f>
        <v/>
      </c>
      <c r="N147" s="53" t="str">
        <f aca="false">IF(AND($C147&lt;&gt;"",$D147&lt;&gt;""),$D147-$C147,"")</f>
        <v/>
      </c>
      <c r="O147" s="53" t="str">
        <f aca="false">IF($E147&lt;&gt;"",$E147,"")</f>
        <v/>
      </c>
      <c r="P147" s="52" t="str">
        <f aca="false">IF($F147&lt;&gt;"",$F147,"")</f>
        <v>Apprenant 135 ou 135'</v>
      </c>
      <c r="Q147" s="53" t="str">
        <f aca="false">IF(AND($G147&lt;&gt;"",$H147&lt;&gt;""),$H147-$G147,"")</f>
        <v/>
      </c>
      <c r="R147" s="53" t="str">
        <f aca="false">IF(AND($G147&lt;&gt;"",$I147&lt;&gt;""),$I147-$G147,"")</f>
        <v/>
      </c>
      <c r="S147" s="53" t="str">
        <f aca="false">IF(AND($H147&lt;&gt;"",$I147&lt;&gt;""),$I147-$H147,"")</f>
        <v/>
      </c>
      <c r="T147" s="53" t="str">
        <f aca="false">IF($J147&lt;&gt;"",$J147,"")</f>
        <v/>
      </c>
      <c r="V147" s="52" t="str">
        <f aca="false">IF($A147&lt;&gt;"",$A147,"")</f>
        <v>Apprenant 135</v>
      </c>
      <c r="W147" s="53" t="str">
        <f aca="false">IF(AND(OR('Choix pédagogiques'!$C$3=1,'Choix pédagogiques'!$C$3=2),$BM147=1),B147,IF(AND('Choix pédagogiques'!$C$3=3,$BO147=1),B147,""))</f>
        <v/>
      </c>
      <c r="X147" s="53" t="str">
        <f aca="false">IF(AND(OR('Choix pédagogiques'!$C$3=1,'Choix pédagogiques'!$C$3=2),$BM147=1),C147,IF(AND('Choix pédagogiques'!$C$3=3,$BO147=1),C147,""))</f>
        <v/>
      </c>
      <c r="Y147" s="53" t="str">
        <f aca="false">IF(AND(OR('Choix pédagogiques'!$C$3=1,'Choix pédagogiques'!$C$3=2),$BM147=1),D147,IF(AND('Choix pédagogiques'!$C$3=3,$BO147=1),D147,""))</f>
        <v/>
      </c>
      <c r="Z147" s="53" t="str">
        <f aca="false">IF($E147&lt;&gt;"",$E147,"")</f>
        <v/>
      </c>
      <c r="AA147" s="52" t="str">
        <f aca="false">IF($F147&lt;&gt;"",$F147,"")</f>
        <v>Apprenant 135 ou 135'</v>
      </c>
      <c r="AB147" s="53" t="str">
        <f aca="false">IF(AND(OR('Choix pédagogiques'!$C$3=1,'Choix pédagogiques'!$C$3=2),$BN147=1),G147,IF(AND('Choix pédagogiques'!$C$3=3,$BO147=1),G147,""))</f>
        <v/>
      </c>
      <c r="AC147" s="53" t="str">
        <f aca="false">IF(AND(OR('Choix pédagogiques'!$C$3=1,'Choix pédagogiques'!$C$3=2),$BN147=1),H147,IF(AND('Choix pédagogiques'!$C$3=3,$BO147=1),H147,""))</f>
        <v/>
      </c>
      <c r="AD147" s="53" t="str">
        <f aca="false">IF(AND(OR('Choix pédagogiques'!$C$3=1,'Choix pédagogiques'!$C$3=2),$BN147=1),I147,IF(AND('Choix pédagogiques'!$C$3=3,$BO147=1),I147,""))</f>
        <v/>
      </c>
      <c r="AE147" s="53" t="str">
        <f aca="false">IF($J147&lt;&gt;"",$J147,"")</f>
        <v/>
      </c>
      <c r="AF147" s="52" t="str">
        <f aca="false">IF($A147&lt;&gt;"",$A147,"")</f>
        <v>Apprenant 135</v>
      </c>
      <c r="AG147" s="53" t="str">
        <f aca="false">IF(AND($W147&lt;&gt;"",$X147&lt;&gt;""),$X147-$W147,"")</f>
        <v/>
      </c>
      <c r="AH147" s="53" t="str">
        <f aca="false">IF(AND($W147&lt;&gt;"",$Y147&lt;&gt;""),$Y147-$W147,"")</f>
        <v/>
      </c>
      <c r="AI147" s="53" t="str">
        <f aca="false">IF(AND($X147&lt;&gt;"",$Y147&lt;&gt;""),$Y147-$X147,"")</f>
        <v/>
      </c>
      <c r="AJ147" s="53" t="str">
        <f aca="false">IF($E147&lt;&gt;"",$E147,"")</f>
        <v/>
      </c>
      <c r="AK147" s="52" t="str">
        <f aca="false">IF($F147&lt;&gt;"",$F147,"")</f>
        <v>Apprenant 135 ou 135'</v>
      </c>
      <c r="AL147" s="53" t="str">
        <f aca="false">IF(AND($AB147&lt;&gt;"",$AC147&lt;&gt;""),$AC147-$AB147,"")</f>
        <v/>
      </c>
      <c r="AM147" s="53" t="str">
        <f aca="false">IF(AND($AB147&lt;&gt;"",$AD147&lt;&gt;""),$AD147-$AB147,"")</f>
        <v/>
      </c>
      <c r="AN147" s="53" t="str">
        <f aca="false">IF(AND($AC147&lt;&gt;"",$AD147&lt;&gt;""),$AD147-$AC147,"")</f>
        <v/>
      </c>
      <c r="AO147" s="53" t="str">
        <f aca="false">IF($J147&lt;&gt;"",$J147,"")</f>
        <v/>
      </c>
      <c r="AQ147" s="52" t="str">
        <f aca="false">IF($A147&lt;&gt;"",$A147,"")</f>
        <v>Apprenant 135</v>
      </c>
      <c r="AR147" s="55" t="str">
        <f aca="false">IF(AND('Choix pédagogiques'!$C$4&lt;&gt;"?",'Choix pédagogiques'!$C$5&lt;&gt;"?",W147&lt;&gt;""),(W147-'Choix pédagogiques'!$C$4)/('Choix pédagogiques'!$C$5-'Choix pédagogiques'!$C$4),"")</f>
        <v/>
      </c>
      <c r="AS147" s="55" t="str">
        <f aca="false">IF(AND('Choix pédagogiques'!$C$4&lt;&gt;"?",'Choix pédagogiques'!$C$5&lt;&gt;"?",X147&lt;&gt;""),(X147-'Choix pédagogiques'!$C$4)/('Choix pédagogiques'!$C$5-'Choix pédagogiques'!$C$4),"")</f>
        <v/>
      </c>
      <c r="AT147" s="55" t="str">
        <f aca="false">IF(AND('Choix pédagogiques'!$C$4&lt;&gt;"?",'Choix pédagogiques'!$C$5&lt;&gt;"?",Y147&lt;&gt;""),(Y147-'Choix pédagogiques'!$C$4)/('Choix pédagogiques'!$C$5-'Choix pédagogiques'!$C$4),"")</f>
        <v/>
      </c>
      <c r="AU147" s="53" t="str">
        <f aca="false">IF($E147&lt;&gt;"",$E147,"")</f>
        <v/>
      </c>
      <c r="AV147" s="52" t="str">
        <f aca="false">IF($F147&lt;&gt;"",$F147,"")</f>
        <v>Apprenant 135 ou 135'</v>
      </c>
      <c r="AW147" s="55" t="str">
        <f aca="false">IF(AND('Choix pédagogiques'!$C$4&lt;&gt;"?",'Choix pédagogiques'!$C$5&lt;&gt;"?",AB147&lt;&gt;""),(AB147-'Choix pédagogiques'!$C$4)/('Choix pédagogiques'!$C$5-'Choix pédagogiques'!$C$4),"")</f>
        <v/>
      </c>
      <c r="AX147" s="55" t="str">
        <f aca="false">IF(AND('Choix pédagogiques'!$C$4&lt;&gt;"?",'Choix pédagogiques'!$C$5&lt;&gt;"?",AC147&lt;&gt;""),(AC147-'Choix pédagogiques'!$C$4)/('Choix pédagogiques'!$C$5-'Choix pédagogiques'!$C$4),"")</f>
        <v/>
      </c>
      <c r="AY147" s="55" t="str">
        <f aca="false">IF(AND('Choix pédagogiques'!$C$4&lt;&gt;"?",'Choix pédagogiques'!$C$5&lt;&gt;"?",AD147&lt;&gt;""),(AD147-'Choix pédagogiques'!$C$4)/('Choix pédagogiques'!$C$5-'Choix pédagogiques'!$C$4),"")</f>
        <v/>
      </c>
      <c r="AZ147" s="53" t="str">
        <f aca="false">IF($J147&lt;&gt;"",$J147,"")</f>
        <v/>
      </c>
      <c r="BA147" s="52" t="str">
        <f aca="false">IF($A147&lt;&gt;"",$A147,"")</f>
        <v>Apprenant 135</v>
      </c>
      <c r="BB147" s="55" t="str">
        <f aca="false">IF(AND($AR147&lt;&gt;"",$AS147&lt;&gt;""),$AS147-$AR147,"")</f>
        <v/>
      </c>
      <c r="BC147" s="55" t="str">
        <f aca="false">IF(AND($AR147&lt;&gt;"",$AT147&lt;&gt;""),$AT147-$AR147,"")</f>
        <v/>
      </c>
      <c r="BD147" s="55" t="str">
        <f aca="false">IF(AND($AS147&lt;&gt;"",$AT147&lt;&gt;""),$AT147-$AS147,"")</f>
        <v/>
      </c>
      <c r="BE147" s="53" t="str">
        <f aca="false">IF($E147&lt;&gt;"",$E147,"")</f>
        <v/>
      </c>
      <c r="BF147" s="52" t="str">
        <f aca="false">IF($F147&lt;&gt;"",$F147,"")</f>
        <v>Apprenant 135 ou 135'</v>
      </c>
      <c r="BG147" s="55" t="str">
        <f aca="false">IF(AND($AW147&lt;&gt;"",$AX147&lt;&gt;""),$AX147-$AW147,"")</f>
        <v/>
      </c>
      <c r="BH147" s="55" t="str">
        <f aca="false">IF(AND($AW147&lt;&gt;"",$AY147&lt;&gt;""),$AY147-$AW147,"")</f>
        <v/>
      </c>
      <c r="BI147" s="55" t="str">
        <f aca="false">IF(AND($AX147&lt;&gt;"",$AY147&lt;&gt;""),$AY147-$AX147,"")</f>
        <v/>
      </c>
      <c r="BJ147" s="53" t="str">
        <f aca="false">IF($J147&lt;&gt;"",$J147,"")</f>
        <v/>
      </c>
      <c r="BL147" s="52"/>
      <c r="BM147" s="52" t="str">
        <f aca="false">IF(OR(COUNT(B147:D1146)=0,AND('Choix pédagogiques'!$C$3&lt;&gt;1,'Choix pédagogiques'!$C$3&lt;&gt;2)),"",IF(AND(OR('Choix pédagogiques'!$C$3=1,'Choix pédagogiques'!$C$3=2),$B147&lt;&gt;"",$C147&lt;&gt;"",$D147&lt;&gt;""),1,0))</f>
        <v/>
      </c>
      <c r="BN147" s="52" t="str">
        <f aca="false">IF(OR(COUNT(G147:I1146)=0,AND('Choix pédagogiques'!$C$3&lt;&gt;1,'Choix pédagogiques'!$C$3&lt;&gt;2)),"",IF(AND(OR('Choix pédagogiques'!$C$3=1,'Choix pédagogiques'!$C$3=2),AND($G147&lt;&gt;"",$H147&lt;&gt;"",$I147&lt;&gt;"")),1,0))</f>
        <v/>
      </c>
      <c r="BO147" s="52" t="str">
        <f aca="false">IF(OR(COUNT(B147:D1146)=0,COUNT(G147:I1146)=0,'Choix pédagogiques'!C$3&lt;&gt;3),"",IF(AND('Choix pédagogiques'!$C$3=3,$B147&lt;&gt;"",$C147&lt;&gt;"",$D147&lt;&gt;"",$G147&lt;&gt;"",$H147&lt;&gt;"",$I147&lt;&gt;""),1,0))</f>
        <v/>
      </c>
      <c r="BR147" s="52" t="n">
        <v>499</v>
      </c>
      <c r="BS147" s="52" t="n">
        <v>1886</v>
      </c>
    </row>
    <row r="148" s="54" customFormat="true" ht="18" hidden="false" customHeight="true" outlineLevel="0" collapsed="false">
      <c r="A148" s="57" t="s">
        <v>227</v>
      </c>
      <c r="B148" s="51"/>
      <c r="C148" s="51"/>
      <c r="D148" s="51"/>
      <c r="E148" s="51"/>
      <c r="F148" s="57" t="s">
        <v>228</v>
      </c>
      <c r="G148" s="51"/>
      <c r="H148" s="51"/>
      <c r="I148" s="51"/>
      <c r="J148" s="51"/>
      <c r="K148" s="52" t="str">
        <f aca="false">IF($A148&lt;&gt;"",$A148,"")</f>
        <v>Apprenant 136</v>
      </c>
      <c r="L148" s="53" t="str">
        <f aca="false">IF(AND($B148&lt;&gt;"",$C148&lt;&gt;""),$C148-$B148,"")</f>
        <v/>
      </c>
      <c r="M148" s="53" t="str">
        <f aca="false">IF(AND($B148&lt;&gt;"",$D148&lt;&gt;""),$D148-$B148,"")</f>
        <v/>
      </c>
      <c r="N148" s="53" t="str">
        <f aca="false">IF(AND($C148&lt;&gt;"",$D148&lt;&gt;""),$D148-$C148,"")</f>
        <v/>
      </c>
      <c r="O148" s="53" t="str">
        <f aca="false">IF($E148&lt;&gt;"",$E148,"")</f>
        <v/>
      </c>
      <c r="P148" s="52" t="str">
        <f aca="false">IF($F148&lt;&gt;"",$F148,"")</f>
        <v>Apprenant 136 ou 136'</v>
      </c>
      <c r="Q148" s="53" t="str">
        <f aca="false">IF(AND($G148&lt;&gt;"",$H148&lt;&gt;""),$H148-$G148,"")</f>
        <v/>
      </c>
      <c r="R148" s="53" t="str">
        <f aca="false">IF(AND($G148&lt;&gt;"",$I148&lt;&gt;""),$I148-$G148,"")</f>
        <v/>
      </c>
      <c r="S148" s="53" t="str">
        <f aca="false">IF(AND($H148&lt;&gt;"",$I148&lt;&gt;""),$I148-$H148,"")</f>
        <v/>
      </c>
      <c r="T148" s="53" t="str">
        <f aca="false">IF($J148&lt;&gt;"",$J148,"")</f>
        <v/>
      </c>
      <c r="V148" s="52" t="str">
        <f aca="false">IF($A148&lt;&gt;"",$A148,"")</f>
        <v>Apprenant 136</v>
      </c>
      <c r="W148" s="53" t="str">
        <f aca="false">IF(AND(OR('Choix pédagogiques'!$C$3=1,'Choix pédagogiques'!$C$3=2),$BM148=1),B148,IF(AND('Choix pédagogiques'!$C$3=3,$BO148=1),B148,""))</f>
        <v/>
      </c>
      <c r="X148" s="53" t="str">
        <f aca="false">IF(AND(OR('Choix pédagogiques'!$C$3=1,'Choix pédagogiques'!$C$3=2),$BM148=1),C148,IF(AND('Choix pédagogiques'!$C$3=3,$BO148=1),C148,""))</f>
        <v/>
      </c>
      <c r="Y148" s="53" t="str">
        <f aca="false">IF(AND(OR('Choix pédagogiques'!$C$3=1,'Choix pédagogiques'!$C$3=2),$BM148=1),D148,IF(AND('Choix pédagogiques'!$C$3=3,$BO148=1),D148,""))</f>
        <v/>
      </c>
      <c r="Z148" s="53" t="str">
        <f aca="false">IF($E148&lt;&gt;"",$E148,"")</f>
        <v/>
      </c>
      <c r="AA148" s="52" t="str">
        <f aca="false">IF($F148&lt;&gt;"",$F148,"")</f>
        <v>Apprenant 136 ou 136'</v>
      </c>
      <c r="AB148" s="53" t="str">
        <f aca="false">IF(AND(OR('Choix pédagogiques'!$C$3=1,'Choix pédagogiques'!$C$3=2),$BN148=1),G148,IF(AND('Choix pédagogiques'!$C$3=3,$BO148=1),G148,""))</f>
        <v/>
      </c>
      <c r="AC148" s="53" t="str">
        <f aca="false">IF(AND(OR('Choix pédagogiques'!$C$3=1,'Choix pédagogiques'!$C$3=2),$BN148=1),H148,IF(AND('Choix pédagogiques'!$C$3=3,$BO148=1),H148,""))</f>
        <v/>
      </c>
      <c r="AD148" s="53" t="str">
        <f aca="false">IF(AND(OR('Choix pédagogiques'!$C$3=1,'Choix pédagogiques'!$C$3=2),$BN148=1),I148,IF(AND('Choix pédagogiques'!$C$3=3,$BO148=1),I148,""))</f>
        <v/>
      </c>
      <c r="AE148" s="53" t="str">
        <f aca="false">IF($J148&lt;&gt;"",$J148,"")</f>
        <v/>
      </c>
      <c r="AF148" s="52" t="str">
        <f aca="false">IF($A148&lt;&gt;"",$A148,"")</f>
        <v>Apprenant 136</v>
      </c>
      <c r="AG148" s="53" t="str">
        <f aca="false">IF(AND($W148&lt;&gt;"",$X148&lt;&gt;""),$X148-$W148,"")</f>
        <v/>
      </c>
      <c r="AH148" s="53" t="str">
        <f aca="false">IF(AND($W148&lt;&gt;"",$Y148&lt;&gt;""),$Y148-$W148,"")</f>
        <v/>
      </c>
      <c r="AI148" s="53" t="str">
        <f aca="false">IF(AND($X148&lt;&gt;"",$Y148&lt;&gt;""),$Y148-$X148,"")</f>
        <v/>
      </c>
      <c r="AJ148" s="53" t="str">
        <f aca="false">IF($E148&lt;&gt;"",$E148,"")</f>
        <v/>
      </c>
      <c r="AK148" s="52" t="str">
        <f aca="false">IF($F148&lt;&gt;"",$F148,"")</f>
        <v>Apprenant 136 ou 136'</v>
      </c>
      <c r="AL148" s="53" t="str">
        <f aca="false">IF(AND($AB148&lt;&gt;"",$AC148&lt;&gt;""),$AC148-$AB148,"")</f>
        <v/>
      </c>
      <c r="AM148" s="53" t="str">
        <f aca="false">IF(AND($AB148&lt;&gt;"",$AD148&lt;&gt;""),$AD148-$AB148,"")</f>
        <v/>
      </c>
      <c r="AN148" s="53" t="str">
        <f aca="false">IF(AND($AC148&lt;&gt;"",$AD148&lt;&gt;""),$AD148-$AC148,"")</f>
        <v/>
      </c>
      <c r="AO148" s="53" t="str">
        <f aca="false">IF($J148&lt;&gt;"",$J148,"")</f>
        <v/>
      </c>
      <c r="AQ148" s="52" t="str">
        <f aca="false">IF($A148&lt;&gt;"",$A148,"")</f>
        <v>Apprenant 136</v>
      </c>
      <c r="AR148" s="55" t="str">
        <f aca="false">IF(AND('Choix pédagogiques'!$C$4&lt;&gt;"?",'Choix pédagogiques'!$C$5&lt;&gt;"?",W148&lt;&gt;""),(W148-'Choix pédagogiques'!$C$4)/('Choix pédagogiques'!$C$5-'Choix pédagogiques'!$C$4),"")</f>
        <v/>
      </c>
      <c r="AS148" s="55" t="str">
        <f aca="false">IF(AND('Choix pédagogiques'!$C$4&lt;&gt;"?",'Choix pédagogiques'!$C$5&lt;&gt;"?",X148&lt;&gt;""),(X148-'Choix pédagogiques'!$C$4)/('Choix pédagogiques'!$C$5-'Choix pédagogiques'!$C$4),"")</f>
        <v/>
      </c>
      <c r="AT148" s="55" t="str">
        <f aca="false">IF(AND('Choix pédagogiques'!$C$4&lt;&gt;"?",'Choix pédagogiques'!$C$5&lt;&gt;"?",Y148&lt;&gt;""),(Y148-'Choix pédagogiques'!$C$4)/('Choix pédagogiques'!$C$5-'Choix pédagogiques'!$C$4),"")</f>
        <v/>
      </c>
      <c r="AU148" s="53" t="str">
        <f aca="false">IF($E148&lt;&gt;"",$E148,"")</f>
        <v/>
      </c>
      <c r="AV148" s="52" t="str">
        <f aca="false">IF($F148&lt;&gt;"",$F148,"")</f>
        <v>Apprenant 136 ou 136'</v>
      </c>
      <c r="AW148" s="55" t="str">
        <f aca="false">IF(AND('Choix pédagogiques'!$C$4&lt;&gt;"?",'Choix pédagogiques'!$C$5&lt;&gt;"?",AB148&lt;&gt;""),(AB148-'Choix pédagogiques'!$C$4)/('Choix pédagogiques'!$C$5-'Choix pédagogiques'!$C$4),"")</f>
        <v/>
      </c>
      <c r="AX148" s="55" t="str">
        <f aca="false">IF(AND('Choix pédagogiques'!$C$4&lt;&gt;"?",'Choix pédagogiques'!$C$5&lt;&gt;"?",AC148&lt;&gt;""),(AC148-'Choix pédagogiques'!$C$4)/('Choix pédagogiques'!$C$5-'Choix pédagogiques'!$C$4),"")</f>
        <v/>
      </c>
      <c r="AY148" s="55" t="str">
        <f aca="false">IF(AND('Choix pédagogiques'!$C$4&lt;&gt;"?",'Choix pédagogiques'!$C$5&lt;&gt;"?",AD148&lt;&gt;""),(AD148-'Choix pédagogiques'!$C$4)/('Choix pédagogiques'!$C$5-'Choix pédagogiques'!$C$4),"")</f>
        <v/>
      </c>
      <c r="AZ148" s="53" t="str">
        <f aca="false">IF($J148&lt;&gt;"",$J148,"")</f>
        <v/>
      </c>
      <c r="BA148" s="52" t="str">
        <f aca="false">IF($A148&lt;&gt;"",$A148,"")</f>
        <v>Apprenant 136</v>
      </c>
      <c r="BB148" s="55" t="str">
        <f aca="false">IF(AND($AR148&lt;&gt;"",$AS148&lt;&gt;""),$AS148-$AR148,"")</f>
        <v/>
      </c>
      <c r="BC148" s="55" t="str">
        <f aca="false">IF(AND($AR148&lt;&gt;"",$AT148&lt;&gt;""),$AT148-$AR148,"")</f>
        <v/>
      </c>
      <c r="BD148" s="55" t="str">
        <f aca="false">IF(AND($AS148&lt;&gt;"",$AT148&lt;&gt;""),$AT148-$AS148,"")</f>
        <v/>
      </c>
      <c r="BE148" s="53" t="str">
        <f aca="false">IF($E148&lt;&gt;"",$E148,"")</f>
        <v/>
      </c>
      <c r="BF148" s="52" t="str">
        <f aca="false">IF($F148&lt;&gt;"",$F148,"")</f>
        <v>Apprenant 136 ou 136'</v>
      </c>
      <c r="BG148" s="55" t="str">
        <f aca="false">IF(AND($AW148&lt;&gt;"",$AX148&lt;&gt;""),$AX148-$AW148,"")</f>
        <v/>
      </c>
      <c r="BH148" s="55" t="str">
        <f aca="false">IF(AND($AW148&lt;&gt;"",$AY148&lt;&gt;""),$AY148-$AW148,"")</f>
        <v/>
      </c>
      <c r="BI148" s="55" t="str">
        <f aca="false">IF(AND($AX148&lt;&gt;"",$AY148&lt;&gt;""),$AY148-$AX148,"")</f>
        <v/>
      </c>
      <c r="BJ148" s="53" t="str">
        <f aca="false">IF($J148&lt;&gt;"",$J148,"")</f>
        <v/>
      </c>
      <c r="BL148" s="52"/>
      <c r="BM148" s="52" t="str">
        <f aca="false">IF(OR(COUNT(B148:D1147)=0,AND('Choix pédagogiques'!$C$3&lt;&gt;1,'Choix pédagogiques'!$C$3&lt;&gt;2)),"",IF(AND(OR('Choix pédagogiques'!$C$3=1,'Choix pédagogiques'!$C$3=2),$B148&lt;&gt;"",$C148&lt;&gt;"",$D148&lt;&gt;""),1,0))</f>
        <v/>
      </c>
      <c r="BN148" s="52" t="str">
        <f aca="false">IF(OR(COUNT(G148:I1147)=0,AND('Choix pédagogiques'!$C$3&lt;&gt;1,'Choix pédagogiques'!$C$3&lt;&gt;2)),"",IF(AND(OR('Choix pédagogiques'!$C$3=1,'Choix pédagogiques'!$C$3=2),AND($G148&lt;&gt;"",$H148&lt;&gt;"",$I148&lt;&gt;"")),1,0))</f>
        <v/>
      </c>
      <c r="BO148" s="52" t="str">
        <f aca="false">IF(OR(COUNT(B148:D1147)=0,COUNT(G148:I1147)=0,'Choix pédagogiques'!C$3&lt;&gt;3),"",IF(AND('Choix pédagogiques'!$C$3=3,$B148&lt;&gt;"",$C148&lt;&gt;"",$D148&lt;&gt;"",$G148&lt;&gt;"",$H148&lt;&gt;"",$I148&lt;&gt;""),1,0))</f>
        <v/>
      </c>
      <c r="BR148" s="52" t="n">
        <v>569</v>
      </c>
      <c r="BS148" s="52" t="n">
        <v>1962</v>
      </c>
    </row>
    <row r="149" s="54" customFormat="true" ht="18" hidden="false" customHeight="true" outlineLevel="0" collapsed="false">
      <c r="A149" s="57" t="s">
        <v>229</v>
      </c>
      <c r="B149" s="51"/>
      <c r="C149" s="51"/>
      <c r="D149" s="51"/>
      <c r="E149" s="51"/>
      <c r="F149" s="57" t="s">
        <v>230</v>
      </c>
      <c r="G149" s="51"/>
      <c r="H149" s="51"/>
      <c r="I149" s="51"/>
      <c r="J149" s="51"/>
      <c r="K149" s="52" t="str">
        <f aca="false">IF($A149&lt;&gt;"",$A149,"")</f>
        <v>Apprenant 137</v>
      </c>
      <c r="L149" s="53" t="str">
        <f aca="false">IF(AND($B149&lt;&gt;"",$C149&lt;&gt;""),$C149-$B149,"")</f>
        <v/>
      </c>
      <c r="M149" s="53" t="str">
        <f aca="false">IF(AND($B149&lt;&gt;"",$D149&lt;&gt;""),$D149-$B149,"")</f>
        <v/>
      </c>
      <c r="N149" s="53" t="str">
        <f aca="false">IF(AND($C149&lt;&gt;"",$D149&lt;&gt;""),$D149-$C149,"")</f>
        <v/>
      </c>
      <c r="O149" s="53" t="str">
        <f aca="false">IF($E149&lt;&gt;"",$E149,"")</f>
        <v/>
      </c>
      <c r="P149" s="52" t="str">
        <f aca="false">IF($F149&lt;&gt;"",$F149,"")</f>
        <v>Apprenant 137 ou 137'</v>
      </c>
      <c r="Q149" s="53" t="str">
        <f aca="false">IF(AND($G149&lt;&gt;"",$H149&lt;&gt;""),$H149-$G149,"")</f>
        <v/>
      </c>
      <c r="R149" s="53" t="str">
        <f aca="false">IF(AND($G149&lt;&gt;"",$I149&lt;&gt;""),$I149-$G149,"")</f>
        <v/>
      </c>
      <c r="S149" s="53" t="str">
        <f aca="false">IF(AND($H149&lt;&gt;"",$I149&lt;&gt;""),$I149-$H149,"")</f>
        <v/>
      </c>
      <c r="T149" s="53" t="str">
        <f aca="false">IF($J149&lt;&gt;"",$J149,"")</f>
        <v/>
      </c>
      <c r="V149" s="52" t="str">
        <f aca="false">IF($A149&lt;&gt;"",$A149,"")</f>
        <v>Apprenant 137</v>
      </c>
      <c r="W149" s="53" t="str">
        <f aca="false">IF(AND(OR('Choix pédagogiques'!$C$3=1,'Choix pédagogiques'!$C$3=2),$BM149=1),B149,IF(AND('Choix pédagogiques'!$C$3=3,$BO149=1),B149,""))</f>
        <v/>
      </c>
      <c r="X149" s="53" t="str">
        <f aca="false">IF(AND(OR('Choix pédagogiques'!$C$3=1,'Choix pédagogiques'!$C$3=2),$BM149=1),C149,IF(AND('Choix pédagogiques'!$C$3=3,$BO149=1),C149,""))</f>
        <v/>
      </c>
      <c r="Y149" s="53" t="str">
        <f aca="false">IF(AND(OR('Choix pédagogiques'!$C$3=1,'Choix pédagogiques'!$C$3=2),$BM149=1),D149,IF(AND('Choix pédagogiques'!$C$3=3,$BO149=1),D149,""))</f>
        <v/>
      </c>
      <c r="Z149" s="53" t="str">
        <f aca="false">IF($E149&lt;&gt;"",$E149,"")</f>
        <v/>
      </c>
      <c r="AA149" s="52" t="str">
        <f aca="false">IF($F149&lt;&gt;"",$F149,"")</f>
        <v>Apprenant 137 ou 137'</v>
      </c>
      <c r="AB149" s="53" t="str">
        <f aca="false">IF(AND(OR('Choix pédagogiques'!$C$3=1,'Choix pédagogiques'!$C$3=2),$BN149=1),G149,IF(AND('Choix pédagogiques'!$C$3=3,$BO149=1),G149,""))</f>
        <v/>
      </c>
      <c r="AC149" s="53" t="str">
        <f aca="false">IF(AND(OR('Choix pédagogiques'!$C$3=1,'Choix pédagogiques'!$C$3=2),$BN149=1),H149,IF(AND('Choix pédagogiques'!$C$3=3,$BO149=1),H149,""))</f>
        <v/>
      </c>
      <c r="AD149" s="53" t="str">
        <f aca="false">IF(AND(OR('Choix pédagogiques'!$C$3=1,'Choix pédagogiques'!$C$3=2),$BN149=1),I149,IF(AND('Choix pédagogiques'!$C$3=3,$BO149=1),I149,""))</f>
        <v/>
      </c>
      <c r="AE149" s="53" t="str">
        <f aca="false">IF($J149&lt;&gt;"",$J149,"")</f>
        <v/>
      </c>
      <c r="AF149" s="52" t="str">
        <f aca="false">IF($A149&lt;&gt;"",$A149,"")</f>
        <v>Apprenant 137</v>
      </c>
      <c r="AG149" s="53" t="str">
        <f aca="false">IF(AND($W149&lt;&gt;"",$X149&lt;&gt;""),$X149-$W149,"")</f>
        <v/>
      </c>
      <c r="AH149" s="53" t="str">
        <f aca="false">IF(AND($W149&lt;&gt;"",$Y149&lt;&gt;""),$Y149-$W149,"")</f>
        <v/>
      </c>
      <c r="AI149" s="53" t="str">
        <f aca="false">IF(AND($X149&lt;&gt;"",$Y149&lt;&gt;""),$Y149-$X149,"")</f>
        <v/>
      </c>
      <c r="AJ149" s="53" t="str">
        <f aca="false">IF($E149&lt;&gt;"",$E149,"")</f>
        <v/>
      </c>
      <c r="AK149" s="52" t="str">
        <f aca="false">IF($F149&lt;&gt;"",$F149,"")</f>
        <v>Apprenant 137 ou 137'</v>
      </c>
      <c r="AL149" s="53" t="str">
        <f aca="false">IF(AND($AB149&lt;&gt;"",$AC149&lt;&gt;""),$AC149-$AB149,"")</f>
        <v/>
      </c>
      <c r="AM149" s="53" t="str">
        <f aca="false">IF(AND($AB149&lt;&gt;"",$AD149&lt;&gt;""),$AD149-$AB149,"")</f>
        <v/>
      </c>
      <c r="AN149" s="53" t="str">
        <f aca="false">IF(AND($AC149&lt;&gt;"",$AD149&lt;&gt;""),$AD149-$AC149,"")</f>
        <v/>
      </c>
      <c r="AO149" s="53" t="str">
        <f aca="false">IF($J149&lt;&gt;"",$J149,"")</f>
        <v/>
      </c>
      <c r="AQ149" s="52" t="str">
        <f aca="false">IF($A149&lt;&gt;"",$A149,"")</f>
        <v>Apprenant 137</v>
      </c>
      <c r="AR149" s="55" t="str">
        <f aca="false">IF(AND('Choix pédagogiques'!$C$4&lt;&gt;"?",'Choix pédagogiques'!$C$5&lt;&gt;"?",W149&lt;&gt;""),(W149-'Choix pédagogiques'!$C$4)/('Choix pédagogiques'!$C$5-'Choix pédagogiques'!$C$4),"")</f>
        <v/>
      </c>
      <c r="AS149" s="55" t="str">
        <f aca="false">IF(AND('Choix pédagogiques'!$C$4&lt;&gt;"?",'Choix pédagogiques'!$C$5&lt;&gt;"?",X149&lt;&gt;""),(X149-'Choix pédagogiques'!$C$4)/('Choix pédagogiques'!$C$5-'Choix pédagogiques'!$C$4),"")</f>
        <v/>
      </c>
      <c r="AT149" s="55" t="str">
        <f aca="false">IF(AND('Choix pédagogiques'!$C$4&lt;&gt;"?",'Choix pédagogiques'!$C$5&lt;&gt;"?",Y149&lt;&gt;""),(Y149-'Choix pédagogiques'!$C$4)/('Choix pédagogiques'!$C$5-'Choix pédagogiques'!$C$4),"")</f>
        <v/>
      </c>
      <c r="AU149" s="53" t="str">
        <f aca="false">IF($E149&lt;&gt;"",$E149,"")</f>
        <v/>
      </c>
      <c r="AV149" s="52" t="str">
        <f aca="false">IF($F149&lt;&gt;"",$F149,"")</f>
        <v>Apprenant 137 ou 137'</v>
      </c>
      <c r="AW149" s="55" t="str">
        <f aca="false">IF(AND('Choix pédagogiques'!$C$4&lt;&gt;"?",'Choix pédagogiques'!$C$5&lt;&gt;"?",AB149&lt;&gt;""),(AB149-'Choix pédagogiques'!$C$4)/('Choix pédagogiques'!$C$5-'Choix pédagogiques'!$C$4),"")</f>
        <v/>
      </c>
      <c r="AX149" s="55" t="str">
        <f aca="false">IF(AND('Choix pédagogiques'!$C$4&lt;&gt;"?",'Choix pédagogiques'!$C$5&lt;&gt;"?",AC149&lt;&gt;""),(AC149-'Choix pédagogiques'!$C$4)/('Choix pédagogiques'!$C$5-'Choix pédagogiques'!$C$4),"")</f>
        <v/>
      </c>
      <c r="AY149" s="55" t="str">
        <f aca="false">IF(AND('Choix pédagogiques'!$C$4&lt;&gt;"?",'Choix pédagogiques'!$C$5&lt;&gt;"?",AD149&lt;&gt;""),(AD149-'Choix pédagogiques'!$C$4)/('Choix pédagogiques'!$C$5-'Choix pédagogiques'!$C$4),"")</f>
        <v/>
      </c>
      <c r="AZ149" s="53" t="str">
        <f aca="false">IF($J149&lt;&gt;"",$J149,"")</f>
        <v/>
      </c>
      <c r="BA149" s="52" t="str">
        <f aca="false">IF($A149&lt;&gt;"",$A149,"")</f>
        <v>Apprenant 137</v>
      </c>
      <c r="BB149" s="55" t="str">
        <f aca="false">IF(AND($AR149&lt;&gt;"",$AS149&lt;&gt;""),$AS149-$AR149,"")</f>
        <v/>
      </c>
      <c r="BC149" s="55" t="str">
        <f aca="false">IF(AND($AR149&lt;&gt;"",$AT149&lt;&gt;""),$AT149-$AR149,"")</f>
        <v/>
      </c>
      <c r="BD149" s="55" t="str">
        <f aca="false">IF(AND($AS149&lt;&gt;"",$AT149&lt;&gt;""),$AT149-$AS149,"")</f>
        <v/>
      </c>
      <c r="BE149" s="53" t="str">
        <f aca="false">IF($E149&lt;&gt;"",$E149,"")</f>
        <v/>
      </c>
      <c r="BF149" s="52" t="str">
        <f aca="false">IF($F149&lt;&gt;"",$F149,"")</f>
        <v>Apprenant 137 ou 137'</v>
      </c>
      <c r="BG149" s="55" t="str">
        <f aca="false">IF(AND($AW149&lt;&gt;"",$AX149&lt;&gt;""),$AX149-$AW149,"")</f>
        <v/>
      </c>
      <c r="BH149" s="55" t="str">
        <f aca="false">IF(AND($AW149&lt;&gt;"",$AY149&lt;&gt;""),$AY149-$AW149,"")</f>
        <v/>
      </c>
      <c r="BI149" s="55" t="str">
        <f aca="false">IF(AND($AX149&lt;&gt;"",$AY149&lt;&gt;""),$AY149-$AX149,"")</f>
        <v/>
      </c>
      <c r="BJ149" s="53" t="str">
        <f aca="false">IF($J149&lt;&gt;"",$J149,"")</f>
        <v/>
      </c>
      <c r="BL149" s="52"/>
      <c r="BM149" s="52" t="str">
        <f aca="false">IF(OR(COUNT(B149:D1148)=0,AND('Choix pédagogiques'!$C$3&lt;&gt;1,'Choix pédagogiques'!$C$3&lt;&gt;2)),"",IF(AND(OR('Choix pédagogiques'!$C$3=1,'Choix pédagogiques'!$C$3=2),$B149&lt;&gt;"",$C149&lt;&gt;"",$D149&lt;&gt;""),1,0))</f>
        <v/>
      </c>
      <c r="BN149" s="52" t="str">
        <f aca="false">IF(OR(COUNT(G149:I1148)=0,AND('Choix pédagogiques'!$C$3&lt;&gt;1,'Choix pédagogiques'!$C$3&lt;&gt;2)),"",IF(AND(OR('Choix pédagogiques'!$C$3=1,'Choix pédagogiques'!$C$3=2),AND($G149&lt;&gt;"",$H149&lt;&gt;"",$I149&lt;&gt;"")),1,0))</f>
        <v/>
      </c>
      <c r="BO149" s="52" t="str">
        <f aca="false">IF(OR(COUNT(B149:D1148)=0,COUNT(G149:I1148)=0,'Choix pédagogiques'!C$3&lt;&gt;3),"",IF(AND('Choix pédagogiques'!$C$3=3,$B149&lt;&gt;"",$C149&lt;&gt;"",$D149&lt;&gt;"",$G149&lt;&gt;"",$H149&lt;&gt;"",$I149&lt;&gt;""),1,0))</f>
        <v/>
      </c>
      <c r="BR149" s="52" t="n">
        <v>794</v>
      </c>
      <c r="BS149" s="52" t="n">
        <v>1424</v>
      </c>
    </row>
    <row r="150" s="54" customFormat="true" ht="18" hidden="false" customHeight="true" outlineLevel="0" collapsed="false">
      <c r="A150" s="57" t="s">
        <v>231</v>
      </c>
      <c r="B150" s="51"/>
      <c r="C150" s="51"/>
      <c r="D150" s="51"/>
      <c r="E150" s="51"/>
      <c r="F150" s="57" t="s">
        <v>232</v>
      </c>
      <c r="G150" s="51"/>
      <c r="H150" s="51"/>
      <c r="I150" s="51"/>
      <c r="J150" s="51"/>
      <c r="K150" s="52" t="str">
        <f aca="false">IF($A150&lt;&gt;"",$A150,"")</f>
        <v>Apprenant 138</v>
      </c>
      <c r="L150" s="53" t="str">
        <f aca="false">IF(AND($B150&lt;&gt;"",$C150&lt;&gt;""),$C150-$B150,"")</f>
        <v/>
      </c>
      <c r="M150" s="53" t="str">
        <f aca="false">IF(AND($B150&lt;&gt;"",$D150&lt;&gt;""),$D150-$B150,"")</f>
        <v/>
      </c>
      <c r="N150" s="53" t="str">
        <f aca="false">IF(AND($C150&lt;&gt;"",$D150&lt;&gt;""),$D150-$C150,"")</f>
        <v/>
      </c>
      <c r="O150" s="53" t="str">
        <f aca="false">IF($E150&lt;&gt;"",$E150,"")</f>
        <v/>
      </c>
      <c r="P150" s="52" t="str">
        <f aca="false">IF($F150&lt;&gt;"",$F150,"")</f>
        <v>Apprenant 138 ou 138'</v>
      </c>
      <c r="Q150" s="53" t="str">
        <f aca="false">IF(AND($G150&lt;&gt;"",$H150&lt;&gt;""),$H150-$G150,"")</f>
        <v/>
      </c>
      <c r="R150" s="53" t="str">
        <f aca="false">IF(AND($G150&lt;&gt;"",$I150&lt;&gt;""),$I150-$G150,"")</f>
        <v/>
      </c>
      <c r="S150" s="53" t="str">
        <f aca="false">IF(AND($H150&lt;&gt;"",$I150&lt;&gt;""),$I150-$H150,"")</f>
        <v/>
      </c>
      <c r="T150" s="53" t="str">
        <f aca="false">IF($J150&lt;&gt;"",$J150,"")</f>
        <v/>
      </c>
      <c r="V150" s="52" t="str">
        <f aca="false">IF($A150&lt;&gt;"",$A150,"")</f>
        <v>Apprenant 138</v>
      </c>
      <c r="W150" s="53" t="str">
        <f aca="false">IF(AND(OR('Choix pédagogiques'!$C$3=1,'Choix pédagogiques'!$C$3=2),$BM150=1),B150,IF(AND('Choix pédagogiques'!$C$3=3,$BO150=1),B150,""))</f>
        <v/>
      </c>
      <c r="X150" s="53" t="str">
        <f aca="false">IF(AND(OR('Choix pédagogiques'!$C$3=1,'Choix pédagogiques'!$C$3=2),$BM150=1),C150,IF(AND('Choix pédagogiques'!$C$3=3,$BO150=1),C150,""))</f>
        <v/>
      </c>
      <c r="Y150" s="53" t="str">
        <f aca="false">IF(AND(OR('Choix pédagogiques'!$C$3=1,'Choix pédagogiques'!$C$3=2),$BM150=1),D150,IF(AND('Choix pédagogiques'!$C$3=3,$BO150=1),D150,""))</f>
        <v/>
      </c>
      <c r="Z150" s="53" t="str">
        <f aca="false">IF($E150&lt;&gt;"",$E150,"")</f>
        <v/>
      </c>
      <c r="AA150" s="52" t="str">
        <f aca="false">IF($F150&lt;&gt;"",$F150,"")</f>
        <v>Apprenant 138 ou 138'</v>
      </c>
      <c r="AB150" s="53" t="str">
        <f aca="false">IF(AND(OR('Choix pédagogiques'!$C$3=1,'Choix pédagogiques'!$C$3=2),$BN150=1),G150,IF(AND('Choix pédagogiques'!$C$3=3,$BO150=1),G150,""))</f>
        <v/>
      </c>
      <c r="AC150" s="53" t="str">
        <f aca="false">IF(AND(OR('Choix pédagogiques'!$C$3=1,'Choix pédagogiques'!$C$3=2),$BN150=1),H150,IF(AND('Choix pédagogiques'!$C$3=3,$BO150=1),H150,""))</f>
        <v/>
      </c>
      <c r="AD150" s="53" t="str">
        <f aca="false">IF(AND(OR('Choix pédagogiques'!$C$3=1,'Choix pédagogiques'!$C$3=2),$BN150=1),I150,IF(AND('Choix pédagogiques'!$C$3=3,$BO150=1),I150,""))</f>
        <v/>
      </c>
      <c r="AE150" s="53" t="str">
        <f aca="false">IF($J150&lt;&gt;"",$J150,"")</f>
        <v/>
      </c>
      <c r="AF150" s="52" t="str">
        <f aca="false">IF($A150&lt;&gt;"",$A150,"")</f>
        <v>Apprenant 138</v>
      </c>
      <c r="AG150" s="53" t="str">
        <f aca="false">IF(AND($W150&lt;&gt;"",$X150&lt;&gt;""),$X150-$W150,"")</f>
        <v/>
      </c>
      <c r="AH150" s="53" t="str">
        <f aca="false">IF(AND($W150&lt;&gt;"",$Y150&lt;&gt;""),$Y150-$W150,"")</f>
        <v/>
      </c>
      <c r="AI150" s="53" t="str">
        <f aca="false">IF(AND($X150&lt;&gt;"",$Y150&lt;&gt;""),$Y150-$X150,"")</f>
        <v/>
      </c>
      <c r="AJ150" s="53" t="str">
        <f aca="false">IF($E150&lt;&gt;"",$E150,"")</f>
        <v/>
      </c>
      <c r="AK150" s="52" t="str">
        <f aca="false">IF($F150&lt;&gt;"",$F150,"")</f>
        <v>Apprenant 138 ou 138'</v>
      </c>
      <c r="AL150" s="53" t="str">
        <f aca="false">IF(AND($AB150&lt;&gt;"",$AC150&lt;&gt;""),$AC150-$AB150,"")</f>
        <v/>
      </c>
      <c r="AM150" s="53" t="str">
        <f aca="false">IF(AND($AB150&lt;&gt;"",$AD150&lt;&gt;""),$AD150-$AB150,"")</f>
        <v/>
      </c>
      <c r="AN150" s="53" t="str">
        <f aca="false">IF(AND($AC150&lt;&gt;"",$AD150&lt;&gt;""),$AD150-$AC150,"")</f>
        <v/>
      </c>
      <c r="AO150" s="53" t="str">
        <f aca="false">IF($J150&lt;&gt;"",$J150,"")</f>
        <v/>
      </c>
      <c r="AQ150" s="52" t="str">
        <f aca="false">IF($A150&lt;&gt;"",$A150,"")</f>
        <v>Apprenant 138</v>
      </c>
      <c r="AR150" s="55" t="str">
        <f aca="false">IF(AND('Choix pédagogiques'!$C$4&lt;&gt;"?",'Choix pédagogiques'!$C$5&lt;&gt;"?",W150&lt;&gt;""),(W150-'Choix pédagogiques'!$C$4)/('Choix pédagogiques'!$C$5-'Choix pédagogiques'!$C$4),"")</f>
        <v/>
      </c>
      <c r="AS150" s="55" t="str">
        <f aca="false">IF(AND('Choix pédagogiques'!$C$4&lt;&gt;"?",'Choix pédagogiques'!$C$5&lt;&gt;"?",X150&lt;&gt;""),(X150-'Choix pédagogiques'!$C$4)/('Choix pédagogiques'!$C$5-'Choix pédagogiques'!$C$4),"")</f>
        <v/>
      </c>
      <c r="AT150" s="55" t="str">
        <f aca="false">IF(AND('Choix pédagogiques'!$C$4&lt;&gt;"?",'Choix pédagogiques'!$C$5&lt;&gt;"?",Y150&lt;&gt;""),(Y150-'Choix pédagogiques'!$C$4)/('Choix pédagogiques'!$C$5-'Choix pédagogiques'!$C$4),"")</f>
        <v/>
      </c>
      <c r="AU150" s="53" t="str">
        <f aca="false">IF($E150&lt;&gt;"",$E150,"")</f>
        <v/>
      </c>
      <c r="AV150" s="52" t="str">
        <f aca="false">IF($F150&lt;&gt;"",$F150,"")</f>
        <v>Apprenant 138 ou 138'</v>
      </c>
      <c r="AW150" s="55" t="str">
        <f aca="false">IF(AND('Choix pédagogiques'!$C$4&lt;&gt;"?",'Choix pédagogiques'!$C$5&lt;&gt;"?",AB150&lt;&gt;""),(AB150-'Choix pédagogiques'!$C$4)/('Choix pédagogiques'!$C$5-'Choix pédagogiques'!$C$4),"")</f>
        <v/>
      </c>
      <c r="AX150" s="55" t="str">
        <f aca="false">IF(AND('Choix pédagogiques'!$C$4&lt;&gt;"?",'Choix pédagogiques'!$C$5&lt;&gt;"?",AC150&lt;&gt;""),(AC150-'Choix pédagogiques'!$C$4)/('Choix pédagogiques'!$C$5-'Choix pédagogiques'!$C$4),"")</f>
        <v/>
      </c>
      <c r="AY150" s="55" t="str">
        <f aca="false">IF(AND('Choix pédagogiques'!$C$4&lt;&gt;"?",'Choix pédagogiques'!$C$5&lt;&gt;"?",AD150&lt;&gt;""),(AD150-'Choix pédagogiques'!$C$4)/('Choix pédagogiques'!$C$5-'Choix pédagogiques'!$C$4),"")</f>
        <v/>
      </c>
      <c r="AZ150" s="53" t="str">
        <f aca="false">IF($J150&lt;&gt;"",$J150,"")</f>
        <v/>
      </c>
      <c r="BA150" s="52" t="str">
        <f aca="false">IF($A150&lt;&gt;"",$A150,"")</f>
        <v>Apprenant 138</v>
      </c>
      <c r="BB150" s="55" t="str">
        <f aca="false">IF(AND($AR150&lt;&gt;"",$AS150&lt;&gt;""),$AS150-$AR150,"")</f>
        <v/>
      </c>
      <c r="BC150" s="55" t="str">
        <f aca="false">IF(AND($AR150&lt;&gt;"",$AT150&lt;&gt;""),$AT150-$AR150,"")</f>
        <v/>
      </c>
      <c r="BD150" s="55" t="str">
        <f aca="false">IF(AND($AS150&lt;&gt;"",$AT150&lt;&gt;""),$AT150-$AS150,"")</f>
        <v/>
      </c>
      <c r="BE150" s="53" t="str">
        <f aca="false">IF($E150&lt;&gt;"",$E150,"")</f>
        <v/>
      </c>
      <c r="BF150" s="52" t="str">
        <f aca="false">IF($F150&lt;&gt;"",$F150,"")</f>
        <v>Apprenant 138 ou 138'</v>
      </c>
      <c r="BG150" s="55" t="str">
        <f aca="false">IF(AND($AW150&lt;&gt;"",$AX150&lt;&gt;""),$AX150-$AW150,"")</f>
        <v/>
      </c>
      <c r="BH150" s="55" t="str">
        <f aca="false">IF(AND($AW150&lt;&gt;"",$AY150&lt;&gt;""),$AY150-$AW150,"")</f>
        <v/>
      </c>
      <c r="BI150" s="55" t="str">
        <f aca="false">IF(AND($AX150&lt;&gt;"",$AY150&lt;&gt;""),$AY150-$AX150,"")</f>
        <v/>
      </c>
      <c r="BJ150" s="53" t="str">
        <f aca="false">IF($J150&lt;&gt;"",$J150,"")</f>
        <v/>
      </c>
      <c r="BL150" s="52"/>
      <c r="BM150" s="52" t="str">
        <f aca="false">IF(OR(COUNT(B150:D1149)=0,AND('Choix pédagogiques'!$C$3&lt;&gt;1,'Choix pédagogiques'!$C$3&lt;&gt;2)),"",IF(AND(OR('Choix pédagogiques'!$C$3=1,'Choix pédagogiques'!$C$3=2),$B150&lt;&gt;"",$C150&lt;&gt;"",$D150&lt;&gt;""),1,0))</f>
        <v/>
      </c>
      <c r="BN150" s="52" t="str">
        <f aca="false">IF(OR(COUNT(G150:I1149)=0,AND('Choix pédagogiques'!$C$3&lt;&gt;1,'Choix pédagogiques'!$C$3&lt;&gt;2)),"",IF(AND(OR('Choix pédagogiques'!$C$3=1,'Choix pédagogiques'!$C$3=2),AND($G150&lt;&gt;"",$H150&lt;&gt;"",$I150&lt;&gt;"")),1,0))</f>
        <v/>
      </c>
      <c r="BO150" s="52" t="str">
        <f aca="false">IF(OR(COUNT(B150:D1149)=0,COUNT(G150:I1149)=0,'Choix pédagogiques'!C$3&lt;&gt;3),"",IF(AND('Choix pédagogiques'!$C$3=3,$B150&lt;&gt;"",$C150&lt;&gt;"",$D150&lt;&gt;"",$G150&lt;&gt;"",$H150&lt;&gt;"",$I150&lt;&gt;""),1,0))</f>
        <v/>
      </c>
      <c r="BR150" s="52" t="n">
        <v>153</v>
      </c>
      <c r="BS150" s="52" t="n">
        <v>1043</v>
      </c>
    </row>
    <row r="151" s="54" customFormat="true" ht="18" hidden="false" customHeight="true" outlineLevel="0" collapsed="false">
      <c r="A151" s="57" t="s">
        <v>233</v>
      </c>
      <c r="B151" s="51"/>
      <c r="C151" s="51"/>
      <c r="D151" s="51"/>
      <c r="E151" s="51"/>
      <c r="F151" s="57" t="s">
        <v>234</v>
      </c>
      <c r="G151" s="51"/>
      <c r="H151" s="51"/>
      <c r="I151" s="51"/>
      <c r="J151" s="51"/>
      <c r="K151" s="52" t="str">
        <f aca="false">IF($A151&lt;&gt;"",$A151,"")</f>
        <v>Apprenant 139</v>
      </c>
      <c r="L151" s="53" t="str">
        <f aca="false">IF(AND($B151&lt;&gt;"",$C151&lt;&gt;""),$C151-$B151,"")</f>
        <v/>
      </c>
      <c r="M151" s="53" t="str">
        <f aca="false">IF(AND($B151&lt;&gt;"",$D151&lt;&gt;""),$D151-$B151,"")</f>
        <v/>
      </c>
      <c r="N151" s="53" t="str">
        <f aca="false">IF(AND($C151&lt;&gt;"",$D151&lt;&gt;""),$D151-$C151,"")</f>
        <v/>
      </c>
      <c r="O151" s="53" t="str">
        <f aca="false">IF($E151&lt;&gt;"",$E151,"")</f>
        <v/>
      </c>
      <c r="P151" s="52" t="str">
        <f aca="false">IF($F151&lt;&gt;"",$F151,"")</f>
        <v>Apprenant 139 ou 139'</v>
      </c>
      <c r="Q151" s="53" t="str">
        <f aca="false">IF(AND($G151&lt;&gt;"",$H151&lt;&gt;""),$H151-$G151,"")</f>
        <v/>
      </c>
      <c r="R151" s="53" t="str">
        <f aca="false">IF(AND($G151&lt;&gt;"",$I151&lt;&gt;""),$I151-$G151,"")</f>
        <v/>
      </c>
      <c r="S151" s="53" t="str">
        <f aca="false">IF(AND($H151&lt;&gt;"",$I151&lt;&gt;""),$I151-$H151,"")</f>
        <v/>
      </c>
      <c r="T151" s="53" t="str">
        <f aca="false">IF($J151&lt;&gt;"",$J151,"")</f>
        <v/>
      </c>
      <c r="V151" s="52" t="str">
        <f aca="false">IF($A151&lt;&gt;"",$A151,"")</f>
        <v>Apprenant 139</v>
      </c>
      <c r="W151" s="53" t="str">
        <f aca="false">IF(AND(OR('Choix pédagogiques'!$C$3=1,'Choix pédagogiques'!$C$3=2),$BM151=1),B151,IF(AND('Choix pédagogiques'!$C$3=3,$BO151=1),B151,""))</f>
        <v/>
      </c>
      <c r="X151" s="53" t="str">
        <f aca="false">IF(AND(OR('Choix pédagogiques'!$C$3=1,'Choix pédagogiques'!$C$3=2),$BM151=1),C151,IF(AND('Choix pédagogiques'!$C$3=3,$BO151=1),C151,""))</f>
        <v/>
      </c>
      <c r="Y151" s="53" t="str">
        <f aca="false">IF(AND(OR('Choix pédagogiques'!$C$3=1,'Choix pédagogiques'!$C$3=2),$BM151=1),D151,IF(AND('Choix pédagogiques'!$C$3=3,$BO151=1),D151,""))</f>
        <v/>
      </c>
      <c r="Z151" s="53" t="str">
        <f aca="false">IF($E151&lt;&gt;"",$E151,"")</f>
        <v/>
      </c>
      <c r="AA151" s="52" t="str">
        <f aca="false">IF($F151&lt;&gt;"",$F151,"")</f>
        <v>Apprenant 139 ou 139'</v>
      </c>
      <c r="AB151" s="53" t="str">
        <f aca="false">IF(AND(OR('Choix pédagogiques'!$C$3=1,'Choix pédagogiques'!$C$3=2),$BN151=1),G151,IF(AND('Choix pédagogiques'!$C$3=3,$BO151=1),G151,""))</f>
        <v/>
      </c>
      <c r="AC151" s="53" t="str">
        <f aca="false">IF(AND(OR('Choix pédagogiques'!$C$3=1,'Choix pédagogiques'!$C$3=2),$BN151=1),H151,IF(AND('Choix pédagogiques'!$C$3=3,$BO151=1),H151,""))</f>
        <v/>
      </c>
      <c r="AD151" s="53" t="str">
        <f aca="false">IF(AND(OR('Choix pédagogiques'!$C$3=1,'Choix pédagogiques'!$C$3=2),$BN151=1),I151,IF(AND('Choix pédagogiques'!$C$3=3,$BO151=1),I151,""))</f>
        <v/>
      </c>
      <c r="AE151" s="53" t="str">
        <f aca="false">IF($J151&lt;&gt;"",$J151,"")</f>
        <v/>
      </c>
      <c r="AF151" s="52" t="str">
        <f aca="false">IF($A151&lt;&gt;"",$A151,"")</f>
        <v>Apprenant 139</v>
      </c>
      <c r="AG151" s="53" t="str">
        <f aca="false">IF(AND($W151&lt;&gt;"",$X151&lt;&gt;""),$X151-$W151,"")</f>
        <v/>
      </c>
      <c r="AH151" s="53" t="str">
        <f aca="false">IF(AND($W151&lt;&gt;"",$Y151&lt;&gt;""),$Y151-$W151,"")</f>
        <v/>
      </c>
      <c r="AI151" s="53" t="str">
        <f aca="false">IF(AND($X151&lt;&gt;"",$Y151&lt;&gt;""),$Y151-$X151,"")</f>
        <v/>
      </c>
      <c r="AJ151" s="53" t="str">
        <f aca="false">IF($E151&lt;&gt;"",$E151,"")</f>
        <v/>
      </c>
      <c r="AK151" s="52" t="str">
        <f aca="false">IF($F151&lt;&gt;"",$F151,"")</f>
        <v>Apprenant 139 ou 139'</v>
      </c>
      <c r="AL151" s="53" t="str">
        <f aca="false">IF(AND($AB151&lt;&gt;"",$AC151&lt;&gt;""),$AC151-$AB151,"")</f>
        <v/>
      </c>
      <c r="AM151" s="53" t="str">
        <f aca="false">IF(AND($AB151&lt;&gt;"",$AD151&lt;&gt;""),$AD151-$AB151,"")</f>
        <v/>
      </c>
      <c r="AN151" s="53" t="str">
        <f aca="false">IF(AND($AC151&lt;&gt;"",$AD151&lt;&gt;""),$AD151-$AC151,"")</f>
        <v/>
      </c>
      <c r="AO151" s="53" t="str">
        <f aca="false">IF($J151&lt;&gt;"",$J151,"")</f>
        <v/>
      </c>
      <c r="AQ151" s="52" t="str">
        <f aca="false">IF($A151&lt;&gt;"",$A151,"")</f>
        <v>Apprenant 139</v>
      </c>
      <c r="AR151" s="55" t="str">
        <f aca="false">IF(AND('Choix pédagogiques'!$C$4&lt;&gt;"?",'Choix pédagogiques'!$C$5&lt;&gt;"?",W151&lt;&gt;""),(W151-'Choix pédagogiques'!$C$4)/('Choix pédagogiques'!$C$5-'Choix pédagogiques'!$C$4),"")</f>
        <v/>
      </c>
      <c r="AS151" s="55" t="str">
        <f aca="false">IF(AND('Choix pédagogiques'!$C$4&lt;&gt;"?",'Choix pédagogiques'!$C$5&lt;&gt;"?",X151&lt;&gt;""),(X151-'Choix pédagogiques'!$C$4)/('Choix pédagogiques'!$C$5-'Choix pédagogiques'!$C$4),"")</f>
        <v/>
      </c>
      <c r="AT151" s="55" t="str">
        <f aca="false">IF(AND('Choix pédagogiques'!$C$4&lt;&gt;"?",'Choix pédagogiques'!$C$5&lt;&gt;"?",Y151&lt;&gt;""),(Y151-'Choix pédagogiques'!$C$4)/('Choix pédagogiques'!$C$5-'Choix pédagogiques'!$C$4),"")</f>
        <v/>
      </c>
      <c r="AU151" s="53" t="str">
        <f aca="false">IF($E151&lt;&gt;"",$E151,"")</f>
        <v/>
      </c>
      <c r="AV151" s="52" t="str">
        <f aca="false">IF($F151&lt;&gt;"",$F151,"")</f>
        <v>Apprenant 139 ou 139'</v>
      </c>
      <c r="AW151" s="55" t="str">
        <f aca="false">IF(AND('Choix pédagogiques'!$C$4&lt;&gt;"?",'Choix pédagogiques'!$C$5&lt;&gt;"?",AB151&lt;&gt;""),(AB151-'Choix pédagogiques'!$C$4)/('Choix pédagogiques'!$C$5-'Choix pédagogiques'!$C$4),"")</f>
        <v/>
      </c>
      <c r="AX151" s="55" t="str">
        <f aca="false">IF(AND('Choix pédagogiques'!$C$4&lt;&gt;"?",'Choix pédagogiques'!$C$5&lt;&gt;"?",AC151&lt;&gt;""),(AC151-'Choix pédagogiques'!$C$4)/('Choix pédagogiques'!$C$5-'Choix pédagogiques'!$C$4),"")</f>
        <v/>
      </c>
      <c r="AY151" s="55" t="str">
        <f aca="false">IF(AND('Choix pédagogiques'!$C$4&lt;&gt;"?",'Choix pédagogiques'!$C$5&lt;&gt;"?",AD151&lt;&gt;""),(AD151-'Choix pédagogiques'!$C$4)/('Choix pédagogiques'!$C$5-'Choix pédagogiques'!$C$4),"")</f>
        <v/>
      </c>
      <c r="AZ151" s="53" t="str">
        <f aca="false">IF($J151&lt;&gt;"",$J151,"")</f>
        <v/>
      </c>
      <c r="BA151" s="52" t="str">
        <f aca="false">IF($A151&lt;&gt;"",$A151,"")</f>
        <v>Apprenant 139</v>
      </c>
      <c r="BB151" s="55" t="str">
        <f aca="false">IF(AND($AR151&lt;&gt;"",$AS151&lt;&gt;""),$AS151-$AR151,"")</f>
        <v/>
      </c>
      <c r="BC151" s="55" t="str">
        <f aca="false">IF(AND($AR151&lt;&gt;"",$AT151&lt;&gt;""),$AT151-$AR151,"")</f>
        <v/>
      </c>
      <c r="BD151" s="55" t="str">
        <f aca="false">IF(AND($AS151&lt;&gt;"",$AT151&lt;&gt;""),$AT151-$AS151,"")</f>
        <v/>
      </c>
      <c r="BE151" s="53" t="str">
        <f aca="false">IF($E151&lt;&gt;"",$E151,"")</f>
        <v/>
      </c>
      <c r="BF151" s="52" t="str">
        <f aca="false">IF($F151&lt;&gt;"",$F151,"")</f>
        <v>Apprenant 139 ou 139'</v>
      </c>
      <c r="BG151" s="55" t="str">
        <f aca="false">IF(AND($AW151&lt;&gt;"",$AX151&lt;&gt;""),$AX151-$AW151,"")</f>
        <v/>
      </c>
      <c r="BH151" s="55" t="str">
        <f aca="false">IF(AND($AW151&lt;&gt;"",$AY151&lt;&gt;""),$AY151-$AW151,"")</f>
        <v/>
      </c>
      <c r="BI151" s="55" t="str">
        <f aca="false">IF(AND($AX151&lt;&gt;"",$AY151&lt;&gt;""),$AY151-$AX151,"")</f>
        <v/>
      </c>
      <c r="BJ151" s="53" t="str">
        <f aca="false">IF($J151&lt;&gt;"",$J151,"")</f>
        <v/>
      </c>
      <c r="BL151" s="52"/>
      <c r="BM151" s="52" t="str">
        <f aca="false">IF(OR(COUNT(B151:D1150)=0,AND('Choix pédagogiques'!$C$3&lt;&gt;1,'Choix pédagogiques'!$C$3&lt;&gt;2)),"",IF(AND(OR('Choix pédagogiques'!$C$3=1,'Choix pédagogiques'!$C$3=2),$B151&lt;&gt;"",$C151&lt;&gt;"",$D151&lt;&gt;""),1,0))</f>
        <v/>
      </c>
      <c r="BN151" s="52" t="str">
        <f aca="false">IF(OR(COUNT(G151:I1150)=0,AND('Choix pédagogiques'!$C$3&lt;&gt;1,'Choix pédagogiques'!$C$3&lt;&gt;2)),"",IF(AND(OR('Choix pédagogiques'!$C$3=1,'Choix pédagogiques'!$C$3=2),AND($G151&lt;&gt;"",$H151&lt;&gt;"",$I151&lt;&gt;"")),1,0))</f>
        <v/>
      </c>
      <c r="BO151" s="52" t="str">
        <f aca="false">IF(OR(COUNT(B151:D1150)=0,COUNT(G151:I1150)=0,'Choix pédagogiques'!C$3&lt;&gt;3),"",IF(AND('Choix pédagogiques'!$C$3=3,$B151&lt;&gt;"",$C151&lt;&gt;"",$D151&lt;&gt;"",$G151&lt;&gt;"",$H151&lt;&gt;"",$I151&lt;&gt;""),1,0))</f>
        <v/>
      </c>
      <c r="BR151" s="52" t="n">
        <v>329</v>
      </c>
      <c r="BS151" s="52" t="n">
        <v>1243</v>
      </c>
    </row>
    <row r="152" s="54" customFormat="true" ht="18" hidden="false" customHeight="true" outlineLevel="0" collapsed="false">
      <c r="A152" s="57" t="s">
        <v>235</v>
      </c>
      <c r="B152" s="51"/>
      <c r="C152" s="51"/>
      <c r="D152" s="51"/>
      <c r="E152" s="51"/>
      <c r="F152" s="57" t="s">
        <v>236</v>
      </c>
      <c r="G152" s="51"/>
      <c r="H152" s="51"/>
      <c r="I152" s="51"/>
      <c r="J152" s="51"/>
      <c r="K152" s="52" t="str">
        <f aca="false">IF($A152&lt;&gt;"",$A152,"")</f>
        <v>Apprenant 140</v>
      </c>
      <c r="L152" s="53" t="str">
        <f aca="false">IF(AND($B152&lt;&gt;"",$C152&lt;&gt;""),$C152-$B152,"")</f>
        <v/>
      </c>
      <c r="M152" s="53" t="str">
        <f aca="false">IF(AND($B152&lt;&gt;"",$D152&lt;&gt;""),$D152-$B152,"")</f>
        <v/>
      </c>
      <c r="N152" s="53" t="str">
        <f aca="false">IF(AND($C152&lt;&gt;"",$D152&lt;&gt;""),$D152-$C152,"")</f>
        <v/>
      </c>
      <c r="O152" s="53" t="str">
        <f aca="false">IF($E152&lt;&gt;"",$E152,"")</f>
        <v/>
      </c>
      <c r="P152" s="52" t="str">
        <f aca="false">IF($F152&lt;&gt;"",$F152,"")</f>
        <v>Apprenant 140 ou 140'</v>
      </c>
      <c r="Q152" s="53" t="str">
        <f aca="false">IF(AND($G152&lt;&gt;"",$H152&lt;&gt;""),$H152-$G152,"")</f>
        <v/>
      </c>
      <c r="R152" s="53" t="str">
        <f aca="false">IF(AND($G152&lt;&gt;"",$I152&lt;&gt;""),$I152-$G152,"")</f>
        <v/>
      </c>
      <c r="S152" s="53" t="str">
        <f aca="false">IF(AND($H152&lt;&gt;"",$I152&lt;&gt;""),$I152-$H152,"")</f>
        <v/>
      </c>
      <c r="T152" s="53" t="str">
        <f aca="false">IF($J152&lt;&gt;"",$J152,"")</f>
        <v/>
      </c>
      <c r="V152" s="52" t="str">
        <f aca="false">IF($A152&lt;&gt;"",$A152,"")</f>
        <v>Apprenant 140</v>
      </c>
      <c r="W152" s="53" t="str">
        <f aca="false">IF(AND(OR('Choix pédagogiques'!$C$3=1,'Choix pédagogiques'!$C$3=2),$BM152=1),B152,IF(AND('Choix pédagogiques'!$C$3=3,$BO152=1),B152,""))</f>
        <v/>
      </c>
      <c r="X152" s="53" t="str">
        <f aca="false">IF(AND(OR('Choix pédagogiques'!$C$3=1,'Choix pédagogiques'!$C$3=2),$BM152=1),C152,IF(AND('Choix pédagogiques'!$C$3=3,$BO152=1),C152,""))</f>
        <v/>
      </c>
      <c r="Y152" s="53" t="str">
        <f aca="false">IF(AND(OR('Choix pédagogiques'!$C$3=1,'Choix pédagogiques'!$C$3=2),$BM152=1),D152,IF(AND('Choix pédagogiques'!$C$3=3,$BO152=1),D152,""))</f>
        <v/>
      </c>
      <c r="Z152" s="53" t="str">
        <f aca="false">IF($E152&lt;&gt;"",$E152,"")</f>
        <v/>
      </c>
      <c r="AA152" s="52" t="str">
        <f aca="false">IF($F152&lt;&gt;"",$F152,"")</f>
        <v>Apprenant 140 ou 140'</v>
      </c>
      <c r="AB152" s="53" t="str">
        <f aca="false">IF(AND(OR('Choix pédagogiques'!$C$3=1,'Choix pédagogiques'!$C$3=2),$BN152=1),G152,IF(AND('Choix pédagogiques'!$C$3=3,$BO152=1),G152,""))</f>
        <v/>
      </c>
      <c r="AC152" s="53" t="str">
        <f aca="false">IF(AND(OR('Choix pédagogiques'!$C$3=1,'Choix pédagogiques'!$C$3=2),$BN152=1),H152,IF(AND('Choix pédagogiques'!$C$3=3,$BO152=1),H152,""))</f>
        <v/>
      </c>
      <c r="AD152" s="53" t="str">
        <f aca="false">IF(AND(OR('Choix pédagogiques'!$C$3=1,'Choix pédagogiques'!$C$3=2),$BN152=1),I152,IF(AND('Choix pédagogiques'!$C$3=3,$BO152=1),I152,""))</f>
        <v/>
      </c>
      <c r="AE152" s="53" t="str">
        <f aca="false">IF($J152&lt;&gt;"",$J152,"")</f>
        <v/>
      </c>
      <c r="AF152" s="52" t="str">
        <f aca="false">IF($A152&lt;&gt;"",$A152,"")</f>
        <v>Apprenant 140</v>
      </c>
      <c r="AG152" s="53" t="str">
        <f aca="false">IF(AND($W152&lt;&gt;"",$X152&lt;&gt;""),$X152-$W152,"")</f>
        <v/>
      </c>
      <c r="AH152" s="53" t="str">
        <f aca="false">IF(AND($W152&lt;&gt;"",$Y152&lt;&gt;""),$Y152-$W152,"")</f>
        <v/>
      </c>
      <c r="AI152" s="53" t="str">
        <f aca="false">IF(AND($X152&lt;&gt;"",$Y152&lt;&gt;""),$Y152-$X152,"")</f>
        <v/>
      </c>
      <c r="AJ152" s="53" t="str">
        <f aca="false">IF($E152&lt;&gt;"",$E152,"")</f>
        <v/>
      </c>
      <c r="AK152" s="52" t="str">
        <f aca="false">IF($F152&lt;&gt;"",$F152,"")</f>
        <v>Apprenant 140 ou 140'</v>
      </c>
      <c r="AL152" s="53" t="str">
        <f aca="false">IF(AND($AB152&lt;&gt;"",$AC152&lt;&gt;""),$AC152-$AB152,"")</f>
        <v/>
      </c>
      <c r="AM152" s="53" t="str">
        <f aca="false">IF(AND($AB152&lt;&gt;"",$AD152&lt;&gt;""),$AD152-$AB152,"")</f>
        <v/>
      </c>
      <c r="AN152" s="53" t="str">
        <f aca="false">IF(AND($AC152&lt;&gt;"",$AD152&lt;&gt;""),$AD152-$AC152,"")</f>
        <v/>
      </c>
      <c r="AO152" s="53" t="str">
        <f aca="false">IF($J152&lt;&gt;"",$J152,"")</f>
        <v/>
      </c>
      <c r="AQ152" s="52" t="str">
        <f aca="false">IF($A152&lt;&gt;"",$A152,"")</f>
        <v>Apprenant 140</v>
      </c>
      <c r="AR152" s="55" t="str">
        <f aca="false">IF(AND('Choix pédagogiques'!$C$4&lt;&gt;"?",'Choix pédagogiques'!$C$5&lt;&gt;"?",W152&lt;&gt;""),(W152-'Choix pédagogiques'!$C$4)/('Choix pédagogiques'!$C$5-'Choix pédagogiques'!$C$4),"")</f>
        <v/>
      </c>
      <c r="AS152" s="55" t="str">
        <f aca="false">IF(AND('Choix pédagogiques'!$C$4&lt;&gt;"?",'Choix pédagogiques'!$C$5&lt;&gt;"?",X152&lt;&gt;""),(X152-'Choix pédagogiques'!$C$4)/('Choix pédagogiques'!$C$5-'Choix pédagogiques'!$C$4),"")</f>
        <v/>
      </c>
      <c r="AT152" s="55" t="str">
        <f aca="false">IF(AND('Choix pédagogiques'!$C$4&lt;&gt;"?",'Choix pédagogiques'!$C$5&lt;&gt;"?",Y152&lt;&gt;""),(Y152-'Choix pédagogiques'!$C$4)/('Choix pédagogiques'!$C$5-'Choix pédagogiques'!$C$4),"")</f>
        <v/>
      </c>
      <c r="AU152" s="53" t="str">
        <f aca="false">IF($E152&lt;&gt;"",$E152,"")</f>
        <v/>
      </c>
      <c r="AV152" s="52" t="str">
        <f aca="false">IF($F152&lt;&gt;"",$F152,"")</f>
        <v>Apprenant 140 ou 140'</v>
      </c>
      <c r="AW152" s="55" t="str">
        <f aca="false">IF(AND('Choix pédagogiques'!$C$4&lt;&gt;"?",'Choix pédagogiques'!$C$5&lt;&gt;"?",AB152&lt;&gt;""),(AB152-'Choix pédagogiques'!$C$4)/('Choix pédagogiques'!$C$5-'Choix pédagogiques'!$C$4),"")</f>
        <v/>
      </c>
      <c r="AX152" s="55" t="str">
        <f aca="false">IF(AND('Choix pédagogiques'!$C$4&lt;&gt;"?",'Choix pédagogiques'!$C$5&lt;&gt;"?",AC152&lt;&gt;""),(AC152-'Choix pédagogiques'!$C$4)/('Choix pédagogiques'!$C$5-'Choix pédagogiques'!$C$4),"")</f>
        <v/>
      </c>
      <c r="AY152" s="55" t="str">
        <f aca="false">IF(AND('Choix pédagogiques'!$C$4&lt;&gt;"?",'Choix pédagogiques'!$C$5&lt;&gt;"?",AD152&lt;&gt;""),(AD152-'Choix pédagogiques'!$C$4)/('Choix pédagogiques'!$C$5-'Choix pédagogiques'!$C$4),"")</f>
        <v/>
      </c>
      <c r="AZ152" s="53" t="str">
        <f aca="false">IF($J152&lt;&gt;"",$J152,"")</f>
        <v/>
      </c>
      <c r="BA152" s="52" t="str">
        <f aca="false">IF($A152&lt;&gt;"",$A152,"")</f>
        <v>Apprenant 140</v>
      </c>
      <c r="BB152" s="55" t="str">
        <f aca="false">IF(AND($AR152&lt;&gt;"",$AS152&lt;&gt;""),$AS152-$AR152,"")</f>
        <v/>
      </c>
      <c r="BC152" s="55" t="str">
        <f aca="false">IF(AND($AR152&lt;&gt;"",$AT152&lt;&gt;""),$AT152-$AR152,"")</f>
        <v/>
      </c>
      <c r="BD152" s="55" t="str">
        <f aca="false">IF(AND($AS152&lt;&gt;"",$AT152&lt;&gt;""),$AT152-$AS152,"")</f>
        <v/>
      </c>
      <c r="BE152" s="53" t="str">
        <f aca="false">IF($E152&lt;&gt;"",$E152,"")</f>
        <v/>
      </c>
      <c r="BF152" s="52" t="str">
        <f aca="false">IF($F152&lt;&gt;"",$F152,"")</f>
        <v>Apprenant 140 ou 140'</v>
      </c>
      <c r="BG152" s="55" t="str">
        <f aca="false">IF(AND($AW152&lt;&gt;"",$AX152&lt;&gt;""),$AX152-$AW152,"")</f>
        <v/>
      </c>
      <c r="BH152" s="55" t="str">
        <f aca="false">IF(AND($AW152&lt;&gt;"",$AY152&lt;&gt;""),$AY152-$AW152,"")</f>
        <v/>
      </c>
      <c r="BI152" s="55" t="str">
        <f aca="false">IF(AND($AX152&lt;&gt;"",$AY152&lt;&gt;""),$AY152-$AX152,"")</f>
        <v/>
      </c>
      <c r="BJ152" s="53" t="str">
        <f aca="false">IF($J152&lt;&gt;"",$J152,"")</f>
        <v/>
      </c>
      <c r="BL152" s="52"/>
      <c r="BM152" s="52" t="str">
        <f aca="false">IF(OR(COUNT(B152:D1151)=0,AND('Choix pédagogiques'!$C$3&lt;&gt;1,'Choix pédagogiques'!$C$3&lt;&gt;2)),"",IF(AND(OR('Choix pédagogiques'!$C$3=1,'Choix pédagogiques'!$C$3=2),$B152&lt;&gt;"",$C152&lt;&gt;"",$D152&lt;&gt;""),1,0))</f>
        <v/>
      </c>
      <c r="BN152" s="52" t="str">
        <f aca="false">IF(OR(COUNT(G152:I1151)=0,AND('Choix pédagogiques'!$C$3&lt;&gt;1,'Choix pédagogiques'!$C$3&lt;&gt;2)),"",IF(AND(OR('Choix pédagogiques'!$C$3=1,'Choix pédagogiques'!$C$3=2),AND($G152&lt;&gt;"",$H152&lt;&gt;"",$I152&lt;&gt;"")),1,0))</f>
        <v/>
      </c>
      <c r="BO152" s="52" t="str">
        <f aca="false">IF(OR(COUNT(B152:D1151)=0,COUNT(G152:I1151)=0,'Choix pédagogiques'!C$3&lt;&gt;3),"",IF(AND('Choix pédagogiques'!$C$3=3,$B152&lt;&gt;"",$C152&lt;&gt;"",$D152&lt;&gt;"",$G152&lt;&gt;"",$H152&lt;&gt;"",$I152&lt;&gt;""),1,0))</f>
        <v/>
      </c>
      <c r="BR152" s="52" t="n">
        <v>332</v>
      </c>
      <c r="BS152" s="52" t="n">
        <v>1422</v>
      </c>
    </row>
    <row r="153" s="54" customFormat="true" ht="18" hidden="false" customHeight="true" outlineLevel="0" collapsed="false">
      <c r="A153" s="57" t="s">
        <v>237</v>
      </c>
      <c r="B153" s="51"/>
      <c r="C153" s="51"/>
      <c r="D153" s="51"/>
      <c r="E153" s="51"/>
      <c r="F153" s="57" t="s">
        <v>238</v>
      </c>
      <c r="G153" s="51"/>
      <c r="H153" s="51"/>
      <c r="I153" s="51"/>
      <c r="J153" s="51"/>
      <c r="K153" s="52" t="str">
        <f aca="false">IF($A153&lt;&gt;"",$A153,"")</f>
        <v>Apprenant 141</v>
      </c>
      <c r="L153" s="53" t="str">
        <f aca="false">IF(AND($B153&lt;&gt;"",$C153&lt;&gt;""),$C153-$B153,"")</f>
        <v/>
      </c>
      <c r="M153" s="53" t="str">
        <f aca="false">IF(AND($B153&lt;&gt;"",$D153&lt;&gt;""),$D153-$B153,"")</f>
        <v/>
      </c>
      <c r="N153" s="53" t="str">
        <f aca="false">IF(AND($C153&lt;&gt;"",$D153&lt;&gt;""),$D153-$C153,"")</f>
        <v/>
      </c>
      <c r="O153" s="53" t="str">
        <f aca="false">IF($E153&lt;&gt;"",$E153,"")</f>
        <v/>
      </c>
      <c r="P153" s="52" t="str">
        <f aca="false">IF($F153&lt;&gt;"",$F153,"")</f>
        <v>Apprenant 141 ou 141'</v>
      </c>
      <c r="Q153" s="53" t="str">
        <f aca="false">IF(AND($G153&lt;&gt;"",$H153&lt;&gt;""),$H153-$G153,"")</f>
        <v/>
      </c>
      <c r="R153" s="53" t="str">
        <f aca="false">IF(AND($G153&lt;&gt;"",$I153&lt;&gt;""),$I153-$G153,"")</f>
        <v/>
      </c>
      <c r="S153" s="53" t="str">
        <f aca="false">IF(AND($H153&lt;&gt;"",$I153&lt;&gt;""),$I153-$H153,"")</f>
        <v/>
      </c>
      <c r="T153" s="53" t="str">
        <f aca="false">IF($J153&lt;&gt;"",$J153,"")</f>
        <v/>
      </c>
      <c r="V153" s="52" t="str">
        <f aca="false">IF($A153&lt;&gt;"",$A153,"")</f>
        <v>Apprenant 141</v>
      </c>
      <c r="W153" s="53" t="str">
        <f aca="false">IF(AND(OR('Choix pédagogiques'!$C$3=1,'Choix pédagogiques'!$C$3=2),$BM153=1),B153,IF(AND('Choix pédagogiques'!$C$3=3,$BO153=1),B153,""))</f>
        <v/>
      </c>
      <c r="X153" s="53" t="str">
        <f aca="false">IF(AND(OR('Choix pédagogiques'!$C$3=1,'Choix pédagogiques'!$C$3=2),$BM153=1),C153,IF(AND('Choix pédagogiques'!$C$3=3,$BO153=1),C153,""))</f>
        <v/>
      </c>
      <c r="Y153" s="53" t="str">
        <f aca="false">IF(AND(OR('Choix pédagogiques'!$C$3=1,'Choix pédagogiques'!$C$3=2),$BM153=1),D153,IF(AND('Choix pédagogiques'!$C$3=3,$BO153=1),D153,""))</f>
        <v/>
      </c>
      <c r="Z153" s="53" t="str">
        <f aca="false">IF($E153&lt;&gt;"",$E153,"")</f>
        <v/>
      </c>
      <c r="AA153" s="52" t="str">
        <f aca="false">IF($F153&lt;&gt;"",$F153,"")</f>
        <v>Apprenant 141 ou 141'</v>
      </c>
      <c r="AB153" s="53" t="str">
        <f aca="false">IF(AND(OR('Choix pédagogiques'!$C$3=1,'Choix pédagogiques'!$C$3=2),$BN153=1),G153,IF(AND('Choix pédagogiques'!$C$3=3,$BO153=1),G153,""))</f>
        <v/>
      </c>
      <c r="AC153" s="53" t="str">
        <f aca="false">IF(AND(OR('Choix pédagogiques'!$C$3=1,'Choix pédagogiques'!$C$3=2),$BN153=1),H153,IF(AND('Choix pédagogiques'!$C$3=3,$BO153=1),H153,""))</f>
        <v/>
      </c>
      <c r="AD153" s="53" t="str">
        <f aca="false">IF(AND(OR('Choix pédagogiques'!$C$3=1,'Choix pédagogiques'!$C$3=2),$BN153=1),I153,IF(AND('Choix pédagogiques'!$C$3=3,$BO153=1),I153,""))</f>
        <v/>
      </c>
      <c r="AE153" s="53" t="str">
        <f aca="false">IF($J153&lt;&gt;"",$J153,"")</f>
        <v/>
      </c>
      <c r="AF153" s="52" t="str">
        <f aca="false">IF($A153&lt;&gt;"",$A153,"")</f>
        <v>Apprenant 141</v>
      </c>
      <c r="AG153" s="53" t="str">
        <f aca="false">IF(AND($W153&lt;&gt;"",$X153&lt;&gt;""),$X153-$W153,"")</f>
        <v/>
      </c>
      <c r="AH153" s="53" t="str">
        <f aca="false">IF(AND($W153&lt;&gt;"",$Y153&lt;&gt;""),$Y153-$W153,"")</f>
        <v/>
      </c>
      <c r="AI153" s="53" t="str">
        <f aca="false">IF(AND($X153&lt;&gt;"",$Y153&lt;&gt;""),$Y153-$X153,"")</f>
        <v/>
      </c>
      <c r="AJ153" s="53" t="str">
        <f aca="false">IF($E153&lt;&gt;"",$E153,"")</f>
        <v/>
      </c>
      <c r="AK153" s="52" t="str">
        <f aca="false">IF($F153&lt;&gt;"",$F153,"")</f>
        <v>Apprenant 141 ou 141'</v>
      </c>
      <c r="AL153" s="53" t="str">
        <f aca="false">IF(AND($AB153&lt;&gt;"",$AC153&lt;&gt;""),$AC153-$AB153,"")</f>
        <v/>
      </c>
      <c r="AM153" s="53" t="str">
        <f aca="false">IF(AND($AB153&lt;&gt;"",$AD153&lt;&gt;""),$AD153-$AB153,"")</f>
        <v/>
      </c>
      <c r="AN153" s="53" t="str">
        <f aca="false">IF(AND($AC153&lt;&gt;"",$AD153&lt;&gt;""),$AD153-$AC153,"")</f>
        <v/>
      </c>
      <c r="AO153" s="53" t="str">
        <f aca="false">IF($J153&lt;&gt;"",$J153,"")</f>
        <v/>
      </c>
      <c r="AQ153" s="52" t="str">
        <f aca="false">IF($A153&lt;&gt;"",$A153,"")</f>
        <v>Apprenant 141</v>
      </c>
      <c r="AR153" s="55" t="str">
        <f aca="false">IF(AND('Choix pédagogiques'!$C$4&lt;&gt;"?",'Choix pédagogiques'!$C$5&lt;&gt;"?",W153&lt;&gt;""),(W153-'Choix pédagogiques'!$C$4)/('Choix pédagogiques'!$C$5-'Choix pédagogiques'!$C$4),"")</f>
        <v/>
      </c>
      <c r="AS153" s="55" t="str">
        <f aca="false">IF(AND('Choix pédagogiques'!$C$4&lt;&gt;"?",'Choix pédagogiques'!$C$5&lt;&gt;"?",X153&lt;&gt;""),(X153-'Choix pédagogiques'!$C$4)/('Choix pédagogiques'!$C$5-'Choix pédagogiques'!$C$4),"")</f>
        <v/>
      </c>
      <c r="AT153" s="55" t="str">
        <f aca="false">IF(AND('Choix pédagogiques'!$C$4&lt;&gt;"?",'Choix pédagogiques'!$C$5&lt;&gt;"?",Y153&lt;&gt;""),(Y153-'Choix pédagogiques'!$C$4)/('Choix pédagogiques'!$C$5-'Choix pédagogiques'!$C$4),"")</f>
        <v/>
      </c>
      <c r="AU153" s="53" t="str">
        <f aca="false">IF($E153&lt;&gt;"",$E153,"")</f>
        <v/>
      </c>
      <c r="AV153" s="52" t="str">
        <f aca="false">IF($F153&lt;&gt;"",$F153,"")</f>
        <v>Apprenant 141 ou 141'</v>
      </c>
      <c r="AW153" s="55" t="str">
        <f aca="false">IF(AND('Choix pédagogiques'!$C$4&lt;&gt;"?",'Choix pédagogiques'!$C$5&lt;&gt;"?",AB153&lt;&gt;""),(AB153-'Choix pédagogiques'!$C$4)/('Choix pédagogiques'!$C$5-'Choix pédagogiques'!$C$4),"")</f>
        <v/>
      </c>
      <c r="AX153" s="55" t="str">
        <f aca="false">IF(AND('Choix pédagogiques'!$C$4&lt;&gt;"?",'Choix pédagogiques'!$C$5&lt;&gt;"?",AC153&lt;&gt;""),(AC153-'Choix pédagogiques'!$C$4)/('Choix pédagogiques'!$C$5-'Choix pédagogiques'!$C$4),"")</f>
        <v/>
      </c>
      <c r="AY153" s="55" t="str">
        <f aca="false">IF(AND('Choix pédagogiques'!$C$4&lt;&gt;"?",'Choix pédagogiques'!$C$5&lt;&gt;"?",AD153&lt;&gt;""),(AD153-'Choix pédagogiques'!$C$4)/('Choix pédagogiques'!$C$5-'Choix pédagogiques'!$C$4),"")</f>
        <v/>
      </c>
      <c r="AZ153" s="53" t="str">
        <f aca="false">IF($J153&lt;&gt;"",$J153,"")</f>
        <v/>
      </c>
      <c r="BA153" s="52" t="str">
        <f aca="false">IF($A153&lt;&gt;"",$A153,"")</f>
        <v>Apprenant 141</v>
      </c>
      <c r="BB153" s="55" t="str">
        <f aca="false">IF(AND($AR153&lt;&gt;"",$AS153&lt;&gt;""),$AS153-$AR153,"")</f>
        <v/>
      </c>
      <c r="BC153" s="55" t="str">
        <f aca="false">IF(AND($AR153&lt;&gt;"",$AT153&lt;&gt;""),$AT153-$AR153,"")</f>
        <v/>
      </c>
      <c r="BD153" s="55" t="str">
        <f aca="false">IF(AND($AS153&lt;&gt;"",$AT153&lt;&gt;""),$AT153-$AS153,"")</f>
        <v/>
      </c>
      <c r="BE153" s="53" t="str">
        <f aca="false">IF($E153&lt;&gt;"",$E153,"")</f>
        <v/>
      </c>
      <c r="BF153" s="52" t="str">
        <f aca="false">IF($F153&lt;&gt;"",$F153,"")</f>
        <v>Apprenant 141 ou 141'</v>
      </c>
      <c r="BG153" s="55" t="str">
        <f aca="false">IF(AND($AW153&lt;&gt;"",$AX153&lt;&gt;""),$AX153-$AW153,"")</f>
        <v/>
      </c>
      <c r="BH153" s="55" t="str">
        <f aca="false">IF(AND($AW153&lt;&gt;"",$AY153&lt;&gt;""),$AY153-$AW153,"")</f>
        <v/>
      </c>
      <c r="BI153" s="55" t="str">
        <f aca="false">IF(AND($AX153&lt;&gt;"",$AY153&lt;&gt;""),$AY153-$AX153,"")</f>
        <v/>
      </c>
      <c r="BJ153" s="53" t="str">
        <f aca="false">IF($J153&lt;&gt;"",$J153,"")</f>
        <v/>
      </c>
      <c r="BL153" s="52"/>
      <c r="BM153" s="52" t="str">
        <f aca="false">IF(OR(COUNT(B153:D1152)=0,AND('Choix pédagogiques'!$C$3&lt;&gt;1,'Choix pédagogiques'!$C$3&lt;&gt;2)),"",IF(AND(OR('Choix pédagogiques'!$C$3=1,'Choix pédagogiques'!$C$3=2),$B153&lt;&gt;"",$C153&lt;&gt;"",$D153&lt;&gt;""),1,0))</f>
        <v/>
      </c>
      <c r="BN153" s="52" t="str">
        <f aca="false">IF(OR(COUNT(G153:I1152)=0,AND('Choix pédagogiques'!$C$3&lt;&gt;1,'Choix pédagogiques'!$C$3&lt;&gt;2)),"",IF(AND(OR('Choix pédagogiques'!$C$3=1,'Choix pédagogiques'!$C$3=2),AND($G153&lt;&gt;"",$H153&lt;&gt;"",$I153&lt;&gt;"")),1,0))</f>
        <v/>
      </c>
      <c r="BO153" s="52" t="str">
        <f aca="false">IF(OR(COUNT(B153:D1152)=0,COUNT(G153:I1152)=0,'Choix pédagogiques'!C$3&lt;&gt;3),"",IF(AND('Choix pédagogiques'!$C$3=3,$B153&lt;&gt;"",$C153&lt;&gt;"",$D153&lt;&gt;"",$G153&lt;&gt;"",$H153&lt;&gt;"",$I153&lt;&gt;""),1,0))</f>
        <v/>
      </c>
      <c r="BR153" s="52" t="n">
        <v>516</v>
      </c>
      <c r="BS153" s="52" t="n">
        <v>1570</v>
      </c>
    </row>
    <row r="154" s="54" customFormat="true" ht="18" hidden="false" customHeight="true" outlineLevel="0" collapsed="false">
      <c r="A154" s="57" t="s">
        <v>239</v>
      </c>
      <c r="B154" s="51"/>
      <c r="C154" s="51"/>
      <c r="D154" s="51"/>
      <c r="E154" s="51"/>
      <c r="F154" s="57" t="s">
        <v>240</v>
      </c>
      <c r="G154" s="51"/>
      <c r="H154" s="51"/>
      <c r="I154" s="51"/>
      <c r="J154" s="51"/>
      <c r="K154" s="52" t="str">
        <f aca="false">IF($A154&lt;&gt;"",$A154,"")</f>
        <v>Apprenant 142</v>
      </c>
      <c r="L154" s="53" t="str">
        <f aca="false">IF(AND($B154&lt;&gt;"",$C154&lt;&gt;""),$C154-$B154,"")</f>
        <v/>
      </c>
      <c r="M154" s="53" t="str">
        <f aca="false">IF(AND($B154&lt;&gt;"",$D154&lt;&gt;""),$D154-$B154,"")</f>
        <v/>
      </c>
      <c r="N154" s="53" t="str">
        <f aca="false">IF(AND($C154&lt;&gt;"",$D154&lt;&gt;""),$D154-$C154,"")</f>
        <v/>
      </c>
      <c r="O154" s="53" t="str">
        <f aca="false">IF($E154&lt;&gt;"",$E154,"")</f>
        <v/>
      </c>
      <c r="P154" s="52" t="str">
        <f aca="false">IF($F154&lt;&gt;"",$F154,"")</f>
        <v>Apprenant 142 ou 142'</v>
      </c>
      <c r="Q154" s="53" t="str">
        <f aca="false">IF(AND($G154&lt;&gt;"",$H154&lt;&gt;""),$H154-$G154,"")</f>
        <v/>
      </c>
      <c r="R154" s="53" t="str">
        <f aca="false">IF(AND($G154&lt;&gt;"",$I154&lt;&gt;""),$I154-$G154,"")</f>
        <v/>
      </c>
      <c r="S154" s="53" t="str">
        <f aca="false">IF(AND($H154&lt;&gt;"",$I154&lt;&gt;""),$I154-$H154,"")</f>
        <v/>
      </c>
      <c r="T154" s="53" t="str">
        <f aca="false">IF($J154&lt;&gt;"",$J154,"")</f>
        <v/>
      </c>
      <c r="V154" s="52" t="str">
        <f aca="false">IF($A154&lt;&gt;"",$A154,"")</f>
        <v>Apprenant 142</v>
      </c>
      <c r="W154" s="53" t="str">
        <f aca="false">IF(AND(OR('Choix pédagogiques'!$C$3=1,'Choix pédagogiques'!$C$3=2),$BM154=1),B154,IF(AND('Choix pédagogiques'!$C$3=3,$BO154=1),B154,""))</f>
        <v/>
      </c>
      <c r="X154" s="53" t="str">
        <f aca="false">IF(AND(OR('Choix pédagogiques'!$C$3=1,'Choix pédagogiques'!$C$3=2),$BM154=1),C154,IF(AND('Choix pédagogiques'!$C$3=3,$BO154=1),C154,""))</f>
        <v/>
      </c>
      <c r="Y154" s="53" t="str">
        <f aca="false">IF(AND(OR('Choix pédagogiques'!$C$3=1,'Choix pédagogiques'!$C$3=2),$BM154=1),D154,IF(AND('Choix pédagogiques'!$C$3=3,$BO154=1),D154,""))</f>
        <v/>
      </c>
      <c r="Z154" s="53" t="str">
        <f aca="false">IF($E154&lt;&gt;"",$E154,"")</f>
        <v/>
      </c>
      <c r="AA154" s="52" t="str">
        <f aca="false">IF($F154&lt;&gt;"",$F154,"")</f>
        <v>Apprenant 142 ou 142'</v>
      </c>
      <c r="AB154" s="53" t="str">
        <f aca="false">IF(AND(OR('Choix pédagogiques'!$C$3=1,'Choix pédagogiques'!$C$3=2),$BN154=1),G154,IF(AND('Choix pédagogiques'!$C$3=3,$BO154=1),G154,""))</f>
        <v/>
      </c>
      <c r="AC154" s="53" t="str">
        <f aca="false">IF(AND(OR('Choix pédagogiques'!$C$3=1,'Choix pédagogiques'!$C$3=2),$BN154=1),H154,IF(AND('Choix pédagogiques'!$C$3=3,$BO154=1),H154,""))</f>
        <v/>
      </c>
      <c r="AD154" s="53" t="str">
        <f aca="false">IF(AND(OR('Choix pédagogiques'!$C$3=1,'Choix pédagogiques'!$C$3=2),$BN154=1),I154,IF(AND('Choix pédagogiques'!$C$3=3,$BO154=1),I154,""))</f>
        <v/>
      </c>
      <c r="AE154" s="53" t="str">
        <f aca="false">IF($J154&lt;&gt;"",$J154,"")</f>
        <v/>
      </c>
      <c r="AF154" s="52" t="str">
        <f aca="false">IF($A154&lt;&gt;"",$A154,"")</f>
        <v>Apprenant 142</v>
      </c>
      <c r="AG154" s="53" t="str">
        <f aca="false">IF(AND($W154&lt;&gt;"",$X154&lt;&gt;""),$X154-$W154,"")</f>
        <v/>
      </c>
      <c r="AH154" s="53" t="str">
        <f aca="false">IF(AND($W154&lt;&gt;"",$Y154&lt;&gt;""),$Y154-$W154,"")</f>
        <v/>
      </c>
      <c r="AI154" s="53" t="str">
        <f aca="false">IF(AND($X154&lt;&gt;"",$Y154&lt;&gt;""),$Y154-$X154,"")</f>
        <v/>
      </c>
      <c r="AJ154" s="53" t="str">
        <f aca="false">IF($E154&lt;&gt;"",$E154,"")</f>
        <v/>
      </c>
      <c r="AK154" s="52" t="str">
        <f aca="false">IF($F154&lt;&gt;"",$F154,"")</f>
        <v>Apprenant 142 ou 142'</v>
      </c>
      <c r="AL154" s="53" t="str">
        <f aca="false">IF(AND($AB154&lt;&gt;"",$AC154&lt;&gt;""),$AC154-$AB154,"")</f>
        <v/>
      </c>
      <c r="AM154" s="53" t="str">
        <f aca="false">IF(AND($AB154&lt;&gt;"",$AD154&lt;&gt;""),$AD154-$AB154,"")</f>
        <v/>
      </c>
      <c r="AN154" s="53" t="str">
        <f aca="false">IF(AND($AC154&lt;&gt;"",$AD154&lt;&gt;""),$AD154-$AC154,"")</f>
        <v/>
      </c>
      <c r="AO154" s="53" t="str">
        <f aca="false">IF($J154&lt;&gt;"",$J154,"")</f>
        <v/>
      </c>
      <c r="AQ154" s="52" t="str">
        <f aca="false">IF($A154&lt;&gt;"",$A154,"")</f>
        <v>Apprenant 142</v>
      </c>
      <c r="AR154" s="55" t="str">
        <f aca="false">IF(AND('Choix pédagogiques'!$C$4&lt;&gt;"?",'Choix pédagogiques'!$C$5&lt;&gt;"?",W154&lt;&gt;""),(W154-'Choix pédagogiques'!$C$4)/('Choix pédagogiques'!$C$5-'Choix pédagogiques'!$C$4),"")</f>
        <v/>
      </c>
      <c r="AS154" s="55" t="str">
        <f aca="false">IF(AND('Choix pédagogiques'!$C$4&lt;&gt;"?",'Choix pédagogiques'!$C$5&lt;&gt;"?",X154&lt;&gt;""),(X154-'Choix pédagogiques'!$C$4)/('Choix pédagogiques'!$C$5-'Choix pédagogiques'!$C$4),"")</f>
        <v/>
      </c>
      <c r="AT154" s="55" t="str">
        <f aca="false">IF(AND('Choix pédagogiques'!$C$4&lt;&gt;"?",'Choix pédagogiques'!$C$5&lt;&gt;"?",Y154&lt;&gt;""),(Y154-'Choix pédagogiques'!$C$4)/('Choix pédagogiques'!$C$5-'Choix pédagogiques'!$C$4),"")</f>
        <v/>
      </c>
      <c r="AU154" s="53" t="str">
        <f aca="false">IF($E154&lt;&gt;"",$E154,"")</f>
        <v/>
      </c>
      <c r="AV154" s="52" t="str">
        <f aca="false">IF($F154&lt;&gt;"",$F154,"")</f>
        <v>Apprenant 142 ou 142'</v>
      </c>
      <c r="AW154" s="55" t="str">
        <f aca="false">IF(AND('Choix pédagogiques'!$C$4&lt;&gt;"?",'Choix pédagogiques'!$C$5&lt;&gt;"?",AB154&lt;&gt;""),(AB154-'Choix pédagogiques'!$C$4)/('Choix pédagogiques'!$C$5-'Choix pédagogiques'!$C$4),"")</f>
        <v/>
      </c>
      <c r="AX154" s="55" t="str">
        <f aca="false">IF(AND('Choix pédagogiques'!$C$4&lt;&gt;"?",'Choix pédagogiques'!$C$5&lt;&gt;"?",AC154&lt;&gt;""),(AC154-'Choix pédagogiques'!$C$4)/('Choix pédagogiques'!$C$5-'Choix pédagogiques'!$C$4),"")</f>
        <v/>
      </c>
      <c r="AY154" s="55" t="str">
        <f aca="false">IF(AND('Choix pédagogiques'!$C$4&lt;&gt;"?",'Choix pédagogiques'!$C$5&lt;&gt;"?",AD154&lt;&gt;""),(AD154-'Choix pédagogiques'!$C$4)/('Choix pédagogiques'!$C$5-'Choix pédagogiques'!$C$4),"")</f>
        <v/>
      </c>
      <c r="AZ154" s="53" t="str">
        <f aca="false">IF($J154&lt;&gt;"",$J154,"")</f>
        <v/>
      </c>
      <c r="BA154" s="52" t="str">
        <f aca="false">IF($A154&lt;&gt;"",$A154,"")</f>
        <v>Apprenant 142</v>
      </c>
      <c r="BB154" s="55" t="str">
        <f aca="false">IF(AND($AR154&lt;&gt;"",$AS154&lt;&gt;""),$AS154-$AR154,"")</f>
        <v/>
      </c>
      <c r="BC154" s="55" t="str">
        <f aca="false">IF(AND($AR154&lt;&gt;"",$AT154&lt;&gt;""),$AT154-$AR154,"")</f>
        <v/>
      </c>
      <c r="BD154" s="55" t="str">
        <f aca="false">IF(AND($AS154&lt;&gt;"",$AT154&lt;&gt;""),$AT154-$AS154,"")</f>
        <v/>
      </c>
      <c r="BE154" s="53" t="str">
        <f aca="false">IF($E154&lt;&gt;"",$E154,"")</f>
        <v/>
      </c>
      <c r="BF154" s="52" t="str">
        <f aca="false">IF($F154&lt;&gt;"",$F154,"")</f>
        <v>Apprenant 142 ou 142'</v>
      </c>
      <c r="BG154" s="55" t="str">
        <f aca="false">IF(AND($AW154&lt;&gt;"",$AX154&lt;&gt;""),$AX154-$AW154,"")</f>
        <v/>
      </c>
      <c r="BH154" s="55" t="str">
        <f aca="false">IF(AND($AW154&lt;&gt;"",$AY154&lt;&gt;""),$AY154-$AW154,"")</f>
        <v/>
      </c>
      <c r="BI154" s="55" t="str">
        <f aca="false">IF(AND($AX154&lt;&gt;"",$AY154&lt;&gt;""),$AY154-$AX154,"")</f>
        <v/>
      </c>
      <c r="BJ154" s="53" t="str">
        <f aca="false">IF($J154&lt;&gt;"",$J154,"")</f>
        <v/>
      </c>
      <c r="BL154" s="52"/>
      <c r="BM154" s="52" t="str">
        <f aca="false">IF(OR(COUNT(B154:D1153)=0,AND('Choix pédagogiques'!$C$3&lt;&gt;1,'Choix pédagogiques'!$C$3&lt;&gt;2)),"",IF(AND(OR('Choix pédagogiques'!$C$3=1,'Choix pédagogiques'!$C$3=2),$B154&lt;&gt;"",$C154&lt;&gt;"",$D154&lt;&gt;""),1,0))</f>
        <v/>
      </c>
      <c r="BN154" s="52" t="str">
        <f aca="false">IF(OR(COUNT(G154:I1153)=0,AND('Choix pédagogiques'!$C$3&lt;&gt;1,'Choix pédagogiques'!$C$3&lt;&gt;2)),"",IF(AND(OR('Choix pédagogiques'!$C$3=1,'Choix pédagogiques'!$C$3=2),AND($G154&lt;&gt;"",$H154&lt;&gt;"",$I154&lt;&gt;"")),1,0))</f>
        <v/>
      </c>
      <c r="BO154" s="52" t="str">
        <f aca="false">IF(OR(COUNT(B154:D1153)=0,COUNT(G154:I1153)=0,'Choix pédagogiques'!C$3&lt;&gt;3),"",IF(AND('Choix pédagogiques'!$C$3=3,$B154&lt;&gt;"",$C154&lt;&gt;"",$D154&lt;&gt;"",$G154&lt;&gt;"",$H154&lt;&gt;"",$I154&lt;&gt;""),1,0))</f>
        <v/>
      </c>
      <c r="BR154" s="52" t="n">
        <v>79</v>
      </c>
      <c r="BS154" s="52" t="n">
        <v>1919</v>
      </c>
    </row>
    <row r="155" s="54" customFormat="true" ht="18" hidden="false" customHeight="true" outlineLevel="0" collapsed="false">
      <c r="A155" s="57" t="s">
        <v>241</v>
      </c>
      <c r="B155" s="51"/>
      <c r="C155" s="51"/>
      <c r="D155" s="51"/>
      <c r="E155" s="51"/>
      <c r="F155" s="57" t="s">
        <v>242</v>
      </c>
      <c r="G155" s="51"/>
      <c r="H155" s="51"/>
      <c r="I155" s="51"/>
      <c r="J155" s="51"/>
      <c r="K155" s="52" t="str">
        <f aca="false">IF($A155&lt;&gt;"",$A155,"")</f>
        <v>Apprenant 143</v>
      </c>
      <c r="L155" s="53" t="str">
        <f aca="false">IF(AND($B155&lt;&gt;"",$C155&lt;&gt;""),$C155-$B155,"")</f>
        <v/>
      </c>
      <c r="M155" s="53" t="str">
        <f aca="false">IF(AND($B155&lt;&gt;"",$D155&lt;&gt;""),$D155-$B155,"")</f>
        <v/>
      </c>
      <c r="N155" s="53" t="str">
        <f aca="false">IF(AND($C155&lt;&gt;"",$D155&lt;&gt;""),$D155-$C155,"")</f>
        <v/>
      </c>
      <c r="O155" s="53" t="str">
        <f aca="false">IF($E155&lt;&gt;"",$E155,"")</f>
        <v/>
      </c>
      <c r="P155" s="52" t="str">
        <f aca="false">IF($F155&lt;&gt;"",$F155,"")</f>
        <v>Apprenant 143 ou 143'</v>
      </c>
      <c r="Q155" s="53" t="str">
        <f aca="false">IF(AND($G155&lt;&gt;"",$H155&lt;&gt;""),$H155-$G155,"")</f>
        <v/>
      </c>
      <c r="R155" s="53" t="str">
        <f aca="false">IF(AND($G155&lt;&gt;"",$I155&lt;&gt;""),$I155-$G155,"")</f>
        <v/>
      </c>
      <c r="S155" s="53" t="str">
        <f aca="false">IF(AND($H155&lt;&gt;"",$I155&lt;&gt;""),$I155-$H155,"")</f>
        <v/>
      </c>
      <c r="T155" s="53" t="str">
        <f aca="false">IF($J155&lt;&gt;"",$J155,"")</f>
        <v/>
      </c>
      <c r="V155" s="52" t="str">
        <f aca="false">IF($A155&lt;&gt;"",$A155,"")</f>
        <v>Apprenant 143</v>
      </c>
      <c r="W155" s="53" t="str">
        <f aca="false">IF(AND(OR('Choix pédagogiques'!$C$3=1,'Choix pédagogiques'!$C$3=2),$BM155=1),B155,IF(AND('Choix pédagogiques'!$C$3=3,$BO155=1),B155,""))</f>
        <v/>
      </c>
      <c r="X155" s="53" t="str">
        <f aca="false">IF(AND(OR('Choix pédagogiques'!$C$3=1,'Choix pédagogiques'!$C$3=2),$BM155=1),C155,IF(AND('Choix pédagogiques'!$C$3=3,$BO155=1),C155,""))</f>
        <v/>
      </c>
      <c r="Y155" s="53" t="str">
        <f aca="false">IF(AND(OR('Choix pédagogiques'!$C$3=1,'Choix pédagogiques'!$C$3=2),$BM155=1),D155,IF(AND('Choix pédagogiques'!$C$3=3,$BO155=1),D155,""))</f>
        <v/>
      </c>
      <c r="Z155" s="53" t="str">
        <f aca="false">IF($E155&lt;&gt;"",$E155,"")</f>
        <v/>
      </c>
      <c r="AA155" s="52" t="str">
        <f aca="false">IF($F155&lt;&gt;"",$F155,"")</f>
        <v>Apprenant 143 ou 143'</v>
      </c>
      <c r="AB155" s="53" t="str">
        <f aca="false">IF(AND(OR('Choix pédagogiques'!$C$3=1,'Choix pédagogiques'!$C$3=2),$BN155=1),G155,IF(AND('Choix pédagogiques'!$C$3=3,$BO155=1),G155,""))</f>
        <v/>
      </c>
      <c r="AC155" s="53" t="str">
        <f aca="false">IF(AND(OR('Choix pédagogiques'!$C$3=1,'Choix pédagogiques'!$C$3=2),$BN155=1),H155,IF(AND('Choix pédagogiques'!$C$3=3,$BO155=1),H155,""))</f>
        <v/>
      </c>
      <c r="AD155" s="53" t="str">
        <f aca="false">IF(AND(OR('Choix pédagogiques'!$C$3=1,'Choix pédagogiques'!$C$3=2),$BN155=1),I155,IF(AND('Choix pédagogiques'!$C$3=3,$BO155=1),I155,""))</f>
        <v/>
      </c>
      <c r="AE155" s="53" t="str">
        <f aca="false">IF($J155&lt;&gt;"",$J155,"")</f>
        <v/>
      </c>
      <c r="AF155" s="52" t="str">
        <f aca="false">IF($A155&lt;&gt;"",$A155,"")</f>
        <v>Apprenant 143</v>
      </c>
      <c r="AG155" s="53" t="str">
        <f aca="false">IF(AND($W155&lt;&gt;"",$X155&lt;&gt;""),$X155-$W155,"")</f>
        <v/>
      </c>
      <c r="AH155" s="53" t="str">
        <f aca="false">IF(AND($W155&lt;&gt;"",$Y155&lt;&gt;""),$Y155-$W155,"")</f>
        <v/>
      </c>
      <c r="AI155" s="53" t="str">
        <f aca="false">IF(AND($X155&lt;&gt;"",$Y155&lt;&gt;""),$Y155-$X155,"")</f>
        <v/>
      </c>
      <c r="AJ155" s="53" t="str">
        <f aca="false">IF($E155&lt;&gt;"",$E155,"")</f>
        <v/>
      </c>
      <c r="AK155" s="52" t="str">
        <f aca="false">IF($F155&lt;&gt;"",$F155,"")</f>
        <v>Apprenant 143 ou 143'</v>
      </c>
      <c r="AL155" s="53" t="str">
        <f aca="false">IF(AND($AB155&lt;&gt;"",$AC155&lt;&gt;""),$AC155-$AB155,"")</f>
        <v/>
      </c>
      <c r="AM155" s="53" t="str">
        <f aca="false">IF(AND($AB155&lt;&gt;"",$AD155&lt;&gt;""),$AD155-$AB155,"")</f>
        <v/>
      </c>
      <c r="AN155" s="53" t="str">
        <f aca="false">IF(AND($AC155&lt;&gt;"",$AD155&lt;&gt;""),$AD155-$AC155,"")</f>
        <v/>
      </c>
      <c r="AO155" s="53" t="str">
        <f aca="false">IF($J155&lt;&gt;"",$J155,"")</f>
        <v/>
      </c>
      <c r="AQ155" s="52" t="str">
        <f aca="false">IF($A155&lt;&gt;"",$A155,"")</f>
        <v>Apprenant 143</v>
      </c>
      <c r="AR155" s="55" t="str">
        <f aca="false">IF(AND('Choix pédagogiques'!$C$4&lt;&gt;"?",'Choix pédagogiques'!$C$5&lt;&gt;"?",W155&lt;&gt;""),(W155-'Choix pédagogiques'!$C$4)/('Choix pédagogiques'!$C$5-'Choix pédagogiques'!$C$4),"")</f>
        <v/>
      </c>
      <c r="AS155" s="55" t="str">
        <f aca="false">IF(AND('Choix pédagogiques'!$C$4&lt;&gt;"?",'Choix pédagogiques'!$C$5&lt;&gt;"?",X155&lt;&gt;""),(X155-'Choix pédagogiques'!$C$4)/('Choix pédagogiques'!$C$5-'Choix pédagogiques'!$C$4),"")</f>
        <v/>
      </c>
      <c r="AT155" s="55" t="str">
        <f aca="false">IF(AND('Choix pédagogiques'!$C$4&lt;&gt;"?",'Choix pédagogiques'!$C$5&lt;&gt;"?",Y155&lt;&gt;""),(Y155-'Choix pédagogiques'!$C$4)/('Choix pédagogiques'!$C$5-'Choix pédagogiques'!$C$4),"")</f>
        <v/>
      </c>
      <c r="AU155" s="53" t="str">
        <f aca="false">IF($E155&lt;&gt;"",$E155,"")</f>
        <v/>
      </c>
      <c r="AV155" s="52" t="str">
        <f aca="false">IF($F155&lt;&gt;"",$F155,"")</f>
        <v>Apprenant 143 ou 143'</v>
      </c>
      <c r="AW155" s="55" t="str">
        <f aca="false">IF(AND('Choix pédagogiques'!$C$4&lt;&gt;"?",'Choix pédagogiques'!$C$5&lt;&gt;"?",AB155&lt;&gt;""),(AB155-'Choix pédagogiques'!$C$4)/('Choix pédagogiques'!$C$5-'Choix pédagogiques'!$C$4),"")</f>
        <v/>
      </c>
      <c r="AX155" s="55" t="str">
        <f aca="false">IF(AND('Choix pédagogiques'!$C$4&lt;&gt;"?",'Choix pédagogiques'!$C$5&lt;&gt;"?",AC155&lt;&gt;""),(AC155-'Choix pédagogiques'!$C$4)/('Choix pédagogiques'!$C$5-'Choix pédagogiques'!$C$4),"")</f>
        <v/>
      </c>
      <c r="AY155" s="55" t="str">
        <f aca="false">IF(AND('Choix pédagogiques'!$C$4&lt;&gt;"?",'Choix pédagogiques'!$C$5&lt;&gt;"?",AD155&lt;&gt;""),(AD155-'Choix pédagogiques'!$C$4)/('Choix pédagogiques'!$C$5-'Choix pédagogiques'!$C$4),"")</f>
        <v/>
      </c>
      <c r="AZ155" s="53" t="str">
        <f aca="false">IF($J155&lt;&gt;"",$J155,"")</f>
        <v/>
      </c>
      <c r="BA155" s="52" t="str">
        <f aca="false">IF($A155&lt;&gt;"",$A155,"")</f>
        <v>Apprenant 143</v>
      </c>
      <c r="BB155" s="55" t="str">
        <f aca="false">IF(AND($AR155&lt;&gt;"",$AS155&lt;&gt;""),$AS155-$AR155,"")</f>
        <v/>
      </c>
      <c r="BC155" s="55" t="str">
        <f aca="false">IF(AND($AR155&lt;&gt;"",$AT155&lt;&gt;""),$AT155-$AR155,"")</f>
        <v/>
      </c>
      <c r="BD155" s="55" t="str">
        <f aca="false">IF(AND($AS155&lt;&gt;"",$AT155&lt;&gt;""),$AT155-$AS155,"")</f>
        <v/>
      </c>
      <c r="BE155" s="53" t="str">
        <f aca="false">IF($E155&lt;&gt;"",$E155,"")</f>
        <v/>
      </c>
      <c r="BF155" s="52" t="str">
        <f aca="false">IF($F155&lt;&gt;"",$F155,"")</f>
        <v>Apprenant 143 ou 143'</v>
      </c>
      <c r="BG155" s="55" t="str">
        <f aca="false">IF(AND($AW155&lt;&gt;"",$AX155&lt;&gt;""),$AX155-$AW155,"")</f>
        <v/>
      </c>
      <c r="BH155" s="55" t="str">
        <f aca="false">IF(AND($AW155&lt;&gt;"",$AY155&lt;&gt;""),$AY155-$AW155,"")</f>
        <v/>
      </c>
      <c r="BI155" s="55" t="str">
        <f aca="false">IF(AND($AX155&lt;&gt;"",$AY155&lt;&gt;""),$AY155-$AX155,"")</f>
        <v/>
      </c>
      <c r="BJ155" s="53" t="str">
        <f aca="false">IF($J155&lt;&gt;"",$J155,"")</f>
        <v/>
      </c>
      <c r="BL155" s="52"/>
      <c r="BM155" s="52" t="str">
        <f aca="false">IF(OR(COUNT(B155:D1154)=0,AND('Choix pédagogiques'!$C$3&lt;&gt;1,'Choix pédagogiques'!$C$3&lt;&gt;2)),"",IF(AND(OR('Choix pédagogiques'!$C$3=1,'Choix pédagogiques'!$C$3=2),$B155&lt;&gt;"",$C155&lt;&gt;"",$D155&lt;&gt;""),1,0))</f>
        <v/>
      </c>
      <c r="BN155" s="52" t="str">
        <f aca="false">IF(OR(COUNT(G155:I1154)=0,AND('Choix pédagogiques'!$C$3&lt;&gt;1,'Choix pédagogiques'!$C$3&lt;&gt;2)),"",IF(AND(OR('Choix pédagogiques'!$C$3=1,'Choix pédagogiques'!$C$3=2),AND($G155&lt;&gt;"",$H155&lt;&gt;"",$I155&lt;&gt;"")),1,0))</f>
        <v/>
      </c>
      <c r="BO155" s="52" t="str">
        <f aca="false">IF(OR(COUNT(B155:D1154)=0,COUNT(G155:I1154)=0,'Choix pédagogiques'!C$3&lt;&gt;3),"",IF(AND('Choix pédagogiques'!$C$3=3,$B155&lt;&gt;"",$C155&lt;&gt;"",$D155&lt;&gt;"",$G155&lt;&gt;"",$H155&lt;&gt;"",$I155&lt;&gt;""),1,0))</f>
        <v/>
      </c>
      <c r="BR155" s="52" t="n">
        <v>650</v>
      </c>
      <c r="BS155" s="52" t="n">
        <v>1650</v>
      </c>
    </row>
    <row r="156" s="54" customFormat="true" ht="18" hidden="false" customHeight="true" outlineLevel="0" collapsed="false">
      <c r="A156" s="57" t="s">
        <v>243</v>
      </c>
      <c r="B156" s="51"/>
      <c r="C156" s="51"/>
      <c r="D156" s="51"/>
      <c r="E156" s="51"/>
      <c r="F156" s="57" t="s">
        <v>244</v>
      </c>
      <c r="G156" s="51"/>
      <c r="H156" s="51"/>
      <c r="I156" s="51"/>
      <c r="J156" s="51"/>
      <c r="K156" s="52" t="str">
        <f aca="false">IF($A156&lt;&gt;"",$A156,"")</f>
        <v>Apprenant 144</v>
      </c>
      <c r="L156" s="53" t="str">
        <f aca="false">IF(AND($B156&lt;&gt;"",$C156&lt;&gt;""),$C156-$B156,"")</f>
        <v/>
      </c>
      <c r="M156" s="53" t="str">
        <f aca="false">IF(AND($B156&lt;&gt;"",$D156&lt;&gt;""),$D156-$B156,"")</f>
        <v/>
      </c>
      <c r="N156" s="53" t="str">
        <f aca="false">IF(AND($C156&lt;&gt;"",$D156&lt;&gt;""),$D156-$C156,"")</f>
        <v/>
      </c>
      <c r="O156" s="53" t="str">
        <f aca="false">IF($E156&lt;&gt;"",$E156,"")</f>
        <v/>
      </c>
      <c r="P156" s="52" t="str">
        <f aca="false">IF($F156&lt;&gt;"",$F156,"")</f>
        <v>Apprenant 144 ou 144'</v>
      </c>
      <c r="Q156" s="53" t="str">
        <f aca="false">IF(AND($G156&lt;&gt;"",$H156&lt;&gt;""),$H156-$G156,"")</f>
        <v/>
      </c>
      <c r="R156" s="53" t="str">
        <f aca="false">IF(AND($G156&lt;&gt;"",$I156&lt;&gt;""),$I156-$G156,"")</f>
        <v/>
      </c>
      <c r="S156" s="53" t="str">
        <f aca="false">IF(AND($H156&lt;&gt;"",$I156&lt;&gt;""),$I156-$H156,"")</f>
        <v/>
      </c>
      <c r="T156" s="53" t="str">
        <f aca="false">IF($J156&lt;&gt;"",$J156,"")</f>
        <v/>
      </c>
      <c r="V156" s="52" t="str">
        <f aca="false">IF($A156&lt;&gt;"",$A156,"")</f>
        <v>Apprenant 144</v>
      </c>
      <c r="W156" s="53" t="str">
        <f aca="false">IF(AND(OR('Choix pédagogiques'!$C$3=1,'Choix pédagogiques'!$C$3=2),$BM156=1),B156,IF(AND('Choix pédagogiques'!$C$3=3,$BO156=1),B156,""))</f>
        <v/>
      </c>
      <c r="X156" s="53" t="str">
        <f aca="false">IF(AND(OR('Choix pédagogiques'!$C$3=1,'Choix pédagogiques'!$C$3=2),$BM156=1),C156,IF(AND('Choix pédagogiques'!$C$3=3,$BO156=1),C156,""))</f>
        <v/>
      </c>
      <c r="Y156" s="53" t="str">
        <f aca="false">IF(AND(OR('Choix pédagogiques'!$C$3=1,'Choix pédagogiques'!$C$3=2),$BM156=1),D156,IF(AND('Choix pédagogiques'!$C$3=3,$BO156=1),D156,""))</f>
        <v/>
      </c>
      <c r="Z156" s="53" t="str">
        <f aca="false">IF($E156&lt;&gt;"",$E156,"")</f>
        <v/>
      </c>
      <c r="AA156" s="52" t="str">
        <f aca="false">IF($F156&lt;&gt;"",$F156,"")</f>
        <v>Apprenant 144 ou 144'</v>
      </c>
      <c r="AB156" s="53" t="str">
        <f aca="false">IF(AND(OR('Choix pédagogiques'!$C$3=1,'Choix pédagogiques'!$C$3=2),$BN156=1),G156,IF(AND('Choix pédagogiques'!$C$3=3,$BO156=1),G156,""))</f>
        <v/>
      </c>
      <c r="AC156" s="53" t="str">
        <f aca="false">IF(AND(OR('Choix pédagogiques'!$C$3=1,'Choix pédagogiques'!$C$3=2),$BN156=1),H156,IF(AND('Choix pédagogiques'!$C$3=3,$BO156=1),H156,""))</f>
        <v/>
      </c>
      <c r="AD156" s="53" t="str">
        <f aca="false">IF(AND(OR('Choix pédagogiques'!$C$3=1,'Choix pédagogiques'!$C$3=2),$BN156=1),I156,IF(AND('Choix pédagogiques'!$C$3=3,$BO156=1),I156,""))</f>
        <v/>
      </c>
      <c r="AE156" s="53" t="str">
        <f aca="false">IF($J156&lt;&gt;"",$J156,"")</f>
        <v/>
      </c>
      <c r="AF156" s="52" t="str">
        <f aca="false">IF($A156&lt;&gt;"",$A156,"")</f>
        <v>Apprenant 144</v>
      </c>
      <c r="AG156" s="53" t="str">
        <f aca="false">IF(AND($W156&lt;&gt;"",$X156&lt;&gt;""),$X156-$W156,"")</f>
        <v/>
      </c>
      <c r="AH156" s="53" t="str">
        <f aca="false">IF(AND($W156&lt;&gt;"",$Y156&lt;&gt;""),$Y156-$W156,"")</f>
        <v/>
      </c>
      <c r="AI156" s="53" t="str">
        <f aca="false">IF(AND($X156&lt;&gt;"",$Y156&lt;&gt;""),$Y156-$X156,"")</f>
        <v/>
      </c>
      <c r="AJ156" s="53" t="str">
        <f aca="false">IF($E156&lt;&gt;"",$E156,"")</f>
        <v/>
      </c>
      <c r="AK156" s="52" t="str">
        <f aca="false">IF($F156&lt;&gt;"",$F156,"")</f>
        <v>Apprenant 144 ou 144'</v>
      </c>
      <c r="AL156" s="53" t="str">
        <f aca="false">IF(AND($AB156&lt;&gt;"",$AC156&lt;&gt;""),$AC156-$AB156,"")</f>
        <v/>
      </c>
      <c r="AM156" s="53" t="str">
        <f aca="false">IF(AND($AB156&lt;&gt;"",$AD156&lt;&gt;""),$AD156-$AB156,"")</f>
        <v/>
      </c>
      <c r="AN156" s="53" t="str">
        <f aca="false">IF(AND($AC156&lt;&gt;"",$AD156&lt;&gt;""),$AD156-$AC156,"")</f>
        <v/>
      </c>
      <c r="AO156" s="53" t="str">
        <f aca="false">IF($J156&lt;&gt;"",$J156,"")</f>
        <v/>
      </c>
      <c r="AQ156" s="52" t="str">
        <f aca="false">IF($A156&lt;&gt;"",$A156,"")</f>
        <v>Apprenant 144</v>
      </c>
      <c r="AR156" s="55" t="str">
        <f aca="false">IF(AND('Choix pédagogiques'!$C$4&lt;&gt;"?",'Choix pédagogiques'!$C$5&lt;&gt;"?",W156&lt;&gt;""),(W156-'Choix pédagogiques'!$C$4)/('Choix pédagogiques'!$C$5-'Choix pédagogiques'!$C$4),"")</f>
        <v/>
      </c>
      <c r="AS156" s="55" t="str">
        <f aca="false">IF(AND('Choix pédagogiques'!$C$4&lt;&gt;"?",'Choix pédagogiques'!$C$5&lt;&gt;"?",X156&lt;&gt;""),(X156-'Choix pédagogiques'!$C$4)/('Choix pédagogiques'!$C$5-'Choix pédagogiques'!$C$4),"")</f>
        <v/>
      </c>
      <c r="AT156" s="55" t="str">
        <f aca="false">IF(AND('Choix pédagogiques'!$C$4&lt;&gt;"?",'Choix pédagogiques'!$C$5&lt;&gt;"?",Y156&lt;&gt;""),(Y156-'Choix pédagogiques'!$C$4)/('Choix pédagogiques'!$C$5-'Choix pédagogiques'!$C$4),"")</f>
        <v/>
      </c>
      <c r="AU156" s="53" t="str">
        <f aca="false">IF($E156&lt;&gt;"",$E156,"")</f>
        <v/>
      </c>
      <c r="AV156" s="52" t="str">
        <f aca="false">IF($F156&lt;&gt;"",$F156,"")</f>
        <v>Apprenant 144 ou 144'</v>
      </c>
      <c r="AW156" s="55" t="str">
        <f aca="false">IF(AND('Choix pédagogiques'!$C$4&lt;&gt;"?",'Choix pédagogiques'!$C$5&lt;&gt;"?",AB156&lt;&gt;""),(AB156-'Choix pédagogiques'!$C$4)/('Choix pédagogiques'!$C$5-'Choix pédagogiques'!$C$4),"")</f>
        <v/>
      </c>
      <c r="AX156" s="55" t="str">
        <f aca="false">IF(AND('Choix pédagogiques'!$C$4&lt;&gt;"?",'Choix pédagogiques'!$C$5&lt;&gt;"?",AC156&lt;&gt;""),(AC156-'Choix pédagogiques'!$C$4)/('Choix pédagogiques'!$C$5-'Choix pédagogiques'!$C$4),"")</f>
        <v/>
      </c>
      <c r="AY156" s="55" t="str">
        <f aca="false">IF(AND('Choix pédagogiques'!$C$4&lt;&gt;"?",'Choix pédagogiques'!$C$5&lt;&gt;"?",AD156&lt;&gt;""),(AD156-'Choix pédagogiques'!$C$4)/('Choix pédagogiques'!$C$5-'Choix pédagogiques'!$C$4),"")</f>
        <v/>
      </c>
      <c r="AZ156" s="53" t="str">
        <f aca="false">IF($J156&lt;&gt;"",$J156,"")</f>
        <v/>
      </c>
      <c r="BA156" s="52" t="str">
        <f aca="false">IF($A156&lt;&gt;"",$A156,"")</f>
        <v>Apprenant 144</v>
      </c>
      <c r="BB156" s="55" t="str">
        <f aca="false">IF(AND($AR156&lt;&gt;"",$AS156&lt;&gt;""),$AS156-$AR156,"")</f>
        <v/>
      </c>
      <c r="BC156" s="55" t="str">
        <f aca="false">IF(AND($AR156&lt;&gt;"",$AT156&lt;&gt;""),$AT156-$AR156,"")</f>
        <v/>
      </c>
      <c r="BD156" s="55" t="str">
        <f aca="false">IF(AND($AS156&lt;&gt;"",$AT156&lt;&gt;""),$AT156-$AS156,"")</f>
        <v/>
      </c>
      <c r="BE156" s="53" t="str">
        <f aca="false">IF($E156&lt;&gt;"",$E156,"")</f>
        <v/>
      </c>
      <c r="BF156" s="52" t="str">
        <f aca="false">IF($F156&lt;&gt;"",$F156,"")</f>
        <v>Apprenant 144 ou 144'</v>
      </c>
      <c r="BG156" s="55" t="str">
        <f aca="false">IF(AND($AW156&lt;&gt;"",$AX156&lt;&gt;""),$AX156-$AW156,"")</f>
        <v/>
      </c>
      <c r="BH156" s="55" t="str">
        <f aca="false">IF(AND($AW156&lt;&gt;"",$AY156&lt;&gt;""),$AY156-$AW156,"")</f>
        <v/>
      </c>
      <c r="BI156" s="55" t="str">
        <f aca="false">IF(AND($AX156&lt;&gt;"",$AY156&lt;&gt;""),$AY156-$AX156,"")</f>
        <v/>
      </c>
      <c r="BJ156" s="53" t="str">
        <f aca="false">IF($J156&lt;&gt;"",$J156,"")</f>
        <v/>
      </c>
      <c r="BL156" s="52"/>
      <c r="BM156" s="52" t="str">
        <f aca="false">IF(OR(COUNT(B156:D1155)=0,AND('Choix pédagogiques'!$C$3&lt;&gt;1,'Choix pédagogiques'!$C$3&lt;&gt;2)),"",IF(AND(OR('Choix pédagogiques'!$C$3=1,'Choix pédagogiques'!$C$3=2),$B156&lt;&gt;"",$C156&lt;&gt;"",$D156&lt;&gt;""),1,0))</f>
        <v/>
      </c>
      <c r="BN156" s="52" t="str">
        <f aca="false">IF(OR(COUNT(G156:I1155)=0,AND('Choix pédagogiques'!$C$3&lt;&gt;1,'Choix pédagogiques'!$C$3&lt;&gt;2)),"",IF(AND(OR('Choix pédagogiques'!$C$3=1,'Choix pédagogiques'!$C$3=2),AND($G156&lt;&gt;"",$H156&lt;&gt;"",$I156&lt;&gt;"")),1,0))</f>
        <v/>
      </c>
      <c r="BO156" s="52" t="str">
        <f aca="false">IF(OR(COUNT(B156:D1155)=0,COUNT(G156:I1155)=0,'Choix pédagogiques'!C$3&lt;&gt;3),"",IF(AND('Choix pédagogiques'!$C$3=3,$B156&lt;&gt;"",$C156&lt;&gt;"",$D156&lt;&gt;"",$G156&lt;&gt;"",$H156&lt;&gt;"",$I156&lt;&gt;""),1,0))</f>
        <v/>
      </c>
      <c r="BR156" s="52" t="n">
        <v>315</v>
      </c>
      <c r="BS156" s="52" t="n">
        <v>1500</v>
      </c>
    </row>
    <row r="157" s="54" customFormat="true" ht="18" hidden="false" customHeight="true" outlineLevel="0" collapsed="false">
      <c r="A157" s="57" t="s">
        <v>245</v>
      </c>
      <c r="B157" s="51"/>
      <c r="C157" s="51"/>
      <c r="D157" s="51"/>
      <c r="E157" s="51"/>
      <c r="F157" s="57" t="s">
        <v>246</v>
      </c>
      <c r="G157" s="51"/>
      <c r="H157" s="51"/>
      <c r="I157" s="51"/>
      <c r="J157" s="51"/>
      <c r="K157" s="52" t="str">
        <f aca="false">IF($A157&lt;&gt;"",$A157,"")</f>
        <v>Apprenant 145</v>
      </c>
      <c r="L157" s="53" t="str">
        <f aca="false">IF(AND($B157&lt;&gt;"",$C157&lt;&gt;""),$C157-$B157,"")</f>
        <v/>
      </c>
      <c r="M157" s="53" t="str">
        <f aca="false">IF(AND($B157&lt;&gt;"",$D157&lt;&gt;""),$D157-$B157,"")</f>
        <v/>
      </c>
      <c r="N157" s="53" t="str">
        <f aca="false">IF(AND($C157&lt;&gt;"",$D157&lt;&gt;""),$D157-$C157,"")</f>
        <v/>
      </c>
      <c r="O157" s="53" t="str">
        <f aca="false">IF($E157&lt;&gt;"",$E157,"")</f>
        <v/>
      </c>
      <c r="P157" s="52" t="str">
        <f aca="false">IF($F157&lt;&gt;"",$F157,"")</f>
        <v>Apprenant 145 ou 145'</v>
      </c>
      <c r="Q157" s="53" t="str">
        <f aca="false">IF(AND($G157&lt;&gt;"",$H157&lt;&gt;""),$H157-$G157,"")</f>
        <v/>
      </c>
      <c r="R157" s="53" t="str">
        <f aca="false">IF(AND($G157&lt;&gt;"",$I157&lt;&gt;""),$I157-$G157,"")</f>
        <v/>
      </c>
      <c r="S157" s="53" t="str">
        <f aca="false">IF(AND($H157&lt;&gt;"",$I157&lt;&gt;""),$I157-$H157,"")</f>
        <v/>
      </c>
      <c r="T157" s="53" t="str">
        <f aca="false">IF($J157&lt;&gt;"",$J157,"")</f>
        <v/>
      </c>
      <c r="V157" s="52" t="str">
        <f aca="false">IF($A157&lt;&gt;"",$A157,"")</f>
        <v>Apprenant 145</v>
      </c>
      <c r="W157" s="53" t="str">
        <f aca="false">IF(AND(OR('Choix pédagogiques'!$C$3=1,'Choix pédagogiques'!$C$3=2),$BM157=1),B157,IF(AND('Choix pédagogiques'!$C$3=3,$BO157=1),B157,""))</f>
        <v/>
      </c>
      <c r="X157" s="53" t="str">
        <f aca="false">IF(AND(OR('Choix pédagogiques'!$C$3=1,'Choix pédagogiques'!$C$3=2),$BM157=1),C157,IF(AND('Choix pédagogiques'!$C$3=3,$BO157=1),C157,""))</f>
        <v/>
      </c>
      <c r="Y157" s="53" t="str">
        <f aca="false">IF(AND(OR('Choix pédagogiques'!$C$3=1,'Choix pédagogiques'!$C$3=2),$BM157=1),D157,IF(AND('Choix pédagogiques'!$C$3=3,$BO157=1),D157,""))</f>
        <v/>
      </c>
      <c r="Z157" s="53" t="str">
        <f aca="false">IF($E157&lt;&gt;"",$E157,"")</f>
        <v/>
      </c>
      <c r="AA157" s="52" t="str">
        <f aca="false">IF($F157&lt;&gt;"",$F157,"")</f>
        <v>Apprenant 145 ou 145'</v>
      </c>
      <c r="AB157" s="53" t="str">
        <f aca="false">IF(AND(OR('Choix pédagogiques'!$C$3=1,'Choix pédagogiques'!$C$3=2),$BN157=1),G157,IF(AND('Choix pédagogiques'!$C$3=3,$BO157=1),G157,""))</f>
        <v/>
      </c>
      <c r="AC157" s="53" t="str">
        <f aca="false">IF(AND(OR('Choix pédagogiques'!$C$3=1,'Choix pédagogiques'!$C$3=2),$BN157=1),H157,IF(AND('Choix pédagogiques'!$C$3=3,$BO157=1),H157,""))</f>
        <v/>
      </c>
      <c r="AD157" s="53" t="str">
        <f aca="false">IF(AND(OR('Choix pédagogiques'!$C$3=1,'Choix pédagogiques'!$C$3=2),$BN157=1),I157,IF(AND('Choix pédagogiques'!$C$3=3,$BO157=1),I157,""))</f>
        <v/>
      </c>
      <c r="AE157" s="53" t="str">
        <f aca="false">IF($J157&lt;&gt;"",$J157,"")</f>
        <v/>
      </c>
      <c r="AF157" s="52" t="str">
        <f aca="false">IF($A157&lt;&gt;"",$A157,"")</f>
        <v>Apprenant 145</v>
      </c>
      <c r="AG157" s="53" t="str">
        <f aca="false">IF(AND($W157&lt;&gt;"",$X157&lt;&gt;""),$X157-$W157,"")</f>
        <v/>
      </c>
      <c r="AH157" s="53" t="str">
        <f aca="false">IF(AND($W157&lt;&gt;"",$Y157&lt;&gt;""),$Y157-$W157,"")</f>
        <v/>
      </c>
      <c r="AI157" s="53" t="str">
        <f aca="false">IF(AND($X157&lt;&gt;"",$Y157&lt;&gt;""),$Y157-$X157,"")</f>
        <v/>
      </c>
      <c r="AJ157" s="53" t="str">
        <f aca="false">IF($E157&lt;&gt;"",$E157,"")</f>
        <v/>
      </c>
      <c r="AK157" s="52" t="str">
        <f aca="false">IF($F157&lt;&gt;"",$F157,"")</f>
        <v>Apprenant 145 ou 145'</v>
      </c>
      <c r="AL157" s="53" t="str">
        <f aca="false">IF(AND($AB157&lt;&gt;"",$AC157&lt;&gt;""),$AC157-$AB157,"")</f>
        <v/>
      </c>
      <c r="AM157" s="53" t="str">
        <f aca="false">IF(AND($AB157&lt;&gt;"",$AD157&lt;&gt;""),$AD157-$AB157,"")</f>
        <v/>
      </c>
      <c r="AN157" s="53" t="str">
        <f aca="false">IF(AND($AC157&lt;&gt;"",$AD157&lt;&gt;""),$AD157-$AC157,"")</f>
        <v/>
      </c>
      <c r="AO157" s="53" t="str">
        <f aca="false">IF($J157&lt;&gt;"",$J157,"")</f>
        <v/>
      </c>
      <c r="AQ157" s="52" t="str">
        <f aca="false">IF($A157&lt;&gt;"",$A157,"")</f>
        <v>Apprenant 145</v>
      </c>
      <c r="AR157" s="55" t="str">
        <f aca="false">IF(AND('Choix pédagogiques'!$C$4&lt;&gt;"?",'Choix pédagogiques'!$C$5&lt;&gt;"?",W157&lt;&gt;""),(W157-'Choix pédagogiques'!$C$4)/('Choix pédagogiques'!$C$5-'Choix pédagogiques'!$C$4),"")</f>
        <v/>
      </c>
      <c r="AS157" s="55" t="str">
        <f aca="false">IF(AND('Choix pédagogiques'!$C$4&lt;&gt;"?",'Choix pédagogiques'!$C$5&lt;&gt;"?",X157&lt;&gt;""),(X157-'Choix pédagogiques'!$C$4)/('Choix pédagogiques'!$C$5-'Choix pédagogiques'!$C$4),"")</f>
        <v/>
      </c>
      <c r="AT157" s="55" t="str">
        <f aca="false">IF(AND('Choix pédagogiques'!$C$4&lt;&gt;"?",'Choix pédagogiques'!$C$5&lt;&gt;"?",Y157&lt;&gt;""),(Y157-'Choix pédagogiques'!$C$4)/('Choix pédagogiques'!$C$5-'Choix pédagogiques'!$C$4),"")</f>
        <v/>
      </c>
      <c r="AU157" s="53" t="str">
        <f aca="false">IF($E157&lt;&gt;"",$E157,"")</f>
        <v/>
      </c>
      <c r="AV157" s="52" t="str">
        <f aca="false">IF($F157&lt;&gt;"",$F157,"")</f>
        <v>Apprenant 145 ou 145'</v>
      </c>
      <c r="AW157" s="55" t="str">
        <f aca="false">IF(AND('Choix pédagogiques'!$C$4&lt;&gt;"?",'Choix pédagogiques'!$C$5&lt;&gt;"?",AB157&lt;&gt;""),(AB157-'Choix pédagogiques'!$C$4)/('Choix pédagogiques'!$C$5-'Choix pédagogiques'!$C$4),"")</f>
        <v/>
      </c>
      <c r="AX157" s="55" t="str">
        <f aca="false">IF(AND('Choix pédagogiques'!$C$4&lt;&gt;"?",'Choix pédagogiques'!$C$5&lt;&gt;"?",AC157&lt;&gt;""),(AC157-'Choix pédagogiques'!$C$4)/('Choix pédagogiques'!$C$5-'Choix pédagogiques'!$C$4),"")</f>
        <v/>
      </c>
      <c r="AY157" s="55" t="str">
        <f aca="false">IF(AND('Choix pédagogiques'!$C$4&lt;&gt;"?",'Choix pédagogiques'!$C$5&lt;&gt;"?",AD157&lt;&gt;""),(AD157-'Choix pédagogiques'!$C$4)/('Choix pédagogiques'!$C$5-'Choix pédagogiques'!$C$4),"")</f>
        <v/>
      </c>
      <c r="AZ157" s="53" t="str">
        <f aca="false">IF($J157&lt;&gt;"",$J157,"")</f>
        <v/>
      </c>
      <c r="BA157" s="52" t="str">
        <f aca="false">IF($A157&lt;&gt;"",$A157,"")</f>
        <v>Apprenant 145</v>
      </c>
      <c r="BB157" s="55" t="str">
        <f aca="false">IF(AND($AR157&lt;&gt;"",$AS157&lt;&gt;""),$AS157-$AR157,"")</f>
        <v/>
      </c>
      <c r="BC157" s="55" t="str">
        <f aca="false">IF(AND($AR157&lt;&gt;"",$AT157&lt;&gt;""),$AT157-$AR157,"")</f>
        <v/>
      </c>
      <c r="BD157" s="55" t="str">
        <f aca="false">IF(AND($AS157&lt;&gt;"",$AT157&lt;&gt;""),$AT157-$AS157,"")</f>
        <v/>
      </c>
      <c r="BE157" s="53" t="str">
        <f aca="false">IF($E157&lt;&gt;"",$E157,"")</f>
        <v/>
      </c>
      <c r="BF157" s="52" t="str">
        <f aca="false">IF($F157&lt;&gt;"",$F157,"")</f>
        <v>Apprenant 145 ou 145'</v>
      </c>
      <c r="BG157" s="55" t="str">
        <f aca="false">IF(AND($AW157&lt;&gt;"",$AX157&lt;&gt;""),$AX157-$AW157,"")</f>
        <v/>
      </c>
      <c r="BH157" s="55" t="str">
        <f aca="false">IF(AND($AW157&lt;&gt;"",$AY157&lt;&gt;""),$AY157-$AW157,"")</f>
        <v/>
      </c>
      <c r="BI157" s="55" t="str">
        <f aca="false">IF(AND($AX157&lt;&gt;"",$AY157&lt;&gt;""),$AY157-$AX157,"")</f>
        <v/>
      </c>
      <c r="BJ157" s="53" t="str">
        <f aca="false">IF($J157&lt;&gt;"",$J157,"")</f>
        <v/>
      </c>
      <c r="BL157" s="52"/>
      <c r="BM157" s="52" t="str">
        <f aca="false">IF(OR(COUNT(B157:D1156)=0,AND('Choix pédagogiques'!$C$3&lt;&gt;1,'Choix pédagogiques'!$C$3&lt;&gt;2)),"",IF(AND(OR('Choix pédagogiques'!$C$3=1,'Choix pédagogiques'!$C$3=2),$B157&lt;&gt;"",$C157&lt;&gt;"",$D157&lt;&gt;""),1,0))</f>
        <v/>
      </c>
      <c r="BN157" s="52" t="str">
        <f aca="false">IF(OR(COUNT(G157:I1156)=0,AND('Choix pédagogiques'!$C$3&lt;&gt;1,'Choix pédagogiques'!$C$3&lt;&gt;2)),"",IF(AND(OR('Choix pédagogiques'!$C$3=1,'Choix pédagogiques'!$C$3=2),AND($G157&lt;&gt;"",$H157&lt;&gt;"",$I157&lt;&gt;"")),1,0))</f>
        <v/>
      </c>
      <c r="BO157" s="52" t="str">
        <f aca="false">IF(OR(COUNT(B157:D1156)=0,COUNT(G157:I1156)=0,'Choix pédagogiques'!C$3&lt;&gt;3),"",IF(AND('Choix pédagogiques'!$C$3=3,$B157&lt;&gt;"",$C157&lt;&gt;"",$D157&lt;&gt;"",$G157&lt;&gt;"",$H157&lt;&gt;"",$I157&lt;&gt;""),1,0))</f>
        <v/>
      </c>
      <c r="BR157" s="52" t="n">
        <v>308</v>
      </c>
      <c r="BS157" s="52" t="n">
        <v>1204</v>
      </c>
    </row>
    <row r="158" s="54" customFormat="true" ht="18" hidden="false" customHeight="true" outlineLevel="0" collapsed="false">
      <c r="A158" s="57" t="s">
        <v>247</v>
      </c>
      <c r="B158" s="51"/>
      <c r="C158" s="51"/>
      <c r="D158" s="51"/>
      <c r="E158" s="51"/>
      <c r="F158" s="57" t="s">
        <v>248</v>
      </c>
      <c r="G158" s="51"/>
      <c r="H158" s="51"/>
      <c r="I158" s="51"/>
      <c r="J158" s="51"/>
      <c r="K158" s="52" t="str">
        <f aca="false">IF($A158&lt;&gt;"",$A158,"")</f>
        <v>Apprenant 146</v>
      </c>
      <c r="L158" s="53" t="str">
        <f aca="false">IF(AND($B158&lt;&gt;"",$C158&lt;&gt;""),$C158-$B158,"")</f>
        <v/>
      </c>
      <c r="M158" s="53" t="str">
        <f aca="false">IF(AND($B158&lt;&gt;"",$D158&lt;&gt;""),$D158-$B158,"")</f>
        <v/>
      </c>
      <c r="N158" s="53" t="str">
        <f aca="false">IF(AND($C158&lt;&gt;"",$D158&lt;&gt;""),$D158-$C158,"")</f>
        <v/>
      </c>
      <c r="O158" s="53" t="str">
        <f aca="false">IF($E158&lt;&gt;"",$E158,"")</f>
        <v/>
      </c>
      <c r="P158" s="52" t="str">
        <f aca="false">IF($F158&lt;&gt;"",$F158,"")</f>
        <v>Apprenant 146 ou 146'</v>
      </c>
      <c r="Q158" s="53" t="str">
        <f aca="false">IF(AND($G158&lt;&gt;"",$H158&lt;&gt;""),$H158-$G158,"")</f>
        <v/>
      </c>
      <c r="R158" s="53" t="str">
        <f aca="false">IF(AND($G158&lt;&gt;"",$I158&lt;&gt;""),$I158-$G158,"")</f>
        <v/>
      </c>
      <c r="S158" s="53" t="str">
        <f aca="false">IF(AND($H158&lt;&gt;"",$I158&lt;&gt;""),$I158-$H158,"")</f>
        <v/>
      </c>
      <c r="T158" s="53" t="str">
        <f aca="false">IF($J158&lt;&gt;"",$J158,"")</f>
        <v/>
      </c>
      <c r="V158" s="52" t="str">
        <f aca="false">IF($A158&lt;&gt;"",$A158,"")</f>
        <v>Apprenant 146</v>
      </c>
      <c r="W158" s="53" t="str">
        <f aca="false">IF(AND(OR('Choix pédagogiques'!$C$3=1,'Choix pédagogiques'!$C$3=2),$BM158=1),B158,IF(AND('Choix pédagogiques'!$C$3=3,$BO158=1),B158,""))</f>
        <v/>
      </c>
      <c r="X158" s="53" t="str">
        <f aca="false">IF(AND(OR('Choix pédagogiques'!$C$3=1,'Choix pédagogiques'!$C$3=2),$BM158=1),C158,IF(AND('Choix pédagogiques'!$C$3=3,$BO158=1),C158,""))</f>
        <v/>
      </c>
      <c r="Y158" s="53" t="str">
        <f aca="false">IF(AND(OR('Choix pédagogiques'!$C$3=1,'Choix pédagogiques'!$C$3=2),$BM158=1),D158,IF(AND('Choix pédagogiques'!$C$3=3,$BO158=1),D158,""))</f>
        <v/>
      </c>
      <c r="Z158" s="53" t="str">
        <f aca="false">IF($E158&lt;&gt;"",$E158,"")</f>
        <v/>
      </c>
      <c r="AA158" s="52" t="str">
        <f aca="false">IF($F158&lt;&gt;"",$F158,"")</f>
        <v>Apprenant 146 ou 146'</v>
      </c>
      <c r="AB158" s="53" t="str">
        <f aca="false">IF(AND(OR('Choix pédagogiques'!$C$3=1,'Choix pédagogiques'!$C$3=2),$BN158=1),G158,IF(AND('Choix pédagogiques'!$C$3=3,$BO158=1),G158,""))</f>
        <v/>
      </c>
      <c r="AC158" s="53" t="str">
        <f aca="false">IF(AND(OR('Choix pédagogiques'!$C$3=1,'Choix pédagogiques'!$C$3=2),$BN158=1),H158,IF(AND('Choix pédagogiques'!$C$3=3,$BO158=1),H158,""))</f>
        <v/>
      </c>
      <c r="AD158" s="53" t="str">
        <f aca="false">IF(AND(OR('Choix pédagogiques'!$C$3=1,'Choix pédagogiques'!$C$3=2),$BN158=1),I158,IF(AND('Choix pédagogiques'!$C$3=3,$BO158=1),I158,""))</f>
        <v/>
      </c>
      <c r="AE158" s="53" t="str">
        <f aca="false">IF($J158&lt;&gt;"",$J158,"")</f>
        <v/>
      </c>
      <c r="AF158" s="52" t="str">
        <f aca="false">IF($A158&lt;&gt;"",$A158,"")</f>
        <v>Apprenant 146</v>
      </c>
      <c r="AG158" s="53" t="str">
        <f aca="false">IF(AND($W158&lt;&gt;"",$X158&lt;&gt;""),$X158-$W158,"")</f>
        <v/>
      </c>
      <c r="AH158" s="53" t="str">
        <f aca="false">IF(AND($W158&lt;&gt;"",$Y158&lt;&gt;""),$Y158-$W158,"")</f>
        <v/>
      </c>
      <c r="AI158" s="53" t="str">
        <f aca="false">IF(AND($X158&lt;&gt;"",$Y158&lt;&gt;""),$Y158-$X158,"")</f>
        <v/>
      </c>
      <c r="AJ158" s="53" t="str">
        <f aca="false">IF($E158&lt;&gt;"",$E158,"")</f>
        <v/>
      </c>
      <c r="AK158" s="52" t="str">
        <f aca="false">IF($F158&lt;&gt;"",$F158,"")</f>
        <v>Apprenant 146 ou 146'</v>
      </c>
      <c r="AL158" s="53" t="str">
        <f aca="false">IF(AND($AB158&lt;&gt;"",$AC158&lt;&gt;""),$AC158-$AB158,"")</f>
        <v/>
      </c>
      <c r="AM158" s="53" t="str">
        <f aca="false">IF(AND($AB158&lt;&gt;"",$AD158&lt;&gt;""),$AD158-$AB158,"")</f>
        <v/>
      </c>
      <c r="AN158" s="53" t="str">
        <f aca="false">IF(AND($AC158&lt;&gt;"",$AD158&lt;&gt;""),$AD158-$AC158,"")</f>
        <v/>
      </c>
      <c r="AO158" s="53" t="str">
        <f aca="false">IF($J158&lt;&gt;"",$J158,"")</f>
        <v/>
      </c>
      <c r="AQ158" s="52" t="str">
        <f aca="false">IF($A158&lt;&gt;"",$A158,"")</f>
        <v>Apprenant 146</v>
      </c>
      <c r="AR158" s="55" t="str">
        <f aca="false">IF(AND('Choix pédagogiques'!$C$4&lt;&gt;"?",'Choix pédagogiques'!$C$5&lt;&gt;"?",W158&lt;&gt;""),(W158-'Choix pédagogiques'!$C$4)/('Choix pédagogiques'!$C$5-'Choix pédagogiques'!$C$4),"")</f>
        <v/>
      </c>
      <c r="AS158" s="55" t="str">
        <f aca="false">IF(AND('Choix pédagogiques'!$C$4&lt;&gt;"?",'Choix pédagogiques'!$C$5&lt;&gt;"?",X158&lt;&gt;""),(X158-'Choix pédagogiques'!$C$4)/('Choix pédagogiques'!$C$5-'Choix pédagogiques'!$C$4),"")</f>
        <v/>
      </c>
      <c r="AT158" s="55" t="str">
        <f aca="false">IF(AND('Choix pédagogiques'!$C$4&lt;&gt;"?",'Choix pédagogiques'!$C$5&lt;&gt;"?",Y158&lt;&gt;""),(Y158-'Choix pédagogiques'!$C$4)/('Choix pédagogiques'!$C$5-'Choix pédagogiques'!$C$4),"")</f>
        <v/>
      </c>
      <c r="AU158" s="53" t="str">
        <f aca="false">IF($E158&lt;&gt;"",$E158,"")</f>
        <v/>
      </c>
      <c r="AV158" s="52" t="str">
        <f aca="false">IF($F158&lt;&gt;"",$F158,"")</f>
        <v>Apprenant 146 ou 146'</v>
      </c>
      <c r="AW158" s="55" t="str">
        <f aca="false">IF(AND('Choix pédagogiques'!$C$4&lt;&gt;"?",'Choix pédagogiques'!$C$5&lt;&gt;"?",AB158&lt;&gt;""),(AB158-'Choix pédagogiques'!$C$4)/('Choix pédagogiques'!$C$5-'Choix pédagogiques'!$C$4),"")</f>
        <v/>
      </c>
      <c r="AX158" s="55" t="str">
        <f aca="false">IF(AND('Choix pédagogiques'!$C$4&lt;&gt;"?",'Choix pédagogiques'!$C$5&lt;&gt;"?",AC158&lt;&gt;""),(AC158-'Choix pédagogiques'!$C$4)/('Choix pédagogiques'!$C$5-'Choix pédagogiques'!$C$4),"")</f>
        <v/>
      </c>
      <c r="AY158" s="55" t="str">
        <f aca="false">IF(AND('Choix pédagogiques'!$C$4&lt;&gt;"?",'Choix pédagogiques'!$C$5&lt;&gt;"?",AD158&lt;&gt;""),(AD158-'Choix pédagogiques'!$C$4)/('Choix pédagogiques'!$C$5-'Choix pédagogiques'!$C$4),"")</f>
        <v/>
      </c>
      <c r="AZ158" s="53" t="str">
        <f aca="false">IF($J158&lt;&gt;"",$J158,"")</f>
        <v/>
      </c>
      <c r="BA158" s="52" t="str">
        <f aca="false">IF($A158&lt;&gt;"",$A158,"")</f>
        <v>Apprenant 146</v>
      </c>
      <c r="BB158" s="55" t="str">
        <f aca="false">IF(AND($AR158&lt;&gt;"",$AS158&lt;&gt;""),$AS158-$AR158,"")</f>
        <v/>
      </c>
      <c r="BC158" s="55" t="str">
        <f aca="false">IF(AND($AR158&lt;&gt;"",$AT158&lt;&gt;""),$AT158-$AR158,"")</f>
        <v/>
      </c>
      <c r="BD158" s="55" t="str">
        <f aca="false">IF(AND($AS158&lt;&gt;"",$AT158&lt;&gt;""),$AT158-$AS158,"")</f>
        <v/>
      </c>
      <c r="BE158" s="53" t="str">
        <f aca="false">IF($E158&lt;&gt;"",$E158,"")</f>
        <v/>
      </c>
      <c r="BF158" s="52" t="str">
        <f aca="false">IF($F158&lt;&gt;"",$F158,"")</f>
        <v>Apprenant 146 ou 146'</v>
      </c>
      <c r="BG158" s="55" t="str">
        <f aca="false">IF(AND($AW158&lt;&gt;"",$AX158&lt;&gt;""),$AX158-$AW158,"")</f>
        <v/>
      </c>
      <c r="BH158" s="55" t="str">
        <f aca="false">IF(AND($AW158&lt;&gt;"",$AY158&lt;&gt;""),$AY158-$AW158,"")</f>
        <v/>
      </c>
      <c r="BI158" s="55" t="str">
        <f aca="false">IF(AND($AX158&lt;&gt;"",$AY158&lt;&gt;""),$AY158-$AX158,"")</f>
        <v/>
      </c>
      <c r="BJ158" s="53" t="str">
        <f aca="false">IF($J158&lt;&gt;"",$J158,"")</f>
        <v/>
      </c>
      <c r="BL158" s="52"/>
      <c r="BM158" s="52" t="str">
        <f aca="false">IF(OR(COUNT(B158:D1157)=0,AND('Choix pédagogiques'!$C$3&lt;&gt;1,'Choix pédagogiques'!$C$3&lt;&gt;2)),"",IF(AND(OR('Choix pédagogiques'!$C$3=1,'Choix pédagogiques'!$C$3=2),$B158&lt;&gt;"",$C158&lt;&gt;"",$D158&lt;&gt;""),1,0))</f>
        <v/>
      </c>
      <c r="BN158" s="52" t="str">
        <f aca="false">IF(OR(COUNT(G158:I1157)=0,AND('Choix pédagogiques'!$C$3&lt;&gt;1,'Choix pédagogiques'!$C$3&lt;&gt;2)),"",IF(AND(OR('Choix pédagogiques'!$C$3=1,'Choix pédagogiques'!$C$3=2),AND($G158&lt;&gt;"",$H158&lt;&gt;"",$I158&lt;&gt;"")),1,0))</f>
        <v/>
      </c>
      <c r="BO158" s="52" t="str">
        <f aca="false">IF(OR(COUNT(B158:D1157)=0,COUNT(G158:I1157)=0,'Choix pédagogiques'!C$3&lt;&gt;3),"",IF(AND('Choix pédagogiques'!$C$3=3,$B158&lt;&gt;"",$C158&lt;&gt;"",$D158&lt;&gt;"",$G158&lt;&gt;"",$H158&lt;&gt;"",$I158&lt;&gt;""),1,0))</f>
        <v/>
      </c>
      <c r="BR158" s="52" t="n">
        <v>585</v>
      </c>
      <c r="BS158" s="52" t="n">
        <v>1626</v>
      </c>
    </row>
    <row r="159" s="54" customFormat="true" ht="18" hidden="false" customHeight="true" outlineLevel="0" collapsed="false">
      <c r="A159" s="57" t="s">
        <v>249</v>
      </c>
      <c r="B159" s="51"/>
      <c r="C159" s="51"/>
      <c r="D159" s="51"/>
      <c r="E159" s="51"/>
      <c r="F159" s="57" t="s">
        <v>250</v>
      </c>
      <c r="G159" s="51"/>
      <c r="H159" s="51"/>
      <c r="I159" s="51"/>
      <c r="J159" s="51"/>
      <c r="K159" s="52" t="str">
        <f aca="false">IF($A159&lt;&gt;"",$A159,"")</f>
        <v>Apprenant 147</v>
      </c>
      <c r="L159" s="53" t="str">
        <f aca="false">IF(AND($B159&lt;&gt;"",$C159&lt;&gt;""),$C159-$B159,"")</f>
        <v/>
      </c>
      <c r="M159" s="53" t="str">
        <f aca="false">IF(AND($B159&lt;&gt;"",$D159&lt;&gt;""),$D159-$B159,"")</f>
        <v/>
      </c>
      <c r="N159" s="53" t="str">
        <f aca="false">IF(AND($C159&lt;&gt;"",$D159&lt;&gt;""),$D159-$C159,"")</f>
        <v/>
      </c>
      <c r="O159" s="53" t="str">
        <f aca="false">IF($E159&lt;&gt;"",$E159,"")</f>
        <v/>
      </c>
      <c r="P159" s="52" t="str">
        <f aca="false">IF($F159&lt;&gt;"",$F159,"")</f>
        <v>Apprenant 147 ou 147'</v>
      </c>
      <c r="Q159" s="53" t="str">
        <f aca="false">IF(AND($G159&lt;&gt;"",$H159&lt;&gt;""),$H159-$G159,"")</f>
        <v/>
      </c>
      <c r="R159" s="53" t="str">
        <f aca="false">IF(AND($G159&lt;&gt;"",$I159&lt;&gt;""),$I159-$G159,"")</f>
        <v/>
      </c>
      <c r="S159" s="53" t="str">
        <f aca="false">IF(AND($H159&lt;&gt;"",$I159&lt;&gt;""),$I159-$H159,"")</f>
        <v/>
      </c>
      <c r="T159" s="53" t="str">
        <f aca="false">IF($J159&lt;&gt;"",$J159,"")</f>
        <v/>
      </c>
      <c r="V159" s="52" t="str">
        <f aca="false">IF($A159&lt;&gt;"",$A159,"")</f>
        <v>Apprenant 147</v>
      </c>
      <c r="W159" s="53" t="str">
        <f aca="false">IF(AND(OR('Choix pédagogiques'!$C$3=1,'Choix pédagogiques'!$C$3=2),$BM159=1),B159,IF(AND('Choix pédagogiques'!$C$3=3,$BO159=1),B159,""))</f>
        <v/>
      </c>
      <c r="X159" s="53" t="str">
        <f aca="false">IF(AND(OR('Choix pédagogiques'!$C$3=1,'Choix pédagogiques'!$C$3=2),$BM159=1),C159,IF(AND('Choix pédagogiques'!$C$3=3,$BO159=1),C159,""))</f>
        <v/>
      </c>
      <c r="Y159" s="53" t="str">
        <f aca="false">IF(AND(OR('Choix pédagogiques'!$C$3=1,'Choix pédagogiques'!$C$3=2),$BM159=1),D159,IF(AND('Choix pédagogiques'!$C$3=3,$BO159=1),D159,""))</f>
        <v/>
      </c>
      <c r="Z159" s="53" t="str">
        <f aca="false">IF($E159&lt;&gt;"",$E159,"")</f>
        <v/>
      </c>
      <c r="AA159" s="52" t="str">
        <f aca="false">IF($F159&lt;&gt;"",$F159,"")</f>
        <v>Apprenant 147 ou 147'</v>
      </c>
      <c r="AB159" s="53" t="str">
        <f aca="false">IF(AND(OR('Choix pédagogiques'!$C$3=1,'Choix pédagogiques'!$C$3=2),$BN159=1),G159,IF(AND('Choix pédagogiques'!$C$3=3,$BO159=1),G159,""))</f>
        <v/>
      </c>
      <c r="AC159" s="53" t="str">
        <f aca="false">IF(AND(OR('Choix pédagogiques'!$C$3=1,'Choix pédagogiques'!$C$3=2),$BN159=1),H159,IF(AND('Choix pédagogiques'!$C$3=3,$BO159=1),H159,""))</f>
        <v/>
      </c>
      <c r="AD159" s="53" t="str">
        <f aca="false">IF(AND(OR('Choix pédagogiques'!$C$3=1,'Choix pédagogiques'!$C$3=2),$BN159=1),I159,IF(AND('Choix pédagogiques'!$C$3=3,$BO159=1),I159,""))</f>
        <v/>
      </c>
      <c r="AE159" s="53" t="str">
        <f aca="false">IF($J159&lt;&gt;"",$J159,"")</f>
        <v/>
      </c>
      <c r="AF159" s="52" t="str">
        <f aca="false">IF($A159&lt;&gt;"",$A159,"")</f>
        <v>Apprenant 147</v>
      </c>
      <c r="AG159" s="53" t="str">
        <f aca="false">IF(AND($W159&lt;&gt;"",$X159&lt;&gt;""),$X159-$W159,"")</f>
        <v/>
      </c>
      <c r="AH159" s="53" t="str">
        <f aca="false">IF(AND($W159&lt;&gt;"",$Y159&lt;&gt;""),$Y159-$W159,"")</f>
        <v/>
      </c>
      <c r="AI159" s="53" t="str">
        <f aca="false">IF(AND($X159&lt;&gt;"",$Y159&lt;&gt;""),$Y159-$X159,"")</f>
        <v/>
      </c>
      <c r="AJ159" s="53" t="str">
        <f aca="false">IF($E159&lt;&gt;"",$E159,"")</f>
        <v/>
      </c>
      <c r="AK159" s="52" t="str">
        <f aca="false">IF($F159&lt;&gt;"",$F159,"")</f>
        <v>Apprenant 147 ou 147'</v>
      </c>
      <c r="AL159" s="53" t="str">
        <f aca="false">IF(AND($AB159&lt;&gt;"",$AC159&lt;&gt;""),$AC159-$AB159,"")</f>
        <v/>
      </c>
      <c r="AM159" s="53" t="str">
        <f aca="false">IF(AND($AB159&lt;&gt;"",$AD159&lt;&gt;""),$AD159-$AB159,"")</f>
        <v/>
      </c>
      <c r="AN159" s="53" t="str">
        <f aca="false">IF(AND($AC159&lt;&gt;"",$AD159&lt;&gt;""),$AD159-$AC159,"")</f>
        <v/>
      </c>
      <c r="AO159" s="53" t="str">
        <f aca="false">IF($J159&lt;&gt;"",$J159,"")</f>
        <v/>
      </c>
      <c r="AQ159" s="52" t="str">
        <f aca="false">IF($A159&lt;&gt;"",$A159,"")</f>
        <v>Apprenant 147</v>
      </c>
      <c r="AR159" s="55" t="str">
        <f aca="false">IF(AND('Choix pédagogiques'!$C$4&lt;&gt;"?",'Choix pédagogiques'!$C$5&lt;&gt;"?",W159&lt;&gt;""),(W159-'Choix pédagogiques'!$C$4)/('Choix pédagogiques'!$C$5-'Choix pédagogiques'!$C$4),"")</f>
        <v/>
      </c>
      <c r="AS159" s="55" t="str">
        <f aca="false">IF(AND('Choix pédagogiques'!$C$4&lt;&gt;"?",'Choix pédagogiques'!$C$5&lt;&gt;"?",X159&lt;&gt;""),(X159-'Choix pédagogiques'!$C$4)/('Choix pédagogiques'!$C$5-'Choix pédagogiques'!$C$4),"")</f>
        <v/>
      </c>
      <c r="AT159" s="55" t="str">
        <f aca="false">IF(AND('Choix pédagogiques'!$C$4&lt;&gt;"?",'Choix pédagogiques'!$C$5&lt;&gt;"?",Y159&lt;&gt;""),(Y159-'Choix pédagogiques'!$C$4)/('Choix pédagogiques'!$C$5-'Choix pédagogiques'!$C$4),"")</f>
        <v/>
      </c>
      <c r="AU159" s="53" t="str">
        <f aca="false">IF($E159&lt;&gt;"",$E159,"")</f>
        <v/>
      </c>
      <c r="AV159" s="52" t="str">
        <f aca="false">IF($F159&lt;&gt;"",$F159,"")</f>
        <v>Apprenant 147 ou 147'</v>
      </c>
      <c r="AW159" s="55" t="str">
        <f aca="false">IF(AND('Choix pédagogiques'!$C$4&lt;&gt;"?",'Choix pédagogiques'!$C$5&lt;&gt;"?",AB159&lt;&gt;""),(AB159-'Choix pédagogiques'!$C$4)/('Choix pédagogiques'!$C$5-'Choix pédagogiques'!$C$4),"")</f>
        <v/>
      </c>
      <c r="AX159" s="55" t="str">
        <f aca="false">IF(AND('Choix pédagogiques'!$C$4&lt;&gt;"?",'Choix pédagogiques'!$C$5&lt;&gt;"?",AC159&lt;&gt;""),(AC159-'Choix pédagogiques'!$C$4)/('Choix pédagogiques'!$C$5-'Choix pédagogiques'!$C$4),"")</f>
        <v/>
      </c>
      <c r="AY159" s="55" t="str">
        <f aca="false">IF(AND('Choix pédagogiques'!$C$4&lt;&gt;"?",'Choix pédagogiques'!$C$5&lt;&gt;"?",AD159&lt;&gt;""),(AD159-'Choix pédagogiques'!$C$4)/('Choix pédagogiques'!$C$5-'Choix pédagogiques'!$C$4),"")</f>
        <v/>
      </c>
      <c r="AZ159" s="53" t="str">
        <f aca="false">IF($J159&lt;&gt;"",$J159,"")</f>
        <v/>
      </c>
      <c r="BA159" s="52" t="str">
        <f aca="false">IF($A159&lt;&gt;"",$A159,"")</f>
        <v>Apprenant 147</v>
      </c>
      <c r="BB159" s="55" t="str">
        <f aca="false">IF(AND($AR159&lt;&gt;"",$AS159&lt;&gt;""),$AS159-$AR159,"")</f>
        <v/>
      </c>
      <c r="BC159" s="55" t="str">
        <f aca="false">IF(AND($AR159&lt;&gt;"",$AT159&lt;&gt;""),$AT159-$AR159,"")</f>
        <v/>
      </c>
      <c r="BD159" s="55" t="str">
        <f aca="false">IF(AND($AS159&lt;&gt;"",$AT159&lt;&gt;""),$AT159-$AS159,"")</f>
        <v/>
      </c>
      <c r="BE159" s="53" t="str">
        <f aca="false">IF($E159&lt;&gt;"",$E159,"")</f>
        <v/>
      </c>
      <c r="BF159" s="52" t="str">
        <f aca="false">IF($F159&lt;&gt;"",$F159,"")</f>
        <v>Apprenant 147 ou 147'</v>
      </c>
      <c r="BG159" s="55" t="str">
        <f aca="false">IF(AND($AW159&lt;&gt;"",$AX159&lt;&gt;""),$AX159-$AW159,"")</f>
        <v/>
      </c>
      <c r="BH159" s="55" t="str">
        <f aca="false">IF(AND($AW159&lt;&gt;"",$AY159&lt;&gt;""),$AY159-$AW159,"")</f>
        <v/>
      </c>
      <c r="BI159" s="55" t="str">
        <f aca="false">IF(AND($AX159&lt;&gt;"",$AY159&lt;&gt;""),$AY159-$AX159,"")</f>
        <v/>
      </c>
      <c r="BJ159" s="53" t="str">
        <f aca="false">IF($J159&lt;&gt;"",$J159,"")</f>
        <v/>
      </c>
      <c r="BL159" s="52"/>
      <c r="BM159" s="52" t="str">
        <f aca="false">IF(OR(COUNT(B159:D1158)=0,AND('Choix pédagogiques'!$C$3&lt;&gt;1,'Choix pédagogiques'!$C$3&lt;&gt;2)),"",IF(AND(OR('Choix pédagogiques'!$C$3=1,'Choix pédagogiques'!$C$3=2),$B159&lt;&gt;"",$C159&lt;&gt;"",$D159&lt;&gt;""),1,0))</f>
        <v/>
      </c>
      <c r="BN159" s="52" t="str">
        <f aca="false">IF(OR(COUNT(G159:I1158)=0,AND('Choix pédagogiques'!$C$3&lt;&gt;1,'Choix pédagogiques'!$C$3&lt;&gt;2)),"",IF(AND(OR('Choix pédagogiques'!$C$3=1,'Choix pédagogiques'!$C$3=2),AND($G159&lt;&gt;"",$H159&lt;&gt;"",$I159&lt;&gt;"")),1,0))</f>
        <v/>
      </c>
      <c r="BO159" s="52" t="str">
        <f aca="false">IF(OR(COUNT(B159:D1158)=0,COUNT(G159:I1158)=0,'Choix pédagogiques'!C$3&lt;&gt;3),"",IF(AND('Choix pédagogiques'!$C$3=3,$B159&lt;&gt;"",$C159&lt;&gt;"",$D159&lt;&gt;"",$G159&lt;&gt;"",$H159&lt;&gt;"",$I159&lt;&gt;""),1,0))</f>
        <v/>
      </c>
      <c r="BR159" s="52" t="n">
        <v>146</v>
      </c>
      <c r="BS159" s="52" t="n">
        <v>1985</v>
      </c>
    </row>
    <row r="160" s="54" customFormat="true" ht="18" hidden="false" customHeight="true" outlineLevel="0" collapsed="false">
      <c r="A160" s="57" t="s">
        <v>251</v>
      </c>
      <c r="B160" s="51"/>
      <c r="C160" s="51"/>
      <c r="D160" s="51"/>
      <c r="E160" s="51"/>
      <c r="F160" s="57" t="s">
        <v>252</v>
      </c>
      <c r="G160" s="51"/>
      <c r="H160" s="51"/>
      <c r="I160" s="51"/>
      <c r="J160" s="51"/>
      <c r="K160" s="52" t="str">
        <f aca="false">IF($A160&lt;&gt;"",$A160,"")</f>
        <v>Apprenant 148</v>
      </c>
      <c r="L160" s="53" t="str">
        <f aca="false">IF(AND($B160&lt;&gt;"",$C160&lt;&gt;""),$C160-$B160,"")</f>
        <v/>
      </c>
      <c r="M160" s="53" t="str">
        <f aca="false">IF(AND($B160&lt;&gt;"",$D160&lt;&gt;""),$D160-$B160,"")</f>
        <v/>
      </c>
      <c r="N160" s="53" t="str">
        <f aca="false">IF(AND($C160&lt;&gt;"",$D160&lt;&gt;""),$D160-$C160,"")</f>
        <v/>
      </c>
      <c r="O160" s="53" t="str">
        <f aca="false">IF($E160&lt;&gt;"",$E160,"")</f>
        <v/>
      </c>
      <c r="P160" s="52" t="str">
        <f aca="false">IF($F160&lt;&gt;"",$F160,"")</f>
        <v>Apprenant 148 ou 148'</v>
      </c>
      <c r="Q160" s="53" t="str">
        <f aca="false">IF(AND($G160&lt;&gt;"",$H160&lt;&gt;""),$H160-$G160,"")</f>
        <v/>
      </c>
      <c r="R160" s="53" t="str">
        <f aca="false">IF(AND($G160&lt;&gt;"",$I160&lt;&gt;""),$I160-$G160,"")</f>
        <v/>
      </c>
      <c r="S160" s="53" t="str">
        <f aca="false">IF(AND($H160&lt;&gt;"",$I160&lt;&gt;""),$I160-$H160,"")</f>
        <v/>
      </c>
      <c r="T160" s="53" t="str">
        <f aca="false">IF($J160&lt;&gt;"",$J160,"")</f>
        <v/>
      </c>
      <c r="V160" s="52" t="str">
        <f aca="false">IF($A160&lt;&gt;"",$A160,"")</f>
        <v>Apprenant 148</v>
      </c>
      <c r="W160" s="53" t="str">
        <f aca="false">IF(AND(OR('Choix pédagogiques'!$C$3=1,'Choix pédagogiques'!$C$3=2),$BM160=1),B160,IF(AND('Choix pédagogiques'!$C$3=3,$BO160=1),B160,""))</f>
        <v/>
      </c>
      <c r="X160" s="53" t="str">
        <f aca="false">IF(AND(OR('Choix pédagogiques'!$C$3=1,'Choix pédagogiques'!$C$3=2),$BM160=1),C160,IF(AND('Choix pédagogiques'!$C$3=3,$BO160=1),C160,""))</f>
        <v/>
      </c>
      <c r="Y160" s="53" t="str">
        <f aca="false">IF(AND(OR('Choix pédagogiques'!$C$3=1,'Choix pédagogiques'!$C$3=2),$BM160=1),D160,IF(AND('Choix pédagogiques'!$C$3=3,$BO160=1),D160,""))</f>
        <v/>
      </c>
      <c r="Z160" s="53" t="str">
        <f aca="false">IF($E160&lt;&gt;"",$E160,"")</f>
        <v/>
      </c>
      <c r="AA160" s="52" t="str">
        <f aca="false">IF($F160&lt;&gt;"",$F160,"")</f>
        <v>Apprenant 148 ou 148'</v>
      </c>
      <c r="AB160" s="53" t="str">
        <f aca="false">IF(AND(OR('Choix pédagogiques'!$C$3=1,'Choix pédagogiques'!$C$3=2),$BN160=1),G160,IF(AND('Choix pédagogiques'!$C$3=3,$BO160=1),G160,""))</f>
        <v/>
      </c>
      <c r="AC160" s="53" t="str">
        <f aca="false">IF(AND(OR('Choix pédagogiques'!$C$3=1,'Choix pédagogiques'!$C$3=2),$BN160=1),H160,IF(AND('Choix pédagogiques'!$C$3=3,$BO160=1),H160,""))</f>
        <v/>
      </c>
      <c r="AD160" s="53" t="str">
        <f aca="false">IF(AND(OR('Choix pédagogiques'!$C$3=1,'Choix pédagogiques'!$C$3=2),$BN160=1),I160,IF(AND('Choix pédagogiques'!$C$3=3,$BO160=1),I160,""))</f>
        <v/>
      </c>
      <c r="AE160" s="53" t="str">
        <f aca="false">IF($J160&lt;&gt;"",$J160,"")</f>
        <v/>
      </c>
      <c r="AF160" s="52" t="str">
        <f aca="false">IF($A160&lt;&gt;"",$A160,"")</f>
        <v>Apprenant 148</v>
      </c>
      <c r="AG160" s="53" t="str">
        <f aca="false">IF(AND($W160&lt;&gt;"",$X160&lt;&gt;""),$X160-$W160,"")</f>
        <v/>
      </c>
      <c r="AH160" s="53" t="str">
        <f aca="false">IF(AND($W160&lt;&gt;"",$Y160&lt;&gt;""),$Y160-$W160,"")</f>
        <v/>
      </c>
      <c r="AI160" s="53" t="str">
        <f aca="false">IF(AND($X160&lt;&gt;"",$Y160&lt;&gt;""),$Y160-$X160,"")</f>
        <v/>
      </c>
      <c r="AJ160" s="53" t="str">
        <f aca="false">IF($E160&lt;&gt;"",$E160,"")</f>
        <v/>
      </c>
      <c r="AK160" s="52" t="str">
        <f aca="false">IF($F160&lt;&gt;"",$F160,"")</f>
        <v>Apprenant 148 ou 148'</v>
      </c>
      <c r="AL160" s="53" t="str">
        <f aca="false">IF(AND($AB160&lt;&gt;"",$AC160&lt;&gt;""),$AC160-$AB160,"")</f>
        <v/>
      </c>
      <c r="AM160" s="53" t="str">
        <f aca="false">IF(AND($AB160&lt;&gt;"",$AD160&lt;&gt;""),$AD160-$AB160,"")</f>
        <v/>
      </c>
      <c r="AN160" s="53" t="str">
        <f aca="false">IF(AND($AC160&lt;&gt;"",$AD160&lt;&gt;""),$AD160-$AC160,"")</f>
        <v/>
      </c>
      <c r="AO160" s="53" t="str">
        <f aca="false">IF($J160&lt;&gt;"",$J160,"")</f>
        <v/>
      </c>
      <c r="AQ160" s="52" t="str">
        <f aca="false">IF($A160&lt;&gt;"",$A160,"")</f>
        <v>Apprenant 148</v>
      </c>
      <c r="AR160" s="55" t="str">
        <f aca="false">IF(AND('Choix pédagogiques'!$C$4&lt;&gt;"?",'Choix pédagogiques'!$C$5&lt;&gt;"?",W160&lt;&gt;""),(W160-'Choix pédagogiques'!$C$4)/('Choix pédagogiques'!$C$5-'Choix pédagogiques'!$C$4),"")</f>
        <v/>
      </c>
      <c r="AS160" s="55" t="str">
        <f aca="false">IF(AND('Choix pédagogiques'!$C$4&lt;&gt;"?",'Choix pédagogiques'!$C$5&lt;&gt;"?",X160&lt;&gt;""),(X160-'Choix pédagogiques'!$C$4)/('Choix pédagogiques'!$C$5-'Choix pédagogiques'!$C$4),"")</f>
        <v/>
      </c>
      <c r="AT160" s="55" t="str">
        <f aca="false">IF(AND('Choix pédagogiques'!$C$4&lt;&gt;"?",'Choix pédagogiques'!$C$5&lt;&gt;"?",Y160&lt;&gt;""),(Y160-'Choix pédagogiques'!$C$4)/('Choix pédagogiques'!$C$5-'Choix pédagogiques'!$C$4),"")</f>
        <v/>
      </c>
      <c r="AU160" s="53" t="str">
        <f aca="false">IF($E160&lt;&gt;"",$E160,"")</f>
        <v/>
      </c>
      <c r="AV160" s="52" t="str">
        <f aca="false">IF($F160&lt;&gt;"",$F160,"")</f>
        <v>Apprenant 148 ou 148'</v>
      </c>
      <c r="AW160" s="55" t="str">
        <f aca="false">IF(AND('Choix pédagogiques'!$C$4&lt;&gt;"?",'Choix pédagogiques'!$C$5&lt;&gt;"?",AB160&lt;&gt;""),(AB160-'Choix pédagogiques'!$C$4)/('Choix pédagogiques'!$C$5-'Choix pédagogiques'!$C$4),"")</f>
        <v/>
      </c>
      <c r="AX160" s="55" t="str">
        <f aca="false">IF(AND('Choix pédagogiques'!$C$4&lt;&gt;"?",'Choix pédagogiques'!$C$5&lt;&gt;"?",AC160&lt;&gt;""),(AC160-'Choix pédagogiques'!$C$4)/('Choix pédagogiques'!$C$5-'Choix pédagogiques'!$C$4),"")</f>
        <v/>
      </c>
      <c r="AY160" s="55" t="str">
        <f aca="false">IF(AND('Choix pédagogiques'!$C$4&lt;&gt;"?",'Choix pédagogiques'!$C$5&lt;&gt;"?",AD160&lt;&gt;""),(AD160-'Choix pédagogiques'!$C$4)/('Choix pédagogiques'!$C$5-'Choix pédagogiques'!$C$4),"")</f>
        <v/>
      </c>
      <c r="AZ160" s="53" t="str">
        <f aca="false">IF($J160&lt;&gt;"",$J160,"")</f>
        <v/>
      </c>
      <c r="BA160" s="52" t="str">
        <f aca="false">IF($A160&lt;&gt;"",$A160,"")</f>
        <v>Apprenant 148</v>
      </c>
      <c r="BB160" s="55" t="str">
        <f aca="false">IF(AND($AR160&lt;&gt;"",$AS160&lt;&gt;""),$AS160-$AR160,"")</f>
        <v/>
      </c>
      <c r="BC160" s="55" t="str">
        <f aca="false">IF(AND($AR160&lt;&gt;"",$AT160&lt;&gt;""),$AT160-$AR160,"")</f>
        <v/>
      </c>
      <c r="BD160" s="55" t="str">
        <f aca="false">IF(AND($AS160&lt;&gt;"",$AT160&lt;&gt;""),$AT160-$AS160,"")</f>
        <v/>
      </c>
      <c r="BE160" s="53" t="str">
        <f aca="false">IF($E160&lt;&gt;"",$E160,"")</f>
        <v/>
      </c>
      <c r="BF160" s="52" t="str">
        <f aca="false">IF($F160&lt;&gt;"",$F160,"")</f>
        <v>Apprenant 148 ou 148'</v>
      </c>
      <c r="BG160" s="55" t="str">
        <f aca="false">IF(AND($AW160&lt;&gt;"",$AX160&lt;&gt;""),$AX160-$AW160,"")</f>
        <v/>
      </c>
      <c r="BH160" s="55" t="str">
        <f aca="false">IF(AND($AW160&lt;&gt;"",$AY160&lt;&gt;""),$AY160-$AW160,"")</f>
        <v/>
      </c>
      <c r="BI160" s="55" t="str">
        <f aca="false">IF(AND($AX160&lt;&gt;"",$AY160&lt;&gt;""),$AY160-$AX160,"")</f>
        <v/>
      </c>
      <c r="BJ160" s="53" t="str">
        <f aca="false">IF($J160&lt;&gt;"",$J160,"")</f>
        <v/>
      </c>
      <c r="BL160" s="52"/>
      <c r="BM160" s="52" t="str">
        <f aca="false">IF(OR(COUNT(B160:D1159)=0,AND('Choix pédagogiques'!$C$3&lt;&gt;1,'Choix pédagogiques'!$C$3&lt;&gt;2)),"",IF(AND(OR('Choix pédagogiques'!$C$3=1,'Choix pédagogiques'!$C$3=2),$B160&lt;&gt;"",$C160&lt;&gt;"",$D160&lt;&gt;""),1,0))</f>
        <v/>
      </c>
      <c r="BN160" s="52" t="str">
        <f aca="false">IF(OR(COUNT(G160:I1159)=0,AND('Choix pédagogiques'!$C$3&lt;&gt;1,'Choix pédagogiques'!$C$3&lt;&gt;2)),"",IF(AND(OR('Choix pédagogiques'!$C$3=1,'Choix pédagogiques'!$C$3=2),AND($G160&lt;&gt;"",$H160&lt;&gt;"",$I160&lt;&gt;"")),1,0))</f>
        <v/>
      </c>
      <c r="BO160" s="52" t="str">
        <f aca="false">IF(OR(COUNT(B160:D1159)=0,COUNT(G160:I1159)=0,'Choix pédagogiques'!C$3&lt;&gt;3),"",IF(AND('Choix pédagogiques'!$C$3=3,$B160&lt;&gt;"",$C160&lt;&gt;"",$D160&lt;&gt;"",$G160&lt;&gt;"",$H160&lt;&gt;"",$I160&lt;&gt;""),1,0))</f>
        <v/>
      </c>
      <c r="BR160" s="52" t="n">
        <v>311</v>
      </c>
      <c r="BS160" s="52" t="n">
        <v>1932</v>
      </c>
    </row>
    <row r="161" s="54" customFormat="true" ht="18" hidden="false" customHeight="true" outlineLevel="0" collapsed="false">
      <c r="A161" s="57" t="s">
        <v>253</v>
      </c>
      <c r="B161" s="51"/>
      <c r="C161" s="51"/>
      <c r="D161" s="51"/>
      <c r="E161" s="51"/>
      <c r="F161" s="57" t="s">
        <v>254</v>
      </c>
      <c r="G161" s="51"/>
      <c r="H161" s="51"/>
      <c r="I161" s="51"/>
      <c r="J161" s="51"/>
      <c r="K161" s="52" t="str">
        <f aca="false">IF($A161&lt;&gt;"",$A161,"")</f>
        <v>Apprenant 149</v>
      </c>
      <c r="L161" s="53" t="str">
        <f aca="false">IF(AND($B161&lt;&gt;"",$C161&lt;&gt;""),$C161-$B161,"")</f>
        <v/>
      </c>
      <c r="M161" s="53" t="str">
        <f aca="false">IF(AND($B161&lt;&gt;"",$D161&lt;&gt;""),$D161-$B161,"")</f>
        <v/>
      </c>
      <c r="N161" s="53" t="str">
        <f aca="false">IF(AND($C161&lt;&gt;"",$D161&lt;&gt;""),$D161-$C161,"")</f>
        <v/>
      </c>
      <c r="O161" s="53" t="str">
        <f aca="false">IF($E161&lt;&gt;"",$E161,"")</f>
        <v/>
      </c>
      <c r="P161" s="52" t="str">
        <f aca="false">IF($F161&lt;&gt;"",$F161,"")</f>
        <v>Apprenant 149 ou 149'</v>
      </c>
      <c r="Q161" s="53" t="str">
        <f aca="false">IF(AND($G161&lt;&gt;"",$H161&lt;&gt;""),$H161-$G161,"")</f>
        <v/>
      </c>
      <c r="R161" s="53" t="str">
        <f aca="false">IF(AND($G161&lt;&gt;"",$I161&lt;&gt;""),$I161-$G161,"")</f>
        <v/>
      </c>
      <c r="S161" s="53" t="str">
        <f aca="false">IF(AND($H161&lt;&gt;"",$I161&lt;&gt;""),$I161-$H161,"")</f>
        <v/>
      </c>
      <c r="T161" s="53" t="str">
        <f aca="false">IF($J161&lt;&gt;"",$J161,"")</f>
        <v/>
      </c>
      <c r="V161" s="52" t="str">
        <f aca="false">IF($A161&lt;&gt;"",$A161,"")</f>
        <v>Apprenant 149</v>
      </c>
      <c r="W161" s="53" t="str">
        <f aca="false">IF(AND(OR('Choix pédagogiques'!$C$3=1,'Choix pédagogiques'!$C$3=2),$BM161=1),B161,IF(AND('Choix pédagogiques'!$C$3=3,$BO161=1),B161,""))</f>
        <v/>
      </c>
      <c r="X161" s="53" t="str">
        <f aca="false">IF(AND(OR('Choix pédagogiques'!$C$3=1,'Choix pédagogiques'!$C$3=2),$BM161=1),C161,IF(AND('Choix pédagogiques'!$C$3=3,$BO161=1),C161,""))</f>
        <v/>
      </c>
      <c r="Y161" s="53" t="str">
        <f aca="false">IF(AND(OR('Choix pédagogiques'!$C$3=1,'Choix pédagogiques'!$C$3=2),$BM161=1),D161,IF(AND('Choix pédagogiques'!$C$3=3,$BO161=1),D161,""))</f>
        <v/>
      </c>
      <c r="Z161" s="53" t="str">
        <f aca="false">IF($E161&lt;&gt;"",$E161,"")</f>
        <v/>
      </c>
      <c r="AA161" s="52" t="str">
        <f aca="false">IF($F161&lt;&gt;"",$F161,"")</f>
        <v>Apprenant 149 ou 149'</v>
      </c>
      <c r="AB161" s="53" t="str">
        <f aca="false">IF(AND(OR('Choix pédagogiques'!$C$3=1,'Choix pédagogiques'!$C$3=2),$BN161=1),G161,IF(AND('Choix pédagogiques'!$C$3=3,$BO161=1),G161,""))</f>
        <v/>
      </c>
      <c r="AC161" s="53" t="str">
        <f aca="false">IF(AND(OR('Choix pédagogiques'!$C$3=1,'Choix pédagogiques'!$C$3=2),$BN161=1),H161,IF(AND('Choix pédagogiques'!$C$3=3,$BO161=1),H161,""))</f>
        <v/>
      </c>
      <c r="AD161" s="53" t="str">
        <f aca="false">IF(AND(OR('Choix pédagogiques'!$C$3=1,'Choix pédagogiques'!$C$3=2),$BN161=1),I161,IF(AND('Choix pédagogiques'!$C$3=3,$BO161=1),I161,""))</f>
        <v/>
      </c>
      <c r="AE161" s="53" t="str">
        <f aca="false">IF($J161&lt;&gt;"",$J161,"")</f>
        <v/>
      </c>
      <c r="AF161" s="52" t="str">
        <f aca="false">IF($A161&lt;&gt;"",$A161,"")</f>
        <v>Apprenant 149</v>
      </c>
      <c r="AG161" s="53" t="str">
        <f aca="false">IF(AND($W161&lt;&gt;"",$X161&lt;&gt;""),$X161-$W161,"")</f>
        <v/>
      </c>
      <c r="AH161" s="53" t="str">
        <f aca="false">IF(AND($W161&lt;&gt;"",$Y161&lt;&gt;""),$Y161-$W161,"")</f>
        <v/>
      </c>
      <c r="AI161" s="53" t="str">
        <f aca="false">IF(AND($X161&lt;&gt;"",$Y161&lt;&gt;""),$Y161-$X161,"")</f>
        <v/>
      </c>
      <c r="AJ161" s="53" t="str">
        <f aca="false">IF($E161&lt;&gt;"",$E161,"")</f>
        <v/>
      </c>
      <c r="AK161" s="52" t="str">
        <f aca="false">IF($F161&lt;&gt;"",$F161,"")</f>
        <v>Apprenant 149 ou 149'</v>
      </c>
      <c r="AL161" s="53" t="str">
        <f aca="false">IF(AND($AB161&lt;&gt;"",$AC161&lt;&gt;""),$AC161-$AB161,"")</f>
        <v/>
      </c>
      <c r="AM161" s="53" t="str">
        <f aca="false">IF(AND($AB161&lt;&gt;"",$AD161&lt;&gt;""),$AD161-$AB161,"")</f>
        <v/>
      </c>
      <c r="AN161" s="53" t="str">
        <f aca="false">IF(AND($AC161&lt;&gt;"",$AD161&lt;&gt;""),$AD161-$AC161,"")</f>
        <v/>
      </c>
      <c r="AO161" s="53" t="str">
        <f aca="false">IF($J161&lt;&gt;"",$J161,"")</f>
        <v/>
      </c>
      <c r="AQ161" s="52" t="str">
        <f aca="false">IF($A161&lt;&gt;"",$A161,"")</f>
        <v>Apprenant 149</v>
      </c>
      <c r="AR161" s="55" t="str">
        <f aca="false">IF(AND('Choix pédagogiques'!$C$4&lt;&gt;"?",'Choix pédagogiques'!$C$5&lt;&gt;"?",W161&lt;&gt;""),(W161-'Choix pédagogiques'!$C$4)/('Choix pédagogiques'!$C$5-'Choix pédagogiques'!$C$4),"")</f>
        <v/>
      </c>
      <c r="AS161" s="55" t="str">
        <f aca="false">IF(AND('Choix pédagogiques'!$C$4&lt;&gt;"?",'Choix pédagogiques'!$C$5&lt;&gt;"?",X161&lt;&gt;""),(X161-'Choix pédagogiques'!$C$4)/('Choix pédagogiques'!$C$5-'Choix pédagogiques'!$C$4),"")</f>
        <v/>
      </c>
      <c r="AT161" s="55" t="str">
        <f aca="false">IF(AND('Choix pédagogiques'!$C$4&lt;&gt;"?",'Choix pédagogiques'!$C$5&lt;&gt;"?",Y161&lt;&gt;""),(Y161-'Choix pédagogiques'!$C$4)/('Choix pédagogiques'!$C$5-'Choix pédagogiques'!$C$4),"")</f>
        <v/>
      </c>
      <c r="AU161" s="53" t="str">
        <f aca="false">IF($E161&lt;&gt;"",$E161,"")</f>
        <v/>
      </c>
      <c r="AV161" s="52" t="str">
        <f aca="false">IF($F161&lt;&gt;"",$F161,"")</f>
        <v>Apprenant 149 ou 149'</v>
      </c>
      <c r="AW161" s="55" t="str">
        <f aca="false">IF(AND('Choix pédagogiques'!$C$4&lt;&gt;"?",'Choix pédagogiques'!$C$5&lt;&gt;"?",AB161&lt;&gt;""),(AB161-'Choix pédagogiques'!$C$4)/('Choix pédagogiques'!$C$5-'Choix pédagogiques'!$C$4),"")</f>
        <v/>
      </c>
      <c r="AX161" s="55" t="str">
        <f aca="false">IF(AND('Choix pédagogiques'!$C$4&lt;&gt;"?",'Choix pédagogiques'!$C$5&lt;&gt;"?",AC161&lt;&gt;""),(AC161-'Choix pédagogiques'!$C$4)/('Choix pédagogiques'!$C$5-'Choix pédagogiques'!$C$4),"")</f>
        <v/>
      </c>
      <c r="AY161" s="55" t="str">
        <f aca="false">IF(AND('Choix pédagogiques'!$C$4&lt;&gt;"?",'Choix pédagogiques'!$C$5&lt;&gt;"?",AD161&lt;&gt;""),(AD161-'Choix pédagogiques'!$C$4)/('Choix pédagogiques'!$C$5-'Choix pédagogiques'!$C$4),"")</f>
        <v/>
      </c>
      <c r="AZ161" s="53" t="str">
        <f aca="false">IF($J161&lt;&gt;"",$J161,"")</f>
        <v/>
      </c>
      <c r="BA161" s="52" t="str">
        <f aca="false">IF($A161&lt;&gt;"",$A161,"")</f>
        <v>Apprenant 149</v>
      </c>
      <c r="BB161" s="55" t="str">
        <f aca="false">IF(AND($AR161&lt;&gt;"",$AS161&lt;&gt;""),$AS161-$AR161,"")</f>
        <v/>
      </c>
      <c r="BC161" s="55" t="str">
        <f aca="false">IF(AND($AR161&lt;&gt;"",$AT161&lt;&gt;""),$AT161-$AR161,"")</f>
        <v/>
      </c>
      <c r="BD161" s="55" t="str">
        <f aca="false">IF(AND($AS161&lt;&gt;"",$AT161&lt;&gt;""),$AT161-$AS161,"")</f>
        <v/>
      </c>
      <c r="BE161" s="53" t="str">
        <f aca="false">IF($E161&lt;&gt;"",$E161,"")</f>
        <v/>
      </c>
      <c r="BF161" s="52" t="str">
        <f aca="false">IF($F161&lt;&gt;"",$F161,"")</f>
        <v>Apprenant 149 ou 149'</v>
      </c>
      <c r="BG161" s="55" t="str">
        <f aca="false">IF(AND($AW161&lt;&gt;"",$AX161&lt;&gt;""),$AX161-$AW161,"")</f>
        <v/>
      </c>
      <c r="BH161" s="55" t="str">
        <f aca="false">IF(AND($AW161&lt;&gt;"",$AY161&lt;&gt;""),$AY161-$AW161,"")</f>
        <v/>
      </c>
      <c r="BI161" s="55" t="str">
        <f aca="false">IF(AND($AX161&lt;&gt;"",$AY161&lt;&gt;""),$AY161-$AX161,"")</f>
        <v/>
      </c>
      <c r="BJ161" s="53" t="str">
        <f aca="false">IF($J161&lt;&gt;"",$J161,"")</f>
        <v/>
      </c>
      <c r="BL161" s="52"/>
      <c r="BM161" s="52" t="str">
        <f aca="false">IF(OR(COUNT(B161:D1160)=0,AND('Choix pédagogiques'!$C$3&lt;&gt;1,'Choix pédagogiques'!$C$3&lt;&gt;2)),"",IF(AND(OR('Choix pédagogiques'!$C$3=1,'Choix pédagogiques'!$C$3=2),$B161&lt;&gt;"",$C161&lt;&gt;"",$D161&lt;&gt;""),1,0))</f>
        <v/>
      </c>
      <c r="BN161" s="52" t="str">
        <f aca="false">IF(OR(COUNT(G161:I1160)=0,AND('Choix pédagogiques'!$C$3&lt;&gt;1,'Choix pédagogiques'!$C$3&lt;&gt;2)),"",IF(AND(OR('Choix pédagogiques'!$C$3=1,'Choix pédagogiques'!$C$3=2),AND($G161&lt;&gt;"",$H161&lt;&gt;"",$I161&lt;&gt;"")),1,0))</f>
        <v/>
      </c>
      <c r="BO161" s="52" t="str">
        <f aca="false">IF(OR(COUNT(B161:D1160)=0,COUNT(G161:I1160)=0,'Choix pédagogiques'!C$3&lt;&gt;3),"",IF(AND('Choix pédagogiques'!$C$3=3,$B161&lt;&gt;"",$C161&lt;&gt;"",$D161&lt;&gt;"",$G161&lt;&gt;"",$H161&lt;&gt;"",$I161&lt;&gt;""),1,0))</f>
        <v/>
      </c>
      <c r="BR161" s="52" t="n">
        <v>501</v>
      </c>
      <c r="BS161" s="52" t="n">
        <v>1858</v>
      </c>
    </row>
    <row r="162" s="54" customFormat="true" ht="18" hidden="false" customHeight="true" outlineLevel="0" collapsed="false">
      <c r="A162" s="57" t="s">
        <v>255</v>
      </c>
      <c r="B162" s="51"/>
      <c r="C162" s="51"/>
      <c r="D162" s="51"/>
      <c r="E162" s="51"/>
      <c r="F162" s="57" t="s">
        <v>256</v>
      </c>
      <c r="G162" s="51"/>
      <c r="H162" s="51"/>
      <c r="I162" s="51"/>
      <c r="J162" s="51"/>
      <c r="K162" s="52" t="str">
        <f aca="false">IF($A162&lt;&gt;"",$A162,"")</f>
        <v>Apprenant 150</v>
      </c>
      <c r="L162" s="53" t="str">
        <f aca="false">IF(AND($B162&lt;&gt;"",$C162&lt;&gt;""),$C162-$B162,"")</f>
        <v/>
      </c>
      <c r="M162" s="53" t="str">
        <f aca="false">IF(AND($B162&lt;&gt;"",$D162&lt;&gt;""),$D162-$B162,"")</f>
        <v/>
      </c>
      <c r="N162" s="53" t="str">
        <f aca="false">IF(AND($C162&lt;&gt;"",$D162&lt;&gt;""),$D162-$C162,"")</f>
        <v/>
      </c>
      <c r="O162" s="53" t="str">
        <f aca="false">IF($E162&lt;&gt;"",$E162,"")</f>
        <v/>
      </c>
      <c r="P162" s="52" t="str">
        <f aca="false">IF($F162&lt;&gt;"",$F162,"")</f>
        <v>Apprenant 150 ou 150'</v>
      </c>
      <c r="Q162" s="53" t="str">
        <f aca="false">IF(AND($G162&lt;&gt;"",$H162&lt;&gt;""),$H162-$G162,"")</f>
        <v/>
      </c>
      <c r="R162" s="53" t="str">
        <f aca="false">IF(AND($G162&lt;&gt;"",$I162&lt;&gt;""),$I162-$G162,"")</f>
        <v/>
      </c>
      <c r="S162" s="53" t="str">
        <f aca="false">IF(AND($H162&lt;&gt;"",$I162&lt;&gt;""),$I162-$H162,"")</f>
        <v/>
      </c>
      <c r="T162" s="53" t="str">
        <f aca="false">IF($J162&lt;&gt;"",$J162,"")</f>
        <v/>
      </c>
      <c r="V162" s="52" t="str">
        <f aca="false">IF($A162&lt;&gt;"",$A162,"")</f>
        <v>Apprenant 150</v>
      </c>
      <c r="W162" s="53" t="str">
        <f aca="false">IF(AND(OR('Choix pédagogiques'!$C$3=1,'Choix pédagogiques'!$C$3=2),$BM162=1),B162,IF(AND('Choix pédagogiques'!$C$3=3,$BO162=1),B162,""))</f>
        <v/>
      </c>
      <c r="X162" s="53" t="str">
        <f aca="false">IF(AND(OR('Choix pédagogiques'!$C$3=1,'Choix pédagogiques'!$C$3=2),$BM162=1),C162,IF(AND('Choix pédagogiques'!$C$3=3,$BO162=1),C162,""))</f>
        <v/>
      </c>
      <c r="Y162" s="53" t="str">
        <f aca="false">IF(AND(OR('Choix pédagogiques'!$C$3=1,'Choix pédagogiques'!$C$3=2),$BM162=1),D162,IF(AND('Choix pédagogiques'!$C$3=3,$BO162=1),D162,""))</f>
        <v/>
      </c>
      <c r="Z162" s="53" t="str">
        <f aca="false">IF($E162&lt;&gt;"",$E162,"")</f>
        <v/>
      </c>
      <c r="AA162" s="52" t="str">
        <f aca="false">IF($F162&lt;&gt;"",$F162,"")</f>
        <v>Apprenant 150 ou 150'</v>
      </c>
      <c r="AB162" s="53" t="str">
        <f aca="false">IF(AND(OR('Choix pédagogiques'!$C$3=1,'Choix pédagogiques'!$C$3=2),$BN162=1),G162,IF(AND('Choix pédagogiques'!$C$3=3,$BO162=1),G162,""))</f>
        <v/>
      </c>
      <c r="AC162" s="53" t="str">
        <f aca="false">IF(AND(OR('Choix pédagogiques'!$C$3=1,'Choix pédagogiques'!$C$3=2),$BN162=1),H162,IF(AND('Choix pédagogiques'!$C$3=3,$BO162=1),H162,""))</f>
        <v/>
      </c>
      <c r="AD162" s="53" t="str">
        <f aca="false">IF(AND(OR('Choix pédagogiques'!$C$3=1,'Choix pédagogiques'!$C$3=2),$BN162=1),I162,IF(AND('Choix pédagogiques'!$C$3=3,$BO162=1),I162,""))</f>
        <v/>
      </c>
      <c r="AE162" s="53" t="str">
        <f aca="false">IF($J162&lt;&gt;"",$J162,"")</f>
        <v/>
      </c>
      <c r="AF162" s="52" t="str">
        <f aca="false">IF($A162&lt;&gt;"",$A162,"")</f>
        <v>Apprenant 150</v>
      </c>
      <c r="AG162" s="53" t="str">
        <f aca="false">IF(AND($W162&lt;&gt;"",$X162&lt;&gt;""),$X162-$W162,"")</f>
        <v/>
      </c>
      <c r="AH162" s="53" t="str">
        <f aca="false">IF(AND($W162&lt;&gt;"",$Y162&lt;&gt;""),$Y162-$W162,"")</f>
        <v/>
      </c>
      <c r="AI162" s="53" t="str">
        <f aca="false">IF(AND($X162&lt;&gt;"",$Y162&lt;&gt;""),$Y162-$X162,"")</f>
        <v/>
      </c>
      <c r="AJ162" s="53" t="str">
        <f aca="false">IF($E162&lt;&gt;"",$E162,"")</f>
        <v/>
      </c>
      <c r="AK162" s="52" t="str">
        <f aca="false">IF($F162&lt;&gt;"",$F162,"")</f>
        <v>Apprenant 150 ou 150'</v>
      </c>
      <c r="AL162" s="53" t="str">
        <f aca="false">IF(AND($AB162&lt;&gt;"",$AC162&lt;&gt;""),$AC162-$AB162,"")</f>
        <v/>
      </c>
      <c r="AM162" s="53" t="str">
        <f aca="false">IF(AND($AB162&lt;&gt;"",$AD162&lt;&gt;""),$AD162-$AB162,"")</f>
        <v/>
      </c>
      <c r="AN162" s="53" t="str">
        <f aca="false">IF(AND($AC162&lt;&gt;"",$AD162&lt;&gt;""),$AD162-$AC162,"")</f>
        <v/>
      </c>
      <c r="AO162" s="53" t="str">
        <f aca="false">IF($J162&lt;&gt;"",$J162,"")</f>
        <v/>
      </c>
      <c r="AQ162" s="52" t="str">
        <f aca="false">IF($A162&lt;&gt;"",$A162,"")</f>
        <v>Apprenant 150</v>
      </c>
      <c r="AR162" s="55" t="str">
        <f aca="false">IF(AND('Choix pédagogiques'!$C$4&lt;&gt;"?",'Choix pédagogiques'!$C$5&lt;&gt;"?",W162&lt;&gt;""),(W162-'Choix pédagogiques'!$C$4)/('Choix pédagogiques'!$C$5-'Choix pédagogiques'!$C$4),"")</f>
        <v/>
      </c>
      <c r="AS162" s="55" t="str">
        <f aca="false">IF(AND('Choix pédagogiques'!$C$4&lt;&gt;"?",'Choix pédagogiques'!$C$5&lt;&gt;"?",X162&lt;&gt;""),(X162-'Choix pédagogiques'!$C$4)/('Choix pédagogiques'!$C$5-'Choix pédagogiques'!$C$4),"")</f>
        <v/>
      </c>
      <c r="AT162" s="55" t="str">
        <f aca="false">IF(AND('Choix pédagogiques'!$C$4&lt;&gt;"?",'Choix pédagogiques'!$C$5&lt;&gt;"?",Y162&lt;&gt;""),(Y162-'Choix pédagogiques'!$C$4)/('Choix pédagogiques'!$C$5-'Choix pédagogiques'!$C$4),"")</f>
        <v/>
      </c>
      <c r="AU162" s="53" t="str">
        <f aca="false">IF($E162&lt;&gt;"",$E162,"")</f>
        <v/>
      </c>
      <c r="AV162" s="52" t="str">
        <f aca="false">IF($F162&lt;&gt;"",$F162,"")</f>
        <v>Apprenant 150 ou 150'</v>
      </c>
      <c r="AW162" s="55" t="str">
        <f aca="false">IF(AND('Choix pédagogiques'!$C$4&lt;&gt;"?",'Choix pédagogiques'!$C$5&lt;&gt;"?",AB162&lt;&gt;""),(AB162-'Choix pédagogiques'!$C$4)/('Choix pédagogiques'!$C$5-'Choix pédagogiques'!$C$4),"")</f>
        <v/>
      </c>
      <c r="AX162" s="55" t="str">
        <f aca="false">IF(AND('Choix pédagogiques'!$C$4&lt;&gt;"?",'Choix pédagogiques'!$C$5&lt;&gt;"?",AC162&lt;&gt;""),(AC162-'Choix pédagogiques'!$C$4)/('Choix pédagogiques'!$C$5-'Choix pédagogiques'!$C$4),"")</f>
        <v/>
      </c>
      <c r="AY162" s="55" t="str">
        <f aca="false">IF(AND('Choix pédagogiques'!$C$4&lt;&gt;"?",'Choix pédagogiques'!$C$5&lt;&gt;"?",AD162&lt;&gt;""),(AD162-'Choix pédagogiques'!$C$4)/('Choix pédagogiques'!$C$5-'Choix pédagogiques'!$C$4),"")</f>
        <v/>
      </c>
      <c r="AZ162" s="53" t="str">
        <f aca="false">IF($J162&lt;&gt;"",$J162,"")</f>
        <v/>
      </c>
      <c r="BA162" s="52" t="str">
        <f aca="false">IF($A162&lt;&gt;"",$A162,"")</f>
        <v>Apprenant 150</v>
      </c>
      <c r="BB162" s="55" t="str">
        <f aca="false">IF(AND($AR162&lt;&gt;"",$AS162&lt;&gt;""),$AS162-$AR162,"")</f>
        <v/>
      </c>
      <c r="BC162" s="55" t="str">
        <f aca="false">IF(AND($AR162&lt;&gt;"",$AT162&lt;&gt;""),$AT162-$AR162,"")</f>
        <v/>
      </c>
      <c r="BD162" s="55" t="str">
        <f aca="false">IF(AND($AS162&lt;&gt;"",$AT162&lt;&gt;""),$AT162-$AS162,"")</f>
        <v/>
      </c>
      <c r="BE162" s="53" t="str">
        <f aca="false">IF($E162&lt;&gt;"",$E162,"")</f>
        <v/>
      </c>
      <c r="BF162" s="52" t="str">
        <f aca="false">IF($F162&lt;&gt;"",$F162,"")</f>
        <v>Apprenant 150 ou 150'</v>
      </c>
      <c r="BG162" s="55" t="str">
        <f aca="false">IF(AND($AW162&lt;&gt;"",$AX162&lt;&gt;""),$AX162-$AW162,"")</f>
        <v/>
      </c>
      <c r="BH162" s="55" t="str">
        <f aca="false">IF(AND($AW162&lt;&gt;"",$AY162&lt;&gt;""),$AY162-$AW162,"")</f>
        <v/>
      </c>
      <c r="BI162" s="55" t="str">
        <f aca="false">IF(AND($AX162&lt;&gt;"",$AY162&lt;&gt;""),$AY162-$AX162,"")</f>
        <v/>
      </c>
      <c r="BJ162" s="53" t="str">
        <f aca="false">IF($J162&lt;&gt;"",$J162,"")</f>
        <v/>
      </c>
      <c r="BL162" s="52"/>
      <c r="BM162" s="52" t="str">
        <f aca="false">IF(OR(COUNT(B162:D1161)=0,AND('Choix pédagogiques'!$C$3&lt;&gt;1,'Choix pédagogiques'!$C$3&lt;&gt;2)),"",IF(AND(OR('Choix pédagogiques'!$C$3=1,'Choix pédagogiques'!$C$3=2),$B162&lt;&gt;"",$C162&lt;&gt;"",$D162&lt;&gt;""),1,0))</f>
        <v/>
      </c>
      <c r="BN162" s="52" t="str">
        <f aca="false">IF(OR(COUNT(G162:I1161)=0,AND('Choix pédagogiques'!$C$3&lt;&gt;1,'Choix pédagogiques'!$C$3&lt;&gt;2)),"",IF(AND(OR('Choix pédagogiques'!$C$3=1,'Choix pédagogiques'!$C$3=2),AND($G162&lt;&gt;"",$H162&lt;&gt;"",$I162&lt;&gt;"")),1,0))</f>
        <v/>
      </c>
      <c r="BO162" s="52" t="str">
        <f aca="false">IF(OR(COUNT(B162:D1161)=0,COUNT(G162:I1161)=0,'Choix pédagogiques'!C$3&lt;&gt;3),"",IF(AND('Choix pédagogiques'!$C$3=3,$B162&lt;&gt;"",$C162&lt;&gt;"",$D162&lt;&gt;"",$G162&lt;&gt;"",$H162&lt;&gt;"",$I162&lt;&gt;""),1,0))</f>
        <v/>
      </c>
      <c r="BR162" s="52" t="n">
        <v>575</v>
      </c>
      <c r="BS162" s="52" t="n">
        <v>1418</v>
      </c>
    </row>
    <row r="163" s="54" customFormat="true" ht="18" hidden="false" customHeight="true" outlineLevel="0" collapsed="false">
      <c r="A163" s="57" t="s">
        <v>257</v>
      </c>
      <c r="B163" s="51"/>
      <c r="C163" s="51"/>
      <c r="D163" s="51"/>
      <c r="E163" s="51"/>
      <c r="F163" s="57" t="s">
        <v>258</v>
      </c>
      <c r="G163" s="51"/>
      <c r="H163" s="51"/>
      <c r="I163" s="51"/>
      <c r="J163" s="51"/>
      <c r="K163" s="52" t="str">
        <f aca="false">IF($A163&lt;&gt;"",$A163,"")</f>
        <v>Apprenant 151</v>
      </c>
      <c r="L163" s="53" t="str">
        <f aca="false">IF(AND($B163&lt;&gt;"",$C163&lt;&gt;""),$C163-$B163,"")</f>
        <v/>
      </c>
      <c r="M163" s="53" t="str">
        <f aca="false">IF(AND($B163&lt;&gt;"",$D163&lt;&gt;""),$D163-$B163,"")</f>
        <v/>
      </c>
      <c r="N163" s="53" t="str">
        <f aca="false">IF(AND($C163&lt;&gt;"",$D163&lt;&gt;""),$D163-$C163,"")</f>
        <v/>
      </c>
      <c r="O163" s="53" t="str">
        <f aca="false">IF($E163&lt;&gt;"",$E163,"")</f>
        <v/>
      </c>
      <c r="P163" s="52" t="str">
        <f aca="false">IF($F163&lt;&gt;"",$F163,"")</f>
        <v>Apprenant 151 ou 151'</v>
      </c>
      <c r="Q163" s="53" t="str">
        <f aca="false">IF(AND($G163&lt;&gt;"",$H163&lt;&gt;""),$H163-$G163,"")</f>
        <v/>
      </c>
      <c r="R163" s="53" t="str">
        <f aca="false">IF(AND($G163&lt;&gt;"",$I163&lt;&gt;""),$I163-$G163,"")</f>
        <v/>
      </c>
      <c r="S163" s="53" t="str">
        <f aca="false">IF(AND($H163&lt;&gt;"",$I163&lt;&gt;""),$I163-$H163,"")</f>
        <v/>
      </c>
      <c r="T163" s="53" t="str">
        <f aca="false">IF($J163&lt;&gt;"",$J163,"")</f>
        <v/>
      </c>
      <c r="V163" s="52" t="str">
        <f aca="false">IF($A163&lt;&gt;"",$A163,"")</f>
        <v>Apprenant 151</v>
      </c>
      <c r="W163" s="53" t="str">
        <f aca="false">IF(AND(OR('Choix pédagogiques'!$C$3=1,'Choix pédagogiques'!$C$3=2),$BM163=1),B163,IF(AND('Choix pédagogiques'!$C$3=3,$BO163=1),B163,""))</f>
        <v/>
      </c>
      <c r="X163" s="53" t="str">
        <f aca="false">IF(AND(OR('Choix pédagogiques'!$C$3=1,'Choix pédagogiques'!$C$3=2),$BM163=1),C163,IF(AND('Choix pédagogiques'!$C$3=3,$BO163=1),C163,""))</f>
        <v/>
      </c>
      <c r="Y163" s="53" t="str">
        <f aca="false">IF(AND(OR('Choix pédagogiques'!$C$3=1,'Choix pédagogiques'!$C$3=2),$BM163=1),D163,IF(AND('Choix pédagogiques'!$C$3=3,$BO163=1),D163,""))</f>
        <v/>
      </c>
      <c r="Z163" s="53" t="str">
        <f aca="false">IF($E163&lt;&gt;"",$E163,"")</f>
        <v/>
      </c>
      <c r="AA163" s="52" t="str">
        <f aca="false">IF($F163&lt;&gt;"",$F163,"")</f>
        <v>Apprenant 151 ou 151'</v>
      </c>
      <c r="AB163" s="53" t="str">
        <f aca="false">IF(AND(OR('Choix pédagogiques'!$C$3=1,'Choix pédagogiques'!$C$3=2),$BN163=1),G163,IF(AND('Choix pédagogiques'!$C$3=3,$BO163=1),G163,""))</f>
        <v/>
      </c>
      <c r="AC163" s="53" t="str">
        <f aca="false">IF(AND(OR('Choix pédagogiques'!$C$3=1,'Choix pédagogiques'!$C$3=2),$BN163=1),H163,IF(AND('Choix pédagogiques'!$C$3=3,$BO163=1),H163,""))</f>
        <v/>
      </c>
      <c r="AD163" s="53" t="str">
        <f aca="false">IF(AND(OR('Choix pédagogiques'!$C$3=1,'Choix pédagogiques'!$C$3=2),$BN163=1),I163,IF(AND('Choix pédagogiques'!$C$3=3,$BO163=1),I163,""))</f>
        <v/>
      </c>
      <c r="AE163" s="53" t="str">
        <f aca="false">IF($J163&lt;&gt;"",$J163,"")</f>
        <v/>
      </c>
      <c r="AF163" s="52" t="str">
        <f aca="false">IF($A163&lt;&gt;"",$A163,"")</f>
        <v>Apprenant 151</v>
      </c>
      <c r="AG163" s="53" t="str">
        <f aca="false">IF(AND($W163&lt;&gt;"",$X163&lt;&gt;""),$X163-$W163,"")</f>
        <v/>
      </c>
      <c r="AH163" s="53" t="str">
        <f aca="false">IF(AND($W163&lt;&gt;"",$Y163&lt;&gt;""),$Y163-$W163,"")</f>
        <v/>
      </c>
      <c r="AI163" s="53" t="str">
        <f aca="false">IF(AND($X163&lt;&gt;"",$Y163&lt;&gt;""),$Y163-$X163,"")</f>
        <v/>
      </c>
      <c r="AJ163" s="53" t="str">
        <f aca="false">IF($E163&lt;&gt;"",$E163,"")</f>
        <v/>
      </c>
      <c r="AK163" s="52" t="str">
        <f aca="false">IF($F163&lt;&gt;"",$F163,"")</f>
        <v>Apprenant 151 ou 151'</v>
      </c>
      <c r="AL163" s="53" t="str">
        <f aca="false">IF(AND($AB163&lt;&gt;"",$AC163&lt;&gt;""),$AC163-$AB163,"")</f>
        <v/>
      </c>
      <c r="AM163" s="53" t="str">
        <f aca="false">IF(AND($AB163&lt;&gt;"",$AD163&lt;&gt;""),$AD163-$AB163,"")</f>
        <v/>
      </c>
      <c r="AN163" s="53" t="str">
        <f aca="false">IF(AND($AC163&lt;&gt;"",$AD163&lt;&gt;""),$AD163-$AC163,"")</f>
        <v/>
      </c>
      <c r="AO163" s="53" t="str">
        <f aca="false">IF($J163&lt;&gt;"",$J163,"")</f>
        <v/>
      </c>
      <c r="AQ163" s="52" t="str">
        <f aca="false">IF($A163&lt;&gt;"",$A163,"")</f>
        <v>Apprenant 151</v>
      </c>
      <c r="AR163" s="55" t="str">
        <f aca="false">IF(AND('Choix pédagogiques'!$C$4&lt;&gt;"?",'Choix pédagogiques'!$C$5&lt;&gt;"?",W163&lt;&gt;""),(W163-'Choix pédagogiques'!$C$4)/('Choix pédagogiques'!$C$5-'Choix pédagogiques'!$C$4),"")</f>
        <v/>
      </c>
      <c r="AS163" s="55" t="str">
        <f aca="false">IF(AND('Choix pédagogiques'!$C$4&lt;&gt;"?",'Choix pédagogiques'!$C$5&lt;&gt;"?",X163&lt;&gt;""),(X163-'Choix pédagogiques'!$C$4)/('Choix pédagogiques'!$C$5-'Choix pédagogiques'!$C$4),"")</f>
        <v/>
      </c>
      <c r="AT163" s="55" t="str">
        <f aca="false">IF(AND('Choix pédagogiques'!$C$4&lt;&gt;"?",'Choix pédagogiques'!$C$5&lt;&gt;"?",Y163&lt;&gt;""),(Y163-'Choix pédagogiques'!$C$4)/('Choix pédagogiques'!$C$5-'Choix pédagogiques'!$C$4),"")</f>
        <v/>
      </c>
      <c r="AU163" s="53" t="str">
        <f aca="false">IF($E163&lt;&gt;"",$E163,"")</f>
        <v/>
      </c>
      <c r="AV163" s="52" t="str">
        <f aca="false">IF($F163&lt;&gt;"",$F163,"")</f>
        <v>Apprenant 151 ou 151'</v>
      </c>
      <c r="AW163" s="55" t="str">
        <f aca="false">IF(AND('Choix pédagogiques'!$C$4&lt;&gt;"?",'Choix pédagogiques'!$C$5&lt;&gt;"?",AB163&lt;&gt;""),(AB163-'Choix pédagogiques'!$C$4)/('Choix pédagogiques'!$C$5-'Choix pédagogiques'!$C$4),"")</f>
        <v/>
      </c>
      <c r="AX163" s="55" t="str">
        <f aca="false">IF(AND('Choix pédagogiques'!$C$4&lt;&gt;"?",'Choix pédagogiques'!$C$5&lt;&gt;"?",AC163&lt;&gt;""),(AC163-'Choix pédagogiques'!$C$4)/('Choix pédagogiques'!$C$5-'Choix pédagogiques'!$C$4),"")</f>
        <v/>
      </c>
      <c r="AY163" s="55" t="str">
        <f aca="false">IF(AND('Choix pédagogiques'!$C$4&lt;&gt;"?",'Choix pédagogiques'!$C$5&lt;&gt;"?",AD163&lt;&gt;""),(AD163-'Choix pédagogiques'!$C$4)/('Choix pédagogiques'!$C$5-'Choix pédagogiques'!$C$4),"")</f>
        <v/>
      </c>
      <c r="AZ163" s="53" t="str">
        <f aca="false">IF($J163&lt;&gt;"",$J163,"")</f>
        <v/>
      </c>
      <c r="BA163" s="52" t="str">
        <f aca="false">IF($A163&lt;&gt;"",$A163,"")</f>
        <v>Apprenant 151</v>
      </c>
      <c r="BB163" s="55" t="str">
        <f aca="false">IF(AND($AR163&lt;&gt;"",$AS163&lt;&gt;""),$AS163-$AR163,"")</f>
        <v/>
      </c>
      <c r="BC163" s="55" t="str">
        <f aca="false">IF(AND($AR163&lt;&gt;"",$AT163&lt;&gt;""),$AT163-$AR163,"")</f>
        <v/>
      </c>
      <c r="BD163" s="55" t="str">
        <f aca="false">IF(AND($AS163&lt;&gt;"",$AT163&lt;&gt;""),$AT163-$AS163,"")</f>
        <v/>
      </c>
      <c r="BE163" s="53" t="str">
        <f aca="false">IF($E163&lt;&gt;"",$E163,"")</f>
        <v/>
      </c>
      <c r="BF163" s="52" t="str">
        <f aca="false">IF($F163&lt;&gt;"",$F163,"")</f>
        <v>Apprenant 151 ou 151'</v>
      </c>
      <c r="BG163" s="55" t="str">
        <f aca="false">IF(AND($AW163&lt;&gt;"",$AX163&lt;&gt;""),$AX163-$AW163,"")</f>
        <v/>
      </c>
      <c r="BH163" s="55" t="str">
        <f aca="false">IF(AND($AW163&lt;&gt;"",$AY163&lt;&gt;""),$AY163-$AW163,"")</f>
        <v/>
      </c>
      <c r="BI163" s="55" t="str">
        <f aca="false">IF(AND($AX163&lt;&gt;"",$AY163&lt;&gt;""),$AY163-$AX163,"")</f>
        <v/>
      </c>
      <c r="BJ163" s="53" t="str">
        <f aca="false">IF($J163&lt;&gt;"",$J163,"")</f>
        <v/>
      </c>
      <c r="BL163" s="52"/>
      <c r="BM163" s="52" t="str">
        <f aca="false">IF(OR(COUNT(B163:D1162)=0,AND('Choix pédagogiques'!$C$3&lt;&gt;1,'Choix pédagogiques'!$C$3&lt;&gt;2)),"",IF(AND(OR('Choix pédagogiques'!$C$3=1,'Choix pédagogiques'!$C$3=2),$B163&lt;&gt;"",$C163&lt;&gt;"",$D163&lt;&gt;""),1,0))</f>
        <v/>
      </c>
      <c r="BN163" s="52" t="str">
        <f aca="false">IF(OR(COUNT(G163:I1162)=0,AND('Choix pédagogiques'!$C$3&lt;&gt;1,'Choix pédagogiques'!$C$3&lt;&gt;2)),"",IF(AND(OR('Choix pédagogiques'!$C$3=1,'Choix pédagogiques'!$C$3=2),AND($G163&lt;&gt;"",$H163&lt;&gt;"",$I163&lt;&gt;"")),1,0))</f>
        <v/>
      </c>
      <c r="BO163" s="52" t="str">
        <f aca="false">IF(OR(COUNT(B163:D1162)=0,COUNT(G163:I1162)=0,'Choix pédagogiques'!C$3&lt;&gt;3),"",IF(AND('Choix pédagogiques'!$C$3=3,$B163&lt;&gt;"",$C163&lt;&gt;"",$D163&lt;&gt;"",$G163&lt;&gt;"",$H163&lt;&gt;"",$I163&lt;&gt;""),1,0))</f>
        <v/>
      </c>
      <c r="BR163" s="52" t="n">
        <v>270</v>
      </c>
      <c r="BS163" s="52" t="n">
        <v>1489</v>
      </c>
    </row>
    <row r="164" s="54" customFormat="true" ht="18" hidden="false" customHeight="true" outlineLevel="0" collapsed="false">
      <c r="A164" s="57" t="s">
        <v>259</v>
      </c>
      <c r="B164" s="51"/>
      <c r="C164" s="51"/>
      <c r="D164" s="51"/>
      <c r="E164" s="51"/>
      <c r="F164" s="57" t="s">
        <v>260</v>
      </c>
      <c r="G164" s="51"/>
      <c r="H164" s="51"/>
      <c r="I164" s="51"/>
      <c r="J164" s="51"/>
      <c r="K164" s="52" t="str">
        <f aca="false">IF($A164&lt;&gt;"",$A164,"")</f>
        <v>Apprenant 152</v>
      </c>
      <c r="L164" s="53" t="str">
        <f aca="false">IF(AND($B164&lt;&gt;"",$C164&lt;&gt;""),$C164-$B164,"")</f>
        <v/>
      </c>
      <c r="M164" s="53" t="str">
        <f aca="false">IF(AND($B164&lt;&gt;"",$D164&lt;&gt;""),$D164-$B164,"")</f>
        <v/>
      </c>
      <c r="N164" s="53" t="str">
        <f aca="false">IF(AND($C164&lt;&gt;"",$D164&lt;&gt;""),$D164-$C164,"")</f>
        <v/>
      </c>
      <c r="O164" s="53" t="str">
        <f aca="false">IF($E164&lt;&gt;"",$E164,"")</f>
        <v/>
      </c>
      <c r="P164" s="52" t="str">
        <f aca="false">IF($F164&lt;&gt;"",$F164,"")</f>
        <v>Apprenant 152 ou 152'</v>
      </c>
      <c r="Q164" s="53" t="str">
        <f aca="false">IF(AND($G164&lt;&gt;"",$H164&lt;&gt;""),$H164-$G164,"")</f>
        <v/>
      </c>
      <c r="R164" s="53" t="str">
        <f aca="false">IF(AND($G164&lt;&gt;"",$I164&lt;&gt;""),$I164-$G164,"")</f>
        <v/>
      </c>
      <c r="S164" s="53" t="str">
        <f aca="false">IF(AND($H164&lt;&gt;"",$I164&lt;&gt;""),$I164-$H164,"")</f>
        <v/>
      </c>
      <c r="T164" s="53" t="str">
        <f aca="false">IF($J164&lt;&gt;"",$J164,"")</f>
        <v/>
      </c>
      <c r="V164" s="52" t="str">
        <f aca="false">IF($A164&lt;&gt;"",$A164,"")</f>
        <v>Apprenant 152</v>
      </c>
      <c r="W164" s="53" t="str">
        <f aca="false">IF(AND(OR('Choix pédagogiques'!$C$3=1,'Choix pédagogiques'!$C$3=2),$BM164=1),B164,IF(AND('Choix pédagogiques'!$C$3=3,$BO164=1),B164,""))</f>
        <v/>
      </c>
      <c r="X164" s="53" t="str">
        <f aca="false">IF(AND(OR('Choix pédagogiques'!$C$3=1,'Choix pédagogiques'!$C$3=2),$BM164=1),C164,IF(AND('Choix pédagogiques'!$C$3=3,$BO164=1),C164,""))</f>
        <v/>
      </c>
      <c r="Y164" s="53" t="str">
        <f aca="false">IF(AND(OR('Choix pédagogiques'!$C$3=1,'Choix pédagogiques'!$C$3=2),$BM164=1),D164,IF(AND('Choix pédagogiques'!$C$3=3,$BO164=1),D164,""))</f>
        <v/>
      </c>
      <c r="Z164" s="53" t="str">
        <f aca="false">IF($E164&lt;&gt;"",$E164,"")</f>
        <v/>
      </c>
      <c r="AA164" s="52" t="str">
        <f aca="false">IF($F164&lt;&gt;"",$F164,"")</f>
        <v>Apprenant 152 ou 152'</v>
      </c>
      <c r="AB164" s="53" t="str">
        <f aca="false">IF(AND(OR('Choix pédagogiques'!$C$3=1,'Choix pédagogiques'!$C$3=2),$BN164=1),G164,IF(AND('Choix pédagogiques'!$C$3=3,$BO164=1),G164,""))</f>
        <v/>
      </c>
      <c r="AC164" s="53" t="str">
        <f aca="false">IF(AND(OR('Choix pédagogiques'!$C$3=1,'Choix pédagogiques'!$C$3=2),$BN164=1),H164,IF(AND('Choix pédagogiques'!$C$3=3,$BO164=1),H164,""))</f>
        <v/>
      </c>
      <c r="AD164" s="53" t="str">
        <f aca="false">IF(AND(OR('Choix pédagogiques'!$C$3=1,'Choix pédagogiques'!$C$3=2),$BN164=1),I164,IF(AND('Choix pédagogiques'!$C$3=3,$BO164=1),I164,""))</f>
        <v/>
      </c>
      <c r="AE164" s="53" t="str">
        <f aca="false">IF($J164&lt;&gt;"",$J164,"")</f>
        <v/>
      </c>
      <c r="AF164" s="52" t="str">
        <f aca="false">IF($A164&lt;&gt;"",$A164,"")</f>
        <v>Apprenant 152</v>
      </c>
      <c r="AG164" s="53" t="str">
        <f aca="false">IF(AND($W164&lt;&gt;"",$X164&lt;&gt;""),$X164-$W164,"")</f>
        <v/>
      </c>
      <c r="AH164" s="53" t="str">
        <f aca="false">IF(AND($W164&lt;&gt;"",$Y164&lt;&gt;""),$Y164-$W164,"")</f>
        <v/>
      </c>
      <c r="AI164" s="53" t="str">
        <f aca="false">IF(AND($X164&lt;&gt;"",$Y164&lt;&gt;""),$Y164-$X164,"")</f>
        <v/>
      </c>
      <c r="AJ164" s="53" t="str">
        <f aca="false">IF($E164&lt;&gt;"",$E164,"")</f>
        <v/>
      </c>
      <c r="AK164" s="52" t="str">
        <f aca="false">IF($F164&lt;&gt;"",$F164,"")</f>
        <v>Apprenant 152 ou 152'</v>
      </c>
      <c r="AL164" s="53" t="str">
        <f aca="false">IF(AND($AB164&lt;&gt;"",$AC164&lt;&gt;""),$AC164-$AB164,"")</f>
        <v/>
      </c>
      <c r="AM164" s="53" t="str">
        <f aca="false">IF(AND($AB164&lt;&gt;"",$AD164&lt;&gt;""),$AD164-$AB164,"")</f>
        <v/>
      </c>
      <c r="AN164" s="53" t="str">
        <f aca="false">IF(AND($AC164&lt;&gt;"",$AD164&lt;&gt;""),$AD164-$AC164,"")</f>
        <v/>
      </c>
      <c r="AO164" s="53" t="str">
        <f aca="false">IF($J164&lt;&gt;"",$J164,"")</f>
        <v/>
      </c>
      <c r="AQ164" s="52" t="str">
        <f aca="false">IF($A164&lt;&gt;"",$A164,"")</f>
        <v>Apprenant 152</v>
      </c>
      <c r="AR164" s="55" t="str">
        <f aca="false">IF(AND('Choix pédagogiques'!$C$4&lt;&gt;"?",'Choix pédagogiques'!$C$5&lt;&gt;"?",W164&lt;&gt;""),(W164-'Choix pédagogiques'!$C$4)/('Choix pédagogiques'!$C$5-'Choix pédagogiques'!$C$4),"")</f>
        <v/>
      </c>
      <c r="AS164" s="55" t="str">
        <f aca="false">IF(AND('Choix pédagogiques'!$C$4&lt;&gt;"?",'Choix pédagogiques'!$C$5&lt;&gt;"?",X164&lt;&gt;""),(X164-'Choix pédagogiques'!$C$4)/('Choix pédagogiques'!$C$5-'Choix pédagogiques'!$C$4),"")</f>
        <v/>
      </c>
      <c r="AT164" s="55" t="str">
        <f aca="false">IF(AND('Choix pédagogiques'!$C$4&lt;&gt;"?",'Choix pédagogiques'!$C$5&lt;&gt;"?",Y164&lt;&gt;""),(Y164-'Choix pédagogiques'!$C$4)/('Choix pédagogiques'!$C$5-'Choix pédagogiques'!$C$4),"")</f>
        <v/>
      </c>
      <c r="AU164" s="53" t="str">
        <f aca="false">IF($E164&lt;&gt;"",$E164,"")</f>
        <v/>
      </c>
      <c r="AV164" s="52" t="str">
        <f aca="false">IF($F164&lt;&gt;"",$F164,"")</f>
        <v>Apprenant 152 ou 152'</v>
      </c>
      <c r="AW164" s="55" t="str">
        <f aca="false">IF(AND('Choix pédagogiques'!$C$4&lt;&gt;"?",'Choix pédagogiques'!$C$5&lt;&gt;"?",AB164&lt;&gt;""),(AB164-'Choix pédagogiques'!$C$4)/('Choix pédagogiques'!$C$5-'Choix pédagogiques'!$C$4),"")</f>
        <v/>
      </c>
      <c r="AX164" s="55" t="str">
        <f aca="false">IF(AND('Choix pédagogiques'!$C$4&lt;&gt;"?",'Choix pédagogiques'!$C$5&lt;&gt;"?",AC164&lt;&gt;""),(AC164-'Choix pédagogiques'!$C$4)/('Choix pédagogiques'!$C$5-'Choix pédagogiques'!$C$4),"")</f>
        <v/>
      </c>
      <c r="AY164" s="55" t="str">
        <f aca="false">IF(AND('Choix pédagogiques'!$C$4&lt;&gt;"?",'Choix pédagogiques'!$C$5&lt;&gt;"?",AD164&lt;&gt;""),(AD164-'Choix pédagogiques'!$C$4)/('Choix pédagogiques'!$C$5-'Choix pédagogiques'!$C$4),"")</f>
        <v/>
      </c>
      <c r="AZ164" s="53" t="str">
        <f aca="false">IF($J164&lt;&gt;"",$J164,"")</f>
        <v/>
      </c>
      <c r="BA164" s="52" t="str">
        <f aca="false">IF($A164&lt;&gt;"",$A164,"")</f>
        <v>Apprenant 152</v>
      </c>
      <c r="BB164" s="55" t="str">
        <f aca="false">IF(AND($AR164&lt;&gt;"",$AS164&lt;&gt;""),$AS164-$AR164,"")</f>
        <v/>
      </c>
      <c r="BC164" s="55" t="str">
        <f aca="false">IF(AND($AR164&lt;&gt;"",$AT164&lt;&gt;""),$AT164-$AR164,"")</f>
        <v/>
      </c>
      <c r="BD164" s="55" t="str">
        <f aca="false">IF(AND($AS164&lt;&gt;"",$AT164&lt;&gt;""),$AT164-$AS164,"")</f>
        <v/>
      </c>
      <c r="BE164" s="53" t="str">
        <f aca="false">IF($E164&lt;&gt;"",$E164,"")</f>
        <v/>
      </c>
      <c r="BF164" s="52" t="str">
        <f aca="false">IF($F164&lt;&gt;"",$F164,"")</f>
        <v>Apprenant 152 ou 152'</v>
      </c>
      <c r="BG164" s="55" t="str">
        <f aca="false">IF(AND($AW164&lt;&gt;"",$AX164&lt;&gt;""),$AX164-$AW164,"")</f>
        <v/>
      </c>
      <c r="BH164" s="55" t="str">
        <f aca="false">IF(AND($AW164&lt;&gt;"",$AY164&lt;&gt;""),$AY164-$AW164,"")</f>
        <v/>
      </c>
      <c r="BI164" s="55" t="str">
        <f aca="false">IF(AND($AX164&lt;&gt;"",$AY164&lt;&gt;""),$AY164-$AX164,"")</f>
        <v/>
      </c>
      <c r="BJ164" s="53" t="str">
        <f aca="false">IF($J164&lt;&gt;"",$J164,"")</f>
        <v/>
      </c>
      <c r="BL164" s="52"/>
      <c r="BM164" s="52" t="str">
        <f aca="false">IF(OR(COUNT(B164:D1163)=0,AND('Choix pédagogiques'!$C$3&lt;&gt;1,'Choix pédagogiques'!$C$3&lt;&gt;2)),"",IF(AND(OR('Choix pédagogiques'!$C$3=1,'Choix pédagogiques'!$C$3=2),$B164&lt;&gt;"",$C164&lt;&gt;"",$D164&lt;&gt;""),1,0))</f>
        <v/>
      </c>
      <c r="BN164" s="52" t="str">
        <f aca="false">IF(OR(COUNT(G164:I1163)=0,AND('Choix pédagogiques'!$C$3&lt;&gt;1,'Choix pédagogiques'!$C$3&lt;&gt;2)),"",IF(AND(OR('Choix pédagogiques'!$C$3=1,'Choix pédagogiques'!$C$3=2),AND($G164&lt;&gt;"",$H164&lt;&gt;"",$I164&lt;&gt;"")),1,0))</f>
        <v/>
      </c>
      <c r="BO164" s="52" t="str">
        <f aca="false">IF(OR(COUNT(B164:D1163)=0,COUNT(G164:I1163)=0,'Choix pédagogiques'!C$3&lt;&gt;3),"",IF(AND('Choix pédagogiques'!$C$3=3,$B164&lt;&gt;"",$C164&lt;&gt;"",$D164&lt;&gt;"",$G164&lt;&gt;"",$H164&lt;&gt;"",$I164&lt;&gt;""),1,0))</f>
        <v/>
      </c>
      <c r="BR164" s="52" t="n">
        <v>474</v>
      </c>
      <c r="BS164" s="52" t="n">
        <v>1079</v>
      </c>
    </row>
    <row r="165" s="54" customFormat="true" ht="18" hidden="false" customHeight="true" outlineLevel="0" collapsed="false">
      <c r="A165" s="57" t="s">
        <v>261</v>
      </c>
      <c r="B165" s="51"/>
      <c r="C165" s="51"/>
      <c r="D165" s="51"/>
      <c r="E165" s="51"/>
      <c r="F165" s="57" t="s">
        <v>262</v>
      </c>
      <c r="G165" s="51"/>
      <c r="H165" s="51"/>
      <c r="I165" s="51"/>
      <c r="J165" s="51"/>
      <c r="K165" s="52" t="str">
        <f aca="false">IF($A165&lt;&gt;"",$A165,"")</f>
        <v>Apprenant 153</v>
      </c>
      <c r="L165" s="53" t="str">
        <f aca="false">IF(AND($B165&lt;&gt;"",$C165&lt;&gt;""),$C165-$B165,"")</f>
        <v/>
      </c>
      <c r="M165" s="53" t="str">
        <f aca="false">IF(AND($B165&lt;&gt;"",$D165&lt;&gt;""),$D165-$B165,"")</f>
        <v/>
      </c>
      <c r="N165" s="53" t="str">
        <f aca="false">IF(AND($C165&lt;&gt;"",$D165&lt;&gt;""),$D165-$C165,"")</f>
        <v/>
      </c>
      <c r="O165" s="53" t="str">
        <f aca="false">IF($E165&lt;&gt;"",$E165,"")</f>
        <v/>
      </c>
      <c r="P165" s="52" t="str">
        <f aca="false">IF($F165&lt;&gt;"",$F165,"")</f>
        <v>Apprenant 153 ou 153'</v>
      </c>
      <c r="Q165" s="53" t="str">
        <f aca="false">IF(AND($G165&lt;&gt;"",$H165&lt;&gt;""),$H165-$G165,"")</f>
        <v/>
      </c>
      <c r="R165" s="53" t="str">
        <f aca="false">IF(AND($G165&lt;&gt;"",$I165&lt;&gt;""),$I165-$G165,"")</f>
        <v/>
      </c>
      <c r="S165" s="53" t="str">
        <f aca="false">IF(AND($H165&lt;&gt;"",$I165&lt;&gt;""),$I165-$H165,"")</f>
        <v/>
      </c>
      <c r="T165" s="53" t="str">
        <f aca="false">IF($J165&lt;&gt;"",$J165,"")</f>
        <v/>
      </c>
      <c r="V165" s="52" t="str">
        <f aca="false">IF($A165&lt;&gt;"",$A165,"")</f>
        <v>Apprenant 153</v>
      </c>
      <c r="W165" s="53" t="str">
        <f aca="false">IF(AND(OR('Choix pédagogiques'!$C$3=1,'Choix pédagogiques'!$C$3=2),$BM165=1),B165,IF(AND('Choix pédagogiques'!$C$3=3,$BO165=1),B165,""))</f>
        <v/>
      </c>
      <c r="X165" s="53" t="str">
        <f aca="false">IF(AND(OR('Choix pédagogiques'!$C$3=1,'Choix pédagogiques'!$C$3=2),$BM165=1),C165,IF(AND('Choix pédagogiques'!$C$3=3,$BO165=1),C165,""))</f>
        <v/>
      </c>
      <c r="Y165" s="53" t="str">
        <f aca="false">IF(AND(OR('Choix pédagogiques'!$C$3=1,'Choix pédagogiques'!$C$3=2),$BM165=1),D165,IF(AND('Choix pédagogiques'!$C$3=3,$BO165=1),D165,""))</f>
        <v/>
      </c>
      <c r="Z165" s="53" t="str">
        <f aca="false">IF($E165&lt;&gt;"",$E165,"")</f>
        <v/>
      </c>
      <c r="AA165" s="52" t="str">
        <f aca="false">IF($F165&lt;&gt;"",$F165,"")</f>
        <v>Apprenant 153 ou 153'</v>
      </c>
      <c r="AB165" s="53" t="str">
        <f aca="false">IF(AND(OR('Choix pédagogiques'!$C$3=1,'Choix pédagogiques'!$C$3=2),$BN165=1),G165,IF(AND('Choix pédagogiques'!$C$3=3,$BO165=1),G165,""))</f>
        <v/>
      </c>
      <c r="AC165" s="53" t="str">
        <f aca="false">IF(AND(OR('Choix pédagogiques'!$C$3=1,'Choix pédagogiques'!$C$3=2),$BN165=1),H165,IF(AND('Choix pédagogiques'!$C$3=3,$BO165=1),H165,""))</f>
        <v/>
      </c>
      <c r="AD165" s="53" t="str">
        <f aca="false">IF(AND(OR('Choix pédagogiques'!$C$3=1,'Choix pédagogiques'!$C$3=2),$BN165=1),I165,IF(AND('Choix pédagogiques'!$C$3=3,$BO165=1),I165,""))</f>
        <v/>
      </c>
      <c r="AE165" s="53" t="str">
        <f aca="false">IF($J165&lt;&gt;"",$J165,"")</f>
        <v/>
      </c>
      <c r="AF165" s="52" t="str">
        <f aca="false">IF($A165&lt;&gt;"",$A165,"")</f>
        <v>Apprenant 153</v>
      </c>
      <c r="AG165" s="53" t="str">
        <f aca="false">IF(AND($W165&lt;&gt;"",$X165&lt;&gt;""),$X165-$W165,"")</f>
        <v/>
      </c>
      <c r="AH165" s="53" t="str">
        <f aca="false">IF(AND($W165&lt;&gt;"",$Y165&lt;&gt;""),$Y165-$W165,"")</f>
        <v/>
      </c>
      <c r="AI165" s="53" t="str">
        <f aca="false">IF(AND($X165&lt;&gt;"",$Y165&lt;&gt;""),$Y165-$X165,"")</f>
        <v/>
      </c>
      <c r="AJ165" s="53" t="str">
        <f aca="false">IF($E165&lt;&gt;"",$E165,"")</f>
        <v/>
      </c>
      <c r="AK165" s="52" t="str">
        <f aca="false">IF($F165&lt;&gt;"",$F165,"")</f>
        <v>Apprenant 153 ou 153'</v>
      </c>
      <c r="AL165" s="53" t="str">
        <f aca="false">IF(AND($AB165&lt;&gt;"",$AC165&lt;&gt;""),$AC165-$AB165,"")</f>
        <v/>
      </c>
      <c r="AM165" s="53" t="str">
        <f aca="false">IF(AND($AB165&lt;&gt;"",$AD165&lt;&gt;""),$AD165-$AB165,"")</f>
        <v/>
      </c>
      <c r="AN165" s="53" t="str">
        <f aca="false">IF(AND($AC165&lt;&gt;"",$AD165&lt;&gt;""),$AD165-$AC165,"")</f>
        <v/>
      </c>
      <c r="AO165" s="53" t="str">
        <f aca="false">IF($J165&lt;&gt;"",$J165,"")</f>
        <v/>
      </c>
      <c r="AQ165" s="52" t="str">
        <f aca="false">IF($A165&lt;&gt;"",$A165,"")</f>
        <v>Apprenant 153</v>
      </c>
      <c r="AR165" s="55" t="str">
        <f aca="false">IF(AND('Choix pédagogiques'!$C$4&lt;&gt;"?",'Choix pédagogiques'!$C$5&lt;&gt;"?",W165&lt;&gt;""),(W165-'Choix pédagogiques'!$C$4)/('Choix pédagogiques'!$C$5-'Choix pédagogiques'!$C$4),"")</f>
        <v/>
      </c>
      <c r="AS165" s="55" t="str">
        <f aca="false">IF(AND('Choix pédagogiques'!$C$4&lt;&gt;"?",'Choix pédagogiques'!$C$5&lt;&gt;"?",X165&lt;&gt;""),(X165-'Choix pédagogiques'!$C$4)/('Choix pédagogiques'!$C$5-'Choix pédagogiques'!$C$4),"")</f>
        <v/>
      </c>
      <c r="AT165" s="55" t="str">
        <f aca="false">IF(AND('Choix pédagogiques'!$C$4&lt;&gt;"?",'Choix pédagogiques'!$C$5&lt;&gt;"?",Y165&lt;&gt;""),(Y165-'Choix pédagogiques'!$C$4)/('Choix pédagogiques'!$C$5-'Choix pédagogiques'!$C$4),"")</f>
        <v/>
      </c>
      <c r="AU165" s="53" t="str">
        <f aca="false">IF($E165&lt;&gt;"",$E165,"")</f>
        <v/>
      </c>
      <c r="AV165" s="52" t="str">
        <f aca="false">IF($F165&lt;&gt;"",$F165,"")</f>
        <v>Apprenant 153 ou 153'</v>
      </c>
      <c r="AW165" s="55" t="str">
        <f aca="false">IF(AND('Choix pédagogiques'!$C$4&lt;&gt;"?",'Choix pédagogiques'!$C$5&lt;&gt;"?",AB165&lt;&gt;""),(AB165-'Choix pédagogiques'!$C$4)/('Choix pédagogiques'!$C$5-'Choix pédagogiques'!$C$4),"")</f>
        <v/>
      </c>
      <c r="AX165" s="55" t="str">
        <f aca="false">IF(AND('Choix pédagogiques'!$C$4&lt;&gt;"?",'Choix pédagogiques'!$C$5&lt;&gt;"?",AC165&lt;&gt;""),(AC165-'Choix pédagogiques'!$C$4)/('Choix pédagogiques'!$C$5-'Choix pédagogiques'!$C$4),"")</f>
        <v/>
      </c>
      <c r="AY165" s="55" t="str">
        <f aca="false">IF(AND('Choix pédagogiques'!$C$4&lt;&gt;"?",'Choix pédagogiques'!$C$5&lt;&gt;"?",AD165&lt;&gt;""),(AD165-'Choix pédagogiques'!$C$4)/('Choix pédagogiques'!$C$5-'Choix pédagogiques'!$C$4),"")</f>
        <v/>
      </c>
      <c r="AZ165" s="53" t="str">
        <f aca="false">IF($J165&lt;&gt;"",$J165,"")</f>
        <v/>
      </c>
      <c r="BA165" s="52" t="str">
        <f aca="false">IF($A165&lt;&gt;"",$A165,"")</f>
        <v>Apprenant 153</v>
      </c>
      <c r="BB165" s="55" t="str">
        <f aca="false">IF(AND($AR165&lt;&gt;"",$AS165&lt;&gt;""),$AS165-$AR165,"")</f>
        <v/>
      </c>
      <c r="BC165" s="55" t="str">
        <f aca="false">IF(AND($AR165&lt;&gt;"",$AT165&lt;&gt;""),$AT165-$AR165,"")</f>
        <v/>
      </c>
      <c r="BD165" s="55" t="str">
        <f aca="false">IF(AND($AS165&lt;&gt;"",$AT165&lt;&gt;""),$AT165-$AS165,"")</f>
        <v/>
      </c>
      <c r="BE165" s="53" t="str">
        <f aca="false">IF($E165&lt;&gt;"",$E165,"")</f>
        <v/>
      </c>
      <c r="BF165" s="52" t="str">
        <f aca="false">IF($F165&lt;&gt;"",$F165,"")</f>
        <v>Apprenant 153 ou 153'</v>
      </c>
      <c r="BG165" s="55" t="str">
        <f aca="false">IF(AND($AW165&lt;&gt;"",$AX165&lt;&gt;""),$AX165-$AW165,"")</f>
        <v/>
      </c>
      <c r="BH165" s="55" t="str">
        <f aca="false">IF(AND($AW165&lt;&gt;"",$AY165&lt;&gt;""),$AY165-$AW165,"")</f>
        <v/>
      </c>
      <c r="BI165" s="55" t="str">
        <f aca="false">IF(AND($AX165&lt;&gt;"",$AY165&lt;&gt;""),$AY165-$AX165,"")</f>
        <v/>
      </c>
      <c r="BJ165" s="53" t="str">
        <f aca="false">IF($J165&lt;&gt;"",$J165,"")</f>
        <v/>
      </c>
      <c r="BL165" s="52"/>
      <c r="BM165" s="52" t="str">
        <f aca="false">IF(OR(COUNT(B165:D1164)=0,AND('Choix pédagogiques'!$C$3&lt;&gt;1,'Choix pédagogiques'!$C$3&lt;&gt;2)),"",IF(AND(OR('Choix pédagogiques'!$C$3=1,'Choix pédagogiques'!$C$3=2),$B165&lt;&gt;"",$C165&lt;&gt;"",$D165&lt;&gt;""),1,0))</f>
        <v/>
      </c>
      <c r="BN165" s="52" t="str">
        <f aca="false">IF(OR(COUNT(G165:I1164)=0,AND('Choix pédagogiques'!$C$3&lt;&gt;1,'Choix pédagogiques'!$C$3&lt;&gt;2)),"",IF(AND(OR('Choix pédagogiques'!$C$3=1,'Choix pédagogiques'!$C$3=2),AND($G165&lt;&gt;"",$H165&lt;&gt;"",$I165&lt;&gt;"")),1,0))</f>
        <v/>
      </c>
      <c r="BO165" s="52" t="str">
        <f aca="false">IF(OR(COUNT(B165:D1164)=0,COUNT(G165:I1164)=0,'Choix pédagogiques'!C$3&lt;&gt;3),"",IF(AND('Choix pédagogiques'!$C$3=3,$B165&lt;&gt;"",$C165&lt;&gt;"",$D165&lt;&gt;"",$G165&lt;&gt;"",$H165&lt;&gt;"",$I165&lt;&gt;""),1,0))</f>
        <v/>
      </c>
      <c r="BR165" s="52" t="n">
        <v>985</v>
      </c>
      <c r="BS165" s="52" t="n">
        <v>1967</v>
      </c>
    </row>
    <row r="166" s="54" customFormat="true" ht="18" hidden="false" customHeight="true" outlineLevel="0" collapsed="false">
      <c r="A166" s="57" t="s">
        <v>263</v>
      </c>
      <c r="B166" s="51"/>
      <c r="C166" s="51"/>
      <c r="D166" s="51"/>
      <c r="E166" s="51"/>
      <c r="F166" s="57" t="s">
        <v>264</v>
      </c>
      <c r="G166" s="51"/>
      <c r="H166" s="51"/>
      <c r="I166" s="51"/>
      <c r="J166" s="51"/>
      <c r="K166" s="52" t="str">
        <f aca="false">IF($A166&lt;&gt;"",$A166,"")</f>
        <v>Apprenant 154</v>
      </c>
      <c r="L166" s="53" t="str">
        <f aca="false">IF(AND($B166&lt;&gt;"",$C166&lt;&gt;""),$C166-$B166,"")</f>
        <v/>
      </c>
      <c r="M166" s="53" t="str">
        <f aca="false">IF(AND($B166&lt;&gt;"",$D166&lt;&gt;""),$D166-$B166,"")</f>
        <v/>
      </c>
      <c r="N166" s="53" t="str">
        <f aca="false">IF(AND($C166&lt;&gt;"",$D166&lt;&gt;""),$D166-$C166,"")</f>
        <v/>
      </c>
      <c r="O166" s="53" t="str">
        <f aca="false">IF($E166&lt;&gt;"",$E166,"")</f>
        <v/>
      </c>
      <c r="P166" s="52" t="str">
        <f aca="false">IF($F166&lt;&gt;"",$F166,"")</f>
        <v>Apprenant 154 ou 154'</v>
      </c>
      <c r="Q166" s="53" t="str">
        <f aca="false">IF(AND($G166&lt;&gt;"",$H166&lt;&gt;""),$H166-$G166,"")</f>
        <v/>
      </c>
      <c r="R166" s="53" t="str">
        <f aca="false">IF(AND($G166&lt;&gt;"",$I166&lt;&gt;""),$I166-$G166,"")</f>
        <v/>
      </c>
      <c r="S166" s="53" t="str">
        <f aca="false">IF(AND($H166&lt;&gt;"",$I166&lt;&gt;""),$I166-$H166,"")</f>
        <v/>
      </c>
      <c r="T166" s="53" t="str">
        <f aca="false">IF($J166&lt;&gt;"",$J166,"")</f>
        <v/>
      </c>
      <c r="V166" s="52" t="str">
        <f aca="false">IF($A166&lt;&gt;"",$A166,"")</f>
        <v>Apprenant 154</v>
      </c>
      <c r="W166" s="53" t="str">
        <f aca="false">IF(AND(OR('Choix pédagogiques'!$C$3=1,'Choix pédagogiques'!$C$3=2),$BM166=1),B166,IF(AND('Choix pédagogiques'!$C$3=3,$BO166=1),B166,""))</f>
        <v/>
      </c>
      <c r="X166" s="53" t="str">
        <f aca="false">IF(AND(OR('Choix pédagogiques'!$C$3=1,'Choix pédagogiques'!$C$3=2),$BM166=1),C166,IF(AND('Choix pédagogiques'!$C$3=3,$BO166=1),C166,""))</f>
        <v/>
      </c>
      <c r="Y166" s="53" t="str">
        <f aca="false">IF(AND(OR('Choix pédagogiques'!$C$3=1,'Choix pédagogiques'!$C$3=2),$BM166=1),D166,IF(AND('Choix pédagogiques'!$C$3=3,$BO166=1),D166,""))</f>
        <v/>
      </c>
      <c r="Z166" s="53" t="str">
        <f aca="false">IF($E166&lt;&gt;"",$E166,"")</f>
        <v/>
      </c>
      <c r="AA166" s="52" t="str">
        <f aca="false">IF($F166&lt;&gt;"",$F166,"")</f>
        <v>Apprenant 154 ou 154'</v>
      </c>
      <c r="AB166" s="53" t="str">
        <f aca="false">IF(AND(OR('Choix pédagogiques'!$C$3=1,'Choix pédagogiques'!$C$3=2),$BN166=1),G166,IF(AND('Choix pédagogiques'!$C$3=3,$BO166=1),G166,""))</f>
        <v/>
      </c>
      <c r="AC166" s="53" t="str">
        <f aca="false">IF(AND(OR('Choix pédagogiques'!$C$3=1,'Choix pédagogiques'!$C$3=2),$BN166=1),H166,IF(AND('Choix pédagogiques'!$C$3=3,$BO166=1),H166,""))</f>
        <v/>
      </c>
      <c r="AD166" s="53" t="str">
        <f aca="false">IF(AND(OR('Choix pédagogiques'!$C$3=1,'Choix pédagogiques'!$C$3=2),$BN166=1),I166,IF(AND('Choix pédagogiques'!$C$3=3,$BO166=1),I166,""))</f>
        <v/>
      </c>
      <c r="AE166" s="53" t="str">
        <f aca="false">IF($J166&lt;&gt;"",$J166,"")</f>
        <v/>
      </c>
      <c r="AF166" s="52" t="str">
        <f aca="false">IF($A166&lt;&gt;"",$A166,"")</f>
        <v>Apprenant 154</v>
      </c>
      <c r="AG166" s="53" t="str">
        <f aca="false">IF(AND($W166&lt;&gt;"",$X166&lt;&gt;""),$X166-$W166,"")</f>
        <v/>
      </c>
      <c r="AH166" s="53" t="str">
        <f aca="false">IF(AND($W166&lt;&gt;"",$Y166&lt;&gt;""),$Y166-$W166,"")</f>
        <v/>
      </c>
      <c r="AI166" s="53" t="str">
        <f aca="false">IF(AND($X166&lt;&gt;"",$Y166&lt;&gt;""),$Y166-$X166,"")</f>
        <v/>
      </c>
      <c r="AJ166" s="53" t="str">
        <f aca="false">IF($E166&lt;&gt;"",$E166,"")</f>
        <v/>
      </c>
      <c r="AK166" s="52" t="str">
        <f aca="false">IF($F166&lt;&gt;"",$F166,"")</f>
        <v>Apprenant 154 ou 154'</v>
      </c>
      <c r="AL166" s="53" t="str">
        <f aca="false">IF(AND($AB166&lt;&gt;"",$AC166&lt;&gt;""),$AC166-$AB166,"")</f>
        <v/>
      </c>
      <c r="AM166" s="53" t="str">
        <f aca="false">IF(AND($AB166&lt;&gt;"",$AD166&lt;&gt;""),$AD166-$AB166,"")</f>
        <v/>
      </c>
      <c r="AN166" s="53" t="str">
        <f aca="false">IF(AND($AC166&lt;&gt;"",$AD166&lt;&gt;""),$AD166-$AC166,"")</f>
        <v/>
      </c>
      <c r="AO166" s="53" t="str">
        <f aca="false">IF($J166&lt;&gt;"",$J166,"")</f>
        <v/>
      </c>
      <c r="AQ166" s="52" t="str">
        <f aca="false">IF($A166&lt;&gt;"",$A166,"")</f>
        <v>Apprenant 154</v>
      </c>
      <c r="AR166" s="55" t="str">
        <f aca="false">IF(AND('Choix pédagogiques'!$C$4&lt;&gt;"?",'Choix pédagogiques'!$C$5&lt;&gt;"?",W166&lt;&gt;""),(W166-'Choix pédagogiques'!$C$4)/('Choix pédagogiques'!$C$5-'Choix pédagogiques'!$C$4),"")</f>
        <v/>
      </c>
      <c r="AS166" s="55" t="str">
        <f aca="false">IF(AND('Choix pédagogiques'!$C$4&lt;&gt;"?",'Choix pédagogiques'!$C$5&lt;&gt;"?",X166&lt;&gt;""),(X166-'Choix pédagogiques'!$C$4)/('Choix pédagogiques'!$C$5-'Choix pédagogiques'!$C$4),"")</f>
        <v/>
      </c>
      <c r="AT166" s="55" t="str">
        <f aca="false">IF(AND('Choix pédagogiques'!$C$4&lt;&gt;"?",'Choix pédagogiques'!$C$5&lt;&gt;"?",Y166&lt;&gt;""),(Y166-'Choix pédagogiques'!$C$4)/('Choix pédagogiques'!$C$5-'Choix pédagogiques'!$C$4),"")</f>
        <v/>
      </c>
      <c r="AU166" s="53" t="str">
        <f aca="false">IF($E166&lt;&gt;"",$E166,"")</f>
        <v/>
      </c>
      <c r="AV166" s="52" t="str">
        <f aca="false">IF($F166&lt;&gt;"",$F166,"")</f>
        <v>Apprenant 154 ou 154'</v>
      </c>
      <c r="AW166" s="55" t="str">
        <f aca="false">IF(AND('Choix pédagogiques'!$C$4&lt;&gt;"?",'Choix pédagogiques'!$C$5&lt;&gt;"?",AB166&lt;&gt;""),(AB166-'Choix pédagogiques'!$C$4)/('Choix pédagogiques'!$C$5-'Choix pédagogiques'!$C$4),"")</f>
        <v/>
      </c>
      <c r="AX166" s="55" t="str">
        <f aca="false">IF(AND('Choix pédagogiques'!$C$4&lt;&gt;"?",'Choix pédagogiques'!$C$5&lt;&gt;"?",AC166&lt;&gt;""),(AC166-'Choix pédagogiques'!$C$4)/('Choix pédagogiques'!$C$5-'Choix pédagogiques'!$C$4),"")</f>
        <v/>
      </c>
      <c r="AY166" s="55" t="str">
        <f aca="false">IF(AND('Choix pédagogiques'!$C$4&lt;&gt;"?",'Choix pédagogiques'!$C$5&lt;&gt;"?",AD166&lt;&gt;""),(AD166-'Choix pédagogiques'!$C$4)/('Choix pédagogiques'!$C$5-'Choix pédagogiques'!$C$4),"")</f>
        <v/>
      </c>
      <c r="AZ166" s="53" t="str">
        <f aca="false">IF($J166&lt;&gt;"",$J166,"")</f>
        <v/>
      </c>
      <c r="BA166" s="52" t="str">
        <f aca="false">IF($A166&lt;&gt;"",$A166,"")</f>
        <v>Apprenant 154</v>
      </c>
      <c r="BB166" s="55" t="str">
        <f aca="false">IF(AND($AR166&lt;&gt;"",$AS166&lt;&gt;""),$AS166-$AR166,"")</f>
        <v/>
      </c>
      <c r="BC166" s="55" t="str">
        <f aca="false">IF(AND($AR166&lt;&gt;"",$AT166&lt;&gt;""),$AT166-$AR166,"")</f>
        <v/>
      </c>
      <c r="BD166" s="55" t="str">
        <f aca="false">IF(AND($AS166&lt;&gt;"",$AT166&lt;&gt;""),$AT166-$AS166,"")</f>
        <v/>
      </c>
      <c r="BE166" s="53" t="str">
        <f aca="false">IF($E166&lt;&gt;"",$E166,"")</f>
        <v/>
      </c>
      <c r="BF166" s="52" t="str">
        <f aca="false">IF($F166&lt;&gt;"",$F166,"")</f>
        <v>Apprenant 154 ou 154'</v>
      </c>
      <c r="BG166" s="55" t="str">
        <f aca="false">IF(AND($AW166&lt;&gt;"",$AX166&lt;&gt;""),$AX166-$AW166,"")</f>
        <v/>
      </c>
      <c r="BH166" s="55" t="str">
        <f aca="false">IF(AND($AW166&lt;&gt;"",$AY166&lt;&gt;""),$AY166-$AW166,"")</f>
        <v/>
      </c>
      <c r="BI166" s="55" t="str">
        <f aca="false">IF(AND($AX166&lt;&gt;"",$AY166&lt;&gt;""),$AY166-$AX166,"")</f>
        <v/>
      </c>
      <c r="BJ166" s="53" t="str">
        <f aca="false">IF($J166&lt;&gt;"",$J166,"")</f>
        <v/>
      </c>
      <c r="BL166" s="52"/>
      <c r="BM166" s="52" t="str">
        <f aca="false">IF(OR(COUNT(B166:D1165)=0,AND('Choix pédagogiques'!$C$3&lt;&gt;1,'Choix pédagogiques'!$C$3&lt;&gt;2)),"",IF(AND(OR('Choix pédagogiques'!$C$3=1,'Choix pédagogiques'!$C$3=2),$B166&lt;&gt;"",$C166&lt;&gt;"",$D166&lt;&gt;""),1,0))</f>
        <v/>
      </c>
      <c r="BN166" s="52" t="str">
        <f aca="false">IF(OR(COUNT(G166:I1165)=0,AND('Choix pédagogiques'!$C$3&lt;&gt;1,'Choix pédagogiques'!$C$3&lt;&gt;2)),"",IF(AND(OR('Choix pédagogiques'!$C$3=1,'Choix pédagogiques'!$C$3=2),AND($G166&lt;&gt;"",$H166&lt;&gt;"",$I166&lt;&gt;"")),1,0))</f>
        <v/>
      </c>
      <c r="BO166" s="52" t="str">
        <f aca="false">IF(OR(COUNT(B166:D1165)=0,COUNT(G166:I1165)=0,'Choix pédagogiques'!C$3&lt;&gt;3),"",IF(AND('Choix pédagogiques'!$C$3=3,$B166&lt;&gt;"",$C166&lt;&gt;"",$D166&lt;&gt;"",$G166&lt;&gt;"",$H166&lt;&gt;"",$I166&lt;&gt;""),1,0))</f>
        <v/>
      </c>
      <c r="BR166" s="52" t="n">
        <v>261</v>
      </c>
      <c r="BS166" s="52" t="n">
        <v>1419</v>
      </c>
    </row>
    <row r="167" s="54" customFormat="true" ht="18" hidden="false" customHeight="true" outlineLevel="0" collapsed="false">
      <c r="A167" s="57" t="s">
        <v>265</v>
      </c>
      <c r="B167" s="51"/>
      <c r="C167" s="51"/>
      <c r="D167" s="51"/>
      <c r="E167" s="51"/>
      <c r="F167" s="57" t="s">
        <v>266</v>
      </c>
      <c r="G167" s="51"/>
      <c r="H167" s="51"/>
      <c r="I167" s="51"/>
      <c r="J167" s="51"/>
      <c r="K167" s="52" t="str">
        <f aca="false">IF($A167&lt;&gt;"",$A167,"")</f>
        <v>Apprenant 155</v>
      </c>
      <c r="L167" s="53" t="str">
        <f aca="false">IF(AND($B167&lt;&gt;"",$C167&lt;&gt;""),$C167-$B167,"")</f>
        <v/>
      </c>
      <c r="M167" s="53" t="str">
        <f aca="false">IF(AND($B167&lt;&gt;"",$D167&lt;&gt;""),$D167-$B167,"")</f>
        <v/>
      </c>
      <c r="N167" s="53" t="str">
        <f aca="false">IF(AND($C167&lt;&gt;"",$D167&lt;&gt;""),$D167-$C167,"")</f>
        <v/>
      </c>
      <c r="O167" s="53" t="str">
        <f aca="false">IF($E167&lt;&gt;"",$E167,"")</f>
        <v/>
      </c>
      <c r="P167" s="52" t="str">
        <f aca="false">IF($F167&lt;&gt;"",$F167,"")</f>
        <v>Apprenant 155 ou 155'</v>
      </c>
      <c r="Q167" s="53" t="str">
        <f aca="false">IF(AND($G167&lt;&gt;"",$H167&lt;&gt;""),$H167-$G167,"")</f>
        <v/>
      </c>
      <c r="R167" s="53" t="str">
        <f aca="false">IF(AND($G167&lt;&gt;"",$I167&lt;&gt;""),$I167-$G167,"")</f>
        <v/>
      </c>
      <c r="S167" s="53" t="str">
        <f aca="false">IF(AND($H167&lt;&gt;"",$I167&lt;&gt;""),$I167-$H167,"")</f>
        <v/>
      </c>
      <c r="T167" s="53" t="str">
        <f aca="false">IF($J167&lt;&gt;"",$J167,"")</f>
        <v/>
      </c>
      <c r="V167" s="52" t="str">
        <f aca="false">IF($A167&lt;&gt;"",$A167,"")</f>
        <v>Apprenant 155</v>
      </c>
      <c r="W167" s="53" t="str">
        <f aca="false">IF(AND(OR('Choix pédagogiques'!$C$3=1,'Choix pédagogiques'!$C$3=2),$BM167=1),B167,IF(AND('Choix pédagogiques'!$C$3=3,$BO167=1),B167,""))</f>
        <v/>
      </c>
      <c r="X167" s="53" t="str">
        <f aca="false">IF(AND(OR('Choix pédagogiques'!$C$3=1,'Choix pédagogiques'!$C$3=2),$BM167=1),C167,IF(AND('Choix pédagogiques'!$C$3=3,$BO167=1),C167,""))</f>
        <v/>
      </c>
      <c r="Y167" s="53" t="str">
        <f aca="false">IF(AND(OR('Choix pédagogiques'!$C$3=1,'Choix pédagogiques'!$C$3=2),$BM167=1),D167,IF(AND('Choix pédagogiques'!$C$3=3,$BO167=1),D167,""))</f>
        <v/>
      </c>
      <c r="Z167" s="53" t="str">
        <f aca="false">IF($E167&lt;&gt;"",$E167,"")</f>
        <v/>
      </c>
      <c r="AA167" s="52" t="str">
        <f aca="false">IF($F167&lt;&gt;"",$F167,"")</f>
        <v>Apprenant 155 ou 155'</v>
      </c>
      <c r="AB167" s="53" t="str">
        <f aca="false">IF(AND(OR('Choix pédagogiques'!$C$3=1,'Choix pédagogiques'!$C$3=2),$BN167=1),G167,IF(AND('Choix pédagogiques'!$C$3=3,$BO167=1),G167,""))</f>
        <v/>
      </c>
      <c r="AC167" s="53" t="str">
        <f aca="false">IF(AND(OR('Choix pédagogiques'!$C$3=1,'Choix pédagogiques'!$C$3=2),$BN167=1),H167,IF(AND('Choix pédagogiques'!$C$3=3,$BO167=1),H167,""))</f>
        <v/>
      </c>
      <c r="AD167" s="53" t="str">
        <f aca="false">IF(AND(OR('Choix pédagogiques'!$C$3=1,'Choix pédagogiques'!$C$3=2),$BN167=1),I167,IF(AND('Choix pédagogiques'!$C$3=3,$BO167=1),I167,""))</f>
        <v/>
      </c>
      <c r="AE167" s="53" t="str">
        <f aca="false">IF($J167&lt;&gt;"",$J167,"")</f>
        <v/>
      </c>
      <c r="AF167" s="52" t="str">
        <f aca="false">IF($A167&lt;&gt;"",$A167,"")</f>
        <v>Apprenant 155</v>
      </c>
      <c r="AG167" s="53" t="str">
        <f aca="false">IF(AND($W167&lt;&gt;"",$X167&lt;&gt;""),$X167-$W167,"")</f>
        <v/>
      </c>
      <c r="AH167" s="53" t="str">
        <f aca="false">IF(AND($W167&lt;&gt;"",$Y167&lt;&gt;""),$Y167-$W167,"")</f>
        <v/>
      </c>
      <c r="AI167" s="53" t="str">
        <f aca="false">IF(AND($X167&lt;&gt;"",$Y167&lt;&gt;""),$Y167-$X167,"")</f>
        <v/>
      </c>
      <c r="AJ167" s="53" t="str">
        <f aca="false">IF($E167&lt;&gt;"",$E167,"")</f>
        <v/>
      </c>
      <c r="AK167" s="52" t="str">
        <f aca="false">IF($F167&lt;&gt;"",$F167,"")</f>
        <v>Apprenant 155 ou 155'</v>
      </c>
      <c r="AL167" s="53" t="str">
        <f aca="false">IF(AND($AB167&lt;&gt;"",$AC167&lt;&gt;""),$AC167-$AB167,"")</f>
        <v/>
      </c>
      <c r="AM167" s="53" t="str">
        <f aca="false">IF(AND($AB167&lt;&gt;"",$AD167&lt;&gt;""),$AD167-$AB167,"")</f>
        <v/>
      </c>
      <c r="AN167" s="53" t="str">
        <f aca="false">IF(AND($AC167&lt;&gt;"",$AD167&lt;&gt;""),$AD167-$AC167,"")</f>
        <v/>
      </c>
      <c r="AO167" s="53" t="str">
        <f aca="false">IF($J167&lt;&gt;"",$J167,"")</f>
        <v/>
      </c>
      <c r="AQ167" s="52" t="str">
        <f aca="false">IF($A167&lt;&gt;"",$A167,"")</f>
        <v>Apprenant 155</v>
      </c>
      <c r="AR167" s="55" t="str">
        <f aca="false">IF(AND('Choix pédagogiques'!$C$4&lt;&gt;"?",'Choix pédagogiques'!$C$5&lt;&gt;"?",W167&lt;&gt;""),(W167-'Choix pédagogiques'!$C$4)/('Choix pédagogiques'!$C$5-'Choix pédagogiques'!$C$4),"")</f>
        <v/>
      </c>
      <c r="AS167" s="55" t="str">
        <f aca="false">IF(AND('Choix pédagogiques'!$C$4&lt;&gt;"?",'Choix pédagogiques'!$C$5&lt;&gt;"?",X167&lt;&gt;""),(X167-'Choix pédagogiques'!$C$4)/('Choix pédagogiques'!$C$5-'Choix pédagogiques'!$C$4),"")</f>
        <v/>
      </c>
      <c r="AT167" s="55" t="str">
        <f aca="false">IF(AND('Choix pédagogiques'!$C$4&lt;&gt;"?",'Choix pédagogiques'!$C$5&lt;&gt;"?",Y167&lt;&gt;""),(Y167-'Choix pédagogiques'!$C$4)/('Choix pédagogiques'!$C$5-'Choix pédagogiques'!$C$4),"")</f>
        <v/>
      </c>
      <c r="AU167" s="53" t="str">
        <f aca="false">IF($E167&lt;&gt;"",$E167,"")</f>
        <v/>
      </c>
      <c r="AV167" s="52" t="str">
        <f aca="false">IF($F167&lt;&gt;"",$F167,"")</f>
        <v>Apprenant 155 ou 155'</v>
      </c>
      <c r="AW167" s="55" t="str">
        <f aca="false">IF(AND('Choix pédagogiques'!$C$4&lt;&gt;"?",'Choix pédagogiques'!$C$5&lt;&gt;"?",AB167&lt;&gt;""),(AB167-'Choix pédagogiques'!$C$4)/('Choix pédagogiques'!$C$5-'Choix pédagogiques'!$C$4),"")</f>
        <v/>
      </c>
      <c r="AX167" s="55" t="str">
        <f aca="false">IF(AND('Choix pédagogiques'!$C$4&lt;&gt;"?",'Choix pédagogiques'!$C$5&lt;&gt;"?",AC167&lt;&gt;""),(AC167-'Choix pédagogiques'!$C$4)/('Choix pédagogiques'!$C$5-'Choix pédagogiques'!$C$4),"")</f>
        <v/>
      </c>
      <c r="AY167" s="55" t="str">
        <f aca="false">IF(AND('Choix pédagogiques'!$C$4&lt;&gt;"?",'Choix pédagogiques'!$C$5&lt;&gt;"?",AD167&lt;&gt;""),(AD167-'Choix pédagogiques'!$C$4)/('Choix pédagogiques'!$C$5-'Choix pédagogiques'!$C$4),"")</f>
        <v/>
      </c>
      <c r="AZ167" s="53" t="str">
        <f aca="false">IF($J167&lt;&gt;"",$J167,"")</f>
        <v/>
      </c>
      <c r="BA167" s="52" t="str">
        <f aca="false">IF($A167&lt;&gt;"",$A167,"")</f>
        <v>Apprenant 155</v>
      </c>
      <c r="BB167" s="55" t="str">
        <f aca="false">IF(AND($AR167&lt;&gt;"",$AS167&lt;&gt;""),$AS167-$AR167,"")</f>
        <v/>
      </c>
      <c r="BC167" s="55" t="str">
        <f aca="false">IF(AND($AR167&lt;&gt;"",$AT167&lt;&gt;""),$AT167-$AR167,"")</f>
        <v/>
      </c>
      <c r="BD167" s="55" t="str">
        <f aca="false">IF(AND($AS167&lt;&gt;"",$AT167&lt;&gt;""),$AT167-$AS167,"")</f>
        <v/>
      </c>
      <c r="BE167" s="53" t="str">
        <f aca="false">IF($E167&lt;&gt;"",$E167,"")</f>
        <v/>
      </c>
      <c r="BF167" s="52" t="str">
        <f aca="false">IF($F167&lt;&gt;"",$F167,"")</f>
        <v>Apprenant 155 ou 155'</v>
      </c>
      <c r="BG167" s="55" t="str">
        <f aca="false">IF(AND($AW167&lt;&gt;"",$AX167&lt;&gt;""),$AX167-$AW167,"")</f>
        <v/>
      </c>
      <c r="BH167" s="55" t="str">
        <f aca="false">IF(AND($AW167&lt;&gt;"",$AY167&lt;&gt;""),$AY167-$AW167,"")</f>
        <v/>
      </c>
      <c r="BI167" s="55" t="str">
        <f aca="false">IF(AND($AX167&lt;&gt;"",$AY167&lt;&gt;""),$AY167-$AX167,"")</f>
        <v/>
      </c>
      <c r="BJ167" s="53" t="str">
        <f aca="false">IF($J167&lt;&gt;"",$J167,"")</f>
        <v/>
      </c>
      <c r="BL167" s="52"/>
      <c r="BM167" s="52" t="str">
        <f aca="false">IF(OR(COUNT(B167:D1166)=0,AND('Choix pédagogiques'!$C$3&lt;&gt;1,'Choix pédagogiques'!$C$3&lt;&gt;2)),"",IF(AND(OR('Choix pédagogiques'!$C$3=1,'Choix pédagogiques'!$C$3=2),$B167&lt;&gt;"",$C167&lt;&gt;"",$D167&lt;&gt;""),1,0))</f>
        <v/>
      </c>
      <c r="BN167" s="52" t="str">
        <f aca="false">IF(OR(COUNT(G167:I1166)=0,AND('Choix pédagogiques'!$C$3&lt;&gt;1,'Choix pédagogiques'!$C$3&lt;&gt;2)),"",IF(AND(OR('Choix pédagogiques'!$C$3=1,'Choix pédagogiques'!$C$3=2),AND($G167&lt;&gt;"",$H167&lt;&gt;"",$I167&lt;&gt;"")),1,0))</f>
        <v/>
      </c>
      <c r="BO167" s="52" t="str">
        <f aca="false">IF(OR(COUNT(B167:D1166)=0,COUNT(G167:I1166)=0,'Choix pédagogiques'!C$3&lt;&gt;3),"",IF(AND('Choix pédagogiques'!$C$3=3,$B167&lt;&gt;"",$C167&lt;&gt;"",$D167&lt;&gt;"",$G167&lt;&gt;"",$H167&lt;&gt;"",$I167&lt;&gt;""),1,0))</f>
        <v/>
      </c>
      <c r="BR167" s="52" t="n">
        <v>564</v>
      </c>
      <c r="BS167" s="52" t="n">
        <v>1476</v>
      </c>
    </row>
    <row r="168" s="54" customFormat="true" ht="18" hidden="false" customHeight="true" outlineLevel="0" collapsed="false">
      <c r="A168" s="57" t="s">
        <v>267</v>
      </c>
      <c r="B168" s="51"/>
      <c r="C168" s="51"/>
      <c r="D168" s="51"/>
      <c r="E168" s="51"/>
      <c r="F168" s="57" t="s">
        <v>268</v>
      </c>
      <c r="G168" s="51"/>
      <c r="H168" s="51"/>
      <c r="I168" s="51"/>
      <c r="J168" s="51"/>
      <c r="K168" s="52" t="str">
        <f aca="false">IF($A168&lt;&gt;"",$A168,"")</f>
        <v>Apprenant 156</v>
      </c>
      <c r="L168" s="53" t="str">
        <f aca="false">IF(AND($B168&lt;&gt;"",$C168&lt;&gt;""),$C168-$B168,"")</f>
        <v/>
      </c>
      <c r="M168" s="53" t="str">
        <f aca="false">IF(AND($B168&lt;&gt;"",$D168&lt;&gt;""),$D168-$B168,"")</f>
        <v/>
      </c>
      <c r="N168" s="53" t="str">
        <f aca="false">IF(AND($C168&lt;&gt;"",$D168&lt;&gt;""),$D168-$C168,"")</f>
        <v/>
      </c>
      <c r="O168" s="53" t="str">
        <f aca="false">IF($E168&lt;&gt;"",$E168,"")</f>
        <v/>
      </c>
      <c r="P168" s="52" t="str">
        <f aca="false">IF($F168&lt;&gt;"",$F168,"")</f>
        <v>Apprenant 156 ou 156'</v>
      </c>
      <c r="Q168" s="53" t="str">
        <f aca="false">IF(AND($G168&lt;&gt;"",$H168&lt;&gt;""),$H168-$G168,"")</f>
        <v/>
      </c>
      <c r="R168" s="53" t="str">
        <f aca="false">IF(AND($G168&lt;&gt;"",$I168&lt;&gt;""),$I168-$G168,"")</f>
        <v/>
      </c>
      <c r="S168" s="53" t="str">
        <f aca="false">IF(AND($H168&lt;&gt;"",$I168&lt;&gt;""),$I168-$H168,"")</f>
        <v/>
      </c>
      <c r="T168" s="53" t="str">
        <f aca="false">IF($J168&lt;&gt;"",$J168,"")</f>
        <v/>
      </c>
      <c r="V168" s="52" t="str">
        <f aca="false">IF($A168&lt;&gt;"",$A168,"")</f>
        <v>Apprenant 156</v>
      </c>
      <c r="W168" s="53" t="str">
        <f aca="false">IF(AND(OR('Choix pédagogiques'!$C$3=1,'Choix pédagogiques'!$C$3=2),$BM168=1),B168,IF(AND('Choix pédagogiques'!$C$3=3,$BO168=1),B168,""))</f>
        <v/>
      </c>
      <c r="X168" s="53" t="str">
        <f aca="false">IF(AND(OR('Choix pédagogiques'!$C$3=1,'Choix pédagogiques'!$C$3=2),$BM168=1),C168,IF(AND('Choix pédagogiques'!$C$3=3,$BO168=1),C168,""))</f>
        <v/>
      </c>
      <c r="Y168" s="53" t="str">
        <f aca="false">IF(AND(OR('Choix pédagogiques'!$C$3=1,'Choix pédagogiques'!$C$3=2),$BM168=1),D168,IF(AND('Choix pédagogiques'!$C$3=3,$BO168=1),D168,""))</f>
        <v/>
      </c>
      <c r="Z168" s="53" t="str">
        <f aca="false">IF($E168&lt;&gt;"",$E168,"")</f>
        <v/>
      </c>
      <c r="AA168" s="52" t="str">
        <f aca="false">IF($F168&lt;&gt;"",$F168,"")</f>
        <v>Apprenant 156 ou 156'</v>
      </c>
      <c r="AB168" s="53" t="str">
        <f aca="false">IF(AND(OR('Choix pédagogiques'!$C$3=1,'Choix pédagogiques'!$C$3=2),$BN168=1),G168,IF(AND('Choix pédagogiques'!$C$3=3,$BO168=1),G168,""))</f>
        <v/>
      </c>
      <c r="AC168" s="53" t="str">
        <f aca="false">IF(AND(OR('Choix pédagogiques'!$C$3=1,'Choix pédagogiques'!$C$3=2),$BN168=1),H168,IF(AND('Choix pédagogiques'!$C$3=3,$BO168=1),H168,""))</f>
        <v/>
      </c>
      <c r="AD168" s="53" t="str">
        <f aca="false">IF(AND(OR('Choix pédagogiques'!$C$3=1,'Choix pédagogiques'!$C$3=2),$BN168=1),I168,IF(AND('Choix pédagogiques'!$C$3=3,$BO168=1),I168,""))</f>
        <v/>
      </c>
      <c r="AE168" s="53" t="str">
        <f aca="false">IF($J168&lt;&gt;"",$J168,"")</f>
        <v/>
      </c>
      <c r="AF168" s="52" t="str">
        <f aca="false">IF($A168&lt;&gt;"",$A168,"")</f>
        <v>Apprenant 156</v>
      </c>
      <c r="AG168" s="53" t="str">
        <f aca="false">IF(AND($W168&lt;&gt;"",$X168&lt;&gt;""),$X168-$W168,"")</f>
        <v/>
      </c>
      <c r="AH168" s="53" t="str">
        <f aca="false">IF(AND($W168&lt;&gt;"",$Y168&lt;&gt;""),$Y168-$W168,"")</f>
        <v/>
      </c>
      <c r="AI168" s="53" t="str">
        <f aca="false">IF(AND($X168&lt;&gt;"",$Y168&lt;&gt;""),$Y168-$X168,"")</f>
        <v/>
      </c>
      <c r="AJ168" s="53" t="str">
        <f aca="false">IF($E168&lt;&gt;"",$E168,"")</f>
        <v/>
      </c>
      <c r="AK168" s="52" t="str">
        <f aca="false">IF($F168&lt;&gt;"",$F168,"")</f>
        <v>Apprenant 156 ou 156'</v>
      </c>
      <c r="AL168" s="53" t="str">
        <f aca="false">IF(AND($AB168&lt;&gt;"",$AC168&lt;&gt;""),$AC168-$AB168,"")</f>
        <v/>
      </c>
      <c r="AM168" s="53" t="str">
        <f aca="false">IF(AND($AB168&lt;&gt;"",$AD168&lt;&gt;""),$AD168-$AB168,"")</f>
        <v/>
      </c>
      <c r="AN168" s="53" t="str">
        <f aca="false">IF(AND($AC168&lt;&gt;"",$AD168&lt;&gt;""),$AD168-$AC168,"")</f>
        <v/>
      </c>
      <c r="AO168" s="53" t="str">
        <f aca="false">IF($J168&lt;&gt;"",$J168,"")</f>
        <v/>
      </c>
      <c r="AQ168" s="52" t="str">
        <f aca="false">IF($A168&lt;&gt;"",$A168,"")</f>
        <v>Apprenant 156</v>
      </c>
      <c r="AR168" s="55" t="str">
        <f aca="false">IF(AND('Choix pédagogiques'!$C$4&lt;&gt;"?",'Choix pédagogiques'!$C$5&lt;&gt;"?",W168&lt;&gt;""),(W168-'Choix pédagogiques'!$C$4)/('Choix pédagogiques'!$C$5-'Choix pédagogiques'!$C$4),"")</f>
        <v/>
      </c>
      <c r="AS168" s="55" t="str">
        <f aca="false">IF(AND('Choix pédagogiques'!$C$4&lt;&gt;"?",'Choix pédagogiques'!$C$5&lt;&gt;"?",X168&lt;&gt;""),(X168-'Choix pédagogiques'!$C$4)/('Choix pédagogiques'!$C$5-'Choix pédagogiques'!$C$4),"")</f>
        <v/>
      </c>
      <c r="AT168" s="55" t="str">
        <f aca="false">IF(AND('Choix pédagogiques'!$C$4&lt;&gt;"?",'Choix pédagogiques'!$C$5&lt;&gt;"?",Y168&lt;&gt;""),(Y168-'Choix pédagogiques'!$C$4)/('Choix pédagogiques'!$C$5-'Choix pédagogiques'!$C$4),"")</f>
        <v/>
      </c>
      <c r="AU168" s="53" t="str">
        <f aca="false">IF($E168&lt;&gt;"",$E168,"")</f>
        <v/>
      </c>
      <c r="AV168" s="52" t="str">
        <f aca="false">IF($F168&lt;&gt;"",$F168,"")</f>
        <v>Apprenant 156 ou 156'</v>
      </c>
      <c r="AW168" s="55" t="str">
        <f aca="false">IF(AND('Choix pédagogiques'!$C$4&lt;&gt;"?",'Choix pédagogiques'!$C$5&lt;&gt;"?",AB168&lt;&gt;""),(AB168-'Choix pédagogiques'!$C$4)/('Choix pédagogiques'!$C$5-'Choix pédagogiques'!$C$4),"")</f>
        <v/>
      </c>
      <c r="AX168" s="55" t="str">
        <f aca="false">IF(AND('Choix pédagogiques'!$C$4&lt;&gt;"?",'Choix pédagogiques'!$C$5&lt;&gt;"?",AC168&lt;&gt;""),(AC168-'Choix pédagogiques'!$C$4)/('Choix pédagogiques'!$C$5-'Choix pédagogiques'!$C$4),"")</f>
        <v/>
      </c>
      <c r="AY168" s="55" t="str">
        <f aca="false">IF(AND('Choix pédagogiques'!$C$4&lt;&gt;"?",'Choix pédagogiques'!$C$5&lt;&gt;"?",AD168&lt;&gt;""),(AD168-'Choix pédagogiques'!$C$4)/('Choix pédagogiques'!$C$5-'Choix pédagogiques'!$C$4),"")</f>
        <v/>
      </c>
      <c r="AZ168" s="53" t="str">
        <f aca="false">IF($J168&lt;&gt;"",$J168,"")</f>
        <v/>
      </c>
      <c r="BA168" s="52" t="str">
        <f aca="false">IF($A168&lt;&gt;"",$A168,"")</f>
        <v>Apprenant 156</v>
      </c>
      <c r="BB168" s="55" t="str">
        <f aca="false">IF(AND($AR168&lt;&gt;"",$AS168&lt;&gt;""),$AS168-$AR168,"")</f>
        <v/>
      </c>
      <c r="BC168" s="55" t="str">
        <f aca="false">IF(AND($AR168&lt;&gt;"",$AT168&lt;&gt;""),$AT168-$AR168,"")</f>
        <v/>
      </c>
      <c r="BD168" s="55" t="str">
        <f aca="false">IF(AND($AS168&lt;&gt;"",$AT168&lt;&gt;""),$AT168-$AS168,"")</f>
        <v/>
      </c>
      <c r="BE168" s="53" t="str">
        <f aca="false">IF($E168&lt;&gt;"",$E168,"")</f>
        <v/>
      </c>
      <c r="BF168" s="52" t="str">
        <f aca="false">IF($F168&lt;&gt;"",$F168,"")</f>
        <v>Apprenant 156 ou 156'</v>
      </c>
      <c r="BG168" s="55" t="str">
        <f aca="false">IF(AND($AW168&lt;&gt;"",$AX168&lt;&gt;""),$AX168-$AW168,"")</f>
        <v/>
      </c>
      <c r="BH168" s="55" t="str">
        <f aca="false">IF(AND($AW168&lt;&gt;"",$AY168&lt;&gt;""),$AY168-$AW168,"")</f>
        <v/>
      </c>
      <c r="BI168" s="55" t="str">
        <f aca="false">IF(AND($AX168&lt;&gt;"",$AY168&lt;&gt;""),$AY168-$AX168,"")</f>
        <v/>
      </c>
      <c r="BJ168" s="53" t="str">
        <f aca="false">IF($J168&lt;&gt;"",$J168,"")</f>
        <v/>
      </c>
      <c r="BL168" s="52"/>
      <c r="BM168" s="52" t="str">
        <f aca="false">IF(OR(COUNT(B168:D1167)=0,AND('Choix pédagogiques'!$C$3&lt;&gt;1,'Choix pédagogiques'!$C$3&lt;&gt;2)),"",IF(AND(OR('Choix pédagogiques'!$C$3=1,'Choix pédagogiques'!$C$3=2),$B168&lt;&gt;"",$C168&lt;&gt;"",$D168&lt;&gt;""),1,0))</f>
        <v/>
      </c>
      <c r="BN168" s="52" t="str">
        <f aca="false">IF(OR(COUNT(G168:I1167)=0,AND('Choix pédagogiques'!$C$3&lt;&gt;1,'Choix pédagogiques'!$C$3&lt;&gt;2)),"",IF(AND(OR('Choix pédagogiques'!$C$3=1,'Choix pédagogiques'!$C$3=2),AND($G168&lt;&gt;"",$H168&lt;&gt;"",$I168&lt;&gt;"")),1,0))</f>
        <v/>
      </c>
      <c r="BO168" s="52" t="str">
        <f aca="false">IF(OR(COUNT(B168:D1167)=0,COUNT(G168:I1167)=0,'Choix pédagogiques'!C$3&lt;&gt;3),"",IF(AND('Choix pédagogiques'!$C$3=3,$B168&lt;&gt;"",$C168&lt;&gt;"",$D168&lt;&gt;"",$G168&lt;&gt;"",$H168&lt;&gt;"",$I168&lt;&gt;""),1,0))</f>
        <v/>
      </c>
      <c r="BR168" s="52" t="n">
        <v>711</v>
      </c>
      <c r="BS168" s="52" t="n">
        <v>1808</v>
      </c>
    </row>
    <row r="169" s="54" customFormat="true" ht="18" hidden="false" customHeight="true" outlineLevel="0" collapsed="false">
      <c r="A169" s="57" t="s">
        <v>269</v>
      </c>
      <c r="B169" s="51"/>
      <c r="C169" s="51"/>
      <c r="D169" s="51"/>
      <c r="E169" s="51"/>
      <c r="F169" s="57" t="s">
        <v>270</v>
      </c>
      <c r="G169" s="51"/>
      <c r="H169" s="51"/>
      <c r="I169" s="51"/>
      <c r="J169" s="51"/>
      <c r="K169" s="52" t="str">
        <f aca="false">IF($A169&lt;&gt;"",$A169,"")</f>
        <v>Apprenant 157</v>
      </c>
      <c r="L169" s="53" t="str">
        <f aca="false">IF(AND($B169&lt;&gt;"",$C169&lt;&gt;""),$C169-$B169,"")</f>
        <v/>
      </c>
      <c r="M169" s="53" t="str">
        <f aca="false">IF(AND($B169&lt;&gt;"",$D169&lt;&gt;""),$D169-$B169,"")</f>
        <v/>
      </c>
      <c r="N169" s="53" t="str">
        <f aca="false">IF(AND($C169&lt;&gt;"",$D169&lt;&gt;""),$D169-$C169,"")</f>
        <v/>
      </c>
      <c r="O169" s="53" t="str">
        <f aca="false">IF($E169&lt;&gt;"",$E169,"")</f>
        <v/>
      </c>
      <c r="P169" s="52" t="str">
        <f aca="false">IF($F169&lt;&gt;"",$F169,"")</f>
        <v>Apprenant 157 ou 157'</v>
      </c>
      <c r="Q169" s="53" t="str">
        <f aca="false">IF(AND($G169&lt;&gt;"",$H169&lt;&gt;""),$H169-$G169,"")</f>
        <v/>
      </c>
      <c r="R169" s="53" t="str">
        <f aca="false">IF(AND($G169&lt;&gt;"",$I169&lt;&gt;""),$I169-$G169,"")</f>
        <v/>
      </c>
      <c r="S169" s="53" t="str">
        <f aca="false">IF(AND($H169&lt;&gt;"",$I169&lt;&gt;""),$I169-$H169,"")</f>
        <v/>
      </c>
      <c r="T169" s="53" t="str">
        <f aca="false">IF($J169&lt;&gt;"",$J169,"")</f>
        <v/>
      </c>
      <c r="V169" s="52" t="str">
        <f aca="false">IF($A169&lt;&gt;"",$A169,"")</f>
        <v>Apprenant 157</v>
      </c>
      <c r="W169" s="53" t="str">
        <f aca="false">IF(AND(OR('Choix pédagogiques'!$C$3=1,'Choix pédagogiques'!$C$3=2),$BM169=1),B169,IF(AND('Choix pédagogiques'!$C$3=3,$BO169=1),B169,""))</f>
        <v/>
      </c>
      <c r="X169" s="53" t="str">
        <f aca="false">IF(AND(OR('Choix pédagogiques'!$C$3=1,'Choix pédagogiques'!$C$3=2),$BM169=1),C169,IF(AND('Choix pédagogiques'!$C$3=3,$BO169=1),C169,""))</f>
        <v/>
      </c>
      <c r="Y169" s="53" t="str">
        <f aca="false">IF(AND(OR('Choix pédagogiques'!$C$3=1,'Choix pédagogiques'!$C$3=2),$BM169=1),D169,IF(AND('Choix pédagogiques'!$C$3=3,$BO169=1),D169,""))</f>
        <v/>
      </c>
      <c r="Z169" s="53" t="str">
        <f aca="false">IF($E169&lt;&gt;"",$E169,"")</f>
        <v/>
      </c>
      <c r="AA169" s="52" t="str">
        <f aca="false">IF($F169&lt;&gt;"",$F169,"")</f>
        <v>Apprenant 157 ou 157'</v>
      </c>
      <c r="AB169" s="53" t="str">
        <f aca="false">IF(AND(OR('Choix pédagogiques'!$C$3=1,'Choix pédagogiques'!$C$3=2),$BN169=1),G169,IF(AND('Choix pédagogiques'!$C$3=3,$BO169=1),G169,""))</f>
        <v/>
      </c>
      <c r="AC169" s="53" t="str">
        <f aca="false">IF(AND(OR('Choix pédagogiques'!$C$3=1,'Choix pédagogiques'!$C$3=2),$BN169=1),H169,IF(AND('Choix pédagogiques'!$C$3=3,$BO169=1),H169,""))</f>
        <v/>
      </c>
      <c r="AD169" s="53" t="str">
        <f aca="false">IF(AND(OR('Choix pédagogiques'!$C$3=1,'Choix pédagogiques'!$C$3=2),$BN169=1),I169,IF(AND('Choix pédagogiques'!$C$3=3,$BO169=1),I169,""))</f>
        <v/>
      </c>
      <c r="AE169" s="53" t="str">
        <f aca="false">IF($J169&lt;&gt;"",$J169,"")</f>
        <v/>
      </c>
      <c r="AF169" s="52" t="str">
        <f aca="false">IF($A169&lt;&gt;"",$A169,"")</f>
        <v>Apprenant 157</v>
      </c>
      <c r="AG169" s="53" t="str">
        <f aca="false">IF(AND($W169&lt;&gt;"",$X169&lt;&gt;""),$X169-$W169,"")</f>
        <v/>
      </c>
      <c r="AH169" s="53" t="str">
        <f aca="false">IF(AND($W169&lt;&gt;"",$Y169&lt;&gt;""),$Y169-$W169,"")</f>
        <v/>
      </c>
      <c r="AI169" s="53" t="str">
        <f aca="false">IF(AND($X169&lt;&gt;"",$Y169&lt;&gt;""),$Y169-$X169,"")</f>
        <v/>
      </c>
      <c r="AJ169" s="53" t="str">
        <f aca="false">IF($E169&lt;&gt;"",$E169,"")</f>
        <v/>
      </c>
      <c r="AK169" s="52" t="str">
        <f aca="false">IF($F169&lt;&gt;"",$F169,"")</f>
        <v>Apprenant 157 ou 157'</v>
      </c>
      <c r="AL169" s="53" t="str">
        <f aca="false">IF(AND($AB169&lt;&gt;"",$AC169&lt;&gt;""),$AC169-$AB169,"")</f>
        <v/>
      </c>
      <c r="AM169" s="53" t="str">
        <f aca="false">IF(AND($AB169&lt;&gt;"",$AD169&lt;&gt;""),$AD169-$AB169,"")</f>
        <v/>
      </c>
      <c r="AN169" s="53" t="str">
        <f aca="false">IF(AND($AC169&lt;&gt;"",$AD169&lt;&gt;""),$AD169-$AC169,"")</f>
        <v/>
      </c>
      <c r="AO169" s="53" t="str">
        <f aca="false">IF($J169&lt;&gt;"",$J169,"")</f>
        <v/>
      </c>
      <c r="AQ169" s="52" t="str">
        <f aca="false">IF($A169&lt;&gt;"",$A169,"")</f>
        <v>Apprenant 157</v>
      </c>
      <c r="AR169" s="55" t="str">
        <f aca="false">IF(AND('Choix pédagogiques'!$C$4&lt;&gt;"?",'Choix pédagogiques'!$C$5&lt;&gt;"?",W169&lt;&gt;""),(W169-'Choix pédagogiques'!$C$4)/('Choix pédagogiques'!$C$5-'Choix pédagogiques'!$C$4),"")</f>
        <v/>
      </c>
      <c r="AS169" s="55" t="str">
        <f aca="false">IF(AND('Choix pédagogiques'!$C$4&lt;&gt;"?",'Choix pédagogiques'!$C$5&lt;&gt;"?",X169&lt;&gt;""),(X169-'Choix pédagogiques'!$C$4)/('Choix pédagogiques'!$C$5-'Choix pédagogiques'!$C$4),"")</f>
        <v/>
      </c>
      <c r="AT169" s="55" t="str">
        <f aca="false">IF(AND('Choix pédagogiques'!$C$4&lt;&gt;"?",'Choix pédagogiques'!$C$5&lt;&gt;"?",Y169&lt;&gt;""),(Y169-'Choix pédagogiques'!$C$4)/('Choix pédagogiques'!$C$5-'Choix pédagogiques'!$C$4),"")</f>
        <v/>
      </c>
      <c r="AU169" s="53" t="str">
        <f aca="false">IF($E169&lt;&gt;"",$E169,"")</f>
        <v/>
      </c>
      <c r="AV169" s="52" t="str">
        <f aca="false">IF($F169&lt;&gt;"",$F169,"")</f>
        <v>Apprenant 157 ou 157'</v>
      </c>
      <c r="AW169" s="55" t="str">
        <f aca="false">IF(AND('Choix pédagogiques'!$C$4&lt;&gt;"?",'Choix pédagogiques'!$C$5&lt;&gt;"?",AB169&lt;&gt;""),(AB169-'Choix pédagogiques'!$C$4)/('Choix pédagogiques'!$C$5-'Choix pédagogiques'!$C$4),"")</f>
        <v/>
      </c>
      <c r="AX169" s="55" t="str">
        <f aca="false">IF(AND('Choix pédagogiques'!$C$4&lt;&gt;"?",'Choix pédagogiques'!$C$5&lt;&gt;"?",AC169&lt;&gt;""),(AC169-'Choix pédagogiques'!$C$4)/('Choix pédagogiques'!$C$5-'Choix pédagogiques'!$C$4),"")</f>
        <v/>
      </c>
      <c r="AY169" s="55" t="str">
        <f aca="false">IF(AND('Choix pédagogiques'!$C$4&lt;&gt;"?",'Choix pédagogiques'!$C$5&lt;&gt;"?",AD169&lt;&gt;""),(AD169-'Choix pédagogiques'!$C$4)/('Choix pédagogiques'!$C$5-'Choix pédagogiques'!$C$4),"")</f>
        <v/>
      </c>
      <c r="AZ169" s="53" t="str">
        <f aca="false">IF($J169&lt;&gt;"",$J169,"")</f>
        <v/>
      </c>
      <c r="BA169" s="52" t="str">
        <f aca="false">IF($A169&lt;&gt;"",$A169,"")</f>
        <v>Apprenant 157</v>
      </c>
      <c r="BB169" s="55" t="str">
        <f aca="false">IF(AND($AR169&lt;&gt;"",$AS169&lt;&gt;""),$AS169-$AR169,"")</f>
        <v/>
      </c>
      <c r="BC169" s="55" t="str">
        <f aca="false">IF(AND($AR169&lt;&gt;"",$AT169&lt;&gt;""),$AT169-$AR169,"")</f>
        <v/>
      </c>
      <c r="BD169" s="55" t="str">
        <f aca="false">IF(AND($AS169&lt;&gt;"",$AT169&lt;&gt;""),$AT169-$AS169,"")</f>
        <v/>
      </c>
      <c r="BE169" s="53" t="str">
        <f aca="false">IF($E169&lt;&gt;"",$E169,"")</f>
        <v/>
      </c>
      <c r="BF169" s="52" t="str">
        <f aca="false">IF($F169&lt;&gt;"",$F169,"")</f>
        <v>Apprenant 157 ou 157'</v>
      </c>
      <c r="BG169" s="55" t="str">
        <f aca="false">IF(AND($AW169&lt;&gt;"",$AX169&lt;&gt;""),$AX169-$AW169,"")</f>
        <v/>
      </c>
      <c r="BH169" s="55" t="str">
        <f aca="false">IF(AND($AW169&lt;&gt;"",$AY169&lt;&gt;""),$AY169-$AW169,"")</f>
        <v/>
      </c>
      <c r="BI169" s="55" t="str">
        <f aca="false">IF(AND($AX169&lt;&gt;"",$AY169&lt;&gt;""),$AY169-$AX169,"")</f>
        <v/>
      </c>
      <c r="BJ169" s="53" t="str">
        <f aca="false">IF($J169&lt;&gt;"",$J169,"")</f>
        <v/>
      </c>
      <c r="BL169" s="52"/>
      <c r="BM169" s="52" t="str">
        <f aca="false">IF(OR(COUNT(B169:D1168)=0,AND('Choix pédagogiques'!$C$3&lt;&gt;1,'Choix pédagogiques'!$C$3&lt;&gt;2)),"",IF(AND(OR('Choix pédagogiques'!$C$3=1,'Choix pédagogiques'!$C$3=2),$B169&lt;&gt;"",$C169&lt;&gt;"",$D169&lt;&gt;""),1,0))</f>
        <v/>
      </c>
      <c r="BN169" s="52" t="str">
        <f aca="false">IF(OR(COUNT(G169:I1168)=0,AND('Choix pédagogiques'!$C$3&lt;&gt;1,'Choix pédagogiques'!$C$3&lt;&gt;2)),"",IF(AND(OR('Choix pédagogiques'!$C$3=1,'Choix pédagogiques'!$C$3=2),AND($G169&lt;&gt;"",$H169&lt;&gt;"",$I169&lt;&gt;"")),1,0))</f>
        <v/>
      </c>
      <c r="BO169" s="52" t="str">
        <f aca="false">IF(OR(COUNT(B169:D1168)=0,COUNT(G169:I1168)=0,'Choix pédagogiques'!C$3&lt;&gt;3),"",IF(AND('Choix pédagogiques'!$C$3=3,$B169&lt;&gt;"",$C169&lt;&gt;"",$D169&lt;&gt;"",$G169&lt;&gt;"",$H169&lt;&gt;"",$I169&lt;&gt;""),1,0))</f>
        <v/>
      </c>
      <c r="BR169" s="52" t="n">
        <v>643</v>
      </c>
      <c r="BS169" s="52" t="n">
        <v>1417</v>
      </c>
    </row>
    <row r="170" s="54" customFormat="true" ht="18" hidden="false" customHeight="true" outlineLevel="0" collapsed="false">
      <c r="A170" s="57" t="s">
        <v>271</v>
      </c>
      <c r="B170" s="51"/>
      <c r="C170" s="51"/>
      <c r="D170" s="51"/>
      <c r="E170" s="51"/>
      <c r="F170" s="57" t="s">
        <v>272</v>
      </c>
      <c r="G170" s="51"/>
      <c r="H170" s="51"/>
      <c r="I170" s="51"/>
      <c r="J170" s="51"/>
      <c r="K170" s="52" t="str">
        <f aca="false">IF($A170&lt;&gt;"",$A170,"")</f>
        <v>Apprenant 158</v>
      </c>
      <c r="L170" s="53" t="str">
        <f aca="false">IF(AND($B170&lt;&gt;"",$C170&lt;&gt;""),$C170-$B170,"")</f>
        <v/>
      </c>
      <c r="M170" s="53" t="str">
        <f aca="false">IF(AND($B170&lt;&gt;"",$D170&lt;&gt;""),$D170-$B170,"")</f>
        <v/>
      </c>
      <c r="N170" s="53" t="str">
        <f aca="false">IF(AND($C170&lt;&gt;"",$D170&lt;&gt;""),$D170-$C170,"")</f>
        <v/>
      </c>
      <c r="O170" s="53" t="str">
        <f aca="false">IF($E170&lt;&gt;"",$E170,"")</f>
        <v/>
      </c>
      <c r="P170" s="52" t="str">
        <f aca="false">IF($F170&lt;&gt;"",$F170,"")</f>
        <v>Apprenant 158 ou 158'</v>
      </c>
      <c r="Q170" s="53" t="str">
        <f aca="false">IF(AND($G170&lt;&gt;"",$H170&lt;&gt;""),$H170-$G170,"")</f>
        <v/>
      </c>
      <c r="R170" s="53" t="str">
        <f aca="false">IF(AND($G170&lt;&gt;"",$I170&lt;&gt;""),$I170-$G170,"")</f>
        <v/>
      </c>
      <c r="S170" s="53" t="str">
        <f aca="false">IF(AND($H170&lt;&gt;"",$I170&lt;&gt;""),$I170-$H170,"")</f>
        <v/>
      </c>
      <c r="T170" s="53" t="str">
        <f aca="false">IF($J170&lt;&gt;"",$J170,"")</f>
        <v/>
      </c>
      <c r="V170" s="52" t="str">
        <f aca="false">IF($A170&lt;&gt;"",$A170,"")</f>
        <v>Apprenant 158</v>
      </c>
      <c r="W170" s="53" t="str">
        <f aca="false">IF(AND(OR('Choix pédagogiques'!$C$3=1,'Choix pédagogiques'!$C$3=2),$BM170=1),B170,IF(AND('Choix pédagogiques'!$C$3=3,$BO170=1),B170,""))</f>
        <v/>
      </c>
      <c r="X170" s="53" t="str">
        <f aca="false">IF(AND(OR('Choix pédagogiques'!$C$3=1,'Choix pédagogiques'!$C$3=2),$BM170=1),C170,IF(AND('Choix pédagogiques'!$C$3=3,$BO170=1),C170,""))</f>
        <v/>
      </c>
      <c r="Y170" s="53" t="str">
        <f aca="false">IF(AND(OR('Choix pédagogiques'!$C$3=1,'Choix pédagogiques'!$C$3=2),$BM170=1),D170,IF(AND('Choix pédagogiques'!$C$3=3,$BO170=1),D170,""))</f>
        <v/>
      </c>
      <c r="Z170" s="53" t="str">
        <f aca="false">IF($E170&lt;&gt;"",$E170,"")</f>
        <v/>
      </c>
      <c r="AA170" s="52" t="str">
        <f aca="false">IF($F170&lt;&gt;"",$F170,"")</f>
        <v>Apprenant 158 ou 158'</v>
      </c>
      <c r="AB170" s="53" t="str">
        <f aca="false">IF(AND(OR('Choix pédagogiques'!$C$3=1,'Choix pédagogiques'!$C$3=2),$BN170=1),G170,IF(AND('Choix pédagogiques'!$C$3=3,$BO170=1),G170,""))</f>
        <v/>
      </c>
      <c r="AC170" s="53" t="str">
        <f aca="false">IF(AND(OR('Choix pédagogiques'!$C$3=1,'Choix pédagogiques'!$C$3=2),$BN170=1),H170,IF(AND('Choix pédagogiques'!$C$3=3,$BO170=1),H170,""))</f>
        <v/>
      </c>
      <c r="AD170" s="53" t="str">
        <f aca="false">IF(AND(OR('Choix pédagogiques'!$C$3=1,'Choix pédagogiques'!$C$3=2),$BN170=1),I170,IF(AND('Choix pédagogiques'!$C$3=3,$BO170=1),I170,""))</f>
        <v/>
      </c>
      <c r="AE170" s="53" t="str">
        <f aca="false">IF($J170&lt;&gt;"",$J170,"")</f>
        <v/>
      </c>
      <c r="AF170" s="52" t="str">
        <f aca="false">IF($A170&lt;&gt;"",$A170,"")</f>
        <v>Apprenant 158</v>
      </c>
      <c r="AG170" s="53" t="str">
        <f aca="false">IF(AND($W170&lt;&gt;"",$X170&lt;&gt;""),$X170-$W170,"")</f>
        <v/>
      </c>
      <c r="AH170" s="53" t="str">
        <f aca="false">IF(AND($W170&lt;&gt;"",$Y170&lt;&gt;""),$Y170-$W170,"")</f>
        <v/>
      </c>
      <c r="AI170" s="53" t="str">
        <f aca="false">IF(AND($X170&lt;&gt;"",$Y170&lt;&gt;""),$Y170-$X170,"")</f>
        <v/>
      </c>
      <c r="AJ170" s="53" t="str">
        <f aca="false">IF($E170&lt;&gt;"",$E170,"")</f>
        <v/>
      </c>
      <c r="AK170" s="52" t="str">
        <f aca="false">IF($F170&lt;&gt;"",$F170,"")</f>
        <v>Apprenant 158 ou 158'</v>
      </c>
      <c r="AL170" s="53" t="str">
        <f aca="false">IF(AND($AB170&lt;&gt;"",$AC170&lt;&gt;""),$AC170-$AB170,"")</f>
        <v/>
      </c>
      <c r="AM170" s="53" t="str">
        <f aca="false">IF(AND($AB170&lt;&gt;"",$AD170&lt;&gt;""),$AD170-$AB170,"")</f>
        <v/>
      </c>
      <c r="AN170" s="53" t="str">
        <f aca="false">IF(AND($AC170&lt;&gt;"",$AD170&lt;&gt;""),$AD170-$AC170,"")</f>
        <v/>
      </c>
      <c r="AO170" s="53" t="str">
        <f aca="false">IF($J170&lt;&gt;"",$J170,"")</f>
        <v/>
      </c>
      <c r="AQ170" s="52" t="str">
        <f aca="false">IF($A170&lt;&gt;"",$A170,"")</f>
        <v>Apprenant 158</v>
      </c>
      <c r="AR170" s="55" t="str">
        <f aca="false">IF(AND('Choix pédagogiques'!$C$4&lt;&gt;"?",'Choix pédagogiques'!$C$5&lt;&gt;"?",W170&lt;&gt;""),(W170-'Choix pédagogiques'!$C$4)/('Choix pédagogiques'!$C$5-'Choix pédagogiques'!$C$4),"")</f>
        <v/>
      </c>
      <c r="AS170" s="55" t="str">
        <f aca="false">IF(AND('Choix pédagogiques'!$C$4&lt;&gt;"?",'Choix pédagogiques'!$C$5&lt;&gt;"?",X170&lt;&gt;""),(X170-'Choix pédagogiques'!$C$4)/('Choix pédagogiques'!$C$5-'Choix pédagogiques'!$C$4),"")</f>
        <v/>
      </c>
      <c r="AT170" s="55" t="str">
        <f aca="false">IF(AND('Choix pédagogiques'!$C$4&lt;&gt;"?",'Choix pédagogiques'!$C$5&lt;&gt;"?",Y170&lt;&gt;""),(Y170-'Choix pédagogiques'!$C$4)/('Choix pédagogiques'!$C$5-'Choix pédagogiques'!$C$4),"")</f>
        <v/>
      </c>
      <c r="AU170" s="53" t="str">
        <f aca="false">IF($E170&lt;&gt;"",$E170,"")</f>
        <v/>
      </c>
      <c r="AV170" s="52" t="str">
        <f aca="false">IF($F170&lt;&gt;"",$F170,"")</f>
        <v>Apprenant 158 ou 158'</v>
      </c>
      <c r="AW170" s="55" t="str">
        <f aca="false">IF(AND('Choix pédagogiques'!$C$4&lt;&gt;"?",'Choix pédagogiques'!$C$5&lt;&gt;"?",AB170&lt;&gt;""),(AB170-'Choix pédagogiques'!$C$4)/('Choix pédagogiques'!$C$5-'Choix pédagogiques'!$C$4),"")</f>
        <v/>
      </c>
      <c r="AX170" s="55" t="str">
        <f aca="false">IF(AND('Choix pédagogiques'!$C$4&lt;&gt;"?",'Choix pédagogiques'!$C$5&lt;&gt;"?",AC170&lt;&gt;""),(AC170-'Choix pédagogiques'!$C$4)/('Choix pédagogiques'!$C$5-'Choix pédagogiques'!$C$4),"")</f>
        <v/>
      </c>
      <c r="AY170" s="55" t="str">
        <f aca="false">IF(AND('Choix pédagogiques'!$C$4&lt;&gt;"?",'Choix pédagogiques'!$C$5&lt;&gt;"?",AD170&lt;&gt;""),(AD170-'Choix pédagogiques'!$C$4)/('Choix pédagogiques'!$C$5-'Choix pédagogiques'!$C$4),"")</f>
        <v/>
      </c>
      <c r="AZ170" s="53" t="str">
        <f aca="false">IF($J170&lt;&gt;"",$J170,"")</f>
        <v/>
      </c>
      <c r="BA170" s="52" t="str">
        <f aca="false">IF($A170&lt;&gt;"",$A170,"")</f>
        <v>Apprenant 158</v>
      </c>
      <c r="BB170" s="55" t="str">
        <f aca="false">IF(AND($AR170&lt;&gt;"",$AS170&lt;&gt;""),$AS170-$AR170,"")</f>
        <v/>
      </c>
      <c r="BC170" s="55" t="str">
        <f aca="false">IF(AND($AR170&lt;&gt;"",$AT170&lt;&gt;""),$AT170-$AR170,"")</f>
        <v/>
      </c>
      <c r="BD170" s="55" t="str">
        <f aca="false">IF(AND($AS170&lt;&gt;"",$AT170&lt;&gt;""),$AT170-$AS170,"")</f>
        <v/>
      </c>
      <c r="BE170" s="53" t="str">
        <f aca="false">IF($E170&lt;&gt;"",$E170,"")</f>
        <v/>
      </c>
      <c r="BF170" s="52" t="str">
        <f aca="false">IF($F170&lt;&gt;"",$F170,"")</f>
        <v>Apprenant 158 ou 158'</v>
      </c>
      <c r="BG170" s="55" t="str">
        <f aca="false">IF(AND($AW170&lt;&gt;"",$AX170&lt;&gt;""),$AX170-$AW170,"")</f>
        <v/>
      </c>
      <c r="BH170" s="55" t="str">
        <f aca="false">IF(AND($AW170&lt;&gt;"",$AY170&lt;&gt;""),$AY170-$AW170,"")</f>
        <v/>
      </c>
      <c r="BI170" s="55" t="str">
        <f aca="false">IF(AND($AX170&lt;&gt;"",$AY170&lt;&gt;""),$AY170-$AX170,"")</f>
        <v/>
      </c>
      <c r="BJ170" s="53" t="str">
        <f aca="false">IF($J170&lt;&gt;"",$J170,"")</f>
        <v/>
      </c>
      <c r="BL170" s="52"/>
      <c r="BM170" s="52" t="str">
        <f aca="false">IF(OR(COUNT(B170:D1169)=0,AND('Choix pédagogiques'!$C$3&lt;&gt;1,'Choix pédagogiques'!$C$3&lt;&gt;2)),"",IF(AND(OR('Choix pédagogiques'!$C$3=1,'Choix pédagogiques'!$C$3=2),$B170&lt;&gt;"",$C170&lt;&gt;"",$D170&lt;&gt;""),1,0))</f>
        <v/>
      </c>
      <c r="BN170" s="52" t="str">
        <f aca="false">IF(OR(COUNT(G170:I1169)=0,AND('Choix pédagogiques'!$C$3&lt;&gt;1,'Choix pédagogiques'!$C$3&lt;&gt;2)),"",IF(AND(OR('Choix pédagogiques'!$C$3=1,'Choix pédagogiques'!$C$3=2),AND($G170&lt;&gt;"",$H170&lt;&gt;"",$I170&lt;&gt;"")),1,0))</f>
        <v/>
      </c>
      <c r="BO170" s="52" t="str">
        <f aca="false">IF(OR(COUNT(B170:D1169)=0,COUNT(G170:I1169)=0,'Choix pédagogiques'!C$3&lt;&gt;3),"",IF(AND('Choix pédagogiques'!$C$3=3,$B170&lt;&gt;"",$C170&lt;&gt;"",$D170&lt;&gt;"",$G170&lt;&gt;"",$H170&lt;&gt;"",$I170&lt;&gt;""),1,0))</f>
        <v/>
      </c>
      <c r="BR170" s="52" t="n">
        <v>442</v>
      </c>
      <c r="BS170" s="52" t="n">
        <v>1865</v>
      </c>
    </row>
    <row r="171" s="54" customFormat="true" ht="18" hidden="false" customHeight="true" outlineLevel="0" collapsed="false">
      <c r="A171" s="57" t="s">
        <v>273</v>
      </c>
      <c r="B171" s="51"/>
      <c r="C171" s="51"/>
      <c r="D171" s="51"/>
      <c r="E171" s="51"/>
      <c r="F171" s="57" t="s">
        <v>274</v>
      </c>
      <c r="G171" s="51"/>
      <c r="H171" s="51"/>
      <c r="I171" s="51"/>
      <c r="J171" s="51"/>
      <c r="K171" s="52" t="str">
        <f aca="false">IF($A171&lt;&gt;"",$A171,"")</f>
        <v>Apprenant 159</v>
      </c>
      <c r="L171" s="53" t="str">
        <f aca="false">IF(AND($B171&lt;&gt;"",$C171&lt;&gt;""),$C171-$B171,"")</f>
        <v/>
      </c>
      <c r="M171" s="53" t="str">
        <f aca="false">IF(AND($B171&lt;&gt;"",$D171&lt;&gt;""),$D171-$B171,"")</f>
        <v/>
      </c>
      <c r="N171" s="53" t="str">
        <f aca="false">IF(AND($C171&lt;&gt;"",$D171&lt;&gt;""),$D171-$C171,"")</f>
        <v/>
      </c>
      <c r="O171" s="53" t="str">
        <f aca="false">IF($E171&lt;&gt;"",$E171,"")</f>
        <v/>
      </c>
      <c r="P171" s="52" t="str">
        <f aca="false">IF($F171&lt;&gt;"",$F171,"")</f>
        <v>Apprenant 159 ou 159'</v>
      </c>
      <c r="Q171" s="53" t="str">
        <f aca="false">IF(AND($G171&lt;&gt;"",$H171&lt;&gt;""),$H171-$G171,"")</f>
        <v/>
      </c>
      <c r="R171" s="53" t="str">
        <f aca="false">IF(AND($G171&lt;&gt;"",$I171&lt;&gt;""),$I171-$G171,"")</f>
        <v/>
      </c>
      <c r="S171" s="53" t="str">
        <f aca="false">IF(AND($H171&lt;&gt;"",$I171&lt;&gt;""),$I171-$H171,"")</f>
        <v/>
      </c>
      <c r="T171" s="53" t="str">
        <f aca="false">IF($J171&lt;&gt;"",$J171,"")</f>
        <v/>
      </c>
      <c r="V171" s="52" t="str">
        <f aca="false">IF($A171&lt;&gt;"",$A171,"")</f>
        <v>Apprenant 159</v>
      </c>
      <c r="W171" s="53" t="str">
        <f aca="false">IF(AND(OR('Choix pédagogiques'!$C$3=1,'Choix pédagogiques'!$C$3=2),$BM171=1),B171,IF(AND('Choix pédagogiques'!$C$3=3,$BO171=1),B171,""))</f>
        <v/>
      </c>
      <c r="X171" s="53" t="str">
        <f aca="false">IF(AND(OR('Choix pédagogiques'!$C$3=1,'Choix pédagogiques'!$C$3=2),$BM171=1),C171,IF(AND('Choix pédagogiques'!$C$3=3,$BO171=1),C171,""))</f>
        <v/>
      </c>
      <c r="Y171" s="53" t="str">
        <f aca="false">IF(AND(OR('Choix pédagogiques'!$C$3=1,'Choix pédagogiques'!$C$3=2),$BM171=1),D171,IF(AND('Choix pédagogiques'!$C$3=3,$BO171=1),D171,""))</f>
        <v/>
      </c>
      <c r="Z171" s="53" t="str">
        <f aca="false">IF($E171&lt;&gt;"",$E171,"")</f>
        <v/>
      </c>
      <c r="AA171" s="52" t="str">
        <f aca="false">IF($F171&lt;&gt;"",$F171,"")</f>
        <v>Apprenant 159 ou 159'</v>
      </c>
      <c r="AB171" s="53" t="str">
        <f aca="false">IF(AND(OR('Choix pédagogiques'!$C$3=1,'Choix pédagogiques'!$C$3=2),$BN171=1),G171,IF(AND('Choix pédagogiques'!$C$3=3,$BO171=1),G171,""))</f>
        <v/>
      </c>
      <c r="AC171" s="53" t="str">
        <f aca="false">IF(AND(OR('Choix pédagogiques'!$C$3=1,'Choix pédagogiques'!$C$3=2),$BN171=1),H171,IF(AND('Choix pédagogiques'!$C$3=3,$BO171=1),H171,""))</f>
        <v/>
      </c>
      <c r="AD171" s="53" t="str">
        <f aca="false">IF(AND(OR('Choix pédagogiques'!$C$3=1,'Choix pédagogiques'!$C$3=2),$BN171=1),I171,IF(AND('Choix pédagogiques'!$C$3=3,$BO171=1),I171,""))</f>
        <v/>
      </c>
      <c r="AE171" s="53" t="str">
        <f aca="false">IF($J171&lt;&gt;"",$J171,"")</f>
        <v/>
      </c>
      <c r="AF171" s="52" t="str">
        <f aca="false">IF($A171&lt;&gt;"",$A171,"")</f>
        <v>Apprenant 159</v>
      </c>
      <c r="AG171" s="53" t="str">
        <f aca="false">IF(AND($W171&lt;&gt;"",$X171&lt;&gt;""),$X171-$W171,"")</f>
        <v/>
      </c>
      <c r="AH171" s="53" t="str">
        <f aca="false">IF(AND($W171&lt;&gt;"",$Y171&lt;&gt;""),$Y171-$W171,"")</f>
        <v/>
      </c>
      <c r="AI171" s="53" t="str">
        <f aca="false">IF(AND($X171&lt;&gt;"",$Y171&lt;&gt;""),$Y171-$X171,"")</f>
        <v/>
      </c>
      <c r="AJ171" s="53" t="str">
        <f aca="false">IF($E171&lt;&gt;"",$E171,"")</f>
        <v/>
      </c>
      <c r="AK171" s="52" t="str">
        <f aca="false">IF($F171&lt;&gt;"",$F171,"")</f>
        <v>Apprenant 159 ou 159'</v>
      </c>
      <c r="AL171" s="53" t="str">
        <f aca="false">IF(AND($AB171&lt;&gt;"",$AC171&lt;&gt;""),$AC171-$AB171,"")</f>
        <v/>
      </c>
      <c r="AM171" s="53" t="str">
        <f aca="false">IF(AND($AB171&lt;&gt;"",$AD171&lt;&gt;""),$AD171-$AB171,"")</f>
        <v/>
      </c>
      <c r="AN171" s="53" t="str">
        <f aca="false">IF(AND($AC171&lt;&gt;"",$AD171&lt;&gt;""),$AD171-$AC171,"")</f>
        <v/>
      </c>
      <c r="AO171" s="53" t="str">
        <f aca="false">IF($J171&lt;&gt;"",$J171,"")</f>
        <v/>
      </c>
      <c r="AQ171" s="52" t="str">
        <f aca="false">IF($A171&lt;&gt;"",$A171,"")</f>
        <v>Apprenant 159</v>
      </c>
      <c r="AR171" s="55" t="str">
        <f aca="false">IF(AND('Choix pédagogiques'!$C$4&lt;&gt;"?",'Choix pédagogiques'!$C$5&lt;&gt;"?",W171&lt;&gt;""),(W171-'Choix pédagogiques'!$C$4)/('Choix pédagogiques'!$C$5-'Choix pédagogiques'!$C$4),"")</f>
        <v/>
      </c>
      <c r="AS171" s="55" t="str">
        <f aca="false">IF(AND('Choix pédagogiques'!$C$4&lt;&gt;"?",'Choix pédagogiques'!$C$5&lt;&gt;"?",X171&lt;&gt;""),(X171-'Choix pédagogiques'!$C$4)/('Choix pédagogiques'!$C$5-'Choix pédagogiques'!$C$4),"")</f>
        <v/>
      </c>
      <c r="AT171" s="55" t="str">
        <f aca="false">IF(AND('Choix pédagogiques'!$C$4&lt;&gt;"?",'Choix pédagogiques'!$C$5&lt;&gt;"?",Y171&lt;&gt;""),(Y171-'Choix pédagogiques'!$C$4)/('Choix pédagogiques'!$C$5-'Choix pédagogiques'!$C$4),"")</f>
        <v/>
      </c>
      <c r="AU171" s="53" t="str">
        <f aca="false">IF($E171&lt;&gt;"",$E171,"")</f>
        <v/>
      </c>
      <c r="AV171" s="52" t="str">
        <f aca="false">IF($F171&lt;&gt;"",$F171,"")</f>
        <v>Apprenant 159 ou 159'</v>
      </c>
      <c r="AW171" s="55" t="str">
        <f aca="false">IF(AND('Choix pédagogiques'!$C$4&lt;&gt;"?",'Choix pédagogiques'!$C$5&lt;&gt;"?",AB171&lt;&gt;""),(AB171-'Choix pédagogiques'!$C$4)/('Choix pédagogiques'!$C$5-'Choix pédagogiques'!$C$4),"")</f>
        <v/>
      </c>
      <c r="AX171" s="55" t="str">
        <f aca="false">IF(AND('Choix pédagogiques'!$C$4&lt;&gt;"?",'Choix pédagogiques'!$C$5&lt;&gt;"?",AC171&lt;&gt;""),(AC171-'Choix pédagogiques'!$C$4)/('Choix pédagogiques'!$C$5-'Choix pédagogiques'!$C$4),"")</f>
        <v/>
      </c>
      <c r="AY171" s="55" t="str">
        <f aca="false">IF(AND('Choix pédagogiques'!$C$4&lt;&gt;"?",'Choix pédagogiques'!$C$5&lt;&gt;"?",AD171&lt;&gt;""),(AD171-'Choix pédagogiques'!$C$4)/('Choix pédagogiques'!$C$5-'Choix pédagogiques'!$C$4),"")</f>
        <v/>
      </c>
      <c r="AZ171" s="53" t="str">
        <f aca="false">IF($J171&lt;&gt;"",$J171,"")</f>
        <v/>
      </c>
      <c r="BA171" s="52" t="str">
        <f aca="false">IF($A171&lt;&gt;"",$A171,"")</f>
        <v>Apprenant 159</v>
      </c>
      <c r="BB171" s="55" t="str">
        <f aca="false">IF(AND($AR171&lt;&gt;"",$AS171&lt;&gt;""),$AS171-$AR171,"")</f>
        <v/>
      </c>
      <c r="BC171" s="55" t="str">
        <f aca="false">IF(AND($AR171&lt;&gt;"",$AT171&lt;&gt;""),$AT171-$AR171,"")</f>
        <v/>
      </c>
      <c r="BD171" s="55" t="str">
        <f aca="false">IF(AND($AS171&lt;&gt;"",$AT171&lt;&gt;""),$AT171-$AS171,"")</f>
        <v/>
      </c>
      <c r="BE171" s="53" t="str">
        <f aca="false">IF($E171&lt;&gt;"",$E171,"")</f>
        <v/>
      </c>
      <c r="BF171" s="52" t="str">
        <f aca="false">IF($F171&lt;&gt;"",$F171,"")</f>
        <v>Apprenant 159 ou 159'</v>
      </c>
      <c r="BG171" s="55" t="str">
        <f aca="false">IF(AND($AW171&lt;&gt;"",$AX171&lt;&gt;""),$AX171-$AW171,"")</f>
        <v/>
      </c>
      <c r="BH171" s="55" t="str">
        <f aca="false">IF(AND($AW171&lt;&gt;"",$AY171&lt;&gt;""),$AY171-$AW171,"")</f>
        <v/>
      </c>
      <c r="BI171" s="55" t="str">
        <f aca="false">IF(AND($AX171&lt;&gt;"",$AY171&lt;&gt;""),$AY171-$AX171,"")</f>
        <v/>
      </c>
      <c r="BJ171" s="53" t="str">
        <f aca="false">IF($J171&lt;&gt;"",$J171,"")</f>
        <v/>
      </c>
      <c r="BL171" s="52"/>
      <c r="BM171" s="52" t="str">
        <f aca="false">IF(OR(COUNT(B171:D1170)=0,AND('Choix pédagogiques'!$C$3&lt;&gt;1,'Choix pédagogiques'!$C$3&lt;&gt;2)),"",IF(AND(OR('Choix pédagogiques'!$C$3=1,'Choix pédagogiques'!$C$3=2),$B171&lt;&gt;"",$C171&lt;&gt;"",$D171&lt;&gt;""),1,0))</f>
        <v/>
      </c>
      <c r="BN171" s="52" t="str">
        <f aca="false">IF(OR(COUNT(G171:I1170)=0,AND('Choix pédagogiques'!$C$3&lt;&gt;1,'Choix pédagogiques'!$C$3&lt;&gt;2)),"",IF(AND(OR('Choix pédagogiques'!$C$3=1,'Choix pédagogiques'!$C$3=2),AND($G171&lt;&gt;"",$H171&lt;&gt;"",$I171&lt;&gt;"")),1,0))</f>
        <v/>
      </c>
      <c r="BO171" s="52" t="str">
        <f aca="false">IF(OR(COUNT(B171:D1170)=0,COUNT(G171:I1170)=0,'Choix pédagogiques'!C$3&lt;&gt;3),"",IF(AND('Choix pédagogiques'!$C$3=3,$B171&lt;&gt;"",$C171&lt;&gt;"",$D171&lt;&gt;"",$G171&lt;&gt;"",$H171&lt;&gt;"",$I171&lt;&gt;""),1,0))</f>
        <v/>
      </c>
      <c r="BR171" s="52" t="n">
        <v>171</v>
      </c>
      <c r="BS171" s="52" t="n">
        <v>1514</v>
      </c>
    </row>
    <row r="172" s="54" customFormat="true" ht="18" hidden="false" customHeight="true" outlineLevel="0" collapsed="false">
      <c r="A172" s="57" t="s">
        <v>275</v>
      </c>
      <c r="B172" s="51"/>
      <c r="C172" s="51"/>
      <c r="D172" s="51"/>
      <c r="E172" s="51"/>
      <c r="F172" s="57" t="s">
        <v>276</v>
      </c>
      <c r="G172" s="51"/>
      <c r="H172" s="51"/>
      <c r="I172" s="51"/>
      <c r="J172" s="51"/>
      <c r="K172" s="52" t="str">
        <f aca="false">IF($A172&lt;&gt;"",$A172,"")</f>
        <v>Apprenant 160</v>
      </c>
      <c r="L172" s="53" t="str">
        <f aca="false">IF(AND($B172&lt;&gt;"",$C172&lt;&gt;""),$C172-$B172,"")</f>
        <v/>
      </c>
      <c r="M172" s="53" t="str">
        <f aca="false">IF(AND($B172&lt;&gt;"",$D172&lt;&gt;""),$D172-$B172,"")</f>
        <v/>
      </c>
      <c r="N172" s="53" t="str">
        <f aca="false">IF(AND($C172&lt;&gt;"",$D172&lt;&gt;""),$D172-$C172,"")</f>
        <v/>
      </c>
      <c r="O172" s="53" t="str">
        <f aca="false">IF($E172&lt;&gt;"",$E172,"")</f>
        <v/>
      </c>
      <c r="P172" s="52" t="str">
        <f aca="false">IF($F172&lt;&gt;"",$F172,"")</f>
        <v>Apprenant 160 ou 160'</v>
      </c>
      <c r="Q172" s="53" t="str">
        <f aca="false">IF(AND($G172&lt;&gt;"",$H172&lt;&gt;""),$H172-$G172,"")</f>
        <v/>
      </c>
      <c r="R172" s="53" t="str">
        <f aca="false">IF(AND($G172&lt;&gt;"",$I172&lt;&gt;""),$I172-$G172,"")</f>
        <v/>
      </c>
      <c r="S172" s="53" t="str">
        <f aca="false">IF(AND($H172&lt;&gt;"",$I172&lt;&gt;""),$I172-$H172,"")</f>
        <v/>
      </c>
      <c r="T172" s="53" t="str">
        <f aca="false">IF($J172&lt;&gt;"",$J172,"")</f>
        <v/>
      </c>
      <c r="V172" s="52" t="str">
        <f aca="false">IF($A172&lt;&gt;"",$A172,"")</f>
        <v>Apprenant 160</v>
      </c>
      <c r="W172" s="53" t="str">
        <f aca="false">IF(AND(OR('Choix pédagogiques'!$C$3=1,'Choix pédagogiques'!$C$3=2),$BM172=1),B172,IF(AND('Choix pédagogiques'!$C$3=3,$BO172=1),B172,""))</f>
        <v/>
      </c>
      <c r="X172" s="53" t="str">
        <f aca="false">IF(AND(OR('Choix pédagogiques'!$C$3=1,'Choix pédagogiques'!$C$3=2),$BM172=1),C172,IF(AND('Choix pédagogiques'!$C$3=3,$BO172=1),C172,""))</f>
        <v/>
      </c>
      <c r="Y172" s="53" t="str">
        <f aca="false">IF(AND(OR('Choix pédagogiques'!$C$3=1,'Choix pédagogiques'!$C$3=2),$BM172=1),D172,IF(AND('Choix pédagogiques'!$C$3=3,$BO172=1),D172,""))</f>
        <v/>
      </c>
      <c r="Z172" s="53" t="str">
        <f aca="false">IF($E172&lt;&gt;"",$E172,"")</f>
        <v/>
      </c>
      <c r="AA172" s="52" t="str">
        <f aca="false">IF($F172&lt;&gt;"",$F172,"")</f>
        <v>Apprenant 160 ou 160'</v>
      </c>
      <c r="AB172" s="53" t="str">
        <f aca="false">IF(AND(OR('Choix pédagogiques'!$C$3=1,'Choix pédagogiques'!$C$3=2),$BN172=1),G172,IF(AND('Choix pédagogiques'!$C$3=3,$BO172=1),G172,""))</f>
        <v/>
      </c>
      <c r="AC172" s="53" t="str">
        <f aca="false">IF(AND(OR('Choix pédagogiques'!$C$3=1,'Choix pédagogiques'!$C$3=2),$BN172=1),H172,IF(AND('Choix pédagogiques'!$C$3=3,$BO172=1),H172,""))</f>
        <v/>
      </c>
      <c r="AD172" s="53" t="str">
        <f aca="false">IF(AND(OR('Choix pédagogiques'!$C$3=1,'Choix pédagogiques'!$C$3=2),$BN172=1),I172,IF(AND('Choix pédagogiques'!$C$3=3,$BO172=1),I172,""))</f>
        <v/>
      </c>
      <c r="AE172" s="53" t="str">
        <f aca="false">IF($J172&lt;&gt;"",$J172,"")</f>
        <v/>
      </c>
      <c r="AF172" s="52" t="str">
        <f aca="false">IF($A172&lt;&gt;"",$A172,"")</f>
        <v>Apprenant 160</v>
      </c>
      <c r="AG172" s="53" t="str">
        <f aca="false">IF(AND($W172&lt;&gt;"",$X172&lt;&gt;""),$X172-$W172,"")</f>
        <v/>
      </c>
      <c r="AH172" s="53" t="str">
        <f aca="false">IF(AND($W172&lt;&gt;"",$Y172&lt;&gt;""),$Y172-$W172,"")</f>
        <v/>
      </c>
      <c r="AI172" s="53" t="str">
        <f aca="false">IF(AND($X172&lt;&gt;"",$Y172&lt;&gt;""),$Y172-$X172,"")</f>
        <v/>
      </c>
      <c r="AJ172" s="53" t="str">
        <f aca="false">IF($E172&lt;&gt;"",$E172,"")</f>
        <v/>
      </c>
      <c r="AK172" s="52" t="str">
        <f aca="false">IF($F172&lt;&gt;"",$F172,"")</f>
        <v>Apprenant 160 ou 160'</v>
      </c>
      <c r="AL172" s="53" t="str">
        <f aca="false">IF(AND($AB172&lt;&gt;"",$AC172&lt;&gt;""),$AC172-$AB172,"")</f>
        <v/>
      </c>
      <c r="AM172" s="53" t="str">
        <f aca="false">IF(AND($AB172&lt;&gt;"",$AD172&lt;&gt;""),$AD172-$AB172,"")</f>
        <v/>
      </c>
      <c r="AN172" s="53" t="str">
        <f aca="false">IF(AND($AC172&lt;&gt;"",$AD172&lt;&gt;""),$AD172-$AC172,"")</f>
        <v/>
      </c>
      <c r="AO172" s="53" t="str">
        <f aca="false">IF($J172&lt;&gt;"",$J172,"")</f>
        <v/>
      </c>
      <c r="AQ172" s="52" t="str">
        <f aca="false">IF($A172&lt;&gt;"",$A172,"")</f>
        <v>Apprenant 160</v>
      </c>
      <c r="AR172" s="55" t="str">
        <f aca="false">IF(AND('Choix pédagogiques'!$C$4&lt;&gt;"?",'Choix pédagogiques'!$C$5&lt;&gt;"?",W172&lt;&gt;""),(W172-'Choix pédagogiques'!$C$4)/('Choix pédagogiques'!$C$5-'Choix pédagogiques'!$C$4),"")</f>
        <v/>
      </c>
      <c r="AS172" s="55" t="str">
        <f aca="false">IF(AND('Choix pédagogiques'!$C$4&lt;&gt;"?",'Choix pédagogiques'!$C$5&lt;&gt;"?",X172&lt;&gt;""),(X172-'Choix pédagogiques'!$C$4)/('Choix pédagogiques'!$C$5-'Choix pédagogiques'!$C$4),"")</f>
        <v/>
      </c>
      <c r="AT172" s="55" t="str">
        <f aca="false">IF(AND('Choix pédagogiques'!$C$4&lt;&gt;"?",'Choix pédagogiques'!$C$5&lt;&gt;"?",Y172&lt;&gt;""),(Y172-'Choix pédagogiques'!$C$4)/('Choix pédagogiques'!$C$5-'Choix pédagogiques'!$C$4),"")</f>
        <v/>
      </c>
      <c r="AU172" s="53" t="str">
        <f aca="false">IF($E172&lt;&gt;"",$E172,"")</f>
        <v/>
      </c>
      <c r="AV172" s="52" t="str">
        <f aca="false">IF($F172&lt;&gt;"",$F172,"")</f>
        <v>Apprenant 160 ou 160'</v>
      </c>
      <c r="AW172" s="55" t="str">
        <f aca="false">IF(AND('Choix pédagogiques'!$C$4&lt;&gt;"?",'Choix pédagogiques'!$C$5&lt;&gt;"?",AB172&lt;&gt;""),(AB172-'Choix pédagogiques'!$C$4)/('Choix pédagogiques'!$C$5-'Choix pédagogiques'!$C$4),"")</f>
        <v/>
      </c>
      <c r="AX172" s="55" t="str">
        <f aca="false">IF(AND('Choix pédagogiques'!$C$4&lt;&gt;"?",'Choix pédagogiques'!$C$5&lt;&gt;"?",AC172&lt;&gt;""),(AC172-'Choix pédagogiques'!$C$4)/('Choix pédagogiques'!$C$5-'Choix pédagogiques'!$C$4),"")</f>
        <v/>
      </c>
      <c r="AY172" s="55" t="str">
        <f aca="false">IF(AND('Choix pédagogiques'!$C$4&lt;&gt;"?",'Choix pédagogiques'!$C$5&lt;&gt;"?",AD172&lt;&gt;""),(AD172-'Choix pédagogiques'!$C$4)/('Choix pédagogiques'!$C$5-'Choix pédagogiques'!$C$4),"")</f>
        <v/>
      </c>
      <c r="AZ172" s="53" t="str">
        <f aca="false">IF($J172&lt;&gt;"",$J172,"")</f>
        <v/>
      </c>
      <c r="BA172" s="52" t="str">
        <f aca="false">IF($A172&lt;&gt;"",$A172,"")</f>
        <v>Apprenant 160</v>
      </c>
      <c r="BB172" s="55" t="str">
        <f aca="false">IF(AND($AR172&lt;&gt;"",$AS172&lt;&gt;""),$AS172-$AR172,"")</f>
        <v/>
      </c>
      <c r="BC172" s="55" t="str">
        <f aca="false">IF(AND($AR172&lt;&gt;"",$AT172&lt;&gt;""),$AT172-$AR172,"")</f>
        <v/>
      </c>
      <c r="BD172" s="55" t="str">
        <f aca="false">IF(AND($AS172&lt;&gt;"",$AT172&lt;&gt;""),$AT172-$AS172,"")</f>
        <v/>
      </c>
      <c r="BE172" s="53" t="str">
        <f aca="false">IF($E172&lt;&gt;"",$E172,"")</f>
        <v/>
      </c>
      <c r="BF172" s="52" t="str">
        <f aca="false">IF($F172&lt;&gt;"",$F172,"")</f>
        <v>Apprenant 160 ou 160'</v>
      </c>
      <c r="BG172" s="55" t="str">
        <f aca="false">IF(AND($AW172&lt;&gt;"",$AX172&lt;&gt;""),$AX172-$AW172,"")</f>
        <v/>
      </c>
      <c r="BH172" s="55" t="str">
        <f aca="false">IF(AND($AW172&lt;&gt;"",$AY172&lt;&gt;""),$AY172-$AW172,"")</f>
        <v/>
      </c>
      <c r="BI172" s="55" t="str">
        <f aca="false">IF(AND($AX172&lt;&gt;"",$AY172&lt;&gt;""),$AY172-$AX172,"")</f>
        <v/>
      </c>
      <c r="BJ172" s="53" t="str">
        <f aca="false">IF($J172&lt;&gt;"",$J172,"")</f>
        <v/>
      </c>
      <c r="BL172" s="52"/>
      <c r="BM172" s="52" t="str">
        <f aca="false">IF(OR(COUNT(B172:D1171)=0,AND('Choix pédagogiques'!$C$3&lt;&gt;1,'Choix pédagogiques'!$C$3&lt;&gt;2)),"",IF(AND(OR('Choix pédagogiques'!$C$3=1,'Choix pédagogiques'!$C$3=2),$B172&lt;&gt;"",$C172&lt;&gt;"",$D172&lt;&gt;""),1,0))</f>
        <v/>
      </c>
      <c r="BN172" s="52" t="str">
        <f aca="false">IF(OR(COUNT(G172:I1171)=0,AND('Choix pédagogiques'!$C$3&lt;&gt;1,'Choix pédagogiques'!$C$3&lt;&gt;2)),"",IF(AND(OR('Choix pédagogiques'!$C$3=1,'Choix pédagogiques'!$C$3=2),AND($G172&lt;&gt;"",$H172&lt;&gt;"",$I172&lt;&gt;"")),1,0))</f>
        <v/>
      </c>
      <c r="BO172" s="52" t="str">
        <f aca="false">IF(OR(COUNT(B172:D1171)=0,COUNT(G172:I1171)=0,'Choix pédagogiques'!C$3&lt;&gt;3),"",IF(AND('Choix pédagogiques'!$C$3=3,$B172&lt;&gt;"",$C172&lt;&gt;"",$D172&lt;&gt;"",$G172&lt;&gt;"",$H172&lt;&gt;"",$I172&lt;&gt;""),1,0))</f>
        <v/>
      </c>
      <c r="BR172" s="52" t="n">
        <v>476</v>
      </c>
      <c r="BS172" s="52" t="n">
        <v>1926</v>
      </c>
    </row>
    <row r="173" s="54" customFormat="true" ht="18" hidden="false" customHeight="true" outlineLevel="0" collapsed="false">
      <c r="A173" s="57" t="s">
        <v>277</v>
      </c>
      <c r="B173" s="51"/>
      <c r="C173" s="51"/>
      <c r="D173" s="51"/>
      <c r="E173" s="51"/>
      <c r="F173" s="57" t="s">
        <v>278</v>
      </c>
      <c r="G173" s="51"/>
      <c r="H173" s="51"/>
      <c r="I173" s="51"/>
      <c r="J173" s="51"/>
      <c r="K173" s="52" t="str">
        <f aca="false">IF($A173&lt;&gt;"",$A173,"")</f>
        <v>Apprenant 161</v>
      </c>
      <c r="L173" s="53" t="str">
        <f aca="false">IF(AND($B173&lt;&gt;"",$C173&lt;&gt;""),$C173-$B173,"")</f>
        <v/>
      </c>
      <c r="M173" s="53" t="str">
        <f aca="false">IF(AND($B173&lt;&gt;"",$D173&lt;&gt;""),$D173-$B173,"")</f>
        <v/>
      </c>
      <c r="N173" s="53" t="str">
        <f aca="false">IF(AND($C173&lt;&gt;"",$D173&lt;&gt;""),$D173-$C173,"")</f>
        <v/>
      </c>
      <c r="O173" s="53" t="str">
        <f aca="false">IF($E173&lt;&gt;"",$E173,"")</f>
        <v/>
      </c>
      <c r="P173" s="52" t="str">
        <f aca="false">IF($F173&lt;&gt;"",$F173,"")</f>
        <v>Apprenant 161 ou 161'</v>
      </c>
      <c r="Q173" s="53" t="str">
        <f aca="false">IF(AND($G173&lt;&gt;"",$H173&lt;&gt;""),$H173-$G173,"")</f>
        <v/>
      </c>
      <c r="R173" s="53" t="str">
        <f aca="false">IF(AND($G173&lt;&gt;"",$I173&lt;&gt;""),$I173-$G173,"")</f>
        <v/>
      </c>
      <c r="S173" s="53" t="str">
        <f aca="false">IF(AND($H173&lt;&gt;"",$I173&lt;&gt;""),$I173-$H173,"")</f>
        <v/>
      </c>
      <c r="T173" s="53" t="str">
        <f aca="false">IF($J173&lt;&gt;"",$J173,"")</f>
        <v/>
      </c>
      <c r="V173" s="52" t="str">
        <f aca="false">IF($A173&lt;&gt;"",$A173,"")</f>
        <v>Apprenant 161</v>
      </c>
      <c r="W173" s="53" t="str">
        <f aca="false">IF(AND(OR('Choix pédagogiques'!$C$3=1,'Choix pédagogiques'!$C$3=2),$BM173=1),B173,IF(AND('Choix pédagogiques'!$C$3=3,$BO173=1),B173,""))</f>
        <v/>
      </c>
      <c r="X173" s="53" t="str">
        <f aca="false">IF(AND(OR('Choix pédagogiques'!$C$3=1,'Choix pédagogiques'!$C$3=2),$BM173=1),C173,IF(AND('Choix pédagogiques'!$C$3=3,$BO173=1),C173,""))</f>
        <v/>
      </c>
      <c r="Y173" s="53" t="str">
        <f aca="false">IF(AND(OR('Choix pédagogiques'!$C$3=1,'Choix pédagogiques'!$C$3=2),$BM173=1),D173,IF(AND('Choix pédagogiques'!$C$3=3,$BO173=1),D173,""))</f>
        <v/>
      </c>
      <c r="Z173" s="53" t="str">
        <f aca="false">IF($E173&lt;&gt;"",$E173,"")</f>
        <v/>
      </c>
      <c r="AA173" s="52" t="str">
        <f aca="false">IF($F173&lt;&gt;"",$F173,"")</f>
        <v>Apprenant 161 ou 161'</v>
      </c>
      <c r="AB173" s="53" t="str">
        <f aca="false">IF(AND(OR('Choix pédagogiques'!$C$3=1,'Choix pédagogiques'!$C$3=2),$BN173=1),G173,IF(AND('Choix pédagogiques'!$C$3=3,$BO173=1),G173,""))</f>
        <v/>
      </c>
      <c r="AC173" s="53" t="str">
        <f aca="false">IF(AND(OR('Choix pédagogiques'!$C$3=1,'Choix pédagogiques'!$C$3=2),$BN173=1),H173,IF(AND('Choix pédagogiques'!$C$3=3,$BO173=1),H173,""))</f>
        <v/>
      </c>
      <c r="AD173" s="53" t="str">
        <f aca="false">IF(AND(OR('Choix pédagogiques'!$C$3=1,'Choix pédagogiques'!$C$3=2),$BN173=1),I173,IF(AND('Choix pédagogiques'!$C$3=3,$BO173=1),I173,""))</f>
        <v/>
      </c>
      <c r="AE173" s="53" t="str">
        <f aca="false">IF($J173&lt;&gt;"",$J173,"")</f>
        <v/>
      </c>
      <c r="AF173" s="52" t="str">
        <f aca="false">IF($A173&lt;&gt;"",$A173,"")</f>
        <v>Apprenant 161</v>
      </c>
      <c r="AG173" s="53" t="str">
        <f aca="false">IF(AND($W173&lt;&gt;"",$X173&lt;&gt;""),$X173-$W173,"")</f>
        <v/>
      </c>
      <c r="AH173" s="53" t="str">
        <f aca="false">IF(AND($W173&lt;&gt;"",$Y173&lt;&gt;""),$Y173-$W173,"")</f>
        <v/>
      </c>
      <c r="AI173" s="53" t="str">
        <f aca="false">IF(AND($X173&lt;&gt;"",$Y173&lt;&gt;""),$Y173-$X173,"")</f>
        <v/>
      </c>
      <c r="AJ173" s="53" t="str">
        <f aca="false">IF($E173&lt;&gt;"",$E173,"")</f>
        <v/>
      </c>
      <c r="AK173" s="52" t="str">
        <f aca="false">IF($F173&lt;&gt;"",$F173,"")</f>
        <v>Apprenant 161 ou 161'</v>
      </c>
      <c r="AL173" s="53" t="str">
        <f aca="false">IF(AND($AB173&lt;&gt;"",$AC173&lt;&gt;""),$AC173-$AB173,"")</f>
        <v/>
      </c>
      <c r="AM173" s="53" t="str">
        <f aca="false">IF(AND($AB173&lt;&gt;"",$AD173&lt;&gt;""),$AD173-$AB173,"")</f>
        <v/>
      </c>
      <c r="AN173" s="53" t="str">
        <f aca="false">IF(AND($AC173&lt;&gt;"",$AD173&lt;&gt;""),$AD173-$AC173,"")</f>
        <v/>
      </c>
      <c r="AO173" s="53" t="str">
        <f aca="false">IF($J173&lt;&gt;"",$J173,"")</f>
        <v/>
      </c>
      <c r="AQ173" s="52" t="str">
        <f aca="false">IF($A173&lt;&gt;"",$A173,"")</f>
        <v>Apprenant 161</v>
      </c>
      <c r="AR173" s="55" t="str">
        <f aca="false">IF(AND('Choix pédagogiques'!$C$4&lt;&gt;"?",'Choix pédagogiques'!$C$5&lt;&gt;"?",W173&lt;&gt;""),(W173-'Choix pédagogiques'!$C$4)/('Choix pédagogiques'!$C$5-'Choix pédagogiques'!$C$4),"")</f>
        <v/>
      </c>
      <c r="AS173" s="55" t="str">
        <f aca="false">IF(AND('Choix pédagogiques'!$C$4&lt;&gt;"?",'Choix pédagogiques'!$C$5&lt;&gt;"?",X173&lt;&gt;""),(X173-'Choix pédagogiques'!$C$4)/('Choix pédagogiques'!$C$5-'Choix pédagogiques'!$C$4),"")</f>
        <v/>
      </c>
      <c r="AT173" s="55" t="str">
        <f aca="false">IF(AND('Choix pédagogiques'!$C$4&lt;&gt;"?",'Choix pédagogiques'!$C$5&lt;&gt;"?",Y173&lt;&gt;""),(Y173-'Choix pédagogiques'!$C$4)/('Choix pédagogiques'!$C$5-'Choix pédagogiques'!$C$4),"")</f>
        <v/>
      </c>
      <c r="AU173" s="53" t="str">
        <f aca="false">IF($E173&lt;&gt;"",$E173,"")</f>
        <v/>
      </c>
      <c r="AV173" s="52" t="str">
        <f aca="false">IF($F173&lt;&gt;"",$F173,"")</f>
        <v>Apprenant 161 ou 161'</v>
      </c>
      <c r="AW173" s="55" t="str">
        <f aca="false">IF(AND('Choix pédagogiques'!$C$4&lt;&gt;"?",'Choix pédagogiques'!$C$5&lt;&gt;"?",AB173&lt;&gt;""),(AB173-'Choix pédagogiques'!$C$4)/('Choix pédagogiques'!$C$5-'Choix pédagogiques'!$C$4),"")</f>
        <v/>
      </c>
      <c r="AX173" s="55" t="str">
        <f aca="false">IF(AND('Choix pédagogiques'!$C$4&lt;&gt;"?",'Choix pédagogiques'!$C$5&lt;&gt;"?",AC173&lt;&gt;""),(AC173-'Choix pédagogiques'!$C$4)/('Choix pédagogiques'!$C$5-'Choix pédagogiques'!$C$4),"")</f>
        <v/>
      </c>
      <c r="AY173" s="55" t="str">
        <f aca="false">IF(AND('Choix pédagogiques'!$C$4&lt;&gt;"?",'Choix pédagogiques'!$C$5&lt;&gt;"?",AD173&lt;&gt;""),(AD173-'Choix pédagogiques'!$C$4)/('Choix pédagogiques'!$C$5-'Choix pédagogiques'!$C$4),"")</f>
        <v/>
      </c>
      <c r="AZ173" s="53" t="str">
        <f aca="false">IF($J173&lt;&gt;"",$J173,"")</f>
        <v/>
      </c>
      <c r="BA173" s="52" t="str">
        <f aca="false">IF($A173&lt;&gt;"",$A173,"")</f>
        <v>Apprenant 161</v>
      </c>
      <c r="BB173" s="55" t="str">
        <f aca="false">IF(AND($AR173&lt;&gt;"",$AS173&lt;&gt;""),$AS173-$AR173,"")</f>
        <v/>
      </c>
      <c r="BC173" s="55" t="str">
        <f aca="false">IF(AND($AR173&lt;&gt;"",$AT173&lt;&gt;""),$AT173-$AR173,"")</f>
        <v/>
      </c>
      <c r="BD173" s="55" t="str">
        <f aca="false">IF(AND($AS173&lt;&gt;"",$AT173&lt;&gt;""),$AT173-$AS173,"")</f>
        <v/>
      </c>
      <c r="BE173" s="53" t="str">
        <f aca="false">IF($E173&lt;&gt;"",$E173,"")</f>
        <v/>
      </c>
      <c r="BF173" s="52" t="str">
        <f aca="false">IF($F173&lt;&gt;"",$F173,"")</f>
        <v>Apprenant 161 ou 161'</v>
      </c>
      <c r="BG173" s="55" t="str">
        <f aca="false">IF(AND($AW173&lt;&gt;"",$AX173&lt;&gt;""),$AX173-$AW173,"")</f>
        <v/>
      </c>
      <c r="BH173" s="55" t="str">
        <f aca="false">IF(AND($AW173&lt;&gt;"",$AY173&lt;&gt;""),$AY173-$AW173,"")</f>
        <v/>
      </c>
      <c r="BI173" s="55" t="str">
        <f aca="false">IF(AND($AX173&lt;&gt;"",$AY173&lt;&gt;""),$AY173-$AX173,"")</f>
        <v/>
      </c>
      <c r="BJ173" s="53" t="str">
        <f aca="false">IF($J173&lt;&gt;"",$J173,"")</f>
        <v/>
      </c>
      <c r="BL173" s="52"/>
      <c r="BM173" s="52" t="str">
        <f aca="false">IF(OR(COUNT(B173:D1172)=0,AND('Choix pédagogiques'!$C$3&lt;&gt;1,'Choix pédagogiques'!$C$3&lt;&gt;2)),"",IF(AND(OR('Choix pédagogiques'!$C$3=1,'Choix pédagogiques'!$C$3=2),$B173&lt;&gt;"",$C173&lt;&gt;"",$D173&lt;&gt;""),1,0))</f>
        <v/>
      </c>
      <c r="BN173" s="52" t="str">
        <f aca="false">IF(OR(COUNT(G173:I1172)=0,AND('Choix pédagogiques'!$C$3&lt;&gt;1,'Choix pédagogiques'!$C$3&lt;&gt;2)),"",IF(AND(OR('Choix pédagogiques'!$C$3=1,'Choix pédagogiques'!$C$3=2),AND($G173&lt;&gt;"",$H173&lt;&gt;"",$I173&lt;&gt;"")),1,0))</f>
        <v/>
      </c>
      <c r="BO173" s="52" t="str">
        <f aca="false">IF(OR(COUNT(B173:D1172)=0,COUNT(G173:I1172)=0,'Choix pédagogiques'!C$3&lt;&gt;3),"",IF(AND('Choix pédagogiques'!$C$3=3,$B173&lt;&gt;"",$C173&lt;&gt;"",$D173&lt;&gt;"",$G173&lt;&gt;"",$H173&lt;&gt;"",$I173&lt;&gt;""),1,0))</f>
        <v/>
      </c>
      <c r="BR173" s="52" t="n">
        <v>192</v>
      </c>
      <c r="BS173" s="52" t="n">
        <v>1884</v>
      </c>
    </row>
    <row r="174" s="54" customFormat="true" ht="18" hidden="false" customHeight="true" outlineLevel="0" collapsed="false">
      <c r="A174" s="57" t="s">
        <v>279</v>
      </c>
      <c r="B174" s="51"/>
      <c r="C174" s="51"/>
      <c r="D174" s="51"/>
      <c r="E174" s="51"/>
      <c r="F174" s="57" t="s">
        <v>280</v>
      </c>
      <c r="G174" s="51"/>
      <c r="H174" s="51"/>
      <c r="I174" s="51"/>
      <c r="J174" s="51"/>
      <c r="K174" s="52" t="str">
        <f aca="false">IF($A174&lt;&gt;"",$A174,"")</f>
        <v>Apprenant 162</v>
      </c>
      <c r="L174" s="53" t="str">
        <f aca="false">IF(AND($B174&lt;&gt;"",$C174&lt;&gt;""),$C174-$B174,"")</f>
        <v/>
      </c>
      <c r="M174" s="53" t="str">
        <f aca="false">IF(AND($B174&lt;&gt;"",$D174&lt;&gt;""),$D174-$B174,"")</f>
        <v/>
      </c>
      <c r="N174" s="53" t="str">
        <f aca="false">IF(AND($C174&lt;&gt;"",$D174&lt;&gt;""),$D174-$C174,"")</f>
        <v/>
      </c>
      <c r="O174" s="53" t="str">
        <f aca="false">IF($E174&lt;&gt;"",$E174,"")</f>
        <v/>
      </c>
      <c r="P174" s="52" t="str">
        <f aca="false">IF($F174&lt;&gt;"",$F174,"")</f>
        <v>Apprenant 162 ou 162'</v>
      </c>
      <c r="Q174" s="53" t="str">
        <f aca="false">IF(AND($G174&lt;&gt;"",$H174&lt;&gt;""),$H174-$G174,"")</f>
        <v/>
      </c>
      <c r="R174" s="53" t="str">
        <f aca="false">IF(AND($G174&lt;&gt;"",$I174&lt;&gt;""),$I174-$G174,"")</f>
        <v/>
      </c>
      <c r="S174" s="53" t="str">
        <f aca="false">IF(AND($H174&lt;&gt;"",$I174&lt;&gt;""),$I174-$H174,"")</f>
        <v/>
      </c>
      <c r="T174" s="53" t="str">
        <f aca="false">IF($J174&lt;&gt;"",$J174,"")</f>
        <v/>
      </c>
      <c r="V174" s="52" t="str">
        <f aca="false">IF($A174&lt;&gt;"",$A174,"")</f>
        <v>Apprenant 162</v>
      </c>
      <c r="W174" s="53" t="str">
        <f aca="false">IF(AND(OR('Choix pédagogiques'!$C$3=1,'Choix pédagogiques'!$C$3=2),$BM174=1),B174,IF(AND('Choix pédagogiques'!$C$3=3,$BO174=1),B174,""))</f>
        <v/>
      </c>
      <c r="X174" s="53" t="str">
        <f aca="false">IF(AND(OR('Choix pédagogiques'!$C$3=1,'Choix pédagogiques'!$C$3=2),$BM174=1),C174,IF(AND('Choix pédagogiques'!$C$3=3,$BO174=1),C174,""))</f>
        <v/>
      </c>
      <c r="Y174" s="53" t="str">
        <f aca="false">IF(AND(OR('Choix pédagogiques'!$C$3=1,'Choix pédagogiques'!$C$3=2),$BM174=1),D174,IF(AND('Choix pédagogiques'!$C$3=3,$BO174=1),D174,""))</f>
        <v/>
      </c>
      <c r="Z174" s="53" t="str">
        <f aca="false">IF($E174&lt;&gt;"",$E174,"")</f>
        <v/>
      </c>
      <c r="AA174" s="52" t="str">
        <f aca="false">IF($F174&lt;&gt;"",$F174,"")</f>
        <v>Apprenant 162 ou 162'</v>
      </c>
      <c r="AB174" s="53" t="str">
        <f aca="false">IF(AND(OR('Choix pédagogiques'!$C$3=1,'Choix pédagogiques'!$C$3=2),$BN174=1),G174,IF(AND('Choix pédagogiques'!$C$3=3,$BO174=1),G174,""))</f>
        <v/>
      </c>
      <c r="AC174" s="53" t="str">
        <f aca="false">IF(AND(OR('Choix pédagogiques'!$C$3=1,'Choix pédagogiques'!$C$3=2),$BN174=1),H174,IF(AND('Choix pédagogiques'!$C$3=3,$BO174=1),H174,""))</f>
        <v/>
      </c>
      <c r="AD174" s="53" t="str">
        <f aca="false">IF(AND(OR('Choix pédagogiques'!$C$3=1,'Choix pédagogiques'!$C$3=2),$BN174=1),I174,IF(AND('Choix pédagogiques'!$C$3=3,$BO174=1),I174,""))</f>
        <v/>
      </c>
      <c r="AE174" s="53" t="str">
        <f aca="false">IF($J174&lt;&gt;"",$J174,"")</f>
        <v/>
      </c>
      <c r="AF174" s="52" t="str">
        <f aca="false">IF($A174&lt;&gt;"",$A174,"")</f>
        <v>Apprenant 162</v>
      </c>
      <c r="AG174" s="53" t="str">
        <f aca="false">IF(AND($W174&lt;&gt;"",$X174&lt;&gt;""),$X174-$W174,"")</f>
        <v/>
      </c>
      <c r="AH174" s="53" t="str">
        <f aca="false">IF(AND($W174&lt;&gt;"",$Y174&lt;&gt;""),$Y174-$W174,"")</f>
        <v/>
      </c>
      <c r="AI174" s="53" t="str">
        <f aca="false">IF(AND($X174&lt;&gt;"",$Y174&lt;&gt;""),$Y174-$X174,"")</f>
        <v/>
      </c>
      <c r="AJ174" s="53" t="str">
        <f aca="false">IF($E174&lt;&gt;"",$E174,"")</f>
        <v/>
      </c>
      <c r="AK174" s="52" t="str">
        <f aca="false">IF($F174&lt;&gt;"",$F174,"")</f>
        <v>Apprenant 162 ou 162'</v>
      </c>
      <c r="AL174" s="53" t="str">
        <f aca="false">IF(AND($AB174&lt;&gt;"",$AC174&lt;&gt;""),$AC174-$AB174,"")</f>
        <v/>
      </c>
      <c r="AM174" s="53" t="str">
        <f aca="false">IF(AND($AB174&lt;&gt;"",$AD174&lt;&gt;""),$AD174-$AB174,"")</f>
        <v/>
      </c>
      <c r="AN174" s="53" t="str">
        <f aca="false">IF(AND($AC174&lt;&gt;"",$AD174&lt;&gt;""),$AD174-$AC174,"")</f>
        <v/>
      </c>
      <c r="AO174" s="53" t="str">
        <f aca="false">IF($J174&lt;&gt;"",$J174,"")</f>
        <v/>
      </c>
      <c r="AQ174" s="52" t="str">
        <f aca="false">IF($A174&lt;&gt;"",$A174,"")</f>
        <v>Apprenant 162</v>
      </c>
      <c r="AR174" s="55" t="str">
        <f aca="false">IF(AND('Choix pédagogiques'!$C$4&lt;&gt;"?",'Choix pédagogiques'!$C$5&lt;&gt;"?",W174&lt;&gt;""),(W174-'Choix pédagogiques'!$C$4)/('Choix pédagogiques'!$C$5-'Choix pédagogiques'!$C$4),"")</f>
        <v/>
      </c>
      <c r="AS174" s="55" t="str">
        <f aca="false">IF(AND('Choix pédagogiques'!$C$4&lt;&gt;"?",'Choix pédagogiques'!$C$5&lt;&gt;"?",X174&lt;&gt;""),(X174-'Choix pédagogiques'!$C$4)/('Choix pédagogiques'!$C$5-'Choix pédagogiques'!$C$4),"")</f>
        <v/>
      </c>
      <c r="AT174" s="55" t="str">
        <f aca="false">IF(AND('Choix pédagogiques'!$C$4&lt;&gt;"?",'Choix pédagogiques'!$C$5&lt;&gt;"?",Y174&lt;&gt;""),(Y174-'Choix pédagogiques'!$C$4)/('Choix pédagogiques'!$C$5-'Choix pédagogiques'!$C$4),"")</f>
        <v/>
      </c>
      <c r="AU174" s="53" t="str">
        <f aca="false">IF($E174&lt;&gt;"",$E174,"")</f>
        <v/>
      </c>
      <c r="AV174" s="52" t="str">
        <f aca="false">IF($F174&lt;&gt;"",$F174,"")</f>
        <v>Apprenant 162 ou 162'</v>
      </c>
      <c r="AW174" s="55" t="str">
        <f aca="false">IF(AND('Choix pédagogiques'!$C$4&lt;&gt;"?",'Choix pédagogiques'!$C$5&lt;&gt;"?",AB174&lt;&gt;""),(AB174-'Choix pédagogiques'!$C$4)/('Choix pédagogiques'!$C$5-'Choix pédagogiques'!$C$4),"")</f>
        <v/>
      </c>
      <c r="AX174" s="55" t="str">
        <f aca="false">IF(AND('Choix pédagogiques'!$C$4&lt;&gt;"?",'Choix pédagogiques'!$C$5&lt;&gt;"?",AC174&lt;&gt;""),(AC174-'Choix pédagogiques'!$C$4)/('Choix pédagogiques'!$C$5-'Choix pédagogiques'!$C$4),"")</f>
        <v/>
      </c>
      <c r="AY174" s="55" t="str">
        <f aca="false">IF(AND('Choix pédagogiques'!$C$4&lt;&gt;"?",'Choix pédagogiques'!$C$5&lt;&gt;"?",AD174&lt;&gt;""),(AD174-'Choix pédagogiques'!$C$4)/('Choix pédagogiques'!$C$5-'Choix pédagogiques'!$C$4),"")</f>
        <v/>
      </c>
      <c r="AZ174" s="53" t="str">
        <f aca="false">IF($J174&lt;&gt;"",$J174,"")</f>
        <v/>
      </c>
      <c r="BA174" s="52" t="str">
        <f aca="false">IF($A174&lt;&gt;"",$A174,"")</f>
        <v>Apprenant 162</v>
      </c>
      <c r="BB174" s="55" t="str">
        <f aca="false">IF(AND($AR174&lt;&gt;"",$AS174&lt;&gt;""),$AS174-$AR174,"")</f>
        <v/>
      </c>
      <c r="BC174" s="55" t="str">
        <f aca="false">IF(AND($AR174&lt;&gt;"",$AT174&lt;&gt;""),$AT174-$AR174,"")</f>
        <v/>
      </c>
      <c r="BD174" s="55" t="str">
        <f aca="false">IF(AND($AS174&lt;&gt;"",$AT174&lt;&gt;""),$AT174-$AS174,"")</f>
        <v/>
      </c>
      <c r="BE174" s="53" t="str">
        <f aca="false">IF($E174&lt;&gt;"",$E174,"")</f>
        <v/>
      </c>
      <c r="BF174" s="52" t="str">
        <f aca="false">IF($F174&lt;&gt;"",$F174,"")</f>
        <v>Apprenant 162 ou 162'</v>
      </c>
      <c r="BG174" s="55" t="str">
        <f aca="false">IF(AND($AW174&lt;&gt;"",$AX174&lt;&gt;""),$AX174-$AW174,"")</f>
        <v/>
      </c>
      <c r="BH174" s="55" t="str">
        <f aca="false">IF(AND($AW174&lt;&gt;"",$AY174&lt;&gt;""),$AY174-$AW174,"")</f>
        <v/>
      </c>
      <c r="BI174" s="55" t="str">
        <f aca="false">IF(AND($AX174&lt;&gt;"",$AY174&lt;&gt;""),$AY174-$AX174,"")</f>
        <v/>
      </c>
      <c r="BJ174" s="53" t="str">
        <f aca="false">IF($J174&lt;&gt;"",$J174,"")</f>
        <v/>
      </c>
      <c r="BL174" s="52"/>
      <c r="BM174" s="52" t="str">
        <f aca="false">IF(OR(COUNT(B174:D1173)=0,AND('Choix pédagogiques'!$C$3&lt;&gt;1,'Choix pédagogiques'!$C$3&lt;&gt;2)),"",IF(AND(OR('Choix pédagogiques'!$C$3=1,'Choix pédagogiques'!$C$3=2),$B174&lt;&gt;"",$C174&lt;&gt;"",$D174&lt;&gt;""),1,0))</f>
        <v/>
      </c>
      <c r="BN174" s="52" t="str">
        <f aca="false">IF(OR(COUNT(G174:I1173)=0,AND('Choix pédagogiques'!$C$3&lt;&gt;1,'Choix pédagogiques'!$C$3&lt;&gt;2)),"",IF(AND(OR('Choix pédagogiques'!$C$3=1,'Choix pédagogiques'!$C$3=2),AND($G174&lt;&gt;"",$H174&lt;&gt;"",$I174&lt;&gt;"")),1,0))</f>
        <v/>
      </c>
      <c r="BO174" s="52" t="str">
        <f aca="false">IF(OR(COUNT(B174:D1173)=0,COUNT(G174:I1173)=0,'Choix pédagogiques'!C$3&lt;&gt;3),"",IF(AND('Choix pédagogiques'!$C$3=3,$B174&lt;&gt;"",$C174&lt;&gt;"",$D174&lt;&gt;"",$G174&lt;&gt;"",$H174&lt;&gt;"",$I174&lt;&gt;""),1,0))</f>
        <v/>
      </c>
      <c r="BR174" s="52" t="n">
        <v>212</v>
      </c>
      <c r="BS174" s="52" t="n">
        <v>1036</v>
      </c>
    </row>
    <row r="175" s="54" customFormat="true" ht="18" hidden="false" customHeight="true" outlineLevel="0" collapsed="false">
      <c r="A175" s="57" t="s">
        <v>281</v>
      </c>
      <c r="B175" s="51"/>
      <c r="C175" s="51"/>
      <c r="D175" s="51"/>
      <c r="E175" s="51"/>
      <c r="F175" s="57" t="s">
        <v>282</v>
      </c>
      <c r="G175" s="51"/>
      <c r="H175" s="51"/>
      <c r="I175" s="51"/>
      <c r="J175" s="51"/>
      <c r="K175" s="52" t="str">
        <f aca="false">IF($A175&lt;&gt;"",$A175,"")</f>
        <v>Apprenant 163</v>
      </c>
      <c r="L175" s="53" t="str">
        <f aca="false">IF(AND($B175&lt;&gt;"",$C175&lt;&gt;""),$C175-$B175,"")</f>
        <v/>
      </c>
      <c r="M175" s="53" t="str">
        <f aca="false">IF(AND($B175&lt;&gt;"",$D175&lt;&gt;""),$D175-$B175,"")</f>
        <v/>
      </c>
      <c r="N175" s="53" t="str">
        <f aca="false">IF(AND($C175&lt;&gt;"",$D175&lt;&gt;""),$D175-$C175,"")</f>
        <v/>
      </c>
      <c r="O175" s="53" t="str">
        <f aca="false">IF($E175&lt;&gt;"",$E175,"")</f>
        <v/>
      </c>
      <c r="P175" s="52" t="str">
        <f aca="false">IF($F175&lt;&gt;"",$F175,"")</f>
        <v>Apprenant 163 ou 163'</v>
      </c>
      <c r="Q175" s="53" t="str">
        <f aca="false">IF(AND($G175&lt;&gt;"",$H175&lt;&gt;""),$H175-$G175,"")</f>
        <v/>
      </c>
      <c r="R175" s="53" t="str">
        <f aca="false">IF(AND($G175&lt;&gt;"",$I175&lt;&gt;""),$I175-$G175,"")</f>
        <v/>
      </c>
      <c r="S175" s="53" t="str">
        <f aca="false">IF(AND($H175&lt;&gt;"",$I175&lt;&gt;""),$I175-$H175,"")</f>
        <v/>
      </c>
      <c r="T175" s="53" t="str">
        <f aca="false">IF($J175&lt;&gt;"",$J175,"")</f>
        <v/>
      </c>
      <c r="V175" s="52" t="str">
        <f aca="false">IF($A175&lt;&gt;"",$A175,"")</f>
        <v>Apprenant 163</v>
      </c>
      <c r="W175" s="53" t="str">
        <f aca="false">IF(AND(OR('Choix pédagogiques'!$C$3=1,'Choix pédagogiques'!$C$3=2),$BM175=1),B175,IF(AND('Choix pédagogiques'!$C$3=3,$BO175=1),B175,""))</f>
        <v/>
      </c>
      <c r="X175" s="53" t="str">
        <f aca="false">IF(AND(OR('Choix pédagogiques'!$C$3=1,'Choix pédagogiques'!$C$3=2),$BM175=1),C175,IF(AND('Choix pédagogiques'!$C$3=3,$BO175=1),C175,""))</f>
        <v/>
      </c>
      <c r="Y175" s="53" t="str">
        <f aca="false">IF(AND(OR('Choix pédagogiques'!$C$3=1,'Choix pédagogiques'!$C$3=2),$BM175=1),D175,IF(AND('Choix pédagogiques'!$C$3=3,$BO175=1),D175,""))</f>
        <v/>
      </c>
      <c r="Z175" s="53" t="str">
        <f aca="false">IF($E175&lt;&gt;"",$E175,"")</f>
        <v/>
      </c>
      <c r="AA175" s="52" t="str">
        <f aca="false">IF($F175&lt;&gt;"",$F175,"")</f>
        <v>Apprenant 163 ou 163'</v>
      </c>
      <c r="AB175" s="53" t="str">
        <f aca="false">IF(AND(OR('Choix pédagogiques'!$C$3=1,'Choix pédagogiques'!$C$3=2),$BN175=1),G175,IF(AND('Choix pédagogiques'!$C$3=3,$BO175=1),G175,""))</f>
        <v/>
      </c>
      <c r="AC175" s="53" t="str">
        <f aca="false">IF(AND(OR('Choix pédagogiques'!$C$3=1,'Choix pédagogiques'!$C$3=2),$BN175=1),H175,IF(AND('Choix pédagogiques'!$C$3=3,$BO175=1),H175,""))</f>
        <v/>
      </c>
      <c r="AD175" s="53" t="str">
        <f aca="false">IF(AND(OR('Choix pédagogiques'!$C$3=1,'Choix pédagogiques'!$C$3=2),$BN175=1),I175,IF(AND('Choix pédagogiques'!$C$3=3,$BO175=1),I175,""))</f>
        <v/>
      </c>
      <c r="AE175" s="53" t="str">
        <f aca="false">IF($J175&lt;&gt;"",$J175,"")</f>
        <v/>
      </c>
      <c r="AF175" s="52" t="str">
        <f aca="false">IF($A175&lt;&gt;"",$A175,"")</f>
        <v>Apprenant 163</v>
      </c>
      <c r="AG175" s="53" t="str">
        <f aca="false">IF(AND($W175&lt;&gt;"",$X175&lt;&gt;""),$X175-$W175,"")</f>
        <v/>
      </c>
      <c r="AH175" s="53" t="str">
        <f aca="false">IF(AND($W175&lt;&gt;"",$Y175&lt;&gt;""),$Y175-$W175,"")</f>
        <v/>
      </c>
      <c r="AI175" s="53" t="str">
        <f aca="false">IF(AND($X175&lt;&gt;"",$Y175&lt;&gt;""),$Y175-$X175,"")</f>
        <v/>
      </c>
      <c r="AJ175" s="53" t="str">
        <f aca="false">IF($E175&lt;&gt;"",$E175,"")</f>
        <v/>
      </c>
      <c r="AK175" s="52" t="str">
        <f aca="false">IF($F175&lt;&gt;"",$F175,"")</f>
        <v>Apprenant 163 ou 163'</v>
      </c>
      <c r="AL175" s="53" t="str">
        <f aca="false">IF(AND($AB175&lt;&gt;"",$AC175&lt;&gt;""),$AC175-$AB175,"")</f>
        <v/>
      </c>
      <c r="AM175" s="53" t="str">
        <f aca="false">IF(AND($AB175&lt;&gt;"",$AD175&lt;&gt;""),$AD175-$AB175,"")</f>
        <v/>
      </c>
      <c r="AN175" s="53" t="str">
        <f aca="false">IF(AND($AC175&lt;&gt;"",$AD175&lt;&gt;""),$AD175-$AC175,"")</f>
        <v/>
      </c>
      <c r="AO175" s="53" t="str">
        <f aca="false">IF($J175&lt;&gt;"",$J175,"")</f>
        <v/>
      </c>
      <c r="AQ175" s="52" t="str">
        <f aca="false">IF($A175&lt;&gt;"",$A175,"")</f>
        <v>Apprenant 163</v>
      </c>
      <c r="AR175" s="55" t="str">
        <f aca="false">IF(AND('Choix pédagogiques'!$C$4&lt;&gt;"?",'Choix pédagogiques'!$C$5&lt;&gt;"?",W175&lt;&gt;""),(W175-'Choix pédagogiques'!$C$4)/('Choix pédagogiques'!$C$5-'Choix pédagogiques'!$C$4),"")</f>
        <v/>
      </c>
      <c r="AS175" s="55" t="str">
        <f aca="false">IF(AND('Choix pédagogiques'!$C$4&lt;&gt;"?",'Choix pédagogiques'!$C$5&lt;&gt;"?",X175&lt;&gt;""),(X175-'Choix pédagogiques'!$C$4)/('Choix pédagogiques'!$C$5-'Choix pédagogiques'!$C$4),"")</f>
        <v/>
      </c>
      <c r="AT175" s="55" t="str">
        <f aca="false">IF(AND('Choix pédagogiques'!$C$4&lt;&gt;"?",'Choix pédagogiques'!$C$5&lt;&gt;"?",Y175&lt;&gt;""),(Y175-'Choix pédagogiques'!$C$4)/('Choix pédagogiques'!$C$5-'Choix pédagogiques'!$C$4),"")</f>
        <v/>
      </c>
      <c r="AU175" s="53" t="str">
        <f aca="false">IF($E175&lt;&gt;"",$E175,"")</f>
        <v/>
      </c>
      <c r="AV175" s="52" t="str">
        <f aca="false">IF($F175&lt;&gt;"",$F175,"")</f>
        <v>Apprenant 163 ou 163'</v>
      </c>
      <c r="AW175" s="55" t="str">
        <f aca="false">IF(AND('Choix pédagogiques'!$C$4&lt;&gt;"?",'Choix pédagogiques'!$C$5&lt;&gt;"?",AB175&lt;&gt;""),(AB175-'Choix pédagogiques'!$C$4)/('Choix pédagogiques'!$C$5-'Choix pédagogiques'!$C$4),"")</f>
        <v/>
      </c>
      <c r="AX175" s="55" t="str">
        <f aca="false">IF(AND('Choix pédagogiques'!$C$4&lt;&gt;"?",'Choix pédagogiques'!$C$5&lt;&gt;"?",AC175&lt;&gt;""),(AC175-'Choix pédagogiques'!$C$4)/('Choix pédagogiques'!$C$5-'Choix pédagogiques'!$C$4),"")</f>
        <v/>
      </c>
      <c r="AY175" s="55" t="str">
        <f aca="false">IF(AND('Choix pédagogiques'!$C$4&lt;&gt;"?",'Choix pédagogiques'!$C$5&lt;&gt;"?",AD175&lt;&gt;""),(AD175-'Choix pédagogiques'!$C$4)/('Choix pédagogiques'!$C$5-'Choix pédagogiques'!$C$4),"")</f>
        <v/>
      </c>
      <c r="AZ175" s="53" t="str">
        <f aca="false">IF($J175&lt;&gt;"",$J175,"")</f>
        <v/>
      </c>
      <c r="BA175" s="52" t="str">
        <f aca="false">IF($A175&lt;&gt;"",$A175,"")</f>
        <v>Apprenant 163</v>
      </c>
      <c r="BB175" s="55" t="str">
        <f aca="false">IF(AND($AR175&lt;&gt;"",$AS175&lt;&gt;""),$AS175-$AR175,"")</f>
        <v/>
      </c>
      <c r="BC175" s="55" t="str">
        <f aca="false">IF(AND($AR175&lt;&gt;"",$AT175&lt;&gt;""),$AT175-$AR175,"")</f>
        <v/>
      </c>
      <c r="BD175" s="55" t="str">
        <f aca="false">IF(AND($AS175&lt;&gt;"",$AT175&lt;&gt;""),$AT175-$AS175,"")</f>
        <v/>
      </c>
      <c r="BE175" s="53" t="str">
        <f aca="false">IF($E175&lt;&gt;"",$E175,"")</f>
        <v/>
      </c>
      <c r="BF175" s="52" t="str">
        <f aca="false">IF($F175&lt;&gt;"",$F175,"")</f>
        <v>Apprenant 163 ou 163'</v>
      </c>
      <c r="BG175" s="55" t="str">
        <f aca="false">IF(AND($AW175&lt;&gt;"",$AX175&lt;&gt;""),$AX175-$AW175,"")</f>
        <v/>
      </c>
      <c r="BH175" s="55" t="str">
        <f aca="false">IF(AND($AW175&lt;&gt;"",$AY175&lt;&gt;""),$AY175-$AW175,"")</f>
        <v/>
      </c>
      <c r="BI175" s="55" t="str">
        <f aca="false">IF(AND($AX175&lt;&gt;"",$AY175&lt;&gt;""),$AY175-$AX175,"")</f>
        <v/>
      </c>
      <c r="BJ175" s="53" t="str">
        <f aca="false">IF($J175&lt;&gt;"",$J175,"")</f>
        <v/>
      </c>
      <c r="BL175" s="52"/>
      <c r="BM175" s="52" t="str">
        <f aca="false">IF(OR(COUNT(B175:D1174)=0,AND('Choix pédagogiques'!$C$3&lt;&gt;1,'Choix pédagogiques'!$C$3&lt;&gt;2)),"",IF(AND(OR('Choix pédagogiques'!$C$3=1,'Choix pédagogiques'!$C$3=2),$B175&lt;&gt;"",$C175&lt;&gt;"",$D175&lt;&gt;""),1,0))</f>
        <v/>
      </c>
      <c r="BN175" s="52" t="str">
        <f aca="false">IF(OR(COUNT(G175:I1174)=0,AND('Choix pédagogiques'!$C$3&lt;&gt;1,'Choix pédagogiques'!$C$3&lt;&gt;2)),"",IF(AND(OR('Choix pédagogiques'!$C$3=1,'Choix pédagogiques'!$C$3=2),AND($G175&lt;&gt;"",$H175&lt;&gt;"",$I175&lt;&gt;"")),1,0))</f>
        <v/>
      </c>
      <c r="BO175" s="52" t="str">
        <f aca="false">IF(OR(COUNT(B175:D1174)=0,COUNT(G175:I1174)=0,'Choix pédagogiques'!C$3&lt;&gt;3),"",IF(AND('Choix pédagogiques'!$C$3=3,$B175&lt;&gt;"",$C175&lt;&gt;"",$D175&lt;&gt;"",$G175&lt;&gt;"",$H175&lt;&gt;"",$I175&lt;&gt;""),1,0))</f>
        <v/>
      </c>
      <c r="BR175" s="52" t="n">
        <v>982</v>
      </c>
      <c r="BS175" s="52" t="n">
        <v>1210</v>
      </c>
    </row>
    <row r="176" s="54" customFormat="true" ht="18" hidden="false" customHeight="true" outlineLevel="0" collapsed="false">
      <c r="A176" s="57" t="s">
        <v>283</v>
      </c>
      <c r="B176" s="51"/>
      <c r="C176" s="51"/>
      <c r="D176" s="51"/>
      <c r="E176" s="51"/>
      <c r="F176" s="57" t="s">
        <v>284</v>
      </c>
      <c r="G176" s="51"/>
      <c r="H176" s="51"/>
      <c r="I176" s="51"/>
      <c r="J176" s="51"/>
      <c r="K176" s="52" t="str">
        <f aca="false">IF($A176&lt;&gt;"",$A176,"")</f>
        <v>Apprenant 164</v>
      </c>
      <c r="L176" s="53" t="str">
        <f aca="false">IF(AND($B176&lt;&gt;"",$C176&lt;&gt;""),$C176-$B176,"")</f>
        <v/>
      </c>
      <c r="M176" s="53" t="str">
        <f aca="false">IF(AND($B176&lt;&gt;"",$D176&lt;&gt;""),$D176-$B176,"")</f>
        <v/>
      </c>
      <c r="N176" s="53" t="str">
        <f aca="false">IF(AND($C176&lt;&gt;"",$D176&lt;&gt;""),$D176-$C176,"")</f>
        <v/>
      </c>
      <c r="O176" s="53" t="str">
        <f aca="false">IF($E176&lt;&gt;"",$E176,"")</f>
        <v/>
      </c>
      <c r="P176" s="52" t="str">
        <f aca="false">IF($F176&lt;&gt;"",$F176,"")</f>
        <v>Apprenant 164 ou 164'</v>
      </c>
      <c r="Q176" s="53" t="str">
        <f aca="false">IF(AND($G176&lt;&gt;"",$H176&lt;&gt;""),$H176-$G176,"")</f>
        <v/>
      </c>
      <c r="R176" s="53" t="str">
        <f aca="false">IF(AND($G176&lt;&gt;"",$I176&lt;&gt;""),$I176-$G176,"")</f>
        <v/>
      </c>
      <c r="S176" s="53" t="str">
        <f aca="false">IF(AND($H176&lt;&gt;"",$I176&lt;&gt;""),$I176-$H176,"")</f>
        <v/>
      </c>
      <c r="T176" s="53" t="str">
        <f aca="false">IF($J176&lt;&gt;"",$J176,"")</f>
        <v/>
      </c>
      <c r="V176" s="52" t="str">
        <f aca="false">IF($A176&lt;&gt;"",$A176,"")</f>
        <v>Apprenant 164</v>
      </c>
      <c r="W176" s="53" t="str">
        <f aca="false">IF(AND(OR('Choix pédagogiques'!$C$3=1,'Choix pédagogiques'!$C$3=2),$BM176=1),B176,IF(AND('Choix pédagogiques'!$C$3=3,$BO176=1),B176,""))</f>
        <v/>
      </c>
      <c r="X176" s="53" t="str">
        <f aca="false">IF(AND(OR('Choix pédagogiques'!$C$3=1,'Choix pédagogiques'!$C$3=2),$BM176=1),C176,IF(AND('Choix pédagogiques'!$C$3=3,$BO176=1),C176,""))</f>
        <v/>
      </c>
      <c r="Y176" s="53" t="str">
        <f aca="false">IF(AND(OR('Choix pédagogiques'!$C$3=1,'Choix pédagogiques'!$C$3=2),$BM176=1),D176,IF(AND('Choix pédagogiques'!$C$3=3,$BO176=1),D176,""))</f>
        <v/>
      </c>
      <c r="Z176" s="53" t="str">
        <f aca="false">IF($E176&lt;&gt;"",$E176,"")</f>
        <v/>
      </c>
      <c r="AA176" s="52" t="str">
        <f aca="false">IF($F176&lt;&gt;"",$F176,"")</f>
        <v>Apprenant 164 ou 164'</v>
      </c>
      <c r="AB176" s="53" t="str">
        <f aca="false">IF(AND(OR('Choix pédagogiques'!$C$3=1,'Choix pédagogiques'!$C$3=2),$BN176=1),G176,IF(AND('Choix pédagogiques'!$C$3=3,$BO176=1),G176,""))</f>
        <v/>
      </c>
      <c r="AC176" s="53" t="str">
        <f aca="false">IF(AND(OR('Choix pédagogiques'!$C$3=1,'Choix pédagogiques'!$C$3=2),$BN176=1),H176,IF(AND('Choix pédagogiques'!$C$3=3,$BO176=1),H176,""))</f>
        <v/>
      </c>
      <c r="AD176" s="53" t="str">
        <f aca="false">IF(AND(OR('Choix pédagogiques'!$C$3=1,'Choix pédagogiques'!$C$3=2),$BN176=1),I176,IF(AND('Choix pédagogiques'!$C$3=3,$BO176=1),I176,""))</f>
        <v/>
      </c>
      <c r="AE176" s="53" t="str">
        <f aca="false">IF($J176&lt;&gt;"",$J176,"")</f>
        <v/>
      </c>
      <c r="AF176" s="52" t="str">
        <f aca="false">IF($A176&lt;&gt;"",$A176,"")</f>
        <v>Apprenant 164</v>
      </c>
      <c r="AG176" s="53" t="str">
        <f aca="false">IF(AND($W176&lt;&gt;"",$X176&lt;&gt;""),$X176-$W176,"")</f>
        <v/>
      </c>
      <c r="AH176" s="53" t="str">
        <f aca="false">IF(AND($W176&lt;&gt;"",$Y176&lt;&gt;""),$Y176-$W176,"")</f>
        <v/>
      </c>
      <c r="AI176" s="53" t="str">
        <f aca="false">IF(AND($X176&lt;&gt;"",$Y176&lt;&gt;""),$Y176-$X176,"")</f>
        <v/>
      </c>
      <c r="AJ176" s="53" t="str">
        <f aca="false">IF($E176&lt;&gt;"",$E176,"")</f>
        <v/>
      </c>
      <c r="AK176" s="52" t="str">
        <f aca="false">IF($F176&lt;&gt;"",$F176,"")</f>
        <v>Apprenant 164 ou 164'</v>
      </c>
      <c r="AL176" s="53" t="str">
        <f aca="false">IF(AND($AB176&lt;&gt;"",$AC176&lt;&gt;""),$AC176-$AB176,"")</f>
        <v/>
      </c>
      <c r="AM176" s="53" t="str">
        <f aca="false">IF(AND($AB176&lt;&gt;"",$AD176&lt;&gt;""),$AD176-$AB176,"")</f>
        <v/>
      </c>
      <c r="AN176" s="53" t="str">
        <f aca="false">IF(AND($AC176&lt;&gt;"",$AD176&lt;&gt;""),$AD176-$AC176,"")</f>
        <v/>
      </c>
      <c r="AO176" s="53" t="str">
        <f aca="false">IF($J176&lt;&gt;"",$J176,"")</f>
        <v/>
      </c>
      <c r="AQ176" s="52" t="str">
        <f aca="false">IF($A176&lt;&gt;"",$A176,"")</f>
        <v>Apprenant 164</v>
      </c>
      <c r="AR176" s="55" t="str">
        <f aca="false">IF(AND('Choix pédagogiques'!$C$4&lt;&gt;"?",'Choix pédagogiques'!$C$5&lt;&gt;"?",W176&lt;&gt;""),(W176-'Choix pédagogiques'!$C$4)/('Choix pédagogiques'!$C$5-'Choix pédagogiques'!$C$4),"")</f>
        <v/>
      </c>
      <c r="AS176" s="55" t="str">
        <f aca="false">IF(AND('Choix pédagogiques'!$C$4&lt;&gt;"?",'Choix pédagogiques'!$C$5&lt;&gt;"?",X176&lt;&gt;""),(X176-'Choix pédagogiques'!$C$4)/('Choix pédagogiques'!$C$5-'Choix pédagogiques'!$C$4),"")</f>
        <v/>
      </c>
      <c r="AT176" s="55" t="str">
        <f aca="false">IF(AND('Choix pédagogiques'!$C$4&lt;&gt;"?",'Choix pédagogiques'!$C$5&lt;&gt;"?",Y176&lt;&gt;""),(Y176-'Choix pédagogiques'!$C$4)/('Choix pédagogiques'!$C$5-'Choix pédagogiques'!$C$4),"")</f>
        <v/>
      </c>
      <c r="AU176" s="53" t="str">
        <f aca="false">IF($E176&lt;&gt;"",$E176,"")</f>
        <v/>
      </c>
      <c r="AV176" s="52" t="str">
        <f aca="false">IF($F176&lt;&gt;"",$F176,"")</f>
        <v>Apprenant 164 ou 164'</v>
      </c>
      <c r="AW176" s="55" t="str">
        <f aca="false">IF(AND('Choix pédagogiques'!$C$4&lt;&gt;"?",'Choix pédagogiques'!$C$5&lt;&gt;"?",AB176&lt;&gt;""),(AB176-'Choix pédagogiques'!$C$4)/('Choix pédagogiques'!$C$5-'Choix pédagogiques'!$C$4),"")</f>
        <v/>
      </c>
      <c r="AX176" s="55" t="str">
        <f aca="false">IF(AND('Choix pédagogiques'!$C$4&lt;&gt;"?",'Choix pédagogiques'!$C$5&lt;&gt;"?",AC176&lt;&gt;""),(AC176-'Choix pédagogiques'!$C$4)/('Choix pédagogiques'!$C$5-'Choix pédagogiques'!$C$4),"")</f>
        <v/>
      </c>
      <c r="AY176" s="55" t="str">
        <f aca="false">IF(AND('Choix pédagogiques'!$C$4&lt;&gt;"?",'Choix pédagogiques'!$C$5&lt;&gt;"?",AD176&lt;&gt;""),(AD176-'Choix pédagogiques'!$C$4)/('Choix pédagogiques'!$C$5-'Choix pédagogiques'!$C$4),"")</f>
        <v/>
      </c>
      <c r="AZ176" s="53" t="str">
        <f aca="false">IF($J176&lt;&gt;"",$J176,"")</f>
        <v/>
      </c>
      <c r="BA176" s="52" t="str">
        <f aca="false">IF($A176&lt;&gt;"",$A176,"")</f>
        <v>Apprenant 164</v>
      </c>
      <c r="BB176" s="55" t="str">
        <f aca="false">IF(AND($AR176&lt;&gt;"",$AS176&lt;&gt;""),$AS176-$AR176,"")</f>
        <v/>
      </c>
      <c r="BC176" s="55" t="str">
        <f aca="false">IF(AND($AR176&lt;&gt;"",$AT176&lt;&gt;""),$AT176-$AR176,"")</f>
        <v/>
      </c>
      <c r="BD176" s="55" t="str">
        <f aca="false">IF(AND($AS176&lt;&gt;"",$AT176&lt;&gt;""),$AT176-$AS176,"")</f>
        <v/>
      </c>
      <c r="BE176" s="53" t="str">
        <f aca="false">IF($E176&lt;&gt;"",$E176,"")</f>
        <v/>
      </c>
      <c r="BF176" s="52" t="str">
        <f aca="false">IF($F176&lt;&gt;"",$F176,"")</f>
        <v>Apprenant 164 ou 164'</v>
      </c>
      <c r="BG176" s="55" t="str">
        <f aca="false">IF(AND($AW176&lt;&gt;"",$AX176&lt;&gt;""),$AX176-$AW176,"")</f>
        <v/>
      </c>
      <c r="BH176" s="55" t="str">
        <f aca="false">IF(AND($AW176&lt;&gt;"",$AY176&lt;&gt;""),$AY176-$AW176,"")</f>
        <v/>
      </c>
      <c r="BI176" s="55" t="str">
        <f aca="false">IF(AND($AX176&lt;&gt;"",$AY176&lt;&gt;""),$AY176-$AX176,"")</f>
        <v/>
      </c>
      <c r="BJ176" s="53" t="str">
        <f aca="false">IF($J176&lt;&gt;"",$J176,"")</f>
        <v/>
      </c>
      <c r="BL176" s="52"/>
      <c r="BM176" s="52" t="str">
        <f aca="false">IF(OR(COUNT(B176:D1175)=0,AND('Choix pédagogiques'!$C$3&lt;&gt;1,'Choix pédagogiques'!$C$3&lt;&gt;2)),"",IF(AND(OR('Choix pédagogiques'!$C$3=1,'Choix pédagogiques'!$C$3=2),$B176&lt;&gt;"",$C176&lt;&gt;"",$D176&lt;&gt;""),1,0))</f>
        <v/>
      </c>
      <c r="BN176" s="52" t="str">
        <f aca="false">IF(OR(COUNT(G176:I1175)=0,AND('Choix pédagogiques'!$C$3&lt;&gt;1,'Choix pédagogiques'!$C$3&lt;&gt;2)),"",IF(AND(OR('Choix pédagogiques'!$C$3=1,'Choix pédagogiques'!$C$3=2),AND($G176&lt;&gt;"",$H176&lt;&gt;"",$I176&lt;&gt;"")),1,0))</f>
        <v/>
      </c>
      <c r="BO176" s="52" t="str">
        <f aca="false">IF(OR(COUNT(B176:D1175)=0,COUNT(G176:I1175)=0,'Choix pédagogiques'!C$3&lt;&gt;3),"",IF(AND('Choix pédagogiques'!$C$3=3,$B176&lt;&gt;"",$C176&lt;&gt;"",$D176&lt;&gt;"",$G176&lt;&gt;"",$H176&lt;&gt;"",$I176&lt;&gt;""),1,0))</f>
        <v/>
      </c>
      <c r="BR176" s="52" t="n">
        <v>229</v>
      </c>
      <c r="BS176" s="52" t="n">
        <v>1574</v>
      </c>
    </row>
    <row r="177" s="54" customFormat="true" ht="18" hidden="false" customHeight="true" outlineLevel="0" collapsed="false">
      <c r="A177" s="57" t="s">
        <v>285</v>
      </c>
      <c r="B177" s="51"/>
      <c r="C177" s="51"/>
      <c r="D177" s="51"/>
      <c r="E177" s="51"/>
      <c r="F177" s="57" t="s">
        <v>286</v>
      </c>
      <c r="G177" s="51"/>
      <c r="H177" s="51"/>
      <c r="I177" s="51"/>
      <c r="J177" s="51"/>
      <c r="K177" s="52" t="str">
        <f aca="false">IF($A177&lt;&gt;"",$A177,"")</f>
        <v>Apprenant 165</v>
      </c>
      <c r="L177" s="53" t="str">
        <f aca="false">IF(AND($B177&lt;&gt;"",$C177&lt;&gt;""),$C177-$B177,"")</f>
        <v/>
      </c>
      <c r="M177" s="53" t="str">
        <f aca="false">IF(AND($B177&lt;&gt;"",$D177&lt;&gt;""),$D177-$B177,"")</f>
        <v/>
      </c>
      <c r="N177" s="53" t="str">
        <f aca="false">IF(AND($C177&lt;&gt;"",$D177&lt;&gt;""),$D177-$C177,"")</f>
        <v/>
      </c>
      <c r="O177" s="53" t="str">
        <f aca="false">IF($E177&lt;&gt;"",$E177,"")</f>
        <v/>
      </c>
      <c r="P177" s="52" t="str">
        <f aca="false">IF($F177&lt;&gt;"",$F177,"")</f>
        <v>Apprenant 165 ou 165'</v>
      </c>
      <c r="Q177" s="53" t="str">
        <f aca="false">IF(AND($G177&lt;&gt;"",$H177&lt;&gt;""),$H177-$G177,"")</f>
        <v/>
      </c>
      <c r="R177" s="53" t="str">
        <f aca="false">IF(AND($G177&lt;&gt;"",$I177&lt;&gt;""),$I177-$G177,"")</f>
        <v/>
      </c>
      <c r="S177" s="53" t="str">
        <f aca="false">IF(AND($H177&lt;&gt;"",$I177&lt;&gt;""),$I177-$H177,"")</f>
        <v/>
      </c>
      <c r="T177" s="53" t="str">
        <f aca="false">IF($J177&lt;&gt;"",$J177,"")</f>
        <v/>
      </c>
      <c r="V177" s="52" t="str">
        <f aca="false">IF($A177&lt;&gt;"",$A177,"")</f>
        <v>Apprenant 165</v>
      </c>
      <c r="W177" s="53" t="str">
        <f aca="false">IF(AND(OR('Choix pédagogiques'!$C$3=1,'Choix pédagogiques'!$C$3=2),$BM177=1),B177,IF(AND('Choix pédagogiques'!$C$3=3,$BO177=1),B177,""))</f>
        <v/>
      </c>
      <c r="X177" s="53" t="str">
        <f aca="false">IF(AND(OR('Choix pédagogiques'!$C$3=1,'Choix pédagogiques'!$C$3=2),$BM177=1),C177,IF(AND('Choix pédagogiques'!$C$3=3,$BO177=1),C177,""))</f>
        <v/>
      </c>
      <c r="Y177" s="53" t="str">
        <f aca="false">IF(AND(OR('Choix pédagogiques'!$C$3=1,'Choix pédagogiques'!$C$3=2),$BM177=1),D177,IF(AND('Choix pédagogiques'!$C$3=3,$BO177=1),D177,""))</f>
        <v/>
      </c>
      <c r="Z177" s="53" t="str">
        <f aca="false">IF($E177&lt;&gt;"",$E177,"")</f>
        <v/>
      </c>
      <c r="AA177" s="52" t="str">
        <f aca="false">IF($F177&lt;&gt;"",$F177,"")</f>
        <v>Apprenant 165 ou 165'</v>
      </c>
      <c r="AB177" s="53" t="str">
        <f aca="false">IF(AND(OR('Choix pédagogiques'!$C$3=1,'Choix pédagogiques'!$C$3=2),$BN177=1),G177,IF(AND('Choix pédagogiques'!$C$3=3,$BO177=1),G177,""))</f>
        <v/>
      </c>
      <c r="AC177" s="53" t="str">
        <f aca="false">IF(AND(OR('Choix pédagogiques'!$C$3=1,'Choix pédagogiques'!$C$3=2),$BN177=1),H177,IF(AND('Choix pédagogiques'!$C$3=3,$BO177=1),H177,""))</f>
        <v/>
      </c>
      <c r="AD177" s="53" t="str">
        <f aca="false">IF(AND(OR('Choix pédagogiques'!$C$3=1,'Choix pédagogiques'!$C$3=2),$BN177=1),I177,IF(AND('Choix pédagogiques'!$C$3=3,$BO177=1),I177,""))</f>
        <v/>
      </c>
      <c r="AE177" s="53" t="str">
        <f aca="false">IF($J177&lt;&gt;"",$J177,"")</f>
        <v/>
      </c>
      <c r="AF177" s="52" t="str">
        <f aca="false">IF($A177&lt;&gt;"",$A177,"")</f>
        <v>Apprenant 165</v>
      </c>
      <c r="AG177" s="53" t="str">
        <f aca="false">IF(AND($W177&lt;&gt;"",$X177&lt;&gt;""),$X177-$W177,"")</f>
        <v/>
      </c>
      <c r="AH177" s="53" t="str">
        <f aca="false">IF(AND($W177&lt;&gt;"",$Y177&lt;&gt;""),$Y177-$W177,"")</f>
        <v/>
      </c>
      <c r="AI177" s="53" t="str">
        <f aca="false">IF(AND($X177&lt;&gt;"",$Y177&lt;&gt;""),$Y177-$X177,"")</f>
        <v/>
      </c>
      <c r="AJ177" s="53" t="str">
        <f aca="false">IF($E177&lt;&gt;"",$E177,"")</f>
        <v/>
      </c>
      <c r="AK177" s="52" t="str">
        <f aca="false">IF($F177&lt;&gt;"",$F177,"")</f>
        <v>Apprenant 165 ou 165'</v>
      </c>
      <c r="AL177" s="53" t="str">
        <f aca="false">IF(AND($AB177&lt;&gt;"",$AC177&lt;&gt;""),$AC177-$AB177,"")</f>
        <v/>
      </c>
      <c r="AM177" s="53" t="str">
        <f aca="false">IF(AND($AB177&lt;&gt;"",$AD177&lt;&gt;""),$AD177-$AB177,"")</f>
        <v/>
      </c>
      <c r="AN177" s="53" t="str">
        <f aca="false">IF(AND($AC177&lt;&gt;"",$AD177&lt;&gt;""),$AD177-$AC177,"")</f>
        <v/>
      </c>
      <c r="AO177" s="53" t="str">
        <f aca="false">IF($J177&lt;&gt;"",$J177,"")</f>
        <v/>
      </c>
      <c r="AQ177" s="52" t="str">
        <f aca="false">IF($A177&lt;&gt;"",$A177,"")</f>
        <v>Apprenant 165</v>
      </c>
      <c r="AR177" s="55" t="str">
        <f aca="false">IF(AND('Choix pédagogiques'!$C$4&lt;&gt;"?",'Choix pédagogiques'!$C$5&lt;&gt;"?",W177&lt;&gt;""),(W177-'Choix pédagogiques'!$C$4)/('Choix pédagogiques'!$C$5-'Choix pédagogiques'!$C$4),"")</f>
        <v/>
      </c>
      <c r="AS177" s="55" t="str">
        <f aca="false">IF(AND('Choix pédagogiques'!$C$4&lt;&gt;"?",'Choix pédagogiques'!$C$5&lt;&gt;"?",X177&lt;&gt;""),(X177-'Choix pédagogiques'!$C$4)/('Choix pédagogiques'!$C$5-'Choix pédagogiques'!$C$4),"")</f>
        <v/>
      </c>
      <c r="AT177" s="55" t="str">
        <f aca="false">IF(AND('Choix pédagogiques'!$C$4&lt;&gt;"?",'Choix pédagogiques'!$C$5&lt;&gt;"?",Y177&lt;&gt;""),(Y177-'Choix pédagogiques'!$C$4)/('Choix pédagogiques'!$C$5-'Choix pédagogiques'!$C$4),"")</f>
        <v/>
      </c>
      <c r="AU177" s="53" t="str">
        <f aca="false">IF($E177&lt;&gt;"",$E177,"")</f>
        <v/>
      </c>
      <c r="AV177" s="52" t="str">
        <f aca="false">IF($F177&lt;&gt;"",$F177,"")</f>
        <v>Apprenant 165 ou 165'</v>
      </c>
      <c r="AW177" s="55" t="str">
        <f aca="false">IF(AND('Choix pédagogiques'!$C$4&lt;&gt;"?",'Choix pédagogiques'!$C$5&lt;&gt;"?",AB177&lt;&gt;""),(AB177-'Choix pédagogiques'!$C$4)/('Choix pédagogiques'!$C$5-'Choix pédagogiques'!$C$4),"")</f>
        <v/>
      </c>
      <c r="AX177" s="55" t="str">
        <f aca="false">IF(AND('Choix pédagogiques'!$C$4&lt;&gt;"?",'Choix pédagogiques'!$C$5&lt;&gt;"?",AC177&lt;&gt;""),(AC177-'Choix pédagogiques'!$C$4)/('Choix pédagogiques'!$C$5-'Choix pédagogiques'!$C$4),"")</f>
        <v/>
      </c>
      <c r="AY177" s="55" t="str">
        <f aca="false">IF(AND('Choix pédagogiques'!$C$4&lt;&gt;"?",'Choix pédagogiques'!$C$5&lt;&gt;"?",AD177&lt;&gt;""),(AD177-'Choix pédagogiques'!$C$4)/('Choix pédagogiques'!$C$5-'Choix pédagogiques'!$C$4),"")</f>
        <v/>
      </c>
      <c r="AZ177" s="53" t="str">
        <f aca="false">IF($J177&lt;&gt;"",$J177,"")</f>
        <v/>
      </c>
      <c r="BA177" s="52" t="str">
        <f aca="false">IF($A177&lt;&gt;"",$A177,"")</f>
        <v>Apprenant 165</v>
      </c>
      <c r="BB177" s="55" t="str">
        <f aca="false">IF(AND($AR177&lt;&gt;"",$AS177&lt;&gt;""),$AS177-$AR177,"")</f>
        <v/>
      </c>
      <c r="BC177" s="55" t="str">
        <f aca="false">IF(AND($AR177&lt;&gt;"",$AT177&lt;&gt;""),$AT177-$AR177,"")</f>
        <v/>
      </c>
      <c r="BD177" s="55" t="str">
        <f aca="false">IF(AND($AS177&lt;&gt;"",$AT177&lt;&gt;""),$AT177-$AS177,"")</f>
        <v/>
      </c>
      <c r="BE177" s="53" t="str">
        <f aca="false">IF($E177&lt;&gt;"",$E177,"")</f>
        <v/>
      </c>
      <c r="BF177" s="52" t="str">
        <f aca="false">IF($F177&lt;&gt;"",$F177,"")</f>
        <v>Apprenant 165 ou 165'</v>
      </c>
      <c r="BG177" s="55" t="str">
        <f aca="false">IF(AND($AW177&lt;&gt;"",$AX177&lt;&gt;""),$AX177-$AW177,"")</f>
        <v/>
      </c>
      <c r="BH177" s="55" t="str">
        <f aca="false">IF(AND($AW177&lt;&gt;"",$AY177&lt;&gt;""),$AY177-$AW177,"")</f>
        <v/>
      </c>
      <c r="BI177" s="55" t="str">
        <f aca="false">IF(AND($AX177&lt;&gt;"",$AY177&lt;&gt;""),$AY177-$AX177,"")</f>
        <v/>
      </c>
      <c r="BJ177" s="53" t="str">
        <f aca="false">IF($J177&lt;&gt;"",$J177,"")</f>
        <v/>
      </c>
      <c r="BL177" s="52"/>
      <c r="BM177" s="52" t="str">
        <f aca="false">IF(OR(COUNT(B177:D1176)=0,AND('Choix pédagogiques'!$C$3&lt;&gt;1,'Choix pédagogiques'!$C$3&lt;&gt;2)),"",IF(AND(OR('Choix pédagogiques'!$C$3=1,'Choix pédagogiques'!$C$3=2),$B177&lt;&gt;"",$C177&lt;&gt;"",$D177&lt;&gt;""),1,0))</f>
        <v/>
      </c>
      <c r="BN177" s="52" t="str">
        <f aca="false">IF(OR(COUNT(G177:I1176)=0,AND('Choix pédagogiques'!$C$3&lt;&gt;1,'Choix pédagogiques'!$C$3&lt;&gt;2)),"",IF(AND(OR('Choix pédagogiques'!$C$3=1,'Choix pédagogiques'!$C$3=2),AND($G177&lt;&gt;"",$H177&lt;&gt;"",$I177&lt;&gt;"")),1,0))</f>
        <v/>
      </c>
      <c r="BO177" s="52" t="str">
        <f aca="false">IF(OR(COUNT(B177:D1176)=0,COUNT(G177:I1176)=0,'Choix pédagogiques'!C$3&lt;&gt;3),"",IF(AND('Choix pédagogiques'!$C$3=3,$B177&lt;&gt;"",$C177&lt;&gt;"",$D177&lt;&gt;"",$G177&lt;&gt;"",$H177&lt;&gt;"",$I177&lt;&gt;""),1,0))</f>
        <v/>
      </c>
      <c r="BR177" s="52" t="n">
        <v>206</v>
      </c>
      <c r="BS177" s="52" t="n">
        <v>1211</v>
      </c>
    </row>
    <row r="178" s="54" customFormat="true" ht="18" hidden="false" customHeight="true" outlineLevel="0" collapsed="false">
      <c r="A178" s="57" t="s">
        <v>287</v>
      </c>
      <c r="B178" s="51"/>
      <c r="C178" s="51"/>
      <c r="D178" s="51"/>
      <c r="E178" s="51"/>
      <c r="F178" s="57" t="s">
        <v>288</v>
      </c>
      <c r="G178" s="51"/>
      <c r="H178" s="51"/>
      <c r="I178" s="51"/>
      <c r="J178" s="51"/>
      <c r="K178" s="52" t="str">
        <f aca="false">IF($A178&lt;&gt;"",$A178,"")</f>
        <v>Apprenant 166</v>
      </c>
      <c r="L178" s="53" t="str">
        <f aca="false">IF(AND($B178&lt;&gt;"",$C178&lt;&gt;""),$C178-$B178,"")</f>
        <v/>
      </c>
      <c r="M178" s="53" t="str">
        <f aca="false">IF(AND($B178&lt;&gt;"",$D178&lt;&gt;""),$D178-$B178,"")</f>
        <v/>
      </c>
      <c r="N178" s="53" t="str">
        <f aca="false">IF(AND($C178&lt;&gt;"",$D178&lt;&gt;""),$D178-$C178,"")</f>
        <v/>
      </c>
      <c r="O178" s="53" t="str">
        <f aca="false">IF($E178&lt;&gt;"",$E178,"")</f>
        <v/>
      </c>
      <c r="P178" s="52" t="str">
        <f aca="false">IF($F178&lt;&gt;"",$F178,"")</f>
        <v>Apprenant 166 ou 166'</v>
      </c>
      <c r="Q178" s="53" t="str">
        <f aca="false">IF(AND($G178&lt;&gt;"",$H178&lt;&gt;""),$H178-$G178,"")</f>
        <v/>
      </c>
      <c r="R178" s="53" t="str">
        <f aca="false">IF(AND($G178&lt;&gt;"",$I178&lt;&gt;""),$I178-$G178,"")</f>
        <v/>
      </c>
      <c r="S178" s="53" t="str">
        <f aca="false">IF(AND($H178&lt;&gt;"",$I178&lt;&gt;""),$I178-$H178,"")</f>
        <v/>
      </c>
      <c r="T178" s="53" t="str">
        <f aca="false">IF($J178&lt;&gt;"",$J178,"")</f>
        <v/>
      </c>
      <c r="V178" s="52" t="str">
        <f aca="false">IF($A178&lt;&gt;"",$A178,"")</f>
        <v>Apprenant 166</v>
      </c>
      <c r="W178" s="53" t="str">
        <f aca="false">IF(AND(OR('Choix pédagogiques'!$C$3=1,'Choix pédagogiques'!$C$3=2),$BM178=1),B178,IF(AND('Choix pédagogiques'!$C$3=3,$BO178=1),B178,""))</f>
        <v/>
      </c>
      <c r="X178" s="53" t="str">
        <f aca="false">IF(AND(OR('Choix pédagogiques'!$C$3=1,'Choix pédagogiques'!$C$3=2),$BM178=1),C178,IF(AND('Choix pédagogiques'!$C$3=3,$BO178=1),C178,""))</f>
        <v/>
      </c>
      <c r="Y178" s="53" t="str">
        <f aca="false">IF(AND(OR('Choix pédagogiques'!$C$3=1,'Choix pédagogiques'!$C$3=2),$BM178=1),D178,IF(AND('Choix pédagogiques'!$C$3=3,$BO178=1),D178,""))</f>
        <v/>
      </c>
      <c r="Z178" s="53" t="str">
        <f aca="false">IF($E178&lt;&gt;"",$E178,"")</f>
        <v/>
      </c>
      <c r="AA178" s="52" t="str">
        <f aca="false">IF($F178&lt;&gt;"",$F178,"")</f>
        <v>Apprenant 166 ou 166'</v>
      </c>
      <c r="AB178" s="53" t="str">
        <f aca="false">IF(AND(OR('Choix pédagogiques'!$C$3=1,'Choix pédagogiques'!$C$3=2),$BN178=1),G178,IF(AND('Choix pédagogiques'!$C$3=3,$BO178=1),G178,""))</f>
        <v/>
      </c>
      <c r="AC178" s="53" t="str">
        <f aca="false">IF(AND(OR('Choix pédagogiques'!$C$3=1,'Choix pédagogiques'!$C$3=2),$BN178=1),H178,IF(AND('Choix pédagogiques'!$C$3=3,$BO178=1),H178,""))</f>
        <v/>
      </c>
      <c r="AD178" s="53" t="str">
        <f aca="false">IF(AND(OR('Choix pédagogiques'!$C$3=1,'Choix pédagogiques'!$C$3=2),$BN178=1),I178,IF(AND('Choix pédagogiques'!$C$3=3,$BO178=1),I178,""))</f>
        <v/>
      </c>
      <c r="AE178" s="53" t="str">
        <f aca="false">IF($J178&lt;&gt;"",$J178,"")</f>
        <v/>
      </c>
      <c r="AF178" s="52" t="str">
        <f aca="false">IF($A178&lt;&gt;"",$A178,"")</f>
        <v>Apprenant 166</v>
      </c>
      <c r="AG178" s="53" t="str">
        <f aca="false">IF(AND($W178&lt;&gt;"",$X178&lt;&gt;""),$X178-$W178,"")</f>
        <v/>
      </c>
      <c r="AH178" s="53" t="str">
        <f aca="false">IF(AND($W178&lt;&gt;"",$Y178&lt;&gt;""),$Y178-$W178,"")</f>
        <v/>
      </c>
      <c r="AI178" s="53" t="str">
        <f aca="false">IF(AND($X178&lt;&gt;"",$Y178&lt;&gt;""),$Y178-$X178,"")</f>
        <v/>
      </c>
      <c r="AJ178" s="53" t="str">
        <f aca="false">IF($E178&lt;&gt;"",$E178,"")</f>
        <v/>
      </c>
      <c r="AK178" s="52" t="str">
        <f aca="false">IF($F178&lt;&gt;"",$F178,"")</f>
        <v>Apprenant 166 ou 166'</v>
      </c>
      <c r="AL178" s="53" t="str">
        <f aca="false">IF(AND($AB178&lt;&gt;"",$AC178&lt;&gt;""),$AC178-$AB178,"")</f>
        <v/>
      </c>
      <c r="AM178" s="53" t="str">
        <f aca="false">IF(AND($AB178&lt;&gt;"",$AD178&lt;&gt;""),$AD178-$AB178,"")</f>
        <v/>
      </c>
      <c r="AN178" s="53" t="str">
        <f aca="false">IF(AND($AC178&lt;&gt;"",$AD178&lt;&gt;""),$AD178-$AC178,"")</f>
        <v/>
      </c>
      <c r="AO178" s="53" t="str">
        <f aca="false">IF($J178&lt;&gt;"",$J178,"")</f>
        <v/>
      </c>
      <c r="AQ178" s="52" t="str">
        <f aca="false">IF($A178&lt;&gt;"",$A178,"")</f>
        <v>Apprenant 166</v>
      </c>
      <c r="AR178" s="55" t="str">
        <f aca="false">IF(AND('Choix pédagogiques'!$C$4&lt;&gt;"?",'Choix pédagogiques'!$C$5&lt;&gt;"?",W178&lt;&gt;""),(W178-'Choix pédagogiques'!$C$4)/('Choix pédagogiques'!$C$5-'Choix pédagogiques'!$C$4),"")</f>
        <v/>
      </c>
      <c r="AS178" s="55" t="str">
        <f aca="false">IF(AND('Choix pédagogiques'!$C$4&lt;&gt;"?",'Choix pédagogiques'!$C$5&lt;&gt;"?",X178&lt;&gt;""),(X178-'Choix pédagogiques'!$C$4)/('Choix pédagogiques'!$C$5-'Choix pédagogiques'!$C$4),"")</f>
        <v/>
      </c>
      <c r="AT178" s="55" t="str">
        <f aca="false">IF(AND('Choix pédagogiques'!$C$4&lt;&gt;"?",'Choix pédagogiques'!$C$5&lt;&gt;"?",Y178&lt;&gt;""),(Y178-'Choix pédagogiques'!$C$4)/('Choix pédagogiques'!$C$5-'Choix pédagogiques'!$C$4),"")</f>
        <v/>
      </c>
      <c r="AU178" s="53" t="str">
        <f aca="false">IF($E178&lt;&gt;"",$E178,"")</f>
        <v/>
      </c>
      <c r="AV178" s="52" t="str">
        <f aca="false">IF($F178&lt;&gt;"",$F178,"")</f>
        <v>Apprenant 166 ou 166'</v>
      </c>
      <c r="AW178" s="55" t="str">
        <f aca="false">IF(AND('Choix pédagogiques'!$C$4&lt;&gt;"?",'Choix pédagogiques'!$C$5&lt;&gt;"?",AB178&lt;&gt;""),(AB178-'Choix pédagogiques'!$C$4)/('Choix pédagogiques'!$C$5-'Choix pédagogiques'!$C$4),"")</f>
        <v/>
      </c>
      <c r="AX178" s="55" t="str">
        <f aca="false">IF(AND('Choix pédagogiques'!$C$4&lt;&gt;"?",'Choix pédagogiques'!$C$5&lt;&gt;"?",AC178&lt;&gt;""),(AC178-'Choix pédagogiques'!$C$4)/('Choix pédagogiques'!$C$5-'Choix pédagogiques'!$C$4),"")</f>
        <v/>
      </c>
      <c r="AY178" s="55" t="str">
        <f aca="false">IF(AND('Choix pédagogiques'!$C$4&lt;&gt;"?",'Choix pédagogiques'!$C$5&lt;&gt;"?",AD178&lt;&gt;""),(AD178-'Choix pédagogiques'!$C$4)/('Choix pédagogiques'!$C$5-'Choix pédagogiques'!$C$4),"")</f>
        <v/>
      </c>
      <c r="AZ178" s="53" t="str">
        <f aca="false">IF($J178&lt;&gt;"",$J178,"")</f>
        <v/>
      </c>
      <c r="BA178" s="52" t="str">
        <f aca="false">IF($A178&lt;&gt;"",$A178,"")</f>
        <v>Apprenant 166</v>
      </c>
      <c r="BB178" s="55" t="str">
        <f aca="false">IF(AND($AR178&lt;&gt;"",$AS178&lt;&gt;""),$AS178-$AR178,"")</f>
        <v/>
      </c>
      <c r="BC178" s="55" t="str">
        <f aca="false">IF(AND($AR178&lt;&gt;"",$AT178&lt;&gt;""),$AT178-$AR178,"")</f>
        <v/>
      </c>
      <c r="BD178" s="55" t="str">
        <f aca="false">IF(AND($AS178&lt;&gt;"",$AT178&lt;&gt;""),$AT178-$AS178,"")</f>
        <v/>
      </c>
      <c r="BE178" s="53" t="str">
        <f aca="false">IF($E178&lt;&gt;"",$E178,"")</f>
        <v/>
      </c>
      <c r="BF178" s="52" t="str">
        <f aca="false">IF($F178&lt;&gt;"",$F178,"")</f>
        <v>Apprenant 166 ou 166'</v>
      </c>
      <c r="BG178" s="55" t="str">
        <f aca="false">IF(AND($AW178&lt;&gt;"",$AX178&lt;&gt;""),$AX178-$AW178,"")</f>
        <v/>
      </c>
      <c r="BH178" s="55" t="str">
        <f aca="false">IF(AND($AW178&lt;&gt;"",$AY178&lt;&gt;""),$AY178-$AW178,"")</f>
        <v/>
      </c>
      <c r="BI178" s="55" t="str">
        <f aca="false">IF(AND($AX178&lt;&gt;"",$AY178&lt;&gt;""),$AY178-$AX178,"")</f>
        <v/>
      </c>
      <c r="BJ178" s="53" t="str">
        <f aca="false">IF($J178&lt;&gt;"",$J178,"")</f>
        <v/>
      </c>
      <c r="BL178" s="52"/>
      <c r="BM178" s="52" t="str">
        <f aca="false">IF(OR(COUNT(B178:D1177)=0,AND('Choix pédagogiques'!$C$3&lt;&gt;1,'Choix pédagogiques'!$C$3&lt;&gt;2)),"",IF(AND(OR('Choix pédagogiques'!$C$3=1,'Choix pédagogiques'!$C$3=2),$B178&lt;&gt;"",$C178&lt;&gt;"",$D178&lt;&gt;""),1,0))</f>
        <v/>
      </c>
      <c r="BN178" s="52" t="str">
        <f aca="false">IF(OR(COUNT(G178:I1177)=0,AND('Choix pédagogiques'!$C$3&lt;&gt;1,'Choix pédagogiques'!$C$3&lt;&gt;2)),"",IF(AND(OR('Choix pédagogiques'!$C$3=1,'Choix pédagogiques'!$C$3=2),AND($G178&lt;&gt;"",$H178&lt;&gt;"",$I178&lt;&gt;"")),1,0))</f>
        <v/>
      </c>
      <c r="BO178" s="52" t="str">
        <f aca="false">IF(OR(COUNT(B178:D1177)=0,COUNT(G178:I1177)=0,'Choix pédagogiques'!C$3&lt;&gt;3),"",IF(AND('Choix pédagogiques'!$C$3=3,$B178&lt;&gt;"",$C178&lt;&gt;"",$D178&lt;&gt;"",$G178&lt;&gt;"",$H178&lt;&gt;"",$I178&lt;&gt;""),1,0))</f>
        <v/>
      </c>
      <c r="BR178" s="52" t="n">
        <v>530</v>
      </c>
      <c r="BS178" s="52" t="n">
        <v>1676</v>
      </c>
    </row>
    <row r="179" s="54" customFormat="true" ht="18" hidden="false" customHeight="true" outlineLevel="0" collapsed="false">
      <c r="A179" s="57" t="s">
        <v>289</v>
      </c>
      <c r="B179" s="51"/>
      <c r="C179" s="51"/>
      <c r="D179" s="51"/>
      <c r="E179" s="51"/>
      <c r="F179" s="57" t="s">
        <v>290</v>
      </c>
      <c r="G179" s="51"/>
      <c r="H179" s="51"/>
      <c r="I179" s="51"/>
      <c r="J179" s="51"/>
      <c r="K179" s="52" t="str">
        <f aca="false">IF($A179&lt;&gt;"",$A179,"")</f>
        <v>Apprenant 167</v>
      </c>
      <c r="L179" s="53" t="str">
        <f aca="false">IF(AND($B179&lt;&gt;"",$C179&lt;&gt;""),$C179-$B179,"")</f>
        <v/>
      </c>
      <c r="M179" s="53" t="str">
        <f aca="false">IF(AND($B179&lt;&gt;"",$D179&lt;&gt;""),$D179-$B179,"")</f>
        <v/>
      </c>
      <c r="N179" s="53" t="str">
        <f aca="false">IF(AND($C179&lt;&gt;"",$D179&lt;&gt;""),$D179-$C179,"")</f>
        <v/>
      </c>
      <c r="O179" s="53" t="str">
        <f aca="false">IF($E179&lt;&gt;"",$E179,"")</f>
        <v/>
      </c>
      <c r="P179" s="52" t="str">
        <f aca="false">IF($F179&lt;&gt;"",$F179,"")</f>
        <v>Apprenant 167 ou 167'</v>
      </c>
      <c r="Q179" s="53" t="str">
        <f aca="false">IF(AND($G179&lt;&gt;"",$H179&lt;&gt;""),$H179-$G179,"")</f>
        <v/>
      </c>
      <c r="R179" s="53" t="str">
        <f aca="false">IF(AND($G179&lt;&gt;"",$I179&lt;&gt;""),$I179-$G179,"")</f>
        <v/>
      </c>
      <c r="S179" s="53" t="str">
        <f aca="false">IF(AND($H179&lt;&gt;"",$I179&lt;&gt;""),$I179-$H179,"")</f>
        <v/>
      </c>
      <c r="T179" s="53" t="str">
        <f aca="false">IF($J179&lt;&gt;"",$J179,"")</f>
        <v/>
      </c>
      <c r="V179" s="52" t="str">
        <f aca="false">IF($A179&lt;&gt;"",$A179,"")</f>
        <v>Apprenant 167</v>
      </c>
      <c r="W179" s="53" t="str">
        <f aca="false">IF(AND(OR('Choix pédagogiques'!$C$3=1,'Choix pédagogiques'!$C$3=2),$BM179=1),B179,IF(AND('Choix pédagogiques'!$C$3=3,$BO179=1),B179,""))</f>
        <v/>
      </c>
      <c r="X179" s="53" t="str">
        <f aca="false">IF(AND(OR('Choix pédagogiques'!$C$3=1,'Choix pédagogiques'!$C$3=2),$BM179=1),C179,IF(AND('Choix pédagogiques'!$C$3=3,$BO179=1),C179,""))</f>
        <v/>
      </c>
      <c r="Y179" s="53" t="str">
        <f aca="false">IF(AND(OR('Choix pédagogiques'!$C$3=1,'Choix pédagogiques'!$C$3=2),$BM179=1),D179,IF(AND('Choix pédagogiques'!$C$3=3,$BO179=1),D179,""))</f>
        <v/>
      </c>
      <c r="Z179" s="53" t="str">
        <f aca="false">IF($E179&lt;&gt;"",$E179,"")</f>
        <v/>
      </c>
      <c r="AA179" s="52" t="str">
        <f aca="false">IF($F179&lt;&gt;"",$F179,"")</f>
        <v>Apprenant 167 ou 167'</v>
      </c>
      <c r="AB179" s="53" t="str">
        <f aca="false">IF(AND(OR('Choix pédagogiques'!$C$3=1,'Choix pédagogiques'!$C$3=2),$BN179=1),G179,IF(AND('Choix pédagogiques'!$C$3=3,$BO179=1),G179,""))</f>
        <v/>
      </c>
      <c r="AC179" s="53" t="str">
        <f aca="false">IF(AND(OR('Choix pédagogiques'!$C$3=1,'Choix pédagogiques'!$C$3=2),$BN179=1),H179,IF(AND('Choix pédagogiques'!$C$3=3,$BO179=1),H179,""))</f>
        <v/>
      </c>
      <c r="AD179" s="53" t="str">
        <f aca="false">IF(AND(OR('Choix pédagogiques'!$C$3=1,'Choix pédagogiques'!$C$3=2),$BN179=1),I179,IF(AND('Choix pédagogiques'!$C$3=3,$BO179=1),I179,""))</f>
        <v/>
      </c>
      <c r="AE179" s="53" t="str">
        <f aca="false">IF($J179&lt;&gt;"",$J179,"")</f>
        <v/>
      </c>
      <c r="AF179" s="52" t="str">
        <f aca="false">IF($A179&lt;&gt;"",$A179,"")</f>
        <v>Apprenant 167</v>
      </c>
      <c r="AG179" s="53" t="str">
        <f aca="false">IF(AND($W179&lt;&gt;"",$X179&lt;&gt;""),$X179-$W179,"")</f>
        <v/>
      </c>
      <c r="AH179" s="53" t="str">
        <f aca="false">IF(AND($W179&lt;&gt;"",$Y179&lt;&gt;""),$Y179-$W179,"")</f>
        <v/>
      </c>
      <c r="AI179" s="53" t="str">
        <f aca="false">IF(AND($X179&lt;&gt;"",$Y179&lt;&gt;""),$Y179-$X179,"")</f>
        <v/>
      </c>
      <c r="AJ179" s="53" t="str">
        <f aca="false">IF($E179&lt;&gt;"",$E179,"")</f>
        <v/>
      </c>
      <c r="AK179" s="52" t="str">
        <f aca="false">IF($F179&lt;&gt;"",$F179,"")</f>
        <v>Apprenant 167 ou 167'</v>
      </c>
      <c r="AL179" s="53" t="str">
        <f aca="false">IF(AND($AB179&lt;&gt;"",$AC179&lt;&gt;""),$AC179-$AB179,"")</f>
        <v/>
      </c>
      <c r="AM179" s="53" t="str">
        <f aca="false">IF(AND($AB179&lt;&gt;"",$AD179&lt;&gt;""),$AD179-$AB179,"")</f>
        <v/>
      </c>
      <c r="AN179" s="53" t="str">
        <f aca="false">IF(AND($AC179&lt;&gt;"",$AD179&lt;&gt;""),$AD179-$AC179,"")</f>
        <v/>
      </c>
      <c r="AO179" s="53" t="str">
        <f aca="false">IF($J179&lt;&gt;"",$J179,"")</f>
        <v/>
      </c>
      <c r="AQ179" s="52" t="str">
        <f aca="false">IF($A179&lt;&gt;"",$A179,"")</f>
        <v>Apprenant 167</v>
      </c>
      <c r="AR179" s="55" t="str">
        <f aca="false">IF(AND('Choix pédagogiques'!$C$4&lt;&gt;"?",'Choix pédagogiques'!$C$5&lt;&gt;"?",W179&lt;&gt;""),(W179-'Choix pédagogiques'!$C$4)/('Choix pédagogiques'!$C$5-'Choix pédagogiques'!$C$4),"")</f>
        <v/>
      </c>
      <c r="AS179" s="55" t="str">
        <f aca="false">IF(AND('Choix pédagogiques'!$C$4&lt;&gt;"?",'Choix pédagogiques'!$C$5&lt;&gt;"?",X179&lt;&gt;""),(X179-'Choix pédagogiques'!$C$4)/('Choix pédagogiques'!$C$5-'Choix pédagogiques'!$C$4),"")</f>
        <v/>
      </c>
      <c r="AT179" s="55" t="str">
        <f aca="false">IF(AND('Choix pédagogiques'!$C$4&lt;&gt;"?",'Choix pédagogiques'!$C$5&lt;&gt;"?",Y179&lt;&gt;""),(Y179-'Choix pédagogiques'!$C$4)/('Choix pédagogiques'!$C$5-'Choix pédagogiques'!$C$4),"")</f>
        <v/>
      </c>
      <c r="AU179" s="53" t="str">
        <f aca="false">IF($E179&lt;&gt;"",$E179,"")</f>
        <v/>
      </c>
      <c r="AV179" s="52" t="str">
        <f aca="false">IF($F179&lt;&gt;"",$F179,"")</f>
        <v>Apprenant 167 ou 167'</v>
      </c>
      <c r="AW179" s="55" t="str">
        <f aca="false">IF(AND('Choix pédagogiques'!$C$4&lt;&gt;"?",'Choix pédagogiques'!$C$5&lt;&gt;"?",AB179&lt;&gt;""),(AB179-'Choix pédagogiques'!$C$4)/('Choix pédagogiques'!$C$5-'Choix pédagogiques'!$C$4),"")</f>
        <v/>
      </c>
      <c r="AX179" s="55" t="str">
        <f aca="false">IF(AND('Choix pédagogiques'!$C$4&lt;&gt;"?",'Choix pédagogiques'!$C$5&lt;&gt;"?",AC179&lt;&gt;""),(AC179-'Choix pédagogiques'!$C$4)/('Choix pédagogiques'!$C$5-'Choix pédagogiques'!$C$4),"")</f>
        <v/>
      </c>
      <c r="AY179" s="55" t="str">
        <f aca="false">IF(AND('Choix pédagogiques'!$C$4&lt;&gt;"?",'Choix pédagogiques'!$C$5&lt;&gt;"?",AD179&lt;&gt;""),(AD179-'Choix pédagogiques'!$C$4)/('Choix pédagogiques'!$C$5-'Choix pédagogiques'!$C$4),"")</f>
        <v/>
      </c>
      <c r="AZ179" s="53" t="str">
        <f aca="false">IF($J179&lt;&gt;"",$J179,"")</f>
        <v/>
      </c>
      <c r="BA179" s="52" t="str">
        <f aca="false">IF($A179&lt;&gt;"",$A179,"")</f>
        <v>Apprenant 167</v>
      </c>
      <c r="BB179" s="55" t="str">
        <f aca="false">IF(AND($AR179&lt;&gt;"",$AS179&lt;&gt;""),$AS179-$AR179,"")</f>
        <v/>
      </c>
      <c r="BC179" s="55" t="str">
        <f aca="false">IF(AND($AR179&lt;&gt;"",$AT179&lt;&gt;""),$AT179-$AR179,"")</f>
        <v/>
      </c>
      <c r="BD179" s="55" t="str">
        <f aca="false">IF(AND($AS179&lt;&gt;"",$AT179&lt;&gt;""),$AT179-$AS179,"")</f>
        <v/>
      </c>
      <c r="BE179" s="53" t="str">
        <f aca="false">IF($E179&lt;&gt;"",$E179,"")</f>
        <v/>
      </c>
      <c r="BF179" s="52" t="str">
        <f aca="false">IF($F179&lt;&gt;"",$F179,"")</f>
        <v>Apprenant 167 ou 167'</v>
      </c>
      <c r="BG179" s="55" t="str">
        <f aca="false">IF(AND($AW179&lt;&gt;"",$AX179&lt;&gt;""),$AX179-$AW179,"")</f>
        <v/>
      </c>
      <c r="BH179" s="55" t="str">
        <f aca="false">IF(AND($AW179&lt;&gt;"",$AY179&lt;&gt;""),$AY179-$AW179,"")</f>
        <v/>
      </c>
      <c r="BI179" s="55" t="str">
        <f aca="false">IF(AND($AX179&lt;&gt;"",$AY179&lt;&gt;""),$AY179-$AX179,"")</f>
        <v/>
      </c>
      <c r="BJ179" s="53" t="str">
        <f aca="false">IF($J179&lt;&gt;"",$J179,"")</f>
        <v/>
      </c>
      <c r="BL179" s="52"/>
      <c r="BM179" s="52" t="str">
        <f aca="false">IF(OR(COUNT(B179:D1178)=0,AND('Choix pédagogiques'!$C$3&lt;&gt;1,'Choix pédagogiques'!$C$3&lt;&gt;2)),"",IF(AND(OR('Choix pédagogiques'!$C$3=1,'Choix pédagogiques'!$C$3=2),$B179&lt;&gt;"",$C179&lt;&gt;"",$D179&lt;&gt;""),1,0))</f>
        <v/>
      </c>
      <c r="BN179" s="52" t="str">
        <f aca="false">IF(OR(COUNT(G179:I1178)=0,AND('Choix pédagogiques'!$C$3&lt;&gt;1,'Choix pédagogiques'!$C$3&lt;&gt;2)),"",IF(AND(OR('Choix pédagogiques'!$C$3=1,'Choix pédagogiques'!$C$3=2),AND($G179&lt;&gt;"",$H179&lt;&gt;"",$I179&lt;&gt;"")),1,0))</f>
        <v/>
      </c>
      <c r="BO179" s="52" t="str">
        <f aca="false">IF(OR(COUNT(B179:D1178)=0,COUNT(G179:I1178)=0,'Choix pédagogiques'!C$3&lt;&gt;3),"",IF(AND('Choix pédagogiques'!$C$3=3,$B179&lt;&gt;"",$C179&lt;&gt;"",$D179&lt;&gt;"",$G179&lt;&gt;"",$H179&lt;&gt;"",$I179&lt;&gt;""),1,0))</f>
        <v/>
      </c>
      <c r="BR179" s="52" t="n">
        <v>392</v>
      </c>
      <c r="BS179" s="52" t="n">
        <v>1082</v>
      </c>
    </row>
    <row r="180" s="54" customFormat="true" ht="18" hidden="false" customHeight="true" outlineLevel="0" collapsed="false">
      <c r="A180" s="57" t="s">
        <v>291</v>
      </c>
      <c r="B180" s="51"/>
      <c r="C180" s="51"/>
      <c r="D180" s="51"/>
      <c r="E180" s="51"/>
      <c r="F180" s="57" t="s">
        <v>292</v>
      </c>
      <c r="G180" s="51"/>
      <c r="H180" s="51"/>
      <c r="I180" s="51"/>
      <c r="J180" s="51"/>
      <c r="K180" s="52" t="str">
        <f aca="false">IF($A180&lt;&gt;"",$A180,"")</f>
        <v>Apprenant 168</v>
      </c>
      <c r="L180" s="53" t="str">
        <f aca="false">IF(AND($B180&lt;&gt;"",$C180&lt;&gt;""),$C180-$B180,"")</f>
        <v/>
      </c>
      <c r="M180" s="53" t="str">
        <f aca="false">IF(AND($B180&lt;&gt;"",$D180&lt;&gt;""),$D180-$B180,"")</f>
        <v/>
      </c>
      <c r="N180" s="53" t="str">
        <f aca="false">IF(AND($C180&lt;&gt;"",$D180&lt;&gt;""),$D180-$C180,"")</f>
        <v/>
      </c>
      <c r="O180" s="53" t="str">
        <f aca="false">IF($E180&lt;&gt;"",$E180,"")</f>
        <v/>
      </c>
      <c r="P180" s="52" t="str">
        <f aca="false">IF($F180&lt;&gt;"",$F180,"")</f>
        <v>Apprenant 168 ou 168'</v>
      </c>
      <c r="Q180" s="53" t="str">
        <f aca="false">IF(AND($G180&lt;&gt;"",$H180&lt;&gt;""),$H180-$G180,"")</f>
        <v/>
      </c>
      <c r="R180" s="53" t="str">
        <f aca="false">IF(AND($G180&lt;&gt;"",$I180&lt;&gt;""),$I180-$G180,"")</f>
        <v/>
      </c>
      <c r="S180" s="53" t="str">
        <f aca="false">IF(AND($H180&lt;&gt;"",$I180&lt;&gt;""),$I180-$H180,"")</f>
        <v/>
      </c>
      <c r="T180" s="53" t="str">
        <f aca="false">IF($J180&lt;&gt;"",$J180,"")</f>
        <v/>
      </c>
      <c r="V180" s="52" t="str">
        <f aca="false">IF($A180&lt;&gt;"",$A180,"")</f>
        <v>Apprenant 168</v>
      </c>
      <c r="W180" s="53" t="str">
        <f aca="false">IF(AND(OR('Choix pédagogiques'!$C$3=1,'Choix pédagogiques'!$C$3=2),$BM180=1),B180,IF(AND('Choix pédagogiques'!$C$3=3,$BO180=1),B180,""))</f>
        <v/>
      </c>
      <c r="X180" s="53" t="str">
        <f aca="false">IF(AND(OR('Choix pédagogiques'!$C$3=1,'Choix pédagogiques'!$C$3=2),$BM180=1),C180,IF(AND('Choix pédagogiques'!$C$3=3,$BO180=1),C180,""))</f>
        <v/>
      </c>
      <c r="Y180" s="53" t="str">
        <f aca="false">IF(AND(OR('Choix pédagogiques'!$C$3=1,'Choix pédagogiques'!$C$3=2),$BM180=1),D180,IF(AND('Choix pédagogiques'!$C$3=3,$BO180=1),D180,""))</f>
        <v/>
      </c>
      <c r="Z180" s="53" t="str">
        <f aca="false">IF($E180&lt;&gt;"",$E180,"")</f>
        <v/>
      </c>
      <c r="AA180" s="52" t="str">
        <f aca="false">IF($F180&lt;&gt;"",$F180,"")</f>
        <v>Apprenant 168 ou 168'</v>
      </c>
      <c r="AB180" s="53" t="str">
        <f aca="false">IF(AND(OR('Choix pédagogiques'!$C$3=1,'Choix pédagogiques'!$C$3=2),$BN180=1),G180,IF(AND('Choix pédagogiques'!$C$3=3,$BO180=1),G180,""))</f>
        <v/>
      </c>
      <c r="AC180" s="53" t="str">
        <f aca="false">IF(AND(OR('Choix pédagogiques'!$C$3=1,'Choix pédagogiques'!$C$3=2),$BN180=1),H180,IF(AND('Choix pédagogiques'!$C$3=3,$BO180=1),H180,""))</f>
        <v/>
      </c>
      <c r="AD180" s="53" t="str">
        <f aca="false">IF(AND(OR('Choix pédagogiques'!$C$3=1,'Choix pédagogiques'!$C$3=2),$BN180=1),I180,IF(AND('Choix pédagogiques'!$C$3=3,$BO180=1),I180,""))</f>
        <v/>
      </c>
      <c r="AE180" s="53" t="str">
        <f aca="false">IF($J180&lt;&gt;"",$J180,"")</f>
        <v/>
      </c>
      <c r="AF180" s="52" t="str">
        <f aca="false">IF($A180&lt;&gt;"",$A180,"")</f>
        <v>Apprenant 168</v>
      </c>
      <c r="AG180" s="53" t="str">
        <f aca="false">IF(AND($W180&lt;&gt;"",$X180&lt;&gt;""),$X180-$W180,"")</f>
        <v/>
      </c>
      <c r="AH180" s="53" t="str">
        <f aca="false">IF(AND($W180&lt;&gt;"",$Y180&lt;&gt;""),$Y180-$W180,"")</f>
        <v/>
      </c>
      <c r="AI180" s="53" t="str">
        <f aca="false">IF(AND($X180&lt;&gt;"",$Y180&lt;&gt;""),$Y180-$X180,"")</f>
        <v/>
      </c>
      <c r="AJ180" s="53" t="str">
        <f aca="false">IF($E180&lt;&gt;"",$E180,"")</f>
        <v/>
      </c>
      <c r="AK180" s="52" t="str">
        <f aca="false">IF($F180&lt;&gt;"",$F180,"")</f>
        <v>Apprenant 168 ou 168'</v>
      </c>
      <c r="AL180" s="53" t="str">
        <f aca="false">IF(AND($AB180&lt;&gt;"",$AC180&lt;&gt;""),$AC180-$AB180,"")</f>
        <v/>
      </c>
      <c r="AM180" s="53" t="str">
        <f aca="false">IF(AND($AB180&lt;&gt;"",$AD180&lt;&gt;""),$AD180-$AB180,"")</f>
        <v/>
      </c>
      <c r="AN180" s="53" t="str">
        <f aca="false">IF(AND($AC180&lt;&gt;"",$AD180&lt;&gt;""),$AD180-$AC180,"")</f>
        <v/>
      </c>
      <c r="AO180" s="53" t="str">
        <f aca="false">IF($J180&lt;&gt;"",$J180,"")</f>
        <v/>
      </c>
      <c r="AQ180" s="52" t="str">
        <f aca="false">IF($A180&lt;&gt;"",$A180,"")</f>
        <v>Apprenant 168</v>
      </c>
      <c r="AR180" s="55" t="str">
        <f aca="false">IF(AND('Choix pédagogiques'!$C$4&lt;&gt;"?",'Choix pédagogiques'!$C$5&lt;&gt;"?",W180&lt;&gt;""),(W180-'Choix pédagogiques'!$C$4)/('Choix pédagogiques'!$C$5-'Choix pédagogiques'!$C$4),"")</f>
        <v/>
      </c>
      <c r="AS180" s="55" t="str">
        <f aca="false">IF(AND('Choix pédagogiques'!$C$4&lt;&gt;"?",'Choix pédagogiques'!$C$5&lt;&gt;"?",X180&lt;&gt;""),(X180-'Choix pédagogiques'!$C$4)/('Choix pédagogiques'!$C$5-'Choix pédagogiques'!$C$4),"")</f>
        <v/>
      </c>
      <c r="AT180" s="55" t="str">
        <f aca="false">IF(AND('Choix pédagogiques'!$C$4&lt;&gt;"?",'Choix pédagogiques'!$C$5&lt;&gt;"?",Y180&lt;&gt;""),(Y180-'Choix pédagogiques'!$C$4)/('Choix pédagogiques'!$C$5-'Choix pédagogiques'!$C$4),"")</f>
        <v/>
      </c>
      <c r="AU180" s="53" t="str">
        <f aca="false">IF($E180&lt;&gt;"",$E180,"")</f>
        <v/>
      </c>
      <c r="AV180" s="52" t="str">
        <f aca="false">IF($F180&lt;&gt;"",$F180,"")</f>
        <v>Apprenant 168 ou 168'</v>
      </c>
      <c r="AW180" s="55" t="str">
        <f aca="false">IF(AND('Choix pédagogiques'!$C$4&lt;&gt;"?",'Choix pédagogiques'!$C$5&lt;&gt;"?",AB180&lt;&gt;""),(AB180-'Choix pédagogiques'!$C$4)/('Choix pédagogiques'!$C$5-'Choix pédagogiques'!$C$4),"")</f>
        <v/>
      </c>
      <c r="AX180" s="55" t="str">
        <f aca="false">IF(AND('Choix pédagogiques'!$C$4&lt;&gt;"?",'Choix pédagogiques'!$C$5&lt;&gt;"?",AC180&lt;&gt;""),(AC180-'Choix pédagogiques'!$C$4)/('Choix pédagogiques'!$C$5-'Choix pédagogiques'!$C$4),"")</f>
        <v/>
      </c>
      <c r="AY180" s="55" t="str">
        <f aca="false">IF(AND('Choix pédagogiques'!$C$4&lt;&gt;"?",'Choix pédagogiques'!$C$5&lt;&gt;"?",AD180&lt;&gt;""),(AD180-'Choix pédagogiques'!$C$4)/('Choix pédagogiques'!$C$5-'Choix pédagogiques'!$C$4),"")</f>
        <v/>
      </c>
      <c r="AZ180" s="53" t="str">
        <f aca="false">IF($J180&lt;&gt;"",$J180,"")</f>
        <v/>
      </c>
      <c r="BA180" s="52" t="str">
        <f aca="false">IF($A180&lt;&gt;"",$A180,"")</f>
        <v>Apprenant 168</v>
      </c>
      <c r="BB180" s="55" t="str">
        <f aca="false">IF(AND($AR180&lt;&gt;"",$AS180&lt;&gt;""),$AS180-$AR180,"")</f>
        <v/>
      </c>
      <c r="BC180" s="55" t="str">
        <f aca="false">IF(AND($AR180&lt;&gt;"",$AT180&lt;&gt;""),$AT180-$AR180,"")</f>
        <v/>
      </c>
      <c r="BD180" s="55" t="str">
        <f aca="false">IF(AND($AS180&lt;&gt;"",$AT180&lt;&gt;""),$AT180-$AS180,"")</f>
        <v/>
      </c>
      <c r="BE180" s="53" t="str">
        <f aca="false">IF($E180&lt;&gt;"",$E180,"")</f>
        <v/>
      </c>
      <c r="BF180" s="52" t="str">
        <f aca="false">IF($F180&lt;&gt;"",$F180,"")</f>
        <v>Apprenant 168 ou 168'</v>
      </c>
      <c r="BG180" s="55" t="str">
        <f aca="false">IF(AND($AW180&lt;&gt;"",$AX180&lt;&gt;""),$AX180-$AW180,"")</f>
        <v/>
      </c>
      <c r="BH180" s="55" t="str">
        <f aca="false">IF(AND($AW180&lt;&gt;"",$AY180&lt;&gt;""),$AY180-$AW180,"")</f>
        <v/>
      </c>
      <c r="BI180" s="55" t="str">
        <f aca="false">IF(AND($AX180&lt;&gt;"",$AY180&lt;&gt;""),$AY180-$AX180,"")</f>
        <v/>
      </c>
      <c r="BJ180" s="53" t="str">
        <f aca="false">IF($J180&lt;&gt;"",$J180,"")</f>
        <v/>
      </c>
      <c r="BL180" s="52"/>
      <c r="BM180" s="52" t="str">
        <f aca="false">IF(OR(COUNT(B180:D1179)=0,AND('Choix pédagogiques'!$C$3&lt;&gt;1,'Choix pédagogiques'!$C$3&lt;&gt;2)),"",IF(AND(OR('Choix pédagogiques'!$C$3=1,'Choix pédagogiques'!$C$3=2),$B180&lt;&gt;"",$C180&lt;&gt;"",$D180&lt;&gt;""),1,0))</f>
        <v/>
      </c>
      <c r="BN180" s="52" t="str">
        <f aca="false">IF(OR(COUNT(G180:I1179)=0,AND('Choix pédagogiques'!$C$3&lt;&gt;1,'Choix pédagogiques'!$C$3&lt;&gt;2)),"",IF(AND(OR('Choix pédagogiques'!$C$3=1,'Choix pédagogiques'!$C$3=2),AND($G180&lt;&gt;"",$H180&lt;&gt;"",$I180&lt;&gt;"")),1,0))</f>
        <v/>
      </c>
      <c r="BO180" s="52" t="str">
        <f aca="false">IF(OR(COUNT(B180:D1179)=0,COUNT(G180:I1179)=0,'Choix pédagogiques'!C$3&lt;&gt;3),"",IF(AND('Choix pédagogiques'!$C$3=3,$B180&lt;&gt;"",$C180&lt;&gt;"",$D180&lt;&gt;"",$G180&lt;&gt;"",$H180&lt;&gt;"",$I180&lt;&gt;""),1,0))</f>
        <v/>
      </c>
      <c r="BR180" s="52" t="n">
        <v>685</v>
      </c>
      <c r="BS180" s="52" t="n">
        <v>1071</v>
      </c>
    </row>
    <row r="181" s="54" customFormat="true" ht="18" hidden="false" customHeight="true" outlineLevel="0" collapsed="false">
      <c r="A181" s="57" t="s">
        <v>293</v>
      </c>
      <c r="B181" s="51"/>
      <c r="C181" s="51"/>
      <c r="D181" s="51"/>
      <c r="E181" s="51"/>
      <c r="F181" s="57" t="s">
        <v>294</v>
      </c>
      <c r="G181" s="51"/>
      <c r="H181" s="51"/>
      <c r="I181" s="51"/>
      <c r="J181" s="51"/>
      <c r="K181" s="52" t="str">
        <f aca="false">IF($A181&lt;&gt;"",$A181,"")</f>
        <v>Apprenant 169</v>
      </c>
      <c r="L181" s="53" t="str">
        <f aca="false">IF(AND($B181&lt;&gt;"",$C181&lt;&gt;""),$C181-$B181,"")</f>
        <v/>
      </c>
      <c r="M181" s="53" t="str">
        <f aca="false">IF(AND($B181&lt;&gt;"",$D181&lt;&gt;""),$D181-$B181,"")</f>
        <v/>
      </c>
      <c r="N181" s="53" t="str">
        <f aca="false">IF(AND($C181&lt;&gt;"",$D181&lt;&gt;""),$D181-$C181,"")</f>
        <v/>
      </c>
      <c r="O181" s="53" t="str">
        <f aca="false">IF($E181&lt;&gt;"",$E181,"")</f>
        <v/>
      </c>
      <c r="P181" s="52" t="str">
        <f aca="false">IF($F181&lt;&gt;"",$F181,"")</f>
        <v>Apprenant 169 ou 169'</v>
      </c>
      <c r="Q181" s="53" t="str">
        <f aca="false">IF(AND($G181&lt;&gt;"",$H181&lt;&gt;""),$H181-$G181,"")</f>
        <v/>
      </c>
      <c r="R181" s="53" t="str">
        <f aca="false">IF(AND($G181&lt;&gt;"",$I181&lt;&gt;""),$I181-$G181,"")</f>
        <v/>
      </c>
      <c r="S181" s="53" t="str">
        <f aca="false">IF(AND($H181&lt;&gt;"",$I181&lt;&gt;""),$I181-$H181,"")</f>
        <v/>
      </c>
      <c r="T181" s="53" t="str">
        <f aca="false">IF($J181&lt;&gt;"",$J181,"")</f>
        <v/>
      </c>
      <c r="V181" s="52" t="str">
        <f aca="false">IF($A181&lt;&gt;"",$A181,"")</f>
        <v>Apprenant 169</v>
      </c>
      <c r="W181" s="53" t="str">
        <f aca="false">IF(AND(OR('Choix pédagogiques'!$C$3=1,'Choix pédagogiques'!$C$3=2),$BM181=1),B181,IF(AND('Choix pédagogiques'!$C$3=3,$BO181=1),B181,""))</f>
        <v/>
      </c>
      <c r="X181" s="53" t="str">
        <f aca="false">IF(AND(OR('Choix pédagogiques'!$C$3=1,'Choix pédagogiques'!$C$3=2),$BM181=1),C181,IF(AND('Choix pédagogiques'!$C$3=3,$BO181=1),C181,""))</f>
        <v/>
      </c>
      <c r="Y181" s="53" t="str">
        <f aca="false">IF(AND(OR('Choix pédagogiques'!$C$3=1,'Choix pédagogiques'!$C$3=2),$BM181=1),D181,IF(AND('Choix pédagogiques'!$C$3=3,$BO181=1),D181,""))</f>
        <v/>
      </c>
      <c r="Z181" s="53" t="str">
        <f aca="false">IF($E181&lt;&gt;"",$E181,"")</f>
        <v/>
      </c>
      <c r="AA181" s="52" t="str">
        <f aca="false">IF($F181&lt;&gt;"",$F181,"")</f>
        <v>Apprenant 169 ou 169'</v>
      </c>
      <c r="AB181" s="53" t="str">
        <f aca="false">IF(AND(OR('Choix pédagogiques'!$C$3=1,'Choix pédagogiques'!$C$3=2),$BN181=1),G181,IF(AND('Choix pédagogiques'!$C$3=3,$BO181=1),G181,""))</f>
        <v/>
      </c>
      <c r="AC181" s="53" t="str">
        <f aca="false">IF(AND(OR('Choix pédagogiques'!$C$3=1,'Choix pédagogiques'!$C$3=2),$BN181=1),H181,IF(AND('Choix pédagogiques'!$C$3=3,$BO181=1),H181,""))</f>
        <v/>
      </c>
      <c r="AD181" s="53" t="str">
        <f aca="false">IF(AND(OR('Choix pédagogiques'!$C$3=1,'Choix pédagogiques'!$C$3=2),$BN181=1),I181,IF(AND('Choix pédagogiques'!$C$3=3,$BO181=1),I181,""))</f>
        <v/>
      </c>
      <c r="AE181" s="53" t="str">
        <f aca="false">IF($J181&lt;&gt;"",$J181,"")</f>
        <v/>
      </c>
      <c r="AF181" s="52" t="str">
        <f aca="false">IF($A181&lt;&gt;"",$A181,"")</f>
        <v>Apprenant 169</v>
      </c>
      <c r="AG181" s="53" t="str">
        <f aca="false">IF(AND($W181&lt;&gt;"",$X181&lt;&gt;""),$X181-$W181,"")</f>
        <v/>
      </c>
      <c r="AH181" s="53" t="str">
        <f aca="false">IF(AND($W181&lt;&gt;"",$Y181&lt;&gt;""),$Y181-$W181,"")</f>
        <v/>
      </c>
      <c r="AI181" s="53" t="str">
        <f aca="false">IF(AND($X181&lt;&gt;"",$Y181&lt;&gt;""),$Y181-$X181,"")</f>
        <v/>
      </c>
      <c r="AJ181" s="53" t="str">
        <f aca="false">IF($E181&lt;&gt;"",$E181,"")</f>
        <v/>
      </c>
      <c r="AK181" s="52" t="str">
        <f aca="false">IF($F181&lt;&gt;"",$F181,"")</f>
        <v>Apprenant 169 ou 169'</v>
      </c>
      <c r="AL181" s="53" t="str">
        <f aca="false">IF(AND($AB181&lt;&gt;"",$AC181&lt;&gt;""),$AC181-$AB181,"")</f>
        <v/>
      </c>
      <c r="AM181" s="53" t="str">
        <f aca="false">IF(AND($AB181&lt;&gt;"",$AD181&lt;&gt;""),$AD181-$AB181,"")</f>
        <v/>
      </c>
      <c r="AN181" s="53" t="str">
        <f aca="false">IF(AND($AC181&lt;&gt;"",$AD181&lt;&gt;""),$AD181-$AC181,"")</f>
        <v/>
      </c>
      <c r="AO181" s="53" t="str">
        <f aca="false">IF($J181&lt;&gt;"",$J181,"")</f>
        <v/>
      </c>
      <c r="AQ181" s="52" t="str">
        <f aca="false">IF($A181&lt;&gt;"",$A181,"")</f>
        <v>Apprenant 169</v>
      </c>
      <c r="AR181" s="55" t="str">
        <f aca="false">IF(AND('Choix pédagogiques'!$C$4&lt;&gt;"?",'Choix pédagogiques'!$C$5&lt;&gt;"?",W181&lt;&gt;""),(W181-'Choix pédagogiques'!$C$4)/('Choix pédagogiques'!$C$5-'Choix pédagogiques'!$C$4),"")</f>
        <v/>
      </c>
      <c r="AS181" s="55" t="str">
        <f aca="false">IF(AND('Choix pédagogiques'!$C$4&lt;&gt;"?",'Choix pédagogiques'!$C$5&lt;&gt;"?",X181&lt;&gt;""),(X181-'Choix pédagogiques'!$C$4)/('Choix pédagogiques'!$C$5-'Choix pédagogiques'!$C$4),"")</f>
        <v/>
      </c>
      <c r="AT181" s="55" t="str">
        <f aca="false">IF(AND('Choix pédagogiques'!$C$4&lt;&gt;"?",'Choix pédagogiques'!$C$5&lt;&gt;"?",Y181&lt;&gt;""),(Y181-'Choix pédagogiques'!$C$4)/('Choix pédagogiques'!$C$5-'Choix pédagogiques'!$C$4),"")</f>
        <v/>
      </c>
      <c r="AU181" s="53" t="str">
        <f aca="false">IF($E181&lt;&gt;"",$E181,"")</f>
        <v/>
      </c>
      <c r="AV181" s="52" t="str">
        <f aca="false">IF($F181&lt;&gt;"",$F181,"")</f>
        <v>Apprenant 169 ou 169'</v>
      </c>
      <c r="AW181" s="55" t="str">
        <f aca="false">IF(AND('Choix pédagogiques'!$C$4&lt;&gt;"?",'Choix pédagogiques'!$C$5&lt;&gt;"?",AB181&lt;&gt;""),(AB181-'Choix pédagogiques'!$C$4)/('Choix pédagogiques'!$C$5-'Choix pédagogiques'!$C$4),"")</f>
        <v/>
      </c>
      <c r="AX181" s="55" t="str">
        <f aca="false">IF(AND('Choix pédagogiques'!$C$4&lt;&gt;"?",'Choix pédagogiques'!$C$5&lt;&gt;"?",AC181&lt;&gt;""),(AC181-'Choix pédagogiques'!$C$4)/('Choix pédagogiques'!$C$5-'Choix pédagogiques'!$C$4),"")</f>
        <v/>
      </c>
      <c r="AY181" s="55" t="str">
        <f aca="false">IF(AND('Choix pédagogiques'!$C$4&lt;&gt;"?",'Choix pédagogiques'!$C$5&lt;&gt;"?",AD181&lt;&gt;""),(AD181-'Choix pédagogiques'!$C$4)/('Choix pédagogiques'!$C$5-'Choix pédagogiques'!$C$4),"")</f>
        <v/>
      </c>
      <c r="AZ181" s="53" t="str">
        <f aca="false">IF($J181&lt;&gt;"",$J181,"")</f>
        <v/>
      </c>
      <c r="BA181" s="52" t="str">
        <f aca="false">IF($A181&lt;&gt;"",$A181,"")</f>
        <v>Apprenant 169</v>
      </c>
      <c r="BB181" s="55" t="str">
        <f aca="false">IF(AND($AR181&lt;&gt;"",$AS181&lt;&gt;""),$AS181-$AR181,"")</f>
        <v/>
      </c>
      <c r="BC181" s="55" t="str">
        <f aca="false">IF(AND($AR181&lt;&gt;"",$AT181&lt;&gt;""),$AT181-$AR181,"")</f>
        <v/>
      </c>
      <c r="BD181" s="55" t="str">
        <f aca="false">IF(AND($AS181&lt;&gt;"",$AT181&lt;&gt;""),$AT181-$AS181,"")</f>
        <v/>
      </c>
      <c r="BE181" s="53" t="str">
        <f aca="false">IF($E181&lt;&gt;"",$E181,"")</f>
        <v/>
      </c>
      <c r="BF181" s="52" t="str">
        <f aca="false">IF($F181&lt;&gt;"",$F181,"")</f>
        <v>Apprenant 169 ou 169'</v>
      </c>
      <c r="BG181" s="55" t="str">
        <f aca="false">IF(AND($AW181&lt;&gt;"",$AX181&lt;&gt;""),$AX181-$AW181,"")</f>
        <v/>
      </c>
      <c r="BH181" s="55" t="str">
        <f aca="false">IF(AND($AW181&lt;&gt;"",$AY181&lt;&gt;""),$AY181-$AW181,"")</f>
        <v/>
      </c>
      <c r="BI181" s="55" t="str">
        <f aca="false">IF(AND($AX181&lt;&gt;"",$AY181&lt;&gt;""),$AY181-$AX181,"")</f>
        <v/>
      </c>
      <c r="BJ181" s="53" t="str">
        <f aca="false">IF($J181&lt;&gt;"",$J181,"")</f>
        <v/>
      </c>
      <c r="BL181" s="52"/>
      <c r="BM181" s="52" t="str">
        <f aca="false">IF(OR(COUNT(B181:D1180)=0,AND('Choix pédagogiques'!$C$3&lt;&gt;1,'Choix pédagogiques'!$C$3&lt;&gt;2)),"",IF(AND(OR('Choix pédagogiques'!$C$3=1,'Choix pédagogiques'!$C$3=2),$B181&lt;&gt;"",$C181&lt;&gt;"",$D181&lt;&gt;""),1,0))</f>
        <v/>
      </c>
      <c r="BN181" s="52" t="str">
        <f aca="false">IF(OR(COUNT(G181:I1180)=0,AND('Choix pédagogiques'!$C$3&lt;&gt;1,'Choix pédagogiques'!$C$3&lt;&gt;2)),"",IF(AND(OR('Choix pédagogiques'!$C$3=1,'Choix pédagogiques'!$C$3=2),AND($G181&lt;&gt;"",$H181&lt;&gt;"",$I181&lt;&gt;"")),1,0))</f>
        <v/>
      </c>
      <c r="BO181" s="52" t="str">
        <f aca="false">IF(OR(COUNT(B181:D1180)=0,COUNT(G181:I1180)=0,'Choix pédagogiques'!C$3&lt;&gt;3),"",IF(AND('Choix pédagogiques'!$C$3=3,$B181&lt;&gt;"",$C181&lt;&gt;"",$D181&lt;&gt;"",$G181&lt;&gt;"",$H181&lt;&gt;"",$I181&lt;&gt;""),1,0))</f>
        <v/>
      </c>
      <c r="BR181" s="52" t="n">
        <v>498</v>
      </c>
      <c r="BS181" s="52" t="n">
        <v>1877</v>
      </c>
    </row>
    <row r="182" s="54" customFormat="true" ht="18" hidden="false" customHeight="true" outlineLevel="0" collapsed="false">
      <c r="A182" s="57" t="s">
        <v>295</v>
      </c>
      <c r="B182" s="51"/>
      <c r="C182" s="51"/>
      <c r="D182" s="51"/>
      <c r="E182" s="51"/>
      <c r="F182" s="57" t="s">
        <v>296</v>
      </c>
      <c r="G182" s="51"/>
      <c r="H182" s="51"/>
      <c r="I182" s="51"/>
      <c r="J182" s="51"/>
      <c r="K182" s="52" t="str">
        <f aca="false">IF($A182&lt;&gt;"",$A182,"")</f>
        <v>Apprenant 170</v>
      </c>
      <c r="L182" s="53" t="str">
        <f aca="false">IF(AND($B182&lt;&gt;"",$C182&lt;&gt;""),$C182-$B182,"")</f>
        <v/>
      </c>
      <c r="M182" s="53" t="str">
        <f aca="false">IF(AND($B182&lt;&gt;"",$D182&lt;&gt;""),$D182-$B182,"")</f>
        <v/>
      </c>
      <c r="N182" s="53" t="str">
        <f aca="false">IF(AND($C182&lt;&gt;"",$D182&lt;&gt;""),$D182-$C182,"")</f>
        <v/>
      </c>
      <c r="O182" s="53" t="str">
        <f aca="false">IF($E182&lt;&gt;"",$E182,"")</f>
        <v/>
      </c>
      <c r="P182" s="52" t="str">
        <f aca="false">IF($F182&lt;&gt;"",$F182,"")</f>
        <v>Apprenant 170 ou 170'</v>
      </c>
      <c r="Q182" s="53" t="str">
        <f aca="false">IF(AND($G182&lt;&gt;"",$H182&lt;&gt;""),$H182-$G182,"")</f>
        <v/>
      </c>
      <c r="R182" s="53" t="str">
        <f aca="false">IF(AND($G182&lt;&gt;"",$I182&lt;&gt;""),$I182-$G182,"")</f>
        <v/>
      </c>
      <c r="S182" s="53" t="str">
        <f aca="false">IF(AND($H182&lt;&gt;"",$I182&lt;&gt;""),$I182-$H182,"")</f>
        <v/>
      </c>
      <c r="T182" s="53" t="str">
        <f aca="false">IF($J182&lt;&gt;"",$J182,"")</f>
        <v/>
      </c>
      <c r="V182" s="52" t="str">
        <f aca="false">IF($A182&lt;&gt;"",$A182,"")</f>
        <v>Apprenant 170</v>
      </c>
      <c r="W182" s="53" t="str">
        <f aca="false">IF(AND(OR('Choix pédagogiques'!$C$3=1,'Choix pédagogiques'!$C$3=2),$BM182=1),B182,IF(AND('Choix pédagogiques'!$C$3=3,$BO182=1),B182,""))</f>
        <v/>
      </c>
      <c r="X182" s="53" t="str">
        <f aca="false">IF(AND(OR('Choix pédagogiques'!$C$3=1,'Choix pédagogiques'!$C$3=2),$BM182=1),C182,IF(AND('Choix pédagogiques'!$C$3=3,$BO182=1),C182,""))</f>
        <v/>
      </c>
      <c r="Y182" s="53" t="str">
        <f aca="false">IF(AND(OR('Choix pédagogiques'!$C$3=1,'Choix pédagogiques'!$C$3=2),$BM182=1),D182,IF(AND('Choix pédagogiques'!$C$3=3,$BO182=1),D182,""))</f>
        <v/>
      </c>
      <c r="Z182" s="53" t="str">
        <f aca="false">IF($E182&lt;&gt;"",$E182,"")</f>
        <v/>
      </c>
      <c r="AA182" s="52" t="str">
        <f aca="false">IF($F182&lt;&gt;"",$F182,"")</f>
        <v>Apprenant 170 ou 170'</v>
      </c>
      <c r="AB182" s="53" t="str">
        <f aca="false">IF(AND(OR('Choix pédagogiques'!$C$3=1,'Choix pédagogiques'!$C$3=2),$BN182=1),G182,IF(AND('Choix pédagogiques'!$C$3=3,$BO182=1),G182,""))</f>
        <v/>
      </c>
      <c r="AC182" s="53" t="str">
        <f aca="false">IF(AND(OR('Choix pédagogiques'!$C$3=1,'Choix pédagogiques'!$C$3=2),$BN182=1),H182,IF(AND('Choix pédagogiques'!$C$3=3,$BO182=1),H182,""))</f>
        <v/>
      </c>
      <c r="AD182" s="53" t="str">
        <f aca="false">IF(AND(OR('Choix pédagogiques'!$C$3=1,'Choix pédagogiques'!$C$3=2),$BN182=1),I182,IF(AND('Choix pédagogiques'!$C$3=3,$BO182=1),I182,""))</f>
        <v/>
      </c>
      <c r="AE182" s="53" t="str">
        <f aca="false">IF($J182&lt;&gt;"",$J182,"")</f>
        <v/>
      </c>
      <c r="AF182" s="52" t="str">
        <f aca="false">IF($A182&lt;&gt;"",$A182,"")</f>
        <v>Apprenant 170</v>
      </c>
      <c r="AG182" s="53" t="str">
        <f aca="false">IF(AND($W182&lt;&gt;"",$X182&lt;&gt;""),$X182-$W182,"")</f>
        <v/>
      </c>
      <c r="AH182" s="53" t="str">
        <f aca="false">IF(AND($W182&lt;&gt;"",$Y182&lt;&gt;""),$Y182-$W182,"")</f>
        <v/>
      </c>
      <c r="AI182" s="53" t="str">
        <f aca="false">IF(AND($X182&lt;&gt;"",$Y182&lt;&gt;""),$Y182-$X182,"")</f>
        <v/>
      </c>
      <c r="AJ182" s="53" t="str">
        <f aca="false">IF($E182&lt;&gt;"",$E182,"")</f>
        <v/>
      </c>
      <c r="AK182" s="52" t="str">
        <f aca="false">IF($F182&lt;&gt;"",$F182,"")</f>
        <v>Apprenant 170 ou 170'</v>
      </c>
      <c r="AL182" s="53" t="str">
        <f aca="false">IF(AND($AB182&lt;&gt;"",$AC182&lt;&gt;""),$AC182-$AB182,"")</f>
        <v/>
      </c>
      <c r="AM182" s="53" t="str">
        <f aca="false">IF(AND($AB182&lt;&gt;"",$AD182&lt;&gt;""),$AD182-$AB182,"")</f>
        <v/>
      </c>
      <c r="AN182" s="53" t="str">
        <f aca="false">IF(AND($AC182&lt;&gt;"",$AD182&lt;&gt;""),$AD182-$AC182,"")</f>
        <v/>
      </c>
      <c r="AO182" s="53" t="str">
        <f aca="false">IF($J182&lt;&gt;"",$J182,"")</f>
        <v/>
      </c>
      <c r="AQ182" s="52" t="str">
        <f aca="false">IF($A182&lt;&gt;"",$A182,"")</f>
        <v>Apprenant 170</v>
      </c>
      <c r="AR182" s="55" t="str">
        <f aca="false">IF(AND('Choix pédagogiques'!$C$4&lt;&gt;"?",'Choix pédagogiques'!$C$5&lt;&gt;"?",W182&lt;&gt;""),(W182-'Choix pédagogiques'!$C$4)/('Choix pédagogiques'!$C$5-'Choix pédagogiques'!$C$4),"")</f>
        <v/>
      </c>
      <c r="AS182" s="55" t="str">
        <f aca="false">IF(AND('Choix pédagogiques'!$C$4&lt;&gt;"?",'Choix pédagogiques'!$C$5&lt;&gt;"?",X182&lt;&gt;""),(X182-'Choix pédagogiques'!$C$4)/('Choix pédagogiques'!$C$5-'Choix pédagogiques'!$C$4),"")</f>
        <v/>
      </c>
      <c r="AT182" s="55" t="str">
        <f aca="false">IF(AND('Choix pédagogiques'!$C$4&lt;&gt;"?",'Choix pédagogiques'!$C$5&lt;&gt;"?",Y182&lt;&gt;""),(Y182-'Choix pédagogiques'!$C$4)/('Choix pédagogiques'!$C$5-'Choix pédagogiques'!$C$4),"")</f>
        <v/>
      </c>
      <c r="AU182" s="53" t="str">
        <f aca="false">IF($E182&lt;&gt;"",$E182,"")</f>
        <v/>
      </c>
      <c r="AV182" s="52" t="str">
        <f aca="false">IF($F182&lt;&gt;"",$F182,"")</f>
        <v>Apprenant 170 ou 170'</v>
      </c>
      <c r="AW182" s="55" t="str">
        <f aca="false">IF(AND('Choix pédagogiques'!$C$4&lt;&gt;"?",'Choix pédagogiques'!$C$5&lt;&gt;"?",AB182&lt;&gt;""),(AB182-'Choix pédagogiques'!$C$4)/('Choix pédagogiques'!$C$5-'Choix pédagogiques'!$C$4),"")</f>
        <v/>
      </c>
      <c r="AX182" s="55" t="str">
        <f aca="false">IF(AND('Choix pédagogiques'!$C$4&lt;&gt;"?",'Choix pédagogiques'!$C$5&lt;&gt;"?",AC182&lt;&gt;""),(AC182-'Choix pédagogiques'!$C$4)/('Choix pédagogiques'!$C$5-'Choix pédagogiques'!$C$4),"")</f>
        <v/>
      </c>
      <c r="AY182" s="55" t="str">
        <f aca="false">IF(AND('Choix pédagogiques'!$C$4&lt;&gt;"?",'Choix pédagogiques'!$C$5&lt;&gt;"?",AD182&lt;&gt;""),(AD182-'Choix pédagogiques'!$C$4)/('Choix pédagogiques'!$C$5-'Choix pédagogiques'!$C$4),"")</f>
        <v/>
      </c>
      <c r="AZ182" s="53" t="str">
        <f aca="false">IF($J182&lt;&gt;"",$J182,"")</f>
        <v/>
      </c>
      <c r="BA182" s="52" t="str">
        <f aca="false">IF($A182&lt;&gt;"",$A182,"")</f>
        <v>Apprenant 170</v>
      </c>
      <c r="BB182" s="55" t="str">
        <f aca="false">IF(AND($AR182&lt;&gt;"",$AS182&lt;&gt;""),$AS182-$AR182,"")</f>
        <v/>
      </c>
      <c r="BC182" s="55" t="str">
        <f aca="false">IF(AND($AR182&lt;&gt;"",$AT182&lt;&gt;""),$AT182-$AR182,"")</f>
        <v/>
      </c>
      <c r="BD182" s="55" t="str">
        <f aca="false">IF(AND($AS182&lt;&gt;"",$AT182&lt;&gt;""),$AT182-$AS182,"")</f>
        <v/>
      </c>
      <c r="BE182" s="53" t="str">
        <f aca="false">IF($E182&lt;&gt;"",$E182,"")</f>
        <v/>
      </c>
      <c r="BF182" s="52" t="str">
        <f aca="false">IF($F182&lt;&gt;"",$F182,"")</f>
        <v>Apprenant 170 ou 170'</v>
      </c>
      <c r="BG182" s="55" t="str">
        <f aca="false">IF(AND($AW182&lt;&gt;"",$AX182&lt;&gt;""),$AX182-$AW182,"")</f>
        <v/>
      </c>
      <c r="BH182" s="55" t="str">
        <f aca="false">IF(AND($AW182&lt;&gt;"",$AY182&lt;&gt;""),$AY182-$AW182,"")</f>
        <v/>
      </c>
      <c r="BI182" s="55" t="str">
        <f aca="false">IF(AND($AX182&lt;&gt;"",$AY182&lt;&gt;""),$AY182-$AX182,"")</f>
        <v/>
      </c>
      <c r="BJ182" s="53" t="str">
        <f aca="false">IF($J182&lt;&gt;"",$J182,"")</f>
        <v/>
      </c>
      <c r="BL182" s="52"/>
      <c r="BM182" s="52" t="str">
        <f aca="false">IF(OR(COUNT(B182:D1181)=0,AND('Choix pédagogiques'!$C$3&lt;&gt;1,'Choix pédagogiques'!$C$3&lt;&gt;2)),"",IF(AND(OR('Choix pédagogiques'!$C$3=1,'Choix pédagogiques'!$C$3=2),$B182&lt;&gt;"",$C182&lt;&gt;"",$D182&lt;&gt;""),1,0))</f>
        <v/>
      </c>
      <c r="BN182" s="52" t="str">
        <f aca="false">IF(OR(COUNT(G182:I1181)=0,AND('Choix pédagogiques'!$C$3&lt;&gt;1,'Choix pédagogiques'!$C$3&lt;&gt;2)),"",IF(AND(OR('Choix pédagogiques'!$C$3=1,'Choix pédagogiques'!$C$3=2),AND($G182&lt;&gt;"",$H182&lt;&gt;"",$I182&lt;&gt;"")),1,0))</f>
        <v/>
      </c>
      <c r="BO182" s="52" t="str">
        <f aca="false">IF(OR(COUNT(B182:D1181)=0,COUNT(G182:I1181)=0,'Choix pédagogiques'!C$3&lt;&gt;3),"",IF(AND('Choix pédagogiques'!$C$3=3,$B182&lt;&gt;"",$C182&lt;&gt;"",$D182&lt;&gt;"",$G182&lt;&gt;"",$H182&lt;&gt;"",$I182&lt;&gt;""),1,0))</f>
        <v/>
      </c>
      <c r="BR182" s="52" t="n">
        <v>90</v>
      </c>
      <c r="BS182" s="52" t="n">
        <v>1975</v>
      </c>
    </row>
    <row r="183" s="54" customFormat="true" ht="18" hidden="false" customHeight="true" outlineLevel="0" collapsed="false">
      <c r="A183" s="57" t="s">
        <v>297</v>
      </c>
      <c r="B183" s="51"/>
      <c r="C183" s="51"/>
      <c r="D183" s="51"/>
      <c r="E183" s="51"/>
      <c r="F183" s="57" t="s">
        <v>298</v>
      </c>
      <c r="G183" s="51"/>
      <c r="H183" s="51"/>
      <c r="I183" s="51"/>
      <c r="J183" s="51"/>
      <c r="K183" s="52" t="str">
        <f aca="false">IF($A183&lt;&gt;"",$A183,"")</f>
        <v>Apprenant 171</v>
      </c>
      <c r="L183" s="53" t="str">
        <f aca="false">IF(AND($B183&lt;&gt;"",$C183&lt;&gt;""),$C183-$B183,"")</f>
        <v/>
      </c>
      <c r="M183" s="53" t="str">
        <f aca="false">IF(AND($B183&lt;&gt;"",$D183&lt;&gt;""),$D183-$B183,"")</f>
        <v/>
      </c>
      <c r="N183" s="53" t="str">
        <f aca="false">IF(AND($C183&lt;&gt;"",$D183&lt;&gt;""),$D183-$C183,"")</f>
        <v/>
      </c>
      <c r="O183" s="53" t="str">
        <f aca="false">IF($E183&lt;&gt;"",$E183,"")</f>
        <v/>
      </c>
      <c r="P183" s="52" t="str">
        <f aca="false">IF($F183&lt;&gt;"",$F183,"")</f>
        <v>Apprenant 171 ou 171'</v>
      </c>
      <c r="Q183" s="53" t="str">
        <f aca="false">IF(AND($G183&lt;&gt;"",$H183&lt;&gt;""),$H183-$G183,"")</f>
        <v/>
      </c>
      <c r="R183" s="53" t="str">
        <f aca="false">IF(AND($G183&lt;&gt;"",$I183&lt;&gt;""),$I183-$G183,"")</f>
        <v/>
      </c>
      <c r="S183" s="53" t="str">
        <f aca="false">IF(AND($H183&lt;&gt;"",$I183&lt;&gt;""),$I183-$H183,"")</f>
        <v/>
      </c>
      <c r="T183" s="53" t="str">
        <f aca="false">IF($J183&lt;&gt;"",$J183,"")</f>
        <v/>
      </c>
      <c r="V183" s="52" t="str">
        <f aca="false">IF($A183&lt;&gt;"",$A183,"")</f>
        <v>Apprenant 171</v>
      </c>
      <c r="W183" s="53" t="str">
        <f aca="false">IF(AND(OR('Choix pédagogiques'!$C$3=1,'Choix pédagogiques'!$C$3=2),$BM183=1),B183,IF(AND('Choix pédagogiques'!$C$3=3,$BO183=1),B183,""))</f>
        <v/>
      </c>
      <c r="X183" s="53" t="str">
        <f aca="false">IF(AND(OR('Choix pédagogiques'!$C$3=1,'Choix pédagogiques'!$C$3=2),$BM183=1),C183,IF(AND('Choix pédagogiques'!$C$3=3,$BO183=1),C183,""))</f>
        <v/>
      </c>
      <c r="Y183" s="53" t="str">
        <f aca="false">IF(AND(OR('Choix pédagogiques'!$C$3=1,'Choix pédagogiques'!$C$3=2),$BM183=1),D183,IF(AND('Choix pédagogiques'!$C$3=3,$BO183=1),D183,""))</f>
        <v/>
      </c>
      <c r="Z183" s="53" t="str">
        <f aca="false">IF($E183&lt;&gt;"",$E183,"")</f>
        <v/>
      </c>
      <c r="AA183" s="52" t="str">
        <f aca="false">IF($F183&lt;&gt;"",$F183,"")</f>
        <v>Apprenant 171 ou 171'</v>
      </c>
      <c r="AB183" s="53" t="str">
        <f aca="false">IF(AND(OR('Choix pédagogiques'!$C$3=1,'Choix pédagogiques'!$C$3=2),$BN183=1),G183,IF(AND('Choix pédagogiques'!$C$3=3,$BO183=1),G183,""))</f>
        <v/>
      </c>
      <c r="AC183" s="53" t="str">
        <f aca="false">IF(AND(OR('Choix pédagogiques'!$C$3=1,'Choix pédagogiques'!$C$3=2),$BN183=1),H183,IF(AND('Choix pédagogiques'!$C$3=3,$BO183=1),H183,""))</f>
        <v/>
      </c>
      <c r="AD183" s="53" t="str">
        <f aca="false">IF(AND(OR('Choix pédagogiques'!$C$3=1,'Choix pédagogiques'!$C$3=2),$BN183=1),I183,IF(AND('Choix pédagogiques'!$C$3=3,$BO183=1),I183,""))</f>
        <v/>
      </c>
      <c r="AE183" s="53" t="str">
        <f aca="false">IF($J183&lt;&gt;"",$J183,"")</f>
        <v/>
      </c>
      <c r="AF183" s="52" t="str">
        <f aca="false">IF($A183&lt;&gt;"",$A183,"")</f>
        <v>Apprenant 171</v>
      </c>
      <c r="AG183" s="53" t="str">
        <f aca="false">IF(AND($W183&lt;&gt;"",$X183&lt;&gt;""),$X183-$W183,"")</f>
        <v/>
      </c>
      <c r="AH183" s="53" t="str">
        <f aca="false">IF(AND($W183&lt;&gt;"",$Y183&lt;&gt;""),$Y183-$W183,"")</f>
        <v/>
      </c>
      <c r="AI183" s="53" t="str">
        <f aca="false">IF(AND($X183&lt;&gt;"",$Y183&lt;&gt;""),$Y183-$X183,"")</f>
        <v/>
      </c>
      <c r="AJ183" s="53" t="str">
        <f aca="false">IF($E183&lt;&gt;"",$E183,"")</f>
        <v/>
      </c>
      <c r="AK183" s="52" t="str">
        <f aca="false">IF($F183&lt;&gt;"",$F183,"")</f>
        <v>Apprenant 171 ou 171'</v>
      </c>
      <c r="AL183" s="53" t="str">
        <f aca="false">IF(AND($AB183&lt;&gt;"",$AC183&lt;&gt;""),$AC183-$AB183,"")</f>
        <v/>
      </c>
      <c r="AM183" s="53" t="str">
        <f aca="false">IF(AND($AB183&lt;&gt;"",$AD183&lt;&gt;""),$AD183-$AB183,"")</f>
        <v/>
      </c>
      <c r="AN183" s="53" t="str">
        <f aca="false">IF(AND($AC183&lt;&gt;"",$AD183&lt;&gt;""),$AD183-$AC183,"")</f>
        <v/>
      </c>
      <c r="AO183" s="53" t="str">
        <f aca="false">IF($J183&lt;&gt;"",$J183,"")</f>
        <v/>
      </c>
      <c r="AQ183" s="52" t="str">
        <f aca="false">IF($A183&lt;&gt;"",$A183,"")</f>
        <v>Apprenant 171</v>
      </c>
      <c r="AR183" s="55" t="str">
        <f aca="false">IF(AND('Choix pédagogiques'!$C$4&lt;&gt;"?",'Choix pédagogiques'!$C$5&lt;&gt;"?",W183&lt;&gt;""),(W183-'Choix pédagogiques'!$C$4)/('Choix pédagogiques'!$C$5-'Choix pédagogiques'!$C$4),"")</f>
        <v/>
      </c>
      <c r="AS183" s="55" t="str">
        <f aca="false">IF(AND('Choix pédagogiques'!$C$4&lt;&gt;"?",'Choix pédagogiques'!$C$5&lt;&gt;"?",X183&lt;&gt;""),(X183-'Choix pédagogiques'!$C$4)/('Choix pédagogiques'!$C$5-'Choix pédagogiques'!$C$4),"")</f>
        <v/>
      </c>
      <c r="AT183" s="55" t="str">
        <f aca="false">IF(AND('Choix pédagogiques'!$C$4&lt;&gt;"?",'Choix pédagogiques'!$C$5&lt;&gt;"?",Y183&lt;&gt;""),(Y183-'Choix pédagogiques'!$C$4)/('Choix pédagogiques'!$C$5-'Choix pédagogiques'!$C$4),"")</f>
        <v/>
      </c>
      <c r="AU183" s="53" t="str">
        <f aca="false">IF($E183&lt;&gt;"",$E183,"")</f>
        <v/>
      </c>
      <c r="AV183" s="52" t="str">
        <f aca="false">IF($F183&lt;&gt;"",$F183,"")</f>
        <v>Apprenant 171 ou 171'</v>
      </c>
      <c r="AW183" s="55" t="str">
        <f aca="false">IF(AND('Choix pédagogiques'!$C$4&lt;&gt;"?",'Choix pédagogiques'!$C$5&lt;&gt;"?",AB183&lt;&gt;""),(AB183-'Choix pédagogiques'!$C$4)/('Choix pédagogiques'!$C$5-'Choix pédagogiques'!$C$4),"")</f>
        <v/>
      </c>
      <c r="AX183" s="55" t="str">
        <f aca="false">IF(AND('Choix pédagogiques'!$C$4&lt;&gt;"?",'Choix pédagogiques'!$C$5&lt;&gt;"?",AC183&lt;&gt;""),(AC183-'Choix pédagogiques'!$C$4)/('Choix pédagogiques'!$C$5-'Choix pédagogiques'!$C$4),"")</f>
        <v/>
      </c>
      <c r="AY183" s="55" t="str">
        <f aca="false">IF(AND('Choix pédagogiques'!$C$4&lt;&gt;"?",'Choix pédagogiques'!$C$5&lt;&gt;"?",AD183&lt;&gt;""),(AD183-'Choix pédagogiques'!$C$4)/('Choix pédagogiques'!$C$5-'Choix pédagogiques'!$C$4),"")</f>
        <v/>
      </c>
      <c r="AZ183" s="53" t="str">
        <f aca="false">IF($J183&lt;&gt;"",$J183,"")</f>
        <v/>
      </c>
      <c r="BA183" s="52" t="str">
        <f aca="false">IF($A183&lt;&gt;"",$A183,"")</f>
        <v>Apprenant 171</v>
      </c>
      <c r="BB183" s="55" t="str">
        <f aca="false">IF(AND($AR183&lt;&gt;"",$AS183&lt;&gt;""),$AS183-$AR183,"")</f>
        <v/>
      </c>
      <c r="BC183" s="55" t="str">
        <f aca="false">IF(AND($AR183&lt;&gt;"",$AT183&lt;&gt;""),$AT183-$AR183,"")</f>
        <v/>
      </c>
      <c r="BD183" s="55" t="str">
        <f aca="false">IF(AND($AS183&lt;&gt;"",$AT183&lt;&gt;""),$AT183-$AS183,"")</f>
        <v/>
      </c>
      <c r="BE183" s="53" t="str">
        <f aca="false">IF($E183&lt;&gt;"",$E183,"")</f>
        <v/>
      </c>
      <c r="BF183" s="52" t="str">
        <f aca="false">IF($F183&lt;&gt;"",$F183,"")</f>
        <v>Apprenant 171 ou 171'</v>
      </c>
      <c r="BG183" s="55" t="str">
        <f aca="false">IF(AND($AW183&lt;&gt;"",$AX183&lt;&gt;""),$AX183-$AW183,"")</f>
        <v/>
      </c>
      <c r="BH183" s="55" t="str">
        <f aca="false">IF(AND($AW183&lt;&gt;"",$AY183&lt;&gt;""),$AY183-$AW183,"")</f>
        <v/>
      </c>
      <c r="BI183" s="55" t="str">
        <f aca="false">IF(AND($AX183&lt;&gt;"",$AY183&lt;&gt;""),$AY183-$AX183,"")</f>
        <v/>
      </c>
      <c r="BJ183" s="53" t="str">
        <f aca="false">IF($J183&lt;&gt;"",$J183,"")</f>
        <v/>
      </c>
      <c r="BL183" s="52"/>
      <c r="BM183" s="52" t="str">
        <f aca="false">IF(OR(COUNT(B183:D1182)=0,AND('Choix pédagogiques'!$C$3&lt;&gt;1,'Choix pédagogiques'!$C$3&lt;&gt;2)),"",IF(AND(OR('Choix pédagogiques'!$C$3=1,'Choix pédagogiques'!$C$3=2),$B183&lt;&gt;"",$C183&lt;&gt;"",$D183&lt;&gt;""),1,0))</f>
        <v/>
      </c>
      <c r="BN183" s="52" t="str">
        <f aca="false">IF(OR(COUNT(G183:I1182)=0,AND('Choix pédagogiques'!$C$3&lt;&gt;1,'Choix pédagogiques'!$C$3&lt;&gt;2)),"",IF(AND(OR('Choix pédagogiques'!$C$3=1,'Choix pédagogiques'!$C$3=2),AND($G183&lt;&gt;"",$H183&lt;&gt;"",$I183&lt;&gt;"")),1,0))</f>
        <v/>
      </c>
      <c r="BO183" s="52" t="str">
        <f aca="false">IF(OR(COUNT(B183:D1182)=0,COUNT(G183:I1182)=0,'Choix pédagogiques'!C$3&lt;&gt;3),"",IF(AND('Choix pédagogiques'!$C$3=3,$B183&lt;&gt;"",$C183&lt;&gt;"",$D183&lt;&gt;"",$G183&lt;&gt;"",$H183&lt;&gt;"",$I183&lt;&gt;""),1,0))</f>
        <v/>
      </c>
      <c r="BR183" s="52" t="n">
        <v>757</v>
      </c>
      <c r="BS183" s="52" t="n">
        <v>1625</v>
      </c>
    </row>
    <row r="184" s="54" customFormat="true" ht="18" hidden="false" customHeight="true" outlineLevel="0" collapsed="false">
      <c r="A184" s="57" t="s">
        <v>299</v>
      </c>
      <c r="B184" s="51"/>
      <c r="C184" s="51"/>
      <c r="D184" s="51"/>
      <c r="E184" s="51"/>
      <c r="F184" s="57" t="s">
        <v>300</v>
      </c>
      <c r="G184" s="51"/>
      <c r="H184" s="51"/>
      <c r="I184" s="51"/>
      <c r="J184" s="51"/>
      <c r="K184" s="52" t="str">
        <f aca="false">IF($A184&lt;&gt;"",$A184,"")</f>
        <v>Apprenant 172</v>
      </c>
      <c r="L184" s="53" t="str">
        <f aca="false">IF(AND($B184&lt;&gt;"",$C184&lt;&gt;""),$C184-$B184,"")</f>
        <v/>
      </c>
      <c r="M184" s="53" t="str">
        <f aca="false">IF(AND($B184&lt;&gt;"",$D184&lt;&gt;""),$D184-$B184,"")</f>
        <v/>
      </c>
      <c r="N184" s="53" t="str">
        <f aca="false">IF(AND($C184&lt;&gt;"",$D184&lt;&gt;""),$D184-$C184,"")</f>
        <v/>
      </c>
      <c r="O184" s="53" t="str">
        <f aca="false">IF($E184&lt;&gt;"",$E184,"")</f>
        <v/>
      </c>
      <c r="P184" s="52" t="str">
        <f aca="false">IF($F184&lt;&gt;"",$F184,"")</f>
        <v>Apprenant 172 ou 172'</v>
      </c>
      <c r="Q184" s="53" t="str">
        <f aca="false">IF(AND($G184&lt;&gt;"",$H184&lt;&gt;""),$H184-$G184,"")</f>
        <v/>
      </c>
      <c r="R184" s="53" t="str">
        <f aca="false">IF(AND($G184&lt;&gt;"",$I184&lt;&gt;""),$I184-$G184,"")</f>
        <v/>
      </c>
      <c r="S184" s="53" t="str">
        <f aca="false">IF(AND($H184&lt;&gt;"",$I184&lt;&gt;""),$I184-$H184,"")</f>
        <v/>
      </c>
      <c r="T184" s="53" t="str">
        <f aca="false">IF($J184&lt;&gt;"",$J184,"")</f>
        <v/>
      </c>
      <c r="V184" s="52" t="str">
        <f aca="false">IF($A184&lt;&gt;"",$A184,"")</f>
        <v>Apprenant 172</v>
      </c>
      <c r="W184" s="53" t="str">
        <f aca="false">IF(AND(OR('Choix pédagogiques'!$C$3=1,'Choix pédagogiques'!$C$3=2),$BM184=1),B184,IF(AND('Choix pédagogiques'!$C$3=3,$BO184=1),B184,""))</f>
        <v/>
      </c>
      <c r="X184" s="53" t="str">
        <f aca="false">IF(AND(OR('Choix pédagogiques'!$C$3=1,'Choix pédagogiques'!$C$3=2),$BM184=1),C184,IF(AND('Choix pédagogiques'!$C$3=3,$BO184=1),C184,""))</f>
        <v/>
      </c>
      <c r="Y184" s="53" t="str">
        <f aca="false">IF(AND(OR('Choix pédagogiques'!$C$3=1,'Choix pédagogiques'!$C$3=2),$BM184=1),D184,IF(AND('Choix pédagogiques'!$C$3=3,$BO184=1),D184,""))</f>
        <v/>
      </c>
      <c r="Z184" s="53" t="str">
        <f aca="false">IF($E184&lt;&gt;"",$E184,"")</f>
        <v/>
      </c>
      <c r="AA184" s="52" t="str">
        <f aca="false">IF($F184&lt;&gt;"",$F184,"")</f>
        <v>Apprenant 172 ou 172'</v>
      </c>
      <c r="AB184" s="53" t="str">
        <f aca="false">IF(AND(OR('Choix pédagogiques'!$C$3=1,'Choix pédagogiques'!$C$3=2),$BN184=1),G184,IF(AND('Choix pédagogiques'!$C$3=3,$BO184=1),G184,""))</f>
        <v/>
      </c>
      <c r="AC184" s="53" t="str">
        <f aca="false">IF(AND(OR('Choix pédagogiques'!$C$3=1,'Choix pédagogiques'!$C$3=2),$BN184=1),H184,IF(AND('Choix pédagogiques'!$C$3=3,$BO184=1),H184,""))</f>
        <v/>
      </c>
      <c r="AD184" s="53" t="str">
        <f aca="false">IF(AND(OR('Choix pédagogiques'!$C$3=1,'Choix pédagogiques'!$C$3=2),$BN184=1),I184,IF(AND('Choix pédagogiques'!$C$3=3,$BO184=1),I184,""))</f>
        <v/>
      </c>
      <c r="AE184" s="53" t="str">
        <f aca="false">IF($J184&lt;&gt;"",$J184,"")</f>
        <v/>
      </c>
      <c r="AF184" s="52" t="str">
        <f aca="false">IF($A184&lt;&gt;"",$A184,"")</f>
        <v>Apprenant 172</v>
      </c>
      <c r="AG184" s="53" t="str">
        <f aca="false">IF(AND($W184&lt;&gt;"",$X184&lt;&gt;""),$X184-$W184,"")</f>
        <v/>
      </c>
      <c r="AH184" s="53" t="str">
        <f aca="false">IF(AND($W184&lt;&gt;"",$Y184&lt;&gt;""),$Y184-$W184,"")</f>
        <v/>
      </c>
      <c r="AI184" s="53" t="str">
        <f aca="false">IF(AND($X184&lt;&gt;"",$Y184&lt;&gt;""),$Y184-$X184,"")</f>
        <v/>
      </c>
      <c r="AJ184" s="53" t="str">
        <f aca="false">IF($E184&lt;&gt;"",$E184,"")</f>
        <v/>
      </c>
      <c r="AK184" s="52" t="str">
        <f aca="false">IF($F184&lt;&gt;"",$F184,"")</f>
        <v>Apprenant 172 ou 172'</v>
      </c>
      <c r="AL184" s="53" t="str">
        <f aca="false">IF(AND($AB184&lt;&gt;"",$AC184&lt;&gt;""),$AC184-$AB184,"")</f>
        <v/>
      </c>
      <c r="AM184" s="53" t="str">
        <f aca="false">IF(AND($AB184&lt;&gt;"",$AD184&lt;&gt;""),$AD184-$AB184,"")</f>
        <v/>
      </c>
      <c r="AN184" s="53" t="str">
        <f aca="false">IF(AND($AC184&lt;&gt;"",$AD184&lt;&gt;""),$AD184-$AC184,"")</f>
        <v/>
      </c>
      <c r="AO184" s="53" t="str">
        <f aca="false">IF($J184&lt;&gt;"",$J184,"")</f>
        <v/>
      </c>
      <c r="AQ184" s="52" t="str">
        <f aca="false">IF($A184&lt;&gt;"",$A184,"")</f>
        <v>Apprenant 172</v>
      </c>
      <c r="AR184" s="55" t="str">
        <f aca="false">IF(AND('Choix pédagogiques'!$C$4&lt;&gt;"?",'Choix pédagogiques'!$C$5&lt;&gt;"?",W184&lt;&gt;""),(W184-'Choix pédagogiques'!$C$4)/('Choix pédagogiques'!$C$5-'Choix pédagogiques'!$C$4),"")</f>
        <v/>
      </c>
      <c r="AS184" s="55" t="str">
        <f aca="false">IF(AND('Choix pédagogiques'!$C$4&lt;&gt;"?",'Choix pédagogiques'!$C$5&lt;&gt;"?",X184&lt;&gt;""),(X184-'Choix pédagogiques'!$C$4)/('Choix pédagogiques'!$C$5-'Choix pédagogiques'!$C$4),"")</f>
        <v/>
      </c>
      <c r="AT184" s="55" t="str">
        <f aca="false">IF(AND('Choix pédagogiques'!$C$4&lt;&gt;"?",'Choix pédagogiques'!$C$5&lt;&gt;"?",Y184&lt;&gt;""),(Y184-'Choix pédagogiques'!$C$4)/('Choix pédagogiques'!$C$5-'Choix pédagogiques'!$C$4),"")</f>
        <v/>
      </c>
      <c r="AU184" s="53" t="str">
        <f aca="false">IF($E184&lt;&gt;"",$E184,"")</f>
        <v/>
      </c>
      <c r="AV184" s="52" t="str">
        <f aca="false">IF($F184&lt;&gt;"",$F184,"")</f>
        <v>Apprenant 172 ou 172'</v>
      </c>
      <c r="AW184" s="55" t="str">
        <f aca="false">IF(AND('Choix pédagogiques'!$C$4&lt;&gt;"?",'Choix pédagogiques'!$C$5&lt;&gt;"?",AB184&lt;&gt;""),(AB184-'Choix pédagogiques'!$C$4)/('Choix pédagogiques'!$C$5-'Choix pédagogiques'!$C$4),"")</f>
        <v/>
      </c>
      <c r="AX184" s="55" t="str">
        <f aca="false">IF(AND('Choix pédagogiques'!$C$4&lt;&gt;"?",'Choix pédagogiques'!$C$5&lt;&gt;"?",AC184&lt;&gt;""),(AC184-'Choix pédagogiques'!$C$4)/('Choix pédagogiques'!$C$5-'Choix pédagogiques'!$C$4),"")</f>
        <v/>
      </c>
      <c r="AY184" s="55" t="str">
        <f aca="false">IF(AND('Choix pédagogiques'!$C$4&lt;&gt;"?",'Choix pédagogiques'!$C$5&lt;&gt;"?",AD184&lt;&gt;""),(AD184-'Choix pédagogiques'!$C$4)/('Choix pédagogiques'!$C$5-'Choix pédagogiques'!$C$4),"")</f>
        <v/>
      </c>
      <c r="AZ184" s="53" t="str">
        <f aca="false">IF($J184&lt;&gt;"",$J184,"")</f>
        <v/>
      </c>
      <c r="BA184" s="52" t="str">
        <f aca="false">IF($A184&lt;&gt;"",$A184,"")</f>
        <v>Apprenant 172</v>
      </c>
      <c r="BB184" s="55" t="str">
        <f aca="false">IF(AND($AR184&lt;&gt;"",$AS184&lt;&gt;""),$AS184-$AR184,"")</f>
        <v/>
      </c>
      <c r="BC184" s="55" t="str">
        <f aca="false">IF(AND($AR184&lt;&gt;"",$AT184&lt;&gt;""),$AT184-$AR184,"")</f>
        <v/>
      </c>
      <c r="BD184" s="55" t="str">
        <f aca="false">IF(AND($AS184&lt;&gt;"",$AT184&lt;&gt;""),$AT184-$AS184,"")</f>
        <v/>
      </c>
      <c r="BE184" s="53" t="str">
        <f aca="false">IF($E184&lt;&gt;"",$E184,"")</f>
        <v/>
      </c>
      <c r="BF184" s="52" t="str">
        <f aca="false">IF($F184&lt;&gt;"",$F184,"")</f>
        <v>Apprenant 172 ou 172'</v>
      </c>
      <c r="BG184" s="55" t="str">
        <f aca="false">IF(AND($AW184&lt;&gt;"",$AX184&lt;&gt;""),$AX184-$AW184,"")</f>
        <v/>
      </c>
      <c r="BH184" s="55" t="str">
        <f aca="false">IF(AND($AW184&lt;&gt;"",$AY184&lt;&gt;""),$AY184-$AW184,"")</f>
        <v/>
      </c>
      <c r="BI184" s="55" t="str">
        <f aca="false">IF(AND($AX184&lt;&gt;"",$AY184&lt;&gt;""),$AY184-$AX184,"")</f>
        <v/>
      </c>
      <c r="BJ184" s="53" t="str">
        <f aca="false">IF($J184&lt;&gt;"",$J184,"")</f>
        <v/>
      </c>
      <c r="BL184" s="52"/>
      <c r="BM184" s="52" t="str">
        <f aca="false">IF(OR(COUNT(B184:D1183)=0,AND('Choix pédagogiques'!$C$3&lt;&gt;1,'Choix pédagogiques'!$C$3&lt;&gt;2)),"",IF(AND(OR('Choix pédagogiques'!$C$3=1,'Choix pédagogiques'!$C$3=2),$B184&lt;&gt;"",$C184&lt;&gt;"",$D184&lt;&gt;""),1,0))</f>
        <v/>
      </c>
      <c r="BN184" s="52" t="str">
        <f aca="false">IF(OR(COUNT(G184:I1183)=0,AND('Choix pédagogiques'!$C$3&lt;&gt;1,'Choix pédagogiques'!$C$3&lt;&gt;2)),"",IF(AND(OR('Choix pédagogiques'!$C$3=1,'Choix pédagogiques'!$C$3=2),AND($G184&lt;&gt;"",$H184&lt;&gt;"",$I184&lt;&gt;"")),1,0))</f>
        <v/>
      </c>
      <c r="BO184" s="52" t="str">
        <f aca="false">IF(OR(COUNT(B184:D1183)=0,COUNT(G184:I1183)=0,'Choix pédagogiques'!C$3&lt;&gt;3),"",IF(AND('Choix pédagogiques'!$C$3=3,$B184&lt;&gt;"",$C184&lt;&gt;"",$D184&lt;&gt;"",$G184&lt;&gt;"",$H184&lt;&gt;"",$I184&lt;&gt;""),1,0))</f>
        <v/>
      </c>
      <c r="BR184" s="52" t="n">
        <v>16</v>
      </c>
      <c r="BS184" s="52" t="n">
        <v>1737</v>
      </c>
    </row>
    <row r="185" s="54" customFormat="true" ht="18" hidden="false" customHeight="true" outlineLevel="0" collapsed="false">
      <c r="A185" s="57" t="s">
        <v>301</v>
      </c>
      <c r="B185" s="51"/>
      <c r="C185" s="51"/>
      <c r="D185" s="51"/>
      <c r="E185" s="51"/>
      <c r="F185" s="57" t="s">
        <v>302</v>
      </c>
      <c r="G185" s="51"/>
      <c r="H185" s="51"/>
      <c r="I185" s="51"/>
      <c r="J185" s="51"/>
      <c r="K185" s="52" t="str">
        <f aca="false">IF($A185&lt;&gt;"",$A185,"")</f>
        <v>Apprenant 173</v>
      </c>
      <c r="L185" s="53" t="str">
        <f aca="false">IF(AND($B185&lt;&gt;"",$C185&lt;&gt;""),$C185-$B185,"")</f>
        <v/>
      </c>
      <c r="M185" s="53" t="str">
        <f aca="false">IF(AND($B185&lt;&gt;"",$D185&lt;&gt;""),$D185-$B185,"")</f>
        <v/>
      </c>
      <c r="N185" s="53" t="str">
        <f aca="false">IF(AND($C185&lt;&gt;"",$D185&lt;&gt;""),$D185-$C185,"")</f>
        <v/>
      </c>
      <c r="O185" s="53" t="str">
        <f aca="false">IF($E185&lt;&gt;"",$E185,"")</f>
        <v/>
      </c>
      <c r="P185" s="52" t="str">
        <f aca="false">IF($F185&lt;&gt;"",$F185,"")</f>
        <v>Apprenant 173 ou 173'</v>
      </c>
      <c r="Q185" s="53" t="str">
        <f aca="false">IF(AND($G185&lt;&gt;"",$H185&lt;&gt;""),$H185-$G185,"")</f>
        <v/>
      </c>
      <c r="R185" s="53" t="str">
        <f aca="false">IF(AND($G185&lt;&gt;"",$I185&lt;&gt;""),$I185-$G185,"")</f>
        <v/>
      </c>
      <c r="S185" s="53" t="str">
        <f aca="false">IF(AND($H185&lt;&gt;"",$I185&lt;&gt;""),$I185-$H185,"")</f>
        <v/>
      </c>
      <c r="T185" s="53" t="str">
        <f aca="false">IF($J185&lt;&gt;"",$J185,"")</f>
        <v/>
      </c>
      <c r="V185" s="52" t="str">
        <f aca="false">IF($A185&lt;&gt;"",$A185,"")</f>
        <v>Apprenant 173</v>
      </c>
      <c r="W185" s="53" t="str">
        <f aca="false">IF(AND(OR('Choix pédagogiques'!$C$3=1,'Choix pédagogiques'!$C$3=2),$BM185=1),B185,IF(AND('Choix pédagogiques'!$C$3=3,$BO185=1),B185,""))</f>
        <v/>
      </c>
      <c r="X185" s="53" t="str">
        <f aca="false">IF(AND(OR('Choix pédagogiques'!$C$3=1,'Choix pédagogiques'!$C$3=2),$BM185=1),C185,IF(AND('Choix pédagogiques'!$C$3=3,$BO185=1),C185,""))</f>
        <v/>
      </c>
      <c r="Y185" s="53" t="str">
        <f aca="false">IF(AND(OR('Choix pédagogiques'!$C$3=1,'Choix pédagogiques'!$C$3=2),$BM185=1),D185,IF(AND('Choix pédagogiques'!$C$3=3,$BO185=1),D185,""))</f>
        <v/>
      </c>
      <c r="Z185" s="53" t="str">
        <f aca="false">IF($E185&lt;&gt;"",$E185,"")</f>
        <v/>
      </c>
      <c r="AA185" s="52" t="str">
        <f aca="false">IF($F185&lt;&gt;"",$F185,"")</f>
        <v>Apprenant 173 ou 173'</v>
      </c>
      <c r="AB185" s="53" t="str">
        <f aca="false">IF(AND(OR('Choix pédagogiques'!$C$3=1,'Choix pédagogiques'!$C$3=2),$BN185=1),G185,IF(AND('Choix pédagogiques'!$C$3=3,$BO185=1),G185,""))</f>
        <v/>
      </c>
      <c r="AC185" s="53" t="str">
        <f aca="false">IF(AND(OR('Choix pédagogiques'!$C$3=1,'Choix pédagogiques'!$C$3=2),$BN185=1),H185,IF(AND('Choix pédagogiques'!$C$3=3,$BO185=1),H185,""))</f>
        <v/>
      </c>
      <c r="AD185" s="53" t="str">
        <f aca="false">IF(AND(OR('Choix pédagogiques'!$C$3=1,'Choix pédagogiques'!$C$3=2),$BN185=1),I185,IF(AND('Choix pédagogiques'!$C$3=3,$BO185=1),I185,""))</f>
        <v/>
      </c>
      <c r="AE185" s="53" t="str">
        <f aca="false">IF($J185&lt;&gt;"",$J185,"")</f>
        <v/>
      </c>
      <c r="AF185" s="52" t="str">
        <f aca="false">IF($A185&lt;&gt;"",$A185,"")</f>
        <v>Apprenant 173</v>
      </c>
      <c r="AG185" s="53" t="str">
        <f aca="false">IF(AND($W185&lt;&gt;"",$X185&lt;&gt;""),$X185-$W185,"")</f>
        <v/>
      </c>
      <c r="AH185" s="53" t="str">
        <f aca="false">IF(AND($W185&lt;&gt;"",$Y185&lt;&gt;""),$Y185-$W185,"")</f>
        <v/>
      </c>
      <c r="AI185" s="53" t="str">
        <f aca="false">IF(AND($X185&lt;&gt;"",$Y185&lt;&gt;""),$Y185-$X185,"")</f>
        <v/>
      </c>
      <c r="AJ185" s="53" t="str">
        <f aca="false">IF($E185&lt;&gt;"",$E185,"")</f>
        <v/>
      </c>
      <c r="AK185" s="52" t="str">
        <f aca="false">IF($F185&lt;&gt;"",$F185,"")</f>
        <v>Apprenant 173 ou 173'</v>
      </c>
      <c r="AL185" s="53" t="str">
        <f aca="false">IF(AND($AB185&lt;&gt;"",$AC185&lt;&gt;""),$AC185-$AB185,"")</f>
        <v/>
      </c>
      <c r="AM185" s="53" t="str">
        <f aca="false">IF(AND($AB185&lt;&gt;"",$AD185&lt;&gt;""),$AD185-$AB185,"")</f>
        <v/>
      </c>
      <c r="AN185" s="53" t="str">
        <f aca="false">IF(AND($AC185&lt;&gt;"",$AD185&lt;&gt;""),$AD185-$AC185,"")</f>
        <v/>
      </c>
      <c r="AO185" s="53" t="str">
        <f aca="false">IF($J185&lt;&gt;"",$J185,"")</f>
        <v/>
      </c>
      <c r="AQ185" s="52" t="str">
        <f aca="false">IF($A185&lt;&gt;"",$A185,"")</f>
        <v>Apprenant 173</v>
      </c>
      <c r="AR185" s="55" t="str">
        <f aca="false">IF(AND('Choix pédagogiques'!$C$4&lt;&gt;"?",'Choix pédagogiques'!$C$5&lt;&gt;"?",W185&lt;&gt;""),(W185-'Choix pédagogiques'!$C$4)/('Choix pédagogiques'!$C$5-'Choix pédagogiques'!$C$4),"")</f>
        <v/>
      </c>
      <c r="AS185" s="55" t="str">
        <f aca="false">IF(AND('Choix pédagogiques'!$C$4&lt;&gt;"?",'Choix pédagogiques'!$C$5&lt;&gt;"?",X185&lt;&gt;""),(X185-'Choix pédagogiques'!$C$4)/('Choix pédagogiques'!$C$5-'Choix pédagogiques'!$C$4),"")</f>
        <v/>
      </c>
      <c r="AT185" s="55" t="str">
        <f aca="false">IF(AND('Choix pédagogiques'!$C$4&lt;&gt;"?",'Choix pédagogiques'!$C$5&lt;&gt;"?",Y185&lt;&gt;""),(Y185-'Choix pédagogiques'!$C$4)/('Choix pédagogiques'!$C$5-'Choix pédagogiques'!$C$4),"")</f>
        <v/>
      </c>
      <c r="AU185" s="53" t="str">
        <f aca="false">IF($E185&lt;&gt;"",$E185,"")</f>
        <v/>
      </c>
      <c r="AV185" s="52" t="str">
        <f aca="false">IF($F185&lt;&gt;"",$F185,"")</f>
        <v>Apprenant 173 ou 173'</v>
      </c>
      <c r="AW185" s="55" t="str">
        <f aca="false">IF(AND('Choix pédagogiques'!$C$4&lt;&gt;"?",'Choix pédagogiques'!$C$5&lt;&gt;"?",AB185&lt;&gt;""),(AB185-'Choix pédagogiques'!$C$4)/('Choix pédagogiques'!$C$5-'Choix pédagogiques'!$C$4),"")</f>
        <v/>
      </c>
      <c r="AX185" s="55" t="str">
        <f aca="false">IF(AND('Choix pédagogiques'!$C$4&lt;&gt;"?",'Choix pédagogiques'!$C$5&lt;&gt;"?",AC185&lt;&gt;""),(AC185-'Choix pédagogiques'!$C$4)/('Choix pédagogiques'!$C$5-'Choix pédagogiques'!$C$4),"")</f>
        <v/>
      </c>
      <c r="AY185" s="55" t="str">
        <f aca="false">IF(AND('Choix pédagogiques'!$C$4&lt;&gt;"?",'Choix pédagogiques'!$C$5&lt;&gt;"?",AD185&lt;&gt;""),(AD185-'Choix pédagogiques'!$C$4)/('Choix pédagogiques'!$C$5-'Choix pédagogiques'!$C$4),"")</f>
        <v/>
      </c>
      <c r="AZ185" s="53" t="str">
        <f aca="false">IF($J185&lt;&gt;"",$J185,"")</f>
        <v/>
      </c>
      <c r="BA185" s="52" t="str">
        <f aca="false">IF($A185&lt;&gt;"",$A185,"")</f>
        <v>Apprenant 173</v>
      </c>
      <c r="BB185" s="55" t="str">
        <f aca="false">IF(AND($AR185&lt;&gt;"",$AS185&lt;&gt;""),$AS185-$AR185,"")</f>
        <v/>
      </c>
      <c r="BC185" s="55" t="str">
        <f aca="false">IF(AND($AR185&lt;&gt;"",$AT185&lt;&gt;""),$AT185-$AR185,"")</f>
        <v/>
      </c>
      <c r="BD185" s="55" t="str">
        <f aca="false">IF(AND($AS185&lt;&gt;"",$AT185&lt;&gt;""),$AT185-$AS185,"")</f>
        <v/>
      </c>
      <c r="BE185" s="53" t="str">
        <f aca="false">IF($E185&lt;&gt;"",$E185,"")</f>
        <v/>
      </c>
      <c r="BF185" s="52" t="str">
        <f aca="false">IF($F185&lt;&gt;"",$F185,"")</f>
        <v>Apprenant 173 ou 173'</v>
      </c>
      <c r="BG185" s="55" t="str">
        <f aca="false">IF(AND($AW185&lt;&gt;"",$AX185&lt;&gt;""),$AX185-$AW185,"")</f>
        <v/>
      </c>
      <c r="BH185" s="55" t="str">
        <f aca="false">IF(AND($AW185&lt;&gt;"",$AY185&lt;&gt;""),$AY185-$AW185,"")</f>
        <v/>
      </c>
      <c r="BI185" s="55" t="str">
        <f aca="false">IF(AND($AX185&lt;&gt;"",$AY185&lt;&gt;""),$AY185-$AX185,"")</f>
        <v/>
      </c>
      <c r="BJ185" s="53" t="str">
        <f aca="false">IF($J185&lt;&gt;"",$J185,"")</f>
        <v/>
      </c>
      <c r="BL185" s="52"/>
      <c r="BM185" s="52" t="str">
        <f aca="false">IF(OR(COUNT(B185:D1184)=0,AND('Choix pédagogiques'!$C$3&lt;&gt;1,'Choix pédagogiques'!$C$3&lt;&gt;2)),"",IF(AND(OR('Choix pédagogiques'!$C$3=1,'Choix pédagogiques'!$C$3=2),$B185&lt;&gt;"",$C185&lt;&gt;"",$D185&lt;&gt;""),1,0))</f>
        <v/>
      </c>
      <c r="BN185" s="52" t="str">
        <f aca="false">IF(OR(COUNT(G185:I1184)=0,AND('Choix pédagogiques'!$C$3&lt;&gt;1,'Choix pédagogiques'!$C$3&lt;&gt;2)),"",IF(AND(OR('Choix pédagogiques'!$C$3=1,'Choix pédagogiques'!$C$3=2),AND($G185&lt;&gt;"",$H185&lt;&gt;"",$I185&lt;&gt;"")),1,0))</f>
        <v/>
      </c>
      <c r="BO185" s="52" t="str">
        <f aca="false">IF(OR(COUNT(B185:D1184)=0,COUNT(G185:I1184)=0,'Choix pédagogiques'!C$3&lt;&gt;3),"",IF(AND('Choix pédagogiques'!$C$3=3,$B185&lt;&gt;"",$C185&lt;&gt;"",$D185&lt;&gt;"",$G185&lt;&gt;"",$H185&lt;&gt;"",$I185&lt;&gt;""),1,0))</f>
        <v/>
      </c>
      <c r="BR185" s="52" t="n">
        <v>189</v>
      </c>
      <c r="BS185" s="52" t="n">
        <v>1974</v>
      </c>
    </row>
    <row r="186" s="54" customFormat="true" ht="18" hidden="false" customHeight="true" outlineLevel="0" collapsed="false">
      <c r="A186" s="57" t="s">
        <v>303</v>
      </c>
      <c r="B186" s="51"/>
      <c r="C186" s="51"/>
      <c r="D186" s="51"/>
      <c r="E186" s="51"/>
      <c r="F186" s="57" t="s">
        <v>304</v>
      </c>
      <c r="G186" s="51"/>
      <c r="H186" s="51"/>
      <c r="I186" s="51"/>
      <c r="J186" s="51"/>
      <c r="K186" s="52" t="str">
        <f aca="false">IF($A186&lt;&gt;"",$A186,"")</f>
        <v>Apprenant 174</v>
      </c>
      <c r="L186" s="53" t="str">
        <f aca="false">IF(AND($B186&lt;&gt;"",$C186&lt;&gt;""),$C186-$B186,"")</f>
        <v/>
      </c>
      <c r="M186" s="53" t="str">
        <f aca="false">IF(AND($B186&lt;&gt;"",$D186&lt;&gt;""),$D186-$B186,"")</f>
        <v/>
      </c>
      <c r="N186" s="53" t="str">
        <f aca="false">IF(AND($C186&lt;&gt;"",$D186&lt;&gt;""),$D186-$C186,"")</f>
        <v/>
      </c>
      <c r="O186" s="53" t="str">
        <f aca="false">IF($E186&lt;&gt;"",$E186,"")</f>
        <v/>
      </c>
      <c r="P186" s="52" t="str">
        <f aca="false">IF($F186&lt;&gt;"",$F186,"")</f>
        <v>Apprenant 174 ou 174'</v>
      </c>
      <c r="Q186" s="53" t="str">
        <f aca="false">IF(AND($G186&lt;&gt;"",$H186&lt;&gt;""),$H186-$G186,"")</f>
        <v/>
      </c>
      <c r="R186" s="53" t="str">
        <f aca="false">IF(AND($G186&lt;&gt;"",$I186&lt;&gt;""),$I186-$G186,"")</f>
        <v/>
      </c>
      <c r="S186" s="53" t="str">
        <f aca="false">IF(AND($H186&lt;&gt;"",$I186&lt;&gt;""),$I186-$H186,"")</f>
        <v/>
      </c>
      <c r="T186" s="53" t="str">
        <f aca="false">IF($J186&lt;&gt;"",$J186,"")</f>
        <v/>
      </c>
      <c r="V186" s="52" t="str">
        <f aca="false">IF($A186&lt;&gt;"",$A186,"")</f>
        <v>Apprenant 174</v>
      </c>
      <c r="W186" s="53" t="str">
        <f aca="false">IF(AND(OR('Choix pédagogiques'!$C$3=1,'Choix pédagogiques'!$C$3=2),$BM186=1),B186,IF(AND('Choix pédagogiques'!$C$3=3,$BO186=1),B186,""))</f>
        <v/>
      </c>
      <c r="X186" s="53" t="str">
        <f aca="false">IF(AND(OR('Choix pédagogiques'!$C$3=1,'Choix pédagogiques'!$C$3=2),$BM186=1),C186,IF(AND('Choix pédagogiques'!$C$3=3,$BO186=1),C186,""))</f>
        <v/>
      </c>
      <c r="Y186" s="53" t="str">
        <f aca="false">IF(AND(OR('Choix pédagogiques'!$C$3=1,'Choix pédagogiques'!$C$3=2),$BM186=1),D186,IF(AND('Choix pédagogiques'!$C$3=3,$BO186=1),D186,""))</f>
        <v/>
      </c>
      <c r="Z186" s="53" t="str">
        <f aca="false">IF($E186&lt;&gt;"",$E186,"")</f>
        <v/>
      </c>
      <c r="AA186" s="52" t="str">
        <f aca="false">IF($F186&lt;&gt;"",$F186,"")</f>
        <v>Apprenant 174 ou 174'</v>
      </c>
      <c r="AB186" s="53" t="str">
        <f aca="false">IF(AND(OR('Choix pédagogiques'!$C$3=1,'Choix pédagogiques'!$C$3=2),$BN186=1),G186,IF(AND('Choix pédagogiques'!$C$3=3,$BO186=1),G186,""))</f>
        <v/>
      </c>
      <c r="AC186" s="53" t="str">
        <f aca="false">IF(AND(OR('Choix pédagogiques'!$C$3=1,'Choix pédagogiques'!$C$3=2),$BN186=1),H186,IF(AND('Choix pédagogiques'!$C$3=3,$BO186=1),H186,""))</f>
        <v/>
      </c>
      <c r="AD186" s="53" t="str">
        <f aca="false">IF(AND(OR('Choix pédagogiques'!$C$3=1,'Choix pédagogiques'!$C$3=2),$BN186=1),I186,IF(AND('Choix pédagogiques'!$C$3=3,$BO186=1),I186,""))</f>
        <v/>
      </c>
      <c r="AE186" s="53" t="str">
        <f aca="false">IF($J186&lt;&gt;"",$J186,"")</f>
        <v/>
      </c>
      <c r="AF186" s="52" t="str">
        <f aca="false">IF($A186&lt;&gt;"",$A186,"")</f>
        <v>Apprenant 174</v>
      </c>
      <c r="AG186" s="53" t="str">
        <f aca="false">IF(AND($W186&lt;&gt;"",$X186&lt;&gt;""),$X186-$W186,"")</f>
        <v/>
      </c>
      <c r="AH186" s="53" t="str">
        <f aca="false">IF(AND($W186&lt;&gt;"",$Y186&lt;&gt;""),$Y186-$W186,"")</f>
        <v/>
      </c>
      <c r="AI186" s="53" t="str">
        <f aca="false">IF(AND($X186&lt;&gt;"",$Y186&lt;&gt;""),$Y186-$X186,"")</f>
        <v/>
      </c>
      <c r="AJ186" s="53" t="str">
        <f aca="false">IF($E186&lt;&gt;"",$E186,"")</f>
        <v/>
      </c>
      <c r="AK186" s="52" t="str">
        <f aca="false">IF($F186&lt;&gt;"",$F186,"")</f>
        <v>Apprenant 174 ou 174'</v>
      </c>
      <c r="AL186" s="53" t="str">
        <f aca="false">IF(AND($AB186&lt;&gt;"",$AC186&lt;&gt;""),$AC186-$AB186,"")</f>
        <v/>
      </c>
      <c r="AM186" s="53" t="str">
        <f aca="false">IF(AND($AB186&lt;&gt;"",$AD186&lt;&gt;""),$AD186-$AB186,"")</f>
        <v/>
      </c>
      <c r="AN186" s="53" t="str">
        <f aca="false">IF(AND($AC186&lt;&gt;"",$AD186&lt;&gt;""),$AD186-$AC186,"")</f>
        <v/>
      </c>
      <c r="AO186" s="53" t="str">
        <f aca="false">IF($J186&lt;&gt;"",$J186,"")</f>
        <v/>
      </c>
      <c r="AQ186" s="52" t="str">
        <f aca="false">IF($A186&lt;&gt;"",$A186,"")</f>
        <v>Apprenant 174</v>
      </c>
      <c r="AR186" s="55" t="str">
        <f aca="false">IF(AND('Choix pédagogiques'!$C$4&lt;&gt;"?",'Choix pédagogiques'!$C$5&lt;&gt;"?",W186&lt;&gt;""),(W186-'Choix pédagogiques'!$C$4)/('Choix pédagogiques'!$C$5-'Choix pédagogiques'!$C$4),"")</f>
        <v/>
      </c>
      <c r="AS186" s="55" t="str">
        <f aca="false">IF(AND('Choix pédagogiques'!$C$4&lt;&gt;"?",'Choix pédagogiques'!$C$5&lt;&gt;"?",X186&lt;&gt;""),(X186-'Choix pédagogiques'!$C$4)/('Choix pédagogiques'!$C$5-'Choix pédagogiques'!$C$4),"")</f>
        <v/>
      </c>
      <c r="AT186" s="55" t="str">
        <f aca="false">IF(AND('Choix pédagogiques'!$C$4&lt;&gt;"?",'Choix pédagogiques'!$C$5&lt;&gt;"?",Y186&lt;&gt;""),(Y186-'Choix pédagogiques'!$C$4)/('Choix pédagogiques'!$C$5-'Choix pédagogiques'!$C$4),"")</f>
        <v/>
      </c>
      <c r="AU186" s="53" t="str">
        <f aca="false">IF($E186&lt;&gt;"",$E186,"")</f>
        <v/>
      </c>
      <c r="AV186" s="52" t="str">
        <f aca="false">IF($F186&lt;&gt;"",$F186,"")</f>
        <v>Apprenant 174 ou 174'</v>
      </c>
      <c r="AW186" s="55" t="str">
        <f aca="false">IF(AND('Choix pédagogiques'!$C$4&lt;&gt;"?",'Choix pédagogiques'!$C$5&lt;&gt;"?",AB186&lt;&gt;""),(AB186-'Choix pédagogiques'!$C$4)/('Choix pédagogiques'!$C$5-'Choix pédagogiques'!$C$4),"")</f>
        <v/>
      </c>
      <c r="AX186" s="55" t="str">
        <f aca="false">IF(AND('Choix pédagogiques'!$C$4&lt;&gt;"?",'Choix pédagogiques'!$C$5&lt;&gt;"?",AC186&lt;&gt;""),(AC186-'Choix pédagogiques'!$C$4)/('Choix pédagogiques'!$C$5-'Choix pédagogiques'!$C$4),"")</f>
        <v/>
      </c>
      <c r="AY186" s="55" t="str">
        <f aca="false">IF(AND('Choix pédagogiques'!$C$4&lt;&gt;"?",'Choix pédagogiques'!$C$5&lt;&gt;"?",AD186&lt;&gt;""),(AD186-'Choix pédagogiques'!$C$4)/('Choix pédagogiques'!$C$5-'Choix pédagogiques'!$C$4),"")</f>
        <v/>
      </c>
      <c r="AZ186" s="53" t="str">
        <f aca="false">IF($J186&lt;&gt;"",$J186,"")</f>
        <v/>
      </c>
      <c r="BA186" s="52" t="str">
        <f aca="false">IF($A186&lt;&gt;"",$A186,"")</f>
        <v>Apprenant 174</v>
      </c>
      <c r="BB186" s="55" t="str">
        <f aca="false">IF(AND($AR186&lt;&gt;"",$AS186&lt;&gt;""),$AS186-$AR186,"")</f>
        <v/>
      </c>
      <c r="BC186" s="55" t="str">
        <f aca="false">IF(AND($AR186&lt;&gt;"",$AT186&lt;&gt;""),$AT186-$AR186,"")</f>
        <v/>
      </c>
      <c r="BD186" s="55" t="str">
        <f aca="false">IF(AND($AS186&lt;&gt;"",$AT186&lt;&gt;""),$AT186-$AS186,"")</f>
        <v/>
      </c>
      <c r="BE186" s="53" t="str">
        <f aca="false">IF($E186&lt;&gt;"",$E186,"")</f>
        <v/>
      </c>
      <c r="BF186" s="52" t="str">
        <f aca="false">IF($F186&lt;&gt;"",$F186,"")</f>
        <v>Apprenant 174 ou 174'</v>
      </c>
      <c r="BG186" s="55" t="str">
        <f aca="false">IF(AND($AW186&lt;&gt;"",$AX186&lt;&gt;""),$AX186-$AW186,"")</f>
        <v/>
      </c>
      <c r="BH186" s="55" t="str">
        <f aca="false">IF(AND($AW186&lt;&gt;"",$AY186&lt;&gt;""),$AY186-$AW186,"")</f>
        <v/>
      </c>
      <c r="BI186" s="55" t="str">
        <f aca="false">IF(AND($AX186&lt;&gt;"",$AY186&lt;&gt;""),$AY186-$AX186,"")</f>
        <v/>
      </c>
      <c r="BJ186" s="53" t="str">
        <f aca="false">IF($J186&lt;&gt;"",$J186,"")</f>
        <v/>
      </c>
      <c r="BL186" s="52"/>
      <c r="BM186" s="52" t="str">
        <f aca="false">IF(OR(COUNT(B186:D1185)=0,AND('Choix pédagogiques'!$C$3&lt;&gt;1,'Choix pédagogiques'!$C$3&lt;&gt;2)),"",IF(AND(OR('Choix pédagogiques'!$C$3=1,'Choix pédagogiques'!$C$3=2),$B186&lt;&gt;"",$C186&lt;&gt;"",$D186&lt;&gt;""),1,0))</f>
        <v/>
      </c>
      <c r="BN186" s="52" t="str">
        <f aca="false">IF(OR(COUNT(G186:I1185)=0,AND('Choix pédagogiques'!$C$3&lt;&gt;1,'Choix pédagogiques'!$C$3&lt;&gt;2)),"",IF(AND(OR('Choix pédagogiques'!$C$3=1,'Choix pédagogiques'!$C$3=2),AND($G186&lt;&gt;"",$H186&lt;&gt;"",$I186&lt;&gt;"")),1,0))</f>
        <v/>
      </c>
      <c r="BO186" s="52" t="str">
        <f aca="false">IF(OR(COUNT(B186:D1185)=0,COUNT(G186:I1185)=0,'Choix pédagogiques'!C$3&lt;&gt;3),"",IF(AND('Choix pédagogiques'!$C$3=3,$B186&lt;&gt;"",$C186&lt;&gt;"",$D186&lt;&gt;"",$G186&lt;&gt;"",$H186&lt;&gt;"",$I186&lt;&gt;""),1,0))</f>
        <v/>
      </c>
      <c r="BR186" s="52" t="n">
        <v>183</v>
      </c>
      <c r="BS186" s="52" t="n">
        <v>1007</v>
      </c>
    </row>
    <row r="187" s="54" customFormat="true" ht="18" hidden="false" customHeight="true" outlineLevel="0" collapsed="false">
      <c r="A187" s="57" t="s">
        <v>305</v>
      </c>
      <c r="B187" s="51"/>
      <c r="C187" s="51"/>
      <c r="D187" s="51"/>
      <c r="E187" s="51"/>
      <c r="F187" s="57" t="s">
        <v>306</v>
      </c>
      <c r="G187" s="51"/>
      <c r="H187" s="51"/>
      <c r="I187" s="51"/>
      <c r="J187" s="51"/>
      <c r="K187" s="52" t="str">
        <f aca="false">IF($A187&lt;&gt;"",$A187,"")</f>
        <v>Apprenant 175</v>
      </c>
      <c r="L187" s="53" t="str">
        <f aca="false">IF(AND($B187&lt;&gt;"",$C187&lt;&gt;""),$C187-$B187,"")</f>
        <v/>
      </c>
      <c r="M187" s="53" t="str">
        <f aca="false">IF(AND($B187&lt;&gt;"",$D187&lt;&gt;""),$D187-$B187,"")</f>
        <v/>
      </c>
      <c r="N187" s="53" t="str">
        <f aca="false">IF(AND($C187&lt;&gt;"",$D187&lt;&gt;""),$D187-$C187,"")</f>
        <v/>
      </c>
      <c r="O187" s="53" t="str">
        <f aca="false">IF($E187&lt;&gt;"",$E187,"")</f>
        <v/>
      </c>
      <c r="P187" s="52" t="str">
        <f aca="false">IF($F187&lt;&gt;"",$F187,"")</f>
        <v>Apprenant 175 ou 175'</v>
      </c>
      <c r="Q187" s="53" t="str">
        <f aca="false">IF(AND($G187&lt;&gt;"",$H187&lt;&gt;""),$H187-$G187,"")</f>
        <v/>
      </c>
      <c r="R187" s="53" t="str">
        <f aca="false">IF(AND($G187&lt;&gt;"",$I187&lt;&gt;""),$I187-$G187,"")</f>
        <v/>
      </c>
      <c r="S187" s="53" t="str">
        <f aca="false">IF(AND($H187&lt;&gt;"",$I187&lt;&gt;""),$I187-$H187,"")</f>
        <v/>
      </c>
      <c r="T187" s="53" t="str">
        <f aca="false">IF($J187&lt;&gt;"",$J187,"")</f>
        <v/>
      </c>
      <c r="V187" s="52" t="str">
        <f aca="false">IF($A187&lt;&gt;"",$A187,"")</f>
        <v>Apprenant 175</v>
      </c>
      <c r="W187" s="53" t="str">
        <f aca="false">IF(AND(OR('Choix pédagogiques'!$C$3=1,'Choix pédagogiques'!$C$3=2),$BM187=1),B187,IF(AND('Choix pédagogiques'!$C$3=3,$BO187=1),B187,""))</f>
        <v/>
      </c>
      <c r="X187" s="53" t="str">
        <f aca="false">IF(AND(OR('Choix pédagogiques'!$C$3=1,'Choix pédagogiques'!$C$3=2),$BM187=1),C187,IF(AND('Choix pédagogiques'!$C$3=3,$BO187=1),C187,""))</f>
        <v/>
      </c>
      <c r="Y187" s="53" t="str">
        <f aca="false">IF(AND(OR('Choix pédagogiques'!$C$3=1,'Choix pédagogiques'!$C$3=2),$BM187=1),D187,IF(AND('Choix pédagogiques'!$C$3=3,$BO187=1),D187,""))</f>
        <v/>
      </c>
      <c r="Z187" s="53" t="str">
        <f aca="false">IF($E187&lt;&gt;"",$E187,"")</f>
        <v/>
      </c>
      <c r="AA187" s="52" t="str">
        <f aca="false">IF($F187&lt;&gt;"",$F187,"")</f>
        <v>Apprenant 175 ou 175'</v>
      </c>
      <c r="AB187" s="53" t="str">
        <f aca="false">IF(AND(OR('Choix pédagogiques'!$C$3=1,'Choix pédagogiques'!$C$3=2),$BN187=1),G187,IF(AND('Choix pédagogiques'!$C$3=3,$BO187=1),G187,""))</f>
        <v/>
      </c>
      <c r="AC187" s="53" t="str">
        <f aca="false">IF(AND(OR('Choix pédagogiques'!$C$3=1,'Choix pédagogiques'!$C$3=2),$BN187=1),H187,IF(AND('Choix pédagogiques'!$C$3=3,$BO187=1),H187,""))</f>
        <v/>
      </c>
      <c r="AD187" s="53" t="str">
        <f aca="false">IF(AND(OR('Choix pédagogiques'!$C$3=1,'Choix pédagogiques'!$C$3=2),$BN187=1),I187,IF(AND('Choix pédagogiques'!$C$3=3,$BO187=1),I187,""))</f>
        <v/>
      </c>
      <c r="AE187" s="53" t="str">
        <f aca="false">IF($J187&lt;&gt;"",$J187,"")</f>
        <v/>
      </c>
      <c r="AF187" s="52" t="str">
        <f aca="false">IF($A187&lt;&gt;"",$A187,"")</f>
        <v>Apprenant 175</v>
      </c>
      <c r="AG187" s="53" t="str">
        <f aca="false">IF(AND($W187&lt;&gt;"",$X187&lt;&gt;""),$X187-$W187,"")</f>
        <v/>
      </c>
      <c r="AH187" s="53" t="str">
        <f aca="false">IF(AND($W187&lt;&gt;"",$Y187&lt;&gt;""),$Y187-$W187,"")</f>
        <v/>
      </c>
      <c r="AI187" s="53" t="str">
        <f aca="false">IF(AND($X187&lt;&gt;"",$Y187&lt;&gt;""),$Y187-$X187,"")</f>
        <v/>
      </c>
      <c r="AJ187" s="53" t="str">
        <f aca="false">IF($E187&lt;&gt;"",$E187,"")</f>
        <v/>
      </c>
      <c r="AK187" s="52" t="str">
        <f aca="false">IF($F187&lt;&gt;"",$F187,"")</f>
        <v>Apprenant 175 ou 175'</v>
      </c>
      <c r="AL187" s="53" t="str">
        <f aca="false">IF(AND($AB187&lt;&gt;"",$AC187&lt;&gt;""),$AC187-$AB187,"")</f>
        <v/>
      </c>
      <c r="AM187" s="53" t="str">
        <f aca="false">IF(AND($AB187&lt;&gt;"",$AD187&lt;&gt;""),$AD187-$AB187,"")</f>
        <v/>
      </c>
      <c r="AN187" s="53" t="str">
        <f aca="false">IF(AND($AC187&lt;&gt;"",$AD187&lt;&gt;""),$AD187-$AC187,"")</f>
        <v/>
      </c>
      <c r="AO187" s="53" t="str">
        <f aca="false">IF($J187&lt;&gt;"",$J187,"")</f>
        <v/>
      </c>
      <c r="AQ187" s="52" t="str">
        <f aca="false">IF($A187&lt;&gt;"",$A187,"")</f>
        <v>Apprenant 175</v>
      </c>
      <c r="AR187" s="55" t="str">
        <f aca="false">IF(AND('Choix pédagogiques'!$C$4&lt;&gt;"?",'Choix pédagogiques'!$C$5&lt;&gt;"?",W187&lt;&gt;""),(W187-'Choix pédagogiques'!$C$4)/('Choix pédagogiques'!$C$5-'Choix pédagogiques'!$C$4),"")</f>
        <v/>
      </c>
      <c r="AS187" s="55" t="str">
        <f aca="false">IF(AND('Choix pédagogiques'!$C$4&lt;&gt;"?",'Choix pédagogiques'!$C$5&lt;&gt;"?",X187&lt;&gt;""),(X187-'Choix pédagogiques'!$C$4)/('Choix pédagogiques'!$C$5-'Choix pédagogiques'!$C$4),"")</f>
        <v/>
      </c>
      <c r="AT187" s="55" t="str">
        <f aca="false">IF(AND('Choix pédagogiques'!$C$4&lt;&gt;"?",'Choix pédagogiques'!$C$5&lt;&gt;"?",Y187&lt;&gt;""),(Y187-'Choix pédagogiques'!$C$4)/('Choix pédagogiques'!$C$5-'Choix pédagogiques'!$C$4),"")</f>
        <v/>
      </c>
      <c r="AU187" s="53" t="str">
        <f aca="false">IF($E187&lt;&gt;"",$E187,"")</f>
        <v/>
      </c>
      <c r="AV187" s="52" t="str">
        <f aca="false">IF($F187&lt;&gt;"",$F187,"")</f>
        <v>Apprenant 175 ou 175'</v>
      </c>
      <c r="AW187" s="55" t="str">
        <f aca="false">IF(AND('Choix pédagogiques'!$C$4&lt;&gt;"?",'Choix pédagogiques'!$C$5&lt;&gt;"?",AB187&lt;&gt;""),(AB187-'Choix pédagogiques'!$C$4)/('Choix pédagogiques'!$C$5-'Choix pédagogiques'!$C$4),"")</f>
        <v/>
      </c>
      <c r="AX187" s="55" t="str">
        <f aca="false">IF(AND('Choix pédagogiques'!$C$4&lt;&gt;"?",'Choix pédagogiques'!$C$5&lt;&gt;"?",AC187&lt;&gt;""),(AC187-'Choix pédagogiques'!$C$4)/('Choix pédagogiques'!$C$5-'Choix pédagogiques'!$C$4),"")</f>
        <v/>
      </c>
      <c r="AY187" s="55" t="str">
        <f aca="false">IF(AND('Choix pédagogiques'!$C$4&lt;&gt;"?",'Choix pédagogiques'!$C$5&lt;&gt;"?",AD187&lt;&gt;""),(AD187-'Choix pédagogiques'!$C$4)/('Choix pédagogiques'!$C$5-'Choix pédagogiques'!$C$4),"")</f>
        <v/>
      </c>
      <c r="AZ187" s="53" t="str">
        <f aca="false">IF($J187&lt;&gt;"",$J187,"")</f>
        <v/>
      </c>
      <c r="BA187" s="52" t="str">
        <f aca="false">IF($A187&lt;&gt;"",$A187,"")</f>
        <v>Apprenant 175</v>
      </c>
      <c r="BB187" s="55" t="str">
        <f aca="false">IF(AND($AR187&lt;&gt;"",$AS187&lt;&gt;""),$AS187-$AR187,"")</f>
        <v/>
      </c>
      <c r="BC187" s="55" t="str">
        <f aca="false">IF(AND($AR187&lt;&gt;"",$AT187&lt;&gt;""),$AT187-$AR187,"")</f>
        <v/>
      </c>
      <c r="BD187" s="55" t="str">
        <f aca="false">IF(AND($AS187&lt;&gt;"",$AT187&lt;&gt;""),$AT187-$AS187,"")</f>
        <v/>
      </c>
      <c r="BE187" s="53" t="str">
        <f aca="false">IF($E187&lt;&gt;"",$E187,"")</f>
        <v/>
      </c>
      <c r="BF187" s="52" t="str">
        <f aca="false">IF($F187&lt;&gt;"",$F187,"")</f>
        <v>Apprenant 175 ou 175'</v>
      </c>
      <c r="BG187" s="55" t="str">
        <f aca="false">IF(AND($AW187&lt;&gt;"",$AX187&lt;&gt;""),$AX187-$AW187,"")</f>
        <v/>
      </c>
      <c r="BH187" s="55" t="str">
        <f aca="false">IF(AND($AW187&lt;&gt;"",$AY187&lt;&gt;""),$AY187-$AW187,"")</f>
        <v/>
      </c>
      <c r="BI187" s="55" t="str">
        <f aca="false">IF(AND($AX187&lt;&gt;"",$AY187&lt;&gt;""),$AY187-$AX187,"")</f>
        <v/>
      </c>
      <c r="BJ187" s="53" t="str">
        <f aca="false">IF($J187&lt;&gt;"",$J187,"")</f>
        <v/>
      </c>
      <c r="BL187" s="52"/>
      <c r="BM187" s="52" t="str">
        <f aca="false">IF(OR(COUNT(B187:D1186)=0,AND('Choix pédagogiques'!$C$3&lt;&gt;1,'Choix pédagogiques'!$C$3&lt;&gt;2)),"",IF(AND(OR('Choix pédagogiques'!$C$3=1,'Choix pédagogiques'!$C$3=2),$B187&lt;&gt;"",$C187&lt;&gt;"",$D187&lt;&gt;""),1,0))</f>
        <v/>
      </c>
      <c r="BN187" s="52" t="str">
        <f aca="false">IF(OR(COUNT(G187:I1186)=0,AND('Choix pédagogiques'!$C$3&lt;&gt;1,'Choix pédagogiques'!$C$3&lt;&gt;2)),"",IF(AND(OR('Choix pédagogiques'!$C$3=1,'Choix pédagogiques'!$C$3=2),AND($G187&lt;&gt;"",$H187&lt;&gt;"",$I187&lt;&gt;"")),1,0))</f>
        <v/>
      </c>
      <c r="BO187" s="52" t="str">
        <f aca="false">IF(OR(COUNT(B187:D1186)=0,COUNT(G187:I1186)=0,'Choix pédagogiques'!C$3&lt;&gt;3),"",IF(AND('Choix pédagogiques'!$C$3=3,$B187&lt;&gt;"",$C187&lt;&gt;"",$D187&lt;&gt;"",$G187&lt;&gt;"",$H187&lt;&gt;"",$I187&lt;&gt;""),1,0))</f>
        <v/>
      </c>
      <c r="BR187" s="52" t="n">
        <v>969</v>
      </c>
      <c r="BS187" s="52" t="n">
        <v>1938</v>
      </c>
    </row>
    <row r="188" s="54" customFormat="true" ht="18" hidden="false" customHeight="true" outlineLevel="0" collapsed="false">
      <c r="A188" s="57" t="s">
        <v>307</v>
      </c>
      <c r="B188" s="51"/>
      <c r="C188" s="51"/>
      <c r="D188" s="51"/>
      <c r="E188" s="51"/>
      <c r="F188" s="57" t="s">
        <v>308</v>
      </c>
      <c r="G188" s="51"/>
      <c r="H188" s="51"/>
      <c r="I188" s="51"/>
      <c r="J188" s="51"/>
      <c r="K188" s="52" t="str">
        <f aca="false">IF($A188&lt;&gt;"",$A188,"")</f>
        <v>Apprenant 176</v>
      </c>
      <c r="L188" s="53" t="str">
        <f aca="false">IF(AND($B188&lt;&gt;"",$C188&lt;&gt;""),$C188-$B188,"")</f>
        <v/>
      </c>
      <c r="M188" s="53" t="str">
        <f aca="false">IF(AND($B188&lt;&gt;"",$D188&lt;&gt;""),$D188-$B188,"")</f>
        <v/>
      </c>
      <c r="N188" s="53" t="str">
        <f aca="false">IF(AND($C188&lt;&gt;"",$D188&lt;&gt;""),$D188-$C188,"")</f>
        <v/>
      </c>
      <c r="O188" s="53" t="str">
        <f aca="false">IF($E188&lt;&gt;"",$E188,"")</f>
        <v/>
      </c>
      <c r="P188" s="52" t="str">
        <f aca="false">IF($F188&lt;&gt;"",$F188,"")</f>
        <v>Apprenant 176 ou 176'</v>
      </c>
      <c r="Q188" s="53" t="str">
        <f aca="false">IF(AND($G188&lt;&gt;"",$H188&lt;&gt;""),$H188-$G188,"")</f>
        <v/>
      </c>
      <c r="R188" s="53" t="str">
        <f aca="false">IF(AND($G188&lt;&gt;"",$I188&lt;&gt;""),$I188-$G188,"")</f>
        <v/>
      </c>
      <c r="S188" s="53" t="str">
        <f aca="false">IF(AND($H188&lt;&gt;"",$I188&lt;&gt;""),$I188-$H188,"")</f>
        <v/>
      </c>
      <c r="T188" s="53" t="str">
        <f aca="false">IF($J188&lt;&gt;"",$J188,"")</f>
        <v/>
      </c>
      <c r="V188" s="52" t="str">
        <f aca="false">IF($A188&lt;&gt;"",$A188,"")</f>
        <v>Apprenant 176</v>
      </c>
      <c r="W188" s="53" t="str">
        <f aca="false">IF(AND(OR('Choix pédagogiques'!$C$3=1,'Choix pédagogiques'!$C$3=2),$BM188=1),B188,IF(AND('Choix pédagogiques'!$C$3=3,$BO188=1),B188,""))</f>
        <v/>
      </c>
      <c r="X188" s="53" t="str">
        <f aca="false">IF(AND(OR('Choix pédagogiques'!$C$3=1,'Choix pédagogiques'!$C$3=2),$BM188=1),C188,IF(AND('Choix pédagogiques'!$C$3=3,$BO188=1),C188,""))</f>
        <v/>
      </c>
      <c r="Y188" s="53" t="str">
        <f aca="false">IF(AND(OR('Choix pédagogiques'!$C$3=1,'Choix pédagogiques'!$C$3=2),$BM188=1),D188,IF(AND('Choix pédagogiques'!$C$3=3,$BO188=1),D188,""))</f>
        <v/>
      </c>
      <c r="Z188" s="53" t="str">
        <f aca="false">IF($E188&lt;&gt;"",$E188,"")</f>
        <v/>
      </c>
      <c r="AA188" s="52" t="str">
        <f aca="false">IF($F188&lt;&gt;"",$F188,"")</f>
        <v>Apprenant 176 ou 176'</v>
      </c>
      <c r="AB188" s="53" t="str">
        <f aca="false">IF(AND(OR('Choix pédagogiques'!$C$3=1,'Choix pédagogiques'!$C$3=2),$BN188=1),G188,IF(AND('Choix pédagogiques'!$C$3=3,$BO188=1),G188,""))</f>
        <v/>
      </c>
      <c r="AC188" s="53" t="str">
        <f aca="false">IF(AND(OR('Choix pédagogiques'!$C$3=1,'Choix pédagogiques'!$C$3=2),$BN188=1),H188,IF(AND('Choix pédagogiques'!$C$3=3,$BO188=1),H188,""))</f>
        <v/>
      </c>
      <c r="AD188" s="53" t="str">
        <f aca="false">IF(AND(OR('Choix pédagogiques'!$C$3=1,'Choix pédagogiques'!$C$3=2),$BN188=1),I188,IF(AND('Choix pédagogiques'!$C$3=3,$BO188=1),I188,""))</f>
        <v/>
      </c>
      <c r="AE188" s="53" t="str">
        <f aca="false">IF($J188&lt;&gt;"",$J188,"")</f>
        <v/>
      </c>
      <c r="AF188" s="52" t="str">
        <f aca="false">IF($A188&lt;&gt;"",$A188,"")</f>
        <v>Apprenant 176</v>
      </c>
      <c r="AG188" s="53" t="str">
        <f aca="false">IF(AND($W188&lt;&gt;"",$X188&lt;&gt;""),$X188-$W188,"")</f>
        <v/>
      </c>
      <c r="AH188" s="53" t="str">
        <f aca="false">IF(AND($W188&lt;&gt;"",$Y188&lt;&gt;""),$Y188-$W188,"")</f>
        <v/>
      </c>
      <c r="AI188" s="53" t="str">
        <f aca="false">IF(AND($X188&lt;&gt;"",$Y188&lt;&gt;""),$Y188-$X188,"")</f>
        <v/>
      </c>
      <c r="AJ188" s="53" t="str">
        <f aca="false">IF($E188&lt;&gt;"",$E188,"")</f>
        <v/>
      </c>
      <c r="AK188" s="52" t="str">
        <f aca="false">IF($F188&lt;&gt;"",$F188,"")</f>
        <v>Apprenant 176 ou 176'</v>
      </c>
      <c r="AL188" s="53" t="str">
        <f aca="false">IF(AND($AB188&lt;&gt;"",$AC188&lt;&gt;""),$AC188-$AB188,"")</f>
        <v/>
      </c>
      <c r="AM188" s="53" t="str">
        <f aca="false">IF(AND($AB188&lt;&gt;"",$AD188&lt;&gt;""),$AD188-$AB188,"")</f>
        <v/>
      </c>
      <c r="AN188" s="53" t="str">
        <f aca="false">IF(AND($AC188&lt;&gt;"",$AD188&lt;&gt;""),$AD188-$AC188,"")</f>
        <v/>
      </c>
      <c r="AO188" s="53" t="str">
        <f aca="false">IF($J188&lt;&gt;"",$J188,"")</f>
        <v/>
      </c>
      <c r="AQ188" s="52" t="str">
        <f aca="false">IF($A188&lt;&gt;"",$A188,"")</f>
        <v>Apprenant 176</v>
      </c>
      <c r="AR188" s="55" t="str">
        <f aca="false">IF(AND('Choix pédagogiques'!$C$4&lt;&gt;"?",'Choix pédagogiques'!$C$5&lt;&gt;"?",W188&lt;&gt;""),(W188-'Choix pédagogiques'!$C$4)/('Choix pédagogiques'!$C$5-'Choix pédagogiques'!$C$4),"")</f>
        <v/>
      </c>
      <c r="AS188" s="55" t="str">
        <f aca="false">IF(AND('Choix pédagogiques'!$C$4&lt;&gt;"?",'Choix pédagogiques'!$C$5&lt;&gt;"?",X188&lt;&gt;""),(X188-'Choix pédagogiques'!$C$4)/('Choix pédagogiques'!$C$5-'Choix pédagogiques'!$C$4),"")</f>
        <v/>
      </c>
      <c r="AT188" s="55" t="str">
        <f aca="false">IF(AND('Choix pédagogiques'!$C$4&lt;&gt;"?",'Choix pédagogiques'!$C$5&lt;&gt;"?",Y188&lt;&gt;""),(Y188-'Choix pédagogiques'!$C$4)/('Choix pédagogiques'!$C$5-'Choix pédagogiques'!$C$4),"")</f>
        <v/>
      </c>
      <c r="AU188" s="53" t="str">
        <f aca="false">IF($E188&lt;&gt;"",$E188,"")</f>
        <v/>
      </c>
      <c r="AV188" s="52" t="str">
        <f aca="false">IF($F188&lt;&gt;"",$F188,"")</f>
        <v>Apprenant 176 ou 176'</v>
      </c>
      <c r="AW188" s="55" t="str">
        <f aca="false">IF(AND('Choix pédagogiques'!$C$4&lt;&gt;"?",'Choix pédagogiques'!$C$5&lt;&gt;"?",AB188&lt;&gt;""),(AB188-'Choix pédagogiques'!$C$4)/('Choix pédagogiques'!$C$5-'Choix pédagogiques'!$C$4),"")</f>
        <v/>
      </c>
      <c r="AX188" s="55" t="str">
        <f aca="false">IF(AND('Choix pédagogiques'!$C$4&lt;&gt;"?",'Choix pédagogiques'!$C$5&lt;&gt;"?",AC188&lt;&gt;""),(AC188-'Choix pédagogiques'!$C$4)/('Choix pédagogiques'!$C$5-'Choix pédagogiques'!$C$4),"")</f>
        <v/>
      </c>
      <c r="AY188" s="55" t="str">
        <f aca="false">IF(AND('Choix pédagogiques'!$C$4&lt;&gt;"?",'Choix pédagogiques'!$C$5&lt;&gt;"?",AD188&lt;&gt;""),(AD188-'Choix pédagogiques'!$C$4)/('Choix pédagogiques'!$C$5-'Choix pédagogiques'!$C$4),"")</f>
        <v/>
      </c>
      <c r="AZ188" s="53" t="str">
        <f aca="false">IF($J188&lt;&gt;"",$J188,"")</f>
        <v/>
      </c>
      <c r="BA188" s="52" t="str">
        <f aca="false">IF($A188&lt;&gt;"",$A188,"")</f>
        <v>Apprenant 176</v>
      </c>
      <c r="BB188" s="55" t="str">
        <f aca="false">IF(AND($AR188&lt;&gt;"",$AS188&lt;&gt;""),$AS188-$AR188,"")</f>
        <v/>
      </c>
      <c r="BC188" s="55" t="str">
        <f aca="false">IF(AND($AR188&lt;&gt;"",$AT188&lt;&gt;""),$AT188-$AR188,"")</f>
        <v/>
      </c>
      <c r="BD188" s="55" t="str">
        <f aca="false">IF(AND($AS188&lt;&gt;"",$AT188&lt;&gt;""),$AT188-$AS188,"")</f>
        <v/>
      </c>
      <c r="BE188" s="53" t="str">
        <f aca="false">IF($E188&lt;&gt;"",$E188,"")</f>
        <v/>
      </c>
      <c r="BF188" s="52" t="str">
        <f aca="false">IF($F188&lt;&gt;"",$F188,"")</f>
        <v>Apprenant 176 ou 176'</v>
      </c>
      <c r="BG188" s="55" t="str">
        <f aca="false">IF(AND($AW188&lt;&gt;"",$AX188&lt;&gt;""),$AX188-$AW188,"")</f>
        <v/>
      </c>
      <c r="BH188" s="55" t="str">
        <f aca="false">IF(AND($AW188&lt;&gt;"",$AY188&lt;&gt;""),$AY188-$AW188,"")</f>
        <v/>
      </c>
      <c r="BI188" s="55" t="str">
        <f aca="false">IF(AND($AX188&lt;&gt;"",$AY188&lt;&gt;""),$AY188-$AX188,"")</f>
        <v/>
      </c>
      <c r="BJ188" s="53" t="str">
        <f aca="false">IF($J188&lt;&gt;"",$J188,"")</f>
        <v/>
      </c>
      <c r="BL188" s="52"/>
      <c r="BM188" s="52" t="str">
        <f aca="false">IF(OR(COUNT(B188:D1187)=0,AND('Choix pédagogiques'!$C$3&lt;&gt;1,'Choix pédagogiques'!$C$3&lt;&gt;2)),"",IF(AND(OR('Choix pédagogiques'!$C$3=1,'Choix pédagogiques'!$C$3=2),$B188&lt;&gt;"",$C188&lt;&gt;"",$D188&lt;&gt;""),1,0))</f>
        <v/>
      </c>
      <c r="BN188" s="52" t="str">
        <f aca="false">IF(OR(COUNT(G188:I1187)=0,AND('Choix pédagogiques'!$C$3&lt;&gt;1,'Choix pédagogiques'!$C$3&lt;&gt;2)),"",IF(AND(OR('Choix pédagogiques'!$C$3=1,'Choix pédagogiques'!$C$3=2),AND($G188&lt;&gt;"",$H188&lt;&gt;"",$I188&lt;&gt;"")),1,0))</f>
        <v/>
      </c>
      <c r="BO188" s="52" t="str">
        <f aca="false">IF(OR(COUNT(B188:D1187)=0,COUNT(G188:I1187)=0,'Choix pédagogiques'!C$3&lt;&gt;3),"",IF(AND('Choix pédagogiques'!$C$3=3,$B188&lt;&gt;"",$C188&lt;&gt;"",$D188&lt;&gt;"",$G188&lt;&gt;"",$H188&lt;&gt;"",$I188&lt;&gt;""),1,0))</f>
        <v/>
      </c>
      <c r="BR188" s="52" t="n">
        <v>613</v>
      </c>
      <c r="BS188" s="52" t="n">
        <v>1223</v>
      </c>
    </row>
    <row r="189" s="54" customFormat="true" ht="18" hidden="false" customHeight="true" outlineLevel="0" collapsed="false">
      <c r="A189" s="57" t="s">
        <v>309</v>
      </c>
      <c r="B189" s="51"/>
      <c r="C189" s="51"/>
      <c r="D189" s="51"/>
      <c r="E189" s="51"/>
      <c r="F189" s="57" t="s">
        <v>310</v>
      </c>
      <c r="G189" s="51"/>
      <c r="H189" s="51"/>
      <c r="I189" s="51"/>
      <c r="J189" s="51"/>
      <c r="K189" s="52" t="str">
        <f aca="false">IF($A189&lt;&gt;"",$A189,"")</f>
        <v>Apprenant 177</v>
      </c>
      <c r="L189" s="53" t="str">
        <f aca="false">IF(AND($B189&lt;&gt;"",$C189&lt;&gt;""),$C189-$B189,"")</f>
        <v/>
      </c>
      <c r="M189" s="53" t="str">
        <f aca="false">IF(AND($B189&lt;&gt;"",$D189&lt;&gt;""),$D189-$B189,"")</f>
        <v/>
      </c>
      <c r="N189" s="53" t="str">
        <f aca="false">IF(AND($C189&lt;&gt;"",$D189&lt;&gt;""),$D189-$C189,"")</f>
        <v/>
      </c>
      <c r="O189" s="53" t="str">
        <f aca="false">IF($E189&lt;&gt;"",$E189,"")</f>
        <v/>
      </c>
      <c r="P189" s="52" t="str">
        <f aca="false">IF($F189&lt;&gt;"",$F189,"")</f>
        <v>Apprenant 177 ou 177'</v>
      </c>
      <c r="Q189" s="53" t="str">
        <f aca="false">IF(AND($G189&lt;&gt;"",$H189&lt;&gt;""),$H189-$G189,"")</f>
        <v/>
      </c>
      <c r="R189" s="53" t="str">
        <f aca="false">IF(AND($G189&lt;&gt;"",$I189&lt;&gt;""),$I189-$G189,"")</f>
        <v/>
      </c>
      <c r="S189" s="53" t="str">
        <f aca="false">IF(AND($H189&lt;&gt;"",$I189&lt;&gt;""),$I189-$H189,"")</f>
        <v/>
      </c>
      <c r="T189" s="53" t="str">
        <f aca="false">IF($J189&lt;&gt;"",$J189,"")</f>
        <v/>
      </c>
      <c r="V189" s="52" t="str">
        <f aca="false">IF($A189&lt;&gt;"",$A189,"")</f>
        <v>Apprenant 177</v>
      </c>
      <c r="W189" s="53" t="str">
        <f aca="false">IF(AND(OR('Choix pédagogiques'!$C$3=1,'Choix pédagogiques'!$C$3=2),$BM189=1),B189,IF(AND('Choix pédagogiques'!$C$3=3,$BO189=1),B189,""))</f>
        <v/>
      </c>
      <c r="X189" s="53" t="str">
        <f aca="false">IF(AND(OR('Choix pédagogiques'!$C$3=1,'Choix pédagogiques'!$C$3=2),$BM189=1),C189,IF(AND('Choix pédagogiques'!$C$3=3,$BO189=1),C189,""))</f>
        <v/>
      </c>
      <c r="Y189" s="53" t="str">
        <f aca="false">IF(AND(OR('Choix pédagogiques'!$C$3=1,'Choix pédagogiques'!$C$3=2),$BM189=1),D189,IF(AND('Choix pédagogiques'!$C$3=3,$BO189=1),D189,""))</f>
        <v/>
      </c>
      <c r="Z189" s="53" t="str">
        <f aca="false">IF($E189&lt;&gt;"",$E189,"")</f>
        <v/>
      </c>
      <c r="AA189" s="52" t="str">
        <f aca="false">IF($F189&lt;&gt;"",$F189,"")</f>
        <v>Apprenant 177 ou 177'</v>
      </c>
      <c r="AB189" s="53" t="str">
        <f aca="false">IF(AND(OR('Choix pédagogiques'!$C$3=1,'Choix pédagogiques'!$C$3=2),$BN189=1),G189,IF(AND('Choix pédagogiques'!$C$3=3,$BO189=1),G189,""))</f>
        <v/>
      </c>
      <c r="AC189" s="53" t="str">
        <f aca="false">IF(AND(OR('Choix pédagogiques'!$C$3=1,'Choix pédagogiques'!$C$3=2),$BN189=1),H189,IF(AND('Choix pédagogiques'!$C$3=3,$BO189=1),H189,""))</f>
        <v/>
      </c>
      <c r="AD189" s="53" t="str">
        <f aca="false">IF(AND(OR('Choix pédagogiques'!$C$3=1,'Choix pédagogiques'!$C$3=2),$BN189=1),I189,IF(AND('Choix pédagogiques'!$C$3=3,$BO189=1),I189,""))</f>
        <v/>
      </c>
      <c r="AE189" s="53" t="str">
        <f aca="false">IF($J189&lt;&gt;"",$J189,"")</f>
        <v/>
      </c>
      <c r="AF189" s="52" t="str">
        <f aca="false">IF($A189&lt;&gt;"",$A189,"")</f>
        <v>Apprenant 177</v>
      </c>
      <c r="AG189" s="53" t="str">
        <f aca="false">IF(AND($W189&lt;&gt;"",$X189&lt;&gt;""),$X189-$W189,"")</f>
        <v/>
      </c>
      <c r="AH189" s="53" t="str">
        <f aca="false">IF(AND($W189&lt;&gt;"",$Y189&lt;&gt;""),$Y189-$W189,"")</f>
        <v/>
      </c>
      <c r="AI189" s="53" t="str">
        <f aca="false">IF(AND($X189&lt;&gt;"",$Y189&lt;&gt;""),$Y189-$X189,"")</f>
        <v/>
      </c>
      <c r="AJ189" s="53" t="str">
        <f aca="false">IF($E189&lt;&gt;"",$E189,"")</f>
        <v/>
      </c>
      <c r="AK189" s="52" t="str">
        <f aca="false">IF($F189&lt;&gt;"",$F189,"")</f>
        <v>Apprenant 177 ou 177'</v>
      </c>
      <c r="AL189" s="53" t="str">
        <f aca="false">IF(AND($AB189&lt;&gt;"",$AC189&lt;&gt;""),$AC189-$AB189,"")</f>
        <v/>
      </c>
      <c r="AM189" s="53" t="str">
        <f aca="false">IF(AND($AB189&lt;&gt;"",$AD189&lt;&gt;""),$AD189-$AB189,"")</f>
        <v/>
      </c>
      <c r="AN189" s="53" t="str">
        <f aca="false">IF(AND($AC189&lt;&gt;"",$AD189&lt;&gt;""),$AD189-$AC189,"")</f>
        <v/>
      </c>
      <c r="AO189" s="53" t="str">
        <f aca="false">IF($J189&lt;&gt;"",$J189,"")</f>
        <v/>
      </c>
      <c r="AQ189" s="52" t="str">
        <f aca="false">IF($A189&lt;&gt;"",$A189,"")</f>
        <v>Apprenant 177</v>
      </c>
      <c r="AR189" s="55" t="str">
        <f aca="false">IF(AND('Choix pédagogiques'!$C$4&lt;&gt;"?",'Choix pédagogiques'!$C$5&lt;&gt;"?",W189&lt;&gt;""),(W189-'Choix pédagogiques'!$C$4)/('Choix pédagogiques'!$C$5-'Choix pédagogiques'!$C$4),"")</f>
        <v/>
      </c>
      <c r="AS189" s="55" t="str">
        <f aca="false">IF(AND('Choix pédagogiques'!$C$4&lt;&gt;"?",'Choix pédagogiques'!$C$5&lt;&gt;"?",X189&lt;&gt;""),(X189-'Choix pédagogiques'!$C$4)/('Choix pédagogiques'!$C$5-'Choix pédagogiques'!$C$4),"")</f>
        <v/>
      </c>
      <c r="AT189" s="55" t="str">
        <f aca="false">IF(AND('Choix pédagogiques'!$C$4&lt;&gt;"?",'Choix pédagogiques'!$C$5&lt;&gt;"?",Y189&lt;&gt;""),(Y189-'Choix pédagogiques'!$C$4)/('Choix pédagogiques'!$C$5-'Choix pédagogiques'!$C$4),"")</f>
        <v/>
      </c>
      <c r="AU189" s="53" t="str">
        <f aca="false">IF($E189&lt;&gt;"",$E189,"")</f>
        <v/>
      </c>
      <c r="AV189" s="52" t="str">
        <f aca="false">IF($F189&lt;&gt;"",$F189,"")</f>
        <v>Apprenant 177 ou 177'</v>
      </c>
      <c r="AW189" s="55" t="str">
        <f aca="false">IF(AND('Choix pédagogiques'!$C$4&lt;&gt;"?",'Choix pédagogiques'!$C$5&lt;&gt;"?",AB189&lt;&gt;""),(AB189-'Choix pédagogiques'!$C$4)/('Choix pédagogiques'!$C$5-'Choix pédagogiques'!$C$4),"")</f>
        <v/>
      </c>
      <c r="AX189" s="55" t="str">
        <f aca="false">IF(AND('Choix pédagogiques'!$C$4&lt;&gt;"?",'Choix pédagogiques'!$C$5&lt;&gt;"?",AC189&lt;&gt;""),(AC189-'Choix pédagogiques'!$C$4)/('Choix pédagogiques'!$C$5-'Choix pédagogiques'!$C$4),"")</f>
        <v/>
      </c>
      <c r="AY189" s="55" t="str">
        <f aca="false">IF(AND('Choix pédagogiques'!$C$4&lt;&gt;"?",'Choix pédagogiques'!$C$5&lt;&gt;"?",AD189&lt;&gt;""),(AD189-'Choix pédagogiques'!$C$4)/('Choix pédagogiques'!$C$5-'Choix pédagogiques'!$C$4),"")</f>
        <v/>
      </c>
      <c r="AZ189" s="53" t="str">
        <f aca="false">IF($J189&lt;&gt;"",$J189,"")</f>
        <v/>
      </c>
      <c r="BA189" s="52" t="str">
        <f aca="false">IF($A189&lt;&gt;"",$A189,"")</f>
        <v>Apprenant 177</v>
      </c>
      <c r="BB189" s="55" t="str">
        <f aca="false">IF(AND($AR189&lt;&gt;"",$AS189&lt;&gt;""),$AS189-$AR189,"")</f>
        <v/>
      </c>
      <c r="BC189" s="55" t="str">
        <f aca="false">IF(AND($AR189&lt;&gt;"",$AT189&lt;&gt;""),$AT189-$AR189,"")</f>
        <v/>
      </c>
      <c r="BD189" s="55" t="str">
        <f aca="false">IF(AND($AS189&lt;&gt;"",$AT189&lt;&gt;""),$AT189-$AS189,"")</f>
        <v/>
      </c>
      <c r="BE189" s="53" t="str">
        <f aca="false">IF($E189&lt;&gt;"",$E189,"")</f>
        <v/>
      </c>
      <c r="BF189" s="52" t="str">
        <f aca="false">IF($F189&lt;&gt;"",$F189,"")</f>
        <v>Apprenant 177 ou 177'</v>
      </c>
      <c r="BG189" s="55" t="str">
        <f aca="false">IF(AND($AW189&lt;&gt;"",$AX189&lt;&gt;""),$AX189-$AW189,"")</f>
        <v/>
      </c>
      <c r="BH189" s="55" t="str">
        <f aca="false">IF(AND($AW189&lt;&gt;"",$AY189&lt;&gt;""),$AY189-$AW189,"")</f>
        <v/>
      </c>
      <c r="BI189" s="55" t="str">
        <f aca="false">IF(AND($AX189&lt;&gt;"",$AY189&lt;&gt;""),$AY189-$AX189,"")</f>
        <v/>
      </c>
      <c r="BJ189" s="53" t="str">
        <f aca="false">IF($J189&lt;&gt;"",$J189,"")</f>
        <v/>
      </c>
      <c r="BL189" s="52"/>
      <c r="BM189" s="52" t="str">
        <f aca="false">IF(OR(COUNT(B189:D1188)=0,AND('Choix pédagogiques'!$C$3&lt;&gt;1,'Choix pédagogiques'!$C$3&lt;&gt;2)),"",IF(AND(OR('Choix pédagogiques'!$C$3=1,'Choix pédagogiques'!$C$3=2),$B189&lt;&gt;"",$C189&lt;&gt;"",$D189&lt;&gt;""),1,0))</f>
        <v/>
      </c>
      <c r="BN189" s="52" t="str">
        <f aca="false">IF(OR(COUNT(G189:I1188)=0,AND('Choix pédagogiques'!$C$3&lt;&gt;1,'Choix pédagogiques'!$C$3&lt;&gt;2)),"",IF(AND(OR('Choix pédagogiques'!$C$3=1,'Choix pédagogiques'!$C$3=2),AND($G189&lt;&gt;"",$H189&lt;&gt;"",$I189&lt;&gt;"")),1,0))</f>
        <v/>
      </c>
      <c r="BO189" s="52" t="str">
        <f aca="false">IF(OR(COUNT(B189:D1188)=0,COUNT(G189:I1188)=0,'Choix pédagogiques'!C$3&lt;&gt;3),"",IF(AND('Choix pédagogiques'!$C$3=3,$B189&lt;&gt;"",$C189&lt;&gt;"",$D189&lt;&gt;"",$G189&lt;&gt;"",$H189&lt;&gt;"",$I189&lt;&gt;""),1,0))</f>
        <v/>
      </c>
      <c r="BR189" s="52" t="n">
        <v>557</v>
      </c>
      <c r="BS189" s="52" t="n">
        <v>1064</v>
      </c>
    </row>
    <row r="190" s="54" customFormat="true" ht="18" hidden="false" customHeight="true" outlineLevel="0" collapsed="false">
      <c r="A190" s="57" t="s">
        <v>311</v>
      </c>
      <c r="B190" s="51"/>
      <c r="C190" s="51"/>
      <c r="D190" s="51"/>
      <c r="E190" s="51"/>
      <c r="F190" s="57" t="s">
        <v>312</v>
      </c>
      <c r="G190" s="51"/>
      <c r="H190" s="51"/>
      <c r="I190" s="51"/>
      <c r="J190" s="51"/>
      <c r="K190" s="52" t="str">
        <f aca="false">IF($A190&lt;&gt;"",$A190,"")</f>
        <v>Apprenant 178</v>
      </c>
      <c r="L190" s="53" t="str">
        <f aca="false">IF(AND($B190&lt;&gt;"",$C190&lt;&gt;""),$C190-$B190,"")</f>
        <v/>
      </c>
      <c r="M190" s="53" t="str">
        <f aca="false">IF(AND($B190&lt;&gt;"",$D190&lt;&gt;""),$D190-$B190,"")</f>
        <v/>
      </c>
      <c r="N190" s="53" t="str">
        <f aca="false">IF(AND($C190&lt;&gt;"",$D190&lt;&gt;""),$D190-$C190,"")</f>
        <v/>
      </c>
      <c r="O190" s="53" t="str">
        <f aca="false">IF($E190&lt;&gt;"",$E190,"")</f>
        <v/>
      </c>
      <c r="P190" s="52" t="str">
        <f aca="false">IF($F190&lt;&gt;"",$F190,"")</f>
        <v>Apprenant 178 ou 178'</v>
      </c>
      <c r="Q190" s="53" t="str">
        <f aca="false">IF(AND($G190&lt;&gt;"",$H190&lt;&gt;""),$H190-$G190,"")</f>
        <v/>
      </c>
      <c r="R190" s="53" t="str">
        <f aca="false">IF(AND($G190&lt;&gt;"",$I190&lt;&gt;""),$I190-$G190,"")</f>
        <v/>
      </c>
      <c r="S190" s="53" t="str">
        <f aca="false">IF(AND($H190&lt;&gt;"",$I190&lt;&gt;""),$I190-$H190,"")</f>
        <v/>
      </c>
      <c r="T190" s="53" t="str">
        <f aca="false">IF($J190&lt;&gt;"",$J190,"")</f>
        <v/>
      </c>
      <c r="V190" s="52" t="str">
        <f aca="false">IF($A190&lt;&gt;"",$A190,"")</f>
        <v>Apprenant 178</v>
      </c>
      <c r="W190" s="53" t="str">
        <f aca="false">IF(AND(OR('Choix pédagogiques'!$C$3=1,'Choix pédagogiques'!$C$3=2),$BM190=1),B190,IF(AND('Choix pédagogiques'!$C$3=3,$BO190=1),B190,""))</f>
        <v/>
      </c>
      <c r="X190" s="53" t="str">
        <f aca="false">IF(AND(OR('Choix pédagogiques'!$C$3=1,'Choix pédagogiques'!$C$3=2),$BM190=1),C190,IF(AND('Choix pédagogiques'!$C$3=3,$BO190=1),C190,""))</f>
        <v/>
      </c>
      <c r="Y190" s="53" t="str">
        <f aca="false">IF(AND(OR('Choix pédagogiques'!$C$3=1,'Choix pédagogiques'!$C$3=2),$BM190=1),D190,IF(AND('Choix pédagogiques'!$C$3=3,$BO190=1),D190,""))</f>
        <v/>
      </c>
      <c r="Z190" s="53" t="str">
        <f aca="false">IF($E190&lt;&gt;"",$E190,"")</f>
        <v/>
      </c>
      <c r="AA190" s="52" t="str">
        <f aca="false">IF($F190&lt;&gt;"",$F190,"")</f>
        <v>Apprenant 178 ou 178'</v>
      </c>
      <c r="AB190" s="53" t="str">
        <f aca="false">IF(AND(OR('Choix pédagogiques'!$C$3=1,'Choix pédagogiques'!$C$3=2),$BN190=1),G190,IF(AND('Choix pédagogiques'!$C$3=3,$BO190=1),G190,""))</f>
        <v/>
      </c>
      <c r="AC190" s="53" t="str">
        <f aca="false">IF(AND(OR('Choix pédagogiques'!$C$3=1,'Choix pédagogiques'!$C$3=2),$BN190=1),H190,IF(AND('Choix pédagogiques'!$C$3=3,$BO190=1),H190,""))</f>
        <v/>
      </c>
      <c r="AD190" s="53" t="str">
        <f aca="false">IF(AND(OR('Choix pédagogiques'!$C$3=1,'Choix pédagogiques'!$C$3=2),$BN190=1),I190,IF(AND('Choix pédagogiques'!$C$3=3,$BO190=1),I190,""))</f>
        <v/>
      </c>
      <c r="AE190" s="53" t="str">
        <f aca="false">IF($J190&lt;&gt;"",$J190,"")</f>
        <v/>
      </c>
      <c r="AF190" s="52" t="str">
        <f aca="false">IF($A190&lt;&gt;"",$A190,"")</f>
        <v>Apprenant 178</v>
      </c>
      <c r="AG190" s="53" t="str">
        <f aca="false">IF(AND($W190&lt;&gt;"",$X190&lt;&gt;""),$X190-$W190,"")</f>
        <v/>
      </c>
      <c r="AH190" s="53" t="str">
        <f aca="false">IF(AND($W190&lt;&gt;"",$Y190&lt;&gt;""),$Y190-$W190,"")</f>
        <v/>
      </c>
      <c r="AI190" s="53" t="str">
        <f aca="false">IF(AND($X190&lt;&gt;"",$Y190&lt;&gt;""),$Y190-$X190,"")</f>
        <v/>
      </c>
      <c r="AJ190" s="53" t="str">
        <f aca="false">IF($E190&lt;&gt;"",$E190,"")</f>
        <v/>
      </c>
      <c r="AK190" s="52" t="str">
        <f aca="false">IF($F190&lt;&gt;"",$F190,"")</f>
        <v>Apprenant 178 ou 178'</v>
      </c>
      <c r="AL190" s="53" t="str">
        <f aca="false">IF(AND($AB190&lt;&gt;"",$AC190&lt;&gt;""),$AC190-$AB190,"")</f>
        <v/>
      </c>
      <c r="AM190" s="53" t="str">
        <f aca="false">IF(AND($AB190&lt;&gt;"",$AD190&lt;&gt;""),$AD190-$AB190,"")</f>
        <v/>
      </c>
      <c r="AN190" s="53" t="str">
        <f aca="false">IF(AND($AC190&lt;&gt;"",$AD190&lt;&gt;""),$AD190-$AC190,"")</f>
        <v/>
      </c>
      <c r="AO190" s="53" t="str">
        <f aca="false">IF($J190&lt;&gt;"",$J190,"")</f>
        <v/>
      </c>
      <c r="AQ190" s="52" t="str">
        <f aca="false">IF($A190&lt;&gt;"",$A190,"")</f>
        <v>Apprenant 178</v>
      </c>
      <c r="AR190" s="55" t="str">
        <f aca="false">IF(AND('Choix pédagogiques'!$C$4&lt;&gt;"?",'Choix pédagogiques'!$C$5&lt;&gt;"?",W190&lt;&gt;""),(W190-'Choix pédagogiques'!$C$4)/('Choix pédagogiques'!$C$5-'Choix pédagogiques'!$C$4),"")</f>
        <v/>
      </c>
      <c r="AS190" s="55" t="str">
        <f aca="false">IF(AND('Choix pédagogiques'!$C$4&lt;&gt;"?",'Choix pédagogiques'!$C$5&lt;&gt;"?",X190&lt;&gt;""),(X190-'Choix pédagogiques'!$C$4)/('Choix pédagogiques'!$C$5-'Choix pédagogiques'!$C$4),"")</f>
        <v/>
      </c>
      <c r="AT190" s="55" t="str">
        <f aca="false">IF(AND('Choix pédagogiques'!$C$4&lt;&gt;"?",'Choix pédagogiques'!$C$5&lt;&gt;"?",Y190&lt;&gt;""),(Y190-'Choix pédagogiques'!$C$4)/('Choix pédagogiques'!$C$5-'Choix pédagogiques'!$C$4),"")</f>
        <v/>
      </c>
      <c r="AU190" s="53" t="str">
        <f aca="false">IF($E190&lt;&gt;"",$E190,"")</f>
        <v/>
      </c>
      <c r="AV190" s="52" t="str">
        <f aca="false">IF($F190&lt;&gt;"",$F190,"")</f>
        <v>Apprenant 178 ou 178'</v>
      </c>
      <c r="AW190" s="55" t="str">
        <f aca="false">IF(AND('Choix pédagogiques'!$C$4&lt;&gt;"?",'Choix pédagogiques'!$C$5&lt;&gt;"?",AB190&lt;&gt;""),(AB190-'Choix pédagogiques'!$C$4)/('Choix pédagogiques'!$C$5-'Choix pédagogiques'!$C$4),"")</f>
        <v/>
      </c>
      <c r="AX190" s="55" t="str">
        <f aca="false">IF(AND('Choix pédagogiques'!$C$4&lt;&gt;"?",'Choix pédagogiques'!$C$5&lt;&gt;"?",AC190&lt;&gt;""),(AC190-'Choix pédagogiques'!$C$4)/('Choix pédagogiques'!$C$5-'Choix pédagogiques'!$C$4),"")</f>
        <v/>
      </c>
      <c r="AY190" s="55" t="str">
        <f aca="false">IF(AND('Choix pédagogiques'!$C$4&lt;&gt;"?",'Choix pédagogiques'!$C$5&lt;&gt;"?",AD190&lt;&gt;""),(AD190-'Choix pédagogiques'!$C$4)/('Choix pédagogiques'!$C$5-'Choix pédagogiques'!$C$4),"")</f>
        <v/>
      </c>
      <c r="AZ190" s="53" t="str">
        <f aca="false">IF($J190&lt;&gt;"",$J190,"")</f>
        <v/>
      </c>
      <c r="BA190" s="52" t="str">
        <f aca="false">IF($A190&lt;&gt;"",$A190,"")</f>
        <v>Apprenant 178</v>
      </c>
      <c r="BB190" s="55" t="str">
        <f aca="false">IF(AND($AR190&lt;&gt;"",$AS190&lt;&gt;""),$AS190-$AR190,"")</f>
        <v/>
      </c>
      <c r="BC190" s="55" t="str">
        <f aca="false">IF(AND($AR190&lt;&gt;"",$AT190&lt;&gt;""),$AT190-$AR190,"")</f>
        <v/>
      </c>
      <c r="BD190" s="55" t="str">
        <f aca="false">IF(AND($AS190&lt;&gt;"",$AT190&lt;&gt;""),$AT190-$AS190,"")</f>
        <v/>
      </c>
      <c r="BE190" s="53" t="str">
        <f aca="false">IF($E190&lt;&gt;"",$E190,"")</f>
        <v/>
      </c>
      <c r="BF190" s="52" t="str">
        <f aca="false">IF($F190&lt;&gt;"",$F190,"")</f>
        <v>Apprenant 178 ou 178'</v>
      </c>
      <c r="BG190" s="55" t="str">
        <f aca="false">IF(AND($AW190&lt;&gt;"",$AX190&lt;&gt;""),$AX190-$AW190,"")</f>
        <v/>
      </c>
      <c r="BH190" s="55" t="str">
        <f aca="false">IF(AND($AW190&lt;&gt;"",$AY190&lt;&gt;""),$AY190-$AW190,"")</f>
        <v/>
      </c>
      <c r="BI190" s="55" t="str">
        <f aca="false">IF(AND($AX190&lt;&gt;"",$AY190&lt;&gt;""),$AY190-$AX190,"")</f>
        <v/>
      </c>
      <c r="BJ190" s="53" t="str">
        <f aca="false">IF($J190&lt;&gt;"",$J190,"")</f>
        <v/>
      </c>
      <c r="BL190" s="52"/>
      <c r="BM190" s="52" t="str">
        <f aca="false">IF(OR(COUNT(B190:D1189)=0,AND('Choix pédagogiques'!$C$3&lt;&gt;1,'Choix pédagogiques'!$C$3&lt;&gt;2)),"",IF(AND(OR('Choix pédagogiques'!$C$3=1,'Choix pédagogiques'!$C$3=2),$B190&lt;&gt;"",$C190&lt;&gt;"",$D190&lt;&gt;""),1,0))</f>
        <v/>
      </c>
      <c r="BN190" s="52" t="str">
        <f aca="false">IF(OR(COUNT(G190:I1189)=0,AND('Choix pédagogiques'!$C$3&lt;&gt;1,'Choix pédagogiques'!$C$3&lt;&gt;2)),"",IF(AND(OR('Choix pédagogiques'!$C$3=1,'Choix pédagogiques'!$C$3=2),AND($G190&lt;&gt;"",$H190&lt;&gt;"",$I190&lt;&gt;"")),1,0))</f>
        <v/>
      </c>
      <c r="BO190" s="52" t="str">
        <f aca="false">IF(OR(COUNT(B190:D1189)=0,COUNT(G190:I1189)=0,'Choix pédagogiques'!C$3&lt;&gt;3),"",IF(AND('Choix pédagogiques'!$C$3=3,$B190&lt;&gt;"",$C190&lt;&gt;"",$D190&lt;&gt;"",$G190&lt;&gt;"",$H190&lt;&gt;"",$I190&lt;&gt;""),1,0))</f>
        <v/>
      </c>
      <c r="BR190" s="52" t="n">
        <v>54</v>
      </c>
      <c r="BS190" s="52" t="n">
        <v>1509</v>
      </c>
    </row>
    <row r="191" s="54" customFormat="true" ht="18" hidden="false" customHeight="true" outlineLevel="0" collapsed="false">
      <c r="A191" s="57" t="s">
        <v>313</v>
      </c>
      <c r="B191" s="51"/>
      <c r="C191" s="51"/>
      <c r="D191" s="51"/>
      <c r="E191" s="51"/>
      <c r="F191" s="57" t="s">
        <v>314</v>
      </c>
      <c r="G191" s="51"/>
      <c r="H191" s="51"/>
      <c r="I191" s="51"/>
      <c r="J191" s="51"/>
      <c r="K191" s="52" t="str">
        <f aca="false">IF($A191&lt;&gt;"",$A191,"")</f>
        <v>Apprenant 179</v>
      </c>
      <c r="L191" s="53" t="str">
        <f aca="false">IF(AND($B191&lt;&gt;"",$C191&lt;&gt;""),$C191-$B191,"")</f>
        <v/>
      </c>
      <c r="M191" s="53" t="str">
        <f aca="false">IF(AND($B191&lt;&gt;"",$D191&lt;&gt;""),$D191-$B191,"")</f>
        <v/>
      </c>
      <c r="N191" s="53" t="str">
        <f aca="false">IF(AND($C191&lt;&gt;"",$D191&lt;&gt;""),$D191-$C191,"")</f>
        <v/>
      </c>
      <c r="O191" s="53" t="str">
        <f aca="false">IF($E191&lt;&gt;"",$E191,"")</f>
        <v/>
      </c>
      <c r="P191" s="52" t="str">
        <f aca="false">IF($F191&lt;&gt;"",$F191,"")</f>
        <v>Apprenant 179 ou 179'</v>
      </c>
      <c r="Q191" s="53" t="str">
        <f aca="false">IF(AND($G191&lt;&gt;"",$H191&lt;&gt;""),$H191-$G191,"")</f>
        <v/>
      </c>
      <c r="R191" s="53" t="str">
        <f aca="false">IF(AND($G191&lt;&gt;"",$I191&lt;&gt;""),$I191-$G191,"")</f>
        <v/>
      </c>
      <c r="S191" s="53" t="str">
        <f aca="false">IF(AND($H191&lt;&gt;"",$I191&lt;&gt;""),$I191-$H191,"")</f>
        <v/>
      </c>
      <c r="T191" s="53" t="str">
        <f aca="false">IF($J191&lt;&gt;"",$J191,"")</f>
        <v/>
      </c>
      <c r="V191" s="52" t="str">
        <f aca="false">IF($A191&lt;&gt;"",$A191,"")</f>
        <v>Apprenant 179</v>
      </c>
      <c r="W191" s="53" t="str">
        <f aca="false">IF(AND(OR('Choix pédagogiques'!$C$3=1,'Choix pédagogiques'!$C$3=2),$BM191=1),B191,IF(AND('Choix pédagogiques'!$C$3=3,$BO191=1),B191,""))</f>
        <v/>
      </c>
      <c r="X191" s="53" t="str">
        <f aca="false">IF(AND(OR('Choix pédagogiques'!$C$3=1,'Choix pédagogiques'!$C$3=2),$BM191=1),C191,IF(AND('Choix pédagogiques'!$C$3=3,$BO191=1),C191,""))</f>
        <v/>
      </c>
      <c r="Y191" s="53" t="str">
        <f aca="false">IF(AND(OR('Choix pédagogiques'!$C$3=1,'Choix pédagogiques'!$C$3=2),$BM191=1),D191,IF(AND('Choix pédagogiques'!$C$3=3,$BO191=1),D191,""))</f>
        <v/>
      </c>
      <c r="Z191" s="53" t="str">
        <f aca="false">IF($E191&lt;&gt;"",$E191,"")</f>
        <v/>
      </c>
      <c r="AA191" s="52" t="str">
        <f aca="false">IF($F191&lt;&gt;"",$F191,"")</f>
        <v>Apprenant 179 ou 179'</v>
      </c>
      <c r="AB191" s="53" t="str">
        <f aca="false">IF(AND(OR('Choix pédagogiques'!$C$3=1,'Choix pédagogiques'!$C$3=2),$BN191=1),G191,IF(AND('Choix pédagogiques'!$C$3=3,$BO191=1),G191,""))</f>
        <v/>
      </c>
      <c r="AC191" s="53" t="str">
        <f aca="false">IF(AND(OR('Choix pédagogiques'!$C$3=1,'Choix pédagogiques'!$C$3=2),$BN191=1),H191,IF(AND('Choix pédagogiques'!$C$3=3,$BO191=1),H191,""))</f>
        <v/>
      </c>
      <c r="AD191" s="53" t="str">
        <f aca="false">IF(AND(OR('Choix pédagogiques'!$C$3=1,'Choix pédagogiques'!$C$3=2),$BN191=1),I191,IF(AND('Choix pédagogiques'!$C$3=3,$BO191=1),I191,""))</f>
        <v/>
      </c>
      <c r="AE191" s="53" t="str">
        <f aca="false">IF($J191&lt;&gt;"",$J191,"")</f>
        <v/>
      </c>
      <c r="AF191" s="52" t="str">
        <f aca="false">IF($A191&lt;&gt;"",$A191,"")</f>
        <v>Apprenant 179</v>
      </c>
      <c r="AG191" s="53" t="str">
        <f aca="false">IF(AND($W191&lt;&gt;"",$X191&lt;&gt;""),$X191-$W191,"")</f>
        <v/>
      </c>
      <c r="AH191" s="53" t="str">
        <f aca="false">IF(AND($W191&lt;&gt;"",$Y191&lt;&gt;""),$Y191-$W191,"")</f>
        <v/>
      </c>
      <c r="AI191" s="53" t="str">
        <f aca="false">IF(AND($X191&lt;&gt;"",$Y191&lt;&gt;""),$Y191-$X191,"")</f>
        <v/>
      </c>
      <c r="AJ191" s="53" t="str">
        <f aca="false">IF($E191&lt;&gt;"",$E191,"")</f>
        <v/>
      </c>
      <c r="AK191" s="52" t="str">
        <f aca="false">IF($F191&lt;&gt;"",$F191,"")</f>
        <v>Apprenant 179 ou 179'</v>
      </c>
      <c r="AL191" s="53" t="str">
        <f aca="false">IF(AND($AB191&lt;&gt;"",$AC191&lt;&gt;""),$AC191-$AB191,"")</f>
        <v/>
      </c>
      <c r="AM191" s="53" t="str">
        <f aca="false">IF(AND($AB191&lt;&gt;"",$AD191&lt;&gt;""),$AD191-$AB191,"")</f>
        <v/>
      </c>
      <c r="AN191" s="53" t="str">
        <f aca="false">IF(AND($AC191&lt;&gt;"",$AD191&lt;&gt;""),$AD191-$AC191,"")</f>
        <v/>
      </c>
      <c r="AO191" s="53" t="str">
        <f aca="false">IF($J191&lt;&gt;"",$J191,"")</f>
        <v/>
      </c>
      <c r="AQ191" s="52" t="str">
        <f aca="false">IF($A191&lt;&gt;"",$A191,"")</f>
        <v>Apprenant 179</v>
      </c>
      <c r="AR191" s="55" t="str">
        <f aca="false">IF(AND('Choix pédagogiques'!$C$4&lt;&gt;"?",'Choix pédagogiques'!$C$5&lt;&gt;"?",W191&lt;&gt;""),(W191-'Choix pédagogiques'!$C$4)/('Choix pédagogiques'!$C$5-'Choix pédagogiques'!$C$4),"")</f>
        <v/>
      </c>
      <c r="AS191" s="55" t="str">
        <f aca="false">IF(AND('Choix pédagogiques'!$C$4&lt;&gt;"?",'Choix pédagogiques'!$C$5&lt;&gt;"?",X191&lt;&gt;""),(X191-'Choix pédagogiques'!$C$4)/('Choix pédagogiques'!$C$5-'Choix pédagogiques'!$C$4),"")</f>
        <v/>
      </c>
      <c r="AT191" s="55" t="str">
        <f aca="false">IF(AND('Choix pédagogiques'!$C$4&lt;&gt;"?",'Choix pédagogiques'!$C$5&lt;&gt;"?",Y191&lt;&gt;""),(Y191-'Choix pédagogiques'!$C$4)/('Choix pédagogiques'!$C$5-'Choix pédagogiques'!$C$4),"")</f>
        <v/>
      </c>
      <c r="AU191" s="53" t="str">
        <f aca="false">IF($E191&lt;&gt;"",$E191,"")</f>
        <v/>
      </c>
      <c r="AV191" s="52" t="str">
        <f aca="false">IF($F191&lt;&gt;"",$F191,"")</f>
        <v>Apprenant 179 ou 179'</v>
      </c>
      <c r="AW191" s="55" t="str">
        <f aca="false">IF(AND('Choix pédagogiques'!$C$4&lt;&gt;"?",'Choix pédagogiques'!$C$5&lt;&gt;"?",AB191&lt;&gt;""),(AB191-'Choix pédagogiques'!$C$4)/('Choix pédagogiques'!$C$5-'Choix pédagogiques'!$C$4),"")</f>
        <v/>
      </c>
      <c r="AX191" s="55" t="str">
        <f aca="false">IF(AND('Choix pédagogiques'!$C$4&lt;&gt;"?",'Choix pédagogiques'!$C$5&lt;&gt;"?",AC191&lt;&gt;""),(AC191-'Choix pédagogiques'!$C$4)/('Choix pédagogiques'!$C$5-'Choix pédagogiques'!$C$4),"")</f>
        <v/>
      </c>
      <c r="AY191" s="55" t="str">
        <f aca="false">IF(AND('Choix pédagogiques'!$C$4&lt;&gt;"?",'Choix pédagogiques'!$C$5&lt;&gt;"?",AD191&lt;&gt;""),(AD191-'Choix pédagogiques'!$C$4)/('Choix pédagogiques'!$C$5-'Choix pédagogiques'!$C$4),"")</f>
        <v/>
      </c>
      <c r="AZ191" s="53" t="str">
        <f aca="false">IF($J191&lt;&gt;"",$J191,"")</f>
        <v/>
      </c>
      <c r="BA191" s="52" t="str">
        <f aca="false">IF($A191&lt;&gt;"",$A191,"")</f>
        <v>Apprenant 179</v>
      </c>
      <c r="BB191" s="55" t="str">
        <f aca="false">IF(AND($AR191&lt;&gt;"",$AS191&lt;&gt;""),$AS191-$AR191,"")</f>
        <v/>
      </c>
      <c r="BC191" s="55" t="str">
        <f aca="false">IF(AND($AR191&lt;&gt;"",$AT191&lt;&gt;""),$AT191-$AR191,"")</f>
        <v/>
      </c>
      <c r="BD191" s="55" t="str">
        <f aca="false">IF(AND($AS191&lt;&gt;"",$AT191&lt;&gt;""),$AT191-$AS191,"")</f>
        <v/>
      </c>
      <c r="BE191" s="53" t="str">
        <f aca="false">IF($E191&lt;&gt;"",$E191,"")</f>
        <v/>
      </c>
      <c r="BF191" s="52" t="str">
        <f aca="false">IF($F191&lt;&gt;"",$F191,"")</f>
        <v>Apprenant 179 ou 179'</v>
      </c>
      <c r="BG191" s="55" t="str">
        <f aca="false">IF(AND($AW191&lt;&gt;"",$AX191&lt;&gt;""),$AX191-$AW191,"")</f>
        <v/>
      </c>
      <c r="BH191" s="55" t="str">
        <f aca="false">IF(AND($AW191&lt;&gt;"",$AY191&lt;&gt;""),$AY191-$AW191,"")</f>
        <v/>
      </c>
      <c r="BI191" s="55" t="str">
        <f aca="false">IF(AND($AX191&lt;&gt;"",$AY191&lt;&gt;""),$AY191-$AX191,"")</f>
        <v/>
      </c>
      <c r="BJ191" s="53" t="str">
        <f aca="false">IF($J191&lt;&gt;"",$J191,"")</f>
        <v/>
      </c>
      <c r="BL191" s="52"/>
      <c r="BM191" s="52" t="str">
        <f aca="false">IF(OR(COUNT(B191:D1190)=0,AND('Choix pédagogiques'!$C$3&lt;&gt;1,'Choix pédagogiques'!$C$3&lt;&gt;2)),"",IF(AND(OR('Choix pédagogiques'!$C$3=1,'Choix pédagogiques'!$C$3=2),$B191&lt;&gt;"",$C191&lt;&gt;"",$D191&lt;&gt;""),1,0))</f>
        <v/>
      </c>
      <c r="BN191" s="52" t="str">
        <f aca="false">IF(OR(COUNT(G191:I1190)=0,AND('Choix pédagogiques'!$C$3&lt;&gt;1,'Choix pédagogiques'!$C$3&lt;&gt;2)),"",IF(AND(OR('Choix pédagogiques'!$C$3=1,'Choix pédagogiques'!$C$3=2),AND($G191&lt;&gt;"",$H191&lt;&gt;"",$I191&lt;&gt;"")),1,0))</f>
        <v/>
      </c>
      <c r="BO191" s="52" t="str">
        <f aca="false">IF(OR(COUNT(B191:D1190)=0,COUNT(G191:I1190)=0,'Choix pédagogiques'!C$3&lt;&gt;3),"",IF(AND('Choix pédagogiques'!$C$3=3,$B191&lt;&gt;"",$C191&lt;&gt;"",$D191&lt;&gt;"",$G191&lt;&gt;"",$H191&lt;&gt;"",$I191&lt;&gt;""),1,0))</f>
        <v/>
      </c>
      <c r="BR191" s="52" t="n">
        <v>754</v>
      </c>
      <c r="BS191" s="52" t="n">
        <v>1552</v>
      </c>
    </row>
    <row r="192" s="54" customFormat="true" ht="18" hidden="false" customHeight="true" outlineLevel="0" collapsed="false">
      <c r="A192" s="57" t="s">
        <v>315</v>
      </c>
      <c r="B192" s="51"/>
      <c r="C192" s="51"/>
      <c r="D192" s="51"/>
      <c r="E192" s="51"/>
      <c r="F192" s="57" t="s">
        <v>316</v>
      </c>
      <c r="G192" s="51"/>
      <c r="H192" s="51"/>
      <c r="I192" s="51"/>
      <c r="J192" s="51"/>
      <c r="K192" s="52" t="str">
        <f aca="false">IF($A192&lt;&gt;"",$A192,"")</f>
        <v>Apprenant 180</v>
      </c>
      <c r="L192" s="53" t="str">
        <f aca="false">IF(AND($B192&lt;&gt;"",$C192&lt;&gt;""),$C192-$B192,"")</f>
        <v/>
      </c>
      <c r="M192" s="53" t="str">
        <f aca="false">IF(AND($B192&lt;&gt;"",$D192&lt;&gt;""),$D192-$B192,"")</f>
        <v/>
      </c>
      <c r="N192" s="53" t="str">
        <f aca="false">IF(AND($C192&lt;&gt;"",$D192&lt;&gt;""),$D192-$C192,"")</f>
        <v/>
      </c>
      <c r="O192" s="53" t="str">
        <f aca="false">IF($E192&lt;&gt;"",$E192,"")</f>
        <v/>
      </c>
      <c r="P192" s="52" t="str">
        <f aca="false">IF($F192&lt;&gt;"",$F192,"")</f>
        <v>Apprenant 180 ou 180'</v>
      </c>
      <c r="Q192" s="53" t="str">
        <f aca="false">IF(AND($G192&lt;&gt;"",$H192&lt;&gt;""),$H192-$G192,"")</f>
        <v/>
      </c>
      <c r="R192" s="53" t="str">
        <f aca="false">IF(AND($G192&lt;&gt;"",$I192&lt;&gt;""),$I192-$G192,"")</f>
        <v/>
      </c>
      <c r="S192" s="53" t="str">
        <f aca="false">IF(AND($H192&lt;&gt;"",$I192&lt;&gt;""),$I192-$H192,"")</f>
        <v/>
      </c>
      <c r="T192" s="53" t="str">
        <f aca="false">IF($J192&lt;&gt;"",$J192,"")</f>
        <v/>
      </c>
      <c r="V192" s="52" t="str">
        <f aca="false">IF($A192&lt;&gt;"",$A192,"")</f>
        <v>Apprenant 180</v>
      </c>
      <c r="W192" s="53" t="str">
        <f aca="false">IF(AND(OR('Choix pédagogiques'!$C$3=1,'Choix pédagogiques'!$C$3=2),$BM192=1),B192,IF(AND('Choix pédagogiques'!$C$3=3,$BO192=1),B192,""))</f>
        <v/>
      </c>
      <c r="X192" s="53" t="str">
        <f aca="false">IF(AND(OR('Choix pédagogiques'!$C$3=1,'Choix pédagogiques'!$C$3=2),$BM192=1),C192,IF(AND('Choix pédagogiques'!$C$3=3,$BO192=1),C192,""))</f>
        <v/>
      </c>
      <c r="Y192" s="53" t="str">
        <f aca="false">IF(AND(OR('Choix pédagogiques'!$C$3=1,'Choix pédagogiques'!$C$3=2),$BM192=1),D192,IF(AND('Choix pédagogiques'!$C$3=3,$BO192=1),D192,""))</f>
        <v/>
      </c>
      <c r="Z192" s="53" t="str">
        <f aca="false">IF($E192&lt;&gt;"",$E192,"")</f>
        <v/>
      </c>
      <c r="AA192" s="52" t="str">
        <f aca="false">IF($F192&lt;&gt;"",$F192,"")</f>
        <v>Apprenant 180 ou 180'</v>
      </c>
      <c r="AB192" s="53" t="str">
        <f aca="false">IF(AND(OR('Choix pédagogiques'!$C$3=1,'Choix pédagogiques'!$C$3=2),$BN192=1),G192,IF(AND('Choix pédagogiques'!$C$3=3,$BO192=1),G192,""))</f>
        <v/>
      </c>
      <c r="AC192" s="53" t="str">
        <f aca="false">IF(AND(OR('Choix pédagogiques'!$C$3=1,'Choix pédagogiques'!$C$3=2),$BN192=1),H192,IF(AND('Choix pédagogiques'!$C$3=3,$BO192=1),H192,""))</f>
        <v/>
      </c>
      <c r="AD192" s="53" t="str">
        <f aca="false">IF(AND(OR('Choix pédagogiques'!$C$3=1,'Choix pédagogiques'!$C$3=2),$BN192=1),I192,IF(AND('Choix pédagogiques'!$C$3=3,$BO192=1),I192,""))</f>
        <v/>
      </c>
      <c r="AE192" s="53" t="str">
        <f aca="false">IF($J192&lt;&gt;"",$J192,"")</f>
        <v/>
      </c>
      <c r="AF192" s="52" t="str">
        <f aca="false">IF($A192&lt;&gt;"",$A192,"")</f>
        <v>Apprenant 180</v>
      </c>
      <c r="AG192" s="53" t="str">
        <f aca="false">IF(AND($W192&lt;&gt;"",$X192&lt;&gt;""),$X192-$W192,"")</f>
        <v/>
      </c>
      <c r="AH192" s="53" t="str">
        <f aca="false">IF(AND($W192&lt;&gt;"",$Y192&lt;&gt;""),$Y192-$W192,"")</f>
        <v/>
      </c>
      <c r="AI192" s="53" t="str">
        <f aca="false">IF(AND($X192&lt;&gt;"",$Y192&lt;&gt;""),$Y192-$X192,"")</f>
        <v/>
      </c>
      <c r="AJ192" s="53" t="str">
        <f aca="false">IF($E192&lt;&gt;"",$E192,"")</f>
        <v/>
      </c>
      <c r="AK192" s="52" t="str">
        <f aca="false">IF($F192&lt;&gt;"",$F192,"")</f>
        <v>Apprenant 180 ou 180'</v>
      </c>
      <c r="AL192" s="53" t="str">
        <f aca="false">IF(AND($AB192&lt;&gt;"",$AC192&lt;&gt;""),$AC192-$AB192,"")</f>
        <v/>
      </c>
      <c r="AM192" s="53" t="str">
        <f aca="false">IF(AND($AB192&lt;&gt;"",$AD192&lt;&gt;""),$AD192-$AB192,"")</f>
        <v/>
      </c>
      <c r="AN192" s="53" t="str">
        <f aca="false">IF(AND($AC192&lt;&gt;"",$AD192&lt;&gt;""),$AD192-$AC192,"")</f>
        <v/>
      </c>
      <c r="AO192" s="53" t="str">
        <f aca="false">IF($J192&lt;&gt;"",$J192,"")</f>
        <v/>
      </c>
      <c r="AQ192" s="52" t="str">
        <f aca="false">IF($A192&lt;&gt;"",$A192,"")</f>
        <v>Apprenant 180</v>
      </c>
      <c r="AR192" s="55" t="str">
        <f aca="false">IF(AND('Choix pédagogiques'!$C$4&lt;&gt;"?",'Choix pédagogiques'!$C$5&lt;&gt;"?",W192&lt;&gt;""),(W192-'Choix pédagogiques'!$C$4)/('Choix pédagogiques'!$C$5-'Choix pédagogiques'!$C$4),"")</f>
        <v/>
      </c>
      <c r="AS192" s="55" t="str">
        <f aca="false">IF(AND('Choix pédagogiques'!$C$4&lt;&gt;"?",'Choix pédagogiques'!$C$5&lt;&gt;"?",X192&lt;&gt;""),(X192-'Choix pédagogiques'!$C$4)/('Choix pédagogiques'!$C$5-'Choix pédagogiques'!$C$4),"")</f>
        <v/>
      </c>
      <c r="AT192" s="55" t="str">
        <f aca="false">IF(AND('Choix pédagogiques'!$C$4&lt;&gt;"?",'Choix pédagogiques'!$C$5&lt;&gt;"?",Y192&lt;&gt;""),(Y192-'Choix pédagogiques'!$C$4)/('Choix pédagogiques'!$C$5-'Choix pédagogiques'!$C$4),"")</f>
        <v/>
      </c>
      <c r="AU192" s="53" t="str">
        <f aca="false">IF($E192&lt;&gt;"",$E192,"")</f>
        <v/>
      </c>
      <c r="AV192" s="52" t="str">
        <f aca="false">IF($F192&lt;&gt;"",$F192,"")</f>
        <v>Apprenant 180 ou 180'</v>
      </c>
      <c r="AW192" s="55" t="str">
        <f aca="false">IF(AND('Choix pédagogiques'!$C$4&lt;&gt;"?",'Choix pédagogiques'!$C$5&lt;&gt;"?",AB192&lt;&gt;""),(AB192-'Choix pédagogiques'!$C$4)/('Choix pédagogiques'!$C$5-'Choix pédagogiques'!$C$4),"")</f>
        <v/>
      </c>
      <c r="AX192" s="55" t="str">
        <f aca="false">IF(AND('Choix pédagogiques'!$C$4&lt;&gt;"?",'Choix pédagogiques'!$C$5&lt;&gt;"?",AC192&lt;&gt;""),(AC192-'Choix pédagogiques'!$C$4)/('Choix pédagogiques'!$C$5-'Choix pédagogiques'!$C$4),"")</f>
        <v/>
      </c>
      <c r="AY192" s="55" t="str">
        <f aca="false">IF(AND('Choix pédagogiques'!$C$4&lt;&gt;"?",'Choix pédagogiques'!$C$5&lt;&gt;"?",AD192&lt;&gt;""),(AD192-'Choix pédagogiques'!$C$4)/('Choix pédagogiques'!$C$5-'Choix pédagogiques'!$C$4),"")</f>
        <v/>
      </c>
      <c r="AZ192" s="53" t="str">
        <f aca="false">IF($J192&lt;&gt;"",$J192,"")</f>
        <v/>
      </c>
      <c r="BA192" s="52" t="str">
        <f aca="false">IF($A192&lt;&gt;"",$A192,"")</f>
        <v>Apprenant 180</v>
      </c>
      <c r="BB192" s="55" t="str">
        <f aca="false">IF(AND($AR192&lt;&gt;"",$AS192&lt;&gt;""),$AS192-$AR192,"")</f>
        <v/>
      </c>
      <c r="BC192" s="55" t="str">
        <f aca="false">IF(AND($AR192&lt;&gt;"",$AT192&lt;&gt;""),$AT192-$AR192,"")</f>
        <v/>
      </c>
      <c r="BD192" s="55" t="str">
        <f aca="false">IF(AND($AS192&lt;&gt;"",$AT192&lt;&gt;""),$AT192-$AS192,"")</f>
        <v/>
      </c>
      <c r="BE192" s="53" t="str">
        <f aca="false">IF($E192&lt;&gt;"",$E192,"")</f>
        <v/>
      </c>
      <c r="BF192" s="52" t="str">
        <f aca="false">IF($F192&lt;&gt;"",$F192,"")</f>
        <v>Apprenant 180 ou 180'</v>
      </c>
      <c r="BG192" s="55" t="str">
        <f aca="false">IF(AND($AW192&lt;&gt;"",$AX192&lt;&gt;""),$AX192-$AW192,"")</f>
        <v/>
      </c>
      <c r="BH192" s="55" t="str">
        <f aca="false">IF(AND($AW192&lt;&gt;"",$AY192&lt;&gt;""),$AY192-$AW192,"")</f>
        <v/>
      </c>
      <c r="BI192" s="55" t="str">
        <f aca="false">IF(AND($AX192&lt;&gt;"",$AY192&lt;&gt;""),$AY192-$AX192,"")</f>
        <v/>
      </c>
      <c r="BJ192" s="53" t="str">
        <f aca="false">IF($J192&lt;&gt;"",$J192,"")</f>
        <v/>
      </c>
      <c r="BL192" s="52"/>
      <c r="BM192" s="52" t="str">
        <f aca="false">IF(OR(COUNT(B192:D1191)=0,AND('Choix pédagogiques'!$C$3&lt;&gt;1,'Choix pédagogiques'!$C$3&lt;&gt;2)),"",IF(AND(OR('Choix pédagogiques'!$C$3=1,'Choix pédagogiques'!$C$3=2),$B192&lt;&gt;"",$C192&lt;&gt;"",$D192&lt;&gt;""),1,0))</f>
        <v/>
      </c>
      <c r="BN192" s="52" t="str">
        <f aca="false">IF(OR(COUNT(G192:I1191)=0,AND('Choix pédagogiques'!$C$3&lt;&gt;1,'Choix pédagogiques'!$C$3&lt;&gt;2)),"",IF(AND(OR('Choix pédagogiques'!$C$3=1,'Choix pédagogiques'!$C$3=2),AND($G192&lt;&gt;"",$H192&lt;&gt;"",$I192&lt;&gt;"")),1,0))</f>
        <v/>
      </c>
      <c r="BO192" s="52" t="str">
        <f aca="false">IF(OR(COUNT(B192:D1191)=0,COUNT(G192:I1191)=0,'Choix pédagogiques'!C$3&lt;&gt;3),"",IF(AND('Choix pédagogiques'!$C$3=3,$B192&lt;&gt;"",$C192&lt;&gt;"",$D192&lt;&gt;"",$G192&lt;&gt;"",$H192&lt;&gt;"",$I192&lt;&gt;""),1,0))</f>
        <v/>
      </c>
      <c r="BR192" s="52" t="n">
        <v>891</v>
      </c>
      <c r="BS192" s="52" t="n">
        <v>1352</v>
      </c>
    </row>
    <row r="193" s="54" customFormat="true" ht="18" hidden="false" customHeight="true" outlineLevel="0" collapsed="false">
      <c r="A193" s="57" t="s">
        <v>317</v>
      </c>
      <c r="B193" s="51"/>
      <c r="C193" s="51"/>
      <c r="D193" s="51"/>
      <c r="E193" s="51"/>
      <c r="F193" s="57" t="s">
        <v>318</v>
      </c>
      <c r="G193" s="51"/>
      <c r="H193" s="51"/>
      <c r="I193" s="51"/>
      <c r="J193" s="51"/>
      <c r="K193" s="52" t="str">
        <f aca="false">IF($A193&lt;&gt;"",$A193,"")</f>
        <v>Apprenant 181</v>
      </c>
      <c r="L193" s="53" t="str">
        <f aca="false">IF(AND($B193&lt;&gt;"",$C193&lt;&gt;""),$C193-$B193,"")</f>
        <v/>
      </c>
      <c r="M193" s="53" t="str">
        <f aca="false">IF(AND($B193&lt;&gt;"",$D193&lt;&gt;""),$D193-$B193,"")</f>
        <v/>
      </c>
      <c r="N193" s="53" t="str">
        <f aca="false">IF(AND($C193&lt;&gt;"",$D193&lt;&gt;""),$D193-$C193,"")</f>
        <v/>
      </c>
      <c r="O193" s="53" t="str">
        <f aca="false">IF($E193&lt;&gt;"",$E193,"")</f>
        <v/>
      </c>
      <c r="P193" s="52" t="str">
        <f aca="false">IF($F193&lt;&gt;"",$F193,"")</f>
        <v>Apprenant 181 ou 181'</v>
      </c>
      <c r="Q193" s="53" t="str">
        <f aca="false">IF(AND($G193&lt;&gt;"",$H193&lt;&gt;""),$H193-$G193,"")</f>
        <v/>
      </c>
      <c r="R193" s="53" t="str">
        <f aca="false">IF(AND($G193&lt;&gt;"",$I193&lt;&gt;""),$I193-$G193,"")</f>
        <v/>
      </c>
      <c r="S193" s="53" t="str">
        <f aca="false">IF(AND($H193&lt;&gt;"",$I193&lt;&gt;""),$I193-$H193,"")</f>
        <v/>
      </c>
      <c r="T193" s="53" t="str">
        <f aca="false">IF($J193&lt;&gt;"",$J193,"")</f>
        <v/>
      </c>
      <c r="V193" s="52" t="str">
        <f aca="false">IF($A193&lt;&gt;"",$A193,"")</f>
        <v>Apprenant 181</v>
      </c>
      <c r="W193" s="53" t="str">
        <f aca="false">IF(AND(OR('Choix pédagogiques'!$C$3=1,'Choix pédagogiques'!$C$3=2),$BM193=1),B193,IF(AND('Choix pédagogiques'!$C$3=3,$BO193=1),B193,""))</f>
        <v/>
      </c>
      <c r="X193" s="53" t="str">
        <f aca="false">IF(AND(OR('Choix pédagogiques'!$C$3=1,'Choix pédagogiques'!$C$3=2),$BM193=1),C193,IF(AND('Choix pédagogiques'!$C$3=3,$BO193=1),C193,""))</f>
        <v/>
      </c>
      <c r="Y193" s="53" t="str">
        <f aca="false">IF(AND(OR('Choix pédagogiques'!$C$3=1,'Choix pédagogiques'!$C$3=2),$BM193=1),D193,IF(AND('Choix pédagogiques'!$C$3=3,$BO193=1),D193,""))</f>
        <v/>
      </c>
      <c r="Z193" s="53" t="str">
        <f aca="false">IF($E193&lt;&gt;"",$E193,"")</f>
        <v/>
      </c>
      <c r="AA193" s="52" t="str">
        <f aca="false">IF($F193&lt;&gt;"",$F193,"")</f>
        <v>Apprenant 181 ou 181'</v>
      </c>
      <c r="AB193" s="53" t="str">
        <f aca="false">IF(AND(OR('Choix pédagogiques'!$C$3=1,'Choix pédagogiques'!$C$3=2),$BN193=1),G193,IF(AND('Choix pédagogiques'!$C$3=3,$BO193=1),G193,""))</f>
        <v/>
      </c>
      <c r="AC193" s="53" t="str">
        <f aca="false">IF(AND(OR('Choix pédagogiques'!$C$3=1,'Choix pédagogiques'!$C$3=2),$BN193=1),H193,IF(AND('Choix pédagogiques'!$C$3=3,$BO193=1),H193,""))</f>
        <v/>
      </c>
      <c r="AD193" s="53" t="str">
        <f aca="false">IF(AND(OR('Choix pédagogiques'!$C$3=1,'Choix pédagogiques'!$C$3=2),$BN193=1),I193,IF(AND('Choix pédagogiques'!$C$3=3,$BO193=1),I193,""))</f>
        <v/>
      </c>
      <c r="AE193" s="53" t="str">
        <f aca="false">IF($J193&lt;&gt;"",$J193,"")</f>
        <v/>
      </c>
      <c r="AF193" s="52" t="str">
        <f aca="false">IF($A193&lt;&gt;"",$A193,"")</f>
        <v>Apprenant 181</v>
      </c>
      <c r="AG193" s="53" t="str">
        <f aca="false">IF(AND($W193&lt;&gt;"",$X193&lt;&gt;""),$X193-$W193,"")</f>
        <v/>
      </c>
      <c r="AH193" s="53" t="str">
        <f aca="false">IF(AND($W193&lt;&gt;"",$Y193&lt;&gt;""),$Y193-$W193,"")</f>
        <v/>
      </c>
      <c r="AI193" s="53" t="str">
        <f aca="false">IF(AND($X193&lt;&gt;"",$Y193&lt;&gt;""),$Y193-$X193,"")</f>
        <v/>
      </c>
      <c r="AJ193" s="53" t="str">
        <f aca="false">IF($E193&lt;&gt;"",$E193,"")</f>
        <v/>
      </c>
      <c r="AK193" s="52" t="str">
        <f aca="false">IF($F193&lt;&gt;"",$F193,"")</f>
        <v>Apprenant 181 ou 181'</v>
      </c>
      <c r="AL193" s="53" t="str">
        <f aca="false">IF(AND($AB193&lt;&gt;"",$AC193&lt;&gt;""),$AC193-$AB193,"")</f>
        <v/>
      </c>
      <c r="AM193" s="53" t="str">
        <f aca="false">IF(AND($AB193&lt;&gt;"",$AD193&lt;&gt;""),$AD193-$AB193,"")</f>
        <v/>
      </c>
      <c r="AN193" s="53" t="str">
        <f aca="false">IF(AND($AC193&lt;&gt;"",$AD193&lt;&gt;""),$AD193-$AC193,"")</f>
        <v/>
      </c>
      <c r="AO193" s="53" t="str">
        <f aca="false">IF($J193&lt;&gt;"",$J193,"")</f>
        <v/>
      </c>
      <c r="AQ193" s="52" t="str">
        <f aca="false">IF($A193&lt;&gt;"",$A193,"")</f>
        <v>Apprenant 181</v>
      </c>
      <c r="AR193" s="55" t="str">
        <f aca="false">IF(AND('Choix pédagogiques'!$C$4&lt;&gt;"?",'Choix pédagogiques'!$C$5&lt;&gt;"?",W193&lt;&gt;""),(W193-'Choix pédagogiques'!$C$4)/('Choix pédagogiques'!$C$5-'Choix pédagogiques'!$C$4),"")</f>
        <v/>
      </c>
      <c r="AS193" s="55" t="str">
        <f aca="false">IF(AND('Choix pédagogiques'!$C$4&lt;&gt;"?",'Choix pédagogiques'!$C$5&lt;&gt;"?",X193&lt;&gt;""),(X193-'Choix pédagogiques'!$C$4)/('Choix pédagogiques'!$C$5-'Choix pédagogiques'!$C$4),"")</f>
        <v/>
      </c>
      <c r="AT193" s="55" t="str">
        <f aca="false">IF(AND('Choix pédagogiques'!$C$4&lt;&gt;"?",'Choix pédagogiques'!$C$5&lt;&gt;"?",Y193&lt;&gt;""),(Y193-'Choix pédagogiques'!$C$4)/('Choix pédagogiques'!$C$5-'Choix pédagogiques'!$C$4),"")</f>
        <v/>
      </c>
      <c r="AU193" s="53" t="str">
        <f aca="false">IF($E193&lt;&gt;"",$E193,"")</f>
        <v/>
      </c>
      <c r="AV193" s="52" t="str">
        <f aca="false">IF($F193&lt;&gt;"",$F193,"")</f>
        <v>Apprenant 181 ou 181'</v>
      </c>
      <c r="AW193" s="55" t="str">
        <f aca="false">IF(AND('Choix pédagogiques'!$C$4&lt;&gt;"?",'Choix pédagogiques'!$C$5&lt;&gt;"?",AB193&lt;&gt;""),(AB193-'Choix pédagogiques'!$C$4)/('Choix pédagogiques'!$C$5-'Choix pédagogiques'!$C$4),"")</f>
        <v/>
      </c>
      <c r="AX193" s="55" t="str">
        <f aca="false">IF(AND('Choix pédagogiques'!$C$4&lt;&gt;"?",'Choix pédagogiques'!$C$5&lt;&gt;"?",AC193&lt;&gt;""),(AC193-'Choix pédagogiques'!$C$4)/('Choix pédagogiques'!$C$5-'Choix pédagogiques'!$C$4),"")</f>
        <v/>
      </c>
      <c r="AY193" s="55" t="str">
        <f aca="false">IF(AND('Choix pédagogiques'!$C$4&lt;&gt;"?",'Choix pédagogiques'!$C$5&lt;&gt;"?",AD193&lt;&gt;""),(AD193-'Choix pédagogiques'!$C$4)/('Choix pédagogiques'!$C$5-'Choix pédagogiques'!$C$4),"")</f>
        <v/>
      </c>
      <c r="AZ193" s="53" t="str">
        <f aca="false">IF($J193&lt;&gt;"",$J193,"")</f>
        <v/>
      </c>
      <c r="BA193" s="52" t="str">
        <f aca="false">IF($A193&lt;&gt;"",$A193,"")</f>
        <v>Apprenant 181</v>
      </c>
      <c r="BB193" s="55" t="str">
        <f aca="false">IF(AND($AR193&lt;&gt;"",$AS193&lt;&gt;""),$AS193-$AR193,"")</f>
        <v/>
      </c>
      <c r="BC193" s="55" t="str">
        <f aca="false">IF(AND($AR193&lt;&gt;"",$AT193&lt;&gt;""),$AT193-$AR193,"")</f>
        <v/>
      </c>
      <c r="BD193" s="55" t="str">
        <f aca="false">IF(AND($AS193&lt;&gt;"",$AT193&lt;&gt;""),$AT193-$AS193,"")</f>
        <v/>
      </c>
      <c r="BE193" s="53" t="str">
        <f aca="false">IF($E193&lt;&gt;"",$E193,"")</f>
        <v/>
      </c>
      <c r="BF193" s="52" t="str">
        <f aca="false">IF($F193&lt;&gt;"",$F193,"")</f>
        <v>Apprenant 181 ou 181'</v>
      </c>
      <c r="BG193" s="55" t="str">
        <f aca="false">IF(AND($AW193&lt;&gt;"",$AX193&lt;&gt;""),$AX193-$AW193,"")</f>
        <v/>
      </c>
      <c r="BH193" s="55" t="str">
        <f aca="false">IF(AND($AW193&lt;&gt;"",$AY193&lt;&gt;""),$AY193-$AW193,"")</f>
        <v/>
      </c>
      <c r="BI193" s="55" t="str">
        <f aca="false">IF(AND($AX193&lt;&gt;"",$AY193&lt;&gt;""),$AY193-$AX193,"")</f>
        <v/>
      </c>
      <c r="BJ193" s="53" t="str">
        <f aca="false">IF($J193&lt;&gt;"",$J193,"")</f>
        <v/>
      </c>
      <c r="BL193" s="52"/>
      <c r="BM193" s="52" t="str">
        <f aca="false">IF(OR(COUNT(B193:D1192)=0,AND('Choix pédagogiques'!$C$3&lt;&gt;1,'Choix pédagogiques'!$C$3&lt;&gt;2)),"",IF(AND(OR('Choix pédagogiques'!$C$3=1,'Choix pédagogiques'!$C$3=2),$B193&lt;&gt;"",$C193&lt;&gt;"",$D193&lt;&gt;""),1,0))</f>
        <v/>
      </c>
      <c r="BN193" s="52" t="str">
        <f aca="false">IF(OR(COUNT(G193:I1192)=0,AND('Choix pédagogiques'!$C$3&lt;&gt;1,'Choix pédagogiques'!$C$3&lt;&gt;2)),"",IF(AND(OR('Choix pédagogiques'!$C$3=1,'Choix pédagogiques'!$C$3=2),AND($G193&lt;&gt;"",$H193&lt;&gt;"",$I193&lt;&gt;"")),1,0))</f>
        <v/>
      </c>
      <c r="BO193" s="52" t="str">
        <f aca="false">IF(OR(COUNT(B193:D1192)=0,COUNT(G193:I1192)=0,'Choix pédagogiques'!C$3&lt;&gt;3),"",IF(AND('Choix pédagogiques'!$C$3=3,$B193&lt;&gt;"",$C193&lt;&gt;"",$D193&lt;&gt;"",$G193&lt;&gt;"",$H193&lt;&gt;"",$I193&lt;&gt;""),1,0))</f>
        <v/>
      </c>
      <c r="BR193" s="52" t="n">
        <v>202</v>
      </c>
      <c r="BS193" s="52" t="n">
        <v>1522</v>
      </c>
    </row>
    <row r="194" s="54" customFormat="true" ht="18" hidden="false" customHeight="true" outlineLevel="0" collapsed="false">
      <c r="A194" s="57" t="s">
        <v>319</v>
      </c>
      <c r="B194" s="51"/>
      <c r="C194" s="51"/>
      <c r="D194" s="51"/>
      <c r="E194" s="51"/>
      <c r="F194" s="57" t="s">
        <v>320</v>
      </c>
      <c r="G194" s="51"/>
      <c r="H194" s="51"/>
      <c r="I194" s="51"/>
      <c r="J194" s="51"/>
      <c r="K194" s="52" t="str">
        <f aca="false">IF($A194&lt;&gt;"",$A194,"")</f>
        <v>Apprenant 182</v>
      </c>
      <c r="L194" s="53" t="str">
        <f aca="false">IF(AND($B194&lt;&gt;"",$C194&lt;&gt;""),$C194-$B194,"")</f>
        <v/>
      </c>
      <c r="M194" s="53" t="str">
        <f aca="false">IF(AND($B194&lt;&gt;"",$D194&lt;&gt;""),$D194-$B194,"")</f>
        <v/>
      </c>
      <c r="N194" s="53" t="str">
        <f aca="false">IF(AND($C194&lt;&gt;"",$D194&lt;&gt;""),$D194-$C194,"")</f>
        <v/>
      </c>
      <c r="O194" s="53" t="str">
        <f aca="false">IF($E194&lt;&gt;"",$E194,"")</f>
        <v/>
      </c>
      <c r="P194" s="52" t="str">
        <f aca="false">IF($F194&lt;&gt;"",$F194,"")</f>
        <v>Apprenant 182 ou 182'</v>
      </c>
      <c r="Q194" s="53" t="str">
        <f aca="false">IF(AND($G194&lt;&gt;"",$H194&lt;&gt;""),$H194-$G194,"")</f>
        <v/>
      </c>
      <c r="R194" s="53" t="str">
        <f aca="false">IF(AND($G194&lt;&gt;"",$I194&lt;&gt;""),$I194-$G194,"")</f>
        <v/>
      </c>
      <c r="S194" s="53" t="str">
        <f aca="false">IF(AND($H194&lt;&gt;"",$I194&lt;&gt;""),$I194-$H194,"")</f>
        <v/>
      </c>
      <c r="T194" s="53" t="str">
        <f aca="false">IF($J194&lt;&gt;"",$J194,"")</f>
        <v/>
      </c>
      <c r="V194" s="52" t="str">
        <f aca="false">IF($A194&lt;&gt;"",$A194,"")</f>
        <v>Apprenant 182</v>
      </c>
      <c r="W194" s="53" t="str">
        <f aca="false">IF(AND(OR('Choix pédagogiques'!$C$3=1,'Choix pédagogiques'!$C$3=2),$BM194=1),B194,IF(AND('Choix pédagogiques'!$C$3=3,$BO194=1),B194,""))</f>
        <v/>
      </c>
      <c r="X194" s="53" t="str">
        <f aca="false">IF(AND(OR('Choix pédagogiques'!$C$3=1,'Choix pédagogiques'!$C$3=2),$BM194=1),C194,IF(AND('Choix pédagogiques'!$C$3=3,$BO194=1),C194,""))</f>
        <v/>
      </c>
      <c r="Y194" s="53" t="str">
        <f aca="false">IF(AND(OR('Choix pédagogiques'!$C$3=1,'Choix pédagogiques'!$C$3=2),$BM194=1),D194,IF(AND('Choix pédagogiques'!$C$3=3,$BO194=1),D194,""))</f>
        <v/>
      </c>
      <c r="Z194" s="53" t="str">
        <f aca="false">IF($E194&lt;&gt;"",$E194,"")</f>
        <v/>
      </c>
      <c r="AA194" s="52" t="str">
        <f aca="false">IF($F194&lt;&gt;"",$F194,"")</f>
        <v>Apprenant 182 ou 182'</v>
      </c>
      <c r="AB194" s="53" t="str">
        <f aca="false">IF(AND(OR('Choix pédagogiques'!$C$3=1,'Choix pédagogiques'!$C$3=2),$BN194=1),G194,IF(AND('Choix pédagogiques'!$C$3=3,$BO194=1),G194,""))</f>
        <v/>
      </c>
      <c r="AC194" s="53" t="str">
        <f aca="false">IF(AND(OR('Choix pédagogiques'!$C$3=1,'Choix pédagogiques'!$C$3=2),$BN194=1),H194,IF(AND('Choix pédagogiques'!$C$3=3,$BO194=1),H194,""))</f>
        <v/>
      </c>
      <c r="AD194" s="53" t="str">
        <f aca="false">IF(AND(OR('Choix pédagogiques'!$C$3=1,'Choix pédagogiques'!$C$3=2),$BN194=1),I194,IF(AND('Choix pédagogiques'!$C$3=3,$BO194=1),I194,""))</f>
        <v/>
      </c>
      <c r="AE194" s="53" t="str">
        <f aca="false">IF($J194&lt;&gt;"",$J194,"")</f>
        <v/>
      </c>
      <c r="AF194" s="52" t="str">
        <f aca="false">IF($A194&lt;&gt;"",$A194,"")</f>
        <v>Apprenant 182</v>
      </c>
      <c r="AG194" s="53" t="str">
        <f aca="false">IF(AND($W194&lt;&gt;"",$X194&lt;&gt;""),$X194-$W194,"")</f>
        <v/>
      </c>
      <c r="AH194" s="53" t="str">
        <f aca="false">IF(AND($W194&lt;&gt;"",$Y194&lt;&gt;""),$Y194-$W194,"")</f>
        <v/>
      </c>
      <c r="AI194" s="53" t="str">
        <f aca="false">IF(AND($X194&lt;&gt;"",$Y194&lt;&gt;""),$Y194-$X194,"")</f>
        <v/>
      </c>
      <c r="AJ194" s="53" t="str">
        <f aca="false">IF($E194&lt;&gt;"",$E194,"")</f>
        <v/>
      </c>
      <c r="AK194" s="52" t="str">
        <f aca="false">IF($F194&lt;&gt;"",$F194,"")</f>
        <v>Apprenant 182 ou 182'</v>
      </c>
      <c r="AL194" s="53" t="str">
        <f aca="false">IF(AND($AB194&lt;&gt;"",$AC194&lt;&gt;""),$AC194-$AB194,"")</f>
        <v/>
      </c>
      <c r="AM194" s="53" t="str">
        <f aca="false">IF(AND($AB194&lt;&gt;"",$AD194&lt;&gt;""),$AD194-$AB194,"")</f>
        <v/>
      </c>
      <c r="AN194" s="53" t="str">
        <f aca="false">IF(AND($AC194&lt;&gt;"",$AD194&lt;&gt;""),$AD194-$AC194,"")</f>
        <v/>
      </c>
      <c r="AO194" s="53" t="str">
        <f aca="false">IF($J194&lt;&gt;"",$J194,"")</f>
        <v/>
      </c>
      <c r="AQ194" s="52" t="str">
        <f aca="false">IF($A194&lt;&gt;"",$A194,"")</f>
        <v>Apprenant 182</v>
      </c>
      <c r="AR194" s="55" t="str">
        <f aca="false">IF(AND('Choix pédagogiques'!$C$4&lt;&gt;"?",'Choix pédagogiques'!$C$5&lt;&gt;"?",W194&lt;&gt;""),(W194-'Choix pédagogiques'!$C$4)/('Choix pédagogiques'!$C$5-'Choix pédagogiques'!$C$4),"")</f>
        <v/>
      </c>
      <c r="AS194" s="55" t="str">
        <f aca="false">IF(AND('Choix pédagogiques'!$C$4&lt;&gt;"?",'Choix pédagogiques'!$C$5&lt;&gt;"?",X194&lt;&gt;""),(X194-'Choix pédagogiques'!$C$4)/('Choix pédagogiques'!$C$5-'Choix pédagogiques'!$C$4),"")</f>
        <v/>
      </c>
      <c r="AT194" s="55" t="str">
        <f aca="false">IF(AND('Choix pédagogiques'!$C$4&lt;&gt;"?",'Choix pédagogiques'!$C$5&lt;&gt;"?",Y194&lt;&gt;""),(Y194-'Choix pédagogiques'!$C$4)/('Choix pédagogiques'!$C$5-'Choix pédagogiques'!$C$4),"")</f>
        <v/>
      </c>
      <c r="AU194" s="53" t="str">
        <f aca="false">IF($E194&lt;&gt;"",$E194,"")</f>
        <v/>
      </c>
      <c r="AV194" s="52" t="str">
        <f aca="false">IF($F194&lt;&gt;"",$F194,"")</f>
        <v>Apprenant 182 ou 182'</v>
      </c>
      <c r="AW194" s="55" t="str">
        <f aca="false">IF(AND('Choix pédagogiques'!$C$4&lt;&gt;"?",'Choix pédagogiques'!$C$5&lt;&gt;"?",AB194&lt;&gt;""),(AB194-'Choix pédagogiques'!$C$4)/('Choix pédagogiques'!$C$5-'Choix pédagogiques'!$C$4),"")</f>
        <v/>
      </c>
      <c r="AX194" s="55" t="str">
        <f aca="false">IF(AND('Choix pédagogiques'!$C$4&lt;&gt;"?",'Choix pédagogiques'!$C$5&lt;&gt;"?",AC194&lt;&gt;""),(AC194-'Choix pédagogiques'!$C$4)/('Choix pédagogiques'!$C$5-'Choix pédagogiques'!$C$4),"")</f>
        <v/>
      </c>
      <c r="AY194" s="55" t="str">
        <f aca="false">IF(AND('Choix pédagogiques'!$C$4&lt;&gt;"?",'Choix pédagogiques'!$C$5&lt;&gt;"?",AD194&lt;&gt;""),(AD194-'Choix pédagogiques'!$C$4)/('Choix pédagogiques'!$C$5-'Choix pédagogiques'!$C$4),"")</f>
        <v/>
      </c>
      <c r="AZ194" s="53" t="str">
        <f aca="false">IF($J194&lt;&gt;"",$J194,"")</f>
        <v/>
      </c>
      <c r="BA194" s="52" t="str">
        <f aca="false">IF($A194&lt;&gt;"",$A194,"")</f>
        <v>Apprenant 182</v>
      </c>
      <c r="BB194" s="55" t="str">
        <f aca="false">IF(AND($AR194&lt;&gt;"",$AS194&lt;&gt;""),$AS194-$AR194,"")</f>
        <v/>
      </c>
      <c r="BC194" s="55" t="str">
        <f aca="false">IF(AND($AR194&lt;&gt;"",$AT194&lt;&gt;""),$AT194-$AR194,"")</f>
        <v/>
      </c>
      <c r="BD194" s="55" t="str">
        <f aca="false">IF(AND($AS194&lt;&gt;"",$AT194&lt;&gt;""),$AT194-$AS194,"")</f>
        <v/>
      </c>
      <c r="BE194" s="53" t="str">
        <f aca="false">IF($E194&lt;&gt;"",$E194,"")</f>
        <v/>
      </c>
      <c r="BF194" s="52" t="str">
        <f aca="false">IF($F194&lt;&gt;"",$F194,"")</f>
        <v>Apprenant 182 ou 182'</v>
      </c>
      <c r="BG194" s="55" t="str">
        <f aca="false">IF(AND($AW194&lt;&gt;"",$AX194&lt;&gt;""),$AX194-$AW194,"")</f>
        <v/>
      </c>
      <c r="BH194" s="55" t="str">
        <f aca="false">IF(AND($AW194&lt;&gt;"",$AY194&lt;&gt;""),$AY194-$AW194,"")</f>
        <v/>
      </c>
      <c r="BI194" s="55" t="str">
        <f aca="false">IF(AND($AX194&lt;&gt;"",$AY194&lt;&gt;""),$AY194-$AX194,"")</f>
        <v/>
      </c>
      <c r="BJ194" s="53" t="str">
        <f aca="false">IF($J194&lt;&gt;"",$J194,"")</f>
        <v/>
      </c>
      <c r="BL194" s="52"/>
      <c r="BM194" s="52" t="str">
        <f aca="false">IF(OR(COUNT(B194:D1193)=0,AND('Choix pédagogiques'!$C$3&lt;&gt;1,'Choix pédagogiques'!$C$3&lt;&gt;2)),"",IF(AND(OR('Choix pédagogiques'!$C$3=1,'Choix pédagogiques'!$C$3=2),$B194&lt;&gt;"",$C194&lt;&gt;"",$D194&lt;&gt;""),1,0))</f>
        <v/>
      </c>
      <c r="BN194" s="52" t="str">
        <f aca="false">IF(OR(COUNT(G194:I1193)=0,AND('Choix pédagogiques'!$C$3&lt;&gt;1,'Choix pédagogiques'!$C$3&lt;&gt;2)),"",IF(AND(OR('Choix pédagogiques'!$C$3=1,'Choix pédagogiques'!$C$3=2),AND($G194&lt;&gt;"",$H194&lt;&gt;"",$I194&lt;&gt;"")),1,0))</f>
        <v/>
      </c>
      <c r="BO194" s="52" t="str">
        <f aca="false">IF(OR(COUNT(B194:D1193)=0,COUNT(G194:I1193)=0,'Choix pédagogiques'!C$3&lt;&gt;3),"",IF(AND('Choix pédagogiques'!$C$3=3,$B194&lt;&gt;"",$C194&lt;&gt;"",$D194&lt;&gt;"",$G194&lt;&gt;"",$H194&lt;&gt;"",$I194&lt;&gt;""),1,0))</f>
        <v/>
      </c>
      <c r="BR194" s="52" t="n">
        <v>743</v>
      </c>
      <c r="BS194" s="52" t="n">
        <v>1887</v>
      </c>
    </row>
    <row r="195" s="54" customFormat="true" ht="18" hidden="false" customHeight="true" outlineLevel="0" collapsed="false">
      <c r="A195" s="57" t="s">
        <v>321</v>
      </c>
      <c r="B195" s="51"/>
      <c r="C195" s="51"/>
      <c r="D195" s="51"/>
      <c r="E195" s="51"/>
      <c r="F195" s="57" t="s">
        <v>322</v>
      </c>
      <c r="G195" s="51"/>
      <c r="H195" s="51"/>
      <c r="I195" s="51"/>
      <c r="J195" s="51"/>
      <c r="K195" s="52" t="str">
        <f aca="false">IF($A195&lt;&gt;"",$A195,"")</f>
        <v>Apprenant 183</v>
      </c>
      <c r="L195" s="53" t="str">
        <f aca="false">IF(AND($B195&lt;&gt;"",$C195&lt;&gt;""),$C195-$B195,"")</f>
        <v/>
      </c>
      <c r="M195" s="53" t="str">
        <f aca="false">IF(AND($B195&lt;&gt;"",$D195&lt;&gt;""),$D195-$B195,"")</f>
        <v/>
      </c>
      <c r="N195" s="53" t="str">
        <f aca="false">IF(AND($C195&lt;&gt;"",$D195&lt;&gt;""),$D195-$C195,"")</f>
        <v/>
      </c>
      <c r="O195" s="53" t="str">
        <f aca="false">IF($E195&lt;&gt;"",$E195,"")</f>
        <v/>
      </c>
      <c r="P195" s="52" t="str">
        <f aca="false">IF($F195&lt;&gt;"",$F195,"")</f>
        <v>Apprenant 183 ou 183'</v>
      </c>
      <c r="Q195" s="53" t="str">
        <f aca="false">IF(AND($G195&lt;&gt;"",$H195&lt;&gt;""),$H195-$G195,"")</f>
        <v/>
      </c>
      <c r="R195" s="53" t="str">
        <f aca="false">IF(AND($G195&lt;&gt;"",$I195&lt;&gt;""),$I195-$G195,"")</f>
        <v/>
      </c>
      <c r="S195" s="53" t="str">
        <f aca="false">IF(AND($H195&lt;&gt;"",$I195&lt;&gt;""),$I195-$H195,"")</f>
        <v/>
      </c>
      <c r="T195" s="53" t="str">
        <f aca="false">IF($J195&lt;&gt;"",$J195,"")</f>
        <v/>
      </c>
      <c r="V195" s="52" t="str">
        <f aca="false">IF($A195&lt;&gt;"",$A195,"")</f>
        <v>Apprenant 183</v>
      </c>
      <c r="W195" s="53" t="str">
        <f aca="false">IF(AND(OR('Choix pédagogiques'!$C$3=1,'Choix pédagogiques'!$C$3=2),$BM195=1),B195,IF(AND('Choix pédagogiques'!$C$3=3,$BO195=1),B195,""))</f>
        <v/>
      </c>
      <c r="X195" s="53" t="str">
        <f aca="false">IF(AND(OR('Choix pédagogiques'!$C$3=1,'Choix pédagogiques'!$C$3=2),$BM195=1),C195,IF(AND('Choix pédagogiques'!$C$3=3,$BO195=1),C195,""))</f>
        <v/>
      </c>
      <c r="Y195" s="53" t="str">
        <f aca="false">IF(AND(OR('Choix pédagogiques'!$C$3=1,'Choix pédagogiques'!$C$3=2),$BM195=1),D195,IF(AND('Choix pédagogiques'!$C$3=3,$BO195=1),D195,""))</f>
        <v/>
      </c>
      <c r="Z195" s="53" t="str">
        <f aca="false">IF($E195&lt;&gt;"",$E195,"")</f>
        <v/>
      </c>
      <c r="AA195" s="52" t="str">
        <f aca="false">IF($F195&lt;&gt;"",$F195,"")</f>
        <v>Apprenant 183 ou 183'</v>
      </c>
      <c r="AB195" s="53" t="str">
        <f aca="false">IF(AND(OR('Choix pédagogiques'!$C$3=1,'Choix pédagogiques'!$C$3=2),$BN195=1),G195,IF(AND('Choix pédagogiques'!$C$3=3,$BO195=1),G195,""))</f>
        <v/>
      </c>
      <c r="AC195" s="53" t="str">
        <f aca="false">IF(AND(OR('Choix pédagogiques'!$C$3=1,'Choix pédagogiques'!$C$3=2),$BN195=1),H195,IF(AND('Choix pédagogiques'!$C$3=3,$BO195=1),H195,""))</f>
        <v/>
      </c>
      <c r="AD195" s="53" t="str">
        <f aca="false">IF(AND(OR('Choix pédagogiques'!$C$3=1,'Choix pédagogiques'!$C$3=2),$BN195=1),I195,IF(AND('Choix pédagogiques'!$C$3=3,$BO195=1),I195,""))</f>
        <v/>
      </c>
      <c r="AE195" s="53" t="str">
        <f aca="false">IF($J195&lt;&gt;"",$J195,"")</f>
        <v/>
      </c>
      <c r="AF195" s="52" t="str">
        <f aca="false">IF($A195&lt;&gt;"",$A195,"")</f>
        <v>Apprenant 183</v>
      </c>
      <c r="AG195" s="53" t="str">
        <f aca="false">IF(AND($W195&lt;&gt;"",$X195&lt;&gt;""),$X195-$W195,"")</f>
        <v/>
      </c>
      <c r="AH195" s="53" t="str">
        <f aca="false">IF(AND($W195&lt;&gt;"",$Y195&lt;&gt;""),$Y195-$W195,"")</f>
        <v/>
      </c>
      <c r="AI195" s="53" t="str">
        <f aca="false">IF(AND($X195&lt;&gt;"",$Y195&lt;&gt;""),$Y195-$X195,"")</f>
        <v/>
      </c>
      <c r="AJ195" s="53" t="str">
        <f aca="false">IF($E195&lt;&gt;"",$E195,"")</f>
        <v/>
      </c>
      <c r="AK195" s="52" t="str">
        <f aca="false">IF($F195&lt;&gt;"",$F195,"")</f>
        <v>Apprenant 183 ou 183'</v>
      </c>
      <c r="AL195" s="53" t="str">
        <f aca="false">IF(AND($AB195&lt;&gt;"",$AC195&lt;&gt;""),$AC195-$AB195,"")</f>
        <v/>
      </c>
      <c r="AM195" s="53" t="str">
        <f aca="false">IF(AND($AB195&lt;&gt;"",$AD195&lt;&gt;""),$AD195-$AB195,"")</f>
        <v/>
      </c>
      <c r="AN195" s="53" t="str">
        <f aca="false">IF(AND($AC195&lt;&gt;"",$AD195&lt;&gt;""),$AD195-$AC195,"")</f>
        <v/>
      </c>
      <c r="AO195" s="53" t="str">
        <f aca="false">IF($J195&lt;&gt;"",$J195,"")</f>
        <v/>
      </c>
      <c r="AQ195" s="52" t="str">
        <f aca="false">IF($A195&lt;&gt;"",$A195,"")</f>
        <v>Apprenant 183</v>
      </c>
      <c r="AR195" s="55" t="str">
        <f aca="false">IF(AND('Choix pédagogiques'!$C$4&lt;&gt;"?",'Choix pédagogiques'!$C$5&lt;&gt;"?",W195&lt;&gt;""),(W195-'Choix pédagogiques'!$C$4)/('Choix pédagogiques'!$C$5-'Choix pédagogiques'!$C$4),"")</f>
        <v/>
      </c>
      <c r="AS195" s="55" t="str">
        <f aca="false">IF(AND('Choix pédagogiques'!$C$4&lt;&gt;"?",'Choix pédagogiques'!$C$5&lt;&gt;"?",X195&lt;&gt;""),(X195-'Choix pédagogiques'!$C$4)/('Choix pédagogiques'!$C$5-'Choix pédagogiques'!$C$4),"")</f>
        <v/>
      </c>
      <c r="AT195" s="55" t="str">
        <f aca="false">IF(AND('Choix pédagogiques'!$C$4&lt;&gt;"?",'Choix pédagogiques'!$C$5&lt;&gt;"?",Y195&lt;&gt;""),(Y195-'Choix pédagogiques'!$C$4)/('Choix pédagogiques'!$C$5-'Choix pédagogiques'!$C$4),"")</f>
        <v/>
      </c>
      <c r="AU195" s="53" t="str">
        <f aca="false">IF($E195&lt;&gt;"",$E195,"")</f>
        <v/>
      </c>
      <c r="AV195" s="52" t="str">
        <f aca="false">IF($F195&lt;&gt;"",$F195,"")</f>
        <v>Apprenant 183 ou 183'</v>
      </c>
      <c r="AW195" s="55" t="str">
        <f aca="false">IF(AND('Choix pédagogiques'!$C$4&lt;&gt;"?",'Choix pédagogiques'!$C$5&lt;&gt;"?",AB195&lt;&gt;""),(AB195-'Choix pédagogiques'!$C$4)/('Choix pédagogiques'!$C$5-'Choix pédagogiques'!$C$4),"")</f>
        <v/>
      </c>
      <c r="AX195" s="55" t="str">
        <f aca="false">IF(AND('Choix pédagogiques'!$C$4&lt;&gt;"?",'Choix pédagogiques'!$C$5&lt;&gt;"?",AC195&lt;&gt;""),(AC195-'Choix pédagogiques'!$C$4)/('Choix pédagogiques'!$C$5-'Choix pédagogiques'!$C$4),"")</f>
        <v/>
      </c>
      <c r="AY195" s="55" t="str">
        <f aca="false">IF(AND('Choix pédagogiques'!$C$4&lt;&gt;"?",'Choix pédagogiques'!$C$5&lt;&gt;"?",AD195&lt;&gt;""),(AD195-'Choix pédagogiques'!$C$4)/('Choix pédagogiques'!$C$5-'Choix pédagogiques'!$C$4),"")</f>
        <v/>
      </c>
      <c r="AZ195" s="53" t="str">
        <f aca="false">IF($J195&lt;&gt;"",$J195,"")</f>
        <v/>
      </c>
      <c r="BA195" s="52" t="str">
        <f aca="false">IF($A195&lt;&gt;"",$A195,"")</f>
        <v>Apprenant 183</v>
      </c>
      <c r="BB195" s="55" t="str">
        <f aca="false">IF(AND($AR195&lt;&gt;"",$AS195&lt;&gt;""),$AS195-$AR195,"")</f>
        <v/>
      </c>
      <c r="BC195" s="55" t="str">
        <f aca="false">IF(AND($AR195&lt;&gt;"",$AT195&lt;&gt;""),$AT195-$AR195,"")</f>
        <v/>
      </c>
      <c r="BD195" s="55" t="str">
        <f aca="false">IF(AND($AS195&lt;&gt;"",$AT195&lt;&gt;""),$AT195-$AS195,"")</f>
        <v/>
      </c>
      <c r="BE195" s="53" t="str">
        <f aca="false">IF($E195&lt;&gt;"",$E195,"")</f>
        <v/>
      </c>
      <c r="BF195" s="52" t="str">
        <f aca="false">IF($F195&lt;&gt;"",$F195,"")</f>
        <v>Apprenant 183 ou 183'</v>
      </c>
      <c r="BG195" s="55" t="str">
        <f aca="false">IF(AND($AW195&lt;&gt;"",$AX195&lt;&gt;""),$AX195-$AW195,"")</f>
        <v/>
      </c>
      <c r="BH195" s="55" t="str">
        <f aca="false">IF(AND($AW195&lt;&gt;"",$AY195&lt;&gt;""),$AY195-$AW195,"")</f>
        <v/>
      </c>
      <c r="BI195" s="55" t="str">
        <f aca="false">IF(AND($AX195&lt;&gt;"",$AY195&lt;&gt;""),$AY195-$AX195,"")</f>
        <v/>
      </c>
      <c r="BJ195" s="53" t="str">
        <f aca="false">IF($J195&lt;&gt;"",$J195,"")</f>
        <v/>
      </c>
      <c r="BL195" s="52"/>
      <c r="BM195" s="52" t="str">
        <f aca="false">IF(OR(COUNT(B195:D1194)=0,AND('Choix pédagogiques'!$C$3&lt;&gt;1,'Choix pédagogiques'!$C$3&lt;&gt;2)),"",IF(AND(OR('Choix pédagogiques'!$C$3=1,'Choix pédagogiques'!$C$3=2),$B195&lt;&gt;"",$C195&lt;&gt;"",$D195&lt;&gt;""),1,0))</f>
        <v/>
      </c>
      <c r="BN195" s="52" t="str">
        <f aca="false">IF(OR(COUNT(G195:I1194)=0,AND('Choix pédagogiques'!$C$3&lt;&gt;1,'Choix pédagogiques'!$C$3&lt;&gt;2)),"",IF(AND(OR('Choix pédagogiques'!$C$3=1,'Choix pédagogiques'!$C$3=2),AND($G195&lt;&gt;"",$H195&lt;&gt;"",$I195&lt;&gt;"")),1,0))</f>
        <v/>
      </c>
      <c r="BO195" s="52" t="str">
        <f aca="false">IF(OR(COUNT(B195:D1194)=0,COUNT(G195:I1194)=0,'Choix pédagogiques'!C$3&lt;&gt;3),"",IF(AND('Choix pédagogiques'!$C$3=3,$B195&lt;&gt;"",$C195&lt;&gt;"",$D195&lt;&gt;"",$G195&lt;&gt;"",$H195&lt;&gt;"",$I195&lt;&gt;""),1,0))</f>
        <v/>
      </c>
      <c r="BR195" s="52" t="n">
        <v>740</v>
      </c>
      <c r="BS195" s="52" t="n">
        <v>1497</v>
      </c>
    </row>
    <row r="196" s="54" customFormat="true" ht="18" hidden="false" customHeight="true" outlineLevel="0" collapsed="false">
      <c r="A196" s="57" t="s">
        <v>323</v>
      </c>
      <c r="B196" s="51"/>
      <c r="C196" s="51"/>
      <c r="D196" s="51"/>
      <c r="E196" s="51"/>
      <c r="F196" s="57" t="s">
        <v>324</v>
      </c>
      <c r="G196" s="51"/>
      <c r="H196" s="51"/>
      <c r="I196" s="51"/>
      <c r="J196" s="51"/>
      <c r="K196" s="52" t="str">
        <f aca="false">IF($A196&lt;&gt;"",$A196,"")</f>
        <v>Apprenant 184</v>
      </c>
      <c r="L196" s="53" t="str">
        <f aca="false">IF(AND($B196&lt;&gt;"",$C196&lt;&gt;""),$C196-$B196,"")</f>
        <v/>
      </c>
      <c r="M196" s="53" t="str">
        <f aca="false">IF(AND($B196&lt;&gt;"",$D196&lt;&gt;""),$D196-$B196,"")</f>
        <v/>
      </c>
      <c r="N196" s="53" t="str">
        <f aca="false">IF(AND($C196&lt;&gt;"",$D196&lt;&gt;""),$D196-$C196,"")</f>
        <v/>
      </c>
      <c r="O196" s="53" t="str">
        <f aca="false">IF($E196&lt;&gt;"",$E196,"")</f>
        <v/>
      </c>
      <c r="P196" s="52" t="str">
        <f aca="false">IF($F196&lt;&gt;"",$F196,"")</f>
        <v>Apprenant 184 ou 184'</v>
      </c>
      <c r="Q196" s="53" t="str">
        <f aca="false">IF(AND($G196&lt;&gt;"",$H196&lt;&gt;""),$H196-$G196,"")</f>
        <v/>
      </c>
      <c r="R196" s="53" t="str">
        <f aca="false">IF(AND($G196&lt;&gt;"",$I196&lt;&gt;""),$I196-$G196,"")</f>
        <v/>
      </c>
      <c r="S196" s="53" t="str">
        <f aca="false">IF(AND($H196&lt;&gt;"",$I196&lt;&gt;""),$I196-$H196,"")</f>
        <v/>
      </c>
      <c r="T196" s="53" t="str">
        <f aca="false">IF($J196&lt;&gt;"",$J196,"")</f>
        <v/>
      </c>
      <c r="V196" s="52" t="str">
        <f aca="false">IF($A196&lt;&gt;"",$A196,"")</f>
        <v>Apprenant 184</v>
      </c>
      <c r="W196" s="53" t="str">
        <f aca="false">IF(AND(OR('Choix pédagogiques'!$C$3=1,'Choix pédagogiques'!$C$3=2),$BM196=1),B196,IF(AND('Choix pédagogiques'!$C$3=3,$BO196=1),B196,""))</f>
        <v/>
      </c>
      <c r="X196" s="53" t="str">
        <f aca="false">IF(AND(OR('Choix pédagogiques'!$C$3=1,'Choix pédagogiques'!$C$3=2),$BM196=1),C196,IF(AND('Choix pédagogiques'!$C$3=3,$BO196=1),C196,""))</f>
        <v/>
      </c>
      <c r="Y196" s="53" t="str">
        <f aca="false">IF(AND(OR('Choix pédagogiques'!$C$3=1,'Choix pédagogiques'!$C$3=2),$BM196=1),D196,IF(AND('Choix pédagogiques'!$C$3=3,$BO196=1),D196,""))</f>
        <v/>
      </c>
      <c r="Z196" s="53" t="str">
        <f aca="false">IF($E196&lt;&gt;"",$E196,"")</f>
        <v/>
      </c>
      <c r="AA196" s="52" t="str">
        <f aca="false">IF($F196&lt;&gt;"",$F196,"")</f>
        <v>Apprenant 184 ou 184'</v>
      </c>
      <c r="AB196" s="53" t="str">
        <f aca="false">IF(AND(OR('Choix pédagogiques'!$C$3=1,'Choix pédagogiques'!$C$3=2),$BN196=1),G196,IF(AND('Choix pédagogiques'!$C$3=3,$BO196=1),G196,""))</f>
        <v/>
      </c>
      <c r="AC196" s="53" t="str">
        <f aca="false">IF(AND(OR('Choix pédagogiques'!$C$3=1,'Choix pédagogiques'!$C$3=2),$BN196=1),H196,IF(AND('Choix pédagogiques'!$C$3=3,$BO196=1),H196,""))</f>
        <v/>
      </c>
      <c r="AD196" s="53" t="str">
        <f aca="false">IF(AND(OR('Choix pédagogiques'!$C$3=1,'Choix pédagogiques'!$C$3=2),$BN196=1),I196,IF(AND('Choix pédagogiques'!$C$3=3,$BO196=1),I196,""))</f>
        <v/>
      </c>
      <c r="AE196" s="53" t="str">
        <f aca="false">IF($J196&lt;&gt;"",$J196,"")</f>
        <v/>
      </c>
      <c r="AF196" s="52" t="str">
        <f aca="false">IF($A196&lt;&gt;"",$A196,"")</f>
        <v>Apprenant 184</v>
      </c>
      <c r="AG196" s="53" t="str">
        <f aca="false">IF(AND($W196&lt;&gt;"",$X196&lt;&gt;""),$X196-$W196,"")</f>
        <v/>
      </c>
      <c r="AH196" s="53" t="str">
        <f aca="false">IF(AND($W196&lt;&gt;"",$Y196&lt;&gt;""),$Y196-$W196,"")</f>
        <v/>
      </c>
      <c r="AI196" s="53" t="str">
        <f aca="false">IF(AND($X196&lt;&gt;"",$Y196&lt;&gt;""),$Y196-$X196,"")</f>
        <v/>
      </c>
      <c r="AJ196" s="53" t="str">
        <f aca="false">IF($E196&lt;&gt;"",$E196,"")</f>
        <v/>
      </c>
      <c r="AK196" s="52" t="str">
        <f aca="false">IF($F196&lt;&gt;"",$F196,"")</f>
        <v>Apprenant 184 ou 184'</v>
      </c>
      <c r="AL196" s="53" t="str">
        <f aca="false">IF(AND($AB196&lt;&gt;"",$AC196&lt;&gt;""),$AC196-$AB196,"")</f>
        <v/>
      </c>
      <c r="AM196" s="53" t="str">
        <f aca="false">IF(AND($AB196&lt;&gt;"",$AD196&lt;&gt;""),$AD196-$AB196,"")</f>
        <v/>
      </c>
      <c r="AN196" s="53" t="str">
        <f aca="false">IF(AND($AC196&lt;&gt;"",$AD196&lt;&gt;""),$AD196-$AC196,"")</f>
        <v/>
      </c>
      <c r="AO196" s="53" t="str">
        <f aca="false">IF($J196&lt;&gt;"",$J196,"")</f>
        <v/>
      </c>
      <c r="AQ196" s="52" t="str">
        <f aca="false">IF($A196&lt;&gt;"",$A196,"")</f>
        <v>Apprenant 184</v>
      </c>
      <c r="AR196" s="55" t="str">
        <f aca="false">IF(AND('Choix pédagogiques'!$C$4&lt;&gt;"?",'Choix pédagogiques'!$C$5&lt;&gt;"?",W196&lt;&gt;""),(W196-'Choix pédagogiques'!$C$4)/('Choix pédagogiques'!$C$5-'Choix pédagogiques'!$C$4),"")</f>
        <v/>
      </c>
      <c r="AS196" s="55" t="str">
        <f aca="false">IF(AND('Choix pédagogiques'!$C$4&lt;&gt;"?",'Choix pédagogiques'!$C$5&lt;&gt;"?",X196&lt;&gt;""),(X196-'Choix pédagogiques'!$C$4)/('Choix pédagogiques'!$C$5-'Choix pédagogiques'!$C$4),"")</f>
        <v/>
      </c>
      <c r="AT196" s="55" t="str">
        <f aca="false">IF(AND('Choix pédagogiques'!$C$4&lt;&gt;"?",'Choix pédagogiques'!$C$5&lt;&gt;"?",Y196&lt;&gt;""),(Y196-'Choix pédagogiques'!$C$4)/('Choix pédagogiques'!$C$5-'Choix pédagogiques'!$C$4),"")</f>
        <v/>
      </c>
      <c r="AU196" s="53" t="str">
        <f aca="false">IF($E196&lt;&gt;"",$E196,"")</f>
        <v/>
      </c>
      <c r="AV196" s="52" t="str">
        <f aca="false">IF($F196&lt;&gt;"",$F196,"")</f>
        <v>Apprenant 184 ou 184'</v>
      </c>
      <c r="AW196" s="55" t="str">
        <f aca="false">IF(AND('Choix pédagogiques'!$C$4&lt;&gt;"?",'Choix pédagogiques'!$C$5&lt;&gt;"?",AB196&lt;&gt;""),(AB196-'Choix pédagogiques'!$C$4)/('Choix pédagogiques'!$C$5-'Choix pédagogiques'!$C$4),"")</f>
        <v/>
      </c>
      <c r="AX196" s="55" t="str">
        <f aca="false">IF(AND('Choix pédagogiques'!$C$4&lt;&gt;"?",'Choix pédagogiques'!$C$5&lt;&gt;"?",AC196&lt;&gt;""),(AC196-'Choix pédagogiques'!$C$4)/('Choix pédagogiques'!$C$5-'Choix pédagogiques'!$C$4),"")</f>
        <v/>
      </c>
      <c r="AY196" s="55" t="str">
        <f aca="false">IF(AND('Choix pédagogiques'!$C$4&lt;&gt;"?",'Choix pédagogiques'!$C$5&lt;&gt;"?",AD196&lt;&gt;""),(AD196-'Choix pédagogiques'!$C$4)/('Choix pédagogiques'!$C$5-'Choix pédagogiques'!$C$4),"")</f>
        <v/>
      </c>
      <c r="AZ196" s="53" t="str">
        <f aca="false">IF($J196&lt;&gt;"",$J196,"")</f>
        <v/>
      </c>
      <c r="BA196" s="52" t="str">
        <f aca="false">IF($A196&lt;&gt;"",$A196,"")</f>
        <v>Apprenant 184</v>
      </c>
      <c r="BB196" s="55" t="str">
        <f aca="false">IF(AND($AR196&lt;&gt;"",$AS196&lt;&gt;""),$AS196-$AR196,"")</f>
        <v/>
      </c>
      <c r="BC196" s="55" t="str">
        <f aca="false">IF(AND($AR196&lt;&gt;"",$AT196&lt;&gt;""),$AT196-$AR196,"")</f>
        <v/>
      </c>
      <c r="BD196" s="55" t="str">
        <f aca="false">IF(AND($AS196&lt;&gt;"",$AT196&lt;&gt;""),$AT196-$AS196,"")</f>
        <v/>
      </c>
      <c r="BE196" s="53" t="str">
        <f aca="false">IF($E196&lt;&gt;"",$E196,"")</f>
        <v/>
      </c>
      <c r="BF196" s="52" t="str">
        <f aca="false">IF($F196&lt;&gt;"",$F196,"")</f>
        <v>Apprenant 184 ou 184'</v>
      </c>
      <c r="BG196" s="55" t="str">
        <f aca="false">IF(AND($AW196&lt;&gt;"",$AX196&lt;&gt;""),$AX196-$AW196,"")</f>
        <v/>
      </c>
      <c r="BH196" s="55" t="str">
        <f aca="false">IF(AND($AW196&lt;&gt;"",$AY196&lt;&gt;""),$AY196-$AW196,"")</f>
        <v/>
      </c>
      <c r="BI196" s="55" t="str">
        <f aca="false">IF(AND($AX196&lt;&gt;"",$AY196&lt;&gt;""),$AY196-$AX196,"")</f>
        <v/>
      </c>
      <c r="BJ196" s="53" t="str">
        <f aca="false">IF($J196&lt;&gt;"",$J196,"")</f>
        <v/>
      </c>
      <c r="BL196" s="52"/>
      <c r="BM196" s="52" t="str">
        <f aca="false">IF(OR(COUNT(B196:D1195)=0,AND('Choix pédagogiques'!$C$3&lt;&gt;1,'Choix pédagogiques'!$C$3&lt;&gt;2)),"",IF(AND(OR('Choix pédagogiques'!$C$3=1,'Choix pédagogiques'!$C$3=2),$B196&lt;&gt;"",$C196&lt;&gt;"",$D196&lt;&gt;""),1,0))</f>
        <v/>
      </c>
      <c r="BN196" s="52" t="str">
        <f aca="false">IF(OR(COUNT(G196:I1195)=0,AND('Choix pédagogiques'!$C$3&lt;&gt;1,'Choix pédagogiques'!$C$3&lt;&gt;2)),"",IF(AND(OR('Choix pédagogiques'!$C$3=1,'Choix pédagogiques'!$C$3=2),AND($G196&lt;&gt;"",$H196&lt;&gt;"",$I196&lt;&gt;"")),1,0))</f>
        <v/>
      </c>
      <c r="BO196" s="52" t="str">
        <f aca="false">IF(OR(COUNT(B196:D1195)=0,COUNT(G196:I1195)=0,'Choix pédagogiques'!C$3&lt;&gt;3),"",IF(AND('Choix pédagogiques'!$C$3=3,$B196&lt;&gt;"",$C196&lt;&gt;"",$D196&lt;&gt;"",$G196&lt;&gt;"",$H196&lt;&gt;"",$I196&lt;&gt;""),1,0))</f>
        <v/>
      </c>
      <c r="BR196" s="52" t="n">
        <v>360</v>
      </c>
      <c r="BS196" s="52" t="n">
        <v>1396</v>
      </c>
    </row>
    <row r="197" s="54" customFormat="true" ht="18" hidden="false" customHeight="true" outlineLevel="0" collapsed="false">
      <c r="A197" s="57" t="s">
        <v>325</v>
      </c>
      <c r="B197" s="51"/>
      <c r="C197" s="51"/>
      <c r="D197" s="51"/>
      <c r="E197" s="51"/>
      <c r="F197" s="57" t="s">
        <v>326</v>
      </c>
      <c r="G197" s="51"/>
      <c r="H197" s="51"/>
      <c r="I197" s="51"/>
      <c r="J197" s="51"/>
      <c r="K197" s="52" t="str">
        <f aca="false">IF($A197&lt;&gt;"",$A197,"")</f>
        <v>Apprenant 185</v>
      </c>
      <c r="L197" s="53" t="str">
        <f aca="false">IF(AND($B197&lt;&gt;"",$C197&lt;&gt;""),$C197-$B197,"")</f>
        <v/>
      </c>
      <c r="M197" s="53" t="str">
        <f aca="false">IF(AND($B197&lt;&gt;"",$D197&lt;&gt;""),$D197-$B197,"")</f>
        <v/>
      </c>
      <c r="N197" s="53" t="str">
        <f aca="false">IF(AND($C197&lt;&gt;"",$D197&lt;&gt;""),$D197-$C197,"")</f>
        <v/>
      </c>
      <c r="O197" s="53" t="str">
        <f aca="false">IF($E197&lt;&gt;"",$E197,"")</f>
        <v/>
      </c>
      <c r="P197" s="52" t="str">
        <f aca="false">IF($F197&lt;&gt;"",$F197,"")</f>
        <v>Apprenant 185 ou 185'</v>
      </c>
      <c r="Q197" s="53" t="str">
        <f aca="false">IF(AND($G197&lt;&gt;"",$H197&lt;&gt;""),$H197-$G197,"")</f>
        <v/>
      </c>
      <c r="R197" s="53" t="str">
        <f aca="false">IF(AND($G197&lt;&gt;"",$I197&lt;&gt;""),$I197-$G197,"")</f>
        <v/>
      </c>
      <c r="S197" s="53" t="str">
        <f aca="false">IF(AND($H197&lt;&gt;"",$I197&lt;&gt;""),$I197-$H197,"")</f>
        <v/>
      </c>
      <c r="T197" s="53" t="str">
        <f aca="false">IF($J197&lt;&gt;"",$J197,"")</f>
        <v/>
      </c>
      <c r="V197" s="52" t="str">
        <f aca="false">IF($A197&lt;&gt;"",$A197,"")</f>
        <v>Apprenant 185</v>
      </c>
      <c r="W197" s="53" t="str">
        <f aca="false">IF(AND(OR('Choix pédagogiques'!$C$3=1,'Choix pédagogiques'!$C$3=2),$BM197=1),B197,IF(AND('Choix pédagogiques'!$C$3=3,$BO197=1),B197,""))</f>
        <v/>
      </c>
      <c r="X197" s="53" t="str">
        <f aca="false">IF(AND(OR('Choix pédagogiques'!$C$3=1,'Choix pédagogiques'!$C$3=2),$BM197=1),C197,IF(AND('Choix pédagogiques'!$C$3=3,$BO197=1),C197,""))</f>
        <v/>
      </c>
      <c r="Y197" s="53" t="str">
        <f aca="false">IF(AND(OR('Choix pédagogiques'!$C$3=1,'Choix pédagogiques'!$C$3=2),$BM197=1),D197,IF(AND('Choix pédagogiques'!$C$3=3,$BO197=1),D197,""))</f>
        <v/>
      </c>
      <c r="Z197" s="53" t="str">
        <f aca="false">IF($E197&lt;&gt;"",$E197,"")</f>
        <v/>
      </c>
      <c r="AA197" s="52" t="str">
        <f aca="false">IF($F197&lt;&gt;"",$F197,"")</f>
        <v>Apprenant 185 ou 185'</v>
      </c>
      <c r="AB197" s="53" t="str">
        <f aca="false">IF(AND(OR('Choix pédagogiques'!$C$3=1,'Choix pédagogiques'!$C$3=2),$BN197=1),G197,IF(AND('Choix pédagogiques'!$C$3=3,$BO197=1),G197,""))</f>
        <v/>
      </c>
      <c r="AC197" s="53" t="str">
        <f aca="false">IF(AND(OR('Choix pédagogiques'!$C$3=1,'Choix pédagogiques'!$C$3=2),$BN197=1),H197,IF(AND('Choix pédagogiques'!$C$3=3,$BO197=1),H197,""))</f>
        <v/>
      </c>
      <c r="AD197" s="53" t="str">
        <f aca="false">IF(AND(OR('Choix pédagogiques'!$C$3=1,'Choix pédagogiques'!$C$3=2),$BN197=1),I197,IF(AND('Choix pédagogiques'!$C$3=3,$BO197=1),I197,""))</f>
        <v/>
      </c>
      <c r="AE197" s="53" t="str">
        <f aca="false">IF($J197&lt;&gt;"",$J197,"")</f>
        <v/>
      </c>
      <c r="AF197" s="52" t="str">
        <f aca="false">IF($A197&lt;&gt;"",$A197,"")</f>
        <v>Apprenant 185</v>
      </c>
      <c r="AG197" s="53" t="str">
        <f aca="false">IF(AND($W197&lt;&gt;"",$X197&lt;&gt;""),$X197-$W197,"")</f>
        <v/>
      </c>
      <c r="AH197" s="53" t="str">
        <f aca="false">IF(AND($W197&lt;&gt;"",$Y197&lt;&gt;""),$Y197-$W197,"")</f>
        <v/>
      </c>
      <c r="AI197" s="53" t="str">
        <f aca="false">IF(AND($X197&lt;&gt;"",$Y197&lt;&gt;""),$Y197-$X197,"")</f>
        <v/>
      </c>
      <c r="AJ197" s="53" t="str">
        <f aca="false">IF($E197&lt;&gt;"",$E197,"")</f>
        <v/>
      </c>
      <c r="AK197" s="52" t="str">
        <f aca="false">IF($F197&lt;&gt;"",$F197,"")</f>
        <v>Apprenant 185 ou 185'</v>
      </c>
      <c r="AL197" s="53" t="str">
        <f aca="false">IF(AND($AB197&lt;&gt;"",$AC197&lt;&gt;""),$AC197-$AB197,"")</f>
        <v/>
      </c>
      <c r="AM197" s="53" t="str">
        <f aca="false">IF(AND($AB197&lt;&gt;"",$AD197&lt;&gt;""),$AD197-$AB197,"")</f>
        <v/>
      </c>
      <c r="AN197" s="53" t="str">
        <f aca="false">IF(AND($AC197&lt;&gt;"",$AD197&lt;&gt;""),$AD197-$AC197,"")</f>
        <v/>
      </c>
      <c r="AO197" s="53" t="str">
        <f aca="false">IF($J197&lt;&gt;"",$J197,"")</f>
        <v/>
      </c>
      <c r="AQ197" s="52" t="str">
        <f aca="false">IF($A197&lt;&gt;"",$A197,"")</f>
        <v>Apprenant 185</v>
      </c>
      <c r="AR197" s="55" t="str">
        <f aca="false">IF(AND('Choix pédagogiques'!$C$4&lt;&gt;"?",'Choix pédagogiques'!$C$5&lt;&gt;"?",W197&lt;&gt;""),(W197-'Choix pédagogiques'!$C$4)/('Choix pédagogiques'!$C$5-'Choix pédagogiques'!$C$4),"")</f>
        <v/>
      </c>
      <c r="AS197" s="55" t="str">
        <f aca="false">IF(AND('Choix pédagogiques'!$C$4&lt;&gt;"?",'Choix pédagogiques'!$C$5&lt;&gt;"?",X197&lt;&gt;""),(X197-'Choix pédagogiques'!$C$4)/('Choix pédagogiques'!$C$5-'Choix pédagogiques'!$C$4),"")</f>
        <v/>
      </c>
      <c r="AT197" s="55" t="str">
        <f aca="false">IF(AND('Choix pédagogiques'!$C$4&lt;&gt;"?",'Choix pédagogiques'!$C$5&lt;&gt;"?",Y197&lt;&gt;""),(Y197-'Choix pédagogiques'!$C$4)/('Choix pédagogiques'!$C$5-'Choix pédagogiques'!$C$4),"")</f>
        <v/>
      </c>
      <c r="AU197" s="53" t="str">
        <f aca="false">IF($E197&lt;&gt;"",$E197,"")</f>
        <v/>
      </c>
      <c r="AV197" s="52" t="str">
        <f aca="false">IF($F197&lt;&gt;"",$F197,"")</f>
        <v>Apprenant 185 ou 185'</v>
      </c>
      <c r="AW197" s="55" t="str">
        <f aca="false">IF(AND('Choix pédagogiques'!$C$4&lt;&gt;"?",'Choix pédagogiques'!$C$5&lt;&gt;"?",AB197&lt;&gt;""),(AB197-'Choix pédagogiques'!$C$4)/('Choix pédagogiques'!$C$5-'Choix pédagogiques'!$C$4),"")</f>
        <v/>
      </c>
      <c r="AX197" s="55" t="str">
        <f aca="false">IF(AND('Choix pédagogiques'!$C$4&lt;&gt;"?",'Choix pédagogiques'!$C$5&lt;&gt;"?",AC197&lt;&gt;""),(AC197-'Choix pédagogiques'!$C$4)/('Choix pédagogiques'!$C$5-'Choix pédagogiques'!$C$4),"")</f>
        <v/>
      </c>
      <c r="AY197" s="55" t="str">
        <f aca="false">IF(AND('Choix pédagogiques'!$C$4&lt;&gt;"?",'Choix pédagogiques'!$C$5&lt;&gt;"?",AD197&lt;&gt;""),(AD197-'Choix pédagogiques'!$C$4)/('Choix pédagogiques'!$C$5-'Choix pédagogiques'!$C$4),"")</f>
        <v/>
      </c>
      <c r="AZ197" s="53" t="str">
        <f aca="false">IF($J197&lt;&gt;"",$J197,"")</f>
        <v/>
      </c>
      <c r="BA197" s="52" t="str">
        <f aca="false">IF($A197&lt;&gt;"",$A197,"")</f>
        <v>Apprenant 185</v>
      </c>
      <c r="BB197" s="55" t="str">
        <f aca="false">IF(AND($AR197&lt;&gt;"",$AS197&lt;&gt;""),$AS197-$AR197,"")</f>
        <v/>
      </c>
      <c r="BC197" s="55" t="str">
        <f aca="false">IF(AND($AR197&lt;&gt;"",$AT197&lt;&gt;""),$AT197-$AR197,"")</f>
        <v/>
      </c>
      <c r="BD197" s="55" t="str">
        <f aca="false">IF(AND($AS197&lt;&gt;"",$AT197&lt;&gt;""),$AT197-$AS197,"")</f>
        <v/>
      </c>
      <c r="BE197" s="53" t="str">
        <f aca="false">IF($E197&lt;&gt;"",$E197,"")</f>
        <v/>
      </c>
      <c r="BF197" s="52" t="str">
        <f aca="false">IF($F197&lt;&gt;"",$F197,"")</f>
        <v>Apprenant 185 ou 185'</v>
      </c>
      <c r="BG197" s="55" t="str">
        <f aca="false">IF(AND($AW197&lt;&gt;"",$AX197&lt;&gt;""),$AX197-$AW197,"")</f>
        <v/>
      </c>
      <c r="BH197" s="55" t="str">
        <f aca="false">IF(AND($AW197&lt;&gt;"",$AY197&lt;&gt;""),$AY197-$AW197,"")</f>
        <v/>
      </c>
      <c r="BI197" s="55" t="str">
        <f aca="false">IF(AND($AX197&lt;&gt;"",$AY197&lt;&gt;""),$AY197-$AX197,"")</f>
        <v/>
      </c>
      <c r="BJ197" s="53" t="str">
        <f aca="false">IF($J197&lt;&gt;"",$J197,"")</f>
        <v/>
      </c>
      <c r="BL197" s="52"/>
      <c r="BM197" s="52" t="str">
        <f aca="false">IF(OR(COUNT(B197:D1196)=0,AND('Choix pédagogiques'!$C$3&lt;&gt;1,'Choix pédagogiques'!$C$3&lt;&gt;2)),"",IF(AND(OR('Choix pédagogiques'!$C$3=1,'Choix pédagogiques'!$C$3=2),$B197&lt;&gt;"",$C197&lt;&gt;"",$D197&lt;&gt;""),1,0))</f>
        <v/>
      </c>
      <c r="BN197" s="52" t="str">
        <f aca="false">IF(OR(COUNT(G197:I1196)=0,AND('Choix pédagogiques'!$C$3&lt;&gt;1,'Choix pédagogiques'!$C$3&lt;&gt;2)),"",IF(AND(OR('Choix pédagogiques'!$C$3=1,'Choix pédagogiques'!$C$3=2),AND($G197&lt;&gt;"",$H197&lt;&gt;"",$I197&lt;&gt;"")),1,0))</f>
        <v/>
      </c>
      <c r="BO197" s="52" t="str">
        <f aca="false">IF(OR(COUNT(B197:D1196)=0,COUNT(G197:I1196)=0,'Choix pédagogiques'!C$3&lt;&gt;3),"",IF(AND('Choix pédagogiques'!$C$3=3,$B197&lt;&gt;"",$C197&lt;&gt;"",$D197&lt;&gt;"",$G197&lt;&gt;"",$H197&lt;&gt;"",$I197&lt;&gt;""),1,0))</f>
        <v/>
      </c>
      <c r="BR197" s="52" t="n">
        <v>949</v>
      </c>
      <c r="BS197" s="52" t="n">
        <v>1595</v>
      </c>
    </row>
    <row r="198" s="54" customFormat="true" ht="18" hidden="false" customHeight="true" outlineLevel="0" collapsed="false">
      <c r="A198" s="57" t="s">
        <v>327</v>
      </c>
      <c r="B198" s="51"/>
      <c r="C198" s="51"/>
      <c r="D198" s="51"/>
      <c r="E198" s="51"/>
      <c r="F198" s="57" t="s">
        <v>328</v>
      </c>
      <c r="G198" s="51"/>
      <c r="H198" s="51"/>
      <c r="I198" s="51"/>
      <c r="J198" s="51"/>
      <c r="K198" s="52" t="str">
        <f aca="false">IF($A198&lt;&gt;"",$A198,"")</f>
        <v>Apprenant 186</v>
      </c>
      <c r="L198" s="53" t="str">
        <f aca="false">IF(AND($B198&lt;&gt;"",$C198&lt;&gt;""),$C198-$B198,"")</f>
        <v/>
      </c>
      <c r="M198" s="53" t="str">
        <f aca="false">IF(AND($B198&lt;&gt;"",$D198&lt;&gt;""),$D198-$B198,"")</f>
        <v/>
      </c>
      <c r="N198" s="53" t="str">
        <f aca="false">IF(AND($C198&lt;&gt;"",$D198&lt;&gt;""),$D198-$C198,"")</f>
        <v/>
      </c>
      <c r="O198" s="53" t="str">
        <f aca="false">IF($E198&lt;&gt;"",$E198,"")</f>
        <v/>
      </c>
      <c r="P198" s="52" t="str">
        <f aca="false">IF($F198&lt;&gt;"",$F198,"")</f>
        <v>Apprenant 186 ou 186'</v>
      </c>
      <c r="Q198" s="53" t="str">
        <f aca="false">IF(AND($G198&lt;&gt;"",$H198&lt;&gt;""),$H198-$G198,"")</f>
        <v/>
      </c>
      <c r="R198" s="53" t="str">
        <f aca="false">IF(AND($G198&lt;&gt;"",$I198&lt;&gt;""),$I198-$G198,"")</f>
        <v/>
      </c>
      <c r="S198" s="53" t="str">
        <f aca="false">IF(AND($H198&lt;&gt;"",$I198&lt;&gt;""),$I198-$H198,"")</f>
        <v/>
      </c>
      <c r="T198" s="53" t="str">
        <f aca="false">IF($J198&lt;&gt;"",$J198,"")</f>
        <v/>
      </c>
      <c r="V198" s="52" t="str">
        <f aca="false">IF($A198&lt;&gt;"",$A198,"")</f>
        <v>Apprenant 186</v>
      </c>
      <c r="W198" s="53" t="str">
        <f aca="false">IF(AND(OR('Choix pédagogiques'!$C$3=1,'Choix pédagogiques'!$C$3=2),$BM198=1),B198,IF(AND('Choix pédagogiques'!$C$3=3,$BO198=1),B198,""))</f>
        <v/>
      </c>
      <c r="X198" s="53" t="str">
        <f aca="false">IF(AND(OR('Choix pédagogiques'!$C$3=1,'Choix pédagogiques'!$C$3=2),$BM198=1),C198,IF(AND('Choix pédagogiques'!$C$3=3,$BO198=1),C198,""))</f>
        <v/>
      </c>
      <c r="Y198" s="53" t="str">
        <f aca="false">IF(AND(OR('Choix pédagogiques'!$C$3=1,'Choix pédagogiques'!$C$3=2),$BM198=1),D198,IF(AND('Choix pédagogiques'!$C$3=3,$BO198=1),D198,""))</f>
        <v/>
      </c>
      <c r="Z198" s="53" t="str">
        <f aca="false">IF($E198&lt;&gt;"",$E198,"")</f>
        <v/>
      </c>
      <c r="AA198" s="52" t="str">
        <f aca="false">IF($F198&lt;&gt;"",$F198,"")</f>
        <v>Apprenant 186 ou 186'</v>
      </c>
      <c r="AB198" s="53" t="str">
        <f aca="false">IF(AND(OR('Choix pédagogiques'!$C$3=1,'Choix pédagogiques'!$C$3=2),$BN198=1),G198,IF(AND('Choix pédagogiques'!$C$3=3,$BO198=1),G198,""))</f>
        <v/>
      </c>
      <c r="AC198" s="53" t="str">
        <f aca="false">IF(AND(OR('Choix pédagogiques'!$C$3=1,'Choix pédagogiques'!$C$3=2),$BN198=1),H198,IF(AND('Choix pédagogiques'!$C$3=3,$BO198=1),H198,""))</f>
        <v/>
      </c>
      <c r="AD198" s="53" t="str">
        <f aca="false">IF(AND(OR('Choix pédagogiques'!$C$3=1,'Choix pédagogiques'!$C$3=2),$BN198=1),I198,IF(AND('Choix pédagogiques'!$C$3=3,$BO198=1),I198,""))</f>
        <v/>
      </c>
      <c r="AE198" s="53" t="str">
        <f aca="false">IF($J198&lt;&gt;"",$J198,"")</f>
        <v/>
      </c>
      <c r="AF198" s="52" t="str">
        <f aca="false">IF($A198&lt;&gt;"",$A198,"")</f>
        <v>Apprenant 186</v>
      </c>
      <c r="AG198" s="53" t="str">
        <f aca="false">IF(AND($W198&lt;&gt;"",$X198&lt;&gt;""),$X198-$W198,"")</f>
        <v/>
      </c>
      <c r="AH198" s="53" t="str">
        <f aca="false">IF(AND($W198&lt;&gt;"",$Y198&lt;&gt;""),$Y198-$W198,"")</f>
        <v/>
      </c>
      <c r="AI198" s="53" t="str">
        <f aca="false">IF(AND($X198&lt;&gt;"",$Y198&lt;&gt;""),$Y198-$X198,"")</f>
        <v/>
      </c>
      <c r="AJ198" s="53" t="str">
        <f aca="false">IF($E198&lt;&gt;"",$E198,"")</f>
        <v/>
      </c>
      <c r="AK198" s="52" t="str">
        <f aca="false">IF($F198&lt;&gt;"",$F198,"")</f>
        <v>Apprenant 186 ou 186'</v>
      </c>
      <c r="AL198" s="53" t="str">
        <f aca="false">IF(AND($AB198&lt;&gt;"",$AC198&lt;&gt;""),$AC198-$AB198,"")</f>
        <v/>
      </c>
      <c r="AM198" s="53" t="str">
        <f aca="false">IF(AND($AB198&lt;&gt;"",$AD198&lt;&gt;""),$AD198-$AB198,"")</f>
        <v/>
      </c>
      <c r="AN198" s="53" t="str">
        <f aca="false">IF(AND($AC198&lt;&gt;"",$AD198&lt;&gt;""),$AD198-$AC198,"")</f>
        <v/>
      </c>
      <c r="AO198" s="53" t="str">
        <f aca="false">IF($J198&lt;&gt;"",$J198,"")</f>
        <v/>
      </c>
      <c r="AQ198" s="52" t="str">
        <f aca="false">IF($A198&lt;&gt;"",$A198,"")</f>
        <v>Apprenant 186</v>
      </c>
      <c r="AR198" s="55" t="str">
        <f aca="false">IF(AND('Choix pédagogiques'!$C$4&lt;&gt;"?",'Choix pédagogiques'!$C$5&lt;&gt;"?",W198&lt;&gt;""),(W198-'Choix pédagogiques'!$C$4)/('Choix pédagogiques'!$C$5-'Choix pédagogiques'!$C$4),"")</f>
        <v/>
      </c>
      <c r="AS198" s="55" t="str">
        <f aca="false">IF(AND('Choix pédagogiques'!$C$4&lt;&gt;"?",'Choix pédagogiques'!$C$5&lt;&gt;"?",X198&lt;&gt;""),(X198-'Choix pédagogiques'!$C$4)/('Choix pédagogiques'!$C$5-'Choix pédagogiques'!$C$4),"")</f>
        <v/>
      </c>
      <c r="AT198" s="55" t="str">
        <f aca="false">IF(AND('Choix pédagogiques'!$C$4&lt;&gt;"?",'Choix pédagogiques'!$C$5&lt;&gt;"?",Y198&lt;&gt;""),(Y198-'Choix pédagogiques'!$C$4)/('Choix pédagogiques'!$C$5-'Choix pédagogiques'!$C$4),"")</f>
        <v/>
      </c>
      <c r="AU198" s="53" t="str">
        <f aca="false">IF($E198&lt;&gt;"",$E198,"")</f>
        <v/>
      </c>
      <c r="AV198" s="52" t="str">
        <f aca="false">IF($F198&lt;&gt;"",$F198,"")</f>
        <v>Apprenant 186 ou 186'</v>
      </c>
      <c r="AW198" s="55" t="str">
        <f aca="false">IF(AND('Choix pédagogiques'!$C$4&lt;&gt;"?",'Choix pédagogiques'!$C$5&lt;&gt;"?",AB198&lt;&gt;""),(AB198-'Choix pédagogiques'!$C$4)/('Choix pédagogiques'!$C$5-'Choix pédagogiques'!$C$4),"")</f>
        <v/>
      </c>
      <c r="AX198" s="55" t="str">
        <f aca="false">IF(AND('Choix pédagogiques'!$C$4&lt;&gt;"?",'Choix pédagogiques'!$C$5&lt;&gt;"?",AC198&lt;&gt;""),(AC198-'Choix pédagogiques'!$C$4)/('Choix pédagogiques'!$C$5-'Choix pédagogiques'!$C$4),"")</f>
        <v/>
      </c>
      <c r="AY198" s="55" t="str">
        <f aca="false">IF(AND('Choix pédagogiques'!$C$4&lt;&gt;"?",'Choix pédagogiques'!$C$5&lt;&gt;"?",AD198&lt;&gt;""),(AD198-'Choix pédagogiques'!$C$4)/('Choix pédagogiques'!$C$5-'Choix pédagogiques'!$C$4),"")</f>
        <v/>
      </c>
      <c r="AZ198" s="53" t="str">
        <f aca="false">IF($J198&lt;&gt;"",$J198,"")</f>
        <v/>
      </c>
      <c r="BA198" s="52" t="str">
        <f aca="false">IF($A198&lt;&gt;"",$A198,"")</f>
        <v>Apprenant 186</v>
      </c>
      <c r="BB198" s="55" t="str">
        <f aca="false">IF(AND($AR198&lt;&gt;"",$AS198&lt;&gt;""),$AS198-$AR198,"")</f>
        <v/>
      </c>
      <c r="BC198" s="55" t="str">
        <f aca="false">IF(AND($AR198&lt;&gt;"",$AT198&lt;&gt;""),$AT198-$AR198,"")</f>
        <v/>
      </c>
      <c r="BD198" s="55" t="str">
        <f aca="false">IF(AND($AS198&lt;&gt;"",$AT198&lt;&gt;""),$AT198-$AS198,"")</f>
        <v/>
      </c>
      <c r="BE198" s="53" t="str">
        <f aca="false">IF($E198&lt;&gt;"",$E198,"")</f>
        <v/>
      </c>
      <c r="BF198" s="52" t="str">
        <f aca="false">IF($F198&lt;&gt;"",$F198,"")</f>
        <v>Apprenant 186 ou 186'</v>
      </c>
      <c r="BG198" s="55" t="str">
        <f aca="false">IF(AND($AW198&lt;&gt;"",$AX198&lt;&gt;""),$AX198-$AW198,"")</f>
        <v/>
      </c>
      <c r="BH198" s="55" t="str">
        <f aca="false">IF(AND($AW198&lt;&gt;"",$AY198&lt;&gt;""),$AY198-$AW198,"")</f>
        <v/>
      </c>
      <c r="BI198" s="55" t="str">
        <f aca="false">IF(AND($AX198&lt;&gt;"",$AY198&lt;&gt;""),$AY198-$AX198,"")</f>
        <v/>
      </c>
      <c r="BJ198" s="53" t="str">
        <f aca="false">IF($J198&lt;&gt;"",$J198,"")</f>
        <v/>
      </c>
      <c r="BL198" s="52"/>
      <c r="BM198" s="52" t="str">
        <f aca="false">IF(OR(COUNT(B198:D1197)=0,AND('Choix pédagogiques'!$C$3&lt;&gt;1,'Choix pédagogiques'!$C$3&lt;&gt;2)),"",IF(AND(OR('Choix pédagogiques'!$C$3=1,'Choix pédagogiques'!$C$3=2),$B198&lt;&gt;"",$C198&lt;&gt;"",$D198&lt;&gt;""),1,0))</f>
        <v/>
      </c>
      <c r="BN198" s="52" t="str">
        <f aca="false">IF(OR(COUNT(G198:I1197)=0,AND('Choix pédagogiques'!$C$3&lt;&gt;1,'Choix pédagogiques'!$C$3&lt;&gt;2)),"",IF(AND(OR('Choix pédagogiques'!$C$3=1,'Choix pédagogiques'!$C$3=2),AND($G198&lt;&gt;"",$H198&lt;&gt;"",$I198&lt;&gt;"")),1,0))</f>
        <v/>
      </c>
      <c r="BO198" s="52" t="str">
        <f aca="false">IF(OR(COUNT(B198:D1197)=0,COUNT(G198:I1197)=0,'Choix pédagogiques'!C$3&lt;&gt;3),"",IF(AND('Choix pédagogiques'!$C$3=3,$B198&lt;&gt;"",$C198&lt;&gt;"",$D198&lt;&gt;"",$G198&lt;&gt;"",$H198&lt;&gt;"",$I198&lt;&gt;""),1,0))</f>
        <v/>
      </c>
      <c r="BR198" s="52" t="n">
        <v>132</v>
      </c>
      <c r="BS198" s="52" t="n">
        <v>1873</v>
      </c>
    </row>
    <row r="199" s="54" customFormat="true" ht="18" hidden="false" customHeight="true" outlineLevel="0" collapsed="false">
      <c r="A199" s="57" t="s">
        <v>329</v>
      </c>
      <c r="B199" s="51"/>
      <c r="C199" s="51"/>
      <c r="D199" s="51"/>
      <c r="E199" s="51"/>
      <c r="F199" s="57" t="s">
        <v>330</v>
      </c>
      <c r="G199" s="51"/>
      <c r="H199" s="51"/>
      <c r="I199" s="51"/>
      <c r="J199" s="51"/>
      <c r="K199" s="52" t="str">
        <f aca="false">IF($A199&lt;&gt;"",$A199,"")</f>
        <v>Apprenant 187</v>
      </c>
      <c r="L199" s="53" t="str">
        <f aca="false">IF(AND($B199&lt;&gt;"",$C199&lt;&gt;""),$C199-$B199,"")</f>
        <v/>
      </c>
      <c r="M199" s="53" t="str">
        <f aca="false">IF(AND($B199&lt;&gt;"",$D199&lt;&gt;""),$D199-$B199,"")</f>
        <v/>
      </c>
      <c r="N199" s="53" t="str">
        <f aca="false">IF(AND($C199&lt;&gt;"",$D199&lt;&gt;""),$D199-$C199,"")</f>
        <v/>
      </c>
      <c r="O199" s="53" t="str">
        <f aca="false">IF($E199&lt;&gt;"",$E199,"")</f>
        <v/>
      </c>
      <c r="P199" s="52" t="str">
        <f aca="false">IF($F199&lt;&gt;"",$F199,"")</f>
        <v>Apprenant 187 ou 187'</v>
      </c>
      <c r="Q199" s="53" t="str">
        <f aca="false">IF(AND($G199&lt;&gt;"",$H199&lt;&gt;""),$H199-$G199,"")</f>
        <v/>
      </c>
      <c r="R199" s="53" t="str">
        <f aca="false">IF(AND($G199&lt;&gt;"",$I199&lt;&gt;""),$I199-$G199,"")</f>
        <v/>
      </c>
      <c r="S199" s="53" t="str">
        <f aca="false">IF(AND($H199&lt;&gt;"",$I199&lt;&gt;""),$I199-$H199,"")</f>
        <v/>
      </c>
      <c r="T199" s="53" t="str">
        <f aca="false">IF($J199&lt;&gt;"",$J199,"")</f>
        <v/>
      </c>
      <c r="V199" s="52" t="str">
        <f aca="false">IF($A199&lt;&gt;"",$A199,"")</f>
        <v>Apprenant 187</v>
      </c>
      <c r="W199" s="53" t="str">
        <f aca="false">IF(AND(OR('Choix pédagogiques'!$C$3=1,'Choix pédagogiques'!$C$3=2),$BM199=1),B199,IF(AND('Choix pédagogiques'!$C$3=3,$BO199=1),B199,""))</f>
        <v/>
      </c>
      <c r="X199" s="53" t="str">
        <f aca="false">IF(AND(OR('Choix pédagogiques'!$C$3=1,'Choix pédagogiques'!$C$3=2),$BM199=1),C199,IF(AND('Choix pédagogiques'!$C$3=3,$BO199=1),C199,""))</f>
        <v/>
      </c>
      <c r="Y199" s="53" t="str">
        <f aca="false">IF(AND(OR('Choix pédagogiques'!$C$3=1,'Choix pédagogiques'!$C$3=2),$BM199=1),D199,IF(AND('Choix pédagogiques'!$C$3=3,$BO199=1),D199,""))</f>
        <v/>
      </c>
      <c r="Z199" s="53" t="str">
        <f aca="false">IF($E199&lt;&gt;"",$E199,"")</f>
        <v/>
      </c>
      <c r="AA199" s="52" t="str">
        <f aca="false">IF($F199&lt;&gt;"",$F199,"")</f>
        <v>Apprenant 187 ou 187'</v>
      </c>
      <c r="AB199" s="53" t="str">
        <f aca="false">IF(AND(OR('Choix pédagogiques'!$C$3=1,'Choix pédagogiques'!$C$3=2),$BN199=1),G199,IF(AND('Choix pédagogiques'!$C$3=3,$BO199=1),G199,""))</f>
        <v/>
      </c>
      <c r="AC199" s="53" t="str">
        <f aca="false">IF(AND(OR('Choix pédagogiques'!$C$3=1,'Choix pédagogiques'!$C$3=2),$BN199=1),H199,IF(AND('Choix pédagogiques'!$C$3=3,$BO199=1),H199,""))</f>
        <v/>
      </c>
      <c r="AD199" s="53" t="str">
        <f aca="false">IF(AND(OR('Choix pédagogiques'!$C$3=1,'Choix pédagogiques'!$C$3=2),$BN199=1),I199,IF(AND('Choix pédagogiques'!$C$3=3,$BO199=1),I199,""))</f>
        <v/>
      </c>
      <c r="AE199" s="53" t="str">
        <f aca="false">IF($J199&lt;&gt;"",$J199,"")</f>
        <v/>
      </c>
      <c r="AF199" s="52" t="str">
        <f aca="false">IF($A199&lt;&gt;"",$A199,"")</f>
        <v>Apprenant 187</v>
      </c>
      <c r="AG199" s="53" t="str">
        <f aca="false">IF(AND($W199&lt;&gt;"",$X199&lt;&gt;""),$X199-$W199,"")</f>
        <v/>
      </c>
      <c r="AH199" s="53" t="str">
        <f aca="false">IF(AND($W199&lt;&gt;"",$Y199&lt;&gt;""),$Y199-$W199,"")</f>
        <v/>
      </c>
      <c r="AI199" s="53" t="str">
        <f aca="false">IF(AND($X199&lt;&gt;"",$Y199&lt;&gt;""),$Y199-$X199,"")</f>
        <v/>
      </c>
      <c r="AJ199" s="53" t="str">
        <f aca="false">IF($E199&lt;&gt;"",$E199,"")</f>
        <v/>
      </c>
      <c r="AK199" s="52" t="str">
        <f aca="false">IF($F199&lt;&gt;"",$F199,"")</f>
        <v>Apprenant 187 ou 187'</v>
      </c>
      <c r="AL199" s="53" t="str">
        <f aca="false">IF(AND($AB199&lt;&gt;"",$AC199&lt;&gt;""),$AC199-$AB199,"")</f>
        <v/>
      </c>
      <c r="AM199" s="53" t="str">
        <f aca="false">IF(AND($AB199&lt;&gt;"",$AD199&lt;&gt;""),$AD199-$AB199,"")</f>
        <v/>
      </c>
      <c r="AN199" s="53" t="str">
        <f aca="false">IF(AND($AC199&lt;&gt;"",$AD199&lt;&gt;""),$AD199-$AC199,"")</f>
        <v/>
      </c>
      <c r="AO199" s="53" t="str">
        <f aca="false">IF($J199&lt;&gt;"",$J199,"")</f>
        <v/>
      </c>
      <c r="AQ199" s="52" t="str">
        <f aca="false">IF($A199&lt;&gt;"",$A199,"")</f>
        <v>Apprenant 187</v>
      </c>
      <c r="AR199" s="55" t="str">
        <f aca="false">IF(AND('Choix pédagogiques'!$C$4&lt;&gt;"?",'Choix pédagogiques'!$C$5&lt;&gt;"?",W199&lt;&gt;""),(W199-'Choix pédagogiques'!$C$4)/('Choix pédagogiques'!$C$5-'Choix pédagogiques'!$C$4),"")</f>
        <v/>
      </c>
      <c r="AS199" s="55" t="str">
        <f aca="false">IF(AND('Choix pédagogiques'!$C$4&lt;&gt;"?",'Choix pédagogiques'!$C$5&lt;&gt;"?",X199&lt;&gt;""),(X199-'Choix pédagogiques'!$C$4)/('Choix pédagogiques'!$C$5-'Choix pédagogiques'!$C$4),"")</f>
        <v/>
      </c>
      <c r="AT199" s="55" t="str">
        <f aca="false">IF(AND('Choix pédagogiques'!$C$4&lt;&gt;"?",'Choix pédagogiques'!$C$5&lt;&gt;"?",Y199&lt;&gt;""),(Y199-'Choix pédagogiques'!$C$4)/('Choix pédagogiques'!$C$5-'Choix pédagogiques'!$C$4),"")</f>
        <v/>
      </c>
      <c r="AU199" s="53" t="str">
        <f aca="false">IF($E199&lt;&gt;"",$E199,"")</f>
        <v/>
      </c>
      <c r="AV199" s="52" t="str">
        <f aca="false">IF($F199&lt;&gt;"",$F199,"")</f>
        <v>Apprenant 187 ou 187'</v>
      </c>
      <c r="AW199" s="55" t="str">
        <f aca="false">IF(AND('Choix pédagogiques'!$C$4&lt;&gt;"?",'Choix pédagogiques'!$C$5&lt;&gt;"?",AB199&lt;&gt;""),(AB199-'Choix pédagogiques'!$C$4)/('Choix pédagogiques'!$C$5-'Choix pédagogiques'!$C$4),"")</f>
        <v/>
      </c>
      <c r="AX199" s="55" t="str">
        <f aca="false">IF(AND('Choix pédagogiques'!$C$4&lt;&gt;"?",'Choix pédagogiques'!$C$5&lt;&gt;"?",AC199&lt;&gt;""),(AC199-'Choix pédagogiques'!$C$4)/('Choix pédagogiques'!$C$5-'Choix pédagogiques'!$C$4),"")</f>
        <v/>
      </c>
      <c r="AY199" s="55" t="str">
        <f aca="false">IF(AND('Choix pédagogiques'!$C$4&lt;&gt;"?",'Choix pédagogiques'!$C$5&lt;&gt;"?",AD199&lt;&gt;""),(AD199-'Choix pédagogiques'!$C$4)/('Choix pédagogiques'!$C$5-'Choix pédagogiques'!$C$4),"")</f>
        <v/>
      </c>
      <c r="AZ199" s="53" t="str">
        <f aca="false">IF($J199&lt;&gt;"",$J199,"")</f>
        <v/>
      </c>
      <c r="BA199" s="52" t="str">
        <f aca="false">IF($A199&lt;&gt;"",$A199,"")</f>
        <v>Apprenant 187</v>
      </c>
      <c r="BB199" s="55" t="str">
        <f aca="false">IF(AND($AR199&lt;&gt;"",$AS199&lt;&gt;""),$AS199-$AR199,"")</f>
        <v/>
      </c>
      <c r="BC199" s="55" t="str">
        <f aca="false">IF(AND($AR199&lt;&gt;"",$AT199&lt;&gt;""),$AT199-$AR199,"")</f>
        <v/>
      </c>
      <c r="BD199" s="55" t="str">
        <f aca="false">IF(AND($AS199&lt;&gt;"",$AT199&lt;&gt;""),$AT199-$AS199,"")</f>
        <v/>
      </c>
      <c r="BE199" s="53" t="str">
        <f aca="false">IF($E199&lt;&gt;"",$E199,"")</f>
        <v/>
      </c>
      <c r="BF199" s="52" t="str">
        <f aca="false">IF($F199&lt;&gt;"",$F199,"")</f>
        <v>Apprenant 187 ou 187'</v>
      </c>
      <c r="BG199" s="55" t="str">
        <f aca="false">IF(AND($AW199&lt;&gt;"",$AX199&lt;&gt;""),$AX199-$AW199,"")</f>
        <v/>
      </c>
      <c r="BH199" s="55" t="str">
        <f aca="false">IF(AND($AW199&lt;&gt;"",$AY199&lt;&gt;""),$AY199-$AW199,"")</f>
        <v/>
      </c>
      <c r="BI199" s="55" t="str">
        <f aca="false">IF(AND($AX199&lt;&gt;"",$AY199&lt;&gt;""),$AY199-$AX199,"")</f>
        <v/>
      </c>
      <c r="BJ199" s="53" t="str">
        <f aca="false">IF($J199&lt;&gt;"",$J199,"")</f>
        <v/>
      </c>
      <c r="BL199" s="52"/>
      <c r="BM199" s="52" t="str">
        <f aca="false">IF(OR(COUNT(B199:D1198)=0,AND('Choix pédagogiques'!$C$3&lt;&gt;1,'Choix pédagogiques'!$C$3&lt;&gt;2)),"",IF(AND(OR('Choix pédagogiques'!$C$3=1,'Choix pédagogiques'!$C$3=2),$B199&lt;&gt;"",$C199&lt;&gt;"",$D199&lt;&gt;""),1,0))</f>
        <v/>
      </c>
      <c r="BN199" s="52" t="str">
        <f aca="false">IF(OR(COUNT(G199:I1198)=0,AND('Choix pédagogiques'!$C$3&lt;&gt;1,'Choix pédagogiques'!$C$3&lt;&gt;2)),"",IF(AND(OR('Choix pédagogiques'!$C$3=1,'Choix pédagogiques'!$C$3=2),AND($G199&lt;&gt;"",$H199&lt;&gt;"",$I199&lt;&gt;"")),1,0))</f>
        <v/>
      </c>
      <c r="BO199" s="52" t="str">
        <f aca="false">IF(OR(COUNT(B199:D1198)=0,COUNT(G199:I1198)=0,'Choix pédagogiques'!C$3&lt;&gt;3),"",IF(AND('Choix pédagogiques'!$C$3=3,$B199&lt;&gt;"",$C199&lt;&gt;"",$D199&lt;&gt;"",$G199&lt;&gt;"",$H199&lt;&gt;"",$I199&lt;&gt;""),1,0))</f>
        <v/>
      </c>
      <c r="BR199" s="52" t="n">
        <v>147</v>
      </c>
      <c r="BS199" s="52" t="n">
        <v>1167</v>
      </c>
    </row>
    <row r="200" s="54" customFormat="true" ht="18" hidden="false" customHeight="true" outlineLevel="0" collapsed="false">
      <c r="A200" s="57" t="s">
        <v>331</v>
      </c>
      <c r="B200" s="51"/>
      <c r="C200" s="51"/>
      <c r="D200" s="51"/>
      <c r="E200" s="51"/>
      <c r="F200" s="57" t="s">
        <v>332</v>
      </c>
      <c r="G200" s="51"/>
      <c r="H200" s="51"/>
      <c r="I200" s="51"/>
      <c r="J200" s="51"/>
      <c r="K200" s="52" t="str">
        <f aca="false">IF($A200&lt;&gt;"",$A200,"")</f>
        <v>Apprenant 188</v>
      </c>
      <c r="L200" s="53" t="str">
        <f aca="false">IF(AND($B200&lt;&gt;"",$C200&lt;&gt;""),$C200-$B200,"")</f>
        <v/>
      </c>
      <c r="M200" s="53" t="str">
        <f aca="false">IF(AND($B200&lt;&gt;"",$D200&lt;&gt;""),$D200-$B200,"")</f>
        <v/>
      </c>
      <c r="N200" s="53" t="str">
        <f aca="false">IF(AND($C200&lt;&gt;"",$D200&lt;&gt;""),$D200-$C200,"")</f>
        <v/>
      </c>
      <c r="O200" s="53" t="str">
        <f aca="false">IF($E200&lt;&gt;"",$E200,"")</f>
        <v/>
      </c>
      <c r="P200" s="52" t="str">
        <f aca="false">IF($F200&lt;&gt;"",$F200,"")</f>
        <v>Apprenant 188 ou 188'</v>
      </c>
      <c r="Q200" s="53" t="str">
        <f aca="false">IF(AND($G200&lt;&gt;"",$H200&lt;&gt;""),$H200-$G200,"")</f>
        <v/>
      </c>
      <c r="R200" s="53" t="str">
        <f aca="false">IF(AND($G200&lt;&gt;"",$I200&lt;&gt;""),$I200-$G200,"")</f>
        <v/>
      </c>
      <c r="S200" s="53" t="str">
        <f aca="false">IF(AND($H200&lt;&gt;"",$I200&lt;&gt;""),$I200-$H200,"")</f>
        <v/>
      </c>
      <c r="T200" s="53" t="str">
        <f aca="false">IF($J200&lt;&gt;"",$J200,"")</f>
        <v/>
      </c>
      <c r="V200" s="52" t="str">
        <f aca="false">IF($A200&lt;&gt;"",$A200,"")</f>
        <v>Apprenant 188</v>
      </c>
      <c r="W200" s="53" t="str">
        <f aca="false">IF(AND(OR('Choix pédagogiques'!$C$3=1,'Choix pédagogiques'!$C$3=2),$BM200=1),B200,IF(AND('Choix pédagogiques'!$C$3=3,$BO200=1),B200,""))</f>
        <v/>
      </c>
      <c r="X200" s="53" t="str">
        <f aca="false">IF(AND(OR('Choix pédagogiques'!$C$3=1,'Choix pédagogiques'!$C$3=2),$BM200=1),C200,IF(AND('Choix pédagogiques'!$C$3=3,$BO200=1),C200,""))</f>
        <v/>
      </c>
      <c r="Y200" s="53" t="str">
        <f aca="false">IF(AND(OR('Choix pédagogiques'!$C$3=1,'Choix pédagogiques'!$C$3=2),$BM200=1),D200,IF(AND('Choix pédagogiques'!$C$3=3,$BO200=1),D200,""))</f>
        <v/>
      </c>
      <c r="Z200" s="53" t="str">
        <f aca="false">IF($E200&lt;&gt;"",$E200,"")</f>
        <v/>
      </c>
      <c r="AA200" s="52" t="str">
        <f aca="false">IF($F200&lt;&gt;"",$F200,"")</f>
        <v>Apprenant 188 ou 188'</v>
      </c>
      <c r="AB200" s="53" t="str">
        <f aca="false">IF(AND(OR('Choix pédagogiques'!$C$3=1,'Choix pédagogiques'!$C$3=2),$BN200=1),G200,IF(AND('Choix pédagogiques'!$C$3=3,$BO200=1),G200,""))</f>
        <v/>
      </c>
      <c r="AC200" s="53" t="str">
        <f aca="false">IF(AND(OR('Choix pédagogiques'!$C$3=1,'Choix pédagogiques'!$C$3=2),$BN200=1),H200,IF(AND('Choix pédagogiques'!$C$3=3,$BO200=1),H200,""))</f>
        <v/>
      </c>
      <c r="AD200" s="53" t="str">
        <f aca="false">IF(AND(OR('Choix pédagogiques'!$C$3=1,'Choix pédagogiques'!$C$3=2),$BN200=1),I200,IF(AND('Choix pédagogiques'!$C$3=3,$BO200=1),I200,""))</f>
        <v/>
      </c>
      <c r="AE200" s="53" t="str">
        <f aca="false">IF($J200&lt;&gt;"",$J200,"")</f>
        <v/>
      </c>
      <c r="AF200" s="52" t="str">
        <f aca="false">IF($A200&lt;&gt;"",$A200,"")</f>
        <v>Apprenant 188</v>
      </c>
      <c r="AG200" s="53" t="str">
        <f aca="false">IF(AND($W200&lt;&gt;"",$X200&lt;&gt;""),$X200-$W200,"")</f>
        <v/>
      </c>
      <c r="AH200" s="53" t="str">
        <f aca="false">IF(AND($W200&lt;&gt;"",$Y200&lt;&gt;""),$Y200-$W200,"")</f>
        <v/>
      </c>
      <c r="AI200" s="53" t="str">
        <f aca="false">IF(AND($X200&lt;&gt;"",$Y200&lt;&gt;""),$Y200-$X200,"")</f>
        <v/>
      </c>
      <c r="AJ200" s="53" t="str">
        <f aca="false">IF($E200&lt;&gt;"",$E200,"")</f>
        <v/>
      </c>
      <c r="AK200" s="52" t="str">
        <f aca="false">IF($F200&lt;&gt;"",$F200,"")</f>
        <v>Apprenant 188 ou 188'</v>
      </c>
      <c r="AL200" s="53" t="str">
        <f aca="false">IF(AND($AB200&lt;&gt;"",$AC200&lt;&gt;""),$AC200-$AB200,"")</f>
        <v/>
      </c>
      <c r="AM200" s="53" t="str">
        <f aca="false">IF(AND($AB200&lt;&gt;"",$AD200&lt;&gt;""),$AD200-$AB200,"")</f>
        <v/>
      </c>
      <c r="AN200" s="53" t="str">
        <f aca="false">IF(AND($AC200&lt;&gt;"",$AD200&lt;&gt;""),$AD200-$AC200,"")</f>
        <v/>
      </c>
      <c r="AO200" s="53" t="str">
        <f aca="false">IF($J200&lt;&gt;"",$J200,"")</f>
        <v/>
      </c>
      <c r="AQ200" s="52" t="str">
        <f aca="false">IF($A200&lt;&gt;"",$A200,"")</f>
        <v>Apprenant 188</v>
      </c>
      <c r="AR200" s="55" t="str">
        <f aca="false">IF(AND('Choix pédagogiques'!$C$4&lt;&gt;"?",'Choix pédagogiques'!$C$5&lt;&gt;"?",W200&lt;&gt;""),(W200-'Choix pédagogiques'!$C$4)/('Choix pédagogiques'!$C$5-'Choix pédagogiques'!$C$4),"")</f>
        <v/>
      </c>
      <c r="AS200" s="55" t="str">
        <f aca="false">IF(AND('Choix pédagogiques'!$C$4&lt;&gt;"?",'Choix pédagogiques'!$C$5&lt;&gt;"?",X200&lt;&gt;""),(X200-'Choix pédagogiques'!$C$4)/('Choix pédagogiques'!$C$5-'Choix pédagogiques'!$C$4),"")</f>
        <v/>
      </c>
      <c r="AT200" s="55" t="str">
        <f aca="false">IF(AND('Choix pédagogiques'!$C$4&lt;&gt;"?",'Choix pédagogiques'!$C$5&lt;&gt;"?",Y200&lt;&gt;""),(Y200-'Choix pédagogiques'!$C$4)/('Choix pédagogiques'!$C$5-'Choix pédagogiques'!$C$4),"")</f>
        <v/>
      </c>
      <c r="AU200" s="53" t="str">
        <f aca="false">IF($E200&lt;&gt;"",$E200,"")</f>
        <v/>
      </c>
      <c r="AV200" s="52" t="str">
        <f aca="false">IF($F200&lt;&gt;"",$F200,"")</f>
        <v>Apprenant 188 ou 188'</v>
      </c>
      <c r="AW200" s="55" t="str">
        <f aca="false">IF(AND('Choix pédagogiques'!$C$4&lt;&gt;"?",'Choix pédagogiques'!$C$5&lt;&gt;"?",AB200&lt;&gt;""),(AB200-'Choix pédagogiques'!$C$4)/('Choix pédagogiques'!$C$5-'Choix pédagogiques'!$C$4),"")</f>
        <v/>
      </c>
      <c r="AX200" s="55" t="str">
        <f aca="false">IF(AND('Choix pédagogiques'!$C$4&lt;&gt;"?",'Choix pédagogiques'!$C$5&lt;&gt;"?",AC200&lt;&gt;""),(AC200-'Choix pédagogiques'!$C$4)/('Choix pédagogiques'!$C$5-'Choix pédagogiques'!$C$4),"")</f>
        <v/>
      </c>
      <c r="AY200" s="55" t="str">
        <f aca="false">IF(AND('Choix pédagogiques'!$C$4&lt;&gt;"?",'Choix pédagogiques'!$C$5&lt;&gt;"?",AD200&lt;&gt;""),(AD200-'Choix pédagogiques'!$C$4)/('Choix pédagogiques'!$C$5-'Choix pédagogiques'!$C$4),"")</f>
        <v/>
      </c>
      <c r="AZ200" s="53" t="str">
        <f aca="false">IF($J200&lt;&gt;"",$J200,"")</f>
        <v/>
      </c>
      <c r="BA200" s="52" t="str">
        <f aca="false">IF($A200&lt;&gt;"",$A200,"")</f>
        <v>Apprenant 188</v>
      </c>
      <c r="BB200" s="55" t="str">
        <f aca="false">IF(AND($AR200&lt;&gt;"",$AS200&lt;&gt;""),$AS200-$AR200,"")</f>
        <v/>
      </c>
      <c r="BC200" s="55" t="str">
        <f aca="false">IF(AND($AR200&lt;&gt;"",$AT200&lt;&gt;""),$AT200-$AR200,"")</f>
        <v/>
      </c>
      <c r="BD200" s="55" t="str">
        <f aca="false">IF(AND($AS200&lt;&gt;"",$AT200&lt;&gt;""),$AT200-$AS200,"")</f>
        <v/>
      </c>
      <c r="BE200" s="53" t="str">
        <f aca="false">IF($E200&lt;&gt;"",$E200,"")</f>
        <v/>
      </c>
      <c r="BF200" s="52" t="str">
        <f aca="false">IF($F200&lt;&gt;"",$F200,"")</f>
        <v>Apprenant 188 ou 188'</v>
      </c>
      <c r="BG200" s="55" t="str">
        <f aca="false">IF(AND($AW200&lt;&gt;"",$AX200&lt;&gt;""),$AX200-$AW200,"")</f>
        <v/>
      </c>
      <c r="BH200" s="55" t="str">
        <f aca="false">IF(AND($AW200&lt;&gt;"",$AY200&lt;&gt;""),$AY200-$AW200,"")</f>
        <v/>
      </c>
      <c r="BI200" s="55" t="str">
        <f aca="false">IF(AND($AX200&lt;&gt;"",$AY200&lt;&gt;""),$AY200-$AX200,"")</f>
        <v/>
      </c>
      <c r="BJ200" s="53" t="str">
        <f aca="false">IF($J200&lt;&gt;"",$J200,"")</f>
        <v/>
      </c>
      <c r="BL200" s="52"/>
      <c r="BM200" s="52" t="str">
        <f aca="false">IF(OR(COUNT(B200:D1199)=0,AND('Choix pédagogiques'!$C$3&lt;&gt;1,'Choix pédagogiques'!$C$3&lt;&gt;2)),"",IF(AND(OR('Choix pédagogiques'!$C$3=1,'Choix pédagogiques'!$C$3=2),$B200&lt;&gt;"",$C200&lt;&gt;"",$D200&lt;&gt;""),1,0))</f>
        <v/>
      </c>
      <c r="BN200" s="52" t="str">
        <f aca="false">IF(OR(COUNT(G200:I1199)=0,AND('Choix pédagogiques'!$C$3&lt;&gt;1,'Choix pédagogiques'!$C$3&lt;&gt;2)),"",IF(AND(OR('Choix pédagogiques'!$C$3=1,'Choix pédagogiques'!$C$3=2),AND($G200&lt;&gt;"",$H200&lt;&gt;"",$I200&lt;&gt;"")),1,0))</f>
        <v/>
      </c>
      <c r="BO200" s="52" t="str">
        <f aca="false">IF(OR(COUNT(B200:D1199)=0,COUNT(G200:I1199)=0,'Choix pédagogiques'!C$3&lt;&gt;3),"",IF(AND('Choix pédagogiques'!$C$3=3,$B200&lt;&gt;"",$C200&lt;&gt;"",$D200&lt;&gt;"",$G200&lt;&gt;"",$H200&lt;&gt;"",$I200&lt;&gt;""),1,0))</f>
        <v/>
      </c>
      <c r="BR200" s="52" t="n">
        <v>581</v>
      </c>
      <c r="BS200" s="52" t="n">
        <v>1583</v>
      </c>
    </row>
    <row r="201" s="54" customFormat="true" ht="18" hidden="false" customHeight="true" outlineLevel="0" collapsed="false">
      <c r="A201" s="57" t="s">
        <v>333</v>
      </c>
      <c r="B201" s="51"/>
      <c r="C201" s="51"/>
      <c r="D201" s="51"/>
      <c r="E201" s="51"/>
      <c r="F201" s="57" t="s">
        <v>334</v>
      </c>
      <c r="G201" s="51"/>
      <c r="H201" s="51"/>
      <c r="I201" s="51"/>
      <c r="J201" s="51"/>
      <c r="K201" s="52" t="str">
        <f aca="false">IF($A201&lt;&gt;"",$A201,"")</f>
        <v>Apprenant 189</v>
      </c>
      <c r="L201" s="53" t="str">
        <f aca="false">IF(AND($B201&lt;&gt;"",$C201&lt;&gt;""),$C201-$B201,"")</f>
        <v/>
      </c>
      <c r="M201" s="53" t="str">
        <f aca="false">IF(AND($B201&lt;&gt;"",$D201&lt;&gt;""),$D201-$B201,"")</f>
        <v/>
      </c>
      <c r="N201" s="53" t="str">
        <f aca="false">IF(AND($C201&lt;&gt;"",$D201&lt;&gt;""),$D201-$C201,"")</f>
        <v/>
      </c>
      <c r="O201" s="53" t="str">
        <f aca="false">IF($E201&lt;&gt;"",$E201,"")</f>
        <v/>
      </c>
      <c r="P201" s="52" t="str">
        <f aca="false">IF($F201&lt;&gt;"",$F201,"")</f>
        <v>Apprenant 189 ou 189'</v>
      </c>
      <c r="Q201" s="53" t="str">
        <f aca="false">IF(AND($G201&lt;&gt;"",$H201&lt;&gt;""),$H201-$G201,"")</f>
        <v/>
      </c>
      <c r="R201" s="53" t="str">
        <f aca="false">IF(AND($G201&lt;&gt;"",$I201&lt;&gt;""),$I201-$G201,"")</f>
        <v/>
      </c>
      <c r="S201" s="53" t="str">
        <f aca="false">IF(AND($H201&lt;&gt;"",$I201&lt;&gt;""),$I201-$H201,"")</f>
        <v/>
      </c>
      <c r="T201" s="53" t="str">
        <f aca="false">IF($J201&lt;&gt;"",$J201,"")</f>
        <v/>
      </c>
      <c r="V201" s="52" t="str">
        <f aca="false">IF($A201&lt;&gt;"",$A201,"")</f>
        <v>Apprenant 189</v>
      </c>
      <c r="W201" s="53" t="str">
        <f aca="false">IF(AND(OR('Choix pédagogiques'!$C$3=1,'Choix pédagogiques'!$C$3=2),$BM201=1),B201,IF(AND('Choix pédagogiques'!$C$3=3,$BO201=1),B201,""))</f>
        <v/>
      </c>
      <c r="X201" s="53" t="str">
        <f aca="false">IF(AND(OR('Choix pédagogiques'!$C$3=1,'Choix pédagogiques'!$C$3=2),$BM201=1),C201,IF(AND('Choix pédagogiques'!$C$3=3,$BO201=1),C201,""))</f>
        <v/>
      </c>
      <c r="Y201" s="53" t="str">
        <f aca="false">IF(AND(OR('Choix pédagogiques'!$C$3=1,'Choix pédagogiques'!$C$3=2),$BM201=1),D201,IF(AND('Choix pédagogiques'!$C$3=3,$BO201=1),D201,""))</f>
        <v/>
      </c>
      <c r="Z201" s="53" t="str">
        <f aca="false">IF($E201&lt;&gt;"",$E201,"")</f>
        <v/>
      </c>
      <c r="AA201" s="52" t="str">
        <f aca="false">IF($F201&lt;&gt;"",$F201,"")</f>
        <v>Apprenant 189 ou 189'</v>
      </c>
      <c r="AB201" s="53" t="str">
        <f aca="false">IF(AND(OR('Choix pédagogiques'!$C$3=1,'Choix pédagogiques'!$C$3=2),$BN201=1),G201,IF(AND('Choix pédagogiques'!$C$3=3,$BO201=1),G201,""))</f>
        <v/>
      </c>
      <c r="AC201" s="53" t="str">
        <f aca="false">IF(AND(OR('Choix pédagogiques'!$C$3=1,'Choix pédagogiques'!$C$3=2),$BN201=1),H201,IF(AND('Choix pédagogiques'!$C$3=3,$BO201=1),H201,""))</f>
        <v/>
      </c>
      <c r="AD201" s="53" t="str">
        <f aca="false">IF(AND(OR('Choix pédagogiques'!$C$3=1,'Choix pédagogiques'!$C$3=2),$BN201=1),I201,IF(AND('Choix pédagogiques'!$C$3=3,$BO201=1),I201,""))</f>
        <v/>
      </c>
      <c r="AE201" s="53" t="str">
        <f aca="false">IF($J201&lt;&gt;"",$J201,"")</f>
        <v/>
      </c>
      <c r="AF201" s="52" t="str">
        <f aca="false">IF($A201&lt;&gt;"",$A201,"")</f>
        <v>Apprenant 189</v>
      </c>
      <c r="AG201" s="53" t="str">
        <f aca="false">IF(AND($W201&lt;&gt;"",$X201&lt;&gt;""),$X201-$W201,"")</f>
        <v/>
      </c>
      <c r="AH201" s="53" t="str">
        <f aca="false">IF(AND($W201&lt;&gt;"",$Y201&lt;&gt;""),$Y201-$W201,"")</f>
        <v/>
      </c>
      <c r="AI201" s="53" t="str">
        <f aca="false">IF(AND($X201&lt;&gt;"",$Y201&lt;&gt;""),$Y201-$X201,"")</f>
        <v/>
      </c>
      <c r="AJ201" s="53" t="str">
        <f aca="false">IF($E201&lt;&gt;"",$E201,"")</f>
        <v/>
      </c>
      <c r="AK201" s="52" t="str">
        <f aca="false">IF($F201&lt;&gt;"",$F201,"")</f>
        <v>Apprenant 189 ou 189'</v>
      </c>
      <c r="AL201" s="53" t="str">
        <f aca="false">IF(AND($AB201&lt;&gt;"",$AC201&lt;&gt;""),$AC201-$AB201,"")</f>
        <v/>
      </c>
      <c r="AM201" s="53" t="str">
        <f aca="false">IF(AND($AB201&lt;&gt;"",$AD201&lt;&gt;""),$AD201-$AB201,"")</f>
        <v/>
      </c>
      <c r="AN201" s="53" t="str">
        <f aca="false">IF(AND($AC201&lt;&gt;"",$AD201&lt;&gt;""),$AD201-$AC201,"")</f>
        <v/>
      </c>
      <c r="AO201" s="53" t="str">
        <f aca="false">IF($J201&lt;&gt;"",$J201,"")</f>
        <v/>
      </c>
      <c r="AQ201" s="52" t="str">
        <f aca="false">IF($A201&lt;&gt;"",$A201,"")</f>
        <v>Apprenant 189</v>
      </c>
      <c r="AR201" s="55" t="str">
        <f aca="false">IF(AND('Choix pédagogiques'!$C$4&lt;&gt;"?",'Choix pédagogiques'!$C$5&lt;&gt;"?",W201&lt;&gt;""),(W201-'Choix pédagogiques'!$C$4)/('Choix pédagogiques'!$C$5-'Choix pédagogiques'!$C$4),"")</f>
        <v/>
      </c>
      <c r="AS201" s="55" t="str">
        <f aca="false">IF(AND('Choix pédagogiques'!$C$4&lt;&gt;"?",'Choix pédagogiques'!$C$5&lt;&gt;"?",X201&lt;&gt;""),(X201-'Choix pédagogiques'!$C$4)/('Choix pédagogiques'!$C$5-'Choix pédagogiques'!$C$4),"")</f>
        <v/>
      </c>
      <c r="AT201" s="55" t="str">
        <f aca="false">IF(AND('Choix pédagogiques'!$C$4&lt;&gt;"?",'Choix pédagogiques'!$C$5&lt;&gt;"?",Y201&lt;&gt;""),(Y201-'Choix pédagogiques'!$C$4)/('Choix pédagogiques'!$C$5-'Choix pédagogiques'!$C$4),"")</f>
        <v/>
      </c>
      <c r="AU201" s="53" t="str">
        <f aca="false">IF($E201&lt;&gt;"",$E201,"")</f>
        <v/>
      </c>
      <c r="AV201" s="52" t="str">
        <f aca="false">IF($F201&lt;&gt;"",$F201,"")</f>
        <v>Apprenant 189 ou 189'</v>
      </c>
      <c r="AW201" s="55" t="str">
        <f aca="false">IF(AND('Choix pédagogiques'!$C$4&lt;&gt;"?",'Choix pédagogiques'!$C$5&lt;&gt;"?",AB201&lt;&gt;""),(AB201-'Choix pédagogiques'!$C$4)/('Choix pédagogiques'!$C$5-'Choix pédagogiques'!$C$4),"")</f>
        <v/>
      </c>
      <c r="AX201" s="55" t="str">
        <f aca="false">IF(AND('Choix pédagogiques'!$C$4&lt;&gt;"?",'Choix pédagogiques'!$C$5&lt;&gt;"?",AC201&lt;&gt;""),(AC201-'Choix pédagogiques'!$C$4)/('Choix pédagogiques'!$C$5-'Choix pédagogiques'!$C$4),"")</f>
        <v/>
      </c>
      <c r="AY201" s="55" t="str">
        <f aca="false">IF(AND('Choix pédagogiques'!$C$4&lt;&gt;"?",'Choix pédagogiques'!$C$5&lt;&gt;"?",AD201&lt;&gt;""),(AD201-'Choix pédagogiques'!$C$4)/('Choix pédagogiques'!$C$5-'Choix pédagogiques'!$C$4),"")</f>
        <v/>
      </c>
      <c r="AZ201" s="53" t="str">
        <f aca="false">IF($J201&lt;&gt;"",$J201,"")</f>
        <v/>
      </c>
      <c r="BA201" s="52" t="str">
        <f aca="false">IF($A201&lt;&gt;"",$A201,"")</f>
        <v>Apprenant 189</v>
      </c>
      <c r="BB201" s="55" t="str">
        <f aca="false">IF(AND($AR201&lt;&gt;"",$AS201&lt;&gt;""),$AS201-$AR201,"")</f>
        <v/>
      </c>
      <c r="BC201" s="55" t="str">
        <f aca="false">IF(AND($AR201&lt;&gt;"",$AT201&lt;&gt;""),$AT201-$AR201,"")</f>
        <v/>
      </c>
      <c r="BD201" s="55" t="str">
        <f aca="false">IF(AND($AS201&lt;&gt;"",$AT201&lt;&gt;""),$AT201-$AS201,"")</f>
        <v/>
      </c>
      <c r="BE201" s="53" t="str">
        <f aca="false">IF($E201&lt;&gt;"",$E201,"")</f>
        <v/>
      </c>
      <c r="BF201" s="52" t="str">
        <f aca="false">IF($F201&lt;&gt;"",$F201,"")</f>
        <v>Apprenant 189 ou 189'</v>
      </c>
      <c r="BG201" s="55" t="str">
        <f aca="false">IF(AND($AW201&lt;&gt;"",$AX201&lt;&gt;""),$AX201-$AW201,"")</f>
        <v/>
      </c>
      <c r="BH201" s="55" t="str">
        <f aca="false">IF(AND($AW201&lt;&gt;"",$AY201&lt;&gt;""),$AY201-$AW201,"")</f>
        <v/>
      </c>
      <c r="BI201" s="55" t="str">
        <f aca="false">IF(AND($AX201&lt;&gt;"",$AY201&lt;&gt;""),$AY201-$AX201,"")</f>
        <v/>
      </c>
      <c r="BJ201" s="53" t="str">
        <f aca="false">IF($J201&lt;&gt;"",$J201,"")</f>
        <v/>
      </c>
      <c r="BL201" s="52"/>
      <c r="BM201" s="52" t="str">
        <f aca="false">IF(OR(COUNT(B201:D1200)=0,AND('Choix pédagogiques'!$C$3&lt;&gt;1,'Choix pédagogiques'!$C$3&lt;&gt;2)),"",IF(AND(OR('Choix pédagogiques'!$C$3=1,'Choix pédagogiques'!$C$3=2),$B201&lt;&gt;"",$C201&lt;&gt;"",$D201&lt;&gt;""),1,0))</f>
        <v/>
      </c>
      <c r="BN201" s="52" t="str">
        <f aca="false">IF(OR(COUNT(G201:I1200)=0,AND('Choix pédagogiques'!$C$3&lt;&gt;1,'Choix pédagogiques'!$C$3&lt;&gt;2)),"",IF(AND(OR('Choix pédagogiques'!$C$3=1,'Choix pédagogiques'!$C$3=2),AND($G201&lt;&gt;"",$H201&lt;&gt;"",$I201&lt;&gt;"")),1,0))</f>
        <v/>
      </c>
      <c r="BO201" s="52" t="str">
        <f aca="false">IF(OR(COUNT(B201:D1200)=0,COUNT(G201:I1200)=0,'Choix pédagogiques'!C$3&lt;&gt;3),"",IF(AND('Choix pédagogiques'!$C$3=3,$B201&lt;&gt;"",$C201&lt;&gt;"",$D201&lt;&gt;"",$G201&lt;&gt;"",$H201&lt;&gt;"",$I201&lt;&gt;""),1,0))</f>
        <v/>
      </c>
      <c r="BR201" s="52" t="n">
        <v>724</v>
      </c>
      <c r="BS201" s="52" t="n">
        <v>1725</v>
      </c>
    </row>
    <row r="202" s="54" customFormat="true" ht="18" hidden="false" customHeight="true" outlineLevel="0" collapsed="false">
      <c r="A202" s="57" t="s">
        <v>335</v>
      </c>
      <c r="B202" s="51"/>
      <c r="C202" s="51"/>
      <c r="D202" s="51"/>
      <c r="E202" s="51"/>
      <c r="F202" s="57" t="s">
        <v>336</v>
      </c>
      <c r="G202" s="51"/>
      <c r="H202" s="51"/>
      <c r="I202" s="51"/>
      <c r="J202" s="51"/>
      <c r="K202" s="52" t="str">
        <f aca="false">IF($A202&lt;&gt;"",$A202,"")</f>
        <v>Apprenant 190</v>
      </c>
      <c r="L202" s="53" t="str">
        <f aca="false">IF(AND($B202&lt;&gt;"",$C202&lt;&gt;""),$C202-$B202,"")</f>
        <v/>
      </c>
      <c r="M202" s="53" t="str">
        <f aca="false">IF(AND($B202&lt;&gt;"",$D202&lt;&gt;""),$D202-$B202,"")</f>
        <v/>
      </c>
      <c r="N202" s="53" t="str">
        <f aca="false">IF(AND($C202&lt;&gt;"",$D202&lt;&gt;""),$D202-$C202,"")</f>
        <v/>
      </c>
      <c r="O202" s="53" t="str">
        <f aca="false">IF($E202&lt;&gt;"",$E202,"")</f>
        <v/>
      </c>
      <c r="P202" s="52" t="str">
        <f aca="false">IF($F202&lt;&gt;"",$F202,"")</f>
        <v>Apprenant 190 ou 190'</v>
      </c>
      <c r="Q202" s="53" t="str">
        <f aca="false">IF(AND($G202&lt;&gt;"",$H202&lt;&gt;""),$H202-$G202,"")</f>
        <v/>
      </c>
      <c r="R202" s="53" t="str">
        <f aca="false">IF(AND($G202&lt;&gt;"",$I202&lt;&gt;""),$I202-$G202,"")</f>
        <v/>
      </c>
      <c r="S202" s="53" t="str">
        <f aca="false">IF(AND($H202&lt;&gt;"",$I202&lt;&gt;""),$I202-$H202,"")</f>
        <v/>
      </c>
      <c r="T202" s="53" t="str">
        <f aca="false">IF($J202&lt;&gt;"",$J202,"")</f>
        <v/>
      </c>
      <c r="V202" s="52" t="str">
        <f aca="false">IF($A202&lt;&gt;"",$A202,"")</f>
        <v>Apprenant 190</v>
      </c>
      <c r="W202" s="53" t="str">
        <f aca="false">IF(AND(OR('Choix pédagogiques'!$C$3=1,'Choix pédagogiques'!$C$3=2),$BM202=1),B202,IF(AND('Choix pédagogiques'!$C$3=3,$BO202=1),B202,""))</f>
        <v/>
      </c>
      <c r="X202" s="53" t="str">
        <f aca="false">IF(AND(OR('Choix pédagogiques'!$C$3=1,'Choix pédagogiques'!$C$3=2),$BM202=1),C202,IF(AND('Choix pédagogiques'!$C$3=3,$BO202=1),C202,""))</f>
        <v/>
      </c>
      <c r="Y202" s="53" t="str">
        <f aca="false">IF(AND(OR('Choix pédagogiques'!$C$3=1,'Choix pédagogiques'!$C$3=2),$BM202=1),D202,IF(AND('Choix pédagogiques'!$C$3=3,$BO202=1),D202,""))</f>
        <v/>
      </c>
      <c r="Z202" s="53" t="str">
        <f aca="false">IF($E202&lt;&gt;"",$E202,"")</f>
        <v/>
      </c>
      <c r="AA202" s="52" t="str">
        <f aca="false">IF($F202&lt;&gt;"",$F202,"")</f>
        <v>Apprenant 190 ou 190'</v>
      </c>
      <c r="AB202" s="53" t="str">
        <f aca="false">IF(AND(OR('Choix pédagogiques'!$C$3=1,'Choix pédagogiques'!$C$3=2),$BN202=1),G202,IF(AND('Choix pédagogiques'!$C$3=3,$BO202=1),G202,""))</f>
        <v/>
      </c>
      <c r="AC202" s="53" t="str">
        <f aca="false">IF(AND(OR('Choix pédagogiques'!$C$3=1,'Choix pédagogiques'!$C$3=2),$BN202=1),H202,IF(AND('Choix pédagogiques'!$C$3=3,$BO202=1),H202,""))</f>
        <v/>
      </c>
      <c r="AD202" s="53" t="str">
        <f aca="false">IF(AND(OR('Choix pédagogiques'!$C$3=1,'Choix pédagogiques'!$C$3=2),$BN202=1),I202,IF(AND('Choix pédagogiques'!$C$3=3,$BO202=1),I202,""))</f>
        <v/>
      </c>
      <c r="AE202" s="53" t="str">
        <f aca="false">IF($J202&lt;&gt;"",$J202,"")</f>
        <v/>
      </c>
      <c r="AF202" s="52" t="str">
        <f aca="false">IF($A202&lt;&gt;"",$A202,"")</f>
        <v>Apprenant 190</v>
      </c>
      <c r="AG202" s="53" t="str">
        <f aca="false">IF(AND($W202&lt;&gt;"",$X202&lt;&gt;""),$X202-$W202,"")</f>
        <v/>
      </c>
      <c r="AH202" s="53" t="str">
        <f aca="false">IF(AND($W202&lt;&gt;"",$Y202&lt;&gt;""),$Y202-$W202,"")</f>
        <v/>
      </c>
      <c r="AI202" s="53" t="str">
        <f aca="false">IF(AND($X202&lt;&gt;"",$Y202&lt;&gt;""),$Y202-$X202,"")</f>
        <v/>
      </c>
      <c r="AJ202" s="53" t="str">
        <f aca="false">IF($E202&lt;&gt;"",$E202,"")</f>
        <v/>
      </c>
      <c r="AK202" s="52" t="str">
        <f aca="false">IF($F202&lt;&gt;"",$F202,"")</f>
        <v>Apprenant 190 ou 190'</v>
      </c>
      <c r="AL202" s="53" t="str">
        <f aca="false">IF(AND($AB202&lt;&gt;"",$AC202&lt;&gt;""),$AC202-$AB202,"")</f>
        <v/>
      </c>
      <c r="AM202" s="53" t="str">
        <f aca="false">IF(AND($AB202&lt;&gt;"",$AD202&lt;&gt;""),$AD202-$AB202,"")</f>
        <v/>
      </c>
      <c r="AN202" s="53" t="str">
        <f aca="false">IF(AND($AC202&lt;&gt;"",$AD202&lt;&gt;""),$AD202-$AC202,"")</f>
        <v/>
      </c>
      <c r="AO202" s="53" t="str">
        <f aca="false">IF($J202&lt;&gt;"",$J202,"")</f>
        <v/>
      </c>
      <c r="AQ202" s="52" t="str">
        <f aca="false">IF($A202&lt;&gt;"",$A202,"")</f>
        <v>Apprenant 190</v>
      </c>
      <c r="AR202" s="55" t="str">
        <f aca="false">IF(AND('Choix pédagogiques'!$C$4&lt;&gt;"?",'Choix pédagogiques'!$C$5&lt;&gt;"?",W202&lt;&gt;""),(W202-'Choix pédagogiques'!$C$4)/('Choix pédagogiques'!$C$5-'Choix pédagogiques'!$C$4),"")</f>
        <v/>
      </c>
      <c r="AS202" s="55" t="str">
        <f aca="false">IF(AND('Choix pédagogiques'!$C$4&lt;&gt;"?",'Choix pédagogiques'!$C$5&lt;&gt;"?",X202&lt;&gt;""),(X202-'Choix pédagogiques'!$C$4)/('Choix pédagogiques'!$C$5-'Choix pédagogiques'!$C$4),"")</f>
        <v/>
      </c>
      <c r="AT202" s="55" t="str">
        <f aca="false">IF(AND('Choix pédagogiques'!$C$4&lt;&gt;"?",'Choix pédagogiques'!$C$5&lt;&gt;"?",Y202&lt;&gt;""),(Y202-'Choix pédagogiques'!$C$4)/('Choix pédagogiques'!$C$5-'Choix pédagogiques'!$C$4),"")</f>
        <v/>
      </c>
      <c r="AU202" s="53" t="str">
        <f aca="false">IF($E202&lt;&gt;"",$E202,"")</f>
        <v/>
      </c>
      <c r="AV202" s="52" t="str">
        <f aca="false">IF($F202&lt;&gt;"",$F202,"")</f>
        <v>Apprenant 190 ou 190'</v>
      </c>
      <c r="AW202" s="55" t="str">
        <f aca="false">IF(AND('Choix pédagogiques'!$C$4&lt;&gt;"?",'Choix pédagogiques'!$C$5&lt;&gt;"?",AB202&lt;&gt;""),(AB202-'Choix pédagogiques'!$C$4)/('Choix pédagogiques'!$C$5-'Choix pédagogiques'!$C$4),"")</f>
        <v/>
      </c>
      <c r="AX202" s="55" t="str">
        <f aca="false">IF(AND('Choix pédagogiques'!$C$4&lt;&gt;"?",'Choix pédagogiques'!$C$5&lt;&gt;"?",AC202&lt;&gt;""),(AC202-'Choix pédagogiques'!$C$4)/('Choix pédagogiques'!$C$5-'Choix pédagogiques'!$C$4),"")</f>
        <v/>
      </c>
      <c r="AY202" s="55" t="str">
        <f aca="false">IF(AND('Choix pédagogiques'!$C$4&lt;&gt;"?",'Choix pédagogiques'!$C$5&lt;&gt;"?",AD202&lt;&gt;""),(AD202-'Choix pédagogiques'!$C$4)/('Choix pédagogiques'!$C$5-'Choix pédagogiques'!$C$4),"")</f>
        <v/>
      </c>
      <c r="AZ202" s="53" t="str">
        <f aca="false">IF($J202&lt;&gt;"",$J202,"")</f>
        <v/>
      </c>
      <c r="BA202" s="52" t="str">
        <f aca="false">IF($A202&lt;&gt;"",$A202,"")</f>
        <v>Apprenant 190</v>
      </c>
      <c r="BB202" s="55" t="str">
        <f aca="false">IF(AND($AR202&lt;&gt;"",$AS202&lt;&gt;""),$AS202-$AR202,"")</f>
        <v/>
      </c>
      <c r="BC202" s="55" t="str">
        <f aca="false">IF(AND($AR202&lt;&gt;"",$AT202&lt;&gt;""),$AT202-$AR202,"")</f>
        <v/>
      </c>
      <c r="BD202" s="55" t="str">
        <f aca="false">IF(AND($AS202&lt;&gt;"",$AT202&lt;&gt;""),$AT202-$AS202,"")</f>
        <v/>
      </c>
      <c r="BE202" s="53" t="str">
        <f aca="false">IF($E202&lt;&gt;"",$E202,"")</f>
        <v/>
      </c>
      <c r="BF202" s="52" t="str">
        <f aca="false">IF($F202&lt;&gt;"",$F202,"")</f>
        <v>Apprenant 190 ou 190'</v>
      </c>
      <c r="BG202" s="55" t="str">
        <f aca="false">IF(AND($AW202&lt;&gt;"",$AX202&lt;&gt;""),$AX202-$AW202,"")</f>
        <v/>
      </c>
      <c r="BH202" s="55" t="str">
        <f aca="false">IF(AND($AW202&lt;&gt;"",$AY202&lt;&gt;""),$AY202-$AW202,"")</f>
        <v/>
      </c>
      <c r="BI202" s="55" t="str">
        <f aca="false">IF(AND($AX202&lt;&gt;"",$AY202&lt;&gt;""),$AY202-$AX202,"")</f>
        <v/>
      </c>
      <c r="BJ202" s="53" t="str">
        <f aca="false">IF($J202&lt;&gt;"",$J202,"")</f>
        <v/>
      </c>
      <c r="BL202" s="52"/>
      <c r="BM202" s="52" t="str">
        <f aca="false">IF(OR(COUNT(B202:D1201)=0,AND('Choix pédagogiques'!$C$3&lt;&gt;1,'Choix pédagogiques'!$C$3&lt;&gt;2)),"",IF(AND(OR('Choix pédagogiques'!$C$3=1,'Choix pédagogiques'!$C$3=2),$B202&lt;&gt;"",$C202&lt;&gt;"",$D202&lt;&gt;""),1,0))</f>
        <v/>
      </c>
      <c r="BN202" s="52" t="str">
        <f aca="false">IF(OR(COUNT(G202:I1201)=0,AND('Choix pédagogiques'!$C$3&lt;&gt;1,'Choix pédagogiques'!$C$3&lt;&gt;2)),"",IF(AND(OR('Choix pédagogiques'!$C$3=1,'Choix pédagogiques'!$C$3=2),AND($G202&lt;&gt;"",$H202&lt;&gt;"",$I202&lt;&gt;"")),1,0))</f>
        <v/>
      </c>
      <c r="BO202" s="52" t="str">
        <f aca="false">IF(OR(COUNT(B202:D1201)=0,COUNT(G202:I1201)=0,'Choix pédagogiques'!C$3&lt;&gt;3),"",IF(AND('Choix pédagogiques'!$C$3=3,$B202&lt;&gt;"",$C202&lt;&gt;"",$D202&lt;&gt;"",$G202&lt;&gt;"",$H202&lt;&gt;"",$I202&lt;&gt;""),1,0))</f>
        <v/>
      </c>
      <c r="BR202" s="52" t="n">
        <v>29</v>
      </c>
      <c r="BS202" s="52" t="n">
        <v>1421</v>
      </c>
    </row>
    <row r="203" s="54" customFormat="true" ht="18" hidden="false" customHeight="true" outlineLevel="0" collapsed="false">
      <c r="A203" s="57" t="s">
        <v>337</v>
      </c>
      <c r="B203" s="51"/>
      <c r="C203" s="51"/>
      <c r="D203" s="51"/>
      <c r="E203" s="51"/>
      <c r="F203" s="57" t="s">
        <v>338</v>
      </c>
      <c r="G203" s="51"/>
      <c r="H203" s="51"/>
      <c r="I203" s="51"/>
      <c r="J203" s="51"/>
      <c r="K203" s="52" t="str">
        <f aca="false">IF($A203&lt;&gt;"",$A203,"")</f>
        <v>Apprenant 191</v>
      </c>
      <c r="L203" s="53" t="str">
        <f aca="false">IF(AND($B203&lt;&gt;"",$C203&lt;&gt;""),$C203-$B203,"")</f>
        <v/>
      </c>
      <c r="M203" s="53" t="str">
        <f aca="false">IF(AND($B203&lt;&gt;"",$D203&lt;&gt;""),$D203-$B203,"")</f>
        <v/>
      </c>
      <c r="N203" s="53" t="str">
        <f aca="false">IF(AND($C203&lt;&gt;"",$D203&lt;&gt;""),$D203-$C203,"")</f>
        <v/>
      </c>
      <c r="O203" s="53" t="str">
        <f aca="false">IF($E203&lt;&gt;"",$E203,"")</f>
        <v/>
      </c>
      <c r="P203" s="52" t="str">
        <f aca="false">IF($F203&lt;&gt;"",$F203,"")</f>
        <v>Apprenant 191 ou 191'</v>
      </c>
      <c r="Q203" s="53" t="str">
        <f aca="false">IF(AND($G203&lt;&gt;"",$H203&lt;&gt;""),$H203-$G203,"")</f>
        <v/>
      </c>
      <c r="R203" s="53" t="str">
        <f aca="false">IF(AND($G203&lt;&gt;"",$I203&lt;&gt;""),$I203-$G203,"")</f>
        <v/>
      </c>
      <c r="S203" s="53" t="str">
        <f aca="false">IF(AND($H203&lt;&gt;"",$I203&lt;&gt;""),$I203-$H203,"")</f>
        <v/>
      </c>
      <c r="T203" s="53" t="str">
        <f aca="false">IF($J203&lt;&gt;"",$J203,"")</f>
        <v/>
      </c>
      <c r="V203" s="52" t="str">
        <f aca="false">IF($A203&lt;&gt;"",$A203,"")</f>
        <v>Apprenant 191</v>
      </c>
      <c r="W203" s="53" t="str">
        <f aca="false">IF(AND(OR('Choix pédagogiques'!$C$3=1,'Choix pédagogiques'!$C$3=2),$BM203=1),B203,IF(AND('Choix pédagogiques'!$C$3=3,$BO203=1),B203,""))</f>
        <v/>
      </c>
      <c r="X203" s="53" t="str">
        <f aca="false">IF(AND(OR('Choix pédagogiques'!$C$3=1,'Choix pédagogiques'!$C$3=2),$BM203=1),C203,IF(AND('Choix pédagogiques'!$C$3=3,$BO203=1),C203,""))</f>
        <v/>
      </c>
      <c r="Y203" s="53" t="str">
        <f aca="false">IF(AND(OR('Choix pédagogiques'!$C$3=1,'Choix pédagogiques'!$C$3=2),$BM203=1),D203,IF(AND('Choix pédagogiques'!$C$3=3,$BO203=1),D203,""))</f>
        <v/>
      </c>
      <c r="Z203" s="53" t="str">
        <f aca="false">IF($E203&lt;&gt;"",$E203,"")</f>
        <v/>
      </c>
      <c r="AA203" s="52" t="str">
        <f aca="false">IF($F203&lt;&gt;"",$F203,"")</f>
        <v>Apprenant 191 ou 191'</v>
      </c>
      <c r="AB203" s="53" t="str">
        <f aca="false">IF(AND(OR('Choix pédagogiques'!$C$3=1,'Choix pédagogiques'!$C$3=2),$BN203=1),G203,IF(AND('Choix pédagogiques'!$C$3=3,$BO203=1),G203,""))</f>
        <v/>
      </c>
      <c r="AC203" s="53" t="str">
        <f aca="false">IF(AND(OR('Choix pédagogiques'!$C$3=1,'Choix pédagogiques'!$C$3=2),$BN203=1),H203,IF(AND('Choix pédagogiques'!$C$3=3,$BO203=1),H203,""))</f>
        <v/>
      </c>
      <c r="AD203" s="53" t="str">
        <f aca="false">IF(AND(OR('Choix pédagogiques'!$C$3=1,'Choix pédagogiques'!$C$3=2),$BN203=1),I203,IF(AND('Choix pédagogiques'!$C$3=3,$BO203=1),I203,""))</f>
        <v/>
      </c>
      <c r="AE203" s="53" t="str">
        <f aca="false">IF($J203&lt;&gt;"",$J203,"")</f>
        <v/>
      </c>
      <c r="AF203" s="52" t="str">
        <f aca="false">IF($A203&lt;&gt;"",$A203,"")</f>
        <v>Apprenant 191</v>
      </c>
      <c r="AG203" s="53" t="str">
        <f aca="false">IF(AND($W203&lt;&gt;"",$X203&lt;&gt;""),$X203-$W203,"")</f>
        <v/>
      </c>
      <c r="AH203" s="53" t="str">
        <f aca="false">IF(AND($W203&lt;&gt;"",$Y203&lt;&gt;""),$Y203-$W203,"")</f>
        <v/>
      </c>
      <c r="AI203" s="53" t="str">
        <f aca="false">IF(AND($X203&lt;&gt;"",$Y203&lt;&gt;""),$Y203-$X203,"")</f>
        <v/>
      </c>
      <c r="AJ203" s="53" t="str">
        <f aca="false">IF($E203&lt;&gt;"",$E203,"")</f>
        <v/>
      </c>
      <c r="AK203" s="52" t="str">
        <f aca="false">IF($F203&lt;&gt;"",$F203,"")</f>
        <v>Apprenant 191 ou 191'</v>
      </c>
      <c r="AL203" s="53" t="str">
        <f aca="false">IF(AND($AB203&lt;&gt;"",$AC203&lt;&gt;""),$AC203-$AB203,"")</f>
        <v/>
      </c>
      <c r="AM203" s="53" t="str">
        <f aca="false">IF(AND($AB203&lt;&gt;"",$AD203&lt;&gt;""),$AD203-$AB203,"")</f>
        <v/>
      </c>
      <c r="AN203" s="53" t="str">
        <f aca="false">IF(AND($AC203&lt;&gt;"",$AD203&lt;&gt;""),$AD203-$AC203,"")</f>
        <v/>
      </c>
      <c r="AO203" s="53" t="str">
        <f aca="false">IF($J203&lt;&gt;"",$J203,"")</f>
        <v/>
      </c>
      <c r="AQ203" s="52" t="str">
        <f aca="false">IF($A203&lt;&gt;"",$A203,"")</f>
        <v>Apprenant 191</v>
      </c>
      <c r="AR203" s="55" t="str">
        <f aca="false">IF(AND('Choix pédagogiques'!$C$4&lt;&gt;"?",'Choix pédagogiques'!$C$5&lt;&gt;"?",W203&lt;&gt;""),(W203-'Choix pédagogiques'!$C$4)/('Choix pédagogiques'!$C$5-'Choix pédagogiques'!$C$4),"")</f>
        <v/>
      </c>
      <c r="AS203" s="55" t="str">
        <f aca="false">IF(AND('Choix pédagogiques'!$C$4&lt;&gt;"?",'Choix pédagogiques'!$C$5&lt;&gt;"?",X203&lt;&gt;""),(X203-'Choix pédagogiques'!$C$4)/('Choix pédagogiques'!$C$5-'Choix pédagogiques'!$C$4),"")</f>
        <v/>
      </c>
      <c r="AT203" s="55" t="str">
        <f aca="false">IF(AND('Choix pédagogiques'!$C$4&lt;&gt;"?",'Choix pédagogiques'!$C$5&lt;&gt;"?",Y203&lt;&gt;""),(Y203-'Choix pédagogiques'!$C$4)/('Choix pédagogiques'!$C$5-'Choix pédagogiques'!$C$4),"")</f>
        <v/>
      </c>
      <c r="AU203" s="53" t="str">
        <f aca="false">IF($E203&lt;&gt;"",$E203,"")</f>
        <v/>
      </c>
      <c r="AV203" s="52" t="str">
        <f aca="false">IF($F203&lt;&gt;"",$F203,"")</f>
        <v>Apprenant 191 ou 191'</v>
      </c>
      <c r="AW203" s="55" t="str">
        <f aca="false">IF(AND('Choix pédagogiques'!$C$4&lt;&gt;"?",'Choix pédagogiques'!$C$5&lt;&gt;"?",AB203&lt;&gt;""),(AB203-'Choix pédagogiques'!$C$4)/('Choix pédagogiques'!$C$5-'Choix pédagogiques'!$C$4),"")</f>
        <v/>
      </c>
      <c r="AX203" s="55" t="str">
        <f aca="false">IF(AND('Choix pédagogiques'!$C$4&lt;&gt;"?",'Choix pédagogiques'!$C$5&lt;&gt;"?",AC203&lt;&gt;""),(AC203-'Choix pédagogiques'!$C$4)/('Choix pédagogiques'!$C$5-'Choix pédagogiques'!$C$4),"")</f>
        <v/>
      </c>
      <c r="AY203" s="55" t="str">
        <f aca="false">IF(AND('Choix pédagogiques'!$C$4&lt;&gt;"?",'Choix pédagogiques'!$C$5&lt;&gt;"?",AD203&lt;&gt;""),(AD203-'Choix pédagogiques'!$C$4)/('Choix pédagogiques'!$C$5-'Choix pédagogiques'!$C$4),"")</f>
        <v/>
      </c>
      <c r="AZ203" s="53" t="str">
        <f aca="false">IF($J203&lt;&gt;"",$J203,"")</f>
        <v/>
      </c>
      <c r="BA203" s="52" t="str">
        <f aca="false">IF($A203&lt;&gt;"",$A203,"")</f>
        <v>Apprenant 191</v>
      </c>
      <c r="BB203" s="55" t="str">
        <f aca="false">IF(AND($AR203&lt;&gt;"",$AS203&lt;&gt;""),$AS203-$AR203,"")</f>
        <v/>
      </c>
      <c r="BC203" s="55" t="str">
        <f aca="false">IF(AND($AR203&lt;&gt;"",$AT203&lt;&gt;""),$AT203-$AR203,"")</f>
        <v/>
      </c>
      <c r="BD203" s="55" t="str">
        <f aca="false">IF(AND($AS203&lt;&gt;"",$AT203&lt;&gt;""),$AT203-$AS203,"")</f>
        <v/>
      </c>
      <c r="BE203" s="53" t="str">
        <f aca="false">IF($E203&lt;&gt;"",$E203,"")</f>
        <v/>
      </c>
      <c r="BF203" s="52" t="str">
        <f aca="false">IF($F203&lt;&gt;"",$F203,"")</f>
        <v>Apprenant 191 ou 191'</v>
      </c>
      <c r="BG203" s="55" t="str">
        <f aca="false">IF(AND($AW203&lt;&gt;"",$AX203&lt;&gt;""),$AX203-$AW203,"")</f>
        <v/>
      </c>
      <c r="BH203" s="55" t="str">
        <f aca="false">IF(AND($AW203&lt;&gt;"",$AY203&lt;&gt;""),$AY203-$AW203,"")</f>
        <v/>
      </c>
      <c r="BI203" s="55" t="str">
        <f aca="false">IF(AND($AX203&lt;&gt;"",$AY203&lt;&gt;""),$AY203-$AX203,"")</f>
        <v/>
      </c>
      <c r="BJ203" s="53" t="str">
        <f aca="false">IF($J203&lt;&gt;"",$J203,"")</f>
        <v/>
      </c>
      <c r="BL203" s="52"/>
      <c r="BM203" s="52" t="str">
        <f aca="false">IF(OR(COUNT(B203:D1202)=0,AND('Choix pédagogiques'!$C$3&lt;&gt;1,'Choix pédagogiques'!$C$3&lt;&gt;2)),"",IF(AND(OR('Choix pédagogiques'!$C$3=1,'Choix pédagogiques'!$C$3=2),$B203&lt;&gt;"",$C203&lt;&gt;"",$D203&lt;&gt;""),1,0))</f>
        <v/>
      </c>
      <c r="BN203" s="52" t="str">
        <f aca="false">IF(OR(COUNT(G203:I1202)=0,AND('Choix pédagogiques'!$C$3&lt;&gt;1,'Choix pédagogiques'!$C$3&lt;&gt;2)),"",IF(AND(OR('Choix pédagogiques'!$C$3=1,'Choix pédagogiques'!$C$3=2),AND($G203&lt;&gt;"",$H203&lt;&gt;"",$I203&lt;&gt;"")),1,0))</f>
        <v/>
      </c>
      <c r="BO203" s="52" t="str">
        <f aca="false">IF(OR(COUNT(B203:D1202)=0,COUNT(G203:I1202)=0,'Choix pédagogiques'!C$3&lt;&gt;3),"",IF(AND('Choix pédagogiques'!$C$3=3,$B203&lt;&gt;"",$C203&lt;&gt;"",$D203&lt;&gt;"",$G203&lt;&gt;"",$H203&lt;&gt;"",$I203&lt;&gt;""),1,0))</f>
        <v/>
      </c>
      <c r="BR203" s="52" t="n">
        <v>269</v>
      </c>
      <c r="BS203" s="52" t="n">
        <v>1924</v>
      </c>
    </row>
    <row r="204" s="54" customFormat="true" ht="18" hidden="false" customHeight="true" outlineLevel="0" collapsed="false">
      <c r="A204" s="57" t="s">
        <v>339</v>
      </c>
      <c r="B204" s="51"/>
      <c r="C204" s="51"/>
      <c r="D204" s="51"/>
      <c r="E204" s="51"/>
      <c r="F204" s="57" t="s">
        <v>340</v>
      </c>
      <c r="G204" s="51"/>
      <c r="H204" s="51"/>
      <c r="I204" s="51"/>
      <c r="J204" s="51"/>
      <c r="K204" s="52" t="str">
        <f aca="false">IF($A204&lt;&gt;"",$A204,"")</f>
        <v>Apprenant 192</v>
      </c>
      <c r="L204" s="53" t="str">
        <f aca="false">IF(AND($B204&lt;&gt;"",$C204&lt;&gt;""),$C204-$B204,"")</f>
        <v/>
      </c>
      <c r="M204" s="53" t="str">
        <f aca="false">IF(AND($B204&lt;&gt;"",$D204&lt;&gt;""),$D204-$B204,"")</f>
        <v/>
      </c>
      <c r="N204" s="53" t="str">
        <f aca="false">IF(AND($C204&lt;&gt;"",$D204&lt;&gt;""),$D204-$C204,"")</f>
        <v/>
      </c>
      <c r="O204" s="53" t="str">
        <f aca="false">IF($E204&lt;&gt;"",$E204,"")</f>
        <v/>
      </c>
      <c r="P204" s="52" t="str">
        <f aca="false">IF($F204&lt;&gt;"",$F204,"")</f>
        <v>Apprenant 192 ou 192'</v>
      </c>
      <c r="Q204" s="53" t="str">
        <f aca="false">IF(AND($G204&lt;&gt;"",$H204&lt;&gt;""),$H204-$G204,"")</f>
        <v/>
      </c>
      <c r="R204" s="53" t="str">
        <f aca="false">IF(AND($G204&lt;&gt;"",$I204&lt;&gt;""),$I204-$G204,"")</f>
        <v/>
      </c>
      <c r="S204" s="53" t="str">
        <f aca="false">IF(AND($H204&lt;&gt;"",$I204&lt;&gt;""),$I204-$H204,"")</f>
        <v/>
      </c>
      <c r="T204" s="53" t="str">
        <f aca="false">IF($J204&lt;&gt;"",$J204,"")</f>
        <v/>
      </c>
      <c r="V204" s="52" t="str">
        <f aca="false">IF($A204&lt;&gt;"",$A204,"")</f>
        <v>Apprenant 192</v>
      </c>
      <c r="W204" s="53" t="str">
        <f aca="false">IF(AND(OR('Choix pédagogiques'!$C$3=1,'Choix pédagogiques'!$C$3=2),$BM204=1),B204,IF(AND('Choix pédagogiques'!$C$3=3,$BO204=1),B204,""))</f>
        <v/>
      </c>
      <c r="X204" s="53" t="str">
        <f aca="false">IF(AND(OR('Choix pédagogiques'!$C$3=1,'Choix pédagogiques'!$C$3=2),$BM204=1),C204,IF(AND('Choix pédagogiques'!$C$3=3,$BO204=1),C204,""))</f>
        <v/>
      </c>
      <c r="Y204" s="53" t="str">
        <f aca="false">IF(AND(OR('Choix pédagogiques'!$C$3=1,'Choix pédagogiques'!$C$3=2),$BM204=1),D204,IF(AND('Choix pédagogiques'!$C$3=3,$BO204=1),D204,""))</f>
        <v/>
      </c>
      <c r="Z204" s="53" t="str">
        <f aca="false">IF($E204&lt;&gt;"",$E204,"")</f>
        <v/>
      </c>
      <c r="AA204" s="52" t="str">
        <f aca="false">IF($F204&lt;&gt;"",$F204,"")</f>
        <v>Apprenant 192 ou 192'</v>
      </c>
      <c r="AB204" s="53" t="str">
        <f aca="false">IF(AND(OR('Choix pédagogiques'!$C$3=1,'Choix pédagogiques'!$C$3=2),$BN204=1),G204,IF(AND('Choix pédagogiques'!$C$3=3,$BO204=1),G204,""))</f>
        <v/>
      </c>
      <c r="AC204" s="53" t="str">
        <f aca="false">IF(AND(OR('Choix pédagogiques'!$C$3=1,'Choix pédagogiques'!$C$3=2),$BN204=1),H204,IF(AND('Choix pédagogiques'!$C$3=3,$BO204=1),H204,""))</f>
        <v/>
      </c>
      <c r="AD204" s="53" t="str">
        <f aca="false">IF(AND(OR('Choix pédagogiques'!$C$3=1,'Choix pédagogiques'!$C$3=2),$BN204=1),I204,IF(AND('Choix pédagogiques'!$C$3=3,$BO204=1),I204,""))</f>
        <v/>
      </c>
      <c r="AE204" s="53" t="str">
        <f aca="false">IF($J204&lt;&gt;"",$J204,"")</f>
        <v/>
      </c>
      <c r="AF204" s="52" t="str">
        <f aca="false">IF($A204&lt;&gt;"",$A204,"")</f>
        <v>Apprenant 192</v>
      </c>
      <c r="AG204" s="53" t="str">
        <f aca="false">IF(AND($W204&lt;&gt;"",$X204&lt;&gt;""),$X204-$W204,"")</f>
        <v/>
      </c>
      <c r="AH204" s="53" t="str">
        <f aca="false">IF(AND($W204&lt;&gt;"",$Y204&lt;&gt;""),$Y204-$W204,"")</f>
        <v/>
      </c>
      <c r="AI204" s="53" t="str">
        <f aca="false">IF(AND($X204&lt;&gt;"",$Y204&lt;&gt;""),$Y204-$X204,"")</f>
        <v/>
      </c>
      <c r="AJ204" s="53" t="str">
        <f aca="false">IF($E204&lt;&gt;"",$E204,"")</f>
        <v/>
      </c>
      <c r="AK204" s="52" t="str">
        <f aca="false">IF($F204&lt;&gt;"",$F204,"")</f>
        <v>Apprenant 192 ou 192'</v>
      </c>
      <c r="AL204" s="53" t="str">
        <f aca="false">IF(AND($AB204&lt;&gt;"",$AC204&lt;&gt;""),$AC204-$AB204,"")</f>
        <v/>
      </c>
      <c r="AM204" s="53" t="str">
        <f aca="false">IF(AND($AB204&lt;&gt;"",$AD204&lt;&gt;""),$AD204-$AB204,"")</f>
        <v/>
      </c>
      <c r="AN204" s="53" t="str">
        <f aca="false">IF(AND($AC204&lt;&gt;"",$AD204&lt;&gt;""),$AD204-$AC204,"")</f>
        <v/>
      </c>
      <c r="AO204" s="53" t="str">
        <f aca="false">IF($J204&lt;&gt;"",$J204,"")</f>
        <v/>
      </c>
      <c r="AQ204" s="52" t="str">
        <f aca="false">IF($A204&lt;&gt;"",$A204,"")</f>
        <v>Apprenant 192</v>
      </c>
      <c r="AR204" s="55" t="str">
        <f aca="false">IF(AND('Choix pédagogiques'!$C$4&lt;&gt;"?",'Choix pédagogiques'!$C$5&lt;&gt;"?",W204&lt;&gt;""),(W204-'Choix pédagogiques'!$C$4)/('Choix pédagogiques'!$C$5-'Choix pédagogiques'!$C$4),"")</f>
        <v/>
      </c>
      <c r="AS204" s="55" t="str">
        <f aca="false">IF(AND('Choix pédagogiques'!$C$4&lt;&gt;"?",'Choix pédagogiques'!$C$5&lt;&gt;"?",X204&lt;&gt;""),(X204-'Choix pédagogiques'!$C$4)/('Choix pédagogiques'!$C$5-'Choix pédagogiques'!$C$4),"")</f>
        <v/>
      </c>
      <c r="AT204" s="55" t="str">
        <f aca="false">IF(AND('Choix pédagogiques'!$C$4&lt;&gt;"?",'Choix pédagogiques'!$C$5&lt;&gt;"?",Y204&lt;&gt;""),(Y204-'Choix pédagogiques'!$C$4)/('Choix pédagogiques'!$C$5-'Choix pédagogiques'!$C$4),"")</f>
        <v/>
      </c>
      <c r="AU204" s="53" t="str">
        <f aca="false">IF($E204&lt;&gt;"",$E204,"")</f>
        <v/>
      </c>
      <c r="AV204" s="52" t="str">
        <f aca="false">IF($F204&lt;&gt;"",$F204,"")</f>
        <v>Apprenant 192 ou 192'</v>
      </c>
      <c r="AW204" s="55" t="str">
        <f aca="false">IF(AND('Choix pédagogiques'!$C$4&lt;&gt;"?",'Choix pédagogiques'!$C$5&lt;&gt;"?",AB204&lt;&gt;""),(AB204-'Choix pédagogiques'!$C$4)/('Choix pédagogiques'!$C$5-'Choix pédagogiques'!$C$4),"")</f>
        <v/>
      </c>
      <c r="AX204" s="55" t="str">
        <f aca="false">IF(AND('Choix pédagogiques'!$C$4&lt;&gt;"?",'Choix pédagogiques'!$C$5&lt;&gt;"?",AC204&lt;&gt;""),(AC204-'Choix pédagogiques'!$C$4)/('Choix pédagogiques'!$C$5-'Choix pédagogiques'!$C$4),"")</f>
        <v/>
      </c>
      <c r="AY204" s="55" t="str">
        <f aca="false">IF(AND('Choix pédagogiques'!$C$4&lt;&gt;"?",'Choix pédagogiques'!$C$5&lt;&gt;"?",AD204&lt;&gt;""),(AD204-'Choix pédagogiques'!$C$4)/('Choix pédagogiques'!$C$5-'Choix pédagogiques'!$C$4),"")</f>
        <v/>
      </c>
      <c r="AZ204" s="53" t="str">
        <f aca="false">IF($J204&lt;&gt;"",$J204,"")</f>
        <v/>
      </c>
      <c r="BA204" s="52" t="str">
        <f aca="false">IF($A204&lt;&gt;"",$A204,"")</f>
        <v>Apprenant 192</v>
      </c>
      <c r="BB204" s="55" t="str">
        <f aca="false">IF(AND($AR204&lt;&gt;"",$AS204&lt;&gt;""),$AS204-$AR204,"")</f>
        <v/>
      </c>
      <c r="BC204" s="55" t="str">
        <f aca="false">IF(AND($AR204&lt;&gt;"",$AT204&lt;&gt;""),$AT204-$AR204,"")</f>
        <v/>
      </c>
      <c r="BD204" s="55" t="str">
        <f aca="false">IF(AND($AS204&lt;&gt;"",$AT204&lt;&gt;""),$AT204-$AS204,"")</f>
        <v/>
      </c>
      <c r="BE204" s="53" t="str">
        <f aca="false">IF($E204&lt;&gt;"",$E204,"")</f>
        <v/>
      </c>
      <c r="BF204" s="52" t="str">
        <f aca="false">IF($F204&lt;&gt;"",$F204,"")</f>
        <v>Apprenant 192 ou 192'</v>
      </c>
      <c r="BG204" s="55" t="str">
        <f aca="false">IF(AND($AW204&lt;&gt;"",$AX204&lt;&gt;""),$AX204-$AW204,"")</f>
        <v/>
      </c>
      <c r="BH204" s="55" t="str">
        <f aca="false">IF(AND($AW204&lt;&gt;"",$AY204&lt;&gt;""),$AY204-$AW204,"")</f>
        <v/>
      </c>
      <c r="BI204" s="55" t="str">
        <f aca="false">IF(AND($AX204&lt;&gt;"",$AY204&lt;&gt;""),$AY204-$AX204,"")</f>
        <v/>
      </c>
      <c r="BJ204" s="53" t="str">
        <f aca="false">IF($J204&lt;&gt;"",$J204,"")</f>
        <v/>
      </c>
      <c r="BL204" s="52"/>
      <c r="BM204" s="52" t="str">
        <f aca="false">IF(OR(COUNT(B204:D1203)=0,AND('Choix pédagogiques'!$C$3&lt;&gt;1,'Choix pédagogiques'!$C$3&lt;&gt;2)),"",IF(AND(OR('Choix pédagogiques'!$C$3=1,'Choix pédagogiques'!$C$3=2),$B204&lt;&gt;"",$C204&lt;&gt;"",$D204&lt;&gt;""),1,0))</f>
        <v/>
      </c>
      <c r="BN204" s="52" t="str">
        <f aca="false">IF(OR(COUNT(G204:I1203)=0,AND('Choix pédagogiques'!$C$3&lt;&gt;1,'Choix pédagogiques'!$C$3&lt;&gt;2)),"",IF(AND(OR('Choix pédagogiques'!$C$3=1,'Choix pédagogiques'!$C$3=2),AND($G204&lt;&gt;"",$H204&lt;&gt;"",$I204&lt;&gt;"")),1,0))</f>
        <v/>
      </c>
      <c r="BO204" s="52" t="str">
        <f aca="false">IF(OR(COUNT(B204:D1203)=0,COUNT(G204:I1203)=0,'Choix pédagogiques'!C$3&lt;&gt;3),"",IF(AND('Choix pédagogiques'!$C$3=3,$B204&lt;&gt;"",$C204&lt;&gt;"",$D204&lt;&gt;"",$G204&lt;&gt;"",$H204&lt;&gt;"",$I204&lt;&gt;""),1,0))</f>
        <v/>
      </c>
      <c r="BR204" s="52" t="n">
        <v>502</v>
      </c>
      <c r="BS204" s="52" t="n">
        <v>1950</v>
      </c>
    </row>
    <row r="205" s="54" customFormat="true" ht="18" hidden="false" customHeight="true" outlineLevel="0" collapsed="false">
      <c r="A205" s="57" t="s">
        <v>341</v>
      </c>
      <c r="B205" s="51"/>
      <c r="C205" s="51"/>
      <c r="D205" s="51"/>
      <c r="E205" s="51"/>
      <c r="F205" s="57" t="s">
        <v>342</v>
      </c>
      <c r="G205" s="51"/>
      <c r="H205" s="51"/>
      <c r="I205" s="51"/>
      <c r="J205" s="51"/>
      <c r="K205" s="52" t="str">
        <f aca="false">IF($A205&lt;&gt;"",$A205,"")</f>
        <v>Apprenant 193</v>
      </c>
      <c r="L205" s="53" t="str">
        <f aca="false">IF(AND($B205&lt;&gt;"",$C205&lt;&gt;""),$C205-$B205,"")</f>
        <v/>
      </c>
      <c r="M205" s="53" t="str">
        <f aca="false">IF(AND($B205&lt;&gt;"",$D205&lt;&gt;""),$D205-$B205,"")</f>
        <v/>
      </c>
      <c r="N205" s="53" t="str">
        <f aca="false">IF(AND($C205&lt;&gt;"",$D205&lt;&gt;""),$D205-$C205,"")</f>
        <v/>
      </c>
      <c r="O205" s="53" t="str">
        <f aca="false">IF($E205&lt;&gt;"",$E205,"")</f>
        <v/>
      </c>
      <c r="P205" s="52" t="str">
        <f aca="false">IF($F205&lt;&gt;"",$F205,"")</f>
        <v>Apprenant 193 ou 193'</v>
      </c>
      <c r="Q205" s="53" t="str">
        <f aca="false">IF(AND($G205&lt;&gt;"",$H205&lt;&gt;""),$H205-$G205,"")</f>
        <v/>
      </c>
      <c r="R205" s="53" t="str">
        <f aca="false">IF(AND($G205&lt;&gt;"",$I205&lt;&gt;""),$I205-$G205,"")</f>
        <v/>
      </c>
      <c r="S205" s="53" t="str">
        <f aca="false">IF(AND($H205&lt;&gt;"",$I205&lt;&gt;""),$I205-$H205,"")</f>
        <v/>
      </c>
      <c r="T205" s="53" t="str">
        <f aca="false">IF($J205&lt;&gt;"",$J205,"")</f>
        <v/>
      </c>
      <c r="V205" s="52" t="str">
        <f aca="false">IF($A205&lt;&gt;"",$A205,"")</f>
        <v>Apprenant 193</v>
      </c>
      <c r="W205" s="53" t="str">
        <f aca="false">IF(AND(OR('Choix pédagogiques'!$C$3=1,'Choix pédagogiques'!$C$3=2),$BM205=1),B205,IF(AND('Choix pédagogiques'!$C$3=3,$BO205=1),B205,""))</f>
        <v/>
      </c>
      <c r="X205" s="53" t="str">
        <f aca="false">IF(AND(OR('Choix pédagogiques'!$C$3=1,'Choix pédagogiques'!$C$3=2),$BM205=1),C205,IF(AND('Choix pédagogiques'!$C$3=3,$BO205=1),C205,""))</f>
        <v/>
      </c>
      <c r="Y205" s="53" t="str">
        <f aca="false">IF(AND(OR('Choix pédagogiques'!$C$3=1,'Choix pédagogiques'!$C$3=2),$BM205=1),D205,IF(AND('Choix pédagogiques'!$C$3=3,$BO205=1),D205,""))</f>
        <v/>
      </c>
      <c r="Z205" s="53" t="str">
        <f aca="false">IF($E205&lt;&gt;"",$E205,"")</f>
        <v/>
      </c>
      <c r="AA205" s="52" t="str">
        <f aca="false">IF($F205&lt;&gt;"",$F205,"")</f>
        <v>Apprenant 193 ou 193'</v>
      </c>
      <c r="AB205" s="53" t="str">
        <f aca="false">IF(AND(OR('Choix pédagogiques'!$C$3=1,'Choix pédagogiques'!$C$3=2),$BN205=1),G205,IF(AND('Choix pédagogiques'!$C$3=3,$BO205=1),G205,""))</f>
        <v/>
      </c>
      <c r="AC205" s="53" t="str">
        <f aca="false">IF(AND(OR('Choix pédagogiques'!$C$3=1,'Choix pédagogiques'!$C$3=2),$BN205=1),H205,IF(AND('Choix pédagogiques'!$C$3=3,$BO205=1),H205,""))</f>
        <v/>
      </c>
      <c r="AD205" s="53" t="str">
        <f aca="false">IF(AND(OR('Choix pédagogiques'!$C$3=1,'Choix pédagogiques'!$C$3=2),$BN205=1),I205,IF(AND('Choix pédagogiques'!$C$3=3,$BO205=1),I205,""))</f>
        <v/>
      </c>
      <c r="AE205" s="53" t="str">
        <f aca="false">IF($J205&lt;&gt;"",$J205,"")</f>
        <v/>
      </c>
      <c r="AF205" s="52" t="str">
        <f aca="false">IF($A205&lt;&gt;"",$A205,"")</f>
        <v>Apprenant 193</v>
      </c>
      <c r="AG205" s="53" t="str">
        <f aca="false">IF(AND($W205&lt;&gt;"",$X205&lt;&gt;""),$X205-$W205,"")</f>
        <v/>
      </c>
      <c r="AH205" s="53" t="str">
        <f aca="false">IF(AND($W205&lt;&gt;"",$Y205&lt;&gt;""),$Y205-$W205,"")</f>
        <v/>
      </c>
      <c r="AI205" s="53" t="str">
        <f aca="false">IF(AND($X205&lt;&gt;"",$Y205&lt;&gt;""),$Y205-$X205,"")</f>
        <v/>
      </c>
      <c r="AJ205" s="53" t="str">
        <f aca="false">IF($E205&lt;&gt;"",$E205,"")</f>
        <v/>
      </c>
      <c r="AK205" s="52" t="str">
        <f aca="false">IF($F205&lt;&gt;"",$F205,"")</f>
        <v>Apprenant 193 ou 193'</v>
      </c>
      <c r="AL205" s="53" t="str">
        <f aca="false">IF(AND($AB205&lt;&gt;"",$AC205&lt;&gt;""),$AC205-$AB205,"")</f>
        <v/>
      </c>
      <c r="AM205" s="53" t="str">
        <f aca="false">IF(AND($AB205&lt;&gt;"",$AD205&lt;&gt;""),$AD205-$AB205,"")</f>
        <v/>
      </c>
      <c r="AN205" s="53" t="str">
        <f aca="false">IF(AND($AC205&lt;&gt;"",$AD205&lt;&gt;""),$AD205-$AC205,"")</f>
        <v/>
      </c>
      <c r="AO205" s="53" t="str">
        <f aca="false">IF($J205&lt;&gt;"",$J205,"")</f>
        <v/>
      </c>
      <c r="AQ205" s="52" t="str">
        <f aca="false">IF($A205&lt;&gt;"",$A205,"")</f>
        <v>Apprenant 193</v>
      </c>
      <c r="AR205" s="55" t="str">
        <f aca="false">IF(AND('Choix pédagogiques'!$C$4&lt;&gt;"?",'Choix pédagogiques'!$C$5&lt;&gt;"?",W205&lt;&gt;""),(W205-'Choix pédagogiques'!$C$4)/('Choix pédagogiques'!$C$5-'Choix pédagogiques'!$C$4),"")</f>
        <v/>
      </c>
      <c r="AS205" s="55" t="str">
        <f aca="false">IF(AND('Choix pédagogiques'!$C$4&lt;&gt;"?",'Choix pédagogiques'!$C$5&lt;&gt;"?",X205&lt;&gt;""),(X205-'Choix pédagogiques'!$C$4)/('Choix pédagogiques'!$C$5-'Choix pédagogiques'!$C$4),"")</f>
        <v/>
      </c>
      <c r="AT205" s="55" t="str">
        <f aca="false">IF(AND('Choix pédagogiques'!$C$4&lt;&gt;"?",'Choix pédagogiques'!$C$5&lt;&gt;"?",Y205&lt;&gt;""),(Y205-'Choix pédagogiques'!$C$4)/('Choix pédagogiques'!$C$5-'Choix pédagogiques'!$C$4),"")</f>
        <v/>
      </c>
      <c r="AU205" s="53" t="str">
        <f aca="false">IF($E205&lt;&gt;"",$E205,"")</f>
        <v/>
      </c>
      <c r="AV205" s="52" t="str">
        <f aca="false">IF($F205&lt;&gt;"",$F205,"")</f>
        <v>Apprenant 193 ou 193'</v>
      </c>
      <c r="AW205" s="55" t="str">
        <f aca="false">IF(AND('Choix pédagogiques'!$C$4&lt;&gt;"?",'Choix pédagogiques'!$C$5&lt;&gt;"?",AB205&lt;&gt;""),(AB205-'Choix pédagogiques'!$C$4)/('Choix pédagogiques'!$C$5-'Choix pédagogiques'!$C$4),"")</f>
        <v/>
      </c>
      <c r="AX205" s="55" t="str">
        <f aca="false">IF(AND('Choix pédagogiques'!$C$4&lt;&gt;"?",'Choix pédagogiques'!$C$5&lt;&gt;"?",AC205&lt;&gt;""),(AC205-'Choix pédagogiques'!$C$4)/('Choix pédagogiques'!$C$5-'Choix pédagogiques'!$C$4),"")</f>
        <v/>
      </c>
      <c r="AY205" s="55" t="str">
        <f aca="false">IF(AND('Choix pédagogiques'!$C$4&lt;&gt;"?",'Choix pédagogiques'!$C$5&lt;&gt;"?",AD205&lt;&gt;""),(AD205-'Choix pédagogiques'!$C$4)/('Choix pédagogiques'!$C$5-'Choix pédagogiques'!$C$4),"")</f>
        <v/>
      </c>
      <c r="AZ205" s="53" t="str">
        <f aca="false">IF($J205&lt;&gt;"",$J205,"")</f>
        <v/>
      </c>
      <c r="BA205" s="52" t="str">
        <f aca="false">IF($A205&lt;&gt;"",$A205,"")</f>
        <v>Apprenant 193</v>
      </c>
      <c r="BB205" s="55" t="str">
        <f aca="false">IF(AND($AR205&lt;&gt;"",$AS205&lt;&gt;""),$AS205-$AR205,"")</f>
        <v/>
      </c>
      <c r="BC205" s="55" t="str">
        <f aca="false">IF(AND($AR205&lt;&gt;"",$AT205&lt;&gt;""),$AT205-$AR205,"")</f>
        <v/>
      </c>
      <c r="BD205" s="55" t="str">
        <f aca="false">IF(AND($AS205&lt;&gt;"",$AT205&lt;&gt;""),$AT205-$AS205,"")</f>
        <v/>
      </c>
      <c r="BE205" s="53" t="str">
        <f aca="false">IF($E205&lt;&gt;"",$E205,"")</f>
        <v/>
      </c>
      <c r="BF205" s="52" t="str">
        <f aca="false">IF($F205&lt;&gt;"",$F205,"")</f>
        <v>Apprenant 193 ou 193'</v>
      </c>
      <c r="BG205" s="55" t="str">
        <f aca="false">IF(AND($AW205&lt;&gt;"",$AX205&lt;&gt;""),$AX205-$AW205,"")</f>
        <v/>
      </c>
      <c r="BH205" s="55" t="str">
        <f aca="false">IF(AND($AW205&lt;&gt;"",$AY205&lt;&gt;""),$AY205-$AW205,"")</f>
        <v/>
      </c>
      <c r="BI205" s="55" t="str">
        <f aca="false">IF(AND($AX205&lt;&gt;"",$AY205&lt;&gt;""),$AY205-$AX205,"")</f>
        <v/>
      </c>
      <c r="BJ205" s="53" t="str">
        <f aca="false">IF($J205&lt;&gt;"",$J205,"")</f>
        <v/>
      </c>
      <c r="BL205" s="52"/>
      <c r="BM205" s="52" t="str">
        <f aca="false">IF(OR(COUNT(B205:D1204)=0,AND('Choix pédagogiques'!$C$3&lt;&gt;1,'Choix pédagogiques'!$C$3&lt;&gt;2)),"",IF(AND(OR('Choix pédagogiques'!$C$3=1,'Choix pédagogiques'!$C$3=2),$B205&lt;&gt;"",$C205&lt;&gt;"",$D205&lt;&gt;""),1,0))</f>
        <v/>
      </c>
      <c r="BN205" s="52" t="str">
        <f aca="false">IF(OR(COUNT(G205:I1204)=0,AND('Choix pédagogiques'!$C$3&lt;&gt;1,'Choix pédagogiques'!$C$3&lt;&gt;2)),"",IF(AND(OR('Choix pédagogiques'!$C$3=1,'Choix pédagogiques'!$C$3=2),AND($G205&lt;&gt;"",$H205&lt;&gt;"",$I205&lt;&gt;"")),1,0))</f>
        <v/>
      </c>
      <c r="BO205" s="52" t="str">
        <f aca="false">IF(OR(COUNT(B205:D1204)=0,COUNT(G205:I1204)=0,'Choix pédagogiques'!C$3&lt;&gt;3),"",IF(AND('Choix pédagogiques'!$C$3=3,$B205&lt;&gt;"",$C205&lt;&gt;"",$D205&lt;&gt;"",$G205&lt;&gt;"",$H205&lt;&gt;"",$I205&lt;&gt;""),1,0))</f>
        <v/>
      </c>
      <c r="BR205" s="52" t="n">
        <v>806</v>
      </c>
      <c r="BS205" s="52" t="n">
        <v>1752</v>
      </c>
    </row>
    <row r="206" s="54" customFormat="true" ht="18" hidden="false" customHeight="true" outlineLevel="0" collapsed="false">
      <c r="A206" s="57" t="s">
        <v>343</v>
      </c>
      <c r="B206" s="51"/>
      <c r="C206" s="51"/>
      <c r="D206" s="51"/>
      <c r="E206" s="51"/>
      <c r="F206" s="57" t="s">
        <v>344</v>
      </c>
      <c r="G206" s="51"/>
      <c r="H206" s="51"/>
      <c r="I206" s="51"/>
      <c r="J206" s="51"/>
      <c r="K206" s="52" t="str">
        <f aca="false">IF($A206&lt;&gt;"",$A206,"")</f>
        <v>Apprenant 194</v>
      </c>
      <c r="L206" s="53" t="str">
        <f aca="false">IF(AND($B206&lt;&gt;"",$C206&lt;&gt;""),$C206-$B206,"")</f>
        <v/>
      </c>
      <c r="M206" s="53" t="str">
        <f aca="false">IF(AND($B206&lt;&gt;"",$D206&lt;&gt;""),$D206-$B206,"")</f>
        <v/>
      </c>
      <c r="N206" s="53" t="str">
        <f aca="false">IF(AND($C206&lt;&gt;"",$D206&lt;&gt;""),$D206-$C206,"")</f>
        <v/>
      </c>
      <c r="O206" s="53" t="str">
        <f aca="false">IF($E206&lt;&gt;"",$E206,"")</f>
        <v/>
      </c>
      <c r="P206" s="52" t="str">
        <f aca="false">IF($F206&lt;&gt;"",$F206,"")</f>
        <v>Apprenant 194 ou 194'</v>
      </c>
      <c r="Q206" s="53" t="str">
        <f aca="false">IF(AND($G206&lt;&gt;"",$H206&lt;&gt;""),$H206-$G206,"")</f>
        <v/>
      </c>
      <c r="R206" s="53" t="str">
        <f aca="false">IF(AND($G206&lt;&gt;"",$I206&lt;&gt;""),$I206-$G206,"")</f>
        <v/>
      </c>
      <c r="S206" s="53" t="str">
        <f aca="false">IF(AND($H206&lt;&gt;"",$I206&lt;&gt;""),$I206-$H206,"")</f>
        <v/>
      </c>
      <c r="T206" s="53" t="str">
        <f aca="false">IF($J206&lt;&gt;"",$J206,"")</f>
        <v/>
      </c>
      <c r="V206" s="52" t="str">
        <f aca="false">IF($A206&lt;&gt;"",$A206,"")</f>
        <v>Apprenant 194</v>
      </c>
      <c r="W206" s="53" t="str">
        <f aca="false">IF(AND(OR('Choix pédagogiques'!$C$3=1,'Choix pédagogiques'!$C$3=2),$BM206=1),B206,IF(AND('Choix pédagogiques'!$C$3=3,$BO206=1),B206,""))</f>
        <v/>
      </c>
      <c r="X206" s="53" t="str">
        <f aca="false">IF(AND(OR('Choix pédagogiques'!$C$3=1,'Choix pédagogiques'!$C$3=2),$BM206=1),C206,IF(AND('Choix pédagogiques'!$C$3=3,$BO206=1),C206,""))</f>
        <v/>
      </c>
      <c r="Y206" s="53" t="str">
        <f aca="false">IF(AND(OR('Choix pédagogiques'!$C$3=1,'Choix pédagogiques'!$C$3=2),$BM206=1),D206,IF(AND('Choix pédagogiques'!$C$3=3,$BO206=1),D206,""))</f>
        <v/>
      </c>
      <c r="Z206" s="53" t="str">
        <f aca="false">IF($E206&lt;&gt;"",$E206,"")</f>
        <v/>
      </c>
      <c r="AA206" s="52" t="str">
        <f aca="false">IF($F206&lt;&gt;"",$F206,"")</f>
        <v>Apprenant 194 ou 194'</v>
      </c>
      <c r="AB206" s="53" t="str">
        <f aca="false">IF(AND(OR('Choix pédagogiques'!$C$3=1,'Choix pédagogiques'!$C$3=2),$BN206=1),G206,IF(AND('Choix pédagogiques'!$C$3=3,$BO206=1),G206,""))</f>
        <v/>
      </c>
      <c r="AC206" s="53" t="str">
        <f aca="false">IF(AND(OR('Choix pédagogiques'!$C$3=1,'Choix pédagogiques'!$C$3=2),$BN206=1),H206,IF(AND('Choix pédagogiques'!$C$3=3,$BO206=1),H206,""))</f>
        <v/>
      </c>
      <c r="AD206" s="53" t="str">
        <f aca="false">IF(AND(OR('Choix pédagogiques'!$C$3=1,'Choix pédagogiques'!$C$3=2),$BN206=1),I206,IF(AND('Choix pédagogiques'!$C$3=3,$BO206=1),I206,""))</f>
        <v/>
      </c>
      <c r="AE206" s="53" t="str">
        <f aca="false">IF($J206&lt;&gt;"",$J206,"")</f>
        <v/>
      </c>
      <c r="AF206" s="52" t="str">
        <f aca="false">IF($A206&lt;&gt;"",$A206,"")</f>
        <v>Apprenant 194</v>
      </c>
      <c r="AG206" s="53" t="str">
        <f aca="false">IF(AND($W206&lt;&gt;"",$X206&lt;&gt;""),$X206-$W206,"")</f>
        <v/>
      </c>
      <c r="AH206" s="53" t="str">
        <f aca="false">IF(AND($W206&lt;&gt;"",$Y206&lt;&gt;""),$Y206-$W206,"")</f>
        <v/>
      </c>
      <c r="AI206" s="53" t="str">
        <f aca="false">IF(AND($X206&lt;&gt;"",$Y206&lt;&gt;""),$Y206-$X206,"")</f>
        <v/>
      </c>
      <c r="AJ206" s="53" t="str">
        <f aca="false">IF($E206&lt;&gt;"",$E206,"")</f>
        <v/>
      </c>
      <c r="AK206" s="52" t="str">
        <f aca="false">IF($F206&lt;&gt;"",$F206,"")</f>
        <v>Apprenant 194 ou 194'</v>
      </c>
      <c r="AL206" s="53" t="str">
        <f aca="false">IF(AND($AB206&lt;&gt;"",$AC206&lt;&gt;""),$AC206-$AB206,"")</f>
        <v/>
      </c>
      <c r="AM206" s="53" t="str">
        <f aca="false">IF(AND($AB206&lt;&gt;"",$AD206&lt;&gt;""),$AD206-$AB206,"")</f>
        <v/>
      </c>
      <c r="AN206" s="53" t="str">
        <f aca="false">IF(AND($AC206&lt;&gt;"",$AD206&lt;&gt;""),$AD206-$AC206,"")</f>
        <v/>
      </c>
      <c r="AO206" s="53" t="str">
        <f aca="false">IF($J206&lt;&gt;"",$J206,"")</f>
        <v/>
      </c>
      <c r="AQ206" s="52" t="str">
        <f aca="false">IF($A206&lt;&gt;"",$A206,"")</f>
        <v>Apprenant 194</v>
      </c>
      <c r="AR206" s="55" t="str">
        <f aca="false">IF(AND('Choix pédagogiques'!$C$4&lt;&gt;"?",'Choix pédagogiques'!$C$5&lt;&gt;"?",W206&lt;&gt;""),(W206-'Choix pédagogiques'!$C$4)/('Choix pédagogiques'!$C$5-'Choix pédagogiques'!$C$4),"")</f>
        <v/>
      </c>
      <c r="AS206" s="55" t="str">
        <f aca="false">IF(AND('Choix pédagogiques'!$C$4&lt;&gt;"?",'Choix pédagogiques'!$C$5&lt;&gt;"?",X206&lt;&gt;""),(X206-'Choix pédagogiques'!$C$4)/('Choix pédagogiques'!$C$5-'Choix pédagogiques'!$C$4),"")</f>
        <v/>
      </c>
      <c r="AT206" s="55" t="str">
        <f aca="false">IF(AND('Choix pédagogiques'!$C$4&lt;&gt;"?",'Choix pédagogiques'!$C$5&lt;&gt;"?",Y206&lt;&gt;""),(Y206-'Choix pédagogiques'!$C$4)/('Choix pédagogiques'!$C$5-'Choix pédagogiques'!$C$4),"")</f>
        <v/>
      </c>
      <c r="AU206" s="53" t="str">
        <f aca="false">IF($E206&lt;&gt;"",$E206,"")</f>
        <v/>
      </c>
      <c r="AV206" s="52" t="str">
        <f aca="false">IF($F206&lt;&gt;"",$F206,"")</f>
        <v>Apprenant 194 ou 194'</v>
      </c>
      <c r="AW206" s="55" t="str">
        <f aca="false">IF(AND('Choix pédagogiques'!$C$4&lt;&gt;"?",'Choix pédagogiques'!$C$5&lt;&gt;"?",AB206&lt;&gt;""),(AB206-'Choix pédagogiques'!$C$4)/('Choix pédagogiques'!$C$5-'Choix pédagogiques'!$C$4),"")</f>
        <v/>
      </c>
      <c r="AX206" s="55" t="str">
        <f aca="false">IF(AND('Choix pédagogiques'!$C$4&lt;&gt;"?",'Choix pédagogiques'!$C$5&lt;&gt;"?",AC206&lt;&gt;""),(AC206-'Choix pédagogiques'!$C$4)/('Choix pédagogiques'!$C$5-'Choix pédagogiques'!$C$4),"")</f>
        <v/>
      </c>
      <c r="AY206" s="55" t="str">
        <f aca="false">IF(AND('Choix pédagogiques'!$C$4&lt;&gt;"?",'Choix pédagogiques'!$C$5&lt;&gt;"?",AD206&lt;&gt;""),(AD206-'Choix pédagogiques'!$C$4)/('Choix pédagogiques'!$C$5-'Choix pédagogiques'!$C$4),"")</f>
        <v/>
      </c>
      <c r="AZ206" s="53" t="str">
        <f aca="false">IF($J206&lt;&gt;"",$J206,"")</f>
        <v/>
      </c>
      <c r="BA206" s="52" t="str">
        <f aca="false">IF($A206&lt;&gt;"",$A206,"")</f>
        <v>Apprenant 194</v>
      </c>
      <c r="BB206" s="55" t="str">
        <f aca="false">IF(AND($AR206&lt;&gt;"",$AS206&lt;&gt;""),$AS206-$AR206,"")</f>
        <v/>
      </c>
      <c r="BC206" s="55" t="str">
        <f aca="false">IF(AND($AR206&lt;&gt;"",$AT206&lt;&gt;""),$AT206-$AR206,"")</f>
        <v/>
      </c>
      <c r="BD206" s="55" t="str">
        <f aca="false">IF(AND($AS206&lt;&gt;"",$AT206&lt;&gt;""),$AT206-$AS206,"")</f>
        <v/>
      </c>
      <c r="BE206" s="53" t="str">
        <f aca="false">IF($E206&lt;&gt;"",$E206,"")</f>
        <v/>
      </c>
      <c r="BF206" s="52" t="str">
        <f aca="false">IF($F206&lt;&gt;"",$F206,"")</f>
        <v>Apprenant 194 ou 194'</v>
      </c>
      <c r="BG206" s="55" t="str">
        <f aca="false">IF(AND($AW206&lt;&gt;"",$AX206&lt;&gt;""),$AX206-$AW206,"")</f>
        <v/>
      </c>
      <c r="BH206" s="55" t="str">
        <f aca="false">IF(AND($AW206&lt;&gt;"",$AY206&lt;&gt;""),$AY206-$AW206,"")</f>
        <v/>
      </c>
      <c r="BI206" s="55" t="str">
        <f aca="false">IF(AND($AX206&lt;&gt;"",$AY206&lt;&gt;""),$AY206-$AX206,"")</f>
        <v/>
      </c>
      <c r="BJ206" s="53" t="str">
        <f aca="false">IF($J206&lt;&gt;"",$J206,"")</f>
        <v/>
      </c>
      <c r="BL206" s="52"/>
      <c r="BM206" s="52" t="str">
        <f aca="false">IF(OR(COUNT(B206:D1205)=0,AND('Choix pédagogiques'!$C$3&lt;&gt;1,'Choix pédagogiques'!$C$3&lt;&gt;2)),"",IF(AND(OR('Choix pédagogiques'!$C$3=1,'Choix pédagogiques'!$C$3=2),$B206&lt;&gt;"",$C206&lt;&gt;"",$D206&lt;&gt;""),1,0))</f>
        <v/>
      </c>
      <c r="BN206" s="52" t="str">
        <f aca="false">IF(OR(COUNT(G206:I1205)=0,AND('Choix pédagogiques'!$C$3&lt;&gt;1,'Choix pédagogiques'!$C$3&lt;&gt;2)),"",IF(AND(OR('Choix pédagogiques'!$C$3=1,'Choix pédagogiques'!$C$3=2),AND($G206&lt;&gt;"",$H206&lt;&gt;"",$I206&lt;&gt;"")),1,0))</f>
        <v/>
      </c>
      <c r="BO206" s="52" t="str">
        <f aca="false">IF(OR(COUNT(B206:D1205)=0,COUNT(G206:I1205)=0,'Choix pédagogiques'!C$3&lt;&gt;3),"",IF(AND('Choix pédagogiques'!$C$3=3,$B206&lt;&gt;"",$C206&lt;&gt;"",$D206&lt;&gt;"",$G206&lt;&gt;"",$H206&lt;&gt;"",$I206&lt;&gt;""),1,0))</f>
        <v/>
      </c>
      <c r="BR206" s="52" t="n">
        <v>412</v>
      </c>
      <c r="BS206" s="52" t="n">
        <v>1806</v>
      </c>
    </row>
    <row r="207" s="54" customFormat="true" ht="18" hidden="false" customHeight="true" outlineLevel="0" collapsed="false">
      <c r="A207" s="57" t="s">
        <v>345</v>
      </c>
      <c r="B207" s="51"/>
      <c r="C207" s="51"/>
      <c r="D207" s="51"/>
      <c r="E207" s="51"/>
      <c r="F207" s="57" t="s">
        <v>346</v>
      </c>
      <c r="G207" s="51"/>
      <c r="H207" s="51"/>
      <c r="I207" s="51"/>
      <c r="J207" s="51"/>
      <c r="K207" s="52" t="str">
        <f aca="false">IF($A207&lt;&gt;"",$A207,"")</f>
        <v>Apprenant 195</v>
      </c>
      <c r="L207" s="53" t="str">
        <f aca="false">IF(AND($B207&lt;&gt;"",$C207&lt;&gt;""),$C207-$B207,"")</f>
        <v/>
      </c>
      <c r="M207" s="53" t="str">
        <f aca="false">IF(AND($B207&lt;&gt;"",$D207&lt;&gt;""),$D207-$B207,"")</f>
        <v/>
      </c>
      <c r="N207" s="53" t="str">
        <f aca="false">IF(AND($C207&lt;&gt;"",$D207&lt;&gt;""),$D207-$C207,"")</f>
        <v/>
      </c>
      <c r="O207" s="53" t="str">
        <f aca="false">IF($E207&lt;&gt;"",$E207,"")</f>
        <v/>
      </c>
      <c r="P207" s="52" t="str">
        <f aca="false">IF($F207&lt;&gt;"",$F207,"")</f>
        <v>Apprenant 195 ou 195'</v>
      </c>
      <c r="Q207" s="53" t="str">
        <f aca="false">IF(AND($G207&lt;&gt;"",$H207&lt;&gt;""),$H207-$G207,"")</f>
        <v/>
      </c>
      <c r="R207" s="53" t="str">
        <f aca="false">IF(AND($G207&lt;&gt;"",$I207&lt;&gt;""),$I207-$G207,"")</f>
        <v/>
      </c>
      <c r="S207" s="53" t="str">
        <f aca="false">IF(AND($H207&lt;&gt;"",$I207&lt;&gt;""),$I207-$H207,"")</f>
        <v/>
      </c>
      <c r="T207" s="53" t="str">
        <f aca="false">IF($J207&lt;&gt;"",$J207,"")</f>
        <v/>
      </c>
      <c r="V207" s="52" t="str">
        <f aca="false">IF($A207&lt;&gt;"",$A207,"")</f>
        <v>Apprenant 195</v>
      </c>
      <c r="W207" s="53" t="str">
        <f aca="false">IF(AND(OR('Choix pédagogiques'!$C$3=1,'Choix pédagogiques'!$C$3=2),$BM207=1),B207,IF(AND('Choix pédagogiques'!$C$3=3,$BO207=1),B207,""))</f>
        <v/>
      </c>
      <c r="X207" s="53" t="str">
        <f aca="false">IF(AND(OR('Choix pédagogiques'!$C$3=1,'Choix pédagogiques'!$C$3=2),$BM207=1),C207,IF(AND('Choix pédagogiques'!$C$3=3,$BO207=1),C207,""))</f>
        <v/>
      </c>
      <c r="Y207" s="53" t="str">
        <f aca="false">IF(AND(OR('Choix pédagogiques'!$C$3=1,'Choix pédagogiques'!$C$3=2),$BM207=1),D207,IF(AND('Choix pédagogiques'!$C$3=3,$BO207=1),D207,""))</f>
        <v/>
      </c>
      <c r="Z207" s="53" t="str">
        <f aca="false">IF($E207&lt;&gt;"",$E207,"")</f>
        <v/>
      </c>
      <c r="AA207" s="52" t="str">
        <f aca="false">IF($F207&lt;&gt;"",$F207,"")</f>
        <v>Apprenant 195 ou 195'</v>
      </c>
      <c r="AB207" s="53" t="str">
        <f aca="false">IF(AND(OR('Choix pédagogiques'!$C$3=1,'Choix pédagogiques'!$C$3=2),$BN207=1),G207,IF(AND('Choix pédagogiques'!$C$3=3,$BO207=1),G207,""))</f>
        <v/>
      </c>
      <c r="AC207" s="53" t="str">
        <f aca="false">IF(AND(OR('Choix pédagogiques'!$C$3=1,'Choix pédagogiques'!$C$3=2),$BN207=1),H207,IF(AND('Choix pédagogiques'!$C$3=3,$BO207=1),H207,""))</f>
        <v/>
      </c>
      <c r="AD207" s="53" t="str">
        <f aca="false">IF(AND(OR('Choix pédagogiques'!$C$3=1,'Choix pédagogiques'!$C$3=2),$BN207=1),I207,IF(AND('Choix pédagogiques'!$C$3=3,$BO207=1),I207,""))</f>
        <v/>
      </c>
      <c r="AE207" s="53" t="str">
        <f aca="false">IF($J207&lt;&gt;"",$J207,"")</f>
        <v/>
      </c>
      <c r="AF207" s="52" t="str">
        <f aca="false">IF($A207&lt;&gt;"",$A207,"")</f>
        <v>Apprenant 195</v>
      </c>
      <c r="AG207" s="53" t="str">
        <f aca="false">IF(AND($W207&lt;&gt;"",$X207&lt;&gt;""),$X207-$W207,"")</f>
        <v/>
      </c>
      <c r="AH207" s="53" t="str">
        <f aca="false">IF(AND($W207&lt;&gt;"",$Y207&lt;&gt;""),$Y207-$W207,"")</f>
        <v/>
      </c>
      <c r="AI207" s="53" t="str">
        <f aca="false">IF(AND($X207&lt;&gt;"",$Y207&lt;&gt;""),$Y207-$X207,"")</f>
        <v/>
      </c>
      <c r="AJ207" s="53" t="str">
        <f aca="false">IF($E207&lt;&gt;"",$E207,"")</f>
        <v/>
      </c>
      <c r="AK207" s="52" t="str">
        <f aca="false">IF($F207&lt;&gt;"",$F207,"")</f>
        <v>Apprenant 195 ou 195'</v>
      </c>
      <c r="AL207" s="53" t="str">
        <f aca="false">IF(AND($AB207&lt;&gt;"",$AC207&lt;&gt;""),$AC207-$AB207,"")</f>
        <v/>
      </c>
      <c r="AM207" s="53" t="str">
        <f aca="false">IF(AND($AB207&lt;&gt;"",$AD207&lt;&gt;""),$AD207-$AB207,"")</f>
        <v/>
      </c>
      <c r="AN207" s="53" t="str">
        <f aca="false">IF(AND($AC207&lt;&gt;"",$AD207&lt;&gt;""),$AD207-$AC207,"")</f>
        <v/>
      </c>
      <c r="AO207" s="53" t="str">
        <f aca="false">IF($J207&lt;&gt;"",$J207,"")</f>
        <v/>
      </c>
      <c r="AQ207" s="52" t="str">
        <f aca="false">IF($A207&lt;&gt;"",$A207,"")</f>
        <v>Apprenant 195</v>
      </c>
      <c r="AR207" s="55" t="str">
        <f aca="false">IF(AND('Choix pédagogiques'!$C$4&lt;&gt;"?",'Choix pédagogiques'!$C$5&lt;&gt;"?",W207&lt;&gt;""),(W207-'Choix pédagogiques'!$C$4)/('Choix pédagogiques'!$C$5-'Choix pédagogiques'!$C$4),"")</f>
        <v/>
      </c>
      <c r="AS207" s="55" t="str">
        <f aca="false">IF(AND('Choix pédagogiques'!$C$4&lt;&gt;"?",'Choix pédagogiques'!$C$5&lt;&gt;"?",X207&lt;&gt;""),(X207-'Choix pédagogiques'!$C$4)/('Choix pédagogiques'!$C$5-'Choix pédagogiques'!$C$4),"")</f>
        <v/>
      </c>
      <c r="AT207" s="55" t="str">
        <f aca="false">IF(AND('Choix pédagogiques'!$C$4&lt;&gt;"?",'Choix pédagogiques'!$C$5&lt;&gt;"?",Y207&lt;&gt;""),(Y207-'Choix pédagogiques'!$C$4)/('Choix pédagogiques'!$C$5-'Choix pédagogiques'!$C$4),"")</f>
        <v/>
      </c>
      <c r="AU207" s="53" t="str">
        <f aca="false">IF($E207&lt;&gt;"",$E207,"")</f>
        <v/>
      </c>
      <c r="AV207" s="52" t="str">
        <f aca="false">IF($F207&lt;&gt;"",$F207,"")</f>
        <v>Apprenant 195 ou 195'</v>
      </c>
      <c r="AW207" s="55" t="str">
        <f aca="false">IF(AND('Choix pédagogiques'!$C$4&lt;&gt;"?",'Choix pédagogiques'!$C$5&lt;&gt;"?",AB207&lt;&gt;""),(AB207-'Choix pédagogiques'!$C$4)/('Choix pédagogiques'!$C$5-'Choix pédagogiques'!$C$4),"")</f>
        <v/>
      </c>
      <c r="AX207" s="55" t="str">
        <f aca="false">IF(AND('Choix pédagogiques'!$C$4&lt;&gt;"?",'Choix pédagogiques'!$C$5&lt;&gt;"?",AC207&lt;&gt;""),(AC207-'Choix pédagogiques'!$C$4)/('Choix pédagogiques'!$C$5-'Choix pédagogiques'!$C$4),"")</f>
        <v/>
      </c>
      <c r="AY207" s="55" t="str">
        <f aca="false">IF(AND('Choix pédagogiques'!$C$4&lt;&gt;"?",'Choix pédagogiques'!$C$5&lt;&gt;"?",AD207&lt;&gt;""),(AD207-'Choix pédagogiques'!$C$4)/('Choix pédagogiques'!$C$5-'Choix pédagogiques'!$C$4),"")</f>
        <v/>
      </c>
      <c r="AZ207" s="53" t="str">
        <f aca="false">IF($J207&lt;&gt;"",$J207,"")</f>
        <v/>
      </c>
      <c r="BA207" s="52" t="str">
        <f aca="false">IF($A207&lt;&gt;"",$A207,"")</f>
        <v>Apprenant 195</v>
      </c>
      <c r="BB207" s="55" t="str">
        <f aca="false">IF(AND($AR207&lt;&gt;"",$AS207&lt;&gt;""),$AS207-$AR207,"")</f>
        <v/>
      </c>
      <c r="BC207" s="55" t="str">
        <f aca="false">IF(AND($AR207&lt;&gt;"",$AT207&lt;&gt;""),$AT207-$AR207,"")</f>
        <v/>
      </c>
      <c r="BD207" s="55" t="str">
        <f aca="false">IF(AND($AS207&lt;&gt;"",$AT207&lt;&gt;""),$AT207-$AS207,"")</f>
        <v/>
      </c>
      <c r="BE207" s="53" t="str">
        <f aca="false">IF($E207&lt;&gt;"",$E207,"")</f>
        <v/>
      </c>
      <c r="BF207" s="52" t="str">
        <f aca="false">IF($F207&lt;&gt;"",$F207,"")</f>
        <v>Apprenant 195 ou 195'</v>
      </c>
      <c r="BG207" s="55" t="str">
        <f aca="false">IF(AND($AW207&lt;&gt;"",$AX207&lt;&gt;""),$AX207-$AW207,"")</f>
        <v/>
      </c>
      <c r="BH207" s="55" t="str">
        <f aca="false">IF(AND($AW207&lt;&gt;"",$AY207&lt;&gt;""),$AY207-$AW207,"")</f>
        <v/>
      </c>
      <c r="BI207" s="55" t="str">
        <f aca="false">IF(AND($AX207&lt;&gt;"",$AY207&lt;&gt;""),$AY207-$AX207,"")</f>
        <v/>
      </c>
      <c r="BJ207" s="53" t="str">
        <f aca="false">IF($J207&lt;&gt;"",$J207,"")</f>
        <v/>
      </c>
      <c r="BL207" s="52"/>
      <c r="BM207" s="52" t="str">
        <f aca="false">IF(OR(COUNT(B207:D1206)=0,AND('Choix pédagogiques'!$C$3&lt;&gt;1,'Choix pédagogiques'!$C$3&lt;&gt;2)),"",IF(AND(OR('Choix pédagogiques'!$C$3=1,'Choix pédagogiques'!$C$3=2),$B207&lt;&gt;"",$C207&lt;&gt;"",$D207&lt;&gt;""),1,0))</f>
        <v/>
      </c>
      <c r="BN207" s="52" t="str">
        <f aca="false">IF(OR(COUNT(G207:I1206)=0,AND('Choix pédagogiques'!$C$3&lt;&gt;1,'Choix pédagogiques'!$C$3&lt;&gt;2)),"",IF(AND(OR('Choix pédagogiques'!$C$3=1,'Choix pédagogiques'!$C$3=2),AND($G207&lt;&gt;"",$H207&lt;&gt;"",$I207&lt;&gt;"")),1,0))</f>
        <v/>
      </c>
      <c r="BO207" s="52" t="str">
        <f aca="false">IF(OR(COUNT(B207:D1206)=0,COUNT(G207:I1206)=0,'Choix pédagogiques'!C$3&lt;&gt;3),"",IF(AND('Choix pédagogiques'!$C$3=3,$B207&lt;&gt;"",$C207&lt;&gt;"",$D207&lt;&gt;"",$G207&lt;&gt;"",$H207&lt;&gt;"",$I207&lt;&gt;""),1,0))</f>
        <v/>
      </c>
      <c r="BR207" s="52" t="n">
        <v>107</v>
      </c>
      <c r="BS207" s="52" t="n">
        <v>1213</v>
      </c>
    </row>
    <row r="208" s="54" customFormat="true" ht="18" hidden="false" customHeight="true" outlineLevel="0" collapsed="false">
      <c r="A208" s="57" t="s">
        <v>347</v>
      </c>
      <c r="B208" s="51"/>
      <c r="C208" s="51"/>
      <c r="D208" s="51"/>
      <c r="E208" s="51"/>
      <c r="F208" s="57" t="s">
        <v>348</v>
      </c>
      <c r="G208" s="51"/>
      <c r="H208" s="51"/>
      <c r="I208" s="51"/>
      <c r="J208" s="51"/>
      <c r="K208" s="52" t="str">
        <f aca="false">IF($A208&lt;&gt;"",$A208,"")</f>
        <v>Apprenant 196</v>
      </c>
      <c r="L208" s="53" t="str">
        <f aca="false">IF(AND($B208&lt;&gt;"",$C208&lt;&gt;""),$C208-$B208,"")</f>
        <v/>
      </c>
      <c r="M208" s="53" t="str">
        <f aca="false">IF(AND($B208&lt;&gt;"",$D208&lt;&gt;""),$D208-$B208,"")</f>
        <v/>
      </c>
      <c r="N208" s="53" t="str">
        <f aca="false">IF(AND($C208&lt;&gt;"",$D208&lt;&gt;""),$D208-$C208,"")</f>
        <v/>
      </c>
      <c r="O208" s="53" t="str">
        <f aca="false">IF($E208&lt;&gt;"",$E208,"")</f>
        <v/>
      </c>
      <c r="P208" s="52" t="str">
        <f aca="false">IF($F208&lt;&gt;"",$F208,"")</f>
        <v>Apprenant 196 ou 196'</v>
      </c>
      <c r="Q208" s="53" t="str">
        <f aca="false">IF(AND($G208&lt;&gt;"",$H208&lt;&gt;""),$H208-$G208,"")</f>
        <v/>
      </c>
      <c r="R208" s="53" t="str">
        <f aca="false">IF(AND($G208&lt;&gt;"",$I208&lt;&gt;""),$I208-$G208,"")</f>
        <v/>
      </c>
      <c r="S208" s="53" t="str">
        <f aca="false">IF(AND($H208&lt;&gt;"",$I208&lt;&gt;""),$I208-$H208,"")</f>
        <v/>
      </c>
      <c r="T208" s="53" t="str">
        <f aca="false">IF($J208&lt;&gt;"",$J208,"")</f>
        <v/>
      </c>
      <c r="V208" s="52" t="str">
        <f aca="false">IF($A208&lt;&gt;"",$A208,"")</f>
        <v>Apprenant 196</v>
      </c>
      <c r="W208" s="53" t="str">
        <f aca="false">IF(AND(OR('Choix pédagogiques'!$C$3=1,'Choix pédagogiques'!$C$3=2),$BM208=1),B208,IF(AND('Choix pédagogiques'!$C$3=3,$BO208=1),B208,""))</f>
        <v/>
      </c>
      <c r="X208" s="53" t="str">
        <f aca="false">IF(AND(OR('Choix pédagogiques'!$C$3=1,'Choix pédagogiques'!$C$3=2),$BM208=1),C208,IF(AND('Choix pédagogiques'!$C$3=3,$BO208=1),C208,""))</f>
        <v/>
      </c>
      <c r="Y208" s="53" t="str">
        <f aca="false">IF(AND(OR('Choix pédagogiques'!$C$3=1,'Choix pédagogiques'!$C$3=2),$BM208=1),D208,IF(AND('Choix pédagogiques'!$C$3=3,$BO208=1),D208,""))</f>
        <v/>
      </c>
      <c r="Z208" s="53" t="str">
        <f aca="false">IF($E208&lt;&gt;"",$E208,"")</f>
        <v/>
      </c>
      <c r="AA208" s="52" t="str">
        <f aca="false">IF($F208&lt;&gt;"",$F208,"")</f>
        <v>Apprenant 196 ou 196'</v>
      </c>
      <c r="AB208" s="53" t="str">
        <f aca="false">IF(AND(OR('Choix pédagogiques'!$C$3=1,'Choix pédagogiques'!$C$3=2),$BN208=1),G208,IF(AND('Choix pédagogiques'!$C$3=3,$BO208=1),G208,""))</f>
        <v/>
      </c>
      <c r="AC208" s="53" t="str">
        <f aca="false">IF(AND(OR('Choix pédagogiques'!$C$3=1,'Choix pédagogiques'!$C$3=2),$BN208=1),H208,IF(AND('Choix pédagogiques'!$C$3=3,$BO208=1),H208,""))</f>
        <v/>
      </c>
      <c r="AD208" s="53" t="str">
        <f aca="false">IF(AND(OR('Choix pédagogiques'!$C$3=1,'Choix pédagogiques'!$C$3=2),$BN208=1),I208,IF(AND('Choix pédagogiques'!$C$3=3,$BO208=1),I208,""))</f>
        <v/>
      </c>
      <c r="AE208" s="53" t="str">
        <f aca="false">IF($J208&lt;&gt;"",$J208,"")</f>
        <v/>
      </c>
      <c r="AF208" s="52" t="str">
        <f aca="false">IF($A208&lt;&gt;"",$A208,"")</f>
        <v>Apprenant 196</v>
      </c>
      <c r="AG208" s="53" t="str">
        <f aca="false">IF(AND($W208&lt;&gt;"",$X208&lt;&gt;""),$X208-$W208,"")</f>
        <v/>
      </c>
      <c r="AH208" s="53" t="str">
        <f aca="false">IF(AND($W208&lt;&gt;"",$Y208&lt;&gt;""),$Y208-$W208,"")</f>
        <v/>
      </c>
      <c r="AI208" s="53" t="str">
        <f aca="false">IF(AND($X208&lt;&gt;"",$Y208&lt;&gt;""),$Y208-$X208,"")</f>
        <v/>
      </c>
      <c r="AJ208" s="53" t="str">
        <f aca="false">IF($E208&lt;&gt;"",$E208,"")</f>
        <v/>
      </c>
      <c r="AK208" s="52" t="str">
        <f aca="false">IF($F208&lt;&gt;"",$F208,"")</f>
        <v>Apprenant 196 ou 196'</v>
      </c>
      <c r="AL208" s="53" t="str">
        <f aca="false">IF(AND($AB208&lt;&gt;"",$AC208&lt;&gt;""),$AC208-$AB208,"")</f>
        <v/>
      </c>
      <c r="AM208" s="53" t="str">
        <f aca="false">IF(AND($AB208&lt;&gt;"",$AD208&lt;&gt;""),$AD208-$AB208,"")</f>
        <v/>
      </c>
      <c r="AN208" s="53" t="str">
        <f aca="false">IF(AND($AC208&lt;&gt;"",$AD208&lt;&gt;""),$AD208-$AC208,"")</f>
        <v/>
      </c>
      <c r="AO208" s="53" t="str">
        <f aca="false">IF($J208&lt;&gt;"",$J208,"")</f>
        <v/>
      </c>
      <c r="AQ208" s="52" t="str">
        <f aca="false">IF($A208&lt;&gt;"",$A208,"")</f>
        <v>Apprenant 196</v>
      </c>
      <c r="AR208" s="55" t="str">
        <f aca="false">IF(AND('Choix pédagogiques'!$C$4&lt;&gt;"?",'Choix pédagogiques'!$C$5&lt;&gt;"?",W208&lt;&gt;""),(W208-'Choix pédagogiques'!$C$4)/('Choix pédagogiques'!$C$5-'Choix pédagogiques'!$C$4),"")</f>
        <v/>
      </c>
      <c r="AS208" s="55" t="str">
        <f aca="false">IF(AND('Choix pédagogiques'!$C$4&lt;&gt;"?",'Choix pédagogiques'!$C$5&lt;&gt;"?",X208&lt;&gt;""),(X208-'Choix pédagogiques'!$C$4)/('Choix pédagogiques'!$C$5-'Choix pédagogiques'!$C$4),"")</f>
        <v/>
      </c>
      <c r="AT208" s="55" t="str">
        <f aca="false">IF(AND('Choix pédagogiques'!$C$4&lt;&gt;"?",'Choix pédagogiques'!$C$5&lt;&gt;"?",Y208&lt;&gt;""),(Y208-'Choix pédagogiques'!$C$4)/('Choix pédagogiques'!$C$5-'Choix pédagogiques'!$C$4),"")</f>
        <v/>
      </c>
      <c r="AU208" s="53" t="str">
        <f aca="false">IF($E208&lt;&gt;"",$E208,"")</f>
        <v/>
      </c>
      <c r="AV208" s="52" t="str">
        <f aca="false">IF($F208&lt;&gt;"",$F208,"")</f>
        <v>Apprenant 196 ou 196'</v>
      </c>
      <c r="AW208" s="55" t="str">
        <f aca="false">IF(AND('Choix pédagogiques'!$C$4&lt;&gt;"?",'Choix pédagogiques'!$C$5&lt;&gt;"?",AB208&lt;&gt;""),(AB208-'Choix pédagogiques'!$C$4)/('Choix pédagogiques'!$C$5-'Choix pédagogiques'!$C$4),"")</f>
        <v/>
      </c>
      <c r="AX208" s="55" t="str">
        <f aca="false">IF(AND('Choix pédagogiques'!$C$4&lt;&gt;"?",'Choix pédagogiques'!$C$5&lt;&gt;"?",AC208&lt;&gt;""),(AC208-'Choix pédagogiques'!$C$4)/('Choix pédagogiques'!$C$5-'Choix pédagogiques'!$C$4),"")</f>
        <v/>
      </c>
      <c r="AY208" s="55" t="str">
        <f aca="false">IF(AND('Choix pédagogiques'!$C$4&lt;&gt;"?",'Choix pédagogiques'!$C$5&lt;&gt;"?",AD208&lt;&gt;""),(AD208-'Choix pédagogiques'!$C$4)/('Choix pédagogiques'!$C$5-'Choix pédagogiques'!$C$4),"")</f>
        <v/>
      </c>
      <c r="AZ208" s="53" t="str">
        <f aca="false">IF($J208&lt;&gt;"",$J208,"")</f>
        <v/>
      </c>
      <c r="BA208" s="52" t="str">
        <f aca="false">IF($A208&lt;&gt;"",$A208,"")</f>
        <v>Apprenant 196</v>
      </c>
      <c r="BB208" s="55" t="str">
        <f aca="false">IF(AND($AR208&lt;&gt;"",$AS208&lt;&gt;""),$AS208-$AR208,"")</f>
        <v/>
      </c>
      <c r="BC208" s="55" t="str">
        <f aca="false">IF(AND($AR208&lt;&gt;"",$AT208&lt;&gt;""),$AT208-$AR208,"")</f>
        <v/>
      </c>
      <c r="BD208" s="55" t="str">
        <f aca="false">IF(AND($AS208&lt;&gt;"",$AT208&lt;&gt;""),$AT208-$AS208,"")</f>
        <v/>
      </c>
      <c r="BE208" s="53" t="str">
        <f aca="false">IF($E208&lt;&gt;"",$E208,"")</f>
        <v/>
      </c>
      <c r="BF208" s="52" t="str">
        <f aca="false">IF($F208&lt;&gt;"",$F208,"")</f>
        <v>Apprenant 196 ou 196'</v>
      </c>
      <c r="BG208" s="55" t="str">
        <f aca="false">IF(AND($AW208&lt;&gt;"",$AX208&lt;&gt;""),$AX208-$AW208,"")</f>
        <v/>
      </c>
      <c r="BH208" s="55" t="str">
        <f aca="false">IF(AND($AW208&lt;&gt;"",$AY208&lt;&gt;""),$AY208-$AW208,"")</f>
        <v/>
      </c>
      <c r="BI208" s="55" t="str">
        <f aca="false">IF(AND($AX208&lt;&gt;"",$AY208&lt;&gt;""),$AY208-$AX208,"")</f>
        <v/>
      </c>
      <c r="BJ208" s="53" t="str">
        <f aca="false">IF($J208&lt;&gt;"",$J208,"")</f>
        <v/>
      </c>
      <c r="BL208" s="52"/>
      <c r="BM208" s="52" t="str">
        <f aca="false">IF(OR(COUNT(B208:D1207)=0,AND('Choix pédagogiques'!$C$3&lt;&gt;1,'Choix pédagogiques'!$C$3&lt;&gt;2)),"",IF(AND(OR('Choix pédagogiques'!$C$3=1,'Choix pédagogiques'!$C$3=2),$B208&lt;&gt;"",$C208&lt;&gt;"",$D208&lt;&gt;""),1,0))</f>
        <v/>
      </c>
      <c r="BN208" s="52" t="str">
        <f aca="false">IF(OR(COUNT(G208:I1207)=0,AND('Choix pédagogiques'!$C$3&lt;&gt;1,'Choix pédagogiques'!$C$3&lt;&gt;2)),"",IF(AND(OR('Choix pédagogiques'!$C$3=1,'Choix pédagogiques'!$C$3=2),AND($G208&lt;&gt;"",$H208&lt;&gt;"",$I208&lt;&gt;"")),1,0))</f>
        <v/>
      </c>
      <c r="BO208" s="52" t="str">
        <f aca="false">IF(OR(COUNT(B208:D1207)=0,COUNT(G208:I1207)=0,'Choix pédagogiques'!C$3&lt;&gt;3),"",IF(AND('Choix pédagogiques'!$C$3=3,$B208&lt;&gt;"",$C208&lt;&gt;"",$D208&lt;&gt;"",$G208&lt;&gt;"",$H208&lt;&gt;"",$I208&lt;&gt;""),1,0))</f>
        <v/>
      </c>
      <c r="BR208" s="52" t="n">
        <v>938</v>
      </c>
      <c r="BS208" s="52" t="n">
        <v>1283</v>
      </c>
    </row>
    <row r="209" s="54" customFormat="true" ht="18" hidden="false" customHeight="true" outlineLevel="0" collapsed="false">
      <c r="A209" s="57" t="s">
        <v>349</v>
      </c>
      <c r="B209" s="51"/>
      <c r="C209" s="51"/>
      <c r="D209" s="51"/>
      <c r="E209" s="51"/>
      <c r="F209" s="57" t="s">
        <v>350</v>
      </c>
      <c r="G209" s="51"/>
      <c r="H209" s="51"/>
      <c r="I209" s="51"/>
      <c r="J209" s="51"/>
      <c r="K209" s="52" t="str">
        <f aca="false">IF($A209&lt;&gt;"",$A209,"")</f>
        <v>Apprenant 197</v>
      </c>
      <c r="L209" s="53" t="str">
        <f aca="false">IF(AND($B209&lt;&gt;"",$C209&lt;&gt;""),$C209-$B209,"")</f>
        <v/>
      </c>
      <c r="M209" s="53" t="str">
        <f aca="false">IF(AND($B209&lt;&gt;"",$D209&lt;&gt;""),$D209-$B209,"")</f>
        <v/>
      </c>
      <c r="N209" s="53" t="str">
        <f aca="false">IF(AND($C209&lt;&gt;"",$D209&lt;&gt;""),$D209-$C209,"")</f>
        <v/>
      </c>
      <c r="O209" s="53" t="str">
        <f aca="false">IF($E209&lt;&gt;"",$E209,"")</f>
        <v/>
      </c>
      <c r="P209" s="52" t="str">
        <f aca="false">IF($F209&lt;&gt;"",$F209,"")</f>
        <v>Apprenant 197 ou 197'</v>
      </c>
      <c r="Q209" s="53" t="str">
        <f aca="false">IF(AND($G209&lt;&gt;"",$H209&lt;&gt;""),$H209-$G209,"")</f>
        <v/>
      </c>
      <c r="R209" s="53" t="str">
        <f aca="false">IF(AND($G209&lt;&gt;"",$I209&lt;&gt;""),$I209-$G209,"")</f>
        <v/>
      </c>
      <c r="S209" s="53" t="str">
        <f aca="false">IF(AND($H209&lt;&gt;"",$I209&lt;&gt;""),$I209-$H209,"")</f>
        <v/>
      </c>
      <c r="T209" s="53" t="str">
        <f aca="false">IF($J209&lt;&gt;"",$J209,"")</f>
        <v/>
      </c>
      <c r="V209" s="52" t="str">
        <f aca="false">IF($A209&lt;&gt;"",$A209,"")</f>
        <v>Apprenant 197</v>
      </c>
      <c r="W209" s="53" t="str">
        <f aca="false">IF(AND(OR('Choix pédagogiques'!$C$3=1,'Choix pédagogiques'!$C$3=2),$BM209=1),B209,IF(AND('Choix pédagogiques'!$C$3=3,$BO209=1),B209,""))</f>
        <v/>
      </c>
      <c r="X209" s="53" t="str">
        <f aca="false">IF(AND(OR('Choix pédagogiques'!$C$3=1,'Choix pédagogiques'!$C$3=2),$BM209=1),C209,IF(AND('Choix pédagogiques'!$C$3=3,$BO209=1),C209,""))</f>
        <v/>
      </c>
      <c r="Y209" s="53" t="str">
        <f aca="false">IF(AND(OR('Choix pédagogiques'!$C$3=1,'Choix pédagogiques'!$C$3=2),$BM209=1),D209,IF(AND('Choix pédagogiques'!$C$3=3,$BO209=1),D209,""))</f>
        <v/>
      </c>
      <c r="Z209" s="53" t="str">
        <f aca="false">IF($E209&lt;&gt;"",$E209,"")</f>
        <v/>
      </c>
      <c r="AA209" s="52" t="str">
        <f aca="false">IF($F209&lt;&gt;"",$F209,"")</f>
        <v>Apprenant 197 ou 197'</v>
      </c>
      <c r="AB209" s="53" t="str">
        <f aca="false">IF(AND(OR('Choix pédagogiques'!$C$3=1,'Choix pédagogiques'!$C$3=2),$BN209=1),G209,IF(AND('Choix pédagogiques'!$C$3=3,$BO209=1),G209,""))</f>
        <v/>
      </c>
      <c r="AC209" s="53" t="str">
        <f aca="false">IF(AND(OR('Choix pédagogiques'!$C$3=1,'Choix pédagogiques'!$C$3=2),$BN209=1),H209,IF(AND('Choix pédagogiques'!$C$3=3,$BO209=1),H209,""))</f>
        <v/>
      </c>
      <c r="AD209" s="53" t="str">
        <f aca="false">IF(AND(OR('Choix pédagogiques'!$C$3=1,'Choix pédagogiques'!$C$3=2),$BN209=1),I209,IF(AND('Choix pédagogiques'!$C$3=3,$BO209=1),I209,""))</f>
        <v/>
      </c>
      <c r="AE209" s="53" t="str">
        <f aca="false">IF($J209&lt;&gt;"",$J209,"")</f>
        <v/>
      </c>
      <c r="AF209" s="52" t="str">
        <f aca="false">IF($A209&lt;&gt;"",$A209,"")</f>
        <v>Apprenant 197</v>
      </c>
      <c r="AG209" s="53" t="str">
        <f aca="false">IF(AND($W209&lt;&gt;"",$X209&lt;&gt;""),$X209-$W209,"")</f>
        <v/>
      </c>
      <c r="AH209" s="53" t="str">
        <f aca="false">IF(AND($W209&lt;&gt;"",$Y209&lt;&gt;""),$Y209-$W209,"")</f>
        <v/>
      </c>
      <c r="AI209" s="53" t="str">
        <f aca="false">IF(AND($X209&lt;&gt;"",$Y209&lt;&gt;""),$Y209-$X209,"")</f>
        <v/>
      </c>
      <c r="AJ209" s="53" t="str">
        <f aca="false">IF($E209&lt;&gt;"",$E209,"")</f>
        <v/>
      </c>
      <c r="AK209" s="52" t="str">
        <f aca="false">IF($F209&lt;&gt;"",$F209,"")</f>
        <v>Apprenant 197 ou 197'</v>
      </c>
      <c r="AL209" s="53" t="str">
        <f aca="false">IF(AND($AB209&lt;&gt;"",$AC209&lt;&gt;""),$AC209-$AB209,"")</f>
        <v/>
      </c>
      <c r="AM209" s="53" t="str">
        <f aca="false">IF(AND($AB209&lt;&gt;"",$AD209&lt;&gt;""),$AD209-$AB209,"")</f>
        <v/>
      </c>
      <c r="AN209" s="53" t="str">
        <f aca="false">IF(AND($AC209&lt;&gt;"",$AD209&lt;&gt;""),$AD209-$AC209,"")</f>
        <v/>
      </c>
      <c r="AO209" s="53" t="str">
        <f aca="false">IF($J209&lt;&gt;"",$J209,"")</f>
        <v/>
      </c>
      <c r="AQ209" s="52" t="str">
        <f aca="false">IF($A209&lt;&gt;"",$A209,"")</f>
        <v>Apprenant 197</v>
      </c>
      <c r="AR209" s="55" t="str">
        <f aca="false">IF(AND('Choix pédagogiques'!$C$4&lt;&gt;"?",'Choix pédagogiques'!$C$5&lt;&gt;"?",W209&lt;&gt;""),(W209-'Choix pédagogiques'!$C$4)/('Choix pédagogiques'!$C$5-'Choix pédagogiques'!$C$4),"")</f>
        <v/>
      </c>
      <c r="AS209" s="55" t="str">
        <f aca="false">IF(AND('Choix pédagogiques'!$C$4&lt;&gt;"?",'Choix pédagogiques'!$C$5&lt;&gt;"?",X209&lt;&gt;""),(X209-'Choix pédagogiques'!$C$4)/('Choix pédagogiques'!$C$5-'Choix pédagogiques'!$C$4),"")</f>
        <v/>
      </c>
      <c r="AT209" s="55" t="str">
        <f aca="false">IF(AND('Choix pédagogiques'!$C$4&lt;&gt;"?",'Choix pédagogiques'!$C$5&lt;&gt;"?",Y209&lt;&gt;""),(Y209-'Choix pédagogiques'!$C$4)/('Choix pédagogiques'!$C$5-'Choix pédagogiques'!$C$4),"")</f>
        <v/>
      </c>
      <c r="AU209" s="53" t="str">
        <f aca="false">IF($E209&lt;&gt;"",$E209,"")</f>
        <v/>
      </c>
      <c r="AV209" s="52" t="str">
        <f aca="false">IF($F209&lt;&gt;"",$F209,"")</f>
        <v>Apprenant 197 ou 197'</v>
      </c>
      <c r="AW209" s="55" t="str">
        <f aca="false">IF(AND('Choix pédagogiques'!$C$4&lt;&gt;"?",'Choix pédagogiques'!$C$5&lt;&gt;"?",AB209&lt;&gt;""),(AB209-'Choix pédagogiques'!$C$4)/('Choix pédagogiques'!$C$5-'Choix pédagogiques'!$C$4),"")</f>
        <v/>
      </c>
      <c r="AX209" s="55" t="str">
        <f aca="false">IF(AND('Choix pédagogiques'!$C$4&lt;&gt;"?",'Choix pédagogiques'!$C$5&lt;&gt;"?",AC209&lt;&gt;""),(AC209-'Choix pédagogiques'!$C$4)/('Choix pédagogiques'!$C$5-'Choix pédagogiques'!$C$4),"")</f>
        <v/>
      </c>
      <c r="AY209" s="55" t="str">
        <f aca="false">IF(AND('Choix pédagogiques'!$C$4&lt;&gt;"?",'Choix pédagogiques'!$C$5&lt;&gt;"?",AD209&lt;&gt;""),(AD209-'Choix pédagogiques'!$C$4)/('Choix pédagogiques'!$C$5-'Choix pédagogiques'!$C$4),"")</f>
        <v/>
      </c>
      <c r="AZ209" s="53" t="str">
        <f aca="false">IF($J209&lt;&gt;"",$J209,"")</f>
        <v/>
      </c>
      <c r="BA209" s="52" t="str">
        <f aca="false">IF($A209&lt;&gt;"",$A209,"")</f>
        <v>Apprenant 197</v>
      </c>
      <c r="BB209" s="55" t="str">
        <f aca="false">IF(AND($AR209&lt;&gt;"",$AS209&lt;&gt;""),$AS209-$AR209,"")</f>
        <v/>
      </c>
      <c r="BC209" s="55" t="str">
        <f aca="false">IF(AND($AR209&lt;&gt;"",$AT209&lt;&gt;""),$AT209-$AR209,"")</f>
        <v/>
      </c>
      <c r="BD209" s="55" t="str">
        <f aca="false">IF(AND($AS209&lt;&gt;"",$AT209&lt;&gt;""),$AT209-$AS209,"")</f>
        <v/>
      </c>
      <c r="BE209" s="53" t="str">
        <f aca="false">IF($E209&lt;&gt;"",$E209,"")</f>
        <v/>
      </c>
      <c r="BF209" s="52" t="str">
        <f aca="false">IF($F209&lt;&gt;"",$F209,"")</f>
        <v>Apprenant 197 ou 197'</v>
      </c>
      <c r="BG209" s="55" t="str">
        <f aca="false">IF(AND($AW209&lt;&gt;"",$AX209&lt;&gt;""),$AX209-$AW209,"")</f>
        <v/>
      </c>
      <c r="BH209" s="55" t="str">
        <f aca="false">IF(AND($AW209&lt;&gt;"",$AY209&lt;&gt;""),$AY209-$AW209,"")</f>
        <v/>
      </c>
      <c r="BI209" s="55" t="str">
        <f aca="false">IF(AND($AX209&lt;&gt;"",$AY209&lt;&gt;""),$AY209-$AX209,"")</f>
        <v/>
      </c>
      <c r="BJ209" s="53" t="str">
        <f aca="false">IF($J209&lt;&gt;"",$J209,"")</f>
        <v/>
      </c>
      <c r="BL209" s="52"/>
      <c r="BM209" s="52" t="str">
        <f aca="false">IF(OR(COUNT(B209:D1208)=0,AND('Choix pédagogiques'!$C$3&lt;&gt;1,'Choix pédagogiques'!$C$3&lt;&gt;2)),"",IF(AND(OR('Choix pédagogiques'!$C$3=1,'Choix pédagogiques'!$C$3=2),$B209&lt;&gt;"",$C209&lt;&gt;"",$D209&lt;&gt;""),1,0))</f>
        <v/>
      </c>
      <c r="BN209" s="52" t="str">
        <f aca="false">IF(OR(COUNT(G209:I1208)=0,AND('Choix pédagogiques'!$C$3&lt;&gt;1,'Choix pédagogiques'!$C$3&lt;&gt;2)),"",IF(AND(OR('Choix pédagogiques'!$C$3=1,'Choix pédagogiques'!$C$3=2),AND($G209&lt;&gt;"",$H209&lt;&gt;"",$I209&lt;&gt;"")),1,0))</f>
        <v/>
      </c>
      <c r="BO209" s="52" t="str">
        <f aca="false">IF(OR(COUNT(B209:D1208)=0,COUNT(G209:I1208)=0,'Choix pédagogiques'!C$3&lt;&gt;3),"",IF(AND('Choix pédagogiques'!$C$3=3,$B209&lt;&gt;"",$C209&lt;&gt;"",$D209&lt;&gt;"",$G209&lt;&gt;"",$H209&lt;&gt;"",$I209&lt;&gt;""),1,0))</f>
        <v/>
      </c>
      <c r="BR209" s="52" t="n">
        <v>555</v>
      </c>
      <c r="BS209" s="52" t="n">
        <v>1434</v>
      </c>
    </row>
    <row r="210" s="54" customFormat="true" ht="18" hidden="false" customHeight="true" outlineLevel="0" collapsed="false">
      <c r="A210" s="57" t="s">
        <v>351</v>
      </c>
      <c r="B210" s="51"/>
      <c r="C210" s="51"/>
      <c r="D210" s="51"/>
      <c r="E210" s="51"/>
      <c r="F210" s="57" t="s">
        <v>352</v>
      </c>
      <c r="G210" s="51"/>
      <c r="H210" s="51"/>
      <c r="I210" s="51"/>
      <c r="J210" s="51"/>
      <c r="K210" s="52" t="str">
        <f aca="false">IF($A210&lt;&gt;"",$A210,"")</f>
        <v>Apprenant 198</v>
      </c>
      <c r="L210" s="53" t="str">
        <f aca="false">IF(AND($B210&lt;&gt;"",$C210&lt;&gt;""),$C210-$B210,"")</f>
        <v/>
      </c>
      <c r="M210" s="53" t="str">
        <f aca="false">IF(AND($B210&lt;&gt;"",$D210&lt;&gt;""),$D210-$B210,"")</f>
        <v/>
      </c>
      <c r="N210" s="53" t="str">
        <f aca="false">IF(AND($C210&lt;&gt;"",$D210&lt;&gt;""),$D210-$C210,"")</f>
        <v/>
      </c>
      <c r="O210" s="53" t="str">
        <f aca="false">IF($E210&lt;&gt;"",$E210,"")</f>
        <v/>
      </c>
      <c r="P210" s="52" t="str">
        <f aca="false">IF($F210&lt;&gt;"",$F210,"")</f>
        <v>Apprenant 198 ou 198'</v>
      </c>
      <c r="Q210" s="53" t="str">
        <f aca="false">IF(AND($G210&lt;&gt;"",$H210&lt;&gt;""),$H210-$G210,"")</f>
        <v/>
      </c>
      <c r="R210" s="53" t="str">
        <f aca="false">IF(AND($G210&lt;&gt;"",$I210&lt;&gt;""),$I210-$G210,"")</f>
        <v/>
      </c>
      <c r="S210" s="53" t="str">
        <f aca="false">IF(AND($H210&lt;&gt;"",$I210&lt;&gt;""),$I210-$H210,"")</f>
        <v/>
      </c>
      <c r="T210" s="53" t="str">
        <f aca="false">IF($J210&lt;&gt;"",$J210,"")</f>
        <v/>
      </c>
      <c r="V210" s="52" t="str">
        <f aca="false">IF($A210&lt;&gt;"",$A210,"")</f>
        <v>Apprenant 198</v>
      </c>
      <c r="W210" s="53" t="str">
        <f aca="false">IF(AND(OR('Choix pédagogiques'!$C$3=1,'Choix pédagogiques'!$C$3=2),$BM210=1),B210,IF(AND('Choix pédagogiques'!$C$3=3,$BO210=1),B210,""))</f>
        <v/>
      </c>
      <c r="X210" s="53" t="str">
        <f aca="false">IF(AND(OR('Choix pédagogiques'!$C$3=1,'Choix pédagogiques'!$C$3=2),$BM210=1),C210,IF(AND('Choix pédagogiques'!$C$3=3,$BO210=1),C210,""))</f>
        <v/>
      </c>
      <c r="Y210" s="53" t="str">
        <f aca="false">IF(AND(OR('Choix pédagogiques'!$C$3=1,'Choix pédagogiques'!$C$3=2),$BM210=1),D210,IF(AND('Choix pédagogiques'!$C$3=3,$BO210=1),D210,""))</f>
        <v/>
      </c>
      <c r="Z210" s="53" t="str">
        <f aca="false">IF($E210&lt;&gt;"",$E210,"")</f>
        <v/>
      </c>
      <c r="AA210" s="52" t="str">
        <f aca="false">IF($F210&lt;&gt;"",$F210,"")</f>
        <v>Apprenant 198 ou 198'</v>
      </c>
      <c r="AB210" s="53" t="str">
        <f aca="false">IF(AND(OR('Choix pédagogiques'!$C$3=1,'Choix pédagogiques'!$C$3=2),$BN210=1),G210,IF(AND('Choix pédagogiques'!$C$3=3,$BO210=1),G210,""))</f>
        <v/>
      </c>
      <c r="AC210" s="53" t="str">
        <f aca="false">IF(AND(OR('Choix pédagogiques'!$C$3=1,'Choix pédagogiques'!$C$3=2),$BN210=1),H210,IF(AND('Choix pédagogiques'!$C$3=3,$BO210=1),H210,""))</f>
        <v/>
      </c>
      <c r="AD210" s="53" t="str">
        <f aca="false">IF(AND(OR('Choix pédagogiques'!$C$3=1,'Choix pédagogiques'!$C$3=2),$BN210=1),I210,IF(AND('Choix pédagogiques'!$C$3=3,$BO210=1),I210,""))</f>
        <v/>
      </c>
      <c r="AE210" s="53" t="str">
        <f aca="false">IF($J210&lt;&gt;"",$J210,"")</f>
        <v/>
      </c>
      <c r="AF210" s="52" t="str">
        <f aca="false">IF($A210&lt;&gt;"",$A210,"")</f>
        <v>Apprenant 198</v>
      </c>
      <c r="AG210" s="53" t="str">
        <f aca="false">IF(AND($W210&lt;&gt;"",$X210&lt;&gt;""),$X210-$W210,"")</f>
        <v/>
      </c>
      <c r="AH210" s="53" t="str">
        <f aca="false">IF(AND($W210&lt;&gt;"",$Y210&lt;&gt;""),$Y210-$W210,"")</f>
        <v/>
      </c>
      <c r="AI210" s="53" t="str">
        <f aca="false">IF(AND($X210&lt;&gt;"",$Y210&lt;&gt;""),$Y210-$X210,"")</f>
        <v/>
      </c>
      <c r="AJ210" s="53" t="str">
        <f aca="false">IF($E210&lt;&gt;"",$E210,"")</f>
        <v/>
      </c>
      <c r="AK210" s="52" t="str">
        <f aca="false">IF($F210&lt;&gt;"",$F210,"")</f>
        <v>Apprenant 198 ou 198'</v>
      </c>
      <c r="AL210" s="53" t="str">
        <f aca="false">IF(AND($AB210&lt;&gt;"",$AC210&lt;&gt;""),$AC210-$AB210,"")</f>
        <v/>
      </c>
      <c r="AM210" s="53" t="str">
        <f aca="false">IF(AND($AB210&lt;&gt;"",$AD210&lt;&gt;""),$AD210-$AB210,"")</f>
        <v/>
      </c>
      <c r="AN210" s="53" t="str">
        <f aca="false">IF(AND($AC210&lt;&gt;"",$AD210&lt;&gt;""),$AD210-$AC210,"")</f>
        <v/>
      </c>
      <c r="AO210" s="53" t="str">
        <f aca="false">IF($J210&lt;&gt;"",$J210,"")</f>
        <v/>
      </c>
      <c r="AQ210" s="52" t="str">
        <f aca="false">IF($A210&lt;&gt;"",$A210,"")</f>
        <v>Apprenant 198</v>
      </c>
      <c r="AR210" s="55" t="str">
        <f aca="false">IF(AND('Choix pédagogiques'!$C$4&lt;&gt;"?",'Choix pédagogiques'!$C$5&lt;&gt;"?",W210&lt;&gt;""),(W210-'Choix pédagogiques'!$C$4)/('Choix pédagogiques'!$C$5-'Choix pédagogiques'!$C$4),"")</f>
        <v/>
      </c>
      <c r="AS210" s="55" t="str">
        <f aca="false">IF(AND('Choix pédagogiques'!$C$4&lt;&gt;"?",'Choix pédagogiques'!$C$5&lt;&gt;"?",X210&lt;&gt;""),(X210-'Choix pédagogiques'!$C$4)/('Choix pédagogiques'!$C$5-'Choix pédagogiques'!$C$4),"")</f>
        <v/>
      </c>
      <c r="AT210" s="55" t="str">
        <f aca="false">IF(AND('Choix pédagogiques'!$C$4&lt;&gt;"?",'Choix pédagogiques'!$C$5&lt;&gt;"?",Y210&lt;&gt;""),(Y210-'Choix pédagogiques'!$C$4)/('Choix pédagogiques'!$C$5-'Choix pédagogiques'!$C$4),"")</f>
        <v/>
      </c>
      <c r="AU210" s="53" t="str">
        <f aca="false">IF($E210&lt;&gt;"",$E210,"")</f>
        <v/>
      </c>
      <c r="AV210" s="52" t="str">
        <f aca="false">IF($F210&lt;&gt;"",$F210,"")</f>
        <v>Apprenant 198 ou 198'</v>
      </c>
      <c r="AW210" s="55" t="str">
        <f aca="false">IF(AND('Choix pédagogiques'!$C$4&lt;&gt;"?",'Choix pédagogiques'!$C$5&lt;&gt;"?",AB210&lt;&gt;""),(AB210-'Choix pédagogiques'!$C$4)/('Choix pédagogiques'!$C$5-'Choix pédagogiques'!$C$4),"")</f>
        <v/>
      </c>
      <c r="AX210" s="55" t="str">
        <f aca="false">IF(AND('Choix pédagogiques'!$C$4&lt;&gt;"?",'Choix pédagogiques'!$C$5&lt;&gt;"?",AC210&lt;&gt;""),(AC210-'Choix pédagogiques'!$C$4)/('Choix pédagogiques'!$C$5-'Choix pédagogiques'!$C$4),"")</f>
        <v/>
      </c>
      <c r="AY210" s="55" t="str">
        <f aca="false">IF(AND('Choix pédagogiques'!$C$4&lt;&gt;"?",'Choix pédagogiques'!$C$5&lt;&gt;"?",AD210&lt;&gt;""),(AD210-'Choix pédagogiques'!$C$4)/('Choix pédagogiques'!$C$5-'Choix pédagogiques'!$C$4),"")</f>
        <v/>
      </c>
      <c r="AZ210" s="53" t="str">
        <f aca="false">IF($J210&lt;&gt;"",$J210,"")</f>
        <v/>
      </c>
      <c r="BA210" s="52" t="str">
        <f aca="false">IF($A210&lt;&gt;"",$A210,"")</f>
        <v>Apprenant 198</v>
      </c>
      <c r="BB210" s="55" t="str">
        <f aca="false">IF(AND($AR210&lt;&gt;"",$AS210&lt;&gt;""),$AS210-$AR210,"")</f>
        <v/>
      </c>
      <c r="BC210" s="55" t="str">
        <f aca="false">IF(AND($AR210&lt;&gt;"",$AT210&lt;&gt;""),$AT210-$AR210,"")</f>
        <v/>
      </c>
      <c r="BD210" s="55" t="str">
        <f aca="false">IF(AND($AS210&lt;&gt;"",$AT210&lt;&gt;""),$AT210-$AS210,"")</f>
        <v/>
      </c>
      <c r="BE210" s="53" t="str">
        <f aca="false">IF($E210&lt;&gt;"",$E210,"")</f>
        <v/>
      </c>
      <c r="BF210" s="52" t="str">
        <f aca="false">IF($F210&lt;&gt;"",$F210,"")</f>
        <v>Apprenant 198 ou 198'</v>
      </c>
      <c r="BG210" s="55" t="str">
        <f aca="false">IF(AND($AW210&lt;&gt;"",$AX210&lt;&gt;""),$AX210-$AW210,"")</f>
        <v/>
      </c>
      <c r="BH210" s="55" t="str">
        <f aca="false">IF(AND($AW210&lt;&gt;"",$AY210&lt;&gt;""),$AY210-$AW210,"")</f>
        <v/>
      </c>
      <c r="BI210" s="55" t="str">
        <f aca="false">IF(AND($AX210&lt;&gt;"",$AY210&lt;&gt;""),$AY210-$AX210,"")</f>
        <v/>
      </c>
      <c r="BJ210" s="53" t="str">
        <f aca="false">IF($J210&lt;&gt;"",$J210,"")</f>
        <v/>
      </c>
      <c r="BL210" s="52"/>
      <c r="BM210" s="52" t="str">
        <f aca="false">IF(OR(COUNT(B210:D1209)=0,AND('Choix pédagogiques'!$C$3&lt;&gt;1,'Choix pédagogiques'!$C$3&lt;&gt;2)),"",IF(AND(OR('Choix pédagogiques'!$C$3=1,'Choix pédagogiques'!$C$3=2),$B210&lt;&gt;"",$C210&lt;&gt;"",$D210&lt;&gt;""),1,0))</f>
        <v/>
      </c>
      <c r="BN210" s="52" t="str">
        <f aca="false">IF(OR(COUNT(G210:I1209)=0,AND('Choix pédagogiques'!$C$3&lt;&gt;1,'Choix pédagogiques'!$C$3&lt;&gt;2)),"",IF(AND(OR('Choix pédagogiques'!$C$3=1,'Choix pédagogiques'!$C$3=2),AND($G210&lt;&gt;"",$H210&lt;&gt;"",$I210&lt;&gt;"")),1,0))</f>
        <v/>
      </c>
      <c r="BO210" s="52" t="str">
        <f aca="false">IF(OR(COUNT(B210:D1209)=0,COUNT(G210:I1209)=0,'Choix pédagogiques'!C$3&lt;&gt;3),"",IF(AND('Choix pédagogiques'!$C$3=3,$B210&lt;&gt;"",$C210&lt;&gt;"",$D210&lt;&gt;"",$G210&lt;&gt;"",$H210&lt;&gt;"",$I210&lt;&gt;""),1,0))</f>
        <v/>
      </c>
      <c r="BR210" s="52" t="n">
        <v>94</v>
      </c>
      <c r="BS210" s="52" t="n">
        <v>1855</v>
      </c>
    </row>
    <row r="211" s="54" customFormat="true" ht="18" hidden="false" customHeight="true" outlineLevel="0" collapsed="false">
      <c r="A211" s="57" t="s">
        <v>353</v>
      </c>
      <c r="B211" s="51"/>
      <c r="C211" s="51"/>
      <c r="D211" s="51"/>
      <c r="E211" s="51"/>
      <c r="F211" s="57" t="s">
        <v>354</v>
      </c>
      <c r="G211" s="51"/>
      <c r="H211" s="51"/>
      <c r="I211" s="51"/>
      <c r="J211" s="51"/>
      <c r="K211" s="52" t="str">
        <f aca="false">IF($A211&lt;&gt;"",$A211,"")</f>
        <v>Apprenant 199</v>
      </c>
      <c r="L211" s="53" t="str">
        <f aca="false">IF(AND($B211&lt;&gt;"",$C211&lt;&gt;""),$C211-$B211,"")</f>
        <v/>
      </c>
      <c r="M211" s="53" t="str">
        <f aca="false">IF(AND($B211&lt;&gt;"",$D211&lt;&gt;""),$D211-$B211,"")</f>
        <v/>
      </c>
      <c r="N211" s="53" t="str">
        <f aca="false">IF(AND($C211&lt;&gt;"",$D211&lt;&gt;""),$D211-$C211,"")</f>
        <v/>
      </c>
      <c r="O211" s="53" t="str">
        <f aca="false">IF($E211&lt;&gt;"",$E211,"")</f>
        <v/>
      </c>
      <c r="P211" s="52" t="str">
        <f aca="false">IF($F211&lt;&gt;"",$F211,"")</f>
        <v>Apprenant 199 ou 199'</v>
      </c>
      <c r="Q211" s="53" t="str">
        <f aca="false">IF(AND($G211&lt;&gt;"",$H211&lt;&gt;""),$H211-$G211,"")</f>
        <v/>
      </c>
      <c r="R211" s="53" t="str">
        <f aca="false">IF(AND($G211&lt;&gt;"",$I211&lt;&gt;""),$I211-$G211,"")</f>
        <v/>
      </c>
      <c r="S211" s="53" t="str">
        <f aca="false">IF(AND($H211&lt;&gt;"",$I211&lt;&gt;""),$I211-$H211,"")</f>
        <v/>
      </c>
      <c r="T211" s="53" t="str">
        <f aca="false">IF($J211&lt;&gt;"",$J211,"")</f>
        <v/>
      </c>
      <c r="V211" s="52" t="str">
        <f aca="false">IF($A211&lt;&gt;"",$A211,"")</f>
        <v>Apprenant 199</v>
      </c>
      <c r="W211" s="53" t="str">
        <f aca="false">IF(AND(OR('Choix pédagogiques'!$C$3=1,'Choix pédagogiques'!$C$3=2),$BM211=1),B211,IF(AND('Choix pédagogiques'!$C$3=3,$BO211=1),B211,""))</f>
        <v/>
      </c>
      <c r="X211" s="53" t="str">
        <f aca="false">IF(AND(OR('Choix pédagogiques'!$C$3=1,'Choix pédagogiques'!$C$3=2),$BM211=1),C211,IF(AND('Choix pédagogiques'!$C$3=3,$BO211=1),C211,""))</f>
        <v/>
      </c>
      <c r="Y211" s="53" t="str">
        <f aca="false">IF(AND(OR('Choix pédagogiques'!$C$3=1,'Choix pédagogiques'!$C$3=2),$BM211=1),D211,IF(AND('Choix pédagogiques'!$C$3=3,$BO211=1),D211,""))</f>
        <v/>
      </c>
      <c r="Z211" s="53" t="str">
        <f aca="false">IF($E211&lt;&gt;"",$E211,"")</f>
        <v/>
      </c>
      <c r="AA211" s="52" t="str">
        <f aca="false">IF($F211&lt;&gt;"",$F211,"")</f>
        <v>Apprenant 199 ou 199'</v>
      </c>
      <c r="AB211" s="53" t="str">
        <f aca="false">IF(AND(OR('Choix pédagogiques'!$C$3=1,'Choix pédagogiques'!$C$3=2),$BN211=1),G211,IF(AND('Choix pédagogiques'!$C$3=3,$BO211=1),G211,""))</f>
        <v/>
      </c>
      <c r="AC211" s="53" t="str">
        <f aca="false">IF(AND(OR('Choix pédagogiques'!$C$3=1,'Choix pédagogiques'!$C$3=2),$BN211=1),H211,IF(AND('Choix pédagogiques'!$C$3=3,$BO211=1),H211,""))</f>
        <v/>
      </c>
      <c r="AD211" s="53" t="str">
        <f aca="false">IF(AND(OR('Choix pédagogiques'!$C$3=1,'Choix pédagogiques'!$C$3=2),$BN211=1),I211,IF(AND('Choix pédagogiques'!$C$3=3,$BO211=1),I211,""))</f>
        <v/>
      </c>
      <c r="AE211" s="53" t="str">
        <f aca="false">IF($J211&lt;&gt;"",$J211,"")</f>
        <v/>
      </c>
      <c r="AF211" s="52" t="str">
        <f aca="false">IF($A211&lt;&gt;"",$A211,"")</f>
        <v>Apprenant 199</v>
      </c>
      <c r="AG211" s="53" t="str">
        <f aca="false">IF(AND($W211&lt;&gt;"",$X211&lt;&gt;""),$X211-$W211,"")</f>
        <v/>
      </c>
      <c r="AH211" s="53" t="str">
        <f aca="false">IF(AND($W211&lt;&gt;"",$Y211&lt;&gt;""),$Y211-$W211,"")</f>
        <v/>
      </c>
      <c r="AI211" s="53" t="str">
        <f aca="false">IF(AND($X211&lt;&gt;"",$Y211&lt;&gt;""),$Y211-$X211,"")</f>
        <v/>
      </c>
      <c r="AJ211" s="53" t="str">
        <f aca="false">IF($E211&lt;&gt;"",$E211,"")</f>
        <v/>
      </c>
      <c r="AK211" s="52" t="str">
        <f aca="false">IF($F211&lt;&gt;"",$F211,"")</f>
        <v>Apprenant 199 ou 199'</v>
      </c>
      <c r="AL211" s="53" t="str">
        <f aca="false">IF(AND($AB211&lt;&gt;"",$AC211&lt;&gt;""),$AC211-$AB211,"")</f>
        <v/>
      </c>
      <c r="AM211" s="53" t="str">
        <f aca="false">IF(AND($AB211&lt;&gt;"",$AD211&lt;&gt;""),$AD211-$AB211,"")</f>
        <v/>
      </c>
      <c r="AN211" s="53" t="str">
        <f aca="false">IF(AND($AC211&lt;&gt;"",$AD211&lt;&gt;""),$AD211-$AC211,"")</f>
        <v/>
      </c>
      <c r="AO211" s="53" t="str">
        <f aca="false">IF($J211&lt;&gt;"",$J211,"")</f>
        <v/>
      </c>
      <c r="AQ211" s="52" t="str">
        <f aca="false">IF($A211&lt;&gt;"",$A211,"")</f>
        <v>Apprenant 199</v>
      </c>
      <c r="AR211" s="55" t="str">
        <f aca="false">IF(AND('Choix pédagogiques'!$C$4&lt;&gt;"?",'Choix pédagogiques'!$C$5&lt;&gt;"?",W211&lt;&gt;""),(W211-'Choix pédagogiques'!$C$4)/('Choix pédagogiques'!$C$5-'Choix pédagogiques'!$C$4),"")</f>
        <v/>
      </c>
      <c r="AS211" s="55" t="str">
        <f aca="false">IF(AND('Choix pédagogiques'!$C$4&lt;&gt;"?",'Choix pédagogiques'!$C$5&lt;&gt;"?",X211&lt;&gt;""),(X211-'Choix pédagogiques'!$C$4)/('Choix pédagogiques'!$C$5-'Choix pédagogiques'!$C$4),"")</f>
        <v/>
      </c>
      <c r="AT211" s="55" t="str">
        <f aca="false">IF(AND('Choix pédagogiques'!$C$4&lt;&gt;"?",'Choix pédagogiques'!$C$5&lt;&gt;"?",Y211&lt;&gt;""),(Y211-'Choix pédagogiques'!$C$4)/('Choix pédagogiques'!$C$5-'Choix pédagogiques'!$C$4),"")</f>
        <v/>
      </c>
      <c r="AU211" s="53" t="str">
        <f aca="false">IF($E211&lt;&gt;"",$E211,"")</f>
        <v/>
      </c>
      <c r="AV211" s="52" t="str">
        <f aca="false">IF($F211&lt;&gt;"",$F211,"")</f>
        <v>Apprenant 199 ou 199'</v>
      </c>
      <c r="AW211" s="55" t="str">
        <f aca="false">IF(AND('Choix pédagogiques'!$C$4&lt;&gt;"?",'Choix pédagogiques'!$C$5&lt;&gt;"?",AB211&lt;&gt;""),(AB211-'Choix pédagogiques'!$C$4)/('Choix pédagogiques'!$C$5-'Choix pédagogiques'!$C$4),"")</f>
        <v/>
      </c>
      <c r="AX211" s="55" t="str">
        <f aca="false">IF(AND('Choix pédagogiques'!$C$4&lt;&gt;"?",'Choix pédagogiques'!$C$5&lt;&gt;"?",AC211&lt;&gt;""),(AC211-'Choix pédagogiques'!$C$4)/('Choix pédagogiques'!$C$5-'Choix pédagogiques'!$C$4),"")</f>
        <v/>
      </c>
      <c r="AY211" s="55" t="str">
        <f aca="false">IF(AND('Choix pédagogiques'!$C$4&lt;&gt;"?",'Choix pédagogiques'!$C$5&lt;&gt;"?",AD211&lt;&gt;""),(AD211-'Choix pédagogiques'!$C$4)/('Choix pédagogiques'!$C$5-'Choix pédagogiques'!$C$4),"")</f>
        <v/>
      </c>
      <c r="AZ211" s="53" t="str">
        <f aca="false">IF($J211&lt;&gt;"",$J211,"")</f>
        <v/>
      </c>
      <c r="BA211" s="52" t="str">
        <f aca="false">IF($A211&lt;&gt;"",$A211,"")</f>
        <v>Apprenant 199</v>
      </c>
      <c r="BB211" s="55" t="str">
        <f aca="false">IF(AND($AR211&lt;&gt;"",$AS211&lt;&gt;""),$AS211-$AR211,"")</f>
        <v/>
      </c>
      <c r="BC211" s="55" t="str">
        <f aca="false">IF(AND($AR211&lt;&gt;"",$AT211&lt;&gt;""),$AT211-$AR211,"")</f>
        <v/>
      </c>
      <c r="BD211" s="55" t="str">
        <f aca="false">IF(AND($AS211&lt;&gt;"",$AT211&lt;&gt;""),$AT211-$AS211,"")</f>
        <v/>
      </c>
      <c r="BE211" s="53" t="str">
        <f aca="false">IF($E211&lt;&gt;"",$E211,"")</f>
        <v/>
      </c>
      <c r="BF211" s="52" t="str">
        <f aca="false">IF($F211&lt;&gt;"",$F211,"")</f>
        <v>Apprenant 199 ou 199'</v>
      </c>
      <c r="BG211" s="55" t="str">
        <f aca="false">IF(AND($AW211&lt;&gt;"",$AX211&lt;&gt;""),$AX211-$AW211,"")</f>
        <v/>
      </c>
      <c r="BH211" s="55" t="str">
        <f aca="false">IF(AND($AW211&lt;&gt;"",$AY211&lt;&gt;""),$AY211-$AW211,"")</f>
        <v/>
      </c>
      <c r="BI211" s="55" t="str">
        <f aca="false">IF(AND($AX211&lt;&gt;"",$AY211&lt;&gt;""),$AY211-$AX211,"")</f>
        <v/>
      </c>
      <c r="BJ211" s="53" t="str">
        <f aca="false">IF($J211&lt;&gt;"",$J211,"")</f>
        <v/>
      </c>
      <c r="BL211" s="52"/>
      <c r="BM211" s="52" t="str">
        <f aca="false">IF(OR(COUNT(B211:D1210)=0,AND('Choix pédagogiques'!$C$3&lt;&gt;1,'Choix pédagogiques'!$C$3&lt;&gt;2)),"",IF(AND(OR('Choix pédagogiques'!$C$3=1,'Choix pédagogiques'!$C$3=2),$B211&lt;&gt;"",$C211&lt;&gt;"",$D211&lt;&gt;""),1,0))</f>
        <v/>
      </c>
      <c r="BN211" s="52" t="str">
        <f aca="false">IF(OR(COUNT(G211:I1210)=0,AND('Choix pédagogiques'!$C$3&lt;&gt;1,'Choix pédagogiques'!$C$3&lt;&gt;2)),"",IF(AND(OR('Choix pédagogiques'!$C$3=1,'Choix pédagogiques'!$C$3=2),AND($G211&lt;&gt;"",$H211&lt;&gt;"",$I211&lt;&gt;"")),1,0))</f>
        <v/>
      </c>
      <c r="BO211" s="52" t="str">
        <f aca="false">IF(OR(COUNT(B211:D1210)=0,COUNT(G211:I1210)=0,'Choix pédagogiques'!C$3&lt;&gt;3),"",IF(AND('Choix pédagogiques'!$C$3=3,$B211&lt;&gt;"",$C211&lt;&gt;"",$D211&lt;&gt;"",$G211&lt;&gt;"",$H211&lt;&gt;"",$I211&lt;&gt;""),1,0))</f>
        <v/>
      </c>
      <c r="BR211" s="52" t="n">
        <v>926</v>
      </c>
      <c r="BS211" s="52" t="n">
        <v>1356</v>
      </c>
    </row>
    <row r="212" s="54" customFormat="true" ht="18" hidden="false" customHeight="true" outlineLevel="0" collapsed="false">
      <c r="A212" s="57" t="s">
        <v>355</v>
      </c>
      <c r="B212" s="51"/>
      <c r="C212" s="51"/>
      <c r="D212" s="51"/>
      <c r="E212" s="51"/>
      <c r="F212" s="57" t="s">
        <v>356</v>
      </c>
      <c r="G212" s="51"/>
      <c r="H212" s="51"/>
      <c r="I212" s="51"/>
      <c r="J212" s="51"/>
      <c r="K212" s="52" t="str">
        <f aca="false">IF($A212&lt;&gt;"",$A212,"")</f>
        <v>Apprenant 200</v>
      </c>
      <c r="L212" s="53" t="str">
        <f aca="false">IF(AND($B212&lt;&gt;"",$C212&lt;&gt;""),$C212-$B212,"")</f>
        <v/>
      </c>
      <c r="M212" s="53" t="str">
        <f aca="false">IF(AND($B212&lt;&gt;"",$D212&lt;&gt;""),$D212-$B212,"")</f>
        <v/>
      </c>
      <c r="N212" s="53" t="str">
        <f aca="false">IF(AND($C212&lt;&gt;"",$D212&lt;&gt;""),$D212-$C212,"")</f>
        <v/>
      </c>
      <c r="O212" s="53" t="str">
        <f aca="false">IF($E212&lt;&gt;"",$E212,"")</f>
        <v/>
      </c>
      <c r="P212" s="52" t="str">
        <f aca="false">IF($F212&lt;&gt;"",$F212,"")</f>
        <v>Apprenant 200 ou 200'</v>
      </c>
      <c r="Q212" s="53" t="str">
        <f aca="false">IF(AND($G212&lt;&gt;"",$H212&lt;&gt;""),$H212-$G212,"")</f>
        <v/>
      </c>
      <c r="R212" s="53" t="str">
        <f aca="false">IF(AND($G212&lt;&gt;"",$I212&lt;&gt;""),$I212-$G212,"")</f>
        <v/>
      </c>
      <c r="S212" s="53" t="str">
        <f aca="false">IF(AND($H212&lt;&gt;"",$I212&lt;&gt;""),$I212-$H212,"")</f>
        <v/>
      </c>
      <c r="T212" s="53" t="str">
        <f aca="false">IF($J212&lt;&gt;"",$J212,"")</f>
        <v/>
      </c>
      <c r="V212" s="52" t="str">
        <f aca="false">IF($A212&lt;&gt;"",$A212,"")</f>
        <v>Apprenant 200</v>
      </c>
      <c r="W212" s="53" t="str">
        <f aca="false">IF(AND(OR('Choix pédagogiques'!$C$3=1,'Choix pédagogiques'!$C$3=2),$BM212=1),B212,IF(AND('Choix pédagogiques'!$C$3=3,$BO212=1),B212,""))</f>
        <v/>
      </c>
      <c r="X212" s="53" t="str">
        <f aca="false">IF(AND(OR('Choix pédagogiques'!$C$3=1,'Choix pédagogiques'!$C$3=2),$BM212=1),C212,IF(AND('Choix pédagogiques'!$C$3=3,$BO212=1),C212,""))</f>
        <v/>
      </c>
      <c r="Y212" s="53" t="str">
        <f aca="false">IF(AND(OR('Choix pédagogiques'!$C$3=1,'Choix pédagogiques'!$C$3=2),$BM212=1),D212,IF(AND('Choix pédagogiques'!$C$3=3,$BO212=1),D212,""))</f>
        <v/>
      </c>
      <c r="Z212" s="53" t="str">
        <f aca="false">IF($E212&lt;&gt;"",$E212,"")</f>
        <v/>
      </c>
      <c r="AA212" s="52" t="str">
        <f aca="false">IF($F212&lt;&gt;"",$F212,"")</f>
        <v>Apprenant 200 ou 200'</v>
      </c>
      <c r="AB212" s="53" t="str">
        <f aca="false">IF(AND(OR('Choix pédagogiques'!$C$3=1,'Choix pédagogiques'!$C$3=2),$BN212=1),G212,IF(AND('Choix pédagogiques'!$C$3=3,$BO212=1),G212,""))</f>
        <v/>
      </c>
      <c r="AC212" s="53" t="str">
        <f aca="false">IF(AND(OR('Choix pédagogiques'!$C$3=1,'Choix pédagogiques'!$C$3=2),$BN212=1),H212,IF(AND('Choix pédagogiques'!$C$3=3,$BO212=1),H212,""))</f>
        <v/>
      </c>
      <c r="AD212" s="53" t="str">
        <f aca="false">IF(AND(OR('Choix pédagogiques'!$C$3=1,'Choix pédagogiques'!$C$3=2),$BN212=1),I212,IF(AND('Choix pédagogiques'!$C$3=3,$BO212=1),I212,""))</f>
        <v/>
      </c>
      <c r="AE212" s="53" t="str">
        <f aca="false">IF($J212&lt;&gt;"",$J212,"")</f>
        <v/>
      </c>
      <c r="AF212" s="52" t="str">
        <f aca="false">IF($A212&lt;&gt;"",$A212,"")</f>
        <v>Apprenant 200</v>
      </c>
      <c r="AG212" s="53" t="str">
        <f aca="false">IF(AND($W212&lt;&gt;"",$X212&lt;&gt;""),$X212-$W212,"")</f>
        <v/>
      </c>
      <c r="AH212" s="53" t="str">
        <f aca="false">IF(AND($W212&lt;&gt;"",$Y212&lt;&gt;""),$Y212-$W212,"")</f>
        <v/>
      </c>
      <c r="AI212" s="53" t="str">
        <f aca="false">IF(AND($X212&lt;&gt;"",$Y212&lt;&gt;""),$Y212-$X212,"")</f>
        <v/>
      </c>
      <c r="AJ212" s="53" t="str">
        <f aca="false">IF($E212&lt;&gt;"",$E212,"")</f>
        <v/>
      </c>
      <c r="AK212" s="52" t="str">
        <f aca="false">IF($F212&lt;&gt;"",$F212,"")</f>
        <v>Apprenant 200 ou 200'</v>
      </c>
      <c r="AL212" s="53" t="str">
        <f aca="false">IF(AND($AB212&lt;&gt;"",$AC212&lt;&gt;""),$AC212-$AB212,"")</f>
        <v/>
      </c>
      <c r="AM212" s="53" t="str">
        <f aca="false">IF(AND($AB212&lt;&gt;"",$AD212&lt;&gt;""),$AD212-$AB212,"")</f>
        <v/>
      </c>
      <c r="AN212" s="53" t="str">
        <f aca="false">IF(AND($AC212&lt;&gt;"",$AD212&lt;&gt;""),$AD212-$AC212,"")</f>
        <v/>
      </c>
      <c r="AO212" s="53" t="str">
        <f aca="false">IF($J212&lt;&gt;"",$J212,"")</f>
        <v/>
      </c>
      <c r="AQ212" s="52" t="str">
        <f aca="false">IF($A212&lt;&gt;"",$A212,"")</f>
        <v>Apprenant 200</v>
      </c>
      <c r="AR212" s="55" t="str">
        <f aca="false">IF(AND('Choix pédagogiques'!$C$4&lt;&gt;"?",'Choix pédagogiques'!$C$5&lt;&gt;"?",W212&lt;&gt;""),(W212-'Choix pédagogiques'!$C$4)/('Choix pédagogiques'!$C$5-'Choix pédagogiques'!$C$4),"")</f>
        <v/>
      </c>
      <c r="AS212" s="55" t="str">
        <f aca="false">IF(AND('Choix pédagogiques'!$C$4&lt;&gt;"?",'Choix pédagogiques'!$C$5&lt;&gt;"?",X212&lt;&gt;""),(X212-'Choix pédagogiques'!$C$4)/('Choix pédagogiques'!$C$5-'Choix pédagogiques'!$C$4),"")</f>
        <v/>
      </c>
      <c r="AT212" s="55" t="str">
        <f aca="false">IF(AND('Choix pédagogiques'!$C$4&lt;&gt;"?",'Choix pédagogiques'!$C$5&lt;&gt;"?",Y212&lt;&gt;""),(Y212-'Choix pédagogiques'!$C$4)/('Choix pédagogiques'!$C$5-'Choix pédagogiques'!$C$4),"")</f>
        <v/>
      </c>
      <c r="AU212" s="53" t="str">
        <f aca="false">IF($E212&lt;&gt;"",$E212,"")</f>
        <v/>
      </c>
      <c r="AV212" s="52" t="str">
        <f aca="false">IF($F212&lt;&gt;"",$F212,"")</f>
        <v>Apprenant 200 ou 200'</v>
      </c>
      <c r="AW212" s="55" t="str">
        <f aca="false">IF(AND('Choix pédagogiques'!$C$4&lt;&gt;"?",'Choix pédagogiques'!$C$5&lt;&gt;"?",AB212&lt;&gt;""),(AB212-'Choix pédagogiques'!$C$4)/('Choix pédagogiques'!$C$5-'Choix pédagogiques'!$C$4),"")</f>
        <v/>
      </c>
      <c r="AX212" s="55" t="str">
        <f aca="false">IF(AND('Choix pédagogiques'!$C$4&lt;&gt;"?",'Choix pédagogiques'!$C$5&lt;&gt;"?",AC212&lt;&gt;""),(AC212-'Choix pédagogiques'!$C$4)/('Choix pédagogiques'!$C$5-'Choix pédagogiques'!$C$4),"")</f>
        <v/>
      </c>
      <c r="AY212" s="55" t="str">
        <f aca="false">IF(AND('Choix pédagogiques'!$C$4&lt;&gt;"?",'Choix pédagogiques'!$C$5&lt;&gt;"?",AD212&lt;&gt;""),(AD212-'Choix pédagogiques'!$C$4)/('Choix pédagogiques'!$C$5-'Choix pédagogiques'!$C$4),"")</f>
        <v/>
      </c>
      <c r="AZ212" s="53" t="str">
        <f aca="false">IF($J212&lt;&gt;"",$J212,"")</f>
        <v/>
      </c>
      <c r="BA212" s="52" t="str">
        <f aca="false">IF($A212&lt;&gt;"",$A212,"")</f>
        <v>Apprenant 200</v>
      </c>
      <c r="BB212" s="55" t="str">
        <f aca="false">IF(AND($AR212&lt;&gt;"",$AS212&lt;&gt;""),$AS212-$AR212,"")</f>
        <v/>
      </c>
      <c r="BC212" s="55" t="str">
        <f aca="false">IF(AND($AR212&lt;&gt;"",$AT212&lt;&gt;""),$AT212-$AR212,"")</f>
        <v/>
      </c>
      <c r="BD212" s="55" t="str">
        <f aca="false">IF(AND($AS212&lt;&gt;"",$AT212&lt;&gt;""),$AT212-$AS212,"")</f>
        <v/>
      </c>
      <c r="BE212" s="53" t="str">
        <f aca="false">IF($E212&lt;&gt;"",$E212,"")</f>
        <v/>
      </c>
      <c r="BF212" s="52" t="str">
        <f aca="false">IF($F212&lt;&gt;"",$F212,"")</f>
        <v>Apprenant 200 ou 200'</v>
      </c>
      <c r="BG212" s="55" t="str">
        <f aca="false">IF(AND($AW212&lt;&gt;"",$AX212&lt;&gt;""),$AX212-$AW212,"")</f>
        <v/>
      </c>
      <c r="BH212" s="55" t="str">
        <f aca="false">IF(AND($AW212&lt;&gt;"",$AY212&lt;&gt;""),$AY212-$AW212,"")</f>
        <v/>
      </c>
      <c r="BI212" s="55" t="str">
        <f aca="false">IF(AND($AX212&lt;&gt;"",$AY212&lt;&gt;""),$AY212-$AX212,"")</f>
        <v/>
      </c>
      <c r="BJ212" s="53" t="str">
        <f aca="false">IF($J212&lt;&gt;"",$J212,"")</f>
        <v/>
      </c>
      <c r="BL212" s="52"/>
      <c r="BM212" s="52" t="str">
        <f aca="false">IF(OR(COUNT(B212:D1211)=0,AND('Choix pédagogiques'!$C$3&lt;&gt;1,'Choix pédagogiques'!$C$3&lt;&gt;2)),"",IF(AND(OR('Choix pédagogiques'!$C$3=1,'Choix pédagogiques'!$C$3=2),$B212&lt;&gt;"",$C212&lt;&gt;"",$D212&lt;&gt;""),1,0))</f>
        <v/>
      </c>
      <c r="BN212" s="52" t="str">
        <f aca="false">IF(OR(COUNT(G212:I1211)=0,AND('Choix pédagogiques'!$C$3&lt;&gt;1,'Choix pédagogiques'!$C$3&lt;&gt;2)),"",IF(AND(OR('Choix pédagogiques'!$C$3=1,'Choix pédagogiques'!$C$3=2),AND($G212&lt;&gt;"",$H212&lt;&gt;"",$I212&lt;&gt;"")),1,0))</f>
        <v/>
      </c>
      <c r="BO212" s="52" t="str">
        <f aca="false">IF(OR(COUNT(B212:D1211)=0,COUNT(G212:I1211)=0,'Choix pédagogiques'!C$3&lt;&gt;3),"",IF(AND('Choix pédagogiques'!$C$3=3,$B212&lt;&gt;"",$C212&lt;&gt;"",$D212&lt;&gt;"",$G212&lt;&gt;"",$H212&lt;&gt;"",$I212&lt;&gt;""),1,0))</f>
        <v/>
      </c>
      <c r="BR212" s="52" t="n">
        <v>934</v>
      </c>
      <c r="BS212" s="52" t="n">
        <v>1328</v>
      </c>
    </row>
    <row r="213" s="54" customFormat="true" ht="18" hidden="false" customHeight="true" outlineLevel="0" collapsed="false">
      <c r="A213" s="57" t="s">
        <v>357</v>
      </c>
      <c r="B213" s="51"/>
      <c r="C213" s="51"/>
      <c r="D213" s="51"/>
      <c r="E213" s="51"/>
      <c r="F213" s="57" t="s">
        <v>358</v>
      </c>
      <c r="G213" s="51"/>
      <c r="H213" s="51"/>
      <c r="I213" s="51"/>
      <c r="J213" s="51"/>
      <c r="K213" s="52" t="str">
        <f aca="false">IF($A213&lt;&gt;"",$A213,"")</f>
        <v>Apprenant 201</v>
      </c>
      <c r="L213" s="53" t="str">
        <f aca="false">IF(AND($B213&lt;&gt;"",$C213&lt;&gt;""),$C213-$B213,"")</f>
        <v/>
      </c>
      <c r="M213" s="53" t="str">
        <f aca="false">IF(AND($B213&lt;&gt;"",$D213&lt;&gt;""),$D213-$B213,"")</f>
        <v/>
      </c>
      <c r="N213" s="53" t="str">
        <f aca="false">IF(AND($C213&lt;&gt;"",$D213&lt;&gt;""),$D213-$C213,"")</f>
        <v/>
      </c>
      <c r="O213" s="53" t="str">
        <f aca="false">IF($E213&lt;&gt;"",$E213,"")</f>
        <v/>
      </c>
      <c r="P213" s="52" t="str">
        <f aca="false">IF($F213&lt;&gt;"",$F213,"")</f>
        <v>Apprenant 201 ou 201'</v>
      </c>
      <c r="Q213" s="53" t="str">
        <f aca="false">IF(AND($G213&lt;&gt;"",$H213&lt;&gt;""),$H213-$G213,"")</f>
        <v/>
      </c>
      <c r="R213" s="53" t="str">
        <f aca="false">IF(AND($G213&lt;&gt;"",$I213&lt;&gt;""),$I213-$G213,"")</f>
        <v/>
      </c>
      <c r="S213" s="53" t="str">
        <f aca="false">IF(AND($H213&lt;&gt;"",$I213&lt;&gt;""),$I213-$H213,"")</f>
        <v/>
      </c>
      <c r="T213" s="53" t="str">
        <f aca="false">IF($J213&lt;&gt;"",$J213,"")</f>
        <v/>
      </c>
      <c r="V213" s="52" t="str">
        <f aca="false">IF($A213&lt;&gt;"",$A213,"")</f>
        <v>Apprenant 201</v>
      </c>
      <c r="W213" s="53" t="str">
        <f aca="false">IF(AND(OR('Choix pédagogiques'!$C$3=1,'Choix pédagogiques'!$C$3=2),$BM213=1),B213,IF(AND('Choix pédagogiques'!$C$3=3,$BO213=1),B213,""))</f>
        <v/>
      </c>
      <c r="X213" s="53" t="str">
        <f aca="false">IF(AND(OR('Choix pédagogiques'!$C$3=1,'Choix pédagogiques'!$C$3=2),$BM213=1),C213,IF(AND('Choix pédagogiques'!$C$3=3,$BO213=1),C213,""))</f>
        <v/>
      </c>
      <c r="Y213" s="53" t="str">
        <f aca="false">IF(AND(OR('Choix pédagogiques'!$C$3=1,'Choix pédagogiques'!$C$3=2),$BM213=1),D213,IF(AND('Choix pédagogiques'!$C$3=3,$BO213=1),D213,""))</f>
        <v/>
      </c>
      <c r="Z213" s="53" t="str">
        <f aca="false">IF($E213&lt;&gt;"",$E213,"")</f>
        <v/>
      </c>
      <c r="AA213" s="52" t="str">
        <f aca="false">IF($F213&lt;&gt;"",$F213,"")</f>
        <v>Apprenant 201 ou 201'</v>
      </c>
      <c r="AB213" s="53" t="str">
        <f aca="false">IF(AND(OR('Choix pédagogiques'!$C$3=1,'Choix pédagogiques'!$C$3=2),$BN213=1),G213,IF(AND('Choix pédagogiques'!$C$3=3,$BO213=1),G213,""))</f>
        <v/>
      </c>
      <c r="AC213" s="53" t="str">
        <f aca="false">IF(AND(OR('Choix pédagogiques'!$C$3=1,'Choix pédagogiques'!$C$3=2),$BN213=1),H213,IF(AND('Choix pédagogiques'!$C$3=3,$BO213=1),H213,""))</f>
        <v/>
      </c>
      <c r="AD213" s="53" t="str">
        <f aca="false">IF(AND(OR('Choix pédagogiques'!$C$3=1,'Choix pédagogiques'!$C$3=2),$BN213=1),I213,IF(AND('Choix pédagogiques'!$C$3=3,$BO213=1),I213,""))</f>
        <v/>
      </c>
      <c r="AE213" s="53" t="str">
        <f aca="false">IF($J213&lt;&gt;"",$J213,"")</f>
        <v/>
      </c>
      <c r="AF213" s="52" t="str">
        <f aca="false">IF($A213&lt;&gt;"",$A213,"")</f>
        <v>Apprenant 201</v>
      </c>
      <c r="AG213" s="53" t="str">
        <f aca="false">IF(AND($W213&lt;&gt;"",$X213&lt;&gt;""),$X213-$W213,"")</f>
        <v/>
      </c>
      <c r="AH213" s="53" t="str">
        <f aca="false">IF(AND($W213&lt;&gt;"",$Y213&lt;&gt;""),$Y213-$W213,"")</f>
        <v/>
      </c>
      <c r="AI213" s="53" t="str">
        <f aca="false">IF(AND($X213&lt;&gt;"",$Y213&lt;&gt;""),$Y213-$X213,"")</f>
        <v/>
      </c>
      <c r="AJ213" s="53" t="str">
        <f aca="false">IF($E213&lt;&gt;"",$E213,"")</f>
        <v/>
      </c>
      <c r="AK213" s="52" t="str">
        <f aca="false">IF($F213&lt;&gt;"",$F213,"")</f>
        <v>Apprenant 201 ou 201'</v>
      </c>
      <c r="AL213" s="53" t="str">
        <f aca="false">IF(AND($AB213&lt;&gt;"",$AC213&lt;&gt;""),$AC213-$AB213,"")</f>
        <v/>
      </c>
      <c r="AM213" s="53" t="str">
        <f aca="false">IF(AND($AB213&lt;&gt;"",$AD213&lt;&gt;""),$AD213-$AB213,"")</f>
        <v/>
      </c>
      <c r="AN213" s="53" t="str">
        <f aca="false">IF(AND($AC213&lt;&gt;"",$AD213&lt;&gt;""),$AD213-$AC213,"")</f>
        <v/>
      </c>
      <c r="AO213" s="53" t="str">
        <f aca="false">IF($J213&lt;&gt;"",$J213,"")</f>
        <v/>
      </c>
      <c r="AQ213" s="52" t="str">
        <f aca="false">IF($A213&lt;&gt;"",$A213,"")</f>
        <v>Apprenant 201</v>
      </c>
      <c r="AR213" s="55" t="str">
        <f aca="false">IF(AND('Choix pédagogiques'!$C$4&lt;&gt;"?",'Choix pédagogiques'!$C$5&lt;&gt;"?",W213&lt;&gt;""),(W213-'Choix pédagogiques'!$C$4)/('Choix pédagogiques'!$C$5-'Choix pédagogiques'!$C$4),"")</f>
        <v/>
      </c>
      <c r="AS213" s="55" t="str">
        <f aca="false">IF(AND('Choix pédagogiques'!$C$4&lt;&gt;"?",'Choix pédagogiques'!$C$5&lt;&gt;"?",X213&lt;&gt;""),(X213-'Choix pédagogiques'!$C$4)/('Choix pédagogiques'!$C$5-'Choix pédagogiques'!$C$4),"")</f>
        <v/>
      </c>
      <c r="AT213" s="55" t="str">
        <f aca="false">IF(AND('Choix pédagogiques'!$C$4&lt;&gt;"?",'Choix pédagogiques'!$C$5&lt;&gt;"?",Y213&lt;&gt;""),(Y213-'Choix pédagogiques'!$C$4)/('Choix pédagogiques'!$C$5-'Choix pédagogiques'!$C$4),"")</f>
        <v/>
      </c>
      <c r="AU213" s="53" t="str">
        <f aca="false">IF($E213&lt;&gt;"",$E213,"")</f>
        <v/>
      </c>
      <c r="AV213" s="52" t="str">
        <f aca="false">IF($F213&lt;&gt;"",$F213,"")</f>
        <v>Apprenant 201 ou 201'</v>
      </c>
      <c r="AW213" s="55" t="str">
        <f aca="false">IF(AND('Choix pédagogiques'!$C$4&lt;&gt;"?",'Choix pédagogiques'!$C$5&lt;&gt;"?",AB213&lt;&gt;""),(AB213-'Choix pédagogiques'!$C$4)/('Choix pédagogiques'!$C$5-'Choix pédagogiques'!$C$4),"")</f>
        <v/>
      </c>
      <c r="AX213" s="55" t="str">
        <f aca="false">IF(AND('Choix pédagogiques'!$C$4&lt;&gt;"?",'Choix pédagogiques'!$C$5&lt;&gt;"?",AC213&lt;&gt;""),(AC213-'Choix pédagogiques'!$C$4)/('Choix pédagogiques'!$C$5-'Choix pédagogiques'!$C$4),"")</f>
        <v/>
      </c>
      <c r="AY213" s="55" t="str">
        <f aca="false">IF(AND('Choix pédagogiques'!$C$4&lt;&gt;"?",'Choix pédagogiques'!$C$5&lt;&gt;"?",AD213&lt;&gt;""),(AD213-'Choix pédagogiques'!$C$4)/('Choix pédagogiques'!$C$5-'Choix pédagogiques'!$C$4),"")</f>
        <v/>
      </c>
      <c r="AZ213" s="53" t="str">
        <f aca="false">IF($J213&lt;&gt;"",$J213,"")</f>
        <v/>
      </c>
      <c r="BA213" s="52" t="str">
        <f aca="false">IF($A213&lt;&gt;"",$A213,"")</f>
        <v>Apprenant 201</v>
      </c>
      <c r="BB213" s="55" t="str">
        <f aca="false">IF(AND($AR213&lt;&gt;"",$AS213&lt;&gt;""),$AS213-$AR213,"")</f>
        <v/>
      </c>
      <c r="BC213" s="55" t="str">
        <f aca="false">IF(AND($AR213&lt;&gt;"",$AT213&lt;&gt;""),$AT213-$AR213,"")</f>
        <v/>
      </c>
      <c r="BD213" s="55" t="str">
        <f aca="false">IF(AND($AS213&lt;&gt;"",$AT213&lt;&gt;""),$AT213-$AS213,"")</f>
        <v/>
      </c>
      <c r="BE213" s="53" t="str">
        <f aca="false">IF($E213&lt;&gt;"",$E213,"")</f>
        <v/>
      </c>
      <c r="BF213" s="52" t="str">
        <f aca="false">IF($F213&lt;&gt;"",$F213,"")</f>
        <v>Apprenant 201 ou 201'</v>
      </c>
      <c r="BG213" s="55" t="str">
        <f aca="false">IF(AND($AW213&lt;&gt;"",$AX213&lt;&gt;""),$AX213-$AW213,"")</f>
        <v/>
      </c>
      <c r="BH213" s="55" t="str">
        <f aca="false">IF(AND($AW213&lt;&gt;"",$AY213&lt;&gt;""),$AY213-$AW213,"")</f>
        <v/>
      </c>
      <c r="BI213" s="55" t="str">
        <f aca="false">IF(AND($AX213&lt;&gt;"",$AY213&lt;&gt;""),$AY213-$AX213,"")</f>
        <v/>
      </c>
      <c r="BJ213" s="53" t="str">
        <f aca="false">IF($J213&lt;&gt;"",$J213,"")</f>
        <v/>
      </c>
      <c r="BL213" s="52"/>
      <c r="BM213" s="52" t="str">
        <f aca="false">IF(OR(COUNT(B213:D1212)=0,AND('Choix pédagogiques'!$C$3&lt;&gt;1,'Choix pédagogiques'!$C$3&lt;&gt;2)),"",IF(AND(OR('Choix pédagogiques'!$C$3=1,'Choix pédagogiques'!$C$3=2),$B213&lt;&gt;"",$C213&lt;&gt;"",$D213&lt;&gt;""),1,0))</f>
        <v/>
      </c>
      <c r="BN213" s="52" t="str">
        <f aca="false">IF(OR(COUNT(G213:I1212)=0,AND('Choix pédagogiques'!$C$3&lt;&gt;1,'Choix pédagogiques'!$C$3&lt;&gt;2)),"",IF(AND(OR('Choix pédagogiques'!$C$3=1,'Choix pédagogiques'!$C$3=2),AND($G213&lt;&gt;"",$H213&lt;&gt;"",$I213&lt;&gt;"")),1,0))</f>
        <v/>
      </c>
      <c r="BO213" s="52" t="str">
        <f aca="false">IF(OR(COUNT(B213:D1212)=0,COUNT(G213:I1212)=0,'Choix pédagogiques'!C$3&lt;&gt;3),"",IF(AND('Choix pédagogiques'!$C$3=3,$B213&lt;&gt;"",$C213&lt;&gt;"",$D213&lt;&gt;"",$G213&lt;&gt;"",$H213&lt;&gt;"",$I213&lt;&gt;""),1,0))</f>
        <v/>
      </c>
      <c r="BR213" s="52" t="n">
        <v>495</v>
      </c>
      <c r="BS213" s="52" t="n">
        <v>1719</v>
      </c>
    </row>
    <row r="214" s="54" customFormat="true" ht="18" hidden="false" customHeight="true" outlineLevel="0" collapsed="false">
      <c r="A214" s="57" t="s">
        <v>359</v>
      </c>
      <c r="B214" s="51"/>
      <c r="C214" s="51"/>
      <c r="D214" s="51"/>
      <c r="E214" s="51"/>
      <c r="F214" s="57" t="s">
        <v>360</v>
      </c>
      <c r="G214" s="51"/>
      <c r="H214" s="51"/>
      <c r="I214" s="51"/>
      <c r="J214" s="51"/>
      <c r="K214" s="52" t="str">
        <f aca="false">IF($A214&lt;&gt;"",$A214,"")</f>
        <v>Apprenant 202</v>
      </c>
      <c r="L214" s="53" t="str">
        <f aca="false">IF(AND($B214&lt;&gt;"",$C214&lt;&gt;""),$C214-$B214,"")</f>
        <v/>
      </c>
      <c r="M214" s="53" t="str">
        <f aca="false">IF(AND($B214&lt;&gt;"",$D214&lt;&gt;""),$D214-$B214,"")</f>
        <v/>
      </c>
      <c r="N214" s="53" t="str">
        <f aca="false">IF(AND($C214&lt;&gt;"",$D214&lt;&gt;""),$D214-$C214,"")</f>
        <v/>
      </c>
      <c r="O214" s="53" t="str">
        <f aca="false">IF($E214&lt;&gt;"",$E214,"")</f>
        <v/>
      </c>
      <c r="P214" s="52" t="str">
        <f aca="false">IF($F214&lt;&gt;"",$F214,"")</f>
        <v>Apprenant 202 ou 202'</v>
      </c>
      <c r="Q214" s="53" t="str">
        <f aca="false">IF(AND($G214&lt;&gt;"",$H214&lt;&gt;""),$H214-$G214,"")</f>
        <v/>
      </c>
      <c r="R214" s="53" t="str">
        <f aca="false">IF(AND($G214&lt;&gt;"",$I214&lt;&gt;""),$I214-$G214,"")</f>
        <v/>
      </c>
      <c r="S214" s="53" t="str">
        <f aca="false">IF(AND($H214&lt;&gt;"",$I214&lt;&gt;""),$I214-$H214,"")</f>
        <v/>
      </c>
      <c r="T214" s="53" t="str">
        <f aca="false">IF($J214&lt;&gt;"",$J214,"")</f>
        <v/>
      </c>
      <c r="V214" s="52" t="str">
        <f aca="false">IF($A214&lt;&gt;"",$A214,"")</f>
        <v>Apprenant 202</v>
      </c>
      <c r="W214" s="53" t="str">
        <f aca="false">IF(AND(OR('Choix pédagogiques'!$C$3=1,'Choix pédagogiques'!$C$3=2),$BM214=1),B214,IF(AND('Choix pédagogiques'!$C$3=3,$BO214=1),B214,""))</f>
        <v/>
      </c>
      <c r="X214" s="53" t="str">
        <f aca="false">IF(AND(OR('Choix pédagogiques'!$C$3=1,'Choix pédagogiques'!$C$3=2),$BM214=1),C214,IF(AND('Choix pédagogiques'!$C$3=3,$BO214=1),C214,""))</f>
        <v/>
      </c>
      <c r="Y214" s="53" t="str">
        <f aca="false">IF(AND(OR('Choix pédagogiques'!$C$3=1,'Choix pédagogiques'!$C$3=2),$BM214=1),D214,IF(AND('Choix pédagogiques'!$C$3=3,$BO214=1),D214,""))</f>
        <v/>
      </c>
      <c r="Z214" s="53" t="str">
        <f aca="false">IF($E214&lt;&gt;"",$E214,"")</f>
        <v/>
      </c>
      <c r="AA214" s="52" t="str">
        <f aca="false">IF($F214&lt;&gt;"",$F214,"")</f>
        <v>Apprenant 202 ou 202'</v>
      </c>
      <c r="AB214" s="53" t="str">
        <f aca="false">IF(AND(OR('Choix pédagogiques'!$C$3=1,'Choix pédagogiques'!$C$3=2),$BN214=1),G214,IF(AND('Choix pédagogiques'!$C$3=3,$BO214=1),G214,""))</f>
        <v/>
      </c>
      <c r="AC214" s="53" t="str">
        <f aca="false">IF(AND(OR('Choix pédagogiques'!$C$3=1,'Choix pédagogiques'!$C$3=2),$BN214=1),H214,IF(AND('Choix pédagogiques'!$C$3=3,$BO214=1),H214,""))</f>
        <v/>
      </c>
      <c r="AD214" s="53" t="str">
        <f aca="false">IF(AND(OR('Choix pédagogiques'!$C$3=1,'Choix pédagogiques'!$C$3=2),$BN214=1),I214,IF(AND('Choix pédagogiques'!$C$3=3,$BO214=1),I214,""))</f>
        <v/>
      </c>
      <c r="AE214" s="53" t="str">
        <f aca="false">IF($J214&lt;&gt;"",$J214,"")</f>
        <v/>
      </c>
      <c r="AF214" s="52" t="str">
        <f aca="false">IF($A214&lt;&gt;"",$A214,"")</f>
        <v>Apprenant 202</v>
      </c>
      <c r="AG214" s="53" t="str">
        <f aca="false">IF(AND($W214&lt;&gt;"",$X214&lt;&gt;""),$X214-$W214,"")</f>
        <v/>
      </c>
      <c r="AH214" s="53" t="str">
        <f aca="false">IF(AND($W214&lt;&gt;"",$Y214&lt;&gt;""),$Y214-$W214,"")</f>
        <v/>
      </c>
      <c r="AI214" s="53" t="str">
        <f aca="false">IF(AND($X214&lt;&gt;"",$Y214&lt;&gt;""),$Y214-$X214,"")</f>
        <v/>
      </c>
      <c r="AJ214" s="53" t="str">
        <f aca="false">IF($E214&lt;&gt;"",$E214,"")</f>
        <v/>
      </c>
      <c r="AK214" s="52" t="str">
        <f aca="false">IF($F214&lt;&gt;"",$F214,"")</f>
        <v>Apprenant 202 ou 202'</v>
      </c>
      <c r="AL214" s="53" t="str">
        <f aca="false">IF(AND($AB214&lt;&gt;"",$AC214&lt;&gt;""),$AC214-$AB214,"")</f>
        <v/>
      </c>
      <c r="AM214" s="53" t="str">
        <f aca="false">IF(AND($AB214&lt;&gt;"",$AD214&lt;&gt;""),$AD214-$AB214,"")</f>
        <v/>
      </c>
      <c r="AN214" s="53" t="str">
        <f aca="false">IF(AND($AC214&lt;&gt;"",$AD214&lt;&gt;""),$AD214-$AC214,"")</f>
        <v/>
      </c>
      <c r="AO214" s="53" t="str">
        <f aca="false">IF($J214&lt;&gt;"",$J214,"")</f>
        <v/>
      </c>
      <c r="AQ214" s="52" t="str">
        <f aca="false">IF($A214&lt;&gt;"",$A214,"")</f>
        <v>Apprenant 202</v>
      </c>
      <c r="AR214" s="55" t="str">
        <f aca="false">IF(AND('Choix pédagogiques'!$C$4&lt;&gt;"?",'Choix pédagogiques'!$C$5&lt;&gt;"?",W214&lt;&gt;""),(W214-'Choix pédagogiques'!$C$4)/('Choix pédagogiques'!$C$5-'Choix pédagogiques'!$C$4),"")</f>
        <v/>
      </c>
      <c r="AS214" s="55" t="str">
        <f aca="false">IF(AND('Choix pédagogiques'!$C$4&lt;&gt;"?",'Choix pédagogiques'!$C$5&lt;&gt;"?",X214&lt;&gt;""),(X214-'Choix pédagogiques'!$C$4)/('Choix pédagogiques'!$C$5-'Choix pédagogiques'!$C$4),"")</f>
        <v/>
      </c>
      <c r="AT214" s="55" t="str">
        <f aca="false">IF(AND('Choix pédagogiques'!$C$4&lt;&gt;"?",'Choix pédagogiques'!$C$5&lt;&gt;"?",Y214&lt;&gt;""),(Y214-'Choix pédagogiques'!$C$4)/('Choix pédagogiques'!$C$5-'Choix pédagogiques'!$C$4),"")</f>
        <v/>
      </c>
      <c r="AU214" s="53" t="str">
        <f aca="false">IF($E214&lt;&gt;"",$E214,"")</f>
        <v/>
      </c>
      <c r="AV214" s="52" t="str">
        <f aca="false">IF($F214&lt;&gt;"",$F214,"")</f>
        <v>Apprenant 202 ou 202'</v>
      </c>
      <c r="AW214" s="55" t="str">
        <f aca="false">IF(AND('Choix pédagogiques'!$C$4&lt;&gt;"?",'Choix pédagogiques'!$C$5&lt;&gt;"?",AB214&lt;&gt;""),(AB214-'Choix pédagogiques'!$C$4)/('Choix pédagogiques'!$C$5-'Choix pédagogiques'!$C$4),"")</f>
        <v/>
      </c>
      <c r="AX214" s="55" t="str">
        <f aca="false">IF(AND('Choix pédagogiques'!$C$4&lt;&gt;"?",'Choix pédagogiques'!$C$5&lt;&gt;"?",AC214&lt;&gt;""),(AC214-'Choix pédagogiques'!$C$4)/('Choix pédagogiques'!$C$5-'Choix pédagogiques'!$C$4),"")</f>
        <v/>
      </c>
      <c r="AY214" s="55" t="str">
        <f aca="false">IF(AND('Choix pédagogiques'!$C$4&lt;&gt;"?",'Choix pédagogiques'!$C$5&lt;&gt;"?",AD214&lt;&gt;""),(AD214-'Choix pédagogiques'!$C$4)/('Choix pédagogiques'!$C$5-'Choix pédagogiques'!$C$4),"")</f>
        <v/>
      </c>
      <c r="AZ214" s="53" t="str">
        <f aca="false">IF($J214&lt;&gt;"",$J214,"")</f>
        <v/>
      </c>
      <c r="BA214" s="52" t="str">
        <f aca="false">IF($A214&lt;&gt;"",$A214,"")</f>
        <v>Apprenant 202</v>
      </c>
      <c r="BB214" s="55" t="str">
        <f aca="false">IF(AND($AR214&lt;&gt;"",$AS214&lt;&gt;""),$AS214-$AR214,"")</f>
        <v/>
      </c>
      <c r="BC214" s="55" t="str">
        <f aca="false">IF(AND($AR214&lt;&gt;"",$AT214&lt;&gt;""),$AT214-$AR214,"")</f>
        <v/>
      </c>
      <c r="BD214" s="55" t="str">
        <f aca="false">IF(AND($AS214&lt;&gt;"",$AT214&lt;&gt;""),$AT214-$AS214,"")</f>
        <v/>
      </c>
      <c r="BE214" s="53" t="str">
        <f aca="false">IF($E214&lt;&gt;"",$E214,"")</f>
        <v/>
      </c>
      <c r="BF214" s="52" t="str">
        <f aca="false">IF($F214&lt;&gt;"",$F214,"")</f>
        <v>Apprenant 202 ou 202'</v>
      </c>
      <c r="BG214" s="55" t="str">
        <f aca="false">IF(AND($AW214&lt;&gt;"",$AX214&lt;&gt;""),$AX214-$AW214,"")</f>
        <v/>
      </c>
      <c r="BH214" s="55" t="str">
        <f aca="false">IF(AND($AW214&lt;&gt;"",$AY214&lt;&gt;""),$AY214-$AW214,"")</f>
        <v/>
      </c>
      <c r="BI214" s="55" t="str">
        <f aca="false">IF(AND($AX214&lt;&gt;"",$AY214&lt;&gt;""),$AY214-$AX214,"")</f>
        <v/>
      </c>
      <c r="BJ214" s="53" t="str">
        <f aca="false">IF($J214&lt;&gt;"",$J214,"")</f>
        <v/>
      </c>
      <c r="BL214" s="52"/>
      <c r="BM214" s="52" t="str">
        <f aca="false">IF(OR(COUNT(B214:D1213)=0,AND('Choix pédagogiques'!$C$3&lt;&gt;1,'Choix pédagogiques'!$C$3&lt;&gt;2)),"",IF(AND(OR('Choix pédagogiques'!$C$3=1,'Choix pédagogiques'!$C$3=2),$B214&lt;&gt;"",$C214&lt;&gt;"",$D214&lt;&gt;""),1,0))</f>
        <v/>
      </c>
      <c r="BN214" s="52" t="str">
        <f aca="false">IF(OR(COUNT(G214:I1213)=0,AND('Choix pédagogiques'!$C$3&lt;&gt;1,'Choix pédagogiques'!$C$3&lt;&gt;2)),"",IF(AND(OR('Choix pédagogiques'!$C$3=1,'Choix pédagogiques'!$C$3=2),AND($G214&lt;&gt;"",$H214&lt;&gt;"",$I214&lt;&gt;"")),1,0))</f>
        <v/>
      </c>
      <c r="BO214" s="52" t="str">
        <f aca="false">IF(OR(COUNT(B214:D1213)=0,COUNT(G214:I1213)=0,'Choix pédagogiques'!C$3&lt;&gt;3),"",IF(AND('Choix pédagogiques'!$C$3=3,$B214&lt;&gt;"",$C214&lt;&gt;"",$D214&lt;&gt;"",$G214&lt;&gt;"",$H214&lt;&gt;"",$I214&lt;&gt;""),1,0))</f>
        <v/>
      </c>
      <c r="BR214" s="52" t="n">
        <v>745</v>
      </c>
      <c r="BS214" s="52" t="n">
        <v>1095</v>
      </c>
    </row>
    <row r="215" s="54" customFormat="true" ht="18" hidden="false" customHeight="true" outlineLevel="0" collapsed="false">
      <c r="A215" s="57" t="s">
        <v>361</v>
      </c>
      <c r="B215" s="51"/>
      <c r="C215" s="51"/>
      <c r="D215" s="51"/>
      <c r="E215" s="51"/>
      <c r="F215" s="57" t="s">
        <v>362</v>
      </c>
      <c r="G215" s="51"/>
      <c r="H215" s="51"/>
      <c r="I215" s="51"/>
      <c r="J215" s="51"/>
      <c r="K215" s="52" t="str">
        <f aca="false">IF($A215&lt;&gt;"",$A215,"")</f>
        <v>Apprenant 203</v>
      </c>
      <c r="L215" s="53" t="str">
        <f aca="false">IF(AND($B215&lt;&gt;"",$C215&lt;&gt;""),$C215-$B215,"")</f>
        <v/>
      </c>
      <c r="M215" s="53" t="str">
        <f aca="false">IF(AND($B215&lt;&gt;"",$D215&lt;&gt;""),$D215-$B215,"")</f>
        <v/>
      </c>
      <c r="N215" s="53" t="str">
        <f aca="false">IF(AND($C215&lt;&gt;"",$D215&lt;&gt;""),$D215-$C215,"")</f>
        <v/>
      </c>
      <c r="O215" s="53" t="str">
        <f aca="false">IF($E215&lt;&gt;"",$E215,"")</f>
        <v/>
      </c>
      <c r="P215" s="52" t="str">
        <f aca="false">IF($F215&lt;&gt;"",$F215,"")</f>
        <v>Apprenant 203 ou 203'</v>
      </c>
      <c r="Q215" s="53" t="str">
        <f aca="false">IF(AND($G215&lt;&gt;"",$H215&lt;&gt;""),$H215-$G215,"")</f>
        <v/>
      </c>
      <c r="R215" s="53" t="str">
        <f aca="false">IF(AND($G215&lt;&gt;"",$I215&lt;&gt;""),$I215-$G215,"")</f>
        <v/>
      </c>
      <c r="S215" s="53" t="str">
        <f aca="false">IF(AND($H215&lt;&gt;"",$I215&lt;&gt;""),$I215-$H215,"")</f>
        <v/>
      </c>
      <c r="T215" s="53" t="str">
        <f aca="false">IF($J215&lt;&gt;"",$J215,"")</f>
        <v/>
      </c>
      <c r="V215" s="52" t="str">
        <f aca="false">IF($A215&lt;&gt;"",$A215,"")</f>
        <v>Apprenant 203</v>
      </c>
      <c r="W215" s="53" t="str">
        <f aca="false">IF(AND(OR('Choix pédagogiques'!$C$3=1,'Choix pédagogiques'!$C$3=2),$BM215=1),B215,IF(AND('Choix pédagogiques'!$C$3=3,$BO215=1),B215,""))</f>
        <v/>
      </c>
      <c r="X215" s="53" t="str">
        <f aca="false">IF(AND(OR('Choix pédagogiques'!$C$3=1,'Choix pédagogiques'!$C$3=2),$BM215=1),C215,IF(AND('Choix pédagogiques'!$C$3=3,$BO215=1),C215,""))</f>
        <v/>
      </c>
      <c r="Y215" s="53" t="str">
        <f aca="false">IF(AND(OR('Choix pédagogiques'!$C$3=1,'Choix pédagogiques'!$C$3=2),$BM215=1),D215,IF(AND('Choix pédagogiques'!$C$3=3,$BO215=1),D215,""))</f>
        <v/>
      </c>
      <c r="Z215" s="53" t="str">
        <f aca="false">IF($E215&lt;&gt;"",$E215,"")</f>
        <v/>
      </c>
      <c r="AA215" s="52" t="str">
        <f aca="false">IF($F215&lt;&gt;"",$F215,"")</f>
        <v>Apprenant 203 ou 203'</v>
      </c>
      <c r="AB215" s="53" t="str">
        <f aca="false">IF(AND(OR('Choix pédagogiques'!$C$3=1,'Choix pédagogiques'!$C$3=2),$BN215=1),G215,IF(AND('Choix pédagogiques'!$C$3=3,$BO215=1),G215,""))</f>
        <v/>
      </c>
      <c r="AC215" s="53" t="str">
        <f aca="false">IF(AND(OR('Choix pédagogiques'!$C$3=1,'Choix pédagogiques'!$C$3=2),$BN215=1),H215,IF(AND('Choix pédagogiques'!$C$3=3,$BO215=1),H215,""))</f>
        <v/>
      </c>
      <c r="AD215" s="53" t="str">
        <f aca="false">IF(AND(OR('Choix pédagogiques'!$C$3=1,'Choix pédagogiques'!$C$3=2),$BN215=1),I215,IF(AND('Choix pédagogiques'!$C$3=3,$BO215=1),I215,""))</f>
        <v/>
      </c>
      <c r="AE215" s="53" t="str">
        <f aca="false">IF($J215&lt;&gt;"",$J215,"")</f>
        <v/>
      </c>
      <c r="AF215" s="52" t="str">
        <f aca="false">IF($A215&lt;&gt;"",$A215,"")</f>
        <v>Apprenant 203</v>
      </c>
      <c r="AG215" s="53" t="str">
        <f aca="false">IF(AND($W215&lt;&gt;"",$X215&lt;&gt;""),$X215-$W215,"")</f>
        <v/>
      </c>
      <c r="AH215" s="53" t="str">
        <f aca="false">IF(AND($W215&lt;&gt;"",$Y215&lt;&gt;""),$Y215-$W215,"")</f>
        <v/>
      </c>
      <c r="AI215" s="53" t="str">
        <f aca="false">IF(AND($X215&lt;&gt;"",$Y215&lt;&gt;""),$Y215-$X215,"")</f>
        <v/>
      </c>
      <c r="AJ215" s="53" t="str">
        <f aca="false">IF($E215&lt;&gt;"",$E215,"")</f>
        <v/>
      </c>
      <c r="AK215" s="52" t="str">
        <f aca="false">IF($F215&lt;&gt;"",$F215,"")</f>
        <v>Apprenant 203 ou 203'</v>
      </c>
      <c r="AL215" s="53" t="str">
        <f aca="false">IF(AND($AB215&lt;&gt;"",$AC215&lt;&gt;""),$AC215-$AB215,"")</f>
        <v/>
      </c>
      <c r="AM215" s="53" t="str">
        <f aca="false">IF(AND($AB215&lt;&gt;"",$AD215&lt;&gt;""),$AD215-$AB215,"")</f>
        <v/>
      </c>
      <c r="AN215" s="53" t="str">
        <f aca="false">IF(AND($AC215&lt;&gt;"",$AD215&lt;&gt;""),$AD215-$AC215,"")</f>
        <v/>
      </c>
      <c r="AO215" s="53" t="str">
        <f aca="false">IF($J215&lt;&gt;"",$J215,"")</f>
        <v/>
      </c>
      <c r="AQ215" s="52" t="str">
        <f aca="false">IF($A215&lt;&gt;"",$A215,"")</f>
        <v>Apprenant 203</v>
      </c>
      <c r="AR215" s="55" t="str">
        <f aca="false">IF(AND('Choix pédagogiques'!$C$4&lt;&gt;"?",'Choix pédagogiques'!$C$5&lt;&gt;"?",W215&lt;&gt;""),(W215-'Choix pédagogiques'!$C$4)/('Choix pédagogiques'!$C$5-'Choix pédagogiques'!$C$4),"")</f>
        <v/>
      </c>
      <c r="AS215" s="55" t="str">
        <f aca="false">IF(AND('Choix pédagogiques'!$C$4&lt;&gt;"?",'Choix pédagogiques'!$C$5&lt;&gt;"?",X215&lt;&gt;""),(X215-'Choix pédagogiques'!$C$4)/('Choix pédagogiques'!$C$5-'Choix pédagogiques'!$C$4),"")</f>
        <v/>
      </c>
      <c r="AT215" s="55" t="str">
        <f aca="false">IF(AND('Choix pédagogiques'!$C$4&lt;&gt;"?",'Choix pédagogiques'!$C$5&lt;&gt;"?",Y215&lt;&gt;""),(Y215-'Choix pédagogiques'!$C$4)/('Choix pédagogiques'!$C$5-'Choix pédagogiques'!$C$4),"")</f>
        <v/>
      </c>
      <c r="AU215" s="53" t="str">
        <f aca="false">IF($E215&lt;&gt;"",$E215,"")</f>
        <v/>
      </c>
      <c r="AV215" s="52" t="str">
        <f aca="false">IF($F215&lt;&gt;"",$F215,"")</f>
        <v>Apprenant 203 ou 203'</v>
      </c>
      <c r="AW215" s="55" t="str">
        <f aca="false">IF(AND('Choix pédagogiques'!$C$4&lt;&gt;"?",'Choix pédagogiques'!$C$5&lt;&gt;"?",AB215&lt;&gt;""),(AB215-'Choix pédagogiques'!$C$4)/('Choix pédagogiques'!$C$5-'Choix pédagogiques'!$C$4),"")</f>
        <v/>
      </c>
      <c r="AX215" s="55" t="str">
        <f aca="false">IF(AND('Choix pédagogiques'!$C$4&lt;&gt;"?",'Choix pédagogiques'!$C$5&lt;&gt;"?",AC215&lt;&gt;""),(AC215-'Choix pédagogiques'!$C$4)/('Choix pédagogiques'!$C$5-'Choix pédagogiques'!$C$4),"")</f>
        <v/>
      </c>
      <c r="AY215" s="55" t="str">
        <f aca="false">IF(AND('Choix pédagogiques'!$C$4&lt;&gt;"?",'Choix pédagogiques'!$C$5&lt;&gt;"?",AD215&lt;&gt;""),(AD215-'Choix pédagogiques'!$C$4)/('Choix pédagogiques'!$C$5-'Choix pédagogiques'!$C$4),"")</f>
        <v/>
      </c>
      <c r="AZ215" s="53" t="str">
        <f aca="false">IF($J215&lt;&gt;"",$J215,"")</f>
        <v/>
      </c>
      <c r="BA215" s="52" t="str">
        <f aca="false">IF($A215&lt;&gt;"",$A215,"")</f>
        <v>Apprenant 203</v>
      </c>
      <c r="BB215" s="55" t="str">
        <f aca="false">IF(AND($AR215&lt;&gt;"",$AS215&lt;&gt;""),$AS215-$AR215,"")</f>
        <v/>
      </c>
      <c r="BC215" s="55" t="str">
        <f aca="false">IF(AND($AR215&lt;&gt;"",$AT215&lt;&gt;""),$AT215-$AR215,"")</f>
        <v/>
      </c>
      <c r="BD215" s="55" t="str">
        <f aca="false">IF(AND($AS215&lt;&gt;"",$AT215&lt;&gt;""),$AT215-$AS215,"")</f>
        <v/>
      </c>
      <c r="BE215" s="53" t="str">
        <f aca="false">IF($E215&lt;&gt;"",$E215,"")</f>
        <v/>
      </c>
      <c r="BF215" s="52" t="str">
        <f aca="false">IF($F215&lt;&gt;"",$F215,"")</f>
        <v>Apprenant 203 ou 203'</v>
      </c>
      <c r="BG215" s="55" t="str">
        <f aca="false">IF(AND($AW215&lt;&gt;"",$AX215&lt;&gt;""),$AX215-$AW215,"")</f>
        <v/>
      </c>
      <c r="BH215" s="55" t="str">
        <f aca="false">IF(AND($AW215&lt;&gt;"",$AY215&lt;&gt;""),$AY215-$AW215,"")</f>
        <v/>
      </c>
      <c r="BI215" s="55" t="str">
        <f aca="false">IF(AND($AX215&lt;&gt;"",$AY215&lt;&gt;""),$AY215-$AX215,"")</f>
        <v/>
      </c>
      <c r="BJ215" s="53" t="str">
        <f aca="false">IF($J215&lt;&gt;"",$J215,"")</f>
        <v/>
      </c>
      <c r="BL215" s="52"/>
      <c r="BM215" s="52" t="str">
        <f aca="false">IF(OR(COUNT(B215:D1214)=0,AND('Choix pédagogiques'!$C$3&lt;&gt;1,'Choix pédagogiques'!$C$3&lt;&gt;2)),"",IF(AND(OR('Choix pédagogiques'!$C$3=1,'Choix pédagogiques'!$C$3=2),$B215&lt;&gt;"",$C215&lt;&gt;"",$D215&lt;&gt;""),1,0))</f>
        <v/>
      </c>
      <c r="BN215" s="52" t="str">
        <f aca="false">IF(OR(COUNT(G215:I1214)=0,AND('Choix pédagogiques'!$C$3&lt;&gt;1,'Choix pédagogiques'!$C$3&lt;&gt;2)),"",IF(AND(OR('Choix pédagogiques'!$C$3=1,'Choix pédagogiques'!$C$3=2),AND($G215&lt;&gt;"",$H215&lt;&gt;"",$I215&lt;&gt;"")),1,0))</f>
        <v/>
      </c>
      <c r="BO215" s="52" t="str">
        <f aca="false">IF(OR(COUNT(B215:D1214)=0,COUNT(G215:I1214)=0,'Choix pédagogiques'!C$3&lt;&gt;3),"",IF(AND('Choix pédagogiques'!$C$3=3,$B215&lt;&gt;"",$C215&lt;&gt;"",$D215&lt;&gt;"",$G215&lt;&gt;"",$H215&lt;&gt;"",$I215&lt;&gt;""),1,0))</f>
        <v/>
      </c>
      <c r="BR215" s="52" t="n">
        <v>867</v>
      </c>
      <c r="BS215" s="52" t="n">
        <v>1800</v>
      </c>
    </row>
    <row r="216" s="54" customFormat="true" ht="18" hidden="false" customHeight="true" outlineLevel="0" collapsed="false">
      <c r="A216" s="57" t="s">
        <v>363</v>
      </c>
      <c r="B216" s="51"/>
      <c r="C216" s="51"/>
      <c r="D216" s="51"/>
      <c r="E216" s="51"/>
      <c r="F216" s="57" t="s">
        <v>364</v>
      </c>
      <c r="G216" s="51"/>
      <c r="H216" s="51"/>
      <c r="I216" s="51"/>
      <c r="J216" s="51"/>
      <c r="K216" s="52" t="str">
        <f aca="false">IF($A216&lt;&gt;"",$A216,"")</f>
        <v>Apprenant 204</v>
      </c>
      <c r="L216" s="53" t="str">
        <f aca="false">IF(AND($B216&lt;&gt;"",$C216&lt;&gt;""),$C216-$B216,"")</f>
        <v/>
      </c>
      <c r="M216" s="53" t="str">
        <f aca="false">IF(AND($B216&lt;&gt;"",$D216&lt;&gt;""),$D216-$B216,"")</f>
        <v/>
      </c>
      <c r="N216" s="53" t="str">
        <f aca="false">IF(AND($C216&lt;&gt;"",$D216&lt;&gt;""),$D216-$C216,"")</f>
        <v/>
      </c>
      <c r="O216" s="53" t="str">
        <f aca="false">IF($E216&lt;&gt;"",$E216,"")</f>
        <v/>
      </c>
      <c r="P216" s="52" t="str">
        <f aca="false">IF($F216&lt;&gt;"",$F216,"")</f>
        <v>Apprenant 204 ou 204'</v>
      </c>
      <c r="Q216" s="53" t="str">
        <f aca="false">IF(AND($G216&lt;&gt;"",$H216&lt;&gt;""),$H216-$G216,"")</f>
        <v/>
      </c>
      <c r="R216" s="53" t="str">
        <f aca="false">IF(AND($G216&lt;&gt;"",$I216&lt;&gt;""),$I216-$G216,"")</f>
        <v/>
      </c>
      <c r="S216" s="53" t="str">
        <f aca="false">IF(AND($H216&lt;&gt;"",$I216&lt;&gt;""),$I216-$H216,"")</f>
        <v/>
      </c>
      <c r="T216" s="53" t="str">
        <f aca="false">IF($J216&lt;&gt;"",$J216,"")</f>
        <v/>
      </c>
      <c r="V216" s="52" t="str">
        <f aca="false">IF($A216&lt;&gt;"",$A216,"")</f>
        <v>Apprenant 204</v>
      </c>
      <c r="W216" s="53" t="str">
        <f aca="false">IF(AND(OR('Choix pédagogiques'!$C$3=1,'Choix pédagogiques'!$C$3=2),$BM216=1),B216,IF(AND('Choix pédagogiques'!$C$3=3,$BO216=1),B216,""))</f>
        <v/>
      </c>
      <c r="X216" s="53" t="str">
        <f aca="false">IF(AND(OR('Choix pédagogiques'!$C$3=1,'Choix pédagogiques'!$C$3=2),$BM216=1),C216,IF(AND('Choix pédagogiques'!$C$3=3,$BO216=1),C216,""))</f>
        <v/>
      </c>
      <c r="Y216" s="53" t="str">
        <f aca="false">IF(AND(OR('Choix pédagogiques'!$C$3=1,'Choix pédagogiques'!$C$3=2),$BM216=1),D216,IF(AND('Choix pédagogiques'!$C$3=3,$BO216=1),D216,""))</f>
        <v/>
      </c>
      <c r="Z216" s="53" t="str">
        <f aca="false">IF($E216&lt;&gt;"",$E216,"")</f>
        <v/>
      </c>
      <c r="AA216" s="52" t="str">
        <f aca="false">IF($F216&lt;&gt;"",$F216,"")</f>
        <v>Apprenant 204 ou 204'</v>
      </c>
      <c r="AB216" s="53" t="str">
        <f aca="false">IF(AND(OR('Choix pédagogiques'!$C$3=1,'Choix pédagogiques'!$C$3=2),$BN216=1),G216,IF(AND('Choix pédagogiques'!$C$3=3,$BO216=1),G216,""))</f>
        <v/>
      </c>
      <c r="AC216" s="53" t="str">
        <f aca="false">IF(AND(OR('Choix pédagogiques'!$C$3=1,'Choix pédagogiques'!$C$3=2),$BN216=1),H216,IF(AND('Choix pédagogiques'!$C$3=3,$BO216=1),H216,""))</f>
        <v/>
      </c>
      <c r="AD216" s="53" t="str">
        <f aca="false">IF(AND(OR('Choix pédagogiques'!$C$3=1,'Choix pédagogiques'!$C$3=2),$BN216=1),I216,IF(AND('Choix pédagogiques'!$C$3=3,$BO216=1),I216,""))</f>
        <v/>
      </c>
      <c r="AE216" s="53" t="str">
        <f aca="false">IF($J216&lt;&gt;"",$J216,"")</f>
        <v/>
      </c>
      <c r="AF216" s="52" t="str">
        <f aca="false">IF($A216&lt;&gt;"",$A216,"")</f>
        <v>Apprenant 204</v>
      </c>
      <c r="AG216" s="53" t="str">
        <f aca="false">IF(AND($W216&lt;&gt;"",$X216&lt;&gt;""),$X216-$W216,"")</f>
        <v/>
      </c>
      <c r="AH216" s="53" t="str">
        <f aca="false">IF(AND($W216&lt;&gt;"",$Y216&lt;&gt;""),$Y216-$W216,"")</f>
        <v/>
      </c>
      <c r="AI216" s="53" t="str">
        <f aca="false">IF(AND($X216&lt;&gt;"",$Y216&lt;&gt;""),$Y216-$X216,"")</f>
        <v/>
      </c>
      <c r="AJ216" s="53" t="str">
        <f aca="false">IF($E216&lt;&gt;"",$E216,"")</f>
        <v/>
      </c>
      <c r="AK216" s="52" t="str">
        <f aca="false">IF($F216&lt;&gt;"",$F216,"")</f>
        <v>Apprenant 204 ou 204'</v>
      </c>
      <c r="AL216" s="53" t="str">
        <f aca="false">IF(AND($AB216&lt;&gt;"",$AC216&lt;&gt;""),$AC216-$AB216,"")</f>
        <v/>
      </c>
      <c r="AM216" s="53" t="str">
        <f aca="false">IF(AND($AB216&lt;&gt;"",$AD216&lt;&gt;""),$AD216-$AB216,"")</f>
        <v/>
      </c>
      <c r="AN216" s="53" t="str">
        <f aca="false">IF(AND($AC216&lt;&gt;"",$AD216&lt;&gt;""),$AD216-$AC216,"")</f>
        <v/>
      </c>
      <c r="AO216" s="53" t="str">
        <f aca="false">IF($J216&lt;&gt;"",$J216,"")</f>
        <v/>
      </c>
      <c r="AQ216" s="52" t="str">
        <f aca="false">IF($A216&lt;&gt;"",$A216,"")</f>
        <v>Apprenant 204</v>
      </c>
      <c r="AR216" s="55" t="str">
        <f aca="false">IF(AND('Choix pédagogiques'!$C$4&lt;&gt;"?",'Choix pédagogiques'!$C$5&lt;&gt;"?",W216&lt;&gt;""),(W216-'Choix pédagogiques'!$C$4)/('Choix pédagogiques'!$C$5-'Choix pédagogiques'!$C$4),"")</f>
        <v/>
      </c>
      <c r="AS216" s="55" t="str">
        <f aca="false">IF(AND('Choix pédagogiques'!$C$4&lt;&gt;"?",'Choix pédagogiques'!$C$5&lt;&gt;"?",X216&lt;&gt;""),(X216-'Choix pédagogiques'!$C$4)/('Choix pédagogiques'!$C$5-'Choix pédagogiques'!$C$4),"")</f>
        <v/>
      </c>
      <c r="AT216" s="55" t="str">
        <f aca="false">IF(AND('Choix pédagogiques'!$C$4&lt;&gt;"?",'Choix pédagogiques'!$C$5&lt;&gt;"?",Y216&lt;&gt;""),(Y216-'Choix pédagogiques'!$C$4)/('Choix pédagogiques'!$C$5-'Choix pédagogiques'!$C$4),"")</f>
        <v/>
      </c>
      <c r="AU216" s="53" t="str">
        <f aca="false">IF($E216&lt;&gt;"",$E216,"")</f>
        <v/>
      </c>
      <c r="AV216" s="52" t="str">
        <f aca="false">IF($F216&lt;&gt;"",$F216,"")</f>
        <v>Apprenant 204 ou 204'</v>
      </c>
      <c r="AW216" s="55" t="str">
        <f aca="false">IF(AND('Choix pédagogiques'!$C$4&lt;&gt;"?",'Choix pédagogiques'!$C$5&lt;&gt;"?",AB216&lt;&gt;""),(AB216-'Choix pédagogiques'!$C$4)/('Choix pédagogiques'!$C$5-'Choix pédagogiques'!$C$4),"")</f>
        <v/>
      </c>
      <c r="AX216" s="55" t="str">
        <f aca="false">IF(AND('Choix pédagogiques'!$C$4&lt;&gt;"?",'Choix pédagogiques'!$C$5&lt;&gt;"?",AC216&lt;&gt;""),(AC216-'Choix pédagogiques'!$C$4)/('Choix pédagogiques'!$C$5-'Choix pédagogiques'!$C$4),"")</f>
        <v/>
      </c>
      <c r="AY216" s="55" t="str">
        <f aca="false">IF(AND('Choix pédagogiques'!$C$4&lt;&gt;"?",'Choix pédagogiques'!$C$5&lt;&gt;"?",AD216&lt;&gt;""),(AD216-'Choix pédagogiques'!$C$4)/('Choix pédagogiques'!$C$5-'Choix pédagogiques'!$C$4),"")</f>
        <v/>
      </c>
      <c r="AZ216" s="53" t="str">
        <f aca="false">IF($J216&lt;&gt;"",$J216,"")</f>
        <v/>
      </c>
      <c r="BA216" s="52" t="str">
        <f aca="false">IF($A216&lt;&gt;"",$A216,"")</f>
        <v>Apprenant 204</v>
      </c>
      <c r="BB216" s="55" t="str">
        <f aca="false">IF(AND($AR216&lt;&gt;"",$AS216&lt;&gt;""),$AS216-$AR216,"")</f>
        <v/>
      </c>
      <c r="BC216" s="55" t="str">
        <f aca="false">IF(AND($AR216&lt;&gt;"",$AT216&lt;&gt;""),$AT216-$AR216,"")</f>
        <v/>
      </c>
      <c r="BD216" s="55" t="str">
        <f aca="false">IF(AND($AS216&lt;&gt;"",$AT216&lt;&gt;""),$AT216-$AS216,"")</f>
        <v/>
      </c>
      <c r="BE216" s="53" t="str">
        <f aca="false">IF($E216&lt;&gt;"",$E216,"")</f>
        <v/>
      </c>
      <c r="BF216" s="52" t="str">
        <f aca="false">IF($F216&lt;&gt;"",$F216,"")</f>
        <v>Apprenant 204 ou 204'</v>
      </c>
      <c r="BG216" s="55" t="str">
        <f aca="false">IF(AND($AW216&lt;&gt;"",$AX216&lt;&gt;""),$AX216-$AW216,"")</f>
        <v/>
      </c>
      <c r="BH216" s="55" t="str">
        <f aca="false">IF(AND($AW216&lt;&gt;"",$AY216&lt;&gt;""),$AY216-$AW216,"")</f>
        <v/>
      </c>
      <c r="BI216" s="55" t="str">
        <f aca="false">IF(AND($AX216&lt;&gt;"",$AY216&lt;&gt;""),$AY216-$AX216,"")</f>
        <v/>
      </c>
      <c r="BJ216" s="53" t="str">
        <f aca="false">IF($J216&lt;&gt;"",$J216,"")</f>
        <v/>
      </c>
      <c r="BL216" s="52"/>
      <c r="BM216" s="52" t="str">
        <f aca="false">IF(OR(COUNT(B216:D1215)=0,AND('Choix pédagogiques'!$C$3&lt;&gt;1,'Choix pédagogiques'!$C$3&lt;&gt;2)),"",IF(AND(OR('Choix pédagogiques'!$C$3=1,'Choix pédagogiques'!$C$3=2),$B216&lt;&gt;"",$C216&lt;&gt;"",$D216&lt;&gt;""),1,0))</f>
        <v/>
      </c>
      <c r="BN216" s="52" t="str">
        <f aca="false">IF(OR(COUNT(G216:I1215)=0,AND('Choix pédagogiques'!$C$3&lt;&gt;1,'Choix pédagogiques'!$C$3&lt;&gt;2)),"",IF(AND(OR('Choix pédagogiques'!$C$3=1,'Choix pédagogiques'!$C$3=2),AND($G216&lt;&gt;"",$H216&lt;&gt;"",$I216&lt;&gt;"")),1,0))</f>
        <v/>
      </c>
      <c r="BO216" s="52" t="str">
        <f aca="false">IF(OR(COUNT(B216:D1215)=0,COUNT(G216:I1215)=0,'Choix pédagogiques'!C$3&lt;&gt;3),"",IF(AND('Choix pédagogiques'!$C$3=3,$B216&lt;&gt;"",$C216&lt;&gt;"",$D216&lt;&gt;"",$G216&lt;&gt;"",$H216&lt;&gt;"",$I216&lt;&gt;""),1,0))</f>
        <v/>
      </c>
      <c r="BR216" s="52" t="n">
        <v>935</v>
      </c>
      <c r="BS216" s="52" t="n">
        <v>1961</v>
      </c>
    </row>
    <row r="217" s="54" customFormat="true" ht="18" hidden="false" customHeight="true" outlineLevel="0" collapsed="false">
      <c r="A217" s="57" t="s">
        <v>365</v>
      </c>
      <c r="B217" s="51"/>
      <c r="C217" s="51"/>
      <c r="D217" s="51"/>
      <c r="E217" s="51"/>
      <c r="F217" s="57" t="s">
        <v>366</v>
      </c>
      <c r="G217" s="51"/>
      <c r="H217" s="51"/>
      <c r="I217" s="51"/>
      <c r="J217" s="51"/>
      <c r="K217" s="52" t="str">
        <f aca="false">IF($A217&lt;&gt;"",$A217,"")</f>
        <v>Apprenant 205</v>
      </c>
      <c r="L217" s="53" t="str">
        <f aca="false">IF(AND($B217&lt;&gt;"",$C217&lt;&gt;""),$C217-$B217,"")</f>
        <v/>
      </c>
      <c r="M217" s="53" t="str">
        <f aca="false">IF(AND($B217&lt;&gt;"",$D217&lt;&gt;""),$D217-$B217,"")</f>
        <v/>
      </c>
      <c r="N217" s="53" t="str">
        <f aca="false">IF(AND($C217&lt;&gt;"",$D217&lt;&gt;""),$D217-$C217,"")</f>
        <v/>
      </c>
      <c r="O217" s="53" t="str">
        <f aca="false">IF($E217&lt;&gt;"",$E217,"")</f>
        <v/>
      </c>
      <c r="P217" s="52" t="str">
        <f aca="false">IF($F217&lt;&gt;"",$F217,"")</f>
        <v>Apprenant 205 ou 205'</v>
      </c>
      <c r="Q217" s="53" t="str">
        <f aca="false">IF(AND($G217&lt;&gt;"",$H217&lt;&gt;""),$H217-$G217,"")</f>
        <v/>
      </c>
      <c r="R217" s="53" t="str">
        <f aca="false">IF(AND($G217&lt;&gt;"",$I217&lt;&gt;""),$I217-$G217,"")</f>
        <v/>
      </c>
      <c r="S217" s="53" t="str">
        <f aca="false">IF(AND($H217&lt;&gt;"",$I217&lt;&gt;""),$I217-$H217,"")</f>
        <v/>
      </c>
      <c r="T217" s="53" t="str">
        <f aca="false">IF($J217&lt;&gt;"",$J217,"")</f>
        <v/>
      </c>
      <c r="V217" s="52" t="str">
        <f aca="false">IF($A217&lt;&gt;"",$A217,"")</f>
        <v>Apprenant 205</v>
      </c>
      <c r="W217" s="53" t="str">
        <f aca="false">IF(AND(OR('Choix pédagogiques'!$C$3=1,'Choix pédagogiques'!$C$3=2),$BM217=1),B217,IF(AND('Choix pédagogiques'!$C$3=3,$BO217=1),B217,""))</f>
        <v/>
      </c>
      <c r="X217" s="53" t="str">
        <f aca="false">IF(AND(OR('Choix pédagogiques'!$C$3=1,'Choix pédagogiques'!$C$3=2),$BM217=1),C217,IF(AND('Choix pédagogiques'!$C$3=3,$BO217=1),C217,""))</f>
        <v/>
      </c>
      <c r="Y217" s="53" t="str">
        <f aca="false">IF(AND(OR('Choix pédagogiques'!$C$3=1,'Choix pédagogiques'!$C$3=2),$BM217=1),D217,IF(AND('Choix pédagogiques'!$C$3=3,$BO217=1),D217,""))</f>
        <v/>
      </c>
      <c r="Z217" s="53" t="str">
        <f aca="false">IF($E217&lt;&gt;"",$E217,"")</f>
        <v/>
      </c>
      <c r="AA217" s="52" t="str">
        <f aca="false">IF($F217&lt;&gt;"",$F217,"")</f>
        <v>Apprenant 205 ou 205'</v>
      </c>
      <c r="AB217" s="53" t="str">
        <f aca="false">IF(AND(OR('Choix pédagogiques'!$C$3=1,'Choix pédagogiques'!$C$3=2),$BN217=1),G217,IF(AND('Choix pédagogiques'!$C$3=3,$BO217=1),G217,""))</f>
        <v/>
      </c>
      <c r="AC217" s="53" t="str">
        <f aca="false">IF(AND(OR('Choix pédagogiques'!$C$3=1,'Choix pédagogiques'!$C$3=2),$BN217=1),H217,IF(AND('Choix pédagogiques'!$C$3=3,$BO217=1),H217,""))</f>
        <v/>
      </c>
      <c r="AD217" s="53" t="str">
        <f aca="false">IF(AND(OR('Choix pédagogiques'!$C$3=1,'Choix pédagogiques'!$C$3=2),$BN217=1),I217,IF(AND('Choix pédagogiques'!$C$3=3,$BO217=1),I217,""))</f>
        <v/>
      </c>
      <c r="AE217" s="53" t="str">
        <f aca="false">IF($J217&lt;&gt;"",$J217,"")</f>
        <v/>
      </c>
      <c r="AF217" s="52" t="str">
        <f aca="false">IF($A217&lt;&gt;"",$A217,"")</f>
        <v>Apprenant 205</v>
      </c>
      <c r="AG217" s="53" t="str">
        <f aca="false">IF(AND($W217&lt;&gt;"",$X217&lt;&gt;""),$X217-$W217,"")</f>
        <v/>
      </c>
      <c r="AH217" s="53" t="str">
        <f aca="false">IF(AND($W217&lt;&gt;"",$Y217&lt;&gt;""),$Y217-$W217,"")</f>
        <v/>
      </c>
      <c r="AI217" s="53" t="str">
        <f aca="false">IF(AND($X217&lt;&gt;"",$Y217&lt;&gt;""),$Y217-$X217,"")</f>
        <v/>
      </c>
      <c r="AJ217" s="53" t="str">
        <f aca="false">IF($E217&lt;&gt;"",$E217,"")</f>
        <v/>
      </c>
      <c r="AK217" s="52" t="str">
        <f aca="false">IF($F217&lt;&gt;"",$F217,"")</f>
        <v>Apprenant 205 ou 205'</v>
      </c>
      <c r="AL217" s="53" t="str">
        <f aca="false">IF(AND($AB217&lt;&gt;"",$AC217&lt;&gt;""),$AC217-$AB217,"")</f>
        <v/>
      </c>
      <c r="AM217" s="53" t="str">
        <f aca="false">IF(AND($AB217&lt;&gt;"",$AD217&lt;&gt;""),$AD217-$AB217,"")</f>
        <v/>
      </c>
      <c r="AN217" s="53" t="str">
        <f aca="false">IF(AND($AC217&lt;&gt;"",$AD217&lt;&gt;""),$AD217-$AC217,"")</f>
        <v/>
      </c>
      <c r="AO217" s="53" t="str">
        <f aca="false">IF($J217&lt;&gt;"",$J217,"")</f>
        <v/>
      </c>
      <c r="AQ217" s="52" t="str">
        <f aca="false">IF($A217&lt;&gt;"",$A217,"")</f>
        <v>Apprenant 205</v>
      </c>
      <c r="AR217" s="55" t="str">
        <f aca="false">IF(AND('Choix pédagogiques'!$C$4&lt;&gt;"?",'Choix pédagogiques'!$C$5&lt;&gt;"?",W217&lt;&gt;""),(W217-'Choix pédagogiques'!$C$4)/('Choix pédagogiques'!$C$5-'Choix pédagogiques'!$C$4),"")</f>
        <v/>
      </c>
      <c r="AS217" s="55" t="str">
        <f aca="false">IF(AND('Choix pédagogiques'!$C$4&lt;&gt;"?",'Choix pédagogiques'!$C$5&lt;&gt;"?",X217&lt;&gt;""),(X217-'Choix pédagogiques'!$C$4)/('Choix pédagogiques'!$C$5-'Choix pédagogiques'!$C$4),"")</f>
        <v/>
      </c>
      <c r="AT217" s="55" t="str">
        <f aca="false">IF(AND('Choix pédagogiques'!$C$4&lt;&gt;"?",'Choix pédagogiques'!$C$5&lt;&gt;"?",Y217&lt;&gt;""),(Y217-'Choix pédagogiques'!$C$4)/('Choix pédagogiques'!$C$5-'Choix pédagogiques'!$C$4),"")</f>
        <v/>
      </c>
      <c r="AU217" s="53" t="str">
        <f aca="false">IF($E217&lt;&gt;"",$E217,"")</f>
        <v/>
      </c>
      <c r="AV217" s="52" t="str">
        <f aca="false">IF($F217&lt;&gt;"",$F217,"")</f>
        <v>Apprenant 205 ou 205'</v>
      </c>
      <c r="AW217" s="55" t="str">
        <f aca="false">IF(AND('Choix pédagogiques'!$C$4&lt;&gt;"?",'Choix pédagogiques'!$C$5&lt;&gt;"?",AB217&lt;&gt;""),(AB217-'Choix pédagogiques'!$C$4)/('Choix pédagogiques'!$C$5-'Choix pédagogiques'!$C$4),"")</f>
        <v/>
      </c>
      <c r="AX217" s="55" t="str">
        <f aca="false">IF(AND('Choix pédagogiques'!$C$4&lt;&gt;"?",'Choix pédagogiques'!$C$5&lt;&gt;"?",AC217&lt;&gt;""),(AC217-'Choix pédagogiques'!$C$4)/('Choix pédagogiques'!$C$5-'Choix pédagogiques'!$C$4),"")</f>
        <v/>
      </c>
      <c r="AY217" s="55" t="str">
        <f aca="false">IF(AND('Choix pédagogiques'!$C$4&lt;&gt;"?",'Choix pédagogiques'!$C$5&lt;&gt;"?",AD217&lt;&gt;""),(AD217-'Choix pédagogiques'!$C$4)/('Choix pédagogiques'!$C$5-'Choix pédagogiques'!$C$4),"")</f>
        <v/>
      </c>
      <c r="AZ217" s="53" t="str">
        <f aca="false">IF($J217&lt;&gt;"",$J217,"")</f>
        <v/>
      </c>
      <c r="BA217" s="52" t="str">
        <f aca="false">IF($A217&lt;&gt;"",$A217,"")</f>
        <v>Apprenant 205</v>
      </c>
      <c r="BB217" s="55" t="str">
        <f aca="false">IF(AND($AR217&lt;&gt;"",$AS217&lt;&gt;""),$AS217-$AR217,"")</f>
        <v/>
      </c>
      <c r="BC217" s="55" t="str">
        <f aca="false">IF(AND($AR217&lt;&gt;"",$AT217&lt;&gt;""),$AT217-$AR217,"")</f>
        <v/>
      </c>
      <c r="BD217" s="55" t="str">
        <f aca="false">IF(AND($AS217&lt;&gt;"",$AT217&lt;&gt;""),$AT217-$AS217,"")</f>
        <v/>
      </c>
      <c r="BE217" s="53" t="str">
        <f aca="false">IF($E217&lt;&gt;"",$E217,"")</f>
        <v/>
      </c>
      <c r="BF217" s="52" t="str">
        <f aca="false">IF($F217&lt;&gt;"",$F217,"")</f>
        <v>Apprenant 205 ou 205'</v>
      </c>
      <c r="BG217" s="55" t="str">
        <f aca="false">IF(AND($AW217&lt;&gt;"",$AX217&lt;&gt;""),$AX217-$AW217,"")</f>
        <v/>
      </c>
      <c r="BH217" s="55" t="str">
        <f aca="false">IF(AND($AW217&lt;&gt;"",$AY217&lt;&gt;""),$AY217-$AW217,"")</f>
        <v/>
      </c>
      <c r="BI217" s="55" t="str">
        <f aca="false">IF(AND($AX217&lt;&gt;"",$AY217&lt;&gt;""),$AY217-$AX217,"")</f>
        <v/>
      </c>
      <c r="BJ217" s="53" t="str">
        <f aca="false">IF($J217&lt;&gt;"",$J217,"")</f>
        <v/>
      </c>
      <c r="BL217" s="52"/>
      <c r="BM217" s="52" t="str">
        <f aca="false">IF(OR(COUNT(B217:D1216)=0,AND('Choix pédagogiques'!$C$3&lt;&gt;1,'Choix pédagogiques'!$C$3&lt;&gt;2)),"",IF(AND(OR('Choix pédagogiques'!$C$3=1,'Choix pédagogiques'!$C$3=2),$B217&lt;&gt;"",$C217&lt;&gt;"",$D217&lt;&gt;""),1,0))</f>
        <v/>
      </c>
      <c r="BN217" s="52" t="str">
        <f aca="false">IF(OR(COUNT(G217:I1216)=0,AND('Choix pédagogiques'!$C$3&lt;&gt;1,'Choix pédagogiques'!$C$3&lt;&gt;2)),"",IF(AND(OR('Choix pédagogiques'!$C$3=1,'Choix pédagogiques'!$C$3=2),AND($G217&lt;&gt;"",$H217&lt;&gt;"",$I217&lt;&gt;"")),1,0))</f>
        <v/>
      </c>
      <c r="BO217" s="52" t="str">
        <f aca="false">IF(OR(COUNT(B217:D1216)=0,COUNT(G217:I1216)=0,'Choix pédagogiques'!C$3&lt;&gt;3),"",IF(AND('Choix pédagogiques'!$C$3=3,$B217&lt;&gt;"",$C217&lt;&gt;"",$D217&lt;&gt;"",$G217&lt;&gt;"",$H217&lt;&gt;"",$I217&lt;&gt;""),1,0))</f>
        <v/>
      </c>
      <c r="BR217" s="52" t="n">
        <v>823</v>
      </c>
      <c r="BS217" s="52" t="n">
        <v>1590</v>
      </c>
    </row>
    <row r="218" s="54" customFormat="true" ht="18" hidden="false" customHeight="true" outlineLevel="0" collapsed="false">
      <c r="A218" s="57" t="s">
        <v>367</v>
      </c>
      <c r="B218" s="51"/>
      <c r="C218" s="51"/>
      <c r="D218" s="51"/>
      <c r="E218" s="51"/>
      <c r="F218" s="57" t="s">
        <v>368</v>
      </c>
      <c r="G218" s="51"/>
      <c r="H218" s="51"/>
      <c r="I218" s="51"/>
      <c r="J218" s="51"/>
      <c r="K218" s="52" t="str">
        <f aca="false">IF($A218&lt;&gt;"",$A218,"")</f>
        <v>Apprenant 206</v>
      </c>
      <c r="L218" s="53" t="str">
        <f aca="false">IF(AND($B218&lt;&gt;"",$C218&lt;&gt;""),$C218-$B218,"")</f>
        <v/>
      </c>
      <c r="M218" s="53" t="str">
        <f aca="false">IF(AND($B218&lt;&gt;"",$D218&lt;&gt;""),$D218-$B218,"")</f>
        <v/>
      </c>
      <c r="N218" s="53" t="str">
        <f aca="false">IF(AND($C218&lt;&gt;"",$D218&lt;&gt;""),$D218-$C218,"")</f>
        <v/>
      </c>
      <c r="O218" s="53" t="str">
        <f aca="false">IF($E218&lt;&gt;"",$E218,"")</f>
        <v/>
      </c>
      <c r="P218" s="52" t="str">
        <f aca="false">IF($F218&lt;&gt;"",$F218,"")</f>
        <v>Apprenant 206 ou 206'</v>
      </c>
      <c r="Q218" s="53" t="str">
        <f aca="false">IF(AND($G218&lt;&gt;"",$H218&lt;&gt;""),$H218-$G218,"")</f>
        <v/>
      </c>
      <c r="R218" s="53" t="str">
        <f aca="false">IF(AND($G218&lt;&gt;"",$I218&lt;&gt;""),$I218-$G218,"")</f>
        <v/>
      </c>
      <c r="S218" s="53" t="str">
        <f aca="false">IF(AND($H218&lt;&gt;"",$I218&lt;&gt;""),$I218-$H218,"")</f>
        <v/>
      </c>
      <c r="T218" s="53" t="str">
        <f aca="false">IF($J218&lt;&gt;"",$J218,"")</f>
        <v/>
      </c>
      <c r="V218" s="52" t="str">
        <f aca="false">IF($A218&lt;&gt;"",$A218,"")</f>
        <v>Apprenant 206</v>
      </c>
      <c r="W218" s="53" t="str">
        <f aca="false">IF(AND(OR('Choix pédagogiques'!$C$3=1,'Choix pédagogiques'!$C$3=2),$BM218=1),B218,IF(AND('Choix pédagogiques'!$C$3=3,$BO218=1),B218,""))</f>
        <v/>
      </c>
      <c r="X218" s="53" t="str">
        <f aca="false">IF(AND(OR('Choix pédagogiques'!$C$3=1,'Choix pédagogiques'!$C$3=2),$BM218=1),C218,IF(AND('Choix pédagogiques'!$C$3=3,$BO218=1),C218,""))</f>
        <v/>
      </c>
      <c r="Y218" s="53" t="str">
        <f aca="false">IF(AND(OR('Choix pédagogiques'!$C$3=1,'Choix pédagogiques'!$C$3=2),$BM218=1),D218,IF(AND('Choix pédagogiques'!$C$3=3,$BO218=1),D218,""))</f>
        <v/>
      </c>
      <c r="Z218" s="53" t="str">
        <f aca="false">IF($E218&lt;&gt;"",$E218,"")</f>
        <v/>
      </c>
      <c r="AA218" s="52" t="str">
        <f aca="false">IF($F218&lt;&gt;"",$F218,"")</f>
        <v>Apprenant 206 ou 206'</v>
      </c>
      <c r="AB218" s="53" t="str">
        <f aca="false">IF(AND(OR('Choix pédagogiques'!$C$3=1,'Choix pédagogiques'!$C$3=2),$BN218=1),G218,IF(AND('Choix pédagogiques'!$C$3=3,$BO218=1),G218,""))</f>
        <v/>
      </c>
      <c r="AC218" s="53" t="str">
        <f aca="false">IF(AND(OR('Choix pédagogiques'!$C$3=1,'Choix pédagogiques'!$C$3=2),$BN218=1),H218,IF(AND('Choix pédagogiques'!$C$3=3,$BO218=1),H218,""))</f>
        <v/>
      </c>
      <c r="AD218" s="53" t="str">
        <f aca="false">IF(AND(OR('Choix pédagogiques'!$C$3=1,'Choix pédagogiques'!$C$3=2),$BN218=1),I218,IF(AND('Choix pédagogiques'!$C$3=3,$BO218=1),I218,""))</f>
        <v/>
      </c>
      <c r="AE218" s="53" t="str">
        <f aca="false">IF($J218&lt;&gt;"",$J218,"")</f>
        <v/>
      </c>
      <c r="AF218" s="52" t="str">
        <f aca="false">IF($A218&lt;&gt;"",$A218,"")</f>
        <v>Apprenant 206</v>
      </c>
      <c r="AG218" s="53" t="str">
        <f aca="false">IF(AND($W218&lt;&gt;"",$X218&lt;&gt;""),$X218-$W218,"")</f>
        <v/>
      </c>
      <c r="AH218" s="53" t="str">
        <f aca="false">IF(AND($W218&lt;&gt;"",$Y218&lt;&gt;""),$Y218-$W218,"")</f>
        <v/>
      </c>
      <c r="AI218" s="53" t="str">
        <f aca="false">IF(AND($X218&lt;&gt;"",$Y218&lt;&gt;""),$Y218-$X218,"")</f>
        <v/>
      </c>
      <c r="AJ218" s="53" t="str">
        <f aca="false">IF($E218&lt;&gt;"",$E218,"")</f>
        <v/>
      </c>
      <c r="AK218" s="52" t="str">
        <f aca="false">IF($F218&lt;&gt;"",$F218,"")</f>
        <v>Apprenant 206 ou 206'</v>
      </c>
      <c r="AL218" s="53" t="str">
        <f aca="false">IF(AND($AB218&lt;&gt;"",$AC218&lt;&gt;""),$AC218-$AB218,"")</f>
        <v/>
      </c>
      <c r="AM218" s="53" t="str">
        <f aca="false">IF(AND($AB218&lt;&gt;"",$AD218&lt;&gt;""),$AD218-$AB218,"")</f>
        <v/>
      </c>
      <c r="AN218" s="53" t="str">
        <f aca="false">IF(AND($AC218&lt;&gt;"",$AD218&lt;&gt;""),$AD218-$AC218,"")</f>
        <v/>
      </c>
      <c r="AO218" s="53" t="str">
        <f aca="false">IF($J218&lt;&gt;"",$J218,"")</f>
        <v/>
      </c>
      <c r="AQ218" s="52" t="str">
        <f aca="false">IF($A218&lt;&gt;"",$A218,"")</f>
        <v>Apprenant 206</v>
      </c>
      <c r="AR218" s="55" t="str">
        <f aca="false">IF(AND('Choix pédagogiques'!$C$4&lt;&gt;"?",'Choix pédagogiques'!$C$5&lt;&gt;"?",W218&lt;&gt;""),(W218-'Choix pédagogiques'!$C$4)/('Choix pédagogiques'!$C$5-'Choix pédagogiques'!$C$4),"")</f>
        <v/>
      </c>
      <c r="AS218" s="55" t="str">
        <f aca="false">IF(AND('Choix pédagogiques'!$C$4&lt;&gt;"?",'Choix pédagogiques'!$C$5&lt;&gt;"?",X218&lt;&gt;""),(X218-'Choix pédagogiques'!$C$4)/('Choix pédagogiques'!$C$5-'Choix pédagogiques'!$C$4),"")</f>
        <v/>
      </c>
      <c r="AT218" s="55" t="str">
        <f aca="false">IF(AND('Choix pédagogiques'!$C$4&lt;&gt;"?",'Choix pédagogiques'!$C$5&lt;&gt;"?",Y218&lt;&gt;""),(Y218-'Choix pédagogiques'!$C$4)/('Choix pédagogiques'!$C$5-'Choix pédagogiques'!$C$4),"")</f>
        <v/>
      </c>
      <c r="AU218" s="53" t="str">
        <f aca="false">IF($E218&lt;&gt;"",$E218,"")</f>
        <v/>
      </c>
      <c r="AV218" s="52" t="str">
        <f aca="false">IF($F218&lt;&gt;"",$F218,"")</f>
        <v>Apprenant 206 ou 206'</v>
      </c>
      <c r="AW218" s="55" t="str">
        <f aca="false">IF(AND('Choix pédagogiques'!$C$4&lt;&gt;"?",'Choix pédagogiques'!$C$5&lt;&gt;"?",AB218&lt;&gt;""),(AB218-'Choix pédagogiques'!$C$4)/('Choix pédagogiques'!$C$5-'Choix pédagogiques'!$C$4),"")</f>
        <v/>
      </c>
      <c r="AX218" s="55" t="str">
        <f aca="false">IF(AND('Choix pédagogiques'!$C$4&lt;&gt;"?",'Choix pédagogiques'!$C$5&lt;&gt;"?",AC218&lt;&gt;""),(AC218-'Choix pédagogiques'!$C$4)/('Choix pédagogiques'!$C$5-'Choix pédagogiques'!$C$4),"")</f>
        <v/>
      </c>
      <c r="AY218" s="55" t="str">
        <f aca="false">IF(AND('Choix pédagogiques'!$C$4&lt;&gt;"?",'Choix pédagogiques'!$C$5&lt;&gt;"?",AD218&lt;&gt;""),(AD218-'Choix pédagogiques'!$C$4)/('Choix pédagogiques'!$C$5-'Choix pédagogiques'!$C$4),"")</f>
        <v/>
      </c>
      <c r="AZ218" s="53" t="str">
        <f aca="false">IF($J218&lt;&gt;"",$J218,"")</f>
        <v/>
      </c>
      <c r="BA218" s="52" t="str">
        <f aca="false">IF($A218&lt;&gt;"",$A218,"")</f>
        <v>Apprenant 206</v>
      </c>
      <c r="BB218" s="55" t="str">
        <f aca="false">IF(AND($AR218&lt;&gt;"",$AS218&lt;&gt;""),$AS218-$AR218,"")</f>
        <v/>
      </c>
      <c r="BC218" s="55" t="str">
        <f aca="false">IF(AND($AR218&lt;&gt;"",$AT218&lt;&gt;""),$AT218-$AR218,"")</f>
        <v/>
      </c>
      <c r="BD218" s="55" t="str">
        <f aca="false">IF(AND($AS218&lt;&gt;"",$AT218&lt;&gt;""),$AT218-$AS218,"")</f>
        <v/>
      </c>
      <c r="BE218" s="53" t="str">
        <f aca="false">IF($E218&lt;&gt;"",$E218,"")</f>
        <v/>
      </c>
      <c r="BF218" s="52" t="str">
        <f aca="false">IF($F218&lt;&gt;"",$F218,"")</f>
        <v>Apprenant 206 ou 206'</v>
      </c>
      <c r="BG218" s="55" t="str">
        <f aca="false">IF(AND($AW218&lt;&gt;"",$AX218&lt;&gt;""),$AX218-$AW218,"")</f>
        <v/>
      </c>
      <c r="BH218" s="55" t="str">
        <f aca="false">IF(AND($AW218&lt;&gt;"",$AY218&lt;&gt;""),$AY218-$AW218,"")</f>
        <v/>
      </c>
      <c r="BI218" s="55" t="str">
        <f aca="false">IF(AND($AX218&lt;&gt;"",$AY218&lt;&gt;""),$AY218-$AX218,"")</f>
        <v/>
      </c>
      <c r="BJ218" s="53" t="str">
        <f aca="false">IF($J218&lt;&gt;"",$J218,"")</f>
        <v/>
      </c>
      <c r="BL218" s="52"/>
      <c r="BM218" s="52" t="str">
        <f aca="false">IF(OR(COUNT(B218:D1217)=0,AND('Choix pédagogiques'!$C$3&lt;&gt;1,'Choix pédagogiques'!$C$3&lt;&gt;2)),"",IF(AND(OR('Choix pédagogiques'!$C$3=1,'Choix pédagogiques'!$C$3=2),$B218&lt;&gt;"",$C218&lt;&gt;"",$D218&lt;&gt;""),1,0))</f>
        <v/>
      </c>
      <c r="BN218" s="52" t="str">
        <f aca="false">IF(OR(COUNT(G218:I1217)=0,AND('Choix pédagogiques'!$C$3&lt;&gt;1,'Choix pédagogiques'!$C$3&lt;&gt;2)),"",IF(AND(OR('Choix pédagogiques'!$C$3=1,'Choix pédagogiques'!$C$3=2),AND($G218&lt;&gt;"",$H218&lt;&gt;"",$I218&lt;&gt;"")),1,0))</f>
        <v/>
      </c>
      <c r="BO218" s="52" t="str">
        <f aca="false">IF(OR(COUNT(B218:D1217)=0,COUNT(G218:I1217)=0,'Choix pédagogiques'!C$3&lt;&gt;3),"",IF(AND('Choix pédagogiques'!$C$3=3,$B218&lt;&gt;"",$C218&lt;&gt;"",$D218&lt;&gt;"",$G218&lt;&gt;"",$H218&lt;&gt;"",$I218&lt;&gt;""),1,0))</f>
        <v/>
      </c>
      <c r="BR218" s="52" t="n">
        <v>104</v>
      </c>
      <c r="BS218" s="52" t="n">
        <v>1023</v>
      </c>
    </row>
    <row r="219" s="54" customFormat="true" ht="18" hidden="false" customHeight="true" outlineLevel="0" collapsed="false">
      <c r="A219" s="57" t="s">
        <v>369</v>
      </c>
      <c r="B219" s="51"/>
      <c r="C219" s="51"/>
      <c r="D219" s="51"/>
      <c r="E219" s="51"/>
      <c r="F219" s="57" t="s">
        <v>370</v>
      </c>
      <c r="G219" s="51"/>
      <c r="H219" s="51"/>
      <c r="I219" s="51"/>
      <c r="J219" s="51"/>
      <c r="K219" s="52" t="str">
        <f aca="false">IF($A219&lt;&gt;"",$A219,"")</f>
        <v>Apprenant 207</v>
      </c>
      <c r="L219" s="53" t="str">
        <f aca="false">IF(AND($B219&lt;&gt;"",$C219&lt;&gt;""),$C219-$B219,"")</f>
        <v/>
      </c>
      <c r="M219" s="53" t="str">
        <f aca="false">IF(AND($B219&lt;&gt;"",$D219&lt;&gt;""),$D219-$B219,"")</f>
        <v/>
      </c>
      <c r="N219" s="53" t="str">
        <f aca="false">IF(AND($C219&lt;&gt;"",$D219&lt;&gt;""),$D219-$C219,"")</f>
        <v/>
      </c>
      <c r="O219" s="53" t="str">
        <f aca="false">IF($E219&lt;&gt;"",$E219,"")</f>
        <v/>
      </c>
      <c r="P219" s="52" t="str">
        <f aca="false">IF($F219&lt;&gt;"",$F219,"")</f>
        <v>Apprenant 207 ou 207'</v>
      </c>
      <c r="Q219" s="53" t="str">
        <f aca="false">IF(AND($G219&lt;&gt;"",$H219&lt;&gt;""),$H219-$G219,"")</f>
        <v/>
      </c>
      <c r="R219" s="53" t="str">
        <f aca="false">IF(AND($G219&lt;&gt;"",$I219&lt;&gt;""),$I219-$G219,"")</f>
        <v/>
      </c>
      <c r="S219" s="53" t="str">
        <f aca="false">IF(AND($H219&lt;&gt;"",$I219&lt;&gt;""),$I219-$H219,"")</f>
        <v/>
      </c>
      <c r="T219" s="53" t="str">
        <f aca="false">IF($J219&lt;&gt;"",$J219,"")</f>
        <v/>
      </c>
      <c r="V219" s="52" t="str">
        <f aca="false">IF($A219&lt;&gt;"",$A219,"")</f>
        <v>Apprenant 207</v>
      </c>
      <c r="W219" s="53" t="str">
        <f aca="false">IF(AND(OR('Choix pédagogiques'!$C$3=1,'Choix pédagogiques'!$C$3=2),$BM219=1),B219,IF(AND('Choix pédagogiques'!$C$3=3,$BO219=1),B219,""))</f>
        <v/>
      </c>
      <c r="X219" s="53" t="str">
        <f aca="false">IF(AND(OR('Choix pédagogiques'!$C$3=1,'Choix pédagogiques'!$C$3=2),$BM219=1),C219,IF(AND('Choix pédagogiques'!$C$3=3,$BO219=1),C219,""))</f>
        <v/>
      </c>
      <c r="Y219" s="53" t="str">
        <f aca="false">IF(AND(OR('Choix pédagogiques'!$C$3=1,'Choix pédagogiques'!$C$3=2),$BM219=1),D219,IF(AND('Choix pédagogiques'!$C$3=3,$BO219=1),D219,""))</f>
        <v/>
      </c>
      <c r="Z219" s="53" t="str">
        <f aca="false">IF($E219&lt;&gt;"",$E219,"")</f>
        <v/>
      </c>
      <c r="AA219" s="52" t="str">
        <f aca="false">IF($F219&lt;&gt;"",$F219,"")</f>
        <v>Apprenant 207 ou 207'</v>
      </c>
      <c r="AB219" s="53" t="str">
        <f aca="false">IF(AND(OR('Choix pédagogiques'!$C$3=1,'Choix pédagogiques'!$C$3=2),$BN219=1),G219,IF(AND('Choix pédagogiques'!$C$3=3,$BO219=1),G219,""))</f>
        <v/>
      </c>
      <c r="AC219" s="53" t="str">
        <f aca="false">IF(AND(OR('Choix pédagogiques'!$C$3=1,'Choix pédagogiques'!$C$3=2),$BN219=1),H219,IF(AND('Choix pédagogiques'!$C$3=3,$BO219=1),H219,""))</f>
        <v/>
      </c>
      <c r="AD219" s="53" t="str">
        <f aca="false">IF(AND(OR('Choix pédagogiques'!$C$3=1,'Choix pédagogiques'!$C$3=2),$BN219=1),I219,IF(AND('Choix pédagogiques'!$C$3=3,$BO219=1),I219,""))</f>
        <v/>
      </c>
      <c r="AE219" s="53" t="str">
        <f aca="false">IF($J219&lt;&gt;"",$J219,"")</f>
        <v/>
      </c>
      <c r="AF219" s="52" t="str">
        <f aca="false">IF($A219&lt;&gt;"",$A219,"")</f>
        <v>Apprenant 207</v>
      </c>
      <c r="AG219" s="53" t="str">
        <f aca="false">IF(AND($W219&lt;&gt;"",$X219&lt;&gt;""),$X219-$W219,"")</f>
        <v/>
      </c>
      <c r="AH219" s="53" t="str">
        <f aca="false">IF(AND($W219&lt;&gt;"",$Y219&lt;&gt;""),$Y219-$W219,"")</f>
        <v/>
      </c>
      <c r="AI219" s="53" t="str">
        <f aca="false">IF(AND($X219&lt;&gt;"",$Y219&lt;&gt;""),$Y219-$X219,"")</f>
        <v/>
      </c>
      <c r="AJ219" s="53" t="str">
        <f aca="false">IF($E219&lt;&gt;"",$E219,"")</f>
        <v/>
      </c>
      <c r="AK219" s="52" t="str">
        <f aca="false">IF($F219&lt;&gt;"",$F219,"")</f>
        <v>Apprenant 207 ou 207'</v>
      </c>
      <c r="AL219" s="53" t="str">
        <f aca="false">IF(AND($AB219&lt;&gt;"",$AC219&lt;&gt;""),$AC219-$AB219,"")</f>
        <v/>
      </c>
      <c r="AM219" s="53" t="str">
        <f aca="false">IF(AND($AB219&lt;&gt;"",$AD219&lt;&gt;""),$AD219-$AB219,"")</f>
        <v/>
      </c>
      <c r="AN219" s="53" t="str">
        <f aca="false">IF(AND($AC219&lt;&gt;"",$AD219&lt;&gt;""),$AD219-$AC219,"")</f>
        <v/>
      </c>
      <c r="AO219" s="53" t="str">
        <f aca="false">IF($J219&lt;&gt;"",$J219,"")</f>
        <v/>
      </c>
      <c r="AQ219" s="52" t="str">
        <f aca="false">IF($A219&lt;&gt;"",$A219,"")</f>
        <v>Apprenant 207</v>
      </c>
      <c r="AR219" s="55" t="str">
        <f aca="false">IF(AND('Choix pédagogiques'!$C$4&lt;&gt;"?",'Choix pédagogiques'!$C$5&lt;&gt;"?",W219&lt;&gt;""),(W219-'Choix pédagogiques'!$C$4)/('Choix pédagogiques'!$C$5-'Choix pédagogiques'!$C$4),"")</f>
        <v/>
      </c>
      <c r="AS219" s="55" t="str">
        <f aca="false">IF(AND('Choix pédagogiques'!$C$4&lt;&gt;"?",'Choix pédagogiques'!$C$5&lt;&gt;"?",X219&lt;&gt;""),(X219-'Choix pédagogiques'!$C$4)/('Choix pédagogiques'!$C$5-'Choix pédagogiques'!$C$4),"")</f>
        <v/>
      </c>
      <c r="AT219" s="55" t="str">
        <f aca="false">IF(AND('Choix pédagogiques'!$C$4&lt;&gt;"?",'Choix pédagogiques'!$C$5&lt;&gt;"?",Y219&lt;&gt;""),(Y219-'Choix pédagogiques'!$C$4)/('Choix pédagogiques'!$C$5-'Choix pédagogiques'!$C$4),"")</f>
        <v/>
      </c>
      <c r="AU219" s="53" t="str">
        <f aca="false">IF($E219&lt;&gt;"",$E219,"")</f>
        <v/>
      </c>
      <c r="AV219" s="52" t="str">
        <f aca="false">IF($F219&lt;&gt;"",$F219,"")</f>
        <v>Apprenant 207 ou 207'</v>
      </c>
      <c r="AW219" s="55" t="str">
        <f aca="false">IF(AND('Choix pédagogiques'!$C$4&lt;&gt;"?",'Choix pédagogiques'!$C$5&lt;&gt;"?",AB219&lt;&gt;""),(AB219-'Choix pédagogiques'!$C$4)/('Choix pédagogiques'!$C$5-'Choix pédagogiques'!$C$4),"")</f>
        <v/>
      </c>
      <c r="AX219" s="55" t="str">
        <f aca="false">IF(AND('Choix pédagogiques'!$C$4&lt;&gt;"?",'Choix pédagogiques'!$C$5&lt;&gt;"?",AC219&lt;&gt;""),(AC219-'Choix pédagogiques'!$C$4)/('Choix pédagogiques'!$C$5-'Choix pédagogiques'!$C$4),"")</f>
        <v/>
      </c>
      <c r="AY219" s="55" t="str">
        <f aca="false">IF(AND('Choix pédagogiques'!$C$4&lt;&gt;"?",'Choix pédagogiques'!$C$5&lt;&gt;"?",AD219&lt;&gt;""),(AD219-'Choix pédagogiques'!$C$4)/('Choix pédagogiques'!$C$5-'Choix pédagogiques'!$C$4),"")</f>
        <v/>
      </c>
      <c r="AZ219" s="53" t="str">
        <f aca="false">IF($J219&lt;&gt;"",$J219,"")</f>
        <v/>
      </c>
      <c r="BA219" s="52" t="str">
        <f aca="false">IF($A219&lt;&gt;"",$A219,"")</f>
        <v>Apprenant 207</v>
      </c>
      <c r="BB219" s="55" t="str">
        <f aca="false">IF(AND($AR219&lt;&gt;"",$AS219&lt;&gt;""),$AS219-$AR219,"")</f>
        <v/>
      </c>
      <c r="BC219" s="55" t="str">
        <f aca="false">IF(AND($AR219&lt;&gt;"",$AT219&lt;&gt;""),$AT219-$AR219,"")</f>
        <v/>
      </c>
      <c r="BD219" s="55" t="str">
        <f aca="false">IF(AND($AS219&lt;&gt;"",$AT219&lt;&gt;""),$AT219-$AS219,"")</f>
        <v/>
      </c>
      <c r="BE219" s="53" t="str">
        <f aca="false">IF($E219&lt;&gt;"",$E219,"")</f>
        <v/>
      </c>
      <c r="BF219" s="52" t="str">
        <f aca="false">IF($F219&lt;&gt;"",$F219,"")</f>
        <v>Apprenant 207 ou 207'</v>
      </c>
      <c r="BG219" s="55" t="str">
        <f aca="false">IF(AND($AW219&lt;&gt;"",$AX219&lt;&gt;""),$AX219-$AW219,"")</f>
        <v/>
      </c>
      <c r="BH219" s="55" t="str">
        <f aca="false">IF(AND($AW219&lt;&gt;"",$AY219&lt;&gt;""),$AY219-$AW219,"")</f>
        <v/>
      </c>
      <c r="BI219" s="55" t="str">
        <f aca="false">IF(AND($AX219&lt;&gt;"",$AY219&lt;&gt;""),$AY219-$AX219,"")</f>
        <v/>
      </c>
      <c r="BJ219" s="53" t="str">
        <f aca="false">IF($J219&lt;&gt;"",$J219,"")</f>
        <v/>
      </c>
      <c r="BL219" s="52"/>
      <c r="BM219" s="52" t="str">
        <f aca="false">IF(OR(COUNT(B219:D1218)=0,AND('Choix pédagogiques'!$C$3&lt;&gt;1,'Choix pédagogiques'!$C$3&lt;&gt;2)),"",IF(AND(OR('Choix pédagogiques'!$C$3=1,'Choix pédagogiques'!$C$3=2),$B219&lt;&gt;"",$C219&lt;&gt;"",$D219&lt;&gt;""),1,0))</f>
        <v/>
      </c>
      <c r="BN219" s="52" t="str">
        <f aca="false">IF(OR(COUNT(G219:I1218)=0,AND('Choix pédagogiques'!$C$3&lt;&gt;1,'Choix pédagogiques'!$C$3&lt;&gt;2)),"",IF(AND(OR('Choix pédagogiques'!$C$3=1,'Choix pédagogiques'!$C$3=2),AND($G219&lt;&gt;"",$H219&lt;&gt;"",$I219&lt;&gt;"")),1,0))</f>
        <v/>
      </c>
      <c r="BO219" s="52" t="str">
        <f aca="false">IF(OR(COUNT(B219:D1218)=0,COUNT(G219:I1218)=0,'Choix pédagogiques'!C$3&lt;&gt;3),"",IF(AND('Choix pédagogiques'!$C$3=3,$B219&lt;&gt;"",$C219&lt;&gt;"",$D219&lt;&gt;"",$G219&lt;&gt;"",$H219&lt;&gt;"",$I219&lt;&gt;""),1,0))</f>
        <v/>
      </c>
      <c r="BR219" s="52" t="n">
        <v>680</v>
      </c>
      <c r="BS219" s="52" t="n">
        <v>1316</v>
      </c>
    </row>
    <row r="220" s="54" customFormat="true" ht="18" hidden="false" customHeight="true" outlineLevel="0" collapsed="false">
      <c r="A220" s="57" t="s">
        <v>371</v>
      </c>
      <c r="B220" s="51"/>
      <c r="C220" s="51"/>
      <c r="D220" s="51"/>
      <c r="E220" s="51"/>
      <c r="F220" s="57" t="s">
        <v>372</v>
      </c>
      <c r="G220" s="51"/>
      <c r="H220" s="51"/>
      <c r="I220" s="51"/>
      <c r="J220" s="51"/>
      <c r="K220" s="52" t="str">
        <f aca="false">IF($A220&lt;&gt;"",$A220,"")</f>
        <v>Apprenant 208</v>
      </c>
      <c r="L220" s="53" t="str">
        <f aca="false">IF(AND($B220&lt;&gt;"",$C220&lt;&gt;""),$C220-$B220,"")</f>
        <v/>
      </c>
      <c r="M220" s="53" t="str">
        <f aca="false">IF(AND($B220&lt;&gt;"",$D220&lt;&gt;""),$D220-$B220,"")</f>
        <v/>
      </c>
      <c r="N220" s="53" t="str">
        <f aca="false">IF(AND($C220&lt;&gt;"",$D220&lt;&gt;""),$D220-$C220,"")</f>
        <v/>
      </c>
      <c r="O220" s="53" t="str">
        <f aca="false">IF($E220&lt;&gt;"",$E220,"")</f>
        <v/>
      </c>
      <c r="P220" s="52" t="str">
        <f aca="false">IF($F220&lt;&gt;"",$F220,"")</f>
        <v>Apprenant 208 ou 208'</v>
      </c>
      <c r="Q220" s="53" t="str">
        <f aca="false">IF(AND($G220&lt;&gt;"",$H220&lt;&gt;""),$H220-$G220,"")</f>
        <v/>
      </c>
      <c r="R220" s="53" t="str">
        <f aca="false">IF(AND($G220&lt;&gt;"",$I220&lt;&gt;""),$I220-$G220,"")</f>
        <v/>
      </c>
      <c r="S220" s="53" t="str">
        <f aca="false">IF(AND($H220&lt;&gt;"",$I220&lt;&gt;""),$I220-$H220,"")</f>
        <v/>
      </c>
      <c r="T220" s="53" t="str">
        <f aca="false">IF($J220&lt;&gt;"",$J220,"")</f>
        <v/>
      </c>
      <c r="V220" s="52" t="str">
        <f aca="false">IF($A220&lt;&gt;"",$A220,"")</f>
        <v>Apprenant 208</v>
      </c>
      <c r="W220" s="53" t="str">
        <f aca="false">IF(AND(OR('Choix pédagogiques'!$C$3=1,'Choix pédagogiques'!$C$3=2),$BM220=1),B220,IF(AND('Choix pédagogiques'!$C$3=3,$BO220=1),B220,""))</f>
        <v/>
      </c>
      <c r="X220" s="53" t="str">
        <f aca="false">IF(AND(OR('Choix pédagogiques'!$C$3=1,'Choix pédagogiques'!$C$3=2),$BM220=1),C220,IF(AND('Choix pédagogiques'!$C$3=3,$BO220=1),C220,""))</f>
        <v/>
      </c>
      <c r="Y220" s="53" t="str">
        <f aca="false">IF(AND(OR('Choix pédagogiques'!$C$3=1,'Choix pédagogiques'!$C$3=2),$BM220=1),D220,IF(AND('Choix pédagogiques'!$C$3=3,$BO220=1),D220,""))</f>
        <v/>
      </c>
      <c r="Z220" s="53" t="str">
        <f aca="false">IF($E220&lt;&gt;"",$E220,"")</f>
        <v/>
      </c>
      <c r="AA220" s="52" t="str">
        <f aca="false">IF($F220&lt;&gt;"",$F220,"")</f>
        <v>Apprenant 208 ou 208'</v>
      </c>
      <c r="AB220" s="53" t="str">
        <f aca="false">IF(AND(OR('Choix pédagogiques'!$C$3=1,'Choix pédagogiques'!$C$3=2),$BN220=1),G220,IF(AND('Choix pédagogiques'!$C$3=3,$BO220=1),G220,""))</f>
        <v/>
      </c>
      <c r="AC220" s="53" t="str">
        <f aca="false">IF(AND(OR('Choix pédagogiques'!$C$3=1,'Choix pédagogiques'!$C$3=2),$BN220=1),H220,IF(AND('Choix pédagogiques'!$C$3=3,$BO220=1),H220,""))</f>
        <v/>
      </c>
      <c r="AD220" s="53" t="str">
        <f aca="false">IF(AND(OR('Choix pédagogiques'!$C$3=1,'Choix pédagogiques'!$C$3=2),$BN220=1),I220,IF(AND('Choix pédagogiques'!$C$3=3,$BO220=1),I220,""))</f>
        <v/>
      </c>
      <c r="AE220" s="53" t="str">
        <f aca="false">IF($J220&lt;&gt;"",$J220,"")</f>
        <v/>
      </c>
      <c r="AF220" s="52" t="str">
        <f aca="false">IF($A220&lt;&gt;"",$A220,"")</f>
        <v>Apprenant 208</v>
      </c>
      <c r="AG220" s="53" t="str">
        <f aca="false">IF(AND($W220&lt;&gt;"",$X220&lt;&gt;""),$X220-$W220,"")</f>
        <v/>
      </c>
      <c r="AH220" s="53" t="str">
        <f aca="false">IF(AND($W220&lt;&gt;"",$Y220&lt;&gt;""),$Y220-$W220,"")</f>
        <v/>
      </c>
      <c r="AI220" s="53" t="str">
        <f aca="false">IF(AND($X220&lt;&gt;"",$Y220&lt;&gt;""),$Y220-$X220,"")</f>
        <v/>
      </c>
      <c r="AJ220" s="53" t="str">
        <f aca="false">IF($E220&lt;&gt;"",$E220,"")</f>
        <v/>
      </c>
      <c r="AK220" s="52" t="str">
        <f aca="false">IF($F220&lt;&gt;"",$F220,"")</f>
        <v>Apprenant 208 ou 208'</v>
      </c>
      <c r="AL220" s="53" t="str">
        <f aca="false">IF(AND($AB220&lt;&gt;"",$AC220&lt;&gt;""),$AC220-$AB220,"")</f>
        <v/>
      </c>
      <c r="AM220" s="53" t="str">
        <f aca="false">IF(AND($AB220&lt;&gt;"",$AD220&lt;&gt;""),$AD220-$AB220,"")</f>
        <v/>
      </c>
      <c r="AN220" s="53" t="str">
        <f aca="false">IF(AND($AC220&lt;&gt;"",$AD220&lt;&gt;""),$AD220-$AC220,"")</f>
        <v/>
      </c>
      <c r="AO220" s="53" t="str">
        <f aca="false">IF($J220&lt;&gt;"",$J220,"")</f>
        <v/>
      </c>
      <c r="AQ220" s="52" t="str">
        <f aca="false">IF($A220&lt;&gt;"",$A220,"")</f>
        <v>Apprenant 208</v>
      </c>
      <c r="AR220" s="55" t="str">
        <f aca="false">IF(AND('Choix pédagogiques'!$C$4&lt;&gt;"?",'Choix pédagogiques'!$C$5&lt;&gt;"?",W220&lt;&gt;""),(W220-'Choix pédagogiques'!$C$4)/('Choix pédagogiques'!$C$5-'Choix pédagogiques'!$C$4),"")</f>
        <v/>
      </c>
      <c r="AS220" s="55" t="str">
        <f aca="false">IF(AND('Choix pédagogiques'!$C$4&lt;&gt;"?",'Choix pédagogiques'!$C$5&lt;&gt;"?",X220&lt;&gt;""),(X220-'Choix pédagogiques'!$C$4)/('Choix pédagogiques'!$C$5-'Choix pédagogiques'!$C$4),"")</f>
        <v/>
      </c>
      <c r="AT220" s="55" t="str">
        <f aca="false">IF(AND('Choix pédagogiques'!$C$4&lt;&gt;"?",'Choix pédagogiques'!$C$5&lt;&gt;"?",Y220&lt;&gt;""),(Y220-'Choix pédagogiques'!$C$4)/('Choix pédagogiques'!$C$5-'Choix pédagogiques'!$C$4),"")</f>
        <v/>
      </c>
      <c r="AU220" s="53" t="str">
        <f aca="false">IF($E220&lt;&gt;"",$E220,"")</f>
        <v/>
      </c>
      <c r="AV220" s="52" t="str">
        <f aca="false">IF($F220&lt;&gt;"",$F220,"")</f>
        <v>Apprenant 208 ou 208'</v>
      </c>
      <c r="AW220" s="55" t="str">
        <f aca="false">IF(AND('Choix pédagogiques'!$C$4&lt;&gt;"?",'Choix pédagogiques'!$C$5&lt;&gt;"?",AB220&lt;&gt;""),(AB220-'Choix pédagogiques'!$C$4)/('Choix pédagogiques'!$C$5-'Choix pédagogiques'!$C$4),"")</f>
        <v/>
      </c>
      <c r="AX220" s="55" t="str">
        <f aca="false">IF(AND('Choix pédagogiques'!$C$4&lt;&gt;"?",'Choix pédagogiques'!$C$5&lt;&gt;"?",AC220&lt;&gt;""),(AC220-'Choix pédagogiques'!$C$4)/('Choix pédagogiques'!$C$5-'Choix pédagogiques'!$C$4),"")</f>
        <v/>
      </c>
      <c r="AY220" s="55" t="str">
        <f aca="false">IF(AND('Choix pédagogiques'!$C$4&lt;&gt;"?",'Choix pédagogiques'!$C$5&lt;&gt;"?",AD220&lt;&gt;""),(AD220-'Choix pédagogiques'!$C$4)/('Choix pédagogiques'!$C$5-'Choix pédagogiques'!$C$4),"")</f>
        <v/>
      </c>
      <c r="AZ220" s="53" t="str">
        <f aca="false">IF($J220&lt;&gt;"",$J220,"")</f>
        <v/>
      </c>
      <c r="BA220" s="52" t="str">
        <f aca="false">IF($A220&lt;&gt;"",$A220,"")</f>
        <v>Apprenant 208</v>
      </c>
      <c r="BB220" s="55" t="str">
        <f aca="false">IF(AND($AR220&lt;&gt;"",$AS220&lt;&gt;""),$AS220-$AR220,"")</f>
        <v/>
      </c>
      <c r="BC220" s="55" t="str">
        <f aca="false">IF(AND($AR220&lt;&gt;"",$AT220&lt;&gt;""),$AT220-$AR220,"")</f>
        <v/>
      </c>
      <c r="BD220" s="55" t="str">
        <f aca="false">IF(AND($AS220&lt;&gt;"",$AT220&lt;&gt;""),$AT220-$AS220,"")</f>
        <v/>
      </c>
      <c r="BE220" s="53" t="str">
        <f aca="false">IF($E220&lt;&gt;"",$E220,"")</f>
        <v/>
      </c>
      <c r="BF220" s="52" t="str">
        <f aca="false">IF($F220&lt;&gt;"",$F220,"")</f>
        <v>Apprenant 208 ou 208'</v>
      </c>
      <c r="BG220" s="55" t="str">
        <f aca="false">IF(AND($AW220&lt;&gt;"",$AX220&lt;&gt;""),$AX220-$AW220,"")</f>
        <v/>
      </c>
      <c r="BH220" s="55" t="str">
        <f aca="false">IF(AND($AW220&lt;&gt;"",$AY220&lt;&gt;""),$AY220-$AW220,"")</f>
        <v/>
      </c>
      <c r="BI220" s="55" t="str">
        <f aca="false">IF(AND($AX220&lt;&gt;"",$AY220&lt;&gt;""),$AY220-$AX220,"")</f>
        <v/>
      </c>
      <c r="BJ220" s="53" t="str">
        <f aca="false">IF($J220&lt;&gt;"",$J220,"")</f>
        <v/>
      </c>
      <c r="BL220" s="52"/>
      <c r="BM220" s="52" t="str">
        <f aca="false">IF(OR(COUNT(B220:D1219)=0,AND('Choix pédagogiques'!$C$3&lt;&gt;1,'Choix pédagogiques'!$C$3&lt;&gt;2)),"",IF(AND(OR('Choix pédagogiques'!$C$3=1,'Choix pédagogiques'!$C$3=2),$B220&lt;&gt;"",$C220&lt;&gt;"",$D220&lt;&gt;""),1,0))</f>
        <v/>
      </c>
      <c r="BN220" s="52" t="str">
        <f aca="false">IF(OR(COUNT(G220:I1219)=0,AND('Choix pédagogiques'!$C$3&lt;&gt;1,'Choix pédagogiques'!$C$3&lt;&gt;2)),"",IF(AND(OR('Choix pédagogiques'!$C$3=1,'Choix pédagogiques'!$C$3=2),AND($G220&lt;&gt;"",$H220&lt;&gt;"",$I220&lt;&gt;"")),1,0))</f>
        <v/>
      </c>
      <c r="BO220" s="52" t="str">
        <f aca="false">IF(OR(COUNT(B220:D1219)=0,COUNT(G220:I1219)=0,'Choix pédagogiques'!C$3&lt;&gt;3),"",IF(AND('Choix pédagogiques'!$C$3=3,$B220&lt;&gt;"",$C220&lt;&gt;"",$D220&lt;&gt;"",$G220&lt;&gt;"",$H220&lt;&gt;"",$I220&lt;&gt;""),1,0))</f>
        <v/>
      </c>
      <c r="BR220" s="52" t="n">
        <v>290</v>
      </c>
      <c r="BS220" s="52" t="n">
        <v>1482</v>
      </c>
    </row>
    <row r="221" s="54" customFormat="true" ht="18" hidden="false" customHeight="true" outlineLevel="0" collapsed="false">
      <c r="A221" s="57" t="s">
        <v>373</v>
      </c>
      <c r="B221" s="51"/>
      <c r="C221" s="51"/>
      <c r="D221" s="51"/>
      <c r="E221" s="51"/>
      <c r="F221" s="57" t="s">
        <v>374</v>
      </c>
      <c r="G221" s="51"/>
      <c r="H221" s="51"/>
      <c r="I221" s="51"/>
      <c r="J221" s="51"/>
      <c r="K221" s="52" t="str">
        <f aca="false">IF($A221&lt;&gt;"",$A221,"")</f>
        <v>Apprenant 209</v>
      </c>
      <c r="L221" s="53" t="str">
        <f aca="false">IF(AND($B221&lt;&gt;"",$C221&lt;&gt;""),$C221-$B221,"")</f>
        <v/>
      </c>
      <c r="M221" s="53" t="str">
        <f aca="false">IF(AND($B221&lt;&gt;"",$D221&lt;&gt;""),$D221-$B221,"")</f>
        <v/>
      </c>
      <c r="N221" s="53" t="str">
        <f aca="false">IF(AND($C221&lt;&gt;"",$D221&lt;&gt;""),$D221-$C221,"")</f>
        <v/>
      </c>
      <c r="O221" s="53" t="str">
        <f aca="false">IF($E221&lt;&gt;"",$E221,"")</f>
        <v/>
      </c>
      <c r="P221" s="52" t="str">
        <f aca="false">IF($F221&lt;&gt;"",$F221,"")</f>
        <v>Apprenant 209 ou 209'</v>
      </c>
      <c r="Q221" s="53" t="str">
        <f aca="false">IF(AND($G221&lt;&gt;"",$H221&lt;&gt;""),$H221-$G221,"")</f>
        <v/>
      </c>
      <c r="R221" s="53" t="str">
        <f aca="false">IF(AND($G221&lt;&gt;"",$I221&lt;&gt;""),$I221-$G221,"")</f>
        <v/>
      </c>
      <c r="S221" s="53" t="str">
        <f aca="false">IF(AND($H221&lt;&gt;"",$I221&lt;&gt;""),$I221-$H221,"")</f>
        <v/>
      </c>
      <c r="T221" s="53" t="str">
        <f aca="false">IF($J221&lt;&gt;"",$J221,"")</f>
        <v/>
      </c>
      <c r="V221" s="52" t="str">
        <f aca="false">IF($A221&lt;&gt;"",$A221,"")</f>
        <v>Apprenant 209</v>
      </c>
      <c r="W221" s="53" t="str">
        <f aca="false">IF(AND(OR('Choix pédagogiques'!$C$3=1,'Choix pédagogiques'!$C$3=2),$BM221=1),B221,IF(AND('Choix pédagogiques'!$C$3=3,$BO221=1),B221,""))</f>
        <v/>
      </c>
      <c r="X221" s="53" t="str">
        <f aca="false">IF(AND(OR('Choix pédagogiques'!$C$3=1,'Choix pédagogiques'!$C$3=2),$BM221=1),C221,IF(AND('Choix pédagogiques'!$C$3=3,$BO221=1),C221,""))</f>
        <v/>
      </c>
      <c r="Y221" s="53" t="str">
        <f aca="false">IF(AND(OR('Choix pédagogiques'!$C$3=1,'Choix pédagogiques'!$C$3=2),$BM221=1),D221,IF(AND('Choix pédagogiques'!$C$3=3,$BO221=1),D221,""))</f>
        <v/>
      </c>
      <c r="Z221" s="53" t="str">
        <f aca="false">IF($E221&lt;&gt;"",$E221,"")</f>
        <v/>
      </c>
      <c r="AA221" s="52" t="str">
        <f aca="false">IF($F221&lt;&gt;"",$F221,"")</f>
        <v>Apprenant 209 ou 209'</v>
      </c>
      <c r="AB221" s="53" t="str">
        <f aca="false">IF(AND(OR('Choix pédagogiques'!$C$3=1,'Choix pédagogiques'!$C$3=2),$BN221=1),G221,IF(AND('Choix pédagogiques'!$C$3=3,$BO221=1),G221,""))</f>
        <v/>
      </c>
      <c r="AC221" s="53" t="str">
        <f aca="false">IF(AND(OR('Choix pédagogiques'!$C$3=1,'Choix pédagogiques'!$C$3=2),$BN221=1),H221,IF(AND('Choix pédagogiques'!$C$3=3,$BO221=1),H221,""))</f>
        <v/>
      </c>
      <c r="AD221" s="53" t="str">
        <f aca="false">IF(AND(OR('Choix pédagogiques'!$C$3=1,'Choix pédagogiques'!$C$3=2),$BN221=1),I221,IF(AND('Choix pédagogiques'!$C$3=3,$BO221=1),I221,""))</f>
        <v/>
      </c>
      <c r="AE221" s="53" t="str">
        <f aca="false">IF($J221&lt;&gt;"",$J221,"")</f>
        <v/>
      </c>
      <c r="AF221" s="52" t="str">
        <f aca="false">IF($A221&lt;&gt;"",$A221,"")</f>
        <v>Apprenant 209</v>
      </c>
      <c r="AG221" s="53" t="str">
        <f aca="false">IF(AND($W221&lt;&gt;"",$X221&lt;&gt;""),$X221-$W221,"")</f>
        <v/>
      </c>
      <c r="AH221" s="53" t="str">
        <f aca="false">IF(AND($W221&lt;&gt;"",$Y221&lt;&gt;""),$Y221-$W221,"")</f>
        <v/>
      </c>
      <c r="AI221" s="53" t="str">
        <f aca="false">IF(AND($X221&lt;&gt;"",$Y221&lt;&gt;""),$Y221-$X221,"")</f>
        <v/>
      </c>
      <c r="AJ221" s="53" t="str">
        <f aca="false">IF($E221&lt;&gt;"",$E221,"")</f>
        <v/>
      </c>
      <c r="AK221" s="52" t="str">
        <f aca="false">IF($F221&lt;&gt;"",$F221,"")</f>
        <v>Apprenant 209 ou 209'</v>
      </c>
      <c r="AL221" s="53" t="str">
        <f aca="false">IF(AND($AB221&lt;&gt;"",$AC221&lt;&gt;""),$AC221-$AB221,"")</f>
        <v/>
      </c>
      <c r="AM221" s="53" t="str">
        <f aca="false">IF(AND($AB221&lt;&gt;"",$AD221&lt;&gt;""),$AD221-$AB221,"")</f>
        <v/>
      </c>
      <c r="AN221" s="53" t="str">
        <f aca="false">IF(AND($AC221&lt;&gt;"",$AD221&lt;&gt;""),$AD221-$AC221,"")</f>
        <v/>
      </c>
      <c r="AO221" s="53" t="str">
        <f aca="false">IF($J221&lt;&gt;"",$J221,"")</f>
        <v/>
      </c>
      <c r="AQ221" s="52" t="str">
        <f aca="false">IF($A221&lt;&gt;"",$A221,"")</f>
        <v>Apprenant 209</v>
      </c>
      <c r="AR221" s="55" t="str">
        <f aca="false">IF(AND('Choix pédagogiques'!$C$4&lt;&gt;"?",'Choix pédagogiques'!$C$5&lt;&gt;"?",W221&lt;&gt;""),(W221-'Choix pédagogiques'!$C$4)/('Choix pédagogiques'!$C$5-'Choix pédagogiques'!$C$4),"")</f>
        <v/>
      </c>
      <c r="AS221" s="55" t="str">
        <f aca="false">IF(AND('Choix pédagogiques'!$C$4&lt;&gt;"?",'Choix pédagogiques'!$C$5&lt;&gt;"?",X221&lt;&gt;""),(X221-'Choix pédagogiques'!$C$4)/('Choix pédagogiques'!$C$5-'Choix pédagogiques'!$C$4),"")</f>
        <v/>
      </c>
      <c r="AT221" s="55" t="str">
        <f aca="false">IF(AND('Choix pédagogiques'!$C$4&lt;&gt;"?",'Choix pédagogiques'!$C$5&lt;&gt;"?",Y221&lt;&gt;""),(Y221-'Choix pédagogiques'!$C$4)/('Choix pédagogiques'!$C$5-'Choix pédagogiques'!$C$4),"")</f>
        <v/>
      </c>
      <c r="AU221" s="53" t="str">
        <f aca="false">IF($E221&lt;&gt;"",$E221,"")</f>
        <v/>
      </c>
      <c r="AV221" s="52" t="str">
        <f aca="false">IF($F221&lt;&gt;"",$F221,"")</f>
        <v>Apprenant 209 ou 209'</v>
      </c>
      <c r="AW221" s="55" t="str">
        <f aca="false">IF(AND('Choix pédagogiques'!$C$4&lt;&gt;"?",'Choix pédagogiques'!$C$5&lt;&gt;"?",AB221&lt;&gt;""),(AB221-'Choix pédagogiques'!$C$4)/('Choix pédagogiques'!$C$5-'Choix pédagogiques'!$C$4),"")</f>
        <v/>
      </c>
      <c r="AX221" s="55" t="str">
        <f aca="false">IF(AND('Choix pédagogiques'!$C$4&lt;&gt;"?",'Choix pédagogiques'!$C$5&lt;&gt;"?",AC221&lt;&gt;""),(AC221-'Choix pédagogiques'!$C$4)/('Choix pédagogiques'!$C$5-'Choix pédagogiques'!$C$4),"")</f>
        <v/>
      </c>
      <c r="AY221" s="55" t="str">
        <f aca="false">IF(AND('Choix pédagogiques'!$C$4&lt;&gt;"?",'Choix pédagogiques'!$C$5&lt;&gt;"?",AD221&lt;&gt;""),(AD221-'Choix pédagogiques'!$C$4)/('Choix pédagogiques'!$C$5-'Choix pédagogiques'!$C$4),"")</f>
        <v/>
      </c>
      <c r="AZ221" s="53" t="str">
        <f aca="false">IF($J221&lt;&gt;"",$J221,"")</f>
        <v/>
      </c>
      <c r="BA221" s="52" t="str">
        <f aca="false">IF($A221&lt;&gt;"",$A221,"")</f>
        <v>Apprenant 209</v>
      </c>
      <c r="BB221" s="55" t="str">
        <f aca="false">IF(AND($AR221&lt;&gt;"",$AS221&lt;&gt;""),$AS221-$AR221,"")</f>
        <v/>
      </c>
      <c r="BC221" s="55" t="str">
        <f aca="false">IF(AND($AR221&lt;&gt;"",$AT221&lt;&gt;""),$AT221-$AR221,"")</f>
        <v/>
      </c>
      <c r="BD221" s="55" t="str">
        <f aca="false">IF(AND($AS221&lt;&gt;"",$AT221&lt;&gt;""),$AT221-$AS221,"")</f>
        <v/>
      </c>
      <c r="BE221" s="53" t="str">
        <f aca="false">IF($E221&lt;&gt;"",$E221,"")</f>
        <v/>
      </c>
      <c r="BF221" s="52" t="str">
        <f aca="false">IF($F221&lt;&gt;"",$F221,"")</f>
        <v>Apprenant 209 ou 209'</v>
      </c>
      <c r="BG221" s="55" t="str">
        <f aca="false">IF(AND($AW221&lt;&gt;"",$AX221&lt;&gt;""),$AX221-$AW221,"")</f>
        <v/>
      </c>
      <c r="BH221" s="55" t="str">
        <f aca="false">IF(AND($AW221&lt;&gt;"",$AY221&lt;&gt;""),$AY221-$AW221,"")</f>
        <v/>
      </c>
      <c r="BI221" s="55" t="str">
        <f aca="false">IF(AND($AX221&lt;&gt;"",$AY221&lt;&gt;""),$AY221-$AX221,"")</f>
        <v/>
      </c>
      <c r="BJ221" s="53" t="str">
        <f aca="false">IF($J221&lt;&gt;"",$J221,"")</f>
        <v/>
      </c>
      <c r="BL221" s="52"/>
      <c r="BM221" s="52" t="str">
        <f aca="false">IF(OR(COUNT(B221:D1220)=0,AND('Choix pédagogiques'!$C$3&lt;&gt;1,'Choix pédagogiques'!$C$3&lt;&gt;2)),"",IF(AND(OR('Choix pédagogiques'!$C$3=1,'Choix pédagogiques'!$C$3=2),$B221&lt;&gt;"",$C221&lt;&gt;"",$D221&lt;&gt;""),1,0))</f>
        <v/>
      </c>
      <c r="BN221" s="52" t="str">
        <f aca="false">IF(OR(COUNT(G221:I1220)=0,AND('Choix pédagogiques'!$C$3&lt;&gt;1,'Choix pédagogiques'!$C$3&lt;&gt;2)),"",IF(AND(OR('Choix pédagogiques'!$C$3=1,'Choix pédagogiques'!$C$3=2),AND($G221&lt;&gt;"",$H221&lt;&gt;"",$I221&lt;&gt;"")),1,0))</f>
        <v/>
      </c>
      <c r="BO221" s="52" t="str">
        <f aca="false">IF(OR(COUNT(B221:D1220)=0,COUNT(G221:I1220)=0,'Choix pédagogiques'!C$3&lt;&gt;3),"",IF(AND('Choix pédagogiques'!$C$3=3,$B221&lt;&gt;"",$C221&lt;&gt;"",$D221&lt;&gt;"",$G221&lt;&gt;"",$H221&lt;&gt;"",$I221&lt;&gt;""),1,0))</f>
        <v/>
      </c>
      <c r="BR221" s="52" t="n">
        <v>209</v>
      </c>
      <c r="BS221" s="52" t="n">
        <v>1118</v>
      </c>
    </row>
    <row r="222" s="54" customFormat="true" ht="18" hidden="false" customHeight="true" outlineLevel="0" collapsed="false">
      <c r="A222" s="57" t="s">
        <v>375</v>
      </c>
      <c r="B222" s="51"/>
      <c r="C222" s="51"/>
      <c r="D222" s="51"/>
      <c r="E222" s="51"/>
      <c r="F222" s="57" t="s">
        <v>376</v>
      </c>
      <c r="G222" s="51"/>
      <c r="H222" s="51"/>
      <c r="I222" s="51"/>
      <c r="J222" s="51"/>
      <c r="K222" s="52" t="str">
        <f aca="false">IF($A222&lt;&gt;"",$A222,"")</f>
        <v>Apprenant 210</v>
      </c>
      <c r="L222" s="53" t="str">
        <f aca="false">IF(AND($B222&lt;&gt;"",$C222&lt;&gt;""),$C222-$B222,"")</f>
        <v/>
      </c>
      <c r="M222" s="53" t="str">
        <f aca="false">IF(AND($B222&lt;&gt;"",$D222&lt;&gt;""),$D222-$B222,"")</f>
        <v/>
      </c>
      <c r="N222" s="53" t="str">
        <f aca="false">IF(AND($C222&lt;&gt;"",$D222&lt;&gt;""),$D222-$C222,"")</f>
        <v/>
      </c>
      <c r="O222" s="53" t="str">
        <f aca="false">IF($E222&lt;&gt;"",$E222,"")</f>
        <v/>
      </c>
      <c r="P222" s="52" t="str">
        <f aca="false">IF($F222&lt;&gt;"",$F222,"")</f>
        <v>Apprenant 210 ou 210'</v>
      </c>
      <c r="Q222" s="53" t="str">
        <f aca="false">IF(AND($G222&lt;&gt;"",$H222&lt;&gt;""),$H222-$G222,"")</f>
        <v/>
      </c>
      <c r="R222" s="53" t="str">
        <f aca="false">IF(AND($G222&lt;&gt;"",$I222&lt;&gt;""),$I222-$G222,"")</f>
        <v/>
      </c>
      <c r="S222" s="53" t="str">
        <f aca="false">IF(AND($H222&lt;&gt;"",$I222&lt;&gt;""),$I222-$H222,"")</f>
        <v/>
      </c>
      <c r="T222" s="53" t="str">
        <f aca="false">IF($J222&lt;&gt;"",$J222,"")</f>
        <v/>
      </c>
      <c r="V222" s="52" t="str">
        <f aca="false">IF($A222&lt;&gt;"",$A222,"")</f>
        <v>Apprenant 210</v>
      </c>
      <c r="W222" s="53" t="str">
        <f aca="false">IF(AND(OR('Choix pédagogiques'!$C$3=1,'Choix pédagogiques'!$C$3=2),$BM222=1),B222,IF(AND('Choix pédagogiques'!$C$3=3,$BO222=1),B222,""))</f>
        <v/>
      </c>
      <c r="X222" s="53" t="str">
        <f aca="false">IF(AND(OR('Choix pédagogiques'!$C$3=1,'Choix pédagogiques'!$C$3=2),$BM222=1),C222,IF(AND('Choix pédagogiques'!$C$3=3,$BO222=1),C222,""))</f>
        <v/>
      </c>
      <c r="Y222" s="53" t="str">
        <f aca="false">IF(AND(OR('Choix pédagogiques'!$C$3=1,'Choix pédagogiques'!$C$3=2),$BM222=1),D222,IF(AND('Choix pédagogiques'!$C$3=3,$BO222=1),D222,""))</f>
        <v/>
      </c>
      <c r="Z222" s="53" t="str">
        <f aca="false">IF($E222&lt;&gt;"",$E222,"")</f>
        <v/>
      </c>
      <c r="AA222" s="52" t="str">
        <f aca="false">IF($F222&lt;&gt;"",$F222,"")</f>
        <v>Apprenant 210 ou 210'</v>
      </c>
      <c r="AB222" s="53" t="str">
        <f aca="false">IF(AND(OR('Choix pédagogiques'!$C$3=1,'Choix pédagogiques'!$C$3=2),$BN222=1),G222,IF(AND('Choix pédagogiques'!$C$3=3,$BO222=1),G222,""))</f>
        <v/>
      </c>
      <c r="AC222" s="53" t="str">
        <f aca="false">IF(AND(OR('Choix pédagogiques'!$C$3=1,'Choix pédagogiques'!$C$3=2),$BN222=1),H222,IF(AND('Choix pédagogiques'!$C$3=3,$BO222=1),H222,""))</f>
        <v/>
      </c>
      <c r="AD222" s="53" t="str">
        <f aca="false">IF(AND(OR('Choix pédagogiques'!$C$3=1,'Choix pédagogiques'!$C$3=2),$BN222=1),I222,IF(AND('Choix pédagogiques'!$C$3=3,$BO222=1),I222,""))</f>
        <v/>
      </c>
      <c r="AE222" s="53" t="str">
        <f aca="false">IF($J222&lt;&gt;"",$J222,"")</f>
        <v/>
      </c>
      <c r="AF222" s="52" t="str">
        <f aca="false">IF($A222&lt;&gt;"",$A222,"")</f>
        <v>Apprenant 210</v>
      </c>
      <c r="AG222" s="53" t="str">
        <f aca="false">IF(AND($W222&lt;&gt;"",$X222&lt;&gt;""),$X222-$W222,"")</f>
        <v/>
      </c>
      <c r="AH222" s="53" t="str">
        <f aca="false">IF(AND($W222&lt;&gt;"",$Y222&lt;&gt;""),$Y222-$W222,"")</f>
        <v/>
      </c>
      <c r="AI222" s="53" t="str">
        <f aca="false">IF(AND($X222&lt;&gt;"",$Y222&lt;&gt;""),$Y222-$X222,"")</f>
        <v/>
      </c>
      <c r="AJ222" s="53" t="str">
        <f aca="false">IF($E222&lt;&gt;"",$E222,"")</f>
        <v/>
      </c>
      <c r="AK222" s="52" t="str">
        <f aca="false">IF($F222&lt;&gt;"",$F222,"")</f>
        <v>Apprenant 210 ou 210'</v>
      </c>
      <c r="AL222" s="53" t="str">
        <f aca="false">IF(AND($AB222&lt;&gt;"",$AC222&lt;&gt;""),$AC222-$AB222,"")</f>
        <v/>
      </c>
      <c r="AM222" s="53" t="str">
        <f aca="false">IF(AND($AB222&lt;&gt;"",$AD222&lt;&gt;""),$AD222-$AB222,"")</f>
        <v/>
      </c>
      <c r="AN222" s="53" t="str">
        <f aca="false">IF(AND($AC222&lt;&gt;"",$AD222&lt;&gt;""),$AD222-$AC222,"")</f>
        <v/>
      </c>
      <c r="AO222" s="53" t="str">
        <f aca="false">IF($J222&lt;&gt;"",$J222,"")</f>
        <v/>
      </c>
      <c r="AQ222" s="52" t="str">
        <f aca="false">IF($A222&lt;&gt;"",$A222,"")</f>
        <v>Apprenant 210</v>
      </c>
      <c r="AR222" s="55" t="str">
        <f aca="false">IF(AND('Choix pédagogiques'!$C$4&lt;&gt;"?",'Choix pédagogiques'!$C$5&lt;&gt;"?",W222&lt;&gt;""),(W222-'Choix pédagogiques'!$C$4)/('Choix pédagogiques'!$C$5-'Choix pédagogiques'!$C$4),"")</f>
        <v/>
      </c>
      <c r="AS222" s="55" t="str">
        <f aca="false">IF(AND('Choix pédagogiques'!$C$4&lt;&gt;"?",'Choix pédagogiques'!$C$5&lt;&gt;"?",X222&lt;&gt;""),(X222-'Choix pédagogiques'!$C$4)/('Choix pédagogiques'!$C$5-'Choix pédagogiques'!$C$4),"")</f>
        <v/>
      </c>
      <c r="AT222" s="55" t="str">
        <f aca="false">IF(AND('Choix pédagogiques'!$C$4&lt;&gt;"?",'Choix pédagogiques'!$C$5&lt;&gt;"?",Y222&lt;&gt;""),(Y222-'Choix pédagogiques'!$C$4)/('Choix pédagogiques'!$C$5-'Choix pédagogiques'!$C$4),"")</f>
        <v/>
      </c>
      <c r="AU222" s="53" t="str">
        <f aca="false">IF($E222&lt;&gt;"",$E222,"")</f>
        <v/>
      </c>
      <c r="AV222" s="52" t="str">
        <f aca="false">IF($F222&lt;&gt;"",$F222,"")</f>
        <v>Apprenant 210 ou 210'</v>
      </c>
      <c r="AW222" s="55" t="str">
        <f aca="false">IF(AND('Choix pédagogiques'!$C$4&lt;&gt;"?",'Choix pédagogiques'!$C$5&lt;&gt;"?",AB222&lt;&gt;""),(AB222-'Choix pédagogiques'!$C$4)/('Choix pédagogiques'!$C$5-'Choix pédagogiques'!$C$4),"")</f>
        <v/>
      </c>
      <c r="AX222" s="55" t="str">
        <f aca="false">IF(AND('Choix pédagogiques'!$C$4&lt;&gt;"?",'Choix pédagogiques'!$C$5&lt;&gt;"?",AC222&lt;&gt;""),(AC222-'Choix pédagogiques'!$C$4)/('Choix pédagogiques'!$C$5-'Choix pédagogiques'!$C$4),"")</f>
        <v/>
      </c>
      <c r="AY222" s="55" t="str">
        <f aca="false">IF(AND('Choix pédagogiques'!$C$4&lt;&gt;"?",'Choix pédagogiques'!$C$5&lt;&gt;"?",AD222&lt;&gt;""),(AD222-'Choix pédagogiques'!$C$4)/('Choix pédagogiques'!$C$5-'Choix pédagogiques'!$C$4),"")</f>
        <v/>
      </c>
      <c r="AZ222" s="53" t="str">
        <f aca="false">IF($J222&lt;&gt;"",$J222,"")</f>
        <v/>
      </c>
      <c r="BA222" s="52" t="str">
        <f aca="false">IF($A222&lt;&gt;"",$A222,"")</f>
        <v>Apprenant 210</v>
      </c>
      <c r="BB222" s="55" t="str">
        <f aca="false">IF(AND($AR222&lt;&gt;"",$AS222&lt;&gt;""),$AS222-$AR222,"")</f>
        <v/>
      </c>
      <c r="BC222" s="55" t="str">
        <f aca="false">IF(AND($AR222&lt;&gt;"",$AT222&lt;&gt;""),$AT222-$AR222,"")</f>
        <v/>
      </c>
      <c r="BD222" s="55" t="str">
        <f aca="false">IF(AND($AS222&lt;&gt;"",$AT222&lt;&gt;""),$AT222-$AS222,"")</f>
        <v/>
      </c>
      <c r="BE222" s="53" t="str">
        <f aca="false">IF($E222&lt;&gt;"",$E222,"")</f>
        <v/>
      </c>
      <c r="BF222" s="52" t="str">
        <f aca="false">IF($F222&lt;&gt;"",$F222,"")</f>
        <v>Apprenant 210 ou 210'</v>
      </c>
      <c r="BG222" s="55" t="str">
        <f aca="false">IF(AND($AW222&lt;&gt;"",$AX222&lt;&gt;""),$AX222-$AW222,"")</f>
        <v/>
      </c>
      <c r="BH222" s="55" t="str">
        <f aca="false">IF(AND($AW222&lt;&gt;"",$AY222&lt;&gt;""),$AY222-$AW222,"")</f>
        <v/>
      </c>
      <c r="BI222" s="55" t="str">
        <f aca="false">IF(AND($AX222&lt;&gt;"",$AY222&lt;&gt;""),$AY222-$AX222,"")</f>
        <v/>
      </c>
      <c r="BJ222" s="53" t="str">
        <f aca="false">IF($J222&lt;&gt;"",$J222,"")</f>
        <v/>
      </c>
      <c r="BL222" s="52"/>
      <c r="BM222" s="52" t="str">
        <f aca="false">IF(OR(COUNT(B222:D1221)=0,AND('Choix pédagogiques'!$C$3&lt;&gt;1,'Choix pédagogiques'!$C$3&lt;&gt;2)),"",IF(AND(OR('Choix pédagogiques'!$C$3=1,'Choix pédagogiques'!$C$3=2),$B222&lt;&gt;"",$C222&lt;&gt;"",$D222&lt;&gt;""),1,0))</f>
        <v/>
      </c>
      <c r="BN222" s="52" t="str">
        <f aca="false">IF(OR(COUNT(G222:I1221)=0,AND('Choix pédagogiques'!$C$3&lt;&gt;1,'Choix pédagogiques'!$C$3&lt;&gt;2)),"",IF(AND(OR('Choix pédagogiques'!$C$3=1,'Choix pédagogiques'!$C$3=2),AND($G222&lt;&gt;"",$H222&lt;&gt;"",$I222&lt;&gt;"")),1,0))</f>
        <v/>
      </c>
      <c r="BO222" s="52" t="str">
        <f aca="false">IF(OR(COUNT(B222:D1221)=0,COUNT(G222:I1221)=0,'Choix pédagogiques'!C$3&lt;&gt;3),"",IF(AND('Choix pédagogiques'!$C$3=3,$B222&lt;&gt;"",$C222&lt;&gt;"",$D222&lt;&gt;"",$G222&lt;&gt;"",$H222&lt;&gt;"",$I222&lt;&gt;""),1,0))</f>
        <v/>
      </c>
      <c r="BR222" s="52" t="n">
        <v>615</v>
      </c>
      <c r="BS222" s="52" t="n">
        <v>1596</v>
      </c>
    </row>
    <row r="223" s="54" customFormat="true" ht="18" hidden="false" customHeight="true" outlineLevel="0" collapsed="false">
      <c r="A223" s="57" t="s">
        <v>377</v>
      </c>
      <c r="B223" s="51"/>
      <c r="C223" s="51"/>
      <c r="D223" s="51"/>
      <c r="E223" s="51"/>
      <c r="F223" s="57" t="s">
        <v>378</v>
      </c>
      <c r="G223" s="51"/>
      <c r="H223" s="51"/>
      <c r="I223" s="51"/>
      <c r="J223" s="51"/>
      <c r="K223" s="52" t="str">
        <f aca="false">IF($A223&lt;&gt;"",$A223,"")</f>
        <v>Apprenant 211</v>
      </c>
      <c r="L223" s="53" t="str">
        <f aca="false">IF(AND($B223&lt;&gt;"",$C223&lt;&gt;""),$C223-$B223,"")</f>
        <v/>
      </c>
      <c r="M223" s="53" t="str">
        <f aca="false">IF(AND($B223&lt;&gt;"",$D223&lt;&gt;""),$D223-$B223,"")</f>
        <v/>
      </c>
      <c r="N223" s="53" t="str">
        <f aca="false">IF(AND($C223&lt;&gt;"",$D223&lt;&gt;""),$D223-$C223,"")</f>
        <v/>
      </c>
      <c r="O223" s="53" t="str">
        <f aca="false">IF($E223&lt;&gt;"",$E223,"")</f>
        <v/>
      </c>
      <c r="P223" s="52" t="str">
        <f aca="false">IF($F223&lt;&gt;"",$F223,"")</f>
        <v>Apprenant 211 ou 211'</v>
      </c>
      <c r="Q223" s="53" t="str">
        <f aca="false">IF(AND($G223&lt;&gt;"",$H223&lt;&gt;""),$H223-$G223,"")</f>
        <v/>
      </c>
      <c r="R223" s="53" t="str">
        <f aca="false">IF(AND($G223&lt;&gt;"",$I223&lt;&gt;""),$I223-$G223,"")</f>
        <v/>
      </c>
      <c r="S223" s="53" t="str">
        <f aca="false">IF(AND($H223&lt;&gt;"",$I223&lt;&gt;""),$I223-$H223,"")</f>
        <v/>
      </c>
      <c r="T223" s="53" t="str">
        <f aca="false">IF($J223&lt;&gt;"",$J223,"")</f>
        <v/>
      </c>
      <c r="V223" s="52" t="str">
        <f aca="false">IF($A223&lt;&gt;"",$A223,"")</f>
        <v>Apprenant 211</v>
      </c>
      <c r="W223" s="53" t="str">
        <f aca="false">IF(AND(OR('Choix pédagogiques'!$C$3=1,'Choix pédagogiques'!$C$3=2),$BM223=1),B223,IF(AND('Choix pédagogiques'!$C$3=3,$BO223=1),B223,""))</f>
        <v/>
      </c>
      <c r="X223" s="53" t="str">
        <f aca="false">IF(AND(OR('Choix pédagogiques'!$C$3=1,'Choix pédagogiques'!$C$3=2),$BM223=1),C223,IF(AND('Choix pédagogiques'!$C$3=3,$BO223=1),C223,""))</f>
        <v/>
      </c>
      <c r="Y223" s="53" t="str">
        <f aca="false">IF(AND(OR('Choix pédagogiques'!$C$3=1,'Choix pédagogiques'!$C$3=2),$BM223=1),D223,IF(AND('Choix pédagogiques'!$C$3=3,$BO223=1),D223,""))</f>
        <v/>
      </c>
      <c r="Z223" s="53" t="str">
        <f aca="false">IF($E223&lt;&gt;"",$E223,"")</f>
        <v/>
      </c>
      <c r="AA223" s="52" t="str">
        <f aca="false">IF($F223&lt;&gt;"",$F223,"")</f>
        <v>Apprenant 211 ou 211'</v>
      </c>
      <c r="AB223" s="53" t="str">
        <f aca="false">IF(AND(OR('Choix pédagogiques'!$C$3=1,'Choix pédagogiques'!$C$3=2),$BN223=1),G223,IF(AND('Choix pédagogiques'!$C$3=3,$BO223=1),G223,""))</f>
        <v/>
      </c>
      <c r="AC223" s="53" t="str">
        <f aca="false">IF(AND(OR('Choix pédagogiques'!$C$3=1,'Choix pédagogiques'!$C$3=2),$BN223=1),H223,IF(AND('Choix pédagogiques'!$C$3=3,$BO223=1),H223,""))</f>
        <v/>
      </c>
      <c r="AD223" s="53" t="str">
        <f aca="false">IF(AND(OR('Choix pédagogiques'!$C$3=1,'Choix pédagogiques'!$C$3=2),$BN223=1),I223,IF(AND('Choix pédagogiques'!$C$3=3,$BO223=1),I223,""))</f>
        <v/>
      </c>
      <c r="AE223" s="53" t="str">
        <f aca="false">IF($J223&lt;&gt;"",$J223,"")</f>
        <v/>
      </c>
      <c r="AF223" s="52" t="str">
        <f aca="false">IF($A223&lt;&gt;"",$A223,"")</f>
        <v>Apprenant 211</v>
      </c>
      <c r="AG223" s="53" t="str">
        <f aca="false">IF(AND($W223&lt;&gt;"",$X223&lt;&gt;""),$X223-$W223,"")</f>
        <v/>
      </c>
      <c r="AH223" s="53" t="str">
        <f aca="false">IF(AND($W223&lt;&gt;"",$Y223&lt;&gt;""),$Y223-$W223,"")</f>
        <v/>
      </c>
      <c r="AI223" s="53" t="str">
        <f aca="false">IF(AND($X223&lt;&gt;"",$Y223&lt;&gt;""),$Y223-$X223,"")</f>
        <v/>
      </c>
      <c r="AJ223" s="53" t="str">
        <f aca="false">IF($E223&lt;&gt;"",$E223,"")</f>
        <v/>
      </c>
      <c r="AK223" s="52" t="str">
        <f aca="false">IF($F223&lt;&gt;"",$F223,"")</f>
        <v>Apprenant 211 ou 211'</v>
      </c>
      <c r="AL223" s="53" t="str">
        <f aca="false">IF(AND($AB223&lt;&gt;"",$AC223&lt;&gt;""),$AC223-$AB223,"")</f>
        <v/>
      </c>
      <c r="AM223" s="53" t="str">
        <f aca="false">IF(AND($AB223&lt;&gt;"",$AD223&lt;&gt;""),$AD223-$AB223,"")</f>
        <v/>
      </c>
      <c r="AN223" s="53" t="str">
        <f aca="false">IF(AND($AC223&lt;&gt;"",$AD223&lt;&gt;""),$AD223-$AC223,"")</f>
        <v/>
      </c>
      <c r="AO223" s="53" t="str">
        <f aca="false">IF($J223&lt;&gt;"",$J223,"")</f>
        <v/>
      </c>
      <c r="AQ223" s="52" t="str">
        <f aca="false">IF($A223&lt;&gt;"",$A223,"")</f>
        <v>Apprenant 211</v>
      </c>
      <c r="AR223" s="55" t="str">
        <f aca="false">IF(AND('Choix pédagogiques'!$C$4&lt;&gt;"?",'Choix pédagogiques'!$C$5&lt;&gt;"?",W223&lt;&gt;""),(W223-'Choix pédagogiques'!$C$4)/('Choix pédagogiques'!$C$5-'Choix pédagogiques'!$C$4),"")</f>
        <v/>
      </c>
      <c r="AS223" s="55" t="str">
        <f aca="false">IF(AND('Choix pédagogiques'!$C$4&lt;&gt;"?",'Choix pédagogiques'!$C$5&lt;&gt;"?",X223&lt;&gt;""),(X223-'Choix pédagogiques'!$C$4)/('Choix pédagogiques'!$C$5-'Choix pédagogiques'!$C$4),"")</f>
        <v/>
      </c>
      <c r="AT223" s="55" t="str">
        <f aca="false">IF(AND('Choix pédagogiques'!$C$4&lt;&gt;"?",'Choix pédagogiques'!$C$5&lt;&gt;"?",Y223&lt;&gt;""),(Y223-'Choix pédagogiques'!$C$4)/('Choix pédagogiques'!$C$5-'Choix pédagogiques'!$C$4),"")</f>
        <v/>
      </c>
      <c r="AU223" s="53" t="str">
        <f aca="false">IF($E223&lt;&gt;"",$E223,"")</f>
        <v/>
      </c>
      <c r="AV223" s="52" t="str">
        <f aca="false">IF($F223&lt;&gt;"",$F223,"")</f>
        <v>Apprenant 211 ou 211'</v>
      </c>
      <c r="AW223" s="55" t="str">
        <f aca="false">IF(AND('Choix pédagogiques'!$C$4&lt;&gt;"?",'Choix pédagogiques'!$C$5&lt;&gt;"?",AB223&lt;&gt;""),(AB223-'Choix pédagogiques'!$C$4)/('Choix pédagogiques'!$C$5-'Choix pédagogiques'!$C$4),"")</f>
        <v/>
      </c>
      <c r="AX223" s="55" t="str">
        <f aca="false">IF(AND('Choix pédagogiques'!$C$4&lt;&gt;"?",'Choix pédagogiques'!$C$5&lt;&gt;"?",AC223&lt;&gt;""),(AC223-'Choix pédagogiques'!$C$4)/('Choix pédagogiques'!$C$5-'Choix pédagogiques'!$C$4),"")</f>
        <v/>
      </c>
      <c r="AY223" s="55" t="str">
        <f aca="false">IF(AND('Choix pédagogiques'!$C$4&lt;&gt;"?",'Choix pédagogiques'!$C$5&lt;&gt;"?",AD223&lt;&gt;""),(AD223-'Choix pédagogiques'!$C$4)/('Choix pédagogiques'!$C$5-'Choix pédagogiques'!$C$4),"")</f>
        <v/>
      </c>
      <c r="AZ223" s="53" t="str">
        <f aca="false">IF($J223&lt;&gt;"",$J223,"")</f>
        <v/>
      </c>
      <c r="BA223" s="52" t="str">
        <f aca="false">IF($A223&lt;&gt;"",$A223,"")</f>
        <v>Apprenant 211</v>
      </c>
      <c r="BB223" s="55" t="str">
        <f aca="false">IF(AND($AR223&lt;&gt;"",$AS223&lt;&gt;""),$AS223-$AR223,"")</f>
        <v/>
      </c>
      <c r="BC223" s="55" t="str">
        <f aca="false">IF(AND($AR223&lt;&gt;"",$AT223&lt;&gt;""),$AT223-$AR223,"")</f>
        <v/>
      </c>
      <c r="BD223" s="55" t="str">
        <f aca="false">IF(AND($AS223&lt;&gt;"",$AT223&lt;&gt;""),$AT223-$AS223,"")</f>
        <v/>
      </c>
      <c r="BE223" s="53" t="str">
        <f aca="false">IF($E223&lt;&gt;"",$E223,"")</f>
        <v/>
      </c>
      <c r="BF223" s="52" t="str">
        <f aca="false">IF($F223&lt;&gt;"",$F223,"")</f>
        <v>Apprenant 211 ou 211'</v>
      </c>
      <c r="BG223" s="55" t="str">
        <f aca="false">IF(AND($AW223&lt;&gt;"",$AX223&lt;&gt;""),$AX223-$AW223,"")</f>
        <v/>
      </c>
      <c r="BH223" s="55" t="str">
        <f aca="false">IF(AND($AW223&lt;&gt;"",$AY223&lt;&gt;""),$AY223-$AW223,"")</f>
        <v/>
      </c>
      <c r="BI223" s="55" t="str">
        <f aca="false">IF(AND($AX223&lt;&gt;"",$AY223&lt;&gt;""),$AY223-$AX223,"")</f>
        <v/>
      </c>
      <c r="BJ223" s="53" t="str">
        <f aca="false">IF($J223&lt;&gt;"",$J223,"")</f>
        <v/>
      </c>
      <c r="BL223" s="52"/>
      <c r="BM223" s="52" t="str">
        <f aca="false">IF(OR(COUNT(B223:D1222)=0,AND('Choix pédagogiques'!$C$3&lt;&gt;1,'Choix pédagogiques'!$C$3&lt;&gt;2)),"",IF(AND(OR('Choix pédagogiques'!$C$3=1,'Choix pédagogiques'!$C$3=2),$B223&lt;&gt;"",$C223&lt;&gt;"",$D223&lt;&gt;""),1,0))</f>
        <v/>
      </c>
      <c r="BN223" s="52" t="str">
        <f aca="false">IF(OR(COUNT(G223:I1222)=0,AND('Choix pédagogiques'!$C$3&lt;&gt;1,'Choix pédagogiques'!$C$3&lt;&gt;2)),"",IF(AND(OR('Choix pédagogiques'!$C$3=1,'Choix pédagogiques'!$C$3=2),AND($G223&lt;&gt;"",$H223&lt;&gt;"",$I223&lt;&gt;"")),1,0))</f>
        <v/>
      </c>
      <c r="BO223" s="52" t="str">
        <f aca="false">IF(OR(COUNT(B223:D1222)=0,COUNT(G223:I1222)=0,'Choix pédagogiques'!C$3&lt;&gt;3),"",IF(AND('Choix pédagogiques'!$C$3=3,$B223&lt;&gt;"",$C223&lt;&gt;"",$D223&lt;&gt;"",$G223&lt;&gt;"",$H223&lt;&gt;"",$I223&lt;&gt;""),1,0))</f>
        <v/>
      </c>
      <c r="BR223" s="52" t="n">
        <v>937</v>
      </c>
      <c r="BS223" s="52" t="n">
        <v>1495</v>
      </c>
    </row>
    <row r="224" s="54" customFormat="true" ht="18" hidden="false" customHeight="true" outlineLevel="0" collapsed="false">
      <c r="A224" s="57" t="s">
        <v>379</v>
      </c>
      <c r="B224" s="51"/>
      <c r="C224" s="51"/>
      <c r="D224" s="51"/>
      <c r="E224" s="51"/>
      <c r="F224" s="57" t="s">
        <v>380</v>
      </c>
      <c r="G224" s="51"/>
      <c r="H224" s="51"/>
      <c r="I224" s="51"/>
      <c r="J224" s="51"/>
      <c r="K224" s="52" t="str">
        <f aca="false">IF($A224&lt;&gt;"",$A224,"")</f>
        <v>Apprenant 212</v>
      </c>
      <c r="L224" s="53" t="str">
        <f aca="false">IF(AND($B224&lt;&gt;"",$C224&lt;&gt;""),$C224-$B224,"")</f>
        <v/>
      </c>
      <c r="M224" s="53" t="str">
        <f aca="false">IF(AND($B224&lt;&gt;"",$D224&lt;&gt;""),$D224-$B224,"")</f>
        <v/>
      </c>
      <c r="N224" s="53" t="str">
        <f aca="false">IF(AND($C224&lt;&gt;"",$D224&lt;&gt;""),$D224-$C224,"")</f>
        <v/>
      </c>
      <c r="O224" s="53" t="str">
        <f aca="false">IF($E224&lt;&gt;"",$E224,"")</f>
        <v/>
      </c>
      <c r="P224" s="52" t="str">
        <f aca="false">IF($F224&lt;&gt;"",$F224,"")</f>
        <v>Apprenant 212 ou 212'</v>
      </c>
      <c r="Q224" s="53" t="str">
        <f aca="false">IF(AND($G224&lt;&gt;"",$H224&lt;&gt;""),$H224-$G224,"")</f>
        <v/>
      </c>
      <c r="R224" s="53" t="str">
        <f aca="false">IF(AND($G224&lt;&gt;"",$I224&lt;&gt;""),$I224-$G224,"")</f>
        <v/>
      </c>
      <c r="S224" s="53" t="str">
        <f aca="false">IF(AND($H224&lt;&gt;"",$I224&lt;&gt;""),$I224-$H224,"")</f>
        <v/>
      </c>
      <c r="T224" s="53" t="str">
        <f aca="false">IF($J224&lt;&gt;"",$J224,"")</f>
        <v/>
      </c>
      <c r="V224" s="52" t="str">
        <f aca="false">IF($A224&lt;&gt;"",$A224,"")</f>
        <v>Apprenant 212</v>
      </c>
      <c r="W224" s="53" t="str">
        <f aca="false">IF(AND(OR('Choix pédagogiques'!$C$3=1,'Choix pédagogiques'!$C$3=2),$BM224=1),B224,IF(AND('Choix pédagogiques'!$C$3=3,$BO224=1),B224,""))</f>
        <v/>
      </c>
      <c r="X224" s="53" t="str">
        <f aca="false">IF(AND(OR('Choix pédagogiques'!$C$3=1,'Choix pédagogiques'!$C$3=2),$BM224=1),C224,IF(AND('Choix pédagogiques'!$C$3=3,$BO224=1),C224,""))</f>
        <v/>
      </c>
      <c r="Y224" s="53" t="str">
        <f aca="false">IF(AND(OR('Choix pédagogiques'!$C$3=1,'Choix pédagogiques'!$C$3=2),$BM224=1),D224,IF(AND('Choix pédagogiques'!$C$3=3,$BO224=1),D224,""))</f>
        <v/>
      </c>
      <c r="Z224" s="53" t="str">
        <f aca="false">IF($E224&lt;&gt;"",$E224,"")</f>
        <v/>
      </c>
      <c r="AA224" s="52" t="str">
        <f aca="false">IF($F224&lt;&gt;"",$F224,"")</f>
        <v>Apprenant 212 ou 212'</v>
      </c>
      <c r="AB224" s="53" t="str">
        <f aca="false">IF(AND(OR('Choix pédagogiques'!$C$3=1,'Choix pédagogiques'!$C$3=2),$BN224=1),G224,IF(AND('Choix pédagogiques'!$C$3=3,$BO224=1),G224,""))</f>
        <v/>
      </c>
      <c r="AC224" s="53" t="str">
        <f aca="false">IF(AND(OR('Choix pédagogiques'!$C$3=1,'Choix pédagogiques'!$C$3=2),$BN224=1),H224,IF(AND('Choix pédagogiques'!$C$3=3,$BO224=1),H224,""))</f>
        <v/>
      </c>
      <c r="AD224" s="53" t="str">
        <f aca="false">IF(AND(OR('Choix pédagogiques'!$C$3=1,'Choix pédagogiques'!$C$3=2),$BN224=1),I224,IF(AND('Choix pédagogiques'!$C$3=3,$BO224=1),I224,""))</f>
        <v/>
      </c>
      <c r="AE224" s="53" t="str">
        <f aca="false">IF($J224&lt;&gt;"",$J224,"")</f>
        <v/>
      </c>
      <c r="AF224" s="52" t="str">
        <f aca="false">IF($A224&lt;&gt;"",$A224,"")</f>
        <v>Apprenant 212</v>
      </c>
      <c r="AG224" s="53" t="str">
        <f aca="false">IF(AND($W224&lt;&gt;"",$X224&lt;&gt;""),$X224-$W224,"")</f>
        <v/>
      </c>
      <c r="AH224" s="53" t="str">
        <f aca="false">IF(AND($W224&lt;&gt;"",$Y224&lt;&gt;""),$Y224-$W224,"")</f>
        <v/>
      </c>
      <c r="AI224" s="53" t="str">
        <f aca="false">IF(AND($X224&lt;&gt;"",$Y224&lt;&gt;""),$Y224-$X224,"")</f>
        <v/>
      </c>
      <c r="AJ224" s="53" t="str">
        <f aca="false">IF($E224&lt;&gt;"",$E224,"")</f>
        <v/>
      </c>
      <c r="AK224" s="52" t="str">
        <f aca="false">IF($F224&lt;&gt;"",$F224,"")</f>
        <v>Apprenant 212 ou 212'</v>
      </c>
      <c r="AL224" s="53" t="str">
        <f aca="false">IF(AND($AB224&lt;&gt;"",$AC224&lt;&gt;""),$AC224-$AB224,"")</f>
        <v/>
      </c>
      <c r="AM224" s="53" t="str">
        <f aca="false">IF(AND($AB224&lt;&gt;"",$AD224&lt;&gt;""),$AD224-$AB224,"")</f>
        <v/>
      </c>
      <c r="AN224" s="53" t="str">
        <f aca="false">IF(AND($AC224&lt;&gt;"",$AD224&lt;&gt;""),$AD224-$AC224,"")</f>
        <v/>
      </c>
      <c r="AO224" s="53" t="str">
        <f aca="false">IF($J224&lt;&gt;"",$J224,"")</f>
        <v/>
      </c>
      <c r="AQ224" s="52" t="str">
        <f aca="false">IF($A224&lt;&gt;"",$A224,"")</f>
        <v>Apprenant 212</v>
      </c>
      <c r="AR224" s="55" t="str">
        <f aca="false">IF(AND('Choix pédagogiques'!$C$4&lt;&gt;"?",'Choix pédagogiques'!$C$5&lt;&gt;"?",W224&lt;&gt;""),(W224-'Choix pédagogiques'!$C$4)/('Choix pédagogiques'!$C$5-'Choix pédagogiques'!$C$4),"")</f>
        <v/>
      </c>
      <c r="AS224" s="55" t="str">
        <f aca="false">IF(AND('Choix pédagogiques'!$C$4&lt;&gt;"?",'Choix pédagogiques'!$C$5&lt;&gt;"?",X224&lt;&gt;""),(X224-'Choix pédagogiques'!$C$4)/('Choix pédagogiques'!$C$5-'Choix pédagogiques'!$C$4),"")</f>
        <v/>
      </c>
      <c r="AT224" s="55" t="str">
        <f aca="false">IF(AND('Choix pédagogiques'!$C$4&lt;&gt;"?",'Choix pédagogiques'!$C$5&lt;&gt;"?",Y224&lt;&gt;""),(Y224-'Choix pédagogiques'!$C$4)/('Choix pédagogiques'!$C$5-'Choix pédagogiques'!$C$4),"")</f>
        <v/>
      </c>
      <c r="AU224" s="53" t="str">
        <f aca="false">IF($E224&lt;&gt;"",$E224,"")</f>
        <v/>
      </c>
      <c r="AV224" s="52" t="str">
        <f aca="false">IF($F224&lt;&gt;"",$F224,"")</f>
        <v>Apprenant 212 ou 212'</v>
      </c>
      <c r="AW224" s="55" t="str">
        <f aca="false">IF(AND('Choix pédagogiques'!$C$4&lt;&gt;"?",'Choix pédagogiques'!$C$5&lt;&gt;"?",AB224&lt;&gt;""),(AB224-'Choix pédagogiques'!$C$4)/('Choix pédagogiques'!$C$5-'Choix pédagogiques'!$C$4),"")</f>
        <v/>
      </c>
      <c r="AX224" s="55" t="str">
        <f aca="false">IF(AND('Choix pédagogiques'!$C$4&lt;&gt;"?",'Choix pédagogiques'!$C$5&lt;&gt;"?",AC224&lt;&gt;""),(AC224-'Choix pédagogiques'!$C$4)/('Choix pédagogiques'!$C$5-'Choix pédagogiques'!$C$4),"")</f>
        <v/>
      </c>
      <c r="AY224" s="55" t="str">
        <f aca="false">IF(AND('Choix pédagogiques'!$C$4&lt;&gt;"?",'Choix pédagogiques'!$C$5&lt;&gt;"?",AD224&lt;&gt;""),(AD224-'Choix pédagogiques'!$C$4)/('Choix pédagogiques'!$C$5-'Choix pédagogiques'!$C$4),"")</f>
        <v/>
      </c>
      <c r="AZ224" s="53" t="str">
        <f aca="false">IF($J224&lt;&gt;"",$J224,"")</f>
        <v/>
      </c>
      <c r="BA224" s="52" t="str">
        <f aca="false">IF($A224&lt;&gt;"",$A224,"")</f>
        <v>Apprenant 212</v>
      </c>
      <c r="BB224" s="55" t="str">
        <f aca="false">IF(AND($AR224&lt;&gt;"",$AS224&lt;&gt;""),$AS224-$AR224,"")</f>
        <v/>
      </c>
      <c r="BC224" s="55" t="str">
        <f aca="false">IF(AND($AR224&lt;&gt;"",$AT224&lt;&gt;""),$AT224-$AR224,"")</f>
        <v/>
      </c>
      <c r="BD224" s="55" t="str">
        <f aca="false">IF(AND($AS224&lt;&gt;"",$AT224&lt;&gt;""),$AT224-$AS224,"")</f>
        <v/>
      </c>
      <c r="BE224" s="53" t="str">
        <f aca="false">IF($E224&lt;&gt;"",$E224,"")</f>
        <v/>
      </c>
      <c r="BF224" s="52" t="str">
        <f aca="false">IF($F224&lt;&gt;"",$F224,"")</f>
        <v>Apprenant 212 ou 212'</v>
      </c>
      <c r="BG224" s="55" t="str">
        <f aca="false">IF(AND($AW224&lt;&gt;"",$AX224&lt;&gt;""),$AX224-$AW224,"")</f>
        <v/>
      </c>
      <c r="BH224" s="55" t="str">
        <f aca="false">IF(AND($AW224&lt;&gt;"",$AY224&lt;&gt;""),$AY224-$AW224,"")</f>
        <v/>
      </c>
      <c r="BI224" s="55" t="str">
        <f aca="false">IF(AND($AX224&lt;&gt;"",$AY224&lt;&gt;""),$AY224-$AX224,"")</f>
        <v/>
      </c>
      <c r="BJ224" s="53" t="str">
        <f aca="false">IF($J224&lt;&gt;"",$J224,"")</f>
        <v/>
      </c>
      <c r="BL224" s="52"/>
      <c r="BM224" s="52" t="str">
        <f aca="false">IF(OR(COUNT(B224:D1223)=0,AND('Choix pédagogiques'!$C$3&lt;&gt;1,'Choix pédagogiques'!$C$3&lt;&gt;2)),"",IF(AND(OR('Choix pédagogiques'!$C$3=1,'Choix pédagogiques'!$C$3=2),$B224&lt;&gt;"",$C224&lt;&gt;"",$D224&lt;&gt;""),1,0))</f>
        <v/>
      </c>
      <c r="BN224" s="52" t="str">
        <f aca="false">IF(OR(COUNT(G224:I1223)=0,AND('Choix pédagogiques'!$C$3&lt;&gt;1,'Choix pédagogiques'!$C$3&lt;&gt;2)),"",IF(AND(OR('Choix pédagogiques'!$C$3=1,'Choix pédagogiques'!$C$3=2),AND($G224&lt;&gt;"",$H224&lt;&gt;"",$I224&lt;&gt;"")),1,0))</f>
        <v/>
      </c>
      <c r="BO224" s="52" t="str">
        <f aca="false">IF(OR(COUNT(B224:D1223)=0,COUNT(G224:I1223)=0,'Choix pédagogiques'!C$3&lt;&gt;3),"",IF(AND('Choix pédagogiques'!$C$3=3,$B224&lt;&gt;"",$C224&lt;&gt;"",$D224&lt;&gt;"",$G224&lt;&gt;"",$H224&lt;&gt;"",$I224&lt;&gt;""),1,0))</f>
        <v/>
      </c>
      <c r="BR224" s="52" t="n">
        <v>359</v>
      </c>
      <c r="BS224" s="52" t="n">
        <v>1835</v>
      </c>
    </row>
    <row r="225" s="54" customFormat="true" ht="18" hidden="false" customHeight="true" outlineLevel="0" collapsed="false">
      <c r="A225" s="57" t="s">
        <v>381</v>
      </c>
      <c r="B225" s="51"/>
      <c r="C225" s="51"/>
      <c r="D225" s="51"/>
      <c r="E225" s="51"/>
      <c r="F225" s="57" t="s">
        <v>382</v>
      </c>
      <c r="G225" s="51"/>
      <c r="H225" s="51"/>
      <c r="I225" s="51"/>
      <c r="J225" s="51"/>
      <c r="K225" s="52" t="str">
        <f aca="false">IF($A225&lt;&gt;"",$A225,"")</f>
        <v>Apprenant 213</v>
      </c>
      <c r="L225" s="53" t="str">
        <f aca="false">IF(AND($B225&lt;&gt;"",$C225&lt;&gt;""),$C225-$B225,"")</f>
        <v/>
      </c>
      <c r="M225" s="53" t="str">
        <f aca="false">IF(AND($B225&lt;&gt;"",$D225&lt;&gt;""),$D225-$B225,"")</f>
        <v/>
      </c>
      <c r="N225" s="53" t="str">
        <f aca="false">IF(AND($C225&lt;&gt;"",$D225&lt;&gt;""),$D225-$C225,"")</f>
        <v/>
      </c>
      <c r="O225" s="53" t="str">
        <f aca="false">IF($E225&lt;&gt;"",$E225,"")</f>
        <v/>
      </c>
      <c r="P225" s="52" t="str">
        <f aca="false">IF($F225&lt;&gt;"",$F225,"")</f>
        <v>Apprenant 213 ou 213'</v>
      </c>
      <c r="Q225" s="53" t="str">
        <f aca="false">IF(AND($G225&lt;&gt;"",$H225&lt;&gt;""),$H225-$G225,"")</f>
        <v/>
      </c>
      <c r="R225" s="53" t="str">
        <f aca="false">IF(AND($G225&lt;&gt;"",$I225&lt;&gt;""),$I225-$G225,"")</f>
        <v/>
      </c>
      <c r="S225" s="53" t="str">
        <f aca="false">IF(AND($H225&lt;&gt;"",$I225&lt;&gt;""),$I225-$H225,"")</f>
        <v/>
      </c>
      <c r="T225" s="53" t="str">
        <f aca="false">IF($J225&lt;&gt;"",$J225,"")</f>
        <v/>
      </c>
      <c r="V225" s="52" t="str">
        <f aca="false">IF($A225&lt;&gt;"",$A225,"")</f>
        <v>Apprenant 213</v>
      </c>
      <c r="W225" s="53" t="str">
        <f aca="false">IF(AND(OR('Choix pédagogiques'!$C$3=1,'Choix pédagogiques'!$C$3=2),$BM225=1),B225,IF(AND('Choix pédagogiques'!$C$3=3,$BO225=1),B225,""))</f>
        <v/>
      </c>
      <c r="X225" s="53" t="str">
        <f aca="false">IF(AND(OR('Choix pédagogiques'!$C$3=1,'Choix pédagogiques'!$C$3=2),$BM225=1),C225,IF(AND('Choix pédagogiques'!$C$3=3,$BO225=1),C225,""))</f>
        <v/>
      </c>
      <c r="Y225" s="53" t="str">
        <f aca="false">IF(AND(OR('Choix pédagogiques'!$C$3=1,'Choix pédagogiques'!$C$3=2),$BM225=1),D225,IF(AND('Choix pédagogiques'!$C$3=3,$BO225=1),D225,""))</f>
        <v/>
      </c>
      <c r="Z225" s="53" t="str">
        <f aca="false">IF($E225&lt;&gt;"",$E225,"")</f>
        <v/>
      </c>
      <c r="AA225" s="52" t="str">
        <f aca="false">IF($F225&lt;&gt;"",$F225,"")</f>
        <v>Apprenant 213 ou 213'</v>
      </c>
      <c r="AB225" s="53" t="str">
        <f aca="false">IF(AND(OR('Choix pédagogiques'!$C$3=1,'Choix pédagogiques'!$C$3=2),$BN225=1),G225,IF(AND('Choix pédagogiques'!$C$3=3,$BO225=1),G225,""))</f>
        <v/>
      </c>
      <c r="AC225" s="53" t="str">
        <f aca="false">IF(AND(OR('Choix pédagogiques'!$C$3=1,'Choix pédagogiques'!$C$3=2),$BN225=1),H225,IF(AND('Choix pédagogiques'!$C$3=3,$BO225=1),H225,""))</f>
        <v/>
      </c>
      <c r="AD225" s="53" t="str">
        <f aca="false">IF(AND(OR('Choix pédagogiques'!$C$3=1,'Choix pédagogiques'!$C$3=2),$BN225=1),I225,IF(AND('Choix pédagogiques'!$C$3=3,$BO225=1),I225,""))</f>
        <v/>
      </c>
      <c r="AE225" s="53" t="str">
        <f aca="false">IF($J225&lt;&gt;"",$J225,"")</f>
        <v/>
      </c>
      <c r="AF225" s="52" t="str">
        <f aca="false">IF($A225&lt;&gt;"",$A225,"")</f>
        <v>Apprenant 213</v>
      </c>
      <c r="AG225" s="53" t="str">
        <f aca="false">IF(AND($W225&lt;&gt;"",$X225&lt;&gt;""),$X225-$W225,"")</f>
        <v/>
      </c>
      <c r="AH225" s="53" t="str">
        <f aca="false">IF(AND($W225&lt;&gt;"",$Y225&lt;&gt;""),$Y225-$W225,"")</f>
        <v/>
      </c>
      <c r="AI225" s="53" t="str">
        <f aca="false">IF(AND($X225&lt;&gt;"",$Y225&lt;&gt;""),$Y225-$X225,"")</f>
        <v/>
      </c>
      <c r="AJ225" s="53" t="str">
        <f aca="false">IF($E225&lt;&gt;"",$E225,"")</f>
        <v/>
      </c>
      <c r="AK225" s="52" t="str">
        <f aca="false">IF($F225&lt;&gt;"",$F225,"")</f>
        <v>Apprenant 213 ou 213'</v>
      </c>
      <c r="AL225" s="53" t="str">
        <f aca="false">IF(AND($AB225&lt;&gt;"",$AC225&lt;&gt;""),$AC225-$AB225,"")</f>
        <v/>
      </c>
      <c r="AM225" s="53" t="str">
        <f aca="false">IF(AND($AB225&lt;&gt;"",$AD225&lt;&gt;""),$AD225-$AB225,"")</f>
        <v/>
      </c>
      <c r="AN225" s="53" t="str">
        <f aca="false">IF(AND($AC225&lt;&gt;"",$AD225&lt;&gt;""),$AD225-$AC225,"")</f>
        <v/>
      </c>
      <c r="AO225" s="53" t="str">
        <f aca="false">IF($J225&lt;&gt;"",$J225,"")</f>
        <v/>
      </c>
      <c r="AQ225" s="52" t="str">
        <f aca="false">IF($A225&lt;&gt;"",$A225,"")</f>
        <v>Apprenant 213</v>
      </c>
      <c r="AR225" s="55" t="str">
        <f aca="false">IF(AND('Choix pédagogiques'!$C$4&lt;&gt;"?",'Choix pédagogiques'!$C$5&lt;&gt;"?",W225&lt;&gt;""),(W225-'Choix pédagogiques'!$C$4)/('Choix pédagogiques'!$C$5-'Choix pédagogiques'!$C$4),"")</f>
        <v/>
      </c>
      <c r="AS225" s="55" t="str">
        <f aca="false">IF(AND('Choix pédagogiques'!$C$4&lt;&gt;"?",'Choix pédagogiques'!$C$5&lt;&gt;"?",X225&lt;&gt;""),(X225-'Choix pédagogiques'!$C$4)/('Choix pédagogiques'!$C$5-'Choix pédagogiques'!$C$4),"")</f>
        <v/>
      </c>
      <c r="AT225" s="55" t="str">
        <f aca="false">IF(AND('Choix pédagogiques'!$C$4&lt;&gt;"?",'Choix pédagogiques'!$C$5&lt;&gt;"?",Y225&lt;&gt;""),(Y225-'Choix pédagogiques'!$C$4)/('Choix pédagogiques'!$C$5-'Choix pédagogiques'!$C$4),"")</f>
        <v/>
      </c>
      <c r="AU225" s="53" t="str">
        <f aca="false">IF($E225&lt;&gt;"",$E225,"")</f>
        <v/>
      </c>
      <c r="AV225" s="52" t="str">
        <f aca="false">IF($F225&lt;&gt;"",$F225,"")</f>
        <v>Apprenant 213 ou 213'</v>
      </c>
      <c r="AW225" s="55" t="str">
        <f aca="false">IF(AND('Choix pédagogiques'!$C$4&lt;&gt;"?",'Choix pédagogiques'!$C$5&lt;&gt;"?",AB225&lt;&gt;""),(AB225-'Choix pédagogiques'!$C$4)/('Choix pédagogiques'!$C$5-'Choix pédagogiques'!$C$4),"")</f>
        <v/>
      </c>
      <c r="AX225" s="55" t="str">
        <f aca="false">IF(AND('Choix pédagogiques'!$C$4&lt;&gt;"?",'Choix pédagogiques'!$C$5&lt;&gt;"?",AC225&lt;&gt;""),(AC225-'Choix pédagogiques'!$C$4)/('Choix pédagogiques'!$C$5-'Choix pédagogiques'!$C$4),"")</f>
        <v/>
      </c>
      <c r="AY225" s="55" t="str">
        <f aca="false">IF(AND('Choix pédagogiques'!$C$4&lt;&gt;"?",'Choix pédagogiques'!$C$5&lt;&gt;"?",AD225&lt;&gt;""),(AD225-'Choix pédagogiques'!$C$4)/('Choix pédagogiques'!$C$5-'Choix pédagogiques'!$C$4),"")</f>
        <v/>
      </c>
      <c r="AZ225" s="53" t="str">
        <f aca="false">IF($J225&lt;&gt;"",$J225,"")</f>
        <v/>
      </c>
      <c r="BA225" s="52" t="str">
        <f aca="false">IF($A225&lt;&gt;"",$A225,"")</f>
        <v>Apprenant 213</v>
      </c>
      <c r="BB225" s="55" t="str">
        <f aca="false">IF(AND($AR225&lt;&gt;"",$AS225&lt;&gt;""),$AS225-$AR225,"")</f>
        <v/>
      </c>
      <c r="BC225" s="55" t="str">
        <f aca="false">IF(AND($AR225&lt;&gt;"",$AT225&lt;&gt;""),$AT225-$AR225,"")</f>
        <v/>
      </c>
      <c r="BD225" s="55" t="str">
        <f aca="false">IF(AND($AS225&lt;&gt;"",$AT225&lt;&gt;""),$AT225-$AS225,"")</f>
        <v/>
      </c>
      <c r="BE225" s="53" t="str">
        <f aca="false">IF($E225&lt;&gt;"",$E225,"")</f>
        <v/>
      </c>
      <c r="BF225" s="52" t="str">
        <f aca="false">IF($F225&lt;&gt;"",$F225,"")</f>
        <v>Apprenant 213 ou 213'</v>
      </c>
      <c r="BG225" s="55" t="str">
        <f aca="false">IF(AND($AW225&lt;&gt;"",$AX225&lt;&gt;""),$AX225-$AW225,"")</f>
        <v/>
      </c>
      <c r="BH225" s="55" t="str">
        <f aca="false">IF(AND($AW225&lt;&gt;"",$AY225&lt;&gt;""),$AY225-$AW225,"")</f>
        <v/>
      </c>
      <c r="BI225" s="55" t="str">
        <f aca="false">IF(AND($AX225&lt;&gt;"",$AY225&lt;&gt;""),$AY225-$AX225,"")</f>
        <v/>
      </c>
      <c r="BJ225" s="53" t="str">
        <f aca="false">IF($J225&lt;&gt;"",$J225,"")</f>
        <v/>
      </c>
      <c r="BL225" s="52"/>
      <c r="BM225" s="52" t="str">
        <f aca="false">IF(OR(COUNT(B225:D1224)=0,AND('Choix pédagogiques'!$C$3&lt;&gt;1,'Choix pédagogiques'!$C$3&lt;&gt;2)),"",IF(AND(OR('Choix pédagogiques'!$C$3=1,'Choix pédagogiques'!$C$3=2),$B225&lt;&gt;"",$C225&lt;&gt;"",$D225&lt;&gt;""),1,0))</f>
        <v/>
      </c>
      <c r="BN225" s="52" t="str">
        <f aca="false">IF(OR(COUNT(G225:I1224)=0,AND('Choix pédagogiques'!$C$3&lt;&gt;1,'Choix pédagogiques'!$C$3&lt;&gt;2)),"",IF(AND(OR('Choix pédagogiques'!$C$3=1,'Choix pédagogiques'!$C$3=2),AND($G225&lt;&gt;"",$H225&lt;&gt;"",$I225&lt;&gt;"")),1,0))</f>
        <v/>
      </c>
      <c r="BO225" s="52" t="str">
        <f aca="false">IF(OR(COUNT(B225:D1224)=0,COUNT(G225:I1224)=0,'Choix pédagogiques'!C$3&lt;&gt;3),"",IF(AND('Choix pédagogiques'!$C$3=3,$B225&lt;&gt;"",$C225&lt;&gt;"",$D225&lt;&gt;"",$G225&lt;&gt;"",$H225&lt;&gt;"",$I225&lt;&gt;""),1,0))</f>
        <v/>
      </c>
      <c r="BR225" s="52" t="n">
        <v>990</v>
      </c>
      <c r="BS225" s="52" t="n">
        <v>1533</v>
      </c>
    </row>
    <row r="226" s="54" customFormat="true" ht="18" hidden="false" customHeight="true" outlineLevel="0" collapsed="false">
      <c r="A226" s="57" t="s">
        <v>383</v>
      </c>
      <c r="B226" s="51"/>
      <c r="C226" s="51"/>
      <c r="D226" s="51"/>
      <c r="E226" s="51"/>
      <c r="F226" s="57" t="s">
        <v>384</v>
      </c>
      <c r="G226" s="51"/>
      <c r="H226" s="51"/>
      <c r="I226" s="51"/>
      <c r="J226" s="51"/>
      <c r="K226" s="52" t="str">
        <f aca="false">IF($A226&lt;&gt;"",$A226,"")</f>
        <v>Apprenant 214</v>
      </c>
      <c r="L226" s="53" t="str">
        <f aca="false">IF(AND($B226&lt;&gt;"",$C226&lt;&gt;""),$C226-$B226,"")</f>
        <v/>
      </c>
      <c r="M226" s="53" t="str">
        <f aca="false">IF(AND($B226&lt;&gt;"",$D226&lt;&gt;""),$D226-$B226,"")</f>
        <v/>
      </c>
      <c r="N226" s="53" t="str">
        <f aca="false">IF(AND($C226&lt;&gt;"",$D226&lt;&gt;""),$D226-$C226,"")</f>
        <v/>
      </c>
      <c r="O226" s="53" t="str">
        <f aca="false">IF($E226&lt;&gt;"",$E226,"")</f>
        <v/>
      </c>
      <c r="P226" s="52" t="str">
        <f aca="false">IF($F226&lt;&gt;"",$F226,"")</f>
        <v>Apprenant 214 ou 214'</v>
      </c>
      <c r="Q226" s="53" t="str">
        <f aca="false">IF(AND($G226&lt;&gt;"",$H226&lt;&gt;""),$H226-$G226,"")</f>
        <v/>
      </c>
      <c r="R226" s="53" t="str">
        <f aca="false">IF(AND($G226&lt;&gt;"",$I226&lt;&gt;""),$I226-$G226,"")</f>
        <v/>
      </c>
      <c r="S226" s="53" t="str">
        <f aca="false">IF(AND($H226&lt;&gt;"",$I226&lt;&gt;""),$I226-$H226,"")</f>
        <v/>
      </c>
      <c r="T226" s="53" t="str">
        <f aca="false">IF($J226&lt;&gt;"",$J226,"")</f>
        <v/>
      </c>
      <c r="V226" s="52" t="str">
        <f aca="false">IF($A226&lt;&gt;"",$A226,"")</f>
        <v>Apprenant 214</v>
      </c>
      <c r="W226" s="53" t="str">
        <f aca="false">IF(AND(OR('Choix pédagogiques'!$C$3=1,'Choix pédagogiques'!$C$3=2),$BM226=1),B226,IF(AND('Choix pédagogiques'!$C$3=3,$BO226=1),B226,""))</f>
        <v/>
      </c>
      <c r="X226" s="53" t="str">
        <f aca="false">IF(AND(OR('Choix pédagogiques'!$C$3=1,'Choix pédagogiques'!$C$3=2),$BM226=1),C226,IF(AND('Choix pédagogiques'!$C$3=3,$BO226=1),C226,""))</f>
        <v/>
      </c>
      <c r="Y226" s="53" t="str">
        <f aca="false">IF(AND(OR('Choix pédagogiques'!$C$3=1,'Choix pédagogiques'!$C$3=2),$BM226=1),D226,IF(AND('Choix pédagogiques'!$C$3=3,$BO226=1),D226,""))</f>
        <v/>
      </c>
      <c r="Z226" s="53" t="str">
        <f aca="false">IF($E226&lt;&gt;"",$E226,"")</f>
        <v/>
      </c>
      <c r="AA226" s="52" t="str">
        <f aca="false">IF($F226&lt;&gt;"",$F226,"")</f>
        <v>Apprenant 214 ou 214'</v>
      </c>
      <c r="AB226" s="53" t="str">
        <f aca="false">IF(AND(OR('Choix pédagogiques'!$C$3=1,'Choix pédagogiques'!$C$3=2),$BN226=1),G226,IF(AND('Choix pédagogiques'!$C$3=3,$BO226=1),G226,""))</f>
        <v/>
      </c>
      <c r="AC226" s="53" t="str">
        <f aca="false">IF(AND(OR('Choix pédagogiques'!$C$3=1,'Choix pédagogiques'!$C$3=2),$BN226=1),H226,IF(AND('Choix pédagogiques'!$C$3=3,$BO226=1),H226,""))</f>
        <v/>
      </c>
      <c r="AD226" s="53" t="str">
        <f aca="false">IF(AND(OR('Choix pédagogiques'!$C$3=1,'Choix pédagogiques'!$C$3=2),$BN226=1),I226,IF(AND('Choix pédagogiques'!$C$3=3,$BO226=1),I226,""))</f>
        <v/>
      </c>
      <c r="AE226" s="53" t="str">
        <f aca="false">IF($J226&lt;&gt;"",$J226,"")</f>
        <v/>
      </c>
      <c r="AF226" s="52" t="str">
        <f aca="false">IF($A226&lt;&gt;"",$A226,"")</f>
        <v>Apprenant 214</v>
      </c>
      <c r="AG226" s="53" t="str">
        <f aca="false">IF(AND($W226&lt;&gt;"",$X226&lt;&gt;""),$X226-$W226,"")</f>
        <v/>
      </c>
      <c r="AH226" s="53" t="str">
        <f aca="false">IF(AND($W226&lt;&gt;"",$Y226&lt;&gt;""),$Y226-$W226,"")</f>
        <v/>
      </c>
      <c r="AI226" s="53" t="str">
        <f aca="false">IF(AND($X226&lt;&gt;"",$Y226&lt;&gt;""),$Y226-$X226,"")</f>
        <v/>
      </c>
      <c r="AJ226" s="53" t="str">
        <f aca="false">IF($E226&lt;&gt;"",$E226,"")</f>
        <v/>
      </c>
      <c r="AK226" s="52" t="str">
        <f aca="false">IF($F226&lt;&gt;"",$F226,"")</f>
        <v>Apprenant 214 ou 214'</v>
      </c>
      <c r="AL226" s="53" t="str">
        <f aca="false">IF(AND($AB226&lt;&gt;"",$AC226&lt;&gt;""),$AC226-$AB226,"")</f>
        <v/>
      </c>
      <c r="AM226" s="53" t="str">
        <f aca="false">IF(AND($AB226&lt;&gt;"",$AD226&lt;&gt;""),$AD226-$AB226,"")</f>
        <v/>
      </c>
      <c r="AN226" s="53" t="str">
        <f aca="false">IF(AND($AC226&lt;&gt;"",$AD226&lt;&gt;""),$AD226-$AC226,"")</f>
        <v/>
      </c>
      <c r="AO226" s="53" t="str">
        <f aca="false">IF($J226&lt;&gt;"",$J226,"")</f>
        <v/>
      </c>
      <c r="AQ226" s="52" t="str">
        <f aca="false">IF($A226&lt;&gt;"",$A226,"")</f>
        <v>Apprenant 214</v>
      </c>
      <c r="AR226" s="55" t="str">
        <f aca="false">IF(AND('Choix pédagogiques'!$C$4&lt;&gt;"?",'Choix pédagogiques'!$C$5&lt;&gt;"?",W226&lt;&gt;""),(W226-'Choix pédagogiques'!$C$4)/('Choix pédagogiques'!$C$5-'Choix pédagogiques'!$C$4),"")</f>
        <v/>
      </c>
      <c r="AS226" s="55" t="str">
        <f aca="false">IF(AND('Choix pédagogiques'!$C$4&lt;&gt;"?",'Choix pédagogiques'!$C$5&lt;&gt;"?",X226&lt;&gt;""),(X226-'Choix pédagogiques'!$C$4)/('Choix pédagogiques'!$C$5-'Choix pédagogiques'!$C$4),"")</f>
        <v/>
      </c>
      <c r="AT226" s="55" t="str">
        <f aca="false">IF(AND('Choix pédagogiques'!$C$4&lt;&gt;"?",'Choix pédagogiques'!$C$5&lt;&gt;"?",Y226&lt;&gt;""),(Y226-'Choix pédagogiques'!$C$4)/('Choix pédagogiques'!$C$5-'Choix pédagogiques'!$C$4),"")</f>
        <v/>
      </c>
      <c r="AU226" s="53" t="str">
        <f aca="false">IF($E226&lt;&gt;"",$E226,"")</f>
        <v/>
      </c>
      <c r="AV226" s="52" t="str">
        <f aca="false">IF($F226&lt;&gt;"",$F226,"")</f>
        <v>Apprenant 214 ou 214'</v>
      </c>
      <c r="AW226" s="55" t="str">
        <f aca="false">IF(AND('Choix pédagogiques'!$C$4&lt;&gt;"?",'Choix pédagogiques'!$C$5&lt;&gt;"?",AB226&lt;&gt;""),(AB226-'Choix pédagogiques'!$C$4)/('Choix pédagogiques'!$C$5-'Choix pédagogiques'!$C$4),"")</f>
        <v/>
      </c>
      <c r="AX226" s="55" t="str">
        <f aca="false">IF(AND('Choix pédagogiques'!$C$4&lt;&gt;"?",'Choix pédagogiques'!$C$5&lt;&gt;"?",AC226&lt;&gt;""),(AC226-'Choix pédagogiques'!$C$4)/('Choix pédagogiques'!$C$5-'Choix pédagogiques'!$C$4),"")</f>
        <v/>
      </c>
      <c r="AY226" s="55" t="str">
        <f aca="false">IF(AND('Choix pédagogiques'!$C$4&lt;&gt;"?",'Choix pédagogiques'!$C$5&lt;&gt;"?",AD226&lt;&gt;""),(AD226-'Choix pédagogiques'!$C$4)/('Choix pédagogiques'!$C$5-'Choix pédagogiques'!$C$4),"")</f>
        <v/>
      </c>
      <c r="AZ226" s="53" t="str">
        <f aca="false">IF($J226&lt;&gt;"",$J226,"")</f>
        <v/>
      </c>
      <c r="BA226" s="52" t="str">
        <f aca="false">IF($A226&lt;&gt;"",$A226,"")</f>
        <v>Apprenant 214</v>
      </c>
      <c r="BB226" s="55" t="str">
        <f aca="false">IF(AND($AR226&lt;&gt;"",$AS226&lt;&gt;""),$AS226-$AR226,"")</f>
        <v/>
      </c>
      <c r="BC226" s="55" t="str">
        <f aca="false">IF(AND($AR226&lt;&gt;"",$AT226&lt;&gt;""),$AT226-$AR226,"")</f>
        <v/>
      </c>
      <c r="BD226" s="55" t="str">
        <f aca="false">IF(AND($AS226&lt;&gt;"",$AT226&lt;&gt;""),$AT226-$AS226,"")</f>
        <v/>
      </c>
      <c r="BE226" s="53" t="str">
        <f aca="false">IF($E226&lt;&gt;"",$E226,"")</f>
        <v/>
      </c>
      <c r="BF226" s="52" t="str">
        <f aca="false">IF($F226&lt;&gt;"",$F226,"")</f>
        <v>Apprenant 214 ou 214'</v>
      </c>
      <c r="BG226" s="55" t="str">
        <f aca="false">IF(AND($AW226&lt;&gt;"",$AX226&lt;&gt;""),$AX226-$AW226,"")</f>
        <v/>
      </c>
      <c r="BH226" s="55" t="str">
        <f aca="false">IF(AND($AW226&lt;&gt;"",$AY226&lt;&gt;""),$AY226-$AW226,"")</f>
        <v/>
      </c>
      <c r="BI226" s="55" t="str">
        <f aca="false">IF(AND($AX226&lt;&gt;"",$AY226&lt;&gt;""),$AY226-$AX226,"")</f>
        <v/>
      </c>
      <c r="BJ226" s="53" t="str">
        <f aca="false">IF($J226&lt;&gt;"",$J226,"")</f>
        <v/>
      </c>
      <c r="BL226" s="52"/>
      <c r="BM226" s="52" t="str">
        <f aca="false">IF(OR(COUNT(B226:D1225)=0,AND('Choix pédagogiques'!$C$3&lt;&gt;1,'Choix pédagogiques'!$C$3&lt;&gt;2)),"",IF(AND(OR('Choix pédagogiques'!$C$3=1,'Choix pédagogiques'!$C$3=2),$B226&lt;&gt;"",$C226&lt;&gt;"",$D226&lt;&gt;""),1,0))</f>
        <v/>
      </c>
      <c r="BN226" s="52" t="str">
        <f aca="false">IF(OR(COUNT(G226:I1225)=0,AND('Choix pédagogiques'!$C$3&lt;&gt;1,'Choix pédagogiques'!$C$3&lt;&gt;2)),"",IF(AND(OR('Choix pédagogiques'!$C$3=1,'Choix pédagogiques'!$C$3=2),AND($G226&lt;&gt;"",$H226&lt;&gt;"",$I226&lt;&gt;"")),1,0))</f>
        <v/>
      </c>
      <c r="BO226" s="52" t="str">
        <f aca="false">IF(OR(COUNT(B226:D1225)=0,COUNT(G226:I1225)=0,'Choix pédagogiques'!C$3&lt;&gt;3),"",IF(AND('Choix pédagogiques'!$C$3=3,$B226&lt;&gt;"",$C226&lt;&gt;"",$D226&lt;&gt;"",$G226&lt;&gt;"",$H226&lt;&gt;"",$I226&lt;&gt;""),1,0))</f>
        <v/>
      </c>
      <c r="BR226" s="52" t="n">
        <v>974</v>
      </c>
      <c r="BS226" s="52" t="n">
        <v>1660</v>
      </c>
    </row>
    <row r="227" s="54" customFormat="true" ht="18" hidden="false" customHeight="true" outlineLevel="0" collapsed="false">
      <c r="A227" s="57" t="s">
        <v>385</v>
      </c>
      <c r="B227" s="51"/>
      <c r="C227" s="51"/>
      <c r="D227" s="51"/>
      <c r="E227" s="51"/>
      <c r="F227" s="57" t="s">
        <v>386</v>
      </c>
      <c r="G227" s="51"/>
      <c r="H227" s="51"/>
      <c r="I227" s="51"/>
      <c r="J227" s="51"/>
      <c r="K227" s="52" t="str">
        <f aca="false">IF($A227&lt;&gt;"",$A227,"")</f>
        <v>Apprenant 215</v>
      </c>
      <c r="L227" s="53" t="str">
        <f aca="false">IF(AND($B227&lt;&gt;"",$C227&lt;&gt;""),$C227-$B227,"")</f>
        <v/>
      </c>
      <c r="M227" s="53" t="str">
        <f aca="false">IF(AND($B227&lt;&gt;"",$D227&lt;&gt;""),$D227-$B227,"")</f>
        <v/>
      </c>
      <c r="N227" s="53" t="str">
        <f aca="false">IF(AND($C227&lt;&gt;"",$D227&lt;&gt;""),$D227-$C227,"")</f>
        <v/>
      </c>
      <c r="O227" s="53" t="str">
        <f aca="false">IF($E227&lt;&gt;"",$E227,"")</f>
        <v/>
      </c>
      <c r="P227" s="52" t="str">
        <f aca="false">IF($F227&lt;&gt;"",$F227,"")</f>
        <v>Apprenant 215 ou 215'</v>
      </c>
      <c r="Q227" s="53" t="str">
        <f aca="false">IF(AND($G227&lt;&gt;"",$H227&lt;&gt;""),$H227-$G227,"")</f>
        <v/>
      </c>
      <c r="R227" s="53" t="str">
        <f aca="false">IF(AND($G227&lt;&gt;"",$I227&lt;&gt;""),$I227-$G227,"")</f>
        <v/>
      </c>
      <c r="S227" s="53" t="str">
        <f aca="false">IF(AND($H227&lt;&gt;"",$I227&lt;&gt;""),$I227-$H227,"")</f>
        <v/>
      </c>
      <c r="T227" s="53" t="str">
        <f aca="false">IF($J227&lt;&gt;"",$J227,"")</f>
        <v/>
      </c>
      <c r="V227" s="52" t="str">
        <f aca="false">IF($A227&lt;&gt;"",$A227,"")</f>
        <v>Apprenant 215</v>
      </c>
      <c r="W227" s="53" t="str">
        <f aca="false">IF(AND(OR('Choix pédagogiques'!$C$3=1,'Choix pédagogiques'!$C$3=2),$BM227=1),B227,IF(AND('Choix pédagogiques'!$C$3=3,$BO227=1),B227,""))</f>
        <v/>
      </c>
      <c r="X227" s="53" t="str">
        <f aca="false">IF(AND(OR('Choix pédagogiques'!$C$3=1,'Choix pédagogiques'!$C$3=2),$BM227=1),C227,IF(AND('Choix pédagogiques'!$C$3=3,$BO227=1),C227,""))</f>
        <v/>
      </c>
      <c r="Y227" s="53" t="str">
        <f aca="false">IF(AND(OR('Choix pédagogiques'!$C$3=1,'Choix pédagogiques'!$C$3=2),$BM227=1),D227,IF(AND('Choix pédagogiques'!$C$3=3,$BO227=1),D227,""))</f>
        <v/>
      </c>
      <c r="Z227" s="53" t="str">
        <f aca="false">IF($E227&lt;&gt;"",$E227,"")</f>
        <v/>
      </c>
      <c r="AA227" s="52" t="str">
        <f aca="false">IF($F227&lt;&gt;"",$F227,"")</f>
        <v>Apprenant 215 ou 215'</v>
      </c>
      <c r="AB227" s="53" t="str">
        <f aca="false">IF(AND(OR('Choix pédagogiques'!$C$3=1,'Choix pédagogiques'!$C$3=2),$BN227=1),G227,IF(AND('Choix pédagogiques'!$C$3=3,$BO227=1),G227,""))</f>
        <v/>
      </c>
      <c r="AC227" s="53" t="str">
        <f aca="false">IF(AND(OR('Choix pédagogiques'!$C$3=1,'Choix pédagogiques'!$C$3=2),$BN227=1),H227,IF(AND('Choix pédagogiques'!$C$3=3,$BO227=1),H227,""))</f>
        <v/>
      </c>
      <c r="AD227" s="53" t="str">
        <f aca="false">IF(AND(OR('Choix pédagogiques'!$C$3=1,'Choix pédagogiques'!$C$3=2),$BN227=1),I227,IF(AND('Choix pédagogiques'!$C$3=3,$BO227=1),I227,""))</f>
        <v/>
      </c>
      <c r="AE227" s="53" t="str">
        <f aca="false">IF($J227&lt;&gt;"",$J227,"")</f>
        <v/>
      </c>
      <c r="AF227" s="52" t="str">
        <f aca="false">IF($A227&lt;&gt;"",$A227,"")</f>
        <v>Apprenant 215</v>
      </c>
      <c r="AG227" s="53" t="str">
        <f aca="false">IF(AND($W227&lt;&gt;"",$X227&lt;&gt;""),$X227-$W227,"")</f>
        <v/>
      </c>
      <c r="AH227" s="53" t="str">
        <f aca="false">IF(AND($W227&lt;&gt;"",$Y227&lt;&gt;""),$Y227-$W227,"")</f>
        <v/>
      </c>
      <c r="AI227" s="53" t="str">
        <f aca="false">IF(AND($X227&lt;&gt;"",$Y227&lt;&gt;""),$Y227-$X227,"")</f>
        <v/>
      </c>
      <c r="AJ227" s="53" t="str">
        <f aca="false">IF($E227&lt;&gt;"",$E227,"")</f>
        <v/>
      </c>
      <c r="AK227" s="52" t="str">
        <f aca="false">IF($F227&lt;&gt;"",$F227,"")</f>
        <v>Apprenant 215 ou 215'</v>
      </c>
      <c r="AL227" s="53" t="str">
        <f aca="false">IF(AND($AB227&lt;&gt;"",$AC227&lt;&gt;""),$AC227-$AB227,"")</f>
        <v/>
      </c>
      <c r="AM227" s="53" t="str">
        <f aca="false">IF(AND($AB227&lt;&gt;"",$AD227&lt;&gt;""),$AD227-$AB227,"")</f>
        <v/>
      </c>
      <c r="AN227" s="53" t="str">
        <f aca="false">IF(AND($AC227&lt;&gt;"",$AD227&lt;&gt;""),$AD227-$AC227,"")</f>
        <v/>
      </c>
      <c r="AO227" s="53" t="str">
        <f aca="false">IF($J227&lt;&gt;"",$J227,"")</f>
        <v/>
      </c>
      <c r="AQ227" s="52" t="str">
        <f aca="false">IF($A227&lt;&gt;"",$A227,"")</f>
        <v>Apprenant 215</v>
      </c>
      <c r="AR227" s="55" t="str">
        <f aca="false">IF(AND('Choix pédagogiques'!$C$4&lt;&gt;"?",'Choix pédagogiques'!$C$5&lt;&gt;"?",W227&lt;&gt;""),(W227-'Choix pédagogiques'!$C$4)/('Choix pédagogiques'!$C$5-'Choix pédagogiques'!$C$4),"")</f>
        <v/>
      </c>
      <c r="AS227" s="55" t="str">
        <f aca="false">IF(AND('Choix pédagogiques'!$C$4&lt;&gt;"?",'Choix pédagogiques'!$C$5&lt;&gt;"?",X227&lt;&gt;""),(X227-'Choix pédagogiques'!$C$4)/('Choix pédagogiques'!$C$5-'Choix pédagogiques'!$C$4),"")</f>
        <v/>
      </c>
      <c r="AT227" s="55" t="str">
        <f aca="false">IF(AND('Choix pédagogiques'!$C$4&lt;&gt;"?",'Choix pédagogiques'!$C$5&lt;&gt;"?",Y227&lt;&gt;""),(Y227-'Choix pédagogiques'!$C$4)/('Choix pédagogiques'!$C$5-'Choix pédagogiques'!$C$4),"")</f>
        <v/>
      </c>
      <c r="AU227" s="53" t="str">
        <f aca="false">IF($E227&lt;&gt;"",$E227,"")</f>
        <v/>
      </c>
      <c r="AV227" s="52" t="str">
        <f aca="false">IF($F227&lt;&gt;"",$F227,"")</f>
        <v>Apprenant 215 ou 215'</v>
      </c>
      <c r="AW227" s="55" t="str">
        <f aca="false">IF(AND('Choix pédagogiques'!$C$4&lt;&gt;"?",'Choix pédagogiques'!$C$5&lt;&gt;"?",AB227&lt;&gt;""),(AB227-'Choix pédagogiques'!$C$4)/('Choix pédagogiques'!$C$5-'Choix pédagogiques'!$C$4),"")</f>
        <v/>
      </c>
      <c r="AX227" s="55" t="str">
        <f aca="false">IF(AND('Choix pédagogiques'!$C$4&lt;&gt;"?",'Choix pédagogiques'!$C$5&lt;&gt;"?",AC227&lt;&gt;""),(AC227-'Choix pédagogiques'!$C$4)/('Choix pédagogiques'!$C$5-'Choix pédagogiques'!$C$4),"")</f>
        <v/>
      </c>
      <c r="AY227" s="55" t="str">
        <f aca="false">IF(AND('Choix pédagogiques'!$C$4&lt;&gt;"?",'Choix pédagogiques'!$C$5&lt;&gt;"?",AD227&lt;&gt;""),(AD227-'Choix pédagogiques'!$C$4)/('Choix pédagogiques'!$C$5-'Choix pédagogiques'!$C$4),"")</f>
        <v/>
      </c>
      <c r="AZ227" s="53" t="str">
        <f aca="false">IF($J227&lt;&gt;"",$J227,"")</f>
        <v/>
      </c>
      <c r="BA227" s="52" t="str">
        <f aca="false">IF($A227&lt;&gt;"",$A227,"")</f>
        <v>Apprenant 215</v>
      </c>
      <c r="BB227" s="55" t="str">
        <f aca="false">IF(AND($AR227&lt;&gt;"",$AS227&lt;&gt;""),$AS227-$AR227,"")</f>
        <v/>
      </c>
      <c r="BC227" s="55" t="str">
        <f aca="false">IF(AND($AR227&lt;&gt;"",$AT227&lt;&gt;""),$AT227-$AR227,"")</f>
        <v/>
      </c>
      <c r="BD227" s="55" t="str">
        <f aca="false">IF(AND($AS227&lt;&gt;"",$AT227&lt;&gt;""),$AT227-$AS227,"")</f>
        <v/>
      </c>
      <c r="BE227" s="53" t="str">
        <f aca="false">IF($E227&lt;&gt;"",$E227,"")</f>
        <v/>
      </c>
      <c r="BF227" s="52" t="str">
        <f aca="false">IF($F227&lt;&gt;"",$F227,"")</f>
        <v>Apprenant 215 ou 215'</v>
      </c>
      <c r="BG227" s="55" t="str">
        <f aca="false">IF(AND($AW227&lt;&gt;"",$AX227&lt;&gt;""),$AX227-$AW227,"")</f>
        <v/>
      </c>
      <c r="BH227" s="55" t="str">
        <f aca="false">IF(AND($AW227&lt;&gt;"",$AY227&lt;&gt;""),$AY227-$AW227,"")</f>
        <v/>
      </c>
      <c r="BI227" s="55" t="str">
        <f aca="false">IF(AND($AX227&lt;&gt;"",$AY227&lt;&gt;""),$AY227-$AX227,"")</f>
        <v/>
      </c>
      <c r="BJ227" s="53" t="str">
        <f aca="false">IF($J227&lt;&gt;"",$J227,"")</f>
        <v/>
      </c>
      <c r="BL227" s="52"/>
      <c r="BM227" s="52" t="str">
        <f aca="false">IF(OR(COUNT(B227:D1226)=0,AND('Choix pédagogiques'!$C$3&lt;&gt;1,'Choix pédagogiques'!$C$3&lt;&gt;2)),"",IF(AND(OR('Choix pédagogiques'!$C$3=1,'Choix pédagogiques'!$C$3=2),$B227&lt;&gt;"",$C227&lt;&gt;"",$D227&lt;&gt;""),1,0))</f>
        <v/>
      </c>
      <c r="BN227" s="52" t="str">
        <f aca="false">IF(OR(COUNT(G227:I1226)=0,AND('Choix pédagogiques'!$C$3&lt;&gt;1,'Choix pédagogiques'!$C$3&lt;&gt;2)),"",IF(AND(OR('Choix pédagogiques'!$C$3=1,'Choix pédagogiques'!$C$3=2),AND($G227&lt;&gt;"",$H227&lt;&gt;"",$I227&lt;&gt;"")),1,0))</f>
        <v/>
      </c>
      <c r="BO227" s="52" t="str">
        <f aca="false">IF(OR(COUNT(B227:D1226)=0,COUNT(G227:I1226)=0,'Choix pédagogiques'!C$3&lt;&gt;3),"",IF(AND('Choix pédagogiques'!$C$3=3,$B227&lt;&gt;"",$C227&lt;&gt;"",$D227&lt;&gt;"",$G227&lt;&gt;"",$H227&lt;&gt;"",$I227&lt;&gt;""),1,0))</f>
        <v/>
      </c>
      <c r="BR227" s="52" t="n">
        <v>405</v>
      </c>
      <c r="BS227" s="52" t="n">
        <v>1739</v>
      </c>
    </row>
    <row r="228" s="54" customFormat="true" ht="18" hidden="false" customHeight="true" outlineLevel="0" collapsed="false">
      <c r="A228" s="57" t="s">
        <v>387</v>
      </c>
      <c r="B228" s="51"/>
      <c r="C228" s="51"/>
      <c r="D228" s="51"/>
      <c r="E228" s="51"/>
      <c r="F228" s="57" t="s">
        <v>388</v>
      </c>
      <c r="G228" s="51"/>
      <c r="H228" s="51"/>
      <c r="I228" s="51"/>
      <c r="J228" s="51"/>
      <c r="K228" s="52" t="str">
        <f aca="false">IF($A228&lt;&gt;"",$A228,"")</f>
        <v>Apprenant 216</v>
      </c>
      <c r="L228" s="53" t="str">
        <f aca="false">IF(AND($B228&lt;&gt;"",$C228&lt;&gt;""),$C228-$B228,"")</f>
        <v/>
      </c>
      <c r="M228" s="53" t="str">
        <f aca="false">IF(AND($B228&lt;&gt;"",$D228&lt;&gt;""),$D228-$B228,"")</f>
        <v/>
      </c>
      <c r="N228" s="53" t="str">
        <f aca="false">IF(AND($C228&lt;&gt;"",$D228&lt;&gt;""),$D228-$C228,"")</f>
        <v/>
      </c>
      <c r="O228" s="53" t="str">
        <f aca="false">IF($E228&lt;&gt;"",$E228,"")</f>
        <v/>
      </c>
      <c r="P228" s="52" t="str">
        <f aca="false">IF($F228&lt;&gt;"",$F228,"")</f>
        <v>Apprenant 216 ou 216'</v>
      </c>
      <c r="Q228" s="53" t="str">
        <f aca="false">IF(AND($G228&lt;&gt;"",$H228&lt;&gt;""),$H228-$G228,"")</f>
        <v/>
      </c>
      <c r="R228" s="53" t="str">
        <f aca="false">IF(AND($G228&lt;&gt;"",$I228&lt;&gt;""),$I228-$G228,"")</f>
        <v/>
      </c>
      <c r="S228" s="53" t="str">
        <f aca="false">IF(AND($H228&lt;&gt;"",$I228&lt;&gt;""),$I228-$H228,"")</f>
        <v/>
      </c>
      <c r="T228" s="53" t="str">
        <f aca="false">IF($J228&lt;&gt;"",$J228,"")</f>
        <v/>
      </c>
      <c r="V228" s="52" t="str">
        <f aca="false">IF($A228&lt;&gt;"",$A228,"")</f>
        <v>Apprenant 216</v>
      </c>
      <c r="W228" s="53" t="str">
        <f aca="false">IF(AND(OR('Choix pédagogiques'!$C$3=1,'Choix pédagogiques'!$C$3=2),$BM228=1),B228,IF(AND('Choix pédagogiques'!$C$3=3,$BO228=1),B228,""))</f>
        <v/>
      </c>
      <c r="X228" s="53" t="str">
        <f aca="false">IF(AND(OR('Choix pédagogiques'!$C$3=1,'Choix pédagogiques'!$C$3=2),$BM228=1),C228,IF(AND('Choix pédagogiques'!$C$3=3,$BO228=1),C228,""))</f>
        <v/>
      </c>
      <c r="Y228" s="53" t="str">
        <f aca="false">IF(AND(OR('Choix pédagogiques'!$C$3=1,'Choix pédagogiques'!$C$3=2),$BM228=1),D228,IF(AND('Choix pédagogiques'!$C$3=3,$BO228=1),D228,""))</f>
        <v/>
      </c>
      <c r="Z228" s="53" t="str">
        <f aca="false">IF($E228&lt;&gt;"",$E228,"")</f>
        <v/>
      </c>
      <c r="AA228" s="52" t="str">
        <f aca="false">IF($F228&lt;&gt;"",$F228,"")</f>
        <v>Apprenant 216 ou 216'</v>
      </c>
      <c r="AB228" s="53" t="str">
        <f aca="false">IF(AND(OR('Choix pédagogiques'!$C$3=1,'Choix pédagogiques'!$C$3=2),$BN228=1),G228,IF(AND('Choix pédagogiques'!$C$3=3,$BO228=1),G228,""))</f>
        <v/>
      </c>
      <c r="AC228" s="53" t="str">
        <f aca="false">IF(AND(OR('Choix pédagogiques'!$C$3=1,'Choix pédagogiques'!$C$3=2),$BN228=1),H228,IF(AND('Choix pédagogiques'!$C$3=3,$BO228=1),H228,""))</f>
        <v/>
      </c>
      <c r="AD228" s="53" t="str">
        <f aca="false">IF(AND(OR('Choix pédagogiques'!$C$3=1,'Choix pédagogiques'!$C$3=2),$BN228=1),I228,IF(AND('Choix pédagogiques'!$C$3=3,$BO228=1),I228,""))</f>
        <v/>
      </c>
      <c r="AE228" s="53" t="str">
        <f aca="false">IF($J228&lt;&gt;"",$J228,"")</f>
        <v/>
      </c>
      <c r="AF228" s="52" t="str">
        <f aca="false">IF($A228&lt;&gt;"",$A228,"")</f>
        <v>Apprenant 216</v>
      </c>
      <c r="AG228" s="53" t="str">
        <f aca="false">IF(AND($W228&lt;&gt;"",$X228&lt;&gt;""),$X228-$W228,"")</f>
        <v/>
      </c>
      <c r="AH228" s="53" t="str">
        <f aca="false">IF(AND($W228&lt;&gt;"",$Y228&lt;&gt;""),$Y228-$W228,"")</f>
        <v/>
      </c>
      <c r="AI228" s="53" t="str">
        <f aca="false">IF(AND($X228&lt;&gt;"",$Y228&lt;&gt;""),$Y228-$X228,"")</f>
        <v/>
      </c>
      <c r="AJ228" s="53" t="str">
        <f aca="false">IF($E228&lt;&gt;"",$E228,"")</f>
        <v/>
      </c>
      <c r="AK228" s="52" t="str">
        <f aca="false">IF($F228&lt;&gt;"",$F228,"")</f>
        <v>Apprenant 216 ou 216'</v>
      </c>
      <c r="AL228" s="53" t="str">
        <f aca="false">IF(AND($AB228&lt;&gt;"",$AC228&lt;&gt;""),$AC228-$AB228,"")</f>
        <v/>
      </c>
      <c r="AM228" s="53" t="str">
        <f aca="false">IF(AND($AB228&lt;&gt;"",$AD228&lt;&gt;""),$AD228-$AB228,"")</f>
        <v/>
      </c>
      <c r="AN228" s="53" t="str">
        <f aca="false">IF(AND($AC228&lt;&gt;"",$AD228&lt;&gt;""),$AD228-$AC228,"")</f>
        <v/>
      </c>
      <c r="AO228" s="53" t="str">
        <f aca="false">IF($J228&lt;&gt;"",$J228,"")</f>
        <v/>
      </c>
      <c r="AQ228" s="52" t="str">
        <f aca="false">IF($A228&lt;&gt;"",$A228,"")</f>
        <v>Apprenant 216</v>
      </c>
      <c r="AR228" s="55" t="str">
        <f aca="false">IF(AND('Choix pédagogiques'!$C$4&lt;&gt;"?",'Choix pédagogiques'!$C$5&lt;&gt;"?",W228&lt;&gt;""),(W228-'Choix pédagogiques'!$C$4)/('Choix pédagogiques'!$C$5-'Choix pédagogiques'!$C$4),"")</f>
        <v/>
      </c>
      <c r="AS228" s="55" t="str">
        <f aca="false">IF(AND('Choix pédagogiques'!$C$4&lt;&gt;"?",'Choix pédagogiques'!$C$5&lt;&gt;"?",X228&lt;&gt;""),(X228-'Choix pédagogiques'!$C$4)/('Choix pédagogiques'!$C$5-'Choix pédagogiques'!$C$4),"")</f>
        <v/>
      </c>
      <c r="AT228" s="55" t="str">
        <f aca="false">IF(AND('Choix pédagogiques'!$C$4&lt;&gt;"?",'Choix pédagogiques'!$C$5&lt;&gt;"?",Y228&lt;&gt;""),(Y228-'Choix pédagogiques'!$C$4)/('Choix pédagogiques'!$C$5-'Choix pédagogiques'!$C$4),"")</f>
        <v/>
      </c>
      <c r="AU228" s="53" t="str">
        <f aca="false">IF($E228&lt;&gt;"",$E228,"")</f>
        <v/>
      </c>
      <c r="AV228" s="52" t="str">
        <f aca="false">IF($F228&lt;&gt;"",$F228,"")</f>
        <v>Apprenant 216 ou 216'</v>
      </c>
      <c r="AW228" s="55" t="str">
        <f aca="false">IF(AND('Choix pédagogiques'!$C$4&lt;&gt;"?",'Choix pédagogiques'!$C$5&lt;&gt;"?",AB228&lt;&gt;""),(AB228-'Choix pédagogiques'!$C$4)/('Choix pédagogiques'!$C$5-'Choix pédagogiques'!$C$4),"")</f>
        <v/>
      </c>
      <c r="AX228" s="55" t="str">
        <f aca="false">IF(AND('Choix pédagogiques'!$C$4&lt;&gt;"?",'Choix pédagogiques'!$C$5&lt;&gt;"?",AC228&lt;&gt;""),(AC228-'Choix pédagogiques'!$C$4)/('Choix pédagogiques'!$C$5-'Choix pédagogiques'!$C$4),"")</f>
        <v/>
      </c>
      <c r="AY228" s="55" t="str">
        <f aca="false">IF(AND('Choix pédagogiques'!$C$4&lt;&gt;"?",'Choix pédagogiques'!$C$5&lt;&gt;"?",AD228&lt;&gt;""),(AD228-'Choix pédagogiques'!$C$4)/('Choix pédagogiques'!$C$5-'Choix pédagogiques'!$C$4),"")</f>
        <v/>
      </c>
      <c r="AZ228" s="53" t="str">
        <f aca="false">IF($J228&lt;&gt;"",$J228,"")</f>
        <v/>
      </c>
      <c r="BA228" s="52" t="str">
        <f aca="false">IF($A228&lt;&gt;"",$A228,"")</f>
        <v>Apprenant 216</v>
      </c>
      <c r="BB228" s="55" t="str">
        <f aca="false">IF(AND($AR228&lt;&gt;"",$AS228&lt;&gt;""),$AS228-$AR228,"")</f>
        <v/>
      </c>
      <c r="BC228" s="55" t="str">
        <f aca="false">IF(AND($AR228&lt;&gt;"",$AT228&lt;&gt;""),$AT228-$AR228,"")</f>
        <v/>
      </c>
      <c r="BD228" s="55" t="str">
        <f aca="false">IF(AND($AS228&lt;&gt;"",$AT228&lt;&gt;""),$AT228-$AS228,"")</f>
        <v/>
      </c>
      <c r="BE228" s="53" t="str">
        <f aca="false">IF($E228&lt;&gt;"",$E228,"")</f>
        <v/>
      </c>
      <c r="BF228" s="52" t="str">
        <f aca="false">IF($F228&lt;&gt;"",$F228,"")</f>
        <v>Apprenant 216 ou 216'</v>
      </c>
      <c r="BG228" s="55" t="str">
        <f aca="false">IF(AND($AW228&lt;&gt;"",$AX228&lt;&gt;""),$AX228-$AW228,"")</f>
        <v/>
      </c>
      <c r="BH228" s="55" t="str">
        <f aca="false">IF(AND($AW228&lt;&gt;"",$AY228&lt;&gt;""),$AY228-$AW228,"")</f>
        <v/>
      </c>
      <c r="BI228" s="55" t="str">
        <f aca="false">IF(AND($AX228&lt;&gt;"",$AY228&lt;&gt;""),$AY228-$AX228,"")</f>
        <v/>
      </c>
      <c r="BJ228" s="53" t="str">
        <f aca="false">IF($J228&lt;&gt;"",$J228,"")</f>
        <v/>
      </c>
      <c r="BL228" s="52"/>
      <c r="BM228" s="52" t="str">
        <f aca="false">IF(OR(COUNT(B228:D1227)=0,AND('Choix pédagogiques'!$C$3&lt;&gt;1,'Choix pédagogiques'!$C$3&lt;&gt;2)),"",IF(AND(OR('Choix pédagogiques'!$C$3=1,'Choix pédagogiques'!$C$3=2),$B228&lt;&gt;"",$C228&lt;&gt;"",$D228&lt;&gt;""),1,0))</f>
        <v/>
      </c>
      <c r="BN228" s="52" t="str">
        <f aca="false">IF(OR(COUNT(G228:I1227)=0,AND('Choix pédagogiques'!$C$3&lt;&gt;1,'Choix pédagogiques'!$C$3&lt;&gt;2)),"",IF(AND(OR('Choix pédagogiques'!$C$3=1,'Choix pédagogiques'!$C$3=2),AND($G228&lt;&gt;"",$H228&lt;&gt;"",$I228&lt;&gt;"")),1,0))</f>
        <v/>
      </c>
      <c r="BO228" s="52" t="str">
        <f aca="false">IF(OR(COUNT(B228:D1227)=0,COUNT(G228:I1227)=0,'Choix pédagogiques'!C$3&lt;&gt;3),"",IF(AND('Choix pédagogiques'!$C$3=3,$B228&lt;&gt;"",$C228&lt;&gt;"",$D228&lt;&gt;"",$G228&lt;&gt;"",$H228&lt;&gt;"",$I228&lt;&gt;""),1,0))</f>
        <v/>
      </c>
      <c r="BR228" s="52" t="n">
        <v>59</v>
      </c>
      <c r="BS228" s="52" t="n">
        <v>1485</v>
      </c>
    </row>
    <row r="229" s="54" customFormat="true" ht="18" hidden="false" customHeight="true" outlineLevel="0" collapsed="false">
      <c r="A229" s="57" t="s">
        <v>389</v>
      </c>
      <c r="B229" s="51"/>
      <c r="C229" s="51"/>
      <c r="D229" s="51"/>
      <c r="E229" s="51"/>
      <c r="F229" s="57" t="s">
        <v>390</v>
      </c>
      <c r="G229" s="51"/>
      <c r="H229" s="51"/>
      <c r="I229" s="51"/>
      <c r="J229" s="51"/>
      <c r="K229" s="52" t="str">
        <f aca="false">IF($A229&lt;&gt;"",$A229,"")</f>
        <v>Apprenant 217</v>
      </c>
      <c r="L229" s="53" t="str">
        <f aca="false">IF(AND($B229&lt;&gt;"",$C229&lt;&gt;""),$C229-$B229,"")</f>
        <v/>
      </c>
      <c r="M229" s="53" t="str">
        <f aca="false">IF(AND($B229&lt;&gt;"",$D229&lt;&gt;""),$D229-$B229,"")</f>
        <v/>
      </c>
      <c r="N229" s="53" t="str">
        <f aca="false">IF(AND($C229&lt;&gt;"",$D229&lt;&gt;""),$D229-$C229,"")</f>
        <v/>
      </c>
      <c r="O229" s="53" t="str">
        <f aca="false">IF($E229&lt;&gt;"",$E229,"")</f>
        <v/>
      </c>
      <c r="P229" s="52" t="str">
        <f aca="false">IF($F229&lt;&gt;"",$F229,"")</f>
        <v>Apprenant 217 ou 217'</v>
      </c>
      <c r="Q229" s="53" t="str">
        <f aca="false">IF(AND($G229&lt;&gt;"",$H229&lt;&gt;""),$H229-$G229,"")</f>
        <v/>
      </c>
      <c r="R229" s="53" t="str">
        <f aca="false">IF(AND($G229&lt;&gt;"",$I229&lt;&gt;""),$I229-$G229,"")</f>
        <v/>
      </c>
      <c r="S229" s="53" t="str">
        <f aca="false">IF(AND($H229&lt;&gt;"",$I229&lt;&gt;""),$I229-$H229,"")</f>
        <v/>
      </c>
      <c r="T229" s="53" t="str">
        <f aca="false">IF($J229&lt;&gt;"",$J229,"")</f>
        <v/>
      </c>
      <c r="V229" s="52" t="str">
        <f aca="false">IF($A229&lt;&gt;"",$A229,"")</f>
        <v>Apprenant 217</v>
      </c>
      <c r="W229" s="53" t="str">
        <f aca="false">IF(AND(OR('Choix pédagogiques'!$C$3=1,'Choix pédagogiques'!$C$3=2),$BM229=1),B229,IF(AND('Choix pédagogiques'!$C$3=3,$BO229=1),B229,""))</f>
        <v/>
      </c>
      <c r="X229" s="53" t="str">
        <f aca="false">IF(AND(OR('Choix pédagogiques'!$C$3=1,'Choix pédagogiques'!$C$3=2),$BM229=1),C229,IF(AND('Choix pédagogiques'!$C$3=3,$BO229=1),C229,""))</f>
        <v/>
      </c>
      <c r="Y229" s="53" t="str">
        <f aca="false">IF(AND(OR('Choix pédagogiques'!$C$3=1,'Choix pédagogiques'!$C$3=2),$BM229=1),D229,IF(AND('Choix pédagogiques'!$C$3=3,$BO229=1),D229,""))</f>
        <v/>
      </c>
      <c r="Z229" s="53" t="str">
        <f aca="false">IF($E229&lt;&gt;"",$E229,"")</f>
        <v/>
      </c>
      <c r="AA229" s="52" t="str">
        <f aca="false">IF($F229&lt;&gt;"",$F229,"")</f>
        <v>Apprenant 217 ou 217'</v>
      </c>
      <c r="AB229" s="53" t="str">
        <f aca="false">IF(AND(OR('Choix pédagogiques'!$C$3=1,'Choix pédagogiques'!$C$3=2),$BN229=1),G229,IF(AND('Choix pédagogiques'!$C$3=3,$BO229=1),G229,""))</f>
        <v/>
      </c>
      <c r="AC229" s="53" t="str">
        <f aca="false">IF(AND(OR('Choix pédagogiques'!$C$3=1,'Choix pédagogiques'!$C$3=2),$BN229=1),H229,IF(AND('Choix pédagogiques'!$C$3=3,$BO229=1),H229,""))</f>
        <v/>
      </c>
      <c r="AD229" s="53" t="str">
        <f aca="false">IF(AND(OR('Choix pédagogiques'!$C$3=1,'Choix pédagogiques'!$C$3=2),$BN229=1),I229,IF(AND('Choix pédagogiques'!$C$3=3,$BO229=1),I229,""))</f>
        <v/>
      </c>
      <c r="AE229" s="53" t="str">
        <f aca="false">IF($J229&lt;&gt;"",$J229,"")</f>
        <v/>
      </c>
      <c r="AF229" s="52" t="str">
        <f aca="false">IF($A229&lt;&gt;"",$A229,"")</f>
        <v>Apprenant 217</v>
      </c>
      <c r="AG229" s="53" t="str">
        <f aca="false">IF(AND($W229&lt;&gt;"",$X229&lt;&gt;""),$X229-$W229,"")</f>
        <v/>
      </c>
      <c r="AH229" s="53" t="str">
        <f aca="false">IF(AND($W229&lt;&gt;"",$Y229&lt;&gt;""),$Y229-$W229,"")</f>
        <v/>
      </c>
      <c r="AI229" s="53" t="str">
        <f aca="false">IF(AND($X229&lt;&gt;"",$Y229&lt;&gt;""),$Y229-$X229,"")</f>
        <v/>
      </c>
      <c r="AJ229" s="53" t="str">
        <f aca="false">IF($E229&lt;&gt;"",$E229,"")</f>
        <v/>
      </c>
      <c r="AK229" s="52" t="str">
        <f aca="false">IF($F229&lt;&gt;"",$F229,"")</f>
        <v>Apprenant 217 ou 217'</v>
      </c>
      <c r="AL229" s="53" t="str">
        <f aca="false">IF(AND($AB229&lt;&gt;"",$AC229&lt;&gt;""),$AC229-$AB229,"")</f>
        <v/>
      </c>
      <c r="AM229" s="53" t="str">
        <f aca="false">IF(AND($AB229&lt;&gt;"",$AD229&lt;&gt;""),$AD229-$AB229,"")</f>
        <v/>
      </c>
      <c r="AN229" s="53" t="str">
        <f aca="false">IF(AND($AC229&lt;&gt;"",$AD229&lt;&gt;""),$AD229-$AC229,"")</f>
        <v/>
      </c>
      <c r="AO229" s="53" t="str">
        <f aca="false">IF($J229&lt;&gt;"",$J229,"")</f>
        <v/>
      </c>
      <c r="AQ229" s="52" t="str">
        <f aca="false">IF($A229&lt;&gt;"",$A229,"")</f>
        <v>Apprenant 217</v>
      </c>
      <c r="AR229" s="55" t="str">
        <f aca="false">IF(AND('Choix pédagogiques'!$C$4&lt;&gt;"?",'Choix pédagogiques'!$C$5&lt;&gt;"?",W229&lt;&gt;""),(W229-'Choix pédagogiques'!$C$4)/('Choix pédagogiques'!$C$5-'Choix pédagogiques'!$C$4),"")</f>
        <v/>
      </c>
      <c r="AS229" s="55" t="str">
        <f aca="false">IF(AND('Choix pédagogiques'!$C$4&lt;&gt;"?",'Choix pédagogiques'!$C$5&lt;&gt;"?",X229&lt;&gt;""),(X229-'Choix pédagogiques'!$C$4)/('Choix pédagogiques'!$C$5-'Choix pédagogiques'!$C$4),"")</f>
        <v/>
      </c>
      <c r="AT229" s="55" t="str">
        <f aca="false">IF(AND('Choix pédagogiques'!$C$4&lt;&gt;"?",'Choix pédagogiques'!$C$5&lt;&gt;"?",Y229&lt;&gt;""),(Y229-'Choix pédagogiques'!$C$4)/('Choix pédagogiques'!$C$5-'Choix pédagogiques'!$C$4),"")</f>
        <v/>
      </c>
      <c r="AU229" s="53" t="str">
        <f aca="false">IF($E229&lt;&gt;"",$E229,"")</f>
        <v/>
      </c>
      <c r="AV229" s="52" t="str">
        <f aca="false">IF($F229&lt;&gt;"",$F229,"")</f>
        <v>Apprenant 217 ou 217'</v>
      </c>
      <c r="AW229" s="55" t="str">
        <f aca="false">IF(AND('Choix pédagogiques'!$C$4&lt;&gt;"?",'Choix pédagogiques'!$C$5&lt;&gt;"?",AB229&lt;&gt;""),(AB229-'Choix pédagogiques'!$C$4)/('Choix pédagogiques'!$C$5-'Choix pédagogiques'!$C$4),"")</f>
        <v/>
      </c>
      <c r="AX229" s="55" t="str">
        <f aca="false">IF(AND('Choix pédagogiques'!$C$4&lt;&gt;"?",'Choix pédagogiques'!$C$5&lt;&gt;"?",AC229&lt;&gt;""),(AC229-'Choix pédagogiques'!$C$4)/('Choix pédagogiques'!$C$5-'Choix pédagogiques'!$C$4),"")</f>
        <v/>
      </c>
      <c r="AY229" s="55" t="str">
        <f aca="false">IF(AND('Choix pédagogiques'!$C$4&lt;&gt;"?",'Choix pédagogiques'!$C$5&lt;&gt;"?",AD229&lt;&gt;""),(AD229-'Choix pédagogiques'!$C$4)/('Choix pédagogiques'!$C$5-'Choix pédagogiques'!$C$4),"")</f>
        <v/>
      </c>
      <c r="AZ229" s="53" t="str">
        <f aca="false">IF($J229&lt;&gt;"",$J229,"")</f>
        <v/>
      </c>
      <c r="BA229" s="52" t="str">
        <f aca="false">IF($A229&lt;&gt;"",$A229,"")</f>
        <v>Apprenant 217</v>
      </c>
      <c r="BB229" s="55" t="str">
        <f aca="false">IF(AND($AR229&lt;&gt;"",$AS229&lt;&gt;""),$AS229-$AR229,"")</f>
        <v/>
      </c>
      <c r="BC229" s="55" t="str">
        <f aca="false">IF(AND($AR229&lt;&gt;"",$AT229&lt;&gt;""),$AT229-$AR229,"")</f>
        <v/>
      </c>
      <c r="BD229" s="55" t="str">
        <f aca="false">IF(AND($AS229&lt;&gt;"",$AT229&lt;&gt;""),$AT229-$AS229,"")</f>
        <v/>
      </c>
      <c r="BE229" s="53" t="str">
        <f aca="false">IF($E229&lt;&gt;"",$E229,"")</f>
        <v/>
      </c>
      <c r="BF229" s="52" t="str">
        <f aca="false">IF($F229&lt;&gt;"",$F229,"")</f>
        <v>Apprenant 217 ou 217'</v>
      </c>
      <c r="BG229" s="55" t="str">
        <f aca="false">IF(AND($AW229&lt;&gt;"",$AX229&lt;&gt;""),$AX229-$AW229,"")</f>
        <v/>
      </c>
      <c r="BH229" s="55" t="str">
        <f aca="false">IF(AND($AW229&lt;&gt;"",$AY229&lt;&gt;""),$AY229-$AW229,"")</f>
        <v/>
      </c>
      <c r="BI229" s="55" t="str">
        <f aca="false">IF(AND($AX229&lt;&gt;"",$AY229&lt;&gt;""),$AY229-$AX229,"")</f>
        <v/>
      </c>
      <c r="BJ229" s="53" t="str">
        <f aca="false">IF($J229&lt;&gt;"",$J229,"")</f>
        <v/>
      </c>
      <c r="BL229" s="52"/>
      <c r="BM229" s="52" t="str">
        <f aca="false">IF(OR(COUNT(B229:D1228)=0,AND('Choix pédagogiques'!$C$3&lt;&gt;1,'Choix pédagogiques'!$C$3&lt;&gt;2)),"",IF(AND(OR('Choix pédagogiques'!$C$3=1,'Choix pédagogiques'!$C$3=2),$B229&lt;&gt;"",$C229&lt;&gt;"",$D229&lt;&gt;""),1,0))</f>
        <v/>
      </c>
      <c r="BN229" s="52" t="str">
        <f aca="false">IF(OR(COUNT(G229:I1228)=0,AND('Choix pédagogiques'!$C$3&lt;&gt;1,'Choix pédagogiques'!$C$3&lt;&gt;2)),"",IF(AND(OR('Choix pédagogiques'!$C$3=1,'Choix pédagogiques'!$C$3=2),AND($G229&lt;&gt;"",$H229&lt;&gt;"",$I229&lt;&gt;"")),1,0))</f>
        <v/>
      </c>
      <c r="BO229" s="52" t="str">
        <f aca="false">IF(OR(COUNT(B229:D1228)=0,COUNT(G229:I1228)=0,'Choix pédagogiques'!C$3&lt;&gt;3),"",IF(AND('Choix pédagogiques'!$C$3=3,$B229&lt;&gt;"",$C229&lt;&gt;"",$D229&lt;&gt;"",$G229&lt;&gt;"",$H229&lt;&gt;"",$I229&lt;&gt;""),1,0))</f>
        <v/>
      </c>
      <c r="BR229" s="52" t="n">
        <v>172</v>
      </c>
      <c r="BS229" s="52" t="n">
        <v>1292</v>
      </c>
    </row>
    <row r="230" s="54" customFormat="true" ht="18" hidden="false" customHeight="true" outlineLevel="0" collapsed="false">
      <c r="A230" s="57" t="s">
        <v>391</v>
      </c>
      <c r="B230" s="51"/>
      <c r="C230" s="51"/>
      <c r="D230" s="51"/>
      <c r="E230" s="51"/>
      <c r="F230" s="57" t="s">
        <v>392</v>
      </c>
      <c r="G230" s="51"/>
      <c r="H230" s="51"/>
      <c r="I230" s="51"/>
      <c r="J230" s="51"/>
      <c r="K230" s="52" t="str">
        <f aca="false">IF($A230&lt;&gt;"",$A230,"")</f>
        <v>Apprenant 218</v>
      </c>
      <c r="L230" s="53" t="str">
        <f aca="false">IF(AND($B230&lt;&gt;"",$C230&lt;&gt;""),$C230-$B230,"")</f>
        <v/>
      </c>
      <c r="M230" s="53" t="str">
        <f aca="false">IF(AND($B230&lt;&gt;"",$D230&lt;&gt;""),$D230-$B230,"")</f>
        <v/>
      </c>
      <c r="N230" s="53" t="str">
        <f aca="false">IF(AND($C230&lt;&gt;"",$D230&lt;&gt;""),$D230-$C230,"")</f>
        <v/>
      </c>
      <c r="O230" s="53" t="str">
        <f aca="false">IF($E230&lt;&gt;"",$E230,"")</f>
        <v/>
      </c>
      <c r="P230" s="52" t="str">
        <f aca="false">IF($F230&lt;&gt;"",$F230,"")</f>
        <v>Apprenant 218 ou 218'</v>
      </c>
      <c r="Q230" s="53" t="str">
        <f aca="false">IF(AND($G230&lt;&gt;"",$H230&lt;&gt;""),$H230-$G230,"")</f>
        <v/>
      </c>
      <c r="R230" s="53" t="str">
        <f aca="false">IF(AND($G230&lt;&gt;"",$I230&lt;&gt;""),$I230-$G230,"")</f>
        <v/>
      </c>
      <c r="S230" s="53" t="str">
        <f aca="false">IF(AND($H230&lt;&gt;"",$I230&lt;&gt;""),$I230-$H230,"")</f>
        <v/>
      </c>
      <c r="T230" s="53" t="str">
        <f aca="false">IF($J230&lt;&gt;"",$J230,"")</f>
        <v/>
      </c>
      <c r="V230" s="52" t="str">
        <f aca="false">IF($A230&lt;&gt;"",$A230,"")</f>
        <v>Apprenant 218</v>
      </c>
      <c r="W230" s="53" t="str">
        <f aca="false">IF(AND(OR('Choix pédagogiques'!$C$3=1,'Choix pédagogiques'!$C$3=2),$BM230=1),B230,IF(AND('Choix pédagogiques'!$C$3=3,$BO230=1),B230,""))</f>
        <v/>
      </c>
      <c r="X230" s="53" t="str">
        <f aca="false">IF(AND(OR('Choix pédagogiques'!$C$3=1,'Choix pédagogiques'!$C$3=2),$BM230=1),C230,IF(AND('Choix pédagogiques'!$C$3=3,$BO230=1),C230,""))</f>
        <v/>
      </c>
      <c r="Y230" s="53" t="str">
        <f aca="false">IF(AND(OR('Choix pédagogiques'!$C$3=1,'Choix pédagogiques'!$C$3=2),$BM230=1),D230,IF(AND('Choix pédagogiques'!$C$3=3,$BO230=1),D230,""))</f>
        <v/>
      </c>
      <c r="Z230" s="53" t="str">
        <f aca="false">IF($E230&lt;&gt;"",$E230,"")</f>
        <v/>
      </c>
      <c r="AA230" s="52" t="str">
        <f aca="false">IF($F230&lt;&gt;"",$F230,"")</f>
        <v>Apprenant 218 ou 218'</v>
      </c>
      <c r="AB230" s="53" t="str">
        <f aca="false">IF(AND(OR('Choix pédagogiques'!$C$3=1,'Choix pédagogiques'!$C$3=2),$BN230=1),G230,IF(AND('Choix pédagogiques'!$C$3=3,$BO230=1),G230,""))</f>
        <v/>
      </c>
      <c r="AC230" s="53" t="str">
        <f aca="false">IF(AND(OR('Choix pédagogiques'!$C$3=1,'Choix pédagogiques'!$C$3=2),$BN230=1),H230,IF(AND('Choix pédagogiques'!$C$3=3,$BO230=1),H230,""))</f>
        <v/>
      </c>
      <c r="AD230" s="53" t="str">
        <f aca="false">IF(AND(OR('Choix pédagogiques'!$C$3=1,'Choix pédagogiques'!$C$3=2),$BN230=1),I230,IF(AND('Choix pédagogiques'!$C$3=3,$BO230=1),I230,""))</f>
        <v/>
      </c>
      <c r="AE230" s="53" t="str">
        <f aca="false">IF($J230&lt;&gt;"",$J230,"")</f>
        <v/>
      </c>
      <c r="AF230" s="52" t="str">
        <f aca="false">IF($A230&lt;&gt;"",$A230,"")</f>
        <v>Apprenant 218</v>
      </c>
      <c r="AG230" s="53" t="str">
        <f aca="false">IF(AND($W230&lt;&gt;"",$X230&lt;&gt;""),$X230-$W230,"")</f>
        <v/>
      </c>
      <c r="AH230" s="53" t="str">
        <f aca="false">IF(AND($W230&lt;&gt;"",$Y230&lt;&gt;""),$Y230-$W230,"")</f>
        <v/>
      </c>
      <c r="AI230" s="53" t="str">
        <f aca="false">IF(AND($X230&lt;&gt;"",$Y230&lt;&gt;""),$Y230-$X230,"")</f>
        <v/>
      </c>
      <c r="AJ230" s="53" t="str">
        <f aca="false">IF($E230&lt;&gt;"",$E230,"")</f>
        <v/>
      </c>
      <c r="AK230" s="52" t="str">
        <f aca="false">IF($F230&lt;&gt;"",$F230,"")</f>
        <v>Apprenant 218 ou 218'</v>
      </c>
      <c r="AL230" s="53" t="str">
        <f aca="false">IF(AND($AB230&lt;&gt;"",$AC230&lt;&gt;""),$AC230-$AB230,"")</f>
        <v/>
      </c>
      <c r="AM230" s="53" t="str">
        <f aca="false">IF(AND($AB230&lt;&gt;"",$AD230&lt;&gt;""),$AD230-$AB230,"")</f>
        <v/>
      </c>
      <c r="AN230" s="53" t="str">
        <f aca="false">IF(AND($AC230&lt;&gt;"",$AD230&lt;&gt;""),$AD230-$AC230,"")</f>
        <v/>
      </c>
      <c r="AO230" s="53" t="str">
        <f aca="false">IF($J230&lt;&gt;"",$J230,"")</f>
        <v/>
      </c>
      <c r="AQ230" s="52" t="str">
        <f aca="false">IF($A230&lt;&gt;"",$A230,"")</f>
        <v>Apprenant 218</v>
      </c>
      <c r="AR230" s="55" t="str">
        <f aca="false">IF(AND('Choix pédagogiques'!$C$4&lt;&gt;"?",'Choix pédagogiques'!$C$5&lt;&gt;"?",W230&lt;&gt;""),(W230-'Choix pédagogiques'!$C$4)/('Choix pédagogiques'!$C$5-'Choix pédagogiques'!$C$4),"")</f>
        <v/>
      </c>
      <c r="AS230" s="55" t="str">
        <f aca="false">IF(AND('Choix pédagogiques'!$C$4&lt;&gt;"?",'Choix pédagogiques'!$C$5&lt;&gt;"?",X230&lt;&gt;""),(X230-'Choix pédagogiques'!$C$4)/('Choix pédagogiques'!$C$5-'Choix pédagogiques'!$C$4),"")</f>
        <v/>
      </c>
      <c r="AT230" s="55" t="str">
        <f aca="false">IF(AND('Choix pédagogiques'!$C$4&lt;&gt;"?",'Choix pédagogiques'!$C$5&lt;&gt;"?",Y230&lt;&gt;""),(Y230-'Choix pédagogiques'!$C$4)/('Choix pédagogiques'!$C$5-'Choix pédagogiques'!$C$4),"")</f>
        <v/>
      </c>
      <c r="AU230" s="53" t="str">
        <f aca="false">IF($E230&lt;&gt;"",$E230,"")</f>
        <v/>
      </c>
      <c r="AV230" s="52" t="str">
        <f aca="false">IF($F230&lt;&gt;"",$F230,"")</f>
        <v>Apprenant 218 ou 218'</v>
      </c>
      <c r="AW230" s="55" t="str">
        <f aca="false">IF(AND('Choix pédagogiques'!$C$4&lt;&gt;"?",'Choix pédagogiques'!$C$5&lt;&gt;"?",AB230&lt;&gt;""),(AB230-'Choix pédagogiques'!$C$4)/('Choix pédagogiques'!$C$5-'Choix pédagogiques'!$C$4),"")</f>
        <v/>
      </c>
      <c r="AX230" s="55" t="str">
        <f aca="false">IF(AND('Choix pédagogiques'!$C$4&lt;&gt;"?",'Choix pédagogiques'!$C$5&lt;&gt;"?",AC230&lt;&gt;""),(AC230-'Choix pédagogiques'!$C$4)/('Choix pédagogiques'!$C$5-'Choix pédagogiques'!$C$4),"")</f>
        <v/>
      </c>
      <c r="AY230" s="55" t="str">
        <f aca="false">IF(AND('Choix pédagogiques'!$C$4&lt;&gt;"?",'Choix pédagogiques'!$C$5&lt;&gt;"?",AD230&lt;&gt;""),(AD230-'Choix pédagogiques'!$C$4)/('Choix pédagogiques'!$C$5-'Choix pédagogiques'!$C$4),"")</f>
        <v/>
      </c>
      <c r="AZ230" s="53" t="str">
        <f aca="false">IF($J230&lt;&gt;"",$J230,"")</f>
        <v/>
      </c>
      <c r="BA230" s="52" t="str">
        <f aca="false">IF($A230&lt;&gt;"",$A230,"")</f>
        <v>Apprenant 218</v>
      </c>
      <c r="BB230" s="55" t="str">
        <f aca="false">IF(AND($AR230&lt;&gt;"",$AS230&lt;&gt;""),$AS230-$AR230,"")</f>
        <v/>
      </c>
      <c r="BC230" s="55" t="str">
        <f aca="false">IF(AND($AR230&lt;&gt;"",$AT230&lt;&gt;""),$AT230-$AR230,"")</f>
        <v/>
      </c>
      <c r="BD230" s="55" t="str">
        <f aca="false">IF(AND($AS230&lt;&gt;"",$AT230&lt;&gt;""),$AT230-$AS230,"")</f>
        <v/>
      </c>
      <c r="BE230" s="53" t="str">
        <f aca="false">IF($E230&lt;&gt;"",$E230,"")</f>
        <v/>
      </c>
      <c r="BF230" s="52" t="str">
        <f aca="false">IF($F230&lt;&gt;"",$F230,"")</f>
        <v>Apprenant 218 ou 218'</v>
      </c>
      <c r="BG230" s="55" t="str">
        <f aca="false">IF(AND($AW230&lt;&gt;"",$AX230&lt;&gt;""),$AX230-$AW230,"")</f>
        <v/>
      </c>
      <c r="BH230" s="55" t="str">
        <f aca="false">IF(AND($AW230&lt;&gt;"",$AY230&lt;&gt;""),$AY230-$AW230,"")</f>
        <v/>
      </c>
      <c r="BI230" s="55" t="str">
        <f aca="false">IF(AND($AX230&lt;&gt;"",$AY230&lt;&gt;""),$AY230-$AX230,"")</f>
        <v/>
      </c>
      <c r="BJ230" s="53" t="str">
        <f aca="false">IF($J230&lt;&gt;"",$J230,"")</f>
        <v/>
      </c>
      <c r="BL230" s="52"/>
      <c r="BM230" s="52" t="str">
        <f aca="false">IF(OR(COUNT(B230:D1229)=0,AND('Choix pédagogiques'!$C$3&lt;&gt;1,'Choix pédagogiques'!$C$3&lt;&gt;2)),"",IF(AND(OR('Choix pédagogiques'!$C$3=1,'Choix pédagogiques'!$C$3=2),$B230&lt;&gt;"",$C230&lt;&gt;"",$D230&lt;&gt;""),1,0))</f>
        <v/>
      </c>
      <c r="BN230" s="52" t="str">
        <f aca="false">IF(OR(COUNT(G230:I1229)=0,AND('Choix pédagogiques'!$C$3&lt;&gt;1,'Choix pédagogiques'!$C$3&lt;&gt;2)),"",IF(AND(OR('Choix pédagogiques'!$C$3=1,'Choix pédagogiques'!$C$3=2),AND($G230&lt;&gt;"",$H230&lt;&gt;"",$I230&lt;&gt;"")),1,0))</f>
        <v/>
      </c>
      <c r="BO230" s="52" t="str">
        <f aca="false">IF(OR(COUNT(B230:D1229)=0,COUNT(G230:I1229)=0,'Choix pédagogiques'!C$3&lt;&gt;3),"",IF(AND('Choix pédagogiques'!$C$3=3,$B230&lt;&gt;"",$C230&lt;&gt;"",$D230&lt;&gt;"",$G230&lt;&gt;"",$H230&lt;&gt;"",$I230&lt;&gt;""),1,0))</f>
        <v/>
      </c>
      <c r="BR230" s="52" t="n">
        <v>877</v>
      </c>
      <c r="BS230" s="52" t="n">
        <v>1027</v>
      </c>
    </row>
    <row r="231" s="54" customFormat="true" ht="18" hidden="false" customHeight="true" outlineLevel="0" collapsed="false">
      <c r="A231" s="57" t="s">
        <v>393</v>
      </c>
      <c r="B231" s="51"/>
      <c r="C231" s="51"/>
      <c r="D231" s="51"/>
      <c r="E231" s="51"/>
      <c r="F231" s="57" t="s">
        <v>394</v>
      </c>
      <c r="G231" s="51"/>
      <c r="H231" s="51"/>
      <c r="I231" s="51"/>
      <c r="J231" s="51"/>
      <c r="K231" s="52" t="str">
        <f aca="false">IF($A231&lt;&gt;"",$A231,"")</f>
        <v>Apprenant 219</v>
      </c>
      <c r="L231" s="53" t="str">
        <f aca="false">IF(AND($B231&lt;&gt;"",$C231&lt;&gt;""),$C231-$B231,"")</f>
        <v/>
      </c>
      <c r="M231" s="53" t="str">
        <f aca="false">IF(AND($B231&lt;&gt;"",$D231&lt;&gt;""),$D231-$B231,"")</f>
        <v/>
      </c>
      <c r="N231" s="53" t="str">
        <f aca="false">IF(AND($C231&lt;&gt;"",$D231&lt;&gt;""),$D231-$C231,"")</f>
        <v/>
      </c>
      <c r="O231" s="53" t="str">
        <f aca="false">IF($E231&lt;&gt;"",$E231,"")</f>
        <v/>
      </c>
      <c r="P231" s="52" t="str">
        <f aca="false">IF($F231&lt;&gt;"",$F231,"")</f>
        <v>Apprenant 219 ou 219'</v>
      </c>
      <c r="Q231" s="53" t="str">
        <f aca="false">IF(AND($G231&lt;&gt;"",$H231&lt;&gt;""),$H231-$G231,"")</f>
        <v/>
      </c>
      <c r="R231" s="53" t="str">
        <f aca="false">IF(AND($G231&lt;&gt;"",$I231&lt;&gt;""),$I231-$G231,"")</f>
        <v/>
      </c>
      <c r="S231" s="53" t="str">
        <f aca="false">IF(AND($H231&lt;&gt;"",$I231&lt;&gt;""),$I231-$H231,"")</f>
        <v/>
      </c>
      <c r="T231" s="53" t="str">
        <f aca="false">IF($J231&lt;&gt;"",$J231,"")</f>
        <v/>
      </c>
      <c r="V231" s="52" t="str">
        <f aca="false">IF($A231&lt;&gt;"",$A231,"")</f>
        <v>Apprenant 219</v>
      </c>
      <c r="W231" s="53" t="str">
        <f aca="false">IF(AND(OR('Choix pédagogiques'!$C$3=1,'Choix pédagogiques'!$C$3=2),$BM231=1),B231,IF(AND('Choix pédagogiques'!$C$3=3,$BO231=1),B231,""))</f>
        <v/>
      </c>
      <c r="X231" s="53" t="str">
        <f aca="false">IF(AND(OR('Choix pédagogiques'!$C$3=1,'Choix pédagogiques'!$C$3=2),$BM231=1),C231,IF(AND('Choix pédagogiques'!$C$3=3,$BO231=1),C231,""))</f>
        <v/>
      </c>
      <c r="Y231" s="53" t="str">
        <f aca="false">IF(AND(OR('Choix pédagogiques'!$C$3=1,'Choix pédagogiques'!$C$3=2),$BM231=1),D231,IF(AND('Choix pédagogiques'!$C$3=3,$BO231=1),D231,""))</f>
        <v/>
      </c>
      <c r="Z231" s="53" t="str">
        <f aca="false">IF($E231&lt;&gt;"",$E231,"")</f>
        <v/>
      </c>
      <c r="AA231" s="52" t="str">
        <f aca="false">IF($F231&lt;&gt;"",$F231,"")</f>
        <v>Apprenant 219 ou 219'</v>
      </c>
      <c r="AB231" s="53" t="str">
        <f aca="false">IF(AND(OR('Choix pédagogiques'!$C$3=1,'Choix pédagogiques'!$C$3=2),$BN231=1),G231,IF(AND('Choix pédagogiques'!$C$3=3,$BO231=1),G231,""))</f>
        <v/>
      </c>
      <c r="AC231" s="53" t="str">
        <f aca="false">IF(AND(OR('Choix pédagogiques'!$C$3=1,'Choix pédagogiques'!$C$3=2),$BN231=1),H231,IF(AND('Choix pédagogiques'!$C$3=3,$BO231=1),H231,""))</f>
        <v/>
      </c>
      <c r="AD231" s="53" t="str">
        <f aca="false">IF(AND(OR('Choix pédagogiques'!$C$3=1,'Choix pédagogiques'!$C$3=2),$BN231=1),I231,IF(AND('Choix pédagogiques'!$C$3=3,$BO231=1),I231,""))</f>
        <v/>
      </c>
      <c r="AE231" s="53" t="str">
        <f aca="false">IF($J231&lt;&gt;"",$J231,"")</f>
        <v/>
      </c>
      <c r="AF231" s="52" t="str">
        <f aca="false">IF($A231&lt;&gt;"",$A231,"")</f>
        <v>Apprenant 219</v>
      </c>
      <c r="AG231" s="53" t="str">
        <f aca="false">IF(AND($W231&lt;&gt;"",$X231&lt;&gt;""),$X231-$W231,"")</f>
        <v/>
      </c>
      <c r="AH231" s="53" t="str">
        <f aca="false">IF(AND($W231&lt;&gt;"",$Y231&lt;&gt;""),$Y231-$W231,"")</f>
        <v/>
      </c>
      <c r="AI231" s="53" t="str">
        <f aca="false">IF(AND($X231&lt;&gt;"",$Y231&lt;&gt;""),$Y231-$X231,"")</f>
        <v/>
      </c>
      <c r="AJ231" s="53" t="str">
        <f aca="false">IF($E231&lt;&gt;"",$E231,"")</f>
        <v/>
      </c>
      <c r="AK231" s="52" t="str">
        <f aca="false">IF($F231&lt;&gt;"",$F231,"")</f>
        <v>Apprenant 219 ou 219'</v>
      </c>
      <c r="AL231" s="53" t="str">
        <f aca="false">IF(AND($AB231&lt;&gt;"",$AC231&lt;&gt;""),$AC231-$AB231,"")</f>
        <v/>
      </c>
      <c r="AM231" s="53" t="str">
        <f aca="false">IF(AND($AB231&lt;&gt;"",$AD231&lt;&gt;""),$AD231-$AB231,"")</f>
        <v/>
      </c>
      <c r="AN231" s="53" t="str">
        <f aca="false">IF(AND($AC231&lt;&gt;"",$AD231&lt;&gt;""),$AD231-$AC231,"")</f>
        <v/>
      </c>
      <c r="AO231" s="53" t="str">
        <f aca="false">IF($J231&lt;&gt;"",$J231,"")</f>
        <v/>
      </c>
      <c r="AQ231" s="52" t="str">
        <f aca="false">IF($A231&lt;&gt;"",$A231,"")</f>
        <v>Apprenant 219</v>
      </c>
      <c r="AR231" s="55" t="str">
        <f aca="false">IF(AND('Choix pédagogiques'!$C$4&lt;&gt;"?",'Choix pédagogiques'!$C$5&lt;&gt;"?",W231&lt;&gt;""),(W231-'Choix pédagogiques'!$C$4)/('Choix pédagogiques'!$C$5-'Choix pédagogiques'!$C$4),"")</f>
        <v/>
      </c>
      <c r="AS231" s="55" t="str">
        <f aca="false">IF(AND('Choix pédagogiques'!$C$4&lt;&gt;"?",'Choix pédagogiques'!$C$5&lt;&gt;"?",X231&lt;&gt;""),(X231-'Choix pédagogiques'!$C$4)/('Choix pédagogiques'!$C$5-'Choix pédagogiques'!$C$4),"")</f>
        <v/>
      </c>
      <c r="AT231" s="55" t="str">
        <f aca="false">IF(AND('Choix pédagogiques'!$C$4&lt;&gt;"?",'Choix pédagogiques'!$C$5&lt;&gt;"?",Y231&lt;&gt;""),(Y231-'Choix pédagogiques'!$C$4)/('Choix pédagogiques'!$C$5-'Choix pédagogiques'!$C$4),"")</f>
        <v/>
      </c>
      <c r="AU231" s="53" t="str">
        <f aca="false">IF($E231&lt;&gt;"",$E231,"")</f>
        <v/>
      </c>
      <c r="AV231" s="52" t="str">
        <f aca="false">IF($F231&lt;&gt;"",$F231,"")</f>
        <v>Apprenant 219 ou 219'</v>
      </c>
      <c r="AW231" s="55" t="str">
        <f aca="false">IF(AND('Choix pédagogiques'!$C$4&lt;&gt;"?",'Choix pédagogiques'!$C$5&lt;&gt;"?",AB231&lt;&gt;""),(AB231-'Choix pédagogiques'!$C$4)/('Choix pédagogiques'!$C$5-'Choix pédagogiques'!$C$4),"")</f>
        <v/>
      </c>
      <c r="AX231" s="55" t="str">
        <f aca="false">IF(AND('Choix pédagogiques'!$C$4&lt;&gt;"?",'Choix pédagogiques'!$C$5&lt;&gt;"?",AC231&lt;&gt;""),(AC231-'Choix pédagogiques'!$C$4)/('Choix pédagogiques'!$C$5-'Choix pédagogiques'!$C$4),"")</f>
        <v/>
      </c>
      <c r="AY231" s="55" t="str">
        <f aca="false">IF(AND('Choix pédagogiques'!$C$4&lt;&gt;"?",'Choix pédagogiques'!$C$5&lt;&gt;"?",AD231&lt;&gt;""),(AD231-'Choix pédagogiques'!$C$4)/('Choix pédagogiques'!$C$5-'Choix pédagogiques'!$C$4),"")</f>
        <v/>
      </c>
      <c r="AZ231" s="53" t="str">
        <f aca="false">IF($J231&lt;&gt;"",$J231,"")</f>
        <v/>
      </c>
      <c r="BA231" s="52" t="str">
        <f aca="false">IF($A231&lt;&gt;"",$A231,"")</f>
        <v>Apprenant 219</v>
      </c>
      <c r="BB231" s="55" t="str">
        <f aca="false">IF(AND($AR231&lt;&gt;"",$AS231&lt;&gt;""),$AS231-$AR231,"")</f>
        <v/>
      </c>
      <c r="BC231" s="55" t="str">
        <f aca="false">IF(AND($AR231&lt;&gt;"",$AT231&lt;&gt;""),$AT231-$AR231,"")</f>
        <v/>
      </c>
      <c r="BD231" s="55" t="str">
        <f aca="false">IF(AND($AS231&lt;&gt;"",$AT231&lt;&gt;""),$AT231-$AS231,"")</f>
        <v/>
      </c>
      <c r="BE231" s="53" t="str">
        <f aca="false">IF($E231&lt;&gt;"",$E231,"")</f>
        <v/>
      </c>
      <c r="BF231" s="52" t="str">
        <f aca="false">IF($F231&lt;&gt;"",$F231,"")</f>
        <v>Apprenant 219 ou 219'</v>
      </c>
      <c r="BG231" s="55" t="str">
        <f aca="false">IF(AND($AW231&lt;&gt;"",$AX231&lt;&gt;""),$AX231-$AW231,"")</f>
        <v/>
      </c>
      <c r="BH231" s="55" t="str">
        <f aca="false">IF(AND($AW231&lt;&gt;"",$AY231&lt;&gt;""),$AY231-$AW231,"")</f>
        <v/>
      </c>
      <c r="BI231" s="55" t="str">
        <f aca="false">IF(AND($AX231&lt;&gt;"",$AY231&lt;&gt;""),$AY231-$AX231,"")</f>
        <v/>
      </c>
      <c r="BJ231" s="53" t="str">
        <f aca="false">IF($J231&lt;&gt;"",$J231,"")</f>
        <v/>
      </c>
      <c r="BL231" s="52"/>
      <c r="BM231" s="52" t="str">
        <f aca="false">IF(OR(COUNT(B231:D1230)=0,AND('Choix pédagogiques'!$C$3&lt;&gt;1,'Choix pédagogiques'!$C$3&lt;&gt;2)),"",IF(AND(OR('Choix pédagogiques'!$C$3=1,'Choix pédagogiques'!$C$3=2),$B231&lt;&gt;"",$C231&lt;&gt;"",$D231&lt;&gt;""),1,0))</f>
        <v/>
      </c>
      <c r="BN231" s="52" t="str">
        <f aca="false">IF(OR(COUNT(G231:I1230)=0,AND('Choix pédagogiques'!$C$3&lt;&gt;1,'Choix pédagogiques'!$C$3&lt;&gt;2)),"",IF(AND(OR('Choix pédagogiques'!$C$3=1,'Choix pédagogiques'!$C$3=2),AND($G231&lt;&gt;"",$H231&lt;&gt;"",$I231&lt;&gt;"")),1,0))</f>
        <v/>
      </c>
      <c r="BO231" s="52" t="str">
        <f aca="false">IF(OR(COUNT(B231:D1230)=0,COUNT(G231:I1230)=0,'Choix pédagogiques'!C$3&lt;&gt;3),"",IF(AND('Choix pédagogiques'!$C$3=3,$B231&lt;&gt;"",$C231&lt;&gt;"",$D231&lt;&gt;"",$G231&lt;&gt;"",$H231&lt;&gt;"",$I231&lt;&gt;""),1,0))</f>
        <v/>
      </c>
      <c r="BR231" s="52" t="n">
        <v>255</v>
      </c>
      <c r="BS231" s="52" t="n">
        <v>1231</v>
      </c>
    </row>
    <row r="232" s="54" customFormat="true" ht="18" hidden="false" customHeight="true" outlineLevel="0" collapsed="false">
      <c r="A232" s="57" t="s">
        <v>395</v>
      </c>
      <c r="B232" s="51"/>
      <c r="C232" s="51"/>
      <c r="D232" s="51"/>
      <c r="E232" s="51"/>
      <c r="F232" s="57" t="s">
        <v>396</v>
      </c>
      <c r="G232" s="51"/>
      <c r="H232" s="51"/>
      <c r="I232" s="51"/>
      <c r="J232" s="51"/>
      <c r="K232" s="52" t="str">
        <f aca="false">IF($A232&lt;&gt;"",$A232,"")</f>
        <v>Apprenant 220</v>
      </c>
      <c r="L232" s="53" t="str">
        <f aca="false">IF(AND($B232&lt;&gt;"",$C232&lt;&gt;""),$C232-$B232,"")</f>
        <v/>
      </c>
      <c r="M232" s="53" t="str">
        <f aca="false">IF(AND($B232&lt;&gt;"",$D232&lt;&gt;""),$D232-$B232,"")</f>
        <v/>
      </c>
      <c r="N232" s="53" t="str">
        <f aca="false">IF(AND($C232&lt;&gt;"",$D232&lt;&gt;""),$D232-$C232,"")</f>
        <v/>
      </c>
      <c r="O232" s="53" t="str">
        <f aca="false">IF($E232&lt;&gt;"",$E232,"")</f>
        <v/>
      </c>
      <c r="P232" s="52" t="str">
        <f aca="false">IF($F232&lt;&gt;"",$F232,"")</f>
        <v>Apprenant 220 ou 220'</v>
      </c>
      <c r="Q232" s="53" t="str">
        <f aca="false">IF(AND($G232&lt;&gt;"",$H232&lt;&gt;""),$H232-$G232,"")</f>
        <v/>
      </c>
      <c r="R232" s="53" t="str">
        <f aca="false">IF(AND($G232&lt;&gt;"",$I232&lt;&gt;""),$I232-$G232,"")</f>
        <v/>
      </c>
      <c r="S232" s="53" t="str">
        <f aca="false">IF(AND($H232&lt;&gt;"",$I232&lt;&gt;""),$I232-$H232,"")</f>
        <v/>
      </c>
      <c r="T232" s="53" t="str">
        <f aca="false">IF($J232&lt;&gt;"",$J232,"")</f>
        <v/>
      </c>
      <c r="V232" s="52" t="str">
        <f aca="false">IF($A232&lt;&gt;"",$A232,"")</f>
        <v>Apprenant 220</v>
      </c>
      <c r="W232" s="53" t="str">
        <f aca="false">IF(AND(OR('Choix pédagogiques'!$C$3=1,'Choix pédagogiques'!$C$3=2),$BM232=1),B232,IF(AND('Choix pédagogiques'!$C$3=3,$BO232=1),B232,""))</f>
        <v/>
      </c>
      <c r="X232" s="53" t="str">
        <f aca="false">IF(AND(OR('Choix pédagogiques'!$C$3=1,'Choix pédagogiques'!$C$3=2),$BM232=1),C232,IF(AND('Choix pédagogiques'!$C$3=3,$BO232=1),C232,""))</f>
        <v/>
      </c>
      <c r="Y232" s="53" t="str">
        <f aca="false">IF(AND(OR('Choix pédagogiques'!$C$3=1,'Choix pédagogiques'!$C$3=2),$BM232=1),D232,IF(AND('Choix pédagogiques'!$C$3=3,$BO232=1),D232,""))</f>
        <v/>
      </c>
      <c r="Z232" s="53" t="str">
        <f aca="false">IF($E232&lt;&gt;"",$E232,"")</f>
        <v/>
      </c>
      <c r="AA232" s="52" t="str">
        <f aca="false">IF($F232&lt;&gt;"",$F232,"")</f>
        <v>Apprenant 220 ou 220'</v>
      </c>
      <c r="AB232" s="53" t="str">
        <f aca="false">IF(AND(OR('Choix pédagogiques'!$C$3=1,'Choix pédagogiques'!$C$3=2),$BN232=1),G232,IF(AND('Choix pédagogiques'!$C$3=3,$BO232=1),G232,""))</f>
        <v/>
      </c>
      <c r="AC232" s="53" t="str">
        <f aca="false">IF(AND(OR('Choix pédagogiques'!$C$3=1,'Choix pédagogiques'!$C$3=2),$BN232=1),H232,IF(AND('Choix pédagogiques'!$C$3=3,$BO232=1),H232,""))</f>
        <v/>
      </c>
      <c r="AD232" s="53" t="str">
        <f aca="false">IF(AND(OR('Choix pédagogiques'!$C$3=1,'Choix pédagogiques'!$C$3=2),$BN232=1),I232,IF(AND('Choix pédagogiques'!$C$3=3,$BO232=1),I232,""))</f>
        <v/>
      </c>
      <c r="AE232" s="53" t="str">
        <f aca="false">IF($J232&lt;&gt;"",$J232,"")</f>
        <v/>
      </c>
      <c r="AF232" s="52" t="str">
        <f aca="false">IF($A232&lt;&gt;"",$A232,"")</f>
        <v>Apprenant 220</v>
      </c>
      <c r="AG232" s="53" t="str">
        <f aca="false">IF(AND($W232&lt;&gt;"",$X232&lt;&gt;""),$X232-$W232,"")</f>
        <v/>
      </c>
      <c r="AH232" s="53" t="str">
        <f aca="false">IF(AND($W232&lt;&gt;"",$Y232&lt;&gt;""),$Y232-$W232,"")</f>
        <v/>
      </c>
      <c r="AI232" s="53" t="str">
        <f aca="false">IF(AND($X232&lt;&gt;"",$Y232&lt;&gt;""),$Y232-$X232,"")</f>
        <v/>
      </c>
      <c r="AJ232" s="53" t="str">
        <f aca="false">IF($E232&lt;&gt;"",$E232,"")</f>
        <v/>
      </c>
      <c r="AK232" s="52" t="str">
        <f aca="false">IF($F232&lt;&gt;"",$F232,"")</f>
        <v>Apprenant 220 ou 220'</v>
      </c>
      <c r="AL232" s="53" t="str">
        <f aca="false">IF(AND($AB232&lt;&gt;"",$AC232&lt;&gt;""),$AC232-$AB232,"")</f>
        <v/>
      </c>
      <c r="AM232" s="53" t="str">
        <f aca="false">IF(AND($AB232&lt;&gt;"",$AD232&lt;&gt;""),$AD232-$AB232,"")</f>
        <v/>
      </c>
      <c r="AN232" s="53" t="str">
        <f aca="false">IF(AND($AC232&lt;&gt;"",$AD232&lt;&gt;""),$AD232-$AC232,"")</f>
        <v/>
      </c>
      <c r="AO232" s="53" t="str">
        <f aca="false">IF($J232&lt;&gt;"",$J232,"")</f>
        <v/>
      </c>
      <c r="AQ232" s="52" t="str">
        <f aca="false">IF($A232&lt;&gt;"",$A232,"")</f>
        <v>Apprenant 220</v>
      </c>
      <c r="AR232" s="55" t="str">
        <f aca="false">IF(AND('Choix pédagogiques'!$C$4&lt;&gt;"?",'Choix pédagogiques'!$C$5&lt;&gt;"?",W232&lt;&gt;""),(W232-'Choix pédagogiques'!$C$4)/('Choix pédagogiques'!$C$5-'Choix pédagogiques'!$C$4),"")</f>
        <v/>
      </c>
      <c r="AS232" s="55" t="str">
        <f aca="false">IF(AND('Choix pédagogiques'!$C$4&lt;&gt;"?",'Choix pédagogiques'!$C$5&lt;&gt;"?",X232&lt;&gt;""),(X232-'Choix pédagogiques'!$C$4)/('Choix pédagogiques'!$C$5-'Choix pédagogiques'!$C$4),"")</f>
        <v/>
      </c>
      <c r="AT232" s="55" t="str">
        <f aca="false">IF(AND('Choix pédagogiques'!$C$4&lt;&gt;"?",'Choix pédagogiques'!$C$5&lt;&gt;"?",Y232&lt;&gt;""),(Y232-'Choix pédagogiques'!$C$4)/('Choix pédagogiques'!$C$5-'Choix pédagogiques'!$C$4),"")</f>
        <v/>
      </c>
      <c r="AU232" s="53" t="str">
        <f aca="false">IF($E232&lt;&gt;"",$E232,"")</f>
        <v/>
      </c>
      <c r="AV232" s="52" t="str">
        <f aca="false">IF($F232&lt;&gt;"",$F232,"")</f>
        <v>Apprenant 220 ou 220'</v>
      </c>
      <c r="AW232" s="55" t="str">
        <f aca="false">IF(AND('Choix pédagogiques'!$C$4&lt;&gt;"?",'Choix pédagogiques'!$C$5&lt;&gt;"?",AB232&lt;&gt;""),(AB232-'Choix pédagogiques'!$C$4)/('Choix pédagogiques'!$C$5-'Choix pédagogiques'!$C$4),"")</f>
        <v/>
      </c>
      <c r="AX232" s="55" t="str">
        <f aca="false">IF(AND('Choix pédagogiques'!$C$4&lt;&gt;"?",'Choix pédagogiques'!$C$5&lt;&gt;"?",AC232&lt;&gt;""),(AC232-'Choix pédagogiques'!$C$4)/('Choix pédagogiques'!$C$5-'Choix pédagogiques'!$C$4),"")</f>
        <v/>
      </c>
      <c r="AY232" s="55" t="str">
        <f aca="false">IF(AND('Choix pédagogiques'!$C$4&lt;&gt;"?",'Choix pédagogiques'!$C$5&lt;&gt;"?",AD232&lt;&gt;""),(AD232-'Choix pédagogiques'!$C$4)/('Choix pédagogiques'!$C$5-'Choix pédagogiques'!$C$4),"")</f>
        <v/>
      </c>
      <c r="AZ232" s="53" t="str">
        <f aca="false">IF($J232&lt;&gt;"",$J232,"")</f>
        <v/>
      </c>
      <c r="BA232" s="52" t="str">
        <f aca="false">IF($A232&lt;&gt;"",$A232,"")</f>
        <v>Apprenant 220</v>
      </c>
      <c r="BB232" s="55" t="str">
        <f aca="false">IF(AND($AR232&lt;&gt;"",$AS232&lt;&gt;""),$AS232-$AR232,"")</f>
        <v/>
      </c>
      <c r="BC232" s="55" t="str">
        <f aca="false">IF(AND($AR232&lt;&gt;"",$AT232&lt;&gt;""),$AT232-$AR232,"")</f>
        <v/>
      </c>
      <c r="BD232" s="55" t="str">
        <f aca="false">IF(AND($AS232&lt;&gt;"",$AT232&lt;&gt;""),$AT232-$AS232,"")</f>
        <v/>
      </c>
      <c r="BE232" s="53" t="str">
        <f aca="false">IF($E232&lt;&gt;"",$E232,"")</f>
        <v/>
      </c>
      <c r="BF232" s="52" t="str">
        <f aca="false">IF($F232&lt;&gt;"",$F232,"")</f>
        <v>Apprenant 220 ou 220'</v>
      </c>
      <c r="BG232" s="55" t="str">
        <f aca="false">IF(AND($AW232&lt;&gt;"",$AX232&lt;&gt;""),$AX232-$AW232,"")</f>
        <v/>
      </c>
      <c r="BH232" s="55" t="str">
        <f aca="false">IF(AND($AW232&lt;&gt;"",$AY232&lt;&gt;""),$AY232-$AW232,"")</f>
        <v/>
      </c>
      <c r="BI232" s="55" t="str">
        <f aca="false">IF(AND($AX232&lt;&gt;"",$AY232&lt;&gt;""),$AY232-$AX232,"")</f>
        <v/>
      </c>
      <c r="BJ232" s="53" t="str">
        <f aca="false">IF($J232&lt;&gt;"",$J232,"")</f>
        <v/>
      </c>
      <c r="BL232" s="52"/>
      <c r="BM232" s="52" t="str">
        <f aca="false">IF(OR(COUNT(B232:D1231)=0,AND('Choix pédagogiques'!$C$3&lt;&gt;1,'Choix pédagogiques'!$C$3&lt;&gt;2)),"",IF(AND(OR('Choix pédagogiques'!$C$3=1,'Choix pédagogiques'!$C$3=2),$B232&lt;&gt;"",$C232&lt;&gt;"",$D232&lt;&gt;""),1,0))</f>
        <v/>
      </c>
      <c r="BN232" s="52" t="str">
        <f aca="false">IF(OR(COUNT(G232:I1231)=0,AND('Choix pédagogiques'!$C$3&lt;&gt;1,'Choix pédagogiques'!$C$3&lt;&gt;2)),"",IF(AND(OR('Choix pédagogiques'!$C$3=1,'Choix pédagogiques'!$C$3=2),AND($G232&lt;&gt;"",$H232&lt;&gt;"",$I232&lt;&gt;"")),1,0))</f>
        <v/>
      </c>
      <c r="BO232" s="52" t="str">
        <f aca="false">IF(OR(COUNT(B232:D1231)=0,COUNT(G232:I1231)=0,'Choix pédagogiques'!C$3&lt;&gt;3),"",IF(AND('Choix pédagogiques'!$C$3=3,$B232&lt;&gt;"",$C232&lt;&gt;"",$D232&lt;&gt;"",$G232&lt;&gt;"",$H232&lt;&gt;"",$I232&lt;&gt;""),1,0))</f>
        <v/>
      </c>
      <c r="BR232" s="52" t="n">
        <v>542</v>
      </c>
      <c r="BS232" s="52" t="n">
        <v>1511</v>
      </c>
    </row>
    <row r="233" s="54" customFormat="true" ht="18" hidden="false" customHeight="true" outlineLevel="0" collapsed="false">
      <c r="A233" s="57" t="s">
        <v>397</v>
      </c>
      <c r="B233" s="51"/>
      <c r="C233" s="51"/>
      <c r="D233" s="51"/>
      <c r="E233" s="51"/>
      <c r="F233" s="57" t="s">
        <v>398</v>
      </c>
      <c r="G233" s="51"/>
      <c r="H233" s="51"/>
      <c r="I233" s="51"/>
      <c r="J233" s="51"/>
      <c r="K233" s="52" t="str">
        <f aca="false">IF($A233&lt;&gt;"",$A233,"")</f>
        <v>Apprenant 221</v>
      </c>
      <c r="L233" s="53" t="str">
        <f aca="false">IF(AND($B233&lt;&gt;"",$C233&lt;&gt;""),$C233-$B233,"")</f>
        <v/>
      </c>
      <c r="M233" s="53" t="str">
        <f aca="false">IF(AND($B233&lt;&gt;"",$D233&lt;&gt;""),$D233-$B233,"")</f>
        <v/>
      </c>
      <c r="N233" s="53" t="str">
        <f aca="false">IF(AND($C233&lt;&gt;"",$D233&lt;&gt;""),$D233-$C233,"")</f>
        <v/>
      </c>
      <c r="O233" s="53" t="str">
        <f aca="false">IF($E233&lt;&gt;"",$E233,"")</f>
        <v/>
      </c>
      <c r="P233" s="52" t="str">
        <f aca="false">IF($F233&lt;&gt;"",$F233,"")</f>
        <v>Apprenant 221 ou 221'</v>
      </c>
      <c r="Q233" s="53" t="str">
        <f aca="false">IF(AND($G233&lt;&gt;"",$H233&lt;&gt;""),$H233-$G233,"")</f>
        <v/>
      </c>
      <c r="R233" s="53" t="str">
        <f aca="false">IF(AND($G233&lt;&gt;"",$I233&lt;&gt;""),$I233-$G233,"")</f>
        <v/>
      </c>
      <c r="S233" s="53" t="str">
        <f aca="false">IF(AND($H233&lt;&gt;"",$I233&lt;&gt;""),$I233-$H233,"")</f>
        <v/>
      </c>
      <c r="T233" s="53" t="str">
        <f aca="false">IF($J233&lt;&gt;"",$J233,"")</f>
        <v/>
      </c>
      <c r="V233" s="52" t="str">
        <f aca="false">IF($A233&lt;&gt;"",$A233,"")</f>
        <v>Apprenant 221</v>
      </c>
      <c r="W233" s="53" t="str">
        <f aca="false">IF(AND(OR('Choix pédagogiques'!$C$3=1,'Choix pédagogiques'!$C$3=2),$BM233=1),B233,IF(AND('Choix pédagogiques'!$C$3=3,$BO233=1),B233,""))</f>
        <v/>
      </c>
      <c r="X233" s="53" t="str">
        <f aca="false">IF(AND(OR('Choix pédagogiques'!$C$3=1,'Choix pédagogiques'!$C$3=2),$BM233=1),C233,IF(AND('Choix pédagogiques'!$C$3=3,$BO233=1),C233,""))</f>
        <v/>
      </c>
      <c r="Y233" s="53" t="str">
        <f aca="false">IF(AND(OR('Choix pédagogiques'!$C$3=1,'Choix pédagogiques'!$C$3=2),$BM233=1),D233,IF(AND('Choix pédagogiques'!$C$3=3,$BO233=1),D233,""))</f>
        <v/>
      </c>
      <c r="Z233" s="53" t="str">
        <f aca="false">IF($E233&lt;&gt;"",$E233,"")</f>
        <v/>
      </c>
      <c r="AA233" s="52" t="str">
        <f aca="false">IF($F233&lt;&gt;"",$F233,"")</f>
        <v>Apprenant 221 ou 221'</v>
      </c>
      <c r="AB233" s="53" t="str">
        <f aca="false">IF(AND(OR('Choix pédagogiques'!$C$3=1,'Choix pédagogiques'!$C$3=2),$BN233=1),G233,IF(AND('Choix pédagogiques'!$C$3=3,$BO233=1),G233,""))</f>
        <v/>
      </c>
      <c r="AC233" s="53" t="str">
        <f aca="false">IF(AND(OR('Choix pédagogiques'!$C$3=1,'Choix pédagogiques'!$C$3=2),$BN233=1),H233,IF(AND('Choix pédagogiques'!$C$3=3,$BO233=1),H233,""))</f>
        <v/>
      </c>
      <c r="AD233" s="53" t="str">
        <f aca="false">IF(AND(OR('Choix pédagogiques'!$C$3=1,'Choix pédagogiques'!$C$3=2),$BN233=1),I233,IF(AND('Choix pédagogiques'!$C$3=3,$BO233=1),I233,""))</f>
        <v/>
      </c>
      <c r="AE233" s="53" t="str">
        <f aca="false">IF($J233&lt;&gt;"",$J233,"")</f>
        <v/>
      </c>
      <c r="AF233" s="52" t="str">
        <f aca="false">IF($A233&lt;&gt;"",$A233,"")</f>
        <v>Apprenant 221</v>
      </c>
      <c r="AG233" s="53" t="str">
        <f aca="false">IF(AND($W233&lt;&gt;"",$X233&lt;&gt;""),$X233-$W233,"")</f>
        <v/>
      </c>
      <c r="AH233" s="53" t="str">
        <f aca="false">IF(AND($W233&lt;&gt;"",$Y233&lt;&gt;""),$Y233-$W233,"")</f>
        <v/>
      </c>
      <c r="AI233" s="53" t="str">
        <f aca="false">IF(AND($X233&lt;&gt;"",$Y233&lt;&gt;""),$Y233-$X233,"")</f>
        <v/>
      </c>
      <c r="AJ233" s="53" t="str">
        <f aca="false">IF($E233&lt;&gt;"",$E233,"")</f>
        <v/>
      </c>
      <c r="AK233" s="52" t="str">
        <f aca="false">IF($F233&lt;&gt;"",$F233,"")</f>
        <v>Apprenant 221 ou 221'</v>
      </c>
      <c r="AL233" s="53" t="str">
        <f aca="false">IF(AND($AB233&lt;&gt;"",$AC233&lt;&gt;""),$AC233-$AB233,"")</f>
        <v/>
      </c>
      <c r="AM233" s="53" t="str">
        <f aca="false">IF(AND($AB233&lt;&gt;"",$AD233&lt;&gt;""),$AD233-$AB233,"")</f>
        <v/>
      </c>
      <c r="AN233" s="53" t="str">
        <f aca="false">IF(AND($AC233&lt;&gt;"",$AD233&lt;&gt;""),$AD233-$AC233,"")</f>
        <v/>
      </c>
      <c r="AO233" s="53" t="str">
        <f aca="false">IF($J233&lt;&gt;"",$J233,"")</f>
        <v/>
      </c>
      <c r="AQ233" s="52" t="str">
        <f aca="false">IF($A233&lt;&gt;"",$A233,"")</f>
        <v>Apprenant 221</v>
      </c>
      <c r="AR233" s="55" t="str">
        <f aca="false">IF(AND('Choix pédagogiques'!$C$4&lt;&gt;"?",'Choix pédagogiques'!$C$5&lt;&gt;"?",W233&lt;&gt;""),(W233-'Choix pédagogiques'!$C$4)/('Choix pédagogiques'!$C$5-'Choix pédagogiques'!$C$4),"")</f>
        <v/>
      </c>
      <c r="AS233" s="55" t="str">
        <f aca="false">IF(AND('Choix pédagogiques'!$C$4&lt;&gt;"?",'Choix pédagogiques'!$C$5&lt;&gt;"?",X233&lt;&gt;""),(X233-'Choix pédagogiques'!$C$4)/('Choix pédagogiques'!$C$5-'Choix pédagogiques'!$C$4),"")</f>
        <v/>
      </c>
      <c r="AT233" s="55" t="str">
        <f aca="false">IF(AND('Choix pédagogiques'!$C$4&lt;&gt;"?",'Choix pédagogiques'!$C$5&lt;&gt;"?",Y233&lt;&gt;""),(Y233-'Choix pédagogiques'!$C$4)/('Choix pédagogiques'!$C$5-'Choix pédagogiques'!$C$4),"")</f>
        <v/>
      </c>
      <c r="AU233" s="53" t="str">
        <f aca="false">IF($E233&lt;&gt;"",$E233,"")</f>
        <v/>
      </c>
      <c r="AV233" s="52" t="str">
        <f aca="false">IF($F233&lt;&gt;"",$F233,"")</f>
        <v>Apprenant 221 ou 221'</v>
      </c>
      <c r="AW233" s="55" t="str">
        <f aca="false">IF(AND('Choix pédagogiques'!$C$4&lt;&gt;"?",'Choix pédagogiques'!$C$5&lt;&gt;"?",AB233&lt;&gt;""),(AB233-'Choix pédagogiques'!$C$4)/('Choix pédagogiques'!$C$5-'Choix pédagogiques'!$C$4),"")</f>
        <v/>
      </c>
      <c r="AX233" s="55" t="str">
        <f aca="false">IF(AND('Choix pédagogiques'!$C$4&lt;&gt;"?",'Choix pédagogiques'!$C$5&lt;&gt;"?",AC233&lt;&gt;""),(AC233-'Choix pédagogiques'!$C$4)/('Choix pédagogiques'!$C$5-'Choix pédagogiques'!$C$4),"")</f>
        <v/>
      </c>
      <c r="AY233" s="55" t="str">
        <f aca="false">IF(AND('Choix pédagogiques'!$C$4&lt;&gt;"?",'Choix pédagogiques'!$C$5&lt;&gt;"?",AD233&lt;&gt;""),(AD233-'Choix pédagogiques'!$C$4)/('Choix pédagogiques'!$C$5-'Choix pédagogiques'!$C$4),"")</f>
        <v/>
      </c>
      <c r="AZ233" s="53" t="str">
        <f aca="false">IF($J233&lt;&gt;"",$J233,"")</f>
        <v/>
      </c>
      <c r="BA233" s="52" t="str">
        <f aca="false">IF($A233&lt;&gt;"",$A233,"")</f>
        <v>Apprenant 221</v>
      </c>
      <c r="BB233" s="55" t="str">
        <f aca="false">IF(AND($AR233&lt;&gt;"",$AS233&lt;&gt;""),$AS233-$AR233,"")</f>
        <v/>
      </c>
      <c r="BC233" s="55" t="str">
        <f aca="false">IF(AND($AR233&lt;&gt;"",$AT233&lt;&gt;""),$AT233-$AR233,"")</f>
        <v/>
      </c>
      <c r="BD233" s="55" t="str">
        <f aca="false">IF(AND($AS233&lt;&gt;"",$AT233&lt;&gt;""),$AT233-$AS233,"")</f>
        <v/>
      </c>
      <c r="BE233" s="53" t="str">
        <f aca="false">IF($E233&lt;&gt;"",$E233,"")</f>
        <v/>
      </c>
      <c r="BF233" s="52" t="str">
        <f aca="false">IF($F233&lt;&gt;"",$F233,"")</f>
        <v>Apprenant 221 ou 221'</v>
      </c>
      <c r="BG233" s="55" t="str">
        <f aca="false">IF(AND($AW233&lt;&gt;"",$AX233&lt;&gt;""),$AX233-$AW233,"")</f>
        <v/>
      </c>
      <c r="BH233" s="55" t="str">
        <f aca="false">IF(AND($AW233&lt;&gt;"",$AY233&lt;&gt;""),$AY233-$AW233,"")</f>
        <v/>
      </c>
      <c r="BI233" s="55" t="str">
        <f aca="false">IF(AND($AX233&lt;&gt;"",$AY233&lt;&gt;""),$AY233-$AX233,"")</f>
        <v/>
      </c>
      <c r="BJ233" s="53" t="str">
        <f aca="false">IF($J233&lt;&gt;"",$J233,"")</f>
        <v/>
      </c>
      <c r="BL233" s="52"/>
      <c r="BM233" s="52" t="str">
        <f aca="false">IF(OR(COUNT(B233:D1232)=0,AND('Choix pédagogiques'!$C$3&lt;&gt;1,'Choix pédagogiques'!$C$3&lt;&gt;2)),"",IF(AND(OR('Choix pédagogiques'!$C$3=1,'Choix pédagogiques'!$C$3=2),$B233&lt;&gt;"",$C233&lt;&gt;"",$D233&lt;&gt;""),1,0))</f>
        <v/>
      </c>
      <c r="BN233" s="52" t="str">
        <f aca="false">IF(OR(COUNT(G233:I1232)=0,AND('Choix pédagogiques'!$C$3&lt;&gt;1,'Choix pédagogiques'!$C$3&lt;&gt;2)),"",IF(AND(OR('Choix pédagogiques'!$C$3=1,'Choix pédagogiques'!$C$3=2),AND($G233&lt;&gt;"",$H233&lt;&gt;"",$I233&lt;&gt;"")),1,0))</f>
        <v/>
      </c>
      <c r="BO233" s="52" t="str">
        <f aca="false">IF(OR(COUNT(B233:D1232)=0,COUNT(G233:I1232)=0,'Choix pédagogiques'!C$3&lt;&gt;3),"",IF(AND('Choix pédagogiques'!$C$3=3,$B233&lt;&gt;"",$C233&lt;&gt;"",$D233&lt;&gt;"",$G233&lt;&gt;"",$H233&lt;&gt;"",$I233&lt;&gt;""),1,0))</f>
        <v/>
      </c>
      <c r="BR233" s="52" t="n">
        <v>92</v>
      </c>
      <c r="BS233" s="52" t="n">
        <v>1833</v>
      </c>
    </row>
    <row r="234" s="54" customFormat="true" ht="18" hidden="false" customHeight="true" outlineLevel="0" collapsed="false">
      <c r="A234" s="57" t="s">
        <v>399</v>
      </c>
      <c r="B234" s="51"/>
      <c r="C234" s="51"/>
      <c r="D234" s="51"/>
      <c r="E234" s="51"/>
      <c r="F234" s="57" t="s">
        <v>400</v>
      </c>
      <c r="G234" s="51"/>
      <c r="H234" s="51"/>
      <c r="I234" s="51"/>
      <c r="J234" s="51"/>
      <c r="K234" s="52" t="str">
        <f aca="false">IF($A234&lt;&gt;"",$A234,"")</f>
        <v>Apprenant 222</v>
      </c>
      <c r="L234" s="53" t="str">
        <f aca="false">IF(AND($B234&lt;&gt;"",$C234&lt;&gt;""),$C234-$B234,"")</f>
        <v/>
      </c>
      <c r="M234" s="53" t="str">
        <f aca="false">IF(AND($B234&lt;&gt;"",$D234&lt;&gt;""),$D234-$B234,"")</f>
        <v/>
      </c>
      <c r="N234" s="53" t="str">
        <f aca="false">IF(AND($C234&lt;&gt;"",$D234&lt;&gt;""),$D234-$C234,"")</f>
        <v/>
      </c>
      <c r="O234" s="53" t="str">
        <f aca="false">IF($E234&lt;&gt;"",$E234,"")</f>
        <v/>
      </c>
      <c r="P234" s="52" t="str">
        <f aca="false">IF($F234&lt;&gt;"",$F234,"")</f>
        <v>Apprenant 222 ou 222'</v>
      </c>
      <c r="Q234" s="53" t="str">
        <f aca="false">IF(AND($G234&lt;&gt;"",$H234&lt;&gt;""),$H234-$G234,"")</f>
        <v/>
      </c>
      <c r="R234" s="53" t="str">
        <f aca="false">IF(AND($G234&lt;&gt;"",$I234&lt;&gt;""),$I234-$G234,"")</f>
        <v/>
      </c>
      <c r="S234" s="53" t="str">
        <f aca="false">IF(AND($H234&lt;&gt;"",$I234&lt;&gt;""),$I234-$H234,"")</f>
        <v/>
      </c>
      <c r="T234" s="53" t="str">
        <f aca="false">IF($J234&lt;&gt;"",$J234,"")</f>
        <v/>
      </c>
      <c r="V234" s="52" t="str">
        <f aca="false">IF($A234&lt;&gt;"",$A234,"")</f>
        <v>Apprenant 222</v>
      </c>
      <c r="W234" s="53" t="str">
        <f aca="false">IF(AND(OR('Choix pédagogiques'!$C$3=1,'Choix pédagogiques'!$C$3=2),$BM234=1),B234,IF(AND('Choix pédagogiques'!$C$3=3,$BO234=1),B234,""))</f>
        <v/>
      </c>
      <c r="X234" s="53" t="str">
        <f aca="false">IF(AND(OR('Choix pédagogiques'!$C$3=1,'Choix pédagogiques'!$C$3=2),$BM234=1),C234,IF(AND('Choix pédagogiques'!$C$3=3,$BO234=1),C234,""))</f>
        <v/>
      </c>
      <c r="Y234" s="53" t="str">
        <f aca="false">IF(AND(OR('Choix pédagogiques'!$C$3=1,'Choix pédagogiques'!$C$3=2),$BM234=1),D234,IF(AND('Choix pédagogiques'!$C$3=3,$BO234=1),D234,""))</f>
        <v/>
      </c>
      <c r="Z234" s="53" t="str">
        <f aca="false">IF($E234&lt;&gt;"",$E234,"")</f>
        <v/>
      </c>
      <c r="AA234" s="52" t="str">
        <f aca="false">IF($F234&lt;&gt;"",$F234,"")</f>
        <v>Apprenant 222 ou 222'</v>
      </c>
      <c r="AB234" s="53" t="str">
        <f aca="false">IF(AND(OR('Choix pédagogiques'!$C$3=1,'Choix pédagogiques'!$C$3=2),$BN234=1),G234,IF(AND('Choix pédagogiques'!$C$3=3,$BO234=1),G234,""))</f>
        <v/>
      </c>
      <c r="AC234" s="53" t="str">
        <f aca="false">IF(AND(OR('Choix pédagogiques'!$C$3=1,'Choix pédagogiques'!$C$3=2),$BN234=1),H234,IF(AND('Choix pédagogiques'!$C$3=3,$BO234=1),H234,""))</f>
        <v/>
      </c>
      <c r="AD234" s="53" t="str">
        <f aca="false">IF(AND(OR('Choix pédagogiques'!$C$3=1,'Choix pédagogiques'!$C$3=2),$BN234=1),I234,IF(AND('Choix pédagogiques'!$C$3=3,$BO234=1),I234,""))</f>
        <v/>
      </c>
      <c r="AE234" s="53" t="str">
        <f aca="false">IF($J234&lt;&gt;"",$J234,"")</f>
        <v/>
      </c>
      <c r="AF234" s="52" t="str">
        <f aca="false">IF($A234&lt;&gt;"",$A234,"")</f>
        <v>Apprenant 222</v>
      </c>
      <c r="AG234" s="53" t="str">
        <f aca="false">IF(AND($W234&lt;&gt;"",$X234&lt;&gt;""),$X234-$W234,"")</f>
        <v/>
      </c>
      <c r="AH234" s="53" t="str">
        <f aca="false">IF(AND($W234&lt;&gt;"",$Y234&lt;&gt;""),$Y234-$W234,"")</f>
        <v/>
      </c>
      <c r="AI234" s="53" t="str">
        <f aca="false">IF(AND($X234&lt;&gt;"",$Y234&lt;&gt;""),$Y234-$X234,"")</f>
        <v/>
      </c>
      <c r="AJ234" s="53" t="str">
        <f aca="false">IF($E234&lt;&gt;"",$E234,"")</f>
        <v/>
      </c>
      <c r="AK234" s="52" t="str">
        <f aca="false">IF($F234&lt;&gt;"",$F234,"")</f>
        <v>Apprenant 222 ou 222'</v>
      </c>
      <c r="AL234" s="53" t="str">
        <f aca="false">IF(AND($AB234&lt;&gt;"",$AC234&lt;&gt;""),$AC234-$AB234,"")</f>
        <v/>
      </c>
      <c r="AM234" s="53" t="str">
        <f aca="false">IF(AND($AB234&lt;&gt;"",$AD234&lt;&gt;""),$AD234-$AB234,"")</f>
        <v/>
      </c>
      <c r="AN234" s="53" t="str">
        <f aca="false">IF(AND($AC234&lt;&gt;"",$AD234&lt;&gt;""),$AD234-$AC234,"")</f>
        <v/>
      </c>
      <c r="AO234" s="53" t="str">
        <f aca="false">IF($J234&lt;&gt;"",$J234,"")</f>
        <v/>
      </c>
      <c r="AQ234" s="52" t="str">
        <f aca="false">IF($A234&lt;&gt;"",$A234,"")</f>
        <v>Apprenant 222</v>
      </c>
      <c r="AR234" s="55" t="str">
        <f aca="false">IF(AND('Choix pédagogiques'!$C$4&lt;&gt;"?",'Choix pédagogiques'!$C$5&lt;&gt;"?",W234&lt;&gt;""),(W234-'Choix pédagogiques'!$C$4)/('Choix pédagogiques'!$C$5-'Choix pédagogiques'!$C$4),"")</f>
        <v/>
      </c>
      <c r="AS234" s="55" t="str">
        <f aca="false">IF(AND('Choix pédagogiques'!$C$4&lt;&gt;"?",'Choix pédagogiques'!$C$5&lt;&gt;"?",X234&lt;&gt;""),(X234-'Choix pédagogiques'!$C$4)/('Choix pédagogiques'!$C$5-'Choix pédagogiques'!$C$4),"")</f>
        <v/>
      </c>
      <c r="AT234" s="55" t="str">
        <f aca="false">IF(AND('Choix pédagogiques'!$C$4&lt;&gt;"?",'Choix pédagogiques'!$C$5&lt;&gt;"?",Y234&lt;&gt;""),(Y234-'Choix pédagogiques'!$C$4)/('Choix pédagogiques'!$C$5-'Choix pédagogiques'!$C$4),"")</f>
        <v/>
      </c>
      <c r="AU234" s="53" t="str">
        <f aca="false">IF($E234&lt;&gt;"",$E234,"")</f>
        <v/>
      </c>
      <c r="AV234" s="52" t="str">
        <f aca="false">IF($F234&lt;&gt;"",$F234,"")</f>
        <v>Apprenant 222 ou 222'</v>
      </c>
      <c r="AW234" s="55" t="str">
        <f aca="false">IF(AND('Choix pédagogiques'!$C$4&lt;&gt;"?",'Choix pédagogiques'!$C$5&lt;&gt;"?",AB234&lt;&gt;""),(AB234-'Choix pédagogiques'!$C$4)/('Choix pédagogiques'!$C$5-'Choix pédagogiques'!$C$4),"")</f>
        <v/>
      </c>
      <c r="AX234" s="55" t="str">
        <f aca="false">IF(AND('Choix pédagogiques'!$C$4&lt;&gt;"?",'Choix pédagogiques'!$C$5&lt;&gt;"?",AC234&lt;&gt;""),(AC234-'Choix pédagogiques'!$C$4)/('Choix pédagogiques'!$C$5-'Choix pédagogiques'!$C$4),"")</f>
        <v/>
      </c>
      <c r="AY234" s="55" t="str">
        <f aca="false">IF(AND('Choix pédagogiques'!$C$4&lt;&gt;"?",'Choix pédagogiques'!$C$5&lt;&gt;"?",AD234&lt;&gt;""),(AD234-'Choix pédagogiques'!$C$4)/('Choix pédagogiques'!$C$5-'Choix pédagogiques'!$C$4),"")</f>
        <v/>
      </c>
      <c r="AZ234" s="53" t="str">
        <f aca="false">IF($J234&lt;&gt;"",$J234,"")</f>
        <v/>
      </c>
      <c r="BA234" s="52" t="str">
        <f aca="false">IF($A234&lt;&gt;"",$A234,"")</f>
        <v>Apprenant 222</v>
      </c>
      <c r="BB234" s="55" t="str">
        <f aca="false">IF(AND($AR234&lt;&gt;"",$AS234&lt;&gt;""),$AS234-$AR234,"")</f>
        <v/>
      </c>
      <c r="BC234" s="55" t="str">
        <f aca="false">IF(AND($AR234&lt;&gt;"",$AT234&lt;&gt;""),$AT234-$AR234,"")</f>
        <v/>
      </c>
      <c r="BD234" s="55" t="str">
        <f aca="false">IF(AND($AS234&lt;&gt;"",$AT234&lt;&gt;""),$AT234-$AS234,"")</f>
        <v/>
      </c>
      <c r="BE234" s="53" t="str">
        <f aca="false">IF($E234&lt;&gt;"",$E234,"")</f>
        <v/>
      </c>
      <c r="BF234" s="52" t="str">
        <f aca="false">IF($F234&lt;&gt;"",$F234,"")</f>
        <v>Apprenant 222 ou 222'</v>
      </c>
      <c r="BG234" s="55" t="str">
        <f aca="false">IF(AND($AW234&lt;&gt;"",$AX234&lt;&gt;""),$AX234-$AW234,"")</f>
        <v/>
      </c>
      <c r="BH234" s="55" t="str">
        <f aca="false">IF(AND($AW234&lt;&gt;"",$AY234&lt;&gt;""),$AY234-$AW234,"")</f>
        <v/>
      </c>
      <c r="BI234" s="55" t="str">
        <f aca="false">IF(AND($AX234&lt;&gt;"",$AY234&lt;&gt;""),$AY234-$AX234,"")</f>
        <v/>
      </c>
      <c r="BJ234" s="53" t="str">
        <f aca="false">IF($J234&lt;&gt;"",$J234,"")</f>
        <v/>
      </c>
      <c r="BL234" s="52"/>
      <c r="BM234" s="52" t="str">
        <f aca="false">IF(OR(COUNT(B234:D1233)=0,AND('Choix pédagogiques'!$C$3&lt;&gt;1,'Choix pédagogiques'!$C$3&lt;&gt;2)),"",IF(AND(OR('Choix pédagogiques'!$C$3=1,'Choix pédagogiques'!$C$3=2),$B234&lt;&gt;"",$C234&lt;&gt;"",$D234&lt;&gt;""),1,0))</f>
        <v/>
      </c>
      <c r="BN234" s="52" t="str">
        <f aca="false">IF(OR(COUNT(G234:I1233)=0,AND('Choix pédagogiques'!$C$3&lt;&gt;1,'Choix pédagogiques'!$C$3&lt;&gt;2)),"",IF(AND(OR('Choix pédagogiques'!$C$3=1,'Choix pédagogiques'!$C$3=2),AND($G234&lt;&gt;"",$H234&lt;&gt;"",$I234&lt;&gt;"")),1,0))</f>
        <v/>
      </c>
      <c r="BO234" s="52" t="str">
        <f aca="false">IF(OR(COUNT(B234:D1233)=0,COUNT(G234:I1233)=0,'Choix pédagogiques'!C$3&lt;&gt;3),"",IF(AND('Choix pédagogiques'!$C$3=3,$B234&lt;&gt;"",$C234&lt;&gt;"",$D234&lt;&gt;"",$G234&lt;&gt;"",$H234&lt;&gt;"",$I234&lt;&gt;""),1,0))</f>
        <v/>
      </c>
      <c r="BR234" s="52" t="n">
        <v>404</v>
      </c>
      <c r="BS234" s="52" t="n">
        <v>1270</v>
      </c>
    </row>
    <row r="235" s="54" customFormat="true" ht="18" hidden="false" customHeight="true" outlineLevel="0" collapsed="false">
      <c r="A235" s="57" t="s">
        <v>401</v>
      </c>
      <c r="B235" s="51"/>
      <c r="C235" s="51"/>
      <c r="D235" s="51"/>
      <c r="E235" s="51"/>
      <c r="F235" s="57" t="s">
        <v>402</v>
      </c>
      <c r="G235" s="51"/>
      <c r="H235" s="51"/>
      <c r="I235" s="51"/>
      <c r="J235" s="51"/>
      <c r="K235" s="52" t="str">
        <f aca="false">IF($A235&lt;&gt;"",$A235,"")</f>
        <v>Apprenant 223</v>
      </c>
      <c r="L235" s="53" t="str">
        <f aca="false">IF(AND($B235&lt;&gt;"",$C235&lt;&gt;""),$C235-$B235,"")</f>
        <v/>
      </c>
      <c r="M235" s="53" t="str">
        <f aca="false">IF(AND($B235&lt;&gt;"",$D235&lt;&gt;""),$D235-$B235,"")</f>
        <v/>
      </c>
      <c r="N235" s="53" t="str">
        <f aca="false">IF(AND($C235&lt;&gt;"",$D235&lt;&gt;""),$D235-$C235,"")</f>
        <v/>
      </c>
      <c r="O235" s="53" t="str">
        <f aca="false">IF($E235&lt;&gt;"",$E235,"")</f>
        <v/>
      </c>
      <c r="P235" s="52" t="str">
        <f aca="false">IF($F235&lt;&gt;"",$F235,"")</f>
        <v>Apprenant 223 ou 223'</v>
      </c>
      <c r="Q235" s="53" t="str">
        <f aca="false">IF(AND($G235&lt;&gt;"",$H235&lt;&gt;""),$H235-$G235,"")</f>
        <v/>
      </c>
      <c r="R235" s="53" t="str">
        <f aca="false">IF(AND($G235&lt;&gt;"",$I235&lt;&gt;""),$I235-$G235,"")</f>
        <v/>
      </c>
      <c r="S235" s="53" t="str">
        <f aca="false">IF(AND($H235&lt;&gt;"",$I235&lt;&gt;""),$I235-$H235,"")</f>
        <v/>
      </c>
      <c r="T235" s="53" t="str">
        <f aca="false">IF($J235&lt;&gt;"",$J235,"")</f>
        <v/>
      </c>
      <c r="V235" s="52" t="str">
        <f aca="false">IF($A235&lt;&gt;"",$A235,"")</f>
        <v>Apprenant 223</v>
      </c>
      <c r="W235" s="53" t="str">
        <f aca="false">IF(AND(OR('Choix pédagogiques'!$C$3=1,'Choix pédagogiques'!$C$3=2),$BM235=1),B235,IF(AND('Choix pédagogiques'!$C$3=3,$BO235=1),B235,""))</f>
        <v/>
      </c>
      <c r="X235" s="53" t="str">
        <f aca="false">IF(AND(OR('Choix pédagogiques'!$C$3=1,'Choix pédagogiques'!$C$3=2),$BM235=1),C235,IF(AND('Choix pédagogiques'!$C$3=3,$BO235=1),C235,""))</f>
        <v/>
      </c>
      <c r="Y235" s="53" t="str">
        <f aca="false">IF(AND(OR('Choix pédagogiques'!$C$3=1,'Choix pédagogiques'!$C$3=2),$BM235=1),D235,IF(AND('Choix pédagogiques'!$C$3=3,$BO235=1),D235,""))</f>
        <v/>
      </c>
      <c r="Z235" s="53" t="str">
        <f aca="false">IF($E235&lt;&gt;"",$E235,"")</f>
        <v/>
      </c>
      <c r="AA235" s="52" t="str">
        <f aca="false">IF($F235&lt;&gt;"",$F235,"")</f>
        <v>Apprenant 223 ou 223'</v>
      </c>
      <c r="AB235" s="53" t="str">
        <f aca="false">IF(AND(OR('Choix pédagogiques'!$C$3=1,'Choix pédagogiques'!$C$3=2),$BN235=1),G235,IF(AND('Choix pédagogiques'!$C$3=3,$BO235=1),G235,""))</f>
        <v/>
      </c>
      <c r="AC235" s="53" t="str">
        <f aca="false">IF(AND(OR('Choix pédagogiques'!$C$3=1,'Choix pédagogiques'!$C$3=2),$BN235=1),H235,IF(AND('Choix pédagogiques'!$C$3=3,$BO235=1),H235,""))</f>
        <v/>
      </c>
      <c r="AD235" s="53" t="str">
        <f aca="false">IF(AND(OR('Choix pédagogiques'!$C$3=1,'Choix pédagogiques'!$C$3=2),$BN235=1),I235,IF(AND('Choix pédagogiques'!$C$3=3,$BO235=1),I235,""))</f>
        <v/>
      </c>
      <c r="AE235" s="53" t="str">
        <f aca="false">IF($J235&lt;&gt;"",$J235,"")</f>
        <v/>
      </c>
      <c r="AF235" s="52" t="str">
        <f aca="false">IF($A235&lt;&gt;"",$A235,"")</f>
        <v>Apprenant 223</v>
      </c>
      <c r="AG235" s="53" t="str">
        <f aca="false">IF(AND($W235&lt;&gt;"",$X235&lt;&gt;""),$X235-$W235,"")</f>
        <v/>
      </c>
      <c r="AH235" s="53" t="str">
        <f aca="false">IF(AND($W235&lt;&gt;"",$Y235&lt;&gt;""),$Y235-$W235,"")</f>
        <v/>
      </c>
      <c r="AI235" s="53" t="str">
        <f aca="false">IF(AND($X235&lt;&gt;"",$Y235&lt;&gt;""),$Y235-$X235,"")</f>
        <v/>
      </c>
      <c r="AJ235" s="53" t="str">
        <f aca="false">IF($E235&lt;&gt;"",$E235,"")</f>
        <v/>
      </c>
      <c r="AK235" s="52" t="str">
        <f aca="false">IF($F235&lt;&gt;"",$F235,"")</f>
        <v>Apprenant 223 ou 223'</v>
      </c>
      <c r="AL235" s="53" t="str">
        <f aca="false">IF(AND($AB235&lt;&gt;"",$AC235&lt;&gt;""),$AC235-$AB235,"")</f>
        <v/>
      </c>
      <c r="AM235" s="53" t="str">
        <f aca="false">IF(AND($AB235&lt;&gt;"",$AD235&lt;&gt;""),$AD235-$AB235,"")</f>
        <v/>
      </c>
      <c r="AN235" s="53" t="str">
        <f aca="false">IF(AND($AC235&lt;&gt;"",$AD235&lt;&gt;""),$AD235-$AC235,"")</f>
        <v/>
      </c>
      <c r="AO235" s="53" t="str">
        <f aca="false">IF($J235&lt;&gt;"",$J235,"")</f>
        <v/>
      </c>
      <c r="AQ235" s="52" t="str">
        <f aca="false">IF($A235&lt;&gt;"",$A235,"")</f>
        <v>Apprenant 223</v>
      </c>
      <c r="AR235" s="55" t="str">
        <f aca="false">IF(AND('Choix pédagogiques'!$C$4&lt;&gt;"?",'Choix pédagogiques'!$C$5&lt;&gt;"?",W235&lt;&gt;""),(W235-'Choix pédagogiques'!$C$4)/('Choix pédagogiques'!$C$5-'Choix pédagogiques'!$C$4),"")</f>
        <v/>
      </c>
      <c r="AS235" s="55" t="str">
        <f aca="false">IF(AND('Choix pédagogiques'!$C$4&lt;&gt;"?",'Choix pédagogiques'!$C$5&lt;&gt;"?",X235&lt;&gt;""),(X235-'Choix pédagogiques'!$C$4)/('Choix pédagogiques'!$C$5-'Choix pédagogiques'!$C$4),"")</f>
        <v/>
      </c>
      <c r="AT235" s="55" t="str">
        <f aca="false">IF(AND('Choix pédagogiques'!$C$4&lt;&gt;"?",'Choix pédagogiques'!$C$5&lt;&gt;"?",Y235&lt;&gt;""),(Y235-'Choix pédagogiques'!$C$4)/('Choix pédagogiques'!$C$5-'Choix pédagogiques'!$C$4),"")</f>
        <v/>
      </c>
      <c r="AU235" s="53" t="str">
        <f aca="false">IF($E235&lt;&gt;"",$E235,"")</f>
        <v/>
      </c>
      <c r="AV235" s="52" t="str">
        <f aca="false">IF($F235&lt;&gt;"",$F235,"")</f>
        <v>Apprenant 223 ou 223'</v>
      </c>
      <c r="AW235" s="55" t="str">
        <f aca="false">IF(AND('Choix pédagogiques'!$C$4&lt;&gt;"?",'Choix pédagogiques'!$C$5&lt;&gt;"?",AB235&lt;&gt;""),(AB235-'Choix pédagogiques'!$C$4)/('Choix pédagogiques'!$C$5-'Choix pédagogiques'!$C$4),"")</f>
        <v/>
      </c>
      <c r="AX235" s="55" t="str">
        <f aca="false">IF(AND('Choix pédagogiques'!$C$4&lt;&gt;"?",'Choix pédagogiques'!$C$5&lt;&gt;"?",AC235&lt;&gt;""),(AC235-'Choix pédagogiques'!$C$4)/('Choix pédagogiques'!$C$5-'Choix pédagogiques'!$C$4),"")</f>
        <v/>
      </c>
      <c r="AY235" s="55" t="str">
        <f aca="false">IF(AND('Choix pédagogiques'!$C$4&lt;&gt;"?",'Choix pédagogiques'!$C$5&lt;&gt;"?",AD235&lt;&gt;""),(AD235-'Choix pédagogiques'!$C$4)/('Choix pédagogiques'!$C$5-'Choix pédagogiques'!$C$4),"")</f>
        <v/>
      </c>
      <c r="AZ235" s="53" t="str">
        <f aca="false">IF($J235&lt;&gt;"",$J235,"")</f>
        <v/>
      </c>
      <c r="BA235" s="52" t="str">
        <f aca="false">IF($A235&lt;&gt;"",$A235,"")</f>
        <v>Apprenant 223</v>
      </c>
      <c r="BB235" s="55" t="str">
        <f aca="false">IF(AND($AR235&lt;&gt;"",$AS235&lt;&gt;""),$AS235-$AR235,"")</f>
        <v/>
      </c>
      <c r="BC235" s="55" t="str">
        <f aca="false">IF(AND($AR235&lt;&gt;"",$AT235&lt;&gt;""),$AT235-$AR235,"")</f>
        <v/>
      </c>
      <c r="BD235" s="55" t="str">
        <f aca="false">IF(AND($AS235&lt;&gt;"",$AT235&lt;&gt;""),$AT235-$AS235,"")</f>
        <v/>
      </c>
      <c r="BE235" s="53" t="str">
        <f aca="false">IF($E235&lt;&gt;"",$E235,"")</f>
        <v/>
      </c>
      <c r="BF235" s="52" t="str">
        <f aca="false">IF($F235&lt;&gt;"",$F235,"")</f>
        <v>Apprenant 223 ou 223'</v>
      </c>
      <c r="BG235" s="55" t="str">
        <f aca="false">IF(AND($AW235&lt;&gt;"",$AX235&lt;&gt;""),$AX235-$AW235,"")</f>
        <v/>
      </c>
      <c r="BH235" s="55" t="str">
        <f aca="false">IF(AND($AW235&lt;&gt;"",$AY235&lt;&gt;""),$AY235-$AW235,"")</f>
        <v/>
      </c>
      <c r="BI235" s="55" t="str">
        <f aca="false">IF(AND($AX235&lt;&gt;"",$AY235&lt;&gt;""),$AY235-$AX235,"")</f>
        <v/>
      </c>
      <c r="BJ235" s="53" t="str">
        <f aca="false">IF($J235&lt;&gt;"",$J235,"")</f>
        <v/>
      </c>
      <c r="BL235" s="52"/>
      <c r="BM235" s="52" t="str">
        <f aca="false">IF(OR(COUNT(B235:D1234)=0,AND('Choix pédagogiques'!$C$3&lt;&gt;1,'Choix pédagogiques'!$C$3&lt;&gt;2)),"",IF(AND(OR('Choix pédagogiques'!$C$3=1,'Choix pédagogiques'!$C$3=2),$B235&lt;&gt;"",$C235&lt;&gt;"",$D235&lt;&gt;""),1,0))</f>
        <v/>
      </c>
      <c r="BN235" s="52" t="str">
        <f aca="false">IF(OR(COUNT(G235:I1234)=0,AND('Choix pédagogiques'!$C$3&lt;&gt;1,'Choix pédagogiques'!$C$3&lt;&gt;2)),"",IF(AND(OR('Choix pédagogiques'!$C$3=1,'Choix pédagogiques'!$C$3=2),AND($G235&lt;&gt;"",$H235&lt;&gt;"",$I235&lt;&gt;"")),1,0))</f>
        <v/>
      </c>
      <c r="BO235" s="52" t="str">
        <f aca="false">IF(OR(COUNT(B235:D1234)=0,COUNT(G235:I1234)=0,'Choix pédagogiques'!C$3&lt;&gt;3),"",IF(AND('Choix pédagogiques'!$C$3=3,$B235&lt;&gt;"",$C235&lt;&gt;"",$D235&lt;&gt;"",$G235&lt;&gt;"",$H235&lt;&gt;"",$I235&lt;&gt;""),1,0))</f>
        <v/>
      </c>
      <c r="BR235" s="52" t="n">
        <v>482</v>
      </c>
      <c r="BS235" s="52" t="n">
        <v>1073</v>
      </c>
    </row>
    <row r="236" s="54" customFormat="true" ht="18" hidden="false" customHeight="true" outlineLevel="0" collapsed="false">
      <c r="A236" s="57" t="s">
        <v>403</v>
      </c>
      <c r="B236" s="51"/>
      <c r="C236" s="51"/>
      <c r="D236" s="51"/>
      <c r="E236" s="51"/>
      <c r="F236" s="57" t="s">
        <v>404</v>
      </c>
      <c r="G236" s="51"/>
      <c r="H236" s="51"/>
      <c r="I236" s="51"/>
      <c r="J236" s="51"/>
      <c r="K236" s="52" t="str">
        <f aca="false">IF($A236&lt;&gt;"",$A236,"")</f>
        <v>Apprenant 224</v>
      </c>
      <c r="L236" s="53" t="str">
        <f aca="false">IF(AND($B236&lt;&gt;"",$C236&lt;&gt;""),$C236-$B236,"")</f>
        <v/>
      </c>
      <c r="M236" s="53" t="str">
        <f aca="false">IF(AND($B236&lt;&gt;"",$D236&lt;&gt;""),$D236-$B236,"")</f>
        <v/>
      </c>
      <c r="N236" s="53" t="str">
        <f aca="false">IF(AND($C236&lt;&gt;"",$D236&lt;&gt;""),$D236-$C236,"")</f>
        <v/>
      </c>
      <c r="O236" s="53" t="str">
        <f aca="false">IF($E236&lt;&gt;"",$E236,"")</f>
        <v/>
      </c>
      <c r="P236" s="52" t="str">
        <f aca="false">IF($F236&lt;&gt;"",$F236,"")</f>
        <v>Apprenant 224 ou 224'</v>
      </c>
      <c r="Q236" s="53" t="str">
        <f aca="false">IF(AND($G236&lt;&gt;"",$H236&lt;&gt;""),$H236-$G236,"")</f>
        <v/>
      </c>
      <c r="R236" s="53" t="str">
        <f aca="false">IF(AND($G236&lt;&gt;"",$I236&lt;&gt;""),$I236-$G236,"")</f>
        <v/>
      </c>
      <c r="S236" s="53" t="str">
        <f aca="false">IF(AND($H236&lt;&gt;"",$I236&lt;&gt;""),$I236-$H236,"")</f>
        <v/>
      </c>
      <c r="T236" s="53" t="str">
        <f aca="false">IF($J236&lt;&gt;"",$J236,"")</f>
        <v/>
      </c>
      <c r="V236" s="52" t="str">
        <f aca="false">IF($A236&lt;&gt;"",$A236,"")</f>
        <v>Apprenant 224</v>
      </c>
      <c r="W236" s="53" t="str">
        <f aca="false">IF(AND(OR('Choix pédagogiques'!$C$3=1,'Choix pédagogiques'!$C$3=2),$BM236=1),B236,IF(AND('Choix pédagogiques'!$C$3=3,$BO236=1),B236,""))</f>
        <v/>
      </c>
      <c r="X236" s="53" t="str">
        <f aca="false">IF(AND(OR('Choix pédagogiques'!$C$3=1,'Choix pédagogiques'!$C$3=2),$BM236=1),C236,IF(AND('Choix pédagogiques'!$C$3=3,$BO236=1),C236,""))</f>
        <v/>
      </c>
      <c r="Y236" s="53" t="str">
        <f aca="false">IF(AND(OR('Choix pédagogiques'!$C$3=1,'Choix pédagogiques'!$C$3=2),$BM236=1),D236,IF(AND('Choix pédagogiques'!$C$3=3,$BO236=1),D236,""))</f>
        <v/>
      </c>
      <c r="Z236" s="53" t="str">
        <f aca="false">IF($E236&lt;&gt;"",$E236,"")</f>
        <v/>
      </c>
      <c r="AA236" s="52" t="str">
        <f aca="false">IF($F236&lt;&gt;"",$F236,"")</f>
        <v>Apprenant 224 ou 224'</v>
      </c>
      <c r="AB236" s="53" t="str">
        <f aca="false">IF(AND(OR('Choix pédagogiques'!$C$3=1,'Choix pédagogiques'!$C$3=2),$BN236=1),G236,IF(AND('Choix pédagogiques'!$C$3=3,$BO236=1),G236,""))</f>
        <v/>
      </c>
      <c r="AC236" s="53" t="str">
        <f aca="false">IF(AND(OR('Choix pédagogiques'!$C$3=1,'Choix pédagogiques'!$C$3=2),$BN236=1),H236,IF(AND('Choix pédagogiques'!$C$3=3,$BO236=1),H236,""))</f>
        <v/>
      </c>
      <c r="AD236" s="53" t="str">
        <f aca="false">IF(AND(OR('Choix pédagogiques'!$C$3=1,'Choix pédagogiques'!$C$3=2),$BN236=1),I236,IF(AND('Choix pédagogiques'!$C$3=3,$BO236=1),I236,""))</f>
        <v/>
      </c>
      <c r="AE236" s="53" t="str">
        <f aca="false">IF($J236&lt;&gt;"",$J236,"")</f>
        <v/>
      </c>
      <c r="AF236" s="52" t="str">
        <f aca="false">IF($A236&lt;&gt;"",$A236,"")</f>
        <v>Apprenant 224</v>
      </c>
      <c r="AG236" s="53" t="str">
        <f aca="false">IF(AND($W236&lt;&gt;"",$X236&lt;&gt;""),$X236-$W236,"")</f>
        <v/>
      </c>
      <c r="AH236" s="53" t="str">
        <f aca="false">IF(AND($W236&lt;&gt;"",$Y236&lt;&gt;""),$Y236-$W236,"")</f>
        <v/>
      </c>
      <c r="AI236" s="53" t="str">
        <f aca="false">IF(AND($X236&lt;&gt;"",$Y236&lt;&gt;""),$Y236-$X236,"")</f>
        <v/>
      </c>
      <c r="AJ236" s="53" t="str">
        <f aca="false">IF($E236&lt;&gt;"",$E236,"")</f>
        <v/>
      </c>
      <c r="AK236" s="52" t="str">
        <f aca="false">IF($F236&lt;&gt;"",$F236,"")</f>
        <v>Apprenant 224 ou 224'</v>
      </c>
      <c r="AL236" s="53" t="str">
        <f aca="false">IF(AND($AB236&lt;&gt;"",$AC236&lt;&gt;""),$AC236-$AB236,"")</f>
        <v/>
      </c>
      <c r="AM236" s="53" t="str">
        <f aca="false">IF(AND($AB236&lt;&gt;"",$AD236&lt;&gt;""),$AD236-$AB236,"")</f>
        <v/>
      </c>
      <c r="AN236" s="53" t="str">
        <f aca="false">IF(AND($AC236&lt;&gt;"",$AD236&lt;&gt;""),$AD236-$AC236,"")</f>
        <v/>
      </c>
      <c r="AO236" s="53" t="str">
        <f aca="false">IF($J236&lt;&gt;"",$J236,"")</f>
        <v/>
      </c>
      <c r="AQ236" s="52" t="str">
        <f aca="false">IF($A236&lt;&gt;"",$A236,"")</f>
        <v>Apprenant 224</v>
      </c>
      <c r="AR236" s="55" t="str">
        <f aca="false">IF(AND('Choix pédagogiques'!$C$4&lt;&gt;"?",'Choix pédagogiques'!$C$5&lt;&gt;"?",W236&lt;&gt;""),(W236-'Choix pédagogiques'!$C$4)/('Choix pédagogiques'!$C$5-'Choix pédagogiques'!$C$4),"")</f>
        <v/>
      </c>
      <c r="AS236" s="55" t="str">
        <f aca="false">IF(AND('Choix pédagogiques'!$C$4&lt;&gt;"?",'Choix pédagogiques'!$C$5&lt;&gt;"?",X236&lt;&gt;""),(X236-'Choix pédagogiques'!$C$4)/('Choix pédagogiques'!$C$5-'Choix pédagogiques'!$C$4),"")</f>
        <v/>
      </c>
      <c r="AT236" s="55" t="str">
        <f aca="false">IF(AND('Choix pédagogiques'!$C$4&lt;&gt;"?",'Choix pédagogiques'!$C$5&lt;&gt;"?",Y236&lt;&gt;""),(Y236-'Choix pédagogiques'!$C$4)/('Choix pédagogiques'!$C$5-'Choix pédagogiques'!$C$4),"")</f>
        <v/>
      </c>
      <c r="AU236" s="53" t="str">
        <f aca="false">IF($E236&lt;&gt;"",$E236,"")</f>
        <v/>
      </c>
      <c r="AV236" s="52" t="str">
        <f aca="false">IF($F236&lt;&gt;"",$F236,"")</f>
        <v>Apprenant 224 ou 224'</v>
      </c>
      <c r="AW236" s="55" t="str">
        <f aca="false">IF(AND('Choix pédagogiques'!$C$4&lt;&gt;"?",'Choix pédagogiques'!$C$5&lt;&gt;"?",AB236&lt;&gt;""),(AB236-'Choix pédagogiques'!$C$4)/('Choix pédagogiques'!$C$5-'Choix pédagogiques'!$C$4),"")</f>
        <v/>
      </c>
      <c r="AX236" s="55" t="str">
        <f aca="false">IF(AND('Choix pédagogiques'!$C$4&lt;&gt;"?",'Choix pédagogiques'!$C$5&lt;&gt;"?",AC236&lt;&gt;""),(AC236-'Choix pédagogiques'!$C$4)/('Choix pédagogiques'!$C$5-'Choix pédagogiques'!$C$4),"")</f>
        <v/>
      </c>
      <c r="AY236" s="55" t="str">
        <f aca="false">IF(AND('Choix pédagogiques'!$C$4&lt;&gt;"?",'Choix pédagogiques'!$C$5&lt;&gt;"?",AD236&lt;&gt;""),(AD236-'Choix pédagogiques'!$C$4)/('Choix pédagogiques'!$C$5-'Choix pédagogiques'!$C$4),"")</f>
        <v/>
      </c>
      <c r="AZ236" s="53" t="str">
        <f aca="false">IF($J236&lt;&gt;"",$J236,"")</f>
        <v/>
      </c>
      <c r="BA236" s="52" t="str">
        <f aca="false">IF($A236&lt;&gt;"",$A236,"")</f>
        <v>Apprenant 224</v>
      </c>
      <c r="BB236" s="55" t="str">
        <f aca="false">IF(AND($AR236&lt;&gt;"",$AS236&lt;&gt;""),$AS236-$AR236,"")</f>
        <v/>
      </c>
      <c r="BC236" s="55" t="str">
        <f aca="false">IF(AND($AR236&lt;&gt;"",$AT236&lt;&gt;""),$AT236-$AR236,"")</f>
        <v/>
      </c>
      <c r="BD236" s="55" t="str">
        <f aca="false">IF(AND($AS236&lt;&gt;"",$AT236&lt;&gt;""),$AT236-$AS236,"")</f>
        <v/>
      </c>
      <c r="BE236" s="53" t="str">
        <f aca="false">IF($E236&lt;&gt;"",$E236,"")</f>
        <v/>
      </c>
      <c r="BF236" s="52" t="str">
        <f aca="false">IF($F236&lt;&gt;"",$F236,"")</f>
        <v>Apprenant 224 ou 224'</v>
      </c>
      <c r="BG236" s="55" t="str">
        <f aca="false">IF(AND($AW236&lt;&gt;"",$AX236&lt;&gt;""),$AX236-$AW236,"")</f>
        <v/>
      </c>
      <c r="BH236" s="55" t="str">
        <f aca="false">IF(AND($AW236&lt;&gt;"",$AY236&lt;&gt;""),$AY236-$AW236,"")</f>
        <v/>
      </c>
      <c r="BI236" s="55" t="str">
        <f aca="false">IF(AND($AX236&lt;&gt;"",$AY236&lt;&gt;""),$AY236-$AX236,"")</f>
        <v/>
      </c>
      <c r="BJ236" s="53" t="str">
        <f aca="false">IF($J236&lt;&gt;"",$J236,"")</f>
        <v/>
      </c>
      <c r="BL236" s="52"/>
      <c r="BM236" s="52" t="str">
        <f aca="false">IF(OR(COUNT(B236:D1235)=0,AND('Choix pédagogiques'!$C$3&lt;&gt;1,'Choix pédagogiques'!$C$3&lt;&gt;2)),"",IF(AND(OR('Choix pédagogiques'!$C$3=1,'Choix pédagogiques'!$C$3=2),$B236&lt;&gt;"",$C236&lt;&gt;"",$D236&lt;&gt;""),1,0))</f>
        <v/>
      </c>
      <c r="BN236" s="52" t="str">
        <f aca="false">IF(OR(COUNT(G236:I1235)=0,AND('Choix pédagogiques'!$C$3&lt;&gt;1,'Choix pédagogiques'!$C$3&lt;&gt;2)),"",IF(AND(OR('Choix pédagogiques'!$C$3=1,'Choix pédagogiques'!$C$3=2),AND($G236&lt;&gt;"",$H236&lt;&gt;"",$I236&lt;&gt;"")),1,0))</f>
        <v/>
      </c>
      <c r="BO236" s="52" t="str">
        <f aca="false">IF(OR(COUNT(B236:D1235)=0,COUNT(G236:I1235)=0,'Choix pédagogiques'!C$3&lt;&gt;3),"",IF(AND('Choix pédagogiques'!$C$3=3,$B236&lt;&gt;"",$C236&lt;&gt;"",$D236&lt;&gt;"",$G236&lt;&gt;"",$H236&lt;&gt;"",$I236&lt;&gt;""),1,0))</f>
        <v/>
      </c>
      <c r="BR236" s="52" t="n">
        <v>722</v>
      </c>
      <c r="BS236" s="52" t="n">
        <v>1326</v>
      </c>
    </row>
    <row r="237" s="54" customFormat="true" ht="18" hidden="false" customHeight="true" outlineLevel="0" collapsed="false">
      <c r="A237" s="57" t="s">
        <v>405</v>
      </c>
      <c r="B237" s="51"/>
      <c r="C237" s="51"/>
      <c r="D237" s="51"/>
      <c r="E237" s="51"/>
      <c r="F237" s="57" t="s">
        <v>406</v>
      </c>
      <c r="G237" s="51"/>
      <c r="H237" s="51"/>
      <c r="I237" s="51"/>
      <c r="J237" s="51"/>
      <c r="K237" s="52" t="str">
        <f aca="false">IF($A237&lt;&gt;"",$A237,"")</f>
        <v>Apprenant 225</v>
      </c>
      <c r="L237" s="53" t="str">
        <f aca="false">IF(AND($B237&lt;&gt;"",$C237&lt;&gt;""),$C237-$B237,"")</f>
        <v/>
      </c>
      <c r="M237" s="53" t="str">
        <f aca="false">IF(AND($B237&lt;&gt;"",$D237&lt;&gt;""),$D237-$B237,"")</f>
        <v/>
      </c>
      <c r="N237" s="53" t="str">
        <f aca="false">IF(AND($C237&lt;&gt;"",$D237&lt;&gt;""),$D237-$C237,"")</f>
        <v/>
      </c>
      <c r="O237" s="53" t="str">
        <f aca="false">IF($E237&lt;&gt;"",$E237,"")</f>
        <v/>
      </c>
      <c r="P237" s="52" t="str">
        <f aca="false">IF($F237&lt;&gt;"",$F237,"")</f>
        <v>Apprenant 225 ou 225'</v>
      </c>
      <c r="Q237" s="53" t="str">
        <f aca="false">IF(AND($G237&lt;&gt;"",$H237&lt;&gt;""),$H237-$G237,"")</f>
        <v/>
      </c>
      <c r="R237" s="53" t="str">
        <f aca="false">IF(AND($G237&lt;&gt;"",$I237&lt;&gt;""),$I237-$G237,"")</f>
        <v/>
      </c>
      <c r="S237" s="53" t="str">
        <f aca="false">IF(AND($H237&lt;&gt;"",$I237&lt;&gt;""),$I237-$H237,"")</f>
        <v/>
      </c>
      <c r="T237" s="53" t="str">
        <f aca="false">IF($J237&lt;&gt;"",$J237,"")</f>
        <v/>
      </c>
      <c r="V237" s="52" t="str">
        <f aca="false">IF($A237&lt;&gt;"",$A237,"")</f>
        <v>Apprenant 225</v>
      </c>
      <c r="W237" s="53" t="str">
        <f aca="false">IF(AND(OR('Choix pédagogiques'!$C$3=1,'Choix pédagogiques'!$C$3=2),$BM237=1),B237,IF(AND('Choix pédagogiques'!$C$3=3,$BO237=1),B237,""))</f>
        <v/>
      </c>
      <c r="X237" s="53" t="str">
        <f aca="false">IF(AND(OR('Choix pédagogiques'!$C$3=1,'Choix pédagogiques'!$C$3=2),$BM237=1),C237,IF(AND('Choix pédagogiques'!$C$3=3,$BO237=1),C237,""))</f>
        <v/>
      </c>
      <c r="Y237" s="53" t="str">
        <f aca="false">IF(AND(OR('Choix pédagogiques'!$C$3=1,'Choix pédagogiques'!$C$3=2),$BM237=1),D237,IF(AND('Choix pédagogiques'!$C$3=3,$BO237=1),D237,""))</f>
        <v/>
      </c>
      <c r="Z237" s="53" t="str">
        <f aca="false">IF($E237&lt;&gt;"",$E237,"")</f>
        <v/>
      </c>
      <c r="AA237" s="52" t="str">
        <f aca="false">IF($F237&lt;&gt;"",$F237,"")</f>
        <v>Apprenant 225 ou 225'</v>
      </c>
      <c r="AB237" s="53" t="str">
        <f aca="false">IF(AND(OR('Choix pédagogiques'!$C$3=1,'Choix pédagogiques'!$C$3=2),$BN237=1),G237,IF(AND('Choix pédagogiques'!$C$3=3,$BO237=1),G237,""))</f>
        <v/>
      </c>
      <c r="AC237" s="53" t="str">
        <f aca="false">IF(AND(OR('Choix pédagogiques'!$C$3=1,'Choix pédagogiques'!$C$3=2),$BN237=1),H237,IF(AND('Choix pédagogiques'!$C$3=3,$BO237=1),H237,""))</f>
        <v/>
      </c>
      <c r="AD237" s="53" t="str">
        <f aca="false">IF(AND(OR('Choix pédagogiques'!$C$3=1,'Choix pédagogiques'!$C$3=2),$BN237=1),I237,IF(AND('Choix pédagogiques'!$C$3=3,$BO237=1),I237,""))</f>
        <v/>
      </c>
      <c r="AE237" s="53" t="str">
        <f aca="false">IF($J237&lt;&gt;"",$J237,"")</f>
        <v/>
      </c>
      <c r="AF237" s="52" t="str">
        <f aca="false">IF($A237&lt;&gt;"",$A237,"")</f>
        <v>Apprenant 225</v>
      </c>
      <c r="AG237" s="53" t="str">
        <f aca="false">IF(AND($W237&lt;&gt;"",$X237&lt;&gt;""),$X237-$W237,"")</f>
        <v/>
      </c>
      <c r="AH237" s="53" t="str">
        <f aca="false">IF(AND($W237&lt;&gt;"",$Y237&lt;&gt;""),$Y237-$W237,"")</f>
        <v/>
      </c>
      <c r="AI237" s="53" t="str">
        <f aca="false">IF(AND($X237&lt;&gt;"",$Y237&lt;&gt;""),$Y237-$X237,"")</f>
        <v/>
      </c>
      <c r="AJ237" s="53" t="str">
        <f aca="false">IF($E237&lt;&gt;"",$E237,"")</f>
        <v/>
      </c>
      <c r="AK237" s="52" t="str">
        <f aca="false">IF($F237&lt;&gt;"",$F237,"")</f>
        <v>Apprenant 225 ou 225'</v>
      </c>
      <c r="AL237" s="53" t="str">
        <f aca="false">IF(AND($AB237&lt;&gt;"",$AC237&lt;&gt;""),$AC237-$AB237,"")</f>
        <v/>
      </c>
      <c r="AM237" s="53" t="str">
        <f aca="false">IF(AND($AB237&lt;&gt;"",$AD237&lt;&gt;""),$AD237-$AB237,"")</f>
        <v/>
      </c>
      <c r="AN237" s="53" t="str">
        <f aca="false">IF(AND($AC237&lt;&gt;"",$AD237&lt;&gt;""),$AD237-$AC237,"")</f>
        <v/>
      </c>
      <c r="AO237" s="53" t="str">
        <f aca="false">IF($J237&lt;&gt;"",$J237,"")</f>
        <v/>
      </c>
      <c r="AQ237" s="52" t="str">
        <f aca="false">IF($A237&lt;&gt;"",$A237,"")</f>
        <v>Apprenant 225</v>
      </c>
      <c r="AR237" s="55" t="str">
        <f aca="false">IF(AND('Choix pédagogiques'!$C$4&lt;&gt;"?",'Choix pédagogiques'!$C$5&lt;&gt;"?",W237&lt;&gt;""),(W237-'Choix pédagogiques'!$C$4)/('Choix pédagogiques'!$C$5-'Choix pédagogiques'!$C$4),"")</f>
        <v/>
      </c>
      <c r="AS237" s="55" t="str">
        <f aca="false">IF(AND('Choix pédagogiques'!$C$4&lt;&gt;"?",'Choix pédagogiques'!$C$5&lt;&gt;"?",X237&lt;&gt;""),(X237-'Choix pédagogiques'!$C$4)/('Choix pédagogiques'!$C$5-'Choix pédagogiques'!$C$4),"")</f>
        <v/>
      </c>
      <c r="AT237" s="55" t="str">
        <f aca="false">IF(AND('Choix pédagogiques'!$C$4&lt;&gt;"?",'Choix pédagogiques'!$C$5&lt;&gt;"?",Y237&lt;&gt;""),(Y237-'Choix pédagogiques'!$C$4)/('Choix pédagogiques'!$C$5-'Choix pédagogiques'!$C$4),"")</f>
        <v/>
      </c>
      <c r="AU237" s="53" t="str">
        <f aca="false">IF($E237&lt;&gt;"",$E237,"")</f>
        <v/>
      </c>
      <c r="AV237" s="52" t="str">
        <f aca="false">IF($F237&lt;&gt;"",$F237,"")</f>
        <v>Apprenant 225 ou 225'</v>
      </c>
      <c r="AW237" s="55" t="str">
        <f aca="false">IF(AND('Choix pédagogiques'!$C$4&lt;&gt;"?",'Choix pédagogiques'!$C$5&lt;&gt;"?",AB237&lt;&gt;""),(AB237-'Choix pédagogiques'!$C$4)/('Choix pédagogiques'!$C$5-'Choix pédagogiques'!$C$4),"")</f>
        <v/>
      </c>
      <c r="AX237" s="55" t="str">
        <f aca="false">IF(AND('Choix pédagogiques'!$C$4&lt;&gt;"?",'Choix pédagogiques'!$C$5&lt;&gt;"?",AC237&lt;&gt;""),(AC237-'Choix pédagogiques'!$C$4)/('Choix pédagogiques'!$C$5-'Choix pédagogiques'!$C$4),"")</f>
        <v/>
      </c>
      <c r="AY237" s="55" t="str">
        <f aca="false">IF(AND('Choix pédagogiques'!$C$4&lt;&gt;"?",'Choix pédagogiques'!$C$5&lt;&gt;"?",AD237&lt;&gt;""),(AD237-'Choix pédagogiques'!$C$4)/('Choix pédagogiques'!$C$5-'Choix pédagogiques'!$C$4),"")</f>
        <v/>
      </c>
      <c r="AZ237" s="53" t="str">
        <f aca="false">IF($J237&lt;&gt;"",$J237,"")</f>
        <v/>
      </c>
      <c r="BA237" s="52" t="str">
        <f aca="false">IF($A237&lt;&gt;"",$A237,"")</f>
        <v>Apprenant 225</v>
      </c>
      <c r="BB237" s="55" t="str">
        <f aca="false">IF(AND($AR237&lt;&gt;"",$AS237&lt;&gt;""),$AS237-$AR237,"")</f>
        <v/>
      </c>
      <c r="BC237" s="55" t="str">
        <f aca="false">IF(AND($AR237&lt;&gt;"",$AT237&lt;&gt;""),$AT237-$AR237,"")</f>
        <v/>
      </c>
      <c r="BD237" s="55" t="str">
        <f aca="false">IF(AND($AS237&lt;&gt;"",$AT237&lt;&gt;""),$AT237-$AS237,"")</f>
        <v/>
      </c>
      <c r="BE237" s="53" t="str">
        <f aca="false">IF($E237&lt;&gt;"",$E237,"")</f>
        <v/>
      </c>
      <c r="BF237" s="52" t="str">
        <f aca="false">IF($F237&lt;&gt;"",$F237,"")</f>
        <v>Apprenant 225 ou 225'</v>
      </c>
      <c r="BG237" s="55" t="str">
        <f aca="false">IF(AND($AW237&lt;&gt;"",$AX237&lt;&gt;""),$AX237-$AW237,"")</f>
        <v/>
      </c>
      <c r="BH237" s="55" t="str">
        <f aca="false">IF(AND($AW237&lt;&gt;"",$AY237&lt;&gt;""),$AY237-$AW237,"")</f>
        <v/>
      </c>
      <c r="BI237" s="55" t="str">
        <f aca="false">IF(AND($AX237&lt;&gt;"",$AY237&lt;&gt;""),$AY237-$AX237,"")</f>
        <v/>
      </c>
      <c r="BJ237" s="53" t="str">
        <f aca="false">IF($J237&lt;&gt;"",$J237,"")</f>
        <v/>
      </c>
      <c r="BL237" s="52"/>
      <c r="BM237" s="52" t="str">
        <f aca="false">IF(OR(COUNT(B237:D1236)=0,AND('Choix pédagogiques'!$C$3&lt;&gt;1,'Choix pédagogiques'!$C$3&lt;&gt;2)),"",IF(AND(OR('Choix pédagogiques'!$C$3=1,'Choix pédagogiques'!$C$3=2),$B237&lt;&gt;"",$C237&lt;&gt;"",$D237&lt;&gt;""),1,0))</f>
        <v/>
      </c>
      <c r="BN237" s="52" t="str">
        <f aca="false">IF(OR(COUNT(G237:I1236)=0,AND('Choix pédagogiques'!$C$3&lt;&gt;1,'Choix pédagogiques'!$C$3&lt;&gt;2)),"",IF(AND(OR('Choix pédagogiques'!$C$3=1,'Choix pédagogiques'!$C$3=2),AND($G237&lt;&gt;"",$H237&lt;&gt;"",$I237&lt;&gt;"")),1,0))</f>
        <v/>
      </c>
      <c r="BO237" s="52" t="str">
        <f aca="false">IF(OR(COUNT(B237:D1236)=0,COUNT(G237:I1236)=0,'Choix pédagogiques'!C$3&lt;&gt;3),"",IF(AND('Choix pédagogiques'!$C$3=3,$B237&lt;&gt;"",$C237&lt;&gt;"",$D237&lt;&gt;"",$G237&lt;&gt;"",$H237&lt;&gt;"",$I237&lt;&gt;""),1,0))</f>
        <v/>
      </c>
      <c r="BR237" s="52" t="n">
        <v>618</v>
      </c>
      <c r="BS237" s="52" t="n">
        <v>1038</v>
      </c>
    </row>
    <row r="238" s="54" customFormat="true" ht="18" hidden="false" customHeight="true" outlineLevel="0" collapsed="false">
      <c r="A238" s="57" t="s">
        <v>407</v>
      </c>
      <c r="B238" s="51"/>
      <c r="C238" s="51"/>
      <c r="D238" s="51"/>
      <c r="E238" s="51"/>
      <c r="F238" s="57" t="s">
        <v>408</v>
      </c>
      <c r="G238" s="51"/>
      <c r="H238" s="51"/>
      <c r="I238" s="51"/>
      <c r="J238" s="51"/>
      <c r="K238" s="52" t="str">
        <f aca="false">IF($A238&lt;&gt;"",$A238,"")</f>
        <v>Apprenant 226</v>
      </c>
      <c r="L238" s="53" t="str">
        <f aca="false">IF(AND($B238&lt;&gt;"",$C238&lt;&gt;""),$C238-$B238,"")</f>
        <v/>
      </c>
      <c r="M238" s="53" t="str">
        <f aca="false">IF(AND($B238&lt;&gt;"",$D238&lt;&gt;""),$D238-$B238,"")</f>
        <v/>
      </c>
      <c r="N238" s="53" t="str">
        <f aca="false">IF(AND($C238&lt;&gt;"",$D238&lt;&gt;""),$D238-$C238,"")</f>
        <v/>
      </c>
      <c r="O238" s="53" t="str">
        <f aca="false">IF($E238&lt;&gt;"",$E238,"")</f>
        <v/>
      </c>
      <c r="P238" s="52" t="str">
        <f aca="false">IF($F238&lt;&gt;"",$F238,"")</f>
        <v>Apprenant 226 ou 226'</v>
      </c>
      <c r="Q238" s="53" t="str">
        <f aca="false">IF(AND($G238&lt;&gt;"",$H238&lt;&gt;""),$H238-$G238,"")</f>
        <v/>
      </c>
      <c r="R238" s="53" t="str">
        <f aca="false">IF(AND($G238&lt;&gt;"",$I238&lt;&gt;""),$I238-$G238,"")</f>
        <v/>
      </c>
      <c r="S238" s="53" t="str">
        <f aca="false">IF(AND($H238&lt;&gt;"",$I238&lt;&gt;""),$I238-$H238,"")</f>
        <v/>
      </c>
      <c r="T238" s="53" t="str">
        <f aca="false">IF($J238&lt;&gt;"",$J238,"")</f>
        <v/>
      </c>
      <c r="V238" s="52" t="str">
        <f aca="false">IF($A238&lt;&gt;"",$A238,"")</f>
        <v>Apprenant 226</v>
      </c>
      <c r="W238" s="53" t="str">
        <f aca="false">IF(AND(OR('Choix pédagogiques'!$C$3=1,'Choix pédagogiques'!$C$3=2),$BM238=1),B238,IF(AND('Choix pédagogiques'!$C$3=3,$BO238=1),B238,""))</f>
        <v/>
      </c>
      <c r="X238" s="53" t="str">
        <f aca="false">IF(AND(OR('Choix pédagogiques'!$C$3=1,'Choix pédagogiques'!$C$3=2),$BM238=1),C238,IF(AND('Choix pédagogiques'!$C$3=3,$BO238=1),C238,""))</f>
        <v/>
      </c>
      <c r="Y238" s="53" t="str">
        <f aca="false">IF(AND(OR('Choix pédagogiques'!$C$3=1,'Choix pédagogiques'!$C$3=2),$BM238=1),D238,IF(AND('Choix pédagogiques'!$C$3=3,$BO238=1),D238,""))</f>
        <v/>
      </c>
      <c r="Z238" s="53" t="str">
        <f aca="false">IF($E238&lt;&gt;"",$E238,"")</f>
        <v/>
      </c>
      <c r="AA238" s="52" t="str">
        <f aca="false">IF($F238&lt;&gt;"",$F238,"")</f>
        <v>Apprenant 226 ou 226'</v>
      </c>
      <c r="AB238" s="53" t="str">
        <f aca="false">IF(AND(OR('Choix pédagogiques'!$C$3=1,'Choix pédagogiques'!$C$3=2),$BN238=1),G238,IF(AND('Choix pédagogiques'!$C$3=3,$BO238=1),G238,""))</f>
        <v/>
      </c>
      <c r="AC238" s="53" t="str">
        <f aca="false">IF(AND(OR('Choix pédagogiques'!$C$3=1,'Choix pédagogiques'!$C$3=2),$BN238=1),H238,IF(AND('Choix pédagogiques'!$C$3=3,$BO238=1),H238,""))</f>
        <v/>
      </c>
      <c r="AD238" s="53" t="str">
        <f aca="false">IF(AND(OR('Choix pédagogiques'!$C$3=1,'Choix pédagogiques'!$C$3=2),$BN238=1),I238,IF(AND('Choix pédagogiques'!$C$3=3,$BO238=1),I238,""))</f>
        <v/>
      </c>
      <c r="AE238" s="53" t="str">
        <f aca="false">IF($J238&lt;&gt;"",$J238,"")</f>
        <v/>
      </c>
      <c r="AF238" s="52" t="str">
        <f aca="false">IF($A238&lt;&gt;"",$A238,"")</f>
        <v>Apprenant 226</v>
      </c>
      <c r="AG238" s="53" t="str">
        <f aca="false">IF(AND($W238&lt;&gt;"",$X238&lt;&gt;""),$X238-$W238,"")</f>
        <v/>
      </c>
      <c r="AH238" s="53" t="str">
        <f aca="false">IF(AND($W238&lt;&gt;"",$Y238&lt;&gt;""),$Y238-$W238,"")</f>
        <v/>
      </c>
      <c r="AI238" s="53" t="str">
        <f aca="false">IF(AND($X238&lt;&gt;"",$Y238&lt;&gt;""),$Y238-$X238,"")</f>
        <v/>
      </c>
      <c r="AJ238" s="53" t="str">
        <f aca="false">IF($E238&lt;&gt;"",$E238,"")</f>
        <v/>
      </c>
      <c r="AK238" s="52" t="str">
        <f aca="false">IF($F238&lt;&gt;"",$F238,"")</f>
        <v>Apprenant 226 ou 226'</v>
      </c>
      <c r="AL238" s="53" t="str">
        <f aca="false">IF(AND($AB238&lt;&gt;"",$AC238&lt;&gt;""),$AC238-$AB238,"")</f>
        <v/>
      </c>
      <c r="AM238" s="53" t="str">
        <f aca="false">IF(AND($AB238&lt;&gt;"",$AD238&lt;&gt;""),$AD238-$AB238,"")</f>
        <v/>
      </c>
      <c r="AN238" s="53" t="str">
        <f aca="false">IF(AND($AC238&lt;&gt;"",$AD238&lt;&gt;""),$AD238-$AC238,"")</f>
        <v/>
      </c>
      <c r="AO238" s="53" t="str">
        <f aca="false">IF($J238&lt;&gt;"",$J238,"")</f>
        <v/>
      </c>
      <c r="AQ238" s="52" t="str">
        <f aca="false">IF($A238&lt;&gt;"",$A238,"")</f>
        <v>Apprenant 226</v>
      </c>
      <c r="AR238" s="55" t="str">
        <f aca="false">IF(AND('Choix pédagogiques'!$C$4&lt;&gt;"?",'Choix pédagogiques'!$C$5&lt;&gt;"?",W238&lt;&gt;""),(W238-'Choix pédagogiques'!$C$4)/('Choix pédagogiques'!$C$5-'Choix pédagogiques'!$C$4),"")</f>
        <v/>
      </c>
      <c r="AS238" s="55" t="str">
        <f aca="false">IF(AND('Choix pédagogiques'!$C$4&lt;&gt;"?",'Choix pédagogiques'!$C$5&lt;&gt;"?",X238&lt;&gt;""),(X238-'Choix pédagogiques'!$C$4)/('Choix pédagogiques'!$C$5-'Choix pédagogiques'!$C$4),"")</f>
        <v/>
      </c>
      <c r="AT238" s="55" t="str">
        <f aca="false">IF(AND('Choix pédagogiques'!$C$4&lt;&gt;"?",'Choix pédagogiques'!$C$5&lt;&gt;"?",Y238&lt;&gt;""),(Y238-'Choix pédagogiques'!$C$4)/('Choix pédagogiques'!$C$5-'Choix pédagogiques'!$C$4),"")</f>
        <v/>
      </c>
      <c r="AU238" s="53" t="str">
        <f aca="false">IF($E238&lt;&gt;"",$E238,"")</f>
        <v/>
      </c>
      <c r="AV238" s="52" t="str">
        <f aca="false">IF($F238&lt;&gt;"",$F238,"")</f>
        <v>Apprenant 226 ou 226'</v>
      </c>
      <c r="AW238" s="55" t="str">
        <f aca="false">IF(AND('Choix pédagogiques'!$C$4&lt;&gt;"?",'Choix pédagogiques'!$C$5&lt;&gt;"?",AB238&lt;&gt;""),(AB238-'Choix pédagogiques'!$C$4)/('Choix pédagogiques'!$C$5-'Choix pédagogiques'!$C$4),"")</f>
        <v/>
      </c>
      <c r="AX238" s="55" t="str">
        <f aca="false">IF(AND('Choix pédagogiques'!$C$4&lt;&gt;"?",'Choix pédagogiques'!$C$5&lt;&gt;"?",AC238&lt;&gt;""),(AC238-'Choix pédagogiques'!$C$4)/('Choix pédagogiques'!$C$5-'Choix pédagogiques'!$C$4),"")</f>
        <v/>
      </c>
      <c r="AY238" s="55" t="str">
        <f aca="false">IF(AND('Choix pédagogiques'!$C$4&lt;&gt;"?",'Choix pédagogiques'!$C$5&lt;&gt;"?",AD238&lt;&gt;""),(AD238-'Choix pédagogiques'!$C$4)/('Choix pédagogiques'!$C$5-'Choix pédagogiques'!$C$4),"")</f>
        <v/>
      </c>
      <c r="AZ238" s="53" t="str">
        <f aca="false">IF($J238&lt;&gt;"",$J238,"")</f>
        <v/>
      </c>
      <c r="BA238" s="52" t="str">
        <f aca="false">IF($A238&lt;&gt;"",$A238,"")</f>
        <v>Apprenant 226</v>
      </c>
      <c r="BB238" s="55" t="str">
        <f aca="false">IF(AND($AR238&lt;&gt;"",$AS238&lt;&gt;""),$AS238-$AR238,"")</f>
        <v/>
      </c>
      <c r="BC238" s="55" t="str">
        <f aca="false">IF(AND($AR238&lt;&gt;"",$AT238&lt;&gt;""),$AT238-$AR238,"")</f>
        <v/>
      </c>
      <c r="BD238" s="55" t="str">
        <f aca="false">IF(AND($AS238&lt;&gt;"",$AT238&lt;&gt;""),$AT238-$AS238,"")</f>
        <v/>
      </c>
      <c r="BE238" s="53" t="str">
        <f aca="false">IF($E238&lt;&gt;"",$E238,"")</f>
        <v/>
      </c>
      <c r="BF238" s="52" t="str">
        <f aca="false">IF($F238&lt;&gt;"",$F238,"")</f>
        <v>Apprenant 226 ou 226'</v>
      </c>
      <c r="BG238" s="55" t="str">
        <f aca="false">IF(AND($AW238&lt;&gt;"",$AX238&lt;&gt;""),$AX238-$AW238,"")</f>
        <v/>
      </c>
      <c r="BH238" s="55" t="str">
        <f aca="false">IF(AND($AW238&lt;&gt;"",$AY238&lt;&gt;""),$AY238-$AW238,"")</f>
        <v/>
      </c>
      <c r="BI238" s="55" t="str">
        <f aca="false">IF(AND($AX238&lt;&gt;"",$AY238&lt;&gt;""),$AY238-$AX238,"")</f>
        <v/>
      </c>
      <c r="BJ238" s="53" t="str">
        <f aca="false">IF($J238&lt;&gt;"",$J238,"")</f>
        <v/>
      </c>
      <c r="BL238" s="52"/>
      <c r="BM238" s="52" t="str">
        <f aca="false">IF(OR(COUNT(B238:D1237)=0,AND('Choix pédagogiques'!$C$3&lt;&gt;1,'Choix pédagogiques'!$C$3&lt;&gt;2)),"",IF(AND(OR('Choix pédagogiques'!$C$3=1,'Choix pédagogiques'!$C$3=2),$B238&lt;&gt;"",$C238&lt;&gt;"",$D238&lt;&gt;""),1,0))</f>
        <v/>
      </c>
      <c r="BN238" s="52" t="str">
        <f aca="false">IF(OR(COUNT(G238:I1237)=0,AND('Choix pédagogiques'!$C$3&lt;&gt;1,'Choix pédagogiques'!$C$3&lt;&gt;2)),"",IF(AND(OR('Choix pédagogiques'!$C$3=1,'Choix pédagogiques'!$C$3=2),AND($G238&lt;&gt;"",$H238&lt;&gt;"",$I238&lt;&gt;"")),1,0))</f>
        <v/>
      </c>
      <c r="BO238" s="52" t="str">
        <f aca="false">IF(OR(COUNT(B238:D1237)=0,COUNT(G238:I1237)=0,'Choix pédagogiques'!C$3&lt;&gt;3),"",IF(AND('Choix pédagogiques'!$C$3=3,$B238&lt;&gt;"",$C238&lt;&gt;"",$D238&lt;&gt;"",$G238&lt;&gt;"",$H238&lt;&gt;"",$I238&lt;&gt;""),1,0))</f>
        <v/>
      </c>
      <c r="BR238" s="52" t="n">
        <v>390</v>
      </c>
      <c r="BS238" s="52" t="n">
        <v>1409</v>
      </c>
    </row>
    <row r="239" s="54" customFormat="true" ht="18" hidden="false" customHeight="true" outlineLevel="0" collapsed="false">
      <c r="A239" s="57" t="s">
        <v>409</v>
      </c>
      <c r="B239" s="51"/>
      <c r="C239" s="51"/>
      <c r="D239" s="51"/>
      <c r="E239" s="51"/>
      <c r="F239" s="57" t="s">
        <v>410</v>
      </c>
      <c r="G239" s="51"/>
      <c r="H239" s="51"/>
      <c r="I239" s="51"/>
      <c r="J239" s="51"/>
      <c r="K239" s="52" t="str">
        <f aca="false">IF($A239&lt;&gt;"",$A239,"")</f>
        <v>Apprenant 227</v>
      </c>
      <c r="L239" s="53" t="str">
        <f aca="false">IF(AND($B239&lt;&gt;"",$C239&lt;&gt;""),$C239-$B239,"")</f>
        <v/>
      </c>
      <c r="M239" s="53" t="str">
        <f aca="false">IF(AND($B239&lt;&gt;"",$D239&lt;&gt;""),$D239-$B239,"")</f>
        <v/>
      </c>
      <c r="N239" s="53" t="str">
        <f aca="false">IF(AND($C239&lt;&gt;"",$D239&lt;&gt;""),$D239-$C239,"")</f>
        <v/>
      </c>
      <c r="O239" s="53" t="str">
        <f aca="false">IF($E239&lt;&gt;"",$E239,"")</f>
        <v/>
      </c>
      <c r="P239" s="52" t="str">
        <f aca="false">IF($F239&lt;&gt;"",$F239,"")</f>
        <v>Apprenant 227 ou 227'</v>
      </c>
      <c r="Q239" s="53" t="str">
        <f aca="false">IF(AND($G239&lt;&gt;"",$H239&lt;&gt;""),$H239-$G239,"")</f>
        <v/>
      </c>
      <c r="R239" s="53" t="str">
        <f aca="false">IF(AND($G239&lt;&gt;"",$I239&lt;&gt;""),$I239-$G239,"")</f>
        <v/>
      </c>
      <c r="S239" s="53" t="str">
        <f aca="false">IF(AND($H239&lt;&gt;"",$I239&lt;&gt;""),$I239-$H239,"")</f>
        <v/>
      </c>
      <c r="T239" s="53" t="str">
        <f aca="false">IF($J239&lt;&gt;"",$J239,"")</f>
        <v/>
      </c>
      <c r="V239" s="52" t="str">
        <f aca="false">IF($A239&lt;&gt;"",$A239,"")</f>
        <v>Apprenant 227</v>
      </c>
      <c r="W239" s="53" t="str">
        <f aca="false">IF(AND(OR('Choix pédagogiques'!$C$3=1,'Choix pédagogiques'!$C$3=2),$BM239=1),B239,IF(AND('Choix pédagogiques'!$C$3=3,$BO239=1),B239,""))</f>
        <v/>
      </c>
      <c r="X239" s="53" t="str">
        <f aca="false">IF(AND(OR('Choix pédagogiques'!$C$3=1,'Choix pédagogiques'!$C$3=2),$BM239=1),C239,IF(AND('Choix pédagogiques'!$C$3=3,$BO239=1),C239,""))</f>
        <v/>
      </c>
      <c r="Y239" s="53" t="str">
        <f aca="false">IF(AND(OR('Choix pédagogiques'!$C$3=1,'Choix pédagogiques'!$C$3=2),$BM239=1),D239,IF(AND('Choix pédagogiques'!$C$3=3,$BO239=1),D239,""))</f>
        <v/>
      </c>
      <c r="Z239" s="53" t="str">
        <f aca="false">IF($E239&lt;&gt;"",$E239,"")</f>
        <v/>
      </c>
      <c r="AA239" s="52" t="str">
        <f aca="false">IF($F239&lt;&gt;"",$F239,"")</f>
        <v>Apprenant 227 ou 227'</v>
      </c>
      <c r="AB239" s="53" t="str">
        <f aca="false">IF(AND(OR('Choix pédagogiques'!$C$3=1,'Choix pédagogiques'!$C$3=2),$BN239=1),G239,IF(AND('Choix pédagogiques'!$C$3=3,$BO239=1),G239,""))</f>
        <v/>
      </c>
      <c r="AC239" s="53" t="str">
        <f aca="false">IF(AND(OR('Choix pédagogiques'!$C$3=1,'Choix pédagogiques'!$C$3=2),$BN239=1),H239,IF(AND('Choix pédagogiques'!$C$3=3,$BO239=1),H239,""))</f>
        <v/>
      </c>
      <c r="AD239" s="53" t="str">
        <f aca="false">IF(AND(OR('Choix pédagogiques'!$C$3=1,'Choix pédagogiques'!$C$3=2),$BN239=1),I239,IF(AND('Choix pédagogiques'!$C$3=3,$BO239=1),I239,""))</f>
        <v/>
      </c>
      <c r="AE239" s="53" t="str">
        <f aca="false">IF($J239&lt;&gt;"",$J239,"")</f>
        <v/>
      </c>
      <c r="AF239" s="52" t="str">
        <f aca="false">IF($A239&lt;&gt;"",$A239,"")</f>
        <v>Apprenant 227</v>
      </c>
      <c r="AG239" s="53" t="str">
        <f aca="false">IF(AND($W239&lt;&gt;"",$X239&lt;&gt;""),$X239-$W239,"")</f>
        <v/>
      </c>
      <c r="AH239" s="53" t="str">
        <f aca="false">IF(AND($W239&lt;&gt;"",$Y239&lt;&gt;""),$Y239-$W239,"")</f>
        <v/>
      </c>
      <c r="AI239" s="53" t="str">
        <f aca="false">IF(AND($X239&lt;&gt;"",$Y239&lt;&gt;""),$Y239-$X239,"")</f>
        <v/>
      </c>
      <c r="AJ239" s="53" t="str">
        <f aca="false">IF($E239&lt;&gt;"",$E239,"")</f>
        <v/>
      </c>
      <c r="AK239" s="52" t="str">
        <f aca="false">IF($F239&lt;&gt;"",$F239,"")</f>
        <v>Apprenant 227 ou 227'</v>
      </c>
      <c r="AL239" s="53" t="str">
        <f aca="false">IF(AND($AB239&lt;&gt;"",$AC239&lt;&gt;""),$AC239-$AB239,"")</f>
        <v/>
      </c>
      <c r="AM239" s="53" t="str">
        <f aca="false">IF(AND($AB239&lt;&gt;"",$AD239&lt;&gt;""),$AD239-$AB239,"")</f>
        <v/>
      </c>
      <c r="AN239" s="53" t="str">
        <f aca="false">IF(AND($AC239&lt;&gt;"",$AD239&lt;&gt;""),$AD239-$AC239,"")</f>
        <v/>
      </c>
      <c r="AO239" s="53" t="str">
        <f aca="false">IF($J239&lt;&gt;"",$J239,"")</f>
        <v/>
      </c>
      <c r="AQ239" s="52" t="str">
        <f aca="false">IF($A239&lt;&gt;"",$A239,"")</f>
        <v>Apprenant 227</v>
      </c>
      <c r="AR239" s="55" t="str">
        <f aca="false">IF(AND('Choix pédagogiques'!$C$4&lt;&gt;"?",'Choix pédagogiques'!$C$5&lt;&gt;"?",W239&lt;&gt;""),(W239-'Choix pédagogiques'!$C$4)/('Choix pédagogiques'!$C$5-'Choix pédagogiques'!$C$4),"")</f>
        <v/>
      </c>
      <c r="AS239" s="55" t="str">
        <f aca="false">IF(AND('Choix pédagogiques'!$C$4&lt;&gt;"?",'Choix pédagogiques'!$C$5&lt;&gt;"?",X239&lt;&gt;""),(X239-'Choix pédagogiques'!$C$4)/('Choix pédagogiques'!$C$5-'Choix pédagogiques'!$C$4),"")</f>
        <v/>
      </c>
      <c r="AT239" s="55" t="str">
        <f aca="false">IF(AND('Choix pédagogiques'!$C$4&lt;&gt;"?",'Choix pédagogiques'!$C$5&lt;&gt;"?",Y239&lt;&gt;""),(Y239-'Choix pédagogiques'!$C$4)/('Choix pédagogiques'!$C$5-'Choix pédagogiques'!$C$4),"")</f>
        <v/>
      </c>
      <c r="AU239" s="53" t="str">
        <f aca="false">IF($E239&lt;&gt;"",$E239,"")</f>
        <v/>
      </c>
      <c r="AV239" s="52" t="str">
        <f aca="false">IF($F239&lt;&gt;"",$F239,"")</f>
        <v>Apprenant 227 ou 227'</v>
      </c>
      <c r="AW239" s="55" t="str">
        <f aca="false">IF(AND('Choix pédagogiques'!$C$4&lt;&gt;"?",'Choix pédagogiques'!$C$5&lt;&gt;"?",AB239&lt;&gt;""),(AB239-'Choix pédagogiques'!$C$4)/('Choix pédagogiques'!$C$5-'Choix pédagogiques'!$C$4),"")</f>
        <v/>
      </c>
      <c r="AX239" s="55" t="str">
        <f aca="false">IF(AND('Choix pédagogiques'!$C$4&lt;&gt;"?",'Choix pédagogiques'!$C$5&lt;&gt;"?",AC239&lt;&gt;""),(AC239-'Choix pédagogiques'!$C$4)/('Choix pédagogiques'!$C$5-'Choix pédagogiques'!$C$4),"")</f>
        <v/>
      </c>
      <c r="AY239" s="55" t="str">
        <f aca="false">IF(AND('Choix pédagogiques'!$C$4&lt;&gt;"?",'Choix pédagogiques'!$C$5&lt;&gt;"?",AD239&lt;&gt;""),(AD239-'Choix pédagogiques'!$C$4)/('Choix pédagogiques'!$C$5-'Choix pédagogiques'!$C$4),"")</f>
        <v/>
      </c>
      <c r="AZ239" s="53" t="str">
        <f aca="false">IF($J239&lt;&gt;"",$J239,"")</f>
        <v/>
      </c>
      <c r="BA239" s="52" t="str">
        <f aca="false">IF($A239&lt;&gt;"",$A239,"")</f>
        <v>Apprenant 227</v>
      </c>
      <c r="BB239" s="55" t="str">
        <f aca="false">IF(AND($AR239&lt;&gt;"",$AS239&lt;&gt;""),$AS239-$AR239,"")</f>
        <v/>
      </c>
      <c r="BC239" s="55" t="str">
        <f aca="false">IF(AND($AR239&lt;&gt;"",$AT239&lt;&gt;""),$AT239-$AR239,"")</f>
        <v/>
      </c>
      <c r="BD239" s="55" t="str">
        <f aca="false">IF(AND($AS239&lt;&gt;"",$AT239&lt;&gt;""),$AT239-$AS239,"")</f>
        <v/>
      </c>
      <c r="BE239" s="53" t="str">
        <f aca="false">IF($E239&lt;&gt;"",$E239,"")</f>
        <v/>
      </c>
      <c r="BF239" s="52" t="str">
        <f aca="false">IF($F239&lt;&gt;"",$F239,"")</f>
        <v>Apprenant 227 ou 227'</v>
      </c>
      <c r="BG239" s="55" t="str">
        <f aca="false">IF(AND($AW239&lt;&gt;"",$AX239&lt;&gt;""),$AX239-$AW239,"")</f>
        <v/>
      </c>
      <c r="BH239" s="55" t="str">
        <f aca="false">IF(AND($AW239&lt;&gt;"",$AY239&lt;&gt;""),$AY239-$AW239,"")</f>
        <v/>
      </c>
      <c r="BI239" s="55" t="str">
        <f aca="false">IF(AND($AX239&lt;&gt;"",$AY239&lt;&gt;""),$AY239-$AX239,"")</f>
        <v/>
      </c>
      <c r="BJ239" s="53" t="str">
        <f aca="false">IF($J239&lt;&gt;"",$J239,"")</f>
        <v/>
      </c>
      <c r="BL239" s="52"/>
      <c r="BM239" s="52" t="str">
        <f aca="false">IF(OR(COUNT(B239:D1238)=0,AND('Choix pédagogiques'!$C$3&lt;&gt;1,'Choix pédagogiques'!$C$3&lt;&gt;2)),"",IF(AND(OR('Choix pédagogiques'!$C$3=1,'Choix pédagogiques'!$C$3=2),$B239&lt;&gt;"",$C239&lt;&gt;"",$D239&lt;&gt;""),1,0))</f>
        <v/>
      </c>
      <c r="BN239" s="52" t="str">
        <f aca="false">IF(OR(COUNT(G239:I1238)=0,AND('Choix pédagogiques'!$C$3&lt;&gt;1,'Choix pédagogiques'!$C$3&lt;&gt;2)),"",IF(AND(OR('Choix pédagogiques'!$C$3=1,'Choix pédagogiques'!$C$3=2),AND($G239&lt;&gt;"",$H239&lt;&gt;"",$I239&lt;&gt;"")),1,0))</f>
        <v/>
      </c>
      <c r="BO239" s="52" t="str">
        <f aca="false">IF(OR(COUNT(B239:D1238)=0,COUNT(G239:I1238)=0,'Choix pédagogiques'!C$3&lt;&gt;3),"",IF(AND('Choix pédagogiques'!$C$3=3,$B239&lt;&gt;"",$C239&lt;&gt;"",$D239&lt;&gt;"",$G239&lt;&gt;"",$H239&lt;&gt;"",$I239&lt;&gt;""),1,0))</f>
        <v/>
      </c>
      <c r="BR239" s="52" t="n">
        <v>238</v>
      </c>
      <c r="BS239" s="52" t="n">
        <v>1150</v>
      </c>
    </row>
    <row r="240" s="54" customFormat="true" ht="18" hidden="false" customHeight="true" outlineLevel="0" collapsed="false">
      <c r="A240" s="57" t="s">
        <v>411</v>
      </c>
      <c r="B240" s="51"/>
      <c r="C240" s="51"/>
      <c r="D240" s="51"/>
      <c r="E240" s="51"/>
      <c r="F240" s="57" t="s">
        <v>412</v>
      </c>
      <c r="G240" s="51"/>
      <c r="H240" s="51"/>
      <c r="I240" s="51"/>
      <c r="J240" s="51"/>
      <c r="K240" s="52" t="str">
        <f aca="false">IF($A240&lt;&gt;"",$A240,"")</f>
        <v>Apprenant 228</v>
      </c>
      <c r="L240" s="53" t="str">
        <f aca="false">IF(AND($B240&lt;&gt;"",$C240&lt;&gt;""),$C240-$B240,"")</f>
        <v/>
      </c>
      <c r="M240" s="53" t="str">
        <f aca="false">IF(AND($B240&lt;&gt;"",$D240&lt;&gt;""),$D240-$B240,"")</f>
        <v/>
      </c>
      <c r="N240" s="53" t="str">
        <f aca="false">IF(AND($C240&lt;&gt;"",$D240&lt;&gt;""),$D240-$C240,"")</f>
        <v/>
      </c>
      <c r="O240" s="53" t="str">
        <f aca="false">IF($E240&lt;&gt;"",$E240,"")</f>
        <v/>
      </c>
      <c r="P240" s="52" t="str">
        <f aca="false">IF($F240&lt;&gt;"",$F240,"")</f>
        <v>Apprenant 228 ou 228'</v>
      </c>
      <c r="Q240" s="53" t="str">
        <f aca="false">IF(AND($G240&lt;&gt;"",$H240&lt;&gt;""),$H240-$G240,"")</f>
        <v/>
      </c>
      <c r="R240" s="53" t="str">
        <f aca="false">IF(AND($G240&lt;&gt;"",$I240&lt;&gt;""),$I240-$G240,"")</f>
        <v/>
      </c>
      <c r="S240" s="53" t="str">
        <f aca="false">IF(AND($H240&lt;&gt;"",$I240&lt;&gt;""),$I240-$H240,"")</f>
        <v/>
      </c>
      <c r="T240" s="53" t="str">
        <f aca="false">IF($J240&lt;&gt;"",$J240,"")</f>
        <v/>
      </c>
      <c r="V240" s="52" t="str">
        <f aca="false">IF($A240&lt;&gt;"",$A240,"")</f>
        <v>Apprenant 228</v>
      </c>
      <c r="W240" s="53" t="str">
        <f aca="false">IF(AND(OR('Choix pédagogiques'!$C$3=1,'Choix pédagogiques'!$C$3=2),$BM240=1),B240,IF(AND('Choix pédagogiques'!$C$3=3,$BO240=1),B240,""))</f>
        <v/>
      </c>
      <c r="X240" s="53" t="str">
        <f aca="false">IF(AND(OR('Choix pédagogiques'!$C$3=1,'Choix pédagogiques'!$C$3=2),$BM240=1),C240,IF(AND('Choix pédagogiques'!$C$3=3,$BO240=1),C240,""))</f>
        <v/>
      </c>
      <c r="Y240" s="53" t="str">
        <f aca="false">IF(AND(OR('Choix pédagogiques'!$C$3=1,'Choix pédagogiques'!$C$3=2),$BM240=1),D240,IF(AND('Choix pédagogiques'!$C$3=3,$BO240=1),D240,""))</f>
        <v/>
      </c>
      <c r="Z240" s="53" t="str">
        <f aca="false">IF($E240&lt;&gt;"",$E240,"")</f>
        <v/>
      </c>
      <c r="AA240" s="52" t="str">
        <f aca="false">IF($F240&lt;&gt;"",$F240,"")</f>
        <v>Apprenant 228 ou 228'</v>
      </c>
      <c r="AB240" s="53" t="str">
        <f aca="false">IF(AND(OR('Choix pédagogiques'!$C$3=1,'Choix pédagogiques'!$C$3=2),$BN240=1),G240,IF(AND('Choix pédagogiques'!$C$3=3,$BO240=1),G240,""))</f>
        <v/>
      </c>
      <c r="AC240" s="53" t="str">
        <f aca="false">IF(AND(OR('Choix pédagogiques'!$C$3=1,'Choix pédagogiques'!$C$3=2),$BN240=1),H240,IF(AND('Choix pédagogiques'!$C$3=3,$BO240=1),H240,""))</f>
        <v/>
      </c>
      <c r="AD240" s="53" t="str">
        <f aca="false">IF(AND(OR('Choix pédagogiques'!$C$3=1,'Choix pédagogiques'!$C$3=2),$BN240=1),I240,IF(AND('Choix pédagogiques'!$C$3=3,$BO240=1),I240,""))</f>
        <v/>
      </c>
      <c r="AE240" s="53" t="str">
        <f aca="false">IF($J240&lt;&gt;"",$J240,"")</f>
        <v/>
      </c>
      <c r="AF240" s="52" t="str">
        <f aca="false">IF($A240&lt;&gt;"",$A240,"")</f>
        <v>Apprenant 228</v>
      </c>
      <c r="AG240" s="53" t="str">
        <f aca="false">IF(AND($W240&lt;&gt;"",$X240&lt;&gt;""),$X240-$W240,"")</f>
        <v/>
      </c>
      <c r="AH240" s="53" t="str">
        <f aca="false">IF(AND($W240&lt;&gt;"",$Y240&lt;&gt;""),$Y240-$W240,"")</f>
        <v/>
      </c>
      <c r="AI240" s="53" t="str">
        <f aca="false">IF(AND($X240&lt;&gt;"",$Y240&lt;&gt;""),$Y240-$X240,"")</f>
        <v/>
      </c>
      <c r="AJ240" s="53" t="str">
        <f aca="false">IF($E240&lt;&gt;"",$E240,"")</f>
        <v/>
      </c>
      <c r="AK240" s="52" t="str">
        <f aca="false">IF($F240&lt;&gt;"",$F240,"")</f>
        <v>Apprenant 228 ou 228'</v>
      </c>
      <c r="AL240" s="53" t="str">
        <f aca="false">IF(AND($AB240&lt;&gt;"",$AC240&lt;&gt;""),$AC240-$AB240,"")</f>
        <v/>
      </c>
      <c r="AM240" s="53" t="str">
        <f aca="false">IF(AND($AB240&lt;&gt;"",$AD240&lt;&gt;""),$AD240-$AB240,"")</f>
        <v/>
      </c>
      <c r="AN240" s="53" t="str">
        <f aca="false">IF(AND($AC240&lt;&gt;"",$AD240&lt;&gt;""),$AD240-$AC240,"")</f>
        <v/>
      </c>
      <c r="AO240" s="53" t="str">
        <f aca="false">IF($J240&lt;&gt;"",$J240,"")</f>
        <v/>
      </c>
      <c r="AQ240" s="52" t="str">
        <f aca="false">IF($A240&lt;&gt;"",$A240,"")</f>
        <v>Apprenant 228</v>
      </c>
      <c r="AR240" s="55" t="str">
        <f aca="false">IF(AND('Choix pédagogiques'!$C$4&lt;&gt;"?",'Choix pédagogiques'!$C$5&lt;&gt;"?",W240&lt;&gt;""),(W240-'Choix pédagogiques'!$C$4)/('Choix pédagogiques'!$C$5-'Choix pédagogiques'!$C$4),"")</f>
        <v/>
      </c>
      <c r="AS240" s="55" t="str">
        <f aca="false">IF(AND('Choix pédagogiques'!$C$4&lt;&gt;"?",'Choix pédagogiques'!$C$5&lt;&gt;"?",X240&lt;&gt;""),(X240-'Choix pédagogiques'!$C$4)/('Choix pédagogiques'!$C$5-'Choix pédagogiques'!$C$4),"")</f>
        <v/>
      </c>
      <c r="AT240" s="55" t="str">
        <f aca="false">IF(AND('Choix pédagogiques'!$C$4&lt;&gt;"?",'Choix pédagogiques'!$C$5&lt;&gt;"?",Y240&lt;&gt;""),(Y240-'Choix pédagogiques'!$C$4)/('Choix pédagogiques'!$C$5-'Choix pédagogiques'!$C$4),"")</f>
        <v/>
      </c>
      <c r="AU240" s="53" t="str">
        <f aca="false">IF($E240&lt;&gt;"",$E240,"")</f>
        <v/>
      </c>
      <c r="AV240" s="52" t="str">
        <f aca="false">IF($F240&lt;&gt;"",$F240,"")</f>
        <v>Apprenant 228 ou 228'</v>
      </c>
      <c r="AW240" s="55" t="str">
        <f aca="false">IF(AND('Choix pédagogiques'!$C$4&lt;&gt;"?",'Choix pédagogiques'!$C$5&lt;&gt;"?",AB240&lt;&gt;""),(AB240-'Choix pédagogiques'!$C$4)/('Choix pédagogiques'!$C$5-'Choix pédagogiques'!$C$4),"")</f>
        <v/>
      </c>
      <c r="AX240" s="55" t="str">
        <f aca="false">IF(AND('Choix pédagogiques'!$C$4&lt;&gt;"?",'Choix pédagogiques'!$C$5&lt;&gt;"?",AC240&lt;&gt;""),(AC240-'Choix pédagogiques'!$C$4)/('Choix pédagogiques'!$C$5-'Choix pédagogiques'!$C$4),"")</f>
        <v/>
      </c>
      <c r="AY240" s="55" t="str">
        <f aca="false">IF(AND('Choix pédagogiques'!$C$4&lt;&gt;"?",'Choix pédagogiques'!$C$5&lt;&gt;"?",AD240&lt;&gt;""),(AD240-'Choix pédagogiques'!$C$4)/('Choix pédagogiques'!$C$5-'Choix pédagogiques'!$C$4),"")</f>
        <v/>
      </c>
      <c r="AZ240" s="53" t="str">
        <f aca="false">IF($J240&lt;&gt;"",$J240,"")</f>
        <v/>
      </c>
      <c r="BA240" s="52" t="str">
        <f aca="false">IF($A240&lt;&gt;"",$A240,"")</f>
        <v>Apprenant 228</v>
      </c>
      <c r="BB240" s="55" t="str">
        <f aca="false">IF(AND($AR240&lt;&gt;"",$AS240&lt;&gt;""),$AS240-$AR240,"")</f>
        <v/>
      </c>
      <c r="BC240" s="55" t="str">
        <f aca="false">IF(AND($AR240&lt;&gt;"",$AT240&lt;&gt;""),$AT240-$AR240,"")</f>
        <v/>
      </c>
      <c r="BD240" s="55" t="str">
        <f aca="false">IF(AND($AS240&lt;&gt;"",$AT240&lt;&gt;""),$AT240-$AS240,"")</f>
        <v/>
      </c>
      <c r="BE240" s="53" t="str">
        <f aca="false">IF($E240&lt;&gt;"",$E240,"")</f>
        <v/>
      </c>
      <c r="BF240" s="52" t="str">
        <f aca="false">IF($F240&lt;&gt;"",$F240,"")</f>
        <v>Apprenant 228 ou 228'</v>
      </c>
      <c r="BG240" s="55" t="str">
        <f aca="false">IF(AND($AW240&lt;&gt;"",$AX240&lt;&gt;""),$AX240-$AW240,"")</f>
        <v/>
      </c>
      <c r="BH240" s="55" t="str">
        <f aca="false">IF(AND($AW240&lt;&gt;"",$AY240&lt;&gt;""),$AY240-$AW240,"")</f>
        <v/>
      </c>
      <c r="BI240" s="55" t="str">
        <f aca="false">IF(AND($AX240&lt;&gt;"",$AY240&lt;&gt;""),$AY240-$AX240,"")</f>
        <v/>
      </c>
      <c r="BJ240" s="53" t="str">
        <f aca="false">IF($J240&lt;&gt;"",$J240,"")</f>
        <v/>
      </c>
      <c r="BL240" s="52"/>
      <c r="BM240" s="52" t="str">
        <f aca="false">IF(OR(COUNT(B240:D1239)=0,AND('Choix pédagogiques'!$C$3&lt;&gt;1,'Choix pédagogiques'!$C$3&lt;&gt;2)),"",IF(AND(OR('Choix pédagogiques'!$C$3=1,'Choix pédagogiques'!$C$3=2),$B240&lt;&gt;"",$C240&lt;&gt;"",$D240&lt;&gt;""),1,0))</f>
        <v/>
      </c>
      <c r="BN240" s="52" t="str">
        <f aca="false">IF(OR(COUNT(G240:I1239)=0,AND('Choix pédagogiques'!$C$3&lt;&gt;1,'Choix pédagogiques'!$C$3&lt;&gt;2)),"",IF(AND(OR('Choix pédagogiques'!$C$3=1,'Choix pédagogiques'!$C$3=2),AND($G240&lt;&gt;"",$H240&lt;&gt;"",$I240&lt;&gt;"")),1,0))</f>
        <v/>
      </c>
      <c r="BO240" s="52" t="str">
        <f aca="false">IF(OR(COUNT(B240:D1239)=0,COUNT(G240:I1239)=0,'Choix pédagogiques'!C$3&lt;&gt;3),"",IF(AND('Choix pédagogiques'!$C$3=3,$B240&lt;&gt;"",$C240&lt;&gt;"",$D240&lt;&gt;"",$G240&lt;&gt;"",$H240&lt;&gt;"",$I240&lt;&gt;""),1,0))</f>
        <v/>
      </c>
      <c r="BR240" s="52" t="n">
        <v>699</v>
      </c>
      <c r="BS240" s="52" t="n">
        <v>1847</v>
      </c>
    </row>
    <row r="241" s="54" customFormat="true" ht="18" hidden="false" customHeight="true" outlineLevel="0" collapsed="false">
      <c r="A241" s="57" t="s">
        <v>413</v>
      </c>
      <c r="B241" s="51"/>
      <c r="C241" s="51"/>
      <c r="D241" s="51"/>
      <c r="E241" s="51"/>
      <c r="F241" s="57" t="s">
        <v>414</v>
      </c>
      <c r="G241" s="51"/>
      <c r="H241" s="51"/>
      <c r="I241" s="51"/>
      <c r="J241" s="51"/>
      <c r="K241" s="52" t="str">
        <f aca="false">IF($A241&lt;&gt;"",$A241,"")</f>
        <v>Apprenant 229</v>
      </c>
      <c r="L241" s="53" t="str">
        <f aca="false">IF(AND($B241&lt;&gt;"",$C241&lt;&gt;""),$C241-$B241,"")</f>
        <v/>
      </c>
      <c r="M241" s="53" t="str">
        <f aca="false">IF(AND($B241&lt;&gt;"",$D241&lt;&gt;""),$D241-$B241,"")</f>
        <v/>
      </c>
      <c r="N241" s="53" t="str">
        <f aca="false">IF(AND($C241&lt;&gt;"",$D241&lt;&gt;""),$D241-$C241,"")</f>
        <v/>
      </c>
      <c r="O241" s="53" t="str">
        <f aca="false">IF($E241&lt;&gt;"",$E241,"")</f>
        <v/>
      </c>
      <c r="P241" s="52" t="str">
        <f aca="false">IF($F241&lt;&gt;"",$F241,"")</f>
        <v>Apprenant 229 ou 229'</v>
      </c>
      <c r="Q241" s="53" t="str">
        <f aca="false">IF(AND($G241&lt;&gt;"",$H241&lt;&gt;""),$H241-$G241,"")</f>
        <v/>
      </c>
      <c r="R241" s="53" t="str">
        <f aca="false">IF(AND($G241&lt;&gt;"",$I241&lt;&gt;""),$I241-$G241,"")</f>
        <v/>
      </c>
      <c r="S241" s="53" t="str">
        <f aca="false">IF(AND($H241&lt;&gt;"",$I241&lt;&gt;""),$I241-$H241,"")</f>
        <v/>
      </c>
      <c r="T241" s="53" t="str">
        <f aca="false">IF($J241&lt;&gt;"",$J241,"")</f>
        <v/>
      </c>
      <c r="V241" s="52" t="str">
        <f aca="false">IF($A241&lt;&gt;"",$A241,"")</f>
        <v>Apprenant 229</v>
      </c>
      <c r="W241" s="53" t="str">
        <f aca="false">IF(AND(OR('Choix pédagogiques'!$C$3=1,'Choix pédagogiques'!$C$3=2),$BM241=1),B241,IF(AND('Choix pédagogiques'!$C$3=3,$BO241=1),B241,""))</f>
        <v/>
      </c>
      <c r="X241" s="53" t="str">
        <f aca="false">IF(AND(OR('Choix pédagogiques'!$C$3=1,'Choix pédagogiques'!$C$3=2),$BM241=1),C241,IF(AND('Choix pédagogiques'!$C$3=3,$BO241=1),C241,""))</f>
        <v/>
      </c>
      <c r="Y241" s="53" t="str">
        <f aca="false">IF(AND(OR('Choix pédagogiques'!$C$3=1,'Choix pédagogiques'!$C$3=2),$BM241=1),D241,IF(AND('Choix pédagogiques'!$C$3=3,$BO241=1),D241,""))</f>
        <v/>
      </c>
      <c r="Z241" s="53" t="str">
        <f aca="false">IF($E241&lt;&gt;"",$E241,"")</f>
        <v/>
      </c>
      <c r="AA241" s="52" t="str">
        <f aca="false">IF($F241&lt;&gt;"",$F241,"")</f>
        <v>Apprenant 229 ou 229'</v>
      </c>
      <c r="AB241" s="53" t="str">
        <f aca="false">IF(AND(OR('Choix pédagogiques'!$C$3=1,'Choix pédagogiques'!$C$3=2),$BN241=1),G241,IF(AND('Choix pédagogiques'!$C$3=3,$BO241=1),G241,""))</f>
        <v/>
      </c>
      <c r="AC241" s="53" t="str">
        <f aca="false">IF(AND(OR('Choix pédagogiques'!$C$3=1,'Choix pédagogiques'!$C$3=2),$BN241=1),H241,IF(AND('Choix pédagogiques'!$C$3=3,$BO241=1),H241,""))</f>
        <v/>
      </c>
      <c r="AD241" s="53" t="str">
        <f aca="false">IF(AND(OR('Choix pédagogiques'!$C$3=1,'Choix pédagogiques'!$C$3=2),$BN241=1),I241,IF(AND('Choix pédagogiques'!$C$3=3,$BO241=1),I241,""))</f>
        <v/>
      </c>
      <c r="AE241" s="53" t="str">
        <f aca="false">IF($J241&lt;&gt;"",$J241,"")</f>
        <v/>
      </c>
      <c r="AF241" s="52" t="str">
        <f aca="false">IF($A241&lt;&gt;"",$A241,"")</f>
        <v>Apprenant 229</v>
      </c>
      <c r="AG241" s="53" t="str">
        <f aca="false">IF(AND($W241&lt;&gt;"",$X241&lt;&gt;""),$X241-$W241,"")</f>
        <v/>
      </c>
      <c r="AH241" s="53" t="str">
        <f aca="false">IF(AND($W241&lt;&gt;"",$Y241&lt;&gt;""),$Y241-$W241,"")</f>
        <v/>
      </c>
      <c r="AI241" s="53" t="str">
        <f aca="false">IF(AND($X241&lt;&gt;"",$Y241&lt;&gt;""),$Y241-$X241,"")</f>
        <v/>
      </c>
      <c r="AJ241" s="53" t="str">
        <f aca="false">IF($E241&lt;&gt;"",$E241,"")</f>
        <v/>
      </c>
      <c r="AK241" s="52" t="str">
        <f aca="false">IF($F241&lt;&gt;"",$F241,"")</f>
        <v>Apprenant 229 ou 229'</v>
      </c>
      <c r="AL241" s="53" t="str">
        <f aca="false">IF(AND($AB241&lt;&gt;"",$AC241&lt;&gt;""),$AC241-$AB241,"")</f>
        <v/>
      </c>
      <c r="AM241" s="53" t="str">
        <f aca="false">IF(AND($AB241&lt;&gt;"",$AD241&lt;&gt;""),$AD241-$AB241,"")</f>
        <v/>
      </c>
      <c r="AN241" s="53" t="str">
        <f aca="false">IF(AND($AC241&lt;&gt;"",$AD241&lt;&gt;""),$AD241-$AC241,"")</f>
        <v/>
      </c>
      <c r="AO241" s="53" t="str">
        <f aca="false">IF($J241&lt;&gt;"",$J241,"")</f>
        <v/>
      </c>
      <c r="AQ241" s="52" t="str">
        <f aca="false">IF($A241&lt;&gt;"",$A241,"")</f>
        <v>Apprenant 229</v>
      </c>
      <c r="AR241" s="55" t="str">
        <f aca="false">IF(AND('Choix pédagogiques'!$C$4&lt;&gt;"?",'Choix pédagogiques'!$C$5&lt;&gt;"?",W241&lt;&gt;""),(W241-'Choix pédagogiques'!$C$4)/('Choix pédagogiques'!$C$5-'Choix pédagogiques'!$C$4),"")</f>
        <v/>
      </c>
      <c r="AS241" s="55" t="str">
        <f aca="false">IF(AND('Choix pédagogiques'!$C$4&lt;&gt;"?",'Choix pédagogiques'!$C$5&lt;&gt;"?",X241&lt;&gt;""),(X241-'Choix pédagogiques'!$C$4)/('Choix pédagogiques'!$C$5-'Choix pédagogiques'!$C$4),"")</f>
        <v/>
      </c>
      <c r="AT241" s="55" t="str">
        <f aca="false">IF(AND('Choix pédagogiques'!$C$4&lt;&gt;"?",'Choix pédagogiques'!$C$5&lt;&gt;"?",Y241&lt;&gt;""),(Y241-'Choix pédagogiques'!$C$4)/('Choix pédagogiques'!$C$5-'Choix pédagogiques'!$C$4),"")</f>
        <v/>
      </c>
      <c r="AU241" s="53" t="str">
        <f aca="false">IF($E241&lt;&gt;"",$E241,"")</f>
        <v/>
      </c>
      <c r="AV241" s="52" t="str">
        <f aca="false">IF($F241&lt;&gt;"",$F241,"")</f>
        <v>Apprenant 229 ou 229'</v>
      </c>
      <c r="AW241" s="55" t="str">
        <f aca="false">IF(AND('Choix pédagogiques'!$C$4&lt;&gt;"?",'Choix pédagogiques'!$C$5&lt;&gt;"?",AB241&lt;&gt;""),(AB241-'Choix pédagogiques'!$C$4)/('Choix pédagogiques'!$C$5-'Choix pédagogiques'!$C$4),"")</f>
        <v/>
      </c>
      <c r="AX241" s="55" t="str">
        <f aca="false">IF(AND('Choix pédagogiques'!$C$4&lt;&gt;"?",'Choix pédagogiques'!$C$5&lt;&gt;"?",AC241&lt;&gt;""),(AC241-'Choix pédagogiques'!$C$4)/('Choix pédagogiques'!$C$5-'Choix pédagogiques'!$C$4),"")</f>
        <v/>
      </c>
      <c r="AY241" s="55" t="str">
        <f aca="false">IF(AND('Choix pédagogiques'!$C$4&lt;&gt;"?",'Choix pédagogiques'!$C$5&lt;&gt;"?",AD241&lt;&gt;""),(AD241-'Choix pédagogiques'!$C$4)/('Choix pédagogiques'!$C$5-'Choix pédagogiques'!$C$4),"")</f>
        <v/>
      </c>
      <c r="AZ241" s="53" t="str">
        <f aca="false">IF($J241&lt;&gt;"",$J241,"")</f>
        <v/>
      </c>
      <c r="BA241" s="52" t="str">
        <f aca="false">IF($A241&lt;&gt;"",$A241,"")</f>
        <v>Apprenant 229</v>
      </c>
      <c r="BB241" s="55" t="str">
        <f aca="false">IF(AND($AR241&lt;&gt;"",$AS241&lt;&gt;""),$AS241-$AR241,"")</f>
        <v/>
      </c>
      <c r="BC241" s="55" t="str">
        <f aca="false">IF(AND($AR241&lt;&gt;"",$AT241&lt;&gt;""),$AT241-$AR241,"")</f>
        <v/>
      </c>
      <c r="BD241" s="55" t="str">
        <f aca="false">IF(AND($AS241&lt;&gt;"",$AT241&lt;&gt;""),$AT241-$AS241,"")</f>
        <v/>
      </c>
      <c r="BE241" s="53" t="str">
        <f aca="false">IF($E241&lt;&gt;"",$E241,"")</f>
        <v/>
      </c>
      <c r="BF241" s="52" t="str">
        <f aca="false">IF($F241&lt;&gt;"",$F241,"")</f>
        <v>Apprenant 229 ou 229'</v>
      </c>
      <c r="BG241" s="55" t="str">
        <f aca="false">IF(AND($AW241&lt;&gt;"",$AX241&lt;&gt;""),$AX241-$AW241,"")</f>
        <v/>
      </c>
      <c r="BH241" s="55" t="str">
        <f aca="false">IF(AND($AW241&lt;&gt;"",$AY241&lt;&gt;""),$AY241-$AW241,"")</f>
        <v/>
      </c>
      <c r="BI241" s="55" t="str">
        <f aca="false">IF(AND($AX241&lt;&gt;"",$AY241&lt;&gt;""),$AY241-$AX241,"")</f>
        <v/>
      </c>
      <c r="BJ241" s="53" t="str">
        <f aca="false">IF($J241&lt;&gt;"",$J241,"")</f>
        <v/>
      </c>
      <c r="BL241" s="52"/>
      <c r="BM241" s="52" t="str">
        <f aca="false">IF(OR(COUNT(B241:D1240)=0,AND('Choix pédagogiques'!$C$3&lt;&gt;1,'Choix pédagogiques'!$C$3&lt;&gt;2)),"",IF(AND(OR('Choix pédagogiques'!$C$3=1,'Choix pédagogiques'!$C$3=2),$B241&lt;&gt;"",$C241&lt;&gt;"",$D241&lt;&gt;""),1,0))</f>
        <v/>
      </c>
      <c r="BN241" s="52" t="str">
        <f aca="false">IF(OR(COUNT(G241:I1240)=0,AND('Choix pédagogiques'!$C$3&lt;&gt;1,'Choix pédagogiques'!$C$3&lt;&gt;2)),"",IF(AND(OR('Choix pédagogiques'!$C$3=1,'Choix pédagogiques'!$C$3=2),AND($G241&lt;&gt;"",$H241&lt;&gt;"",$I241&lt;&gt;"")),1,0))</f>
        <v/>
      </c>
      <c r="BO241" s="52" t="str">
        <f aca="false">IF(OR(COUNT(B241:D1240)=0,COUNT(G241:I1240)=0,'Choix pédagogiques'!C$3&lt;&gt;3),"",IF(AND('Choix pédagogiques'!$C$3=3,$B241&lt;&gt;"",$C241&lt;&gt;"",$D241&lt;&gt;"",$G241&lt;&gt;"",$H241&lt;&gt;"",$I241&lt;&gt;""),1,0))</f>
        <v/>
      </c>
      <c r="BR241" s="52" t="n">
        <v>135</v>
      </c>
      <c r="BS241" s="52" t="n">
        <v>1346</v>
      </c>
    </row>
    <row r="242" s="54" customFormat="true" ht="18" hidden="false" customHeight="true" outlineLevel="0" collapsed="false">
      <c r="A242" s="57" t="s">
        <v>415</v>
      </c>
      <c r="B242" s="51"/>
      <c r="C242" s="51"/>
      <c r="D242" s="51"/>
      <c r="E242" s="51"/>
      <c r="F242" s="57" t="s">
        <v>416</v>
      </c>
      <c r="G242" s="51"/>
      <c r="H242" s="51"/>
      <c r="I242" s="51"/>
      <c r="J242" s="51"/>
      <c r="K242" s="52" t="str">
        <f aca="false">IF($A242&lt;&gt;"",$A242,"")</f>
        <v>Apprenant 230</v>
      </c>
      <c r="L242" s="53" t="str">
        <f aca="false">IF(AND($B242&lt;&gt;"",$C242&lt;&gt;""),$C242-$B242,"")</f>
        <v/>
      </c>
      <c r="M242" s="53" t="str">
        <f aca="false">IF(AND($B242&lt;&gt;"",$D242&lt;&gt;""),$D242-$B242,"")</f>
        <v/>
      </c>
      <c r="N242" s="53" t="str">
        <f aca="false">IF(AND($C242&lt;&gt;"",$D242&lt;&gt;""),$D242-$C242,"")</f>
        <v/>
      </c>
      <c r="O242" s="53" t="str">
        <f aca="false">IF($E242&lt;&gt;"",$E242,"")</f>
        <v/>
      </c>
      <c r="P242" s="52" t="str">
        <f aca="false">IF($F242&lt;&gt;"",$F242,"")</f>
        <v>Apprenant 230 ou 230'</v>
      </c>
      <c r="Q242" s="53" t="str">
        <f aca="false">IF(AND($G242&lt;&gt;"",$H242&lt;&gt;""),$H242-$G242,"")</f>
        <v/>
      </c>
      <c r="R242" s="53" t="str">
        <f aca="false">IF(AND($G242&lt;&gt;"",$I242&lt;&gt;""),$I242-$G242,"")</f>
        <v/>
      </c>
      <c r="S242" s="53" t="str">
        <f aca="false">IF(AND($H242&lt;&gt;"",$I242&lt;&gt;""),$I242-$H242,"")</f>
        <v/>
      </c>
      <c r="T242" s="53" t="str">
        <f aca="false">IF($J242&lt;&gt;"",$J242,"")</f>
        <v/>
      </c>
      <c r="V242" s="52" t="str">
        <f aca="false">IF($A242&lt;&gt;"",$A242,"")</f>
        <v>Apprenant 230</v>
      </c>
      <c r="W242" s="53" t="str">
        <f aca="false">IF(AND(OR('Choix pédagogiques'!$C$3=1,'Choix pédagogiques'!$C$3=2),$BM242=1),B242,IF(AND('Choix pédagogiques'!$C$3=3,$BO242=1),B242,""))</f>
        <v/>
      </c>
      <c r="X242" s="53" t="str">
        <f aca="false">IF(AND(OR('Choix pédagogiques'!$C$3=1,'Choix pédagogiques'!$C$3=2),$BM242=1),C242,IF(AND('Choix pédagogiques'!$C$3=3,$BO242=1),C242,""))</f>
        <v/>
      </c>
      <c r="Y242" s="53" t="str">
        <f aca="false">IF(AND(OR('Choix pédagogiques'!$C$3=1,'Choix pédagogiques'!$C$3=2),$BM242=1),D242,IF(AND('Choix pédagogiques'!$C$3=3,$BO242=1),D242,""))</f>
        <v/>
      </c>
      <c r="Z242" s="53" t="str">
        <f aca="false">IF($E242&lt;&gt;"",$E242,"")</f>
        <v/>
      </c>
      <c r="AA242" s="52" t="str">
        <f aca="false">IF($F242&lt;&gt;"",$F242,"")</f>
        <v>Apprenant 230 ou 230'</v>
      </c>
      <c r="AB242" s="53" t="str">
        <f aca="false">IF(AND(OR('Choix pédagogiques'!$C$3=1,'Choix pédagogiques'!$C$3=2),$BN242=1),G242,IF(AND('Choix pédagogiques'!$C$3=3,$BO242=1),G242,""))</f>
        <v/>
      </c>
      <c r="AC242" s="53" t="str">
        <f aca="false">IF(AND(OR('Choix pédagogiques'!$C$3=1,'Choix pédagogiques'!$C$3=2),$BN242=1),H242,IF(AND('Choix pédagogiques'!$C$3=3,$BO242=1),H242,""))</f>
        <v/>
      </c>
      <c r="AD242" s="53" t="str">
        <f aca="false">IF(AND(OR('Choix pédagogiques'!$C$3=1,'Choix pédagogiques'!$C$3=2),$BN242=1),I242,IF(AND('Choix pédagogiques'!$C$3=3,$BO242=1),I242,""))</f>
        <v/>
      </c>
      <c r="AE242" s="53" t="str">
        <f aca="false">IF($J242&lt;&gt;"",$J242,"")</f>
        <v/>
      </c>
      <c r="AF242" s="52" t="str">
        <f aca="false">IF($A242&lt;&gt;"",$A242,"")</f>
        <v>Apprenant 230</v>
      </c>
      <c r="AG242" s="53" t="str">
        <f aca="false">IF(AND($W242&lt;&gt;"",$X242&lt;&gt;""),$X242-$W242,"")</f>
        <v/>
      </c>
      <c r="AH242" s="53" t="str">
        <f aca="false">IF(AND($W242&lt;&gt;"",$Y242&lt;&gt;""),$Y242-$W242,"")</f>
        <v/>
      </c>
      <c r="AI242" s="53" t="str">
        <f aca="false">IF(AND($X242&lt;&gt;"",$Y242&lt;&gt;""),$Y242-$X242,"")</f>
        <v/>
      </c>
      <c r="AJ242" s="53" t="str">
        <f aca="false">IF($E242&lt;&gt;"",$E242,"")</f>
        <v/>
      </c>
      <c r="AK242" s="52" t="str">
        <f aca="false">IF($F242&lt;&gt;"",$F242,"")</f>
        <v>Apprenant 230 ou 230'</v>
      </c>
      <c r="AL242" s="53" t="str">
        <f aca="false">IF(AND($AB242&lt;&gt;"",$AC242&lt;&gt;""),$AC242-$AB242,"")</f>
        <v/>
      </c>
      <c r="AM242" s="53" t="str">
        <f aca="false">IF(AND($AB242&lt;&gt;"",$AD242&lt;&gt;""),$AD242-$AB242,"")</f>
        <v/>
      </c>
      <c r="AN242" s="53" t="str">
        <f aca="false">IF(AND($AC242&lt;&gt;"",$AD242&lt;&gt;""),$AD242-$AC242,"")</f>
        <v/>
      </c>
      <c r="AO242" s="53" t="str">
        <f aca="false">IF($J242&lt;&gt;"",$J242,"")</f>
        <v/>
      </c>
      <c r="AQ242" s="52" t="str">
        <f aca="false">IF($A242&lt;&gt;"",$A242,"")</f>
        <v>Apprenant 230</v>
      </c>
      <c r="AR242" s="55" t="str">
        <f aca="false">IF(AND('Choix pédagogiques'!$C$4&lt;&gt;"?",'Choix pédagogiques'!$C$5&lt;&gt;"?",W242&lt;&gt;""),(W242-'Choix pédagogiques'!$C$4)/('Choix pédagogiques'!$C$5-'Choix pédagogiques'!$C$4),"")</f>
        <v/>
      </c>
      <c r="AS242" s="55" t="str">
        <f aca="false">IF(AND('Choix pédagogiques'!$C$4&lt;&gt;"?",'Choix pédagogiques'!$C$5&lt;&gt;"?",X242&lt;&gt;""),(X242-'Choix pédagogiques'!$C$4)/('Choix pédagogiques'!$C$5-'Choix pédagogiques'!$C$4),"")</f>
        <v/>
      </c>
      <c r="AT242" s="55" t="str">
        <f aca="false">IF(AND('Choix pédagogiques'!$C$4&lt;&gt;"?",'Choix pédagogiques'!$C$5&lt;&gt;"?",Y242&lt;&gt;""),(Y242-'Choix pédagogiques'!$C$4)/('Choix pédagogiques'!$C$5-'Choix pédagogiques'!$C$4),"")</f>
        <v/>
      </c>
      <c r="AU242" s="53" t="str">
        <f aca="false">IF($E242&lt;&gt;"",$E242,"")</f>
        <v/>
      </c>
      <c r="AV242" s="52" t="str">
        <f aca="false">IF($F242&lt;&gt;"",$F242,"")</f>
        <v>Apprenant 230 ou 230'</v>
      </c>
      <c r="AW242" s="55" t="str">
        <f aca="false">IF(AND('Choix pédagogiques'!$C$4&lt;&gt;"?",'Choix pédagogiques'!$C$5&lt;&gt;"?",AB242&lt;&gt;""),(AB242-'Choix pédagogiques'!$C$4)/('Choix pédagogiques'!$C$5-'Choix pédagogiques'!$C$4),"")</f>
        <v/>
      </c>
      <c r="AX242" s="55" t="str">
        <f aca="false">IF(AND('Choix pédagogiques'!$C$4&lt;&gt;"?",'Choix pédagogiques'!$C$5&lt;&gt;"?",AC242&lt;&gt;""),(AC242-'Choix pédagogiques'!$C$4)/('Choix pédagogiques'!$C$5-'Choix pédagogiques'!$C$4),"")</f>
        <v/>
      </c>
      <c r="AY242" s="55" t="str">
        <f aca="false">IF(AND('Choix pédagogiques'!$C$4&lt;&gt;"?",'Choix pédagogiques'!$C$5&lt;&gt;"?",AD242&lt;&gt;""),(AD242-'Choix pédagogiques'!$C$4)/('Choix pédagogiques'!$C$5-'Choix pédagogiques'!$C$4),"")</f>
        <v/>
      </c>
      <c r="AZ242" s="53" t="str">
        <f aca="false">IF($J242&lt;&gt;"",$J242,"")</f>
        <v/>
      </c>
      <c r="BA242" s="52" t="str">
        <f aca="false">IF($A242&lt;&gt;"",$A242,"")</f>
        <v>Apprenant 230</v>
      </c>
      <c r="BB242" s="55" t="str">
        <f aca="false">IF(AND($AR242&lt;&gt;"",$AS242&lt;&gt;""),$AS242-$AR242,"")</f>
        <v/>
      </c>
      <c r="BC242" s="55" t="str">
        <f aca="false">IF(AND($AR242&lt;&gt;"",$AT242&lt;&gt;""),$AT242-$AR242,"")</f>
        <v/>
      </c>
      <c r="BD242" s="55" t="str">
        <f aca="false">IF(AND($AS242&lt;&gt;"",$AT242&lt;&gt;""),$AT242-$AS242,"")</f>
        <v/>
      </c>
      <c r="BE242" s="53" t="str">
        <f aca="false">IF($E242&lt;&gt;"",$E242,"")</f>
        <v/>
      </c>
      <c r="BF242" s="52" t="str">
        <f aca="false">IF($F242&lt;&gt;"",$F242,"")</f>
        <v>Apprenant 230 ou 230'</v>
      </c>
      <c r="BG242" s="55" t="str">
        <f aca="false">IF(AND($AW242&lt;&gt;"",$AX242&lt;&gt;""),$AX242-$AW242,"")</f>
        <v/>
      </c>
      <c r="BH242" s="55" t="str">
        <f aca="false">IF(AND($AW242&lt;&gt;"",$AY242&lt;&gt;""),$AY242-$AW242,"")</f>
        <v/>
      </c>
      <c r="BI242" s="55" t="str">
        <f aca="false">IF(AND($AX242&lt;&gt;"",$AY242&lt;&gt;""),$AY242-$AX242,"")</f>
        <v/>
      </c>
      <c r="BJ242" s="53" t="str">
        <f aca="false">IF($J242&lt;&gt;"",$J242,"")</f>
        <v/>
      </c>
      <c r="BL242" s="52"/>
      <c r="BM242" s="52" t="str">
        <f aca="false">IF(OR(COUNT(B242:D1241)=0,AND('Choix pédagogiques'!$C$3&lt;&gt;1,'Choix pédagogiques'!$C$3&lt;&gt;2)),"",IF(AND(OR('Choix pédagogiques'!$C$3=1,'Choix pédagogiques'!$C$3=2),$B242&lt;&gt;"",$C242&lt;&gt;"",$D242&lt;&gt;""),1,0))</f>
        <v/>
      </c>
      <c r="BN242" s="52" t="str">
        <f aca="false">IF(OR(COUNT(G242:I1241)=0,AND('Choix pédagogiques'!$C$3&lt;&gt;1,'Choix pédagogiques'!$C$3&lt;&gt;2)),"",IF(AND(OR('Choix pédagogiques'!$C$3=1,'Choix pédagogiques'!$C$3=2),AND($G242&lt;&gt;"",$H242&lt;&gt;"",$I242&lt;&gt;"")),1,0))</f>
        <v/>
      </c>
      <c r="BO242" s="52" t="str">
        <f aca="false">IF(OR(COUNT(B242:D1241)=0,COUNT(G242:I1241)=0,'Choix pédagogiques'!C$3&lt;&gt;3),"",IF(AND('Choix pédagogiques'!$C$3=3,$B242&lt;&gt;"",$C242&lt;&gt;"",$D242&lt;&gt;"",$G242&lt;&gt;"",$H242&lt;&gt;"",$I242&lt;&gt;""),1,0))</f>
        <v/>
      </c>
      <c r="BR242" s="52" t="n">
        <v>869</v>
      </c>
      <c r="BS242" s="52" t="n">
        <v>1900</v>
      </c>
    </row>
    <row r="243" s="54" customFormat="true" ht="18" hidden="false" customHeight="true" outlineLevel="0" collapsed="false">
      <c r="A243" s="57" t="s">
        <v>417</v>
      </c>
      <c r="B243" s="51"/>
      <c r="C243" s="51"/>
      <c r="D243" s="51"/>
      <c r="E243" s="51"/>
      <c r="F243" s="57" t="s">
        <v>418</v>
      </c>
      <c r="G243" s="51"/>
      <c r="H243" s="51"/>
      <c r="I243" s="51"/>
      <c r="J243" s="51"/>
      <c r="K243" s="52" t="str">
        <f aca="false">IF($A243&lt;&gt;"",$A243,"")</f>
        <v>Apprenant 231</v>
      </c>
      <c r="L243" s="53" t="str">
        <f aca="false">IF(AND($B243&lt;&gt;"",$C243&lt;&gt;""),$C243-$B243,"")</f>
        <v/>
      </c>
      <c r="M243" s="53" t="str">
        <f aca="false">IF(AND($B243&lt;&gt;"",$D243&lt;&gt;""),$D243-$B243,"")</f>
        <v/>
      </c>
      <c r="N243" s="53" t="str">
        <f aca="false">IF(AND($C243&lt;&gt;"",$D243&lt;&gt;""),$D243-$C243,"")</f>
        <v/>
      </c>
      <c r="O243" s="53" t="str">
        <f aca="false">IF($E243&lt;&gt;"",$E243,"")</f>
        <v/>
      </c>
      <c r="P243" s="52" t="str">
        <f aca="false">IF($F243&lt;&gt;"",$F243,"")</f>
        <v>Apprenant 231 ou 231'</v>
      </c>
      <c r="Q243" s="53" t="str">
        <f aca="false">IF(AND($G243&lt;&gt;"",$H243&lt;&gt;""),$H243-$G243,"")</f>
        <v/>
      </c>
      <c r="R243" s="53" t="str">
        <f aca="false">IF(AND($G243&lt;&gt;"",$I243&lt;&gt;""),$I243-$G243,"")</f>
        <v/>
      </c>
      <c r="S243" s="53" t="str">
        <f aca="false">IF(AND($H243&lt;&gt;"",$I243&lt;&gt;""),$I243-$H243,"")</f>
        <v/>
      </c>
      <c r="T243" s="53" t="str">
        <f aca="false">IF($J243&lt;&gt;"",$J243,"")</f>
        <v/>
      </c>
      <c r="V243" s="52" t="str">
        <f aca="false">IF($A243&lt;&gt;"",$A243,"")</f>
        <v>Apprenant 231</v>
      </c>
      <c r="W243" s="53" t="str">
        <f aca="false">IF(AND(OR('Choix pédagogiques'!$C$3=1,'Choix pédagogiques'!$C$3=2),$BM243=1),B243,IF(AND('Choix pédagogiques'!$C$3=3,$BO243=1),B243,""))</f>
        <v/>
      </c>
      <c r="X243" s="53" t="str">
        <f aca="false">IF(AND(OR('Choix pédagogiques'!$C$3=1,'Choix pédagogiques'!$C$3=2),$BM243=1),C243,IF(AND('Choix pédagogiques'!$C$3=3,$BO243=1),C243,""))</f>
        <v/>
      </c>
      <c r="Y243" s="53" t="str">
        <f aca="false">IF(AND(OR('Choix pédagogiques'!$C$3=1,'Choix pédagogiques'!$C$3=2),$BM243=1),D243,IF(AND('Choix pédagogiques'!$C$3=3,$BO243=1),D243,""))</f>
        <v/>
      </c>
      <c r="Z243" s="53" t="str">
        <f aca="false">IF($E243&lt;&gt;"",$E243,"")</f>
        <v/>
      </c>
      <c r="AA243" s="52" t="str">
        <f aca="false">IF($F243&lt;&gt;"",$F243,"")</f>
        <v>Apprenant 231 ou 231'</v>
      </c>
      <c r="AB243" s="53" t="str">
        <f aca="false">IF(AND(OR('Choix pédagogiques'!$C$3=1,'Choix pédagogiques'!$C$3=2),$BN243=1),G243,IF(AND('Choix pédagogiques'!$C$3=3,$BO243=1),G243,""))</f>
        <v/>
      </c>
      <c r="AC243" s="53" t="str">
        <f aca="false">IF(AND(OR('Choix pédagogiques'!$C$3=1,'Choix pédagogiques'!$C$3=2),$BN243=1),H243,IF(AND('Choix pédagogiques'!$C$3=3,$BO243=1),H243,""))</f>
        <v/>
      </c>
      <c r="AD243" s="53" t="str">
        <f aca="false">IF(AND(OR('Choix pédagogiques'!$C$3=1,'Choix pédagogiques'!$C$3=2),$BN243=1),I243,IF(AND('Choix pédagogiques'!$C$3=3,$BO243=1),I243,""))</f>
        <v/>
      </c>
      <c r="AE243" s="53" t="str">
        <f aca="false">IF($J243&lt;&gt;"",$J243,"")</f>
        <v/>
      </c>
      <c r="AF243" s="52" t="str">
        <f aca="false">IF($A243&lt;&gt;"",$A243,"")</f>
        <v>Apprenant 231</v>
      </c>
      <c r="AG243" s="53" t="str">
        <f aca="false">IF(AND($W243&lt;&gt;"",$X243&lt;&gt;""),$X243-$W243,"")</f>
        <v/>
      </c>
      <c r="AH243" s="53" t="str">
        <f aca="false">IF(AND($W243&lt;&gt;"",$Y243&lt;&gt;""),$Y243-$W243,"")</f>
        <v/>
      </c>
      <c r="AI243" s="53" t="str">
        <f aca="false">IF(AND($X243&lt;&gt;"",$Y243&lt;&gt;""),$Y243-$X243,"")</f>
        <v/>
      </c>
      <c r="AJ243" s="53" t="str">
        <f aca="false">IF($E243&lt;&gt;"",$E243,"")</f>
        <v/>
      </c>
      <c r="AK243" s="52" t="str">
        <f aca="false">IF($F243&lt;&gt;"",$F243,"")</f>
        <v>Apprenant 231 ou 231'</v>
      </c>
      <c r="AL243" s="53" t="str">
        <f aca="false">IF(AND($AB243&lt;&gt;"",$AC243&lt;&gt;""),$AC243-$AB243,"")</f>
        <v/>
      </c>
      <c r="AM243" s="53" t="str">
        <f aca="false">IF(AND($AB243&lt;&gt;"",$AD243&lt;&gt;""),$AD243-$AB243,"")</f>
        <v/>
      </c>
      <c r="AN243" s="53" t="str">
        <f aca="false">IF(AND($AC243&lt;&gt;"",$AD243&lt;&gt;""),$AD243-$AC243,"")</f>
        <v/>
      </c>
      <c r="AO243" s="53" t="str">
        <f aca="false">IF($J243&lt;&gt;"",$J243,"")</f>
        <v/>
      </c>
      <c r="AQ243" s="52" t="str">
        <f aca="false">IF($A243&lt;&gt;"",$A243,"")</f>
        <v>Apprenant 231</v>
      </c>
      <c r="AR243" s="55" t="str">
        <f aca="false">IF(AND('Choix pédagogiques'!$C$4&lt;&gt;"?",'Choix pédagogiques'!$C$5&lt;&gt;"?",W243&lt;&gt;""),(W243-'Choix pédagogiques'!$C$4)/('Choix pédagogiques'!$C$5-'Choix pédagogiques'!$C$4),"")</f>
        <v/>
      </c>
      <c r="AS243" s="55" t="str">
        <f aca="false">IF(AND('Choix pédagogiques'!$C$4&lt;&gt;"?",'Choix pédagogiques'!$C$5&lt;&gt;"?",X243&lt;&gt;""),(X243-'Choix pédagogiques'!$C$4)/('Choix pédagogiques'!$C$5-'Choix pédagogiques'!$C$4),"")</f>
        <v/>
      </c>
      <c r="AT243" s="55" t="str">
        <f aca="false">IF(AND('Choix pédagogiques'!$C$4&lt;&gt;"?",'Choix pédagogiques'!$C$5&lt;&gt;"?",Y243&lt;&gt;""),(Y243-'Choix pédagogiques'!$C$4)/('Choix pédagogiques'!$C$5-'Choix pédagogiques'!$C$4),"")</f>
        <v/>
      </c>
      <c r="AU243" s="53" t="str">
        <f aca="false">IF($E243&lt;&gt;"",$E243,"")</f>
        <v/>
      </c>
      <c r="AV243" s="52" t="str">
        <f aca="false">IF($F243&lt;&gt;"",$F243,"")</f>
        <v>Apprenant 231 ou 231'</v>
      </c>
      <c r="AW243" s="55" t="str">
        <f aca="false">IF(AND('Choix pédagogiques'!$C$4&lt;&gt;"?",'Choix pédagogiques'!$C$5&lt;&gt;"?",AB243&lt;&gt;""),(AB243-'Choix pédagogiques'!$C$4)/('Choix pédagogiques'!$C$5-'Choix pédagogiques'!$C$4),"")</f>
        <v/>
      </c>
      <c r="AX243" s="55" t="str">
        <f aca="false">IF(AND('Choix pédagogiques'!$C$4&lt;&gt;"?",'Choix pédagogiques'!$C$5&lt;&gt;"?",AC243&lt;&gt;""),(AC243-'Choix pédagogiques'!$C$4)/('Choix pédagogiques'!$C$5-'Choix pédagogiques'!$C$4),"")</f>
        <v/>
      </c>
      <c r="AY243" s="55" t="str">
        <f aca="false">IF(AND('Choix pédagogiques'!$C$4&lt;&gt;"?",'Choix pédagogiques'!$C$5&lt;&gt;"?",AD243&lt;&gt;""),(AD243-'Choix pédagogiques'!$C$4)/('Choix pédagogiques'!$C$5-'Choix pédagogiques'!$C$4),"")</f>
        <v/>
      </c>
      <c r="AZ243" s="53" t="str">
        <f aca="false">IF($J243&lt;&gt;"",$J243,"")</f>
        <v/>
      </c>
      <c r="BA243" s="52" t="str">
        <f aca="false">IF($A243&lt;&gt;"",$A243,"")</f>
        <v>Apprenant 231</v>
      </c>
      <c r="BB243" s="55" t="str">
        <f aca="false">IF(AND($AR243&lt;&gt;"",$AS243&lt;&gt;""),$AS243-$AR243,"")</f>
        <v/>
      </c>
      <c r="BC243" s="55" t="str">
        <f aca="false">IF(AND($AR243&lt;&gt;"",$AT243&lt;&gt;""),$AT243-$AR243,"")</f>
        <v/>
      </c>
      <c r="BD243" s="55" t="str">
        <f aca="false">IF(AND($AS243&lt;&gt;"",$AT243&lt;&gt;""),$AT243-$AS243,"")</f>
        <v/>
      </c>
      <c r="BE243" s="53" t="str">
        <f aca="false">IF($E243&lt;&gt;"",$E243,"")</f>
        <v/>
      </c>
      <c r="BF243" s="52" t="str">
        <f aca="false">IF($F243&lt;&gt;"",$F243,"")</f>
        <v>Apprenant 231 ou 231'</v>
      </c>
      <c r="BG243" s="55" t="str">
        <f aca="false">IF(AND($AW243&lt;&gt;"",$AX243&lt;&gt;""),$AX243-$AW243,"")</f>
        <v/>
      </c>
      <c r="BH243" s="55" t="str">
        <f aca="false">IF(AND($AW243&lt;&gt;"",$AY243&lt;&gt;""),$AY243-$AW243,"")</f>
        <v/>
      </c>
      <c r="BI243" s="55" t="str">
        <f aca="false">IF(AND($AX243&lt;&gt;"",$AY243&lt;&gt;""),$AY243-$AX243,"")</f>
        <v/>
      </c>
      <c r="BJ243" s="53" t="str">
        <f aca="false">IF($J243&lt;&gt;"",$J243,"")</f>
        <v/>
      </c>
      <c r="BL243" s="52"/>
      <c r="BM243" s="52" t="str">
        <f aca="false">IF(OR(COUNT(B243:D1242)=0,AND('Choix pédagogiques'!$C$3&lt;&gt;1,'Choix pédagogiques'!$C$3&lt;&gt;2)),"",IF(AND(OR('Choix pédagogiques'!$C$3=1,'Choix pédagogiques'!$C$3=2),$B243&lt;&gt;"",$C243&lt;&gt;"",$D243&lt;&gt;""),1,0))</f>
        <v/>
      </c>
      <c r="BN243" s="52" t="str">
        <f aca="false">IF(OR(COUNT(G243:I1242)=0,AND('Choix pédagogiques'!$C$3&lt;&gt;1,'Choix pédagogiques'!$C$3&lt;&gt;2)),"",IF(AND(OR('Choix pédagogiques'!$C$3=1,'Choix pédagogiques'!$C$3=2),AND($G243&lt;&gt;"",$H243&lt;&gt;"",$I243&lt;&gt;"")),1,0))</f>
        <v/>
      </c>
      <c r="BO243" s="52" t="str">
        <f aca="false">IF(OR(COUNT(B243:D1242)=0,COUNT(G243:I1242)=0,'Choix pédagogiques'!C$3&lt;&gt;3),"",IF(AND('Choix pédagogiques'!$C$3=3,$B243&lt;&gt;"",$C243&lt;&gt;"",$D243&lt;&gt;"",$G243&lt;&gt;"",$H243&lt;&gt;"",$I243&lt;&gt;""),1,0))</f>
        <v/>
      </c>
      <c r="BR243" s="52" t="n">
        <v>664</v>
      </c>
      <c r="BS243" s="52" t="n">
        <v>1767</v>
      </c>
    </row>
    <row r="244" s="54" customFormat="true" ht="18" hidden="false" customHeight="true" outlineLevel="0" collapsed="false">
      <c r="A244" s="57" t="s">
        <v>419</v>
      </c>
      <c r="B244" s="51"/>
      <c r="C244" s="51"/>
      <c r="D244" s="51"/>
      <c r="E244" s="51"/>
      <c r="F244" s="57" t="s">
        <v>420</v>
      </c>
      <c r="G244" s="51"/>
      <c r="H244" s="51"/>
      <c r="I244" s="51"/>
      <c r="J244" s="51"/>
      <c r="K244" s="52" t="str">
        <f aca="false">IF($A244&lt;&gt;"",$A244,"")</f>
        <v>Apprenant 232</v>
      </c>
      <c r="L244" s="53" t="str">
        <f aca="false">IF(AND($B244&lt;&gt;"",$C244&lt;&gt;""),$C244-$B244,"")</f>
        <v/>
      </c>
      <c r="M244" s="53" t="str">
        <f aca="false">IF(AND($B244&lt;&gt;"",$D244&lt;&gt;""),$D244-$B244,"")</f>
        <v/>
      </c>
      <c r="N244" s="53" t="str">
        <f aca="false">IF(AND($C244&lt;&gt;"",$D244&lt;&gt;""),$D244-$C244,"")</f>
        <v/>
      </c>
      <c r="O244" s="53" t="str">
        <f aca="false">IF($E244&lt;&gt;"",$E244,"")</f>
        <v/>
      </c>
      <c r="P244" s="52" t="str">
        <f aca="false">IF($F244&lt;&gt;"",$F244,"")</f>
        <v>Apprenant 232 ou 232'</v>
      </c>
      <c r="Q244" s="53" t="str">
        <f aca="false">IF(AND($G244&lt;&gt;"",$H244&lt;&gt;""),$H244-$G244,"")</f>
        <v/>
      </c>
      <c r="R244" s="53" t="str">
        <f aca="false">IF(AND($G244&lt;&gt;"",$I244&lt;&gt;""),$I244-$G244,"")</f>
        <v/>
      </c>
      <c r="S244" s="53" t="str">
        <f aca="false">IF(AND($H244&lt;&gt;"",$I244&lt;&gt;""),$I244-$H244,"")</f>
        <v/>
      </c>
      <c r="T244" s="53" t="str">
        <f aca="false">IF($J244&lt;&gt;"",$J244,"")</f>
        <v/>
      </c>
      <c r="V244" s="52" t="str">
        <f aca="false">IF($A244&lt;&gt;"",$A244,"")</f>
        <v>Apprenant 232</v>
      </c>
      <c r="W244" s="53" t="str">
        <f aca="false">IF(AND(OR('Choix pédagogiques'!$C$3=1,'Choix pédagogiques'!$C$3=2),$BM244=1),B244,IF(AND('Choix pédagogiques'!$C$3=3,$BO244=1),B244,""))</f>
        <v/>
      </c>
      <c r="X244" s="53" t="str">
        <f aca="false">IF(AND(OR('Choix pédagogiques'!$C$3=1,'Choix pédagogiques'!$C$3=2),$BM244=1),C244,IF(AND('Choix pédagogiques'!$C$3=3,$BO244=1),C244,""))</f>
        <v/>
      </c>
      <c r="Y244" s="53" t="str">
        <f aca="false">IF(AND(OR('Choix pédagogiques'!$C$3=1,'Choix pédagogiques'!$C$3=2),$BM244=1),D244,IF(AND('Choix pédagogiques'!$C$3=3,$BO244=1),D244,""))</f>
        <v/>
      </c>
      <c r="Z244" s="53" t="str">
        <f aca="false">IF($E244&lt;&gt;"",$E244,"")</f>
        <v/>
      </c>
      <c r="AA244" s="52" t="str">
        <f aca="false">IF($F244&lt;&gt;"",$F244,"")</f>
        <v>Apprenant 232 ou 232'</v>
      </c>
      <c r="AB244" s="53" t="str">
        <f aca="false">IF(AND(OR('Choix pédagogiques'!$C$3=1,'Choix pédagogiques'!$C$3=2),$BN244=1),G244,IF(AND('Choix pédagogiques'!$C$3=3,$BO244=1),G244,""))</f>
        <v/>
      </c>
      <c r="AC244" s="53" t="str">
        <f aca="false">IF(AND(OR('Choix pédagogiques'!$C$3=1,'Choix pédagogiques'!$C$3=2),$BN244=1),H244,IF(AND('Choix pédagogiques'!$C$3=3,$BO244=1),H244,""))</f>
        <v/>
      </c>
      <c r="AD244" s="53" t="str">
        <f aca="false">IF(AND(OR('Choix pédagogiques'!$C$3=1,'Choix pédagogiques'!$C$3=2),$BN244=1),I244,IF(AND('Choix pédagogiques'!$C$3=3,$BO244=1),I244,""))</f>
        <v/>
      </c>
      <c r="AE244" s="53" t="str">
        <f aca="false">IF($J244&lt;&gt;"",$J244,"")</f>
        <v/>
      </c>
      <c r="AF244" s="52" t="str">
        <f aca="false">IF($A244&lt;&gt;"",$A244,"")</f>
        <v>Apprenant 232</v>
      </c>
      <c r="AG244" s="53" t="str">
        <f aca="false">IF(AND($W244&lt;&gt;"",$X244&lt;&gt;""),$X244-$W244,"")</f>
        <v/>
      </c>
      <c r="AH244" s="53" t="str">
        <f aca="false">IF(AND($W244&lt;&gt;"",$Y244&lt;&gt;""),$Y244-$W244,"")</f>
        <v/>
      </c>
      <c r="AI244" s="53" t="str">
        <f aca="false">IF(AND($X244&lt;&gt;"",$Y244&lt;&gt;""),$Y244-$X244,"")</f>
        <v/>
      </c>
      <c r="AJ244" s="53" t="str">
        <f aca="false">IF($E244&lt;&gt;"",$E244,"")</f>
        <v/>
      </c>
      <c r="AK244" s="52" t="str">
        <f aca="false">IF($F244&lt;&gt;"",$F244,"")</f>
        <v>Apprenant 232 ou 232'</v>
      </c>
      <c r="AL244" s="53" t="str">
        <f aca="false">IF(AND($AB244&lt;&gt;"",$AC244&lt;&gt;""),$AC244-$AB244,"")</f>
        <v/>
      </c>
      <c r="AM244" s="53" t="str">
        <f aca="false">IF(AND($AB244&lt;&gt;"",$AD244&lt;&gt;""),$AD244-$AB244,"")</f>
        <v/>
      </c>
      <c r="AN244" s="53" t="str">
        <f aca="false">IF(AND($AC244&lt;&gt;"",$AD244&lt;&gt;""),$AD244-$AC244,"")</f>
        <v/>
      </c>
      <c r="AO244" s="53" t="str">
        <f aca="false">IF($J244&lt;&gt;"",$J244,"")</f>
        <v/>
      </c>
      <c r="AQ244" s="52" t="str">
        <f aca="false">IF($A244&lt;&gt;"",$A244,"")</f>
        <v>Apprenant 232</v>
      </c>
      <c r="AR244" s="55" t="str">
        <f aca="false">IF(AND('Choix pédagogiques'!$C$4&lt;&gt;"?",'Choix pédagogiques'!$C$5&lt;&gt;"?",W244&lt;&gt;""),(W244-'Choix pédagogiques'!$C$4)/('Choix pédagogiques'!$C$5-'Choix pédagogiques'!$C$4),"")</f>
        <v/>
      </c>
      <c r="AS244" s="55" t="str">
        <f aca="false">IF(AND('Choix pédagogiques'!$C$4&lt;&gt;"?",'Choix pédagogiques'!$C$5&lt;&gt;"?",X244&lt;&gt;""),(X244-'Choix pédagogiques'!$C$4)/('Choix pédagogiques'!$C$5-'Choix pédagogiques'!$C$4),"")</f>
        <v/>
      </c>
      <c r="AT244" s="55" t="str">
        <f aca="false">IF(AND('Choix pédagogiques'!$C$4&lt;&gt;"?",'Choix pédagogiques'!$C$5&lt;&gt;"?",Y244&lt;&gt;""),(Y244-'Choix pédagogiques'!$C$4)/('Choix pédagogiques'!$C$5-'Choix pédagogiques'!$C$4),"")</f>
        <v/>
      </c>
      <c r="AU244" s="53" t="str">
        <f aca="false">IF($E244&lt;&gt;"",$E244,"")</f>
        <v/>
      </c>
      <c r="AV244" s="52" t="str">
        <f aca="false">IF($F244&lt;&gt;"",$F244,"")</f>
        <v>Apprenant 232 ou 232'</v>
      </c>
      <c r="AW244" s="55" t="str">
        <f aca="false">IF(AND('Choix pédagogiques'!$C$4&lt;&gt;"?",'Choix pédagogiques'!$C$5&lt;&gt;"?",AB244&lt;&gt;""),(AB244-'Choix pédagogiques'!$C$4)/('Choix pédagogiques'!$C$5-'Choix pédagogiques'!$C$4),"")</f>
        <v/>
      </c>
      <c r="AX244" s="55" t="str">
        <f aca="false">IF(AND('Choix pédagogiques'!$C$4&lt;&gt;"?",'Choix pédagogiques'!$C$5&lt;&gt;"?",AC244&lt;&gt;""),(AC244-'Choix pédagogiques'!$C$4)/('Choix pédagogiques'!$C$5-'Choix pédagogiques'!$C$4),"")</f>
        <v/>
      </c>
      <c r="AY244" s="55" t="str">
        <f aca="false">IF(AND('Choix pédagogiques'!$C$4&lt;&gt;"?",'Choix pédagogiques'!$C$5&lt;&gt;"?",AD244&lt;&gt;""),(AD244-'Choix pédagogiques'!$C$4)/('Choix pédagogiques'!$C$5-'Choix pédagogiques'!$C$4),"")</f>
        <v/>
      </c>
      <c r="AZ244" s="53" t="str">
        <f aca="false">IF($J244&lt;&gt;"",$J244,"")</f>
        <v/>
      </c>
      <c r="BA244" s="52" t="str">
        <f aca="false">IF($A244&lt;&gt;"",$A244,"")</f>
        <v>Apprenant 232</v>
      </c>
      <c r="BB244" s="55" t="str">
        <f aca="false">IF(AND($AR244&lt;&gt;"",$AS244&lt;&gt;""),$AS244-$AR244,"")</f>
        <v/>
      </c>
      <c r="BC244" s="55" t="str">
        <f aca="false">IF(AND($AR244&lt;&gt;"",$AT244&lt;&gt;""),$AT244-$AR244,"")</f>
        <v/>
      </c>
      <c r="BD244" s="55" t="str">
        <f aca="false">IF(AND($AS244&lt;&gt;"",$AT244&lt;&gt;""),$AT244-$AS244,"")</f>
        <v/>
      </c>
      <c r="BE244" s="53" t="str">
        <f aca="false">IF($E244&lt;&gt;"",$E244,"")</f>
        <v/>
      </c>
      <c r="BF244" s="52" t="str">
        <f aca="false">IF($F244&lt;&gt;"",$F244,"")</f>
        <v>Apprenant 232 ou 232'</v>
      </c>
      <c r="BG244" s="55" t="str">
        <f aca="false">IF(AND($AW244&lt;&gt;"",$AX244&lt;&gt;""),$AX244-$AW244,"")</f>
        <v/>
      </c>
      <c r="BH244" s="55" t="str">
        <f aca="false">IF(AND($AW244&lt;&gt;"",$AY244&lt;&gt;""),$AY244-$AW244,"")</f>
        <v/>
      </c>
      <c r="BI244" s="55" t="str">
        <f aca="false">IF(AND($AX244&lt;&gt;"",$AY244&lt;&gt;""),$AY244-$AX244,"")</f>
        <v/>
      </c>
      <c r="BJ244" s="53" t="str">
        <f aca="false">IF($J244&lt;&gt;"",$J244,"")</f>
        <v/>
      </c>
      <c r="BL244" s="52"/>
      <c r="BM244" s="52" t="str">
        <f aca="false">IF(OR(COUNT(B244:D1243)=0,AND('Choix pédagogiques'!$C$3&lt;&gt;1,'Choix pédagogiques'!$C$3&lt;&gt;2)),"",IF(AND(OR('Choix pédagogiques'!$C$3=1,'Choix pédagogiques'!$C$3=2),$B244&lt;&gt;"",$C244&lt;&gt;"",$D244&lt;&gt;""),1,0))</f>
        <v/>
      </c>
      <c r="BN244" s="52" t="str">
        <f aca="false">IF(OR(COUNT(G244:I1243)=0,AND('Choix pédagogiques'!$C$3&lt;&gt;1,'Choix pédagogiques'!$C$3&lt;&gt;2)),"",IF(AND(OR('Choix pédagogiques'!$C$3=1,'Choix pédagogiques'!$C$3=2),AND($G244&lt;&gt;"",$H244&lt;&gt;"",$I244&lt;&gt;"")),1,0))</f>
        <v/>
      </c>
      <c r="BO244" s="52" t="str">
        <f aca="false">IF(OR(COUNT(B244:D1243)=0,COUNT(G244:I1243)=0,'Choix pédagogiques'!C$3&lt;&gt;3),"",IF(AND('Choix pédagogiques'!$C$3=3,$B244&lt;&gt;"",$C244&lt;&gt;"",$D244&lt;&gt;"",$G244&lt;&gt;"",$H244&lt;&gt;"",$I244&lt;&gt;""),1,0))</f>
        <v/>
      </c>
      <c r="BR244" s="52" t="n">
        <v>471</v>
      </c>
      <c r="BS244" s="52" t="n">
        <v>1057</v>
      </c>
    </row>
    <row r="245" s="54" customFormat="true" ht="18" hidden="false" customHeight="true" outlineLevel="0" collapsed="false">
      <c r="A245" s="57" t="s">
        <v>421</v>
      </c>
      <c r="B245" s="51"/>
      <c r="C245" s="51"/>
      <c r="D245" s="51"/>
      <c r="E245" s="51"/>
      <c r="F245" s="57" t="s">
        <v>422</v>
      </c>
      <c r="G245" s="51"/>
      <c r="H245" s="51"/>
      <c r="I245" s="51"/>
      <c r="J245" s="51"/>
      <c r="K245" s="52" t="str">
        <f aca="false">IF($A245&lt;&gt;"",$A245,"")</f>
        <v>Apprenant 233</v>
      </c>
      <c r="L245" s="53" t="str">
        <f aca="false">IF(AND($B245&lt;&gt;"",$C245&lt;&gt;""),$C245-$B245,"")</f>
        <v/>
      </c>
      <c r="M245" s="53" t="str">
        <f aca="false">IF(AND($B245&lt;&gt;"",$D245&lt;&gt;""),$D245-$B245,"")</f>
        <v/>
      </c>
      <c r="N245" s="53" t="str">
        <f aca="false">IF(AND($C245&lt;&gt;"",$D245&lt;&gt;""),$D245-$C245,"")</f>
        <v/>
      </c>
      <c r="O245" s="53" t="str">
        <f aca="false">IF($E245&lt;&gt;"",$E245,"")</f>
        <v/>
      </c>
      <c r="P245" s="52" t="str">
        <f aca="false">IF($F245&lt;&gt;"",$F245,"")</f>
        <v>Apprenant 233 ou 233'</v>
      </c>
      <c r="Q245" s="53" t="str">
        <f aca="false">IF(AND($G245&lt;&gt;"",$H245&lt;&gt;""),$H245-$G245,"")</f>
        <v/>
      </c>
      <c r="R245" s="53" t="str">
        <f aca="false">IF(AND($G245&lt;&gt;"",$I245&lt;&gt;""),$I245-$G245,"")</f>
        <v/>
      </c>
      <c r="S245" s="53" t="str">
        <f aca="false">IF(AND($H245&lt;&gt;"",$I245&lt;&gt;""),$I245-$H245,"")</f>
        <v/>
      </c>
      <c r="T245" s="53" t="str">
        <f aca="false">IF($J245&lt;&gt;"",$J245,"")</f>
        <v/>
      </c>
      <c r="V245" s="52" t="str">
        <f aca="false">IF($A245&lt;&gt;"",$A245,"")</f>
        <v>Apprenant 233</v>
      </c>
      <c r="W245" s="53" t="str">
        <f aca="false">IF(AND(OR('Choix pédagogiques'!$C$3=1,'Choix pédagogiques'!$C$3=2),$BM245=1),B245,IF(AND('Choix pédagogiques'!$C$3=3,$BO245=1),B245,""))</f>
        <v/>
      </c>
      <c r="X245" s="53" t="str">
        <f aca="false">IF(AND(OR('Choix pédagogiques'!$C$3=1,'Choix pédagogiques'!$C$3=2),$BM245=1),C245,IF(AND('Choix pédagogiques'!$C$3=3,$BO245=1),C245,""))</f>
        <v/>
      </c>
      <c r="Y245" s="53" t="str">
        <f aca="false">IF(AND(OR('Choix pédagogiques'!$C$3=1,'Choix pédagogiques'!$C$3=2),$BM245=1),D245,IF(AND('Choix pédagogiques'!$C$3=3,$BO245=1),D245,""))</f>
        <v/>
      </c>
      <c r="Z245" s="53" t="str">
        <f aca="false">IF($E245&lt;&gt;"",$E245,"")</f>
        <v/>
      </c>
      <c r="AA245" s="52" t="str">
        <f aca="false">IF($F245&lt;&gt;"",$F245,"")</f>
        <v>Apprenant 233 ou 233'</v>
      </c>
      <c r="AB245" s="53" t="str">
        <f aca="false">IF(AND(OR('Choix pédagogiques'!$C$3=1,'Choix pédagogiques'!$C$3=2),$BN245=1),G245,IF(AND('Choix pédagogiques'!$C$3=3,$BO245=1),G245,""))</f>
        <v/>
      </c>
      <c r="AC245" s="53" t="str">
        <f aca="false">IF(AND(OR('Choix pédagogiques'!$C$3=1,'Choix pédagogiques'!$C$3=2),$BN245=1),H245,IF(AND('Choix pédagogiques'!$C$3=3,$BO245=1),H245,""))</f>
        <v/>
      </c>
      <c r="AD245" s="53" t="str">
        <f aca="false">IF(AND(OR('Choix pédagogiques'!$C$3=1,'Choix pédagogiques'!$C$3=2),$BN245=1),I245,IF(AND('Choix pédagogiques'!$C$3=3,$BO245=1),I245,""))</f>
        <v/>
      </c>
      <c r="AE245" s="53" t="str">
        <f aca="false">IF($J245&lt;&gt;"",$J245,"")</f>
        <v/>
      </c>
      <c r="AF245" s="52" t="str">
        <f aca="false">IF($A245&lt;&gt;"",$A245,"")</f>
        <v>Apprenant 233</v>
      </c>
      <c r="AG245" s="53" t="str">
        <f aca="false">IF(AND($W245&lt;&gt;"",$X245&lt;&gt;""),$X245-$W245,"")</f>
        <v/>
      </c>
      <c r="AH245" s="53" t="str">
        <f aca="false">IF(AND($W245&lt;&gt;"",$Y245&lt;&gt;""),$Y245-$W245,"")</f>
        <v/>
      </c>
      <c r="AI245" s="53" t="str">
        <f aca="false">IF(AND($X245&lt;&gt;"",$Y245&lt;&gt;""),$Y245-$X245,"")</f>
        <v/>
      </c>
      <c r="AJ245" s="53" t="str">
        <f aca="false">IF($E245&lt;&gt;"",$E245,"")</f>
        <v/>
      </c>
      <c r="AK245" s="52" t="str">
        <f aca="false">IF($F245&lt;&gt;"",$F245,"")</f>
        <v>Apprenant 233 ou 233'</v>
      </c>
      <c r="AL245" s="53" t="str">
        <f aca="false">IF(AND($AB245&lt;&gt;"",$AC245&lt;&gt;""),$AC245-$AB245,"")</f>
        <v/>
      </c>
      <c r="AM245" s="53" t="str">
        <f aca="false">IF(AND($AB245&lt;&gt;"",$AD245&lt;&gt;""),$AD245-$AB245,"")</f>
        <v/>
      </c>
      <c r="AN245" s="53" t="str">
        <f aca="false">IF(AND($AC245&lt;&gt;"",$AD245&lt;&gt;""),$AD245-$AC245,"")</f>
        <v/>
      </c>
      <c r="AO245" s="53" t="str">
        <f aca="false">IF($J245&lt;&gt;"",$J245,"")</f>
        <v/>
      </c>
      <c r="AQ245" s="52" t="str">
        <f aca="false">IF($A245&lt;&gt;"",$A245,"")</f>
        <v>Apprenant 233</v>
      </c>
      <c r="AR245" s="55" t="str">
        <f aca="false">IF(AND('Choix pédagogiques'!$C$4&lt;&gt;"?",'Choix pédagogiques'!$C$5&lt;&gt;"?",W245&lt;&gt;""),(W245-'Choix pédagogiques'!$C$4)/('Choix pédagogiques'!$C$5-'Choix pédagogiques'!$C$4),"")</f>
        <v/>
      </c>
      <c r="AS245" s="55" t="str">
        <f aca="false">IF(AND('Choix pédagogiques'!$C$4&lt;&gt;"?",'Choix pédagogiques'!$C$5&lt;&gt;"?",X245&lt;&gt;""),(X245-'Choix pédagogiques'!$C$4)/('Choix pédagogiques'!$C$5-'Choix pédagogiques'!$C$4),"")</f>
        <v/>
      </c>
      <c r="AT245" s="55" t="str">
        <f aca="false">IF(AND('Choix pédagogiques'!$C$4&lt;&gt;"?",'Choix pédagogiques'!$C$5&lt;&gt;"?",Y245&lt;&gt;""),(Y245-'Choix pédagogiques'!$C$4)/('Choix pédagogiques'!$C$5-'Choix pédagogiques'!$C$4),"")</f>
        <v/>
      </c>
      <c r="AU245" s="53" t="str">
        <f aca="false">IF($E245&lt;&gt;"",$E245,"")</f>
        <v/>
      </c>
      <c r="AV245" s="52" t="str">
        <f aca="false">IF($F245&lt;&gt;"",$F245,"")</f>
        <v>Apprenant 233 ou 233'</v>
      </c>
      <c r="AW245" s="55" t="str">
        <f aca="false">IF(AND('Choix pédagogiques'!$C$4&lt;&gt;"?",'Choix pédagogiques'!$C$5&lt;&gt;"?",AB245&lt;&gt;""),(AB245-'Choix pédagogiques'!$C$4)/('Choix pédagogiques'!$C$5-'Choix pédagogiques'!$C$4),"")</f>
        <v/>
      </c>
      <c r="AX245" s="55" t="str">
        <f aca="false">IF(AND('Choix pédagogiques'!$C$4&lt;&gt;"?",'Choix pédagogiques'!$C$5&lt;&gt;"?",AC245&lt;&gt;""),(AC245-'Choix pédagogiques'!$C$4)/('Choix pédagogiques'!$C$5-'Choix pédagogiques'!$C$4),"")</f>
        <v/>
      </c>
      <c r="AY245" s="55" t="str">
        <f aca="false">IF(AND('Choix pédagogiques'!$C$4&lt;&gt;"?",'Choix pédagogiques'!$C$5&lt;&gt;"?",AD245&lt;&gt;""),(AD245-'Choix pédagogiques'!$C$4)/('Choix pédagogiques'!$C$5-'Choix pédagogiques'!$C$4),"")</f>
        <v/>
      </c>
      <c r="AZ245" s="53" t="str">
        <f aca="false">IF($J245&lt;&gt;"",$J245,"")</f>
        <v/>
      </c>
      <c r="BA245" s="52" t="str">
        <f aca="false">IF($A245&lt;&gt;"",$A245,"")</f>
        <v>Apprenant 233</v>
      </c>
      <c r="BB245" s="55" t="str">
        <f aca="false">IF(AND($AR245&lt;&gt;"",$AS245&lt;&gt;""),$AS245-$AR245,"")</f>
        <v/>
      </c>
      <c r="BC245" s="55" t="str">
        <f aca="false">IF(AND($AR245&lt;&gt;"",$AT245&lt;&gt;""),$AT245-$AR245,"")</f>
        <v/>
      </c>
      <c r="BD245" s="55" t="str">
        <f aca="false">IF(AND($AS245&lt;&gt;"",$AT245&lt;&gt;""),$AT245-$AS245,"")</f>
        <v/>
      </c>
      <c r="BE245" s="53" t="str">
        <f aca="false">IF($E245&lt;&gt;"",$E245,"")</f>
        <v/>
      </c>
      <c r="BF245" s="52" t="str">
        <f aca="false">IF($F245&lt;&gt;"",$F245,"")</f>
        <v>Apprenant 233 ou 233'</v>
      </c>
      <c r="BG245" s="55" t="str">
        <f aca="false">IF(AND($AW245&lt;&gt;"",$AX245&lt;&gt;""),$AX245-$AW245,"")</f>
        <v/>
      </c>
      <c r="BH245" s="55" t="str">
        <f aca="false">IF(AND($AW245&lt;&gt;"",$AY245&lt;&gt;""),$AY245-$AW245,"")</f>
        <v/>
      </c>
      <c r="BI245" s="55" t="str">
        <f aca="false">IF(AND($AX245&lt;&gt;"",$AY245&lt;&gt;""),$AY245-$AX245,"")</f>
        <v/>
      </c>
      <c r="BJ245" s="53" t="str">
        <f aca="false">IF($J245&lt;&gt;"",$J245,"")</f>
        <v/>
      </c>
      <c r="BL245" s="52"/>
      <c r="BM245" s="52" t="str">
        <f aca="false">IF(OR(COUNT(B245:D1244)=0,AND('Choix pédagogiques'!$C$3&lt;&gt;1,'Choix pédagogiques'!$C$3&lt;&gt;2)),"",IF(AND(OR('Choix pédagogiques'!$C$3=1,'Choix pédagogiques'!$C$3=2),$B245&lt;&gt;"",$C245&lt;&gt;"",$D245&lt;&gt;""),1,0))</f>
        <v/>
      </c>
      <c r="BN245" s="52" t="str">
        <f aca="false">IF(OR(COUNT(G245:I1244)=0,AND('Choix pédagogiques'!$C$3&lt;&gt;1,'Choix pédagogiques'!$C$3&lt;&gt;2)),"",IF(AND(OR('Choix pédagogiques'!$C$3=1,'Choix pédagogiques'!$C$3=2),AND($G245&lt;&gt;"",$H245&lt;&gt;"",$I245&lt;&gt;"")),1,0))</f>
        <v/>
      </c>
      <c r="BO245" s="52" t="str">
        <f aca="false">IF(OR(COUNT(B245:D1244)=0,COUNT(G245:I1244)=0,'Choix pédagogiques'!C$3&lt;&gt;3),"",IF(AND('Choix pédagogiques'!$C$3=3,$B245&lt;&gt;"",$C245&lt;&gt;"",$D245&lt;&gt;"",$G245&lt;&gt;"",$H245&lt;&gt;"",$I245&lt;&gt;""),1,0))</f>
        <v/>
      </c>
      <c r="BR245" s="52" t="n">
        <v>363</v>
      </c>
      <c r="BS245" s="52" t="n">
        <v>1320</v>
      </c>
    </row>
    <row r="246" s="54" customFormat="true" ht="18" hidden="false" customHeight="true" outlineLevel="0" collapsed="false">
      <c r="A246" s="57" t="s">
        <v>423</v>
      </c>
      <c r="B246" s="51"/>
      <c r="C246" s="51"/>
      <c r="D246" s="51"/>
      <c r="E246" s="51"/>
      <c r="F246" s="57" t="s">
        <v>424</v>
      </c>
      <c r="G246" s="51"/>
      <c r="H246" s="51"/>
      <c r="I246" s="51"/>
      <c r="J246" s="51"/>
      <c r="K246" s="52" t="str">
        <f aca="false">IF($A246&lt;&gt;"",$A246,"")</f>
        <v>Apprenant 234</v>
      </c>
      <c r="L246" s="53" t="str">
        <f aca="false">IF(AND($B246&lt;&gt;"",$C246&lt;&gt;""),$C246-$B246,"")</f>
        <v/>
      </c>
      <c r="M246" s="53" t="str">
        <f aca="false">IF(AND($B246&lt;&gt;"",$D246&lt;&gt;""),$D246-$B246,"")</f>
        <v/>
      </c>
      <c r="N246" s="53" t="str">
        <f aca="false">IF(AND($C246&lt;&gt;"",$D246&lt;&gt;""),$D246-$C246,"")</f>
        <v/>
      </c>
      <c r="O246" s="53" t="str">
        <f aca="false">IF($E246&lt;&gt;"",$E246,"")</f>
        <v/>
      </c>
      <c r="P246" s="52" t="str">
        <f aca="false">IF($F246&lt;&gt;"",$F246,"")</f>
        <v>Apprenant 234 ou 234'</v>
      </c>
      <c r="Q246" s="53" t="str">
        <f aca="false">IF(AND($G246&lt;&gt;"",$H246&lt;&gt;""),$H246-$G246,"")</f>
        <v/>
      </c>
      <c r="R246" s="53" t="str">
        <f aca="false">IF(AND($G246&lt;&gt;"",$I246&lt;&gt;""),$I246-$G246,"")</f>
        <v/>
      </c>
      <c r="S246" s="53" t="str">
        <f aca="false">IF(AND($H246&lt;&gt;"",$I246&lt;&gt;""),$I246-$H246,"")</f>
        <v/>
      </c>
      <c r="T246" s="53" t="str">
        <f aca="false">IF($J246&lt;&gt;"",$J246,"")</f>
        <v/>
      </c>
      <c r="V246" s="52" t="str">
        <f aca="false">IF($A246&lt;&gt;"",$A246,"")</f>
        <v>Apprenant 234</v>
      </c>
      <c r="W246" s="53" t="str">
        <f aca="false">IF(AND(OR('Choix pédagogiques'!$C$3=1,'Choix pédagogiques'!$C$3=2),$BM246=1),B246,IF(AND('Choix pédagogiques'!$C$3=3,$BO246=1),B246,""))</f>
        <v/>
      </c>
      <c r="X246" s="53" t="str">
        <f aca="false">IF(AND(OR('Choix pédagogiques'!$C$3=1,'Choix pédagogiques'!$C$3=2),$BM246=1),C246,IF(AND('Choix pédagogiques'!$C$3=3,$BO246=1),C246,""))</f>
        <v/>
      </c>
      <c r="Y246" s="53" t="str">
        <f aca="false">IF(AND(OR('Choix pédagogiques'!$C$3=1,'Choix pédagogiques'!$C$3=2),$BM246=1),D246,IF(AND('Choix pédagogiques'!$C$3=3,$BO246=1),D246,""))</f>
        <v/>
      </c>
      <c r="Z246" s="53" t="str">
        <f aca="false">IF($E246&lt;&gt;"",$E246,"")</f>
        <v/>
      </c>
      <c r="AA246" s="52" t="str">
        <f aca="false">IF($F246&lt;&gt;"",$F246,"")</f>
        <v>Apprenant 234 ou 234'</v>
      </c>
      <c r="AB246" s="53" t="str">
        <f aca="false">IF(AND(OR('Choix pédagogiques'!$C$3=1,'Choix pédagogiques'!$C$3=2),$BN246=1),G246,IF(AND('Choix pédagogiques'!$C$3=3,$BO246=1),G246,""))</f>
        <v/>
      </c>
      <c r="AC246" s="53" t="str">
        <f aca="false">IF(AND(OR('Choix pédagogiques'!$C$3=1,'Choix pédagogiques'!$C$3=2),$BN246=1),H246,IF(AND('Choix pédagogiques'!$C$3=3,$BO246=1),H246,""))</f>
        <v/>
      </c>
      <c r="AD246" s="53" t="str">
        <f aca="false">IF(AND(OR('Choix pédagogiques'!$C$3=1,'Choix pédagogiques'!$C$3=2),$BN246=1),I246,IF(AND('Choix pédagogiques'!$C$3=3,$BO246=1),I246,""))</f>
        <v/>
      </c>
      <c r="AE246" s="53" t="str">
        <f aca="false">IF($J246&lt;&gt;"",$J246,"")</f>
        <v/>
      </c>
      <c r="AF246" s="52" t="str">
        <f aca="false">IF($A246&lt;&gt;"",$A246,"")</f>
        <v>Apprenant 234</v>
      </c>
      <c r="AG246" s="53" t="str">
        <f aca="false">IF(AND($W246&lt;&gt;"",$X246&lt;&gt;""),$X246-$W246,"")</f>
        <v/>
      </c>
      <c r="AH246" s="53" t="str">
        <f aca="false">IF(AND($W246&lt;&gt;"",$Y246&lt;&gt;""),$Y246-$W246,"")</f>
        <v/>
      </c>
      <c r="AI246" s="53" t="str">
        <f aca="false">IF(AND($X246&lt;&gt;"",$Y246&lt;&gt;""),$Y246-$X246,"")</f>
        <v/>
      </c>
      <c r="AJ246" s="53" t="str">
        <f aca="false">IF($E246&lt;&gt;"",$E246,"")</f>
        <v/>
      </c>
      <c r="AK246" s="52" t="str">
        <f aca="false">IF($F246&lt;&gt;"",$F246,"")</f>
        <v>Apprenant 234 ou 234'</v>
      </c>
      <c r="AL246" s="53" t="str">
        <f aca="false">IF(AND($AB246&lt;&gt;"",$AC246&lt;&gt;""),$AC246-$AB246,"")</f>
        <v/>
      </c>
      <c r="AM246" s="53" t="str">
        <f aca="false">IF(AND($AB246&lt;&gt;"",$AD246&lt;&gt;""),$AD246-$AB246,"")</f>
        <v/>
      </c>
      <c r="AN246" s="53" t="str">
        <f aca="false">IF(AND($AC246&lt;&gt;"",$AD246&lt;&gt;""),$AD246-$AC246,"")</f>
        <v/>
      </c>
      <c r="AO246" s="53" t="str">
        <f aca="false">IF($J246&lt;&gt;"",$J246,"")</f>
        <v/>
      </c>
      <c r="AQ246" s="52" t="str">
        <f aca="false">IF($A246&lt;&gt;"",$A246,"")</f>
        <v>Apprenant 234</v>
      </c>
      <c r="AR246" s="55" t="str">
        <f aca="false">IF(AND('Choix pédagogiques'!$C$4&lt;&gt;"?",'Choix pédagogiques'!$C$5&lt;&gt;"?",W246&lt;&gt;""),(W246-'Choix pédagogiques'!$C$4)/('Choix pédagogiques'!$C$5-'Choix pédagogiques'!$C$4),"")</f>
        <v/>
      </c>
      <c r="AS246" s="55" t="str">
        <f aca="false">IF(AND('Choix pédagogiques'!$C$4&lt;&gt;"?",'Choix pédagogiques'!$C$5&lt;&gt;"?",X246&lt;&gt;""),(X246-'Choix pédagogiques'!$C$4)/('Choix pédagogiques'!$C$5-'Choix pédagogiques'!$C$4),"")</f>
        <v/>
      </c>
      <c r="AT246" s="55" t="str">
        <f aca="false">IF(AND('Choix pédagogiques'!$C$4&lt;&gt;"?",'Choix pédagogiques'!$C$5&lt;&gt;"?",Y246&lt;&gt;""),(Y246-'Choix pédagogiques'!$C$4)/('Choix pédagogiques'!$C$5-'Choix pédagogiques'!$C$4),"")</f>
        <v/>
      </c>
      <c r="AU246" s="53" t="str">
        <f aca="false">IF($E246&lt;&gt;"",$E246,"")</f>
        <v/>
      </c>
      <c r="AV246" s="52" t="str">
        <f aca="false">IF($F246&lt;&gt;"",$F246,"")</f>
        <v>Apprenant 234 ou 234'</v>
      </c>
      <c r="AW246" s="55" t="str">
        <f aca="false">IF(AND('Choix pédagogiques'!$C$4&lt;&gt;"?",'Choix pédagogiques'!$C$5&lt;&gt;"?",AB246&lt;&gt;""),(AB246-'Choix pédagogiques'!$C$4)/('Choix pédagogiques'!$C$5-'Choix pédagogiques'!$C$4),"")</f>
        <v/>
      </c>
      <c r="AX246" s="55" t="str">
        <f aca="false">IF(AND('Choix pédagogiques'!$C$4&lt;&gt;"?",'Choix pédagogiques'!$C$5&lt;&gt;"?",AC246&lt;&gt;""),(AC246-'Choix pédagogiques'!$C$4)/('Choix pédagogiques'!$C$5-'Choix pédagogiques'!$C$4),"")</f>
        <v/>
      </c>
      <c r="AY246" s="55" t="str">
        <f aca="false">IF(AND('Choix pédagogiques'!$C$4&lt;&gt;"?",'Choix pédagogiques'!$C$5&lt;&gt;"?",AD246&lt;&gt;""),(AD246-'Choix pédagogiques'!$C$4)/('Choix pédagogiques'!$C$5-'Choix pédagogiques'!$C$4),"")</f>
        <v/>
      </c>
      <c r="AZ246" s="53" t="str">
        <f aca="false">IF($J246&lt;&gt;"",$J246,"")</f>
        <v/>
      </c>
      <c r="BA246" s="52" t="str">
        <f aca="false">IF($A246&lt;&gt;"",$A246,"")</f>
        <v>Apprenant 234</v>
      </c>
      <c r="BB246" s="55" t="str">
        <f aca="false">IF(AND($AR246&lt;&gt;"",$AS246&lt;&gt;""),$AS246-$AR246,"")</f>
        <v/>
      </c>
      <c r="BC246" s="55" t="str">
        <f aca="false">IF(AND($AR246&lt;&gt;"",$AT246&lt;&gt;""),$AT246-$AR246,"")</f>
        <v/>
      </c>
      <c r="BD246" s="55" t="str">
        <f aca="false">IF(AND($AS246&lt;&gt;"",$AT246&lt;&gt;""),$AT246-$AS246,"")</f>
        <v/>
      </c>
      <c r="BE246" s="53" t="str">
        <f aca="false">IF($E246&lt;&gt;"",$E246,"")</f>
        <v/>
      </c>
      <c r="BF246" s="52" t="str">
        <f aca="false">IF($F246&lt;&gt;"",$F246,"")</f>
        <v>Apprenant 234 ou 234'</v>
      </c>
      <c r="BG246" s="55" t="str">
        <f aca="false">IF(AND($AW246&lt;&gt;"",$AX246&lt;&gt;""),$AX246-$AW246,"")</f>
        <v/>
      </c>
      <c r="BH246" s="55" t="str">
        <f aca="false">IF(AND($AW246&lt;&gt;"",$AY246&lt;&gt;""),$AY246-$AW246,"")</f>
        <v/>
      </c>
      <c r="BI246" s="55" t="str">
        <f aca="false">IF(AND($AX246&lt;&gt;"",$AY246&lt;&gt;""),$AY246-$AX246,"")</f>
        <v/>
      </c>
      <c r="BJ246" s="53" t="str">
        <f aca="false">IF($J246&lt;&gt;"",$J246,"")</f>
        <v/>
      </c>
      <c r="BL246" s="52"/>
      <c r="BM246" s="52" t="str">
        <f aca="false">IF(OR(COUNT(B246:D1245)=0,AND('Choix pédagogiques'!$C$3&lt;&gt;1,'Choix pédagogiques'!$C$3&lt;&gt;2)),"",IF(AND(OR('Choix pédagogiques'!$C$3=1,'Choix pédagogiques'!$C$3=2),$B246&lt;&gt;"",$C246&lt;&gt;"",$D246&lt;&gt;""),1,0))</f>
        <v/>
      </c>
      <c r="BN246" s="52" t="str">
        <f aca="false">IF(OR(COUNT(G246:I1245)=0,AND('Choix pédagogiques'!$C$3&lt;&gt;1,'Choix pédagogiques'!$C$3&lt;&gt;2)),"",IF(AND(OR('Choix pédagogiques'!$C$3=1,'Choix pédagogiques'!$C$3=2),AND($G246&lt;&gt;"",$H246&lt;&gt;"",$I246&lt;&gt;"")),1,0))</f>
        <v/>
      </c>
      <c r="BO246" s="52" t="str">
        <f aca="false">IF(OR(COUNT(B246:D1245)=0,COUNT(G246:I1245)=0,'Choix pédagogiques'!C$3&lt;&gt;3),"",IF(AND('Choix pédagogiques'!$C$3=3,$B246&lt;&gt;"",$C246&lt;&gt;"",$D246&lt;&gt;"",$G246&lt;&gt;"",$H246&lt;&gt;"",$I246&lt;&gt;""),1,0))</f>
        <v/>
      </c>
      <c r="BR246" s="52" t="n">
        <v>610</v>
      </c>
      <c r="BS246" s="52" t="n">
        <v>1963</v>
      </c>
    </row>
    <row r="247" s="54" customFormat="true" ht="18" hidden="false" customHeight="true" outlineLevel="0" collapsed="false">
      <c r="A247" s="57" t="s">
        <v>425</v>
      </c>
      <c r="B247" s="51"/>
      <c r="C247" s="51"/>
      <c r="D247" s="51"/>
      <c r="E247" s="51"/>
      <c r="F247" s="57" t="s">
        <v>426</v>
      </c>
      <c r="G247" s="51"/>
      <c r="H247" s="51"/>
      <c r="I247" s="51"/>
      <c r="J247" s="51"/>
      <c r="K247" s="52" t="str">
        <f aca="false">IF($A247&lt;&gt;"",$A247,"")</f>
        <v>Apprenant 235</v>
      </c>
      <c r="L247" s="53" t="str">
        <f aca="false">IF(AND($B247&lt;&gt;"",$C247&lt;&gt;""),$C247-$B247,"")</f>
        <v/>
      </c>
      <c r="M247" s="53" t="str">
        <f aca="false">IF(AND($B247&lt;&gt;"",$D247&lt;&gt;""),$D247-$B247,"")</f>
        <v/>
      </c>
      <c r="N247" s="53" t="str">
        <f aca="false">IF(AND($C247&lt;&gt;"",$D247&lt;&gt;""),$D247-$C247,"")</f>
        <v/>
      </c>
      <c r="O247" s="53" t="str">
        <f aca="false">IF($E247&lt;&gt;"",$E247,"")</f>
        <v/>
      </c>
      <c r="P247" s="52" t="str">
        <f aca="false">IF($F247&lt;&gt;"",$F247,"")</f>
        <v>Apprenant 235 ou 235'</v>
      </c>
      <c r="Q247" s="53" t="str">
        <f aca="false">IF(AND($G247&lt;&gt;"",$H247&lt;&gt;""),$H247-$G247,"")</f>
        <v/>
      </c>
      <c r="R247" s="53" t="str">
        <f aca="false">IF(AND($G247&lt;&gt;"",$I247&lt;&gt;""),$I247-$G247,"")</f>
        <v/>
      </c>
      <c r="S247" s="53" t="str">
        <f aca="false">IF(AND($H247&lt;&gt;"",$I247&lt;&gt;""),$I247-$H247,"")</f>
        <v/>
      </c>
      <c r="T247" s="53" t="str">
        <f aca="false">IF($J247&lt;&gt;"",$J247,"")</f>
        <v/>
      </c>
      <c r="V247" s="52" t="str">
        <f aca="false">IF($A247&lt;&gt;"",$A247,"")</f>
        <v>Apprenant 235</v>
      </c>
      <c r="W247" s="53" t="str">
        <f aca="false">IF(AND(OR('Choix pédagogiques'!$C$3=1,'Choix pédagogiques'!$C$3=2),$BM247=1),B247,IF(AND('Choix pédagogiques'!$C$3=3,$BO247=1),B247,""))</f>
        <v/>
      </c>
      <c r="X247" s="53" t="str">
        <f aca="false">IF(AND(OR('Choix pédagogiques'!$C$3=1,'Choix pédagogiques'!$C$3=2),$BM247=1),C247,IF(AND('Choix pédagogiques'!$C$3=3,$BO247=1),C247,""))</f>
        <v/>
      </c>
      <c r="Y247" s="53" t="str">
        <f aca="false">IF(AND(OR('Choix pédagogiques'!$C$3=1,'Choix pédagogiques'!$C$3=2),$BM247=1),D247,IF(AND('Choix pédagogiques'!$C$3=3,$BO247=1),D247,""))</f>
        <v/>
      </c>
      <c r="Z247" s="53" t="str">
        <f aca="false">IF($E247&lt;&gt;"",$E247,"")</f>
        <v/>
      </c>
      <c r="AA247" s="52" t="str">
        <f aca="false">IF($F247&lt;&gt;"",$F247,"")</f>
        <v>Apprenant 235 ou 235'</v>
      </c>
      <c r="AB247" s="53" t="str">
        <f aca="false">IF(AND(OR('Choix pédagogiques'!$C$3=1,'Choix pédagogiques'!$C$3=2),$BN247=1),G247,IF(AND('Choix pédagogiques'!$C$3=3,$BO247=1),G247,""))</f>
        <v/>
      </c>
      <c r="AC247" s="53" t="str">
        <f aca="false">IF(AND(OR('Choix pédagogiques'!$C$3=1,'Choix pédagogiques'!$C$3=2),$BN247=1),H247,IF(AND('Choix pédagogiques'!$C$3=3,$BO247=1),H247,""))</f>
        <v/>
      </c>
      <c r="AD247" s="53" t="str">
        <f aca="false">IF(AND(OR('Choix pédagogiques'!$C$3=1,'Choix pédagogiques'!$C$3=2),$BN247=1),I247,IF(AND('Choix pédagogiques'!$C$3=3,$BO247=1),I247,""))</f>
        <v/>
      </c>
      <c r="AE247" s="53" t="str">
        <f aca="false">IF($J247&lt;&gt;"",$J247,"")</f>
        <v/>
      </c>
      <c r="AF247" s="52" t="str">
        <f aca="false">IF($A247&lt;&gt;"",$A247,"")</f>
        <v>Apprenant 235</v>
      </c>
      <c r="AG247" s="53" t="str">
        <f aca="false">IF(AND($W247&lt;&gt;"",$X247&lt;&gt;""),$X247-$W247,"")</f>
        <v/>
      </c>
      <c r="AH247" s="53" t="str">
        <f aca="false">IF(AND($W247&lt;&gt;"",$Y247&lt;&gt;""),$Y247-$W247,"")</f>
        <v/>
      </c>
      <c r="AI247" s="53" t="str">
        <f aca="false">IF(AND($X247&lt;&gt;"",$Y247&lt;&gt;""),$Y247-$X247,"")</f>
        <v/>
      </c>
      <c r="AJ247" s="53" t="str">
        <f aca="false">IF($E247&lt;&gt;"",$E247,"")</f>
        <v/>
      </c>
      <c r="AK247" s="52" t="str">
        <f aca="false">IF($F247&lt;&gt;"",$F247,"")</f>
        <v>Apprenant 235 ou 235'</v>
      </c>
      <c r="AL247" s="53" t="str">
        <f aca="false">IF(AND($AB247&lt;&gt;"",$AC247&lt;&gt;""),$AC247-$AB247,"")</f>
        <v/>
      </c>
      <c r="AM247" s="53" t="str">
        <f aca="false">IF(AND($AB247&lt;&gt;"",$AD247&lt;&gt;""),$AD247-$AB247,"")</f>
        <v/>
      </c>
      <c r="AN247" s="53" t="str">
        <f aca="false">IF(AND($AC247&lt;&gt;"",$AD247&lt;&gt;""),$AD247-$AC247,"")</f>
        <v/>
      </c>
      <c r="AO247" s="53" t="str">
        <f aca="false">IF($J247&lt;&gt;"",$J247,"")</f>
        <v/>
      </c>
      <c r="AQ247" s="52" t="str">
        <f aca="false">IF($A247&lt;&gt;"",$A247,"")</f>
        <v>Apprenant 235</v>
      </c>
      <c r="AR247" s="55" t="str">
        <f aca="false">IF(AND('Choix pédagogiques'!$C$4&lt;&gt;"?",'Choix pédagogiques'!$C$5&lt;&gt;"?",W247&lt;&gt;""),(W247-'Choix pédagogiques'!$C$4)/('Choix pédagogiques'!$C$5-'Choix pédagogiques'!$C$4),"")</f>
        <v/>
      </c>
      <c r="AS247" s="55" t="str">
        <f aca="false">IF(AND('Choix pédagogiques'!$C$4&lt;&gt;"?",'Choix pédagogiques'!$C$5&lt;&gt;"?",X247&lt;&gt;""),(X247-'Choix pédagogiques'!$C$4)/('Choix pédagogiques'!$C$5-'Choix pédagogiques'!$C$4),"")</f>
        <v/>
      </c>
      <c r="AT247" s="55" t="str">
        <f aca="false">IF(AND('Choix pédagogiques'!$C$4&lt;&gt;"?",'Choix pédagogiques'!$C$5&lt;&gt;"?",Y247&lt;&gt;""),(Y247-'Choix pédagogiques'!$C$4)/('Choix pédagogiques'!$C$5-'Choix pédagogiques'!$C$4),"")</f>
        <v/>
      </c>
      <c r="AU247" s="53" t="str">
        <f aca="false">IF($E247&lt;&gt;"",$E247,"")</f>
        <v/>
      </c>
      <c r="AV247" s="52" t="str">
        <f aca="false">IF($F247&lt;&gt;"",$F247,"")</f>
        <v>Apprenant 235 ou 235'</v>
      </c>
      <c r="AW247" s="55" t="str">
        <f aca="false">IF(AND('Choix pédagogiques'!$C$4&lt;&gt;"?",'Choix pédagogiques'!$C$5&lt;&gt;"?",AB247&lt;&gt;""),(AB247-'Choix pédagogiques'!$C$4)/('Choix pédagogiques'!$C$5-'Choix pédagogiques'!$C$4),"")</f>
        <v/>
      </c>
      <c r="AX247" s="55" t="str">
        <f aca="false">IF(AND('Choix pédagogiques'!$C$4&lt;&gt;"?",'Choix pédagogiques'!$C$5&lt;&gt;"?",AC247&lt;&gt;""),(AC247-'Choix pédagogiques'!$C$4)/('Choix pédagogiques'!$C$5-'Choix pédagogiques'!$C$4),"")</f>
        <v/>
      </c>
      <c r="AY247" s="55" t="str">
        <f aca="false">IF(AND('Choix pédagogiques'!$C$4&lt;&gt;"?",'Choix pédagogiques'!$C$5&lt;&gt;"?",AD247&lt;&gt;""),(AD247-'Choix pédagogiques'!$C$4)/('Choix pédagogiques'!$C$5-'Choix pédagogiques'!$C$4),"")</f>
        <v/>
      </c>
      <c r="AZ247" s="53" t="str">
        <f aca="false">IF($J247&lt;&gt;"",$J247,"")</f>
        <v/>
      </c>
      <c r="BA247" s="52" t="str">
        <f aca="false">IF($A247&lt;&gt;"",$A247,"")</f>
        <v>Apprenant 235</v>
      </c>
      <c r="BB247" s="55" t="str">
        <f aca="false">IF(AND($AR247&lt;&gt;"",$AS247&lt;&gt;""),$AS247-$AR247,"")</f>
        <v/>
      </c>
      <c r="BC247" s="55" t="str">
        <f aca="false">IF(AND($AR247&lt;&gt;"",$AT247&lt;&gt;""),$AT247-$AR247,"")</f>
        <v/>
      </c>
      <c r="BD247" s="55" t="str">
        <f aca="false">IF(AND($AS247&lt;&gt;"",$AT247&lt;&gt;""),$AT247-$AS247,"")</f>
        <v/>
      </c>
      <c r="BE247" s="53" t="str">
        <f aca="false">IF($E247&lt;&gt;"",$E247,"")</f>
        <v/>
      </c>
      <c r="BF247" s="52" t="str">
        <f aca="false">IF($F247&lt;&gt;"",$F247,"")</f>
        <v>Apprenant 235 ou 235'</v>
      </c>
      <c r="BG247" s="55" t="str">
        <f aca="false">IF(AND($AW247&lt;&gt;"",$AX247&lt;&gt;""),$AX247-$AW247,"")</f>
        <v/>
      </c>
      <c r="BH247" s="55" t="str">
        <f aca="false">IF(AND($AW247&lt;&gt;"",$AY247&lt;&gt;""),$AY247-$AW247,"")</f>
        <v/>
      </c>
      <c r="BI247" s="55" t="str">
        <f aca="false">IF(AND($AX247&lt;&gt;"",$AY247&lt;&gt;""),$AY247-$AX247,"")</f>
        <v/>
      </c>
      <c r="BJ247" s="53" t="str">
        <f aca="false">IF($J247&lt;&gt;"",$J247,"")</f>
        <v/>
      </c>
      <c r="BL247" s="52"/>
      <c r="BM247" s="52" t="str">
        <f aca="false">IF(OR(COUNT(B247:D1246)=0,AND('Choix pédagogiques'!$C$3&lt;&gt;1,'Choix pédagogiques'!$C$3&lt;&gt;2)),"",IF(AND(OR('Choix pédagogiques'!$C$3=1,'Choix pédagogiques'!$C$3=2),$B247&lt;&gt;"",$C247&lt;&gt;"",$D247&lt;&gt;""),1,0))</f>
        <v/>
      </c>
      <c r="BN247" s="52" t="str">
        <f aca="false">IF(OR(COUNT(G247:I1246)=0,AND('Choix pédagogiques'!$C$3&lt;&gt;1,'Choix pédagogiques'!$C$3&lt;&gt;2)),"",IF(AND(OR('Choix pédagogiques'!$C$3=1,'Choix pédagogiques'!$C$3=2),AND($G247&lt;&gt;"",$H247&lt;&gt;"",$I247&lt;&gt;"")),1,0))</f>
        <v/>
      </c>
      <c r="BO247" s="52" t="str">
        <f aca="false">IF(OR(COUNT(B247:D1246)=0,COUNT(G247:I1246)=0,'Choix pédagogiques'!C$3&lt;&gt;3),"",IF(AND('Choix pédagogiques'!$C$3=3,$B247&lt;&gt;"",$C247&lt;&gt;"",$D247&lt;&gt;"",$G247&lt;&gt;"",$H247&lt;&gt;"",$I247&lt;&gt;""),1,0))</f>
        <v/>
      </c>
      <c r="BR247" s="52" t="n">
        <v>62</v>
      </c>
      <c r="BS247" s="52" t="n">
        <v>1525</v>
      </c>
    </row>
    <row r="248" s="54" customFormat="true" ht="18" hidden="false" customHeight="true" outlineLevel="0" collapsed="false">
      <c r="A248" s="57" t="s">
        <v>427</v>
      </c>
      <c r="B248" s="51"/>
      <c r="C248" s="51"/>
      <c r="D248" s="51"/>
      <c r="E248" s="51"/>
      <c r="F248" s="57" t="s">
        <v>428</v>
      </c>
      <c r="G248" s="51"/>
      <c r="H248" s="51"/>
      <c r="I248" s="51"/>
      <c r="J248" s="51"/>
      <c r="K248" s="52" t="str">
        <f aca="false">IF($A248&lt;&gt;"",$A248,"")</f>
        <v>Apprenant 236</v>
      </c>
      <c r="L248" s="53" t="str">
        <f aca="false">IF(AND($B248&lt;&gt;"",$C248&lt;&gt;""),$C248-$B248,"")</f>
        <v/>
      </c>
      <c r="M248" s="53" t="str">
        <f aca="false">IF(AND($B248&lt;&gt;"",$D248&lt;&gt;""),$D248-$B248,"")</f>
        <v/>
      </c>
      <c r="N248" s="53" t="str">
        <f aca="false">IF(AND($C248&lt;&gt;"",$D248&lt;&gt;""),$D248-$C248,"")</f>
        <v/>
      </c>
      <c r="O248" s="53" t="str">
        <f aca="false">IF($E248&lt;&gt;"",$E248,"")</f>
        <v/>
      </c>
      <c r="P248" s="52" t="str">
        <f aca="false">IF($F248&lt;&gt;"",$F248,"")</f>
        <v>Apprenant 236 ou 236'</v>
      </c>
      <c r="Q248" s="53" t="str">
        <f aca="false">IF(AND($G248&lt;&gt;"",$H248&lt;&gt;""),$H248-$G248,"")</f>
        <v/>
      </c>
      <c r="R248" s="53" t="str">
        <f aca="false">IF(AND($G248&lt;&gt;"",$I248&lt;&gt;""),$I248-$G248,"")</f>
        <v/>
      </c>
      <c r="S248" s="53" t="str">
        <f aca="false">IF(AND($H248&lt;&gt;"",$I248&lt;&gt;""),$I248-$H248,"")</f>
        <v/>
      </c>
      <c r="T248" s="53" t="str">
        <f aca="false">IF($J248&lt;&gt;"",$J248,"")</f>
        <v/>
      </c>
      <c r="V248" s="52" t="str">
        <f aca="false">IF($A248&lt;&gt;"",$A248,"")</f>
        <v>Apprenant 236</v>
      </c>
      <c r="W248" s="53" t="str">
        <f aca="false">IF(AND(OR('Choix pédagogiques'!$C$3=1,'Choix pédagogiques'!$C$3=2),$BM248=1),B248,IF(AND('Choix pédagogiques'!$C$3=3,$BO248=1),B248,""))</f>
        <v/>
      </c>
      <c r="X248" s="53" t="str">
        <f aca="false">IF(AND(OR('Choix pédagogiques'!$C$3=1,'Choix pédagogiques'!$C$3=2),$BM248=1),C248,IF(AND('Choix pédagogiques'!$C$3=3,$BO248=1),C248,""))</f>
        <v/>
      </c>
      <c r="Y248" s="53" t="str">
        <f aca="false">IF(AND(OR('Choix pédagogiques'!$C$3=1,'Choix pédagogiques'!$C$3=2),$BM248=1),D248,IF(AND('Choix pédagogiques'!$C$3=3,$BO248=1),D248,""))</f>
        <v/>
      </c>
      <c r="Z248" s="53" t="str">
        <f aca="false">IF($E248&lt;&gt;"",$E248,"")</f>
        <v/>
      </c>
      <c r="AA248" s="52" t="str">
        <f aca="false">IF($F248&lt;&gt;"",$F248,"")</f>
        <v>Apprenant 236 ou 236'</v>
      </c>
      <c r="AB248" s="53" t="str">
        <f aca="false">IF(AND(OR('Choix pédagogiques'!$C$3=1,'Choix pédagogiques'!$C$3=2),$BN248=1),G248,IF(AND('Choix pédagogiques'!$C$3=3,$BO248=1),G248,""))</f>
        <v/>
      </c>
      <c r="AC248" s="53" t="str">
        <f aca="false">IF(AND(OR('Choix pédagogiques'!$C$3=1,'Choix pédagogiques'!$C$3=2),$BN248=1),H248,IF(AND('Choix pédagogiques'!$C$3=3,$BO248=1),H248,""))</f>
        <v/>
      </c>
      <c r="AD248" s="53" t="str">
        <f aca="false">IF(AND(OR('Choix pédagogiques'!$C$3=1,'Choix pédagogiques'!$C$3=2),$BN248=1),I248,IF(AND('Choix pédagogiques'!$C$3=3,$BO248=1),I248,""))</f>
        <v/>
      </c>
      <c r="AE248" s="53" t="str">
        <f aca="false">IF($J248&lt;&gt;"",$J248,"")</f>
        <v/>
      </c>
      <c r="AF248" s="52" t="str">
        <f aca="false">IF($A248&lt;&gt;"",$A248,"")</f>
        <v>Apprenant 236</v>
      </c>
      <c r="AG248" s="53" t="str">
        <f aca="false">IF(AND($W248&lt;&gt;"",$X248&lt;&gt;""),$X248-$W248,"")</f>
        <v/>
      </c>
      <c r="AH248" s="53" t="str">
        <f aca="false">IF(AND($W248&lt;&gt;"",$Y248&lt;&gt;""),$Y248-$W248,"")</f>
        <v/>
      </c>
      <c r="AI248" s="53" t="str">
        <f aca="false">IF(AND($X248&lt;&gt;"",$Y248&lt;&gt;""),$Y248-$X248,"")</f>
        <v/>
      </c>
      <c r="AJ248" s="53" t="str">
        <f aca="false">IF($E248&lt;&gt;"",$E248,"")</f>
        <v/>
      </c>
      <c r="AK248" s="52" t="str">
        <f aca="false">IF($F248&lt;&gt;"",$F248,"")</f>
        <v>Apprenant 236 ou 236'</v>
      </c>
      <c r="AL248" s="53" t="str">
        <f aca="false">IF(AND($AB248&lt;&gt;"",$AC248&lt;&gt;""),$AC248-$AB248,"")</f>
        <v/>
      </c>
      <c r="AM248" s="53" t="str">
        <f aca="false">IF(AND($AB248&lt;&gt;"",$AD248&lt;&gt;""),$AD248-$AB248,"")</f>
        <v/>
      </c>
      <c r="AN248" s="53" t="str">
        <f aca="false">IF(AND($AC248&lt;&gt;"",$AD248&lt;&gt;""),$AD248-$AC248,"")</f>
        <v/>
      </c>
      <c r="AO248" s="53" t="str">
        <f aca="false">IF($J248&lt;&gt;"",$J248,"")</f>
        <v/>
      </c>
      <c r="AQ248" s="52" t="str">
        <f aca="false">IF($A248&lt;&gt;"",$A248,"")</f>
        <v>Apprenant 236</v>
      </c>
      <c r="AR248" s="55" t="str">
        <f aca="false">IF(AND('Choix pédagogiques'!$C$4&lt;&gt;"?",'Choix pédagogiques'!$C$5&lt;&gt;"?",W248&lt;&gt;""),(W248-'Choix pédagogiques'!$C$4)/('Choix pédagogiques'!$C$5-'Choix pédagogiques'!$C$4),"")</f>
        <v/>
      </c>
      <c r="AS248" s="55" t="str">
        <f aca="false">IF(AND('Choix pédagogiques'!$C$4&lt;&gt;"?",'Choix pédagogiques'!$C$5&lt;&gt;"?",X248&lt;&gt;""),(X248-'Choix pédagogiques'!$C$4)/('Choix pédagogiques'!$C$5-'Choix pédagogiques'!$C$4),"")</f>
        <v/>
      </c>
      <c r="AT248" s="55" t="str">
        <f aca="false">IF(AND('Choix pédagogiques'!$C$4&lt;&gt;"?",'Choix pédagogiques'!$C$5&lt;&gt;"?",Y248&lt;&gt;""),(Y248-'Choix pédagogiques'!$C$4)/('Choix pédagogiques'!$C$5-'Choix pédagogiques'!$C$4),"")</f>
        <v/>
      </c>
      <c r="AU248" s="53" t="str">
        <f aca="false">IF($E248&lt;&gt;"",$E248,"")</f>
        <v/>
      </c>
      <c r="AV248" s="52" t="str">
        <f aca="false">IF($F248&lt;&gt;"",$F248,"")</f>
        <v>Apprenant 236 ou 236'</v>
      </c>
      <c r="AW248" s="55" t="str">
        <f aca="false">IF(AND('Choix pédagogiques'!$C$4&lt;&gt;"?",'Choix pédagogiques'!$C$5&lt;&gt;"?",AB248&lt;&gt;""),(AB248-'Choix pédagogiques'!$C$4)/('Choix pédagogiques'!$C$5-'Choix pédagogiques'!$C$4),"")</f>
        <v/>
      </c>
      <c r="AX248" s="55" t="str">
        <f aca="false">IF(AND('Choix pédagogiques'!$C$4&lt;&gt;"?",'Choix pédagogiques'!$C$5&lt;&gt;"?",AC248&lt;&gt;""),(AC248-'Choix pédagogiques'!$C$4)/('Choix pédagogiques'!$C$5-'Choix pédagogiques'!$C$4),"")</f>
        <v/>
      </c>
      <c r="AY248" s="55" t="str">
        <f aca="false">IF(AND('Choix pédagogiques'!$C$4&lt;&gt;"?",'Choix pédagogiques'!$C$5&lt;&gt;"?",AD248&lt;&gt;""),(AD248-'Choix pédagogiques'!$C$4)/('Choix pédagogiques'!$C$5-'Choix pédagogiques'!$C$4),"")</f>
        <v/>
      </c>
      <c r="AZ248" s="53" t="str">
        <f aca="false">IF($J248&lt;&gt;"",$J248,"")</f>
        <v/>
      </c>
      <c r="BA248" s="52" t="str">
        <f aca="false">IF($A248&lt;&gt;"",$A248,"")</f>
        <v>Apprenant 236</v>
      </c>
      <c r="BB248" s="55" t="str">
        <f aca="false">IF(AND($AR248&lt;&gt;"",$AS248&lt;&gt;""),$AS248-$AR248,"")</f>
        <v/>
      </c>
      <c r="BC248" s="55" t="str">
        <f aca="false">IF(AND($AR248&lt;&gt;"",$AT248&lt;&gt;""),$AT248-$AR248,"")</f>
        <v/>
      </c>
      <c r="BD248" s="55" t="str">
        <f aca="false">IF(AND($AS248&lt;&gt;"",$AT248&lt;&gt;""),$AT248-$AS248,"")</f>
        <v/>
      </c>
      <c r="BE248" s="53" t="str">
        <f aca="false">IF($E248&lt;&gt;"",$E248,"")</f>
        <v/>
      </c>
      <c r="BF248" s="52" t="str">
        <f aca="false">IF($F248&lt;&gt;"",$F248,"")</f>
        <v>Apprenant 236 ou 236'</v>
      </c>
      <c r="BG248" s="55" t="str">
        <f aca="false">IF(AND($AW248&lt;&gt;"",$AX248&lt;&gt;""),$AX248-$AW248,"")</f>
        <v/>
      </c>
      <c r="BH248" s="55" t="str">
        <f aca="false">IF(AND($AW248&lt;&gt;"",$AY248&lt;&gt;""),$AY248-$AW248,"")</f>
        <v/>
      </c>
      <c r="BI248" s="55" t="str">
        <f aca="false">IF(AND($AX248&lt;&gt;"",$AY248&lt;&gt;""),$AY248-$AX248,"")</f>
        <v/>
      </c>
      <c r="BJ248" s="53" t="str">
        <f aca="false">IF($J248&lt;&gt;"",$J248,"")</f>
        <v/>
      </c>
      <c r="BL248" s="52"/>
      <c r="BM248" s="52" t="str">
        <f aca="false">IF(OR(COUNT(B248:D1247)=0,AND('Choix pédagogiques'!$C$3&lt;&gt;1,'Choix pédagogiques'!$C$3&lt;&gt;2)),"",IF(AND(OR('Choix pédagogiques'!$C$3=1,'Choix pédagogiques'!$C$3=2),$B248&lt;&gt;"",$C248&lt;&gt;"",$D248&lt;&gt;""),1,0))</f>
        <v/>
      </c>
      <c r="BN248" s="52" t="str">
        <f aca="false">IF(OR(COUNT(G248:I1247)=0,AND('Choix pédagogiques'!$C$3&lt;&gt;1,'Choix pédagogiques'!$C$3&lt;&gt;2)),"",IF(AND(OR('Choix pédagogiques'!$C$3=1,'Choix pédagogiques'!$C$3=2),AND($G248&lt;&gt;"",$H248&lt;&gt;"",$I248&lt;&gt;"")),1,0))</f>
        <v/>
      </c>
      <c r="BO248" s="52" t="str">
        <f aca="false">IF(OR(COUNT(B248:D1247)=0,COUNT(G248:I1247)=0,'Choix pédagogiques'!C$3&lt;&gt;3),"",IF(AND('Choix pédagogiques'!$C$3=3,$B248&lt;&gt;"",$C248&lt;&gt;"",$D248&lt;&gt;"",$G248&lt;&gt;"",$H248&lt;&gt;"",$I248&lt;&gt;""),1,0))</f>
        <v/>
      </c>
      <c r="BR248" s="52" t="n">
        <v>968</v>
      </c>
      <c r="BS248" s="52" t="n">
        <v>1452</v>
      </c>
    </row>
    <row r="249" s="54" customFormat="true" ht="18" hidden="false" customHeight="true" outlineLevel="0" collapsed="false">
      <c r="A249" s="57" t="s">
        <v>429</v>
      </c>
      <c r="B249" s="51"/>
      <c r="C249" s="51"/>
      <c r="D249" s="51"/>
      <c r="E249" s="51"/>
      <c r="F249" s="57" t="s">
        <v>430</v>
      </c>
      <c r="G249" s="51"/>
      <c r="H249" s="51"/>
      <c r="I249" s="51"/>
      <c r="J249" s="51"/>
      <c r="K249" s="52" t="str">
        <f aca="false">IF($A249&lt;&gt;"",$A249,"")</f>
        <v>Apprenant 237</v>
      </c>
      <c r="L249" s="53" t="str">
        <f aca="false">IF(AND($B249&lt;&gt;"",$C249&lt;&gt;""),$C249-$B249,"")</f>
        <v/>
      </c>
      <c r="M249" s="53" t="str">
        <f aca="false">IF(AND($B249&lt;&gt;"",$D249&lt;&gt;""),$D249-$B249,"")</f>
        <v/>
      </c>
      <c r="N249" s="53" t="str">
        <f aca="false">IF(AND($C249&lt;&gt;"",$D249&lt;&gt;""),$D249-$C249,"")</f>
        <v/>
      </c>
      <c r="O249" s="53" t="str">
        <f aca="false">IF($E249&lt;&gt;"",$E249,"")</f>
        <v/>
      </c>
      <c r="P249" s="52" t="str">
        <f aca="false">IF($F249&lt;&gt;"",$F249,"")</f>
        <v>Apprenant 237 ou 237'</v>
      </c>
      <c r="Q249" s="53" t="str">
        <f aca="false">IF(AND($G249&lt;&gt;"",$H249&lt;&gt;""),$H249-$G249,"")</f>
        <v/>
      </c>
      <c r="R249" s="53" t="str">
        <f aca="false">IF(AND($G249&lt;&gt;"",$I249&lt;&gt;""),$I249-$G249,"")</f>
        <v/>
      </c>
      <c r="S249" s="53" t="str">
        <f aca="false">IF(AND($H249&lt;&gt;"",$I249&lt;&gt;""),$I249-$H249,"")</f>
        <v/>
      </c>
      <c r="T249" s="53" t="str">
        <f aca="false">IF($J249&lt;&gt;"",$J249,"")</f>
        <v/>
      </c>
      <c r="V249" s="52" t="str">
        <f aca="false">IF($A249&lt;&gt;"",$A249,"")</f>
        <v>Apprenant 237</v>
      </c>
      <c r="W249" s="53" t="str">
        <f aca="false">IF(AND(OR('Choix pédagogiques'!$C$3=1,'Choix pédagogiques'!$C$3=2),$BM249=1),B249,IF(AND('Choix pédagogiques'!$C$3=3,$BO249=1),B249,""))</f>
        <v/>
      </c>
      <c r="X249" s="53" t="str">
        <f aca="false">IF(AND(OR('Choix pédagogiques'!$C$3=1,'Choix pédagogiques'!$C$3=2),$BM249=1),C249,IF(AND('Choix pédagogiques'!$C$3=3,$BO249=1),C249,""))</f>
        <v/>
      </c>
      <c r="Y249" s="53" t="str">
        <f aca="false">IF(AND(OR('Choix pédagogiques'!$C$3=1,'Choix pédagogiques'!$C$3=2),$BM249=1),D249,IF(AND('Choix pédagogiques'!$C$3=3,$BO249=1),D249,""))</f>
        <v/>
      </c>
      <c r="Z249" s="53" t="str">
        <f aca="false">IF($E249&lt;&gt;"",$E249,"")</f>
        <v/>
      </c>
      <c r="AA249" s="52" t="str">
        <f aca="false">IF($F249&lt;&gt;"",$F249,"")</f>
        <v>Apprenant 237 ou 237'</v>
      </c>
      <c r="AB249" s="53" t="str">
        <f aca="false">IF(AND(OR('Choix pédagogiques'!$C$3=1,'Choix pédagogiques'!$C$3=2),$BN249=1),G249,IF(AND('Choix pédagogiques'!$C$3=3,$BO249=1),G249,""))</f>
        <v/>
      </c>
      <c r="AC249" s="53" t="str">
        <f aca="false">IF(AND(OR('Choix pédagogiques'!$C$3=1,'Choix pédagogiques'!$C$3=2),$BN249=1),H249,IF(AND('Choix pédagogiques'!$C$3=3,$BO249=1),H249,""))</f>
        <v/>
      </c>
      <c r="AD249" s="53" t="str">
        <f aca="false">IF(AND(OR('Choix pédagogiques'!$C$3=1,'Choix pédagogiques'!$C$3=2),$BN249=1),I249,IF(AND('Choix pédagogiques'!$C$3=3,$BO249=1),I249,""))</f>
        <v/>
      </c>
      <c r="AE249" s="53" t="str">
        <f aca="false">IF($J249&lt;&gt;"",$J249,"")</f>
        <v/>
      </c>
      <c r="AF249" s="52" t="str">
        <f aca="false">IF($A249&lt;&gt;"",$A249,"")</f>
        <v>Apprenant 237</v>
      </c>
      <c r="AG249" s="53" t="str">
        <f aca="false">IF(AND($W249&lt;&gt;"",$X249&lt;&gt;""),$X249-$W249,"")</f>
        <v/>
      </c>
      <c r="AH249" s="53" t="str">
        <f aca="false">IF(AND($W249&lt;&gt;"",$Y249&lt;&gt;""),$Y249-$W249,"")</f>
        <v/>
      </c>
      <c r="AI249" s="53" t="str">
        <f aca="false">IF(AND($X249&lt;&gt;"",$Y249&lt;&gt;""),$Y249-$X249,"")</f>
        <v/>
      </c>
      <c r="AJ249" s="53" t="str">
        <f aca="false">IF($E249&lt;&gt;"",$E249,"")</f>
        <v/>
      </c>
      <c r="AK249" s="52" t="str">
        <f aca="false">IF($F249&lt;&gt;"",$F249,"")</f>
        <v>Apprenant 237 ou 237'</v>
      </c>
      <c r="AL249" s="53" t="str">
        <f aca="false">IF(AND($AB249&lt;&gt;"",$AC249&lt;&gt;""),$AC249-$AB249,"")</f>
        <v/>
      </c>
      <c r="AM249" s="53" t="str">
        <f aca="false">IF(AND($AB249&lt;&gt;"",$AD249&lt;&gt;""),$AD249-$AB249,"")</f>
        <v/>
      </c>
      <c r="AN249" s="53" t="str">
        <f aca="false">IF(AND($AC249&lt;&gt;"",$AD249&lt;&gt;""),$AD249-$AC249,"")</f>
        <v/>
      </c>
      <c r="AO249" s="53" t="str">
        <f aca="false">IF($J249&lt;&gt;"",$J249,"")</f>
        <v/>
      </c>
      <c r="AQ249" s="52" t="str">
        <f aca="false">IF($A249&lt;&gt;"",$A249,"")</f>
        <v>Apprenant 237</v>
      </c>
      <c r="AR249" s="55" t="str">
        <f aca="false">IF(AND('Choix pédagogiques'!$C$4&lt;&gt;"?",'Choix pédagogiques'!$C$5&lt;&gt;"?",W249&lt;&gt;""),(W249-'Choix pédagogiques'!$C$4)/('Choix pédagogiques'!$C$5-'Choix pédagogiques'!$C$4),"")</f>
        <v/>
      </c>
      <c r="AS249" s="55" t="str">
        <f aca="false">IF(AND('Choix pédagogiques'!$C$4&lt;&gt;"?",'Choix pédagogiques'!$C$5&lt;&gt;"?",X249&lt;&gt;""),(X249-'Choix pédagogiques'!$C$4)/('Choix pédagogiques'!$C$5-'Choix pédagogiques'!$C$4),"")</f>
        <v/>
      </c>
      <c r="AT249" s="55" t="str">
        <f aca="false">IF(AND('Choix pédagogiques'!$C$4&lt;&gt;"?",'Choix pédagogiques'!$C$5&lt;&gt;"?",Y249&lt;&gt;""),(Y249-'Choix pédagogiques'!$C$4)/('Choix pédagogiques'!$C$5-'Choix pédagogiques'!$C$4),"")</f>
        <v/>
      </c>
      <c r="AU249" s="53" t="str">
        <f aca="false">IF($E249&lt;&gt;"",$E249,"")</f>
        <v/>
      </c>
      <c r="AV249" s="52" t="str">
        <f aca="false">IF($F249&lt;&gt;"",$F249,"")</f>
        <v>Apprenant 237 ou 237'</v>
      </c>
      <c r="AW249" s="55" t="str">
        <f aca="false">IF(AND('Choix pédagogiques'!$C$4&lt;&gt;"?",'Choix pédagogiques'!$C$5&lt;&gt;"?",AB249&lt;&gt;""),(AB249-'Choix pédagogiques'!$C$4)/('Choix pédagogiques'!$C$5-'Choix pédagogiques'!$C$4),"")</f>
        <v/>
      </c>
      <c r="AX249" s="55" t="str">
        <f aca="false">IF(AND('Choix pédagogiques'!$C$4&lt;&gt;"?",'Choix pédagogiques'!$C$5&lt;&gt;"?",AC249&lt;&gt;""),(AC249-'Choix pédagogiques'!$C$4)/('Choix pédagogiques'!$C$5-'Choix pédagogiques'!$C$4),"")</f>
        <v/>
      </c>
      <c r="AY249" s="55" t="str">
        <f aca="false">IF(AND('Choix pédagogiques'!$C$4&lt;&gt;"?",'Choix pédagogiques'!$C$5&lt;&gt;"?",AD249&lt;&gt;""),(AD249-'Choix pédagogiques'!$C$4)/('Choix pédagogiques'!$C$5-'Choix pédagogiques'!$C$4),"")</f>
        <v/>
      </c>
      <c r="AZ249" s="53" t="str">
        <f aca="false">IF($J249&lt;&gt;"",$J249,"")</f>
        <v/>
      </c>
      <c r="BA249" s="52" t="str">
        <f aca="false">IF($A249&lt;&gt;"",$A249,"")</f>
        <v>Apprenant 237</v>
      </c>
      <c r="BB249" s="55" t="str">
        <f aca="false">IF(AND($AR249&lt;&gt;"",$AS249&lt;&gt;""),$AS249-$AR249,"")</f>
        <v/>
      </c>
      <c r="BC249" s="55" t="str">
        <f aca="false">IF(AND($AR249&lt;&gt;"",$AT249&lt;&gt;""),$AT249-$AR249,"")</f>
        <v/>
      </c>
      <c r="BD249" s="55" t="str">
        <f aca="false">IF(AND($AS249&lt;&gt;"",$AT249&lt;&gt;""),$AT249-$AS249,"")</f>
        <v/>
      </c>
      <c r="BE249" s="53" t="str">
        <f aca="false">IF($E249&lt;&gt;"",$E249,"")</f>
        <v/>
      </c>
      <c r="BF249" s="52" t="str">
        <f aca="false">IF($F249&lt;&gt;"",$F249,"")</f>
        <v>Apprenant 237 ou 237'</v>
      </c>
      <c r="BG249" s="55" t="str">
        <f aca="false">IF(AND($AW249&lt;&gt;"",$AX249&lt;&gt;""),$AX249-$AW249,"")</f>
        <v/>
      </c>
      <c r="BH249" s="55" t="str">
        <f aca="false">IF(AND($AW249&lt;&gt;"",$AY249&lt;&gt;""),$AY249-$AW249,"")</f>
        <v/>
      </c>
      <c r="BI249" s="55" t="str">
        <f aca="false">IF(AND($AX249&lt;&gt;"",$AY249&lt;&gt;""),$AY249-$AX249,"")</f>
        <v/>
      </c>
      <c r="BJ249" s="53" t="str">
        <f aca="false">IF($J249&lt;&gt;"",$J249,"")</f>
        <v/>
      </c>
      <c r="BL249" s="52"/>
      <c r="BM249" s="52" t="str">
        <f aca="false">IF(OR(COUNT(B249:D1248)=0,AND('Choix pédagogiques'!$C$3&lt;&gt;1,'Choix pédagogiques'!$C$3&lt;&gt;2)),"",IF(AND(OR('Choix pédagogiques'!$C$3=1,'Choix pédagogiques'!$C$3=2),$B249&lt;&gt;"",$C249&lt;&gt;"",$D249&lt;&gt;""),1,0))</f>
        <v/>
      </c>
      <c r="BN249" s="52" t="str">
        <f aca="false">IF(OR(COUNT(G249:I1248)=0,AND('Choix pédagogiques'!$C$3&lt;&gt;1,'Choix pédagogiques'!$C$3&lt;&gt;2)),"",IF(AND(OR('Choix pédagogiques'!$C$3=1,'Choix pédagogiques'!$C$3=2),AND($G249&lt;&gt;"",$H249&lt;&gt;"",$I249&lt;&gt;"")),1,0))</f>
        <v/>
      </c>
      <c r="BO249" s="52" t="str">
        <f aca="false">IF(OR(COUNT(B249:D1248)=0,COUNT(G249:I1248)=0,'Choix pédagogiques'!C$3&lt;&gt;3),"",IF(AND('Choix pédagogiques'!$C$3=3,$B249&lt;&gt;"",$C249&lt;&gt;"",$D249&lt;&gt;"",$G249&lt;&gt;"",$H249&lt;&gt;"",$I249&lt;&gt;""),1,0))</f>
        <v/>
      </c>
      <c r="BR249" s="52" t="n">
        <v>448</v>
      </c>
      <c r="BS249" s="52" t="n">
        <v>1986</v>
      </c>
    </row>
    <row r="250" s="54" customFormat="true" ht="18" hidden="false" customHeight="true" outlineLevel="0" collapsed="false">
      <c r="A250" s="57" t="s">
        <v>431</v>
      </c>
      <c r="B250" s="51"/>
      <c r="C250" s="51"/>
      <c r="D250" s="51"/>
      <c r="E250" s="51"/>
      <c r="F250" s="57" t="s">
        <v>432</v>
      </c>
      <c r="G250" s="51"/>
      <c r="H250" s="51"/>
      <c r="I250" s="51"/>
      <c r="J250" s="51"/>
      <c r="K250" s="52" t="str">
        <f aca="false">IF($A250&lt;&gt;"",$A250,"")</f>
        <v>Apprenant 238</v>
      </c>
      <c r="L250" s="53" t="str">
        <f aca="false">IF(AND($B250&lt;&gt;"",$C250&lt;&gt;""),$C250-$B250,"")</f>
        <v/>
      </c>
      <c r="M250" s="53" t="str">
        <f aca="false">IF(AND($B250&lt;&gt;"",$D250&lt;&gt;""),$D250-$B250,"")</f>
        <v/>
      </c>
      <c r="N250" s="53" t="str">
        <f aca="false">IF(AND($C250&lt;&gt;"",$D250&lt;&gt;""),$D250-$C250,"")</f>
        <v/>
      </c>
      <c r="O250" s="53" t="str">
        <f aca="false">IF($E250&lt;&gt;"",$E250,"")</f>
        <v/>
      </c>
      <c r="P250" s="52" t="str">
        <f aca="false">IF($F250&lt;&gt;"",$F250,"")</f>
        <v>Apprenant 238 ou 238'</v>
      </c>
      <c r="Q250" s="53" t="str">
        <f aca="false">IF(AND($G250&lt;&gt;"",$H250&lt;&gt;""),$H250-$G250,"")</f>
        <v/>
      </c>
      <c r="R250" s="53" t="str">
        <f aca="false">IF(AND($G250&lt;&gt;"",$I250&lt;&gt;""),$I250-$G250,"")</f>
        <v/>
      </c>
      <c r="S250" s="53" t="str">
        <f aca="false">IF(AND($H250&lt;&gt;"",$I250&lt;&gt;""),$I250-$H250,"")</f>
        <v/>
      </c>
      <c r="T250" s="53" t="str">
        <f aca="false">IF($J250&lt;&gt;"",$J250,"")</f>
        <v/>
      </c>
      <c r="V250" s="52" t="str">
        <f aca="false">IF($A250&lt;&gt;"",$A250,"")</f>
        <v>Apprenant 238</v>
      </c>
      <c r="W250" s="53" t="str">
        <f aca="false">IF(AND(OR('Choix pédagogiques'!$C$3=1,'Choix pédagogiques'!$C$3=2),$BM250=1),B250,IF(AND('Choix pédagogiques'!$C$3=3,$BO250=1),B250,""))</f>
        <v/>
      </c>
      <c r="X250" s="53" t="str">
        <f aca="false">IF(AND(OR('Choix pédagogiques'!$C$3=1,'Choix pédagogiques'!$C$3=2),$BM250=1),C250,IF(AND('Choix pédagogiques'!$C$3=3,$BO250=1),C250,""))</f>
        <v/>
      </c>
      <c r="Y250" s="53" t="str">
        <f aca="false">IF(AND(OR('Choix pédagogiques'!$C$3=1,'Choix pédagogiques'!$C$3=2),$BM250=1),D250,IF(AND('Choix pédagogiques'!$C$3=3,$BO250=1),D250,""))</f>
        <v/>
      </c>
      <c r="Z250" s="53" t="str">
        <f aca="false">IF($E250&lt;&gt;"",$E250,"")</f>
        <v/>
      </c>
      <c r="AA250" s="52" t="str">
        <f aca="false">IF($F250&lt;&gt;"",$F250,"")</f>
        <v>Apprenant 238 ou 238'</v>
      </c>
      <c r="AB250" s="53" t="str">
        <f aca="false">IF(AND(OR('Choix pédagogiques'!$C$3=1,'Choix pédagogiques'!$C$3=2),$BN250=1),G250,IF(AND('Choix pédagogiques'!$C$3=3,$BO250=1),G250,""))</f>
        <v/>
      </c>
      <c r="AC250" s="53" t="str">
        <f aca="false">IF(AND(OR('Choix pédagogiques'!$C$3=1,'Choix pédagogiques'!$C$3=2),$BN250=1),H250,IF(AND('Choix pédagogiques'!$C$3=3,$BO250=1),H250,""))</f>
        <v/>
      </c>
      <c r="AD250" s="53" t="str">
        <f aca="false">IF(AND(OR('Choix pédagogiques'!$C$3=1,'Choix pédagogiques'!$C$3=2),$BN250=1),I250,IF(AND('Choix pédagogiques'!$C$3=3,$BO250=1),I250,""))</f>
        <v/>
      </c>
      <c r="AE250" s="53" t="str">
        <f aca="false">IF($J250&lt;&gt;"",$J250,"")</f>
        <v/>
      </c>
      <c r="AF250" s="52" t="str">
        <f aca="false">IF($A250&lt;&gt;"",$A250,"")</f>
        <v>Apprenant 238</v>
      </c>
      <c r="AG250" s="53" t="str">
        <f aca="false">IF(AND($W250&lt;&gt;"",$X250&lt;&gt;""),$X250-$W250,"")</f>
        <v/>
      </c>
      <c r="AH250" s="53" t="str">
        <f aca="false">IF(AND($W250&lt;&gt;"",$Y250&lt;&gt;""),$Y250-$W250,"")</f>
        <v/>
      </c>
      <c r="AI250" s="53" t="str">
        <f aca="false">IF(AND($X250&lt;&gt;"",$Y250&lt;&gt;""),$Y250-$X250,"")</f>
        <v/>
      </c>
      <c r="AJ250" s="53" t="str">
        <f aca="false">IF($E250&lt;&gt;"",$E250,"")</f>
        <v/>
      </c>
      <c r="AK250" s="52" t="str">
        <f aca="false">IF($F250&lt;&gt;"",$F250,"")</f>
        <v>Apprenant 238 ou 238'</v>
      </c>
      <c r="AL250" s="53" t="str">
        <f aca="false">IF(AND($AB250&lt;&gt;"",$AC250&lt;&gt;""),$AC250-$AB250,"")</f>
        <v/>
      </c>
      <c r="AM250" s="53" t="str">
        <f aca="false">IF(AND($AB250&lt;&gt;"",$AD250&lt;&gt;""),$AD250-$AB250,"")</f>
        <v/>
      </c>
      <c r="AN250" s="53" t="str">
        <f aca="false">IF(AND($AC250&lt;&gt;"",$AD250&lt;&gt;""),$AD250-$AC250,"")</f>
        <v/>
      </c>
      <c r="AO250" s="53" t="str">
        <f aca="false">IF($J250&lt;&gt;"",$J250,"")</f>
        <v/>
      </c>
      <c r="AQ250" s="52" t="str">
        <f aca="false">IF($A250&lt;&gt;"",$A250,"")</f>
        <v>Apprenant 238</v>
      </c>
      <c r="AR250" s="55" t="str">
        <f aca="false">IF(AND('Choix pédagogiques'!$C$4&lt;&gt;"?",'Choix pédagogiques'!$C$5&lt;&gt;"?",W250&lt;&gt;""),(W250-'Choix pédagogiques'!$C$4)/('Choix pédagogiques'!$C$5-'Choix pédagogiques'!$C$4),"")</f>
        <v/>
      </c>
      <c r="AS250" s="55" t="str">
        <f aca="false">IF(AND('Choix pédagogiques'!$C$4&lt;&gt;"?",'Choix pédagogiques'!$C$5&lt;&gt;"?",X250&lt;&gt;""),(X250-'Choix pédagogiques'!$C$4)/('Choix pédagogiques'!$C$5-'Choix pédagogiques'!$C$4),"")</f>
        <v/>
      </c>
      <c r="AT250" s="55" t="str">
        <f aca="false">IF(AND('Choix pédagogiques'!$C$4&lt;&gt;"?",'Choix pédagogiques'!$C$5&lt;&gt;"?",Y250&lt;&gt;""),(Y250-'Choix pédagogiques'!$C$4)/('Choix pédagogiques'!$C$5-'Choix pédagogiques'!$C$4),"")</f>
        <v/>
      </c>
      <c r="AU250" s="53" t="str">
        <f aca="false">IF($E250&lt;&gt;"",$E250,"")</f>
        <v/>
      </c>
      <c r="AV250" s="52" t="str">
        <f aca="false">IF($F250&lt;&gt;"",$F250,"")</f>
        <v>Apprenant 238 ou 238'</v>
      </c>
      <c r="AW250" s="55" t="str">
        <f aca="false">IF(AND('Choix pédagogiques'!$C$4&lt;&gt;"?",'Choix pédagogiques'!$C$5&lt;&gt;"?",AB250&lt;&gt;""),(AB250-'Choix pédagogiques'!$C$4)/('Choix pédagogiques'!$C$5-'Choix pédagogiques'!$C$4),"")</f>
        <v/>
      </c>
      <c r="AX250" s="55" t="str">
        <f aca="false">IF(AND('Choix pédagogiques'!$C$4&lt;&gt;"?",'Choix pédagogiques'!$C$5&lt;&gt;"?",AC250&lt;&gt;""),(AC250-'Choix pédagogiques'!$C$4)/('Choix pédagogiques'!$C$5-'Choix pédagogiques'!$C$4),"")</f>
        <v/>
      </c>
      <c r="AY250" s="55" t="str">
        <f aca="false">IF(AND('Choix pédagogiques'!$C$4&lt;&gt;"?",'Choix pédagogiques'!$C$5&lt;&gt;"?",AD250&lt;&gt;""),(AD250-'Choix pédagogiques'!$C$4)/('Choix pédagogiques'!$C$5-'Choix pédagogiques'!$C$4),"")</f>
        <v/>
      </c>
      <c r="AZ250" s="53" t="str">
        <f aca="false">IF($J250&lt;&gt;"",$J250,"")</f>
        <v/>
      </c>
      <c r="BA250" s="52" t="str">
        <f aca="false">IF($A250&lt;&gt;"",$A250,"")</f>
        <v>Apprenant 238</v>
      </c>
      <c r="BB250" s="55" t="str">
        <f aca="false">IF(AND($AR250&lt;&gt;"",$AS250&lt;&gt;""),$AS250-$AR250,"")</f>
        <v/>
      </c>
      <c r="BC250" s="55" t="str">
        <f aca="false">IF(AND($AR250&lt;&gt;"",$AT250&lt;&gt;""),$AT250-$AR250,"")</f>
        <v/>
      </c>
      <c r="BD250" s="55" t="str">
        <f aca="false">IF(AND($AS250&lt;&gt;"",$AT250&lt;&gt;""),$AT250-$AS250,"")</f>
        <v/>
      </c>
      <c r="BE250" s="53" t="str">
        <f aca="false">IF($E250&lt;&gt;"",$E250,"")</f>
        <v/>
      </c>
      <c r="BF250" s="52" t="str">
        <f aca="false">IF($F250&lt;&gt;"",$F250,"")</f>
        <v>Apprenant 238 ou 238'</v>
      </c>
      <c r="BG250" s="55" t="str">
        <f aca="false">IF(AND($AW250&lt;&gt;"",$AX250&lt;&gt;""),$AX250-$AW250,"")</f>
        <v/>
      </c>
      <c r="BH250" s="55" t="str">
        <f aca="false">IF(AND($AW250&lt;&gt;"",$AY250&lt;&gt;""),$AY250-$AW250,"")</f>
        <v/>
      </c>
      <c r="BI250" s="55" t="str">
        <f aca="false">IF(AND($AX250&lt;&gt;"",$AY250&lt;&gt;""),$AY250-$AX250,"")</f>
        <v/>
      </c>
      <c r="BJ250" s="53" t="str">
        <f aca="false">IF($J250&lt;&gt;"",$J250,"")</f>
        <v/>
      </c>
      <c r="BL250" s="52"/>
      <c r="BM250" s="52" t="str">
        <f aca="false">IF(OR(COUNT(B250:D1249)=0,AND('Choix pédagogiques'!$C$3&lt;&gt;1,'Choix pédagogiques'!$C$3&lt;&gt;2)),"",IF(AND(OR('Choix pédagogiques'!$C$3=1,'Choix pédagogiques'!$C$3=2),$B250&lt;&gt;"",$C250&lt;&gt;"",$D250&lt;&gt;""),1,0))</f>
        <v/>
      </c>
      <c r="BN250" s="52" t="str">
        <f aca="false">IF(OR(COUNT(G250:I1249)=0,AND('Choix pédagogiques'!$C$3&lt;&gt;1,'Choix pédagogiques'!$C$3&lt;&gt;2)),"",IF(AND(OR('Choix pédagogiques'!$C$3=1,'Choix pédagogiques'!$C$3=2),AND($G250&lt;&gt;"",$H250&lt;&gt;"",$I250&lt;&gt;"")),1,0))</f>
        <v/>
      </c>
      <c r="BO250" s="52" t="str">
        <f aca="false">IF(OR(COUNT(B250:D1249)=0,COUNT(G250:I1249)=0,'Choix pédagogiques'!C$3&lt;&gt;3),"",IF(AND('Choix pédagogiques'!$C$3=3,$B250&lt;&gt;"",$C250&lt;&gt;"",$D250&lt;&gt;"",$G250&lt;&gt;"",$H250&lt;&gt;"",$I250&lt;&gt;""),1,0))</f>
        <v/>
      </c>
      <c r="BR250" s="52" t="n">
        <v>634</v>
      </c>
      <c r="BS250" s="52" t="n">
        <v>1523</v>
      </c>
    </row>
    <row r="251" s="54" customFormat="true" ht="18" hidden="false" customHeight="true" outlineLevel="0" collapsed="false">
      <c r="A251" s="57" t="s">
        <v>433</v>
      </c>
      <c r="B251" s="51"/>
      <c r="C251" s="51"/>
      <c r="D251" s="51"/>
      <c r="E251" s="51"/>
      <c r="F251" s="57" t="s">
        <v>434</v>
      </c>
      <c r="G251" s="51"/>
      <c r="H251" s="51"/>
      <c r="I251" s="51"/>
      <c r="J251" s="51"/>
      <c r="K251" s="52" t="str">
        <f aca="false">IF($A251&lt;&gt;"",$A251,"")</f>
        <v>Apprenant 239</v>
      </c>
      <c r="L251" s="53" t="str">
        <f aca="false">IF(AND($B251&lt;&gt;"",$C251&lt;&gt;""),$C251-$B251,"")</f>
        <v/>
      </c>
      <c r="M251" s="53" t="str">
        <f aca="false">IF(AND($B251&lt;&gt;"",$D251&lt;&gt;""),$D251-$B251,"")</f>
        <v/>
      </c>
      <c r="N251" s="53" t="str">
        <f aca="false">IF(AND($C251&lt;&gt;"",$D251&lt;&gt;""),$D251-$C251,"")</f>
        <v/>
      </c>
      <c r="O251" s="53" t="str">
        <f aca="false">IF($E251&lt;&gt;"",$E251,"")</f>
        <v/>
      </c>
      <c r="P251" s="52" t="str">
        <f aca="false">IF($F251&lt;&gt;"",$F251,"")</f>
        <v>Apprenant 239 ou 239'</v>
      </c>
      <c r="Q251" s="53" t="str">
        <f aca="false">IF(AND($G251&lt;&gt;"",$H251&lt;&gt;""),$H251-$G251,"")</f>
        <v/>
      </c>
      <c r="R251" s="53" t="str">
        <f aca="false">IF(AND($G251&lt;&gt;"",$I251&lt;&gt;""),$I251-$G251,"")</f>
        <v/>
      </c>
      <c r="S251" s="53" t="str">
        <f aca="false">IF(AND($H251&lt;&gt;"",$I251&lt;&gt;""),$I251-$H251,"")</f>
        <v/>
      </c>
      <c r="T251" s="53" t="str">
        <f aca="false">IF($J251&lt;&gt;"",$J251,"")</f>
        <v/>
      </c>
      <c r="V251" s="52" t="str">
        <f aca="false">IF($A251&lt;&gt;"",$A251,"")</f>
        <v>Apprenant 239</v>
      </c>
      <c r="W251" s="53" t="str">
        <f aca="false">IF(AND(OR('Choix pédagogiques'!$C$3=1,'Choix pédagogiques'!$C$3=2),$BM251=1),B251,IF(AND('Choix pédagogiques'!$C$3=3,$BO251=1),B251,""))</f>
        <v/>
      </c>
      <c r="X251" s="53" t="str">
        <f aca="false">IF(AND(OR('Choix pédagogiques'!$C$3=1,'Choix pédagogiques'!$C$3=2),$BM251=1),C251,IF(AND('Choix pédagogiques'!$C$3=3,$BO251=1),C251,""))</f>
        <v/>
      </c>
      <c r="Y251" s="53" t="str">
        <f aca="false">IF(AND(OR('Choix pédagogiques'!$C$3=1,'Choix pédagogiques'!$C$3=2),$BM251=1),D251,IF(AND('Choix pédagogiques'!$C$3=3,$BO251=1),D251,""))</f>
        <v/>
      </c>
      <c r="Z251" s="53" t="str">
        <f aca="false">IF($E251&lt;&gt;"",$E251,"")</f>
        <v/>
      </c>
      <c r="AA251" s="52" t="str">
        <f aca="false">IF($F251&lt;&gt;"",$F251,"")</f>
        <v>Apprenant 239 ou 239'</v>
      </c>
      <c r="AB251" s="53" t="str">
        <f aca="false">IF(AND(OR('Choix pédagogiques'!$C$3=1,'Choix pédagogiques'!$C$3=2),$BN251=1),G251,IF(AND('Choix pédagogiques'!$C$3=3,$BO251=1),G251,""))</f>
        <v/>
      </c>
      <c r="AC251" s="53" t="str">
        <f aca="false">IF(AND(OR('Choix pédagogiques'!$C$3=1,'Choix pédagogiques'!$C$3=2),$BN251=1),H251,IF(AND('Choix pédagogiques'!$C$3=3,$BO251=1),H251,""))</f>
        <v/>
      </c>
      <c r="AD251" s="53" t="str">
        <f aca="false">IF(AND(OR('Choix pédagogiques'!$C$3=1,'Choix pédagogiques'!$C$3=2),$BN251=1),I251,IF(AND('Choix pédagogiques'!$C$3=3,$BO251=1),I251,""))</f>
        <v/>
      </c>
      <c r="AE251" s="53" t="str">
        <f aca="false">IF($J251&lt;&gt;"",$J251,"")</f>
        <v/>
      </c>
      <c r="AF251" s="52" t="str">
        <f aca="false">IF($A251&lt;&gt;"",$A251,"")</f>
        <v>Apprenant 239</v>
      </c>
      <c r="AG251" s="53" t="str">
        <f aca="false">IF(AND($W251&lt;&gt;"",$X251&lt;&gt;""),$X251-$W251,"")</f>
        <v/>
      </c>
      <c r="AH251" s="53" t="str">
        <f aca="false">IF(AND($W251&lt;&gt;"",$Y251&lt;&gt;""),$Y251-$W251,"")</f>
        <v/>
      </c>
      <c r="AI251" s="53" t="str">
        <f aca="false">IF(AND($X251&lt;&gt;"",$Y251&lt;&gt;""),$Y251-$X251,"")</f>
        <v/>
      </c>
      <c r="AJ251" s="53" t="str">
        <f aca="false">IF($E251&lt;&gt;"",$E251,"")</f>
        <v/>
      </c>
      <c r="AK251" s="52" t="str">
        <f aca="false">IF($F251&lt;&gt;"",$F251,"")</f>
        <v>Apprenant 239 ou 239'</v>
      </c>
      <c r="AL251" s="53" t="str">
        <f aca="false">IF(AND($AB251&lt;&gt;"",$AC251&lt;&gt;""),$AC251-$AB251,"")</f>
        <v/>
      </c>
      <c r="AM251" s="53" t="str">
        <f aca="false">IF(AND($AB251&lt;&gt;"",$AD251&lt;&gt;""),$AD251-$AB251,"")</f>
        <v/>
      </c>
      <c r="AN251" s="53" t="str">
        <f aca="false">IF(AND($AC251&lt;&gt;"",$AD251&lt;&gt;""),$AD251-$AC251,"")</f>
        <v/>
      </c>
      <c r="AO251" s="53" t="str">
        <f aca="false">IF($J251&lt;&gt;"",$J251,"")</f>
        <v/>
      </c>
      <c r="AQ251" s="52" t="str">
        <f aca="false">IF($A251&lt;&gt;"",$A251,"")</f>
        <v>Apprenant 239</v>
      </c>
      <c r="AR251" s="55" t="str">
        <f aca="false">IF(AND('Choix pédagogiques'!$C$4&lt;&gt;"?",'Choix pédagogiques'!$C$5&lt;&gt;"?",W251&lt;&gt;""),(W251-'Choix pédagogiques'!$C$4)/('Choix pédagogiques'!$C$5-'Choix pédagogiques'!$C$4),"")</f>
        <v/>
      </c>
      <c r="AS251" s="55" t="str">
        <f aca="false">IF(AND('Choix pédagogiques'!$C$4&lt;&gt;"?",'Choix pédagogiques'!$C$5&lt;&gt;"?",X251&lt;&gt;""),(X251-'Choix pédagogiques'!$C$4)/('Choix pédagogiques'!$C$5-'Choix pédagogiques'!$C$4),"")</f>
        <v/>
      </c>
      <c r="AT251" s="55" t="str">
        <f aca="false">IF(AND('Choix pédagogiques'!$C$4&lt;&gt;"?",'Choix pédagogiques'!$C$5&lt;&gt;"?",Y251&lt;&gt;""),(Y251-'Choix pédagogiques'!$C$4)/('Choix pédagogiques'!$C$5-'Choix pédagogiques'!$C$4),"")</f>
        <v/>
      </c>
      <c r="AU251" s="53" t="str">
        <f aca="false">IF($E251&lt;&gt;"",$E251,"")</f>
        <v/>
      </c>
      <c r="AV251" s="52" t="str">
        <f aca="false">IF($F251&lt;&gt;"",$F251,"")</f>
        <v>Apprenant 239 ou 239'</v>
      </c>
      <c r="AW251" s="55" t="str">
        <f aca="false">IF(AND('Choix pédagogiques'!$C$4&lt;&gt;"?",'Choix pédagogiques'!$C$5&lt;&gt;"?",AB251&lt;&gt;""),(AB251-'Choix pédagogiques'!$C$4)/('Choix pédagogiques'!$C$5-'Choix pédagogiques'!$C$4),"")</f>
        <v/>
      </c>
      <c r="AX251" s="55" t="str">
        <f aca="false">IF(AND('Choix pédagogiques'!$C$4&lt;&gt;"?",'Choix pédagogiques'!$C$5&lt;&gt;"?",AC251&lt;&gt;""),(AC251-'Choix pédagogiques'!$C$4)/('Choix pédagogiques'!$C$5-'Choix pédagogiques'!$C$4),"")</f>
        <v/>
      </c>
      <c r="AY251" s="55" t="str">
        <f aca="false">IF(AND('Choix pédagogiques'!$C$4&lt;&gt;"?",'Choix pédagogiques'!$C$5&lt;&gt;"?",AD251&lt;&gt;""),(AD251-'Choix pédagogiques'!$C$4)/('Choix pédagogiques'!$C$5-'Choix pédagogiques'!$C$4),"")</f>
        <v/>
      </c>
      <c r="AZ251" s="53" t="str">
        <f aca="false">IF($J251&lt;&gt;"",$J251,"")</f>
        <v/>
      </c>
      <c r="BA251" s="52" t="str">
        <f aca="false">IF($A251&lt;&gt;"",$A251,"")</f>
        <v>Apprenant 239</v>
      </c>
      <c r="BB251" s="55" t="str">
        <f aca="false">IF(AND($AR251&lt;&gt;"",$AS251&lt;&gt;""),$AS251-$AR251,"")</f>
        <v/>
      </c>
      <c r="BC251" s="55" t="str">
        <f aca="false">IF(AND($AR251&lt;&gt;"",$AT251&lt;&gt;""),$AT251-$AR251,"")</f>
        <v/>
      </c>
      <c r="BD251" s="55" t="str">
        <f aca="false">IF(AND($AS251&lt;&gt;"",$AT251&lt;&gt;""),$AT251-$AS251,"")</f>
        <v/>
      </c>
      <c r="BE251" s="53" t="str">
        <f aca="false">IF($E251&lt;&gt;"",$E251,"")</f>
        <v/>
      </c>
      <c r="BF251" s="52" t="str">
        <f aca="false">IF($F251&lt;&gt;"",$F251,"")</f>
        <v>Apprenant 239 ou 239'</v>
      </c>
      <c r="BG251" s="55" t="str">
        <f aca="false">IF(AND($AW251&lt;&gt;"",$AX251&lt;&gt;""),$AX251-$AW251,"")</f>
        <v/>
      </c>
      <c r="BH251" s="55" t="str">
        <f aca="false">IF(AND($AW251&lt;&gt;"",$AY251&lt;&gt;""),$AY251-$AW251,"")</f>
        <v/>
      </c>
      <c r="BI251" s="55" t="str">
        <f aca="false">IF(AND($AX251&lt;&gt;"",$AY251&lt;&gt;""),$AY251-$AX251,"")</f>
        <v/>
      </c>
      <c r="BJ251" s="53" t="str">
        <f aca="false">IF($J251&lt;&gt;"",$J251,"")</f>
        <v/>
      </c>
      <c r="BL251" s="52"/>
      <c r="BM251" s="52" t="str">
        <f aca="false">IF(OR(COUNT(B251:D1250)=0,AND('Choix pédagogiques'!$C$3&lt;&gt;1,'Choix pédagogiques'!$C$3&lt;&gt;2)),"",IF(AND(OR('Choix pédagogiques'!$C$3=1,'Choix pédagogiques'!$C$3=2),$B251&lt;&gt;"",$C251&lt;&gt;"",$D251&lt;&gt;""),1,0))</f>
        <v/>
      </c>
      <c r="BN251" s="52" t="str">
        <f aca="false">IF(OR(COUNT(G251:I1250)=0,AND('Choix pédagogiques'!$C$3&lt;&gt;1,'Choix pédagogiques'!$C$3&lt;&gt;2)),"",IF(AND(OR('Choix pédagogiques'!$C$3=1,'Choix pédagogiques'!$C$3=2),AND($G251&lt;&gt;"",$H251&lt;&gt;"",$I251&lt;&gt;"")),1,0))</f>
        <v/>
      </c>
      <c r="BO251" s="52" t="str">
        <f aca="false">IF(OR(COUNT(B251:D1250)=0,COUNT(G251:I1250)=0,'Choix pédagogiques'!C$3&lt;&gt;3),"",IF(AND('Choix pédagogiques'!$C$3=3,$B251&lt;&gt;"",$C251&lt;&gt;"",$D251&lt;&gt;"",$G251&lt;&gt;"",$H251&lt;&gt;"",$I251&lt;&gt;""),1,0))</f>
        <v/>
      </c>
      <c r="BR251" s="52" t="n">
        <v>243</v>
      </c>
      <c r="BS251" s="52" t="n">
        <v>1139</v>
      </c>
    </row>
    <row r="252" s="54" customFormat="true" ht="18" hidden="false" customHeight="true" outlineLevel="0" collapsed="false">
      <c r="A252" s="57" t="s">
        <v>435</v>
      </c>
      <c r="B252" s="51"/>
      <c r="C252" s="51"/>
      <c r="D252" s="51"/>
      <c r="E252" s="51"/>
      <c r="F252" s="57" t="s">
        <v>436</v>
      </c>
      <c r="G252" s="51"/>
      <c r="H252" s="51"/>
      <c r="I252" s="51"/>
      <c r="J252" s="51"/>
      <c r="K252" s="52" t="str">
        <f aca="false">IF($A252&lt;&gt;"",$A252,"")</f>
        <v>Apprenant 240</v>
      </c>
      <c r="L252" s="53" t="str">
        <f aca="false">IF(AND($B252&lt;&gt;"",$C252&lt;&gt;""),$C252-$B252,"")</f>
        <v/>
      </c>
      <c r="M252" s="53" t="str">
        <f aca="false">IF(AND($B252&lt;&gt;"",$D252&lt;&gt;""),$D252-$B252,"")</f>
        <v/>
      </c>
      <c r="N252" s="53" t="str">
        <f aca="false">IF(AND($C252&lt;&gt;"",$D252&lt;&gt;""),$D252-$C252,"")</f>
        <v/>
      </c>
      <c r="O252" s="53" t="str">
        <f aca="false">IF($E252&lt;&gt;"",$E252,"")</f>
        <v/>
      </c>
      <c r="P252" s="52" t="str">
        <f aca="false">IF($F252&lt;&gt;"",$F252,"")</f>
        <v>Apprenant 240 ou 240'</v>
      </c>
      <c r="Q252" s="53" t="str">
        <f aca="false">IF(AND($G252&lt;&gt;"",$H252&lt;&gt;""),$H252-$G252,"")</f>
        <v/>
      </c>
      <c r="R252" s="53" t="str">
        <f aca="false">IF(AND($G252&lt;&gt;"",$I252&lt;&gt;""),$I252-$G252,"")</f>
        <v/>
      </c>
      <c r="S252" s="53" t="str">
        <f aca="false">IF(AND($H252&lt;&gt;"",$I252&lt;&gt;""),$I252-$H252,"")</f>
        <v/>
      </c>
      <c r="T252" s="53" t="str">
        <f aca="false">IF($J252&lt;&gt;"",$J252,"")</f>
        <v/>
      </c>
      <c r="V252" s="52" t="str">
        <f aca="false">IF($A252&lt;&gt;"",$A252,"")</f>
        <v>Apprenant 240</v>
      </c>
      <c r="W252" s="53" t="str">
        <f aca="false">IF(AND(OR('Choix pédagogiques'!$C$3=1,'Choix pédagogiques'!$C$3=2),$BM252=1),B252,IF(AND('Choix pédagogiques'!$C$3=3,$BO252=1),B252,""))</f>
        <v/>
      </c>
      <c r="X252" s="53" t="str">
        <f aca="false">IF(AND(OR('Choix pédagogiques'!$C$3=1,'Choix pédagogiques'!$C$3=2),$BM252=1),C252,IF(AND('Choix pédagogiques'!$C$3=3,$BO252=1),C252,""))</f>
        <v/>
      </c>
      <c r="Y252" s="53" t="str">
        <f aca="false">IF(AND(OR('Choix pédagogiques'!$C$3=1,'Choix pédagogiques'!$C$3=2),$BM252=1),D252,IF(AND('Choix pédagogiques'!$C$3=3,$BO252=1),D252,""))</f>
        <v/>
      </c>
      <c r="Z252" s="53" t="str">
        <f aca="false">IF($E252&lt;&gt;"",$E252,"")</f>
        <v/>
      </c>
      <c r="AA252" s="52" t="str">
        <f aca="false">IF($F252&lt;&gt;"",$F252,"")</f>
        <v>Apprenant 240 ou 240'</v>
      </c>
      <c r="AB252" s="53" t="str">
        <f aca="false">IF(AND(OR('Choix pédagogiques'!$C$3=1,'Choix pédagogiques'!$C$3=2),$BN252=1),G252,IF(AND('Choix pédagogiques'!$C$3=3,$BO252=1),G252,""))</f>
        <v/>
      </c>
      <c r="AC252" s="53" t="str">
        <f aca="false">IF(AND(OR('Choix pédagogiques'!$C$3=1,'Choix pédagogiques'!$C$3=2),$BN252=1),H252,IF(AND('Choix pédagogiques'!$C$3=3,$BO252=1),H252,""))</f>
        <v/>
      </c>
      <c r="AD252" s="53" t="str">
        <f aca="false">IF(AND(OR('Choix pédagogiques'!$C$3=1,'Choix pédagogiques'!$C$3=2),$BN252=1),I252,IF(AND('Choix pédagogiques'!$C$3=3,$BO252=1),I252,""))</f>
        <v/>
      </c>
      <c r="AE252" s="53" t="str">
        <f aca="false">IF($J252&lt;&gt;"",$J252,"")</f>
        <v/>
      </c>
      <c r="AF252" s="52" t="str">
        <f aca="false">IF($A252&lt;&gt;"",$A252,"")</f>
        <v>Apprenant 240</v>
      </c>
      <c r="AG252" s="53" t="str">
        <f aca="false">IF(AND($W252&lt;&gt;"",$X252&lt;&gt;""),$X252-$W252,"")</f>
        <v/>
      </c>
      <c r="AH252" s="53" t="str">
        <f aca="false">IF(AND($W252&lt;&gt;"",$Y252&lt;&gt;""),$Y252-$W252,"")</f>
        <v/>
      </c>
      <c r="AI252" s="53" t="str">
        <f aca="false">IF(AND($X252&lt;&gt;"",$Y252&lt;&gt;""),$Y252-$X252,"")</f>
        <v/>
      </c>
      <c r="AJ252" s="53" t="str">
        <f aca="false">IF($E252&lt;&gt;"",$E252,"")</f>
        <v/>
      </c>
      <c r="AK252" s="52" t="str">
        <f aca="false">IF($F252&lt;&gt;"",$F252,"")</f>
        <v>Apprenant 240 ou 240'</v>
      </c>
      <c r="AL252" s="53" t="str">
        <f aca="false">IF(AND($AB252&lt;&gt;"",$AC252&lt;&gt;""),$AC252-$AB252,"")</f>
        <v/>
      </c>
      <c r="AM252" s="53" t="str">
        <f aca="false">IF(AND($AB252&lt;&gt;"",$AD252&lt;&gt;""),$AD252-$AB252,"")</f>
        <v/>
      </c>
      <c r="AN252" s="53" t="str">
        <f aca="false">IF(AND($AC252&lt;&gt;"",$AD252&lt;&gt;""),$AD252-$AC252,"")</f>
        <v/>
      </c>
      <c r="AO252" s="53" t="str">
        <f aca="false">IF($J252&lt;&gt;"",$J252,"")</f>
        <v/>
      </c>
      <c r="AQ252" s="52" t="str">
        <f aca="false">IF($A252&lt;&gt;"",$A252,"")</f>
        <v>Apprenant 240</v>
      </c>
      <c r="AR252" s="55" t="str">
        <f aca="false">IF(AND('Choix pédagogiques'!$C$4&lt;&gt;"?",'Choix pédagogiques'!$C$5&lt;&gt;"?",W252&lt;&gt;""),(W252-'Choix pédagogiques'!$C$4)/('Choix pédagogiques'!$C$5-'Choix pédagogiques'!$C$4),"")</f>
        <v/>
      </c>
      <c r="AS252" s="55" t="str">
        <f aca="false">IF(AND('Choix pédagogiques'!$C$4&lt;&gt;"?",'Choix pédagogiques'!$C$5&lt;&gt;"?",X252&lt;&gt;""),(X252-'Choix pédagogiques'!$C$4)/('Choix pédagogiques'!$C$5-'Choix pédagogiques'!$C$4),"")</f>
        <v/>
      </c>
      <c r="AT252" s="55" t="str">
        <f aca="false">IF(AND('Choix pédagogiques'!$C$4&lt;&gt;"?",'Choix pédagogiques'!$C$5&lt;&gt;"?",Y252&lt;&gt;""),(Y252-'Choix pédagogiques'!$C$4)/('Choix pédagogiques'!$C$5-'Choix pédagogiques'!$C$4),"")</f>
        <v/>
      </c>
      <c r="AU252" s="53" t="str">
        <f aca="false">IF($E252&lt;&gt;"",$E252,"")</f>
        <v/>
      </c>
      <c r="AV252" s="52" t="str">
        <f aca="false">IF($F252&lt;&gt;"",$F252,"")</f>
        <v>Apprenant 240 ou 240'</v>
      </c>
      <c r="AW252" s="55" t="str">
        <f aca="false">IF(AND('Choix pédagogiques'!$C$4&lt;&gt;"?",'Choix pédagogiques'!$C$5&lt;&gt;"?",AB252&lt;&gt;""),(AB252-'Choix pédagogiques'!$C$4)/('Choix pédagogiques'!$C$5-'Choix pédagogiques'!$C$4),"")</f>
        <v/>
      </c>
      <c r="AX252" s="55" t="str">
        <f aca="false">IF(AND('Choix pédagogiques'!$C$4&lt;&gt;"?",'Choix pédagogiques'!$C$5&lt;&gt;"?",AC252&lt;&gt;""),(AC252-'Choix pédagogiques'!$C$4)/('Choix pédagogiques'!$C$5-'Choix pédagogiques'!$C$4),"")</f>
        <v/>
      </c>
      <c r="AY252" s="55" t="str">
        <f aca="false">IF(AND('Choix pédagogiques'!$C$4&lt;&gt;"?",'Choix pédagogiques'!$C$5&lt;&gt;"?",AD252&lt;&gt;""),(AD252-'Choix pédagogiques'!$C$4)/('Choix pédagogiques'!$C$5-'Choix pédagogiques'!$C$4),"")</f>
        <v/>
      </c>
      <c r="AZ252" s="53" t="str">
        <f aca="false">IF($J252&lt;&gt;"",$J252,"")</f>
        <v/>
      </c>
      <c r="BA252" s="52" t="str">
        <f aca="false">IF($A252&lt;&gt;"",$A252,"")</f>
        <v>Apprenant 240</v>
      </c>
      <c r="BB252" s="55" t="str">
        <f aca="false">IF(AND($AR252&lt;&gt;"",$AS252&lt;&gt;""),$AS252-$AR252,"")</f>
        <v/>
      </c>
      <c r="BC252" s="55" t="str">
        <f aca="false">IF(AND($AR252&lt;&gt;"",$AT252&lt;&gt;""),$AT252-$AR252,"")</f>
        <v/>
      </c>
      <c r="BD252" s="55" t="str">
        <f aca="false">IF(AND($AS252&lt;&gt;"",$AT252&lt;&gt;""),$AT252-$AS252,"")</f>
        <v/>
      </c>
      <c r="BE252" s="53" t="str">
        <f aca="false">IF($E252&lt;&gt;"",$E252,"")</f>
        <v/>
      </c>
      <c r="BF252" s="52" t="str">
        <f aca="false">IF($F252&lt;&gt;"",$F252,"")</f>
        <v>Apprenant 240 ou 240'</v>
      </c>
      <c r="BG252" s="55" t="str">
        <f aca="false">IF(AND($AW252&lt;&gt;"",$AX252&lt;&gt;""),$AX252-$AW252,"")</f>
        <v/>
      </c>
      <c r="BH252" s="55" t="str">
        <f aca="false">IF(AND($AW252&lt;&gt;"",$AY252&lt;&gt;""),$AY252-$AW252,"")</f>
        <v/>
      </c>
      <c r="BI252" s="55" t="str">
        <f aca="false">IF(AND($AX252&lt;&gt;"",$AY252&lt;&gt;""),$AY252-$AX252,"")</f>
        <v/>
      </c>
      <c r="BJ252" s="53" t="str">
        <f aca="false">IF($J252&lt;&gt;"",$J252,"")</f>
        <v/>
      </c>
      <c r="BL252" s="52"/>
      <c r="BM252" s="52" t="str">
        <f aca="false">IF(OR(COUNT(B252:D1251)=0,AND('Choix pédagogiques'!$C$3&lt;&gt;1,'Choix pédagogiques'!$C$3&lt;&gt;2)),"",IF(AND(OR('Choix pédagogiques'!$C$3=1,'Choix pédagogiques'!$C$3=2),$B252&lt;&gt;"",$C252&lt;&gt;"",$D252&lt;&gt;""),1,0))</f>
        <v/>
      </c>
      <c r="BN252" s="52" t="str">
        <f aca="false">IF(OR(COUNT(G252:I1251)=0,AND('Choix pédagogiques'!$C$3&lt;&gt;1,'Choix pédagogiques'!$C$3&lt;&gt;2)),"",IF(AND(OR('Choix pédagogiques'!$C$3=1,'Choix pédagogiques'!$C$3=2),AND($G252&lt;&gt;"",$H252&lt;&gt;"",$I252&lt;&gt;"")),1,0))</f>
        <v/>
      </c>
      <c r="BO252" s="52" t="str">
        <f aca="false">IF(OR(COUNT(B252:D1251)=0,COUNT(G252:I1251)=0,'Choix pédagogiques'!C$3&lt;&gt;3),"",IF(AND('Choix pédagogiques'!$C$3=3,$B252&lt;&gt;"",$C252&lt;&gt;"",$D252&lt;&gt;"",$G252&lt;&gt;"",$H252&lt;&gt;"",$I252&lt;&gt;""),1,0))</f>
        <v/>
      </c>
      <c r="BR252" s="52" t="n">
        <v>671</v>
      </c>
      <c r="BS252" s="52" t="n">
        <v>1397</v>
      </c>
    </row>
    <row r="253" s="54" customFormat="true" ht="18" hidden="false" customHeight="true" outlineLevel="0" collapsed="false">
      <c r="A253" s="57" t="s">
        <v>437</v>
      </c>
      <c r="B253" s="51"/>
      <c r="C253" s="51"/>
      <c r="D253" s="51"/>
      <c r="E253" s="51"/>
      <c r="F253" s="57" t="s">
        <v>438</v>
      </c>
      <c r="G253" s="51"/>
      <c r="H253" s="51"/>
      <c r="I253" s="51"/>
      <c r="J253" s="51"/>
      <c r="K253" s="52" t="str">
        <f aca="false">IF($A253&lt;&gt;"",$A253,"")</f>
        <v>Apprenant 241</v>
      </c>
      <c r="L253" s="53" t="str">
        <f aca="false">IF(AND($B253&lt;&gt;"",$C253&lt;&gt;""),$C253-$B253,"")</f>
        <v/>
      </c>
      <c r="M253" s="53" t="str">
        <f aca="false">IF(AND($B253&lt;&gt;"",$D253&lt;&gt;""),$D253-$B253,"")</f>
        <v/>
      </c>
      <c r="N253" s="53" t="str">
        <f aca="false">IF(AND($C253&lt;&gt;"",$D253&lt;&gt;""),$D253-$C253,"")</f>
        <v/>
      </c>
      <c r="O253" s="53" t="str">
        <f aca="false">IF($E253&lt;&gt;"",$E253,"")</f>
        <v/>
      </c>
      <c r="P253" s="52" t="str">
        <f aca="false">IF($F253&lt;&gt;"",$F253,"")</f>
        <v>Apprenant 241 ou 241'</v>
      </c>
      <c r="Q253" s="53" t="str">
        <f aca="false">IF(AND($G253&lt;&gt;"",$H253&lt;&gt;""),$H253-$G253,"")</f>
        <v/>
      </c>
      <c r="R253" s="53" t="str">
        <f aca="false">IF(AND($G253&lt;&gt;"",$I253&lt;&gt;""),$I253-$G253,"")</f>
        <v/>
      </c>
      <c r="S253" s="53" t="str">
        <f aca="false">IF(AND($H253&lt;&gt;"",$I253&lt;&gt;""),$I253-$H253,"")</f>
        <v/>
      </c>
      <c r="T253" s="53" t="str">
        <f aca="false">IF($J253&lt;&gt;"",$J253,"")</f>
        <v/>
      </c>
      <c r="V253" s="52" t="str">
        <f aca="false">IF($A253&lt;&gt;"",$A253,"")</f>
        <v>Apprenant 241</v>
      </c>
      <c r="W253" s="53" t="str">
        <f aca="false">IF(AND(OR('Choix pédagogiques'!$C$3=1,'Choix pédagogiques'!$C$3=2),$BM253=1),B253,IF(AND('Choix pédagogiques'!$C$3=3,$BO253=1),B253,""))</f>
        <v/>
      </c>
      <c r="X253" s="53" t="str">
        <f aca="false">IF(AND(OR('Choix pédagogiques'!$C$3=1,'Choix pédagogiques'!$C$3=2),$BM253=1),C253,IF(AND('Choix pédagogiques'!$C$3=3,$BO253=1),C253,""))</f>
        <v/>
      </c>
      <c r="Y253" s="53" t="str">
        <f aca="false">IF(AND(OR('Choix pédagogiques'!$C$3=1,'Choix pédagogiques'!$C$3=2),$BM253=1),D253,IF(AND('Choix pédagogiques'!$C$3=3,$BO253=1),D253,""))</f>
        <v/>
      </c>
      <c r="Z253" s="53" t="str">
        <f aca="false">IF($E253&lt;&gt;"",$E253,"")</f>
        <v/>
      </c>
      <c r="AA253" s="52" t="str">
        <f aca="false">IF($F253&lt;&gt;"",$F253,"")</f>
        <v>Apprenant 241 ou 241'</v>
      </c>
      <c r="AB253" s="53" t="str">
        <f aca="false">IF(AND(OR('Choix pédagogiques'!$C$3=1,'Choix pédagogiques'!$C$3=2),$BN253=1),G253,IF(AND('Choix pédagogiques'!$C$3=3,$BO253=1),G253,""))</f>
        <v/>
      </c>
      <c r="AC253" s="53" t="str">
        <f aca="false">IF(AND(OR('Choix pédagogiques'!$C$3=1,'Choix pédagogiques'!$C$3=2),$BN253=1),H253,IF(AND('Choix pédagogiques'!$C$3=3,$BO253=1),H253,""))</f>
        <v/>
      </c>
      <c r="AD253" s="53" t="str">
        <f aca="false">IF(AND(OR('Choix pédagogiques'!$C$3=1,'Choix pédagogiques'!$C$3=2),$BN253=1),I253,IF(AND('Choix pédagogiques'!$C$3=3,$BO253=1),I253,""))</f>
        <v/>
      </c>
      <c r="AE253" s="53" t="str">
        <f aca="false">IF($J253&lt;&gt;"",$J253,"")</f>
        <v/>
      </c>
      <c r="AF253" s="52" t="str">
        <f aca="false">IF($A253&lt;&gt;"",$A253,"")</f>
        <v>Apprenant 241</v>
      </c>
      <c r="AG253" s="53" t="str">
        <f aca="false">IF(AND($W253&lt;&gt;"",$X253&lt;&gt;""),$X253-$W253,"")</f>
        <v/>
      </c>
      <c r="AH253" s="53" t="str">
        <f aca="false">IF(AND($W253&lt;&gt;"",$Y253&lt;&gt;""),$Y253-$W253,"")</f>
        <v/>
      </c>
      <c r="AI253" s="53" t="str">
        <f aca="false">IF(AND($X253&lt;&gt;"",$Y253&lt;&gt;""),$Y253-$X253,"")</f>
        <v/>
      </c>
      <c r="AJ253" s="53" t="str">
        <f aca="false">IF($E253&lt;&gt;"",$E253,"")</f>
        <v/>
      </c>
      <c r="AK253" s="52" t="str">
        <f aca="false">IF($F253&lt;&gt;"",$F253,"")</f>
        <v>Apprenant 241 ou 241'</v>
      </c>
      <c r="AL253" s="53" t="str">
        <f aca="false">IF(AND($AB253&lt;&gt;"",$AC253&lt;&gt;""),$AC253-$AB253,"")</f>
        <v/>
      </c>
      <c r="AM253" s="53" t="str">
        <f aca="false">IF(AND($AB253&lt;&gt;"",$AD253&lt;&gt;""),$AD253-$AB253,"")</f>
        <v/>
      </c>
      <c r="AN253" s="53" t="str">
        <f aca="false">IF(AND($AC253&lt;&gt;"",$AD253&lt;&gt;""),$AD253-$AC253,"")</f>
        <v/>
      </c>
      <c r="AO253" s="53" t="str">
        <f aca="false">IF($J253&lt;&gt;"",$J253,"")</f>
        <v/>
      </c>
      <c r="AQ253" s="52" t="str">
        <f aca="false">IF($A253&lt;&gt;"",$A253,"")</f>
        <v>Apprenant 241</v>
      </c>
      <c r="AR253" s="55" t="str">
        <f aca="false">IF(AND('Choix pédagogiques'!$C$4&lt;&gt;"?",'Choix pédagogiques'!$C$5&lt;&gt;"?",W253&lt;&gt;""),(W253-'Choix pédagogiques'!$C$4)/('Choix pédagogiques'!$C$5-'Choix pédagogiques'!$C$4),"")</f>
        <v/>
      </c>
      <c r="AS253" s="55" t="str">
        <f aca="false">IF(AND('Choix pédagogiques'!$C$4&lt;&gt;"?",'Choix pédagogiques'!$C$5&lt;&gt;"?",X253&lt;&gt;""),(X253-'Choix pédagogiques'!$C$4)/('Choix pédagogiques'!$C$5-'Choix pédagogiques'!$C$4),"")</f>
        <v/>
      </c>
      <c r="AT253" s="55" t="str">
        <f aca="false">IF(AND('Choix pédagogiques'!$C$4&lt;&gt;"?",'Choix pédagogiques'!$C$5&lt;&gt;"?",Y253&lt;&gt;""),(Y253-'Choix pédagogiques'!$C$4)/('Choix pédagogiques'!$C$5-'Choix pédagogiques'!$C$4),"")</f>
        <v/>
      </c>
      <c r="AU253" s="53" t="str">
        <f aca="false">IF($E253&lt;&gt;"",$E253,"")</f>
        <v/>
      </c>
      <c r="AV253" s="52" t="str">
        <f aca="false">IF($F253&lt;&gt;"",$F253,"")</f>
        <v>Apprenant 241 ou 241'</v>
      </c>
      <c r="AW253" s="55" t="str">
        <f aca="false">IF(AND('Choix pédagogiques'!$C$4&lt;&gt;"?",'Choix pédagogiques'!$C$5&lt;&gt;"?",AB253&lt;&gt;""),(AB253-'Choix pédagogiques'!$C$4)/('Choix pédagogiques'!$C$5-'Choix pédagogiques'!$C$4),"")</f>
        <v/>
      </c>
      <c r="AX253" s="55" t="str">
        <f aca="false">IF(AND('Choix pédagogiques'!$C$4&lt;&gt;"?",'Choix pédagogiques'!$C$5&lt;&gt;"?",AC253&lt;&gt;""),(AC253-'Choix pédagogiques'!$C$4)/('Choix pédagogiques'!$C$5-'Choix pédagogiques'!$C$4),"")</f>
        <v/>
      </c>
      <c r="AY253" s="55" t="str">
        <f aca="false">IF(AND('Choix pédagogiques'!$C$4&lt;&gt;"?",'Choix pédagogiques'!$C$5&lt;&gt;"?",AD253&lt;&gt;""),(AD253-'Choix pédagogiques'!$C$4)/('Choix pédagogiques'!$C$5-'Choix pédagogiques'!$C$4),"")</f>
        <v/>
      </c>
      <c r="AZ253" s="53" t="str">
        <f aca="false">IF($J253&lt;&gt;"",$J253,"")</f>
        <v/>
      </c>
      <c r="BA253" s="52" t="str">
        <f aca="false">IF($A253&lt;&gt;"",$A253,"")</f>
        <v>Apprenant 241</v>
      </c>
      <c r="BB253" s="55" t="str">
        <f aca="false">IF(AND($AR253&lt;&gt;"",$AS253&lt;&gt;""),$AS253-$AR253,"")</f>
        <v/>
      </c>
      <c r="BC253" s="55" t="str">
        <f aca="false">IF(AND($AR253&lt;&gt;"",$AT253&lt;&gt;""),$AT253-$AR253,"")</f>
        <v/>
      </c>
      <c r="BD253" s="55" t="str">
        <f aca="false">IF(AND($AS253&lt;&gt;"",$AT253&lt;&gt;""),$AT253-$AS253,"")</f>
        <v/>
      </c>
      <c r="BE253" s="53" t="str">
        <f aca="false">IF($E253&lt;&gt;"",$E253,"")</f>
        <v/>
      </c>
      <c r="BF253" s="52" t="str">
        <f aca="false">IF($F253&lt;&gt;"",$F253,"")</f>
        <v>Apprenant 241 ou 241'</v>
      </c>
      <c r="BG253" s="55" t="str">
        <f aca="false">IF(AND($AW253&lt;&gt;"",$AX253&lt;&gt;""),$AX253-$AW253,"")</f>
        <v/>
      </c>
      <c r="BH253" s="55" t="str">
        <f aca="false">IF(AND($AW253&lt;&gt;"",$AY253&lt;&gt;""),$AY253-$AW253,"")</f>
        <v/>
      </c>
      <c r="BI253" s="55" t="str">
        <f aca="false">IF(AND($AX253&lt;&gt;"",$AY253&lt;&gt;""),$AY253-$AX253,"")</f>
        <v/>
      </c>
      <c r="BJ253" s="53" t="str">
        <f aca="false">IF($J253&lt;&gt;"",$J253,"")</f>
        <v/>
      </c>
      <c r="BL253" s="52"/>
      <c r="BM253" s="52" t="str">
        <f aca="false">IF(OR(COUNT(B253:D1252)=0,AND('Choix pédagogiques'!$C$3&lt;&gt;1,'Choix pédagogiques'!$C$3&lt;&gt;2)),"",IF(AND(OR('Choix pédagogiques'!$C$3=1,'Choix pédagogiques'!$C$3=2),$B253&lt;&gt;"",$C253&lt;&gt;"",$D253&lt;&gt;""),1,0))</f>
        <v/>
      </c>
      <c r="BN253" s="52" t="str">
        <f aca="false">IF(OR(COUNT(G253:I1252)=0,AND('Choix pédagogiques'!$C$3&lt;&gt;1,'Choix pédagogiques'!$C$3&lt;&gt;2)),"",IF(AND(OR('Choix pédagogiques'!$C$3=1,'Choix pédagogiques'!$C$3=2),AND($G253&lt;&gt;"",$H253&lt;&gt;"",$I253&lt;&gt;"")),1,0))</f>
        <v/>
      </c>
      <c r="BO253" s="52" t="str">
        <f aca="false">IF(OR(COUNT(B253:D1252)=0,COUNT(G253:I1252)=0,'Choix pédagogiques'!C$3&lt;&gt;3),"",IF(AND('Choix pédagogiques'!$C$3=3,$B253&lt;&gt;"",$C253&lt;&gt;"",$D253&lt;&gt;"",$G253&lt;&gt;"",$H253&lt;&gt;"",$I253&lt;&gt;""),1,0))</f>
        <v/>
      </c>
      <c r="BR253" s="52" t="n">
        <v>716</v>
      </c>
      <c r="BS253" s="52" t="n">
        <v>1661</v>
      </c>
    </row>
    <row r="254" s="54" customFormat="true" ht="18" hidden="false" customHeight="true" outlineLevel="0" collapsed="false">
      <c r="A254" s="57" t="s">
        <v>439</v>
      </c>
      <c r="B254" s="51"/>
      <c r="C254" s="51"/>
      <c r="D254" s="51"/>
      <c r="E254" s="51"/>
      <c r="F254" s="57" t="s">
        <v>440</v>
      </c>
      <c r="G254" s="51"/>
      <c r="H254" s="51"/>
      <c r="I254" s="51"/>
      <c r="J254" s="51"/>
      <c r="K254" s="52" t="str">
        <f aca="false">IF($A254&lt;&gt;"",$A254,"")</f>
        <v>Apprenant 242</v>
      </c>
      <c r="L254" s="53" t="str">
        <f aca="false">IF(AND($B254&lt;&gt;"",$C254&lt;&gt;""),$C254-$B254,"")</f>
        <v/>
      </c>
      <c r="M254" s="53" t="str">
        <f aca="false">IF(AND($B254&lt;&gt;"",$D254&lt;&gt;""),$D254-$B254,"")</f>
        <v/>
      </c>
      <c r="N254" s="53" t="str">
        <f aca="false">IF(AND($C254&lt;&gt;"",$D254&lt;&gt;""),$D254-$C254,"")</f>
        <v/>
      </c>
      <c r="O254" s="53" t="str">
        <f aca="false">IF($E254&lt;&gt;"",$E254,"")</f>
        <v/>
      </c>
      <c r="P254" s="52" t="str">
        <f aca="false">IF($F254&lt;&gt;"",$F254,"")</f>
        <v>Apprenant 242 ou 242'</v>
      </c>
      <c r="Q254" s="53" t="str">
        <f aca="false">IF(AND($G254&lt;&gt;"",$H254&lt;&gt;""),$H254-$G254,"")</f>
        <v/>
      </c>
      <c r="R254" s="53" t="str">
        <f aca="false">IF(AND($G254&lt;&gt;"",$I254&lt;&gt;""),$I254-$G254,"")</f>
        <v/>
      </c>
      <c r="S254" s="53" t="str">
        <f aca="false">IF(AND($H254&lt;&gt;"",$I254&lt;&gt;""),$I254-$H254,"")</f>
        <v/>
      </c>
      <c r="T254" s="53" t="str">
        <f aca="false">IF($J254&lt;&gt;"",$J254,"")</f>
        <v/>
      </c>
      <c r="V254" s="52" t="str">
        <f aca="false">IF($A254&lt;&gt;"",$A254,"")</f>
        <v>Apprenant 242</v>
      </c>
      <c r="W254" s="53" t="str">
        <f aca="false">IF(AND(OR('Choix pédagogiques'!$C$3=1,'Choix pédagogiques'!$C$3=2),$BM254=1),B254,IF(AND('Choix pédagogiques'!$C$3=3,$BO254=1),B254,""))</f>
        <v/>
      </c>
      <c r="X254" s="53" t="str">
        <f aca="false">IF(AND(OR('Choix pédagogiques'!$C$3=1,'Choix pédagogiques'!$C$3=2),$BM254=1),C254,IF(AND('Choix pédagogiques'!$C$3=3,$BO254=1),C254,""))</f>
        <v/>
      </c>
      <c r="Y254" s="53" t="str">
        <f aca="false">IF(AND(OR('Choix pédagogiques'!$C$3=1,'Choix pédagogiques'!$C$3=2),$BM254=1),D254,IF(AND('Choix pédagogiques'!$C$3=3,$BO254=1),D254,""))</f>
        <v/>
      </c>
      <c r="Z254" s="53" t="str">
        <f aca="false">IF($E254&lt;&gt;"",$E254,"")</f>
        <v/>
      </c>
      <c r="AA254" s="52" t="str">
        <f aca="false">IF($F254&lt;&gt;"",$F254,"")</f>
        <v>Apprenant 242 ou 242'</v>
      </c>
      <c r="AB254" s="53" t="str">
        <f aca="false">IF(AND(OR('Choix pédagogiques'!$C$3=1,'Choix pédagogiques'!$C$3=2),$BN254=1),G254,IF(AND('Choix pédagogiques'!$C$3=3,$BO254=1),G254,""))</f>
        <v/>
      </c>
      <c r="AC254" s="53" t="str">
        <f aca="false">IF(AND(OR('Choix pédagogiques'!$C$3=1,'Choix pédagogiques'!$C$3=2),$BN254=1),H254,IF(AND('Choix pédagogiques'!$C$3=3,$BO254=1),H254,""))</f>
        <v/>
      </c>
      <c r="AD254" s="53" t="str">
        <f aca="false">IF(AND(OR('Choix pédagogiques'!$C$3=1,'Choix pédagogiques'!$C$3=2),$BN254=1),I254,IF(AND('Choix pédagogiques'!$C$3=3,$BO254=1),I254,""))</f>
        <v/>
      </c>
      <c r="AE254" s="53" t="str">
        <f aca="false">IF($J254&lt;&gt;"",$J254,"")</f>
        <v/>
      </c>
      <c r="AF254" s="52" t="str">
        <f aca="false">IF($A254&lt;&gt;"",$A254,"")</f>
        <v>Apprenant 242</v>
      </c>
      <c r="AG254" s="53" t="str">
        <f aca="false">IF(AND($W254&lt;&gt;"",$X254&lt;&gt;""),$X254-$W254,"")</f>
        <v/>
      </c>
      <c r="AH254" s="53" t="str">
        <f aca="false">IF(AND($W254&lt;&gt;"",$Y254&lt;&gt;""),$Y254-$W254,"")</f>
        <v/>
      </c>
      <c r="AI254" s="53" t="str">
        <f aca="false">IF(AND($X254&lt;&gt;"",$Y254&lt;&gt;""),$Y254-$X254,"")</f>
        <v/>
      </c>
      <c r="AJ254" s="53" t="str">
        <f aca="false">IF($E254&lt;&gt;"",$E254,"")</f>
        <v/>
      </c>
      <c r="AK254" s="52" t="str">
        <f aca="false">IF($F254&lt;&gt;"",$F254,"")</f>
        <v>Apprenant 242 ou 242'</v>
      </c>
      <c r="AL254" s="53" t="str">
        <f aca="false">IF(AND($AB254&lt;&gt;"",$AC254&lt;&gt;""),$AC254-$AB254,"")</f>
        <v/>
      </c>
      <c r="AM254" s="53" t="str">
        <f aca="false">IF(AND($AB254&lt;&gt;"",$AD254&lt;&gt;""),$AD254-$AB254,"")</f>
        <v/>
      </c>
      <c r="AN254" s="53" t="str">
        <f aca="false">IF(AND($AC254&lt;&gt;"",$AD254&lt;&gt;""),$AD254-$AC254,"")</f>
        <v/>
      </c>
      <c r="AO254" s="53" t="str">
        <f aca="false">IF($J254&lt;&gt;"",$J254,"")</f>
        <v/>
      </c>
      <c r="AQ254" s="52" t="str">
        <f aca="false">IF($A254&lt;&gt;"",$A254,"")</f>
        <v>Apprenant 242</v>
      </c>
      <c r="AR254" s="55" t="str">
        <f aca="false">IF(AND('Choix pédagogiques'!$C$4&lt;&gt;"?",'Choix pédagogiques'!$C$5&lt;&gt;"?",W254&lt;&gt;""),(W254-'Choix pédagogiques'!$C$4)/('Choix pédagogiques'!$C$5-'Choix pédagogiques'!$C$4),"")</f>
        <v/>
      </c>
      <c r="AS254" s="55" t="str">
        <f aca="false">IF(AND('Choix pédagogiques'!$C$4&lt;&gt;"?",'Choix pédagogiques'!$C$5&lt;&gt;"?",X254&lt;&gt;""),(X254-'Choix pédagogiques'!$C$4)/('Choix pédagogiques'!$C$5-'Choix pédagogiques'!$C$4),"")</f>
        <v/>
      </c>
      <c r="AT254" s="55" t="str">
        <f aca="false">IF(AND('Choix pédagogiques'!$C$4&lt;&gt;"?",'Choix pédagogiques'!$C$5&lt;&gt;"?",Y254&lt;&gt;""),(Y254-'Choix pédagogiques'!$C$4)/('Choix pédagogiques'!$C$5-'Choix pédagogiques'!$C$4),"")</f>
        <v/>
      </c>
      <c r="AU254" s="53" t="str">
        <f aca="false">IF($E254&lt;&gt;"",$E254,"")</f>
        <v/>
      </c>
      <c r="AV254" s="52" t="str">
        <f aca="false">IF($F254&lt;&gt;"",$F254,"")</f>
        <v>Apprenant 242 ou 242'</v>
      </c>
      <c r="AW254" s="55" t="str">
        <f aca="false">IF(AND('Choix pédagogiques'!$C$4&lt;&gt;"?",'Choix pédagogiques'!$C$5&lt;&gt;"?",AB254&lt;&gt;""),(AB254-'Choix pédagogiques'!$C$4)/('Choix pédagogiques'!$C$5-'Choix pédagogiques'!$C$4),"")</f>
        <v/>
      </c>
      <c r="AX254" s="55" t="str">
        <f aca="false">IF(AND('Choix pédagogiques'!$C$4&lt;&gt;"?",'Choix pédagogiques'!$C$5&lt;&gt;"?",AC254&lt;&gt;""),(AC254-'Choix pédagogiques'!$C$4)/('Choix pédagogiques'!$C$5-'Choix pédagogiques'!$C$4),"")</f>
        <v/>
      </c>
      <c r="AY254" s="55" t="str">
        <f aca="false">IF(AND('Choix pédagogiques'!$C$4&lt;&gt;"?",'Choix pédagogiques'!$C$5&lt;&gt;"?",AD254&lt;&gt;""),(AD254-'Choix pédagogiques'!$C$4)/('Choix pédagogiques'!$C$5-'Choix pédagogiques'!$C$4),"")</f>
        <v/>
      </c>
      <c r="AZ254" s="53" t="str">
        <f aca="false">IF($J254&lt;&gt;"",$J254,"")</f>
        <v/>
      </c>
      <c r="BA254" s="52" t="str">
        <f aca="false">IF($A254&lt;&gt;"",$A254,"")</f>
        <v>Apprenant 242</v>
      </c>
      <c r="BB254" s="55" t="str">
        <f aca="false">IF(AND($AR254&lt;&gt;"",$AS254&lt;&gt;""),$AS254-$AR254,"")</f>
        <v/>
      </c>
      <c r="BC254" s="55" t="str">
        <f aca="false">IF(AND($AR254&lt;&gt;"",$AT254&lt;&gt;""),$AT254-$AR254,"")</f>
        <v/>
      </c>
      <c r="BD254" s="55" t="str">
        <f aca="false">IF(AND($AS254&lt;&gt;"",$AT254&lt;&gt;""),$AT254-$AS254,"")</f>
        <v/>
      </c>
      <c r="BE254" s="53" t="str">
        <f aca="false">IF($E254&lt;&gt;"",$E254,"")</f>
        <v/>
      </c>
      <c r="BF254" s="52" t="str">
        <f aca="false">IF($F254&lt;&gt;"",$F254,"")</f>
        <v>Apprenant 242 ou 242'</v>
      </c>
      <c r="BG254" s="55" t="str">
        <f aca="false">IF(AND($AW254&lt;&gt;"",$AX254&lt;&gt;""),$AX254-$AW254,"")</f>
        <v/>
      </c>
      <c r="BH254" s="55" t="str">
        <f aca="false">IF(AND($AW254&lt;&gt;"",$AY254&lt;&gt;""),$AY254-$AW254,"")</f>
        <v/>
      </c>
      <c r="BI254" s="55" t="str">
        <f aca="false">IF(AND($AX254&lt;&gt;"",$AY254&lt;&gt;""),$AY254-$AX254,"")</f>
        <v/>
      </c>
      <c r="BJ254" s="53" t="str">
        <f aca="false">IF($J254&lt;&gt;"",$J254,"")</f>
        <v/>
      </c>
      <c r="BL254" s="52"/>
      <c r="BM254" s="52" t="str">
        <f aca="false">IF(OR(COUNT(B254:D1253)=0,AND('Choix pédagogiques'!$C$3&lt;&gt;1,'Choix pédagogiques'!$C$3&lt;&gt;2)),"",IF(AND(OR('Choix pédagogiques'!$C$3=1,'Choix pédagogiques'!$C$3=2),$B254&lt;&gt;"",$C254&lt;&gt;"",$D254&lt;&gt;""),1,0))</f>
        <v/>
      </c>
      <c r="BN254" s="52" t="str">
        <f aca="false">IF(OR(COUNT(G254:I1253)=0,AND('Choix pédagogiques'!$C$3&lt;&gt;1,'Choix pédagogiques'!$C$3&lt;&gt;2)),"",IF(AND(OR('Choix pédagogiques'!$C$3=1,'Choix pédagogiques'!$C$3=2),AND($G254&lt;&gt;"",$H254&lt;&gt;"",$I254&lt;&gt;"")),1,0))</f>
        <v/>
      </c>
      <c r="BO254" s="52" t="str">
        <f aca="false">IF(OR(COUNT(B254:D1253)=0,COUNT(G254:I1253)=0,'Choix pédagogiques'!C$3&lt;&gt;3),"",IF(AND('Choix pédagogiques'!$C$3=3,$B254&lt;&gt;"",$C254&lt;&gt;"",$D254&lt;&gt;"",$G254&lt;&gt;"",$H254&lt;&gt;"",$I254&lt;&gt;""),1,0))</f>
        <v/>
      </c>
      <c r="BR254" s="52" t="n">
        <v>655</v>
      </c>
      <c r="BS254" s="52" t="n">
        <v>1083</v>
      </c>
    </row>
    <row r="255" s="54" customFormat="true" ht="18" hidden="false" customHeight="true" outlineLevel="0" collapsed="false">
      <c r="A255" s="57" t="s">
        <v>441</v>
      </c>
      <c r="B255" s="51"/>
      <c r="C255" s="51"/>
      <c r="D255" s="51"/>
      <c r="E255" s="51"/>
      <c r="F255" s="57" t="s">
        <v>442</v>
      </c>
      <c r="G255" s="51"/>
      <c r="H255" s="51"/>
      <c r="I255" s="51"/>
      <c r="J255" s="51"/>
      <c r="K255" s="52" t="str">
        <f aca="false">IF($A255&lt;&gt;"",$A255,"")</f>
        <v>Apprenant 243</v>
      </c>
      <c r="L255" s="53" t="str">
        <f aca="false">IF(AND($B255&lt;&gt;"",$C255&lt;&gt;""),$C255-$B255,"")</f>
        <v/>
      </c>
      <c r="M255" s="53" t="str">
        <f aca="false">IF(AND($B255&lt;&gt;"",$D255&lt;&gt;""),$D255-$B255,"")</f>
        <v/>
      </c>
      <c r="N255" s="53" t="str">
        <f aca="false">IF(AND($C255&lt;&gt;"",$D255&lt;&gt;""),$D255-$C255,"")</f>
        <v/>
      </c>
      <c r="O255" s="53" t="str">
        <f aca="false">IF($E255&lt;&gt;"",$E255,"")</f>
        <v/>
      </c>
      <c r="P255" s="52" t="str">
        <f aca="false">IF($F255&lt;&gt;"",$F255,"")</f>
        <v>Apprenant 243 ou 243'</v>
      </c>
      <c r="Q255" s="53" t="str">
        <f aca="false">IF(AND($G255&lt;&gt;"",$H255&lt;&gt;""),$H255-$G255,"")</f>
        <v/>
      </c>
      <c r="R255" s="53" t="str">
        <f aca="false">IF(AND($G255&lt;&gt;"",$I255&lt;&gt;""),$I255-$G255,"")</f>
        <v/>
      </c>
      <c r="S255" s="53" t="str">
        <f aca="false">IF(AND($H255&lt;&gt;"",$I255&lt;&gt;""),$I255-$H255,"")</f>
        <v/>
      </c>
      <c r="T255" s="53" t="str">
        <f aca="false">IF($J255&lt;&gt;"",$J255,"")</f>
        <v/>
      </c>
      <c r="V255" s="52" t="str">
        <f aca="false">IF($A255&lt;&gt;"",$A255,"")</f>
        <v>Apprenant 243</v>
      </c>
      <c r="W255" s="53" t="str">
        <f aca="false">IF(AND(OR('Choix pédagogiques'!$C$3=1,'Choix pédagogiques'!$C$3=2),$BM255=1),B255,IF(AND('Choix pédagogiques'!$C$3=3,$BO255=1),B255,""))</f>
        <v/>
      </c>
      <c r="X255" s="53" t="str">
        <f aca="false">IF(AND(OR('Choix pédagogiques'!$C$3=1,'Choix pédagogiques'!$C$3=2),$BM255=1),C255,IF(AND('Choix pédagogiques'!$C$3=3,$BO255=1),C255,""))</f>
        <v/>
      </c>
      <c r="Y255" s="53" t="str">
        <f aca="false">IF(AND(OR('Choix pédagogiques'!$C$3=1,'Choix pédagogiques'!$C$3=2),$BM255=1),D255,IF(AND('Choix pédagogiques'!$C$3=3,$BO255=1),D255,""))</f>
        <v/>
      </c>
      <c r="Z255" s="53" t="str">
        <f aca="false">IF($E255&lt;&gt;"",$E255,"")</f>
        <v/>
      </c>
      <c r="AA255" s="52" t="str">
        <f aca="false">IF($F255&lt;&gt;"",$F255,"")</f>
        <v>Apprenant 243 ou 243'</v>
      </c>
      <c r="AB255" s="53" t="str">
        <f aca="false">IF(AND(OR('Choix pédagogiques'!$C$3=1,'Choix pédagogiques'!$C$3=2),$BN255=1),G255,IF(AND('Choix pédagogiques'!$C$3=3,$BO255=1),G255,""))</f>
        <v/>
      </c>
      <c r="AC255" s="53" t="str">
        <f aca="false">IF(AND(OR('Choix pédagogiques'!$C$3=1,'Choix pédagogiques'!$C$3=2),$BN255=1),H255,IF(AND('Choix pédagogiques'!$C$3=3,$BO255=1),H255,""))</f>
        <v/>
      </c>
      <c r="AD255" s="53" t="str">
        <f aca="false">IF(AND(OR('Choix pédagogiques'!$C$3=1,'Choix pédagogiques'!$C$3=2),$BN255=1),I255,IF(AND('Choix pédagogiques'!$C$3=3,$BO255=1),I255,""))</f>
        <v/>
      </c>
      <c r="AE255" s="53" t="str">
        <f aca="false">IF($J255&lt;&gt;"",$J255,"")</f>
        <v/>
      </c>
      <c r="AF255" s="52" t="str">
        <f aca="false">IF($A255&lt;&gt;"",$A255,"")</f>
        <v>Apprenant 243</v>
      </c>
      <c r="AG255" s="53" t="str">
        <f aca="false">IF(AND($W255&lt;&gt;"",$X255&lt;&gt;""),$X255-$W255,"")</f>
        <v/>
      </c>
      <c r="AH255" s="53" t="str">
        <f aca="false">IF(AND($W255&lt;&gt;"",$Y255&lt;&gt;""),$Y255-$W255,"")</f>
        <v/>
      </c>
      <c r="AI255" s="53" t="str">
        <f aca="false">IF(AND($X255&lt;&gt;"",$Y255&lt;&gt;""),$Y255-$X255,"")</f>
        <v/>
      </c>
      <c r="AJ255" s="53" t="str">
        <f aca="false">IF($E255&lt;&gt;"",$E255,"")</f>
        <v/>
      </c>
      <c r="AK255" s="52" t="str">
        <f aca="false">IF($F255&lt;&gt;"",$F255,"")</f>
        <v>Apprenant 243 ou 243'</v>
      </c>
      <c r="AL255" s="53" t="str">
        <f aca="false">IF(AND($AB255&lt;&gt;"",$AC255&lt;&gt;""),$AC255-$AB255,"")</f>
        <v/>
      </c>
      <c r="AM255" s="53" t="str">
        <f aca="false">IF(AND($AB255&lt;&gt;"",$AD255&lt;&gt;""),$AD255-$AB255,"")</f>
        <v/>
      </c>
      <c r="AN255" s="53" t="str">
        <f aca="false">IF(AND($AC255&lt;&gt;"",$AD255&lt;&gt;""),$AD255-$AC255,"")</f>
        <v/>
      </c>
      <c r="AO255" s="53" t="str">
        <f aca="false">IF($J255&lt;&gt;"",$J255,"")</f>
        <v/>
      </c>
      <c r="AQ255" s="52" t="str">
        <f aca="false">IF($A255&lt;&gt;"",$A255,"")</f>
        <v>Apprenant 243</v>
      </c>
      <c r="AR255" s="55" t="str">
        <f aca="false">IF(AND('Choix pédagogiques'!$C$4&lt;&gt;"?",'Choix pédagogiques'!$C$5&lt;&gt;"?",W255&lt;&gt;""),(W255-'Choix pédagogiques'!$C$4)/('Choix pédagogiques'!$C$5-'Choix pédagogiques'!$C$4),"")</f>
        <v/>
      </c>
      <c r="AS255" s="55" t="str">
        <f aca="false">IF(AND('Choix pédagogiques'!$C$4&lt;&gt;"?",'Choix pédagogiques'!$C$5&lt;&gt;"?",X255&lt;&gt;""),(X255-'Choix pédagogiques'!$C$4)/('Choix pédagogiques'!$C$5-'Choix pédagogiques'!$C$4),"")</f>
        <v/>
      </c>
      <c r="AT255" s="55" t="str">
        <f aca="false">IF(AND('Choix pédagogiques'!$C$4&lt;&gt;"?",'Choix pédagogiques'!$C$5&lt;&gt;"?",Y255&lt;&gt;""),(Y255-'Choix pédagogiques'!$C$4)/('Choix pédagogiques'!$C$5-'Choix pédagogiques'!$C$4),"")</f>
        <v/>
      </c>
      <c r="AU255" s="53" t="str">
        <f aca="false">IF($E255&lt;&gt;"",$E255,"")</f>
        <v/>
      </c>
      <c r="AV255" s="52" t="str">
        <f aca="false">IF($F255&lt;&gt;"",$F255,"")</f>
        <v>Apprenant 243 ou 243'</v>
      </c>
      <c r="AW255" s="55" t="str">
        <f aca="false">IF(AND('Choix pédagogiques'!$C$4&lt;&gt;"?",'Choix pédagogiques'!$C$5&lt;&gt;"?",AB255&lt;&gt;""),(AB255-'Choix pédagogiques'!$C$4)/('Choix pédagogiques'!$C$5-'Choix pédagogiques'!$C$4),"")</f>
        <v/>
      </c>
      <c r="AX255" s="55" t="str">
        <f aca="false">IF(AND('Choix pédagogiques'!$C$4&lt;&gt;"?",'Choix pédagogiques'!$C$5&lt;&gt;"?",AC255&lt;&gt;""),(AC255-'Choix pédagogiques'!$C$4)/('Choix pédagogiques'!$C$5-'Choix pédagogiques'!$C$4),"")</f>
        <v/>
      </c>
      <c r="AY255" s="55" t="str">
        <f aca="false">IF(AND('Choix pédagogiques'!$C$4&lt;&gt;"?",'Choix pédagogiques'!$C$5&lt;&gt;"?",AD255&lt;&gt;""),(AD255-'Choix pédagogiques'!$C$4)/('Choix pédagogiques'!$C$5-'Choix pédagogiques'!$C$4),"")</f>
        <v/>
      </c>
      <c r="AZ255" s="53" t="str">
        <f aca="false">IF($J255&lt;&gt;"",$J255,"")</f>
        <v/>
      </c>
      <c r="BA255" s="52" t="str">
        <f aca="false">IF($A255&lt;&gt;"",$A255,"")</f>
        <v>Apprenant 243</v>
      </c>
      <c r="BB255" s="55" t="str">
        <f aca="false">IF(AND($AR255&lt;&gt;"",$AS255&lt;&gt;""),$AS255-$AR255,"")</f>
        <v/>
      </c>
      <c r="BC255" s="55" t="str">
        <f aca="false">IF(AND($AR255&lt;&gt;"",$AT255&lt;&gt;""),$AT255-$AR255,"")</f>
        <v/>
      </c>
      <c r="BD255" s="55" t="str">
        <f aca="false">IF(AND($AS255&lt;&gt;"",$AT255&lt;&gt;""),$AT255-$AS255,"")</f>
        <v/>
      </c>
      <c r="BE255" s="53" t="str">
        <f aca="false">IF($E255&lt;&gt;"",$E255,"")</f>
        <v/>
      </c>
      <c r="BF255" s="52" t="str">
        <f aca="false">IF($F255&lt;&gt;"",$F255,"")</f>
        <v>Apprenant 243 ou 243'</v>
      </c>
      <c r="BG255" s="55" t="str">
        <f aca="false">IF(AND($AW255&lt;&gt;"",$AX255&lt;&gt;""),$AX255-$AW255,"")</f>
        <v/>
      </c>
      <c r="BH255" s="55" t="str">
        <f aca="false">IF(AND($AW255&lt;&gt;"",$AY255&lt;&gt;""),$AY255-$AW255,"")</f>
        <v/>
      </c>
      <c r="BI255" s="55" t="str">
        <f aca="false">IF(AND($AX255&lt;&gt;"",$AY255&lt;&gt;""),$AY255-$AX255,"")</f>
        <v/>
      </c>
      <c r="BJ255" s="53" t="str">
        <f aca="false">IF($J255&lt;&gt;"",$J255,"")</f>
        <v/>
      </c>
      <c r="BL255" s="52"/>
      <c r="BM255" s="52" t="str">
        <f aca="false">IF(OR(COUNT(B255:D1254)=0,AND('Choix pédagogiques'!$C$3&lt;&gt;1,'Choix pédagogiques'!$C$3&lt;&gt;2)),"",IF(AND(OR('Choix pédagogiques'!$C$3=1,'Choix pédagogiques'!$C$3=2),$B255&lt;&gt;"",$C255&lt;&gt;"",$D255&lt;&gt;""),1,0))</f>
        <v/>
      </c>
      <c r="BN255" s="52" t="str">
        <f aca="false">IF(OR(COUNT(G255:I1254)=0,AND('Choix pédagogiques'!$C$3&lt;&gt;1,'Choix pédagogiques'!$C$3&lt;&gt;2)),"",IF(AND(OR('Choix pédagogiques'!$C$3=1,'Choix pédagogiques'!$C$3=2),AND($G255&lt;&gt;"",$H255&lt;&gt;"",$I255&lt;&gt;"")),1,0))</f>
        <v/>
      </c>
      <c r="BO255" s="52" t="str">
        <f aca="false">IF(OR(COUNT(B255:D1254)=0,COUNT(G255:I1254)=0,'Choix pédagogiques'!C$3&lt;&gt;3),"",IF(AND('Choix pédagogiques'!$C$3=3,$B255&lt;&gt;"",$C255&lt;&gt;"",$D255&lt;&gt;"",$G255&lt;&gt;"",$H255&lt;&gt;"",$I255&lt;&gt;""),1,0))</f>
        <v/>
      </c>
      <c r="BR255" s="52" t="n">
        <v>521</v>
      </c>
      <c r="BS255" s="52" t="n">
        <v>1303</v>
      </c>
    </row>
    <row r="256" s="54" customFormat="true" ht="18" hidden="false" customHeight="true" outlineLevel="0" collapsed="false">
      <c r="A256" s="57" t="s">
        <v>443</v>
      </c>
      <c r="B256" s="51"/>
      <c r="C256" s="51"/>
      <c r="D256" s="51"/>
      <c r="E256" s="51"/>
      <c r="F256" s="57" t="s">
        <v>444</v>
      </c>
      <c r="G256" s="51"/>
      <c r="H256" s="51"/>
      <c r="I256" s="51"/>
      <c r="J256" s="51"/>
      <c r="K256" s="52" t="str">
        <f aca="false">IF($A256&lt;&gt;"",$A256,"")</f>
        <v>Apprenant 244</v>
      </c>
      <c r="L256" s="53" t="str">
        <f aca="false">IF(AND($B256&lt;&gt;"",$C256&lt;&gt;""),$C256-$B256,"")</f>
        <v/>
      </c>
      <c r="M256" s="53" t="str">
        <f aca="false">IF(AND($B256&lt;&gt;"",$D256&lt;&gt;""),$D256-$B256,"")</f>
        <v/>
      </c>
      <c r="N256" s="53" t="str">
        <f aca="false">IF(AND($C256&lt;&gt;"",$D256&lt;&gt;""),$D256-$C256,"")</f>
        <v/>
      </c>
      <c r="O256" s="53" t="str">
        <f aca="false">IF($E256&lt;&gt;"",$E256,"")</f>
        <v/>
      </c>
      <c r="P256" s="52" t="str">
        <f aca="false">IF($F256&lt;&gt;"",$F256,"")</f>
        <v>Apprenant 244 ou 244'</v>
      </c>
      <c r="Q256" s="53" t="str">
        <f aca="false">IF(AND($G256&lt;&gt;"",$H256&lt;&gt;""),$H256-$G256,"")</f>
        <v/>
      </c>
      <c r="R256" s="53" t="str">
        <f aca="false">IF(AND($G256&lt;&gt;"",$I256&lt;&gt;""),$I256-$G256,"")</f>
        <v/>
      </c>
      <c r="S256" s="53" t="str">
        <f aca="false">IF(AND($H256&lt;&gt;"",$I256&lt;&gt;""),$I256-$H256,"")</f>
        <v/>
      </c>
      <c r="T256" s="53" t="str">
        <f aca="false">IF($J256&lt;&gt;"",$J256,"")</f>
        <v/>
      </c>
      <c r="V256" s="52" t="str">
        <f aca="false">IF($A256&lt;&gt;"",$A256,"")</f>
        <v>Apprenant 244</v>
      </c>
      <c r="W256" s="53" t="str">
        <f aca="false">IF(AND(OR('Choix pédagogiques'!$C$3=1,'Choix pédagogiques'!$C$3=2),$BM256=1),B256,IF(AND('Choix pédagogiques'!$C$3=3,$BO256=1),B256,""))</f>
        <v/>
      </c>
      <c r="X256" s="53" t="str">
        <f aca="false">IF(AND(OR('Choix pédagogiques'!$C$3=1,'Choix pédagogiques'!$C$3=2),$BM256=1),C256,IF(AND('Choix pédagogiques'!$C$3=3,$BO256=1),C256,""))</f>
        <v/>
      </c>
      <c r="Y256" s="53" t="str">
        <f aca="false">IF(AND(OR('Choix pédagogiques'!$C$3=1,'Choix pédagogiques'!$C$3=2),$BM256=1),D256,IF(AND('Choix pédagogiques'!$C$3=3,$BO256=1),D256,""))</f>
        <v/>
      </c>
      <c r="Z256" s="53" t="str">
        <f aca="false">IF($E256&lt;&gt;"",$E256,"")</f>
        <v/>
      </c>
      <c r="AA256" s="52" t="str">
        <f aca="false">IF($F256&lt;&gt;"",$F256,"")</f>
        <v>Apprenant 244 ou 244'</v>
      </c>
      <c r="AB256" s="53" t="str">
        <f aca="false">IF(AND(OR('Choix pédagogiques'!$C$3=1,'Choix pédagogiques'!$C$3=2),$BN256=1),G256,IF(AND('Choix pédagogiques'!$C$3=3,$BO256=1),G256,""))</f>
        <v/>
      </c>
      <c r="AC256" s="53" t="str">
        <f aca="false">IF(AND(OR('Choix pédagogiques'!$C$3=1,'Choix pédagogiques'!$C$3=2),$BN256=1),H256,IF(AND('Choix pédagogiques'!$C$3=3,$BO256=1),H256,""))</f>
        <v/>
      </c>
      <c r="AD256" s="53" t="str">
        <f aca="false">IF(AND(OR('Choix pédagogiques'!$C$3=1,'Choix pédagogiques'!$C$3=2),$BN256=1),I256,IF(AND('Choix pédagogiques'!$C$3=3,$BO256=1),I256,""))</f>
        <v/>
      </c>
      <c r="AE256" s="53" t="str">
        <f aca="false">IF($J256&lt;&gt;"",$J256,"")</f>
        <v/>
      </c>
      <c r="AF256" s="52" t="str">
        <f aca="false">IF($A256&lt;&gt;"",$A256,"")</f>
        <v>Apprenant 244</v>
      </c>
      <c r="AG256" s="53" t="str">
        <f aca="false">IF(AND($W256&lt;&gt;"",$X256&lt;&gt;""),$X256-$W256,"")</f>
        <v/>
      </c>
      <c r="AH256" s="53" t="str">
        <f aca="false">IF(AND($W256&lt;&gt;"",$Y256&lt;&gt;""),$Y256-$W256,"")</f>
        <v/>
      </c>
      <c r="AI256" s="53" t="str">
        <f aca="false">IF(AND($X256&lt;&gt;"",$Y256&lt;&gt;""),$Y256-$X256,"")</f>
        <v/>
      </c>
      <c r="AJ256" s="53" t="str">
        <f aca="false">IF($E256&lt;&gt;"",$E256,"")</f>
        <v/>
      </c>
      <c r="AK256" s="52" t="str">
        <f aca="false">IF($F256&lt;&gt;"",$F256,"")</f>
        <v>Apprenant 244 ou 244'</v>
      </c>
      <c r="AL256" s="53" t="str">
        <f aca="false">IF(AND($AB256&lt;&gt;"",$AC256&lt;&gt;""),$AC256-$AB256,"")</f>
        <v/>
      </c>
      <c r="AM256" s="53" t="str">
        <f aca="false">IF(AND($AB256&lt;&gt;"",$AD256&lt;&gt;""),$AD256-$AB256,"")</f>
        <v/>
      </c>
      <c r="AN256" s="53" t="str">
        <f aca="false">IF(AND($AC256&lt;&gt;"",$AD256&lt;&gt;""),$AD256-$AC256,"")</f>
        <v/>
      </c>
      <c r="AO256" s="53" t="str">
        <f aca="false">IF($J256&lt;&gt;"",$J256,"")</f>
        <v/>
      </c>
      <c r="AQ256" s="52" t="str">
        <f aca="false">IF($A256&lt;&gt;"",$A256,"")</f>
        <v>Apprenant 244</v>
      </c>
      <c r="AR256" s="55" t="str">
        <f aca="false">IF(AND('Choix pédagogiques'!$C$4&lt;&gt;"?",'Choix pédagogiques'!$C$5&lt;&gt;"?",W256&lt;&gt;""),(W256-'Choix pédagogiques'!$C$4)/('Choix pédagogiques'!$C$5-'Choix pédagogiques'!$C$4),"")</f>
        <v/>
      </c>
      <c r="AS256" s="55" t="str">
        <f aca="false">IF(AND('Choix pédagogiques'!$C$4&lt;&gt;"?",'Choix pédagogiques'!$C$5&lt;&gt;"?",X256&lt;&gt;""),(X256-'Choix pédagogiques'!$C$4)/('Choix pédagogiques'!$C$5-'Choix pédagogiques'!$C$4),"")</f>
        <v/>
      </c>
      <c r="AT256" s="55" t="str">
        <f aca="false">IF(AND('Choix pédagogiques'!$C$4&lt;&gt;"?",'Choix pédagogiques'!$C$5&lt;&gt;"?",Y256&lt;&gt;""),(Y256-'Choix pédagogiques'!$C$4)/('Choix pédagogiques'!$C$5-'Choix pédagogiques'!$C$4),"")</f>
        <v/>
      </c>
      <c r="AU256" s="53" t="str">
        <f aca="false">IF($E256&lt;&gt;"",$E256,"")</f>
        <v/>
      </c>
      <c r="AV256" s="52" t="str">
        <f aca="false">IF($F256&lt;&gt;"",$F256,"")</f>
        <v>Apprenant 244 ou 244'</v>
      </c>
      <c r="AW256" s="55" t="str">
        <f aca="false">IF(AND('Choix pédagogiques'!$C$4&lt;&gt;"?",'Choix pédagogiques'!$C$5&lt;&gt;"?",AB256&lt;&gt;""),(AB256-'Choix pédagogiques'!$C$4)/('Choix pédagogiques'!$C$5-'Choix pédagogiques'!$C$4),"")</f>
        <v/>
      </c>
      <c r="AX256" s="55" t="str">
        <f aca="false">IF(AND('Choix pédagogiques'!$C$4&lt;&gt;"?",'Choix pédagogiques'!$C$5&lt;&gt;"?",AC256&lt;&gt;""),(AC256-'Choix pédagogiques'!$C$4)/('Choix pédagogiques'!$C$5-'Choix pédagogiques'!$C$4),"")</f>
        <v/>
      </c>
      <c r="AY256" s="55" t="str">
        <f aca="false">IF(AND('Choix pédagogiques'!$C$4&lt;&gt;"?",'Choix pédagogiques'!$C$5&lt;&gt;"?",AD256&lt;&gt;""),(AD256-'Choix pédagogiques'!$C$4)/('Choix pédagogiques'!$C$5-'Choix pédagogiques'!$C$4),"")</f>
        <v/>
      </c>
      <c r="AZ256" s="53" t="str">
        <f aca="false">IF($J256&lt;&gt;"",$J256,"")</f>
        <v/>
      </c>
      <c r="BA256" s="52" t="str">
        <f aca="false">IF($A256&lt;&gt;"",$A256,"")</f>
        <v>Apprenant 244</v>
      </c>
      <c r="BB256" s="55" t="str">
        <f aca="false">IF(AND($AR256&lt;&gt;"",$AS256&lt;&gt;""),$AS256-$AR256,"")</f>
        <v/>
      </c>
      <c r="BC256" s="55" t="str">
        <f aca="false">IF(AND($AR256&lt;&gt;"",$AT256&lt;&gt;""),$AT256-$AR256,"")</f>
        <v/>
      </c>
      <c r="BD256" s="55" t="str">
        <f aca="false">IF(AND($AS256&lt;&gt;"",$AT256&lt;&gt;""),$AT256-$AS256,"")</f>
        <v/>
      </c>
      <c r="BE256" s="53" t="str">
        <f aca="false">IF($E256&lt;&gt;"",$E256,"")</f>
        <v/>
      </c>
      <c r="BF256" s="52" t="str">
        <f aca="false">IF($F256&lt;&gt;"",$F256,"")</f>
        <v>Apprenant 244 ou 244'</v>
      </c>
      <c r="BG256" s="55" t="str">
        <f aca="false">IF(AND($AW256&lt;&gt;"",$AX256&lt;&gt;""),$AX256-$AW256,"")</f>
        <v/>
      </c>
      <c r="BH256" s="55" t="str">
        <f aca="false">IF(AND($AW256&lt;&gt;"",$AY256&lt;&gt;""),$AY256-$AW256,"")</f>
        <v/>
      </c>
      <c r="BI256" s="55" t="str">
        <f aca="false">IF(AND($AX256&lt;&gt;"",$AY256&lt;&gt;""),$AY256-$AX256,"")</f>
        <v/>
      </c>
      <c r="BJ256" s="53" t="str">
        <f aca="false">IF($J256&lt;&gt;"",$J256,"")</f>
        <v/>
      </c>
      <c r="BL256" s="52"/>
      <c r="BM256" s="52" t="str">
        <f aca="false">IF(OR(COUNT(B256:D1255)=0,AND('Choix pédagogiques'!$C$3&lt;&gt;1,'Choix pédagogiques'!$C$3&lt;&gt;2)),"",IF(AND(OR('Choix pédagogiques'!$C$3=1,'Choix pédagogiques'!$C$3=2),$B256&lt;&gt;"",$C256&lt;&gt;"",$D256&lt;&gt;""),1,0))</f>
        <v/>
      </c>
      <c r="BN256" s="52" t="str">
        <f aca="false">IF(OR(COUNT(G256:I1255)=0,AND('Choix pédagogiques'!$C$3&lt;&gt;1,'Choix pédagogiques'!$C$3&lt;&gt;2)),"",IF(AND(OR('Choix pédagogiques'!$C$3=1,'Choix pédagogiques'!$C$3=2),AND($G256&lt;&gt;"",$H256&lt;&gt;"",$I256&lt;&gt;"")),1,0))</f>
        <v/>
      </c>
      <c r="BO256" s="52" t="str">
        <f aca="false">IF(OR(COUNT(B256:D1255)=0,COUNT(G256:I1255)=0,'Choix pédagogiques'!C$3&lt;&gt;3),"",IF(AND('Choix pédagogiques'!$C$3=3,$B256&lt;&gt;"",$C256&lt;&gt;"",$D256&lt;&gt;"",$G256&lt;&gt;"",$H256&lt;&gt;"",$I256&lt;&gt;""),1,0))</f>
        <v/>
      </c>
      <c r="BR256" s="52" t="n">
        <v>469</v>
      </c>
      <c r="BS256" s="52" t="n">
        <v>1735</v>
      </c>
    </row>
    <row r="257" s="54" customFormat="true" ht="18" hidden="false" customHeight="true" outlineLevel="0" collapsed="false">
      <c r="A257" s="57" t="s">
        <v>445</v>
      </c>
      <c r="B257" s="51"/>
      <c r="C257" s="51"/>
      <c r="D257" s="51"/>
      <c r="E257" s="51"/>
      <c r="F257" s="57" t="s">
        <v>446</v>
      </c>
      <c r="G257" s="51"/>
      <c r="H257" s="51"/>
      <c r="I257" s="51"/>
      <c r="J257" s="51"/>
      <c r="K257" s="52" t="str">
        <f aca="false">IF($A257&lt;&gt;"",$A257,"")</f>
        <v>Apprenant 245</v>
      </c>
      <c r="L257" s="53" t="str">
        <f aca="false">IF(AND($B257&lt;&gt;"",$C257&lt;&gt;""),$C257-$B257,"")</f>
        <v/>
      </c>
      <c r="M257" s="53" t="str">
        <f aca="false">IF(AND($B257&lt;&gt;"",$D257&lt;&gt;""),$D257-$B257,"")</f>
        <v/>
      </c>
      <c r="N257" s="53" t="str">
        <f aca="false">IF(AND($C257&lt;&gt;"",$D257&lt;&gt;""),$D257-$C257,"")</f>
        <v/>
      </c>
      <c r="O257" s="53" t="str">
        <f aca="false">IF($E257&lt;&gt;"",$E257,"")</f>
        <v/>
      </c>
      <c r="P257" s="52" t="str">
        <f aca="false">IF($F257&lt;&gt;"",$F257,"")</f>
        <v>Apprenant 245 ou 245'</v>
      </c>
      <c r="Q257" s="53" t="str">
        <f aca="false">IF(AND($G257&lt;&gt;"",$H257&lt;&gt;""),$H257-$G257,"")</f>
        <v/>
      </c>
      <c r="R257" s="53" t="str">
        <f aca="false">IF(AND($G257&lt;&gt;"",$I257&lt;&gt;""),$I257-$G257,"")</f>
        <v/>
      </c>
      <c r="S257" s="53" t="str">
        <f aca="false">IF(AND($H257&lt;&gt;"",$I257&lt;&gt;""),$I257-$H257,"")</f>
        <v/>
      </c>
      <c r="T257" s="53" t="str">
        <f aca="false">IF($J257&lt;&gt;"",$J257,"")</f>
        <v/>
      </c>
      <c r="V257" s="52" t="str">
        <f aca="false">IF($A257&lt;&gt;"",$A257,"")</f>
        <v>Apprenant 245</v>
      </c>
      <c r="W257" s="53" t="str">
        <f aca="false">IF(AND(OR('Choix pédagogiques'!$C$3=1,'Choix pédagogiques'!$C$3=2),$BM257=1),B257,IF(AND('Choix pédagogiques'!$C$3=3,$BO257=1),B257,""))</f>
        <v/>
      </c>
      <c r="X257" s="53" t="str">
        <f aca="false">IF(AND(OR('Choix pédagogiques'!$C$3=1,'Choix pédagogiques'!$C$3=2),$BM257=1),C257,IF(AND('Choix pédagogiques'!$C$3=3,$BO257=1),C257,""))</f>
        <v/>
      </c>
      <c r="Y257" s="53" t="str">
        <f aca="false">IF(AND(OR('Choix pédagogiques'!$C$3=1,'Choix pédagogiques'!$C$3=2),$BM257=1),D257,IF(AND('Choix pédagogiques'!$C$3=3,$BO257=1),D257,""))</f>
        <v/>
      </c>
      <c r="Z257" s="53" t="str">
        <f aca="false">IF($E257&lt;&gt;"",$E257,"")</f>
        <v/>
      </c>
      <c r="AA257" s="52" t="str">
        <f aca="false">IF($F257&lt;&gt;"",$F257,"")</f>
        <v>Apprenant 245 ou 245'</v>
      </c>
      <c r="AB257" s="53" t="str">
        <f aca="false">IF(AND(OR('Choix pédagogiques'!$C$3=1,'Choix pédagogiques'!$C$3=2),$BN257=1),G257,IF(AND('Choix pédagogiques'!$C$3=3,$BO257=1),G257,""))</f>
        <v/>
      </c>
      <c r="AC257" s="53" t="str">
        <f aca="false">IF(AND(OR('Choix pédagogiques'!$C$3=1,'Choix pédagogiques'!$C$3=2),$BN257=1),H257,IF(AND('Choix pédagogiques'!$C$3=3,$BO257=1),H257,""))</f>
        <v/>
      </c>
      <c r="AD257" s="53" t="str">
        <f aca="false">IF(AND(OR('Choix pédagogiques'!$C$3=1,'Choix pédagogiques'!$C$3=2),$BN257=1),I257,IF(AND('Choix pédagogiques'!$C$3=3,$BO257=1),I257,""))</f>
        <v/>
      </c>
      <c r="AE257" s="53" t="str">
        <f aca="false">IF($J257&lt;&gt;"",$J257,"")</f>
        <v/>
      </c>
      <c r="AF257" s="52" t="str">
        <f aca="false">IF($A257&lt;&gt;"",$A257,"")</f>
        <v>Apprenant 245</v>
      </c>
      <c r="AG257" s="53" t="str">
        <f aca="false">IF(AND($W257&lt;&gt;"",$X257&lt;&gt;""),$X257-$W257,"")</f>
        <v/>
      </c>
      <c r="AH257" s="53" t="str">
        <f aca="false">IF(AND($W257&lt;&gt;"",$Y257&lt;&gt;""),$Y257-$W257,"")</f>
        <v/>
      </c>
      <c r="AI257" s="53" t="str">
        <f aca="false">IF(AND($X257&lt;&gt;"",$Y257&lt;&gt;""),$Y257-$X257,"")</f>
        <v/>
      </c>
      <c r="AJ257" s="53" t="str">
        <f aca="false">IF($E257&lt;&gt;"",$E257,"")</f>
        <v/>
      </c>
      <c r="AK257" s="52" t="str">
        <f aca="false">IF($F257&lt;&gt;"",$F257,"")</f>
        <v>Apprenant 245 ou 245'</v>
      </c>
      <c r="AL257" s="53" t="str">
        <f aca="false">IF(AND($AB257&lt;&gt;"",$AC257&lt;&gt;""),$AC257-$AB257,"")</f>
        <v/>
      </c>
      <c r="AM257" s="53" t="str">
        <f aca="false">IF(AND($AB257&lt;&gt;"",$AD257&lt;&gt;""),$AD257-$AB257,"")</f>
        <v/>
      </c>
      <c r="AN257" s="53" t="str">
        <f aca="false">IF(AND($AC257&lt;&gt;"",$AD257&lt;&gt;""),$AD257-$AC257,"")</f>
        <v/>
      </c>
      <c r="AO257" s="53" t="str">
        <f aca="false">IF($J257&lt;&gt;"",$J257,"")</f>
        <v/>
      </c>
      <c r="AQ257" s="52" t="str">
        <f aca="false">IF($A257&lt;&gt;"",$A257,"")</f>
        <v>Apprenant 245</v>
      </c>
      <c r="AR257" s="55" t="str">
        <f aca="false">IF(AND('Choix pédagogiques'!$C$4&lt;&gt;"?",'Choix pédagogiques'!$C$5&lt;&gt;"?",W257&lt;&gt;""),(W257-'Choix pédagogiques'!$C$4)/('Choix pédagogiques'!$C$5-'Choix pédagogiques'!$C$4),"")</f>
        <v/>
      </c>
      <c r="AS257" s="55" t="str">
        <f aca="false">IF(AND('Choix pédagogiques'!$C$4&lt;&gt;"?",'Choix pédagogiques'!$C$5&lt;&gt;"?",X257&lt;&gt;""),(X257-'Choix pédagogiques'!$C$4)/('Choix pédagogiques'!$C$5-'Choix pédagogiques'!$C$4),"")</f>
        <v/>
      </c>
      <c r="AT257" s="55" t="str">
        <f aca="false">IF(AND('Choix pédagogiques'!$C$4&lt;&gt;"?",'Choix pédagogiques'!$C$5&lt;&gt;"?",Y257&lt;&gt;""),(Y257-'Choix pédagogiques'!$C$4)/('Choix pédagogiques'!$C$5-'Choix pédagogiques'!$C$4),"")</f>
        <v/>
      </c>
      <c r="AU257" s="53" t="str">
        <f aca="false">IF($E257&lt;&gt;"",$E257,"")</f>
        <v/>
      </c>
      <c r="AV257" s="52" t="str">
        <f aca="false">IF($F257&lt;&gt;"",$F257,"")</f>
        <v>Apprenant 245 ou 245'</v>
      </c>
      <c r="AW257" s="55" t="str">
        <f aca="false">IF(AND('Choix pédagogiques'!$C$4&lt;&gt;"?",'Choix pédagogiques'!$C$5&lt;&gt;"?",AB257&lt;&gt;""),(AB257-'Choix pédagogiques'!$C$4)/('Choix pédagogiques'!$C$5-'Choix pédagogiques'!$C$4),"")</f>
        <v/>
      </c>
      <c r="AX257" s="55" t="str">
        <f aca="false">IF(AND('Choix pédagogiques'!$C$4&lt;&gt;"?",'Choix pédagogiques'!$C$5&lt;&gt;"?",AC257&lt;&gt;""),(AC257-'Choix pédagogiques'!$C$4)/('Choix pédagogiques'!$C$5-'Choix pédagogiques'!$C$4),"")</f>
        <v/>
      </c>
      <c r="AY257" s="55" t="str">
        <f aca="false">IF(AND('Choix pédagogiques'!$C$4&lt;&gt;"?",'Choix pédagogiques'!$C$5&lt;&gt;"?",AD257&lt;&gt;""),(AD257-'Choix pédagogiques'!$C$4)/('Choix pédagogiques'!$C$5-'Choix pédagogiques'!$C$4),"")</f>
        <v/>
      </c>
      <c r="AZ257" s="53" t="str">
        <f aca="false">IF($J257&lt;&gt;"",$J257,"")</f>
        <v/>
      </c>
      <c r="BA257" s="52" t="str">
        <f aca="false">IF($A257&lt;&gt;"",$A257,"")</f>
        <v>Apprenant 245</v>
      </c>
      <c r="BB257" s="55" t="str">
        <f aca="false">IF(AND($AR257&lt;&gt;"",$AS257&lt;&gt;""),$AS257-$AR257,"")</f>
        <v/>
      </c>
      <c r="BC257" s="55" t="str">
        <f aca="false">IF(AND($AR257&lt;&gt;"",$AT257&lt;&gt;""),$AT257-$AR257,"")</f>
        <v/>
      </c>
      <c r="BD257" s="55" t="str">
        <f aca="false">IF(AND($AS257&lt;&gt;"",$AT257&lt;&gt;""),$AT257-$AS257,"")</f>
        <v/>
      </c>
      <c r="BE257" s="53" t="str">
        <f aca="false">IF($E257&lt;&gt;"",$E257,"")</f>
        <v/>
      </c>
      <c r="BF257" s="52" t="str">
        <f aca="false">IF($F257&lt;&gt;"",$F257,"")</f>
        <v>Apprenant 245 ou 245'</v>
      </c>
      <c r="BG257" s="55" t="str">
        <f aca="false">IF(AND($AW257&lt;&gt;"",$AX257&lt;&gt;""),$AX257-$AW257,"")</f>
        <v/>
      </c>
      <c r="BH257" s="55" t="str">
        <f aca="false">IF(AND($AW257&lt;&gt;"",$AY257&lt;&gt;""),$AY257-$AW257,"")</f>
        <v/>
      </c>
      <c r="BI257" s="55" t="str">
        <f aca="false">IF(AND($AX257&lt;&gt;"",$AY257&lt;&gt;""),$AY257-$AX257,"")</f>
        <v/>
      </c>
      <c r="BJ257" s="53" t="str">
        <f aca="false">IF($J257&lt;&gt;"",$J257,"")</f>
        <v/>
      </c>
      <c r="BL257" s="52"/>
      <c r="BM257" s="52" t="str">
        <f aca="false">IF(OR(COUNT(B257:D1256)=0,AND('Choix pédagogiques'!$C$3&lt;&gt;1,'Choix pédagogiques'!$C$3&lt;&gt;2)),"",IF(AND(OR('Choix pédagogiques'!$C$3=1,'Choix pédagogiques'!$C$3=2),$B257&lt;&gt;"",$C257&lt;&gt;"",$D257&lt;&gt;""),1,0))</f>
        <v/>
      </c>
      <c r="BN257" s="52" t="str">
        <f aca="false">IF(OR(COUNT(G257:I1256)=0,AND('Choix pédagogiques'!$C$3&lt;&gt;1,'Choix pédagogiques'!$C$3&lt;&gt;2)),"",IF(AND(OR('Choix pédagogiques'!$C$3=1,'Choix pédagogiques'!$C$3=2),AND($G257&lt;&gt;"",$H257&lt;&gt;"",$I257&lt;&gt;"")),1,0))</f>
        <v/>
      </c>
      <c r="BO257" s="52" t="str">
        <f aca="false">IF(OR(COUNT(B257:D1256)=0,COUNT(G257:I1256)=0,'Choix pédagogiques'!C$3&lt;&gt;3),"",IF(AND('Choix pédagogiques'!$C$3=3,$B257&lt;&gt;"",$C257&lt;&gt;"",$D257&lt;&gt;"",$G257&lt;&gt;"",$H257&lt;&gt;"",$I257&lt;&gt;""),1,0))</f>
        <v/>
      </c>
      <c r="BR257" s="52" t="n">
        <v>881</v>
      </c>
      <c r="BS257" s="52" t="n">
        <v>1582</v>
      </c>
    </row>
    <row r="258" s="54" customFormat="true" ht="18" hidden="false" customHeight="true" outlineLevel="0" collapsed="false">
      <c r="A258" s="57" t="s">
        <v>447</v>
      </c>
      <c r="B258" s="51"/>
      <c r="C258" s="51"/>
      <c r="D258" s="51"/>
      <c r="E258" s="51"/>
      <c r="F258" s="57" t="s">
        <v>448</v>
      </c>
      <c r="G258" s="51"/>
      <c r="H258" s="51"/>
      <c r="I258" s="51"/>
      <c r="J258" s="51"/>
      <c r="K258" s="52" t="str">
        <f aca="false">IF($A258&lt;&gt;"",$A258,"")</f>
        <v>Apprenant 246</v>
      </c>
      <c r="L258" s="53" t="str">
        <f aca="false">IF(AND($B258&lt;&gt;"",$C258&lt;&gt;""),$C258-$B258,"")</f>
        <v/>
      </c>
      <c r="M258" s="53" t="str">
        <f aca="false">IF(AND($B258&lt;&gt;"",$D258&lt;&gt;""),$D258-$B258,"")</f>
        <v/>
      </c>
      <c r="N258" s="53" t="str">
        <f aca="false">IF(AND($C258&lt;&gt;"",$D258&lt;&gt;""),$D258-$C258,"")</f>
        <v/>
      </c>
      <c r="O258" s="53" t="str">
        <f aca="false">IF($E258&lt;&gt;"",$E258,"")</f>
        <v/>
      </c>
      <c r="P258" s="52" t="str">
        <f aca="false">IF($F258&lt;&gt;"",$F258,"")</f>
        <v>Apprenant 246 ou 246'</v>
      </c>
      <c r="Q258" s="53" t="str">
        <f aca="false">IF(AND($G258&lt;&gt;"",$H258&lt;&gt;""),$H258-$G258,"")</f>
        <v/>
      </c>
      <c r="R258" s="53" t="str">
        <f aca="false">IF(AND($G258&lt;&gt;"",$I258&lt;&gt;""),$I258-$G258,"")</f>
        <v/>
      </c>
      <c r="S258" s="53" t="str">
        <f aca="false">IF(AND($H258&lt;&gt;"",$I258&lt;&gt;""),$I258-$H258,"")</f>
        <v/>
      </c>
      <c r="T258" s="53" t="str">
        <f aca="false">IF($J258&lt;&gt;"",$J258,"")</f>
        <v/>
      </c>
      <c r="V258" s="52" t="str">
        <f aca="false">IF($A258&lt;&gt;"",$A258,"")</f>
        <v>Apprenant 246</v>
      </c>
      <c r="W258" s="53" t="str">
        <f aca="false">IF(AND(OR('Choix pédagogiques'!$C$3=1,'Choix pédagogiques'!$C$3=2),$BM258=1),B258,IF(AND('Choix pédagogiques'!$C$3=3,$BO258=1),B258,""))</f>
        <v/>
      </c>
      <c r="X258" s="53" t="str">
        <f aca="false">IF(AND(OR('Choix pédagogiques'!$C$3=1,'Choix pédagogiques'!$C$3=2),$BM258=1),C258,IF(AND('Choix pédagogiques'!$C$3=3,$BO258=1),C258,""))</f>
        <v/>
      </c>
      <c r="Y258" s="53" t="str">
        <f aca="false">IF(AND(OR('Choix pédagogiques'!$C$3=1,'Choix pédagogiques'!$C$3=2),$BM258=1),D258,IF(AND('Choix pédagogiques'!$C$3=3,$BO258=1),D258,""))</f>
        <v/>
      </c>
      <c r="Z258" s="53" t="str">
        <f aca="false">IF($E258&lt;&gt;"",$E258,"")</f>
        <v/>
      </c>
      <c r="AA258" s="52" t="str">
        <f aca="false">IF($F258&lt;&gt;"",$F258,"")</f>
        <v>Apprenant 246 ou 246'</v>
      </c>
      <c r="AB258" s="53" t="str">
        <f aca="false">IF(AND(OR('Choix pédagogiques'!$C$3=1,'Choix pédagogiques'!$C$3=2),$BN258=1),G258,IF(AND('Choix pédagogiques'!$C$3=3,$BO258=1),G258,""))</f>
        <v/>
      </c>
      <c r="AC258" s="53" t="str">
        <f aca="false">IF(AND(OR('Choix pédagogiques'!$C$3=1,'Choix pédagogiques'!$C$3=2),$BN258=1),H258,IF(AND('Choix pédagogiques'!$C$3=3,$BO258=1),H258,""))</f>
        <v/>
      </c>
      <c r="AD258" s="53" t="str">
        <f aca="false">IF(AND(OR('Choix pédagogiques'!$C$3=1,'Choix pédagogiques'!$C$3=2),$BN258=1),I258,IF(AND('Choix pédagogiques'!$C$3=3,$BO258=1),I258,""))</f>
        <v/>
      </c>
      <c r="AE258" s="53" t="str">
        <f aca="false">IF($J258&lt;&gt;"",$J258,"")</f>
        <v/>
      </c>
      <c r="AF258" s="52" t="str">
        <f aca="false">IF($A258&lt;&gt;"",$A258,"")</f>
        <v>Apprenant 246</v>
      </c>
      <c r="AG258" s="53" t="str">
        <f aca="false">IF(AND($W258&lt;&gt;"",$X258&lt;&gt;""),$X258-$W258,"")</f>
        <v/>
      </c>
      <c r="AH258" s="53" t="str">
        <f aca="false">IF(AND($W258&lt;&gt;"",$Y258&lt;&gt;""),$Y258-$W258,"")</f>
        <v/>
      </c>
      <c r="AI258" s="53" t="str">
        <f aca="false">IF(AND($X258&lt;&gt;"",$Y258&lt;&gt;""),$Y258-$X258,"")</f>
        <v/>
      </c>
      <c r="AJ258" s="53" t="str">
        <f aca="false">IF($E258&lt;&gt;"",$E258,"")</f>
        <v/>
      </c>
      <c r="AK258" s="52" t="str">
        <f aca="false">IF($F258&lt;&gt;"",$F258,"")</f>
        <v>Apprenant 246 ou 246'</v>
      </c>
      <c r="AL258" s="53" t="str">
        <f aca="false">IF(AND($AB258&lt;&gt;"",$AC258&lt;&gt;""),$AC258-$AB258,"")</f>
        <v/>
      </c>
      <c r="AM258" s="53" t="str">
        <f aca="false">IF(AND($AB258&lt;&gt;"",$AD258&lt;&gt;""),$AD258-$AB258,"")</f>
        <v/>
      </c>
      <c r="AN258" s="53" t="str">
        <f aca="false">IF(AND($AC258&lt;&gt;"",$AD258&lt;&gt;""),$AD258-$AC258,"")</f>
        <v/>
      </c>
      <c r="AO258" s="53" t="str">
        <f aca="false">IF($J258&lt;&gt;"",$J258,"")</f>
        <v/>
      </c>
      <c r="AQ258" s="52" t="str">
        <f aca="false">IF($A258&lt;&gt;"",$A258,"")</f>
        <v>Apprenant 246</v>
      </c>
      <c r="AR258" s="55" t="str">
        <f aca="false">IF(AND('Choix pédagogiques'!$C$4&lt;&gt;"?",'Choix pédagogiques'!$C$5&lt;&gt;"?",W258&lt;&gt;""),(W258-'Choix pédagogiques'!$C$4)/('Choix pédagogiques'!$C$5-'Choix pédagogiques'!$C$4),"")</f>
        <v/>
      </c>
      <c r="AS258" s="55" t="str">
        <f aca="false">IF(AND('Choix pédagogiques'!$C$4&lt;&gt;"?",'Choix pédagogiques'!$C$5&lt;&gt;"?",X258&lt;&gt;""),(X258-'Choix pédagogiques'!$C$4)/('Choix pédagogiques'!$C$5-'Choix pédagogiques'!$C$4),"")</f>
        <v/>
      </c>
      <c r="AT258" s="55" t="str">
        <f aca="false">IF(AND('Choix pédagogiques'!$C$4&lt;&gt;"?",'Choix pédagogiques'!$C$5&lt;&gt;"?",Y258&lt;&gt;""),(Y258-'Choix pédagogiques'!$C$4)/('Choix pédagogiques'!$C$5-'Choix pédagogiques'!$C$4),"")</f>
        <v/>
      </c>
      <c r="AU258" s="53" t="str">
        <f aca="false">IF($E258&lt;&gt;"",$E258,"")</f>
        <v/>
      </c>
      <c r="AV258" s="52" t="str">
        <f aca="false">IF($F258&lt;&gt;"",$F258,"")</f>
        <v>Apprenant 246 ou 246'</v>
      </c>
      <c r="AW258" s="55" t="str">
        <f aca="false">IF(AND('Choix pédagogiques'!$C$4&lt;&gt;"?",'Choix pédagogiques'!$C$5&lt;&gt;"?",AB258&lt;&gt;""),(AB258-'Choix pédagogiques'!$C$4)/('Choix pédagogiques'!$C$5-'Choix pédagogiques'!$C$4),"")</f>
        <v/>
      </c>
      <c r="AX258" s="55" t="str">
        <f aca="false">IF(AND('Choix pédagogiques'!$C$4&lt;&gt;"?",'Choix pédagogiques'!$C$5&lt;&gt;"?",AC258&lt;&gt;""),(AC258-'Choix pédagogiques'!$C$4)/('Choix pédagogiques'!$C$5-'Choix pédagogiques'!$C$4),"")</f>
        <v/>
      </c>
      <c r="AY258" s="55" t="str">
        <f aca="false">IF(AND('Choix pédagogiques'!$C$4&lt;&gt;"?",'Choix pédagogiques'!$C$5&lt;&gt;"?",AD258&lt;&gt;""),(AD258-'Choix pédagogiques'!$C$4)/('Choix pédagogiques'!$C$5-'Choix pédagogiques'!$C$4),"")</f>
        <v/>
      </c>
      <c r="AZ258" s="53" t="str">
        <f aca="false">IF($J258&lt;&gt;"",$J258,"")</f>
        <v/>
      </c>
      <c r="BA258" s="52" t="str">
        <f aca="false">IF($A258&lt;&gt;"",$A258,"")</f>
        <v>Apprenant 246</v>
      </c>
      <c r="BB258" s="55" t="str">
        <f aca="false">IF(AND($AR258&lt;&gt;"",$AS258&lt;&gt;""),$AS258-$AR258,"")</f>
        <v/>
      </c>
      <c r="BC258" s="55" t="str">
        <f aca="false">IF(AND($AR258&lt;&gt;"",$AT258&lt;&gt;""),$AT258-$AR258,"")</f>
        <v/>
      </c>
      <c r="BD258" s="55" t="str">
        <f aca="false">IF(AND($AS258&lt;&gt;"",$AT258&lt;&gt;""),$AT258-$AS258,"")</f>
        <v/>
      </c>
      <c r="BE258" s="53" t="str">
        <f aca="false">IF($E258&lt;&gt;"",$E258,"")</f>
        <v/>
      </c>
      <c r="BF258" s="52" t="str">
        <f aca="false">IF($F258&lt;&gt;"",$F258,"")</f>
        <v>Apprenant 246 ou 246'</v>
      </c>
      <c r="BG258" s="55" t="str">
        <f aca="false">IF(AND($AW258&lt;&gt;"",$AX258&lt;&gt;""),$AX258-$AW258,"")</f>
        <v/>
      </c>
      <c r="BH258" s="55" t="str">
        <f aca="false">IF(AND($AW258&lt;&gt;"",$AY258&lt;&gt;""),$AY258-$AW258,"")</f>
        <v/>
      </c>
      <c r="BI258" s="55" t="str">
        <f aca="false">IF(AND($AX258&lt;&gt;"",$AY258&lt;&gt;""),$AY258-$AX258,"")</f>
        <v/>
      </c>
      <c r="BJ258" s="53" t="str">
        <f aca="false">IF($J258&lt;&gt;"",$J258,"")</f>
        <v/>
      </c>
      <c r="BL258" s="52"/>
      <c r="BM258" s="52" t="str">
        <f aca="false">IF(OR(COUNT(B258:D1257)=0,AND('Choix pédagogiques'!$C$3&lt;&gt;1,'Choix pédagogiques'!$C$3&lt;&gt;2)),"",IF(AND(OR('Choix pédagogiques'!$C$3=1,'Choix pédagogiques'!$C$3=2),$B258&lt;&gt;"",$C258&lt;&gt;"",$D258&lt;&gt;""),1,0))</f>
        <v/>
      </c>
      <c r="BN258" s="52" t="str">
        <f aca="false">IF(OR(COUNT(G258:I1257)=0,AND('Choix pédagogiques'!$C$3&lt;&gt;1,'Choix pédagogiques'!$C$3&lt;&gt;2)),"",IF(AND(OR('Choix pédagogiques'!$C$3=1,'Choix pédagogiques'!$C$3=2),AND($G258&lt;&gt;"",$H258&lt;&gt;"",$I258&lt;&gt;"")),1,0))</f>
        <v/>
      </c>
      <c r="BO258" s="52" t="str">
        <f aca="false">IF(OR(COUNT(B258:D1257)=0,COUNT(G258:I1257)=0,'Choix pédagogiques'!C$3&lt;&gt;3),"",IF(AND('Choix pédagogiques'!$C$3=3,$B258&lt;&gt;"",$C258&lt;&gt;"",$D258&lt;&gt;"",$G258&lt;&gt;"",$H258&lt;&gt;"",$I258&lt;&gt;""),1,0))</f>
        <v/>
      </c>
      <c r="BR258" s="52" t="n">
        <v>13</v>
      </c>
      <c r="BS258" s="52" t="n">
        <v>1104</v>
      </c>
    </row>
    <row r="259" s="54" customFormat="true" ht="18" hidden="false" customHeight="true" outlineLevel="0" collapsed="false">
      <c r="A259" s="57" t="s">
        <v>449</v>
      </c>
      <c r="B259" s="51"/>
      <c r="C259" s="51"/>
      <c r="D259" s="51"/>
      <c r="E259" s="51"/>
      <c r="F259" s="57" t="s">
        <v>450</v>
      </c>
      <c r="G259" s="51"/>
      <c r="H259" s="51"/>
      <c r="I259" s="51"/>
      <c r="J259" s="51"/>
      <c r="K259" s="52" t="str">
        <f aca="false">IF($A259&lt;&gt;"",$A259,"")</f>
        <v>Apprenant 247</v>
      </c>
      <c r="L259" s="53" t="str">
        <f aca="false">IF(AND($B259&lt;&gt;"",$C259&lt;&gt;""),$C259-$B259,"")</f>
        <v/>
      </c>
      <c r="M259" s="53" t="str">
        <f aca="false">IF(AND($B259&lt;&gt;"",$D259&lt;&gt;""),$D259-$B259,"")</f>
        <v/>
      </c>
      <c r="N259" s="53" t="str">
        <f aca="false">IF(AND($C259&lt;&gt;"",$D259&lt;&gt;""),$D259-$C259,"")</f>
        <v/>
      </c>
      <c r="O259" s="53" t="str">
        <f aca="false">IF($E259&lt;&gt;"",$E259,"")</f>
        <v/>
      </c>
      <c r="P259" s="52" t="str">
        <f aca="false">IF($F259&lt;&gt;"",$F259,"")</f>
        <v>Apprenant 247 ou 247'</v>
      </c>
      <c r="Q259" s="53" t="str">
        <f aca="false">IF(AND($G259&lt;&gt;"",$H259&lt;&gt;""),$H259-$G259,"")</f>
        <v/>
      </c>
      <c r="R259" s="53" t="str">
        <f aca="false">IF(AND($G259&lt;&gt;"",$I259&lt;&gt;""),$I259-$G259,"")</f>
        <v/>
      </c>
      <c r="S259" s="53" t="str">
        <f aca="false">IF(AND($H259&lt;&gt;"",$I259&lt;&gt;""),$I259-$H259,"")</f>
        <v/>
      </c>
      <c r="T259" s="53" t="str">
        <f aca="false">IF($J259&lt;&gt;"",$J259,"")</f>
        <v/>
      </c>
      <c r="V259" s="52" t="str">
        <f aca="false">IF($A259&lt;&gt;"",$A259,"")</f>
        <v>Apprenant 247</v>
      </c>
      <c r="W259" s="53" t="str">
        <f aca="false">IF(AND(OR('Choix pédagogiques'!$C$3=1,'Choix pédagogiques'!$C$3=2),$BM259=1),B259,IF(AND('Choix pédagogiques'!$C$3=3,$BO259=1),B259,""))</f>
        <v/>
      </c>
      <c r="X259" s="53" t="str">
        <f aca="false">IF(AND(OR('Choix pédagogiques'!$C$3=1,'Choix pédagogiques'!$C$3=2),$BM259=1),C259,IF(AND('Choix pédagogiques'!$C$3=3,$BO259=1),C259,""))</f>
        <v/>
      </c>
      <c r="Y259" s="53" t="str">
        <f aca="false">IF(AND(OR('Choix pédagogiques'!$C$3=1,'Choix pédagogiques'!$C$3=2),$BM259=1),D259,IF(AND('Choix pédagogiques'!$C$3=3,$BO259=1),D259,""))</f>
        <v/>
      </c>
      <c r="Z259" s="53" t="str">
        <f aca="false">IF($E259&lt;&gt;"",$E259,"")</f>
        <v/>
      </c>
      <c r="AA259" s="52" t="str">
        <f aca="false">IF($F259&lt;&gt;"",$F259,"")</f>
        <v>Apprenant 247 ou 247'</v>
      </c>
      <c r="AB259" s="53" t="str">
        <f aca="false">IF(AND(OR('Choix pédagogiques'!$C$3=1,'Choix pédagogiques'!$C$3=2),$BN259=1),G259,IF(AND('Choix pédagogiques'!$C$3=3,$BO259=1),G259,""))</f>
        <v/>
      </c>
      <c r="AC259" s="53" t="str">
        <f aca="false">IF(AND(OR('Choix pédagogiques'!$C$3=1,'Choix pédagogiques'!$C$3=2),$BN259=1),H259,IF(AND('Choix pédagogiques'!$C$3=3,$BO259=1),H259,""))</f>
        <v/>
      </c>
      <c r="AD259" s="53" t="str">
        <f aca="false">IF(AND(OR('Choix pédagogiques'!$C$3=1,'Choix pédagogiques'!$C$3=2),$BN259=1),I259,IF(AND('Choix pédagogiques'!$C$3=3,$BO259=1),I259,""))</f>
        <v/>
      </c>
      <c r="AE259" s="53" t="str">
        <f aca="false">IF($J259&lt;&gt;"",$J259,"")</f>
        <v/>
      </c>
      <c r="AF259" s="52" t="str">
        <f aca="false">IF($A259&lt;&gt;"",$A259,"")</f>
        <v>Apprenant 247</v>
      </c>
      <c r="AG259" s="53" t="str">
        <f aca="false">IF(AND($W259&lt;&gt;"",$X259&lt;&gt;""),$X259-$W259,"")</f>
        <v/>
      </c>
      <c r="AH259" s="53" t="str">
        <f aca="false">IF(AND($W259&lt;&gt;"",$Y259&lt;&gt;""),$Y259-$W259,"")</f>
        <v/>
      </c>
      <c r="AI259" s="53" t="str">
        <f aca="false">IF(AND($X259&lt;&gt;"",$Y259&lt;&gt;""),$Y259-$X259,"")</f>
        <v/>
      </c>
      <c r="AJ259" s="53" t="str">
        <f aca="false">IF($E259&lt;&gt;"",$E259,"")</f>
        <v/>
      </c>
      <c r="AK259" s="52" t="str">
        <f aca="false">IF($F259&lt;&gt;"",$F259,"")</f>
        <v>Apprenant 247 ou 247'</v>
      </c>
      <c r="AL259" s="53" t="str">
        <f aca="false">IF(AND($AB259&lt;&gt;"",$AC259&lt;&gt;""),$AC259-$AB259,"")</f>
        <v/>
      </c>
      <c r="AM259" s="53" t="str">
        <f aca="false">IF(AND($AB259&lt;&gt;"",$AD259&lt;&gt;""),$AD259-$AB259,"")</f>
        <v/>
      </c>
      <c r="AN259" s="53" t="str">
        <f aca="false">IF(AND($AC259&lt;&gt;"",$AD259&lt;&gt;""),$AD259-$AC259,"")</f>
        <v/>
      </c>
      <c r="AO259" s="53" t="str">
        <f aca="false">IF($J259&lt;&gt;"",$J259,"")</f>
        <v/>
      </c>
      <c r="AQ259" s="52" t="str">
        <f aca="false">IF($A259&lt;&gt;"",$A259,"")</f>
        <v>Apprenant 247</v>
      </c>
      <c r="AR259" s="55" t="str">
        <f aca="false">IF(AND('Choix pédagogiques'!$C$4&lt;&gt;"?",'Choix pédagogiques'!$C$5&lt;&gt;"?",W259&lt;&gt;""),(W259-'Choix pédagogiques'!$C$4)/('Choix pédagogiques'!$C$5-'Choix pédagogiques'!$C$4),"")</f>
        <v/>
      </c>
      <c r="AS259" s="55" t="str">
        <f aca="false">IF(AND('Choix pédagogiques'!$C$4&lt;&gt;"?",'Choix pédagogiques'!$C$5&lt;&gt;"?",X259&lt;&gt;""),(X259-'Choix pédagogiques'!$C$4)/('Choix pédagogiques'!$C$5-'Choix pédagogiques'!$C$4),"")</f>
        <v/>
      </c>
      <c r="AT259" s="55" t="str">
        <f aca="false">IF(AND('Choix pédagogiques'!$C$4&lt;&gt;"?",'Choix pédagogiques'!$C$5&lt;&gt;"?",Y259&lt;&gt;""),(Y259-'Choix pédagogiques'!$C$4)/('Choix pédagogiques'!$C$5-'Choix pédagogiques'!$C$4),"")</f>
        <v/>
      </c>
      <c r="AU259" s="53" t="str">
        <f aca="false">IF($E259&lt;&gt;"",$E259,"")</f>
        <v/>
      </c>
      <c r="AV259" s="52" t="str">
        <f aca="false">IF($F259&lt;&gt;"",$F259,"")</f>
        <v>Apprenant 247 ou 247'</v>
      </c>
      <c r="AW259" s="55" t="str">
        <f aca="false">IF(AND('Choix pédagogiques'!$C$4&lt;&gt;"?",'Choix pédagogiques'!$C$5&lt;&gt;"?",AB259&lt;&gt;""),(AB259-'Choix pédagogiques'!$C$4)/('Choix pédagogiques'!$C$5-'Choix pédagogiques'!$C$4),"")</f>
        <v/>
      </c>
      <c r="AX259" s="55" t="str">
        <f aca="false">IF(AND('Choix pédagogiques'!$C$4&lt;&gt;"?",'Choix pédagogiques'!$C$5&lt;&gt;"?",AC259&lt;&gt;""),(AC259-'Choix pédagogiques'!$C$4)/('Choix pédagogiques'!$C$5-'Choix pédagogiques'!$C$4),"")</f>
        <v/>
      </c>
      <c r="AY259" s="55" t="str">
        <f aca="false">IF(AND('Choix pédagogiques'!$C$4&lt;&gt;"?",'Choix pédagogiques'!$C$5&lt;&gt;"?",AD259&lt;&gt;""),(AD259-'Choix pédagogiques'!$C$4)/('Choix pédagogiques'!$C$5-'Choix pédagogiques'!$C$4),"")</f>
        <v/>
      </c>
      <c r="AZ259" s="53" t="str">
        <f aca="false">IF($J259&lt;&gt;"",$J259,"")</f>
        <v/>
      </c>
      <c r="BA259" s="52" t="str">
        <f aca="false">IF($A259&lt;&gt;"",$A259,"")</f>
        <v>Apprenant 247</v>
      </c>
      <c r="BB259" s="55" t="str">
        <f aca="false">IF(AND($AR259&lt;&gt;"",$AS259&lt;&gt;""),$AS259-$AR259,"")</f>
        <v/>
      </c>
      <c r="BC259" s="55" t="str">
        <f aca="false">IF(AND($AR259&lt;&gt;"",$AT259&lt;&gt;""),$AT259-$AR259,"")</f>
        <v/>
      </c>
      <c r="BD259" s="55" t="str">
        <f aca="false">IF(AND($AS259&lt;&gt;"",$AT259&lt;&gt;""),$AT259-$AS259,"")</f>
        <v/>
      </c>
      <c r="BE259" s="53" t="str">
        <f aca="false">IF($E259&lt;&gt;"",$E259,"")</f>
        <v/>
      </c>
      <c r="BF259" s="52" t="str">
        <f aca="false">IF($F259&lt;&gt;"",$F259,"")</f>
        <v>Apprenant 247 ou 247'</v>
      </c>
      <c r="BG259" s="55" t="str">
        <f aca="false">IF(AND($AW259&lt;&gt;"",$AX259&lt;&gt;""),$AX259-$AW259,"")</f>
        <v/>
      </c>
      <c r="BH259" s="55" t="str">
        <f aca="false">IF(AND($AW259&lt;&gt;"",$AY259&lt;&gt;""),$AY259-$AW259,"")</f>
        <v/>
      </c>
      <c r="BI259" s="55" t="str">
        <f aca="false">IF(AND($AX259&lt;&gt;"",$AY259&lt;&gt;""),$AY259-$AX259,"")</f>
        <v/>
      </c>
      <c r="BJ259" s="53" t="str">
        <f aca="false">IF($J259&lt;&gt;"",$J259,"")</f>
        <v/>
      </c>
      <c r="BL259" s="52"/>
      <c r="BM259" s="52" t="str">
        <f aca="false">IF(OR(COUNT(B259:D1258)=0,AND('Choix pédagogiques'!$C$3&lt;&gt;1,'Choix pédagogiques'!$C$3&lt;&gt;2)),"",IF(AND(OR('Choix pédagogiques'!$C$3=1,'Choix pédagogiques'!$C$3=2),$B259&lt;&gt;"",$C259&lt;&gt;"",$D259&lt;&gt;""),1,0))</f>
        <v/>
      </c>
      <c r="BN259" s="52" t="str">
        <f aca="false">IF(OR(COUNT(G259:I1258)=0,AND('Choix pédagogiques'!$C$3&lt;&gt;1,'Choix pédagogiques'!$C$3&lt;&gt;2)),"",IF(AND(OR('Choix pédagogiques'!$C$3=1,'Choix pédagogiques'!$C$3=2),AND($G259&lt;&gt;"",$H259&lt;&gt;"",$I259&lt;&gt;"")),1,0))</f>
        <v/>
      </c>
      <c r="BO259" s="52" t="str">
        <f aca="false">IF(OR(COUNT(B259:D1258)=0,COUNT(G259:I1258)=0,'Choix pédagogiques'!C$3&lt;&gt;3),"",IF(AND('Choix pédagogiques'!$C$3=3,$B259&lt;&gt;"",$C259&lt;&gt;"",$D259&lt;&gt;"",$G259&lt;&gt;"",$H259&lt;&gt;"",$I259&lt;&gt;""),1,0))</f>
        <v/>
      </c>
      <c r="BR259" s="52" t="n">
        <v>907</v>
      </c>
      <c r="BS259" s="52" t="n">
        <v>1457</v>
      </c>
    </row>
    <row r="260" s="54" customFormat="true" ht="18" hidden="false" customHeight="true" outlineLevel="0" collapsed="false">
      <c r="A260" s="57" t="s">
        <v>451</v>
      </c>
      <c r="B260" s="51"/>
      <c r="C260" s="51"/>
      <c r="D260" s="51"/>
      <c r="E260" s="51"/>
      <c r="F260" s="57" t="s">
        <v>452</v>
      </c>
      <c r="G260" s="51"/>
      <c r="H260" s="51"/>
      <c r="I260" s="51"/>
      <c r="J260" s="51"/>
      <c r="K260" s="52" t="str">
        <f aca="false">IF($A260&lt;&gt;"",$A260,"")</f>
        <v>Apprenant 248</v>
      </c>
      <c r="L260" s="53" t="str">
        <f aca="false">IF(AND($B260&lt;&gt;"",$C260&lt;&gt;""),$C260-$B260,"")</f>
        <v/>
      </c>
      <c r="M260" s="53" t="str">
        <f aca="false">IF(AND($B260&lt;&gt;"",$D260&lt;&gt;""),$D260-$B260,"")</f>
        <v/>
      </c>
      <c r="N260" s="53" t="str">
        <f aca="false">IF(AND($C260&lt;&gt;"",$D260&lt;&gt;""),$D260-$C260,"")</f>
        <v/>
      </c>
      <c r="O260" s="53" t="str">
        <f aca="false">IF($E260&lt;&gt;"",$E260,"")</f>
        <v/>
      </c>
      <c r="P260" s="52" t="str">
        <f aca="false">IF($F260&lt;&gt;"",$F260,"")</f>
        <v>Apprenant 248 ou 248'</v>
      </c>
      <c r="Q260" s="53" t="str">
        <f aca="false">IF(AND($G260&lt;&gt;"",$H260&lt;&gt;""),$H260-$G260,"")</f>
        <v/>
      </c>
      <c r="R260" s="53" t="str">
        <f aca="false">IF(AND($G260&lt;&gt;"",$I260&lt;&gt;""),$I260-$G260,"")</f>
        <v/>
      </c>
      <c r="S260" s="53" t="str">
        <f aca="false">IF(AND($H260&lt;&gt;"",$I260&lt;&gt;""),$I260-$H260,"")</f>
        <v/>
      </c>
      <c r="T260" s="53" t="str">
        <f aca="false">IF($J260&lt;&gt;"",$J260,"")</f>
        <v/>
      </c>
      <c r="V260" s="52" t="str">
        <f aca="false">IF($A260&lt;&gt;"",$A260,"")</f>
        <v>Apprenant 248</v>
      </c>
      <c r="W260" s="53" t="str">
        <f aca="false">IF(AND(OR('Choix pédagogiques'!$C$3=1,'Choix pédagogiques'!$C$3=2),$BM260=1),B260,IF(AND('Choix pédagogiques'!$C$3=3,$BO260=1),B260,""))</f>
        <v/>
      </c>
      <c r="X260" s="53" t="str">
        <f aca="false">IF(AND(OR('Choix pédagogiques'!$C$3=1,'Choix pédagogiques'!$C$3=2),$BM260=1),C260,IF(AND('Choix pédagogiques'!$C$3=3,$BO260=1),C260,""))</f>
        <v/>
      </c>
      <c r="Y260" s="53" t="str">
        <f aca="false">IF(AND(OR('Choix pédagogiques'!$C$3=1,'Choix pédagogiques'!$C$3=2),$BM260=1),D260,IF(AND('Choix pédagogiques'!$C$3=3,$BO260=1),D260,""))</f>
        <v/>
      </c>
      <c r="Z260" s="53" t="str">
        <f aca="false">IF($E260&lt;&gt;"",$E260,"")</f>
        <v/>
      </c>
      <c r="AA260" s="52" t="str">
        <f aca="false">IF($F260&lt;&gt;"",$F260,"")</f>
        <v>Apprenant 248 ou 248'</v>
      </c>
      <c r="AB260" s="53" t="str">
        <f aca="false">IF(AND(OR('Choix pédagogiques'!$C$3=1,'Choix pédagogiques'!$C$3=2),$BN260=1),G260,IF(AND('Choix pédagogiques'!$C$3=3,$BO260=1),G260,""))</f>
        <v/>
      </c>
      <c r="AC260" s="53" t="str">
        <f aca="false">IF(AND(OR('Choix pédagogiques'!$C$3=1,'Choix pédagogiques'!$C$3=2),$BN260=1),H260,IF(AND('Choix pédagogiques'!$C$3=3,$BO260=1),H260,""))</f>
        <v/>
      </c>
      <c r="AD260" s="53" t="str">
        <f aca="false">IF(AND(OR('Choix pédagogiques'!$C$3=1,'Choix pédagogiques'!$C$3=2),$BN260=1),I260,IF(AND('Choix pédagogiques'!$C$3=3,$BO260=1),I260,""))</f>
        <v/>
      </c>
      <c r="AE260" s="53" t="str">
        <f aca="false">IF($J260&lt;&gt;"",$J260,"")</f>
        <v/>
      </c>
      <c r="AF260" s="52" t="str">
        <f aca="false">IF($A260&lt;&gt;"",$A260,"")</f>
        <v>Apprenant 248</v>
      </c>
      <c r="AG260" s="53" t="str">
        <f aca="false">IF(AND($W260&lt;&gt;"",$X260&lt;&gt;""),$X260-$W260,"")</f>
        <v/>
      </c>
      <c r="AH260" s="53" t="str">
        <f aca="false">IF(AND($W260&lt;&gt;"",$Y260&lt;&gt;""),$Y260-$W260,"")</f>
        <v/>
      </c>
      <c r="AI260" s="53" t="str">
        <f aca="false">IF(AND($X260&lt;&gt;"",$Y260&lt;&gt;""),$Y260-$X260,"")</f>
        <v/>
      </c>
      <c r="AJ260" s="53" t="str">
        <f aca="false">IF($E260&lt;&gt;"",$E260,"")</f>
        <v/>
      </c>
      <c r="AK260" s="52" t="str">
        <f aca="false">IF($F260&lt;&gt;"",$F260,"")</f>
        <v>Apprenant 248 ou 248'</v>
      </c>
      <c r="AL260" s="53" t="str">
        <f aca="false">IF(AND($AB260&lt;&gt;"",$AC260&lt;&gt;""),$AC260-$AB260,"")</f>
        <v/>
      </c>
      <c r="AM260" s="53" t="str">
        <f aca="false">IF(AND($AB260&lt;&gt;"",$AD260&lt;&gt;""),$AD260-$AB260,"")</f>
        <v/>
      </c>
      <c r="AN260" s="53" t="str">
        <f aca="false">IF(AND($AC260&lt;&gt;"",$AD260&lt;&gt;""),$AD260-$AC260,"")</f>
        <v/>
      </c>
      <c r="AO260" s="53" t="str">
        <f aca="false">IF($J260&lt;&gt;"",$J260,"")</f>
        <v/>
      </c>
      <c r="AQ260" s="52" t="str">
        <f aca="false">IF($A260&lt;&gt;"",$A260,"")</f>
        <v>Apprenant 248</v>
      </c>
      <c r="AR260" s="55" t="str">
        <f aca="false">IF(AND('Choix pédagogiques'!$C$4&lt;&gt;"?",'Choix pédagogiques'!$C$5&lt;&gt;"?",W260&lt;&gt;""),(W260-'Choix pédagogiques'!$C$4)/('Choix pédagogiques'!$C$5-'Choix pédagogiques'!$C$4),"")</f>
        <v/>
      </c>
      <c r="AS260" s="55" t="str">
        <f aca="false">IF(AND('Choix pédagogiques'!$C$4&lt;&gt;"?",'Choix pédagogiques'!$C$5&lt;&gt;"?",X260&lt;&gt;""),(X260-'Choix pédagogiques'!$C$4)/('Choix pédagogiques'!$C$5-'Choix pédagogiques'!$C$4),"")</f>
        <v/>
      </c>
      <c r="AT260" s="55" t="str">
        <f aca="false">IF(AND('Choix pédagogiques'!$C$4&lt;&gt;"?",'Choix pédagogiques'!$C$5&lt;&gt;"?",Y260&lt;&gt;""),(Y260-'Choix pédagogiques'!$C$4)/('Choix pédagogiques'!$C$5-'Choix pédagogiques'!$C$4),"")</f>
        <v/>
      </c>
      <c r="AU260" s="53" t="str">
        <f aca="false">IF($E260&lt;&gt;"",$E260,"")</f>
        <v/>
      </c>
      <c r="AV260" s="52" t="str">
        <f aca="false">IF($F260&lt;&gt;"",$F260,"")</f>
        <v>Apprenant 248 ou 248'</v>
      </c>
      <c r="AW260" s="55" t="str">
        <f aca="false">IF(AND('Choix pédagogiques'!$C$4&lt;&gt;"?",'Choix pédagogiques'!$C$5&lt;&gt;"?",AB260&lt;&gt;""),(AB260-'Choix pédagogiques'!$C$4)/('Choix pédagogiques'!$C$5-'Choix pédagogiques'!$C$4),"")</f>
        <v/>
      </c>
      <c r="AX260" s="55" t="str">
        <f aca="false">IF(AND('Choix pédagogiques'!$C$4&lt;&gt;"?",'Choix pédagogiques'!$C$5&lt;&gt;"?",AC260&lt;&gt;""),(AC260-'Choix pédagogiques'!$C$4)/('Choix pédagogiques'!$C$5-'Choix pédagogiques'!$C$4),"")</f>
        <v/>
      </c>
      <c r="AY260" s="55" t="str">
        <f aca="false">IF(AND('Choix pédagogiques'!$C$4&lt;&gt;"?",'Choix pédagogiques'!$C$5&lt;&gt;"?",AD260&lt;&gt;""),(AD260-'Choix pédagogiques'!$C$4)/('Choix pédagogiques'!$C$5-'Choix pédagogiques'!$C$4),"")</f>
        <v/>
      </c>
      <c r="AZ260" s="53" t="str">
        <f aca="false">IF($J260&lt;&gt;"",$J260,"")</f>
        <v/>
      </c>
      <c r="BA260" s="52" t="str">
        <f aca="false">IF($A260&lt;&gt;"",$A260,"")</f>
        <v>Apprenant 248</v>
      </c>
      <c r="BB260" s="55" t="str">
        <f aca="false">IF(AND($AR260&lt;&gt;"",$AS260&lt;&gt;""),$AS260-$AR260,"")</f>
        <v/>
      </c>
      <c r="BC260" s="55" t="str">
        <f aca="false">IF(AND($AR260&lt;&gt;"",$AT260&lt;&gt;""),$AT260-$AR260,"")</f>
        <v/>
      </c>
      <c r="BD260" s="55" t="str">
        <f aca="false">IF(AND($AS260&lt;&gt;"",$AT260&lt;&gt;""),$AT260-$AS260,"")</f>
        <v/>
      </c>
      <c r="BE260" s="53" t="str">
        <f aca="false">IF($E260&lt;&gt;"",$E260,"")</f>
        <v/>
      </c>
      <c r="BF260" s="52" t="str">
        <f aca="false">IF($F260&lt;&gt;"",$F260,"")</f>
        <v>Apprenant 248 ou 248'</v>
      </c>
      <c r="BG260" s="55" t="str">
        <f aca="false">IF(AND($AW260&lt;&gt;"",$AX260&lt;&gt;""),$AX260-$AW260,"")</f>
        <v/>
      </c>
      <c r="BH260" s="55" t="str">
        <f aca="false">IF(AND($AW260&lt;&gt;"",$AY260&lt;&gt;""),$AY260-$AW260,"")</f>
        <v/>
      </c>
      <c r="BI260" s="55" t="str">
        <f aca="false">IF(AND($AX260&lt;&gt;"",$AY260&lt;&gt;""),$AY260-$AX260,"")</f>
        <v/>
      </c>
      <c r="BJ260" s="53" t="str">
        <f aca="false">IF($J260&lt;&gt;"",$J260,"")</f>
        <v/>
      </c>
      <c r="BL260" s="52"/>
      <c r="BM260" s="52" t="str">
        <f aca="false">IF(OR(COUNT(B260:D1259)=0,AND('Choix pédagogiques'!$C$3&lt;&gt;1,'Choix pédagogiques'!$C$3&lt;&gt;2)),"",IF(AND(OR('Choix pédagogiques'!$C$3=1,'Choix pédagogiques'!$C$3=2),$B260&lt;&gt;"",$C260&lt;&gt;"",$D260&lt;&gt;""),1,0))</f>
        <v/>
      </c>
      <c r="BN260" s="52" t="str">
        <f aca="false">IF(OR(COUNT(G260:I1259)=0,AND('Choix pédagogiques'!$C$3&lt;&gt;1,'Choix pédagogiques'!$C$3&lt;&gt;2)),"",IF(AND(OR('Choix pédagogiques'!$C$3=1,'Choix pédagogiques'!$C$3=2),AND($G260&lt;&gt;"",$H260&lt;&gt;"",$I260&lt;&gt;"")),1,0))</f>
        <v/>
      </c>
      <c r="BO260" s="52" t="str">
        <f aca="false">IF(OR(COUNT(B260:D1259)=0,COUNT(G260:I1259)=0,'Choix pédagogiques'!C$3&lt;&gt;3),"",IF(AND('Choix pédagogiques'!$C$3=3,$B260&lt;&gt;"",$C260&lt;&gt;"",$D260&lt;&gt;"",$G260&lt;&gt;"",$H260&lt;&gt;"",$I260&lt;&gt;""),1,0))</f>
        <v/>
      </c>
      <c r="BR260" s="52" t="n">
        <v>461</v>
      </c>
      <c r="BS260" s="52" t="n">
        <v>1357</v>
      </c>
    </row>
    <row r="261" s="54" customFormat="true" ht="18" hidden="false" customHeight="true" outlineLevel="0" collapsed="false">
      <c r="A261" s="57" t="s">
        <v>453</v>
      </c>
      <c r="B261" s="51"/>
      <c r="C261" s="51"/>
      <c r="D261" s="51"/>
      <c r="E261" s="51"/>
      <c r="F261" s="57" t="s">
        <v>454</v>
      </c>
      <c r="G261" s="51"/>
      <c r="H261" s="51"/>
      <c r="I261" s="51"/>
      <c r="J261" s="51"/>
      <c r="K261" s="52" t="str">
        <f aca="false">IF($A261&lt;&gt;"",$A261,"")</f>
        <v>Apprenant 249</v>
      </c>
      <c r="L261" s="53" t="str">
        <f aca="false">IF(AND($B261&lt;&gt;"",$C261&lt;&gt;""),$C261-$B261,"")</f>
        <v/>
      </c>
      <c r="M261" s="53" t="str">
        <f aca="false">IF(AND($B261&lt;&gt;"",$D261&lt;&gt;""),$D261-$B261,"")</f>
        <v/>
      </c>
      <c r="N261" s="53" t="str">
        <f aca="false">IF(AND($C261&lt;&gt;"",$D261&lt;&gt;""),$D261-$C261,"")</f>
        <v/>
      </c>
      <c r="O261" s="53" t="str">
        <f aca="false">IF($E261&lt;&gt;"",$E261,"")</f>
        <v/>
      </c>
      <c r="P261" s="52" t="str">
        <f aca="false">IF($F261&lt;&gt;"",$F261,"")</f>
        <v>Apprenant 249 ou 249'</v>
      </c>
      <c r="Q261" s="53" t="str">
        <f aca="false">IF(AND($G261&lt;&gt;"",$H261&lt;&gt;""),$H261-$G261,"")</f>
        <v/>
      </c>
      <c r="R261" s="53" t="str">
        <f aca="false">IF(AND($G261&lt;&gt;"",$I261&lt;&gt;""),$I261-$G261,"")</f>
        <v/>
      </c>
      <c r="S261" s="53" t="str">
        <f aca="false">IF(AND($H261&lt;&gt;"",$I261&lt;&gt;""),$I261-$H261,"")</f>
        <v/>
      </c>
      <c r="T261" s="53" t="str">
        <f aca="false">IF($J261&lt;&gt;"",$J261,"")</f>
        <v/>
      </c>
      <c r="V261" s="52" t="str">
        <f aca="false">IF($A261&lt;&gt;"",$A261,"")</f>
        <v>Apprenant 249</v>
      </c>
      <c r="W261" s="53" t="str">
        <f aca="false">IF(AND(OR('Choix pédagogiques'!$C$3=1,'Choix pédagogiques'!$C$3=2),$BM261=1),B261,IF(AND('Choix pédagogiques'!$C$3=3,$BO261=1),B261,""))</f>
        <v/>
      </c>
      <c r="X261" s="53" t="str">
        <f aca="false">IF(AND(OR('Choix pédagogiques'!$C$3=1,'Choix pédagogiques'!$C$3=2),$BM261=1),C261,IF(AND('Choix pédagogiques'!$C$3=3,$BO261=1),C261,""))</f>
        <v/>
      </c>
      <c r="Y261" s="53" t="str">
        <f aca="false">IF(AND(OR('Choix pédagogiques'!$C$3=1,'Choix pédagogiques'!$C$3=2),$BM261=1),D261,IF(AND('Choix pédagogiques'!$C$3=3,$BO261=1),D261,""))</f>
        <v/>
      </c>
      <c r="Z261" s="53" t="str">
        <f aca="false">IF($E261&lt;&gt;"",$E261,"")</f>
        <v/>
      </c>
      <c r="AA261" s="52" t="str">
        <f aca="false">IF($F261&lt;&gt;"",$F261,"")</f>
        <v>Apprenant 249 ou 249'</v>
      </c>
      <c r="AB261" s="53" t="str">
        <f aca="false">IF(AND(OR('Choix pédagogiques'!$C$3=1,'Choix pédagogiques'!$C$3=2),$BN261=1),G261,IF(AND('Choix pédagogiques'!$C$3=3,$BO261=1),G261,""))</f>
        <v/>
      </c>
      <c r="AC261" s="53" t="str">
        <f aca="false">IF(AND(OR('Choix pédagogiques'!$C$3=1,'Choix pédagogiques'!$C$3=2),$BN261=1),H261,IF(AND('Choix pédagogiques'!$C$3=3,$BO261=1),H261,""))</f>
        <v/>
      </c>
      <c r="AD261" s="53" t="str">
        <f aca="false">IF(AND(OR('Choix pédagogiques'!$C$3=1,'Choix pédagogiques'!$C$3=2),$BN261=1),I261,IF(AND('Choix pédagogiques'!$C$3=3,$BO261=1),I261,""))</f>
        <v/>
      </c>
      <c r="AE261" s="53" t="str">
        <f aca="false">IF($J261&lt;&gt;"",$J261,"")</f>
        <v/>
      </c>
      <c r="AF261" s="52" t="str">
        <f aca="false">IF($A261&lt;&gt;"",$A261,"")</f>
        <v>Apprenant 249</v>
      </c>
      <c r="AG261" s="53" t="str">
        <f aca="false">IF(AND($W261&lt;&gt;"",$X261&lt;&gt;""),$X261-$W261,"")</f>
        <v/>
      </c>
      <c r="AH261" s="53" t="str">
        <f aca="false">IF(AND($W261&lt;&gt;"",$Y261&lt;&gt;""),$Y261-$W261,"")</f>
        <v/>
      </c>
      <c r="AI261" s="53" t="str">
        <f aca="false">IF(AND($X261&lt;&gt;"",$Y261&lt;&gt;""),$Y261-$X261,"")</f>
        <v/>
      </c>
      <c r="AJ261" s="53" t="str">
        <f aca="false">IF($E261&lt;&gt;"",$E261,"")</f>
        <v/>
      </c>
      <c r="AK261" s="52" t="str">
        <f aca="false">IF($F261&lt;&gt;"",$F261,"")</f>
        <v>Apprenant 249 ou 249'</v>
      </c>
      <c r="AL261" s="53" t="str">
        <f aca="false">IF(AND($AB261&lt;&gt;"",$AC261&lt;&gt;""),$AC261-$AB261,"")</f>
        <v/>
      </c>
      <c r="AM261" s="53" t="str">
        <f aca="false">IF(AND($AB261&lt;&gt;"",$AD261&lt;&gt;""),$AD261-$AB261,"")</f>
        <v/>
      </c>
      <c r="AN261" s="53" t="str">
        <f aca="false">IF(AND($AC261&lt;&gt;"",$AD261&lt;&gt;""),$AD261-$AC261,"")</f>
        <v/>
      </c>
      <c r="AO261" s="53" t="str">
        <f aca="false">IF($J261&lt;&gt;"",$J261,"")</f>
        <v/>
      </c>
      <c r="AQ261" s="52" t="str">
        <f aca="false">IF($A261&lt;&gt;"",$A261,"")</f>
        <v>Apprenant 249</v>
      </c>
      <c r="AR261" s="55" t="str">
        <f aca="false">IF(AND('Choix pédagogiques'!$C$4&lt;&gt;"?",'Choix pédagogiques'!$C$5&lt;&gt;"?",W261&lt;&gt;""),(W261-'Choix pédagogiques'!$C$4)/('Choix pédagogiques'!$C$5-'Choix pédagogiques'!$C$4),"")</f>
        <v/>
      </c>
      <c r="AS261" s="55" t="str">
        <f aca="false">IF(AND('Choix pédagogiques'!$C$4&lt;&gt;"?",'Choix pédagogiques'!$C$5&lt;&gt;"?",X261&lt;&gt;""),(X261-'Choix pédagogiques'!$C$4)/('Choix pédagogiques'!$C$5-'Choix pédagogiques'!$C$4),"")</f>
        <v/>
      </c>
      <c r="AT261" s="55" t="str">
        <f aca="false">IF(AND('Choix pédagogiques'!$C$4&lt;&gt;"?",'Choix pédagogiques'!$C$5&lt;&gt;"?",Y261&lt;&gt;""),(Y261-'Choix pédagogiques'!$C$4)/('Choix pédagogiques'!$C$5-'Choix pédagogiques'!$C$4),"")</f>
        <v/>
      </c>
      <c r="AU261" s="53" t="str">
        <f aca="false">IF($E261&lt;&gt;"",$E261,"")</f>
        <v/>
      </c>
      <c r="AV261" s="52" t="str">
        <f aca="false">IF($F261&lt;&gt;"",$F261,"")</f>
        <v>Apprenant 249 ou 249'</v>
      </c>
      <c r="AW261" s="55" t="str">
        <f aca="false">IF(AND('Choix pédagogiques'!$C$4&lt;&gt;"?",'Choix pédagogiques'!$C$5&lt;&gt;"?",AB261&lt;&gt;""),(AB261-'Choix pédagogiques'!$C$4)/('Choix pédagogiques'!$C$5-'Choix pédagogiques'!$C$4),"")</f>
        <v/>
      </c>
      <c r="AX261" s="55" t="str">
        <f aca="false">IF(AND('Choix pédagogiques'!$C$4&lt;&gt;"?",'Choix pédagogiques'!$C$5&lt;&gt;"?",AC261&lt;&gt;""),(AC261-'Choix pédagogiques'!$C$4)/('Choix pédagogiques'!$C$5-'Choix pédagogiques'!$C$4),"")</f>
        <v/>
      </c>
      <c r="AY261" s="55" t="str">
        <f aca="false">IF(AND('Choix pédagogiques'!$C$4&lt;&gt;"?",'Choix pédagogiques'!$C$5&lt;&gt;"?",AD261&lt;&gt;""),(AD261-'Choix pédagogiques'!$C$4)/('Choix pédagogiques'!$C$5-'Choix pédagogiques'!$C$4),"")</f>
        <v/>
      </c>
      <c r="AZ261" s="53" t="str">
        <f aca="false">IF($J261&lt;&gt;"",$J261,"")</f>
        <v/>
      </c>
      <c r="BA261" s="52" t="str">
        <f aca="false">IF($A261&lt;&gt;"",$A261,"")</f>
        <v>Apprenant 249</v>
      </c>
      <c r="BB261" s="55" t="str">
        <f aca="false">IF(AND($AR261&lt;&gt;"",$AS261&lt;&gt;""),$AS261-$AR261,"")</f>
        <v/>
      </c>
      <c r="BC261" s="55" t="str">
        <f aca="false">IF(AND($AR261&lt;&gt;"",$AT261&lt;&gt;""),$AT261-$AR261,"")</f>
        <v/>
      </c>
      <c r="BD261" s="55" t="str">
        <f aca="false">IF(AND($AS261&lt;&gt;"",$AT261&lt;&gt;""),$AT261-$AS261,"")</f>
        <v/>
      </c>
      <c r="BE261" s="53" t="str">
        <f aca="false">IF($E261&lt;&gt;"",$E261,"")</f>
        <v/>
      </c>
      <c r="BF261" s="52" t="str">
        <f aca="false">IF($F261&lt;&gt;"",$F261,"")</f>
        <v>Apprenant 249 ou 249'</v>
      </c>
      <c r="BG261" s="55" t="str">
        <f aca="false">IF(AND($AW261&lt;&gt;"",$AX261&lt;&gt;""),$AX261-$AW261,"")</f>
        <v/>
      </c>
      <c r="BH261" s="55" t="str">
        <f aca="false">IF(AND($AW261&lt;&gt;"",$AY261&lt;&gt;""),$AY261-$AW261,"")</f>
        <v/>
      </c>
      <c r="BI261" s="55" t="str">
        <f aca="false">IF(AND($AX261&lt;&gt;"",$AY261&lt;&gt;""),$AY261-$AX261,"")</f>
        <v/>
      </c>
      <c r="BJ261" s="53" t="str">
        <f aca="false">IF($J261&lt;&gt;"",$J261,"")</f>
        <v/>
      </c>
      <c r="BL261" s="52"/>
      <c r="BM261" s="52" t="str">
        <f aca="false">IF(OR(COUNT(B261:D1260)=0,AND('Choix pédagogiques'!$C$3&lt;&gt;1,'Choix pédagogiques'!$C$3&lt;&gt;2)),"",IF(AND(OR('Choix pédagogiques'!$C$3=1,'Choix pédagogiques'!$C$3=2),$B261&lt;&gt;"",$C261&lt;&gt;"",$D261&lt;&gt;""),1,0))</f>
        <v/>
      </c>
      <c r="BN261" s="52" t="str">
        <f aca="false">IF(OR(COUNT(G261:I1260)=0,AND('Choix pédagogiques'!$C$3&lt;&gt;1,'Choix pédagogiques'!$C$3&lt;&gt;2)),"",IF(AND(OR('Choix pédagogiques'!$C$3=1,'Choix pédagogiques'!$C$3=2),AND($G261&lt;&gt;"",$H261&lt;&gt;"",$I261&lt;&gt;"")),1,0))</f>
        <v/>
      </c>
      <c r="BO261" s="52" t="str">
        <f aca="false">IF(OR(COUNT(B261:D1260)=0,COUNT(G261:I1260)=0,'Choix pédagogiques'!C$3&lt;&gt;3),"",IF(AND('Choix pédagogiques'!$C$3=3,$B261&lt;&gt;"",$C261&lt;&gt;"",$D261&lt;&gt;"",$G261&lt;&gt;"",$H261&lt;&gt;"",$I261&lt;&gt;""),1,0))</f>
        <v/>
      </c>
      <c r="BR261" s="52" t="n">
        <v>319</v>
      </c>
      <c r="BS261" s="52" t="n">
        <v>1033</v>
      </c>
    </row>
    <row r="262" s="54" customFormat="true" ht="18" hidden="false" customHeight="true" outlineLevel="0" collapsed="false">
      <c r="A262" s="57" t="s">
        <v>455</v>
      </c>
      <c r="B262" s="51"/>
      <c r="C262" s="51"/>
      <c r="D262" s="51"/>
      <c r="E262" s="51"/>
      <c r="F262" s="57" t="s">
        <v>456</v>
      </c>
      <c r="G262" s="51"/>
      <c r="H262" s="51"/>
      <c r="I262" s="51"/>
      <c r="J262" s="51"/>
      <c r="K262" s="52" t="str">
        <f aca="false">IF($A262&lt;&gt;"",$A262,"")</f>
        <v>Apprenant 250</v>
      </c>
      <c r="L262" s="53" t="str">
        <f aca="false">IF(AND($B262&lt;&gt;"",$C262&lt;&gt;""),$C262-$B262,"")</f>
        <v/>
      </c>
      <c r="M262" s="53" t="str">
        <f aca="false">IF(AND($B262&lt;&gt;"",$D262&lt;&gt;""),$D262-$B262,"")</f>
        <v/>
      </c>
      <c r="N262" s="53" t="str">
        <f aca="false">IF(AND($C262&lt;&gt;"",$D262&lt;&gt;""),$D262-$C262,"")</f>
        <v/>
      </c>
      <c r="O262" s="53" t="str">
        <f aca="false">IF($E262&lt;&gt;"",$E262,"")</f>
        <v/>
      </c>
      <c r="P262" s="52" t="str">
        <f aca="false">IF($F262&lt;&gt;"",$F262,"")</f>
        <v>Apprenant 250 ou 250'</v>
      </c>
      <c r="Q262" s="53" t="str">
        <f aca="false">IF(AND($G262&lt;&gt;"",$H262&lt;&gt;""),$H262-$G262,"")</f>
        <v/>
      </c>
      <c r="R262" s="53" t="str">
        <f aca="false">IF(AND($G262&lt;&gt;"",$I262&lt;&gt;""),$I262-$G262,"")</f>
        <v/>
      </c>
      <c r="S262" s="53" t="str">
        <f aca="false">IF(AND($H262&lt;&gt;"",$I262&lt;&gt;""),$I262-$H262,"")</f>
        <v/>
      </c>
      <c r="T262" s="53" t="str">
        <f aca="false">IF($J262&lt;&gt;"",$J262,"")</f>
        <v/>
      </c>
      <c r="V262" s="52" t="str">
        <f aca="false">IF($A262&lt;&gt;"",$A262,"")</f>
        <v>Apprenant 250</v>
      </c>
      <c r="W262" s="53" t="str">
        <f aca="false">IF(AND(OR('Choix pédagogiques'!$C$3=1,'Choix pédagogiques'!$C$3=2),$BM262=1),B262,IF(AND('Choix pédagogiques'!$C$3=3,$BO262=1),B262,""))</f>
        <v/>
      </c>
      <c r="X262" s="53" t="str">
        <f aca="false">IF(AND(OR('Choix pédagogiques'!$C$3=1,'Choix pédagogiques'!$C$3=2),$BM262=1),C262,IF(AND('Choix pédagogiques'!$C$3=3,$BO262=1),C262,""))</f>
        <v/>
      </c>
      <c r="Y262" s="53" t="str">
        <f aca="false">IF(AND(OR('Choix pédagogiques'!$C$3=1,'Choix pédagogiques'!$C$3=2),$BM262=1),D262,IF(AND('Choix pédagogiques'!$C$3=3,$BO262=1),D262,""))</f>
        <v/>
      </c>
      <c r="Z262" s="53" t="str">
        <f aca="false">IF($E262&lt;&gt;"",$E262,"")</f>
        <v/>
      </c>
      <c r="AA262" s="52" t="str">
        <f aca="false">IF($F262&lt;&gt;"",$F262,"")</f>
        <v>Apprenant 250 ou 250'</v>
      </c>
      <c r="AB262" s="53" t="str">
        <f aca="false">IF(AND(OR('Choix pédagogiques'!$C$3=1,'Choix pédagogiques'!$C$3=2),$BN262=1),G262,IF(AND('Choix pédagogiques'!$C$3=3,$BO262=1),G262,""))</f>
        <v/>
      </c>
      <c r="AC262" s="53" t="str">
        <f aca="false">IF(AND(OR('Choix pédagogiques'!$C$3=1,'Choix pédagogiques'!$C$3=2),$BN262=1),H262,IF(AND('Choix pédagogiques'!$C$3=3,$BO262=1),H262,""))</f>
        <v/>
      </c>
      <c r="AD262" s="53" t="str">
        <f aca="false">IF(AND(OR('Choix pédagogiques'!$C$3=1,'Choix pédagogiques'!$C$3=2),$BN262=1),I262,IF(AND('Choix pédagogiques'!$C$3=3,$BO262=1),I262,""))</f>
        <v/>
      </c>
      <c r="AE262" s="53" t="str">
        <f aca="false">IF($J262&lt;&gt;"",$J262,"")</f>
        <v/>
      </c>
      <c r="AF262" s="52" t="str">
        <f aca="false">IF($A262&lt;&gt;"",$A262,"")</f>
        <v>Apprenant 250</v>
      </c>
      <c r="AG262" s="53" t="str">
        <f aca="false">IF(AND($W262&lt;&gt;"",$X262&lt;&gt;""),$X262-$W262,"")</f>
        <v/>
      </c>
      <c r="AH262" s="53" t="str">
        <f aca="false">IF(AND($W262&lt;&gt;"",$Y262&lt;&gt;""),$Y262-$W262,"")</f>
        <v/>
      </c>
      <c r="AI262" s="53" t="str">
        <f aca="false">IF(AND($X262&lt;&gt;"",$Y262&lt;&gt;""),$Y262-$X262,"")</f>
        <v/>
      </c>
      <c r="AJ262" s="53" t="str">
        <f aca="false">IF($E262&lt;&gt;"",$E262,"")</f>
        <v/>
      </c>
      <c r="AK262" s="52" t="str">
        <f aca="false">IF($F262&lt;&gt;"",$F262,"")</f>
        <v>Apprenant 250 ou 250'</v>
      </c>
      <c r="AL262" s="53" t="str">
        <f aca="false">IF(AND($AB262&lt;&gt;"",$AC262&lt;&gt;""),$AC262-$AB262,"")</f>
        <v/>
      </c>
      <c r="AM262" s="53" t="str">
        <f aca="false">IF(AND($AB262&lt;&gt;"",$AD262&lt;&gt;""),$AD262-$AB262,"")</f>
        <v/>
      </c>
      <c r="AN262" s="53" t="str">
        <f aca="false">IF(AND($AC262&lt;&gt;"",$AD262&lt;&gt;""),$AD262-$AC262,"")</f>
        <v/>
      </c>
      <c r="AO262" s="53" t="str">
        <f aca="false">IF($J262&lt;&gt;"",$J262,"")</f>
        <v/>
      </c>
      <c r="AQ262" s="52" t="str">
        <f aca="false">IF($A262&lt;&gt;"",$A262,"")</f>
        <v>Apprenant 250</v>
      </c>
      <c r="AR262" s="55" t="str">
        <f aca="false">IF(AND('Choix pédagogiques'!$C$4&lt;&gt;"?",'Choix pédagogiques'!$C$5&lt;&gt;"?",W262&lt;&gt;""),(W262-'Choix pédagogiques'!$C$4)/('Choix pédagogiques'!$C$5-'Choix pédagogiques'!$C$4),"")</f>
        <v/>
      </c>
      <c r="AS262" s="55" t="str">
        <f aca="false">IF(AND('Choix pédagogiques'!$C$4&lt;&gt;"?",'Choix pédagogiques'!$C$5&lt;&gt;"?",X262&lt;&gt;""),(X262-'Choix pédagogiques'!$C$4)/('Choix pédagogiques'!$C$5-'Choix pédagogiques'!$C$4),"")</f>
        <v/>
      </c>
      <c r="AT262" s="55" t="str">
        <f aca="false">IF(AND('Choix pédagogiques'!$C$4&lt;&gt;"?",'Choix pédagogiques'!$C$5&lt;&gt;"?",Y262&lt;&gt;""),(Y262-'Choix pédagogiques'!$C$4)/('Choix pédagogiques'!$C$5-'Choix pédagogiques'!$C$4),"")</f>
        <v/>
      </c>
      <c r="AU262" s="53" t="str">
        <f aca="false">IF($E262&lt;&gt;"",$E262,"")</f>
        <v/>
      </c>
      <c r="AV262" s="52" t="str">
        <f aca="false">IF($F262&lt;&gt;"",$F262,"")</f>
        <v>Apprenant 250 ou 250'</v>
      </c>
      <c r="AW262" s="55" t="str">
        <f aca="false">IF(AND('Choix pédagogiques'!$C$4&lt;&gt;"?",'Choix pédagogiques'!$C$5&lt;&gt;"?",AB262&lt;&gt;""),(AB262-'Choix pédagogiques'!$C$4)/('Choix pédagogiques'!$C$5-'Choix pédagogiques'!$C$4),"")</f>
        <v/>
      </c>
      <c r="AX262" s="55" t="str">
        <f aca="false">IF(AND('Choix pédagogiques'!$C$4&lt;&gt;"?",'Choix pédagogiques'!$C$5&lt;&gt;"?",AC262&lt;&gt;""),(AC262-'Choix pédagogiques'!$C$4)/('Choix pédagogiques'!$C$5-'Choix pédagogiques'!$C$4),"")</f>
        <v/>
      </c>
      <c r="AY262" s="55" t="str">
        <f aca="false">IF(AND('Choix pédagogiques'!$C$4&lt;&gt;"?",'Choix pédagogiques'!$C$5&lt;&gt;"?",AD262&lt;&gt;""),(AD262-'Choix pédagogiques'!$C$4)/('Choix pédagogiques'!$C$5-'Choix pédagogiques'!$C$4),"")</f>
        <v/>
      </c>
      <c r="AZ262" s="53" t="str">
        <f aca="false">IF($J262&lt;&gt;"",$J262,"")</f>
        <v/>
      </c>
      <c r="BA262" s="52" t="str">
        <f aca="false">IF($A262&lt;&gt;"",$A262,"")</f>
        <v>Apprenant 250</v>
      </c>
      <c r="BB262" s="55" t="str">
        <f aca="false">IF(AND($AR262&lt;&gt;"",$AS262&lt;&gt;""),$AS262-$AR262,"")</f>
        <v/>
      </c>
      <c r="BC262" s="55" t="str">
        <f aca="false">IF(AND($AR262&lt;&gt;"",$AT262&lt;&gt;""),$AT262-$AR262,"")</f>
        <v/>
      </c>
      <c r="BD262" s="55" t="str">
        <f aca="false">IF(AND($AS262&lt;&gt;"",$AT262&lt;&gt;""),$AT262-$AS262,"")</f>
        <v/>
      </c>
      <c r="BE262" s="53" t="str">
        <f aca="false">IF($E262&lt;&gt;"",$E262,"")</f>
        <v/>
      </c>
      <c r="BF262" s="52" t="str">
        <f aca="false">IF($F262&lt;&gt;"",$F262,"")</f>
        <v>Apprenant 250 ou 250'</v>
      </c>
      <c r="BG262" s="55" t="str">
        <f aca="false">IF(AND($AW262&lt;&gt;"",$AX262&lt;&gt;""),$AX262-$AW262,"")</f>
        <v/>
      </c>
      <c r="BH262" s="55" t="str">
        <f aca="false">IF(AND($AW262&lt;&gt;"",$AY262&lt;&gt;""),$AY262-$AW262,"")</f>
        <v/>
      </c>
      <c r="BI262" s="55" t="str">
        <f aca="false">IF(AND($AX262&lt;&gt;"",$AY262&lt;&gt;""),$AY262-$AX262,"")</f>
        <v/>
      </c>
      <c r="BJ262" s="53" t="str">
        <f aca="false">IF($J262&lt;&gt;"",$J262,"")</f>
        <v/>
      </c>
      <c r="BL262" s="52"/>
      <c r="BM262" s="52" t="str">
        <f aca="false">IF(OR(COUNT(B262:D1261)=0,AND('Choix pédagogiques'!$C$3&lt;&gt;1,'Choix pédagogiques'!$C$3&lt;&gt;2)),"",IF(AND(OR('Choix pédagogiques'!$C$3=1,'Choix pédagogiques'!$C$3=2),$B262&lt;&gt;"",$C262&lt;&gt;"",$D262&lt;&gt;""),1,0))</f>
        <v/>
      </c>
      <c r="BN262" s="52" t="str">
        <f aca="false">IF(OR(COUNT(G262:I1261)=0,AND('Choix pédagogiques'!$C$3&lt;&gt;1,'Choix pédagogiques'!$C$3&lt;&gt;2)),"",IF(AND(OR('Choix pédagogiques'!$C$3=1,'Choix pédagogiques'!$C$3=2),AND($G262&lt;&gt;"",$H262&lt;&gt;"",$I262&lt;&gt;"")),1,0))</f>
        <v/>
      </c>
      <c r="BO262" s="52" t="str">
        <f aca="false">IF(OR(COUNT(B262:D1261)=0,COUNT(G262:I1261)=0,'Choix pédagogiques'!C$3&lt;&gt;3),"",IF(AND('Choix pédagogiques'!$C$3=3,$B262&lt;&gt;"",$C262&lt;&gt;"",$D262&lt;&gt;"",$G262&lt;&gt;"",$H262&lt;&gt;"",$I262&lt;&gt;""),1,0))</f>
        <v/>
      </c>
      <c r="BR262" s="52" t="n">
        <v>248</v>
      </c>
      <c r="BS262" s="52" t="n">
        <v>1152</v>
      </c>
    </row>
    <row r="263" s="54" customFormat="true" ht="18" hidden="false" customHeight="true" outlineLevel="0" collapsed="false">
      <c r="A263" s="57" t="s">
        <v>457</v>
      </c>
      <c r="B263" s="51"/>
      <c r="C263" s="51"/>
      <c r="D263" s="51"/>
      <c r="E263" s="51"/>
      <c r="F263" s="57" t="s">
        <v>458</v>
      </c>
      <c r="G263" s="51"/>
      <c r="H263" s="51"/>
      <c r="I263" s="51"/>
      <c r="J263" s="51"/>
      <c r="K263" s="52" t="str">
        <f aca="false">IF($A263&lt;&gt;"",$A263,"")</f>
        <v>Apprenant 251</v>
      </c>
      <c r="L263" s="53" t="str">
        <f aca="false">IF(AND($B263&lt;&gt;"",$C263&lt;&gt;""),$C263-$B263,"")</f>
        <v/>
      </c>
      <c r="M263" s="53" t="str">
        <f aca="false">IF(AND($B263&lt;&gt;"",$D263&lt;&gt;""),$D263-$B263,"")</f>
        <v/>
      </c>
      <c r="N263" s="53" t="str">
        <f aca="false">IF(AND($C263&lt;&gt;"",$D263&lt;&gt;""),$D263-$C263,"")</f>
        <v/>
      </c>
      <c r="O263" s="53" t="str">
        <f aca="false">IF($E263&lt;&gt;"",$E263,"")</f>
        <v/>
      </c>
      <c r="P263" s="52" t="str">
        <f aca="false">IF($F263&lt;&gt;"",$F263,"")</f>
        <v>Apprenant 251 ou 251'</v>
      </c>
      <c r="Q263" s="53" t="str">
        <f aca="false">IF(AND($G263&lt;&gt;"",$H263&lt;&gt;""),$H263-$G263,"")</f>
        <v/>
      </c>
      <c r="R263" s="53" t="str">
        <f aca="false">IF(AND($G263&lt;&gt;"",$I263&lt;&gt;""),$I263-$G263,"")</f>
        <v/>
      </c>
      <c r="S263" s="53" t="str">
        <f aca="false">IF(AND($H263&lt;&gt;"",$I263&lt;&gt;""),$I263-$H263,"")</f>
        <v/>
      </c>
      <c r="T263" s="53" t="str">
        <f aca="false">IF($J263&lt;&gt;"",$J263,"")</f>
        <v/>
      </c>
      <c r="V263" s="52" t="str">
        <f aca="false">IF($A263&lt;&gt;"",$A263,"")</f>
        <v>Apprenant 251</v>
      </c>
      <c r="W263" s="53" t="str">
        <f aca="false">IF(AND(OR('Choix pédagogiques'!$C$3=1,'Choix pédagogiques'!$C$3=2),$BM263=1),B263,IF(AND('Choix pédagogiques'!$C$3=3,$BO263=1),B263,""))</f>
        <v/>
      </c>
      <c r="X263" s="53" t="str">
        <f aca="false">IF(AND(OR('Choix pédagogiques'!$C$3=1,'Choix pédagogiques'!$C$3=2),$BM263=1),C263,IF(AND('Choix pédagogiques'!$C$3=3,$BO263=1),C263,""))</f>
        <v/>
      </c>
      <c r="Y263" s="53" t="str">
        <f aca="false">IF(AND(OR('Choix pédagogiques'!$C$3=1,'Choix pédagogiques'!$C$3=2),$BM263=1),D263,IF(AND('Choix pédagogiques'!$C$3=3,$BO263=1),D263,""))</f>
        <v/>
      </c>
      <c r="Z263" s="53" t="str">
        <f aca="false">IF($E263&lt;&gt;"",$E263,"")</f>
        <v/>
      </c>
      <c r="AA263" s="52" t="str">
        <f aca="false">IF($F263&lt;&gt;"",$F263,"")</f>
        <v>Apprenant 251 ou 251'</v>
      </c>
      <c r="AB263" s="53" t="str">
        <f aca="false">IF(AND(OR('Choix pédagogiques'!$C$3=1,'Choix pédagogiques'!$C$3=2),$BN263=1),G263,IF(AND('Choix pédagogiques'!$C$3=3,$BO263=1),G263,""))</f>
        <v/>
      </c>
      <c r="AC263" s="53" t="str">
        <f aca="false">IF(AND(OR('Choix pédagogiques'!$C$3=1,'Choix pédagogiques'!$C$3=2),$BN263=1),H263,IF(AND('Choix pédagogiques'!$C$3=3,$BO263=1),H263,""))</f>
        <v/>
      </c>
      <c r="AD263" s="53" t="str">
        <f aca="false">IF(AND(OR('Choix pédagogiques'!$C$3=1,'Choix pédagogiques'!$C$3=2),$BN263=1),I263,IF(AND('Choix pédagogiques'!$C$3=3,$BO263=1),I263,""))</f>
        <v/>
      </c>
      <c r="AE263" s="53" t="str">
        <f aca="false">IF($J263&lt;&gt;"",$J263,"")</f>
        <v/>
      </c>
      <c r="AF263" s="52" t="str">
        <f aca="false">IF($A263&lt;&gt;"",$A263,"")</f>
        <v>Apprenant 251</v>
      </c>
      <c r="AG263" s="53" t="str">
        <f aca="false">IF(AND($W263&lt;&gt;"",$X263&lt;&gt;""),$X263-$W263,"")</f>
        <v/>
      </c>
      <c r="AH263" s="53" t="str">
        <f aca="false">IF(AND($W263&lt;&gt;"",$Y263&lt;&gt;""),$Y263-$W263,"")</f>
        <v/>
      </c>
      <c r="AI263" s="53" t="str">
        <f aca="false">IF(AND($X263&lt;&gt;"",$Y263&lt;&gt;""),$Y263-$X263,"")</f>
        <v/>
      </c>
      <c r="AJ263" s="53" t="str">
        <f aca="false">IF($E263&lt;&gt;"",$E263,"")</f>
        <v/>
      </c>
      <c r="AK263" s="52" t="str">
        <f aca="false">IF($F263&lt;&gt;"",$F263,"")</f>
        <v>Apprenant 251 ou 251'</v>
      </c>
      <c r="AL263" s="53" t="str">
        <f aca="false">IF(AND($AB263&lt;&gt;"",$AC263&lt;&gt;""),$AC263-$AB263,"")</f>
        <v/>
      </c>
      <c r="AM263" s="53" t="str">
        <f aca="false">IF(AND($AB263&lt;&gt;"",$AD263&lt;&gt;""),$AD263-$AB263,"")</f>
        <v/>
      </c>
      <c r="AN263" s="53" t="str">
        <f aca="false">IF(AND($AC263&lt;&gt;"",$AD263&lt;&gt;""),$AD263-$AC263,"")</f>
        <v/>
      </c>
      <c r="AO263" s="53" t="str">
        <f aca="false">IF($J263&lt;&gt;"",$J263,"")</f>
        <v/>
      </c>
      <c r="AQ263" s="52" t="str">
        <f aca="false">IF($A263&lt;&gt;"",$A263,"")</f>
        <v>Apprenant 251</v>
      </c>
      <c r="AR263" s="55" t="str">
        <f aca="false">IF(AND('Choix pédagogiques'!$C$4&lt;&gt;"?",'Choix pédagogiques'!$C$5&lt;&gt;"?",W263&lt;&gt;""),(W263-'Choix pédagogiques'!$C$4)/('Choix pédagogiques'!$C$5-'Choix pédagogiques'!$C$4),"")</f>
        <v/>
      </c>
      <c r="AS263" s="55" t="str">
        <f aca="false">IF(AND('Choix pédagogiques'!$C$4&lt;&gt;"?",'Choix pédagogiques'!$C$5&lt;&gt;"?",X263&lt;&gt;""),(X263-'Choix pédagogiques'!$C$4)/('Choix pédagogiques'!$C$5-'Choix pédagogiques'!$C$4),"")</f>
        <v/>
      </c>
      <c r="AT263" s="55" t="str">
        <f aca="false">IF(AND('Choix pédagogiques'!$C$4&lt;&gt;"?",'Choix pédagogiques'!$C$5&lt;&gt;"?",Y263&lt;&gt;""),(Y263-'Choix pédagogiques'!$C$4)/('Choix pédagogiques'!$C$5-'Choix pédagogiques'!$C$4),"")</f>
        <v/>
      </c>
      <c r="AU263" s="53" t="str">
        <f aca="false">IF($E263&lt;&gt;"",$E263,"")</f>
        <v/>
      </c>
      <c r="AV263" s="52" t="str">
        <f aca="false">IF($F263&lt;&gt;"",$F263,"")</f>
        <v>Apprenant 251 ou 251'</v>
      </c>
      <c r="AW263" s="55" t="str">
        <f aca="false">IF(AND('Choix pédagogiques'!$C$4&lt;&gt;"?",'Choix pédagogiques'!$C$5&lt;&gt;"?",AB263&lt;&gt;""),(AB263-'Choix pédagogiques'!$C$4)/('Choix pédagogiques'!$C$5-'Choix pédagogiques'!$C$4),"")</f>
        <v/>
      </c>
      <c r="AX263" s="55" t="str">
        <f aca="false">IF(AND('Choix pédagogiques'!$C$4&lt;&gt;"?",'Choix pédagogiques'!$C$5&lt;&gt;"?",AC263&lt;&gt;""),(AC263-'Choix pédagogiques'!$C$4)/('Choix pédagogiques'!$C$5-'Choix pédagogiques'!$C$4),"")</f>
        <v/>
      </c>
      <c r="AY263" s="55" t="str">
        <f aca="false">IF(AND('Choix pédagogiques'!$C$4&lt;&gt;"?",'Choix pédagogiques'!$C$5&lt;&gt;"?",AD263&lt;&gt;""),(AD263-'Choix pédagogiques'!$C$4)/('Choix pédagogiques'!$C$5-'Choix pédagogiques'!$C$4),"")</f>
        <v/>
      </c>
      <c r="AZ263" s="53" t="str">
        <f aca="false">IF($J263&lt;&gt;"",$J263,"")</f>
        <v/>
      </c>
      <c r="BA263" s="52" t="str">
        <f aca="false">IF($A263&lt;&gt;"",$A263,"")</f>
        <v>Apprenant 251</v>
      </c>
      <c r="BB263" s="55" t="str">
        <f aca="false">IF(AND($AR263&lt;&gt;"",$AS263&lt;&gt;""),$AS263-$AR263,"")</f>
        <v/>
      </c>
      <c r="BC263" s="55" t="str">
        <f aca="false">IF(AND($AR263&lt;&gt;"",$AT263&lt;&gt;""),$AT263-$AR263,"")</f>
        <v/>
      </c>
      <c r="BD263" s="55" t="str">
        <f aca="false">IF(AND($AS263&lt;&gt;"",$AT263&lt;&gt;""),$AT263-$AS263,"")</f>
        <v/>
      </c>
      <c r="BE263" s="53" t="str">
        <f aca="false">IF($E263&lt;&gt;"",$E263,"")</f>
        <v/>
      </c>
      <c r="BF263" s="52" t="str">
        <f aca="false">IF($F263&lt;&gt;"",$F263,"")</f>
        <v>Apprenant 251 ou 251'</v>
      </c>
      <c r="BG263" s="55" t="str">
        <f aca="false">IF(AND($AW263&lt;&gt;"",$AX263&lt;&gt;""),$AX263-$AW263,"")</f>
        <v/>
      </c>
      <c r="BH263" s="55" t="str">
        <f aca="false">IF(AND($AW263&lt;&gt;"",$AY263&lt;&gt;""),$AY263-$AW263,"")</f>
        <v/>
      </c>
      <c r="BI263" s="55" t="str">
        <f aca="false">IF(AND($AX263&lt;&gt;"",$AY263&lt;&gt;""),$AY263-$AX263,"")</f>
        <v/>
      </c>
      <c r="BJ263" s="53" t="str">
        <f aca="false">IF($J263&lt;&gt;"",$J263,"")</f>
        <v/>
      </c>
      <c r="BL263" s="52"/>
      <c r="BM263" s="52" t="str">
        <f aca="false">IF(OR(COUNT(B263:D1262)=0,AND('Choix pédagogiques'!$C$3&lt;&gt;1,'Choix pédagogiques'!$C$3&lt;&gt;2)),"",IF(AND(OR('Choix pédagogiques'!$C$3=1,'Choix pédagogiques'!$C$3=2),$B263&lt;&gt;"",$C263&lt;&gt;"",$D263&lt;&gt;""),1,0))</f>
        <v/>
      </c>
      <c r="BN263" s="52" t="str">
        <f aca="false">IF(OR(COUNT(G263:I1262)=0,AND('Choix pédagogiques'!$C$3&lt;&gt;1,'Choix pédagogiques'!$C$3&lt;&gt;2)),"",IF(AND(OR('Choix pédagogiques'!$C$3=1,'Choix pédagogiques'!$C$3=2),AND($G263&lt;&gt;"",$H263&lt;&gt;"",$I263&lt;&gt;"")),1,0))</f>
        <v/>
      </c>
      <c r="BO263" s="52" t="str">
        <f aca="false">IF(OR(COUNT(B263:D1262)=0,COUNT(G263:I1262)=0,'Choix pédagogiques'!C$3&lt;&gt;3),"",IF(AND('Choix pédagogiques'!$C$3=3,$B263&lt;&gt;"",$C263&lt;&gt;"",$D263&lt;&gt;"",$G263&lt;&gt;"",$H263&lt;&gt;"",$I263&lt;&gt;""),1,0))</f>
        <v/>
      </c>
      <c r="BR263" s="52" t="n">
        <v>309</v>
      </c>
      <c r="BS263" s="52" t="n">
        <v>1714</v>
      </c>
    </row>
    <row r="264" s="54" customFormat="true" ht="18" hidden="false" customHeight="true" outlineLevel="0" collapsed="false">
      <c r="A264" s="57" t="s">
        <v>459</v>
      </c>
      <c r="B264" s="51"/>
      <c r="C264" s="51"/>
      <c r="D264" s="51"/>
      <c r="E264" s="51"/>
      <c r="F264" s="57" t="s">
        <v>460</v>
      </c>
      <c r="G264" s="51"/>
      <c r="H264" s="51"/>
      <c r="I264" s="51"/>
      <c r="J264" s="51"/>
      <c r="K264" s="52" t="str">
        <f aca="false">IF($A264&lt;&gt;"",$A264,"")</f>
        <v>Apprenant 252</v>
      </c>
      <c r="L264" s="53" t="str">
        <f aca="false">IF(AND($B264&lt;&gt;"",$C264&lt;&gt;""),$C264-$B264,"")</f>
        <v/>
      </c>
      <c r="M264" s="53" t="str">
        <f aca="false">IF(AND($B264&lt;&gt;"",$D264&lt;&gt;""),$D264-$B264,"")</f>
        <v/>
      </c>
      <c r="N264" s="53" t="str">
        <f aca="false">IF(AND($C264&lt;&gt;"",$D264&lt;&gt;""),$D264-$C264,"")</f>
        <v/>
      </c>
      <c r="O264" s="53" t="str">
        <f aca="false">IF($E264&lt;&gt;"",$E264,"")</f>
        <v/>
      </c>
      <c r="P264" s="52" t="str">
        <f aca="false">IF($F264&lt;&gt;"",$F264,"")</f>
        <v>Apprenant 252 ou 252'</v>
      </c>
      <c r="Q264" s="53" t="str">
        <f aca="false">IF(AND($G264&lt;&gt;"",$H264&lt;&gt;""),$H264-$G264,"")</f>
        <v/>
      </c>
      <c r="R264" s="53" t="str">
        <f aca="false">IF(AND($G264&lt;&gt;"",$I264&lt;&gt;""),$I264-$G264,"")</f>
        <v/>
      </c>
      <c r="S264" s="53" t="str">
        <f aca="false">IF(AND($H264&lt;&gt;"",$I264&lt;&gt;""),$I264-$H264,"")</f>
        <v/>
      </c>
      <c r="T264" s="53" t="str">
        <f aca="false">IF($J264&lt;&gt;"",$J264,"")</f>
        <v/>
      </c>
      <c r="V264" s="52" t="str">
        <f aca="false">IF($A264&lt;&gt;"",$A264,"")</f>
        <v>Apprenant 252</v>
      </c>
      <c r="W264" s="53" t="str">
        <f aca="false">IF(AND(OR('Choix pédagogiques'!$C$3=1,'Choix pédagogiques'!$C$3=2),$BM264=1),B264,IF(AND('Choix pédagogiques'!$C$3=3,$BO264=1),B264,""))</f>
        <v/>
      </c>
      <c r="X264" s="53" t="str">
        <f aca="false">IF(AND(OR('Choix pédagogiques'!$C$3=1,'Choix pédagogiques'!$C$3=2),$BM264=1),C264,IF(AND('Choix pédagogiques'!$C$3=3,$BO264=1),C264,""))</f>
        <v/>
      </c>
      <c r="Y264" s="53" t="str">
        <f aca="false">IF(AND(OR('Choix pédagogiques'!$C$3=1,'Choix pédagogiques'!$C$3=2),$BM264=1),D264,IF(AND('Choix pédagogiques'!$C$3=3,$BO264=1),D264,""))</f>
        <v/>
      </c>
      <c r="Z264" s="53" t="str">
        <f aca="false">IF($E264&lt;&gt;"",$E264,"")</f>
        <v/>
      </c>
      <c r="AA264" s="52" t="str">
        <f aca="false">IF($F264&lt;&gt;"",$F264,"")</f>
        <v>Apprenant 252 ou 252'</v>
      </c>
      <c r="AB264" s="53" t="str">
        <f aca="false">IF(AND(OR('Choix pédagogiques'!$C$3=1,'Choix pédagogiques'!$C$3=2),$BN264=1),G264,IF(AND('Choix pédagogiques'!$C$3=3,$BO264=1),G264,""))</f>
        <v/>
      </c>
      <c r="AC264" s="53" t="str">
        <f aca="false">IF(AND(OR('Choix pédagogiques'!$C$3=1,'Choix pédagogiques'!$C$3=2),$BN264=1),H264,IF(AND('Choix pédagogiques'!$C$3=3,$BO264=1),H264,""))</f>
        <v/>
      </c>
      <c r="AD264" s="53" t="str">
        <f aca="false">IF(AND(OR('Choix pédagogiques'!$C$3=1,'Choix pédagogiques'!$C$3=2),$BN264=1),I264,IF(AND('Choix pédagogiques'!$C$3=3,$BO264=1),I264,""))</f>
        <v/>
      </c>
      <c r="AE264" s="53" t="str">
        <f aca="false">IF($J264&lt;&gt;"",$J264,"")</f>
        <v/>
      </c>
      <c r="AF264" s="52" t="str">
        <f aca="false">IF($A264&lt;&gt;"",$A264,"")</f>
        <v>Apprenant 252</v>
      </c>
      <c r="AG264" s="53" t="str">
        <f aca="false">IF(AND($W264&lt;&gt;"",$X264&lt;&gt;""),$X264-$W264,"")</f>
        <v/>
      </c>
      <c r="AH264" s="53" t="str">
        <f aca="false">IF(AND($W264&lt;&gt;"",$Y264&lt;&gt;""),$Y264-$W264,"")</f>
        <v/>
      </c>
      <c r="AI264" s="53" t="str">
        <f aca="false">IF(AND($X264&lt;&gt;"",$Y264&lt;&gt;""),$Y264-$X264,"")</f>
        <v/>
      </c>
      <c r="AJ264" s="53" t="str">
        <f aca="false">IF($E264&lt;&gt;"",$E264,"")</f>
        <v/>
      </c>
      <c r="AK264" s="52" t="str">
        <f aca="false">IF($F264&lt;&gt;"",$F264,"")</f>
        <v>Apprenant 252 ou 252'</v>
      </c>
      <c r="AL264" s="53" t="str">
        <f aca="false">IF(AND($AB264&lt;&gt;"",$AC264&lt;&gt;""),$AC264-$AB264,"")</f>
        <v/>
      </c>
      <c r="AM264" s="53" t="str">
        <f aca="false">IF(AND($AB264&lt;&gt;"",$AD264&lt;&gt;""),$AD264-$AB264,"")</f>
        <v/>
      </c>
      <c r="AN264" s="53" t="str">
        <f aca="false">IF(AND($AC264&lt;&gt;"",$AD264&lt;&gt;""),$AD264-$AC264,"")</f>
        <v/>
      </c>
      <c r="AO264" s="53" t="str">
        <f aca="false">IF($J264&lt;&gt;"",$J264,"")</f>
        <v/>
      </c>
      <c r="AQ264" s="52" t="str">
        <f aca="false">IF($A264&lt;&gt;"",$A264,"")</f>
        <v>Apprenant 252</v>
      </c>
      <c r="AR264" s="55" t="str">
        <f aca="false">IF(AND('Choix pédagogiques'!$C$4&lt;&gt;"?",'Choix pédagogiques'!$C$5&lt;&gt;"?",W264&lt;&gt;""),(W264-'Choix pédagogiques'!$C$4)/('Choix pédagogiques'!$C$5-'Choix pédagogiques'!$C$4),"")</f>
        <v/>
      </c>
      <c r="AS264" s="55" t="str">
        <f aca="false">IF(AND('Choix pédagogiques'!$C$4&lt;&gt;"?",'Choix pédagogiques'!$C$5&lt;&gt;"?",X264&lt;&gt;""),(X264-'Choix pédagogiques'!$C$4)/('Choix pédagogiques'!$C$5-'Choix pédagogiques'!$C$4),"")</f>
        <v/>
      </c>
      <c r="AT264" s="55" t="str">
        <f aca="false">IF(AND('Choix pédagogiques'!$C$4&lt;&gt;"?",'Choix pédagogiques'!$C$5&lt;&gt;"?",Y264&lt;&gt;""),(Y264-'Choix pédagogiques'!$C$4)/('Choix pédagogiques'!$C$5-'Choix pédagogiques'!$C$4),"")</f>
        <v/>
      </c>
      <c r="AU264" s="53" t="str">
        <f aca="false">IF($E264&lt;&gt;"",$E264,"")</f>
        <v/>
      </c>
      <c r="AV264" s="52" t="str">
        <f aca="false">IF($F264&lt;&gt;"",$F264,"")</f>
        <v>Apprenant 252 ou 252'</v>
      </c>
      <c r="AW264" s="55" t="str">
        <f aca="false">IF(AND('Choix pédagogiques'!$C$4&lt;&gt;"?",'Choix pédagogiques'!$C$5&lt;&gt;"?",AB264&lt;&gt;""),(AB264-'Choix pédagogiques'!$C$4)/('Choix pédagogiques'!$C$5-'Choix pédagogiques'!$C$4),"")</f>
        <v/>
      </c>
      <c r="AX264" s="55" t="str">
        <f aca="false">IF(AND('Choix pédagogiques'!$C$4&lt;&gt;"?",'Choix pédagogiques'!$C$5&lt;&gt;"?",AC264&lt;&gt;""),(AC264-'Choix pédagogiques'!$C$4)/('Choix pédagogiques'!$C$5-'Choix pédagogiques'!$C$4),"")</f>
        <v/>
      </c>
      <c r="AY264" s="55" t="str">
        <f aca="false">IF(AND('Choix pédagogiques'!$C$4&lt;&gt;"?",'Choix pédagogiques'!$C$5&lt;&gt;"?",AD264&lt;&gt;""),(AD264-'Choix pédagogiques'!$C$4)/('Choix pédagogiques'!$C$5-'Choix pédagogiques'!$C$4),"")</f>
        <v/>
      </c>
      <c r="AZ264" s="53" t="str">
        <f aca="false">IF($J264&lt;&gt;"",$J264,"")</f>
        <v/>
      </c>
      <c r="BA264" s="52" t="str">
        <f aca="false">IF($A264&lt;&gt;"",$A264,"")</f>
        <v>Apprenant 252</v>
      </c>
      <c r="BB264" s="55" t="str">
        <f aca="false">IF(AND($AR264&lt;&gt;"",$AS264&lt;&gt;""),$AS264-$AR264,"")</f>
        <v/>
      </c>
      <c r="BC264" s="55" t="str">
        <f aca="false">IF(AND($AR264&lt;&gt;"",$AT264&lt;&gt;""),$AT264-$AR264,"")</f>
        <v/>
      </c>
      <c r="BD264" s="55" t="str">
        <f aca="false">IF(AND($AS264&lt;&gt;"",$AT264&lt;&gt;""),$AT264-$AS264,"")</f>
        <v/>
      </c>
      <c r="BE264" s="53" t="str">
        <f aca="false">IF($E264&lt;&gt;"",$E264,"")</f>
        <v/>
      </c>
      <c r="BF264" s="52" t="str">
        <f aca="false">IF($F264&lt;&gt;"",$F264,"")</f>
        <v>Apprenant 252 ou 252'</v>
      </c>
      <c r="BG264" s="55" t="str">
        <f aca="false">IF(AND($AW264&lt;&gt;"",$AX264&lt;&gt;""),$AX264-$AW264,"")</f>
        <v/>
      </c>
      <c r="BH264" s="55" t="str">
        <f aca="false">IF(AND($AW264&lt;&gt;"",$AY264&lt;&gt;""),$AY264-$AW264,"")</f>
        <v/>
      </c>
      <c r="BI264" s="55" t="str">
        <f aca="false">IF(AND($AX264&lt;&gt;"",$AY264&lt;&gt;""),$AY264-$AX264,"")</f>
        <v/>
      </c>
      <c r="BJ264" s="53" t="str">
        <f aca="false">IF($J264&lt;&gt;"",$J264,"")</f>
        <v/>
      </c>
      <c r="BL264" s="52"/>
      <c r="BM264" s="52" t="str">
        <f aca="false">IF(OR(COUNT(B264:D1263)=0,AND('Choix pédagogiques'!$C$3&lt;&gt;1,'Choix pédagogiques'!$C$3&lt;&gt;2)),"",IF(AND(OR('Choix pédagogiques'!$C$3=1,'Choix pédagogiques'!$C$3=2),$B264&lt;&gt;"",$C264&lt;&gt;"",$D264&lt;&gt;""),1,0))</f>
        <v/>
      </c>
      <c r="BN264" s="52" t="str">
        <f aca="false">IF(OR(COUNT(G264:I1263)=0,AND('Choix pédagogiques'!$C$3&lt;&gt;1,'Choix pédagogiques'!$C$3&lt;&gt;2)),"",IF(AND(OR('Choix pédagogiques'!$C$3=1,'Choix pédagogiques'!$C$3=2),AND($G264&lt;&gt;"",$H264&lt;&gt;"",$I264&lt;&gt;"")),1,0))</f>
        <v/>
      </c>
      <c r="BO264" s="52" t="str">
        <f aca="false">IF(OR(COUNT(B264:D1263)=0,COUNT(G264:I1263)=0,'Choix pédagogiques'!C$3&lt;&gt;3),"",IF(AND('Choix pédagogiques'!$C$3=3,$B264&lt;&gt;"",$C264&lt;&gt;"",$D264&lt;&gt;"",$G264&lt;&gt;"",$H264&lt;&gt;"",$I264&lt;&gt;""),1,0))</f>
        <v/>
      </c>
      <c r="BR264" s="52" t="n">
        <v>284</v>
      </c>
      <c r="BS264" s="52" t="n">
        <v>1499</v>
      </c>
    </row>
    <row r="265" s="54" customFormat="true" ht="18" hidden="false" customHeight="true" outlineLevel="0" collapsed="false">
      <c r="A265" s="57" t="s">
        <v>461</v>
      </c>
      <c r="B265" s="51"/>
      <c r="C265" s="51"/>
      <c r="D265" s="51"/>
      <c r="E265" s="51"/>
      <c r="F265" s="57" t="s">
        <v>462</v>
      </c>
      <c r="G265" s="51"/>
      <c r="H265" s="51"/>
      <c r="I265" s="51"/>
      <c r="J265" s="51"/>
      <c r="K265" s="52" t="str">
        <f aca="false">IF($A265&lt;&gt;"",$A265,"")</f>
        <v>Apprenant 253</v>
      </c>
      <c r="L265" s="53" t="str">
        <f aca="false">IF(AND($B265&lt;&gt;"",$C265&lt;&gt;""),$C265-$B265,"")</f>
        <v/>
      </c>
      <c r="M265" s="53" t="str">
        <f aca="false">IF(AND($B265&lt;&gt;"",$D265&lt;&gt;""),$D265-$B265,"")</f>
        <v/>
      </c>
      <c r="N265" s="53" t="str">
        <f aca="false">IF(AND($C265&lt;&gt;"",$D265&lt;&gt;""),$D265-$C265,"")</f>
        <v/>
      </c>
      <c r="O265" s="53" t="str">
        <f aca="false">IF($E265&lt;&gt;"",$E265,"")</f>
        <v/>
      </c>
      <c r="P265" s="52" t="str">
        <f aca="false">IF($F265&lt;&gt;"",$F265,"")</f>
        <v>Apprenant 253 ou 253'</v>
      </c>
      <c r="Q265" s="53" t="str">
        <f aca="false">IF(AND($G265&lt;&gt;"",$H265&lt;&gt;""),$H265-$G265,"")</f>
        <v/>
      </c>
      <c r="R265" s="53" t="str">
        <f aca="false">IF(AND($G265&lt;&gt;"",$I265&lt;&gt;""),$I265-$G265,"")</f>
        <v/>
      </c>
      <c r="S265" s="53" t="str">
        <f aca="false">IF(AND($H265&lt;&gt;"",$I265&lt;&gt;""),$I265-$H265,"")</f>
        <v/>
      </c>
      <c r="T265" s="53" t="str">
        <f aca="false">IF($J265&lt;&gt;"",$J265,"")</f>
        <v/>
      </c>
      <c r="V265" s="52" t="str">
        <f aca="false">IF($A265&lt;&gt;"",$A265,"")</f>
        <v>Apprenant 253</v>
      </c>
      <c r="W265" s="53" t="str">
        <f aca="false">IF(AND(OR('Choix pédagogiques'!$C$3=1,'Choix pédagogiques'!$C$3=2),$BM265=1),B265,IF(AND('Choix pédagogiques'!$C$3=3,$BO265=1),B265,""))</f>
        <v/>
      </c>
      <c r="X265" s="53" t="str">
        <f aca="false">IF(AND(OR('Choix pédagogiques'!$C$3=1,'Choix pédagogiques'!$C$3=2),$BM265=1),C265,IF(AND('Choix pédagogiques'!$C$3=3,$BO265=1),C265,""))</f>
        <v/>
      </c>
      <c r="Y265" s="53" t="str">
        <f aca="false">IF(AND(OR('Choix pédagogiques'!$C$3=1,'Choix pédagogiques'!$C$3=2),$BM265=1),D265,IF(AND('Choix pédagogiques'!$C$3=3,$BO265=1),D265,""))</f>
        <v/>
      </c>
      <c r="Z265" s="53" t="str">
        <f aca="false">IF($E265&lt;&gt;"",$E265,"")</f>
        <v/>
      </c>
      <c r="AA265" s="52" t="str">
        <f aca="false">IF($F265&lt;&gt;"",$F265,"")</f>
        <v>Apprenant 253 ou 253'</v>
      </c>
      <c r="AB265" s="53" t="str">
        <f aca="false">IF(AND(OR('Choix pédagogiques'!$C$3=1,'Choix pédagogiques'!$C$3=2),$BN265=1),G265,IF(AND('Choix pédagogiques'!$C$3=3,$BO265=1),G265,""))</f>
        <v/>
      </c>
      <c r="AC265" s="53" t="str">
        <f aca="false">IF(AND(OR('Choix pédagogiques'!$C$3=1,'Choix pédagogiques'!$C$3=2),$BN265=1),H265,IF(AND('Choix pédagogiques'!$C$3=3,$BO265=1),H265,""))</f>
        <v/>
      </c>
      <c r="AD265" s="53" t="str">
        <f aca="false">IF(AND(OR('Choix pédagogiques'!$C$3=1,'Choix pédagogiques'!$C$3=2),$BN265=1),I265,IF(AND('Choix pédagogiques'!$C$3=3,$BO265=1),I265,""))</f>
        <v/>
      </c>
      <c r="AE265" s="53" t="str">
        <f aca="false">IF($J265&lt;&gt;"",$J265,"")</f>
        <v/>
      </c>
      <c r="AF265" s="52" t="str">
        <f aca="false">IF($A265&lt;&gt;"",$A265,"")</f>
        <v>Apprenant 253</v>
      </c>
      <c r="AG265" s="53" t="str">
        <f aca="false">IF(AND($W265&lt;&gt;"",$X265&lt;&gt;""),$X265-$W265,"")</f>
        <v/>
      </c>
      <c r="AH265" s="53" t="str">
        <f aca="false">IF(AND($W265&lt;&gt;"",$Y265&lt;&gt;""),$Y265-$W265,"")</f>
        <v/>
      </c>
      <c r="AI265" s="53" t="str">
        <f aca="false">IF(AND($X265&lt;&gt;"",$Y265&lt;&gt;""),$Y265-$X265,"")</f>
        <v/>
      </c>
      <c r="AJ265" s="53" t="str">
        <f aca="false">IF($E265&lt;&gt;"",$E265,"")</f>
        <v/>
      </c>
      <c r="AK265" s="52" t="str">
        <f aca="false">IF($F265&lt;&gt;"",$F265,"")</f>
        <v>Apprenant 253 ou 253'</v>
      </c>
      <c r="AL265" s="53" t="str">
        <f aca="false">IF(AND($AB265&lt;&gt;"",$AC265&lt;&gt;""),$AC265-$AB265,"")</f>
        <v/>
      </c>
      <c r="AM265" s="53" t="str">
        <f aca="false">IF(AND($AB265&lt;&gt;"",$AD265&lt;&gt;""),$AD265-$AB265,"")</f>
        <v/>
      </c>
      <c r="AN265" s="53" t="str">
        <f aca="false">IF(AND($AC265&lt;&gt;"",$AD265&lt;&gt;""),$AD265-$AC265,"")</f>
        <v/>
      </c>
      <c r="AO265" s="53" t="str">
        <f aca="false">IF($J265&lt;&gt;"",$J265,"")</f>
        <v/>
      </c>
      <c r="AQ265" s="52" t="str">
        <f aca="false">IF($A265&lt;&gt;"",$A265,"")</f>
        <v>Apprenant 253</v>
      </c>
      <c r="AR265" s="55" t="str">
        <f aca="false">IF(AND('Choix pédagogiques'!$C$4&lt;&gt;"?",'Choix pédagogiques'!$C$5&lt;&gt;"?",W265&lt;&gt;""),(W265-'Choix pédagogiques'!$C$4)/('Choix pédagogiques'!$C$5-'Choix pédagogiques'!$C$4),"")</f>
        <v/>
      </c>
      <c r="AS265" s="55" t="str">
        <f aca="false">IF(AND('Choix pédagogiques'!$C$4&lt;&gt;"?",'Choix pédagogiques'!$C$5&lt;&gt;"?",X265&lt;&gt;""),(X265-'Choix pédagogiques'!$C$4)/('Choix pédagogiques'!$C$5-'Choix pédagogiques'!$C$4),"")</f>
        <v/>
      </c>
      <c r="AT265" s="55" t="str">
        <f aca="false">IF(AND('Choix pédagogiques'!$C$4&lt;&gt;"?",'Choix pédagogiques'!$C$5&lt;&gt;"?",Y265&lt;&gt;""),(Y265-'Choix pédagogiques'!$C$4)/('Choix pédagogiques'!$C$5-'Choix pédagogiques'!$C$4),"")</f>
        <v/>
      </c>
      <c r="AU265" s="53" t="str">
        <f aca="false">IF($E265&lt;&gt;"",$E265,"")</f>
        <v/>
      </c>
      <c r="AV265" s="52" t="str">
        <f aca="false">IF($F265&lt;&gt;"",$F265,"")</f>
        <v>Apprenant 253 ou 253'</v>
      </c>
      <c r="AW265" s="55" t="str">
        <f aca="false">IF(AND('Choix pédagogiques'!$C$4&lt;&gt;"?",'Choix pédagogiques'!$C$5&lt;&gt;"?",AB265&lt;&gt;""),(AB265-'Choix pédagogiques'!$C$4)/('Choix pédagogiques'!$C$5-'Choix pédagogiques'!$C$4),"")</f>
        <v/>
      </c>
      <c r="AX265" s="55" t="str">
        <f aca="false">IF(AND('Choix pédagogiques'!$C$4&lt;&gt;"?",'Choix pédagogiques'!$C$5&lt;&gt;"?",AC265&lt;&gt;""),(AC265-'Choix pédagogiques'!$C$4)/('Choix pédagogiques'!$C$5-'Choix pédagogiques'!$C$4),"")</f>
        <v/>
      </c>
      <c r="AY265" s="55" t="str">
        <f aca="false">IF(AND('Choix pédagogiques'!$C$4&lt;&gt;"?",'Choix pédagogiques'!$C$5&lt;&gt;"?",AD265&lt;&gt;""),(AD265-'Choix pédagogiques'!$C$4)/('Choix pédagogiques'!$C$5-'Choix pédagogiques'!$C$4),"")</f>
        <v/>
      </c>
      <c r="AZ265" s="53" t="str">
        <f aca="false">IF($J265&lt;&gt;"",$J265,"")</f>
        <v/>
      </c>
      <c r="BA265" s="52" t="str">
        <f aca="false">IF($A265&lt;&gt;"",$A265,"")</f>
        <v>Apprenant 253</v>
      </c>
      <c r="BB265" s="55" t="str">
        <f aca="false">IF(AND($AR265&lt;&gt;"",$AS265&lt;&gt;""),$AS265-$AR265,"")</f>
        <v/>
      </c>
      <c r="BC265" s="55" t="str">
        <f aca="false">IF(AND($AR265&lt;&gt;"",$AT265&lt;&gt;""),$AT265-$AR265,"")</f>
        <v/>
      </c>
      <c r="BD265" s="55" t="str">
        <f aca="false">IF(AND($AS265&lt;&gt;"",$AT265&lt;&gt;""),$AT265-$AS265,"")</f>
        <v/>
      </c>
      <c r="BE265" s="53" t="str">
        <f aca="false">IF($E265&lt;&gt;"",$E265,"")</f>
        <v/>
      </c>
      <c r="BF265" s="52" t="str">
        <f aca="false">IF($F265&lt;&gt;"",$F265,"")</f>
        <v>Apprenant 253 ou 253'</v>
      </c>
      <c r="BG265" s="55" t="str">
        <f aca="false">IF(AND($AW265&lt;&gt;"",$AX265&lt;&gt;""),$AX265-$AW265,"")</f>
        <v/>
      </c>
      <c r="BH265" s="55" t="str">
        <f aca="false">IF(AND($AW265&lt;&gt;"",$AY265&lt;&gt;""),$AY265-$AW265,"")</f>
        <v/>
      </c>
      <c r="BI265" s="55" t="str">
        <f aca="false">IF(AND($AX265&lt;&gt;"",$AY265&lt;&gt;""),$AY265-$AX265,"")</f>
        <v/>
      </c>
      <c r="BJ265" s="53" t="str">
        <f aca="false">IF($J265&lt;&gt;"",$J265,"")</f>
        <v/>
      </c>
      <c r="BL265" s="52"/>
      <c r="BM265" s="52" t="str">
        <f aca="false">IF(OR(COUNT(B265:D1264)=0,AND('Choix pédagogiques'!$C$3&lt;&gt;1,'Choix pédagogiques'!$C$3&lt;&gt;2)),"",IF(AND(OR('Choix pédagogiques'!$C$3=1,'Choix pédagogiques'!$C$3=2),$B265&lt;&gt;"",$C265&lt;&gt;"",$D265&lt;&gt;""),1,0))</f>
        <v/>
      </c>
      <c r="BN265" s="52" t="str">
        <f aca="false">IF(OR(COUNT(G265:I1264)=0,AND('Choix pédagogiques'!$C$3&lt;&gt;1,'Choix pédagogiques'!$C$3&lt;&gt;2)),"",IF(AND(OR('Choix pédagogiques'!$C$3=1,'Choix pédagogiques'!$C$3=2),AND($G265&lt;&gt;"",$H265&lt;&gt;"",$I265&lt;&gt;"")),1,0))</f>
        <v/>
      </c>
      <c r="BO265" s="52" t="str">
        <f aca="false">IF(OR(COUNT(B265:D1264)=0,COUNT(G265:I1264)=0,'Choix pédagogiques'!C$3&lt;&gt;3),"",IF(AND('Choix pédagogiques'!$C$3=3,$B265&lt;&gt;"",$C265&lt;&gt;"",$D265&lt;&gt;"",$G265&lt;&gt;"",$H265&lt;&gt;"",$I265&lt;&gt;""),1,0))</f>
        <v/>
      </c>
      <c r="BR265" s="52" t="n">
        <v>163</v>
      </c>
      <c r="BS265" s="52" t="n">
        <v>1548</v>
      </c>
    </row>
    <row r="266" s="54" customFormat="true" ht="18" hidden="false" customHeight="true" outlineLevel="0" collapsed="false">
      <c r="A266" s="57" t="s">
        <v>463</v>
      </c>
      <c r="B266" s="51"/>
      <c r="C266" s="51"/>
      <c r="D266" s="51"/>
      <c r="E266" s="51"/>
      <c r="F266" s="57" t="s">
        <v>464</v>
      </c>
      <c r="G266" s="51"/>
      <c r="H266" s="51"/>
      <c r="I266" s="51"/>
      <c r="J266" s="51"/>
      <c r="K266" s="52" t="str">
        <f aca="false">IF($A266&lt;&gt;"",$A266,"")</f>
        <v>Apprenant 254</v>
      </c>
      <c r="L266" s="53" t="str">
        <f aca="false">IF(AND($B266&lt;&gt;"",$C266&lt;&gt;""),$C266-$B266,"")</f>
        <v/>
      </c>
      <c r="M266" s="53" t="str">
        <f aca="false">IF(AND($B266&lt;&gt;"",$D266&lt;&gt;""),$D266-$B266,"")</f>
        <v/>
      </c>
      <c r="N266" s="53" t="str">
        <f aca="false">IF(AND($C266&lt;&gt;"",$D266&lt;&gt;""),$D266-$C266,"")</f>
        <v/>
      </c>
      <c r="O266" s="53" t="str">
        <f aca="false">IF($E266&lt;&gt;"",$E266,"")</f>
        <v/>
      </c>
      <c r="P266" s="52" t="str">
        <f aca="false">IF($F266&lt;&gt;"",$F266,"")</f>
        <v>Apprenant 254 ou 254'</v>
      </c>
      <c r="Q266" s="53" t="str">
        <f aca="false">IF(AND($G266&lt;&gt;"",$H266&lt;&gt;""),$H266-$G266,"")</f>
        <v/>
      </c>
      <c r="R266" s="53" t="str">
        <f aca="false">IF(AND($G266&lt;&gt;"",$I266&lt;&gt;""),$I266-$G266,"")</f>
        <v/>
      </c>
      <c r="S266" s="53" t="str">
        <f aca="false">IF(AND($H266&lt;&gt;"",$I266&lt;&gt;""),$I266-$H266,"")</f>
        <v/>
      </c>
      <c r="T266" s="53" t="str">
        <f aca="false">IF($J266&lt;&gt;"",$J266,"")</f>
        <v/>
      </c>
      <c r="V266" s="52" t="str">
        <f aca="false">IF($A266&lt;&gt;"",$A266,"")</f>
        <v>Apprenant 254</v>
      </c>
      <c r="W266" s="53" t="str">
        <f aca="false">IF(AND(OR('Choix pédagogiques'!$C$3=1,'Choix pédagogiques'!$C$3=2),$BM266=1),B266,IF(AND('Choix pédagogiques'!$C$3=3,$BO266=1),B266,""))</f>
        <v/>
      </c>
      <c r="X266" s="53" t="str">
        <f aca="false">IF(AND(OR('Choix pédagogiques'!$C$3=1,'Choix pédagogiques'!$C$3=2),$BM266=1),C266,IF(AND('Choix pédagogiques'!$C$3=3,$BO266=1),C266,""))</f>
        <v/>
      </c>
      <c r="Y266" s="53" t="str">
        <f aca="false">IF(AND(OR('Choix pédagogiques'!$C$3=1,'Choix pédagogiques'!$C$3=2),$BM266=1),D266,IF(AND('Choix pédagogiques'!$C$3=3,$BO266=1),D266,""))</f>
        <v/>
      </c>
      <c r="Z266" s="53" t="str">
        <f aca="false">IF($E266&lt;&gt;"",$E266,"")</f>
        <v/>
      </c>
      <c r="AA266" s="52" t="str">
        <f aca="false">IF($F266&lt;&gt;"",$F266,"")</f>
        <v>Apprenant 254 ou 254'</v>
      </c>
      <c r="AB266" s="53" t="str">
        <f aca="false">IF(AND(OR('Choix pédagogiques'!$C$3=1,'Choix pédagogiques'!$C$3=2),$BN266=1),G266,IF(AND('Choix pédagogiques'!$C$3=3,$BO266=1),G266,""))</f>
        <v/>
      </c>
      <c r="AC266" s="53" t="str">
        <f aca="false">IF(AND(OR('Choix pédagogiques'!$C$3=1,'Choix pédagogiques'!$C$3=2),$BN266=1),H266,IF(AND('Choix pédagogiques'!$C$3=3,$BO266=1),H266,""))</f>
        <v/>
      </c>
      <c r="AD266" s="53" t="str">
        <f aca="false">IF(AND(OR('Choix pédagogiques'!$C$3=1,'Choix pédagogiques'!$C$3=2),$BN266=1),I266,IF(AND('Choix pédagogiques'!$C$3=3,$BO266=1),I266,""))</f>
        <v/>
      </c>
      <c r="AE266" s="53" t="str">
        <f aca="false">IF($J266&lt;&gt;"",$J266,"")</f>
        <v/>
      </c>
      <c r="AF266" s="52" t="str">
        <f aca="false">IF($A266&lt;&gt;"",$A266,"")</f>
        <v>Apprenant 254</v>
      </c>
      <c r="AG266" s="53" t="str">
        <f aca="false">IF(AND($W266&lt;&gt;"",$X266&lt;&gt;""),$X266-$W266,"")</f>
        <v/>
      </c>
      <c r="AH266" s="53" t="str">
        <f aca="false">IF(AND($W266&lt;&gt;"",$Y266&lt;&gt;""),$Y266-$W266,"")</f>
        <v/>
      </c>
      <c r="AI266" s="53" t="str">
        <f aca="false">IF(AND($X266&lt;&gt;"",$Y266&lt;&gt;""),$Y266-$X266,"")</f>
        <v/>
      </c>
      <c r="AJ266" s="53" t="str">
        <f aca="false">IF($E266&lt;&gt;"",$E266,"")</f>
        <v/>
      </c>
      <c r="AK266" s="52" t="str">
        <f aca="false">IF($F266&lt;&gt;"",$F266,"")</f>
        <v>Apprenant 254 ou 254'</v>
      </c>
      <c r="AL266" s="53" t="str">
        <f aca="false">IF(AND($AB266&lt;&gt;"",$AC266&lt;&gt;""),$AC266-$AB266,"")</f>
        <v/>
      </c>
      <c r="AM266" s="53" t="str">
        <f aca="false">IF(AND($AB266&lt;&gt;"",$AD266&lt;&gt;""),$AD266-$AB266,"")</f>
        <v/>
      </c>
      <c r="AN266" s="53" t="str">
        <f aca="false">IF(AND($AC266&lt;&gt;"",$AD266&lt;&gt;""),$AD266-$AC266,"")</f>
        <v/>
      </c>
      <c r="AO266" s="53" t="str">
        <f aca="false">IF($J266&lt;&gt;"",$J266,"")</f>
        <v/>
      </c>
      <c r="AQ266" s="52" t="str">
        <f aca="false">IF($A266&lt;&gt;"",$A266,"")</f>
        <v>Apprenant 254</v>
      </c>
      <c r="AR266" s="55" t="str">
        <f aca="false">IF(AND('Choix pédagogiques'!$C$4&lt;&gt;"?",'Choix pédagogiques'!$C$5&lt;&gt;"?",W266&lt;&gt;""),(W266-'Choix pédagogiques'!$C$4)/('Choix pédagogiques'!$C$5-'Choix pédagogiques'!$C$4),"")</f>
        <v/>
      </c>
      <c r="AS266" s="55" t="str">
        <f aca="false">IF(AND('Choix pédagogiques'!$C$4&lt;&gt;"?",'Choix pédagogiques'!$C$5&lt;&gt;"?",X266&lt;&gt;""),(X266-'Choix pédagogiques'!$C$4)/('Choix pédagogiques'!$C$5-'Choix pédagogiques'!$C$4),"")</f>
        <v/>
      </c>
      <c r="AT266" s="55" t="str">
        <f aca="false">IF(AND('Choix pédagogiques'!$C$4&lt;&gt;"?",'Choix pédagogiques'!$C$5&lt;&gt;"?",Y266&lt;&gt;""),(Y266-'Choix pédagogiques'!$C$4)/('Choix pédagogiques'!$C$5-'Choix pédagogiques'!$C$4),"")</f>
        <v/>
      </c>
      <c r="AU266" s="53" t="str">
        <f aca="false">IF($E266&lt;&gt;"",$E266,"")</f>
        <v/>
      </c>
      <c r="AV266" s="52" t="str">
        <f aca="false">IF($F266&lt;&gt;"",$F266,"")</f>
        <v>Apprenant 254 ou 254'</v>
      </c>
      <c r="AW266" s="55" t="str">
        <f aca="false">IF(AND('Choix pédagogiques'!$C$4&lt;&gt;"?",'Choix pédagogiques'!$C$5&lt;&gt;"?",AB266&lt;&gt;""),(AB266-'Choix pédagogiques'!$C$4)/('Choix pédagogiques'!$C$5-'Choix pédagogiques'!$C$4),"")</f>
        <v/>
      </c>
      <c r="AX266" s="55" t="str">
        <f aca="false">IF(AND('Choix pédagogiques'!$C$4&lt;&gt;"?",'Choix pédagogiques'!$C$5&lt;&gt;"?",AC266&lt;&gt;""),(AC266-'Choix pédagogiques'!$C$4)/('Choix pédagogiques'!$C$5-'Choix pédagogiques'!$C$4),"")</f>
        <v/>
      </c>
      <c r="AY266" s="55" t="str">
        <f aca="false">IF(AND('Choix pédagogiques'!$C$4&lt;&gt;"?",'Choix pédagogiques'!$C$5&lt;&gt;"?",AD266&lt;&gt;""),(AD266-'Choix pédagogiques'!$C$4)/('Choix pédagogiques'!$C$5-'Choix pédagogiques'!$C$4),"")</f>
        <v/>
      </c>
      <c r="AZ266" s="53" t="str">
        <f aca="false">IF($J266&lt;&gt;"",$J266,"")</f>
        <v/>
      </c>
      <c r="BA266" s="52" t="str">
        <f aca="false">IF($A266&lt;&gt;"",$A266,"")</f>
        <v>Apprenant 254</v>
      </c>
      <c r="BB266" s="55" t="str">
        <f aca="false">IF(AND($AR266&lt;&gt;"",$AS266&lt;&gt;""),$AS266-$AR266,"")</f>
        <v/>
      </c>
      <c r="BC266" s="55" t="str">
        <f aca="false">IF(AND($AR266&lt;&gt;"",$AT266&lt;&gt;""),$AT266-$AR266,"")</f>
        <v/>
      </c>
      <c r="BD266" s="55" t="str">
        <f aca="false">IF(AND($AS266&lt;&gt;"",$AT266&lt;&gt;""),$AT266-$AS266,"")</f>
        <v/>
      </c>
      <c r="BE266" s="53" t="str">
        <f aca="false">IF($E266&lt;&gt;"",$E266,"")</f>
        <v/>
      </c>
      <c r="BF266" s="52" t="str">
        <f aca="false">IF($F266&lt;&gt;"",$F266,"")</f>
        <v>Apprenant 254 ou 254'</v>
      </c>
      <c r="BG266" s="55" t="str">
        <f aca="false">IF(AND($AW266&lt;&gt;"",$AX266&lt;&gt;""),$AX266-$AW266,"")</f>
        <v/>
      </c>
      <c r="BH266" s="55" t="str">
        <f aca="false">IF(AND($AW266&lt;&gt;"",$AY266&lt;&gt;""),$AY266-$AW266,"")</f>
        <v/>
      </c>
      <c r="BI266" s="55" t="str">
        <f aca="false">IF(AND($AX266&lt;&gt;"",$AY266&lt;&gt;""),$AY266-$AX266,"")</f>
        <v/>
      </c>
      <c r="BJ266" s="53" t="str">
        <f aca="false">IF($J266&lt;&gt;"",$J266,"")</f>
        <v/>
      </c>
      <c r="BL266" s="52"/>
      <c r="BM266" s="52" t="str">
        <f aca="false">IF(OR(COUNT(B266:D1265)=0,AND('Choix pédagogiques'!$C$3&lt;&gt;1,'Choix pédagogiques'!$C$3&lt;&gt;2)),"",IF(AND(OR('Choix pédagogiques'!$C$3=1,'Choix pédagogiques'!$C$3=2),$B266&lt;&gt;"",$C266&lt;&gt;"",$D266&lt;&gt;""),1,0))</f>
        <v/>
      </c>
      <c r="BN266" s="52" t="str">
        <f aca="false">IF(OR(COUNT(G266:I1265)=0,AND('Choix pédagogiques'!$C$3&lt;&gt;1,'Choix pédagogiques'!$C$3&lt;&gt;2)),"",IF(AND(OR('Choix pédagogiques'!$C$3=1,'Choix pédagogiques'!$C$3=2),AND($G266&lt;&gt;"",$H266&lt;&gt;"",$I266&lt;&gt;"")),1,0))</f>
        <v/>
      </c>
      <c r="BO266" s="52" t="str">
        <f aca="false">IF(OR(COUNT(B266:D1265)=0,COUNT(G266:I1265)=0,'Choix pédagogiques'!C$3&lt;&gt;3),"",IF(AND('Choix pédagogiques'!$C$3=3,$B266&lt;&gt;"",$C266&lt;&gt;"",$D266&lt;&gt;"",$G266&lt;&gt;"",$H266&lt;&gt;"",$I266&lt;&gt;""),1,0))</f>
        <v/>
      </c>
      <c r="BR266" s="52" t="n">
        <v>307</v>
      </c>
      <c r="BS266" s="52" t="n">
        <v>1573</v>
      </c>
    </row>
    <row r="267" s="54" customFormat="true" ht="18" hidden="false" customHeight="true" outlineLevel="0" collapsed="false">
      <c r="A267" s="57" t="s">
        <v>465</v>
      </c>
      <c r="B267" s="51"/>
      <c r="C267" s="51"/>
      <c r="D267" s="51"/>
      <c r="E267" s="51"/>
      <c r="F267" s="57" t="s">
        <v>466</v>
      </c>
      <c r="G267" s="51"/>
      <c r="H267" s="51"/>
      <c r="I267" s="51"/>
      <c r="J267" s="51"/>
      <c r="K267" s="52" t="str">
        <f aca="false">IF($A267&lt;&gt;"",$A267,"")</f>
        <v>Apprenant 255</v>
      </c>
      <c r="L267" s="53" t="str">
        <f aca="false">IF(AND($B267&lt;&gt;"",$C267&lt;&gt;""),$C267-$B267,"")</f>
        <v/>
      </c>
      <c r="M267" s="53" t="str">
        <f aca="false">IF(AND($B267&lt;&gt;"",$D267&lt;&gt;""),$D267-$B267,"")</f>
        <v/>
      </c>
      <c r="N267" s="53" t="str">
        <f aca="false">IF(AND($C267&lt;&gt;"",$D267&lt;&gt;""),$D267-$C267,"")</f>
        <v/>
      </c>
      <c r="O267" s="53" t="str">
        <f aca="false">IF($E267&lt;&gt;"",$E267,"")</f>
        <v/>
      </c>
      <c r="P267" s="52" t="str">
        <f aca="false">IF($F267&lt;&gt;"",$F267,"")</f>
        <v>Apprenant 255 ou 255'</v>
      </c>
      <c r="Q267" s="53" t="str">
        <f aca="false">IF(AND($G267&lt;&gt;"",$H267&lt;&gt;""),$H267-$G267,"")</f>
        <v/>
      </c>
      <c r="R267" s="53" t="str">
        <f aca="false">IF(AND($G267&lt;&gt;"",$I267&lt;&gt;""),$I267-$G267,"")</f>
        <v/>
      </c>
      <c r="S267" s="53" t="str">
        <f aca="false">IF(AND($H267&lt;&gt;"",$I267&lt;&gt;""),$I267-$H267,"")</f>
        <v/>
      </c>
      <c r="T267" s="53" t="str">
        <f aca="false">IF($J267&lt;&gt;"",$J267,"")</f>
        <v/>
      </c>
      <c r="V267" s="52" t="str">
        <f aca="false">IF($A267&lt;&gt;"",$A267,"")</f>
        <v>Apprenant 255</v>
      </c>
      <c r="W267" s="53" t="str">
        <f aca="false">IF(AND(OR('Choix pédagogiques'!$C$3=1,'Choix pédagogiques'!$C$3=2),$BM267=1),B267,IF(AND('Choix pédagogiques'!$C$3=3,$BO267=1),B267,""))</f>
        <v/>
      </c>
      <c r="X267" s="53" t="str">
        <f aca="false">IF(AND(OR('Choix pédagogiques'!$C$3=1,'Choix pédagogiques'!$C$3=2),$BM267=1),C267,IF(AND('Choix pédagogiques'!$C$3=3,$BO267=1),C267,""))</f>
        <v/>
      </c>
      <c r="Y267" s="53" t="str">
        <f aca="false">IF(AND(OR('Choix pédagogiques'!$C$3=1,'Choix pédagogiques'!$C$3=2),$BM267=1),D267,IF(AND('Choix pédagogiques'!$C$3=3,$BO267=1),D267,""))</f>
        <v/>
      </c>
      <c r="Z267" s="53" t="str">
        <f aca="false">IF($E267&lt;&gt;"",$E267,"")</f>
        <v/>
      </c>
      <c r="AA267" s="52" t="str">
        <f aca="false">IF($F267&lt;&gt;"",$F267,"")</f>
        <v>Apprenant 255 ou 255'</v>
      </c>
      <c r="AB267" s="53" t="str">
        <f aca="false">IF(AND(OR('Choix pédagogiques'!$C$3=1,'Choix pédagogiques'!$C$3=2),$BN267=1),G267,IF(AND('Choix pédagogiques'!$C$3=3,$BO267=1),G267,""))</f>
        <v/>
      </c>
      <c r="AC267" s="53" t="str">
        <f aca="false">IF(AND(OR('Choix pédagogiques'!$C$3=1,'Choix pédagogiques'!$C$3=2),$BN267=1),H267,IF(AND('Choix pédagogiques'!$C$3=3,$BO267=1),H267,""))</f>
        <v/>
      </c>
      <c r="AD267" s="53" t="str">
        <f aca="false">IF(AND(OR('Choix pédagogiques'!$C$3=1,'Choix pédagogiques'!$C$3=2),$BN267=1),I267,IF(AND('Choix pédagogiques'!$C$3=3,$BO267=1),I267,""))</f>
        <v/>
      </c>
      <c r="AE267" s="53" t="str">
        <f aca="false">IF($J267&lt;&gt;"",$J267,"")</f>
        <v/>
      </c>
      <c r="AF267" s="52" t="str">
        <f aca="false">IF($A267&lt;&gt;"",$A267,"")</f>
        <v>Apprenant 255</v>
      </c>
      <c r="AG267" s="53" t="str">
        <f aca="false">IF(AND($W267&lt;&gt;"",$X267&lt;&gt;""),$X267-$W267,"")</f>
        <v/>
      </c>
      <c r="AH267" s="53" t="str">
        <f aca="false">IF(AND($W267&lt;&gt;"",$Y267&lt;&gt;""),$Y267-$W267,"")</f>
        <v/>
      </c>
      <c r="AI267" s="53" t="str">
        <f aca="false">IF(AND($X267&lt;&gt;"",$Y267&lt;&gt;""),$Y267-$X267,"")</f>
        <v/>
      </c>
      <c r="AJ267" s="53" t="str">
        <f aca="false">IF($E267&lt;&gt;"",$E267,"")</f>
        <v/>
      </c>
      <c r="AK267" s="52" t="str">
        <f aca="false">IF($F267&lt;&gt;"",$F267,"")</f>
        <v>Apprenant 255 ou 255'</v>
      </c>
      <c r="AL267" s="53" t="str">
        <f aca="false">IF(AND($AB267&lt;&gt;"",$AC267&lt;&gt;""),$AC267-$AB267,"")</f>
        <v/>
      </c>
      <c r="AM267" s="53" t="str">
        <f aca="false">IF(AND($AB267&lt;&gt;"",$AD267&lt;&gt;""),$AD267-$AB267,"")</f>
        <v/>
      </c>
      <c r="AN267" s="53" t="str">
        <f aca="false">IF(AND($AC267&lt;&gt;"",$AD267&lt;&gt;""),$AD267-$AC267,"")</f>
        <v/>
      </c>
      <c r="AO267" s="53" t="str">
        <f aca="false">IF($J267&lt;&gt;"",$J267,"")</f>
        <v/>
      </c>
      <c r="AQ267" s="52" t="str">
        <f aca="false">IF($A267&lt;&gt;"",$A267,"")</f>
        <v>Apprenant 255</v>
      </c>
      <c r="AR267" s="55" t="str">
        <f aca="false">IF(AND('Choix pédagogiques'!$C$4&lt;&gt;"?",'Choix pédagogiques'!$C$5&lt;&gt;"?",W267&lt;&gt;""),(W267-'Choix pédagogiques'!$C$4)/('Choix pédagogiques'!$C$5-'Choix pédagogiques'!$C$4),"")</f>
        <v/>
      </c>
      <c r="AS267" s="55" t="str">
        <f aca="false">IF(AND('Choix pédagogiques'!$C$4&lt;&gt;"?",'Choix pédagogiques'!$C$5&lt;&gt;"?",X267&lt;&gt;""),(X267-'Choix pédagogiques'!$C$4)/('Choix pédagogiques'!$C$5-'Choix pédagogiques'!$C$4),"")</f>
        <v/>
      </c>
      <c r="AT267" s="55" t="str">
        <f aca="false">IF(AND('Choix pédagogiques'!$C$4&lt;&gt;"?",'Choix pédagogiques'!$C$5&lt;&gt;"?",Y267&lt;&gt;""),(Y267-'Choix pédagogiques'!$C$4)/('Choix pédagogiques'!$C$5-'Choix pédagogiques'!$C$4),"")</f>
        <v/>
      </c>
      <c r="AU267" s="53" t="str">
        <f aca="false">IF($E267&lt;&gt;"",$E267,"")</f>
        <v/>
      </c>
      <c r="AV267" s="52" t="str">
        <f aca="false">IF($F267&lt;&gt;"",$F267,"")</f>
        <v>Apprenant 255 ou 255'</v>
      </c>
      <c r="AW267" s="55" t="str">
        <f aca="false">IF(AND('Choix pédagogiques'!$C$4&lt;&gt;"?",'Choix pédagogiques'!$C$5&lt;&gt;"?",AB267&lt;&gt;""),(AB267-'Choix pédagogiques'!$C$4)/('Choix pédagogiques'!$C$5-'Choix pédagogiques'!$C$4),"")</f>
        <v/>
      </c>
      <c r="AX267" s="55" t="str">
        <f aca="false">IF(AND('Choix pédagogiques'!$C$4&lt;&gt;"?",'Choix pédagogiques'!$C$5&lt;&gt;"?",AC267&lt;&gt;""),(AC267-'Choix pédagogiques'!$C$4)/('Choix pédagogiques'!$C$5-'Choix pédagogiques'!$C$4),"")</f>
        <v/>
      </c>
      <c r="AY267" s="55" t="str">
        <f aca="false">IF(AND('Choix pédagogiques'!$C$4&lt;&gt;"?",'Choix pédagogiques'!$C$5&lt;&gt;"?",AD267&lt;&gt;""),(AD267-'Choix pédagogiques'!$C$4)/('Choix pédagogiques'!$C$5-'Choix pédagogiques'!$C$4),"")</f>
        <v/>
      </c>
      <c r="AZ267" s="53" t="str">
        <f aca="false">IF($J267&lt;&gt;"",$J267,"")</f>
        <v/>
      </c>
      <c r="BA267" s="52" t="str">
        <f aca="false">IF($A267&lt;&gt;"",$A267,"")</f>
        <v>Apprenant 255</v>
      </c>
      <c r="BB267" s="55" t="str">
        <f aca="false">IF(AND($AR267&lt;&gt;"",$AS267&lt;&gt;""),$AS267-$AR267,"")</f>
        <v/>
      </c>
      <c r="BC267" s="55" t="str">
        <f aca="false">IF(AND($AR267&lt;&gt;"",$AT267&lt;&gt;""),$AT267-$AR267,"")</f>
        <v/>
      </c>
      <c r="BD267" s="55" t="str">
        <f aca="false">IF(AND($AS267&lt;&gt;"",$AT267&lt;&gt;""),$AT267-$AS267,"")</f>
        <v/>
      </c>
      <c r="BE267" s="53" t="str">
        <f aca="false">IF($E267&lt;&gt;"",$E267,"")</f>
        <v/>
      </c>
      <c r="BF267" s="52" t="str">
        <f aca="false">IF($F267&lt;&gt;"",$F267,"")</f>
        <v>Apprenant 255 ou 255'</v>
      </c>
      <c r="BG267" s="55" t="str">
        <f aca="false">IF(AND($AW267&lt;&gt;"",$AX267&lt;&gt;""),$AX267-$AW267,"")</f>
        <v/>
      </c>
      <c r="BH267" s="55" t="str">
        <f aca="false">IF(AND($AW267&lt;&gt;"",$AY267&lt;&gt;""),$AY267-$AW267,"")</f>
        <v/>
      </c>
      <c r="BI267" s="55" t="str">
        <f aca="false">IF(AND($AX267&lt;&gt;"",$AY267&lt;&gt;""),$AY267-$AX267,"")</f>
        <v/>
      </c>
      <c r="BJ267" s="53" t="str">
        <f aca="false">IF($J267&lt;&gt;"",$J267,"")</f>
        <v/>
      </c>
      <c r="BL267" s="52"/>
      <c r="BM267" s="52" t="str">
        <f aca="false">IF(OR(COUNT(B267:D1266)=0,AND('Choix pédagogiques'!$C$3&lt;&gt;1,'Choix pédagogiques'!$C$3&lt;&gt;2)),"",IF(AND(OR('Choix pédagogiques'!$C$3=1,'Choix pédagogiques'!$C$3=2),$B267&lt;&gt;"",$C267&lt;&gt;"",$D267&lt;&gt;""),1,0))</f>
        <v/>
      </c>
      <c r="BN267" s="52" t="str">
        <f aca="false">IF(OR(COUNT(G267:I1266)=0,AND('Choix pédagogiques'!$C$3&lt;&gt;1,'Choix pédagogiques'!$C$3&lt;&gt;2)),"",IF(AND(OR('Choix pédagogiques'!$C$3=1,'Choix pédagogiques'!$C$3=2),AND($G267&lt;&gt;"",$H267&lt;&gt;"",$I267&lt;&gt;"")),1,0))</f>
        <v/>
      </c>
      <c r="BO267" s="52" t="str">
        <f aca="false">IF(OR(COUNT(B267:D1266)=0,COUNT(G267:I1266)=0,'Choix pédagogiques'!C$3&lt;&gt;3),"",IF(AND('Choix pédagogiques'!$C$3=3,$B267&lt;&gt;"",$C267&lt;&gt;"",$D267&lt;&gt;"",$G267&lt;&gt;"",$H267&lt;&gt;"",$I267&lt;&gt;""),1,0))</f>
        <v/>
      </c>
      <c r="BR267" s="52" t="n">
        <v>326</v>
      </c>
      <c r="BS267" s="52" t="n">
        <v>1623</v>
      </c>
    </row>
    <row r="268" s="54" customFormat="true" ht="18" hidden="false" customHeight="true" outlineLevel="0" collapsed="false">
      <c r="A268" s="57" t="s">
        <v>467</v>
      </c>
      <c r="B268" s="51"/>
      <c r="C268" s="51"/>
      <c r="D268" s="51"/>
      <c r="E268" s="51"/>
      <c r="F268" s="57" t="s">
        <v>468</v>
      </c>
      <c r="G268" s="51"/>
      <c r="H268" s="51"/>
      <c r="I268" s="51"/>
      <c r="J268" s="51"/>
      <c r="K268" s="52" t="str">
        <f aca="false">IF($A268&lt;&gt;"",$A268,"")</f>
        <v>Apprenant 256</v>
      </c>
      <c r="L268" s="53" t="str">
        <f aca="false">IF(AND($B268&lt;&gt;"",$C268&lt;&gt;""),$C268-$B268,"")</f>
        <v/>
      </c>
      <c r="M268" s="53" t="str">
        <f aca="false">IF(AND($B268&lt;&gt;"",$D268&lt;&gt;""),$D268-$B268,"")</f>
        <v/>
      </c>
      <c r="N268" s="53" t="str">
        <f aca="false">IF(AND($C268&lt;&gt;"",$D268&lt;&gt;""),$D268-$C268,"")</f>
        <v/>
      </c>
      <c r="O268" s="53" t="str">
        <f aca="false">IF($E268&lt;&gt;"",$E268,"")</f>
        <v/>
      </c>
      <c r="P268" s="52" t="str">
        <f aca="false">IF($F268&lt;&gt;"",$F268,"")</f>
        <v>Apprenant 256 ou 256'</v>
      </c>
      <c r="Q268" s="53" t="str">
        <f aca="false">IF(AND($G268&lt;&gt;"",$H268&lt;&gt;""),$H268-$G268,"")</f>
        <v/>
      </c>
      <c r="R268" s="53" t="str">
        <f aca="false">IF(AND($G268&lt;&gt;"",$I268&lt;&gt;""),$I268-$G268,"")</f>
        <v/>
      </c>
      <c r="S268" s="53" t="str">
        <f aca="false">IF(AND($H268&lt;&gt;"",$I268&lt;&gt;""),$I268-$H268,"")</f>
        <v/>
      </c>
      <c r="T268" s="53" t="str">
        <f aca="false">IF($J268&lt;&gt;"",$J268,"")</f>
        <v/>
      </c>
      <c r="V268" s="52" t="str">
        <f aca="false">IF($A268&lt;&gt;"",$A268,"")</f>
        <v>Apprenant 256</v>
      </c>
      <c r="W268" s="53" t="str">
        <f aca="false">IF(AND(OR('Choix pédagogiques'!$C$3=1,'Choix pédagogiques'!$C$3=2),$BM268=1),B268,IF(AND('Choix pédagogiques'!$C$3=3,$BO268=1),B268,""))</f>
        <v/>
      </c>
      <c r="X268" s="53" t="str">
        <f aca="false">IF(AND(OR('Choix pédagogiques'!$C$3=1,'Choix pédagogiques'!$C$3=2),$BM268=1),C268,IF(AND('Choix pédagogiques'!$C$3=3,$BO268=1),C268,""))</f>
        <v/>
      </c>
      <c r="Y268" s="53" t="str">
        <f aca="false">IF(AND(OR('Choix pédagogiques'!$C$3=1,'Choix pédagogiques'!$C$3=2),$BM268=1),D268,IF(AND('Choix pédagogiques'!$C$3=3,$BO268=1),D268,""))</f>
        <v/>
      </c>
      <c r="Z268" s="53" t="str">
        <f aca="false">IF($E268&lt;&gt;"",$E268,"")</f>
        <v/>
      </c>
      <c r="AA268" s="52" t="str">
        <f aca="false">IF($F268&lt;&gt;"",$F268,"")</f>
        <v>Apprenant 256 ou 256'</v>
      </c>
      <c r="AB268" s="53" t="str">
        <f aca="false">IF(AND(OR('Choix pédagogiques'!$C$3=1,'Choix pédagogiques'!$C$3=2),$BN268=1),G268,IF(AND('Choix pédagogiques'!$C$3=3,$BO268=1),G268,""))</f>
        <v/>
      </c>
      <c r="AC268" s="53" t="str">
        <f aca="false">IF(AND(OR('Choix pédagogiques'!$C$3=1,'Choix pédagogiques'!$C$3=2),$BN268=1),H268,IF(AND('Choix pédagogiques'!$C$3=3,$BO268=1),H268,""))</f>
        <v/>
      </c>
      <c r="AD268" s="53" t="str">
        <f aca="false">IF(AND(OR('Choix pédagogiques'!$C$3=1,'Choix pédagogiques'!$C$3=2),$BN268=1),I268,IF(AND('Choix pédagogiques'!$C$3=3,$BO268=1),I268,""))</f>
        <v/>
      </c>
      <c r="AE268" s="53" t="str">
        <f aca="false">IF($J268&lt;&gt;"",$J268,"")</f>
        <v/>
      </c>
      <c r="AF268" s="52" t="str">
        <f aca="false">IF($A268&lt;&gt;"",$A268,"")</f>
        <v>Apprenant 256</v>
      </c>
      <c r="AG268" s="53" t="str">
        <f aca="false">IF(AND($W268&lt;&gt;"",$X268&lt;&gt;""),$X268-$W268,"")</f>
        <v/>
      </c>
      <c r="AH268" s="53" t="str">
        <f aca="false">IF(AND($W268&lt;&gt;"",$Y268&lt;&gt;""),$Y268-$W268,"")</f>
        <v/>
      </c>
      <c r="AI268" s="53" t="str">
        <f aca="false">IF(AND($X268&lt;&gt;"",$Y268&lt;&gt;""),$Y268-$X268,"")</f>
        <v/>
      </c>
      <c r="AJ268" s="53" t="str">
        <f aca="false">IF($E268&lt;&gt;"",$E268,"")</f>
        <v/>
      </c>
      <c r="AK268" s="52" t="str">
        <f aca="false">IF($F268&lt;&gt;"",$F268,"")</f>
        <v>Apprenant 256 ou 256'</v>
      </c>
      <c r="AL268" s="53" t="str">
        <f aca="false">IF(AND($AB268&lt;&gt;"",$AC268&lt;&gt;""),$AC268-$AB268,"")</f>
        <v/>
      </c>
      <c r="AM268" s="53" t="str">
        <f aca="false">IF(AND($AB268&lt;&gt;"",$AD268&lt;&gt;""),$AD268-$AB268,"")</f>
        <v/>
      </c>
      <c r="AN268" s="53" t="str">
        <f aca="false">IF(AND($AC268&lt;&gt;"",$AD268&lt;&gt;""),$AD268-$AC268,"")</f>
        <v/>
      </c>
      <c r="AO268" s="53" t="str">
        <f aca="false">IF($J268&lt;&gt;"",$J268,"")</f>
        <v/>
      </c>
      <c r="AQ268" s="52" t="str">
        <f aca="false">IF($A268&lt;&gt;"",$A268,"")</f>
        <v>Apprenant 256</v>
      </c>
      <c r="AR268" s="55" t="str">
        <f aca="false">IF(AND('Choix pédagogiques'!$C$4&lt;&gt;"?",'Choix pédagogiques'!$C$5&lt;&gt;"?",W268&lt;&gt;""),(W268-'Choix pédagogiques'!$C$4)/('Choix pédagogiques'!$C$5-'Choix pédagogiques'!$C$4),"")</f>
        <v/>
      </c>
      <c r="AS268" s="55" t="str">
        <f aca="false">IF(AND('Choix pédagogiques'!$C$4&lt;&gt;"?",'Choix pédagogiques'!$C$5&lt;&gt;"?",X268&lt;&gt;""),(X268-'Choix pédagogiques'!$C$4)/('Choix pédagogiques'!$C$5-'Choix pédagogiques'!$C$4),"")</f>
        <v/>
      </c>
      <c r="AT268" s="55" t="str">
        <f aca="false">IF(AND('Choix pédagogiques'!$C$4&lt;&gt;"?",'Choix pédagogiques'!$C$5&lt;&gt;"?",Y268&lt;&gt;""),(Y268-'Choix pédagogiques'!$C$4)/('Choix pédagogiques'!$C$5-'Choix pédagogiques'!$C$4),"")</f>
        <v/>
      </c>
      <c r="AU268" s="53" t="str">
        <f aca="false">IF($E268&lt;&gt;"",$E268,"")</f>
        <v/>
      </c>
      <c r="AV268" s="52" t="str">
        <f aca="false">IF($F268&lt;&gt;"",$F268,"")</f>
        <v>Apprenant 256 ou 256'</v>
      </c>
      <c r="AW268" s="55" t="str">
        <f aca="false">IF(AND('Choix pédagogiques'!$C$4&lt;&gt;"?",'Choix pédagogiques'!$C$5&lt;&gt;"?",AB268&lt;&gt;""),(AB268-'Choix pédagogiques'!$C$4)/('Choix pédagogiques'!$C$5-'Choix pédagogiques'!$C$4),"")</f>
        <v/>
      </c>
      <c r="AX268" s="55" t="str">
        <f aca="false">IF(AND('Choix pédagogiques'!$C$4&lt;&gt;"?",'Choix pédagogiques'!$C$5&lt;&gt;"?",AC268&lt;&gt;""),(AC268-'Choix pédagogiques'!$C$4)/('Choix pédagogiques'!$C$5-'Choix pédagogiques'!$C$4),"")</f>
        <v/>
      </c>
      <c r="AY268" s="55" t="str">
        <f aca="false">IF(AND('Choix pédagogiques'!$C$4&lt;&gt;"?",'Choix pédagogiques'!$C$5&lt;&gt;"?",AD268&lt;&gt;""),(AD268-'Choix pédagogiques'!$C$4)/('Choix pédagogiques'!$C$5-'Choix pédagogiques'!$C$4),"")</f>
        <v/>
      </c>
      <c r="AZ268" s="53" t="str">
        <f aca="false">IF($J268&lt;&gt;"",$J268,"")</f>
        <v/>
      </c>
      <c r="BA268" s="52" t="str">
        <f aca="false">IF($A268&lt;&gt;"",$A268,"")</f>
        <v>Apprenant 256</v>
      </c>
      <c r="BB268" s="55" t="str">
        <f aca="false">IF(AND($AR268&lt;&gt;"",$AS268&lt;&gt;""),$AS268-$AR268,"")</f>
        <v/>
      </c>
      <c r="BC268" s="55" t="str">
        <f aca="false">IF(AND($AR268&lt;&gt;"",$AT268&lt;&gt;""),$AT268-$AR268,"")</f>
        <v/>
      </c>
      <c r="BD268" s="55" t="str">
        <f aca="false">IF(AND($AS268&lt;&gt;"",$AT268&lt;&gt;""),$AT268-$AS268,"")</f>
        <v/>
      </c>
      <c r="BE268" s="53" t="str">
        <f aca="false">IF($E268&lt;&gt;"",$E268,"")</f>
        <v/>
      </c>
      <c r="BF268" s="52" t="str">
        <f aca="false">IF($F268&lt;&gt;"",$F268,"")</f>
        <v>Apprenant 256 ou 256'</v>
      </c>
      <c r="BG268" s="55" t="str">
        <f aca="false">IF(AND($AW268&lt;&gt;"",$AX268&lt;&gt;""),$AX268-$AW268,"")</f>
        <v/>
      </c>
      <c r="BH268" s="55" t="str">
        <f aca="false">IF(AND($AW268&lt;&gt;"",$AY268&lt;&gt;""),$AY268-$AW268,"")</f>
        <v/>
      </c>
      <c r="BI268" s="55" t="str">
        <f aca="false">IF(AND($AX268&lt;&gt;"",$AY268&lt;&gt;""),$AY268-$AX268,"")</f>
        <v/>
      </c>
      <c r="BJ268" s="53" t="str">
        <f aca="false">IF($J268&lt;&gt;"",$J268,"")</f>
        <v/>
      </c>
      <c r="BL268" s="52"/>
      <c r="BM268" s="52" t="str">
        <f aca="false">IF(OR(COUNT(B268:D1267)=0,AND('Choix pédagogiques'!$C$3&lt;&gt;1,'Choix pédagogiques'!$C$3&lt;&gt;2)),"",IF(AND(OR('Choix pédagogiques'!$C$3=1,'Choix pédagogiques'!$C$3=2),$B268&lt;&gt;"",$C268&lt;&gt;"",$D268&lt;&gt;""),1,0))</f>
        <v/>
      </c>
      <c r="BN268" s="52" t="str">
        <f aca="false">IF(OR(COUNT(G268:I1267)=0,AND('Choix pédagogiques'!$C$3&lt;&gt;1,'Choix pédagogiques'!$C$3&lt;&gt;2)),"",IF(AND(OR('Choix pédagogiques'!$C$3=1,'Choix pédagogiques'!$C$3=2),AND($G268&lt;&gt;"",$H268&lt;&gt;"",$I268&lt;&gt;"")),1,0))</f>
        <v/>
      </c>
      <c r="BO268" s="52" t="str">
        <f aca="false">IF(OR(COUNT(B268:D1267)=0,COUNT(G268:I1267)=0,'Choix pédagogiques'!C$3&lt;&gt;3),"",IF(AND('Choix pédagogiques'!$C$3=3,$B268&lt;&gt;"",$C268&lt;&gt;"",$D268&lt;&gt;"",$G268&lt;&gt;"",$H268&lt;&gt;"",$I268&lt;&gt;""),1,0))</f>
        <v/>
      </c>
      <c r="BR268" s="52" t="n">
        <v>861</v>
      </c>
      <c r="BS268" s="52" t="n">
        <v>1918</v>
      </c>
    </row>
    <row r="269" s="54" customFormat="true" ht="18" hidden="false" customHeight="true" outlineLevel="0" collapsed="false">
      <c r="A269" s="57" t="s">
        <v>469</v>
      </c>
      <c r="B269" s="51"/>
      <c r="C269" s="51"/>
      <c r="D269" s="51"/>
      <c r="E269" s="51"/>
      <c r="F269" s="57" t="s">
        <v>470</v>
      </c>
      <c r="G269" s="51"/>
      <c r="H269" s="51"/>
      <c r="I269" s="51"/>
      <c r="J269" s="51"/>
      <c r="K269" s="52" t="str">
        <f aca="false">IF($A269&lt;&gt;"",$A269,"")</f>
        <v>Apprenant 257</v>
      </c>
      <c r="L269" s="53" t="str">
        <f aca="false">IF(AND($B269&lt;&gt;"",$C269&lt;&gt;""),$C269-$B269,"")</f>
        <v/>
      </c>
      <c r="M269" s="53" t="str">
        <f aca="false">IF(AND($B269&lt;&gt;"",$D269&lt;&gt;""),$D269-$B269,"")</f>
        <v/>
      </c>
      <c r="N269" s="53" t="str">
        <f aca="false">IF(AND($C269&lt;&gt;"",$D269&lt;&gt;""),$D269-$C269,"")</f>
        <v/>
      </c>
      <c r="O269" s="53" t="str">
        <f aca="false">IF($E269&lt;&gt;"",$E269,"")</f>
        <v/>
      </c>
      <c r="P269" s="52" t="str">
        <f aca="false">IF($F269&lt;&gt;"",$F269,"")</f>
        <v>Apprenant 257 ou 257'</v>
      </c>
      <c r="Q269" s="53" t="str">
        <f aca="false">IF(AND($G269&lt;&gt;"",$H269&lt;&gt;""),$H269-$G269,"")</f>
        <v/>
      </c>
      <c r="R269" s="53" t="str">
        <f aca="false">IF(AND($G269&lt;&gt;"",$I269&lt;&gt;""),$I269-$G269,"")</f>
        <v/>
      </c>
      <c r="S269" s="53" t="str">
        <f aca="false">IF(AND($H269&lt;&gt;"",$I269&lt;&gt;""),$I269-$H269,"")</f>
        <v/>
      </c>
      <c r="T269" s="53" t="str">
        <f aca="false">IF($J269&lt;&gt;"",$J269,"")</f>
        <v/>
      </c>
      <c r="V269" s="52" t="str">
        <f aca="false">IF($A269&lt;&gt;"",$A269,"")</f>
        <v>Apprenant 257</v>
      </c>
      <c r="W269" s="53" t="str">
        <f aca="false">IF(AND(OR('Choix pédagogiques'!$C$3=1,'Choix pédagogiques'!$C$3=2),$BM269=1),B269,IF(AND('Choix pédagogiques'!$C$3=3,$BO269=1),B269,""))</f>
        <v/>
      </c>
      <c r="X269" s="53" t="str">
        <f aca="false">IF(AND(OR('Choix pédagogiques'!$C$3=1,'Choix pédagogiques'!$C$3=2),$BM269=1),C269,IF(AND('Choix pédagogiques'!$C$3=3,$BO269=1),C269,""))</f>
        <v/>
      </c>
      <c r="Y269" s="53" t="str">
        <f aca="false">IF(AND(OR('Choix pédagogiques'!$C$3=1,'Choix pédagogiques'!$C$3=2),$BM269=1),D269,IF(AND('Choix pédagogiques'!$C$3=3,$BO269=1),D269,""))</f>
        <v/>
      </c>
      <c r="Z269" s="53" t="str">
        <f aca="false">IF($E269&lt;&gt;"",$E269,"")</f>
        <v/>
      </c>
      <c r="AA269" s="52" t="str">
        <f aca="false">IF($F269&lt;&gt;"",$F269,"")</f>
        <v>Apprenant 257 ou 257'</v>
      </c>
      <c r="AB269" s="53" t="str">
        <f aca="false">IF(AND(OR('Choix pédagogiques'!$C$3=1,'Choix pédagogiques'!$C$3=2),$BN269=1),G269,IF(AND('Choix pédagogiques'!$C$3=3,$BO269=1),G269,""))</f>
        <v/>
      </c>
      <c r="AC269" s="53" t="str">
        <f aca="false">IF(AND(OR('Choix pédagogiques'!$C$3=1,'Choix pédagogiques'!$C$3=2),$BN269=1),H269,IF(AND('Choix pédagogiques'!$C$3=3,$BO269=1),H269,""))</f>
        <v/>
      </c>
      <c r="AD269" s="53" t="str">
        <f aca="false">IF(AND(OR('Choix pédagogiques'!$C$3=1,'Choix pédagogiques'!$C$3=2),$BN269=1),I269,IF(AND('Choix pédagogiques'!$C$3=3,$BO269=1),I269,""))</f>
        <v/>
      </c>
      <c r="AE269" s="53" t="str">
        <f aca="false">IF($J269&lt;&gt;"",$J269,"")</f>
        <v/>
      </c>
      <c r="AF269" s="52" t="str">
        <f aca="false">IF($A269&lt;&gt;"",$A269,"")</f>
        <v>Apprenant 257</v>
      </c>
      <c r="AG269" s="53" t="str">
        <f aca="false">IF(AND($W269&lt;&gt;"",$X269&lt;&gt;""),$X269-$W269,"")</f>
        <v/>
      </c>
      <c r="AH269" s="53" t="str">
        <f aca="false">IF(AND($W269&lt;&gt;"",$Y269&lt;&gt;""),$Y269-$W269,"")</f>
        <v/>
      </c>
      <c r="AI269" s="53" t="str">
        <f aca="false">IF(AND($X269&lt;&gt;"",$Y269&lt;&gt;""),$Y269-$X269,"")</f>
        <v/>
      </c>
      <c r="AJ269" s="53" t="str">
        <f aca="false">IF($E269&lt;&gt;"",$E269,"")</f>
        <v/>
      </c>
      <c r="AK269" s="52" t="str">
        <f aca="false">IF($F269&lt;&gt;"",$F269,"")</f>
        <v>Apprenant 257 ou 257'</v>
      </c>
      <c r="AL269" s="53" t="str">
        <f aca="false">IF(AND($AB269&lt;&gt;"",$AC269&lt;&gt;""),$AC269-$AB269,"")</f>
        <v/>
      </c>
      <c r="AM269" s="53" t="str">
        <f aca="false">IF(AND($AB269&lt;&gt;"",$AD269&lt;&gt;""),$AD269-$AB269,"")</f>
        <v/>
      </c>
      <c r="AN269" s="53" t="str">
        <f aca="false">IF(AND($AC269&lt;&gt;"",$AD269&lt;&gt;""),$AD269-$AC269,"")</f>
        <v/>
      </c>
      <c r="AO269" s="53" t="str">
        <f aca="false">IF($J269&lt;&gt;"",$J269,"")</f>
        <v/>
      </c>
      <c r="AQ269" s="52" t="str">
        <f aca="false">IF($A269&lt;&gt;"",$A269,"")</f>
        <v>Apprenant 257</v>
      </c>
      <c r="AR269" s="55" t="str">
        <f aca="false">IF(AND('Choix pédagogiques'!$C$4&lt;&gt;"?",'Choix pédagogiques'!$C$5&lt;&gt;"?",W269&lt;&gt;""),(W269-'Choix pédagogiques'!$C$4)/('Choix pédagogiques'!$C$5-'Choix pédagogiques'!$C$4),"")</f>
        <v/>
      </c>
      <c r="AS269" s="55" t="str">
        <f aca="false">IF(AND('Choix pédagogiques'!$C$4&lt;&gt;"?",'Choix pédagogiques'!$C$5&lt;&gt;"?",X269&lt;&gt;""),(X269-'Choix pédagogiques'!$C$4)/('Choix pédagogiques'!$C$5-'Choix pédagogiques'!$C$4),"")</f>
        <v/>
      </c>
      <c r="AT269" s="55" t="str">
        <f aca="false">IF(AND('Choix pédagogiques'!$C$4&lt;&gt;"?",'Choix pédagogiques'!$C$5&lt;&gt;"?",Y269&lt;&gt;""),(Y269-'Choix pédagogiques'!$C$4)/('Choix pédagogiques'!$C$5-'Choix pédagogiques'!$C$4),"")</f>
        <v/>
      </c>
      <c r="AU269" s="53" t="str">
        <f aca="false">IF($E269&lt;&gt;"",$E269,"")</f>
        <v/>
      </c>
      <c r="AV269" s="52" t="str">
        <f aca="false">IF($F269&lt;&gt;"",$F269,"")</f>
        <v>Apprenant 257 ou 257'</v>
      </c>
      <c r="AW269" s="55" t="str">
        <f aca="false">IF(AND('Choix pédagogiques'!$C$4&lt;&gt;"?",'Choix pédagogiques'!$C$5&lt;&gt;"?",AB269&lt;&gt;""),(AB269-'Choix pédagogiques'!$C$4)/('Choix pédagogiques'!$C$5-'Choix pédagogiques'!$C$4),"")</f>
        <v/>
      </c>
      <c r="AX269" s="55" t="str">
        <f aca="false">IF(AND('Choix pédagogiques'!$C$4&lt;&gt;"?",'Choix pédagogiques'!$C$5&lt;&gt;"?",AC269&lt;&gt;""),(AC269-'Choix pédagogiques'!$C$4)/('Choix pédagogiques'!$C$5-'Choix pédagogiques'!$C$4),"")</f>
        <v/>
      </c>
      <c r="AY269" s="55" t="str">
        <f aca="false">IF(AND('Choix pédagogiques'!$C$4&lt;&gt;"?",'Choix pédagogiques'!$C$5&lt;&gt;"?",AD269&lt;&gt;""),(AD269-'Choix pédagogiques'!$C$4)/('Choix pédagogiques'!$C$5-'Choix pédagogiques'!$C$4),"")</f>
        <v/>
      </c>
      <c r="AZ269" s="53" t="str">
        <f aca="false">IF($J269&lt;&gt;"",$J269,"")</f>
        <v/>
      </c>
      <c r="BA269" s="52" t="str">
        <f aca="false">IF($A269&lt;&gt;"",$A269,"")</f>
        <v>Apprenant 257</v>
      </c>
      <c r="BB269" s="55" t="str">
        <f aca="false">IF(AND($AR269&lt;&gt;"",$AS269&lt;&gt;""),$AS269-$AR269,"")</f>
        <v/>
      </c>
      <c r="BC269" s="55" t="str">
        <f aca="false">IF(AND($AR269&lt;&gt;"",$AT269&lt;&gt;""),$AT269-$AR269,"")</f>
        <v/>
      </c>
      <c r="BD269" s="55" t="str">
        <f aca="false">IF(AND($AS269&lt;&gt;"",$AT269&lt;&gt;""),$AT269-$AS269,"")</f>
        <v/>
      </c>
      <c r="BE269" s="53" t="str">
        <f aca="false">IF($E269&lt;&gt;"",$E269,"")</f>
        <v/>
      </c>
      <c r="BF269" s="52" t="str">
        <f aca="false">IF($F269&lt;&gt;"",$F269,"")</f>
        <v>Apprenant 257 ou 257'</v>
      </c>
      <c r="BG269" s="55" t="str">
        <f aca="false">IF(AND($AW269&lt;&gt;"",$AX269&lt;&gt;""),$AX269-$AW269,"")</f>
        <v/>
      </c>
      <c r="BH269" s="55" t="str">
        <f aca="false">IF(AND($AW269&lt;&gt;"",$AY269&lt;&gt;""),$AY269-$AW269,"")</f>
        <v/>
      </c>
      <c r="BI269" s="55" t="str">
        <f aca="false">IF(AND($AX269&lt;&gt;"",$AY269&lt;&gt;""),$AY269-$AX269,"")</f>
        <v/>
      </c>
      <c r="BJ269" s="53" t="str">
        <f aca="false">IF($J269&lt;&gt;"",$J269,"")</f>
        <v/>
      </c>
      <c r="BL269" s="52"/>
      <c r="BM269" s="52" t="str">
        <f aca="false">IF(OR(COUNT(B269:D1268)=0,AND('Choix pédagogiques'!$C$3&lt;&gt;1,'Choix pédagogiques'!$C$3&lt;&gt;2)),"",IF(AND(OR('Choix pédagogiques'!$C$3=1,'Choix pédagogiques'!$C$3=2),$B269&lt;&gt;"",$C269&lt;&gt;"",$D269&lt;&gt;""),1,0))</f>
        <v/>
      </c>
      <c r="BN269" s="52" t="str">
        <f aca="false">IF(OR(COUNT(G269:I1268)=0,AND('Choix pédagogiques'!$C$3&lt;&gt;1,'Choix pédagogiques'!$C$3&lt;&gt;2)),"",IF(AND(OR('Choix pédagogiques'!$C$3=1,'Choix pédagogiques'!$C$3=2),AND($G269&lt;&gt;"",$H269&lt;&gt;"",$I269&lt;&gt;"")),1,0))</f>
        <v/>
      </c>
      <c r="BO269" s="52" t="str">
        <f aca="false">IF(OR(COUNT(B269:D1268)=0,COUNT(G269:I1268)=0,'Choix pédagogiques'!C$3&lt;&gt;3),"",IF(AND('Choix pédagogiques'!$C$3=3,$B269&lt;&gt;"",$C269&lt;&gt;"",$D269&lt;&gt;"",$G269&lt;&gt;"",$H269&lt;&gt;"",$I269&lt;&gt;""),1,0))</f>
        <v/>
      </c>
      <c r="BR269" s="52" t="n">
        <v>807</v>
      </c>
      <c r="BS269" s="52" t="n">
        <v>1002</v>
      </c>
    </row>
    <row r="270" s="54" customFormat="true" ht="18" hidden="false" customHeight="true" outlineLevel="0" collapsed="false">
      <c r="A270" s="57" t="s">
        <v>471</v>
      </c>
      <c r="B270" s="51"/>
      <c r="C270" s="51"/>
      <c r="D270" s="51"/>
      <c r="E270" s="51"/>
      <c r="F270" s="57" t="s">
        <v>472</v>
      </c>
      <c r="G270" s="51"/>
      <c r="H270" s="51"/>
      <c r="I270" s="51"/>
      <c r="J270" s="51"/>
      <c r="K270" s="52" t="str">
        <f aca="false">IF($A270&lt;&gt;"",$A270,"")</f>
        <v>Apprenant 258</v>
      </c>
      <c r="L270" s="53" t="str">
        <f aca="false">IF(AND($B270&lt;&gt;"",$C270&lt;&gt;""),$C270-$B270,"")</f>
        <v/>
      </c>
      <c r="M270" s="53" t="str">
        <f aca="false">IF(AND($B270&lt;&gt;"",$D270&lt;&gt;""),$D270-$B270,"")</f>
        <v/>
      </c>
      <c r="N270" s="53" t="str">
        <f aca="false">IF(AND($C270&lt;&gt;"",$D270&lt;&gt;""),$D270-$C270,"")</f>
        <v/>
      </c>
      <c r="O270" s="53" t="str">
        <f aca="false">IF($E270&lt;&gt;"",$E270,"")</f>
        <v/>
      </c>
      <c r="P270" s="52" t="str">
        <f aca="false">IF($F270&lt;&gt;"",$F270,"")</f>
        <v>Apprenant 258 ou 258'</v>
      </c>
      <c r="Q270" s="53" t="str">
        <f aca="false">IF(AND($G270&lt;&gt;"",$H270&lt;&gt;""),$H270-$G270,"")</f>
        <v/>
      </c>
      <c r="R270" s="53" t="str">
        <f aca="false">IF(AND($G270&lt;&gt;"",$I270&lt;&gt;""),$I270-$G270,"")</f>
        <v/>
      </c>
      <c r="S270" s="53" t="str">
        <f aca="false">IF(AND($H270&lt;&gt;"",$I270&lt;&gt;""),$I270-$H270,"")</f>
        <v/>
      </c>
      <c r="T270" s="53" t="str">
        <f aca="false">IF($J270&lt;&gt;"",$J270,"")</f>
        <v/>
      </c>
      <c r="V270" s="52" t="str">
        <f aca="false">IF($A270&lt;&gt;"",$A270,"")</f>
        <v>Apprenant 258</v>
      </c>
      <c r="W270" s="53" t="str">
        <f aca="false">IF(AND(OR('Choix pédagogiques'!$C$3=1,'Choix pédagogiques'!$C$3=2),$BM270=1),B270,IF(AND('Choix pédagogiques'!$C$3=3,$BO270=1),B270,""))</f>
        <v/>
      </c>
      <c r="X270" s="53" t="str">
        <f aca="false">IF(AND(OR('Choix pédagogiques'!$C$3=1,'Choix pédagogiques'!$C$3=2),$BM270=1),C270,IF(AND('Choix pédagogiques'!$C$3=3,$BO270=1),C270,""))</f>
        <v/>
      </c>
      <c r="Y270" s="53" t="str">
        <f aca="false">IF(AND(OR('Choix pédagogiques'!$C$3=1,'Choix pédagogiques'!$C$3=2),$BM270=1),D270,IF(AND('Choix pédagogiques'!$C$3=3,$BO270=1),D270,""))</f>
        <v/>
      </c>
      <c r="Z270" s="53" t="str">
        <f aca="false">IF($E270&lt;&gt;"",$E270,"")</f>
        <v/>
      </c>
      <c r="AA270" s="52" t="str">
        <f aca="false">IF($F270&lt;&gt;"",$F270,"")</f>
        <v>Apprenant 258 ou 258'</v>
      </c>
      <c r="AB270" s="53" t="str">
        <f aca="false">IF(AND(OR('Choix pédagogiques'!$C$3=1,'Choix pédagogiques'!$C$3=2),$BN270=1),G270,IF(AND('Choix pédagogiques'!$C$3=3,$BO270=1),G270,""))</f>
        <v/>
      </c>
      <c r="AC270" s="53" t="str">
        <f aca="false">IF(AND(OR('Choix pédagogiques'!$C$3=1,'Choix pédagogiques'!$C$3=2),$BN270=1),H270,IF(AND('Choix pédagogiques'!$C$3=3,$BO270=1),H270,""))</f>
        <v/>
      </c>
      <c r="AD270" s="53" t="str">
        <f aca="false">IF(AND(OR('Choix pédagogiques'!$C$3=1,'Choix pédagogiques'!$C$3=2),$BN270=1),I270,IF(AND('Choix pédagogiques'!$C$3=3,$BO270=1),I270,""))</f>
        <v/>
      </c>
      <c r="AE270" s="53" t="str">
        <f aca="false">IF($J270&lt;&gt;"",$J270,"")</f>
        <v/>
      </c>
      <c r="AF270" s="52" t="str">
        <f aca="false">IF($A270&lt;&gt;"",$A270,"")</f>
        <v>Apprenant 258</v>
      </c>
      <c r="AG270" s="53" t="str">
        <f aca="false">IF(AND($W270&lt;&gt;"",$X270&lt;&gt;""),$X270-$W270,"")</f>
        <v/>
      </c>
      <c r="AH270" s="53" t="str">
        <f aca="false">IF(AND($W270&lt;&gt;"",$Y270&lt;&gt;""),$Y270-$W270,"")</f>
        <v/>
      </c>
      <c r="AI270" s="53" t="str">
        <f aca="false">IF(AND($X270&lt;&gt;"",$Y270&lt;&gt;""),$Y270-$X270,"")</f>
        <v/>
      </c>
      <c r="AJ270" s="53" t="str">
        <f aca="false">IF($E270&lt;&gt;"",$E270,"")</f>
        <v/>
      </c>
      <c r="AK270" s="52" t="str">
        <f aca="false">IF($F270&lt;&gt;"",$F270,"")</f>
        <v>Apprenant 258 ou 258'</v>
      </c>
      <c r="AL270" s="53" t="str">
        <f aca="false">IF(AND($AB270&lt;&gt;"",$AC270&lt;&gt;""),$AC270-$AB270,"")</f>
        <v/>
      </c>
      <c r="AM270" s="53" t="str">
        <f aca="false">IF(AND($AB270&lt;&gt;"",$AD270&lt;&gt;""),$AD270-$AB270,"")</f>
        <v/>
      </c>
      <c r="AN270" s="53" t="str">
        <f aca="false">IF(AND($AC270&lt;&gt;"",$AD270&lt;&gt;""),$AD270-$AC270,"")</f>
        <v/>
      </c>
      <c r="AO270" s="53" t="str">
        <f aca="false">IF($J270&lt;&gt;"",$J270,"")</f>
        <v/>
      </c>
      <c r="AQ270" s="52" t="str">
        <f aca="false">IF($A270&lt;&gt;"",$A270,"")</f>
        <v>Apprenant 258</v>
      </c>
      <c r="AR270" s="55" t="str">
        <f aca="false">IF(AND('Choix pédagogiques'!$C$4&lt;&gt;"?",'Choix pédagogiques'!$C$5&lt;&gt;"?",W270&lt;&gt;""),(W270-'Choix pédagogiques'!$C$4)/('Choix pédagogiques'!$C$5-'Choix pédagogiques'!$C$4),"")</f>
        <v/>
      </c>
      <c r="AS270" s="55" t="str">
        <f aca="false">IF(AND('Choix pédagogiques'!$C$4&lt;&gt;"?",'Choix pédagogiques'!$C$5&lt;&gt;"?",X270&lt;&gt;""),(X270-'Choix pédagogiques'!$C$4)/('Choix pédagogiques'!$C$5-'Choix pédagogiques'!$C$4),"")</f>
        <v/>
      </c>
      <c r="AT270" s="55" t="str">
        <f aca="false">IF(AND('Choix pédagogiques'!$C$4&lt;&gt;"?",'Choix pédagogiques'!$C$5&lt;&gt;"?",Y270&lt;&gt;""),(Y270-'Choix pédagogiques'!$C$4)/('Choix pédagogiques'!$C$5-'Choix pédagogiques'!$C$4),"")</f>
        <v/>
      </c>
      <c r="AU270" s="53" t="str">
        <f aca="false">IF($E270&lt;&gt;"",$E270,"")</f>
        <v/>
      </c>
      <c r="AV270" s="52" t="str">
        <f aca="false">IF($F270&lt;&gt;"",$F270,"")</f>
        <v>Apprenant 258 ou 258'</v>
      </c>
      <c r="AW270" s="55" t="str">
        <f aca="false">IF(AND('Choix pédagogiques'!$C$4&lt;&gt;"?",'Choix pédagogiques'!$C$5&lt;&gt;"?",AB270&lt;&gt;""),(AB270-'Choix pédagogiques'!$C$4)/('Choix pédagogiques'!$C$5-'Choix pédagogiques'!$C$4),"")</f>
        <v/>
      </c>
      <c r="AX270" s="55" t="str">
        <f aca="false">IF(AND('Choix pédagogiques'!$C$4&lt;&gt;"?",'Choix pédagogiques'!$C$5&lt;&gt;"?",AC270&lt;&gt;""),(AC270-'Choix pédagogiques'!$C$4)/('Choix pédagogiques'!$C$5-'Choix pédagogiques'!$C$4),"")</f>
        <v/>
      </c>
      <c r="AY270" s="55" t="str">
        <f aca="false">IF(AND('Choix pédagogiques'!$C$4&lt;&gt;"?",'Choix pédagogiques'!$C$5&lt;&gt;"?",AD270&lt;&gt;""),(AD270-'Choix pédagogiques'!$C$4)/('Choix pédagogiques'!$C$5-'Choix pédagogiques'!$C$4),"")</f>
        <v/>
      </c>
      <c r="AZ270" s="53" t="str">
        <f aca="false">IF($J270&lt;&gt;"",$J270,"")</f>
        <v/>
      </c>
      <c r="BA270" s="52" t="str">
        <f aca="false">IF($A270&lt;&gt;"",$A270,"")</f>
        <v>Apprenant 258</v>
      </c>
      <c r="BB270" s="55" t="str">
        <f aca="false">IF(AND($AR270&lt;&gt;"",$AS270&lt;&gt;""),$AS270-$AR270,"")</f>
        <v/>
      </c>
      <c r="BC270" s="55" t="str">
        <f aca="false">IF(AND($AR270&lt;&gt;"",$AT270&lt;&gt;""),$AT270-$AR270,"")</f>
        <v/>
      </c>
      <c r="BD270" s="55" t="str">
        <f aca="false">IF(AND($AS270&lt;&gt;"",$AT270&lt;&gt;""),$AT270-$AS270,"")</f>
        <v/>
      </c>
      <c r="BE270" s="53" t="str">
        <f aca="false">IF($E270&lt;&gt;"",$E270,"")</f>
        <v/>
      </c>
      <c r="BF270" s="52" t="str">
        <f aca="false">IF($F270&lt;&gt;"",$F270,"")</f>
        <v>Apprenant 258 ou 258'</v>
      </c>
      <c r="BG270" s="55" t="str">
        <f aca="false">IF(AND($AW270&lt;&gt;"",$AX270&lt;&gt;""),$AX270-$AW270,"")</f>
        <v/>
      </c>
      <c r="BH270" s="55" t="str">
        <f aca="false">IF(AND($AW270&lt;&gt;"",$AY270&lt;&gt;""),$AY270-$AW270,"")</f>
        <v/>
      </c>
      <c r="BI270" s="55" t="str">
        <f aca="false">IF(AND($AX270&lt;&gt;"",$AY270&lt;&gt;""),$AY270-$AX270,"")</f>
        <v/>
      </c>
      <c r="BJ270" s="53" t="str">
        <f aca="false">IF($J270&lt;&gt;"",$J270,"")</f>
        <v/>
      </c>
      <c r="BL270" s="52"/>
      <c r="BM270" s="52" t="str">
        <f aca="false">IF(OR(COUNT(B270:D1269)=0,AND('Choix pédagogiques'!$C$3&lt;&gt;1,'Choix pédagogiques'!$C$3&lt;&gt;2)),"",IF(AND(OR('Choix pédagogiques'!$C$3=1,'Choix pédagogiques'!$C$3=2),$B270&lt;&gt;"",$C270&lt;&gt;"",$D270&lt;&gt;""),1,0))</f>
        <v/>
      </c>
      <c r="BN270" s="52" t="str">
        <f aca="false">IF(OR(COUNT(G270:I1269)=0,AND('Choix pédagogiques'!$C$3&lt;&gt;1,'Choix pédagogiques'!$C$3&lt;&gt;2)),"",IF(AND(OR('Choix pédagogiques'!$C$3=1,'Choix pédagogiques'!$C$3=2),AND($G270&lt;&gt;"",$H270&lt;&gt;"",$I270&lt;&gt;"")),1,0))</f>
        <v/>
      </c>
      <c r="BO270" s="52" t="str">
        <f aca="false">IF(OR(COUNT(B270:D1269)=0,COUNT(G270:I1269)=0,'Choix pédagogiques'!C$3&lt;&gt;3),"",IF(AND('Choix pédagogiques'!$C$3=3,$B270&lt;&gt;"",$C270&lt;&gt;"",$D270&lt;&gt;"",$G270&lt;&gt;"",$H270&lt;&gt;"",$I270&lt;&gt;""),1,0))</f>
        <v/>
      </c>
      <c r="BR270" s="52" t="n">
        <v>237</v>
      </c>
      <c r="BS270" s="52" t="n">
        <v>1693</v>
      </c>
    </row>
    <row r="271" s="54" customFormat="true" ht="18" hidden="false" customHeight="true" outlineLevel="0" collapsed="false">
      <c r="A271" s="57" t="s">
        <v>473</v>
      </c>
      <c r="B271" s="51"/>
      <c r="C271" s="51"/>
      <c r="D271" s="51"/>
      <c r="E271" s="51"/>
      <c r="F271" s="57" t="s">
        <v>474</v>
      </c>
      <c r="G271" s="51"/>
      <c r="H271" s="51"/>
      <c r="I271" s="51"/>
      <c r="J271" s="51"/>
      <c r="K271" s="52" t="str">
        <f aca="false">IF($A271&lt;&gt;"",$A271,"")</f>
        <v>Apprenant 259</v>
      </c>
      <c r="L271" s="53" t="str">
        <f aca="false">IF(AND($B271&lt;&gt;"",$C271&lt;&gt;""),$C271-$B271,"")</f>
        <v/>
      </c>
      <c r="M271" s="53" t="str">
        <f aca="false">IF(AND($B271&lt;&gt;"",$D271&lt;&gt;""),$D271-$B271,"")</f>
        <v/>
      </c>
      <c r="N271" s="53" t="str">
        <f aca="false">IF(AND($C271&lt;&gt;"",$D271&lt;&gt;""),$D271-$C271,"")</f>
        <v/>
      </c>
      <c r="O271" s="53" t="str">
        <f aca="false">IF($E271&lt;&gt;"",$E271,"")</f>
        <v/>
      </c>
      <c r="P271" s="52" t="str">
        <f aca="false">IF($F271&lt;&gt;"",$F271,"")</f>
        <v>Apprenant 259 ou 259'</v>
      </c>
      <c r="Q271" s="53" t="str">
        <f aca="false">IF(AND($G271&lt;&gt;"",$H271&lt;&gt;""),$H271-$G271,"")</f>
        <v/>
      </c>
      <c r="R271" s="53" t="str">
        <f aca="false">IF(AND($G271&lt;&gt;"",$I271&lt;&gt;""),$I271-$G271,"")</f>
        <v/>
      </c>
      <c r="S271" s="53" t="str">
        <f aca="false">IF(AND($H271&lt;&gt;"",$I271&lt;&gt;""),$I271-$H271,"")</f>
        <v/>
      </c>
      <c r="T271" s="53" t="str">
        <f aca="false">IF($J271&lt;&gt;"",$J271,"")</f>
        <v/>
      </c>
      <c r="V271" s="52" t="str">
        <f aca="false">IF($A271&lt;&gt;"",$A271,"")</f>
        <v>Apprenant 259</v>
      </c>
      <c r="W271" s="53" t="str">
        <f aca="false">IF(AND(OR('Choix pédagogiques'!$C$3=1,'Choix pédagogiques'!$C$3=2),$BM271=1),B271,IF(AND('Choix pédagogiques'!$C$3=3,$BO271=1),B271,""))</f>
        <v/>
      </c>
      <c r="X271" s="53" t="str">
        <f aca="false">IF(AND(OR('Choix pédagogiques'!$C$3=1,'Choix pédagogiques'!$C$3=2),$BM271=1),C271,IF(AND('Choix pédagogiques'!$C$3=3,$BO271=1),C271,""))</f>
        <v/>
      </c>
      <c r="Y271" s="53" t="str">
        <f aca="false">IF(AND(OR('Choix pédagogiques'!$C$3=1,'Choix pédagogiques'!$C$3=2),$BM271=1),D271,IF(AND('Choix pédagogiques'!$C$3=3,$BO271=1),D271,""))</f>
        <v/>
      </c>
      <c r="Z271" s="53" t="str">
        <f aca="false">IF($E271&lt;&gt;"",$E271,"")</f>
        <v/>
      </c>
      <c r="AA271" s="52" t="str">
        <f aca="false">IF($F271&lt;&gt;"",$F271,"")</f>
        <v>Apprenant 259 ou 259'</v>
      </c>
      <c r="AB271" s="53" t="str">
        <f aca="false">IF(AND(OR('Choix pédagogiques'!$C$3=1,'Choix pédagogiques'!$C$3=2),$BN271=1),G271,IF(AND('Choix pédagogiques'!$C$3=3,$BO271=1),G271,""))</f>
        <v/>
      </c>
      <c r="AC271" s="53" t="str">
        <f aca="false">IF(AND(OR('Choix pédagogiques'!$C$3=1,'Choix pédagogiques'!$C$3=2),$BN271=1),H271,IF(AND('Choix pédagogiques'!$C$3=3,$BO271=1),H271,""))</f>
        <v/>
      </c>
      <c r="AD271" s="53" t="str">
        <f aca="false">IF(AND(OR('Choix pédagogiques'!$C$3=1,'Choix pédagogiques'!$C$3=2),$BN271=1),I271,IF(AND('Choix pédagogiques'!$C$3=3,$BO271=1),I271,""))</f>
        <v/>
      </c>
      <c r="AE271" s="53" t="str">
        <f aca="false">IF($J271&lt;&gt;"",$J271,"")</f>
        <v/>
      </c>
      <c r="AF271" s="52" t="str">
        <f aca="false">IF($A271&lt;&gt;"",$A271,"")</f>
        <v>Apprenant 259</v>
      </c>
      <c r="AG271" s="53" t="str">
        <f aca="false">IF(AND($W271&lt;&gt;"",$X271&lt;&gt;""),$X271-$W271,"")</f>
        <v/>
      </c>
      <c r="AH271" s="53" t="str">
        <f aca="false">IF(AND($W271&lt;&gt;"",$Y271&lt;&gt;""),$Y271-$W271,"")</f>
        <v/>
      </c>
      <c r="AI271" s="53" t="str">
        <f aca="false">IF(AND($X271&lt;&gt;"",$Y271&lt;&gt;""),$Y271-$X271,"")</f>
        <v/>
      </c>
      <c r="AJ271" s="53" t="str">
        <f aca="false">IF($E271&lt;&gt;"",$E271,"")</f>
        <v/>
      </c>
      <c r="AK271" s="52" t="str">
        <f aca="false">IF($F271&lt;&gt;"",$F271,"")</f>
        <v>Apprenant 259 ou 259'</v>
      </c>
      <c r="AL271" s="53" t="str">
        <f aca="false">IF(AND($AB271&lt;&gt;"",$AC271&lt;&gt;""),$AC271-$AB271,"")</f>
        <v/>
      </c>
      <c r="AM271" s="53" t="str">
        <f aca="false">IF(AND($AB271&lt;&gt;"",$AD271&lt;&gt;""),$AD271-$AB271,"")</f>
        <v/>
      </c>
      <c r="AN271" s="53" t="str">
        <f aca="false">IF(AND($AC271&lt;&gt;"",$AD271&lt;&gt;""),$AD271-$AC271,"")</f>
        <v/>
      </c>
      <c r="AO271" s="53" t="str">
        <f aca="false">IF($J271&lt;&gt;"",$J271,"")</f>
        <v/>
      </c>
      <c r="AQ271" s="52" t="str">
        <f aca="false">IF($A271&lt;&gt;"",$A271,"")</f>
        <v>Apprenant 259</v>
      </c>
      <c r="AR271" s="55" t="str">
        <f aca="false">IF(AND('Choix pédagogiques'!$C$4&lt;&gt;"?",'Choix pédagogiques'!$C$5&lt;&gt;"?",W271&lt;&gt;""),(W271-'Choix pédagogiques'!$C$4)/('Choix pédagogiques'!$C$5-'Choix pédagogiques'!$C$4),"")</f>
        <v/>
      </c>
      <c r="AS271" s="55" t="str">
        <f aca="false">IF(AND('Choix pédagogiques'!$C$4&lt;&gt;"?",'Choix pédagogiques'!$C$5&lt;&gt;"?",X271&lt;&gt;""),(X271-'Choix pédagogiques'!$C$4)/('Choix pédagogiques'!$C$5-'Choix pédagogiques'!$C$4),"")</f>
        <v/>
      </c>
      <c r="AT271" s="55" t="str">
        <f aca="false">IF(AND('Choix pédagogiques'!$C$4&lt;&gt;"?",'Choix pédagogiques'!$C$5&lt;&gt;"?",Y271&lt;&gt;""),(Y271-'Choix pédagogiques'!$C$4)/('Choix pédagogiques'!$C$5-'Choix pédagogiques'!$C$4),"")</f>
        <v/>
      </c>
      <c r="AU271" s="53" t="str">
        <f aca="false">IF($E271&lt;&gt;"",$E271,"")</f>
        <v/>
      </c>
      <c r="AV271" s="52" t="str">
        <f aca="false">IF($F271&lt;&gt;"",$F271,"")</f>
        <v>Apprenant 259 ou 259'</v>
      </c>
      <c r="AW271" s="55" t="str">
        <f aca="false">IF(AND('Choix pédagogiques'!$C$4&lt;&gt;"?",'Choix pédagogiques'!$C$5&lt;&gt;"?",AB271&lt;&gt;""),(AB271-'Choix pédagogiques'!$C$4)/('Choix pédagogiques'!$C$5-'Choix pédagogiques'!$C$4),"")</f>
        <v/>
      </c>
      <c r="AX271" s="55" t="str">
        <f aca="false">IF(AND('Choix pédagogiques'!$C$4&lt;&gt;"?",'Choix pédagogiques'!$C$5&lt;&gt;"?",AC271&lt;&gt;""),(AC271-'Choix pédagogiques'!$C$4)/('Choix pédagogiques'!$C$5-'Choix pédagogiques'!$C$4),"")</f>
        <v/>
      </c>
      <c r="AY271" s="55" t="str">
        <f aca="false">IF(AND('Choix pédagogiques'!$C$4&lt;&gt;"?",'Choix pédagogiques'!$C$5&lt;&gt;"?",AD271&lt;&gt;""),(AD271-'Choix pédagogiques'!$C$4)/('Choix pédagogiques'!$C$5-'Choix pédagogiques'!$C$4),"")</f>
        <v/>
      </c>
      <c r="AZ271" s="53" t="str">
        <f aca="false">IF($J271&lt;&gt;"",$J271,"")</f>
        <v/>
      </c>
      <c r="BA271" s="52" t="str">
        <f aca="false">IF($A271&lt;&gt;"",$A271,"")</f>
        <v>Apprenant 259</v>
      </c>
      <c r="BB271" s="55" t="str">
        <f aca="false">IF(AND($AR271&lt;&gt;"",$AS271&lt;&gt;""),$AS271-$AR271,"")</f>
        <v/>
      </c>
      <c r="BC271" s="55" t="str">
        <f aca="false">IF(AND($AR271&lt;&gt;"",$AT271&lt;&gt;""),$AT271-$AR271,"")</f>
        <v/>
      </c>
      <c r="BD271" s="55" t="str">
        <f aca="false">IF(AND($AS271&lt;&gt;"",$AT271&lt;&gt;""),$AT271-$AS271,"")</f>
        <v/>
      </c>
      <c r="BE271" s="53" t="str">
        <f aca="false">IF($E271&lt;&gt;"",$E271,"")</f>
        <v/>
      </c>
      <c r="BF271" s="52" t="str">
        <f aca="false">IF($F271&lt;&gt;"",$F271,"")</f>
        <v>Apprenant 259 ou 259'</v>
      </c>
      <c r="BG271" s="55" t="str">
        <f aca="false">IF(AND($AW271&lt;&gt;"",$AX271&lt;&gt;""),$AX271-$AW271,"")</f>
        <v/>
      </c>
      <c r="BH271" s="55" t="str">
        <f aca="false">IF(AND($AW271&lt;&gt;"",$AY271&lt;&gt;""),$AY271-$AW271,"")</f>
        <v/>
      </c>
      <c r="BI271" s="55" t="str">
        <f aca="false">IF(AND($AX271&lt;&gt;"",$AY271&lt;&gt;""),$AY271-$AX271,"")</f>
        <v/>
      </c>
      <c r="BJ271" s="53" t="str">
        <f aca="false">IF($J271&lt;&gt;"",$J271,"")</f>
        <v/>
      </c>
      <c r="BL271" s="52"/>
      <c r="BM271" s="52" t="str">
        <f aca="false">IF(OR(COUNT(B271:D1270)=0,AND('Choix pédagogiques'!$C$3&lt;&gt;1,'Choix pédagogiques'!$C$3&lt;&gt;2)),"",IF(AND(OR('Choix pédagogiques'!$C$3=1,'Choix pédagogiques'!$C$3=2),$B271&lt;&gt;"",$C271&lt;&gt;"",$D271&lt;&gt;""),1,0))</f>
        <v/>
      </c>
      <c r="BN271" s="52" t="str">
        <f aca="false">IF(OR(COUNT(G271:I1270)=0,AND('Choix pédagogiques'!$C$3&lt;&gt;1,'Choix pédagogiques'!$C$3&lt;&gt;2)),"",IF(AND(OR('Choix pédagogiques'!$C$3=1,'Choix pédagogiques'!$C$3=2),AND($G271&lt;&gt;"",$H271&lt;&gt;"",$I271&lt;&gt;"")),1,0))</f>
        <v/>
      </c>
      <c r="BO271" s="52" t="str">
        <f aca="false">IF(OR(COUNT(B271:D1270)=0,COUNT(G271:I1270)=0,'Choix pédagogiques'!C$3&lt;&gt;3),"",IF(AND('Choix pédagogiques'!$C$3=3,$B271&lt;&gt;"",$C271&lt;&gt;"",$D271&lt;&gt;"",$G271&lt;&gt;"",$H271&lt;&gt;"",$I271&lt;&gt;""),1,0))</f>
        <v/>
      </c>
      <c r="BR271" s="52" t="n">
        <v>520</v>
      </c>
      <c r="BS271" s="52" t="n">
        <v>1751</v>
      </c>
    </row>
    <row r="272" s="54" customFormat="true" ht="18" hidden="false" customHeight="true" outlineLevel="0" collapsed="false">
      <c r="A272" s="57" t="s">
        <v>475</v>
      </c>
      <c r="B272" s="51"/>
      <c r="C272" s="51"/>
      <c r="D272" s="51"/>
      <c r="E272" s="51"/>
      <c r="F272" s="57" t="s">
        <v>476</v>
      </c>
      <c r="G272" s="51"/>
      <c r="H272" s="51"/>
      <c r="I272" s="51"/>
      <c r="J272" s="51"/>
      <c r="K272" s="52" t="str">
        <f aca="false">IF($A272&lt;&gt;"",$A272,"")</f>
        <v>Apprenant 260</v>
      </c>
      <c r="L272" s="53" t="str">
        <f aca="false">IF(AND($B272&lt;&gt;"",$C272&lt;&gt;""),$C272-$B272,"")</f>
        <v/>
      </c>
      <c r="M272" s="53" t="str">
        <f aca="false">IF(AND($B272&lt;&gt;"",$D272&lt;&gt;""),$D272-$B272,"")</f>
        <v/>
      </c>
      <c r="N272" s="53" t="str">
        <f aca="false">IF(AND($C272&lt;&gt;"",$D272&lt;&gt;""),$D272-$C272,"")</f>
        <v/>
      </c>
      <c r="O272" s="53" t="str">
        <f aca="false">IF($E272&lt;&gt;"",$E272,"")</f>
        <v/>
      </c>
      <c r="P272" s="52" t="str">
        <f aca="false">IF($F272&lt;&gt;"",$F272,"")</f>
        <v>Apprenant 260 ou 260'</v>
      </c>
      <c r="Q272" s="53" t="str">
        <f aca="false">IF(AND($G272&lt;&gt;"",$H272&lt;&gt;""),$H272-$G272,"")</f>
        <v/>
      </c>
      <c r="R272" s="53" t="str">
        <f aca="false">IF(AND($G272&lt;&gt;"",$I272&lt;&gt;""),$I272-$G272,"")</f>
        <v/>
      </c>
      <c r="S272" s="53" t="str">
        <f aca="false">IF(AND($H272&lt;&gt;"",$I272&lt;&gt;""),$I272-$H272,"")</f>
        <v/>
      </c>
      <c r="T272" s="53" t="str">
        <f aca="false">IF($J272&lt;&gt;"",$J272,"")</f>
        <v/>
      </c>
      <c r="V272" s="52" t="str">
        <f aca="false">IF($A272&lt;&gt;"",$A272,"")</f>
        <v>Apprenant 260</v>
      </c>
      <c r="W272" s="53" t="str">
        <f aca="false">IF(AND(OR('Choix pédagogiques'!$C$3=1,'Choix pédagogiques'!$C$3=2),$BM272=1),B272,IF(AND('Choix pédagogiques'!$C$3=3,$BO272=1),B272,""))</f>
        <v/>
      </c>
      <c r="X272" s="53" t="str">
        <f aca="false">IF(AND(OR('Choix pédagogiques'!$C$3=1,'Choix pédagogiques'!$C$3=2),$BM272=1),C272,IF(AND('Choix pédagogiques'!$C$3=3,$BO272=1),C272,""))</f>
        <v/>
      </c>
      <c r="Y272" s="53" t="str">
        <f aca="false">IF(AND(OR('Choix pédagogiques'!$C$3=1,'Choix pédagogiques'!$C$3=2),$BM272=1),D272,IF(AND('Choix pédagogiques'!$C$3=3,$BO272=1),D272,""))</f>
        <v/>
      </c>
      <c r="Z272" s="53" t="str">
        <f aca="false">IF($E272&lt;&gt;"",$E272,"")</f>
        <v/>
      </c>
      <c r="AA272" s="52" t="str">
        <f aca="false">IF($F272&lt;&gt;"",$F272,"")</f>
        <v>Apprenant 260 ou 260'</v>
      </c>
      <c r="AB272" s="53" t="str">
        <f aca="false">IF(AND(OR('Choix pédagogiques'!$C$3=1,'Choix pédagogiques'!$C$3=2),$BN272=1),G272,IF(AND('Choix pédagogiques'!$C$3=3,$BO272=1),G272,""))</f>
        <v/>
      </c>
      <c r="AC272" s="53" t="str">
        <f aca="false">IF(AND(OR('Choix pédagogiques'!$C$3=1,'Choix pédagogiques'!$C$3=2),$BN272=1),H272,IF(AND('Choix pédagogiques'!$C$3=3,$BO272=1),H272,""))</f>
        <v/>
      </c>
      <c r="AD272" s="53" t="str">
        <f aca="false">IF(AND(OR('Choix pédagogiques'!$C$3=1,'Choix pédagogiques'!$C$3=2),$BN272=1),I272,IF(AND('Choix pédagogiques'!$C$3=3,$BO272=1),I272,""))</f>
        <v/>
      </c>
      <c r="AE272" s="53" t="str">
        <f aca="false">IF($J272&lt;&gt;"",$J272,"")</f>
        <v/>
      </c>
      <c r="AF272" s="52" t="str">
        <f aca="false">IF($A272&lt;&gt;"",$A272,"")</f>
        <v>Apprenant 260</v>
      </c>
      <c r="AG272" s="53" t="str">
        <f aca="false">IF(AND($W272&lt;&gt;"",$X272&lt;&gt;""),$X272-$W272,"")</f>
        <v/>
      </c>
      <c r="AH272" s="53" t="str">
        <f aca="false">IF(AND($W272&lt;&gt;"",$Y272&lt;&gt;""),$Y272-$W272,"")</f>
        <v/>
      </c>
      <c r="AI272" s="53" t="str">
        <f aca="false">IF(AND($X272&lt;&gt;"",$Y272&lt;&gt;""),$Y272-$X272,"")</f>
        <v/>
      </c>
      <c r="AJ272" s="53" t="str">
        <f aca="false">IF($E272&lt;&gt;"",$E272,"")</f>
        <v/>
      </c>
      <c r="AK272" s="52" t="str">
        <f aca="false">IF($F272&lt;&gt;"",$F272,"")</f>
        <v>Apprenant 260 ou 260'</v>
      </c>
      <c r="AL272" s="53" t="str">
        <f aca="false">IF(AND($AB272&lt;&gt;"",$AC272&lt;&gt;""),$AC272-$AB272,"")</f>
        <v/>
      </c>
      <c r="AM272" s="53" t="str">
        <f aca="false">IF(AND($AB272&lt;&gt;"",$AD272&lt;&gt;""),$AD272-$AB272,"")</f>
        <v/>
      </c>
      <c r="AN272" s="53" t="str">
        <f aca="false">IF(AND($AC272&lt;&gt;"",$AD272&lt;&gt;""),$AD272-$AC272,"")</f>
        <v/>
      </c>
      <c r="AO272" s="53" t="str">
        <f aca="false">IF($J272&lt;&gt;"",$J272,"")</f>
        <v/>
      </c>
      <c r="AQ272" s="52" t="str">
        <f aca="false">IF($A272&lt;&gt;"",$A272,"")</f>
        <v>Apprenant 260</v>
      </c>
      <c r="AR272" s="55" t="str">
        <f aca="false">IF(AND('Choix pédagogiques'!$C$4&lt;&gt;"?",'Choix pédagogiques'!$C$5&lt;&gt;"?",W272&lt;&gt;""),(W272-'Choix pédagogiques'!$C$4)/('Choix pédagogiques'!$C$5-'Choix pédagogiques'!$C$4),"")</f>
        <v/>
      </c>
      <c r="AS272" s="55" t="str">
        <f aca="false">IF(AND('Choix pédagogiques'!$C$4&lt;&gt;"?",'Choix pédagogiques'!$C$5&lt;&gt;"?",X272&lt;&gt;""),(X272-'Choix pédagogiques'!$C$4)/('Choix pédagogiques'!$C$5-'Choix pédagogiques'!$C$4),"")</f>
        <v/>
      </c>
      <c r="AT272" s="55" t="str">
        <f aca="false">IF(AND('Choix pédagogiques'!$C$4&lt;&gt;"?",'Choix pédagogiques'!$C$5&lt;&gt;"?",Y272&lt;&gt;""),(Y272-'Choix pédagogiques'!$C$4)/('Choix pédagogiques'!$C$5-'Choix pédagogiques'!$C$4),"")</f>
        <v/>
      </c>
      <c r="AU272" s="53" t="str">
        <f aca="false">IF($E272&lt;&gt;"",$E272,"")</f>
        <v/>
      </c>
      <c r="AV272" s="52" t="str">
        <f aca="false">IF($F272&lt;&gt;"",$F272,"")</f>
        <v>Apprenant 260 ou 260'</v>
      </c>
      <c r="AW272" s="55" t="str">
        <f aca="false">IF(AND('Choix pédagogiques'!$C$4&lt;&gt;"?",'Choix pédagogiques'!$C$5&lt;&gt;"?",AB272&lt;&gt;""),(AB272-'Choix pédagogiques'!$C$4)/('Choix pédagogiques'!$C$5-'Choix pédagogiques'!$C$4),"")</f>
        <v/>
      </c>
      <c r="AX272" s="55" t="str">
        <f aca="false">IF(AND('Choix pédagogiques'!$C$4&lt;&gt;"?",'Choix pédagogiques'!$C$5&lt;&gt;"?",AC272&lt;&gt;""),(AC272-'Choix pédagogiques'!$C$4)/('Choix pédagogiques'!$C$5-'Choix pédagogiques'!$C$4),"")</f>
        <v/>
      </c>
      <c r="AY272" s="55" t="str">
        <f aca="false">IF(AND('Choix pédagogiques'!$C$4&lt;&gt;"?",'Choix pédagogiques'!$C$5&lt;&gt;"?",AD272&lt;&gt;""),(AD272-'Choix pédagogiques'!$C$4)/('Choix pédagogiques'!$C$5-'Choix pédagogiques'!$C$4),"")</f>
        <v/>
      </c>
      <c r="AZ272" s="53" t="str">
        <f aca="false">IF($J272&lt;&gt;"",$J272,"")</f>
        <v/>
      </c>
      <c r="BA272" s="52" t="str">
        <f aca="false">IF($A272&lt;&gt;"",$A272,"")</f>
        <v>Apprenant 260</v>
      </c>
      <c r="BB272" s="55" t="str">
        <f aca="false">IF(AND($AR272&lt;&gt;"",$AS272&lt;&gt;""),$AS272-$AR272,"")</f>
        <v/>
      </c>
      <c r="BC272" s="55" t="str">
        <f aca="false">IF(AND($AR272&lt;&gt;"",$AT272&lt;&gt;""),$AT272-$AR272,"")</f>
        <v/>
      </c>
      <c r="BD272" s="55" t="str">
        <f aca="false">IF(AND($AS272&lt;&gt;"",$AT272&lt;&gt;""),$AT272-$AS272,"")</f>
        <v/>
      </c>
      <c r="BE272" s="53" t="str">
        <f aca="false">IF($E272&lt;&gt;"",$E272,"")</f>
        <v/>
      </c>
      <c r="BF272" s="52" t="str">
        <f aca="false">IF($F272&lt;&gt;"",$F272,"")</f>
        <v>Apprenant 260 ou 260'</v>
      </c>
      <c r="BG272" s="55" t="str">
        <f aca="false">IF(AND($AW272&lt;&gt;"",$AX272&lt;&gt;""),$AX272-$AW272,"")</f>
        <v/>
      </c>
      <c r="BH272" s="55" t="str">
        <f aca="false">IF(AND($AW272&lt;&gt;"",$AY272&lt;&gt;""),$AY272-$AW272,"")</f>
        <v/>
      </c>
      <c r="BI272" s="55" t="str">
        <f aca="false">IF(AND($AX272&lt;&gt;"",$AY272&lt;&gt;""),$AY272-$AX272,"")</f>
        <v/>
      </c>
      <c r="BJ272" s="53" t="str">
        <f aca="false">IF($J272&lt;&gt;"",$J272,"")</f>
        <v/>
      </c>
      <c r="BL272" s="52"/>
      <c r="BM272" s="52" t="str">
        <f aca="false">IF(OR(COUNT(B272:D1271)=0,AND('Choix pédagogiques'!$C$3&lt;&gt;1,'Choix pédagogiques'!$C$3&lt;&gt;2)),"",IF(AND(OR('Choix pédagogiques'!$C$3=1,'Choix pédagogiques'!$C$3=2),$B272&lt;&gt;"",$C272&lt;&gt;"",$D272&lt;&gt;""),1,0))</f>
        <v/>
      </c>
      <c r="BN272" s="52" t="str">
        <f aca="false">IF(OR(COUNT(G272:I1271)=0,AND('Choix pédagogiques'!$C$3&lt;&gt;1,'Choix pédagogiques'!$C$3&lt;&gt;2)),"",IF(AND(OR('Choix pédagogiques'!$C$3=1,'Choix pédagogiques'!$C$3=2),AND($G272&lt;&gt;"",$H272&lt;&gt;"",$I272&lt;&gt;"")),1,0))</f>
        <v/>
      </c>
      <c r="BO272" s="52" t="str">
        <f aca="false">IF(OR(COUNT(B272:D1271)=0,COUNT(G272:I1271)=0,'Choix pédagogiques'!C$3&lt;&gt;3),"",IF(AND('Choix pédagogiques'!$C$3=3,$B272&lt;&gt;"",$C272&lt;&gt;"",$D272&lt;&gt;"",$G272&lt;&gt;"",$H272&lt;&gt;"",$I272&lt;&gt;""),1,0))</f>
        <v/>
      </c>
      <c r="BR272" s="52" t="n">
        <v>323</v>
      </c>
      <c r="BS272" s="52" t="n">
        <v>1298</v>
      </c>
    </row>
    <row r="273" s="54" customFormat="true" ht="18" hidden="false" customHeight="true" outlineLevel="0" collapsed="false">
      <c r="A273" s="57" t="s">
        <v>477</v>
      </c>
      <c r="B273" s="51"/>
      <c r="C273" s="51"/>
      <c r="D273" s="51"/>
      <c r="E273" s="51"/>
      <c r="F273" s="57" t="s">
        <v>478</v>
      </c>
      <c r="G273" s="51"/>
      <c r="H273" s="51"/>
      <c r="I273" s="51"/>
      <c r="J273" s="51"/>
      <c r="K273" s="52" t="str">
        <f aca="false">IF($A273&lt;&gt;"",$A273,"")</f>
        <v>Apprenant 261</v>
      </c>
      <c r="L273" s="53" t="str">
        <f aca="false">IF(AND($B273&lt;&gt;"",$C273&lt;&gt;""),$C273-$B273,"")</f>
        <v/>
      </c>
      <c r="M273" s="53" t="str">
        <f aca="false">IF(AND($B273&lt;&gt;"",$D273&lt;&gt;""),$D273-$B273,"")</f>
        <v/>
      </c>
      <c r="N273" s="53" t="str">
        <f aca="false">IF(AND($C273&lt;&gt;"",$D273&lt;&gt;""),$D273-$C273,"")</f>
        <v/>
      </c>
      <c r="O273" s="53" t="str">
        <f aca="false">IF($E273&lt;&gt;"",$E273,"")</f>
        <v/>
      </c>
      <c r="P273" s="52" t="str">
        <f aca="false">IF($F273&lt;&gt;"",$F273,"")</f>
        <v>Apprenant 261 ou 261'</v>
      </c>
      <c r="Q273" s="53" t="str">
        <f aca="false">IF(AND($G273&lt;&gt;"",$H273&lt;&gt;""),$H273-$G273,"")</f>
        <v/>
      </c>
      <c r="R273" s="53" t="str">
        <f aca="false">IF(AND($G273&lt;&gt;"",$I273&lt;&gt;""),$I273-$G273,"")</f>
        <v/>
      </c>
      <c r="S273" s="53" t="str">
        <f aca="false">IF(AND($H273&lt;&gt;"",$I273&lt;&gt;""),$I273-$H273,"")</f>
        <v/>
      </c>
      <c r="T273" s="53" t="str">
        <f aca="false">IF($J273&lt;&gt;"",$J273,"")</f>
        <v/>
      </c>
      <c r="V273" s="52" t="str">
        <f aca="false">IF($A273&lt;&gt;"",$A273,"")</f>
        <v>Apprenant 261</v>
      </c>
      <c r="W273" s="53" t="str">
        <f aca="false">IF(AND(OR('Choix pédagogiques'!$C$3=1,'Choix pédagogiques'!$C$3=2),$BM273=1),B273,IF(AND('Choix pédagogiques'!$C$3=3,$BO273=1),B273,""))</f>
        <v/>
      </c>
      <c r="X273" s="53" t="str">
        <f aca="false">IF(AND(OR('Choix pédagogiques'!$C$3=1,'Choix pédagogiques'!$C$3=2),$BM273=1),C273,IF(AND('Choix pédagogiques'!$C$3=3,$BO273=1),C273,""))</f>
        <v/>
      </c>
      <c r="Y273" s="53" t="str">
        <f aca="false">IF(AND(OR('Choix pédagogiques'!$C$3=1,'Choix pédagogiques'!$C$3=2),$BM273=1),D273,IF(AND('Choix pédagogiques'!$C$3=3,$BO273=1),D273,""))</f>
        <v/>
      </c>
      <c r="Z273" s="53" t="str">
        <f aca="false">IF($E273&lt;&gt;"",$E273,"")</f>
        <v/>
      </c>
      <c r="AA273" s="52" t="str">
        <f aca="false">IF($F273&lt;&gt;"",$F273,"")</f>
        <v>Apprenant 261 ou 261'</v>
      </c>
      <c r="AB273" s="53" t="str">
        <f aca="false">IF(AND(OR('Choix pédagogiques'!$C$3=1,'Choix pédagogiques'!$C$3=2),$BN273=1),G273,IF(AND('Choix pédagogiques'!$C$3=3,$BO273=1),G273,""))</f>
        <v/>
      </c>
      <c r="AC273" s="53" t="str">
        <f aca="false">IF(AND(OR('Choix pédagogiques'!$C$3=1,'Choix pédagogiques'!$C$3=2),$BN273=1),H273,IF(AND('Choix pédagogiques'!$C$3=3,$BO273=1),H273,""))</f>
        <v/>
      </c>
      <c r="AD273" s="53" t="str">
        <f aca="false">IF(AND(OR('Choix pédagogiques'!$C$3=1,'Choix pédagogiques'!$C$3=2),$BN273=1),I273,IF(AND('Choix pédagogiques'!$C$3=3,$BO273=1),I273,""))</f>
        <v/>
      </c>
      <c r="AE273" s="53" t="str">
        <f aca="false">IF($J273&lt;&gt;"",$J273,"")</f>
        <v/>
      </c>
      <c r="AF273" s="52" t="str">
        <f aca="false">IF($A273&lt;&gt;"",$A273,"")</f>
        <v>Apprenant 261</v>
      </c>
      <c r="AG273" s="53" t="str">
        <f aca="false">IF(AND($W273&lt;&gt;"",$X273&lt;&gt;""),$X273-$W273,"")</f>
        <v/>
      </c>
      <c r="AH273" s="53" t="str">
        <f aca="false">IF(AND($W273&lt;&gt;"",$Y273&lt;&gt;""),$Y273-$W273,"")</f>
        <v/>
      </c>
      <c r="AI273" s="53" t="str">
        <f aca="false">IF(AND($X273&lt;&gt;"",$Y273&lt;&gt;""),$Y273-$X273,"")</f>
        <v/>
      </c>
      <c r="AJ273" s="53" t="str">
        <f aca="false">IF($E273&lt;&gt;"",$E273,"")</f>
        <v/>
      </c>
      <c r="AK273" s="52" t="str">
        <f aca="false">IF($F273&lt;&gt;"",$F273,"")</f>
        <v>Apprenant 261 ou 261'</v>
      </c>
      <c r="AL273" s="53" t="str">
        <f aca="false">IF(AND($AB273&lt;&gt;"",$AC273&lt;&gt;""),$AC273-$AB273,"")</f>
        <v/>
      </c>
      <c r="AM273" s="53" t="str">
        <f aca="false">IF(AND($AB273&lt;&gt;"",$AD273&lt;&gt;""),$AD273-$AB273,"")</f>
        <v/>
      </c>
      <c r="AN273" s="53" t="str">
        <f aca="false">IF(AND($AC273&lt;&gt;"",$AD273&lt;&gt;""),$AD273-$AC273,"")</f>
        <v/>
      </c>
      <c r="AO273" s="53" t="str">
        <f aca="false">IF($J273&lt;&gt;"",$J273,"")</f>
        <v/>
      </c>
      <c r="AQ273" s="52" t="str">
        <f aca="false">IF($A273&lt;&gt;"",$A273,"")</f>
        <v>Apprenant 261</v>
      </c>
      <c r="AR273" s="55" t="str">
        <f aca="false">IF(AND('Choix pédagogiques'!$C$4&lt;&gt;"?",'Choix pédagogiques'!$C$5&lt;&gt;"?",W273&lt;&gt;""),(W273-'Choix pédagogiques'!$C$4)/('Choix pédagogiques'!$C$5-'Choix pédagogiques'!$C$4),"")</f>
        <v/>
      </c>
      <c r="AS273" s="55" t="str">
        <f aca="false">IF(AND('Choix pédagogiques'!$C$4&lt;&gt;"?",'Choix pédagogiques'!$C$5&lt;&gt;"?",X273&lt;&gt;""),(X273-'Choix pédagogiques'!$C$4)/('Choix pédagogiques'!$C$5-'Choix pédagogiques'!$C$4),"")</f>
        <v/>
      </c>
      <c r="AT273" s="55" t="str">
        <f aca="false">IF(AND('Choix pédagogiques'!$C$4&lt;&gt;"?",'Choix pédagogiques'!$C$5&lt;&gt;"?",Y273&lt;&gt;""),(Y273-'Choix pédagogiques'!$C$4)/('Choix pédagogiques'!$C$5-'Choix pédagogiques'!$C$4),"")</f>
        <v/>
      </c>
      <c r="AU273" s="53" t="str">
        <f aca="false">IF($E273&lt;&gt;"",$E273,"")</f>
        <v/>
      </c>
      <c r="AV273" s="52" t="str">
        <f aca="false">IF($F273&lt;&gt;"",$F273,"")</f>
        <v>Apprenant 261 ou 261'</v>
      </c>
      <c r="AW273" s="55" t="str">
        <f aca="false">IF(AND('Choix pédagogiques'!$C$4&lt;&gt;"?",'Choix pédagogiques'!$C$5&lt;&gt;"?",AB273&lt;&gt;""),(AB273-'Choix pédagogiques'!$C$4)/('Choix pédagogiques'!$C$5-'Choix pédagogiques'!$C$4),"")</f>
        <v/>
      </c>
      <c r="AX273" s="55" t="str">
        <f aca="false">IF(AND('Choix pédagogiques'!$C$4&lt;&gt;"?",'Choix pédagogiques'!$C$5&lt;&gt;"?",AC273&lt;&gt;""),(AC273-'Choix pédagogiques'!$C$4)/('Choix pédagogiques'!$C$5-'Choix pédagogiques'!$C$4),"")</f>
        <v/>
      </c>
      <c r="AY273" s="55" t="str">
        <f aca="false">IF(AND('Choix pédagogiques'!$C$4&lt;&gt;"?",'Choix pédagogiques'!$C$5&lt;&gt;"?",AD273&lt;&gt;""),(AD273-'Choix pédagogiques'!$C$4)/('Choix pédagogiques'!$C$5-'Choix pédagogiques'!$C$4),"")</f>
        <v/>
      </c>
      <c r="AZ273" s="53" t="str">
        <f aca="false">IF($J273&lt;&gt;"",$J273,"")</f>
        <v/>
      </c>
      <c r="BA273" s="52" t="str">
        <f aca="false">IF($A273&lt;&gt;"",$A273,"")</f>
        <v>Apprenant 261</v>
      </c>
      <c r="BB273" s="55" t="str">
        <f aca="false">IF(AND($AR273&lt;&gt;"",$AS273&lt;&gt;""),$AS273-$AR273,"")</f>
        <v/>
      </c>
      <c r="BC273" s="55" t="str">
        <f aca="false">IF(AND($AR273&lt;&gt;"",$AT273&lt;&gt;""),$AT273-$AR273,"")</f>
        <v/>
      </c>
      <c r="BD273" s="55" t="str">
        <f aca="false">IF(AND($AS273&lt;&gt;"",$AT273&lt;&gt;""),$AT273-$AS273,"")</f>
        <v/>
      </c>
      <c r="BE273" s="53" t="str">
        <f aca="false">IF($E273&lt;&gt;"",$E273,"")</f>
        <v/>
      </c>
      <c r="BF273" s="52" t="str">
        <f aca="false">IF($F273&lt;&gt;"",$F273,"")</f>
        <v>Apprenant 261 ou 261'</v>
      </c>
      <c r="BG273" s="55" t="str">
        <f aca="false">IF(AND($AW273&lt;&gt;"",$AX273&lt;&gt;""),$AX273-$AW273,"")</f>
        <v/>
      </c>
      <c r="BH273" s="55" t="str">
        <f aca="false">IF(AND($AW273&lt;&gt;"",$AY273&lt;&gt;""),$AY273-$AW273,"")</f>
        <v/>
      </c>
      <c r="BI273" s="55" t="str">
        <f aca="false">IF(AND($AX273&lt;&gt;"",$AY273&lt;&gt;""),$AY273-$AX273,"")</f>
        <v/>
      </c>
      <c r="BJ273" s="53" t="str">
        <f aca="false">IF($J273&lt;&gt;"",$J273,"")</f>
        <v/>
      </c>
      <c r="BL273" s="52"/>
      <c r="BM273" s="52" t="str">
        <f aca="false">IF(OR(COUNT(B273:D1272)=0,AND('Choix pédagogiques'!$C$3&lt;&gt;1,'Choix pédagogiques'!$C$3&lt;&gt;2)),"",IF(AND(OR('Choix pédagogiques'!$C$3=1,'Choix pédagogiques'!$C$3=2),$B273&lt;&gt;"",$C273&lt;&gt;"",$D273&lt;&gt;""),1,0))</f>
        <v/>
      </c>
      <c r="BN273" s="52" t="str">
        <f aca="false">IF(OR(COUNT(G273:I1272)=0,AND('Choix pédagogiques'!$C$3&lt;&gt;1,'Choix pédagogiques'!$C$3&lt;&gt;2)),"",IF(AND(OR('Choix pédagogiques'!$C$3=1,'Choix pédagogiques'!$C$3=2),AND($G273&lt;&gt;"",$H273&lt;&gt;"",$I273&lt;&gt;"")),1,0))</f>
        <v/>
      </c>
      <c r="BO273" s="52" t="str">
        <f aca="false">IF(OR(COUNT(B273:D1272)=0,COUNT(G273:I1272)=0,'Choix pédagogiques'!C$3&lt;&gt;3),"",IF(AND('Choix pédagogiques'!$C$3=3,$B273&lt;&gt;"",$C273&lt;&gt;"",$D273&lt;&gt;"",$G273&lt;&gt;"",$H273&lt;&gt;"",$I273&lt;&gt;""),1,0))</f>
        <v/>
      </c>
      <c r="BR273" s="52" t="n">
        <v>964</v>
      </c>
      <c r="BS273" s="52" t="n">
        <v>1044</v>
      </c>
    </row>
    <row r="274" s="54" customFormat="true" ht="18" hidden="false" customHeight="true" outlineLevel="0" collapsed="false">
      <c r="A274" s="57" t="s">
        <v>479</v>
      </c>
      <c r="B274" s="51"/>
      <c r="C274" s="51"/>
      <c r="D274" s="51"/>
      <c r="E274" s="51"/>
      <c r="F274" s="57" t="s">
        <v>480</v>
      </c>
      <c r="G274" s="51"/>
      <c r="H274" s="51"/>
      <c r="I274" s="51"/>
      <c r="J274" s="51"/>
      <c r="K274" s="52" t="str">
        <f aca="false">IF($A274&lt;&gt;"",$A274,"")</f>
        <v>Apprenant 262</v>
      </c>
      <c r="L274" s="53" t="str">
        <f aca="false">IF(AND($B274&lt;&gt;"",$C274&lt;&gt;""),$C274-$B274,"")</f>
        <v/>
      </c>
      <c r="M274" s="53" t="str">
        <f aca="false">IF(AND($B274&lt;&gt;"",$D274&lt;&gt;""),$D274-$B274,"")</f>
        <v/>
      </c>
      <c r="N274" s="53" t="str">
        <f aca="false">IF(AND($C274&lt;&gt;"",$D274&lt;&gt;""),$D274-$C274,"")</f>
        <v/>
      </c>
      <c r="O274" s="53" t="str">
        <f aca="false">IF($E274&lt;&gt;"",$E274,"")</f>
        <v/>
      </c>
      <c r="P274" s="52" t="str">
        <f aca="false">IF($F274&lt;&gt;"",$F274,"")</f>
        <v>Apprenant 262 ou 262'</v>
      </c>
      <c r="Q274" s="53" t="str">
        <f aca="false">IF(AND($G274&lt;&gt;"",$H274&lt;&gt;""),$H274-$G274,"")</f>
        <v/>
      </c>
      <c r="R274" s="53" t="str">
        <f aca="false">IF(AND($G274&lt;&gt;"",$I274&lt;&gt;""),$I274-$G274,"")</f>
        <v/>
      </c>
      <c r="S274" s="53" t="str">
        <f aca="false">IF(AND($H274&lt;&gt;"",$I274&lt;&gt;""),$I274-$H274,"")</f>
        <v/>
      </c>
      <c r="T274" s="53" t="str">
        <f aca="false">IF($J274&lt;&gt;"",$J274,"")</f>
        <v/>
      </c>
      <c r="V274" s="52" t="str">
        <f aca="false">IF($A274&lt;&gt;"",$A274,"")</f>
        <v>Apprenant 262</v>
      </c>
      <c r="W274" s="53" t="str">
        <f aca="false">IF(AND(OR('Choix pédagogiques'!$C$3=1,'Choix pédagogiques'!$C$3=2),$BM274=1),B274,IF(AND('Choix pédagogiques'!$C$3=3,$BO274=1),B274,""))</f>
        <v/>
      </c>
      <c r="X274" s="53" t="str">
        <f aca="false">IF(AND(OR('Choix pédagogiques'!$C$3=1,'Choix pédagogiques'!$C$3=2),$BM274=1),C274,IF(AND('Choix pédagogiques'!$C$3=3,$BO274=1),C274,""))</f>
        <v/>
      </c>
      <c r="Y274" s="53" t="str">
        <f aca="false">IF(AND(OR('Choix pédagogiques'!$C$3=1,'Choix pédagogiques'!$C$3=2),$BM274=1),D274,IF(AND('Choix pédagogiques'!$C$3=3,$BO274=1),D274,""))</f>
        <v/>
      </c>
      <c r="Z274" s="53" t="str">
        <f aca="false">IF($E274&lt;&gt;"",$E274,"")</f>
        <v/>
      </c>
      <c r="AA274" s="52" t="str">
        <f aca="false">IF($F274&lt;&gt;"",$F274,"")</f>
        <v>Apprenant 262 ou 262'</v>
      </c>
      <c r="AB274" s="53" t="str">
        <f aca="false">IF(AND(OR('Choix pédagogiques'!$C$3=1,'Choix pédagogiques'!$C$3=2),$BN274=1),G274,IF(AND('Choix pédagogiques'!$C$3=3,$BO274=1),G274,""))</f>
        <v/>
      </c>
      <c r="AC274" s="53" t="str">
        <f aca="false">IF(AND(OR('Choix pédagogiques'!$C$3=1,'Choix pédagogiques'!$C$3=2),$BN274=1),H274,IF(AND('Choix pédagogiques'!$C$3=3,$BO274=1),H274,""))</f>
        <v/>
      </c>
      <c r="AD274" s="53" t="str">
        <f aca="false">IF(AND(OR('Choix pédagogiques'!$C$3=1,'Choix pédagogiques'!$C$3=2),$BN274=1),I274,IF(AND('Choix pédagogiques'!$C$3=3,$BO274=1),I274,""))</f>
        <v/>
      </c>
      <c r="AE274" s="53" t="str">
        <f aca="false">IF($J274&lt;&gt;"",$J274,"")</f>
        <v/>
      </c>
      <c r="AF274" s="52" t="str">
        <f aca="false">IF($A274&lt;&gt;"",$A274,"")</f>
        <v>Apprenant 262</v>
      </c>
      <c r="AG274" s="53" t="str">
        <f aca="false">IF(AND($W274&lt;&gt;"",$X274&lt;&gt;""),$X274-$W274,"")</f>
        <v/>
      </c>
      <c r="AH274" s="53" t="str">
        <f aca="false">IF(AND($W274&lt;&gt;"",$Y274&lt;&gt;""),$Y274-$W274,"")</f>
        <v/>
      </c>
      <c r="AI274" s="53" t="str">
        <f aca="false">IF(AND($X274&lt;&gt;"",$Y274&lt;&gt;""),$Y274-$X274,"")</f>
        <v/>
      </c>
      <c r="AJ274" s="53" t="str">
        <f aca="false">IF($E274&lt;&gt;"",$E274,"")</f>
        <v/>
      </c>
      <c r="AK274" s="52" t="str">
        <f aca="false">IF($F274&lt;&gt;"",$F274,"")</f>
        <v>Apprenant 262 ou 262'</v>
      </c>
      <c r="AL274" s="53" t="str">
        <f aca="false">IF(AND($AB274&lt;&gt;"",$AC274&lt;&gt;""),$AC274-$AB274,"")</f>
        <v/>
      </c>
      <c r="AM274" s="53" t="str">
        <f aca="false">IF(AND($AB274&lt;&gt;"",$AD274&lt;&gt;""),$AD274-$AB274,"")</f>
        <v/>
      </c>
      <c r="AN274" s="53" t="str">
        <f aca="false">IF(AND($AC274&lt;&gt;"",$AD274&lt;&gt;""),$AD274-$AC274,"")</f>
        <v/>
      </c>
      <c r="AO274" s="53" t="str">
        <f aca="false">IF($J274&lt;&gt;"",$J274,"")</f>
        <v/>
      </c>
      <c r="AQ274" s="52" t="str">
        <f aca="false">IF($A274&lt;&gt;"",$A274,"")</f>
        <v>Apprenant 262</v>
      </c>
      <c r="AR274" s="55" t="str">
        <f aca="false">IF(AND('Choix pédagogiques'!$C$4&lt;&gt;"?",'Choix pédagogiques'!$C$5&lt;&gt;"?",W274&lt;&gt;""),(W274-'Choix pédagogiques'!$C$4)/('Choix pédagogiques'!$C$5-'Choix pédagogiques'!$C$4),"")</f>
        <v/>
      </c>
      <c r="AS274" s="55" t="str">
        <f aca="false">IF(AND('Choix pédagogiques'!$C$4&lt;&gt;"?",'Choix pédagogiques'!$C$5&lt;&gt;"?",X274&lt;&gt;""),(X274-'Choix pédagogiques'!$C$4)/('Choix pédagogiques'!$C$5-'Choix pédagogiques'!$C$4),"")</f>
        <v/>
      </c>
      <c r="AT274" s="55" t="str">
        <f aca="false">IF(AND('Choix pédagogiques'!$C$4&lt;&gt;"?",'Choix pédagogiques'!$C$5&lt;&gt;"?",Y274&lt;&gt;""),(Y274-'Choix pédagogiques'!$C$4)/('Choix pédagogiques'!$C$5-'Choix pédagogiques'!$C$4),"")</f>
        <v/>
      </c>
      <c r="AU274" s="53" t="str">
        <f aca="false">IF($E274&lt;&gt;"",$E274,"")</f>
        <v/>
      </c>
      <c r="AV274" s="52" t="str">
        <f aca="false">IF($F274&lt;&gt;"",$F274,"")</f>
        <v>Apprenant 262 ou 262'</v>
      </c>
      <c r="AW274" s="55" t="str">
        <f aca="false">IF(AND('Choix pédagogiques'!$C$4&lt;&gt;"?",'Choix pédagogiques'!$C$5&lt;&gt;"?",AB274&lt;&gt;""),(AB274-'Choix pédagogiques'!$C$4)/('Choix pédagogiques'!$C$5-'Choix pédagogiques'!$C$4),"")</f>
        <v/>
      </c>
      <c r="AX274" s="55" t="str">
        <f aca="false">IF(AND('Choix pédagogiques'!$C$4&lt;&gt;"?",'Choix pédagogiques'!$C$5&lt;&gt;"?",AC274&lt;&gt;""),(AC274-'Choix pédagogiques'!$C$4)/('Choix pédagogiques'!$C$5-'Choix pédagogiques'!$C$4),"")</f>
        <v/>
      </c>
      <c r="AY274" s="55" t="str">
        <f aca="false">IF(AND('Choix pédagogiques'!$C$4&lt;&gt;"?",'Choix pédagogiques'!$C$5&lt;&gt;"?",AD274&lt;&gt;""),(AD274-'Choix pédagogiques'!$C$4)/('Choix pédagogiques'!$C$5-'Choix pédagogiques'!$C$4),"")</f>
        <v/>
      </c>
      <c r="AZ274" s="53" t="str">
        <f aca="false">IF($J274&lt;&gt;"",$J274,"")</f>
        <v/>
      </c>
      <c r="BA274" s="52" t="str">
        <f aca="false">IF($A274&lt;&gt;"",$A274,"")</f>
        <v>Apprenant 262</v>
      </c>
      <c r="BB274" s="55" t="str">
        <f aca="false">IF(AND($AR274&lt;&gt;"",$AS274&lt;&gt;""),$AS274-$AR274,"")</f>
        <v/>
      </c>
      <c r="BC274" s="55" t="str">
        <f aca="false">IF(AND($AR274&lt;&gt;"",$AT274&lt;&gt;""),$AT274-$AR274,"")</f>
        <v/>
      </c>
      <c r="BD274" s="55" t="str">
        <f aca="false">IF(AND($AS274&lt;&gt;"",$AT274&lt;&gt;""),$AT274-$AS274,"")</f>
        <v/>
      </c>
      <c r="BE274" s="53" t="str">
        <f aca="false">IF($E274&lt;&gt;"",$E274,"")</f>
        <v/>
      </c>
      <c r="BF274" s="52" t="str">
        <f aca="false">IF($F274&lt;&gt;"",$F274,"")</f>
        <v>Apprenant 262 ou 262'</v>
      </c>
      <c r="BG274" s="55" t="str">
        <f aca="false">IF(AND($AW274&lt;&gt;"",$AX274&lt;&gt;""),$AX274-$AW274,"")</f>
        <v/>
      </c>
      <c r="BH274" s="55" t="str">
        <f aca="false">IF(AND($AW274&lt;&gt;"",$AY274&lt;&gt;""),$AY274-$AW274,"")</f>
        <v/>
      </c>
      <c r="BI274" s="55" t="str">
        <f aca="false">IF(AND($AX274&lt;&gt;"",$AY274&lt;&gt;""),$AY274-$AX274,"")</f>
        <v/>
      </c>
      <c r="BJ274" s="53" t="str">
        <f aca="false">IF($J274&lt;&gt;"",$J274,"")</f>
        <v/>
      </c>
      <c r="BL274" s="52"/>
      <c r="BM274" s="52" t="str">
        <f aca="false">IF(OR(COUNT(B274:D1273)=0,AND('Choix pédagogiques'!$C$3&lt;&gt;1,'Choix pédagogiques'!$C$3&lt;&gt;2)),"",IF(AND(OR('Choix pédagogiques'!$C$3=1,'Choix pédagogiques'!$C$3=2),$B274&lt;&gt;"",$C274&lt;&gt;"",$D274&lt;&gt;""),1,0))</f>
        <v/>
      </c>
      <c r="BN274" s="52" t="str">
        <f aca="false">IF(OR(COUNT(G274:I1273)=0,AND('Choix pédagogiques'!$C$3&lt;&gt;1,'Choix pédagogiques'!$C$3&lt;&gt;2)),"",IF(AND(OR('Choix pédagogiques'!$C$3=1,'Choix pédagogiques'!$C$3=2),AND($G274&lt;&gt;"",$H274&lt;&gt;"",$I274&lt;&gt;"")),1,0))</f>
        <v/>
      </c>
      <c r="BO274" s="52" t="str">
        <f aca="false">IF(OR(COUNT(B274:D1273)=0,COUNT(G274:I1273)=0,'Choix pédagogiques'!C$3&lt;&gt;3),"",IF(AND('Choix pédagogiques'!$C$3=3,$B274&lt;&gt;"",$C274&lt;&gt;"",$D274&lt;&gt;"",$G274&lt;&gt;"",$H274&lt;&gt;"",$I274&lt;&gt;""),1,0))</f>
        <v/>
      </c>
      <c r="BR274" s="52" t="n">
        <v>85</v>
      </c>
      <c r="BS274" s="52" t="n">
        <v>1844</v>
      </c>
    </row>
    <row r="275" s="54" customFormat="true" ht="18" hidden="false" customHeight="true" outlineLevel="0" collapsed="false">
      <c r="A275" s="57" t="s">
        <v>481</v>
      </c>
      <c r="B275" s="51"/>
      <c r="C275" s="51"/>
      <c r="D275" s="51"/>
      <c r="E275" s="51"/>
      <c r="F275" s="57" t="s">
        <v>482</v>
      </c>
      <c r="G275" s="51"/>
      <c r="H275" s="51"/>
      <c r="I275" s="51"/>
      <c r="J275" s="51"/>
      <c r="K275" s="52" t="str">
        <f aca="false">IF($A275&lt;&gt;"",$A275,"")</f>
        <v>Apprenant 263</v>
      </c>
      <c r="L275" s="53" t="str">
        <f aca="false">IF(AND($B275&lt;&gt;"",$C275&lt;&gt;""),$C275-$B275,"")</f>
        <v/>
      </c>
      <c r="M275" s="53" t="str">
        <f aca="false">IF(AND($B275&lt;&gt;"",$D275&lt;&gt;""),$D275-$B275,"")</f>
        <v/>
      </c>
      <c r="N275" s="53" t="str">
        <f aca="false">IF(AND($C275&lt;&gt;"",$D275&lt;&gt;""),$D275-$C275,"")</f>
        <v/>
      </c>
      <c r="O275" s="53" t="str">
        <f aca="false">IF($E275&lt;&gt;"",$E275,"")</f>
        <v/>
      </c>
      <c r="P275" s="52" t="str">
        <f aca="false">IF($F275&lt;&gt;"",$F275,"")</f>
        <v>Apprenant 263 ou 263'</v>
      </c>
      <c r="Q275" s="53" t="str">
        <f aca="false">IF(AND($G275&lt;&gt;"",$H275&lt;&gt;""),$H275-$G275,"")</f>
        <v/>
      </c>
      <c r="R275" s="53" t="str">
        <f aca="false">IF(AND($G275&lt;&gt;"",$I275&lt;&gt;""),$I275-$G275,"")</f>
        <v/>
      </c>
      <c r="S275" s="53" t="str">
        <f aca="false">IF(AND($H275&lt;&gt;"",$I275&lt;&gt;""),$I275-$H275,"")</f>
        <v/>
      </c>
      <c r="T275" s="53" t="str">
        <f aca="false">IF($J275&lt;&gt;"",$J275,"")</f>
        <v/>
      </c>
      <c r="V275" s="52" t="str">
        <f aca="false">IF($A275&lt;&gt;"",$A275,"")</f>
        <v>Apprenant 263</v>
      </c>
      <c r="W275" s="53" t="str">
        <f aca="false">IF(AND(OR('Choix pédagogiques'!$C$3=1,'Choix pédagogiques'!$C$3=2),$BM275=1),B275,IF(AND('Choix pédagogiques'!$C$3=3,$BO275=1),B275,""))</f>
        <v/>
      </c>
      <c r="X275" s="53" t="str">
        <f aca="false">IF(AND(OR('Choix pédagogiques'!$C$3=1,'Choix pédagogiques'!$C$3=2),$BM275=1),C275,IF(AND('Choix pédagogiques'!$C$3=3,$BO275=1),C275,""))</f>
        <v/>
      </c>
      <c r="Y275" s="53" t="str">
        <f aca="false">IF(AND(OR('Choix pédagogiques'!$C$3=1,'Choix pédagogiques'!$C$3=2),$BM275=1),D275,IF(AND('Choix pédagogiques'!$C$3=3,$BO275=1),D275,""))</f>
        <v/>
      </c>
      <c r="Z275" s="53" t="str">
        <f aca="false">IF($E275&lt;&gt;"",$E275,"")</f>
        <v/>
      </c>
      <c r="AA275" s="52" t="str">
        <f aca="false">IF($F275&lt;&gt;"",$F275,"")</f>
        <v>Apprenant 263 ou 263'</v>
      </c>
      <c r="AB275" s="53" t="str">
        <f aca="false">IF(AND(OR('Choix pédagogiques'!$C$3=1,'Choix pédagogiques'!$C$3=2),$BN275=1),G275,IF(AND('Choix pédagogiques'!$C$3=3,$BO275=1),G275,""))</f>
        <v/>
      </c>
      <c r="AC275" s="53" t="str">
        <f aca="false">IF(AND(OR('Choix pédagogiques'!$C$3=1,'Choix pédagogiques'!$C$3=2),$BN275=1),H275,IF(AND('Choix pédagogiques'!$C$3=3,$BO275=1),H275,""))</f>
        <v/>
      </c>
      <c r="AD275" s="53" t="str">
        <f aca="false">IF(AND(OR('Choix pédagogiques'!$C$3=1,'Choix pédagogiques'!$C$3=2),$BN275=1),I275,IF(AND('Choix pédagogiques'!$C$3=3,$BO275=1),I275,""))</f>
        <v/>
      </c>
      <c r="AE275" s="53" t="str">
        <f aca="false">IF($J275&lt;&gt;"",$J275,"")</f>
        <v/>
      </c>
      <c r="AF275" s="52" t="str">
        <f aca="false">IF($A275&lt;&gt;"",$A275,"")</f>
        <v>Apprenant 263</v>
      </c>
      <c r="AG275" s="53" t="str">
        <f aca="false">IF(AND($W275&lt;&gt;"",$X275&lt;&gt;""),$X275-$W275,"")</f>
        <v/>
      </c>
      <c r="AH275" s="53" t="str">
        <f aca="false">IF(AND($W275&lt;&gt;"",$Y275&lt;&gt;""),$Y275-$W275,"")</f>
        <v/>
      </c>
      <c r="AI275" s="53" t="str">
        <f aca="false">IF(AND($X275&lt;&gt;"",$Y275&lt;&gt;""),$Y275-$X275,"")</f>
        <v/>
      </c>
      <c r="AJ275" s="53" t="str">
        <f aca="false">IF($E275&lt;&gt;"",$E275,"")</f>
        <v/>
      </c>
      <c r="AK275" s="52" t="str">
        <f aca="false">IF($F275&lt;&gt;"",$F275,"")</f>
        <v>Apprenant 263 ou 263'</v>
      </c>
      <c r="AL275" s="53" t="str">
        <f aca="false">IF(AND($AB275&lt;&gt;"",$AC275&lt;&gt;""),$AC275-$AB275,"")</f>
        <v/>
      </c>
      <c r="AM275" s="53" t="str">
        <f aca="false">IF(AND($AB275&lt;&gt;"",$AD275&lt;&gt;""),$AD275-$AB275,"")</f>
        <v/>
      </c>
      <c r="AN275" s="53" t="str">
        <f aca="false">IF(AND($AC275&lt;&gt;"",$AD275&lt;&gt;""),$AD275-$AC275,"")</f>
        <v/>
      </c>
      <c r="AO275" s="53" t="str">
        <f aca="false">IF($J275&lt;&gt;"",$J275,"")</f>
        <v/>
      </c>
      <c r="AQ275" s="52" t="str">
        <f aca="false">IF($A275&lt;&gt;"",$A275,"")</f>
        <v>Apprenant 263</v>
      </c>
      <c r="AR275" s="55" t="str">
        <f aca="false">IF(AND('Choix pédagogiques'!$C$4&lt;&gt;"?",'Choix pédagogiques'!$C$5&lt;&gt;"?",W275&lt;&gt;""),(W275-'Choix pédagogiques'!$C$4)/('Choix pédagogiques'!$C$5-'Choix pédagogiques'!$C$4),"")</f>
        <v/>
      </c>
      <c r="AS275" s="55" t="str">
        <f aca="false">IF(AND('Choix pédagogiques'!$C$4&lt;&gt;"?",'Choix pédagogiques'!$C$5&lt;&gt;"?",X275&lt;&gt;""),(X275-'Choix pédagogiques'!$C$4)/('Choix pédagogiques'!$C$5-'Choix pédagogiques'!$C$4),"")</f>
        <v/>
      </c>
      <c r="AT275" s="55" t="str">
        <f aca="false">IF(AND('Choix pédagogiques'!$C$4&lt;&gt;"?",'Choix pédagogiques'!$C$5&lt;&gt;"?",Y275&lt;&gt;""),(Y275-'Choix pédagogiques'!$C$4)/('Choix pédagogiques'!$C$5-'Choix pédagogiques'!$C$4),"")</f>
        <v/>
      </c>
      <c r="AU275" s="53" t="str">
        <f aca="false">IF($E275&lt;&gt;"",$E275,"")</f>
        <v/>
      </c>
      <c r="AV275" s="52" t="str">
        <f aca="false">IF($F275&lt;&gt;"",$F275,"")</f>
        <v>Apprenant 263 ou 263'</v>
      </c>
      <c r="AW275" s="55" t="str">
        <f aca="false">IF(AND('Choix pédagogiques'!$C$4&lt;&gt;"?",'Choix pédagogiques'!$C$5&lt;&gt;"?",AB275&lt;&gt;""),(AB275-'Choix pédagogiques'!$C$4)/('Choix pédagogiques'!$C$5-'Choix pédagogiques'!$C$4),"")</f>
        <v/>
      </c>
      <c r="AX275" s="55" t="str">
        <f aca="false">IF(AND('Choix pédagogiques'!$C$4&lt;&gt;"?",'Choix pédagogiques'!$C$5&lt;&gt;"?",AC275&lt;&gt;""),(AC275-'Choix pédagogiques'!$C$4)/('Choix pédagogiques'!$C$5-'Choix pédagogiques'!$C$4),"")</f>
        <v/>
      </c>
      <c r="AY275" s="55" t="str">
        <f aca="false">IF(AND('Choix pédagogiques'!$C$4&lt;&gt;"?",'Choix pédagogiques'!$C$5&lt;&gt;"?",AD275&lt;&gt;""),(AD275-'Choix pédagogiques'!$C$4)/('Choix pédagogiques'!$C$5-'Choix pédagogiques'!$C$4),"")</f>
        <v/>
      </c>
      <c r="AZ275" s="53" t="str">
        <f aca="false">IF($J275&lt;&gt;"",$J275,"")</f>
        <v/>
      </c>
      <c r="BA275" s="52" t="str">
        <f aca="false">IF($A275&lt;&gt;"",$A275,"")</f>
        <v>Apprenant 263</v>
      </c>
      <c r="BB275" s="55" t="str">
        <f aca="false">IF(AND($AR275&lt;&gt;"",$AS275&lt;&gt;""),$AS275-$AR275,"")</f>
        <v/>
      </c>
      <c r="BC275" s="55" t="str">
        <f aca="false">IF(AND($AR275&lt;&gt;"",$AT275&lt;&gt;""),$AT275-$AR275,"")</f>
        <v/>
      </c>
      <c r="BD275" s="55" t="str">
        <f aca="false">IF(AND($AS275&lt;&gt;"",$AT275&lt;&gt;""),$AT275-$AS275,"")</f>
        <v/>
      </c>
      <c r="BE275" s="53" t="str">
        <f aca="false">IF($E275&lt;&gt;"",$E275,"")</f>
        <v/>
      </c>
      <c r="BF275" s="52" t="str">
        <f aca="false">IF($F275&lt;&gt;"",$F275,"")</f>
        <v>Apprenant 263 ou 263'</v>
      </c>
      <c r="BG275" s="55" t="str">
        <f aca="false">IF(AND($AW275&lt;&gt;"",$AX275&lt;&gt;""),$AX275-$AW275,"")</f>
        <v/>
      </c>
      <c r="BH275" s="55" t="str">
        <f aca="false">IF(AND($AW275&lt;&gt;"",$AY275&lt;&gt;""),$AY275-$AW275,"")</f>
        <v/>
      </c>
      <c r="BI275" s="55" t="str">
        <f aca="false">IF(AND($AX275&lt;&gt;"",$AY275&lt;&gt;""),$AY275-$AX275,"")</f>
        <v/>
      </c>
      <c r="BJ275" s="53" t="str">
        <f aca="false">IF($J275&lt;&gt;"",$J275,"")</f>
        <v/>
      </c>
      <c r="BL275" s="52"/>
      <c r="BM275" s="52" t="str">
        <f aca="false">IF(OR(COUNT(B275:D1274)=0,AND('Choix pédagogiques'!$C$3&lt;&gt;1,'Choix pédagogiques'!$C$3&lt;&gt;2)),"",IF(AND(OR('Choix pédagogiques'!$C$3=1,'Choix pédagogiques'!$C$3=2),$B275&lt;&gt;"",$C275&lt;&gt;"",$D275&lt;&gt;""),1,0))</f>
        <v/>
      </c>
      <c r="BN275" s="52" t="str">
        <f aca="false">IF(OR(COUNT(G275:I1274)=0,AND('Choix pédagogiques'!$C$3&lt;&gt;1,'Choix pédagogiques'!$C$3&lt;&gt;2)),"",IF(AND(OR('Choix pédagogiques'!$C$3=1,'Choix pédagogiques'!$C$3=2),AND($G275&lt;&gt;"",$H275&lt;&gt;"",$I275&lt;&gt;"")),1,0))</f>
        <v/>
      </c>
      <c r="BO275" s="52" t="str">
        <f aca="false">IF(OR(COUNT(B275:D1274)=0,COUNT(G275:I1274)=0,'Choix pédagogiques'!C$3&lt;&gt;3),"",IF(AND('Choix pédagogiques'!$C$3=3,$B275&lt;&gt;"",$C275&lt;&gt;"",$D275&lt;&gt;"",$G275&lt;&gt;"",$H275&lt;&gt;"",$I275&lt;&gt;""),1,0))</f>
        <v/>
      </c>
      <c r="BR275" s="52" t="n">
        <v>357</v>
      </c>
      <c r="BS275" s="52" t="n">
        <v>1861</v>
      </c>
    </row>
    <row r="276" s="54" customFormat="true" ht="18" hidden="false" customHeight="true" outlineLevel="0" collapsed="false">
      <c r="A276" s="57" t="s">
        <v>483</v>
      </c>
      <c r="B276" s="51"/>
      <c r="C276" s="51"/>
      <c r="D276" s="51"/>
      <c r="E276" s="51"/>
      <c r="F276" s="57" t="s">
        <v>484</v>
      </c>
      <c r="G276" s="51"/>
      <c r="H276" s="51"/>
      <c r="I276" s="51"/>
      <c r="J276" s="51"/>
      <c r="K276" s="52" t="str">
        <f aca="false">IF($A276&lt;&gt;"",$A276,"")</f>
        <v>Apprenant 264</v>
      </c>
      <c r="L276" s="53" t="str">
        <f aca="false">IF(AND($B276&lt;&gt;"",$C276&lt;&gt;""),$C276-$B276,"")</f>
        <v/>
      </c>
      <c r="M276" s="53" t="str">
        <f aca="false">IF(AND($B276&lt;&gt;"",$D276&lt;&gt;""),$D276-$B276,"")</f>
        <v/>
      </c>
      <c r="N276" s="53" t="str">
        <f aca="false">IF(AND($C276&lt;&gt;"",$D276&lt;&gt;""),$D276-$C276,"")</f>
        <v/>
      </c>
      <c r="O276" s="53" t="str">
        <f aca="false">IF($E276&lt;&gt;"",$E276,"")</f>
        <v/>
      </c>
      <c r="P276" s="52" t="str">
        <f aca="false">IF($F276&lt;&gt;"",$F276,"")</f>
        <v>Apprenant 264 ou 264'</v>
      </c>
      <c r="Q276" s="53" t="str">
        <f aca="false">IF(AND($G276&lt;&gt;"",$H276&lt;&gt;""),$H276-$G276,"")</f>
        <v/>
      </c>
      <c r="R276" s="53" t="str">
        <f aca="false">IF(AND($G276&lt;&gt;"",$I276&lt;&gt;""),$I276-$G276,"")</f>
        <v/>
      </c>
      <c r="S276" s="53" t="str">
        <f aca="false">IF(AND($H276&lt;&gt;"",$I276&lt;&gt;""),$I276-$H276,"")</f>
        <v/>
      </c>
      <c r="T276" s="53" t="str">
        <f aca="false">IF($J276&lt;&gt;"",$J276,"")</f>
        <v/>
      </c>
      <c r="V276" s="52" t="str">
        <f aca="false">IF($A276&lt;&gt;"",$A276,"")</f>
        <v>Apprenant 264</v>
      </c>
      <c r="W276" s="53" t="str">
        <f aca="false">IF(AND(OR('Choix pédagogiques'!$C$3=1,'Choix pédagogiques'!$C$3=2),$BM276=1),B276,IF(AND('Choix pédagogiques'!$C$3=3,$BO276=1),B276,""))</f>
        <v/>
      </c>
      <c r="X276" s="53" t="str">
        <f aca="false">IF(AND(OR('Choix pédagogiques'!$C$3=1,'Choix pédagogiques'!$C$3=2),$BM276=1),C276,IF(AND('Choix pédagogiques'!$C$3=3,$BO276=1),C276,""))</f>
        <v/>
      </c>
      <c r="Y276" s="53" t="str">
        <f aca="false">IF(AND(OR('Choix pédagogiques'!$C$3=1,'Choix pédagogiques'!$C$3=2),$BM276=1),D276,IF(AND('Choix pédagogiques'!$C$3=3,$BO276=1),D276,""))</f>
        <v/>
      </c>
      <c r="Z276" s="53" t="str">
        <f aca="false">IF($E276&lt;&gt;"",$E276,"")</f>
        <v/>
      </c>
      <c r="AA276" s="52" t="str">
        <f aca="false">IF($F276&lt;&gt;"",$F276,"")</f>
        <v>Apprenant 264 ou 264'</v>
      </c>
      <c r="AB276" s="53" t="str">
        <f aca="false">IF(AND(OR('Choix pédagogiques'!$C$3=1,'Choix pédagogiques'!$C$3=2),$BN276=1),G276,IF(AND('Choix pédagogiques'!$C$3=3,$BO276=1),G276,""))</f>
        <v/>
      </c>
      <c r="AC276" s="53" t="str">
        <f aca="false">IF(AND(OR('Choix pédagogiques'!$C$3=1,'Choix pédagogiques'!$C$3=2),$BN276=1),H276,IF(AND('Choix pédagogiques'!$C$3=3,$BO276=1),H276,""))</f>
        <v/>
      </c>
      <c r="AD276" s="53" t="str">
        <f aca="false">IF(AND(OR('Choix pédagogiques'!$C$3=1,'Choix pédagogiques'!$C$3=2),$BN276=1),I276,IF(AND('Choix pédagogiques'!$C$3=3,$BO276=1),I276,""))</f>
        <v/>
      </c>
      <c r="AE276" s="53" t="str">
        <f aca="false">IF($J276&lt;&gt;"",$J276,"")</f>
        <v/>
      </c>
      <c r="AF276" s="52" t="str">
        <f aca="false">IF($A276&lt;&gt;"",$A276,"")</f>
        <v>Apprenant 264</v>
      </c>
      <c r="AG276" s="53" t="str">
        <f aca="false">IF(AND($W276&lt;&gt;"",$X276&lt;&gt;""),$X276-$W276,"")</f>
        <v/>
      </c>
      <c r="AH276" s="53" t="str">
        <f aca="false">IF(AND($W276&lt;&gt;"",$Y276&lt;&gt;""),$Y276-$W276,"")</f>
        <v/>
      </c>
      <c r="AI276" s="53" t="str">
        <f aca="false">IF(AND($X276&lt;&gt;"",$Y276&lt;&gt;""),$Y276-$X276,"")</f>
        <v/>
      </c>
      <c r="AJ276" s="53" t="str">
        <f aca="false">IF($E276&lt;&gt;"",$E276,"")</f>
        <v/>
      </c>
      <c r="AK276" s="52" t="str">
        <f aca="false">IF($F276&lt;&gt;"",$F276,"")</f>
        <v>Apprenant 264 ou 264'</v>
      </c>
      <c r="AL276" s="53" t="str">
        <f aca="false">IF(AND($AB276&lt;&gt;"",$AC276&lt;&gt;""),$AC276-$AB276,"")</f>
        <v/>
      </c>
      <c r="AM276" s="53" t="str">
        <f aca="false">IF(AND($AB276&lt;&gt;"",$AD276&lt;&gt;""),$AD276-$AB276,"")</f>
        <v/>
      </c>
      <c r="AN276" s="53" t="str">
        <f aca="false">IF(AND($AC276&lt;&gt;"",$AD276&lt;&gt;""),$AD276-$AC276,"")</f>
        <v/>
      </c>
      <c r="AO276" s="53" t="str">
        <f aca="false">IF($J276&lt;&gt;"",$J276,"")</f>
        <v/>
      </c>
      <c r="AQ276" s="52" t="str">
        <f aca="false">IF($A276&lt;&gt;"",$A276,"")</f>
        <v>Apprenant 264</v>
      </c>
      <c r="AR276" s="55" t="str">
        <f aca="false">IF(AND('Choix pédagogiques'!$C$4&lt;&gt;"?",'Choix pédagogiques'!$C$5&lt;&gt;"?",W276&lt;&gt;""),(W276-'Choix pédagogiques'!$C$4)/('Choix pédagogiques'!$C$5-'Choix pédagogiques'!$C$4),"")</f>
        <v/>
      </c>
      <c r="AS276" s="55" t="str">
        <f aca="false">IF(AND('Choix pédagogiques'!$C$4&lt;&gt;"?",'Choix pédagogiques'!$C$5&lt;&gt;"?",X276&lt;&gt;""),(X276-'Choix pédagogiques'!$C$4)/('Choix pédagogiques'!$C$5-'Choix pédagogiques'!$C$4),"")</f>
        <v/>
      </c>
      <c r="AT276" s="55" t="str">
        <f aca="false">IF(AND('Choix pédagogiques'!$C$4&lt;&gt;"?",'Choix pédagogiques'!$C$5&lt;&gt;"?",Y276&lt;&gt;""),(Y276-'Choix pédagogiques'!$C$4)/('Choix pédagogiques'!$C$5-'Choix pédagogiques'!$C$4),"")</f>
        <v/>
      </c>
      <c r="AU276" s="53" t="str">
        <f aca="false">IF($E276&lt;&gt;"",$E276,"")</f>
        <v/>
      </c>
      <c r="AV276" s="52" t="str">
        <f aca="false">IF($F276&lt;&gt;"",$F276,"")</f>
        <v>Apprenant 264 ou 264'</v>
      </c>
      <c r="AW276" s="55" t="str">
        <f aca="false">IF(AND('Choix pédagogiques'!$C$4&lt;&gt;"?",'Choix pédagogiques'!$C$5&lt;&gt;"?",AB276&lt;&gt;""),(AB276-'Choix pédagogiques'!$C$4)/('Choix pédagogiques'!$C$5-'Choix pédagogiques'!$C$4),"")</f>
        <v/>
      </c>
      <c r="AX276" s="55" t="str">
        <f aca="false">IF(AND('Choix pédagogiques'!$C$4&lt;&gt;"?",'Choix pédagogiques'!$C$5&lt;&gt;"?",AC276&lt;&gt;""),(AC276-'Choix pédagogiques'!$C$4)/('Choix pédagogiques'!$C$5-'Choix pédagogiques'!$C$4),"")</f>
        <v/>
      </c>
      <c r="AY276" s="55" t="str">
        <f aca="false">IF(AND('Choix pédagogiques'!$C$4&lt;&gt;"?",'Choix pédagogiques'!$C$5&lt;&gt;"?",AD276&lt;&gt;""),(AD276-'Choix pédagogiques'!$C$4)/('Choix pédagogiques'!$C$5-'Choix pédagogiques'!$C$4),"")</f>
        <v/>
      </c>
      <c r="AZ276" s="53" t="str">
        <f aca="false">IF($J276&lt;&gt;"",$J276,"")</f>
        <v/>
      </c>
      <c r="BA276" s="52" t="str">
        <f aca="false">IF($A276&lt;&gt;"",$A276,"")</f>
        <v>Apprenant 264</v>
      </c>
      <c r="BB276" s="55" t="str">
        <f aca="false">IF(AND($AR276&lt;&gt;"",$AS276&lt;&gt;""),$AS276-$AR276,"")</f>
        <v/>
      </c>
      <c r="BC276" s="55" t="str">
        <f aca="false">IF(AND($AR276&lt;&gt;"",$AT276&lt;&gt;""),$AT276-$AR276,"")</f>
        <v/>
      </c>
      <c r="BD276" s="55" t="str">
        <f aca="false">IF(AND($AS276&lt;&gt;"",$AT276&lt;&gt;""),$AT276-$AS276,"")</f>
        <v/>
      </c>
      <c r="BE276" s="53" t="str">
        <f aca="false">IF($E276&lt;&gt;"",$E276,"")</f>
        <v/>
      </c>
      <c r="BF276" s="52" t="str">
        <f aca="false">IF($F276&lt;&gt;"",$F276,"")</f>
        <v>Apprenant 264 ou 264'</v>
      </c>
      <c r="BG276" s="55" t="str">
        <f aca="false">IF(AND($AW276&lt;&gt;"",$AX276&lt;&gt;""),$AX276-$AW276,"")</f>
        <v/>
      </c>
      <c r="BH276" s="55" t="str">
        <f aca="false">IF(AND($AW276&lt;&gt;"",$AY276&lt;&gt;""),$AY276-$AW276,"")</f>
        <v/>
      </c>
      <c r="BI276" s="55" t="str">
        <f aca="false">IF(AND($AX276&lt;&gt;"",$AY276&lt;&gt;""),$AY276-$AX276,"")</f>
        <v/>
      </c>
      <c r="BJ276" s="53" t="str">
        <f aca="false">IF($J276&lt;&gt;"",$J276,"")</f>
        <v/>
      </c>
      <c r="BL276" s="52"/>
      <c r="BM276" s="52" t="str">
        <f aca="false">IF(OR(COUNT(B276:D1275)=0,AND('Choix pédagogiques'!$C$3&lt;&gt;1,'Choix pédagogiques'!$C$3&lt;&gt;2)),"",IF(AND(OR('Choix pédagogiques'!$C$3=1,'Choix pédagogiques'!$C$3=2),$B276&lt;&gt;"",$C276&lt;&gt;"",$D276&lt;&gt;""),1,0))</f>
        <v/>
      </c>
      <c r="BN276" s="52" t="str">
        <f aca="false">IF(OR(COUNT(G276:I1275)=0,AND('Choix pédagogiques'!$C$3&lt;&gt;1,'Choix pédagogiques'!$C$3&lt;&gt;2)),"",IF(AND(OR('Choix pédagogiques'!$C$3=1,'Choix pédagogiques'!$C$3=2),AND($G276&lt;&gt;"",$H276&lt;&gt;"",$I276&lt;&gt;"")),1,0))</f>
        <v/>
      </c>
      <c r="BO276" s="52" t="str">
        <f aca="false">IF(OR(COUNT(B276:D1275)=0,COUNT(G276:I1275)=0,'Choix pédagogiques'!C$3&lt;&gt;3),"",IF(AND('Choix pédagogiques'!$C$3=3,$B276&lt;&gt;"",$C276&lt;&gt;"",$D276&lt;&gt;"",$G276&lt;&gt;"",$H276&lt;&gt;"",$I276&lt;&gt;""),1,0))</f>
        <v/>
      </c>
      <c r="BR276" s="52" t="n">
        <v>673</v>
      </c>
      <c r="BS276" s="52" t="n">
        <v>1527</v>
      </c>
    </row>
    <row r="277" s="54" customFormat="true" ht="18" hidden="false" customHeight="true" outlineLevel="0" collapsed="false">
      <c r="A277" s="57" t="s">
        <v>485</v>
      </c>
      <c r="B277" s="51"/>
      <c r="C277" s="51"/>
      <c r="D277" s="51"/>
      <c r="E277" s="51"/>
      <c r="F277" s="57" t="s">
        <v>486</v>
      </c>
      <c r="G277" s="51"/>
      <c r="H277" s="51"/>
      <c r="I277" s="51"/>
      <c r="J277" s="51"/>
      <c r="K277" s="52" t="str">
        <f aca="false">IF($A277&lt;&gt;"",$A277,"")</f>
        <v>Apprenant 265</v>
      </c>
      <c r="L277" s="53" t="str">
        <f aca="false">IF(AND($B277&lt;&gt;"",$C277&lt;&gt;""),$C277-$B277,"")</f>
        <v/>
      </c>
      <c r="M277" s="53" t="str">
        <f aca="false">IF(AND($B277&lt;&gt;"",$D277&lt;&gt;""),$D277-$B277,"")</f>
        <v/>
      </c>
      <c r="N277" s="53" t="str">
        <f aca="false">IF(AND($C277&lt;&gt;"",$D277&lt;&gt;""),$D277-$C277,"")</f>
        <v/>
      </c>
      <c r="O277" s="53" t="str">
        <f aca="false">IF($E277&lt;&gt;"",$E277,"")</f>
        <v/>
      </c>
      <c r="P277" s="52" t="str">
        <f aca="false">IF($F277&lt;&gt;"",$F277,"")</f>
        <v>Apprenant 265 ou 265'</v>
      </c>
      <c r="Q277" s="53" t="str">
        <f aca="false">IF(AND($G277&lt;&gt;"",$H277&lt;&gt;""),$H277-$G277,"")</f>
        <v/>
      </c>
      <c r="R277" s="53" t="str">
        <f aca="false">IF(AND($G277&lt;&gt;"",$I277&lt;&gt;""),$I277-$G277,"")</f>
        <v/>
      </c>
      <c r="S277" s="53" t="str">
        <f aca="false">IF(AND($H277&lt;&gt;"",$I277&lt;&gt;""),$I277-$H277,"")</f>
        <v/>
      </c>
      <c r="T277" s="53" t="str">
        <f aca="false">IF($J277&lt;&gt;"",$J277,"")</f>
        <v/>
      </c>
      <c r="V277" s="52" t="str">
        <f aca="false">IF($A277&lt;&gt;"",$A277,"")</f>
        <v>Apprenant 265</v>
      </c>
      <c r="W277" s="53" t="str">
        <f aca="false">IF(AND(OR('Choix pédagogiques'!$C$3=1,'Choix pédagogiques'!$C$3=2),$BM277=1),B277,IF(AND('Choix pédagogiques'!$C$3=3,$BO277=1),B277,""))</f>
        <v/>
      </c>
      <c r="X277" s="53" t="str">
        <f aca="false">IF(AND(OR('Choix pédagogiques'!$C$3=1,'Choix pédagogiques'!$C$3=2),$BM277=1),C277,IF(AND('Choix pédagogiques'!$C$3=3,$BO277=1),C277,""))</f>
        <v/>
      </c>
      <c r="Y277" s="53" t="str">
        <f aca="false">IF(AND(OR('Choix pédagogiques'!$C$3=1,'Choix pédagogiques'!$C$3=2),$BM277=1),D277,IF(AND('Choix pédagogiques'!$C$3=3,$BO277=1),D277,""))</f>
        <v/>
      </c>
      <c r="Z277" s="53" t="str">
        <f aca="false">IF($E277&lt;&gt;"",$E277,"")</f>
        <v/>
      </c>
      <c r="AA277" s="52" t="str">
        <f aca="false">IF($F277&lt;&gt;"",$F277,"")</f>
        <v>Apprenant 265 ou 265'</v>
      </c>
      <c r="AB277" s="53" t="str">
        <f aca="false">IF(AND(OR('Choix pédagogiques'!$C$3=1,'Choix pédagogiques'!$C$3=2),$BN277=1),G277,IF(AND('Choix pédagogiques'!$C$3=3,$BO277=1),G277,""))</f>
        <v/>
      </c>
      <c r="AC277" s="53" t="str">
        <f aca="false">IF(AND(OR('Choix pédagogiques'!$C$3=1,'Choix pédagogiques'!$C$3=2),$BN277=1),H277,IF(AND('Choix pédagogiques'!$C$3=3,$BO277=1),H277,""))</f>
        <v/>
      </c>
      <c r="AD277" s="53" t="str">
        <f aca="false">IF(AND(OR('Choix pédagogiques'!$C$3=1,'Choix pédagogiques'!$C$3=2),$BN277=1),I277,IF(AND('Choix pédagogiques'!$C$3=3,$BO277=1),I277,""))</f>
        <v/>
      </c>
      <c r="AE277" s="53" t="str">
        <f aca="false">IF($J277&lt;&gt;"",$J277,"")</f>
        <v/>
      </c>
      <c r="AF277" s="52" t="str">
        <f aca="false">IF($A277&lt;&gt;"",$A277,"")</f>
        <v>Apprenant 265</v>
      </c>
      <c r="AG277" s="53" t="str">
        <f aca="false">IF(AND($W277&lt;&gt;"",$X277&lt;&gt;""),$X277-$W277,"")</f>
        <v/>
      </c>
      <c r="AH277" s="53" t="str">
        <f aca="false">IF(AND($W277&lt;&gt;"",$Y277&lt;&gt;""),$Y277-$W277,"")</f>
        <v/>
      </c>
      <c r="AI277" s="53" t="str">
        <f aca="false">IF(AND($X277&lt;&gt;"",$Y277&lt;&gt;""),$Y277-$X277,"")</f>
        <v/>
      </c>
      <c r="AJ277" s="53" t="str">
        <f aca="false">IF($E277&lt;&gt;"",$E277,"")</f>
        <v/>
      </c>
      <c r="AK277" s="52" t="str">
        <f aca="false">IF($F277&lt;&gt;"",$F277,"")</f>
        <v>Apprenant 265 ou 265'</v>
      </c>
      <c r="AL277" s="53" t="str">
        <f aca="false">IF(AND($AB277&lt;&gt;"",$AC277&lt;&gt;""),$AC277-$AB277,"")</f>
        <v/>
      </c>
      <c r="AM277" s="53" t="str">
        <f aca="false">IF(AND($AB277&lt;&gt;"",$AD277&lt;&gt;""),$AD277-$AB277,"")</f>
        <v/>
      </c>
      <c r="AN277" s="53" t="str">
        <f aca="false">IF(AND($AC277&lt;&gt;"",$AD277&lt;&gt;""),$AD277-$AC277,"")</f>
        <v/>
      </c>
      <c r="AO277" s="53" t="str">
        <f aca="false">IF($J277&lt;&gt;"",$J277,"")</f>
        <v/>
      </c>
      <c r="AQ277" s="52" t="str">
        <f aca="false">IF($A277&lt;&gt;"",$A277,"")</f>
        <v>Apprenant 265</v>
      </c>
      <c r="AR277" s="55" t="str">
        <f aca="false">IF(AND('Choix pédagogiques'!$C$4&lt;&gt;"?",'Choix pédagogiques'!$C$5&lt;&gt;"?",W277&lt;&gt;""),(W277-'Choix pédagogiques'!$C$4)/('Choix pédagogiques'!$C$5-'Choix pédagogiques'!$C$4),"")</f>
        <v/>
      </c>
      <c r="AS277" s="55" t="str">
        <f aca="false">IF(AND('Choix pédagogiques'!$C$4&lt;&gt;"?",'Choix pédagogiques'!$C$5&lt;&gt;"?",X277&lt;&gt;""),(X277-'Choix pédagogiques'!$C$4)/('Choix pédagogiques'!$C$5-'Choix pédagogiques'!$C$4),"")</f>
        <v/>
      </c>
      <c r="AT277" s="55" t="str">
        <f aca="false">IF(AND('Choix pédagogiques'!$C$4&lt;&gt;"?",'Choix pédagogiques'!$C$5&lt;&gt;"?",Y277&lt;&gt;""),(Y277-'Choix pédagogiques'!$C$4)/('Choix pédagogiques'!$C$5-'Choix pédagogiques'!$C$4),"")</f>
        <v/>
      </c>
      <c r="AU277" s="53" t="str">
        <f aca="false">IF($E277&lt;&gt;"",$E277,"")</f>
        <v/>
      </c>
      <c r="AV277" s="52" t="str">
        <f aca="false">IF($F277&lt;&gt;"",$F277,"")</f>
        <v>Apprenant 265 ou 265'</v>
      </c>
      <c r="AW277" s="55" t="str">
        <f aca="false">IF(AND('Choix pédagogiques'!$C$4&lt;&gt;"?",'Choix pédagogiques'!$C$5&lt;&gt;"?",AB277&lt;&gt;""),(AB277-'Choix pédagogiques'!$C$4)/('Choix pédagogiques'!$C$5-'Choix pédagogiques'!$C$4),"")</f>
        <v/>
      </c>
      <c r="AX277" s="55" t="str">
        <f aca="false">IF(AND('Choix pédagogiques'!$C$4&lt;&gt;"?",'Choix pédagogiques'!$C$5&lt;&gt;"?",AC277&lt;&gt;""),(AC277-'Choix pédagogiques'!$C$4)/('Choix pédagogiques'!$C$5-'Choix pédagogiques'!$C$4),"")</f>
        <v/>
      </c>
      <c r="AY277" s="55" t="str">
        <f aca="false">IF(AND('Choix pédagogiques'!$C$4&lt;&gt;"?",'Choix pédagogiques'!$C$5&lt;&gt;"?",AD277&lt;&gt;""),(AD277-'Choix pédagogiques'!$C$4)/('Choix pédagogiques'!$C$5-'Choix pédagogiques'!$C$4),"")</f>
        <v/>
      </c>
      <c r="AZ277" s="53" t="str">
        <f aca="false">IF($J277&lt;&gt;"",$J277,"")</f>
        <v/>
      </c>
      <c r="BA277" s="52" t="str">
        <f aca="false">IF($A277&lt;&gt;"",$A277,"")</f>
        <v>Apprenant 265</v>
      </c>
      <c r="BB277" s="55" t="str">
        <f aca="false">IF(AND($AR277&lt;&gt;"",$AS277&lt;&gt;""),$AS277-$AR277,"")</f>
        <v/>
      </c>
      <c r="BC277" s="55" t="str">
        <f aca="false">IF(AND($AR277&lt;&gt;"",$AT277&lt;&gt;""),$AT277-$AR277,"")</f>
        <v/>
      </c>
      <c r="BD277" s="55" t="str">
        <f aca="false">IF(AND($AS277&lt;&gt;"",$AT277&lt;&gt;""),$AT277-$AS277,"")</f>
        <v/>
      </c>
      <c r="BE277" s="53" t="str">
        <f aca="false">IF($E277&lt;&gt;"",$E277,"")</f>
        <v/>
      </c>
      <c r="BF277" s="52" t="str">
        <f aca="false">IF($F277&lt;&gt;"",$F277,"")</f>
        <v>Apprenant 265 ou 265'</v>
      </c>
      <c r="BG277" s="55" t="str">
        <f aca="false">IF(AND($AW277&lt;&gt;"",$AX277&lt;&gt;""),$AX277-$AW277,"")</f>
        <v/>
      </c>
      <c r="BH277" s="55" t="str">
        <f aca="false">IF(AND($AW277&lt;&gt;"",$AY277&lt;&gt;""),$AY277-$AW277,"")</f>
        <v/>
      </c>
      <c r="BI277" s="55" t="str">
        <f aca="false">IF(AND($AX277&lt;&gt;"",$AY277&lt;&gt;""),$AY277-$AX277,"")</f>
        <v/>
      </c>
      <c r="BJ277" s="53" t="str">
        <f aca="false">IF($J277&lt;&gt;"",$J277,"")</f>
        <v/>
      </c>
      <c r="BL277" s="52"/>
      <c r="BM277" s="52" t="str">
        <f aca="false">IF(OR(COUNT(B277:D1276)=0,AND('Choix pédagogiques'!$C$3&lt;&gt;1,'Choix pédagogiques'!$C$3&lt;&gt;2)),"",IF(AND(OR('Choix pédagogiques'!$C$3=1,'Choix pédagogiques'!$C$3=2),$B277&lt;&gt;"",$C277&lt;&gt;"",$D277&lt;&gt;""),1,0))</f>
        <v/>
      </c>
      <c r="BN277" s="52" t="str">
        <f aca="false">IF(OR(COUNT(G277:I1276)=0,AND('Choix pédagogiques'!$C$3&lt;&gt;1,'Choix pédagogiques'!$C$3&lt;&gt;2)),"",IF(AND(OR('Choix pédagogiques'!$C$3=1,'Choix pédagogiques'!$C$3=2),AND($G277&lt;&gt;"",$H277&lt;&gt;"",$I277&lt;&gt;"")),1,0))</f>
        <v/>
      </c>
      <c r="BO277" s="52" t="str">
        <f aca="false">IF(OR(COUNT(B277:D1276)=0,COUNT(G277:I1276)=0,'Choix pédagogiques'!C$3&lt;&gt;3),"",IF(AND('Choix pédagogiques'!$C$3=3,$B277&lt;&gt;"",$C277&lt;&gt;"",$D277&lt;&gt;"",$G277&lt;&gt;"",$H277&lt;&gt;"",$I277&lt;&gt;""),1,0))</f>
        <v/>
      </c>
      <c r="BR277" s="52" t="n">
        <v>463</v>
      </c>
      <c r="BS277" s="52" t="n">
        <v>1442</v>
      </c>
    </row>
    <row r="278" s="54" customFormat="true" ht="18" hidden="false" customHeight="true" outlineLevel="0" collapsed="false">
      <c r="A278" s="57" t="s">
        <v>487</v>
      </c>
      <c r="B278" s="51"/>
      <c r="C278" s="51"/>
      <c r="D278" s="51"/>
      <c r="E278" s="51"/>
      <c r="F278" s="57" t="s">
        <v>488</v>
      </c>
      <c r="G278" s="51"/>
      <c r="H278" s="51"/>
      <c r="I278" s="51"/>
      <c r="J278" s="51"/>
      <c r="K278" s="52" t="str">
        <f aca="false">IF($A278&lt;&gt;"",$A278,"")</f>
        <v>Apprenant 266</v>
      </c>
      <c r="L278" s="53" t="str">
        <f aca="false">IF(AND($B278&lt;&gt;"",$C278&lt;&gt;""),$C278-$B278,"")</f>
        <v/>
      </c>
      <c r="M278" s="53" t="str">
        <f aca="false">IF(AND($B278&lt;&gt;"",$D278&lt;&gt;""),$D278-$B278,"")</f>
        <v/>
      </c>
      <c r="N278" s="53" t="str">
        <f aca="false">IF(AND($C278&lt;&gt;"",$D278&lt;&gt;""),$D278-$C278,"")</f>
        <v/>
      </c>
      <c r="O278" s="53" t="str">
        <f aca="false">IF($E278&lt;&gt;"",$E278,"")</f>
        <v/>
      </c>
      <c r="P278" s="52" t="str">
        <f aca="false">IF($F278&lt;&gt;"",$F278,"")</f>
        <v>Apprenant 266 ou 266'</v>
      </c>
      <c r="Q278" s="53" t="str">
        <f aca="false">IF(AND($G278&lt;&gt;"",$H278&lt;&gt;""),$H278-$G278,"")</f>
        <v/>
      </c>
      <c r="R278" s="53" t="str">
        <f aca="false">IF(AND($G278&lt;&gt;"",$I278&lt;&gt;""),$I278-$G278,"")</f>
        <v/>
      </c>
      <c r="S278" s="53" t="str">
        <f aca="false">IF(AND($H278&lt;&gt;"",$I278&lt;&gt;""),$I278-$H278,"")</f>
        <v/>
      </c>
      <c r="T278" s="53" t="str">
        <f aca="false">IF($J278&lt;&gt;"",$J278,"")</f>
        <v/>
      </c>
      <c r="V278" s="52" t="str">
        <f aca="false">IF($A278&lt;&gt;"",$A278,"")</f>
        <v>Apprenant 266</v>
      </c>
      <c r="W278" s="53" t="str">
        <f aca="false">IF(AND(OR('Choix pédagogiques'!$C$3=1,'Choix pédagogiques'!$C$3=2),$BM278=1),B278,IF(AND('Choix pédagogiques'!$C$3=3,$BO278=1),B278,""))</f>
        <v/>
      </c>
      <c r="X278" s="53" t="str">
        <f aca="false">IF(AND(OR('Choix pédagogiques'!$C$3=1,'Choix pédagogiques'!$C$3=2),$BM278=1),C278,IF(AND('Choix pédagogiques'!$C$3=3,$BO278=1),C278,""))</f>
        <v/>
      </c>
      <c r="Y278" s="53" t="str">
        <f aca="false">IF(AND(OR('Choix pédagogiques'!$C$3=1,'Choix pédagogiques'!$C$3=2),$BM278=1),D278,IF(AND('Choix pédagogiques'!$C$3=3,$BO278=1),D278,""))</f>
        <v/>
      </c>
      <c r="Z278" s="53" t="str">
        <f aca="false">IF($E278&lt;&gt;"",$E278,"")</f>
        <v/>
      </c>
      <c r="AA278" s="52" t="str">
        <f aca="false">IF($F278&lt;&gt;"",$F278,"")</f>
        <v>Apprenant 266 ou 266'</v>
      </c>
      <c r="AB278" s="53" t="str">
        <f aca="false">IF(AND(OR('Choix pédagogiques'!$C$3=1,'Choix pédagogiques'!$C$3=2),$BN278=1),G278,IF(AND('Choix pédagogiques'!$C$3=3,$BO278=1),G278,""))</f>
        <v/>
      </c>
      <c r="AC278" s="53" t="str">
        <f aca="false">IF(AND(OR('Choix pédagogiques'!$C$3=1,'Choix pédagogiques'!$C$3=2),$BN278=1),H278,IF(AND('Choix pédagogiques'!$C$3=3,$BO278=1),H278,""))</f>
        <v/>
      </c>
      <c r="AD278" s="53" t="str">
        <f aca="false">IF(AND(OR('Choix pédagogiques'!$C$3=1,'Choix pédagogiques'!$C$3=2),$BN278=1),I278,IF(AND('Choix pédagogiques'!$C$3=3,$BO278=1),I278,""))</f>
        <v/>
      </c>
      <c r="AE278" s="53" t="str">
        <f aca="false">IF($J278&lt;&gt;"",$J278,"")</f>
        <v/>
      </c>
      <c r="AF278" s="52" t="str">
        <f aca="false">IF($A278&lt;&gt;"",$A278,"")</f>
        <v>Apprenant 266</v>
      </c>
      <c r="AG278" s="53" t="str">
        <f aca="false">IF(AND($W278&lt;&gt;"",$X278&lt;&gt;""),$X278-$W278,"")</f>
        <v/>
      </c>
      <c r="AH278" s="53" t="str">
        <f aca="false">IF(AND($W278&lt;&gt;"",$Y278&lt;&gt;""),$Y278-$W278,"")</f>
        <v/>
      </c>
      <c r="AI278" s="53" t="str">
        <f aca="false">IF(AND($X278&lt;&gt;"",$Y278&lt;&gt;""),$Y278-$X278,"")</f>
        <v/>
      </c>
      <c r="AJ278" s="53" t="str">
        <f aca="false">IF($E278&lt;&gt;"",$E278,"")</f>
        <v/>
      </c>
      <c r="AK278" s="52" t="str">
        <f aca="false">IF($F278&lt;&gt;"",$F278,"")</f>
        <v>Apprenant 266 ou 266'</v>
      </c>
      <c r="AL278" s="53" t="str">
        <f aca="false">IF(AND($AB278&lt;&gt;"",$AC278&lt;&gt;""),$AC278-$AB278,"")</f>
        <v/>
      </c>
      <c r="AM278" s="53" t="str">
        <f aca="false">IF(AND($AB278&lt;&gt;"",$AD278&lt;&gt;""),$AD278-$AB278,"")</f>
        <v/>
      </c>
      <c r="AN278" s="53" t="str">
        <f aca="false">IF(AND($AC278&lt;&gt;"",$AD278&lt;&gt;""),$AD278-$AC278,"")</f>
        <v/>
      </c>
      <c r="AO278" s="53" t="str">
        <f aca="false">IF($J278&lt;&gt;"",$J278,"")</f>
        <v/>
      </c>
      <c r="AQ278" s="52" t="str">
        <f aca="false">IF($A278&lt;&gt;"",$A278,"")</f>
        <v>Apprenant 266</v>
      </c>
      <c r="AR278" s="55" t="str">
        <f aca="false">IF(AND('Choix pédagogiques'!$C$4&lt;&gt;"?",'Choix pédagogiques'!$C$5&lt;&gt;"?",W278&lt;&gt;""),(W278-'Choix pédagogiques'!$C$4)/('Choix pédagogiques'!$C$5-'Choix pédagogiques'!$C$4),"")</f>
        <v/>
      </c>
      <c r="AS278" s="55" t="str">
        <f aca="false">IF(AND('Choix pédagogiques'!$C$4&lt;&gt;"?",'Choix pédagogiques'!$C$5&lt;&gt;"?",X278&lt;&gt;""),(X278-'Choix pédagogiques'!$C$4)/('Choix pédagogiques'!$C$5-'Choix pédagogiques'!$C$4),"")</f>
        <v/>
      </c>
      <c r="AT278" s="55" t="str">
        <f aca="false">IF(AND('Choix pédagogiques'!$C$4&lt;&gt;"?",'Choix pédagogiques'!$C$5&lt;&gt;"?",Y278&lt;&gt;""),(Y278-'Choix pédagogiques'!$C$4)/('Choix pédagogiques'!$C$5-'Choix pédagogiques'!$C$4),"")</f>
        <v/>
      </c>
      <c r="AU278" s="53" t="str">
        <f aca="false">IF($E278&lt;&gt;"",$E278,"")</f>
        <v/>
      </c>
      <c r="AV278" s="52" t="str">
        <f aca="false">IF($F278&lt;&gt;"",$F278,"")</f>
        <v>Apprenant 266 ou 266'</v>
      </c>
      <c r="AW278" s="55" t="str">
        <f aca="false">IF(AND('Choix pédagogiques'!$C$4&lt;&gt;"?",'Choix pédagogiques'!$C$5&lt;&gt;"?",AB278&lt;&gt;""),(AB278-'Choix pédagogiques'!$C$4)/('Choix pédagogiques'!$C$5-'Choix pédagogiques'!$C$4),"")</f>
        <v/>
      </c>
      <c r="AX278" s="55" t="str">
        <f aca="false">IF(AND('Choix pédagogiques'!$C$4&lt;&gt;"?",'Choix pédagogiques'!$C$5&lt;&gt;"?",AC278&lt;&gt;""),(AC278-'Choix pédagogiques'!$C$4)/('Choix pédagogiques'!$C$5-'Choix pédagogiques'!$C$4),"")</f>
        <v/>
      </c>
      <c r="AY278" s="55" t="str">
        <f aca="false">IF(AND('Choix pédagogiques'!$C$4&lt;&gt;"?",'Choix pédagogiques'!$C$5&lt;&gt;"?",AD278&lt;&gt;""),(AD278-'Choix pédagogiques'!$C$4)/('Choix pédagogiques'!$C$5-'Choix pédagogiques'!$C$4),"")</f>
        <v/>
      </c>
      <c r="AZ278" s="53" t="str">
        <f aca="false">IF($J278&lt;&gt;"",$J278,"")</f>
        <v/>
      </c>
      <c r="BA278" s="52" t="str">
        <f aca="false">IF($A278&lt;&gt;"",$A278,"")</f>
        <v>Apprenant 266</v>
      </c>
      <c r="BB278" s="55" t="str">
        <f aca="false">IF(AND($AR278&lt;&gt;"",$AS278&lt;&gt;""),$AS278-$AR278,"")</f>
        <v/>
      </c>
      <c r="BC278" s="55" t="str">
        <f aca="false">IF(AND($AR278&lt;&gt;"",$AT278&lt;&gt;""),$AT278-$AR278,"")</f>
        <v/>
      </c>
      <c r="BD278" s="55" t="str">
        <f aca="false">IF(AND($AS278&lt;&gt;"",$AT278&lt;&gt;""),$AT278-$AS278,"")</f>
        <v/>
      </c>
      <c r="BE278" s="53" t="str">
        <f aca="false">IF($E278&lt;&gt;"",$E278,"")</f>
        <v/>
      </c>
      <c r="BF278" s="52" t="str">
        <f aca="false">IF($F278&lt;&gt;"",$F278,"")</f>
        <v>Apprenant 266 ou 266'</v>
      </c>
      <c r="BG278" s="55" t="str">
        <f aca="false">IF(AND($AW278&lt;&gt;"",$AX278&lt;&gt;""),$AX278-$AW278,"")</f>
        <v/>
      </c>
      <c r="BH278" s="55" t="str">
        <f aca="false">IF(AND($AW278&lt;&gt;"",$AY278&lt;&gt;""),$AY278-$AW278,"")</f>
        <v/>
      </c>
      <c r="BI278" s="55" t="str">
        <f aca="false">IF(AND($AX278&lt;&gt;"",$AY278&lt;&gt;""),$AY278-$AX278,"")</f>
        <v/>
      </c>
      <c r="BJ278" s="53" t="str">
        <f aca="false">IF($J278&lt;&gt;"",$J278,"")</f>
        <v/>
      </c>
      <c r="BL278" s="52"/>
      <c r="BM278" s="52" t="str">
        <f aca="false">IF(OR(COUNT(B278:D1277)=0,AND('Choix pédagogiques'!$C$3&lt;&gt;1,'Choix pédagogiques'!$C$3&lt;&gt;2)),"",IF(AND(OR('Choix pédagogiques'!$C$3=1,'Choix pédagogiques'!$C$3=2),$B278&lt;&gt;"",$C278&lt;&gt;"",$D278&lt;&gt;""),1,0))</f>
        <v/>
      </c>
      <c r="BN278" s="52" t="str">
        <f aca="false">IF(OR(COUNT(G278:I1277)=0,AND('Choix pédagogiques'!$C$3&lt;&gt;1,'Choix pédagogiques'!$C$3&lt;&gt;2)),"",IF(AND(OR('Choix pédagogiques'!$C$3=1,'Choix pédagogiques'!$C$3=2),AND($G278&lt;&gt;"",$H278&lt;&gt;"",$I278&lt;&gt;"")),1,0))</f>
        <v/>
      </c>
      <c r="BO278" s="52" t="str">
        <f aca="false">IF(OR(COUNT(B278:D1277)=0,COUNT(G278:I1277)=0,'Choix pédagogiques'!C$3&lt;&gt;3),"",IF(AND('Choix pédagogiques'!$C$3=3,$B278&lt;&gt;"",$C278&lt;&gt;"",$D278&lt;&gt;"",$G278&lt;&gt;"",$H278&lt;&gt;"",$I278&lt;&gt;""),1,0))</f>
        <v/>
      </c>
      <c r="BR278" s="52" t="n">
        <v>952</v>
      </c>
      <c r="BS278" s="52" t="n">
        <v>1248</v>
      </c>
    </row>
    <row r="279" s="54" customFormat="true" ht="18" hidden="false" customHeight="true" outlineLevel="0" collapsed="false">
      <c r="A279" s="57" t="s">
        <v>489</v>
      </c>
      <c r="B279" s="51"/>
      <c r="C279" s="51"/>
      <c r="D279" s="51"/>
      <c r="E279" s="51"/>
      <c r="F279" s="57" t="s">
        <v>490</v>
      </c>
      <c r="G279" s="51"/>
      <c r="H279" s="51"/>
      <c r="I279" s="51"/>
      <c r="J279" s="51"/>
      <c r="K279" s="52" t="str">
        <f aca="false">IF($A279&lt;&gt;"",$A279,"")</f>
        <v>Apprenant 267</v>
      </c>
      <c r="L279" s="53" t="str">
        <f aca="false">IF(AND($B279&lt;&gt;"",$C279&lt;&gt;""),$C279-$B279,"")</f>
        <v/>
      </c>
      <c r="M279" s="53" t="str">
        <f aca="false">IF(AND($B279&lt;&gt;"",$D279&lt;&gt;""),$D279-$B279,"")</f>
        <v/>
      </c>
      <c r="N279" s="53" t="str">
        <f aca="false">IF(AND($C279&lt;&gt;"",$D279&lt;&gt;""),$D279-$C279,"")</f>
        <v/>
      </c>
      <c r="O279" s="53" t="str">
        <f aca="false">IF($E279&lt;&gt;"",$E279,"")</f>
        <v/>
      </c>
      <c r="P279" s="52" t="str">
        <f aca="false">IF($F279&lt;&gt;"",$F279,"")</f>
        <v>Apprenant 267 ou 267'</v>
      </c>
      <c r="Q279" s="53" t="str">
        <f aca="false">IF(AND($G279&lt;&gt;"",$H279&lt;&gt;""),$H279-$G279,"")</f>
        <v/>
      </c>
      <c r="R279" s="53" t="str">
        <f aca="false">IF(AND($G279&lt;&gt;"",$I279&lt;&gt;""),$I279-$G279,"")</f>
        <v/>
      </c>
      <c r="S279" s="53" t="str">
        <f aca="false">IF(AND($H279&lt;&gt;"",$I279&lt;&gt;""),$I279-$H279,"")</f>
        <v/>
      </c>
      <c r="T279" s="53" t="str">
        <f aca="false">IF($J279&lt;&gt;"",$J279,"")</f>
        <v/>
      </c>
      <c r="V279" s="52" t="str">
        <f aca="false">IF($A279&lt;&gt;"",$A279,"")</f>
        <v>Apprenant 267</v>
      </c>
      <c r="W279" s="53" t="str">
        <f aca="false">IF(AND(OR('Choix pédagogiques'!$C$3=1,'Choix pédagogiques'!$C$3=2),$BM279=1),B279,IF(AND('Choix pédagogiques'!$C$3=3,$BO279=1),B279,""))</f>
        <v/>
      </c>
      <c r="X279" s="53" t="str">
        <f aca="false">IF(AND(OR('Choix pédagogiques'!$C$3=1,'Choix pédagogiques'!$C$3=2),$BM279=1),C279,IF(AND('Choix pédagogiques'!$C$3=3,$BO279=1),C279,""))</f>
        <v/>
      </c>
      <c r="Y279" s="53" t="str">
        <f aca="false">IF(AND(OR('Choix pédagogiques'!$C$3=1,'Choix pédagogiques'!$C$3=2),$BM279=1),D279,IF(AND('Choix pédagogiques'!$C$3=3,$BO279=1),D279,""))</f>
        <v/>
      </c>
      <c r="Z279" s="53" t="str">
        <f aca="false">IF($E279&lt;&gt;"",$E279,"")</f>
        <v/>
      </c>
      <c r="AA279" s="52" t="str">
        <f aca="false">IF($F279&lt;&gt;"",$F279,"")</f>
        <v>Apprenant 267 ou 267'</v>
      </c>
      <c r="AB279" s="53" t="str">
        <f aca="false">IF(AND(OR('Choix pédagogiques'!$C$3=1,'Choix pédagogiques'!$C$3=2),$BN279=1),G279,IF(AND('Choix pédagogiques'!$C$3=3,$BO279=1),G279,""))</f>
        <v/>
      </c>
      <c r="AC279" s="53" t="str">
        <f aca="false">IF(AND(OR('Choix pédagogiques'!$C$3=1,'Choix pédagogiques'!$C$3=2),$BN279=1),H279,IF(AND('Choix pédagogiques'!$C$3=3,$BO279=1),H279,""))</f>
        <v/>
      </c>
      <c r="AD279" s="53" t="str">
        <f aca="false">IF(AND(OR('Choix pédagogiques'!$C$3=1,'Choix pédagogiques'!$C$3=2),$BN279=1),I279,IF(AND('Choix pédagogiques'!$C$3=3,$BO279=1),I279,""))</f>
        <v/>
      </c>
      <c r="AE279" s="53" t="str">
        <f aca="false">IF($J279&lt;&gt;"",$J279,"")</f>
        <v/>
      </c>
      <c r="AF279" s="52" t="str">
        <f aca="false">IF($A279&lt;&gt;"",$A279,"")</f>
        <v>Apprenant 267</v>
      </c>
      <c r="AG279" s="53" t="str">
        <f aca="false">IF(AND($W279&lt;&gt;"",$X279&lt;&gt;""),$X279-$W279,"")</f>
        <v/>
      </c>
      <c r="AH279" s="53" t="str">
        <f aca="false">IF(AND($W279&lt;&gt;"",$Y279&lt;&gt;""),$Y279-$W279,"")</f>
        <v/>
      </c>
      <c r="AI279" s="53" t="str">
        <f aca="false">IF(AND($X279&lt;&gt;"",$Y279&lt;&gt;""),$Y279-$X279,"")</f>
        <v/>
      </c>
      <c r="AJ279" s="53" t="str">
        <f aca="false">IF($E279&lt;&gt;"",$E279,"")</f>
        <v/>
      </c>
      <c r="AK279" s="52" t="str">
        <f aca="false">IF($F279&lt;&gt;"",$F279,"")</f>
        <v>Apprenant 267 ou 267'</v>
      </c>
      <c r="AL279" s="53" t="str">
        <f aca="false">IF(AND($AB279&lt;&gt;"",$AC279&lt;&gt;""),$AC279-$AB279,"")</f>
        <v/>
      </c>
      <c r="AM279" s="53" t="str">
        <f aca="false">IF(AND($AB279&lt;&gt;"",$AD279&lt;&gt;""),$AD279-$AB279,"")</f>
        <v/>
      </c>
      <c r="AN279" s="53" t="str">
        <f aca="false">IF(AND($AC279&lt;&gt;"",$AD279&lt;&gt;""),$AD279-$AC279,"")</f>
        <v/>
      </c>
      <c r="AO279" s="53" t="str">
        <f aca="false">IF($J279&lt;&gt;"",$J279,"")</f>
        <v/>
      </c>
      <c r="AQ279" s="52" t="str">
        <f aca="false">IF($A279&lt;&gt;"",$A279,"")</f>
        <v>Apprenant 267</v>
      </c>
      <c r="AR279" s="55" t="str">
        <f aca="false">IF(AND('Choix pédagogiques'!$C$4&lt;&gt;"?",'Choix pédagogiques'!$C$5&lt;&gt;"?",W279&lt;&gt;""),(W279-'Choix pédagogiques'!$C$4)/('Choix pédagogiques'!$C$5-'Choix pédagogiques'!$C$4),"")</f>
        <v/>
      </c>
      <c r="AS279" s="55" t="str">
        <f aca="false">IF(AND('Choix pédagogiques'!$C$4&lt;&gt;"?",'Choix pédagogiques'!$C$5&lt;&gt;"?",X279&lt;&gt;""),(X279-'Choix pédagogiques'!$C$4)/('Choix pédagogiques'!$C$5-'Choix pédagogiques'!$C$4),"")</f>
        <v/>
      </c>
      <c r="AT279" s="55" t="str">
        <f aca="false">IF(AND('Choix pédagogiques'!$C$4&lt;&gt;"?",'Choix pédagogiques'!$C$5&lt;&gt;"?",Y279&lt;&gt;""),(Y279-'Choix pédagogiques'!$C$4)/('Choix pédagogiques'!$C$5-'Choix pédagogiques'!$C$4),"")</f>
        <v/>
      </c>
      <c r="AU279" s="53" t="str">
        <f aca="false">IF($E279&lt;&gt;"",$E279,"")</f>
        <v/>
      </c>
      <c r="AV279" s="52" t="str">
        <f aca="false">IF($F279&lt;&gt;"",$F279,"")</f>
        <v>Apprenant 267 ou 267'</v>
      </c>
      <c r="AW279" s="55" t="str">
        <f aca="false">IF(AND('Choix pédagogiques'!$C$4&lt;&gt;"?",'Choix pédagogiques'!$C$5&lt;&gt;"?",AB279&lt;&gt;""),(AB279-'Choix pédagogiques'!$C$4)/('Choix pédagogiques'!$C$5-'Choix pédagogiques'!$C$4),"")</f>
        <v/>
      </c>
      <c r="AX279" s="55" t="str">
        <f aca="false">IF(AND('Choix pédagogiques'!$C$4&lt;&gt;"?",'Choix pédagogiques'!$C$5&lt;&gt;"?",AC279&lt;&gt;""),(AC279-'Choix pédagogiques'!$C$4)/('Choix pédagogiques'!$C$5-'Choix pédagogiques'!$C$4),"")</f>
        <v/>
      </c>
      <c r="AY279" s="55" t="str">
        <f aca="false">IF(AND('Choix pédagogiques'!$C$4&lt;&gt;"?",'Choix pédagogiques'!$C$5&lt;&gt;"?",AD279&lt;&gt;""),(AD279-'Choix pédagogiques'!$C$4)/('Choix pédagogiques'!$C$5-'Choix pédagogiques'!$C$4),"")</f>
        <v/>
      </c>
      <c r="AZ279" s="53" t="str">
        <f aca="false">IF($J279&lt;&gt;"",$J279,"")</f>
        <v/>
      </c>
      <c r="BA279" s="52" t="str">
        <f aca="false">IF($A279&lt;&gt;"",$A279,"")</f>
        <v>Apprenant 267</v>
      </c>
      <c r="BB279" s="55" t="str">
        <f aca="false">IF(AND($AR279&lt;&gt;"",$AS279&lt;&gt;""),$AS279-$AR279,"")</f>
        <v/>
      </c>
      <c r="BC279" s="55" t="str">
        <f aca="false">IF(AND($AR279&lt;&gt;"",$AT279&lt;&gt;""),$AT279-$AR279,"")</f>
        <v/>
      </c>
      <c r="BD279" s="55" t="str">
        <f aca="false">IF(AND($AS279&lt;&gt;"",$AT279&lt;&gt;""),$AT279-$AS279,"")</f>
        <v/>
      </c>
      <c r="BE279" s="53" t="str">
        <f aca="false">IF($E279&lt;&gt;"",$E279,"")</f>
        <v/>
      </c>
      <c r="BF279" s="52" t="str">
        <f aca="false">IF($F279&lt;&gt;"",$F279,"")</f>
        <v>Apprenant 267 ou 267'</v>
      </c>
      <c r="BG279" s="55" t="str">
        <f aca="false">IF(AND($AW279&lt;&gt;"",$AX279&lt;&gt;""),$AX279-$AW279,"")</f>
        <v/>
      </c>
      <c r="BH279" s="55" t="str">
        <f aca="false">IF(AND($AW279&lt;&gt;"",$AY279&lt;&gt;""),$AY279-$AW279,"")</f>
        <v/>
      </c>
      <c r="BI279" s="55" t="str">
        <f aca="false">IF(AND($AX279&lt;&gt;"",$AY279&lt;&gt;""),$AY279-$AX279,"")</f>
        <v/>
      </c>
      <c r="BJ279" s="53" t="str">
        <f aca="false">IF($J279&lt;&gt;"",$J279,"")</f>
        <v/>
      </c>
      <c r="BL279" s="52"/>
      <c r="BM279" s="52" t="str">
        <f aca="false">IF(OR(COUNT(B279:D1278)=0,AND('Choix pédagogiques'!$C$3&lt;&gt;1,'Choix pédagogiques'!$C$3&lt;&gt;2)),"",IF(AND(OR('Choix pédagogiques'!$C$3=1,'Choix pédagogiques'!$C$3=2),$B279&lt;&gt;"",$C279&lt;&gt;"",$D279&lt;&gt;""),1,0))</f>
        <v/>
      </c>
      <c r="BN279" s="52" t="str">
        <f aca="false">IF(OR(COUNT(G279:I1278)=0,AND('Choix pédagogiques'!$C$3&lt;&gt;1,'Choix pédagogiques'!$C$3&lt;&gt;2)),"",IF(AND(OR('Choix pédagogiques'!$C$3=1,'Choix pédagogiques'!$C$3=2),AND($G279&lt;&gt;"",$H279&lt;&gt;"",$I279&lt;&gt;"")),1,0))</f>
        <v/>
      </c>
      <c r="BO279" s="52" t="str">
        <f aca="false">IF(OR(COUNT(B279:D1278)=0,COUNT(G279:I1278)=0,'Choix pédagogiques'!C$3&lt;&gt;3),"",IF(AND('Choix pédagogiques'!$C$3=3,$B279&lt;&gt;"",$C279&lt;&gt;"",$D279&lt;&gt;"",$G279&lt;&gt;"",$H279&lt;&gt;"",$I279&lt;&gt;""),1,0))</f>
        <v/>
      </c>
      <c r="BR279" s="52" t="n">
        <v>140</v>
      </c>
      <c r="BS279" s="52" t="n">
        <v>1305</v>
      </c>
    </row>
    <row r="280" s="54" customFormat="true" ht="18" hidden="false" customHeight="true" outlineLevel="0" collapsed="false">
      <c r="A280" s="57" t="s">
        <v>491</v>
      </c>
      <c r="B280" s="51"/>
      <c r="C280" s="51"/>
      <c r="D280" s="51"/>
      <c r="E280" s="51"/>
      <c r="F280" s="57" t="s">
        <v>492</v>
      </c>
      <c r="G280" s="51"/>
      <c r="H280" s="51"/>
      <c r="I280" s="51"/>
      <c r="J280" s="51"/>
      <c r="K280" s="52" t="str">
        <f aca="false">IF($A280&lt;&gt;"",$A280,"")</f>
        <v>Apprenant 268</v>
      </c>
      <c r="L280" s="53" t="str">
        <f aca="false">IF(AND($B280&lt;&gt;"",$C280&lt;&gt;""),$C280-$B280,"")</f>
        <v/>
      </c>
      <c r="M280" s="53" t="str">
        <f aca="false">IF(AND($B280&lt;&gt;"",$D280&lt;&gt;""),$D280-$B280,"")</f>
        <v/>
      </c>
      <c r="N280" s="53" t="str">
        <f aca="false">IF(AND($C280&lt;&gt;"",$D280&lt;&gt;""),$D280-$C280,"")</f>
        <v/>
      </c>
      <c r="O280" s="53" t="str">
        <f aca="false">IF($E280&lt;&gt;"",$E280,"")</f>
        <v/>
      </c>
      <c r="P280" s="52" t="str">
        <f aca="false">IF($F280&lt;&gt;"",$F280,"")</f>
        <v>Apprenant 268 ou 268'</v>
      </c>
      <c r="Q280" s="53" t="str">
        <f aca="false">IF(AND($G280&lt;&gt;"",$H280&lt;&gt;""),$H280-$G280,"")</f>
        <v/>
      </c>
      <c r="R280" s="53" t="str">
        <f aca="false">IF(AND($G280&lt;&gt;"",$I280&lt;&gt;""),$I280-$G280,"")</f>
        <v/>
      </c>
      <c r="S280" s="53" t="str">
        <f aca="false">IF(AND($H280&lt;&gt;"",$I280&lt;&gt;""),$I280-$H280,"")</f>
        <v/>
      </c>
      <c r="T280" s="53" t="str">
        <f aca="false">IF($J280&lt;&gt;"",$J280,"")</f>
        <v/>
      </c>
      <c r="V280" s="52" t="str">
        <f aca="false">IF($A280&lt;&gt;"",$A280,"")</f>
        <v>Apprenant 268</v>
      </c>
      <c r="W280" s="53" t="str">
        <f aca="false">IF(AND(OR('Choix pédagogiques'!$C$3=1,'Choix pédagogiques'!$C$3=2),$BM280=1),B280,IF(AND('Choix pédagogiques'!$C$3=3,$BO280=1),B280,""))</f>
        <v/>
      </c>
      <c r="X280" s="53" t="str">
        <f aca="false">IF(AND(OR('Choix pédagogiques'!$C$3=1,'Choix pédagogiques'!$C$3=2),$BM280=1),C280,IF(AND('Choix pédagogiques'!$C$3=3,$BO280=1),C280,""))</f>
        <v/>
      </c>
      <c r="Y280" s="53" t="str">
        <f aca="false">IF(AND(OR('Choix pédagogiques'!$C$3=1,'Choix pédagogiques'!$C$3=2),$BM280=1),D280,IF(AND('Choix pédagogiques'!$C$3=3,$BO280=1),D280,""))</f>
        <v/>
      </c>
      <c r="Z280" s="53" t="str">
        <f aca="false">IF($E280&lt;&gt;"",$E280,"")</f>
        <v/>
      </c>
      <c r="AA280" s="52" t="str">
        <f aca="false">IF($F280&lt;&gt;"",$F280,"")</f>
        <v>Apprenant 268 ou 268'</v>
      </c>
      <c r="AB280" s="53" t="str">
        <f aca="false">IF(AND(OR('Choix pédagogiques'!$C$3=1,'Choix pédagogiques'!$C$3=2),$BN280=1),G280,IF(AND('Choix pédagogiques'!$C$3=3,$BO280=1),G280,""))</f>
        <v/>
      </c>
      <c r="AC280" s="53" t="str">
        <f aca="false">IF(AND(OR('Choix pédagogiques'!$C$3=1,'Choix pédagogiques'!$C$3=2),$BN280=1),H280,IF(AND('Choix pédagogiques'!$C$3=3,$BO280=1),H280,""))</f>
        <v/>
      </c>
      <c r="AD280" s="53" t="str">
        <f aca="false">IF(AND(OR('Choix pédagogiques'!$C$3=1,'Choix pédagogiques'!$C$3=2),$BN280=1),I280,IF(AND('Choix pédagogiques'!$C$3=3,$BO280=1),I280,""))</f>
        <v/>
      </c>
      <c r="AE280" s="53" t="str">
        <f aca="false">IF($J280&lt;&gt;"",$J280,"")</f>
        <v/>
      </c>
      <c r="AF280" s="52" t="str">
        <f aca="false">IF($A280&lt;&gt;"",$A280,"")</f>
        <v>Apprenant 268</v>
      </c>
      <c r="AG280" s="53" t="str">
        <f aca="false">IF(AND($W280&lt;&gt;"",$X280&lt;&gt;""),$X280-$W280,"")</f>
        <v/>
      </c>
      <c r="AH280" s="53" t="str">
        <f aca="false">IF(AND($W280&lt;&gt;"",$Y280&lt;&gt;""),$Y280-$W280,"")</f>
        <v/>
      </c>
      <c r="AI280" s="53" t="str">
        <f aca="false">IF(AND($X280&lt;&gt;"",$Y280&lt;&gt;""),$Y280-$X280,"")</f>
        <v/>
      </c>
      <c r="AJ280" s="53" t="str">
        <f aca="false">IF($E280&lt;&gt;"",$E280,"")</f>
        <v/>
      </c>
      <c r="AK280" s="52" t="str">
        <f aca="false">IF($F280&lt;&gt;"",$F280,"")</f>
        <v>Apprenant 268 ou 268'</v>
      </c>
      <c r="AL280" s="53" t="str">
        <f aca="false">IF(AND($AB280&lt;&gt;"",$AC280&lt;&gt;""),$AC280-$AB280,"")</f>
        <v/>
      </c>
      <c r="AM280" s="53" t="str">
        <f aca="false">IF(AND($AB280&lt;&gt;"",$AD280&lt;&gt;""),$AD280-$AB280,"")</f>
        <v/>
      </c>
      <c r="AN280" s="53" t="str">
        <f aca="false">IF(AND($AC280&lt;&gt;"",$AD280&lt;&gt;""),$AD280-$AC280,"")</f>
        <v/>
      </c>
      <c r="AO280" s="53" t="str">
        <f aca="false">IF($J280&lt;&gt;"",$J280,"")</f>
        <v/>
      </c>
      <c r="AQ280" s="52" t="str">
        <f aca="false">IF($A280&lt;&gt;"",$A280,"")</f>
        <v>Apprenant 268</v>
      </c>
      <c r="AR280" s="55" t="str">
        <f aca="false">IF(AND('Choix pédagogiques'!$C$4&lt;&gt;"?",'Choix pédagogiques'!$C$5&lt;&gt;"?",W280&lt;&gt;""),(W280-'Choix pédagogiques'!$C$4)/('Choix pédagogiques'!$C$5-'Choix pédagogiques'!$C$4),"")</f>
        <v/>
      </c>
      <c r="AS280" s="55" t="str">
        <f aca="false">IF(AND('Choix pédagogiques'!$C$4&lt;&gt;"?",'Choix pédagogiques'!$C$5&lt;&gt;"?",X280&lt;&gt;""),(X280-'Choix pédagogiques'!$C$4)/('Choix pédagogiques'!$C$5-'Choix pédagogiques'!$C$4),"")</f>
        <v/>
      </c>
      <c r="AT280" s="55" t="str">
        <f aca="false">IF(AND('Choix pédagogiques'!$C$4&lt;&gt;"?",'Choix pédagogiques'!$C$5&lt;&gt;"?",Y280&lt;&gt;""),(Y280-'Choix pédagogiques'!$C$4)/('Choix pédagogiques'!$C$5-'Choix pédagogiques'!$C$4),"")</f>
        <v/>
      </c>
      <c r="AU280" s="53" t="str">
        <f aca="false">IF($E280&lt;&gt;"",$E280,"")</f>
        <v/>
      </c>
      <c r="AV280" s="52" t="str">
        <f aca="false">IF($F280&lt;&gt;"",$F280,"")</f>
        <v>Apprenant 268 ou 268'</v>
      </c>
      <c r="AW280" s="55" t="str">
        <f aca="false">IF(AND('Choix pédagogiques'!$C$4&lt;&gt;"?",'Choix pédagogiques'!$C$5&lt;&gt;"?",AB280&lt;&gt;""),(AB280-'Choix pédagogiques'!$C$4)/('Choix pédagogiques'!$C$5-'Choix pédagogiques'!$C$4),"")</f>
        <v/>
      </c>
      <c r="AX280" s="55" t="str">
        <f aca="false">IF(AND('Choix pédagogiques'!$C$4&lt;&gt;"?",'Choix pédagogiques'!$C$5&lt;&gt;"?",AC280&lt;&gt;""),(AC280-'Choix pédagogiques'!$C$4)/('Choix pédagogiques'!$C$5-'Choix pédagogiques'!$C$4),"")</f>
        <v/>
      </c>
      <c r="AY280" s="55" t="str">
        <f aca="false">IF(AND('Choix pédagogiques'!$C$4&lt;&gt;"?",'Choix pédagogiques'!$C$5&lt;&gt;"?",AD280&lt;&gt;""),(AD280-'Choix pédagogiques'!$C$4)/('Choix pédagogiques'!$C$5-'Choix pédagogiques'!$C$4),"")</f>
        <v/>
      </c>
      <c r="AZ280" s="53" t="str">
        <f aca="false">IF($J280&lt;&gt;"",$J280,"")</f>
        <v/>
      </c>
      <c r="BA280" s="52" t="str">
        <f aca="false">IF($A280&lt;&gt;"",$A280,"")</f>
        <v>Apprenant 268</v>
      </c>
      <c r="BB280" s="55" t="str">
        <f aca="false">IF(AND($AR280&lt;&gt;"",$AS280&lt;&gt;""),$AS280-$AR280,"")</f>
        <v/>
      </c>
      <c r="BC280" s="55" t="str">
        <f aca="false">IF(AND($AR280&lt;&gt;"",$AT280&lt;&gt;""),$AT280-$AR280,"")</f>
        <v/>
      </c>
      <c r="BD280" s="55" t="str">
        <f aca="false">IF(AND($AS280&lt;&gt;"",$AT280&lt;&gt;""),$AT280-$AS280,"")</f>
        <v/>
      </c>
      <c r="BE280" s="53" t="str">
        <f aca="false">IF($E280&lt;&gt;"",$E280,"")</f>
        <v/>
      </c>
      <c r="BF280" s="52" t="str">
        <f aca="false">IF($F280&lt;&gt;"",$F280,"")</f>
        <v>Apprenant 268 ou 268'</v>
      </c>
      <c r="BG280" s="55" t="str">
        <f aca="false">IF(AND($AW280&lt;&gt;"",$AX280&lt;&gt;""),$AX280-$AW280,"")</f>
        <v/>
      </c>
      <c r="BH280" s="55" t="str">
        <f aca="false">IF(AND($AW280&lt;&gt;"",$AY280&lt;&gt;""),$AY280-$AW280,"")</f>
        <v/>
      </c>
      <c r="BI280" s="55" t="str">
        <f aca="false">IF(AND($AX280&lt;&gt;"",$AY280&lt;&gt;""),$AY280-$AX280,"")</f>
        <v/>
      </c>
      <c r="BJ280" s="53" t="str">
        <f aca="false">IF($J280&lt;&gt;"",$J280,"")</f>
        <v/>
      </c>
      <c r="BL280" s="52"/>
      <c r="BM280" s="52" t="str">
        <f aca="false">IF(OR(COUNT(B280:D1279)=0,AND('Choix pédagogiques'!$C$3&lt;&gt;1,'Choix pédagogiques'!$C$3&lt;&gt;2)),"",IF(AND(OR('Choix pédagogiques'!$C$3=1,'Choix pédagogiques'!$C$3=2),$B280&lt;&gt;"",$C280&lt;&gt;"",$D280&lt;&gt;""),1,0))</f>
        <v/>
      </c>
      <c r="BN280" s="52" t="str">
        <f aca="false">IF(OR(COUNT(G280:I1279)=0,AND('Choix pédagogiques'!$C$3&lt;&gt;1,'Choix pédagogiques'!$C$3&lt;&gt;2)),"",IF(AND(OR('Choix pédagogiques'!$C$3=1,'Choix pédagogiques'!$C$3=2),AND($G280&lt;&gt;"",$H280&lt;&gt;"",$I280&lt;&gt;"")),1,0))</f>
        <v/>
      </c>
      <c r="BO280" s="52" t="str">
        <f aca="false">IF(OR(COUNT(B280:D1279)=0,COUNT(G280:I1279)=0,'Choix pédagogiques'!C$3&lt;&gt;3),"",IF(AND('Choix pédagogiques'!$C$3=3,$B280&lt;&gt;"",$C280&lt;&gt;"",$D280&lt;&gt;"",$G280&lt;&gt;"",$H280&lt;&gt;"",$I280&lt;&gt;""),1,0))</f>
        <v/>
      </c>
      <c r="BR280" s="52" t="n">
        <v>598</v>
      </c>
      <c r="BS280" s="52" t="n">
        <v>1876</v>
      </c>
    </row>
    <row r="281" s="54" customFormat="true" ht="18" hidden="false" customHeight="true" outlineLevel="0" collapsed="false">
      <c r="A281" s="57" t="s">
        <v>493</v>
      </c>
      <c r="B281" s="51"/>
      <c r="C281" s="51"/>
      <c r="D281" s="51"/>
      <c r="E281" s="51"/>
      <c r="F281" s="57" t="s">
        <v>494</v>
      </c>
      <c r="G281" s="51"/>
      <c r="H281" s="51"/>
      <c r="I281" s="51"/>
      <c r="J281" s="51"/>
      <c r="K281" s="52" t="str">
        <f aca="false">IF($A281&lt;&gt;"",$A281,"")</f>
        <v>Apprenant 269</v>
      </c>
      <c r="L281" s="53" t="str">
        <f aca="false">IF(AND($B281&lt;&gt;"",$C281&lt;&gt;""),$C281-$B281,"")</f>
        <v/>
      </c>
      <c r="M281" s="53" t="str">
        <f aca="false">IF(AND($B281&lt;&gt;"",$D281&lt;&gt;""),$D281-$B281,"")</f>
        <v/>
      </c>
      <c r="N281" s="53" t="str">
        <f aca="false">IF(AND($C281&lt;&gt;"",$D281&lt;&gt;""),$D281-$C281,"")</f>
        <v/>
      </c>
      <c r="O281" s="53" t="str">
        <f aca="false">IF($E281&lt;&gt;"",$E281,"")</f>
        <v/>
      </c>
      <c r="P281" s="52" t="str">
        <f aca="false">IF($F281&lt;&gt;"",$F281,"")</f>
        <v>Apprenant 269 ou 269'</v>
      </c>
      <c r="Q281" s="53" t="str">
        <f aca="false">IF(AND($G281&lt;&gt;"",$H281&lt;&gt;""),$H281-$G281,"")</f>
        <v/>
      </c>
      <c r="R281" s="53" t="str">
        <f aca="false">IF(AND($G281&lt;&gt;"",$I281&lt;&gt;""),$I281-$G281,"")</f>
        <v/>
      </c>
      <c r="S281" s="53" t="str">
        <f aca="false">IF(AND($H281&lt;&gt;"",$I281&lt;&gt;""),$I281-$H281,"")</f>
        <v/>
      </c>
      <c r="T281" s="53" t="str">
        <f aca="false">IF($J281&lt;&gt;"",$J281,"")</f>
        <v/>
      </c>
      <c r="V281" s="52" t="str">
        <f aca="false">IF($A281&lt;&gt;"",$A281,"")</f>
        <v>Apprenant 269</v>
      </c>
      <c r="W281" s="53" t="str">
        <f aca="false">IF(AND(OR('Choix pédagogiques'!$C$3=1,'Choix pédagogiques'!$C$3=2),$BM281=1),B281,IF(AND('Choix pédagogiques'!$C$3=3,$BO281=1),B281,""))</f>
        <v/>
      </c>
      <c r="X281" s="53" t="str">
        <f aca="false">IF(AND(OR('Choix pédagogiques'!$C$3=1,'Choix pédagogiques'!$C$3=2),$BM281=1),C281,IF(AND('Choix pédagogiques'!$C$3=3,$BO281=1),C281,""))</f>
        <v/>
      </c>
      <c r="Y281" s="53" t="str">
        <f aca="false">IF(AND(OR('Choix pédagogiques'!$C$3=1,'Choix pédagogiques'!$C$3=2),$BM281=1),D281,IF(AND('Choix pédagogiques'!$C$3=3,$BO281=1),D281,""))</f>
        <v/>
      </c>
      <c r="Z281" s="53" t="str">
        <f aca="false">IF($E281&lt;&gt;"",$E281,"")</f>
        <v/>
      </c>
      <c r="AA281" s="52" t="str">
        <f aca="false">IF($F281&lt;&gt;"",$F281,"")</f>
        <v>Apprenant 269 ou 269'</v>
      </c>
      <c r="AB281" s="53" t="str">
        <f aca="false">IF(AND(OR('Choix pédagogiques'!$C$3=1,'Choix pédagogiques'!$C$3=2),$BN281=1),G281,IF(AND('Choix pédagogiques'!$C$3=3,$BO281=1),G281,""))</f>
        <v/>
      </c>
      <c r="AC281" s="53" t="str">
        <f aca="false">IF(AND(OR('Choix pédagogiques'!$C$3=1,'Choix pédagogiques'!$C$3=2),$BN281=1),H281,IF(AND('Choix pédagogiques'!$C$3=3,$BO281=1),H281,""))</f>
        <v/>
      </c>
      <c r="AD281" s="53" t="str">
        <f aca="false">IF(AND(OR('Choix pédagogiques'!$C$3=1,'Choix pédagogiques'!$C$3=2),$BN281=1),I281,IF(AND('Choix pédagogiques'!$C$3=3,$BO281=1),I281,""))</f>
        <v/>
      </c>
      <c r="AE281" s="53" t="str">
        <f aca="false">IF($J281&lt;&gt;"",$J281,"")</f>
        <v/>
      </c>
      <c r="AF281" s="52" t="str">
        <f aca="false">IF($A281&lt;&gt;"",$A281,"")</f>
        <v>Apprenant 269</v>
      </c>
      <c r="AG281" s="53" t="str">
        <f aca="false">IF(AND($W281&lt;&gt;"",$X281&lt;&gt;""),$X281-$W281,"")</f>
        <v/>
      </c>
      <c r="AH281" s="53" t="str">
        <f aca="false">IF(AND($W281&lt;&gt;"",$Y281&lt;&gt;""),$Y281-$W281,"")</f>
        <v/>
      </c>
      <c r="AI281" s="53" t="str">
        <f aca="false">IF(AND($X281&lt;&gt;"",$Y281&lt;&gt;""),$Y281-$X281,"")</f>
        <v/>
      </c>
      <c r="AJ281" s="53" t="str">
        <f aca="false">IF($E281&lt;&gt;"",$E281,"")</f>
        <v/>
      </c>
      <c r="AK281" s="52" t="str">
        <f aca="false">IF($F281&lt;&gt;"",$F281,"")</f>
        <v>Apprenant 269 ou 269'</v>
      </c>
      <c r="AL281" s="53" t="str">
        <f aca="false">IF(AND($AB281&lt;&gt;"",$AC281&lt;&gt;""),$AC281-$AB281,"")</f>
        <v/>
      </c>
      <c r="AM281" s="53" t="str">
        <f aca="false">IF(AND($AB281&lt;&gt;"",$AD281&lt;&gt;""),$AD281-$AB281,"")</f>
        <v/>
      </c>
      <c r="AN281" s="53" t="str">
        <f aca="false">IF(AND($AC281&lt;&gt;"",$AD281&lt;&gt;""),$AD281-$AC281,"")</f>
        <v/>
      </c>
      <c r="AO281" s="53" t="str">
        <f aca="false">IF($J281&lt;&gt;"",$J281,"")</f>
        <v/>
      </c>
      <c r="AQ281" s="52" t="str">
        <f aca="false">IF($A281&lt;&gt;"",$A281,"")</f>
        <v>Apprenant 269</v>
      </c>
      <c r="AR281" s="55" t="str">
        <f aca="false">IF(AND('Choix pédagogiques'!$C$4&lt;&gt;"?",'Choix pédagogiques'!$C$5&lt;&gt;"?",W281&lt;&gt;""),(W281-'Choix pédagogiques'!$C$4)/('Choix pédagogiques'!$C$5-'Choix pédagogiques'!$C$4),"")</f>
        <v/>
      </c>
      <c r="AS281" s="55" t="str">
        <f aca="false">IF(AND('Choix pédagogiques'!$C$4&lt;&gt;"?",'Choix pédagogiques'!$C$5&lt;&gt;"?",X281&lt;&gt;""),(X281-'Choix pédagogiques'!$C$4)/('Choix pédagogiques'!$C$5-'Choix pédagogiques'!$C$4),"")</f>
        <v/>
      </c>
      <c r="AT281" s="55" t="str">
        <f aca="false">IF(AND('Choix pédagogiques'!$C$4&lt;&gt;"?",'Choix pédagogiques'!$C$5&lt;&gt;"?",Y281&lt;&gt;""),(Y281-'Choix pédagogiques'!$C$4)/('Choix pédagogiques'!$C$5-'Choix pédagogiques'!$C$4),"")</f>
        <v/>
      </c>
      <c r="AU281" s="53" t="str">
        <f aca="false">IF($E281&lt;&gt;"",$E281,"")</f>
        <v/>
      </c>
      <c r="AV281" s="52" t="str">
        <f aca="false">IF($F281&lt;&gt;"",$F281,"")</f>
        <v>Apprenant 269 ou 269'</v>
      </c>
      <c r="AW281" s="55" t="str">
        <f aca="false">IF(AND('Choix pédagogiques'!$C$4&lt;&gt;"?",'Choix pédagogiques'!$C$5&lt;&gt;"?",AB281&lt;&gt;""),(AB281-'Choix pédagogiques'!$C$4)/('Choix pédagogiques'!$C$5-'Choix pédagogiques'!$C$4),"")</f>
        <v/>
      </c>
      <c r="AX281" s="55" t="str">
        <f aca="false">IF(AND('Choix pédagogiques'!$C$4&lt;&gt;"?",'Choix pédagogiques'!$C$5&lt;&gt;"?",AC281&lt;&gt;""),(AC281-'Choix pédagogiques'!$C$4)/('Choix pédagogiques'!$C$5-'Choix pédagogiques'!$C$4),"")</f>
        <v/>
      </c>
      <c r="AY281" s="55" t="str">
        <f aca="false">IF(AND('Choix pédagogiques'!$C$4&lt;&gt;"?",'Choix pédagogiques'!$C$5&lt;&gt;"?",AD281&lt;&gt;""),(AD281-'Choix pédagogiques'!$C$4)/('Choix pédagogiques'!$C$5-'Choix pédagogiques'!$C$4),"")</f>
        <v/>
      </c>
      <c r="AZ281" s="53" t="str">
        <f aca="false">IF($J281&lt;&gt;"",$J281,"")</f>
        <v/>
      </c>
      <c r="BA281" s="52" t="str">
        <f aca="false">IF($A281&lt;&gt;"",$A281,"")</f>
        <v>Apprenant 269</v>
      </c>
      <c r="BB281" s="55" t="str">
        <f aca="false">IF(AND($AR281&lt;&gt;"",$AS281&lt;&gt;""),$AS281-$AR281,"")</f>
        <v/>
      </c>
      <c r="BC281" s="55" t="str">
        <f aca="false">IF(AND($AR281&lt;&gt;"",$AT281&lt;&gt;""),$AT281-$AR281,"")</f>
        <v/>
      </c>
      <c r="BD281" s="55" t="str">
        <f aca="false">IF(AND($AS281&lt;&gt;"",$AT281&lt;&gt;""),$AT281-$AS281,"")</f>
        <v/>
      </c>
      <c r="BE281" s="53" t="str">
        <f aca="false">IF($E281&lt;&gt;"",$E281,"")</f>
        <v/>
      </c>
      <c r="BF281" s="52" t="str">
        <f aca="false">IF($F281&lt;&gt;"",$F281,"")</f>
        <v>Apprenant 269 ou 269'</v>
      </c>
      <c r="BG281" s="55" t="str">
        <f aca="false">IF(AND($AW281&lt;&gt;"",$AX281&lt;&gt;""),$AX281-$AW281,"")</f>
        <v/>
      </c>
      <c r="BH281" s="55" t="str">
        <f aca="false">IF(AND($AW281&lt;&gt;"",$AY281&lt;&gt;""),$AY281-$AW281,"")</f>
        <v/>
      </c>
      <c r="BI281" s="55" t="str">
        <f aca="false">IF(AND($AX281&lt;&gt;"",$AY281&lt;&gt;""),$AY281-$AX281,"")</f>
        <v/>
      </c>
      <c r="BJ281" s="53" t="str">
        <f aca="false">IF($J281&lt;&gt;"",$J281,"")</f>
        <v/>
      </c>
      <c r="BL281" s="52"/>
      <c r="BM281" s="52" t="str">
        <f aca="false">IF(OR(COUNT(B281:D1280)=0,AND('Choix pédagogiques'!$C$3&lt;&gt;1,'Choix pédagogiques'!$C$3&lt;&gt;2)),"",IF(AND(OR('Choix pédagogiques'!$C$3=1,'Choix pédagogiques'!$C$3=2),$B281&lt;&gt;"",$C281&lt;&gt;"",$D281&lt;&gt;""),1,0))</f>
        <v/>
      </c>
      <c r="BN281" s="52" t="str">
        <f aca="false">IF(OR(COUNT(G281:I1280)=0,AND('Choix pédagogiques'!$C$3&lt;&gt;1,'Choix pédagogiques'!$C$3&lt;&gt;2)),"",IF(AND(OR('Choix pédagogiques'!$C$3=1,'Choix pédagogiques'!$C$3=2),AND($G281&lt;&gt;"",$H281&lt;&gt;"",$I281&lt;&gt;"")),1,0))</f>
        <v/>
      </c>
      <c r="BO281" s="52" t="str">
        <f aca="false">IF(OR(COUNT(B281:D1280)=0,COUNT(G281:I1280)=0,'Choix pédagogiques'!C$3&lt;&gt;3),"",IF(AND('Choix pédagogiques'!$C$3=3,$B281&lt;&gt;"",$C281&lt;&gt;"",$D281&lt;&gt;"",$G281&lt;&gt;"",$H281&lt;&gt;"",$I281&lt;&gt;""),1,0))</f>
        <v/>
      </c>
      <c r="BR281" s="52" t="n">
        <v>364</v>
      </c>
      <c r="BS281" s="52" t="n">
        <v>1923</v>
      </c>
    </row>
    <row r="282" s="54" customFormat="true" ht="18" hidden="false" customHeight="true" outlineLevel="0" collapsed="false">
      <c r="A282" s="57" t="s">
        <v>495</v>
      </c>
      <c r="B282" s="51"/>
      <c r="C282" s="51"/>
      <c r="D282" s="51"/>
      <c r="E282" s="51"/>
      <c r="F282" s="57" t="s">
        <v>496</v>
      </c>
      <c r="G282" s="51"/>
      <c r="H282" s="51"/>
      <c r="I282" s="51"/>
      <c r="J282" s="51"/>
      <c r="K282" s="52" t="str">
        <f aca="false">IF($A282&lt;&gt;"",$A282,"")</f>
        <v>Apprenant 270</v>
      </c>
      <c r="L282" s="53" t="str">
        <f aca="false">IF(AND($B282&lt;&gt;"",$C282&lt;&gt;""),$C282-$B282,"")</f>
        <v/>
      </c>
      <c r="M282" s="53" t="str">
        <f aca="false">IF(AND($B282&lt;&gt;"",$D282&lt;&gt;""),$D282-$B282,"")</f>
        <v/>
      </c>
      <c r="N282" s="53" t="str">
        <f aca="false">IF(AND($C282&lt;&gt;"",$D282&lt;&gt;""),$D282-$C282,"")</f>
        <v/>
      </c>
      <c r="O282" s="53" t="str">
        <f aca="false">IF($E282&lt;&gt;"",$E282,"")</f>
        <v/>
      </c>
      <c r="P282" s="52" t="str">
        <f aca="false">IF($F282&lt;&gt;"",$F282,"")</f>
        <v>Apprenant 270 ou 270'</v>
      </c>
      <c r="Q282" s="53" t="str">
        <f aca="false">IF(AND($G282&lt;&gt;"",$H282&lt;&gt;""),$H282-$G282,"")</f>
        <v/>
      </c>
      <c r="R282" s="53" t="str">
        <f aca="false">IF(AND($G282&lt;&gt;"",$I282&lt;&gt;""),$I282-$G282,"")</f>
        <v/>
      </c>
      <c r="S282" s="53" t="str">
        <f aca="false">IF(AND($H282&lt;&gt;"",$I282&lt;&gt;""),$I282-$H282,"")</f>
        <v/>
      </c>
      <c r="T282" s="53" t="str">
        <f aca="false">IF($J282&lt;&gt;"",$J282,"")</f>
        <v/>
      </c>
      <c r="V282" s="52" t="str">
        <f aca="false">IF($A282&lt;&gt;"",$A282,"")</f>
        <v>Apprenant 270</v>
      </c>
      <c r="W282" s="53" t="str">
        <f aca="false">IF(AND(OR('Choix pédagogiques'!$C$3=1,'Choix pédagogiques'!$C$3=2),$BM282=1),B282,IF(AND('Choix pédagogiques'!$C$3=3,$BO282=1),B282,""))</f>
        <v/>
      </c>
      <c r="X282" s="53" t="str">
        <f aca="false">IF(AND(OR('Choix pédagogiques'!$C$3=1,'Choix pédagogiques'!$C$3=2),$BM282=1),C282,IF(AND('Choix pédagogiques'!$C$3=3,$BO282=1),C282,""))</f>
        <v/>
      </c>
      <c r="Y282" s="53" t="str">
        <f aca="false">IF(AND(OR('Choix pédagogiques'!$C$3=1,'Choix pédagogiques'!$C$3=2),$BM282=1),D282,IF(AND('Choix pédagogiques'!$C$3=3,$BO282=1),D282,""))</f>
        <v/>
      </c>
      <c r="Z282" s="53" t="str">
        <f aca="false">IF($E282&lt;&gt;"",$E282,"")</f>
        <v/>
      </c>
      <c r="AA282" s="52" t="str">
        <f aca="false">IF($F282&lt;&gt;"",$F282,"")</f>
        <v>Apprenant 270 ou 270'</v>
      </c>
      <c r="AB282" s="53" t="str">
        <f aca="false">IF(AND(OR('Choix pédagogiques'!$C$3=1,'Choix pédagogiques'!$C$3=2),$BN282=1),G282,IF(AND('Choix pédagogiques'!$C$3=3,$BO282=1),G282,""))</f>
        <v/>
      </c>
      <c r="AC282" s="53" t="str">
        <f aca="false">IF(AND(OR('Choix pédagogiques'!$C$3=1,'Choix pédagogiques'!$C$3=2),$BN282=1),H282,IF(AND('Choix pédagogiques'!$C$3=3,$BO282=1),H282,""))</f>
        <v/>
      </c>
      <c r="AD282" s="53" t="str">
        <f aca="false">IF(AND(OR('Choix pédagogiques'!$C$3=1,'Choix pédagogiques'!$C$3=2),$BN282=1),I282,IF(AND('Choix pédagogiques'!$C$3=3,$BO282=1),I282,""))</f>
        <v/>
      </c>
      <c r="AE282" s="53" t="str">
        <f aca="false">IF($J282&lt;&gt;"",$J282,"")</f>
        <v/>
      </c>
      <c r="AF282" s="52" t="str">
        <f aca="false">IF($A282&lt;&gt;"",$A282,"")</f>
        <v>Apprenant 270</v>
      </c>
      <c r="AG282" s="53" t="str">
        <f aca="false">IF(AND($W282&lt;&gt;"",$X282&lt;&gt;""),$X282-$W282,"")</f>
        <v/>
      </c>
      <c r="AH282" s="53" t="str">
        <f aca="false">IF(AND($W282&lt;&gt;"",$Y282&lt;&gt;""),$Y282-$W282,"")</f>
        <v/>
      </c>
      <c r="AI282" s="53" t="str">
        <f aca="false">IF(AND($X282&lt;&gt;"",$Y282&lt;&gt;""),$Y282-$X282,"")</f>
        <v/>
      </c>
      <c r="AJ282" s="53" t="str">
        <f aca="false">IF($E282&lt;&gt;"",$E282,"")</f>
        <v/>
      </c>
      <c r="AK282" s="52" t="str">
        <f aca="false">IF($F282&lt;&gt;"",$F282,"")</f>
        <v>Apprenant 270 ou 270'</v>
      </c>
      <c r="AL282" s="53" t="str">
        <f aca="false">IF(AND($AB282&lt;&gt;"",$AC282&lt;&gt;""),$AC282-$AB282,"")</f>
        <v/>
      </c>
      <c r="AM282" s="53" t="str">
        <f aca="false">IF(AND($AB282&lt;&gt;"",$AD282&lt;&gt;""),$AD282-$AB282,"")</f>
        <v/>
      </c>
      <c r="AN282" s="53" t="str">
        <f aca="false">IF(AND($AC282&lt;&gt;"",$AD282&lt;&gt;""),$AD282-$AC282,"")</f>
        <v/>
      </c>
      <c r="AO282" s="53" t="str">
        <f aca="false">IF($J282&lt;&gt;"",$J282,"")</f>
        <v/>
      </c>
      <c r="AQ282" s="52" t="str">
        <f aca="false">IF($A282&lt;&gt;"",$A282,"")</f>
        <v>Apprenant 270</v>
      </c>
      <c r="AR282" s="55" t="str">
        <f aca="false">IF(AND('Choix pédagogiques'!$C$4&lt;&gt;"?",'Choix pédagogiques'!$C$5&lt;&gt;"?",W282&lt;&gt;""),(W282-'Choix pédagogiques'!$C$4)/('Choix pédagogiques'!$C$5-'Choix pédagogiques'!$C$4),"")</f>
        <v/>
      </c>
      <c r="AS282" s="55" t="str">
        <f aca="false">IF(AND('Choix pédagogiques'!$C$4&lt;&gt;"?",'Choix pédagogiques'!$C$5&lt;&gt;"?",X282&lt;&gt;""),(X282-'Choix pédagogiques'!$C$4)/('Choix pédagogiques'!$C$5-'Choix pédagogiques'!$C$4),"")</f>
        <v/>
      </c>
      <c r="AT282" s="55" t="str">
        <f aca="false">IF(AND('Choix pédagogiques'!$C$4&lt;&gt;"?",'Choix pédagogiques'!$C$5&lt;&gt;"?",Y282&lt;&gt;""),(Y282-'Choix pédagogiques'!$C$4)/('Choix pédagogiques'!$C$5-'Choix pédagogiques'!$C$4),"")</f>
        <v/>
      </c>
      <c r="AU282" s="53" t="str">
        <f aca="false">IF($E282&lt;&gt;"",$E282,"")</f>
        <v/>
      </c>
      <c r="AV282" s="52" t="str">
        <f aca="false">IF($F282&lt;&gt;"",$F282,"")</f>
        <v>Apprenant 270 ou 270'</v>
      </c>
      <c r="AW282" s="55" t="str">
        <f aca="false">IF(AND('Choix pédagogiques'!$C$4&lt;&gt;"?",'Choix pédagogiques'!$C$5&lt;&gt;"?",AB282&lt;&gt;""),(AB282-'Choix pédagogiques'!$C$4)/('Choix pédagogiques'!$C$5-'Choix pédagogiques'!$C$4),"")</f>
        <v/>
      </c>
      <c r="AX282" s="55" t="str">
        <f aca="false">IF(AND('Choix pédagogiques'!$C$4&lt;&gt;"?",'Choix pédagogiques'!$C$5&lt;&gt;"?",AC282&lt;&gt;""),(AC282-'Choix pédagogiques'!$C$4)/('Choix pédagogiques'!$C$5-'Choix pédagogiques'!$C$4),"")</f>
        <v/>
      </c>
      <c r="AY282" s="55" t="str">
        <f aca="false">IF(AND('Choix pédagogiques'!$C$4&lt;&gt;"?",'Choix pédagogiques'!$C$5&lt;&gt;"?",AD282&lt;&gt;""),(AD282-'Choix pédagogiques'!$C$4)/('Choix pédagogiques'!$C$5-'Choix pédagogiques'!$C$4),"")</f>
        <v/>
      </c>
      <c r="AZ282" s="53" t="str">
        <f aca="false">IF($J282&lt;&gt;"",$J282,"")</f>
        <v/>
      </c>
      <c r="BA282" s="52" t="str">
        <f aca="false">IF($A282&lt;&gt;"",$A282,"")</f>
        <v>Apprenant 270</v>
      </c>
      <c r="BB282" s="55" t="str">
        <f aca="false">IF(AND($AR282&lt;&gt;"",$AS282&lt;&gt;""),$AS282-$AR282,"")</f>
        <v/>
      </c>
      <c r="BC282" s="55" t="str">
        <f aca="false">IF(AND($AR282&lt;&gt;"",$AT282&lt;&gt;""),$AT282-$AR282,"")</f>
        <v/>
      </c>
      <c r="BD282" s="55" t="str">
        <f aca="false">IF(AND($AS282&lt;&gt;"",$AT282&lt;&gt;""),$AT282-$AS282,"")</f>
        <v/>
      </c>
      <c r="BE282" s="53" t="str">
        <f aca="false">IF($E282&lt;&gt;"",$E282,"")</f>
        <v/>
      </c>
      <c r="BF282" s="52" t="str">
        <f aca="false">IF($F282&lt;&gt;"",$F282,"")</f>
        <v>Apprenant 270 ou 270'</v>
      </c>
      <c r="BG282" s="55" t="str">
        <f aca="false">IF(AND($AW282&lt;&gt;"",$AX282&lt;&gt;""),$AX282-$AW282,"")</f>
        <v/>
      </c>
      <c r="BH282" s="55" t="str">
        <f aca="false">IF(AND($AW282&lt;&gt;"",$AY282&lt;&gt;""),$AY282-$AW282,"")</f>
        <v/>
      </c>
      <c r="BI282" s="55" t="str">
        <f aca="false">IF(AND($AX282&lt;&gt;"",$AY282&lt;&gt;""),$AY282-$AX282,"")</f>
        <v/>
      </c>
      <c r="BJ282" s="53" t="str">
        <f aca="false">IF($J282&lt;&gt;"",$J282,"")</f>
        <v/>
      </c>
      <c r="BL282" s="52"/>
      <c r="BM282" s="52" t="str">
        <f aca="false">IF(OR(COUNT(B282:D1281)=0,AND('Choix pédagogiques'!$C$3&lt;&gt;1,'Choix pédagogiques'!$C$3&lt;&gt;2)),"",IF(AND(OR('Choix pédagogiques'!$C$3=1,'Choix pédagogiques'!$C$3=2),$B282&lt;&gt;"",$C282&lt;&gt;"",$D282&lt;&gt;""),1,0))</f>
        <v/>
      </c>
      <c r="BN282" s="52" t="str">
        <f aca="false">IF(OR(COUNT(G282:I1281)=0,AND('Choix pédagogiques'!$C$3&lt;&gt;1,'Choix pédagogiques'!$C$3&lt;&gt;2)),"",IF(AND(OR('Choix pédagogiques'!$C$3=1,'Choix pédagogiques'!$C$3=2),AND($G282&lt;&gt;"",$H282&lt;&gt;"",$I282&lt;&gt;"")),1,0))</f>
        <v/>
      </c>
      <c r="BO282" s="52" t="str">
        <f aca="false">IF(OR(COUNT(B282:D1281)=0,COUNT(G282:I1281)=0,'Choix pédagogiques'!C$3&lt;&gt;3),"",IF(AND('Choix pédagogiques'!$C$3=3,$B282&lt;&gt;"",$C282&lt;&gt;"",$D282&lt;&gt;"",$G282&lt;&gt;"",$H282&lt;&gt;"",$I282&lt;&gt;""),1,0))</f>
        <v/>
      </c>
      <c r="BR282" s="52" t="n">
        <v>434</v>
      </c>
      <c r="BS282" s="52" t="n">
        <v>1505</v>
      </c>
    </row>
    <row r="283" s="54" customFormat="true" ht="18" hidden="false" customHeight="true" outlineLevel="0" collapsed="false">
      <c r="A283" s="57" t="s">
        <v>497</v>
      </c>
      <c r="B283" s="51"/>
      <c r="C283" s="51"/>
      <c r="D283" s="51"/>
      <c r="E283" s="51"/>
      <c r="F283" s="57" t="s">
        <v>498</v>
      </c>
      <c r="G283" s="51"/>
      <c r="H283" s="51"/>
      <c r="I283" s="51"/>
      <c r="J283" s="51"/>
      <c r="K283" s="52" t="str">
        <f aca="false">IF($A283&lt;&gt;"",$A283,"")</f>
        <v>Apprenant 271</v>
      </c>
      <c r="L283" s="53" t="str">
        <f aca="false">IF(AND($B283&lt;&gt;"",$C283&lt;&gt;""),$C283-$B283,"")</f>
        <v/>
      </c>
      <c r="M283" s="53" t="str">
        <f aca="false">IF(AND($B283&lt;&gt;"",$D283&lt;&gt;""),$D283-$B283,"")</f>
        <v/>
      </c>
      <c r="N283" s="53" t="str">
        <f aca="false">IF(AND($C283&lt;&gt;"",$D283&lt;&gt;""),$D283-$C283,"")</f>
        <v/>
      </c>
      <c r="O283" s="53" t="str">
        <f aca="false">IF($E283&lt;&gt;"",$E283,"")</f>
        <v/>
      </c>
      <c r="P283" s="52" t="str">
        <f aca="false">IF($F283&lt;&gt;"",$F283,"")</f>
        <v>Apprenant 271 ou 271'</v>
      </c>
      <c r="Q283" s="53" t="str">
        <f aca="false">IF(AND($G283&lt;&gt;"",$H283&lt;&gt;""),$H283-$G283,"")</f>
        <v/>
      </c>
      <c r="R283" s="53" t="str">
        <f aca="false">IF(AND($G283&lt;&gt;"",$I283&lt;&gt;""),$I283-$G283,"")</f>
        <v/>
      </c>
      <c r="S283" s="53" t="str">
        <f aca="false">IF(AND($H283&lt;&gt;"",$I283&lt;&gt;""),$I283-$H283,"")</f>
        <v/>
      </c>
      <c r="T283" s="53" t="str">
        <f aca="false">IF($J283&lt;&gt;"",$J283,"")</f>
        <v/>
      </c>
      <c r="V283" s="52" t="str">
        <f aca="false">IF($A283&lt;&gt;"",$A283,"")</f>
        <v>Apprenant 271</v>
      </c>
      <c r="W283" s="53" t="str">
        <f aca="false">IF(AND(OR('Choix pédagogiques'!$C$3=1,'Choix pédagogiques'!$C$3=2),$BM283=1),B283,IF(AND('Choix pédagogiques'!$C$3=3,$BO283=1),B283,""))</f>
        <v/>
      </c>
      <c r="X283" s="53" t="str">
        <f aca="false">IF(AND(OR('Choix pédagogiques'!$C$3=1,'Choix pédagogiques'!$C$3=2),$BM283=1),C283,IF(AND('Choix pédagogiques'!$C$3=3,$BO283=1),C283,""))</f>
        <v/>
      </c>
      <c r="Y283" s="53" t="str">
        <f aca="false">IF(AND(OR('Choix pédagogiques'!$C$3=1,'Choix pédagogiques'!$C$3=2),$BM283=1),D283,IF(AND('Choix pédagogiques'!$C$3=3,$BO283=1),D283,""))</f>
        <v/>
      </c>
      <c r="Z283" s="53" t="str">
        <f aca="false">IF($E283&lt;&gt;"",$E283,"")</f>
        <v/>
      </c>
      <c r="AA283" s="52" t="str">
        <f aca="false">IF($F283&lt;&gt;"",$F283,"")</f>
        <v>Apprenant 271 ou 271'</v>
      </c>
      <c r="AB283" s="53" t="str">
        <f aca="false">IF(AND(OR('Choix pédagogiques'!$C$3=1,'Choix pédagogiques'!$C$3=2),$BN283=1),G283,IF(AND('Choix pédagogiques'!$C$3=3,$BO283=1),G283,""))</f>
        <v/>
      </c>
      <c r="AC283" s="53" t="str">
        <f aca="false">IF(AND(OR('Choix pédagogiques'!$C$3=1,'Choix pédagogiques'!$C$3=2),$BN283=1),H283,IF(AND('Choix pédagogiques'!$C$3=3,$BO283=1),H283,""))</f>
        <v/>
      </c>
      <c r="AD283" s="53" t="str">
        <f aca="false">IF(AND(OR('Choix pédagogiques'!$C$3=1,'Choix pédagogiques'!$C$3=2),$BN283=1),I283,IF(AND('Choix pédagogiques'!$C$3=3,$BO283=1),I283,""))</f>
        <v/>
      </c>
      <c r="AE283" s="53" t="str">
        <f aca="false">IF($J283&lt;&gt;"",$J283,"")</f>
        <v/>
      </c>
      <c r="AF283" s="52" t="str">
        <f aca="false">IF($A283&lt;&gt;"",$A283,"")</f>
        <v>Apprenant 271</v>
      </c>
      <c r="AG283" s="53" t="str">
        <f aca="false">IF(AND($W283&lt;&gt;"",$X283&lt;&gt;""),$X283-$W283,"")</f>
        <v/>
      </c>
      <c r="AH283" s="53" t="str">
        <f aca="false">IF(AND($W283&lt;&gt;"",$Y283&lt;&gt;""),$Y283-$W283,"")</f>
        <v/>
      </c>
      <c r="AI283" s="53" t="str">
        <f aca="false">IF(AND($X283&lt;&gt;"",$Y283&lt;&gt;""),$Y283-$X283,"")</f>
        <v/>
      </c>
      <c r="AJ283" s="53" t="str">
        <f aca="false">IF($E283&lt;&gt;"",$E283,"")</f>
        <v/>
      </c>
      <c r="AK283" s="52" t="str">
        <f aca="false">IF($F283&lt;&gt;"",$F283,"")</f>
        <v>Apprenant 271 ou 271'</v>
      </c>
      <c r="AL283" s="53" t="str">
        <f aca="false">IF(AND($AB283&lt;&gt;"",$AC283&lt;&gt;""),$AC283-$AB283,"")</f>
        <v/>
      </c>
      <c r="AM283" s="53" t="str">
        <f aca="false">IF(AND($AB283&lt;&gt;"",$AD283&lt;&gt;""),$AD283-$AB283,"")</f>
        <v/>
      </c>
      <c r="AN283" s="53" t="str">
        <f aca="false">IF(AND($AC283&lt;&gt;"",$AD283&lt;&gt;""),$AD283-$AC283,"")</f>
        <v/>
      </c>
      <c r="AO283" s="53" t="str">
        <f aca="false">IF($J283&lt;&gt;"",$J283,"")</f>
        <v/>
      </c>
      <c r="AQ283" s="52" t="str">
        <f aca="false">IF($A283&lt;&gt;"",$A283,"")</f>
        <v>Apprenant 271</v>
      </c>
      <c r="AR283" s="55" t="str">
        <f aca="false">IF(AND('Choix pédagogiques'!$C$4&lt;&gt;"?",'Choix pédagogiques'!$C$5&lt;&gt;"?",W283&lt;&gt;""),(W283-'Choix pédagogiques'!$C$4)/('Choix pédagogiques'!$C$5-'Choix pédagogiques'!$C$4),"")</f>
        <v/>
      </c>
      <c r="AS283" s="55" t="str">
        <f aca="false">IF(AND('Choix pédagogiques'!$C$4&lt;&gt;"?",'Choix pédagogiques'!$C$5&lt;&gt;"?",X283&lt;&gt;""),(X283-'Choix pédagogiques'!$C$4)/('Choix pédagogiques'!$C$5-'Choix pédagogiques'!$C$4),"")</f>
        <v/>
      </c>
      <c r="AT283" s="55" t="str">
        <f aca="false">IF(AND('Choix pédagogiques'!$C$4&lt;&gt;"?",'Choix pédagogiques'!$C$5&lt;&gt;"?",Y283&lt;&gt;""),(Y283-'Choix pédagogiques'!$C$4)/('Choix pédagogiques'!$C$5-'Choix pédagogiques'!$C$4),"")</f>
        <v/>
      </c>
      <c r="AU283" s="53" t="str">
        <f aca="false">IF($E283&lt;&gt;"",$E283,"")</f>
        <v/>
      </c>
      <c r="AV283" s="52" t="str">
        <f aca="false">IF($F283&lt;&gt;"",$F283,"")</f>
        <v>Apprenant 271 ou 271'</v>
      </c>
      <c r="AW283" s="55" t="str">
        <f aca="false">IF(AND('Choix pédagogiques'!$C$4&lt;&gt;"?",'Choix pédagogiques'!$C$5&lt;&gt;"?",AB283&lt;&gt;""),(AB283-'Choix pédagogiques'!$C$4)/('Choix pédagogiques'!$C$5-'Choix pédagogiques'!$C$4),"")</f>
        <v/>
      </c>
      <c r="AX283" s="55" t="str">
        <f aca="false">IF(AND('Choix pédagogiques'!$C$4&lt;&gt;"?",'Choix pédagogiques'!$C$5&lt;&gt;"?",AC283&lt;&gt;""),(AC283-'Choix pédagogiques'!$C$4)/('Choix pédagogiques'!$C$5-'Choix pédagogiques'!$C$4),"")</f>
        <v/>
      </c>
      <c r="AY283" s="55" t="str">
        <f aca="false">IF(AND('Choix pédagogiques'!$C$4&lt;&gt;"?",'Choix pédagogiques'!$C$5&lt;&gt;"?",AD283&lt;&gt;""),(AD283-'Choix pédagogiques'!$C$4)/('Choix pédagogiques'!$C$5-'Choix pédagogiques'!$C$4),"")</f>
        <v/>
      </c>
      <c r="AZ283" s="53" t="str">
        <f aca="false">IF($J283&lt;&gt;"",$J283,"")</f>
        <v/>
      </c>
      <c r="BA283" s="52" t="str">
        <f aca="false">IF($A283&lt;&gt;"",$A283,"")</f>
        <v>Apprenant 271</v>
      </c>
      <c r="BB283" s="55" t="str">
        <f aca="false">IF(AND($AR283&lt;&gt;"",$AS283&lt;&gt;""),$AS283-$AR283,"")</f>
        <v/>
      </c>
      <c r="BC283" s="55" t="str">
        <f aca="false">IF(AND($AR283&lt;&gt;"",$AT283&lt;&gt;""),$AT283-$AR283,"")</f>
        <v/>
      </c>
      <c r="BD283" s="55" t="str">
        <f aca="false">IF(AND($AS283&lt;&gt;"",$AT283&lt;&gt;""),$AT283-$AS283,"")</f>
        <v/>
      </c>
      <c r="BE283" s="53" t="str">
        <f aca="false">IF($E283&lt;&gt;"",$E283,"")</f>
        <v/>
      </c>
      <c r="BF283" s="52" t="str">
        <f aca="false">IF($F283&lt;&gt;"",$F283,"")</f>
        <v>Apprenant 271 ou 271'</v>
      </c>
      <c r="BG283" s="55" t="str">
        <f aca="false">IF(AND($AW283&lt;&gt;"",$AX283&lt;&gt;""),$AX283-$AW283,"")</f>
        <v/>
      </c>
      <c r="BH283" s="55" t="str">
        <f aca="false">IF(AND($AW283&lt;&gt;"",$AY283&lt;&gt;""),$AY283-$AW283,"")</f>
        <v/>
      </c>
      <c r="BI283" s="55" t="str">
        <f aca="false">IF(AND($AX283&lt;&gt;"",$AY283&lt;&gt;""),$AY283-$AX283,"")</f>
        <v/>
      </c>
      <c r="BJ283" s="53" t="str">
        <f aca="false">IF($J283&lt;&gt;"",$J283,"")</f>
        <v/>
      </c>
      <c r="BL283" s="52"/>
      <c r="BM283" s="52" t="str">
        <f aca="false">IF(OR(COUNT(B283:D1282)=0,AND('Choix pédagogiques'!$C$3&lt;&gt;1,'Choix pédagogiques'!$C$3&lt;&gt;2)),"",IF(AND(OR('Choix pédagogiques'!$C$3=1,'Choix pédagogiques'!$C$3=2),$B283&lt;&gt;"",$C283&lt;&gt;"",$D283&lt;&gt;""),1,0))</f>
        <v/>
      </c>
      <c r="BN283" s="52" t="str">
        <f aca="false">IF(OR(COUNT(G283:I1282)=0,AND('Choix pédagogiques'!$C$3&lt;&gt;1,'Choix pédagogiques'!$C$3&lt;&gt;2)),"",IF(AND(OR('Choix pédagogiques'!$C$3=1,'Choix pédagogiques'!$C$3=2),AND($G283&lt;&gt;"",$H283&lt;&gt;"",$I283&lt;&gt;"")),1,0))</f>
        <v/>
      </c>
      <c r="BO283" s="52" t="str">
        <f aca="false">IF(OR(COUNT(B283:D1282)=0,COUNT(G283:I1282)=0,'Choix pédagogiques'!C$3&lt;&gt;3),"",IF(AND('Choix pédagogiques'!$C$3=3,$B283&lt;&gt;"",$C283&lt;&gt;"",$D283&lt;&gt;"",$G283&lt;&gt;"",$H283&lt;&gt;"",$I283&lt;&gt;""),1,0))</f>
        <v/>
      </c>
      <c r="BR283" s="52" t="n">
        <v>383</v>
      </c>
      <c r="BS283" s="52" t="n">
        <v>1617</v>
      </c>
    </row>
    <row r="284" s="54" customFormat="true" ht="18" hidden="false" customHeight="true" outlineLevel="0" collapsed="false">
      <c r="A284" s="57" t="s">
        <v>499</v>
      </c>
      <c r="B284" s="51"/>
      <c r="C284" s="51"/>
      <c r="D284" s="51"/>
      <c r="E284" s="51"/>
      <c r="F284" s="57" t="s">
        <v>500</v>
      </c>
      <c r="G284" s="51"/>
      <c r="H284" s="51"/>
      <c r="I284" s="51"/>
      <c r="J284" s="51"/>
      <c r="K284" s="52" t="str">
        <f aca="false">IF($A284&lt;&gt;"",$A284,"")</f>
        <v>Apprenant 272</v>
      </c>
      <c r="L284" s="53" t="str">
        <f aca="false">IF(AND($B284&lt;&gt;"",$C284&lt;&gt;""),$C284-$B284,"")</f>
        <v/>
      </c>
      <c r="M284" s="53" t="str">
        <f aca="false">IF(AND($B284&lt;&gt;"",$D284&lt;&gt;""),$D284-$B284,"")</f>
        <v/>
      </c>
      <c r="N284" s="53" t="str">
        <f aca="false">IF(AND($C284&lt;&gt;"",$D284&lt;&gt;""),$D284-$C284,"")</f>
        <v/>
      </c>
      <c r="O284" s="53" t="str">
        <f aca="false">IF($E284&lt;&gt;"",$E284,"")</f>
        <v/>
      </c>
      <c r="P284" s="52" t="str">
        <f aca="false">IF($F284&lt;&gt;"",$F284,"")</f>
        <v>Apprenant 272 ou 272'</v>
      </c>
      <c r="Q284" s="53" t="str">
        <f aca="false">IF(AND($G284&lt;&gt;"",$H284&lt;&gt;""),$H284-$G284,"")</f>
        <v/>
      </c>
      <c r="R284" s="53" t="str">
        <f aca="false">IF(AND($G284&lt;&gt;"",$I284&lt;&gt;""),$I284-$G284,"")</f>
        <v/>
      </c>
      <c r="S284" s="53" t="str">
        <f aca="false">IF(AND($H284&lt;&gt;"",$I284&lt;&gt;""),$I284-$H284,"")</f>
        <v/>
      </c>
      <c r="T284" s="53" t="str">
        <f aca="false">IF($J284&lt;&gt;"",$J284,"")</f>
        <v/>
      </c>
      <c r="V284" s="52" t="str">
        <f aca="false">IF($A284&lt;&gt;"",$A284,"")</f>
        <v>Apprenant 272</v>
      </c>
      <c r="W284" s="53" t="str">
        <f aca="false">IF(AND(OR('Choix pédagogiques'!$C$3=1,'Choix pédagogiques'!$C$3=2),$BM284=1),B284,IF(AND('Choix pédagogiques'!$C$3=3,$BO284=1),B284,""))</f>
        <v/>
      </c>
      <c r="X284" s="53" t="str">
        <f aca="false">IF(AND(OR('Choix pédagogiques'!$C$3=1,'Choix pédagogiques'!$C$3=2),$BM284=1),C284,IF(AND('Choix pédagogiques'!$C$3=3,$BO284=1),C284,""))</f>
        <v/>
      </c>
      <c r="Y284" s="53" t="str">
        <f aca="false">IF(AND(OR('Choix pédagogiques'!$C$3=1,'Choix pédagogiques'!$C$3=2),$BM284=1),D284,IF(AND('Choix pédagogiques'!$C$3=3,$BO284=1),D284,""))</f>
        <v/>
      </c>
      <c r="Z284" s="53" t="str">
        <f aca="false">IF($E284&lt;&gt;"",$E284,"")</f>
        <v/>
      </c>
      <c r="AA284" s="52" t="str">
        <f aca="false">IF($F284&lt;&gt;"",$F284,"")</f>
        <v>Apprenant 272 ou 272'</v>
      </c>
      <c r="AB284" s="53" t="str">
        <f aca="false">IF(AND(OR('Choix pédagogiques'!$C$3=1,'Choix pédagogiques'!$C$3=2),$BN284=1),G284,IF(AND('Choix pédagogiques'!$C$3=3,$BO284=1),G284,""))</f>
        <v/>
      </c>
      <c r="AC284" s="53" t="str">
        <f aca="false">IF(AND(OR('Choix pédagogiques'!$C$3=1,'Choix pédagogiques'!$C$3=2),$BN284=1),H284,IF(AND('Choix pédagogiques'!$C$3=3,$BO284=1),H284,""))</f>
        <v/>
      </c>
      <c r="AD284" s="53" t="str">
        <f aca="false">IF(AND(OR('Choix pédagogiques'!$C$3=1,'Choix pédagogiques'!$C$3=2),$BN284=1),I284,IF(AND('Choix pédagogiques'!$C$3=3,$BO284=1),I284,""))</f>
        <v/>
      </c>
      <c r="AE284" s="53" t="str">
        <f aca="false">IF($J284&lt;&gt;"",$J284,"")</f>
        <v/>
      </c>
      <c r="AF284" s="52" t="str">
        <f aca="false">IF($A284&lt;&gt;"",$A284,"")</f>
        <v>Apprenant 272</v>
      </c>
      <c r="AG284" s="53" t="str">
        <f aca="false">IF(AND($W284&lt;&gt;"",$X284&lt;&gt;""),$X284-$W284,"")</f>
        <v/>
      </c>
      <c r="AH284" s="53" t="str">
        <f aca="false">IF(AND($W284&lt;&gt;"",$Y284&lt;&gt;""),$Y284-$W284,"")</f>
        <v/>
      </c>
      <c r="AI284" s="53" t="str">
        <f aca="false">IF(AND($X284&lt;&gt;"",$Y284&lt;&gt;""),$Y284-$X284,"")</f>
        <v/>
      </c>
      <c r="AJ284" s="53" t="str">
        <f aca="false">IF($E284&lt;&gt;"",$E284,"")</f>
        <v/>
      </c>
      <c r="AK284" s="52" t="str">
        <f aca="false">IF($F284&lt;&gt;"",$F284,"")</f>
        <v>Apprenant 272 ou 272'</v>
      </c>
      <c r="AL284" s="53" t="str">
        <f aca="false">IF(AND($AB284&lt;&gt;"",$AC284&lt;&gt;""),$AC284-$AB284,"")</f>
        <v/>
      </c>
      <c r="AM284" s="53" t="str">
        <f aca="false">IF(AND($AB284&lt;&gt;"",$AD284&lt;&gt;""),$AD284-$AB284,"")</f>
        <v/>
      </c>
      <c r="AN284" s="53" t="str">
        <f aca="false">IF(AND($AC284&lt;&gt;"",$AD284&lt;&gt;""),$AD284-$AC284,"")</f>
        <v/>
      </c>
      <c r="AO284" s="53" t="str">
        <f aca="false">IF($J284&lt;&gt;"",$J284,"")</f>
        <v/>
      </c>
      <c r="AQ284" s="52" t="str">
        <f aca="false">IF($A284&lt;&gt;"",$A284,"")</f>
        <v>Apprenant 272</v>
      </c>
      <c r="AR284" s="55" t="str">
        <f aca="false">IF(AND('Choix pédagogiques'!$C$4&lt;&gt;"?",'Choix pédagogiques'!$C$5&lt;&gt;"?",W284&lt;&gt;""),(W284-'Choix pédagogiques'!$C$4)/('Choix pédagogiques'!$C$5-'Choix pédagogiques'!$C$4),"")</f>
        <v/>
      </c>
      <c r="AS284" s="55" t="str">
        <f aca="false">IF(AND('Choix pédagogiques'!$C$4&lt;&gt;"?",'Choix pédagogiques'!$C$5&lt;&gt;"?",X284&lt;&gt;""),(X284-'Choix pédagogiques'!$C$4)/('Choix pédagogiques'!$C$5-'Choix pédagogiques'!$C$4),"")</f>
        <v/>
      </c>
      <c r="AT284" s="55" t="str">
        <f aca="false">IF(AND('Choix pédagogiques'!$C$4&lt;&gt;"?",'Choix pédagogiques'!$C$5&lt;&gt;"?",Y284&lt;&gt;""),(Y284-'Choix pédagogiques'!$C$4)/('Choix pédagogiques'!$C$5-'Choix pédagogiques'!$C$4),"")</f>
        <v/>
      </c>
      <c r="AU284" s="53" t="str">
        <f aca="false">IF($E284&lt;&gt;"",$E284,"")</f>
        <v/>
      </c>
      <c r="AV284" s="52" t="str">
        <f aca="false">IF($F284&lt;&gt;"",$F284,"")</f>
        <v>Apprenant 272 ou 272'</v>
      </c>
      <c r="AW284" s="55" t="str">
        <f aca="false">IF(AND('Choix pédagogiques'!$C$4&lt;&gt;"?",'Choix pédagogiques'!$C$5&lt;&gt;"?",AB284&lt;&gt;""),(AB284-'Choix pédagogiques'!$C$4)/('Choix pédagogiques'!$C$5-'Choix pédagogiques'!$C$4),"")</f>
        <v/>
      </c>
      <c r="AX284" s="55" t="str">
        <f aca="false">IF(AND('Choix pédagogiques'!$C$4&lt;&gt;"?",'Choix pédagogiques'!$C$5&lt;&gt;"?",AC284&lt;&gt;""),(AC284-'Choix pédagogiques'!$C$4)/('Choix pédagogiques'!$C$5-'Choix pédagogiques'!$C$4),"")</f>
        <v/>
      </c>
      <c r="AY284" s="55" t="str">
        <f aca="false">IF(AND('Choix pédagogiques'!$C$4&lt;&gt;"?",'Choix pédagogiques'!$C$5&lt;&gt;"?",AD284&lt;&gt;""),(AD284-'Choix pédagogiques'!$C$4)/('Choix pédagogiques'!$C$5-'Choix pédagogiques'!$C$4),"")</f>
        <v/>
      </c>
      <c r="AZ284" s="53" t="str">
        <f aca="false">IF($J284&lt;&gt;"",$J284,"")</f>
        <v/>
      </c>
      <c r="BA284" s="52" t="str">
        <f aca="false">IF($A284&lt;&gt;"",$A284,"")</f>
        <v>Apprenant 272</v>
      </c>
      <c r="BB284" s="55" t="str">
        <f aca="false">IF(AND($AR284&lt;&gt;"",$AS284&lt;&gt;""),$AS284-$AR284,"")</f>
        <v/>
      </c>
      <c r="BC284" s="55" t="str">
        <f aca="false">IF(AND($AR284&lt;&gt;"",$AT284&lt;&gt;""),$AT284-$AR284,"")</f>
        <v/>
      </c>
      <c r="BD284" s="55" t="str">
        <f aca="false">IF(AND($AS284&lt;&gt;"",$AT284&lt;&gt;""),$AT284-$AS284,"")</f>
        <v/>
      </c>
      <c r="BE284" s="53" t="str">
        <f aca="false">IF($E284&lt;&gt;"",$E284,"")</f>
        <v/>
      </c>
      <c r="BF284" s="52" t="str">
        <f aca="false">IF($F284&lt;&gt;"",$F284,"")</f>
        <v>Apprenant 272 ou 272'</v>
      </c>
      <c r="BG284" s="55" t="str">
        <f aca="false">IF(AND($AW284&lt;&gt;"",$AX284&lt;&gt;""),$AX284-$AW284,"")</f>
        <v/>
      </c>
      <c r="BH284" s="55" t="str">
        <f aca="false">IF(AND($AW284&lt;&gt;"",$AY284&lt;&gt;""),$AY284-$AW284,"")</f>
        <v/>
      </c>
      <c r="BI284" s="55" t="str">
        <f aca="false">IF(AND($AX284&lt;&gt;"",$AY284&lt;&gt;""),$AY284-$AX284,"")</f>
        <v/>
      </c>
      <c r="BJ284" s="53" t="str">
        <f aca="false">IF($J284&lt;&gt;"",$J284,"")</f>
        <v/>
      </c>
      <c r="BL284" s="52"/>
      <c r="BM284" s="52" t="str">
        <f aca="false">IF(OR(COUNT(B284:D1283)=0,AND('Choix pédagogiques'!$C$3&lt;&gt;1,'Choix pédagogiques'!$C$3&lt;&gt;2)),"",IF(AND(OR('Choix pédagogiques'!$C$3=1,'Choix pédagogiques'!$C$3=2),$B284&lt;&gt;"",$C284&lt;&gt;"",$D284&lt;&gt;""),1,0))</f>
        <v/>
      </c>
      <c r="BN284" s="52" t="str">
        <f aca="false">IF(OR(COUNT(G284:I1283)=0,AND('Choix pédagogiques'!$C$3&lt;&gt;1,'Choix pédagogiques'!$C$3&lt;&gt;2)),"",IF(AND(OR('Choix pédagogiques'!$C$3=1,'Choix pédagogiques'!$C$3=2),AND($G284&lt;&gt;"",$H284&lt;&gt;"",$I284&lt;&gt;"")),1,0))</f>
        <v/>
      </c>
      <c r="BO284" s="52" t="str">
        <f aca="false">IF(OR(COUNT(B284:D1283)=0,COUNT(G284:I1283)=0,'Choix pédagogiques'!C$3&lt;&gt;3),"",IF(AND('Choix pédagogiques'!$C$3=3,$B284&lt;&gt;"",$C284&lt;&gt;"",$D284&lt;&gt;"",$G284&lt;&gt;"",$H284&lt;&gt;"",$I284&lt;&gt;""),1,0))</f>
        <v/>
      </c>
      <c r="BR284" s="52" t="n">
        <v>443</v>
      </c>
      <c r="BS284" s="52" t="n">
        <v>1149</v>
      </c>
    </row>
    <row r="285" s="54" customFormat="true" ht="18" hidden="false" customHeight="true" outlineLevel="0" collapsed="false">
      <c r="A285" s="57" t="s">
        <v>501</v>
      </c>
      <c r="B285" s="51"/>
      <c r="C285" s="51"/>
      <c r="D285" s="51"/>
      <c r="E285" s="51"/>
      <c r="F285" s="57" t="s">
        <v>502</v>
      </c>
      <c r="G285" s="51"/>
      <c r="H285" s="51"/>
      <c r="I285" s="51"/>
      <c r="J285" s="51"/>
      <c r="K285" s="52" t="str">
        <f aca="false">IF($A285&lt;&gt;"",$A285,"")</f>
        <v>Apprenant 273</v>
      </c>
      <c r="L285" s="53" t="str">
        <f aca="false">IF(AND($B285&lt;&gt;"",$C285&lt;&gt;""),$C285-$B285,"")</f>
        <v/>
      </c>
      <c r="M285" s="53" t="str">
        <f aca="false">IF(AND($B285&lt;&gt;"",$D285&lt;&gt;""),$D285-$B285,"")</f>
        <v/>
      </c>
      <c r="N285" s="53" t="str">
        <f aca="false">IF(AND($C285&lt;&gt;"",$D285&lt;&gt;""),$D285-$C285,"")</f>
        <v/>
      </c>
      <c r="O285" s="53" t="str">
        <f aca="false">IF($E285&lt;&gt;"",$E285,"")</f>
        <v/>
      </c>
      <c r="P285" s="52" t="str">
        <f aca="false">IF($F285&lt;&gt;"",$F285,"")</f>
        <v>Apprenant 273 ou 273'</v>
      </c>
      <c r="Q285" s="53" t="str">
        <f aca="false">IF(AND($G285&lt;&gt;"",$H285&lt;&gt;""),$H285-$G285,"")</f>
        <v/>
      </c>
      <c r="R285" s="53" t="str">
        <f aca="false">IF(AND($G285&lt;&gt;"",$I285&lt;&gt;""),$I285-$G285,"")</f>
        <v/>
      </c>
      <c r="S285" s="53" t="str">
        <f aca="false">IF(AND($H285&lt;&gt;"",$I285&lt;&gt;""),$I285-$H285,"")</f>
        <v/>
      </c>
      <c r="T285" s="53" t="str">
        <f aca="false">IF($J285&lt;&gt;"",$J285,"")</f>
        <v/>
      </c>
      <c r="V285" s="52" t="str">
        <f aca="false">IF($A285&lt;&gt;"",$A285,"")</f>
        <v>Apprenant 273</v>
      </c>
      <c r="W285" s="53" t="str">
        <f aca="false">IF(AND(OR('Choix pédagogiques'!$C$3=1,'Choix pédagogiques'!$C$3=2),$BM285=1),B285,IF(AND('Choix pédagogiques'!$C$3=3,$BO285=1),B285,""))</f>
        <v/>
      </c>
      <c r="X285" s="53" t="str">
        <f aca="false">IF(AND(OR('Choix pédagogiques'!$C$3=1,'Choix pédagogiques'!$C$3=2),$BM285=1),C285,IF(AND('Choix pédagogiques'!$C$3=3,$BO285=1),C285,""))</f>
        <v/>
      </c>
      <c r="Y285" s="53" t="str">
        <f aca="false">IF(AND(OR('Choix pédagogiques'!$C$3=1,'Choix pédagogiques'!$C$3=2),$BM285=1),D285,IF(AND('Choix pédagogiques'!$C$3=3,$BO285=1),D285,""))</f>
        <v/>
      </c>
      <c r="Z285" s="53" t="str">
        <f aca="false">IF($E285&lt;&gt;"",$E285,"")</f>
        <v/>
      </c>
      <c r="AA285" s="52" t="str">
        <f aca="false">IF($F285&lt;&gt;"",$F285,"")</f>
        <v>Apprenant 273 ou 273'</v>
      </c>
      <c r="AB285" s="53" t="str">
        <f aca="false">IF(AND(OR('Choix pédagogiques'!$C$3=1,'Choix pédagogiques'!$C$3=2),$BN285=1),G285,IF(AND('Choix pédagogiques'!$C$3=3,$BO285=1),G285,""))</f>
        <v/>
      </c>
      <c r="AC285" s="53" t="str">
        <f aca="false">IF(AND(OR('Choix pédagogiques'!$C$3=1,'Choix pédagogiques'!$C$3=2),$BN285=1),H285,IF(AND('Choix pédagogiques'!$C$3=3,$BO285=1),H285,""))</f>
        <v/>
      </c>
      <c r="AD285" s="53" t="str">
        <f aca="false">IF(AND(OR('Choix pédagogiques'!$C$3=1,'Choix pédagogiques'!$C$3=2),$BN285=1),I285,IF(AND('Choix pédagogiques'!$C$3=3,$BO285=1),I285,""))</f>
        <v/>
      </c>
      <c r="AE285" s="53" t="str">
        <f aca="false">IF($J285&lt;&gt;"",$J285,"")</f>
        <v/>
      </c>
      <c r="AF285" s="52" t="str">
        <f aca="false">IF($A285&lt;&gt;"",$A285,"")</f>
        <v>Apprenant 273</v>
      </c>
      <c r="AG285" s="53" t="str">
        <f aca="false">IF(AND($W285&lt;&gt;"",$X285&lt;&gt;""),$X285-$W285,"")</f>
        <v/>
      </c>
      <c r="AH285" s="53" t="str">
        <f aca="false">IF(AND($W285&lt;&gt;"",$Y285&lt;&gt;""),$Y285-$W285,"")</f>
        <v/>
      </c>
      <c r="AI285" s="53" t="str">
        <f aca="false">IF(AND($X285&lt;&gt;"",$Y285&lt;&gt;""),$Y285-$X285,"")</f>
        <v/>
      </c>
      <c r="AJ285" s="53" t="str">
        <f aca="false">IF($E285&lt;&gt;"",$E285,"")</f>
        <v/>
      </c>
      <c r="AK285" s="52" t="str">
        <f aca="false">IF($F285&lt;&gt;"",$F285,"")</f>
        <v>Apprenant 273 ou 273'</v>
      </c>
      <c r="AL285" s="53" t="str">
        <f aca="false">IF(AND($AB285&lt;&gt;"",$AC285&lt;&gt;""),$AC285-$AB285,"")</f>
        <v/>
      </c>
      <c r="AM285" s="53" t="str">
        <f aca="false">IF(AND($AB285&lt;&gt;"",$AD285&lt;&gt;""),$AD285-$AB285,"")</f>
        <v/>
      </c>
      <c r="AN285" s="53" t="str">
        <f aca="false">IF(AND($AC285&lt;&gt;"",$AD285&lt;&gt;""),$AD285-$AC285,"")</f>
        <v/>
      </c>
      <c r="AO285" s="53" t="str">
        <f aca="false">IF($J285&lt;&gt;"",$J285,"")</f>
        <v/>
      </c>
      <c r="AQ285" s="52" t="str">
        <f aca="false">IF($A285&lt;&gt;"",$A285,"")</f>
        <v>Apprenant 273</v>
      </c>
      <c r="AR285" s="55" t="str">
        <f aca="false">IF(AND('Choix pédagogiques'!$C$4&lt;&gt;"?",'Choix pédagogiques'!$C$5&lt;&gt;"?",W285&lt;&gt;""),(W285-'Choix pédagogiques'!$C$4)/('Choix pédagogiques'!$C$5-'Choix pédagogiques'!$C$4),"")</f>
        <v/>
      </c>
      <c r="AS285" s="55" t="str">
        <f aca="false">IF(AND('Choix pédagogiques'!$C$4&lt;&gt;"?",'Choix pédagogiques'!$C$5&lt;&gt;"?",X285&lt;&gt;""),(X285-'Choix pédagogiques'!$C$4)/('Choix pédagogiques'!$C$5-'Choix pédagogiques'!$C$4),"")</f>
        <v/>
      </c>
      <c r="AT285" s="55" t="str">
        <f aca="false">IF(AND('Choix pédagogiques'!$C$4&lt;&gt;"?",'Choix pédagogiques'!$C$5&lt;&gt;"?",Y285&lt;&gt;""),(Y285-'Choix pédagogiques'!$C$4)/('Choix pédagogiques'!$C$5-'Choix pédagogiques'!$C$4),"")</f>
        <v/>
      </c>
      <c r="AU285" s="53" t="str">
        <f aca="false">IF($E285&lt;&gt;"",$E285,"")</f>
        <v/>
      </c>
      <c r="AV285" s="52" t="str">
        <f aca="false">IF($F285&lt;&gt;"",$F285,"")</f>
        <v>Apprenant 273 ou 273'</v>
      </c>
      <c r="AW285" s="55" t="str">
        <f aca="false">IF(AND('Choix pédagogiques'!$C$4&lt;&gt;"?",'Choix pédagogiques'!$C$5&lt;&gt;"?",AB285&lt;&gt;""),(AB285-'Choix pédagogiques'!$C$4)/('Choix pédagogiques'!$C$5-'Choix pédagogiques'!$C$4),"")</f>
        <v/>
      </c>
      <c r="AX285" s="55" t="str">
        <f aca="false">IF(AND('Choix pédagogiques'!$C$4&lt;&gt;"?",'Choix pédagogiques'!$C$5&lt;&gt;"?",AC285&lt;&gt;""),(AC285-'Choix pédagogiques'!$C$4)/('Choix pédagogiques'!$C$5-'Choix pédagogiques'!$C$4),"")</f>
        <v/>
      </c>
      <c r="AY285" s="55" t="str">
        <f aca="false">IF(AND('Choix pédagogiques'!$C$4&lt;&gt;"?",'Choix pédagogiques'!$C$5&lt;&gt;"?",AD285&lt;&gt;""),(AD285-'Choix pédagogiques'!$C$4)/('Choix pédagogiques'!$C$5-'Choix pédagogiques'!$C$4),"")</f>
        <v/>
      </c>
      <c r="AZ285" s="53" t="str">
        <f aca="false">IF($J285&lt;&gt;"",$J285,"")</f>
        <v/>
      </c>
      <c r="BA285" s="52" t="str">
        <f aca="false">IF($A285&lt;&gt;"",$A285,"")</f>
        <v>Apprenant 273</v>
      </c>
      <c r="BB285" s="55" t="str">
        <f aca="false">IF(AND($AR285&lt;&gt;"",$AS285&lt;&gt;""),$AS285-$AR285,"")</f>
        <v/>
      </c>
      <c r="BC285" s="55" t="str">
        <f aca="false">IF(AND($AR285&lt;&gt;"",$AT285&lt;&gt;""),$AT285-$AR285,"")</f>
        <v/>
      </c>
      <c r="BD285" s="55" t="str">
        <f aca="false">IF(AND($AS285&lt;&gt;"",$AT285&lt;&gt;""),$AT285-$AS285,"")</f>
        <v/>
      </c>
      <c r="BE285" s="53" t="str">
        <f aca="false">IF($E285&lt;&gt;"",$E285,"")</f>
        <v/>
      </c>
      <c r="BF285" s="52" t="str">
        <f aca="false">IF($F285&lt;&gt;"",$F285,"")</f>
        <v>Apprenant 273 ou 273'</v>
      </c>
      <c r="BG285" s="55" t="str">
        <f aca="false">IF(AND($AW285&lt;&gt;"",$AX285&lt;&gt;""),$AX285-$AW285,"")</f>
        <v/>
      </c>
      <c r="BH285" s="55" t="str">
        <f aca="false">IF(AND($AW285&lt;&gt;"",$AY285&lt;&gt;""),$AY285-$AW285,"")</f>
        <v/>
      </c>
      <c r="BI285" s="55" t="str">
        <f aca="false">IF(AND($AX285&lt;&gt;"",$AY285&lt;&gt;""),$AY285-$AX285,"")</f>
        <v/>
      </c>
      <c r="BJ285" s="53" t="str">
        <f aca="false">IF($J285&lt;&gt;"",$J285,"")</f>
        <v/>
      </c>
      <c r="BL285" s="52"/>
      <c r="BM285" s="52" t="str">
        <f aca="false">IF(OR(COUNT(B285:D1284)=0,AND('Choix pédagogiques'!$C$3&lt;&gt;1,'Choix pédagogiques'!$C$3&lt;&gt;2)),"",IF(AND(OR('Choix pédagogiques'!$C$3=1,'Choix pédagogiques'!$C$3=2),$B285&lt;&gt;"",$C285&lt;&gt;"",$D285&lt;&gt;""),1,0))</f>
        <v/>
      </c>
      <c r="BN285" s="52" t="str">
        <f aca="false">IF(OR(COUNT(G285:I1284)=0,AND('Choix pédagogiques'!$C$3&lt;&gt;1,'Choix pédagogiques'!$C$3&lt;&gt;2)),"",IF(AND(OR('Choix pédagogiques'!$C$3=1,'Choix pédagogiques'!$C$3=2),AND($G285&lt;&gt;"",$H285&lt;&gt;"",$I285&lt;&gt;"")),1,0))</f>
        <v/>
      </c>
      <c r="BO285" s="52" t="str">
        <f aca="false">IF(OR(COUNT(B285:D1284)=0,COUNT(G285:I1284)=0,'Choix pédagogiques'!C$3&lt;&gt;3),"",IF(AND('Choix pédagogiques'!$C$3=3,$B285&lt;&gt;"",$C285&lt;&gt;"",$D285&lt;&gt;"",$G285&lt;&gt;"",$H285&lt;&gt;"",$I285&lt;&gt;""),1,0))</f>
        <v/>
      </c>
      <c r="BR285" s="52" t="n">
        <v>792</v>
      </c>
      <c r="BS285" s="52" t="n">
        <v>1689</v>
      </c>
    </row>
    <row r="286" s="54" customFormat="true" ht="18" hidden="false" customHeight="true" outlineLevel="0" collapsed="false">
      <c r="A286" s="57" t="s">
        <v>503</v>
      </c>
      <c r="B286" s="51"/>
      <c r="C286" s="51"/>
      <c r="D286" s="51"/>
      <c r="E286" s="51"/>
      <c r="F286" s="57" t="s">
        <v>504</v>
      </c>
      <c r="G286" s="51"/>
      <c r="H286" s="51"/>
      <c r="I286" s="51"/>
      <c r="J286" s="51"/>
      <c r="K286" s="52" t="str">
        <f aca="false">IF($A286&lt;&gt;"",$A286,"")</f>
        <v>Apprenant 274</v>
      </c>
      <c r="L286" s="53" t="str">
        <f aca="false">IF(AND($B286&lt;&gt;"",$C286&lt;&gt;""),$C286-$B286,"")</f>
        <v/>
      </c>
      <c r="M286" s="53" t="str">
        <f aca="false">IF(AND($B286&lt;&gt;"",$D286&lt;&gt;""),$D286-$B286,"")</f>
        <v/>
      </c>
      <c r="N286" s="53" t="str">
        <f aca="false">IF(AND($C286&lt;&gt;"",$D286&lt;&gt;""),$D286-$C286,"")</f>
        <v/>
      </c>
      <c r="O286" s="53" t="str">
        <f aca="false">IF($E286&lt;&gt;"",$E286,"")</f>
        <v/>
      </c>
      <c r="P286" s="52" t="str">
        <f aca="false">IF($F286&lt;&gt;"",$F286,"")</f>
        <v>Apprenant 274 ou 274'</v>
      </c>
      <c r="Q286" s="53" t="str">
        <f aca="false">IF(AND($G286&lt;&gt;"",$H286&lt;&gt;""),$H286-$G286,"")</f>
        <v/>
      </c>
      <c r="R286" s="53" t="str">
        <f aca="false">IF(AND($G286&lt;&gt;"",$I286&lt;&gt;""),$I286-$G286,"")</f>
        <v/>
      </c>
      <c r="S286" s="53" t="str">
        <f aca="false">IF(AND($H286&lt;&gt;"",$I286&lt;&gt;""),$I286-$H286,"")</f>
        <v/>
      </c>
      <c r="T286" s="53" t="str">
        <f aca="false">IF($J286&lt;&gt;"",$J286,"")</f>
        <v/>
      </c>
      <c r="V286" s="52" t="str">
        <f aca="false">IF($A286&lt;&gt;"",$A286,"")</f>
        <v>Apprenant 274</v>
      </c>
      <c r="W286" s="53" t="str">
        <f aca="false">IF(AND(OR('Choix pédagogiques'!$C$3=1,'Choix pédagogiques'!$C$3=2),$BM286=1),B286,IF(AND('Choix pédagogiques'!$C$3=3,$BO286=1),B286,""))</f>
        <v/>
      </c>
      <c r="X286" s="53" t="str">
        <f aca="false">IF(AND(OR('Choix pédagogiques'!$C$3=1,'Choix pédagogiques'!$C$3=2),$BM286=1),C286,IF(AND('Choix pédagogiques'!$C$3=3,$BO286=1),C286,""))</f>
        <v/>
      </c>
      <c r="Y286" s="53" t="str">
        <f aca="false">IF(AND(OR('Choix pédagogiques'!$C$3=1,'Choix pédagogiques'!$C$3=2),$BM286=1),D286,IF(AND('Choix pédagogiques'!$C$3=3,$BO286=1),D286,""))</f>
        <v/>
      </c>
      <c r="Z286" s="53" t="str">
        <f aca="false">IF($E286&lt;&gt;"",$E286,"")</f>
        <v/>
      </c>
      <c r="AA286" s="52" t="str">
        <f aca="false">IF($F286&lt;&gt;"",$F286,"")</f>
        <v>Apprenant 274 ou 274'</v>
      </c>
      <c r="AB286" s="53" t="str">
        <f aca="false">IF(AND(OR('Choix pédagogiques'!$C$3=1,'Choix pédagogiques'!$C$3=2),$BN286=1),G286,IF(AND('Choix pédagogiques'!$C$3=3,$BO286=1),G286,""))</f>
        <v/>
      </c>
      <c r="AC286" s="53" t="str">
        <f aca="false">IF(AND(OR('Choix pédagogiques'!$C$3=1,'Choix pédagogiques'!$C$3=2),$BN286=1),H286,IF(AND('Choix pédagogiques'!$C$3=3,$BO286=1),H286,""))</f>
        <v/>
      </c>
      <c r="AD286" s="53" t="str">
        <f aca="false">IF(AND(OR('Choix pédagogiques'!$C$3=1,'Choix pédagogiques'!$C$3=2),$BN286=1),I286,IF(AND('Choix pédagogiques'!$C$3=3,$BO286=1),I286,""))</f>
        <v/>
      </c>
      <c r="AE286" s="53" t="str">
        <f aca="false">IF($J286&lt;&gt;"",$J286,"")</f>
        <v/>
      </c>
      <c r="AF286" s="52" t="str">
        <f aca="false">IF($A286&lt;&gt;"",$A286,"")</f>
        <v>Apprenant 274</v>
      </c>
      <c r="AG286" s="53" t="str">
        <f aca="false">IF(AND($W286&lt;&gt;"",$X286&lt;&gt;""),$X286-$W286,"")</f>
        <v/>
      </c>
      <c r="AH286" s="53" t="str">
        <f aca="false">IF(AND($W286&lt;&gt;"",$Y286&lt;&gt;""),$Y286-$W286,"")</f>
        <v/>
      </c>
      <c r="AI286" s="53" t="str">
        <f aca="false">IF(AND($X286&lt;&gt;"",$Y286&lt;&gt;""),$Y286-$X286,"")</f>
        <v/>
      </c>
      <c r="AJ286" s="53" t="str">
        <f aca="false">IF($E286&lt;&gt;"",$E286,"")</f>
        <v/>
      </c>
      <c r="AK286" s="52" t="str">
        <f aca="false">IF($F286&lt;&gt;"",$F286,"")</f>
        <v>Apprenant 274 ou 274'</v>
      </c>
      <c r="AL286" s="53" t="str">
        <f aca="false">IF(AND($AB286&lt;&gt;"",$AC286&lt;&gt;""),$AC286-$AB286,"")</f>
        <v/>
      </c>
      <c r="AM286" s="53" t="str">
        <f aca="false">IF(AND($AB286&lt;&gt;"",$AD286&lt;&gt;""),$AD286-$AB286,"")</f>
        <v/>
      </c>
      <c r="AN286" s="53" t="str">
        <f aca="false">IF(AND($AC286&lt;&gt;"",$AD286&lt;&gt;""),$AD286-$AC286,"")</f>
        <v/>
      </c>
      <c r="AO286" s="53" t="str">
        <f aca="false">IF($J286&lt;&gt;"",$J286,"")</f>
        <v/>
      </c>
      <c r="AQ286" s="52" t="str">
        <f aca="false">IF($A286&lt;&gt;"",$A286,"")</f>
        <v>Apprenant 274</v>
      </c>
      <c r="AR286" s="55" t="str">
        <f aca="false">IF(AND('Choix pédagogiques'!$C$4&lt;&gt;"?",'Choix pédagogiques'!$C$5&lt;&gt;"?",W286&lt;&gt;""),(W286-'Choix pédagogiques'!$C$4)/('Choix pédagogiques'!$C$5-'Choix pédagogiques'!$C$4),"")</f>
        <v/>
      </c>
      <c r="AS286" s="55" t="str">
        <f aca="false">IF(AND('Choix pédagogiques'!$C$4&lt;&gt;"?",'Choix pédagogiques'!$C$5&lt;&gt;"?",X286&lt;&gt;""),(X286-'Choix pédagogiques'!$C$4)/('Choix pédagogiques'!$C$5-'Choix pédagogiques'!$C$4),"")</f>
        <v/>
      </c>
      <c r="AT286" s="55" t="str">
        <f aca="false">IF(AND('Choix pédagogiques'!$C$4&lt;&gt;"?",'Choix pédagogiques'!$C$5&lt;&gt;"?",Y286&lt;&gt;""),(Y286-'Choix pédagogiques'!$C$4)/('Choix pédagogiques'!$C$5-'Choix pédagogiques'!$C$4),"")</f>
        <v/>
      </c>
      <c r="AU286" s="53" t="str">
        <f aca="false">IF($E286&lt;&gt;"",$E286,"")</f>
        <v/>
      </c>
      <c r="AV286" s="52" t="str">
        <f aca="false">IF($F286&lt;&gt;"",$F286,"")</f>
        <v>Apprenant 274 ou 274'</v>
      </c>
      <c r="AW286" s="55" t="str">
        <f aca="false">IF(AND('Choix pédagogiques'!$C$4&lt;&gt;"?",'Choix pédagogiques'!$C$5&lt;&gt;"?",AB286&lt;&gt;""),(AB286-'Choix pédagogiques'!$C$4)/('Choix pédagogiques'!$C$5-'Choix pédagogiques'!$C$4),"")</f>
        <v/>
      </c>
      <c r="AX286" s="55" t="str">
        <f aca="false">IF(AND('Choix pédagogiques'!$C$4&lt;&gt;"?",'Choix pédagogiques'!$C$5&lt;&gt;"?",AC286&lt;&gt;""),(AC286-'Choix pédagogiques'!$C$4)/('Choix pédagogiques'!$C$5-'Choix pédagogiques'!$C$4),"")</f>
        <v/>
      </c>
      <c r="AY286" s="55" t="str">
        <f aca="false">IF(AND('Choix pédagogiques'!$C$4&lt;&gt;"?",'Choix pédagogiques'!$C$5&lt;&gt;"?",AD286&lt;&gt;""),(AD286-'Choix pédagogiques'!$C$4)/('Choix pédagogiques'!$C$5-'Choix pédagogiques'!$C$4),"")</f>
        <v/>
      </c>
      <c r="AZ286" s="53" t="str">
        <f aca="false">IF($J286&lt;&gt;"",$J286,"")</f>
        <v/>
      </c>
      <c r="BA286" s="52" t="str">
        <f aca="false">IF($A286&lt;&gt;"",$A286,"")</f>
        <v>Apprenant 274</v>
      </c>
      <c r="BB286" s="55" t="str">
        <f aca="false">IF(AND($AR286&lt;&gt;"",$AS286&lt;&gt;""),$AS286-$AR286,"")</f>
        <v/>
      </c>
      <c r="BC286" s="55" t="str">
        <f aca="false">IF(AND($AR286&lt;&gt;"",$AT286&lt;&gt;""),$AT286-$AR286,"")</f>
        <v/>
      </c>
      <c r="BD286" s="55" t="str">
        <f aca="false">IF(AND($AS286&lt;&gt;"",$AT286&lt;&gt;""),$AT286-$AS286,"")</f>
        <v/>
      </c>
      <c r="BE286" s="53" t="str">
        <f aca="false">IF($E286&lt;&gt;"",$E286,"")</f>
        <v/>
      </c>
      <c r="BF286" s="52" t="str">
        <f aca="false">IF($F286&lt;&gt;"",$F286,"")</f>
        <v>Apprenant 274 ou 274'</v>
      </c>
      <c r="BG286" s="55" t="str">
        <f aca="false">IF(AND($AW286&lt;&gt;"",$AX286&lt;&gt;""),$AX286-$AW286,"")</f>
        <v/>
      </c>
      <c r="BH286" s="55" t="str">
        <f aca="false">IF(AND($AW286&lt;&gt;"",$AY286&lt;&gt;""),$AY286-$AW286,"")</f>
        <v/>
      </c>
      <c r="BI286" s="55" t="str">
        <f aca="false">IF(AND($AX286&lt;&gt;"",$AY286&lt;&gt;""),$AY286-$AX286,"")</f>
        <v/>
      </c>
      <c r="BJ286" s="53" t="str">
        <f aca="false">IF($J286&lt;&gt;"",$J286,"")</f>
        <v/>
      </c>
      <c r="BL286" s="52"/>
      <c r="BM286" s="52" t="str">
        <f aca="false">IF(OR(COUNT(B286:D1285)=0,AND('Choix pédagogiques'!$C$3&lt;&gt;1,'Choix pédagogiques'!$C$3&lt;&gt;2)),"",IF(AND(OR('Choix pédagogiques'!$C$3=1,'Choix pédagogiques'!$C$3=2),$B286&lt;&gt;"",$C286&lt;&gt;"",$D286&lt;&gt;""),1,0))</f>
        <v/>
      </c>
      <c r="BN286" s="52" t="str">
        <f aca="false">IF(OR(COUNT(G286:I1285)=0,AND('Choix pédagogiques'!$C$3&lt;&gt;1,'Choix pédagogiques'!$C$3&lt;&gt;2)),"",IF(AND(OR('Choix pédagogiques'!$C$3=1,'Choix pédagogiques'!$C$3=2),AND($G286&lt;&gt;"",$H286&lt;&gt;"",$I286&lt;&gt;"")),1,0))</f>
        <v/>
      </c>
      <c r="BO286" s="52" t="str">
        <f aca="false">IF(OR(COUNT(B286:D1285)=0,COUNT(G286:I1285)=0,'Choix pédagogiques'!C$3&lt;&gt;3),"",IF(AND('Choix pédagogiques'!$C$3=3,$B286&lt;&gt;"",$C286&lt;&gt;"",$D286&lt;&gt;"",$G286&lt;&gt;"",$H286&lt;&gt;"",$I286&lt;&gt;""),1,0))</f>
        <v/>
      </c>
      <c r="BR286" s="52" t="n">
        <v>344</v>
      </c>
      <c r="BS286" s="52" t="n">
        <v>1744</v>
      </c>
    </row>
    <row r="287" s="54" customFormat="true" ht="18" hidden="false" customHeight="true" outlineLevel="0" collapsed="false">
      <c r="A287" s="57" t="s">
        <v>505</v>
      </c>
      <c r="B287" s="51"/>
      <c r="C287" s="51"/>
      <c r="D287" s="51"/>
      <c r="E287" s="51"/>
      <c r="F287" s="57" t="s">
        <v>506</v>
      </c>
      <c r="G287" s="51"/>
      <c r="H287" s="51"/>
      <c r="I287" s="51"/>
      <c r="J287" s="51"/>
      <c r="K287" s="52" t="str">
        <f aca="false">IF($A287&lt;&gt;"",$A287,"")</f>
        <v>Apprenant 275</v>
      </c>
      <c r="L287" s="53" t="str">
        <f aca="false">IF(AND($B287&lt;&gt;"",$C287&lt;&gt;""),$C287-$B287,"")</f>
        <v/>
      </c>
      <c r="M287" s="53" t="str">
        <f aca="false">IF(AND($B287&lt;&gt;"",$D287&lt;&gt;""),$D287-$B287,"")</f>
        <v/>
      </c>
      <c r="N287" s="53" t="str">
        <f aca="false">IF(AND($C287&lt;&gt;"",$D287&lt;&gt;""),$D287-$C287,"")</f>
        <v/>
      </c>
      <c r="O287" s="53" t="str">
        <f aca="false">IF($E287&lt;&gt;"",$E287,"")</f>
        <v/>
      </c>
      <c r="P287" s="52" t="str">
        <f aca="false">IF($F287&lt;&gt;"",$F287,"")</f>
        <v>Apprenant 275 ou 275'</v>
      </c>
      <c r="Q287" s="53" t="str">
        <f aca="false">IF(AND($G287&lt;&gt;"",$H287&lt;&gt;""),$H287-$G287,"")</f>
        <v/>
      </c>
      <c r="R287" s="53" t="str">
        <f aca="false">IF(AND($G287&lt;&gt;"",$I287&lt;&gt;""),$I287-$G287,"")</f>
        <v/>
      </c>
      <c r="S287" s="53" t="str">
        <f aca="false">IF(AND($H287&lt;&gt;"",$I287&lt;&gt;""),$I287-$H287,"")</f>
        <v/>
      </c>
      <c r="T287" s="53" t="str">
        <f aca="false">IF($J287&lt;&gt;"",$J287,"")</f>
        <v/>
      </c>
      <c r="V287" s="52" t="str">
        <f aca="false">IF($A287&lt;&gt;"",$A287,"")</f>
        <v>Apprenant 275</v>
      </c>
      <c r="W287" s="53" t="str">
        <f aca="false">IF(AND(OR('Choix pédagogiques'!$C$3=1,'Choix pédagogiques'!$C$3=2),$BM287=1),B287,IF(AND('Choix pédagogiques'!$C$3=3,$BO287=1),B287,""))</f>
        <v/>
      </c>
      <c r="X287" s="53" t="str">
        <f aca="false">IF(AND(OR('Choix pédagogiques'!$C$3=1,'Choix pédagogiques'!$C$3=2),$BM287=1),C287,IF(AND('Choix pédagogiques'!$C$3=3,$BO287=1),C287,""))</f>
        <v/>
      </c>
      <c r="Y287" s="53" t="str">
        <f aca="false">IF(AND(OR('Choix pédagogiques'!$C$3=1,'Choix pédagogiques'!$C$3=2),$BM287=1),D287,IF(AND('Choix pédagogiques'!$C$3=3,$BO287=1),D287,""))</f>
        <v/>
      </c>
      <c r="Z287" s="53" t="str">
        <f aca="false">IF($E287&lt;&gt;"",$E287,"")</f>
        <v/>
      </c>
      <c r="AA287" s="52" t="str">
        <f aca="false">IF($F287&lt;&gt;"",$F287,"")</f>
        <v>Apprenant 275 ou 275'</v>
      </c>
      <c r="AB287" s="53" t="str">
        <f aca="false">IF(AND(OR('Choix pédagogiques'!$C$3=1,'Choix pédagogiques'!$C$3=2),$BN287=1),G287,IF(AND('Choix pédagogiques'!$C$3=3,$BO287=1),G287,""))</f>
        <v/>
      </c>
      <c r="AC287" s="53" t="str">
        <f aca="false">IF(AND(OR('Choix pédagogiques'!$C$3=1,'Choix pédagogiques'!$C$3=2),$BN287=1),H287,IF(AND('Choix pédagogiques'!$C$3=3,$BO287=1),H287,""))</f>
        <v/>
      </c>
      <c r="AD287" s="53" t="str">
        <f aca="false">IF(AND(OR('Choix pédagogiques'!$C$3=1,'Choix pédagogiques'!$C$3=2),$BN287=1),I287,IF(AND('Choix pédagogiques'!$C$3=3,$BO287=1),I287,""))</f>
        <v/>
      </c>
      <c r="AE287" s="53" t="str">
        <f aca="false">IF($J287&lt;&gt;"",$J287,"")</f>
        <v/>
      </c>
      <c r="AF287" s="52" t="str">
        <f aca="false">IF($A287&lt;&gt;"",$A287,"")</f>
        <v>Apprenant 275</v>
      </c>
      <c r="AG287" s="53" t="str">
        <f aca="false">IF(AND($W287&lt;&gt;"",$X287&lt;&gt;""),$X287-$W287,"")</f>
        <v/>
      </c>
      <c r="AH287" s="53" t="str">
        <f aca="false">IF(AND($W287&lt;&gt;"",$Y287&lt;&gt;""),$Y287-$W287,"")</f>
        <v/>
      </c>
      <c r="AI287" s="53" t="str">
        <f aca="false">IF(AND($X287&lt;&gt;"",$Y287&lt;&gt;""),$Y287-$X287,"")</f>
        <v/>
      </c>
      <c r="AJ287" s="53" t="str">
        <f aca="false">IF($E287&lt;&gt;"",$E287,"")</f>
        <v/>
      </c>
      <c r="AK287" s="52" t="str">
        <f aca="false">IF($F287&lt;&gt;"",$F287,"")</f>
        <v>Apprenant 275 ou 275'</v>
      </c>
      <c r="AL287" s="53" t="str">
        <f aca="false">IF(AND($AB287&lt;&gt;"",$AC287&lt;&gt;""),$AC287-$AB287,"")</f>
        <v/>
      </c>
      <c r="AM287" s="53" t="str">
        <f aca="false">IF(AND($AB287&lt;&gt;"",$AD287&lt;&gt;""),$AD287-$AB287,"")</f>
        <v/>
      </c>
      <c r="AN287" s="53" t="str">
        <f aca="false">IF(AND($AC287&lt;&gt;"",$AD287&lt;&gt;""),$AD287-$AC287,"")</f>
        <v/>
      </c>
      <c r="AO287" s="53" t="str">
        <f aca="false">IF($J287&lt;&gt;"",$J287,"")</f>
        <v/>
      </c>
      <c r="AQ287" s="52" t="str">
        <f aca="false">IF($A287&lt;&gt;"",$A287,"")</f>
        <v>Apprenant 275</v>
      </c>
      <c r="AR287" s="55" t="str">
        <f aca="false">IF(AND('Choix pédagogiques'!$C$4&lt;&gt;"?",'Choix pédagogiques'!$C$5&lt;&gt;"?",W287&lt;&gt;""),(W287-'Choix pédagogiques'!$C$4)/('Choix pédagogiques'!$C$5-'Choix pédagogiques'!$C$4),"")</f>
        <v/>
      </c>
      <c r="AS287" s="55" t="str">
        <f aca="false">IF(AND('Choix pédagogiques'!$C$4&lt;&gt;"?",'Choix pédagogiques'!$C$5&lt;&gt;"?",X287&lt;&gt;""),(X287-'Choix pédagogiques'!$C$4)/('Choix pédagogiques'!$C$5-'Choix pédagogiques'!$C$4),"")</f>
        <v/>
      </c>
      <c r="AT287" s="55" t="str">
        <f aca="false">IF(AND('Choix pédagogiques'!$C$4&lt;&gt;"?",'Choix pédagogiques'!$C$5&lt;&gt;"?",Y287&lt;&gt;""),(Y287-'Choix pédagogiques'!$C$4)/('Choix pédagogiques'!$C$5-'Choix pédagogiques'!$C$4),"")</f>
        <v/>
      </c>
      <c r="AU287" s="53" t="str">
        <f aca="false">IF($E287&lt;&gt;"",$E287,"")</f>
        <v/>
      </c>
      <c r="AV287" s="52" t="str">
        <f aca="false">IF($F287&lt;&gt;"",$F287,"")</f>
        <v>Apprenant 275 ou 275'</v>
      </c>
      <c r="AW287" s="55" t="str">
        <f aca="false">IF(AND('Choix pédagogiques'!$C$4&lt;&gt;"?",'Choix pédagogiques'!$C$5&lt;&gt;"?",AB287&lt;&gt;""),(AB287-'Choix pédagogiques'!$C$4)/('Choix pédagogiques'!$C$5-'Choix pédagogiques'!$C$4),"")</f>
        <v/>
      </c>
      <c r="AX287" s="55" t="str">
        <f aca="false">IF(AND('Choix pédagogiques'!$C$4&lt;&gt;"?",'Choix pédagogiques'!$C$5&lt;&gt;"?",AC287&lt;&gt;""),(AC287-'Choix pédagogiques'!$C$4)/('Choix pédagogiques'!$C$5-'Choix pédagogiques'!$C$4),"")</f>
        <v/>
      </c>
      <c r="AY287" s="55" t="str">
        <f aca="false">IF(AND('Choix pédagogiques'!$C$4&lt;&gt;"?",'Choix pédagogiques'!$C$5&lt;&gt;"?",AD287&lt;&gt;""),(AD287-'Choix pédagogiques'!$C$4)/('Choix pédagogiques'!$C$5-'Choix pédagogiques'!$C$4),"")</f>
        <v/>
      </c>
      <c r="AZ287" s="53" t="str">
        <f aca="false">IF($J287&lt;&gt;"",$J287,"")</f>
        <v/>
      </c>
      <c r="BA287" s="52" t="str">
        <f aca="false">IF($A287&lt;&gt;"",$A287,"")</f>
        <v>Apprenant 275</v>
      </c>
      <c r="BB287" s="55" t="str">
        <f aca="false">IF(AND($AR287&lt;&gt;"",$AS287&lt;&gt;""),$AS287-$AR287,"")</f>
        <v/>
      </c>
      <c r="BC287" s="55" t="str">
        <f aca="false">IF(AND($AR287&lt;&gt;"",$AT287&lt;&gt;""),$AT287-$AR287,"")</f>
        <v/>
      </c>
      <c r="BD287" s="55" t="str">
        <f aca="false">IF(AND($AS287&lt;&gt;"",$AT287&lt;&gt;""),$AT287-$AS287,"")</f>
        <v/>
      </c>
      <c r="BE287" s="53" t="str">
        <f aca="false">IF($E287&lt;&gt;"",$E287,"")</f>
        <v/>
      </c>
      <c r="BF287" s="52" t="str">
        <f aca="false">IF($F287&lt;&gt;"",$F287,"")</f>
        <v>Apprenant 275 ou 275'</v>
      </c>
      <c r="BG287" s="55" t="str">
        <f aca="false">IF(AND($AW287&lt;&gt;"",$AX287&lt;&gt;""),$AX287-$AW287,"")</f>
        <v/>
      </c>
      <c r="BH287" s="55" t="str">
        <f aca="false">IF(AND($AW287&lt;&gt;"",$AY287&lt;&gt;""),$AY287-$AW287,"")</f>
        <v/>
      </c>
      <c r="BI287" s="55" t="str">
        <f aca="false">IF(AND($AX287&lt;&gt;"",$AY287&lt;&gt;""),$AY287-$AX287,"")</f>
        <v/>
      </c>
      <c r="BJ287" s="53" t="str">
        <f aca="false">IF($J287&lt;&gt;"",$J287,"")</f>
        <v/>
      </c>
      <c r="BL287" s="52"/>
      <c r="BM287" s="52" t="str">
        <f aca="false">IF(OR(COUNT(B287:D1286)=0,AND('Choix pédagogiques'!$C$3&lt;&gt;1,'Choix pédagogiques'!$C$3&lt;&gt;2)),"",IF(AND(OR('Choix pédagogiques'!$C$3=1,'Choix pédagogiques'!$C$3=2),$B287&lt;&gt;"",$C287&lt;&gt;"",$D287&lt;&gt;""),1,0))</f>
        <v/>
      </c>
      <c r="BN287" s="52" t="str">
        <f aca="false">IF(OR(COUNT(G287:I1286)=0,AND('Choix pédagogiques'!$C$3&lt;&gt;1,'Choix pédagogiques'!$C$3&lt;&gt;2)),"",IF(AND(OR('Choix pédagogiques'!$C$3=1,'Choix pédagogiques'!$C$3=2),AND($G287&lt;&gt;"",$H287&lt;&gt;"",$I287&lt;&gt;"")),1,0))</f>
        <v/>
      </c>
      <c r="BO287" s="52" t="str">
        <f aca="false">IF(OR(COUNT(B287:D1286)=0,COUNT(G287:I1286)=0,'Choix pédagogiques'!C$3&lt;&gt;3),"",IF(AND('Choix pédagogiques'!$C$3=3,$B287&lt;&gt;"",$C287&lt;&gt;"",$D287&lt;&gt;"",$G287&lt;&gt;"",$H287&lt;&gt;"",$I287&lt;&gt;""),1,0))</f>
        <v/>
      </c>
      <c r="BR287" s="52" t="n">
        <v>889</v>
      </c>
      <c r="BS287" s="52" t="n">
        <v>1629</v>
      </c>
    </row>
    <row r="288" s="54" customFormat="true" ht="18" hidden="false" customHeight="true" outlineLevel="0" collapsed="false">
      <c r="A288" s="57" t="s">
        <v>507</v>
      </c>
      <c r="B288" s="51"/>
      <c r="C288" s="51"/>
      <c r="D288" s="51"/>
      <c r="E288" s="51"/>
      <c r="F288" s="57" t="s">
        <v>508</v>
      </c>
      <c r="G288" s="51"/>
      <c r="H288" s="51"/>
      <c r="I288" s="51"/>
      <c r="J288" s="51"/>
      <c r="K288" s="52" t="str">
        <f aca="false">IF($A288&lt;&gt;"",$A288,"")</f>
        <v>Apprenant 276</v>
      </c>
      <c r="L288" s="53" t="str">
        <f aca="false">IF(AND($B288&lt;&gt;"",$C288&lt;&gt;""),$C288-$B288,"")</f>
        <v/>
      </c>
      <c r="M288" s="53" t="str">
        <f aca="false">IF(AND($B288&lt;&gt;"",$D288&lt;&gt;""),$D288-$B288,"")</f>
        <v/>
      </c>
      <c r="N288" s="53" t="str">
        <f aca="false">IF(AND($C288&lt;&gt;"",$D288&lt;&gt;""),$D288-$C288,"")</f>
        <v/>
      </c>
      <c r="O288" s="53" t="str">
        <f aca="false">IF($E288&lt;&gt;"",$E288,"")</f>
        <v/>
      </c>
      <c r="P288" s="52" t="str">
        <f aca="false">IF($F288&lt;&gt;"",$F288,"")</f>
        <v>Apprenant 276 ou 276'</v>
      </c>
      <c r="Q288" s="53" t="str">
        <f aca="false">IF(AND($G288&lt;&gt;"",$H288&lt;&gt;""),$H288-$G288,"")</f>
        <v/>
      </c>
      <c r="R288" s="53" t="str">
        <f aca="false">IF(AND($G288&lt;&gt;"",$I288&lt;&gt;""),$I288-$G288,"")</f>
        <v/>
      </c>
      <c r="S288" s="53" t="str">
        <f aca="false">IF(AND($H288&lt;&gt;"",$I288&lt;&gt;""),$I288-$H288,"")</f>
        <v/>
      </c>
      <c r="T288" s="53" t="str">
        <f aca="false">IF($J288&lt;&gt;"",$J288,"")</f>
        <v/>
      </c>
      <c r="V288" s="52" t="str">
        <f aca="false">IF($A288&lt;&gt;"",$A288,"")</f>
        <v>Apprenant 276</v>
      </c>
      <c r="W288" s="53" t="str">
        <f aca="false">IF(AND(OR('Choix pédagogiques'!$C$3=1,'Choix pédagogiques'!$C$3=2),$BM288=1),B288,IF(AND('Choix pédagogiques'!$C$3=3,$BO288=1),B288,""))</f>
        <v/>
      </c>
      <c r="X288" s="53" t="str">
        <f aca="false">IF(AND(OR('Choix pédagogiques'!$C$3=1,'Choix pédagogiques'!$C$3=2),$BM288=1),C288,IF(AND('Choix pédagogiques'!$C$3=3,$BO288=1),C288,""))</f>
        <v/>
      </c>
      <c r="Y288" s="53" t="str">
        <f aca="false">IF(AND(OR('Choix pédagogiques'!$C$3=1,'Choix pédagogiques'!$C$3=2),$BM288=1),D288,IF(AND('Choix pédagogiques'!$C$3=3,$BO288=1),D288,""))</f>
        <v/>
      </c>
      <c r="Z288" s="53" t="str">
        <f aca="false">IF($E288&lt;&gt;"",$E288,"")</f>
        <v/>
      </c>
      <c r="AA288" s="52" t="str">
        <f aca="false">IF($F288&lt;&gt;"",$F288,"")</f>
        <v>Apprenant 276 ou 276'</v>
      </c>
      <c r="AB288" s="53" t="str">
        <f aca="false">IF(AND(OR('Choix pédagogiques'!$C$3=1,'Choix pédagogiques'!$C$3=2),$BN288=1),G288,IF(AND('Choix pédagogiques'!$C$3=3,$BO288=1),G288,""))</f>
        <v/>
      </c>
      <c r="AC288" s="53" t="str">
        <f aca="false">IF(AND(OR('Choix pédagogiques'!$C$3=1,'Choix pédagogiques'!$C$3=2),$BN288=1),H288,IF(AND('Choix pédagogiques'!$C$3=3,$BO288=1),H288,""))</f>
        <v/>
      </c>
      <c r="AD288" s="53" t="str">
        <f aca="false">IF(AND(OR('Choix pédagogiques'!$C$3=1,'Choix pédagogiques'!$C$3=2),$BN288=1),I288,IF(AND('Choix pédagogiques'!$C$3=3,$BO288=1),I288,""))</f>
        <v/>
      </c>
      <c r="AE288" s="53" t="str">
        <f aca="false">IF($J288&lt;&gt;"",$J288,"")</f>
        <v/>
      </c>
      <c r="AF288" s="52" t="str">
        <f aca="false">IF($A288&lt;&gt;"",$A288,"")</f>
        <v>Apprenant 276</v>
      </c>
      <c r="AG288" s="53" t="str">
        <f aca="false">IF(AND($W288&lt;&gt;"",$X288&lt;&gt;""),$X288-$W288,"")</f>
        <v/>
      </c>
      <c r="AH288" s="53" t="str">
        <f aca="false">IF(AND($W288&lt;&gt;"",$Y288&lt;&gt;""),$Y288-$W288,"")</f>
        <v/>
      </c>
      <c r="AI288" s="53" t="str">
        <f aca="false">IF(AND($X288&lt;&gt;"",$Y288&lt;&gt;""),$Y288-$X288,"")</f>
        <v/>
      </c>
      <c r="AJ288" s="53" t="str">
        <f aca="false">IF($E288&lt;&gt;"",$E288,"")</f>
        <v/>
      </c>
      <c r="AK288" s="52" t="str">
        <f aca="false">IF($F288&lt;&gt;"",$F288,"")</f>
        <v>Apprenant 276 ou 276'</v>
      </c>
      <c r="AL288" s="53" t="str">
        <f aca="false">IF(AND($AB288&lt;&gt;"",$AC288&lt;&gt;""),$AC288-$AB288,"")</f>
        <v/>
      </c>
      <c r="AM288" s="53" t="str">
        <f aca="false">IF(AND($AB288&lt;&gt;"",$AD288&lt;&gt;""),$AD288-$AB288,"")</f>
        <v/>
      </c>
      <c r="AN288" s="53" t="str">
        <f aca="false">IF(AND($AC288&lt;&gt;"",$AD288&lt;&gt;""),$AD288-$AC288,"")</f>
        <v/>
      </c>
      <c r="AO288" s="53" t="str">
        <f aca="false">IF($J288&lt;&gt;"",$J288,"")</f>
        <v/>
      </c>
      <c r="AQ288" s="52" t="str">
        <f aca="false">IF($A288&lt;&gt;"",$A288,"")</f>
        <v>Apprenant 276</v>
      </c>
      <c r="AR288" s="55" t="str">
        <f aca="false">IF(AND('Choix pédagogiques'!$C$4&lt;&gt;"?",'Choix pédagogiques'!$C$5&lt;&gt;"?",W288&lt;&gt;""),(W288-'Choix pédagogiques'!$C$4)/('Choix pédagogiques'!$C$5-'Choix pédagogiques'!$C$4),"")</f>
        <v/>
      </c>
      <c r="AS288" s="55" t="str">
        <f aca="false">IF(AND('Choix pédagogiques'!$C$4&lt;&gt;"?",'Choix pédagogiques'!$C$5&lt;&gt;"?",X288&lt;&gt;""),(X288-'Choix pédagogiques'!$C$4)/('Choix pédagogiques'!$C$5-'Choix pédagogiques'!$C$4),"")</f>
        <v/>
      </c>
      <c r="AT288" s="55" t="str">
        <f aca="false">IF(AND('Choix pédagogiques'!$C$4&lt;&gt;"?",'Choix pédagogiques'!$C$5&lt;&gt;"?",Y288&lt;&gt;""),(Y288-'Choix pédagogiques'!$C$4)/('Choix pédagogiques'!$C$5-'Choix pédagogiques'!$C$4),"")</f>
        <v/>
      </c>
      <c r="AU288" s="53" t="str">
        <f aca="false">IF($E288&lt;&gt;"",$E288,"")</f>
        <v/>
      </c>
      <c r="AV288" s="52" t="str">
        <f aca="false">IF($F288&lt;&gt;"",$F288,"")</f>
        <v>Apprenant 276 ou 276'</v>
      </c>
      <c r="AW288" s="55" t="str">
        <f aca="false">IF(AND('Choix pédagogiques'!$C$4&lt;&gt;"?",'Choix pédagogiques'!$C$5&lt;&gt;"?",AB288&lt;&gt;""),(AB288-'Choix pédagogiques'!$C$4)/('Choix pédagogiques'!$C$5-'Choix pédagogiques'!$C$4),"")</f>
        <v/>
      </c>
      <c r="AX288" s="55" t="str">
        <f aca="false">IF(AND('Choix pédagogiques'!$C$4&lt;&gt;"?",'Choix pédagogiques'!$C$5&lt;&gt;"?",AC288&lt;&gt;""),(AC288-'Choix pédagogiques'!$C$4)/('Choix pédagogiques'!$C$5-'Choix pédagogiques'!$C$4),"")</f>
        <v/>
      </c>
      <c r="AY288" s="55" t="str">
        <f aca="false">IF(AND('Choix pédagogiques'!$C$4&lt;&gt;"?",'Choix pédagogiques'!$C$5&lt;&gt;"?",AD288&lt;&gt;""),(AD288-'Choix pédagogiques'!$C$4)/('Choix pédagogiques'!$C$5-'Choix pédagogiques'!$C$4),"")</f>
        <v/>
      </c>
      <c r="AZ288" s="53" t="str">
        <f aca="false">IF($J288&lt;&gt;"",$J288,"")</f>
        <v/>
      </c>
      <c r="BA288" s="52" t="str">
        <f aca="false">IF($A288&lt;&gt;"",$A288,"")</f>
        <v>Apprenant 276</v>
      </c>
      <c r="BB288" s="55" t="str">
        <f aca="false">IF(AND($AR288&lt;&gt;"",$AS288&lt;&gt;""),$AS288-$AR288,"")</f>
        <v/>
      </c>
      <c r="BC288" s="55" t="str">
        <f aca="false">IF(AND($AR288&lt;&gt;"",$AT288&lt;&gt;""),$AT288-$AR288,"")</f>
        <v/>
      </c>
      <c r="BD288" s="55" t="str">
        <f aca="false">IF(AND($AS288&lt;&gt;"",$AT288&lt;&gt;""),$AT288-$AS288,"")</f>
        <v/>
      </c>
      <c r="BE288" s="53" t="str">
        <f aca="false">IF($E288&lt;&gt;"",$E288,"")</f>
        <v/>
      </c>
      <c r="BF288" s="52" t="str">
        <f aca="false">IF($F288&lt;&gt;"",$F288,"")</f>
        <v>Apprenant 276 ou 276'</v>
      </c>
      <c r="BG288" s="55" t="str">
        <f aca="false">IF(AND($AW288&lt;&gt;"",$AX288&lt;&gt;""),$AX288-$AW288,"")</f>
        <v/>
      </c>
      <c r="BH288" s="55" t="str">
        <f aca="false">IF(AND($AW288&lt;&gt;"",$AY288&lt;&gt;""),$AY288-$AW288,"")</f>
        <v/>
      </c>
      <c r="BI288" s="55" t="str">
        <f aca="false">IF(AND($AX288&lt;&gt;"",$AY288&lt;&gt;""),$AY288-$AX288,"")</f>
        <v/>
      </c>
      <c r="BJ288" s="53" t="str">
        <f aca="false">IF($J288&lt;&gt;"",$J288,"")</f>
        <v/>
      </c>
      <c r="BL288" s="52"/>
      <c r="BM288" s="52" t="str">
        <f aca="false">IF(OR(COUNT(B288:D1287)=0,AND('Choix pédagogiques'!$C$3&lt;&gt;1,'Choix pédagogiques'!$C$3&lt;&gt;2)),"",IF(AND(OR('Choix pédagogiques'!$C$3=1,'Choix pédagogiques'!$C$3=2),$B288&lt;&gt;"",$C288&lt;&gt;"",$D288&lt;&gt;""),1,0))</f>
        <v/>
      </c>
      <c r="BN288" s="52" t="str">
        <f aca="false">IF(OR(COUNT(G288:I1287)=0,AND('Choix pédagogiques'!$C$3&lt;&gt;1,'Choix pédagogiques'!$C$3&lt;&gt;2)),"",IF(AND(OR('Choix pédagogiques'!$C$3=1,'Choix pédagogiques'!$C$3=2),AND($G288&lt;&gt;"",$H288&lt;&gt;"",$I288&lt;&gt;"")),1,0))</f>
        <v/>
      </c>
      <c r="BO288" s="52" t="str">
        <f aca="false">IF(OR(COUNT(B288:D1287)=0,COUNT(G288:I1287)=0,'Choix pédagogiques'!C$3&lt;&gt;3),"",IF(AND('Choix pédagogiques'!$C$3=3,$B288&lt;&gt;"",$C288&lt;&gt;"",$D288&lt;&gt;"",$G288&lt;&gt;"",$H288&lt;&gt;"",$I288&lt;&gt;""),1,0))</f>
        <v/>
      </c>
      <c r="BR288" s="52" t="n">
        <v>124</v>
      </c>
      <c r="BS288" s="52" t="n">
        <v>1262</v>
      </c>
    </row>
    <row r="289" s="54" customFormat="true" ht="18" hidden="false" customHeight="true" outlineLevel="0" collapsed="false">
      <c r="A289" s="57" t="s">
        <v>509</v>
      </c>
      <c r="B289" s="51"/>
      <c r="C289" s="51"/>
      <c r="D289" s="51"/>
      <c r="E289" s="51"/>
      <c r="F289" s="57" t="s">
        <v>510</v>
      </c>
      <c r="G289" s="51"/>
      <c r="H289" s="51"/>
      <c r="I289" s="51"/>
      <c r="J289" s="51"/>
      <c r="K289" s="52" t="str">
        <f aca="false">IF($A289&lt;&gt;"",$A289,"")</f>
        <v>Apprenant 277</v>
      </c>
      <c r="L289" s="53" t="str">
        <f aca="false">IF(AND($B289&lt;&gt;"",$C289&lt;&gt;""),$C289-$B289,"")</f>
        <v/>
      </c>
      <c r="M289" s="53" t="str">
        <f aca="false">IF(AND($B289&lt;&gt;"",$D289&lt;&gt;""),$D289-$B289,"")</f>
        <v/>
      </c>
      <c r="N289" s="53" t="str">
        <f aca="false">IF(AND($C289&lt;&gt;"",$D289&lt;&gt;""),$D289-$C289,"")</f>
        <v/>
      </c>
      <c r="O289" s="53" t="str">
        <f aca="false">IF($E289&lt;&gt;"",$E289,"")</f>
        <v/>
      </c>
      <c r="P289" s="52" t="str">
        <f aca="false">IF($F289&lt;&gt;"",$F289,"")</f>
        <v>Apprenant 277 ou 277'</v>
      </c>
      <c r="Q289" s="53" t="str">
        <f aca="false">IF(AND($G289&lt;&gt;"",$H289&lt;&gt;""),$H289-$G289,"")</f>
        <v/>
      </c>
      <c r="R289" s="53" t="str">
        <f aca="false">IF(AND($G289&lt;&gt;"",$I289&lt;&gt;""),$I289-$G289,"")</f>
        <v/>
      </c>
      <c r="S289" s="53" t="str">
        <f aca="false">IF(AND($H289&lt;&gt;"",$I289&lt;&gt;""),$I289-$H289,"")</f>
        <v/>
      </c>
      <c r="T289" s="53" t="str">
        <f aca="false">IF($J289&lt;&gt;"",$J289,"")</f>
        <v/>
      </c>
      <c r="V289" s="52" t="str">
        <f aca="false">IF($A289&lt;&gt;"",$A289,"")</f>
        <v>Apprenant 277</v>
      </c>
      <c r="W289" s="53" t="str">
        <f aca="false">IF(AND(OR('Choix pédagogiques'!$C$3=1,'Choix pédagogiques'!$C$3=2),$BM289=1),B289,IF(AND('Choix pédagogiques'!$C$3=3,$BO289=1),B289,""))</f>
        <v/>
      </c>
      <c r="X289" s="53" t="str">
        <f aca="false">IF(AND(OR('Choix pédagogiques'!$C$3=1,'Choix pédagogiques'!$C$3=2),$BM289=1),C289,IF(AND('Choix pédagogiques'!$C$3=3,$BO289=1),C289,""))</f>
        <v/>
      </c>
      <c r="Y289" s="53" t="str">
        <f aca="false">IF(AND(OR('Choix pédagogiques'!$C$3=1,'Choix pédagogiques'!$C$3=2),$BM289=1),D289,IF(AND('Choix pédagogiques'!$C$3=3,$BO289=1),D289,""))</f>
        <v/>
      </c>
      <c r="Z289" s="53" t="str">
        <f aca="false">IF($E289&lt;&gt;"",$E289,"")</f>
        <v/>
      </c>
      <c r="AA289" s="52" t="str">
        <f aca="false">IF($F289&lt;&gt;"",$F289,"")</f>
        <v>Apprenant 277 ou 277'</v>
      </c>
      <c r="AB289" s="53" t="str">
        <f aca="false">IF(AND(OR('Choix pédagogiques'!$C$3=1,'Choix pédagogiques'!$C$3=2),$BN289=1),G289,IF(AND('Choix pédagogiques'!$C$3=3,$BO289=1),G289,""))</f>
        <v/>
      </c>
      <c r="AC289" s="53" t="str">
        <f aca="false">IF(AND(OR('Choix pédagogiques'!$C$3=1,'Choix pédagogiques'!$C$3=2),$BN289=1),H289,IF(AND('Choix pédagogiques'!$C$3=3,$BO289=1),H289,""))</f>
        <v/>
      </c>
      <c r="AD289" s="53" t="str">
        <f aca="false">IF(AND(OR('Choix pédagogiques'!$C$3=1,'Choix pédagogiques'!$C$3=2),$BN289=1),I289,IF(AND('Choix pédagogiques'!$C$3=3,$BO289=1),I289,""))</f>
        <v/>
      </c>
      <c r="AE289" s="53" t="str">
        <f aca="false">IF($J289&lt;&gt;"",$J289,"")</f>
        <v/>
      </c>
      <c r="AF289" s="52" t="str">
        <f aca="false">IF($A289&lt;&gt;"",$A289,"")</f>
        <v>Apprenant 277</v>
      </c>
      <c r="AG289" s="53" t="str">
        <f aca="false">IF(AND($W289&lt;&gt;"",$X289&lt;&gt;""),$X289-$W289,"")</f>
        <v/>
      </c>
      <c r="AH289" s="53" t="str">
        <f aca="false">IF(AND($W289&lt;&gt;"",$Y289&lt;&gt;""),$Y289-$W289,"")</f>
        <v/>
      </c>
      <c r="AI289" s="53" t="str">
        <f aca="false">IF(AND($X289&lt;&gt;"",$Y289&lt;&gt;""),$Y289-$X289,"")</f>
        <v/>
      </c>
      <c r="AJ289" s="53" t="str">
        <f aca="false">IF($E289&lt;&gt;"",$E289,"")</f>
        <v/>
      </c>
      <c r="AK289" s="52" t="str">
        <f aca="false">IF($F289&lt;&gt;"",$F289,"")</f>
        <v>Apprenant 277 ou 277'</v>
      </c>
      <c r="AL289" s="53" t="str">
        <f aca="false">IF(AND($AB289&lt;&gt;"",$AC289&lt;&gt;""),$AC289-$AB289,"")</f>
        <v/>
      </c>
      <c r="AM289" s="53" t="str">
        <f aca="false">IF(AND($AB289&lt;&gt;"",$AD289&lt;&gt;""),$AD289-$AB289,"")</f>
        <v/>
      </c>
      <c r="AN289" s="53" t="str">
        <f aca="false">IF(AND($AC289&lt;&gt;"",$AD289&lt;&gt;""),$AD289-$AC289,"")</f>
        <v/>
      </c>
      <c r="AO289" s="53" t="str">
        <f aca="false">IF($J289&lt;&gt;"",$J289,"")</f>
        <v/>
      </c>
      <c r="AQ289" s="52" t="str">
        <f aca="false">IF($A289&lt;&gt;"",$A289,"")</f>
        <v>Apprenant 277</v>
      </c>
      <c r="AR289" s="55" t="str">
        <f aca="false">IF(AND('Choix pédagogiques'!$C$4&lt;&gt;"?",'Choix pédagogiques'!$C$5&lt;&gt;"?",W289&lt;&gt;""),(W289-'Choix pédagogiques'!$C$4)/('Choix pédagogiques'!$C$5-'Choix pédagogiques'!$C$4),"")</f>
        <v/>
      </c>
      <c r="AS289" s="55" t="str">
        <f aca="false">IF(AND('Choix pédagogiques'!$C$4&lt;&gt;"?",'Choix pédagogiques'!$C$5&lt;&gt;"?",X289&lt;&gt;""),(X289-'Choix pédagogiques'!$C$4)/('Choix pédagogiques'!$C$5-'Choix pédagogiques'!$C$4),"")</f>
        <v/>
      </c>
      <c r="AT289" s="55" t="str">
        <f aca="false">IF(AND('Choix pédagogiques'!$C$4&lt;&gt;"?",'Choix pédagogiques'!$C$5&lt;&gt;"?",Y289&lt;&gt;""),(Y289-'Choix pédagogiques'!$C$4)/('Choix pédagogiques'!$C$5-'Choix pédagogiques'!$C$4),"")</f>
        <v/>
      </c>
      <c r="AU289" s="53" t="str">
        <f aca="false">IF($E289&lt;&gt;"",$E289,"")</f>
        <v/>
      </c>
      <c r="AV289" s="52" t="str">
        <f aca="false">IF($F289&lt;&gt;"",$F289,"")</f>
        <v>Apprenant 277 ou 277'</v>
      </c>
      <c r="AW289" s="55" t="str">
        <f aca="false">IF(AND('Choix pédagogiques'!$C$4&lt;&gt;"?",'Choix pédagogiques'!$C$5&lt;&gt;"?",AB289&lt;&gt;""),(AB289-'Choix pédagogiques'!$C$4)/('Choix pédagogiques'!$C$5-'Choix pédagogiques'!$C$4),"")</f>
        <v/>
      </c>
      <c r="AX289" s="55" t="str">
        <f aca="false">IF(AND('Choix pédagogiques'!$C$4&lt;&gt;"?",'Choix pédagogiques'!$C$5&lt;&gt;"?",AC289&lt;&gt;""),(AC289-'Choix pédagogiques'!$C$4)/('Choix pédagogiques'!$C$5-'Choix pédagogiques'!$C$4),"")</f>
        <v/>
      </c>
      <c r="AY289" s="55" t="str">
        <f aca="false">IF(AND('Choix pédagogiques'!$C$4&lt;&gt;"?",'Choix pédagogiques'!$C$5&lt;&gt;"?",AD289&lt;&gt;""),(AD289-'Choix pédagogiques'!$C$4)/('Choix pédagogiques'!$C$5-'Choix pédagogiques'!$C$4),"")</f>
        <v/>
      </c>
      <c r="AZ289" s="53" t="str">
        <f aca="false">IF($J289&lt;&gt;"",$J289,"")</f>
        <v/>
      </c>
      <c r="BA289" s="52" t="str">
        <f aca="false">IF($A289&lt;&gt;"",$A289,"")</f>
        <v>Apprenant 277</v>
      </c>
      <c r="BB289" s="55" t="str">
        <f aca="false">IF(AND($AR289&lt;&gt;"",$AS289&lt;&gt;""),$AS289-$AR289,"")</f>
        <v/>
      </c>
      <c r="BC289" s="55" t="str">
        <f aca="false">IF(AND($AR289&lt;&gt;"",$AT289&lt;&gt;""),$AT289-$AR289,"")</f>
        <v/>
      </c>
      <c r="BD289" s="55" t="str">
        <f aca="false">IF(AND($AS289&lt;&gt;"",$AT289&lt;&gt;""),$AT289-$AS289,"")</f>
        <v/>
      </c>
      <c r="BE289" s="53" t="str">
        <f aca="false">IF($E289&lt;&gt;"",$E289,"")</f>
        <v/>
      </c>
      <c r="BF289" s="52" t="str">
        <f aca="false">IF($F289&lt;&gt;"",$F289,"")</f>
        <v>Apprenant 277 ou 277'</v>
      </c>
      <c r="BG289" s="55" t="str">
        <f aca="false">IF(AND($AW289&lt;&gt;"",$AX289&lt;&gt;""),$AX289-$AW289,"")</f>
        <v/>
      </c>
      <c r="BH289" s="55" t="str">
        <f aca="false">IF(AND($AW289&lt;&gt;"",$AY289&lt;&gt;""),$AY289-$AW289,"")</f>
        <v/>
      </c>
      <c r="BI289" s="55" t="str">
        <f aca="false">IF(AND($AX289&lt;&gt;"",$AY289&lt;&gt;""),$AY289-$AX289,"")</f>
        <v/>
      </c>
      <c r="BJ289" s="53" t="str">
        <f aca="false">IF($J289&lt;&gt;"",$J289,"")</f>
        <v/>
      </c>
      <c r="BL289" s="52"/>
      <c r="BM289" s="52" t="str">
        <f aca="false">IF(OR(COUNT(B289:D1288)=0,AND('Choix pédagogiques'!$C$3&lt;&gt;1,'Choix pédagogiques'!$C$3&lt;&gt;2)),"",IF(AND(OR('Choix pédagogiques'!$C$3=1,'Choix pédagogiques'!$C$3=2),$B289&lt;&gt;"",$C289&lt;&gt;"",$D289&lt;&gt;""),1,0))</f>
        <v/>
      </c>
      <c r="BN289" s="52" t="str">
        <f aca="false">IF(OR(COUNT(G289:I1288)=0,AND('Choix pédagogiques'!$C$3&lt;&gt;1,'Choix pédagogiques'!$C$3&lt;&gt;2)),"",IF(AND(OR('Choix pédagogiques'!$C$3=1,'Choix pédagogiques'!$C$3=2),AND($G289&lt;&gt;"",$H289&lt;&gt;"",$I289&lt;&gt;"")),1,0))</f>
        <v/>
      </c>
      <c r="BO289" s="52" t="str">
        <f aca="false">IF(OR(COUNT(B289:D1288)=0,COUNT(G289:I1288)=0,'Choix pédagogiques'!C$3&lt;&gt;3),"",IF(AND('Choix pédagogiques'!$C$3=3,$B289&lt;&gt;"",$C289&lt;&gt;"",$D289&lt;&gt;"",$G289&lt;&gt;"",$H289&lt;&gt;"",$I289&lt;&gt;""),1,0))</f>
        <v/>
      </c>
      <c r="BR289" s="52" t="n">
        <v>231</v>
      </c>
      <c r="BS289" s="52" t="n">
        <v>1903</v>
      </c>
    </row>
    <row r="290" s="54" customFormat="true" ht="18" hidden="false" customHeight="true" outlineLevel="0" collapsed="false">
      <c r="A290" s="57" t="s">
        <v>511</v>
      </c>
      <c r="B290" s="51"/>
      <c r="C290" s="51"/>
      <c r="D290" s="51"/>
      <c r="E290" s="51"/>
      <c r="F290" s="57" t="s">
        <v>512</v>
      </c>
      <c r="G290" s="51"/>
      <c r="H290" s="51"/>
      <c r="I290" s="51"/>
      <c r="J290" s="51"/>
      <c r="K290" s="52" t="str">
        <f aca="false">IF($A290&lt;&gt;"",$A290,"")</f>
        <v>Apprenant 278</v>
      </c>
      <c r="L290" s="53" t="str">
        <f aca="false">IF(AND($B290&lt;&gt;"",$C290&lt;&gt;""),$C290-$B290,"")</f>
        <v/>
      </c>
      <c r="M290" s="53" t="str">
        <f aca="false">IF(AND($B290&lt;&gt;"",$D290&lt;&gt;""),$D290-$B290,"")</f>
        <v/>
      </c>
      <c r="N290" s="53" t="str">
        <f aca="false">IF(AND($C290&lt;&gt;"",$D290&lt;&gt;""),$D290-$C290,"")</f>
        <v/>
      </c>
      <c r="O290" s="53" t="str">
        <f aca="false">IF($E290&lt;&gt;"",$E290,"")</f>
        <v/>
      </c>
      <c r="P290" s="52" t="str">
        <f aca="false">IF($F290&lt;&gt;"",$F290,"")</f>
        <v>Apprenant 278 ou 278'</v>
      </c>
      <c r="Q290" s="53" t="str">
        <f aca="false">IF(AND($G290&lt;&gt;"",$H290&lt;&gt;""),$H290-$G290,"")</f>
        <v/>
      </c>
      <c r="R290" s="53" t="str">
        <f aca="false">IF(AND($G290&lt;&gt;"",$I290&lt;&gt;""),$I290-$G290,"")</f>
        <v/>
      </c>
      <c r="S290" s="53" t="str">
        <f aca="false">IF(AND($H290&lt;&gt;"",$I290&lt;&gt;""),$I290-$H290,"")</f>
        <v/>
      </c>
      <c r="T290" s="53" t="str">
        <f aca="false">IF($J290&lt;&gt;"",$J290,"")</f>
        <v/>
      </c>
      <c r="V290" s="52" t="str">
        <f aca="false">IF($A290&lt;&gt;"",$A290,"")</f>
        <v>Apprenant 278</v>
      </c>
      <c r="W290" s="53" t="str">
        <f aca="false">IF(AND(OR('Choix pédagogiques'!$C$3=1,'Choix pédagogiques'!$C$3=2),$BM290=1),B290,IF(AND('Choix pédagogiques'!$C$3=3,$BO290=1),B290,""))</f>
        <v/>
      </c>
      <c r="X290" s="53" t="str">
        <f aca="false">IF(AND(OR('Choix pédagogiques'!$C$3=1,'Choix pédagogiques'!$C$3=2),$BM290=1),C290,IF(AND('Choix pédagogiques'!$C$3=3,$BO290=1),C290,""))</f>
        <v/>
      </c>
      <c r="Y290" s="53" t="str">
        <f aca="false">IF(AND(OR('Choix pédagogiques'!$C$3=1,'Choix pédagogiques'!$C$3=2),$BM290=1),D290,IF(AND('Choix pédagogiques'!$C$3=3,$BO290=1),D290,""))</f>
        <v/>
      </c>
      <c r="Z290" s="53" t="str">
        <f aca="false">IF($E290&lt;&gt;"",$E290,"")</f>
        <v/>
      </c>
      <c r="AA290" s="52" t="str">
        <f aca="false">IF($F290&lt;&gt;"",$F290,"")</f>
        <v>Apprenant 278 ou 278'</v>
      </c>
      <c r="AB290" s="53" t="str">
        <f aca="false">IF(AND(OR('Choix pédagogiques'!$C$3=1,'Choix pédagogiques'!$C$3=2),$BN290=1),G290,IF(AND('Choix pédagogiques'!$C$3=3,$BO290=1),G290,""))</f>
        <v/>
      </c>
      <c r="AC290" s="53" t="str">
        <f aca="false">IF(AND(OR('Choix pédagogiques'!$C$3=1,'Choix pédagogiques'!$C$3=2),$BN290=1),H290,IF(AND('Choix pédagogiques'!$C$3=3,$BO290=1),H290,""))</f>
        <v/>
      </c>
      <c r="AD290" s="53" t="str">
        <f aca="false">IF(AND(OR('Choix pédagogiques'!$C$3=1,'Choix pédagogiques'!$C$3=2),$BN290=1),I290,IF(AND('Choix pédagogiques'!$C$3=3,$BO290=1),I290,""))</f>
        <v/>
      </c>
      <c r="AE290" s="53" t="str">
        <f aca="false">IF($J290&lt;&gt;"",$J290,"")</f>
        <v/>
      </c>
      <c r="AF290" s="52" t="str">
        <f aca="false">IF($A290&lt;&gt;"",$A290,"")</f>
        <v>Apprenant 278</v>
      </c>
      <c r="AG290" s="53" t="str">
        <f aca="false">IF(AND($W290&lt;&gt;"",$X290&lt;&gt;""),$X290-$W290,"")</f>
        <v/>
      </c>
      <c r="AH290" s="53" t="str">
        <f aca="false">IF(AND($W290&lt;&gt;"",$Y290&lt;&gt;""),$Y290-$W290,"")</f>
        <v/>
      </c>
      <c r="AI290" s="53" t="str">
        <f aca="false">IF(AND($X290&lt;&gt;"",$Y290&lt;&gt;""),$Y290-$X290,"")</f>
        <v/>
      </c>
      <c r="AJ290" s="53" t="str">
        <f aca="false">IF($E290&lt;&gt;"",$E290,"")</f>
        <v/>
      </c>
      <c r="AK290" s="52" t="str">
        <f aca="false">IF($F290&lt;&gt;"",$F290,"")</f>
        <v>Apprenant 278 ou 278'</v>
      </c>
      <c r="AL290" s="53" t="str">
        <f aca="false">IF(AND($AB290&lt;&gt;"",$AC290&lt;&gt;""),$AC290-$AB290,"")</f>
        <v/>
      </c>
      <c r="AM290" s="53" t="str">
        <f aca="false">IF(AND($AB290&lt;&gt;"",$AD290&lt;&gt;""),$AD290-$AB290,"")</f>
        <v/>
      </c>
      <c r="AN290" s="53" t="str">
        <f aca="false">IF(AND($AC290&lt;&gt;"",$AD290&lt;&gt;""),$AD290-$AC290,"")</f>
        <v/>
      </c>
      <c r="AO290" s="53" t="str">
        <f aca="false">IF($J290&lt;&gt;"",$J290,"")</f>
        <v/>
      </c>
      <c r="AQ290" s="52" t="str">
        <f aca="false">IF($A290&lt;&gt;"",$A290,"")</f>
        <v>Apprenant 278</v>
      </c>
      <c r="AR290" s="55" t="str">
        <f aca="false">IF(AND('Choix pédagogiques'!$C$4&lt;&gt;"?",'Choix pédagogiques'!$C$5&lt;&gt;"?",W290&lt;&gt;""),(W290-'Choix pédagogiques'!$C$4)/('Choix pédagogiques'!$C$5-'Choix pédagogiques'!$C$4),"")</f>
        <v/>
      </c>
      <c r="AS290" s="55" t="str">
        <f aca="false">IF(AND('Choix pédagogiques'!$C$4&lt;&gt;"?",'Choix pédagogiques'!$C$5&lt;&gt;"?",X290&lt;&gt;""),(X290-'Choix pédagogiques'!$C$4)/('Choix pédagogiques'!$C$5-'Choix pédagogiques'!$C$4),"")</f>
        <v/>
      </c>
      <c r="AT290" s="55" t="str">
        <f aca="false">IF(AND('Choix pédagogiques'!$C$4&lt;&gt;"?",'Choix pédagogiques'!$C$5&lt;&gt;"?",Y290&lt;&gt;""),(Y290-'Choix pédagogiques'!$C$4)/('Choix pédagogiques'!$C$5-'Choix pédagogiques'!$C$4),"")</f>
        <v/>
      </c>
      <c r="AU290" s="53" t="str">
        <f aca="false">IF($E290&lt;&gt;"",$E290,"")</f>
        <v/>
      </c>
      <c r="AV290" s="52" t="str">
        <f aca="false">IF($F290&lt;&gt;"",$F290,"")</f>
        <v>Apprenant 278 ou 278'</v>
      </c>
      <c r="AW290" s="55" t="str">
        <f aca="false">IF(AND('Choix pédagogiques'!$C$4&lt;&gt;"?",'Choix pédagogiques'!$C$5&lt;&gt;"?",AB290&lt;&gt;""),(AB290-'Choix pédagogiques'!$C$4)/('Choix pédagogiques'!$C$5-'Choix pédagogiques'!$C$4),"")</f>
        <v/>
      </c>
      <c r="AX290" s="55" t="str">
        <f aca="false">IF(AND('Choix pédagogiques'!$C$4&lt;&gt;"?",'Choix pédagogiques'!$C$5&lt;&gt;"?",AC290&lt;&gt;""),(AC290-'Choix pédagogiques'!$C$4)/('Choix pédagogiques'!$C$5-'Choix pédagogiques'!$C$4),"")</f>
        <v/>
      </c>
      <c r="AY290" s="55" t="str">
        <f aca="false">IF(AND('Choix pédagogiques'!$C$4&lt;&gt;"?",'Choix pédagogiques'!$C$5&lt;&gt;"?",AD290&lt;&gt;""),(AD290-'Choix pédagogiques'!$C$4)/('Choix pédagogiques'!$C$5-'Choix pédagogiques'!$C$4),"")</f>
        <v/>
      </c>
      <c r="AZ290" s="53" t="str">
        <f aca="false">IF($J290&lt;&gt;"",$J290,"")</f>
        <v/>
      </c>
      <c r="BA290" s="52" t="str">
        <f aca="false">IF($A290&lt;&gt;"",$A290,"")</f>
        <v>Apprenant 278</v>
      </c>
      <c r="BB290" s="55" t="str">
        <f aca="false">IF(AND($AR290&lt;&gt;"",$AS290&lt;&gt;""),$AS290-$AR290,"")</f>
        <v/>
      </c>
      <c r="BC290" s="55" t="str">
        <f aca="false">IF(AND($AR290&lt;&gt;"",$AT290&lt;&gt;""),$AT290-$AR290,"")</f>
        <v/>
      </c>
      <c r="BD290" s="55" t="str">
        <f aca="false">IF(AND($AS290&lt;&gt;"",$AT290&lt;&gt;""),$AT290-$AS290,"")</f>
        <v/>
      </c>
      <c r="BE290" s="53" t="str">
        <f aca="false">IF($E290&lt;&gt;"",$E290,"")</f>
        <v/>
      </c>
      <c r="BF290" s="52" t="str">
        <f aca="false">IF($F290&lt;&gt;"",$F290,"")</f>
        <v>Apprenant 278 ou 278'</v>
      </c>
      <c r="BG290" s="55" t="str">
        <f aca="false">IF(AND($AW290&lt;&gt;"",$AX290&lt;&gt;""),$AX290-$AW290,"")</f>
        <v/>
      </c>
      <c r="BH290" s="55" t="str">
        <f aca="false">IF(AND($AW290&lt;&gt;"",$AY290&lt;&gt;""),$AY290-$AW290,"")</f>
        <v/>
      </c>
      <c r="BI290" s="55" t="str">
        <f aca="false">IF(AND($AX290&lt;&gt;"",$AY290&lt;&gt;""),$AY290-$AX290,"")</f>
        <v/>
      </c>
      <c r="BJ290" s="53" t="str">
        <f aca="false">IF($J290&lt;&gt;"",$J290,"")</f>
        <v/>
      </c>
      <c r="BL290" s="52"/>
      <c r="BM290" s="52" t="str">
        <f aca="false">IF(OR(COUNT(B290:D1289)=0,AND('Choix pédagogiques'!$C$3&lt;&gt;1,'Choix pédagogiques'!$C$3&lt;&gt;2)),"",IF(AND(OR('Choix pédagogiques'!$C$3=1,'Choix pédagogiques'!$C$3=2),$B290&lt;&gt;"",$C290&lt;&gt;"",$D290&lt;&gt;""),1,0))</f>
        <v/>
      </c>
      <c r="BN290" s="52" t="str">
        <f aca="false">IF(OR(COUNT(G290:I1289)=0,AND('Choix pédagogiques'!$C$3&lt;&gt;1,'Choix pédagogiques'!$C$3&lt;&gt;2)),"",IF(AND(OR('Choix pédagogiques'!$C$3=1,'Choix pédagogiques'!$C$3=2),AND($G290&lt;&gt;"",$H290&lt;&gt;"",$I290&lt;&gt;"")),1,0))</f>
        <v/>
      </c>
      <c r="BO290" s="52" t="str">
        <f aca="false">IF(OR(COUNT(B290:D1289)=0,COUNT(G290:I1289)=0,'Choix pédagogiques'!C$3&lt;&gt;3),"",IF(AND('Choix pédagogiques'!$C$3=3,$B290&lt;&gt;"",$C290&lt;&gt;"",$D290&lt;&gt;"",$G290&lt;&gt;"",$H290&lt;&gt;"",$I290&lt;&gt;""),1,0))</f>
        <v/>
      </c>
      <c r="BR290" s="52" t="n">
        <v>396</v>
      </c>
      <c r="BS290" s="52" t="n">
        <v>1757</v>
      </c>
    </row>
    <row r="291" s="54" customFormat="true" ht="18" hidden="false" customHeight="true" outlineLevel="0" collapsed="false">
      <c r="A291" s="57" t="s">
        <v>513</v>
      </c>
      <c r="B291" s="51"/>
      <c r="C291" s="51"/>
      <c r="D291" s="51"/>
      <c r="E291" s="51"/>
      <c r="F291" s="57" t="s">
        <v>514</v>
      </c>
      <c r="G291" s="51"/>
      <c r="H291" s="51"/>
      <c r="I291" s="51"/>
      <c r="J291" s="51"/>
      <c r="K291" s="52" t="str">
        <f aca="false">IF($A291&lt;&gt;"",$A291,"")</f>
        <v>Apprenant 279</v>
      </c>
      <c r="L291" s="53" t="str">
        <f aca="false">IF(AND($B291&lt;&gt;"",$C291&lt;&gt;""),$C291-$B291,"")</f>
        <v/>
      </c>
      <c r="M291" s="53" t="str">
        <f aca="false">IF(AND($B291&lt;&gt;"",$D291&lt;&gt;""),$D291-$B291,"")</f>
        <v/>
      </c>
      <c r="N291" s="53" t="str">
        <f aca="false">IF(AND($C291&lt;&gt;"",$D291&lt;&gt;""),$D291-$C291,"")</f>
        <v/>
      </c>
      <c r="O291" s="53" t="str">
        <f aca="false">IF($E291&lt;&gt;"",$E291,"")</f>
        <v/>
      </c>
      <c r="P291" s="52" t="str">
        <f aca="false">IF($F291&lt;&gt;"",$F291,"")</f>
        <v>Apprenant 279 ou 279'</v>
      </c>
      <c r="Q291" s="53" t="str">
        <f aca="false">IF(AND($G291&lt;&gt;"",$H291&lt;&gt;""),$H291-$G291,"")</f>
        <v/>
      </c>
      <c r="R291" s="53" t="str">
        <f aca="false">IF(AND($G291&lt;&gt;"",$I291&lt;&gt;""),$I291-$G291,"")</f>
        <v/>
      </c>
      <c r="S291" s="53" t="str">
        <f aca="false">IF(AND($H291&lt;&gt;"",$I291&lt;&gt;""),$I291-$H291,"")</f>
        <v/>
      </c>
      <c r="T291" s="53" t="str">
        <f aca="false">IF($J291&lt;&gt;"",$J291,"")</f>
        <v/>
      </c>
      <c r="V291" s="52" t="str">
        <f aca="false">IF($A291&lt;&gt;"",$A291,"")</f>
        <v>Apprenant 279</v>
      </c>
      <c r="W291" s="53" t="str">
        <f aca="false">IF(AND(OR('Choix pédagogiques'!$C$3=1,'Choix pédagogiques'!$C$3=2),$BM291=1),B291,IF(AND('Choix pédagogiques'!$C$3=3,$BO291=1),B291,""))</f>
        <v/>
      </c>
      <c r="X291" s="53" t="str">
        <f aca="false">IF(AND(OR('Choix pédagogiques'!$C$3=1,'Choix pédagogiques'!$C$3=2),$BM291=1),C291,IF(AND('Choix pédagogiques'!$C$3=3,$BO291=1),C291,""))</f>
        <v/>
      </c>
      <c r="Y291" s="53" t="str">
        <f aca="false">IF(AND(OR('Choix pédagogiques'!$C$3=1,'Choix pédagogiques'!$C$3=2),$BM291=1),D291,IF(AND('Choix pédagogiques'!$C$3=3,$BO291=1),D291,""))</f>
        <v/>
      </c>
      <c r="Z291" s="53" t="str">
        <f aca="false">IF($E291&lt;&gt;"",$E291,"")</f>
        <v/>
      </c>
      <c r="AA291" s="52" t="str">
        <f aca="false">IF($F291&lt;&gt;"",$F291,"")</f>
        <v>Apprenant 279 ou 279'</v>
      </c>
      <c r="AB291" s="53" t="str">
        <f aca="false">IF(AND(OR('Choix pédagogiques'!$C$3=1,'Choix pédagogiques'!$C$3=2),$BN291=1),G291,IF(AND('Choix pédagogiques'!$C$3=3,$BO291=1),G291,""))</f>
        <v/>
      </c>
      <c r="AC291" s="53" t="str">
        <f aca="false">IF(AND(OR('Choix pédagogiques'!$C$3=1,'Choix pédagogiques'!$C$3=2),$BN291=1),H291,IF(AND('Choix pédagogiques'!$C$3=3,$BO291=1),H291,""))</f>
        <v/>
      </c>
      <c r="AD291" s="53" t="str">
        <f aca="false">IF(AND(OR('Choix pédagogiques'!$C$3=1,'Choix pédagogiques'!$C$3=2),$BN291=1),I291,IF(AND('Choix pédagogiques'!$C$3=3,$BO291=1),I291,""))</f>
        <v/>
      </c>
      <c r="AE291" s="53" t="str">
        <f aca="false">IF($J291&lt;&gt;"",$J291,"")</f>
        <v/>
      </c>
      <c r="AF291" s="52" t="str">
        <f aca="false">IF($A291&lt;&gt;"",$A291,"")</f>
        <v>Apprenant 279</v>
      </c>
      <c r="AG291" s="53" t="str">
        <f aca="false">IF(AND($W291&lt;&gt;"",$X291&lt;&gt;""),$X291-$W291,"")</f>
        <v/>
      </c>
      <c r="AH291" s="53" t="str">
        <f aca="false">IF(AND($W291&lt;&gt;"",$Y291&lt;&gt;""),$Y291-$W291,"")</f>
        <v/>
      </c>
      <c r="AI291" s="53" t="str">
        <f aca="false">IF(AND($X291&lt;&gt;"",$Y291&lt;&gt;""),$Y291-$X291,"")</f>
        <v/>
      </c>
      <c r="AJ291" s="53" t="str">
        <f aca="false">IF($E291&lt;&gt;"",$E291,"")</f>
        <v/>
      </c>
      <c r="AK291" s="52" t="str">
        <f aca="false">IF($F291&lt;&gt;"",$F291,"")</f>
        <v>Apprenant 279 ou 279'</v>
      </c>
      <c r="AL291" s="53" t="str">
        <f aca="false">IF(AND($AB291&lt;&gt;"",$AC291&lt;&gt;""),$AC291-$AB291,"")</f>
        <v/>
      </c>
      <c r="AM291" s="53" t="str">
        <f aca="false">IF(AND($AB291&lt;&gt;"",$AD291&lt;&gt;""),$AD291-$AB291,"")</f>
        <v/>
      </c>
      <c r="AN291" s="53" t="str">
        <f aca="false">IF(AND($AC291&lt;&gt;"",$AD291&lt;&gt;""),$AD291-$AC291,"")</f>
        <v/>
      </c>
      <c r="AO291" s="53" t="str">
        <f aca="false">IF($J291&lt;&gt;"",$J291,"")</f>
        <v/>
      </c>
      <c r="AQ291" s="52" t="str">
        <f aca="false">IF($A291&lt;&gt;"",$A291,"")</f>
        <v>Apprenant 279</v>
      </c>
      <c r="AR291" s="55" t="str">
        <f aca="false">IF(AND('Choix pédagogiques'!$C$4&lt;&gt;"?",'Choix pédagogiques'!$C$5&lt;&gt;"?",W291&lt;&gt;""),(W291-'Choix pédagogiques'!$C$4)/('Choix pédagogiques'!$C$5-'Choix pédagogiques'!$C$4),"")</f>
        <v/>
      </c>
      <c r="AS291" s="55" t="str">
        <f aca="false">IF(AND('Choix pédagogiques'!$C$4&lt;&gt;"?",'Choix pédagogiques'!$C$5&lt;&gt;"?",X291&lt;&gt;""),(X291-'Choix pédagogiques'!$C$4)/('Choix pédagogiques'!$C$5-'Choix pédagogiques'!$C$4),"")</f>
        <v/>
      </c>
      <c r="AT291" s="55" t="str">
        <f aca="false">IF(AND('Choix pédagogiques'!$C$4&lt;&gt;"?",'Choix pédagogiques'!$C$5&lt;&gt;"?",Y291&lt;&gt;""),(Y291-'Choix pédagogiques'!$C$4)/('Choix pédagogiques'!$C$5-'Choix pédagogiques'!$C$4),"")</f>
        <v/>
      </c>
      <c r="AU291" s="53" t="str">
        <f aca="false">IF($E291&lt;&gt;"",$E291,"")</f>
        <v/>
      </c>
      <c r="AV291" s="52" t="str">
        <f aca="false">IF($F291&lt;&gt;"",$F291,"")</f>
        <v>Apprenant 279 ou 279'</v>
      </c>
      <c r="AW291" s="55" t="str">
        <f aca="false">IF(AND('Choix pédagogiques'!$C$4&lt;&gt;"?",'Choix pédagogiques'!$C$5&lt;&gt;"?",AB291&lt;&gt;""),(AB291-'Choix pédagogiques'!$C$4)/('Choix pédagogiques'!$C$5-'Choix pédagogiques'!$C$4),"")</f>
        <v/>
      </c>
      <c r="AX291" s="55" t="str">
        <f aca="false">IF(AND('Choix pédagogiques'!$C$4&lt;&gt;"?",'Choix pédagogiques'!$C$5&lt;&gt;"?",AC291&lt;&gt;""),(AC291-'Choix pédagogiques'!$C$4)/('Choix pédagogiques'!$C$5-'Choix pédagogiques'!$C$4),"")</f>
        <v/>
      </c>
      <c r="AY291" s="55" t="str">
        <f aca="false">IF(AND('Choix pédagogiques'!$C$4&lt;&gt;"?",'Choix pédagogiques'!$C$5&lt;&gt;"?",AD291&lt;&gt;""),(AD291-'Choix pédagogiques'!$C$4)/('Choix pédagogiques'!$C$5-'Choix pédagogiques'!$C$4),"")</f>
        <v/>
      </c>
      <c r="AZ291" s="53" t="str">
        <f aca="false">IF($J291&lt;&gt;"",$J291,"")</f>
        <v/>
      </c>
      <c r="BA291" s="52" t="str">
        <f aca="false">IF($A291&lt;&gt;"",$A291,"")</f>
        <v>Apprenant 279</v>
      </c>
      <c r="BB291" s="55" t="str">
        <f aca="false">IF(AND($AR291&lt;&gt;"",$AS291&lt;&gt;""),$AS291-$AR291,"")</f>
        <v/>
      </c>
      <c r="BC291" s="55" t="str">
        <f aca="false">IF(AND($AR291&lt;&gt;"",$AT291&lt;&gt;""),$AT291-$AR291,"")</f>
        <v/>
      </c>
      <c r="BD291" s="55" t="str">
        <f aca="false">IF(AND($AS291&lt;&gt;"",$AT291&lt;&gt;""),$AT291-$AS291,"")</f>
        <v/>
      </c>
      <c r="BE291" s="53" t="str">
        <f aca="false">IF($E291&lt;&gt;"",$E291,"")</f>
        <v/>
      </c>
      <c r="BF291" s="52" t="str">
        <f aca="false">IF($F291&lt;&gt;"",$F291,"")</f>
        <v>Apprenant 279 ou 279'</v>
      </c>
      <c r="BG291" s="55" t="str">
        <f aca="false">IF(AND($AW291&lt;&gt;"",$AX291&lt;&gt;""),$AX291-$AW291,"")</f>
        <v/>
      </c>
      <c r="BH291" s="55" t="str">
        <f aca="false">IF(AND($AW291&lt;&gt;"",$AY291&lt;&gt;""),$AY291-$AW291,"")</f>
        <v/>
      </c>
      <c r="BI291" s="55" t="str">
        <f aca="false">IF(AND($AX291&lt;&gt;"",$AY291&lt;&gt;""),$AY291-$AX291,"")</f>
        <v/>
      </c>
      <c r="BJ291" s="53" t="str">
        <f aca="false">IF($J291&lt;&gt;"",$J291,"")</f>
        <v/>
      </c>
      <c r="BL291" s="52"/>
      <c r="BM291" s="52" t="str">
        <f aca="false">IF(OR(COUNT(B291:D1290)=0,AND('Choix pédagogiques'!$C$3&lt;&gt;1,'Choix pédagogiques'!$C$3&lt;&gt;2)),"",IF(AND(OR('Choix pédagogiques'!$C$3=1,'Choix pédagogiques'!$C$3=2),$B291&lt;&gt;"",$C291&lt;&gt;"",$D291&lt;&gt;""),1,0))</f>
        <v/>
      </c>
      <c r="BN291" s="52" t="str">
        <f aca="false">IF(OR(COUNT(G291:I1290)=0,AND('Choix pédagogiques'!$C$3&lt;&gt;1,'Choix pédagogiques'!$C$3&lt;&gt;2)),"",IF(AND(OR('Choix pédagogiques'!$C$3=1,'Choix pédagogiques'!$C$3=2),AND($G291&lt;&gt;"",$H291&lt;&gt;"",$I291&lt;&gt;"")),1,0))</f>
        <v/>
      </c>
      <c r="BO291" s="52" t="str">
        <f aca="false">IF(OR(COUNT(B291:D1290)=0,COUNT(G291:I1290)=0,'Choix pédagogiques'!C$3&lt;&gt;3),"",IF(AND('Choix pédagogiques'!$C$3=3,$B291&lt;&gt;"",$C291&lt;&gt;"",$D291&lt;&gt;"",$G291&lt;&gt;"",$H291&lt;&gt;"",$I291&lt;&gt;""),1,0))</f>
        <v/>
      </c>
      <c r="BR291" s="52" t="n">
        <v>955</v>
      </c>
      <c r="BS291" s="52" t="n">
        <v>1081</v>
      </c>
    </row>
    <row r="292" s="54" customFormat="true" ht="18" hidden="false" customHeight="true" outlineLevel="0" collapsed="false">
      <c r="A292" s="57" t="s">
        <v>515</v>
      </c>
      <c r="B292" s="51"/>
      <c r="C292" s="51"/>
      <c r="D292" s="51"/>
      <c r="E292" s="51"/>
      <c r="F292" s="57" t="s">
        <v>516</v>
      </c>
      <c r="G292" s="51"/>
      <c r="H292" s="51"/>
      <c r="I292" s="51"/>
      <c r="J292" s="51"/>
      <c r="K292" s="52" t="str">
        <f aca="false">IF($A292&lt;&gt;"",$A292,"")</f>
        <v>Apprenant 280</v>
      </c>
      <c r="L292" s="53" t="str">
        <f aca="false">IF(AND($B292&lt;&gt;"",$C292&lt;&gt;""),$C292-$B292,"")</f>
        <v/>
      </c>
      <c r="M292" s="53" t="str">
        <f aca="false">IF(AND($B292&lt;&gt;"",$D292&lt;&gt;""),$D292-$B292,"")</f>
        <v/>
      </c>
      <c r="N292" s="53" t="str">
        <f aca="false">IF(AND($C292&lt;&gt;"",$D292&lt;&gt;""),$D292-$C292,"")</f>
        <v/>
      </c>
      <c r="O292" s="53" t="str">
        <f aca="false">IF($E292&lt;&gt;"",$E292,"")</f>
        <v/>
      </c>
      <c r="P292" s="52" t="str">
        <f aca="false">IF($F292&lt;&gt;"",$F292,"")</f>
        <v>Apprenant 280 ou 280'</v>
      </c>
      <c r="Q292" s="53" t="str">
        <f aca="false">IF(AND($G292&lt;&gt;"",$H292&lt;&gt;""),$H292-$G292,"")</f>
        <v/>
      </c>
      <c r="R292" s="53" t="str">
        <f aca="false">IF(AND($G292&lt;&gt;"",$I292&lt;&gt;""),$I292-$G292,"")</f>
        <v/>
      </c>
      <c r="S292" s="53" t="str">
        <f aca="false">IF(AND($H292&lt;&gt;"",$I292&lt;&gt;""),$I292-$H292,"")</f>
        <v/>
      </c>
      <c r="T292" s="53" t="str">
        <f aca="false">IF($J292&lt;&gt;"",$J292,"")</f>
        <v/>
      </c>
      <c r="V292" s="52" t="str">
        <f aca="false">IF($A292&lt;&gt;"",$A292,"")</f>
        <v>Apprenant 280</v>
      </c>
      <c r="W292" s="53" t="str">
        <f aca="false">IF(AND(OR('Choix pédagogiques'!$C$3=1,'Choix pédagogiques'!$C$3=2),$BM292=1),B292,IF(AND('Choix pédagogiques'!$C$3=3,$BO292=1),B292,""))</f>
        <v/>
      </c>
      <c r="X292" s="53" t="str">
        <f aca="false">IF(AND(OR('Choix pédagogiques'!$C$3=1,'Choix pédagogiques'!$C$3=2),$BM292=1),C292,IF(AND('Choix pédagogiques'!$C$3=3,$BO292=1),C292,""))</f>
        <v/>
      </c>
      <c r="Y292" s="53" t="str">
        <f aca="false">IF(AND(OR('Choix pédagogiques'!$C$3=1,'Choix pédagogiques'!$C$3=2),$BM292=1),D292,IF(AND('Choix pédagogiques'!$C$3=3,$BO292=1),D292,""))</f>
        <v/>
      </c>
      <c r="Z292" s="53" t="str">
        <f aca="false">IF($E292&lt;&gt;"",$E292,"")</f>
        <v/>
      </c>
      <c r="AA292" s="52" t="str">
        <f aca="false">IF($F292&lt;&gt;"",$F292,"")</f>
        <v>Apprenant 280 ou 280'</v>
      </c>
      <c r="AB292" s="53" t="str">
        <f aca="false">IF(AND(OR('Choix pédagogiques'!$C$3=1,'Choix pédagogiques'!$C$3=2),$BN292=1),G292,IF(AND('Choix pédagogiques'!$C$3=3,$BO292=1),G292,""))</f>
        <v/>
      </c>
      <c r="AC292" s="53" t="str">
        <f aca="false">IF(AND(OR('Choix pédagogiques'!$C$3=1,'Choix pédagogiques'!$C$3=2),$BN292=1),H292,IF(AND('Choix pédagogiques'!$C$3=3,$BO292=1),H292,""))</f>
        <v/>
      </c>
      <c r="AD292" s="53" t="str">
        <f aca="false">IF(AND(OR('Choix pédagogiques'!$C$3=1,'Choix pédagogiques'!$C$3=2),$BN292=1),I292,IF(AND('Choix pédagogiques'!$C$3=3,$BO292=1),I292,""))</f>
        <v/>
      </c>
      <c r="AE292" s="53" t="str">
        <f aca="false">IF($J292&lt;&gt;"",$J292,"")</f>
        <v/>
      </c>
      <c r="AF292" s="52" t="str">
        <f aca="false">IF($A292&lt;&gt;"",$A292,"")</f>
        <v>Apprenant 280</v>
      </c>
      <c r="AG292" s="53" t="str">
        <f aca="false">IF(AND($W292&lt;&gt;"",$X292&lt;&gt;""),$X292-$W292,"")</f>
        <v/>
      </c>
      <c r="AH292" s="53" t="str">
        <f aca="false">IF(AND($W292&lt;&gt;"",$Y292&lt;&gt;""),$Y292-$W292,"")</f>
        <v/>
      </c>
      <c r="AI292" s="53" t="str">
        <f aca="false">IF(AND($X292&lt;&gt;"",$Y292&lt;&gt;""),$Y292-$X292,"")</f>
        <v/>
      </c>
      <c r="AJ292" s="53" t="str">
        <f aca="false">IF($E292&lt;&gt;"",$E292,"")</f>
        <v/>
      </c>
      <c r="AK292" s="52" t="str">
        <f aca="false">IF($F292&lt;&gt;"",$F292,"")</f>
        <v>Apprenant 280 ou 280'</v>
      </c>
      <c r="AL292" s="53" t="str">
        <f aca="false">IF(AND($AB292&lt;&gt;"",$AC292&lt;&gt;""),$AC292-$AB292,"")</f>
        <v/>
      </c>
      <c r="AM292" s="53" t="str">
        <f aca="false">IF(AND($AB292&lt;&gt;"",$AD292&lt;&gt;""),$AD292-$AB292,"")</f>
        <v/>
      </c>
      <c r="AN292" s="53" t="str">
        <f aca="false">IF(AND($AC292&lt;&gt;"",$AD292&lt;&gt;""),$AD292-$AC292,"")</f>
        <v/>
      </c>
      <c r="AO292" s="53" t="str">
        <f aca="false">IF($J292&lt;&gt;"",$J292,"")</f>
        <v/>
      </c>
      <c r="AQ292" s="52" t="str">
        <f aca="false">IF($A292&lt;&gt;"",$A292,"")</f>
        <v>Apprenant 280</v>
      </c>
      <c r="AR292" s="55" t="str">
        <f aca="false">IF(AND('Choix pédagogiques'!$C$4&lt;&gt;"?",'Choix pédagogiques'!$C$5&lt;&gt;"?",W292&lt;&gt;""),(W292-'Choix pédagogiques'!$C$4)/('Choix pédagogiques'!$C$5-'Choix pédagogiques'!$C$4),"")</f>
        <v/>
      </c>
      <c r="AS292" s="55" t="str">
        <f aca="false">IF(AND('Choix pédagogiques'!$C$4&lt;&gt;"?",'Choix pédagogiques'!$C$5&lt;&gt;"?",X292&lt;&gt;""),(X292-'Choix pédagogiques'!$C$4)/('Choix pédagogiques'!$C$5-'Choix pédagogiques'!$C$4),"")</f>
        <v/>
      </c>
      <c r="AT292" s="55" t="str">
        <f aca="false">IF(AND('Choix pédagogiques'!$C$4&lt;&gt;"?",'Choix pédagogiques'!$C$5&lt;&gt;"?",Y292&lt;&gt;""),(Y292-'Choix pédagogiques'!$C$4)/('Choix pédagogiques'!$C$5-'Choix pédagogiques'!$C$4),"")</f>
        <v/>
      </c>
      <c r="AU292" s="53" t="str">
        <f aca="false">IF($E292&lt;&gt;"",$E292,"")</f>
        <v/>
      </c>
      <c r="AV292" s="52" t="str">
        <f aca="false">IF($F292&lt;&gt;"",$F292,"")</f>
        <v>Apprenant 280 ou 280'</v>
      </c>
      <c r="AW292" s="55" t="str">
        <f aca="false">IF(AND('Choix pédagogiques'!$C$4&lt;&gt;"?",'Choix pédagogiques'!$C$5&lt;&gt;"?",AB292&lt;&gt;""),(AB292-'Choix pédagogiques'!$C$4)/('Choix pédagogiques'!$C$5-'Choix pédagogiques'!$C$4),"")</f>
        <v/>
      </c>
      <c r="AX292" s="55" t="str">
        <f aca="false">IF(AND('Choix pédagogiques'!$C$4&lt;&gt;"?",'Choix pédagogiques'!$C$5&lt;&gt;"?",AC292&lt;&gt;""),(AC292-'Choix pédagogiques'!$C$4)/('Choix pédagogiques'!$C$5-'Choix pédagogiques'!$C$4),"")</f>
        <v/>
      </c>
      <c r="AY292" s="55" t="str">
        <f aca="false">IF(AND('Choix pédagogiques'!$C$4&lt;&gt;"?",'Choix pédagogiques'!$C$5&lt;&gt;"?",AD292&lt;&gt;""),(AD292-'Choix pédagogiques'!$C$4)/('Choix pédagogiques'!$C$5-'Choix pédagogiques'!$C$4),"")</f>
        <v/>
      </c>
      <c r="AZ292" s="53" t="str">
        <f aca="false">IF($J292&lt;&gt;"",$J292,"")</f>
        <v/>
      </c>
      <c r="BA292" s="52" t="str">
        <f aca="false">IF($A292&lt;&gt;"",$A292,"")</f>
        <v>Apprenant 280</v>
      </c>
      <c r="BB292" s="55" t="str">
        <f aca="false">IF(AND($AR292&lt;&gt;"",$AS292&lt;&gt;""),$AS292-$AR292,"")</f>
        <v/>
      </c>
      <c r="BC292" s="55" t="str">
        <f aca="false">IF(AND($AR292&lt;&gt;"",$AT292&lt;&gt;""),$AT292-$AR292,"")</f>
        <v/>
      </c>
      <c r="BD292" s="55" t="str">
        <f aca="false">IF(AND($AS292&lt;&gt;"",$AT292&lt;&gt;""),$AT292-$AS292,"")</f>
        <v/>
      </c>
      <c r="BE292" s="53" t="str">
        <f aca="false">IF($E292&lt;&gt;"",$E292,"")</f>
        <v/>
      </c>
      <c r="BF292" s="52" t="str">
        <f aca="false">IF($F292&lt;&gt;"",$F292,"")</f>
        <v>Apprenant 280 ou 280'</v>
      </c>
      <c r="BG292" s="55" t="str">
        <f aca="false">IF(AND($AW292&lt;&gt;"",$AX292&lt;&gt;""),$AX292-$AW292,"")</f>
        <v/>
      </c>
      <c r="BH292" s="55" t="str">
        <f aca="false">IF(AND($AW292&lt;&gt;"",$AY292&lt;&gt;""),$AY292-$AW292,"")</f>
        <v/>
      </c>
      <c r="BI292" s="55" t="str">
        <f aca="false">IF(AND($AX292&lt;&gt;"",$AY292&lt;&gt;""),$AY292-$AX292,"")</f>
        <v/>
      </c>
      <c r="BJ292" s="53" t="str">
        <f aca="false">IF($J292&lt;&gt;"",$J292,"")</f>
        <v/>
      </c>
      <c r="BL292" s="52"/>
      <c r="BM292" s="52" t="str">
        <f aca="false">IF(OR(COUNT(B292:D1291)=0,AND('Choix pédagogiques'!$C$3&lt;&gt;1,'Choix pédagogiques'!$C$3&lt;&gt;2)),"",IF(AND(OR('Choix pédagogiques'!$C$3=1,'Choix pédagogiques'!$C$3=2),$B292&lt;&gt;"",$C292&lt;&gt;"",$D292&lt;&gt;""),1,0))</f>
        <v/>
      </c>
      <c r="BN292" s="52" t="str">
        <f aca="false">IF(OR(COUNT(G292:I1291)=0,AND('Choix pédagogiques'!$C$3&lt;&gt;1,'Choix pédagogiques'!$C$3&lt;&gt;2)),"",IF(AND(OR('Choix pédagogiques'!$C$3=1,'Choix pédagogiques'!$C$3=2),AND($G292&lt;&gt;"",$H292&lt;&gt;"",$I292&lt;&gt;"")),1,0))</f>
        <v/>
      </c>
      <c r="BO292" s="52" t="str">
        <f aca="false">IF(OR(COUNT(B292:D1291)=0,COUNT(G292:I1291)=0,'Choix pédagogiques'!C$3&lt;&gt;3),"",IF(AND('Choix pédagogiques'!$C$3=3,$B292&lt;&gt;"",$C292&lt;&gt;"",$D292&lt;&gt;"",$G292&lt;&gt;"",$H292&lt;&gt;"",$I292&lt;&gt;""),1,0))</f>
        <v/>
      </c>
      <c r="BR292" s="52" t="n">
        <v>913</v>
      </c>
      <c r="BS292" s="52" t="n">
        <v>1196</v>
      </c>
    </row>
    <row r="293" s="54" customFormat="true" ht="18" hidden="false" customHeight="true" outlineLevel="0" collapsed="false">
      <c r="A293" s="57" t="s">
        <v>517</v>
      </c>
      <c r="B293" s="51"/>
      <c r="C293" s="51"/>
      <c r="D293" s="51"/>
      <c r="E293" s="51"/>
      <c r="F293" s="57" t="s">
        <v>518</v>
      </c>
      <c r="G293" s="51"/>
      <c r="H293" s="51"/>
      <c r="I293" s="51"/>
      <c r="J293" s="51"/>
      <c r="K293" s="52" t="str">
        <f aca="false">IF($A293&lt;&gt;"",$A293,"")</f>
        <v>Apprenant 281</v>
      </c>
      <c r="L293" s="53" t="str">
        <f aca="false">IF(AND($B293&lt;&gt;"",$C293&lt;&gt;""),$C293-$B293,"")</f>
        <v/>
      </c>
      <c r="M293" s="53" t="str">
        <f aca="false">IF(AND($B293&lt;&gt;"",$D293&lt;&gt;""),$D293-$B293,"")</f>
        <v/>
      </c>
      <c r="N293" s="53" t="str">
        <f aca="false">IF(AND($C293&lt;&gt;"",$D293&lt;&gt;""),$D293-$C293,"")</f>
        <v/>
      </c>
      <c r="O293" s="53" t="str">
        <f aca="false">IF($E293&lt;&gt;"",$E293,"")</f>
        <v/>
      </c>
      <c r="P293" s="52" t="str">
        <f aca="false">IF($F293&lt;&gt;"",$F293,"")</f>
        <v>Apprenant 281 ou 281'</v>
      </c>
      <c r="Q293" s="53" t="str">
        <f aca="false">IF(AND($G293&lt;&gt;"",$H293&lt;&gt;""),$H293-$G293,"")</f>
        <v/>
      </c>
      <c r="R293" s="53" t="str">
        <f aca="false">IF(AND($G293&lt;&gt;"",$I293&lt;&gt;""),$I293-$G293,"")</f>
        <v/>
      </c>
      <c r="S293" s="53" t="str">
        <f aca="false">IF(AND($H293&lt;&gt;"",$I293&lt;&gt;""),$I293-$H293,"")</f>
        <v/>
      </c>
      <c r="T293" s="53" t="str">
        <f aca="false">IF($J293&lt;&gt;"",$J293,"")</f>
        <v/>
      </c>
      <c r="V293" s="52" t="str">
        <f aca="false">IF($A293&lt;&gt;"",$A293,"")</f>
        <v>Apprenant 281</v>
      </c>
      <c r="W293" s="53" t="str">
        <f aca="false">IF(AND(OR('Choix pédagogiques'!$C$3=1,'Choix pédagogiques'!$C$3=2),$BM293=1),B293,IF(AND('Choix pédagogiques'!$C$3=3,$BO293=1),B293,""))</f>
        <v/>
      </c>
      <c r="X293" s="53" t="str">
        <f aca="false">IF(AND(OR('Choix pédagogiques'!$C$3=1,'Choix pédagogiques'!$C$3=2),$BM293=1),C293,IF(AND('Choix pédagogiques'!$C$3=3,$BO293=1),C293,""))</f>
        <v/>
      </c>
      <c r="Y293" s="53" t="str">
        <f aca="false">IF(AND(OR('Choix pédagogiques'!$C$3=1,'Choix pédagogiques'!$C$3=2),$BM293=1),D293,IF(AND('Choix pédagogiques'!$C$3=3,$BO293=1),D293,""))</f>
        <v/>
      </c>
      <c r="Z293" s="53" t="str">
        <f aca="false">IF($E293&lt;&gt;"",$E293,"")</f>
        <v/>
      </c>
      <c r="AA293" s="52" t="str">
        <f aca="false">IF($F293&lt;&gt;"",$F293,"")</f>
        <v>Apprenant 281 ou 281'</v>
      </c>
      <c r="AB293" s="53" t="str">
        <f aca="false">IF(AND(OR('Choix pédagogiques'!$C$3=1,'Choix pédagogiques'!$C$3=2),$BN293=1),G293,IF(AND('Choix pédagogiques'!$C$3=3,$BO293=1),G293,""))</f>
        <v/>
      </c>
      <c r="AC293" s="53" t="str">
        <f aca="false">IF(AND(OR('Choix pédagogiques'!$C$3=1,'Choix pédagogiques'!$C$3=2),$BN293=1),H293,IF(AND('Choix pédagogiques'!$C$3=3,$BO293=1),H293,""))</f>
        <v/>
      </c>
      <c r="AD293" s="53" t="str">
        <f aca="false">IF(AND(OR('Choix pédagogiques'!$C$3=1,'Choix pédagogiques'!$C$3=2),$BN293=1),I293,IF(AND('Choix pédagogiques'!$C$3=3,$BO293=1),I293,""))</f>
        <v/>
      </c>
      <c r="AE293" s="53" t="str">
        <f aca="false">IF($J293&lt;&gt;"",$J293,"")</f>
        <v/>
      </c>
      <c r="AF293" s="52" t="str">
        <f aca="false">IF($A293&lt;&gt;"",$A293,"")</f>
        <v>Apprenant 281</v>
      </c>
      <c r="AG293" s="53" t="str">
        <f aca="false">IF(AND($W293&lt;&gt;"",$X293&lt;&gt;""),$X293-$W293,"")</f>
        <v/>
      </c>
      <c r="AH293" s="53" t="str">
        <f aca="false">IF(AND($W293&lt;&gt;"",$Y293&lt;&gt;""),$Y293-$W293,"")</f>
        <v/>
      </c>
      <c r="AI293" s="53" t="str">
        <f aca="false">IF(AND($X293&lt;&gt;"",$Y293&lt;&gt;""),$Y293-$X293,"")</f>
        <v/>
      </c>
      <c r="AJ293" s="53" t="str">
        <f aca="false">IF($E293&lt;&gt;"",$E293,"")</f>
        <v/>
      </c>
      <c r="AK293" s="52" t="str">
        <f aca="false">IF($F293&lt;&gt;"",$F293,"")</f>
        <v>Apprenant 281 ou 281'</v>
      </c>
      <c r="AL293" s="53" t="str">
        <f aca="false">IF(AND($AB293&lt;&gt;"",$AC293&lt;&gt;""),$AC293-$AB293,"")</f>
        <v/>
      </c>
      <c r="AM293" s="53" t="str">
        <f aca="false">IF(AND($AB293&lt;&gt;"",$AD293&lt;&gt;""),$AD293-$AB293,"")</f>
        <v/>
      </c>
      <c r="AN293" s="53" t="str">
        <f aca="false">IF(AND($AC293&lt;&gt;"",$AD293&lt;&gt;""),$AD293-$AC293,"")</f>
        <v/>
      </c>
      <c r="AO293" s="53" t="str">
        <f aca="false">IF($J293&lt;&gt;"",$J293,"")</f>
        <v/>
      </c>
      <c r="AQ293" s="52" t="str">
        <f aca="false">IF($A293&lt;&gt;"",$A293,"")</f>
        <v>Apprenant 281</v>
      </c>
      <c r="AR293" s="55" t="str">
        <f aca="false">IF(AND('Choix pédagogiques'!$C$4&lt;&gt;"?",'Choix pédagogiques'!$C$5&lt;&gt;"?",W293&lt;&gt;""),(W293-'Choix pédagogiques'!$C$4)/('Choix pédagogiques'!$C$5-'Choix pédagogiques'!$C$4),"")</f>
        <v/>
      </c>
      <c r="AS293" s="55" t="str">
        <f aca="false">IF(AND('Choix pédagogiques'!$C$4&lt;&gt;"?",'Choix pédagogiques'!$C$5&lt;&gt;"?",X293&lt;&gt;""),(X293-'Choix pédagogiques'!$C$4)/('Choix pédagogiques'!$C$5-'Choix pédagogiques'!$C$4),"")</f>
        <v/>
      </c>
      <c r="AT293" s="55" t="str">
        <f aca="false">IF(AND('Choix pédagogiques'!$C$4&lt;&gt;"?",'Choix pédagogiques'!$C$5&lt;&gt;"?",Y293&lt;&gt;""),(Y293-'Choix pédagogiques'!$C$4)/('Choix pédagogiques'!$C$5-'Choix pédagogiques'!$C$4),"")</f>
        <v/>
      </c>
      <c r="AU293" s="53" t="str">
        <f aca="false">IF($E293&lt;&gt;"",$E293,"")</f>
        <v/>
      </c>
      <c r="AV293" s="52" t="str">
        <f aca="false">IF($F293&lt;&gt;"",$F293,"")</f>
        <v>Apprenant 281 ou 281'</v>
      </c>
      <c r="AW293" s="55" t="str">
        <f aca="false">IF(AND('Choix pédagogiques'!$C$4&lt;&gt;"?",'Choix pédagogiques'!$C$5&lt;&gt;"?",AB293&lt;&gt;""),(AB293-'Choix pédagogiques'!$C$4)/('Choix pédagogiques'!$C$5-'Choix pédagogiques'!$C$4),"")</f>
        <v/>
      </c>
      <c r="AX293" s="55" t="str">
        <f aca="false">IF(AND('Choix pédagogiques'!$C$4&lt;&gt;"?",'Choix pédagogiques'!$C$5&lt;&gt;"?",AC293&lt;&gt;""),(AC293-'Choix pédagogiques'!$C$4)/('Choix pédagogiques'!$C$5-'Choix pédagogiques'!$C$4),"")</f>
        <v/>
      </c>
      <c r="AY293" s="55" t="str">
        <f aca="false">IF(AND('Choix pédagogiques'!$C$4&lt;&gt;"?",'Choix pédagogiques'!$C$5&lt;&gt;"?",AD293&lt;&gt;""),(AD293-'Choix pédagogiques'!$C$4)/('Choix pédagogiques'!$C$5-'Choix pédagogiques'!$C$4),"")</f>
        <v/>
      </c>
      <c r="AZ293" s="53" t="str">
        <f aca="false">IF($J293&lt;&gt;"",$J293,"")</f>
        <v/>
      </c>
      <c r="BA293" s="52" t="str">
        <f aca="false">IF($A293&lt;&gt;"",$A293,"")</f>
        <v>Apprenant 281</v>
      </c>
      <c r="BB293" s="55" t="str">
        <f aca="false">IF(AND($AR293&lt;&gt;"",$AS293&lt;&gt;""),$AS293-$AR293,"")</f>
        <v/>
      </c>
      <c r="BC293" s="55" t="str">
        <f aca="false">IF(AND($AR293&lt;&gt;"",$AT293&lt;&gt;""),$AT293-$AR293,"")</f>
        <v/>
      </c>
      <c r="BD293" s="55" t="str">
        <f aca="false">IF(AND($AS293&lt;&gt;"",$AT293&lt;&gt;""),$AT293-$AS293,"")</f>
        <v/>
      </c>
      <c r="BE293" s="53" t="str">
        <f aca="false">IF($E293&lt;&gt;"",$E293,"")</f>
        <v/>
      </c>
      <c r="BF293" s="52" t="str">
        <f aca="false">IF($F293&lt;&gt;"",$F293,"")</f>
        <v>Apprenant 281 ou 281'</v>
      </c>
      <c r="BG293" s="55" t="str">
        <f aca="false">IF(AND($AW293&lt;&gt;"",$AX293&lt;&gt;""),$AX293-$AW293,"")</f>
        <v/>
      </c>
      <c r="BH293" s="55" t="str">
        <f aca="false">IF(AND($AW293&lt;&gt;"",$AY293&lt;&gt;""),$AY293-$AW293,"")</f>
        <v/>
      </c>
      <c r="BI293" s="55" t="str">
        <f aca="false">IF(AND($AX293&lt;&gt;"",$AY293&lt;&gt;""),$AY293-$AX293,"")</f>
        <v/>
      </c>
      <c r="BJ293" s="53" t="str">
        <f aca="false">IF($J293&lt;&gt;"",$J293,"")</f>
        <v/>
      </c>
      <c r="BL293" s="52"/>
      <c r="BM293" s="52" t="str">
        <f aca="false">IF(OR(COUNT(B293:D1292)=0,AND('Choix pédagogiques'!$C$3&lt;&gt;1,'Choix pédagogiques'!$C$3&lt;&gt;2)),"",IF(AND(OR('Choix pédagogiques'!$C$3=1,'Choix pédagogiques'!$C$3=2),$B293&lt;&gt;"",$C293&lt;&gt;"",$D293&lt;&gt;""),1,0))</f>
        <v/>
      </c>
      <c r="BN293" s="52" t="str">
        <f aca="false">IF(OR(COUNT(G293:I1292)=0,AND('Choix pédagogiques'!$C$3&lt;&gt;1,'Choix pédagogiques'!$C$3&lt;&gt;2)),"",IF(AND(OR('Choix pédagogiques'!$C$3=1,'Choix pédagogiques'!$C$3=2),AND($G293&lt;&gt;"",$H293&lt;&gt;"",$I293&lt;&gt;"")),1,0))</f>
        <v/>
      </c>
      <c r="BO293" s="52" t="str">
        <f aca="false">IF(OR(COUNT(B293:D1292)=0,COUNT(G293:I1292)=0,'Choix pédagogiques'!C$3&lt;&gt;3),"",IF(AND('Choix pédagogiques'!$C$3=3,$B293&lt;&gt;"",$C293&lt;&gt;"",$D293&lt;&gt;"",$G293&lt;&gt;"",$H293&lt;&gt;"",$I293&lt;&gt;""),1,0))</f>
        <v/>
      </c>
      <c r="BR293" s="52" t="n">
        <v>185</v>
      </c>
      <c r="BS293" s="52" t="n">
        <v>1401</v>
      </c>
    </row>
    <row r="294" s="54" customFormat="true" ht="18" hidden="false" customHeight="true" outlineLevel="0" collapsed="false">
      <c r="A294" s="57" t="s">
        <v>519</v>
      </c>
      <c r="B294" s="51"/>
      <c r="C294" s="51"/>
      <c r="D294" s="51"/>
      <c r="E294" s="51"/>
      <c r="F294" s="57" t="s">
        <v>520</v>
      </c>
      <c r="G294" s="51"/>
      <c r="H294" s="51"/>
      <c r="I294" s="51"/>
      <c r="J294" s="51"/>
      <c r="K294" s="52" t="str">
        <f aca="false">IF($A294&lt;&gt;"",$A294,"")</f>
        <v>Apprenant 282</v>
      </c>
      <c r="L294" s="53" t="str">
        <f aca="false">IF(AND($B294&lt;&gt;"",$C294&lt;&gt;""),$C294-$B294,"")</f>
        <v/>
      </c>
      <c r="M294" s="53" t="str">
        <f aca="false">IF(AND($B294&lt;&gt;"",$D294&lt;&gt;""),$D294-$B294,"")</f>
        <v/>
      </c>
      <c r="N294" s="53" t="str">
        <f aca="false">IF(AND($C294&lt;&gt;"",$D294&lt;&gt;""),$D294-$C294,"")</f>
        <v/>
      </c>
      <c r="O294" s="53" t="str">
        <f aca="false">IF($E294&lt;&gt;"",$E294,"")</f>
        <v/>
      </c>
      <c r="P294" s="52" t="str">
        <f aca="false">IF($F294&lt;&gt;"",$F294,"")</f>
        <v>Apprenant 282 ou 282'</v>
      </c>
      <c r="Q294" s="53" t="str">
        <f aca="false">IF(AND($G294&lt;&gt;"",$H294&lt;&gt;""),$H294-$G294,"")</f>
        <v/>
      </c>
      <c r="R294" s="53" t="str">
        <f aca="false">IF(AND($G294&lt;&gt;"",$I294&lt;&gt;""),$I294-$G294,"")</f>
        <v/>
      </c>
      <c r="S294" s="53" t="str">
        <f aca="false">IF(AND($H294&lt;&gt;"",$I294&lt;&gt;""),$I294-$H294,"")</f>
        <v/>
      </c>
      <c r="T294" s="53" t="str">
        <f aca="false">IF($J294&lt;&gt;"",$J294,"")</f>
        <v/>
      </c>
      <c r="V294" s="52" t="str">
        <f aca="false">IF($A294&lt;&gt;"",$A294,"")</f>
        <v>Apprenant 282</v>
      </c>
      <c r="W294" s="53" t="str">
        <f aca="false">IF(AND(OR('Choix pédagogiques'!$C$3=1,'Choix pédagogiques'!$C$3=2),$BM294=1),B294,IF(AND('Choix pédagogiques'!$C$3=3,$BO294=1),B294,""))</f>
        <v/>
      </c>
      <c r="X294" s="53" t="str">
        <f aca="false">IF(AND(OR('Choix pédagogiques'!$C$3=1,'Choix pédagogiques'!$C$3=2),$BM294=1),C294,IF(AND('Choix pédagogiques'!$C$3=3,$BO294=1),C294,""))</f>
        <v/>
      </c>
      <c r="Y294" s="53" t="str">
        <f aca="false">IF(AND(OR('Choix pédagogiques'!$C$3=1,'Choix pédagogiques'!$C$3=2),$BM294=1),D294,IF(AND('Choix pédagogiques'!$C$3=3,$BO294=1),D294,""))</f>
        <v/>
      </c>
      <c r="Z294" s="53" t="str">
        <f aca="false">IF($E294&lt;&gt;"",$E294,"")</f>
        <v/>
      </c>
      <c r="AA294" s="52" t="str">
        <f aca="false">IF($F294&lt;&gt;"",$F294,"")</f>
        <v>Apprenant 282 ou 282'</v>
      </c>
      <c r="AB294" s="53" t="str">
        <f aca="false">IF(AND(OR('Choix pédagogiques'!$C$3=1,'Choix pédagogiques'!$C$3=2),$BN294=1),G294,IF(AND('Choix pédagogiques'!$C$3=3,$BO294=1),G294,""))</f>
        <v/>
      </c>
      <c r="AC294" s="53" t="str">
        <f aca="false">IF(AND(OR('Choix pédagogiques'!$C$3=1,'Choix pédagogiques'!$C$3=2),$BN294=1),H294,IF(AND('Choix pédagogiques'!$C$3=3,$BO294=1),H294,""))</f>
        <v/>
      </c>
      <c r="AD294" s="53" t="str">
        <f aca="false">IF(AND(OR('Choix pédagogiques'!$C$3=1,'Choix pédagogiques'!$C$3=2),$BN294=1),I294,IF(AND('Choix pédagogiques'!$C$3=3,$BO294=1),I294,""))</f>
        <v/>
      </c>
      <c r="AE294" s="53" t="str">
        <f aca="false">IF($J294&lt;&gt;"",$J294,"")</f>
        <v/>
      </c>
      <c r="AF294" s="52" t="str">
        <f aca="false">IF($A294&lt;&gt;"",$A294,"")</f>
        <v>Apprenant 282</v>
      </c>
      <c r="AG294" s="53" t="str">
        <f aca="false">IF(AND($W294&lt;&gt;"",$X294&lt;&gt;""),$X294-$W294,"")</f>
        <v/>
      </c>
      <c r="AH294" s="53" t="str">
        <f aca="false">IF(AND($W294&lt;&gt;"",$Y294&lt;&gt;""),$Y294-$W294,"")</f>
        <v/>
      </c>
      <c r="AI294" s="53" t="str">
        <f aca="false">IF(AND($X294&lt;&gt;"",$Y294&lt;&gt;""),$Y294-$X294,"")</f>
        <v/>
      </c>
      <c r="AJ294" s="53" t="str">
        <f aca="false">IF($E294&lt;&gt;"",$E294,"")</f>
        <v/>
      </c>
      <c r="AK294" s="52" t="str">
        <f aca="false">IF($F294&lt;&gt;"",$F294,"")</f>
        <v>Apprenant 282 ou 282'</v>
      </c>
      <c r="AL294" s="53" t="str">
        <f aca="false">IF(AND($AB294&lt;&gt;"",$AC294&lt;&gt;""),$AC294-$AB294,"")</f>
        <v/>
      </c>
      <c r="AM294" s="53" t="str">
        <f aca="false">IF(AND($AB294&lt;&gt;"",$AD294&lt;&gt;""),$AD294-$AB294,"")</f>
        <v/>
      </c>
      <c r="AN294" s="53" t="str">
        <f aca="false">IF(AND($AC294&lt;&gt;"",$AD294&lt;&gt;""),$AD294-$AC294,"")</f>
        <v/>
      </c>
      <c r="AO294" s="53" t="str">
        <f aca="false">IF($J294&lt;&gt;"",$J294,"")</f>
        <v/>
      </c>
      <c r="AQ294" s="52" t="str">
        <f aca="false">IF($A294&lt;&gt;"",$A294,"")</f>
        <v>Apprenant 282</v>
      </c>
      <c r="AR294" s="55" t="str">
        <f aca="false">IF(AND('Choix pédagogiques'!$C$4&lt;&gt;"?",'Choix pédagogiques'!$C$5&lt;&gt;"?",W294&lt;&gt;""),(W294-'Choix pédagogiques'!$C$4)/('Choix pédagogiques'!$C$5-'Choix pédagogiques'!$C$4),"")</f>
        <v/>
      </c>
      <c r="AS294" s="55" t="str">
        <f aca="false">IF(AND('Choix pédagogiques'!$C$4&lt;&gt;"?",'Choix pédagogiques'!$C$5&lt;&gt;"?",X294&lt;&gt;""),(X294-'Choix pédagogiques'!$C$4)/('Choix pédagogiques'!$C$5-'Choix pédagogiques'!$C$4),"")</f>
        <v/>
      </c>
      <c r="AT294" s="55" t="str">
        <f aca="false">IF(AND('Choix pédagogiques'!$C$4&lt;&gt;"?",'Choix pédagogiques'!$C$5&lt;&gt;"?",Y294&lt;&gt;""),(Y294-'Choix pédagogiques'!$C$4)/('Choix pédagogiques'!$C$5-'Choix pédagogiques'!$C$4),"")</f>
        <v/>
      </c>
      <c r="AU294" s="53" t="str">
        <f aca="false">IF($E294&lt;&gt;"",$E294,"")</f>
        <v/>
      </c>
      <c r="AV294" s="52" t="str">
        <f aca="false">IF($F294&lt;&gt;"",$F294,"")</f>
        <v>Apprenant 282 ou 282'</v>
      </c>
      <c r="AW294" s="55" t="str">
        <f aca="false">IF(AND('Choix pédagogiques'!$C$4&lt;&gt;"?",'Choix pédagogiques'!$C$5&lt;&gt;"?",AB294&lt;&gt;""),(AB294-'Choix pédagogiques'!$C$4)/('Choix pédagogiques'!$C$5-'Choix pédagogiques'!$C$4),"")</f>
        <v/>
      </c>
      <c r="AX294" s="55" t="str">
        <f aca="false">IF(AND('Choix pédagogiques'!$C$4&lt;&gt;"?",'Choix pédagogiques'!$C$5&lt;&gt;"?",AC294&lt;&gt;""),(AC294-'Choix pédagogiques'!$C$4)/('Choix pédagogiques'!$C$5-'Choix pédagogiques'!$C$4),"")</f>
        <v/>
      </c>
      <c r="AY294" s="55" t="str">
        <f aca="false">IF(AND('Choix pédagogiques'!$C$4&lt;&gt;"?",'Choix pédagogiques'!$C$5&lt;&gt;"?",AD294&lt;&gt;""),(AD294-'Choix pédagogiques'!$C$4)/('Choix pédagogiques'!$C$5-'Choix pédagogiques'!$C$4),"")</f>
        <v/>
      </c>
      <c r="AZ294" s="53" t="str">
        <f aca="false">IF($J294&lt;&gt;"",$J294,"")</f>
        <v/>
      </c>
      <c r="BA294" s="52" t="str">
        <f aca="false">IF($A294&lt;&gt;"",$A294,"")</f>
        <v>Apprenant 282</v>
      </c>
      <c r="BB294" s="55" t="str">
        <f aca="false">IF(AND($AR294&lt;&gt;"",$AS294&lt;&gt;""),$AS294-$AR294,"")</f>
        <v/>
      </c>
      <c r="BC294" s="55" t="str">
        <f aca="false">IF(AND($AR294&lt;&gt;"",$AT294&lt;&gt;""),$AT294-$AR294,"")</f>
        <v/>
      </c>
      <c r="BD294" s="55" t="str">
        <f aca="false">IF(AND($AS294&lt;&gt;"",$AT294&lt;&gt;""),$AT294-$AS294,"")</f>
        <v/>
      </c>
      <c r="BE294" s="53" t="str">
        <f aca="false">IF($E294&lt;&gt;"",$E294,"")</f>
        <v/>
      </c>
      <c r="BF294" s="52" t="str">
        <f aca="false">IF($F294&lt;&gt;"",$F294,"")</f>
        <v>Apprenant 282 ou 282'</v>
      </c>
      <c r="BG294" s="55" t="str">
        <f aca="false">IF(AND($AW294&lt;&gt;"",$AX294&lt;&gt;""),$AX294-$AW294,"")</f>
        <v/>
      </c>
      <c r="BH294" s="55" t="str">
        <f aca="false">IF(AND($AW294&lt;&gt;"",$AY294&lt;&gt;""),$AY294-$AW294,"")</f>
        <v/>
      </c>
      <c r="BI294" s="55" t="str">
        <f aca="false">IF(AND($AX294&lt;&gt;"",$AY294&lt;&gt;""),$AY294-$AX294,"")</f>
        <v/>
      </c>
      <c r="BJ294" s="53" t="str">
        <f aca="false">IF($J294&lt;&gt;"",$J294,"")</f>
        <v/>
      </c>
      <c r="BL294" s="52"/>
      <c r="BM294" s="52" t="str">
        <f aca="false">IF(OR(COUNT(B294:D1293)=0,AND('Choix pédagogiques'!$C$3&lt;&gt;1,'Choix pédagogiques'!$C$3&lt;&gt;2)),"",IF(AND(OR('Choix pédagogiques'!$C$3=1,'Choix pédagogiques'!$C$3=2),$B294&lt;&gt;"",$C294&lt;&gt;"",$D294&lt;&gt;""),1,0))</f>
        <v/>
      </c>
      <c r="BN294" s="52" t="str">
        <f aca="false">IF(OR(COUNT(G294:I1293)=0,AND('Choix pédagogiques'!$C$3&lt;&gt;1,'Choix pédagogiques'!$C$3&lt;&gt;2)),"",IF(AND(OR('Choix pédagogiques'!$C$3=1,'Choix pédagogiques'!$C$3=2),AND($G294&lt;&gt;"",$H294&lt;&gt;"",$I294&lt;&gt;"")),1,0))</f>
        <v/>
      </c>
      <c r="BO294" s="52" t="str">
        <f aca="false">IF(OR(COUNT(B294:D1293)=0,COUNT(G294:I1293)=0,'Choix pédagogiques'!C$3&lt;&gt;3),"",IF(AND('Choix pédagogiques'!$C$3=3,$B294&lt;&gt;"",$C294&lt;&gt;"",$D294&lt;&gt;"",$G294&lt;&gt;"",$H294&lt;&gt;"",$I294&lt;&gt;""),1,0))</f>
        <v/>
      </c>
      <c r="BR294" s="52" t="n">
        <v>966</v>
      </c>
      <c r="BS294" s="52" t="n">
        <v>1754</v>
      </c>
    </row>
    <row r="295" s="54" customFormat="true" ht="18" hidden="false" customHeight="true" outlineLevel="0" collapsed="false">
      <c r="A295" s="57" t="s">
        <v>521</v>
      </c>
      <c r="B295" s="51"/>
      <c r="C295" s="51"/>
      <c r="D295" s="51"/>
      <c r="E295" s="51"/>
      <c r="F295" s="57" t="s">
        <v>522</v>
      </c>
      <c r="G295" s="51"/>
      <c r="H295" s="51"/>
      <c r="I295" s="51"/>
      <c r="J295" s="51"/>
      <c r="K295" s="52" t="str">
        <f aca="false">IF($A295&lt;&gt;"",$A295,"")</f>
        <v>Apprenant 283</v>
      </c>
      <c r="L295" s="53" t="str">
        <f aca="false">IF(AND($B295&lt;&gt;"",$C295&lt;&gt;""),$C295-$B295,"")</f>
        <v/>
      </c>
      <c r="M295" s="53" t="str">
        <f aca="false">IF(AND($B295&lt;&gt;"",$D295&lt;&gt;""),$D295-$B295,"")</f>
        <v/>
      </c>
      <c r="N295" s="53" t="str">
        <f aca="false">IF(AND($C295&lt;&gt;"",$D295&lt;&gt;""),$D295-$C295,"")</f>
        <v/>
      </c>
      <c r="O295" s="53" t="str">
        <f aca="false">IF($E295&lt;&gt;"",$E295,"")</f>
        <v/>
      </c>
      <c r="P295" s="52" t="str">
        <f aca="false">IF($F295&lt;&gt;"",$F295,"")</f>
        <v>Apprenant 283 ou 283'</v>
      </c>
      <c r="Q295" s="53" t="str">
        <f aca="false">IF(AND($G295&lt;&gt;"",$H295&lt;&gt;""),$H295-$G295,"")</f>
        <v/>
      </c>
      <c r="R295" s="53" t="str">
        <f aca="false">IF(AND($G295&lt;&gt;"",$I295&lt;&gt;""),$I295-$G295,"")</f>
        <v/>
      </c>
      <c r="S295" s="53" t="str">
        <f aca="false">IF(AND($H295&lt;&gt;"",$I295&lt;&gt;""),$I295-$H295,"")</f>
        <v/>
      </c>
      <c r="T295" s="53" t="str">
        <f aca="false">IF($J295&lt;&gt;"",$J295,"")</f>
        <v/>
      </c>
      <c r="V295" s="52" t="str">
        <f aca="false">IF($A295&lt;&gt;"",$A295,"")</f>
        <v>Apprenant 283</v>
      </c>
      <c r="W295" s="53" t="str">
        <f aca="false">IF(AND(OR('Choix pédagogiques'!$C$3=1,'Choix pédagogiques'!$C$3=2),$BM295=1),B295,IF(AND('Choix pédagogiques'!$C$3=3,$BO295=1),B295,""))</f>
        <v/>
      </c>
      <c r="X295" s="53" t="str">
        <f aca="false">IF(AND(OR('Choix pédagogiques'!$C$3=1,'Choix pédagogiques'!$C$3=2),$BM295=1),C295,IF(AND('Choix pédagogiques'!$C$3=3,$BO295=1),C295,""))</f>
        <v/>
      </c>
      <c r="Y295" s="53" t="str">
        <f aca="false">IF(AND(OR('Choix pédagogiques'!$C$3=1,'Choix pédagogiques'!$C$3=2),$BM295=1),D295,IF(AND('Choix pédagogiques'!$C$3=3,$BO295=1),D295,""))</f>
        <v/>
      </c>
      <c r="Z295" s="53" t="str">
        <f aca="false">IF($E295&lt;&gt;"",$E295,"")</f>
        <v/>
      </c>
      <c r="AA295" s="52" t="str">
        <f aca="false">IF($F295&lt;&gt;"",$F295,"")</f>
        <v>Apprenant 283 ou 283'</v>
      </c>
      <c r="AB295" s="53" t="str">
        <f aca="false">IF(AND(OR('Choix pédagogiques'!$C$3=1,'Choix pédagogiques'!$C$3=2),$BN295=1),G295,IF(AND('Choix pédagogiques'!$C$3=3,$BO295=1),G295,""))</f>
        <v/>
      </c>
      <c r="AC295" s="53" t="str">
        <f aca="false">IF(AND(OR('Choix pédagogiques'!$C$3=1,'Choix pédagogiques'!$C$3=2),$BN295=1),H295,IF(AND('Choix pédagogiques'!$C$3=3,$BO295=1),H295,""))</f>
        <v/>
      </c>
      <c r="AD295" s="53" t="str">
        <f aca="false">IF(AND(OR('Choix pédagogiques'!$C$3=1,'Choix pédagogiques'!$C$3=2),$BN295=1),I295,IF(AND('Choix pédagogiques'!$C$3=3,$BO295=1),I295,""))</f>
        <v/>
      </c>
      <c r="AE295" s="53" t="str">
        <f aca="false">IF($J295&lt;&gt;"",$J295,"")</f>
        <v/>
      </c>
      <c r="AF295" s="52" t="str">
        <f aca="false">IF($A295&lt;&gt;"",$A295,"")</f>
        <v>Apprenant 283</v>
      </c>
      <c r="AG295" s="53" t="str">
        <f aca="false">IF(AND($W295&lt;&gt;"",$X295&lt;&gt;""),$X295-$W295,"")</f>
        <v/>
      </c>
      <c r="AH295" s="53" t="str">
        <f aca="false">IF(AND($W295&lt;&gt;"",$Y295&lt;&gt;""),$Y295-$W295,"")</f>
        <v/>
      </c>
      <c r="AI295" s="53" t="str">
        <f aca="false">IF(AND($X295&lt;&gt;"",$Y295&lt;&gt;""),$Y295-$X295,"")</f>
        <v/>
      </c>
      <c r="AJ295" s="53" t="str">
        <f aca="false">IF($E295&lt;&gt;"",$E295,"")</f>
        <v/>
      </c>
      <c r="AK295" s="52" t="str">
        <f aca="false">IF($F295&lt;&gt;"",$F295,"")</f>
        <v>Apprenant 283 ou 283'</v>
      </c>
      <c r="AL295" s="53" t="str">
        <f aca="false">IF(AND($AB295&lt;&gt;"",$AC295&lt;&gt;""),$AC295-$AB295,"")</f>
        <v/>
      </c>
      <c r="AM295" s="53" t="str">
        <f aca="false">IF(AND($AB295&lt;&gt;"",$AD295&lt;&gt;""),$AD295-$AB295,"")</f>
        <v/>
      </c>
      <c r="AN295" s="53" t="str">
        <f aca="false">IF(AND($AC295&lt;&gt;"",$AD295&lt;&gt;""),$AD295-$AC295,"")</f>
        <v/>
      </c>
      <c r="AO295" s="53" t="str">
        <f aca="false">IF($J295&lt;&gt;"",$J295,"")</f>
        <v/>
      </c>
      <c r="AQ295" s="52" t="str">
        <f aca="false">IF($A295&lt;&gt;"",$A295,"")</f>
        <v>Apprenant 283</v>
      </c>
      <c r="AR295" s="55" t="str">
        <f aca="false">IF(AND('Choix pédagogiques'!$C$4&lt;&gt;"?",'Choix pédagogiques'!$C$5&lt;&gt;"?",W295&lt;&gt;""),(W295-'Choix pédagogiques'!$C$4)/('Choix pédagogiques'!$C$5-'Choix pédagogiques'!$C$4),"")</f>
        <v/>
      </c>
      <c r="AS295" s="55" t="str">
        <f aca="false">IF(AND('Choix pédagogiques'!$C$4&lt;&gt;"?",'Choix pédagogiques'!$C$5&lt;&gt;"?",X295&lt;&gt;""),(X295-'Choix pédagogiques'!$C$4)/('Choix pédagogiques'!$C$5-'Choix pédagogiques'!$C$4),"")</f>
        <v/>
      </c>
      <c r="AT295" s="55" t="str">
        <f aca="false">IF(AND('Choix pédagogiques'!$C$4&lt;&gt;"?",'Choix pédagogiques'!$C$5&lt;&gt;"?",Y295&lt;&gt;""),(Y295-'Choix pédagogiques'!$C$4)/('Choix pédagogiques'!$C$5-'Choix pédagogiques'!$C$4),"")</f>
        <v/>
      </c>
      <c r="AU295" s="53" t="str">
        <f aca="false">IF($E295&lt;&gt;"",$E295,"")</f>
        <v/>
      </c>
      <c r="AV295" s="52" t="str">
        <f aca="false">IF($F295&lt;&gt;"",$F295,"")</f>
        <v>Apprenant 283 ou 283'</v>
      </c>
      <c r="AW295" s="55" t="str">
        <f aca="false">IF(AND('Choix pédagogiques'!$C$4&lt;&gt;"?",'Choix pédagogiques'!$C$5&lt;&gt;"?",AB295&lt;&gt;""),(AB295-'Choix pédagogiques'!$C$4)/('Choix pédagogiques'!$C$5-'Choix pédagogiques'!$C$4),"")</f>
        <v/>
      </c>
      <c r="AX295" s="55" t="str">
        <f aca="false">IF(AND('Choix pédagogiques'!$C$4&lt;&gt;"?",'Choix pédagogiques'!$C$5&lt;&gt;"?",AC295&lt;&gt;""),(AC295-'Choix pédagogiques'!$C$4)/('Choix pédagogiques'!$C$5-'Choix pédagogiques'!$C$4),"")</f>
        <v/>
      </c>
      <c r="AY295" s="55" t="str">
        <f aca="false">IF(AND('Choix pédagogiques'!$C$4&lt;&gt;"?",'Choix pédagogiques'!$C$5&lt;&gt;"?",AD295&lt;&gt;""),(AD295-'Choix pédagogiques'!$C$4)/('Choix pédagogiques'!$C$5-'Choix pédagogiques'!$C$4),"")</f>
        <v/>
      </c>
      <c r="AZ295" s="53" t="str">
        <f aca="false">IF($J295&lt;&gt;"",$J295,"")</f>
        <v/>
      </c>
      <c r="BA295" s="52" t="str">
        <f aca="false">IF($A295&lt;&gt;"",$A295,"")</f>
        <v>Apprenant 283</v>
      </c>
      <c r="BB295" s="55" t="str">
        <f aca="false">IF(AND($AR295&lt;&gt;"",$AS295&lt;&gt;""),$AS295-$AR295,"")</f>
        <v/>
      </c>
      <c r="BC295" s="55" t="str">
        <f aca="false">IF(AND($AR295&lt;&gt;"",$AT295&lt;&gt;""),$AT295-$AR295,"")</f>
        <v/>
      </c>
      <c r="BD295" s="55" t="str">
        <f aca="false">IF(AND($AS295&lt;&gt;"",$AT295&lt;&gt;""),$AT295-$AS295,"")</f>
        <v/>
      </c>
      <c r="BE295" s="53" t="str">
        <f aca="false">IF($E295&lt;&gt;"",$E295,"")</f>
        <v/>
      </c>
      <c r="BF295" s="52" t="str">
        <f aca="false">IF($F295&lt;&gt;"",$F295,"")</f>
        <v>Apprenant 283 ou 283'</v>
      </c>
      <c r="BG295" s="55" t="str">
        <f aca="false">IF(AND($AW295&lt;&gt;"",$AX295&lt;&gt;""),$AX295-$AW295,"")</f>
        <v/>
      </c>
      <c r="BH295" s="55" t="str">
        <f aca="false">IF(AND($AW295&lt;&gt;"",$AY295&lt;&gt;""),$AY295-$AW295,"")</f>
        <v/>
      </c>
      <c r="BI295" s="55" t="str">
        <f aca="false">IF(AND($AX295&lt;&gt;"",$AY295&lt;&gt;""),$AY295-$AX295,"")</f>
        <v/>
      </c>
      <c r="BJ295" s="53" t="str">
        <f aca="false">IF($J295&lt;&gt;"",$J295,"")</f>
        <v/>
      </c>
      <c r="BL295" s="52"/>
      <c r="BM295" s="52" t="str">
        <f aca="false">IF(OR(COUNT(B295:D1294)=0,AND('Choix pédagogiques'!$C$3&lt;&gt;1,'Choix pédagogiques'!$C$3&lt;&gt;2)),"",IF(AND(OR('Choix pédagogiques'!$C$3=1,'Choix pédagogiques'!$C$3=2),$B295&lt;&gt;"",$C295&lt;&gt;"",$D295&lt;&gt;""),1,0))</f>
        <v/>
      </c>
      <c r="BN295" s="52" t="str">
        <f aca="false">IF(OR(COUNT(G295:I1294)=0,AND('Choix pédagogiques'!$C$3&lt;&gt;1,'Choix pédagogiques'!$C$3&lt;&gt;2)),"",IF(AND(OR('Choix pédagogiques'!$C$3=1,'Choix pédagogiques'!$C$3=2),AND($G295&lt;&gt;"",$H295&lt;&gt;"",$I295&lt;&gt;"")),1,0))</f>
        <v/>
      </c>
      <c r="BO295" s="52" t="str">
        <f aca="false">IF(OR(COUNT(B295:D1294)=0,COUNT(G295:I1294)=0,'Choix pédagogiques'!C$3&lt;&gt;3),"",IF(AND('Choix pédagogiques'!$C$3=3,$B295&lt;&gt;"",$C295&lt;&gt;"",$D295&lt;&gt;"",$G295&lt;&gt;"",$H295&lt;&gt;"",$I295&lt;&gt;""),1,0))</f>
        <v/>
      </c>
      <c r="BR295" s="52" t="n">
        <v>637</v>
      </c>
      <c r="BS295" s="52" t="n">
        <v>1185</v>
      </c>
    </row>
    <row r="296" s="54" customFormat="true" ht="18" hidden="false" customHeight="true" outlineLevel="0" collapsed="false">
      <c r="A296" s="57" t="s">
        <v>523</v>
      </c>
      <c r="B296" s="51"/>
      <c r="C296" s="51"/>
      <c r="D296" s="51"/>
      <c r="E296" s="51"/>
      <c r="F296" s="57" t="s">
        <v>524</v>
      </c>
      <c r="G296" s="51"/>
      <c r="H296" s="51"/>
      <c r="I296" s="51"/>
      <c r="J296" s="51"/>
      <c r="K296" s="52" t="str">
        <f aca="false">IF($A296&lt;&gt;"",$A296,"")</f>
        <v>Apprenant 284</v>
      </c>
      <c r="L296" s="53" t="str">
        <f aca="false">IF(AND($B296&lt;&gt;"",$C296&lt;&gt;""),$C296-$B296,"")</f>
        <v/>
      </c>
      <c r="M296" s="53" t="str">
        <f aca="false">IF(AND($B296&lt;&gt;"",$D296&lt;&gt;""),$D296-$B296,"")</f>
        <v/>
      </c>
      <c r="N296" s="53" t="str">
        <f aca="false">IF(AND($C296&lt;&gt;"",$D296&lt;&gt;""),$D296-$C296,"")</f>
        <v/>
      </c>
      <c r="O296" s="53" t="str">
        <f aca="false">IF($E296&lt;&gt;"",$E296,"")</f>
        <v/>
      </c>
      <c r="P296" s="52" t="str">
        <f aca="false">IF($F296&lt;&gt;"",$F296,"")</f>
        <v>Apprenant 284 ou 284'</v>
      </c>
      <c r="Q296" s="53" t="str">
        <f aca="false">IF(AND($G296&lt;&gt;"",$H296&lt;&gt;""),$H296-$G296,"")</f>
        <v/>
      </c>
      <c r="R296" s="53" t="str">
        <f aca="false">IF(AND($G296&lt;&gt;"",$I296&lt;&gt;""),$I296-$G296,"")</f>
        <v/>
      </c>
      <c r="S296" s="53" t="str">
        <f aca="false">IF(AND($H296&lt;&gt;"",$I296&lt;&gt;""),$I296-$H296,"")</f>
        <v/>
      </c>
      <c r="T296" s="53" t="str">
        <f aca="false">IF($J296&lt;&gt;"",$J296,"")</f>
        <v/>
      </c>
      <c r="V296" s="52" t="str">
        <f aca="false">IF($A296&lt;&gt;"",$A296,"")</f>
        <v>Apprenant 284</v>
      </c>
      <c r="W296" s="53" t="str">
        <f aca="false">IF(AND(OR('Choix pédagogiques'!$C$3=1,'Choix pédagogiques'!$C$3=2),$BM296=1),B296,IF(AND('Choix pédagogiques'!$C$3=3,$BO296=1),B296,""))</f>
        <v/>
      </c>
      <c r="X296" s="53" t="str">
        <f aca="false">IF(AND(OR('Choix pédagogiques'!$C$3=1,'Choix pédagogiques'!$C$3=2),$BM296=1),C296,IF(AND('Choix pédagogiques'!$C$3=3,$BO296=1),C296,""))</f>
        <v/>
      </c>
      <c r="Y296" s="53" t="str">
        <f aca="false">IF(AND(OR('Choix pédagogiques'!$C$3=1,'Choix pédagogiques'!$C$3=2),$BM296=1),D296,IF(AND('Choix pédagogiques'!$C$3=3,$BO296=1),D296,""))</f>
        <v/>
      </c>
      <c r="Z296" s="53" t="str">
        <f aca="false">IF($E296&lt;&gt;"",$E296,"")</f>
        <v/>
      </c>
      <c r="AA296" s="52" t="str">
        <f aca="false">IF($F296&lt;&gt;"",$F296,"")</f>
        <v>Apprenant 284 ou 284'</v>
      </c>
      <c r="AB296" s="53" t="str">
        <f aca="false">IF(AND(OR('Choix pédagogiques'!$C$3=1,'Choix pédagogiques'!$C$3=2),$BN296=1),G296,IF(AND('Choix pédagogiques'!$C$3=3,$BO296=1),G296,""))</f>
        <v/>
      </c>
      <c r="AC296" s="53" t="str">
        <f aca="false">IF(AND(OR('Choix pédagogiques'!$C$3=1,'Choix pédagogiques'!$C$3=2),$BN296=1),H296,IF(AND('Choix pédagogiques'!$C$3=3,$BO296=1),H296,""))</f>
        <v/>
      </c>
      <c r="AD296" s="53" t="str">
        <f aca="false">IF(AND(OR('Choix pédagogiques'!$C$3=1,'Choix pédagogiques'!$C$3=2),$BN296=1),I296,IF(AND('Choix pédagogiques'!$C$3=3,$BO296=1),I296,""))</f>
        <v/>
      </c>
      <c r="AE296" s="53" t="str">
        <f aca="false">IF($J296&lt;&gt;"",$J296,"")</f>
        <v/>
      </c>
      <c r="AF296" s="52" t="str">
        <f aca="false">IF($A296&lt;&gt;"",$A296,"")</f>
        <v>Apprenant 284</v>
      </c>
      <c r="AG296" s="53" t="str">
        <f aca="false">IF(AND($W296&lt;&gt;"",$X296&lt;&gt;""),$X296-$W296,"")</f>
        <v/>
      </c>
      <c r="AH296" s="53" t="str">
        <f aca="false">IF(AND($W296&lt;&gt;"",$Y296&lt;&gt;""),$Y296-$W296,"")</f>
        <v/>
      </c>
      <c r="AI296" s="53" t="str">
        <f aca="false">IF(AND($X296&lt;&gt;"",$Y296&lt;&gt;""),$Y296-$X296,"")</f>
        <v/>
      </c>
      <c r="AJ296" s="53" t="str">
        <f aca="false">IF($E296&lt;&gt;"",$E296,"")</f>
        <v/>
      </c>
      <c r="AK296" s="52" t="str">
        <f aca="false">IF($F296&lt;&gt;"",$F296,"")</f>
        <v>Apprenant 284 ou 284'</v>
      </c>
      <c r="AL296" s="53" t="str">
        <f aca="false">IF(AND($AB296&lt;&gt;"",$AC296&lt;&gt;""),$AC296-$AB296,"")</f>
        <v/>
      </c>
      <c r="AM296" s="53" t="str">
        <f aca="false">IF(AND($AB296&lt;&gt;"",$AD296&lt;&gt;""),$AD296-$AB296,"")</f>
        <v/>
      </c>
      <c r="AN296" s="53" t="str">
        <f aca="false">IF(AND($AC296&lt;&gt;"",$AD296&lt;&gt;""),$AD296-$AC296,"")</f>
        <v/>
      </c>
      <c r="AO296" s="53" t="str">
        <f aca="false">IF($J296&lt;&gt;"",$J296,"")</f>
        <v/>
      </c>
      <c r="AQ296" s="52" t="str">
        <f aca="false">IF($A296&lt;&gt;"",$A296,"")</f>
        <v>Apprenant 284</v>
      </c>
      <c r="AR296" s="55" t="str">
        <f aca="false">IF(AND('Choix pédagogiques'!$C$4&lt;&gt;"?",'Choix pédagogiques'!$C$5&lt;&gt;"?",W296&lt;&gt;""),(W296-'Choix pédagogiques'!$C$4)/('Choix pédagogiques'!$C$5-'Choix pédagogiques'!$C$4),"")</f>
        <v/>
      </c>
      <c r="AS296" s="55" t="str">
        <f aca="false">IF(AND('Choix pédagogiques'!$C$4&lt;&gt;"?",'Choix pédagogiques'!$C$5&lt;&gt;"?",X296&lt;&gt;""),(X296-'Choix pédagogiques'!$C$4)/('Choix pédagogiques'!$C$5-'Choix pédagogiques'!$C$4),"")</f>
        <v/>
      </c>
      <c r="AT296" s="55" t="str">
        <f aca="false">IF(AND('Choix pédagogiques'!$C$4&lt;&gt;"?",'Choix pédagogiques'!$C$5&lt;&gt;"?",Y296&lt;&gt;""),(Y296-'Choix pédagogiques'!$C$4)/('Choix pédagogiques'!$C$5-'Choix pédagogiques'!$C$4),"")</f>
        <v/>
      </c>
      <c r="AU296" s="53" t="str">
        <f aca="false">IF($E296&lt;&gt;"",$E296,"")</f>
        <v/>
      </c>
      <c r="AV296" s="52" t="str">
        <f aca="false">IF($F296&lt;&gt;"",$F296,"")</f>
        <v>Apprenant 284 ou 284'</v>
      </c>
      <c r="AW296" s="55" t="str">
        <f aca="false">IF(AND('Choix pédagogiques'!$C$4&lt;&gt;"?",'Choix pédagogiques'!$C$5&lt;&gt;"?",AB296&lt;&gt;""),(AB296-'Choix pédagogiques'!$C$4)/('Choix pédagogiques'!$C$5-'Choix pédagogiques'!$C$4),"")</f>
        <v/>
      </c>
      <c r="AX296" s="55" t="str">
        <f aca="false">IF(AND('Choix pédagogiques'!$C$4&lt;&gt;"?",'Choix pédagogiques'!$C$5&lt;&gt;"?",AC296&lt;&gt;""),(AC296-'Choix pédagogiques'!$C$4)/('Choix pédagogiques'!$C$5-'Choix pédagogiques'!$C$4),"")</f>
        <v/>
      </c>
      <c r="AY296" s="55" t="str">
        <f aca="false">IF(AND('Choix pédagogiques'!$C$4&lt;&gt;"?",'Choix pédagogiques'!$C$5&lt;&gt;"?",AD296&lt;&gt;""),(AD296-'Choix pédagogiques'!$C$4)/('Choix pédagogiques'!$C$5-'Choix pédagogiques'!$C$4),"")</f>
        <v/>
      </c>
      <c r="AZ296" s="53" t="str">
        <f aca="false">IF($J296&lt;&gt;"",$J296,"")</f>
        <v/>
      </c>
      <c r="BA296" s="52" t="str">
        <f aca="false">IF($A296&lt;&gt;"",$A296,"")</f>
        <v>Apprenant 284</v>
      </c>
      <c r="BB296" s="55" t="str">
        <f aca="false">IF(AND($AR296&lt;&gt;"",$AS296&lt;&gt;""),$AS296-$AR296,"")</f>
        <v/>
      </c>
      <c r="BC296" s="55" t="str">
        <f aca="false">IF(AND($AR296&lt;&gt;"",$AT296&lt;&gt;""),$AT296-$AR296,"")</f>
        <v/>
      </c>
      <c r="BD296" s="55" t="str">
        <f aca="false">IF(AND($AS296&lt;&gt;"",$AT296&lt;&gt;""),$AT296-$AS296,"")</f>
        <v/>
      </c>
      <c r="BE296" s="53" t="str">
        <f aca="false">IF($E296&lt;&gt;"",$E296,"")</f>
        <v/>
      </c>
      <c r="BF296" s="52" t="str">
        <f aca="false">IF($F296&lt;&gt;"",$F296,"")</f>
        <v>Apprenant 284 ou 284'</v>
      </c>
      <c r="BG296" s="55" t="str">
        <f aca="false">IF(AND($AW296&lt;&gt;"",$AX296&lt;&gt;""),$AX296-$AW296,"")</f>
        <v/>
      </c>
      <c r="BH296" s="55" t="str">
        <f aca="false">IF(AND($AW296&lt;&gt;"",$AY296&lt;&gt;""),$AY296-$AW296,"")</f>
        <v/>
      </c>
      <c r="BI296" s="55" t="str">
        <f aca="false">IF(AND($AX296&lt;&gt;"",$AY296&lt;&gt;""),$AY296-$AX296,"")</f>
        <v/>
      </c>
      <c r="BJ296" s="53" t="str">
        <f aca="false">IF($J296&lt;&gt;"",$J296,"")</f>
        <v/>
      </c>
      <c r="BL296" s="52"/>
      <c r="BM296" s="52" t="str">
        <f aca="false">IF(OR(COUNT(B296:D1295)=0,AND('Choix pédagogiques'!$C$3&lt;&gt;1,'Choix pédagogiques'!$C$3&lt;&gt;2)),"",IF(AND(OR('Choix pédagogiques'!$C$3=1,'Choix pédagogiques'!$C$3=2),$B296&lt;&gt;"",$C296&lt;&gt;"",$D296&lt;&gt;""),1,0))</f>
        <v/>
      </c>
      <c r="BN296" s="52" t="str">
        <f aca="false">IF(OR(COUNT(G296:I1295)=0,AND('Choix pédagogiques'!$C$3&lt;&gt;1,'Choix pédagogiques'!$C$3&lt;&gt;2)),"",IF(AND(OR('Choix pédagogiques'!$C$3=1,'Choix pédagogiques'!$C$3=2),AND($G296&lt;&gt;"",$H296&lt;&gt;"",$I296&lt;&gt;"")),1,0))</f>
        <v/>
      </c>
      <c r="BO296" s="52" t="str">
        <f aca="false">IF(OR(COUNT(B296:D1295)=0,COUNT(G296:I1295)=0,'Choix pédagogiques'!C$3&lt;&gt;3),"",IF(AND('Choix pédagogiques'!$C$3=3,$B296&lt;&gt;"",$C296&lt;&gt;"",$D296&lt;&gt;"",$G296&lt;&gt;"",$H296&lt;&gt;"",$I296&lt;&gt;""),1,0))</f>
        <v/>
      </c>
      <c r="BR296" s="52" t="n">
        <v>453</v>
      </c>
      <c r="BS296" s="52" t="n">
        <v>1109</v>
      </c>
    </row>
    <row r="297" s="54" customFormat="true" ht="18" hidden="false" customHeight="true" outlineLevel="0" collapsed="false">
      <c r="A297" s="57" t="s">
        <v>525</v>
      </c>
      <c r="B297" s="51"/>
      <c r="C297" s="51"/>
      <c r="D297" s="51"/>
      <c r="E297" s="51"/>
      <c r="F297" s="57" t="s">
        <v>526</v>
      </c>
      <c r="G297" s="51"/>
      <c r="H297" s="51"/>
      <c r="I297" s="51"/>
      <c r="J297" s="51"/>
      <c r="K297" s="52" t="str">
        <f aca="false">IF($A297&lt;&gt;"",$A297,"")</f>
        <v>Apprenant 285</v>
      </c>
      <c r="L297" s="53" t="str">
        <f aca="false">IF(AND($B297&lt;&gt;"",$C297&lt;&gt;""),$C297-$B297,"")</f>
        <v/>
      </c>
      <c r="M297" s="53" t="str">
        <f aca="false">IF(AND($B297&lt;&gt;"",$D297&lt;&gt;""),$D297-$B297,"")</f>
        <v/>
      </c>
      <c r="N297" s="53" t="str">
        <f aca="false">IF(AND($C297&lt;&gt;"",$D297&lt;&gt;""),$D297-$C297,"")</f>
        <v/>
      </c>
      <c r="O297" s="53" t="str">
        <f aca="false">IF($E297&lt;&gt;"",$E297,"")</f>
        <v/>
      </c>
      <c r="P297" s="52" t="str">
        <f aca="false">IF($F297&lt;&gt;"",$F297,"")</f>
        <v>Apprenant 285 ou 285'</v>
      </c>
      <c r="Q297" s="53" t="str">
        <f aca="false">IF(AND($G297&lt;&gt;"",$H297&lt;&gt;""),$H297-$G297,"")</f>
        <v/>
      </c>
      <c r="R297" s="53" t="str">
        <f aca="false">IF(AND($G297&lt;&gt;"",$I297&lt;&gt;""),$I297-$G297,"")</f>
        <v/>
      </c>
      <c r="S297" s="53" t="str">
        <f aca="false">IF(AND($H297&lt;&gt;"",$I297&lt;&gt;""),$I297-$H297,"")</f>
        <v/>
      </c>
      <c r="T297" s="53" t="str">
        <f aca="false">IF($J297&lt;&gt;"",$J297,"")</f>
        <v/>
      </c>
      <c r="V297" s="52" t="str">
        <f aca="false">IF($A297&lt;&gt;"",$A297,"")</f>
        <v>Apprenant 285</v>
      </c>
      <c r="W297" s="53" t="str">
        <f aca="false">IF(AND(OR('Choix pédagogiques'!$C$3=1,'Choix pédagogiques'!$C$3=2),$BM297=1),B297,IF(AND('Choix pédagogiques'!$C$3=3,$BO297=1),B297,""))</f>
        <v/>
      </c>
      <c r="X297" s="53" t="str">
        <f aca="false">IF(AND(OR('Choix pédagogiques'!$C$3=1,'Choix pédagogiques'!$C$3=2),$BM297=1),C297,IF(AND('Choix pédagogiques'!$C$3=3,$BO297=1),C297,""))</f>
        <v/>
      </c>
      <c r="Y297" s="53" t="str">
        <f aca="false">IF(AND(OR('Choix pédagogiques'!$C$3=1,'Choix pédagogiques'!$C$3=2),$BM297=1),D297,IF(AND('Choix pédagogiques'!$C$3=3,$BO297=1),D297,""))</f>
        <v/>
      </c>
      <c r="Z297" s="53" t="str">
        <f aca="false">IF($E297&lt;&gt;"",$E297,"")</f>
        <v/>
      </c>
      <c r="AA297" s="52" t="str">
        <f aca="false">IF($F297&lt;&gt;"",$F297,"")</f>
        <v>Apprenant 285 ou 285'</v>
      </c>
      <c r="AB297" s="53" t="str">
        <f aca="false">IF(AND(OR('Choix pédagogiques'!$C$3=1,'Choix pédagogiques'!$C$3=2),$BN297=1),G297,IF(AND('Choix pédagogiques'!$C$3=3,$BO297=1),G297,""))</f>
        <v/>
      </c>
      <c r="AC297" s="53" t="str">
        <f aca="false">IF(AND(OR('Choix pédagogiques'!$C$3=1,'Choix pédagogiques'!$C$3=2),$BN297=1),H297,IF(AND('Choix pédagogiques'!$C$3=3,$BO297=1),H297,""))</f>
        <v/>
      </c>
      <c r="AD297" s="53" t="str">
        <f aca="false">IF(AND(OR('Choix pédagogiques'!$C$3=1,'Choix pédagogiques'!$C$3=2),$BN297=1),I297,IF(AND('Choix pédagogiques'!$C$3=3,$BO297=1),I297,""))</f>
        <v/>
      </c>
      <c r="AE297" s="53" t="str">
        <f aca="false">IF($J297&lt;&gt;"",$J297,"")</f>
        <v/>
      </c>
      <c r="AF297" s="52" t="str">
        <f aca="false">IF($A297&lt;&gt;"",$A297,"")</f>
        <v>Apprenant 285</v>
      </c>
      <c r="AG297" s="53" t="str">
        <f aca="false">IF(AND($W297&lt;&gt;"",$X297&lt;&gt;""),$X297-$W297,"")</f>
        <v/>
      </c>
      <c r="AH297" s="53" t="str">
        <f aca="false">IF(AND($W297&lt;&gt;"",$Y297&lt;&gt;""),$Y297-$W297,"")</f>
        <v/>
      </c>
      <c r="AI297" s="53" t="str">
        <f aca="false">IF(AND($X297&lt;&gt;"",$Y297&lt;&gt;""),$Y297-$X297,"")</f>
        <v/>
      </c>
      <c r="AJ297" s="53" t="str">
        <f aca="false">IF($E297&lt;&gt;"",$E297,"")</f>
        <v/>
      </c>
      <c r="AK297" s="52" t="str">
        <f aca="false">IF($F297&lt;&gt;"",$F297,"")</f>
        <v>Apprenant 285 ou 285'</v>
      </c>
      <c r="AL297" s="53" t="str">
        <f aca="false">IF(AND($AB297&lt;&gt;"",$AC297&lt;&gt;""),$AC297-$AB297,"")</f>
        <v/>
      </c>
      <c r="AM297" s="53" t="str">
        <f aca="false">IF(AND($AB297&lt;&gt;"",$AD297&lt;&gt;""),$AD297-$AB297,"")</f>
        <v/>
      </c>
      <c r="AN297" s="53" t="str">
        <f aca="false">IF(AND($AC297&lt;&gt;"",$AD297&lt;&gt;""),$AD297-$AC297,"")</f>
        <v/>
      </c>
      <c r="AO297" s="53" t="str">
        <f aca="false">IF($J297&lt;&gt;"",$J297,"")</f>
        <v/>
      </c>
      <c r="AQ297" s="52" t="str">
        <f aca="false">IF($A297&lt;&gt;"",$A297,"")</f>
        <v>Apprenant 285</v>
      </c>
      <c r="AR297" s="55" t="str">
        <f aca="false">IF(AND('Choix pédagogiques'!$C$4&lt;&gt;"?",'Choix pédagogiques'!$C$5&lt;&gt;"?",W297&lt;&gt;""),(W297-'Choix pédagogiques'!$C$4)/('Choix pédagogiques'!$C$5-'Choix pédagogiques'!$C$4),"")</f>
        <v/>
      </c>
      <c r="AS297" s="55" t="str">
        <f aca="false">IF(AND('Choix pédagogiques'!$C$4&lt;&gt;"?",'Choix pédagogiques'!$C$5&lt;&gt;"?",X297&lt;&gt;""),(X297-'Choix pédagogiques'!$C$4)/('Choix pédagogiques'!$C$5-'Choix pédagogiques'!$C$4),"")</f>
        <v/>
      </c>
      <c r="AT297" s="55" t="str">
        <f aca="false">IF(AND('Choix pédagogiques'!$C$4&lt;&gt;"?",'Choix pédagogiques'!$C$5&lt;&gt;"?",Y297&lt;&gt;""),(Y297-'Choix pédagogiques'!$C$4)/('Choix pédagogiques'!$C$5-'Choix pédagogiques'!$C$4),"")</f>
        <v/>
      </c>
      <c r="AU297" s="53" t="str">
        <f aca="false">IF($E297&lt;&gt;"",$E297,"")</f>
        <v/>
      </c>
      <c r="AV297" s="52" t="str">
        <f aca="false">IF($F297&lt;&gt;"",$F297,"")</f>
        <v>Apprenant 285 ou 285'</v>
      </c>
      <c r="AW297" s="55" t="str">
        <f aca="false">IF(AND('Choix pédagogiques'!$C$4&lt;&gt;"?",'Choix pédagogiques'!$C$5&lt;&gt;"?",AB297&lt;&gt;""),(AB297-'Choix pédagogiques'!$C$4)/('Choix pédagogiques'!$C$5-'Choix pédagogiques'!$C$4),"")</f>
        <v/>
      </c>
      <c r="AX297" s="55" t="str">
        <f aca="false">IF(AND('Choix pédagogiques'!$C$4&lt;&gt;"?",'Choix pédagogiques'!$C$5&lt;&gt;"?",AC297&lt;&gt;""),(AC297-'Choix pédagogiques'!$C$4)/('Choix pédagogiques'!$C$5-'Choix pédagogiques'!$C$4),"")</f>
        <v/>
      </c>
      <c r="AY297" s="55" t="str">
        <f aca="false">IF(AND('Choix pédagogiques'!$C$4&lt;&gt;"?",'Choix pédagogiques'!$C$5&lt;&gt;"?",AD297&lt;&gt;""),(AD297-'Choix pédagogiques'!$C$4)/('Choix pédagogiques'!$C$5-'Choix pédagogiques'!$C$4),"")</f>
        <v/>
      </c>
      <c r="AZ297" s="53" t="str">
        <f aca="false">IF($J297&lt;&gt;"",$J297,"")</f>
        <v/>
      </c>
      <c r="BA297" s="52" t="str">
        <f aca="false">IF($A297&lt;&gt;"",$A297,"")</f>
        <v>Apprenant 285</v>
      </c>
      <c r="BB297" s="55" t="str">
        <f aca="false">IF(AND($AR297&lt;&gt;"",$AS297&lt;&gt;""),$AS297-$AR297,"")</f>
        <v/>
      </c>
      <c r="BC297" s="55" t="str">
        <f aca="false">IF(AND($AR297&lt;&gt;"",$AT297&lt;&gt;""),$AT297-$AR297,"")</f>
        <v/>
      </c>
      <c r="BD297" s="55" t="str">
        <f aca="false">IF(AND($AS297&lt;&gt;"",$AT297&lt;&gt;""),$AT297-$AS297,"")</f>
        <v/>
      </c>
      <c r="BE297" s="53" t="str">
        <f aca="false">IF($E297&lt;&gt;"",$E297,"")</f>
        <v/>
      </c>
      <c r="BF297" s="52" t="str">
        <f aca="false">IF($F297&lt;&gt;"",$F297,"")</f>
        <v>Apprenant 285 ou 285'</v>
      </c>
      <c r="BG297" s="55" t="str">
        <f aca="false">IF(AND($AW297&lt;&gt;"",$AX297&lt;&gt;""),$AX297-$AW297,"")</f>
        <v/>
      </c>
      <c r="BH297" s="55" t="str">
        <f aca="false">IF(AND($AW297&lt;&gt;"",$AY297&lt;&gt;""),$AY297-$AW297,"")</f>
        <v/>
      </c>
      <c r="BI297" s="55" t="str">
        <f aca="false">IF(AND($AX297&lt;&gt;"",$AY297&lt;&gt;""),$AY297-$AX297,"")</f>
        <v/>
      </c>
      <c r="BJ297" s="53" t="str">
        <f aca="false">IF($J297&lt;&gt;"",$J297,"")</f>
        <v/>
      </c>
      <c r="BL297" s="52"/>
      <c r="BM297" s="52" t="str">
        <f aca="false">IF(OR(COUNT(B297:D1296)=0,AND('Choix pédagogiques'!$C$3&lt;&gt;1,'Choix pédagogiques'!$C$3&lt;&gt;2)),"",IF(AND(OR('Choix pédagogiques'!$C$3=1,'Choix pédagogiques'!$C$3=2),$B297&lt;&gt;"",$C297&lt;&gt;"",$D297&lt;&gt;""),1,0))</f>
        <v/>
      </c>
      <c r="BN297" s="52" t="str">
        <f aca="false">IF(OR(COUNT(G297:I1296)=0,AND('Choix pédagogiques'!$C$3&lt;&gt;1,'Choix pédagogiques'!$C$3&lt;&gt;2)),"",IF(AND(OR('Choix pédagogiques'!$C$3=1,'Choix pédagogiques'!$C$3=2),AND($G297&lt;&gt;"",$H297&lt;&gt;"",$I297&lt;&gt;"")),1,0))</f>
        <v/>
      </c>
      <c r="BO297" s="52" t="str">
        <f aca="false">IF(OR(COUNT(B297:D1296)=0,COUNT(G297:I1296)=0,'Choix pédagogiques'!C$3&lt;&gt;3),"",IF(AND('Choix pédagogiques'!$C$3=3,$B297&lt;&gt;"",$C297&lt;&gt;"",$D297&lt;&gt;"",$G297&lt;&gt;"",$H297&lt;&gt;"",$I297&lt;&gt;""),1,0))</f>
        <v/>
      </c>
      <c r="BR297" s="52" t="n">
        <v>246</v>
      </c>
      <c r="BS297" s="52" t="n">
        <v>1836</v>
      </c>
    </row>
    <row r="298" s="54" customFormat="true" ht="18" hidden="false" customHeight="true" outlineLevel="0" collapsed="false">
      <c r="A298" s="57" t="s">
        <v>527</v>
      </c>
      <c r="B298" s="51"/>
      <c r="C298" s="51"/>
      <c r="D298" s="51"/>
      <c r="E298" s="51"/>
      <c r="F298" s="57" t="s">
        <v>528</v>
      </c>
      <c r="G298" s="51"/>
      <c r="H298" s="51"/>
      <c r="I298" s="51"/>
      <c r="J298" s="51"/>
      <c r="K298" s="52" t="str">
        <f aca="false">IF($A298&lt;&gt;"",$A298,"")</f>
        <v>Apprenant 286</v>
      </c>
      <c r="L298" s="53" t="str">
        <f aca="false">IF(AND($B298&lt;&gt;"",$C298&lt;&gt;""),$C298-$B298,"")</f>
        <v/>
      </c>
      <c r="M298" s="53" t="str">
        <f aca="false">IF(AND($B298&lt;&gt;"",$D298&lt;&gt;""),$D298-$B298,"")</f>
        <v/>
      </c>
      <c r="N298" s="53" t="str">
        <f aca="false">IF(AND($C298&lt;&gt;"",$D298&lt;&gt;""),$D298-$C298,"")</f>
        <v/>
      </c>
      <c r="O298" s="53" t="str">
        <f aca="false">IF($E298&lt;&gt;"",$E298,"")</f>
        <v/>
      </c>
      <c r="P298" s="52" t="str">
        <f aca="false">IF($F298&lt;&gt;"",$F298,"")</f>
        <v>Apprenant 286 ou 286'</v>
      </c>
      <c r="Q298" s="53" t="str">
        <f aca="false">IF(AND($G298&lt;&gt;"",$H298&lt;&gt;""),$H298-$G298,"")</f>
        <v/>
      </c>
      <c r="R298" s="53" t="str">
        <f aca="false">IF(AND($G298&lt;&gt;"",$I298&lt;&gt;""),$I298-$G298,"")</f>
        <v/>
      </c>
      <c r="S298" s="53" t="str">
        <f aca="false">IF(AND($H298&lt;&gt;"",$I298&lt;&gt;""),$I298-$H298,"")</f>
        <v/>
      </c>
      <c r="T298" s="53" t="str">
        <f aca="false">IF($J298&lt;&gt;"",$J298,"")</f>
        <v/>
      </c>
      <c r="V298" s="52" t="str">
        <f aca="false">IF($A298&lt;&gt;"",$A298,"")</f>
        <v>Apprenant 286</v>
      </c>
      <c r="W298" s="53" t="str">
        <f aca="false">IF(AND(OR('Choix pédagogiques'!$C$3=1,'Choix pédagogiques'!$C$3=2),$BM298=1),B298,IF(AND('Choix pédagogiques'!$C$3=3,$BO298=1),B298,""))</f>
        <v/>
      </c>
      <c r="X298" s="53" t="str">
        <f aca="false">IF(AND(OR('Choix pédagogiques'!$C$3=1,'Choix pédagogiques'!$C$3=2),$BM298=1),C298,IF(AND('Choix pédagogiques'!$C$3=3,$BO298=1),C298,""))</f>
        <v/>
      </c>
      <c r="Y298" s="53" t="str">
        <f aca="false">IF(AND(OR('Choix pédagogiques'!$C$3=1,'Choix pédagogiques'!$C$3=2),$BM298=1),D298,IF(AND('Choix pédagogiques'!$C$3=3,$BO298=1),D298,""))</f>
        <v/>
      </c>
      <c r="Z298" s="53" t="str">
        <f aca="false">IF($E298&lt;&gt;"",$E298,"")</f>
        <v/>
      </c>
      <c r="AA298" s="52" t="str">
        <f aca="false">IF($F298&lt;&gt;"",$F298,"")</f>
        <v>Apprenant 286 ou 286'</v>
      </c>
      <c r="AB298" s="53" t="str">
        <f aca="false">IF(AND(OR('Choix pédagogiques'!$C$3=1,'Choix pédagogiques'!$C$3=2),$BN298=1),G298,IF(AND('Choix pédagogiques'!$C$3=3,$BO298=1),G298,""))</f>
        <v/>
      </c>
      <c r="AC298" s="53" t="str">
        <f aca="false">IF(AND(OR('Choix pédagogiques'!$C$3=1,'Choix pédagogiques'!$C$3=2),$BN298=1),H298,IF(AND('Choix pédagogiques'!$C$3=3,$BO298=1),H298,""))</f>
        <v/>
      </c>
      <c r="AD298" s="53" t="str">
        <f aca="false">IF(AND(OR('Choix pédagogiques'!$C$3=1,'Choix pédagogiques'!$C$3=2),$BN298=1),I298,IF(AND('Choix pédagogiques'!$C$3=3,$BO298=1),I298,""))</f>
        <v/>
      </c>
      <c r="AE298" s="53" t="str">
        <f aca="false">IF($J298&lt;&gt;"",$J298,"")</f>
        <v/>
      </c>
      <c r="AF298" s="52" t="str">
        <f aca="false">IF($A298&lt;&gt;"",$A298,"")</f>
        <v>Apprenant 286</v>
      </c>
      <c r="AG298" s="53" t="str">
        <f aca="false">IF(AND($W298&lt;&gt;"",$X298&lt;&gt;""),$X298-$W298,"")</f>
        <v/>
      </c>
      <c r="AH298" s="53" t="str">
        <f aca="false">IF(AND($W298&lt;&gt;"",$Y298&lt;&gt;""),$Y298-$W298,"")</f>
        <v/>
      </c>
      <c r="AI298" s="53" t="str">
        <f aca="false">IF(AND($X298&lt;&gt;"",$Y298&lt;&gt;""),$Y298-$X298,"")</f>
        <v/>
      </c>
      <c r="AJ298" s="53" t="str">
        <f aca="false">IF($E298&lt;&gt;"",$E298,"")</f>
        <v/>
      </c>
      <c r="AK298" s="52" t="str">
        <f aca="false">IF($F298&lt;&gt;"",$F298,"")</f>
        <v>Apprenant 286 ou 286'</v>
      </c>
      <c r="AL298" s="53" t="str">
        <f aca="false">IF(AND($AB298&lt;&gt;"",$AC298&lt;&gt;""),$AC298-$AB298,"")</f>
        <v/>
      </c>
      <c r="AM298" s="53" t="str">
        <f aca="false">IF(AND($AB298&lt;&gt;"",$AD298&lt;&gt;""),$AD298-$AB298,"")</f>
        <v/>
      </c>
      <c r="AN298" s="53" t="str">
        <f aca="false">IF(AND($AC298&lt;&gt;"",$AD298&lt;&gt;""),$AD298-$AC298,"")</f>
        <v/>
      </c>
      <c r="AO298" s="53" t="str">
        <f aca="false">IF($J298&lt;&gt;"",$J298,"")</f>
        <v/>
      </c>
      <c r="AQ298" s="52" t="str">
        <f aca="false">IF($A298&lt;&gt;"",$A298,"")</f>
        <v>Apprenant 286</v>
      </c>
      <c r="AR298" s="55" t="str">
        <f aca="false">IF(AND('Choix pédagogiques'!$C$4&lt;&gt;"?",'Choix pédagogiques'!$C$5&lt;&gt;"?",W298&lt;&gt;""),(W298-'Choix pédagogiques'!$C$4)/('Choix pédagogiques'!$C$5-'Choix pédagogiques'!$C$4),"")</f>
        <v/>
      </c>
      <c r="AS298" s="55" t="str">
        <f aca="false">IF(AND('Choix pédagogiques'!$C$4&lt;&gt;"?",'Choix pédagogiques'!$C$5&lt;&gt;"?",X298&lt;&gt;""),(X298-'Choix pédagogiques'!$C$4)/('Choix pédagogiques'!$C$5-'Choix pédagogiques'!$C$4),"")</f>
        <v/>
      </c>
      <c r="AT298" s="55" t="str">
        <f aca="false">IF(AND('Choix pédagogiques'!$C$4&lt;&gt;"?",'Choix pédagogiques'!$C$5&lt;&gt;"?",Y298&lt;&gt;""),(Y298-'Choix pédagogiques'!$C$4)/('Choix pédagogiques'!$C$5-'Choix pédagogiques'!$C$4),"")</f>
        <v/>
      </c>
      <c r="AU298" s="53" t="str">
        <f aca="false">IF($E298&lt;&gt;"",$E298,"")</f>
        <v/>
      </c>
      <c r="AV298" s="52" t="str">
        <f aca="false">IF($F298&lt;&gt;"",$F298,"")</f>
        <v>Apprenant 286 ou 286'</v>
      </c>
      <c r="AW298" s="55" t="str">
        <f aca="false">IF(AND('Choix pédagogiques'!$C$4&lt;&gt;"?",'Choix pédagogiques'!$C$5&lt;&gt;"?",AB298&lt;&gt;""),(AB298-'Choix pédagogiques'!$C$4)/('Choix pédagogiques'!$C$5-'Choix pédagogiques'!$C$4),"")</f>
        <v/>
      </c>
      <c r="AX298" s="55" t="str">
        <f aca="false">IF(AND('Choix pédagogiques'!$C$4&lt;&gt;"?",'Choix pédagogiques'!$C$5&lt;&gt;"?",AC298&lt;&gt;""),(AC298-'Choix pédagogiques'!$C$4)/('Choix pédagogiques'!$C$5-'Choix pédagogiques'!$C$4),"")</f>
        <v/>
      </c>
      <c r="AY298" s="55" t="str">
        <f aca="false">IF(AND('Choix pédagogiques'!$C$4&lt;&gt;"?",'Choix pédagogiques'!$C$5&lt;&gt;"?",AD298&lt;&gt;""),(AD298-'Choix pédagogiques'!$C$4)/('Choix pédagogiques'!$C$5-'Choix pédagogiques'!$C$4),"")</f>
        <v/>
      </c>
      <c r="AZ298" s="53" t="str">
        <f aca="false">IF($J298&lt;&gt;"",$J298,"")</f>
        <v/>
      </c>
      <c r="BA298" s="52" t="str">
        <f aca="false">IF($A298&lt;&gt;"",$A298,"")</f>
        <v>Apprenant 286</v>
      </c>
      <c r="BB298" s="55" t="str">
        <f aca="false">IF(AND($AR298&lt;&gt;"",$AS298&lt;&gt;""),$AS298-$AR298,"")</f>
        <v/>
      </c>
      <c r="BC298" s="55" t="str">
        <f aca="false">IF(AND($AR298&lt;&gt;"",$AT298&lt;&gt;""),$AT298-$AR298,"")</f>
        <v/>
      </c>
      <c r="BD298" s="55" t="str">
        <f aca="false">IF(AND($AS298&lt;&gt;"",$AT298&lt;&gt;""),$AT298-$AS298,"")</f>
        <v/>
      </c>
      <c r="BE298" s="53" t="str">
        <f aca="false">IF($E298&lt;&gt;"",$E298,"")</f>
        <v/>
      </c>
      <c r="BF298" s="52" t="str">
        <f aca="false">IF($F298&lt;&gt;"",$F298,"")</f>
        <v>Apprenant 286 ou 286'</v>
      </c>
      <c r="BG298" s="55" t="str">
        <f aca="false">IF(AND($AW298&lt;&gt;"",$AX298&lt;&gt;""),$AX298-$AW298,"")</f>
        <v/>
      </c>
      <c r="BH298" s="55" t="str">
        <f aca="false">IF(AND($AW298&lt;&gt;"",$AY298&lt;&gt;""),$AY298-$AW298,"")</f>
        <v/>
      </c>
      <c r="BI298" s="55" t="str">
        <f aca="false">IF(AND($AX298&lt;&gt;"",$AY298&lt;&gt;""),$AY298-$AX298,"")</f>
        <v/>
      </c>
      <c r="BJ298" s="53" t="str">
        <f aca="false">IF($J298&lt;&gt;"",$J298,"")</f>
        <v/>
      </c>
      <c r="BL298" s="52"/>
      <c r="BM298" s="52" t="str">
        <f aca="false">IF(OR(COUNT(B298:D1297)=0,AND('Choix pédagogiques'!$C$3&lt;&gt;1,'Choix pédagogiques'!$C$3&lt;&gt;2)),"",IF(AND(OR('Choix pédagogiques'!$C$3=1,'Choix pédagogiques'!$C$3=2),$B298&lt;&gt;"",$C298&lt;&gt;"",$D298&lt;&gt;""),1,0))</f>
        <v/>
      </c>
      <c r="BN298" s="52" t="str">
        <f aca="false">IF(OR(COUNT(G298:I1297)=0,AND('Choix pédagogiques'!$C$3&lt;&gt;1,'Choix pédagogiques'!$C$3&lt;&gt;2)),"",IF(AND(OR('Choix pédagogiques'!$C$3=1,'Choix pédagogiques'!$C$3=2),AND($G298&lt;&gt;"",$H298&lt;&gt;"",$I298&lt;&gt;"")),1,0))</f>
        <v/>
      </c>
      <c r="BO298" s="52" t="str">
        <f aca="false">IF(OR(COUNT(B298:D1297)=0,COUNT(G298:I1297)=0,'Choix pédagogiques'!C$3&lt;&gt;3),"",IF(AND('Choix pédagogiques'!$C$3=3,$B298&lt;&gt;"",$C298&lt;&gt;"",$D298&lt;&gt;"",$G298&lt;&gt;"",$H298&lt;&gt;"",$I298&lt;&gt;""),1,0))</f>
        <v/>
      </c>
      <c r="BR298" s="52" t="n">
        <v>744</v>
      </c>
      <c r="BS298" s="52" t="n">
        <v>1388</v>
      </c>
    </row>
    <row r="299" s="54" customFormat="true" ht="18" hidden="false" customHeight="true" outlineLevel="0" collapsed="false">
      <c r="A299" s="57" t="s">
        <v>529</v>
      </c>
      <c r="B299" s="51"/>
      <c r="C299" s="51"/>
      <c r="D299" s="51"/>
      <c r="E299" s="51"/>
      <c r="F299" s="57" t="s">
        <v>530</v>
      </c>
      <c r="G299" s="51"/>
      <c r="H299" s="51"/>
      <c r="I299" s="51"/>
      <c r="J299" s="51"/>
      <c r="K299" s="52" t="str">
        <f aca="false">IF($A299&lt;&gt;"",$A299,"")</f>
        <v>Apprenant 287</v>
      </c>
      <c r="L299" s="53" t="str">
        <f aca="false">IF(AND($B299&lt;&gt;"",$C299&lt;&gt;""),$C299-$B299,"")</f>
        <v/>
      </c>
      <c r="M299" s="53" t="str">
        <f aca="false">IF(AND($B299&lt;&gt;"",$D299&lt;&gt;""),$D299-$B299,"")</f>
        <v/>
      </c>
      <c r="N299" s="53" t="str">
        <f aca="false">IF(AND($C299&lt;&gt;"",$D299&lt;&gt;""),$D299-$C299,"")</f>
        <v/>
      </c>
      <c r="O299" s="53" t="str">
        <f aca="false">IF($E299&lt;&gt;"",$E299,"")</f>
        <v/>
      </c>
      <c r="P299" s="52" t="str">
        <f aca="false">IF($F299&lt;&gt;"",$F299,"")</f>
        <v>Apprenant 287 ou 287'</v>
      </c>
      <c r="Q299" s="53" t="str">
        <f aca="false">IF(AND($G299&lt;&gt;"",$H299&lt;&gt;""),$H299-$G299,"")</f>
        <v/>
      </c>
      <c r="R299" s="53" t="str">
        <f aca="false">IF(AND($G299&lt;&gt;"",$I299&lt;&gt;""),$I299-$G299,"")</f>
        <v/>
      </c>
      <c r="S299" s="53" t="str">
        <f aca="false">IF(AND($H299&lt;&gt;"",$I299&lt;&gt;""),$I299-$H299,"")</f>
        <v/>
      </c>
      <c r="T299" s="53" t="str">
        <f aca="false">IF($J299&lt;&gt;"",$J299,"")</f>
        <v/>
      </c>
      <c r="V299" s="52" t="str">
        <f aca="false">IF($A299&lt;&gt;"",$A299,"")</f>
        <v>Apprenant 287</v>
      </c>
      <c r="W299" s="53" t="str">
        <f aca="false">IF(AND(OR('Choix pédagogiques'!$C$3=1,'Choix pédagogiques'!$C$3=2),$BM299=1),B299,IF(AND('Choix pédagogiques'!$C$3=3,$BO299=1),B299,""))</f>
        <v/>
      </c>
      <c r="X299" s="53" t="str">
        <f aca="false">IF(AND(OR('Choix pédagogiques'!$C$3=1,'Choix pédagogiques'!$C$3=2),$BM299=1),C299,IF(AND('Choix pédagogiques'!$C$3=3,$BO299=1),C299,""))</f>
        <v/>
      </c>
      <c r="Y299" s="53" t="str">
        <f aca="false">IF(AND(OR('Choix pédagogiques'!$C$3=1,'Choix pédagogiques'!$C$3=2),$BM299=1),D299,IF(AND('Choix pédagogiques'!$C$3=3,$BO299=1),D299,""))</f>
        <v/>
      </c>
      <c r="Z299" s="53" t="str">
        <f aca="false">IF($E299&lt;&gt;"",$E299,"")</f>
        <v/>
      </c>
      <c r="AA299" s="52" t="str">
        <f aca="false">IF($F299&lt;&gt;"",$F299,"")</f>
        <v>Apprenant 287 ou 287'</v>
      </c>
      <c r="AB299" s="53" t="str">
        <f aca="false">IF(AND(OR('Choix pédagogiques'!$C$3=1,'Choix pédagogiques'!$C$3=2),$BN299=1),G299,IF(AND('Choix pédagogiques'!$C$3=3,$BO299=1),G299,""))</f>
        <v/>
      </c>
      <c r="AC299" s="53" t="str">
        <f aca="false">IF(AND(OR('Choix pédagogiques'!$C$3=1,'Choix pédagogiques'!$C$3=2),$BN299=1),H299,IF(AND('Choix pédagogiques'!$C$3=3,$BO299=1),H299,""))</f>
        <v/>
      </c>
      <c r="AD299" s="53" t="str">
        <f aca="false">IF(AND(OR('Choix pédagogiques'!$C$3=1,'Choix pédagogiques'!$C$3=2),$BN299=1),I299,IF(AND('Choix pédagogiques'!$C$3=3,$BO299=1),I299,""))</f>
        <v/>
      </c>
      <c r="AE299" s="53" t="str">
        <f aca="false">IF($J299&lt;&gt;"",$J299,"")</f>
        <v/>
      </c>
      <c r="AF299" s="52" t="str">
        <f aca="false">IF($A299&lt;&gt;"",$A299,"")</f>
        <v>Apprenant 287</v>
      </c>
      <c r="AG299" s="53" t="str">
        <f aca="false">IF(AND($W299&lt;&gt;"",$X299&lt;&gt;""),$X299-$W299,"")</f>
        <v/>
      </c>
      <c r="AH299" s="53" t="str">
        <f aca="false">IF(AND($W299&lt;&gt;"",$Y299&lt;&gt;""),$Y299-$W299,"")</f>
        <v/>
      </c>
      <c r="AI299" s="53" t="str">
        <f aca="false">IF(AND($X299&lt;&gt;"",$Y299&lt;&gt;""),$Y299-$X299,"")</f>
        <v/>
      </c>
      <c r="AJ299" s="53" t="str">
        <f aca="false">IF($E299&lt;&gt;"",$E299,"")</f>
        <v/>
      </c>
      <c r="AK299" s="52" t="str">
        <f aca="false">IF($F299&lt;&gt;"",$F299,"")</f>
        <v>Apprenant 287 ou 287'</v>
      </c>
      <c r="AL299" s="53" t="str">
        <f aca="false">IF(AND($AB299&lt;&gt;"",$AC299&lt;&gt;""),$AC299-$AB299,"")</f>
        <v/>
      </c>
      <c r="AM299" s="53" t="str">
        <f aca="false">IF(AND($AB299&lt;&gt;"",$AD299&lt;&gt;""),$AD299-$AB299,"")</f>
        <v/>
      </c>
      <c r="AN299" s="53" t="str">
        <f aca="false">IF(AND($AC299&lt;&gt;"",$AD299&lt;&gt;""),$AD299-$AC299,"")</f>
        <v/>
      </c>
      <c r="AO299" s="53" t="str">
        <f aca="false">IF($J299&lt;&gt;"",$J299,"")</f>
        <v/>
      </c>
      <c r="AQ299" s="52" t="str">
        <f aca="false">IF($A299&lt;&gt;"",$A299,"")</f>
        <v>Apprenant 287</v>
      </c>
      <c r="AR299" s="55" t="str">
        <f aca="false">IF(AND('Choix pédagogiques'!$C$4&lt;&gt;"?",'Choix pédagogiques'!$C$5&lt;&gt;"?",W299&lt;&gt;""),(W299-'Choix pédagogiques'!$C$4)/('Choix pédagogiques'!$C$5-'Choix pédagogiques'!$C$4),"")</f>
        <v/>
      </c>
      <c r="AS299" s="55" t="str">
        <f aca="false">IF(AND('Choix pédagogiques'!$C$4&lt;&gt;"?",'Choix pédagogiques'!$C$5&lt;&gt;"?",X299&lt;&gt;""),(X299-'Choix pédagogiques'!$C$4)/('Choix pédagogiques'!$C$5-'Choix pédagogiques'!$C$4),"")</f>
        <v/>
      </c>
      <c r="AT299" s="55" t="str">
        <f aca="false">IF(AND('Choix pédagogiques'!$C$4&lt;&gt;"?",'Choix pédagogiques'!$C$5&lt;&gt;"?",Y299&lt;&gt;""),(Y299-'Choix pédagogiques'!$C$4)/('Choix pédagogiques'!$C$5-'Choix pédagogiques'!$C$4),"")</f>
        <v/>
      </c>
      <c r="AU299" s="53" t="str">
        <f aca="false">IF($E299&lt;&gt;"",$E299,"")</f>
        <v/>
      </c>
      <c r="AV299" s="52" t="str">
        <f aca="false">IF($F299&lt;&gt;"",$F299,"")</f>
        <v>Apprenant 287 ou 287'</v>
      </c>
      <c r="AW299" s="55" t="str">
        <f aca="false">IF(AND('Choix pédagogiques'!$C$4&lt;&gt;"?",'Choix pédagogiques'!$C$5&lt;&gt;"?",AB299&lt;&gt;""),(AB299-'Choix pédagogiques'!$C$4)/('Choix pédagogiques'!$C$5-'Choix pédagogiques'!$C$4),"")</f>
        <v/>
      </c>
      <c r="AX299" s="55" t="str">
        <f aca="false">IF(AND('Choix pédagogiques'!$C$4&lt;&gt;"?",'Choix pédagogiques'!$C$5&lt;&gt;"?",AC299&lt;&gt;""),(AC299-'Choix pédagogiques'!$C$4)/('Choix pédagogiques'!$C$5-'Choix pédagogiques'!$C$4),"")</f>
        <v/>
      </c>
      <c r="AY299" s="55" t="str">
        <f aca="false">IF(AND('Choix pédagogiques'!$C$4&lt;&gt;"?",'Choix pédagogiques'!$C$5&lt;&gt;"?",AD299&lt;&gt;""),(AD299-'Choix pédagogiques'!$C$4)/('Choix pédagogiques'!$C$5-'Choix pédagogiques'!$C$4),"")</f>
        <v/>
      </c>
      <c r="AZ299" s="53" t="str">
        <f aca="false">IF($J299&lt;&gt;"",$J299,"")</f>
        <v/>
      </c>
      <c r="BA299" s="52" t="str">
        <f aca="false">IF($A299&lt;&gt;"",$A299,"")</f>
        <v>Apprenant 287</v>
      </c>
      <c r="BB299" s="55" t="str">
        <f aca="false">IF(AND($AR299&lt;&gt;"",$AS299&lt;&gt;""),$AS299-$AR299,"")</f>
        <v/>
      </c>
      <c r="BC299" s="55" t="str">
        <f aca="false">IF(AND($AR299&lt;&gt;"",$AT299&lt;&gt;""),$AT299-$AR299,"")</f>
        <v/>
      </c>
      <c r="BD299" s="55" t="str">
        <f aca="false">IF(AND($AS299&lt;&gt;"",$AT299&lt;&gt;""),$AT299-$AS299,"")</f>
        <v/>
      </c>
      <c r="BE299" s="53" t="str">
        <f aca="false">IF($E299&lt;&gt;"",$E299,"")</f>
        <v/>
      </c>
      <c r="BF299" s="52" t="str">
        <f aca="false">IF($F299&lt;&gt;"",$F299,"")</f>
        <v>Apprenant 287 ou 287'</v>
      </c>
      <c r="BG299" s="55" t="str">
        <f aca="false">IF(AND($AW299&lt;&gt;"",$AX299&lt;&gt;""),$AX299-$AW299,"")</f>
        <v/>
      </c>
      <c r="BH299" s="55" t="str">
        <f aca="false">IF(AND($AW299&lt;&gt;"",$AY299&lt;&gt;""),$AY299-$AW299,"")</f>
        <v/>
      </c>
      <c r="BI299" s="55" t="str">
        <f aca="false">IF(AND($AX299&lt;&gt;"",$AY299&lt;&gt;""),$AY299-$AX299,"")</f>
        <v/>
      </c>
      <c r="BJ299" s="53" t="str">
        <f aca="false">IF($J299&lt;&gt;"",$J299,"")</f>
        <v/>
      </c>
      <c r="BL299" s="52"/>
      <c r="BM299" s="52" t="str">
        <f aca="false">IF(OR(COUNT(B299:D1298)=0,AND('Choix pédagogiques'!$C$3&lt;&gt;1,'Choix pédagogiques'!$C$3&lt;&gt;2)),"",IF(AND(OR('Choix pédagogiques'!$C$3=1,'Choix pédagogiques'!$C$3=2),$B299&lt;&gt;"",$C299&lt;&gt;"",$D299&lt;&gt;""),1,0))</f>
        <v/>
      </c>
      <c r="BN299" s="52" t="str">
        <f aca="false">IF(OR(COUNT(G299:I1298)=0,AND('Choix pédagogiques'!$C$3&lt;&gt;1,'Choix pédagogiques'!$C$3&lt;&gt;2)),"",IF(AND(OR('Choix pédagogiques'!$C$3=1,'Choix pédagogiques'!$C$3=2),AND($G299&lt;&gt;"",$H299&lt;&gt;"",$I299&lt;&gt;"")),1,0))</f>
        <v/>
      </c>
      <c r="BO299" s="52" t="str">
        <f aca="false">IF(OR(COUNT(B299:D1298)=0,COUNT(G299:I1298)=0,'Choix pédagogiques'!C$3&lt;&gt;3),"",IF(AND('Choix pédagogiques'!$C$3=3,$B299&lt;&gt;"",$C299&lt;&gt;"",$D299&lt;&gt;"",$G299&lt;&gt;"",$H299&lt;&gt;"",$I299&lt;&gt;""),1,0))</f>
        <v/>
      </c>
      <c r="BR299" s="52" t="n">
        <v>662</v>
      </c>
      <c r="BS299" s="52" t="n">
        <v>1308</v>
      </c>
    </row>
    <row r="300" s="54" customFormat="true" ht="18" hidden="false" customHeight="true" outlineLevel="0" collapsed="false">
      <c r="A300" s="57" t="s">
        <v>531</v>
      </c>
      <c r="B300" s="51"/>
      <c r="C300" s="51"/>
      <c r="D300" s="51"/>
      <c r="E300" s="51"/>
      <c r="F300" s="57" t="s">
        <v>532</v>
      </c>
      <c r="G300" s="51"/>
      <c r="H300" s="51"/>
      <c r="I300" s="51"/>
      <c r="J300" s="51"/>
      <c r="K300" s="52" t="str">
        <f aca="false">IF($A300&lt;&gt;"",$A300,"")</f>
        <v>Apprenant 288</v>
      </c>
      <c r="L300" s="53" t="str">
        <f aca="false">IF(AND($B300&lt;&gt;"",$C300&lt;&gt;""),$C300-$B300,"")</f>
        <v/>
      </c>
      <c r="M300" s="53" t="str">
        <f aca="false">IF(AND($B300&lt;&gt;"",$D300&lt;&gt;""),$D300-$B300,"")</f>
        <v/>
      </c>
      <c r="N300" s="53" t="str">
        <f aca="false">IF(AND($C300&lt;&gt;"",$D300&lt;&gt;""),$D300-$C300,"")</f>
        <v/>
      </c>
      <c r="O300" s="53" t="str">
        <f aca="false">IF($E300&lt;&gt;"",$E300,"")</f>
        <v/>
      </c>
      <c r="P300" s="52" t="str">
        <f aca="false">IF($F300&lt;&gt;"",$F300,"")</f>
        <v>Apprenant 288 ou 288'</v>
      </c>
      <c r="Q300" s="53" t="str">
        <f aca="false">IF(AND($G300&lt;&gt;"",$H300&lt;&gt;""),$H300-$G300,"")</f>
        <v/>
      </c>
      <c r="R300" s="53" t="str">
        <f aca="false">IF(AND($G300&lt;&gt;"",$I300&lt;&gt;""),$I300-$G300,"")</f>
        <v/>
      </c>
      <c r="S300" s="53" t="str">
        <f aca="false">IF(AND($H300&lt;&gt;"",$I300&lt;&gt;""),$I300-$H300,"")</f>
        <v/>
      </c>
      <c r="T300" s="53" t="str">
        <f aca="false">IF($J300&lt;&gt;"",$J300,"")</f>
        <v/>
      </c>
      <c r="V300" s="52" t="str">
        <f aca="false">IF($A300&lt;&gt;"",$A300,"")</f>
        <v>Apprenant 288</v>
      </c>
      <c r="W300" s="53" t="str">
        <f aca="false">IF(AND(OR('Choix pédagogiques'!$C$3=1,'Choix pédagogiques'!$C$3=2),$BM300=1),B300,IF(AND('Choix pédagogiques'!$C$3=3,$BO300=1),B300,""))</f>
        <v/>
      </c>
      <c r="X300" s="53" t="str">
        <f aca="false">IF(AND(OR('Choix pédagogiques'!$C$3=1,'Choix pédagogiques'!$C$3=2),$BM300=1),C300,IF(AND('Choix pédagogiques'!$C$3=3,$BO300=1),C300,""))</f>
        <v/>
      </c>
      <c r="Y300" s="53" t="str">
        <f aca="false">IF(AND(OR('Choix pédagogiques'!$C$3=1,'Choix pédagogiques'!$C$3=2),$BM300=1),D300,IF(AND('Choix pédagogiques'!$C$3=3,$BO300=1),D300,""))</f>
        <v/>
      </c>
      <c r="Z300" s="53" t="str">
        <f aca="false">IF($E300&lt;&gt;"",$E300,"")</f>
        <v/>
      </c>
      <c r="AA300" s="52" t="str">
        <f aca="false">IF($F300&lt;&gt;"",$F300,"")</f>
        <v>Apprenant 288 ou 288'</v>
      </c>
      <c r="AB300" s="53" t="str">
        <f aca="false">IF(AND(OR('Choix pédagogiques'!$C$3=1,'Choix pédagogiques'!$C$3=2),$BN300=1),G300,IF(AND('Choix pédagogiques'!$C$3=3,$BO300=1),G300,""))</f>
        <v/>
      </c>
      <c r="AC300" s="53" t="str">
        <f aca="false">IF(AND(OR('Choix pédagogiques'!$C$3=1,'Choix pédagogiques'!$C$3=2),$BN300=1),H300,IF(AND('Choix pédagogiques'!$C$3=3,$BO300=1),H300,""))</f>
        <v/>
      </c>
      <c r="AD300" s="53" t="str">
        <f aca="false">IF(AND(OR('Choix pédagogiques'!$C$3=1,'Choix pédagogiques'!$C$3=2),$BN300=1),I300,IF(AND('Choix pédagogiques'!$C$3=3,$BO300=1),I300,""))</f>
        <v/>
      </c>
      <c r="AE300" s="53" t="str">
        <f aca="false">IF($J300&lt;&gt;"",$J300,"")</f>
        <v/>
      </c>
      <c r="AF300" s="52" t="str">
        <f aca="false">IF($A300&lt;&gt;"",$A300,"")</f>
        <v>Apprenant 288</v>
      </c>
      <c r="AG300" s="53" t="str">
        <f aca="false">IF(AND($W300&lt;&gt;"",$X300&lt;&gt;""),$X300-$W300,"")</f>
        <v/>
      </c>
      <c r="AH300" s="53" t="str">
        <f aca="false">IF(AND($W300&lt;&gt;"",$Y300&lt;&gt;""),$Y300-$W300,"")</f>
        <v/>
      </c>
      <c r="AI300" s="53" t="str">
        <f aca="false">IF(AND($X300&lt;&gt;"",$Y300&lt;&gt;""),$Y300-$X300,"")</f>
        <v/>
      </c>
      <c r="AJ300" s="53" t="str">
        <f aca="false">IF($E300&lt;&gt;"",$E300,"")</f>
        <v/>
      </c>
      <c r="AK300" s="52" t="str">
        <f aca="false">IF($F300&lt;&gt;"",$F300,"")</f>
        <v>Apprenant 288 ou 288'</v>
      </c>
      <c r="AL300" s="53" t="str">
        <f aca="false">IF(AND($AB300&lt;&gt;"",$AC300&lt;&gt;""),$AC300-$AB300,"")</f>
        <v/>
      </c>
      <c r="AM300" s="53" t="str">
        <f aca="false">IF(AND($AB300&lt;&gt;"",$AD300&lt;&gt;""),$AD300-$AB300,"")</f>
        <v/>
      </c>
      <c r="AN300" s="53" t="str">
        <f aca="false">IF(AND($AC300&lt;&gt;"",$AD300&lt;&gt;""),$AD300-$AC300,"")</f>
        <v/>
      </c>
      <c r="AO300" s="53" t="str">
        <f aca="false">IF($J300&lt;&gt;"",$J300,"")</f>
        <v/>
      </c>
      <c r="AQ300" s="52" t="str">
        <f aca="false">IF($A300&lt;&gt;"",$A300,"")</f>
        <v>Apprenant 288</v>
      </c>
      <c r="AR300" s="55" t="str">
        <f aca="false">IF(AND('Choix pédagogiques'!$C$4&lt;&gt;"?",'Choix pédagogiques'!$C$5&lt;&gt;"?",W300&lt;&gt;""),(W300-'Choix pédagogiques'!$C$4)/('Choix pédagogiques'!$C$5-'Choix pédagogiques'!$C$4),"")</f>
        <v/>
      </c>
      <c r="AS300" s="55" t="str">
        <f aca="false">IF(AND('Choix pédagogiques'!$C$4&lt;&gt;"?",'Choix pédagogiques'!$C$5&lt;&gt;"?",X300&lt;&gt;""),(X300-'Choix pédagogiques'!$C$4)/('Choix pédagogiques'!$C$5-'Choix pédagogiques'!$C$4),"")</f>
        <v/>
      </c>
      <c r="AT300" s="55" t="str">
        <f aca="false">IF(AND('Choix pédagogiques'!$C$4&lt;&gt;"?",'Choix pédagogiques'!$C$5&lt;&gt;"?",Y300&lt;&gt;""),(Y300-'Choix pédagogiques'!$C$4)/('Choix pédagogiques'!$C$5-'Choix pédagogiques'!$C$4),"")</f>
        <v/>
      </c>
      <c r="AU300" s="53" t="str">
        <f aca="false">IF($E300&lt;&gt;"",$E300,"")</f>
        <v/>
      </c>
      <c r="AV300" s="52" t="str">
        <f aca="false">IF($F300&lt;&gt;"",$F300,"")</f>
        <v>Apprenant 288 ou 288'</v>
      </c>
      <c r="AW300" s="55" t="str">
        <f aca="false">IF(AND('Choix pédagogiques'!$C$4&lt;&gt;"?",'Choix pédagogiques'!$C$5&lt;&gt;"?",AB300&lt;&gt;""),(AB300-'Choix pédagogiques'!$C$4)/('Choix pédagogiques'!$C$5-'Choix pédagogiques'!$C$4),"")</f>
        <v/>
      </c>
      <c r="AX300" s="55" t="str">
        <f aca="false">IF(AND('Choix pédagogiques'!$C$4&lt;&gt;"?",'Choix pédagogiques'!$C$5&lt;&gt;"?",AC300&lt;&gt;""),(AC300-'Choix pédagogiques'!$C$4)/('Choix pédagogiques'!$C$5-'Choix pédagogiques'!$C$4),"")</f>
        <v/>
      </c>
      <c r="AY300" s="55" t="str">
        <f aca="false">IF(AND('Choix pédagogiques'!$C$4&lt;&gt;"?",'Choix pédagogiques'!$C$5&lt;&gt;"?",AD300&lt;&gt;""),(AD300-'Choix pédagogiques'!$C$4)/('Choix pédagogiques'!$C$5-'Choix pédagogiques'!$C$4),"")</f>
        <v/>
      </c>
      <c r="AZ300" s="53" t="str">
        <f aca="false">IF($J300&lt;&gt;"",$J300,"")</f>
        <v/>
      </c>
      <c r="BA300" s="52" t="str">
        <f aca="false">IF($A300&lt;&gt;"",$A300,"")</f>
        <v>Apprenant 288</v>
      </c>
      <c r="BB300" s="55" t="str">
        <f aca="false">IF(AND($AR300&lt;&gt;"",$AS300&lt;&gt;""),$AS300-$AR300,"")</f>
        <v/>
      </c>
      <c r="BC300" s="55" t="str">
        <f aca="false">IF(AND($AR300&lt;&gt;"",$AT300&lt;&gt;""),$AT300-$AR300,"")</f>
        <v/>
      </c>
      <c r="BD300" s="55" t="str">
        <f aca="false">IF(AND($AS300&lt;&gt;"",$AT300&lt;&gt;""),$AT300-$AS300,"")</f>
        <v/>
      </c>
      <c r="BE300" s="53" t="str">
        <f aca="false">IF($E300&lt;&gt;"",$E300,"")</f>
        <v/>
      </c>
      <c r="BF300" s="52" t="str">
        <f aca="false">IF($F300&lt;&gt;"",$F300,"")</f>
        <v>Apprenant 288 ou 288'</v>
      </c>
      <c r="BG300" s="55" t="str">
        <f aca="false">IF(AND($AW300&lt;&gt;"",$AX300&lt;&gt;""),$AX300-$AW300,"")</f>
        <v/>
      </c>
      <c r="BH300" s="55" t="str">
        <f aca="false">IF(AND($AW300&lt;&gt;"",$AY300&lt;&gt;""),$AY300-$AW300,"")</f>
        <v/>
      </c>
      <c r="BI300" s="55" t="str">
        <f aca="false">IF(AND($AX300&lt;&gt;"",$AY300&lt;&gt;""),$AY300-$AX300,"")</f>
        <v/>
      </c>
      <c r="BJ300" s="53" t="str">
        <f aca="false">IF($J300&lt;&gt;"",$J300,"")</f>
        <v/>
      </c>
      <c r="BL300" s="52"/>
      <c r="BM300" s="52" t="str">
        <f aca="false">IF(OR(COUNT(B300:D1299)=0,AND('Choix pédagogiques'!$C$3&lt;&gt;1,'Choix pédagogiques'!$C$3&lt;&gt;2)),"",IF(AND(OR('Choix pédagogiques'!$C$3=1,'Choix pédagogiques'!$C$3=2),$B300&lt;&gt;"",$C300&lt;&gt;"",$D300&lt;&gt;""),1,0))</f>
        <v/>
      </c>
      <c r="BN300" s="52" t="str">
        <f aca="false">IF(OR(COUNT(G300:I1299)=0,AND('Choix pédagogiques'!$C$3&lt;&gt;1,'Choix pédagogiques'!$C$3&lt;&gt;2)),"",IF(AND(OR('Choix pédagogiques'!$C$3=1,'Choix pédagogiques'!$C$3=2),AND($G300&lt;&gt;"",$H300&lt;&gt;"",$I300&lt;&gt;"")),1,0))</f>
        <v/>
      </c>
      <c r="BO300" s="52" t="str">
        <f aca="false">IF(OR(COUNT(B300:D1299)=0,COUNT(G300:I1299)=0,'Choix pédagogiques'!C$3&lt;&gt;3),"",IF(AND('Choix pédagogiques'!$C$3=3,$B300&lt;&gt;"",$C300&lt;&gt;"",$D300&lt;&gt;"",$G300&lt;&gt;"",$H300&lt;&gt;"",$I300&lt;&gt;""),1,0))</f>
        <v/>
      </c>
      <c r="BR300" s="52" t="n">
        <v>843</v>
      </c>
      <c r="BS300" s="52" t="n">
        <v>1530</v>
      </c>
    </row>
    <row r="301" s="54" customFormat="true" ht="18" hidden="false" customHeight="true" outlineLevel="0" collapsed="false">
      <c r="A301" s="57" t="s">
        <v>533</v>
      </c>
      <c r="B301" s="51"/>
      <c r="C301" s="51"/>
      <c r="D301" s="51"/>
      <c r="E301" s="51"/>
      <c r="F301" s="57" t="s">
        <v>534</v>
      </c>
      <c r="G301" s="51"/>
      <c r="H301" s="51"/>
      <c r="I301" s="51"/>
      <c r="J301" s="51"/>
      <c r="K301" s="52" t="str">
        <f aca="false">IF($A301&lt;&gt;"",$A301,"")</f>
        <v>Apprenant 289</v>
      </c>
      <c r="L301" s="53" t="str">
        <f aca="false">IF(AND($B301&lt;&gt;"",$C301&lt;&gt;""),$C301-$B301,"")</f>
        <v/>
      </c>
      <c r="M301" s="53" t="str">
        <f aca="false">IF(AND($B301&lt;&gt;"",$D301&lt;&gt;""),$D301-$B301,"")</f>
        <v/>
      </c>
      <c r="N301" s="53" t="str">
        <f aca="false">IF(AND($C301&lt;&gt;"",$D301&lt;&gt;""),$D301-$C301,"")</f>
        <v/>
      </c>
      <c r="O301" s="53" t="str">
        <f aca="false">IF($E301&lt;&gt;"",$E301,"")</f>
        <v/>
      </c>
      <c r="P301" s="52" t="str">
        <f aca="false">IF($F301&lt;&gt;"",$F301,"")</f>
        <v>Apprenant 289 ou 289'</v>
      </c>
      <c r="Q301" s="53" t="str">
        <f aca="false">IF(AND($G301&lt;&gt;"",$H301&lt;&gt;""),$H301-$G301,"")</f>
        <v/>
      </c>
      <c r="R301" s="53" t="str">
        <f aca="false">IF(AND($G301&lt;&gt;"",$I301&lt;&gt;""),$I301-$G301,"")</f>
        <v/>
      </c>
      <c r="S301" s="53" t="str">
        <f aca="false">IF(AND($H301&lt;&gt;"",$I301&lt;&gt;""),$I301-$H301,"")</f>
        <v/>
      </c>
      <c r="T301" s="53" t="str">
        <f aca="false">IF($J301&lt;&gt;"",$J301,"")</f>
        <v/>
      </c>
      <c r="V301" s="52" t="str">
        <f aca="false">IF($A301&lt;&gt;"",$A301,"")</f>
        <v>Apprenant 289</v>
      </c>
      <c r="W301" s="53" t="str">
        <f aca="false">IF(AND(OR('Choix pédagogiques'!$C$3=1,'Choix pédagogiques'!$C$3=2),$BM301=1),B301,IF(AND('Choix pédagogiques'!$C$3=3,$BO301=1),B301,""))</f>
        <v/>
      </c>
      <c r="X301" s="53" t="str">
        <f aca="false">IF(AND(OR('Choix pédagogiques'!$C$3=1,'Choix pédagogiques'!$C$3=2),$BM301=1),C301,IF(AND('Choix pédagogiques'!$C$3=3,$BO301=1),C301,""))</f>
        <v/>
      </c>
      <c r="Y301" s="53" t="str">
        <f aca="false">IF(AND(OR('Choix pédagogiques'!$C$3=1,'Choix pédagogiques'!$C$3=2),$BM301=1),D301,IF(AND('Choix pédagogiques'!$C$3=3,$BO301=1),D301,""))</f>
        <v/>
      </c>
      <c r="Z301" s="53" t="str">
        <f aca="false">IF($E301&lt;&gt;"",$E301,"")</f>
        <v/>
      </c>
      <c r="AA301" s="52" t="str">
        <f aca="false">IF($F301&lt;&gt;"",$F301,"")</f>
        <v>Apprenant 289 ou 289'</v>
      </c>
      <c r="AB301" s="53" t="str">
        <f aca="false">IF(AND(OR('Choix pédagogiques'!$C$3=1,'Choix pédagogiques'!$C$3=2),$BN301=1),G301,IF(AND('Choix pédagogiques'!$C$3=3,$BO301=1),G301,""))</f>
        <v/>
      </c>
      <c r="AC301" s="53" t="str">
        <f aca="false">IF(AND(OR('Choix pédagogiques'!$C$3=1,'Choix pédagogiques'!$C$3=2),$BN301=1),H301,IF(AND('Choix pédagogiques'!$C$3=3,$BO301=1),H301,""))</f>
        <v/>
      </c>
      <c r="AD301" s="53" t="str">
        <f aca="false">IF(AND(OR('Choix pédagogiques'!$C$3=1,'Choix pédagogiques'!$C$3=2),$BN301=1),I301,IF(AND('Choix pédagogiques'!$C$3=3,$BO301=1),I301,""))</f>
        <v/>
      </c>
      <c r="AE301" s="53" t="str">
        <f aca="false">IF($J301&lt;&gt;"",$J301,"")</f>
        <v/>
      </c>
      <c r="AF301" s="52" t="str">
        <f aca="false">IF($A301&lt;&gt;"",$A301,"")</f>
        <v>Apprenant 289</v>
      </c>
      <c r="AG301" s="53" t="str">
        <f aca="false">IF(AND($W301&lt;&gt;"",$X301&lt;&gt;""),$X301-$W301,"")</f>
        <v/>
      </c>
      <c r="AH301" s="53" t="str">
        <f aca="false">IF(AND($W301&lt;&gt;"",$Y301&lt;&gt;""),$Y301-$W301,"")</f>
        <v/>
      </c>
      <c r="AI301" s="53" t="str">
        <f aca="false">IF(AND($X301&lt;&gt;"",$Y301&lt;&gt;""),$Y301-$X301,"")</f>
        <v/>
      </c>
      <c r="AJ301" s="53" t="str">
        <f aca="false">IF($E301&lt;&gt;"",$E301,"")</f>
        <v/>
      </c>
      <c r="AK301" s="52" t="str">
        <f aca="false">IF($F301&lt;&gt;"",$F301,"")</f>
        <v>Apprenant 289 ou 289'</v>
      </c>
      <c r="AL301" s="53" t="str">
        <f aca="false">IF(AND($AB301&lt;&gt;"",$AC301&lt;&gt;""),$AC301-$AB301,"")</f>
        <v/>
      </c>
      <c r="AM301" s="53" t="str">
        <f aca="false">IF(AND($AB301&lt;&gt;"",$AD301&lt;&gt;""),$AD301-$AB301,"")</f>
        <v/>
      </c>
      <c r="AN301" s="53" t="str">
        <f aca="false">IF(AND($AC301&lt;&gt;"",$AD301&lt;&gt;""),$AD301-$AC301,"")</f>
        <v/>
      </c>
      <c r="AO301" s="53" t="str">
        <f aca="false">IF($J301&lt;&gt;"",$J301,"")</f>
        <v/>
      </c>
      <c r="AQ301" s="52" t="str">
        <f aca="false">IF($A301&lt;&gt;"",$A301,"")</f>
        <v>Apprenant 289</v>
      </c>
      <c r="AR301" s="55" t="str">
        <f aca="false">IF(AND('Choix pédagogiques'!$C$4&lt;&gt;"?",'Choix pédagogiques'!$C$5&lt;&gt;"?",W301&lt;&gt;""),(W301-'Choix pédagogiques'!$C$4)/('Choix pédagogiques'!$C$5-'Choix pédagogiques'!$C$4),"")</f>
        <v/>
      </c>
      <c r="AS301" s="55" t="str">
        <f aca="false">IF(AND('Choix pédagogiques'!$C$4&lt;&gt;"?",'Choix pédagogiques'!$C$5&lt;&gt;"?",X301&lt;&gt;""),(X301-'Choix pédagogiques'!$C$4)/('Choix pédagogiques'!$C$5-'Choix pédagogiques'!$C$4),"")</f>
        <v/>
      </c>
      <c r="AT301" s="55" t="str">
        <f aca="false">IF(AND('Choix pédagogiques'!$C$4&lt;&gt;"?",'Choix pédagogiques'!$C$5&lt;&gt;"?",Y301&lt;&gt;""),(Y301-'Choix pédagogiques'!$C$4)/('Choix pédagogiques'!$C$5-'Choix pédagogiques'!$C$4),"")</f>
        <v/>
      </c>
      <c r="AU301" s="53" t="str">
        <f aca="false">IF($E301&lt;&gt;"",$E301,"")</f>
        <v/>
      </c>
      <c r="AV301" s="52" t="str">
        <f aca="false">IF($F301&lt;&gt;"",$F301,"")</f>
        <v>Apprenant 289 ou 289'</v>
      </c>
      <c r="AW301" s="55" t="str">
        <f aca="false">IF(AND('Choix pédagogiques'!$C$4&lt;&gt;"?",'Choix pédagogiques'!$C$5&lt;&gt;"?",AB301&lt;&gt;""),(AB301-'Choix pédagogiques'!$C$4)/('Choix pédagogiques'!$C$5-'Choix pédagogiques'!$C$4),"")</f>
        <v/>
      </c>
      <c r="AX301" s="55" t="str">
        <f aca="false">IF(AND('Choix pédagogiques'!$C$4&lt;&gt;"?",'Choix pédagogiques'!$C$5&lt;&gt;"?",AC301&lt;&gt;""),(AC301-'Choix pédagogiques'!$C$4)/('Choix pédagogiques'!$C$5-'Choix pédagogiques'!$C$4),"")</f>
        <v/>
      </c>
      <c r="AY301" s="55" t="str">
        <f aca="false">IF(AND('Choix pédagogiques'!$C$4&lt;&gt;"?",'Choix pédagogiques'!$C$5&lt;&gt;"?",AD301&lt;&gt;""),(AD301-'Choix pédagogiques'!$C$4)/('Choix pédagogiques'!$C$5-'Choix pédagogiques'!$C$4),"")</f>
        <v/>
      </c>
      <c r="AZ301" s="53" t="str">
        <f aca="false">IF($J301&lt;&gt;"",$J301,"")</f>
        <v/>
      </c>
      <c r="BA301" s="52" t="str">
        <f aca="false">IF($A301&lt;&gt;"",$A301,"")</f>
        <v>Apprenant 289</v>
      </c>
      <c r="BB301" s="55" t="str">
        <f aca="false">IF(AND($AR301&lt;&gt;"",$AS301&lt;&gt;""),$AS301-$AR301,"")</f>
        <v/>
      </c>
      <c r="BC301" s="55" t="str">
        <f aca="false">IF(AND($AR301&lt;&gt;"",$AT301&lt;&gt;""),$AT301-$AR301,"")</f>
        <v/>
      </c>
      <c r="BD301" s="55" t="str">
        <f aca="false">IF(AND($AS301&lt;&gt;"",$AT301&lt;&gt;""),$AT301-$AS301,"")</f>
        <v/>
      </c>
      <c r="BE301" s="53" t="str">
        <f aca="false">IF($E301&lt;&gt;"",$E301,"")</f>
        <v/>
      </c>
      <c r="BF301" s="52" t="str">
        <f aca="false">IF($F301&lt;&gt;"",$F301,"")</f>
        <v>Apprenant 289 ou 289'</v>
      </c>
      <c r="BG301" s="55" t="str">
        <f aca="false">IF(AND($AW301&lt;&gt;"",$AX301&lt;&gt;""),$AX301-$AW301,"")</f>
        <v/>
      </c>
      <c r="BH301" s="55" t="str">
        <f aca="false">IF(AND($AW301&lt;&gt;"",$AY301&lt;&gt;""),$AY301-$AW301,"")</f>
        <v/>
      </c>
      <c r="BI301" s="55" t="str">
        <f aca="false">IF(AND($AX301&lt;&gt;"",$AY301&lt;&gt;""),$AY301-$AX301,"")</f>
        <v/>
      </c>
      <c r="BJ301" s="53" t="str">
        <f aca="false">IF($J301&lt;&gt;"",$J301,"")</f>
        <v/>
      </c>
      <c r="BL301" s="52"/>
      <c r="BM301" s="52" t="str">
        <f aca="false">IF(OR(COUNT(B301:D1300)=0,AND('Choix pédagogiques'!$C$3&lt;&gt;1,'Choix pédagogiques'!$C$3&lt;&gt;2)),"",IF(AND(OR('Choix pédagogiques'!$C$3=1,'Choix pédagogiques'!$C$3=2),$B301&lt;&gt;"",$C301&lt;&gt;"",$D301&lt;&gt;""),1,0))</f>
        <v/>
      </c>
      <c r="BN301" s="52" t="str">
        <f aca="false">IF(OR(COUNT(G301:I1300)=0,AND('Choix pédagogiques'!$C$3&lt;&gt;1,'Choix pédagogiques'!$C$3&lt;&gt;2)),"",IF(AND(OR('Choix pédagogiques'!$C$3=1,'Choix pédagogiques'!$C$3=2),AND($G301&lt;&gt;"",$H301&lt;&gt;"",$I301&lt;&gt;"")),1,0))</f>
        <v/>
      </c>
      <c r="BO301" s="52" t="str">
        <f aca="false">IF(OR(COUNT(B301:D1300)=0,COUNT(G301:I1300)=0,'Choix pédagogiques'!C$3&lt;&gt;3),"",IF(AND('Choix pédagogiques'!$C$3=3,$B301&lt;&gt;"",$C301&lt;&gt;"",$D301&lt;&gt;"",$G301&lt;&gt;"",$H301&lt;&gt;"",$I301&lt;&gt;""),1,0))</f>
        <v/>
      </c>
      <c r="BR301" s="52" t="n">
        <v>426</v>
      </c>
      <c r="BS301" s="52" t="n">
        <v>1068</v>
      </c>
    </row>
    <row r="302" s="54" customFormat="true" ht="18" hidden="false" customHeight="true" outlineLevel="0" collapsed="false">
      <c r="A302" s="57" t="s">
        <v>535</v>
      </c>
      <c r="B302" s="51"/>
      <c r="C302" s="51"/>
      <c r="D302" s="51"/>
      <c r="E302" s="51"/>
      <c r="F302" s="57" t="s">
        <v>536</v>
      </c>
      <c r="G302" s="51"/>
      <c r="H302" s="51"/>
      <c r="I302" s="51"/>
      <c r="J302" s="51"/>
      <c r="K302" s="52" t="str">
        <f aca="false">IF($A302&lt;&gt;"",$A302,"")</f>
        <v>Apprenant 290</v>
      </c>
      <c r="L302" s="53" t="str">
        <f aca="false">IF(AND($B302&lt;&gt;"",$C302&lt;&gt;""),$C302-$B302,"")</f>
        <v/>
      </c>
      <c r="M302" s="53" t="str">
        <f aca="false">IF(AND($B302&lt;&gt;"",$D302&lt;&gt;""),$D302-$B302,"")</f>
        <v/>
      </c>
      <c r="N302" s="53" t="str">
        <f aca="false">IF(AND($C302&lt;&gt;"",$D302&lt;&gt;""),$D302-$C302,"")</f>
        <v/>
      </c>
      <c r="O302" s="53" t="str">
        <f aca="false">IF($E302&lt;&gt;"",$E302,"")</f>
        <v/>
      </c>
      <c r="P302" s="52" t="str">
        <f aca="false">IF($F302&lt;&gt;"",$F302,"")</f>
        <v>Apprenant 290 ou 290'</v>
      </c>
      <c r="Q302" s="53" t="str">
        <f aca="false">IF(AND($G302&lt;&gt;"",$H302&lt;&gt;""),$H302-$G302,"")</f>
        <v/>
      </c>
      <c r="R302" s="53" t="str">
        <f aca="false">IF(AND($G302&lt;&gt;"",$I302&lt;&gt;""),$I302-$G302,"")</f>
        <v/>
      </c>
      <c r="S302" s="53" t="str">
        <f aca="false">IF(AND($H302&lt;&gt;"",$I302&lt;&gt;""),$I302-$H302,"")</f>
        <v/>
      </c>
      <c r="T302" s="53" t="str">
        <f aca="false">IF($J302&lt;&gt;"",$J302,"")</f>
        <v/>
      </c>
      <c r="V302" s="52" t="str">
        <f aca="false">IF($A302&lt;&gt;"",$A302,"")</f>
        <v>Apprenant 290</v>
      </c>
      <c r="W302" s="53" t="str">
        <f aca="false">IF(AND(OR('Choix pédagogiques'!$C$3=1,'Choix pédagogiques'!$C$3=2),$BM302=1),B302,IF(AND('Choix pédagogiques'!$C$3=3,$BO302=1),B302,""))</f>
        <v/>
      </c>
      <c r="X302" s="53" t="str">
        <f aca="false">IF(AND(OR('Choix pédagogiques'!$C$3=1,'Choix pédagogiques'!$C$3=2),$BM302=1),C302,IF(AND('Choix pédagogiques'!$C$3=3,$BO302=1),C302,""))</f>
        <v/>
      </c>
      <c r="Y302" s="53" t="str">
        <f aca="false">IF(AND(OR('Choix pédagogiques'!$C$3=1,'Choix pédagogiques'!$C$3=2),$BM302=1),D302,IF(AND('Choix pédagogiques'!$C$3=3,$BO302=1),D302,""))</f>
        <v/>
      </c>
      <c r="Z302" s="53" t="str">
        <f aca="false">IF($E302&lt;&gt;"",$E302,"")</f>
        <v/>
      </c>
      <c r="AA302" s="52" t="str">
        <f aca="false">IF($F302&lt;&gt;"",$F302,"")</f>
        <v>Apprenant 290 ou 290'</v>
      </c>
      <c r="AB302" s="53" t="str">
        <f aca="false">IF(AND(OR('Choix pédagogiques'!$C$3=1,'Choix pédagogiques'!$C$3=2),$BN302=1),G302,IF(AND('Choix pédagogiques'!$C$3=3,$BO302=1),G302,""))</f>
        <v/>
      </c>
      <c r="AC302" s="53" t="str">
        <f aca="false">IF(AND(OR('Choix pédagogiques'!$C$3=1,'Choix pédagogiques'!$C$3=2),$BN302=1),H302,IF(AND('Choix pédagogiques'!$C$3=3,$BO302=1),H302,""))</f>
        <v/>
      </c>
      <c r="AD302" s="53" t="str">
        <f aca="false">IF(AND(OR('Choix pédagogiques'!$C$3=1,'Choix pédagogiques'!$C$3=2),$BN302=1),I302,IF(AND('Choix pédagogiques'!$C$3=3,$BO302=1),I302,""))</f>
        <v/>
      </c>
      <c r="AE302" s="53" t="str">
        <f aca="false">IF($J302&lt;&gt;"",$J302,"")</f>
        <v/>
      </c>
      <c r="AF302" s="52" t="str">
        <f aca="false">IF($A302&lt;&gt;"",$A302,"")</f>
        <v>Apprenant 290</v>
      </c>
      <c r="AG302" s="53" t="str">
        <f aca="false">IF(AND($W302&lt;&gt;"",$X302&lt;&gt;""),$X302-$W302,"")</f>
        <v/>
      </c>
      <c r="AH302" s="53" t="str">
        <f aca="false">IF(AND($W302&lt;&gt;"",$Y302&lt;&gt;""),$Y302-$W302,"")</f>
        <v/>
      </c>
      <c r="AI302" s="53" t="str">
        <f aca="false">IF(AND($X302&lt;&gt;"",$Y302&lt;&gt;""),$Y302-$X302,"")</f>
        <v/>
      </c>
      <c r="AJ302" s="53" t="str">
        <f aca="false">IF($E302&lt;&gt;"",$E302,"")</f>
        <v/>
      </c>
      <c r="AK302" s="52" t="str">
        <f aca="false">IF($F302&lt;&gt;"",$F302,"")</f>
        <v>Apprenant 290 ou 290'</v>
      </c>
      <c r="AL302" s="53" t="str">
        <f aca="false">IF(AND($AB302&lt;&gt;"",$AC302&lt;&gt;""),$AC302-$AB302,"")</f>
        <v/>
      </c>
      <c r="AM302" s="53" t="str">
        <f aca="false">IF(AND($AB302&lt;&gt;"",$AD302&lt;&gt;""),$AD302-$AB302,"")</f>
        <v/>
      </c>
      <c r="AN302" s="53" t="str">
        <f aca="false">IF(AND($AC302&lt;&gt;"",$AD302&lt;&gt;""),$AD302-$AC302,"")</f>
        <v/>
      </c>
      <c r="AO302" s="53" t="str">
        <f aca="false">IF($J302&lt;&gt;"",$J302,"")</f>
        <v/>
      </c>
      <c r="AQ302" s="52" t="str">
        <f aca="false">IF($A302&lt;&gt;"",$A302,"")</f>
        <v>Apprenant 290</v>
      </c>
      <c r="AR302" s="55" t="str">
        <f aca="false">IF(AND('Choix pédagogiques'!$C$4&lt;&gt;"?",'Choix pédagogiques'!$C$5&lt;&gt;"?",W302&lt;&gt;""),(W302-'Choix pédagogiques'!$C$4)/('Choix pédagogiques'!$C$5-'Choix pédagogiques'!$C$4),"")</f>
        <v/>
      </c>
      <c r="AS302" s="55" t="str">
        <f aca="false">IF(AND('Choix pédagogiques'!$C$4&lt;&gt;"?",'Choix pédagogiques'!$C$5&lt;&gt;"?",X302&lt;&gt;""),(X302-'Choix pédagogiques'!$C$4)/('Choix pédagogiques'!$C$5-'Choix pédagogiques'!$C$4),"")</f>
        <v/>
      </c>
      <c r="AT302" s="55" t="str">
        <f aca="false">IF(AND('Choix pédagogiques'!$C$4&lt;&gt;"?",'Choix pédagogiques'!$C$5&lt;&gt;"?",Y302&lt;&gt;""),(Y302-'Choix pédagogiques'!$C$4)/('Choix pédagogiques'!$C$5-'Choix pédagogiques'!$C$4),"")</f>
        <v/>
      </c>
      <c r="AU302" s="53" t="str">
        <f aca="false">IF($E302&lt;&gt;"",$E302,"")</f>
        <v/>
      </c>
      <c r="AV302" s="52" t="str">
        <f aca="false">IF($F302&lt;&gt;"",$F302,"")</f>
        <v>Apprenant 290 ou 290'</v>
      </c>
      <c r="AW302" s="55" t="str">
        <f aca="false">IF(AND('Choix pédagogiques'!$C$4&lt;&gt;"?",'Choix pédagogiques'!$C$5&lt;&gt;"?",AB302&lt;&gt;""),(AB302-'Choix pédagogiques'!$C$4)/('Choix pédagogiques'!$C$5-'Choix pédagogiques'!$C$4),"")</f>
        <v/>
      </c>
      <c r="AX302" s="55" t="str">
        <f aca="false">IF(AND('Choix pédagogiques'!$C$4&lt;&gt;"?",'Choix pédagogiques'!$C$5&lt;&gt;"?",AC302&lt;&gt;""),(AC302-'Choix pédagogiques'!$C$4)/('Choix pédagogiques'!$C$5-'Choix pédagogiques'!$C$4),"")</f>
        <v/>
      </c>
      <c r="AY302" s="55" t="str">
        <f aca="false">IF(AND('Choix pédagogiques'!$C$4&lt;&gt;"?",'Choix pédagogiques'!$C$5&lt;&gt;"?",AD302&lt;&gt;""),(AD302-'Choix pédagogiques'!$C$4)/('Choix pédagogiques'!$C$5-'Choix pédagogiques'!$C$4),"")</f>
        <v/>
      </c>
      <c r="AZ302" s="53" t="str">
        <f aca="false">IF($J302&lt;&gt;"",$J302,"")</f>
        <v/>
      </c>
      <c r="BA302" s="52" t="str">
        <f aca="false">IF($A302&lt;&gt;"",$A302,"")</f>
        <v>Apprenant 290</v>
      </c>
      <c r="BB302" s="55" t="str">
        <f aca="false">IF(AND($AR302&lt;&gt;"",$AS302&lt;&gt;""),$AS302-$AR302,"")</f>
        <v/>
      </c>
      <c r="BC302" s="55" t="str">
        <f aca="false">IF(AND($AR302&lt;&gt;"",$AT302&lt;&gt;""),$AT302-$AR302,"")</f>
        <v/>
      </c>
      <c r="BD302" s="55" t="str">
        <f aca="false">IF(AND($AS302&lt;&gt;"",$AT302&lt;&gt;""),$AT302-$AS302,"")</f>
        <v/>
      </c>
      <c r="BE302" s="53" t="str">
        <f aca="false">IF($E302&lt;&gt;"",$E302,"")</f>
        <v/>
      </c>
      <c r="BF302" s="52" t="str">
        <f aca="false">IF($F302&lt;&gt;"",$F302,"")</f>
        <v>Apprenant 290 ou 290'</v>
      </c>
      <c r="BG302" s="55" t="str">
        <f aca="false">IF(AND($AW302&lt;&gt;"",$AX302&lt;&gt;""),$AX302-$AW302,"")</f>
        <v/>
      </c>
      <c r="BH302" s="55" t="str">
        <f aca="false">IF(AND($AW302&lt;&gt;"",$AY302&lt;&gt;""),$AY302-$AW302,"")</f>
        <v/>
      </c>
      <c r="BI302" s="55" t="str">
        <f aca="false">IF(AND($AX302&lt;&gt;"",$AY302&lt;&gt;""),$AY302-$AX302,"")</f>
        <v/>
      </c>
      <c r="BJ302" s="53" t="str">
        <f aca="false">IF($J302&lt;&gt;"",$J302,"")</f>
        <v/>
      </c>
      <c r="BL302" s="52"/>
      <c r="BM302" s="52" t="str">
        <f aca="false">IF(OR(COUNT(B302:D1301)=0,AND('Choix pédagogiques'!$C$3&lt;&gt;1,'Choix pédagogiques'!$C$3&lt;&gt;2)),"",IF(AND(OR('Choix pédagogiques'!$C$3=1,'Choix pédagogiques'!$C$3=2),$B302&lt;&gt;"",$C302&lt;&gt;"",$D302&lt;&gt;""),1,0))</f>
        <v/>
      </c>
      <c r="BN302" s="52" t="str">
        <f aca="false">IF(OR(COUNT(G302:I1301)=0,AND('Choix pédagogiques'!$C$3&lt;&gt;1,'Choix pédagogiques'!$C$3&lt;&gt;2)),"",IF(AND(OR('Choix pédagogiques'!$C$3=1,'Choix pédagogiques'!$C$3=2),AND($G302&lt;&gt;"",$H302&lt;&gt;"",$I302&lt;&gt;"")),1,0))</f>
        <v/>
      </c>
      <c r="BO302" s="52" t="str">
        <f aca="false">IF(OR(COUNT(B302:D1301)=0,COUNT(G302:I1301)=0,'Choix pédagogiques'!C$3&lt;&gt;3),"",IF(AND('Choix pédagogiques'!$C$3=3,$B302&lt;&gt;"",$C302&lt;&gt;"",$D302&lt;&gt;"",$G302&lt;&gt;"",$H302&lt;&gt;"",$I302&lt;&gt;""),1,0))</f>
        <v/>
      </c>
      <c r="BR302" s="52" t="n">
        <v>485</v>
      </c>
      <c r="BS302" s="52" t="n">
        <v>1730</v>
      </c>
    </row>
    <row r="303" s="54" customFormat="true" ht="18" hidden="false" customHeight="true" outlineLevel="0" collapsed="false">
      <c r="A303" s="57" t="s">
        <v>537</v>
      </c>
      <c r="B303" s="51"/>
      <c r="C303" s="51"/>
      <c r="D303" s="51"/>
      <c r="E303" s="51"/>
      <c r="F303" s="57" t="s">
        <v>538</v>
      </c>
      <c r="G303" s="51"/>
      <c r="H303" s="51"/>
      <c r="I303" s="51"/>
      <c r="J303" s="51"/>
      <c r="K303" s="52" t="str">
        <f aca="false">IF($A303&lt;&gt;"",$A303,"")</f>
        <v>Apprenant 291</v>
      </c>
      <c r="L303" s="53" t="str">
        <f aca="false">IF(AND($B303&lt;&gt;"",$C303&lt;&gt;""),$C303-$B303,"")</f>
        <v/>
      </c>
      <c r="M303" s="53" t="str">
        <f aca="false">IF(AND($B303&lt;&gt;"",$D303&lt;&gt;""),$D303-$B303,"")</f>
        <v/>
      </c>
      <c r="N303" s="53" t="str">
        <f aca="false">IF(AND($C303&lt;&gt;"",$D303&lt;&gt;""),$D303-$C303,"")</f>
        <v/>
      </c>
      <c r="O303" s="53" t="str">
        <f aca="false">IF($E303&lt;&gt;"",$E303,"")</f>
        <v/>
      </c>
      <c r="P303" s="52" t="str">
        <f aca="false">IF($F303&lt;&gt;"",$F303,"")</f>
        <v>Apprenant 291 ou 291'</v>
      </c>
      <c r="Q303" s="53" t="str">
        <f aca="false">IF(AND($G303&lt;&gt;"",$H303&lt;&gt;""),$H303-$G303,"")</f>
        <v/>
      </c>
      <c r="R303" s="53" t="str">
        <f aca="false">IF(AND($G303&lt;&gt;"",$I303&lt;&gt;""),$I303-$G303,"")</f>
        <v/>
      </c>
      <c r="S303" s="53" t="str">
        <f aca="false">IF(AND($H303&lt;&gt;"",$I303&lt;&gt;""),$I303-$H303,"")</f>
        <v/>
      </c>
      <c r="T303" s="53" t="str">
        <f aca="false">IF($J303&lt;&gt;"",$J303,"")</f>
        <v/>
      </c>
      <c r="V303" s="52" t="str">
        <f aca="false">IF($A303&lt;&gt;"",$A303,"")</f>
        <v>Apprenant 291</v>
      </c>
      <c r="W303" s="53" t="str">
        <f aca="false">IF(AND(OR('Choix pédagogiques'!$C$3=1,'Choix pédagogiques'!$C$3=2),$BM303=1),B303,IF(AND('Choix pédagogiques'!$C$3=3,$BO303=1),B303,""))</f>
        <v/>
      </c>
      <c r="X303" s="53" t="str">
        <f aca="false">IF(AND(OR('Choix pédagogiques'!$C$3=1,'Choix pédagogiques'!$C$3=2),$BM303=1),C303,IF(AND('Choix pédagogiques'!$C$3=3,$BO303=1),C303,""))</f>
        <v/>
      </c>
      <c r="Y303" s="53" t="str">
        <f aca="false">IF(AND(OR('Choix pédagogiques'!$C$3=1,'Choix pédagogiques'!$C$3=2),$BM303=1),D303,IF(AND('Choix pédagogiques'!$C$3=3,$BO303=1),D303,""))</f>
        <v/>
      </c>
      <c r="Z303" s="53" t="str">
        <f aca="false">IF($E303&lt;&gt;"",$E303,"")</f>
        <v/>
      </c>
      <c r="AA303" s="52" t="str">
        <f aca="false">IF($F303&lt;&gt;"",$F303,"")</f>
        <v>Apprenant 291 ou 291'</v>
      </c>
      <c r="AB303" s="53" t="str">
        <f aca="false">IF(AND(OR('Choix pédagogiques'!$C$3=1,'Choix pédagogiques'!$C$3=2),$BN303=1),G303,IF(AND('Choix pédagogiques'!$C$3=3,$BO303=1),G303,""))</f>
        <v/>
      </c>
      <c r="AC303" s="53" t="str">
        <f aca="false">IF(AND(OR('Choix pédagogiques'!$C$3=1,'Choix pédagogiques'!$C$3=2),$BN303=1),H303,IF(AND('Choix pédagogiques'!$C$3=3,$BO303=1),H303,""))</f>
        <v/>
      </c>
      <c r="AD303" s="53" t="str">
        <f aca="false">IF(AND(OR('Choix pédagogiques'!$C$3=1,'Choix pédagogiques'!$C$3=2),$BN303=1),I303,IF(AND('Choix pédagogiques'!$C$3=3,$BO303=1),I303,""))</f>
        <v/>
      </c>
      <c r="AE303" s="53" t="str">
        <f aca="false">IF($J303&lt;&gt;"",$J303,"")</f>
        <v/>
      </c>
      <c r="AF303" s="52" t="str">
        <f aca="false">IF($A303&lt;&gt;"",$A303,"")</f>
        <v>Apprenant 291</v>
      </c>
      <c r="AG303" s="53" t="str">
        <f aca="false">IF(AND($W303&lt;&gt;"",$X303&lt;&gt;""),$X303-$W303,"")</f>
        <v/>
      </c>
      <c r="AH303" s="53" t="str">
        <f aca="false">IF(AND($W303&lt;&gt;"",$Y303&lt;&gt;""),$Y303-$W303,"")</f>
        <v/>
      </c>
      <c r="AI303" s="53" t="str">
        <f aca="false">IF(AND($X303&lt;&gt;"",$Y303&lt;&gt;""),$Y303-$X303,"")</f>
        <v/>
      </c>
      <c r="AJ303" s="53" t="str">
        <f aca="false">IF($E303&lt;&gt;"",$E303,"")</f>
        <v/>
      </c>
      <c r="AK303" s="52" t="str">
        <f aca="false">IF($F303&lt;&gt;"",$F303,"")</f>
        <v>Apprenant 291 ou 291'</v>
      </c>
      <c r="AL303" s="53" t="str">
        <f aca="false">IF(AND($AB303&lt;&gt;"",$AC303&lt;&gt;""),$AC303-$AB303,"")</f>
        <v/>
      </c>
      <c r="AM303" s="53" t="str">
        <f aca="false">IF(AND($AB303&lt;&gt;"",$AD303&lt;&gt;""),$AD303-$AB303,"")</f>
        <v/>
      </c>
      <c r="AN303" s="53" t="str">
        <f aca="false">IF(AND($AC303&lt;&gt;"",$AD303&lt;&gt;""),$AD303-$AC303,"")</f>
        <v/>
      </c>
      <c r="AO303" s="53" t="str">
        <f aca="false">IF($J303&lt;&gt;"",$J303,"")</f>
        <v/>
      </c>
      <c r="AQ303" s="52" t="str">
        <f aca="false">IF($A303&lt;&gt;"",$A303,"")</f>
        <v>Apprenant 291</v>
      </c>
      <c r="AR303" s="55" t="str">
        <f aca="false">IF(AND('Choix pédagogiques'!$C$4&lt;&gt;"?",'Choix pédagogiques'!$C$5&lt;&gt;"?",W303&lt;&gt;""),(W303-'Choix pédagogiques'!$C$4)/('Choix pédagogiques'!$C$5-'Choix pédagogiques'!$C$4),"")</f>
        <v/>
      </c>
      <c r="AS303" s="55" t="str">
        <f aca="false">IF(AND('Choix pédagogiques'!$C$4&lt;&gt;"?",'Choix pédagogiques'!$C$5&lt;&gt;"?",X303&lt;&gt;""),(X303-'Choix pédagogiques'!$C$4)/('Choix pédagogiques'!$C$5-'Choix pédagogiques'!$C$4),"")</f>
        <v/>
      </c>
      <c r="AT303" s="55" t="str">
        <f aca="false">IF(AND('Choix pédagogiques'!$C$4&lt;&gt;"?",'Choix pédagogiques'!$C$5&lt;&gt;"?",Y303&lt;&gt;""),(Y303-'Choix pédagogiques'!$C$4)/('Choix pédagogiques'!$C$5-'Choix pédagogiques'!$C$4),"")</f>
        <v/>
      </c>
      <c r="AU303" s="53" t="str">
        <f aca="false">IF($E303&lt;&gt;"",$E303,"")</f>
        <v/>
      </c>
      <c r="AV303" s="52" t="str">
        <f aca="false">IF($F303&lt;&gt;"",$F303,"")</f>
        <v>Apprenant 291 ou 291'</v>
      </c>
      <c r="AW303" s="55" t="str">
        <f aca="false">IF(AND('Choix pédagogiques'!$C$4&lt;&gt;"?",'Choix pédagogiques'!$C$5&lt;&gt;"?",AB303&lt;&gt;""),(AB303-'Choix pédagogiques'!$C$4)/('Choix pédagogiques'!$C$5-'Choix pédagogiques'!$C$4),"")</f>
        <v/>
      </c>
      <c r="AX303" s="55" t="str">
        <f aca="false">IF(AND('Choix pédagogiques'!$C$4&lt;&gt;"?",'Choix pédagogiques'!$C$5&lt;&gt;"?",AC303&lt;&gt;""),(AC303-'Choix pédagogiques'!$C$4)/('Choix pédagogiques'!$C$5-'Choix pédagogiques'!$C$4),"")</f>
        <v/>
      </c>
      <c r="AY303" s="55" t="str">
        <f aca="false">IF(AND('Choix pédagogiques'!$C$4&lt;&gt;"?",'Choix pédagogiques'!$C$5&lt;&gt;"?",AD303&lt;&gt;""),(AD303-'Choix pédagogiques'!$C$4)/('Choix pédagogiques'!$C$5-'Choix pédagogiques'!$C$4),"")</f>
        <v/>
      </c>
      <c r="AZ303" s="53" t="str">
        <f aca="false">IF($J303&lt;&gt;"",$J303,"")</f>
        <v/>
      </c>
      <c r="BA303" s="52" t="str">
        <f aca="false">IF($A303&lt;&gt;"",$A303,"")</f>
        <v>Apprenant 291</v>
      </c>
      <c r="BB303" s="55" t="str">
        <f aca="false">IF(AND($AR303&lt;&gt;"",$AS303&lt;&gt;""),$AS303-$AR303,"")</f>
        <v/>
      </c>
      <c r="BC303" s="55" t="str">
        <f aca="false">IF(AND($AR303&lt;&gt;"",$AT303&lt;&gt;""),$AT303-$AR303,"")</f>
        <v/>
      </c>
      <c r="BD303" s="55" t="str">
        <f aca="false">IF(AND($AS303&lt;&gt;"",$AT303&lt;&gt;""),$AT303-$AS303,"")</f>
        <v/>
      </c>
      <c r="BE303" s="53" t="str">
        <f aca="false">IF($E303&lt;&gt;"",$E303,"")</f>
        <v/>
      </c>
      <c r="BF303" s="52" t="str">
        <f aca="false">IF($F303&lt;&gt;"",$F303,"")</f>
        <v>Apprenant 291 ou 291'</v>
      </c>
      <c r="BG303" s="55" t="str">
        <f aca="false">IF(AND($AW303&lt;&gt;"",$AX303&lt;&gt;""),$AX303-$AW303,"")</f>
        <v/>
      </c>
      <c r="BH303" s="55" t="str">
        <f aca="false">IF(AND($AW303&lt;&gt;"",$AY303&lt;&gt;""),$AY303-$AW303,"")</f>
        <v/>
      </c>
      <c r="BI303" s="55" t="str">
        <f aca="false">IF(AND($AX303&lt;&gt;"",$AY303&lt;&gt;""),$AY303-$AX303,"")</f>
        <v/>
      </c>
      <c r="BJ303" s="53" t="str">
        <f aca="false">IF($J303&lt;&gt;"",$J303,"")</f>
        <v/>
      </c>
      <c r="BL303" s="52"/>
      <c r="BM303" s="52" t="str">
        <f aca="false">IF(OR(COUNT(B303:D1302)=0,AND('Choix pédagogiques'!$C$3&lt;&gt;1,'Choix pédagogiques'!$C$3&lt;&gt;2)),"",IF(AND(OR('Choix pédagogiques'!$C$3=1,'Choix pédagogiques'!$C$3=2),$B303&lt;&gt;"",$C303&lt;&gt;"",$D303&lt;&gt;""),1,0))</f>
        <v/>
      </c>
      <c r="BN303" s="52" t="str">
        <f aca="false">IF(OR(COUNT(G303:I1302)=0,AND('Choix pédagogiques'!$C$3&lt;&gt;1,'Choix pédagogiques'!$C$3&lt;&gt;2)),"",IF(AND(OR('Choix pédagogiques'!$C$3=1,'Choix pédagogiques'!$C$3=2),AND($G303&lt;&gt;"",$H303&lt;&gt;"",$I303&lt;&gt;"")),1,0))</f>
        <v/>
      </c>
      <c r="BO303" s="52" t="str">
        <f aca="false">IF(OR(COUNT(B303:D1302)=0,COUNT(G303:I1302)=0,'Choix pédagogiques'!C$3&lt;&gt;3),"",IF(AND('Choix pédagogiques'!$C$3=3,$B303&lt;&gt;"",$C303&lt;&gt;"",$D303&lt;&gt;"",$G303&lt;&gt;"",$H303&lt;&gt;"",$I303&lt;&gt;""),1,0))</f>
        <v/>
      </c>
      <c r="BR303" s="52" t="n">
        <v>349</v>
      </c>
      <c r="BS303" s="52" t="n">
        <v>1386</v>
      </c>
    </row>
    <row r="304" s="54" customFormat="true" ht="18" hidden="false" customHeight="true" outlineLevel="0" collapsed="false">
      <c r="A304" s="57" t="s">
        <v>539</v>
      </c>
      <c r="B304" s="51"/>
      <c r="C304" s="51"/>
      <c r="D304" s="51"/>
      <c r="E304" s="51"/>
      <c r="F304" s="57" t="s">
        <v>540</v>
      </c>
      <c r="G304" s="51"/>
      <c r="H304" s="51"/>
      <c r="I304" s="51"/>
      <c r="J304" s="51"/>
      <c r="K304" s="52" t="str">
        <f aca="false">IF($A304&lt;&gt;"",$A304,"")</f>
        <v>Apprenant 292</v>
      </c>
      <c r="L304" s="53" t="str">
        <f aca="false">IF(AND($B304&lt;&gt;"",$C304&lt;&gt;""),$C304-$B304,"")</f>
        <v/>
      </c>
      <c r="M304" s="53" t="str">
        <f aca="false">IF(AND($B304&lt;&gt;"",$D304&lt;&gt;""),$D304-$B304,"")</f>
        <v/>
      </c>
      <c r="N304" s="53" t="str">
        <f aca="false">IF(AND($C304&lt;&gt;"",$D304&lt;&gt;""),$D304-$C304,"")</f>
        <v/>
      </c>
      <c r="O304" s="53" t="str">
        <f aca="false">IF($E304&lt;&gt;"",$E304,"")</f>
        <v/>
      </c>
      <c r="P304" s="52" t="str">
        <f aca="false">IF($F304&lt;&gt;"",$F304,"")</f>
        <v>Apprenant 292 ou 292'</v>
      </c>
      <c r="Q304" s="53" t="str">
        <f aca="false">IF(AND($G304&lt;&gt;"",$H304&lt;&gt;""),$H304-$G304,"")</f>
        <v/>
      </c>
      <c r="R304" s="53" t="str">
        <f aca="false">IF(AND($G304&lt;&gt;"",$I304&lt;&gt;""),$I304-$G304,"")</f>
        <v/>
      </c>
      <c r="S304" s="53" t="str">
        <f aca="false">IF(AND($H304&lt;&gt;"",$I304&lt;&gt;""),$I304-$H304,"")</f>
        <v/>
      </c>
      <c r="T304" s="53" t="str">
        <f aca="false">IF($J304&lt;&gt;"",$J304,"")</f>
        <v/>
      </c>
      <c r="V304" s="52" t="str">
        <f aca="false">IF($A304&lt;&gt;"",$A304,"")</f>
        <v>Apprenant 292</v>
      </c>
      <c r="W304" s="53" t="str">
        <f aca="false">IF(AND(OR('Choix pédagogiques'!$C$3=1,'Choix pédagogiques'!$C$3=2),$BM304=1),B304,IF(AND('Choix pédagogiques'!$C$3=3,$BO304=1),B304,""))</f>
        <v/>
      </c>
      <c r="X304" s="53" t="str">
        <f aca="false">IF(AND(OR('Choix pédagogiques'!$C$3=1,'Choix pédagogiques'!$C$3=2),$BM304=1),C304,IF(AND('Choix pédagogiques'!$C$3=3,$BO304=1),C304,""))</f>
        <v/>
      </c>
      <c r="Y304" s="53" t="str">
        <f aca="false">IF(AND(OR('Choix pédagogiques'!$C$3=1,'Choix pédagogiques'!$C$3=2),$BM304=1),D304,IF(AND('Choix pédagogiques'!$C$3=3,$BO304=1),D304,""))</f>
        <v/>
      </c>
      <c r="Z304" s="53" t="str">
        <f aca="false">IF($E304&lt;&gt;"",$E304,"")</f>
        <v/>
      </c>
      <c r="AA304" s="52" t="str">
        <f aca="false">IF($F304&lt;&gt;"",$F304,"")</f>
        <v>Apprenant 292 ou 292'</v>
      </c>
      <c r="AB304" s="53" t="str">
        <f aca="false">IF(AND(OR('Choix pédagogiques'!$C$3=1,'Choix pédagogiques'!$C$3=2),$BN304=1),G304,IF(AND('Choix pédagogiques'!$C$3=3,$BO304=1),G304,""))</f>
        <v/>
      </c>
      <c r="AC304" s="53" t="str">
        <f aca="false">IF(AND(OR('Choix pédagogiques'!$C$3=1,'Choix pédagogiques'!$C$3=2),$BN304=1),H304,IF(AND('Choix pédagogiques'!$C$3=3,$BO304=1),H304,""))</f>
        <v/>
      </c>
      <c r="AD304" s="53" t="str">
        <f aca="false">IF(AND(OR('Choix pédagogiques'!$C$3=1,'Choix pédagogiques'!$C$3=2),$BN304=1),I304,IF(AND('Choix pédagogiques'!$C$3=3,$BO304=1),I304,""))</f>
        <v/>
      </c>
      <c r="AE304" s="53" t="str">
        <f aca="false">IF($J304&lt;&gt;"",$J304,"")</f>
        <v/>
      </c>
      <c r="AF304" s="52" t="str">
        <f aca="false">IF($A304&lt;&gt;"",$A304,"")</f>
        <v>Apprenant 292</v>
      </c>
      <c r="AG304" s="53" t="str">
        <f aca="false">IF(AND($W304&lt;&gt;"",$X304&lt;&gt;""),$X304-$W304,"")</f>
        <v/>
      </c>
      <c r="AH304" s="53" t="str">
        <f aca="false">IF(AND($W304&lt;&gt;"",$Y304&lt;&gt;""),$Y304-$W304,"")</f>
        <v/>
      </c>
      <c r="AI304" s="53" t="str">
        <f aca="false">IF(AND($X304&lt;&gt;"",$Y304&lt;&gt;""),$Y304-$X304,"")</f>
        <v/>
      </c>
      <c r="AJ304" s="53" t="str">
        <f aca="false">IF($E304&lt;&gt;"",$E304,"")</f>
        <v/>
      </c>
      <c r="AK304" s="52" t="str">
        <f aca="false">IF($F304&lt;&gt;"",$F304,"")</f>
        <v>Apprenant 292 ou 292'</v>
      </c>
      <c r="AL304" s="53" t="str">
        <f aca="false">IF(AND($AB304&lt;&gt;"",$AC304&lt;&gt;""),$AC304-$AB304,"")</f>
        <v/>
      </c>
      <c r="AM304" s="53" t="str">
        <f aca="false">IF(AND($AB304&lt;&gt;"",$AD304&lt;&gt;""),$AD304-$AB304,"")</f>
        <v/>
      </c>
      <c r="AN304" s="53" t="str">
        <f aca="false">IF(AND($AC304&lt;&gt;"",$AD304&lt;&gt;""),$AD304-$AC304,"")</f>
        <v/>
      </c>
      <c r="AO304" s="53" t="str">
        <f aca="false">IF($J304&lt;&gt;"",$J304,"")</f>
        <v/>
      </c>
      <c r="AQ304" s="52" t="str">
        <f aca="false">IF($A304&lt;&gt;"",$A304,"")</f>
        <v>Apprenant 292</v>
      </c>
      <c r="AR304" s="55" t="str">
        <f aca="false">IF(AND('Choix pédagogiques'!$C$4&lt;&gt;"?",'Choix pédagogiques'!$C$5&lt;&gt;"?",W304&lt;&gt;""),(W304-'Choix pédagogiques'!$C$4)/('Choix pédagogiques'!$C$5-'Choix pédagogiques'!$C$4),"")</f>
        <v/>
      </c>
      <c r="AS304" s="55" t="str">
        <f aca="false">IF(AND('Choix pédagogiques'!$C$4&lt;&gt;"?",'Choix pédagogiques'!$C$5&lt;&gt;"?",X304&lt;&gt;""),(X304-'Choix pédagogiques'!$C$4)/('Choix pédagogiques'!$C$5-'Choix pédagogiques'!$C$4),"")</f>
        <v/>
      </c>
      <c r="AT304" s="55" t="str">
        <f aca="false">IF(AND('Choix pédagogiques'!$C$4&lt;&gt;"?",'Choix pédagogiques'!$C$5&lt;&gt;"?",Y304&lt;&gt;""),(Y304-'Choix pédagogiques'!$C$4)/('Choix pédagogiques'!$C$5-'Choix pédagogiques'!$C$4),"")</f>
        <v/>
      </c>
      <c r="AU304" s="53" t="str">
        <f aca="false">IF($E304&lt;&gt;"",$E304,"")</f>
        <v/>
      </c>
      <c r="AV304" s="52" t="str">
        <f aca="false">IF($F304&lt;&gt;"",$F304,"")</f>
        <v>Apprenant 292 ou 292'</v>
      </c>
      <c r="AW304" s="55" t="str">
        <f aca="false">IF(AND('Choix pédagogiques'!$C$4&lt;&gt;"?",'Choix pédagogiques'!$C$5&lt;&gt;"?",AB304&lt;&gt;""),(AB304-'Choix pédagogiques'!$C$4)/('Choix pédagogiques'!$C$5-'Choix pédagogiques'!$C$4),"")</f>
        <v/>
      </c>
      <c r="AX304" s="55" t="str">
        <f aca="false">IF(AND('Choix pédagogiques'!$C$4&lt;&gt;"?",'Choix pédagogiques'!$C$5&lt;&gt;"?",AC304&lt;&gt;""),(AC304-'Choix pédagogiques'!$C$4)/('Choix pédagogiques'!$C$5-'Choix pédagogiques'!$C$4),"")</f>
        <v/>
      </c>
      <c r="AY304" s="55" t="str">
        <f aca="false">IF(AND('Choix pédagogiques'!$C$4&lt;&gt;"?",'Choix pédagogiques'!$C$5&lt;&gt;"?",AD304&lt;&gt;""),(AD304-'Choix pédagogiques'!$C$4)/('Choix pédagogiques'!$C$5-'Choix pédagogiques'!$C$4),"")</f>
        <v/>
      </c>
      <c r="AZ304" s="53" t="str">
        <f aca="false">IF($J304&lt;&gt;"",$J304,"")</f>
        <v/>
      </c>
      <c r="BA304" s="52" t="str">
        <f aca="false">IF($A304&lt;&gt;"",$A304,"")</f>
        <v>Apprenant 292</v>
      </c>
      <c r="BB304" s="55" t="str">
        <f aca="false">IF(AND($AR304&lt;&gt;"",$AS304&lt;&gt;""),$AS304-$AR304,"")</f>
        <v/>
      </c>
      <c r="BC304" s="55" t="str">
        <f aca="false">IF(AND($AR304&lt;&gt;"",$AT304&lt;&gt;""),$AT304-$AR304,"")</f>
        <v/>
      </c>
      <c r="BD304" s="55" t="str">
        <f aca="false">IF(AND($AS304&lt;&gt;"",$AT304&lt;&gt;""),$AT304-$AS304,"")</f>
        <v/>
      </c>
      <c r="BE304" s="53" t="str">
        <f aca="false">IF($E304&lt;&gt;"",$E304,"")</f>
        <v/>
      </c>
      <c r="BF304" s="52" t="str">
        <f aca="false">IF($F304&lt;&gt;"",$F304,"")</f>
        <v>Apprenant 292 ou 292'</v>
      </c>
      <c r="BG304" s="55" t="str">
        <f aca="false">IF(AND($AW304&lt;&gt;"",$AX304&lt;&gt;""),$AX304-$AW304,"")</f>
        <v/>
      </c>
      <c r="BH304" s="55" t="str">
        <f aca="false">IF(AND($AW304&lt;&gt;"",$AY304&lt;&gt;""),$AY304-$AW304,"")</f>
        <v/>
      </c>
      <c r="BI304" s="55" t="str">
        <f aca="false">IF(AND($AX304&lt;&gt;"",$AY304&lt;&gt;""),$AY304-$AX304,"")</f>
        <v/>
      </c>
      <c r="BJ304" s="53" t="str">
        <f aca="false">IF($J304&lt;&gt;"",$J304,"")</f>
        <v/>
      </c>
      <c r="BL304" s="52"/>
      <c r="BM304" s="52" t="str">
        <f aca="false">IF(OR(COUNT(B304:D1303)=0,AND('Choix pédagogiques'!$C$3&lt;&gt;1,'Choix pédagogiques'!$C$3&lt;&gt;2)),"",IF(AND(OR('Choix pédagogiques'!$C$3=1,'Choix pédagogiques'!$C$3=2),$B304&lt;&gt;"",$C304&lt;&gt;"",$D304&lt;&gt;""),1,0))</f>
        <v/>
      </c>
      <c r="BN304" s="52" t="str">
        <f aca="false">IF(OR(COUNT(G304:I1303)=0,AND('Choix pédagogiques'!$C$3&lt;&gt;1,'Choix pédagogiques'!$C$3&lt;&gt;2)),"",IF(AND(OR('Choix pédagogiques'!$C$3=1,'Choix pédagogiques'!$C$3=2),AND($G304&lt;&gt;"",$H304&lt;&gt;"",$I304&lt;&gt;"")),1,0))</f>
        <v/>
      </c>
      <c r="BO304" s="52" t="str">
        <f aca="false">IF(OR(COUNT(B304:D1303)=0,COUNT(G304:I1303)=0,'Choix pédagogiques'!C$3&lt;&gt;3),"",IF(AND('Choix pédagogiques'!$C$3=3,$B304&lt;&gt;"",$C304&lt;&gt;"",$D304&lt;&gt;"",$G304&lt;&gt;"",$H304&lt;&gt;"",$I304&lt;&gt;""),1,0))</f>
        <v/>
      </c>
      <c r="BR304" s="52" t="n">
        <v>384</v>
      </c>
      <c r="BS304" s="52" t="n">
        <v>1592</v>
      </c>
    </row>
    <row r="305" s="54" customFormat="true" ht="18" hidden="false" customHeight="true" outlineLevel="0" collapsed="false">
      <c r="A305" s="57" t="s">
        <v>541</v>
      </c>
      <c r="B305" s="51"/>
      <c r="C305" s="51"/>
      <c r="D305" s="51"/>
      <c r="E305" s="51"/>
      <c r="F305" s="57" t="s">
        <v>542</v>
      </c>
      <c r="G305" s="51"/>
      <c r="H305" s="51"/>
      <c r="I305" s="51"/>
      <c r="J305" s="51"/>
      <c r="K305" s="52" t="str">
        <f aca="false">IF($A305&lt;&gt;"",$A305,"")</f>
        <v>Apprenant 293</v>
      </c>
      <c r="L305" s="53" t="str">
        <f aca="false">IF(AND($B305&lt;&gt;"",$C305&lt;&gt;""),$C305-$B305,"")</f>
        <v/>
      </c>
      <c r="M305" s="53" t="str">
        <f aca="false">IF(AND($B305&lt;&gt;"",$D305&lt;&gt;""),$D305-$B305,"")</f>
        <v/>
      </c>
      <c r="N305" s="53" t="str">
        <f aca="false">IF(AND($C305&lt;&gt;"",$D305&lt;&gt;""),$D305-$C305,"")</f>
        <v/>
      </c>
      <c r="O305" s="53" t="str">
        <f aca="false">IF($E305&lt;&gt;"",$E305,"")</f>
        <v/>
      </c>
      <c r="P305" s="52" t="str">
        <f aca="false">IF($F305&lt;&gt;"",$F305,"")</f>
        <v>Apprenant 293 ou 293'</v>
      </c>
      <c r="Q305" s="53" t="str">
        <f aca="false">IF(AND($G305&lt;&gt;"",$H305&lt;&gt;""),$H305-$G305,"")</f>
        <v/>
      </c>
      <c r="R305" s="53" t="str">
        <f aca="false">IF(AND($G305&lt;&gt;"",$I305&lt;&gt;""),$I305-$G305,"")</f>
        <v/>
      </c>
      <c r="S305" s="53" t="str">
        <f aca="false">IF(AND($H305&lt;&gt;"",$I305&lt;&gt;""),$I305-$H305,"")</f>
        <v/>
      </c>
      <c r="T305" s="53" t="str">
        <f aca="false">IF($J305&lt;&gt;"",$J305,"")</f>
        <v/>
      </c>
      <c r="V305" s="52" t="str">
        <f aca="false">IF($A305&lt;&gt;"",$A305,"")</f>
        <v>Apprenant 293</v>
      </c>
      <c r="W305" s="53" t="str">
        <f aca="false">IF(AND(OR('Choix pédagogiques'!$C$3=1,'Choix pédagogiques'!$C$3=2),$BM305=1),B305,IF(AND('Choix pédagogiques'!$C$3=3,$BO305=1),B305,""))</f>
        <v/>
      </c>
      <c r="X305" s="53" t="str">
        <f aca="false">IF(AND(OR('Choix pédagogiques'!$C$3=1,'Choix pédagogiques'!$C$3=2),$BM305=1),C305,IF(AND('Choix pédagogiques'!$C$3=3,$BO305=1),C305,""))</f>
        <v/>
      </c>
      <c r="Y305" s="53" t="str">
        <f aca="false">IF(AND(OR('Choix pédagogiques'!$C$3=1,'Choix pédagogiques'!$C$3=2),$BM305=1),D305,IF(AND('Choix pédagogiques'!$C$3=3,$BO305=1),D305,""))</f>
        <v/>
      </c>
      <c r="Z305" s="53" t="str">
        <f aca="false">IF($E305&lt;&gt;"",$E305,"")</f>
        <v/>
      </c>
      <c r="AA305" s="52" t="str">
        <f aca="false">IF($F305&lt;&gt;"",$F305,"")</f>
        <v>Apprenant 293 ou 293'</v>
      </c>
      <c r="AB305" s="53" t="str">
        <f aca="false">IF(AND(OR('Choix pédagogiques'!$C$3=1,'Choix pédagogiques'!$C$3=2),$BN305=1),G305,IF(AND('Choix pédagogiques'!$C$3=3,$BO305=1),G305,""))</f>
        <v/>
      </c>
      <c r="AC305" s="53" t="str">
        <f aca="false">IF(AND(OR('Choix pédagogiques'!$C$3=1,'Choix pédagogiques'!$C$3=2),$BN305=1),H305,IF(AND('Choix pédagogiques'!$C$3=3,$BO305=1),H305,""))</f>
        <v/>
      </c>
      <c r="AD305" s="53" t="str">
        <f aca="false">IF(AND(OR('Choix pédagogiques'!$C$3=1,'Choix pédagogiques'!$C$3=2),$BN305=1),I305,IF(AND('Choix pédagogiques'!$C$3=3,$BO305=1),I305,""))</f>
        <v/>
      </c>
      <c r="AE305" s="53" t="str">
        <f aca="false">IF($J305&lt;&gt;"",$J305,"")</f>
        <v/>
      </c>
      <c r="AF305" s="52" t="str">
        <f aca="false">IF($A305&lt;&gt;"",$A305,"")</f>
        <v>Apprenant 293</v>
      </c>
      <c r="AG305" s="53" t="str">
        <f aca="false">IF(AND($W305&lt;&gt;"",$X305&lt;&gt;""),$X305-$W305,"")</f>
        <v/>
      </c>
      <c r="AH305" s="53" t="str">
        <f aca="false">IF(AND($W305&lt;&gt;"",$Y305&lt;&gt;""),$Y305-$W305,"")</f>
        <v/>
      </c>
      <c r="AI305" s="53" t="str">
        <f aca="false">IF(AND($X305&lt;&gt;"",$Y305&lt;&gt;""),$Y305-$X305,"")</f>
        <v/>
      </c>
      <c r="AJ305" s="53" t="str">
        <f aca="false">IF($E305&lt;&gt;"",$E305,"")</f>
        <v/>
      </c>
      <c r="AK305" s="52" t="str">
        <f aca="false">IF($F305&lt;&gt;"",$F305,"")</f>
        <v>Apprenant 293 ou 293'</v>
      </c>
      <c r="AL305" s="53" t="str">
        <f aca="false">IF(AND($AB305&lt;&gt;"",$AC305&lt;&gt;""),$AC305-$AB305,"")</f>
        <v/>
      </c>
      <c r="AM305" s="53" t="str">
        <f aca="false">IF(AND($AB305&lt;&gt;"",$AD305&lt;&gt;""),$AD305-$AB305,"")</f>
        <v/>
      </c>
      <c r="AN305" s="53" t="str">
        <f aca="false">IF(AND($AC305&lt;&gt;"",$AD305&lt;&gt;""),$AD305-$AC305,"")</f>
        <v/>
      </c>
      <c r="AO305" s="53" t="str">
        <f aca="false">IF($J305&lt;&gt;"",$J305,"")</f>
        <v/>
      </c>
      <c r="AQ305" s="52" t="str">
        <f aca="false">IF($A305&lt;&gt;"",$A305,"")</f>
        <v>Apprenant 293</v>
      </c>
      <c r="AR305" s="55" t="str">
        <f aca="false">IF(AND('Choix pédagogiques'!$C$4&lt;&gt;"?",'Choix pédagogiques'!$C$5&lt;&gt;"?",W305&lt;&gt;""),(W305-'Choix pédagogiques'!$C$4)/('Choix pédagogiques'!$C$5-'Choix pédagogiques'!$C$4),"")</f>
        <v/>
      </c>
      <c r="AS305" s="55" t="str">
        <f aca="false">IF(AND('Choix pédagogiques'!$C$4&lt;&gt;"?",'Choix pédagogiques'!$C$5&lt;&gt;"?",X305&lt;&gt;""),(X305-'Choix pédagogiques'!$C$4)/('Choix pédagogiques'!$C$5-'Choix pédagogiques'!$C$4),"")</f>
        <v/>
      </c>
      <c r="AT305" s="55" t="str">
        <f aca="false">IF(AND('Choix pédagogiques'!$C$4&lt;&gt;"?",'Choix pédagogiques'!$C$5&lt;&gt;"?",Y305&lt;&gt;""),(Y305-'Choix pédagogiques'!$C$4)/('Choix pédagogiques'!$C$5-'Choix pédagogiques'!$C$4),"")</f>
        <v/>
      </c>
      <c r="AU305" s="53" t="str">
        <f aca="false">IF($E305&lt;&gt;"",$E305,"")</f>
        <v/>
      </c>
      <c r="AV305" s="52" t="str">
        <f aca="false">IF($F305&lt;&gt;"",$F305,"")</f>
        <v>Apprenant 293 ou 293'</v>
      </c>
      <c r="AW305" s="55" t="str">
        <f aca="false">IF(AND('Choix pédagogiques'!$C$4&lt;&gt;"?",'Choix pédagogiques'!$C$5&lt;&gt;"?",AB305&lt;&gt;""),(AB305-'Choix pédagogiques'!$C$4)/('Choix pédagogiques'!$C$5-'Choix pédagogiques'!$C$4),"")</f>
        <v/>
      </c>
      <c r="AX305" s="55" t="str">
        <f aca="false">IF(AND('Choix pédagogiques'!$C$4&lt;&gt;"?",'Choix pédagogiques'!$C$5&lt;&gt;"?",AC305&lt;&gt;""),(AC305-'Choix pédagogiques'!$C$4)/('Choix pédagogiques'!$C$5-'Choix pédagogiques'!$C$4),"")</f>
        <v/>
      </c>
      <c r="AY305" s="55" t="str">
        <f aca="false">IF(AND('Choix pédagogiques'!$C$4&lt;&gt;"?",'Choix pédagogiques'!$C$5&lt;&gt;"?",AD305&lt;&gt;""),(AD305-'Choix pédagogiques'!$C$4)/('Choix pédagogiques'!$C$5-'Choix pédagogiques'!$C$4),"")</f>
        <v/>
      </c>
      <c r="AZ305" s="53" t="str">
        <f aca="false">IF($J305&lt;&gt;"",$J305,"")</f>
        <v/>
      </c>
      <c r="BA305" s="52" t="str">
        <f aca="false">IF($A305&lt;&gt;"",$A305,"")</f>
        <v>Apprenant 293</v>
      </c>
      <c r="BB305" s="55" t="str">
        <f aca="false">IF(AND($AR305&lt;&gt;"",$AS305&lt;&gt;""),$AS305-$AR305,"")</f>
        <v/>
      </c>
      <c r="BC305" s="55" t="str">
        <f aca="false">IF(AND($AR305&lt;&gt;"",$AT305&lt;&gt;""),$AT305-$AR305,"")</f>
        <v/>
      </c>
      <c r="BD305" s="55" t="str">
        <f aca="false">IF(AND($AS305&lt;&gt;"",$AT305&lt;&gt;""),$AT305-$AS305,"")</f>
        <v/>
      </c>
      <c r="BE305" s="53" t="str">
        <f aca="false">IF($E305&lt;&gt;"",$E305,"")</f>
        <v/>
      </c>
      <c r="BF305" s="52" t="str">
        <f aca="false">IF($F305&lt;&gt;"",$F305,"")</f>
        <v>Apprenant 293 ou 293'</v>
      </c>
      <c r="BG305" s="55" t="str">
        <f aca="false">IF(AND($AW305&lt;&gt;"",$AX305&lt;&gt;""),$AX305-$AW305,"")</f>
        <v/>
      </c>
      <c r="BH305" s="55" t="str">
        <f aca="false">IF(AND($AW305&lt;&gt;"",$AY305&lt;&gt;""),$AY305-$AW305,"")</f>
        <v/>
      </c>
      <c r="BI305" s="55" t="str">
        <f aca="false">IF(AND($AX305&lt;&gt;"",$AY305&lt;&gt;""),$AY305-$AX305,"")</f>
        <v/>
      </c>
      <c r="BJ305" s="53" t="str">
        <f aca="false">IF($J305&lt;&gt;"",$J305,"")</f>
        <v/>
      </c>
      <c r="BL305" s="52"/>
      <c r="BM305" s="52" t="str">
        <f aca="false">IF(OR(COUNT(B305:D1304)=0,AND('Choix pédagogiques'!$C$3&lt;&gt;1,'Choix pédagogiques'!$C$3&lt;&gt;2)),"",IF(AND(OR('Choix pédagogiques'!$C$3=1,'Choix pédagogiques'!$C$3=2),$B305&lt;&gt;"",$C305&lt;&gt;"",$D305&lt;&gt;""),1,0))</f>
        <v/>
      </c>
      <c r="BN305" s="52" t="str">
        <f aca="false">IF(OR(COUNT(G305:I1304)=0,AND('Choix pédagogiques'!$C$3&lt;&gt;1,'Choix pédagogiques'!$C$3&lt;&gt;2)),"",IF(AND(OR('Choix pédagogiques'!$C$3=1,'Choix pédagogiques'!$C$3=2),AND($G305&lt;&gt;"",$H305&lt;&gt;"",$I305&lt;&gt;"")),1,0))</f>
        <v/>
      </c>
      <c r="BO305" s="52" t="str">
        <f aca="false">IF(OR(COUNT(B305:D1304)=0,COUNT(G305:I1304)=0,'Choix pédagogiques'!C$3&lt;&gt;3),"",IF(AND('Choix pédagogiques'!$C$3=3,$B305&lt;&gt;"",$C305&lt;&gt;"",$D305&lt;&gt;"",$G305&lt;&gt;"",$H305&lt;&gt;"",$I305&lt;&gt;""),1,0))</f>
        <v/>
      </c>
      <c r="BR305" s="52" t="n">
        <v>749</v>
      </c>
      <c r="BS305" s="52" t="n">
        <v>1851</v>
      </c>
    </row>
    <row r="306" s="54" customFormat="true" ht="18" hidden="false" customHeight="true" outlineLevel="0" collapsed="false">
      <c r="A306" s="57" t="s">
        <v>543</v>
      </c>
      <c r="B306" s="51"/>
      <c r="C306" s="51"/>
      <c r="D306" s="51"/>
      <c r="E306" s="51"/>
      <c r="F306" s="57" t="s">
        <v>544</v>
      </c>
      <c r="G306" s="51"/>
      <c r="H306" s="51"/>
      <c r="I306" s="51"/>
      <c r="J306" s="51"/>
      <c r="K306" s="52" t="str">
        <f aca="false">IF($A306&lt;&gt;"",$A306,"")</f>
        <v>Apprenant 294</v>
      </c>
      <c r="L306" s="53" t="str">
        <f aca="false">IF(AND($B306&lt;&gt;"",$C306&lt;&gt;""),$C306-$B306,"")</f>
        <v/>
      </c>
      <c r="M306" s="53" t="str">
        <f aca="false">IF(AND($B306&lt;&gt;"",$D306&lt;&gt;""),$D306-$B306,"")</f>
        <v/>
      </c>
      <c r="N306" s="53" t="str">
        <f aca="false">IF(AND($C306&lt;&gt;"",$D306&lt;&gt;""),$D306-$C306,"")</f>
        <v/>
      </c>
      <c r="O306" s="53" t="str">
        <f aca="false">IF($E306&lt;&gt;"",$E306,"")</f>
        <v/>
      </c>
      <c r="P306" s="52" t="str">
        <f aca="false">IF($F306&lt;&gt;"",$F306,"")</f>
        <v>Apprenant 294 ou 294'</v>
      </c>
      <c r="Q306" s="53" t="str">
        <f aca="false">IF(AND($G306&lt;&gt;"",$H306&lt;&gt;""),$H306-$G306,"")</f>
        <v/>
      </c>
      <c r="R306" s="53" t="str">
        <f aca="false">IF(AND($G306&lt;&gt;"",$I306&lt;&gt;""),$I306-$G306,"")</f>
        <v/>
      </c>
      <c r="S306" s="53" t="str">
        <f aca="false">IF(AND($H306&lt;&gt;"",$I306&lt;&gt;""),$I306-$H306,"")</f>
        <v/>
      </c>
      <c r="T306" s="53" t="str">
        <f aca="false">IF($J306&lt;&gt;"",$J306,"")</f>
        <v/>
      </c>
      <c r="V306" s="52" t="str">
        <f aca="false">IF($A306&lt;&gt;"",$A306,"")</f>
        <v>Apprenant 294</v>
      </c>
      <c r="W306" s="53" t="str">
        <f aca="false">IF(AND(OR('Choix pédagogiques'!$C$3=1,'Choix pédagogiques'!$C$3=2),$BM306=1),B306,IF(AND('Choix pédagogiques'!$C$3=3,$BO306=1),B306,""))</f>
        <v/>
      </c>
      <c r="X306" s="53" t="str">
        <f aca="false">IF(AND(OR('Choix pédagogiques'!$C$3=1,'Choix pédagogiques'!$C$3=2),$BM306=1),C306,IF(AND('Choix pédagogiques'!$C$3=3,$BO306=1),C306,""))</f>
        <v/>
      </c>
      <c r="Y306" s="53" t="str">
        <f aca="false">IF(AND(OR('Choix pédagogiques'!$C$3=1,'Choix pédagogiques'!$C$3=2),$BM306=1),D306,IF(AND('Choix pédagogiques'!$C$3=3,$BO306=1),D306,""))</f>
        <v/>
      </c>
      <c r="Z306" s="53" t="str">
        <f aca="false">IF($E306&lt;&gt;"",$E306,"")</f>
        <v/>
      </c>
      <c r="AA306" s="52" t="str">
        <f aca="false">IF($F306&lt;&gt;"",$F306,"")</f>
        <v>Apprenant 294 ou 294'</v>
      </c>
      <c r="AB306" s="53" t="str">
        <f aca="false">IF(AND(OR('Choix pédagogiques'!$C$3=1,'Choix pédagogiques'!$C$3=2),$BN306=1),G306,IF(AND('Choix pédagogiques'!$C$3=3,$BO306=1),G306,""))</f>
        <v/>
      </c>
      <c r="AC306" s="53" t="str">
        <f aca="false">IF(AND(OR('Choix pédagogiques'!$C$3=1,'Choix pédagogiques'!$C$3=2),$BN306=1),H306,IF(AND('Choix pédagogiques'!$C$3=3,$BO306=1),H306,""))</f>
        <v/>
      </c>
      <c r="AD306" s="53" t="str">
        <f aca="false">IF(AND(OR('Choix pédagogiques'!$C$3=1,'Choix pédagogiques'!$C$3=2),$BN306=1),I306,IF(AND('Choix pédagogiques'!$C$3=3,$BO306=1),I306,""))</f>
        <v/>
      </c>
      <c r="AE306" s="53" t="str">
        <f aca="false">IF($J306&lt;&gt;"",$J306,"")</f>
        <v/>
      </c>
      <c r="AF306" s="52" t="str">
        <f aca="false">IF($A306&lt;&gt;"",$A306,"")</f>
        <v>Apprenant 294</v>
      </c>
      <c r="AG306" s="53" t="str">
        <f aca="false">IF(AND($W306&lt;&gt;"",$X306&lt;&gt;""),$X306-$W306,"")</f>
        <v/>
      </c>
      <c r="AH306" s="53" t="str">
        <f aca="false">IF(AND($W306&lt;&gt;"",$Y306&lt;&gt;""),$Y306-$W306,"")</f>
        <v/>
      </c>
      <c r="AI306" s="53" t="str">
        <f aca="false">IF(AND($X306&lt;&gt;"",$Y306&lt;&gt;""),$Y306-$X306,"")</f>
        <v/>
      </c>
      <c r="AJ306" s="53" t="str">
        <f aca="false">IF($E306&lt;&gt;"",$E306,"")</f>
        <v/>
      </c>
      <c r="AK306" s="52" t="str">
        <f aca="false">IF($F306&lt;&gt;"",$F306,"")</f>
        <v>Apprenant 294 ou 294'</v>
      </c>
      <c r="AL306" s="53" t="str">
        <f aca="false">IF(AND($AB306&lt;&gt;"",$AC306&lt;&gt;""),$AC306-$AB306,"")</f>
        <v/>
      </c>
      <c r="AM306" s="53" t="str">
        <f aca="false">IF(AND($AB306&lt;&gt;"",$AD306&lt;&gt;""),$AD306-$AB306,"")</f>
        <v/>
      </c>
      <c r="AN306" s="53" t="str">
        <f aca="false">IF(AND($AC306&lt;&gt;"",$AD306&lt;&gt;""),$AD306-$AC306,"")</f>
        <v/>
      </c>
      <c r="AO306" s="53" t="str">
        <f aca="false">IF($J306&lt;&gt;"",$J306,"")</f>
        <v/>
      </c>
      <c r="AQ306" s="52" t="str">
        <f aca="false">IF($A306&lt;&gt;"",$A306,"")</f>
        <v>Apprenant 294</v>
      </c>
      <c r="AR306" s="55" t="str">
        <f aca="false">IF(AND('Choix pédagogiques'!$C$4&lt;&gt;"?",'Choix pédagogiques'!$C$5&lt;&gt;"?",W306&lt;&gt;""),(W306-'Choix pédagogiques'!$C$4)/('Choix pédagogiques'!$C$5-'Choix pédagogiques'!$C$4),"")</f>
        <v/>
      </c>
      <c r="AS306" s="55" t="str">
        <f aca="false">IF(AND('Choix pédagogiques'!$C$4&lt;&gt;"?",'Choix pédagogiques'!$C$5&lt;&gt;"?",X306&lt;&gt;""),(X306-'Choix pédagogiques'!$C$4)/('Choix pédagogiques'!$C$5-'Choix pédagogiques'!$C$4),"")</f>
        <v/>
      </c>
      <c r="AT306" s="55" t="str">
        <f aca="false">IF(AND('Choix pédagogiques'!$C$4&lt;&gt;"?",'Choix pédagogiques'!$C$5&lt;&gt;"?",Y306&lt;&gt;""),(Y306-'Choix pédagogiques'!$C$4)/('Choix pédagogiques'!$C$5-'Choix pédagogiques'!$C$4),"")</f>
        <v/>
      </c>
      <c r="AU306" s="53" t="str">
        <f aca="false">IF($E306&lt;&gt;"",$E306,"")</f>
        <v/>
      </c>
      <c r="AV306" s="52" t="str">
        <f aca="false">IF($F306&lt;&gt;"",$F306,"")</f>
        <v>Apprenant 294 ou 294'</v>
      </c>
      <c r="AW306" s="55" t="str">
        <f aca="false">IF(AND('Choix pédagogiques'!$C$4&lt;&gt;"?",'Choix pédagogiques'!$C$5&lt;&gt;"?",AB306&lt;&gt;""),(AB306-'Choix pédagogiques'!$C$4)/('Choix pédagogiques'!$C$5-'Choix pédagogiques'!$C$4),"")</f>
        <v/>
      </c>
      <c r="AX306" s="55" t="str">
        <f aca="false">IF(AND('Choix pédagogiques'!$C$4&lt;&gt;"?",'Choix pédagogiques'!$C$5&lt;&gt;"?",AC306&lt;&gt;""),(AC306-'Choix pédagogiques'!$C$4)/('Choix pédagogiques'!$C$5-'Choix pédagogiques'!$C$4),"")</f>
        <v/>
      </c>
      <c r="AY306" s="55" t="str">
        <f aca="false">IF(AND('Choix pédagogiques'!$C$4&lt;&gt;"?",'Choix pédagogiques'!$C$5&lt;&gt;"?",AD306&lt;&gt;""),(AD306-'Choix pédagogiques'!$C$4)/('Choix pédagogiques'!$C$5-'Choix pédagogiques'!$C$4),"")</f>
        <v/>
      </c>
      <c r="AZ306" s="53" t="str">
        <f aca="false">IF($J306&lt;&gt;"",$J306,"")</f>
        <v/>
      </c>
      <c r="BA306" s="52" t="str">
        <f aca="false">IF($A306&lt;&gt;"",$A306,"")</f>
        <v>Apprenant 294</v>
      </c>
      <c r="BB306" s="55" t="str">
        <f aca="false">IF(AND($AR306&lt;&gt;"",$AS306&lt;&gt;""),$AS306-$AR306,"")</f>
        <v/>
      </c>
      <c r="BC306" s="55" t="str">
        <f aca="false">IF(AND($AR306&lt;&gt;"",$AT306&lt;&gt;""),$AT306-$AR306,"")</f>
        <v/>
      </c>
      <c r="BD306" s="55" t="str">
        <f aca="false">IF(AND($AS306&lt;&gt;"",$AT306&lt;&gt;""),$AT306-$AS306,"")</f>
        <v/>
      </c>
      <c r="BE306" s="53" t="str">
        <f aca="false">IF($E306&lt;&gt;"",$E306,"")</f>
        <v/>
      </c>
      <c r="BF306" s="52" t="str">
        <f aca="false">IF($F306&lt;&gt;"",$F306,"")</f>
        <v>Apprenant 294 ou 294'</v>
      </c>
      <c r="BG306" s="55" t="str">
        <f aca="false">IF(AND($AW306&lt;&gt;"",$AX306&lt;&gt;""),$AX306-$AW306,"")</f>
        <v/>
      </c>
      <c r="BH306" s="55" t="str">
        <f aca="false">IF(AND($AW306&lt;&gt;"",$AY306&lt;&gt;""),$AY306-$AW306,"")</f>
        <v/>
      </c>
      <c r="BI306" s="55" t="str">
        <f aca="false">IF(AND($AX306&lt;&gt;"",$AY306&lt;&gt;""),$AY306-$AX306,"")</f>
        <v/>
      </c>
      <c r="BJ306" s="53" t="str">
        <f aca="false">IF($J306&lt;&gt;"",$J306,"")</f>
        <v/>
      </c>
      <c r="BL306" s="52"/>
      <c r="BM306" s="52" t="str">
        <f aca="false">IF(OR(COUNT(B306:D1305)=0,AND('Choix pédagogiques'!$C$3&lt;&gt;1,'Choix pédagogiques'!$C$3&lt;&gt;2)),"",IF(AND(OR('Choix pédagogiques'!$C$3=1,'Choix pédagogiques'!$C$3=2),$B306&lt;&gt;"",$C306&lt;&gt;"",$D306&lt;&gt;""),1,0))</f>
        <v/>
      </c>
      <c r="BN306" s="52" t="str">
        <f aca="false">IF(OR(COUNT(G306:I1305)=0,AND('Choix pédagogiques'!$C$3&lt;&gt;1,'Choix pédagogiques'!$C$3&lt;&gt;2)),"",IF(AND(OR('Choix pédagogiques'!$C$3=1,'Choix pédagogiques'!$C$3=2),AND($G306&lt;&gt;"",$H306&lt;&gt;"",$I306&lt;&gt;"")),1,0))</f>
        <v/>
      </c>
      <c r="BO306" s="52" t="str">
        <f aca="false">IF(OR(COUNT(B306:D1305)=0,COUNT(G306:I1305)=0,'Choix pédagogiques'!C$3&lt;&gt;3),"",IF(AND('Choix pédagogiques'!$C$3=3,$B306&lt;&gt;"",$C306&lt;&gt;"",$D306&lt;&gt;"",$G306&lt;&gt;"",$H306&lt;&gt;"",$I306&lt;&gt;""),1,0))</f>
        <v/>
      </c>
      <c r="BR306" s="52" t="n">
        <v>239</v>
      </c>
      <c r="BS306" s="52" t="n">
        <v>1934</v>
      </c>
    </row>
    <row r="307" s="54" customFormat="true" ht="18" hidden="false" customHeight="true" outlineLevel="0" collapsed="false">
      <c r="A307" s="57" t="s">
        <v>545</v>
      </c>
      <c r="B307" s="51"/>
      <c r="C307" s="51"/>
      <c r="D307" s="51"/>
      <c r="E307" s="51"/>
      <c r="F307" s="57" t="s">
        <v>546</v>
      </c>
      <c r="G307" s="51"/>
      <c r="H307" s="51"/>
      <c r="I307" s="51"/>
      <c r="J307" s="51"/>
      <c r="K307" s="52" t="str">
        <f aca="false">IF($A307&lt;&gt;"",$A307,"")</f>
        <v>Apprenant 295</v>
      </c>
      <c r="L307" s="53" t="str">
        <f aca="false">IF(AND($B307&lt;&gt;"",$C307&lt;&gt;""),$C307-$B307,"")</f>
        <v/>
      </c>
      <c r="M307" s="53" t="str">
        <f aca="false">IF(AND($B307&lt;&gt;"",$D307&lt;&gt;""),$D307-$B307,"")</f>
        <v/>
      </c>
      <c r="N307" s="53" t="str">
        <f aca="false">IF(AND($C307&lt;&gt;"",$D307&lt;&gt;""),$D307-$C307,"")</f>
        <v/>
      </c>
      <c r="O307" s="53" t="str">
        <f aca="false">IF($E307&lt;&gt;"",$E307,"")</f>
        <v/>
      </c>
      <c r="P307" s="52" t="str">
        <f aca="false">IF($F307&lt;&gt;"",$F307,"")</f>
        <v>Apprenant 295 ou 295'</v>
      </c>
      <c r="Q307" s="53" t="str">
        <f aca="false">IF(AND($G307&lt;&gt;"",$H307&lt;&gt;""),$H307-$G307,"")</f>
        <v/>
      </c>
      <c r="R307" s="53" t="str">
        <f aca="false">IF(AND($G307&lt;&gt;"",$I307&lt;&gt;""),$I307-$G307,"")</f>
        <v/>
      </c>
      <c r="S307" s="53" t="str">
        <f aca="false">IF(AND($H307&lt;&gt;"",$I307&lt;&gt;""),$I307-$H307,"")</f>
        <v/>
      </c>
      <c r="T307" s="53" t="str">
        <f aca="false">IF($J307&lt;&gt;"",$J307,"")</f>
        <v/>
      </c>
      <c r="V307" s="52" t="str">
        <f aca="false">IF($A307&lt;&gt;"",$A307,"")</f>
        <v>Apprenant 295</v>
      </c>
      <c r="W307" s="53" t="str">
        <f aca="false">IF(AND(OR('Choix pédagogiques'!$C$3=1,'Choix pédagogiques'!$C$3=2),$BM307=1),B307,IF(AND('Choix pédagogiques'!$C$3=3,$BO307=1),B307,""))</f>
        <v/>
      </c>
      <c r="X307" s="53" t="str">
        <f aca="false">IF(AND(OR('Choix pédagogiques'!$C$3=1,'Choix pédagogiques'!$C$3=2),$BM307=1),C307,IF(AND('Choix pédagogiques'!$C$3=3,$BO307=1),C307,""))</f>
        <v/>
      </c>
      <c r="Y307" s="53" t="str">
        <f aca="false">IF(AND(OR('Choix pédagogiques'!$C$3=1,'Choix pédagogiques'!$C$3=2),$BM307=1),D307,IF(AND('Choix pédagogiques'!$C$3=3,$BO307=1),D307,""))</f>
        <v/>
      </c>
      <c r="Z307" s="53" t="str">
        <f aca="false">IF($E307&lt;&gt;"",$E307,"")</f>
        <v/>
      </c>
      <c r="AA307" s="52" t="str">
        <f aca="false">IF($F307&lt;&gt;"",$F307,"")</f>
        <v>Apprenant 295 ou 295'</v>
      </c>
      <c r="AB307" s="53" t="str">
        <f aca="false">IF(AND(OR('Choix pédagogiques'!$C$3=1,'Choix pédagogiques'!$C$3=2),$BN307=1),G307,IF(AND('Choix pédagogiques'!$C$3=3,$BO307=1),G307,""))</f>
        <v/>
      </c>
      <c r="AC307" s="53" t="str">
        <f aca="false">IF(AND(OR('Choix pédagogiques'!$C$3=1,'Choix pédagogiques'!$C$3=2),$BN307=1),H307,IF(AND('Choix pédagogiques'!$C$3=3,$BO307=1),H307,""))</f>
        <v/>
      </c>
      <c r="AD307" s="53" t="str">
        <f aca="false">IF(AND(OR('Choix pédagogiques'!$C$3=1,'Choix pédagogiques'!$C$3=2),$BN307=1),I307,IF(AND('Choix pédagogiques'!$C$3=3,$BO307=1),I307,""))</f>
        <v/>
      </c>
      <c r="AE307" s="53" t="str">
        <f aca="false">IF($J307&lt;&gt;"",$J307,"")</f>
        <v/>
      </c>
      <c r="AF307" s="52" t="str">
        <f aca="false">IF($A307&lt;&gt;"",$A307,"")</f>
        <v>Apprenant 295</v>
      </c>
      <c r="AG307" s="53" t="str">
        <f aca="false">IF(AND($W307&lt;&gt;"",$X307&lt;&gt;""),$X307-$W307,"")</f>
        <v/>
      </c>
      <c r="AH307" s="53" t="str">
        <f aca="false">IF(AND($W307&lt;&gt;"",$Y307&lt;&gt;""),$Y307-$W307,"")</f>
        <v/>
      </c>
      <c r="AI307" s="53" t="str">
        <f aca="false">IF(AND($X307&lt;&gt;"",$Y307&lt;&gt;""),$Y307-$X307,"")</f>
        <v/>
      </c>
      <c r="AJ307" s="53" t="str">
        <f aca="false">IF($E307&lt;&gt;"",$E307,"")</f>
        <v/>
      </c>
      <c r="AK307" s="52" t="str">
        <f aca="false">IF($F307&lt;&gt;"",$F307,"")</f>
        <v>Apprenant 295 ou 295'</v>
      </c>
      <c r="AL307" s="53" t="str">
        <f aca="false">IF(AND($AB307&lt;&gt;"",$AC307&lt;&gt;""),$AC307-$AB307,"")</f>
        <v/>
      </c>
      <c r="AM307" s="53" t="str">
        <f aca="false">IF(AND($AB307&lt;&gt;"",$AD307&lt;&gt;""),$AD307-$AB307,"")</f>
        <v/>
      </c>
      <c r="AN307" s="53" t="str">
        <f aca="false">IF(AND($AC307&lt;&gt;"",$AD307&lt;&gt;""),$AD307-$AC307,"")</f>
        <v/>
      </c>
      <c r="AO307" s="53" t="str">
        <f aca="false">IF($J307&lt;&gt;"",$J307,"")</f>
        <v/>
      </c>
      <c r="AQ307" s="52" t="str">
        <f aca="false">IF($A307&lt;&gt;"",$A307,"")</f>
        <v>Apprenant 295</v>
      </c>
      <c r="AR307" s="55" t="str">
        <f aca="false">IF(AND('Choix pédagogiques'!$C$4&lt;&gt;"?",'Choix pédagogiques'!$C$5&lt;&gt;"?",W307&lt;&gt;""),(W307-'Choix pédagogiques'!$C$4)/('Choix pédagogiques'!$C$5-'Choix pédagogiques'!$C$4),"")</f>
        <v/>
      </c>
      <c r="AS307" s="55" t="str">
        <f aca="false">IF(AND('Choix pédagogiques'!$C$4&lt;&gt;"?",'Choix pédagogiques'!$C$5&lt;&gt;"?",X307&lt;&gt;""),(X307-'Choix pédagogiques'!$C$4)/('Choix pédagogiques'!$C$5-'Choix pédagogiques'!$C$4),"")</f>
        <v/>
      </c>
      <c r="AT307" s="55" t="str">
        <f aca="false">IF(AND('Choix pédagogiques'!$C$4&lt;&gt;"?",'Choix pédagogiques'!$C$5&lt;&gt;"?",Y307&lt;&gt;""),(Y307-'Choix pédagogiques'!$C$4)/('Choix pédagogiques'!$C$5-'Choix pédagogiques'!$C$4),"")</f>
        <v/>
      </c>
      <c r="AU307" s="53" t="str">
        <f aca="false">IF($E307&lt;&gt;"",$E307,"")</f>
        <v/>
      </c>
      <c r="AV307" s="52" t="str">
        <f aca="false">IF($F307&lt;&gt;"",$F307,"")</f>
        <v>Apprenant 295 ou 295'</v>
      </c>
      <c r="AW307" s="55" t="str">
        <f aca="false">IF(AND('Choix pédagogiques'!$C$4&lt;&gt;"?",'Choix pédagogiques'!$C$5&lt;&gt;"?",AB307&lt;&gt;""),(AB307-'Choix pédagogiques'!$C$4)/('Choix pédagogiques'!$C$5-'Choix pédagogiques'!$C$4),"")</f>
        <v/>
      </c>
      <c r="AX307" s="55" t="str">
        <f aca="false">IF(AND('Choix pédagogiques'!$C$4&lt;&gt;"?",'Choix pédagogiques'!$C$5&lt;&gt;"?",AC307&lt;&gt;""),(AC307-'Choix pédagogiques'!$C$4)/('Choix pédagogiques'!$C$5-'Choix pédagogiques'!$C$4),"")</f>
        <v/>
      </c>
      <c r="AY307" s="55" t="str">
        <f aca="false">IF(AND('Choix pédagogiques'!$C$4&lt;&gt;"?",'Choix pédagogiques'!$C$5&lt;&gt;"?",AD307&lt;&gt;""),(AD307-'Choix pédagogiques'!$C$4)/('Choix pédagogiques'!$C$5-'Choix pédagogiques'!$C$4),"")</f>
        <v/>
      </c>
      <c r="AZ307" s="53" t="str">
        <f aca="false">IF($J307&lt;&gt;"",$J307,"")</f>
        <v/>
      </c>
      <c r="BA307" s="52" t="str">
        <f aca="false">IF($A307&lt;&gt;"",$A307,"")</f>
        <v>Apprenant 295</v>
      </c>
      <c r="BB307" s="55" t="str">
        <f aca="false">IF(AND($AR307&lt;&gt;"",$AS307&lt;&gt;""),$AS307-$AR307,"")</f>
        <v/>
      </c>
      <c r="BC307" s="55" t="str">
        <f aca="false">IF(AND($AR307&lt;&gt;"",$AT307&lt;&gt;""),$AT307-$AR307,"")</f>
        <v/>
      </c>
      <c r="BD307" s="55" t="str">
        <f aca="false">IF(AND($AS307&lt;&gt;"",$AT307&lt;&gt;""),$AT307-$AS307,"")</f>
        <v/>
      </c>
      <c r="BE307" s="53" t="str">
        <f aca="false">IF($E307&lt;&gt;"",$E307,"")</f>
        <v/>
      </c>
      <c r="BF307" s="52" t="str">
        <f aca="false">IF($F307&lt;&gt;"",$F307,"")</f>
        <v>Apprenant 295 ou 295'</v>
      </c>
      <c r="BG307" s="55" t="str">
        <f aca="false">IF(AND($AW307&lt;&gt;"",$AX307&lt;&gt;""),$AX307-$AW307,"")</f>
        <v/>
      </c>
      <c r="BH307" s="55" t="str">
        <f aca="false">IF(AND($AW307&lt;&gt;"",$AY307&lt;&gt;""),$AY307-$AW307,"")</f>
        <v/>
      </c>
      <c r="BI307" s="55" t="str">
        <f aca="false">IF(AND($AX307&lt;&gt;"",$AY307&lt;&gt;""),$AY307-$AX307,"")</f>
        <v/>
      </c>
      <c r="BJ307" s="53" t="str">
        <f aca="false">IF($J307&lt;&gt;"",$J307,"")</f>
        <v/>
      </c>
      <c r="BL307" s="52"/>
      <c r="BM307" s="52" t="str">
        <f aca="false">IF(OR(COUNT(B307:D1306)=0,AND('Choix pédagogiques'!$C$3&lt;&gt;1,'Choix pédagogiques'!$C$3&lt;&gt;2)),"",IF(AND(OR('Choix pédagogiques'!$C$3=1,'Choix pédagogiques'!$C$3=2),$B307&lt;&gt;"",$C307&lt;&gt;"",$D307&lt;&gt;""),1,0))</f>
        <v/>
      </c>
      <c r="BN307" s="52" t="str">
        <f aca="false">IF(OR(COUNT(G307:I1306)=0,AND('Choix pédagogiques'!$C$3&lt;&gt;1,'Choix pédagogiques'!$C$3&lt;&gt;2)),"",IF(AND(OR('Choix pédagogiques'!$C$3=1,'Choix pédagogiques'!$C$3=2),AND($G307&lt;&gt;"",$H307&lt;&gt;"",$I307&lt;&gt;"")),1,0))</f>
        <v/>
      </c>
      <c r="BO307" s="52" t="str">
        <f aca="false">IF(OR(COUNT(B307:D1306)=0,COUNT(G307:I1306)=0,'Choix pédagogiques'!C$3&lt;&gt;3),"",IF(AND('Choix pédagogiques'!$C$3=3,$B307&lt;&gt;"",$C307&lt;&gt;"",$D307&lt;&gt;"",$G307&lt;&gt;"",$H307&lt;&gt;"",$I307&lt;&gt;""),1,0))</f>
        <v/>
      </c>
      <c r="BR307" s="52" t="n">
        <v>957</v>
      </c>
      <c r="BS307" s="52" t="n">
        <v>1025</v>
      </c>
    </row>
    <row r="308" s="54" customFormat="true" ht="18" hidden="false" customHeight="true" outlineLevel="0" collapsed="false">
      <c r="A308" s="57" t="s">
        <v>547</v>
      </c>
      <c r="B308" s="51"/>
      <c r="C308" s="51"/>
      <c r="D308" s="51"/>
      <c r="E308" s="51"/>
      <c r="F308" s="57" t="s">
        <v>548</v>
      </c>
      <c r="G308" s="51"/>
      <c r="H308" s="51"/>
      <c r="I308" s="51"/>
      <c r="J308" s="51"/>
      <c r="K308" s="52" t="str">
        <f aca="false">IF($A308&lt;&gt;"",$A308,"")</f>
        <v>Apprenant 296</v>
      </c>
      <c r="L308" s="53" t="str">
        <f aca="false">IF(AND($B308&lt;&gt;"",$C308&lt;&gt;""),$C308-$B308,"")</f>
        <v/>
      </c>
      <c r="M308" s="53" t="str">
        <f aca="false">IF(AND($B308&lt;&gt;"",$D308&lt;&gt;""),$D308-$B308,"")</f>
        <v/>
      </c>
      <c r="N308" s="53" t="str">
        <f aca="false">IF(AND($C308&lt;&gt;"",$D308&lt;&gt;""),$D308-$C308,"")</f>
        <v/>
      </c>
      <c r="O308" s="53" t="str">
        <f aca="false">IF($E308&lt;&gt;"",$E308,"")</f>
        <v/>
      </c>
      <c r="P308" s="52" t="str">
        <f aca="false">IF($F308&lt;&gt;"",$F308,"")</f>
        <v>Apprenant 296 ou 296'</v>
      </c>
      <c r="Q308" s="53" t="str">
        <f aca="false">IF(AND($G308&lt;&gt;"",$H308&lt;&gt;""),$H308-$G308,"")</f>
        <v/>
      </c>
      <c r="R308" s="53" t="str">
        <f aca="false">IF(AND($G308&lt;&gt;"",$I308&lt;&gt;""),$I308-$G308,"")</f>
        <v/>
      </c>
      <c r="S308" s="53" t="str">
        <f aca="false">IF(AND($H308&lt;&gt;"",$I308&lt;&gt;""),$I308-$H308,"")</f>
        <v/>
      </c>
      <c r="T308" s="53" t="str">
        <f aca="false">IF($J308&lt;&gt;"",$J308,"")</f>
        <v/>
      </c>
      <c r="V308" s="52" t="str">
        <f aca="false">IF($A308&lt;&gt;"",$A308,"")</f>
        <v>Apprenant 296</v>
      </c>
      <c r="W308" s="53" t="str">
        <f aca="false">IF(AND(OR('Choix pédagogiques'!$C$3=1,'Choix pédagogiques'!$C$3=2),$BM308=1),B308,IF(AND('Choix pédagogiques'!$C$3=3,$BO308=1),B308,""))</f>
        <v/>
      </c>
      <c r="X308" s="53" t="str">
        <f aca="false">IF(AND(OR('Choix pédagogiques'!$C$3=1,'Choix pédagogiques'!$C$3=2),$BM308=1),C308,IF(AND('Choix pédagogiques'!$C$3=3,$BO308=1),C308,""))</f>
        <v/>
      </c>
      <c r="Y308" s="53" t="str">
        <f aca="false">IF(AND(OR('Choix pédagogiques'!$C$3=1,'Choix pédagogiques'!$C$3=2),$BM308=1),D308,IF(AND('Choix pédagogiques'!$C$3=3,$BO308=1),D308,""))</f>
        <v/>
      </c>
      <c r="Z308" s="53" t="str">
        <f aca="false">IF($E308&lt;&gt;"",$E308,"")</f>
        <v/>
      </c>
      <c r="AA308" s="52" t="str">
        <f aca="false">IF($F308&lt;&gt;"",$F308,"")</f>
        <v>Apprenant 296 ou 296'</v>
      </c>
      <c r="AB308" s="53" t="str">
        <f aca="false">IF(AND(OR('Choix pédagogiques'!$C$3=1,'Choix pédagogiques'!$C$3=2),$BN308=1),G308,IF(AND('Choix pédagogiques'!$C$3=3,$BO308=1),G308,""))</f>
        <v/>
      </c>
      <c r="AC308" s="53" t="str">
        <f aca="false">IF(AND(OR('Choix pédagogiques'!$C$3=1,'Choix pédagogiques'!$C$3=2),$BN308=1),H308,IF(AND('Choix pédagogiques'!$C$3=3,$BO308=1),H308,""))</f>
        <v/>
      </c>
      <c r="AD308" s="53" t="str">
        <f aca="false">IF(AND(OR('Choix pédagogiques'!$C$3=1,'Choix pédagogiques'!$C$3=2),$BN308=1),I308,IF(AND('Choix pédagogiques'!$C$3=3,$BO308=1),I308,""))</f>
        <v/>
      </c>
      <c r="AE308" s="53" t="str">
        <f aca="false">IF($J308&lt;&gt;"",$J308,"")</f>
        <v/>
      </c>
      <c r="AF308" s="52" t="str">
        <f aca="false">IF($A308&lt;&gt;"",$A308,"")</f>
        <v>Apprenant 296</v>
      </c>
      <c r="AG308" s="53" t="str">
        <f aca="false">IF(AND($W308&lt;&gt;"",$X308&lt;&gt;""),$X308-$W308,"")</f>
        <v/>
      </c>
      <c r="AH308" s="53" t="str">
        <f aca="false">IF(AND($W308&lt;&gt;"",$Y308&lt;&gt;""),$Y308-$W308,"")</f>
        <v/>
      </c>
      <c r="AI308" s="53" t="str">
        <f aca="false">IF(AND($X308&lt;&gt;"",$Y308&lt;&gt;""),$Y308-$X308,"")</f>
        <v/>
      </c>
      <c r="AJ308" s="53" t="str">
        <f aca="false">IF($E308&lt;&gt;"",$E308,"")</f>
        <v/>
      </c>
      <c r="AK308" s="52" t="str">
        <f aca="false">IF($F308&lt;&gt;"",$F308,"")</f>
        <v>Apprenant 296 ou 296'</v>
      </c>
      <c r="AL308" s="53" t="str">
        <f aca="false">IF(AND($AB308&lt;&gt;"",$AC308&lt;&gt;""),$AC308-$AB308,"")</f>
        <v/>
      </c>
      <c r="AM308" s="53" t="str">
        <f aca="false">IF(AND($AB308&lt;&gt;"",$AD308&lt;&gt;""),$AD308-$AB308,"")</f>
        <v/>
      </c>
      <c r="AN308" s="53" t="str">
        <f aca="false">IF(AND($AC308&lt;&gt;"",$AD308&lt;&gt;""),$AD308-$AC308,"")</f>
        <v/>
      </c>
      <c r="AO308" s="53" t="str">
        <f aca="false">IF($J308&lt;&gt;"",$J308,"")</f>
        <v/>
      </c>
      <c r="AQ308" s="52" t="str">
        <f aca="false">IF($A308&lt;&gt;"",$A308,"")</f>
        <v>Apprenant 296</v>
      </c>
      <c r="AR308" s="55" t="str">
        <f aca="false">IF(AND('Choix pédagogiques'!$C$4&lt;&gt;"?",'Choix pédagogiques'!$C$5&lt;&gt;"?",W308&lt;&gt;""),(W308-'Choix pédagogiques'!$C$4)/('Choix pédagogiques'!$C$5-'Choix pédagogiques'!$C$4),"")</f>
        <v/>
      </c>
      <c r="AS308" s="55" t="str">
        <f aca="false">IF(AND('Choix pédagogiques'!$C$4&lt;&gt;"?",'Choix pédagogiques'!$C$5&lt;&gt;"?",X308&lt;&gt;""),(X308-'Choix pédagogiques'!$C$4)/('Choix pédagogiques'!$C$5-'Choix pédagogiques'!$C$4),"")</f>
        <v/>
      </c>
      <c r="AT308" s="55" t="str">
        <f aca="false">IF(AND('Choix pédagogiques'!$C$4&lt;&gt;"?",'Choix pédagogiques'!$C$5&lt;&gt;"?",Y308&lt;&gt;""),(Y308-'Choix pédagogiques'!$C$4)/('Choix pédagogiques'!$C$5-'Choix pédagogiques'!$C$4),"")</f>
        <v/>
      </c>
      <c r="AU308" s="53" t="str">
        <f aca="false">IF($E308&lt;&gt;"",$E308,"")</f>
        <v/>
      </c>
      <c r="AV308" s="52" t="str">
        <f aca="false">IF($F308&lt;&gt;"",$F308,"")</f>
        <v>Apprenant 296 ou 296'</v>
      </c>
      <c r="AW308" s="55" t="str">
        <f aca="false">IF(AND('Choix pédagogiques'!$C$4&lt;&gt;"?",'Choix pédagogiques'!$C$5&lt;&gt;"?",AB308&lt;&gt;""),(AB308-'Choix pédagogiques'!$C$4)/('Choix pédagogiques'!$C$5-'Choix pédagogiques'!$C$4),"")</f>
        <v/>
      </c>
      <c r="AX308" s="55" t="str">
        <f aca="false">IF(AND('Choix pédagogiques'!$C$4&lt;&gt;"?",'Choix pédagogiques'!$C$5&lt;&gt;"?",AC308&lt;&gt;""),(AC308-'Choix pédagogiques'!$C$4)/('Choix pédagogiques'!$C$5-'Choix pédagogiques'!$C$4),"")</f>
        <v/>
      </c>
      <c r="AY308" s="55" t="str">
        <f aca="false">IF(AND('Choix pédagogiques'!$C$4&lt;&gt;"?",'Choix pédagogiques'!$C$5&lt;&gt;"?",AD308&lt;&gt;""),(AD308-'Choix pédagogiques'!$C$4)/('Choix pédagogiques'!$C$5-'Choix pédagogiques'!$C$4),"")</f>
        <v/>
      </c>
      <c r="AZ308" s="53" t="str">
        <f aca="false">IF($J308&lt;&gt;"",$J308,"")</f>
        <v/>
      </c>
      <c r="BA308" s="52" t="str">
        <f aca="false">IF($A308&lt;&gt;"",$A308,"")</f>
        <v>Apprenant 296</v>
      </c>
      <c r="BB308" s="55" t="str">
        <f aca="false">IF(AND($AR308&lt;&gt;"",$AS308&lt;&gt;""),$AS308-$AR308,"")</f>
        <v/>
      </c>
      <c r="BC308" s="55" t="str">
        <f aca="false">IF(AND($AR308&lt;&gt;"",$AT308&lt;&gt;""),$AT308-$AR308,"")</f>
        <v/>
      </c>
      <c r="BD308" s="55" t="str">
        <f aca="false">IF(AND($AS308&lt;&gt;"",$AT308&lt;&gt;""),$AT308-$AS308,"")</f>
        <v/>
      </c>
      <c r="BE308" s="53" t="str">
        <f aca="false">IF($E308&lt;&gt;"",$E308,"")</f>
        <v/>
      </c>
      <c r="BF308" s="52" t="str">
        <f aca="false">IF($F308&lt;&gt;"",$F308,"")</f>
        <v>Apprenant 296 ou 296'</v>
      </c>
      <c r="BG308" s="55" t="str">
        <f aca="false">IF(AND($AW308&lt;&gt;"",$AX308&lt;&gt;""),$AX308-$AW308,"")</f>
        <v/>
      </c>
      <c r="BH308" s="55" t="str">
        <f aca="false">IF(AND($AW308&lt;&gt;"",$AY308&lt;&gt;""),$AY308-$AW308,"")</f>
        <v/>
      </c>
      <c r="BI308" s="55" t="str">
        <f aca="false">IF(AND($AX308&lt;&gt;"",$AY308&lt;&gt;""),$AY308-$AX308,"")</f>
        <v/>
      </c>
      <c r="BJ308" s="53" t="str">
        <f aca="false">IF($J308&lt;&gt;"",$J308,"")</f>
        <v/>
      </c>
      <c r="BL308" s="52"/>
      <c r="BM308" s="52" t="str">
        <f aca="false">IF(OR(COUNT(B308:D1307)=0,AND('Choix pédagogiques'!$C$3&lt;&gt;1,'Choix pédagogiques'!$C$3&lt;&gt;2)),"",IF(AND(OR('Choix pédagogiques'!$C$3=1,'Choix pédagogiques'!$C$3=2),$B308&lt;&gt;"",$C308&lt;&gt;"",$D308&lt;&gt;""),1,0))</f>
        <v/>
      </c>
      <c r="BN308" s="52" t="str">
        <f aca="false">IF(OR(COUNT(G308:I1307)=0,AND('Choix pédagogiques'!$C$3&lt;&gt;1,'Choix pédagogiques'!$C$3&lt;&gt;2)),"",IF(AND(OR('Choix pédagogiques'!$C$3=1,'Choix pédagogiques'!$C$3=2),AND($G308&lt;&gt;"",$H308&lt;&gt;"",$I308&lt;&gt;"")),1,0))</f>
        <v/>
      </c>
      <c r="BO308" s="52" t="str">
        <f aca="false">IF(OR(COUNT(B308:D1307)=0,COUNT(G308:I1307)=0,'Choix pédagogiques'!C$3&lt;&gt;3),"",IF(AND('Choix pédagogiques'!$C$3=3,$B308&lt;&gt;"",$C308&lt;&gt;"",$D308&lt;&gt;"",$G308&lt;&gt;"",$H308&lt;&gt;"",$I308&lt;&gt;""),1,0))</f>
        <v/>
      </c>
      <c r="BR308" s="52" t="n">
        <v>295</v>
      </c>
      <c r="BS308" s="52" t="n">
        <v>1889</v>
      </c>
    </row>
    <row r="309" s="54" customFormat="true" ht="18" hidden="false" customHeight="true" outlineLevel="0" collapsed="false">
      <c r="A309" s="57" t="s">
        <v>549</v>
      </c>
      <c r="B309" s="51"/>
      <c r="C309" s="51"/>
      <c r="D309" s="51"/>
      <c r="E309" s="51"/>
      <c r="F309" s="57" t="s">
        <v>550</v>
      </c>
      <c r="G309" s="51"/>
      <c r="H309" s="51"/>
      <c r="I309" s="51"/>
      <c r="J309" s="51"/>
      <c r="K309" s="52" t="str">
        <f aca="false">IF($A309&lt;&gt;"",$A309,"")</f>
        <v>Apprenant 297</v>
      </c>
      <c r="L309" s="53" t="str">
        <f aca="false">IF(AND($B309&lt;&gt;"",$C309&lt;&gt;""),$C309-$B309,"")</f>
        <v/>
      </c>
      <c r="M309" s="53" t="str">
        <f aca="false">IF(AND($B309&lt;&gt;"",$D309&lt;&gt;""),$D309-$B309,"")</f>
        <v/>
      </c>
      <c r="N309" s="53" t="str">
        <f aca="false">IF(AND($C309&lt;&gt;"",$D309&lt;&gt;""),$D309-$C309,"")</f>
        <v/>
      </c>
      <c r="O309" s="53" t="str">
        <f aca="false">IF($E309&lt;&gt;"",$E309,"")</f>
        <v/>
      </c>
      <c r="P309" s="52" t="str">
        <f aca="false">IF($F309&lt;&gt;"",$F309,"")</f>
        <v>Apprenant 297 ou 297'</v>
      </c>
      <c r="Q309" s="53" t="str">
        <f aca="false">IF(AND($G309&lt;&gt;"",$H309&lt;&gt;""),$H309-$G309,"")</f>
        <v/>
      </c>
      <c r="R309" s="53" t="str">
        <f aca="false">IF(AND($G309&lt;&gt;"",$I309&lt;&gt;""),$I309-$G309,"")</f>
        <v/>
      </c>
      <c r="S309" s="53" t="str">
        <f aca="false">IF(AND($H309&lt;&gt;"",$I309&lt;&gt;""),$I309-$H309,"")</f>
        <v/>
      </c>
      <c r="T309" s="53" t="str">
        <f aca="false">IF($J309&lt;&gt;"",$J309,"")</f>
        <v/>
      </c>
      <c r="V309" s="52" t="str">
        <f aca="false">IF($A309&lt;&gt;"",$A309,"")</f>
        <v>Apprenant 297</v>
      </c>
      <c r="W309" s="53" t="str">
        <f aca="false">IF(AND(OR('Choix pédagogiques'!$C$3=1,'Choix pédagogiques'!$C$3=2),$BM309=1),B309,IF(AND('Choix pédagogiques'!$C$3=3,$BO309=1),B309,""))</f>
        <v/>
      </c>
      <c r="X309" s="53" t="str">
        <f aca="false">IF(AND(OR('Choix pédagogiques'!$C$3=1,'Choix pédagogiques'!$C$3=2),$BM309=1),C309,IF(AND('Choix pédagogiques'!$C$3=3,$BO309=1),C309,""))</f>
        <v/>
      </c>
      <c r="Y309" s="53" t="str">
        <f aca="false">IF(AND(OR('Choix pédagogiques'!$C$3=1,'Choix pédagogiques'!$C$3=2),$BM309=1),D309,IF(AND('Choix pédagogiques'!$C$3=3,$BO309=1),D309,""))</f>
        <v/>
      </c>
      <c r="Z309" s="53" t="str">
        <f aca="false">IF($E309&lt;&gt;"",$E309,"")</f>
        <v/>
      </c>
      <c r="AA309" s="52" t="str">
        <f aca="false">IF($F309&lt;&gt;"",$F309,"")</f>
        <v>Apprenant 297 ou 297'</v>
      </c>
      <c r="AB309" s="53" t="str">
        <f aca="false">IF(AND(OR('Choix pédagogiques'!$C$3=1,'Choix pédagogiques'!$C$3=2),$BN309=1),G309,IF(AND('Choix pédagogiques'!$C$3=3,$BO309=1),G309,""))</f>
        <v/>
      </c>
      <c r="AC309" s="53" t="str">
        <f aca="false">IF(AND(OR('Choix pédagogiques'!$C$3=1,'Choix pédagogiques'!$C$3=2),$BN309=1),H309,IF(AND('Choix pédagogiques'!$C$3=3,$BO309=1),H309,""))</f>
        <v/>
      </c>
      <c r="AD309" s="53" t="str">
        <f aca="false">IF(AND(OR('Choix pédagogiques'!$C$3=1,'Choix pédagogiques'!$C$3=2),$BN309=1),I309,IF(AND('Choix pédagogiques'!$C$3=3,$BO309=1),I309,""))</f>
        <v/>
      </c>
      <c r="AE309" s="53" t="str">
        <f aca="false">IF($J309&lt;&gt;"",$J309,"")</f>
        <v/>
      </c>
      <c r="AF309" s="52" t="str">
        <f aca="false">IF($A309&lt;&gt;"",$A309,"")</f>
        <v>Apprenant 297</v>
      </c>
      <c r="AG309" s="53" t="str">
        <f aca="false">IF(AND($W309&lt;&gt;"",$X309&lt;&gt;""),$X309-$W309,"")</f>
        <v/>
      </c>
      <c r="AH309" s="53" t="str">
        <f aca="false">IF(AND($W309&lt;&gt;"",$Y309&lt;&gt;""),$Y309-$W309,"")</f>
        <v/>
      </c>
      <c r="AI309" s="53" t="str">
        <f aca="false">IF(AND($X309&lt;&gt;"",$Y309&lt;&gt;""),$Y309-$X309,"")</f>
        <v/>
      </c>
      <c r="AJ309" s="53" t="str">
        <f aca="false">IF($E309&lt;&gt;"",$E309,"")</f>
        <v/>
      </c>
      <c r="AK309" s="52" t="str">
        <f aca="false">IF($F309&lt;&gt;"",$F309,"")</f>
        <v>Apprenant 297 ou 297'</v>
      </c>
      <c r="AL309" s="53" t="str">
        <f aca="false">IF(AND($AB309&lt;&gt;"",$AC309&lt;&gt;""),$AC309-$AB309,"")</f>
        <v/>
      </c>
      <c r="AM309" s="53" t="str">
        <f aca="false">IF(AND($AB309&lt;&gt;"",$AD309&lt;&gt;""),$AD309-$AB309,"")</f>
        <v/>
      </c>
      <c r="AN309" s="53" t="str">
        <f aca="false">IF(AND($AC309&lt;&gt;"",$AD309&lt;&gt;""),$AD309-$AC309,"")</f>
        <v/>
      </c>
      <c r="AO309" s="53" t="str">
        <f aca="false">IF($J309&lt;&gt;"",$J309,"")</f>
        <v/>
      </c>
      <c r="AQ309" s="52" t="str">
        <f aca="false">IF($A309&lt;&gt;"",$A309,"")</f>
        <v>Apprenant 297</v>
      </c>
      <c r="AR309" s="55" t="str">
        <f aca="false">IF(AND('Choix pédagogiques'!$C$4&lt;&gt;"?",'Choix pédagogiques'!$C$5&lt;&gt;"?",W309&lt;&gt;""),(W309-'Choix pédagogiques'!$C$4)/('Choix pédagogiques'!$C$5-'Choix pédagogiques'!$C$4),"")</f>
        <v/>
      </c>
      <c r="AS309" s="55" t="str">
        <f aca="false">IF(AND('Choix pédagogiques'!$C$4&lt;&gt;"?",'Choix pédagogiques'!$C$5&lt;&gt;"?",X309&lt;&gt;""),(X309-'Choix pédagogiques'!$C$4)/('Choix pédagogiques'!$C$5-'Choix pédagogiques'!$C$4),"")</f>
        <v/>
      </c>
      <c r="AT309" s="55" t="str">
        <f aca="false">IF(AND('Choix pédagogiques'!$C$4&lt;&gt;"?",'Choix pédagogiques'!$C$5&lt;&gt;"?",Y309&lt;&gt;""),(Y309-'Choix pédagogiques'!$C$4)/('Choix pédagogiques'!$C$5-'Choix pédagogiques'!$C$4),"")</f>
        <v/>
      </c>
      <c r="AU309" s="53" t="str">
        <f aca="false">IF($E309&lt;&gt;"",$E309,"")</f>
        <v/>
      </c>
      <c r="AV309" s="52" t="str">
        <f aca="false">IF($F309&lt;&gt;"",$F309,"")</f>
        <v>Apprenant 297 ou 297'</v>
      </c>
      <c r="AW309" s="55" t="str">
        <f aca="false">IF(AND('Choix pédagogiques'!$C$4&lt;&gt;"?",'Choix pédagogiques'!$C$5&lt;&gt;"?",AB309&lt;&gt;""),(AB309-'Choix pédagogiques'!$C$4)/('Choix pédagogiques'!$C$5-'Choix pédagogiques'!$C$4),"")</f>
        <v/>
      </c>
      <c r="AX309" s="55" t="str">
        <f aca="false">IF(AND('Choix pédagogiques'!$C$4&lt;&gt;"?",'Choix pédagogiques'!$C$5&lt;&gt;"?",AC309&lt;&gt;""),(AC309-'Choix pédagogiques'!$C$4)/('Choix pédagogiques'!$C$5-'Choix pédagogiques'!$C$4),"")</f>
        <v/>
      </c>
      <c r="AY309" s="55" t="str">
        <f aca="false">IF(AND('Choix pédagogiques'!$C$4&lt;&gt;"?",'Choix pédagogiques'!$C$5&lt;&gt;"?",AD309&lt;&gt;""),(AD309-'Choix pédagogiques'!$C$4)/('Choix pédagogiques'!$C$5-'Choix pédagogiques'!$C$4),"")</f>
        <v/>
      </c>
      <c r="AZ309" s="53" t="str">
        <f aca="false">IF($J309&lt;&gt;"",$J309,"")</f>
        <v/>
      </c>
      <c r="BA309" s="52" t="str">
        <f aca="false">IF($A309&lt;&gt;"",$A309,"")</f>
        <v>Apprenant 297</v>
      </c>
      <c r="BB309" s="55" t="str">
        <f aca="false">IF(AND($AR309&lt;&gt;"",$AS309&lt;&gt;""),$AS309-$AR309,"")</f>
        <v/>
      </c>
      <c r="BC309" s="55" t="str">
        <f aca="false">IF(AND($AR309&lt;&gt;"",$AT309&lt;&gt;""),$AT309-$AR309,"")</f>
        <v/>
      </c>
      <c r="BD309" s="55" t="str">
        <f aca="false">IF(AND($AS309&lt;&gt;"",$AT309&lt;&gt;""),$AT309-$AS309,"")</f>
        <v/>
      </c>
      <c r="BE309" s="53" t="str">
        <f aca="false">IF($E309&lt;&gt;"",$E309,"")</f>
        <v/>
      </c>
      <c r="BF309" s="52" t="str">
        <f aca="false">IF($F309&lt;&gt;"",$F309,"")</f>
        <v>Apprenant 297 ou 297'</v>
      </c>
      <c r="BG309" s="55" t="str">
        <f aca="false">IF(AND($AW309&lt;&gt;"",$AX309&lt;&gt;""),$AX309-$AW309,"")</f>
        <v/>
      </c>
      <c r="BH309" s="55" t="str">
        <f aca="false">IF(AND($AW309&lt;&gt;"",$AY309&lt;&gt;""),$AY309-$AW309,"")</f>
        <v/>
      </c>
      <c r="BI309" s="55" t="str">
        <f aca="false">IF(AND($AX309&lt;&gt;"",$AY309&lt;&gt;""),$AY309-$AX309,"")</f>
        <v/>
      </c>
      <c r="BJ309" s="53" t="str">
        <f aca="false">IF($J309&lt;&gt;"",$J309,"")</f>
        <v/>
      </c>
      <c r="BL309" s="52"/>
      <c r="BM309" s="52" t="str">
        <f aca="false">IF(OR(COUNT(B309:D1308)=0,AND('Choix pédagogiques'!$C$3&lt;&gt;1,'Choix pédagogiques'!$C$3&lt;&gt;2)),"",IF(AND(OR('Choix pédagogiques'!$C$3=1,'Choix pédagogiques'!$C$3=2),$B309&lt;&gt;"",$C309&lt;&gt;"",$D309&lt;&gt;""),1,0))</f>
        <v/>
      </c>
      <c r="BN309" s="52" t="str">
        <f aca="false">IF(OR(COUNT(G309:I1308)=0,AND('Choix pédagogiques'!$C$3&lt;&gt;1,'Choix pédagogiques'!$C$3&lt;&gt;2)),"",IF(AND(OR('Choix pédagogiques'!$C$3=1,'Choix pédagogiques'!$C$3=2),AND($G309&lt;&gt;"",$H309&lt;&gt;"",$I309&lt;&gt;"")),1,0))</f>
        <v/>
      </c>
      <c r="BO309" s="52" t="str">
        <f aca="false">IF(OR(COUNT(B309:D1308)=0,COUNT(G309:I1308)=0,'Choix pédagogiques'!C$3&lt;&gt;3),"",IF(AND('Choix pédagogiques'!$C$3=3,$B309&lt;&gt;"",$C309&lt;&gt;"",$D309&lt;&gt;"",$G309&lt;&gt;"",$H309&lt;&gt;"",$I309&lt;&gt;""),1,0))</f>
        <v/>
      </c>
      <c r="BR309" s="52" t="n">
        <v>822</v>
      </c>
      <c r="BS309" s="52" t="n">
        <v>1631</v>
      </c>
    </row>
    <row r="310" s="54" customFormat="true" ht="18" hidden="false" customHeight="true" outlineLevel="0" collapsed="false">
      <c r="A310" s="57" t="s">
        <v>551</v>
      </c>
      <c r="B310" s="51"/>
      <c r="C310" s="51"/>
      <c r="D310" s="51"/>
      <c r="E310" s="51"/>
      <c r="F310" s="57" t="s">
        <v>552</v>
      </c>
      <c r="G310" s="51"/>
      <c r="H310" s="51"/>
      <c r="I310" s="51"/>
      <c r="J310" s="51"/>
      <c r="K310" s="52" t="str">
        <f aca="false">IF($A310&lt;&gt;"",$A310,"")</f>
        <v>Apprenant 298</v>
      </c>
      <c r="L310" s="53" t="str">
        <f aca="false">IF(AND($B310&lt;&gt;"",$C310&lt;&gt;""),$C310-$B310,"")</f>
        <v/>
      </c>
      <c r="M310" s="53" t="str">
        <f aca="false">IF(AND($B310&lt;&gt;"",$D310&lt;&gt;""),$D310-$B310,"")</f>
        <v/>
      </c>
      <c r="N310" s="53" t="str">
        <f aca="false">IF(AND($C310&lt;&gt;"",$D310&lt;&gt;""),$D310-$C310,"")</f>
        <v/>
      </c>
      <c r="O310" s="53" t="str">
        <f aca="false">IF($E310&lt;&gt;"",$E310,"")</f>
        <v/>
      </c>
      <c r="P310" s="52" t="str">
        <f aca="false">IF($F310&lt;&gt;"",$F310,"")</f>
        <v>Apprenant 298 ou 298'</v>
      </c>
      <c r="Q310" s="53" t="str">
        <f aca="false">IF(AND($G310&lt;&gt;"",$H310&lt;&gt;""),$H310-$G310,"")</f>
        <v/>
      </c>
      <c r="R310" s="53" t="str">
        <f aca="false">IF(AND($G310&lt;&gt;"",$I310&lt;&gt;""),$I310-$G310,"")</f>
        <v/>
      </c>
      <c r="S310" s="53" t="str">
        <f aca="false">IF(AND($H310&lt;&gt;"",$I310&lt;&gt;""),$I310-$H310,"")</f>
        <v/>
      </c>
      <c r="T310" s="53" t="str">
        <f aca="false">IF($J310&lt;&gt;"",$J310,"")</f>
        <v/>
      </c>
      <c r="V310" s="52" t="str">
        <f aca="false">IF($A310&lt;&gt;"",$A310,"")</f>
        <v>Apprenant 298</v>
      </c>
      <c r="W310" s="53" t="str">
        <f aca="false">IF(AND(OR('Choix pédagogiques'!$C$3=1,'Choix pédagogiques'!$C$3=2),$BM310=1),B310,IF(AND('Choix pédagogiques'!$C$3=3,$BO310=1),B310,""))</f>
        <v/>
      </c>
      <c r="X310" s="53" t="str">
        <f aca="false">IF(AND(OR('Choix pédagogiques'!$C$3=1,'Choix pédagogiques'!$C$3=2),$BM310=1),C310,IF(AND('Choix pédagogiques'!$C$3=3,$BO310=1),C310,""))</f>
        <v/>
      </c>
      <c r="Y310" s="53" t="str">
        <f aca="false">IF(AND(OR('Choix pédagogiques'!$C$3=1,'Choix pédagogiques'!$C$3=2),$BM310=1),D310,IF(AND('Choix pédagogiques'!$C$3=3,$BO310=1),D310,""))</f>
        <v/>
      </c>
      <c r="Z310" s="53" t="str">
        <f aca="false">IF($E310&lt;&gt;"",$E310,"")</f>
        <v/>
      </c>
      <c r="AA310" s="52" t="str">
        <f aca="false">IF($F310&lt;&gt;"",$F310,"")</f>
        <v>Apprenant 298 ou 298'</v>
      </c>
      <c r="AB310" s="53" t="str">
        <f aca="false">IF(AND(OR('Choix pédagogiques'!$C$3=1,'Choix pédagogiques'!$C$3=2),$BN310=1),G310,IF(AND('Choix pédagogiques'!$C$3=3,$BO310=1),G310,""))</f>
        <v/>
      </c>
      <c r="AC310" s="53" t="str">
        <f aca="false">IF(AND(OR('Choix pédagogiques'!$C$3=1,'Choix pédagogiques'!$C$3=2),$BN310=1),H310,IF(AND('Choix pédagogiques'!$C$3=3,$BO310=1),H310,""))</f>
        <v/>
      </c>
      <c r="AD310" s="53" t="str">
        <f aca="false">IF(AND(OR('Choix pédagogiques'!$C$3=1,'Choix pédagogiques'!$C$3=2),$BN310=1),I310,IF(AND('Choix pédagogiques'!$C$3=3,$BO310=1),I310,""))</f>
        <v/>
      </c>
      <c r="AE310" s="53" t="str">
        <f aca="false">IF($J310&lt;&gt;"",$J310,"")</f>
        <v/>
      </c>
      <c r="AF310" s="52" t="str">
        <f aca="false">IF($A310&lt;&gt;"",$A310,"")</f>
        <v>Apprenant 298</v>
      </c>
      <c r="AG310" s="53" t="str">
        <f aca="false">IF(AND($W310&lt;&gt;"",$X310&lt;&gt;""),$X310-$W310,"")</f>
        <v/>
      </c>
      <c r="AH310" s="53" t="str">
        <f aca="false">IF(AND($W310&lt;&gt;"",$Y310&lt;&gt;""),$Y310-$W310,"")</f>
        <v/>
      </c>
      <c r="AI310" s="53" t="str">
        <f aca="false">IF(AND($X310&lt;&gt;"",$Y310&lt;&gt;""),$Y310-$X310,"")</f>
        <v/>
      </c>
      <c r="AJ310" s="53" t="str">
        <f aca="false">IF($E310&lt;&gt;"",$E310,"")</f>
        <v/>
      </c>
      <c r="AK310" s="52" t="str">
        <f aca="false">IF($F310&lt;&gt;"",$F310,"")</f>
        <v>Apprenant 298 ou 298'</v>
      </c>
      <c r="AL310" s="53" t="str">
        <f aca="false">IF(AND($AB310&lt;&gt;"",$AC310&lt;&gt;""),$AC310-$AB310,"")</f>
        <v/>
      </c>
      <c r="AM310" s="53" t="str">
        <f aca="false">IF(AND($AB310&lt;&gt;"",$AD310&lt;&gt;""),$AD310-$AB310,"")</f>
        <v/>
      </c>
      <c r="AN310" s="53" t="str">
        <f aca="false">IF(AND($AC310&lt;&gt;"",$AD310&lt;&gt;""),$AD310-$AC310,"")</f>
        <v/>
      </c>
      <c r="AO310" s="53" t="str">
        <f aca="false">IF($J310&lt;&gt;"",$J310,"")</f>
        <v/>
      </c>
      <c r="AQ310" s="52" t="str">
        <f aca="false">IF($A310&lt;&gt;"",$A310,"")</f>
        <v>Apprenant 298</v>
      </c>
      <c r="AR310" s="55" t="str">
        <f aca="false">IF(AND('Choix pédagogiques'!$C$4&lt;&gt;"?",'Choix pédagogiques'!$C$5&lt;&gt;"?",W310&lt;&gt;""),(W310-'Choix pédagogiques'!$C$4)/('Choix pédagogiques'!$C$5-'Choix pédagogiques'!$C$4),"")</f>
        <v/>
      </c>
      <c r="AS310" s="55" t="str">
        <f aca="false">IF(AND('Choix pédagogiques'!$C$4&lt;&gt;"?",'Choix pédagogiques'!$C$5&lt;&gt;"?",X310&lt;&gt;""),(X310-'Choix pédagogiques'!$C$4)/('Choix pédagogiques'!$C$5-'Choix pédagogiques'!$C$4),"")</f>
        <v/>
      </c>
      <c r="AT310" s="55" t="str">
        <f aca="false">IF(AND('Choix pédagogiques'!$C$4&lt;&gt;"?",'Choix pédagogiques'!$C$5&lt;&gt;"?",Y310&lt;&gt;""),(Y310-'Choix pédagogiques'!$C$4)/('Choix pédagogiques'!$C$5-'Choix pédagogiques'!$C$4),"")</f>
        <v/>
      </c>
      <c r="AU310" s="53" t="str">
        <f aca="false">IF($E310&lt;&gt;"",$E310,"")</f>
        <v/>
      </c>
      <c r="AV310" s="52" t="str">
        <f aca="false">IF($F310&lt;&gt;"",$F310,"")</f>
        <v>Apprenant 298 ou 298'</v>
      </c>
      <c r="AW310" s="55" t="str">
        <f aca="false">IF(AND('Choix pédagogiques'!$C$4&lt;&gt;"?",'Choix pédagogiques'!$C$5&lt;&gt;"?",AB310&lt;&gt;""),(AB310-'Choix pédagogiques'!$C$4)/('Choix pédagogiques'!$C$5-'Choix pédagogiques'!$C$4),"")</f>
        <v/>
      </c>
      <c r="AX310" s="55" t="str">
        <f aca="false">IF(AND('Choix pédagogiques'!$C$4&lt;&gt;"?",'Choix pédagogiques'!$C$5&lt;&gt;"?",AC310&lt;&gt;""),(AC310-'Choix pédagogiques'!$C$4)/('Choix pédagogiques'!$C$5-'Choix pédagogiques'!$C$4),"")</f>
        <v/>
      </c>
      <c r="AY310" s="55" t="str">
        <f aca="false">IF(AND('Choix pédagogiques'!$C$4&lt;&gt;"?",'Choix pédagogiques'!$C$5&lt;&gt;"?",AD310&lt;&gt;""),(AD310-'Choix pédagogiques'!$C$4)/('Choix pédagogiques'!$C$5-'Choix pédagogiques'!$C$4),"")</f>
        <v/>
      </c>
      <c r="AZ310" s="53" t="str">
        <f aca="false">IF($J310&lt;&gt;"",$J310,"")</f>
        <v/>
      </c>
      <c r="BA310" s="52" t="str">
        <f aca="false">IF($A310&lt;&gt;"",$A310,"")</f>
        <v>Apprenant 298</v>
      </c>
      <c r="BB310" s="55" t="str">
        <f aca="false">IF(AND($AR310&lt;&gt;"",$AS310&lt;&gt;""),$AS310-$AR310,"")</f>
        <v/>
      </c>
      <c r="BC310" s="55" t="str">
        <f aca="false">IF(AND($AR310&lt;&gt;"",$AT310&lt;&gt;""),$AT310-$AR310,"")</f>
        <v/>
      </c>
      <c r="BD310" s="55" t="str">
        <f aca="false">IF(AND($AS310&lt;&gt;"",$AT310&lt;&gt;""),$AT310-$AS310,"")</f>
        <v/>
      </c>
      <c r="BE310" s="53" t="str">
        <f aca="false">IF($E310&lt;&gt;"",$E310,"")</f>
        <v/>
      </c>
      <c r="BF310" s="52" t="str">
        <f aca="false">IF($F310&lt;&gt;"",$F310,"")</f>
        <v>Apprenant 298 ou 298'</v>
      </c>
      <c r="BG310" s="55" t="str">
        <f aca="false">IF(AND($AW310&lt;&gt;"",$AX310&lt;&gt;""),$AX310-$AW310,"")</f>
        <v/>
      </c>
      <c r="BH310" s="55" t="str">
        <f aca="false">IF(AND($AW310&lt;&gt;"",$AY310&lt;&gt;""),$AY310-$AW310,"")</f>
        <v/>
      </c>
      <c r="BI310" s="55" t="str">
        <f aca="false">IF(AND($AX310&lt;&gt;"",$AY310&lt;&gt;""),$AY310-$AX310,"")</f>
        <v/>
      </c>
      <c r="BJ310" s="53" t="str">
        <f aca="false">IF($J310&lt;&gt;"",$J310,"")</f>
        <v/>
      </c>
      <c r="BL310" s="52"/>
      <c r="BM310" s="52" t="str">
        <f aca="false">IF(OR(COUNT(B310:D1309)=0,AND('Choix pédagogiques'!$C$3&lt;&gt;1,'Choix pédagogiques'!$C$3&lt;&gt;2)),"",IF(AND(OR('Choix pédagogiques'!$C$3=1,'Choix pédagogiques'!$C$3=2),$B310&lt;&gt;"",$C310&lt;&gt;"",$D310&lt;&gt;""),1,0))</f>
        <v/>
      </c>
      <c r="BN310" s="52" t="str">
        <f aca="false">IF(OR(COUNT(G310:I1309)=0,AND('Choix pédagogiques'!$C$3&lt;&gt;1,'Choix pédagogiques'!$C$3&lt;&gt;2)),"",IF(AND(OR('Choix pédagogiques'!$C$3=1,'Choix pédagogiques'!$C$3=2),AND($G310&lt;&gt;"",$H310&lt;&gt;"",$I310&lt;&gt;"")),1,0))</f>
        <v/>
      </c>
      <c r="BO310" s="52" t="str">
        <f aca="false">IF(OR(COUNT(B310:D1309)=0,COUNT(G310:I1309)=0,'Choix pédagogiques'!C$3&lt;&gt;3),"",IF(AND('Choix pédagogiques'!$C$3=3,$B310&lt;&gt;"",$C310&lt;&gt;"",$D310&lt;&gt;"",$G310&lt;&gt;"",$H310&lt;&gt;"",$I310&lt;&gt;""),1,0))</f>
        <v/>
      </c>
      <c r="BR310" s="52" t="n">
        <v>700</v>
      </c>
      <c r="BS310" s="52" t="n">
        <v>1750</v>
      </c>
    </row>
    <row r="311" s="54" customFormat="true" ht="18" hidden="false" customHeight="true" outlineLevel="0" collapsed="false">
      <c r="A311" s="57" t="s">
        <v>553</v>
      </c>
      <c r="B311" s="51"/>
      <c r="C311" s="51"/>
      <c r="D311" s="51"/>
      <c r="E311" s="51"/>
      <c r="F311" s="57" t="s">
        <v>554</v>
      </c>
      <c r="G311" s="51"/>
      <c r="H311" s="51"/>
      <c r="I311" s="51"/>
      <c r="J311" s="51"/>
      <c r="K311" s="52" t="str">
        <f aca="false">IF($A311&lt;&gt;"",$A311,"")</f>
        <v>Apprenant 299</v>
      </c>
      <c r="L311" s="53" t="str">
        <f aca="false">IF(AND($B311&lt;&gt;"",$C311&lt;&gt;""),$C311-$B311,"")</f>
        <v/>
      </c>
      <c r="M311" s="53" t="str">
        <f aca="false">IF(AND($B311&lt;&gt;"",$D311&lt;&gt;""),$D311-$B311,"")</f>
        <v/>
      </c>
      <c r="N311" s="53" t="str">
        <f aca="false">IF(AND($C311&lt;&gt;"",$D311&lt;&gt;""),$D311-$C311,"")</f>
        <v/>
      </c>
      <c r="O311" s="53" t="str">
        <f aca="false">IF($E311&lt;&gt;"",$E311,"")</f>
        <v/>
      </c>
      <c r="P311" s="52" t="str">
        <f aca="false">IF($F311&lt;&gt;"",$F311,"")</f>
        <v>Apprenant 299 ou 299'</v>
      </c>
      <c r="Q311" s="53" t="str">
        <f aca="false">IF(AND($G311&lt;&gt;"",$H311&lt;&gt;""),$H311-$G311,"")</f>
        <v/>
      </c>
      <c r="R311" s="53" t="str">
        <f aca="false">IF(AND($G311&lt;&gt;"",$I311&lt;&gt;""),$I311-$G311,"")</f>
        <v/>
      </c>
      <c r="S311" s="53" t="str">
        <f aca="false">IF(AND($H311&lt;&gt;"",$I311&lt;&gt;""),$I311-$H311,"")</f>
        <v/>
      </c>
      <c r="T311" s="53" t="str">
        <f aca="false">IF($J311&lt;&gt;"",$J311,"")</f>
        <v/>
      </c>
      <c r="V311" s="52" t="str">
        <f aca="false">IF($A311&lt;&gt;"",$A311,"")</f>
        <v>Apprenant 299</v>
      </c>
      <c r="W311" s="53" t="str">
        <f aca="false">IF(AND(OR('Choix pédagogiques'!$C$3=1,'Choix pédagogiques'!$C$3=2),$BM311=1),B311,IF(AND('Choix pédagogiques'!$C$3=3,$BO311=1),B311,""))</f>
        <v/>
      </c>
      <c r="X311" s="53" t="str">
        <f aca="false">IF(AND(OR('Choix pédagogiques'!$C$3=1,'Choix pédagogiques'!$C$3=2),$BM311=1),C311,IF(AND('Choix pédagogiques'!$C$3=3,$BO311=1),C311,""))</f>
        <v/>
      </c>
      <c r="Y311" s="53" t="str">
        <f aca="false">IF(AND(OR('Choix pédagogiques'!$C$3=1,'Choix pédagogiques'!$C$3=2),$BM311=1),D311,IF(AND('Choix pédagogiques'!$C$3=3,$BO311=1),D311,""))</f>
        <v/>
      </c>
      <c r="Z311" s="53" t="str">
        <f aca="false">IF($E311&lt;&gt;"",$E311,"")</f>
        <v/>
      </c>
      <c r="AA311" s="52" t="str">
        <f aca="false">IF($F311&lt;&gt;"",$F311,"")</f>
        <v>Apprenant 299 ou 299'</v>
      </c>
      <c r="AB311" s="53" t="str">
        <f aca="false">IF(AND(OR('Choix pédagogiques'!$C$3=1,'Choix pédagogiques'!$C$3=2),$BN311=1),G311,IF(AND('Choix pédagogiques'!$C$3=3,$BO311=1),G311,""))</f>
        <v/>
      </c>
      <c r="AC311" s="53" t="str">
        <f aca="false">IF(AND(OR('Choix pédagogiques'!$C$3=1,'Choix pédagogiques'!$C$3=2),$BN311=1),H311,IF(AND('Choix pédagogiques'!$C$3=3,$BO311=1),H311,""))</f>
        <v/>
      </c>
      <c r="AD311" s="53" t="str">
        <f aca="false">IF(AND(OR('Choix pédagogiques'!$C$3=1,'Choix pédagogiques'!$C$3=2),$BN311=1),I311,IF(AND('Choix pédagogiques'!$C$3=3,$BO311=1),I311,""))</f>
        <v/>
      </c>
      <c r="AE311" s="53" t="str">
        <f aca="false">IF($J311&lt;&gt;"",$J311,"")</f>
        <v/>
      </c>
      <c r="AF311" s="52" t="str">
        <f aca="false">IF($A311&lt;&gt;"",$A311,"")</f>
        <v>Apprenant 299</v>
      </c>
      <c r="AG311" s="53" t="str">
        <f aca="false">IF(AND($W311&lt;&gt;"",$X311&lt;&gt;""),$X311-$W311,"")</f>
        <v/>
      </c>
      <c r="AH311" s="53" t="str">
        <f aca="false">IF(AND($W311&lt;&gt;"",$Y311&lt;&gt;""),$Y311-$W311,"")</f>
        <v/>
      </c>
      <c r="AI311" s="53" t="str">
        <f aca="false">IF(AND($X311&lt;&gt;"",$Y311&lt;&gt;""),$Y311-$X311,"")</f>
        <v/>
      </c>
      <c r="AJ311" s="53" t="str">
        <f aca="false">IF($E311&lt;&gt;"",$E311,"")</f>
        <v/>
      </c>
      <c r="AK311" s="52" t="str">
        <f aca="false">IF($F311&lt;&gt;"",$F311,"")</f>
        <v>Apprenant 299 ou 299'</v>
      </c>
      <c r="AL311" s="53" t="str">
        <f aca="false">IF(AND($AB311&lt;&gt;"",$AC311&lt;&gt;""),$AC311-$AB311,"")</f>
        <v/>
      </c>
      <c r="AM311" s="53" t="str">
        <f aca="false">IF(AND($AB311&lt;&gt;"",$AD311&lt;&gt;""),$AD311-$AB311,"")</f>
        <v/>
      </c>
      <c r="AN311" s="53" t="str">
        <f aca="false">IF(AND($AC311&lt;&gt;"",$AD311&lt;&gt;""),$AD311-$AC311,"")</f>
        <v/>
      </c>
      <c r="AO311" s="53" t="str">
        <f aca="false">IF($J311&lt;&gt;"",$J311,"")</f>
        <v/>
      </c>
      <c r="AQ311" s="52" t="str">
        <f aca="false">IF($A311&lt;&gt;"",$A311,"")</f>
        <v>Apprenant 299</v>
      </c>
      <c r="AR311" s="55" t="str">
        <f aca="false">IF(AND('Choix pédagogiques'!$C$4&lt;&gt;"?",'Choix pédagogiques'!$C$5&lt;&gt;"?",W311&lt;&gt;""),(W311-'Choix pédagogiques'!$C$4)/('Choix pédagogiques'!$C$5-'Choix pédagogiques'!$C$4),"")</f>
        <v/>
      </c>
      <c r="AS311" s="55" t="str">
        <f aca="false">IF(AND('Choix pédagogiques'!$C$4&lt;&gt;"?",'Choix pédagogiques'!$C$5&lt;&gt;"?",X311&lt;&gt;""),(X311-'Choix pédagogiques'!$C$4)/('Choix pédagogiques'!$C$5-'Choix pédagogiques'!$C$4),"")</f>
        <v/>
      </c>
      <c r="AT311" s="55" t="str">
        <f aca="false">IF(AND('Choix pédagogiques'!$C$4&lt;&gt;"?",'Choix pédagogiques'!$C$5&lt;&gt;"?",Y311&lt;&gt;""),(Y311-'Choix pédagogiques'!$C$4)/('Choix pédagogiques'!$C$5-'Choix pédagogiques'!$C$4),"")</f>
        <v/>
      </c>
      <c r="AU311" s="53" t="str">
        <f aca="false">IF($E311&lt;&gt;"",$E311,"")</f>
        <v/>
      </c>
      <c r="AV311" s="52" t="str">
        <f aca="false">IF($F311&lt;&gt;"",$F311,"")</f>
        <v>Apprenant 299 ou 299'</v>
      </c>
      <c r="AW311" s="55" t="str">
        <f aca="false">IF(AND('Choix pédagogiques'!$C$4&lt;&gt;"?",'Choix pédagogiques'!$C$5&lt;&gt;"?",AB311&lt;&gt;""),(AB311-'Choix pédagogiques'!$C$4)/('Choix pédagogiques'!$C$5-'Choix pédagogiques'!$C$4),"")</f>
        <v/>
      </c>
      <c r="AX311" s="55" t="str">
        <f aca="false">IF(AND('Choix pédagogiques'!$C$4&lt;&gt;"?",'Choix pédagogiques'!$C$5&lt;&gt;"?",AC311&lt;&gt;""),(AC311-'Choix pédagogiques'!$C$4)/('Choix pédagogiques'!$C$5-'Choix pédagogiques'!$C$4),"")</f>
        <v/>
      </c>
      <c r="AY311" s="55" t="str">
        <f aca="false">IF(AND('Choix pédagogiques'!$C$4&lt;&gt;"?",'Choix pédagogiques'!$C$5&lt;&gt;"?",AD311&lt;&gt;""),(AD311-'Choix pédagogiques'!$C$4)/('Choix pédagogiques'!$C$5-'Choix pédagogiques'!$C$4),"")</f>
        <v/>
      </c>
      <c r="AZ311" s="53" t="str">
        <f aca="false">IF($J311&lt;&gt;"",$J311,"")</f>
        <v/>
      </c>
      <c r="BA311" s="52" t="str">
        <f aca="false">IF($A311&lt;&gt;"",$A311,"")</f>
        <v>Apprenant 299</v>
      </c>
      <c r="BB311" s="55" t="str">
        <f aca="false">IF(AND($AR311&lt;&gt;"",$AS311&lt;&gt;""),$AS311-$AR311,"")</f>
        <v/>
      </c>
      <c r="BC311" s="55" t="str">
        <f aca="false">IF(AND($AR311&lt;&gt;"",$AT311&lt;&gt;""),$AT311-$AR311,"")</f>
        <v/>
      </c>
      <c r="BD311" s="55" t="str">
        <f aca="false">IF(AND($AS311&lt;&gt;"",$AT311&lt;&gt;""),$AT311-$AS311,"")</f>
        <v/>
      </c>
      <c r="BE311" s="53" t="str">
        <f aca="false">IF($E311&lt;&gt;"",$E311,"")</f>
        <v/>
      </c>
      <c r="BF311" s="52" t="str">
        <f aca="false">IF($F311&lt;&gt;"",$F311,"")</f>
        <v>Apprenant 299 ou 299'</v>
      </c>
      <c r="BG311" s="55" t="str">
        <f aca="false">IF(AND($AW311&lt;&gt;"",$AX311&lt;&gt;""),$AX311-$AW311,"")</f>
        <v/>
      </c>
      <c r="BH311" s="55" t="str">
        <f aca="false">IF(AND($AW311&lt;&gt;"",$AY311&lt;&gt;""),$AY311-$AW311,"")</f>
        <v/>
      </c>
      <c r="BI311" s="55" t="str">
        <f aca="false">IF(AND($AX311&lt;&gt;"",$AY311&lt;&gt;""),$AY311-$AX311,"")</f>
        <v/>
      </c>
      <c r="BJ311" s="53" t="str">
        <f aca="false">IF($J311&lt;&gt;"",$J311,"")</f>
        <v/>
      </c>
      <c r="BL311" s="52"/>
      <c r="BM311" s="52" t="str">
        <f aca="false">IF(OR(COUNT(B311:D1310)=0,AND('Choix pédagogiques'!$C$3&lt;&gt;1,'Choix pédagogiques'!$C$3&lt;&gt;2)),"",IF(AND(OR('Choix pédagogiques'!$C$3=1,'Choix pédagogiques'!$C$3=2),$B311&lt;&gt;"",$C311&lt;&gt;"",$D311&lt;&gt;""),1,0))</f>
        <v/>
      </c>
      <c r="BN311" s="52" t="str">
        <f aca="false">IF(OR(COUNT(G311:I1310)=0,AND('Choix pédagogiques'!$C$3&lt;&gt;1,'Choix pédagogiques'!$C$3&lt;&gt;2)),"",IF(AND(OR('Choix pédagogiques'!$C$3=1,'Choix pédagogiques'!$C$3=2),AND($G311&lt;&gt;"",$H311&lt;&gt;"",$I311&lt;&gt;"")),1,0))</f>
        <v/>
      </c>
      <c r="BO311" s="52" t="str">
        <f aca="false">IF(OR(COUNT(B311:D1310)=0,COUNT(G311:I1310)=0,'Choix pédagogiques'!C$3&lt;&gt;3),"",IF(AND('Choix pédagogiques'!$C$3=3,$B311&lt;&gt;"",$C311&lt;&gt;"",$D311&lt;&gt;"",$G311&lt;&gt;"",$H311&lt;&gt;"",$I311&lt;&gt;""),1,0))</f>
        <v/>
      </c>
      <c r="BR311" s="52" t="n">
        <v>1</v>
      </c>
      <c r="BS311" s="52" t="n">
        <v>1987</v>
      </c>
    </row>
    <row r="312" s="54" customFormat="true" ht="18" hidden="false" customHeight="true" outlineLevel="0" collapsed="false">
      <c r="A312" s="57" t="s">
        <v>555</v>
      </c>
      <c r="B312" s="51"/>
      <c r="C312" s="51"/>
      <c r="D312" s="51"/>
      <c r="E312" s="51"/>
      <c r="F312" s="57" t="s">
        <v>556</v>
      </c>
      <c r="G312" s="51"/>
      <c r="H312" s="51"/>
      <c r="I312" s="51"/>
      <c r="J312" s="51"/>
      <c r="K312" s="52" t="str">
        <f aca="false">IF($A312&lt;&gt;"",$A312,"")</f>
        <v>Apprenant 300</v>
      </c>
      <c r="L312" s="53" t="str">
        <f aca="false">IF(AND($B312&lt;&gt;"",$C312&lt;&gt;""),$C312-$B312,"")</f>
        <v/>
      </c>
      <c r="M312" s="53" t="str">
        <f aca="false">IF(AND($B312&lt;&gt;"",$D312&lt;&gt;""),$D312-$B312,"")</f>
        <v/>
      </c>
      <c r="N312" s="53" t="str">
        <f aca="false">IF(AND($C312&lt;&gt;"",$D312&lt;&gt;""),$D312-$C312,"")</f>
        <v/>
      </c>
      <c r="O312" s="53" t="str">
        <f aca="false">IF($E312&lt;&gt;"",$E312,"")</f>
        <v/>
      </c>
      <c r="P312" s="52" t="str">
        <f aca="false">IF($F312&lt;&gt;"",$F312,"")</f>
        <v>Apprenant 300 ou 300'</v>
      </c>
      <c r="Q312" s="53" t="str">
        <f aca="false">IF(AND($G312&lt;&gt;"",$H312&lt;&gt;""),$H312-$G312,"")</f>
        <v/>
      </c>
      <c r="R312" s="53" t="str">
        <f aca="false">IF(AND($G312&lt;&gt;"",$I312&lt;&gt;""),$I312-$G312,"")</f>
        <v/>
      </c>
      <c r="S312" s="53" t="str">
        <f aca="false">IF(AND($H312&lt;&gt;"",$I312&lt;&gt;""),$I312-$H312,"")</f>
        <v/>
      </c>
      <c r="T312" s="53" t="str">
        <f aca="false">IF($J312&lt;&gt;"",$J312,"")</f>
        <v/>
      </c>
      <c r="V312" s="52" t="str">
        <f aca="false">IF($A312&lt;&gt;"",$A312,"")</f>
        <v>Apprenant 300</v>
      </c>
      <c r="W312" s="53" t="str">
        <f aca="false">IF(AND(OR('Choix pédagogiques'!$C$3=1,'Choix pédagogiques'!$C$3=2),$BM312=1),B312,IF(AND('Choix pédagogiques'!$C$3=3,$BO312=1),B312,""))</f>
        <v/>
      </c>
      <c r="X312" s="53" t="str">
        <f aca="false">IF(AND(OR('Choix pédagogiques'!$C$3=1,'Choix pédagogiques'!$C$3=2),$BM312=1),C312,IF(AND('Choix pédagogiques'!$C$3=3,$BO312=1),C312,""))</f>
        <v/>
      </c>
      <c r="Y312" s="53" t="str">
        <f aca="false">IF(AND(OR('Choix pédagogiques'!$C$3=1,'Choix pédagogiques'!$C$3=2),$BM312=1),D312,IF(AND('Choix pédagogiques'!$C$3=3,$BO312=1),D312,""))</f>
        <v/>
      </c>
      <c r="Z312" s="53" t="str">
        <f aca="false">IF($E312&lt;&gt;"",$E312,"")</f>
        <v/>
      </c>
      <c r="AA312" s="52" t="str">
        <f aca="false">IF($F312&lt;&gt;"",$F312,"")</f>
        <v>Apprenant 300 ou 300'</v>
      </c>
      <c r="AB312" s="53" t="str">
        <f aca="false">IF(AND(OR('Choix pédagogiques'!$C$3=1,'Choix pédagogiques'!$C$3=2),$BN312=1),G312,IF(AND('Choix pédagogiques'!$C$3=3,$BO312=1),G312,""))</f>
        <v/>
      </c>
      <c r="AC312" s="53" t="str">
        <f aca="false">IF(AND(OR('Choix pédagogiques'!$C$3=1,'Choix pédagogiques'!$C$3=2),$BN312=1),H312,IF(AND('Choix pédagogiques'!$C$3=3,$BO312=1),H312,""))</f>
        <v/>
      </c>
      <c r="AD312" s="53" t="str">
        <f aca="false">IF(AND(OR('Choix pédagogiques'!$C$3=1,'Choix pédagogiques'!$C$3=2),$BN312=1),I312,IF(AND('Choix pédagogiques'!$C$3=3,$BO312=1),I312,""))</f>
        <v/>
      </c>
      <c r="AE312" s="53" t="str">
        <f aca="false">IF($J312&lt;&gt;"",$J312,"")</f>
        <v/>
      </c>
      <c r="AF312" s="52" t="str">
        <f aca="false">IF($A312&lt;&gt;"",$A312,"")</f>
        <v>Apprenant 300</v>
      </c>
      <c r="AG312" s="53" t="str">
        <f aca="false">IF(AND($W312&lt;&gt;"",$X312&lt;&gt;""),$X312-$W312,"")</f>
        <v/>
      </c>
      <c r="AH312" s="53" t="str">
        <f aca="false">IF(AND($W312&lt;&gt;"",$Y312&lt;&gt;""),$Y312-$W312,"")</f>
        <v/>
      </c>
      <c r="AI312" s="53" t="str">
        <f aca="false">IF(AND($X312&lt;&gt;"",$Y312&lt;&gt;""),$Y312-$X312,"")</f>
        <v/>
      </c>
      <c r="AJ312" s="53" t="str">
        <f aca="false">IF($E312&lt;&gt;"",$E312,"")</f>
        <v/>
      </c>
      <c r="AK312" s="52" t="str">
        <f aca="false">IF($F312&lt;&gt;"",$F312,"")</f>
        <v>Apprenant 300 ou 300'</v>
      </c>
      <c r="AL312" s="53" t="str">
        <f aca="false">IF(AND($AB312&lt;&gt;"",$AC312&lt;&gt;""),$AC312-$AB312,"")</f>
        <v/>
      </c>
      <c r="AM312" s="53" t="str">
        <f aca="false">IF(AND($AB312&lt;&gt;"",$AD312&lt;&gt;""),$AD312-$AB312,"")</f>
        <v/>
      </c>
      <c r="AN312" s="53" t="str">
        <f aca="false">IF(AND($AC312&lt;&gt;"",$AD312&lt;&gt;""),$AD312-$AC312,"")</f>
        <v/>
      </c>
      <c r="AO312" s="53" t="str">
        <f aca="false">IF($J312&lt;&gt;"",$J312,"")</f>
        <v/>
      </c>
      <c r="AQ312" s="52" t="str">
        <f aca="false">IF($A312&lt;&gt;"",$A312,"")</f>
        <v>Apprenant 300</v>
      </c>
      <c r="AR312" s="55" t="str">
        <f aca="false">IF(AND('Choix pédagogiques'!$C$4&lt;&gt;"?",'Choix pédagogiques'!$C$5&lt;&gt;"?",W312&lt;&gt;""),(W312-'Choix pédagogiques'!$C$4)/('Choix pédagogiques'!$C$5-'Choix pédagogiques'!$C$4),"")</f>
        <v/>
      </c>
      <c r="AS312" s="55" t="str">
        <f aca="false">IF(AND('Choix pédagogiques'!$C$4&lt;&gt;"?",'Choix pédagogiques'!$C$5&lt;&gt;"?",X312&lt;&gt;""),(X312-'Choix pédagogiques'!$C$4)/('Choix pédagogiques'!$C$5-'Choix pédagogiques'!$C$4),"")</f>
        <v/>
      </c>
      <c r="AT312" s="55" t="str">
        <f aca="false">IF(AND('Choix pédagogiques'!$C$4&lt;&gt;"?",'Choix pédagogiques'!$C$5&lt;&gt;"?",Y312&lt;&gt;""),(Y312-'Choix pédagogiques'!$C$4)/('Choix pédagogiques'!$C$5-'Choix pédagogiques'!$C$4),"")</f>
        <v/>
      </c>
      <c r="AU312" s="53" t="str">
        <f aca="false">IF($E312&lt;&gt;"",$E312,"")</f>
        <v/>
      </c>
      <c r="AV312" s="52" t="str">
        <f aca="false">IF($F312&lt;&gt;"",$F312,"")</f>
        <v>Apprenant 300 ou 300'</v>
      </c>
      <c r="AW312" s="55" t="str">
        <f aca="false">IF(AND('Choix pédagogiques'!$C$4&lt;&gt;"?",'Choix pédagogiques'!$C$5&lt;&gt;"?",AB312&lt;&gt;""),(AB312-'Choix pédagogiques'!$C$4)/('Choix pédagogiques'!$C$5-'Choix pédagogiques'!$C$4),"")</f>
        <v/>
      </c>
      <c r="AX312" s="55" t="str">
        <f aca="false">IF(AND('Choix pédagogiques'!$C$4&lt;&gt;"?",'Choix pédagogiques'!$C$5&lt;&gt;"?",AC312&lt;&gt;""),(AC312-'Choix pédagogiques'!$C$4)/('Choix pédagogiques'!$C$5-'Choix pédagogiques'!$C$4),"")</f>
        <v/>
      </c>
      <c r="AY312" s="55" t="str">
        <f aca="false">IF(AND('Choix pédagogiques'!$C$4&lt;&gt;"?",'Choix pédagogiques'!$C$5&lt;&gt;"?",AD312&lt;&gt;""),(AD312-'Choix pédagogiques'!$C$4)/('Choix pédagogiques'!$C$5-'Choix pédagogiques'!$C$4),"")</f>
        <v/>
      </c>
      <c r="AZ312" s="53" t="str">
        <f aca="false">IF($J312&lt;&gt;"",$J312,"")</f>
        <v/>
      </c>
      <c r="BA312" s="52" t="str">
        <f aca="false">IF($A312&lt;&gt;"",$A312,"")</f>
        <v>Apprenant 300</v>
      </c>
      <c r="BB312" s="55" t="str">
        <f aca="false">IF(AND($AR312&lt;&gt;"",$AS312&lt;&gt;""),$AS312-$AR312,"")</f>
        <v/>
      </c>
      <c r="BC312" s="55" t="str">
        <f aca="false">IF(AND($AR312&lt;&gt;"",$AT312&lt;&gt;""),$AT312-$AR312,"")</f>
        <v/>
      </c>
      <c r="BD312" s="55" t="str">
        <f aca="false">IF(AND($AS312&lt;&gt;"",$AT312&lt;&gt;""),$AT312-$AS312,"")</f>
        <v/>
      </c>
      <c r="BE312" s="53" t="str">
        <f aca="false">IF($E312&lt;&gt;"",$E312,"")</f>
        <v/>
      </c>
      <c r="BF312" s="52" t="str">
        <f aca="false">IF($F312&lt;&gt;"",$F312,"")</f>
        <v>Apprenant 300 ou 300'</v>
      </c>
      <c r="BG312" s="55" t="str">
        <f aca="false">IF(AND($AW312&lt;&gt;"",$AX312&lt;&gt;""),$AX312-$AW312,"")</f>
        <v/>
      </c>
      <c r="BH312" s="55" t="str">
        <f aca="false">IF(AND($AW312&lt;&gt;"",$AY312&lt;&gt;""),$AY312-$AW312,"")</f>
        <v/>
      </c>
      <c r="BI312" s="55" t="str">
        <f aca="false">IF(AND($AX312&lt;&gt;"",$AY312&lt;&gt;""),$AY312-$AX312,"")</f>
        <v/>
      </c>
      <c r="BJ312" s="53" t="str">
        <f aca="false">IF($J312&lt;&gt;"",$J312,"")</f>
        <v/>
      </c>
      <c r="BL312" s="52"/>
      <c r="BM312" s="52" t="str">
        <f aca="false">IF(OR(COUNT(B312:D1311)=0,AND('Choix pédagogiques'!$C$3&lt;&gt;1,'Choix pédagogiques'!$C$3&lt;&gt;2)),"",IF(AND(OR('Choix pédagogiques'!$C$3=1,'Choix pédagogiques'!$C$3=2),$B312&lt;&gt;"",$C312&lt;&gt;"",$D312&lt;&gt;""),1,0))</f>
        <v/>
      </c>
      <c r="BN312" s="52" t="str">
        <f aca="false">IF(OR(COUNT(G312:I1311)=0,AND('Choix pédagogiques'!$C$3&lt;&gt;1,'Choix pédagogiques'!$C$3&lt;&gt;2)),"",IF(AND(OR('Choix pédagogiques'!$C$3=1,'Choix pédagogiques'!$C$3=2),AND($G312&lt;&gt;"",$H312&lt;&gt;"",$I312&lt;&gt;"")),1,0))</f>
        <v/>
      </c>
      <c r="BO312" s="52" t="str">
        <f aca="false">IF(OR(COUNT(B312:D1311)=0,COUNT(G312:I1311)=0,'Choix pédagogiques'!C$3&lt;&gt;3),"",IF(AND('Choix pédagogiques'!$C$3=3,$B312&lt;&gt;"",$C312&lt;&gt;"",$D312&lt;&gt;"",$G312&lt;&gt;"",$H312&lt;&gt;"",$I312&lt;&gt;""),1,0))</f>
        <v/>
      </c>
      <c r="BR312" s="52" t="n">
        <v>151</v>
      </c>
      <c r="BS312" s="52" t="n">
        <v>1343</v>
      </c>
    </row>
    <row r="313" s="54" customFormat="true" ht="18" hidden="false" customHeight="true" outlineLevel="0" collapsed="false">
      <c r="A313" s="57" t="s">
        <v>557</v>
      </c>
      <c r="B313" s="51"/>
      <c r="C313" s="51"/>
      <c r="D313" s="51"/>
      <c r="E313" s="51"/>
      <c r="F313" s="57" t="s">
        <v>558</v>
      </c>
      <c r="G313" s="51"/>
      <c r="H313" s="51"/>
      <c r="I313" s="51"/>
      <c r="J313" s="51"/>
      <c r="K313" s="52" t="str">
        <f aca="false">IF($A313&lt;&gt;"",$A313,"")</f>
        <v>Apprenant 301</v>
      </c>
      <c r="L313" s="53" t="str">
        <f aca="false">IF(AND($B313&lt;&gt;"",$C313&lt;&gt;""),$C313-$B313,"")</f>
        <v/>
      </c>
      <c r="M313" s="53" t="str">
        <f aca="false">IF(AND($B313&lt;&gt;"",$D313&lt;&gt;""),$D313-$B313,"")</f>
        <v/>
      </c>
      <c r="N313" s="53" t="str">
        <f aca="false">IF(AND($C313&lt;&gt;"",$D313&lt;&gt;""),$D313-$C313,"")</f>
        <v/>
      </c>
      <c r="O313" s="53" t="str">
        <f aca="false">IF($E313&lt;&gt;"",$E313,"")</f>
        <v/>
      </c>
      <c r="P313" s="52" t="str">
        <f aca="false">IF($F313&lt;&gt;"",$F313,"")</f>
        <v>Apprenant 301 ou 301'</v>
      </c>
      <c r="Q313" s="53" t="str">
        <f aca="false">IF(AND($G313&lt;&gt;"",$H313&lt;&gt;""),$H313-$G313,"")</f>
        <v/>
      </c>
      <c r="R313" s="53" t="str">
        <f aca="false">IF(AND($G313&lt;&gt;"",$I313&lt;&gt;""),$I313-$G313,"")</f>
        <v/>
      </c>
      <c r="S313" s="53" t="str">
        <f aca="false">IF(AND($H313&lt;&gt;"",$I313&lt;&gt;""),$I313-$H313,"")</f>
        <v/>
      </c>
      <c r="T313" s="53" t="str">
        <f aca="false">IF($J313&lt;&gt;"",$J313,"")</f>
        <v/>
      </c>
      <c r="V313" s="52" t="str">
        <f aca="false">IF($A313&lt;&gt;"",$A313,"")</f>
        <v>Apprenant 301</v>
      </c>
      <c r="W313" s="53" t="str">
        <f aca="false">IF(AND(OR('Choix pédagogiques'!$C$3=1,'Choix pédagogiques'!$C$3=2),$BM313=1),B313,IF(AND('Choix pédagogiques'!$C$3=3,$BO313=1),B313,""))</f>
        <v/>
      </c>
      <c r="X313" s="53" t="str">
        <f aca="false">IF(AND(OR('Choix pédagogiques'!$C$3=1,'Choix pédagogiques'!$C$3=2),$BM313=1),C313,IF(AND('Choix pédagogiques'!$C$3=3,$BO313=1),C313,""))</f>
        <v/>
      </c>
      <c r="Y313" s="53" t="str">
        <f aca="false">IF(AND(OR('Choix pédagogiques'!$C$3=1,'Choix pédagogiques'!$C$3=2),$BM313=1),D313,IF(AND('Choix pédagogiques'!$C$3=3,$BO313=1),D313,""))</f>
        <v/>
      </c>
      <c r="Z313" s="53" t="str">
        <f aca="false">IF($E313&lt;&gt;"",$E313,"")</f>
        <v/>
      </c>
      <c r="AA313" s="52" t="str">
        <f aca="false">IF($F313&lt;&gt;"",$F313,"")</f>
        <v>Apprenant 301 ou 301'</v>
      </c>
      <c r="AB313" s="53" t="str">
        <f aca="false">IF(AND(OR('Choix pédagogiques'!$C$3=1,'Choix pédagogiques'!$C$3=2),$BN313=1),G313,IF(AND('Choix pédagogiques'!$C$3=3,$BO313=1),G313,""))</f>
        <v/>
      </c>
      <c r="AC313" s="53" t="str">
        <f aca="false">IF(AND(OR('Choix pédagogiques'!$C$3=1,'Choix pédagogiques'!$C$3=2),$BN313=1),H313,IF(AND('Choix pédagogiques'!$C$3=3,$BO313=1),H313,""))</f>
        <v/>
      </c>
      <c r="AD313" s="53" t="str">
        <f aca="false">IF(AND(OR('Choix pédagogiques'!$C$3=1,'Choix pédagogiques'!$C$3=2),$BN313=1),I313,IF(AND('Choix pédagogiques'!$C$3=3,$BO313=1),I313,""))</f>
        <v/>
      </c>
      <c r="AE313" s="53" t="str">
        <f aca="false">IF($J313&lt;&gt;"",$J313,"")</f>
        <v/>
      </c>
      <c r="AF313" s="52" t="str">
        <f aca="false">IF($A313&lt;&gt;"",$A313,"")</f>
        <v>Apprenant 301</v>
      </c>
      <c r="AG313" s="53" t="str">
        <f aca="false">IF(AND($W313&lt;&gt;"",$X313&lt;&gt;""),$X313-$W313,"")</f>
        <v/>
      </c>
      <c r="AH313" s="53" t="str">
        <f aca="false">IF(AND($W313&lt;&gt;"",$Y313&lt;&gt;""),$Y313-$W313,"")</f>
        <v/>
      </c>
      <c r="AI313" s="53" t="str">
        <f aca="false">IF(AND($X313&lt;&gt;"",$Y313&lt;&gt;""),$Y313-$X313,"")</f>
        <v/>
      </c>
      <c r="AJ313" s="53" t="str">
        <f aca="false">IF($E313&lt;&gt;"",$E313,"")</f>
        <v/>
      </c>
      <c r="AK313" s="52" t="str">
        <f aca="false">IF($F313&lt;&gt;"",$F313,"")</f>
        <v>Apprenant 301 ou 301'</v>
      </c>
      <c r="AL313" s="53" t="str">
        <f aca="false">IF(AND($AB313&lt;&gt;"",$AC313&lt;&gt;""),$AC313-$AB313,"")</f>
        <v/>
      </c>
      <c r="AM313" s="53" t="str">
        <f aca="false">IF(AND($AB313&lt;&gt;"",$AD313&lt;&gt;""),$AD313-$AB313,"")</f>
        <v/>
      </c>
      <c r="AN313" s="53" t="str">
        <f aca="false">IF(AND($AC313&lt;&gt;"",$AD313&lt;&gt;""),$AD313-$AC313,"")</f>
        <v/>
      </c>
      <c r="AO313" s="53" t="str">
        <f aca="false">IF($J313&lt;&gt;"",$J313,"")</f>
        <v/>
      </c>
      <c r="AQ313" s="52" t="str">
        <f aca="false">IF($A313&lt;&gt;"",$A313,"")</f>
        <v>Apprenant 301</v>
      </c>
      <c r="AR313" s="55" t="str">
        <f aca="false">IF(AND('Choix pédagogiques'!$C$4&lt;&gt;"?",'Choix pédagogiques'!$C$5&lt;&gt;"?",W313&lt;&gt;""),(W313-'Choix pédagogiques'!$C$4)/('Choix pédagogiques'!$C$5-'Choix pédagogiques'!$C$4),"")</f>
        <v/>
      </c>
      <c r="AS313" s="55" t="str">
        <f aca="false">IF(AND('Choix pédagogiques'!$C$4&lt;&gt;"?",'Choix pédagogiques'!$C$5&lt;&gt;"?",X313&lt;&gt;""),(X313-'Choix pédagogiques'!$C$4)/('Choix pédagogiques'!$C$5-'Choix pédagogiques'!$C$4),"")</f>
        <v/>
      </c>
      <c r="AT313" s="55" t="str">
        <f aca="false">IF(AND('Choix pédagogiques'!$C$4&lt;&gt;"?",'Choix pédagogiques'!$C$5&lt;&gt;"?",Y313&lt;&gt;""),(Y313-'Choix pédagogiques'!$C$4)/('Choix pédagogiques'!$C$5-'Choix pédagogiques'!$C$4),"")</f>
        <v/>
      </c>
      <c r="AU313" s="53" t="str">
        <f aca="false">IF($E313&lt;&gt;"",$E313,"")</f>
        <v/>
      </c>
      <c r="AV313" s="52" t="str">
        <f aca="false">IF($F313&lt;&gt;"",$F313,"")</f>
        <v>Apprenant 301 ou 301'</v>
      </c>
      <c r="AW313" s="55" t="str">
        <f aca="false">IF(AND('Choix pédagogiques'!$C$4&lt;&gt;"?",'Choix pédagogiques'!$C$5&lt;&gt;"?",AB313&lt;&gt;""),(AB313-'Choix pédagogiques'!$C$4)/('Choix pédagogiques'!$C$5-'Choix pédagogiques'!$C$4),"")</f>
        <v/>
      </c>
      <c r="AX313" s="55" t="str">
        <f aca="false">IF(AND('Choix pédagogiques'!$C$4&lt;&gt;"?",'Choix pédagogiques'!$C$5&lt;&gt;"?",AC313&lt;&gt;""),(AC313-'Choix pédagogiques'!$C$4)/('Choix pédagogiques'!$C$5-'Choix pédagogiques'!$C$4),"")</f>
        <v/>
      </c>
      <c r="AY313" s="55" t="str">
        <f aca="false">IF(AND('Choix pédagogiques'!$C$4&lt;&gt;"?",'Choix pédagogiques'!$C$5&lt;&gt;"?",AD313&lt;&gt;""),(AD313-'Choix pédagogiques'!$C$4)/('Choix pédagogiques'!$C$5-'Choix pédagogiques'!$C$4),"")</f>
        <v/>
      </c>
      <c r="AZ313" s="53" t="str">
        <f aca="false">IF($J313&lt;&gt;"",$J313,"")</f>
        <v/>
      </c>
      <c r="BA313" s="52" t="str">
        <f aca="false">IF($A313&lt;&gt;"",$A313,"")</f>
        <v>Apprenant 301</v>
      </c>
      <c r="BB313" s="55" t="str">
        <f aca="false">IF(AND($AR313&lt;&gt;"",$AS313&lt;&gt;""),$AS313-$AR313,"")</f>
        <v/>
      </c>
      <c r="BC313" s="55" t="str">
        <f aca="false">IF(AND($AR313&lt;&gt;"",$AT313&lt;&gt;""),$AT313-$AR313,"")</f>
        <v/>
      </c>
      <c r="BD313" s="55" t="str">
        <f aca="false">IF(AND($AS313&lt;&gt;"",$AT313&lt;&gt;""),$AT313-$AS313,"")</f>
        <v/>
      </c>
      <c r="BE313" s="53" t="str">
        <f aca="false">IF($E313&lt;&gt;"",$E313,"")</f>
        <v/>
      </c>
      <c r="BF313" s="52" t="str">
        <f aca="false">IF($F313&lt;&gt;"",$F313,"")</f>
        <v>Apprenant 301 ou 301'</v>
      </c>
      <c r="BG313" s="55" t="str">
        <f aca="false">IF(AND($AW313&lt;&gt;"",$AX313&lt;&gt;""),$AX313-$AW313,"")</f>
        <v/>
      </c>
      <c r="BH313" s="55" t="str">
        <f aca="false">IF(AND($AW313&lt;&gt;"",$AY313&lt;&gt;""),$AY313-$AW313,"")</f>
        <v/>
      </c>
      <c r="BI313" s="55" t="str">
        <f aca="false">IF(AND($AX313&lt;&gt;"",$AY313&lt;&gt;""),$AY313-$AX313,"")</f>
        <v/>
      </c>
      <c r="BJ313" s="53" t="str">
        <f aca="false">IF($J313&lt;&gt;"",$J313,"")</f>
        <v/>
      </c>
      <c r="BL313" s="52"/>
      <c r="BM313" s="52" t="str">
        <f aca="false">IF(OR(COUNT(B313:D1312)=0,AND('Choix pédagogiques'!$C$3&lt;&gt;1,'Choix pédagogiques'!$C$3&lt;&gt;2)),"",IF(AND(OR('Choix pédagogiques'!$C$3=1,'Choix pédagogiques'!$C$3=2),$B313&lt;&gt;"",$C313&lt;&gt;"",$D313&lt;&gt;""),1,0))</f>
        <v/>
      </c>
      <c r="BN313" s="52" t="str">
        <f aca="false">IF(OR(COUNT(G313:I1312)=0,AND('Choix pédagogiques'!$C$3&lt;&gt;1,'Choix pédagogiques'!$C$3&lt;&gt;2)),"",IF(AND(OR('Choix pédagogiques'!$C$3=1,'Choix pédagogiques'!$C$3=2),AND($G313&lt;&gt;"",$H313&lt;&gt;"",$I313&lt;&gt;"")),1,0))</f>
        <v/>
      </c>
      <c r="BO313" s="52" t="str">
        <f aca="false">IF(OR(COUNT(B313:D1312)=0,COUNT(G313:I1312)=0,'Choix pédagogiques'!C$3&lt;&gt;3),"",IF(AND('Choix pédagogiques'!$C$3=3,$B313&lt;&gt;"",$C313&lt;&gt;"",$D313&lt;&gt;"",$G313&lt;&gt;"",$H313&lt;&gt;"",$I313&lt;&gt;""),1,0))</f>
        <v/>
      </c>
      <c r="BR313" s="52" t="n">
        <v>741</v>
      </c>
      <c r="BS313" s="52" t="n">
        <v>1969</v>
      </c>
    </row>
    <row r="314" s="54" customFormat="true" ht="18" hidden="false" customHeight="true" outlineLevel="0" collapsed="false">
      <c r="A314" s="57" t="s">
        <v>559</v>
      </c>
      <c r="B314" s="51"/>
      <c r="C314" s="51"/>
      <c r="D314" s="51"/>
      <c r="E314" s="51"/>
      <c r="F314" s="57" t="s">
        <v>560</v>
      </c>
      <c r="G314" s="51"/>
      <c r="H314" s="51"/>
      <c r="I314" s="51"/>
      <c r="J314" s="51"/>
      <c r="K314" s="52" t="str">
        <f aca="false">IF($A314&lt;&gt;"",$A314,"")</f>
        <v>Apprenant 302</v>
      </c>
      <c r="L314" s="53" t="str">
        <f aca="false">IF(AND($B314&lt;&gt;"",$C314&lt;&gt;""),$C314-$B314,"")</f>
        <v/>
      </c>
      <c r="M314" s="53" t="str">
        <f aca="false">IF(AND($B314&lt;&gt;"",$D314&lt;&gt;""),$D314-$B314,"")</f>
        <v/>
      </c>
      <c r="N314" s="53" t="str">
        <f aca="false">IF(AND($C314&lt;&gt;"",$D314&lt;&gt;""),$D314-$C314,"")</f>
        <v/>
      </c>
      <c r="O314" s="53" t="str">
        <f aca="false">IF($E314&lt;&gt;"",$E314,"")</f>
        <v/>
      </c>
      <c r="P314" s="52" t="str">
        <f aca="false">IF($F314&lt;&gt;"",$F314,"")</f>
        <v>Apprenant 302 ou 302'</v>
      </c>
      <c r="Q314" s="53" t="str">
        <f aca="false">IF(AND($G314&lt;&gt;"",$H314&lt;&gt;""),$H314-$G314,"")</f>
        <v/>
      </c>
      <c r="R314" s="53" t="str">
        <f aca="false">IF(AND($G314&lt;&gt;"",$I314&lt;&gt;""),$I314-$G314,"")</f>
        <v/>
      </c>
      <c r="S314" s="53" t="str">
        <f aca="false">IF(AND($H314&lt;&gt;"",$I314&lt;&gt;""),$I314-$H314,"")</f>
        <v/>
      </c>
      <c r="T314" s="53" t="str">
        <f aca="false">IF($J314&lt;&gt;"",$J314,"")</f>
        <v/>
      </c>
      <c r="V314" s="52" t="str">
        <f aca="false">IF($A314&lt;&gt;"",$A314,"")</f>
        <v>Apprenant 302</v>
      </c>
      <c r="W314" s="53" t="str">
        <f aca="false">IF(AND(OR('Choix pédagogiques'!$C$3=1,'Choix pédagogiques'!$C$3=2),$BM314=1),B314,IF(AND('Choix pédagogiques'!$C$3=3,$BO314=1),B314,""))</f>
        <v/>
      </c>
      <c r="X314" s="53" t="str">
        <f aca="false">IF(AND(OR('Choix pédagogiques'!$C$3=1,'Choix pédagogiques'!$C$3=2),$BM314=1),C314,IF(AND('Choix pédagogiques'!$C$3=3,$BO314=1),C314,""))</f>
        <v/>
      </c>
      <c r="Y314" s="53" t="str">
        <f aca="false">IF(AND(OR('Choix pédagogiques'!$C$3=1,'Choix pédagogiques'!$C$3=2),$BM314=1),D314,IF(AND('Choix pédagogiques'!$C$3=3,$BO314=1),D314,""))</f>
        <v/>
      </c>
      <c r="Z314" s="53" t="str">
        <f aca="false">IF($E314&lt;&gt;"",$E314,"")</f>
        <v/>
      </c>
      <c r="AA314" s="52" t="str">
        <f aca="false">IF($F314&lt;&gt;"",$F314,"")</f>
        <v>Apprenant 302 ou 302'</v>
      </c>
      <c r="AB314" s="53" t="str">
        <f aca="false">IF(AND(OR('Choix pédagogiques'!$C$3=1,'Choix pédagogiques'!$C$3=2),$BN314=1),G314,IF(AND('Choix pédagogiques'!$C$3=3,$BO314=1),G314,""))</f>
        <v/>
      </c>
      <c r="AC314" s="53" t="str">
        <f aca="false">IF(AND(OR('Choix pédagogiques'!$C$3=1,'Choix pédagogiques'!$C$3=2),$BN314=1),H314,IF(AND('Choix pédagogiques'!$C$3=3,$BO314=1),H314,""))</f>
        <v/>
      </c>
      <c r="AD314" s="53" t="str">
        <f aca="false">IF(AND(OR('Choix pédagogiques'!$C$3=1,'Choix pédagogiques'!$C$3=2),$BN314=1),I314,IF(AND('Choix pédagogiques'!$C$3=3,$BO314=1),I314,""))</f>
        <v/>
      </c>
      <c r="AE314" s="53" t="str">
        <f aca="false">IF($J314&lt;&gt;"",$J314,"")</f>
        <v/>
      </c>
      <c r="AF314" s="52" t="str">
        <f aca="false">IF($A314&lt;&gt;"",$A314,"")</f>
        <v>Apprenant 302</v>
      </c>
      <c r="AG314" s="53" t="str">
        <f aca="false">IF(AND($W314&lt;&gt;"",$X314&lt;&gt;""),$X314-$W314,"")</f>
        <v/>
      </c>
      <c r="AH314" s="53" t="str">
        <f aca="false">IF(AND($W314&lt;&gt;"",$Y314&lt;&gt;""),$Y314-$W314,"")</f>
        <v/>
      </c>
      <c r="AI314" s="53" t="str">
        <f aca="false">IF(AND($X314&lt;&gt;"",$Y314&lt;&gt;""),$Y314-$X314,"")</f>
        <v/>
      </c>
      <c r="AJ314" s="53" t="str">
        <f aca="false">IF($E314&lt;&gt;"",$E314,"")</f>
        <v/>
      </c>
      <c r="AK314" s="52" t="str">
        <f aca="false">IF($F314&lt;&gt;"",$F314,"")</f>
        <v>Apprenant 302 ou 302'</v>
      </c>
      <c r="AL314" s="53" t="str">
        <f aca="false">IF(AND($AB314&lt;&gt;"",$AC314&lt;&gt;""),$AC314-$AB314,"")</f>
        <v/>
      </c>
      <c r="AM314" s="53" t="str">
        <f aca="false">IF(AND($AB314&lt;&gt;"",$AD314&lt;&gt;""),$AD314-$AB314,"")</f>
        <v/>
      </c>
      <c r="AN314" s="53" t="str">
        <f aca="false">IF(AND($AC314&lt;&gt;"",$AD314&lt;&gt;""),$AD314-$AC314,"")</f>
        <v/>
      </c>
      <c r="AO314" s="53" t="str">
        <f aca="false">IF($J314&lt;&gt;"",$J314,"")</f>
        <v/>
      </c>
      <c r="AQ314" s="52" t="str">
        <f aca="false">IF($A314&lt;&gt;"",$A314,"")</f>
        <v>Apprenant 302</v>
      </c>
      <c r="AR314" s="55" t="str">
        <f aca="false">IF(AND('Choix pédagogiques'!$C$4&lt;&gt;"?",'Choix pédagogiques'!$C$5&lt;&gt;"?",W314&lt;&gt;""),(W314-'Choix pédagogiques'!$C$4)/('Choix pédagogiques'!$C$5-'Choix pédagogiques'!$C$4),"")</f>
        <v/>
      </c>
      <c r="AS314" s="55" t="str">
        <f aca="false">IF(AND('Choix pédagogiques'!$C$4&lt;&gt;"?",'Choix pédagogiques'!$C$5&lt;&gt;"?",X314&lt;&gt;""),(X314-'Choix pédagogiques'!$C$4)/('Choix pédagogiques'!$C$5-'Choix pédagogiques'!$C$4),"")</f>
        <v/>
      </c>
      <c r="AT314" s="55" t="str">
        <f aca="false">IF(AND('Choix pédagogiques'!$C$4&lt;&gt;"?",'Choix pédagogiques'!$C$5&lt;&gt;"?",Y314&lt;&gt;""),(Y314-'Choix pédagogiques'!$C$4)/('Choix pédagogiques'!$C$5-'Choix pédagogiques'!$C$4),"")</f>
        <v/>
      </c>
      <c r="AU314" s="53" t="str">
        <f aca="false">IF($E314&lt;&gt;"",$E314,"")</f>
        <v/>
      </c>
      <c r="AV314" s="52" t="str">
        <f aca="false">IF($F314&lt;&gt;"",$F314,"")</f>
        <v>Apprenant 302 ou 302'</v>
      </c>
      <c r="AW314" s="55" t="str">
        <f aca="false">IF(AND('Choix pédagogiques'!$C$4&lt;&gt;"?",'Choix pédagogiques'!$C$5&lt;&gt;"?",AB314&lt;&gt;""),(AB314-'Choix pédagogiques'!$C$4)/('Choix pédagogiques'!$C$5-'Choix pédagogiques'!$C$4),"")</f>
        <v/>
      </c>
      <c r="AX314" s="55" t="str">
        <f aca="false">IF(AND('Choix pédagogiques'!$C$4&lt;&gt;"?",'Choix pédagogiques'!$C$5&lt;&gt;"?",AC314&lt;&gt;""),(AC314-'Choix pédagogiques'!$C$4)/('Choix pédagogiques'!$C$5-'Choix pédagogiques'!$C$4),"")</f>
        <v/>
      </c>
      <c r="AY314" s="55" t="str">
        <f aca="false">IF(AND('Choix pédagogiques'!$C$4&lt;&gt;"?",'Choix pédagogiques'!$C$5&lt;&gt;"?",AD314&lt;&gt;""),(AD314-'Choix pédagogiques'!$C$4)/('Choix pédagogiques'!$C$5-'Choix pédagogiques'!$C$4),"")</f>
        <v/>
      </c>
      <c r="AZ314" s="53" t="str">
        <f aca="false">IF($J314&lt;&gt;"",$J314,"")</f>
        <v/>
      </c>
      <c r="BA314" s="52" t="str">
        <f aca="false">IF($A314&lt;&gt;"",$A314,"")</f>
        <v>Apprenant 302</v>
      </c>
      <c r="BB314" s="55" t="str">
        <f aca="false">IF(AND($AR314&lt;&gt;"",$AS314&lt;&gt;""),$AS314-$AR314,"")</f>
        <v/>
      </c>
      <c r="BC314" s="55" t="str">
        <f aca="false">IF(AND($AR314&lt;&gt;"",$AT314&lt;&gt;""),$AT314-$AR314,"")</f>
        <v/>
      </c>
      <c r="BD314" s="55" t="str">
        <f aca="false">IF(AND($AS314&lt;&gt;"",$AT314&lt;&gt;""),$AT314-$AS314,"")</f>
        <v/>
      </c>
      <c r="BE314" s="53" t="str">
        <f aca="false">IF($E314&lt;&gt;"",$E314,"")</f>
        <v/>
      </c>
      <c r="BF314" s="52" t="str">
        <f aca="false">IF($F314&lt;&gt;"",$F314,"")</f>
        <v>Apprenant 302 ou 302'</v>
      </c>
      <c r="BG314" s="55" t="str">
        <f aca="false">IF(AND($AW314&lt;&gt;"",$AX314&lt;&gt;""),$AX314-$AW314,"")</f>
        <v/>
      </c>
      <c r="BH314" s="55" t="str">
        <f aca="false">IF(AND($AW314&lt;&gt;"",$AY314&lt;&gt;""),$AY314-$AW314,"")</f>
        <v/>
      </c>
      <c r="BI314" s="55" t="str">
        <f aca="false">IF(AND($AX314&lt;&gt;"",$AY314&lt;&gt;""),$AY314-$AX314,"")</f>
        <v/>
      </c>
      <c r="BJ314" s="53" t="str">
        <f aca="false">IF($J314&lt;&gt;"",$J314,"")</f>
        <v/>
      </c>
      <c r="BL314" s="52"/>
      <c r="BM314" s="52" t="str">
        <f aca="false">IF(OR(COUNT(B314:D1313)=0,AND('Choix pédagogiques'!$C$3&lt;&gt;1,'Choix pédagogiques'!$C$3&lt;&gt;2)),"",IF(AND(OR('Choix pédagogiques'!$C$3=1,'Choix pédagogiques'!$C$3=2),$B314&lt;&gt;"",$C314&lt;&gt;"",$D314&lt;&gt;""),1,0))</f>
        <v/>
      </c>
      <c r="BN314" s="52" t="str">
        <f aca="false">IF(OR(COUNT(G314:I1313)=0,AND('Choix pédagogiques'!$C$3&lt;&gt;1,'Choix pédagogiques'!$C$3&lt;&gt;2)),"",IF(AND(OR('Choix pédagogiques'!$C$3=1,'Choix pédagogiques'!$C$3=2),AND($G314&lt;&gt;"",$H314&lt;&gt;"",$I314&lt;&gt;"")),1,0))</f>
        <v/>
      </c>
      <c r="BO314" s="52" t="str">
        <f aca="false">IF(OR(COUNT(B314:D1313)=0,COUNT(G314:I1313)=0,'Choix pédagogiques'!C$3&lt;&gt;3),"",IF(AND('Choix pédagogiques'!$C$3=3,$B314&lt;&gt;"",$C314&lt;&gt;"",$D314&lt;&gt;"",$G314&lt;&gt;"",$H314&lt;&gt;"",$I314&lt;&gt;""),1,0))</f>
        <v/>
      </c>
      <c r="BR314" s="52" t="n">
        <v>242</v>
      </c>
      <c r="BS314" s="52" t="n">
        <v>1649</v>
      </c>
    </row>
    <row r="315" s="54" customFormat="true" ht="18" hidden="false" customHeight="true" outlineLevel="0" collapsed="false">
      <c r="A315" s="57" t="s">
        <v>561</v>
      </c>
      <c r="B315" s="51"/>
      <c r="C315" s="51"/>
      <c r="D315" s="51"/>
      <c r="E315" s="51"/>
      <c r="F315" s="57" t="s">
        <v>562</v>
      </c>
      <c r="G315" s="51"/>
      <c r="H315" s="51"/>
      <c r="I315" s="51"/>
      <c r="J315" s="51"/>
      <c r="K315" s="52" t="str">
        <f aca="false">IF($A315&lt;&gt;"",$A315,"")</f>
        <v>Apprenant 303</v>
      </c>
      <c r="L315" s="53" t="str">
        <f aca="false">IF(AND($B315&lt;&gt;"",$C315&lt;&gt;""),$C315-$B315,"")</f>
        <v/>
      </c>
      <c r="M315" s="53" t="str">
        <f aca="false">IF(AND($B315&lt;&gt;"",$D315&lt;&gt;""),$D315-$B315,"")</f>
        <v/>
      </c>
      <c r="N315" s="53" t="str">
        <f aca="false">IF(AND($C315&lt;&gt;"",$D315&lt;&gt;""),$D315-$C315,"")</f>
        <v/>
      </c>
      <c r="O315" s="53" t="str">
        <f aca="false">IF($E315&lt;&gt;"",$E315,"")</f>
        <v/>
      </c>
      <c r="P315" s="52" t="str">
        <f aca="false">IF($F315&lt;&gt;"",$F315,"")</f>
        <v>Apprenant 303 ou 303'</v>
      </c>
      <c r="Q315" s="53" t="str">
        <f aca="false">IF(AND($G315&lt;&gt;"",$H315&lt;&gt;""),$H315-$G315,"")</f>
        <v/>
      </c>
      <c r="R315" s="53" t="str">
        <f aca="false">IF(AND($G315&lt;&gt;"",$I315&lt;&gt;""),$I315-$G315,"")</f>
        <v/>
      </c>
      <c r="S315" s="53" t="str">
        <f aca="false">IF(AND($H315&lt;&gt;"",$I315&lt;&gt;""),$I315-$H315,"")</f>
        <v/>
      </c>
      <c r="T315" s="53" t="str">
        <f aca="false">IF($J315&lt;&gt;"",$J315,"")</f>
        <v/>
      </c>
      <c r="V315" s="52" t="str">
        <f aca="false">IF($A315&lt;&gt;"",$A315,"")</f>
        <v>Apprenant 303</v>
      </c>
      <c r="W315" s="53" t="str">
        <f aca="false">IF(AND(OR('Choix pédagogiques'!$C$3=1,'Choix pédagogiques'!$C$3=2),$BM315=1),B315,IF(AND('Choix pédagogiques'!$C$3=3,$BO315=1),B315,""))</f>
        <v/>
      </c>
      <c r="X315" s="53" t="str">
        <f aca="false">IF(AND(OR('Choix pédagogiques'!$C$3=1,'Choix pédagogiques'!$C$3=2),$BM315=1),C315,IF(AND('Choix pédagogiques'!$C$3=3,$BO315=1),C315,""))</f>
        <v/>
      </c>
      <c r="Y315" s="53" t="str">
        <f aca="false">IF(AND(OR('Choix pédagogiques'!$C$3=1,'Choix pédagogiques'!$C$3=2),$BM315=1),D315,IF(AND('Choix pédagogiques'!$C$3=3,$BO315=1),D315,""))</f>
        <v/>
      </c>
      <c r="Z315" s="53" t="str">
        <f aca="false">IF($E315&lt;&gt;"",$E315,"")</f>
        <v/>
      </c>
      <c r="AA315" s="52" t="str">
        <f aca="false">IF($F315&lt;&gt;"",$F315,"")</f>
        <v>Apprenant 303 ou 303'</v>
      </c>
      <c r="AB315" s="53" t="str">
        <f aca="false">IF(AND(OR('Choix pédagogiques'!$C$3=1,'Choix pédagogiques'!$C$3=2),$BN315=1),G315,IF(AND('Choix pédagogiques'!$C$3=3,$BO315=1),G315,""))</f>
        <v/>
      </c>
      <c r="AC315" s="53" t="str">
        <f aca="false">IF(AND(OR('Choix pédagogiques'!$C$3=1,'Choix pédagogiques'!$C$3=2),$BN315=1),H315,IF(AND('Choix pédagogiques'!$C$3=3,$BO315=1),H315,""))</f>
        <v/>
      </c>
      <c r="AD315" s="53" t="str">
        <f aca="false">IF(AND(OR('Choix pédagogiques'!$C$3=1,'Choix pédagogiques'!$C$3=2),$BN315=1),I315,IF(AND('Choix pédagogiques'!$C$3=3,$BO315=1),I315,""))</f>
        <v/>
      </c>
      <c r="AE315" s="53" t="str">
        <f aca="false">IF($J315&lt;&gt;"",$J315,"")</f>
        <v/>
      </c>
      <c r="AF315" s="52" t="str">
        <f aca="false">IF($A315&lt;&gt;"",$A315,"")</f>
        <v>Apprenant 303</v>
      </c>
      <c r="AG315" s="53" t="str">
        <f aca="false">IF(AND($W315&lt;&gt;"",$X315&lt;&gt;""),$X315-$W315,"")</f>
        <v/>
      </c>
      <c r="AH315" s="53" t="str">
        <f aca="false">IF(AND($W315&lt;&gt;"",$Y315&lt;&gt;""),$Y315-$W315,"")</f>
        <v/>
      </c>
      <c r="AI315" s="53" t="str">
        <f aca="false">IF(AND($X315&lt;&gt;"",$Y315&lt;&gt;""),$Y315-$X315,"")</f>
        <v/>
      </c>
      <c r="AJ315" s="53" t="str">
        <f aca="false">IF($E315&lt;&gt;"",$E315,"")</f>
        <v/>
      </c>
      <c r="AK315" s="52" t="str">
        <f aca="false">IF($F315&lt;&gt;"",$F315,"")</f>
        <v>Apprenant 303 ou 303'</v>
      </c>
      <c r="AL315" s="53" t="str">
        <f aca="false">IF(AND($AB315&lt;&gt;"",$AC315&lt;&gt;""),$AC315-$AB315,"")</f>
        <v/>
      </c>
      <c r="AM315" s="53" t="str">
        <f aca="false">IF(AND($AB315&lt;&gt;"",$AD315&lt;&gt;""),$AD315-$AB315,"")</f>
        <v/>
      </c>
      <c r="AN315" s="53" t="str">
        <f aca="false">IF(AND($AC315&lt;&gt;"",$AD315&lt;&gt;""),$AD315-$AC315,"")</f>
        <v/>
      </c>
      <c r="AO315" s="53" t="str">
        <f aca="false">IF($J315&lt;&gt;"",$J315,"")</f>
        <v/>
      </c>
      <c r="AQ315" s="52" t="str">
        <f aca="false">IF($A315&lt;&gt;"",$A315,"")</f>
        <v>Apprenant 303</v>
      </c>
      <c r="AR315" s="55" t="str">
        <f aca="false">IF(AND('Choix pédagogiques'!$C$4&lt;&gt;"?",'Choix pédagogiques'!$C$5&lt;&gt;"?",W315&lt;&gt;""),(W315-'Choix pédagogiques'!$C$4)/('Choix pédagogiques'!$C$5-'Choix pédagogiques'!$C$4),"")</f>
        <v/>
      </c>
      <c r="AS315" s="55" t="str">
        <f aca="false">IF(AND('Choix pédagogiques'!$C$4&lt;&gt;"?",'Choix pédagogiques'!$C$5&lt;&gt;"?",X315&lt;&gt;""),(X315-'Choix pédagogiques'!$C$4)/('Choix pédagogiques'!$C$5-'Choix pédagogiques'!$C$4),"")</f>
        <v/>
      </c>
      <c r="AT315" s="55" t="str">
        <f aca="false">IF(AND('Choix pédagogiques'!$C$4&lt;&gt;"?",'Choix pédagogiques'!$C$5&lt;&gt;"?",Y315&lt;&gt;""),(Y315-'Choix pédagogiques'!$C$4)/('Choix pédagogiques'!$C$5-'Choix pédagogiques'!$C$4),"")</f>
        <v/>
      </c>
      <c r="AU315" s="53" t="str">
        <f aca="false">IF($E315&lt;&gt;"",$E315,"")</f>
        <v/>
      </c>
      <c r="AV315" s="52" t="str">
        <f aca="false">IF($F315&lt;&gt;"",$F315,"")</f>
        <v>Apprenant 303 ou 303'</v>
      </c>
      <c r="AW315" s="55" t="str">
        <f aca="false">IF(AND('Choix pédagogiques'!$C$4&lt;&gt;"?",'Choix pédagogiques'!$C$5&lt;&gt;"?",AB315&lt;&gt;""),(AB315-'Choix pédagogiques'!$C$4)/('Choix pédagogiques'!$C$5-'Choix pédagogiques'!$C$4),"")</f>
        <v/>
      </c>
      <c r="AX315" s="55" t="str">
        <f aca="false">IF(AND('Choix pédagogiques'!$C$4&lt;&gt;"?",'Choix pédagogiques'!$C$5&lt;&gt;"?",AC315&lt;&gt;""),(AC315-'Choix pédagogiques'!$C$4)/('Choix pédagogiques'!$C$5-'Choix pédagogiques'!$C$4),"")</f>
        <v/>
      </c>
      <c r="AY315" s="55" t="str">
        <f aca="false">IF(AND('Choix pédagogiques'!$C$4&lt;&gt;"?",'Choix pédagogiques'!$C$5&lt;&gt;"?",AD315&lt;&gt;""),(AD315-'Choix pédagogiques'!$C$4)/('Choix pédagogiques'!$C$5-'Choix pédagogiques'!$C$4),"")</f>
        <v/>
      </c>
      <c r="AZ315" s="53" t="str">
        <f aca="false">IF($J315&lt;&gt;"",$J315,"")</f>
        <v/>
      </c>
      <c r="BA315" s="52" t="str">
        <f aca="false">IF($A315&lt;&gt;"",$A315,"")</f>
        <v>Apprenant 303</v>
      </c>
      <c r="BB315" s="55" t="str">
        <f aca="false">IF(AND($AR315&lt;&gt;"",$AS315&lt;&gt;""),$AS315-$AR315,"")</f>
        <v/>
      </c>
      <c r="BC315" s="55" t="str">
        <f aca="false">IF(AND($AR315&lt;&gt;"",$AT315&lt;&gt;""),$AT315-$AR315,"")</f>
        <v/>
      </c>
      <c r="BD315" s="55" t="str">
        <f aca="false">IF(AND($AS315&lt;&gt;"",$AT315&lt;&gt;""),$AT315-$AS315,"")</f>
        <v/>
      </c>
      <c r="BE315" s="53" t="str">
        <f aca="false">IF($E315&lt;&gt;"",$E315,"")</f>
        <v/>
      </c>
      <c r="BF315" s="52" t="str">
        <f aca="false">IF($F315&lt;&gt;"",$F315,"")</f>
        <v>Apprenant 303 ou 303'</v>
      </c>
      <c r="BG315" s="55" t="str">
        <f aca="false">IF(AND($AW315&lt;&gt;"",$AX315&lt;&gt;""),$AX315-$AW315,"")</f>
        <v/>
      </c>
      <c r="BH315" s="55" t="str">
        <f aca="false">IF(AND($AW315&lt;&gt;"",$AY315&lt;&gt;""),$AY315-$AW315,"")</f>
        <v/>
      </c>
      <c r="BI315" s="55" t="str">
        <f aca="false">IF(AND($AX315&lt;&gt;"",$AY315&lt;&gt;""),$AY315-$AX315,"")</f>
        <v/>
      </c>
      <c r="BJ315" s="53" t="str">
        <f aca="false">IF($J315&lt;&gt;"",$J315,"")</f>
        <v/>
      </c>
      <c r="BL315" s="52"/>
      <c r="BM315" s="52" t="str">
        <f aca="false">IF(OR(COUNT(B315:D1314)=0,AND('Choix pédagogiques'!$C$3&lt;&gt;1,'Choix pédagogiques'!$C$3&lt;&gt;2)),"",IF(AND(OR('Choix pédagogiques'!$C$3=1,'Choix pédagogiques'!$C$3=2),$B315&lt;&gt;"",$C315&lt;&gt;"",$D315&lt;&gt;""),1,0))</f>
        <v/>
      </c>
      <c r="BN315" s="52" t="str">
        <f aca="false">IF(OR(COUNT(G315:I1314)=0,AND('Choix pédagogiques'!$C$3&lt;&gt;1,'Choix pédagogiques'!$C$3&lt;&gt;2)),"",IF(AND(OR('Choix pédagogiques'!$C$3=1,'Choix pédagogiques'!$C$3=2),AND($G315&lt;&gt;"",$H315&lt;&gt;"",$I315&lt;&gt;"")),1,0))</f>
        <v/>
      </c>
      <c r="BO315" s="52" t="str">
        <f aca="false">IF(OR(COUNT(B315:D1314)=0,COUNT(G315:I1314)=0,'Choix pédagogiques'!C$3&lt;&gt;3),"",IF(AND('Choix pédagogiques'!$C$3=3,$B315&lt;&gt;"",$C315&lt;&gt;"",$D315&lt;&gt;"",$G315&lt;&gt;"",$H315&lt;&gt;"",$I315&lt;&gt;""),1,0))</f>
        <v/>
      </c>
      <c r="BR315" s="52" t="n">
        <v>984</v>
      </c>
      <c r="BS315" s="52" t="n">
        <v>1940</v>
      </c>
    </row>
    <row r="316" s="54" customFormat="true" ht="18" hidden="false" customHeight="true" outlineLevel="0" collapsed="false">
      <c r="A316" s="57" t="s">
        <v>563</v>
      </c>
      <c r="B316" s="51"/>
      <c r="C316" s="51"/>
      <c r="D316" s="51"/>
      <c r="E316" s="51"/>
      <c r="F316" s="57" t="s">
        <v>564</v>
      </c>
      <c r="G316" s="51"/>
      <c r="H316" s="51"/>
      <c r="I316" s="51"/>
      <c r="J316" s="51"/>
      <c r="K316" s="52" t="str">
        <f aca="false">IF($A316&lt;&gt;"",$A316,"")</f>
        <v>Apprenant 304</v>
      </c>
      <c r="L316" s="53" t="str">
        <f aca="false">IF(AND($B316&lt;&gt;"",$C316&lt;&gt;""),$C316-$B316,"")</f>
        <v/>
      </c>
      <c r="M316" s="53" t="str">
        <f aca="false">IF(AND($B316&lt;&gt;"",$D316&lt;&gt;""),$D316-$B316,"")</f>
        <v/>
      </c>
      <c r="N316" s="53" t="str">
        <f aca="false">IF(AND($C316&lt;&gt;"",$D316&lt;&gt;""),$D316-$C316,"")</f>
        <v/>
      </c>
      <c r="O316" s="53" t="str">
        <f aca="false">IF($E316&lt;&gt;"",$E316,"")</f>
        <v/>
      </c>
      <c r="P316" s="52" t="str">
        <f aca="false">IF($F316&lt;&gt;"",$F316,"")</f>
        <v>Apprenant 304 ou 304'</v>
      </c>
      <c r="Q316" s="53" t="str">
        <f aca="false">IF(AND($G316&lt;&gt;"",$H316&lt;&gt;""),$H316-$G316,"")</f>
        <v/>
      </c>
      <c r="R316" s="53" t="str">
        <f aca="false">IF(AND($G316&lt;&gt;"",$I316&lt;&gt;""),$I316-$G316,"")</f>
        <v/>
      </c>
      <c r="S316" s="53" t="str">
        <f aca="false">IF(AND($H316&lt;&gt;"",$I316&lt;&gt;""),$I316-$H316,"")</f>
        <v/>
      </c>
      <c r="T316" s="53" t="str">
        <f aca="false">IF($J316&lt;&gt;"",$J316,"")</f>
        <v/>
      </c>
      <c r="V316" s="52" t="str">
        <f aca="false">IF($A316&lt;&gt;"",$A316,"")</f>
        <v>Apprenant 304</v>
      </c>
      <c r="W316" s="53" t="str">
        <f aca="false">IF(AND(OR('Choix pédagogiques'!$C$3=1,'Choix pédagogiques'!$C$3=2),$BM316=1),B316,IF(AND('Choix pédagogiques'!$C$3=3,$BO316=1),B316,""))</f>
        <v/>
      </c>
      <c r="X316" s="53" t="str">
        <f aca="false">IF(AND(OR('Choix pédagogiques'!$C$3=1,'Choix pédagogiques'!$C$3=2),$BM316=1),C316,IF(AND('Choix pédagogiques'!$C$3=3,$BO316=1),C316,""))</f>
        <v/>
      </c>
      <c r="Y316" s="53" t="str">
        <f aca="false">IF(AND(OR('Choix pédagogiques'!$C$3=1,'Choix pédagogiques'!$C$3=2),$BM316=1),D316,IF(AND('Choix pédagogiques'!$C$3=3,$BO316=1),D316,""))</f>
        <v/>
      </c>
      <c r="Z316" s="53" t="str">
        <f aca="false">IF($E316&lt;&gt;"",$E316,"")</f>
        <v/>
      </c>
      <c r="AA316" s="52" t="str">
        <f aca="false">IF($F316&lt;&gt;"",$F316,"")</f>
        <v>Apprenant 304 ou 304'</v>
      </c>
      <c r="AB316" s="53" t="str">
        <f aca="false">IF(AND(OR('Choix pédagogiques'!$C$3=1,'Choix pédagogiques'!$C$3=2),$BN316=1),G316,IF(AND('Choix pédagogiques'!$C$3=3,$BO316=1),G316,""))</f>
        <v/>
      </c>
      <c r="AC316" s="53" t="str">
        <f aca="false">IF(AND(OR('Choix pédagogiques'!$C$3=1,'Choix pédagogiques'!$C$3=2),$BN316=1),H316,IF(AND('Choix pédagogiques'!$C$3=3,$BO316=1),H316,""))</f>
        <v/>
      </c>
      <c r="AD316" s="53" t="str">
        <f aca="false">IF(AND(OR('Choix pédagogiques'!$C$3=1,'Choix pédagogiques'!$C$3=2),$BN316=1),I316,IF(AND('Choix pédagogiques'!$C$3=3,$BO316=1),I316,""))</f>
        <v/>
      </c>
      <c r="AE316" s="53" t="str">
        <f aca="false">IF($J316&lt;&gt;"",$J316,"")</f>
        <v/>
      </c>
      <c r="AF316" s="52" t="str">
        <f aca="false">IF($A316&lt;&gt;"",$A316,"")</f>
        <v>Apprenant 304</v>
      </c>
      <c r="AG316" s="53" t="str">
        <f aca="false">IF(AND($W316&lt;&gt;"",$X316&lt;&gt;""),$X316-$W316,"")</f>
        <v/>
      </c>
      <c r="AH316" s="53" t="str">
        <f aca="false">IF(AND($W316&lt;&gt;"",$Y316&lt;&gt;""),$Y316-$W316,"")</f>
        <v/>
      </c>
      <c r="AI316" s="53" t="str">
        <f aca="false">IF(AND($X316&lt;&gt;"",$Y316&lt;&gt;""),$Y316-$X316,"")</f>
        <v/>
      </c>
      <c r="AJ316" s="53" t="str">
        <f aca="false">IF($E316&lt;&gt;"",$E316,"")</f>
        <v/>
      </c>
      <c r="AK316" s="52" t="str">
        <f aca="false">IF($F316&lt;&gt;"",$F316,"")</f>
        <v>Apprenant 304 ou 304'</v>
      </c>
      <c r="AL316" s="53" t="str">
        <f aca="false">IF(AND($AB316&lt;&gt;"",$AC316&lt;&gt;""),$AC316-$AB316,"")</f>
        <v/>
      </c>
      <c r="AM316" s="53" t="str">
        <f aca="false">IF(AND($AB316&lt;&gt;"",$AD316&lt;&gt;""),$AD316-$AB316,"")</f>
        <v/>
      </c>
      <c r="AN316" s="53" t="str">
        <f aca="false">IF(AND($AC316&lt;&gt;"",$AD316&lt;&gt;""),$AD316-$AC316,"")</f>
        <v/>
      </c>
      <c r="AO316" s="53" t="str">
        <f aca="false">IF($J316&lt;&gt;"",$J316,"")</f>
        <v/>
      </c>
      <c r="AQ316" s="52" t="str">
        <f aca="false">IF($A316&lt;&gt;"",$A316,"")</f>
        <v>Apprenant 304</v>
      </c>
      <c r="AR316" s="55" t="str">
        <f aca="false">IF(AND('Choix pédagogiques'!$C$4&lt;&gt;"?",'Choix pédagogiques'!$C$5&lt;&gt;"?",W316&lt;&gt;""),(W316-'Choix pédagogiques'!$C$4)/('Choix pédagogiques'!$C$5-'Choix pédagogiques'!$C$4),"")</f>
        <v/>
      </c>
      <c r="AS316" s="55" t="str">
        <f aca="false">IF(AND('Choix pédagogiques'!$C$4&lt;&gt;"?",'Choix pédagogiques'!$C$5&lt;&gt;"?",X316&lt;&gt;""),(X316-'Choix pédagogiques'!$C$4)/('Choix pédagogiques'!$C$5-'Choix pédagogiques'!$C$4),"")</f>
        <v/>
      </c>
      <c r="AT316" s="55" t="str">
        <f aca="false">IF(AND('Choix pédagogiques'!$C$4&lt;&gt;"?",'Choix pédagogiques'!$C$5&lt;&gt;"?",Y316&lt;&gt;""),(Y316-'Choix pédagogiques'!$C$4)/('Choix pédagogiques'!$C$5-'Choix pédagogiques'!$C$4),"")</f>
        <v/>
      </c>
      <c r="AU316" s="53" t="str">
        <f aca="false">IF($E316&lt;&gt;"",$E316,"")</f>
        <v/>
      </c>
      <c r="AV316" s="52" t="str">
        <f aca="false">IF($F316&lt;&gt;"",$F316,"")</f>
        <v>Apprenant 304 ou 304'</v>
      </c>
      <c r="AW316" s="55" t="str">
        <f aca="false">IF(AND('Choix pédagogiques'!$C$4&lt;&gt;"?",'Choix pédagogiques'!$C$5&lt;&gt;"?",AB316&lt;&gt;""),(AB316-'Choix pédagogiques'!$C$4)/('Choix pédagogiques'!$C$5-'Choix pédagogiques'!$C$4),"")</f>
        <v/>
      </c>
      <c r="AX316" s="55" t="str">
        <f aca="false">IF(AND('Choix pédagogiques'!$C$4&lt;&gt;"?",'Choix pédagogiques'!$C$5&lt;&gt;"?",AC316&lt;&gt;""),(AC316-'Choix pédagogiques'!$C$4)/('Choix pédagogiques'!$C$5-'Choix pédagogiques'!$C$4),"")</f>
        <v/>
      </c>
      <c r="AY316" s="55" t="str">
        <f aca="false">IF(AND('Choix pédagogiques'!$C$4&lt;&gt;"?",'Choix pédagogiques'!$C$5&lt;&gt;"?",AD316&lt;&gt;""),(AD316-'Choix pédagogiques'!$C$4)/('Choix pédagogiques'!$C$5-'Choix pédagogiques'!$C$4),"")</f>
        <v/>
      </c>
      <c r="AZ316" s="53" t="str">
        <f aca="false">IF($J316&lt;&gt;"",$J316,"")</f>
        <v/>
      </c>
      <c r="BA316" s="52" t="str">
        <f aca="false">IF($A316&lt;&gt;"",$A316,"")</f>
        <v>Apprenant 304</v>
      </c>
      <c r="BB316" s="55" t="str">
        <f aca="false">IF(AND($AR316&lt;&gt;"",$AS316&lt;&gt;""),$AS316-$AR316,"")</f>
        <v/>
      </c>
      <c r="BC316" s="55" t="str">
        <f aca="false">IF(AND($AR316&lt;&gt;"",$AT316&lt;&gt;""),$AT316-$AR316,"")</f>
        <v/>
      </c>
      <c r="BD316" s="55" t="str">
        <f aca="false">IF(AND($AS316&lt;&gt;"",$AT316&lt;&gt;""),$AT316-$AS316,"")</f>
        <v/>
      </c>
      <c r="BE316" s="53" t="str">
        <f aca="false">IF($E316&lt;&gt;"",$E316,"")</f>
        <v/>
      </c>
      <c r="BF316" s="52" t="str">
        <f aca="false">IF($F316&lt;&gt;"",$F316,"")</f>
        <v>Apprenant 304 ou 304'</v>
      </c>
      <c r="BG316" s="55" t="str">
        <f aca="false">IF(AND($AW316&lt;&gt;"",$AX316&lt;&gt;""),$AX316-$AW316,"")</f>
        <v/>
      </c>
      <c r="BH316" s="55" t="str">
        <f aca="false">IF(AND($AW316&lt;&gt;"",$AY316&lt;&gt;""),$AY316-$AW316,"")</f>
        <v/>
      </c>
      <c r="BI316" s="55" t="str">
        <f aca="false">IF(AND($AX316&lt;&gt;"",$AY316&lt;&gt;""),$AY316-$AX316,"")</f>
        <v/>
      </c>
      <c r="BJ316" s="53" t="str">
        <f aca="false">IF($J316&lt;&gt;"",$J316,"")</f>
        <v/>
      </c>
      <c r="BL316" s="52"/>
      <c r="BM316" s="52" t="str">
        <f aca="false">IF(OR(COUNT(B316:D1315)=0,AND('Choix pédagogiques'!$C$3&lt;&gt;1,'Choix pédagogiques'!$C$3&lt;&gt;2)),"",IF(AND(OR('Choix pédagogiques'!$C$3=1,'Choix pédagogiques'!$C$3=2),$B316&lt;&gt;"",$C316&lt;&gt;"",$D316&lt;&gt;""),1,0))</f>
        <v/>
      </c>
      <c r="BN316" s="52" t="str">
        <f aca="false">IF(OR(COUNT(G316:I1315)=0,AND('Choix pédagogiques'!$C$3&lt;&gt;1,'Choix pédagogiques'!$C$3&lt;&gt;2)),"",IF(AND(OR('Choix pédagogiques'!$C$3=1,'Choix pédagogiques'!$C$3=2),AND($G316&lt;&gt;"",$H316&lt;&gt;"",$I316&lt;&gt;"")),1,0))</f>
        <v/>
      </c>
      <c r="BO316" s="52" t="str">
        <f aca="false">IF(OR(COUNT(B316:D1315)=0,COUNT(G316:I1315)=0,'Choix pédagogiques'!C$3&lt;&gt;3),"",IF(AND('Choix pédagogiques'!$C$3=3,$B316&lt;&gt;"",$C316&lt;&gt;"",$D316&lt;&gt;"",$G316&lt;&gt;"",$H316&lt;&gt;"",$I316&lt;&gt;""),1,0))</f>
        <v/>
      </c>
      <c r="BR316" s="52" t="n">
        <v>846</v>
      </c>
      <c r="BS316" s="52" t="n">
        <v>1108</v>
      </c>
    </row>
    <row r="317" s="54" customFormat="true" ht="18" hidden="false" customHeight="true" outlineLevel="0" collapsed="false">
      <c r="A317" s="57" t="s">
        <v>565</v>
      </c>
      <c r="B317" s="51"/>
      <c r="C317" s="51"/>
      <c r="D317" s="51"/>
      <c r="E317" s="51"/>
      <c r="F317" s="57" t="s">
        <v>566</v>
      </c>
      <c r="G317" s="51"/>
      <c r="H317" s="51"/>
      <c r="I317" s="51"/>
      <c r="J317" s="51"/>
      <c r="K317" s="52" t="str">
        <f aca="false">IF($A317&lt;&gt;"",$A317,"")</f>
        <v>Apprenant 305</v>
      </c>
      <c r="L317" s="53" t="str">
        <f aca="false">IF(AND($B317&lt;&gt;"",$C317&lt;&gt;""),$C317-$B317,"")</f>
        <v/>
      </c>
      <c r="M317" s="53" t="str">
        <f aca="false">IF(AND($B317&lt;&gt;"",$D317&lt;&gt;""),$D317-$B317,"")</f>
        <v/>
      </c>
      <c r="N317" s="53" t="str">
        <f aca="false">IF(AND($C317&lt;&gt;"",$D317&lt;&gt;""),$D317-$C317,"")</f>
        <v/>
      </c>
      <c r="O317" s="53" t="str">
        <f aca="false">IF($E317&lt;&gt;"",$E317,"")</f>
        <v/>
      </c>
      <c r="P317" s="52" t="str">
        <f aca="false">IF($F317&lt;&gt;"",$F317,"")</f>
        <v>Apprenant 305 ou 305'</v>
      </c>
      <c r="Q317" s="53" t="str">
        <f aca="false">IF(AND($G317&lt;&gt;"",$H317&lt;&gt;""),$H317-$G317,"")</f>
        <v/>
      </c>
      <c r="R317" s="53" t="str">
        <f aca="false">IF(AND($G317&lt;&gt;"",$I317&lt;&gt;""),$I317-$G317,"")</f>
        <v/>
      </c>
      <c r="S317" s="53" t="str">
        <f aca="false">IF(AND($H317&lt;&gt;"",$I317&lt;&gt;""),$I317-$H317,"")</f>
        <v/>
      </c>
      <c r="T317" s="53" t="str">
        <f aca="false">IF($J317&lt;&gt;"",$J317,"")</f>
        <v/>
      </c>
      <c r="V317" s="52" t="str">
        <f aca="false">IF($A317&lt;&gt;"",$A317,"")</f>
        <v>Apprenant 305</v>
      </c>
      <c r="W317" s="53" t="str">
        <f aca="false">IF(AND(OR('Choix pédagogiques'!$C$3=1,'Choix pédagogiques'!$C$3=2),$BM317=1),B317,IF(AND('Choix pédagogiques'!$C$3=3,$BO317=1),B317,""))</f>
        <v/>
      </c>
      <c r="X317" s="53" t="str">
        <f aca="false">IF(AND(OR('Choix pédagogiques'!$C$3=1,'Choix pédagogiques'!$C$3=2),$BM317=1),C317,IF(AND('Choix pédagogiques'!$C$3=3,$BO317=1),C317,""))</f>
        <v/>
      </c>
      <c r="Y317" s="53" t="str">
        <f aca="false">IF(AND(OR('Choix pédagogiques'!$C$3=1,'Choix pédagogiques'!$C$3=2),$BM317=1),D317,IF(AND('Choix pédagogiques'!$C$3=3,$BO317=1),D317,""))</f>
        <v/>
      </c>
      <c r="Z317" s="53" t="str">
        <f aca="false">IF($E317&lt;&gt;"",$E317,"")</f>
        <v/>
      </c>
      <c r="AA317" s="52" t="str">
        <f aca="false">IF($F317&lt;&gt;"",$F317,"")</f>
        <v>Apprenant 305 ou 305'</v>
      </c>
      <c r="AB317" s="53" t="str">
        <f aca="false">IF(AND(OR('Choix pédagogiques'!$C$3=1,'Choix pédagogiques'!$C$3=2),$BN317=1),G317,IF(AND('Choix pédagogiques'!$C$3=3,$BO317=1),G317,""))</f>
        <v/>
      </c>
      <c r="AC317" s="53" t="str">
        <f aca="false">IF(AND(OR('Choix pédagogiques'!$C$3=1,'Choix pédagogiques'!$C$3=2),$BN317=1),H317,IF(AND('Choix pédagogiques'!$C$3=3,$BO317=1),H317,""))</f>
        <v/>
      </c>
      <c r="AD317" s="53" t="str">
        <f aca="false">IF(AND(OR('Choix pédagogiques'!$C$3=1,'Choix pédagogiques'!$C$3=2),$BN317=1),I317,IF(AND('Choix pédagogiques'!$C$3=3,$BO317=1),I317,""))</f>
        <v/>
      </c>
      <c r="AE317" s="53" t="str">
        <f aca="false">IF($J317&lt;&gt;"",$J317,"")</f>
        <v/>
      </c>
      <c r="AF317" s="52" t="str">
        <f aca="false">IF($A317&lt;&gt;"",$A317,"")</f>
        <v>Apprenant 305</v>
      </c>
      <c r="AG317" s="53" t="str">
        <f aca="false">IF(AND($W317&lt;&gt;"",$X317&lt;&gt;""),$X317-$W317,"")</f>
        <v/>
      </c>
      <c r="AH317" s="53" t="str">
        <f aca="false">IF(AND($W317&lt;&gt;"",$Y317&lt;&gt;""),$Y317-$W317,"")</f>
        <v/>
      </c>
      <c r="AI317" s="53" t="str">
        <f aca="false">IF(AND($X317&lt;&gt;"",$Y317&lt;&gt;""),$Y317-$X317,"")</f>
        <v/>
      </c>
      <c r="AJ317" s="53" t="str">
        <f aca="false">IF($E317&lt;&gt;"",$E317,"")</f>
        <v/>
      </c>
      <c r="AK317" s="52" t="str">
        <f aca="false">IF($F317&lt;&gt;"",$F317,"")</f>
        <v>Apprenant 305 ou 305'</v>
      </c>
      <c r="AL317" s="53" t="str">
        <f aca="false">IF(AND($AB317&lt;&gt;"",$AC317&lt;&gt;""),$AC317-$AB317,"")</f>
        <v/>
      </c>
      <c r="AM317" s="53" t="str">
        <f aca="false">IF(AND($AB317&lt;&gt;"",$AD317&lt;&gt;""),$AD317-$AB317,"")</f>
        <v/>
      </c>
      <c r="AN317" s="53" t="str">
        <f aca="false">IF(AND($AC317&lt;&gt;"",$AD317&lt;&gt;""),$AD317-$AC317,"")</f>
        <v/>
      </c>
      <c r="AO317" s="53" t="str">
        <f aca="false">IF($J317&lt;&gt;"",$J317,"")</f>
        <v/>
      </c>
      <c r="AQ317" s="52" t="str">
        <f aca="false">IF($A317&lt;&gt;"",$A317,"")</f>
        <v>Apprenant 305</v>
      </c>
      <c r="AR317" s="55" t="str">
        <f aca="false">IF(AND('Choix pédagogiques'!$C$4&lt;&gt;"?",'Choix pédagogiques'!$C$5&lt;&gt;"?",W317&lt;&gt;""),(W317-'Choix pédagogiques'!$C$4)/('Choix pédagogiques'!$C$5-'Choix pédagogiques'!$C$4),"")</f>
        <v/>
      </c>
      <c r="AS317" s="55" t="str">
        <f aca="false">IF(AND('Choix pédagogiques'!$C$4&lt;&gt;"?",'Choix pédagogiques'!$C$5&lt;&gt;"?",X317&lt;&gt;""),(X317-'Choix pédagogiques'!$C$4)/('Choix pédagogiques'!$C$5-'Choix pédagogiques'!$C$4),"")</f>
        <v/>
      </c>
      <c r="AT317" s="55" t="str">
        <f aca="false">IF(AND('Choix pédagogiques'!$C$4&lt;&gt;"?",'Choix pédagogiques'!$C$5&lt;&gt;"?",Y317&lt;&gt;""),(Y317-'Choix pédagogiques'!$C$4)/('Choix pédagogiques'!$C$5-'Choix pédagogiques'!$C$4),"")</f>
        <v/>
      </c>
      <c r="AU317" s="53" t="str">
        <f aca="false">IF($E317&lt;&gt;"",$E317,"")</f>
        <v/>
      </c>
      <c r="AV317" s="52" t="str">
        <f aca="false">IF($F317&lt;&gt;"",$F317,"")</f>
        <v>Apprenant 305 ou 305'</v>
      </c>
      <c r="AW317" s="55" t="str">
        <f aca="false">IF(AND('Choix pédagogiques'!$C$4&lt;&gt;"?",'Choix pédagogiques'!$C$5&lt;&gt;"?",AB317&lt;&gt;""),(AB317-'Choix pédagogiques'!$C$4)/('Choix pédagogiques'!$C$5-'Choix pédagogiques'!$C$4),"")</f>
        <v/>
      </c>
      <c r="AX317" s="55" t="str">
        <f aca="false">IF(AND('Choix pédagogiques'!$C$4&lt;&gt;"?",'Choix pédagogiques'!$C$5&lt;&gt;"?",AC317&lt;&gt;""),(AC317-'Choix pédagogiques'!$C$4)/('Choix pédagogiques'!$C$5-'Choix pédagogiques'!$C$4),"")</f>
        <v/>
      </c>
      <c r="AY317" s="55" t="str">
        <f aca="false">IF(AND('Choix pédagogiques'!$C$4&lt;&gt;"?",'Choix pédagogiques'!$C$5&lt;&gt;"?",AD317&lt;&gt;""),(AD317-'Choix pédagogiques'!$C$4)/('Choix pédagogiques'!$C$5-'Choix pédagogiques'!$C$4),"")</f>
        <v/>
      </c>
      <c r="AZ317" s="53" t="str">
        <f aca="false">IF($J317&lt;&gt;"",$J317,"")</f>
        <v/>
      </c>
      <c r="BA317" s="52" t="str">
        <f aca="false">IF($A317&lt;&gt;"",$A317,"")</f>
        <v>Apprenant 305</v>
      </c>
      <c r="BB317" s="55" t="str">
        <f aca="false">IF(AND($AR317&lt;&gt;"",$AS317&lt;&gt;""),$AS317-$AR317,"")</f>
        <v/>
      </c>
      <c r="BC317" s="55" t="str">
        <f aca="false">IF(AND($AR317&lt;&gt;"",$AT317&lt;&gt;""),$AT317-$AR317,"")</f>
        <v/>
      </c>
      <c r="BD317" s="55" t="str">
        <f aca="false">IF(AND($AS317&lt;&gt;"",$AT317&lt;&gt;""),$AT317-$AS317,"")</f>
        <v/>
      </c>
      <c r="BE317" s="53" t="str">
        <f aca="false">IF($E317&lt;&gt;"",$E317,"")</f>
        <v/>
      </c>
      <c r="BF317" s="52" t="str">
        <f aca="false">IF($F317&lt;&gt;"",$F317,"")</f>
        <v>Apprenant 305 ou 305'</v>
      </c>
      <c r="BG317" s="55" t="str">
        <f aca="false">IF(AND($AW317&lt;&gt;"",$AX317&lt;&gt;""),$AX317-$AW317,"")</f>
        <v/>
      </c>
      <c r="BH317" s="55" t="str">
        <f aca="false">IF(AND($AW317&lt;&gt;"",$AY317&lt;&gt;""),$AY317-$AW317,"")</f>
        <v/>
      </c>
      <c r="BI317" s="55" t="str">
        <f aca="false">IF(AND($AX317&lt;&gt;"",$AY317&lt;&gt;""),$AY317-$AX317,"")</f>
        <v/>
      </c>
      <c r="BJ317" s="53" t="str">
        <f aca="false">IF($J317&lt;&gt;"",$J317,"")</f>
        <v/>
      </c>
      <c r="BL317" s="52"/>
      <c r="BM317" s="52" t="str">
        <f aca="false">IF(OR(COUNT(B317:D1316)=0,AND('Choix pédagogiques'!$C$3&lt;&gt;1,'Choix pédagogiques'!$C$3&lt;&gt;2)),"",IF(AND(OR('Choix pédagogiques'!$C$3=1,'Choix pédagogiques'!$C$3=2),$B317&lt;&gt;"",$C317&lt;&gt;"",$D317&lt;&gt;""),1,0))</f>
        <v/>
      </c>
      <c r="BN317" s="52" t="str">
        <f aca="false">IF(OR(COUNT(G317:I1316)=0,AND('Choix pédagogiques'!$C$3&lt;&gt;1,'Choix pédagogiques'!$C$3&lt;&gt;2)),"",IF(AND(OR('Choix pédagogiques'!$C$3=1,'Choix pédagogiques'!$C$3=2),AND($G317&lt;&gt;"",$H317&lt;&gt;"",$I317&lt;&gt;"")),1,0))</f>
        <v/>
      </c>
      <c r="BO317" s="52" t="str">
        <f aca="false">IF(OR(COUNT(B317:D1316)=0,COUNT(G317:I1316)=0,'Choix pédagogiques'!C$3&lt;&gt;3),"",IF(AND('Choix pédagogiques'!$C$3=3,$B317&lt;&gt;"",$C317&lt;&gt;"",$D317&lt;&gt;"",$G317&lt;&gt;"",$H317&lt;&gt;"",$I317&lt;&gt;""),1,0))</f>
        <v/>
      </c>
      <c r="BR317" s="52" t="n">
        <v>98</v>
      </c>
      <c r="BS317" s="52" t="n">
        <v>1141</v>
      </c>
    </row>
    <row r="318" s="54" customFormat="true" ht="18" hidden="false" customHeight="true" outlineLevel="0" collapsed="false">
      <c r="A318" s="57" t="s">
        <v>567</v>
      </c>
      <c r="B318" s="51"/>
      <c r="C318" s="51"/>
      <c r="D318" s="51"/>
      <c r="E318" s="51"/>
      <c r="F318" s="57" t="s">
        <v>568</v>
      </c>
      <c r="G318" s="51"/>
      <c r="H318" s="51"/>
      <c r="I318" s="51"/>
      <c r="J318" s="51"/>
      <c r="K318" s="52" t="str">
        <f aca="false">IF($A318&lt;&gt;"",$A318,"")</f>
        <v>Apprenant 306</v>
      </c>
      <c r="L318" s="53" t="str">
        <f aca="false">IF(AND($B318&lt;&gt;"",$C318&lt;&gt;""),$C318-$B318,"")</f>
        <v/>
      </c>
      <c r="M318" s="53" t="str">
        <f aca="false">IF(AND($B318&lt;&gt;"",$D318&lt;&gt;""),$D318-$B318,"")</f>
        <v/>
      </c>
      <c r="N318" s="53" t="str">
        <f aca="false">IF(AND($C318&lt;&gt;"",$D318&lt;&gt;""),$D318-$C318,"")</f>
        <v/>
      </c>
      <c r="O318" s="53" t="str">
        <f aca="false">IF($E318&lt;&gt;"",$E318,"")</f>
        <v/>
      </c>
      <c r="P318" s="52" t="str">
        <f aca="false">IF($F318&lt;&gt;"",$F318,"")</f>
        <v>Apprenant 306 ou 306'</v>
      </c>
      <c r="Q318" s="53" t="str">
        <f aca="false">IF(AND($G318&lt;&gt;"",$H318&lt;&gt;""),$H318-$G318,"")</f>
        <v/>
      </c>
      <c r="R318" s="53" t="str">
        <f aca="false">IF(AND($G318&lt;&gt;"",$I318&lt;&gt;""),$I318-$G318,"")</f>
        <v/>
      </c>
      <c r="S318" s="53" t="str">
        <f aca="false">IF(AND($H318&lt;&gt;"",$I318&lt;&gt;""),$I318-$H318,"")</f>
        <v/>
      </c>
      <c r="T318" s="53" t="str">
        <f aca="false">IF($J318&lt;&gt;"",$J318,"")</f>
        <v/>
      </c>
      <c r="V318" s="52" t="str">
        <f aca="false">IF($A318&lt;&gt;"",$A318,"")</f>
        <v>Apprenant 306</v>
      </c>
      <c r="W318" s="53" t="str">
        <f aca="false">IF(AND(OR('Choix pédagogiques'!$C$3=1,'Choix pédagogiques'!$C$3=2),$BM318=1),B318,IF(AND('Choix pédagogiques'!$C$3=3,$BO318=1),B318,""))</f>
        <v/>
      </c>
      <c r="X318" s="53" t="str">
        <f aca="false">IF(AND(OR('Choix pédagogiques'!$C$3=1,'Choix pédagogiques'!$C$3=2),$BM318=1),C318,IF(AND('Choix pédagogiques'!$C$3=3,$BO318=1),C318,""))</f>
        <v/>
      </c>
      <c r="Y318" s="53" t="str">
        <f aca="false">IF(AND(OR('Choix pédagogiques'!$C$3=1,'Choix pédagogiques'!$C$3=2),$BM318=1),D318,IF(AND('Choix pédagogiques'!$C$3=3,$BO318=1),D318,""))</f>
        <v/>
      </c>
      <c r="Z318" s="53" t="str">
        <f aca="false">IF($E318&lt;&gt;"",$E318,"")</f>
        <v/>
      </c>
      <c r="AA318" s="52" t="str">
        <f aca="false">IF($F318&lt;&gt;"",$F318,"")</f>
        <v>Apprenant 306 ou 306'</v>
      </c>
      <c r="AB318" s="53" t="str">
        <f aca="false">IF(AND(OR('Choix pédagogiques'!$C$3=1,'Choix pédagogiques'!$C$3=2),$BN318=1),G318,IF(AND('Choix pédagogiques'!$C$3=3,$BO318=1),G318,""))</f>
        <v/>
      </c>
      <c r="AC318" s="53" t="str">
        <f aca="false">IF(AND(OR('Choix pédagogiques'!$C$3=1,'Choix pédagogiques'!$C$3=2),$BN318=1),H318,IF(AND('Choix pédagogiques'!$C$3=3,$BO318=1),H318,""))</f>
        <v/>
      </c>
      <c r="AD318" s="53" t="str">
        <f aca="false">IF(AND(OR('Choix pédagogiques'!$C$3=1,'Choix pédagogiques'!$C$3=2),$BN318=1),I318,IF(AND('Choix pédagogiques'!$C$3=3,$BO318=1),I318,""))</f>
        <v/>
      </c>
      <c r="AE318" s="53" t="str">
        <f aca="false">IF($J318&lt;&gt;"",$J318,"")</f>
        <v/>
      </c>
      <c r="AF318" s="52" t="str">
        <f aca="false">IF($A318&lt;&gt;"",$A318,"")</f>
        <v>Apprenant 306</v>
      </c>
      <c r="AG318" s="53" t="str">
        <f aca="false">IF(AND($W318&lt;&gt;"",$X318&lt;&gt;""),$X318-$W318,"")</f>
        <v/>
      </c>
      <c r="AH318" s="53" t="str">
        <f aca="false">IF(AND($W318&lt;&gt;"",$Y318&lt;&gt;""),$Y318-$W318,"")</f>
        <v/>
      </c>
      <c r="AI318" s="53" t="str">
        <f aca="false">IF(AND($X318&lt;&gt;"",$Y318&lt;&gt;""),$Y318-$X318,"")</f>
        <v/>
      </c>
      <c r="AJ318" s="53" t="str">
        <f aca="false">IF($E318&lt;&gt;"",$E318,"")</f>
        <v/>
      </c>
      <c r="AK318" s="52" t="str">
        <f aca="false">IF($F318&lt;&gt;"",$F318,"")</f>
        <v>Apprenant 306 ou 306'</v>
      </c>
      <c r="AL318" s="53" t="str">
        <f aca="false">IF(AND($AB318&lt;&gt;"",$AC318&lt;&gt;""),$AC318-$AB318,"")</f>
        <v/>
      </c>
      <c r="AM318" s="53" t="str">
        <f aca="false">IF(AND($AB318&lt;&gt;"",$AD318&lt;&gt;""),$AD318-$AB318,"")</f>
        <v/>
      </c>
      <c r="AN318" s="53" t="str">
        <f aca="false">IF(AND($AC318&lt;&gt;"",$AD318&lt;&gt;""),$AD318-$AC318,"")</f>
        <v/>
      </c>
      <c r="AO318" s="53" t="str">
        <f aca="false">IF($J318&lt;&gt;"",$J318,"")</f>
        <v/>
      </c>
      <c r="AQ318" s="52" t="str">
        <f aca="false">IF($A318&lt;&gt;"",$A318,"")</f>
        <v>Apprenant 306</v>
      </c>
      <c r="AR318" s="55" t="str">
        <f aca="false">IF(AND('Choix pédagogiques'!$C$4&lt;&gt;"?",'Choix pédagogiques'!$C$5&lt;&gt;"?",W318&lt;&gt;""),(W318-'Choix pédagogiques'!$C$4)/('Choix pédagogiques'!$C$5-'Choix pédagogiques'!$C$4),"")</f>
        <v/>
      </c>
      <c r="AS318" s="55" t="str">
        <f aca="false">IF(AND('Choix pédagogiques'!$C$4&lt;&gt;"?",'Choix pédagogiques'!$C$5&lt;&gt;"?",X318&lt;&gt;""),(X318-'Choix pédagogiques'!$C$4)/('Choix pédagogiques'!$C$5-'Choix pédagogiques'!$C$4),"")</f>
        <v/>
      </c>
      <c r="AT318" s="55" t="str">
        <f aca="false">IF(AND('Choix pédagogiques'!$C$4&lt;&gt;"?",'Choix pédagogiques'!$C$5&lt;&gt;"?",Y318&lt;&gt;""),(Y318-'Choix pédagogiques'!$C$4)/('Choix pédagogiques'!$C$5-'Choix pédagogiques'!$C$4),"")</f>
        <v/>
      </c>
      <c r="AU318" s="53" t="str">
        <f aca="false">IF($E318&lt;&gt;"",$E318,"")</f>
        <v/>
      </c>
      <c r="AV318" s="52" t="str">
        <f aca="false">IF($F318&lt;&gt;"",$F318,"")</f>
        <v>Apprenant 306 ou 306'</v>
      </c>
      <c r="AW318" s="55" t="str">
        <f aca="false">IF(AND('Choix pédagogiques'!$C$4&lt;&gt;"?",'Choix pédagogiques'!$C$5&lt;&gt;"?",AB318&lt;&gt;""),(AB318-'Choix pédagogiques'!$C$4)/('Choix pédagogiques'!$C$5-'Choix pédagogiques'!$C$4),"")</f>
        <v/>
      </c>
      <c r="AX318" s="55" t="str">
        <f aca="false">IF(AND('Choix pédagogiques'!$C$4&lt;&gt;"?",'Choix pédagogiques'!$C$5&lt;&gt;"?",AC318&lt;&gt;""),(AC318-'Choix pédagogiques'!$C$4)/('Choix pédagogiques'!$C$5-'Choix pédagogiques'!$C$4),"")</f>
        <v/>
      </c>
      <c r="AY318" s="55" t="str">
        <f aca="false">IF(AND('Choix pédagogiques'!$C$4&lt;&gt;"?",'Choix pédagogiques'!$C$5&lt;&gt;"?",AD318&lt;&gt;""),(AD318-'Choix pédagogiques'!$C$4)/('Choix pédagogiques'!$C$5-'Choix pédagogiques'!$C$4),"")</f>
        <v/>
      </c>
      <c r="AZ318" s="53" t="str">
        <f aca="false">IF($J318&lt;&gt;"",$J318,"")</f>
        <v/>
      </c>
      <c r="BA318" s="52" t="str">
        <f aca="false">IF($A318&lt;&gt;"",$A318,"")</f>
        <v>Apprenant 306</v>
      </c>
      <c r="BB318" s="55" t="str">
        <f aca="false">IF(AND($AR318&lt;&gt;"",$AS318&lt;&gt;""),$AS318-$AR318,"")</f>
        <v/>
      </c>
      <c r="BC318" s="55" t="str">
        <f aca="false">IF(AND($AR318&lt;&gt;"",$AT318&lt;&gt;""),$AT318-$AR318,"")</f>
        <v/>
      </c>
      <c r="BD318" s="55" t="str">
        <f aca="false">IF(AND($AS318&lt;&gt;"",$AT318&lt;&gt;""),$AT318-$AS318,"")</f>
        <v/>
      </c>
      <c r="BE318" s="53" t="str">
        <f aca="false">IF($E318&lt;&gt;"",$E318,"")</f>
        <v/>
      </c>
      <c r="BF318" s="52" t="str">
        <f aca="false">IF($F318&lt;&gt;"",$F318,"")</f>
        <v>Apprenant 306 ou 306'</v>
      </c>
      <c r="BG318" s="55" t="str">
        <f aca="false">IF(AND($AW318&lt;&gt;"",$AX318&lt;&gt;""),$AX318-$AW318,"")</f>
        <v/>
      </c>
      <c r="BH318" s="55" t="str">
        <f aca="false">IF(AND($AW318&lt;&gt;"",$AY318&lt;&gt;""),$AY318-$AW318,"")</f>
        <v/>
      </c>
      <c r="BI318" s="55" t="str">
        <f aca="false">IF(AND($AX318&lt;&gt;"",$AY318&lt;&gt;""),$AY318-$AX318,"")</f>
        <v/>
      </c>
      <c r="BJ318" s="53" t="str">
        <f aca="false">IF($J318&lt;&gt;"",$J318,"")</f>
        <v/>
      </c>
      <c r="BL318" s="52"/>
      <c r="BM318" s="52" t="str">
        <f aca="false">IF(OR(COUNT(B318:D1317)=0,AND('Choix pédagogiques'!$C$3&lt;&gt;1,'Choix pédagogiques'!$C$3&lt;&gt;2)),"",IF(AND(OR('Choix pédagogiques'!$C$3=1,'Choix pédagogiques'!$C$3=2),$B318&lt;&gt;"",$C318&lt;&gt;"",$D318&lt;&gt;""),1,0))</f>
        <v/>
      </c>
      <c r="BN318" s="52" t="str">
        <f aca="false">IF(OR(COUNT(G318:I1317)=0,AND('Choix pédagogiques'!$C$3&lt;&gt;1,'Choix pédagogiques'!$C$3&lt;&gt;2)),"",IF(AND(OR('Choix pédagogiques'!$C$3=1,'Choix pédagogiques'!$C$3=2),AND($G318&lt;&gt;"",$H318&lt;&gt;"",$I318&lt;&gt;"")),1,0))</f>
        <v/>
      </c>
      <c r="BO318" s="52" t="str">
        <f aca="false">IF(OR(COUNT(B318:D1317)=0,COUNT(G318:I1317)=0,'Choix pédagogiques'!C$3&lt;&gt;3),"",IF(AND('Choix pédagogiques'!$C$3=3,$B318&lt;&gt;"",$C318&lt;&gt;"",$D318&lt;&gt;"",$G318&lt;&gt;"",$H318&lt;&gt;"",$I318&lt;&gt;""),1,0))</f>
        <v/>
      </c>
      <c r="BR318" s="52" t="n">
        <v>633</v>
      </c>
      <c r="BS318" s="52" t="n">
        <v>1951</v>
      </c>
    </row>
    <row r="319" s="54" customFormat="true" ht="18" hidden="false" customHeight="true" outlineLevel="0" collapsed="false">
      <c r="A319" s="57" t="s">
        <v>569</v>
      </c>
      <c r="B319" s="51"/>
      <c r="C319" s="51"/>
      <c r="D319" s="51"/>
      <c r="E319" s="51"/>
      <c r="F319" s="57" t="s">
        <v>570</v>
      </c>
      <c r="G319" s="51"/>
      <c r="H319" s="51"/>
      <c r="I319" s="51"/>
      <c r="J319" s="51"/>
      <c r="K319" s="52" t="str">
        <f aca="false">IF($A319&lt;&gt;"",$A319,"")</f>
        <v>Apprenant 307</v>
      </c>
      <c r="L319" s="53" t="str">
        <f aca="false">IF(AND($B319&lt;&gt;"",$C319&lt;&gt;""),$C319-$B319,"")</f>
        <v/>
      </c>
      <c r="M319" s="53" t="str">
        <f aca="false">IF(AND($B319&lt;&gt;"",$D319&lt;&gt;""),$D319-$B319,"")</f>
        <v/>
      </c>
      <c r="N319" s="53" t="str">
        <f aca="false">IF(AND($C319&lt;&gt;"",$D319&lt;&gt;""),$D319-$C319,"")</f>
        <v/>
      </c>
      <c r="O319" s="53" t="str">
        <f aca="false">IF($E319&lt;&gt;"",$E319,"")</f>
        <v/>
      </c>
      <c r="P319" s="52" t="str">
        <f aca="false">IF($F319&lt;&gt;"",$F319,"")</f>
        <v>Apprenant 307 ou 307'</v>
      </c>
      <c r="Q319" s="53" t="str">
        <f aca="false">IF(AND($G319&lt;&gt;"",$H319&lt;&gt;""),$H319-$G319,"")</f>
        <v/>
      </c>
      <c r="R319" s="53" t="str">
        <f aca="false">IF(AND($G319&lt;&gt;"",$I319&lt;&gt;""),$I319-$G319,"")</f>
        <v/>
      </c>
      <c r="S319" s="53" t="str">
        <f aca="false">IF(AND($H319&lt;&gt;"",$I319&lt;&gt;""),$I319-$H319,"")</f>
        <v/>
      </c>
      <c r="T319" s="53" t="str">
        <f aca="false">IF($J319&lt;&gt;"",$J319,"")</f>
        <v/>
      </c>
      <c r="V319" s="52" t="str">
        <f aca="false">IF($A319&lt;&gt;"",$A319,"")</f>
        <v>Apprenant 307</v>
      </c>
      <c r="W319" s="53" t="str">
        <f aca="false">IF(AND(OR('Choix pédagogiques'!$C$3=1,'Choix pédagogiques'!$C$3=2),$BM319=1),B319,IF(AND('Choix pédagogiques'!$C$3=3,$BO319=1),B319,""))</f>
        <v/>
      </c>
      <c r="X319" s="53" t="str">
        <f aca="false">IF(AND(OR('Choix pédagogiques'!$C$3=1,'Choix pédagogiques'!$C$3=2),$BM319=1),C319,IF(AND('Choix pédagogiques'!$C$3=3,$BO319=1),C319,""))</f>
        <v/>
      </c>
      <c r="Y319" s="53" t="str">
        <f aca="false">IF(AND(OR('Choix pédagogiques'!$C$3=1,'Choix pédagogiques'!$C$3=2),$BM319=1),D319,IF(AND('Choix pédagogiques'!$C$3=3,$BO319=1),D319,""))</f>
        <v/>
      </c>
      <c r="Z319" s="53" t="str">
        <f aca="false">IF($E319&lt;&gt;"",$E319,"")</f>
        <v/>
      </c>
      <c r="AA319" s="52" t="str">
        <f aca="false">IF($F319&lt;&gt;"",$F319,"")</f>
        <v>Apprenant 307 ou 307'</v>
      </c>
      <c r="AB319" s="53" t="str">
        <f aca="false">IF(AND(OR('Choix pédagogiques'!$C$3=1,'Choix pédagogiques'!$C$3=2),$BN319=1),G319,IF(AND('Choix pédagogiques'!$C$3=3,$BO319=1),G319,""))</f>
        <v/>
      </c>
      <c r="AC319" s="53" t="str">
        <f aca="false">IF(AND(OR('Choix pédagogiques'!$C$3=1,'Choix pédagogiques'!$C$3=2),$BN319=1),H319,IF(AND('Choix pédagogiques'!$C$3=3,$BO319=1),H319,""))</f>
        <v/>
      </c>
      <c r="AD319" s="53" t="str">
        <f aca="false">IF(AND(OR('Choix pédagogiques'!$C$3=1,'Choix pédagogiques'!$C$3=2),$BN319=1),I319,IF(AND('Choix pédagogiques'!$C$3=3,$BO319=1),I319,""))</f>
        <v/>
      </c>
      <c r="AE319" s="53" t="str">
        <f aca="false">IF($J319&lt;&gt;"",$J319,"")</f>
        <v/>
      </c>
      <c r="AF319" s="52" t="str">
        <f aca="false">IF($A319&lt;&gt;"",$A319,"")</f>
        <v>Apprenant 307</v>
      </c>
      <c r="AG319" s="53" t="str">
        <f aca="false">IF(AND($W319&lt;&gt;"",$X319&lt;&gt;""),$X319-$W319,"")</f>
        <v/>
      </c>
      <c r="AH319" s="53" t="str">
        <f aca="false">IF(AND($W319&lt;&gt;"",$Y319&lt;&gt;""),$Y319-$W319,"")</f>
        <v/>
      </c>
      <c r="AI319" s="53" t="str">
        <f aca="false">IF(AND($X319&lt;&gt;"",$Y319&lt;&gt;""),$Y319-$X319,"")</f>
        <v/>
      </c>
      <c r="AJ319" s="53" t="str">
        <f aca="false">IF($E319&lt;&gt;"",$E319,"")</f>
        <v/>
      </c>
      <c r="AK319" s="52" t="str">
        <f aca="false">IF($F319&lt;&gt;"",$F319,"")</f>
        <v>Apprenant 307 ou 307'</v>
      </c>
      <c r="AL319" s="53" t="str">
        <f aca="false">IF(AND($AB319&lt;&gt;"",$AC319&lt;&gt;""),$AC319-$AB319,"")</f>
        <v/>
      </c>
      <c r="AM319" s="53" t="str">
        <f aca="false">IF(AND($AB319&lt;&gt;"",$AD319&lt;&gt;""),$AD319-$AB319,"")</f>
        <v/>
      </c>
      <c r="AN319" s="53" t="str">
        <f aca="false">IF(AND($AC319&lt;&gt;"",$AD319&lt;&gt;""),$AD319-$AC319,"")</f>
        <v/>
      </c>
      <c r="AO319" s="53" t="str">
        <f aca="false">IF($J319&lt;&gt;"",$J319,"")</f>
        <v/>
      </c>
      <c r="AQ319" s="52" t="str">
        <f aca="false">IF($A319&lt;&gt;"",$A319,"")</f>
        <v>Apprenant 307</v>
      </c>
      <c r="AR319" s="55" t="str">
        <f aca="false">IF(AND('Choix pédagogiques'!$C$4&lt;&gt;"?",'Choix pédagogiques'!$C$5&lt;&gt;"?",W319&lt;&gt;""),(W319-'Choix pédagogiques'!$C$4)/('Choix pédagogiques'!$C$5-'Choix pédagogiques'!$C$4),"")</f>
        <v/>
      </c>
      <c r="AS319" s="55" t="str">
        <f aca="false">IF(AND('Choix pédagogiques'!$C$4&lt;&gt;"?",'Choix pédagogiques'!$C$5&lt;&gt;"?",X319&lt;&gt;""),(X319-'Choix pédagogiques'!$C$4)/('Choix pédagogiques'!$C$5-'Choix pédagogiques'!$C$4),"")</f>
        <v/>
      </c>
      <c r="AT319" s="55" t="str">
        <f aca="false">IF(AND('Choix pédagogiques'!$C$4&lt;&gt;"?",'Choix pédagogiques'!$C$5&lt;&gt;"?",Y319&lt;&gt;""),(Y319-'Choix pédagogiques'!$C$4)/('Choix pédagogiques'!$C$5-'Choix pédagogiques'!$C$4),"")</f>
        <v/>
      </c>
      <c r="AU319" s="53" t="str">
        <f aca="false">IF($E319&lt;&gt;"",$E319,"")</f>
        <v/>
      </c>
      <c r="AV319" s="52" t="str">
        <f aca="false">IF($F319&lt;&gt;"",$F319,"")</f>
        <v>Apprenant 307 ou 307'</v>
      </c>
      <c r="AW319" s="55" t="str">
        <f aca="false">IF(AND('Choix pédagogiques'!$C$4&lt;&gt;"?",'Choix pédagogiques'!$C$5&lt;&gt;"?",AB319&lt;&gt;""),(AB319-'Choix pédagogiques'!$C$4)/('Choix pédagogiques'!$C$5-'Choix pédagogiques'!$C$4),"")</f>
        <v/>
      </c>
      <c r="AX319" s="55" t="str">
        <f aca="false">IF(AND('Choix pédagogiques'!$C$4&lt;&gt;"?",'Choix pédagogiques'!$C$5&lt;&gt;"?",AC319&lt;&gt;""),(AC319-'Choix pédagogiques'!$C$4)/('Choix pédagogiques'!$C$5-'Choix pédagogiques'!$C$4),"")</f>
        <v/>
      </c>
      <c r="AY319" s="55" t="str">
        <f aca="false">IF(AND('Choix pédagogiques'!$C$4&lt;&gt;"?",'Choix pédagogiques'!$C$5&lt;&gt;"?",AD319&lt;&gt;""),(AD319-'Choix pédagogiques'!$C$4)/('Choix pédagogiques'!$C$5-'Choix pédagogiques'!$C$4),"")</f>
        <v/>
      </c>
      <c r="AZ319" s="53" t="str">
        <f aca="false">IF($J319&lt;&gt;"",$J319,"")</f>
        <v/>
      </c>
      <c r="BA319" s="52" t="str">
        <f aca="false">IF($A319&lt;&gt;"",$A319,"")</f>
        <v>Apprenant 307</v>
      </c>
      <c r="BB319" s="55" t="str">
        <f aca="false">IF(AND($AR319&lt;&gt;"",$AS319&lt;&gt;""),$AS319-$AR319,"")</f>
        <v/>
      </c>
      <c r="BC319" s="55" t="str">
        <f aca="false">IF(AND($AR319&lt;&gt;"",$AT319&lt;&gt;""),$AT319-$AR319,"")</f>
        <v/>
      </c>
      <c r="BD319" s="55" t="str">
        <f aca="false">IF(AND($AS319&lt;&gt;"",$AT319&lt;&gt;""),$AT319-$AS319,"")</f>
        <v/>
      </c>
      <c r="BE319" s="53" t="str">
        <f aca="false">IF($E319&lt;&gt;"",$E319,"")</f>
        <v/>
      </c>
      <c r="BF319" s="52" t="str">
        <f aca="false">IF($F319&lt;&gt;"",$F319,"")</f>
        <v>Apprenant 307 ou 307'</v>
      </c>
      <c r="BG319" s="55" t="str">
        <f aca="false">IF(AND($AW319&lt;&gt;"",$AX319&lt;&gt;""),$AX319-$AW319,"")</f>
        <v/>
      </c>
      <c r="BH319" s="55" t="str">
        <f aca="false">IF(AND($AW319&lt;&gt;"",$AY319&lt;&gt;""),$AY319-$AW319,"")</f>
        <v/>
      </c>
      <c r="BI319" s="55" t="str">
        <f aca="false">IF(AND($AX319&lt;&gt;"",$AY319&lt;&gt;""),$AY319-$AX319,"")</f>
        <v/>
      </c>
      <c r="BJ319" s="53" t="str">
        <f aca="false">IF($J319&lt;&gt;"",$J319,"")</f>
        <v/>
      </c>
      <c r="BL319" s="52"/>
      <c r="BM319" s="52" t="str">
        <f aca="false">IF(OR(COUNT(B319:D1318)=0,AND('Choix pédagogiques'!$C$3&lt;&gt;1,'Choix pédagogiques'!$C$3&lt;&gt;2)),"",IF(AND(OR('Choix pédagogiques'!$C$3=1,'Choix pédagogiques'!$C$3=2),$B319&lt;&gt;"",$C319&lt;&gt;"",$D319&lt;&gt;""),1,0))</f>
        <v/>
      </c>
      <c r="BN319" s="52" t="str">
        <f aca="false">IF(OR(COUNT(G319:I1318)=0,AND('Choix pédagogiques'!$C$3&lt;&gt;1,'Choix pédagogiques'!$C$3&lt;&gt;2)),"",IF(AND(OR('Choix pédagogiques'!$C$3=1,'Choix pédagogiques'!$C$3=2),AND($G319&lt;&gt;"",$H319&lt;&gt;"",$I319&lt;&gt;"")),1,0))</f>
        <v/>
      </c>
      <c r="BO319" s="52" t="str">
        <f aca="false">IF(OR(COUNT(B319:D1318)=0,COUNT(G319:I1318)=0,'Choix pédagogiques'!C$3&lt;&gt;3),"",IF(AND('Choix pédagogiques'!$C$3=3,$B319&lt;&gt;"",$C319&lt;&gt;"",$D319&lt;&gt;"",$G319&lt;&gt;"",$H319&lt;&gt;"",$I319&lt;&gt;""),1,0))</f>
        <v/>
      </c>
      <c r="BR319" s="52" t="n">
        <v>842</v>
      </c>
      <c r="BS319" s="52" t="n">
        <v>1528</v>
      </c>
    </row>
    <row r="320" s="54" customFormat="true" ht="18" hidden="false" customHeight="true" outlineLevel="0" collapsed="false">
      <c r="A320" s="57" t="s">
        <v>571</v>
      </c>
      <c r="B320" s="51"/>
      <c r="C320" s="51"/>
      <c r="D320" s="51"/>
      <c r="E320" s="51"/>
      <c r="F320" s="57" t="s">
        <v>572</v>
      </c>
      <c r="G320" s="51"/>
      <c r="H320" s="51"/>
      <c r="I320" s="51"/>
      <c r="J320" s="51"/>
      <c r="K320" s="52" t="str">
        <f aca="false">IF($A320&lt;&gt;"",$A320,"")</f>
        <v>Apprenant 308</v>
      </c>
      <c r="L320" s="53" t="str">
        <f aca="false">IF(AND($B320&lt;&gt;"",$C320&lt;&gt;""),$C320-$B320,"")</f>
        <v/>
      </c>
      <c r="M320" s="53" t="str">
        <f aca="false">IF(AND($B320&lt;&gt;"",$D320&lt;&gt;""),$D320-$B320,"")</f>
        <v/>
      </c>
      <c r="N320" s="53" t="str">
        <f aca="false">IF(AND($C320&lt;&gt;"",$D320&lt;&gt;""),$D320-$C320,"")</f>
        <v/>
      </c>
      <c r="O320" s="53" t="str">
        <f aca="false">IF($E320&lt;&gt;"",$E320,"")</f>
        <v/>
      </c>
      <c r="P320" s="52" t="str">
        <f aca="false">IF($F320&lt;&gt;"",$F320,"")</f>
        <v>Apprenant 308 ou 308'</v>
      </c>
      <c r="Q320" s="53" t="str">
        <f aca="false">IF(AND($G320&lt;&gt;"",$H320&lt;&gt;""),$H320-$G320,"")</f>
        <v/>
      </c>
      <c r="R320" s="53" t="str">
        <f aca="false">IF(AND($G320&lt;&gt;"",$I320&lt;&gt;""),$I320-$G320,"")</f>
        <v/>
      </c>
      <c r="S320" s="53" t="str">
        <f aca="false">IF(AND($H320&lt;&gt;"",$I320&lt;&gt;""),$I320-$H320,"")</f>
        <v/>
      </c>
      <c r="T320" s="53" t="str">
        <f aca="false">IF($J320&lt;&gt;"",$J320,"")</f>
        <v/>
      </c>
      <c r="V320" s="52" t="str">
        <f aca="false">IF($A320&lt;&gt;"",$A320,"")</f>
        <v>Apprenant 308</v>
      </c>
      <c r="W320" s="53" t="str">
        <f aca="false">IF(AND(OR('Choix pédagogiques'!$C$3=1,'Choix pédagogiques'!$C$3=2),$BM320=1),B320,IF(AND('Choix pédagogiques'!$C$3=3,$BO320=1),B320,""))</f>
        <v/>
      </c>
      <c r="X320" s="53" t="str">
        <f aca="false">IF(AND(OR('Choix pédagogiques'!$C$3=1,'Choix pédagogiques'!$C$3=2),$BM320=1),C320,IF(AND('Choix pédagogiques'!$C$3=3,$BO320=1),C320,""))</f>
        <v/>
      </c>
      <c r="Y320" s="53" t="str">
        <f aca="false">IF(AND(OR('Choix pédagogiques'!$C$3=1,'Choix pédagogiques'!$C$3=2),$BM320=1),D320,IF(AND('Choix pédagogiques'!$C$3=3,$BO320=1),D320,""))</f>
        <v/>
      </c>
      <c r="Z320" s="53" t="str">
        <f aca="false">IF($E320&lt;&gt;"",$E320,"")</f>
        <v/>
      </c>
      <c r="AA320" s="52" t="str">
        <f aca="false">IF($F320&lt;&gt;"",$F320,"")</f>
        <v>Apprenant 308 ou 308'</v>
      </c>
      <c r="AB320" s="53" t="str">
        <f aca="false">IF(AND(OR('Choix pédagogiques'!$C$3=1,'Choix pédagogiques'!$C$3=2),$BN320=1),G320,IF(AND('Choix pédagogiques'!$C$3=3,$BO320=1),G320,""))</f>
        <v/>
      </c>
      <c r="AC320" s="53" t="str">
        <f aca="false">IF(AND(OR('Choix pédagogiques'!$C$3=1,'Choix pédagogiques'!$C$3=2),$BN320=1),H320,IF(AND('Choix pédagogiques'!$C$3=3,$BO320=1),H320,""))</f>
        <v/>
      </c>
      <c r="AD320" s="53" t="str">
        <f aca="false">IF(AND(OR('Choix pédagogiques'!$C$3=1,'Choix pédagogiques'!$C$3=2),$BN320=1),I320,IF(AND('Choix pédagogiques'!$C$3=3,$BO320=1),I320,""))</f>
        <v/>
      </c>
      <c r="AE320" s="53" t="str">
        <f aca="false">IF($J320&lt;&gt;"",$J320,"")</f>
        <v/>
      </c>
      <c r="AF320" s="52" t="str">
        <f aca="false">IF($A320&lt;&gt;"",$A320,"")</f>
        <v>Apprenant 308</v>
      </c>
      <c r="AG320" s="53" t="str">
        <f aca="false">IF(AND($W320&lt;&gt;"",$X320&lt;&gt;""),$X320-$W320,"")</f>
        <v/>
      </c>
      <c r="AH320" s="53" t="str">
        <f aca="false">IF(AND($W320&lt;&gt;"",$Y320&lt;&gt;""),$Y320-$W320,"")</f>
        <v/>
      </c>
      <c r="AI320" s="53" t="str">
        <f aca="false">IF(AND($X320&lt;&gt;"",$Y320&lt;&gt;""),$Y320-$X320,"")</f>
        <v/>
      </c>
      <c r="AJ320" s="53" t="str">
        <f aca="false">IF($E320&lt;&gt;"",$E320,"")</f>
        <v/>
      </c>
      <c r="AK320" s="52" t="str">
        <f aca="false">IF($F320&lt;&gt;"",$F320,"")</f>
        <v>Apprenant 308 ou 308'</v>
      </c>
      <c r="AL320" s="53" t="str">
        <f aca="false">IF(AND($AB320&lt;&gt;"",$AC320&lt;&gt;""),$AC320-$AB320,"")</f>
        <v/>
      </c>
      <c r="AM320" s="53" t="str">
        <f aca="false">IF(AND($AB320&lt;&gt;"",$AD320&lt;&gt;""),$AD320-$AB320,"")</f>
        <v/>
      </c>
      <c r="AN320" s="53" t="str">
        <f aca="false">IF(AND($AC320&lt;&gt;"",$AD320&lt;&gt;""),$AD320-$AC320,"")</f>
        <v/>
      </c>
      <c r="AO320" s="53" t="str">
        <f aca="false">IF($J320&lt;&gt;"",$J320,"")</f>
        <v/>
      </c>
      <c r="AQ320" s="52" t="str">
        <f aca="false">IF($A320&lt;&gt;"",$A320,"")</f>
        <v>Apprenant 308</v>
      </c>
      <c r="AR320" s="55" t="str">
        <f aca="false">IF(AND('Choix pédagogiques'!$C$4&lt;&gt;"?",'Choix pédagogiques'!$C$5&lt;&gt;"?",W320&lt;&gt;""),(W320-'Choix pédagogiques'!$C$4)/('Choix pédagogiques'!$C$5-'Choix pédagogiques'!$C$4),"")</f>
        <v/>
      </c>
      <c r="AS320" s="55" t="str">
        <f aca="false">IF(AND('Choix pédagogiques'!$C$4&lt;&gt;"?",'Choix pédagogiques'!$C$5&lt;&gt;"?",X320&lt;&gt;""),(X320-'Choix pédagogiques'!$C$4)/('Choix pédagogiques'!$C$5-'Choix pédagogiques'!$C$4),"")</f>
        <v/>
      </c>
      <c r="AT320" s="55" t="str">
        <f aca="false">IF(AND('Choix pédagogiques'!$C$4&lt;&gt;"?",'Choix pédagogiques'!$C$5&lt;&gt;"?",Y320&lt;&gt;""),(Y320-'Choix pédagogiques'!$C$4)/('Choix pédagogiques'!$C$5-'Choix pédagogiques'!$C$4),"")</f>
        <v/>
      </c>
      <c r="AU320" s="53" t="str">
        <f aca="false">IF($E320&lt;&gt;"",$E320,"")</f>
        <v/>
      </c>
      <c r="AV320" s="52" t="str">
        <f aca="false">IF($F320&lt;&gt;"",$F320,"")</f>
        <v>Apprenant 308 ou 308'</v>
      </c>
      <c r="AW320" s="55" t="str">
        <f aca="false">IF(AND('Choix pédagogiques'!$C$4&lt;&gt;"?",'Choix pédagogiques'!$C$5&lt;&gt;"?",AB320&lt;&gt;""),(AB320-'Choix pédagogiques'!$C$4)/('Choix pédagogiques'!$C$5-'Choix pédagogiques'!$C$4),"")</f>
        <v/>
      </c>
      <c r="AX320" s="55" t="str">
        <f aca="false">IF(AND('Choix pédagogiques'!$C$4&lt;&gt;"?",'Choix pédagogiques'!$C$5&lt;&gt;"?",AC320&lt;&gt;""),(AC320-'Choix pédagogiques'!$C$4)/('Choix pédagogiques'!$C$5-'Choix pédagogiques'!$C$4),"")</f>
        <v/>
      </c>
      <c r="AY320" s="55" t="str">
        <f aca="false">IF(AND('Choix pédagogiques'!$C$4&lt;&gt;"?",'Choix pédagogiques'!$C$5&lt;&gt;"?",AD320&lt;&gt;""),(AD320-'Choix pédagogiques'!$C$4)/('Choix pédagogiques'!$C$5-'Choix pédagogiques'!$C$4),"")</f>
        <v/>
      </c>
      <c r="AZ320" s="53" t="str">
        <f aca="false">IF($J320&lt;&gt;"",$J320,"")</f>
        <v/>
      </c>
      <c r="BA320" s="52" t="str">
        <f aca="false">IF($A320&lt;&gt;"",$A320,"")</f>
        <v>Apprenant 308</v>
      </c>
      <c r="BB320" s="55" t="str">
        <f aca="false">IF(AND($AR320&lt;&gt;"",$AS320&lt;&gt;""),$AS320-$AR320,"")</f>
        <v/>
      </c>
      <c r="BC320" s="55" t="str">
        <f aca="false">IF(AND($AR320&lt;&gt;"",$AT320&lt;&gt;""),$AT320-$AR320,"")</f>
        <v/>
      </c>
      <c r="BD320" s="55" t="str">
        <f aca="false">IF(AND($AS320&lt;&gt;"",$AT320&lt;&gt;""),$AT320-$AS320,"")</f>
        <v/>
      </c>
      <c r="BE320" s="53" t="str">
        <f aca="false">IF($E320&lt;&gt;"",$E320,"")</f>
        <v/>
      </c>
      <c r="BF320" s="52" t="str">
        <f aca="false">IF($F320&lt;&gt;"",$F320,"")</f>
        <v>Apprenant 308 ou 308'</v>
      </c>
      <c r="BG320" s="55" t="str">
        <f aca="false">IF(AND($AW320&lt;&gt;"",$AX320&lt;&gt;""),$AX320-$AW320,"")</f>
        <v/>
      </c>
      <c r="BH320" s="55" t="str">
        <f aca="false">IF(AND($AW320&lt;&gt;"",$AY320&lt;&gt;""),$AY320-$AW320,"")</f>
        <v/>
      </c>
      <c r="BI320" s="55" t="str">
        <f aca="false">IF(AND($AX320&lt;&gt;"",$AY320&lt;&gt;""),$AY320-$AX320,"")</f>
        <v/>
      </c>
      <c r="BJ320" s="53" t="str">
        <f aca="false">IF($J320&lt;&gt;"",$J320,"")</f>
        <v/>
      </c>
      <c r="BL320" s="52"/>
      <c r="BM320" s="52" t="str">
        <f aca="false">IF(OR(COUNT(B320:D1319)=0,AND('Choix pédagogiques'!$C$3&lt;&gt;1,'Choix pédagogiques'!$C$3&lt;&gt;2)),"",IF(AND(OR('Choix pédagogiques'!$C$3=1,'Choix pédagogiques'!$C$3=2),$B320&lt;&gt;"",$C320&lt;&gt;"",$D320&lt;&gt;""),1,0))</f>
        <v/>
      </c>
      <c r="BN320" s="52" t="str">
        <f aca="false">IF(OR(COUNT(G320:I1319)=0,AND('Choix pédagogiques'!$C$3&lt;&gt;1,'Choix pédagogiques'!$C$3&lt;&gt;2)),"",IF(AND(OR('Choix pédagogiques'!$C$3=1,'Choix pédagogiques'!$C$3=2),AND($G320&lt;&gt;"",$H320&lt;&gt;"",$I320&lt;&gt;"")),1,0))</f>
        <v/>
      </c>
      <c r="BO320" s="52" t="str">
        <f aca="false">IF(OR(COUNT(B320:D1319)=0,COUNT(G320:I1319)=0,'Choix pédagogiques'!C$3&lt;&gt;3),"",IF(AND('Choix pédagogiques'!$C$3=3,$B320&lt;&gt;"",$C320&lt;&gt;"",$D320&lt;&gt;"",$G320&lt;&gt;"",$H320&lt;&gt;"",$I320&lt;&gt;""),1,0))</f>
        <v/>
      </c>
      <c r="BR320" s="52" t="n">
        <v>670</v>
      </c>
      <c r="BS320" s="52" t="n">
        <v>1133</v>
      </c>
    </row>
    <row r="321" s="54" customFormat="true" ht="18" hidden="false" customHeight="true" outlineLevel="0" collapsed="false">
      <c r="A321" s="57" t="s">
        <v>573</v>
      </c>
      <c r="B321" s="51"/>
      <c r="C321" s="51"/>
      <c r="D321" s="51"/>
      <c r="E321" s="51"/>
      <c r="F321" s="57" t="s">
        <v>574</v>
      </c>
      <c r="G321" s="51"/>
      <c r="H321" s="51"/>
      <c r="I321" s="51"/>
      <c r="J321" s="51"/>
      <c r="K321" s="52" t="str">
        <f aca="false">IF($A321&lt;&gt;"",$A321,"")</f>
        <v>Apprenant 309</v>
      </c>
      <c r="L321" s="53" t="str">
        <f aca="false">IF(AND($B321&lt;&gt;"",$C321&lt;&gt;""),$C321-$B321,"")</f>
        <v/>
      </c>
      <c r="M321" s="53" t="str">
        <f aca="false">IF(AND($B321&lt;&gt;"",$D321&lt;&gt;""),$D321-$B321,"")</f>
        <v/>
      </c>
      <c r="N321" s="53" t="str">
        <f aca="false">IF(AND($C321&lt;&gt;"",$D321&lt;&gt;""),$D321-$C321,"")</f>
        <v/>
      </c>
      <c r="O321" s="53" t="str">
        <f aca="false">IF($E321&lt;&gt;"",$E321,"")</f>
        <v/>
      </c>
      <c r="P321" s="52" t="str">
        <f aca="false">IF($F321&lt;&gt;"",$F321,"")</f>
        <v>Apprenant 309 ou 309'</v>
      </c>
      <c r="Q321" s="53" t="str">
        <f aca="false">IF(AND($G321&lt;&gt;"",$H321&lt;&gt;""),$H321-$G321,"")</f>
        <v/>
      </c>
      <c r="R321" s="53" t="str">
        <f aca="false">IF(AND($G321&lt;&gt;"",$I321&lt;&gt;""),$I321-$G321,"")</f>
        <v/>
      </c>
      <c r="S321" s="53" t="str">
        <f aca="false">IF(AND($H321&lt;&gt;"",$I321&lt;&gt;""),$I321-$H321,"")</f>
        <v/>
      </c>
      <c r="T321" s="53" t="str">
        <f aca="false">IF($J321&lt;&gt;"",$J321,"")</f>
        <v/>
      </c>
      <c r="V321" s="52" t="str">
        <f aca="false">IF($A321&lt;&gt;"",$A321,"")</f>
        <v>Apprenant 309</v>
      </c>
      <c r="W321" s="53" t="str">
        <f aca="false">IF(AND(OR('Choix pédagogiques'!$C$3=1,'Choix pédagogiques'!$C$3=2),$BM321=1),B321,IF(AND('Choix pédagogiques'!$C$3=3,$BO321=1),B321,""))</f>
        <v/>
      </c>
      <c r="X321" s="53" t="str">
        <f aca="false">IF(AND(OR('Choix pédagogiques'!$C$3=1,'Choix pédagogiques'!$C$3=2),$BM321=1),C321,IF(AND('Choix pédagogiques'!$C$3=3,$BO321=1),C321,""))</f>
        <v/>
      </c>
      <c r="Y321" s="53" t="str">
        <f aca="false">IF(AND(OR('Choix pédagogiques'!$C$3=1,'Choix pédagogiques'!$C$3=2),$BM321=1),D321,IF(AND('Choix pédagogiques'!$C$3=3,$BO321=1),D321,""))</f>
        <v/>
      </c>
      <c r="Z321" s="53" t="str">
        <f aca="false">IF($E321&lt;&gt;"",$E321,"")</f>
        <v/>
      </c>
      <c r="AA321" s="52" t="str">
        <f aca="false">IF($F321&lt;&gt;"",$F321,"")</f>
        <v>Apprenant 309 ou 309'</v>
      </c>
      <c r="AB321" s="53" t="str">
        <f aca="false">IF(AND(OR('Choix pédagogiques'!$C$3=1,'Choix pédagogiques'!$C$3=2),$BN321=1),G321,IF(AND('Choix pédagogiques'!$C$3=3,$BO321=1),G321,""))</f>
        <v/>
      </c>
      <c r="AC321" s="53" t="str">
        <f aca="false">IF(AND(OR('Choix pédagogiques'!$C$3=1,'Choix pédagogiques'!$C$3=2),$BN321=1),H321,IF(AND('Choix pédagogiques'!$C$3=3,$BO321=1),H321,""))</f>
        <v/>
      </c>
      <c r="AD321" s="53" t="str">
        <f aca="false">IF(AND(OR('Choix pédagogiques'!$C$3=1,'Choix pédagogiques'!$C$3=2),$BN321=1),I321,IF(AND('Choix pédagogiques'!$C$3=3,$BO321=1),I321,""))</f>
        <v/>
      </c>
      <c r="AE321" s="53" t="str">
        <f aca="false">IF($J321&lt;&gt;"",$J321,"")</f>
        <v/>
      </c>
      <c r="AF321" s="52" t="str">
        <f aca="false">IF($A321&lt;&gt;"",$A321,"")</f>
        <v>Apprenant 309</v>
      </c>
      <c r="AG321" s="53" t="str">
        <f aca="false">IF(AND($W321&lt;&gt;"",$X321&lt;&gt;""),$X321-$W321,"")</f>
        <v/>
      </c>
      <c r="AH321" s="53" t="str">
        <f aca="false">IF(AND($W321&lt;&gt;"",$Y321&lt;&gt;""),$Y321-$W321,"")</f>
        <v/>
      </c>
      <c r="AI321" s="53" t="str">
        <f aca="false">IF(AND($X321&lt;&gt;"",$Y321&lt;&gt;""),$Y321-$X321,"")</f>
        <v/>
      </c>
      <c r="AJ321" s="53" t="str">
        <f aca="false">IF($E321&lt;&gt;"",$E321,"")</f>
        <v/>
      </c>
      <c r="AK321" s="52" t="str">
        <f aca="false">IF($F321&lt;&gt;"",$F321,"")</f>
        <v>Apprenant 309 ou 309'</v>
      </c>
      <c r="AL321" s="53" t="str">
        <f aca="false">IF(AND($AB321&lt;&gt;"",$AC321&lt;&gt;""),$AC321-$AB321,"")</f>
        <v/>
      </c>
      <c r="AM321" s="53" t="str">
        <f aca="false">IF(AND($AB321&lt;&gt;"",$AD321&lt;&gt;""),$AD321-$AB321,"")</f>
        <v/>
      </c>
      <c r="AN321" s="53" t="str">
        <f aca="false">IF(AND($AC321&lt;&gt;"",$AD321&lt;&gt;""),$AD321-$AC321,"")</f>
        <v/>
      </c>
      <c r="AO321" s="53" t="str">
        <f aca="false">IF($J321&lt;&gt;"",$J321,"")</f>
        <v/>
      </c>
      <c r="AQ321" s="52" t="str">
        <f aca="false">IF($A321&lt;&gt;"",$A321,"")</f>
        <v>Apprenant 309</v>
      </c>
      <c r="AR321" s="55" t="str">
        <f aca="false">IF(AND('Choix pédagogiques'!$C$4&lt;&gt;"?",'Choix pédagogiques'!$C$5&lt;&gt;"?",W321&lt;&gt;""),(W321-'Choix pédagogiques'!$C$4)/('Choix pédagogiques'!$C$5-'Choix pédagogiques'!$C$4),"")</f>
        <v/>
      </c>
      <c r="AS321" s="55" t="str">
        <f aca="false">IF(AND('Choix pédagogiques'!$C$4&lt;&gt;"?",'Choix pédagogiques'!$C$5&lt;&gt;"?",X321&lt;&gt;""),(X321-'Choix pédagogiques'!$C$4)/('Choix pédagogiques'!$C$5-'Choix pédagogiques'!$C$4),"")</f>
        <v/>
      </c>
      <c r="AT321" s="55" t="str">
        <f aca="false">IF(AND('Choix pédagogiques'!$C$4&lt;&gt;"?",'Choix pédagogiques'!$C$5&lt;&gt;"?",Y321&lt;&gt;""),(Y321-'Choix pédagogiques'!$C$4)/('Choix pédagogiques'!$C$5-'Choix pédagogiques'!$C$4),"")</f>
        <v/>
      </c>
      <c r="AU321" s="53" t="str">
        <f aca="false">IF($E321&lt;&gt;"",$E321,"")</f>
        <v/>
      </c>
      <c r="AV321" s="52" t="str">
        <f aca="false">IF($F321&lt;&gt;"",$F321,"")</f>
        <v>Apprenant 309 ou 309'</v>
      </c>
      <c r="AW321" s="55" t="str">
        <f aca="false">IF(AND('Choix pédagogiques'!$C$4&lt;&gt;"?",'Choix pédagogiques'!$C$5&lt;&gt;"?",AB321&lt;&gt;""),(AB321-'Choix pédagogiques'!$C$4)/('Choix pédagogiques'!$C$5-'Choix pédagogiques'!$C$4),"")</f>
        <v/>
      </c>
      <c r="AX321" s="55" t="str">
        <f aca="false">IF(AND('Choix pédagogiques'!$C$4&lt;&gt;"?",'Choix pédagogiques'!$C$5&lt;&gt;"?",AC321&lt;&gt;""),(AC321-'Choix pédagogiques'!$C$4)/('Choix pédagogiques'!$C$5-'Choix pédagogiques'!$C$4),"")</f>
        <v/>
      </c>
      <c r="AY321" s="55" t="str">
        <f aca="false">IF(AND('Choix pédagogiques'!$C$4&lt;&gt;"?",'Choix pédagogiques'!$C$5&lt;&gt;"?",AD321&lt;&gt;""),(AD321-'Choix pédagogiques'!$C$4)/('Choix pédagogiques'!$C$5-'Choix pédagogiques'!$C$4),"")</f>
        <v/>
      </c>
      <c r="AZ321" s="53" t="str">
        <f aca="false">IF($J321&lt;&gt;"",$J321,"")</f>
        <v/>
      </c>
      <c r="BA321" s="52" t="str">
        <f aca="false">IF($A321&lt;&gt;"",$A321,"")</f>
        <v>Apprenant 309</v>
      </c>
      <c r="BB321" s="55" t="str">
        <f aca="false">IF(AND($AR321&lt;&gt;"",$AS321&lt;&gt;""),$AS321-$AR321,"")</f>
        <v/>
      </c>
      <c r="BC321" s="55" t="str">
        <f aca="false">IF(AND($AR321&lt;&gt;"",$AT321&lt;&gt;""),$AT321-$AR321,"")</f>
        <v/>
      </c>
      <c r="BD321" s="55" t="str">
        <f aca="false">IF(AND($AS321&lt;&gt;"",$AT321&lt;&gt;""),$AT321-$AS321,"")</f>
        <v/>
      </c>
      <c r="BE321" s="53" t="str">
        <f aca="false">IF($E321&lt;&gt;"",$E321,"")</f>
        <v/>
      </c>
      <c r="BF321" s="52" t="str">
        <f aca="false">IF($F321&lt;&gt;"",$F321,"")</f>
        <v>Apprenant 309 ou 309'</v>
      </c>
      <c r="BG321" s="55" t="str">
        <f aca="false">IF(AND($AW321&lt;&gt;"",$AX321&lt;&gt;""),$AX321-$AW321,"")</f>
        <v/>
      </c>
      <c r="BH321" s="55" t="str">
        <f aca="false">IF(AND($AW321&lt;&gt;"",$AY321&lt;&gt;""),$AY321-$AW321,"")</f>
        <v/>
      </c>
      <c r="BI321" s="55" t="str">
        <f aca="false">IF(AND($AX321&lt;&gt;"",$AY321&lt;&gt;""),$AY321-$AX321,"")</f>
        <v/>
      </c>
      <c r="BJ321" s="53" t="str">
        <f aca="false">IF($J321&lt;&gt;"",$J321,"")</f>
        <v/>
      </c>
      <c r="BL321" s="52"/>
      <c r="BM321" s="52" t="str">
        <f aca="false">IF(OR(COUNT(B321:D1320)=0,AND('Choix pédagogiques'!$C$3&lt;&gt;1,'Choix pédagogiques'!$C$3&lt;&gt;2)),"",IF(AND(OR('Choix pédagogiques'!$C$3=1,'Choix pédagogiques'!$C$3=2),$B321&lt;&gt;"",$C321&lt;&gt;"",$D321&lt;&gt;""),1,0))</f>
        <v/>
      </c>
      <c r="BN321" s="52" t="str">
        <f aca="false">IF(OR(COUNT(G321:I1320)=0,AND('Choix pédagogiques'!$C$3&lt;&gt;1,'Choix pédagogiques'!$C$3&lt;&gt;2)),"",IF(AND(OR('Choix pédagogiques'!$C$3=1,'Choix pédagogiques'!$C$3=2),AND($G321&lt;&gt;"",$H321&lt;&gt;"",$I321&lt;&gt;"")),1,0))</f>
        <v/>
      </c>
      <c r="BO321" s="52" t="str">
        <f aca="false">IF(OR(COUNT(B321:D1320)=0,COUNT(G321:I1320)=0,'Choix pédagogiques'!C$3&lt;&gt;3),"",IF(AND('Choix pédagogiques'!$C$3=3,$B321&lt;&gt;"",$C321&lt;&gt;"",$D321&lt;&gt;"",$G321&lt;&gt;"",$H321&lt;&gt;"",$I321&lt;&gt;""),1,0))</f>
        <v/>
      </c>
      <c r="BR321" s="52" t="n">
        <v>343</v>
      </c>
      <c r="BS321" s="52" t="n">
        <v>1727</v>
      </c>
    </row>
    <row r="322" s="54" customFormat="true" ht="18" hidden="false" customHeight="true" outlineLevel="0" collapsed="false">
      <c r="A322" s="57" t="s">
        <v>575</v>
      </c>
      <c r="B322" s="51"/>
      <c r="C322" s="51"/>
      <c r="D322" s="51"/>
      <c r="E322" s="51"/>
      <c r="F322" s="57" t="s">
        <v>576</v>
      </c>
      <c r="G322" s="51"/>
      <c r="H322" s="51"/>
      <c r="I322" s="51"/>
      <c r="J322" s="51"/>
      <c r="K322" s="52" t="str">
        <f aca="false">IF($A322&lt;&gt;"",$A322,"")</f>
        <v>Apprenant 310</v>
      </c>
      <c r="L322" s="53" t="str">
        <f aca="false">IF(AND($B322&lt;&gt;"",$C322&lt;&gt;""),$C322-$B322,"")</f>
        <v/>
      </c>
      <c r="M322" s="53" t="str">
        <f aca="false">IF(AND($B322&lt;&gt;"",$D322&lt;&gt;""),$D322-$B322,"")</f>
        <v/>
      </c>
      <c r="N322" s="53" t="str">
        <f aca="false">IF(AND($C322&lt;&gt;"",$D322&lt;&gt;""),$D322-$C322,"")</f>
        <v/>
      </c>
      <c r="O322" s="53" t="str">
        <f aca="false">IF($E322&lt;&gt;"",$E322,"")</f>
        <v/>
      </c>
      <c r="P322" s="52" t="str">
        <f aca="false">IF($F322&lt;&gt;"",$F322,"")</f>
        <v>Apprenant 310 ou 310'</v>
      </c>
      <c r="Q322" s="53" t="str">
        <f aca="false">IF(AND($G322&lt;&gt;"",$H322&lt;&gt;""),$H322-$G322,"")</f>
        <v/>
      </c>
      <c r="R322" s="53" t="str">
        <f aca="false">IF(AND($G322&lt;&gt;"",$I322&lt;&gt;""),$I322-$G322,"")</f>
        <v/>
      </c>
      <c r="S322" s="53" t="str">
        <f aca="false">IF(AND($H322&lt;&gt;"",$I322&lt;&gt;""),$I322-$H322,"")</f>
        <v/>
      </c>
      <c r="T322" s="53" t="str">
        <f aca="false">IF($J322&lt;&gt;"",$J322,"")</f>
        <v/>
      </c>
      <c r="V322" s="52" t="str">
        <f aca="false">IF($A322&lt;&gt;"",$A322,"")</f>
        <v>Apprenant 310</v>
      </c>
      <c r="W322" s="53" t="str">
        <f aca="false">IF(AND(OR('Choix pédagogiques'!$C$3=1,'Choix pédagogiques'!$C$3=2),$BM322=1),B322,IF(AND('Choix pédagogiques'!$C$3=3,$BO322=1),B322,""))</f>
        <v/>
      </c>
      <c r="X322" s="53" t="str">
        <f aca="false">IF(AND(OR('Choix pédagogiques'!$C$3=1,'Choix pédagogiques'!$C$3=2),$BM322=1),C322,IF(AND('Choix pédagogiques'!$C$3=3,$BO322=1),C322,""))</f>
        <v/>
      </c>
      <c r="Y322" s="53" t="str">
        <f aca="false">IF(AND(OR('Choix pédagogiques'!$C$3=1,'Choix pédagogiques'!$C$3=2),$BM322=1),D322,IF(AND('Choix pédagogiques'!$C$3=3,$BO322=1),D322,""))</f>
        <v/>
      </c>
      <c r="Z322" s="53" t="str">
        <f aca="false">IF($E322&lt;&gt;"",$E322,"")</f>
        <v/>
      </c>
      <c r="AA322" s="52" t="str">
        <f aca="false">IF($F322&lt;&gt;"",$F322,"")</f>
        <v>Apprenant 310 ou 310'</v>
      </c>
      <c r="AB322" s="53" t="str">
        <f aca="false">IF(AND(OR('Choix pédagogiques'!$C$3=1,'Choix pédagogiques'!$C$3=2),$BN322=1),G322,IF(AND('Choix pédagogiques'!$C$3=3,$BO322=1),G322,""))</f>
        <v/>
      </c>
      <c r="AC322" s="53" t="str">
        <f aca="false">IF(AND(OR('Choix pédagogiques'!$C$3=1,'Choix pédagogiques'!$C$3=2),$BN322=1),H322,IF(AND('Choix pédagogiques'!$C$3=3,$BO322=1),H322,""))</f>
        <v/>
      </c>
      <c r="AD322" s="53" t="str">
        <f aca="false">IF(AND(OR('Choix pédagogiques'!$C$3=1,'Choix pédagogiques'!$C$3=2),$BN322=1),I322,IF(AND('Choix pédagogiques'!$C$3=3,$BO322=1),I322,""))</f>
        <v/>
      </c>
      <c r="AE322" s="53" t="str">
        <f aca="false">IF($J322&lt;&gt;"",$J322,"")</f>
        <v/>
      </c>
      <c r="AF322" s="52" t="str">
        <f aca="false">IF($A322&lt;&gt;"",$A322,"")</f>
        <v>Apprenant 310</v>
      </c>
      <c r="AG322" s="53" t="str">
        <f aca="false">IF(AND($W322&lt;&gt;"",$X322&lt;&gt;""),$X322-$W322,"")</f>
        <v/>
      </c>
      <c r="AH322" s="53" t="str">
        <f aca="false">IF(AND($W322&lt;&gt;"",$Y322&lt;&gt;""),$Y322-$W322,"")</f>
        <v/>
      </c>
      <c r="AI322" s="53" t="str">
        <f aca="false">IF(AND($X322&lt;&gt;"",$Y322&lt;&gt;""),$Y322-$X322,"")</f>
        <v/>
      </c>
      <c r="AJ322" s="53" t="str">
        <f aca="false">IF($E322&lt;&gt;"",$E322,"")</f>
        <v/>
      </c>
      <c r="AK322" s="52" t="str">
        <f aca="false">IF($F322&lt;&gt;"",$F322,"")</f>
        <v>Apprenant 310 ou 310'</v>
      </c>
      <c r="AL322" s="53" t="str">
        <f aca="false">IF(AND($AB322&lt;&gt;"",$AC322&lt;&gt;""),$AC322-$AB322,"")</f>
        <v/>
      </c>
      <c r="AM322" s="53" t="str">
        <f aca="false">IF(AND($AB322&lt;&gt;"",$AD322&lt;&gt;""),$AD322-$AB322,"")</f>
        <v/>
      </c>
      <c r="AN322" s="53" t="str">
        <f aca="false">IF(AND($AC322&lt;&gt;"",$AD322&lt;&gt;""),$AD322-$AC322,"")</f>
        <v/>
      </c>
      <c r="AO322" s="53" t="str">
        <f aca="false">IF($J322&lt;&gt;"",$J322,"")</f>
        <v/>
      </c>
      <c r="AQ322" s="52" t="str">
        <f aca="false">IF($A322&lt;&gt;"",$A322,"")</f>
        <v>Apprenant 310</v>
      </c>
      <c r="AR322" s="55" t="str">
        <f aca="false">IF(AND('Choix pédagogiques'!$C$4&lt;&gt;"?",'Choix pédagogiques'!$C$5&lt;&gt;"?",W322&lt;&gt;""),(W322-'Choix pédagogiques'!$C$4)/('Choix pédagogiques'!$C$5-'Choix pédagogiques'!$C$4),"")</f>
        <v/>
      </c>
      <c r="AS322" s="55" t="str">
        <f aca="false">IF(AND('Choix pédagogiques'!$C$4&lt;&gt;"?",'Choix pédagogiques'!$C$5&lt;&gt;"?",X322&lt;&gt;""),(X322-'Choix pédagogiques'!$C$4)/('Choix pédagogiques'!$C$5-'Choix pédagogiques'!$C$4),"")</f>
        <v/>
      </c>
      <c r="AT322" s="55" t="str">
        <f aca="false">IF(AND('Choix pédagogiques'!$C$4&lt;&gt;"?",'Choix pédagogiques'!$C$5&lt;&gt;"?",Y322&lt;&gt;""),(Y322-'Choix pédagogiques'!$C$4)/('Choix pédagogiques'!$C$5-'Choix pédagogiques'!$C$4),"")</f>
        <v/>
      </c>
      <c r="AU322" s="53" t="str">
        <f aca="false">IF($E322&lt;&gt;"",$E322,"")</f>
        <v/>
      </c>
      <c r="AV322" s="52" t="str">
        <f aca="false">IF($F322&lt;&gt;"",$F322,"")</f>
        <v>Apprenant 310 ou 310'</v>
      </c>
      <c r="AW322" s="55" t="str">
        <f aca="false">IF(AND('Choix pédagogiques'!$C$4&lt;&gt;"?",'Choix pédagogiques'!$C$5&lt;&gt;"?",AB322&lt;&gt;""),(AB322-'Choix pédagogiques'!$C$4)/('Choix pédagogiques'!$C$5-'Choix pédagogiques'!$C$4),"")</f>
        <v/>
      </c>
      <c r="AX322" s="55" t="str">
        <f aca="false">IF(AND('Choix pédagogiques'!$C$4&lt;&gt;"?",'Choix pédagogiques'!$C$5&lt;&gt;"?",AC322&lt;&gt;""),(AC322-'Choix pédagogiques'!$C$4)/('Choix pédagogiques'!$C$5-'Choix pédagogiques'!$C$4),"")</f>
        <v/>
      </c>
      <c r="AY322" s="55" t="str">
        <f aca="false">IF(AND('Choix pédagogiques'!$C$4&lt;&gt;"?",'Choix pédagogiques'!$C$5&lt;&gt;"?",AD322&lt;&gt;""),(AD322-'Choix pédagogiques'!$C$4)/('Choix pédagogiques'!$C$5-'Choix pédagogiques'!$C$4),"")</f>
        <v/>
      </c>
      <c r="AZ322" s="53" t="str">
        <f aca="false">IF($J322&lt;&gt;"",$J322,"")</f>
        <v/>
      </c>
      <c r="BA322" s="52" t="str">
        <f aca="false">IF($A322&lt;&gt;"",$A322,"")</f>
        <v>Apprenant 310</v>
      </c>
      <c r="BB322" s="55" t="str">
        <f aca="false">IF(AND($AR322&lt;&gt;"",$AS322&lt;&gt;""),$AS322-$AR322,"")</f>
        <v/>
      </c>
      <c r="BC322" s="55" t="str">
        <f aca="false">IF(AND($AR322&lt;&gt;"",$AT322&lt;&gt;""),$AT322-$AR322,"")</f>
        <v/>
      </c>
      <c r="BD322" s="55" t="str">
        <f aca="false">IF(AND($AS322&lt;&gt;"",$AT322&lt;&gt;""),$AT322-$AS322,"")</f>
        <v/>
      </c>
      <c r="BE322" s="53" t="str">
        <f aca="false">IF($E322&lt;&gt;"",$E322,"")</f>
        <v/>
      </c>
      <c r="BF322" s="52" t="str">
        <f aca="false">IF($F322&lt;&gt;"",$F322,"")</f>
        <v>Apprenant 310 ou 310'</v>
      </c>
      <c r="BG322" s="55" t="str">
        <f aca="false">IF(AND($AW322&lt;&gt;"",$AX322&lt;&gt;""),$AX322-$AW322,"")</f>
        <v/>
      </c>
      <c r="BH322" s="55" t="str">
        <f aca="false">IF(AND($AW322&lt;&gt;"",$AY322&lt;&gt;""),$AY322-$AW322,"")</f>
        <v/>
      </c>
      <c r="BI322" s="55" t="str">
        <f aca="false">IF(AND($AX322&lt;&gt;"",$AY322&lt;&gt;""),$AY322-$AX322,"")</f>
        <v/>
      </c>
      <c r="BJ322" s="53" t="str">
        <f aca="false">IF($J322&lt;&gt;"",$J322,"")</f>
        <v/>
      </c>
      <c r="BL322" s="52"/>
      <c r="BM322" s="52" t="str">
        <f aca="false">IF(OR(COUNT(B322:D1321)=0,AND('Choix pédagogiques'!$C$3&lt;&gt;1,'Choix pédagogiques'!$C$3&lt;&gt;2)),"",IF(AND(OR('Choix pédagogiques'!$C$3=1,'Choix pédagogiques'!$C$3=2),$B322&lt;&gt;"",$C322&lt;&gt;"",$D322&lt;&gt;""),1,0))</f>
        <v/>
      </c>
      <c r="BN322" s="52" t="str">
        <f aca="false">IF(OR(COUNT(G322:I1321)=0,AND('Choix pédagogiques'!$C$3&lt;&gt;1,'Choix pédagogiques'!$C$3&lt;&gt;2)),"",IF(AND(OR('Choix pédagogiques'!$C$3=1,'Choix pédagogiques'!$C$3=2),AND($G322&lt;&gt;"",$H322&lt;&gt;"",$I322&lt;&gt;"")),1,0))</f>
        <v/>
      </c>
      <c r="BO322" s="52" t="str">
        <f aca="false">IF(OR(COUNT(B322:D1321)=0,COUNT(G322:I1321)=0,'Choix pédagogiques'!C$3&lt;&gt;3),"",IF(AND('Choix pédagogiques'!$C$3=3,$B322&lt;&gt;"",$C322&lt;&gt;"",$D322&lt;&gt;"",$G322&lt;&gt;"",$H322&lt;&gt;"",$I322&lt;&gt;""),1,0))</f>
        <v/>
      </c>
      <c r="BR322" s="52" t="n">
        <v>800</v>
      </c>
      <c r="BS322" s="52" t="n">
        <v>1189</v>
      </c>
    </row>
    <row r="323" s="54" customFormat="true" ht="18" hidden="false" customHeight="true" outlineLevel="0" collapsed="false">
      <c r="A323" s="57" t="s">
        <v>577</v>
      </c>
      <c r="B323" s="51"/>
      <c r="C323" s="51"/>
      <c r="D323" s="51"/>
      <c r="E323" s="51"/>
      <c r="F323" s="57" t="s">
        <v>578</v>
      </c>
      <c r="G323" s="51"/>
      <c r="H323" s="51"/>
      <c r="I323" s="51"/>
      <c r="J323" s="51"/>
      <c r="K323" s="52" t="str">
        <f aca="false">IF($A323&lt;&gt;"",$A323,"")</f>
        <v>Apprenant 311</v>
      </c>
      <c r="L323" s="53" t="str">
        <f aca="false">IF(AND($B323&lt;&gt;"",$C323&lt;&gt;""),$C323-$B323,"")</f>
        <v/>
      </c>
      <c r="M323" s="53" t="str">
        <f aca="false">IF(AND($B323&lt;&gt;"",$D323&lt;&gt;""),$D323-$B323,"")</f>
        <v/>
      </c>
      <c r="N323" s="53" t="str">
        <f aca="false">IF(AND($C323&lt;&gt;"",$D323&lt;&gt;""),$D323-$C323,"")</f>
        <v/>
      </c>
      <c r="O323" s="53" t="str">
        <f aca="false">IF($E323&lt;&gt;"",$E323,"")</f>
        <v/>
      </c>
      <c r="P323" s="52" t="str">
        <f aca="false">IF($F323&lt;&gt;"",$F323,"")</f>
        <v>Apprenant 311 ou 311'</v>
      </c>
      <c r="Q323" s="53" t="str">
        <f aca="false">IF(AND($G323&lt;&gt;"",$H323&lt;&gt;""),$H323-$G323,"")</f>
        <v/>
      </c>
      <c r="R323" s="53" t="str">
        <f aca="false">IF(AND($G323&lt;&gt;"",$I323&lt;&gt;""),$I323-$G323,"")</f>
        <v/>
      </c>
      <c r="S323" s="53" t="str">
        <f aca="false">IF(AND($H323&lt;&gt;"",$I323&lt;&gt;""),$I323-$H323,"")</f>
        <v/>
      </c>
      <c r="T323" s="53" t="str">
        <f aca="false">IF($J323&lt;&gt;"",$J323,"")</f>
        <v/>
      </c>
      <c r="V323" s="52" t="str">
        <f aca="false">IF($A323&lt;&gt;"",$A323,"")</f>
        <v>Apprenant 311</v>
      </c>
      <c r="W323" s="53" t="str">
        <f aca="false">IF(AND(OR('Choix pédagogiques'!$C$3=1,'Choix pédagogiques'!$C$3=2),$BM323=1),B323,IF(AND('Choix pédagogiques'!$C$3=3,$BO323=1),B323,""))</f>
        <v/>
      </c>
      <c r="X323" s="53" t="str">
        <f aca="false">IF(AND(OR('Choix pédagogiques'!$C$3=1,'Choix pédagogiques'!$C$3=2),$BM323=1),C323,IF(AND('Choix pédagogiques'!$C$3=3,$BO323=1),C323,""))</f>
        <v/>
      </c>
      <c r="Y323" s="53" t="str">
        <f aca="false">IF(AND(OR('Choix pédagogiques'!$C$3=1,'Choix pédagogiques'!$C$3=2),$BM323=1),D323,IF(AND('Choix pédagogiques'!$C$3=3,$BO323=1),D323,""))</f>
        <v/>
      </c>
      <c r="Z323" s="53" t="str">
        <f aca="false">IF($E323&lt;&gt;"",$E323,"")</f>
        <v/>
      </c>
      <c r="AA323" s="52" t="str">
        <f aca="false">IF($F323&lt;&gt;"",$F323,"")</f>
        <v>Apprenant 311 ou 311'</v>
      </c>
      <c r="AB323" s="53" t="str">
        <f aca="false">IF(AND(OR('Choix pédagogiques'!$C$3=1,'Choix pédagogiques'!$C$3=2),$BN323=1),G323,IF(AND('Choix pédagogiques'!$C$3=3,$BO323=1),G323,""))</f>
        <v/>
      </c>
      <c r="AC323" s="53" t="str">
        <f aca="false">IF(AND(OR('Choix pédagogiques'!$C$3=1,'Choix pédagogiques'!$C$3=2),$BN323=1),H323,IF(AND('Choix pédagogiques'!$C$3=3,$BO323=1),H323,""))</f>
        <v/>
      </c>
      <c r="AD323" s="53" t="str">
        <f aca="false">IF(AND(OR('Choix pédagogiques'!$C$3=1,'Choix pédagogiques'!$C$3=2),$BN323=1),I323,IF(AND('Choix pédagogiques'!$C$3=3,$BO323=1),I323,""))</f>
        <v/>
      </c>
      <c r="AE323" s="53" t="str">
        <f aca="false">IF($J323&lt;&gt;"",$J323,"")</f>
        <v/>
      </c>
      <c r="AF323" s="52" t="str">
        <f aca="false">IF($A323&lt;&gt;"",$A323,"")</f>
        <v>Apprenant 311</v>
      </c>
      <c r="AG323" s="53" t="str">
        <f aca="false">IF(AND($W323&lt;&gt;"",$X323&lt;&gt;""),$X323-$W323,"")</f>
        <v/>
      </c>
      <c r="AH323" s="53" t="str">
        <f aca="false">IF(AND($W323&lt;&gt;"",$Y323&lt;&gt;""),$Y323-$W323,"")</f>
        <v/>
      </c>
      <c r="AI323" s="53" t="str">
        <f aca="false">IF(AND($X323&lt;&gt;"",$Y323&lt;&gt;""),$Y323-$X323,"")</f>
        <v/>
      </c>
      <c r="AJ323" s="53" t="str">
        <f aca="false">IF($E323&lt;&gt;"",$E323,"")</f>
        <v/>
      </c>
      <c r="AK323" s="52" t="str">
        <f aca="false">IF($F323&lt;&gt;"",$F323,"")</f>
        <v>Apprenant 311 ou 311'</v>
      </c>
      <c r="AL323" s="53" t="str">
        <f aca="false">IF(AND($AB323&lt;&gt;"",$AC323&lt;&gt;""),$AC323-$AB323,"")</f>
        <v/>
      </c>
      <c r="AM323" s="53" t="str">
        <f aca="false">IF(AND($AB323&lt;&gt;"",$AD323&lt;&gt;""),$AD323-$AB323,"")</f>
        <v/>
      </c>
      <c r="AN323" s="53" t="str">
        <f aca="false">IF(AND($AC323&lt;&gt;"",$AD323&lt;&gt;""),$AD323-$AC323,"")</f>
        <v/>
      </c>
      <c r="AO323" s="53" t="str">
        <f aca="false">IF($J323&lt;&gt;"",$J323,"")</f>
        <v/>
      </c>
      <c r="AQ323" s="52" t="str">
        <f aca="false">IF($A323&lt;&gt;"",$A323,"")</f>
        <v>Apprenant 311</v>
      </c>
      <c r="AR323" s="55" t="str">
        <f aca="false">IF(AND('Choix pédagogiques'!$C$4&lt;&gt;"?",'Choix pédagogiques'!$C$5&lt;&gt;"?",W323&lt;&gt;""),(W323-'Choix pédagogiques'!$C$4)/('Choix pédagogiques'!$C$5-'Choix pédagogiques'!$C$4),"")</f>
        <v/>
      </c>
      <c r="AS323" s="55" t="str">
        <f aca="false">IF(AND('Choix pédagogiques'!$C$4&lt;&gt;"?",'Choix pédagogiques'!$C$5&lt;&gt;"?",X323&lt;&gt;""),(X323-'Choix pédagogiques'!$C$4)/('Choix pédagogiques'!$C$5-'Choix pédagogiques'!$C$4),"")</f>
        <v/>
      </c>
      <c r="AT323" s="55" t="str">
        <f aca="false">IF(AND('Choix pédagogiques'!$C$4&lt;&gt;"?",'Choix pédagogiques'!$C$5&lt;&gt;"?",Y323&lt;&gt;""),(Y323-'Choix pédagogiques'!$C$4)/('Choix pédagogiques'!$C$5-'Choix pédagogiques'!$C$4),"")</f>
        <v/>
      </c>
      <c r="AU323" s="53" t="str">
        <f aca="false">IF($E323&lt;&gt;"",$E323,"")</f>
        <v/>
      </c>
      <c r="AV323" s="52" t="str">
        <f aca="false">IF($F323&lt;&gt;"",$F323,"")</f>
        <v>Apprenant 311 ou 311'</v>
      </c>
      <c r="AW323" s="55" t="str">
        <f aca="false">IF(AND('Choix pédagogiques'!$C$4&lt;&gt;"?",'Choix pédagogiques'!$C$5&lt;&gt;"?",AB323&lt;&gt;""),(AB323-'Choix pédagogiques'!$C$4)/('Choix pédagogiques'!$C$5-'Choix pédagogiques'!$C$4),"")</f>
        <v/>
      </c>
      <c r="AX323" s="55" t="str">
        <f aca="false">IF(AND('Choix pédagogiques'!$C$4&lt;&gt;"?",'Choix pédagogiques'!$C$5&lt;&gt;"?",AC323&lt;&gt;""),(AC323-'Choix pédagogiques'!$C$4)/('Choix pédagogiques'!$C$5-'Choix pédagogiques'!$C$4),"")</f>
        <v/>
      </c>
      <c r="AY323" s="55" t="str">
        <f aca="false">IF(AND('Choix pédagogiques'!$C$4&lt;&gt;"?",'Choix pédagogiques'!$C$5&lt;&gt;"?",AD323&lt;&gt;""),(AD323-'Choix pédagogiques'!$C$4)/('Choix pédagogiques'!$C$5-'Choix pédagogiques'!$C$4),"")</f>
        <v/>
      </c>
      <c r="AZ323" s="53" t="str">
        <f aca="false">IF($J323&lt;&gt;"",$J323,"")</f>
        <v/>
      </c>
      <c r="BA323" s="52" t="str">
        <f aca="false">IF($A323&lt;&gt;"",$A323,"")</f>
        <v>Apprenant 311</v>
      </c>
      <c r="BB323" s="55" t="str">
        <f aca="false">IF(AND($AR323&lt;&gt;"",$AS323&lt;&gt;""),$AS323-$AR323,"")</f>
        <v/>
      </c>
      <c r="BC323" s="55" t="str">
        <f aca="false">IF(AND($AR323&lt;&gt;"",$AT323&lt;&gt;""),$AT323-$AR323,"")</f>
        <v/>
      </c>
      <c r="BD323" s="55" t="str">
        <f aca="false">IF(AND($AS323&lt;&gt;"",$AT323&lt;&gt;""),$AT323-$AS323,"")</f>
        <v/>
      </c>
      <c r="BE323" s="53" t="str">
        <f aca="false">IF($E323&lt;&gt;"",$E323,"")</f>
        <v/>
      </c>
      <c r="BF323" s="52" t="str">
        <f aca="false">IF($F323&lt;&gt;"",$F323,"")</f>
        <v>Apprenant 311 ou 311'</v>
      </c>
      <c r="BG323" s="55" t="str">
        <f aca="false">IF(AND($AW323&lt;&gt;"",$AX323&lt;&gt;""),$AX323-$AW323,"")</f>
        <v/>
      </c>
      <c r="BH323" s="55" t="str">
        <f aca="false">IF(AND($AW323&lt;&gt;"",$AY323&lt;&gt;""),$AY323-$AW323,"")</f>
        <v/>
      </c>
      <c r="BI323" s="55" t="str">
        <f aca="false">IF(AND($AX323&lt;&gt;"",$AY323&lt;&gt;""),$AY323-$AX323,"")</f>
        <v/>
      </c>
      <c r="BJ323" s="53" t="str">
        <f aca="false">IF($J323&lt;&gt;"",$J323,"")</f>
        <v/>
      </c>
      <c r="BL323" s="52"/>
      <c r="BM323" s="52" t="str">
        <f aca="false">IF(OR(COUNT(B323:D1322)=0,AND('Choix pédagogiques'!$C$3&lt;&gt;1,'Choix pédagogiques'!$C$3&lt;&gt;2)),"",IF(AND(OR('Choix pédagogiques'!$C$3=1,'Choix pédagogiques'!$C$3=2),$B323&lt;&gt;"",$C323&lt;&gt;"",$D323&lt;&gt;""),1,0))</f>
        <v/>
      </c>
      <c r="BN323" s="52" t="str">
        <f aca="false">IF(OR(COUNT(G323:I1322)=0,AND('Choix pédagogiques'!$C$3&lt;&gt;1,'Choix pédagogiques'!$C$3&lt;&gt;2)),"",IF(AND(OR('Choix pédagogiques'!$C$3=1,'Choix pédagogiques'!$C$3=2),AND($G323&lt;&gt;"",$H323&lt;&gt;"",$I323&lt;&gt;"")),1,0))</f>
        <v/>
      </c>
      <c r="BO323" s="52" t="str">
        <f aca="false">IF(OR(COUNT(B323:D1322)=0,COUNT(G323:I1322)=0,'Choix pédagogiques'!C$3&lt;&gt;3),"",IF(AND('Choix pédagogiques'!$C$3=3,$B323&lt;&gt;"",$C323&lt;&gt;"",$D323&lt;&gt;"",$G323&lt;&gt;"",$H323&lt;&gt;"",$I323&lt;&gt;""),1,0))</f>
        <v/>
      </c>
      <c r="BR323" s="52" t="n">
        <v>431</v>
      </c>
      <c r="BS323" s="52" t="n">
        <v>1554</v>
      </c>
    </row>
    <row r="324" s="54" customFormat="true" ht="18" hidden="false" customHeight="true" outlineLevel="0" collapsed="false">
      <c r="A324" s="57" t="s">
        <v>579</v>
      </c>
      <c r="B324" s="51"/>
      <c r="C324" s="51"/>
      <c r="D324" s="51"/>
      <c r="E324" s="51"/>
      <c r="F324" s="57" t="s">
        <v>580</v>
      </c>
      <c r="G324" s="51"/>
      <c r="H324" s="51"/>
      <c r="I324" s="51"/>
      <c r="J324" s="51"/>
      <c r="K324" s="52" t="str">
        <f aca="false">IF($A324&lt;&gt;"",$A324,"")</f>
        <v>Apprenant 312</v>
      </c>
      <c r="L324" s="53" t="str">
        <f aca="false">IF(AND($B324&lt;&gt;"",$C324&lt;&gt;""),$C324-$B324,"")</f>
        <v/>
      </c>
      <c r="M324" s="53" t="str">
        <f aca="false">IF(AND($B324&lt;&gt;"",$D324&lt;&gt;""),$D324-$B324,"")</f>
        <v/>
      </c>
      <c r="N324" s="53" t="str">
        <f aca="false">IF(AND($C324&lt;&gt;"",$D324&lt;&gt;""),$D324-$C324,"")</f>
        <v/>
      </c>
      <c r="O324" s="53" t="str">
        <f aca="false">IF($E324&lt;&gt;"",$E324,"")</f>
        <v/>
      </c>
      <c r="P324" s="52" t="str">
        <f aca="false">IF($F324&lt;&gt;"",$F324,"")</f>
        <v>Apprenant 312 ou 312'</v>
      </c>
      <c r="Q324" s="53" t="str">
        <f aca="false">IF(AND($G324&lt;&gt;"",$H324&lt;&gt;""),$H324-$G324,"")</f>
        <v/>
      </c>
      <c r="R324" s="53" t="str">
        <f aca="false">IF(AND($G324&lt;&gt;"",$I324&lt;&gt;""),$I324-$G324,"")</f>
        <v/>
      </c>
      <c r="S324" s="53" t="str">
        <f aca="false">IF(AND($H324&lt;&gt;"",$I324&lt;&gt;""),$I324-$H324,"")</f>
        <v/>
      </c>
      <c r="T324" s="53" t="str">
        <f aca="false">IF($J324&lt;&gt;"",$J324,"")</f>
        <v/>
      </c>
      <c r="V324" s="52" t="str">
        <f aca="false">IF($A324&lt;&gt;"",$A324,"")</f>
        <v>Apprenant 312</v>
      </c>
      <c r="W324" s="53" t="str">
        <f aca="false">IF(AND(OR('Choix pédagogiques'!$C$3=1,'Choix pédagogiques'!$C$3=2),$BM324=1),B324,IF(AND('Choix pédagogiques'!$C$3=3,$BO324=1),B324,""))</f>
        <v/>
      </c>
      <c r="X324" s="53" t="str">
        <f aca="false">IF(AND(OR('Choix pédagogiques'!$C$3=1,'Choix pédagogiques'!$C$3=2),$BM324=1),C324,IF(AND('Choix pédagogiques'!$C$3=3,$BO324=1),C324,""))</f>
        <v/>
      </c>
      <c r="Y324" s="53" t="str">
        <f aca="false">IF(AND(OR('Choix pédagogiques'!$C$3=1,'Choix pédagogiques'!$C$3=2),$BM324=1),D324,IF(AND('Choix pédagogiques'!$C$3=3,$BO324=1),D324,""))</f>
        <v/>
      </c>
      <c r="Z324" s="53" t="str">
        <f aca="false">IF($E324&lt;&gt;"",$E324,"")</f>
        <v/>
      </c>
      <c r="AA324" s="52" t="str">
        <f aca="false">IF($F324&lt;&gt;"",$F324,"")</f>
        <v>Apprenant 312 ou 312'</v>
      </c>
      <c r="AB324" s="53" t="str">
        <f aca="false">IF(AND(OR('Choix pédagogiques'!$C$3=1,'Choix pédagogiques'!$C$3=2),$BN324=1),G324,IF(AND('Choix pédagogiques'!$C$3=3,$BO324=1),G324,""))</f>
        <v/>
      </c>
      <c r="AC324" s="53" t="str">
        <f aca="false">IF(AND(OR('Choix pédagogiques'!$C$3=1,'Choix pédagogiques'!$C$3=2),$BN324=1),H324,IF(AND('Choix pédagogiques'!$C$3=3,$BO324=1),H324,""))</f>
        <v/>
      </c>
      <c r="AD324" s="53" t="str">
        <f aca="false">IF(AND(OR('Choix pédagogiques'!$C$3=1,'Choix pédagogiques'!$C$3=2),$BN324=1),I324,IF(AND('Choix pédagogiques'!$C$3=3,$BO324=1),I324,""))</f>
        <v/>
      </c>
      <c r="AE324" s="53" t="str">
        <f aca="false">IF($J324&lt;&gt;"",$J324,"")</f>
        <v/>
      </c>
      <c r="AF324" s="52" t="str">
        <f aca="false">IF($A324&lt;&gt;"",$A324,"")</f>
        <v>Apprenant 312</v>
      </c>
      <c r="AG324" s="53" t="str">
        <f aca="false">IF(AND($W324&lt;&gt;"",$X324&lt;&gt;""),$X324-$W324,"")</f>
        <v/>
      </c>
      <c r="AH324" s="53" t="str">
        <f aca="false">IF(AND($W324&lt;&gt;"",$Y324&lt;&gt;""),$Y324-$W324,"")</f>
        <v/>
      </c>
      <c r="AI324" s="53" t="str">
        <f aca="false">IF(AND($X324&lt;&gt;"",$Y324&lt;&gt;""),$Y324-$X324,"")</f>
        <v/>
      </c>
      <c r="AJ324" s="53" t="str">
        <f aca="false">IF($E324&lt;&gt;"",$E324,"")</f>
        <v/>
      </c>
      <c r="AK324" s="52" t="str">
        <f aca="false">IF($F324&lt;&gt;"",$F324,"")</f>
        <v>Apprenant 312 ou 312'</v>
      </c>
      <c r="AL324" s="53" t="str">
        <f aca="false">IF(AND($AB324&lt;&gt;"",$AC324&lt;&gt;""),$AC324-$AB324,"")</f>
        <v/>
      </c>
      <c r="AM324" s="53" t="str">
        <f aca="false">IF(AND($AB324&lt;&gt;"",$AD324&lt;&gt;""),$AD324-$AB324,"")</f>
        <v/>
      </c>
      <c r="AN324" s="53" t="str">
        <f aca="false">IF(AND($AC324&lt;&gt;"",$AD324&lt;&gt;""),$AD324-$AC324,"")</f>
        <v/>
      </c>
      <c r="AO324" s="53" t="str">
        <f aca="false">IF($J324&lt;&gt;"",$J324,"")</f>
        <v/>
      </c>
      <c r="AQ324" s="52" t="str">
        <f aca="false">IF($A324&lt;&gt;"",$A324,"")</f>
        <v>Apprenant 312</v>
      </c>
      <c r="AR324" s="55" t="str">
        <f aca="false">IF(AND('Choix pédagogiques'!$C$4&lt;&gt;"?",'Choix pédagogiques'!$C$5&lt;&gt;"?",W324&lt;&gt;""),(W324-'Choix pédagogiques'!$C$4)/('Choix pédagogiques'!$C$5-'Choix pédagogiques'!$C$4),"")</f>
        <v/>
      </c>
      <c r="AS324" s="55" t="str">
        <f aca="false">IF(AND('Choix pédagogiques'!$C$4&lt;&gt;"?",'Choix pédagogiques'!$C$5&lt;&gt;"?",X324&lt;&gt;""),(X324-'Choix pédagogiques'!$C$4)/('Choix pédagogiques'!$C$5-'Choix pédagogiques'!$C$4),"")</f>
        <v/>
      </c>
      <c r="AT324" s="55" t="str">
        <f aca="false">IF(AND('Choix pédagogiques'!$C$4&lt;&gt;"?",'Choix pédagogiques'!$C$5&lt;&gt;"?",Y324&lt;&gt;""),(Y324-'Choix pédagogiques'!$C$4)/('Choix pédagogiques'!$C$5-'Choix pédagogiques'!$C$4),"")</f>
        <v/>
      </c>
      <c r="AU324" s="53" t="str">
        <f aca="false">IF($E324&lt;&gt;"",$E324,"")</f>
        <v/>
      </c>
      <c r="AV324" s="52" t="str">
        <f aca="false">IF($F324&lt;&gt;"",$F324,"")</f>
        <v>Apprenant 312 ou 312'</v>
      </c>
      <c r="AW324" s="55" t="str">
        <f aca="false">IF(AND('Choix pédagogiques'!$C$4&lt;&gt;"?",'Choix pédagogiques'!$C$5&lt;&gt;"?",AB324&lt;&gt;""),(AB324-'Choix pédagogiques'!$C$4)/('Choix pédagogiques'!$C$5-'Choix pédagogiques'!$C$4),"")</f>
        <v/>
      </c>
      <c r="AX324" s="55" t="str">
        <f aca="false">IF(AND('Choix pédagogiques'!$C$4&lt;&gt;"?",'Choix pédagogiques'!$C$5&lt;&gt;"?",AC324&lt;&gt;""),(AC324-'Choix pédagogiques'!$C$4)/('Choix pédagogiques'!$C$5-'Choix pédagogiques'!$C$4),"")</f>
        <v/>
      </c>
      <c r="AY324" s="55" t="str">
        <f aca="false">IF(AND('Choix pédagogiques'!$C$4&lt;&gt;"?",'Choix pédagogiques'!$C$5&lt;&gt;"?",AD324&lt;&gt;""),(AD324-'Choix pédagogiques'!$C$4)/('Choix pédagogiques'!$C$5-'Choix pédagogiques'!$C$4),"")</f>
        <v/>
      </c>
      <c r="AZ324" s="53" t="str">
        <f aca="false">IF($J324&lt;&gt;"",$J324,"")</f>
        <v/>
      </c>
      <c r="BA324" s="52" t="str">
        <f aca="false">IF($A324&lt;&gt;"",$A324,"")</f>
        <v>Apprenant 312</v>
      </c>
      <c r="BB324" s="55" t="str">
        <f aca="false">IF(AND($AR324&lt;&gt;"",$AS324&lt;&gt;""),$AS324-$AR324,"")</f>
        <v/>
      </c>
      <c r="BC324" s="55" t="str">
        <f aca="false">IF(AND($AR324&lt;&gt;"",$AT324&lt;&gt;""),$AT324-$AR324,"")</f>
        <v/>
      </c>
      <c r="BD324" s="55" t="str">
        <f aca="false">IF(AND($AS324&lt;&gt;"",$AT324&lt;&gt;""),$AT324-$AS324,"")</f>
        <v/>
      </c>
      <c r="BE324" s="53" t="str">
        <f aca="false">IF($E324&lt;&gt;"",$E324,"")</f>
        <v/>
      </c>
      <c r="BF324" s="52" t="str">
        <f aca="false">IF($F324&lt;&gt;"",$F324,"")</f>
        <v>Apprenant 312 ou 312'</v>
      </c>
      <c r="BG324" s="55" t="str">
        <f aca="false">IF(AND($AW324&lt;&gt;"",$AX324&lt;&gt;""),$AX324-$AW324,"")</f>
        <v/>
      </c>
      <c r="BH324" s="55" t="str">
        <f aca="false">IF(AND($AW324&lt;&gt;"",$AY324&lt;&gt;""),$AY324-$AW324,"")</f>
        <v/>
      </c>
      <c r="BI324" s="55" t="str">
        <f aca="false">IF(AND($AX324&lt;&gt;"",$AY324&lt;&gt;""),$AY324-$AX324,"")</f>
        <v/>
      </c>
      <c r="BJ324" s="53" t="str">
        <f aca="false">IF($J324&lt;&gt;"",$J324,"")</f>
        <v/>
      </c>
      <c r="BL324" s="52"/>
      <c r="BM324" s="52" t="str">
        <f aca="false">IF(OR(COUNT(B324:D1323)=0,AND('Choix pédagogiques'!$C$3&lt;&gt;1,'Choix pédagogiques'!$C$3&lt;&gt;2)),"",IF(AND(OR('Choix pédagogiques'!$C$3=1,'Choix pédagogiques'!$C$3=2),$B324&lt;&gt;"",$C324&lt;&gt;"",$D324&lt;&gt;""),1,0))</f>
        <v/>
      </c>
      <c r="BN324" s="52" t="str">
        <f aca="false">IF(OR(COUNT(G324:I1323)=0,AND('Choix pédagogiques'!$C$3&lt;&gt;1,'Choix pédagogiques'!$C$3&lt;&gt;2)),"",IF(AND(OR('Choix pédagogiques'!$C$3=1,'Choix pédagogiques'!$C$3=2),AND($G324&lt;&gt;"",$H324&lt;&gt;"",$I324&lt;&gt;"")),1,0))</f>
        <v/>
      </c>
      <c r="BO324" s="52" t="str">
        <f aca="false">IF(OR(COUNT(B324:D1323)=0,COUNT(G324:I1323)=0,'Choix pédagogiques'!C$3&lt;&gt;3),"",IF(AND('Choix pédagogiques'!$C$3=3,$B324&lt;&gt;"",$C324&lt;&gt;"",$D324&lt;&gt;"",$G324&lt;&gt;"",$H324&lt;&gt;"",$I324&lt;&gt;""),1,0))</f>
        <v/>
      </c>
      <c r="BR324" s="52" t="n">
        <v>152</v>
      </c>
      <c r="BS324" s="52" t="n">
        <v>1218</v>
      </c>
    </row>
    <row r="325" s="54" customFormat="true" ht="18" hidden="false" customHeight="true" outlineLevel="0" collapsed="false">
      <c r="A325" s="57" t="s">
        <v>581</v>
      </c>
      <c r="B325" s="51"/>
      <c r="C325" s="51"/>
      <c r="D325" s="51"/>
      <c r="E325" s="51"/>
      <c r="F325" s="57" t="s">
        <v>582</v>
      </c>
      <c r="G325" s="51"/>
      <c r="H325" s="51"/>
      <c r="I325" s="51"/>
      <c r="J325" s="51"/>
      <c r="K325" s="52" t="str">
        <f aca="false">IF($A325&lt;&gt;"",$A325,"")</f>
        <v>Apprenant 313</v>
      </c>
      <c r="L325" s="53" t="str">
        <f aca="false">IF(AND($B325&lt;&gt;"",$C325&lt;&gt;""),$C325-$B325,"")</f>
        <v/>
      </c>
      <c r="M325" s="53" t="str">
        <f aca="false">IF(AND($B325&lt;&gt;"",$D325&lt;&gt;""),$D325-$B325,"")</f>
        <v/>
      </c>
      <c r="N325" s="53" t="str">
        <f aca="false">IF(AND($C325&lt;&gt;"",$D325&lt;&gt;""),$D325-$C325,"")</f>
        <v/>
      </c>
      <c r="O325" s="53" t="str">
        <f aca="false">IF($E325&lt;&gt;"",$E325,"")</f>
        <v/>
      </c>
      <c r="P325" s="52" t="str">
        <f aca="false">IF($F325&lt;&gt;"",$F325,"")</f>
        <v>Apprenant 313 ou 313'</v>
      </c>
      <c r="Q325" s="53" t="str">
        <f aca="false">IF(AND($G325&lt;&gt;"",$H325&lt;&gt;""),$H325-$G325,"")</f>
        <v/>
      </c>
      <c r="R325" s="53" t="str">
        <f aca="false">IF(AND($G325&lt;&gt;"",$I325&lt;&gt;""),$I325-$G325,"")</f>
        <v/>
      </c>
      <c r="S325" s="53" t="str">
        <f aca="false">IF(AND($H325&lt;&gt;"",$I325&lt;&gt;""),$I325-$H325,"")</f>
        <v/>
      </c>
      <c r="T325" s="53" t="str">
        <f aca="false">IF($J325&lt;&gt;"",$J325,"")</f>
        <v/>
      </c>
      <c r="V325" s="52" t="str">
        <f aca="false">IF($A325&lt;&gt;"",$A325,"")</f>
        <v>Apprenant 313</v>
      </c>
      <c r="W325" s="53" t="str">
        <f aca="false">IF(AND(OR('Choix pédagogiques'!$C$3=1,'Choix pédagogiques'!$C$3=2),$BM325=1),B325,IF(AND('Choix pédagogiques'!$C$3=3,$BO325=1),B325,""))</f>
        <v/>
      </c>
      <c r="X325" s="53" t="str">
        <f aca="false">IF(AND(OR('Choix pédagogiques'!$C$3=1,'Choix pédagogiques'!$C$3=2),$BM325=1),C325,IF(AND('Choix pédagogiques'!$C$3=3,$BO325=1),C325,""))</f>
        <v/>
      </c>
      <c r="Y325" s="53" t="str">
        <f aca="false">IF(AND(OR('Choix pédagogiques'!$C$3=1,'Choix pédagogiques'!$C$3=2),$BM325=1),D325,IF(AND('Choix pédagogiques'!$C$3=3,$BO325=1),D325,""))</f>
        <v/>
      </c>
      <c r="Z325" s="53" t="str">
        <f aca="false">IF($E325&lt;&gt;"",$E325,"")</f>
        <v/>
      </c>
      <c r="AA325" s="52" t="str">
        <f aca="false">IF($F325&lt;&gt;"",$F325,"")</f>
        <v>Apprenant 313 ou 313'</v>
      </c>
      <c r="AB325" s="53" t="str">
        <f aca="false">IF(AND(OR('Choix pédagogiques'!$C$3=1,'Choix pédagogiques'!$C$3=2),$BN325=1),G325,IF(AND('Choix pédagogiques'!$C$3=3,$BO325=1),G325,""))</f>
        <v/>
      </c>
      <c r="AC325" s="53" t="str">
        <f aca="false">IF(AND(OR('Choix pédagogiques'!$C$3=1,'Choix pédagogiques'!$C$3=2),$BN325=1),H325,IF(AND('Choix pédagogiques'!$C$3=3,$BO325=1),H325,""))</f>
        <v/>
      </c>
      <c r="AD325" s="53" t="str">
        <f aca="false">IF(AND(OR('Choix pédagogiques'!$C$3=1,'Choix pédagogiques'!$C$3=2),$BN325=1),I325,IF(AND('Choix pédagogiques'!$C$3=3,$BO325=1),I325,""))</f>
        <v/>
      </c>
      <c r="AE325" s="53" t="str">
        <f aca="false">IF($J325&lt;&gt;"",$J325,"")</f>
        <v/>
      </c>
      <c r="AF325" s="52" t="str">
        <f aca="false">IF($A325&lt;&gt;"",$A325,"")</f>
        <v>Apprenant 313</v>
      </c>
      <c r="AG325" s="53" t="str">
        <f aca="false">IF(AND($W325&lt;&gt;"",$X325&lt;&gt;""),$X325-$W325,"")</f>
        <v/>
      </c>
      <c r="AH325" s="53" t="str">
        <f aca="false">IF(AND($W325&lt;&gt;"",$Y325&lt;&gt;""),$Y325-$W325,"")</f>
        <v/>
      </c>
      <c r="AI325" s="53" t="str">
        <f aca="false">IF(AND($X325&lt;&gt;"",$Y325&lt;&gt;""),$Y325-$X325,"")</f>
        <v/>
      </c>
      <c r="AJ325" s="53" t="str">
        <f aca="false">IF($E325&lt;&gt;"",$E325,"")</f>
        <v/>
      </c>
      <c r="AK325" s="52" t="str">
        <f aca="false">IF($F325&lt;&gt;"",$F325,"")</f>
        <v>Apprenant 313 ou 313'</v>
      </c>
      <c r="AL325" s="53" t="str">
        <f aca="false">IF(AND($AB325&lt;&gt;"",$AC325&lt;&gt;""),$AC325-$AB325,"")</f>
        <v/>
      </c>
      <c r="AM325" s="53" t="str">
        <f aca="false">IF(AND($AB325&lt;&gt;"",$AD325&lt;&gt;""),$AD325-$AB325,"")</f>
        <v/>
      </c>
      <c r="AN325" s="53" t="str">
        <f aca="false">IF(AND($AC325&lt;&gt;"",$AD325&lt;&gt;""),$AD325-$AC325,"")</f>
        <v/>
      </c>
      <c r="AO325" s="53" t="str">
        <f aca="false">IF($J325&lt;&gt;"",$J325,"")</f>
        <v/>
      </c>
      <c r="AQ325" s="52" t="str">
        <f aca="false">IF($A325&lt;&gt;"",$A325,"")</f>
        <v>Apprenant 313</v>
      </c>
      <c r="AR325" s="55" t="str">
        <f aca="false">IF(AND('Choix pédagogiques'!$C$4&lt;&gt;"?",'Choix pédagogiques'!$C$5&lt;&gt;"?",W325&lt;&gt;""),(W325-'Choix pédagogiques'!$C$4)/('Choix pédagogiques'!$C$5-'Choix pédagogiques'!$C$4),"")</f>
        <v/>
      </c>
      <c r="AS325" s="55" t="str">
        <f aca="false">IF(AND('Choix pédagogiques'!$C$4&lt;&gt;"?",'Choix pédagogiques'!$C$5&lt;&gt;"?",X325&lt;&gt;""),(X325-'Choix pédagogiques'!$C$4)/('Choix pédagogiques'!$C$5-'Choix pédagogiques'!$C$4),"")</f>
        <v/>
      </c>
      <c r="AT325" s="55" t="str">
        <f aca="false">IF(AND('Choix pédagogiques'!$C$4&lt;&gt;"?",'Choix pédagogiques'!$C$5&lt;&gt;"?",Y325&lt;&gt;""),(Y325-'Choix pédagogiques'!$C$4)/('Choix pédagogiques'!$C$5-'Choix pédagogiques'!$C$4),"")</f>
        <v/>
      </c>
      <c r="AU325" s="53" t="str">
        <f aca="false">IF($E325&lt;&gt;"",$E325,"")</f>
        <v/>
      </c>
      <c r="AV325" s="52" t="str">
        <f aca="false">IF($F325&lt;&gt;"",$F325,"")</f>
        <v>Apprenant 313 ou 313'</v>
      </c>
      <c r="AW325" s="55" t="str">
        <f aca="false">IF(AND('Choix pédagogiques'!$C$4&lt;&gt;"?",'Choix pédagogiques'!$C$5&lt;&gt;"?",AB325&lt;&gt;""),(AB325-'Choix pédagogiques'!$C$4)/('Choix pédagogiques'!$C$5-'Choix pédagogiques'!$C$4),"")</f>
        <v/>
      </c>
      <c r="AX325" s="55" t="str">
        <f aca="false">IF(AND('Choix pédagogiques'!$C$4&lt;&gt;"?",'Choix pédagogiques'!$C$5&lt;&gt;"?",AC325&lt;&gt;""),(AC325-'Choix pédagogiques'!$C$4)/('Choix pédagogiques'!$C$5-'Choix pédagogiques'!$C$4),"")</f>
        <v/>
      </c>
      <c r="AY325" s="55" t="str">
        <f aca="false">IF(AND('Choix pédagogiques'!$C$4&lt;&gt;"?",'Choix pédagogiques'!$C$5&lt;&gt;"?",AD325&lt;&gt;""),(AD325-'Choix pédagogiques'!$C$4)/('Choix pédagogiques'!$C$5-'Choix pédagogiques'!$C$4),"")</f>
        <v/>
      </c>
      <c r="AZ325" s="53" t="str">
        <f aca="false">IF($J325&lt;&gt;"",$J325,"")</f>
        <v/>
      </c>
      <c r="BA325" s="52" t="str">
        <f aca="false">IF($A325&lt;&gt;"",$A325,"")</f>
        <v>Apprenant 313</v>
      </c>
      <c r="BB325" s="55" t="str">
        <f aca="false">IF(AND($AR325&lt;&gt;"",$AS325&lt;&gt;""),$AS325-$AR325,"")</f>
        <v/>
      </c>
      <c r="BC325" s="55" t="str">
        <f aca="false">IF(AND($AR325&lt;&gt;"",$AT325&lt;&gt;""),$AT325-$AR325,"")</f>
        <v/>
      </c>
      <c r="BD325" s="55" t="str">
        <f aca="false">IF(AND($AS325&lt;&gt;"",$AT325&lt;&gt;""),$AT325-$AS325,"")</f>
        <v/>
      </c>
      <c r="BE325" s="53" t="str">
        <f aca="false">IF($E325&lt;&gt;"",$E325,"")</f>
        <v/>
      </c>
      <c r="BF325" s="52" t="str">
        <f aca="false">IF($F325&lt;&gt;"",$F325,"")</f>
        <v>Apprenant 313 ou 313'</v>
      </c>
      <c r="BG325" s="55" t="str">
        <f aca="false">IF(AND($AW325&lt;&gt;"",$AX325&lt;&gt;""),$AX325-$AW325,"")</f>
        <v/>
      </c>
      <c r="BH325" s="55" t="str">
        <f aca="false">IF(AND($AW325&lt;&gt;"",$AY325&lt;&gt;""),$AY325-$AW325,"")</f>
        <v/>
      </c>
      <c r="BI325" s="55" t="str">
        <f aca="false">IF(AND($AX325&lt;&gt;"",$AY325&lt;&gt;""),$AY325-$AX325,"")</f>
        <v/>
      </c>
      <c r="BJ325" s="53" t="str">
        <f aca="false">IF($J325&lt;&gt;"",$J325,"")</f>
        <v/>
      </c>
      <c r="BL325" s="52"/>
      <c r="BM325" s="52" t="str">
        <f aca="false">IF(OR(COUNT(B325:D1324)=0,AND('Choix pédagogiques'!$C$3&lt;&gt;1,'Choix pédagogiques'!$C$3&lt;&gt;2)),"",IF(AND(OR('Choix pédagogiques'!$C$3=1,'Choix pédagogiques'!$C$3=2),$B325&lt;&gt;"",$C325&lt;&gt;"",$D325&lt;&gt;""),1,0))</f>
        <v/>
      </c>
      <c r="BN325" s="52" t="str">
        <f aca="false">IF(OR(COUNT(G325:I1324)=0,AND('Choix pédagogiques'!$C$3&lt;&gt;1,'Choix pédagogiques'!$C$3&lt;&gt;2)),"",IF(AND(OR('Choix pédagogiques'!$C$3=1,'Choix pédagogiques'!$C$3=2),AND($G325&lt;&gt;"",$H325&lt;&gt;"",$I325&lt;&gt;"")),1,0))</f>
        <v/>
      </c>
      <c r="BO325" s="52" t="str">
        <f aca="false">IF(OR(COUNT(B325:D1324)=0,COUNT(G325:I1324)=0,'Choix pédagogiques'!C$3&lt;&gt;3),"",IF(AND('Choix pédagogiques'!$C$3=3,$B325&lt;&gt;"",$C325&lt;&gt;"",$D325&lt;&gt;"",$G325&lt;&gt;"",$H325&lt;&gt;"",$I325&lt;&gt;""),1,0))</f>
        <v/>
      </c>
      <c r="BR325" s="52" t="n">
        <v>948</v>
      </c>
      <c r="BS325" s="52" t="n">
        <v>1087</v>
      </c>
    </row>
    <row r="326" s="54" customFormat="true" ht="18" hidden="false" customHeight="true" outlineLevel="0" collapsed="false">
      <c r="A326" s="57" t="s">
        <v>583</v>
      </c>
      <c r="B326" s="51"/>
      <c r="C326" s="51"/>
      <c r="D326" s="51"/>
      <c r="E326" s="51"/>
      <c r="F326" s="57" t="s">
        <v>584</v>
      </c>
      <c r="G326" s="51"/>
      <c r="H326" s="51"/>
      <c r="I326" s="51"/>
      <c r="J326" s="51"/>
      <c r="K326" s="52" t="str">
        <f aca="false">IF($A326&lt;&gt;"",$A326,"")</f>
        <v>Apprenant 314</v>
      </c>
      <c r="L326" s="53" t="str">
        <f aca="false">IF(AND($B326&lt;&gt;"",$C326&lt;&gt;""),$C326-$B326,"")</f>
        <v/>
      </c>
      <c r="M326" s="53" t="str">
        <f aca="false">IF(AND($B326&lt;&gt;"",$D326&lt;&gt;""),$D326-$B326,"")</f>
        <v/>
      </c>
      <c r="N326" s="53" t="str">
        <f aca="false">IF(AND($C326&lt;&gt;"",$D326&lt;&gt;""),$D326-$C326,"")</f>
        <v/>
      </c>
      <c r="O326" s="53" t="str">
        <f aca="false">IF($E326&lt;&gt;"",$E326,"")</f>
        <v/>
      </c>
      <c r="P326" s="52" t="str">
        <f aca="false">IF($F326&lt;&gt;"",$F326,"")</f>
        <v>Apprenant 314 ou 314'</v>
      </c>
      <c r="Q326" s="53" t="str">
        <f aca="false">IF(AND($G326&lt;&gt;"",$H326&lt;&gt;""),$H326-$G326,"")</f>
        <v/>
      </c>
      <c r="R326" s="53" t="str">
        <f aca="false">IF(AND($G326&lt;&gt;"",$I326&lt;&gt;""),$I326-$G326,"")</f>
        <v/>
      </c>
      <c r="S326" s="53" t="str">
        <f aca="false">IF(AND($H326&lt;&gt;"",$I326&lt;&gt;""),$I326-$H326,"")</f>
        <v/>
      </c>
      <c r="T326" s="53" t="str">
        <f aca="false">IF($J326&lt;&gt;"",$J326,"")</f>
        <v/>
      </c>
      <c r="V326" s="52" t="str">
        <f aca="false">IF($A326&lt;&gt;"",$A326,"")</f>
        <v>Apprenant 314</v>
      </c>
      <c r="W326" s="53" t="str">
        <f aca="false">IF(AND(OR('Choix pédagogiques'!$C$3=1,'Choix pédagogiques'!$C$3=2),$BM326=1),B326,IF(AND('Choix pédagogiques'!$C$3=3,$BO326=1),B326,""))</f>
        <v/>
      </c>
      <c r="X326" s="53" t="str">
        <f aca="false">IF(AND(OR('Choix pédagogiques'!$C$3=1,'Choix pédagogiques'!$C$3=2),$BM326=1),C326,IF(AND('Choix pédagogiques'!$C$3=3,$BO326=1),C326,""))</f>
        <v/>
      </c>
      <c r="Y326" s="53" t="str">
        <f aca="false">IF(AND(OR('Choix pédagogiques'!$C$3=1,'Choix pédagogiques'!$C$3=2),$BM326=1),D326,IF(AND('Choix pédagogiques'!$C$3=3,$BO326=1),D326,""))</f>
        <v/>
      </c>
      <c r="Z326" s="53" t="str">
        <f aca="false">IF($E326&lt;&gt;"",$E326,"")</f>
        <v/>
      </c>
      <c r="AA326" s="52" t="str">
        <f aca="false">IF($F326&lt;&gt;"",$F326,"")</f>
        <v>Apprenant 314 ou 314'</v>
      </c>
      <c r="AB326" s="53" t="str">
        <f aca="false">IF(AND(OR('Choix pédagogiques'!$C$3=1,'Choix pédagogiques'!$C$3=2),$BN326=1),G326,IF(AND('Choix pédagogiques'!$C$3=3,$BO326=1),G326,""))</f>
        <v/>
      </c>
      <c r="AC326" s="53" t="str">
        <f aca="false">IF(AND(OR('Choix pédagogiques'!$C$3=1,'Choix pédagogiques'!$C$3=2),$BN326=1),H326,IF(AND('Choix pédagogiques'!$C$3=3,$BO326=1),H326,""))</f>
        <v/>
      </c>
      <c r="AD326" s="53" t="str">
        <f aca="false">IF(AND(OR('Choix pédagogiques'!$C$3=1,'Choix pédagogiques'!$C$3=2),$BN326=1),I326,IF(AND('Choix pédagogiques'!$C$3=3,$BO326=1),I326,""))</f>
        <v/>
      </c>
      <c r="AE326" s="53" t="str">
        <f aca="false">IF($J326&lt;&gt;"",$J326,"")</f>
        <v/>
      </c>
      <c r="AF326" s="52" t="str">
        <f aca="false">IF($A326&lt;&gt;"",$A326,"")</f>
        <v>Apprenant 314</v>
      </c>
      <c r="AG326" s="53" t="str">
        <f aca="false">IF(AND($W326&lt;&gt;"",$X326&lt;&gt;""),$X326-$W326,"")</f>
        <v/>
      </c>
      <c r="AH326" s="53" t="str">
        <f aca="false">IF(AND($W326&lt;&gt;"",$Y326&lt;&gt;""),$Y326-$W326,"")</f>
        <v/>
      </c>
      <c r="AI326" s="53" t="str">
        <f aca="false">IF(AND($X326&lt;&gt;"",$Y326&lt;&gt;""),$Y326-$X326,"")</f>
        <v/>
      </c>
      <c r="AJ326" s="53" t="str">
        <f aca="false">IF($E326&lt;&gt;"",$E326,"")</f>
        <v/>
      </c>
      <c r="AK326" s="52" t="str">
        <f aca="false">IF($F326&lt;&gt;"",$F326,"")</f>
        <v>Apprenant 314 ou 314'</v>
      </c>
      <c r="AL326" s="53" t="str">
        <f aca="false">IF(AND($AB326&lt;&gt;"",$AC326&lt;&gt;""),$AC326-$AB326,"")</f>
        <v/>
      </c>
      <c r="AM326" s="53" t="str">
        <f aca="false">IF(AND($AB326&lt;&gt;"",$AD326&lt;&gt;""),$AD326-$AB326,"")</f>
        <v/>
      </c>
      <c r="AN326" s="53" t="str">
        <f aca="false">IF(AND($AC326&lt;&gt;"",$AD326&lt;&gt;""),$AD326-$AC326,"")</f>
        <v/>
      </c>
      <c r="AO326" s="53" t="str">
        <f aca="false">IF($J326&lt;&gt;"",$J326,"")</f>
        <v/>
      </c>
      <c r="AQ326" s="52" t="str">
        <f aca="false">IF($A326&lt;&gt;"",$A326,"")</f>
        <v>Apprenant 314</v>
      </c>
      <c r="AR326" s="55" t="str">
        <f aca="false">IF(AND('Choix pédagogiques'!$C$4&lt;&gt;"?",'Choix pédagogiques'!$C$5&lt;&gt;"?",W326&lt;&gt;""),(W326-'Choix pédagogiques'!$C$4)/('Choix pédagogiques'!$C$5-'Choix pédagogiques'!$C$4),"")</f>
        <v/>
      </c>
      <c r="AS326" s="55" t="str">
        <f aca="false">IF(AND('Choix pédagogiques'!$C$4&lt;&gt;"?",'Choix pédagogiques'!$C$5&lt;&gt;"?",X326&lt;&gt;""),(X326-'Choix pédagogiques'!$C$4)/('Choix pédagogiques'!$C$5-'Choix pédagogiques'!$C$4),"")</f>
        <v/>
      </c>
      <c r="AT326" s="55" t="str">
        <f aca="false">IF(AND('Choix pédagogiques'!$C$4&lt;&gt;"?",'Choix pédagogiques'!$C$5&lt;&gt;"?",Y326&lt;&gt;""),(Y326-'Choix pédagogiques'!$C$4)/('Choix pédagogiques'!$C$5-'Choix pédagogiques'!$C$4),"")</f>
        <v/>
      </c>
      <c r="AU326" s="53" t="str">
        <f aca="false">IF($E326&lt;&gt;"",$E326,"")</f>
        <v/>
      </c>
      <c r="AV326" s="52" t="str">
        <f aca="false">IF($F326&lt;&gt;"",$F326,"")</f>
        <v>Apprenant 314 ou 314'</v>
      </c>
      <c r="AW326" s="55" t="str">
        <f aca="false">IF(AND('Choix pédagogiques'!$C$4&lt;&gt;"?",'Choix pédagogiques'!$C$5&lt;&gt;"?",AB326&lt;&gt;""),(AB326-'Choix pédagogiques'!$C$4)/('Choix pédagogiques'!$C$5-'Choix pédagogiques'!$C$4),"")</f>
        <v/>
      </c>
      <c r="AX326" s="55" t="str">
        <f aca="false">IF(AND('Choix pédagogiques'!$C$4&lt;&gt;"?",'Choix pédagogiques'!$C$5&lt;&gt;"?",AC326&lt;&gt;""),(AC326-'Choix pédagogiques'!$C$4)/('Choix pédagogiques'!$C$5-'Choix pédagogiques'!$C$4),"")</f>
        <v/>
      </c>
      <c r="AY326" s="55" t="str">
        <f aca="false">IF(AND('Choix pédagogiques'!$C$4&lt;&gt;"?",'Choix pédagogiques'!$C$5&lt;&gt;"?",AD326&lt;&gt;""),(AD326-'Choix pédagogiques'!$C$4)/('Choix pédagogiques'!$C$5-'Choix pédagogiques'!$C$4),"")</f>
        <v/>
      </c>
      <c r="AZ326" s="53" t="str">
        <f aca="false">IF($J326&lt;&gt;"",$J326,"")</f>
        <v/>
      </c>
      <c r="BA326" s="52" t="str">
        <f aca="false">IF($A326&lt;&gt;"",$A326,"")</f>
        <v>Apprenant 314</v>
      </c>
      <c r="BB326" s="55" t="str">
        <f aca="false">IF(AND($AR326&lt;&gt;"",$AS326&lt;&gt;""),$AS326-$AR326,"")</f>
        <v/>
      </c>
      <c r="BC326" s="55" t="str">
        <f aca="false">IF(AND($AR326&lt;&gt;"",$AT326&lt;&gt;""),$AT326-$AR326,"")</f>
        <v/>
      </c>
      <c r="BD326" s="55" t="str">
        <f aca="false">IF(AND($AS326&lt;&gt;"",$AT326&lt;&gt;""),$AT326-$AS326,"")</f>
        <v/>
      </c>
      <c r="BE326" s="53" t="str">
        <f aca="false">IF($E326&lt;&gt;"",$E326,"")</f>
        <v/>
      </c>
      <c r="BF326" s="52" t="str">
        <f aca="false">IF($F326&lt;&gt;"",$F326,"")</f>
        <v>Apprenant 314 ou 314'</v>
      </c>
      <c r="BG326" s="55" t="str">
        <f aca="false">IF(AND($AW326&lt;&gt;"",$AX326&lt;&gt;""),$AX326-$AW326,"")</f>
        <v/>
      </c>
      <c r="BH326" s="55" t="str">
        <f aca="false">IF(AND($AW326&lt;&gt;"",$AY326&lt;&gt;""),$AY326-$AW326,"")</f>
        <v/>
      </c>
      <c r="BI326" s="55" t="str">
        <f aca="false">IF(AND($AX326&lt;&gt;"",$AY326&lt;&gt;""),$AY326-$AX326,"")</f>
        <v/>
      </c>
      <c r="BJ326" s="53" t="str">
        <f aca="false">IF($J326&lt;&gt;"",$J326,"")</f>
        <v/>
      </c>
      <c r="BL326" s="52"/>
      <c r="BM326" s="52" t="str">
        <f aca="false">IF(OR(COUNT(B326:D1325)=0,AND('Choix pédagogiques'!$C$3&lt;&gt;1,'Choix pédagogiques'!$C$3&lt;&gt;2)),"",IF(AND(OR('Choix pédagogiques'!$C$3=1,'Choix pédagogiques'!$C$3=2),$B326&lt;&gt;"",$C326&lt;&gt;"",$D326&lt;&gt;""),1,0))</f>
        <v/>
      </c>
      <c r="BN326" s="52" t="str">
        <f aca="false">IF(OR(COUNT(G326:I1325)=0,AND('Choix pédagogiques'!$C$3&lt;&gt;1,'Choix pédagogiques'!$C$3&lt;&gt;2)),"",IF(AND(OR('Choix pédagogiques'!$C$3=1,'Choix pédagogiques'!$C$3=2),AND($G326&lt;&gt;"",$H326&lt;&gt;"",$I326&lt;&gt;"")),1,0))</f>
        <v/>
      </c>
      <c r="BO326" s="52" t="str">
        <f aca="false">IF(OR(COUNT(B326:D1325)=0,COUNT(G326:I1325)=0,'Choix pédagogiques'!C$3&lt;&gt;3),"",IF(AND('Choix pédagogiques'!$C$3=3,$B326&lt;&gt;"",$C326&lt;&gt;"",$D326&lt;&gt;"",$G326&lt;&gt;"",$H326&lt;&gt;"",$I326&lt;&gt;""),1,0))</f>
        <v/>
      </c>
      <c r="BR326" s="52" t="n">
        <v>844</v>
      </c>
      <c r="BS326" s="52" t="n">
        <v>1848</v>
      </c>
    </row>
    <row r="327" s="54" customFormat="true" ht="18" hidden="false" customHeight="true" outlineLevel="0" collapsed="false">
      <c r="A327" s="57" t="s">
        <v>585</v>
      </c>
      <c r="B327" s="51"/>
      <c r="C327" s="51"/>
      <c r="D327" s="51"/>
      <c r="E327" s="51"/>
      <c r="F327" s="57" t="s">
        <v>586</v>
      </c>
      <c r="G327" s="51"/>
      <c r="H327" s="51"/>
      <c r="I327" s="51"/>
      <c r="J327" s="51"/>
      <c r="K327" s="52" t="str">
        <f aca="false">IF($A327&lt;&gt;"",$A327,"")</f>
        <v>Apprenant 315</v>
      </c>
      <c r="L327" s="53" t="str">
        <f aca="false">IF(AND($B327&lt;&gt;"",$C327&lt;&gt;""),$C327-$B327,"")</f>
        <v/>
      </c>
      <c r="M327" s="53" t="str">
        <f aca="false">IF(AND($B327&lt;&gt;"",$D327&lt;&gt;""),$D327-$B327,"")</f>
        <v/>
      </c>
      <c r="N327" s="53" t="str">
        <f aca="false">IF(AND($C327&lt;&gt;"",$D327&lt;&gt;""),$D327-$C327,"")</f>
        <v/>
      </c>
      <c r="O327" s="53" t="str">
        <f aca="false">IF($E327&lt;&gt;"",$E327,"")</f>
        <v/>
      </c>
      <c r="P327" s="52" t="str">
        <f aca="false">IF($F327&lt;&gt;"",$F327,"")</f>
        <v>Apprenant 315 ou 315'</v>
      </c>
      <c r="Q327" s="53" t="str">
        <f aca="false">IF(AND($G327&lt;&gt;"",$H327&lt;&gt;""),$H327-$G327,"")</f>
        <v/>
      </c>
      <c r="R327" s="53" t="str">
        <f aca="false">IF(AND($G327&lt;&gt;"",$I327&lt;&gt;""),$I327-$G327,"")</f>
        <v/>
      </c>
      <c r="S327" s="53" t="str">
        <f aca="false">IF(AND($H327&lt;&gt;"",$I327&lt;&gt;""),$I327-$H327,"")</f>
        <v/>
      </c>
      <c r="T327" s="53" t="str">
        <f aca="false">IF($J327&lt;&gt;"",$J327,"")</f>
        <v/>
      </c>
      <c r="V327" s="52" t="str">
        <f aca="false">IF($A327&lt;&gt;"",$A327,"")</f>
        <v>Apprenant 315</v>
      </c>
      <c r="W327" s="53" t="str">
        <f aca="false">IF(AND(OR('Choix pédagogiques'!$C$3=1,'Choix pédagogiques'!$C$3=2),$BM327=1),B327,IF(AND('Choix pédagogiques'!$C$3=3,$BO327=1),B327,""))</f>
        <v/>
      </c>
      <c r="X327" s="53" t="str">
        <f aca="false">IF(AND(OR('Choix pédagogiques'!$C$3=1,'Choix pédagogiques'!$C$3=2),$BM327=1),C327,IF(AND('Choix pédagogiques'!$C$3=3,$BO327=1),C327,""))</f>
        <v/>
      </c>
      <c r="Y327" s="53" t="str">
        <f aca="false">IF(AND(OR('Choix pédagogiques'!$C$3=1,'Choix pédagogiques'!$C$3=2),$BM327=1),D327,IF(AND('Choix pédagogiques'!$C$3=3,$BO327=1),D327,""))</f>
        <v/>
      </c>
      <c r="Z327" s="53" t="str">
        <f aca="false">IF($E327&lt;&gt;"",$E327,"")</f>
        <v/>
      </c>
      <c r="AA327" s="52" t="str">
        <f aca="false">IF($F327&lt;&gt;"",$F327,"")</f>
        <v>Apprenant 315 ou 315'</v>
      </c>
      <c r="AB327" s="53" t="str">
        <f aca="false">IF(AND(OR('Choix pédagogiques'!$C$3=1,'Choix pédagogiques'!$C$3=2),$BN327=1),G327,IF(AND('Choix pédagogiques'!$C$3=3,$BO327=1),G327,""))</f>
        <v/>
      </c>
      <c r="AC327" s="53" t="str">
        <f aca="false">IF(AND(OR('Choix pédagogiques'!$C$3=1,'Choix pédagogiques'!$C$3=2),$BN327=1),H327,IF(AND('Choix pédagogiques'!$C$3=3,$BO327=1),H327,""))</f>
        <v/>
      </c>
      <c r="AD327" s="53" t="str">
        <f aca="false">IF(AND(OR('Choix pédagogiques'!$C$3=1,'Choix pédagogiques'!$C$3=2),$BN327=1),I327,IF(AND('Choix pédagogiques'!$C$3=3,$BO327=1),I327,""))</f>
        <v/>
      </c>
      <c r="AE327" s="53" t="str">
        <f aca="false">IF($J327&lt;&gt;"",$J327,"")</f>
        <v/>
      </c>
      <c r="AF327" s="52" t="str">
        <f aca="false">IF($A327&lt;&gt;"",$A327,"")</f>
        <v>Apprenant 315</v>
      </c>
      <c r="AG327" s="53" t="str">
        <f aca="false">IF(AND($W327&lt;&gt;"",$X327&lt;&gt;""),$X327-$W327,"")</f>
        <v/>
      </c>
      <c r="AH327" s="53" t="str">
        <f aca="false">IF(AND($W327&lt;&gt;"",$Y327&lt;&gt;""),$Y327-$W327,"")</f>
        <v/>
      </c>
      <c r="AI327" s="53" t="str">
        <f aca="false">IF(AND($X327&lt;&gt;"",$Y327&lt;&gt;""),$Y327-$X327,"")</f>
        <v/>
      </c>
      <c r="AJ327" s="53" t="str">
        <f aca="false">IF($E327&lt;&gt;"",$E327,"")</f>
        <v/>
      </c>
      <c r="AK327" s="52" t="str">
        <f aca="false">IF($F327&lt;&gt;"",$F327,"")</f>
        <v>Apprenant 315 ou 315'</v>
      </c>
      <c r="AL327" s="53" t="str">
        <f aca="false">IF(AND($AB327&lt;&gt;"",$AC327&lt;&gt;""),$AC327-$AB327,"")</f>
        <v/>
      </c>
      <c r="AM327" s="53" t="str">
        <f aca="false">IF(AND($AB327&lt;&gt;"",$AD327&lt;&gt;""),$AD327-$AB327,"")</f>
        <v/>
      </c>
      <c r="AN327" s="53" t="str">
        <f aca="false">IF(AND($AC327&lt;&gt;"",$AD327&lt;&gt;""),$AD327-$AC327,"")</f>
        <v/>
      </c>
      <c r="AO327" s="53" t="str">
        <f aca="false">IF($J327&lt;&gt;"",$J327,"")</f>
        <v/>
      </c>
      <c r="AQ327" s="52" t="str">
        <f aca="false">IF($A327&lt;&gt;"",$A327,"")</f>
        <v>Apprenant 315</v>
      </c>
      <c r="AR327" s="55" t="str">
        <f aca="false">IF(AND('Choix pédagogiques'!$C$4&lt;&gt;"?",'Choix pédagogiques'!$C$5&lt;&gt;"?",W327&lt;&gt;""),(W327-'Choix pédagogiques'!$C$4)/('Choix pédagogiques'!$C$5-'Choix pédagogiques'!$C$4),"")</f>
        <v/>
      </c>
      <c r="AS327" s="55" t="str">
        <f aca="false">IF(AND('Choix pédagogiques'!$C$4&lt;&gt;"?",'Choix pédagogiques'!$C$5&lt;&gt;"?",X327&lt;&gt;""),(X327-'Choix pédagogiques'!$C$4)/('Choix pédagogiques'!$C$5-'Choix pédagogiques'!$C$4),"")</f>
        <v/>
      </c>
      <c r="AT327" s="55" t="str">
        <f aca="false">IF(AND('Choix pédagogiques'!$C$4&lt;&gt;"?",'Choix pédagogiques'!$C$5&lt;&gt;"?",Y327&lt;&gt;""),(Y327-'Choix pédagogiques'!$C$4)/('Choix pédagogiques'!$C$5-'Choix pédagogiques'!$C$4),"")</f>
        <v/>
      </c>
      <c r="AU327" s="53" t="str">
        <f aca="false">IF($E327&lt;&gt;"",$E327,"")</f>
        <v/>
      </c>
      <c r="AV327" s="52" t="str">
        <f aca="false">IF($F327&lt;&gt;"",$F327,"")</f>
        <v>Apprenant 315 ou 315'</v>
      </c>
      <c r="AW327" s="55" t="str">
        <f aca="false">IF(AND('Choix pédagogiques'!$C$4&lt;&gt;"?",'Choix pédagogiques'!$C$5&lt;&gt;"?",AB327&lt;&gt;""),(AB327-'Choix pédagogiques'!$C$4)/('Choix pédagogiques'!$C$5-'Choix pédagogiques'!$C$4),"")</f>
        <v/>
      </c>
      <c r="AX327" s="55" t="str">
        <f aca="false">IF(AND('Choix pédagogiques'!$C$4&lt;&gt;"?",'Choix pédagogiques'!$C$5&lt;&gt;"?",AC327&lt;&gt;""),(AC327-'Choix pédagogiques'!$C$4)/('Choix pédagogiques'!$C$5-'Choix pédagogiques'!$C$4),"")</f>
        <v/>
      </c>
      <c r="AY327" s="55" t="str">
        <f aca="false">IF(AND('Choix pédagogiques'!$C$4&lt;&gt;"?",'Choix pédagogiques'!$C$5&lt;&gt;"?",AD327&lt;&gt;""),(AD327-'Choix pédagogiques'!$C$4)/('Choix pédagogiques'!$C$5-'Choix pédagogiques'!$C$4),"")</f>
        <v/>
      </c>
      <c r="AZ327" s="53" t="str">
        <f aca="false">IF($J327&lt;&gt;"",$J327,"")</f>
        <v/>
      </c>
      <c r="BA327" s="52" t="str">
        <f aca="false">IF($A327&lt;&gt;"",$A327,"")</f>
        <v>Apprenant 315</v>
      </c>
      <c r="BB327" s="55" t="str">
        <f aca="false">IF(AND($AR327&lt;&gt;"",$AS327&lt;&gt;""),$AS327-$AR327,"")</f>
        <v/>
      </c>
      <c r="BC327" s="55" t="str">
        <f aca="false">IF(AND($AR327&lt;&gt;"",$AT327&lt;&gt;""),$AT327-$AR327,"")</f>
        <v/>
      </c>
      <c r="BD327" s="55" t="str">
        <f aca="false">IF(AND($AS327&lt;&gt;"",$AT327&lt;&gt;""),$AT327-$AS327,"")</f>
        <v/>
      </c>
      <c r="BE327" s="53" t="str">
        <f aca="false">IF($E327&lt;&gt;"",$E327,"")</f>
        <v/>
      </c>
      <c r="BF327" s="52" t="str">
        <f aca="false">IF($F327&lt;&gt;"",$F327,"")</f>
        <v>Apprenant 315 ou 315'</v>
      </c>
      <c r="BG327" s="55" t="str">
        <f aca="false">IF(AND($AW327&lt;&gt;"",$AX327&lt;&gt;""),$AX327-$AW327,"")</f>
        <v/>
      </c>
      <c r="BH327" s="55" t="str">
        <f aca="false">IF(AND($AW327&lt;&gt;"",$AY327&lt;&gt;""),$AY327-$AW327,"")</f>
        <v/>
      </c>
      <c r="BI327" s="55" t="str">
        <f aca="false">IF(AND($AX327&lt;&gt;"",$AY327&lt;&gt;""),$AY327-$AX327,"")</f>
        <v/>
      </c>
      <c r="BJ327" s="53" t="str">
        <f aca="false">IF($J327&lt;&gt;"",$J327,"")</f>
        <v/>
      </c>
      <c r="BL327" s="52"/>
      <c r="BM327" s="52" t="str">
        <f aca="false">IF(OR(COUNT(B327:D1326)=0,AND('Choix pédagogiques'!$C$3&lt;&gt;1,'Choix pédagogiques'!$C$3&lt;&gt;2)),"",IF(AND(OR('Choix pédagogiques'!$C$3=1,'Choix pédagogiques'!$C$3=2),$B327&lt;&gt;"",$C327&lt;&gt;"",$D327&lt;&gt;""),1,0))</f>
        <v/>
      </c>
      <c r="BN327" s="52" t="str">
        <f aca="false">IF(OR(COUNT(G327:I1326)=0,AND('Choix pédagogiques'!$C$3&lt;&gt;1,'Choix pédagogiques'!$C$3&lt;&gt;2)),"",IF(AND(OR('Choix pédagogiques'!$C$3=1,'Choix pédagogiques'!$C$3=2),AND($G327&lt;&gt;"",$H327&lt;&gt;"",$I327&lt;&gt;"")),1,0))</f>
        <v/>
      </c>
      <c r="BO327" s="52" t="str">
        <f aca="false">IF(OR(COUNT(B327:D1326)=0,COUNT(G327:I1326)=0,'Choix pédagogiques'!C$3&lt;&gt;3),"",IF(AND('Choix pédagogiques'!$C$3=3,$B327&lt;&gt;"",$C327&lt;&gt;"",$D327&lt;&gt;"",$G327&lt;&gt;"",$H327&lt;&gt;"",$I327&lt;&gt;""),1,0))</f>
        <v/>
      </c>
      <c r="BR327" s="52" t="n">
        <v>181</v>
      </c>
      <c r="BS327" s="52" t="n">
        <v>1364</v>
      </c>
    </row>
    <row r="328" s="54" customFormat="true" ht="18" hidden="false" customHeight="true" outlineLevel="0" collapsed="false">
      <c r="A328" s="57" t="s">
        <v>587</v>
      </c>
      <c r="B328" s="51"/>
      <c r="C328" s="51"/>
      <c r="D328" s="51"/>
      <c r="E328" s="51"/>
      <c r="F328" s="57" t="s">
        <v>588</v>
      </c>
      <c r="G328" s="51"/>
      <c r="H328" s="51"/>
      <c r="I328" s="51"/>
      <c r="J328" s="51"/>
      <c r="K328" s="52" t="str">
        <f aca="false">IF($A328&lt;&gt;"",$A328,"")</f>
        <v>Apprenant 316</v>
      </c>
      <c r="L328" s="53" t="str">
        <f aca="false">IF(AND($B328&lt;&gt;"",$C328&lt;&gt;""),$C328-$B328,"")</f>
        <v/>
      </c>
      <c r="M328" s="53" t="str">
        <f aca="false">IF(AND($B328&lt;&gt;"",$D328&lt;&gt;""),$D328-$B328,"")</f>
        <v/>
      </c>
      <c r="N328" s="53" t="str">
        <f aca="false">IF(AND($C328&lt;&gt;"",$D328&lt;&gt;""),$D328-$C328,"")</f>
        <v/>
      </c>
      <c r="O328" s="53" t="str">
        <f aca="false">IF($E328&lt;&gt;"",$E328,"")</f>
        <v/>
      </c>
      <c r="P328" s="52" t="str">
        <f aca="false">IF($F328&lt;&gt;"",$F328,"")</f>
        <v>Apprenant 316 ou 316'</v>
      </c>
      <c r="Q328" s="53" t="str">
        <f aca="false">IF(AND($G328&lt;&gt;"",$H328&lt;&gt;""),$H328-$G328,"")</f>
        <v/>
      </c>
      <c r="R328" s="53" t="str">
        <f aca="false">IF(AND($G328&lt;&gt;"",$I328&lt;&gt;""),$I328-$G328,"")</f>
        <v/>
      </c>
      <c r="S328" s="53" t="str">
        <f aca="false">IF(AND($H328&lt;&gt;"",$I328&lt;&gt;""),$I328-$H328,"")</f>
        <v/>
      </c>
      <c r="T328" s="53" t="str">
        <f aca="false">IF($J328&lt;&gt;"",$J328,"")</f>
        <v/>
      </c>
      <c r="V328" s="52" t="str">
        <f aca="false">IF($A328&lt;&gt;"",$A328,"")</f>
        <v>Apprenant 316</v>
      </c>
      <c r="W328" s="53" t="str">
        <f aca="false">IF(AND(OR('Choix pédagogiques'!$C$3=1,'Choix pédagogiques'!$C$3=2),$BM328=1),B328,IF(AND('Choix pédagogiques'!$C$3=3,$BO328=1),B328,""))</f>
        <v/>
      </c>
      <c r="X328" s="53" t="str">
        <f aca="false">IF(AND(OR('Choix pédagogiques'!$C$3=1,'Choix pédagogiques'!$C$3=2),$BM328=1),C328,IF(AND('Choix pédagogiques'!$C$3=3,$BO328=1),C328,""))</f>
        <v/>
      </c>
      <c r="Y328" s="53" t="str">
        <f aca="false">IF(AND(OR('Choix pédagogiques'!$C$3=1,'Choix pédagogiques'!$C$3=2),$BM328=1),D328,IF(AND('Choix pédagogiques'!$C$3=3,$BO328=1),D328,""))</f>
        <v/>
      </c>
      <c r="Z328" s="53" t="str">
        <f aca="false">IF($E328&lt;&gt;"",$E328,"")</f>
        <v/>
      </c>
      <c r="AA328" s="52" t="str">
        <f aca="false">IF($F328&lt;&gt;"",$F328,"")</f>
        <v>Apprenant 316 ou 316'</v>
      </c>
      <c r="AB328" s="53" t="str">
        <f aca="false">IF(AND(OR('Choix pédagogiques'!$C$3=1,'Choix pédagogiques'!$C$3=2),$BN328=1),G328,IF(AND('Choix pédagogiques'!$C$3=3,$BO328=1),G328,""))</f>
        <v/>
      </c>
      <c r="AC328" s="53" t="str">
        <f aca="false">IF(AND(OR('Choix pédagogiques'!$C$3=1,'Choix pédagogiques'!$C$3=2),$BN328=1),H328,IF(AND('Choix pédagogiques'!$C$3=3,$BO328=1),H328,""))</f>
        <v/>
      </c>
      <c r="AD328" s="53" t="str">
        <f aca="false">IF(AND(OR('Choix pédagogiques'!$C$3=1,'Choix pédagogiques'!$C$3=2),$BN328=1),I328,IF(AND('Choix pédagogiques'!$C$3=3,$BO328=1),I328,""))</f>
        <v/>
      </c>
      <c r="AE328" s="53" t="str">
        <f aca="false">IF($J328&lt;&gt;"",$J328,"")</f>
        <v/>
      </c>
      <c r="AF328" s="52" t="str">
        <f aca="false">IF($A328&lt;&gt;"",$A328,"")</f>
        <v>Apprenant 316</v>
      </c>
      <c r="AG328" s="53" t="str">
        <f aca="false">IF(AND($W328&lt;&gt;"",$X328&lt;&gt;""),$X328-$W328,"")</f>
        <v/>
      </c>
      <c r="AH328" s="53" t="str">
        <f aca="false">IF(AND($W328&lt;&gt;"",$Y328&lt;&gt;""),$Y328-$W328,"")</f>
        <v/>
      </c>
      <c r="AI328" s="53" t="str">
        <f aca="false">IF(AND($X328&lt;&gt;"",$Y328&lt;&gt;""),$Y328-$X328,"")</f>
        <v/>
      </c>
      <c r="AJ328" s="53" t="str">
        <f aca="false">IF($E328&lt;&gt;"",$E328,"")</f>
        <v/>
      </c>
      <c r="AK328" s="52" t="str">
        <f aca="false">IF($F328&lt;&gt;"",$F328,"")</f>
        <v>Apprenant 316 ou 316'</v>
      </c>
      <c r="AL328" s="53" t="str">
        <f aca="false">IF(AND($AB328&lt;&gt;"",$AC328&lt;&gt;""),$AC328-$AB328,"")</f>
        <v/>
      </c>
      <c r="AM328" s="53" t="str">
        <f aca="false">IF(AND($AB328&lt;&gt;"",$AD328&lt;&gt;""),$AD328-$AB328,"")</f>
        <v/>
      </c>
      <c r="AN328" s="53" t="str">
        <f aca="false">IF(AND($AC328&lt;&gt;"",$AD328&lt;&gt;""),$AD328-$AC328,"")</f>
        <v/>
      </c>
      <c r="AO328" s="53" t="str">
        <f aca="false">IF($J328&lt;&gt;"",$J328,"")</f>
        <v/>
      </c>
      <c r="AQ328" s="52" t="str">
        <f aca="false">IF($A328&lt;&gt;"",$A328,"")</f>
        <v>Apprenant 316</v>
      </c>
      <c r="AR328" s="55" t="str">
        <f aca="false">IF(AND('Choix pédagogiques'!$C$4&lt;&gt;"?",'Choix pédagogiques'!$C$5&lt;&gt;"?",W328&lt;&gt;""),(W328-'Choix pédagogiques'!$C$4)/('Choix pédagogiques'!$C$5-'Choix pédagogiques'!$C$4),"")</f>
        <v/>
      </c>
      <c r="AS328" s="55" t="str">
        <f aca="false">IF(AND('Choix pédagogiques'!$C$4&lt;&gt;"?",'Choix pédagogiques'!$C$5&lt;&gt;"?",X328&lt;&gt;""),(X328-'Choix pédagogiques'!$C$4)/('Choix pédagogiques'!$C$5-'Choix pédagogiques'!$C$4),"")</f>
        <v/>
      </c>
      <c r="AT328" s="55" t="str">
        <f aca="false">IF(AND('Choix pédagogiques'!$C$4&lt;&gt;"?",'Choix pédagogiques'!$C$5&lt;&gt;"?",Y328&lt;&gt;""),(Y328-'Choix pédagogiques'!$C$4)/('Choix pédagogiques'!$C$5-'Choix pédagogiques'!$C$4),"")</f>
        <v/>
      </c>
      <c r="AU328" s="53" t="str">
        <f aca="false">IF($E328&lt;&gt;"",$E328,"")</f>
        <v/>
      </c>
      <c r="AV328" s="52" t="str">
        <f aca="false">IF($F328&lt;&gt;"",$F328,"")</f>
        <v>Apprenant 316 ou 316'</v>
      </c>
      <c r="AW328" s="55" t="str">
        <f aca="false">IF(AND('Choix pédagogiques'!$C$4&lt;&gt;"?",'Choix pédagogiques'!$C$5&lt;&gt;"?",AB328&lt;&gt;""),(AB328-'Choix pédagogiques'!$C$4)/('Choix pédagogiques'!$C$5-'Choix pédagogiques'!$C$4),"")</f>
        <v/>
      </c>
      <c r="AX328" s="55" t="str">
        <f aca="false">IF(AND('Choix pédagogiques'!$C$4&lt;&gt;"?",'Choix pédagogiques'!$C$5&lt;&gt;"?",AC328&lt;&gt;""),(AC328-'Choix pédagogiques'!$C$4)/('Choix pédagogiques'!$C$5-'Choix pédagogiques'!$C$4),"")</f>
        <v/>
      </c>
      <c r="AY328" s="55" t="str">
        <f aca="false">IF(AND('Choix pédagogiques'!$C$4&lt;&gt;"?",'Choix pédagogiques'!$C$5&lt;&gt;"?",AD328&lt;&gt;""),(AD328-'Choix pédagogiques'!$C$4)/('Choix pédagogiques'!$C$5-'Choix pédagogiques'!$C$4),"")</f>
        <v/>
      </c>
      <c r="AZ328" s="53" t="str">
        <f aca="false">IF($J328&lt;&gt;"",$J328,"")</f>
        <v/>
      </c>
      <c r="BA328" s="52" t="str">
        <f aca="false">IF($A328&lt;&gt;"",$A328,"")</f>
        <v>Apprenant 316</v>
      </c>
      <c r="BB328" s="55" t="str">
        <f aca="false">IF(AND($AR328&lt;&gt;"",$AS328&lt;&gt;""),$AS328-$AR328,"")</f>
        <v/>
      </c>
      <c r="BC328" s="55" t="str">
        <f aca="false">IF(AND($AR328&lt;&gt;"",$AT328&lt;&gt;""),$AT328-$AR328,"")</f>
        <v/>
      </c>
      <c r="BD328" s="55" t="str">
        <f aca="false">IF(AND($AS328&lt;&gt;"",$AT328&lt;&gt;""),$AT328-$AS328,"")</f>
        <v/>
      </c>
      <c r="BE328" s="53" t="str">
        <f aca="false">IF($E328&lt;&gt;"",$E328,"")</f>
        <v/>
      </c>
      <c r="BF328" s="52" t="str">
        <f aca="false">IF($F328&lt;&gt;"",$F328,"")</f>
        <v>Apprenant 316 ou 316'</v>
      </c>
      <c r="BG328" s="55" t="str">
        <f aca="false">IF(AND($AW328&lt;&gt;"",$AX328&lt;&gt;""),$AX328-$AW328,"")</f>
        <v/>
      </c>
      <c r="BH328" s="55" t="str">
        <f aca="false">IF(AND($AW328&lt;&gt;"",$AY328&lt;&gt;""),$AY328-$AW328,"")</f>
        <v/>
      </c>
      <c r="BI328" s="55" t="str">
        <f aca="false">IF(AND($AX328&lt;&gt;"",$AY328&lt;&gt;""),$AY328-$AX328,"")</f>
        <v/>
      </c>
      <c r="BJ328" s="53" t="str">
        <f aca="false">IF($J328&lt;&gt;"",$J328,"")</f>
        <v/>
      </c>
      <c r="BL328" s="52"/>
      <c r="BM328" s="52" t="str">
        <f aca="false">IF(OR(COUNT(B328:D1327)=0,AND('Choix pédagogiques'!$C$3&lt;&gt;1,'Choix pédagogiques'!$C$3&lt;&gt;2)),"",IF(AND(OR('Choix pédagogiques'!$C$3=1,'Choix pédagogiques'!$C$3=2),$B328&lt;&gt;"",$C328&lt;&gt;"",$D328&lt;&gt;""),1,0))</f>
        <v/>
      </c>
      <c r="BN328" s="52" t="str">
        <f aca="false">IF(OR(COUNT(G328:I1327)=0,AND('Choix pédagogiques'!$C$3&lt;&gt;1,'Choix pédagogiques'!$C$3&lt;&gt;2)),"",IF(AND(OR('Choix pédagogiques'!$C$3=1,'Choix pédagogiques'!$C$3=2),AND($G328&lt;&gt;"",$H328&lt;&gt;"",$I328&lt;&gt;"")),1,0))</f>
        <v/>
      </c>
      <c r="BO328" s="52" t="str">
        <f aca="false">IF(OR(COUNT(B328:D1327)=0,COUNT(G328:I1327)=0,'Choix pédagogiques'!C$3&lt;&gt;3),"",IF(AND('Choix pédagogiques'!$C$3=3,$B328&lt;&gt;"",$C328&lt;&gt;"",$D328&lt;&gt;"",$G328&lt;&gt;"",$H328&lt;&gt;"",$I328&lt;&gt;""),1,0))</f>
        <v/>
      </c>
      <c r="BR328" s="52" t="n">
        <v>297</v>
      </c>
      <c r="BS328" s="52" t="n">
        <v>1538</v>
      </c>
    </row>
    <row r="329" s="54" customFormat="true" ht="18" hidden="false" customHeight="true" outlineLevel="0" collapsed="false">
      <c r="A329" s="57" t="s">
        <v>589</v>
      </c>
      <c r="B329" s="51"/>
      <c r="C329" s="51"/>
      <c r="D329" s="51"/>
      <c r="E329" s="51"/>
      <c r="F329" s="57" t="s">
        <v>590</v>
      </c>
      <c r="G329" s="51"/>
      <c r="H329" s="51"/>
      <c r="I329" s="51"/>
      <c r="J329" s="51"/>
      <c r="K329" s="52" t="str">
        <f aca="false">IF($A329&lt;&gt;"",$A329,"")</f>
        <v>Apprenant 317</v>
      </c>
      <c r="L329" s="53" t="str">
        <f aca="false">IF(AND($B329&lt;&gt;"",$C329&lt;&gt;""),$C329-$B329,"")</f>
        <v/>
      </c>
      <c r="M329" s="53" t="str">
        <f aca="false">IF(AND($B329&lt;&gt;"",$D329&lt;&gt;""),$D329-$B329,"")</f>
        <v/>
      </c>
      <c r="N329" s="53" t="str">
        <f aca="false">IF(AND($C329&lt;&gt;"",$D329&lt;&gt;""),$D329-$C329,"")</f>
        <v/>
      </c>
      <c r="O329" s="53" t="str">
        <f aca="false">IF($E329&lt;&gt;"",$E329,"")</f>
        <v/>
      </c>
      <c r="P329" s="52" t="str">
        <f aca="false">IF($F329&lt;&gt;"",$F329,"")</f>
        <v>Apprenant 317 ou 317'</v>
      </c>
      <c r="Q329" s="53" t="str">
        <f aca="false">IF(AND($G329&lt;&gt;"",$H329&lt;&gt;""),$H329-$G329,"")</f>
        <v/>
      </c>
      <c r="R329" s="53" t="str">
        <f aca="false">IF(AND($G329&lt;&gt;"",$I329&lt;&gt;""),$I329-$G329,"")</f>
        <v/>
      </c>
      <c r="S329" s="53" t="str">
        <f aca="false">IF(AND($H329&lt;&gt;"",$I329&lt;&gt;""),$I329-$H329,"")</f>
        <v/>
      </c>
      <c r="T329" s="53" t="str">
        <f aca="false">IF($J329&lt;&gt;"",$J329,"")</f>
        <v/>
      </c>
      <c r="V329" s="52" t="str">
        <f aca="false">IF($A329&lt;&gt;"",$A329,"")</f>
        <v>Apprenant 317</v>
      </c>
      <c r="W329" s="53" t="str">
        <f aca="false">IF(AND(OR('Choix pédagogiques'!$C$3=1,'Choix pédagogiques'!$C$3=2),$BM329=1),B329,IF(AND('Choix pédagogiques'!$C$3=3,$BO329=1),B329,""))</f>
        <v/>
      </c>
      <c r="X329" s="53" t="str">
        <f aca="false">IF(AND(OR('Choix pédagogiques'!$C$3=1,'Choix pédagogiques'!$C$3=2),$BM329=1),C329,IF(AND('Choix pédagogiques'!$C$3=3,$BO329=1),C329,""))</f>
        <v/>
      </c>
      <c r="Y329" s="53" t="str">
        <f aca="false">IF(AND(OR('Choix pédagogiques'!$C$3=1,'Choix pédagogiques'!$C$3=2),$BM329=1),D329,IF(AND('Choix pédagogiques'!$C$3=3,$BO329=1),D329,""))</f>
        <v/>
      </c>
      <c r="Z329" s="53" t="str">
        <f aca="false">IF($E329&lt;&gt;"",$E329,"")</f>
        <v/>
      </c>
      <c r="AA329" s="52" t="str">
        <f aca="false">IF($F329&lt;&gt;"",$F329,"")</f>
        <v>Apprenant 317 ou 317'</v>
      </c>
      <c r="AB329" s="53" t="str">
        <f aca="false">IF(AND(OR('Choix pédagogiques'!$C$3=1,'Choix pédagogiques'!$C$3=2),$BN329=1),G329,IF(AND('Choix pédagogiques'!$C$3=3,$BO329=1),G329,""))</f>
        <v/>
      </c>
      <c r="AC329" s="53" t="str">
        <f aca="false">IF(AND(OR('Choix pédagogiques'!$C$3=1,'Choix pédagogiques'!$C$3=2),$BN329=1),H329,IF(AND('Choix pédagogiques'!$C$3=3,$BO329=1),H329,""))</f>
        <v/>
      </c>
      <c r="AD329" s="53" t="str">
        <f aca="false">IF(AND(OR('Choix pédagogiques'!$C$3=1,'Choix pédagogiques'!$C$3=2),$BN329=1),I329,IF(AND('Choix pédagogiques'!$C$3=3,$BO329=1),I329,""))</f>
        <v/>
      </c>
      <c r="AE329" s="53" t="str">
        <f aca="false">IF($J329&lt;&gt;"",$J329,"")</f>
        <v/>
      </c>
      <c r="AF329" s="52" t="str">
        <f aca="false">IF($A329&lt;&gt;"",$A329,"")</f>
        <v>Apprenant 317</v>
      </c>
      <c r="AG329" s="53" t="str">
        <f aca="false">IF(AND($W329&lt;&gt;"",$X329&lt;&gt;""),$X329-$W329,"")</f>
        <v/>
      </c>
      <c r="AH329" s="53" t="str">
        <f aca="false">IF(AND($W329&lt;&gt;"",$Y329&lt;&gt;""),$Y329-$W329,"")</f>
        <v/>
      </c>
      <c r="AI329" s="53" t="str">
        <f aca="false">IF(AND($X329&lt;&gt;"",$Y329&lt;&gt;""),$Y329-$X329,"")</f>
        <v/>
      </c>
      <c r="AJ329" s="53" t="str">
        <f aca="false">IF($E329&lt;&gt;"",$E329,"")</f>
        <v/>
      </c>
      <c r="AK329" s="52" t="str">
        <f aca="false">IF($F329&lt;&gt;"",$F329,"")</f>
        <v>Apprenant 317 ou 317'</v>
      </c>
      <c r="AL329" s="53" t="str">
        <f aca="false">IF(AND($AB329&lt;&gt;"",$AC329&lt;&gt;""),$AC329-$AB329,"")</f>
        <v/>
      </c>
      <c r="AM329" s="53" t="str">
        <f aca="false">IF(AND($AB329&lt;&gt;"",$AD329&lt;&gt;""),$AD329-$AB329,"")</f>
        <v/>
      </c>
      <c r="AN329" s="53" t="str">
        <f aca="false">IF(AND($AC329&lt;&gt;"",$AD329&lt;&gt;""),$AD329-$AC329,"")</f>
        <v/>
      </c>
      <c r="AO329" s="53" t="str">
        <f aca="false">IF($J329&lt;&gt;"",$J329,"")</f>
        <v/>
      </c>
      <c r="AQ329" s="52" t="str">
        <f aca="false">IF($A329&lt;&gt;"",$A329,"")</f>
        <v>Apprenant 317</v>
      </c>
      <c r="AR329" s="55" t="str">
        <f aca="false">IF(AND('Choix pédagogiques'!$C$4&lt;&gt;"?",'Choix pédagogiques'!$C$5&lt;&gt;"?",W329&lt;&gt;""),(W329-'Choix pédagogiques'!$C$4)/('Choix pédagogiques'!$C$5-'Choix pédagogiques'!$C$4),"")</f>
        <v/>
      </c>
      <c r="AS329" s="55" t="str">
        <f aca="false">IF(AND('Choix pédagogiques'!$C$4&lt;&gt;"?",'Choix pédagogiques'!$C$5&lt;&gt;"?",X329&lt;&gt;""),(X329-'Choix pédagogiques'!$C$4)/('Choix pédagogiques'!$C$5-'Choix pédagogiques'!$C$4),"")</f>
        <v/>
      </c>
      <c r="AT329" s="55" t="str">
        <f aca="false">IF(AND('Choix pédagogiques'!$C$4&lt;&gt;"?",'Choix pédagogiques'!$C$5&lt;&gt;"?",Y329&lt;&gt;""),(Y329-'Choix pédagogiques'!$C$4)/('Choix pédagogiques'!$C$5-'Choix pédagogiques'!$C$4),"")</f>
        <v/>
      </c>
      <c r="AU329" s="53" t="str">
        <f aca="false">IF($E329&lt;&gt;"",$E329,"")</f>
        <v/>
      </c>
      <c r="AV329" s="52" t="str">
        <f aca="false">IF($F329&lt;&gt;"",$F329,"")</f>
        <v>Apprenant 317 ou 317'</v>
      </c>
      <c r="AW329" s="55" t="str">
        <f aca="false">IF(AND('Choix pédagogiques'!$C$4&lt;&gt;"?",'Choix pédagogiques'!$C$5&lt;&gt;"?",AB329&lt;&gt;""),(AB329-'Choix pédagogiques'!$C$4)/('Choix pédagogiques'!$C$5-'Choix pédagogiques'!$C$4),"")</f>
        <v/>
      </c>
      <c r="AX329" s="55" t="str">
        <f aca="false">IF(AND('Choix pédagogiques'!$C$4&lt;&gt;"?",'Choix pédagogiques'!$C$5&lt;&gt;"?",AC329&lt;&gt;""),(AC329-'Choix pédagogiques'!$C$4)/('Choix pédagogiques'!$C$5-'Choix pédagogiques'!$C$4),"")</f>
        <v/>
      </c>
      <c r="AY329" s="55" t="str">
        <f aca="false">IF(AND('Choix pédagogiques'!$C$4&lt;&gt;"?",'Choix pédagogiques'!$C$5&lt;&gt;"?",AD329&lt;&gt;""),(AD329-'Choix pédagogiques'!$C$4)/('Choix pédagogiques'!$C$5-'Choix pédagogiques'!$C$4),"")</f>
        <v/>
      </c>
      <c r="AZ329" s="53" t="str">
        <f aca="false">IF($J329&lt;&gt;"",$J329,"")</f>
        <v/>
      </c>
      <c r="BA329" s="52" t="str">
        <f aca="false">IF($A329&lt;&gt;"",$A329,"")</f>
        <v>Apprenant 317</v>
      </c>
      <c r="BB329" s="55" t="str">
        <f aca="false">IF(AND($AR329&lt;&gt;"",$AS329&lt;&gt;""),$AS329-$AR329,"")</f>
        <v/>
      </c>
      <c r="BC329" s="55" t="str">
        <f aca="false">IF(AND($AR329&lt;&gt;"",$AT329&lt;&gt;""),$AT329-$AR329,"")</f>
        <v/>
      </c>
      <c r="BD329" s="55" t="str">
        <f aca="false">IF(AND($AS329&lt;&gt;"",$AT329&lt;&gt;""),$AT329-$AS329,"")</f>
        <v/>
      </c>
      <c r="BE329" s="53" t="str">
        <f aca="false">IF($E329&lt;&gt;"",$E329,"")</f>
        <v/>
      </c>
      <c r="BF329" s="52" t="str">
        <f aca="false">IF($F329&lt;&gt;"",$F329,"")</f>
        <v>Apprenant 317 ou 317'</v>
      </c>
      <c r="BG329" s="55" t="str">
        <f aca="false">IF(AND($AW329&lt;&gt;"",$AX329&lt;&gt;""),$AX329-$AW329,"")</f>
        <v/>
      </c>
      <c r="BH329" s="55" t="str">
        <f aca="false">IF(AND($AW329&lt;&gt;"",$AY329&lt;&gt;""),$AY329-$AW329,"")</f>
        <v/>
      </c>
      <c r="BI329" s="55" t="str">
        <f aca="false">IF(AND($AX329&lt;&gt;"",$AY329&lt;&gt;""),$AY329-$AX329,"")</f>
        <v/>
      </c>
      <c r="BJ329" s="53" t="str">
        <f aca="false">IF($J329&lt;&gt;"",$J329,"")</f>
        <v/>
      </c>
      <c r="BL329" s="52"/>
      <c r="BM329" s="52" t="str">
        <f aca="false">IF(OR(COUNT(B329:D1328)=0,AND('Choix pédagogiques'!$C$3&lt;&gt;1,'Choix pédagogiques'!$C$3&lt;&gt;2)),"",IF(AND(OR('Choix pédagogiques'!$C$3=1,'Choix pédagogiques'!$C$3=2),$B329&lt;&gt;"",$C329&lt;&gt;"",$D329&lt;&gt;""),1,0))</f>
        <v/>
      </c>
      <c r="BN329" s="52" t="str">
        <f aca="false">IF(OR(COUNT(G329:I1328)=0,AND('Choix pédagogiques'!$C$3&lt;&gt;1,'Choix pédagogiques'!$C$3&lt;&gt;2)),"",IF(AND(OR('Choix pédagogiques'!$C$3=1,'Choix pédagogiques'!$C$3=2),AND($G329&lt;&gt;"",$H329&lt;&gt;"",$I329&lt;&gt;"")),1,0))</f>
        <v/>
      </c>
      <c r="BO329" s="52" t="str">
        <f aca="false">IF(OR(COUNT(B329:D1328)=0,COUNT(G329:I1328)=0,'Choix pédagogiques'!C$3&lt;&gt;3),"",IF(AND('Choix pédagogiques'!$C$3=3,$B329&lt;&gt;"",$C329&lt;&gt;"",$D329&lt;&gt;"",$G329&lt;&gt;"",$H329&lt;&gt;"",$I329&lt;&gt;""),1,0))</f>
        <v/>
      </c>
      <c r="BR329" s="52" t="n">
        <v>137</v>
      </c>
      <c r="BS329" s="52" t="n">
        <v>1996</v>
      </c>
    </row>
    <row r="330" s="54" customFormat="true" ht="18" hidden="false" customHeight="true" outlineLevel="0" collapsed="false">
      <c r="A330" s="57" t="s">
        <v>591</v>
      </c>
      <c r="B330" s="51"/>
      <c r="C330" s="51"/>
      <c r="D330" s="51"/>
      <c r="E330" s="51"/>
      <c r="F330" s="57" t="s">
        <v>592</v>
      </c>
      <c r="G330" s="51"/>
      <c r="H330" s="51"/>
      <c r="I330" s="51"/>
      <c r="J330" s="51"/>
      <c r="K330" s="52" t="str">
        <f aca="false">IF($A330&lt;&gt;"",$A330,"")</f>
        <v>Apprenant 318</v>
      </c>
      <c r="L330" s="53" t="str">
        <f aca="false">IF(AND($B330&lt;&gt;"",$C330&lt;&gt;""),$C330-$B330,"")</f>
        <v/>
      </c>
      <c r="M330" s="53" t="str">
        <f aca="false">IF(AND($B330&lt;&gt;"",$D330&lt;&gt;""),$D330-$B330,"")</f>
        <v/>
      </c>
      <c r="N330" s="53" t="str">
        <f aca="false">IF(AND($C330&lt;&gt;"",$D330&lt;&gt;""),$D330-$C330,"")</f>
        <v/>
      </c>
      <c r="O330" s="53" t="str">
        <f aca="false">IF($E330&lt;&gt;"",$E330,"")</f>
        <v/>
      </c>
      <c r="P330" s="52" t="str">
        <f aca="false">IF($F330&lt;&gt;"",$F330,"")</f>
        <v>Apprenant 318 ou 318'</v>
      </c>
      <c r="Q330" s="53" t="str">
        <f aca="false">IF(AND($G330&lt;&gt;"",$H330&lt;&gt;""),$H330-$G330,"")</f>
        <v/>
      </c>
      <c r="R330" s="53" t="str">
        <f aca="false">IF(AND($G330&lt;&gt;"",$I330&lt;&gt;""),$I330-$G330,"")</f>
        <v/>
      </c>
      <c r="S330" s="53" t="str">
        <f aca="false">IF(AND($H330&lt;&gt;"",$I330&lt;&gt;""),$I330-$H330,"")</f>
        <v/>
      </c>
      <c r="T330" s="53" t="str">
        <f aca="false">IF($J330&lt;&gt;"",$J330,"")</f>
        <v/>
      </c>
      <c r="V330" s="52" t="str">
        <f aca="false">IF($A330&lt;&gt;"",$A330,"")</f>
        <v>Apprenant 318</v>
      </c>
      <c r="W330" s="53" t="str">
        <f aca="false">IF(AND(OR('Choix pédagogiques'!$C$3=1,'Choix pédagogiques'!$C$3=2),$BM330=1),B330,IF(AND('Choix pédagogiques'!$C$3=3,$BO330=1),B330,""))</f>
        <v/>
      </c>
      <c r="X330" s="53" t="str">
        <f aca="false">IF(AND(OR('Choix pédagogiques'!$C$3=1,'Choix pédagogiques'!$C$3=2),$BM330=1),C330,IF(AND('Choix pédagogiques'!$C$3=3,$BO330=1),C330,""))</f>
        <v/>
      </c>
      <c r="Y330" s="53" t="str">
        <f aca="false">IF(AND(OR('Choix pédagogiques'!$C$3=1,'Choix pédagogiques'!$C$3=2),$BM330=1),D330,IF(AND('Choix pédagogiques'!$C$3=3,$BO330=1),D330,""))</f>
        <v/>
      </c>
      <c r="Z330" s="53" t="str">
        <f aca="false">IF($E330&lt;&gt;"",$E330,"")</f>
        <v/>
      </c>
      <c r="AA330" s="52" t="str">
        <f aca="false">IF($F330&lt;&gt;"",$F330,"")</f>
        <v>Apprenant 318 ou 318'</v>
      </c>
      <c r="AB330" s="53" t="str">
        <f aca="false">IF(AND(OR('Choix pédagogiques'!$C$3=1,'Choix pédagogiques'!$C$3=2),$BN330=1),G330,IF(AND('Choix pédagogiques'!$C$3=3,$BO330=1),G330,""))</f>
        <v/>
      </c>
      <c r="AC330" s="53" t="str">
        <f aca="false">IF(AND(OR('Choix pédagogiques'!$C$3=1,'Choix pédagogiques'!$C$3=2),$BN330=1),H330,IF(AND('Choix pédagogiques'!$C$3=3,$BO330=1),H330,""))</f>
        <v/>
      </c>
      <c r="AD330" s="53" t="str">
        <f aca="false">IF(AND(OR('Choix pédagogiques'!$C$3=1,'Choix pédagogiques'!$C$3=2),$BN330=1),I330,IF(AND('Choix pédagogiques'!$C$3=3,$BO330=1),I330,""))</f>
        <v/>
      </c>
      <c r="AE330" s="53" t="str">
        <f aca="false">IF($J330&lt;&gt;"",$J330,"")</f>
        <v/>
      </c>
      <c r="AF330" s="52" t="str">
        <f aca="false">IF($A330&lt;&gt;"",$A330,"")</f>
        <v>Apprenant 318</v>
      </c>
      <c r="AG330" s="53" t="str">
        <f aca="false">IF(AND($W330&lt;&gt;"",$X330&lt;&gt;""),$X330-$W330,"")</f>
        <v/>
      </c>
      <c r="AH330" s="53" t="str">
        <f aca="false">IF(AND($W330&lt;&gt;"",$Y330&lt;&gt;""),$Y330-$W330,"")</f>
        <v/>
      </c>
      <c r="AI330" s="53" t="str">
        <f aca="false">IF(AND($X330&lt;&gt;"",$Y330&lt;&gt;""),$Y330-$X330,"")</f>
        <v/>
      </c>
      <c r="AJ330" s="53" t="str">
        <f aca="false">IF($E330&lt;&gt;"",$E330,"")</f>
        <v/>
      </c>
      <c r="AK330" s="52" t="str">
        <f aca="false">IF($F330&lt;&gt;"",$F330,"")</f>
        <v>Apprenant 318 ou 318'</v>
      </c>
      <c r="AL330" s="53" t="str">
        <f aca="false">IF(AND($AB330&lt;&gt;"",$AC330&lt;&gt;""),$AC330-$AB330,"")</f>
        <v/>
      </c>
      <c r="AM330" s="53" t="str">
        <f aca="false">IF(AND($AB330&lt;&gt;"",$AD330&lt;&gt;""),$AD330-$AB330,"")</f>
        <v/>
      </c>
      <c r="AN330" s="53" t="str">
        <f aca="false">IF(AND($AC330&lt;&gt;"",$AD330&lt;&gt;""),$AD330-$AC330,"")</f>
        <v/>
      </c>
      <c r="AO330" s="53" t="str">
        <f aca="false">IF($J330&lt;&gt;"",$J330,"")</f>
        <v/>
      </c>
      <c r="AQ330" s="52" t="str">
        <f aca="false">IF($A330&lt;&gt;"",$A330,"")</f>
        <v>Apprenant 318</v>
      </c>
      <c r="AR330" s="55" t="str">
        <f aca="false">IF(AND('Choix pédagogiques'!$C$4&lt;&gt;"?",'Choix pédagogiques'!$C$5&lt;&gt;"?",W330&lt;&gt;""),(W330-'Choix pédagogiques'!$C$4)/('Choix pédagogiques'!$C$5-'Choix pédagogiques'!$C$4),"")</f>
        <v/>
      </c>
      <c r="AS330" s="55" t="str">
        <f aca="false">IF(AND('Choix pédagogiques'!$C$4&lt;&gt;"?",'Choix pédagogiques'!$C$5&lt;&gt;"?",X330&lt;&gt;""),(X330-'Choix pédagogiques'!$C$4)/('Choix pédagogiques'!$C$5-'Choix pédagogiques'!$C$4),"")</f>
        <v/>
      </c>
      <c r="AT330" s="55" t="str">
        <f aca="false">IF(AND('Choix pédagogiques'!$C$4&lt;&gt;"?",'Choix pédagogiques'!$C$5&lt;&gt;"?",Y330&lt;&gt;""),(Y330-'Choix pédagogiques'!$C$4)/('Choix pédagogiques'!$C$5-'Choix pédagogiques'!$C$4),"")</f>
        <v/>
      </c>
      <c r="AU330" s="53" t="str">
        <f aca="false">IF($E330&lt;&gt;"",$E330,"")</f>
        <v/>
      </c>
      <c r="AV330" s="52" t="str">
        <f aca="false">IF($F330&lt;&gt;"",$F330,"")</f>
        <v>Apprenant 318 ou 318'</v>
      </c>
      <c r="AW330" s="55" t="str">
        <f aca="false">IF(AND('Choix pédagogiques'!$C$4&lt;&gt;"?",'Choix pédagogiques'!$C$5&lt;&gt;"?",AB330&lt;&gt;""),(AB330-'Choix pédagogiques'!$C$4)/('Choix pédagogiques'!$C$5-'Choix pédagogiques'!$C$4),"")</f>
        <v/>
      </c>
      <c r="AX330" s="55" t="str">
        <f aca="false">IF(AND('Choix pédagogiques'!$C$4&lt;&gt;"?",'Choix pédagogiques'!$C$5&lt;&gt;"?",AC330&lt;&gt;""),(AC330-'Choix pédagogiques'!$C$4)/('Choix pédagogiques'!$C$5-'Choix pédagogiques'!$C$4),"")</f>
        <v/>
      </c>
      <c r="AY330" s="55" t="str">
        <f aca="false">IF(AND('Choix pédagogiques'!$C$4&lt;&gt;"?",'Choix pédagogiques'!$C$5&lt;&gt;"?",AD330&lt;&gt;""),(AD330-'Choix pédagogiques'!$C$4)/('Choix pédagogiques'!$C$5-'Choix pédagogiques'!$C$4),"")</f>
        <v/>
      </c>
      <c r="AZ330" s="53" t="str">
        <f aca="false">IF($J330&lt;&gt;"",$J330,"")</f>
        <v/>
      </c>
      <c r="BA330" s="52" t="str">
        <f aca="false">IF($A330&lt;&gt;"",$A330,"")</f>
        <v>Apprenant 318</v>
      </c>
      <c r="BB330" s="55" t="str">
        <f aca="false">IF(AND($AR330&lt;&gt;"",$AS330&lt;&gt;""),$AS330-$AR330,"")</f>
        <v/>
      </c>
      <c r="BC330" s="55" t="str">
        <f aca="false">IF(AND($AR330&lt;&gt;"",$AT330&lt;&gt;""),$AT330-$AR330,"")</f>
        <v/>
      </c>
      <c r="BD330" s="55" t="str">
        <f aca="false">IF(AND($AS330&lt;&gt;"",$AT330&lt;&gt;""),$AT330-$AS330,"")</f>
        <v/>
      </c>
      <c r="BE330" s="53" t="str">
        <f aca="false">IF($E330&lt;&gt;"",$E330,"")</f>
        <v/>
      </c>
      <c r="BF330" s="52" t="str">
        <f aca="false">IF($F330&lt;&gt;"",$F330,"")</f>
        <v>Apprenant 318 ou 318'</v>
      </c>
      <c r="BG330" s="55" t="str">
        <f aca="false">IF(AND($AW330&lt;&gt;"",$AX330&lt;&gt;""),$AX330-$AW330,"")</f>
        <v/>
      </c>
      <c r="BH330" s="55" t="str">
        <f aca="false">IF(AND($AW330&lt;&gt;"",$AY330&lt;&gt;""),$AY330-$AW330,"")</f>
        <v/>
      </c>
      <c r="BI330" s="55" t="str">
        <f aca="false">IF(AND($AX330&lt;&gt;"",$AY330&lt;&gt;""),$AY330-$AX330,"")</f>
        <v/>
      </c>
      <c r="BJ330" s="53" t="str">
        <f aca="false">IF($J330&lt;&gt;"",$J330,"")</f>
        <v/>
      </c>
      <c r="BL330" s="52"/>
      <c r="BM330" s="52" t="str">
        <f aca="false">IF(OR(COUNT(B330:D1329)=0,AND('Choix pédagogiques'!$C$3&lt;&gt;1,'Choix pédagogiques'!$C$3&lt;&gt;2)),"",IF(AND(OR('Choix pédagogiques'!$C$3=1,'Choix pédagogiques'!$C$3=2),$B330&lt;&gt;"",$C330&lt;&gt;"",$D330&lt;&gt;""),1,0))</f>
        <v/>
      </c>
      <c r="BN330" s="52" t="str">
        <f aca="false">IF(OR(COUNT(G330:I1329)=0,AND('Choix pédagogiques'!$C$3&lt;&gt;1,'Choix pédagogiques'!$C$3&lt;&gt;2)),"",IF(AND(OR('Choix pédagogiques'!$C$3=1,'Choix pédagogiques'!$C$3=2),AND($G330&lt;&gt;"",$H330&lt;&gt;"",$I330&lt;&gt;"")),1,0))</f>
        <v/>
      </c>
      <c r="BO330" s="52" t="str">
        <f aca="false">IF(OR(COUNT(B330:D1329)=0,COUNT(G330:I1329)=0,'Choix pédagogiques'!C$3&lt;&gt;3),"",IF(AND('Choix pédagogiques'!$C$3=3,$B330&lt;&gt;"",$C330&lt;&gt;"",$D330&lt;&gt;"",$G330&lt;&gt;"",$H330&lt;&gt;"",$I330&lt;&gt;""),1,0))</f>
        <v/>
      </c>
      <c r="BR330" s="52" t="n">
        <v>927</v>
      </c>
      <c r="BS330" s="52" t="n">
        <v>1856</v>
      </c>
    </row>
    <row r="331" s="54" customFormat="true" ht="18" hidden="false" customHeight="true" outlineLevel="0" collapsed="false">
      <c r="A331" s="57" t="s">
        <v>593</v>
      </c>
      <c r="B331" s="51"/>
      <c r="C331" s="51"/>
      <c r="D331" s="51"/>
      <c r="E331" s="51"/>
      <c r="F331" s="57" t="s">
        <v>594</v>
      </c>
      <c r="G331" s="51"/>
      <c r="H331" s="51"/>
      <c r="I331" s="51"/>
      <c r="J331" s="51"/>
      <c r="K331" s="52" t="str">
        <f aca="false">IF($A331&lt;&gt;"",$A331,"")</f>
        <v>Apprenant 319</v>
      </c>
      <c r="L331" s="53" t="str">
        <f aca="false">IF(AND($B331&lt;&gt;"",$C331&lt;&gt;""),$C331-$B331,"")</f>
        <v/>
      </c>
      <c r="M331" s="53" t="str">
        <f aca="false">IF(AND($B331&lt;&gt;"",$D331&lt;&gt;""),$D331-$B331,"")</f>
        <v/>
      </c>
      <c r="N331" s="53" t="str">
        <f aca="false">IF(AND($C331&lt;&gt;"",$D331&lt;&gt;""),$D331-$C331,"")</f>
        <v/>
      </c>
      <c r="O331" s="53" t="str">
        <f aca="false">IF($E331&lt;&gt;"",$E331,"")</f>
        <v/>
      </c>
      <c r="P331" s="52" t="str">
        <f aca="false">IF($F331&lt;&gt;"",$F331,"")</f>
        <v>Apprenant 319 ou 319'</v>
      </c>
      <c r="Q331" s="53" t="str">
        <f aca="false">IF(AND($G331&lt;&gt;"",$H331&lt;&gt;""),$H331-$G331,"")</f>
        <v/>
      </c>
      <c r="R331" s="53" t="str">
        <f aca="false">IF(AND($G331&lt;&gt;"",$I331&lt;&gt;""),$I331-$G331,"")</f>
        <v/>
      </c>
      <c r="S331" s="53" t="str">
        <f aca="false">IF(AND($H331&lt;&gt;"",$I331&lt;&gt;""),$I331-$H331,"")</f>
        <v/>
      </c>
      <c r="T331" s="53" t="str">
        <f aca="false">IF($J331&lt;&gt;"",$J331,"")</f>
        <v/>
      </c>
      <c r="V331" s="52" t="str">
        <f aca="false">IF($A331&lt;&gt;"",$A331,"")</f>
        <v>Apprenant 319</v>
      </c>
      <c r="W331" s="53" t="str">
        <f aca="false">IF(AND(OR('Choix pédagogiques'!$C$3=1,'Choix pédagogiques'!$C$3=2),$BM331=1),B331,IF(AND('Choix pédagogiques'!$C$3=3,$BO331=1),B331,""))</f>
        <v/>
      </c>
      <c r="X331" s="53" t="str">
        <f aca="false">IF(AND(OR('Choix pédagogiques'!$C$3=1,'Choix pédagogiques'!$C$3=2),$BM331=1),C331,IF(AND('Choix pédagogiques'!$C$3=3,$BO331=1),C331,""))</f>
        <v/>
      </c>
      <c r="Y331" s="53" t="str">
        <f aca="false">IF(AND(OR('Choix pédagogiques'!$C$3=1,'Choix pédagogiques'!$C$3=2),$BM331=1),D331,IF(AND('Choix pédagogiques'!$C$3=3,$BO331=1),D331,""))</f>
        <v/>
      </c>
      <c r="Z331" s="53" t="str">
        <f aca="false">IF($E331&lt;&gt;"",$E331,"")</f>
        <v/>
      </c>
      <c r="AA331" s="52" t="str">
        <f aca="false">IF($F331&lt;&gt;"",$F331,"")</f>
        <v>Apprenant 319 ou 319'</v>
      </c>
      <c r="AB331" s="53" t="str">
        <f aca="false">IF(AND(OR('Choix pédagogiques'!$C$3=1,'Choix pédagogiques'!$C$3=2),$BN331=1),G331,IF(AND('Choix pédagogiques'!$C$3=3,$BO331=1),G331,""))</f>
        <v/>
      </c>
      <c r="AC331" s="53" t="str">
        <f aca="false">IF(AND(OR('Choix pédagogiques'!$C$3=1,'Choix pédagogiques'!$C$3=2),$BN331=1),H331,IF(AND('Choix pédagogiques'!$C$3=3,$BO331=1),H331,""))</f>
        <v/>
      </c>
      <c r="AD331" s="53" t="str">
        <f aca="false">IF(AND(OR('Choix pédagogiques'!$C$3=1,'Choix pédagogiques'!$C$3=2),$BN331=1),I331,IF(AND('Choix pédagogiques'!$C$3=3,$BO331=1),I331,""))</f>
        <v/>
      </c>
      <c r="AE331" s="53" t="str">
        <f aca="false">IF($J331&lt;&gt;"",$J331,"")</f>
        <v/>
      </c>
      <c r="AF331" s="52" t="str">
        <f aca="false">IF($A331&lt;&gt;"",$A331,"")</f>
        <v>Apprenant 319</v>
      </c>
      <c r="AG331" s="53" t="str">
        <f aca="false">IF(AND($W331&lt;&gt;"",$X331&lt;&gt;""),$X331-$W331,"")</f>
        <v/>
      </c>
      <c r="AH331" s="53" t="str">
        <f aca="false">IF(AND($W331&lt;&gt;"",$Y331&lt;&gt;""),$Y331-$W331,"")</f>
        <v/>
      </c>
      <c r="AI331" s="53" t="str">
        <f aca="false">IF(AND($X331&lt;&gt;"",$Y331&lt;&gt;""),$Y331-$X331,"")</f>
        <v/>
      </c>
      <c r="AJ331" s="53" t="str">
        <f aca="false">IF($E331&lt;&gt;"",$E331,"")</f>
        <v/>
      </c>
      <c r="AK331" s="52" t="str">
        <f aca="false">IF($F331&lt;&gt;"",$F331,"")</f>
        <v>Apprenant 319 ou 319'</v>
      </c>
      <c r="AL331" s="53" t="str">
        <f aca="false">IF(AND($AB331&lt;&gt;"",$AC331&lt;&gt;""),$AC331-$AB331,"")</f>
        <v/>
      </c>
      <c r="AM331" s="53" t="str">
        <f aca="false">IF(AND($AB331&lt;&gt;"",$AD331&lt;&gt;""),$AD331-$AB331,"")</f>
        <v/>
      </c>
      <c r="AN331" s="53" t="str">
        <f aca="false">IF(AND($AC331&lt;&gt;"",$AD331&lt;&gt;""),$AD331-$AC331,"")</f>
        <v/>
      </c>
      <c r="AO331" s="53" t="str">
        <f aca="false">IF($J331&lt;&gt;"",$J331,"")</f>
        <v/>
      </c>
      <c r="AQ331" s="52" t="str">
        <f aca="false">IF($A331&lt;&gt;"",$A331,"")</f>
        <v>Apprenant 319</v>
      </c>
      <c r="AR331" s="55" t="str">
        <f aca="false">IF(AND('Choix pédagogiques'!$C$4&lt;&gt;"?",'Choix pédagogiques'!$C$5&lt;&gt;"?",W331&lt;&gt;""),(W331-'Choix pédagogiques'!$C$4)/('Choix pédagogiques'!$C$5-'Choix pédagogiques'!$C$4),"")</f>
        <v/>
      </c>
      <c r="AS331" s="55" t="str">
        <f aca="false">IF(AND('Choix pédagogiques'!$C$4&lt;&gt;"?",'Choix pédagogiques'!$C$5&lt;&gt;"?",X331&lt;&gt;""),(X331-'Choix pédagogiques'!$C$4)/('Choix pédagogiques'!$C$5-'Choix pédagogiques'!$C$4),"")</f>
        <v/>
      </c>
      <c r="AT331" s="55" t="str">
        <f aca="false">IF(AND('Choix pédagogiques'!$C$4&lt;&gt;"?",'Choix pédagogiques'!$C$5&lt;&gt;"?",Y331&lt;&gt;""),(Y331-'Choix pédagogiques'!$C$4)/('Choix pédagogiques'!$C$5-'Choix pédagogiques'!$C$4),"")</f>
        <v/>
      </c>
      <c r="AU331" s="53" t="str">
        <f aca="false">IF($E331&lt;&gt;"",$E331,"")</f>
        <v/>
      </c>
      <c r="AV331" s="52" t="str">
        <f aca="false">IF($F331&lt;&gt;"",$F331,"")</f>
        <v>Apprenant 319 ou 319'</v>
      </c>
      <c r="AW331" s="55" t="str">
        <f aca="false">IF(AND('Choix pédagogiques'!$C$4&lt;&gt;"?",'Choix pédagogiques'!$C$5&lt;&gt;"?",AB331&lt;&gt;""),(AB331-'Choix pédagogiques'!$C$4)/('Choix pédagogiques'!$C$5-'Choix pédagogiques'!$C$4),"")</f>
        <v/>
      </c>
      <c r="AX331" s="55" t="str">
        <f aca="false">IF(AND('Choix pédagogiques'!$C$4&lt;&gt;"?",'Choix pédagogiques'!$C$5&lt;&gt;"?",AC331&lt;&gt;""),(AC331-'Choix pédagogiques'!$C$4)/('Choix pédagogiques'!$C$5-'Choix pédagogiques'!$C$4),"")</f>
        <v/>
      </c>
      <c r="AY331" s="55" t="str">
        <f aca="false">IF(AND('Choix pédagogiques'!$C$4&lt;&gt;"?",'Choix pédagogiques'!$C$5&lt;&gt;"?",AD331&lt;&gt;""),(AD331-'Choix pédagogiques'!$C$4)/('Choix pédagogiques'!$C$5-'Choix pédagogiques'!$C$4),"")</f>
        <v/>
      </c>
      <c r="AZ331" s="53" t="str">
        <f aca="false">IF($J331&lt;&gt;"",$J331,"")</f>
        <v/>
      </c>
      <c r="BA331" s="52" t="str">
        <f aca="false">IF($A331&lt;&gt;"",$A331,"")</f>
        <v>Apprenant 319</v>
      </c>
      <c r="BB331" s="55" t="str">
        <f aca="false">IF(AND($AR331&lt;&gt;"",$AS331&lt;&gt;""),$AS331-$AR331,"")</f>
        <v/>
      </c>
      <c r="BC331" s="55" t="str">
        <f aca="false">IF(AND($AR331&lt;&gt;"",$AT331&lt;&gt;""),$AT331-$AR331,"")</f>
        <v/>
      </c>
      <c r="BD331" s="55" t="str">
        <f aca="false">IF(AND($AS331&lt;&gt;"",$AT331&lt;&gt;""),$AT331-$AS331,"")</f>
        <v/>
      </c>
      <c r="BE331" s="53" t="str">
        <f aca="false">IF($E331&lt;&gt;"",$E331,"")</f>
        <v/>
      </c>
      <c r="BF331" s="52" t="str">
        <f aca="false">IF($F331&lt;&gt;"",$F331,"")</f>
        <v>Apprenant 319 ou 319'</v>
      </c>
      <c r="BG331" s="55" t="str">
        <f aca="false">IF(AND($AW331&lt;&gt;"",$AX331&lt;&gt;""),$AX331-$AW331,"")</f>
        <v/>
      </c>
      <c r="BH331" s="55" t="str">
        <f aca="false">IF(AND($AW331&lt;&gt;"",$AY331&lt;&gt;""),$AY331-$AW331,"")</f>
        <v/>
      </c>
      <c r="BI331" s="55" t="str">
        <f aca="false">IF(AND($AX331&lt;&gt;"",$AY331&lt;&gt;""),$AY331-$AX331,"")</f>
        <v/>
      </c>
      <c r="BJ331" s="53" t="str">
        <f aca="false">IF($J331&lt;&gt;"",$J331,"")</f>
        <v/>
      </c>
      <c r="BL331" s="52"/>
      <c r="BM331" s="52" t="str">
        <f aca="false">IF(OR(COUNT(B331:D1330)=0,AND('Choix pédagogiques'!$C$3&lt;&gt;1,'Choix pédagogiques'!$C$3&lt;&gt;2)),"",IF(AND(OR('Choix pédagogiques'!$C$3=1,'Choix pédagogiques'!$C$3=2),$B331&lt;&gt;"",$C331&lt;&gt;"",$D331&lt;&gt;""),1,0))</f>
        <v/>
      </c>
      <c r="BN331" s="52" t="str">
        <f aca="false">IF(OR(COUNT(G331:I1330)=0,AND('Choix pédagogiques'!$C$3&lt;&gt;1,'Choix pédagogiques'!$C$3&lt;&gt;2)),"",IF(AND(OR('Choix pédagogiques'!$C$3=1,'Choix pédagogiques'!$C$3=2),AND($G331&lt;&gt;"",$H331&lt;&gt;"",$I331&lt;&gt;"")),1,0))</f>
        <v/>
      </c>
      <c r="BO331" s="52" t="str">
        <f aca="false">IF(OR(COUNT(B331:D1330)=0,COUNT(G331:I1330)=0,'Choix pédagogiques'!C$3&lt;&gt;3),"",IF(AND('Choix pédagogiques'!$C$3=3,$B331&lt;&gt;"",$C331&lt;&gt;"",$D331&lt;&gt;"",$G331&lt;&gt;"",$H331&lt;&gt;"",$I331&lt;&gt;""),1,0))</f>
        <v/>
      </c>
      <c r="BR331" s="52" t="n">
        <v>864</v>
      </c>
      <c r="BS331" s="52" t="n">
        <v>1519</v>
      </c>
    </row>
    <row r="332" s="54" customFormat="true" ht="18" hidden="false" customHeight="true" outlineLevel="0" collapsed="false">
      <c r="A332" s="57" t="s">
        <v>595</v>
      </c>
      <c r="B332" s="51"/>
      <c r="C332" s="51"/>
      <c r="D332" s="51"/>
      <c r="E332" s="51"/>
      <c r="F332" s="57" t="s">
        <v>596</v>
      </c>
      <c r="G332" s="51"/>
      <c r="H332" s="51"/>
      <c r="I332" s="51"/>
      <c r="J332" s="51"/>
      <c r="K332" s="52" t="str">
        <f aca="false">IF($A332&lt;&gt;"",$A332,"")</f>
        <v>Apprenant 320</v>
      </c>
      <c r="L332" s="53" t="str">
        <f aca="false">IF(AND($B332&lt;&gt;"",$C332&lt;&gt;""),$C332-$B332,"")</f>
        <v/>
      </c>
      <c r="M332" s="53" t="str">
        <f aca="false">IF(AND($B332&lt;&gt;"",$D332&lt;&gt;""),$D332-$B332,"")</f>
        <v/>
      </c>
      <c r="N332" s="53" t="str">
        <f aca="false">IF(AND($C332&lt;&gt;"",$D332&lt;&gt;""),$D332-$C332,"")</f>
        <v/>
      </c>
      <c r="O332" s="53" t="str">
        <f aca="false">IF($E332&lt;&gt;"",$E332,"")</f>
        <v/>
      </c>
      <c r="P332" s="52" t="str">
        <f aca="false">IF($F332&lt;&gt;"",$F332,"")</f>
        <v>Apprenant 320 ou 320'</v>
      </c>
      <c r="Q332" s="53" t="str">
        <f aca="false">IF(AND($G332&lt;&gt;"",$H332&lt;&gt;""),$H332-$G332,"")</f>
        <v/>
      </c>
      <c r="R332" s="53" t="str">
        <f aca="false">IF(AND($G332&lt;&gt;"",$I332&lt;&gt;""),$I332-$G332,"")</f>
        <v/>
      </c>
      <c r="S332" s="53" t="str">
        <f aca="false">IF(AND($H332&lt;&gt;"",$I332&lt;&gt;""),$I332-$H332,"")</f>
        <v/>
      </c>
      <c r="T332" s="53" t="str">
        <f aca="false">IF($J332&lt;&gt;"",$J332,"")</f>
        <v/>
      </c>
      <c r="V332" s="52" t="str">
        <f aca="false">IF($A332&lt;&gt;"",$A332,"")</f>
        <v>Apprenant 320</v>
      </c>
      <c r="W332" s="53" t="str">
        <f aca="false">IF(AND(OR('Choix pédagogiques'!$C$3=1,'Choix pédagogiques'!$C$3=2),$BM332=1),B332,IF(AND('Choix pédagogiques'!$C$3=3,$BO332=1),B332,""))</f>
        <v/>
      </c>
      <c r="X332" s="53" t="str">
        <f aca="false">IF(AND(OR('Choix pédagogiques'!$C$3=1,'Choix pédagogiques'!$C$3=2),$BM332=1),C332,IF(AND('Choix pédagogiques'!$C$3=3,$BO332=1),C332,""))</f>
        <v/>
      </c>
      <c r="Y332" s="53" t="str">
        <f aca="false">IF(AND(OR('Choix pédagogiques'!$C$3=1,'Choix pédagogiques'!$C$3=2),$BM332=1),D332,IF(AND('Choix pédagogiques'!$C$3=3,$BO332=1),D332,""))</f>
        <v/>
      </c>
      <c r="Z332" s="53" t="str">
        <f aca="false">IF($E332&lt;&gt;"",$E332,"")</f>
        <v/>
      </c>
      <c r="AA332" s="52" t="str">
        <f aca="false">IF($F332&lt;&gt;"",$F332,"")</f>
        <v>Apprenant 320 ou 320'</v>
      </c>
      <c r="AB332" s="53" t="str">
        <f aca="false">IF(AND(OR('Choix pédagogiques'!$C$3=1,'Choix pédagogiques'!$C$3=2),$BN332=1),G332,IF(AND('Choix pédagogiques'!$C$3=3,$BO332=1),G332,""))</f>
        <v/>
      </c>
      <c r="AC332" s="53" t="str">
        <f aca="false">IF(AND(OR('Choix pédagogiques'!$C$3=1,'Choix pédagogiques'!$C$3=2),$BN332=1),H332,IF(AND('Choix pédagogiques'!$C$3=3,$BO332=1),H332,""))</f>
        <v/>
      </c>
      <c r="AD332" s="53" t="str">
        <f aca="false">IF(AND(OR('Choix pédagogiques'!$C$3=1,'Choix pédagogiques'!$C$3=2),$BN332=1),I332,IF(AND('Choix pédagogiques'!$C$3=3,$BO332=1),I332,""))</f>
        <v/>
      </c>
      <c r="AE332" s="53" t="str">
        <f aca="false">IF($J332&lt;&gt;"",$J332,"")</f>
        <v/>
      </c>
      <c r="AF332" s="52" t="str">
        <f aca="false">IF($A332&lt;&gt;"",$A332,"")</f>
        <v>Apprenant 320</v>
      </c>
      <c r="AG332" s="53" t="str">
        <f aca="false">IF(AND($W332&lt;&gt;"",$X332&lt;&gt;""),$X332-$W332,"")</f>
        <v/>
      </c>
      <c r="AH332" s="53" t="str">
        <f aca="false">IF(AND($W332&lt;&gt;"",$Y332&lt;&gt;""),$Y332-$W332,"")</f>
        <v/>
      </c>
      <c r="AI332" s="53" t="str">
        <f aca="false">IF(AND($X332&lt;&gt;"",$Y332&lt;&gt;""),$Y332-$X332,"")</f>
        <v/>
      </c>
      <c r="AJ332" s="53" t="str">
        <f aca="false">IF($E332&lt;&gt;"",$E332,"")</f>
        <v/>
      </c>
      <c r="AK332" s="52" t="str">
        <f aca="false">IF($F332&lt;&gt;"",$F332,"")</f>
        <v>Apprenant 320 ou 320'</v>
      </c>
      <c r="AL332" s="53" t="str">
        <f aca="false">IF(AND($AB332&lt;&gt;"",$AC332&lt;&gt;""),$AC332-$AB332,"")</f>
        <v/>
      </c>
      <c r="AM332" s="53" t="str">
        <f aca="false">IF(AND($AB332&lt;&gt;"",$AD332&lt;&gt;""),$AD332-$AB332,"")</f>
        <v/>
      </c>
      <c r="AN332" s="53" t="str">
        <f aca="false">IF(AND($AC332&lt;&gt;"",$AD332&lt;&gt;""),$AD332-$AC332,"")</f>
        <v/>
      </c>
      <c r="AO332" s="53" t="str">
        <f aca="false">IF($J332&lt;&gt;"",$J332,"")</f>
        <v/>
      </c>
      <c r="AQ332" s="52" t="str">
        <f aca="false">IF($A332&lt;&gt;"",$A332,"")</f>
        <v>Apprenant 320</v>
      </c>
      <c r="AR332" s="55" t="str">
        <f aca="false">IF(AND('Choix pédagogiques'!$C$4&lt;&gt;"?",'Choix pédagogiques'!$C$5&lt;&gt;"?",W332&lt;&gt;""),(W332-'Choix pédagogiques'!$C$4)/('Choix pédagogiques'!$C$5-'Choix pédagogiques'!$C$4),"")</f>
        <v/>
      </c>
      <c r="AS332" s="55" t="str">
        <f aca="false">IF(AND('Choix pédagogiques'!$C$4&lt;&gt;"?",'Choix pédagogiques'!$C$5&lt;&gt;"?",X332&lt;&gt;""),(X332-'Choix pédagogiques'!$C$4)/('Choix pédagogiques'!$C$5-'Choix pédagogiques'!$C$4),"")</f>
        <v/>
      </c>
      <c r="AT332" s="55" t="str">
        <f aca="false">IF(AND('Choix pédagogiques'!$C$4&lt;&gt;"?",'Choix pédagogiques'!$C$5&lt;&gt;"?",Y332&lt;&gt;""),(Y332-'Choix pédagogiques'!$C$4)/('Choix pédagogiques'!$C$5-'Choix pédagogiques'!$C$4),"")</f>
        <v/>
      </c>
      <c r="AU332" s="53" t="str">
        <f aca="false">IF($E332&lt;&gt;"",$E332,"")</f>
        <v/>
      </c>
      <c r="AV332" s="52" t="str">
        <f aca="false">IF($F332&lt;&gt;"",$F332,"")</f>
        <v>Apprenant 320 ou 320'</v>
      </c>
      <c r="AW332" s="55" t="str">
        <f aca="false">IF(AND('Choix pédagogiques'!$C$4&lt;&gt;"?",'Choix pédagogiques'!$C$5&lt;&gt;"?",AB332&lt;&gt;""),(AB332-'Choix pédagogiques'!$C$4)/('Choix pédagogiques'!$C$5-'Choix pédagogiques'!$C$4),"")</f>
        <v/>
      </c>
      <c r="AX332" s="55" t="str">
        <f aca="false">IF(AND('Choix pédagogiques'!$C$4&lt;&gt;"?",'Choix pédagogiques'!$C$5&lt;&gt;"?",AC332&lt;&gt;""),(AC332-'Choix pédagogiques'!$C$4)/('Choix pédagogiques'!$C$5-'Choix pédagogiques'!$C$4),"")</f>
        <v/>
      </c>
      <c r="AY332" s="55" t="str">
        <f aca="false">IF(AND('Choix pédagogiques'!$C$4&lt;&gt;"?",'Choix pédagogiques'!$C$5&lt;&gt;"?",AD332&lt;&gt;""),(AD332-'Choix pédagogiques'!$C$4)/('Choix pédagogiques'!$C$5-'Choix pédagogiques'!$C$4),"")</f>
        <v/>
      </c>
      <c r="AZ332" s="53" t="str">
        <f aca="false">IF($J332&lt;&gt;"",$J332,"")</f>
        <v/>
      </c>
      <c r="BA332" s="52" t="str">
        <f aca="false">IF($A332&lt;&gt;"",$A332,"")</f>
        <v>Apprenant 320</v>
      </c>
      <c r="BB332" s="55" t="str">
        <f aca="false">IF(AND($AR332&lt;&gt;"",$AS332&lt;&gt;""),$AS332-$AR332,"")</f>
        <v/>
      </c>
      <c r="BC332" s="55" t="str">
        <f aca="false">IF(AND($AR332&lt;&gt;"",$AT332&lt;&gt;""),$AT332-$AR332,"")</f>
        <v/>
      </c>
      <c r="BD332" s="55" t="str">
        <f aca="false">IF(AND($AS332&lt;&gt;"",$AT332&lt;&gt;""),$AT332-$AS332,"")</f>
        <v/>
      </c>
      <c r="BE332" s="53" t="str">
        <f aca="false">IF($E332&lt;&gt;"",$E332,"")</f>
        <v/>
      </c>
      <c r="BF332" s="52" t="str">
        <f aca="false">IF($F332&lt;&gt;"",$F332,"")</f>
        <v>Apprenant 320 ou 320'</v>
      </c>
      <c r="BG332" s="55" t="str">
        <f aca="false">IF(AND($AW332&lt;&gt;"",$AX332&lt;&gt;""),$AX332-$AW332,"")</f>
        <v/>
      </c>
      <c r="BH332" s="55" t="str">
        <f aca="false">IF(AND($AW332&lt;&gt;"",$AY332&lt;&gt;""),$AY332-$AW332,"")</f>
        <v/>
      </c>
      <c r="BI332" s="55" t="str">
        <f aca="false">IF(AND($AX332&lt;&gt;"",$AY332&lt;&gt;""),$AY332-$AX332,"")</f>
        <v/>
      </c>
      <c r="BJ332" s="53" t="str">
        <f aca="false">IF($J332&lt;&gt;"",$J332,"")</f>
        <v/>
      </c>
      <c r="BL332" s="52"/>
      <c r="BM332" s="52" t="str">
        <f aca="false">IF(OR(COUNT(B332:D1331)=0,AND('Choix pédagogiques'!$C$3&lt;&gt;1,'Choix pédagogiques'!$C$3&lt;&gt;2)),"",IF(AND(OR('Choix pédagogiques'!$C$3=1,'Choix pédagogiques'!$C$3=2),$B332&lt;&gt;"",$C332&lt;&gt;"",$D332&lt;&gt;""),1,0))</f>
        <v/>
      </c>
      <c r="BN332" s="52" t="str">
        <f aca="false">IF(OR(COUNT(G332:I1331)=0,AND('Choix pédagogiques'!$C$3&lt;&gt;1,'Choix pédagogiques'!$C$3&lt;&gt;2)),"",IF(AND(OR('Choix pédagogiques'!$C$3=1,'Choix pédagogiques'!$C$3=2),AND($G332&lt;&gt;"",$H332&lt;&gt;"",$I332&lt;&gt;"")),1,0))</f>
        <v/>
      </c>
      <c r="BO332" s="52" t="str">
        <f aca="false">IF(OR(COUNT(B332:D1331)=0,COUNT(G332:I1331)=0,'Choix pédagogiques'!C$3&lt;&gt;3),"",IF(AND('Choix pédagogiques'!$C$3=3,$B332&lt;&gt;"",$C332&lt;&gt;"",$D332&lt;&gt;"",$G332&lt;&gt;"",$H332&lt;&gt;"",$I332&lt;&gt;""),1,0))</f>
        <v/>
      </c>
      <c r="BR332" s="52" t="n">
        <v>884</v>
      </c>
      <c r="BS332" s="52" t="n">
        <v>1513</v>
      </c>
    </row>
    <row r="333" s="54" customFormat="true" ht="18" hidden="false" customHeight="true" outlineLevel="0" collapsed="false">
      <c r="A333" s="57" t="s">
        <v>597</v>
      </c>
      <c r="B333" s="51"/>
      <c r="C333" s="51"/>
      <c r="D333" s="51"/>
      <c r="E333" s="51"/>
      <c r="F333" s="57" t="s">
        <v>598</v>
      </c>
      <c r="G333" s="51"/>
      <c r="H333" s="51"/>
      <c r="I333" s="51"/>
      <c r="J333" s="51"/>
      <c r="K333" s="52" t="str">
        <f aca="false">IF($A333&lt;&gt;"",$A333,"")</f>
        <v>Apprenant 321</v>
      </c>
      <c r="L333" s="53" t="str">
        <f aca="false">IF(AND($B333&lt;&gt;"",$C333&lt;&gt;""),$C333-$B333,"")</f>
        <v/>
      </c>
      <c r="M333" s="53" t="str">
        <f aca="false">IF(AND($B333&lt;&gt;"",$D333&lt;&gt;""),$D333-$B333,"")</f>
        <v/>
      </c>
      <c r="N333" s="53" t="str">
        <f aca="false">IF(AND($C333&lt;&gt;"",$D333&lt;&gt;""),$D333-$C333,"")</f>
        <v/>
      </c>
      <c r="O333" s="53" t="str">
        <f aca="false">IF($E333&lt;&gt;"",$E333,"")</f>
        <v/>
      </c>
      <c r="P333" s="52" t="str">
        <f aca="false">IF($F333&lt;&gt;"",$F333,"")</f>
        <v>Apprenant 321 ou 321'</v>
      </c>
      <c r="Q333" s="53" t="str">
        <f aca="false">IF(AND($G333&lt;&gt;"",$H333&lt;&gt;""),$H333-$G333,"")</f>
        <v/>
      </c>
      <c r="R333" s="53" t="str">
        <f aca="false">IF(AND($G333&lt;&gt;"",$I333&lt;&gt;""),$I333-$G333,"")</f>
        <v/>
      </c>
      <c r="S333" s="53" t="str">
        <f aca="false">IF(AND($H333&lt;&gt;"",$I333&lt;&gt;""),$I333-$H333,"")</f>
        <v/>
      </c>
      <c r="T333" s="53" t="str">
        <f aca="false">IF($J333&lt;&gt;"",$J333,"")</f>
        <v/>
      </c>
      <c r="V333" s="52" t="str">
        <f aca="false">IF($A333&lt;&gt;"",$A333,"")</f>
        <v>Apprenant 321</v>
      </c>
      <c r="W333" s="53" t="str">
        <f aca="false">IF(AND(OR('Choix pédagogiques'!$C$3=1,'Choix pédagogiques'!$C$3=2),$BM333=1),B333,IF(AND('Choix pédagogiques'!$C$3=3,$BO333=1),B333,""))</f>
        <v/>
      </c>
      <c r="X333" s="53" t="str">
        <f aca="false">IF(AND(OR('Choix pédagogiques'!$C$3=1,'Choix pédagogiques'!$C$3=2),$BM333=1),C333,IF(AND('Choix pédagogiques'!$C$3=3,$BO333=1),C333,""))</f>
        <v/>
      </c>
      <c r="Y333" s="53" t="str">
        <f aca="false">IF(AND(OR('Choix pédagogiques'!$C$3=1,'Choix pédagogiques'!$C$3=2),$BM333=1),D333,IF(AND('Choix pédagogiques'!$C$3=3,$BO333=1),D333,""))</f>
        <v/>
      </c>
      <c r="Z333" s="53" t="str">
        <f aca="false">IF($E333&lt;&gt;"",$E333,"")</f>
        <v/>
      </c>
      <c r="AA333" s="52" t="str">
        <f aca="false">IF($F333&lt;&gt;"",$F333,"")</f>
        <v>Apprenant 321 ou 321'</v>
      </c>
      <c r="AB333" s="53" t="str">
        <f aca="false">IF(AND(OR('Choix pédagogiques'!$C$3=1,'Choix pédagogiques'!$C$3=2),$BN333=1),G333,IF(AND('Choix pédagogiques'!$C$3=3,$BO333=1),G333,""))</f>
        <v/>
      </c>
      <c r="AC333" s="53" t="str">
        <f aca="false">IF(AND(OR('Choix pédagogiques'!$C$3=1,'Choix pédagogiques'!$C$3=2),$BN333=1),H333,IF(AND('Choix pédagogiques'!$C$3=3,$BO333=1),H333,""))</f>
        <v/>
      </c>
      <c r="AD333" s="53" t="str">
        <f aca="false">IF(AND(OR('Choix pédagogiques'!$C$3=1,'Choix pédagogiques'!$C$3=2),$BN333=1),I333,IF(AND('Choix pédagogiques'!$C$3=3,$BO333=1),I333,""))</f>
        <v/>
      </c>
      <c r="AE333" s="53" t="str">
        <f aca="false">IF($J333&lt;&gt;"",$J333,"")</f>
        <v/>
      </c>
      <c r="AF333" s="52" t="str">
        <f aca="false">IF($A333&lt;&gt;"",$A333,"")</f>
        <v>Apprenant 321</v>
      </c>
      <c r="AG333" s="53" t="str">
        <f aca="false">IF(AND($W333&lt;&gt;"",$X333&lt;&gt;""),$X333-$W333,"")</f>
        <v/>
      </c>
      <c r="AH333" s="53" t="str">
        <f aca="false">IF(AND($W333&lt;&gt;"",$Y333&lt;&gt;""),$Y333-$W333,"")</f>
        <v/>
      </c>
      <c r="AI333" s="53" t="str">
        <f aca="false">IF(AND($X333&lt;&gt;"",$Y333&lt;&gt;""),$Y333-$X333,"")</f>
        <v/>
      </c>
      <c r="AJ333" s="53" t="str">
        <f aca="false">IF($E333&lt;&gt;"",$E333,"")</f>
        <v/>
      </c>
      <c r="AK333" s="52" t="str">
        <f aca="false">IF($F333&lt;&gt;"",$F333,"")</f>
        <v>Apprenant 321 ou 321'</v>
      </c>
      <c r="AL333" s="53" t="str">
        <f aca="false">IF(AND($AB333&lt;&gt;"",$AC333&lt;&gt;""),$AC333-$AB333,"")</f>
        <v/>
      </c>
      <c r="AM333" s="53" t="str">
        <f aca="false">IF(AND($AB333&lt;&gt;"",$AD333&lt;&gt;""),$AD333-$AB333,"")</f>
        <v/>
      </c>
      <c r="AN333" s="53" t="str">
        <f aca="false">IF(AND($AC333&lt;&gt;"",$AD333&lt;&gt;""),$AD333-$AC333,"")</f>
        <v/>
      </c>
      <c r="AO333" s="53" t="str">
        <f aca="false">IF($J333&lt;&gt;"",$J333,"")</f>
        <v/>
      </c>
      <c r="AQ333" s="52" t="str">
        <f aca="false">IF($A333&lt;&gt;"",$A333,"")</f>
        <v>Apprenant 321</v>
      </c>
      <c r="AR333" s="55" t="str">
        <f aca="false">IF(AND('Choix pédagogiques'!$C$4&lt;&gt;"?",'Choix pédagogiques'!$C$5&lt;&gt;"?",W333&lt;&gt;""),(W333-'Choix pédagogiques'!$C$4)/('Choix pédagogiques'!$C$5-'Choix pédagogiques'!$C$4),"")</f>
        <v/>
      </c>
      <c r="AS333" s="55" t="str">
        <f aca="false">IF(AND('Choix pédagogiques'!$C$4&lt;&gt;"?",'Choix pédagogiques'!$C$5&lt;&gt;"?",X333&lt;&gt;""),(X333-'Choix pédagogiques'!$C$4)/('Choix pédagogiques'!$C$5-'Choix pédagogiques'!$C$4),"")</f>
        <v/>
      </c>
      <c r="AT333" s="55" t="str">
        <f aca="false">IF(AND('Choix pédagogiques'!$C$4&lt;&gt;"?",'Choix pédagogiques'!$C$5&lt;&gt;"?",Y333&lt;&gt;""),(Y333-'Choix pédagogiques'!$C$4)/('Choix pédagogiques'!$C$5-'Choix pédagogiques'!$C$4),"")</f>
        <v/>
      </c>
      <c r="AU333" s="53" t="str">
        <f aca="false">IF($E333&lt;&gt;"",$E333,"")</f>
        <v/>
      </c>
      <c r="AV333" s="52" t="str">
        <f aca="false">IF($F333&lt;&gt;"",$F333,"")</f>
        <v>Apprenant 321 ou 321'</v>
      </c>
      <c r="AW333" s="55" t="str">
        <f aca="false">IF(AND('Choix pédagogiques'!$C$4&lt;&gt;"?",'Choix pédagogiques'!$C$5&lt;&gt;"?",AB333&lt;&gt;""),(AB333-'Choix pédagogiques'!$C$4)/('Choix pédagogiques'!$C$5-'Choix pédagogiques'!$C$4),"")</f>
        <v/>
      </c>
      <c r="AX333" s="55" t="str">
        <f aca="false">IF(AND('Choix pédagogiques'!$C$4&lt;&gt;"?",'Choix pédagogiques'!$C$5&lt;&gt;"?",AC333&lt;&gt;""),(AC333-'Choix pédagogiques'!$C$4)/('Choix pédagogiques'!$C$5-'Choix pédagogiques'!$C$4),"")</f>
        <v/>
      </c>
      <c r="AY333" s="55" t="str">
        <f aca="false">IF(AND('Choix pédagogiques'!$C$4&lt;&gt;"?",'Choix pédagogiques'!$C$5&lt;&gt;"?",AD333&lt;&gt;""),(AD333-'Choix pédagogiques'!$C$4)/('Choix pédagogiques'!$C$5-'Choix pédagogiques'!$C$4),"")</f>
        <v/>
      </c>
      <c r="AZ333" s="53" t="str">
        <f aca="false">IF($J333&lt;&gt;"",$J333,"")</f>
        <v/>
      </c>
      <c r="BA333" s="52" t="str">
        <f aca="false">IF($A333&lt;&gt;"",$A333,"")</f>
        <v>Apprenant 321</v>
      </c>
      <c r="BB333" s="55" t="str">
        <f aca="false">IF(AND($AR333&lt;&gt;"",$AS333&lt;&gt;""),$AS333-$AR333,"")</f>
        <v/>
      </c>
      <c r="BC333" s="55" t="str">
        <f aca="false">IF(AND($AR333&lt;&gt;"",$AT333&lt;&gt;""),$AT333-$AR333,"")</f>
        <v/>
      </c>
      <c r="BD333" s="55" t="str">
        <f aca="false">IF(AND($AS333&lt;&gt;"",$AT333&lt;&gt;""),$AT333-$AS333,"")</f>
        <v/>
      </c>
      <c r="BE333" s="53" t="str">
        <f aca="false">IF($E333&lt;&gt;"",$E333,"")</f>
        <v/>
      </c>
      <c r="BF333" s="52" t="str">
        <f aca="false">IF($F333&lt;&gt;"",$F333,"")</f>
        <v>Apprenant 321 ou 321'</v>
      </c>
      <c r="BG333" s="55" t="str">
        <f aca="false">IF(AND($AW333&lt;&gt;"",$AX333&lt;&gt;""),$AX333-$AW333,"")</f>
        <v/>
      </c>
      <c r="BH333" s="55" t="str">
        <f aca="false">IF(AND($AW333&lt;&gt;"",$AY333&lt;&gt;""),$AY333-$AW333,"")</f>
        <v/>
      </c>
      <c r="BI333" s="55" t="str">
        <f aca="false">IF(AND($AX333&lt;&gt;"",$AY333&lt;&gt;""),$AY333-$AX333,"")</f>
        <v/>
      </c>
      <c r="BJ333" s="53" t="str">
        <f aca="false">IF($J333&lt;&gt;"",$J333,"")</f>
        <v/>
      </c>
      <c r="BL333" s="52"/>
      <c r="BM333" s="52" t="str">
        <f aca="false">IF(OR(COUNT(B333:D1332)=0,AND('Choix pédagogiques'!$C$3&lt;&gt;1,'Choix pédagogiques'!$C$3&lt;&gt;2)),"",IF(AND(OR('Choix pédagogiques'!$C$3=1,'Choix pédagogiques'!$C$3=2),$B333&lt;&gt;"",$C333&lt;&gt;"",$D333&lt;&gt;""),1,0))</f>
        <v/>
      </c>
      <c r="BN333" s="52" t="str">
        <f aca="false">IF(OR(COUNT(G333:I1332)=0,AND('Choix pédagogiques'!$C$3&lt;&gt;1,'Choix pédagogiques'!$C$3&lt;&gt;2)),"",IF(AND(OR('Choix pédagogiques'!$C$3=1,'Choix pédagogiques'!$C$3=2),AND($G333&lt;&gt;"",$H333&lt;&gt;"",$I333&lt;&gt;"")),1,0))</f>
        <v/>
      </c>
      <c r="BO333" s="52" t="str">
        <f aca="false">IF(OR(COUNT(B333:D1332)=0,COUNT(G333:I1332)=0,'Choix pédagogiques'!C$3&lt;&gt;3),"",IF(AND('Choix pédagogiques'!$C$3=3,$B333&lt;&gt;"",$C333&lt;&gt;"",$D333&lt;&gt;"",$G333&lt;&gt;"",$H333&lt;&gt;"",$I333&lt;&gt;""),1,0))</f>
        <v/>
      </c>
      <c r="BR333" s="52" t="n">
        <v>60</v>
      </c>
      <c r="BS333" s="52" t="n">
        <v>1838</v>
      </c>
    </row>
    <row r="334" s="54" customFormat="true" ht="18" hidden="false" customHeight="true" outlineLevel="0" collapsed="false">
      <c r="A334" s="57" t="s">
        <v>599</v>
      </c>
      <c r="B334" s="51"/>
      <c r="C334" s="51"/>
      <c r="D334" s="51"/>
      <c r="E334" s="51"/>
      <c r="F334" s="57" t="s">
        <v>600</v>
      </c>
      <c r="G334" s="51"/>
      <c r="H334" s="51"/>
      <c r="I334" s="51"/>
      <c r="J334" s="51"/>
      <c r="K334" s="52" t="str">
        <f aca="false">IF($A334&lt;&gt;"",$A334,"")</f>
        <v>Apprenant 322</v>
      </c>
      <c r="L334" s="53" t="str">
        <f aca="false">IF(AND($B334&lt;&gt;"",$C334&lt;&gt;""),$C334-$B334,"")</f>
        <v/>
      </c>
      <c r="M334" s="53" t="str">
        <f aca="false">IF(AND($B334&lt;&gt;"",$D334&lt;&gt;""),$D334-$B334,"")</f>
        <v/>
      </c>
      <c r="N334" s="53" t="str">
        <f aca="false">IF(AND($C334&lt;&gt;"",$D334&lt;&gt;""),$D334-$C334,"")</f>
        <v/>
      </c>
      <c r="O334" s="53" t="str">
        <f aca="false">IF($E334&lt;&gt;"",$E334,"")</f>
        <v/>
      </c>
      <c r="P334" s="52" t="str">
        <f aca="false">IF($F334&lt;&gt;"",$F334,"")</f>
        <v>Apprenant 322 ou 322'</v>
      </c>
      <c r="Q334" s="53" t="str">
        <f aca="false">IF(AND($G334&lt;&gt;"",$H334&lt;&gt;""),$H334-$G334,"")</f>
        <v/>
      </c>
      <c r="R334" s="53" t="str">
        <f aca="false">IF(AND($G334&lt;&gt;"",$I334&lt;&gt;""),$I334-$G334,"")</f>
        <v/>
      </c>
      <c r="S334" s="53" t="str">
        <f aca="false">IF(AND($H334&lt;&gt;"",$I334&lt;&gt;""),$I334-$H334,"")</f>
        <v/>
      </c>
      <c r="T334" s="53" t="str">
        <f aca="false">IF($J334&lt;&gt;"",$J334,"")</f>
        <v/>
      </c>
      <c r="V334" s="52" t="str">
        <f aca="false">IF($A334&lt;&gt;"",$A334,"")</f>
        <v>Apprenant 322</v>
      </c>
      <c r="W334" s="53" t="str">
        <f aca="false">IF(AND(OR('Choix pédagogiques'!$C$3=1,'Choix pédagogiques'!$C$3=2),$BM334=1),B334,IF(AND('Choix pédagogiques'!$C$3=3,$BO334=1),B334,""))</f>
        <v/>
      </c>
      <c r="X334" s="53" t="str">
        <f aca="false">IF(AND(OR('Choix pédagogiques'!$C$3=1,'Choix pédagogiques'!$C$3=2),$BM334=1),C334,IF(AND('Choix pédagogiques'!$C$3=3,$BO334=1),C334,""))</f>
        <v/>
      </c>
      <c r="Y334" s="53" t="str">
        <f aca="false">IF(AND(OR('Choix pédagogiques'!$C$3=1,'Choix pédagogiques'!$C$3=2),$BM334=1),D334,IF(AND('Choix pédagogiques'!$C$3=3,$BO334=1),D334,""))</f>
        <v/>
      </c>
      <c r="Z334" s="53" t="str">
        <f aca="false">IF($E334&lt;&gt;"",$E334,"")</f>
        <v/>
      </c>
      <c r="AA334" s="52" t="str">
        <f aca="false">IF($F334&lt;&gt;"",$F334,"")</f>
        <v>Apprenant 322 ou 322'</v>
      </c>
      <c r="AB334" s="53" t="str">
        <f aca="false">IF(AND(OR('Choix pédagogiques'!$C$3=1,'Choix pédagogiques'!$C$3=2),$BN334=1),G334,IF(AND('Choix pédagogiques'!$C$3=3,$BO334=1),G334,""))</f>
        <v/>
      </c>
      <c r="AC334" s="53" t="str">
        <f aca="false">IF(AND(OR('Choix pédagogiques'!$C$3=1,'Choix pédagogiques'!$C$3=2),$BN334=1),H334,IF(AND('Choix pédagogiques'!$C$3=3,$BO334=1),H334,""))</f>
        <v/>
      </c>
      <c r="AD334" s="53" t="str">
        <f aca="false">IF(AND(OR('Choix pédagogiques'!$C$3=1,'Choix pédagogiques'!$C$3=2),$BN334=1),I334,IF(AND('Choix pédagogiques'!$C$3=3,$BO334=1),I334,""))</f>
        <v/>
      </c>
      <c r="AE334" s="53" t="str">
        <f aca="false">IF($J334&lt;&gt;"",$J334,"")</f>
        <v/>
      </c>
      <c r="AF334" s="52" t="str">
        <f aca="false">IF($A334&lt;&gt;"",$A334,"")</f>
        <v>Apprenant 322</v>
      </c>
      <c r="AG334" s="53" t="str">
        <f aca="false">IF(AND($W334&lt;&gt;"",$X334&lt;&gt;""),$X334-$W334,"")</f>
        <v/>
      </c>
      <c r="AH334" s="53" t="str">
        <f aca="false">IF(AND($W334&lt;&gt;"",$Y334&lt;&gt;""),$Y334-$W334,"")</f>
        <v/>
      </c>
      <c r="AI334" s="53" t="str">
        <f aca="false">IF(AND($X334&lt;&gt;"",$Y334&lt;&gt;""),$Y334-$X334,"")</f>
        <v/>
      </c>
      <c r="AJ334" s="53" t="str">
        <f aca="false">IF($E334&lt;&gt;"",$E334,"")</f>
        <v/>
      </c>
      <c r="AK334" s="52" t="str">
        <f aca="false">IF($F334&lt;&gt;"",$F334,"")</f>
        <v>Apprenant 322 ou 322'</v>
      </c>
      <c r="AL334" s="53" t="str">
        <f aca="false">IF(AND($AB334&lt;&gt;"",$AC334&lt;&gt;""),$AC334-$AB334,"")</f>
        <v/>
      </c>
      <c r="AM334" s="53" t="str">
        <f aca="false">IF(AND($AB334&lt;&gt;"",$AD334&lt;&gt;""),$AD334-$AB334,"")</f>
        <v/>
      </c>
      <c r="AN334" s="53" t="str">
        <f aca="false">IF(AND($AC334&lt;&gt;"",$AD334&lt;&gt;""),$AD334-$AC334,"")</f>
        <v/>
      </c>
      <c r="AO334" s="53" t="str">
        <f aca="false">IF($J334&lt;&gt;"",$J334,"")</f>
        <v/>
      </c>
      <c r="AQ334" s="52" t="str">
        <f aca="false">IF($A334&lt;&gt;"",$A334,"")</f>
        <v>Apprenant 322</v>
      </c>
      <c r="AR334" s="55" t="str">
        <f aca="false">IF(AND('Choix pédagogiques'!$C$4&lt;&gt;"?",'Choix pédagogiques'!$C$5&lt;&gt;"?",W334&lt;&gt;""),(W334-'Choix pédagogiques'!$C$4)/('Choix pédagogiques'!$C$5-'Choix pédagogiques'!$C$4),"")</f>
        <v/>
      </c>
      <c r="AS334" s="55" t="str">
        <f aca="false">IF(AND('Choix pédagogiques'!$C$4&lt;&gt;"?",'Choix pédagogiques'!$C$5&lt;&gt;"?",X334&lt;&gt;""),(X334-'Choix pédagogiques'!$C$4)/('Choix pédagogiques'!$C$5-'Choix pédagogiques'!$C$4),"")</f>
        <v/>
      </c>
      <c r="AT334" s="55" t="str">
        <f aca="false">IF(AND('Choix pédagogiques'!$C$4&lt;&gt;"?",'Choix pédagogiques'!$C$5&lt;&gt;"?",Y334&lt;&gt;""),(Y334-'Choix pédagogiques'!$C$4)/('Choix pédagogiques'!$C$5-'Choix pédagogiques'!$C$4),"")</f>
        <v/>
      </c>
      <c r="AU334" s="53" t="str">
        <f aca="false">IF($E334&lt;&gt;"",$E334,"")</f>
        <v/>
      </c>
      <c r="AV334" s="52" t="str">
        <f aca="false">IF($F334&lt;&gt;"",$F334,"")</f>
        <v>Apprenant 322 ou 322'</v>
      </c>
      <c r="AW334" s="55" t="str">
        <f aca="false">IF(AND('Choix pédagogiques'!$C$4&lt;&gt;"?",'Choix pédagogiques'!$C$5&lt;&gt;"?",AB334&lt;&gt;""),(AB334-'Choix pédagogiques'!$C$4)/('Choix pédagogiques'!$C$5-'Choix pédagogiques'!$C$4),"")</f>
        <v/>
      </c>
      <c r="AX334" s="55" t="str">
        <f aca="false">IF(AND('Choix pédagogiques'!$C$4&lt;&gt;"?",'Choix pédagogiques'!$C$5&lt;&gt;"?",AC334&lt;&gt;""),(AC334-'Choix pédagogiques'!$C$4)/('Choix pédagogiques'!$C$5-'Choix pédagogiques'!$C$4),"")</f>
        <v/>
      </c>
      <c r="AY334" s="55" t="str">
        <f aca="false">IF(AND('Choix pédagogiques'!$C$4&lt;&gt;"?",'Choix pédagogiques'!$C$5&lt;&gt;"?",AD334&lt;&gt;""),(AD334-'Choix pédagogiques'!$C$4)/('Choix pédagogiques'!$C$5-'Choix pédagogiques'!$C$4),"")</f>
        <v/>
      </c>
      <c r="AZ334" s="53" t="str">
        <f aca="false">IF($J334&lt;&gt;"",$J334,"")</f>
        <v/>
      </c>
      <c r="BA334" s="52" t="str">
        <f aca="false">IF($A334&lt;&gt;"",$A334,"")</f>
        <v>Apprenant 322</v>
      </c>
      <c r="BB334" s="55" t="str">
        <f aca="false">IF(AND($AR334&lt;&gt;"",$AS334&lt;&gt;""),$AS334-$AR334,"")</f>
        <v/>
      </c>
      <c r="BC334" s="55" t="str">
        <f aca="false">IF(AND($AR334&lt;&gt;"",$AT334&lt;&gt;""),$AT334-$AR334,"")</f>
        <v/>
      </c>
      <c r="BD334" s="55" t="str">
        <f aca="false">IF(AND($AS334&lt;&gt;"",$AT334&lt;&gt;""),$AT334-$AS334,"")</f>
        <v/>
      </c>
      <c r="BE334" s="53" t="str">
        <f aca="false">IF($E334&lt;&gt;"",$E334,"")</f>
        <v/>
      </c>
      <c r="BF334" s="52" t="str">
        <f aca="false">IF($F334&lt;&gt;"",$F334,"")</f>
        <v>Apprenant 322 ou 322'</v>
      </c>
      <c r="BG334" s="55" t="str">
        <f aca="false">IF(AND($AW334&lt;&gt;"",$AX334&lt;&gt;""),$AX334-$AW334,"")</f>
        <v/>
      </c>
      <c r="BH334" s="55" t="str">
        <f aca="false">IF(AND($AW334&lt;&gt;"",$AY334&lt;&gt;""),$AY334-$AW334,"")</f>
        <v/>
      </c>
      <c r="BI334" s="55" t="str">
        <f aca="false">IF(AND($AX334&lt;&gt;"",$AY334&lt;&gt;""),$AY334-$AX334,"")</f>
        <v/>
      </c>
      <c r="BJ334" s="53" t="str">
        <f aca="false">IF($J334&lt;&gt;"",$J334,"")</f>
        <v/>
      </c>
      <c r="BL334" s="52"/>
      <c r="BM334" s="52" t="str">
        <f aca="false">IF(OR(COUNT(B334:D1333)=0,AND('Choix pédagogiques'!$C$3&lt;&gt;1,'Choix pédagogiques'!$C$3&lt;&gt;2)),"",IF(AND(OR('Choix pédagogiques'!$C$3=1,'Choix pédagogiques'!$C$3=2),$B334&lt;&gt;"",$C334&lt;&gt;"",$D334&lt;&gt;""),1,0))</f>
        <v/>
      </c>
      <c r="BN334" s="52" t="str">
        <f aca="false">IF(OR(COUNT(G334:I1333)=0,AND('Choix pédagogiques'!$C$3&lt;&gt;1,'Choix pédagogiques'!$C$3&lt;&gt;2)),"",IF(AND(OR('Choix pédagogiques'!$C$3=1,'Choix pédagogiques'!$C$3=2),AND($G334&lt;&gt;"",$H334&lt;&gt;"",$I334&lt;&gt;"")),1,0))</f>
        <v/>
      </c>
      <c r="BO334" s="52" t="str">
        <f aca="false">IF(OR(COUNT(B334:D1333)=0,COUNT(G334:I1333)=0,'Choix pédagogiques'!C$3&lt;&gt;3),"",IF(AND('Choix pédagogiques'!$C$3=3,$B334&lt;&gt;"",$C334&lt;&gt;"",$D334&lt;&gt;"",$G334&lt;&gt;"",$H334&lt;&gt;"",$I334&lt;&gt;""),1,0))</f>
        <v/>
      </c>
      <c r="BR334" s="52" t="n">
        <v>195</v>
      </c>
      <c r="BS334" s="52" t="n">
        <v>1376</v>
      </c>
    </row>
    <row r="335" s="54" customFormat="true" ht="18" hidden="false" customHeight="true" outlineLevel="0" collapsed="false">
      <c r="A335" s="57" t="s">
        <v>601</v>
      </c>
      <c r="B335" s="51"/>
      <c r="C335" s="51"/>
      <c r="D335" s="51"/>
      <c r="E335" s="51"/>
      <c r="F335" s="57" t="s">
        <v>602</v>
      </c>
      <c r="G335" s="51"/>
      <c r="H335" s="51"/>
      <c r="I335" s="51"/>
      <c r="J335" s="51"/>
      <c r="K335" s="52" t="str">
        <f aca="false">IF($A335&lt;&gt;"",$A335,"")</f>
        <v>Apprenant 323</v>
      </c>
      <c r="L335" s="53" t="str">
        <f aca="false">IF(AND($B335&lt;&gt;"",$C335&lt;&gt;""),$C335-$B335,"")</f>
        <v/>
      </c>
      <c r="M335" s="53" t="str">
        <f aca="false">IF(AND($B335&lt;&gt;"",$D335&lt;&gt;""),$D335-$B335,"")</f>
        <v/>
      </c>
      <c r="N335" s="53" t="str">
        <f aca="false">IF(AND($C335&lt;&gt;"",$D335&lt;&gt;""),$D335-$C335,"")</f>
        <v/>
      </c>
      <c r="O335" s="53" t="str">
        <f aca="false">IF($E335&lt;&gt;"",$E335,"")</f>
        <v/>
      </c>
      <c r="P335" s="52" t="str">
        <f aca="false">IF($F335&lt;&gt;"",$F335,"")</f>
        <v>Apprenant 323 ou 323'</v>
      </c>
      <c r="Q335" s="53" t="str">
        <f aca="false">IF(AND($G335&lt;&gt;"",$H335&lt;&gt;""),$H335-$G335,"")</f>
        <v/>
      </c>
      <c r="R335" s="53" t="str">
        <f aca="false">IF(AND($G335&lt;&gt;"",$I335&lt;&gt;""),$I335-$G335,"")</f>
        <v/>
      </c>
      <c r="S335" s="53" t="str">
        <f aca="false">IF(AND($H335&lt;&gt;"",$I335&lt;&gt;""),$I335-$H335,"")</f>
        <v/>
      </c>
      <c r="T335" s="53" t="str">
        <f aca="false">IF($J335&lt;&gt;"",$J335,"")</f>
        <v/>
      </c>
      <c r="V335" s="52" t="str">
        <f aca="false">IF($A335&lt;&gt;"",$A335,"")</f>
        <v>Apprenant 323</v>
      </c>
      <c r="W335" s="53" t="str">
        <f aca="false">IF(AND(OR('Choix pédagogiques'!$C$3=1,'Choix pédagogiques'!$C$3=2),$BM335=1),B335,IF(AND('Choix pédagogiques'!$C$3=3,$BO335=1),B335,""))</f>
        <v/>
      </c>
      <c r="X335" s="53" t="str">
        <f aca="false">IF(AND(OR('Choix pédagogiques'!$C$3=1,'Choix pédagogiques'!$C$3=2),$BM335=1),C335,IF(AND('Choix pédagogiques'!$C$3=3,$BO335=1),C335,""))</f>
        <v/>
      </c>
      <c r="Y335" s="53" t="str">
        <f aca="false">IF(AND(OR('Choix pédagogiques'!$C$3=1,'Choix pédagogiques'!$C$3=2),$BM335=1),D335,IF(AND('Choix pédagogiques'!$C$3=3,$BO335=1),D335,""))</f>
        <v/>
      </c>
      <c r="Z335" s="53" t="str">
        <f aca="false">IF($E335&lt;&gt;"",$E335,"")</f>
        <v/>
      </c>
      <c r="AA335" s="52" t="str">
        <f aca="false">IF($F335&lt;&gt;"",$F335,"")</f>
        <v>Apprenant 323 ou 323'</v>
      </c>
      <c r="AB335" s="53" t="str">
        <f aca="false">IF(AND(OR('Choix pédagogiques'!$C$3=1,'Choix pédagogiques'!$C$3=2),$BN335=1),G335,IF(AND('Choix pédagogiques'!$C$3=3,$BO335=1),G335,""))</f>
        <v/>
      </c>
      <c r="AC335" s="53" t="str">
        <f aca="false">IF(AND(OR('Choix pédagogiques'!$C$3=1,'Choix pédagogiques'!$C$3=2),$BN335=1),H335,IF(AND('Choix pédagogiques'!$C$3=3,$BO335=1),H335,""))</f>
        <v/>
      </c>
      <c r="AD335" s="53" t="str">
        <f aca="false">IF(AND(OR('Choix pédagogiques'!$C$3=1,'Choix pédagogiques'!$C$3=2),$BN335=1),I335,IF(AND('Choix pédagogiques'!$C$3=3,$BO335=1),I335,""))</f>
        <v/>
      </c>
      <c r="AE335" s="53" t="str">
        <f aca="false">IF($J335&lt;&gt;"",$J335,"")</f>
        <v/>
      </c>
      <c r="AF335" s="52" t="str">
        <f aca="false">IF($A335&lt;&gt;"",$A335,"")</f>
        <v>Apprenant 323</v>
      </c>
      <c r="AG335" s="53" t="str">
        <f aca="false">IF(AND($W335&lt;&gt;"",$X335&lt;&gt;""),$X335-$W335,"")</f>
        <v/>
      </c>
      <c r="AH335" s="53" t="str">
        <f aca="false">IF(AND($W335&lt;&gt;"",$Y335&lt;&gt;""),$Y335-$W335,"")</f>
        <v/>
      </c>
      <c r="AI335" s="53" t="str">
        <f aca="false">IF(AND($X335&lt;&gt;"",$Y335&lt;&gt;""),$Y335-$X335,"")</f>
        <v/>
      </c>
      <c r="AJ335" s="53" t="str">
        <f aca="false">IF($E335&lt;&gt;"",$E335,"")</f>
        <v/>
      </c>
      <c r="AK335" s="52" t="str">
        <f aca="false">IF($F335&lt;&gt;"",$F335,"")</f>
        <v>Apprenant 323 ou 323'</v>
      </c>
      <c r="AL335" s="53" t="str">
        <f aca="false">IF(AND($AB335&lt;&gt;"",$AC335&lt;&gt;""),$AC335-$AB335,"")</f>
        <v/>
      </c>
      <c r="AM335" s="53" t="str">
        <f aca="false">IF(AND($AB335&lt;&gt;"",$AD335&lt;&gt;""),$AD335-$AB335,"")</f>
        <v/>
      </c>
      <c r="AN335" s="53" t="str">
        <f aca="false">IF(AND($AC335&lt;&gt;"",$AD335&lt;&gt;""),$AD335-$AC335,"")</f>
        <v/>
      </c>
      <c r="AO335" s="53" t="str">
        <f aca="false">IF($J335&lt;&gt;"",$J335,"")</f>
        <v/>
      </c>
      <c r="AQ335" s="52" t="str">
        <f aca="false">IF($A335&lt;&gt;"",$A335,"")</f>
        <v>Apprenant 323</v>
      </c>
      <c r="AR335" s="55" t="str">
        <f aca="false">IF(AND('Choix pédagogiques'!$C$4&lt;&gt;"?",'Choix pédagogiques'!$C$5&lt;&gt;"?",W335&lt;&gt;""),(W335-'Choix pédagogiques'!$C$4)/('Choix pédagogiques'!$C$5-'Choix pédagogiques'!$C$4),"")</f>
        <v/>
      </c>
      <c r="AS335" s="55" t="str">
        <f aca="false">IF(AND('Choix pédagogiques'!$C$4&lt;&gt;"?",'Choix pédagogiques'!$C$5&lt;&gt;"?",X335&lt;&gt;""),(X335-'Choix pédagogiques'!$C$4)/('Choix pédagogiques'!$C$5-'Choix pédagogiques'!$C$4),"")</f>
        <v/>
      </c>
      <c r="AT335" s="55" t="str">
        <f aca="false">IF(AND('Choix pédagogiques'!$C$4&lt;&gt;"?",'Choix pédagogiques'!$C$5&lt;&gt;"?",Y335&lt;&gt;""),(Y335-'Choix pédagogiques'!$C$4)/('Choix pédagogiques'!$C$5-'Choix pédagogiques'!$C$4),"")</f>
        <v/>
      </c>
      <c r="AU335" s="53" t="str">
        <f aca="false">IF($E335&lt;&gt;"",$E335,"")</f>
        <v/>
      </c>
      <c r="AV335" s="52" t="str">
        <f aca="false">IF($F335&lt;&gt;"",$F335,"")</f>
        <v>Apprenant 323 ou 323'</v>
      </c>
      <c r="AW335" s="55" t="str">
        <f aca="false">IF(AND('Choix pédagogiques'!$C$4&lt;&gt;"?",'Choix pédagogiques'!$C$5&lt;&gt;"?",AB335&lt;&gt;""),(AB335-'Choix pédagogiques'!$C$4)/('Choix pédagogiques'!$C$5-'Choix pédagogiques'!$C$4),"")</f>
        <v/>
      </c>
      <c r="AX335" s="55" t="str">
        <f aca="false">IF(AND('Choix pédagogiques'!$C$4&lt;&gt;"?",'Choix pédagogiques'!$C$5&lt;&gt;"?",AC335&lt;&gt;""),(AC335-'Choix pédagogiques'!$C$4)/('Choix pédagogiques'!$C$5-'Choix pédagogiques'!$C$4),"")</f>
        <v/>
      </c>
      <c r="AY335" s="55" t="str">
        <f aca="false">IF(AND('Choix pédagogiques'!$C$4&lt;&gt;"?",'Choix pédagogiques'!$C$5&lt;&gt;"?",AD335&lt;&gt;""),(AD335-'Choix pédagogiques'!$C$4)/('Choix pédagogiques'!$C$5-'Choix pédagogiques'!$C$4),"")</f>
        <v/>
      </c>
      <c r="AZ335" s="53" t="str">
        <f aca="false">IF($J335&lt;&gt;"",$J335,"")</f>
        <v/>
      </c>
      <c r="BA335" s="52" t="str">
        <f aca="false">IF($A335&lt;&gt;"",$A335,"")</f>
        <v>Apprenant 323</v>
      </c>
      <c r="BB335" s="55" t="str">
        <f aca="false">IF(AND($AR335&lt;&gt;"",$AS335&lt;&gt;""),$AS335-$AR335,"")</f>
        <v/>
      </c>
      <c r="BC335" s="55" t="str">
        <f aca="false">IF(AND($AR335&lt;&gt;"",$AT335&lt;&gt;""),$AT335-$AR335,"")</f>
        <v/>
      </c>
      <c r="BD335" s="55" t="str">
        <f aca="false">IF(AND($AS335&lt;&gt;"",$AT335&lt;&gt;""),$AT335-$AS335,"")</f>
        <v/>
      </c>
      <c r="BE335" s="53" t="str">
        <f aca="false">IF($E335&lt;&gt;"",$E335,"")</f>
        <v/>
      </c>
      <c r="BF335" s="52" t="str">
        <f aca="false">IF($F335&lt;&gt;"",$F335,"")</f>
        <v>Apprenant 323 ou 323'</v>
      </c>
      <c r="BG335" s="55" t="str">
        <f aca="false">IF(AND($AW335&lt;&gt;"",$AX335&lt;&gt;""),$AX335-$AW335,"")</f>
        <v/>
      </c>
      <c r="BH335" s="55" t="str">
        <f aca="false">IF(AND($AW335&lt;&gt;"",$AY335&lt;&gt;""),$AY335-$AW335,"")</f>
        <v/>
      </c>
      <c r="BI335" s="55" t="str">
        <f aca="false">IF(AND($AX335&lt;&gt;"",$AY335&lt;&gt;""),$AY335-$AX335,"")</f>
        <v/>
      </c>
      <c r="BJ335" s="53" t="str">
        <f aca="false">IF($J335&lt;&gt;"",$J335,"")</f>
        <v/>
      </c>
      <c r="BL335" s="52"/>
      <c r="BM335" s="52" t="str">
        <f aca="false">IF(OR(COUNT(B335:D1334)=0,AND('Choix pédagogiques'!$C$3&lt;&gt;1,'Choix pédagogiques'!$C$3&lt;&gt;2)),"",IF(AND(OR('Choix pédagogiques'!$C$3=1,'Choix pédagogiques'!$C$3=2),$B335&lt;&gt;"",$C335&lt;&gt;"",$D335&lt;&gt;""),1,0))</f>
        <v/>
      </c>
      <c r="BN335" s="52" t="str">
        <f aca="false">IF(OR(COUNT(G335:I1334)=0,AND('Choix pédagogiques'!$C$3&lt;&gt;1,'Choix pédagogiques'!$C$3&lt;&gt;2)),"",IF(AND(OR('Choix pédagogiques'!$C$3=1,'Choix pédagogiques'!$C$3=2),AND($G335&lt;&gt;"",$H335&lt;&gt;"",$I335&lt;&gt;"")),1,0))</f>
        <v/>
      </c>
      <c r="BO335" s="52" t="str">
        <f aca="false">IF(OR(COUNT(B335:D1334)=0,COUNT(G335:I1334)=0,'Choix pédagogiques'!C$3&lt;&gt;3),"",IF(AND('Choix pédagogiques'!$C$3=3,$B335&lt;&gt;"",$C335&lt;&gt;"",$D335&lt;&gt;"",$G335&lt;&gt;"",$H335&lt;&gt;"",$I335&lt;&gt;""),1,0))</f>
        <v/>
      </c>
      <c r="BR335" s="52" t="n">
        <v>174</v>
      </c>
      <c r="BS335" s="52" t="n">
        <v>1952</v>
      </c>
    </row>
    <row r="336" s="54" customFormat="true" ht="18" hidden="false" customHeight="true" outlineLevel="0" collapsed="false">
      <c r="A336" s="57" t="s">
        <v>603</v>
      </c>
      <c r="B336" s="51"/>
      <c r="C336" s="51"/>
      <c r="D336" s="51"/>
      <c r="E336" s="51"/>
      <c r="F336" s="57" t="s">
        <v>604</v>
      </c>
      <c r="G336" s="51"/>
      <c r="H336" s="51"/>
      <c r="I336" s="51"/>
      <c r="J336" s="51"/>
      <c r="K336" s="52" t="str">
        <f aca="false">IF($A336&lt;&gt;"",$A336,"")</f>
        <v>Apprenant 324</v>
      </c>
      <c r="L336" s="53" t="str">
        <f aca="false">IF(AND($B336&lt;&gt;"",$C336&lt;&gt;""),$C336-$B336,"")</f>
        <v/>
      </c>
      <c r="M336" s="53" t="str">
        <f aca="false">IF(AND($B336&lt;&gt;"",$D336&lt;&gt;""),$D336-$B336,"")</f>
        <v/>
      </c>
      <c r="N336" s="53" t="str">
        <f aca="false">IF(AND($C336&lt;&gt;"",$D336&lt;&gt;""),$D336-$C336,"")</f>
        <v/>
      </c>
      <c r="O336" s="53" t="str">
        <f aca="false">IF($E336&lt;&gt;"",$E336,"")</f>
        <v/>
      </c>
      <c r="P336" s="52" t="str">
        <f aca="false">IF($F336&lt;&gt;"",$F336,"")</f>
        <v>Apprenant 324 ou 324'</v>
      </c>
      <c r="Q336" s="53" t="str">
        <f aca="false">IF(AND($G336&lt;&gt;"",$H336&lt;&gt;""),$H336-$G336,"")</f>
        <v/>
      </c>
      <c r="R336" s="53" t="str">
        <f aca="false">IF(AND($G336&lt;&gt;"",$I336&lt;&gt;""),$I336-$G336,"")</f>
        <v/>
      </c>
      <c r="S336" s="53" t="str">
        <f aca="false">IF(AND($H336&lt;&gt;"",$I336&lt;&gt;""),$I336-$H336,"")</f>
        <v/>
      </c>
      <c r="T336" s="53" t="str">
        <f aca="false">IF($J336&lt;&gt;"",$J336,"")</f>
        <v/>
      </c>
      <c r="V336" s="52" t="str">
        <f aca="false">IF($A336&lt;&gt;"",$A336,"")</f>
        <v>Apprenant 324</v>
      </c>
      <c r="W336" s="53" t="str">
        <f aca="false">IF(AND(OR('Choix pédagogiques'!$C$3=1,'Choix pédagogiques'!$C$3=2),$BM336=1),B336,IF(AND('Choix pédagogiques'!$C$3=3,$BO336=1),B336,""))</f>
        <v/>
      </c>
      <c r="X336" s="53" t="str">
        <f aca="false">IF(AND(OR('Choix pédagogiques'!$C$3=1,'Choix pédagogiques'!$C$3=2),$BM336=1),C336,IF(AND('Choix pédagogiques'!$C$3=3,$BO336=1),C336,""))</f>
        <v/>
      </c>
      <c r="Y336" s="53" t="str">
        <f aca="false">IF(AND(OR('Choix pédagogiques'!$C$3=1,'Choix pédagogiques'!$C$3=2),$BM336=1),D336,IF(AND('Choix pédagogiques'!$C$3=3,$BO336=1),D336,""))</f>
        <v/>
      </c>
      <c r="Z336" s="53" t="str">
        <f aca="false">IF($E336&lt;&gt;"",$E336,"")</f>
        <v/>
      </c>
      <c r="AA336" s="52" t="str">
        <f aca="false">IF($F336&lt;&gt;"",$F336,"")</f>
        <v>Apprenant 324 ou 324'</v>
      </c>
      <c r="AB336" s="53" t="str">
        <f aca="false">IF(AND(OR('Choix pédagogiques'!$C$3=1,'Choix pédagogiques'!$C$3=2),$BN336=1),G336,IF(AND('Choix pédagogiques'!$C$3=3,$BO336=1),G336,""))</f>
        <v/>
      </c>
      <c r="AC336" s="53" t="str">
        <f aca="false">IF(AND(OR('Choix pédagogiques'!$C$3=1,'Choix pédagogiques'!$C$3=2),$BN336=1),H336,IF(AND('Choix pédagogiques'!$C$3=3,$BO336=1),H336,""))</f>
        <v/>
      </c>
      <c r="AD336" s="53" t="str">
        <f aca="false">IF(AND(OR('Choix pédagogiques'!$C$3=1,'Choix pédagogiques'!$C$3=2),$BN336=1),I336,IF(AND('Choix pédagogiques'!$C$3=3,$BO336=1),I336,""))</f>
        <v/>
      </c>
      <c r="AE336" s="53" t="str">
        <f aca="false">IF($J336&lt;&gt;"",$J336,"")</f>
        <v/>
      </c>
      <c r="AF336" s="52" t="str">
        <f aca="false">IF($A336&lt;&gt;"",$A336,"")</f>
        <v>Apprenant 324</v>
      </c>
      <c r="AG336" s="53" t="str">
        <f aca="false">IF(AND($W336&lt;&gt;"",$X336&lt;&gt;""),$X336-$W336,"")</f>
        <v/>
      </c>
      <c r="AH336" s="53" t="str">
        <f aca="false">IF(AND($W336&lt;&gt;"",$Y336&lt;&gt;""),$Y336-$W336,"")</f>
        <v/>
      </c>
      <c r="AI336" s="53" t="str">
        <f aca="false">IF(AND($X336&lt;&gt;"",$Y336&lt;&gt;""),$Y336-$X336,"")</f>
        <v/>
      </c>
      <c r="AJ336" s="53" t="str">
        <f aca="false">IF($E336&lt;&gt;"",$E336,"")</f>
        <v/>
      </c>
      <c r="AK336" s="52" t="str">
        <f aca="false">IF($F336&lt;&gt;"",$F336,"")</f>
        <v>Apprenant 324 ou 324'</v>
      </c>
      <c r="AL336" s="53" t="str">
        <f aca="false">IF(AND($AB336&lt;&gt;"",$AC336&lt;&gt;""),$AC336-$AB336,"")</f>
        <v/>
      </c>
      <c r="AM336" s="53" t="str">
        <f aca="false">IF(AND($AB336&lt;&gt;"",$AD336&lt;&gt;""),$AD336-$AB336,"")</f>
        <v/>
      </c>
      <c r="AN336" s="53" t="str">
        <f aca="false">IF(AND($AC336&lt;&gt;"",$AD336&lt;&gt;""),$AD336-$AC336,"")</f>
        <v/>
      </c>
      <c r="AO336" s="53" t="str">
        <f aca="false">IF($J336&lt;&gt;"",$J336,"")</f>
        <v/>
      </c>
      <c r="AQ336" s="52" t="str">
        <f aca="false">IF($A336&lt;&gt;"",$A336,"")</f>
        <v>Apprenant 324</v>
      </c>
      <c r="AR336" s="55" t="str">
        <f aca="false">IF(AND('Choix pédagogiques'!$C$4&lt;&gt;"?",'Choix pédagogiques'!$C$5&lt;&gt;"?",W336&lt;&gt;""),(W336-'Choix pédagogiques'!$C$4)/('Choix pédagogiques'!$C$5-'Choix pédagogiques'!$C$4),"")</f>
        <v/>
      </c>
      <c r="AS336" s="55" t="str">
        <f aca="false">IF(AND('Choix pédagogiques'!$C$4&lt;&gt;"?",'Choix pédagogiques'!$C$5&lt;&gt;"?",X336&lt;&gt;""),(X336-'Choix pédagogiques'!$C$4)/('Choix pédagogiques'!$C$5-'Choix pédagogiques'!$C$4),"")</f>
        <v/>
      </c>
      <c r="AT336" s="55" t="str">
        <f aca="false">IF(AND('Choix pédagogiques'!$C$4&lt;&gt;"?",'Choix pédagogiques'!$C$5&lt;&gt;"?",Y336&lt;&gt;""),(Y336-'Choix pédagogiques'!$C$4)/('Choix pédagogiques'!$C$5-'Choix pédagogiques'!$C$4),"")</f>
        <v/>
      </c>
      <c r="AU336" s="53" t="str">
        <f aca="false">IF($E336&lt;&gt;"",$E336,"")</f>
        <v/>
      </c>
      <c r="AV336" s="52" t="str">
        <f aca="false">IF($F336&lt;&gt;"",$F336,"")</f>
        <v>Apprenant 324 ou 324'</v>
      </c>
      <c r="AW336" s="55" t="str">
        <f aca="false">IF(AND('Choix pédagogiques'!$C$4&lt;&gt;"?",'Choix pédagogiques'!$C$5&lt;&gt;"?",AB336&lt;&gt;""),(AB336-'Choix pédagogiques'!$C$4)/('Choix pédagogiques'!$C$5-'Choix pédagogiques'!$C$4),"")</f>
        <v/>
      </c>
      <c r="AX336" s="55" t="str">
        <f aca="false">IF(AND('Choix pédagogiques'!$C$4&lt;&gt;"?",'Choix pédagogiques'!$C$5&lt;&gt;"?",AC336&lt;&gt;""),(AC336-'Choix pédagogiques'!$C$4)/('Choix pédagogiques'!$C$5-'Choix pédagogiques'!$C$4),"")</f>
        <v/>
      </c>
      <c r="AY336" s="55" t="str">
        <f aca="false">IF(AND('Choix pédagogiques'!$C$4&lt;&gt;"?",'Choix pédagogiques'!$C$5&lt;&gt;"?",AD336&lt;&gt;""),(AD336-'Choix pédagogiques'!$C$4)/('Choix pédagogiques'!$C$5-'Choix pédagogiques'!$C$4),"")</f>
        <v/>
      </c>
      <c r="AZ336" s="53" t="str">
        <f aca="false">IF($J336&lt;&gt;"",$J336,"")</f>
        <v/>
      </c>
      <c r="BA336" s="52" t="str">
        <f aca="false">IF($A336&lt;&gt;"",$A336,"")</f>
        <v>Apprenant 324</v>
      </c>
      <c r="BB336" s="55" t="str">
        <f aca="false">IF(AND($AR336&lt;&gt;"",$AS336&lt;&gt;""),$AS336-$AR336,"")</f>
        <v/>
      </c>
      <c r="BC336" s="55" t="str">
        <f aca="false">IF(AND($AR336&lt;&gt;"",$AT336&lt;&gt;""),$AT336-$AR336,"")</f>
        <v/>
      </c>
      <c r="BD336" s="55" t="str">
        <f aca="false">IF(AND($AS336&lt;&gt;"",$AT336&lt;&gt;""),$AT336-$AS336,"")</f>
        <v/>
      </c>
      <c r="BE336" s="53" t="str">
        <f aca="false">IF($E336&lt;&gt;"",$E336,"")</f>
        <v/>
      </c>
      <c r="BF336" s="52" t="str">
        <f aca="false">IF($F336&lt;&gt;"",$F336,"")</f>
        <v>Apprenant 324 ou 324'</v>
      </c>
      <c r="BG336" s="55" t="str">
        <f aca="false">IF(AND($AW336&lt;&gt;"",$AX336&lt;&gt;""),$AX336-$AW336,"")</f>
        <v/>
      </c>
      <c r="BH336" s="55" t="str">
        <f aca="false">IF(AND($AW336&lt;&gt;"",$AY336&lt;&gt;""),$AY336-$AW336,"")</f>
        <v/>
      </c>
      <c r="BI336" s="55" t="str">
        <f aca="false">IF(AND($AX336&lt;&gt;"",$AY336&lt;&gt;""),$AY336-$AX336,"")</f>
        <v/>
      </c>
      <c r="BJ336" s="53" t="str">
        <f aca="false">IF($J336&lt;&gt;"",$J336,"")</f>
        <v/>
      </c>
      <c r="BL336" s="52"/>
      <c r="BM336" s="52" t="str">
        <f aca="false">IF(OR(COUNT(B336:D1335)=0,AND('Choix pédagogiques'!$C$3&lt;&gt;1,'Choix pédagogiques'!$C$3&lt;&gt;2)),"",IF(AND(OR('Choix pédagogiques'!$C$3=1,'Choix pédagogiques'!$C$3=2),$B336&lt;&gt;"",$C336&lt;&gt;"",$D336&lt;&gt;""),1,0))</f>
        <v/>
      </c>
      <c r="BN336" s="52" t="str">
        <f aca="false">IF(OR(COUNT(G336:I1335)=0,AND('Choix pédagogiques'!$C$3&lt;&gt;1,'Choix pédagogiques'!$C$3&lt;&gt;2)),"",IF(AND(OR('Choix pédagogiques'!$C$3=1,'Choix pédagogiques'!$C$3=2),AND($G336&lt;&gt;"",$H336&lt;&gt;"",$I336&lt;&gt;"")),1,0))</f>
        <v/>
      </c>
      <c r="BO336" s="52" t="str">
        <f aca="false">IF(OR(COUNT(B336:D1335)=0,COUNT(G336:I1335)=0,'Choix pédagogiques'!C$3&lt;&gt;3),"",IF(AND('Choix pédagogiques'!$C$3=3,$B336&lt;&gt;"",$C336&lt;&gt;"",$D336&lt;&gt;"",$G336&lt;&gt;"",$H336&lt;&gt;"",$I336&lt;&gt;""),1,0))</f>
        <v/>
      </c>
      <c r="BR336" s="52" t="n">
        <v>819</v>
      </c>
      <c r="BS336" s="52" t="n">
        <v>1464</v>
      </c>
    </row>
    <row r="337" s="54" customFormat="true" ht="18" hidden="false" customHeight="true" outlineLevel="0" collapsed="false">
      <c r="A337" s="57" t="s">
        <v>605</v>
      </c>
      <c r="B337" s="51"/>
      <c r="C337" s="51"/>
      <c r="D337" s="51"/>
      <c r="E337" s="51"/>
      <c r="F337" s="57" t="s">
        <v>606</v>
      </c>
      <c r="G337" s="51"/>
      <c r="H337" s="51"/>
      <c r="I337" s="51"/>
      <c r="J337" s="51"/>
      <c r="K337" s="52" t="str">
        <f aca="false">IF($A337&lt;&gt;"",$A337,"")</f>
        <v>Apprenant 325</v>
      </c>
      <c r="L337" s="53" t="str">
        <f aca="false">IF(AND($B337&lt;&gt;"",$C337&lt;&gt;""),$C337-$B337,"")</f>
        <v/>
      </c>
      <c r="M337" s="53" t="str">
        <f aca="false">IF(AND($B337&lt;&gt;"",$D337&lt;&gt;""),$D337-$B337,"")</f>
        <v/>
      </c>
      <c r="N337" s="53" t="str">
        <f aca="false">IF(AND($C337&lt;&gt;"",$D337&lt;&gt;""),$D337-$C337,"")</f>
        <v/>
      </c>
      <c r="O337" s="53" t="str">
        <f aca="false">IF($E337&lt;&gt;"",$E337,"")</f>
        <v/>
      </c>
      <c r="P337" s="52" t="str">
        <f aca="false">IF($F337&lt;&gt;"",$F337,"")</f>
        <v>Apprenant 325 ou 325'</v>
      </c>
      <c r="Q337" s="53" t="str">
        <f aca="false">IF(AND($G337&lt;&gt;"",$H337&lt;&gt;""),$H337-$G337,"")</f>
        <v/>
      </c>
      <c r="R337" s="53" t="str">
        <f aca="false">IF(AND($G337&lt;&gt;"",$I337&lt;&gt;""),$I337-$G337,"")</f>
        <v/>
      </c>
      <c r="S337" s="53" t="str">
        <f aca="false">IF(AND($H337&lt;&gt;"",$I337&lt;&gt;""),$I337-$H337,"")</f>
        <v/>
      </c>
      <c r="T337" s="53" t="str">
        <f aca="false">IF($J337&lt;&gt;"",$J337,"")</f>
        <v/>
      </c>
      <c r="V337" s="52" t="str">
        <f aca="false">IF($A337&lt;&gt;"",$A337,"")</f>
        <v>Apprenant 325</v>
      </c>
      <c r="W337" s="53" t="str">
        <f aca="false">IF(AND(OR('Choix pédagogiques'!$C$3=1,'Choix pédagogiques'!$C$3=2),$BM337=1),B337,IF(AND('Choix pédagogiques'!$C$3=3,$BO337=1),B337,""))</f>
        <v/>
      </c>
      <c r="X337" s="53" t="str">
        <f aca="false">IF(AND(OR('Choix pédagogiques'!$C$3=1,'Choix pédagogiques'!$C$3=2),$BM337=1),C337,IF(AND('Choix pédagogiques'!$C$3=3,$BO337=1),C337,""))</f>
        <v/>
      </c>
      <c r="Y337" s="53" t="str">
        <f aca="false">IF(AND(OR('Choix pédagogiques'!$C$3=1,'Choix pédagogiques'!$C$3=2),$BM337=1),D337,IF(AND('Choix pédagogiques'!$C$3=3,$BO337=1),D337,""))</f>
        <v/>
      </c>
      <c r="Z337" s="53" t="str">
        <f aca="false">IF($E337&lt;&gt;"",$E337,"")</f>
        <v/>
      </c>
      <c r="AA337" s="52" t="str">
        <f aca="false">IF($F337&lt;&gt;"",$F337,"")</f>
        <v>Apprenant 325 ou 325'</v>
      </c>
      <c r="AB337" s="53" t="str">
        <f aca="false">IF(AND(OR('Choix pédagogiques'!$C$3=1,'Choix pédagogiques'!$C$3=2),$BN337=1),G337,IF(AND('Choix pédagogiques'!$C$3=3,$BO337=1),G337,""))</f>
        <v/>
      </c>
      <c r="AC337" s="53" t="str">
        <f aca="false">IF(AND(OR('Choix pédagogiques'!$C$3=1,'Choix pédagogiques'!$C$3=2),$BN337=1),H337,IF(AND('Choix pédagogiques'!$C$3=3,$BO337=1),H337,""))</f>
        <v/>
      </c>
      <c r="AD337" s="53" t="str">
        <f aca="false">IF(AND(OR('Choix pédagogiques'!$C$3=1,'Choix pédagogiques'!$C$3=2),$BN337=1),I337,IF(AND('Choix pédagogiques'!$C$3=3,$BO337=1),I337,""))</f>
        <v/>
      </c>
      <c r="AE337" s="53" t="str">
        <f aca="false">IF($J337&lt;&gt;"",$J337,"")</f>
        <v/>
      </c>
      <c r="AF337" s="52" t="str">
        <f aca="false">IF($A337&lt;&gt;"",$A337,"")</f>
        <v>Apprenant 325</v>
      </c>
      <c r="AG337" s="53" t="str">
        <f aca="false">IF(AND($W337&lt;&gt;"",$X337&lt;&gt;""),$X337-$W337,"")</f>
        <v/>
      </c>
      <c r="AH337" s="53" t="str">
        <f aca="false">IF(AND($W337&lt;&gt;"",$Y337&lt;&gt;""),$Y337-$W337,"")</f>
        <v/>
      </c>
      <c r="AI337" s="53" t="str">
        <f aca="false">IF(AND($X337&lt;&gt;"",$Y337&lt;&gt;""),$Y337-$X337,"")</f>
        <v/>
      </c>
      <c r="AJ337" s="53" t="str">
        <f aca="false">IF($E337&lt;&gt;"",$E337,"")</f>
        <v/>
      </c>
      <c r="AK337" s="52" t="str">
        <f aca="false">IF($F337&lt;&gt;"",$F337,"")</f>
        <v>Apprenant 325 ou 325'</v>
      </c>
      <c r="AL337" s="53" t="str">
        <f aca="false">IF(AND($AB337&lt;&gt;"",$AC337&lt;&gt;""),$AC337-$AB337,"")</f>
        <v/>
      </c>
      <c r="AM337" s="53" t="str">
        <f aca="false">IF(AND($AB337&lt;&gt;"",$AD337&lt;&gt;""),$AD337-$AB337,"")</f>
        <v/>
      </c>
      <c r="AN337" s="53" t="str">
        <f aca="false">IF(AND($AC337&lt;&gt;"",$AD337&lt;&gt;""),$AD337-$AC337,"")</f>
        <v/>
      </c>
      <c r="AO337" s="53" t="str">
        <f aca="false">IF($J337&lt;&gt;"",$J337,"")</f>
        <v/>
      </c>
      <c r="AQ337" s="52" t="str">
        <f aca="false">IF($A337&lt;&gt;"",$A337,"")</f>
        <v>Apprenant 325</v>
      </c>
      <c r="AR337" s="55" t="str">
        <f aca="false">IF(AND('Choix pédagogiques'!$C$4&lt;&gt;"?",'Choix pédagogiques'!$C$5&lt;&gt;"?",W337&lt;&gt;""),(W337-'Choix pédagogiques'!$C$4)/('Choix pédagogiques'!$C$5-'Choix pédagogiques'!$C$4),"")</f>
        <v/>
      </c>
      <c r="AS337" s="55" t="str">
        <f aca="false">IF(AND('Choix pédagogiques'!$C$4&lt;&gt;"?",'Choix pédagogiques'!$C$5&lt;&gt;"?",X337&lt;&gt;""),(X337-'Choix pédagogiques'!$C$4)/('Choix pédagogiques'!$C$5-'Choix pédagogiques'!$C$4),"")</f>
        <v/>
      </c>
      <c r="AT337" s="55" t="str">
        <f aca="false">IF(AND('Choix pédagogiques'!$C$4&lt;&gt;"?",'Choix pédagogiques'!$C$5&lt;&gt;"?",Y337&lt;&gt;""),(Y337-'Choix pédagogiques'!$C$4)/('Choix pédagogiques'!$C$5-'Choix pédagogiques'!$C$4),"")</f>
        <v/>
      </c>
      <c r="AU337" s="53" t="str">
        <f aca="false">IF($E337&lt;&gt;"",$E337,"")</f>
        <v/>
      </c>
      <c r="AV337" s="52" t="str">
        <f aca="false">IF($F337&lt;&gt;"",$F337,"")</f>
        <v>Apprenant 325 ou 325'</v>
      </c>
      <c r="AW337" s="55" t="str">
        <f aca="false">IF(AND('Choix pédagogiques'!$C$4&lt;&gt;"?",'Choix pédagogiques'!$C$5&lt;&gt;"?",AB337&lt;&gt;""),(AB337-'Choix pédagogiques'!$C$4)/('Choix pédagogiques'!$C$5-'Choix pédagogiques'!$C$4),"")</f>
        <v/>
      </c>
      <c r="AX337" s="55" t="str">
        <f aca="false">IF(AND('Choix pédagogiques'!$C$4&lt;&gt;"?",'Choix pédagogiques'!$C$5&lt;&gt;"?",AC337&lt;&gt;""),(AC337-'Choix pédagogiques'!$C$4)/('Choix pédagogiques'!$C$5-'Choix pédagogiques'!$C$4),"")</f>
        <v/>
      </c>
      <c r="AY337" s="55" t="str">
        <f aca="false">IF(AND('Choix pédagogiques'!$C$4&lt;&gt;"?",'Choix pédagogiques'!$C$5&lt;&gt;"?",AD337&lt;&gt;""),(AD337-'Choix pédagogiques'!$C$4)/('Choix pédagogiques'!$C$5-'Choix pédagogiques'!$C$4),"")</f>
        <v/>
      </c>
      <c r="AZ337" s="53" t="str">
        <f aca="false">IF($J337&lt;&gt;"",$J337,"")</f>
        <v/>
      </c>
      <c r="BA337" s="52" t="str">
        <f aca="false">IF($A337&lt;&gt;"",$A337,"")</f>
        <v>Apprenant 325</v>
      </c>
      <c r="BB337" s="55" t="str">
        <f aca="false">IF(AND($AR337&lt;&gt;"",$AS337&lt;&gt;""),$AS337-$AR337,"")</f>
        <v/>
      </c>
      <c r="BC337" s="55" t="str">
        <f aca="false">IF(AND($AR337&lt;&gt;"",$AT337&lt;&gt;""),$AT337-$AR337,"")</f>
        <v/>
      </c>
      <c r="BD337" s="55" t="str">
        <f aca="false">IF(AND($AS337&lt;&gt;"",$AT337&lt;&gt;""),$AT337-$AS337,"")</f>
        <v/>
      </c>
      <c r="BE337" s="53" t="str">
        <f aca="false">IF($E337&lt;&gt;"",$E337,"")</f>
        <v/>
      </c>
      <c r="BF337" s="52" t="str">
        <f aca="false">IF($F337&lt;&gt;"",$F337,"")</f>
        <v>Apprenant 325 ou 325'</v>
      </c>
      <c r="BG337" s="55" t="str">
        <f aca="false">IF(AND($AW337&lt;&gt;"",$AX337&lt;&gt;""),$AX337-$AW337,"")</f>
        <v/>
      </c>
      <c r="BH337" s="55" t="str">
        <f aca="false">IF(AND($AW337&lt;&gt;"",$AY337&lt;&gt;""),$AY337-$AW337,"")</f>
        <v/>
      </c>
      <c r="BI337" s="55" t="str">
        <f aca="false">IF(AND($AX337&lt;&gt;"",$AY337&lt;&gt;""),$AY337-$AX337,"")</f>
        <v/>
      </c>
      <c r="BJ337" s="53" t="str">
        <f aca="false">IF($J337&lt;&gt;"",$J337,"")</f>
        <v/>
      </c>
      <c r="BL337" s="52"/>
      <c r="BM337" s="52" t="str">
        <f aca="false">IF(OR(COUNT(B337:D1336)=0,AND('Choix pédagogiques'!$C$3&lt;&gt;1,'Choix pédagogiques'!$C$3&lt;&gt;2)),"",IF(AND(OR('Choix pédagogiques'!$C$3=1,'Choix pédagogiques'!$C$3=2),$B337&lt;&gt;"",$C337&lt;&gt;"",$D337&lt;&gt;""),1,0))</f>
        <v/>
      </c>
      <c r="BN337" s="52" t="str">
        <f aca="false">IF(OR(COUNT(G337:I1336)=0,AND('Choix pédagogiques'!$C$3&lt;&gt;1,'Choix pédagogiques'!$C$3&lt;&gt;2)),"",IF(AND(OR('Choix pédagogiques'!$C$3=1,'Choix pédagogiques'!$C$3=2),AND($G337&lt;&gt;"",$H337&lt;&gt;"",$I337&lt;&gt;"")),1,0))</f>
        <v/>
      </c>
      <c r="BO337" s="52" t="str">
        <f aca="false">IF(OR(COUNT(B337:D1336)=0,COUNT(G337:I1336)=0,'Choix pédagogiques'!C$3&lt;&gt;3),"",IF(AND('Choix pédagogiques'!$C$3=3,$B337&lt;&gt;"",$C337&lt;&gt;"",$D337&lt;&gt;"",$G337&lt;&gt;"",$H337&lt;&gt;"",$I337&lt;&gt;""),1,0))</f>
        <v/>
      </c>
      <c r="BR337" s="52" t="n">
        <v>865</v>
      </c>
      <c r="BS337" s="52" t="n">
        <v>1437</v>
      </c>
    </row>
    <row r="338" s="54" customFormat="true" ht="18" hidden="false" customHeight="true" outlineLevel="0" collapsed="false">
      <c r="A338" s="57" t="s">
        <v>607</v>
      </c>
      <c r="B338" s="51"/>
      <c r="C338" s="51"/>
      <c r="D338" s="51"/>
      <c r="E338" s="51"/>
      <c r="F338" s="57" t="s">
        <v>608</v>
      </c>
      <c r="G338" s="51"/>
      <c r="H338" s="51"/>
      <c r="I338" s="51"/>
      <c r="J338" s="51"/>
      <c r="K338" s="52" t="str">
        <f aca="false">IF($A338&lt;&gt;"",$A338,"")</f>
        <v>Apprenant 326</v>
      </c>
      <c r="L338" s="53" t="str">
        <f aca="false">IF(AND($B338&lt;&gt;"",$C338&lt;&gt;""),$C338-$B338,"")</f>
        <v/>
      </c>
      <c r="M338" s="53" t="str">
        <f aca="false">IF(AND($B338&lt;&gt;"",$D338&lt;&gt;""),$D338-$B338,"")</f>
        <v/>
      </c>
      <c r="N338" s="53" t="str">
        <f aca="false">IF(AND($C338&lt;&gt;"",$D338&lt;&gt;""),$D338-$C338,"")</f>
        <v/>
      </c>
      <c r="O338" s="53" t="str">
        <f aca="false">IF($E338&lt;&gt;"",$E338,"")</f>
        <v/>
      </c>
      <c r="P338" s="52" t="str">
        <f aca="false">IF($F338&lt;&gt;"",$F338,"")</f>
        <v>Apprenant 326 ou 326'</v>
      </c>
      <c r="Q338" s="53" t="str">
        <f aca="false">IF(AND($G338&lt;&gt;"",$H338&lt;&gt;""),$H338-$G338,"")</f>
        <v/>
      </c>
      <c r="R338" s="53" t="str">
        <f aca="false">IF(AND($G338&lt;&gt;"",$I338&lt;&gt;""),$I338-$G338,"")</f>
        <v/>
      </c>
      <c r="S338" s="53" t="str">
        <f aca="false">IF(AND($H338&lt;&gt;"",$I338&lt;&gt;""),$I338-$H338,"")</f>
        <v/>
      </c>
      <c r="T338" s="53" t="str">
        <f aca="false">IF($J338&lt;&gt;"",$J338,"")</f>
        <v/>
      </c>
      <c r="V338" s="52" t="str">
        <f aca="false">IF($A338&lt;&gt;"",$A338,"")</f>
        <v>Apprenant 326</v>
      </c>
      <c r="W338" s="53" t="str">
        <f aca="false">IF(AND(OR('Choix pédagogiques'!$C$3=1,'Choix pédagogiques'!$C$3=2),$BM338=1),B338,IF(AND('Choix pédagogiques'!$C$3=3,$BO338=1),B338,""))</f>
        <v/>
      </c>
      <c r="X338" s="53" t="str">
        <f aca="false">IF(AND(OR('Choix pédagogiques'!$C$3=1,'Choix pédagogiques'!$C$3=2),$BM338=1),C338,IF(AND('Choix pédagogiques'!$C$3=3,$BO338=1),C338,""))</f>
        <v/>
      </c>
      <c r="Y338" s="53" t="str">
        <f aca="false">IF(AND(OR('Choix pédagogiques'!$C$3=1,'Choix pédagogiques'!$C$3=2),$BM338=1),D338,IF(AND('Choix pédagogiques'!$C$3=3,$BO338=1),D338,""))</f>
        <v/>
      </c>
      <c r="Z338" s="53" t="str">
        <f aca="false">IF($E338&lt;&gt;"",$E338,"")</f>
        <v/>
      </c>
      <c r="AA338" s="52" t="str">
        <f aca="false">IF($F338&lt;&gt;"",$F338,"")</f>
        <v>Apprenant 326 ou 326'</v>
      </c>
      <c r="AB338" s="53" t="str">
        <f aca="false">IF(AND(OR('Choix pédagogiques'!$C$3=1,'Choix pédagogiques'!$C$3=2),$BN338=1),G338,IF(AND('Choix pédagogiques'!$C$3=3,$BO338=1),G338,""))</f>
        <v/>
      </c>
      <c r="AC338" s="53" t="str">
        <f aca="false">IF(AND(OR('Choix pédagogiques'!$C$3=1,'Choix pédagogiques'!$C$3=2),$BN338=1),H338,IF(AND('Choix pédagogiques'!$C$3=3,$BO338=1),H338,""))</f>
        <v/>
      </c>
      <c r="AD338" s="53" t="str">
        <f aca="false">IF(AND(OR('Choix pédagogiques'!$C$3=1,'Choix pédagogiques'!$C$3=2),$BN338=1),I338,IF(AND('Choix pédagogiques'!$C$3=3,$BO338=1),I338,""))</f>
        <v/>
      </c>
      <c r="AE338" s="53" t="str">
        <f aca="false">IF($J338&lt;&gt;"",$J338,"")</f>
        <v/>
      </c>
      <c r="AF338" s="52" t="str">
        <f aca="false">IF($A338&lt;&gt;"",$A338,"")</f>
        <v>Apprenant 326</v>
      </c>
      <c r="AG338" s="53" t="str">
        <f aca="false">IF(AND($W338&lt;&gt;"",$X338&lt;&gt;""),$X338-$W338,"")</f>
        <v/>
      </c>
      <c r="AH338" s="53" t="str">
        <f aca="false">IF(AND($W338&lt;&gt;"",$Y338&lt;&gt;""),$Y338-$W338,"")</f>
        <v/>
      </c>
      <c r="AI338" s="53" t="str">
        <f aca="false">IF(AND($X338&lt;&gt;"",$Y338&lt;&gt;""),$Y338-$X338,"")</f>
        <v/>
      </c>
      <c r="AJ338" s="53" t="str">
        <f aca="false">IF($E338&lt;&gt;"",$E338,"")</f>
        <v/>
      </c>
      <c r="AK338" s="52" t="str">
        <f aca="false">IF($F338&lt;&gt;"",$F338,"")</f>
        <v>Apprenant 326 ou 326'</v>
      </c>
      <c r="AL338" s="53" t="str">
        <f aca="false">IF(AND($AB338&lt;&gt;"",$AC338&lt;&gt;""),$AC338-$AB338,"")</f>
        <v/>
      </c>
      <c r="AM338" s="53" t="str">
        <f aca="false">IF(AND($AB338&lt;&gt;"",$AD338&lt;&gt;""),$AD338-$AB338,"")</f>
        <v/>
      </c>
      <c r="AN338" s="53" t="str">
        <f aca="false">IF(AND($AC338&lt;&gt;"",$AD338&lt;&gt;""),$AD338-$AC338,"")</f>
        <v/>
      </c>
      <c r="AO338" s="53" t="str">
        <f aca="false">IF($J338&lt;&gt;"",$J338,"")</f>
        <v/>
      </c>
      <c r="AQ338" s="52" t="str">
        <f aca="false">IF($A338&lt;&gt;"",$A338,"")</f>
        <v>Apprenant 326</v>
      </c>
      <c r="AR338" s="55" t="str">
        <f aca="false">IF(AND('Choix pédagogiques'!$C$4&lt;&gt;"?",'Choix pédagogiques'!$C$5&lt;&gt;"?",W338&lt;&gt;""),(W338-'Choix pédagogiques'!$C$4)/('Choix pédagogiques'!$C$5-'Choix pédagogiques'!$C$4),"")</f>
        <v/>
      </c>
      <c r="AS338" s="55" t="str">
        <f aca="false">IF(AND('Choix pédagogiques'!$C$4&lt;&gt;"?",'Choix pédagogiques'!$C$5&lt;&gt;"?",X338&lt;&gt;""),(X338-'Choix pédagogiques'!$C$4)/('Choix pédagogiques'!$C$5-'Choix pédagogiques'!$C$4),"")</f>
        <v/>
      </c>
      <c r="AT338" s="55" t="str">
        <f aca="false">IF(AND('Choix pédagogiques'!$C$4&lt;&gt;"?",'Choix pédagogiques'!$C$5&lt;&gt;"?",Y338&lt;&gt;""),(Y338-'Choix pédagogiques'!$C$4)/('Choix pédagogiques'!$C$5-'Choix pédagogiques'!$C$4),"")</f>
        <v/>
      </c>
      <c r="AU338" s="53" t="str">
        <f aca="false">IF($E338&lt;&gt;"",$E338,"")</f>
        <v/>
      </c>
      <c r="AV338" s="52" t="str">
        <f aca="false">IF($F338&lt;&gt;"",$F338,"")</f>
        <v>Apprenant 326 ou 326'</v>
      </c>
      <c r="AW338" s="55" t="str">
        <f aca="false">IF(AND('Choix pédagogiques'!$C$4&lt;&gt;"?",'Choix pédagogiques'!$C$5&lt;&gt;"?",AB338&lt;&gt;""),(AB338-'Choix pédagogiques'!$C$4)/('Choix pédagogiques'!$C$5-'Choix pédagogiques'!$C$4),"")</f>
        <v/>
      </c>
      <c r="AX338" s="55" t="str">
        <f aca="false">IF(AND('Choix pédagogiques'!$C$4&lt;&gt;"?",'Choix pédagogiques'!$C$5&lt;&gt;"?",AC338&lt;&gt;""),(AC338-'Choix pédagogiques'!$C$4)/('Choix pédagogiques'!$C$5-'Choix pédagogiques'!$C$4),"")</f>
        <v/>
      </c>
      <c r="AY338" s="55" t="str">
        <f aca="false">IF(AND('Choix pédagogiques'!$C$4&lt;&gt;"?",'Choix pédagogiques'!$C$5&lt;&gt;"?",AD338&lt;&gt;""),(AD338-'Choix pédagogiques'!$C$4)/('Choix pédagogiques'!$C$5-'Choix pédagogiques'!$C$4),"")</f>
        <v/>
      </c>
      <c r="AZ338" s="53" t="str">
        <f aca="false">IF($J338&lt;&gt;"",$J338,"")</f>
        <v/>
      </c>
      <c r="BA338" s="52" t="str">
        <f aca="false">IF($A338&lt;&gt;"",$A338,"")</f>
        <v>Apprenant 326</v>
      </c>
      <c r="BB338" s="55" t="str">
        <f aca="false">IF(AND($AR338&lt;&gt;"",$AS338&lt;&gt;""),$AS338-$AR338,"")</f>
        <v/>
      </c>
      <c r="BC338" s="55" t="str">
        <f aca="false">IF(AND($AR338&lt;&gt;"",$AT338&lt;&gt;""),$AT338-$AR338,"")</f>
        <v/>
      </c>
      <c r="BD338" s="55" t="str">
        <f aca="false">IF(AND($AS338&lt;&gt;"",$AT338&lt;&gt;""),$AT338-$AS338,"")</f>
        <v/>
      </c>
      <c r="BE338" s="53" t="str">
        <f aca="false">IF($E338&lt;&gt;"",$E338,"")</f>
        <v/>
      </c>
      <c r="BF338" s="52" t="str">
        <f aca="false">IF($F338&lt;&gt;"",$F338,"")</f>
        <v>Apprenant 326 ou 326'</v>
      </c>
      <c r="BG338" s="55" t="str">
        <f aca="false">IF(AND($AW338&lt;&gt;"",$AX338&lt;&gt;""),$AX338-$AW338,"")</f>
        <v/>
      </c>
      <c r="BH338" s="55" t="str">
        <f aca="false">IF(AND($AW338&lt;&gt;"",$AY338&lt;&gt;""),$AY338-$AW338,"")</f>
        <v/>
      </c>
      <c r="BI338" s="55" t="str">
        <f aca="false">IF(AND($AX338&lt;&gt;"",$AY338&lt;&gt;""),$AY338-$AX338,"")</f>
        <v/>
      </c>
      <c r="BJ338" s="53" t="str">
        <f aca="false">IF($J338&lt;&gt;"",$J338,"")</f>
        <v/>
      </c>
      <c r="BL338" s="52"/>
      <c r="BM338" s="52" t="str">
        <f aca="false">IF(OR(COUNT(B338:D1337)=0,AND('Choix pédagogiques'!$C$3&lt;&gt;1,'Choix pédagogiques'!$C$3&lt;&gt;2)),"",IF(AND(OR('Choix pédagogiques'!$C$3=1,'Choix pédagogiques'!$C$3=2),$B338&lt;&gt;"",$C338&lt;&gt;"",$D338&lt;&gt;""),1,0))</f>
        <v/>
      </c>
      <c r="BN338" s="52" t="str">
        <f aca="false">IF(OR(COUNT(G338:I1337)=0,AND('Choix pédagogiques'!$C$3&lt;&gt;1,'Choix pédagogiques'!$C$3&lt;&gt;2)),"",IF(AND(OR('Choix pédagogiques'!$C$3=1,'Choix pédagogiques'!$C$3=2),AND($G338&lt;&gt;"",$H338&lt;&gt;"",$I338&lt;&gt;"")),1,0))</f>
        <v/>
      </c>
      <c r="BO338" s="52" t="str">
        <f aca="false">IF(OR(COUNT(B338:D1337)=0,COUNT(G338:I1337)=0,'Choix pédagogiques'!C$3&lt;&gt;3),"",IF(AND('Choix pédagogiques'!$C$3=3,$B338&lt;&gt;"",$C338&lt;&gt;"",$D338&lt;&gt;"",$G338&lt;&gt;"",$H338&lt;&gt;"",$I338&lt;&gt;""),1,0))</f>
        <v/>
      </c>
      <c r="BR338" s="52" t="n">
        <v>313</v>
      </c>
      <c r="BS338" s="52" t="n">
        <v>1785</v>
      </c>
    </row>
    <row r="339" s="54" customFormat="true" ht="18" hidden="false" customHeight="true" outlineLevel="0" collapsed="false">
      <c r="A339" s="57" t="s">
        <v>609</v>
      </c>
      <c r="B339" s="51"/>
      <c r="C339" s="51"/>
      <c r="D339" s="51"/>
      <c r="E339" s="51"/>
      <c r="F339" s="57" t="s">
        <v>610</v>
      </c>
      <c r="G339" s="51"/>
      <c r="H339" s="51"/>
      <c r="I339" s="51"/>
      <c r="J339" s="51"/>
      <c r="K339" s="52" t="str">
        <f aca="false">IF($A339&lt;&gt;"",$A339,"")</f>
        <v>Apprenant 327</v>
      </c>
      <c r="L339" s="53" t="str">
        <f aca="false">IF(AND($B339&lt;&gt;"",$C339&lt;&gt;""),$C339-$B339,"")</f>
        <v/>
      </c>
      <c r="M339" s="53" t="str">
        <f aca="false">IF(AND($B339&lt;&gt;"",$D339&lt;&gt;""),$D339-$B339,"")</f>
        <v/>
      </c>
      <c r="N339" s="53" t="str">
        <f aca="false">IF(AND($C339&lt;&gt;"",$D339&lt;&gt;""),$D339-$C339,"")</f>
        <v/>
      </c>
      <c r="O339" s="53" t="str">
        <f aca="false">IF($E339&lt;&gt;"",$E339,"")</f>
        <v/>
      </c>
      <c r="P339" s="52" t="str">
        <f aca="false">IF($F339&lt;&gt;"",$F339,"")</f>
        <v>Apprenant 327 ou 327'</v>
      </c>
      <c r="Q339" s="53" t="str">
        <f aca="false">IF(AND($G339&lt;&gt;"",$H339&lt;&gt;""),$H339-$G339,"")</f>
        <v/>
      </c>
      <c r="R339" s="53" t="str">
        <f aca="false">IF(AND($G339&lt;&gt;"",$I339&lt;&gt;""),$I339-$G339,"")</f>
        <v/>
      </c>
      <c r="S339" s="53" t="str">
        <f aca="false">IF(AND($H339&lt;&gt;"",$I339&lt;&gt;""),$I339-$H339,"")</f>
        <v/>
      </c>
      <c r="T339" s="53" t="str">
        <f aca="false">IF($J339&lt;&gt;"",$J339,"")</f>
        <v/>
      </c>
      <c r="V339" s="52" t="str">
        <f aca="false">IF($A339&lt;&gt;"",$A339,"")</f>
        <v>Apprenant 327</v>
      </c>
      <c r="W339" s="53" t="str">
        <f aca="false">IF(AND(OR('Choix pédagogiques'!$C$3=1,'Choix pédagogiques'!$C$3=2),$BM339=1),B339,IF(AND('Choix pédagogiques'!$C$3=3,$BO339=1),B339,""))</f>
        <v/>
      </c>
      <c r="X339" s="53" t="str">
        <f aca="false">IF(AND(OR('Choix pédagogiques'!$C$3=1,'Choix pédagogiques'!$C$3=2),$BM339=1),C339,IF(AND('Choix pédagogiques'!$C$3=3,$BO339=1),C339,""))</f>
        <v/>
      </c>
      <c r="Y339" s="53" t="str">
        <f aca="false">IF(AND(OR('Choix pédagogiques'!$C$3=1,'Choix pédagogiques'!$C$3=2),$BM339=1),D339,IF(AND('Choix pédagogiques'!$C$3=3,$BO339=1),D339,""))</f>
        <v/>
      </c>
      <c r="Z339" s="53" t="str">
        <f aca="false">IF($E339&lt;&gt;"",$E339,"")</f>
        <v/>
      </c>
      <c r="AA339" s="52" t="str">
        <f aca="false">IF($F339&lt;&gt;"",$F339,"")</f>
        <v>Apprenant 327 ou 327'</v>
      </c>
      <c r="AB339" s="53" t="str">
        <f aca="false">IF(AND(OR('Choix pédagogiques'!$C$3=1,'Choix pédagogiques'!$C$3=2),$BN339=1),G339,IF(AND('Choix pédagogiques'!$C$3=3,$BO339=1),G339,""))</f>
        <v/>
      </c>
      <c r="AC339" s="53" t="str">
        <f aca="false">IF(AND(OR('Choix pédagogiques'!$C$3=1,'Choix pédagogiques'!$C$3=2),$BN339=1),H339,IF(AND('Choix pédagogiques'!$C$3=3,$BO339=1),H339,""))</f>
        <v/>
      </c>
      <c r="AD339" s="53" t="str">
        <f aca="false">IF(AND(OR('Choix pédagogiques'!$C$3=1,'Choix pédagogiques'!$C$3=2),$BN339=1),I339,IF(AND('Choix pédagogiques'!$C$3=3,$BO339=1),I339,""))</f>
        <v/>
      </c>
      <c r="AE339" s="53" t="str">
        <f aca="false">IF($J339&lt;&gt;"",$J339,"")</f>
        <v/>
      </c>
      <c r="AF339" s="52" t="str">
        <f aca="false">IF($A339&lt;&gt;"",$A339,"")</f>
        <v>Apprenant 327</v>
      </c>
      <c r="AG339" s="53" t="str">
        <f aca="false">IF(AND($W339&lt;&gt;"",$X339&lt;&gt;""),$X339-$W339,"")</f>
        <v/>
      </c>
      <c r="AH339" s="53" t="str">
        <f aca="false">IF(AND($W339&lt;&gt;"",$Y339&lt;&gt;""),$Y339-$W339,"")</f>
        <v/>
      </c>
      <c r="AI339" s="53" t="str">
        <f aca="false">IF(AND($X339&lt;&gt;"",$Y339&lt;&gt;""),$Y339-$X339,"")</f>
        <v/>
      </c>
      <c r="AJ339" s="53" t="str">
        <f aca="false">IF($E339&lt;&gt;"",$E339,"")</f>
        <v/>
      </c>
      <c r="AK339" s="52" t="str">
        <f aca="false">IF($F339&lt;&gt;"",$F339,"")</f>
        <v>Apprenant 327 ou 327'</v>
      </c>
      <c r="AL339" s="53" t="str">
        <f aca="false">IF(AND($AB339&lt;&gt;"",$AC339&lt;&gt;""),$AC339-$AB339,"")</f>
        <v/>
      </c>
      <c r="AM339" s="53" t="str">
        <f aca="false">IF(AND($AB339&lt;&gt;"",$AD339&lt;&gt;""),$AD339-$AB339,"")</f>
        <v/>
      </c>
      <c r="AN339" s="53" t="str">
        <f aca="false">IF(AND($AC339&lt;&gt;"",$AD339&lt;&gt;""),$AD339-$AC339,"")</f>
        <v/>
      </c>
      <c r="AO339" s="53" t="str">
        <f aca="false">IF($J339&lt;&gt;"",$J339,"")</f>
        <v/>
      </c>
      <c r="AQ339" s="52" t="str">
        <f aca="false">IF($A339&lt;&gt;"",$A339,"")</f>
        <v>Apprenant 327</v>
      </c>
      <c r="AR339" s="55" t="str">
        <f aca="false">IF(AND('Choix pédagogiques'!$C$4&lt;&gt;"?",'Choix pédagogiques'!$C$5&lt;&gt;"?",W339&lt;&gt;""),(W339-'Choix pédagogiques'!$C$4)/('Choix pédagogiques'!$C$5-'Choix pédagogiques'!$C$4),"")</f>
        <v/>
      </c>
      <c r="AS339" s="55" t="str">
        <f aca="false">IF(AND('Choix pédagogiques'!$C$4&lt;&gt;"?",'Choix pédagogiques'!$C$5&lt;&gt;"?",X339&lt;&gt;""),(X339-'Choix pédagogiques'!$C$4)/('Choix pédagogiques'!$C$5-'Choix pédagogiques'!$C$4),"")</f>
        <v/>
      </c>
      <c r="AT339" s="55" t="str">
        <f aca="false">IF(AND('Choix pédagogiques'!$C$4&lt;&gt;"?",'Choix pédagogiques'!$C$5&lt;&gt;"?",Y339&lt;&gt;""),(Y339-'Choix pédagogiques'!$C$4)/('Choix pédagogiques'!$C$5-'Choix pédagogiques'!$C$4),"")</f>
        <v/>
      </c>
      <c r="AU339" s="53" t="str">
        <f aca="false">IF($E339&lt;&gt;"",$E339,"")</f>
        <v/>
      </c>
      <c r="AV339" s="52" t="str">
        <f aca="false">IF($F339&lt;&gt;"",$F339,"")</f>
        <v>Apprenant 327 ou 327'</v>
      </c>
      <c r="AW339" s="55" t="str">
        <f aca="false">IF(AND('Choix pédagogiques'!$C$4&lt;&gt;"?",'Choix pédagogiques'!$C$5&lt;&gt;"?",AB339&lt;&gt;""),(AB339-'Choix pédagogiques'!$C$4)/('Choix pédagogiques'!$C$5-'Choix pédagogiques'!$C$4),"")</f>
        <v/>
      </c>
      <c r="AX339" s="55" t="str">
        <f aca="false">IF(AND('Choix pédagogiques'!$C$4&lt;&gt;"?",'Choix pédagogiques'!$C$5&lt;&gt;"?",AC339&lt;&gt;""),(AC339-'Choix pédagogiques'!$C$4)/('Choix pédagogiques'!$C$5-'Choix pédagogiques'!$C$4),"")</f>
        <v/>
      </c>
      <c r="AY339" s="55" t="str">
        <f aca="false">IF(AND('Choix pédagogiques'!$C$4&lt;&gt;"?",'Choix pédagogiques'!$C$5&lt;&gt;"?",AD339&lt;&gt;""),(AD339-'Choix pédagogiques'!$C$4)/('Choix pédagogiques'!$C$5-'Choix pédagogiques'!$C$4),"")</f>
        <v/>
      </c>
      <c r="AZ339" s="53" t="str">
        <f aca="false">IF($J339&lt;&gt;"",$J339,"")</f>
        <v/>
      </c>
      <c r="BA339" s="52" t="str">
        <f aca="false">IF($A339&lt;&gt;"",$A339,"")</f>
        <v>Apprenant 327</v>
      </c>
      <c r="BB339" s="55" t="str">
        <f aca="false">IF(AND($AR339&lt;&gt;"",$AS339&lt;&gt;""),$AS339-$AR339,"")</f>
        <v/>
      </c>
      <c r="BC339" s="55" t="str">
        <f aca="false">IF(AND($AR339&lt;&gt;"",$AT339&lt;&gt;""),$AT339-$AR339,"")</f>
        <v/>
      </c>
      <c r="BD339" s="55" t="str">
        <f aca="false">IF(AND($AS339&lt;&gt;"",$AT339&lt;&gt;""),$AT339-$AS339,"")</f>
        <v/>
      </c>
      <c r="BE339" s="53" t="str">
        <f aca="false">IF($E339&lt;&gt;"",$E339,"")</f>
        <v/>
      </c>
      <c r="BF339" s="52" t="str">
        <f aca="false">IF($F339&lt;&gt;"",$F339,"")</f>
        <v>Apprenant 327 ou 327'</v>
      </c>
      <c r="BG339" s="55" t="str">
        <f aca="false">IF(AND($AW339&lt;&gt;"",$AX339&lt;&gt;""),$AX339-$AW339,"")</f>
        <v/>
      </c>
      <c r="BH339" s="55" t="str">
        <f aca="false">IF(AND($AW339&lt;&gt;"",$AY339&lt;&gt;""),$AY339-$AW339,"")</f>
        <v/>
      </c>
      <c r="BI339" s="55" t="str">
        <f aca="false">IF(AND($AX339&lt;&gt;"",$AY339&lt;&gt;""),$AY339-$AX339,"")</f>
        <v/>
      </c>
      <c r="BJ339" s="53" t="str">
        <f aca="false">IF($J339&lt;&gt;"",$J339,"")</f>
        <v/>
      </c>
      <c r="BL339" s="52"/>
      <c r="BM339" s="52" t="str">
        <f aca="false">IF(OR(COUNT(B339:D1338)=0,AND('Choix pédagogiques'!$C$3&lt;&gt;1,'Choix pédagogiques'!$C$3&lt;&gt;2)),"",IF(AND(OR('Choix pédagogiques'!$C$3=1,'Choix pédagogiques'!$C$3=2),$B339&lt;&gt;"",$C339&lt;&gt;"",$D339&lt;&gt;""),1,0))</f>
        <v/>
      </c>
      <c r="BN339" s="52" t="str">
        <f aca="false">IF(OR(COUNT(G339:I1338)=0,AND('Choix pédagogiques'!$C$3&lt;&gt;1,'Choix pédagogiques'!$C$3&lt;&gt;2)),"",IF(AND(OR('Choix pédagogiques'!$C$3=1,'Choix pédagogiques'!$C$3=2),AND($G339&lt;&gt;"",$H339&lt;&gt;"",$I339&lt;&gt;"")),1,0))</f>
        <v/>
      </c>
      <c r="BO339" s="52" t="str">
        <f aca="false">IF(OR(COUNT(B339:D1338)=0,COUNT(G339:I1338)=0,'Choix pédagogiques'!C$3&lt;&gt;3),"",IF(AND('Choix pédagogiques'!$C$3=3,$B339&lt;&gt;"",$C339&lt;&gt;"",$D339&lt;&gt;"",$G339&lt;&gt;"",$H339&lt;&gt;"",$I339&lt;&gt;""),1,0))</f>
        <v/>
      </c>
      <c r="BR339" s="52" t="n">
        <v>477</v>
      </c>
      <c r="BS339" s="52" t="n">
        <v>1344</v>
      </c>
    </row>
    <row r="340" s="54" customFormat="true" ht="18" hidden="false" customHeight="true" outlineLevel="0" collapsed="false">
      <c r="A340" s="57" t="s">
        <v>611</v>
      </c>
      <c r="B340" s="51"/>
      <c r="C340" s="51"/>
      <c r="D340" s="51"/>
      <c r="E340" s="51"/>
      <c r="F340" s="57" t="s">
        <v>612</v>
      </c>
      <c r="G340" s="51"/>
      <c r="H340" s="51"/>
      <c r="I340" s="51"/>
      <c r="J340" s="51"/>
      <c r="K340" s="52" t="str">
        <f aca="false">IF($A340&lt;&gt;"",$A340,"")</f>
        <v>Apprenant 328</v>
      </c>
      <c r="L340" s="53" t="str">
        <f aca="false">IF(AND($B340&lt;&gt;"",$C340&lt;&gt;""),$C340-$B340,"")</f>
        <v/>
      </c>
      <c r="M340" s="53" t="str">
        <f aca="false">IF(AND($B340&lt;&gt;"",$D340&lt;&gt;""),$D340-$B340,"")</f>
        <v/>
      </c>
      <c r="N340" s="53" t="str">
        <f aca="false">IF(AND($C340&lt;&gt;"",$D340&lt;&gt;""),$D340-$C340,"")</f>
        <v/>
      </c>
      <c r="O340" s="53" t="str">
        <f aca="false">IF($E340&lt;&gt;"",$E340,"")</f>
        <v/>
      </c>
      <c r="P340" s="52" t="str">
        <f aca="false">IF($F340&lt;&gt;"",$F340,"")</f>
        <v>Apprenant 328 ou 328'</v>
      </c>
      <c r="Q340" s="53" t="str">
        <f aca="false">IF(AND($G340&lt;&gt;"",$H340&lt;&gt;""),$H340-$G340,"")</f>
        <v/>
      </c>
      <c r="R340" s="53" t="str">
        <f aca="false">IF(AND($G340&lt;&gt;"",$I340&lt;&gt;""),$I340-$G340,"")</f>
        <v/>
      </c>
      <c r="S340" s="53" t="str">
        <f aca="false">IF(AND($H340&lt;&gt;"",$I340&lt;&gt;""),$I340-$H340,"")</f>
        <v/>
      </c>
      <c r="T340" s="53" t="str">
        <f aca="false">IF($J340&lt;&gt;"",$J340,"")</f>
        <v/>
      </c>
      <c r="V340" s="52" t="str">
        <f aca="false">IF($A340&lt;&gt;"",$A340,"")</f>
        <v>Apprenant 328</v>
      </c>
      <c r="W340" s="53" t="str">
        <f aca="false">IF(AND(OR('Choix pédagogiques'!$C$3=1,'Choix pédagogiques'!$C$3=2),$BM340=1),B340,IF(AND('Choix pédagogiques'!$C$3=3,$BO340=1),B340,""))</f>
        <v/>
      </c>
      <c r="X340" s="53" t="str">
        <f aca="false">IF(AND(OR('Choix pédagogiques'!$C$3=1,'Choix pédagogiques'!$C$3=2),$BM340=1),C340,IF(AND('Choix pédagogiques'!$C$3=3,$BO340=1),C340,""))</f>
        <v/>
      </c>
      <c r="Y340" s="53" t="str">
        <f aca="false">IF(AND(OR('Choix pédagogiques'!$C$3=1,'Choix pédagogiques'!$C$3=2),$BM340=1),D340,IF(AND('Choix pédagogiques'!$C$3=3,$BO340=1),D340,""))</f>
        <v/>
      </c>
      <c r="Z340" s="53" t="str">
        <f aca="false">IF($E340&lt;&gt;"",$E340,"")</f>
        <v/>
      </c>
      <c r="AA340" s="52" t="str">
        <f aca="false">IF($F340&lt;&gt;"",$F340,"")</f>
        <v>Apprenant 328 ou 328'</v>
      </c>
      <c r="AB340" s="53" t="str">
        <f aca="false">IF(AND(OR('Choix pédagogiques'!$C$3=1,'Choix pédagogiques'!$C$3=2),$BN340=1),G340,IF(AND('Choix pédagogiques'!$C$3=3,$BO340=1),G340,""))</f>
        <v/>
      </c>
      <c r="AC340" s="53" t="str">
        <f aca="false">IF(AND(OR('Choix pédagogiques'!$C$3=1,'Choix pédagogiques'!$C$3=2),$BN340=1),H340,IF(AND('Choix pédagogiques'!$C$3=3,$BO340=1),H340,""))</f>
        <v/>
      </c>
      <c r="AD340" s="53" t="str">
        <f aca="false">IF(AND(OR('Choix pédagogiques'!$C$3=1,'Choix pédagogiques'!$C$3=2),$BN340=1),I340,IF(AND('Choix pédagogiques'!$C$3=3,$BO340=1),I340,""))</f>
        <v/>
      </c>
      <c r="AE340" s="53" t="str">
        <f aca="false">IF($J340&lt;&gt;"",$J340,"")</f>
        <v/>
      </c>
      <c r="AF340" s="52" t="str">
        <f aca="false">IF($A340&lt;&gt;"",$A340,"")</f>
        <v>Apprenant 328</v>
      </c>
      <c r="AG340" s="53" t="str">
        <f aca="false">IF(AND($W340&lt;&gt;"",$X340&lt;&gt;""),$X340-$W340,"")</f>
        <v/>
      </c>
      <c r="AH340" s="53" t="str">
        <f aca="false">IF(AND($W340&lt;&gt;"",$Y340&lt;&gt;""),$Y340-$W340,"")</f>
        <v/>
      </c>
      <c r="AI340" s="53" t="str">
        <f aca="false">IF(AND($X340&lt;&gt;"",$Y340&lt;&gt;""),$Y340-$X340,"")</f>
        <v/>
      </c>
      <c r="AJ340" s="53" t="str">
        <f aca="false">IF($E340&lt;&gt;"",$E340,"")</f>
        <v/>
      </c>
      <c r="AK340" s="52" t="str">
        <f aca="false">IF($F340&lt;&gt;"",$F340,"")</f>
        <v>Apprenant 328 ou 328'</v>
      </c>
      <c r="AL340" s="53" t="str">
        <f aca="false">IF(AND($AB340&lt;&gt;"",$AC340&lt;&gt;""),$AC340-$AB340,"")</f>
        <v/>
      </c>
      <c r="AM340" s="53" t="str">
        <f aca="false">IF(AND($AB340&lt;&gt;"",$AD340&lt;&gt;""),$AD340-$AB340,"")</f>
        <v/>
      </c>
      <c r="AN340" s="53" t="str">
        <f aca="false">IF(AND($AC340&lt;&gt;"",$AD340&lt;&gt;""),$AD340-$AC340,"")</f>
        <v/>
      </c>
      <c r="AO340" s="53" t="str">
        <f aca="false">IF($J340&lt;&gt;"",$J340,"")</f>
        <v/>
      </c>
      <c r="AQ340" s="52" t="str">
        <f aca="false">IF($A340&lt;&gt;"",$A340,"")</f>
        <v>Apprenant 328</v>
      </c>
      <c r="AR340" s="55" t="str">
        <f aca="false">IF(AND('Choix pédagogiques'!$C$4&lt;&gt;"?",'Choix pédagogiques'!$C$5&lt;&gt;"?",W340&lt;&gt;""),(W340-'Choix pédagogiques'!$C$4)/('Choix pédagogiques'!$C$5-'Choix pédagogiques'!$C$4),"")</f>
        <v/>
      </c>
      <c r="AS340" s="55" t="str">
        <f aca="false">IF(AND('Choix pédagogiques'!$C$4&lt;&gt;"?",'Choix pédagogiques'!$C$5&lt;&gt;"?",X340&lt;&gt;""),(X340-'Choix pédagogiques'!$C$4)/('Choix pédagogiques'!$C$5-'Choix pédagogiques'!$C$4),"")</f>
        <v/>
      </c>
      <c r="AT340" s="55" t="str">
        <f aca="false">IF(AND('Choix pédagogiques'!$C$4&lt;&gt;"?",'Choix pédagogiques'!$C$5&lt;&gt;"?",Y340&lt;&gt;""),(Y340-'Choix pédagogiques'!$C$4)/('Choix pédagogiques'!$C$5-'Choix pédagogiques'!$C$4),"")</f>
        <v/>
      </c>
      <c r="AU340" s="53" t="str">
        <f aca="false">IF($E340&lt;&gt;"",$E340,"")</f>
        <v/>
      </c>
      <c r="AV340" s="52" t="str">
        <f aca="false">IF($F340&lt;&gt;"",$F340,"")</f>
        <v>Apprenant 328 ou 328'</v>
      </c>
      <c r="AW340" s="55" t="str">
        <f aca="false">IF(AND('Choix pédagogiques'!$C$4&lt;&gt;"?",'Choix pédagogiques'!$C$5&lt;&gt;"?",AB340&lt;&gt;""),(AB340-'Choix pédagogiques'!$C$4)/('Choix pédagogiques'!$C$5-'Choix pédagogiques'!$C$4),"")</f>
        <v/>
      </c>
      <c r="AX340" s="55" t="str">
        <f aca="false">IF(AND('Choix pédagogiques'!$C$4&lt;&gt;"?",'Choix pédagogiques'!$C$5&lt;&gt;"?",AC340&lt;&gt;""),(AC340-'Choix pédagogiques'!$C$4)/('Choix pédagogiques'!$C$5-'Choix pédagogiques'!$C$4),"")</f>
        <v/>
      </c>
      <c r="AY340" s="55" t="str">
        <f aca="false">IF(AND('Choix pédagogiques'!$C$4&lt;&gt;"?",'Choix pédagogiques'!$C$5&lt;&gt;"?",AD340&lt;&gt;""),(AD340-'Choix pédagogiques'!$C$4)/('Choix pédagogiques'!$C$5-'Choix pédagogiques'!$C$4),"")</f>
        <v/>
      </c>
      <c r="AZ340" s="53" t="str">
        <f aca="false">IF($J340&lt;&gt;"",$J340,"")</f>
        <v/>
      </c>
      <c r="BA340" s="52" t="str">
        <f aca="false">IF($A340&lt;&gt;"",$A340,"")</f>
        <v>Apprenant 328</v>
      </c>
      <c r="BB340" s="55" t="str">
        <f aca="false">IF(AND($AR340&lt;&gt;"",$AS340&lt;&gt;""),$AS340-$AR340,"")</f>
        <v/>
      </c>
      <c r="BC340" s="55" t="str">
        <f aca="false">IF(AND($AR340&lt;&gt;"",$AT340&lt;&gt;""),$AT340-$AR340,"")</f>
        <v/>
      </c>
      <c r="BD340" s="55" t="str">
        <f aca="false">IF(AND($AS340&lt;&gt;"",$AT340&lt;&gt;""),$AT340-$AS340,"")</f>
        <v/>
      </c>
      <c r="BE340" s="53" t="str">
        <f aca="false">IF($E340&lt;&gt;"",$E340,"")</f>
        <v/>
      </c>
      <c r="BF340" s="52" t="str">
        <f aca="false">IF($F340&lt;&gt;"",$F340,"")</f>
        <v>Apprenant 328 ou 328'</v>
      </c>
      <c r="BG340" s="55" t="str">
        <f aca="false">IF(AND($AW340&lt;&gt;"",$AX340&lt;&gt;""),$AX340-$AW340,"")</f>
        <v/>
      </c>
      <c r="BH340" s="55" t="str">
        <f aca="false">IF(AND($AW340&lt;&gt;"",$AY340&lt;&gt;""),$AY340-$AW340,"")</f>
        <v/>
      </c>
      <c r="BI340" s="55" t="str">
        <f aca="false">IF(AND($AX340&lt;&gt;"",$AY340&lt;&gt;""),$AY340-$AX340,"")</f>
        <v/>
      </c>
      <c r="BJ340" s="53" t="str">
        <f aca="false">IF($J340&lt;&gt;"",$J340,"")</f>
        <v/>
      </c>
      <c r="BL340" s="52"/>
      <c r="BM340" s="52" t="str">
        <f aca="false">IF(OR(COUNT(B340:D1339)=0,AND('Choix pédagogiques'!$C$3&lt;&gt;1,'Choix pédagogiques'!$C$3&lt;&gt;2)),"",IF(AND(OR('Choix pédagogiques'!$C$3=1,'Choix pédagogiques'!$C$3=2),$B340&lt;&gt;"",$C340&lt;&gt;"",$D340&lt;&gt;""),1,0))</f>
        <v/>
      </c>
      <c r="BN340" s="52" t="str">
        <f aca="false">IF(OR(COUNT(G340:I1339)=0,AND('Choix pédagogiques'!$C$3&lt;&gt;1,'Choix pédagogiques'!$C$3&lt;&gt;2)),"",IF(AND(OR('Choix pédagogiques'!$C$3=1,'Choix pédagogiques'!$C$3=2),AND($G340&lt;&gt;"",$H340&lt;&gt;"",$I340&lt;&gt;"")),1,0))</f>
        <v/>
      </c>
      <c r="BO340" s="52" t="str">
        <f aca="false">IF(OR(COUNT(B340:D1339)=0,COUNT(G340:I1339)=0,'Choix pédagogiques'!C$3&lt;&gt;3),"",IF(AND('Choix pédagogiques'!$C$3=3,$B340&lt;&gt;"",$C340&lt;&gt;"",$D340&lt;&gt;"",$G340&lt;&gt;"",$H340&lt;&gt;"",$I340&lt;&gt;""),1,0))</f>
        <v/>
      </c>
      <c r="BR340" s="52" t="n">
        <v>763</v>
      </c>
      <c r="BS340" s="52" t="n">
        <v>1875</v>
      </c>
    </row>
    <row r="341" s="54" customFormat="true" ht="18" hidden="false" customHeight="true" outlineLevel="0" collapsed="false">
      <c r="A341" s="57" t="s">
        <v>613</v>
      </c>
      <c r="B341" s="51"/>
      <c r="C341" s="51"/>
      <c r="D341" s="51"/>
      <c r="E341" s="51"/>
      <c r="F341" s="57" t="s">
        <v>614</v>
      </c>
      <c r="G341" s="51"/>
      <c r="H341" s="51"/>
      <c r="I341" s="51"/>
      <c r="J341" s="51"/>
      <c r="K341" s="52" t="str">
        <f aca="false">IF($A341&lt;&gt;"",$A341,"")</f>
        <v>Apprenant 329</v>
      </c>
      <c r="L341" s="53" t="str">
        <f aca="false">IF(AND($B341&lt;&gt;"",$C341&lt;&gt;""),$C341-$B341,"")</f>
        <v/>
      </c>
      <c r="M341" s="53" t="str">
        <f aca="false">IF(AND($B341&lt;&gt;"",$D341&lt;&gt;""),$D341-$B341,"")</f>
        <v/>
      </c>
      <c r="N341" s="53" t="str">
        <f aca="false">IF(AND($C341&lt;&gt;"",$D341&lt;&gt;""),$D341-$C341,"")</f>
        <v/>
      </c>
      <c r="O341" s="53" t="str">
        <f aca="false">IF($E341&lt;&gt;"",$E341,"")</f>
        <v/>
      </c>
      <c r="P341" s="52" t="str">
        <f aca="false">IF($F341&lt;&gt;"",$F341,"")</f>
        <v>Apprenant 329 ou 329'</v>
      </c>
      <c r="Q341" s="53" t="str">
        <f aca="false">IF(AND($G341&lt;&gt;"",$H341&lt;&gt;""),$H341-$G341,"")</f>
        <v/>
      </c>
      <c r="R341" s="53" t="str">
        <f aca="false">IF(AND($G341&lt;&gt;"",$I341&lt;&gt;""),$I341-$G341,"")</f>
        <v/>
      </c>
      <c r="S341" s="53" t="str">
        <f aca="false">IF(AND($H341&lt;&gt;"",$I341&lt;&gt;""),$I341-$H341,"")</f>
        <v/>
      </c>
      <c r="T341" s="53" t="str">
        <f aca="false">IF($J341&lt;&gt;"",$J341,"")</f>
        <v/>
      </c>
      <c r="V341" s="52" t="str">
        <f aca="false">IF($A341&lt;&gt;"",$A341,"")</f>
        <v>Apprenant 329</v>
      </c>
      <c r="W341" s="53" t="str">
        <f aca="false">IF(AND(OR('Choix pédagogiques'!$C$3=1,'Choix pédagogiques'!$C$3=2),$BM341=1),B341,IF(AND('Choix pédagogiques'!$C$3=3,$BO341=1),B341,""))</f>
        <v/>
      </c>
      <c r="X341" s="53" t="str">
        <f aca="false">IF(AND(OR('Choix pédagogiques'!$C$3=1,'Choix pédagogiques'!$C$3=2),$BM341=1),C341,IF(AND('Choix pédagogiques'!$C$3=3,$BO341=1),C341,""))</f>
        <v/>
      </c>
      <c r="Y341" s="53" t="str">
        <f aca="false">IF(AND(OR('Choix pédagogiques'!$C$3=1,'Choix pédagogiques'!$C$3=2),$BM341=1),D341,IF(AND('Choix pédagogiques'!$C$3=3,$BO341=1),D341,""))</f>
        <v/>
      </c>
      <c r="Z341" s="53" t="str">
        <f aca="false">IF($E341&lt;&gt;"",$E341,"")</f>
        <v/>
      </c>
      <c r="AA341" s="52" t="str">
        <f aca="false">IF($F341&lt;&gt;"",$F341,"")</f>
        <v>Apprenant 329 ou 329'</v>
      </c>
      <c r="AB341" s="53" t="str">
        <f aca="false">IF(AND(OR('Choix pédagogiques'!$C$3=1,'Choix pédagogiques'!$C$3=2),$BN341=1),G341,IF(AND('Choix pédagogiques'!$C$3=3,$BO341=1),G341,""))</f>
        <v/>
      </c>
      <c r="AC341" s="53" t="str">
        <f aca="false">IF(AND(OR('Choix pédagogiques'!$C$3=1,'Choix pédagogiques'!$C$3=2),$BN341=1),H341,IF(AND('Choix pédagogiques'!$C$3=3,$BO341=1),H341,""))</f>
        <v/>
      </c>
      <c r="AD341" s="53" t="str">
        <f aca="false">IF(AND(OR('Choix pédagogiques'!$C$3=1,'Choix pédagogiques'!$C$3=2),$BN341=1),I341,IF(AND('Choix pédagogiques'!$C$3=3,$BO341=1),I341,""))</f>
        <v/>
      </c>
      <c r="AE341" s="53" t="str">
        <f aca="false">IF($J341&lt;&gt;"",$J341,"")</f>
        <v/>
      </c>
      <c r="AF341" s="52" t="str">
        <f aca="false">IF($A341&lt;&gt;"",$A341,"")</f>
        <v>Apprenant 329</v>
      </c>
      <c r="AG341" s="53" t="str">
        <f aca="false">IF(AND($W341&lt;&gt;"",$X341&lt;&gt;""),$X341-$W341,"")</f>
        <v/>
      </c>
      <c r="AH341" s="53" t="str">
        <f aca="false">IF(AND($W341&lt;&gt;"",$Y341&lt;&gt;""),$Y341-$W341,"")</f>
        <v/>
      </c>
      <c r="AI341" s="53" t="str">
        <f aca="false">IF(AND($X341&lt;&gt;"",$Y341&lt;&gt;""),$Y341-$X341,"")</f>
        <v/>
      </c>
      <c r="AJ341" s="53" t="str">
        <f aca="false">IF($E341&lt;&gt;"",$E341,"")</f>
        <v/>
      </c>
      <c r="AK341" s="52" t="str">
        <f aca="false">IF($F341&lt;&gt;"",$F341,"")</f>
        <v>Apprenant 329 ou 329'</v>
      </c>
      <c r="AL341" s="53" t="str">
        <f aca="false">IF(AND($AB341&lt;&gt;"",$AC341&lt;&gt;""),$AC341-$AB341,"")</f>
        <v/>
      </c>
      <c r="AM341" s="53" t="str">
        <f aca="false">IF(AND($AB341&lt;&gt;"",$AD341&lt;&gt;""),$AD341-$AB341,"")</f>
        <v/>
      </c>
      <c r="AN341" s="53" t="str">
        <f aca="false">IF(AND($AC341&lt;&gt;"",$AD341&lt;&gt;""),$AD341-$AC341,"")</f>
        <v/>
      </c>
      <c r="AO341" s="53" t="str">
        <f aca="false">IF($J341&lt;&gt;"",$J341,"")</f>
        <v/>
      </c>
      <c r="AQ341" s="52" t="str">
        <f aca="false">IF($A341&lt;&gt;"",$A341,"")</f>
        <v>Apprenant 329</v>
      </c>
      <c r="AR341" s="55" t="str">
        <f aca="false">IF(AND('Choix pédagogiques'!$C$4&lt;&gt;"?",'Choix pédagogiques'!$C$5&lt;&gt;"?",W341&lt;&gt;""),(W341-'Choix pédagogiques'!$C$4)/('Choix pédagogiques'!$C$5-'Choix pédagogiques'!$C$4),"")</f>
        <v/>
      </c>
      <c r="AS341" s="55" t="str">
        <f aca="false">IF(AND('Choix pédagogiques'!$C$4&lt;&gt;"?",'Choix pédagogiques'!$C$5&lt;&gt;"?",X341&lt;&gt;""),(X341-'Choix pédagogiques'!$C$4)/('Choix pédagogiques'!$C$5-'Choix pédagogiques'!$C$4),"")</f>
        <v/>
      </c>
      <c r="AT341" s="55" t="str">
        <f aca="false">IF(AND('Choix pédagogiques'!$C$4&lt;&gt;"?",'Choix pédagogiques'!$C$5&lt;&gt;"?",Y341&lt;&gt;""),(Y341-'Choix pédagogiques'!$C$4)/('Choix pédagogiques'!$C$5-'Choix pédagogiques'!$C$4),"")</f>
        <v/>
      </c>
      <c r="AU341" s="53" t="str">
        <f aca="false">IF($E341&lt;&gt;"",$E341,"")</f>
        <v/>
      </c>
      <c r="AV341" s="52" t="str">
        <f aca="false">IF($F341&lt;&gt;"",$F341,"")</f>
        <v>Apprenant 329 ou 329'</v>
      </c>
      <c r="AW341" s="55" t="str">
        <f aca="false">IF(AND('Choix pédagogiques'!$C$4&lt;&gt;"?",'Choix pédagogiques'!$C$5&lt;&gt;"?",AB341&lt;&gt;""),(AB341-'Choix pédagogiques'!$C$4)/('Choix pédagogiques'!$C$5-'Choix pédagogiques'!$C$4),"")</f>
        <v/>
      </c>
      <c r="AX341" s="55" t="str">
        <f aca="false">IF(AND('Choix pédagogiques'!$C$4&lt;&gt;"?",'Choix pédagogiques'!$C$5&lt;&gt;"?",AC341&lt;&gt;""),(AC341-'Choix pédagogiques'!$C$4)/('Choix pédagogiques'!$C$5-'Choix pédagogiques'!$C$4),"")</f>
        <v/>
      </c>
      <c r="AY341" s="55" t="str">
        <f aca="false">IF(AND('Choix pédagogiques'!$C$4&lt;&gt;"?",'Choix pédagogiques'!$C$5&lt;&gt;"?",AD341&lt;&gt;""),(AD341-'Choix pédagogiques'!$C$4)/('Choix pédagogiques'!$C$5-'Choix pédagogiques'!$C$4),"")</f>
        <v/>
      </c>
      <c r="AZ341" s="53" t="str">
        <f aca="false">IF($J341&lt;&gt;"",$J341,"")</f>
        <v/>
      </c>
      <c r="BA341" s="52" t="str">
        <f aca="false">IF($A341&lt;&gt;"",$A341,"")</f>
        <v>Apprenant 329</v>
      </c>
      <c r="BB341" s="55" t="str">
        <f aca="false">IF(AND($AR341&lt;&gt;"",$AS341&lt;&gt;""),$AS341-$AR341,"")</f>
        <v/>
      </c>
      <c r="BC341" s="55" t="str">
        <f aca="false">IF(AND($AR341&lt;&gt;"",$AT341&lt;&gt;""),$AT341-$AR341,"")</f>
        <v/>
      </c>
      <c r="BD341" s="55" t="str">
        <f aca="false">IF(AND($AS341&lt;&gt;"",$AT341&lt;&gt;""),$AT341-$AS341,"")</f>
        <v/>
      </c>
      <c r="BE341" s="53" t="str">
        <f aca="false">IF($E341&lt;&gt;"",$E341,"")</f>
        <v/>
      </c>
      <c r="BF341" s="52" t="str">
        <f aca="false">IF($F341&lt;&gt;"",$F341,"")</f>
        <v>Apprenant 329 ou 329'</v>
      </c>
      <c r="BG341" s="55" t="str">
        <f aca="false">IF(AND($AW341&lt;&gt;"",$AX341&lt;&gt;""),$AX341-$AW341,"")</f>
        <v/>
      </c>
      <c r="BH341" s="55" t="str">
        <f aca="false">IF(AND($AW341&lt;&gt;"",$AY341&lt;&gt;""),$AY341-$AW341,"")</f>
        <v/>
      </c>
      <c r="BI341" s="55" t="str">
        <f aca="false">IF(AND($AX341&lt;&gt;"",$AY341&lt;&gt;""),$AY341-$AX341,"")</f>
        <v/>
      </c>
      <c r="BJ341" s="53" t="str">
        <f aca="false">IF($J341&lt;&gt;"",$J341,"")</f>
        <v/>
      </c>
      <c r="BL341" s="52"/>
      <c r="BM341" s="52" t="str">
        <f aca="false">IF(OR(COUNT(B341:D1340)=0,AND('Choix pédagogiques'!$C$3&lt;&gt;1,'Choix pédagogiques'!$C$3&lt;&gt;2)),"",IF(AND(OR('Choix pédagogiques'!$C$3=1,'Choix pédagogiques'!$C$3=2),$B341&lt;&gt;"",$C341&lt;&gt;"",$D341&lt;&gt;""),1,0))</f>
        <v/>
      </c>
      <c r="BN341" s="52" t="str">
        <f aca="false">IF(OR(COUNT(G341:I1340)=0,AND('Choix pédagogiques'!$C$3&lt;&gt;1,'Choix pédagogiques'!$C$3&lt;&gt;2)),"",IF(AND(OR('Choix pédagogiques'!$C$3=1,'Choix pédagogiques'!$C$3=2),AND($G341&lt;&gt;"",$H341&lt;&gt;"",$I341&lt;&gt;"")),1,0))</f>
        <v/>
      </c>
      <c r="BO341" s="52" t="str">
        <f aca="false">IF(OR(COUNT(B341:D1340)=0,COUNT(G341:I1340)=0,'Choix pédagogiques'!C$3&lt;&gt;3),"",IF(AND('Choix pédagogiques'!$C$3=3,$B341&lt;&gt;"",$C341&lt;&gt;"",$D341&lt;&gt;"",$G341&lt;&gt;"",$H341&lt;&gt;"",$I341&lt;&gt;""),1,0))</f>
        <v/>
      </c>
      <c r="BR341" s="52" t="n">
        <v>143</v>
      </c>
      <c r="BS341" s="52" t="n">
        <v>1820</v>
      </c>
    </row>
    <row r="342" s="54" customFormat="true" ht="18" hidden="false" customHeight="true" outlineLevel="0" collapsed="false">
      <c r="A342" s="57" t="s">
        <v>615</v>
      </c>
      <c r="B342" s="51"/>
      <c r="C342" s="51"/>
      <c r="D342" s="51"/>
      <c r="E342" s="51"/>
      <c r="F342" s="57" t="s">
        <v>616</v>
      </c>
      <c r="G342" s="51"/>
      <c r="H342" s="51"/>
      <c r="I342" s="51"/>
      <c r="J342" s="51"/>
      <c r="K342" s="52" t="str">
        <f aca="false">IF($A342&lt;&gt;"",$A342,"")</f>
        <v>Apprenant 330</v>
      </c>
      <c r="L342" s="53" t="str">
        <f aca="false">IF(AND($B342&lt;&gt;"",$C342&lt;&gt;""),$C342-$B342,"")</f>
        <v/>
      </c>
      <c r="M342" s="53" t="str">
        <f aca="false">IF(AND($B342&lt;&gt;"",$D342&lt;&gt;""),$D342-$B342,"")</f>
        <v/>
      </c>
      <c r="N342" s="53" t="str">
        <f aca="false">IF(AND($C342&lt;&gt;"",$D342&lt;&gt;""),$D342-$C342,"")</f>
        <v/>
      </c>
      <c r="O342" s="53" t="str">
        <f aca="false">IF($E342&lt;&gt;"",$E342,"")</f>
        <v/>
      </c>
      <c r="P342" s="52" t="str">
        <f aca="false">IF($F342&lt;&gt;"",$F342,"")</f>
        <v>Apprenant 330 ou 330'</v>
      </c>
      <c r="Q342" s="53" t="str">
        <f aca="false">IF(AND($G342&lt;&gt;"",$H342&lt;&gt;""),$H342-$G342,"")</f>
        <v/>
      </c>
      <c r="R342" s="53" t="str">
        <f aca="false">IF(AND($G342&lt;&gt;"",$I342&lt;&gt;""),$I342-$G342,"")</f>
        <v/>
      </c>
      <c r="S342" s="53" t="str">
        <f aca="false">IF(AND($H342&lt;&gt;"",$I342&lt;&gt;""),$I342-$H342,"")</f>
        <v/>
      </c>
      <c r="T342" s="53" t="str">
        <f aca="false">IF($J342&lt;&gt;"",$J342,"")</f>
        <v/>
      </c>
      <c r="V342" s="52" t="str">
        <f aca="false">IF($A342&lt;&gt;"",$A342,"")</f>
        <v>Apprenant 330</v>
      </c>
      <c r="W342" s="53" t="str">
        <f aca="false">IF(AND(OR('Choix pédagogiques'!$C$3=1,'Choix pédagogiques'!$C$3=2),$BM342=1),B342,IF(AND('Choix pédagogiques'!$C$3=3,$BO342=1),B342,""))</f>
        <v/>
      </c>
      <c r="X342" s="53" t="str">
        <f aca="false">IF(AND(OR('Choix pédagogiques'!$C$3=1,'Choix pédagogiques'!$C$3=2),$BM342=1),C342,IF(AND('Choix pédagogiques'!$C$3=3,$BO342=1),C342,""))</f>
        <v/>
      </c>
      <c r="Y342" s="53" t="str">
        <f aca="false">IF(AND(OR('Choix pédagogiques'!$C$3=1,'Choix pédagogiques'!$C$3=2),$BM342=1),D342,IF(AND('Choix pédagogiques'!$C$3=3,$BO342=1),D342,""))</f>
        <v/>
      </c>
      <c r="Z342" s="53" t="str">
        <f aca="false">IF($E342&lt;&gt;"",$E342,"")</f>
        <v/>
      </c>
      <c r="AA342" s="52" t="str">
        <f aca="false">IF($F342&lt;&gt;"",$F342,"")</f>
        <v>Apprenant 330 ou 330'</v>
      </c>
      <c r="AB342" s="53" t="str">
        <f aca="false">IF(AND(OR('Choix pédagogiques'!$C$3=1,'Choix pédagogiques'!$C$3=2),$BN342=1),G342,IF(AND('Choix pédagogiques'!$C$3=3,$BO342=1),G342,""))</f>
        <v/>
      </c>
      <c r="AC342" s="53" t="str">
        <f aca="false">IF(AND(OR('Choix pédagogiques'!$C$3=1,'Choix pédagogiques'!$C$3=2),$BN342=1),H342,IF(AND('Choix pédagogiques'!$C$3=3,$BO342=1),H342,""))</f>
        <v/>
      </c>
      <c r="AD342" s="53" t="str">
        <f aca="false">IF(AND(OR('Choix pédagogiques'!$C$3=1,'Choix pédagogiques'!$C$3=2),$BN342=1),I342,IF(AND('Choix pédagogiques'!$C$3=3,$BO342=1),I342,""))</f>
        <v/>
      </c>
      <c r="AE342" s="53" t="str">
        <f aca="false">IF($J342&lt;&gt;"",$J342,"")</f>
        <v/>
      </c>
      <c r="AF342" s="52" t="str">
        <f aca="false">IF($A342&lt;&gt;"",$A342,"")</f>
        <v>Apprenant 330</v>
      </c>
      <c r="AG342" s="53" t="str">
        <f aca="false">IF(AND($W342&lt;&gt;"",$X342&lt;&gt;""),$X342-$W342,"")</f>
        <v/>
      </c>
      <c r="AH342" s="53" t="str">
        <f aca="false">IF(AND($W342&lt;&gt;"",$Y342&lt;&gt;""),$Y342-$W342,"")</f>
        <v/>
      </c>
      <c r="AI342" s="53" t="str">
        <f aca="false">IF(AND($X342&lt;&gt;"",$Y342&lt;&gt;""),$Y342-$X342,"")</f>
        <v/>
      </c>
      <c r="AJ342" s="53" t="str">
        <f aca="false">IF($E342&lt;&gt;"",$E342,"")</f>
        <v/>
      </c>
      <c r="AK342" s="52" t="str">
        <f aca="false">IF($F342&lt;&gt;"",$F342,"")</f>
        <v>Apprenant 330 ou 330'</v>
      </c>
      <c r="AL342" s="53" t="str">
        <f aca="false">IF(AND($AB342&lt;&gt;"",$AC342&lt;&gt;""),$AC342-$AB342,"")</f>
        <v/>
      </c>
      <c r="AM342" s="53" t="str">
        <f aca="false">IF(AND($AB342&lt;&gt;"",$AD342&lt;&gt;""),$AD342-$AB342,"")</f>
        <v/>
      </c>
      <c r="AN342" s="53" t="str">
        <f aca="false">IF(AND($AC342&lt;&gt;"",$AD342&lt;&gt;""),$AD342-$AC342,"")</f>
        <v/>
      </c>
      <c r="AO342" s="53" t="str">
        <f aca="false">IF($J342&lt;&gt;"",$J342,"")</f>
        <v/>
      </c>
      <c r="AQ342" s="52" t="str">
        <f aca="false">IF($A342&lt;&gt;"",$A342,"")</f>
        <v>Apprenant 330</v>
      </c>
      <c r="AR342" s="55" t="str">
        <f aca="false">IF(AND('Choix pédagogiques'!$C$4&lt;&gt;"?",'Choix pédagogiques'!$C$5&lt;&gt;"?",W342&lt;&gt;""),(W342-'Choix pédagogiques'!$C$4)/('Choix pédagogiques'!$C$5-'Choix pédagogiques'!$C$4),"")</f>
        <v/>
      </c>
      <c r="AS342" s="55" t="str">
        <f aca="false">IF(AND('Choix pédagogiques'!$C$4&lt;&gt;"?",'Choix pédagogiques'!$C$5&lt;&gt;"?",X342&lt;&gt;""),(X342-'Choix pédagogiques'!$C$4)/('Choix pédagogiques'!$C$5-'Choix pédagogiques'!$C$4),"")</f>
        <v/>
      </c>
      <c r="AT342" s="55" t="str">
        <f aca="false">IF(AND('Choix pédagogiques'!$C$4&lt;&gt;"?",'Choix pédagogiques'!$C$5&lt;&gt;"?",Y342&lt;&gt;""),(Y342-'Choix pédagogiques'!$C$4)/('Choix pédagogiques'!$C$5-'Choix pédagogiques'!$C$4),"")</f>
        <v/>
      </c>
      <c r="AU342" s="53" t="str">
        <f aca="false">IF($E342&lt;&gt;"",$E342,"")</f>
        <v/>
      </c>
      <c r="AV342" s="52" t="str">
        <f aca="false">IF($F342&lt;&gt;"",$F342,"")</f>
        <v>Apprenant 330 ou 330'</v>
      </c>
      <c r="AW342" s="55" t="str">
        <f aca="false">IF(AND('Choix pédagogiques'!$C$4&lt;&gt;"?",'Choix pédagogiques'!$C$5&lt;&gt;"?",AB342&lt;&gt;""),(AB342-'Choix pédagogiques'!$C$4)/('Choix pédagogiques'!$C$5-'Choix pédagogiques'!$C$4),"")</f>
        <v/>
      </c>
      <c r="AX342" s="55" t="str">
        <f aca="false">IF(AND('Choix pédagogiques'!$C$4&lt;&gt;"?",'Choix pédagogiques'!$C$5&lt;&gt;"?",AC342&lt;&gt;""),(AC342-'Choix pédagogiques'!$C$4)/('Choix pédagogiques'!$C$5-'Choix pédagogiques'!$C$4),"")</f>
        <v/>
      </c>
      <c r="AY342" s="55" t="str">
        <f aca="false">IF(AND('Choix pédagogiques'!$C$4&lt;&gt;"?",'Choix pédagogiques'!$C$5&lt;&gt;"?",AD342&lt;&gt;""),(AD342-'Choix pédagogiques'!$C$4)/('Choix pédagogiques'!$C$5-'Choix pédagogiques'!$C$4),"")</f>
        <v/>
      </c>
      <c r="AZ342" s="53" t="str">
        <f aca="false">IF($J342&lt;&gt;"",$J342,"")</f>
        <v/>
      </c>
      <c r="BA342" s="52" t="str">
        <f aca="false">IF($A342&lt;&gt;"",$A342,"")</f>
        <v>Apprenant 330</v>
      </c>
      <c r="BB342" s="55" t="str">
        <f aca="false">IF(AND($AR342&lt;&gt;"",$AS342&lt;&gt;""),$AS342-$AR342,"")</f>
        <v/>
      </c>
      <c r="BC342" s="55" t="str">
        <f aca="false">IF(AND($AR342&lt;&gt;"",$AT342&lt;&gt;""),$AT342-$AR342,"")</f>
        <v/>
      </c>
      <c r="BD342" s="55" t="str">
        <f aca="false">IF(AND($AS342&lt;&gt;"",$AT342&lt;&gt;""),$AT342-$AS342,"")</f>
        <v/>
      </c>
      <c r="BE342" s="53" t="str">
        <f aca="false">IF($E342&lt;&gt;"",$E342,"")</f>
        <v/>
      </c>
      <c r="BF342" s="52" t="str">
        <f aca="false">IF($F342&lt;&gt;"",$F342,"")</f>
        <v>Apprenant 330 ou 330'</v>
      </c>
      <c r="BG342" s="55" t="str">
        <f aca="false">IF(AND($AW342&lt;&gt;"",$AX342&lt;&gt;""),$AX342-$AW342,"")</f>
        <v/>
      </c>
      <c r="BH342" s="55" t="str">
        <f aca="false">IF(AND($AW342&lt;&gt;"",$AY342&lt;&gt;""),$AY342-$AW342,"")</f>
        <v/>
      </c>
      <c r="BI342" s="55" t="str">
        <f aca="false">IF(AND($AX342&lt;&gt;"",$AY342&lt;&gt;""),$AY342-$AX342,"")</f>
        <v/>
      </c>
      <c r="BJ342" s="53" t="str">
        <f aca="false">IF($J342&lt;&gt;"",$J342,"")</f>
        <v/>
      </c>
      <c r="BL342" s="52"/>
      <c r="BM342" s="52" t="str">
        <f aca="false">IF(OR(COUNT(B342:D1341)=0,AND('Choix pédagogiques'!$C$3&lt;&gt;1,'Choix pédagogiques'!$C$3&lt;&gt;2)),"",IF(AND(OR('Choix pédagogiques'!$C$3=1,'Choix pédagogiques'!$C$3=2),$B342&lt;&gt;"",$C342&lt;&gt;"",$D342&lt;&gt;""),1,0))</f>
        <v/>
      </c>
      <c r="BN342" s="52" t="str">
        <f aca="false">IF(OR(COUNT(G342:I1341)=0,AND('Choix pédagogiques'!$C$3&lt;&gt;1,'Choix pédagogiques'!$C$3&lt;&gt;2)),"",IF(AND(OR('Choix pédagogiques'!$C$3=1,'Choix pédagogiques'!$C$3=2),AND($G342&lt;&gt;"",$H342&lt;&gt;"",$I342&lt;&gt;"")),1,0))</f>
        <v/>
      </c>
      <c r="BO342" s="52" t="str">
        <f aca="false">IF(OR(COUNT(B342:D1341)=0,COUNT(G342:I1341)=0,'Choix pédagogiques'!C$3&lt;&gt;3),"",IF(AND('Choix pédagogiques'!$C$3=3,$B342&lt;&gt;"",$C342&lt;&gt;"",$D342&lt;&gt;"",$G342&lt;&gt;"",$H342&lt;&gt;"",$I342&lt;&gt;""),1,0))</f>
        <v/>
      </c>
      <c r="BR342" s="52" t="n">
        <v>903</v>
      </c>
      <c r="BS342" s="52" t="n">
        <v>1586</v>
      </c>
    </row>
    <row r="343" s="54" customFormat="true" ht="18" hidden="false" customHeight="true" outlineLevel="0" collapsed="false">
      <c r="A343" s="57" t="s">
        <v>617</v>
      </c>
      <c r="B343" s="51"/>
      <c r="C343" s="51"/>
      <c r="D343" s="51"/>
      <c r="E343" s="51"/>
      <c r="F343" s="57" t="s">
        <v>618</v>
      </c>
      <c r="G343" s="51"/>
      <c r="H343" s="51"/>
      <c r="I343" s="51"/>
      <c r="J343" s="51"/>
      <c r="K343" s="52" t="str">
        <f aca="false">IF($A343&lt;&gt;"",$A343,"")</f>
        <v>Apprenant 331</v>
      </c>
      <c r="L343" s="53" t="str">
        <f aca="false">IF(AND($B343&lt;&gt;"",$C343&lt;&gt;""),$C343-$B343,"")</f>
        <v/>
      </c>
      <c r="M343" s="53" t="str">
        <f aca="false">IF(AND($B343&lt;&gt;"",$D343&lt;&gt;""),$D343-$B343,"")</f>
        <v/>
      </c>
      <c r="N343" s="53" t="str">
        <f aca="false">IF(AND($C343&lt;&gt;"",$D343&lt;&gt;""),$D343-$C343,"")</f>
        <v/>
      </c>
      <c r="O343" s="53" t="str">
        <f aca="false">IF($E343&lt;&gt;"",$E343,"")</f>
        <v/>
      </c>
      <c r="P343" s="52" t="str">
        <f aca="false">IF($F343&lt;&gt;"",$F343,"")</f>
        <v>Apprenant 331 ou 331'</v>
      </c>
      <c r="Q343" s="53" t="str">
        <f aca="false">IF(AND($G343&lt;&gt;"",$H343&lt;&gt;""),$H343-$G343,"")</f>
        <v/>
      </c>
      <c r="R343" s="53" t="str">
        <f aca="false">IF(AND($G343&lt;&gt;"",$I343&lt;&gt;""),$I343-$G343,"")</f>
        <v/>
      </c>
      <c r="S343" s="53" t="str">
        <f aca="false">IF(AND($H343&lt;&gt;"",$I343&lt;&gt;""),$I343-$H343,"")</f>
        <v/>
      </c>
      <c r="T343" s="53" t="str">
        <f aca="false">IF($J343&lt;&gt;"",$J343,"")</f>
        <v/>
      </c>
      <c r="V343" s="52" t="str">
        <f aca="false">IF($A343&lt;&gt;"",$A343,"")</f>
        <v>Apprenant 331</v>
      </c>
      <c r="W343" s="53" t="str">
        <f aca="false">IF(AND(OR('Choix pédagogiques'!$C$3=1,'Choix pédagogiques'!$C$3=2),$BM343=1),B343,IF(AND('Choix pédagogiques'!$C$3=3,$BO343=1),B343,""))</f>
        <v/>
      </c>
      <c r="X343" s="53" t="str">
        <f aca="false">IF(AND(OR('Choix pédagogiques'!$C$3=1,'Choix pédagogiques'!$C$3=2),$BM343=1),C343,IF(AND('Choix pédagogiques'!$C$3=3,$BO343=1),C343,""))</f>
        <v/>
      </c>
      <c r="Y343" s="53" t="str">
        <f aca="false">IF(AND(OR('Choix pédagogiques'!$C$3=1,'Choix pédagogiques'!$C$3=2),$BM343=1),D343,IF(AND('Choix pédagogiques'!$C$3=3,$BO343=1),D343,""))</f>
        <v/>
      </c>
      <c r="Z343" s="53" t="str">
        <f aca="false">IF($E343&lt;&gt;"",$E343,"")</f>
        <v/>
      </c>
      <c r="AA343" s="52" t="str">
        <f aca="false">IF($F343&lt;&gt;"",$F343,"")</f>
        <v>Apprenant 331 ou 331'</v>
      </c>
      <c r="AB343" s="53" t="str">
        <f aca="false">IF(AND(OR('Choix pédagogiques'!$C$3=1,'Choix pédagogiques'!$C$3=2),$BN343=1),G343,IF(AND('Choix pédagogiques'!$C$3=3,$BO343=1),G343,""))</f>
        <v/>
      </c>
      <c r="AC343" s="53" t="str">
        <f aca="false">IF(AND(OR('Choix pédagogiques'!$C$3=1,'Choix pédagogiques'!$C$3=2),$BN343=1),H343,IF(AND('Choix pédagogiques'!$C$3=3,$BO343=1),H343,""))</f>
        <v/>
      </c>
      <c r="AD343" s="53" t="str">
        <f aca="false">IF(AND(OR('Choix pédagogiques'!$C$3=1,'Choix pédagogiques'!$C$3=2),$BN343=1),I343,IF(AND('Choix pédagogiques'!$C$3=3,$BO343=1),I343,""))</f>
        <v/>
      </c>
      <c r="AE343" s="53" t="str">
        <f aca="false">IF($J343&lt;&gt;"",$J343,"")</f>
        <v/>
      </c>
      <c r="AF343" s="52" t="str">
        <f aca="false">IF($A343&lt;&gt;"",$A343,"")</f>
        <v>Apprenant 331</v>
      </c>
      <c r="AG343" s="53" t="str">
        <f aca="false">IF(AND($W343&lt;&gt;"",$X343&lt;&gt;""),$X343-$W343,"")</f>
        <v/>
      </c>
      <c r="AH343" s="53" t="str">
        <f aca="false">IF(AND($W343&lt;&gt;"",$Y343&lt;&gt;""),$Y343-$W343,"")</f>
        <v/>
      </c>
      <c r="AI343" s="53" t="str">
        <f aca="false">IF(AND($X343&lt;&gt;"",$Y343&lt;&gt;""),$Y343-$X343,"")</f>
        <v/>
      </c>
      <c r="AJ343" s="53" t="str">
        <f aca="false">IF($E343&lt;&gt;"",$E343,"")</f>
        <v/>
      </c>
      <c r="AK343" s="52" t="str">
        <f aca="false">IF($F343&lt;&gt;"",$F343,"")</f>
        <v>Apprenant 331 ou 331'</v>
      </c>
      <c r="AL343" s="53" t="str">
        <f aca="false">IF(AND($AB343&lt;&gt;"",$AC343&lt;&gt;""),$AC343-$AB343,"")</f>
        <v/>
      </c>
      <c r="AM343" s="53" t="str">
        <f aca="false">IF(AND($AB343&lt;&gt;"",$AD343&lt;&gt;""),$AD343-$AB343,"")</f>
        <v/>
      </c>
      <c r="AN343" s="53" t="str">
        <f aca="false">IF(AND($AC343&lt;&gt;"",$AD343&lt;&gt;""),$AD343-$AC343,"")</f>
        <v/>
      </c>
      <c r="AO343" s="53" t="str">
        <f aca="false">IF($J343&lt;&gt;"",$J343,"")</f>
        <v/>
      </c>
      <c r="AQ343" s="52" t="str">
        <f aca="false">IF($A343&lt;&gt;"",$A343,"")</f>
        <v>Apprenant 331</v>
      </c>
      <c r="AR343" s="55" t="str">
        <f aca="false">IF(AND('Choix pédagogiques'!$C$4&lt;&gt;"?",'Choix pédagogiques'!$C$5&lt;&gt;"?",W343&lt;&gt;""),(W343-'Choix pédagogiques'!$C$4)/('Choix pédagogiques'!$C$5-'Choix pédagogiques'!$C$4),"")</f>
        <v/>
      </c>
      <c r="AS343" s="55" t="str">
        <f aca="false">IF(AND('Choix pédagogiques'!$C$4&lt;&gt;"?",'Choix pédagogiques'!$C$5&lt;&gt;"?",X343&lt;&gt;""),(X343-'Choix pédagogiques'!$C$4)/('Choix pédagogiques'!$C$5-'Choix pédagogiques'!$C$4),"")</f>
        <v/>
      </c>
      <c r="AT343" s="55" t="str">
        <f aca="false">IF(AND('Choix pédagogiques'!$C$4&lt;&gt;"?",'Choix pédagogiques'!$C$5&lt;&gt;"?",Y343&lt;&gt;""),(Y343-'Choix pédagogiques'!$C$4)/('Choix pédagogiques'!$C$5-'Choix pédagogiques'!$C$4),"")</f>
        <v/>
      </c>
      <c r="AU343" s="53" t="str">
        <f aca="false">IF($E343&lt;&gt;"",$E343,"")</f>
        <v/>
      </c>
      <c r="AV343" s="52" t="str">
        <f aca="false">IF($F343&lt;&gt;"",$F343,"")</f>
        <v>Apprenant 331 ou 331'</v>
      </c>
      <c r="AW343" s="55" t="str">
        <f aca="false">IF(AND('Choix pédagogiques'!$C$4&lt;&gt;"?",'Choix pédagogiques'!$C$5&lt;&gt;"?",AB343&lt;&gt;""),(AB343-'Choix pédagogiques'!$C$4)/('Choix pédagogiques'!$C$5-'Choix pédagogiques'!$C$4),"")</f>
        <v/>
      </c>
      <c r="AX343" s="55" t="str">
        <f aca="false">IF(AND('Choix pédagogiques'!$C$4&lt;&gt;"?",'Choix pédagogiques'!$C$5&lt;&gt;"?",AC343&lt;&gt;""),(AC343-'Choix pédagogiques'!$C$4)/('Choix pédagogiques'!$C$5-'Choix pédagogiques'!$C$4),"")</f>
        <v/>
      </c>
      <c r="AY343" s="55" t="str">
        <f aca="false">IF(AND('Choix pédagogiques'!$C$4&lt;&gt;"?",'Choix pédagogiques'!$C$5&lt;&gt;"?",AD343&lt;&gt;""),(AD343-'Choix pédagogiques'!$C$4)/('Choix pédagogiques'!$C$5-'Choix pédagogiques'!$C$4),"")</f>
        <v/>
      </c>
      <c r="AZ343" s="53" t="str">
        <f aca="false">IF($J343&lt;&gt;"",$J343,"")</f>
        <v/>
      </c>
      <c r="BA343" s="52" t="str">
        <f aca="false">IF($A343&lt;&gt;"",$A343,"")</f>
        <v>Apprenant 331</v>
      </c>
      <c r="BB343" s="55" t="str">
        <f aca="false">IF(AND($AR343&lt;&gt;"",$AS343&lt;&gt;""),$AS343-$AR343,"")</f>
        <v/>
      </c>
      <c r="BC343" s="55" t="str">
        <f aca="false">IF(AND($AR343&lt;&gt;"",$AT343&lt;&gt;""),$AT343-$AR343,"")</f>
        <v/>
      </c>
      <c r="BD343" s="55" t="str">
        <f aca="false">IF(AND($AS343&lt;&gt;"",$AT343&lt;&gt;""),$AT343-$AS343,"")</f>
        <v/>
      </c>
      <c r="BE343" s="53" t="str">
        <f aca="false">IF($E343&lt;&gt;"",$E343,"")</f>
        <v/>
      </c>
      <c r="BF343" s="52" t="str">
        <f aca="false">IF($F343&lt;&gt;"",$F343,"")</f>
        <v>Apprenant 331 ou 331'</v>
      </c>
      <c r="BG343" s="55" t="str">
        <f aca="false">IF(AND($AW343&lt;&gt;"",$AX343&lt;&gt;""),$AX343-$AW343,"")</f>
        <v/>
      </c>
      <c r="BH343" s="55" t="str">
        <f aca="false">IF(AND($AW343&lt;&gt;"",$AY343&lt;&gt;""),$AY343-$AW343,"")</f>
        <v/>
      </c>
      <c r="BI343" s="55" t="str">
        <f aca="false">IF(AND($AX343&lt;&gt;"",$AY343&lt;&gt;""),$AY343-$AX343,"")</f>
        <v/>
      </c>
      <c r="BJ343" s="53" t="str">
        <f aca="false">IF($J343&lt;&gt;"",$J343,"")</f>
        <v/>
      </c>
      <c r="BL343" s="52"/>
      <c r="BM343" s="52" t="str">
        <f aca="false">IF(OR(COUNT(B343:D1342)=0,AND('Choix pédagogiques'!$C$3&lt;&gt;1,'Choix pédagogiques'!$C$3&lt;&gt;2)),"",IF(AND(OR('Choix pédagogiques'!$C$3=1,'Choix pédagogiques'!$C$3=2),$B343&lt;&gt;"",$C343&lt;&gt;"",$D343&lt;&gt;""),1,0))</f>
        <v/>
      </c>
      <c r="BN343" s="52" t="str">
        <f aca="false">IF(OR(COUNT(G343:I1342)=0,AND('Choix pédagogiques'!$C$3&lt;&gt;1,'Choix pédagogiques'!$C$3&lt;&gt;2)),"",IF(AND(OR('Choix pédagogiques'!$C$3=1,'Choix pédagogiques'!$C$3=2),AND($G343&lt;&gt;"",$H343&lt;&gt;"",$I343&lt;&gt;"")),1,0))</f>
        <v/>
      </c>
      <c r="BO343" s="52" t="str">
        <f aca="false">IF(OR(COUNT(B343:D1342)=0,COUNT(G343:I1342)=0,'Choix pédagogiques'!C$3&lt;&gt;3),"",IF(AND('Choix pédagogiques'!$C$3=3,$B343&lt;&gt;"",$C343&lt;&gt;"",$D343&lt;&gt;"",$G343&lt;&gt;"",$H343&lt;&gt;"",$I343&lt;&gt;""),1,0))</f>
        <v/>
      </c>
      <c r="BR343" s="52" t="n">
        <v>549</v>
      </c>
      <c r="BS343" s="52" t="n">
        <v>1630</v>
      </c>
    </row>
    <row r="344" s="54" customFormat="true" ht="18" hidden="false" customHeight="true" outlineLevel="0" collapsed="false">
      <c r="A344" s="57" t="s">
        <v>619</v>
      </c>
      <c r="B344" s="51"/>
      <c r="C344" s="51"/>
      <c r="D344" s="51"/>
      <c r="E344" s="51"/>
      <c r="F344" s="57" t="s">
        <v>620</v>
      </c>
      <c r="G344" s="51"/>
      <c r="H344" s="51"/>
      <c r="I344" s="51"/>
      <c r="J344" s="51"/>
      <c r="K344" s="52" t="str">
        <f aca="false">IF($A344&lt;&gt;"",$A344,"")</f>
        <v>Apprenant 332</v>
      </c>
      <c r="L344" s="53" t="str">
        <f aca="false">IF(AND($B344&lt;&gt;"",$C344&lt;&gt;""),$C344-$B344,"")</f>
        <v/>
      </c>
      <c r="M344" s="53" t="str">
        <f aca="false">IF(AND($B344&lt;&gt;"",$D344&lt;&gt;""),$D344-$B344,"")</f>
        <v/>
      </c>
      <c r="N344" s="53" t="str">
        <f aca="false">IF(AND($C344&lt;&gt;"",$D344&lt;&gt;""),$D344-$C344,"")</f>
        <v/>
      </c>
      <c r="O344" s="53" t="str">
        <f aca="false">IF($E344&lt;&gt;"",$E344,"")</f>
        <v/>
      </c>
      <c r="P344" s="52" t="str">
        <f aca="false">IF($F344&lt;&gt;"",$F344,"")</f>
        <v>Apprenant 332 ou 332'</v>
      </c>
      <c r="Q344" s="53" t="str">
        <f aca="false">IF(AND($G344&lt;&gt;"",$H344&lt;&gt;""),$H344-$G344,"")</f>
        <v/>
      </c>
      <c r="R344" s="53" t="str">
        <f aca="false">IF(AND($G344&lt;&gt;"",$I344&lt;&gt;""),$I344-$G344,"")</f>
        <v/>
      </c>
      <c r="S344" s="53" t="str">
        <f aca="false">IF(AND($H344&lt;&gt;"",$I344&lt;&gt;""),$I344-$H344,"")</f>
        <v/>
      </c>
      <c r="T344" s="53" t="str">
        <f aca="false">IF($J344&lt;&gt;"",$J344,"")</f>
        <v/>
      </c>
      <c r="V344" s="52" t="str">
        <f aca="false">IF($A344&lt;&gt;"",$A344,"")</f>
        <v>Apprenant 332</v>
      </c>
      <c r="W344" s="53" t="str">
        <f aca="false">IF(AND(OR('Choix pédagogiques'!$C$3=1,'Choix pédagogiques'!$C$3=2),$BM344=1),B344,IF(AND('Choix pédagogiques'!$C$3=3,$BO344=1),B344,""))</f>
        <v/>
      </c>
      <c r="X344" s="53" t="str">
        <f aca="false">IF(AND(OR('Choix pédagogiques'!$C$3=1,'Choix pédagogiques'!$C$3=2),$BM344=1),C344,IF(AND('Choix pédagogiques'!$C$3=3,$BO344=1),C344,""))</f>
        <v/>
      </c>
      <c r="Y344" s="53" t="str">
        <f aca="false">IF(AND(OR('Choix pédagogiques'!$C$3=1,'Choix pédagogiques'!$C$3=2),$BM344=1),D344,IF(AND('Choix pédagogiques'!$C$3=3,$BO344=1),D344,""))</f>
        <v/>
      </c>
      <c r="Z344" s="53" t="str">
        <f aca="false">IF($E344&lt;&gt;"",$E344,"")</f>
        <v/>
      </c>
      <c r="AA344" s="52" t="str">
        <f aca="false">IF($F344&lt;&gt;"",$F344,"")</f>
        <v>Apprenant 332 ou 332'</v>
      </c>
      <c r="AB344" s="53" t="str">
        <f aca="false">IF(AND(OR('Choix pédagogiques'!$C$3=1,'Choix pédagogiques'!$C$3=2),$BN344=1),G344,IF(AND('Choix pédagogiques'!$C$3=3,$BO344=1),G344,""))</f>
        <v/>
      </c>
      <c r="AC344" s="53" t="str">
        <f aca="false">IF(AND(OR('Choix pédagogiques'!$C$3=1,'Choix pédagogiques'!$C$3=2),$BN344=1),H344,IF(AND('Choix pédagogiques'!$C$3=3,$BO344=1),H344,""))</f>
        <v/>
      </c>
      <c r="AD344" s="53" t="str">
        <f aca="false">IF(AND(OR('Choix pédagogiques'!$C$3=1,'Choix pédagogiques'!$C$3=2),$BN344=1),I344,IF(AND('Choix pédagogiques'!$C$3=3,$BO344=1),I344,""))</f>
        <v/>
      </c>
      <c r="AE344" s="53" t="str">
        <f aca="false">IF($J344&lt;&gt;"",$J344,"")</f>
        <v/>
      </c>
      <c r="AF344" s="52" t="str">
        <f aca="false">IF($A344&lt;&gt;"",$A344,"")</f>
        <v>Apprenant 332</v>
      </c>
      <c r="AG344" s="53" t="str">
        <f aca="false">IF(AND($W344&lt;&gt;"",$X344&lt;&gt;""),$X344-$W344,"")</f>
        <v/>
      </c>
      <c r="AH344" s="53" t="str">
        <f aca="false">IF(AND($W344&lt;&gt;"",$Y344&lt;&gt;""),$Y344-$W344,"")</f>
        <v/>
      </c>
      <c r="AI344" s="53" t="str">
        <f aca="false">IF(AND($X344&lt;&gt;"",$Y344&lt;&gt;""),$Y344-$X344,"")</f>
        <v/>
      </c>
      <c r="AJ344" s="53" t="str">
        <f aca="false">IF($E344&lt;&gt;"",$E344,"")</f>
        <v/>
      </c>
      <c r="AK344" s="52" t="str">
        <f aca="false">IF($F344&lt;&gt;"",$F344,"")</f>
        <v>Apprenant 332 ou 332'</v>
      </c>
      <c r="AL344" s="53" t="str">
        <f aca="false">IF(AND($AB344&lt;&gt;"",$AC344&lt;&gt;""),$AC344-$AB344,"")</f>
        <v/>
      </c>
      <c r="AM344" s="53" t="str">
        <f aca="false">IF(AND($AB344&lt;&gt;"",$AD344&lt;&gt;""),$AD344-$AB344,"")</f>
        <v/>
      </c>
      <c r="AN344" s="53" t="str">
        <f aca="false">IF(AND($AC344&lt;&gt;"",$AD344&lt;&gt;""),$AD344-$AC344,"")</f>
        <v/>
      </c>
      <c r="AO344" s="53" t="str">
        <f aca="false">IF($J344&lt;&gt;"",$J344,"")</f>
        <v/>
      </c>
      <c r="AQ344" s="52" t="str">
        <f aca="false">IF($A344&lt;&gt;"",$A344,"")</f>
        <v>Apprenant 332</v>
      </c>
      <c r="AR344" s="55" t="str">
        <f aca="false">IF(AND('Choix pédagogiques'!$C$4&lt;&gt;"?",'Choix pédagogiques'!$C$5&lt;&gt;"?",W344&lt;&gt;""),(W344-'Choix pédagogiques'!$C$4)/('Choix pédagogiques'!$C$5-'Choix pédagogiques'!$C$4),"")</f>
        <v/>
      </c>
      <c r="AS344" s="55" t="str">
        <f aca="false">IF(AND('Choix pédagogiques'!$C$4&lt;&gt;"?",'Choix pédagogiques'!$C$5&lt;&gt;"?",X344&lt;&gt;""),(X344-'Choix pédagogiques'!$C$4)/('Choix pédagogiques'!$C$5-'Choix pédagogiques'!$C$4),"")</f>
        <v/>
      </c>
      <c r="AT344" s="55" t="str">
        <f aca="false">IF(AND('Choix pédagogiques'!$C$4&lt;&gt;"?",'Choix pédagogiques'!$C$5&lt;&gt;"?",Y344&lt;&gt;""),(Y344-'Choix pédagogiques'!$C$4)/('Choix pédagogiques'!$C$5-'Choix pédagogiques'!$C$4),"")</f>
        <v/>
      </c>
      <c r="AU344" s="53" t="str">
        <f aca="false">IF($E344&lt;&gt;"",$E344,"")</f>
        <v/>
      </c>
      <c r="AV344" s="52" t="str">
        <f aca="false">IF($F344&lt;&gt;"",$F344,"")</f>
        <v>Apprenant 332 ou 332'</v>
      </c>
      <c r="AW344" s="55" t="str">
        <f aca="false">IF(AND('Choix pédagogiques'!$C$4&lt;&gt;"?",'Choix pédagogiques'!$C$5&lt;&gt;"?",AB344&lt;&gt;""),(AB344-'Choix pédagogiques'!$C$4)/('Choix pédagogiques'!$C$5-'Choix pédagogiques'!$C$4),"")</f>
        <v/>
      </c>
      <c r="AX344" s="55" t="str">
        <f aca="false">IF(AND('Choix pédagogiques'!$C$4&lt;&gt;"?",'Choix pédagogiques'!$C$5&lt;&gt;"?",AC344&lt;&gt;""),(AC344-'Choix pédagogiques'!$C$4)/('Choix pédagogiques'!$C$5-'Choix pédagogiques'!$C$4),"")</f>
        <v/>
      </c>
      <c r="AY344" s="55" t="str">
        <f aca="false">IF(AND('Choix pédagogiques'!$C$4&lt;&gt;"?",'Choix pédagogiques'!$C$5&lt;&gt;"?",AD344&lt;&gt;""),(AD344-'Choix pédagogiques'!$C$4)/('Choix pédagogiques'!$C$5-'Choix pédagogiques'!$C$4),"")</f>
        <v/>
      </c>
      <c r="AZ344" s="53" t="str">
        <f aca="false">IF($J344&lt;&gt;"",$J344,"")</f>
        <v/>
      </c>
      <c r="BA344" s="52" t="str">
        <f aca="false">IF($A344&lt;&gt;"",$A344,"")</f>
        <v>Apprenant 332</v>
      </c>
      <c r="BB344" s="55" t="str">
        <f aca="false">IF(AND($AR344&lt;&gt;"",$AS344&lt;&gt;""),$AS344-$AR344,"")</f>
        <v/>
      </c>
      <c r="BC344" s="55" t="str">
        <f aca="false">IF(AND($AR344&lt;&gt;"",$AT344&lt;&gt;""),$AT344-$AR344,"")</f>
        <v/>
      </c>
      <c r="BD344" s="55" t="str">
        <f aca="false">IF(AND($AS344&lt;&gt;"",$AT344&lt;&gt;""),$AT344-$AS344,"")</f>
        <v/>
      </c>
      <c r="BE344" s="53" t="str">
        <f aca="false">IF($E344&lt;&gt;"",$E344,"")</f>
        <v/>
      </c>
      <c r="BF344" s="52" t="str">
        <f aca="false">IF($F344&lt;&gt;"",$F344,"")</f>
        <v>Apprenant 332 ou 332'</v>
      </c>
      <c r="BG344" s="55" t="str">
        <f aca="false">IF(AND($AW344&lt;&gt;"",$AX344&lt;&gt;""),$AX344-$AW344,"")</f>
        <v/>
      </c>
      <c r="BH344" s="55" t="str">
        <f aca="false">IF(AND($AW344&lt;&gt;"",$AY344&lt;&gt;""),$AY344-$AW344,"")</f>
        <v/>
      </c>
      <c r="BI344" s="55" t="str">
        <f aca="false">IF(AND($AX344&lt;&gt;"",$AY344&lt;&gt;""),$AY344-$AX344,"")</f>
        <v/>
      </c>
      <c r="BJ344" s="53" t="str">
        <f aca="false">IF($J344&lt;&gt;"",$J344,"")</f>
        <v/>
      </c>
      <c r="BL344" s="52"/>
      <c r="BM344" s="52" t="str">
        <f aca="false">IF(OR(COUNT(B344:D1343)=0,AND('Choix pédagogiques'!$C$3&lt;&gt;1,'Choix pédagogiques'!$C$3&lt;&gt;2)),"",IF(AND(OR('Choix pédagogiques'!$C$3=1,'Choix pédagogiques'!$C$3=2),$B344&lt;&gt;"",$C344&lt;&gt;"",$D344&lt;&gt;""),1,0))</f>
        <v/>
      </c>
      <c r="BN344" s="52" t="str">
        <f aca="false">IF(OR(COUNT(G344:I1343)=0,AND('Choix pédagogiques'!$C$3&lt;&gt;1,'Choix pédagogiques'!$C$3&lt;&gt;2)),"",IF(AND(OR('Choix pédagogiques'!$C$3=1,'Choix pédagogiques'!$C$3=2),AND($G344&lt;&gt;"",$H344&lt;&gt;"",$I344&lt;&gt;"")),1,0))</f>
        <v/>
      </c>
      <c r="BO344" s="52" t="str">
        <f aca="false">IF(OR(COUNT(B344:D1343)=0,COUNT(G344:I1343)=0,'Choix pédagogiques'!C$3&lt;&gt;3),"",IF(AND('Choix pédagogiques'!$C$3=3,$B344&lt;&gt;"",$C344&lt;&gt;"",$D344&lt;&gt;"",$G344&lt;&gt;"",$H344&lt;&gt;"",$I344&lt;&gt;""),1,0))</f>
        <v/>
      </c>
      <c r="BR344" s="52" t="n">
        <v>432</v>
      </c>
      <c r="BS344" s="52" t="n">
        <v>1454</v>
      </c>
    </row>
    <row r="345" s="54" customFormat="true" ht="18" hidden="false" customHeight="true" outlineLevel="0" collapsed="false">
      <c r="A345" s="57" t="s">
        <v>621</v>
      </c>
      <c r="B345" s="51"/>
      <c r="C345" s="51"/>
      <c r="D345" s="51"/>
      <c r="E345" s="51"/>
      <c r="F345" s="57" t="s">
        <v>622</v>
      </c>
      <c r="G345" s="51"/>
      <c r="H345" s="51"/>
      <c r="I345" s="51"/>
      <c r="J345" s="51"/>
      <c r="K345" s="52" t="str">
        <f aca="false">IF($A345&lt;&gt;"",$A345,"")</f>
        <v>Apprenant 333</v>
      </c>
      <c r="L345" s="53" t="str">
        <f aca="false">IF(AND($B345&lt;&gt;"",$C345&lt;&gt;""),$C345-$B345,"")</f>
        <v/>
      </c>
      <c r="M345" s="53" t="str">
        <f aca="false">IF(AND($B345&lt;&gt;"",$D345&lt;&gt;""),$D345-$B345,"")</f>
        <v/>
      </c>
      <c r="N345" s="53" t="str">
        <f aca="false">IF(AND($C345&lt;&gt;"",$D345&lt;&gt;""),$D345-$C345,"")</f>
        <v/>
      </c>
      <c r="O345" s="53" t="str">
        <f aca="false">IF($E345&lt;&gt;"",$E345,"")</f>
        <v/>
      </c>
      <c r="P345" s="52" t="str">
        <f aca="false">IF($F345&lt;&gt;"",$F345,"")</f>
        <v>Apprenant 333 ou 333'</v>
      </c>
      <c r="Q345" s="53" t="str">
        <f aca="false">IF(AND($G345&lt;&gt;"",$H345&lt;&gt;""),$H345-$G345,"")</f>
        <v/>
      </c>
      <c r="R345" s="53" t="str">
        <f aca="false">IF(AND($G345&lt;&gt;"",$I345&lt;&gt;""),$I345-$G345,"")</f>
        <v/>
      </c>
      <c r="S345" s="53" t="str">
        <f aca="false">IF(AND($H345&lt;&gt;"",$I345&lt;&gt;""),$I345-$H345,"")</f>
        <v/>
      </c>
      <c r="T345" s="53" t="str">
        <f aca="false">IF($J345&lt;&gt;"",$J345,"")</f>
        <v/>
      </c>
      <c r="V345" s="52" t="str">
        <f aca="false">IF($A345&lt;&gt;"",$A345,"")</f>
        <v>Apprenant 333</v>
      </c>
      <c r="W345" s="53" t="str">
        <f aca="false">IF(AND(OR('Choix pédagogiques'!$C$3=1,'Choix pédagogiques'!$C$3=2),$BM345=1),B345,IF(AND('Choix pédagogiques'!$C$3=3,$BO345=1),B345,""))</f>
        <v/>
      </c>
      <c r="X345" s="53" t="str">
        <f aca="false">IF(AND(OR('Choix pédagogiques'!$C$3=1,'Choix pédagogiques'!$C$3=2),$BM345=1),C345,IF(AND('Choix pédagogiques'!$C$3=3,$BO345=1),C345,""))</f>
        <v/>
      </c>
      <c r="Y345" s="53" t="str">
        <f aca="false">IF(AND(OR('Choix pédagogiques'!$C$3=1,'Choix pédagogiques'!$C$3=2),$BM345=1),D345,IF(AND('Choix pédagogiques'!$C$3=3,$BO345=1),D345,""))</f>
        <v/>
      </c>
      <c r="Z345" s="53" t="str">
        <f aca="false">IF($E345&lt;&gt;"",$E345,"")</f>
        <v/>
      </c>
      <c r="AA345" s="52" t="str">
        <f aca="false">IF($F345&lt;&gt;"",$F345,"")</f>
        <v>Apprenant 333 ou 333'</v>
      </c>
      <c r="AB345" s="53" t="str">
        <f aca="false">IF(AND(OR('Choix pédagogiques'!$C$3=1,'Choix pédagogiques'!$C$3=2),$BN345=1),G345,IF(AND('Choix pédagogiques'!$C$3=3,$BO345=1),G345,""))</f>
        <v/>
      </c>
      <c r="AC345" s="53" t="str">
        <f aca="false">IF(AND(OR('Choix pédagogiques'!$C$3=1,'Choix pédagogiques'!$C$3=2),$BN345=1),H345,IF(AND('Choix pédagogiques'!$C$3=3,$BO345=1),H345,""))</f>
        <v/>
      </c>
      <c r="AD345" s="53" t="str">
        <f aca="false">IF(AND(OR('Choix pédagogiques'!$C$3=1,'Choix pédagogiques'!$C$3=2),$BN345=1),I345,IF(AND('Choix pédagogiques'!$C$3=3,$BO345=1),I345,""))</f>
        <v/>
      </c>
      <c r="AE345" s="53" t="str">
        <f aca="false">IF($J345&lt;&gt;"",$J345,"")</f>
        <v/>
      </c>
      <c r="AF345" s="52" t="str">
        <f aca="false">IF($A345&lt;&gt;"",$A345,"")</f>
        <v>Apprenant 333</v>
      </c>
      <c r="AG345" s="53" t="str">
        <f aca="false">IF(AND($W345&lt;&gt;"",$X345&lt;&gt;""),$X345-$W345,"")</f>
        <v/>
      </c>
      <c r="AH345" s="53" t="str">
        <f aca="false">IF(AND($W345&lt;&gt;"",$Y345&lt;&gt;""),$Y345-$W345,"")</f>
        <v/>
      </c>
      <c r="AI345" s="53" t="str">
        <f aca="false">IF(AND($X345&lt;&gt;"",$Y345&lt;&gt;""),$Y345-$X345,"")</f>
        <v/>
      </c>
      <c r="AJ345" s="53" t="str">
        <f aca="false">IF($E345&lt;&gt;"",$E345,"")</f>
        <v/>
      </c>
      <c r="AK345" s="52" t="str">
        <f aca="false">IF($F345&lt;&gt;"",$F345,"")</f>
        <v>Apprenant 333 ou 333'</v>
      </c>
      <c r="AL345" s="53" t="str">
        <f aca="false">IF(AND($AB345&lt;&gt;"",$AC345&lt;&gt;""),$AC345-$AB345,"")</f>
        <v/>
      </c>
      <c r="AM345" s="53" t="str">
        <f aca="false">IF(AND($AB345&lt;&gt;"",$AD345&lt;&gt;""),$AD345-$AB345,"")</f>
        <v/>
      </c>
      <c r="AN345" s="53" t="str">
        <f aca="false">IF(AND($AC345&lt;&gt;"",$AD345&lt;&gt;""),$AD345-$AC345,"")</f>
        <v/>
      </c>
      <c r="AO345" s="53" t="str">
        <f aca="false">IF($J345&lt;&gt;"",$J345,"")</f>
        <v/>
      </c>
      <c r="AQ345" s="52" t="str">
        <f aca="false">IF($A345&lt;&gt;"",$A345,"")</f>
        <v>Apprenant 333</v>
      </c>
      <c r="AR345" s="55" t="str">
        <f aca="false">IF(AND('Choix pédagogiques'!$C$4&lt;&gt;"?",'Choix pédagogiques'!$C$5&lt;&gt;"?",W345&lt;&gt;""),(W345-'Choix pédagogiques'!$C$4)/('Choix pédagogiques'!$C$5-'Choix pédagogiques'!$C$4),"")</f>
        <v/>
      </c>
      <c r="AS345" s="55" t="str">
        <f aca="false">IF(AND('Choix pédagogiques'!$C$4&lt;&gt;"?",'Choix pédagogiques'!$C$5&lt;&gt;"?",X345&lt;&gt;""),(X345-'Choix pédagogiques'!$C$4)/('Choix pédagogiques'!$C$5-'Choix pédagogiques'!$C$4),"")</f>
        <v/>
      </c>
      <c r="AT345" s="55" t="str">
        <f aca="false">IF(AND('Choix pédagogiques'!$C$4&lt;&gt;"?",'Choix pédagogiques'!$C$5&lt;&gt;"?",Y345&lt;&gt;""),(Y345-'Choix pédagogiques'!$C$4)/('Choix pédagogiques'!$C$5-'Choix pédagogiques'!$C$4),"")</f>
        <v/>
      </c>
      <c r="AU345" s="53" t="str">
        <f aca="false">IF($E345&lt;&gt;"",$E345,"")</f>
        <v/>
      </c>
      <c r="AV345" s="52" t="str">
        <f aca="false">IF($F345&lt;&gt;"",$F345,"")</f>
        <v>Apprenant 333 ou 333'</v>
      </c>
      <c r="AW345" s="55" t="str">
        <f aca="false">IF(AND('Choix pédagogiques'!$C$4&lt;&gt;"?",'Choix pédagogiques'!$C$5&lt;&gt;"?",AB345&lt;&gt;""),(AB345-'Choix pédagogiques'!$C$4)/('Choix pédagogiques'!$C$5-'Choix pédagogiques'!$C$4),"")</f>
        <v/>
      </c>
      <c r="AX345" s="55" t="str">
        <f aca="false">IF(AND('Choix pédagogiques'!$C$4&lt;&gt;"?",'Choix pédagogiques'!$C$5&lt;&gt;"?",AC345&lt;&gt;""),(AC345-'Choix pédagogiques'!$C$4)/('Choix pédagogiques'!$C$5-'Choix pédagogiques'!$C$4),"")</f>
        <v/>
      </c>
      <c r="AY345" s="55" t="str">
        <f aca="false">IF(AND('Choix pédagogiques'!$C$4&lt;&gt;"?",'Choix pédagogiques'!$C$5&lt;&gt;"?",AD345&lt;&gt;""),(AD345-'Choix pédagogiques'!$C$4)/('Choix pédagogiques'!$C$5-'Choix pédagogiques'!$C$4),"")</f>
        <v/>
      </c>
      <c r="AZ345" s="53" t="str">
        <f aca="false">IF($J345&lt;&gt;"",$J345,"")</f>
        <v/>
      </c>
      <c r="BA345" s="52" t="str">
        <f aca="false">IF($A345&lt;&gt;"",$A345,"")</f>
        <v>Apprenant 333</v>
      </c>
      <c r="BB345" s="55" t="str">
        <f aca="false">IF(AND($AR345&lt;&gt;"",$AS345&lt;&gt;""),$AS345-$AR345,"")</f>
        <v/>
      </c>
      <c r="BC345" s="55" t="str">
        <f aca="false">IF(AND($AR345&lt;&gt;"",$AT345&lt;&gt;""),$AT345-$AR345,"")</f>
        <v/>
      </c>
      <c r="BD345" s="55" t="str">
        <f aca="false">IF(AND($AS345&lt;&gt;"",$AT345&lt;&gt;""),$AT345-$AS345,"")</f>
        <v/>
      </c>
      <c r="BE345" s="53" t="str">
        <f aca="false">IF($E345&lt;&gt;"",$E345,"")</f>
        <v/>
      </c>
      <c r="BF345" s="52" t="str">
        <f aca="false">IF($F345&lt;&gt;"",$F345,"")</f>
        <v>Apprenant 333 ou 333'</v>
      </c>
      <c r="BG345" s="55" t="str">
        <f aca="false">IF(AND($AW345&lt;&gt;"",$AX345&lt;&gt;""),$AX345-$AW345,"")</f>
        <v/>
      </c>
      <c r="BH345" s="55" t="str">
        <f aca="false">IF(AND($AW345&lt;&gt;"",$AY345&lt;&gt;""),$AY345-$AW345,"")</f>
        <v/>
      </c>
      <c r="BI345" s="55" t="str">
        <f aca="false">IF(AND($AX345&lt;&gt;"",$AY345&lt;&gt;""),$AY345-$AX345,"")</f>
        <v/>
      </c>
      <c r="BJ345" s="53" t="str">
        <f aca="false">IF($J345&lt;&gt;"",$J345,"")</f>
        <v/>
      </c>
      <c r="BL345" s="52"/>
      <c r="BM345" s="52" t="str">
        <f aca="false">IF(OR(COUNT(B345:D1344)=0,AND('Choix pédagogiques'!$C$3&lt;&gt;1,'Choix pédagogiques'!$C$3&lt;&gt;2)),"",IF(AND(OR('Choix pédagogiques'!$C$3=1,'Choix pédagogiques'!$C$3=2),$B345&lt;&gt;"",$C345&lt;&gt;"",$D345&lt;&gt;""),1,0))</f>
        <v/>
      </c>
      <c r="BN345" s="52" t="str">
        <f aca="false">IF(OR(COUNT(G345:I1344)=0,AND('Choix pédagogiques'!$C$3&lt;&gt;1,'Choix pédagogiques'!$C$3&lt;&gt;2)),"",IF(AND(OR('Choix pédagogiques'!$C$3=1,'Choix pédagogiques'!$C$3=2),AND($G345&lt;&gt;"",$H345&lt;&gt;"",$I345&lt;&gt;"")),1,0))</f>
        <v/>
      </c>
      <c r="BO345" s="52" t="str">
        <f aca="false">IF(OR(COUNT(B345:D1344)=0,COUNT(G345:I1344)=0,'Choix pédagogiques'!C$3&lt;&gt;3),"",IF(AND('Choix pédagogiques'!$C$3=3,$B345&lt;&gt;"",$C345&lt;&gt;"",$D345&lt;&gt;"",$G345&lt;&gt;"",$H345&lt;&gt;"",$I345&lt;&gt;""),1,0))</f>
        <v/>
      </c>
      <c r="BR345" s="52" t="n">
        <v>925</v>
      </c>
      <c r="BS345" s="52" t="n">
        <v>1960</v>
      </c>
    </row>
    <row r="346" s="54" customFormat="true" ht="18" hidden="false" customHeight="true" outlineLevel="0" collapsed="false">
      <c r="A346" s="57" t="s">
        <v>623</v>
      </c>
      <c r="B346" s="51"/>
      <c r="C346" s="51"/>
      <c r="D346" s="51"/>
      <c r="E346" s="51"/>
      <c r="F346" s="57" t="s">
        <v>624</v>
      </c>
      <c r="G346" s="51"/>
      <c r="H346" s="51"/>
      <c r="I346" s="51"/>
      <c r="J346" s="51"/>
      <c r="K346" s="52" t="str">
        <f aca="false">IF($A346&lt;&gt;"",$A346,"")</f>
        <v>Apprenant 334</v>
      </c>
      <c r="L346" s="53" t="str">
        <f aca="false">IF(AND($B346&lt;&gt;"",$C346&lt;&gt;""),$C346-$B346,"")</f>
        <v/>
      </c>
      <c r="M346" s="53" t="str">
        <f aca="false">IF(AND($B346&lt;&gt;"",$D346&lt;&gt;""),$D346-$B346,"")</f>
        <v/>
      </c>
      <c r="N346" s="53" t="str">
        <f aca="false">IF(AND($C346&lt;&gt;"",$D346&lt;&gt;""),$D346-$C346,"")</f>
        <v/>
      </c>
      <c r="O346" s="53" t="str">
        <f aca="false">IF($E346&lt;&gt;"",$E346,"")</f>
        <v/>
      </c>
      <c r="P346" s="52" t="str">
        <f aca="false">IF($F346&lt;&gt;"",$F346,"")</f>
        <v>Apprenant 334 ou 334'</v>
      </c>
      <c r="Q346" s="53" t="str">
        <f aca="false">IF(AND($G346&lt;&gt;"",$H346&lt;&gt;""),$H346-$G346,"")</f>
        <v/>
      </c>
      <c r="R346" s="53" t="str">
        <f aca="false">IF(AND($G346&lt;&gt;"",$I346&lt;&gt;""),$I346-$G346,"")</f>
        <v/>
      </c>
      <c r="S346" s="53" t="str">
        <f aca="false">IF(AND($H346&lt;&gt;"",$I346&lt;&gt;""),$I346-$H346,"")</f>
        <v/>
      </c>
      <c r="T346" s="53" t="str">
        <f aca="false">IF($J346&lt;&gt;"",$J346,"")</f>
        <v/>
      </c>
      <c r="V346" s="52" t="str">
        <f aca="false">IF($A346&lt;&gt;"",$A346,"")</f>
        <v>Apprenant 334</v>
      </c>
      <c r="W346" s="53" t="str">
        <f aca="false">IF(AND(OR('Choix pédagogiques'!$C$3=1,'Choix pédagogiques'!$C$3=2),$BM346=1),B346,IF(AND('Choix pédagogiques'!$C$3=3,$BO346=1),B346,""))</f>
        <v/>
      </c>
      <c r="X346" s="53" t="str">
        <f aca="false">IF(AND(OR('Choix pédagogiques'!$C$3=1,'Choix pédagogiques'!$C$3=2),$BM346=1),C346,IF(AND('Choix pédagogiques'!$C$3=3,$BO346=1),C346,""))</f>
        <v/>
      </c>
      <c r="Y346" s="53" t="str">
        <f aca="false">IF(AND(OR('Choix pédagogiques'!$C$3=1,'Choix pédagogiques'!$C$3=2),$BM346=1),D346,IF(AND('Choix pédagogiques'!$C$3=3,$BO346=1),D346,""))</f>
        <v/>
      </c>
      <c r="Z346" s="53" t="str">
        <f aca="false">IF($E346&lt;&gt;"",$E346,"")</f>
        <v/>
      </c>
      <c r="AA346" s="52" t="str">
        <f aca="false">IF($F346&lt;&gt;"",$F346,"")</f>
        <v>Apprenant 334 ou 334'</v>
      </c>
      <c r="AB346" s="53" t="str">
        <f aca="false">IF(AND(OR('Choix pédagogiques'!$C$3=1,'Choix pédagogiques'!$C$3=2),$BN346=1),G346,IF(AND('Choix pédagogiques'!$C$3=3,$BO346=1),G346,""))</f>
        <v/>
      </c>
      <c r="AC346" s="53" t="str">
        <f aca="false">IF(AND(OR('Choix pédagogiques'!$C$3=1,'Choix pédagogiques'!$C$3=2),$BN346=1),H346,IF(AND('Choix pédagogiques'!$C$3=3,$BO346=1),H346,""))</f>
        <v/>
      </c>
      <c r="AD346" s="53" t="str">
        <f aca="false">IF(AND(OR('Choix pédagogiques'!$C$3=1,'Choix pédagogiques'!$C$3=2),$BN346=1),I346,IF(AND('Choix pédagogiques'!$C$3=3,$BO346=1),I346,""))</f>
        <v/>
      </c>
      <c r="AE346" s="53" t="str">
        <f aca="false">IF($J346&lt;&gt;"",$J346,"")</f>
        <v/>
      </c>
      <c r="AF346" s="52" t="str">
        <f aca="false">IF($A346&lt;&gt;"",$A346,"")</f>
        <v>Apprenant 334</v>
      </c>
      <c r="AG346" s="53" t="str">
        <f aca="false">IF(AND($W346&lt;&gt;"",$X346&lt;&gt;""),$X346-$W346,"")</f>
        <v/>
      </c>
      <c r="AH346" s="53" t="str">
        <f aca="false">IF(AND($W346&lt;&gt;"",$Y346&lt;&gt;""),$Y346-$W346,"")</f>
        <v/>
      </c>
      <c r="AI346" s="53" t="str">
        <f aca="false">IF(AND($X346&lt;&gt;"",$Y346&lt;&gt;""),$Y346-$X346,"")</f>
        <v/>
      </c>
      <c r="AJ346" s="53" t="str">
        <f aca="false">IF($E346&lt;&gt;"",$E346,"")</f>
        <v/>
      </c>
      <c r="AK346" s="52" t="str">
        <f aca="false">IF($F346&lt;&gt;"",$F346,"")</f>
        <v>Apprenant 334 ou 334'</v>
      </c>
      <c r="AL346" s="53" t="str">
        <f aca="false">IF(AND($AB346&lt;&gt;"",$AC346&lt;&gt;""),$AC346-$AB346,"")</f>
        <v/>
      </c>
      <c r="AM346" s="53" t="str">
        <f aca="false">IF(AND($AB346&lt;&gt;"",$AD346&lt;&gt;""),$AD346-$AB346,"")</f>
        <v/>
      </c>
      <c r="AN346" s="53" t="str">
        <f aca="false">IF(AND($AC346&lt;&gt;"",$AD346&lt;&gt;""),$AD346-$AC346,"")</f>
        <v/>
      </c>
      <c r="AO346" s="53" t="str">
        <f aca="false">IF($J346&lt;&gt;"",$J346,"")</f>
        <v/>
      </c>
      <c r="AQ346" s="52" t="str">
        <f aca="false">IF($A346&lt;&gt;"",$A346,"")</f>
        <v>Apprenant 334</v>
      </c>
      <c r="AR346" s="55" t="str">
        <f aca="false">IF(AND('Choix pédagogiques'!$C$4&lt;&gt;"?",'Choix pédagogiques'!$C$5&lt;&gt;"?",W346&lt;&gt;""),(W346-'Choix pédagogiques'!$C$4)/('Choix pédagogiques'!$C$5-'Choix pédagogiques'!$C$4),"")</f>
        <v/>
      </c>
      <c r="AS346" s="55" t="str">
        <f aca="false">IF(AND('Choix pédagogiques'!$C$4&lt;&gt;"?",'Choix pédagogiques'!$C$5&lt;&gt;"?",X346&lt;&gt;""),(X346-'Choix pédagogiques'!$C$4)/('Choix pédagogiques'!$C$5-'Choix pédagogiques'!$C$4),"")</f>
        <v/>
      </c>
      <c r="AT346" s="55" t="str">
        <f aca="false">IF(AND('Choix pédagogiques'!$C$4&lt;&gt;"?",'Choix pédagogiques'!$C$5&lt;&gt;"?",Y346&lt;&gt;""),(Y346-'Choix pédagogiques'!$C$4)/('Choix pédagogiques'!$C$5-'Choix pédagogiques'!$C$4),"")</f>
        <v/>
      </c>
      <c r="AU346" s="53" t="str">
        <f aca="false">IF($E346&lt;&gt;"",$E346,"")</f>
        <v/>
      </c>
      <c r="AV346" s="52" t="str">
        <f aca="false">IF($F346&lt;&gt;"",$F346,"")</f>
        <v>Apprenant 334 ou 334'</v>
      </c>
      <c r="AW346" s="55" t="str">
        <f aca="false">IF(AND('Choix pédagogiques'!$C$4&lt;&gt;"?",'Choix pédagogiques'!$C$5&lt;&gt;"?",AB346&lt;&gt;""),(AB346-'Choix pédagogiques'!$C$4)/('Choix pédagogiques'!$C$5-'Choix pédagogiques'!$C$4),"")</f>
        <v/>
      </c>
      <c r="AX346" s="55" t="str">
        <f aca="false">IF(AND('Choix pédagogiques'!$C$4&lt;&gt;"?",'Choix pédagogiques'!$C$5&lt;&gt;"?",AC346&lt;&gt;""),(AC346-'Choix pédagogiques'!$C$4)/('Choix pédagogiques'!$C$5-'Choix pédagogiques'!$C$4),"")</f>
        <v/>
      </c>
      <c r="AY346" s="55" t="str">
        <f aca="false">IF(AND('Choix pédagogiques'!$C$4&lt;&gt;"?",'Choix pédagogiques'!$C$5&lt;&gt;"?",AD346&lt;&gt;""),(AD346-'Choix pédagogiques'!$C$4)/('Choix pédagogiques'!$C$5-'Choix pédagogiques'!$C$4),"")</f>
        <v/>
      </c>
      <c r="AZ346" s="53" t="str">
        <f aca="false">IF($J346&lt;&gt;"",$J346,"")</f>
        <v/>
      </c>
      <c r="BA346" s="52" t="str">
        <f aca="false">IF($A346&lt;&gt;"",$A346,"")</f>
        <v>Apprenant 334</v>
      </c>
      <c r="BB346" s="55" t="str">
        <f aca="false">IF(AND($AR346&lt;&gt;"",$AS346&lt;&gt;""),$AS346-$AR346,"")</f>
        <v/>
      </c>
      <c r="BC346" s="55" t="str">
        <f aca="false">IF(AND($AR346&lt;&gt;"",$AT346&lt;&gt;""),$AT346-$AR346,"")</f>
        <v/>
      </c>
      <c r="BD346" s="55" t="str">
        <f aca="false">IF(AND($AS346&lt;&gt;"",$AT346&lt;&gt;""),$AT346-$AS346,"")</f>
        <v/>
      </c>
      <c r="BE346" s="53" t="str">
        <f aca="false">IF($E346&lt;&gt;"",$E346,"")</f>
        <v/>
      </c>
      <c r="BF346" s="52" t="str">
        <f aca="false">IF($F346&lt;&gt;"",$F346,"")</f>
        <v>Apprenant 334 ou 334'</v>
      </c>
      <c r="BG346" s="55" t="str">
        <f aca="false">IF(AND($AW346&lt;&gt;"",$AX346&lt;&gt;""),$AX346-$AW346,"")</f>
        <v/>
      </c>
      <c r="BH346" s="55" t="str">
        <f aca="false">IF(AND($AW346&lt;&gt;"",$AY346&lt;&gt;""),$AY346-$AW346,"")</f>
        <v/>
      </c>
      <c r="BI346" s="55" t="str">
        <f aca="false">IF(AND($AX346&lt;&gt;"",$AY346&lt;&gt;""),$AY346-$AX346,"")</f>
        <v/>
      </c>
      <c r="BJ346" s="53" t="str">
        <f aca="false">IF($J346&lt;&gt;"",$J346,"")</f>
        <v/>
      </c>
      <c r="BL346" s="52"/>
      <c r="BM346" s="52" t="str">
        <f aca="false">IF(OR(COUNT(B346:D1345)=0,AND('Choix pédagogiques'!$C$3&lt;&gt;1,'Choix pédagogiques'!$C$3&lt;&gt;2)),"",IF(AND(OR('Choix pédagogiques'!$C$3=1,'Choix pédagogiques'!$C$3=2),$B346&lt;&gt;"",$C346&lt;&gt;"",$D346&lt;&gt;""),1,0))</f>
        <v/>
      </c>
      <c r="BN346" s="52" t="str">
        <f aca="false">IF(OR(COUNT(G346:I1345)=0,AND('Choix pédagogiques'!$C$3&lt;&gt;1,'Choix pédagogiques'!$C$3&lt;&gt;2)),"",IF(AND(OR('Choix pédagogiques'!$C$3=1,'Choix pédagogiques'!$C$3=2),AND($G346&lt;&gt;"",$H346&lt;&gt;"",$I346&lt;&gt;"")),1,0))</f>
        <v/>
      </c>
      <c r="BO346" s="52" t="str">
        <f aca="false">IF(OR(COUNT(B346:D1345)=0,COUNT(G346:I1345)=0,'Choix pédagogiques'!C$3&lt;&gt;3),"",IF(AND('Choix pédagogiques'!$C$3=3,$B346&lt;&gt;"",$C346&lt;&gt;"",$D346&lt;&gt;"",$G346&lt;&gt;"",$H346&lt;&gt;"",$I346&lt;&gt;""),1,0))</f>
        <v/>
      </c>
      <c r="BR346" s="52" t="n">
        <v>525</v>
      </c>
      <c r="BS346" s="52" t="n">
        <v>1350</v>
      </c>
    </row>
    <row r="347" s="54" customFormat="true" ht="18" hidden="false" customHeight="true" outlineLevel="0" collapsed="false">
      <c r="A347" s="57" t="s">
        <v>625</v>
      </c>
      <c r="B347" s="51"/>
      <c r="C347" s="51"/>
      <c r="D347" s="51"/>
      <c r="E347" s="51"/>
      <c r="F347" s="57" t="s">
        <v>626</v>
      </c>
      <c r="G347" s="51"/>
      <c r="H347" s="51"/>
      <c r="I347" s="51"/>
      <c r="J347" s="51"/>
      <c r="K347" s="52" t="str">
        <f aca="false">IF($A347&lt;&gt;"",$A347,"")</f>
        <v>Apprenant 335</v>
      </c>
      <c r="L347" s="53" t="str">
        <f aca="false">IF(AND($B347&lt;&gt;"",$C347&lt;&gt;""),$C347-$B347,"")</f>
        <v/>
      </c>
      <c r="M347" s="53" t="str">
        <f aca="false">IF(AND($B347&lt;&gt;"",$D347&lt;&gt;""),$D347-$B347,"")</f>
        <v/>
      </c>
      <c r="N347" s="53" t="str">
        <f aca="false">IF(AND($C347&lt;&gt;"",$D347&lt;&gt;""),$D347-$C347,"")</f>
        <v/>
      </c>
      <c r="O347" s="53" t="str">
        <f aca="false">IF($E347&lt;&gt;"",$E347,"")</f>
        <v/>
      </c>
      <c r="P347" s="52" t="str">
        <f aca="false">IF($F347&lt;&gt;"",$F347,"")</f>
        <v>Apprenant 335 ou 335'</v>
      </c>
      <c r="Q347" s="53" t="str">
        <f aca="false">IF(AND($G347&lt;&gt;"",$H347&lt;&gt;""),$H347-$G347,"")</f>
        <v/>
      </c>
      <c r="R347" s="53" t="str">
        <f aca="false">IF(AND($G347&lt;&gt;"",$I347&lt;&gt;""),$I347-$G347,"")</f>
        <v/>
      </c>
      <c r="S347" s="53" t="str">
        <f aca="false">IF(AND($H347&lt;&gt;"",$I347&lt;&gt;""),$I347-$H347,"")</f>
        <v/>
      </c>
      <c r="T347" s="53" t="str">
        <f aca="false">IF($J347&lt;&gt;"",$J347,"")</f>
        <v/>
      </c>
      <c r="V347" s="52" t="str">
        <f aca="false">IF($A347&lt;&gt;"",$A347,"")</f>
        <v>Apprenant 335</v>
      </c>
      <c r="W347" s="53" t="str">
        <f aca="false">IF(AND(OR('Choix pédagogiques'!$C$3=1,'Choix pédagogiques'!$C$3=2),$BM347=1),B347,IF(AND('Choix pédagogiques'!$C$3=3,$BO347=1),B347,""))</f>
        <v/>
      </c>
      <c r="X347" s="53" t="str">
        <f aca="false">IF(AND(OR('Choix pédagogiques'!$C$3=1,'Choix pédagogiques'!$C$3=2),$BM347=1),C347,IF(AND('Choix pédagogiques'!$C$3=3,$BO347=1),C347,""))</f>
        <v/>
      </c>
      <c r="Y347" s="53" t="str">
        <f aca="false">IF(AND(OR('Choix pédagogiques'!$C$3=1,'Choix pédagogiques'!$C$3=2),$BM347=1),D347,IF(AND('Choix pédagogiques'!$C$3=3,$BO347=1),D347,""))</f>
        <v/>
      </c>
      <c r="Z347" s="53" t="str">
        <f aca="false">IF($E347&lt;&gt;"",$E347,"")</f>
        <v/>
      </c>
      <c r="AA347" s="52" t="str">
        <f aca="false">IF($F347&lt;&gt;"",$F347,"")</f>
        <v>Apprenant 335 ou 335'</v>
      </c>
      <c r="AB347" s="53" t="str">
        <f aca="false">IF(AND(OR('Choix pédagogiques'!$C$3=1,'Choix pédagogiques'!$C$3=2),$BN347=1),G347,IF(AND('Choix pédagogiques'!$C$3=3,$BO347=1),G347,""))</f>
        <v/>
      </c>
      <c r="AC347" s="53" t="str">
        <f aca="false">IF(AND(OR('Choix pédagogiques'!$C$3=1,'Choix pédagogiques'!$C$3=2),$BN347=1),H347,IF(AND('Choix pédagogiques'!$C$3=3,$BO347=1),H347,""))</f>
        <v/>
      </c>
      <c r="AD347" s="53" t="str">
        <f aca="false">IF(AND(OR('Choix pédagogiques'!$C$3=1,'Choix pédagogiques'!$C$3=2),$BN347=1),I347,IF(AND('Choix pédagogiques'!$C$3=3,$BO347=1),I347,""))</f>
        <v/>
      </c>
      <c r="AE347" s="53" t="str">
        <f aca="false">IF($J347&lt;&gt;"",$J347,"")</f>
        <v/>
      </c>
      <c r="AF347" s="52" t="str">
        <f aca="false">IF($A347&lt;&gt;"",$A347,"")</f>
        <v>Apprenant 335</v>
      </c>
      <c r="AG347" s="53" t="str">
        <f aca="false">IF(AND($W347&lt;&gt;"",$X347&lt;&gt;""),$X347-$W347,"")</f>
        <v/>
      </c>
      <c r="AH347" s="53" t="str">
        <f aca="false">IF(AND($W347&lt;&gt;"",$Y347&lt;&gt;""),$Y347-$W347,"")</f>
        <v/>
      </c>
      <c r="AI347" s="53" t="str">
        <f aca="false">IF(AND($X347&lt;&gt;"",$Y347&lt;&gt;""),$Y347-$X347,"")</f>
        <v/>
      </c>
      <c r="AJ347" s="53" t="str">
        <f aca="false">IF($E347&lt;&gt;"",$E347,"")</f>
        <v/>
      </c>
      <c r="AK347" s="52" t="str">
        <f aca="false">IF($F347&lt;&gt;"",$F347,"")</f>
        <v>Apprenant 335 ou 335'</v>
      </c>
      <c r="AL347" s="53" t="str">
        <f aca="false">IF(AND($AB347&lt;&gt;"",$AC347&lt;&gt;""),$AC347-$AB347,"")</f>
        <v/>
      </c>
      <c r="AM347" s="53" t="str">
        <f aca="false">IF(AND($AB347&lt;&gt;"",$AD347&lt;&gt;""),$AD347-$AB347,"")</f>
        <v/>
      </c>
      <c r="AN347" s="53" t="str">
        <f aca="false">IF(AND($AC347&lt;&gt;"",$AD347&lt;&gt;""),$AD347-$AC347,"")</f>
        <v/>
      </c>
      <c r="AO347" s="53" t="str">
        <f aca="false">IF($J347&lt;&gt;"",$J347,"")</f>
        <v/>
      </c>
      <c r="AQ347" s="52" t="str">
        <f aca="false">IF($A347&lt;&gt;"",$A347,"")</f>
        <v>Apprenant 335</v>
      </c>
      <c r="AR347" s="55" t="str">
        <f aca="false">IF(AND('Choix pédagogiques'!$C$4&lt;&gt;"?",'Choix pédagogiques'!$C$5&lt;&gt;"?",W347&lt;&gt;""),(W347-'Choix pédagogiques'!$C$4)/('Choix pédagogiques'!$C$5-'Choix pédagogiques'!$C$4),"")</f>
        <v/>
      </c>
      <c r="AS347" s="55" t="str">
        <f aca="false">IF(AND('Choix pédagogiques'!$C$4&lt;&gt;"?",'Choix pédagogiques'!$C$5&lt;&gt;"?",X347&lt;&gt;""),(X347-'Choix pédagogiques'!$C$4)/('Choix pédagogiques'!$C$5-'Choix pédagogiques'!$C$4),"")</f>
        <v/>
      </c>
      <c r="AT347" s="55" t="str">
        <f aca="false">IF(AND('Choix pédagogiques'!$C$4&lt;&gt;"?",'Choix pédagogiques'!$C$5&lt;&gt;"?",Y347&lt;&gt;""),(Y347-'Choix pédagogiques'!$C$4)/('Choix pédagogiques'!$C$5-'Choix pédagogiques'!$C$4),"")</f>
        <v/>
      </c>
      <c r="AU347" s="53" t="str">
        <f aca="false">IF($E347&lt;&gt;"",$E347,"")</f>
        <v/>
      </c>
      <c r="AV347" s="52" t="str">
        <f aca="false">IF($F347&lt;&gt;"",$F347,"")</f>
        <v>Apprenant 335 ou 335'</v>
      </c>
      <c r="AW347" s="55" t="str">
        <f aca="false">IF(AND('Choix pédagogiques'!$C$4&lt;&gt;"?",'Choix pédagogiques'!$C$5&lt;&gt;"?",AB347&lt;&gt;""),(AB347-'Choix pédagogiques'!$C$4)/('Choix pédagogiques'!$C$5-'Choix pédagogiques'!$C$4),"")</f>
        <v/>
      </c>
      <c r="AX347" s="55" t="str">
        <f aca="false">IF(AND('Choix pédagogiques'!$C$4&lt;&gt;"?",'Choix pédagogiques'!$C$5&lt;&gt;"?",AC347&lt;&gt;""),(AC347-'Choix pédagogiques'!$C$4)/('Choix pédagogiques'!$C$5-'Choix pédagogiques'!$C$4),"")</f>
        <v/>
      </c>
      <c r="AY347" s="55" t="str">
        <f aca="false">IF(AND('Choix pédagogiques'!$C$4&lt;&gt;"?",'Choix pédagogiques'!$C$5&lt;&gt;"?",AD347&lt;&gt;""),(AD347-'Choix pédagogiques'!$C$4)/('Choix pédagogiques'!$C$5-'Choix pédagogiques'!$C$4),"")</f>
        <v/>
      </c>
      <c r="AZ347" s="53" t="str">
        <f aca="false">IF($J347&lt;&gt;"",$J347,"")</f>
        <v/>
      </c>
      <c r="BA347" s="52" t="str">
        <f aca="false">IF($A347&lt;&gt;"",$A347,"")</f>
        <v>Apprenant 335</v>
      </c>
      <c r="BB347" s="55" t="str">
        <f aca="false">IF(AND($AR347&lt;&gt;"",$AS347&lt;&gt;""),$AS347-$AR347,"")</f>
        <v/>
      </c>
      <c r="BC347" s="55" t="str">
        <f aca="false">IF(AND($AR347&lt;&gt;"",$AT347&lt;&gt;""),$AT347-$AR347,"")</f>
        <v/>
      </c>
      <c r="BD347" s="55" t="str">
        <f aca="false">IF(AND($AS347&lt;&gt;"",$AT347&lt;&gt;""),$AT347-$AS347,"")</f>
        <v/>
      </c>
      <c r="BE347" s="53" t="str">
        <f aca="false">IF($E347&lt;&gt;"",$E347,"")</f>
        <v/>
      </c>
      <c r="BF347" s="52" t="str">
        <f aca="false">IF($F347&lt;&gt;"",$F347,"")</f>
        <v>Apprenant 335 ou 335'</v>
      </c>
      <c r="BG347" s="55" t="str">
        <f aca="false">IF(AND($AW347&lt;&gt;"",$AX347&lt;&gt;""),$AX347-$AW347,"")</f>
        <v/>
      </c>
      <c r="BH347" s="55" t="str">
        <f aca="false">IF(AND($AW347&lt;&gt;"",$AY347&lt;&gt;""),$AY347-$AW347,"")</f>
        <v/>
      </c>
      <c r="BI347" s="55" t="str">
        <f aca="false">IF(AND($AX347&lt;&gt;"",$AY347&lt;&gt;""),$AY347-$AX347,"")</f>
        <v/>
      </c>
      <c r="BJ347" s="53" t="str">
        <f aca="false">IF($J347&lt;&gt;"",$J347,"")</f>
        <v/>
      </c>
      <c r="BL347" s="52"/>
      <c r="BM347" s="52" t="str">
        <f aca="false">IF(OR(COUNT(B347:D1346)=0,AND('Choix pédagogiques'!$C$3&lt;&gt;1,'Choix pédagogiques'!$C$3&lt;&gt;2)),"",IF(AND(OR('Choix pédagogiques'!$C$3=1,'Choix pédagogiques'!$C$3=2),$B347&lt;&gt;"",$C347&lt;&gt;"",$D347&lt;&gt;""),1,0))</f>
        <v/>
      </c>
      <c r="BN347" s="52" t="str">
        <f aca="false">IF(OR(COUNT(G347:I1346)=0,AND('Choix pédagogiques'!$C$3&lt;&gt;1,'Choix pédagogiques'!$C$3&lt;&gt;2)),"",IF(AND(OR('Choix pédagogiques'!$C$3=1,'Choix pédagogiques'!$C$3=2),AND($G347&lt;&gt;"",$H347&lt;&gt;"",$I347&lt;&gt;"")),1,0))</f>
        <v/>
      </c>
      <c r="BO347" s="52" t="str">
        <f aca="false">IF(OR(COUNT(B347:D1346)=0,COUNT(G347:I1346)=0,'Choix pédagogiques'!C$3&lt;&gt;3),"",IF(AND('Choix pédagogiques'!$C$3=3,$B347&lt;&gt;"",$C347&lt;&gt;"",$D347&lt;&gt;"",$G347&lt;&gt;"",$H347&lt;&gt;"",$I347&lt;&gt;""),1,0))</f>
        <v/>
      </c>
      <c r="BR347" s="52" t="n">
        <v>24</v>
      </c>
      <c r="BS347" s="52" t="n">
        <v>1101</v>
      </c>
    </row>
    <row r="348" s="54" customFormat="true" ht="18" hidden="false" customHeight="true" outlineLevel="0" collapsed="false">
      <c r="A348" s="57" t="s">
        <v>627</v>
      </c>
      <c r="B348" s="51"/>
      <c r="C348" s="51"/>
      <c r="D348" s="51"/>
      <c r="E348" s="51"/>
      <c r="F348" s="57" t="s">
        <v>628</v>
      </c>
      <c r="G348" s="51"/>
      <c r="H348" s="51"/>
      <c r="I348" s="51"/>
      <c r="J348" s="51"/>
      <c r="K348" s="52" t="str">
        <f aca="false">IF($A348&lt;&gt;"",$A348,"")</f>
        <v>Apprenant 336</v>
      </c>
      <c r="L348" s="53" t="str">
        <f aca="false">IF(AND($B348&lt;&gt;"",$C348&lt;&gt;""),$C348-$B348,"")</f>
        <v/>
      </c>
      <c r="M348" s="53" t="str">
        <f aca="false">IF(AND($B348&lt;&gt;"",$D348&lt;&gt;""),$D348-$B348,"")</f>
        <v/>
      </c>
      <c r="N348" s="53" t="str">
        <f aca="false">IF(AND($C348&lt;&gt;"",$D348&lt;&gt;""),$D348-$C348,"")</f>
        <v/>
      </c>
      <c r="O348" s="53" t="str">
        <f aca="false">IF($E348&lt;&gt;"",$E348,"")</f>
        <v/>
      </c>
      <c r="P348" s="52" t="str">
        <f aca="false">IF($F348&lt;&gt;"",$F348,"")</f>
        <v>Apprenant 336 ou 336'</v>
      </c>
      <c r="Q348" s="53" t="str">
        <f aca="false">IF(AND($G348&lt;&gt;"",$H348&lt;&gt;""),$H348-$G348,"")</f>
        <v/>
      </c>
      <c r="R348" s="53" t="str">
        <f aca="false">IF(AND($G348&lt;&gt;"",$I348&lt;&gt;""),$I348-$G348,"")</f>
        <v/>
      </c>
      <c r="S348" s="53" t="str">
        <f aca="false">IF(AND($H348&lt;&gt;"",$I348&lt;&gt;""),$I348-$H348,"")</f>
        <v/>
      </c>
      <c r="T348" s="53" t="str">
        <f aca="false">IF($J348&lt;&gt;"",$J348,"")</f>
        <v/>
      </c>
      <c r="V348" s="52" t="str">
        <f aca="false">IF($A348&lt;&gt;"",$A348,"")</f>
        <v>Apprenant 336</v>
      </c>
      <c r="W348" s="53" t="str">
        <f aca="false">IF(AND(OR('Choix pédagogiques'!$C$3=1,'Choix pédagogiques'!$C$3=2),$BM348=1),B348,IF(AND('Choix pédagogiques'!$C$3=3,$BO348=1),B348,""))</f>
        <v/>
      </c>
      <c r="X348" s="53" t="str">
        <f aca="false">IF(AND(OR('Choix pédagogiques'!$C$3=1,'Choix pédagogiques'!$C$3=2),$BM348=1),C348,IF(AND('Choix pédagogiques'!$C$3=3,$BO348=1),C348,""))</f>
        <v/>
      </c>
      <c r="Y348" s="53" t="str">
        <f aca="false">IF(AND(OR('Choix pédagogiques'!$C$3=1,'Choix pédagogiques'!$C$3=2),$BM348=1),D348,IF(AND('Choix pédagogiques'!$C$3=3,$BO348=1),D348,""))</f>
        <v/>
      </c>
      <c r="Z348" s="53" t="str">
        <f aca="false">IF($E348&lt;&gt;"",$E348,"")</f>
        <v/>
      </c>
      <c r="AA348" s="52" t="str">
        <f aca="false">IF($F348&lt;&gt;"",$F348,"")</f>
        <v>Apprenant 336 ou 336'</v>
      </c>
      <c r="AB348" s="53" t="str">
        <f aca="false">IF(AND(OR('Choix pédagogiques'!$C$3=1,'Choix pédagogiques'!$C$3=2),$BN348=1),G348,IF(AND('Choix pédagogiques'!$C$3=3,$BO348=1),G348,""))</f>
        <v/>
      </c>
      <c r="AC348" s="53" t="str">
        <f aca="false">IF(AND(OR('Choix pédagogiques'!$C$3=1,'Choix pédagogiques'!$C$3=2),$BN348=1),H348,IF(AND('Choix pédagogiques'!$C$3=3,$BO348=1),H348,""))</f>
        <v/>
      </c>
      <c r="AD348" s="53" t="str">
        <f aca="false">IF(AND(OR('Choix pédagogiques'!$C$3=1,'Choix pédagogiques'!$C$3=2),$BN348=1),I348,IF(AND('Choix pédagogiques'!$C$3=3,$BO348=1),I348,""))</f>
        <v/>
      </c>
      <c r="AE348" s="53" t="str">
        <f aca="false">IF($J348&lt;&gt;"",$J348,"")</f>
        <v/>
      </c>
      <c r="AF348" s="52" t="str">
        <f aca="false">IF($A348&lt;&gt;"",$A348,"")</f>
        <v>Apprenant 336</v>
      </c>
      <c r="AG348" s="53" t="str">
        <f aca="false">IF(AND($W348&lt;&gt;"",$X348&lt;&gt;""),$X348-$W348,"")</f>
        <v/>
      </c>
      <c r="AH348" s="53" t="str">
        <f aca="false">IF(AND($W348&lt;&gt;"",$Y348&lt;&gt;""),$Y348-$W348,"")</f>
        <v/>
      </c>
      <c r="AI348" s="53" t="str">
        <f aca="false">IF(AND($X348&lt;&gt;"",$Y348&lt;&gt;""),$Y348-$X348,"")</f>
        <v/>
      </c>
      <c r="AJ348" s="53" t="str">
        <f aca="false">IF($E348&lt;&gt;"",$E348,"")</f>
        <v/>
      </c>
      <c r="AK348" s="52" t="str">
        <f aca="false">IF($F348&lt;&gt;"",$F348,"")</f>
        <v>Apprenant 336 ou 336'</v>
      </c>
      <c r="AL348" s="53" t="str">
        <f aca="false">IF(AND($AB348&lt;&gt;"",$AC348&lt;&gt;""),$AC348-$AB348,"")</f>
        <v/>
      </c>
      <c r="AM348" s="53" t="str">
        <f aca="false">IF(AND($AB348&lt;&gt;"",$AD348&lt;&gt;""),$AD348-$AB348,"")</f>
        <v/>
      </c>
      <c r="AN348" s="53" t="str">
        <f aca="false">IF(AND($AC348&lt;&gt;"",$AD348&lt;&gt;""),$AD348-$AC348,"")</f>
        <v/>
      </c>
      <c r="AO348" s="53" t="str">
        <f aca="false">IF($J348&lt;&gt;"",$J348,"")</f>
        <v/>
      </c>
      <c r="AQ348" s="52" t="str">
        <f aca="false">IF($A348&lt;&gt;"",$A348,"")</f>
        <v>Apprenant 336</v>
      </c>
      <c r="AR348" s="55" t="str">
        <f aca="false">IF(AND('Choix pédagogiques'!$C$4&lt;&gt;"?",'Choix pédagogiques'!$C$5&lt;&gt;"?",W348&lt;&gt;""),(W348-'Choix pédagogiques'!$C$4)/('Choix pédagogiques'!$C$5-'Choix pédagogiques'!$C$4),"")</f>
        <v/>
      </c>
      <c r="AS348" s="55" t="str">
        <f aca="false">IF(AND('Choix pédagogiques'!$C$4&lt;&gt;"?",'Choix pédagogiques'!$C$5&lt;&gt;"?",X348&lt;&gt;""),(X348-'Choix pédagogiques'!$C$4)/('Choix pédagogiques'!$C$5-'Choix pédagogiques'!$C$4),"")</f>
        <v/>
      </c>
      <c r="AT348" s="55" t="str">
        <f aca="false">IF(AND('Choix pédagogiques'!$C$4&lt;&gt;"?",'Choix pédagogiques'!$C$5&lt;&gt;"?",Y348&lt;&gt;""),(Y348-'Choix pédagogiques'!$C$4)/('Choix pédagogiques'!$C$5-'Choix pédagogiques'!$C$4),"")</f>
        <v/>
      </c>
      <c r="AU348" s="53" t="str">
        <f aca="false">IF($E348&lt;&gt;"",$E348,"")</f>
        <v/>
      </c>
      <c r="AV348" s="52" t="str">
        <f aca="false">IF($F348&lt;&gt;"",$F348,"")</f>
        <v>Apprenant 336 ou 336'</v>
      </c>
      <c r="AW348" s="55" t="str">
        <f aca="false">IF(AND('Choix pédagogiques'!$C$4&lt;&gt;"?",'Choix pédagogiques'!$C$5&lt;&gt;"?",AB348&lt;&gt;""),(AB348-'Choix pédagogiques'!$C$4)/('Choix pédagogiques'!$C$5-'Choix pédagogiques'!$C$4),"")</f>
        <v/>
      </c>
      <c r="AX348" s="55" t="str">
        <f aca="false">IF(AND('Choix pédagogiques'!$C$4&lt;&gt;"?",'Choix pédagogiques'!$C$5&lt;&gt;"?",AC348&lt;&gt;""),(AC348-'Choix pédagogiques'!$C$4)/('Choix pédagogiques'!$C$5-'Choix pédagogiques'!$C$4),"")</f>
        <v/>
      </c>
      <c r="AY348" s="55" t="str">
        <f aca="false">IF(AND('Choix pédagogiques'!$C$4&lt;&gt;"?",'Choix pédagogiques'!$C$5&lt;&gt;"?",AD348&lt;&gt;""),(AD348-'Choix pédagogiques'!$C$4)/('Choix pédagogiques'!$C$5-'Choix pédagogiques'!$C$4),"")</f>
        <v/>
      </c>
      <c r="AZ348" s="53" t="str">
        <f aca="false">IF($J348&lt;&gt;"",$J348,"")</f>
        <v/>
      </c>
      <c r="BA348" s="52" t="str">
        <f aca="false">IF($A348&lt;&gt;"",$A348,"")</f>
        <v>Apprenant 336</v>
      </c>
      <c r="BB348" s="55" t="str">
        <f aca="false">IF(AND($AR348&lt;&gt;"",$AS348&lt;&gt;""),$AS348-$AR348,"")</f>
        <v/>
      </c>
      <c r="BC348" s="55" t="str">
        <f aca="false">IF(AND($AR348&lt;&gt;"",$AT348&lt;&gt;""),$AT348-$AR348,"")</f>
        <v/>
      </c>
      <c r="BD348" s="55" t="str">
        <f aca="false">IF(AND($AS348&lt;&gt;"",$AT348&lt;&gt;""),$AT348-$AS348,"")</f>
        <v/>
      </c>
      <c r="BE348" s="53" t="str">
        <f aca="false">IF($E348&lt;&gt;"",$E348,"")</f>
        <v/>
      </c>
      <c r="BF348" s="52" t="str">
        <f aca="false">IF($F348&lt;&gt;"",$F348,"")</f>
        <v>Apprenant 336 ou 336'</v>
      </c>
      <c r="BG348" s="55" t="str">
        <f aca="false">IF(AND($AW348&lt;&gt;"",$AX348&lt;&gt;""),$AX348-$AW348,"")</f>
        <v/>
      </c>
      <c r="BH348" s="55" t="str">
        <f aca="false">IF(AND($AW348&lt;&gt;"",$AY348&lt;&gt;""),$AY348-$AW348,"")</f>
        <v/>
      </c>
      <c r="BI348" s="55" t="str">
        <f aca="false">IF(AND($AX348&lt;&gt;"",$AY348&lt;&gt;""),$AY348-$AX348,"")</f>
        <v/>
      </c>
      <c r="BJ348" s="53" t="str">
        <f aca="false">IF($J348&lt;&gt;"",$J348,"")</f>
        <v/>
      </c>
      <c r="BL348" s="52"/>
      <c r="BM348" s="52" t="str">
        <f aca="false">IF(OR(COUNT(B348:D1347)=0,AND('Choix pédagogiques'!$C$3&lt;&gt;1,'Choix pédagogiques'!$C$3&lt;&gt;2)),"",IF(AND(OR('Choix pédagogiques'!$C$3=1,'Choix pédagogiques'!$C$3=2),$B348&lt;&gt;"",$C348&lt;&gt;"",$D348&lt;&gt;""),1,0))</f>
        <v/>
      </c>
      <c r="BN348" s="52" t="str">
        <f aca="false">IF(OR(COUNT(G348:I1347)=0,AND('Choix pédagogiques'!$C$3&lt;&gt;1,'Choix pédagogiques'!$C$3&lt;&gt;2)),"",IF(AND(OR('Choix pédagogiques'!$C$3=1,'Choix pédagogiques'!$C$3=2),AND($G348&lt;&gt;"",$H348&lt;&gt;"",$I348&lt;&gt;"")),1,0))</f>
        <v/>
      </c>
      <c r="BO348" s="52" t="str">
        <f aca="false">IF(OR(COUNT(B348:D1347)=0,COUNT(G348:I1347)=0,'Choix pédagogiques'!C$3&lt;&gt;3),"",IF(AND('Choix pédagogiques'!$C$3=3,$B348&lt;&gt;"",$C348&lt;&gt;"",$D348&lt;&gt;"",$G348&lt;&gt;"",$H348&lt;&gt;"",$I348&lt;&gt;""),1,0))</f>
        <v/>
      </c>
      <c r="BR348" s="52" t="n">
        <v>175</v>
      </c>
      <c r="BS348" s="52" t="n">
        <v>1803</v>
      </c>
    </row>
    <row r="349" s="54" customFormat="true" ht="18" hidden="false" customHeight="true" outlineLevel="0" collapsed="false">
      <c r="A349" s="57" t="s">
        <v>629</v>
      </c>
      <c r="B349" s="51"/>
      <c r="C349" s="51"/>
      <c r="D349" s="51"/>
      <c r="E349" s="51"/>
      <c r="F349" s="57" t="s">
        <v>630</v>
      </c>
      <c r="G349" s="51"/>
      <c r="H349" s="51"/>
      <c r="I349" s="51"/>
      <c r="J349" s="51"/>
      <c r="K349" s="52" t="str">
        <f aca="false">IF($A349&lt;&gt;"",$A349,"")</f>
        <v>Apprenant 337</v>
      </c>
      <c r="L349" s="53" t="str">
        <f aca="false">IF(AND($B349&lt;&gt;"",$C349&lt;&gt;""),$C349-$B349,"")</f>
        <v/>
      </c>
      <c r="M349" s="53" t="str">
        <f aca="false">IF(AND($B349&lt;&gt;"",$D349&lt;&gt;""),$D349-$B349,"")</f>
        <v/>
      </c>
      <c r="N349" s="53" t="str">
        <f aca="false">IF(AND($C349&lt;&gt;"",$D349&lt;&gt;""),$D349-$C349,"")</f>
        <v/>
      </c>
      <c r="O349" s="53" t="str">
        <f aca="false">IF($E349&lt;&gt;"",$E349,"")</f>
        <v/>
      </c>
      <c r="P349" s="52" t="str">
        <f aca="false">IF($F349&lt;&gt;"",$F349,"")</f>
        <v>Apprenant 337 ou 337'</v>
      </c>
      <c r="Q349" s="53" t="str">
        <f aca="false">IF(AND($G349&lt;&gt;"",$H349&lt;&gt;""),$H349-$G349,"")</f>
        <v/>
      </c>
      <c r="R349" s="53" t="str">
        <f aca="false">IF(AND($G349&lt;&gt;"",$I349&lt;&gt;""),$I349-$G349,"")</f>
        <v/>
      </c>
      <c r="S349" s="53" t="str">
        <f aca="false">IF(AND($H349&lt;&gt;"",$I349&lt;&gt;""),$I349-$H349,"")</f>
        <v/>
      </c>
      <c r="T349" s="53" t="str">
        <f aca="false">IF($J349&lt;&gt;"",$J349,"")</f>
        <v/>
      </c>
      <c r="V349" s="52" t="str">
        <f aca="false">IF($A349&lt;&gt;"",$A349,"")</f>
        <v>Apprenant 337</v>
      </c>
      <c r="W349" s="53" t="str">
        <f aca="false">IF(AND(OR('Choix pédagogiques'!$C$3=1,'Choix pédagogiques'!$C$3=2),$BM349=1),B349,IF(AND('Choix pédagogiques'!$C$3=3,$BO349=1),B349,""))</f>
        <v/>
      </c>
      <c r="X349" s="53" t="str">
        <f aca="false">IF(AND(OR('Choix pédagogiques'!$C$3=1,'Choix pédagogiques'!$C$3=2),$BM349=1),C349,IF(AND('Choix pédagogiques'!$C$3=3,$BO349=1),C349,""))</f>
        <v/>
      </c>
      <c r="Y349" s="53" t="str">
        <f aca="false">IF(AND(OR('Choix pédagogiques'!$C$3=1,'Choix pédagogiques'!$C$3=2),$BM349=1),D349,IF(AND('Choix pédagogiques'!$C$3=3,$BO349=1),D349,""))</f>
        <v/>
      </c>
      <c r="Z349" s="53" t="str">
        <f aca="false">IF($E349&lt;&gt;"",$E349,"")</f>
        <v/>
      </c>
      <c r="AA349" s="52" t="str">
        <f aca="false">IF($F349&lt;&gt;"",$F349,"")</f>
        <v>Apprenant 337 ou 337'</v>
      </c>
      <c r="AB349" s="53" t="str">
        <f aca="false">IF(AND(OR('Choix pédagogiques'!$C$3=1,'Choix pédagogiques'!$C$3=2),$BN349=1),G349,IF(AND('Choix pédagogiques'!$C$3=3,$BO349=1),G349,""))</f>
        <v/>
      </c>
      <c r="AC349" s="53" t="str">
        <f aca="false">IF(AND(OR('Choix pédagogiques'!$C$3=1,'Choix pédagogiques'!$C$3=2),$BN349=1),H349,IF(AND('Choix pédagogiques'!$C$3=3,$BO349=1),H349,""))</f>
        <v/>
      </c>
      <c r="AD349" s="53" t="str">
        <f aca="false">IF(AND(OR('Choix pédagogiques'!$C$3=1,'Choix pédagogiques'!$C$3=2),$BN349=1),I349,IF(AND('Choix pédagogiques'!$C$3=3,$BO349=1),I349,""))</f>
        <v/>
      </c>
      <c r="AE349" s="53" t="str">
        <f aca="false">IF($J349&lt;&gt;"",$J349,"")</f>
        <v/>
      </c>
      <c r="AF349" s="52" t="str">
        <f aca="false">IF($A349&lt;&gt;"",$A349,"")</f>
        <v>Apprenant 337</v>
      </c>
      <c r="AG349" s="53" t="str">
        <f aca="false">IF(AND($W349&lt;&gt;"",$X349&lt;&gt;""),$X349-$W349,"")</f>
        <v/>
      </c>
      <c r="AH349" s="53" t="str">
        <f aca="false">IF(AND($W349&lt;&gt;"",$Y349&lt;&gt;""),$Y349-$W349,"")</f>
        <v/>
      </c>
      <c r="AI349" s="53" t="str">
        <f aca="false">IF(AND($X349&lt;&gt;"",$Y349&lt;&gt;""),$Y349-$X349,"")</f>
        <v/>
      </c>
      <c r="AJ349" s="53" t="str">
        <f aca="false">IF($E349&lt;&gt;"",$E349,"")</f>
        <v/>
      </c>
      <c r="AK349" s="52" t="str">
        <f aca="false">IF($F349&lt;&gt;"",$F349,"")</f>
        <v>Apprenant 337 ou 337'</v>
      </c>
      <c r="AL349" s="53" t="str">
        <f aca="false">IF(AND($AB349&lt;&gt;"",$AC349&lt;&gt;""),$AC349-$AB349,"")</f>
        <v/>
      </c>
      <c r="AM349" s="53" t="str">
        <f aca="false">IF(AND($AB349&lt;&gt;"",$AD349&lt;&gt;""),$AD349-$AB349,"")</f>
        <v/>
      </c>
      <c r="AN349" s="53" t="str">
        <f aca="false">IF(AND($AC349&lt;&gt;"",$AD349&lt;&gt;""),$AD349-$AC349,"")</f>
        <v/>
      </c>
      <c r="AO349" s="53" t="str">
        <f aca="false">IF($J349&lt;&gt;"",$J349,"")</f>
        <v/>
      </c>
      <c r="AQ349" s="52" t="str">
        <f aca="false">IF($A349&lt;&gt;"",$A349,"")</f>
        <v>Apprenant 337</v>
      </c>
      <c r="AR349" s="55" t="str">
        <f aca="false">IF(AND('Choix pédagogiques'!$C$4&lt;&gt;"?",'Choix pédagogiques'!$C$5&lt;&gt;"?",W349&lt;&gt;""),(W349-'Choix pédagogiques'!$C$4)/('Choix pédagogiques'!$C$5-'Choix pédagogiques'!$C$4),"")</f>
        <v/>
      </c>
      <c r="AS349" s="55" t="str">
        <f aca="false">IF(AND('Choix pédagogiques'!$C$4&lt;&gt;"?",'Choix pédagogiques'!$C$5&lt;&gt;"?",X349&lt;&gt;""),(X349-'Choix pédagogiques'!$C$4)/('Choix pédagogiques'!$C$5-'Choix pédagogiques'!$C$4),"")</f>
        <v/>
      </c>
      <c r="AT349" s="55" t="str">
        <f aca="false">IF(AND('Choix pédagogiques'!$C$4&lt;&gt;"?",'Choix pédagogiques'!$C$5&lt;&gt;"?",Y349&lt;&gt;""),(Y349-'Choix pédagogiques'!$C$4)/('Choix pédagogiques'!$C$5-'Choix pédagogiques'!$C$4),"")</f>
        <v/>
      </c>
      <c r="AU349" s="53" t="str">
        <f aca="false">IF($E349&lt;&gt;"",$E349,"")</f>
        <v/>
      </c>
      <c r="AV349" s="52" t="str">
        <f aca="false">IF($F349&lt;&gt;"",$F349,"")</f>
        <v>Apprenant 337 ou 337'</v>
      </c>
      <c r="AW349" s="55" t="str">
        <f aca="false">IF(AND('Choix pédagogiques'!$C$4&lt;&gt;"?",'Choix pédagogiques'!$C$5&lt;&gt;"?",AB349&lt;&gt;""),(AB349-'Choix pédagogiques'!$C$4)/('Choix pédagogiques'!$C$5-'Choix pédagogiques'!$C$4),"")</f>
        <v/>
      </c>
      <c r="AX349" s="55" t="str">
        <f aca="false">IF(AND('Choix pédagogiques'!$C$4&lt;&gt;"?",'Choix pédagogiques'!$C$5&lt;&gt;"?",AC349&lt;&gt;""),(AC349-'Choix pédagogiques'!$C$4)/('Choix pédagogiques'!$C$5-'Choix pédagogiques'!$C$4),"")</f>
        <v/>
      </c>
      <c r="AY349" s="55" t="str">
        <f aca="false">IF(AND('Choix pédagogiques'!$C$4&lt;&gt;"?",'Choix pédagogiques'!$C$5&lt;&gt;"?",AD349&lt;&gt;""),(AD349-'Choix pédagogiques'!$C$4)/('Choix pédagogiques'!$C$5-'Choix pédagogiques'!$C$4),"")</f>
        <v/>
      </c>
      <c r="AZ349" s="53" t="str">
        <f aca="false">IF($J349&lt;&gt;"",$J349,"")</f>
        <v/>
      </c>
      <c r="BA349" s="52" t="str">
        <f aca="false">IF($A349&lt;&gt;"",$A349,"")</f>
        <v>Apprenant 337</v>
      </c>
      <c r="BB349" s="55" t="str">
        <f aca="false">IF(AND($AR349&lt;&gt;"",$AS349&lt;&gt;""),$AS349-$AR349,"")</f>
        <v/>
      </c>
      <c r="BC349" s="55" t="str">
        <f aca="false">IF(AND($AR349&lt;&gt;"",$AT349&lt;&gt;""),$AT349-$AR349,"")</f>
        <v/>
      </c>
      <c r="BD349" s="55" t="str">
        <f aca="false">IF(AND($AS349&lt;&gt;"",$AT349&lt;&gt;""),$AT349-$AS349,"")</f>
        <v/>
      </c>
      <c r="BE349" s="53" t="str">
        <f aca="false">IF($E349&lt;&gt;"",$E349,"")</f>
        <v/>
      </c>
      <c r="BF349" s="52" t="str">
        <f aca="false">IF($F349&lt;&gt;"",$F349,"")</f>
        <v>Apprenant 337 ou 337'</v>
      </c>
      <c r="BG349" s="55" t="str">
        <f aca="false">IF(AND($AW349&lt;&gt;"",$AX349&lt;&gt;""),$AX349-$AW349,"")</f>
        <v/>
      </c>
      <c r="BH349" s="55" t="str">
        <f aca="false">IF(AND($AW349&lt;&gt;"",$AY349&lt;&gt;""),$AY349-$AW349,"")</f>
        <v/>
      </c>
      <c r="BI349" s="55" t="str">
        <f aca="false">IF(AND($AX349&lt;&gt;"",$AY349&lt;&gt;""),$AY349-$AX349,"")</f>
        <v/>
      </c>
      <c r="BJ349" s="53" t="str">
        <f aca="false">IF($J349&lt;&gt;"",$J349,"")</f>
        <v/>
      </c>
      <c r="BL349" s="52"/>
      <c r="BM349" s="52" t="str">
        <f aca="false">IF(OR(COUNT(B349:D1348)=0,AND('Choix pédagogiques'!$C$3&lt;&gt;1,'Choix pédagogiques'!$C$3&lt;&gt;2)),"",IF(AND(OR('Choix pédagogiques'!$C$3=1,'Choix pédagogiques'!$C$3=2),$B349&lt;&gt;"",$C349&lt;&gt;"",$D349&lt;&gt;""),1,0))</f>
        <v/>
      </c>
      <c r="BN349" s="52" t="str">
        <f aca="false">IF(OR(COUNT(G349:I1348)=0,AND('Choix pédagogiques'!$C$3&lt;&gt;1,'Choix pédagogiques'!$C$3&lt;&gt;2)),"",IF(AND(OR('Choix pédagogiques'!$C$3=1,'Choix pédagogiques'!$C$3=2),AND($G349&lt;&gt;"",$H349&lt;&gt;"",$I349&lt;&gt;"")),1,0))</f>
        <v/>
      </c>
      <c r="BO349" s="52" t="str">
        <f aca="false">IF(OR(COUNT(B349:D1348)=0,COUNT(G349:I1348)=0,'Choix pédagogiques'!C$3&lt;&gt;3),"",IF(AND('Choix pédagogiques'!$C$3=3,$B349&lt;&gt;"",$C349&lt;&gt;"",$D349&lt;&gt;"",$G349&lt;&gt;"",$H349&lt;&gt;"",$I349&lt;&gt;""),1,0))</f>
        <v/>
      </c>
      <c r="BR349" s="52" t="n">
        <v>814</v>
      </c>
      <c r="BS349" s="52" t="n">
        <v>1224</v>
      </c>
    </row>
    <row r="350" s="54" customFormat="true" ht="18" hidden="false" customHeight="true" outlineLevel="0" collapsed="false">
      <c r="A350" s="57" t="s">
        <v>631</v>
      </c>
      <c r="B350" s="51"/>
      <c r="C350" s="51"/>
      <c r="D350" s="51"/>
      <c r="E350" s="51"/>
      <c r="F350" s="57" t="s">
        <v>632</v>
      </c>
      <c r="G350" s="51"/>
      <c r="H350" s="51"/>
      <c r="I350" s="51"/>
      <c r="J350" s="51"/>
      <c r="K350" s="52" t="str">
        <f aca="false">IF($A350&lt;&gt;"",$A350,"")</f>
        <v>Apprenant 338</v>
      </c>
      <c r="L350" s="53" t="str">
        <f aca="false">IF(AND($B350&lt;&gt;"",$C350&lt;&gt;""),$C350-$B350,"")</f>
        <v/>
      </c>
      <c r="M350" s="53" t="str">
        <f aca="false">IF(AND($B350&lt;&gt;"",$D350&lt;&gt;""),$D350-$B350,"")</f>
        <v/>
      </c>
      <c r="N350" s="53" t="str">
        <f aca="false">IF(AND($C350&lt;&gt;"",$D350&lt;&gt;""),$D350-$C350,"")</f>
        <v/>
      </c>
      <c r="O350" s="53" t="str">
        <f aca="false">IF($E350&lt;&gt;"",$E350,"")</f>
        <v/>
      </c>
      <c r="P350" s="52" t="str">
        <f aca="false">IF($F350&lt;&gt;"",$F350,"")</f>
        <v>Apprenant 338 ou 338'</v>
      </c>
      <c r="Q350" s="53" t="str">
        <f aca="false">IF(AND($G350&lt;&gt;"",$H350&lt;&gt;""),$H350-$G350,"")</f>
        <v/>
      </c>
      <c r="R350" s="53" t="str">
        <f aca="false">IF(AND($G350&lt;&gt;"",$I350&lt;&gt;""),$I350-$G350,"")</f>
        <v/>
      </c>
      <c r="S350" s="53" t="str">
        <f aca="false">IF(AND($H350&lt;&gt;"",$I350&lt;&gt;""),$I350-$H350,"")</f>
        <v/>
      </c>
      <c r="T350" s="53" t="str">
        <f aca="false">IF($J350&lt;&gt;"",$J350,"")</f>
        <v/>
      </c>
      <c r="V350" s="52" t="str">
        <f aca="false">IF($A350&lt;&gt;"",$A350,"")</f>
        <v>Apprenant 338</v>
      </c>
      <c r="W350" s="53" t="str">
        <f aca="false">IF(AND(OR('Choix pédagogiques'!$C$3=1,'Choix pédagogiques'!$C$3=2),$BM350=1),B350,IF(AND('Choix pédagogiques'!$C$3=3,$BO350=1),B350,""))</f>
        <v/>
      </c>
      <c r="X350" s="53" t="str">
        <f aca="false">IF(AND(OR('Choix pédagogiques'!$C$3=1,'Choix pédagogiques'!$C$3=2),$BM350=1),C350,IF(AND('Choix pédagogiques'!$C$3=3,$BO350=1),C350,""))</f>
        <v/>
      </c>
      <c r="Y350" s="53" t="str">
        <f aca="false">IF(AND(OR('Choix pédagogiques'!$C$3=1,'Choix pédagogiques'!$C$3=2),$BM350=1),D350,IF(AND('Choix pédagogiques'!$C$3=3,$BO350=1),D350,""))</f>
        <v/>
      </c>
      <c r="Z350" s="53" t="str">
        <f aca="false">IF($E350&lt;&gt;"",$E350,"")</f>
        <v/>
      </c>
      <c r="AA350" s="52" t="str">
        <f aca="false">IF($F350&lt;&gt;"",$F350,"")</f>
        <v>Apprenant 338 ou 338'</v>
      </c>
      <c r="AB350" s="53" t="str">
        <f aca="false">IF(AND(OR('Choix pédagogiques'!$C$3=1,'Choix pédagogiques'!$C$3=2),$BN350=1),G350,IF(AND('Choix pédagogiques'!$C$3=3,$BO350=1),G350,""))</f>
        <v/>
      </c>
      <c r="AC350" s="53" t="str">
        <f aca="false">IF(AND(OR('Choix pédagogiques'!$C$3=1,'Choix pédagogiques'!$C$3=2),$BN350=1),H350,IF(AND('Choix pédagogiques'!$C$3=3,$BO350=1),H350,""))</f>
        <v/>
      </c>
      <c r="AD350" s="53" t="str">
        <f aca="false">IF(AND(OR('Choix pédagogiques'!$C$3=1,'Choix pédagogiques'!$C$3=2),$BN350=1),I350,IF(AND('Choix pédagogiques'!$C$3=3,$BO350=1),I350,""))</f>
        <v/>
      </c>
      <c r="AE350" s="53" t="str">
        <f aca="false">IF($J350&lt;&gt;"",$J350,"")</f>
        <v/>
      </c>
      <c r="AF350" s="52" t="str">
        <f aca="false">IF($A350&lt;&gt;"",$A350,"")</f>
        <v>Apprenant 338</v>
      </c>
      <c r="AG350" s="53" t="str">
        <f aca="false">IF(AND($W350&lt;&gt;"",$X350&lt;&gt;""),$X350-$W350,"")</f>
        <v/>
      </c>
      <c r="AH350" s="53" t="str">
        <f aca="false">IF(AND($W350&lt;&gt;"",$Y350&lt;&gt;""),$Y350-$W350,"")</f>
        <v/>
      </c>
      <c r="AI350" s="53" t="str">
        <f aca="false">IF(AND($X350&lt;&gt;"",$Y350&lt;&gt;""),$Y350-$X350,"")</f>
        <v/>
      </c>
      <c r="AJ350" s="53" t="str">
        <f aca="false">IF($E350&lt;&gt;"",$E350,"")</f>
        <v/>
      </c>
      <c r="AK350" s="52" t="str">
        <f aca="false">IF($F350&lt;&gt;"",$F350,"")</f>
        <v>Apprenant 338 ou 338'</v>
      </c>
      <c r="AL350" s="53" t="str">
        <f aca="false">IF(AND($AB350&lt;&gt;"",$AC350&lt;&gt;""),$AC350-$AB350,"")</f>
        <v/>
      </c>
      <c r="AM350" s="53" t="str">
        <f aca="false">IF(AND($AB350&lt;&gt;"",$AD350&lt;&gt;""),$AD350-$AB350,"")</f>
        <v/>
      </c>
      <c r="AN350" s="53" t="str">
        <f aca="false">IF(AND($AC350&lt;&gt;"",$AD350&lt;&gt;""),$AD350-$AC350,"")</f>
        <v/>
      </c>
      <c r="AO350" s="53" t="str">
        <f aca="false">IF($J350&lt;&gt;"",$J350,"")</f>
        <v/>
      </c>
      <c r="AQ350" s="52" t="str">
        <f aca="false">IF($A350&lt;&gt;"",$A350,"")</f>
        <v>Apprenant 338</v>
      </c>
      <c r="AR350" s="55" t="str">
        <f aca="false">IF(AND('Choix pédagogiques'!$C$4&lt;&gt;"?",'Choix pédagogiques'!$C$5&lt;&gt;"?",W350&lt;&gt;""),(W350-'Choix pédagogiques'!$C$4)/('Choix pédagogiques'!$C$5-'Choix pédagogiques'!$C$4),"")</f>
        <v/>
      </c>
      <c r="AS350" s="55" t="str">
        <f aca="false">IF(AND('Choix pédagogiques'!$C$4&lt;&gt;"?",'Choix pédagogiques'!$C$5&lt;&gt;"?",X350&lt;&gt;""),(X350-'Choix pédagogiques'!$C$4)/('Choix pédagogiques'!$C$5-'Choix pédagogiques'!$C$4),"")</f>
        <v/>
      </c>
      <c r="AT350" s="55" t="str">
        <f aca="false">IF(AND('Choix pédagogiques'!$C$4&lt;&gt;"?",'Choix pédagogiques'!$C$5&lt;&gt;"?",Y350&lt;&gt;""),(Y350-'Choix pédagogiques'!$C$4)/('Choix pédagogiques'!$C$5-'Choix pédagogiques'!$C$4),"")</f>
        <v/>
      </c>
      <c r="AU350" s="53" t="str">
        <f aca="false">IF($E350&lt;&gt;"",$E350,"")</f>
        <v/>
      </c>
      <c r="AV350" s="52" t="str">
        <f aca="false">IF($F350&lt;&gt;"",$F350,"")</f>
        <v>Apprenant 338 ou 338'</v>
      </c>
      <c r="AW350" s="55" t="str">
        <f aca="false">IF(AND('Choix pédagogiques'!$C$4&lt;&gt;"?",'Choix pédagogiques'!$C$5&lt;&gt;"?",AB350&lt;&gt;""),(AB350-'Choix pédagogiques'!$C$4)/('Choix pédagogiques'!$C$5-'Choix pédagogiques'!$C$4),"")</f>
        <v/>
      </c>
      <c r="AX350" s="55" t="str">
        <f aca="false">IF(AND('Choix pédagogiques'!$C$4&lt;&gt;"?",'Choix pédagogiques'!$C$5&lt;&gt;"?",AC350&lt;&gt;""),(AC350-'Choix pédagogiques'!$C$4)/('Choix pédagogiques'!$C$5-'Choix pédagogiques'!$C$4),"")</f>
        <v/>
      </c>
      <c r="AY350" s="55" t="str">
        <f aca="false">IF(AND('Choix pédagogiques'!$C$4&lt;&gt;"?",'Choix pédagogiques'!$C$5&lt;&gt;"?",AD350&lt;&gt;""),(AD350-'Choix pédagogiques'!$C$4)/('Choix pédagogiques'!$C$5-'Choix pédagogiques'!$C$4),"")</f>
        <v/>
      </c>
      <c r="AZ350" s="53" t="str">
        <f aca="false">IF($J350&lt;&gt;"",$J350,"")</f>
        <v/>
      </c>
      <c r="BA350" s="52" t="str">
        <f aca="false">IF($A350&lt;&gt;"",$A350,"")</f>
        <v>Apprenant 338</v>
      </c>
      <c r="BB350" s="55" t="str">
        <f aca="false">IF(AND($AR350&lt;&gt;"",$AS350&lt;&gt;""),$AS350-$AR350,"")</f>
        <v/>
      </c>
      <c r="BC350" s="55" t="str">
        <f aca="false">IF(AND($AR350&lt;&gt;"",$AT350&lt;&gt;""),$AT350-$AR350,"")</f>
        <v/>
      </c>
      <c r="BD350" s="55" t="str">
        <f aca="false">IF(AND($AS350&lt;&gt;"",$AT350&lt;&gt;""),$AT350-$AS350,"")</f>
        <v/>
      </c>
      <c r="BE350" s="53" t="str">
        <f aca="false">IF($E350&lt;&gt;"",$E350,"")</f>
        <v/>
      </c>
      <c r="BF350" s="52" t="str">
        <f aca="false">IF($F350&lt;&gt;"",$F350,"")</f>
        <v>Apprenant 338 ou 338'</v>
      </c>
      <c r="BG350" s="55" t="str">
        <f aca="false">IF(AND($AW350&lt;&gt;"",$AX350&lt;&gt;""),$AX350-$AW350,"")</f>
        <v/>
      </c>
      <c r="BH350" s="55" t="str">
        <f aca="false">IF(AND($AW350&lt;&gt;"",$AY350&lt;&gt;""),$AY350-$AW350,"")</f>
        <v/>
      </c>
      <c r="BI350" s="55" t="str">
        <f aca="false">IF(AND($AX350&lt;&gt;"",$AY350&lt;&gt;""),$AY350-$AX350,"")</f>
        <v/>
      </c>
      <c r="BJ350" s="53" t="str">
        <f aca="false">IF($J350&lt;&gt;"",$J350,"")</f>
        <v/>
      </c>
      <c r="BL350" s="52"/>
      <c r="BM350" s="52" t="str">
        <f aca="false">IF(OR(COUNT(B350:D1349)=0,AND('Choix pédagogiques'!$C$3&lt;&gt;1,'Choix pédagogiques'!$C$3&lt;&gt;2)),"",IF(AND(OR('Choix pédagogiques'!$C$3=1,'Choix pédagogiques'!$C$3=2),$B350&lt;&gt;"",$C350&lt;&gt;"",$D350&lt;&gt;""),1,0))</f>
        <v/>
      </c>
      <c r="BN350" s="52" t="str">
        <f aca="false">IF(OR(COUNT(G350:I1349)=0,AND('Choix pédagogiques'!$C$3&lt;&gt;1,'Choix pédagogiques'!$C$3&lt;&gt;2)),"",IF(AND(OR('Choix pédagogiques'!$C$3=1,'Choix pédagogiques'!$C$3=2),AND($G350&lt;&gt;"",$H350&lt;&gt;"",$I350&lt;&gt;"")),1,0))</f>
        <v/>
      </c>
      <c r="BO350" s="52" t="str">
        <f aca="false">IF(OR(COUNT(B350:D1349)=0,COUNT(G350:I1349)=0,'Choix pédagogiques'!C$3&lt;&gt;3),"",IF(AND('Choix pédagogiques'!$C$3=3,$B350&lt;&gt;"",$C350&lt;&gt;"",$D350&lt;&gt;"",$G350&lt;&gt;"",$H350&lt;&gt;"",$I350&lt;&gt;""),1,0))</f>
        <v/>
      </c>
      <c r="BR350" s="52" t="n">
        <v>280</v>
      </c>
      <c r="BS350" s="52" t="n">
        <v>1269</v>
      </c>
    </row>
    <row r="351" s="54" customFormat="true" ht="18" hidden="false" customHeight="true" outlineLevel="0" collapsed="false">
      <c r="A351" s="57" t="s">
        <v>633</v>
      </c>
      <c r="B351" s="51"/>
      <c r="C351" s="51"/>
      <c r="D351" s="51"/>
      <c r="E351" s="51"/>
      <c r="F351" s="57" t="s">
        <v>634</v>
      </c>
      <c r="G351" s="51"/>
      <c r="H351" s="51"/>
      <c r="I351" s="51"/>
      <c r="J351" s="51"/>
      <c r="K351" s="52" t="str">
        <f aca="false">IF($A351&lt;&gt;"",$A351,"")</f>
        <v>Apprenant 339</v>
      </c>
      <c r="L351" s="53" t="str">
        <f aca="false">IF(AND($B351&lt;&gt;"",$C351&lt;&gt;""),$C351-$B351,"")</f>
        <v/>
      </c>
      <c r="M351" s="53" t="str">
        <f aca="false">IF(AND($B351&lt;&gt;"",$D351&lt;&gt;""),$D351-$B351,"")</f>
        <v/>
      </c>
      <c r="N351" s="53" t="str">
        <f aca="false">IF(AND($C351&lt;&gt;"",$D351&lt;&gt;""),$D351-$C351,"")</f>
        <v/>
      </c>
      <c r="O351" s="53" t="str">
        <f aca="false">IF($E351&lt;&gt;"",$E351,"")</f>
        <v/>
      </c>
      <c r="P351" s="52" t="str">
        <f aca="false">IF($F351&lt;&gt;"",$F351,"")</f>
        <v>Apprenant 339 ou 339'</v>
      </c>
      <c r="Q351" s="53" t="str">
        <f aca="false">IF(AND($G351&lt;&gt;"",$H351&lt;&gt;""),$H351-$G351,"")</f>
        <v/>
      </c>
      <c r="R351" s="53" t="str">
        <f aca="false">IF(AND($G351&lt;&gt;"",$I351&lt;&gt;""),$I351-$G351,"")</f>
        <v/>
      </c>
      <c r="S351" s="53" t="str">
        <f aca="false">IF(AND($H351&lt;&gt;"",$I351&lt;&gt;""),$I351-$H351,"")</f>
        <v/>
      </c>
      <c r="T351" s="53" t="str">
        <f aca="false">IF($J351&lt;&gt;"",$J351,"")</f>
        <v/>
      </c>
      <c r="V351" s="52" t="str">
        <f aca="false">IF($A351&lt;&gt;"",$A351,"")</f>
        <v>Apprenant 339</v>
      </c>
      <c r="W351" s="53" t="str">
        <f aca="false">IF(AND(OR('Choix pédagogiques'!$C$3=1,'Choix pédagogiques'!$C$3=2),$BM351=1),B351,IF(AND('Choix pédagogiques'!$C$3=3,$BO351=1),B351,""))</f>
        <v/>
      </c>
      <c r="X351" s="53" t="str">
        <f aca="false">IF(AND(OR('Choix pédagogiques'!$C$3=1,'Choix pédagogiques'!$C$3=2),$BM351=1),C351,IF(AND('Choix pédagogiques'!$C$3=3,$BO351=1),C351,""))</f>
        <v/>
      </c>
      <c r="Y351" s="53" t="str">
        <f aca="false">IF(AND(OR('Choix pédagogiques'!$C$3=1,'Choix pédagogiques'!$C$3=2),$BM351=1),D351,IF(AND('Choix pédagogiques'!$C$3=3,$BO351=1),D351,""))</f>
        <v/>
      </c>
      <c r="Z351" s="53" t="str">
        <f aca="false">IF($E351&lt;&gt;"",$E351,"")</f>
        <v/>
      </c>
      <c r="AA351" s="52" t="str">
        <f aca="false">IF($F351&lt;&gt;"",$F351,"")</f>
        <v>Apprenant 339 ou 339'</v>
      </c>
      <c r="AB351" s="53" t="str">
        <f aca="false">IF(AND(OR('Choix pédagogiques'!$C$3=1,'Choix pédagogiques'!$C$3=2),$BN351=1),G351,IF(AND('Choix pédagogiques'!$C$3=3,$BO351=1),G351,""))</f>
        <v/>
      </c>
      <c r="AC351" s="53" t="str">
        <f aca="false">IF(AND(OR('Choix pédagogiques'!$C$3=1,'Choix pédagogiques'!$C$3=2),$BN351=1),H351,IF(AND('Choix pédagogiques'!$C$3=3,$BO351=1),H351,""))</f>
        <v/>
      </c>
      <c r="AD351" s="53" t="str">
        <f aca="false">IF(AND(OR('Choix pédagogiques'!$C$3=1,'Choix pédagogiques'!$C$3=2),$BN351=1),I351,IF(AND('Choix pédagogiques'!$C$3=3,$BO351=1),I351,""))</f>
        <v/>
      </c>
      <c r="AE351" s="53" t="str">
        <f aca="false">IF($J351&lt;&gt;"",$J351,"")</f>
        <v/>
      </c>
      <c r="AF351" s="52" t="str">
        <f aca="false">IF($A351&lt;&gt;"",$A351,"")</f>
        <v>Apprenant 339</v>
      </c>
      <c r="AG351" s="53" t="str">
        <f aca="false">IF(AND($W351&lt;&gt;"",$X351&lt;&gt;""),$X351-$W351,"")</f>
        <v/>
      </c>
      <c r="AH351" s="53" t="str">
        <f aca="false">IF(AND($W351&lt;&gt;"",$Y351&lt;&gt;""),$Y351-$W351,"")</f>
        <v/>
      </c>
      <c r="AI351" s="53" t="str">
        <f aca="false">IF(AND($X351&lt;&gt;"",$Y351&lt;&gt;""),$Y351-$X351,"")</f>
        <v/>
      </c>
      <c r="AJ351" s="53" t="str">
        <f aca="false">IF($E351&lt;&gt;"",$E351,"")</f>
        <v/>
      </c>
      <c r="AK351" s="52" t="str">
        <f aca="false">IF($F351&lt;&gt;"",$F351,"")</f>
        <v>Apprenant 339 ou 339'</v>
      </c>
      <c r="AL351" s="53" t="str">
        <f aca="false">IF(AND($AB351&lt;&gt;"",$AC351&lt;&gt;""),$AC351-$AB351,"")</f>
        <v/>
      </c>
      <c r="AM351" s="53" t="str">
        <f aca="false">IF(AND($AB351&lt;&gt;"",$AD351&lt;&gt;""),$AD351-$AB351,"")</f>
        <v/>
      </c>
      <c r="AN351" s="53" t="str">
        <f aca="false">IF(AND($AC351&lt;&gt;"",$AD351&lt;&gt;""),$AD351-$AC351,"")</f>
        <v/>
      </c>
      <c r="AO351" s="53" t="str">
        <f aca="false">IF($J351&lt;&gt;"",$J351,"")</f>
        <v/>
      </c>
      <c r="AQ351" s="52" t="str">
        <f aca="false">IF($A351&lt;&gt;"",$A351,"")</f>
        <v>Apprenant 339</v>
      </c>
      <c r="AR351" s="55" t="str">
        <f aca="false">IF(AND('Choix pédagogiques'!$C$4&lt;&gt;"?",'Choix pédagogiques'!$C$5&lt;&gt;"?",W351&lt;&gt;""),(W351-'Choix pédagogiques'!$C$4)/('Choix pédagogiques'!$C$5-'Choix pédagogiques'!$C$4),"")</f>
        <v/>
      </c>
      <c r="AS351" s="55" t="str">
        <f aca="false">IF(AND('Choix pédagogiques'!$C$4&lt;&gt;"?",'Choix pédagogiques'!$C$5&lt;&gt;"?",X351&lt;&gt;""),(X351-'Choix pédagogiques'!$C$4)/('Choix pédagogiques'!$C$5-'Choix pédagogiques'!$C$4),"")</f>
        <v/>
      </c>
      <c r="AT351" s="55" t="str">
        <f aca="false">IF(AND('Choix pédagogiques'!$C$4&lt;&gt;"?",'Choix pédagogiques'!$C$5&lt;&gt;"?",Y351&lt;&gt;""),(Y351-'Choix pédagogiques'!$C$4)/('Choix pédagogiques'!$C$5-'Choix pédagogiques'!$C$4),"")</f>
        <v/>
      </c>
      <c r="AU351" s="53" t="str">
        <f aca="false">IF($E351&lt;&gt;"",$E351,"")</f>
        <v/>
      </c>
      <c r="AV351" s="52" t="str">
        <f aca="false">IF($F351&lt;&gt;"",$F351,"")</f>
        <v>Apprenant 339 ou 339'</v>
      </c>
      <c r="AW351" s="55" t="str">
        <f aca="false">IF(AND('Choix pédagogiques'!$C$4&lt;&gt;"?",'Choix pédagogiques'!$C$5&lt;&gt;"?",AB351&lt;&gt;""),(AB351-'Choix pédagogiques'!$C$4)/('Choix pédagogiques'!$C$5-'Choix pédagogiques'!$C$4),"")</f>
        <v/>
      </c>
      <c r="AX351" s="55" t="str">
        <f aca="false">IF(AND('Choix pédagogiques'!$C$4&lt;&gt;"?",'Choix pédagogiques'!$C$5&lt;&gt;"?",AC351&lt;&gt;""),(AC351-'Choix pédagogiques'!$C$4)/('Choix pédagogiques'!$C$5-'Choix pédagogiques'!$C$4),"")</f>
        <v/>
      </c>
      <c r="AY351" s="55" t="str">
        <f aca="false">IF(AND('Choix pédagogiques'!$C$4&lt;&gt;"?",'Choix pédagogiques'!$C$5&lt;&gt;"?",AD351&lt;&gt;""),(AD351-'Choix pédagogiques'!$C$4)/('Choix pédagogiques'!$C$5-'Choix pédagogiques'!$C$4),"")</f>
        <v/>
      </c>
      <c r="AZ351" s="53" t="str">
        <f aca="false">IF($J351&lt;&gt;"",$J351,"")</f>
        <v/>
      </c>
      <c r="BA351" s="52" t="str">
        <f aca="false">IF($A351&lt;&gt;"",$A351,"")</f>
        <v>Apprenant 339</v>
      </c>
      <c r="BB351" s="55" t="str">
        <f aca="false">IF(AND($AR351&lt;&gt;"",$AS351&lt;&gt;""),$AS351-$AR351,"")</f>
        <v/>
      </c>
      <c r="BC351" s="55" t="str">
        <f aca="false">IF(AND($AR351&lt;&gt;"",$AT351&lt;&gt;""),$AT351-$AR351,"")</f>
        <v/>
      </c>
      <c r="BD351" s="55" t="str">
        <f aca="false">IF(AND($AS351&lt;&gt;"",$AT351&lt;&gt;""),$AT351-$AS351,"")</f>
        <v/>
      </c>
      <c r="BE351" s="53" t="str">
        <f aca="false">IF($E351&lt;&gt;"",$E351,"")</f>
        <v/>
      </c>
      <c r="BF351" s="52" t="str">
        <f aca="false">IF($F351&lt;&gt;"",$F351,"")</f>
        <v>Apprenant 339 ou 339'</v>
      </c>
      <c r="BG351" s="55" t="str">
        <f aca="false">IF(AND($AW351&lt;&gt;"",$AX351&lt;&gt;""),$AX351-$AW351,"")</f>
        <v/>
      </c>
      <c r="BH351" s="55" t="str">
        <f aca="false">IF(AND($AW351&lt;&gt;"",$AY351&lt;&gt;""),$AY351-$AW351,"")</f>
        <v/>
      </c>
      <c r="BI351" s="55" t="str">
        <f aca="false">IF(AND($AX351&lt;&gt;"",$AY351&lt;&gt;""),$AY351-$AX351,"")</f>
        <v/>
      </c>
      <c r="BJ351" s="53" t="str">
        <f aca="false">IF($J351&lt;&gt;"",$J351,"")</f>
        <v/>
      </c>
      <c r="BL351" s="52"/>
      <c r="BM351" s="52" t="str">
        <f aca="false">IF(OR(COUNT(B351:D1350)=0,AND('Choix pédagogiques'!$C$3&lt;&gt;1,'Choix pédagogiques'!$C$3&lt;&gt;2)),"",IF(AND(OR('Choix pédagogiques'!$C$3=1,'Choix pédagogiques'!$C$3=2),$B351&lt;&gt;"",$C351&lt;&gt;"",$D351&lt;&gt;""),1,0))</f>
        <v/>
      </c>
      <c r="BN351" s="52" t="str">
        <f aca="false">IF(OR(COUNT(G351:I1350)=0,AND('Choix pédagogiques'!$C$3&lt;&gt;1,'Choix pédagogiques'!$C$3&lt;&gt;2)),"",IF(AND(OR('Choix pédagogiques'!$C$3=1,'Choix pédagogiques'!$C$3=2),AND($G351&lt;&gt;"",$H351&lt;&gt;"",$I351&lt;&gt;"")),1,0))</f>
        <v/>
      </c>
      <c r="BO351" s="52" t="str">
        <f aca="false">IF(OR(COUNT(B351:D1350)=0,COUNT(G351:I1350)=0,'Choix pédagogiques'!C$3&lt;&gt;3),"",IF(AND('Choix pédagogiques'!$C$3=3,$B351&lt;&gt;"",$C351&lt;&gt;"",$D351&lt;&gt;"",$G351&lt;&gt;"",$H351&lt;&gt;"",$I351&lt;&gt;""),1,0))</f>
        <v/>
      </c>
      <c r="BR351" s="52" t="n">
        <v>963</v>
      </c>
      <c r="BS351" s="52" t="n">
        <v>1273</v>
      </c>
    </row>
    <row r="352" s="54" customFormat="true" ht="18" hidden="false" customHeight="true" outlineLevel="0" collapsed="false">
      <c r="A352" s="57" t="s">
        <v>635</v>
      </c>
      <c r="B352" s="51"/>
      <c r="C352" s="51"/>
      <c r="D352" s="51"/>
      <c r="E352" s="51"/>
      <c r="F352" s="57" t="s">
        <v>636</v>
      </c>
      <c r="G352" s="51"/>
      <c r="H352" s="51"/>
      <c r="I352" s="51"/>
      <c r="J352" s="51"/>
      <c r="K352" s="52" t="str">
        <f aca="false">IF($A352&lt;&gt;"",$A352,"")</f>
        <v>Apprenant 340</v>
      </c>
      <c r="L352" s="53" t="str">
        <f aca="false">IF(AND($B352&lt;&gt;"",$C352&lt;&gt;""),$C352-$B352,"")</f>
        <v/>
      </c>
      <c r="M352" s="53" t="str">
        <f aca="false">IF(AND($B352&lt;&gt;"",$D352&lt;&gt;""),$D352-$B352,"")</f>
        <v/>
      </c>
      <c r="N352" s="53" t="str">
        <f aca="false">IF(AND($C352&lt;&gt;"",$D352&lt;&gt;""),$D352-$C352,"")</f>
        <v/>
      </c>
      <c r="O352" s="53" t="str">
        <f aca="false">IF($E352&lt;&gt;"",$E352,"")</f>
        <v/>
      </c>
      <c r="P352" s="52" t="str">
        <f aca="false">IF($F352&lt;&gt;"",$F352,"")</f>
        <v>Apprenant 340 ou 340'</v>
      </c>
      <c r="Q352" s="53" t="str">
        <f aca="false">IF(AND($G352&lt;&gt;"",$H352&lt;&gt;""),$H352-$G352,"")</f>
        <v/>
      </c>
      <c r="R352" s="53" t="str">
        <f aca="false">IF(AND($G352&lt;&gt;"",$I352&lt;&gt;""),$I352-$G352,"")</f>
        <v/>
      </c>
      <c r="S352" s="53" t="str">
        <f aca="false">IF(AND($H352&lt;&gt;"",$I352&lt;&gt;""),$I352-$H352,"")</f>
        <v/>
      </c>
      <c r="T352" s="53" t="str">
        <f aca="false">IF($J352&lt;&gt;"",$J352,"")</f>
        <v/>
      </c>
      <c r="V352" s="52" t="str">
        <f aca="false">IF($A352&lt;&gt;"",$A352,"")</f>
        <v>Apprenant 340</v>
      </c>
      <c r="W352" s="53" t="str">
        <f aca="false">IF(AND(OR('Choix pédagogiques'!$C$3=1,'Choix pédagogiques'!$C$3=2),$BM352=1),B352,IF(AND('Choix pédagogiques'!$C$3=3,$BO352=1),B352,""))</f>
        <v/>
      </c>
      <c r="X352" s="53" t="str">
        <f aca="false">IF(AND(OR('Choix pédagogiques'!$C$3=1,'Choix pédagogiques'!$C$3=2),$BM352=1),C352,IF(AND('Choix pédagogiques'!$C$3=3,$BO352=1),C352,""))</f>
        <v/>
      </c>
      <c r="Y352" s="53" t="str">
        <f aca="false">IF(AND(OR('Choix pédagogiques'!$C$3=1,'Choix pédagogiques'!$C$3=2),$BM352=1),D352,IF(AND('Choix pédagogiques'!$C$3=3,$BO352=1),D352,""))</f>
        <v/>
      </c>
      <c r="Z352" s="53" t="str">
        <f aca="false">IF($E352&lt;&gt;"",$E352,"")</f>
        <v/>
      </c>
      <c r="AA352" s="52" t="str">
        <f aca="false">IF($F352&lt;&gt;"",$F352,"")</f>
        <v>Apprenant 340 ou 340'</v>
      </c>
      <c r="AB352" s="53" t="str">
        <f aca="false">IF(AND(OR('Choix pédagogiques'!$C$3=1,'Choix pédagogiques'!$C$3=2),$BN352=1),G352,IF(AND('Choix pédagogiques'!$C$3=3,$BO352=1),G352,""))</f>
        <v/>
      </c>
      <c r="AC352" s="53" t="str">
        <f aca="false">IF(AND(OR('Choix pédagogiques'!$C$3=1,'Choix pédagogiques'!$C$3=2),$BN352=1),H352,IF(AND('Choix pédagogiques'!$C$3=3,$BO352=1),H352,""))</f>
        <v/>
      </c>
      <c r="AD352" s="53" t="str">
        <f aca="false">IF(AND(OR('Choix pédagogiques'!$C$3=1,'Choix pédagogiques'!$C$3=2),$BN352=1),I352,IF(AND('Choix pédagogiques'!$C$3=3,$BO352=1),I352,""))</f>
        <v/>
      </c>
      <c r="AE352" s="53" t="str">
        <f aca="false">IF($J352&lt;&gt;"",$J352,"")</f>
        <v/>
      </c>
      <c r="AF352" s="52" t="str">
        <f aca="false">IF($A352&lt;&gt;"",$A352,"")</f>
        <v>Apprenant 340</v>
      </c>
      <c r="AG352" s="53" t="str">
        <f aca="false">IF(AND($W352&lt;&gt;"",$X352&lt;&gt;""),$X352-$W352,"")</f>
        <v/>
      </c>
      <c r="AH352" s="53" t="str">
        <f aca="false">IF(AND($W352&lt;&gt;"",$Y352&lt;&gt;""),$Y352-$W352,"")</f>
        <v/>
      </c>
      <c r="AI352" s="53" t="str">
        <f aca="false">IF(AND($X352&lt;&gt;"",$Y352&lt;&gt;""),$Y352-$X352,"")</f>
        <v/>
      </c>
      <c r="AJ352" s="53" t="str">
        <f aca="false">IF($E352&lt;&gt;"",$E352,"")</f>
        <v/>
      </c>
      <c r="AK352" s="52" t="str">
        <f aca="false">IF($F352&lt;&gt;"",$F352,"")</f>
        <v>Apprenant 340 ou 340'</v>
      </c>
      <c r="AL352" s="53" t="str">
        <f aca="false">IF(AND($AB352&lt;&gt;"",$AC352&lt;&gt;""),$AC352-$AB352,"")</f>
        <v/>
      </c>
      <c r="AM352" s="53" t="str">
        <f aca="false">IF(AND($AB352&lt;&gt;"",$AD352&lt;&gt;""),$AD352-$AB352,"")</f>
        <v/>
      </c>
      <c r="AN352" s="53" t="str">
        <f aca="false">IF(AND($AC352&lt;&gt;"",$AD352&lt;&gt;""),$AD352-$AC352,"")</f>
        <v/>
      </c>
      <c r="AO352" s="53" t="str">
        <f aca="false">IF($J352&lt;&gt;"",$J352,"")</f>
        <v/>
      </c>
      <c r="AQ352" s="52" t="str">
        <f aca="false">IF($A352&lt;&gt;"",$A352,"")</f>
        <v>Apprenant 340</v>
      </c>
      <c r="AR352" s="55" t="str">
        <f aca="false">IF(AND('Choix pédagogiques'!$C$4&lt;&gt;"?",'Choix pédagogiques'!$C$5&lt;&gt;"?",W352&lt;&gt;""),(W352-'Choix pédagogiques'!$C$4)/('Choix pédagogiques'!$C$5-'Choix pédagogiques'!$C$4),"")</f>
        <v/>
      </c>
      <c r="AS352" s="55" t="str">
        <f aca="false">IF(AND('Choix pédagogiques'!$C$4&lt;&gt;"?",'Choix pédagogiques'!$C$5&lt;&gt;"?",X352&lt;&gt;""),(X352-'Choix pédagogiques'!$C$4)/('Choix pédagogiques'!$C$5-'Choix pédagogiques'!$C$4),"")</f>
        <v/>
      </c>
      <c r="AT352" s="55" t="str">
        <f aca="false">IF(AND('Choix pédagogiques'!$C$4&lt;&gt;"?",'Choix pédagogiques'!$C$5&lt;&gt;"?",Y352&lt;&gt;""),(Y352-'Choix pédagogiques'!$C$4)/('Choix pédagogiques'!$C$5-'Choix pédagogiques'!$C$4),"")</f>
        <v/>
      </c>
      <c r="AU352" s="53" t="str">
        <f aca="false">IF($E352&lt;&gt;"",$E352,"")</f>
        <v/>
      </c>
      <c r="AV352" s="52" t="str">
        <f aca="false">IF($F352&lt;&gt;"",$F352,"")</f>
        <v>Apprenant 340 ou 340'</v>
      </c>
      <c r="AW352" s="55" t="str">
        <f aca="false">IF(AND('Choix pédagogiques'!$C$4&lt;&gt;"?",'Choix pédagogiques'!$C$5&lt;&gt;"?",AB352&lt;&gt;""),(AB352-'Choix pédagogiques'!$C$4)/('Choix pédagogiques'!$C$5-'Choix pédagogiques'!$C$4),"")</f>
        <v/>
      </c>
      <c r="AX352" s="55" t="str">
        <f aca="false">IF(AND('Choix pédagogiques'!$C$4&lt;&gt;"?",'Choix pédagogiques'!$C$5&lt;&gt;"?",AC352&lt;&gt;""),(AC352-'Choix pédagogiques'!$C$4)/('Choix pédagogiques'!$C$5-'Choix pédagogiques'!$C$4),"")</f>
        <v/>
      </c>
      <c r="AY352" s="55" t="str">
        <f aca="false">IF(AND('Choix pédagogiques'!$C$4&lt;&gt;"?",'Choix pédagogiques'!$C$5&lt;&gt;"?",AD352&lt;&gt;""),(AD352-'Choix pédagogiques'!$C$4)/('Choix pédagogiques'!$C$5-'Choix pédagogiques'!$C$4),"")</f>
        <v/>
      </c>
      <c r="AZ352" s="53" t="str">
        <f aca="false">IF($J352&lt;&gt;"",$J352,"")</f>
        <v/>
      </c>
      <c r="BA352" s="52" t="str">
        <f aca="false">IF($A352&lt;&gt;"",$A352,"")</f>
        <v>Apprenant 340</v>
      </c>
      <c r="BB352" s="55" t="str">
        <f aca="false">IF(AND($AR352&lt;&gt;"",$AS352&lt;&gt;""),$AS352-$AR352,"")</f>
        <v/>
      </c>
      <c r="BC352" s="55" t="str">
        <f aca="false">IF(AND($AR352&lt;&gt;"",$AT352&lt;&gt;""),$AT352-$AR352,"")</f>
        <v/>
      </c>
      <c r="BD352" s="55" t="str">
        <f aca="false">IF(AND($AS352&lt;&gt;"",$AT352&lt;&gt;""),$AT352-$AS352,"")</f>
        <v/>
      </c>
      <c r="BE352" s="53" t="str">
        <f aca="false">IF($E352&lt;&gt;"",$E352,"")</f>
        <v/>
      </c>
      <c r="BF352" s="52" t="str">
        <f aca="false">IF($F352&lt;&gt;"",$F352,"")</f>
        <v>Apprenant 340 ou 340'</v>
      </c>
      <c r="BG352" s="55" t="str">
        <f aca="false">IF(AND($AW352&lt;&gt;"",$AX352&lt;&gt;""),$AX352-$AW352,"")</f>
        <v/>
      </c>
      <c r="BH352" s="55" t="str">
        <f aca="false">IF(AND($AW352&lt;&gt;"",$AY352&lt;&gt;""),$AY352-$AW352,"")</f>
        <v/>
      </c>
      <c r="BI352" s="55" t="str">
        <f aca="false">IF(AND($AX352&lt;&gt;"",$AY352&lt;&gt;""),$AY352-$AX352,"")</f>
        <v/>
      </c>
      <c r="BJ352" s="53" t="str">
        <f aca="false">IF($J352&lt;&gt;"",$J352,"")</f>
        <v/>
      </c>
      <c r="BL352" s="52"/>
      <c r="BM352" s="52" t="str">
        <f aca="false">IF(OR(COUNT(B352:D1351)=0,AND('Choix pédagogiques'!$C$3&lt;&gt;1,'Choix pédagogiques'!$C$3&lt;&gt;2)),"",IF(AND(OR('Choix pédagogiques'!$C$3=1,'Choix pédagogiques'!$C$3=2),$B352&lt;&gt;"",$C352&lt;&gt;"",$D352&lt;&gt;""),1,0))</f>
        <v/>
      </c>
      <c r="BN352" s="52" t="str">
        <f aca="false">IF(OR(COUNT(G352:I1351)=0,AND('Choix pédagogiques'!$C$3&lt;&gt;1,'Choix pédagogiques'!$C$3&lt;&gt;2)),"",IF(AND(OR('Choix pédagogiques'!$C$3=1,'Choix pédagogiques'!$C$3=2),AND($G352&lt;&gt;"",$H352&lt;&gt;"",$I352&lt;&gt;"")),1,0))</f>
        <v/>
      </c>
      <c r="BO352" s="52" t="str">
        <f aca="false">IF(OR(COUNT(B352:D1351)=0,COUNT(G352:I1351)=0,'Choix pédagogiques'!C$3&lt;&gt;3),"",IF(AND('Choix pédagogiques'!$C$3=3,$B352&lt;&gt;"",$C352&lt;&gt;"",$D352&lt;&gt;"",$G352&lt;&gt;"",$H352&lt;&gt;"",$I352&lt;&gt;""),1,0))</f>
        <v/>
      </c>
      <c r="BR352" s="52" t="n">
        <v>848</v>
      </c>
      <c r="BS352" s="52" t="n">
        <v>1817</v>
      </c>
    </row>
    <row r="353" s="54" customFormat="true" ht="18" hidden="false" customHeight="true" outlineLevel="0" collapsed="false">
      <c r="A353" s="57" t="s">
        <v>637</v>
      </c>
      <c r="B353" s="51"/>
      <c r="C353" s="51"/>
      <c r="D353" s="51"/>
      <c r="E353" s="51"/>
      <c r="F353" s="57" t="s">
        <v>638</v>
      </c>
      <c r="G353" s="51"/>
      <c r="H353" s="51"/>
      <c r="I353" s="51"/>
      <c r="J353" s="51"/>
      <c r="K353" s="52" t="str">
        <f aca="false">IF($A353&lt;&gt;"",$A353,"")</f>
        <v>Apprenant 341</v>
      </c>
      <c r="L353" s="53" t="str">
        <f aca="false">IF(AND($B353&lt;&gt;"",$C353&lt;&gt;""),$C353-$B353,"")</f>
        <v/>
      </c>
      <c r="M353" s="53" t="str">
        <f aca="false">IF(AND($B353&lt;&gt;"",$D353&lt;&gt;""),$D353-$B353,"")</f>
        <v/>
      </c>
      <c r="N353" s="53" t="str">
        <f aca="false">IF(AND($C353&lt;&gt;"",$D353&lt;&gt;""),$D353-$C353,"")</f>
        <v/>
      </c>
      <c r="O353" s="53" t="str">
        <f aca="false">IF($E353&lt;&gt;"",$E353,"")</f>
        <v/>
      </c>
      <c r="P353" s="52" t="str">
        <f aca="false">IF($F353&lt;&gt;"",$F353,"")</f>
        <v>Apprenant 341 ou 341'</v>
      </c>
      <c r="Q353" s="53" t="str">
        <f aca="false">IF(AND($G353&lt;&gt;"",$H353&lt;&gt;""),$H353-$G353,"")</f>
        <v/>
      </c>
      <c r="R353" s="53" t="str">
        <f aca="false">IF(AND($G353&lt;&gt;"",$I353&lt;&gt;""),$I353-$G353,"")</f>
        <v/>
      </c>
      <c r="S353" s="53" t="str">
        <f aca="false">IF(AND($H353&lt;&gt;"",$I353&lt;&gt;""),$I353-$H353,"")</f>
        <v/>
      </c>
      <c r="T353" s="53" t="str">
        <f aca="false">IF($J353&lt;&gt;"",$J353,"")</f>
        <v/>
      </c>
      <c r="V353" s="52" t="str">
        <f aca="false">IF($A353&lt;&gt;"",$A353,"")</f>
        <v>Apprenant 341</v>
      </c>
      <c r="W353" s="53" t="str">
        <f aca="false">IF(AND(OR('Choix pédagogiques'!$C$3=1,'Choix pédagogiques'!$C$3=2),$BM353=1),B353,IF(AND('Choix pédagogiques'!$C$3=3,$BO353=1),B353,""))</f>
        <v/>
      </c>
      <c r="X353" s="53" t="str">
        <f aca="false">IF(AND(OR('Choix pédagogiques'!$C$3=1,'Choix pédagogiques'!$C$3=2),$BM353=1),C353,IF(AND('Choix pédagogiques'!$C$3=3,$BO353=1),C353,""))</f>
        <v/>
      </c>
      <c r="Y353" s="53" t="str">
        <f aca="false">IF(AND(OR('Choix pédagogiques'!$C$3=1,'Choix pédagogiques'!$C$3=2),$BM353=1),D353,IF(AND('Choix pédagogiques'!$C$3=3,$BO353=1),D353,""))</f>
        <v/>
      </c>
      <c r="Z353" s="53" t="str">
        <f aca="false">IF($E353&lt;&gt;"",$E353,"")</f>
        <v/>
      </c>
      <c r="AA353" s="52" t="str">
        <f aca="false">IF($F353&lt;&gt;"",$F353,"")</f>
        <v>Apprenant 341 ou 341'</v>
      </c>
      <c r="AB353" s="53" t="str">
        <f aca="false">IF(AND(OR('Choix pédagogiques'!$C$3=1,'Choix pédagogiques'!$C$3=2),$BN353=1),G353,IF(AND('Choix pédagogiques'!$C$3=3,$BO353=1),G353,""))</f>
        <v/>
      </c>
      <c r="AC353" s="53" t="str">
        <f aca="false">IF(AND(OR('Choix pédagogiques'!$C$3=1,'Choix pédagogiques'!$C$3=2),$BN353=1),H353,IF(AND('Choix pédagogiques'!$C$3=3,$BO353=1),H353,""))</f>
        <v/>
      </c>
      <c r="AD353" s="53" t="str">
        <f aca="false">IF(AND(OR('Choix pédagogiques'!$C$3=1,'Choix pédagogiques'!$C$3=2),$BN353=1),I353,IF(AND('Choix pédagogiques'!$C$3=3,$BO353=1),I353,""))</f>
        <v/>
      </c>
      <c r="AE353" s="53" t="str">
        <f aca="false">IF($J353&lt;&gt;"",$J353,"")</f>
        <v/>
      </c>
      <c r="AF353" s="52" t="str">
        <f aca="false">IF($A353&lt;&gt;"",$A353,"")</f>
        <v>Apprenant 341</v>
      </c>
      <c r="AG353" s="53" t="str">
        <f aca="false">IF(AND($W353&lt;&gt;"",$X353&lt;&gt;""),$X353-$W353,"")</f>
        <v/>
      </c>
      <c r="AH353" s="53" t="str">
        <f aca="false">IF(AND($W353&lt;&gt;"",$Y353&lt;&gt;""),$Y353-$W353,"")</f>
        <v/>
      </c>
      <c r="AI353" s="53" t="str">
        <f aca="false">IF(AND($X353&lt;&gt;"",$Y353&lt;&gt;""),$Y353-$X353,"")</f>
        <v/>
      </c>
      <c r="AJ353" s="53" t="str">
        <f aca="false">IF($E353&lt;&gt;"",$E353,"")</f>
        <v/>
      </c>
      <c r="AK353" s="52" t="str">
        <f aca="false">IF($F353&lt;&gt;"",$F353,"")</f>
        <v>Apprenant 341 ou 341'</v>
      </c>
      <c r="AL353" s="53" t="str">
        <f aca="false">IF(AND($AB353&lt;&gt;"",$AC353&lt;&gt;""),$AC353-$AB353,"")</f>
        <v/>
      </c>
      <c r="AM353" s="53" t="str">
        <f aca="false">IF(AND($AB353&lt;&gt;"",$AD353&lt;&gt;""),$AD353-$AB353,"")</f>
        <v/>
      </c>
      <c r="AN353" s="53" t="str">
        <f aca="false">IF(AND($AC353&lt;&gt;"",$AD353&lt;&gt;""),$AD353-$AC353,"")</f>
        <v/>
      </c>
      <c r="AO353" s="53" t="str">
        <f aca="false">IF($J353&lt;&gt;"",$J353,"")</f>
        <v/>
      </c>
      <c r="AQ353" s="52" t="str">
        <f aca="false">IF($A353&lt;&gt;"",$A353,"")</f>
        <v>Apprenant 341</v>
      </c>
      <c r="AR353" s="55" t="str">
        <f aca="false">IF(AND('Choix pédagogiques'!$C$4&lt;&gt;"?",'Choix pédagogiques'!$C$5&lt;&gt;"?",W353&lt;&gt;""),(W353-'Choix pédagogiques'!$C$4)/('Choix pédagogiques'!$C$5-'Choix pédagogiques'!$C$4),"")</f>
        <v/>
      </c>
      <c r="AS353" s="55" t="str">
        <f aca="false">IF(AND('Choix pédagogiques'!$C$4&lt;&gt;"?",'Choix pédagogiques'!$C$5&lt;&gt;"?",X353&lt;&gt;""),(X353-'Choix pédagogiques'!$C$4)/('Choix pédagogiques'!$C$5-'Choix pédagogiques'!$C$4),"")</f>
        <v/>
      </c>
      <c r="AT353" s="55" t="str">
        <f aca="false">IF(AND('Choix pédagogiques'!$C$4&lt;&gt;"?",'Choix pédagogiques'!$C$5&lt;&gt;"?",Y353&lt;&gt;""),(Y353-'Choix pédagogiques'!$C$4)/('Choix pédagogiques'!$C$5-'Choix pédagogiques'!$C$4),"")</f>
        <v/>
      </c>
      <c r="AU353" s="53" t="str">
        <f aca="false">IF($E353&lt;&gt;"",$E353,"")</f>
        <v/>
      </c>
      <c r="AV353" s="52" t="str">
        <f aca="false">IF($F353&lt;&gt;"",$F353,"")</f>
        <v>Apprenant 341 ou 341'</v>
      </c>
      <c r="AW353" s="55" t="str">
        <f aca="false">IF(AND('Choix pédagogiques'!$C$4&lt;&gt;"?",'Choix pédagogiques'!$C$5&lt;&gt;"?",AB353&lt;&gt;""),(AB353-'Choix pédagogiques'!$C$4)/('Choix pédagogiques'!$C$5-'Choix pédagogiques'!$C$4),"")</f>
        <v/>
      </c>
      <c r="AX353" s="55" t="str">
        <f aca="false">IF(AND('Choix pédagogiques'!$C$4&lt;&gt;"?",'Choix pédagogiques'!$C$5&lt;&gt;"?",AC353&lt;&gt;""),(AC353-'Choix pédagogiques'!$C$4)/('Choix pédagogiques'!$C$5-'Choix pédagogiques'!$C$4),"")</f>
        <v/>
      </c>
      <c r="AY353" s="55" t="str">
        <f aca="false">IF(AND('Choix pédagogiques'!$C$4&lt;&gt;"?",'Choix pédagogiques'!$C$5&lt;&gt;"?",AD353&lt;&gt;""),(AD353-'Choix pédagogiques'!$C$4)/('Choix pédagogiques'!$C$5-'Choix pédagogiques'!$C$4),"")</f>
        <v/>
      </c>
      <c r="AZ353" s="53" t="str">
        <f aca="false">IF($J353&lt;&gt;"",$J353,"")</f>
        <v/>
      </c>
      <c r="BA353" s="52" t="str">
        <f aca="false">IF($A353&lt;&gt;"",$A353,"")</f>
        <v>Apprenant 341</v>
      </c>
      <c r="BB353" s="55" t="str">
        <f aca="false">IF(AND($AR353&lt;&gt;"",$AS353&lt;&gt;""),$AS353-$AR353,"")</f>
        <v/>
      </c>
      <c r="BC353" s="55" t="str">
        <f aca="false">IF(AND($AR353&lt;&gt;"",$AT353&lt;&gt;""),$AT353-$AR353,"")</f>
        <v/>
      </c>
      <c r="BD353" s="55" t="str">
        <f aca="false">IF(AND($AS353&lt;&gt;"",$AT353&lt;&gt;""),$AT353-$AS353,"")</f>
        <v/>
      </c>
      <c r="BE353" s="53" t="str">
        <f aca="false">IF($E353&lt;&gt;"",$E353,"")</f>
        <v/>
      </c>
      <c r="BF353" s="52" t="str">
        <f aca="false">IF($F353&lt;&gt;"",$F353,"")</f>
        <v>Apprenant 341 ou 341'</v>
      </c>
      <c r="BG353" s="55" t="str">
        <f aca="false">IF(AND($AW353&lt;&gt;"",$AX353&lt;&gt;""),$AX353-$AW353,"")</f>
        <v/>
      </c>
      <c r="BH353" s="55" t="str">
        <f aca="false">IF(AND($AW353&lt;&gt;"",$AY353&lt;&gt;""),$AY353-$AW353,"")</f>
        <v/>
      </c>
      <c r="BI353" s="55" t="str">
        <f aca="false">IF(AND($AX353&lt;&gt;"",$AY353&lt;&gt;""),$AY353-$AX353,"")</f>
        <v/>
      </c>
      <c r="BJ353" s="53" t="str">
        <f aca="false">IF($J353&lt;&gt;"",$J353,"")</f>
        <v/>
      </c>
      <c r="BL353" s="52"/>
      <c r="BM353" s="52" t="str">
        <f aca="false">IF(OR(COUNT(B353:D1352)=0,AND('Choix pédagogiques'!$C$3&lt;&gt;1,'Choix pédagogiques'!$C$3&lt;&gt;2)),"",IF(AND(OR('Choix pédagogiques'!$C$3=1,'Choix pédagogiques'!$C$3=2),$B353&lt;&gt;"",$C353&lt;&gt;"",$D353&lt;&gt;""),1,0))</f>
        <v/>
      </c>
      <c r="BN353" s="52" t="str">
        <f aca="false">IF(OR(COUNT(G353:I1352)=0,AND('Choix pédagogiques'!$C$3&lt;&gt;1,'Choix pédagogiques'!$C$3&lt;&gt;2)),"",IF(AND(OR('Choix pédagogiques'!$C$3=1,'Choix pédagogiques'!$C$3=2),AND($G353&lt;&gt;"",$H353&lt;&gt;"",$I353&lt;&gt;"")),1,0))</f>
        <v/>
      </c>
      <c r="BO353" s="52" t="str">
        <f aca="false">IF(OR(COUNT(B353:D1352)=0,COUNT(G353:I1352)=0,'Choix pédagogiques'!C$3&lt;&gt;3),"",IF(AND('Choix pédagogiques'!$C$3=3,$B353&lt;&gt;"",$C353&lt;&gt;"",$D353&lt;&gt;"",$G353&lt;&gt;"",$H353&lt;&gt;"",$I353&lt;&gt;""),1,0))</f>
        <v/>
      </c>
      <c r="BR353" s="52" t="n">
        <v>274</v>
      </c>
      <c r="BS353" s="52" t="n">
        <v>1438</v>
      </c>
    </row>
    <row r="354" s="54" customFormat="true" ht="18" hidden="false" customHeight="true" outlineLevel="0" collapsed="false">
      <c r="A354" s="57" t="s">
        <v>639</v>
      </c>
      <c r="B354" s="51"/>
      <c r="C354" s="51"/>
      <c r="D354" s="51"/>
      <c r="E354" s="51"/>
      <c r="F354" s="57" t="s">
        <v>640</v>
      </c>
      <c r="G354" s="51"/>
      <c r="H354" s="51"/>
      <c r="I354" s="51"/>
      <c r="J354" s="51"/>
      <c r="K354" s="52" t="str">
        <f aca="false">IF($A354&lt;&gt;"",$A354,"")</f>
        <v>Apprenant 342</v>
      </c>
      <c r="L354" s="53" t="str">
        <f aca="false">IF(AND($B354&lt;&gt;"",$C354&lt;&gt;""),$C354-$B354,"")</f>
        <v/>
      </c>
      <c r="M354" s="53" t="str">
        <f aca="false">IF(AND($B354&lt;&gt;"",$D354&lt;&gt;""),$D354-$B354,"")</f>
        <v/>
      </c>
      <c r="N354" s="53" t="str">
        <f aca="false">IF(AND($C354&lt;&gt;"",$D354&lt;&gt;""),$D354-$C354,"")</f>
        <v/>
      </c>
      <c r="O354" s="53" t="str">
        <f aca="false">IF($E354&lt;&gt;"",$E354,"")</f>
        <v/>
      </c>
      <c r="P354" s="52" t="str">
        <f aca="false">IF($F354&lt;&gt;"",$F354,"")</f>
        <v>Apprenant 342 ou 342'</v>
      </c>
      <c r="Q354" s="53" t="str">
        <f aca="false">IF(AND($G354&lt;&gt;"",$H354&lt;&gt;""),$H354-$G354,"")</f>
        <v/>
      </c>
      <c r="R354" s="53" t="str">
        <f aca="false">IF(AND($G354&lt;&gt;"",$I354&lt;&gt;""),$I354-$G354,"")</f>
        <v/>
      </c>
      <c r="S354" s="53" t="str">
        <f aca="false">IF(AND($H354&lt;&gt;"",$I354&lt;&gt;""),$I354-$H354,"")</f>
        <v/>
      </c>
      <c r="T354" s="53" t="str">
        <f aca="false">IF($J354&lt;&gt;"",$J354,"")</f>
        <v/>
      </c>
      <c r="V354" s="52" t="str">
        <f aca="false">IF($A354&lt;&gt;"",$A354,"")</f>
        <v>Apprenant 342</v>
      </c>
      <c r="W354" s="53" t="str">
        <f aca="false">IF(AND(OR('Choix pédagogiques'!$C$3=1,'Choix pédagogiques'!$C$3=2),$BM354=1),B354,IF(AND('Choix pédagogiques'!$C$3=3,$BO354=1),B354,""))</f>
        <v/>
      </c>
      <c r="X354" s="53" t="str">
        <f aca="false">IF(AND(OR('Choix pédagogiques'!$C$3=1,'Choix pédagogiques'!$C$3=2),$BM354=1),C354,IF(AND('Choix pédagogiques'!$C$3=3,$BO354=1),C354,""))</f>
        <v/>
      </c>
      <c r="Y354" s="53" t="str">
        <f aca="false">IF(AND(OR('Choix pédagogiques'!$C$3=1,'Choix pédagogiques'!$C$3=2),$BM354=1),D354,IF(AND('Choix pédagogiques'!$C$3=3,$BO354=1),D354,""))</f>
        <v/>
      </c>
      <c r="Z354" s="53" t="str">
        <f aca="false">IF($E354&lt;&gt;"",$E354,"")</f>
        <v/>
      </c>
      <c r="AA354" s="52" t="str">
        <f aca="false">IF($F354&lt;&gt;"",$F354,"")</f>
        <v>Apprenant 342 ou 342'</v>
      </c>
      <c r="AB354" s="53" t="str">
        <f aca="false">IF(AND(OR('Choix pédagogiques'!$C$3=1,'Choix pédagogiques'!$C$3=2),$BN354=1),G354,IF(AND('Choix pédagogiques'!$C$3=3,$BO354=1),G354,""))</f>
        <v/>
      </c>
      <c r="AC354" s="53" t="str">
        <f aca="false">IF(AND(OR('Choix pédagogiques'!$C$3=1,'Choix pédagogiques'!$C$3=2),$BN354=1),H354,IF(AND('Choix pédagogiques'!$C$3=3,$BO354=1),H354,""))</f>
        <v/>
      </c>
      <c r="AD354" s="53" t="str">
        <f aca="false">IF(AND(OR('Choix pédagogiques'!$C$3=1,'Choix pédagogiques'!$C$3=2),$BN354=1),I354,IF(AND('Choix pédagogiques'!$C$3=3,$BO354=1),I354,""))</f>
        <v/>
      </c>
      <c r="AE354" s="53" t="str">
        <f aca="false">IF($J354&lt;&gt;"",$J354,"")</f>
        <v/>
      </c>
      <c r="AF354" s="52" t="str">
        <f aca="false">IF($A354&lt;&gt;"",$A354,"")</f>
        <v>Apprenant 342</v>
      </c>
      <c r="AG354" s="53" t="str">
        <f aca="false">IF(AND($W354&lt;&gt;"",$X354&lt;&gt;""),$X354-$W354,"")</f>
        <v/>
      </c>
      <c r="AH354" s="53" t="str">
        <f aca="false">IF(AND($W354&lt;&gt;"",$Y354&lt;&gt;""),$Y354-$W354,"")</f>
        <v/>
      </c>
      <c r="AI354" s="53" t="str">
        <f aca="false">IF(AND($X354&lt;&gt;"",$Y354&lt;&gt;""),$Y354-$X354,"")</f>
        <v/>
      </c>
      <c r="AJ354" s="53" t="str">
        <f aca="false">IF($E354&lt;&gt;"",$E354,"")</f>
        <v/>
      </c>
      <c r="AK354" s="52" t="str">
        <f aca="false">IF($F354&lt;&gt;"",$F354,"")</f>
        <v>Apprenant 342 ou 342'</v>
      </c>
      <c r="AL354" s="53" t="str">
        <f aca="false">IF(AND($AB354&lt;&gt;"",$AC354&lt;&gt;""),$AC354-$AB354,"")</f>
        <v/>
      </c>
      <c r="AM354" s="53" t="str">
        <f aca="false">IF(AND($AB354&lt;&gt;"",$AD354&lt;&gt;""),$AD354-$AB354,"")</f>
        <v/>
      </c>
      <c r="AN354" s="53" t="str">
        <f aca="false">IF(AND($AC354&lt;&gt;"",$AD354&lt;&gt;""),$AD354-$AC354,"")</f>
        <v/>
      </c>
      <c r="AO354" s="53" t="str">
        <f aca="false">IF($J354&lt;&gt;"",$J354,"")</f>
        <v/>
      </c>
      <c r="AQ354" s="52" t="str">
        <f aca="false">IF($A354&lt;&gt;"",$A354,"")</f>
        <v>Apprenant 342</v>
      </c>
      <c r="AR354" s="55" t="str">
        <f aca="false">IF(AND('Choix pédagogiques'!$C$4&lt;&gt;"?",'Choix pédagogiques'!$C$5&lt;&gt;"?",W354&lt;&gt;""),(W354-'Choix pédagogiques'!$C$4)/('Choix pédagogiques'!$C$5-'Choix pédagogiques'!$C$4),"")</f>
        <v/>
      </c>
      <c r="AS354" s="55" t="str">
        <f aca="false">IF(AND('Choix pédagogiques'!$C$4&lt;&gt;"?",'Choix pédagogiques'!$C$5&lt;&gt;"?",X354&lt;&gt;""),(X354-'Choix pédagogiques'!$C$4)/('Choix pédagogiques'!$C$5-'Choix pédagogiques'!$C$4),"")</f>
        <v/>
      </c>
      <c r="AT354" s="55" t="str">
        <f aca="false">IF(AND('Choix pédagogiques'!$C$4&lt;&gt;"?",'Choix pédagogiques'!$C$5&lt;&gt;"?",Y354&lt;&gt;""),(Y354-'Choix pédagogiques'!$C$4)/('Choix pédagogiques'!$C$5-'Choix pédagogiques'!$C$4),"")</f>
        <v/>
      </c>
      <c r="AU354" s="53" t="str">
        <f aca="false">IF($E354&lt;&gt;"",$E354,"")</f>
        <v/>
      </c>
      <c r="AV354" s="52" t="str">
        <f aca="false">IF($F354&lt;&gt;"",$F354,"")</f>
        <v>Apprenant 342 ou 342'</v>
      </c>
      <c r="AW354" s="55" t="str">
        <f aca="false">IF(AND('Choix pédagogiques'!$C$4&lt;&gt;"?",'Choix pédagogiques'!$C$5&lt;&gt;"?",AB354&lt;&gt;""),(AB354-'Choix pédagogiques'!$C$4)/('Choix pédagogiques'!$C$5-'Choix pédagogiques'!$C$4),"")</f>
        <v/>
      </c>
      <c r="AX354" s="55" t="str">
        <f aca="false">IF(AND('Choix pédagogiques'!$C$4&lt;&gt;"?",'Choix pédagogiques'!$C$5&lt;&gt;"?",AC354&lt;&gt;""),(AC354-'Choix pédagogiques'!$C$4)/('Choix pédagogiques'!$C$5-'Choix pédagogiques'!$C$4),"")</f>
        <v/>
      </c>
      <c r="AY354" s="55" t="str">
        <f aca="false">IF(AND('Choix pédagogiques'!$C$4&lt;&gt;"?",'Choix pédagogiques'!$C$5&lt;&gt;"?",AD354&lt;&gt;""),(AD354-'Choix pédagogiques'!$C$4)/('Choix pédagogiques'!$C$5-'Choix pédagogiques'!$C$4),"")</f>
        <v/>
      </c>
      <c r="AZ354" s="53" t="str">
        <f aca="false">IF($J354&lt;&gt;"",$J354,"")</f>
        <v/>
      </c>
      <c r="BA354" s="52" t="str">
        <f aca="false">IF($A354&lt;&gt;"",$A354,"")</f>
        <v>Apprenant 342</v>
      </c>
      <c r="BB354" s="55" t="str">
        <f aca="false">IF(AND($AR354&lt;&gt;"",$AS354&lt;&gt;""),$AS354-$AR354,"")</f>
        <v/>
      </c>
      <c r="BC354" s="55" t="str">
        <f aca="false">IF(AND($AR354&lt;&gt;"",$AT354&lt;&gt;""),$AT354-$AR354,"")</f>
        <v/>
      </c>
      <c r="BD354" s="55" t="str">
        <f aca="false">IF(AND($AS354&lt;&gt;"",$AT354&lt;&gt;""),$AT354-$AS354,"")</f>
        <v/>
      </c>
      <c r="BE354" s="53" t="str">
        <f aca="false">IF($E354&lt;&gt;"",$E354,"")</f>
        <v/>
      </c>
      <c r="BF354" s="52" t="str">
        <f aca="false">IF($F354&lt;&gt;"",$F354,"")</f>
        <v>Apprenant 342 ou 342'</v>
      </c>
      <c r="BG354" s="55" t="str">
        <f aca="false">IF(AND($AW354&lt;&gt;"",$AX354&lt;&gt;""),$AX354-$AW354,"")</f>
        <v/>
      </c>
      <c r="BH354" s="55" t="str">
        <f aca="false">IF(AND($AW354&lt;&gt;"",$AY354&lt;&gt;""),$AY354-$AW354,"")</f>
        <v/>
      </c>
      <c r="BI354" s="55" t="str">
        <f aca="false">IF(AND($AX354&lt;&gt;"",$AY354&lt;&gt;""),$AY354-$AX354,"")</f>
        <v/>
      </c>
      <c r="BJ354" s="53" t="str">
        <f aca="false">IF($J354&lt;&gt;"",$J354,"")</f>
        <v/>
      </c>
      <c r="BL354" s="52"/>
      <c r="BM354" s="52" t="str">
        <f aca="false">IF(OR(COUNT(B354:D1353)=0,AND('Choix pédagogiques'!$C$3&lt;&gt;1,'Choix pédagogiques'!$C$3&lt;&gt;2)),"",IF(AND(OR('Choix pédagogiques'!$C$3=1,'Choix pédagogiques'!$C$3=2),$B354&lt;&gt;"",$C354&lt;&gt;"",$D354&lt;&gt;""),1,0))</f>
        <v/>
      </c>
      <c r="BN354" s="52" t="str">
        <f aca="false">IF(OR(COUNT(G354:I1353)=0,AND('Choix pédagogiques'!$C$3&lt;&gt;1,'Choix pédagogiques'!$C$3&lt;&gt;2)),"",IF(AND(OR('Choix pédagogiques'!$C$3=1,'Choix pédagogiques'!$C$3=2),AND($G354&lt;&gt;"",$H354&lt;&gt;"",$I354&lt;&gt;"")),1,0))</f>
        <v/>
      </c>
      <c r="BO354" s="52" t="str">
        <f aca="false">IF(OR(COUNT(B354:D1353)=0,COUNT(G354:I1353)=0,'Choix pédagogiques'!C$3&lt;&gt;3),"",IF(AND('Choix pédagogiques'!$C$3=3,$B354&lt;&gt;"",$C354&lt;&gt;"",$D354&lt;&gt;"",$G354&lt;&gt;"",$H354&lt;&gt;"",$I354&lt;&gt;""),1,0))</f>
        <v/>
      </c>
      <c r="BR354" s="52" t="n">
        <v>198</v>
      </c>
      <c r="BS354" s="52" t="n">
        <v>1463</v>
      </c>
    </row>
    <row r="355" s="54" customFormat="true" ht="18" hidden="false" customHeight="true" outlineLevel="0" collapsed="false">
      <c r="A355" s="57" t="s">
        <v>641</v>
      </c>
      <c r="B355" s="51"/>
      <c r="C355" s="51"/>
      <c r="D355" s="51"/>
      <c r="E355" s="51"/>
      <c r="F355" s="57" t="s">
        <v>642</v>
      </c>
      <c r="G355" s="51"/>
      <c r="H355" s="51"/>
      <c r="I355" s="51"/>
      <c r="J355" s="51"/>
      <c r="K355" s="52" t="str">
        <f aca="false">IF($A355&lt;&gt;"",$A355,"")</f>
        <v>Apprenant 343</v>
      </c>
      <c r="L355" s="53" t="str">
        <f aca="false">IF(AND($B355&lt;&gt;"",$C355&lt;&gt;""),$C355-$B355,"")</f>
        <v/>
      </c>
      <c r="M355" s="53" t="str">
        <f aca="false">IF(AND($B355&lt;&gt;"",$D355&lt;&gt;""),$D355-$B355,"")</f>
        <v/>
      </c>
      <c r="N355" s="53" t="str">
        <f aca="false">IF(AND($C355&lt;&gt;"",$D355&lt;&gt;""),$D355-$C355,"")</f>
        <v/>
      </c>
      <c r="O355" s="53" t="str">
        <f aca="false">IF($E355&lt;&gt;"",$E355,"")</f>
        <v/>
      </c>
      <c r="P355" s="52" t="str">
        <f aca="false">IF($F355&lt;&gt;"",$F355,"")</f>
        <v>Apprenant 343 ou 343'</v>
      </c>
      <c r="Q355" s="53" t="str">
        <f aca="false">IF(AND($G355&lt;&gt;"",$H355&lt;&gt;""),$H355-$G355,"")</f>
        <v/>
      </c>
      <c r="R355" s="53" t="str">
        <f aca="false">IF(AND($G355&lt;&gt;"",$I355&lt;&gt;""),$I355-$G355,"")</f>
        <v/>
      </c>
      <c r="S355" s="53" t="str">
        <f aca="false">IF(AND($H355&lt;&gt;"",$I355&lt;&gt;""),$I355-$H355,"")</f>
        <v/>
      </c>
      <c r="T355" s="53" t="str">
        <f aca="false">IF($J355&lt;&gt;"",$J355,"")</f>
        <v/>
      </c>
      <c r="V355" s="52" t="str">
        <f aca="false">IF($A355&lt;&gt;"",$A355,"")</f>
        <v>Apprenant 343</v>
      </c>
      <c r="W355" s="53" t="str">
        <f aca="false">IF(AND(OR('Choix pédagogiques'!$C$3=1,'Choix pédagogiques'!$C$3=2),$BM355=1),B355,IF(AND('Choix pédagogiques'!$C$3=3,$BO355=1),B355,""))</f>
        <v/>
      </c>
      <c r="X355" s="53" t="str">
        <f aca="false">IF(AND(OR('Choix pédagogiques'!$C$3=1,'Choix pédagogiques'!$C$3=2),$BM355=1),C355,IF(AND('Choix pédagogiques'!$C$3=3,$BO355=1),C355,""))</f>
        <v/>
      </c>
      <c r="Y355" s="53" t="str">
        <f aca="false">IF(AND(OR('Choix pédagogiques'!$C$3=1,'Choix pédagogiques'!$C$3=2),$BM355=1),D355,IF(AND('Choix pédagogiques'!$C$3=3,$BO355=1),D355,""))</f>
        <v/>
      </c>
      <c r="Z355" s="53" t="str">
        <f aca="false">IF($E355&lt;&gt;"",$E355,"")</f>
        <v/>
      </c>
      <c r="AA355" s="52" t="str">
        <f aca="false">IF($F355&lt;&gt;"",$F355,"")</f>
        <v>Apprenant 343 ou 343'</v>
      </c>
      <c r="AB355" s="53" t="str">
        <f aca="false">IF(AND(OR('Choix pédagogiques'!$C$3=1,'Choix pédagogiques'!$C$3=2),$BN355=1),G355,IF(AND('Choix pédagogiques'!$C$3=3,$BO355=1),G355,""))</f>
        <v/>
      </c>
      <c r="AC355" s="53" t="str">
        <f aca="false">IF(AND(OR('Choix pédagogiques'!$C$3=1,'Choix pédagogiques'!$C$3=2),$BN355=1),H355,IF(AND('Choix pédagogiques'!$C$3=3,$BO355=1),H355,""))</f>
        <v/>
      </c>
      <c r="AD355" s="53" t="str">
        <f aca="false">IF(AND(OR('Choix pédagogiques'!$C$3=1,'Choix pédagogiques'!$C$3=2),$BN355=1),I355,IF(AND('Choix pédagogiques'!$C$3=3,$BO355=1),I355,""))</f>
        <v/>
      </c>
      <c r="AE355" s="53" t="str">
        <f aca="false">IF($J355&lt;&gt;"",$J355,"")</f>
        <v/>
      </c>
      <c r="AF355" s="52" t="str">
        <f aca="false">IF($A355&lt;&gt;"",$A355,"")</f>
        <v>Apprenant 343</v>
      </c>
      <c r="AG355" s="53" t="str">
        <f aca="false">IF(AND($W355&lt;&gt;"",$X355&lt;&gt;""),$X355-$W355,"")</f>
        <v/>
      </c>
      <c r="AH355" s="53" t="str">
        <f aca="false">IF(AND($W355&lt;&gt;"",$Y355&lt;&gt;""),$Y355-$W355,"")</f>
        <v/>
      </c>
      <c r="AI355" s="53" t="str">
        <f aca="false">IF(AND($X355&lt;&gt;"",$Y355&lt;&gt;""),$Y355-$X355,"")</f>
        <v/>
      </c>
      <c r="AJ355" s="53" t="str">
        <f aca="false">IF($E355&lt;&gt;"",$E355,"")</f>
        <v/>
      </c>
      <c r="AK355" s="52" t="str">
        <f aca="false">IF($F355&lt;&gt;"",$F355,"")</f>
        <v>Apprenant 343 ou 343'</v>
      </c>
      <c r="AL355" s="53" t="str">
        <f aca="false">IF(AND($AB355&lt;&gt;"",$AC355&lt;&gt;""),$AC355-$AB355,"")</f>
        <v/>
      </c>
      <c r="AM355" s="53" t="str">
        <f aca="false">IF(AND($AB355&lt;&gt;"",$AD355&lt;&gt;""),$AD355-$AB355,"")</f>
        <v/>
      </c>
      <c r="AN355" s="53" t="str">
        <f aca="false">IF(AND($AC355&lt;&gt;"",$AD355&lt;&gt;""),$AD355-$AC355,"")</f>
        <v/>
      </c>
      <c r="AO355" s="53" t="str">
        <f aca="false">IF($J355&lt;&gt;"",$J355,"")</f>
        <v/>
      </c>
      <c r="AQ355" s="52" t="str">
        <f aca="false">IF($A355&lt;&gt;"",$A355,"")</f>
        <v>Apprenant 343</v>
      </c>
      <c r="AR355" s="55" t="str">
        <f aca="false">IF(AND('Choix pédagogiques'!$C$4&lt;&gt;"?",'Choix pédagogiques'!$C$5&lt;&gt;"?",W355&lt;&gt;""),(W355-'Choix pédagogiques'!$C$4)/('Choix pédagogiques'!$C$5-'Choix pédagogiques'!$C$4),"")</f>
        <v/>
      </c>
      <c r="AS355" s="55" t="str">
        <f aca="false">IF(AND('Choix pédagogiques'!$C$4&lt;&gt;"?",'Choix pédagogiques'!$C$5&lt;&gt;"?",X355&lt;&gt;""),(X355-'Choix pédagogiques'!$C$4)/('Choix pédagogiques'!$C$5-'Choix pédagogiques'!$C$4),"")</f>
        <v/>
      </c>
      <c r="AT355" s="55" t="str">
        <f aca="false">IF(AND('Choix pédagogiques'!$C$4&lt;&gt;"?",'Choix pédagogiques'!$C$5&lt;&gt;"?",Y355&lt;&gt;""),(Y355-'Choix pédagogiques'!$C$4)/('Choix pédagogiques'!$C$5-'Choix pédagogiques'!$C$4),"")</f>
        <v/>
      </c>
      <c r="AU355" s="53" t="str">
        <f aca="false">IF($E355&lt;&gt;"",$E355,"")</f>
        <v/>
      </c>
      <c r="AV355" s="52" t="str">
        <f aca="false">IF($F355&lt;&gt;"",$F355,"")</f>
        <v>Apprenant 343 ou 343'</v>
      </c>
      <c r="AW355" s="55" t="str">
        <f aca="false">IF(AND('Choix pédagogiques'!$C$4&lt;&gt;"?",'Choix pédagogiques'!$C$5&lt;&gt;"?",AB355&lt;&gt;""),(AB355-'Choix pédagogiques'!$C$4)/('Choix pédagogiques'!$C$5-'Choix pédagogiques'!$C$4),"")</f>
        <v/>
      </c>
      <c r="AX355" s="55" t="str">
        <f aca="false">IF(AND('Choix pédagogiques'!$C$4&lt;&gt;"?",'Choix pédagogiques'!$C$5&lt;&gt;"?",AC355&lt;&gt;""),(AC355-'Choix pédagogiques'!$C$4)/('Choix pédagogiques'!$C$5-'Choix pédagogiques'!$C$4),"")</f>
        <v/>
      </c>
      <c r="AY355" s="55" t="str">
        <f aca="false">IF(AND('Choix pédagogiques'!$C$4&lt;&gt;"?",'Choix pédagogiques'!$C$5&lt;&gt;"?",AD355&lt;&gt;""),(AD355-'Choix pédagogiques'!$C$4)/('Choix pédagogiques'!$C$5-'Choix pédagogiques'!$C$4),"")</f>
        <v/>
      </c>
      <c r="AZ355" s="53" t="str">
        <f aca="false">IF($J355&lt;&gt;"",$J355,"")</f>
        <v/>
      </c>
      <c r="BA355" s="52" t="str">
        <f aca="false">IF($A355&lt;&gt;"",$A355,"")</f>
        <v>Apprenant 343</v>
      </c>
      <c r="BB355" s="55" t="str">
        <f aca="false">IF(AND($AR355&lt;&gt;"",$AS355&lt;&gt;""),$AS355-$AR355,"")</f>
        <v/>
      </c>
      <c r="BC355" s="55" t="str">
        <f aca="false">IF(AND($AR355&lt;&gt;"",$AT355&lt;&gt;""),$AT355-$AR355,"")</f>
        <v/>
      </c>
      <c r="BD355" s="55" t="str">
        <f aca="false">IF(AND($AS355&lt;&gt;"",$AT355&lt;&gt;""),$AT355-$AS355,"")</f>
        <v/>
      </c>
      <c r="BE355" s="53" t="str">
        <f aca="false">IF($E355&lt;&gt;"",$E355,"")</f>
        <v/>
      </c>
      <c r="BF355" s="52" t="str">
        <f aca="false">IF($F355&lt;&gt;"",$F355,"")</f>
        <v>Apprenant 343 ou 343'</v>
      </c>
      <c r="BG355" s="55" t="str">
        <f aca="false">IF(AND($AW355&lt;&gt;"",$AX355&lt;&gt;""),$AX355-$AW355,"")</f>
        <v/>
      </c>
      <c r="BH355" s="55" t="str">
        <f aca="false">IF(AND($AW355&lt;&gt;"",$AY355&lt;&gt;""),$AY355-$AW355,"")</f>
        <v/>
      </c>
      <c r="BI355" s="55" t="str">
        <f aca="false">IF(AND($AX355&lt;&gt;"",$AY355&lt;&gt;""),$AY355-$AX355,"")</f>
        <v/>
      </c>
      <c r="BJ355" s="53" t="str">
        <f aca="false">IF($J355&lt;&gt;"",$J355,"")</f>
        <v/>
      </c>
      <c r="BL355" s="52"/>
      <c r="BM355" s="52" t="str">
        <f aca="false">IF(OR(COUNT(B355:D1354)=0,AND('Choix pédagogiques'!$C$3&lt;&gt;1,'Choix pédagogiques'!$C$3&lt;&gt;2)),"",IF(AND(OR('Choix pédagogiques'!$C$3=1,'Choix pédagogiques'!$C$3=2),$B355&lt;&gt;"",$C355&lt;&gt;"",$D355&lt;&gt;""),1,0))</f>
        <v/>
      </c>
      <c r="BN355" s="52" t="str">
        <f aca="false">IF(OR(COUNT(G355:I1354)=0,AND('Choix pédagogiques'!$C$3&lt;&gt;1,'Choix pédagogiques'!$C$3&lt;&gt;2)),"",IF(AND(OR('Choix pédagogiques'!$C$3=1,'Choix pédagogiques'!$C$3=2),AND($G355&lt;&gt;"",$H355&lt;&gt;"",$I355&lt;&gt;"")),1,0))</f>
        <v/>
      </c>
      <c r="BO355" s="52" t="str">
        <f aca="false">IF(OR(COUNT(B355:D1354)=0,COUNT(G355:I1354)=0,'Choix pédagogiques'!C$3&lt;&gt;3),"",IF(AND('Choix pédagogiques'!$C$3=3,$B355&lt;&gt;"",$C355&lt;&gt;"",$D355&lt;&gt;"",$G355&lt;&gt;"",$H355&lt;&gt;"",$I355&lt;&gt;""),1,0))</f>
        <v/>
      </c>
      <c r="BR355" s="52" t="n">
        <v>481</v>
      </c>
      <c r="BS355" s="52" t="n">
        <v>1024</v>
      </c>
    </row>
    <row r="356" s="54" customFormat="true" ht="18" hidden="false" customHeight="true" outlineLevel="0" collapsed="false">
      <c r="A356" s="57" t="s">
        <v>643</v>
      </c>
      <c r="B356" s="51"/>
      <c r="C356" s="51"/>
      <c r="D356" s="51"/>
      <c r="E356" s="51"/>
      <c r="F356" s="57" t="s">
        <v>644</v>
      </c>
      <c r="G356" s="51"/>
      <c r="H356" s="51"/>
      <c r="I356" s="51"/>
      <c r="J356" s="51"/>
      <c r="K356" s="52" t="str">
        <f aca="false">IF($A356&lt;&gt;"",$A356,"")</f>
        <v>Apprenant 344</v>
      </c>
      <c r="L356" s="53" t="str">
        <f aca="false">IF(AND($B356&lt;&gt;"",$C356&lt;&gt;""),$C356-$B356,"")</f>
        <v/>
      </c>
      <c r="M356" s="53" t="str">
        <f aca="false">IF(AND($B356&lt;&gt;"",$D356&lt;&gt;""),$D356-$B356,"")</f>
        <v/>
      </c>
      <c r="N356" s="53" t="str">
        <f aca="false">IF(AND($C356&lt;&gt;"",$D356&lt;&gt;""),$D356-$C356,"")</f>
        <v/>
      </c>
      <c r="O356" s="53" t="str">
        <f aca="false">IF($E356&lt;&gt;"",$E356,"")</f>
        <v/>
      </c>
      <c r="P356" s="52" t="str">
        <f aca="false">IF($F356&lt;&gt;"",$F356,"")</f>
        <v>Apprenant 344 ou 344'</v>
      </c>
      <c r="Q356" s="53" t="str">
        <f aca="false">IF(AND($G356&lt;&gt;"",$H356&lt;&gt;""),$H356-$G356,"")</f>
        <v/>
      </c>
      <c r="R356" s="53" t="str">
        <f aca="false">IF(AND($G356&lt;&gt;"",$I356&lt;&gt;""),$I356-$G356,"")</f>
        <v/>
      </c>
      <c r="S356" s="53" t="str">
        <f aca="false">IF(AND($H356&lt;&gt;"",$I356&lt;&gt;""),$I356-$H356,"")</f>
        <v/>
      </c>
      <c r="T356" s="53" t="str">
        <f aca="false">IF($J356&lt;&gt;"",$J356,"")</f>
        <v/>
      </c>
      <c r="V356" s="52" t="str">
        <f aca="false">IF($A356&lt;&gt;"",$A356,"")</f>
        <v>Apprenant 344</v>
      </c>
      <c r="W356" s="53" t="str">
        <f aca="false">IF(AND(OR('Choix pédagogiques'!$C$3=1,'Choix pédagogiques'!$C$3=2),$BM356=1),B356,IF(AND('Choix pédagogiques'!$C$3=3,$BO356=1),B356,""))</f>
        <v/>
      </c>
      <c r="X356" s="53" t="str">
        <f aca="false">IF(AND(OR('Choix pédagogiques'!$C$3=1,'Choix pédagogiques'!$C$3=2),$BM356=1),C356,IF(AND('Choix pédagogiques'!$C$3=3,$BO356=1),C356,""))</f>
        <v/>
      </c>
      <c r="Y356" s="53" t="str">
        <f aca="false">IF(AND(OR('Choix pédagogiques'!$C$3=1,'Choix pédagogiques'!$C$3=2),$BM356=1),D356,IF(AND('Choix pédagogiques'!$C$3=3,$BO356=1),D356,""))</f>
        <v/>
      </c>
      <c r="Z356" s="53" t="str">
        <f aca="false">IF($E356&lt;&gt;"",$E356,"")</f>
        <v/>
      </c>
      <c r="AA356" s="52" t="str">
        <f aca="false">IF($F356&lt;&gt;"",$F356,"")</f>
        <v>Apprenant 344 ou 344'</v>
      </c>
      <c r="AB356" s="53" t="str">
        <f aca="false">IF(AND(OR('Choix pédagogiques'!$C$3=1,'Choix pédagogiques'!$C$3=2),$BN356=1),G356,IF(AND('Choix pédagogiques'!$C$3=3,$BO356=1),G356,""))</f>
        <v/>
      </c>
      <c r="AC356" s="53" t="str">
        <f aca="false">IF(AND(OR('Choix pédagogiques'!$C$3=1,'Choix pédagogiques'!$C$3=2),$BN356=1),H356,IF(AND('Choix pédagogiques'!$C$3=3,$BO356=1),H356,""))</f>
        <v/>
      </c>
      <c r="AD356" s="53" t="str">
        <f aca="false">IF(AND(OR('Choix pédagogiques'!$C$3=1,'Choix pédagogiques'!$C$3=2),$BN356=1),I356,IF(AND('Choix pédagogiques'!$C$3=3,$BO356=1),I356,""))</f>
        <v/>
      </c>
      <c r="AE356" s="53" t="str">
        <f aca="false">IF($J356&lt;&gt;"",$J356,"")</f>
        <v/>
      </c>
      <c r="AF356" s="52" t="str">
        <f aca="false">IF($A356&lt;&gt;"",$A356,"")</f>
        <v>Apprenant 344</v>
      </c>
      <c r="AG356" s="53" t="str">
        <f aca="false">IF(AND($W356&lt;&gt;"",$X356&lt;&gt;""),$X356-$W356,"")</f>
        <v/>
      </c>
      <c r="AH356" s="53" t="str">
        <f aca="false">IF(AND($W356&lt;&gt;"",$Y356&lt;&gt;""),$Y356-$W356,"")</f>
        <v/>
      </c>
      <c r="AI356" s="53" t="str">
        <f aca="false">IF(AND($X356&lt;&gt;"",$Y356&lt;&gt;""),$Y356-$X356,"")</f>
        <v/>
      </c>
      <c r="AJ356" s="53" t="str">
        <f aca="false">IF($E356&lt;&gt;"",$E356,"")</f>
        <v/>
      </c>
      <c r="AK356" s="52" t="str">
        <f aca="false">IF($F356&lt;&gt;"",$F356,"")</f>
        <v>Apprenant 344 ou 344'</v>
      </c>
      <c r="AL356" s="53" t="str">
        <f aca="false">IF(AND($AB356&lt;&gt;"",$AC356&lt;&gt;""),$AC356-$AB356,"")</f>
        <v/>
      </c>
      <c r="AM356" s="53" t="str">
        <f aca="false">IF(AND($AB356&lt;&gt;"",$AD356&lt;&gt;""),$AD356-$AB356,"")</f>
        <v/>
      </c>
      <c r="AN356" s="53" t="str">
        <f aca="false">IF(AND($AC356&lt;&gt;"",$AD356&lt;&gt;""),$AD356-$AC356,"")</f>
        <v/>
      </c>
      <c r="AO356" s="53" t="str">
        <f aca="false">IF($J356&lt;&gt;"",$J356,"")</f>
        <v/>
      </c>
      <c r="AQ356" s="52" t="str">
        <f aca="false">IF($A356&lt;&gt;"",$A356,"")</f>
        <v>Apprenant 344</v>
      </c>
      <c r="AR356" s="55" t="str">
        <f aca="false">IF(AND('Choix pédagogiques'!$C$4&lt;&gt;"?",'Choix pédagogiques'!$C$5&lt;&gt;"?",W356&lt;&gt;""),(W356-'Choix pédagogiques'!$C$4)/('Choix pédagogiques'!$C$5-'Choix pédagogiques'!$C$4),"")</f>
        <v/>
      </c>
      <c r="AS356" s="55" t="str">
        <f aca="false">IF(AND('Choix pédagogiques'!$C$4&lt;&gt;"?",'Choix pédagogiques'!$C$5&lt;&gt;"?",X356&lt;&gt;""),(X356-'Choix pédagogiques'!$C$4)/('Choix pédagogiques'!$C$5-'Choix pédagogiques'!$C$4),"")</f>
        <v/>
      </c>
      <c r="AT356" s="55" t="str">
        <f aca="false">IF(AND('Choix pédagogiques'!$C$4&lt;&gt;"?",'Choix pédagogiques'!$C$5&lt;&gt;"?",Y356&lt;&gt;""),(Y356-'Choix pédagogiques'!$C$4)/('Choix pédagogiques'!$C$5-'Choix pédagogiques'!$C$4),"")</f>
        <v/>
      </c>
      <c r="AU356" s="53" t="str">
        <f aca="false">IF($E356&lt;&gt;"",$E356,"")</f>
        <v/>
      </c>
      <c r="AV356" s="52" t="str">
        <f aca="false">IF($F356&lt;&gt;"",$F356,"")</f>
        <v>Apprenant 344 ou 344'</v>
      </c>
      <c r="AW356" s="55" t="str">
        <f aca="false">IF(AND('Choix pédagogiques'!$C$4&lt;&gt;"?",'Choix pédagogiques'!$C$5&lt;&gt;"?",AB356&lt;&gt;""),(AB356-'Choix pédagogiques'!$C$4)/('Choix pédagogiques'!$C$5-'Choix pédagogiques'!$C$4),"")</f>
        <v/>
      </c>
      <c r="AX356" s="55" t="str">
        <f aca="false">IF(AND('Choix pédagogiques'!$C$4&lt;&gt;"?",'Choix pédagogiques'!$C$5&lt;&gt;"?",AC356&lt;&gt;""),(AC356-'Choix pédagogiques'!$C$4)/('Choix pédagogiques'!$C$5-'Choix pédagogiques'!$C$4),"")</f>
        <v/>
      </c>
      <c r="AY356" s="55" t="str">
        <f aca="false">IF(AND('Choix pédagogiques'!$C$4&lt;&gt;"?",'Choix pédagogiques'!$C$5&lt;&gt;"?",AD356&lt;&gt;""),(AD356-'Choix pédagogiques'!$C$4)/('Choix pédagogiques'!$C$5-'Choix pédagogiques'!$C$4),"")</f>
        <v/>
      </c>
      <c r="AZ356" s="53" t="str">
        <f aca="false">IF($J356&lt;&gt;"",$J356,"")</f>
        <v/>
      </c>
      <c r="BA356" s="52" t="str">
        <f aca="false">IF($A356&lt;&gt;"",$A356,"")</f>
        <v>Apprenant 344</v>
      </c>
      <c r="BB356" s="55" t="str">
        <f aca="false">IF(AND($AR356&lt;&gt;"",$AS356&lt;&gt;""),$AS356-$AR356,"")</f>
        <v/>
      </c>
      <c r="BC356" s="55" t="str">
        <f aca="false">IF(AND($AR356&lt;&gt;"",$AT356&lt;&gt;""),$AT356-$AR356,"")</f>
        <v/>
      </c>
      <c r="BD356" s="55" t="str">
        <f aca="false">IF(AND($AS356&lt;&gt;"",$AT356&lt;&gt;""),$AT356-$AS356,"")</f>
        <v/>
      </c>
      <c r="BE356" s="53" t="str">
        <f aca="false">IF($E356&lt;&gt;"",$E356,"")</f>
        <v/>
      </c>
      <c r="BF356" s="52" t="str">
        <f aca="false">IF($F356&lt;&gt;"",$F356,"")</f>
        <v>Apprenant 344 ou 344'</v>
      </c>
      <c r="BG356" s="55" t="str">
        <f aca="false">IF(AND($AW356&lt;&gt;"",$AX356&lt;&gt;""),$AX356-$AW356,"")</f>
        <v/>
      </c>
      <c r="BH356" s="55" t="str">
        <f aca="false">IF(AND($AW356&lt;&gt;"",$AY356&lt;&gt;""),$AY356-$AW356,"")</f>
        <v/>
      </c>
      <c r="BI356" s="55" t="str">
        <f aca="false">IF(AND($AX356&lt;&gt;"",$AY356&lt;&gt;""),$AY356-$AX356,"")</f>
        <v/>
      </c>
      <c r="BJ356" s="53" t="str">
        <f aca="false">IF($J356&lt;&gt;"",$J356,"")</f>
        <v/>
      </c>
      <c r="BL356" s="52"/>
      <c r="BM356" s="52" t="str">
        <f aca="false">IF(OR(COUNT(B356:D1355)=0,AND('Choix pédagogiques'!$C$3&lt;&gt;1,'Choix pédagogiques'!$C$3&lt;&gt;2)),"",IF(AND(OR('Choix pédagogiques'!$C$3=1,'Choix pédagogiques'!$C$3=2),$B356&lt;&gt;"",$C356&lt;&gt;"",$D356&lt;&gt;""),1,0))</f>
        <v/>
      </c>
      <c r="BN356" s="52" t="str">
        <f aca="false">IF(OR(COUNT(G356:I1355)=0,AND('Choix pédagogiques'!$C$3&lt;&gt;1,'Choix pédagogiques'!$C$3&lt;&gt;2)),"",IF(AND(OR('Choix pédagogiques'!$C$3=1,'Choix pédagogiques'!$C$3=2),AND($G356&lt;&gt;"",$H356&lt;&gt;"",$I356&lt;&gt;"")),1,0))</f>
        <v/>
      </c>
      <c r="BO356" s="52" t="str">
        <f aca="false">IF(OR(COUNT(B356:D1355)=0,COUNT(G356:I1355)=0,'Choix pédagogiques'!C$3&lt;&gt;3),"",IF(AND('Choix pédagogiques'!$C$3=3,$B356&lt;&gt;"",$C356&lt;&gt;"",$D356&lt;&gt;"",$G356&lt;&gt;"",$H356&lt;&gt;"",$I356&lt;&gt;""),1,0))</f>
        <v/>
      </c>
      <c r="BR356" s="52" t="n">
        <v>983</v>
      </c>
      <c r="BS356" s="52" t="n">
        <v>1501</v>
      </c>
    </row>
    <row r="357" s="54" customFormat="true" ht="18" hidden="false" customHeight="true" outlineLevel="0" collapsed="false">
      <c r="A357" s="57" t="s">
        <v>645</v>
      </c>
      <c r="B357" s="51"/>
      <c r="C357" s="51"/>
      <c r="D357" s="51"/>
      <c r="E357" s="51"/>
      <c r="F357" s="57" t="s">
        <v>646</v>
      </c>
      <c r="G357" s="51"/>
      <c r="H357" s="51"/>
      <c r="I357" s="51"/>
      <c r="J357" s="51"/>
      <c r="K357" s="52" t="str">
        <f aca="false">IF($A357&lt;&gt;"",$A357,"")</f>
        <v>Apprenant 345</v>
      </c>
      <c r="L357" s="53" t="str">
        <f aca="false">IF(AND($B357&lt;&gt;"",$C357&lt;&gt;""),$C357-$B357,"")</f>
        <v/>
      </c>
      <c r="M357" s="53" t="str">
        <f aca="false">IF(AND($B357&lt;&gt;"",$D357&lt;&gt;""),$D357-$B357,"")</f>
        <v/>
      </c>
      <c r="N357" s="53" t="str">
        <f aca="false">IF(AND($C357&lt;&gt;"",$D357&lt;&gt;""),$D357-$C357,"")</f>
        <v/>
      </c>
      <c r="O357" s="53" t="str">
        <f aca="false">IF($E357&lt;&gt;"",$E357,"")</f>
        <v/>
      </c>
      <c r="P357" s="52" t="str">
        <f aca="false">IF($F357&lt;&gt;"",$F357,"")</f>
        <v>Apprenant 345 ou 345'</v>
      </c>
      <c r="Q357" s="53" t="str">
        <f aca="false">IF(AND($G357&lt;&gt;"",$H357&lt;&gt;""),$H357-$G357,"")</f>
        <v/>
      </c>
      <c r="R357" s="53" t="str">
        <f aca="false">IF(AND($G357&lt;&gt;"",$I357&lt;&gt;""),$I357-$G357,"")</f>
        <v/>
      </c>
      <c r="S357" s="53" t="str">
        <f aca="false">IF(AND($H357&lt;&gt;"",$I357&lt;&gt;""),$I357-$H357,"")</f>
        <v/>
      </c>
      <c r="T357" s="53" t="str">
        <f aca="false">IF($J357&lt;&gt;"",$J357,"")</f>
        <v/>
      </c>
      <c r="V357" s="52" t="str">
        <f aca="false">IF($A357&lt;&gt;"",$A357,"")</f>
        <v>Apprenant 345</v>
      </c>
      <c r="W357" s="53" t="str">
        <f aca="false">IF(AND(OR('Choix pédagogiques'!$C$3=1,'Choix pédagogiques'!$C$3=2),$BM357=1),B357,IF(AND('Choix pédagogiques'!$C$3=3,$BO357=1),B357,""))</f>
        <v/>
      </c>
      <c r="X357" s="53" t="str">
        <f aca="false">IF(AND(OR('Choix pédagogiques'!$C$3=1,'Choix pédagogiques'!$C$3=2),$BM357=1),C357,IF(AND('Choix pédagogiques'!$C$3=3,$BO357=1),C357,""))</f>
        <v/>
      </c>
      <c r="Y357" s="53" t="str">
        <f aca="false">IF(AND(OR('Choix pédagogiques'!$C$3=1,'Choix pédagogiques'!$C$3=2),$BM357=1),D357,IF(AND('Choix pédagogiques'!$C$3=3,$BO357=1),D357,""))</f>
        <v/>
      </c>
      <c r="Z357" s="53" t="str">
        <f aca="false">IF($E357&lt;&gt;"",$E357,"")</f>
        <v/>
      </c>
      <c r="AA357" s="52" t="str">
        <f aca="false">IF($F357&lt;&gt;"",$F357,"")</f>
        <v>Apprenant 345 ou 345'</v>
      </c>
      <c r="AB357" s="53" t="str">
        <f aca="false">IF(AND(OR('Choix pédagogiques'!$C$3=1,'Choix pédagogiques'!$C$3=2),$BN357=1),G357,IF(AND('Choix pédagogiques'!$C$3=3,$BO357=1),G357,""))</f>
        <v/>
      </c>
      <c r="AC357" s="53" t="str">
        <f aca="false">IF(AND(OR('Choix pédagogiques'!$C$3=1,'Choix pédagogiques'!$C$3=2),$BN357=1),H357,IF(AND('Choix pédagogiques'!$C$3=3,$BO357=1),H357,""))</f>
        <v/>
      </c>
      <c r="AD357" s="53" t="str">
        <f aca="false">IF(AND(OR('Choix pédagogiques'!$C$3=1,'Choix pédagogiques'!$C$3=2),$BN357=1),I357,IF(AND('Choix pédagogiques'!$C$3=3,$BO357=1),I357,""))</f>
        <v/>
      </c>
      <c r="AE357" s="53" t="str">
        <f aca="false">IF($J357&lt;&gt;"",$J357,"")</f>
        <v/>
      </c>
      <c r="AF357" s="52" t="str">
        <f aca="false">IF($A357&lt;&gt;"",$A357,"")</f>
        <v>Apprenant 345</v>
      </c>
      <c r="AG357" s="53" t="str">
        <f aca="false">IF(AND($W357&lt;&gt;"",$X357&lt;&gt;""),$X357-$W357,"")</f>
        <v/>
      </c>
      <c r="AH357" s="53" t="str">
        <f aca="false">IF(AND($W357&lt;&gt;"",$Y357&lt;&gt;""),$Y357-$W357,"")</f>
        <v/>
      </c>
      <c r="AI357" s="53" t="str">
        <f aca="false">IF(AND($X357&lt;&gt;"",$Y357&lt;&gt;""),$Y357-$X357,"")</f>
        <v/>
      </c>
      <c r="AJ357" s="53" t="str">
        <f aca="false">IF($E357&lt;&gt;"",$E357,"")</f>
        <v/>
      </c>
      <c r="AK357" s="52" t="str">
        <f aca="false">IF($F357&lt;&gt;"",$F357,"")</f>
        <v>Apprenant 345 ou 345'</v>
      </c>
      <c r="AL357" s="53" t="str">
        <f aca="false">IF(AND($AB357&lt;&gt;"",$AC357&lt;&gt;""),$AC357-$AB357,"")</f>
        <v/>
      </c>
      <c r="AM357" s="53" t="str">
        <f aca="false">IF(AND($AB357&lt;&gt;"",$AD357&lt;&gt;""),$AD357-$AB357,"")</f>
        <v/>
      </c>
      <c r="AN357" s="53" t="str">
        <f aca="false">IF(AND($AC357&lt;&gt;"",$AD357&lt;&gt;""),$AD357-$AC357,"")</f>
        <v/>
      </c>
      <c r="AO357" s="53" t="str">
        <f aca="false">IF($J357&lt;&gt;"",$J357,"")</f>
        <v/>
      </c>
      <c r="AQ357" s="52" t="str">
        <f aca="false">IF($A357&lt;&gt;"",$A357,"")</f>
        <v>Apprenant 345</v>
      </c>
      <c r="AR357" s="55" t="str">
        <f aca="false">IF(AND('Choix pédagogiques'!$C$4&lt;&gt;"?",'Choix pédagogiques'!$C$5&lt;&gt;"?",W357&lt;&gt;""),(W357-'Choix pédagogiques'!$C$4)/('Choix pédagogiques'!$C$5-'Choix pédagogiques'!$C$4),"")</f>
        <v/>
      </c>
      <c r="AS357" s="55" t="str">
        <f aca="false">IF(AND('Choix pédagogiques'!$C$4&lt;&gt;"?",'Choix pédagogiques'!$C$5&lt;&gt;"?",X357&lt;&gt;""),(X357-'Choix pédagogiques'!$C$4)/('Choix pédagogiques'!$C$5-'Choix pédagogiques'!$C$4),"")</f>
        <v/>
      </c>
      <c r="AT357" s="55" t="str">
        <f aca="false">IF(AND('Choix pédagogiques'!$C$4&lt;&gt;"?",'Choix pédagogiques'!$C$5&lt;&gt;"?",Y357&lt;&gt;""),(Y357-'Choix pédagogiques'!$C$4)/('Choix pédagogiques'!$C$5-'Choix pédagogiques'!$C$4),"")</f>
        <v/>
      </c>
      <c r="AU357" s="53" t="str">
        <f aca="false">IF($E357&lt;&gt;"",$E357,"")</f>
        <v/>
      </c>
      <c r="AV357" s="52" t="str">
        <f aca="false">IF($F357&lt;&gt;"",$F357,"")</f>
        <v>Apprenant 345 ou 345'</v>
      </c>
      <c r="AW357" s="55" t="str">
        <f aca="false">IF(AND('Choix pédagogiques'!$C$4&lt;&gt;"?",'Choix pédagogiques'!$C$5&lt;&gt;"?",AB357&lt;&gt;""),(AB357-'Choix pédagogiques'!$C$4)/('Choix pédagogiques'!$C$5-'Choix pédagogiques'!$C$4),"")</f>
        <v/>
      </c>
      <c r="AX357" s="55" t="str">
        <f aca="false">IF(AND('Choix pédagogiques'!$C$4&lt;&gt;"?",'Choix pédagogiques'!$C$5&lt;&gt;"?",AC357&lt;&gt;""),(AC357-'Choix pédagogiques'!$C$4)/('Choix pédagogiques'!$C$5-'Choix pédagogiques'!$C$4),"")</f>
        <v/>
      </c>
      <c r="AY357" s="55" t="str">
        <f aca="false">IF(AND('Choix pédagogiques'!$C$4&lt;&gt;"?",'Choix pédagogiques'!$C$5&lt;&gt;"?",AD357&lt;&gt;""),(AD357-'Choix pédagogiques'!$C$4)/('Choix pédagogiques'!$C$5-'Choix pédagogiques'!$C$4),"")</f>
        <v/>
      </c>
      <c r="AZ357" s="53" t="str">
        <f aca="false">IF($J357&lt;&gt;"",$J357,"")</f>
        <v/>
      </c>
      <c r="BA357" s="52" t="str">
        <f aca="false">IF($A357&lt;&gt;"",$A357,"")</f>
        <v>Apprenant 345</v>
      </c>
      <c r="BB357" s="55" t="str">
        <f aca="false">IF(AND($AR357&lt;&gt;"",$AS357&lt;&gt;""),$AS357-$AR357,"")</f>
        <v/>
      </c>
      <c r="BC357" s="55" t="str">
        <f aca="false">IF(AND($AR357&lt;&gt;"",$AT357&lt;&gt;""),$AT357-$AR357,"")</f>
        <v/>
      </c>
      <c r="BD357" s="55" t="str">
        <f aca="false">IF(AND($AS357&lt;&gt;"",$AT357&lt;&gt;""),$AT357-$AS357,"")</f>
        <v/>
      </c>
      <c r="BE357" s="53" t="str">
        <f aca="false">IF($E357&lt;&gt;"",$E357,"")</f>
        <v/>
      </c>
      <c r="BF357" s="52" t="str">
        <f aca="false">IF($F357&lt;&gt;"",$F357,"")</f>
        <v>Apprenant 345 ou 345'</v>
      </c>
      <c r="BG357" s="55" t="str">
        <f aca="false">IF(AND($AW357&lt;&gt;"",$AX357&lt;&gt;""),$AX357-$AW357,"")</f>
        <v/>
      </c>
      <c r="BH357" s="55" t="str">
        <f aca="false">IF(AND($AW357&lt;&gt;"",$AY357&lt;&gt;""),$AY357-$AW357,"")</f>
        <v/>
      </c>
      <c r="BI357" s="55" t="str">
        <f aca="false">IF(AND($AX357&lt;&gt;"",$AY357&lt;&gt;""),$AY357-$AX357,"")</f>
        <v/>
      </c>
      <c r="BJ357" s="53" t="str">
        <f aca="false">IF($J357&lt;&gt;"",$J357,"")</f>
        <v/>
      </c>
      <c r="BL357" s="52"/>
      <c r="BM357" s="52" t="str">
        <f aca="false">IF(OR(COUNT(B357:D1356)=0,AND('Choix pédagogiques'!$C$3&lt;&gt;1,'Choix pédagogiques'!$C$3&lt;&gt;2)),"",IF(AND(OR('Choix pédagogiques'!$C$3=1,'Choix pédagogiques'!$C$3=2),$B357&lt;&gt;"",$C357&lt;&gt;"",$D357&lt;&gt;""),1,0))</f>
        <v/>
      </c>
      <c r="BN357" s="52" t="str">
        <f aca="false">IF(OR(COUNT(G357:I1356)=0,AND('Choix pédagogiques'!$C$3&lt;&gt;1,'Choix pédagogiques'!$C$3&lt;&gt;2)),"",IF(AND(OR('Choix pédagogiques'!$C$3=1,'Choix pédagogiques'!$C$3=2),AND($G357&lt;&gt;"",$H357&lt;&gt;"",$I357&lt;&gt;"")),1,0))</f>
        <v/>
      </c>
      <c r="BO357" s="52" t="str">
        <f aca="false">IF(OR(COUNT(B357:D1356)=0,COUNT(G357:I1356)=0,'Choix pédagogiques'!C$3&lt;&gt;3),"",IF(AND('Choix pédagogiques'!$C$3=3,$B357&lt;&gt;"",$C357&lt;&gt;"",$D357&lt;&gt;"",$G357&lt;&gt;"",$H357&lt;&gt;"",$I357&lt;&gt;""),1,0))</f>
        <v/>
      </c>
      <c r="BR357" s="52" t="n">
        <v>658</v>
      </c>
      <c r="BS357" s="52" t="n">
        <v>1197</v>
      </c>
    </row>
    <row r="358" s="54" customFormat="true" ht="18" hidden="false" customHeight="true" outlineLevel="0" collapsed="false">
      <c r="A358" s="57" t="s">
        <v>647</v>
      </c>
      <c r="B358" s="51"/>
      <c r="C358" s="51"/>
      <c r="D358" s="51"/>
      <c r="E358" s="51"/>
      <c r="F358" s="57" t="s">
        <v>648</v>
      </c>
      <c r="G358" s="51"/>
      <c r="H358" s="51"/>
      <c r="I358" s="51"/>
      <c r="J358" s="51"/>
      <c r="K358" s="52" t="str">
        <f aca="false">IF($A358&lt;&gt;"",$A358,"")</f>
        <v>Apprenant 346</v>
      </c>
      <c r="L358" s="53" t="str">
        <f aca="false">IF(AND($B358&lt;&gt;"",$C358&lt;&gt;""),$C358-$B358,"")</f>
        <v/>
      </c>
      <c r="M358" s="53" t="str">
        <f aca="false">IF(AND($B358&lt;&gt;"",$D358&lt;&gt;""),$D358-$B358,"")</f>
        <v/>
      </c>
      <c r="N358" s="53" t="str">
        <f aca="false">IF(AND($C358&lt;&gt;"",$D358&lt;&gt;""),$D358-$C358,"")</f>
        <v/>
      </c>
      <c r="O358" s="53" t="str">
        <f aca="false">IF($E358&lt;&gt;"",$E358,"")</f>
        <v/>
      </c>
      <c r="P358" s="52" t="str">
        <f aca="false">IF($F358&lt;&gt;"",$F358,"")</f>
        <v>Apprenant 346 ou 346'</v>
      </c>
      <c r="Q358" s="53" t="str">
        <f aca="false">IF(AND($G358&lt;&gt;"",$H358&lt;&gt;""),$H358-$G358,"")</f>
        <v/>
      </c>
      <c r="R358" s="53" t="str">
        <f aca="false">IF(AND($G358&lt;&gt;"",$I358&lt;&gt;""),$I358-$G358,"")</f>
        <v/>
      </c>
      <c r="S358" s="53" t="str">
        <f aca="false">IF(AND($H358&lt;&gt;"",$I358&lt;&gt;""),$I358-$H358,"")</f>
        <v/>
      </c>
      <c r="T358" s="53" t="str">
        <f aca="false">IF($J358&lt;&gt;"",$J358,"")</f>
        <v/>
      </c>
      <c r="V358" s="52" t="str">
        <f aca="false">IF($A358&lt;&gt;"",$A358,"")</f>
        <v>Apprenant 346</v>
      </c>
      <c r="W358" s="53" t="str">
        <f aca="false">IF(AND(OR('Choix pédagogiques'!$C$3=1,'Choix pédagogiques'!$C$3=2),$BM358=1),B358,IF(AND('Choix pédagogiques'!$C$3=3,$BO358=1),B358,""))</f>
        <v/>
      </c>
      <c r="X358" s="53" t="str">
        <f aca="false">IF(AND(OR('Choix pédagogiques'!$C$3=1,'Choix pédagogiques'!$C$3=2),$BM358=1),C358,IF(AND('Choix pédagogiques'!$C$3=3,$BO358=1),C358,""))</f>
        <v/>
      </c>
      <c r="Y358" s="53" t="str">
        <f aca="false">IF(AND(OR('Choix pédagogiques'!$C$3=1,'Choix pédagogiques'!$C$3=2),$BM358=1),D358,IF(AND('Choix pédagogiques'!$C$3=3,$BO358=1),D358,""))</f>
        <v/>
      </c>
      <c r="Z358" s="53" t="str">
        <f aca="false">IF($E358&lt;&gt;"",$E358,"")</f>
        <v/>
      </c>
      <c r="AA358" s="52" t="str">
        <f aca="false">IF($F358&lt;&gt;"",$F358,"")</f>
        <v>Apprenant 346 ou 346'</v>
      </c>
      <c r="AB358" s="53" t="str">
        <f aca="false">IF(AND(OR('Choix pédagogiques'!$C$3=1,'Choix pédagogiques'!$C$3=2),$BN358=1),G358,IF(AND('Choix pédagogiques'!$C$3=3,$BO358=1),G358,""))</f>
        <v/>
      </c>
      <c r="AC358" s="53" t="str">
        <f aca="false">IF(AND(OR('Choix pédagogiques'!$C$3=1,'Choix pédagogiques'!$C$3=2),$BN358=1),H358,IF(AND('Choix pédagogiques'!$C$3=3,$BO358=1),H358,""))</f>
        <v/>
      </c>
      <c r="AD358" s="53" t="str">
        <f aca="false">IF(AND(OR('Choix pédagogiques'!$C$3=1,'Choix pédagogiques'!$C$3=2),$BN358=1),I358,IF(AND('Choix pédagogiques'!$C$3=3,$BO358=1),I358,""))</f>
        <v/>
      </c>
      <c r="AE358" s="53" t="str">
        <f aca="false">IF($J358&lt;&gt;"",$J358,"")</f>
        <v/>
      </c>
      <c r="AF358" s="52" t="str">
        <f aca="false">IF($A358&lt;&gt;"",$A358,"")</f>
        <v>Apprenant 346</v>
      </c>
      <c r="AG358" s="53" t="str">
        <f aca="false">IF(AND($W358&lt;&gt;"",$X358&lt;&gt;""),$X358-$W358,"")</f>
        <v/>
      </c>
      <c r="AH358" s="53" t="str">
        <f aca="false">IF(AND($W358&lt;&gt;"",$Y358&lt;&gt;""),$Y358-$W358,"")</f>
        <v/>
      </c>
      <c r="AI358" s="53" t="str">
        <f aca="false">IF(AND($X358&lt;&gt;"",$Y358&lt;&gt;""),$Y358-$X358,"")</f>
        <v/>
      </c>
      <c r="AJ358" s="53" t="str">
        <f aca="false">IF($E358&lt;&gt;"",$E358,"")</f>
        <v/>
      </c>
      <c r="AK358" s="52" t="str">
        <f aca="false">IF($F358&lt;&gt;"",$F358,"")</f>
        <v>Apprenant 346 ou 346'</v>
      </c>
      <c r="AL358" s="53" t="str">
        <f aca="false">IF(AND($AB358&lt;&gt;"",$AC358&lt;&gt;""),$AC358-$AB358,"")</f>
        <v/>
      </c>
      <c r="AM358" s="53" t="str">
        <f aca="false">IF(AND($AB358&lt;&gt;"",$AD358&lt;&gt;""),$AD358-$AB358,"")</f>
        <v/>
      </c>
      <c r="AN358" s="53" t="str">
        <f aca="false">IF(AND($AC358&lt;&gt;"",$AD358&lt;&gt;""),$AD358-$AC358,"")</f>
        <v/>
      </c>
      <c r="AO358" s="53" t="str">
        <f aca="false">IF($J358&lt;&gt;"",$J358,"")</f>
        <v/>
      </c>
      <c r="AQ358" s="52" t="str">
        <f aca="false">IF($A358&lt;&gt;"",$A358,"")</f>
        <v>Apprenant 346</v>
      </c>
      <c r="AR358" s="55" t="str">
        <f aca="false">IF(AND('Choix pédagogiques'!$C$4&lt;&gt;"?",'Choix pédagogiques'!$C$5&lt;&gt;"?",W358&lt;&gt;""),(W358-'Choix pédagogiques'!$C$4)/('Choix pédagogiques'!$C$5-'Choix pédagogiques'!$C$4),"")</f>
        <v/>
      </c>
      <c r="AS358" s="55" t="str">
        <f aca="false">IF(AND('Choix pédagogiques'!$C$4&lt;&gt;"?",'Choix pédagogiques'!$C$5&lt;&gt;"?",X358&lt;&gt;""),(X358-'Choix pédagogiques'!$C$4)/('Choix pédagogiques'!$C$5-'Choix pédagogiques'!$C$4),"")</f>
        <v/>
      </c>
      <c r="AT358" s="55" t="str">
        <f aca="false">IF(AND('Choix pédagogiques'!$C$4&lt;&gt;"?",'Choix pédagogiques'!$C$5&lt;&gt;"?",Y358&lt;&gt;""),(Y358-'Choix pédagogiques'!$C$4)/('Choix pédagogiques'!$C$5-'Choix pédagogiques'!$C$4),"")</f>
        <v/>
      </c>
      <c r="AU358" s="53" t="str">
        <f aca="false">IF($E358&lt;&gt;"",$E358,"")</f>
        <v/>
      </c>
      <c r="AV358" s="52" t="str">
        <f aca="false">IF($F358&lt;&gt;"",$F358,"")</f>
        <v>Apprenant 346 ou 346'</v>
      </c>
      <c r="AW358" s="55" t="str">
        <f aca="false">IF(AND('Choix pédagogiques'!$C$4&lt;&gt;"?",'Choix pédagogiques'!$C$5&lt;&gt;"?",AB358&lt;&gt;""),(AB358-'Choix pédagogiques'!$C$4)/('Choix pédagogiques'!$C$5-'Choix pédagogiques'!$C$4),"")</f>
        <v/>
      </c>
      <c r="AX358" s="55" t="str">
        <f aca="false">IF(AND('Choix pédagogiques'!$C$4&lt;&gt;"?",'Choix pédagogiques'!$C$5&lt;&gt;"?",AC358&lt;&gt;""),(AC358-'Choix pédagogiques'!$C$4)/('Choix pédagogiques'!$C$5-'Choix pédagogiques'!$C$4),"")</f>
        <v/>
      </c>
      <c r="AY358" s="55" t="str">
        <f aca="false">IF(AND('Choix pédagogiques'!$C$4&lt;&gt;"?",'Choix pédagogiques'!$C$5&lt;&gt;"?",AD358&lt;&gt;""),(AD358-'Choix pédagogiques'!$C$4)/('Choix pédagogiques'!$C$5-'Choix pédagogiques'!$C$4),"")</f>
        <v/>
      </c>
      <c r="AZ358" s="53" t="str">
        <f aca="false">IF($J358&lt;&gt;"",$J358,"")</f>
        <v/>
      </c>
      <c r="BA358" s="52" t="str">
        <f aca="false">IF($A358&lt;&gt;"",$A358,"")</f>
        <v>Apprenant 346</v>
      </c>
      <c r="BB358" s="55" t="str">
        <f aca="false">IF(AND($AR358&lt;&gt;"",$AS358&lt;&gt;""),$AS358-$AR358,"")</f>
        <v/>
      </c>
      <c r="BC358" s="55" t="str">
        <f aca="false">IF(AND($AR358&lt;&gt;"",$AT358&lt;&gt;""),$AT358-$AR358,"")</f>
        <v/>
      </c>
      <c r="BD358" s="55" t="str">
        <f aca="false">IF(AND($AS358&lt;&gt;"",$AT358&lt;&gt;""),$AT358-$AS358,"")</f>
        <v/>
      </c>
      <c r="BE358" s="53" t="str">
        <f aca="false">IF($E358&lt;&gt;"",$E358,"")</f>
        <v/>
      </c>
      <c r="BF358" s="52" t="str">
        <f aca="false">IF($F358&lt;&gt;"",$F358,"")</f>
        <v>Apprenant 346 ou 346'</v>
      </c>
      <c r="BG358" s="55" t="str">
        <f aca="false">IF(AND($AW358&lt;&gt;"",$AX358&lt;&gt;""),$AX358-$AW358,"")</f>
        <v/>
      </c>
      <c r="BH358" s="55" t="str">
        <f aca="false">IF(AND($AW358&lt;&gt;"",$AY358&lt;&gt;""),$AY358-$AW358,"")</f>
        <v/>
      </c>
      <c r="BI358" s="55" t="str">
        <f aca="false">IF(AND($AX358&lt;&gt;"",$AY358&lt;&gt;""),$AY358-$AX358,"")</f>
        <v/>
      </c>
      <c r="BJ358" s="53" t="str">
        <f aca="false">IF($J358&lt;&gt;"",$J358,"")</f>
        <v/>
      </c>
      <c r="BL358" s="52"/>
      <c r="BM358" s="52" t="str">
        <f aca="false">IF(OR(COUNT(B358:D1357)=0,AND('Choix pédagogiques'!$C$3&lt;&gt;1,'Choix pédagogiques'!$C$3&lt;&gt;2)),"",IF(AND(OR('Choix pédagogiques'!$C$3=1,'Choix pédagogiques'!$C$3=2),$B358&lt;&gt;"",$C358&lt;&gt;"",$D358&lt;&gt;""),1,0))</f>
        <v/>
      </c>
      <c r="BN358" s="52" t="str">
        <f aca="false">IF(OR(COUNT(G358:I1357)=0,AND('Choix pédagogiques'!$C$3&lt;&gt;1,'Choix pédagogiques'!$C$3&lt;&gt;2)),"",IF(AND(OR('Choix pédagogiques'!$C$3=1,'Choix pédagogiques'!$C$3=2),AND($G358&lt;&gt;"",$H358&lt;&gt;"",$I358&lt;&gt;"")),1,0))</f>
        <v/>
      </c>
      <c r="BO358" s="52" t="str">
        <f aca="false">IF(OR(COUNT(B358:D1357)=0,COUNT(G358:I1357)=0,'Choix pédagogiques'!C$3&lt;&gt;3),"",IF(AND('Choix pédagogiques'!$C$3=3,$B358&lt;&gt;"",$C358&lt;&gt;"",$D358&lt;&gt;"",$G358&lt;&gt;"",$H358&lt;&gt;"",$I358&lt;&gt;""),1,0))</f>
        <v/>
      </c>
      <c r="BR358" s="52" t="n">
        <v>86</v>
      </c>
      <c r="BS358" s="52" t="n">
        <v>1106</v>
      </c>
    </row>
    <row r="359" s="54" customFormat="true" ht="18" hidden="false" customHeight="true" outlineLevel="0" collapsed="false">
      <c r="A359" s="57" t="s">
        <v>649</v>
      </c>
      <c r="B359" s="51"/>
      <c r="C359" s="51"/>
      <c r="D359" s="51"/>
      <c r="E359" s="51"/>
      <c r="F359" s="57" t="s">
        <v>650</v>
      </c>
      <c r="G359" s="51"/>
      <c r="H359" s="51"/>
      <c r="I359" s="51"/>
      <c r="J359" s="51"/>
      <c r="K359" s="52" t="str">
        <f aca="false">IF($A359&lt;&gt;"",$A359,"")</f>
        <v>Apprenant 347</v>
      </c>
      <c r="L359" s="53" t="str">
        <f aca="false">IF(AND($B359&lt;&gt;"",$C359&lt;&gt;""),$C359-$B359,"")</f>
        <v/>
      </c>
      <c r="M359" s="53" t="str">
        <f aca="false">IF(AND($B359&lt;&gt;"",$D359&lt;&gt;""),$D359-$B359,"")</f>
        <v/>
      </c>
      <c r="N359" s="53" t="str">
        <f aca="false">IF(AND($C359&lt;&gt;"",$D359&lt;&gt;""),$D359-$C359,"")</f>
        <v/>
      </c>
      <c r="O359" s="53" t="str">
        <f aca="false">IF($E359&lt;&gt;"",$E359,"")</f>
        <v/>
      </c>
      <c r="P359" s="52" t="str">
        <f aca="false">IF($F359&lt;&gt;"",$F359,"")</f>
        <v>Apprenant 347 ou 347'</v>
      </c>
      <c r="Q359" s="53" t="str">
        <f aca="false">IF(AND($G359&lt;&gt;"",$H359&lt;&gt;""),$H359-$G359,"")</f>
        <v/>
      </c>
      <c r="R359" s="53" t="str">
        <f aca="false">IF(AND($G359&lt;&gt;"",$I359&lt;&gt;""),$I359-$G359,"")</f>
        <v/>
      </c>
      <c r="S359" s="53" t="str">
        <f aca="false">IF(AND($H359&lt;&gt;"",$I359&lt;&gt;""),$I359-$H359,"")</f>
        <v/>
      </c>
      <c r="T359" s="53" t="str">
        <f aca="false">IF($J359&lt;&gt;"",$J359,"")</f>
        <v/>
      </c>
      <c r="V359" s="52" t="str">
        <f aca="false">IF($A359&lt;&gt;"",$A359,"")</f>
        <v>Apprenant 347</v>
      </c>
      <c r="W359" s="53" t="str">
        <f aca="false">IF(AND(OR('Choix pédagogiques'!$C$3=1,'Choix pédagogiques'!$C$3=2),$BM359=1),B359,IF(AND('Choix pédagogiques'!$C$3=3,$BO359=1),B359,""))</f>
        <v/>
      </c>
      <c r="X359" s="53" t="str">
        <f aca="false">IF(AND(OR('Choix pédagogiques'!$C$3=1,'Choix pédagogiques'!$C$3=2),$BM359=1),C359,IF(AND('Choix pédagogiques'!$C$3=3,$BO359=1),C359,""))</f>
        <v/>
      </c>
      <c r="Y359" s="53" t="str">
        <f aca="false">IF(AND(OR('Choix pédagogiques'!$C$3=1,'Choix pédagogiques'!$C$3=2),$BM359=1),D359,IF(AND('Choix pédagogiques'!$C$3=3,$BO359=1),D359,""))</f>
        <v/>
      </c>
      <c r="Z359" s="53" t="str">
        <f aca="false">IF($E359&lt;&gt;"",$E359,"")</f>
        <v/>
      </c>
      <c r="AA359" s="52" t="str">
        <f aca="false">IF($F359&lt;&gt;"",$F359,"")</f>
        <v>Apprenant 347 ou 347'</v>
      </c>
      <c r="AB359" s="53" t="str">
        <f aca="false">IF(AND(OR('Choix pédagogiques'!$C$3=1,'Choix pédagogiques'!$C$3=2),$BN359=1),G359,IF(AND('Choix pédagogiques'!$C$3=3,$BO359=1),G359,""))</f>
        <v/>
      </c>
      <c r="AC359" s="53" t="str">
        <f aca="false">IF(AND(OR('Choix pédagogiques'!$C$3=1,'Choix pédagogiques'!$C$3=2),$BN359=1),H359,IF(AND('Choix pédagogiques'!$C$3=3,$BO359=1),H359,""))</f>
        <v/>
      </c>
      <c r="AD359" s="53" t="str">
        <f aca="false">IF(AND(OR('Choix pédagogiques'!$C$3=1,'Choix pédagogiques'!$C$3=2),$BN359=1),I359,IF(AND('Choix pédagogiques'!$C$3=3,$BO359=1),I359,""))</f>
        <v/>
      </c>
      <c r="AE359" s="53" t="str">
        <f aca="false">IF($J359&lt;&gt;"",$J359,"")</f>
        <v/>
      </c>
      <c r="AF359" s="52" t="str">
        <f aca="false">IF($A359&lt;&gt;"",$A359,"")</f>
        <v>Apprenant 347</v>
      </c>
      <c r="AG359" s="53" t="str">
        <f aca="false">IF(AND($W359&lt;&gt;"",$X359&lt;&gt;""),$X359-$W359,"")</f>
        <v/>
      </c>
      <c r="AH359" s="53" t="str">
        <f aca="false">IF(AND($W359&lt;&gt;"",$Y359&lt;&gt;""),$Y359-$W359,"")</f>
        <v/>
      </c>
      <c r="AI359" s="53" t="str">
        <f aca="false">IF(AND($X359&lt;&gt;"",$Y359&lt;&gt;""),$Y359-$X359,"")</f>
        <v/>
      </c>
      <c r="AJ359" s="53" t="str">
        <f aca="false">IF($E359&lt;&gt;"",$E359,"")</f>
        <v/>
      </c>
      <c r="AK359" s="52" t="str">
        <f aca="false">IF($F359&lt;&gt;"",$F359,"")</f>
        <v>Apprenant 347 ou 347'</v>
      </c>
      <c r="AL359" s="53" t="str">
        <f aca="false">IF(AND($AB359&lt;&gt;"",$AC359&lt;&gt;""),$AC359-$AB359,"")</f>
        <v/>
      </c>
      <c r="AM359" s="53" t="str">
        <f aca="false">IF(AND($AB359&lt;&gt;"",$AD359&lt;&gt;""),$AD359-$AB359,"")</f>
        <v/>
      </c>
      <c r="AN359" s="53" t="str">
        <f aca="false">IF(AND($AC359&lt;&gt;"",$AD359&lt;&gt;""),$AD359-$AC359,"")</f>
        <v/>
      </c>
      <c r="AO359" s="53" t="str">
        <f aca="false">IF($J359&lt;&gt;"",$J359,"")</f>
        <v/>
      </c>
      <c r="AQ359" s="52" t="str">
        <f aca="false">IF($A359&lt;&gt;"",$A359,"")</f>
        <v>Apprenant 347</v>
      </c>
      <c r="AR359" s="55" t="str">
        <f aca="false">IF(AND('Choix pédagogiques'!$C$4&lt;&gt;"?",'Choix pédagogiques'!$C$5&lt;&gt;"?",W359&lt;&gt;""),(W359-'Choix pédagogiques'!$C$4)/('Choix pédagogiques'!$C$5-'Choix pédagogiques'!$C$4),"")</f>
        <v/>
      </c>
      <c r="AS359" s="55" t="str">
        <f aca="false">IF(AND('Choix pédagogiques'!$C$4&lt;&gt;"?",'Choix pédagogiques'!$C$5&lt;&gt;"?",X359&lt;&gt;""),(X359-'Choix pédagogiques'!$C$4)/('Choix pédagogiques'!$C$5-'Choix pédagogiques'!$C$4),"")</f>
        <v/>
      </c>
      <c r="AT359" s="55" t="str">
        <f aca="false">IF(AND('Choix pédagogiques'!$C$4&lt;&gt;"?",'Choix pédagogiques'!$C$5&lt;&gt;"?",Y359&lt;&gt;""),(Y359-'Choix pédagogiques'!$C$4)/('Choix pédagogiques'!$C$5-'Choix pédagogiques'!$C$4),"")</f>
        <v/>
      </c>
      <c r="AU359" s="53" t="str">
        <f aca="false">IF($E359&lt;&gt;"",$E359,"")</f>
        <v/>
      </c>
      <c r="AV359" s="52" t="str">
        <f aca="false">IF($F359&lt;&gt;"",$F359,"")</f>
        <v>Apprenant 347 ou 347'</v>
      </c>
      <c r="AW359" s="55" t="str">
        <f aca="false">IF(AND('Choix pédagogiques'!$C$4&lt;&gt;"?",'Choix pédagogiques'!$C$5&lt;&gt;"?",AB359&lt;&gt;""),(AB359-'Choix pédagogiques'!$C$4)/('Choix pédagogiques'!$C$5-'Choix pédagogiques'!$C$4),"")</f>
        <v/>
      </c>
      <c r="AX359" s="55" t="str">
        <f aca="false">IF(AND('Choix pédagogiques'!$C$4&lt;&gt;"?",'Choix pédagogiques'!$C$5&lt;&gt;"?",AC359&lt;&gt;""),(AC359-'Choix pédagogiques'!$C$4)/('Choix pédagogiques'!$C$5-'Choix pédagogiques'!$C$4),"")</f>
        <v/>
      </c>
      <c r="AY359" s="55" t="str">
        <f aca="false">IF(AND('Choix pédagogiques'!$C$4&lt;&gt;"?",'Choix pédagogiques'!$C$5&lt;&gt;"?",AD359&lt;&gt;""),(AD359-'Choix pédagogiques'!$C$4)/('Choix pédagogiques'!$C$5-'Choix pédagogiques'!$C$4),"")</f>
        <v/>
      </c>
      <c r="AZ359" s="53" t="str">
        <f aca="false">IF($J359&lt;&gt;"",$J359,"")</f>
        <v/>
      </c>
      <c r="BA359" s="52" t="str">
        <f aca="false">IF($A359&lt;&gt;"",$A359,"")</f>
        <v>Apprenant 347</v>
      </c>
      <c r="BB359" s="55" t="str">
        <f aca="false">IF(AND($AR359&lt;&gt;"",$AS359&lt;&gt;""),$AS359-$AR359,"")</f>
        <v/>
      </c>
      <c r="BC359" s="55" t="str">
        <f aca="false">IF(AND($AR359&lt;&gt;"",$AT359&lt;&gt;""),$AT359-$AR359,"")</f>
        <v/>
      </c>
      <c r="BD359" s="55" t="str">
        <f aca="false">IF(AND($AS359&lt;&gt;"",$AT359&lt;&gt;""),$AT359-$AS359,"")</f>
        <v/>
      </c>
      <c r="BE359" s="53" t="str">
        <f aca="false">IF($E359&lt;&gt;"",$E359,"")</f>
        <v/>
      </c>
      <c r="BF359" s="52" t="str">
        <f aca="false">IF($F359&lt;&gt;"",$F359,"")</f>
        <v>Apprenant 347 ou 347'</v>
      </c>
      <c r="BG359" s="55" t="str">
        <f aca="false">IF(AND($AW359&lt;&gt;"",$AX359&lt;&gt;""),$AX359-$AW359,"")</f>
        <v/>
      </c>
      <c r="BH359" s="55" t="str">
        <f aca="false">IF(AND($AW359&lt;&gt;"",$AY359&lt;&gt;""),$AY359-$AW359,"")</f>
        <v/>
      </c>
      <c r="BI359" s="55" t="str">
        <f aca="false">IF(AND($AX359&lt;&gt;"",$AY359&lt;&gt;""),$AY359-$AX359,"")</f>
        <v/>
      </c>
      <c r="BJ359" s="53" t="str">
        <f aca="false">IF($J359&lt;&gt;"",$J359,"")</f>
        <v/>
      </c>
      <c r="BL359" s="52"/>
      <c r="BM359" s="52" t="str">
        <f aca="false">IF(OR(COUNT(B359:D1358)=0,AND('Choix pédagogiques'!$C$3&lt;&gt;1,'Choix pédagogiques'!$C$3&lt;&gt;2)),"",IF(AND(OR('Choix pédagogiques'!$C$3=1,'Choix pédagogiques'!$C$3=2),$B359&lt;&gt;"",$C359&lt;&gt;"",$D359&lt;&gt;""),1,0))</f>
        <v/>
      </c>
      <c r="BN359" s="52" t="str">
        <f aca="false">IF(OR(COUNT(G359:I1358)=0,AND('Choix pédagogiques'!$C$3&lt;&gt;1,'Choix pédagogiques'!$C$3&lt;&gt;2)),"",IF(AND(OR('Choix pédagogiques'!$C$3=1,'Choix pédagogiques'!$C$3=2),AND($G359&lt;&gt;"",$H359&lt;&gt;"",$I359&lt;&gt;"")),1,0))</f>
        <v/>
      </c>
      <c r="BO359" s="52" t="str">
        <f aca="false">IF(OR(COUNT(B359:D1358)=0,COUNT(G359:I1358)=0,'Choix pédagogiques'!C$3&lt;&gt;3),"",IF(AND('Choix pédagogiques'!$C$3=3,$B359&lt;&gt;"",$C359&lt;&gt;"",$D359&lt;&gt;"",$G359&lt;&gt;"",$H359&lt;&gt;"",$I359&lt;&gt;""),1,0))</f>
        <v/>
      </c>
      <c r="BR359" s="52" t="n">
        <v>504</v>
      </c>
      <c r="BS359" s="52" t="n">
        <v>1644</v>
      </c>
    </row>
    <row r="360" s="54" customFormat="true" ht="18" hidden="false" customHeight="true" outlineLevel="0" collapsed="false">
      <c r="A360" s="57" t="s">
        <v>651</v>
      </c>
      <c r="B360" s="51"/>
      <c r="C360" s="51"/>
      <c r="D360" s="51"/>
      <c r="E360" s="51"/>
      <c r="F360" s="57" t="s">
        <v>652</v>
      </c>
      <c r="G360" s="51"/>
      <c r="H360" s="51"/>
      <c r="I360" s="51"/>
      <c r="J360" s="51"/>
      <c r="K360" s="52" t="str">
        <f aca="false">IF($A360&lt;&gt;"",$A360,"")</f>
        <v>Apprenant 348</v>
      </c>
      <c r="L360" s="53" t="str">
        <f aca="false">IF(AND($B360&lt;&gt;"",$C360&lt;&gt;""),$C360-$B360,"")</f>
        <v/>
      </c>
      <c r="M360" s="53" t="str">
        <f aca="false">IF(AND($B360&lt;&gt;"",$D360&lt;&gt;""),$D360-$B360,"")</f>
        <v/>
      </c>
      <c r="N360" s="53" t="str">
        <f aca="false">IF(AND($C360&lt;&gt;"",$D360&lt;&gt;""),$D360-$C360,"")</f>
        <v/>
      </c>
      <c r="O360" s="53" t="str">
        <f aca="false">IF($E360&lt;&gt;"",$E360,"")</f>
        <v/>
      </c>
      <c r="P360" s="52" t="str">
        <f aca="false">IF($F360&lt;&gt;"",$F360,"")</f>
        <v>Apprenant 348 ou 348'</v>
      </c>
      <c r="Q360" s="53" t="str">
        <f aca="false">IF(AND($G360&lt;&gt;"",$H360&lt;&gt;""),$H360-$G360,"")</f>
        <v/>
      </c>
      <c r="R360" s="53" t="str">
        <f aca="false">IF(AND($G360&lt;&gt;"",$I360&lt;&gt;""),$I360-$G360,"")</f>
        <v/>
      </c>
      <c r="S360" s="53" t="str">
        <f aca="false">IF(AND($H360&lt;&gt;"",$I360&lt;&gt;""),$I360-$H360,"")</f>
        <v/>
      </c>
      <c r="T360" s="53" t="str">
        <f aca="false">IF($J360&lt;&gt;"",$J360,"")</f>
        <v/>
      </c>
      <c r="V360" s="52" t="str">
        <f aca="false">IF($A360&lt;&gt;"",$A360,"")</f>
        <v>Apprenant 348</v>
      </c>
      <c r="W360" s="53" t="str">
        <f aca="false">IF(AND(OR('Choix pédagogiques'!$C$3=1,'Choix pédagogiques'!$C$3=2),$BM360=1),B360,IF(AND('Choix pédagogiques'!$C$3=3,$BO360=1),B360,""))</f>
        <v/>
      </c>
      <c r="X360" s="53" t="str">
        <f aca="false">IF(AND(OR('Choix pédagogiques'!$C$3=1,'Choix pédagogiques'!$C$3=2),$BM360=1),C360,IF(AND('Choix pédagogiques'!$C$3=3,$BO360=1),C360,""))</f>
        <v/>
      </c>
      <c r="Y360" s="53" t="str">
        <f aca="false">IF(AND(OR('Choix pédagogiques'!$C$3=1,'Choix pédagogiques'!$C$3=2),$BM360=1),D360,IF(AND('Choix pédagogiques'!$C$3=3,$BO360=1),D360,""))</f>
        <v/>
      </c>
      <c r="Z360" s="53" t="str">
        <f aca="false">IF($E360&lt;&gt;"",$E360,"")</f>
        <v/>
      </c>
      <c r="AA360" s="52" t="str">
        <f aca="false">IF($F360&lt;&gt;"",$F360,"")</f>
        <v>Apprenant 348 ou 348'</v>
      </c>
      <c r="AB360" s="53" t="str">
        <f aca="false">IF(AND(OR('Choix pédagogiques'!$C$3=1,'Choix pédagogiques'!$C$3=2),$BN360=1),G360,IF(AND('Choix pédagogiques'!$C$3=3,$BO360=1),G360,""))</f>
        <v/>
      </c>
      <c r="AC360" s="53" t="str">
        <f aca="false">IF(AND(OR('Choix pédagogiques'!$C$3=1,'Choix pédagogiques'!$C$3=2),$BN360=1),H360,IF(AND('Choix pédagogiques'!$C$3=3,$BO360=1),H360,""))</f>
        <v/>
      </c>
      <c r="AD360" s="53" t="str">
        <f aca="false">IF(AND(OR('Choix pédagogiques'!$C$3=1,'Choix pédagogiques'!$C$3=2),$BN360=1),I360,IF(AND('Choix pédagogiques'!$C$3=3,$BO360=1),I360,""))</f>
        <v/>
      </c>
      <c r="AE360" s="53" t="str">
        <f aca="false">IF($J360&lt;&gt;"",$J360,"")</f>
        <v/>
      </c>
      <c r="AF360" s="52" t="str">
        <f aca="false">IF($A360&lt;&gt;"",$A360,"")</f>
        <v>Apprenant 348</v>
      </c>
      <c r="AG360" s="53" t="str">
        <f aca="false">IF(AND($W360&lt;&gt;"",$X360&lt;&gt;""),$X360-$W360,"")</f>
        <v/>
      </c>
      <c r="AH360" s="53" t="str">
        <f aca="false">IF(AND($W360&lt;&gt;"",$Y360&lt;&gt;""),$Y360-$W360,"")</f>
        <v/>
      </c>
      <c r="AI360" s="53" t="str">
        <f aca="false">IF(AND($X360&lt;&gt;"",$Y360&lt;&gt;""),$Y360-$X360,"")</f>
        <v/>
      </c>
      <c r="AJ360" s="53" t="str">
        <f aca="false">IF($E360&lt;&gt;"",$E360,"")</f>
        <v/>
      </c>
      <c r="AK360" s="52" t="str">
        <f aca="false">IF($F360&lt;&gt;"",$F360,"")</f>
        <v>Apprenant 348 ou 348'</v>
      </c>
      <c r="AL360" s="53" t="str">
        <f aca="false">IF(AND($AB360&lt;&gt;"",$AC360&lt;&gt;""),$AC360-$AB360,"")</f>
        <v/>
      </c>
      <c r="AM360" s="53" t="str">
        <f aca="false">IF(AND($AB360&lt;&gt;"",$AD360&lt;&gt;""),$AD360-$AB360,"")</f>
        <v/>
      </c>
      <c r="AN360" s="53" t="str">
        <f aca="false">IF(AND($AC360&lt;&gt;"",$AD360&lt;&gt;""),$AD360-$AC360,"")</f>
        <v/>
      </c>
      <c r="AO360" s="53" t="str">
        <f aca="false">IF($J360&lt;&gt;"",$J360,"")</f>
        <v/>
      </c>
      <c r="AQ360" s="52" t="str">
        <f aca="false">IF($A360&lt;&gt;"",$A360,"")</f>
        <v>Apprenant 348</v>
      </c>
      <c r="AR360" s="55" t="str">
        <f aca="false">IF(AND('Choix pédagogiques'!$C$4&lt;&gt;"?",'Choix pédagogiques'!$C$5&lt;&gt;"?",W360&lt;&gt;""),(W360-'Choix pédagogiques'!$C$4)/('Choix pédagogiques'!$C$5-'Choix pédagogiques'!$C$4),"")</f>
        <v/>
      </c>
      <c r="AS360" s="55" t="str">
        <f aca="false">IF(AND('Choix pédagogiques'!$C$4&lt;&gt;"?",'Choix pédagogiques'!$C$5&lt;&gt;"?",X360&lt;&gt;""),(X360-'Choix pédagogiques'!$C$4)/('Choix pédagogiques'!$C$5-'Choix pédagogiques'!$C$4),"")</f>
        <v/>
      </c>
      <c r="AT360" s="55" t="str">
        <f aca="false">IF(AND('Choix pédagogiques'!$C$4&lt;&gt;"?",'Choix pédagogiques'!$C$5&lt;&gt;"?",Y360&lt;&gt;""),(Y360-'Choix pédagogiques'!$C$4)/('Choix pédagogiques'!$C$5-'Choix pédagogiques'!$C$4),"")</f>
        <v/>
      </c>
      <c r="AU360" s="53" t="str">
        <f aca="false">IF($E360&lt;&gt;"",$E360,"")</f>
        <v/>
      </c>
      <c r="AV360" s="52" t="str">
        <f aca="false">IF($F360&lt;&gt;"",$F360,"")</f>
        <v>Apprenant 348 ou 348'</v>
      </c>
      <c r="AW360" s="55" t="str">
        <f aca="false">IF(AND('Choix pédagogiques'!$C$4&lt;&gt;"?",'Choix pédagogiques'!$C$5&lt;&gt;"?",AB360&lt;&gt;""),(AB360-'Choix pédagogiques'!$C$4)/('Choix pédagogiques'!$C$5-'Choix pédagogiques'!$C$4),"")</f>
        <v/>
      </c>
      <c r="AX360" s="55" t="str">
        <f aca="false">IF(AND('Choix pédagogiques'!$C$4&lt;&gt;"?",'Choix pédagogiques'!$C$5&lt;&gt;"?",AC360&lt;&gt;""),(AC360-'Choix pédagogiques'!$C$4)/('Choix pédagogiques'!$C$5-'Choix pédagogiques'!$C$4),"")</f>
        <v/>
      </c>
      <c r="AY360" s="55" t="str">
        <f aca="false">IF(AND('Choix pédagogiques'!$C$4&lt;&gt;"?",'Choix pédagogiques'!$C$5&lt;&gt;"?",AD360&lt;&gt;""),(AD360-'Choix pédagogiques'!$C$4)/('Choix pédagogiques'!$C$5-'Choix pédagogiques'!$C$4),"")</f>
        <v/>
      </c>
      <c r="AZ360" s="53" t="str">
        <f aca="false">IF($J360&lt;&gt;"",$J360,"")</f>
        <v/>
      </c>
      <c r="BA360" s="52" t="str">
        <f aca="false">IF($A360&lt;&gt;"",$A360,"")</f>
        <v>Apprenant 348</v>
      </c>
      <c r="BB360" s="55" t="str">
        <f aca="false">IF(AND($AR360&lt;&gt;"",$AS360&lt;&gt;""),$AS360-$AR360,"")</f>
        <v/>
      </c>
      <c r="BC360" s="55" t="str">
        <f aca="false">IF(AND($AR360&lt;&gt;"",$AT360&lt;&gt;""),$AT360-$AR360,"")</f>
        <v/>
      </c>
      <c r="BD360" s="55" t="str">
        <f aca="false">IF(AND($AS360&lt;&gt;"",$AT360&lt;&gt;""),$AT360-$AS360,"")</f>
        <v/>
      </c>
      <c r="BE360" s="53" t="str">
        <f aca="false">IF($E360&lt;&gt;"",$E360,"")</f>
        <v/>
      </c>
      <c r="BF360" s="52" t="str">
        <f aca="false">IF($F360&lt;&gt;"",$F360,"")</f>
        <v>Apprenant 348 ou 348'</v>
      </c>
      <c r="BG360" s="55" t="str">
        <f aca="false">IF(AND($AW360&lt;&gt;"",$AX360&lt;&gt;""),$AX360-$AW360,"")</f>
        <v/>
      </c>
      <c r="BH360" s="55" t="str">
        <f aca="false">IF(AND($AW360&lt;&gt;"",$AY360&lt;&gt;""),$AY360-$AW360,"")</f>
        <v/>
      </c>
      <c r="BI360" s="55" t="str">
        <f aca="false">IF(AND($AX360&lt;&gt;"",$AY360&lt;&gt;""),$AY360-$AX360,"")</f>
        <v/>
      </c>
      <c r="BJ360" s="53" t="str">
        <f aca="false">IF($J360&lt;&gt;"",$J360,"")</f>
        <v/>
      </c>
      <c r="BL360" s="52"/>
      <c r="BM360" s="52" t="str">
        <f aca="false">IF(OR(COUNT(B360:D1359)=0,AND('Choix pédagogiques'!$C$3&lt;&gt;1,'Choix pédagogiques'!$C$3&lt;&gt;2)),"",IF(AND(OR('Choix pédagogiques'!$C$3=1,'Choix pédagogiques'!$C$3=2),$B360&lt;&gt;"",$C360&lt;&gt;"",$D360&lt;&gt;""),1,0))</f>
        <v/>
      </c>
      <c r="BN360" s="52" t="str">
        <f aca="false">IF(OR(COUNT(G360:I1359)=0,AND('Choix pédagogiques'!$C$3&lt;&gt;1,'Choix pédagogiques'!$C$3&lt;&gt;2)),"",IF(AND(OR('Choix pédagogiques'!$C$3=1,'Choix pédagogiques'!$C$3=2),AND($G360&lt;&gt;"",$H360&lt;&gt;"",$I360&lt;&gt;"")),1,0))</f>
        <v/>
      </c>
      <c r="BO360" s="52" t="str">
        <f aca="false">IF(OR(COUNT(B360:D1359)=0,COUNT(G360:I1359)=0,'Choix pédagogiques'!C$3&lt;&gt;3),"",IF(AND('Choix pédagogiques'!$C$3=3,$B360&lt;&gt;"",$C360&lt;&gt;"",$D360&lt;&gt;"",$G360&lt;&gt;"",$H360&lt;&gt;"",$I360&lt;&gt;""),1,0))</f>
        <v/>
      </c>
      <c r="BR360" s="52" t="n">
        <v>65</v>
      </c>
      <c r="BS360" s="52" t="n">
        <v>1758</v>
      </c>
    </row>
    <row r="361" s="54" customFormat="true" ht="18" hidden="false" customHeight="true" outlineLevel="0" collapsed="false">
      <c r="A361" s="57" t="s">
        <v>653</v>
      </c>
      <c r="B361" s="51"/>
      <c r="C361" s="51"/>
      <c r="D361" s="51"/>
      <c r="E361" s="51"/>
      <c r="F361" s="57" t="s">
        <v>654</v>
      </c>
      <c r="G361" s="51"/>
      <c r="H361" s="51"/>
      <c r="I361" s="51"/>
      <c r="J361" s="51"/>
      <c r="K361" s="52" t="str">
        <f aca="false">IF($A361&lt;&gt;"",$A361,"")</f>
        <v>Apprenant 349</v>
      </c>
      <c r="L361" s="53" t="str">
        <f aca="false">IF(AND($B361&lt;&gt;"",$C361&lt;&gt;""),$C361-$B361,"")</f>
        <v/>
      </c>
      <c r="M361" s="53" t="str">
        <f aca="false">IF(AND($B361&lt;&gt;"",$D361&lt;&gt;""),$D361-$B361,"")</f>
        <v/>
      </c>
      <c r="N361" s="53" t="str">
        <f aca="false">IF(AND($C361&lt;&gt;"",$D361&lt;&gt;""),$D361-$C361,"")</f>
        <v/>
      </c>
      <c r="O361" s="53" t="str">
        <f aca="false">IF($E361&lt;&gt;"",$E361,"")</f>
        <v/>
      </c>
      <c r="P361" s="52" t="str">
        <f aca="false">IF($F361&lt;&gt;"",$F361,"")</f>
        <v>Apprenant 349 ou 349'</v>
      </c>
      <c r="Q361" s="53" t="str">
        <f aca="false">IF(AND($G361&lt;&gt;"",$H361&lt;&gt;""),$H361-$G361,"")</f>
        <v/>
      </c>
      <c r="R361" s="53" t="str">
        <f aca="false">IF(AND($G361&lt;&gt;"",$I361&lt;&gt;""),$I361-$G361,"")</f>
        <v/>
      </c>
      <c r="S361" s="53" t="str">
        <f aca="false">IF(AND($H361&lt;&gt;"",$I361&lt;&gt;""),$I361-$H361,"")</f>
        <v/>
      </c>
      <c r="T361" s="53" t="str">
        <f aca="false">IF($J361&lt;&gt;"",$J361,"")</f>
        <v/>
      </c>
      <c r="V361" s="52" t="str">
        <f aca="false">IF($A361&lt;&gt;"",$A361,"")</f>
        <v>Apprenant 349</v>
      </c>
      <c r="W361" s="53" t="str">
        <f aca="false">IF(AND(OR('Choix pédagogiques'!$C$3=1,'Choix pédagogiques'!$C$3=2),$BM361=1),B361,IF(AND('Choix pédagogiques'!$C$3=3,$BO361=1),B361,""))</f>
        <v/>
      </c>
      <c r="X361" s="53" t="str">
        <f aca="false">IF(AND(OR('Choix pédagogiques'!$C$3=1,'Choix pédagogiques'!$C$3=2),$BM361=1),C361,IF(AND('Choix pédagogiques'!$C$3=3,$BO361=1),C361,""))</f>
        <v/>
      </c>
      <c r="Y361" s="53" t="str">
        <f aca="false">IF(AND(OR('Choix pédagogiques'!$C$3=1,'Choix pédagogiques'!$C$3=2),$BM361=1),D361,IF(AND('Choix pédagogiques'!$C$3=3,$BO361=1),D361,""))</f>
        <v/>
      </c>
      <c r="Z361" s="53" t="str">
        <f aca="false">IF($E361&lt;&gt;"",$E361,"")</f>
        <v/>
      </c>
      <c r="AA361" s="52" t="str">
        <f aca="false">IF($F361&lt;&gt;"",$F361,"")</f>
        <v>Apprenant 349 ou 349'</v>
      </c>
      <c r="AB361" s="53" t="str">
        <f aca="false">IF(AND(OR('Choix pédagogiques'!$C$3=1,'Choix pédagogiques'!$C$3=2),$BN361=1),G361,IF(AND('Choix pédagogiques'!$C$3=3,$BO361=1),G361,""))</f>
        <v/>
      </c>
      <c r="AC361" s="53" t="str">
        <f aca="false">IF(AND(OR('Choix pédagogiques'!$C$3=1,'Choix pédagogiques'!$C$3=2),$BN361=1),H361,IF(AND('Choix pédagogiques'!$C$3=3,$BO361=1),H361,""))</f>
        <v/>
      </c>
      <c r="AD361" s="53" t="str">
        <f aca="false">IF(AND(OR('Choix pédagogiques'!$C$3=1,'Choix pédagogiques'!$C$3=2),$BN361=1),I361,IF(AND('Choix pédagogiques'!$C$3=3,$BO361=1),I361,""))</f>
        <v/>
      </c>
      <c r="AE361" s="53" t="str">
        <f aca="false">IF($J361&lt;&gt;"",$J361,"")</f>
        <v/>
      </c>
      <c r="AF361" s="52" t="str">
        <f aca="false">IF($A361&lt;&gt;"",$A361,"")</f>
        <v>Apprenant 349</v>
      </c>
      <c r="AG361" s="53" t="str">
        <f aca="false">IF(AND($W361&lt;&gt;"",$X361&lt;&gt;""),$X361-$W361,"")</f>
        <v/>
      </c>
      <c r="AH361" s="53" t="str">
        <f aca="false">IF(AND($W361&lt;&gt;"",$Y361&lt;&gt;""),$Y361-$W361,"")</f>
        <v/>
      </c>
      <c r="AI361" s="53" t="str">
        <f aca="false">IF(AND($X361&lt;&gt;"",$Y361&lt;&gt;""),$Y361-$X361,"")</f>
        <v/>
      </c>
      <c r="AJ361" s="53" t="str">
        <f aca="false">IF($E361&lt;&gt;"",$E361,"")</f>
        <v/>
      </c>
      <c r="AK361" s="52" t="str">
        <f aca="false">IF($F361&lt;&gt;"",$F361,"")</f>
        <v>Apprenant 349 ou 349'</v>
      </c>
      <c r="AL361" s="53" t="str">
        <f aca="false">IF(AND($AB361&lt;&gt;"",$AC361&lt;&gt;""),$AC361-$AB361,"")</f>
        <v/>
      </c>
      <c r="AM361" s="53" t="str">
        <f aca="false">IF(AND($AB361&lt;&gt;"",$AD361&lt;&gt;""),$AD361-$AB361,"")</f>
        <v/>
      </c>
      <c r="AN361" s="53" t="str">
        <f aca="false">IF(AND($AC361&lt;&gt;"",$AD361&lt;&gt;""),$AD361-$AC361,"")</f>
        <v/>
      </c>
      <c r="AO361" s="53" t="str">
        <f aca="false">IF($J361&lt;&gt;"",$J361,"")</f>
        <v/>
      </c>
      <c r="AQ361" s="52" t="str">
        <f aca="false">IF($A361&lt;&gt;"",$A361,"")</f>
        <v>Apprenant 349</v>
      </c>
      <c r="AR361" s="55" t="str">
        <f aca="false">IF(AND('Choix pédagogiques'!$C$4&lt;&gt;"?",'Choix pédagogiques'!$C$5&lt;&gt;"?",W361&lt;&gt;""),(W361-'Choix pédagogiques'!$C$4)/('Choix pédagogiques'!$C$5-'Choix pédagogiques'!$C$4),"")</f>
        <v/>
      </c>
      <c r="AS361" s="55" t="str">
        <f aca="false">IF(AND('Choix pédagogiques'!$C$4&lt;&gt;"?",'Choix pédagogiques'!$C$5&lt;&gt;"?",X361&lt;&gt;""),(X361-'Choix pédagogiques'!$C$4)/('Choix pédagogiques'!$C$5-'Choix pédagogiques'!$C$4),"")</f>
        <v/>
      </c>
      <c r="AT361" s="55" t="str">
        <f aca="false">IF(AND('Choix pédagogiques'!$C$4&lt;&gt;"?",'Choix pédagogiques'!$C$5&lt;&gt;"?",Y361&lt;&gt;""),(Y361-'Choix pédagogiques'!$C$4)/('Choix pédagogiques'!$C$5-'Choix pédagogiques'!$C$4),"")</f>
        <v/>
      </c>
      <c r="AU361" s="53" t="str">
        <f aca="false">IF($E361&lt;&gt;"",$E361,"")</f>
        <v/>
      </c>
      <c r="AV361" s="52" t="str">
        <f aca="false">IF($F361&lt;&gt;"",$F361,"")</f>
        <v>Apprenant 349 ou 349'</v>
      </c>
      <c r="AW361" s="55" t="str">
        <f aca="false">IF(AND('Choix pédagogiques'!$C$4&lt;&gt;"?",'Choix pédagogiques'!$C$5&lt;&gt;"?",AB361&lt;&gt;""),(AB361-'Choix pédagogiques'!$C$4)/('Choix pédagogiques'!$C$5-'Choix pédagogiques'!$C$4),"")</f>
        <v/>
      </c>
      <c r="AX361" s="55" t="str">
        <f aca="false">IF(AND('Choix pédagogiques'!$C$4&lt;&gt;"?",'Choix pédagogiques'!$C$5&lt;&gt;"?",AC361&lt;&gt;""),(AC361-'Choix pédagogiques'!$C$4)/('Choix pédagogiques'!$C$5-'Choix pédagogiques'!$C$4),"")</f>
        <v/>
      </c>
      <c r="AY361" s="55" t="str">
        <f aca="false">IF(AND('Choix pédagogiques'!$C$4&lt;&gt;"?",'Choix pédagogiques'!$C$5&lt;&gt;"?",AD361&lt;&gt;""),(AD361-'Choix pédagogiques'!$C$4)/('Choix pédagogiques'!$C$5-'Choix pédagogiques'!$C$4),"")</f>
        <v/>
      </c>
      <c r="AZ361" s="53" t="str">
        <f aca="false">IF($J361&lt;&gt;"",$J361,"")</f>
        <v/>
      </c>
      <c r="BA361" s="52" t="str">
        <f aca="false">IF($A361&lt;&gt;"",$A361,"")</f>
        <v>Apprenant 349</v>
      </c>
      <c r="BB361" s="55" t="str">
        <f aca="false">IF(AND($AR361&lt;&gt;"",$AS361&lt;&gt;""),$AS361-$AR361,"")</f>
        <v/>
      </c>
      <c r="BC361" s="55" t="str">
        <f aca="false">IF(AND($AR361&lt;&gt;"",$AT361&lt;&gt;""),$AT361-$AR361,"")</f>
        <v/>
      </c>
      <c r="BD361" s="55" t="str">
        <f aca="false">IF(AND($AS361&lt;&gt;"",$AT361&lt;&gt;""),$AT361-$AS361,"")</f>
        <v/>
      </c>
      <c r="BE361" s="53" t="str">
        <f aca="false">IF($E361&lt;&gt;"",$E361,"")</f>
        <v/>
      </c>
      <c r="BF361" s="52" t="str">
        <f aca="false">IF($F361&lt;&gt;"",$F361,"")</f>
        <v>Apprenant 349 ou 349'</v>
      </c>
      <c r="BG361" s="55" t="str">
        <f aca="false">IF(AND($AW361&lt;&gt;"",$AX361&lt;&gt;""),$AX361-$AW361,"")</f>
        <v/>
      </c>
      <c r="BH361" s="55" t="str">
        <f aca="false">IF(AND($AW361&lt;&gt;"",$AY361&lt;&gt;""),$AY361-$AW361,"")</f>
        <v/>
      </c>
      <c r="BI361" s="55" t="str">
        <f aca="false">IF(AND($AX361&lt;&gt;"",$AY361&lt;&gt;""),$AY361-$AX361,"")</f>
        <v/>
      </c>
      <c r="BJ361" s="53" t="str">
        <f aca="false">IF($J361&lt;&gt;"",$J361,"")</f>
        <v/>
      </c>
      <c r="BL361" s="52"/>
      <c r="BM361" s="52" t="str">
        <f aca="false">IF(OR(COUNT(B361:D1360)=0,AND('Choix pédagogiques'!$C$3&lt;&gt;1,'Choix pédagogiques'!$C$3&lt;&gt;2)),"",IF(AND(OR('Choix pédagogiques'!$C$3=1,'Choix pédagogiques'!$C$3=2),$B361&lt;&gt;"",$C361&lt;&gt;"",$D361&lt;&gt;""),1,0))</f>
        <v/>
      </c>
      <c r="BN361" s="52" t="str">
        <f aca="false">IF(OR(COUNT(G361:I1360)=0,AND('Choix pédagogiques'!$C$3&lt;&gt;1,'Choix pédagogiques'!$C$3&lt;&gt;2)),"",IF(AND(OR('Choix pédagogiques'!$C$3=1,'Choix pédagogiques'!$C$3=2),AND($G361&lt;&gt;"",$H361&lt;&gt;"",$I361&lt;&gt;"")),1,0))</f>
        <v/>
      </c>
      <c r="BO361" s="52" t="str">
        <f aca="false">IF(OR(COUNT(B361:D1360)=0,COUNT(G361:I1360)=0,'Choix pédagogiques'!C$3&lt;&gt;3),"",IF(AND('Choix pédagogiques'!$C$3=3,$B361&lt;&gt;"",$C361&lt;&gt;"",$D361&lt;&gt;"",$G361&lt;&gt;"",$H361&lt;&gt;"",$I361&lt;&gt;""),1,0))</f>
        <v/>
      </c>
      <c r="BR361" s="52" t="n">
        <v>277</v>
      </c>
      <c r="BS361" s="52" t="n">
        <v>1067</v>
      </c>
    </row>
    <row r="362" s="54" customFormat="true" ht="18" hidden="false" customHeight="true" outlineLevel="0" collapsed="false">
      <c r="A362" s="57" t="s">
        <v>655</v>
      </c>
      <c r="B362" s="51"/>
      <c r="C362" s="51"/>
      <c r="D362" s="51"/>
      <c r="E362" s="51"/>
      <c r="F362" s="57" t="s">
        <v>656</v>
      </c>
      <c r="G362" s="51"/>
      <c r="H362" s="51"/>
      <c r="I362" s="51"/>
      <c r="J362" s="51"/>
      <c r="K362" s="52" t="str">
        <f aca="false">IF($A362&lt;&gt;"",$A362,"")</f>
        <v>Apprenant 350</v>
      </c>
      <c r="L362" s="53" t="str">
        <f aca="false">IF(AND($B362&lt;&gt;"",$C362&lt;&gt;""),$C362-$B362,"")</f>
        <v/>
      </c>
      <c r="M362" s="53" t="str">
        <f aca="false">IF(AND($B362&lt;&gt;"",$D362&lt;&gt;""),$D362-$B362,"")</f>
        <v/>
      </c>
      <c r="N362" s="53" t="str">
        <f aca="false">IF(AND($C362&lt;&gt;"",$D362&lt;&gt;""),$D362-$C362,"")</f>
        <v/>
      </c>
      <c r="O362" s="53" t="str">
        <f aca="false">IF($E362&lt;&gt;"",$E362,"")</f>
        <v/>
      </c>
      <c r="P362" s="52" t="str">
        <f aca="false">IF($F362&lt;&gt;"",$F362,"")</f>
        <v>Apprenant 350 ou 350'</v>
      </c>
      <c r="Q362" s="53" t="str">
        <f aca="false">IF(AND($G362&lt;&gt;"",$H362&lt;&gt;""),$H362-$G362,"")</f>
        <v/>
      </c>
      <c r="R362" s="53" t="str">
        <f aca="false">IF(AND($G362&lt;&gt;"",$I362&lt;&gt;""),$I362-$G362,"")</f>
        <v/>
      </c>
      <c r="S362" s="53" t="str">
        <f aca="false">IF(AND($H362&lt;&gt;"",$I362&lt;&gt;""),$I362-$H362,"")</f>
        <v/>
      </c>
      <c r="T362" s="53" t="str">
        <f aca="false">IF($J362&lt;&gt;"",$J362,"")</f>
        <v/>
      </c>
      <c r="V362" s="52" t="str">
        <f aca="false">IF($A362&lt;&gt;"",$A362,"")</f>
        <v>Apprenant 350</v>
      </c>
      <c r="W362" s="53" t="str">
        <f aca="false">IF(AND(OR('Choix pédagogiques'!$C$3=1,'Choix pédagogiques'!$C$3=2),$BM362=1),B362,IF(AND('Choix pédagogiques'!$C$3=3,$BO362=1),B362,""))</f>
        <v/>
      </c>
      <c r="X362" s="53" t="str">
        <f aca="false">IF(AND(OR('Choix pédagogiques'!$C$3=1,'Choix pédagogiques'!$C$3=2),$BM362=1),C362,IF(AND('Choix pédagogiques'!$C$3=3,$BO362=1),C362,""))</f>
        <v/>
      </c>
      <c r="Y362" s="53" t="str">
        <f aca="false">IF(AND(OR('Choix pédagogiques'!$C$3=1,'Choix pédagogiques'!$C$3=2),$BM362=1),D362,IF(AND('Choix pédagogiques'!$C$3=3,$BO362=1),D362,""))</f>
        <v/>
      </c>
      <c r="Z362" s="53" t="str">
        <f aca="false">IF($E362&lt;&gt;"",$E362,"")</f>
        <v/>
      </c>
      <c r="AA362" s="52" t="str">
        <f aca="false">IF($F362&lt;&gt;"",$F362,"")</f>
        <v>Apprenant 350 ou 350'</v>
      </c>
      <c r="AB362" s="53" t="str">
        <f aca="false">IF(AND(OR('Choix pédagogiques'!$C$3=1,'Choix pédagogiques'!$C$3=2),$BN362=1),G362,IF(AND('Choix pédagogiques'!$C$3=3,$BO362=1),G362,""))</f>
        <v/>
      </c>
      <c r="AC362" s="53" t="str">
        <f aca="false">IF(AND(OR('Choix pédagogiques'!$C$3=1,'Choix pédagogiques'!$C$3=2),$BN362=1),H362,IF(AND('Choix pédagogiques'!$C$3=3,$BO362=1),H362,""))</f>
        <v/>
      </c>
      <c r="AD362" s="53" t="str">
        <f aca="false">IF(AND(OR('Choix pédagogiques'!$C$3=1,'Choix pédagogiques'!$C$3=2),$BN362=1),I362,IF(AND('Choix pédagogiques'!$C$3=3,$BO362=1),I362,""))</f>
        <v/>
      </c>
      <c r="AE362" s="53" t="str">
        <f aca="false">IF($J362&lt;&gt;"",$J362,"")</f>
        <v/>
      </c>
      <c r="AF362" s="52" t="str">
        <f aca="false">IF($A362&lt;&gt;"",$A362,"")</f>
        <v>Apprenant 350</v>
      </c>
      <c r="AG362" s="53" t="str">
        <f aca="false">IF(AND($W362&lt;&gt;"",$X362&lt;&gt;""),$X362-$W362,"")</f>
        <v/>
      </c>
      <c r="AH362" s="53" t="str">
        <f aca="false">IF(AND($W362&lt;&gt;"",$Y362&lt;&gt;""),$Y362-$W362,"")</f>
        <v/>
      </c>
      <c r="AI362" s="53" t="str">
        <f aca="false">IF(AND($X362&lt;&gt;"",$Y362&lt;&gt;""),$Y362-$X362,"")</f>
        <v/>
      </c>
      <c r="AJ362" s="53" t="str">
        <f aca="false">IF($E362&lt;&gt;"",$E362,"")</f>
        <v/>
      </c>
      <c r="AK362" s="52" t="str">
        <f aca="false">IF($F362&lt;&gt;"",$F362,"")</f>
        <v>Apprenant 350 ou 350'</v>
      </c>
      <c r="AL362" s="53" t="str">
        <f aca="false">IF(AND($AB362&lt;&gt;"",$AC362&lt;&gt;""),$AC362-$AB362,"")</f>
        <v/>
      </c>
      <c r="AM362" s="53" t="str">
        <f aca="false">IF(AND($AB362&lt;&gt;"",$AD362&lt;&gt;""),$AD362-$AB362,"")</f>
        <v/>
      </c>
      <c r="AN362" s="53" t="str">
        <f aca="false">IF(AND($AC362&lt;&gt;"",$AD362&lt;&gt;""),$AD362-$AC362,"")</f>
        <v/>
      </c>
      <c r="AO362" s="53" t="str">
        <f aca="false">IF($J362&lt;&gt;"",$J362,"")</f>
        <v/>
      </c>
      <c r="AQ362" s="52" t="str">
        <f aca="false">IF($A362&lt;&gt;"",$A362,"")</f>
        <v>Apprenant 350</v>
      </c>
      <c r="AR362" s="55" t="str">
        <f aca="false">IF(AND('Choix pédagogiques'!$C$4&lt;&gt;"?",'Choix pédagogiques'!$C$5&lt;&gt;"?",W362&lt;&gt;""),(W362-'Choix pédagogiques'!$C$4)/('Choix pédagogiques'!$C$5-'Choix pédagogiques'!$C$4),"")</f>
        <v/>
      </c>
      <c r="AS362" s="55" t="str">
        <f aca="false">IF(AND('Choix pédagogiques'!$C$4&lt;&gt;"?",'Choix pédagogiques'!$C$5&lt;&gt;"?",X362&lt;&gt;""),(X362-'Choix pédagogiques'!$C$4)/('Choix pédagogiques'!$C$5-'Choix pédagogiques'!$C$4),"")</f>
        <v/>
      </c>
      <c r="AT362" s="55" t="str">
        <f aca="false">IF(AND('Choix pédagogiques'!$C$4&lt;&gt;"?",'Choix pédagogiques'!$C$5&lt;&gt;"?",Y362&lt;&gt;""),(Y362-'Choix pédagogiques'!$C$4)/('Choix pédagogiques'!$C$5-'Choix pédagogiques'!$C$4),"")</f>
        <v/>
      </c>
      <c r="AU362" s="53" t="str">
        <f aca="false">IF($E362&lt;&gt;"",$E362,"")</f>
        <v/>
      </c>
      <c r="AV362" s="52" t="str">
        <f aca="false">IF($F362&lt;&gt;"",$F362,"")</f>
        <v>Apprenant 350 ou 350'</v>
      </c>
      <c r="AW362" s="55" t="str">
        <f aca="false">IF(AND('Choix pédagogiques'!$C$4&lt;&gt;"?",'Choix pédagogiques'!$C$5&lt;&gt;"?",AB362&lt;&gt;""),(AB362-'Choix pédagogiques'!$C$4)/('Choix pédagogiques'!$C$5-'Choix pédagogiques'!$C$4),"")</f>
        <v/>
      </c>
      <c r="AX362" s="55" t="str">
        <f aca="false">IF(AND('Choix pédagogiques'!$C$4&lt;&gt;"?",'Choix pédagogiques'!$C$5&lt;&gt;"?",AC362&lt;&gt;""),(AC362-'Choix pédagogiques'!$C$4)/('Choix pédagogiques'!$C$5-'Choix pédagogiques'!$C$4),"")</f>
        <v/>
      </c>
      <c r="AY362" s="55" t="str">
        <f aca="false">IF(AND('Choix pédagogiques'!$C$4&lt;&gt;"?",'Choix pédagogiques'!$C$5&lt;&gt;"?",AD362&lt;&gt;""),(AD362-'Choix pédagogiques'!$C$4)/('Choix pédagogiques'!$C$5-'Choix pédagogiques'!$C$4),"")</f>
        <v/>
      </c>
      <c r="AZ362" s="53" t="str">
        <f aca="false">IF($J362&lt;&gt;"",$J362,"")</f>
        <v/>
      </c>
      <c r="BA362" s="52" t="str">
        <f aca="false">IF($A362&lt;&gt;"",$A362,"")</f>
        <v>Apprenant 350</v>
      </c>
      <c r="BB362" s="55" t="str">
        <f aca="false">IF(AND($AR362&lt;&gt;"",$AS362&lt;&gt;""),$AS362-$AR362,"")</f>
        <v/>
      </c>
      <c r="BC362" s="55" t="str">
        <f aca="false">IF(AND($AR362&lt;&gt;"",$AT362&lt;&gt;""),$AT362-$AR362,"")</f>
        <v/>
      </c>
      <c r="BD362" s="55" t="str">
        <f aca="false">IF(AND($AS362&lt;&gt;"",$AT362&lt;&gt;""),$AT362-$AS362,"")</f>
        <v/>
      </c>
      <c r="BE362" s="53" t="str">
        <f aca="false">IF($E362&lt;&gt;"",$E362,"")</f>
        <v/>
      </c>
      <c r="BF362" s="52" t="str">
        <f aca="false">IF($F362&lt;&gt;"",$F362,"")</f>
        <v>Apprenant 350 ou 350'</v>
      </c>
      <c r="BG362" s="55" t="str">
        <f aca="false">IF(AND($AW362&lt;&gt;"",$AX362&lt;&gt;""),$AX362-$AW362,"")</f>
        <v/>
      </c>
      <c r="BH362" s="55" t="str">
        <f aca="false">IF(AND($AW362&lt;&gt;"",$AY362&lt;&gt;""),$AY362-$AW362,"")</f>
        <v/>
      </c>
      <c r="BI362" s="55" t="str">
        <f aca="false">IF(AND($AX362&lt;&gt;"",$AY362&lt;&gt;""),$AY362-$AX362,"")</f>
        <v/>
      </c>
      <c r="BJ362" s="53" t="str">
        <f aca="false">IF($J362&lt;&gt;"",$J362,"")</f>
        <v/>
      </c>
      <c r="BL362" s="52"/>
      <c r="BM362" s="52" t="str">
        <f aca="false">IF(OR(COUNT(B362:D1361)=0,AND('Choix pédagogiques'!$C$3&lt;&gt;1,'Choix pédagogiques'!$C$3&lt;&gt;2)),"",IF(AND(OR('Choix pédagogiques'!$C$3=1,'Choix pédagogiques'!$C$3=2),$B362&lt;&gt;"",$C362&lt;&gt;"",$D362&lt;&gt;""),1,0))</f>
        <v/>
      </c>
      <c r="BN362" s="52" t="str">
        <f aca="false">IF(OR(COUNT(G362:I1361)=0,AND('Choix pédagogiques'!$C$3&lt;&gt;1,'Choix pédagogiques'!$C$3&lt;&gt;2)),"",IF(AND(OR('Choix pédagogiques'!$C$3=1,'Choix pédagogiques'!$C$3=2),AND($G362&lt;&gt;"",$H362&lt;&gt;"",$I362&lt;&gt;"")),1,0))</f>
        <v/>
      </c>
      <c r="BO362" s="52" t="str">
        <f aca="false">IF(OR(COUNT(B362:D1361)=0,COUNT(G362:I1361)=0,'Choix pédagogiques'!C$3&lt;&gt;3),"",IF(AND('Choix pédagogiques'!$C$3=3,$B362&lt;&gt;"",$C362&lt;&gt;"",$D362&lt;&gt;"",$G362&lt;&gt;"",$H362&lt;&gt;"",$I362&lt;&gt;""),1,0))</f>
        <v/>
      </c>
      <c r="BR362" s="52" t="n">
        <v>692</v>
      </c>
      <c r="BS362" s="52" t="n">
        <v>1542</v>
      </c>
    </row>
    <row r="363" s="54" customFormat="true" ht="18" hidden="false" customHeight="true" outlineLevel="0" collapsed="false">
      <c r="A363" s="57" t="s">
        <v>657</v>
      </c>
      <c r="B363" s="51"/>
      <c r="C363" s="51"/>
      <c r="D363" s="51"/>
      <c r="E363" s="51"/>
      <c r="F363" s="57" t="s">
        <v>658</v>
      </c>
      <c r="G363" s="51"/>
      <c r="H363" s="51"/>
      <c r="I363" s="51"/>
      <c r="J363" s="51"/>
      <c r="K363" s="52" t="str">
        <f aca="false">IF($A363&lt;&gt;"",$A363,"")</f>
        <v>Apprenant 351</v>
      </c>
      <c r="L363" s="53" t="str">
        <f aca="false">IF(AND($B363&lt;&gt;"",$C363&lt;&gt;""),$C363-$B363,"")</f>
        <v/>
      </c>
      <c r="M363" s="53" t="str">
        <f aca="false">IF(AND($B363&lt;&gt;"",$D363&lt;&gt;""),$D363-$B363,"")</f>
        <v/>
      </c>
      <c r="N363" s="53" t="str">
        <f aca="false">IF(AND($C363&lt;&gt;"",$D363&lt;&gt;""),$D363-$C363,"")</f>
        <v/>
      </c>
      <c r="O363" s="53" t="str">
        <f aca="false">IF($E363&lt;&gt;"",$E363,"")</f>
        <v/>
      </c>
      <c r="P363" s="52" t="str">
        <f aca="false">IF($F363&lt;&gt;"",$F363,"")</f>
        <v>Apprenant 351 ou 351'</v>
      </c>
      <c r="Q363" s="53" t="str">
        <f aca="false">IF(AND($G363&lt;&gt;"",$H363&lt;&gt;""),$H363-$G363,"")</f>
        <v/>
      </c>
      <c r="R363" s="53" t="str">
        <f aca="false">IF(AND($G363&lt;&gt;"",$I363&lt;&gt;""),$I363-$G363,"")</f>
        <v/>
      </c>
      <c r="S363" s="53" t="str">
        <f aca="false">IF(AND($H363&lt;&gt;"",$I363&lt;&gt;""),$I363-$H363,"")</f>
        <v/>
      </c>
      <c r="T363" s="53" t="str">
        <f aca="false">IF($J363&lt;&gt;"",$J363,"")</f>
        <v/>
      </c>
      <c r="V363" s="52" t="str">
        <f aca="false">IF($A363&lt;&gt;"",$A363,"")</f>
        <v>Apprenant 351</v>
      </c>
      <c r="W363" s="53" t="str">
        <f aca="false">IF(AND(OR('Choix pédagogiques'!$C$3=1,'Choix pédagogiques'!$C$3=2),$BM363=1),B363,IF(AND('Choix pédagogiques'!$C$3=3,$BO363=1),B363,""))</f>
        <v/>
      </c>
      <c r="X363" s="53" t="str">
        <f aca="false">IF(AND(OR('Choix pédagogiques'!$C$3=1,'Choix pédagogiques'!$C$3=2),$BM363=1),C363,IF(AND('Choix pédagogiques'!$C$3=3,$BO363=1),C363,""))</f>
        <v/>
      </c>
      <c r="Y363" s="53" t="str">
        <f aca="false">IF(AND(OR('Choix pédagogiques'!$C$3=1,'Choix pédagogiques'!$C$3=2),$BM363=1),D363,IF(AND('Choix pédagogiques'!$C$3=3,$BO363=1),D363,""))</f>
        <v/>
      </c>
      <c r="Z363" s="53" t="str">
        <f aca="false">IF($E363&lt;&gt;"",$E363,"")</f>
        <v/>
      </c>
      <c r="AA363" s="52" t="str">
        <f aca="false">IF($F363&lt;&gt;"",$F363,"")</f>
        <v>Apprenant 351 ou 351'</v>
      </c>
      <c r="AB363" s="53" t="str">
        <f aca="false">IF(AND(OR('Choix pédagogiques'!$C$3=1,'Choix pédagogiques'!$C$3=2),$BN363=1),G363,IF(AND('Choix pédagogiques'!$C$3=3,$BO363=1),G363,""))</f>
        <v/>
      </c>
      <c r="AC363" s="53" t="str">
        <f aca="false">IF(AND(OR('Choix pédagogiques'!$C$3=1,'Choix pédagogiques'!$C$3=2),$BN363=1),H363,IF(AND('Choix pédagogiques'!$C$3=3,$BO363=1),H363,""))</f>
        <v/>
      </c>
      <c r="AD363" s="53" t="str">
        <f aca="false">IF(AND(OR('Choix pédagogiques'!$C$3=1,'Choix pédagogiques'!$C$3=2),$BN363=1),I363,IF(AND('Choix pédagogiques'!$C$3=3,$BO363=1),I363,""))</f>
        <v/>
      </c>
      <c r="AE363" s="53" t="str">
        <f aca="false">IF($J363&lt;&gt;"",$J363,"")</f>
        <v/>
      </c>
      <c r="AF363" s="52" t="str">
        <f aca="false">IF($A363&lt;&gt;"",$A363,"")</f>
        <v>Apprenant 351</v>
      </c>
      <c r="AG363" s="53" t="str">
        <f aca="false">IF(AND($W363&lt;&gt;"",$X363&lt;&gt;""),$X363-$W363,"")</f>
        <v/>
      </c>
      <c r="AH363" s="53" t="str">
        <f aca="false">IF(AND($W363&lt;&gt;"",$Y363&lt;&gt;""),$Y363-$W363,"")</f>
        <v/>
      </c>
      <c r="AI363" s="53" t="str">
        <f aca="false">IF(AND($X363&lt;&gt;"",$Y363&lt;&gt;""),$Y363-$X363,"")</f>
        <v/>
      </c>
      <c r="AJ363" s="53" t="str">
        <f aca="false">IF($E363&lt;&gt;"",$E363,"")</f>
        <v/>
      </c>
      <c r="AK363" s="52" t="str">
        <f aca="false">IF($F363&lt;&gt;"",$F363,"")</f>
        <v>Apprenant 351 ou 351'</v>
      </c>
      <c r="AL363" s="53" t="str">
        <f aca="false">IF(AND($AB363&lt;&gt;"",$AC363&lt;&gt;""),$AC363-$AB363,"")</f>
        <v/>
      </c>
      <c r="AM363" s="53" t="str">
        <f aca="false">IF(AND($AB363&lt;&gt;"",$AD363&lt;&gt;""),$AD363-$AB363,"")</f>
        <v/>
      </c>
      <c r="AN363" s="53" t="str">
        <f aca="false">IF(AND($AC363&lt;&gt;"",$AD363&lt;&gt;""),$AD363-$AC363,"")</f>
        <v/>
      </c>
      <c r="AO363" s="53" t="str">
        <f aca="false">IF($J363&lt;&gt;"",$J363,"")</f>
        <v/>
      </c>
      <c r="AQ363" s="52" t="str">
        <f aca="false">IF($A363&lt;&gt;"",$A363,"")</f>
        <v>Apprenant 351</v>
      </c>
      <c r="AR363" s="55" t="str">
        <f aca="false">IF(AND('Choix pédagogiques'!$C$4&lt;&gt;"?",'Choix pédagogiques'!$C$5&lt;&gt;"?",W363&lt;&gt;""),(W363-'Choix pédagogiques'!$C$4)/('Choix pédagogiques'!$C$5-'Choix pédagogiques'!$C$4),"")</f>
        <v/>
      </c>
      <c r="AS363" s="55" t="str">
        <f aca="false">IF(AND('Choix pédagogiques'!$C$4&lt;&gt;"?",'Choix pédagogiques'!$C$5&lt;&gt;"?",X363&lt;&gt;""),(X363-'Choix pédagogiques'!$C$4)/('Choix pédagogiques'!$C$5-'Choix pédagogiques'!$C$4),"")</f>
        <v/>
      </c>
      <c r="AT363" s="55" t="str">
        <f aca="false">IF(AND('Choix pédagogiques'!$C$4&lt;&gt;"?",'Choix pédagogiques'!$C$5&lt;&gt;"?",Y363&lt;&gt;""),(Y363-'Choix pédagogiques'!$C$4)/('Choix pédagogiques'!$C$5-'Choix pédagogiques'!$C$4),"")</f>
        <v/>
      </c>
      <c r="AU363" s="53" t="str">
        <f aca="false">IF($E363&lt;&gt;"",$E363,"")</f>
        <v/>
      </c>
      <c r="AV363" s="52" t="str">
        <f aca="false">IF($F363&lt;&gt;"",$F363,"")</f>
        <v>Apprenant 351 ou 351'</v>
      </c>
      <c r="AW363" s="55" t="str">
        <f aca="false">IF(AND('Choix pédagogiques'!$C$4&lt;&gt;"?",'Choix pédagogiques'!$C$5&lt;&gt;"?",AB363&lt;&gt;""),(AB363-'Choix pédagogiques'!$C$4)/('Choix pédagogiques'!$C$5-'Choix pédagogiques'!$C$4),"")</f>
        <v/>
      </c>
      <c r="AX363" s="55" t="str">
        <f aca="false">IF(AND('Choix pédagogiques'!$C$4&lt;&gt;"?",'Choix pédagogiques'!$C$5&lt;&gt;"?",AC363&lt;&gt;""),(AC363-'Choix pédagogiques'!$C$4)/('Choix pédagogiques'!$C$5-'Choix pédagogiques'!$C$4),"")</f>
        <v/>
      </c>
      <c r="AY363" s="55" t="str">
        <f aca="false">IF(AND('Choix pédagogiques'!$C$4&lt;&gt;"?",'Choix pédagogiques'!$C$5&lt;&gt;"?",AD363&lt;&gt;""),(AD363-'Choix pédagogiques'!$C$4)/('Choix pédagogiques'!$C$5-'Choix pédagogiques'!$C$4),"")</f>
        <v/>
      </c>
      <c r="AZ363" s="53" t="str">
        <f aca="false">IF($J363&lt;&gt;"",$J363,"")</f>
        <v/>
      </c>
      <c r="BA363" s="52" t="str">
        <f aca="false">IF($A363&lt;&gt;"",$A363,"")</f>
        <v>Apprenant 351</v>
      </c>
      <c r="BB363" s="55" t="str">
        <f aca="false">IF(AND($AR363&lt;&gt;"",$AS363&lt;&gt;""),$AS363-$AR363,"")</f>
        <v/>
      </c>
      <c r="BC363" s="55" t="str">
        <f aca="false">IF(AND($AR363&lt;&gt;"",$AT363&lt;&gt;""),$AT363-$AR363,"")</f>
        <v/>
      </c>
      <c r="BD363" s="55" t="str">
        <f aca="false">IF(AND($AS363&lt;&gt;"",$AT363&lt;&gt;""),$AT363-$AS363,"")</f>
        <v/>
      </c>
      <c r="BE363" s="53" t="str">
        <f aca="false">IF($E363&lt;&gt;"",$E363,"")</f>
        <v/>
      </c>
      <c r="BF363" s="52" t="str">
        <f aca="false">IF($F363&lt;&gt;"",$F363,"")</f>
        <v>Apprenant 351 ou 351'</v>
      </c>
      <c r="BG363" s="55" t="str">
        <f aca="false">IF(AND($AW363&lt;&gt;"",$AX363&lt;&gt;""),$AX363-$AW363,"")</f>
        <v/>
      </c>
      <c r="BH363" s="55" t="str">
        <f aca="false">IF(AND($AW363&lt;&gt;"",$AY363&lt;&gt;""),$AY363-$AW363,"")</f>
        <v/>
      </c>
      <c r="BI363" s="55" t="str">
        <f aca="false">IF(AND($AX363&lt;&gt;"",$AY363&lt;&gt;""),$AY363-$AX363,"")</f>
        <v/>
      </c>
      <c r="BJ363" s="53" t="str">
        <f aca="false">IF($J363&lt;&gt;"",$J363,"")</f>
        <v/>
      </c>
      <c r="BL363" s="52"/>
      <c r="BM363" s="52" t="str">
        <f aca="false">IF(OR(COUNT(B363:D1362)=0,AND('Choix pédagogiques'!$C$3&lt;&gt;1,'Choix pédagogiques'!$C$3&lt;&gt;2)),"",IF(AND(OR('Choix pédagogiques'!$C$3=1,'Choix pédagogiques'!$C$3=2),$B363&lt;&gt;"",$C363&lt;&gt;"",$D363&lt;&gt;""),1,0))</f>
        <v/>
      </c>
      <c r="BN363" s="52" t="str">
        <f aca="false">IF(OR(COUNT(G363:I1362)=0,AND('Choix pédagogiques'!$C$3&lt;&gt;1,'Choix pédagogiques'!$C$3&lt;&gt;2)),"",IF(AND(OR('Choix pédagogiques'!$C$3=1,'Choix pédagogiques'!$C$3=2),AND($G363&lt;&gt;"",$H363&lt;&gt;"",$I363&lt;&gt;"")),1,0))</f>
        <v/>
      </c>
      <c r="BO363" s="52" t="str">
        <f aca="false">IF(OR(COUNT(B363:D1362)=0,COUNT(G363:I1362)=0,'Choix pédagogiques'!C$3&lt;&gt;3),"",IF(AND('Choix pédagogiques'!$C$3=3,$B363&lt;&gt;"",$C363&lt;&gt;"",$D363&lt;&gt;"",$G363&lt;&gt;"",$H363&lt;&gt;"",$I363&lt;&gt;""),1,0))</f>
        <v/>
      </c>
      <c r="BR363" s="52" t="n">
        <v>210</v>
      </c>
      <c r="BS363" s="52" t="n">
        <v>1178</v>
      </c>
    </row>
    <row r="364" s="54" customFormat="true" ht="18" hidden="false" customHeight="true" outlineLevel="0" collapsed="false">
      <c r="A364" s="57" t="s">
        <v>659</v>
      </c>
      <c r="B364" s="51"/>
      <c r="C364" s="51"/>
      <c r="D364" s="51"/>
      <c r="E364" s="51"/>
      <c r="F364" s="57" t="s">
        <v>660</v>
      </c>
      <c r="G364" s="51"/>
      <c r="H364" s="51"/>
      <c r="I364" s="51"/>
      <c r="J364" s="51"/>
      <c r="K364" s="52" t="str">
        <f aca="false">IF($A364&lt;&gt;"",$A364,"")</f>
        <v>Apprenant 352</v>
      </c>
      <c r="L364" s="53" t="str">
        <f aca="false">IF(AND($B364&lt;&gt;"",$C364&lt;&gt;""),$C364-$B364,"")</f>
        <v/>
      </c>
      <c r="M364" s="53" t="str">
        <f aca="false">IF(AND($B364&lt;&gt;"",$D364&lt;&gt;""),$D364-$B364,"")</f>
        <v/>
      </c>
      <c r="N364" s="53" t="str">
        <f aca="false">IF(AND($C364&lt;&gt;"",$D364&lt;&gt;""),$D364-$C364,"")</f>
        <v/>
      </c>
      <c r="O364" s="53" t="str">
        <f aca="false">IF($E364&lt;&gt;"",$E364,"")</f>
        <v/>
      </c>
      <c r="P364" s="52" t="str">
        <f aca="false">IF($F364&lt;&gt;"",$F364,"")</f>
        <v>Apprenant 352 ou 352'</v>
      </c>
      <c r="Q364" s="53" t="str">
        <f aca="false">IF(AND($G364&lt;&gt;"",$H364&lt;&gt;""),$H364-$G364,"")</f>
        <v/>
      </c>
      <c r="R364" s="53" t="str">
        <f aca="false">IF(AND($G364&lt;&gt;"",$I364&lt;&gt;""),$I364-$G364,"")</f>
        <v/>
      </c>
      <c r="S364" s="53" t="str">
        <f aca="false">IF(AND($H364&lt;&gt;"",$I364&lt;&gt;""),$I364-$H364,"")</f>
        <v/>
      </c>
      <c r="T364" s="53" t="str">
        <f aca="false">IF($J364&lt;&gt;"",$J364,"")</f>
        <v/>
      </c>
      <c r="V364" s="52" t="str">
        <f aca="false">IF($A364&lt;&gt;"",$A364,"")</f>
        <v>Apprenant 352</v>
      </c>
      <c r="W364" s="53" t="str">
        <f aca="false">IF(AND(OR('Choix pédagogiques'!$C$3=1,'Choix pédagogiques'!$C$3=2),$BM364=1),B364,IF(AND('Choix pédagogiques'!$C$3=3,$BO364=1),B364,""))</f>
        <v/>
      </c>
      <c r="X364" s="53" t="str">
        <f aca="false">IF(AND(OR('Choix pédagogiques'!$C$3=1,'Choix pédagogiques'!$C$3=2),$BM364=1),C364,IF(AND('Choix pédagogiques'!$C$3=3,$BO364=1),C364,""))</f>
        <v/>
      </c>
      <c r="Y364" s="53" t="str">
        <f aca="false">IF(AND(OR('Choix pédagogiques'!$C$3=1,'Choix pédagogiques'!$C$3=2),$BM364=1),D364,IF(AND('Choix pédagogiques'!$C$3=3,$BO364=1),D364,""))</f>
        <v/>
      </c>
      <c r="Z364" s="53" t="str">
        <f aca="false">IF($E364&lt;&gt;"",$E364,"")</f>
        <v/>
      </c>
      <c r="AA364" s="52" t="str">
        <f aca="false">IF($F364&lt;&gt;"",$F364,"")</f>
        <v>Apprenant 352 ou 352'</v>
      </c>
      <c r="AB364" s="53" t="str">
        <f aca="false">IF(AND(OR('Choix pédagogiques'!$C$3=1,'Choix pédagogiques'!$C$3=2),$BN364=1),G364,IF(AND('Choix pédagogiques'!$C$3=3,$BO364=1),G364,""))</f>
        <v/>
      </c>
      <c r="AC364" s="53" t="str">
        <f aca="false">IF(AND(OR('Choix pédagogiques'!$C$3=1,'Choix pédagogiques'!$C$3=2),$BN364=1),H364,IF(AND('Choix pédagogiques'!$C$3=3,$BO364=1),H364,""))</f>
        <v/>
      </c>
      <c r="AD364" s="53" t="str">
        <f aca="false">IF(AND(OR('Choix pédagogiques'!$C$3=1,'Choix pédagogiques'!$C$3=2),$BN364=1),I364,IF(AND('Choix pédagogiques'!$C$3=3,$BO364=1),I364,""))</f>
        <v/>
      </c>
      <c r="AE364" s="53" t="str">
        <f aca="false">IF($J364&lt;&gt;"",$J364,"")</f>
        <v/>
      </c>
      <c r="AF364" s="52" t="str">
        <f aca="false">IF($A364&lt;&gt;"",$A364,"")</f>
        <v>Apprenant 352</v>
      </c>
      <c r="AG364" s="53" t="str">
        <f aca="false">IF(AND($W364&lt;&gt;"",$X364&lt;&gt;""),$X364-$W364,"")</f>
        <v/>
      </c>
      <c r="AH364" s="53" t="str">
        <f aca="false">IF(AND($W364&lt;&gt;"",$Y364&lt;&gt;""),$Y364-$W364,"")</f>
        <v/>
      </c>
      <c r="AI364" s="53" t="str">
        <f aca="false">IF(AND($X364&lt;&gt;"",$Y364&lt;&gt;""),$Y364-$X364,"")</f>
        <v/>
      </c>
      <c r="AJ364" s="53" t="str">
        <f aca="false">IF($E364&lt;&gt;"",$E364,"")</f>
        <v/>
      </c>
      <c r="AK364" s="52" t="str">
        <f aca="false">IF($F364&lt;&gt;"",$F364,"")</f>
        <v>Apprenant 352 ou 352'</v>
      </c>
      <c r="AL364" s="53" t="str">
        <f aca="false">IF(AND($AB364&lt;&gt;"",$AC364&lt;&gt;""),$AC364-$AB364,"")</f>
        <v/>
      </c>
      <c r="AM364" s="53" t="str">
        <f aca="false">IF(AND($AB364&lt;&gt;"",$AD364&lt;&gt;""),$AD364-$AB364,"")</f>
        <v/>
      </c>
      <c r="AN364" s="53" t="str">
        <f aca="false">IF(AND($AC364&lt;&gt;"",$AD364&lt;&gt;""),$AD364-$AC364,"")</f>
        <v/>
      </c>
      <c r="AO364" s="53" t="str">
        <f aca="false">IF($J364&lt;&gt;"",$J364,"")</f>
        <v/>
      </c>
      <c r="AQ364" s="52" t="str">
        <f aca="false">IF($A364&lt;&gt;"",$A364,"")</f>
        <v>Apprenant 352</v>
      </c>
      <c r="AR364" s="55" t="str">
        <f aca="false">IF(AND('Choix pédagogiques'!$C$4&lt;&gt;"?",'Choix pédagogiques'!$C$5&lt;&gt;"?",W364&lt;&gt;""),(W364-'Choix pédagogiques'!$C$4)/('Choix pédagogiques'!$C$5-'Choix pédagogiques'!$C$4),"")</f>
        <v/>
      </c>
      <c r="AS364" s="55" t="str">
        <f aca="false">IF(AND('Choix pédagogiques'!$C$4&lt;&gt;"?",'Choix pédagogiques'!$C$5&lt;&gt;"?",X364&lt;&gt;""),(X364-'Choix pédagogiques'!$C$4)/('Choix pédagogiques'!$C$5-'Choix pédagogiques'!$C$4),"")</f>
        <v/>
      </c>
      <c r="AT364" s="55" t="str">
        <f aca="false">IF(AND('Choix pédagogiques'!$C$4&lt;&gt;"?",'Choix pédagogiques'!$C$5&lt;&gt;"?",Y364&lt;&gt;""),(Y364-'Choix pédagogiques'!$C$4)/('Choix pédagogiques'!$C$5-'Choix pédagogiques'!$C$4),"")</f>
        <v/>
      </c>
      <c r="AU364" s="53" t="str">
        <f aca="false">IF($E364&lt;&gt;"",$E364,"")</f>
        <v/>
      </c>
      <c r="AV364" s="52" t="str">
        <f aca="false">IF($F364&lt;&gt;"",$F364,"")</f>
        <v>Apprenant 352 ou 352'</v>
      </c>
      <c r="AW364" s="55" t="str">
        <f aca="false">IF(AND('Choix pédagogiques'!$C$4&lt;&gt;"?",'Choix pédagogiques'!$C$5&lt;&gt;"?",AB364&lt;&gt;""),(AB364-'Choix pédagogiques'!$C$4)/('Choix pédagogiques'!$C$5-'Choix pédagogiques'!$C$4),"")</f>
        <v/>
      </c>
      <c r="AX364" s="55" t="str">
        <f aca="false">IF(AND('Choix pédagogiques'!$C$4&lt;&gt;"?",'Choix pédagogiques'!$C$5&lt;&gt;"?",AC364&lt;&gt;""),(AC364-'Choix pédagogiques'!$C$4)/('Choix pédagogiques'!$C$5-'Choix pédagogiques'!$C$4),"")</f>
        <v/>
      </c>
      <c r="AY364" s="55" t="str">
        <f aca="false">IF(AND('Choix pédagogiques'!$C$4&lt;&gt;"?",'Choix pédagogiques'!$C$5&lt;&gt;"?",AD364&lt;&gt;""),(AD364-'Choix pédagogiques'!$C$4)/('Choix pédagogiques'!$C$5-'Choix pédagogiques'!$C$4),"")</f>
        <v/>
      </c>
      <c r="AZ364" s="53" t="str">
        <f aca="false">IF($J364&lt;&gt;"",$J364,"")</f>
        <v/>
      </c>
      <c r="BA364" s="52" t="str">
        <f aca="false">IF($A364&lt;&gt;"",$A364,"")</f>
        <v>Apprenant 352</v>
      </c>
      <c r="BB364" s="55" t="str">
        <f aca="false">IF(AND($AR364&lt;&gt;"",$AS364&lt;&gt;""),$AS364-$AR364,"")</f>
        <v/>
      </c>
      <c r="BC364" s="55" t="str">
        <f aca="false">IF(AND($AR364&lt;&gt;"",$AT364&lt;&gt;""),$AT364-$AR364,"")</f>
        <v/>
      </c>
      <c r="BD364" s="55" t="str">
        <f aca="false">IF(AND($AS364&lt;&gt;"",$AT364&lt;&gt;""),$AT364-$AS364,"")</f>
        <v/>
      </c>
      <c r="BE364" s="53" t="str">
        <f aca="false">IF($E364&lt;&gt;"",$E364,"")</f>
        <v/>
      </c>
      <c r="BF364" s="52" t="str">
        <f aca="false">IF($F364&lt;&gt;"",$F364,"")</f>
        <v>Apprenant 352 ou 352'</v>
      </c>
      <c r="BG364" s="55" t="str">
        <f aca="false">IF(AND($AW364&lt;&gt;"",$AX364&lt;&gt;""),$AX364-$AW364,"")</f>
        <v/>
      </c>
      <c r="BH364" s="55" t="str">
        <f aca="false">IF(AND($AW364&lt;&gt;"",$AY364&lt;&gt;""),$AY364-$AW364,"")</f>
        <v/>
      </c>
      <c r="BI364" s="55" t="str">
        <f aca="false">IF(AND($AX364&lt;&gt;"",$AY364&lt;&gt;""),$AY364-$AX364,"")</f>
        <v/>
      </c>
      <c r="BJ364" s="53" t="str">
        <f aca="false">IF($J364&lt;&gt;"",$J364,"")</f>
        <v/>
      </c>
      <c r="BL364" s="52"/>
      <c r="BM364" s="52" t="str">
        <f aca="false">IF(OR(COUNT(B364:D1363)=0,AND('Choix pédagogiques'!$C$3&lt;&gt;1,'Choix pédagogiques'!$C$3&lt;&gt;2)),"",IF(AND(OR('Choix pédagogiques'!$C$3=1,'Choix pédagogiques'!$C$3=2),$B364&lt;&gt;"",$C364&lt;&gt;"",$D364&lt;&gt;""),1,0))</f>
        <v/>
      </c>
      <c r="BN364" s="52" t="str">
        <f aca="false">IF(OR(COUNT(G364:I1363)=0,AND('Choix pédagogiques'!$C$3&lt;&gt;1,'Choix pédagogiques'!$C$3&lt;&gt;2)),"",IF(AND(OR('Choix pédagogiques'!$C$3=1,'Choix pédagogiques'!$C$3=2),AND($G364&lt;&gt;"",$H364&lt;&gt;"",$I364&lt;&gt;"")),1,0))</f>
        <v/>
      </c>
      <c r="BO364" s="52" t="str">
        <f aca="false">IF(OR(COUNT(B364:D1363)=0,COUNT(G364:I1363)=0,'Choix pédagogiques'!C$3&lt;&gt;3),"",IF(AND('Choix pédagogiques'!$C$3=3,$B364&lt;&gt;"",$C364&lt;&gt;"",$D364&lt;&gt;"",$G364&lt;&gt;"",$H364&lt;&gt;"",$I364&lt;&gt;""),1,0))</f>
        <v/>
      </c>
      <c r="BR364" s="52" t="n">
        <v>563</v>
      </c>
      <c r="BS364" s="52" t="n">
        <v>1022</v>
      </c>
    </row>
    <row r="365" s="54" customFormat="true" ht="18" hidden="false" customHeight="true" outlineLevel="0" collapsed="false">
      <c r="A365" s="57" t="s">
        <v>661</v>
      </c>
      <c r="B365" s="51"/>
      <c r="C365" s="51"/>
      <c r="D365" s="51"/>
      <c r="E365" s="51"/>
      <c r="F365" s="57" t="s">
        <v>662</v>
      </c>
      <c r="G365" s="51"/>
      <c r="H365" s="51"/>
      <c r="I365" s="51"/>
      <c r="J365" s="51"/>
      <c r="K365" s="52" t="str">
        <f aca="false">IF($A365&lt;&gt;"",$A365,"")</f>
        <v>Apprenant 353</v>
      </c>
      <c r="L365" s="53" t="str">
        <f aca="false">IF(AND($B365&lt;&gt;"",$C365&lt;&gt;""),$C365-$B365,"")</f>
        <v/>
      </c>
      <c r="M365" s="53" t="str">
        <f aca="false">IF(AND($B365&lt;&gt;"",$D365&lt;&gt;""),$D365-$B365,"")</f>
        <v/>
      </c>
      <c r="N365" s="53" t="str">
        <f aca="false">IF(AND($C365&lt;&gt;"",$D365&lt;&gt;""),$D365-$C365,"")</f>
        <v/>
      </c>
      <c r="O365" s="53" t="str">
        <f aca="false">IF($E365&lt;&gt;"",$E365,"")</f>
        <v/>
      </c>
      <c r="P365" s="52" t="str">
        <f aca="false">IF($F365&lt;&gt;"",$F365,"")</f>
        <v>Apprenant 353 ou 353'</v>
      </c>
      <c r="Q365" s="53" t="str">
        <f aca="false">IF(AND($G365&lt;&gt;"",$H365&lt;&gt;""),$H365-$G365,"")</f>
        <v/>
      </c>
      <c r="R365" s="53" t="str">
        <f aca="false">IF(AND($G365&lt;&gt;"",$I365&lt;&gt;""),$I365-$G365,"")</f>
        <v/>
      </c>
      <c r="S365" s="53" t="str">
        <f aca="false">IF(AND($H365&lt;&gt;"",$I365&lt;&gt;""),$I365-$H365,"")</f>
        <v/>
      </c>
      <c r="T365" s="53" t="str">
        <f aca="false">IF($J365&lt;&gt;"",$J365,"")</f>
        <v/>
      </c>
      <c r="V365" s="52" t="str">
        <f aca="false">IF($A365&lt;&gt;"",$A365,"")</f>
        <v>Apprenant 353</v>
      </c>
      <c r="W365" s="53" t="str">
        <f aca="false">IF(AND(OR('Choix pédagogiques'!$C$3=1,'Choix pédagogiques'!$C$3=2),$BM365=1),B365,IF(AND('Choix pédagogiques'!$C$3=3,$BO365=1),B365,""))</f>
        <v/>
      </c>
      <c r="X365" s="53" t="str">
        <f aca="false">IF(AND(OR('Choix pédagogiques'!$C$3=1,'Choix pédagogiques'!$C$3=2),$BM365=1),C365,IF(AND('Choix pédagogiques'!$C$3=3,$BO365=1),C365,""))</f>
        <v/>
      </c>
      <c r="Y365" s="53" t="str">
        <f aca="false">IF(AND(OR('Choix pédagogiques'!$C$3=1,'Choix pédagogiques'!$C$3=2),$BM365=1),D365,IF(AND('Choix pédagogiques'!$C$3=3,$BO365=1),D365,""))</f>
        <v/>
      </c>
      <c r="Z365" s="53" t="str">
        <f aca="false">IF($E365&lt;&gt;"",$E365,"")</f>
        <v/>
      </c>
      <c r="AA365" s="52" t="str">
        <f aca="false">IF($F365&lt;&gt;"",$F365,"")</f>
        <v>Apprenant 353 ou 353'</v>
      </c>
      <c r="AB365" s="53" t="str">
        <f aca="false">IF(AND(OR('Choix pédagogiques'!$C$3=1,'Choix pédagogiques'!$C$3=2),$BN365=1),G365,IF(AND('Choix pédagogiques'!$C$3=3,$BO365=1),G365,""))</f>
        <v/>
      </c>
      <c r="AC365" s="53" t="str">
        <f aca="false">IF(AND(OR('Choix pédagogiques'!$C$3=1,'Choix pédagogiques'!$C$3=2),$BN365=1),H365,IF(AND('Choix pédagogiques'!$C$3=3,$BO365=1),H365,""))</f>
        <v/>
      </c>
      <c r="AD365" s="53" t="str">
        <f aca="false">IF(AND(OR('Choix pédagogiques'!$C$3=1,'Choix pédagogiques'!$C$3=2),$BN365=1),I365,IF(AND('Choix pédagogiques'!$C$3=3,$BO365=1),I365,""))</f>
        <v/>
      </c>
      <c r="AE365" s="53" t="str">
        <f aca="false">IF($J365&lt;&gt;"",$J365,"")</f>
        <v/>
      </c>
      <c r="AF365" s="52" t="str">
        <f aca="false">IF($A365&lt;&gt;"",$A365,"")</f>
        <v>Apprenant 353</v>
      </c>
      <c r="AG365" s="53" t="str">
        <f aca="false">IF(AND($W365&lt;&gt;"",$X365&lt;&gt;""),$X365-$W365,"")</f>
        <v/>
      </c>
      <c r="AH365" s="53" t="str">
        <f aca="false">IF(AND($W365&lt;&gt;"",$Y365&lt;&gt;""),$Y365-$W365,"")</f>
        <v/>
      </c>
      <c r="AI365" s="53" t="str">
        <f aca="false">IF(AND($X365&lt;&gt;"",$Y365&lt;&gt;""),$Y365-$X365,"")</f>
        <v/>
      </c>
      <c r="AJ365" s="53" t="str">
        <f aca="false">IF($E365&lt;&gt;"",$E365,"")</f>
        <v/>
      </c>
      <c r="AK365" s="52" t="str">
        <f aca="false">IF($F365&lt;&gt;"",$F365,"")</f>
        <v>Apprenant 353 ou 353'</v>
      </c>
      <c r="AL365" s="53" t="str">
        <f aca="false">IF(AND($AB365&lt;&gt;"",$AC365&lt;&gt;""),$AC365-$AB365,"")</f>
        <v/>
      </c>
      <c r="AM365" s="53" t="str">
        <f aca="false">IF(AND($AB365&lt;&gt;"",$AD365&lt;&gt;""),$AD365-$AB365,"")</f>
        <v/>
      </c>
      <c r="AN365" s="53" t="str">
        <f aca="false">IF(AND($AC365&lt;&gt;"",$AD365&lt;&gt;""),$AD365-$AC365,"")</f>
        <v/>
      </c>
      <c r="AO365" s="53" t="str">
        <f aca="false">IF($J365&lt;&gt;"",$J365,"")</f>
        <v/>
      </c>
      <c r="AQ365" s="52" t="str">
        <f aca="false">IF($A365&lt;&gt;"",$A365,"")</f>
        <v>Apprenant 353</v>
      </c>
      <c r="AR365" s="55" t="str">
        <f aca="false">IF(AND('Choix pédagogiques'!$C$4&lt;&gt;"?",'Choix pédagogiques'!$C$5&lt;&gt;"?",W365&lt;&gt;""),(W365-'Choix pédagogiques'!$C$4)/('Choix pédagogiques'!$C$5-'Choix pédagogiques'!$C$4),"")</f>
        <v/>
      </c>
      <c r="AS365" s="55" t="str">
        <f aca="false">IF(AND('Choix pédagogiques'!$C$4&lt;&gt;"?",'Choix pédagogiques'!$C$5&lt;&gt;"?",X365&lt;&gt;""),(X365-'Choix pédagogiques'!$C$4)/('Choix pédagogiques'!$C$5-'Choix pédagogiques'!$C$4),"")</f>
        <v/>
      </c>
      <c r="AT365" s="55" t="str">
        <f aca="false">IF(AND('Choix pédagogiques'!$C$4&lt;&gt;"?",'Choix pédagogiques'!$C$5&lt;&gt;"?",Y365&lt;&gt;""),(Y365-'Choix pédagogiques'!$C$4)/('Choix pédagogiques'!$C$5-'Choix pédagogiques'!$C$4),"")</f>
        <v/>
      </c>
      <c r="AU365" s="53" t="str">
        <f aca="false">IF($E365&lt;&gt;"",$E365,"")</f>
        <v/>
      </c>
      <c r="AV365" s="52" t="str">
        <f aca="false">IF($F365&lt;&gt;"",$F365,"")</f>
        <v>Apprenant 353 ou 353'</v>
      </c>
      <c r="AW365" s="55" t="str">
        <f aca="false">IF(AND('Choix pédagogiques'!$C$4&lt;&gt;"?",'Choix pédagogiques'!$C$5&lt;&gt;"?",AB365&lt;&gt;""),(AB365-'Choix pédagogiques'!$C$4)/('Choix pédagogiques'!$C$5-'Choix pédagogiques'!$C$4),"")</f>
        <v/>
      </c>
      <c r="AX365" s="55" t="str">
        <f aca="false">IF(AND('Choix pédagogiques'!$C$4&lt;&gt;"?",'Choix pédagogiques'!$C$5&lt;&gt;"?",AC365&lt;&gt;""),(AC365-'Choix pédagogiques'!$C$4)/('Choix pédagogiques'!$C$5-'Choix pédagogiques'!$C$4),"")</f>
        <v/>
      </c>
      <c r="AY365" s="55" t="str">
        <f aca="false">IF(AND('Choix pédagogiques'!$C$4&lt;&gt;"?",'Choix pédagogiques'!$C$5&lt;&gt;"?",AD365&lt;&gt;""),(AD365-'Choix pédagogiques'!$C$4)/('Choix pédagogiques'!$C$5-'Choix pédagogiques'!$C$4),"")</f>
        <v/>
      </c>
      <c r="AZ365" s="53" t="str">
        <f aca="false">IF($J365&lt;&gt;"",$J365,"")</f>
        <v/>
      </c>
      <c r="BA365" s="52" t="str">
        <f aca="false">IF($A365&lt;&gt;"",$A365,"")</f>
        <v>Apprenant 353</v>
      </c>
      <c r="BB365" s="55" t="str">
        <f aca="false">IF(AND($AR365&lt;&gt;"",$AS365&lt;&gt;""),$AS365-$AR365,"")</f>
        <v/>
      </c>
      <c r="BC365" s="55" t="str">
        <f aca="false">IF(AND($AR365&lt;&gt;"",$AT365&lt;&gt;""),$AT365-$AR365,"")</f>
        <v/>
      </c>
      <c r="BD365" s="55" t="str">
        <f aca="false">IF(AND($AS365&lt;&gt;"",$AT365&lt;&gt;""),$AT365-$AS365,"")</f>
        <v/>
      </c>
      <c r="BE365" s="53" t="str">
        <f aca="false">IF($E365&lt;&gt;"",$E365,"")</f>
        <v/>
      </c>
      <c r="BF365" s="52" t="str">
        <f aca="false">IF($F365&lt;&gt;"",$F365,"")</f>
        <v>Apprenant 353 ou 353'</v>
      </c>
      <c r="BG365" s="55" t="str">
        <f aca="false">IF(AND($AW365&lt;&gt;"",$AX365&lt;&gt;""),$AX365-$AW365,"")</f>
        <v/>
      </c>
      <c r="BH365" s="55" t="str">
        <f aca="false">IF(AND($AW365&lt;&gt;"",$AY365&lt;&gt;""),$AY365-$AW365,"")</f>
        <v/>
      </c>
      <c r="BI365" s="55" t="str">
        <f aca="false">IF(AND($AX365&lt;&gt;"",$AY365&lt;&gt;""),$AY365-$AX365,"")</f>
        <v/>
      </c>
      <c r="BJ365" s="53" t="str">
        <f aca="false">IF($J365&lt;&gt;"",$J365,"")</f>
        <v/>
      </c>
      <c r="BL365" s="52"/>
      <c r="BM365" s="52" t="str">
        <f aca="false">IF(OR(COUNT(B365:D1364)=0,AND('Choix pédagogiques'!$C$3&lt;&gt;1,'Choix pédagogiques'!$C$3&lt;&gt;2)),"",IF(AND(OR('Choix pédagogiques'!$C$3=1,'Choix pédagogiques'!$C$3=2),$B365&lt;&gt;"",$C365&lt;&gt;"",$D365&lt;&gt;""),1,0))</f>
        <v/>
      </c>
      <c r="BN365" s="52" t="str">
        <f aca="false">IF(OR(COUNT(G365:I1364)=0,AND('Choix pédagogiques'!$C$3&lt;&gt;1,'Choix pédagogiques'!$C$3&lt;&gt;2)),"",IF(AND(OR('Choix pédagogiques'!$C$3=1,'Choix pédagogiques'!$C$3=2),AND($G365&lt;&gt;"",$H365&lt;&gt;"",$I365&lt;&gt;"")),1,0))</f>
        <v/>
      </c>
      <c r="BO365" s="52" t="str">
        <f aca="false">IF(OR(COUNT(B365:D1364)=0,COUNT(G365:I1364)=0,'Choix pédagogiques'!C$3&lt;&gt;3),"",IF(AND('Choix pédagogiques'!$C$3=3,$B365&lt;&gt;"",$C365&lt;&gt;"",$D365&lt;&gt;"",$G365&lt;&gt;"",$H365&lt;&gt;"",$I365&lt;&gt;""),1,0))</f>
        <v/>
      </c>
      <c r="BR365" s="52" t="n">
        <v>72</v>
      </c>
      <c r="BS365" s="52" t="n">
        <v>1733</v>
      </c>
    </row>
    <row r="366" s="54" customFormat="true" ht="18" hidden="false" customHeight="true" outlineLevel="0" collapsed="false">
      <c r="A366" s="57" t="s">
        <v>663</v>
      </c>
      <c r="B366" s="51"/>
      <c r="C366" s="51"/>
      <c r="D366" s="51"/>
      <c r="E366" s="51"/>
      <c r="F366" s="57" t="s">
        <v>664</v>
      </c>
      <c r="G366" s="51"/>
      <c r="H366" s="51"/>
      <c r="I366" s="51"/>
      <c r="J366" s="51"/>
      <c r="K366" s="52" t="str">
        <f aca="false">IF($A366&lt;&gt;"",$A366,"")</f>
        <v>Apprenant 354</v>
      </c>
      <c r="L366" s="53" t="str">
        <f aca="false">IF(AND($B366&lt;&gt;"",$C366&lt;&gt;""),$C366-$B366,"")</f>
        <v/>
      </c>
      <c r="M366" s="53" t="str">
        <f aca="false">IF(AND($B366&lt;&gt;"",$D366&lt;&gt;""),$D366-$B366,"")</f>
        <v/>
      </c>
      <c r="N366" s="53" t="str">
        <f aca="false">IF(AND($C366&lt;&gt;"",$D366&lt;&gt;""),$D366-$C366,"")</f>
        <v/>
      </c>
      <c r="O366" s="53" t="str">
        <f aca="false">IF($E366&lt;&gt;"",$E366,"")</f>
        <v/>
      </c>
      <c r="P366" s="52" t="str">
        <f aca="false">IF($F366&lt;&gt;"",$F366,"")</f>
        <v>Apprenant 354 ou 354'</v>
      </c>
      <c r="Q366" s="53" t="str">
        <f aca="false">IF(AND($G366&lt;&gt;"",$H366&lt;&gt;""),$H366-$G366,"")</f>
        <v/>
      </c>
      <c r="R366" s="53" t="str">
        <f aca="false">IF(AND($G366&lt;&gt;"",$I366&lt;&gt;""),$I366-$G366,"")</f>
        <v/>
      </c>
      <c r="S366" s="53" t="str">
        <f aca="false">IF(AND($H366&lt;&gt;"",$I366&lt;&gt;""),$I366-$H366,"")</f>
        <v/>
      </c>
      <c r="T366" s="53" t="str">
        <f aca="false">IF($J366&lt;&gt;"",$J366,"")</f>
        <v/>
      </c>
      <c r="V366" s="52" t="str">
        <f aca="false">IF($A366&lt;&gt;"",$A366,"")</f>
        <v>Apprenant 354</v>
      </c>
      <c r="W366" s="53" t="str">
        <f aca="false">IF(AND(OR('Choix pédagogiques'!$C$3=1,'Choix pédagogiques'!$C$3=2),$BM366=1),B366,IF(AND('Choix pédagogiques'!$C$3=3,$BO366=1),B366,""))</f>
        <v/>
      </c>
      <c r="X366" s="53" t="str">
        <f aca="false">IF(AND(OR('Choix pédagogiques'!$C$3=1,'Choix pédagogiques'!$C$3=2),$BM366=1),C366,IF(AND('Choix pédagogiques'!$C$3=3,$BO366=1),C366,""))</f>
        <v/>
      </c>
      <c r="Y366" s="53" t="str">
        <f aca="false">IF(AND(OR('Choix pédagogiques'!$C$3=1,'Choix pédagogiques'!$C$3=2),$BM366=1),D366,IF(AND('Choix pédagogiques'!$C$3=3,$BO366=1),D366,""))</f>
        <v/>
      </c>
      <c r="Z366" s="53" t="str">
        <f aca="false">IF($E366&lt;&gt;"",$E366,"")</f>
        <v/>
      </c>
      <c r="AA366" s="52" t="str">
        <f aca="false">IF($F366&lt;&gt;"",$F366,"")</f>
        <v>Apprenant 354 ou 354'</v>
      </c>
      <c r="AB366" s="53" t="str">
        <f aca="false">IF(AND(OR('Choix pédagogiques'!$C$3=1,'Choix pédagogiques'!$C$3=2),$BN366=1),G366,IF(AND('Choix pédagogiques'!$C$3=3,$BO366=1),G366,""))</f>
        <v/>
      </c>
      <c r="AC366" s="53" t="str">
        <f aca="false">IF(AND(OR('Choix pédagogiques'!$C$3=1,'Choix pédagogiques'!$C$3=2),$BN366=1),H366,IF(AND('Choix pédagogiques'!$C$3=3,$BO366=1),H366,""))</f>
        <v/>
      </c>
      <c r="AD366" s="53" t="str">
        <f aca="false">IF(AND(OR('Choix pédagogiques'!$C$3=1,'Choix pédagogiques'!$C$3=2),$BN366=1),I366,IF(AND('Choix pédagogiques'!$C$3=3,$BO366=1),I366,""))</f>
        <v/>
      </c>
      <c r="AE366" s="53" t="str">
        <f aca="false">IF($J366&lt;&gt;"",$J366,"")</f>
        <v/>
      </c>
      <c r="AF366" s="52" t="str">
        <f aca="false">IF($A366&lt;&gt;"",$A366,"")</f>
        <v>Apprenant 354</v>
      </c>
      <c r="AG366" s="53" t="str">
        <f aca="false">IF(AND($W366&lt;&gt;"",$X366&lt;&gt;""),$X366-$W366,"")</f>
        <v/>
      </c>
      <c r="AH366" s="53" t="str">
        <f aca="false">IF(AND($W366&lt;&gt;"",$Y366&lt;&gt;""),$Y366-$W366,"")</f>
        <v/>
      </c>
      <c r="AI366" s="53" t="str">
        <f aca="false">IF(AND($X366&lt;&gt;"",$Y366&lt;&gt;""),$Y366-$X366,"")</f>
        <v/>
      </c>
      <c r="AJ366" s="53" t="str">
        <f aca="false">IF($E366&lt;&gt;"",$E366,"")</f>
        <v/>
      </c>
      <c r="AK366" s="52" t="str">
        <f aca="false">IF($F366&lt;&gt;"",$F366,"")</f>
        <v>Apprenant 354 ou 354'</v>
      </c>
      <c r="AL366" s="53" t="str">
        <f aca="false">IF(AND($AB366&lt;&gt;"",$AC366&lt;&gt;""),$AC366-$AB366,"")</f>
        <v/>
      </c>
      <c r="AM366" s="53" t="str">
        <f aca="false">IF(AND($AB366&lt;&gt;"",$AD366&lt;&gt;""),$AD366-$AB366,"")</f>
        <v/>
      </c>
      <c r="AN366" s="53" t="str">
        <f aca="false">IF(AND($AC366&lt;&gt;"",$AD366&lt;&gt;""),$AD366-$AC366,"")</f>
        <v/>
      </c>
      <c r="AO366" s="53" t="str">
        <f aca="false">IF($J366&lt;&gt;"",$J366,"")</f>
        <v/>
      </c>
      <c r="AQ366" s="52" t="str">
        <f aca="false">IF($A366&lt;&gt;"",$A366,"")</f>
        <v>Apprenant 354</v>
      </c>
      <c r="AR366" s="55" t="str">
        <f aca="false">IF(AND('Choix pédagogiques'!$C$4&lt;&gt;"?",'Choix pédagogiques'!$C$5&lt;&gt;"?",W366&lt;&gt;""),(W366-'Choix pédagogiques'!$C$4)/('Choix pédagogiques'!$C$5-'Choix pédagogiques'!$C$4),"")</f>
        <v/>
      </c>
      <c r="AS366" s="55" t="str">
        <f aca="false">IF(AND('Choix pédagogiques'!$C$4&lt;&gt;"?",'Choix pédagogiques'!$C$5&lt;&gt;"?",X366&lt;&gt;""),(X366-'Choix pédagogiques'!$C$4)/('Choix pédagogiques'!$C$5-'Choix pédagogiques'!$C$4),"")</f>
        <v/>
      </c>
      <c r="AT366" s="55" t="str">
        <f aca="false">IF(AND('Choix pédagogiques'!$C$4&lt;&gt;"?",'Choix pédagogiques'!$C$5&lt;&gt;"?",Y366&lt;&gt;""),(Y366-'Choix pédagogiques'!$C$4)/('Choix pédagogiques'!$C$5-'Choix pédagogiques'!$C$4),"")</f>
        <v/>
      </c>
      <c r="AU366" s="53" t="str">
        <f aca="false">IF($E366&lt;&gt;"",$E366,"")</f>
        <v/>
      </c>
      <c r="AV366" s="52" t="str">
        <f aca="false">IF($F366&lt;&gt;"",$F366,"")</f>
        <v>Apprenant 354 ou 354'</v>
      </c>
      <c r="AW366" s="55" t="str">
        <f aca="false">IF(AND('Choix pédagogiques'!$C$4&lt;&gt;"?",'Choix pédagogiques'!$C$5&lt;&gt;"?",AB366&lt;&gt;""),(AB366-'Choix pédagogiques'!$C$4)/('Choix pédagogiques'!$C$5-'Choix pédagogiques'!$C$4),"")</f>
        <v/>
      </c>
      <c r="AX366" s="55" t="str">
        <f aca="false">IF(AND('Choix pédagogiques'!$C$4&lt;&gt;"?",'Choix pédagogiques'!$C$5&lt;&gt;"?",AC366&lt;&gt;""),(AC366-'Choix pédagogiques'!$C$4)/('Choix pédagogiques'!$C$5-'Choix pédagogiques'!$C$4),"")</f>
        <v/>
      </c>
      <c r="AY366" s="55" t="str">
        <f aca="false">IF(AND('Choix pédagogiques'!$C$4&lt;&gt;"?",'Choix pédagogiques'!$C$5&lt;&gt;"?",AD366&lt;&gt;""),(AD366-'Choix pédagogiques'!$C$4)/('Choix pédagogiques'!$C$5-'Choix pédagogiques'!$C$4),"")</f>
        <v/>
      </c>
      <c r="AZ366" s="53" t="str">
        <f aca="false">IF($J366&lt;&gt;"",$J366,"")</f>
        <v/>
      </c>
      <c r="BA366" s="52" t="str">
        <f aca="false">IF($A366&lt;&gt;"",$A366,"")</f>
        <v>Apprenant 354</v>
      </c>
      <c r="BB366" s="55" t="str">
        <f aca="false">IF(AND($AR366&lt;&gt;"",$AS366&lt;&gt;""),$AS366-$AR366,"")</f>
        <v/>
      </c>
      <c r="BC366" s="55" t="str">
        <f aca="false">IF(AND($AR366&lt;&gt;"",$AT366&lt;&gt;""),$AT366-$AR366,"")</f>
        <v/>
      </c>
      <c r="BD366" s="55" t="str">
        <f aca="false">IF(AND($AS366&lt;&gt;"",$AT366&lt;&gt;""),$AT366-$AS366,"")</f>
        <v/>
      </c>
      <c r="BE366" s="53" t="str">
        <f aca="false">IF($E366&lt;&gt;"",$E366,"")</f>
        <v/>
      </c>
      <c r="BF366" s="52" t="str">
        <f aca="false">IF($F366&lt;&gt;"",$F366,"")</f>
        <v>Apprenant 354 ou 354'</v>
      </c>
      <c r="BG366" s="55" t="str">
        <f aca="false">IF(AND($AW366&lt;&gt;"",$AX366&lt;&gt;""),$AX366-$AW366,"")</f>
        <v/>
      </c>
      <c r="BH366" s="55" t="str">
        <f aca="false">IF(AND($AW366&lt;&gt;"",$AY366&lt;&gt;""),$AY366-$AW366,"")</f>
        <v/>
      </c>
      <c r="BI366" s="55" t="str">
        <f aca="false">IF(AND($AX366&lt;&gt;"",$AY366&lt;&gt;""),$AY366-$AX366,"")</f>
        <v/>
      </c>
      <c r="BJ366" s="53" t="str">
        <f aca="false">IF($J366&lt;&gt;"",$J366,"")</f>
        <v/>
      </c>
      <c r="BL366" s="52"/>
      <c r="BM366" s="52" t="str">
        <f aca="false">IF(OR(COUNT(B366:D1365)=0,AND('Choix pédagogiques'!$C$3&lt;&gt;1,'Choix pédagogiques'!$C$3&lt;&gt;2)),"",IF(AND(OR('Choix pédagogiques'!$C$3=1,'Choix pédagogiques'!$C$3=2),$B366&lt;&gt;"",$C366&lt;&gt;"",$D366&lt;&gt;""),1,0))</f>
        <v/>
      </c>
      <c r="BN366" s="52" t="str">
        <f aca="false">IF(OR(COUNT(G366:I1365)=0,AND('Choix pédagogiques'!$C$3&lt;&gt;1,'Choix pédagogiques'!$C$3&lt;&gt;2)),"",IF(AND(OR('Choix pédagogiques'!$C$3=1,'Choix pédagogiques'!$C$3=2),AND($G366&lt;&gt;"",$H366&lt;&gt;"",$I366&lt;&gt;"")),1,0))</f>
        <v/>
      </c>
      <c r="BO366" s="52" t="str">
        <f aca="false">IF(OR(COUNT(B366:D1365)=0,COUNT(G366:I1365)=0,'Choix pédagogiques'!C$3&lt;&gt;3),"",IF(AND('Choix pédagogiques'!$C$3=3,$B366&lt;&gt;"",$C366&lt;&gt;"",$D366&lt;&gt;"",$G366&lt;&gt;"",$H366&lt;&gt;"",$I366&lt;&gt;""),1,0))</f>
        <v/>
      </c>
      <c r="BR366" s="52" t="n">
        <v>350</v>
      </c>
      <c r="BS366" s="52" t="n">
        <v>1568</v>
      </c>
    </row>
    <row r="367" s="54" customFormat="true" ht="18" hidden="false" customHeight="true" outlineLevel="0" collapsed="false">
      <c r="A367" s="57" t="s">
        <v>665</v>
      </c>
      <c r="B367" s="51"/>
      <c r="C367" s="51"/>
      <c r="D367" s="51"/>
      <c r="E367" s="51"/>
      <c r="F367" s="57" t="s">
        <v>666</v>
      </c>
      <c r="G367" s="51"/>
      <c r="H367" s="51"/>
      <c r="I367" s="51"/>
      <c r="J367" s="51"/>
      <c r="K367" s="52" t="str">
        <f aca="false">IF($A367&lt;&gt;"",$A367,"")</f>
        <v>Apprenant 355</v>
      </c>
      <c r="L367" s="53" t="str">
        <f aca="false">IF(AND($B367&lt;&gt;"",$C367&lt;&gt;""),$C367-$B367,"")</f>
        <v/>
      </c>
      <c r="M367" s="53" t="str">
        <f aca="false">IF(AND($B367&lt;&gt;"",$D367&lt;&gt;""),$D367-$B367,"")</f>
        <v/>
      </c>
      <c r="N367" s="53" t="str">
        <f aca="false">IF(AND($C367&lt;&gt;"",$D367&lt;&gt;""),$D367-$C367,"")</f>
        <v/>
      </c>
      <c r="O367" s="53" t="str">
        <f aca="false">IF($E367&lt;&gt;"",$E367,"")</f>
        <v/>
      </c>
      <c r="P367" s="52" t="str">
        <f aca="false">IF($F367&lt;&gt;"",$F367,"")</f>
        <v>Apprenant 355 ou 355'</v>
      </c>
      <c r="Q367" s="53" t="str">
        <f aca="false">IF(AND($G367&lt;&gt;"",$H367&lt;&gt;""),$H367-$G367,"")</f>
        <v/>
      </c>
      <c r="R367" s="53" t="str">
        <f aca="false">IF(AND($G367&lt;&gt;"",$I367&lt;&gt;""),$I367-$G367,"")</f>
        <v/>
      </c>
      <c r="S367" s="53" t="str">
        <f aca="false">IF(AND($H367&lt;&gt;"",$I367&lt;&gt;""),$I367-$H367,"")</f>
        <v/>
      </c>
      <c r="T367" s="53" t="str">
        <f aca="false">IF($J367&lt;&gt;"",$J367,"")</f>
        <v/>
      </c>
      <c r="V367" s="52" t="str">
        <f aca="false">IF($A367&lt;&gt;"",$A367,"")</f>
        <v>Apprenant 355</v>
      </c>
      <c r="W367" s="53" t="str">
        <f aca="false">IF(AND(OR('Choix pédagogiques'!$C$3=1,'Choix pédagogiques'!$C$3=2),$BM367=1),B367,IF(AND('Choix pédagogiques'!$C$3=3,$BO367=1),B367,""))</f>
        <v/>
      </c>
      <c r="X367" s="53" t="str">
        <f aca="false">IF(AND(OR('Choix pédagogiques'!$C$3=1,'Choix pédagogiques'!$C$3=2),$BM367=1),C367,IF(AND('Choix pédagogiques'!$C$3=3,$BO367=1),C367,""))</f>
        <v/>
      </c>
      <c r="Y367" s="53" t="str">
        <f aca="false">IF(AND(OR('Choix pédagogiques'!$C$3=1,'Choix pédagogiques'!$C$3=2),$BM367=1),D367,IF(AND('Choix pédagogiques'!$C$3=3,$BO367=1),D367,""))</f>
        <v/>
      </c>
      <c r="Z367" s="53" t="str">
        <f aca="false">IF($E367&lt;&gt;"",$E367,"")</f>
        <v/>
      </c>
      <c r="AA367" s="52" t="str">
        <f aca="false">IF($F367&lt;&gt;"",$F367,"")</f>
        <v>Apprenant 355 ou 355'</v>
      </c>
      <c r="AB367" s="53" t="str">
        <f aca="false">IF(AND(OR('Choix pédagogiques'!$C$3=1,'Choix pédagogiques'!$C$3=2),$BN367=1),G367,IF(AND('Choix pédagogiques'!$C$3=3,$BO367=1),G367,""))</f>
        <v/>
      </c>
      <c r="AC367" s="53" t="str">
        <f aca="false">IF(AND(OR('Choix pédagogiques'!$C$3=1,'Choix pédagogiques'!$C$3=2),$BN367=1),H367,IF(AND('Choix pédagogiques'!$C$3=3,$BO367=1),H367,""))</f>
        <v/>
      </c>
      <c r="AD367" s="53" t="str">
        <f aca="false">IF(AND(OR('Choix pédagogiques'!$C$3=1,'Choix pédagogiques'!$C$3=2),$BN367=1),I367,IF(AND('Choix pédagogiques'!$C$3=3,$BO367=1),I367,""))</f>
        <v/>
      </c>
      <c r="AE367" s="53" t="str">
        <f aca="false">IF($J367&lt;&gt;"",$J367,"")</f>
        <v/>
      </c>
      <c r="AF367" s="52" t="str">
        <f aca="false">IF($A367&lt;&gt;"",$A367,"")</f>
        <v>Apprenant 355</v>
      </c>
      <c r="AG367" s="53" t="str">
        <f aca="false">IF(AND($W367&lt;&gt;"",$X367&lt;&gt;""),$X367-$W367,"")</f>
        <v/>
      </c>
      <c r="AH367" s="53" t="str">
        <f aca="false">IF(AND($W367&lt;&gt;"",$Y367&lt;&gt;""),$Y367-$W367,"")</f>
        <v/>
      </c>
      <c r="AI367" s="53" t="str">
        <f aca="false">IF(AND($X367&lt;&gt;"",$Y367&lt;&gt;""),$Y367-$X367,"")</f>
        <v/>
      </c>
      <c r="AJ367" s="53" t="str">
        <f aca="false">IF($E367&lt;&gt;"",$E367,"")</f>
        <v/>
      </c>
      <c r="AK367" s="52" t="str">
        <f aca="false">IF($F367&lt;&gt;"",$F367,"")</f>
        <v>Apprenant 355 ou 355'</v>
      </c>
      <c r="AL367" s="53" t="str">
        <f aca="false">IF(AND($AB367&lt;&gt;"",$AC367&lt;&gt;""),$AC367-$AB367,"")</f>
        <v/>
      </c>
      <c r="AM367" s="53" t="str">
        <f aca="false">IF(AND($AB367&lt;&gt;"",$AD367&lt;&gt;""),$AD367-$AB367,"")</f>
        <v/>
      </c>
      <c r="AN367" s="53" t="str">
        <f aca="false">IF(AND($AC367&lt;&gt;"",$AD367&lt;&gt;""),$AD367-$AC367,"")</f>
        <v/>
      </c>
      <c r="AO367" s="53" t="str">
        <f aca="false">IF($J367&lt;&gt;"",$J367,"")</f>
        <v/>
      </c>
      <c r="AQ367" s="52" t="str">
        <f aca="false">IF($A367&lt;&gt;"",$A367,"")</f>
        <v>Apprenant 355</v>
      </c>
      <c r="AR367" s="55" t="str">
        <f aca="false">IF(AND('Choix pédagogiques'!$C$4&lt;&gt;"?",'Choix pédagogiques'!$C$5&lt;&gt;"?",W367&lt;&gt;""),(W367-'Choix pédagogiques'!$C$4)/('Choix pédagogiques'!$C$5-'Choix pédagogiques'!$C$4),"")</f>
        <v/>
      </c>
      <c r="AS367" s="55" t="str">
        <f aca="false">IF(AND('Choix pédagogiques'!$C$4&lt;&gt;"?",'Choix pédagogiques'!$C$5&lt;&gt;"?",X367&lt;&gt;""),(X367-'Choix pédagogiques'!$C$4)/('Choix pédagogiques'!$C$5-'Choix pédagogiques'!$C$4),"")</f>
        <v/>
      </c>
      <c r="AT367" s="55" t="str">
        <f aca="false">IF(AND('Choix pédagogiques'!$C$4&lt;&gt;"?",'Choix pédagogiques'!$C$5&lt;&gt;"?",Y367&lt;&gt;""),(Y367-'Choix pédagogiques'!$C$4)/('Choix pédagogiques'!$C$5-'Choix pédagogiques'!$C$4),"")</f>
        <v/>
      </c>
      <c r="AU367" s="53" t="str">
        <f aca="false">IF($E367&lt;&gt;"",$E367,"")</f>
        <v/>
      </c>
      <c r="AV367" s="52" t="str">
        <f aca="false">IF($F367&lt;&gt;"",$F367,"")</f>
        <v>Apprenant 355 ou 355'</v>
      </c>
      <c r="AW367" s="55" t="str">
        <f aca="false">IF(AND('Choix pédagogiques'!$C$4&lt;&gt;"?",'Choix pédagogiques'!$C$5&lt;&gt;"?",AB367&lt;&gt;""),(AB367-'Choix pédagogiques'!$C$4)/('Choix pédagogiques'!$C$5-'Choix pédagogiques'!$C$4),"")</f>
        <v/>
      </c>
      <c r="AX367" s="55" t="str">
        <f aca="false">IF(AND('Choix pédagogiques'!$C$4&lt;&gt;"?",'Choix pédagogiques'!$C$5&lt;&gt;"?",AC367&lt;&gt;""),(AC367-'Choix pédagogiques'!$C$4)/('Choix pédagogiques'!$C$5-'Choix pédagogiques'!$C$4),"")</f>
        <v/>
      </c>
      <c r="AY367" s="55" t="str">
        <f aca="false">IF(AND('Choix pédagogiques'!$C$4&lt;&gt;"?",'Choix pédagogiques'!$C$5&lt;&gt;"?",AD367&lt;&gt;""),(AD367-'Choix pédagogiques'!$C$4)/('Choix pédagogiques'!$C$5-'Choix pédagogiques'!$C$4),"")</f>
        <v/>
      </c>
      <c r="AZ367" s="53" t="str">
        <f aca="false">IF($J367&lt;&gt;"",$J367,"")</f>
        <v/>
      </c>
      <c r="BA367" s="52" t="str">
        <f aca="false">IF($A367&lt;&gt;"",$A367,"")</f>
        <v>Apprenant 355</v>
      </c>
      <c r="BB367" s="55" t="str">
        <f aca="false">IF(AND($AR367&lt;&gt;"",$AS367&lt;&gt;""),$AS367-$AR367,"")</f>
        <v/>
      </c>
      <c r="BC367" s="55" t="str">
        <f aca="false">IF(AND($AR367&lt;&gt;"",$AT367&lt;&gt;""),$AT367-$AR367,"")</f>
        <v/>
      </c>
      <c r="BD367" s="55" t="str">
        <f aca="false">IF(AND($AS367&lt;&gt;"",$AT367&lt;&gt;""),$AT367-$AS367,"")</f>
        <v/>
      </c>
      <c r="BE367" s="53" t="str">
        <f aca="false">IF($E367&lt;&gt;"",$E367,"")</f>
        <v/>
      </c>
      <c r="BF367" s="52" t="str">
        <f aca="false">IF($F367&lt;&gt;"",$F367,"")</f>
        <v>Apprenant 355 ou 355'</v>
      </c>
      <c r="BG367" s="55" t="str">
        <f aca="false">IF(AND($AW367&lt;&gt;"",$AX367&lt;&gt;""),$AX367-$AW367,"")</f>
        <v/>
      </c>
      <c r="BH367" s="55" t="str">
        <f aca="false">IF(AND($AW367&lt;&gt;"",$AY367&lt;&gt;""),$AY367-$AW367,"")</f>
        <v/>
      </c>
      <c r="BI367" s="55" t="str">
        <f aca="false">IF(AND($AX367&lt;&gt;"",$AY367&lt;&gt;""),$AY367-$AX367,"")</f>
        <v/>
      </c>
      <c r="BJ367" s="53" t="str">
        <f aca="false">IF($J367&lt;&gt;"",$J367,"")</f>
        <v/>
      </c>
      <c r="BL367" s="52"/>
      <c r="BM367" s="52" t="str">
        <f aca="false">IF(OR(COUNT(B367:D1366)=0,AND('Choix pédagogiques'!$C$3&lt;&gt;1,'Choix pédagogiques'!$C$3&lt;&gt;2)),"",IF(AND(OR('Choix pédagogiques'!$C$3=1,'Choix pédagogiques'!$C$3=2),$B367&lt;&gt;"",$C367&lt;&gt;"",$D367&lt;&gt;""),1,0))</f>
        <v/>
      </c>
      <c r="BN367" s="52" t="str">
        <f aca="false">IF(OR(COUNT(G367:I1366)=0,AND('Choix pédagogiques'!$C$3&lt;&gt;1,'Choix pédagogiques'!$C$3&lt;&gt;2)),"",IF(AND(OR('Choix pédagogiques'!$C$3=1,'Choix pédagogiques'!$C$3=2),AND($G367&lt;&gt;"",$H367&lt;&gt;"",$I367&lt;&gt;"")),1,0))</f>
        <v/>
      </c>
      <c r="BO367" s="52" t="str">
        <f aca="false">IF(OR(COUNT(B367:D1366)=0,COUNT(G367:I1366)=0,'Choix pédagogiques'!C$3&lt;&gt;3),"",IF(AND('Choix pédagogiques'!$C$3=3,$B367&lt;&gt;"",$C367&lt;&gt;"",$D367&lt;&gt;"",$G367&lt;&gt;"",$H367&lt;&gt;"",$I367&lt;&gt;""),1,0))</f>
        <v/>
      </c>
      <c r="BR367" s="52" t="n">
        <v>512</v>
      </c>
      <c r="BS367" s="52" t="n">
        <v>1964</v>
      </c>
    </row>
    <row r="368" s="54" customFormat="true" ht="18" hidden="false" customHeight="true" outlineLevel="0" collapsed="false">
      <c r="A368" s="57" t="s">
        <v>667</v>
      </c>
      <c r="B368" s="51"/>
      <c r="C368" s="51"/>
      <c r="D368" s="51"/>
      <c r="E368" s="51"/>
      <c r="F368" s="57" t="s">
        <v>668</v>
      </c>
      <c r="G368" s="51"/>
      <c r="H368" s="51"/>
      <c r="I368" s="51"/>
      <c r="J368" s="51"/>
      <c r="K368" s="52" t="str">
        <f aca="false">IF($A368&lt;&gt;"",$A368,"")</f>
        <v>Apprenant 356</v>
      </c>
      <c r="L368" s="53" t="str">
        <f aca="false">IF(AND($B368&lt;&gt;"",$C368&lt;&gt;""),$C368-$B368,"")</f>
        <v/>
      </c>
      <c r="M368" s="53" t="str">
        <f aca="false">IF(AND($B368&lt;&gt;"",$D368&lt;&gt;""),$D368-$B368,"")</f>
        <v/>
      </c>
      <c r="N368" s="53" t="str">
        <f aca="false">IF(AND($C368&lt;&gt;"",$D368&lt;&gt;""),$D368-$C368,"")</f>
        <v/>
      </c>
      <c r="O368" s="53" t="str">
        <f aca="false">IF($E368&lt;&gt;"",$E368,"")</f>
        <v/>
      </c>
      <c r="P368" s="52" t="str">
        <f aca="false">IF($F368&lt;&gt;"",$F368,"")</f>
        <v>Apprenant 356 ou 356'</v>
      </c>
      <c r="Q368" s="53" t="str">
        <f aca="false">IF(AND($G368&lt;&gt;"",$H368&lt;&gt;""),$H368-$G368,"")</f>
        <v/>
      </c>
      <c r="R368" s="53" t="str">
        <f aca="false">IF(AND($G368&lt;&gt;"",$I368&lt;&gt;""),$I368-$G368,"")</f>
        <v/>
      </c>
      <c r="S368" s="53" t="str">
        <f aca="false">IF(AND($H368&lt;&gt;"",$I368&lt;&gt;""),$I368-$H368,"")</f>
        <v/>
      </c>
      <c r="T368" s="53" t="str">
        <f aca="false">IF($J368&lt;&gt;"",$J368,"")</f>
        <v/>
      </c>
      <c r="V368" s="52" t="str">
        <f aca="false">IF($A368&lt;&gt;"",$A368,"")</f>
        <v>Apprenant 356</v>
      </c>
      <c r="W368" s="53" t="str">
        <f aca="false">IF(AND(OR('Choix pédagogiques'!$C$3=1,'Choix pédagogiques'!$C$3=2),$BM368=1),B368,IF(AND('Choix pédagogiques'!$C$3=3,$BO368=1),B368,""))</f>
        <v/>
      </c>
      <c r="X368" s="53" t="str">
        <f aca="false">IF(AND(OR('Choix pédagogiques'!$C$3=1,'Choix pédagogiques'!$C$3=2),$BM368=1),C368,IF(AND('Choix pédagogiques'!$C$3=3,$BO368=1),C368,""))</f>
        <v/>
      </c>
      <c r="Y368" s="53" t="str">
        <f aca="false">IF(AND(OR('Choix pédagogiques'!$C$3=1,'Choix pédagogiques'!$C$3=2),$BM368=1),D368,IF(AND('Choix pédagogiques'!$C$3=3,$BO368=1),D368,""))</f>
        <v/>
      </c>
      <c r="Z368" s="53" t="str">
        <f aca="false">IF($E368&lt;&gt;"",$E368,"")</f>
        <v/>
      </c>
      <c r="AA368" s="52" t="str">
        <f aca="false">IF($F368&lt;&gt;"",$F368,"")</f>
        <v>Apprenant 356 ou 356'</v>
      </c>
      <c r="AB368" s="53" t="str">
        <f aca="false">IF(AND(OR('Choix pédagogiques'!$C$3=1,'Choix pédagogiques'!$C$3=2),$BN368=1),G368,IF(AND('Choix pédagogiques'!$C$3=3,$BO368=1),G368,""))</f>
        <v/>
      </c>
      <c r="AC368" s="53" t="str">
        <f aca="false">IF(AND(OR('Choix pédagogiques'!$C$3=1,'Choix pédagogiques'!$C$3=2),$BN368=1),H368,IF(AND('Choix pédagogiques'!$C$3=3,$BO368=1),H368,""))</f>
        <v/>
      </c>
      <c r="AD368" s="53" t="str">
        <f aca="false">IF(AND(OR('Choix pédagogiques'!$C$3=1,'Choix pédagogiques'!$C$3=2),$BN368=1),I368,IF(AND('Choix pédagogiques'!$C$3=3,$BO368=1),I368,""))</f>
        <v/>
      </c>
      <c r="AE368" s="53" t="str">
        <f aca="false">IF($J368&lt;&gt;"",$J368,"")</f>
        <v/>
      </c>
      <c r="AF368" s="52" t="str">
        <f aca="false">IF($A368&lt;&gt;"",$A368,"")</f>
        <v>Apprenant 356</v>
      </c>
      <c r="AG368" s="53" t="str">
        <f aca="false">IF(AND($W368&lt;&gt;"",$X368&lt;&gt;""),$X368-$W368,"")</f>
        <v/>
      </c>
      <c r="AH368" s="53" t="str">
        <f aca="false">IF(AND($W368&lt;&gt;"",$Y368&lt;&gt;""),$Y368-$W368,"")</f>
        <v/>
      </c>
      <c r="AI368" s="53" t="str">
        <f aca="false">IF(AND($X368&lt;&gt;"",$Y368&lt;&gt;""),$Y368-$X368,"")</f>
        <v/>
      </c>
      <c r="AJ368" s="53" t="str">
        <f aca="false">IF($E368&lt;&gt;"",$E368,"")</f>
        <v/>
      </c>
      <c r="AK368" s="52" t="str">
        <f aca="false">IF($F368&lt;&gt;"",$F368,"")</f>
        <v>Apprenant 356 ou 356'</v>
      </c>
      <c r="AL368" s="53" t="str">
        <f aca="false">IF(AND($AB368&lt;&gt;"",$AC368&lt;&gt;""),$AC368-$AB368,"")</f>
        <v/>
      </c>
      <c r="AM368" s="53" t="str">
        <f aca="false">IF(AND($AB368&lt;&gt;"",$AD368&lt;&gt;""),$AD368-$AB368,"")</f>
        <v/>
      </c>
      <c r="AN368" s="53" t="str">
        <f aca="false">IF(AND($AC368&lt;&gt;"",$AD368&lt;&gt;""),$AD368-$AC368,"")</f>
        <v/>
      </c>
      <c r="AO368" s="53" t="str">
        <f aca="false">IF($J368&lt;&gt;"",$J368,"")</f>
        <v/>
      </c>
      <c r="AQ368" s="52" t="str">
        <f aca="false">IF($A368&lt;&gt;"",$A368,"")</f>
        <v>Apprenant 356</v>
      </c>
      <c r="AR368" s="55" t="str">
        <f aca="false">IF(AND('Choix pédagogiques'!$C$4&lt;&gt;"?",'Choix pédagogiques'!$C$5&lt;&gt;"?",W368&lt;&gt;""),(W368-'Choix pédagogiques'!$C$4)/('Choix pédagogiques'!$C$5-'Choix pédagogiques'!$C$4),"")</f>
        <v/>
      </c>
      <c r="AS368" s="55" t="str">
        <f aca="false">IF(AND('Choix pédagogiques'!$C$4&lt;&gt;"?",'Choix pédagogiques'!$C$5&lt;&gt;"?",X368&lt;&gt;""),(X368-'Choix pédagogiques'!$C$4)/('Choix pédagogiques'!$C$5-'Choix pédagogiques'!$C$4),"")</f>
        <v/>
      </c>
      <c r="AT368" s="55" t="str">
        <f aca="false">IF(AND('Choix pédagogiques'!$C$4&lt;&gt;"?",'Choix pédagogiques'!$C$5&lt;&gt;"?",Y368&lt;&gt;""),(Y368-'Choix pédagogiques'!$C$4)/('Choix pédagogiques'!$C$5-'Choix pédagogiques'!$C$4),"")</f>
        <v/>
      </c>
      <c r="AU368" s="53" t="str">
        <f aca="false">IF($E368&lt;&gt;"",$E368,"")</f>
        <v/>
      </c>
      <c r="AV368" s="52" t="str">
        <f aca="false">IF($F368&lt;&gt;"",$F368,"")</f>
        <v>Apprenant 356 ou 356'</v>
      </c>
      <c r="AW368" s="55" t="str">
        <f aca="false">IF(AND('Choix pédagogiques'!$C$4&lt;&gt;"?",'Choix pédagogiques'!$C$5&lt;&gt;"?",AB368&lt;&gt;""),(AB368-'Choix pédagogiques'!$C$4)/('Choix pédagogiques'!$C$5-'Choix pédagogiques'!$C$4),"")</f>
        <v/>
      </c>
      <c r="AX368" s="55" t="str">
        <f aca="false">IF(AND('Choix pédagogiques'!$C$4&lt;&gt;"?",'Choix pédagogiques'!$C$5&lt;&gt;"?",AC368&lt;&gt;""),(AC368-'Choix pédagogiques'!$C$4)/('Choix pédagogiques'!$C$5-'Choix pédagogiques'!$C$4),"")</f>
        <v/>
      </c>
      <c r="AY368" s="55" t="str">
        <f aca="false">IF(AND('Choix pédagogiques'!$C$4&lt;&gt;"?",'Choix pédagogiques'!$C$5&lt;&gt;"?",AD368&lt;&gt;""),(AD368-'Choix pédagogiques'!$C$4)/('Choix pédagogiques'!$C$5-'Choix pédagogiques'!$C$4),"")</f>
        <v/>
      </c>
      <c r="AZ368" s="53" t="str">
        <f aca="false">IF($J368&lt;&gt;"",$J368,"")</f>
        <v/>
      </c>
      <c r="BA368" s="52" t="str">
        <f aca="false">IF($A368&lt;&gt;"",$A368,"")</f>
        <v>Apprenant 356</v>
      </c>
      <c r="BB368" s="55" t="str">
        <f aca="false">IF(AND($AR368&lt;&gt;"",$AS368&lt;&gt;""),$AS368-$AR368,"")</f>
        <v/>
      </c>
      <c r="BC368" s="55" t="str">
        <f aca="false">IF(AND($AR368&lt;&gt;"",$AT368&lt;&gt;""),$AT368-$AR368,"")</f>
        <v/>
      </c>
      <c r="BD368" s="55" t="str">
        <f aca="false">IF(AND($AS368&lt;&gt;"",$AT368&lt;&gt;""),$AT368-$AS368,"")</f>
        <v/>
      </c>
      <c r="BE368" s="53" t="str">
        <f aca="false">IF($E368&lt;&gt;"",$E368,"")</f>
        <v/>
      </c>
      <c r="BF368" s="52" t="str">
        <f aca="false">IF($F368&lt;&gt;"",$F368,"")</f>
        <v>Apprenant 356 ou 356'</v>
      </c>
      <c r="BG368" s="55" t="str">
        <f aca="false">IF(AND($AW368&lt;&gt;"",$AX368&lt;&gt;""),$AX368-$AW368,"")</f>
        <v/>
      </c>
      <c r="BH368" s="55" t="str">
        <f aca="false">IF(AND($AW368&lt;&gt;"",$AY368&lt;&gt;""),$AY368-$AW368,"")</f>
        <v/>
      </c>
      <c r="BI368" s="55" t="str">
        <f aca="false">IF(AND($AX368&lt;&gt;"",$AY368&lt;&gt;""),$AY368-$AX368,"")</f>
        <v/>
      </c>
      <c r="BJ368" s="53" t="str">
        <f aca="false">IF($J368&lt;&gt;"",$J368,"")</f>
        <v/>
      </c>
      <c r="BL368" s="52"/>
      <c r="BM368" s="52" t="str">
        <f aca="false">IF(OR(COUNT(B368:D1367)=0,AND('Choix pédagogiques'!$C$3&lt;&gt;1,'Choix pédagogiques'!$C$3&lt;&gt;2)),"",IF(AND(OR('Choix pédagogiques'!$C$3=1,'Choix pédagogiques'!$C$3=2),$B368&lt;&gt;"",$C368&lt;&gt;"",$D368&lt;&gt;""),1,0))</f>
        <v/>
      </c>
      <c r="BN368" s="52" t="str">
        <f aca="false">IF(OR(COUNT(G368:I1367)=0,AND('Choix pédagogiques'!$C$3&lt;&gt;1,'Choix pédagogiques'!$C$3&lt;&gt;2)),"",IF(AND(OR('Choix pédagogiques'!$C$3=1,'Choix pédagogiques'!$C$3=2),AND($G368&lt;&gt;"",$H368&lt;&gt;"",$I368&lt;&gt;"")),1,0))</f>
        <v/>
      </c>
      <c r="BO368" s="52" t="str">
        <f aca="false">IF(OR(COUNT(B368:D1367)=0,COUNT(G368:I1367)=0,'Choix pédagogiques'!C$3&lt;&gt;3),"",IF(AND('Choix pédagogiques'!$C$3=3,$B368&lt;&gt;"",$C368&lt;&gt;"",$D368&lt;&gt;"",$G368&lt;&gt;"",$H368&lt;&gt;"",$I368&lt;&gt;""),1,0))</f>
        <v/>
      </c>
      <c r="BR368" s="52" t="n">
        <v>473</v>
      </c>
      <c r="BS368" s="52" t="n">
        <v>1690</v>
      </c>
    </row>
    <row r="369" s="54" customFormat="true" ht="18" hidden="false" customHeight="true" outlineLevel="0" collapsed="false">
      <c r="A369" s="57" t="s">
        <v>669</v>
      </c>
      <c r="B369" s="51"/>
      <c r="C369" s="51"/>
      <c r="D369" s="51"/>
      <c r="E369" s="51"/>
      <c r="F369" s="57" t="s">
        <v>670</v>
      </c>
      <c r="G369" s="51"/>
      <c r="H369" s="51"/>
      <c r="I369" s="51"/>
      <c r="J369" s="51"/>
      <c r="K369" s="52" t="str">
        <f aca="false">IF($A369&lt;&gt;"",$A369,"")</f>
        <v>Apprenant 357</v>
      </c>
      <c r="L369" s="53" t="str">
        <f aca="false">IF(AND($B369&lt;&gt;"",$C369&lt;&gt;""),$C369-$B369,"")</f>
        <v/>
      </c>
      <c r="M369" s="53" t="str">
        <f aca="false">IF(AND($B369&lt;&gt;"",$D369&lt;&gt;""),$D369-$B369,"")</f>
        <v/>
      </c>
      <c r="N369" s="53" t="str">
        <f aca="false">IF(AND($C369&lt;&gt;"",$D369&lt;&gt;""),$D369-$C369,"")</f>
        <v/>
      </c>
      <c r="O369" s="53" t="str">
        <f aca="false">IF($E369&lt;&gt;"",$E369,"")</f>
        <v/>
      </c>
      <c r="P369" s="52" t="str">
        <f aca="false">IF($F369&lt;&gt;"",$F369,"")</f>
        <v>Apprenant 357 ou 357'</v>
      </c>
      <c r="Q369" s="53" t="str">
        <f aca="false">IF(AND($G369&lt;&gt;"",$H369&lt;&gt;""),$H369-$G369,"")</f>
        <v/>
      </c>
      <c r="R369" s="53" t="str">
        <f aca="false">IF(AND($G369&lt;&gt;"",$I369&lt;&gt;""),$I369-$G369,"")</f>
        <v/>
      </c>
      <c r="S369" s="53" t="str">
        <f aca="false">IF(AND($H369&lt;&gt;"",$I369&lt;&gt;""),$I369-$H369,"")</f>
        <v/>
      </c>
      <c r="T369" s="53" t="str">
        <f aca="false">IF($J369&lt;&gt;"",$J369,"")</f>
        <v/>
      </c>
      <c r="V369" s="52" t="str">
        <f aca="false">IF($A369&lt;&gt;"",$A369,"")</f>
        <v>Apprenant 357</v>
      </c>
      <c r="W369" s="53" t="str">
        <f aca="false">IF(AND(OR('Choix pédagogiques'!$C$3=1,'Choix pédagogiques'!$C$3=2),$BM369=1),B369,IF(AND('Choix pédagogiques'!$C$3=3,$BO369=1),B369,""))</f>
        <v/>
      </c>
      <c r="X369" s="53" t="str">
        <f aca="false">IF(AND(OR('Choix pédagogiques'!$C$3=1,'Choix pédagogiques'!$C$3=2),$BM369=1),C369,IF(AND('Choix pédagogiques'!$C$3=3,$BO369=1),C369,""))</f>
        <v/>
      </c>
      <c r="Y369" s="53" t="str">
        <f aca="false">IF(AND(OR('Choix pédagogiques'!$C$3=1,'Choix pédagogiques'!$C$3=2),$BM369=1),D369,IF(AND('Choix pédagogiques'!$C$3=3,$BO369=1),D369,""))</f>
        <v/>
      </c>
      <c r="Z369" s="53" t="str">
        <f aca="false">IF($E369&lt;&gt;"",$E369,"")</f>
        <v/>
      </c>
      <c r="AA369" s="52" t="str">
        <f aca="false">IF($F369&lt;&gt;"",$F369,"")</f>
        <v>Apprenant 357 ou 357'</v>
      </c>
      <c r="AB369" s="53" t="str">
        <f aca="false">IF(AND(OR('Choix pédagogiques'!$C$3=1,'Choix pédagogiques'!$C$3=2),$BN369=1),G369,IF(AND('Choix pédagogiques'!$C$3=3,$BO369=1),G369,""))</f>
        <v/>
      </c>
      <c r="AC369" s="53" t="str">
        <f aca="false">IF(AND(OR('Choix pédagogiques'!$C$3=1,'Choix pédagogiques'!$C$3=2),$BN369=1),H369,IF(AND('Choix pédagogiques'!$C$3=3,$BO369=1),H369,""))</f>
        <v/>
      </c>
      <c r="AD369" s="53" t="str">
        <f aca="false">IF(AND(OR('Choix pédagogiques'!$C$3=1,'Choix pédagogiques'!$C$3=2),$BN369=1),I369,IF(AND('Choix pédagogiques'!$C$3=3,$BO369=1),I369,""))</f>
        <v/>
      </c>
      <c r="AE369" s="53" t="str">
        <f aca="false">IF($J369&lt;&gt;"",$J369,"")</f>
        <v/>
      </c>
      <c r="AF369" s="52" t="str">
        <f aca="false">IF($A369&lt;&gt;"",$A369,"")</f>
        <v>Apprenant 357</v>
      </c>
      <c r="AG369" s="53" t="str">
        <f aca="false">IF(AND($W369&lt;&gt;"",$X369&lt;&gt;""),$X369-$W369,"")</f>
        <v/>
      </c>
      <c r="AH369" s="53" t="str">
        <f aca="false">IF(AND($W369&lt;&gt;"",$Y369&lt;&gt;""),$Y369-$W369,"")</f>
        <v/>
      </c>
      <c r="AI369" s="53" t="str">
        <f aca="false">IF(AND($X369&lt;&gt;"",$Y369&lt;&gt;""),$Y369-$X369,"")</f>
        <v/>
      </c>
      <c r="AJ369" s="53" t="str">
        <f aca="false">IF($E369&lt;&gt;"",$E369,"")</f>
        <v/>
      </c>
      <c r="AK369" s="52" t="str">
        <f aca="false">IF($F369&lt;&gt;"",$F369,"")</f>
        <v>Apprenant 357 ou 357'</v>
      </c>
      <c r="AL369" s="53" t="str">
        <f aca="false">IF(AND($AB369&lt;&gt;"",$AC369&lt;&gt;""),$AC369-$AB369,"")</f>
        <v/>
      </c>
      <c r="AM369" s="53" t="str">
        <f aca="false">IF(AND($AB369&lt;&gt;"",$AD369&lt;&gt;""),$AD369-$AB369,"")</f>
        <v/>
      </c>
      <c r="AN369" s="53" t="str">
        <f aca="false">IF(AND($AC369&lt;&gt;"",$AD369&lt;&gt;""),$AD369-$AC369,"")</f>
        <v/>
      </c>
      <c r="AO369" s="53" t="str">
        <f aca="false">IF($J369&lt;&gt;"",$J369,"")</f>
        <v/>
      </c>
      <c r="AQ369" s="52" t="str">
        <f aca="false">IF($A369&lt;&gt;"",$A369,"")</f>
        <v>Apprenant 357</v>
      </c>
      <c r="AR369" s="55" t="str">
        <f aca="false">IF(AND('Choix pédagogiques'!$C$4&lt;&gt;"?",'Choix pédagogiques'!$C$5&lt;&gt;"?",W369&lt;&gt;""),(W369-'Choix pédagogiques'!$C$4)/('Choix pédagogiques'!$C$5-'Choix pédagogiques'!$C$4),"")</f>
        <v/>
      </c>
      <c r="AS369" s="55" t="str">
        <f aca="false">IF(AND('Choix pédagogiques'!$C$4&lt;&gt;"?",'Choix pédagogiques'!$C$5&lt;&gt;"?",X369&lt;&gt;""),(X369-'Choix pédagogiques'!$C$4)/('Choix pédagogiques'!$C$5-'Choix pédagogiques'!$C$4),"")</f>
        <v/>
      </c>
      <c r="AT369" s="55" t="str">
        <f aca="false">IF(AND('Choix pédagogiques'!$C$4&lt;&gt;"?",'Choix pédagogiques'!$C$5&lt;&gt;"?",Y369&lt;&gt;""),(Y369-'Choix pédagogiques'!$C$4)/('Choix pédagogiques'!$C$5-'Choix pédagogiques'!$C$4),"")</f>
        <v/>
      </c>
      <c r="AU369" s="53" t="str">
        <f aca="false">IF($E369&lt;&gt;"",$E369,"")</f>
        <v/>
      </c>
      <c r="AV369" s="52" t="str">
        <f aca="false">IF($F369&lt;&gt;"",$F369,"")</f>
        <v>Apprenant 357 ou 357'</v>
      </c>
      <c r="AW369" s="55" t="str">
        <f aca="false">IF(AND('Choix pédagogiques'!$C$4&lt;&gt;"?",'Choix pédagogiques'!$C$5&lt;&gt;"?",AB369&lt;&gt;""),(AB369-'Choix pédagogiques'!$C$4)/('Choix pédagogiques'!$C$5-'Choix pédagogiques'!$C$4),"")</f>
        <v/>
      </c>
      <c r="AX369" s="55" t="str">
        <f aca="false">IF(AND('Choix pédagogiques'!$C$4&lt;&gt;"?",'Choix pédagogiques'!$C$5&lt;&gt;"?",AC369&lt;&gt;""),(AC369-'Choix pédagogiques'!$C$4)/('Choix pédagogiques'!$C$5-'Choix pédagogiques'!$C$4),"")</f>
        <v/>
      </c>
      <c r="AY369" s="55" t="str">
        <f aca="false">IF(AND('Choix pédagogiques'!$C$4&lt;&gt;"?",'Choix pédagogiques'!$C$5&lt;&gt;"?",AD369&lt;&gt;""),(AD369-'Choix pédagogiques'!$C$4)/('Choix pédagogiques'!$C$5-'Choix pédagogiques'!$C$4),"")</f>
        <v/>
      </c>
      <c r="AZ369" s="53" t="str">
        <f aca="false">IF($J369&lt;&gt;"",$J369,"")</f>
        <v/>
      </c>
      <c r="BA369" s="52" t="str">
        <f aca="false">IF($A369&lt;&gt;"",$A369,"")</f>
        <v>Apprenant 357</v>
      </c>
      <c r="BB369" s="55" t="str">
        <f aca="false">IF(AND($AR369&lt;&gt;"",$AS369&lt;&gt;""),$AS369-$AR369,"")</f>
        <v/>
      </c>
      <c r="BC369" s="55" t="str">
        <f aca="false">IF(AND($AR369&lt;&gt;"",$AT369&lt;&gt;""),$AT369-$AR369,"")</f>
        <v/>
      </c>
      <c r="BD369" s="55" t="str">
        <f aca="false">IF(AND($AS369&lt;&gt;"",$AT369&lt;&gt;""),$AT369-$AS369,"")</f>
        <v/>
      </c>
      <c r="BE369" s="53" t="str">
        <f aca="false">IF($E369&lt;&gt;"",$E369,"")</f>
        <v/>
      </c>
      <c r="BF369" s="52" t="str">
        <f aca="false">IF($F369&lt;&gt;"",$F369,"")</f>
        <v>Apprenant 357 ou 357'</v>
      </c>
      <c r="BG369" s="55" t="str">
        <f aca="false">IF(AND($AW369&lt;&gt;"",$AX369&lt;&gt;""),$AX369-$AW369,"")</f>
        <v/>
      </c>
      <c r="BH369" s="55" t="str">
        <f aca="false">IF(AND($AW369&lt;&gt;"",$AY369&lt;&gt;""),$AY369-$AW369,"")</f>
        <v/>
      </c>
      <c r="BI369" s="55" t="str">
        <f aca="false">IF(AND($AX369&lt;&gt;"",$AY369&lt;&gt;""),$AY369-$AX369,"")</f>
        <v/>
      </c>
      <c r="BJ369" s="53" t="str">
        <f aca="false">IF($J369&lt;&gt;"",$J369,"")</f>
        <v/>
      </c>
      <c r="BL369" s="52"/>
      <c r="BM369" s="52" t="str">
        <f aca="false">IF(OR(COUNT(B369:D1368)=0,AND('Choix pédagogiques'!$C$3&lt;&gt;1,'Choix pédagogiques'!$C$3&lt;&gt;2)),"",IF(AND(OR('Choix pédagogiques'!$C$3=1,'Choix pédagogiques'!$C$3=2),$B369&lt;&gt;"",$C369&lt;&gt;"",$D369&lt;&gt;""),1,0))</f>
        <v/>
      </c>
      <c r="BN369" s="52" t="str">
        <f aca="false">IF(OR(COUNT(G369:I1368)=0,AND('Choix pédagogiques'!$C$3&lt;&gt;1,'Choix pédagogiques'!$C$3&lt;&gt;2)),"",IF(AND(OR('Choix pédagogiques'!$C$3=1,'Choix pédagogiques'!$C$3=2),AND($G369&lt;&gt;"",$H369&lt;&gt;"",$I369&lt;&gt;"")),1,0))</f>
        <v/>
      </c>
      <c r="BO369" s="52" t="str">
        <f aca="false">IF(OR(COUNT(B369:D1368)=0,COUNT(G369:I1368)=0,'Choix pédagogiques'!C$3&lt;&gt;3),"",IF(AND('Choix pédagogiques'!$C$3=3,$B369&lt;&gt;"",$C369&lt;&gt;"",$D369&lt;&gt;"",$G369&lt;&gt;"",$H369&lt;&gt;"",$I369&lt;&gt;""),1,0))</f>
        <v/>
      </c>
      <c r="BR369" s="52" t="n">
        <v>514</v>
      </c>
      <c r="BS369" s="52" t="n">
        <v>1824</v>
      </c>
    </row>
    <row r="370" s="54" customFormat="true" ht="18" hidden="false" customHeight="true" outlineLevel="0" collapsed="false">
      <c r="A370" s="57" t="s">
        <v>671</v>
      </c>
      <c r="B370" s="51"/>
      <c r="C370" s="51"/>
      <c r="D370" s="51"/>
      <c r="E370" s="51"/>
      <c r="F370" s="57" t="s">
        <v>672</v>
      </c>
      <c r="G370" s="51"/>
      <c r="H370" s="51"/>
      <c r="I370" s="51"/>
      <c r="J370" s="51"/>
      <c r="K370" s="52" t="str">
        <f aca="false">IF($A370&lt;&gt;"",$A370,"")</f>
        <v>Apprenant 358</v>
      </c>
      <c r="L370" s="53" t="str">
        <f aca="false">IF(AND($B370&lt;&gt;"",$C370&lt;&gt;""),$C370-$B370,"")</f>
        <v/>
      </c>
      <c r="M370" s="53" t="str">
        <f aca="false">IF(AND($B370&lt;&gt;"",$D370&lt;&gt;""),$D370-$B370,"")</f>
        <v/>
      </c>
      <c r="N370" s="53" t="str">
        <f aca="false">IF(AND($C370&lt;&gt;"",$D370&lt;&gt;""),$D370-$C370,"")</f>
        <v/>
      </c>
      <c r="O370" s="53" t="str">
        <f aca="false">IF($E370&lt;&gt;"",$E370,"")</f>
        <v/>
      </c>
      <c r="P370" s="52" t="str">
        <f aca="false">IF($F370&lt;&gt;"",$F370,"")</f>
        <v>Apprenant 358 ou 358'</v>
      </c>
      <c r="Q370" s="53" t="str">
        <f aca="false">IF(AND($G370&lt;&gt;"",$H370&lt;&gt;""),$H370-$G370,"")</f>
        <v/>
      </c>
      <c r="R370" s="53" t="str">
        <f aca="false">IF(AND($G370&lt;&gt;"",$I370&lt;&gt;""),$I370-$G370,"")</f>
        <v/>
      </c>
      <c r="S370" s="53" t="str">
        <f aca="false">IF(AND($H370&lt;&gt;"",$I370&lt;&gt;""),$I370-$H370,"")</f>
        <v/>
      </c>
      <c r="T370" s="53" t="str">
        <f aca="false">IF($J370&lt;&gt;"",$J370,"")</f>
        <v/>
      </c>
      <c r="V370" s="52" t="str">
        <f aca="false">IF($A370&lt;&gt;"",$A370,"")</f>
        <v>Apprenant 358</v>
      </c>
      <c r="W370" s="53" t="str">
        <f aca="false">IF(AND(OR('Choix pédagogiques'!$C$3=1,'Choix pédagogiques'!$C$3=2),$BM370=1),B370,IF(AND('Choix pédagogiques'!$C$3=3,$BO370=1),B370,""))</f>
        <v/>
      </c>
      <c r="X370" s="53" t="str">
        <f aca="false">IF(AND(OR('Choix pédagogiques'!$C$3=1,'Choix pédagogiques'!$C$3=2),$BM370=1),C370,IF(AND('Choix pédagogiques'!$C$3=3,$BO370=1),C370,""))</f>
        <v/>
      </c>
      <c r="Y370" s="53" t="str">
        <f aca="false">IF(AND(OR('Choix pédagogiques'!$C$3=1,'Choix pédagogiques'!$C$3=2),$BM370=1),D370,IF(AND('Choix pédagogiques'!$C$3=3,$BO370=1),D370,""))</f>
        <v/>
      </c>
      <c r="Z370" s="53" t="str">
        <f aca="false">IF($E370&lt;&gt;"",$E370,"")</f>
        <v/>
      </c>
      <c r="AA370" s="52" t="str">
        <f aca="false">IF($F370&lt;&gt;"",$F370,"")</f>
        <v>Apprenant 358 ou 358'</v>
      </c>
      <c r="AB370" s="53" t="str">
        <f aca="false">IF(AND(OR('Choix pédagogiques'!$C$3=1,'Choix pédagogiques'!$C$3=2),$BN370=1),G370,IF(AND('Choix pédagogiques'!$C$3=3,$BO370=1),G370,""))</f>
        <v/>
      </c>
      <c r="AC370" s="53" t="str">
        <f aca="false">IF(AND(OR('Choix pédagogiques'!$C$3=1,'Choix pédagogiques'!$C$3=2),$BN370=1),H370,IF(AND('Choix pédagogiques'!$C$3=3,$BO370=1),H370,""))</f>
        <v/>
      </c>
      <c r="AD370" s="53" t="str">
        <f aca="false">IF(AND(OR('Choix pédagogiques'!$C$3=1,'Choix pédagogiques'!$C$3=2),$BN370=1),I370,IF(AND('Choix pédagogiques'!$C$3=3,$BO370=1),I370,""))</f>
        <v/>
      </c>
      <c r="AE370" s="53" t="str">
        <f aca="false">IF($J370&lt;&gt;"",$J370,"")</f>
        <v/>
      </c>
      <c r="AF370" s="52" t="str">
        <f aca="false">IF($A370&lt;&gt;"",$A370,"")</f>
        <v>Apprenant 358</v>
      </c>
      <c r="AG370" s="53" t="str">
        <f aca="false">IF(AND($W370&lt;&gt;"",$X370&lt;&gt;""),$X370-$W370,"")</f>
        <v/>
      </c>
      <c r="AH370" s="53" t="str">
        <f aca="false">IF(AND($W370&lt;&gt;"",$Y370&lt;&gt;""),$Y370-$W370,"")</f>
        <v/>
      </c>
      <c r="AI370" s="53" t="str">
        <f aca="false">IF(AND($X370&lt;&gt;"",$Y370&lt;&gt;""),$Y370-$X370,"")</f>
        <v/>
      </c>
      <c r="AJ370" s="53" t="str">
        <f aca="false">IF($E370&lt;&gt;"",$E370,"")</f>
        <v/>
      </c>
      <c r="AK370" s="52" t="str">
        <f aca="false">IF($F370&lt;&gt;"",$F370,"")</f>
        <v>Apprenant 358 ou 358'</v>
      </c>
      <c r="AL370" s="53" t="str">
        <f aca="false">IF(AND($AB370&lt;&gt;"",$AC370&lt;&gt;""),$AC370-$AB370,"")</f>
        <v/>
      </c>
      <c r="AM370" s="53" t="str">
        <f aca="false">IF(AND($AB370&lt;&gt;"",$AD370&lt;&gt;""),$AD370-$AB370,"")</f>
        <v/>
      </c>
      <c r="AN370" s="53" t="str">
        <f aca="false">IF(AND($AC370&lt;&gt;"",$AD370&lt;&gt;""),$AD370-$AC370,"")</f>
        <v/>
      </c>
      <c r="AO370" s="53" t="str">
        <f aca="false">IF($J370&lt;&gt;"",$J370,"")</f>
        <v/>
      </c>
      <c r="AQ370" s="52" t="str">
        <f aca="false">IF($A370&lt;&gt;"",$A370,"")</f>
        <v>Apprenant 358</v>
      </c>
      <c r="AR370" s="55" t="str">
        <f aca="false">IF(AND('Choix pédagogiques'!$C$4&lt;&gt;"?",'Choix pédagogiques'!$C$5&lt;&gt;"?",W370&lt;&gt;""),(W370-'Choix pédagogiques'!$C$4)/('Choix pédagogiques'!$C$5-'Choix pédagogiques'!$C$4),"")</f>
        <v/>
      </c>
      <c r="AS370" s="55" t="str">
        <f aca="false">IF(AND('Choix pédagogiques'!$C$4&lt;&gt;"?",'Choix pédagogiques'!$C$5&lt;&gt;"?",X370&lt;&gt;""),(X370-'Choix pédagogiques'!$C$4)/('Choix pédagogiques'!$C$5-'Choix pédagogiques'!$C$4),"")</f>
        <v/>
      </c>
      <c r="AT370" s="55" t="str">
        <f aca="false">IF(AND('Choix pédagogiques'!$C$4&lt;&gt;"?",'Choix pédagogiques'!$C$5&lt;&gt;"?",Y370&lt;&gt;""),(Y370-'Choix pédagogiques'!$C$4)/('Choix pédagogiques'!$C$5-'Choix pédagogiques'!$C$4),"")</f>
        <v/>
      </c>
      <c r="AU370" s="53" t="str">
        <f aca="false">IF($E370&lt;&gt;"",$E370,"")</f>
        <v/>
      </c>
      <c r="AV370" s="52" t="str">
        <f aca="false">IF($F370&lt;&gt;"",$F370,"")</f>
        <v>Apprenant 358 ou 358'</v>
      </c>
      <c r="AW370" s="55" t="str">
        <f aca="false">IF(AND('Choix pédagogiques'!$C$4&lt;&gt;"?",'Choix pédagogiques'!$C$5&lt;&gt;"?",AB370&lt;&gt;""),(AB370-'Choix pédagogiques'!$C$4)/('Choix pédagogiques'!$C$5-'Choix pédagogiques'!$C$4),"")</f>
        <v/>
      </c>
      <c r="AX370" s="55" t="str">
        <f aca="false">IF(AND('Choix pédagogiques'!$C$4&lt;&gt;"?",'Choix pédagogiques'!$C$5&lt;&gt;"?",AC370&lt;&gt;""),(AC370-'Choix pédagogiques'!$C$4)/('Choix pédagogiques'!$C$5-'Choix pédagogiques'!$C$4),"")</f>
        <v/>
      </c>
      <c r="AY370" s="55" t="str">
        <f aca="false">IF(AND('Choix pédagogiques'!$C$4&lt;&gt;"?",'Choix pédagogiques'!$C$5&lt;&gt;"?",AD370&lt;&gt;""),(AD370-'Choix pédagogiques'!$C$4)/('Choix pédagogiques'!$C$5-'Choix pédagogiques'!$C$4),"")</f>
        <v/>
      </c>
      <c r="AZ370" s="53" t="str">
        <f aca="false">IF($J370&lt;&gt;"",$J370,"")</f>
        <v/>
      </c>
      <c r="BA370" s="52" t="str">
        <f aca="false">IF($A370&lt;&gt;"",$A370,"")</f>
        <v>Apprenant 358</v>
      </c>
      <c r="BB370" s="55" t="str">
        <f aca="false">IF(AND($AR370&lt;&gt;"",$AS370&lt;&gt;""),$AS370-$AR370,"")</f>
        <v/>
      </c>
      <c r="BC370" s="55" t="str">
        <f aca="false">IF(AND($AR370&lt;&gt;"",$AT370&lt;&gt;""),$AT370-$AR370,"")</f>
        <v/>
      </c>
      <c r="BD370" s="55" t="str">
        <f aca="false">IF(AND($AS370&lt;&gt;"",$AT370&lt;&gt;""),$AT370-$AS370,"")</f>
        <v/>
      </c>
      <c r="BE370" s="53" t="str">
        <f aca="false">IF($E370&lt;&gt;"",$E370,"")</f>
        <v/>
      </c>
      <c r="BF370" s="52" t="str">
        <f aca="false">IF($F370&lt;&gt;"",$F370,"")</f>
        <v>Apprenant 358 ou 358'</v>
      </c>
      <c r="BG370" s="55" t="str">
        <f aca="false">IF(AND($AW370&lt;&gt;"",$AX370&lt;&gt;""),$AX370-$AW370,"")</f>
        <v/>
      </c>
      <c r="BH370" s="55" t="str">
        <f aca="false">IF(AND($AW370&lt;&gt;"",$AY370&lt;&gt;""),$AY370-$AW370,"")</f>
        <v/>
      </c>
      <c r="BI370" s="55" t="str">
        <f aca="false">IF(AND($AX370&lt;&gt;"",$AY370&lt;&gt;""),$AY370-$AX370,"")</f>
        <v/>
      </c>
      <c r="BJ370" s="53" t="str">
        <f aca="false">IF($J370&lt;&gt;"",$J370,"")</f>
        <v/>
      </c>
      <c r="BL370" s="52"/>
      <c r="BM370" s="52" t="str">
        <f aca="false">IF(OR(COUNT(B370:D1369)=0,AND('Choix pédagogiques'!$C$3&lt;&gt;1,'Choix pédagogiques'!$C$3&lt;&gt;2)),"",IF(AND(OR('Choix pédagogiques'!$C$3=1,'Choix pédagogiques'!$C$3=2),$B370&lt;&gt;"",$C370&lt;&gt;"",$D370&lt;&gt;""),1,0))</f>
        <v/>
      </c>
      <c r="BN370" s="52" t="str">
        <f aca="false">IF(OR(COUNT(G370:I1369)=0,AND('Choix pédagogiques'!$C$3&lt;&gt;1,'Choix pédagogiques'!$C$3&lt;&gt;2)),"",IF(AND(OR('Choix pédagogiques'!$C$3=1,'Choix pédagogiques'!$C$3=2),AND($G370&lt;&gt;"",$H370&lt;&gt;"",$I370&lt;&gt;"")),1,0))</f>
        <v/>
      </c>
      <c r="BO370" s="52" t="str">
        <f aca="false">IF(OR(COUNT(B370:D1369)=0,COUNT(G370:I1369)=0,'Choix pédagogiques'!C$3&lt;&gt;3),"",IF(AND('Choix pédagogiques'!$C$3=3,$B370&lt;&gt;"",$C370&lt;&gt;"",$D370&lt;&gt;"",$G370&lt;&gt;"",$H370&lt;&gt;"",$I370&lt;&gt;""),1,0))</f>
        <v/>
      </c>
      <c r="BR370" s="52" t="n">
        <v>282</v>
      </c>
      <c r="BS370" s="52" t="n">
        <v>1039</v>
      </c>
    </row>
    <row r="371" s="54" customFormat="true" ht="18" hidden="false" customHeight="true" outlineLevel="0" collapsed="false">
      <c r="A371" s="57" t="s">
        <v>673</v>
      </c>
      <c r="B371" s="51"/>
      <c r="C371" s="51"/>
      <c r="D371" s="51"/>
      <c r="E371" s="51"/>
      <c r="F371" s="57" t="s">
        <v>674</v>
      </c>
      <c r="G371" s="51"/>
      <c r="H371" s="51"/>
      <c r="I371" s="51"/>
      <c r="J371" s="51"/>
      <c r="K371" s="52" t="str">
        <f aca="false">IF($A371&lt;&gt;"",$A371,"")</f>
        <v>Apprenant 359</v>
      </c>
      <c r="L371" s="53" t="str">
        <f aca="false">IF(AND($B371&lt;&gt;"",$C371&lt;&gt;""),$C371-$B371,"")</f>
        <v/>
      </c>
      <c r="M371" s="53" t="str">
        <f aca="false">IF(AND($B371&lt;&gt;"",$D371&lt;&gt;""),$D371-$B371,"")</f>
        <v/>
      </c>
      <c r="N371" s="53" t="str">
        <f aca="false">IF(AND($C371&lt;&gt;"",$D371&lt;&gt;""),$D371-$C371,"")</f>
        <v/>
      </c>
      <c r="O371" s="53" t="str">
        <f aca="false">IF($E371&lt;&gt;"",$E371,"")</f>
        <v/>
      </c>
      <c r="P371" s="52" t="str">
        <f aca="false">IF($F371&lt;&gt;"",$F371,"")</f>
        <v>Apprenant 359 ou 359'</v>
      </c>
      <c r="Q371" s="53" t="str">
        <f aca="false">IF(AND($G371&lt;&gt;"",$H371&lt;&gt;""),$H371-$G371,"")</f>
        <v/>
      </c>
      <c r="R371" s="53" t="str">
        <f aca="false">IF(AND($G371&lt;&gt;"",$I371&lt;&gt;""),$I371-$G371,"")</f>
        <v/>
      </c>
      <c r="S371" s="53" t="str">
        <f aca="false">IF(AND($H371&lt;&gt;"",$I371&lt;&gt;""),$I371-$H371,"")</f>
        <v/>
      </c>
      <c r="T371" s="53" t="str">
        <f aca="false">IF($J371&lt;&gt;"",$J371,"")</f>
        <v/>
      </c>
      <c r="V371" s="52" t="str">
        <f aca="false">IF($A371&lt;&gt;"",$A371,"")</f>
        <v>Apprenant 359</v>
      </c>
      <c r="W371" s="53" t="str">
        <f aca="false">IF(AND(OR('Choix pédagogiques'!$C$3=1,'Choix pédagogiques'!$C$3=2),$BM371=1),B371,IF(AND('Choix pédagogiques'!$C$3=3,$BO371=1),B371,""))</f>
        <v/>
      </c>
      <c r="X371" s="53" t="str">
        <f aca="false">IF(AND(OR('Choix pédagogiques'!$C$3=1,'Choix pédagogiques'!$C$3=2),$BM371=1),C371,IF(AND('Choix pédagogiques'!$C$3=3,$BO371=1),C371,""))</f>
        <v/>
      </c>
      <c r="Y371" s="53" t="str">
        <f aca="false">IF(AND(OR('Choix pédagogiques'!$C$3=1,'Choix pédagogiques'!$C$3=2),$BM371=1),D371,IF(AND('Choix pédagogiques'!$C$3=3,$BO371=1),D371,""))</f>
        <v/>
      </c>
      <c r="Z371" s="53" t="str">
        <f aca="false">IF($E371&lt;&gt;"",$E371,"")</f>
        <v/>
      </c>
      <c r="AA371" s="52" t="str">
        <f aca="false">IF($F371&lt;&gt;"",$F371,"")</f>
        <v>Apprenant 359 ou 359'</v>
      </c>
      <c r="AB371" s="53" t="str">
        <f aca="false">IF(AND(OR('Choix pédagogiques'!$C$3=1,'Choix pédagogiques'!$C$3=2),$BN371=1),G371,IF(AND('Choix pédagogiques'!$C$3=3,$BO371=1),G371,""))</f>
        <v/>
      </c>
      <c r="AC371" s="53" t="str">
        <f aca="false">IF(AND(OR('Choix pédagogiques'!$C$3=1,'Choix pédagogiques'!$C$3=2),$BN371=1),H371,IF(AND('Choix pédagogiques'!$C$3=3,$BO371=1),H371,""))</f>
        <v/>
      </c>
      <c r="AD371" s="53" t="str">
        <f aca="false">IF(AND(OR('Choix pédagogiques'!$C$3=1,'Choix pédagogiques'!$C$3=2),$BN371=1),I371,IF(AND('Choix pédagogiques'!$C$3=3,$BO371=1),I371,""))</f>
        <v/>
      </c>
      <c r="AE371" s="53" t="str">
        <f aca="false">IF($J371&lt;&gt;"",$J371,"")</f>
        <v/>
      </c>
      <c r="AF371" s="52" t="str">
        <f aca="false">IF($A371&lt;&gt;"",$A371,"")</f>
        <v>Apprenant 359</v>
      </c>
      <c r="AG371" s="53" t="str">
        <f aca="false">IF(AND($W371&lt;&gt;"",$X371&lt;&gt;""),$X371-$W371,"")</f>
        <v/>
      </c>
      <c r="AH371" s="53" t="str">
        <f aca="false">IF(AND($W371&lt;&gt;"",$Y371&lt;&gt;""),$Y371-$W371,"")</f>
        <v/>
      </c>
      <c r="AI371" s="53" t="str">
        <f aca="false">IF(AND($X371&lt;&gt;"",$Y371&lt;&gt;""),$Y371-$X371,"")</f>
        <v/>
      </c>
      <c r="AJ371" s="53" t="str">
        <f aca="false">IF($E371&lt;&gt;"",$E371,"")</f>
        <v/>
      </c>
      <c r="AK371" s="52" t="str">
        <f aca="false">IF($F371&lt;&gt;"",$F371,"")</f>
        <v>Apprenant 359 ou 359'</v>
      </c>
      <c r="AL371" s="53" t="str">
        <f aca="false">IF(AND($AB371&lt;&gt;"",$AC371&lt;&gt;""),$AC371-$AB371,"")</f>
        <v/>
      </c>
      <c r="AM371" s="53" t="str">
        <f aca="false">IF(AND($AB371&lt;&gt;"",$AD371&lt;&gt;""),$AD371-$AB371,"")</f>
        <v/>
      </c>
      <c r="AN371" s="53" t="str">
        <f aca="false">IF(AND($AC371&lt;&gt;"",$AD371&lt;&gt;""),$AD371-$AC371,"")</f>
        <v/>
      </c>
      <c r="AO371" s="53" t="str">
        <f aca="false">IF($J371&lt;&gt;"",$J371,"")</f>
        <v/>
      </c>
      <c r="AQ371" s="52" t="str">
        <f aca="false">IF($A371&lt;&gt;"",$A371,"")</f>
        <v>Apprenant 359</v>
      </c>
      <c r="AR371" s="55" t="str">
        <f aca="false">IF(AND('Choix pédagogiques'!$C$4&lt;&gt;"?",'Choix pédagogiques'!$C$5&lt;&gt;"?",W371&lt;&gt;""),(W371-'Choix pédagogiques'!$C$4)/('Choix pédagogiques'!$C$5-'Choix pédagogiques'!$C$4),"")</f>
        <v/>
      </c>
      <c r="AS371" s="55" t="str">
        <f aca="false">IF(AND('Choix pédagogiques'!$C$4&lt;&gt;"?",'Choix pédagogiques'!$C$5&lt;&gt;"?",X371&lt;&gt;""),(X371-'Choix pédagogiques'!$C$4)/('Choix pédagogiques'!$C$5-'Choix pédagogiques'!$C$4),"")</f>
        <v/>
      </c>
      <c r="AT371" s="55" t="str">
        <f aca="false">IF(AND('Choix pédagogiques'!$C$4&lt;&gt;"?",'Choix pédagogiques'!$C$5&lt;&gt;"?",Y371&lt;&gt;""),(Y371-'Choix pédagogiques'!$C$4)/('Choix pédagogiques'!$C$5-'Choix pédagogiques'!$C$4),"")</f>
        <v/>
      </c>
      <c r="AU371" s="53" t="str">
        <f aca="false">IF($E371&lt;&gt;"",$E371,"")</f>
        <v/>
      </c>
      <c r="AV371" s="52" t="str">
        <f aca="false">IF($F371&lt;&gt;"",$F371,"")</f>
        <v>Apprenant 359 ou 359'</v>
      </c>
      <c r="AW371" s="55" t="str">
        <f aca="false">IF(AND('Choix pédagogiques'!$C$4&lt;&gt;"?",'Choix pédagogiques'!$C$5&lt;&gt;"?",AB371&lt;&gt;""),(AB371-'Choix pédagogiques'!$C$4)/('Choix pédagogiques'!$C$5-'Choix pédagogiques'!$C$4),"")</f>
        <v/>
      </c>
      <c r="AX371" s="55" t="str">
        <f aca="false">IF(AND('Choix pédagogiques'!$C$4&lt;&gt;"?",'Choix pédagogiques'!$C$5&lt;&gt;"?",AC371&lt;&gt;""),(AC371-'Choix pédagogiques'!$C$4)/('Choix pédagogiques'!$C$5-'Choix pédagogiques'!$C$4),"")</f>
        <v/>
      </c>
      <c r="AY371" s="55" t="str">
        <f aca="false">IF(AND('Choix pédagogiques'!$C$4&lt;&gt;"?",'Choix pédagogiques'!$C$5&lt;&gt;"?",AD371&lt;&gt;""),(AD371-'Choix pédagogiques'!$C$4)/('Choix pédagogiques'!$C$5-'Choix pédagogiques'!$C$4),"")</f>
        <v/>
      </c>
      <c r="AZ371" s="53" t="str">
        <f aca="false">IF($J371&lt;&gt;"",$J371,"")</f>
        <v/>
      </c>
      <c r="BA371" s="52" t="str">
        <f aca="false">IF($A371&lt;&gt;"",$A371,"")</f>
        <v>Apprenant 359</v>
      </c>
      <c r="BB371" s="55" t="str">
        <f aca="false">IF(AND($AR371&lt;&gt;"",$AS371&lt;&gt;""),$AS371-$AR371,"")</f>
        <v/>
      </c>
      <c r="BC371" s="55" t="str">
        <f aca="false">IF(AND($AR371&lt;&gt;"",$AT371&lt;&gt;""),$AT371-$AR371,"")</f>
        <v/>
      </c>
      <c r="BD371" s="55" t="str">
        <f aca="false">IF(AND($AS371&lt;&gt;"",$AT371&lt;&gt;""),$AT371-$AS371,"")</f>
        <v/>
      </c>
      <c r="BE371" s="53" t="str">
        <f aca="false">IF($E371&lt;&gt;"",$E371,"")</f>
        <v/>
      </c>
      <c r="BF371" s="52" t="str">
        <f aca="false">IF($F371&lt;&gt;"",$F371,"")</f>
        <v>Apprenant 359 ou 359'</v>
      </c>
      <c r="BG371" s="55" t="str">
        <f aca="false">IF(AND($AW371&lt;&gt;"",$AX371&lt;&gt;""),$AX371-$AW371,"")</f>
        <v/>
      </c>
      <c r="BH371" s="55" t="str">
        <f aca="false">IF(AND($AW371&lt;&gt;"",$AY371&lt;&gt;""),$AY371-$AW371,"")</f>
        <v/>
      </c>
      <c r="BI371" s="55" t="str">
        <f aca="false">IF(AND($AX371&lt;&gt;"",$AY371&lt;&gt;""),$AY371-$AX371,"")</f>
        <v/>
      </c>
      <c r="BJ371" s="53" t="str">
        <f aca="false">IF($J371&lt;&gt;"",$J371,"")</f>
        <v/>
      </c>
      <c r="BL371" s="52"/>
      <c r="BM371" s="52" t="str">
        <f aca="false">IF(OR(COUNT(B371:D1370)=0,AND('Choix pédagogiques'!$C$3&lt;&gt;1,'Choix pédagogiques'!$C$3&lt;&gt;2)),"",IF(AND(OR('Choix pédagogiques'!$C$3=1,'Choix pédagogiques'!$C$3=2),$B371&lt;&gt;"",$C371&lt;&gt;"",$D371&lt;&gt;""),1,0))</f>
        <v/>
      </c>
      <c r="BN371" s="52" t="str">
        <f aca="false">IF(OR(COUNT(G371:I1370)=0,AND('Choix pédagogiques'!$C$3&lt;&gt;1,'Choix pédagogiques'!$C$3&lt;&gt;2)),"",IF(AND(OR('Choix pédagogiques'!$C$3=1,'Choix pédagogiques'!$C$3=2),AND($G371&lt;&gt;"",$H371&lt;&gt;"",$I371&lt;&gt;"")),1,0))</f>
        <v/>
      </c>
      <c r="BO371" s="52" t="str">
        <f aca="false">IF(OR(COUNT(B371:D1370)=0,COUNT(G371:I1370)=0,'Choix pédagogiques'!C$3&lt;&gt;3),"",IF(AND('Choix pédagogiques'!$C$3=3,$B371&lt;&gt;"",$C371&lt;&gt;"",$D371&lt;&gt;"",$G371&lt;&gt;"",$H371&lt;&gt;"",$I371&lt;&gt;""),1,0))</f>
        <v/>
      </c>
      <c r="BR371" s="52" t="n">
        <v>178</v>
      </c>
      <c r="BS371" s="52" t="n">
        <v>1354</v>
      </c>
    </row>
    <row r="372" s="54" customFormat="true" ht="18" hidden="false" customHeight="true" outlineLevel="0" collapsed="false">
      <c r="A372" s="57" t="s">
        <v>675</v>
      </c>
      <c r="B372" s="51"/>
      <c r="C372" s="51"/>
      <c r="D372" s="51"/>
      <c r="E372" s="51"/>
      <c r="F372" s="57" t="s">
        <v>676</v>
      </c>
      <c r="G372" s="51"/>
      <c r="H372" s="51"/>
      <c r="I372" s="51"/>
      <c r="J372" s="51"/>
      <c r="K372" s="52" t="str">
        <f aca="false">IF($A372&lt;&gt;"",$A372,"")</f>
        <v>Apprenant 360</v>
      </c>
      <c r="L372" s="53" t="str">
        <f aca="false">IF(AND($B372&lt;&gt;"",$C372&lt;&gt;""),$C372-$B372,"")</f>
        <v/>
      </c>
      <c r="M372" s="53" t="str">
        <f aca="false">IF(AND($B372&lt;&gt;"",$D372&lt;&gt;""),$D372-$B372,"")</f>
        <v/>
      </c>
      <c r="N372" s="53" t="str">
        <f aca="false">IF(AND($C372&lt;&gt;"",$D372&lt;&gt;""),$D372-$C372,"")</f>
        <v/>
      </c>
      <c r="O372" s="53" t="str">
        <f aca="false">IF($E372&lt;&gt;"",$E372,"")</f>
        <v/>
      </c>
      <c r="P372" s="52" t="str">
        <f aca="false">IF($F372&lt;&gt;"",$F372,"")</f>
        <v>Apprenant 360 ou 360'</v>
      </c>
      <c r="Q372" s="53" t="str">
        <f aca="false">IF(AND($G372&lt;&gt;"",$H372&lt;&gt;""),$H372-$G372,"")</f>
        <v/>
      </c>
      <c r="R372" s="53" t="str">
        <f aca="false">IF(AND($G372&lt;&gt;"",$I372&lt;&gt;""),$I372-$G372,"")</f>
        <v/>
      </c>
      <c r="S372" s="53" t="str">
        <f aca="false">IF(AND($H372&lt;&gt;"",$I372&lt;&gt;""),$I372-$H372,"")</f>
        <v/>
      </c>
      <c r="T372" s="53" t="str">
        <f aca="false">IF($J372&lt;&gt;"",$J372,"")</f>
        <v/>
      </c>
      <c r="V372" s="52" t="str">
        <f aca="false">IF($A372&lt;&gt;"",$A372,"")</f>
        <v>Apprenant 360</v>
      </c>
      <c r="W372" s="53" t="str">
        <f aca="false">IF(AND(OR('Choix pédagogiques'!$C$3=1,'Choix pédagogiques'!$C$3=2),$BM372=1),B372,IF(AND('Choix pédagogiques'!$C$3=3,$BO372=1),B372,""))</f>
        <v/>
      </c>
      <c r="X372" s="53" t="str">
        <f aca="false">IF(AND(OR('Choix pédagogiques'!$C$3=1,'Choix pédagogiques'!$C$3=2),$BM372=1),C372,IF(AND('Choix pédagogiques'!$C$3=3,$BO372=1),C372,""))</f>
        <v/>
      </c>
      <c r="Y372" s="53" t="str">
        <f aca="false">IF(AND(OR('Choix pédagogiques'!$C$3=1,'Choix pédagogiques'!$C$3=2),$BM372=1),D372,IF(AND('Choix pédagogiques'!$C$3=3,$BO372=1),D372,""))</f>
        <v/>
      </c>
      <c r="Z372" s="53" t="str">
        <f aca="false">IF($E372&lt;&gt;"",$E372,"")</f>
        <v/>
      </c>
      <c r="AA372" s="52" t="str">
        <f aca="false">IF($F372&lt;&gt;"",$F372,"")</f>
        <v>Apprenant 360 ou 360'</v>
      </c>
      <c r="AB372" s="53" t="str">
        <f aca="false">IF(AND(OR('Choix pédagogiques'!$C$3=1,'Choix pédagogiques'!$C$3=2),$BN372=1),G372,IF(AND('Choix pédagogiques'!$C$3=3,$BO372=1),G372,""))</f>
        <v/>
      </c>
      <c r="AC372" s="53" t="str">
        <f aca="false">IF(AND(OR('Choix pédagogiques'!$C$3=1,'Choix pédagogiques'!$C$3=2),$BN372=1),H372,IF(AND('Choix pédagogiques'!$C$3=3,$BO372=1),H372,""))</f>
        <v/>
      </c>
      <c r="AD372" s="53" t="str">
        <f aca="false">IF(AND(OR('Choix pédagogiques'!$C$3=1,'Choix pédagogiques'!$C$3=2),$BN372=1),I372,IF(AND('Choix pédagogiques'!$C$3=3,$BO372=1),I372,""))</f>
        <v/>
      </c>
      <c r="AE372" s="53" t="str">
        <f aca="false">IF($J372&lt;&gt;"",$J372,"")</f>
        <v/>
      </c>
      <c r="AF372" s="52" t="str">
        <f aca="false">IF($A372&lt;&gt;"",$A372,"")</f>
        <v>Apprenant 360</v>
      </c>
      <c r="AG372" s="53" t="str">
        <f aca="false">IF(AND($W372&lt;&gt;"",$X372&lt;&gt;""),$X372-$W372,"")</f>
        <v/>
      </c>
      <c r="AH372" s="53" t="str">
        <f aca="false">IF(AND($W372&lt;&gt;"",$Y372&lt;&gt;""),$Y372-$W372,"")</f>
        <v/>
      </c>
      <c r="AI372" s="53" t="str">
        <f aca="false">IF(AND($X372&lt;&gt;"",$Y372&lt;&gt;""),$Y372-$X372,"")</f>
        <v/>
      </c>
      <c r="AJ372" s="53" t="str">
        <f aca="false">IF($E372&lt;&gt;"",$E372,"")</f>
        <v/>
      </c>
      <c r="AK372" s="52" t="str">
        <f aca="false">IF($F372&lt;&gt;"",$F372,"")</f>
        <v>Apprenant 360 ou 360'</v>
      </c>
      <c r="AL372" s="53" t="str">
        <f aca="false">IF(AND($AB372&lt;&gt;"",$AC372&lt;&gt;""),$AC372-$AB372,"")</f>
        <v/>
      </c>
      <c r="AM372" s="53" t="str">
        <f aca="false">IF(AND($AB372&lt;&gt;"",$AD372&lt;&gt;""),$AD372-$AB372,"")</f>
        <v/>
      </c>
      <c r="AN372" s="53" t="str">
        <f aca="false">IF(AND($AC372&lt;&gt;"",$AD372&lt;&gt;""),$AD372-$AC372,"")</f>
        <v/>
      </c>
      <c r="AO372" s="53" t="str">
        <f aca="false">IF($J372&lt;&gt;"",$J372,"")</f>
        <v/>
      </c>
      <c r="AQ372" s="52" t="str">
        <f aca="false">IF($A372&lt;&gt;"",$A372,"")</f>
        <v>Apprenant 360</v>
      </c>
      <c r="AR372" s="55" t="str">
        <f aca="false">IF(AND('Choix pédagogiques'!$C$4&lt;&gt;"?",'Choix pédagogiques'!$C$5&lt;&gt;"?",W372&lt;&gt;""),(W372-'Choix pédagogiques'!$C$4)/('Choix pédagogiques'!$C$5-'Choix pédagogiques'!$C$4),"")</f>
        <v/>
      </c>
      <c r="AS372" s="55" t="str">
        <f aca="false">IF(AND('Choix pédagogiques'!$C$4&lt;&gt;"?",'Choix pédagogiques'!$C$5&lt;&gt;"?",X372&lt;&gt;""),(X372-'Choix pédagogiques'!$C$4)/('Choix pédagogiques'!$C$5-'Choix pédagogiques'!$C$4),"")</f>
        <v/>
      </c>
      <c r="AT372" s="55" t="str">
        <f aca="false">IF(AND('Choix pédagogiques'!$C$4&lt;&gt;"?",'Choix pédagogiques'!$C$5&lt;&gt;"?",Y372&lt;&gt;""),(Y372-'Choix pédagogiques'!$C$4)/('Choix pédagogiques'!$C$5-'Choix pédagogiques'!$C$4),"")</f>
        <v/>
      </c>
      <c r="AU372" s="53" t="str">
        <f aca="false">IF($E372&lt;&gt;"",$E372,"")</f>
        <v/>
      </c>
      <c r="AV372" s="52" t="str">
        <f aca="false">IF($F372&lt;&gt;"",$F372,"")</f>
        <v>Apprenant 360 ou 360'</v>
      </c>
      <c r="AW372" s="55" t="str">
        <f aca="false">IF(AND('Choix pédagogiques'!$C$4&lt;&gt;"?",'Choix pédagogiques'!$C$5&lt;&gt;"?",AB372&lt;&gt;""),(AB372-'Choix pédagogiques'!$C$4)/('Choix pédagogiques'!$C$5-'Choix pédagogiques'!$C$4),"")</f>
        <v/>
      </c>
      <c r="AX372" s="55" t="str">
        <f aca="false">IF(AND('Choix pédagogiques'!$C$4&lt;&gt;"?",'Choix pédagogiques'!$C$5&lt;&gt;"?",AC372&lt;&gt;""),(AC372-'Choix pédagogiques'!$C$4)/('Choix pédagogiques'!$C$5-'Choix pédagogiques'!$C$4),"")</f>
        <v/>
      </c>
      <c r="AY372" s="55" t="str">
        <f aca="false">IF(AND('Choix pédagogiques'!$C$4&lt;&gt;"?",'Choix pédagogiques'!$C$5&lt;&gt;"?",AD372&lt;&gt;""),(AD372-'Choix pédagogiques'!$C$4)/('Choix pédagogiques'!$C$5-'Choix pédagogiques'!$C$4),"")</f>
        <v/>
      </c>
      <c r="AZ372" s="53" t="str">
        <f aca="false">IF($J372&lt;&gt;"",$J372,"")</f>
        <v/>
      </c>
      <c r="BA372" s="52" t="str">
        <f aca="false">IF($A372&lt;&gt;"",$A372,"")</f>
        <v>Apprenant 360</v>
      </c>
      <c r="BB372" s="55" t="str">
        <f aca="false">IF(AND($AR372&lt;&gt;"",$AS372&lt;&gt;""),$AS372-$AR372,"")</f>
        <v/>
      </c>
      <c r="BC372" s="55" t="str">
        <f aca="false">IF(AND($AR372&lt;&gt;"",$AT372&lt;&gt;""),$AT372-$AR372,"")</f>
        <v/>
      </c>
      <c r="BD372" s="55" t="str">
        <f aca="false">IF(AND($AS372&lt;&gt;"",$AT372&lt;&gt;""),$AT372-$AS372,"")</f>
        <v/>
      </c>
      <c r="BE372" s="53" t="str">
        <f aca="false">IF($E372&lt;&gt;"",$E372,"")</f>
        <v/>
      </c>
      <c r="BF372" s="52" t="str">
        <f aca="false">IF($F372&lt;&gt;"",$F372,"")</f>
        <v>Apprenant 360 ou 360'</v>
      </c>
      <c r="BG372" s="55" t="str">
        <f aca="false">IF(AND($AW372&lt;&gt;"",$AX372&lt;&gt;""),$AX372-$AW372,"")</f>
        <v/>
      </c>
      <c r="BH372" s="55" t="str">
        <f aca="false">IF(AND($AW372&lt;&gt;"",$AY372&lt;&gt;""),$AY372-$AW372,"")</f>
        <v/>
      </c>
      <c r="BI372" s="55" t="str">
        <f aca="false">IF(AND($AX372&lt;&gt;"",$AY372&lt;&gt;""),$AY372-$AX372,"")</f>
        <v/>
      </c>
      <c r="BJ372" s="53" t="str">
        <f aca="false">IF($J372&lt;&gt;"",$J372,"")</f>
        <v/>
      </c>
      <c r="BL372" s="52"/>
      <c r="BM372" s="52" t="str">
        <f aca="false">IF(OR(COUNT(B372:D1371)=0,AND('Choix pédagogiques'!$C$3&lt;&gt;1,'Choix pédagogiques'!$C$3&lt;&gt;2)),"",IF(AND(OR('Choix pédagogiques'!$C$3=1,'Choix pédagogiques'!$C$3=2),$B372&lt;&gt;"",$C372&lt;&gt;"",$D372&lt;&gt;""),1,0))</f>
        <v/>
      </c>
      <c r="BN372" s="52" t="str">
        <f aca="false">IF(OR(COUNT(G372:I1371)=0,AND('Choix pédagogiques'!$C$3&lt;&gt;1,'Choix pédagogiques'!$C$3&lt;&gt;2)),"",IF(AND(OR('Choix pédagogiques'!$C$3=1,'Choix pédagogiques'!$C$3=2),AND($G372&lt;&gt;"",$H372&lt;&gt;"",$I372&lt;&gt;"")),1,0))</f>
        <v/>
      </c>
      <c r="BO372" s="52" t="str">
        <f aca="false">IF(OR(COUNT(B372:D1371)=0,COUNT(G372:I1371)=0,'Choix pédagogiques'!C$3&lt;&gt;3),"",IF(AND('Choix pédagogiques'!$C$3=3,$B372&lt;&gt;"",$C372&lt;&gt;"",$D372&lt;&gt;"",$G372&lt;&gt;"",$H372&lt;&gt;"",$I372&lt;&gt;""),1,0))</f>
        <v/>
      </c>
      <c r="BR372" s="52" t="n">
        <v>365</v>
      </c>
      <c r="BS372" s="52" t="n">
        <v>1268</v>
      </c>
    </row>
    <row r="373" s="54" customFormat="true" ht="18" hidden="false" customHeight="true" outlineLevel="0" collapsed="false">
      <c r="A373" s="57" t="s">
        <v>677</v>
      </c>
      <c r="B373" s="51"/>
      <c r="C373" s="51"/>
      <c r="D373" s="51"/>
      <c r="E373" s="51"/>
      <c r="F373" s="57" t="s">
        <v>678</v>
      </c>
      <c r="G373" s="51"/>
      <c r="H373" s="51"/>
      <c r="I373" s="51"/>
      <c r="J373" s="51"/>
      <c r="K373" s="52" t="str">
        <f aca="false">IF($A373&lt;&gt;"",$A373,"")</f>
        <v>Apprenant 361</v>
      </c>
      <c r="L373" s="53" t="str">
        <f aca="false">IF(AND($B373&lt;&gt;"",$C373&lt;&gt;""),$C373-$B373,"")</f>
        <v/>
      </c>
      <c r="M373" s="53" t="str">
        <f aca="false">IF(AND($B373&lt;&gt;"",$D373&lt;&gt;""),$D373-$B373,"")</f>
        <v/>
      </c>
      <c r="N373" s="53" t="str">
        <f aca="false">IF(AND($C373&lt;&gt;"",$D373&lt;&gt;""),$D373-$C373,"")</f>
        <v/>
      </c>
      <c r="O373" s="53" t="str">
        <f aca="false">IF($E373&lt;&gt;"",$E373,"")</f>
        <v/>
      </c>
      <c r="P373" s="52" t="str">
        <f aca="false">IF($F373&lt;&gt;"",$F373,"")</f>
        <v>Apprenant 361 ou 361'</v>
      </c>
      <c r="Q373" s="53" t="str">
        <f aca="false">IF(AND($G373&lt;&gt;"",$H373&lt;&gt;""),$H373-$G373,"")</f>
        <v/>
      </c>
      <c r="R373" s="53" t="str">
        <f aca="false">IF(AND($G373&lt;&gt;"",$I373&lt;&gt;""),$I373-$G373,"")</f>
        <v/>
      </c>
      <c r="S373" s="53" t="str">
        <f aca="false">IF(AND($H373&lt;&gt;"",$I373&lt;&gt;""),$I373-$H373,"")</f>
        <v/>
      </c>
      <c r="T373" s="53" t="str">
        <f aca="false">IF($J373&lt;&gt;"",$J373,"")</f>
        <v/>
      </c>
      <c r="V373" s="52" t="str">
        <f aca="false">IF($A373&lt;&gt;"",$A373,"")</f>
        <v>Apprenant 361</v>
      </c>
      <c r="W373" s="53" t="str">
        <f aca="false">IF(AND(OR('Choix pédagogiques'!$C$3=1,'Choix pédagogiques'!$C$3=2),$BM373=1),B373,IF(AND('Choix pédagogiques'!$C$3=3,$BO373=1),B373,""))</f>
        <v/>
      </c>
      <c r="X373" s="53" t="str">
        <f aca="false">IF(AND(OR('Choix pédagogiques'!$C$3=1,'Choix pédagogiques'!$C$3=2),$BM373=1),C373,IF(AND('Choix pédagogiques'!$C$3=3,$BO373=1),C373,""))</f>
        <v/>
      </c>
      <c r="Y373" s="53" t="str">
        <f aca="false">IF(AND(OR('Choix pédagogiques'!$C$3=1,'Choix pédagogiques'!$C$3=2),$BM373=1),D373,IF(AND('Choix pédagogiques'!$C$3=3,$BO373=1),D373,""))</f>
        <v/>
      </c>
      <c r="Z373" s="53" t="str">
        <f aca="false">IF($E373&lt;&gt;"",$E373,"")</f>
        <v/>
      </c>
      <c r="AA373" s="52" t="str">
        <f aca="false">IF($F373&lt;&gt;"",$F373,"")</f>
        <v>Apprenant 361 ou 361'</v>
      </c>
      <c r="AB373" s="53" t="str">
        <f aca="false">IF(AND(OR('Choix pédagogiques'!$C$3=1,'Choix pédagogiques'!$C$3=2),$BN373=1),G373,IF(AND('Choix pédagogiques'!$C$3=3,$BO373=1),G373,""))</f>
        <v/>
      </c>
      <c r="AC373" s="53" t="str">
        <f aca="false">IF(AND(OR('Choix pédagogiques'!$C$3=1,'Choix pédagogiques'!$C$3=2),$BN373=1),H373,IF(AND('Choix pédagogiques'!$C$3=3,$BO373=1),H373,""))</f>
        <v/>
      </c>
      <c r="AD373" s="53" t="str">
        <f aca="false">IF(AND(OR('Choix pédagogiques'!$C$3=1,'Choix pédagogiques'!$C$3=2),$BN373=1),I373,IF(AND('Choix pédagogiques'!$C$3=3,$BO373=1),I373,""))</f>
        <v/>
      </c>
      <c r="AE373" s="53" t="str">
        <f aca="false">IF($J373&lt;&gt;"",$J373,"")</f>
        <v/>
      </c>
      <c r="AF373" s="52" t="str">
        <f aca="false">IF($A373&lt;&gt;"",$A373,"")</f>
        <v>Apprenant 361</v>
      </c>
      <c r="AG373" s="53" t="str">
        <f aca="false">IF(AND($W373&lt;&gt;"",$X373&lt;&gt;""),$X373-$W373,"")</f>
        <v/>
      </c>
      <c r="AH373" s="53" t="str">
        <f aca="false">IF(AND($W373&lt;&gt;"",$Y373&lt;&gt;""),$Y373-$W373,"")</f>
        <v/>
      </c>
      <c r="AI373" s="53" t="str">
        <f aca="false">IF(AND($X373&lt;&gt;"",$Y373&lt;&gt;""),$Y373-$X373,"")</f>
        <v/>
      </c>
      <c r="AJ373" s="53" t="str">
        <f aca="false">IF($E373&lt;&gt;"",$E373,"")</f>
        <v/>
      </c>
      <c r="AK373" s="52" t="str">
        <f aca="false">IF($F373&lt;&gt;"",$F373,"")</f>
        <v>Apprenant 361 ou 361'</v>
      </c>
      <c r="AL373" s="53" t="str">
        <f aca="false">IF(AND($AB373&lt;&gt;"",$AC373&lt;&gt;""),$AC373-$AB373,"")</f>
        <v/>
      </c>
      <c r="AM373" s="53" t="str">
        <f aca="false">IF(AND($AB373&lt;&gt;"",$AD373&lt;&gt;""),$AD373-$AB373,"")</f>
        <v/>
      </c>
      <c r="AN373" s="53" t="str">
        <f aca="false">IF(AND($AC373&lt;&gt;"",$AD373&lt;&gt;""),$AD373-$AC373,"")</f>
        <v/>
      </c>
      <c r="AO373" s="53" t="str">
        <f aca="false">IF($J373&lt;&gt;"",$J373,"")</f>
        <v/>
      </c>
      <c r="AQ373" s="52" t="str">
        <f aca="false">IF($A373&lt;&gt;"",$A373,"")</f>
        <v>Apprenant 361</v>
      </c>
      <c r="AR373" s="55" t="str">
        <f aca="false">IF(AND('Choix pédagogiques'!$C$4&lt;&gt;"?",'Choix pédagogiques'!$C$5&lt;&gt;"?",W373&lt;&gt;""),(W373-'Choix pédagogiques'!$C$4)/('Choix pédagogiques'!$C$5-'Choix pédagogiques'!$C$4),"")</f>
        <v/>
      </c>
      <c r="AS373" s="55" t="str">
        <f aca="false">IF(AND('Choix pédagogiques'!$C$4&lt;&gt;"?",'Choix pédagogiques'!$C$5&lt;&gt;"?",X373&lt;&gt;""),(X373-'Choix pédagogiques'!$C$4)/('Choix pédagogiques'!$C$5-'Choix pédagogiques'!$C$4),"")</f>
        <v/>
      </c>
      <c r="AT373" s="55" t="str">
        <f aca="false">IF(AND('Choix pédagogiques'!$C$4&lt;&gt;"?",'Choix pédagogiques'!$C$5&lt;&gt;"?",Y373&lt;&gt;""),(Y373-'Choix pédagogiques'!$C$4)/('Choix pédagogiques'!$C$5-'Choix pédagogiques'!$C$4),"")</f>
        <v/>
      </c>
      <c r="AU373" s="53" t="str">
        <f aca="false">IF($E373&lt;&gt;"",$E373,"")</f>
        <v/>
      </c>
      <c r="AV373" s="52" t="str">
        <f aca="false">IF($F373&lt;&gt;"",$F373,"")</f>
        <v>Apprenant 361 ou 361'</v>
      </c>
      <c r="AW373" s="55" t="str">
        <f aca="false">IF(AND('Choix pédagogiques'!$C$4&lt;&gt;"?",'Choix pédagogiques'!$C$5&lt;&gt;"?",AB373&lt;&gt;""),(AB373-'Choix pédagogiques'!$C$4)/('Choix pédagogiques'!$C$5-'Choix pédagogiques'!$C$4),"")</f>
        <v/>
      </c>
      <c r="AX373" s="55" t="str">
        <f aca="false">IF(AND('Choix pédagogiques'!$C$4&lt;&gt;"?",'Choix pédagogiques'!$C$5&lt;&gt;"?",AC373&lt;&gt;""),(AC373-'Choix pédagogiques'!$C$4)/('Choix pédagogiques'!$C$5-'Choix pédagogiques'!$C$4),"")</f>
        <v/>
      </c>
      <c r="AY373" s="55" t="str">
        <f aca="false">IF(AND('Choix pédagogiques'!$C$4&lt;&gt;"?",'Choix pédagogiques'!$C$5&lt;&gt;"?",AD373&lt;&gt;""),(AD373-'Choix pédagogiques'!$C$4)/('Choix pédagogiques'!$C$5-'Choix pédagogiques'!$C$4),"")</f>
        <v/>
      </c>
      <c r="AZ373" s="53" t="str">
        <f aca="false">IF($J373&lt;&gt;"",$J373,"")</f>
        <v/>
      </c>
      <c r="BA373" s="52" t="str">
        <f aca="false">IF($A373&lt;&gt;"",$A373,"")</f>
        <v>Apprenant 361</v>
      </c>
      <c r="BB373" s="55" t="str">
        <f aca="false">IF(AND($AR373&lt;&gt;"",$AS373&lt;&gt;""),$AS373-$AR373,"")</f>
        <v/>
      </c>
      <c r="BC373" s="55" t="str">
        <f aca="false">IF(AND($AR373&lt;&gt;"",$AT373&lt;&gt;""),$AT373-$AR373,"")</f>
        <v/>
      </c>
      <c r="BD373" s="55" t="str">
        <f aca="false">IF(AND($AS373&lt;&gt;"",$AT373&lt;&gt;""),$AT373-$AS373,"")</f>
        <v/>
      </c>
      <c r="BE373" s="53" t="str">
        <f aca="false">IF($E373&lt;&gt;"",$E373,"")</f>
        <v/>
      </c>
      <c r="BF373" s="52" t="str">
        <f aca="false">IF($F373&lt;&gt;"",$F373,"")</f>
        <v>Apprenant 361 ou 361'</v>
      </c>
      <c r="BG373" s="55" t="str">
        <f aca="false">IF(AND($AW373&lt;&gt;"",$AX373&lt;&gt;""),$AX373-$AW373,"")</f>
        <v/>
      </c>
      <c r="BH373" s="55" t="str">
        <f aca="false">IF(AND($AW373&lt;&gt;"",$AY373&lt;&gt;""),$AY373-$AW373,"")</f>
        <v/>
      </c>
      <c r="BI373" s="55" t="str">
        <f aca="false">IF(AND($AX373&lt;&gt;"",$AY373&lt;&gt;""),$AY373-$AX373,"")</f>
        <v/>
      </c>
      <c r="BJ373" s="53" t="str">
        <f aca="false">IF($J373&lt;&gt;"",$J373,"")</f>
        <v/>
      </c>
      <c r="BL373" s="52"/>
      <c r="BM373" s="52" t="str">
        <f aca="false">IF(OR(COUNT(B373:D1372)=0,AND('Choix pédagogiques'!$C$3&lt;&gt;1,'Choix pédagogiques'!$C$3&lt;&gt;2)),"",IF(AND(OR('Choix pédagogiques'!$C$3=1,'Choix pédagogiques'!$C$3=2),$B373&lt;&gt;"",$C373&lt;&gt;"",$D373&lt;&gt;""),1,0))</f>
        <v/>
      </c>
      <c r="BN373" s="52" t="str">
        <f aca="false">IF(OR(COUNT(G373:I1372)=0,AND('Choix pédagogiques'!$C$3&lt;&gt;1,'Choix pédagogiques'!$C$3&lt;&gt;2)),"",IF(AND(OR('Choix pédagogiques'!$C$3=1,'Choix pédagogiques'!$C$3=2),AND($G373&lt;&gt;"",$H373&lt;&gt;"",$I373&lt;&gt;"")),1,0))</f>
        <v/>
      </c>
      <c r="BO373" s="52" t="str">
        <f aca="false">IF(OR(COUNT(B373:D1372)=0,COUNT(G373:I1372)=0,'Choix pédagogiques'!C$3&lt;&gt;3),"",IF(AND('Choix pédagogiques'!$C$3=3,$B373&lt;&gt;"",$C373&lt;&gt;"",$D373&lt;&gt;"",$G373&lt;&gt;"",$H373&lt;&gt;"",$I373&lt;&gt;""),1,0))</f>
        <v/>
      </c>
      <c r="BR373" s="52" t="n">
        <v>574</v>
      </c>
      <c r="BS373" s="52" t="n">
        <v>1840</v>
      </c>
    </row>
    <row r="374" s="54" customFormat="true" ht="18" hidden="false" customHeight="true" outlineLevel="0" collapsed="false">
      <c r="A374" s="57" t="s">
        <v>679</v>
      </c>
      <c r="B374" s="51"/>
      <c r="C374" s="51"/>
      <c r="D374" s="51"/>
      <c r="E374" s="51"/>
      <c r="F374" s="57" t="s">
        <v>680</v>
      </c>
      <c r="G374" s="51"/>
      <c r="H374" s="51"/>
      <c r="I374" s="51"/>
      <c r="J374" s="51"/>
      <c r="K374" s="52" t="str">
        <f aca="false">IF($A374&lt;&gt;"",$A374,"")</f>
        <v>Apprenant 362</v>
      </c>
      <c r="L374" s="53" t="str">
        <f aca="false">IF(AND($B374&lt;&gt;"",$C374&lt;&gt;""),$C374-$B374,"")</f>
        <v/>
      </c>
      <c r="M374" s="53" t="str">
        <f aca="false">IF(AND($B374&lt;&gt;"",$D374&lt;&gt;""),$D374-$B374,"")</f>
        <v/>
      </c>
      <c r="N374" s="53" t="str">
        <f aca="false">IF(AND($C374&lt;&gt;"",$D374&lt;&gt;""),$D374-$C374,"")</f>
        <v/>
      </c>
      <c r="O374" s="53" t="str">
        <f aca="false">IF($E374&lt;&gt;"",$E374,"")</f>
        <v/>
      </c>
      <c r="P374" s="52" t="str">
        <f aca="false">IF($F374&lt;&gt;"",$F374,"")</f>
        <v>Apprenant 362 ou 362'</v>
      </c>
      <c r="Q374" s="53" t="str">
        <f aca="false">IF(AND($G374&lt;&gt;"",$H374&lt;&gt;""),$H374-$G374,"")</f>
        <v/>
      </c>
      <c r="R374" s="53" t="str">
        <f aca="false">IF(AND($G374&lt;&gt;"",$I374&lt;&gt;""),$I374-$G374,"")</f>
        <v/>
      </c>
      <c r="S374" s="53" t="str">
        <f aca="false">IF(AND($H374&lt;&gt;"",$I374&lt;&gt;""),$I374-$H374,"")</f>
        <v/>
      </c>
      <c r="T374" s="53" t="str">
        <f aca="false">IF($J374&lt;&gt;"",$J374,"")</f>
        <v/>
      </c>
      <c r="V374" s="52" t="str">
        <f aca="false">IF($A374&lt;&gt;"",$A374,"")</f>
        <v>Apprenant 362</v>
      </c>
      <c r="W374" s="53" t="str">
        <f aca="false">IF(AND(OR('Choix pédagogiques'!$C$3=1,'Choix pédagogiques'!$C$3=2),$BM374=1),B374,IF(AND('Choix pédagogiques'!$C$3=3,$BO374=1),B374,""))</f>
        <v/>
      </c>
      <c r="X374" s="53" t="str">
        <f aca="false">IF(AND(OR('Choix pédagogiques'!$C$3=1,'Choix pédagogiques'!$C$3=2),$BM374=1),C374,IF(AND('Choix pédagogiques'!$C$3=3,$BO374=1),C374,""))</f>
        <v/>
      </c>
      <c r="Y374" s="53" t="str">
        <f aca="false">IF(AND(OR('Choix pédagogiques'!$C$3=1,'Choix pédagogiques'!$C$3=2),$BM374=1),D374,IF(AND('Choix pédagogiques'!$C$3=3,$BO374=1),D374,""))</f>
        <v/>
      </c>
      <c r="Z374" s="53" t="str">
        <f aca="false">IF($E374&lt;&gt;"",$E374,"")</f>
        <v/>
      </c>
      <c r="AA374" s="52" t="str">
        <f aca="false">IF($F374&lt;&gt;"",$F374,"")</f>
        <v>Apprenant 362 ou 362'</v>
      </c>
      <c r="AB374" s="53" t="str">
        <f aca="false">IF(AND(OR('Choix pédagogiques'!$C$3=1,'Choix pédagogiques'!$C$3=2),$BN374=1),G374,IF(AND('Choix pédagogiques'!$C$3=3,$BO374=1),G374,""))</f>
        <v/>
      </c>
      <c r="AC374" s="53" t="str">
        <f aca="false">IF(AND(OR('Choix pédagogiques'!$C$3=1,'Choix pédagogiques'!$C$3=2),$BN374=1),H374,IF(AND('Choix pédagogiques'!$C$3=3,$BO374=1),H374,""))</f>
        <v/>
      </c>
      <c r="AD374" s="53" t="str">
        <f aca="false">IF(AND(OR('Choix pédagogiques'!$C$3=1,'Choix pédagogiques'!$C$3=2),$BN374=1),I374,IF(AND('Choix pédagogiques'!$C$3=3,$BO374=1),I374,""))</f>
        <v/>
      </c>
      <c r="AE374" s="53" t="str">
        <f aca="false">IF($J374&lt;&gt;"",$J374,"")</f>
        <v/>
      </c>
      <c r="AF374" s="52" t="str">
        <f aca="false">IF($A374&lt;&gt;"",$A374,"")</f>
        <v>Apprenant 362</v>
      </c>
      <c r="AG374" s="53" t="str">
        <f aca="false">IF(AND($W374&lt;&gt;"",$X374&lt;&gt;""),$X374-$W374,"")</f>
        <v/>
      </c>
      <c r="AH374" s="53" t="str">
        <f aca="false">IF(AND($W374&lt;&gt;"",$Y374&lt;&gt;""),$Y374-$W374,"")</f>
        <v/>
      </c>
      <c r="AI374" s="53" t="str">
        <f aca="false">IF(AND($X374&lt;&gt;"",$Y374&lt;&gt;""),$Y374-$X374,"")</f>
        <v/>
      </c>
      <c r="AJ374" s="53" t="str">
        <f aca="false">IF($E374&lt;&gt;"",$E374,"")</f>
        <v/>
      </c>
      <c r="AK374" s="52" t="str">
        <f aca="false">IF($F374&lt;&gt;"",$F374,"")</f>
        <v>Apprenant 362 ou 362'</v>
      </c>
      <c r="AL374" s="53" t="str">
        <f aca="false">IF(AND($AB374&lt;&gt;"",$AC374&lt;&gt;""),$AC374-$AB374,"")</f>
        <v/>
      </c>
      <c r="AM374" s="53" t="str">
        <f aca="false">IF(AND($AB374&lt;&gt;"",$AD374&lt;&gt;""),$AD374-$AB374,"")</f>
        <v/>
      </c>
      <c r="AN374" s="53" t="str">
        <f aca="false">IF(AND($AC374&lt;&gt;"",$AD374&lt;&gt;""),$AD374-$AC374,"")</f>
        <v/>
      </c>
      <c r="AO374" s="53" t="str">
        <f aca="false">IF($J374&lt;&gt;"",$J374,"")</f>
        <v/>
      </c>
      <c r="AQ374" s="52" t="str">
        <f aca="false">IF($A374&lt;&gt;"",$A374,"")</f>
        <v>Apprenant 362</v>
      </c>
      <c r="AR374" s="55" t="str">
        <f aca="false">IF(AND('Choix pédagogiques'!$C$4&lt;&gt;"?",'Choix pédagogiques'!$C$5&lt;&gt;"?",W374&lt;&gt;""),(W374-'Choix pédagogiques'!$C$4)/('Choix pédagogiques'!$C$5-'Choix pédagogiques'!$C$4),"")</f>
        <v/>
      </c>
      <c r="AS374" s="55" t="str">
        <f aca="false">IF(AND('Choix pédagogiques'!$C$4&lt;&gt;"?",'Choix pédagogiques'!$C$5&lt;&gt;"?",X374&lt;&gt;""),(X374-'Choix pédagogiques'!$C$4)/('Choix pédagogiques'!$C$5-'Choix pédagogiques'!$C$4),"")</f>
        <v/>
      </c>
      <c r="AT374" s="55" t="str">
        <f aca="false">IF(AND('Choix pédagogiques'!$C$4&lt;&gt;"?",'Choix pédagogiques'!$C$5&lt;&gt;"?",Y374&lt;&gt;""),(Y374-'Choix pédagogiques'!$C$4)/('Choix pédagogiques'!$C$5-'Choix pédagogiques'!$C$4),"")</f>
        <v/>
      </c>
      <c r="AU374" s="53" t="str">
        <f aca="false">IF($E374&lt;&gt;"",$E374,"")</f>
        <v/>
      </c>
      <c r="AV374" s="52" t="str">
        <f aca="false">IF($F374&lt;&gt;"",$F374,"")</f>
        <v>Apprenant 362 ou 362'</v>
      </c>
      <c r="AW374" s="55" t="str">
        <f aca="false">IF(AND('Choix pédagogiques'!$C$4&lt;&gt;"?",'Choix pédagogiques'!$C$5&lt;&gt;"?",AB374&lt;&gt;""),(AB374-'Choix pédagogiques'!$C$4)/('Choix pédagogiques'!$C$5-'Choix pédagogiques'!$C$4),"")</f>
        <v/>
      </c>
      <c r="AX374" s="55" t="str">
        <f aca="false">IF(AND('Choix pédagogiques'!$C$4&lt;&gt;"?",'Choix pédagogiques'!$C$5&lt;&gt;"?",AC374&lt;&gt;""),(AC374-'Choix pédagogiques'!$C$4)/('Choix pédagogiques'!$C$5-'Choix pédagogiques'!$C$4),"")</f>
        <v/>
      </c>
      <c r="AY374" s="55" t="str">
        <f aca="false">IF(AND('Choix pédagogiques'!$C$4&lt;&gt;"?",'Choix pédagogiques'!$C$5&lt;&gt;"?",AD374&lt;&gt;""),(AD374-'Choix pédagogiques'!$C$4)/('Choix pédagogiques'!$C$5-'Choix pédagogiques'!$C$4),"")</f>
        <v/>
      </c>
      <c r="AZ374" s="53" t="str">
        <f aca="false">IF($J374&lt;&gt;"",$J374,"")</f>
        <v/>
      </c>
      <c r="BA374" s="52" t="str">
        <f aca="false">IF($A374&lt;&gt;"",$A374,"")</f>
        <v>Apprenant 362</v>
      </c>
      <c r="BB374" s="55" t="str">
        <f aca="false">IF(AND($AR374&lt;&gt;"",$AS374&lt;&gt;""),$AS374-$AR374,"")</f>
        <v/>
      </c>
      <c r="BC374" s="55" t="str">
        <f aca="false">IF(AND($AR374&lt;&gt;"",$AT374&lt;&gt;""),$AT374-$AR374,"")</f>
        <v/>
      </c>
      <c r="BD374" s="55" t="str">
        <f aca="false">IF(AND($AS374&lt;&gt;"",$AT374&lt;&gt;""),$AT374-$AS374,"")</f>
        <v/>
      </c>
      <c r="BE374" s="53" t="str">
        <f aca="false">IF($E374&lt;&gt;"",$E374,"")</f>
        <v/>
      </c>
      <c r="BF374" s="52" t="str">
        <f aca="false">IF($F374&lt;&gt;"",$F374,"")</f>
        <v>Apprenant 362 ou 362'</v>
      </c>
      <c r="BG374" s="55" t="str">
        <f aca="false">IF(AND($AW374&lt;&gt;"",$AX374&lt;&gt;""),$AX374-$AW374,"")</f>
        <v/>
      </c>
      <c r="BH374" s="55" t="str">
        <f aca="false">IF(AND($AW374&lt;&gt;"",$AY374&lt;&gt;""),$AY374-$AW374,"")</f>
        <v/>
      </c>
      <c r="BI374" s="55" t="str">
        <f aca="false">IF(AND($AX374&lt;&gt;"",$AY374&lt;&gt;""),$AY374-$AX374,"")</f>
        <v/>
      </c>
      <c r="BJ374" s="53" t="str">
        <f aca="false">IF($J374&lt;&gt;"",$J374,"")</f>
        <v/>
      </c>
      <c r="BL374" s="52"/>
      <c r="BM374" s="52" t="str">
        <f aca="false">IF(OR(COUNT(B374:D1373)=0,AND('Choix pédagogiques'!$C$3&lt;&gt;1,'Choix pédagogiques'!$C$3&lt;&gt;2)),"",IF(AND(OR('Choix pédagogiques'!$C$3=1,'Choix pédagogiques'!$C$3=2),$B374&lt;&gt;"",$C374&lt;&gt;"",$D374&lt;&gt;""),1,0))</f>
        <v/>
      </c>
      <c r="BN374" s="52" t="str">
        <f aca="false">IF(OR(COUNT(G374:I1373)=0,AND('Choix pédagogiques'!$C$3&lt;&gt;1,'Choix pédagogiques'!$C$3&lt;&gt;2)),"",IF(AND(OR('Choix pédagogiques'!$C$3=1,'Choix pédagogiques'!$C$3=2),AND($G374&lt;&gt;"",$H374&lt;&gt;"",$I374&lt;&gt;"")),1,0))</f>
        <v/>
      </c>
      <c r="BO374" s="52" t="str">
        <f aca="false">IF(OR(COUNT(B374:D1373)=0,COUNT(G374:I1373)=0,'Choix pédagogiques'!C$3&lt;&gt;3),"",IF(AND('Choix pédagogiques'!$C$3=3,$B374&lt;&gt;"",$C374&lt;&gt;"",$D374&lt;&gt;"",$G374&lt;&gt;"",$H374&lt;&gt;"",$I374&lt;&gt;""),1,0))</f>
        <v/>
      </c>
      <c r="BR374" s="52" t="n">
        <v>759</v>
      </c>
      <c r="BS374" s="52" t="n">
        <v>1191</v>
      </c>
    </row>
    <row r="375" s="54" customFormat="true" ht="18" hidden="false" customHeight="true" outlineLevel="0" collapsed="false">
      <c r="A375" s="57" t="s">
        <v>681</v>
      </c>
      <c r="B375" s="51"/>
      <c r="C375" s="51"/>
      <c r="D375" s="51"/>
      <c r="E375" s="51"/>
      <c r="F375" s="57" t="s">
        <v>682</v>
      </c>
      <c r="G375" s="51"/>
      <c r="H375" s="51"/>
      <c r="I375" s="51"/>
      <c r="J375" s="51"/>
      <c r="K375" s="52" t="str">
        <f aca="false">IF($A375&lt;&gt;"",$A375,"")</f>
        <v>Apprenant 363</v>
      </c>
      <c r="L375" s="53" t="str">
        <f aca="false">IF(AND($B375&lt;&gt;"",$C375&lt;&gt;""),$C375-$B375,"")</f>
        <v/>
      </c>
      <c r="M375" s="53" t="str">
        <f aca="false">IF(AND($B375&lt;&gt;"",$D375&lt;&gt;""),$D375-$B375,"")</f>
        <v/>
      </c>
      <c r="N375" s="53" t="str">
        <f aca="false">IF(AND($C375&lt;&gt;"",$D375&lt;&gt;""),$D375-$C375,"")</f>
        <v/>
      </c>
      <c r="O375" s="53" t="str">
        <f aca="false">IF($E375&lt;&gt;"",$E375,"")</f>
        <v/>
      </c>
      <c r="P375" s="52" t="str">
        <f aca="false">IF($F375&lt;&gt;"",$F375,"")</f>
        <v>Apprenant 363 ou 363'</v>
      </c>
      <c r="Q375" s="53" t="str">
        <f aca="false">IF(AND($G375&lt;&gt;"",$H375&lt;&gt;""),$H375-$G375,"")</f>
        <v/>
      </c>
      <c r="R375" s="53" t="str">
        <f aca="false">IF(AND($G375&lt;&gt;"",$I375&lt;&gt;""),$I375-$G375,"")</f>
        <v/>
      </c>
      <c r="S375" s="53" t="str">
        <f aca="false">IF(AND($H375&lt;&gt;"",$I375&lt;&gt;""),$I375-$H375,"")</f>
        <v/>
      </c>
      <c r="T375" s="53" t="str">
        <f aca="false">IF($J375&lt;&gt;"",$J375,"")</f>
        <v/>
      </c>
      <c r="V375" s="52" t="str">
        <f aca="false">IF($A375&lt;&gt;"",$A375,"")</f>
        <v>Apprenant 363</v>
      </c>
      <c r="W375" s="53" t="str">
        <f aca="false">IF(AND(OR('Choix pédagogiques'!$C$3=1,'Choix pédagogiques'!$C$3=2),$BM375=1),B375,IF(AND('Choix pédagogiques'!$C$3=3,$BO375=1),B375,""))</f>
        <v/>
      </c>
      <c r="X375" s="53" t="str">
        <f aca="false">IF(AND(OR('Choix pédagogiques'!$C$3=1,'Choix pédagogiques'!$C$3=2),$BM375=1),C375,IF(AND('Choix pédagogiques'!$C$3=3,$BO375=1),C375,""))</f>
        <v/>
      </c>
      <c r="Y375" s="53" t="str">
        <f aca="false">IF(AND(OR('Choix pédagogiques'!$C$3=1,'Choix pédagogiques'!$C$3=2),$BM375=1),D375,IF(AND('Choix pédagogiques'!$C$3=3,$BO375=1),D375,""))</f>
        <v/>
      </c>
      <c r="Z375" s="53" t="str">
        <f aca="false">IF($E375&lt;&gt;"",$E375,"")</f>
        <v/>
      </c>
      <c r="AA375" s="52" t="str">
        <f aca="false">IF($F375&lt;&gt;"",$F375,"")</f>
        <v>Apprenant 363 ou 363'</v>
      </c>
      <c r="AB375" s="53" t="str">
        <f aca="false">IF(AND(OR('Choix pédagogiques'!$C$3=1,'Choix pédagogiques'!$C$3=2),$BN375=1),G375,IF(AND('Choix pédagogiques'!$C$3=3,$BO375=1),G375,""))</f>
        <v/>
      </c>
      <c r="AC375" s="53" t="str">
        <f aca="false">IF(AND(OR('Choix pédagogiques'!$C$3=1,'Choix pédagogiques'!$C$3=2),$BN375=1),H375,IF(AND('Choix pédagogiques'!$C$3=3,$BO375=1),H375,""))</f>
        <v/>
      </c>
      <c r="AD375" s="53" t="str">
        <f aca="false">IF(AND(OR('Choix pédagogiques'!$C$3=1,'Choix pédagogiques'!$C$3=2),$BN375=1),I375,IF(AND('Choix pédagogiques'!$C$3=3,$BO375=1),I375,""))</f>
        <v/>
      </c>
      <c r="AE375" s="53" t="str">
        <f aca="false">IF($J375&lt;&gt;"",$J375,"")</f>
        <v/>
      </c>
      <c r="AF375" s="52" t="str">
        <f aca="false">IF($A375&lt;&gt;"",$A375,"")</f>
        <v>Apprenant 363</v>
      </c>
      <c r="AG375" s="53" t="str">
        <f aca="false">IF(AND($W375&lt;&gt;"",$X375&lt;&gt;""),$X375-$W375,"")</f>
        <v/>
      </c>
      <c r="AH375" s="53" t="str">
        <f aca="false">IF(AND($W375&lt;&gt;"",$Y375&lt;&gt;""),$Y375-$W375,"")</f>
        <v/>
      </c>
      <c r="AI375" s="53" t="str">
        <f aca="false">IF(AND($X375&lt;&gt;"",$Y375&lt;&gt;""),$Y375-$X375,"")</f>
        <v/>
      </c>
      <c r="AJ375" s="53" t="str">
        <f aca="false">IF($E375&lt;&gt;"",$E375,"")</f>
        <v/>
      </c>
      <c r="AK375" s="52" t="str">
        <f aca="false">IF($F375&lt;&gt;"",$F375,"")</f>
        <v>Apprenant 363 ou 363'</v>
      </c>
      <c r="AL375" s="53" t="str">
        <f aca="false">IF(AND($AB375&lt;&gt;"",$AC375&lt;&gt;""),$AC375-$AB375,"")</f>
        <v/>
      </c>
      <c r="AM375" s="53" t="str">
        <f aca="false">IF(AND($AB375&lt;&gt;"",$AD375&lt;&gt;""),$AD375-$AB375,"")</f>
        <v/>
      </c>
      <c r="AN375" s="53" t="str">
        <f aca="false">IF(AND($AC375&lt;&gt;"",$AD375&lt;&gt;""),$AD375-$AC375,"")</f>
        <v/>
      </c>
      <c r="AO375" s="53" t="str">
        <f aca="false">IF($J375&lt;&gt;"",$J375,"")</f>
        <v/>
      </c>
      <c r="AQ375" s="52" t="str">
        <f aca="false">IF($A375&lt;&gt;"",$A375,"")</f>
        <v>Apprenant 363</v>
      </c>
      <c r="AR375" s="55" t="str">
        <f aca="false">IF(AND('Choix pédagogiques'!$C$4&lt;&gt;"?",'Choix pédagogiques'!$C$5&lt;&gt;"?",W375&lt;&gt;""),(W375-'Choix pédagogiques'!$C$4)/('Choix pédagogiques'!$C$5-'Choix pédagogiques'!$C$4),"")</f>
        <v/>
      </c>
      <c r="AS375" s="55" t="str">
        <f aca="false">IF(AND('Choix pédagogiques'!$C$4&lt;&gt;"?",'Choix pédagogiques'!$C$5&lt;&gt;"?",X375&lt;&gt;""),(X375-'Choix pédagogiques'!$C$4)/('Choix pédagogiques'!$C$5-'Choix pédagogiques'!$C$4),"")</f>
        <v/>
      </c>
      <c r="AT375" s="55" t="str">
        <f aca="false">IF(AND('Choix pédagogiques'!$C$4&lt;&gt;"?",'Choix pédagogiques'!$C$5&lt;&gt;"?",Y375&lt;&gt;""),(Y375-'Choix pédagogiques'!$C$4)/('Choix pédagogiques'!$C$5-'Choix pédagogiques'!$C$4),"")</f>
        <v/>
      </c>
      <c r="AU375" s="53" t="str">
        <f aca="false">IF($E375&lt;&gt;"",$E375,"")</f>
        <v/>
      </c>
      <c r="AV375" s="52" t="str">
        <f aca="false">IF($F375&lt;&gt;"",$F375,"")</f>
        <v>Apprenant 363 ou 363'</v>
      </c>
      <c r="AW375" s="55" t="str">
        <f aca="false">IF(AND('Choix pédagogiques'!$C$4&lt;&gt;"?",'Choix pédagogiques'!$C$5&lt;&gt;"?",AB375&lt;&gt;""),(AB375-'Choix pédagogiques'!$C$4)/('Choix pédagogiques'!$C$5-'Choix pédagogiques'!$C$4),"")</f>
        <v/>
      </c>
      <c r="AX375" s="55" t="str">
        <f aca="false">IF(AND('Choix pédagogiques'!$C$4&lt;&gt;"?",'Choix pédagogiques'!$C$5&lt;&gt;"?",AC375&lt;&gt;""),(AC375-'Choix pédagogiques'!$C$4)/('Choix pédagogiques'!$C$5-'Choix pédagogiques'!$C$4),"")</f>
        <v/>
      </c>
      <c r="AY375" s="55" t="str">
        <f aca="false">IF(AND('Choix pédagogiques'!$C$4&lt;&gt;"?",'Choix pédagogiques'!$C$5&lt;&gt;"?",AD375&lt;&gt;""),(AD375-'Choix pédagogiques'!$C$4)/('Choix pédagogiques'!$C$5-'Choix pédagogiques'!$C$4),"")</f>
        <v/>
      </c>
      <c r="AZ375" s="53" t="str">
        <f aca="false">IF($J375&lt;&gt;"",$J375,"")</f>
        <v/>
      </c>
      <c r="BA375" s="52" t="str">
        <f aca="false">IF($A375&lt;&gt;"",$A375,"")</f>
        <v>Apprenant 363</v>
      </c>
      <c r="BB375" s="55" t="str">
        <f aca="false">IF(AND($AR375&lt;&gt;"",$AS375&lt;&gt;""),$AS375-$AR375,"")</f>
        <v/>
      </c>
      <c r="BC375" s="55" t="str">
        <f aca="false">IF(AND($AR375&lt;&gt;"",$AT375&lt;&gt;""),$AT375-$AR375,"")</f>
        <v/>
      </c>
      <c r="BD375" s="55" t="str">
        <f aca="false">IF(AND($AS375&lt;&gt;"",$AT375&lt;&gt;""),$AT375-$AS375,"")</f>
        <v/>
      </c>
      <c r="BE375" s="53" t="str">
        <f aca="false">IF($E375&lt;&gt;"",$E375,"")</f>
        <v/>
      </c>
      <c r="BF375" s="52" t="str">
        <f aca="false">IF($F375&lt;&gt;"",$F375,"")</f>
        <v>Apprenant 363 ou 363'</v>
      </c>
      <c r="BG375" s="55" t="str">
        <f aca="false">IF(AND($AW375&lt;&gt;"",$AX375&lt;&gt;""),$AX375-$AW375,"")</f>
        <v/>
      </c>
      <c r="BH375" s="55" t="str">
        <f aca="false">IF(AND($AW375&lt;&gt;"",$AY375&lt;&gt;""),$AY375-$AW375,"")</f>
        <v/>
      </c>
      <c r="BI375" s="55" t="str">
        <f aca="false">IF(AND($AX375&lt;&gt;"",$AY375&lt;&gt;""),$AY375-$AX375,"")</f>
        <v/>
      </c>
      <c r="BJ375" s="53" t="str">
        <f aca="false">IF($J375&lt;&gt;"",$J375,"")</f>
        <v/>
      </c>
      <c r="BL375" s="52"/>
      <c r="BM375" s="52" t="str">
        <f aca="false">IF(OR(COUNT(B375:D1374)=0,AND('Choix pédagogiques'!$C$3&lt;&gt;1,'Choix pédagogiques'!$C$3&lt;&gt;2)),"",IF(AND(OR('Choix pédagogiques'!$C$3=1,'Choix pédagogiques'!$C$3=2),$B375&lt;&gt;"",$C375&lt;&gt;"",$D375&lt;&gt;""),1,0))</f>
        <v/>
      </c>
      <c r="BN375" s="52" t="str">
        <f aca="false">IF(OR(COUNT(G375:I1374)=0,AND('Choix pédagogiques'!$C$3&lt;&gt;1,'Choix pédagogiques'!$C$3&lt;&gt;2)),"",IF(AND(OR('Choix pédagogiques'!$C$3=1,'Choix pédagogiques'!$C$3=2),AND($G375&lt;&gt;"",$H375&lt;&gt;"",$I375&lt;&gt;"")),1,0))</f>
        <v/>
      </c>
      <c r="BO375" s="52" t="str">
        <f aca="false">IF(OR(COUNT(B375:D1374)=0,COUNT(G375:I1374)=0,'Choix pédagogiques'!C$3&lt;&gt;3),"",IF(AND('Choix pédagogiques'!$C$3=3,$B375&lt;&gt;"",$C375&lt;&gt;"",$D375&lt;&gt;"",$G375&lt;&gt;"",$H375&lt;&gt;"",$I375&lt;&gt;""),1,0))</f>
        <v/>
      </c>
      <c r="BR375" s="52" t="n">
        <v>42</v>
      </c>
      <c r="BS375" s="52" t="n">
        <v>1250</v>
      </c>
    </row>
    <row r="376" s="54" customFormat="true" ht="18" hidden="false" customHeight="true" outlineLevel="0" collapsed="false">
      <c r="A376" s="57" t="s">
        <v>683</v>
      </c>
      <c r="B376" s="51"/>
      <c r="C376" s="51"/>
      <c r="D376" s="51"/>
      <c r="E376" s="51"/>
      <c r="F376" s="57" t="s">
        <v>684</v>
      </c>
      <c r="G376" s="51"/>
      <c r="H376" s="51"/>
      <c r="I376" s="51"/>
      <c r="J376" s="51"/>
      <c r="K376" s="52" t="str">
        <f aca="false">IF($A376&lt;&gt;"",$A376,"")</f>
        <v>Apprenant 364</v>
      </c>
      <c r="L376" s="53" t="str">
        <f aca="false">IF(AND($B376&lt;&gt;"",$C376&lt;&gt;""),$C376-$B376,"")</f>
        <v/>
      </c>
      <c r="M376" s="53" t="str">
        <f aca="false">IF(AND($B376&lt;&gt;"",$D376&lt;&gt;""),$D376-$B376,"")</f>
        <v/>
      </c>
      <c r="N376" s="53" t="str">
        <f aca="false">IF(AND($C376&lt;&gt;"",$D376&lt;&gt;""),$D376-$C376,"")</f>
        <v/>
      </c>
      <c r="O376" s="53" t="str">
        <f aca="false">IF($E376&lt;&gt;"",$E376,"")</f>
        <v/>
      </c>
      <c r="P376" s="52" t="str">
        <f aca="false">IF($F376&lt;&gt;"",$F376,"")</f>
        <v>Apprenant 364 ou 364'</v>
      </c>
      <c r="Q376" s="53" t="str">
        <f aca="false">IF(AND($G376&lt;&gt;"",$H376&lt;&gt;""),$H376-$G376,"")</f>
        <v/>
      </c>
      <c r="R376" s="53" t="str">
        <f aca="false">IF(AND($G376&lt;&gt;"",$I376&lt;&gt;""),$I376-$G376,"")</f>
        <v/>
      </c>
      <c r="S376" s="53" t="str">
        <f aca="false">IF(AND($H376&lt;&gt;"",$I376&lt;&gt;""),$I376-$H376,"")</f>
        <v/>
      </c>
      <c r="T376" s="53" t="str">
        <f aca="false">IF($J376&lt;&gt;"",$J376,"")</f>
        <v/>
      </c>
      <c r="V376" s="52" t="str">
        <f aca="false">IF($A376&lt;&gt;"",$A376,"")</f>
        <v>Apprenant 364</v>
      </c>
      <c r="W376" s="53" t="str">
        <f aca="false">IF(AND(OR('Choix pédagogiques'!$C$3=1,'Choix pédagogiques'!$C$3=2),$BM376=1),B376,IF(AND('Choix pédagogiques'!$C$3=3,$BO376=1),B376,""))</f>
        <v/>
      </c>
      <c r="X376" s="53" t="str">
        <f aca="false">IF(AND(OR('Choix pédagogiques'!$C$3=1,'Choix pédagogiques'!$C$3=2),$BM376=1),C376,IF(AND('Choix pédagogiques'!$C$3=3,$BO376=1),C376,""))</f>
        <v/>
      </c>
      <c r="Y376" s="53" t="str">
        <f aca="false">IF(AND(OR('Choix pédagogiques'!$C$3=1,'Choix pédagogiques'!$C$3=2),$BM376=1),D376,IF(AND('Choix pédagogiques'!$C$3=3,$BO376=1),D376,""))</f>
        <v/>
      </c>
      <c r="Z376" s="53" t="str">
        <f aca="false">IF($E376&lt;&gt;"",$E376,"")</f>
        <v/>
      </c>
      <c r="AA376" s="52" t="str">
        <f aca="false">IF($F376&lt;&gt;"",$F376,"")</f>
        <v>Apprenant 364 ou 364'</v>
      </c>
      <c r="AB376" s="53" t="str">
        <f aca="false">IF(AND(OR('Choix pédagogiques'!$C$3=1,'Choix pédagogiques'!$C$3=2),$BN376=1),G376,IF(AND('Choix pédagogiques'!$C$3=3,$BO376=1),G376,""))</f>
        <v/>
      </c>
      <c r="AC376" s="53" t="str">
        <f aca="false">IF(AND(OR('Choix pédagogiques'!$C$3=1,'Choix pédagogiques'!$C$3=2),$BN376=1),H376,IF(AND('Choix pédagogiques'!$C$3=3,$BO376=1),H376,""))</f>
        <v/>
      </c>
      <c r="AD376" s="53" t="str">
        <f aca="false">IF(AND(OR('Choix pédagogiques'!$C$3=1,'Choix pédagogiques'!$C$3=2),$BN376=1),I376,IF(AND('Choix pédagogiques'!$C$3=3,$BO376=1),I376,""))</f>
        <v/>
      </c>
      <c r="AE376" s="53" t="str">
        <f aca="false">IF($J376&lt;&gt;"",$J376,"")</f>
        <v/>
      </c>
      <c r="AF376" s="52" t="str">
        <f aca="false">IF($A376&lt;&gt;"",$A376,"")</f>
        <v>Apprenant 364</v>
      </c>
      <c r="AG376" s="53" t="str">
        <f aca="false">IF(AND($W376&lt;&gt;"",$X376&lt;&gt;""),$X376-$W376,"")</f>
        <v/>
      </c>
      <c r="AH376" s="53" t="str">
        <f aca="false">IF(AND($W376&lt;&gt;"",$Y376&lt;&gt;""),$Y376-$W376,"")</f>
        <v/>
      </c>
      <c r="AI376" s="53" t="str">
        <f aca="false">IF(AND($X376&lt;&gt;"",$Y376&lt;&gt;""),$Y376-$X376,"")</f>
        <v/>
      </c>
      <c r="AJ376" s="53" t="str">
        <f aca="false">IF($E376&lt;&gt;"",$E376,"")</f>
        <v/>
      </c>
      <c r="AK376" s="52" t="str">
        <f aca="false">IF($F376&lt;&gt;"",$F376,"")</f>
        <v>Apprenant 364 ou 364'</v>
      </c>
      <c r="AL376" s="53" t="str">
        <f aca="false">IF(AND($AB376&lt;&gt;"",$AC376&lt;&gt;""),$AC376-$AB376,"")</f>
        <v/>
      </c>
      <c r="AM376" s="53" t="str">
        <f aca="false">IF(AND($AB376&lt;&gt;"",$AD376&lt;&gt;""),$AD376-$AB376,"")</f>
        <v/>
      </c>
      <c r="AN376" s="53" t="str">
        <f aca="false">IF(AND($AC376&lt;&gt;"",$AD376&lt;&gt;""),$AD376-$AC376,"")</f>
        <v/>
      </c>
      <c r="AO376" s="53" t="str">
        <f aca="false">IF($J376&lt;&gt;"",$J376,"")</f>
        <v/>
      </c>
      <c r="AQ376" s="52" t="str">
        <f aca="false">IF($A376&lt;&gt;"",$A376,"")</f>
        <v>Apprenant 364</v>
      </c>
      <c r="AR376" s="55" t="str">
        <f aca="false">IF(AND('Choix pédagogiques'!$C$4&lt;&gt;"?",'Choix pédagogiques'!$C$5&lt;&gt;"?",W376&lt;&gt;""),(W376-'Choix pédagogiques'!$C$4)/('Choix pédagogiques'!$C$5-'Choix pédagogiques'!$C$4),"")</f>
        <v/>
      </c>
      <c r="AS376" s="55" t="str">
        <f aca="false">IF(AND('Choix pédagogiques'!$C$4&lt;&gt;"?",'Choix pédagogiques'!$C$5&lt;&gt;"?",X376&lt;&gt;""),(X376-'Choix pédagogiques'!$C$4)/('Choix pédagogiques'!$C$5-'Choix pédagogiques'!$C$4),"")</f>
        <v/>
      </c>
      <c r="AT376" s="55" t="str">
        <f aca="false">IF(AND('Choix pédagogiques'!$C$4&lt;&gt;"?",'Choix pédagogiques'!$C$5&lt;&gt;"?",Y376&lt;&gt;""),(Y376-'Choix pédagogiques'!$C$4)/('Choix pédagogiques'!$C$5-'Choix pédagogiques'!$C$4),"")</f>
        <v/>
      </c>
      <c r="AU376" s="53" t="str">
        <f aca="false">IF($E376&lt;&gt;"",$E376,"")</f>
        <v/>
      </c>
      <c r="AV376" s="52" t="str">
        <f aca="false">IF($F376&lt;&gt;"",$F376,"")</f>
        <v>Apprenant 364 ou 364'</v>
      </c>
      <c r="AW376" s="55" t="str">
        <f aca="false">IF(AND('Choix pédagogiques'!$C$4&lt;&gt;"?",'Choix pédagogiques'!$C$5&lt;&gt;"?",AB376&lt;&gt;""),(AB376-'Choix pédagogiques'!$C$4)/('Choix pédagogiques'!$C$5-'Choix pédagogiques'!$C$4),"")</f>
        <v/>
      </c>
      <c r="AX376" s="55" t="str">
        <f aca="false">IF(AND('Choix pédagogiques'!$C$4&lt;&gt;"?",'Choix pédagogiques'!$C$5&lt;&gt;"?",AC376&lt;&gt;""),(AC376-'Choix pédagogiques'!$C$4)/('Choix pédagogiques'!$C$5-'Choix pédagogiques'!$C$4),"")</f>
        <v/>
      </c>
      <c r="AY376" s="55" t="str">
        <f aca="false">IF(AND('Choix pédagogiques'!$C$4&lt;&gt;"?",'Choix pédagogiques'!$C$5&lt;&gt;"?",AD376&lt;&gt;""),(AD376-'Choix pédagogiques'!$C$4)/('Choix pédagogiques'!$C$5-'Choix pédagogiques'!$C$4),"")</f>
        <v/>
      </c>
      <c r="AZ376" s="53" t="str">
        <f aca="false">IF($J376&lt;&gt;"",$J376,"")</f>
        <v/>
      </c>
      <c r="BA376" s="52" t="str">
        <f aca="false">IF($A376&lt;&gt;"",$A376,"")</f>
        <v>Apprenant 364</v>
      </c>
      <c r="BB376" s="55" t="str">
        <f aca="false">IF(AND($AR376&lt;&gt;"",$AS376&lt;&gt;""),$AS376-$AR376,"")</f>
        <v/>
      </c>
      <c r="BC376" s="55" t="str">
        <f aca="false">IF(AND($AR376&lt;&gt;"",$AT376&lt;&gt;""),$AT376-$AR376,"")</f>
        <v/>
      </c>
      <c r="BD376" s="55" t="str">
        <f aca="false">IF(AND($AS376&lt;&gt;"",$AT376&lt;&gt;""),$AT376-$AS376,"")</f>
        <v/>
      </c>
      <c r="BE376" s="53" t="str">
        <f aca="false">IF($E376&lt;&gt;"",$E376,"")</f>
        <v/>
      </c>
      <c r="BF376" s="52" t="str">
        <f aca="false">IF($F376&lt;&gt;"",$F376,"")</f>
        <v>Apprenant 364 ou 364'</v>
      </c>
      <c r="BG376" s="55" t="str">
        <f aca="false">IF(AND($AW376&lt;&gt;"",$AX376&lt;&gt;""),$AX376-$AW376,"")</f>
        <v/>
      </c>
      <c r="BH376" s="55" t="str">
        <f aca="false">IF(AND($AW376&lt;&gt;"",$AY376&lt;&gt;""),$AY376-$AW376,"")</f>
        <v/>
      </c>
      <c r="BI376" s="55" t="str">
        <f aca="false">IF(AND($AX376&lt;&gt;"",$AY376&lt;&gt;""),$AY376-$AX376,"")</f>
        <v/>
      </c>
      <c r="BJ376" s="53" t="str">
        <f aca="false">IF($J376&lt;&gt;"",$J376,"")</f>
        <v/>
      </c>
      <c r="BL376" s="52"/>
      <c r="BM376" s="52" t="str">
        <f aca="false">IF(OR(COUNT(B376:D1375)=0,AND('Choix pédagogiques'!$C$3&lt;&gt;1,'Choix pédagogiques'!$C$3&lt;&gt;2)),"",IF(AND(OR('Choix pédagogiques'!$C$3=1,'Choix pédagogiques'!$C$3=2),$B376&lt;&gt;"",$C376&lt;&gt;"",$D376&lt;&gt;""),1,0))</f>
        <v/>
      </c>
      <c r="BN376" s="52" t="str">
        <f aca="false">IF(OR(COUNT(G376:I1375)=0,AND('Choix pédagogiques'!$C$3&lt;&gt;1,'Choix pédagogiques'!$C$3&lt;&gt;2)),"",IF(AND(OR('Choix pédagogiques'!$C$3=1,'Choix pédagogiques'!$C$3=2),AND($G376&lt;&gt;"",$H376&lt;&gt;"",$I376&lt;&gt;"")),1,0))</f>
        <v/>
      </c>
      <c r="BO376" s="52" t="str">
        <f aca="false">IF(OR(COUNT(B376:D1375)=0,COUNT(G376:I1375)=0,'Choix pédagogiques'!C$3&lt;&gt;3),"",IF(AND('Choix pédagogiques'!$C$3=3,$B376&lt;&gt;"",$C376&lt;&gt;"",$D376&lt;&gt;"",$G376&lt;&gt;"",$H376&lt;&gt;"",$I376&lt;&gt;""),1,0))</f>
        <v/>
      </c>
      <c r="BR376" s="52" t="n">
        <v>55</v>
      </c>
      <c r="BS376" s="52" t="n">
        <v>1734</v>
      </c>
    </row>
    <row r="377" s="54" customFormat="true" ht="18" hidden="false" customHeight="true" outlineLevel="0" collapsed="false">
      <c r="A377" s="57" t="s">
        <v>685</v>
      </c>
      <c r="B377" s="51"/>
      <c r="C377" s="51"/>
      <c r="D377" s="51"/>
      <c r="E377" s="51"/>
      <c r="F377" s="57" t="s">
        <v>686</v>
      </c>
      <c r="G377" s="51"/>
      <c r="H377" s="51"/>
      <c r="I377" s="51"/>
      <c r="J377" s="51"/>
      <c r="K377" s="52" t="str">
        <f aca="false">IF($A377&lt;&gt;"",$A377,"")</f>
        <v>Apprenant 365</v>
      </c>
      <c r="L377" s="53" t="str">
        <f aca="false">IF(AND($B377&lt;&gt;"",$C377&lt;&gt;""),$C377-$B377,"")</f>
        <v/>
      </c>
      <c r="M377" s="53" t="str">
        <f aca="false">IF(AND($B377&lt;&gt;"",$D377&lt;&gt;""),$D377-$B377,"")</f>
        <v/>
      </c>
      <c r="N377" s="53" t="str">
        <f aca="false">IF(AND($C377&lt;&gt;"",$D377&lt;&gt;""),$D377-$C377,"")</f>
        <v/>
      </c>
      <c r="O377" s="53" t="str">
        <f aca="false">IF($E377&lt;&gt;"",$E377,"")</f>
        <v/>
      </c>
      <c r="P377" s="52" t="str">
        <f aca="false">IF($F377&lt;&gt;"",$F377,"")</f>
        <v>Apprenant 365 ou 365'</v>
      </c>
      <c r="Q377" s="53" t="str">
        <f aca="false">IF(AND($G377&lt;&gt;"",$H377&lt;&gt;""),$H377-$G377,"")</f>
        <v/>
      </c>
      <c r="R377" s="53" t="str">
        <f aca="false">IF(AND($G377&lt;&gt;"",$I377&lt;&gt;""),$I377-$G377,"")</f>
        <v/>
      </c>
      <c r="S377" s="53" t="str">
        <f aca="false">IF(AND($H377&lt;&gt;"",$I377&lt;&gt;""),$I377-$H377,"")</f>
        <v/>
      </c>
      <c r="T377" s="53" t="str">
        <f aca="false">IF($J377&lt;&gt;"",$J377,"")</f>
        <v/>
      </c>
      <c r="V377" s="52" t="str">
        <f aca="false">IF($A377&lt;&gt;"",$A377,"")</f>
        <v>Apprenant 365</v>
      </c>
      <c r="W377" s="53" t="str">
        <f aca="false">IF(AND(OR('Choix pédagogiques'!$C$3=1,'Choix pédagogiques'!$C$3=2),$BM377=1),B377,IF(AND('Choix pédagogiques'!$C$3=3,$BO377=1),B377,""))</f>
        <v/>
      </c>
      <c r="X377" s="53" t="str">
        <f aca="false">IF(AND(OR('Choix pédagogiques'!$C$3=1,'Choix pédagogiques'!$C$3=2),$BM377=1),C377,IF(AND('Choix pédagogiques'!$C$3=3,$BO377=1),C377,""))</f>
        <v/>
      </c>
      <c r="Y377" s="53" t="str">
        <f aca="false">IF(AND(OR('Choix pédagogiques'!$C$3=1,'Choix pédagogiques'!$C$3=2),$BM377=1),D377,IF(AND('Choix pédagogiques'!$C$3=3,$BO377=1),D377,""))</f>
        <v/>
      </c>
      <c r="Z377" s="53" t="str">
        <f aca="false">IF($E377&lt;&gt;"",$E377,"")</f>
        <v/>
      </c>
      <c r="AA377" s="52" t="str">
        <f aca="false">IF($F377&lt;&gt;"",$F377,"")</f>
        <v>Apprenant 365 ou 365'</v>
      </c>
      <c r="AB377" s="53" t="str">
        <f aca="false">IF(AND(OR('Choix pédagogiques'!$C$3=1,'Choix pédagogiques'!$C$3=2),$BN377=1),G377,IF(AND('Choix pédagogiques'!$C$3=3,$BO377=1),G377,""))</f>
        <v/>
      </c>
      <c r="AC377" s="53" t="str">
        <f aca="false">IF(AND(OR('Choix pédagogiques'!$C$3=1,'Choix pédagogiques'!$C$3=2),$BN377=1),H377,IF(AND('Choix pédagogiques'!$C$3=3,$BO377=1),H377,""))</f>
        <v/>
      </c>
      <c r="AD377" s="53" t="str">
        <f aca="false">IF(AND(OR('Choix pédagogiques'!$C$3=1,'Choix pédagogiques'!$C$3=2),$BN377=1),I377,IF(AND('Choix pédagogiques'!$C$3=3,$BO377=1),I377,""))</f>
        <v/>
      </c>
      <c r="AE377" s="53" t="str">
        <f aca="false">IF($J377&lt;&gt;"",$J377,"")</f>
        <v/>
      </c>
      <c r="AF377" s="52" t="str">
        <f aca="false">IF($A377&lt;&gt;"",$A377,"")</f>
        <v>Apprenant 365</v>
      </c>
      <c r="AG377" s="53" t="str">
        <f aca="false">IF(AND($W377&lt;&gt;"",$X377&lt;&gt;""),$X377-$W377,"")</f>
        <v/>
      </c>
      <c r="AH377" s="53" t="str">
        <f aca="false">IF(AND($W377&lt;&gt;"",$Y377&lt;&gt;""),$Y377-$W377,"")</f>
        <v/>
      </c>
      <c r="AI377" s="53" t="str">
        <f aca="false">IF(AND($X377&lt;&gt;"",$Y377&lt;&gt;""),$Y377-$X377,"")</f>
        <v/>
      </c>
      <c r="AJ377" s="53" t="str">
        <f aca="false">IF($E377&lt;&gt;"",$E377,"")</f>
        <v/>
      </c>
      <c r="AK377" s="52" t="str">
        <f aca="false">IF($F377&lt;&gt;"",$F377,"")</f>
        <v>Apprenant 365 ou 365'</v>
      </c>
      <c r="AL377" s="53" t="str">
        <f aca="false">IF(AND($AB377&lt;&gt;"",$AC377&lt;&gt;""),$AC377-$AB377,"")</f>
        <v/>
      </c>
      <c r="AM377" s="53" t="str">
        <f aca="false">IF(AND($AB377&lt;&gt;"",$AD377&lt;&gt;""),$AD377-$AB377,"")</f>
        <v/>
      </c>
      <c r="AN377" s="53" t="str">
        <f aca="false">IF(AND($AC377&lt;&gt;"",$AD377&lt;&gt;""),$AD377-$AC377,"")</f>
        <v/>
      </c>
      <c r="AO377" s="53" t="str">
        <f aca="false">IF($J377&lt;&gt;"",$J377,"")</f>
        <v/>
      </c>
      <c r="AQ377" s="52" t="str">
        <f aca="false">IF($A377&lt;&gt;"",$A377,"")</f>
        <v>Apprenant 365</v>
      </c>
      <c r="AR377" s="55" t="str">
        <f aca="false">IF(AND('Choix pédagogiques'!$C$4&lt;&gt;"?",'Choix pédagogiques'!$C$5&lt;&gt;"?",W377&lt;&gt;""),(W377-'Choix pédagogiques'!$C$4)/('Choix pédagogiques'!$C$5-'Choix pédagogiques'!$C$4),"")</f>
        <v/>
      </c>
      <c r="AS377" s="55" t="str">
        <f aca="false">IF(AND('Choix pédagogiques'!$C$4&lt;&gt;"?",'Choix pédagogiques'!$C$5&lt;&gt;"?",X377&lt;&gt;""),(X377-'Choix pédagogiques'!$C$4)/('Choix pédagogiques'!$C$5-'Choix pédagogiques'!$C$4),"")</f>
        <v/>
      </c>
      <c r="AT377" s="55" t="str">
        <f aca="false">IF(AND('Choix pédagogiques'!$C$4&lt;&gt;"?",'Choix pédagogiques'!$C$5&lt;&gt;"?",Y377&lt;&gt;""),(Y377-'Choix pédagogiques'!$C$4)/('Choix pédagogiques'!$C$5-'Choix pédagogiques'!$C$4),"")</f>
        <v/>
      </c>
      <c r="AU377" s="53" t="str">
        <f aca="false">IF($E377&lt;&gt;"",$E377,"")</f>
        <v/>
      </c>
      <c r="AV377" s="52" t="str">
        <f aca="false">IF($F377&lt;&gt;"",$F377,"")</f>
        <v>Apprenant 365 ou 365'</v>
      </c>
      <c r="AW377" s="55" t="str">
        <f aca="false">IF(AND('Choix pédagogiques'!$C$4&lt;&gt;"?",'Choix pédagogiques'!$C$5&lt;&gt;"?",AB377&lt;&gt;""),(AB377-'Choix pédagogiques'!$C$4)/('Choix pédagogiques'!$C$5-'Choix pédagogiques'!$C$4),"")</f>
        <v/>
      </c>
      <c r="AX377" s="55" t="str">
        <f aca="false">IF(AND('Choix pédagogiques'!$C$4&lt;&gt;"?",'Choix pédagogiques'!$C$5&lt;&gt;"?",AC377&lt;&gt;""),(AC377-'Choix pédagogiques'!$C$4)/('Choix pédagogiques'!$C$5-'Choix pédagogiques'!$C$4),"")</f>
        <v/>
      </c>
      <c r="AY377" s="55" t="str">
        <f aca="false">IF(AND('Choix pédagogiques'!$C$4&lt;&gt;"?",'Choix pédagogiques'!$C$5&lt;&gt;"?",AD377&lt;&gt;""),(AD377-'Choix pédagogiques'!$C$4)/('Choix pédagogiques'!$C$5-'Choix pédagogiques'!$C$4),"")</f>
        <v/>
      </c>
      <c r="AZ377" s="53" t="str">
        <f aca="false">IF($J377&lt;&gt;"",$J377,"")</f>
        <v/>
      </c>
      <c r="BA377" s="52" t="str">
        <f aca="false">IF($A377&lt;&gt;"",$A377,"")</f>
        <v>Apprenant 365</v>
      </c>
      <c r="BB377" s="55" t="str">
        <f aca="false">IF(AND($AR377&lt;&gt;"",$AS377&lt;&gt;""),$AS377-$AR377,"")</f>
        <v/>
      </c>
      <c r="BC377" s="55" t="str">
        <f aca="false">IF(AND($AR377&lt;&gt;"",$AT377&lt;&gt;""),$AT377-$AR377,"")</f>
        <v/>
      </c>
      <c r="BD377" s="55" t="str">
        <f aca="false">IF(AND($AS377&lt;&gt;"",$AT377&lt;&gt;""),$AT377-$AS377,"")</f>
        <v/>
      </c>
      <c r="BE377" s="53" t="str">
        <f aca="false">IF($E377&lt;&gt;"",$E377,"")</f>
        <v/>
      </c>
      <c r="BF377" s="52" t="str">
        <f aca="false">IF($F377&lt;&gt;"",$F377,"")</f>
        <v>Apprenant 365 ou 365'</v>
      </c>
      <c r="BG377" s="55" t="str">
        <f aca="false">IF(AND($AW377&lt;&gt;"",$AX377&lt;&gt;""),$AX377-$AW377,"")</f>
        <v/>
      </c>
      <c r="BH377" s="55" t="str">
        <f aca="false">IF(AND($AW377&lt;&gt;"",$AY377&lt;&gt;""),$AY377-$AW377,"")</f>
        <v/>
      </c>
      <c r="BI377" s="55" t="str">
        <f aca="false">IF(AND($AX377&lt;&gt;"",$AY377&lt;&gt;""),$AY377-$AX377,"")</f>
        <v/>
      </c>
      <c r="BJ377" s="53" t="str">
        <f aca="false">IF($J377&lt;&gt;"",$J377,"")</f>
        <v/>
      </c>
      <c r="BL377" s="52"/>
      <c r="BM377" s="52" t="str">
        <f aca="false">IF(OR(COUNT(B377:D1376)=0,AND('Choix pédagogiques'!$C$3&lt;&gt;1,'Choix pédagogiques'!$C$3&lt;&gt;2)),"",IF(AND(OR('Choix pédagogiques'!$C$3=1,'Choix pédagogiques'!$C$3=2),$B377&lt;&gt;"",$C377&lt;&gt;"",$D377&lt;&gt;""),1,0))</f>
        <v/>
      </c>
      <c r="BN377" s="52" t="str">
        <f aca="false">IF(OR(COUNT(G377:I1376)=0,AND('Choix pédagogiques'!$C$3&lt;&gt;1,'Choix pédagogiques'!$C$3&lt;&gt;2)),"",IF(AND(OR('Choix pédagogiques'!$C$3=1,'Choix pédagogiques'!$C$3=2),AND($G377&lt;&gt;"",$H377&lt;&gt;"",$I377&lt;&gt;"")),1,0))</f>
        <v/>
      </c>
      <c r="BO377" s="52" t="str">
        <f aca="false">IF(OR(COUNT(B377:D1376)=0,COUNT(G377:I1376)=0,'Choix pédagogiques'!C$3&lt;&gt;3),"",IF(AND('Choix pédagogiques'!$C$3=3,$B377&lt;&gt;"",$C377&lt;&gt;"",$D377&lt;&gt;"",$G377&lt;&gt;"",$H377&lt;&gt;"",$I377&lt;&gt;""),1,0))</f>
        <v/>
      </c>
      <c r="BR377" s="52" t="n">
        <v>688</v>
      </c>
      <c r="BS377" s="52" t="n">
        <v>1493</v>
      </c>
    </row>
    <row r="378" s="54" customFormat="true" ht="18" hidden="false" customHeight="true" outlineLevel="0" collapsed="false">
      <c r="A378" s="57" t="s">
        <v>687</v>
      </c>
      <c r="B378" s="51"/>
      <c r="C378" s="51"/>
      <c r="D378" s="51"/>
      <c r="E378" s="51"/>
      <c r="F378" s="57" t="s">
        <v>688</v>
      </c>
      <c r="G378" s="51"/>
      <c r="H378" s="51"/>
      <c r="I378" s="51"/>
      <c r="J378" s="51"/>
      <c r="K378" s="52" t="str">
        <f aca="false">IF($A378&lt;&gt;"",$A378,"")</f>
        <v>Apprenant 366</v>
      </c>
      <c r="L378" s="53" t="str">
        <f aca="false">IF(AND($B378&lt;&gt;"",$C378&lt;&gt;""),$C378-$B378,"")</f>
        <v/>
      </c>
      <c r="M378" s="53" t="str">
        <f aca="false">IF(AND($B378&lt;&gt;"",$D378&lt;&gt;""),$D378-$B378,"")</f>
        <v/>
      </c>
      <c r="N378" s="53" t="str">
        <f aca="false">IF(AND($C378&lt;&gt;"",$D378&lt;&gt;""),$D378-$C378,"")</f>
        <v/>
      </c>
      <c r="O378" s="53" t="str">
        <f aca="false">IF($E378&lt;&gt;"",$E378,"")</f>
        <v/>
      </c>
      <c r="P378" s="52" t="str">
        <f aca="false">IF($F378&lt;&gt;"",$F378,"")</f>
        <v>Apprenant 366 ou 366'</v>
      </c>
      <c r="Q378" s="53" t="str">
        <f aca="false">IF(AND($G378&lt;&gt;"",$H378&lt;&gt;""),$H378-$G378,"")</f>
        <v/>
      </c>
      <c r="R378" s="53" t="str">
        <f aca="false">IF(AND($G378&lt;&gt;"",$I378&lt;&gt;""),$I378-$G378,"")</f>
        <v/>
      </c>
      <c r="S378" s="53" t="str">
        <f aca="false">IF(AND($H378&lt;&gt;"",$I378&lt;&gt;""),$I378-$H378,"")</f>
        <v/>
      </c>
      <c r="T378" s="53" t="str">
        <f aca="false">IF($J378&lt;&gt;"",$J378,"")</f>
        <v/>
      </c>
      <c r="V378" s="52" t="str">
        <f aca="false">IF($A378&lt;&gt;"",$A378,"")</f>
        <v>Apprenant 366</v>
      </c>
      <c r="W378" s="53" t="str">
        <f aca="false">IF(AND(OR('Choix pédagogiques'!$C$3=1,'Choix pédagogiques'!$C$3=2),$BM378=1),B378,IF(AND('Choix pédagogiques'!$C$3=3,$BO378=1),B378,""))</f>
        <v/>
      </c>
      <c r="X378" s="53" t="str">
        <f aca="false">IF(AND(OR('Choix pédagogiques'!$C$3=1,'Choix pédagogiques'!$C$3=2),$BM378=1),C378,IF(AND('Choix pédagogiques'!$C$3=3,$BO378=1),C378,""))</f>
        <v/>
      </c>
      <c r="Y378" s="53" t="str">
        <f aca="false">IF(AND(OR('Choix pédagogiques'!$C$3=1,'Choix pédagogiques'!$C$3=2),$BM378=1),D378,IF(AND('Choix pédagogiques'!$C$3=3,$BO378=1),D378,""))</f>
        <v/>
      </c>
      <c r="Z378" s="53" t="str">
        <f aca="false">IF($E378&lt;&gt;"",$E378,"")</f>
        <v/>
      </c>
      <c r="AA378" s="52" t="str">
        <f aca="false">IF($F378&lt;&gt;"",$F378,"")</f>
        <v>Apprenant 366 ou 366'</v>
      </c>
      <c r="AB378" s="53" t="str">
        <f aca="false">IF(AND(OR('Choix pédagogiques'!$C$3=1,'Choix pédagogiques'!$C$3=2),$BN378=1),G378,IF(AND('Choix pédagogiques'!$C$3=3,$BO378=1),G378,""))</f>
        <v/>
      </c>
      <c r="AC378" s="53" t="str">
        <f aca="false">IF(AND(OR('Choix pédagogiques'!$C$3=1,'Choix pédagogiques'!$C$3=2),$BN378=1),H378,IF(AND('Choix pédagogiques'!$C$3=3,$BO378=1),H378,""))</f>
        <v/>
      </c>
      <c r="AD378" s="53" t="str">
        <f aca="false">IF(AND(OR('Choix pédagogiques'!$C$3=1,'Choix pédagogiques'!$C$3=2),$BN378=1),I378,IF(AND('Choix pédagogiques'!$C$3=3,$BO378=1),I378,""))</f>
        <v/>
      </c>
      <c r="AE378" s="53" t="str">
        <f aca="false">IF($J378&lt;&gt;"",$J378,"")</f>
        <v/>
      </c>
      <c r="AF378" s="52" t="str">
        <f aca="false">IF($A378&lt;&gt;"",$A378,"")</f>
        <v>Apprenant 366</v>
      </c>
      <c r="AG378" s="53" t="str">
        <f aca="false">IF(AND($W378&lt;&gt;"",$X378&lt;&gt;""),$X378-$W378,"")</f>
        <v/>
      </c>
      <c r="AH378" s="53" t="str">
        <f aca="false">IF(AND($W378&lt;&gt;"",$Y378&lt;&gt;""),$Y378-$W378,"")</f>
        <v/>
      </c>
      <c r="AI378" s="53" t="str">
        <f aca="false">IF(AND($X378&lt;&gt;"",$Y378&lt;&gt;""),$Y378-$X378,"")</f>
        <v/>
      </c>
      <c r="AJ378" s="53" t="str">
        <f aca="false">IF($E378&lt;&gt;"",$E378,"")</f>
        <v/>
      </c>
      <c r="AK378" s="52" t="str">
        <f aca="false">IF($F378&lt;&gt;"",$F378,"")</f>
        <v>Apprenant 366 ou 366'</v>
      </c>
      <c r="AL378" s="53" t="str">
        <f aca="false">IF(AND($AB378&lt;&gt;"",$AC378&lt;&gt;""),$AC378-$AB378,"")</f>
        <v/>
      </c>
      <c r="AM378" s="53" t="str">
        <f aca="false">IF(AND($AB378&lt;&gt;"",$AD378&lt;&gt;""),$AD378-$AB378,"")</f>
        <v/>
      </c>
      <c r="AN378" s="53" t="str">
        <f aca="false">IF(AND($AC378&lt;&gt;"",$AD378&lt;&gt;""),$AD378-$AC378,"")</f>
        <v/>
      </c>
      <c r="AO378" s="53" t="str">
        <f aca="false">IF($J378&lt;&gt;"",$J378,"")</f>
        <v/>
      </c>
      <c r="AQ378" s="52" t="str">
        <f aca="false">IF($A378&lt;&gt;"",$A378,"")</f>
        <v>Apprenant 366</v>
      </c>
      <c r="AR378" s="55" t="str">
        <f aca="false">IF(AND('Choix pédagogiques'!$C$4&lt;&gt;"?",'Choix pédagogiques'!$C$5&lt;&gt;"?",W378&lt;&gt;""),(W378-'Choix pédagogiques'!$C$4)/('Choix pédagogiques'!$C$5-'Choix pédagogiques'!$C$4),"")</f>
        <v/>
      </c>
      <c r="AS378" s="55" t="str">
        <f aca="false">IF(AND('Choix pédagogiques'!$C$4&lt;&gt;"?",'Choix pédagogiques'!$C$5&lt;&gt;"?",X378&lt;&gt;""),(X378-'Choix pédagogiques'!$C$4)/('Choix pédagogiques'!$C$5-'Choix pédagogiques'!$C$4),"")</f>
        <v/>
      </c>
      <c r="AT378" s="55" t="str">
        <f aca="false">IF(AND('Choix pédagogiques'!$C$4&lt;&gt;"?",'Choix pédagogiques'!$C$5&lt;&gt;"?",Y378&lt;&gt;""),(Y378-'Choix pédagogiques'!$C$4)/('Choix pédagogiques'!$C$5-'Choix pédagogiques'!$C$4),"")</f>
        <v/>
      </c>
      <c r="AU378" s="53" t="str">
        <f aca="false">IF($E378&lt;&gt;"",$E378,"")</f>
        <v/>
      </c>
      <c r="AV378" s="52" t="str">
        <f aca="false">IF($F378&lt;&gt;"",$F378,"")</f>
        <v>Apprenant 366 ou 366'</v>
      </c>
      <c r="AW378" s="55" t="str">
        <f aca="false">IF(AND('Choix pédagogiques'!$C$4&lt;&gt;"?",'Choix pédagogiques'!$C$5&lt;&gt;"?",AB378&lt;&gt;""),(AB378-'Choix pédagogiques'!$C$4)/('Choix pédagogiques'!$C$5-'Choix pédagogiques'!$C$4),"")</f>
        <v/>
      </c>
      <c r="AX378" s="55" t="str">
        <f aca="false">IF(AND('Choix pédagogiques'!$C$4&lt;&gt;"?",'Choix pédagogiques'!$C$5&lt;&gt;"?",AC378&lt;&gt;""),(AC378-'Choix pédagogiques'!$C$4)/('Choix pédagogiques'!$C$5-'Choix pédagogiques'!$C$4),"")</f>
        <v/>
      </c>
      <c r="AY378" s="55" t="str">
        <f aca="false">IF(AND('Choix pédagogiques'!$C$4&lt;&gt;"?",'Choix pédagogiques'!$C$5&lt;&gt;"?",AD378&lt;&gt;""),(AD378-'Choix pédagogiques'!$C$4)/('Choix pédagogiques'!$C$5-'Choix pédagogiques'!$C$4),"")</f>
        <v/>
      </c>
      <c r="AZ378" s="53" t="str">
        <f aca="false">IF($J378&lt;&gt;"",$J378,"")</f>
        <v/>
      </c>
      <c r="BA378" s="52" t="str">
        <f aca="false">IF($A378&lt;&gt;"",$A378,"")</f>
        <v>Apprenant 366</v>
      </c>
      <c r="BB378" s="55" t="str">
        <f aca="false">IF(AND($AR378&lt;&gt;"",$AS378&lt;&gt;""),$AS378-$AR378,"")</f>
        <v/>
      </c>
      <c r="BC378" s="55" t="str">
        <f aca="false">IF(AND($AR378&lt;&gt;"",$AT378&lt;&gt;""),$AT378-$AR378,"")</f>
        <v/>
      </c>
      <c r="BD378" s="55" t="str">
        <f aca="false">IF(AND($AS378&lt;&gt;"",$AT378&lt;&gt;""),$AT378-$AS378,"")</f>
        <v/>
      </c>
      <c r="BE378" s="53" t="str">
        <f aca="false">IF($E378&lt;&gt;"",$E378,"")</f>
        <v/>
      </c>
      <c r="BF378" s="52" t="str">
        <f aca="false">IF($F378&lt;&gt;"",$F378,"")</f>
        <v>Apprenant 366 ou 366'</v>
      </c>
      <c r="BG378" s="55" t="str">
        <f aca="false">IF(AND($AW378&lt;&gt;"",$AX378&lt;&gt;""),$AX378-$AW378,"")</f>
        <v/>
      </c>
      <c r="BH378" s="55" t="str">
        <f aca="false">IF(AND($AW378&lt;&gt;"",$AY378&lt;&gt;""),$AY378-$AW378,"")</f>
        <v/>
      </c>
      <c r="BI378" s="55" t="str">
        <f aca="false">IF(AND($AX378&lt;&gt;"",$AY378&lt;&gt;""),$AY378-$AX378,"")</f>
        <v/>
      </c>
      <c r="BJ378" s="53" t="str">
        <f aca="false">IF($J378&lt;&gt;"",$J378,"")</f>
        <v/>
      </c>
      <c r="BL378" s="52"/>
      <c r="BM378" s="52" t="str">
        <f aca="false">IF(OR(COUNT(B378:D1377)=0,AND('Choix pédagogiques'!$C$3&lt;&gt;1,'Choix pédagogiques'!$C$3&lt;&gt;2)),"",IF(AND(OR('Choix pédagogiques'!$C$3=1,'Choix pédagogiques'!$C$3=2),$B378&lt;&gt;"",$C378&lt;&gt;"",$D378&lt;&gt;""),1,0))</f>
        <v/>
      </c>
      <c r="BN378" s="52" t="str">
        <f aca="false">IF(OR(COUNT(G378:I1377)=0,AND('Choix pédagogiques'!$C$3&lt;&gt;1,'Choix pédagogiques'!$C$3&lt;&gt;2)),"",IF(AND(OR('Choix pédagogiques'!$C$3=1,'Choix pédagogiques'!$C$3=2),AND($G378&lt;&gt;"",$H378&lt;&gt;"",$I378&lt;&gt;"")),1,0))</f>
        <v/>
      </c>
      <c r="BO378" s="52" t="str">
        <f aca="false">IF(OR(COUNT(B378:D1377)=0,COUNT(G378:I1377)=0,'Choix pédagogiques'!C$3&lt;&gt;3),"",IF(AND('Choix pédagogiques'!$C$3=3,$B378&lt;&gt;"",$C378&lt;&gt;"",$D378&lt;&gt;"",$G378&lt;&gt;"",$H378&lt;&gt;"",$I378&lt;&gt;""),1,0))</f>
        <v/>
      </c>
      <c r="BR378" s="52" t="n">
        <v>967</v>
      </c>
      <c r="BS378" s="52" t="n">
        <v>1143</v>
      </c>
    </row>
    <row r="379" s="54" customFormat="true" ht="18" hidden="false" customHeight="true" outlineLevel="0" collapsed="false">
      <c r="A379" s="57" t="s">
        <v>689</v>
      </c>
      <c r="B379" s="51"/>
      <c r="C379" s="51"/>
      <c r="D379" s="51"/>
      <c r="E379" s="51"/>
      <c r="F379" s="57" t="s">
        <v>690</v>
      </c>
      <c r="G379" s="51"/>
      <c r="H379" s="51"/>
      <c r="I379" s="51"/>
      <c r="J379" s="51"/>
      <c r="K379" s="52" t="str">
        <f aca="false">IF($A379&lt;&gt;"",$A379,"")</f>
        <v>Apprenant 367</v>
      </c>
      <c r="L379" s="53" t="str">
        <f aca="false">IF(AND($B379&lt;&gt;"",$C379&lt;&gt;""),$C379-$B379,"")</f>
        <v/>
      </c>
      <c r="M379" s="53" t="str">
        <f aca="false">IF(AND($B379&lt;&gt;"",$D379&lt;&gt;""),$D379-$B379,"")</f>
        <v/>
      </c>
      <c r="N379" s="53" t="str">
        <f aca="false">IF(AND($C379&lt;&gt;"",$D379&lt;&gt;""),$D379-$C379,"")</f>
        <v/>
      </c>
      <c r="O379" s="53" t="str">
        <f aca="false">IF($E379&lt;&gt;"",$E379,"")</f>
        <v/>
      </c>
      <c r="P379" s="52" t="str">
        <f aca="false">IF($F379&lt;&gt;"",$F379,"")</f>
        <v>Apprenant 367 ou 367'</v>
      </c>
      <c r="Q379" s="53" t="str">
        <f aca="false">IF(AND($G379&lt;&gt;"",$H379&lt;&gt;""),$H379-$G379,"")</f>
        <v/>
      </c>
      <c r="R379" s="53" t="str">
        <f aca="false">IF(AND($G379&lt;&gt;"",$I379&lt;&gt;""),$I379-$G379,"")</f>
        <v/>
      </c>
      <c r="S379" s="53" t="str">
        <f aca="false">IF(AND($H379&lt;&gt;"",$I379&lt;&gt;""),$I379-$H379,"")</f>
        <v/>
      </c>
      <c r="T379" s="53" t="str">
        <f aca="false">IF($J379&lt;&gt;"",$J379,"")</f>
        <v/>
      </c>
      <c r="V379" s="52" t="str">
        <f aca="false">IF($A379&lt;&gt;"",$A379,"")</f>
        <v>Apprenant 367</v>
      </c>
      <c r="W379" s="53" t="str">
        <f aca="false">IF(AND(OR('Choix pédagogiques'!$C$3=1,'Choix pédagogiques'!$C$3=2),$BM379=1),B379,IF(AND('Choix pédagogiques'!$C$3=3,$BO379=1),B379,""))</f>
        <v/>
      </c>
      <c r="X379" s="53" t="str">
        <f aca="false">IF(AND(OR('Choix pédagogiques'!$C$3=1,'Choix pédagogiques'!$C$3=2),$BM379=1),C379,IF(AND('Choix pédagogiques'!$C$3=3,$BO379=1),C379,""))</f>
        <v/>
      </c>
      <c r="Y379" s="53" t="str">
        <f aca="false">IF(AND(OR('Choix pédagogiques'!$C$3=1,'Choix pédagogiques'!$C$3=2),$BM379=1),D379,IF(AND('Choix pédagogiques'!$C$3=3,$BO379=1),D379,""))</f>
        <v/>
      </c>
      <c r="Z379" s="53" t="str">
        <f aca="false">IF($E379&lt;&gt;"",$E379,"")</f>
        <v/>
      </c>
      <c r="AA379" s="52" t="str">
        <f aca="false">IF($F379&lt;&gt;"",$F379,"")</f>
        <v>Apprenant 367 ou 367'</v>
      </c>
      <c r="AB379" s="53" t="str">
        <f aca="false">IF(AND(OR('Choix pédagogiques'!$C$3=1,'Choix pédagogiques'!$C$3=2),$BN379=1),G379,IF(AND('Choix pédagogiques'!$C$3=3,$BO379=1),G379,""))</f>
        <v/>
      </c>
      <c r="AC379" s="53" t="str">
        <f aca="false">IF(AND(OR('Choix pédagogiques'!$C$3=1,'Choix pédagogiques'!$C$3=2),$BN379=1),H379,IF(AND('Choix pédagogiques'!$C$3=3,$BO379=1),H379,""))</f>
        <v/>
      </c>
      <c r="AD379" s="53" t="str">
        <f aca="false">IF(AND(OR('Choix pédagogiques'!$C$3=1,'Choix pédagogiques'!$C$3=2),$BN379=1),I379,IF(AND('Choix pédagogiques'!$C$3=3,$BO379=1),I379,""))</f>
        <v/>
      </c>
      <c r="AE379" s="53" t="str">
        <f aca="false">IF($J379&lt;&gt;"",$J379,"")</f>
        <v/>
      </c>
      <c r="AF379" s="52" t="str">
        <f aca="false">IF($A379&lt;&gt;"",$A379,"")</f>
        <v>Apprenant 367</v>
      </c>
      <c r="AG379" s="53" t="str">
        <f aca="false">IF(AND($W379&lt;&gt;"",$X379&lt;&gt;""),$X379-$W379,"")</f>
        <v/>
      </c>
      <c r="AH379" s="53" t="str">
        <f aca="false">IF(AND($W379&lt;&gt;"",$Y379&lt;&gt;""),$Y379-$W379,"")</f>
        <v/>
      </c>
      <c r="AI379" s="53" t="str">
        <f aca="false">IF(AND($X379&lt;&gt;"",$Y379&lt;&gt;""),$Y379-$X379,"")</f>
        <v/>
      </c>
      <c r="AJ379" s="53" t="str">
        <f aca="false">IF($E379&lt;&gt;"",$E379,"")</f>
        <v/>
      </c>
      <c r="AK379" s="52" t="str">
        <f aca="false">IF($F379&lt;&gt;"",$F379,"")</f>
        <v>Apprenant 367 ou 367'</v>
      </c>
      <c r="AL379" s="53" t="str">
        <f aca="false">IF(AND($AB379&lt;&gt;"",$AC379&lt;&gt;""),$AC379-$AB379,"")</f>
        <v/>
      </c>
      <c r="AM379" s="53" t="str">
        <f aca="false">IF(AND($AB379&lt;&gt;"",$AD379&lt;&gt;""),$AD379-$AB379,"")</f>
        <v/>
      </c>
      <c r="AN379" s="53" t="str">
        <f aca="false">IF(AND($AC379&lt;&gt;"",$AD379&lt;&gt;""),$AD379-$AC379,"")</f>
        <v/>
      </c>
      <c r="AO379" s="53" t="str">
        <f aca="false">IF($J379&lt;&gt;"",$J379,"")</f>
        <v/>
      </c>
      <c r="AQ379" s="52" t="str">
        <f aca="false">IF($A379&lt;&gt;"",$A379,"")</f>
        <v>Apprenant 367</v>
      </c>
      <c r="AR379" s="55" t="str">
        <f aca="false">IF(AND('Choix pédagogiques'!$C$4&lt;&gt;"?",'Choix pédagogiques'!$C$5&lt;&gt;"?",W379&lt;&gt;""),(W379-'Choix pédagogiques'!$C$4)/('Choix pédagogiques'!$C$5-'Choix pédagogiques'!$C$4),"")</f>
        <v/>
      </c>
      <c r="AS379" s="55" t="str">
        <f aca="false">IF(AND('Choix pédagogiques'!$C$4&lt;&gt;"?",'Choix pédagogiques'!$C$5&lt;&gt;"?",X379&lt;&gt;""),(X379-'Choix pédagogiques'!$C$4)/('Choix pédagogiques'!$C$5-'Choix pédagogiques'!$C$4),"")</f>
        <v/>
      </c>
      <c r="AT379" s="55" t="str">
        <f aca="false">IF(AND('Choix pédagogiques'!$C$4&lt;&gt;"?",'Choix pédagogiques'!$C$5&lt;&gt;"?",Y379&lt;&gt;""),(Y379-'Choix pédagogiques'!$C$4)/('Choix pédagogiques'!$C$5-'Choix pédagogiques'!$C$4),"")</f>
        <v/>
      </c>
      <c r="AU379" s="53" t="str">
        <f aca="false">IF($E379&lt;&gt;"",$E379,"")</f>
        <v/>
      </c>
      <c r="AV379" s="52" t="str">
        <f aca="false">IF($F379&lt;&gt;"",$F379,"")</f>
        <v>Apprenant 367 ou 367'</v>
      </c>
      <c r="AW379" s="55" t="str">
        <f aca="false">IF(AND('Choix pédagogiques'!$C$4&lt;&gt;"?",'Choix pédagogiques'!$C$5&lt;&gt;"?",AB379&lt;&gt;""),(AB379-'Choix pédagogiques'!$C$4)/('Choix pédagogiques'!$C$5-'Choix pédagogiques'!$C$4),"")</f>
        <v/>
      </c>
      <c r="AX379" s="55" t="str">
        <f aca="false">IF(AND('Choix pédagogiques'!$C$4&lt;&gt;"?",'Choix pédagogiques'!$C$5&lt;&gt;"?",AC379&lt;&gt;""),(AC379-'Choix pédagogiques'!$C$4)/('Choix pédagogiques'!$C$5-'Choix pédagogiques'!$C$4),"")</f>
        <v/>
      </c>
      <c r="AY379" s="55" t="str">
        <f aca="false">IF(AND('Choix pédagogiques'!$C$4&lt;&gt;"?",'Choix pédagogiques'!$C$5&lt;&gt;"?",AD379&lt;&gt;""),(AD379-'Choix pédagogiques'!$C$4)/('Choix pédagogiques'!$C$5-'Choix pédagogiques'!$C$4),"")</f>
        <v/>
      </c>
      <c r="AZ379" s="53" t="str">
        <f aca="false">IF($J379&lt;&gt;"",$J379,"")</f>
        <v/>
      </c>
      <c r="BA379" s="52" t="str">
        <f aca="false">IF($A379&lt;&gt;"",$A379,"")</f>
        <v>Apprenant 367</v>
      </c>
      <c r="BB379" s="55" t="str">
        <f aca="false">IF(AND($AR379&lt;&gt;"",$AS379&lt;&gt;""),$AS379-$AR379,"")</f>
        <v/>
      </c>
      <c r="BC379" s="55" t="str">
        <f aca="false">IF(AND($AR379&lt;&gt;"",$AT379&lt;&gt;""),$AT379-$AR379,"")</f>
        <v/>
      </c>
      <c r="BD379" s="55" t="str">
        <f aca="false">IF(AND($AS379&lt;&gt;"",$AT379&lt;&gt;""),$AT379-$AS379,"")</f>
        <v/>
      </c>
      <c r="BE379" s="53" t="str">
        <f aca="false">IF($E379&lt;&gt;"",$E379,"")</f>
        <v/>
      </c>
      <c r="BF379" s="52" t="str">
        <f aca="false">IF($F379&lt;&gt;"",$F379,"")</f>
        <v>Apprenant 367 ou 367'</v>
      </c>
      <c r="BG379" s="55" t="str">
        <f aca="false">IF(AND($AW379&lt;&gt;"",$AX379&lt;&gt;""),$AX379-$AW379,"")</f>
        <v/>
      </c>
      <c r="BH379" s="55" t="str">
        <f aca="false">IF(AND($AW379&lt;&gt;"",$AY379&lt;&gt;""),$AY379-$AW379,"")</f>
        <v/>
      </c>
      <c r="BI379" s="55" t="str">
        <f aca="false">IF(AND($AX379&lt;&gt;"",$AY379&lt;&gt;""),$AY379-$AX379,"")</f>
        <v/>
      </c>
      <c r="BJ379" s="53" t="str">
        <f aca="false">IF($J379&lt;&gt;"",$J379,"")</f>
        <v/>
      </c>
      <c r="BL379" s="52"/>
      <c r="BM379" s="52" t="str">
        <f aca="false">IF(OR(COUNT(B379:D1378)=0,AND('Choix pédagogiques'!$C$3&lt;&gt;1,'Choix pédagogiques'!$C$3&lt;&gt;2)),"",IF(AND(OR('Choix pédagogiques'!$C$3=1,'Choix pédagogiques'!$C$3=2),$B379&lt;&gt;"",$C379&lt;&gt;"",$D379&lt;&gt;""),1,0))</f>
        <v/>
      </c>
      <c r="BN379" s="52" t="str">
        <f aca="false">IF(OR(COUNT(G379:I1378)=0,AND('Choix pédagogiques'!$C$3&lt;&gt;1,'Choix pédagogiques'!$C$3&lt;&gt;2)),"",IF(AND(OR('Choix pédagogiques'!$C$3=1,'Choix pédagogiques'!$C$3=2),AND($G379&lt;&gt;"",$H379&lt;&gt;"",$I379&lt;&gt;"")),1,0))</f>
        <v/>
      </c>
      <c r="BO379" s="52" t="str">
        <f aca="false">IF(OR(COUNT(B379:D1378)=0,COUNT(G379:I1378)=0,'Choix pédagogiques'!C$3&lt;&gt;3),"",IF(AND('Choix pédagogiques'!$C$3=3,$B379&lt;&gt;"",$C379&lt;&gt;"",$D379&lt;&gt;"",$G379&lt;&gt;"",$H379&lt;&gt;"",$I379&lt;&gt;""),1,0))</f>
        <v/>
      </c>
      <c r="BR379" s="52" t="n">
        <v>691</v>
      </c>
      <c r="BS379" s="52" t="n">
        <v>1113</v>
      </c>
    </row>
    <row r="380" s="54" customFormat="true" ht="18" hidden="false" customHeight="true" outlineLevel="0" collapsed="false">
      <c r="A380" s="57" t="s">
        <v>691</v>
      </c>
      <c r="B380" s="51"/>
      <c r="C380" s="51"/>
      <c r="D380" s="51"/>
      <c r="E380" s="51"/>
      <c r="F380" s="57" t="s">
        <v>692</v>
      </c>
      <c r="G380" s="51"/>
      <c r="H380" s="51"/>
      <c r="I380" s="51"/>
      <c r="J380" s="51"/>
      <c r="K380" s="52" t="str">
        <f aca="false">IF($A380&lt;&gt;"",$A380,"")</f>
        <v>Apprenant 368</v>
      </c>
      <c r="L380" s="53" t="str">
        <f aca="false">IF(AND($B380&lt;&gt;"",$C380&lt;&gt;""),$C380-$B380,"")</f>
        <v/>
      </c>
      <c r="M380" s="53" t="str">
        <f aca="false">IF(AND($B380&lt;&gt;"",$D380&lt;&gt;""),$D380-$B380,"")</f>
        <v/>
      </c>
      <c r="N380" s="53" t="str">
        <f aca="false">IF(AND($C380&lt;&gt;"",$D380&lt;&gt;""),$D380-$C380,"")</f>
        <v/>
      </c>
      <c r="O380" s="53" t="str">
        <f aca="false">IF($E380&lt;&gt;"",$E380,"")</f>
        <v/>
      </c>
      <c r="P380" s="52" t="str">
        <f aca="false">IF($F380&lt;&gt;"",$F380,"")</f>
        <v>Apprenant 368 ou 368'</v>
      </c>
      <c r="Q380" s="53" t="str">
        <f aca="false">IF(AND($G380&lt;&gt;"",$H380&lt;&gt;""),$H380-$G380,"")</f>
        <v/>
      </c>
      <c r="R380" s="53" t="str">
        <f aca="false">IF(AND($G380&lt;&gt;"",$I380&lt;&gt;""),$I380-$G380,"")</f>
        <v/>
      </c>
      <c r="S380" s="53" t="str">
        <f aca="false">IF(AND($H380&lt;&gt;"",$I380&lt;&gt;""),$I380-$H380,"")</f>
        <v/>
      </c>
      <c r="T380" s="53" t="str">
        <f aca="false">IF($J380&lt;&gt;"",$J380,"")</f>
        <v/>
      </c>
      <c r="V380" s="52" t="str">
        <f aca="false">IF($A380&lt;&gt;"",$A380,"")</f>
        <v>Apprenant 368</v>
      </c>
      <c r="W380" s="53" t="str">
        <f aca="false">IF(AND(OR('Choix pédagogiques'!$C$3=1,'Choix pédagogiques'!$C$3=2),$BM380=1),B380,IF(AND('Choix pédagogiques'!$C$3=3,$BO380=1),B380,""))</f>
        <v/>
      </c>
      <c r="X380" s="53" t="str">
        <f aca="false">IF(AND(OR('Choix pédagogiques'!$C$3=1,'Choix pédagogiques'!$C$3=2),$BM380=1),C380,IF(AND('Choix pédagogiques'!$C$3=3,$BO380=1),C380,""))</f>
        <v/>
      </c>
      <c r="Y380" s="53" t="str">
        <f aca="false">IF(AND(OR('Choix pédagogiques'!$C$3=1,'Choix pédagogiques'!$C$3=2),$BM380=1),D380,IF(AND('Choix pédagogiques'!$C$3=3,$BO380=1),D380,""))</f>
        <v/>
      </c>
      <c r="Z380" s="53" t="str">
        <f aca="false">IF($E380&lt;&gt;"",$E380,"")</f>
        <v/>
      </c>
      <c r="AA380" s="52" t="str">
        <f aca="false">IF($F380&lt;&gt;"",$F380,"")</f>
        <v>Apprenant 368 ou 368'</v>
      </c>
      <c r="AB380" s="53" t="str">
        <f aca="false">IF(AND(OR('Choix pédagogiques'!$C$3=1,'Choix pédagogiques'!$C$3=2),$BN380=1),G380,IF(AND('Choix pédagogiques'!$C$3=3,$BO380=1),G380,""))</f>
        <v/>
      </c>
      <c r="AC380" s="53" t="str">
        <f aca="false">IF(AND(OR('Choix pédagogiques'!$C$3=1,'Choix pédagogiques'!$C$3=2),$BN380=1),H380,IF(AND('Choix pédagogiques'!$C$3=3,$BO380=1),H380,""))</f>
        <v/>
      </c>
      <c r="AD380" s="53" t="str">
        <f aca="false">IF(AND(OR('Choix pédagogiques'!$C$3=1,'Choix pédagogiques'!$C$3=2),$BN380=1),I380,IF(AND('Choix pédagogiques'!$C$3=3,$BO380=1),I380,""))</f>
        <v/>
      </c>
      <c r="AE380" s="53" t="str">
        <f aca="false">IF($J380&lt;&gt;"",$J380,"")</f>
        <v/>
      </c>
      <c r="AF380" s="52" t="str">
        <f aca="false">IF($A380&lt;&gt;"",$A380,"")</f>
        <v>Apprenant 368</v>
      </c>
      <c r="AG380" s="53" t="str">
        <f aca="false">IF(AND($W380&lt;&gt;"",$X380&lt;&gt;""),$X380-$W380,"")</f>
        <v/>
      </c>
      <c r="AH380" s="53" t="str">
        <f aca="false">IF(AND($W380&lt;&gt;"",$Y380&lt;&gt;""),$Y380-$W380,"")</f>
        <v/>
      </c>
      <c r="AI380" s="53" t="str">
        <f aca="false">IF(AND($X380&lt;&gt;"",$Y380&lt;&gt;""),$Y380-$X380,"")</f>
        <v/>
      </c>
      <c r="AJ380" s="53" t="str">
        <f aca="false">IF($E380&lt;&gt;"",$E380,"")</f>
        <v/>
      </c>
      <c r="AK380" s="52" t="str">
        <f aca="false">IF($F380&lt;&gt;"",$F380,"")</f>
        <v>Apprenant 368 ou 368'</v>
      </c>
      <c r="AL380" s="53" t="str">
        <f aca="false">IF(AND($AB380&lt;&gt;"",$AC380&lt;&gt;""),$AC380-$AB380,"")</f>
        <v/>
      </c>
      <c r="AM380" s="53" t="str">
        <f aca="false">IF(AND($AB380&lt;&gt;"",$AD380&lt;&gt;""),$AD380-$AB380,"")</f>
        <v/>
      </c>
      <c r="AN380" s="53" t="str">
        <f aca="false">IF(AND($AC380&lt;&gt;"",$AD380&lt;&gt;""),$AD380-$AC380,"")</f>
        <v/>
      </c>
      <c r="AO380" s="53" t="str">
        <f aca="false">IF($J380&lt;&gt;"",$J380,"")</f>
        <v/>
      </c>
      <c r="AQ380" s="52" t="str">
        <f aca="false">IF($A380&lt;&gt;"",$A380,"")</f>
        <v>Apprenant 368</v>
      </c>
      <c r="AR380" s="55" t="str">
        <f aca="false">IF(AND('Choix pédagogiques'!$C$4&lt;&gt;"?",'Choix pédagogiques'!$C$5&lt;&gt;"?",W380&lt;&gt;""),(W380-'Choix pédagogiques'!$C$4)/('Choix pédagogiques'!$C$5-'Choix pédagogiques'!$C$4),"")</f>
        <v/>
      </c>
      <c r="AS380" s="55" t="str">
        <f aca="false">IF(AND('Choix pédagogiques'!$C$4&lt;&gt;"?",'Choix pédagogiques'!$C$5&lt;&gt;"?",X380&lt;&gt;""),(X380-'Choix pédagogiques'!$C$4)/('Choix pédagogiques'!$C$5-'Choix pédagogiques'!$C$4),"")</f>
        <v/>
      </c>
      <c r="AT380" s="55" t="str">
        <f aca="false">IF(AND('Choix pédagogiques'!$C$4&lt;&gt;"?",'Choix pédagogiques'!$C$5&lt;&gt;"?",Y380&lt;&gt;""),(Y380-'Choix pédagogiques'!$C$4)/('Choix pédagogiques'!$C$5-'Choix pédagogiques'!$C$4),"")</f>
        <v/>
      </c>
      <c r="AU380" s="53" t="str">
        <f aca="false">IF($E380&lt;&gt;"",$E380,"")</f>
        <v/>
      </c>
      <c r="AV380" s="52" t="str">
        <f aca="false">IF($F380&lt;&gt;"",$F380,"")</f>
        <v>Apprenant 368 ou 368'</v>
      </c>
      <c r="AW380" s="55" t="str">
        <f aca="false">IF(AND('Choix pédagogiques'!$C$4&lt;&gt;"?",'Choix pédagogiques'!$C$5&lt;&gt;"?",AB380&lt;&gt;""),(AB380-'Choix pédagogiques'!$C$4)/('Choix pédagogiques'!$C$5-'Choix pédagogiques'!$C$4),"")</f>
        <v/>
      </c>
      <c r="AX380" s="55" t="str">
        <f aca="false">IF(AND('Choix pédagogiques'!$C$4&lt;&gt;"?",'Choix pédagogiques'!$C$5&lt;&gt;"?",AC380&lt;&gt;""),(AC380-'Choix pédagogiques'!$C$4)/('Choix pédagogiques'!$C$5-'Choix pédagogiques'!$C$4),"")</f>
        <v/>
      </c>
      <c r="AY380" s="55" t="str">
        <f aca="false">IF(AND('Choix pédagogiques'!$C$4&lt;&gt;"?",'Choix pédagogiques'!$C$5&lt;&gt;"?",AD380&lt;&gt;""),(AD380-'Choix pédagogiques'!$C$4)/('Choix pédagogiques'!$C$5-'Choix pédagogiques'!$C$4),"")</f>
        <v/>
      </c>
      <c r="AZ380" s="53" t="str">
        <f aca="false">IF($J380&lt;&gt;"",$J380,"")</f>
        <v/>
      </c>
      <c r="BA380" s="52" t="str">
        <f aca="false">IF($A380&lt;&gt;"",$A380,"")</f>
        <v>Apprenant 368</v>
      </c>
      <c r="BB380" s="55" t="str">
        <f aca="false">IF(AND($AR380&lt;&gt;"",$AS380&lt;&gt;""),$AS380-$AR380,"")</f>
        <v/>
      </c>
      <c r="BC380" s="55" t="str">
        <f aca="false">IF(AND($AR380&lt;&gt;"",$AT380&lt;&gt;""),$AT380-$AR380,"")</f>
        <v/>
      </c>
      <c r="BD380" s="55" t="str">
        <f aca="false">IF(AND($AS380&lt;&gt;"",$AT380&lt;&gt;""),$AT380-$AS380,"")</f>
        <v/>
      </c>
      <c r="BE380" s="53" t="str">
        <f aca="false">IF($E380&lt;&gt;"",$E380,"")</f>
        <v/>
      </c>
      <c r="BF380" s="52" t="str">
        <f aca="false">IF($F380&lt;&gt;"",$F380,"")</f>
        <v>Apprenant 368 ou 368'</v>
      </c>
      <c r="BG380" s="55" t="str">
        <f aca="false">IF(AND($AW380&lt;&gt;"",$AX380&lt;&gt;""),$AX380-$AW380,"")</f>
        <v/>
      </c>
      <c r="BH380" s="55" t="str">
        <f aca="false">IF(AND($AW380&lt;&gt;"",$AY380&lt;&gt;""),$AY380-$AW380,"")</f>
        <v/>
      </c>
      <c r="BI380" s="55" t="str">
        <f aca="false">IF(AND($AX380&lt;&gt;"",$AY380&lt;&gt;""),$AY380-$AX380,"")</f>
        <v/>
      </c>
      <c r="BJ380" s="53" t="str">
        <f aca="false">IF($J380&lt;&gt;"",$J380,"")</f>
        <v/>
      </c>
      <c r="BL380" s="52"/>
      <c r="BM380" s="52" t="str">
        <f aca="false">IF(OR(COUNT(B380:D1379)=0,AND('Choix pédagogiques'!$C$3&lt;&gt;1,'Choix pédagogiques'!$C$3&lt;&gt;2)),"",IF(AND(OR('Choix pédagogiques'!$C$3=1,'Choix pédagogiques'!$C$3=2),$B380&lt;&gt;"",$C380&lt;&gt;"",$D380&lt;&gt;""),1,0))</f>
        <v/>
      </c>
      <c r="BN380" s="52" t="str">
        <f aca="false">IF(OR(COUNT(G380:I1379)=0,AND('Choix pédagogiques'!$C$3&lt;&gt;1,'Choix pédagogiques'!$C$3&lt;&gt;2)),"",IF(AND(OR('Choix pédagogiques'!$C$3=1,'Choix pédagogiques'!$C$3=2),AND($G380&lt;&gt;"",$H380&lt;&gt;"",$I380&lt;&gt;"")),1,0))</f>
        <v/>
      </c>
      <c r="BO380" s="52" t="str">
        <f aca="false">IF(OR(COUNT(B380:D1379)=0,COUNT(G380:I1379)=0,'Choix pédagogiques'!C$3&lt;&gt;3),"",IF(AND('Choix pédagogiques'!$C$3=3,$B380&lt;&gt;"",$C380&lt;&gt;"",$D380&lt;&gt;"",$G380&lt;&gt;"",$H380&lt;&gt;"",$I380&lt;&gt;""),1,0))</f>
        <v/>
      </c>
      <c r="BR380" s="52" t="n">
        <v>351</v>
      </c>
      <c r="BS380" s="52" t="n">
        <v>1896</v>
      </c>
    </row>
    <row r="381" s="54" customFormat="true" ht="18" hidden="false" customHeight="true" outlineLevel="0" collapsed="false">
      <c r="A381" s="57" t="s">
        <v>693</v>
      </c>
      <c r="B381" s="51"/>
      <c r="C381" s="51"/>
      <c r="D381" s="51"/>
      <c r="E381" s="51"/>
      <c r="F381" s="57" t="s">
        <v>694</v>
      </c>
      <c r="G381" s="51"/>
      <c r="H381" s="51"/>
      <c r="I381" s="51"/>
      <c r="J381" s="51"/>
      <c r="K381" s="52" t="str">
        <f aca="false">IF($A381&lt;&gt;"",$A381,"")</f>
        <v>Apprenant 369</v>
      </c>
      <c r="L381" s="53" t="str">
        <f aca="false">IF(AND($B381&lt;&gt;"",$C381&lt;&gt;""),$C381-$B381,"")</f>
        <v/>
      </c>
      <c r="M381" s="53" t="str">
        <f aca="false">IF(AND($B381&lt;&gt;"",$D381&lt;&gt;""),$D381-$B381,"")</f>
        <v/>
      </c>
      <c r="N381" s="53" t="str">
        <f aca="false">IF(AND($C381&lt;&gt;"",$D381&lt;&gt;""),$D381-$C381,"")</f>
        <v/>
      </c>
      <c r="O381" s="53" t="str">
        <f aca="false">IF($E381&lt;&gt;"",$E381,"")</f>
        <v/>
      </c>
      <c r="P381" s="52" t="str">
        <f aca="false">IF($F381&lt;&gt;"",$F381,"")</f>
        <v>Apprenant 369 ou 369'</v>
      </c>
      <c r="Q381" s="53" t="str">
        <f aca="false">IF(AND($G381&lt;&gt;"",$H381&lt;&gt;""),$H381-$G381,"")</f>
        <v/>
      </c>
      <c r="R381" s="53" t="str">
        <f aca="false">IF(AND($G381&lt;&gt;"",$I381&lt;&gt;""),$I381-$G381,"")</f>
        <v/>
      </c>
      <c r="S381" s="53" t="str">
        <f aca="false">IF(AND($H381&lt;&gt;"",$I381&lt;&gt;""),$I381-$H381,"")</f>
        <v/>
      </c>
      <c r="T381" s="53" t="str">
        <f aca="false">IF($J381&lt;&gt;"",$J381,"")</f>
        <v/>
      </c>
      <c r="V381" s="52" t="str">
        <f aca="false">IF($A381&lt;&gt;"",$A381,"")</f>
        <v>Apprenant 369</v>
      </c>
      <c r="W381" s="53" t="str">
        <f aca="false">IF(AND(OR('Choix pédagogiques'!$C$3=1,'Choix pédagogiques'!$C$3=2),$BM381=1),B381,IF(AND('Choix pédagogiques'!$C$3=3,$BO381=1),B381,""))</f>
        <v/>
      </c>
      <c r="X381" s="53" t="str">
        <f aca="false">IF(AND(OR('Choix pédagogiques'!$C$3=1,'Choix pédagogiques'!$C$3=2),$BM381=1),C381,IF(AND('Choix pédagogiques'!$C$3=3,$BO381=1),C381,""))</f>
        <v/>
      </c>
      <c r="Y381" s="53" t="str">
        <f aca="false">IF(AND(OR('Choix pédagogiques'!$C$3=1,'Choix pédagogiques'!$C$3=2),$BM381=1),D381,IF(AND('Choix pédagogiques'!$C$3=3,$BO381=1),D381,""))</f>
        <v/>
      </c>
      <c r="Z381" s="53" t="str">
        <f aca="false">IF($E381&lt;&gt;"",$E381,"")</f>
        <v/>
      </c>
      <c r="AA381" s="52" t="str">
        <f aca="false">IF($F381&lt;&gt;"",$F381,"")</f>
        <v>Apprenant 369 ou 369'</v>
      </c>
      <c r="AB381" s="53" t="str">
        <f aca="false">IF(AND(OR('Choix pédagogiques'!$C$3=1,'Choix pédagogiques'!$C$3=2),$BN381=1),G381,IF(AND('Choix pédagogiques'!$C$3=3,$BO381=1),G381,""))</f>
        <v/>
      </c>
      <c r="AC381" s="53" t="str">
        <f aca="false">IF(AND(OR('Choix pédagogiques'!$C$3=1,'Choix pédagogiques'!$C$3=2),$BN381=1),H381,IF(AND('Choix pédagogiques'!$C$3=3,$BO381=1),H381,""))</f>
        <v/>
      </c>
      <c r="AD381" s="53" t="str">
        <f aca="false">IF(AND(OR('Choix pédagogiques'!$C$3=1,'Choix pédagogiques'!$C$3=2),$BN381=1),I381,IF(AND('Choix pédagogiques'!$C$3=3,$BO381=1),I381,""))</f>
        <v/>
      </c>
      <c r="AE381" s="53" t="str">
        <f aca="false">IF($J381&lt;&gt;"",$J381,"")</f>
        <v/>
      </c>
      <c r="AF381" s="52" t="str">
        <f aca="false">IF($A381&lt;&gt;"",$A381,"")</f>
        <v>Apprenant 369</v>
      </c>
      <c r="AG381" s="53" t="str">
        <f aca="false">IF(AND($W381&lt;&gt;"",$X381&lt;&gt;""),$X381-$W381,"")</f>
        <v/>
      </c>
      <c r="AH381" s="53" t="str">
        <f aca="false">IF(AND($W381&lt;&gt;"",$Y381&lt;&gt;""),$Y381-$W381,"")</f>
        <v/>
      </c>
      <c r="AI381" s="53" t="str">
        <f aca="false">IF(AND($X381&lt;&gt;"",$Y381&lt;&gt;""),$Y381-$X381,"")</f>
        <v/>
      </c>
      <c r="AJ381" s="53" t="str">
        <f aca="false">IF($E381&lt;&gt;"",$E381,"")</f>
        <v/>
      </c>
      <c r="AK381" s="52" t="str">
        <f aca="false">IF($F381&lt;&gt;"",$F381,"")</f>
        <v>Apprenant 369 ou 369'</v>
      </c>
      <c r="AL381" s="53" t="str">
        <f aca="false">IF(AND($AB381&lt;&gt;"",$AC381&lt;&gt;""),$AC381-$AB381,"")</f>
        <v/>
      </c>
      <c r="AM381" s="53" t="str">
        <f aca="false">IF(AND($AB381&lt;&gt;"",$AD381&lt;&gt;""),$AD381-$AB381,"")</f>
        <v/>
      </c>
      <c r="AN381" s="53" t="str">
        <f aca="false">IF(AND($AC381&lt;&gt;"",$AD381&lt;&gt;""),$AD381-$AC381,"")</f>
        <v/>
      </c>
      <c r="AO381" s="53" t="str">
        <f aca="false">IF($J381&lt;&gt;"",$J381,"")</f>
        <v/>
      </c>
      <c r="AQ381" s="52" t="str">
        <f aca="false">IF($A381&lt;&gt;"",$A381,"")</f>
        <v>Apprenant 369</v>
      </c>
      <c r="AR381" s="55" t="str">
        <f aca="false">IF(AND('Choix pédagogiques'!$C$4&lt;&gt;"?",'Choix pédagogiques'!$C$5&lt;&gt;"?",W381&lt;&gt;""),(W381-'Choix pédagogiques'!$C$4)/('Choix pédagogiques'!$C$5-'Choix pédagogiques'!$C$4),"")</f>
        <v/>
      </c>
      <c r="AS381" s="55" t="str">
        <f aca="false">IF(AND('Choix pédagogiques'!$C$4&lt;&gt;"?",'Choix pédagogiques'!$C$5&lt;&gt;"?",X381&lt;&gt;""),(X381-'Choix pédagogiques'!$C$4)/('Choix pédagogiques'!$C$5-'Choix pédagogiques'!$C$4),"")</f>
        <v/>
      </c>
      <c r="AT381" s="55" t="str">
        <f aca="false">IF(AND('Choix pédagogiques'!$C$4&lt;&gt;"?",'Choix pédagogiques'!$C$5&lt;&gt;"?",Y381&lt;&gt;""),(Y381-'Choix pédagogiques'!$C$4)/('Choix pédagogiques'!$C$5-'Choix pédagogiques'!$C$4),"")</f>
        <v/>
      </c>
      <c r="AU381" s="53" t="str">
        <f aca="false">IF($E381&lt;&gt;"",$E381,"")</f>
        <v/>
      </c>
      <c r="AV381" s="52" t="str">
        <f aca="false">IF($F381&lt;&gt;"",$F381,"")</f>
        <v>Apprenant 369 ou 369'</v>
      </c>
      <c r="AW381" s="55" t="str">
        <f aca="false">IF(AND('Choix pédagogiques'!$C$4&lt;&gt;"?",'Choix pédagogiques'!$C$5&lt;&gt;"?",AB381&lt;&gt;""),(AB381-'Choix pédagogiques'!$C$4)/('Choix pédagogiques'!$C$5-'Choix pédagogiques'!$C$4),"")</f>
        <v/>
      </c>
      <c r="AX381" s="55" t="str">
        <f aca="false">IF(AND('Choix pédagogiques'!$C$4&lt;&gt;"?",'Choix pédagogiques'!$C$5&lt;&gt;"?",AC381&lt;&gt;""),(AC381-'Choix pédagogiques'!$C$4)/('Choix pédagogiques'!$C$5-'Choix pédagogiques'!$C$4),"")</f>
        <v/>
      </c>
      <c r="AY381" s="55" t="str">
        <f aca="false">IF(AND('Choix pédagogiques'!$C$4&lt;&gt;"?",'Choix pédagogiques'!$C$5&lt;&gt;"?",AD381&lt;&gt;""),(AD381-'Choix pédagogiques'!$C$4)/('Choix pédagogiques'!$C$5-'Choix pédagogiques'!$C$4),"")</f>
        <v/>
      </c>
      <c r="AZ381" s="53" t="str">
        <f aca="false">IF($J381&lt;&gt;"",$J381,"")</f>
        <v/>
      </c>
      <c r="BA381" s="52" t="str">
        <f aca="false">IF($A381&lt;&gt;"",$A381,"")</f>
        <v>Apprenant 369</v>
      </c>
      <c r="BB381" s="55" t="str">
        <f aca="false">IF(AND($AR381&lt;&gt;"",$AS381&lt;&gt;""),$AS381-$AR381,"")</f>
        <v/>
      </c>
      <c r="BC381" s="55" t="str">
        <f aca="false">IF(AND($AR381&lt;&gt;"",$AT381&lt;&gt;""),$AT381-$AR381,"")</f>
        <v/>
      </c>
      <c r="BD381" s="55" t="str">
        <f aca="false">IF(AND($AS381&lt;&gt;"",$AT381&lt;&gt;""),$AT381-$AS381,"")</f>
        <v/>
      </c>
      <c r="BE381" s="53" t="str">
        <f aca="false">IF($E381&lt;&gt;"",$E381,"")</f>
        <v/>
      </c>
      <c r="BF381" s="52" t="str">
        <f aca="false">IF($F381&lt;&gt;"",$F381,"")</f>
        <v>Apprenant 369 ou 369'</v>
      </c>
      <c r="BG381" s="55" t="str">
        <f aca="false">IF(AND($AW381&lt;&gt;"",$AX381&lt;&gt;""),$AX381-$AW381,"")</f>
        <v/>
      </c>
      <c r="BH381" s="55" t="str">
        <f aca="false">IF(AND($AW381&lt;&gt;"",$AY381&lt;&gt;""),$AY381-$AW381,"")</f>
        <v/>
      </c>
      <c r="BI381" s="55" t="str">
        <f aca="false">IF(AND($AX381&lt;&gt;"",$AY381&lt;&gt;""),$AY381-$AX381,"")</f>
        <v/>
      </c>
      <c r="BJ381" s="53" t="str">
        <f aca="false">IF($J381&lt;&gt;"",$J381,"")</f>
        <v/>
      </c>
      <c r="BL381" s="52"/>
      <c r="BM381" s="52" t="str">
        <f aca="false">IF(OR(COUNT(B381:D1380)=0,AND('Choix pédagogiques'!$C$3&lt;&gt;1,'Choix pédagogiques'!$C$3&lt;&gt;2)),"",IF(AND(OR('Choix pédagogiques'!$C$3=1,'Choix pédagogiques'!$C$3=2),$B381&lt;&gt;"",$C381&lt;&gt;"",$D381&lt;&gt;""),1,0))</f>
        <v/>
      </c>
      <c r="BN381" s="52" t="str">
        <f aca="false">IF(OR(COUNT(G381:I1380)=0,AND('Choix pédagogiques'!$C$3&lt;&gt;1,'Choix pédagogiques'!$C$3&lt;&gt;2)),"",IF(AND(OR('Choix pédagogiques'!$C$3=1,'Choix pédagogiques'!$C$3=2),AND($G381&lt;&gt;"",$H381&lt;&gt;"",$I381&lt;&gt;"")),1,0))</f>
        <v/>
      </c>
      <c r="BO381" s="52" t="str">
        <f aca="false">IF(OR(COUNT(B381:D1380)=0,COUNT(G381:I1380)=0,'Choix pédagogiques'!C$3&lt;&gt;3),"",IF(AND('Choix pédagogiques'!$C$3=3,$B381&lt;&gt;"",$C381&lt;&gt;"",$D381&lt;&gt;"",$G381&lt;&gt;"",$H381&lt;&gt;"",$I381&lt;&gt;""),1,0))</f>
        <v/>
      </c>
      <c r="BR381" s="52" t="n">
        <v>579</v>
      </c>
      <c r="BS381" s="52" t="n">
        <v>1852</v>
      </c>
    </row>
    <row r="382" s="54" customFormat="true" ht="18" hidden="false" customHeight="true" outlineLevel="0" collapsed="false">
      <c r="A382" s="57" t="s">
        <v>695</v>
      </c>
      <c r="B382" s="51"/>
      <c r="C382" s="51"/>
      <c r="D382" s="51"/>
      <c r="E382" s="51"/>
      <c r="F382" s="57" t="s">
        <v>696</v>
      </c>
      <c r="G382" s="51"/>
      <c r="H382" s="51"/>
      <c r="I382" s="51"/>
      <c r="J382" s="51"/>
      <c r="K382" s="52" t="str">
        <f aca="false">IF($A382&lt;&gt;"",$A382,"")</f>
        <v>Apprenant 370</v>
      </c>
      <c r="L382" s="53" t="str">
        <f aca="false">IF(AND($B382&lt;&gt;"",$C382&lt;&gt;""),$C382-$B382,"")</f>
        <v/>
      </c>
      <c r="M382" s="53" t="str">
        <f aca="false">IF(AND($B382&lt;&gt;"",$D382&lt;&gt;""),$D382-$B382,"")</f>
        <v/>
      </c>
      <c r="N382" s="53" t="str">
        <f aca="false">IF(AND($C382&lt;&gt;"",$D382&lt;&gt;""),$D382-$C382,"")</f>
        <v/>
      </c>
      <c r="O382" s="53" t="str">
        <f aca="false">IF($E382&lt;&gt;"",$E382,"")</f>
        <v/>
      </c>
      <c r="P382" s="52" t="str">
        <f aca="false">IF($F382&lt;&gt;"",$F382,"")</f>
        <v>Apprenant 370 ou 370'</v>
      </c>
      <c r="Q382" s="53" t="str">
        <f aca="false">IF(AND($G382&lt;&gt;"",$H382&lt;&gt;""),$H382-$G382,"")</f>
        <v/>
      </c>
      <c r="R382" s="53" t="str">
        <f aca="false">IF(AND($G382&lt;&gt;"",$I382&lt;&gt;""),$I382-$G382,"")</f>
        <v/>
      </c>
      <c r="S382" s="53" t="str">
        <f aca="false">IF(AND($H382&lt;&gt;"",$I382&lt;&gt;""),$I382-$H382,"")</f>
        <v/>
      </c>
      <c r="T382" s="53" t="str">
        <f aca="false">IF($J382&lt;&gt;"",$J382,"")</f>
        <v/>
      </c>
      <c r="V382" s="52" t="str">
        <f aca="false">IF($A382&lt;&gt;"",$A382,"")</f>
        <v>Apprenant 370</v>
      </c>
      <c r="W382" s="53" t="str">
        <f aca="false">IF(AND(OR('Choix pédagogiques'!$C$3=1,'Choix pédagogiques'!$C$3=2),$BM382=1),B382,IF(AND('Choix pédagogiques'!$C$3=3,$BO382=1),B382,""))</f>
        <v/>
      </c>
      <c r="X382" s="53" t="str">
        <f aca="false">IF(AND(OR('Choix pédagogiques'!$C$3=1,'Choix pédagogiques'!$C$3=2),$BM382=1),C382,IF(AND('Choix pédagogiques'!$C$3=3,$BO382=1),C382,""))</f>
        <v/>
      </c>
      <c r="Y382" s="53" t="str">
        <f aca="false">IF(AND(OR('Choix pédagogiques'!$C$3=1,'Choix pédagogiques'!$C$3=2),$BM382=1),D382,IF(AND('Choix pédagogiques'!$C$3=3,$BO382=1),D382,""))</f>
        <v/>
      </c>
      <c r="Z382" s="53" t="str">
        <f aca="false">IF($E382&lt;&gt;"",$E382,"")</f>
        <v/>
      </c>
      <c r="AA382" s="52" t="str">
        <f aca="false">IF($F382&lt;&gt;"",$F382,"")</f>
        <v>Apprenant 370 ou 370'</v>
      </c>
      <c r="AB382" s="53" t="str">
        <f aca="false">IF(AND(OR('Choix pédagogiques'!$C$3=1,'Choix pédagogiques'!$C$3=2),$BN382=1),G382,IF(AND('Choix pédagogiques'!$C$3=3,$BO382=1),G382,""))</f>
        <v/>
      </c>
      <c r="AC382" s="53" t="str">
        <f aca="false">IF(AND(OR('Choix pédagogiques'!$C$3=1,'Choix pédagogiques'!$C$3=2),$BN382=1),H382,IF(AND('Choix pédagogiques'!$C$3=3,$BO382=1),H382,""))</f>
        <v/>
      </c>
      <c r="AD382" s="53" t="str">
        <f aca="false">IF(AND(OR('Choix pédagogiques'!$C$3=1,'Choix pédagogiques'!$C$3=2),$BN382=1),I382,IF(AND('Choix pédagogiques'!$C$3=3,$BO382=1),I382,""))</f>
        <v/>
      </c>
      <c r="AE382" s="53" t="str">
        <f aca="false">IF($J382&lt;&gt;"",$J382,"")</f>
        <v/>
      </c>
      <c r="AF382" s="52" t="str">
        <f aca="false">IF($A382&lt;&gt;"",$A382,"")</f>
        <v>Apprenant 370</v>
      </c>
      <c r="AG382" s="53" t="str">
        <f aca="false">IF(AND($W382&lt;&gt;"",$X382&lt;&gt;""),$X382-$W382,"")</f>
        <v/>
      </c>
      <c r="AH382" s="53" t="str">
        <f aca="false">IF(AND($W382&lt;&gt;"",$Y382&lt;&gt;""),$Y382-$W382,"")</f>
        <v/>
      </c>
      <c r="AI382" s="53" t="str">
        <f aca="false">IF(AND($X382&lt;&gt;"",$Y382&lt;&gt;""),$Y382-$X382,"")</f>
        <v/>
      </c>
      <c r="AJ382" s="53" t="str">
        <f aca="false">IF($E382&lt;&gt;"",$E382,"")</f>
        <v/>
      </c>
      <c r="AK382" s="52" t="str">
        <f aca="false">IF($F382&lt;&gt;"",$F382,"")</f>
        <v>Apprenant 370 ou 370'</v>
      </c>
      <c r="AL382" s="53" t="str">
        <f aca="false">IF(AND($AB382&lt;&gt;"",$AC382&lt;&gt;""),$AC382-$AB382,"")</f>
        <v/>
      </c>
      <c r="AM382" s="53" t="str">
        <f aca="false">IF(AND($AB382&lt;&gt;"",$AD382&lt;&gt;""),$AD382-$AB382,"")</f>
        <v/>
      </c>
      <c r="AN382" s="53" t="str">
        <f aca="false">IF(AND($AC382&lt;&gt;"",$AD382&lt;&gt;""),$AD382-$AC382,"")</f>
        <v/>
      </c>
      <c r="AO382" s="53" t="str">
        <f aca="false">IF($J382&lt;&gt;"",$J382,"")</f>
        <v/>
      </c>
      <c r="AQ382" s="52" t="str">
        <f aca="false">IF($A382&lt;&gt;"",$A382,"")</f>
        <v>Apprenant 370</v>
      </c>
      <c r="AR382" s="55" t="str">
        <f aca="false">IF(AND('Choix pédagogiques'!$C$4&lt;&gt;"?",'Choix pédagogiques'!$C$5&lt;&gt;"?",W382&lt;&gt;""),(W382-'Choix pédagogiques'!$C$4)/('Choix pédagogiques'!$C$5-'Choix pédagogiques'!$C$4),"")</f>
        <v/>
      </c>
      <c r="AS382" s="55" t="str">
        <f aca="false">IF(AND('Choix pédagogiques'!$C$4&lt;&gt;"?",'Choix pédagogiques'!$C$5&lt;&gt;"?",X382&lt;&gt;""),(X382-'Choix pédagogiques'!$C$4)/('Choix pédagogiques'!$C$5-'Choix pédagogiques'!$C$4),"")</f>
        <v/>
      </c>
      <c r="AT382" s="55" t="str">
        <f aca="false">IF(AND('Choix pédagogiques'!$C$4&lt;&gt;"?",'Choix pédagogiques'!$C$5&lt;&gt;"?",Y382&lt;&gt;""),(Y382-'Choix pédagogiques'!$C$4)/('Choix pédagogiques'!$C$5-'Choix pédagogiques'!$C$4),"")</f>
        <v/>
      </c>
      <c r="AU382" s="53" t="str">
        <f aca="false">IF($E382&lt;&gt;"",$E382,"")</f>
        <v/>
      </c>
      <c r="AV382" s="52" t="str">
        <f aca="false">IF($F382&lt;&gt;"",$F382,"")</f>
        <v>Apprenant 370 ou 370'</v>
      </c>
      <c r="AW382" s="55" t="str">
        <f aca="false">IF(AND('Choix pédagogiques'!$C$4&lt;&gt;"?",'Choix pédagogiques'!$C$5&lt;&gt;"?",AB382&lt;&gt;""),(AB382-'Choix pédagogiques'!$C$4)/('Choix pédagogiques'!$C$5-'Choix pédagogiques'!$C$4),"")</f>
        <v/>
      </c>
      <c r="AX382" s="55" t="str">
        <f aca="false">IF(AND('Choix pédagogiques'!$C$4&lt;&gt;"?",'Choix pédagogiques'!$C$5&lt;&gt;"?",AC382&lt;&gt;""),(AC382-'Choix pédagogiques'!$C$4)/('Choix pédagogiques'!$C$5-'Choix pédagogiques'!$C$4),"")</f>
        <v/>
      </c>
      <c r="AY382" s="55" t="str">
        <f aca="false">IF(AND('Choix pédagogiques'!$C$4&lt;&gt;"?",'Choix pédagogiques'!$C$5&lt;&gt;"?",AD382&lt;&gt;""),(AD382-'Choix pédagogiques'!$C$4)/('Choix pédagogiques'!$C$5-'Choix pédagogiques'!$C$4),"")</f>
        <v/>
      </c>
      <c r="AZ382" s="53" t="str">
        <f aca="false">IF($J382&lt;&gt;"",$J382,"")</f>
        <v/>
      </c>
      <c r="BA382" s="52" t="str">
        <f aca="false">IF($A382&lt;&gt;"",$A382,"")</f>
        <v>Apprenant 370</v>
      </c>
      <c r="BB382" s="55" t="str">
        <f aca="false">IF(AND($AR382&lt;&gt;"",$AS382&lt;&gt;""),$AS382-$AR382,"")</f>
        <v/>
      </c>
      <c r="BC382" s="55" t="str">
        <f aca="false">IF(AND($AR382&lt;&gt;"",$AT382&lt;&gt;""),$AT382-$AR382,"")</f>
        <v/>
      </c>
      <c r="BD382" s="55" t="str">
        <f aca="false">IF(AND($AS382&lt;&gt;"",$AT382&lt;&gt;""),$AT382-$AS382,"")</f>
        <v/>
      </c>
      <c r="BE382" s="53" t="str">
        <f aca="false">IF($E382&lt;&gt;"",$E382,"")</f>
        <v/>
      </c>
      <c r="BF382" s="52" t="str">
        <f aca="false">IF($F382&lt;&gt;"",$F382,"")</f>
        <v>Apprenant 370 ou 370'</v>
      </c>
      <c r="BG382" s="55" t="str">
        <f aca="false">IF(AND($AW382&lt;&gt;"",$AX382&lt;&gt;""),$AX382-$AW382,"")</f>
        <v/>
      </c>
      <c r="BH382" s="55" t="str">
        <f aca="false">IF(AND($AW382&lt;&gt;"",$AY382&lt;&gt;""),$AY382-$AW382,"")</f>
        <v/>
      </c>
      <c r="BI382" s="55" t="str">
        <f aca="false">IF(AND($AX382&lt;&gt;"",$AY382&lt;&gt;""),$AY382-$AX382,"")</f>
        <v/>
      </c>
      <c r="BJ382" s="53" t="str">
        <f aca="false">IF($J382&lt;&gt;"",$J382,"")</f>
        <v/>
      </c>
      <c r="BL382" s="52"/>
      <c r="BM382" s="52" t="str">
        <f aca="false">IF(OR(COUNT(B382:D1381)=0,AND('Choix pédagogiques'!$C$3&lt;&gt;1,'Choix pédagogiques'!$C$3&lt;&gt;2)),"",IF(AND(OR('Choix pédagogiques'!$C$3=1,'Choix pédagogiques'!$C$3=2),$B382&lt;&gt;"",$C382&lt;&gt;"",$D382&lt;&gt;""),1,0))</f>
        <v/>
      </c>
      <c r="BN382" s="52" t="str">
        <f aca="false">IF(OR(COUNT(G382:I1381)=0,AND('Choix pédagogiques'!$C$3&lt;&gt;1,'Choix pédagogiques'!$C$3&lt;&gt;2)),"",IF(AND(OR('Choix pédagogiques'!$C$3=1,'Choix pédagogiques'!$C$3=2),AND($G382&lt;&gt;"",$H382&lt;&gt;"",$I382&lt;&gt;"")),1,0))</f>
        <v/>
      </c>
      <c r="BO382" s="52" t="str">
        <f aca="false">IF(OR(COUNT(B382:D1381)=0,COUNT(G382:I1381)=0,'Choix pédagogiques'!C$3&lt;&gt;3),"",IF(AND('Choix pédagogiques'!$C$3=3,$B382&lt;&gt;"",$C382&lt;&gt;"",$D382&lt;&gt;"",$G382&lt;&gt;"",$H382&lt;&gt;"",$I382&lt;&gt;""),1,0))</f>
        <v/>
      </c>
      <c r="BR382" s="52" t="n">
        <v>445</v>
      </c>
      <c r="BS382" s="52" t="n">
        <v>1187</v>
      </c>
    </row>
    <row r="383" s="54" customFormat="true" ht="18" hidden="false" customHeight="true" outlineLevel="0" collapsed="false">
      <c r="A383" s="57" t="s">
        <v>697</v>
      </c>
      <c r="B383" s="51"/>
      <c r="C383" s="51"/>
      <c r="D383" s="51"/>
      <c r="E383" s="51"/>
      <c r="F383" s="57" t="s">
        <v>698</v>
      </c>
      <c r="G383" s="51"/>
      <c r="H383" s="51"/>
      <c r="I383" s="51"/>
      <c r="J383" s="51"/>
      <c r="K383" s="52" t="str">
        <f aca="false">IF($A383&lt;&gt;"",$A383,"")</f>
        <v>Apprenant 371</v>
      </c>
      <c r="L383" s="53" t="str">
        <f aca="false">IF(AND($B383&lt;&gt;"",$C383&lt;&gt;""),$C383-$B383,"")</f>
        <v/>
      </c>
      <c r="M383" s="53" t="str">
        <f aca="false">IF(AND($B383&lt;&gt;"",$D383&lt;&gt;""),$D383-$B383,"")</f>
        <v/>
      </c>
      <c r="N383" s="53" t="str">
        <f aca="false">IF(AND($C383&lt;&gt;"",$D383&lt;&gt;""),$D383-$C383,"")</f>
        <v/>
      </c>
      <c r="O383" s="53" t="str">
        <f aca="false">IF($E383&lt;&gt;"",$E383,"")</f>
        <v/>
      </c>
      <c r="P383" s="52" t="str">
        <f aca="false">IF($F383&lt;&gt;"",$F383,"")</f>
        <v>Apprenant 371 ou 371'</v>
      </c>
      <c r="Q383" s="53" t="str">
        <f aca="false">IF(AND($G383&lt;&gt;"",$H383&lt;&gt;""),$H383-$G383,"")</f>
        <v/>
      </c>
      <c r="R383" s="53" t="str">
        <f aca="false">IF(AND($G383&lt;&gt;"",$I383&lt;&gt;""),$I383-$G383,"")</f>
        <v/>
      </c>
      <c r="S383" s="53" t="str">
        <f aca="false">IF(AND($H383&lt;&gt;"",$I383&lt;&gt;""),$I383-$H383,"")</f>
        <v/>
      </c>
      <c r="T383" s="53" t="str">
        <f aca="false">IF($J383&lt;&gt;"",$J383,"")</f>
        <v/>
      </c>
      <c r="V383" s="52" t="str">
        <f aca="false">IF($A383&lt;&gt;"",$A383,"")</f>
        <v>Apprenant 371</v>
      </c>
      <c r="W383" s="53" t="str">
        <f aca="false">IF(AND(OR('Choix pédagogiques'!$C$3=1,'Choix pédagogiques'!$C$3=2),$BM383=1),B383,IF(AND('Choix pédagogiques'!$C$3=3,$BO383=1),B383,""))</f>
        <v/>
      </c>
      <c r="X383" s="53" t="str">
        <f aca="false">IF(AND(OR('Choix pédagogiques'!$C$3=1,'Choix pédagogiques'!$C$3=2),$BM383=1),C383,IF(AND('Choix pédagogiques'!$C$3=3,$BO383=1),C383,""))</f>
        <v/>
      </c>
      <c r="Y383" s="53" t="str">
        <f aca="false">IF(AND(OR('Choix pédagogiques'!$C$3=1,'Choix pédagogiques'!$C$3=2),$BM383=1),D383,IF(AND('Choix pédagogiques'!$C$3=3,$BO383=1),D383,""))</f>
        <v/>
      </c>
      <c r="Z383" s="53" t="str">
        <f aca="false">IF($E383&lt;&gt;"",$E383,"")</f>
        <v/>
      </c>
      <c r="AA383" s="52" t="str">
        <f aca="false">IF($F383&lt;&gt;"",$F383,"")</f>
        <v>Apprenant 371 ou 371'</v>
      </c>
      <c r="AB383" s="53" t="str">
        <f aca="false">IF(AND(OR('Choix pédagogiques'!$C$3=1,'Choix pédagogiques'!$C$3=2),$BN383=1),G383,IF(AND('Choix pédagogiques'!$C$3=3,$BO383=1),G383,""))</f>
        <v/>
      </c>
      <c r="AC383" s="53" t="str">
        <f aca="false">IF(AND(OR('Choix pédagogiques'!$C$3=1,'Choix pédagogiques'!$C$3=2),$BN383=1),H383,IF(AND('Choix pédagogiques'!$C$3=3,$BO383=1),H383,""))</f>
        <v/>
      </c>
      <c r="AD383" s="53" t="str">
        <f aca="false">IF(AND(OR('Choix pédagogiques'!$C$3=1,'Choix pédagogiques'!$C$3=2),$BN383=1),I383,IF(AND('Choix pédagogiques'!$C$3=3,$BO383=1),I383,""))</f>
        <v/>
      </c>
      <c r="AE383" s="53" t="str">
        <f aca="false">IF($J383&lt;&gt;"",$J383,"")</f>
        <v/>
      </c>
      <c r="AF383" s="52" t="str">
        <f aca="false">IF($A383&lt;&gt;"",$A383,"")</f>
        <v>Apprenant 371</v>
      </c>
      <c r="AG383" s="53" t="str">
        <f aca="false">IF(AND($W383&lt;&gt;"",$X383&lt;&gt;""),$X383-$W383,"")</f>
        <v/>
      </c>
      <c r="AH383" s="53" t="str">
        <f aca="false">IF(AND($W383&lt;&gt;"",$Y383&lt;&gt;""),$Y383-$W383,"")</f>
        <v/>
      </c>
      <c r="AI383" s="53" t="str">
        <f aca="false">IF(AND($X383&lt;&gt;"",$Y383&lt;&gt;""),$Y383-$X383,"")</f>
        <v/>
      </c>
      <c r="AJ383" s="53" t="str">
        <f aca="false">IF($E383&lt;&gt;"",$E383,"")</f>
        <v/>
      </c>
      <c r="AK383" s="52" t="str">
        <f aca="false">IF($F383&lt;&gt;"",$F383,"")</f>
        <v>Apprenant 371 ou 371'</v>
      </c>
      <c r="AL383" s="53" t="str">
        <f aca="false">IF(AND($AB383&lt;&gt;"",$AC383&lt;&gt;""),$AC383-$AB383,"")</f>
        <v/>
      </c>
      <c r="AM383" s="53" t="str">
        <f aca="false">IF(AND($AB383&lt;&gt;"",$AD383&lt;&gt;""),$AD383-$AB383,"")</f>
        <v/>
      </c>
      <c r="AN383" s="53" t="str">
        <f aca="false">IF(AND($AC383&lt;&gt;"",$AD383&lt;&gt;""),$AD383-$AC383,"")</f>
        <v/>
      </c>
      <c r="AO383" s="53" t="str">
        <f aca="false">IF($J383&lt;&gt;"",$J383,"")</f>
        <v/>
      </c>
      <c r="AQ383" s="52" t="str">
        <f aca="false">IF($A383&lt;&gt;"",$A383,"")</f>
        <v>Apprenant 371</v>
      </c>
      <c r="AR383" s="55" t="str">
        <f aca="false">IF(AND('Choix pédagogiques'!$C$4&lt;&gt;"?",'Choix pédagogiques'!$C$5&lt;&gt;"?",W383&lt;&gt;""),(W383-'Choix pédagogiques'!$C$4)/('Choix pédagogiques'!$C$5-'Choix pédagogiques'!$C$4),"")</f>
        <v/>
      </c>
      <c r="AS383" s="55" t="str">
        <f aca="false">IF(AND('Choix pédagogiques'!$C$4&lt;&gt;"?",'Choix pédagogiques'!$C$5&lt;&gt;"?",X383&lt;&gt;""),(X383-'Choix pédagogiques'!$C$4)/('Choix pédagogiques'!$C$5-'Choix pédagogiques'!$C$4),"")</f>
        <v/>
      </c>
      <c r="AT383" s="55" t="str">
        <f aca="false">IF(AND('Choix pédagogiques'!$C$4&lt;&gt;"?",'Choix pédagogiques'!$C$5&lt;&gt;"?",Y383&lt;&gt;""),(Y383-'Choix pédagogiques'!$C$4)/('Choix pédagogiques'!$C$5-'Choix pédagogiques'!$C$4),"")</f>
        <v/>
      </c>
      <c r="AU383" s="53" t="str">
        <f aca="false">IF($E383&lt;&gt;"",$E383,"")</f>
        <v/>
      </c>
      <c r="AV383" s="52" t="str">
        <f aca="false">IF($F383&lt;&gt;"",$F383,"")</f>
        <v>Apprenant 371 ou 371'</v>
      </c>
      <c r="AW383" s="55" t="str">
        <f aca="false">IF(AND('Choix pédagogiques'!$C$4&lt;&gt;"?",'Choix pédagogiques'!$C$5&lt;&gt;"?",AB383&lt;&gt;""),(AB383-'Choix pédagogiques'!$C$4)/('Choix pédagogiques'!$C$5-'Choix pédagogiques'!$C$4),"")</f>
        <v/>
      </c>
      <c r="AX383" s="55" t="str">
        <f aca="false">IF(AND('Choix pédagogiques'!$C$4&lt;&gt;"?",'Choix pédagogiques'!$C$5&lt;&gt;"?",AC383&lt;&gt;""),(AC383-'Choix pédagogiques'!$C$4)/('Choix pédagogiques'!$C$5-'Choix pédagogiques'!$C$4),"")</f>
        <v/>
      </c>
      <c r="AY383" s="55" t="str">
        <f aca="false">IF(AND('Choix pédagogiques'!$C$4&lt;&gt;"?",'Choix pédagogiques'!$C$5&lt;&gt;"?",AD383&lt;&gt;""),(AD383-'Choix pédagogiques'!$C$4)/('Choix pédagogiques'!$C$5-'Choix pédagogiques'!$C$4),"")</f>
        <v/>
      </c>
      <c r="AZ383" s="53" t="str">
        <f aca="false">IF($J383&lt;&gt;"",$J383,"")</f>
        <v/>
      </c>
      <c r="BA383" s="52" t="str">
        <f aca="false">IF($A383&lt;&gt;"",$A383,"")</f>
        <v>Apprenant 371</v>
      </c>
      <c r="BB383" s="55" t="str">
        <f aca="false">IF(AND($AR383&lt;&gt;"",$AS383&lt;&gt;""),$AS383-$AR383,"")</f>
        <v/>
      </c>
      <c r="BC383" s="55" t="str">
        <f aca="false">IF(AND($AR383&lt;&gt;"",$AT383&lt;&gt;""),$AT383-$AR383,"")</f>
        <v/>
      </c>
      <c r="BD383" s="55" t="str">
        <f aca="false">IF(AND($AS383&lt;&gt;"",$AT383&lt;&gt;""),$AT383-$AS383,"")</f>
        <v/>
      </c>
      <c r="BE383" s="53" t="str">
        <f aca="false">IF($E383&lt;&gt;"",$E383,"")</f>
        <v/>
      </c>
      <c r="BF383" s="52" t="str">
        <f aca="false">IF($F383&lt;&gt;"",$F383,"")</f>
        <v>Apprenant 371 ou 371'</v>
      </c>
      <c r="BG383" s="55" t="str">
        <f aca="false">IF(AND($AW383&lt;&gt;"",$AX383&lt;&gt;""),$AX383-$AW383,"")</f>
        <v/>
      </c>
      <c r="BH383" s="55" t="str">
        <f aca="false">IF(AND($AW383&lt;&gt;"",$AY383&lt;&gt;""),$AY383-$AW383,"")</f>
        <v/>
      </c>
      <c r="BI383" s="55" t="str">
        <f aca="false">IF(AND($AX383&lt;&gt;"",$AY383&lt;&gt;""),$AY383-$AX383,"")</f>
        <v/>
      </c>
      <c r="BJ383" s="53" t="str">
        <f aca="false">IF($J383&lt;&gt;"",$J383,"")</f>
        <v/>
      </c>
      <c r="BL383" s="52"/>
      <c r="BM383" s="52" t="str">
        <f aca="false">IF(OR(COUNT(B383:D1382)=0,AND('Choix pédagogiques'!$C$3&lt;&gt;1,'Choix pédagogiques'!$C$3&lt;&gt;2)),"",IF(AND(OR('Choix pédagogiques'!$C$3=1,'Choix pédagogiques'!$C$3=2),$B383&lt;&gt;"",$C383&lt;&gt;"",$D383&lt;&gt;""),1,0))</f>
        <v/>
      </c>
      <c r="BN383" s="52" t="str">
        <f aca="false">IF(OR(COUNT(G383:I1382)=0,AND('Choix pédagogiques'!$C$3&lt;&gt;1,'Choix pédagogiques'!$C$3&lt;&gt;2)),"",IF(AND(OR('Choix pédagogiques'!$C$3=1,'Choix pédagogiques'!$C$3=2),AND($G383&lt;&gt;"",$H383&lt;&gt;"",$I383&lt;&gt;"")),1,0))</f>
        <v/>
      </c>
      <c r="BO383" s="52" t="str">
        <f aca="false">IF(OR(COUNT(B383:D1382)=0,COUNT(G383:I1382)=0,'Choix pédagogiques'!C$3&lt;&gt;3),"",IF(AND('Choix pédagogiques'!$C$3=3,$B383&lt;&gt;"",$C383&lt;&gt;"",$D383&lt;&gt;"",$G383&lt;&gt;"",$H383&lt;&gt;"",$I383&lt;&gt;""),1,0))</f>
        <v/>
      </c>
      <c r="BR383" s="52" t="n">
        <v>136</v>
      </c>
      <c r="BS383" s="52" t="n">
        <v>1466</v>
      </c>
    </row>
    <row r="384" s="54" customFormat="true" ht="18" hidden="false" customHeight="true" outlineLevel="0" collapsed="false">
      <c r="A384" s="57" t="s">
        <v>699</v>
      </c>
      <c r="B384" s="51"/>
      <c r="C384" s="51"/>
      <c r="D384" s="51"/>
      <c r="E384" s="51"/>
      <c r="F384" s="57" t="s">
        <v>700</v>
      </c>
      <c r="G384" s="51"/>
      <c r="H384" s="51"/>
      <c r="I384" s="51"/>
      <c r="J384" s="51"/>
      <c r="K384" s="52" t="str">
        <f aca="false">IF($A384&lt;&gt;"",$A384,"")</f>
        <v>Apprenant 372</v>
      </c>
      <c r="L384" s="53" t="str">
        <f aca="false">IF(AND($B384&lt;&gt;"",$C384&lt;&gt;""),$C384-$B384,"")</f>
        <v/>
      </c>
      <c r="M384" s="53" t="str">
        <f aca="false">IF(AND($B384&lt;&gt;"",$D384&lt;&gt;""),$D384-$B384,"")</f>
        <v/>
      </c>
      <c r="N384" s="53" t="str">
        <f aca="false">IF(AND($C384&lt;&gt;"",$D384&lt;&gt;""),$D384-$C384,"")</f>
        <v/>
      </c>
      <c r="O384" s="53" t="str">
        <f aca="false">IF($E384&lt;&gt;"",$E384,"")</f>
        <v/>
      </c>
      <c r="P384" s="52" t="str">
        <f aca="false">IF($F384&lt;&gt;"",$F384,"")</f>
        <v>Apprenant 372 ou 372'</v>
      </c>
      <c r="Q384" s="53" t="str">
        <f aca="false">IF(AND($G384&lt;&gt;"",$H384&lt;&gt;""),$H384-$G384,"")</f>
        <v/>
      </c>
      <c r="R384" s="53" t="str">
        <f aca="false">IF(AND($G384&lt;&gt;"",$I384&lt;&gt;""),$I384-$G384,"")</f>
        <v/>
      </c>
      <c r="S384" s="53" t="str">
        <f aca="false">IF(AND($H384&lt;&gt;"",$I384&lt;&gt;""),$I384-$H384,"")</f>
        <v/>
      </c>
      <c r="T384" s="53" t="str">
        <f aca="false">IF($J384&lt;&gt;"",$J384,"")</f>
        <v/>
      </c>
      <c r="V384" s="52" t="str">
        <f aca="false">IF($A384&lt;&gt;"",$A384,"")</f>
        <v>Apprenant 372</v>
      </c>
      <c r="W384" s="53" t="str">
        <f aca="false">IF(AND(OR('Choix pédagogiques'!$C$3=1,'Choix pédagogiques'!$C$3=2),$BM384=1),B384,IF(AND('Choix pédagogiques'!$C$3=3,$BO384=1),B384,""))</f>
        <v/>
      </c>
      <c r="X384" s="53" t="str">
        <f aca="false">IF(AND(OR('Choix pédagogiques'!$C$3=1,'Choix pédagogiques'!$C$3=2),$BM384=1),C384,IF(AND('Choix pédagogiques'!$C$3=3,$BO384=1),C384,""))</f>
        <v/>
      </c>
      <c r="Y384" s="53" t="str">
        <f aca="false">IF(AND(OR('Choix pédagogiques'!$C$3=1,'Choix pédagogiques'!$C$3=2),$BM384=1),D384,IF(AND('Choix pédagogiques'!$C$3=3,$BO384=1),D384,""))</f>
        <v/>
      </c>
      <c r="Z384" s="53" t="str">
        <f aca="false">IF($E384&lt;&gt;"",$E384,"")</f>
        <v/>
      </c>
      <c r="AA384" s="52" t="str">
        <f aca="false">IF($F384&lt;&gt;"",$F384,"")</f>
        <v>Apprenant 372 ou 372'</v>
      </c>
      <c r="AB384" s="53" t="str">
        <f aca="false">IF(AND(OR('Choix pédagogiques'!$C$3=1,'Choix pédagogiques'!$C$3=2),$BN384=1),G384,IF(AND('Choix pédagogiques'!$C$3=3,$BO384=1),G384,""))</f>
        <v/>
      </c>
      <c r="AC384" s="53" t="str">
        <f aca="false">IF(AND(OR('Choix pédagogiques'!$C$3=1,'Choix pédagogiques'!$C$3=2),$BN384=1),H384,IF(AND('Choix pédagogiques'!$C$3=3,$BO384=1),H384,""))</f>
        <v/>
      </c>
      <c r="AD384" s="53" t="str">
        <f aca="false">IF(AND(OR('Choix pédagogiques'!$C$3=1,'Choix pédagogiques'!$C$3=2),$BN384=1),I384,IF(AND('Choix pédagogiques'!$C$3=3,$BO384=1),I384,""))</f>
        <v/>
      </c>
      <c r="AE384" s="53" t="str">
        <f aca="false">IF($J384&lt;&gt;"",$J384,"")</f>
        <v/>
      </c>
      <c r="AF384" s="52" t="str">
        <f aca="false">IF($A384&lt;&gt;"",$A384,"")</f>
        <v>Apprenant 372</v>
      </c>
      <c r="AG384" s="53" t="str">
        <f aca="false">IF(AND($W384&lt;&gt;"",$X384&lt;&gt;""),$X384-$W384,"")</f>
        <v/>
      </c>
      <c r="AH384" s="53" t="str">
        <f aca="false">IF(AND($W384&lt;&gt;"",$Y384&lt;&gt;""),$Y384-$W384,"")</f>
        <v/>
      </c>
      <c r="AI384" s="53" t="str">
        <f aca="false">IF(AND($X384&lt;&gt;"",$Y384&lt;&gt;""),$Y384-$X384,"")</f>
        <v/>
      </c>
      <c r="AJ384" s="53" t="str">
        <f aca="false">IF($E384&lt;&gt;"",$E384,"")</f>
        <v/>
      </c>
      <c r="AK384" s="52" t="str">
        <f aca="false">IF($F384&lt;&gt;"",$F384,"")</f>
        <v>Apprenant 372 ou 372'</v>
      </c>
      <c r="AL384" s="53" t="str">
        <f aca="false">IF(AND($AB384&lt;&gt;"",$AC384&lt;&gt;""),$AC384-$AB384,"")</f>
        <v/>
      </c>
      <c r="AM384" s="53" t="str">
        <f aca="false">IF(AND($AB384&lt;&gt;"",$AD384&lt;&gt;""),$AD384-$AB384,"")</f>
        <v/>
      </c>
      <c r="AN384" s="53" t="str">
        <f aca="false">IF(AND($AC384&lt;&gt;"",$AD384&lt;&gt;""),$AD384-$AC384,"")</f>
        <v/>
      </c>
      <c r="AO384" s="53" t="str">
        <f aca="false">IF($J384&lt;&gt;"",$J384,"")</f>
        <v/>
      </c>
      <c r="AQ384" s="52" t="str">
        <f aca="false">IF($A384&lt;&gt;"",$A384,"")</f>
        <v>Apprenant 372</v>
      </c>
      <c r="AR384" s="55" t="str">
        <f aca="false">IF(AND('Choix pédagogiques'!$C$4&lt;&gt;"?",'Choix pédagogiques'!$C$5&lt;&gt;"?",W384&lt;&gt;""),(W384-'Choix pédagogiques'!$C$4)/('Choix pédagogiques'!$C$5-'Choix pédagogiques'!$C$4),"")</f>
        <v/>
      </c>
      <c r="AS384" s="55" t="str">
        <f aca="false">IF(AND('Choix pédagogiques'!$C$4&lt;&gt;"?",'Choix pédagogiques'!$C$5&lt;&gt;"?",X384&lt;&gt;""),(X384-'Choix pédagogiques'!$C$4)/('Choix pédagogiques'!$C$5-'Choix pédagogiques'!$C$4),"")</f>
        <v/>
      </c>
      <c r="AT384" s="55" t="str">
        <f aca="false">IF(AND('Choix pédagogiques'!$C$4&lt;&gt;"?",'Choix pédagogiques'!$C$5&lt;&gt;"?",Y384&lt;&gt;""),(Y384-'Choix pédagogiques'!$C$4)/('Choix pédagogiques'!$C$5-'Choix pédagogiques'!$C$4),"")</f>
        <v/>
      </c>
      <c r="AU384" s="53" t="str">
        <f aca="false">IF($E384&lt;&gt;"",$E384,"")</f>
        <v/>
      </c>
      <c r="AV384" s="52" t="str">
        <f aca="false">IF($F384&lt;&gt;"",$F384,"")</f>
        <v>Apprenant 372 ou 372'</v>
      </c>
      <c r="AW384" s="55" t="str">
        <f aca="false">IF(AND('Choix pédagogiques'!$C$4&lt;&gt;"?",'Choix pédagogiques'!$C$5&lt;&gt;"?",AB384&lt;&gt;""),(AB384-'Choix pédagogiques'!$C$4)/('Choix pédagogiques'!$C$5-'Choix pédagogiques'!$C$4),"")</f>
        <v/>
      </c>
      <c r="AX384" s="55" t="str">
        <f aca="false">IF(AND('Choix pédagogiques'!$C$4&lt;&gt;"?",'Choix pédagogiques'!$C$5&lt;&gt;"?",AC384&lt;&gt;""),(AC384-'Choix pédagogiques'!$C$4)/('Choix pédagogiques'!$C$5-'Choix pédagogiques'!$C$4),"")</f>
        <v/>
      </c>
      <c r="AY384" s="55" t="str">
        <f aca="false">IF(AND('Choix pédagogiques'!$C$4&lt;&gt;"?",'Choix pédagogiques'!$C$5&lt;&gt;"?",AD384&lt;&gt;""),(AD384-'Choix pédagogiques'!$C$4)/('Choix pédagogiques'!$C$5-'Choix pédagogiques'!$C$4),"")</f>
        <v/>
      </c>
      <c r="AZ384" s="53" t="str">
        <f aca="false">IF($J384&lt;&gt;"",$J384,"")</f>
        <v/>
      </c>
      <c r="BA384" s="52" t="str">
        <f aca="false">IF($A384&lt;&gt;"",$A384,"")</f>
        <v>Apprenant 372</v>
      </c>
      <c r="BB384" s="55" t="str">
        <f aca="false">IF(AND($AR384&lt;&gt;"",$AS384&lt;&gt;""),$AS384-$AR384,"")</f>
        <v/>
      </c>
      <c r="BC384" s="55" t="str">
        <f aca="false">IF(AND($AR384&lt;&gt;"",$AT384&lt;&gt;""),$AT384-$AR384,"")</f>
        <v/>
      </c>
      <c r="BD384" s="55" t="str">
        <f aca="false">IF(AND($AS384&lt;&gt;"",$AT384&lt;&gt;""),$AT384-$AS384,"")</f>
        <v/>
      </c>
      <c r="BE384" s="53" t="str">
        <f aca="false">IF($E384&lt;&gt;"",$E384,"")</f>
        <v/>
      </c>
      <c r="BF384" s="52" t="str">
        <f aca="false">IF($F384&lt;&gt;"",$F384,"")</f>
        <v>Apprenant 372 ou 372'</v>
      </c>
      <c r="BG384" s="55" t="str">
        <f aca="false">IF(AND($AW384&lt;&gt;"",$AX384&lt;&gt;""),$AX384-$AW384,"")</f>
        <v/>
      </c>
      <c r="BH384" s="55" t="str">
        <f aca="false">IF(AND($AW384&lt;&gt;"",$AY384&lt;&gt;""),$AY384-$AW384,"")</f>
        <v/>
      </c>
      <c r="BI384" s="55" t="str">
        <f aca="false">IF(AND($AX384&lt;&gt;"",$AY384&lt;&gt;""),$AY384-$AX384,"")</f>
        <v/>
      </c>
      <c r="BJ384" s="53" t="str">
        <f aca="false">IF($J384&lt;&gt;"",$J384,"")</f>
        <v/>
      </c>
      <c r="BL384" s="52"/>
      <c r="BM384" s="52" t="str">
        <f aca="false">IF(OR(COUNT(B384:D1383)=0,AND('Choix pédagogiques'!$C$3&lt;&gt;1,'Choix pédagogiques'!$C$3&lt;&gt;2)),"",IF(AND(OR('Choix pédagogiques'!$C$3=1,'Choix pédagogiques'!$C$3=2),$B384&lt;&gt;"",$C384&lt;&gt;"",$D384&lt;&gt;""),1,0))</f>
        <v/>
      </c>
      <c r="BN384" s="52" t="str">
        <f aca="false">IF(OR(COUNT(G384:I1383)=0,AND('Choix pédagogiques'!$C$3&lt;&gt;1,'Choix pédagogiques'!$C$3&lt;&gt;2)),"",IF(AND(OR('Choix pédagogiques'!$C$3=1,'Choix pédagogiques'!$C$3=2),AND($G384&lt;&gt;"",$H384&lt;&gt;"",$I384&lt;&gt;"")),1,0))</f>
        <v/>
      </c>
      <c r="BO384" s="52" t="str">
        <f aca="false">IF(OR(COUNT(B384:D1383)=0,COUNT(G384:I1383)=0,'Choix pédagogiques'!C$3&lt;&gt;3),"",IF(AND('Choix pédagogiques'!$C$3=3,$B384&lt;&gt;"",$C384&lt;&gt;"",$D384&lt;&gt;"",$G384&lt;&gt;"",$H384&lt;&gt;"",$I384&lt;&gt;""),1,0))</f>
        <v/>
      </c>
      <c r="BR384" s="52" t="n">
        <v>490</v>
      </c>
      <c r="BS384" s="52" t="n">
        <v>1914</v>
      </c>
    </row>
    <row r="385" s="54" customFormat="true" ht="18" hidden="false" customHeight="true" outlineLevel="0" collapsed="false">
      <c r="A385" s="57" t="s">
        <v>701</v>
      </c>
      <c r="B385" s="51"/>
      <c r="C385" s="51"/>
      <c r="D385" s="51"/>
      <c r="E385" s="51"/>
      <c r="F385" s="57" t="s">
        <v>702</v>
      </c>
      <c r="G385" s="51"/>
      <c r="H385" s="51"/>
      <c r="I385" s="51"/>
      <c r="J385" s="51"/>
      <c r="K385" s="52" t="str">
        <f aca="false">IF($A385&lt;&gt;"",$A385,"")</f>
        <v>Apprenant 373</v>
      </c>
      <c r="L385" s="53" t="str">
        <f aca="false">IF(AND($B385&lt;&gt;"",$C385&lt;&gt;""),$C385-$B385,"")</f>
        <v/>
      </c>
      <c r="M385" s="53" t="str">
        <f aca="false">IF(AND($B385&lt;&gt;"",$D385&lt;&gt;""),$D385-$B385,"")</f>
        <v/>
      </c>
      <c r="N385" s="53" t="str">
        <f aca="false">IF(AND($C385&lt;&gt;"",$D385&lt;&gt;""),$D385-$C385,"")</f>
        <v/>
      </c>
      <c r="O385" s="53" t="str">
        <f aca="false">IF($E385&lt;&gt;"",$E385,"")</f>
        <v/>
      </c>
      <c r="P385" s="52" t="str">
        <f aca="false">IF($F385&lt;&gt;"",$F385,"")</f>
        <v>Apprenant 373 ou 373'</v>
      </c>
      <c r="Q385" s="53" t="str">
        <f aca="false">IF(AND($G385&lt;&gt;"",$H385&lt;&gt;""),$H385-$G385,"")</f>
        <v/>
      </c>
      <c r="R385" s="53" t="str">
        <f aca="false">IF(AND($G385&lt;&gt;"",$I385&lt;&gt;""),$I385-$G385,"")</f>
        <v/>
      </c>
      <c r="S385" s="53" t="str">
        <f aca="false">IF(AND($H385&lt;&gt;"",$I385&lt;&gt;""),$I385-$H385,"")</f>
        <v/>
      </c>
      <c r="T385" s="53" t="str">
        <f aca="false">IF($J385&lt;&gt;"",$J385,"")</f>
        <v/>
      </c>
      <c r="V385" s="52" t="str">
        <f aca="false">IF($A385&lt;&gt;"",$A385,"")</f>
        <v>Apprenant 373</v>
      </c>
      <c r="W385" s="53" t="str">
        <f aca="false">IF(AND(OR('Choix pédagogiques'!$C$3=1,'Choix pédagogiques'!$C$3=2),$BM385=1),B385,IF(AND('Choix pédagogiques'!$C$3=3,$BO385=1),B385,""))</f>
        <v/>
      </c>
      <c r="X385" s="53" t="str">
        <f aca="false">IF(AND(OR('Choix pédagogiques'!$C$3=1,'Choix pédagogiques'!$C$3=2),$BM385=1),C385,IF(AND('Choix pédagogiques'!$C$3=3,$BO385=1),C385,""))</f>
        <v/>
      </c>
      <c r="Y385" s="53" t="str">
        <f aca="false">IF(AND(OR('Choix pédagogiques'!$C$3=1,'Choix pédagogiques'!$C$3=2),$BM385=1),D385,IF(AND('Choix pédagogiques'!$C$3=3,$BO385=1),D385,""))</f>
        <v/>
      </c>
      <c r="Z385" s="53" t="str">
        <f aca="false">IF($E385&lt;&gt;"",$E385,"")</f>
        <v/>
      </c>
      <c r="AA385" s="52" t="str">
        <f aca="false">IF($F385&lt;&gt;"",$F385,"")</f>
        <v>Apprenant 373 ou 373'</v>
      </c>
      <c r="AB385" s="53" t="str">
        <f aca="false">IF(AND(OR('Choix pédagogiques'!$C$3=1,'Choix pédagogiques'!$C$3=2),$BN385=1),G385,IF(AND('Choix pédagogiques'!$C$3=3,$BO385=1),G385,""))</f>
        <v/>
      </c>
      <c r="AC385" s="53" t="str">
        <f aca="false">IF(AND(OR('Choix pédagogiques'!$C$3=1,'Choix pédagogiques'!$C$3=2),$BN385=1),H385,IF(AND('Choix pédagogiques'!$C$3=3,$BO385=1),H385,""))</f>
        <v/>
      </c>
      <c r="AD385" s="53" t="str">
        <f aca="false">IF(AND(OR('Choix pédagogiques'!$C$3=1,'Choix pédagogiques'!$C$3=2),$BN385=1),I385,IF(AND('Choix pédagogiques'!$C$3=3,$BO385=1),I385,""))</f>
        <v/>
      </c>
      <c r="AE385" s="53" t="str">
        <f aca="false">IF($J385&lt;&gt;"",$J385,"")</f>
        <v/>
      </c>
      <c r="AF385" s="52" t="str">
        <f aca="false">IF($A385&lt;&gt;"",$A385,"")</f>
        <v>Apprenant 373</v>
      </c>
      <c r="AG385" s="53" t="str">
        <f aca="false">IF(AND($W385&lt;&gt;"",$X385&lt;&gt;""),$X385-$W385,"")</f>
        <v/>
      </c>
      <c r="AH385" s="53" t="str">
        <f aca="false">IF(AND($W385&lt;&gt;"",$Y385&lt;&gt;""),$Y385-$W385,"")</f>
        <v/>
      </c>
      <c r="AI385" s="53" t="str">
        <f aca="false">IF(AND($X385&lt;&gt;"",$Y385&lt;&gt;""),$Y385-$X385,"")</f>
        <v/>
      </c>
      <c r="AJ385" s="53" t="str">
        <f aca="false">IF($E385&lt;&gt;"",$E385,"")</f>
        <v/>
      </c>
      <c r="AK385" s="52" t="str">
        <f aca="false">IF($F385&lt;&gt;"",$F385,"")</f>
        <v>Apprenant 373 ou 373'</v>
      </c>
      <c r="AL385" s="53" t="str">
        <f aca="false">IF(AND($AB385&lt;&gt;"",$AC385&lt;&gt;""),$AC385-$AB385,"")</f>
        <v/>
      </c>
      <c r="AM385" s="53" t="str">
        <f aca="false">IF(AND($AB385&lt;&gt;"",$AD385&lt;&gt;""),$AD385-$AB385,"")</f>
        <v/>
      </c>
      <c r="AN385" s="53" t="str">
        <f aca="false">IF(AND($AC385&lt;&gt;"",$AD385&lt;&gt;""),$AD385-$AC385,"")</f>
        <v/>
      </c>
      <c r="AO385" s="53" t="str">
        <f aca="false">IF($J385&lt;&gt;"",$J385,"")</f>
        <v/>
      </c>
      <c r="AQ385" s="52" t="str">
        <f aca="false">IF($A385&lt;&gt;"",$A385,"")</f>
        <v>Apprenant 373</v>
      </c>
      <c r="AR385" s="55" t="str">
        <f aca="false">IF(AND('Choix pédagogiques'!$C$4&lt;&gt;"?",'Choix pédagogiques'!$C$5&lt;&gt;"?",W385&lt;&gt;""),(W385-'Choix pédagogiques'!$C$4)/('Choix pédagogiques'!$C$5-'Choix pédagogiques'!$C$4),"")</f>
        <v/>
      </c>
      <c r="AS385" s="55" t="str">
        <f aca="false">IF(AND('Choix pédagogiques'!$C$4&lt;&gt;"?",'Choix pédagogiques'!$C$5&lt;&gt;"?",X385&lt;&gt;""),(X385-'Choix pédagogiques'!$C$4)/('Choix pédagogiques'!$C$5-'Choix pédagogiques'!$C$4),"")</f>
        <v/>
      </c>
      <c r="AT385" s="55" t="str">
        <f aca="false">IF(AND('Choix pédagogiques'!$C$4&lt;&gt;"?",'Choix pédagogiques'!$C$5&lt;&gt;"?",Y385&lt;&gt;""),(Y385-'Choix pédagogiques'!$C$4)/('Choix pédagogiques'!$C$5-'Choix pédagogiques'!$C$4),"")</f>
        <v/>
      </c>
      <c r="AU385" s="53" t="str">
        <f aca="false">IF($E385&lt;&gt;"",$E385,"")</f>
        <v/>
      </c>
      <c r="AV385" s="52" t="str">
        <f aca="false">IF($F385&lt;&gt;"",$F385,"")</f>
        <v>Apprenant 373 ou 373'</v>
      </c>
      <c r="AW385" s="55" t="str">
        <f aca="false">IF(AND('Choix pédagogiques'!$C$4&lt;&gt;"?",'Choix pédagogiques'!$C$5&lt;&gt;"?",AB385&lt;&gt;""),(AB385-'Choix pédagogiques'!$C$4)/('Choix pédagogiques'!$C$5-'Choix pédagogiques'!$C$4),"")</f>
        <v/>
      </c>
      <c r="AX385" s="55" t="str">
        <f aca="false">IF(AND('Choix pédagogiques'!$C$4&lt;&gt;"?",'Choix pédagogiques'!$C$5&lt;&gt;"?",AC385&lt;&gt;""),(AC385-'Choix pédagogiques'!$C$4)/('Choix pédagogiques'!$C$5-'Choix pédagogiques'!$C$4),"")</f>
        <v/>
      </c>
      <c r="AY385" s="55" t="str">
        <f aca="false">IF(AND('Choix pédagogiques'!$C$4&lt;&gt;"?",'Choix pédagogiques'!$C$5&lt;&gt;"?",AD385&lt;&gt;""),(AD385-'Choix pédagogiques'!$C$4)/('Choix pédagogiques'!$C$5-'Choix pédagogiques'!$C$4),"")</f>
        <v/>
      </c>
      <c r="AZ385" s="53" t="str">
        <f aca="false">IF($J385&lt;&gt;"",$J385,"")</f>
        <v/>
      </c>
      <c r="BA385" s="52" t="str">
        <f aca="false">IF($A385&lt;&gt;"",$A385,"")</f>
        <v>Apprenant 373</v>
      </c>
      <c r="BB385" s="55" t="str">
        <f aca="false">IF(AND($AR385&lt;&gt;"",$AS385&lt;&gt;""),$AS385-$AR385,"")</f>
        <v/>
      </c>
      <c r="BC385" s="55" t="str">
        <f aca="false">IF(AND($AR385&lt;&gt;"",$AT385&lt;&gt;""),$AT385-$AR385,"")</f>
        <v/>
      </c>
      <c r="BD385" s="55" t="str">
        <f aca="false">IF(AND($AS385&lt;&gt;"",$AT385&lt;&gt;""),$AT385-$AS385,"")</f>
        <v/>
      </c>
      <c r="BE385" s="53" t="str">
        <f aca="false">IF($E385&lt;&gt;"",$E385,"")</f>
        <v/>
      </c>
      <c r="BF385" s="52" t="str">
        <f aca="false">IF($F385&lt;&gt;"",$F385,"")</f>
        <v>Apprenant 373 ou 373'</v>
      </c>
      <c r="BG385" s="55" t="str">
        <f aca="false">IF(AND($AW385&lt;&gt;"",$AX385&lt;&gt;""),$AX385-$AW385,"")</f>
        <v/>
      </c>
      <c r="BH385" s="55" t="str">
        <f aca="false">IF(AND($AW385&lt;&gt;"",$AY385&lt;&gt;""),$AY385-$AW385,"")</f>
        <v/>
      </c>
      <c r="BI385" s="55" t="str">
        <f aca="false">IF(AND($AX385&lt;&gt;"",$AY385&lt;&gt;""),$AY385-$AX385,"")</f>
        <v/>
      </c>
      <c r="BJ385" s="53" t="str">
        <f aca="false">IF($J385&lt;&gt;"",$J385,"")</f>
        <v/>
      </c>
      <c r="BL385" s="52"/>
      <c r="BM385" s="52" t="str">
        <f aca="false">IF(OR(COUNT(B385:D1384)=0,AND('Choix pédagogiques'!$C$3&lt;&gt;1,'Choix pédagogiques'!$C$3&lt;&gt;2)),"",IF(AND(OR('Choix pédagogiques'!$C$3=1,'Choix pédagogiques'!$C$3=2),$B385&lt;&gt;"",$C385&lt;&gt;"",$D385&lt;&gt;""),1,0))</f>
        <v/>
      </c>
      <c r="BN385" s="52" t="str">
        <f aca="false">IF(OR(COUNT(G385:I1384)=0,AND('Choix pédagogiques'!$C$3&lt;&gt;1,'Choix pédagogiques'!$C$3&lt;&gt;2)),"",IF(AND(OR('Choix pédagogiques'!$C$3=1,'Choix pédagogiques'!$C$3=2),AND($G385&lt;&gt;"",$H385&lt;&gt;"",$I385&lt;&gt;"")),1,0))</f>
        <v/>
      </c>
      <c r="BO385" s="52" t="str">
        <f aca="false">IF(OR(COUNT(B385:D1384)=0,COUNT(G385:I1384)=0,'Choix pédagogiques'!C$3&lt;&gt;3),"",IF(AND('Choix pédagogiques'!$C$3=3,$B385&lt;&gt;"",$C385&lt;&gt;"",$D385&lt;&gt;"",$G385&lt;&gt;"",$H385&lt;&gt;"",$I385&lt;&gt;""),1,0))</f>
        <v/>
      </c>
      <c r="BR385" s="52" t="n">
        <v>224</v>
      </c>
      <c r="BS385" s="52" t="n">
        <v>1839</v>
      </c>
    </row>
    <row r="386" s="54" customFormat="true" ht="18" hidden="false" customHeight="true" outlineLevel="0" collapsed="false">
      <c r="A386" s="57" t="s">
        <v>703</v>
      </c>
      <c r="B386" s="51"/>
      <c r="C386" s="51"/>
      <c r="D386" s="51"/>
      <c r="E386" s="51"/>
      <c r="F386" s="57" t="s">
        <v>704</v>
      </c>
      <c r="G386" s="51"/>
      <c r="H386" s="51"/>
      <c r="I386" s="51"/>
      <c r="J386" s="51"/>
      <c r="K386" s="52" t="str">
        <f aca="false">IF($A386&lt;&gt;"",$A386,"")</f>
        <v>Apprenant 374</v>
      </c>
      <c r="L386" s="53" t="str">
        <f aca="false">IF(AND($B386&lt;&gt;"",$C386&lt;&gt;""),$C386-$B386,"")</f>
        <v/>
      </c>
      <c r="M386" s="53" t="str">
        <f aca="false">IF(AND($B386&lt;&gt;"",$D386&lt;&gt;""),$D386-$B386,"")</f>
        <v/>
      </c>
      <c r="N386" s="53" t="str">
        <f aca="false">IF(AND($C386&lt;&gt;"",$D386&lt;&gt;""),$D386-$C386,"")</f>
        <v/>
      </c>
      <c r="O386" s="53" t="str">
        <f aca="false">IF($E386&lt;&gt;"",$E386,"")</f>
        <v/>
      </c>
      <c r="P386" s="52" t="str">
        <f aca="false">IF($F386&lt;&gt;"",$F386,"")</f>
        <v>Apprenant 374 ou 374'</v>
      </c>
      <c r="Q386" s="53" t="str">
        <f aca="false">IF(AND($G386&lt;&gt;"",$H386&lt;&gt;""),$H386-$G386,"")</f>
        <v/>
      </c>
      <c r="R386" s="53" t="str">
        <f aca="false">IF(AND($G386&lt;&gt;"",$I386&lt;&gt;""),$I386-$G386,"")</f>
        <v/>
      </c>
      <c r="S386" s="53" t="str">
        <f aca="false">IF(AND($H386&lt;&gt;"",$I386&lt;&gt;""),$I386-$H386,"")</f>
        <v/>
      </c>
      <c r="T386" s="53" t="str">
        <f aca="false">IF($J386&lt;&gt;"",$J386,"")</f>
        <v/>
      </c>
      <c r="V386" s="52" t="str">
        <f aca="false">IF($A386&lt;&gt;"",$A386,"")</f>
        <v>Apprenant 374</v>
      </c>
      <c r="W386" s="53" t="str">
        <f aca="false">IF(AND(OR('Choix pédagogiques'!$C$3=1,'Choix pédagogiques'!$C$3=2),$BM386=1),B386,IF(AND('Choix pédagogiques'!$C$3=3,$BO386=1),B386,""))</f>
        <v/>
      </c>
      <c r="X386" s="53" t="str">
        <f aca="false">IF(AND(OR('Choix pédagogiques'!$C$3=1,'Choix pédagogiques'!$C$3=2),$BM386=1),C386,IF(AND('Choix pédagogiques'!$C$3=3,$BO386=1),C386,""))</f>
        <v/>
      </c>
      <c r="Y386" s="53" t="str">
        <f aca="false">IF(AND(OR('Choix pédagogiques'!$C$3=1,'Choix pédagogiques'!$C$3=2),$BM386=1),D386,IF(AND('Choix pédagogiques'!$C$3=3,$BO386=1),D386,""))</f>
        <v/>
      </c>
      <c r="Z386" s="53" t="str">
        <f aca="false">IF($E386&lt;&gt;"",$E386,"")</f>
        <v/>
      </c>
      <c r="AA386" s="52" t="str">
        <f aca="false">IF($F386&lt;&gt;"",$F386,"")</f>
        <v>Apprenant 374 ou 374'</v>
      </c>
      <c r="AB386" s="53" t="str">
        <f aca="false">IF(AND(OR('Choix pédagogiques'!$C$3=1,'Choix pédagogiques'!$C$3=2),$BN386=1),G386,IF(AND('Choix pédagogiques'!$C$3=3,$BO386=1),G386,""))</f>
        <v/>
      </c>
      <c r="AC386" s="53" t="str">
        <f aca="false">IF(AND(OR('Choix pédagogiques'!$C$3=1,'Choix pédagogiques'!$C$3=2),$BN386=1),H386,IF(AND('Choix pédagogiques'!$C$3=3,$BO386=1),H386,""))</f>
        <v/>
      </c>
      <c r="AD386" s="53" t="str">
        <f aca="false">IF(AND(OR('Choix pédagogiques'!$C$3=1,'Choix pédagogiques'!$C$3=2),$BN386=1),I386,IF(AND('Choix pédagogiques'!$C$3=3,$BO386=1),I386,""))</f>
        <v/>
      </c>
      <c r="AE386" s="53" t="str">
        <f aca="false">IF($J386&lt;&gt;"",$J386,"")</f>
        <v/>
      </c>
      <c r="AF386" s="52" t="str">
        <f aca="false">IF($A386&lt;&gt;"",$A386,"")</f>
        <v>Apprenant 374</v>
      </c>
      <c r="AG386" s="53" t="str">
        <f aca="false">IF(AND($W386&lt;&gt;"",$X386&lt;&gt;""),$X386-$W386,"")</f>
        <v/>
      </c>
      <c r="AH386" s="53" t="str">
        <f aca="false">IF(AND($W386&lt;&gt;"",$Y386&lt;&gt;""),$Y386-$W386,"")</f>
        <v/>
      </c>
      <c r="AI386" s="53" t="str">
        <f aca="false">IF(AND($X386&lt;&gt;"",$Y386&lt;&gt;""),$Y386-$X386,"")</f>
        <v/>
      </c>
      <c r="AJ386" s="53" t="str">
        <f aca="false">IF($E386&lt;&gt;"",$E386,"")</f>
        <v/>
      </c>
      <c r="AK386" s="52" t="str">
        <f aca="false">IF($F386&lt;&gt;"",$F386,"")</f>
        <v>Apprenant 374 ou 374'</v>
      </c>
      <c r="AL386" s="53" t="str">
        <f aca="false">IF(AND($AB386&lt;&gt;"",$AC386&lt;&gt;""),$AC386-$AB386,"")</f>
        <v/>
      </c>
      <c r="AM386" s="53" t="str">
        <f aca="false">IF(AND($AB386&lt;&gt;"",$AD386&lt;&gt;""),$AD386-$AB386,"")</f>
        <v/>
      </c>
      <c r="AN386" s="53" t="str">
        <f aca="false">IF(AND($AC386&lt;&gt;"",$AD386&lt;&gt;""),$AD386-$AC386,"")</f>
        <v/>
      </c>
      <c r="AO386" s="53" t="str">
        <f aca="false">IF($J386&lt;&gt;"",$J386,"")</f>
        <v/>
      </c>
      <c r="AQ386" s="52" t="str">
        <f aca="false">IF($A386&lt;&gt;"",$A386,"")</f>
        <v>Apprenant 374</v>
      </c>
      <c r="AR386" s="55" t="str">
        <f aca="false">IF(AND('Choix pédagogiques'!$C$4&lt;&gt;"?",'Choix pédagogiques'!$C$5&lt;&gt;"?",W386&lt;&gt;""),(W386-'Choix pédagogiques'!$C$4)/('Choix pédagogiques'!$C$5-'Choix pédagogiques'!$C$4),"")</f>
        <v/>
      </c>
      <c r="AS386" s="55" t="str">
        <f aca="false">IF(AND('Choix pédagogiques'!$C$4&lt;&gt;"?",'Choix pédagogiques'!$C$5&lt;&gt;"?",X386&lt;&gt;""),(X386-'Choix pédagogiques'!$C$4)/('Choix pédagogiques'!$C$5-'Choix pédagogiques'!$C$4),"")</f>
        <v/>
      </c>
      <c r="AT386" s="55" t="str">
        <f aca="false">IF(AND('Choix pédagogiques'!$C$4&lt;&gt;"?",'Choix pédagogiques'!$C$5&lt;&gt;"?",Y386&lt;&gt;""),(Y386-'Choix pédagogiques'!$C$4)/('Choix pédagogiques'!$C$5-'Choix pédagogiques'!$C$4),"")</f>
        <v/>
      </c>
      <c r="AU386" s="53" t="str">
        <f aca="false">IF($E386&lt;&gt;"",$E386,"")</f>
        <v/>
      </c>
      <c r="AV386" s="52" t="str">
        <f aca="false">IF($F386&lt;&gt;"",$F386,"")</f>
        <v>Apprenant 374 ou 374'</v>
      </c>
      <c r="AW386" s="55" t="str">
        <f aca="false">IF(AND('Choix pédagogiques'!$C$4&lt;&gt;"?",'Choix pédagogiques'!$C$5&lt;&gt;"?",AB386&lt;&gt;""),(AB386-'Choix pédagogiques'!$C$4)/('Choix pédagogiques'!$C$5-'Choix pédagogiques'!$C$4),"")</f>
        <v/>
      </c>
      <c r="AX386" s="55" t="str">
        <f aca="false">IF(AND('Choix pédagogiques'!$C$4&lt;&gt;"?",'Choix pédagogiques'!$C$5&lt;&gt;"?",AC386&lt;&gt;""),(AC386-'Choix pédagogiques'!$C$4)/('Choix pédagogiques'!$C$5-'Choix pédagogiques'!$C$4),"")</f>
        <v/>
      </c>
      <c r="AY386" s="55" t="str">
        <f aca="false">IF(AND('Choix pédagogiques'!$C$4&lt;&gt;"?",'Choix pédagogiques'!$C$5&lt;&gt;"?",AD386&lt;&gt;""),(AD386-'Choix pédagogiques'!$C$4)/('Choix pédagogiques'!$C$5-'Choix pédagogiques'!$C$4),"")</f>
        <v/>
      </c>
      <c r="AZ386" s="53" t="str">
        <f aca="false">IF($J386&lt;&gt;"",$J386,"")</f>
        <v/>
      </c>
      <c r="BA386" s="52" t="str">
        <f aca="false">IF($A386&lt;&gt;"",$A386,"")</f>
        <v>Apprenant 374</v>
      </c>
      <c r="BB386" s="55" t="str">
        <f aca="false">IF(AND($AR386&lt;&gt;"",$AS386&lt;&gt;""),$AS386-$AR386,"")</f>
        <v/>
      </c>
      <c r="BC386" s="55" t="str">
        <f aca="false">IF(AND($AR386&lt;&gt;"",$AT386&lt;&gt;""),$AT386-$AR386,"")</f>
        <v/>
      </c>
      <c r="BD386" s="55" t="str">
        <f aca="false">IF(AND($AS386&lt;&gt;"",$AT386&lt;&gt;""),$AT386-$AS386,"")</f>
        <v/>
      </c>
      <c r="BE386" s="53" t="str">
        <f aca="false">IF($E386&lt;&gt;"",$E386,"")</f>
        <v/>
      </c>
      <c r="BF386" s="52" t="str">
        <f aca="false">IF($F386&lt;&gt;"",$F386,"")</f>
        <v>Apprenant 374 ou 374'</v>
      </c>
      <c r="BG386" s="55" t="str">
        <f aca="false">IF(AND($AW386&lt;&gt;"",$AX386&lt;&gt;""),$AX386-$AW386,"")</f>
        <v/>
      </c>
      <c r="BH386" s="55" t="str">
        <f aca="false">IF(AND($AW386&lt;&gt;"",$AY386&lt;&gt;""),$AY386-$AW386,"")</f>
        <v/>
      </c>
      <c r="BI386" s="55" t="str">
        <f aca="false">IF(AND($AX386&lt;&gt;"",$AY386&lt;&gt;""),$AY386-$AX386,"")</f>
        <v/>
      </c>
      <c r="BJ386" s="53" t="str">
        <f aca="false">IF($J386&lt;&gt;"",$J386,"")</f>
        <v/>
      </c>
      <c r="BL386" s="52"/>
      <c r="BM386" s="52" t="str">
        <f aca="false">IF(OR(COUNT(B386:D1385)=0,AND('Choix pédagogiques'!$C$3&lt;&gt;1,'Choix pédagogiques'!$C$3&lt;&gt;2)),"",IF(AND(OR('Choix pédagogiques'!$C$3=1,'Choix pédagogiques'!$C$3=2),$B386&lt;&gt;"",$C386&lt;&gt;"",$D386&lt;&gt;""),1,0))</f>
        <v/>
      </c>
      <c r="BN386" s="52" t="str">
        <f aca="false">IF(OR(COUNT(G386:I1385)=0,AND('Choix pédagogiques'!$C$3&lt;&gt;1,'Choix pédagogiques'!$C$3&lt;&gt;2)),"",IF(AND(OR('Choix pédagogiques'!$C$3=1,'Choix pédagogiques'!$C$3=2),AND($G386&lt;&gt;"",$H386&lt;&gt;"",$I386&lt;&gt;"")),1,0))</f>
        <v/>
      </c>
      <c r="BO386" s="52" t="str">
        <f aca="false">IF(OR(COUNT(B386:D1385)=0,COUNT(G386:I1385)=0,'Choix pédagogiques'!C$3&lt;&gt;3),"",IF(AND('Choix pédagogiques'!$C$3=3,$B386&lt;&gt;"",$C386&lt;&gt;"",$D386&lt;&gt;"",$G386&lt;&gt;"",$H386&lt;&gt;"",$I386&lt;&gt;""),1,0))</f>
        <v/>
      </c>
      <c r="BR386" s="52" t="n">
        <v>317</v>
      </c>
      <c r="BS386" s="52" t="n">
        <v>1711</v>
      </c>
    </row>
    <row r="387" s="54" customFormat="true" ht="18" hidden="false" customHeight="true" outlineLevel="0" collapsed="false">
      <c r="A387" s="57" t="s">
        <v>705</v>
      </c>
      <c r="B387" s="51"/>
      <c r="C387" s="51"/>
      <c r="D387" s="51"/>
      <c r="E387" s="51"/>
      <c r="F387" s="57" t="s">
        <v>706</v>
      </c>
      <c r="G387" s="51"/>
      <c r="H387" s="51"/>
      <c r="I387" s="51"/>
      <c r="J387" s="51"/>
      <c r="K387" s="52" t="str">
        <f aca="false">IF($A387&lt;&gt;"",$A387,"")</f>
        <v>Apprenant 375</v>
      </c>
      <c r="L387" s="53" t="str">
        <f aca="false">IF(AND($B387&lt;&gt;"",$C387&lt;&gt;""),$C387-$B387,"")</f>
        <v/>
      </c>
      <c r="M387" s="53" t="str">
        <f aca="false">IF(AND($B387&lt;&gt;"",$D387&lt;&gt;""),$D387-$B387,"")</f>
        <v/>
      </c>
      <c r="N387" s="53" t="str">
        <f aca="false">IF(AND($C387&lt;&gt;"",$D387&lt;&gt;""),$D387-$C387,"")</f>
        <v/>
      </c>
      <c r="O387" s="53" t="str">
        <f aca="false">IF($E387&lt;&gt;"",$E387,"")</f>
        <v/>
      </c>
      <c r="P387" s="52" t="str">
        <f aca="false">IF($F387&lt;&gt;"",$F387,"")</f>
        <v>Apprenant 375 ou 375'</v>
      </c>
      <c r="Q387" s="53" t="str">
        <f aca="false">IF(AND($G387&lt;&gt;"",$H387&lt;&gt;""),$H387-$G387,"")</f>
        <v/>
      </c>
      <c r="R387" s="53" t="str">
        <f aca="false">IF(AND($G387&lt;&gt;"",$I387&lt;&gt;""),$I387-$G387,"")</f>
        <v/>
      </c>
      <c r="S387" s="53" t="str">
        <f aca="false">IF(AND($H387&lt;&gt;"",$I387&lt;&gt;""),$I387-$H387,"")</f>
        <v/>
      </c>
      <c r="T387" s="53" t="str">
        <f aca="false">IF($J387&lt;&gt;"",$J387,"")</f>
        <v/>
      </c>
      <c r="V387" s="52" t="str">
        <f aca="false">IF($A387&lt;&gt;"",$A387,"")</f>
        <v>Apprenant 375</v>
      </c>
      <c r="W387" s="53" t="str">
        <f aca="false">IF(AND(OR('Choix pédagogiques'!$C$3=1,'Choix pédagogiques'!$C$3=2),$BM387=1),B387,IF(AND('Choix pédagogiques'!$C$3=3,$BO387=1),B387,""))</f>
        <v/>
      </c>
      <c r="X387" s="53" t="str">
        <f aca="false">IF(AND(OR('Choix pédagogiques'!$C$3=1,'Choix pédagogiques'!$C$3=2),$BM387=1),C387,IF(AND('Choix pédagogiques'!$C$3=3,$BO387=1),C387,""))</f>
        <v/>
      </c>
      <c r="Y387" s="53" t="str">
        <f aca="false">IF(AND(OR('Choix pédagogiques'!$C$3=1,'Choix pédagogiques'!$C$3=2),$BM387=1),D387,IF(AND('Choix pédagogiques'!$C$3=3,$BO387=1),D387,""))</f>
        <v/>
      </c>
      <c r="Z387" s="53" t="str">
        <f aca="false">IF($E387&lt;&gt;"",$E387,"")</f>
        <v/>
      </c>
      <c r="AA387" s="52" t="str">
        <f aca="false">IF($F387&lt;&gt;"",$F387,"")</f>
        <v>Apprenant 375 ou 375'</v>
      </c>
      <c r="AB387" s="53" t="str">
        <f aca="false">IF(AND(OR('Choix pédagogiques'!$C$3=1,'Choix pédagogiques'!$C$3=2),$BN387=1),G387,IF(AND('Choix pédagogiques'!$C$3=3,$BO387=1),G387,""))</f>
        <v/>
      </c>
      <c r="AC387" s="53" t="str">
        <f aca="false">IF(AND(OR('Choix pédagogiques'!$C$3=1,'Choix pédagogiques'!$C$3=2),$BN387=1),H387,IF(AND('Choix pédagogiques'!$C$3=3,$BO387=1),H387,""))</f>
        <v/>
      </c>
      <c r="AD387" s="53" t="str">
        <f aca="false">IF(AND(OR('Choix pédagogiques'!$C$3=1,'Choix pédagogiques'!$C$3=2),$BN387=1),I387,IF(AND('Choix pédagogiques'!$C$3=3,$BO387=1),I387,""))</f>
        <v/>
      </c>
      <c r="AE387" s="53" t="str">
        <f aca="false">IF($J387&lt;&gt;"",$J387,"")</f>
        <v/>
      </c>
      <c r="AF387" s="52" t="str">
        <f aca="false">IF($A387&lt;&gt;"",$A387,"")</f>
        <v>Apprenant 375</v>
      </c>
      <c r="AG387" s="53" t="str">
        <f aca="false">IF(AND($W387&lt;&gt;"",$X387&lt;&gt;""),$X387-$W387,"")</f>
        <v/>
      </c>
      <c r="AH387" s="53" t="str">
        <f aca="false">IF(AND($W387&lt;&gt;"",$Y387&lt;&gt;""),$Y387-$W387,"")</f>
        <v/>
      </c>
      <c r="AI387" s="53" t="str">
        <f aca="false">IF(AND($X387&lt;&gt;"",$Y387&lt;&gt;""),$Y387-$X387,"")</f>
        <v/>
      </c>
      <c r="AJ387" s="53" t="str">
        <f aca="false">IF($E387&lt;&gt;"",$E387,"")</f>
        <v/>
      </c>
      <c r="AK387" s="52" t="str">
        <f aca="false">IF($F387&lt;&gt;"",$F387,"")</f>
        <v>Apprenant 375 ou 375'</v>
      </c>
      <c r="AL387" s="53" t="str">
        <f aca="false">IF(AND($AB387&lt;&gt;"",$AC387&lt;&gt;""),$AC387-$AB387,"")</f>
        <v/>
      </c>
      <c r="AM387" s="53" t="str">
        <f aca="false">IF(AND($AB387&lt;&gt;"",$AD387&lt;&gt;""),$AD387-$AB387,"")</f>
        <v/>
      </c>
      <c r="AN387" s="53" t="str">
        <f aca="false">IF(AND($AC387&lt;&gt;"",$AD387&lt;&gt;""),$AD387-$AC387,"")</f>
        <v/>
      </c>
      <c r="AO387" s="53" t="str">
        <f aca="false">IF($J387&lt;&gt;"",$J387,"")</f>
        <v/>
      </c>
      <c r="AQ387" s="52" t="str">
        <f aca="false">IF($A387&lt;&gt;"",$A387,"")</f>
        <v>Apprenant 375</v>
      </c>
      <c r="AR387" s="55" t="str">
        <f aca="false">IF(AND('Choix pédagogiques'!$C$4&lt;&gt;"?",'Choix pédagogiques'!$C$5&lt;&gt;"?",W387&lt;&gt;""),(W387-'Choix pédagogiques'!$C$4)/('Choix pédagogiques'!$C$5-'Choix pédagogiques'!$C$4),"")</f>
        <v/>
      </c>
      <c r="AS387" s="55" t="str">
        <f aca="false">IF(AND('Choix pédagogiques'!$C$4&lt;&gt;"?",'Choix pédagogiques'!$C$5&lt;&gt;"?",X387&lt;&gt;""),(X387-'Choix pédagogiques'!$C$4)/('Choix pédagogiques'!$C$5-'Choix pédagogiques'!$C$4),"")</f>
        <v/>
      </c>
      <c r="AT387" s="55" t="str">
        <f aca="false">IF(AND('Choix pédagogiques'!$C$4&lt;&gt;"?",'Choix pédagogiques'!$C$5&lt;&gt;"?",Y387&lt;&gt;""),(Y387-'Choix pédagogiques'!$C$4)/('Choix pédagogiques'!$C$5-'Choix pédagogiques'!$C$4),"")</f>
        <v/>
      </c>
      <c r="AU387" s="53" t="str">
        <f aca="false">IF($E387&lt;&gt;"",$E387,"")</f>
        <v/>
      </c>
      <c r="AV387" s="52" t="str">
        <f aca="false">IF($F387&lt;&gt;"",$F387,"")</f>
        <v>Apprenant 375 ou 375'</v>
      </c>
      <c r="AW387" s="55" t="str">
        <f aca="false">IF(AND('Choix pédagogiques'!$C$4&lt;&gt;"?",'Choix pédagogiques'!$C$5&lt;&gt;"?",AB387&lt;&gt;""),(AB387-'Choix pédagogiques'!$C$4)/('Choix pédagogiques'!$C$5-'Choix pédagogiques'!$C$4),"")</f>
        <v/>
      </c>
      <c r="AX387" s="55" t="str">
        <f aca="false">IF(AND('Choix pédagogiques'!$C$4&lt;&gt;"?",'Choix pédagogiques'!$C$5&lt;&gt;"?",AC387&lt;&gt;""),(AC387-'Choix pédagogiques'!$C$4)/('Choix pédagogiques'!$C$5-'Choix pédagogiques'!$C$4),"")</f>
        <v/>
      </c>
      <c r="AY387" s="55" t="str">
        <f aca="false">IF(AND('Choix pédagogiques'!$C$4&lt;&gt;"?",'Choix pédagogiques'!$C$5&lt;&gt;"?",AD387&lt;&gt;""),(AD387-'Choix pédagogiques'!$C$4)/('Choix pédagogiques'!$C$5-'Choix pédagogiques'!$C$4),"")</f>
        <v/>
      </c>
      <c r="AZ387" s="53" t="str">
        <f aca="false">IF($J387&lt;&gt;"",$J387,"")</f>
        <v/>
      </c>
      <c r="BA387" s="52" t="str">
        <f aca="false">IF($A387&lt;&gt;"",$A387,"")</f>
        <v>Apprenant 375</v>
      </c>
      <c r="BB387" s="55" t="str">
        <f aca="false">IF(AND($AR387&lt;&gt;"",$AS387&lt;&gt;""),$AS387-$AR387,"")</f>
        <v/>
      </c>
      <c r="BC387" s="55" t="str">
        <f aca="false">IF(AND($AR387&lt;&gt;"",$AT387&lt;&gt;""),$AT387-$AR387,"")</f>
        <v/>
      </c>
      <c r="BD387" s="55" t="str">
        <f aca="false">IF(AND($AS387&lt;&gt;"",$AT387&lt;&gt;""),$AT387-$AS387,"")</f>
        <v/>
      </c>
      <c r="BE387" s="53" t="str">
        <f aca="false">IF($E387&lt;&gt;"",$E387,"")</f>
        <v/>
      </c>
      <c r="BF387" s="52" t="str">
        <f aca="false">IF($F387&lt;&gt;"",$F387,"")</f>
        <v>Apprenant 375 ou 375'</v>
      </c>
      <c r="BG387" s="55" t="str">
        <f aca="false">IF(AND($AW387&lt;&gt;"",$AX387&lt;&gt;""),$AX387-$AW387,"")</f>
        <v/>
      </c>
      <c r="BH387" s="55" t="str">
        <f aca="false">IF(AND($AW387&lt;&gt;"",$AY387&lt;&gt;""),$AY387-$AW387,"")</f>
        <v/>
      </c>
      <c r="BI387" s="55" t="str">
        <f aca="false">IF(AND($AX387&lt;&gt;"",$AY387&lt;&gt;""),$AY387-$AX387,"")</f>
        <v/>
      </c>
      <c r="BJ387" s="53" t="str">
        <f aca="false">IF($J387&lt;&gt;"",$J387,"")</f>
        <v/>
      </c>
      <c r="BL387" s="52"/>
      <c r="BM387" s="52" t="str">
        <f aca="false">IF(OR(COUNT(B387:D1386)=0,AND('Choix pédagogiques'!$C$3&lt;&gt;1,'Choix pédagogiques'!$C$3&lt;&gt;2)),"",IF(AND(OR('Choix pédagogiques'!$C$3=1,'Choix pédagogiques'!$C$3=2),$B387&lt;&gt;"",$C387&lt;&gt;"",$D387&lt;&gt;""),1,0))</f>
        <v/>
      </c>
      <c r="BN387" s="52" t="str">
        <f aca="false">IF(OR(COUNT(G387:I1386)=0,AND('Choix pédagogiques'!$C$3&lt;&gt;1,'Choix pédagogiques'!$C$3&lt;&gt;2)),"",IF(AND(OR('Choix pédagogiques'!$C$3=1,'Choix pédagogiques'!$C$3=2),AND($G387&lt;&gt;"",$H387&lt;&gt;"",$I387&lt;&gt;"")),1,0))</f>
        <v/>
      </c>
      <c r="BO387" s="52" t="str">
        <f aca="false">IF(OR(COUNT(B387:D1386)=0,COUNT(G387:I1386)=0,'Choix pédagogiques'!C$3&lt;&gt;3),"",IF(AND('Choix pédagogiques'!$C$3=3,$B387&lt;&gt;"",$C387&lt;&gt;"",$D387&lt;&gt;"",$G387&lt;&gt;"",$H387&lt;&gt;"",$I387&lt;&gt;""),1,0))</f>
        <v/>
      </c>
      <c r="BR387" s="52" t="n">
        <v>372</v>
      </c>
      <c r="BS387" s="52" t="n">
        <v>1901</v>
      </c>
    </row>
    <row r="388" s="54" customFormat="true" ht="18" hidden="false" customHeight="true" outlineLevel="0" collapsed="false">
      <c r="A388" s="57" t="s">
        <v>707</v>
      </c>
      <c r="B388" s="51"/>
      <c r="C388" s="51"/>
      <c r="D388" s="51"/>
      <c r="E388" s="51"/>
      <c r="F388" s="57" t="s">
        <v>708</v>
      </c>
      <c r="G388" s="51"/>
      <c r="H388" s="51"/>
      <c r="I388" s="51"/>
      <c r="J388" s="51"/>
      <c r="K388" s="52" t="str">
        <f aca="false">IF($A388&lt;&gt;"",$A388,"")</f>
        <v>Apprenant 376</v>
      </c>
      <c r="L388" s="53" t="str">
        <f aca="false">IF(AND($B388&lt;&gt;"",$C388&lt;&gt;""),$C388-$B388,"")</f>
        <v/>
      </c>
      <c r="M388" s="53" t="str">
        <f aca="false">IF(AND($B388&lt;&gt;"",$D388&lt;&gt;""),$D388-$B388,"")</f>
        <v/>
      </c>
      <c r="N388" s="53" t="str">
        <f aca="false">IF(AND($C388&lt;&gt;"",$D388&lt;&gt;""),$D388-$C388,"")</f>
        <v/>
      </c>
      <c r="O388" s="53" t="str">
        <f aca="false">IF($E388&lt;&gt;"",$E388,"")</f>
        <v/>
      </c>
      <c r="P388" s="52" t="str">
        <f aca="false">IF($F388&lt;&gt;"",$F388,"")</f>
        <v>Apprenant 376 ou 376'</v>
      </c>
      <c r="Q388" s="53" t="str">
        <f aca="false">IF(AND($G388&lt;&gt;"",$H388&lt;&gt;""),$H388-$G388,"")</f>
        <v/>
      </c>
      <c r="R388" s="53" t="str">
        <f aca="false">IF(AND($G388&lt;&gt;"",$I388&lt;&gt;""),$I388-$G388,"")</f>
        <v/>
      </c>
      <c r="S388" s="53" t="str">
        <f aca="false">IF(AND($H388&lt;&gt;"",$I388&lt;&gt;""),$I388-$H388,"")</f>
        <v/>
      </c>
      <c r="T388" s="53" t="str">
        <f aca="false">IF($J388&lt;&gt;"",$J388,"")</f>
        <v/>
      </c>
      <c r="V388" s="52" t="str">
        <f aca="false">IF($A388&lt;&gt;"",$A388,"")</f>
        <v>Apprenant 376</v>
      </c>
      <c r="W388" s="53" t="str">
        <f aca="false">IF(AND(OR('Choix pédagogiques'!$C$3=1,'Choix pédagogiques'!$C$3=2),$BM388=1),B388,IF(AND('Choix pédagogiques'!$C$3=3,$BO388=1),B388,""))</f>
        <v/>
      </c>
      <c r="X388" s="53" t="str">
        <f aca="false">IF(AND(OR('Choix pédagogiques'!$C$3=1,'Choix pédagogiques'!$C$3=2),$BM388=1),C388,IF(AND('Choix pédagogiques'!$C$3=3,$BO388=1),C388,""))</f>
        <v/>
      </c>
      <c r="Y388" s="53" t="str">
        <f aca="false">IF(AND(OR('Choix pédagogiques'!$C$3=1,'Choix pédagogiques'!$C$3=2),$BM388=1),D388,IF(AND('Choix pédagogiques'!$C$3=3,$BO388=1),D388,""))</f>
        <v/>
      </c>
      <c r="Z388" s="53" t="str">
        <f aca="false">IF($E388&lt;&gt;"",$E388,"")</f>
        <v/>
      </c>
      <c r="AA388" s="52" t="str">
        <f aca="false">IF($F388&lt;&gt;"",$F388,"")</f>
        <v>Apprenant 376 ou 376'</v>
      </c>
      <c r="AB388" s="53" t="str">
        <f aca="false">IF(AND(OR('Choix pédagogiques'!$C$3=1,'Choix pédagogiques'!$C$3=2),$BN388=1),G388,IF(AND('Choix pédagogiques'!$C$3=3,$BO388=1),G388,""))</f>
        <v/>
      </c>
      <c r="AC388" s="53" t="str">
        <f aca="false">IF(AND(OR('Choix pédagogiques'!$C$3=1,'Choix pédagogiques'!$C$3=2),$BN388=1),H388,IF(AND('Choix pédagogiques'!$C$3=3,$BO388=1),H388,""))</f>
        <v/>
      </c>
      <c r="AD388" s="53" t="str">
        <f aca="false">IF(AND(OR('Choix pédagogiques'!$C$3=1,'Choix pédagogiques'!$C$3=2),$BN388=1),I388,IF(AND('Choix pédagogiques'!$C$3=3,$BO388=1),I388,""))</f>
        <v/>
      </c>
      <c r="AE388" s="53" t="str">
        <f aca="false">IF($J388&lt;&gt;"",$J388,"")</f>
        <v/>
      </c>
      <c r="AF388" s="52" t="str">
        <f aca="false">IF($A388&lt;&gt;"",$A388,"")</f>
        <v>Apprenant 376</v>
      </c>
      <c r="AG388" s="53" t="str">
        <f aca="false">IF(AND($W388&lt;&gt;"",$X388&lt;&gt;""),$X388-$W388,"")</f>
        <v/>
      </c>
      <c r="AH388" s="53" t="str">
        <f aca="false">IF(AND($W388&lt;&gt;"",$Y388&lt;&gt;""),$Y388-$W388,"")</f>
        <v/>
      </c>
      <c r="AI388" s="53" t="str">
        <f aca="false">IF(AND($X388&lt;&gt;"",$Y388&lt;&gt;""),$Y388-$X388,"")</f>
        <v/>
      </c>
      <c r="AJ388" s="53" t="str">
        <f aca="false">IF($E388&lt;&gt;"",$E388,"")</f>
        <v/>
      </c>
      <c r="AK388" s="52" t="str">
        <f aca="false">IF($F388&lt;&gt;"",$F388,"")</f>
        <v>Apprenant 376 ou 376'</v>
      </c>
      <c r="AL388" s="53" t="str">
        <f aca="false">IF(AND($AB388&lt;&gt;"",$AC388&lt;&gt;""),$AC388-$AB388,"")</f>
        <v/>
      </c>
      <c r="AM388" s="53" t="str">
        <f aca="false">IF(AND($AB388&lt;&gt;"",$AD388&lt;&gt;""),$AD388-$AB388,"")</f>
        <v/>
      </c>
      <c r="AN388" s="53" t="str">
        <f aca="false">IF(AND($AC388&lt;&gt;"",$AD388&lt;&gt;""),$AD388-$AC388,"")</f>
        <v/>
      </c>
      <c r="AO388" s="53" t="str">
        <f aca="false">IF($J388&lt;&gt;"",$J388,"")</f>
        <v/>
      </c>
      <c r="AQ388" s="52" t="str">
        <f aca="false">IF($A388&lt;&gt;"",$A388,"")</f>
        <v>Apprenant 376</v>
      </c>
      <c r="AR388" s="55" t="str">
        <f aca="false">IF(AND('Choix pédagogiques'!$C$4&lt;&gt;"?",'Choix pédagogiques'!$C$5&lt;&gt;"?",W388&lt;&gt;""),(W388-'Choix pédagogiques'!$C$4)/('Choix pédagogiques'!$C$5-'Choix pédagogiques'!$C$4),"")</f>
        <v/>
      </c>
      <c r="AS388" s="55" t="str">
        <f aca="false">IF(AND('Choix pédagogiques'!$C$4&lt;&gt;"?",'Choix pédagogiques'!$C$5&lt;&gt;"?",X388&lt;&gt;""),(X388-'Choix pédagogiques'!$C$4)/('Choix pédagogiques'!$C$5-'Choix pédagogiques'!$C$4),"")</f>
        <v/>
      </c>
      <c r="AT388" s="55" t="str">
        <f aca="false">IF(AND('Choix pédagogiques'!$C$4&lt;&gt;"?",'Choix pédagogiques'!$C$5&lt;&gt;"?",Y388&lt;&gt;""),(Y388-'Choix pédagogiques'!$C$4)/('Choix pédagogiques'!$C$5-'Choix pédagogiques'!$C$4),"")</f>
        <v/>
      </c>
      <c r="AU388" s="53" t="str">
        <f aca="false">IF($E388&lt;&gt;"",$E388,"")</f>
        <v/>
      </c>
      <c r="AV388" s="52" t="str">
        <f aca="false">IF($F388&lt;&gt;"",$F388,"")</f>
        <v>Apprenant 376 ou 376'</v>
      </c>
      <c r="AW388" s="55" t="str">
        <f aca="false">IF(AND('Choix pédagogiques'!$C$4&lt;&gt;"?",'Choix pédagogiques'!$C$5&lt;&gt;"?",AB388&lt;&gt;""),(AB388-'Choix pédagogiques'!$C$4)/('Choix pédagogiques'!$C$5-'Choix pédagogiques'!$C$4),"")</f>
        <v/>
      </c>
      <c r="AX388" s="55" t="str">
        <f aca="false">IF(AND('Choix pédagogiques'!$C$4&lt;&gt;"?",'Choix pédagogiques'!$C$5&lt;&gt;"?",AC388&lt;&gt;""),(AC388-'Choix pédagogiques'!$C$4)/('Choix pédagogiques'!$C$5-'Choix pédagogiques'!$C$4),"")</f>
        <v/>
      </c>
      <c r="AY388" s="55" t="str">
        <f aca="false">IF(AND('Choix pédagogiques'!$C$4&lt;&gt;"?",'Choix pédagogiques'!$C$5&lt;&gt;"?",AD388&lt;&gt;""),(AD388-'Choix pédagogiques'!$C$4)/('Choix pédagogiques'!$C$5-'Choix pédagogiques'!$C$4),"")</f>
        <v/>
      </c>
      <c r="AZ388" s="53" t="str">
        <f aca="false">IF($J388&lt;&gt;"",$J388,"")</f>
        <v/>
      </c>
      <c r="BA388" s="52" t="str">
        <f aca="false">IF($A388&lt;&gt;"",$A388,"")</f>
        <v>Apprenant 376</v>
      </c>
      <c r="BB388" s="55" t="str">
        <f aca="false">IF(AND($AR388&lt;&gt;"",$AS388&lt;&gt;""),$AS388-$AR388,"")</f>
        <v/>
      </c>
      <c r="BC388" s="55" t="str">
        <f aca="false">IF(AND($AR388&lt;&gt;"",$AT388&lt;&gt;""),$AT388-$AR388,"")</f>
        <v/>
      </c>
      <c r="BD388" s="55" t="str">
        <f aca="false">IF(AND($AS388&lt;&gt;"",$AT388&lt;&gt;""),$AT388-$AS388,"")</f>
        <v/>
      </c>
      <c r="BE388" s="53" t="str">
        <f aca="false">IF($E388&lt;&gt;"",$E388,"")</f>
        <v/>
      </c>
      <c r="BF388" s="52" t="str">
        <f aca="false">IF($F388&lt;&gt;"",$F388,"")</f>
        <v>Apprenant 376 ou 376'</v>
      </c>
      <c r="BG388" s="55" t="str">
        <f aca="false">IF(AND($AW388&lt;&gt;"",$AX388&lt;&gt;""),$AX388-$AW388,"")</f>
        <v/>
      </c>
      <c r="BH388" s="55" t="str">
        <f aca="false">IF(AND($AW388&lt;&gt;"",$AY388&lt;&gt;""),$AY388-$AW388,"")</f>
        <v/>
      </c>
      <c r="BI388" s="55" t="str">
        <f aca="false">IF(AND($AX388&lt;&gt;"",$AY388&lt;&gt;""),$AY388-$AX388,"")</f>
        <v/>
      </c>
      <c r="BJ388" s="53" t="str">
        <f aca="false">IF($J388&lt;&gt;"",$J388,"")</f>
        <v/>
      </c>
      <c r="BL388" s="52"/>
      <c r="BM388" s="52" t="str">
        <f aca="false">IF(OR(COUNT(B388:D1387)=0,AND('Choix pédagogiques'!$C$3&lt;&gt;1,'Choix pédagogiques'!$C$3&lt;&gt;2)),"",IF(AND(OR('Choix pédagogiques'!$C$3=1,'Choix pédagogiques'!$C$3=2),$B388&lt;&gt;"",$C388&lt;&gt;"",$D388&lt;&gt;""),1,0))</f>
        <v/>
      </c>
      <c r="BN388" s="52" t="str">
        <f aca="false">IF(OR(COUNT(G388:I1387)=0,AND('Choix pédagogiques'!$C$3&lt;&gt;1,'Choix pédagogiques'!$C$3&lt;&gt;2)),"",IF(AND(OR('Choix pédagogiques'!$C$3=1,'Choix pédagogiques'!$C$3=2),AND($G388&lt;&gt;"",$H388&lt;&gt;"",$I388&lt;&gt;"")),1,0))</f>
        <v/>
      </c>
      <c r="BO388" s="52" t="str">
        <f aca="false">IF(OR(COUNT(B388:D1387)=0,COUNT(G388:I1387)=0,'Choix pédagogiques'!C$3&lt;&gt;3),"",IF(AND('Choix pédagogiques'!$C$3=3,$B388&lt;&gt;"",$C388&lt;&gt;"",$D388&lt;&gt;"",$G388&lt;&gt;"",$H388&lt;&gt;"",$I388&lt;&gt;""),1,0))</f>
        <v/>
      </c>
      <c r="BR388" s="52" t="n">
        <v>803</v>
      </c>
      <c r="BS388" s="52" t="n">
        <v>1363</v>
      </c>
    </row>
    <row r="389" s="54" customFormat="true" ht="18" hidden="false" customHeight="true" outlineLevel="0" collapsed="false">
      <c r="A389" s="57" t="s">
        <v>709</v>
      </c>
      <c r="B389" s="51"/>
      <c r="C389" s="51"/>
      <c r="D389" s="51"/>
      <c r="E389" s="51"/>
      <c r="F389" s="57" t="s">
        <v>710</v>
      </c>
      <c r="G389" s="51"/>
      <c r="H389" s="51"/>
      <c r="I389" s="51"/>
      <c r="J389" s="51"/>
      <c r="K389" s="52" t="str">
        <f aca="false">IF($A389&lt;&gt;"",$A389,"")</f>
        <v>Apprenant 377</v>
      </c>
      <c r="L389" s="53" t="str">
        <f aca="false">IF(AND($B389&lt;&gt;"",$C389&lt;&gt;""),$C389-$B389,"")</f>
        <v/>
      </c>
      <c r="M389" s="53" t="str">
        <f aca="false">IF(AND($B389&lt;&gt;"",$D389&lt;&gt;""),$D389-$B389,"")</f>
        <v/>
      </c>
      <c r="N389" s="53" t="str">
        <f aca="false">IF(AND($C389&lt;&gt;"",$D389&lt;&gt;""),$D389-$C389,"")</f>
        <v/>
      </c>
      <c r="O389" s="53" t="str">
        <f aca="false">IF($E389&lt;&gt;"",$E389,"")</f>
        <v/>
      </c>
      <c r="P389" s="52" t="str">
        <f aca="false">IF($F389&lt;&gt;"",$F389,"")</f>
        <v>Apprenant 377 ou 377'</v>
      </c>
      <c r="Q389" s="53" t="str">
        <f aca="false">IF(AND($G389&lt;&gt;"",$H389&lt;&gt;""),$H389-$G389,"")</f>
        <v/>
      </c>
      <c r="R389" s="53" t="str">
        <f aca="false">IF(AND($G389&lt;&gt;"",$I389&lt;&gt;""),$I389-$G389,"")</f>
        <v/>
      </c>
      <c r="S389" s="53" t="str">
        <f aca="false">IF(AND($H389&lt;&gt;"",$I389&lt;&gt;""),$I389-$H389,"")</f>
        <v/>
      </c>
      <c r="T389" s="53" t="str">
        <f aca="false">IF($J389&lt;&gt;"",$J389,"")</f>
        <v/>
      </c>
      <c r="V389" s="52" t="str">
        <f aca="false">IF($A389&lt;&gt;"",$A389,"")</f>
        <v>Apprenant 377</v>
      </c>
      <c r="W389" s="53" t="str">
        <f aca="false">IF(AND(OR('Choix pédagogiques'!$C$3=1,'Choix pédagogiques'!$C$3=2),$BM389=1),B389,IF(AND('Choix pédagogiques'!$C$3=3,$BO389=1),B389,""))</f>
        <v/>
      </c>
      <c r="X389" s="53" t="str">
        <f aca="false">IF(AND(OR('Choix pédagogiques'!$C$3=1,'Choix pédagogiques'!$C$3=2),$BM389=1),C389,IF(AND('Choix pédagogiques'!$C$3=3,$BO389=1),C389,""))</f>
        <v/>
      </c>
      <c r="Y389" s="53" t="str">
        <f aca="false">IF(AND(OR('Choix pédagogiques'!$C$3=1,'Choix pédagogiques'!$C$3=2),$BM389=1),D389,IF(AND('Choix pédagogiques'!$C$3=3,$BO389=1),D389,""))</f>
        <v/>
      </c>
      <c r="Z389" s="53" t="str">
        <f aca="false">IF($E389&lt;&gt;"",$E389,"")</f>
        <v/>
      </c>
      <c r="AA389" s="52" t="str">
        <f aca="false">IF($F389&lt;&gt;"",$F389,"")</f>
        <v>Apprenant 377 ou 377'</v>
      </c>
      <c r="AB389" s="53" t="str">
        <f aca="false">IF(AND(OR('Choix pédagogiques'!$C$3=1,'Choix pédagogiques'!$C$3=2),$BN389=1),G389,IF(AND('Choix pédagogiques'!$C$3=3,$BO389=1),G389,""))</f>
        <v/>
      </c>
      <c r="AC389" s="53" t="str">
        <f aca="false">IF(AND(OR('Choix pédagogiques'!$C$3=1,'Choix pédagogiques'!$C$3=2),$BN389=1),H389,IF(AND('Choix pédagogiques'!$C$3=3,$BO389=1),H389,""))</f>
        <v/>
      </c>
      <c r="AD389" s="53" t="str">
        <f aca="false">IF(AND(OR('Choix pédagogiques'!$C$3=1,'Choix pédagogiques'!$C$3=2),$BN389=1),I389,IF(AND('Choix pédagogiques'!$C$3=3,$BO389=1),I389,""))</f>
        <v/>
      </c>
      <c r="AE389" s="53" t="str">
        <f aca="false">IF($J389&lt;&gt;"",$J389,"")</f>
        <v/>
      </c>
      <c r="AF389" s="52" t="str">
        <f aca="false">IF($A389&lt;&gt;"",$A389,"")</f>
        <v>Apprenant 377</v>
      </c>
      <c r="AG389" s="53" t="str">
        <f aca="false">IF(AND($W389&lt;&gt;"",$X389&lt;&gt;""),$X389-$W389,"")</f>
        <v/>
      </c>
      <c r="AH389" s="53" t="str">
        <f aca="false">IF(AND($W389&lt;&gt;"",$Y389&lt;&gt;""),$Y389-$W389,"")</f>
        <v/>
      </c>
      <c r="AI389" s="53" t="str">
        <f aca="false">IF(AND($X389&lt;&gt;"",$Y389&lt;&gt;""),$Y389-$X389,"")</f>
        <v/>
      </c>
      <c r="AJ389" s="53" t="str">
        <f aca="false">IF($E389&lt;&gt;"",$E389,"")</f>
        <v/>
      </c>
      <c r="AK389" s="52" t="str">
        <f aca="false">IF($F389&lt;&gt;"",$F389,"")</f>
        <v>Apprenant 377 ou 377'</v>
      </c>
      <c r="AL389" s="53" t="str">
        <f aca="false">IF(AND($AB389&lt;&gt;"",$AC389&lt;&gt;""),$AC389-$AB389,"")</f>
        <v/>
      </c>
      <c r="AM389" s="53" t="str">
        <f aca="false">IF(AND($AB389&lt;&gt;"",$AD389&lt;&gt;""),$AD389-$AB389,"")</f>
        <v/>
      </c>
      <c r="AN389" s="53" t="str">
        <f aca="false">IF(AND($AC389&lt;&gt;"",$AD389&lt;&gt;""),$AD389-$AC389,"")</f>
        <v/>
      </c>
      <c r="AO389" s="53" t="str">
        <f aca="false">IF($J389&lt;&gt;"",$J389,"")</f>
        <v/>
      </c>
      <c r="AQ389" s="52" t="str">
        <f aca="false">IF($A389&lt;&gt;"",$A389,"")</f>
        <v>Apprenant 377</v>
      </c>
      <c r="AR389" s="55" t="str">
        <f aca="false">IF(AND('Choix pédagogiques'!$C$4&lt;&gt;"?",'Choix pédagogiques'!$C$5&lt;&gt;"?",W389&lt;&gt;""),(W389-'Choix pédagogiques'!$C$4)/('Choix pédagogiques'!$C$5-'Choix pédagogiques'!$C$4),"")</f>
        <v/>
      </c>
      <c r="AS389" s="55" t="str">
        <f aca="false">IF(AND('Choix pédagogiques'!$C$4&lt;&gt;"?",'Choix pédagogiques'!$C$5&lt;&gt;"?",X389&lt;&gt;""),(X389-'Choix pédagogiques'!$C$4)/('Choix pédagogiques'!$C$5-'Choix pédagogiques'!$C$4),"")</f>
        <v/>
      </c>
      <c r="AT389" s="55" t="str">
        <f aca="false">IF(AND('Choix pédagogiques'!$C$4&lt;&gt;"?",'Choix pédagogiques'!$C$5&lt;&gt;"?",Y389&lt;&gt;""),(Y389-'Choix pédagogiques'!$C$4)/('Choix pédagogiques'!$C$5-'Choix pédagogiques'!$C$4),"")</f>
        <v/>
      </c>
      <c r="AU389" s="53" t="str">
        <f aca="false">IF($E389&lt;&gt;"",$E389,"")</f>
        <v/>
      </c>
      <c r="AV389" s="52" t="str">
        <f aca="false">IF($F389&lt;&gt;"",$F389,"")</f>
        <v>Apprenant 377 ou 377'</v>
      </c>
      <c r="AW389" s="55" t="str">
        <f aca="false">IF(AND('Choix pédagogiques'!$C$4&lt;&gt;"?",'Choix pédagogiques'!$C$5&lt;&gt;"?",AB389&lt;&gt;""),(AB389-'Choix pédagogiques'!$C$4)/('Choix pédagogiques'!$C$5-'Choix pédagogiques'!$C$4),"")</f>
        <v/>
      </c>
      <c r="AX389" s="55" t="str">
        <f aca="false">IF(AND('Choix pédagogiques'!$C$4&lt;&gt;"?",'Choix pédagogiques'!$C$5&lt;&gt;"?",AC389&lt;&gt;""),(AC389-'Choix pédagogiques'!$C$4)/('Choix pédagogiques'!$C$5-'Choix pédagogiques'!$C$4),"")</f>
        <v/>
      </c>
      <c r="AY389" s="55" t="str">
        <f aca="false">IF(AND('Choix pédagogiques'!$C$4&lt;&gt;"?",'Choix pédagogiques'!$C$5&lt;&gt;"?",AD389&lt;&gt;""),(AD389-'Choix pédagogiques'!$C$4)/('Choix pédagogiques'!$C$5-'Choix pédagogiques'!$C$4),"")</f>
        <v/>
      </c>
      <c r="AZ389" s="53" t="str">
        <f aca="false">IF($J389&lt;&gt;"",$J389,"")</f>
        <v/>
      </c>
      <c r="BA389" s="52" t="str">
        <f aca="false">IF($A389&lt;&gt;"",$A389,"")</f>
        <v>Apprenant 377</v>
      </c>
      <c r="BB389" s="55" t="str">
        <f aca="false">IF(AND($AR389&lt;&gt;"",$AS389&lt;&gt;""),$AS389-$AR389,"")</f>
        <v/>
      </c>
      <c r="BC389" s="55" t="str">
        <f aca="false">IF(AND($AR389&lt;&gt;"",$AT389&lt;&gt;""),$AT389-$AR389,"")</f>
        <v/>
      </c>
      <c r="BD389" s="55" t="str">
        <f aca="false">IF(AND($AS389&lt;&gt;"",$AT389&lt;&gt;""),$AT389-$AS389,"")</f>
        <v/>
      </c>
      <c r="BE389" s="53" t="str">
        <f aca="false">IF($E389&lt;&gt;"",$E389,"")</f>
        <v/>
      </c>
      <c r="BF389" s="52" t="str">
        <f aca="false">IF($F389&lt;&gt;"",$F389,"")</f>
        <v>Apprenant 377 ou 377'</v>
      </c>
      <c r="BG389" s="55" t="str">
        <f aca="false">IF(AND($AW389&lt;&gt;"",$AX389&lt;&gt;""),$AX389-$AW389,"")</f>
        <v/>
      </c>
      <c r="BH389" s="55" t="str">
        <f aca="false">IF(AND($AW389&lt;&gt;"",$AY389&lt;&gt;""),$AY389-$AW389,"")</f>
        <v/>
      </c>
      <c r="BI389" s="55" t="str">
        <f aca="false">IF(AND($AX389&lt;&gt;"",$AY389&lt;&gt;""),$AY389-$AX389,"")</f>
        <v/>
      </c>
      <c r="BJ389" s="53" t="str">
        <f aca="false">IF($J389&lt;&gt;"",$J389,"")</f>
        <v/>
      </c>
      <c r="BL389" s="52"/>
      <c r="BM389" s="52" t="str">
        <f aca="false">IF(OR(COUNT(B389:D1388)=0,AND('Choix pédagogiques'!$C$3&lt;&gt;1,'Choix pédagogiques'!$C$3&lt;&gt;2)),"",IF(AND(OR('Choix pédagogiques'!$C$3=1,'Choix pédagogiques'!$C$3=2),$B389&lt;&gt;"",$C389&lt;&gt;"",$D389&lt;&gt;""),1,0))</f>
        <v/>
      </c>
      <c r="BN389" s="52" t="str">
        <f aca="false">IF(OR(COUNT(G389:I1388)=0,AND('Choix pédagogiques'!$C$3&lt;&gt;1,'Choix pédagogiques'!$C$3&lt;&gt;2)),"",IF(AND(OR('Choix pédagogiques'!$C$3=1,'Choix pédagogiques'!$C$3=2),AND($G389&lt;&gt;"",$H389&lt;&gt;"",$I389&lt;&gt;"")),1,0))</f>
        <v/>
      </c>
      <c r="BO389" s="52" t="str">
        <f aca="false">IF(OR(COUNT(B389:D1388)=0,COUNT(G389:I1388)=0,'Choix pédagogiques'!C$3&lt;&gt;3),"",IF(AND('Choix pédagogiques'!$C$3=3,$B389&lt;&gt;"",$C389&lt;&gt;"",$D389&lt;&gt;"",$G389&lt;&gt;"",$H389&lt;&gt;"",$I389&lt;&gt;""),1,0))</f>
        <v/>
      </c>
      <c r="BR389" s="52" t="n">
        <v>276</v>
      </c>
      <c r="BS389" s="52" t="n">
        <v>1146</v>
      </c>
    </row>
    <row r="390" s="54" customFormat="true" ht="18" hidden="false" customHeight="true" outlineLevel="0" collapsed="false">
      <c r="A390" s="57" t="s">
        <v>711</v>
      </c>
      <c r="B390" s="51"/>
      <c r="C390" s="51"/>
      <c r="D390" s="51"/>
      <c r="E390" s="51"/>
      <c r="F390" s="57" t="s">
        <v>712</v>
      </c>
      <c r="G390" s="51"/>
      <c r="H390" s="51"/>
      <c r="I390" s="51"/>
      <c r="J390" s="51"/>
      <c r="K390" s="52" t="str">
        <f aca="false">IF($A390&lt;&gt;"",$A390,"")</f>
        <v>Apprenant 378</v>
      </c>
      <c r="L390" s="53" t="str">
        <f aca="false">IF(AND($B390&lt;&gt;"",$C390&lt;&gt;""),$C390-$B390,"")</f>
        <v/>
      </c>
      <c r="M390" s="53" t="str">
        <f aca="false">IF(AND($B390&lt;&gt;"",$D390&lt;&gt;""),$D390-$B390,"")</f>
        <v/>
      </c>
      <c r="N390" s="53" t="str">
        <f aca="false">IF(AND($C390&lt;&gt;"",$D390&lt;&gt;""),$D390-$C390,"")</f>
        <v/>
      </c>
      <c r="O390" s="53" t="str">
        <f aca="false">IF($E390&lt;&gt;"",$E390,"")</f>
        <v/>
      </c>
      <c r="P390" s="52" t="str">
        <f aca="false">IF($F390&lt;&gt;"",$F390,"")</f>
        <v>Apprenant 378 ou 378'</v>
      </c>
      <c r="Q390" s="53" t="str">
        <f aca="false">IF(AND($G390&lt;&gt;"",$H390&lt;&gt;""),$H390-$G390,"")</f>
        <v/>
      </c>
      <c r="R390" s="53" t="str">
        <f aca="false">IF(AND($G390&lt;&gt;"",$I390&lt;&gt;""),$I390-$G390,"")</f>
        <v/>
      </c>
      <c r="S390" s="53" t="str">
        <f aca="false">IF(AND($H390&lt;&gt;"",$I390&lt;&gt;""),$I390-$H390,"")</f>
        <v/>
      </c>
      <c r="T390" s="53" t="str">
        <f aca="false">IF($J390&lt;&gt;"",$J390,"")</f>
        <v/>
      </c>
      <c r="V390" s="52" t="str">
        <f aca="false">IF($A390&lt;&gt;"",$A390,"")</f>
        <v>Apprenant 378</v>
      </c>
      <c r="W390" s="53" t="str">
        <f aca="false">IF(AND(OR('Choix pédagogiques'!$C$3=1,'Choix pédagogiques'!$C$3=2),$BM390=1),B390,IF(AND('Choix pédagogiques'!$C$3=3,$BO390=1),B390,""))</f>
        <v/>
      </c>
      <c r="X390" s="53" t="str">
        <f aca="false">IF(AND(OR('Choix pédagogiques'!$C$3=1,'Choix pédagogiques'!$C$3=2),$BM390=1),C390,IF(AND('Choix pédagogiques'!$C$3=3,$BO390=1),C390,""))</f>
        <v/>
      </c>
      <c r="Y390" s="53" t="str">
        <f aca="false">IF(AND(OR('Choix pédagogiques'!$C$3=1,'Choix pédagogiques'!$C$3=2),$BM390=1),D390,IF(AND('Choix pédagogiques'!$C$3=3,$BO390=1),D390,""))</f>
        <v/>
      </c>
      <c r="Z390" s="53" t="str">
        <f aca="false">IF($E390&lt;&gt;"",$E390,"")</f>
        <v/>
      </c>
      <c r="AA390" s="52" t="str">
        <f aca="false">IF($F390&lt;&gt;"",$F390,"")</f>
        <v>Apprenant 378 ou 378'</v>
      </c>
      <c r="AB390" s="53" t="str">
        <f aca="false">IF(AND(OR('Choix pédagogiques'!$C$3=1,'Choix pédagogiques'!$C$3=2),$BN390=1),G390,IF(AND('Choix pédagogiques'!$C$3=3,$BO390=1),G390,""))</f>
        <v/>
      </c>
      <c r="AC390" s="53" t="str">
        <f aca="false">IF(AND(OR('Choix pédagogiques'!$C$3=1,'Choix pédagogiques'!$C$3=2),$BN390=1),H390,IF(AND('Choix pédagogiques'!$C$3=3,$BO390=1),H390,""))</f>
        <v/>
      </c>
      <c r="AD390" s="53" t="str">
        <f aca="false">IF(AND(OR('Choix pédagogiques'!$C$3=1,'Choix pédagogiques'!$C$3=2),$BN390=1),I390,IF(AND('Choix pédagogiques'!$C$3=3,$BO390=1),I390,""))</f>
        <v/>
      </c>
      <c r="AE390" s="53" t="str">
        <f aca="false">IF($J390&lt;&gt;"",$J390,"")</f>
        <v/>
      </c>
      <c r="AF390" s="52" t="str">
        <f aca="false">IF($A390&lt;&gt;"",$A390,"")</f>
        <v>Apprenant 378</v>
      </c>
      <c r="AG390" s="53" t="str">
        <f aca="false">IF(AND($W390&lt;&gt;"",$X390&lt;&gt;""),$X390-$W390,"")</f>
        <v/>
      </c>
      <c r="AH390" s="53" t="str">
        <f aca="false">IF(AND($W390&lt;&gt;"",$Y390&lt;&gt;""),$Y390-$W390,"")</f>
        <v/>
      </c>
      <c r="AI390" s="53" t="str">
        <f aca="false">IF(AND($X390&lt;&gt;"",$Y390&lt;&gt;""),$Y390-$X390,"")</f>
        <v/>
      </c>
      <c r="AJ390" s="53" t="str">
        <f aca="false">IF($E390&lt;&gt;"",$E390,"")</f>
        <v/>
      </c>
      <c r="AK390" s="52" t="str">
        <f aca="false">IF($F390&lt;&gt;"",$F390,"")</f>
        <v>Apprenant 378 ou 378'</v>
      </c>
      <c r="AL390" s="53" t="str">
        <f aca="false">IF(AND($AB390&lt;&gt;"",$AC390&lt;&gt;""),$AC390-$AB390,"")</f>
        <v/>
      </c>
      <c r="AM390" s="53" t="str">
        <f aca="false">IF(AND($AB390&lt;&gt;"",$AD390&lt;&gt;""),$AD390-$AB390,"")</f>
        <v/>
      </c>
      <c r="AN390" s="53" t="str">
        <f aca="false">IF(AND($AC390&lt;&gt;"",$AD390&lt;&gt;""),$AD390-$AC390,"")</f>
        <v/>
      </c>
      <c r="AO390" s="53" t="str">
        <f aca="false">IF($J390&lt;&gt;"",$J390,"")</f>
        <v/>
      </c>
      <c r="AQ390" s="52" t="str">
        <f aca="false">IF($A390&lt;&gt;"",$A390,"")</f>
        <v>Apprenant 378</v>
      </c>
      <c r="AR390" s="55" t="str">
        <f aca="false">IF(AND('Choix pédagogiques'!$C$4&lt;&gt;"?",'Choix pédagogiques'!$C$5&lt;&gt;"?",W390&lt;&gt;""),(W390-'Choix pédagogiques'!$C$4)/('Choix pédagogiques'!$C$5-'Choix pédagogiques'!$C$4),"")</f>
        <v/>
      </c>
      <c r="AS390" s="55" t="str">
        <f aca="false">IF(AND('Choix pédagogiques'!$C$4&lt;&gt;"?",'Choix pédagogiques'!$C$5&lt;&gt;"?",X390&lt;&gt;""),(X390-'Choix pédagogiques'!$C$4)/('Choix pédagogiques'!$C$5-'Choix pédagogiques'!$C$4),"")</f>
        <v/>
      </c>
      <c r="AT390" s="55" t="str">
        <f aca="false">IF(AND('Choix pédagogiques'!$C$4&lt;&gt;"?",'Choix pédagogiques'!$C$5&lt;&gt;"?",Y390&lt;&gt;""),(Y390-'Choix pédagogiques'!$C$4)/('Choix pédagogiques'!$C$5-'Choix pédagogiques'!$C$4),"")</f>
        <v/>
      </c>
      <c r="AU390" s="53" t="str">
        <f aca="false">IF($E390&lt;&gt;"",$E390,"")</f>
        <v/>
      </c>
      <c r="AV390" s="52" t="str">
        <f aca="false">IF($F390&lt;&gt;"",$F390,"")</f>
        <v>Apprenant 378 ou 378'</v>
      </c>
      <c r="AW390" s="55" t="str">
        <f aca="false">IF(AND('Choix pédagogiques'!$C$4&lt;&gt;"?",'Choix pédagogiques'!$C$5&lt;&gt;"?",AB390&lt;&gt;""),(AB390-'Choix pédagogiques'!$C$4)/('Choix pédagogiques'!$C$5-'Choix pédagogiques'!$C$4),"")</f>
        <v/>
      </c>
      <c r="AX390" s="55" t="str">
        <f aca="false">IF(AND('Choix pédagogiques'!$C$4&lt;&gt;"?",'Choix pédagogiques'!$C$5&lt;&gt;"?",AC390&lt;&gt;""),(AC390-'Choix pédagogiques'!$C$4)/('Choix pédagogiques'!$C$5-'Choix pédagogiques'!$C$4),"")</f>
        <v/>
      </c>
      <c r="AY390" s="55" t="str">
        <f aca="false">IF(AND('Choix pédagogiques'!$C$4&lt;&gt;"?",'Choix pédagogiques'!$C$5&lt;&gt;"?",AD390&lt;&gt;""),(AD390-'Choix pédagogiques'!$C$4)/('Choix pédagogiques'!$C$5-'Choix pédagogiques'!$C$4),"")</f>
        <v/>
      </c>
      <c r="AZ390" s="53" t="str">
        <f aca="false">IF($J390&lt;&gt;"",$J390,"")</f>
        <v/>
      </c>
      <c r="BA390" s="52" t="str">
        <f aca="false">IF($A390&lt;&gt;"",$A390,"")</f>
        <v>Apprenant 378</v>
      </c>
      <c r="BB390" s="55" t="str">
        <f aca="false">IF(AND($AR390&lt;&gt;"",$AS390&lt;&gt;""),$AS390-$AR390,"")</f>
        <v/>
      </c>
      <c r="BC390" s="55" t="str">
        <f aca="false">IF(AND($AR390&lt;&gt;"",$AT390&lt;&gt;""),$AT390-$AR390,"")</f>
        <v/>
      </c>
      <c r="BD390" s="55" t="str">
        <f aca="false">IF(AND($AS390&lt;&gt;"",$AT390&lt;&gt;""),$AT390-$AS390,"")</f>
        <v/>
      </c>
      <c r="BE390" s="53" t="str">
        <f aca="false">IF($E390&lt;&gt;"",$E390,"")</f>
        <v/>
      </c>
      <c r="BF390" s="52" t="str">
        <f aca="false">IF($F390&lt;&gt;"",$F390,"")</f>
        <v>Apprenant 378 ou 378'</v>
      </c>
      <c r="BG390" s="55" t="str">
        <f aca="false">IF(AND($AW390&lt;&gt;"",$AX390&lt;&gt;""),$AX390-$AW390,"")</f>
        <v/>
      </c>
      <c r="BH390" s="55" t="str">
        <f aca="false">IF(AND($AW390&lt;&gt;"",$AY390&lt;&gt;""),$AY390-$AW390,"")</f>
        <v/>
      </c>
      <c r="BI390" s="55" t="str">
        <f aca="false">IF(AND($AX390&lt;&gt;"",$AY390&lt;&gt;""),$AY390-$AX390,"")</f>
        <v/>
      </c>
      <c r="BJ390" s="53" t="str">
        <f aca="false">IF($J390&lt;&gt;"",$J390,"")</f>
        <v/>
      </c>
      <c r="BL390" s="52"/>
      <c r="BM390" s="52" t="str">
        <f aca="false">IF(OR(COUNT(B390:D1389)=0,AND('Choix pédagogiques'!$C$3&lt;&gt;1,'Choix pédagogiques'!$C$3&lt;&gt;2)),"",IF(AND(OR('Choix pédagogiques'!$C$3=1,'Choix pédagogiques'!$C$3=2),$B390&lt;&gt;"",$C390&lt;&gt;"",$D390&lt;&gt;""),1,0))</f>
        <v/>
      </c>
      <c r="BN390" s="52" t="str">
        <f aca="false">IF(OR(COUNT(G390:I1389)=0,AND('Choix pédagogiques'!$C$3&lt;&gt;1,'Choix pédagogiques'!$C$3&lt;&gt;2)),"",IF(AND(OR('Choix pédagogiques'!$C$3=1,'Choix pédagogiques'!$C$3=2),AND($G390&lt;&gt;"",$H390&lt;&gt;"",$I390&lt;&gt;"")),1,0))</f>
        <v/>
      </c>
      <c r="BO390" s="52" t="str">
        <f aca="false">IF(OR(COUNT(B390:D1389)=0,COUNT(G390:I1389)=0,'Choix pédagogiques'!C$3&lt;&gt;3),"",IF(AND('Choix pédagogiques'!$C$3=3,$B390&lt;&gt;"",$C390&lt;&gt;"",$D390&lt;&gt;"",$G390&lt;&gt;"",$H390&lt;&gt;"",$I390&lt;&gt;""),1,0))</f>
        <v/>
      </c>
      <c r="BR390" s="52" t="n">
        <v>110</v>
      </c>
      <c r="BS390" s="52" t="n">
        <v>1280</v>
      </c>
    </row>
    <row r="391" s="54" customFormat="true" ht="18" hidden="false" customHeight="true" outlineLevel="0" collapsed="false">
      <c r="A391" s="57" t="s">
        <v>713</v>
      </c>
      <c r="B391" s="51"/>
      <c r="C391" s="51"/>
      <c r="D391" s="51"/>
      <c r="E391" s="51"/>
      <c r="F391" s="57" t="s">
        <v>714</v>
      </c>
      <c r="G391" s="51"/>
      <c r="H391" s="51"/>
      <c r="I391" s="51"/>
      <c r="J391" s="51"/>
      <c r="K391" s="52" t="str">
        <f aca="false">IF($A391&lt;&gt;"",$A391,"")</f>
        <v>Apprenant 379</v>
      </c>
      <c r="L391" s="53" t="str">
        <f aca="false">IF(AND($B391&lt;&gt;"",$C391&lt;&gt;""),$C391-$B391,"")</f>
        <v/>
      </c>
      <c r="M391" s="53" t="str">
        <f aca="false">IF(AND($B391&lt;&gt;"",$D391&lt;&gt;""),$D391-$B391,"")</f>
        <v/>
      </c>
      <c r="N391" s="53" t="str">
        <f aca="false">IF(AND($C391&lt;&gt;"",$D391&lt;&gt;""),$D391-$C391,"")</f>
        <v/>
      </c>
      <c r="O391" s="53" t="str">
        <f aca="false">IF($E391&lt;&gt;"",$E391,"")</f>
        <v/>
      </c>
      <c r="P391" s="52" t="str">
        <f aca="false">IF($F391&lt;&gt;"",$F391,"")</f>
        <v>Apprenant 379 ou 379'</v>
      </c>
      <c r="Q391" s="53" t="str">
        <f aca="false">IF(AND($G391&lt;&gt;"",$H391&lt;&gt;""),$H391-$G391,"")</f>
        <v/>
      </c>
      <c r="R391" s="53" t="str">
        <f aca="false">IF(AND($G391&lt;&gt;"",$I391&lt;&gt;""),$I391-$G391,"")</f>
        <v/>
      </c>
      <c r="S391" s="53" t="str">
        <f aca="false">IF(AND($H391&lt;&gt;"",$I391&lt;&gt;""),$I391-$H391,"")</f>
        <v/>
      </c>
      <c r="T391" s="53" t="str">
        <f aca="false">IF($J391&lt;&gt;"",$J391,"")</f>
        <v/>
      </c>
      <c r="V391" s="52" t="str">
        <f aca="false">IF($A391&lt;&gt;"",$A391,"")</f>
        <v>Apprenant 379</v>
      </c>
      <c r="W391" s="53" t="str">
        <f aca="false">IF(AND(OR('Choix pédagogiques'!$C$3=1,'Choix pédagogiques'!$C$3=2),$BM391=1),B391,IF(AND('Choix pédagogiques'!$C$3=3,$BO391=1),B391,""))</f>
        <v/>
      </c>
      <c r="X391" s="53" t="str">
        <f aca="false">IF(AND(OR('Choix pédagogiques'!$C$3=1,'Choix pédagogiques'!$C$3=2),$BM391=1),C391,IF(AND('Choix pédagogiques'!$C$3=3,$BO391=1),C391,""))</f>
        <v/>
      </c>
      <c r="Y391" s="53" t="str">
        <f aca="false">IF(AND(OR('Choix pédagogiques'!$C$3=1,'Choix pédagogiques'!$C$3=2),$BM391=1),D391,IF(AND('Choix pédagogiques'!$C$3=3,$BO391=1),D391,""))</f>
        <v/>
      </c>
      <c r="Z391" s="53" t="str">
        <f aca="false">IF($E391&lt;&gt;"",$E391,"")</f>
        <v/>
      </c>
      <c r="AA391" s="52" t="str">
        <f aca="false">IF($F391&lt;&gt;"",$F391,"")</f>
        <v>Apprenant 379 ou 379'</v>
      </c>
      <c r="AB391" s="53" t="str">
        <f aca="false">IF(AND(OR('Choix pédagogiques'!$C$3=1,'Choix pédagogiques'!$C$3=2),$BN391=1),G391,IF(AND('Choix pédagogiques'!$C$3=3,$BO391=1),G391,""))</f>
        <v/>
      </c>
      <c r="AC391" s="53" t="str">
        <f aca="false">IF(AND(OR('Choix pédagogiques'!$C$3=1,'Choix pédagogiques'!$C$3=2),$BN391=1),H391,IF(AND('Choix pédagogiques'!$C$3=3,$BO391=1),H391,""))</f>
        <v/>
      </c>
      <c r="AD391" s="53" t="str">
        <f aca="false">IF(AND(OR('Choix pédagogiques'!$C$3=1,'Choix pédagogiques'!$C$3=2),$BN391=1),I391,IF(AND('Choix pédagogiques'!$C$3=3,$BO391=1),I391,""))</f>
        <v/>
      </c>
      <c r="AE391" s="53" t="str">
        <f aca="false">IF($J391&lt;&gt;"",$J391,"")</f>
        <v/>
      </c>
      <c r="AF391" s="52" t="str">
        <f aca="false">IF($A391&lt;&gt;"",$A391,"")</f>
        <v>Apprenant 379</v>
      </c>
      <c r="AG391" s="53" t="str">
        <f aca="false">IF(AND($W391&lt;&gt;"",$X391&lt;&gt;""),$X391-$W391,"")</f>
        <v/>
      </c>
      <c r="AH391" s="53" t="str">
        <f aca="false">IF(AND($W391&lt;&gt;"",$Y391&lt;&gt;""),$Y391-$W391,"")</f>
        <v/>
      </c>
      <c r="AI391" s="53" t="str">
        <f aca="false">IF(AND($X391&lt;&gt;"",$Y391&lt;&gt;""),$Y391-$X391,"")</f>
        <v/>
      </c>
      <c r="AJ391" s="53" t="str">
        <f aca="false">IF($E391&lt;&gt;"",$E391,"")</f>
        <v/>
      </c>
      <c r="AK391" s="52" t="str">
        <f aca="false">IF($F391&lt;&gt;"",$F391,"")</f>
        <v>Apprenant 379 ou 379'</v>
      </c>
      <c r="AL391" s="53" t="str">
        <f aca="false">IF(AND($AB391&lt;&gt;"",$AC391&lt;&gt;""),$AC391-$AB391,"")</f>
        <v/>
      </c>
      <c r="AM391" s="53" t="str">
        <f aca="false">IF(AND($AB391&lt;&gt;"",$AD391&lt;&gt;""),$AD391-$AB391,"")</f>
        <v/>
      </c>
      <c r="AN391" s="53" t="str">
        <f aca="false">IF(AND($AC391&lt;&gt;"",$AD391&lt;&gt;""),$AD391-$AC391,"")</f>
        <v/>
      </c>
      <c r="AO391" s="53" t="str">
        <f aca="false">IF($J391&lt;&gt;"",$J391,"")</f>
        <v/>
      </c>
      <c r="AQ391" s="52" t="str">
        <f aca="false">IF($A391&lt;&gt;"",$A391,"")</f>
        <v>Apprenant 379</v>
      </c>
      <c r="AR391" s="55" t="str">
        <f aca="false">IF(AND('Choix pédagogiques'!$C$4&lt;&gt;"?",'Choix pédagogiques'!$C$5&lt;&gt;"?",W391&lt;&gt;""),(W391-'Choix pédagogiques'!$C$4)/('Choix pédagogiques'!$C$5-'Choix pédagogiques'!$C$4),"")</f>
        <v/>
      </c>
      <c r="AS391" s="55" t="str">
        <f aca="false">IF(AND('Choix pédagogiques'!$C$4&lt;&gt;"?",'Choix pédagogiques'!$C$5&lt;&gt;"?",X391&lt;&gt;""),(X391-'Choix pédagogiques'!$C$4)/('Choix pédagogiques'!$C$5-'Choix pédagogiques'!$C$4),"")</f>
        <v/>
      </c>
      <c r="AT391" s="55" t="str">
        <f aca="false">IF(AND('Choix pédagogiques'!$C$4&lt;&gt;"?",'Choix pédagogiques'!$C$5&lt;&gt;"?",Y391&lt;&gt;""),(Y391-'Choix pédagogiques'!$C$4)/('Choix pédagogiques'!$C$5-'Choix pédagogiques'!$C$4),"")</f>
        <v/>
      </c>
      <c r="AU391" s="53" t="str">
        <f aca="false">IF($E391&lt;&gt;"",$E391,"")</f>
        <v/>
      </c>
      <c r="AV391" s="52" t="str">
        <f aca="false">IF($F391&lt;&gt;"",$F391,"")</f>
        <v>Apprenant 379 ou 379'</v>
      </c>
      <c r="AW391" s="55" t="str">
        <f aca="false">IF(AND('Choix pédagogiques'!$C$4&lt;&gt;"?",'Choix pédagogiques'!$C$5&lt;&gt;"?",AB391&lt;&gt;""),(AB391-'Choix pédagogiques'!$C$4)/('Choix pédagogiques'!$C$5-'Choix pédagogiques'!$C$4),"")</f>
        <v/>
      </c>
      <c r="AX391" s="55" t="str">
        <f aca="false">IF(AND('Choix pédagogiques'!$C$4&lt;&gt;"?",'Choix pédagogiques'!$C$5&lt;&gt;"?",AC391&lt;&gt;""),(AC391-'Choix pédagogiques'!$C$4)/('Choix pédagogiques'!$C$5-'Choix pédagogiques'!$C$4),"")</f>
        <v/>
      </c>
      <c r="AY391" s="55" t="str">
        <f aca="false">IF(AND('Choix pédagogiques'!$C$4&lt;&gt;"?",'Choix pédagogiques'!$C$5&lt;&gt;"?",AD391&lt;&gt;""),(AD391-'Choix pédagogiques'!$C$4)/('Choix pédagogiques'!$C$5-'Choix pédagogiques'!$C$4),"")</f>
        <v/>
      </c>
      <c r="AZ391" s="53" t="str">
        <f aca="false">IF($J391&lt;&gt;"",$J391,"")</f>
        <v/>
      </c>
      <c r="BA391" s="52" t="str">
        <f aca="false">IF($A391&lt;&gt;"",$A391,"")</f>
        <v>Apprenant 379</v>
      </c>
      <c r="BB391" s="55" t="str">
        <f aca="false">IF(AND($AR391&lt;&gt;"",$AS391&lt;&gt;""),$AS391-$AR391,"")</f>
        <v/>
      </c>
      <c r="BC391" s="55" t="str">
        <f aca="false">IF(AND($AR391&lt;&gt;"",$AT391&lt;&gt;""),$AT391-$AR391,"")</f>
        <v/>
      </c>
      <c r="BD391" s="55" t="str">
        <f aca="false">IF(AND($AS391&lt;&gt;"",$AT391&lt;&gt;""),$AT391-$AS391,"")</f>
        <v/>
      </c>
      <c r="BE391" s="53" t="str">
        <f aca="false">IF($E391&lt;&gt;"",$E391,"")</f>
        <v/>
      </c>
      <c r="BF391" s="52" t="str">
        <f aca="false">IF($F391&lt;&gt;"",$F391,"")</f>
        <v>Apprenant 379 ou 379'</v>
      </c>
      <c r="BG391" s="55" t="str">
        <f aca="false">IF(AND($AW391&lt;&gt;"",$AX391&lt;&gt;""),$AX391-$AW391,"")</f>
        <v/>
      </c>
      <c r="BH391" s="55" t="str">
        <f aca="false">IF(AND($AW391&lt;&gt;"",$AY391&lt;&gt;""),$AY391-$AW391,"")</f>
        <v/>
      </c>
      <c r="BI391" s="55" t="str">
        <f aca="false">IF(AND($AX391&lt;&gt;"",$AY391&lt;&gt;""),$AY391-$AX391,"")</f>
        <v/>
      </c>
      <c r="BJ391" s="53" t="str">
        <f aca="false">IF($J391&lt;&gt;"",$J391,"")</f>
        <v/>
      </c>
      <c r="BL391" s="52"/>
      <c r="BM391" s="52" t="str">
        <f aca="false">IF(OR(COUNT(B391:D1390)=0,AND('Choix pédagogiques'!$C$3&lt;&gt;1,'Choix pédagogiques'!$C$3&lt;&gt;2)),"",IF(AND(OR('Choix pédagogiques'!$C$3=1,'Choix pédagogiques'!$C$3=2),$B391&lt;&gt;"",$C391&lt;&gt;"",$D391&lt;&gt;""),1,0))</f>
        <v/>
      </c>
      <c r="BN391" s="52" t="str">
        <f aca="false">IF(OR(COUNT(G391:I1390)=0,AND('Choix pédagogiques'!$C$3&lt;&gt;1,'Choix pédagogiques'!$C$3&lt;&gt;2)),"",IF(AND(OR('Choix pédagogiques'!$C$3=1,'Choix pédagogiques'!$C$3=2),AND($G391&lt;&gt;"",$H391&lt;&gt;"",$I391&lt;&gt;"")),1,0))</f>
        <v/>
      </c>
      <c r="BO391" s="52" t="str">
        <f aca="false">IF(OR(COUNT(B391:D1390)=0,COUNT(G391:I1390)=0,'Choix pédagogiques'!C$3&lt;&gt;3),"",IF(AND('Choix pédagogiques'!$C$3=3,$B391&lt;&gt;"",$C391&lt;&gt;"",$D391&lt;&gt;"",$G391&lt;&gt;"",$H391&lt;&gt;"",$I391&lt;&gt;""),1,0))</f>
        <v/>
      </c>
      <c r="BR391" s="52" t="n">
        <v>305</v>
      </c>
      <c r="BS391" s="52" t="n">
        <v>1871</v>
      </c>
    </row>
    <row r="392" s="54" customFormat="true" ht="18" hidden="false" customHeight="true" outlineLevel="0" collapsed="false">
      <c r="A392" s="57" t="s">
        <v>715</v>
      </c>
      <c r="B392" s="51"/>
      <c r="C392" s="51"/>
      <c r="D392" s="51"/>
      <c r="E392" s="51"/>
      <c r="F392" s="57" t="s">
        <v>716</v>
      </c>
      <c r="G392" s="51"/>
      <c r="H392" s="51"/>
      <c r="I392" s="51"/>
      <c r="J392" s="51"/>
      <c r="K392" s="52" t="str">
        <f aca="false">IF($A392&lt;&gt;"",$A392,"")</f>
        <v>Apprenant 380</v>
      </c>
      <c r="L392" s="53" t="str">
        <f aca="false">IF(AND($B392&lt;&gt;"",$C392&lt;&gt;""),$C392-$B392,"")</f>
        <v/>
      </c>
      <c r="M392" s="53" t="str">
        <f aca="false">IF(AND($B392&lt;&gt;"",$D392&lt;&gt;""),$D392-$B392,"")</f>
        <v/>
      </c>
      <c r="N392" s="53" t="str">
        <f aca="false">IF(AND($C392&lt;&gt;"",$D392&lt;&gt;""),$D392-$C392,"")</f>
        <v/>
      </c>
      <c r="O392" s="53" t="str">
        <f aca="false">IF($E392&lt;&gt;"",$E392,"")</f>
        <v/>
      </c>
      <c r="P392" s="52" t="str">
        <f aca="false">IF($F392&lt;&gt;"",$F392,"")</f>
        <v>Apprenant 380 ou 380'</v>
      </c>
      <c r="Q392" s="53" t="str">
        <f aca="false">IF(AND($G392&lt;&gt;"",$H392&lt;&gt;""),$H392-$G392,"")</f>
        <v/>
      </c>
      <c r="R392" s="53" t="str">
        <f aca="false">IF(AND($G392&lt;&gt;"",$I392&lt;&gt;""),$I392-$G392,"")</f>
        <v/>
      </c>
      <c r="S392" s="53" t="str">
        <f aca="false">IF(AND($H392&lt;&gt;"",$I392&lt;&gt;""),$I392-$H392,"")</f>
        <v/>
      </c>
      <c r="T392" s="53" t="str">
        <f aca="false">IF($J392&lt;&gt;"",$J392,"")</f>
        <v/>
      </c>
      <c r="V392" s="52" t="str">
        <f aca="false">IF($A392&lt;&gt;"",$A392,"")</f>
        <v>Apprenant 380</v>
      </c>
      <c r="W392" s="53" t="str">
        <f aca="false">IF(AND(OR('Choix pédagogiques'!$C$3=1,'Choix pédagogiques'!$C$3=2),$BM392=1),B392,IF(AND('Choix pédagogiques'!$C$3=3,$BO392=1),B392,""))</f>
        <v/>
      </c>
      <c r="X392" s="53" t="str">
        <f aca="false">IF(AND(OR('Choix pédagogiques'!$C$3=1,'Choix pédagogiques'!$C$3=2),$BM392=1),C392,IF(AND('Choix pédagogiques'!$C$3=3,$BO392=1),C392,""))</f>
        <v/>
      </c>
      <c r="Y392" s="53" t="str">
        <f aca="false">IF(AND(OR('Choix pédagogiques'!$C$3=1,'Choix pédagogiques'!$C$3=2),$BM392=1),D392,IF(AND('Choix pédagogiques'!$C$3=3,$BO392=1),D392,""))</f>
        <v/>
      </c>
      <c r="Z392" s="53" t="str">
        <f aca="false">IF($E392&lt;&gt;"",$E392,"")</f>
        <v/>
      </c>
      <c r="AA392" s="52" t="str">
        <f aca="false">IF($F392&lt;&gt;"",$F392,"")</f>
        <v>Apprenant 380 ou 380'</v>
      </c>
      <c r="AB392" s="53" t="str">
        <f aca="false">IF(AND(OR('Choix pédagogiques'!$C$3=1,'Choix pédagogiques'!$C$3=2),$BN392=1),G392,IF(AND('Choix pédagogiques'!$C$3=3,$BO392=1),G392,""))</f>
        <v/>
      </c>
      <c r="AC392" s="53" t="str">
        <f aca="false">IF(AND(OR('Choix pédagogiques'!$C$3=1,'Choix pédagogiques'!$C$3=2),$BN392=1),H392,IF(AND('Choix pédagogiques'!$C$3=3,$BO392=1),H392,""))</f>
        <v/>
      </c>
      <c r="AD392" s="53" t="str">
        <f aca="false">IF(AND(OR('Choix pédagogiques'!$C$3=1,'Choix pédagogiques'!$C$3=2),$BN392=1),I392,IF(AND('Choix pédagogiques'!$C$3=3,$BO392=1),I392,""))</f>
        <v/>
      </c>
      <c r="AE392" s="53" t="str">
        <f aca="false">IF($J392&lt;&gt;"",$J392,"")</f>
        <v/>
      </c>
      <c r="AF392" s="52" t="str">
        <f aca="false">IF($A392&lt;&gt;"",$A392,"")</f>
        <v>Apprenant 380</v>
      </c>
      <c r="AG392" s="53" t="str">
        <f aca="false">IF(AND($W392&lt;&gt;"",$X392&lt;&gt;""),$X392-$W392,"")</f>
        <v/>
      </c>
      <c r="AH392" s="53" t="str">
        <f aca="false">IF(AND($W392&lt;&gt;"",$Y392&lt;&gt;""),$Y392-$W392,"")</f>
        <v/>
      </c>
      <c r="AI392" s="53" t="str">
        <f aca="false">IF(AND($X392&lt;&gt;"",$Y392&lt;&gt;""),$Y392-$X392,"")</f>
        <v/>
      </c>
      <c r="AJ392" s="53" t="str">
        <f aca="false">IF($E392&lt;&gt;"",$E392,"")</f>
        <v/>
      </c>
      <c r="AK392" s="52" t="str">
        <f aca="false">IF($F392&lt;&gt;"",$F392,"")</f>
        <v>Apprenant 380 ou 380'</v>
      </c>
      <c r="AL392" s="53" t="str">
        <f aca="false">IF(AND($AB392&lt;&gt;"",$AC392&lt;&gt;""),$AC392-$AB392,"")</f>
        <v/>
      </c>
      <c r="AM392" s="53" t="str">
        <f aca="false">IF(AND($AB392&lt;&gt;"",$AD392&lt;&gt;""),$AD392-$AB392,"")</f>
        <v/>
      </c>
      <c r="AN392" s="53" t="str">
        <f aca="false">IF(AND($AC392&lt;&gt;"",$AD392&lt;&gt;""),$AD392-$AC392,"")</f>
        <v/>
      </c>
      <c r="AO392" s="53" t="str">
        <f aca="false">IF($J392&lt;&gt;"",$J392,"")</f>
        <v/>
      </c>
      <c r="AQ392" s="52" t="str">
        <f aca="false">IF($A392&lt;&gt;"",$A392,"")</f>
        <v>Apprenant 380</v>
      </c>
      <c r="AR392" s="55" t="str">
        <f aca="false">IF(AND('Choix pédagogiques'!$C$4&lt;&gt;"?",'Choix pédagogiques'!$C$5&lt;&gt;"?",W392&lt;&gt;""),(W392-'Choix pédagogiques'!$C$4)/('Choix pédagogiques'!$C$5-'Choix pédagogiques'!$C$4),"")</f>
        <v/>
      </c>
      <c r="AS392" s="55" t="str">
        <f aca="false">IF(AND('Choix pédagogiques'!$C$4&lt;&gt;"?",'Choix pédagogiques'!$C$5&lt;&gt;"?",X392&lt;&gt;""),(X392-'Choix pédagogiques'!$C$4)/('Choix pédagogiques'!$C$5-'Choix pédagogiques'!$C$4),"")</f>
        <v/>
      </c>
      <c r="AT392" s="55" t="str">
        <f aca="false">IF(AND('Choix pédagogiques'!$C$4&lt;&gt;"?",'Choix pédagogiques'!$C$5&lt;&gt;"?",Y392&lt;&gt;""),(Y392-'Choix pédagogiques'!$C$4)/('Choix pédagogiques'!$C$5-'Choix pédagogiques'!$C$4),"")</f>
        <v/>
      </c>
      <c r="AU392" s="53" t="str">
        <f aca="false">IF($E392&lt;&gt;"",$E392,"")</f>
        <v/>
      </c>
      <c r="AV392" s="52" t="str">
        <f aca="false">IF($F392&lt;&gt;"",$F392,"")</f>
        <v>Apprenant 380 ou 380'</v>
      </c>
      <c r="AW392" s="55" t="str">
        <f aca="false">IF(AND('Choix pédagogiques'!$C$4&lt;&gt;"?",'Choix pédagogiques'!$C$5&lt;&gt;"?",AB392&lt;&gt;""),(AB392-'Choix pédagogiques'!$C$4)/('Choix pédagogiques'!$C$5-'Choix pédagogiques'!$C$4),"")</f>
        <v/>
      </c>
      <c r="AX392" s="55" t="str">
        <f aca="false">IF(AND('Choix pédagogiques'!$C$4&lt;&gt;"?",'Choix pédagogiques'!$C$5&lt;&gt;"?",AC392&lt;&gt;""),(AC392-'Choix pédagogiques'!$C$4)/('Choix pédagogiques'!$C$5-'Choix pédagogiques'!$C$4),"")</f>
        <v/>
      </c>
      <c r="AY392" s="55" t="str">
        <f aca="false">IF(AND('Choix pédagogiques'!$C$4&lt;&gt;"?",'Choix pédagogiques'!$C$5&lt;&gt;"?",AD392&lt;&gt;""),(AD392-'Choix pédagogiques'!$C$4)/('Choix pédagogiques'!$C$5-'Choix pédagogiques'!$C$4),"")</f>
        <v/>
      </c>
      <c r="AZ392" s="53" t="str">
        <f aca="false">IF($J392&lt;&gt;"",$J392,"")</f>
        <v/>
      </c>
      <c r="BA392" s="52" t="str">
        <f aca="false">IF($A392&lt;&gt;"",$A392,"")</f>
        <v>Apprenant 380</v>
      </c>
      <c r="BB392" s="55" t="str">
        <f aca="false">IF(AND($AR392&lt;&gt;"",$AS392&lt;&gt;""),$AS392-$AR392,"")</f>
        <v/>
      </c>
      <c r="BC392" s="55" t="str">
        <f aca="false">IF(AND($AR392&lt;&gt;"",$AT392&lt;&gt;""),$AT392-$AR392,"")</f>
        <v/>
      </c>
      <c r="BD392" s="55" t="str">
        <f aca="false">IF(AND($AS392&lt;&gt;"",$AT392&lt;&gt;""),$AT392-$AS392,"")</f>
        <v/>
      </c>
      <c r="BE392" s="53" t="str">
        <f aca="false">IF($E392&lt;&gt;"",$E392,"")</f>
        <v/>
      </c>
      <c r="BF392" s="52" t="str">
        <f aca="false">IF($F392&lt;&gt;"",$F392,"")</f>
        <v>Apprenant 380 ou 380'</v>
      </c>
      <c r="BG392" s="55" t="str">
        <f aca="false">IF(AND($AW392&lt;&gt;"",$AX392&lt;&gt;""),$AX392-$AW392,"")</f>
        <v/>
      </c>
      <c r="BH392" s="55" t="str">
        <f aca="false">IF(AND($AW392&lt;&gt;"",$AY392&lt;&gt;""),$AY392-$AW392,"")</f>
        <v/>
      </c>
      <c r="BI392" s="55" t="str">
        <f aca="false">IF(AND($AX392&lt;&gt;"",$AY392&lt;&gt;""),$AY392-$AX392,"")</f>
        <v/>
      </c>
      <c r="BJ392" s="53" t="str">
        <f aca="false">IF($J392&lt;&gt;"",$J392,"")</f>
        <v/>
      </c>
      <c r="BL392" s="52"/>
      <c r="BM392" s="52" t="str">
        <f aca="false">IF(OR(COUNT(B392:D1391)=0,AND('Choix pédagogiques'!$C$3&lt;&gt;1,'Choix pédagogiques'!$C$3&lt;&gt;2)),"",IF(AND(OR('Choix pédagogiques'!$C$3=1,'Choix pédagogiques'!$C$3=2),$B392&lt;&gt;"",$C392&lt;&gt;"",$D392&lt;&gt;""),1,0))</f>
        <v/>
      </c>
      <c r="BN392" s="52" t="str">
        <f aca="false">IF(OR(COUNT(G392:I1391)=0,AND('Choix pédagogiques'!$C$3&lt;&gt;1,'Choix pédagogiques'!$C$3&lt;&gt;2)),"",IF(AND(OR('Choix pédagogiques'!$C$3=1,'Choix pédagogiques'!$C$3=2),AND($G392&lt;&gt;"",$H392&lt;&gt;"",$I392&lt;&gt;"")),1,0))</f>
        <v/>
      </c>
      <c r="BO392" s="52" t="str">
        <f aca="false">IF(OR(COUNT(B392:D1391)=0,COUNT(G392:I1391)=0,'Choix pédagogiques'!C$3&lt;&gt;3),"",IF(AND('Choix pédagogiques'!$C$3=3,$B392&lt;&gt;"",$C392&lt;&gt;"",$D392&lt;&gt;"",$G392&lt;&gt;"",$H392&lt;&gt;"",$I392&lt;&gt;""),1,0))</f>
        <v/>
      </c>
      <c r="BR392" s="52" t="n">
        <v>631</v>
      </c>
      <c r="BS392" s="52" t="n">
        <v>1667</v>
      </c>
    </row>
    <row r="393" s="54" customFormat="true" ht="18" hidden="false" customHeight="true" outlineLevel="0" collapsed="false">
      <c r="A393" s="57" t="s">
        <v>717</v>
      </c>
      <c r="B393" s="51"/>
      <c r="C393" s="51"/>
      <c r="D393" s="51"/>
      <c r="E393" s="51"/>
      <c r="F393" s="57" t="s">
        <v>718</v>
      </c>
      <c r="G393" s="51"/>
      <c r="H393" s="51"/>
      <c r="I393" s="51"/>
      <c r="J393" s="51"/>
      <c r="K393" s="52" t="str">
        <f aca="false">IF($A393&lt;&gt;"",$A393,"")</f>
        <v>Apprenant 381</v>
      </c>
      <c r="L393" s="53" t="str">
        <f aca="false">IF(AND($B393&lt;&gt;"",$C393&lt;&gt;""),$C393-$B393,"")</f>
        <v/>
      </c>
      <c r="M393" s="53" t="str">
        <f aca="false">IF(AND($B393&lt;&gt;"",$D393&lt;&gt;""),$D393-$B393,"")</f>
        <v/>
      </c>
      <c r="N393" s="53" t="str">
        <f aca="false">IF(AND($C393&lt;&gt;"",$D393&lt;&gt;""),$D393-$C393,"")</f>
        <v/>
      </c>
      <c r="O393" s="53" t="str">
        <f aca="false">IF($E393&lt;&gt;"",$E393,"")</f>
        <v/>
      </c>
      <c r="P393" s="52" t="str">
        <f aca="false">IF($F393&lt;&gt;"",$F393,"")</f>
        <v>Apprenant 381 ou 381'</v>
      </c>
      <c r="Q393" s="53" t="str">
        <f aca="false">IF(AND($G393&lt;&gt;"",$H393&lt;&gt;""),$H393-$G393,"")</f>
        <v/>
      </c>
      <c r="R393" s="53" t="str">
        <f aca="false">IF(AND($G393&lt;&gt;"",$I393&lt;&gt;""),$I393-$G393,"")</f>
        <v/>
      </c>
      <c r="S393" s="53" t="str">
        <f aca="false">IF(AND($H393&lt;&gt;"",$I393&lt;&gt;""),$I393-$H393,"")</f>
        <v/>
      </c>
      <c r="T393" s="53" t="str">
        <f aca="false">IF($J393&lt;&gt;"",$J393,"")</f>
        <v/>
      </c>
      <c r="V393" s="52" t="str">
        <f aca="false">IF($A393&lt;&gt;"",$A393,"")</f>
        <v>Apprenant 381</v>
      </c>
      <c r="W393" s="53" t="str">
        <f aca="false">IF(AND(OR('Choix pédagogiques'!$C$3=1,'Choix pédagogiques'!$C$3=2),$BM393=1),B393,IF(AND('Choix pédagogiques'!$C$3=3,$BO393=1),B393,""))</f>
        <v/>
      </c>
      <c r="X393" s="53" t="str">
        <f aca="false">IF(AND(OR('Choix pédagogiques'!$C$3=1,'Choix pédagogiques'!$C$3=2),$BM393=1),C393,IF(AND('Choix pédagogiques'!$C$3=3,$BO393=1),C393,""))</f>
        <v/>
      </c>
      <c r="Y393" s="53" t="str">
        <f aca="false">IF(AND(OR('Choix pédagogiques'!$C$3=1,'Choix pédagogiques'!$C$3=2),$BM393=1),D393,IF(AND('Choix pédagogiques'!$C$3=3,$BO393=1),D393,""))</f>
        <v/>
      </c>
      <c r="Z393" s="53" t="str">
        <f aca="false">IF($E393&lt;&gt;"",$E393,"")</f>
        <v/>
      </c>
      <c r="AA393" s="52" t="str">
        <f aca="false">IF($F393&lt;&gt;"",$F393,"")</f>
        <v>Apprenant 381 ou 381'</v>
      </c>
      <c r="AB393" s="53" t="str">
        <f aca="false">IF(AND(OR('Choix pédagogiques'!$C$3=1,'Choix pédagogiques'!$C$3=2),$BN393=1),G393,IF(AND('Choix pédagogiques'!$C$3=3,$BO393=1),G393,""))</f>
        <v/>
      </c>
      <c r="AC393" s="53" t="str">
        <f aca="false">IF(AND(OR('Choix pédagogiques'!$C$3=1,'Choix pédagogiques'!$C$3=2),$BN393=1),H393,IF(AND('Choix pédagogiques'!$C$3=3,$BO393=1),H393,""))</f>
        <v/>
      </c>
      <c r="AD393" s="53" t="str">
        <f aca="false">IF(AND(OR('Choix pédagogiques'!$C$3=1,'Choix pédagogiques'!$C$3=2),$BN393=1),I393,IF(AND('Choix pédagogiques'!$C$3=3,$BO393=1),I393,""))</f>
        <v/>
      </c>
      <c r="AE393" s="53" t="str">
        <f aca="false">IF($J393&lt;&gt;"",$J393,"")</f>
        <v/>
      </c>
      <c r="AF393" s="52" t="str">
        <f aca="false">IF($A393&lt;&gt;"",$A393,"")</f>
        <v>Apprenant 381</v>
      </c>
      <c r="AG393" s="53" t="str">
        <f aca="false">IF(AND($W393&lt;&gt;"",$X393&lt;&gt;""),$X393-$W393,"")</f>
        <v/>
      </c>
      <c r="AH393" s="53" t="str">
        <f aca="false">IF(AND($W393&lt;&gt;"",$Y393&lt;&gt;""),$Y393-$W393,"")</f>
        <v/>
      </c>
      <c r="AI393" s="53" t="str">
        <f aca="false">IF(AND($X393&lt;&gt;"",$Y393&lt;&gt;""),$Y393-$X393,"")</f>
        <v/>
      </c>
      <c r="AJ393" s="53" t="str">
        <f aca="false">IF($E393&lt;&gt;"",$E393,"")</f>
        <v/>
      </c>
      <c r="AK393" s="52" t="str">
        <f aca="false">IF($F393&lt;&gt;"",$F393,"")</f>
        <v>Apprenant 381 ou 381'</v>
      </c>
      <c r="AL393" s="53" t="str">
        <f aca="false">IF(AND($AB393&lt;&gt;"",$AC393&lt;&gt;""),$AC393-$AB393,"")</f>
        <v/>
      </c>
      <c r="AM393" s="53" t="str">
        <f aca="false">IF(AND($AB393&lt;&gt;"",$AD393&lt;&gt;""),$AD393-$AB393,"")</f>
        <v/>
      </c>
      <c r="AN393" s="53" t="str">
        <f aca="false">IF(AND($AC393&lt;&gt;"",$AD393&lt;&gt;""),$AD393-$AC393,"")</f>
        <v/>
      </c>
      <c r="AO393" s="53" t="str">
        <f aca="false">IF($J393&lt;&gt;"",$J393,"")</f>
        <v/>
      </c>
      <c r="AQ393" s="52" t="str">
        <f aca="false">IF($A393&lt;&gt;"",$A393,"")</f>
        <v>Apprenant 381</v>
      </c>
      <c r="AR393" s="55" t="str">
        <f aca="false">IF(AND('Choix pédagogiques'!$C$4&lt;&gt;"?",'Choix pédagogiques'!$C$5&lt;&gt;"?",W393&lt;&gt;""),(W393-'Choix pédagogiques'!$C$4)/('Choix pédagogiques'!$C$5-'Choix pédagogiques'!$C$4),"")</f>
        <v/>
      </c>
      <c r="AS393" s="55" t="str">
        <f aca="false">IF(AND('Choix pédagogiques'!$C$4&lt;&gt;"?",'Choix pédagogiques'!$C$5&lt;&gt;"?",X393&lt;&gt;""),(X393-'Choix pédagogiques'!$C$4)/('Choix pédagogiques'!$C$5-'Choix pédagogiques'!$C$4),"")</f>
        <v/>
      </c>
      <c r="AT393" s="55" t="str">
        <f aca="false">IF(AND('Choix pédagogiques'!$C$4&lt;&gt;"?",'Choix pédagogiques'!$C$5&lt;&gt;"?",Y393&lt;&gt;""),(Y393-'Choix pédagogiques'!$C$4)/('Choix pédagogiques'!$C$5-'Choix pédagogiques'!$C$4),"")</f>
        <v/>
      </c>
      <c r="AU393" s="53" t="str">
        <f aca="false">IF($E393&lt;&gt;"",$E393,"")</f>
        <v/>
      </c>
      <c r="AV393" s="52" t="str">
        <f aca="false">IF($F393&lt;&gt;"",$F393,"")</f>
        <v>Apprenant 381 ou 381'</v>
      </c>
      <c r="AW393" s="55" t="str">
        <f aca="false">IF(AND('Choix pédagogiques'!$C$4&lt;&gt;"?",'Choix pédagogiques'!$C$5&lt;&gt;"?",AB393&lt;&gt;""),(AB393-'Choix pédagogiques'!$C$4)/('Choix pédagogiques'!$C$5-'Choix pédagogiques'!$C$4),"")</f>
        <v/>
      </c>
      <c r="AX393" s="55" t="str">
        <f aca="false">IF(AND('Choix pédagogiques'!$C$4&lt;&gt;"?",'Choix pédagogiques'!$C$5&lt;&gt;"?",AC393&lt;&gt;""),(AC393-'Choix pédagogiques'!$C$4)/('Choix pédagogiques'!$C$5-'Choix pédagogiques'!$C$4),"")</f>
        <v/>
      </c>
      <c r="AY393" s="55" t="str">
        <f aca="false">IF(AND('Choix pédagogiques'!$C$4&lt;&gt;"?",'Choix pédagogiques'!$C$5&lt;&gt;"?",AD393&lt;&gt;""),(AD393-'Choix pédagogiques'!$C$4)/('Choix pédagogiques'!$C$5-'Choix pédagogiques'!$C$4),"")</f>
        <v/>
      </c>
      <c r="AZ393" s="53" t="str">
        <f aca="false">IF($J393&lt;&gt;"",$J393,"")</f>
        <v/>
      </c>
      <c r="BA393" s="52" t="str">
        <f aca="false">IF($A393&lt;&gt;"",$A393,"")</f>
        <v>Apprenant 381</v>
      </c>
      <c r="BB393" s="55" t="str">
        <f aca="false">IF(AND($AR393&lt;&gt;"",$AS393&lt;&gt;""),$AS393-$AR393,"")</f>
        <v/>
      </c>
      <c r="BC393" s="55" t="str">
        <f aca="false">IF(AND($AR393&lt;&gt;"",$AT393&lt;&gt;""),$AT393-$AR393,"")</f>
        <v/>
      </c>
      <c r="BD393" s="55" t="str">
        <f aca="false">IF(AND($AS393&lt;&gt;"",$AT393&lt;&gt;""),$AT393-$AS393,"")</f>
        <v/>
      </c>
      <c r="BE393" s="53" t="str">
        <f aca="false">IF($E393&lt;&gt;"",$E393,"")</f>
        <v/>
      </c>
      <c r="BF393" s="52" t="str">
        <f aca="false">IF($F393&lt;&gt;"",$F393,"")</f>
        <v>Apprenant 381 ou 381'</v>
      </c>
      <c r="BG393" s="55" t="str">
        <f aca="false">IF(AND($AW393&lt;&gt;"",$AX393&lt;&gt;""),$AX393-$AW393,"")</f>
        <v/>
      </c>
      <c r="BH393" s="55" t="str">
        <f aca="false">IF(AND($AW393&lt;&gt;"",$AY393&lt;&gt;""),$AY393-$AW393,"")</f>
        <v/>
      </c>
      <c r="BI393" s="55" t="str">
        <f aca="false">IF(AND($AX393&lt;&gt;"",$AY393&lt;&gt;""),$AY393-$AX393,"")</f>
        <v/>
      </c>
      <c r="BJ393" s="53" t="str">
        <f aca="false">IF($J393&lt;&gt;"",$J393,"")</f>
        <v/>
      </c>
      <c r="BL393" s="52"/>
      <c r="BM393" s="52" t="str">
        <f aca="false">IF(OR(COUNT(B393:D1392)=0,AND('Choix pédagogiques'!$C$3&lt;&gt;1,'Choix pédagogiques'!$C$3&lt;&gt;2)),"",IF(AND(OR('Choix pédagogiques'!$C$3=1,'Choix pédagogiques'!$C$3=2),$B393&lt;&gt;"",$C393&lt;&gt;"",$D393&lt;&gt;""),1,0))</f>
        <v/>
      </c>
      <c r="BN393" s="52" t="str">
        <f aca="false">IF(OR(COUNT(G393:I1392)=0,AND('Choix pédagogiques'!$C$3&lt;&gt;1,'Choix pédagogiques'!$C$3&lt;&gt;2)),"",IF(AND(OR('Choix pédagogiques'!$C$3=1,'Choix pédagogiques'!$C$3=2),AND($G393&lt;&gt;"",$H393&lt;&gt;"",$I393&lt;&gt;"")),1,0))</f>
        <v/>
      </c>
      <c r="BO393" s="52" t="str">
        <f aca="false">IF(OR(COUNT(B393:D1392)=0,COUNT(G393:I1392)=0,'Choix pédagogiques'!C$3&lt;&gt;3),"",IF(AND('Choix pédagogiques'!$C$3=3,$B393&lt;&gt;"",$C393&lt;&gt;"",$D393&lt;&gt;"",$G393&lt;&gt;"",$H393&lt;&gt;"",$I393&lt;&gt;""),1,0))</f>
        <v/>
      </c>
      <c r="BR393" s="52" t="n">
        <v>115</v>
      </c>
      <c r="BS393" s="52" t="n">
        <v>1936</v>
      </c>
    </row>
    <row r="394" s="54" customFormat="true" ht="18" hidden="false" customHeight="true" outlineLevel="0" collapsed="false">
      <c r="A394" s="57" t="s">
        <v>719</v>
      </c>
      <c r="B394" s="51"/>
      <c r="C394" s="51"/>
      <c r="D394" s="51"/>
      <c r="E394" s="51"/>
      <c r="F394" s="57" t="s">
        <v>720</v>
      </c>
      <c r="G394" s="51"/>
      <c r="H394" s="51"/>
      <c r="I394" s="51"/>
      <c r="J394" s="51"/>
      <c r="K394" s="52" t="str">
        <f aca="false">IF($A394&lt;&gt;"",$A394,"")</f>
        <v>Apprenant 382</v>
      </c>
      <c r="L394" s="53" t="str">
        <f aca="false">IF(AND($B394&lt;&gt;"",$C394&lt;&gt;""),$C394-$B394,"")</f>
        <v/>
      </c>
      <c r="M394" s="53" t="str">
        <f aca="false">IF(AND($B394&lt;&gt;"",$D394&lt;&gt;""),$D394-$B394,"")</f>
        <v/>
      </c>
      <c r="N394" s="53" t="str">
        <f aca="false">IF(AND($C394&lt;&gt;"",$D394&lt;&gt;""),$D394-$C394,"")</f>
        <v/>
      </c>
      <c r="O394" s="53" t="str">
        <f aca="false">IF($E394&lt;&gt;"",$E394,"")</f>
        <v/>
      </c>
      <c r="P394" s="52" t="str">
        <f aca="false">IF($F394&lt;&gt;"",$F394,"")</f>
        <v>Apprenant 382 ou 382'</v>
      </c>
      <c r="Q394" s="53" t="str">
        <f aca="false">IF(AND($G394&lt;&gt;"",$H394&lt;&gt;""),$H394-$G394,"")</f>
        <v/>
      </c>
      <c r="R394" s="53" t="str">
        <f aca="false">IF(AND($G394&lt;&gt;"",$I394&lt;&gt;""),$I394-$G394,"")</f>
        <v/>
      </c>
      <c r="S394" s="53" t="str">
        <f aca="false">IF(AND($H394&lt;&gt;"",$I394&lt;&gt;""),$I394-$H394,"")</f>
        <v/>
      </c>
      <c r="T394" s="53" t="str">
        <f aca="false">IF($J394&lt;&gt;"",$J394,"")</f>
        <v/>
      </c>
      <c r="V394" s="52" t="str">
        <f aca="false">IF($A394&lt;&gt;"",$A394,"")</f>
        <v>Apprenant 382</v>
      </c>
      <c r="W394" s="53" t="str">
        <f aca="false">IF(AND(OR('Choix pédagogiques'!$C$3=1,'Choix pédagogiques'!$C$3=2),$BM394=1),B394,IF(AND('Choix pédagogiques'!$C$3=3,$BO394=1),B394,""))</f>
        <v/>
      </c>
      <c r="X394" s="53" t="str">
        <f aca="false">IF(AND(OR('Choix pédagogiques'!$C$3=1,'Choix pédagogiques'!$C$3=2),$BM394=1),C394,IF(AND('Choix pédagogiques'!$C$3=3,$BO394=1),C394,""))</f>
        <v/>
      </c>
      <c r="Y394" s="53" t="str">
        <f aca="false">IF(AND(OR('Choix pédagogiques'!$C$3=1,'Choix pédagogiques'!$C$3=2),$BM394=1),D394,IF(AND('Choix pédagogiques'!$C$3=3,$BO394=1),D394,""))</f>
        <v/>
      </c>
      <c r="Z394" s="53" t="str">
        <f aca="false">IF($E394&lt;&gt;"",$E394,"")</f>
        <v/>
      </c>
      <c r="AA394" s="52" t="str">
        <f aca="false">IF($F394&lt;&gt;"",$F394,"")</f>
        <v>Apprenant 382 ou 382'</v>
      </c>
      <c r="AB394" s="53" t="str">
        <f aca="false">IF(AND(OR('Choix pédagogiques'!$C$3=1,'Choix pédagogiques'!$C$3=2),$BN394=1),G394,IF(AND('Choix pédagogiques'!$C$3=3,$BO394=1),G394,""))</f>
        <v/>
      </c>
      <c r="AC394" s="53" t="str">
        <f aca="false">IF(AND(OR('Choix pédagogiques'!$C$3=1,'Choix pédagogiques'!$C$3=2),$BN394=1),H394,IF(AND('Choix pédagogiques'!$C$3=3,$BO394=1),H394,""))</f>
        <v/>
      </c>
      <c r="AD394" s="53" t="str">
        <f aca="false">IF(AND(OR('Choix pédagogiques'!$C$3=1,'Choix pédagogiques'!$C$3=2),$BN394=1),I394,IF(AND('Choix pédagogiques'!$C$3=3,$BO394=1),I394,""))</f>
        <v/>
      </c>
      <c r="AE394" s="53" t="str">
        <f aca="false">IF($J394&lt;&gt;"",$J394,"")</f>
        <v/>
      </c>
      <c r="AF394" s="52" t="str">
        <f aca="false">IF($A394&lt;&gt;"",$A394,"")</f>
        <v>Apprenant 382</v>
      </c>
      <c r="AG394" s="53" t="str">
        <f aca="false">IF(AND($W394&lt;&gt;"",$X394&lt;&gt;""),$X394-$W394,"")</f>
        <v/>
      </c>
      <c r="AH394" s="53" t="str">
        <f aca="false">IF(AND($W394&lt;&gt;"",$Y394&lt;&gt;""),$Y394-$W394,"")</f>
        <v/>
      </c>
      <c r="AI394" s="53" t="str">
        <f aca="false">IF(AND($X394&lt;&gt;"",$Y394&lt;&gt;""),$Y394-$X394,"")</f>
        <v/>
      </c>
      <c r="AJ394" s="53" t="str">
        <f aca="false">IF($E394&lt;&gt;"",$E394,"")</f>
        <v/>
      </c>
      <c r="AK394" s="52" t="str">
        <f aca="false">IF($F394&lt;&gt;"",$F394,"")</f>
        <v>Apprenant 382 ou 382'</v>
      </c>
      <c r="AL394" s="53" t="str">
        <f aca="false">IF(AND($AB394&lt;&gt;"",$AC394&lt;&gt;""),$AC394-$AB394,"")</f>
        <v/>
      </c>
      <c r="AM394" s="53" t="str">
        <f aca="false">IF(AND($AB394&lt;&gt;"",$AD394&lt;&gt;""),$AD394-$AB394,"")</f>
        <v/>
      </c>
      <c r="AN394" s="53" t="str">
        <f aca="false">IF(AND($AC394&lt;&gt;"",$AD394&lt;&gt;""),$AD394-$AC394,"")</f>
        <v/>
      </c>
      <c r="AO394" s="53" t="str">
        <f aca="false">IF($J394&lt;&gt;"",$J394,"")</f>
        <v/>
      </c>
      <c r="AQ394" s="52" t="str">
        <f aca="false">IF($A394&lt;&gt;"",$A394,"")</f>
        <v>Apprenant 382</v>
      </c>
      <c r="AR394" s="55" t="str">
        <f aca="false">IF(AND('Choix pédagogiques'!$C$4&lt;&gt;"?",'Choix pédagogiques'!$C$5&lt;&gt;"?",W394&lt;&gt;""),(W394-'Choix pédagogiques'!$C$4)/('Choix pédagogiques'!$C$5-'Choix pédagogiques'!$C$4),"")</f>
        <v/>
      </c>
      <c r="AS394" s="55" t="str">
        <f aca="false">IF(AND('Choix pédagogiques'!$C$4&lt;&gt;"?",'Choix pédagogiques'!$C$5&lt;&gt;"?",X394&lt;&gt;""),(X394-'Choix pédagogiques'!$C$4)/('Choix pédagogiques'!$C$5-'Choix pédagogiques'!$C$4),"")</f>
        <v/>
      </c>
      <c r="AT394" s="55" t="str">
        <f aca="false">IF(AND('Choix pédagogiques'!$C$4&lt;&gt;"?",'Choix pédagogiques'!$C$5&lt;&gt;"?",Y394&lt;&gt;""),(Y394-'Choix pédagogiques'!$C$4)/('Choix pédagogiques'!$C$5-'Choix pédagogiques'!$C$4),"")</f>
        <v/>
      </c>
      <c r="AU394" s="53" t="str">
        <f aca="false">IF($E394&lt;&gt;"",$E394,"")</f>
        <v/>
      </c>
      <c r="AV394" s="52" t="str">
        <f aca="false">IF($F394&lt;&gt;"",$F394,"")</f>
        <v>Apprenant 382 ou 382'</v>
      </c>
      <c r="AW394" s="55" t="str">
        <f aca="false">IF(AND('Choix pédagogiques'!$C$4&lt;&gt;"?",'Choix pédagogiques'!$C$5&lt;&gt;"?",AB394&lt;&gt;""),(AB394-'Choix pédagogiques'!$C$4)/('Choix pédagogiques'!$C$5-'Choix pédagogiques'!$C$4),"")</f>
        <v/>
      </c>
      <c r="AX394" s="55" t="str">
        <f aca="false">IF(AND('Choix pédagogiques'!$C$4&lt;&gt;"?",'Choix pédagogiques'!$C$5&lt;&gt;"?",AC394&lt;&gt;""),(AC394-'Choix pédagogiques'!$C$4)/('Choix pédagogiques'!$C$5-'Choix pédagogiques'!$C$4),"")</f>
        <v/>
      </c>
      <c r="AY394" s="55" t="str">
        <f aca="false">IF(AND('Choix pédagogiques'!$C$4&lt;&gt;"?",'Choix pédagogiques'!$C$5&lt;&gt;"?",AD394&lt;&gt;""),(AD394-'Choix pédagogiques'!$C$4)/('Choix pédagogiques'!$C$5-'Choix pédagogiques'!$C$4),"")</f>
        <v/>
      </c>
      <c r="AZ394" s="53" t="str">
        <f aca="false">IF($J394&lt;&gt;"",$J394,"")</f>
        <v/>
      </c>
      <c r="BA394" s="52" t="str">
        <f aca="false">IF($A394&lt;&gt;"",$A394,"")</f>
        <v>Apprenant 382</v>
      </c>
      <c r="BB394" s="55" t="str">
        <f aca="false">IF(AND($AR394&lt;&gt;"",$AS394&lt;&gt;""),$AS394-$AR394,"")</f>
        <v/>
      </c>
      <c r="BC394" s="55" t="str">
        <f aca="false">IF(AND($AR394&lt;&gt;"",$AT394&lt;&gt;""),$AT394-$AR394,"")</f>
        <v/>
      </c>
      <c r="BD394" s="55" t="str">
        <f aca="false">IF(AND($AS394&lt;&gt;"",$AT394&lt;&gt;""),$AT394-$AS394,"")</f>
        <v/>
      </c>
      <c r="BE394" s="53" t="str">
        <f aca="false">IF($E394&lt;&gt;"",$E394,"")</f>
        <v/>
      </c>
      <c r="BF394" s="52" t="str">
        <f aca="false">IF($F394&lt;&gt;"",$F394,"")</f>
        <v>Apprenant 382 ou 382'</v>
      </c>
      <c r="BG394" s="55" t="str">
        <f aca="false">IF(AND($AW394&lt;&gt;"",$AX394&lt;&gt;""),$AX394-$AW394,"")</f>
        <v/>
      </c>
      <c r="BH394" s="55" t="str">
        <f aca="false">IF(AND($AW394&lt;&gt;"",$AY394&lt;&gt;""),$AY394-$AW394,"")</f>
        <v/>
      </c>
      <c r="BI394" s="55" t="str">
        <f aca="false">IF(AND($AX394&lt;&gt;"",$AY394&lt;&gt;""),$AY394-$AX394,"")</f>
        <v/>
      </c>
      <c r="BJ394" s="53" t="str">
        <f aca="false">IF($J394&lt;&gt;"",$J394,"")</f>
        <v/>
      </c>
      <c r="BL394" s="52"/>
      <c r="BM394" s="52" t="str">
        <f aca="false">IF(OR(COUNT(B394:D1393)=0,AND('Choix pédagogiques'!$C$3&lt;&gt;1,'Choix pédagogiques'!$C$3&lt;&gt;2)),"",IF(AND(OR('Choix pédagogiques'!$C$3=1,'Choix pédagogiques'!$C$3=2),$B394&lt;&gt;"",$C394&lt;&gt;"",$D394&lt;&gt;""),1,0))</f>
        <v/>
      </c>
      <c r="BN394" s="52" t="str">
        <f aca="false">IF(OR(COUNT(G394:I1393)=0,AND('Choix pédagogiques'!$C$3&lt;&gt;1,'Choix pédagogiques'!$C$3&lt;&gt;2)),"",IF(AND(OR('Choix pédagogiques'!$C$3=1,'Choix pédagogiques'!$C$3=2),AND($G394&lt;&gt;"",$H394&lt;&gt;"",$I394&lt;&gt;"")),1,0))</f>
        <v/>
      </c>
      <c r="BO394" s="52" t="str">
        <f aca="false">IF(OR(COUNT(B394:D1393)=0,COUNT(G394:I1393)=0,'Choix pédagogiques'!C$3&lt;&gt;3),"",IF(AND('Choix pédagogiques'!$C$3=3,$B394&lt;&gt;"",$C394&lt;&gt;"",$D394&lt;&gt;"",$G394&lt;&gt;"",$H394&lt;&gt;"",$I394&lt;&gt;""),1,0))</f>
        <v/>
      </c>
      <c r="BR394" s="52" t="n">
        <v>61</v>
      </c>
      <c r="BS394" s="52" t="n">
        <v>1866</v>
      </c>
    </row>
    <row r="395" s="54" customFormat="true" ht="18" hidden="false" customHeight="true" outlineLevel="0" collapsed="false">
      <c r="A395" s="57" t="s">
        <v>721</v>
      </c>
      <c r="B395" s="51"/>
      <c r="C395" s="51"/>
      <c r="D395" s="51"/>
      <c r="E395" s="51"/>
      <c r="F395" s="57" t="s">
        <v>722</v>
      </c>
      <c r="G395" s="51"/>
      <c r="H395" s="51"/>
      <c r="I395" s="51"/>
      <c r="J395" s="51"/>
      <c r="K395" s="52" t="str">
        <f aca="false">IF($A395&lt;&gt;"",$A395,"")</f>
        <v>Apprenant 383</v>
      </c>
      <c r="L395" s="53" t="str">
        <f aca="false">IF(AND($B395&lt;&gt;"",$C395&lt;&gt;""),$C395-$B395,"")</f>
        <v/>
      </c>
      <c r="M395" s="53" t="str">
        <f aca="false">IF(AND($B395&lt;&gt;"",$D395&lt;&gt;""),$D395-$B395,"")</f>
        <v/>
      </c>
      <c r="N395" s="53" t="str">
        <f aca="false">IF(AND($C395&lt;&gt;"",$D395&lt;&gt;""),$D395-$C395,"")</f>
        <v/>
      </c>
      <c r="O395" s="53" t="str">
        <f aca="false">IF($E395&lt;&gt;"",$E395,"")</f>
        <v/>
      </c>
      <c r="P395" s="52" t="str">
        <f aca="false">IF($F395&lt;&gt;"",$F395,"")</f>
        <v>Apprenant 383 ou 383'</v>
      </c>
      <c r="Q395" s="53" t="str">
        <f aca="false">IF(AND($G395&lt;&gt;"",$H395&lt;&gt;""),$H395-$G395,"")</f>
        <v/>
      </c>
      <c r="R395" s="53" t="str">
        <f aca="false">IF(AND($G395&lt;&gt;"",$I395&lt;&gt;""),$I395-$G395,"")</f>
        <v/>
      </c>
      <c r="S395" s="53" t="str">
        <f aca="false">IF(AND($H395&lt;&gt;"",$I395&lt;&gt;""),$I395-$H395,"")</f>
        <v/>
      </c>
      <c r="T395" s="53" t="str">
        <f aca="false">IF($J395&lt;&gt;"",$J395,"")</f>
        <v/>
      </c>
      <c r="V395" s="52" t="str">
        <f aca="false">IF($A395&lt;&gt;"",$A395,"")</f>
        <v>Apprenant 383</v>
      </c>
      <c r="W395" s="53" t="str">
        <f aca="false">IF(AND(OR('Choix pédagogiques'!$C$3=1,'Choix pédagogiques'!$C$3=2),$BM395=1),B395,IF(AND('Choix pédagogiques'!$C$3=3,$BO395=1),B395,""))</f>
        <v/>
      </c>
      <c r="X395" s="53" t="str">
        <f aca="false">IF(AND(OR('Choix pédagogiques'!$C$3=1,'Choix pédagogiques'!$C$3=2),$BM395=1),C395,IF(AND('Choix pédagogiques'!$C$3=3,$BO395=1),C395,""))</f>
        <v/>
      </c>
      <c r="Y395" s="53" t="str">
        <f aca="false">IF(AND(OR('Choix pédagogiques'!$C$3=1,'Choix pédagogiques'!$C$3=2),$BM395=1),D395,IF(AND('Choix pédagogiques'!$C$3=3,$BO395=1),D395,""))</f>
        <v/>
      </c>
      <c r="Z395" s="53" t="str">
        <f aca="false">IF($E395&lt;&gt;"",$E395,"")</f>
        <v/>
      </c>
      <c r="AA395" s="52" t="str">
        <f aca="false">IF($F395&lt;&gt;"",$F395,"")</f>
        <v>Apprenant 383 ou 383'</v>
      </c>
      <c r="AB395" s="53" t="str">
        <f aca="false">IF(AND(OR('Choix pédagogiques'!$C$3=1,'Choix pédagogiques'!$C$3=2),$BN395=1),G395,IF(AND('Choix pédagogiques'!$C$3=3,$BO395=1),G395,""))</f>
        <v/>
      </c>
      <c r="AC395" s="53" t="str">
        <f aca="false">IF(AND(OR('Choix pédagogiques'!$C$3=1,'Choix pédagogiques'!$C$3=2),$BN395=1),H395,IF(AND('Choix pédagogiques'!$C$3=3,$BO395=1),H395,""))</f>
        <v/>
      </c>
      <c r="AD395" s="53" t="str">
        <f aca="false">IF(AND(OR('Choix pédagogiques'!$C$3=1,'Choix pédagogiques'!$C$3=2),$BN395=1),I395,IF(AND('Choix pédagogiques'!$C$3=3,$BO395=1),I395,""))</f>
        <v/>
      </c>
      <c r="AE395" s="53" t="str">
        <f aca="false">IF($J395&lt;&gt;"",$J395,"")</f>
        <v/>
      </c>
      <c r="AF395" s="52" t="str">
        <f aca="false">IF($A395&lt;&gt;"",$A395,"")</f>
        <v>Apprenant 383</v>
      </c>
      <c r="AG395" s="53" t="str">
        <f aca="false">IF(AND($W395&lt;&gt;"",$X395&lt;&gt;""),$X395-$W395,"")</f>
        <v/>
      </c>
      <c r="AH395" s="53" t="str">
        <f aca="false">IF(AND($W395&lt;&gt;"",$Y395&lt;&gt;""),$Y395-$W395,"")</f>
        <v/>
      </c>
      <c r="AI395" s="53" t="str">
        <f aca="false">IF(AND($X395&lt;&gt;"",$Y395&lt;&gt;""),$Y395-$X395,"")</f>
        <v/>
      </c>
      <c r="AJ395" s="53" t="str">
        <f aca="false">IF($E395&lt;&gt;"",$E395,"")</f>
        <v/>
      </c>
      <c r="AK395" s="52" t="str">
        <f aca="false">IF($F395&lt;&gt;"",$F395,"")</f>
        <v>Apprenant 383 ou 383'</v>
      </c>
      <c r="AL395" s="53" t="str">
        <f aca="false">IF(AND($AB395&lt;&gt;"",$AC395&lt;&gt;""),$AC395-$AB395,"")</f>
        <v/>
      </c>
      <c r="AM395" s="53" t="str">
        <f aca="false">IF(AND($AB395&lt;&gt;"",$AD395&lt;&gt;""),$AD395-$AB395,"")</f>
        <v/>
      </c>
      <c r="AN395" s="53" t="str">
        <f aca="false">IF(AND($AC395&lt;&gt;"",$AD395&lt;&gt;""),$AD395-$AC395,"")</f>
        <v/>
      </c>
      <c r="AO395" s="53" t="str">
        <f aca="false">IF($J395&lt;&gt;"",$J395,"")</f>
        <v/>
      </c>
      <c r="AQ395" s="52" t="str">
        <f aca="false">IF($A395&lt;&gt;"",$A395,"")</f>
        <v>Apprenant 383</v>
      </c>
      <c r="AR395" s="55" t="str">
        <f aca="false">IF(AND('Choix pédagogiques'!$C$4&lt;&gt;"?",'Choix pédagogiques'!$C$5&lt;&gt;"?",W395&lt;&gt;""),(W395-'Choix pédagogiques'!$C$4)/('Choix pédagogiques'!$C$5-'Choix pédagogiques'!$C$4),"")</f>
        <v/>
      </c>
      <c r="AS395" s="55" t="str">
        <f aca="false">IF(AND('Choix pédagogiques'!$C$4&lt;&gt;"?",'Choix pédagogiques'!$C$5&lt;&gt;"?",X395&lt;&gt;""),(X395-'Choix pédagogiques'!$C$4)/('Choix pédagogiques'!$C$5-'Choix pédagogiques'!$C$4),"")</f>
        <v/>
      </c>
      <c r="AT395" s="55" t="str">
        <f aca="false">IF(AND('Choix pédagogiques'!$C$4&lt;&gt;"?",'Choix pédagogiques'!$C$5&lt;&gt;"?",Y395&lt;&gt;""),(Y395-'Choix pédagogiques'!$C$4)/('Choix pédagogiques'!$C$5-'Choix pédagogiques'!$C$4),"")</f>
        <v/>
      </c>
      <c r="AU395" s="53" t="str">
        <f aca="false">IF($E395&lt;&gt;"",$E395,"")</f>
        <v/>
      </c>
      <c r="AV395" s="52" t="str">
        <f aca="false">IF($F395&lt;&gt;"",$F395,"")</f>
        <v>Apprenant 383 ou 383'</v>
      </c>
      <c r="AW395" s="55" t="str">
        <f aca="false">IF(AND('Choix pédagogiques'!$C$4&lt;&gt;"?",'Choix pédagogiques'!$C$5&lt;&gt;"?",AB395&lt;&gt;""),(AB395-'Choix pédagogiques'!$C$4)/('Choix pédagogiques'!$C$5-'Choix pédagogiques'!$C$4),"")</f>
        <v/>
      </c>
      <c r="AX395" s="55" t="str">
        <f aca="false">IF(AND('Choix pédagogiques'!$C$4&lt;&gt;"?",'Choix pédagogiques'!$C$5&lt;&gt;"?",AC395&lt;&gt;""),(AC395-'Choix pédagogiques'!$C$4)/('Choix pédagogiques'!$C$5-'Choix pédagogiques'!$C$4),"")</f>
        <v/>
      </c>
      <c r="AY395" s="55" t="str">
        <f aca="false">IF(AND('Choix pédagogiques'!$C$4&lt;&gt;"?",'Choix pédagogiques'!$C$5&lt;&gt;"?",AD395&lt;&gt;""),(AD395-'Choix pédagogiques'!$C$4)/('Choix pédagogiques'!$C$5-'Choix pédagogiques'!$C$4),"")</f>
        <v/>
      </c>
      <c r="AZ395" s="53" t="str">
        <f aca="false">IF($J395&lt;&gt;"",$J395,"")</f>
        <v/>
      </c>
      <c r="BA395" s="52" t="str">
        <f aca="false">IF($A395&lt;&gt;"",$A395,"")</f>
        <v>Apprenant 383</v>
      </c>
      <c r="BB395" s="55" t="str">
        <f aca="false">IF(AND($AR395&lt;&gt;"",$AS395&lt;&gt;""),$AS395-$AR395,"")</f>
        <v/>
      </c>
      <c r="BC395" s="55" t="str">
        <f aca="false">IF(AND($AR395&lt;&gt;"",$AT395&lt;&gt;""),$AT395-$AR395,"")</f>
        <v/>
      </c>
      <c r="BD395" s="55" t="str">
        <f aca="false">IF(AND($AS395&lt;&gt;"",$AT395&lt;&gt;""),$AT395-$AS395,"")</f>
        <v/>
      </c>
      <c r="BE395" s="53" t="str">
        <f aca="false">IF($E395&lt;&gt;"",$E395,"")</f>
        <v/>
      </c>
      <c r="BF395" s="52" t="str">
        <f aca="false">IF($F395&lt;&gt;"",$F395,"")</f>
        <v>Apprenant 383 ou 383'</v>
      </c>
      <c r="BG395" s="55" t="str">
        <f aca="false">IF(AND($AW395&lt;&gt;"",$AX395&lt;&gt;""),$AX395-$AW395,"")</f>
        <v/>
      </c>
      <c r="BH395" s="55" t="str">
        <f aca="false">IF(AND($AW395&lt;&gt;"",$AY395&lt;&gt;""),$AY395-$AW395,"")</f>
        <v/>
      </c>
      <c r="BI395" s="55" t="str">
        <f aca="false">IF(AND($AX395&lt;&gt;"",$AY395&lt;&gt;""),$AY395-$AX395,"")</f>
        <v/>
      </c>
      <c r="BJ395" s="53" t="str">
        <f aca="false">IF($J395&lt;&gt;"",$J395,"")</f>
        <v/>
      </c>
      <c r="BL395" s="52"/>
      <c r="BM395" s="52" t="str">
        <f aca="false">IF(OR(COUNT(B395:D1394)=0,AND('Choix pédagogiques'!$C$3&lt;&gt;1,'Choix pédagogiques'!$C$3&lt;&gt;2)),"",IF(AND(OR('Choix pédagogiques'!$C$3=1,'Choix pédagogiques'!$C$3=2),$B395&lt;&gt;"",$C395&lt;&gt;"",$D395&lt;&gt;""),1,0))</f>
        <v/>
      </c>
      <c r="BN395" s="52" t="str">
        <f aca="false">IF(OR(COUNT(G395:I1394)=0,AND('Choix pédagogiques'!$C$3&lt;&gt;1,'Choix pédagogiques'!$C$3&lt;&gt;2)),"",IF(AND(OR('Choix pédagogiques'!$C$3=1,'Choix pédagogiques'!$C$3=2),AND($G395&lt;&gt;"",$H395&lt;&gt;"",$I395&lt;&gt;"")),1,0))</f>
        <v/>
      </c>
      <c r="BO395" s="52" t="str">
        <f aca="false">IF(OR(COUNT(B395:D1394)=0,COUNT(G395:I1394)=0,'Choix pédagogiques'!C$3&lt;&gt;3),"",IF(AND('Choix pédagogiques'!$C$3=3,$B395&lt;&gt;"",$C395&lt;&gt;"",$D395&lt;&gt;"",$G395&lt;&gt;"",$H395&lt;&gt;"",$I395&lt;&gt;""),1,0))</f>
        <v/>
      </c>
      <c r="BR395" s="52" t="n">
        <v>166</v>
      </c>
      <c r="BS395" s="52" t="n">
        <v>1339</v>
      </c>
    </row>
    <row r="396" s="54" customFormat="true" ht="18" hidden="false" customHeight="true" outlineLevel="0" collapsed="false">
      <c r="A396" s="57" t="s">
        <v>723</v>
      </c>
      <c r="B396" s="51"/>
      <c r="C396" s="51"/>
      <c r="D396" s="51"/>
      <c r="E396" s="51"/>
      <c r="F396" s="57" t="s">
        <v>724</v>
      </c>
      <c r="G396" s="51"/>
      <c r="H396" s="51"/>
      <c r="I396" s="51"/>
      <c r="J396" s="51"/>
      <c r="K396" s="52" t="str">
        <f aca="false">IF($A396&lt;&gt;"",$A396,"")</f>
        <v>Apprenant 384</v>
      </c>
      <c r="L396" s="53" t="str">
        <f aca="false">IF(AND($B396&lt;&gt;"",$C396&lt;&gt;""),$C396-$B396,"")</f>
        <v/>
      </c>
      <c r="M396" s="53" t="str">
        <f aca="false">IF(AND($B396&lt;&gt;"",$D396&lt;&gt;""),$D396-$B396,"")</f>
        <v/>
      </c>
      <c r="N396" s="53" t="str">
        <f aca="false">IF(AND($C396&lt;&gt;"",$D396&lt;&gt;""),$D396-$C396,"")</f>
        <v/>
      </c>
      <c r="O396" s="53" t="str">
        <f aca="false">IF($E396&lt;&gt;"",$E396,"")</f>
        <v/>
      </c>
      <c r="P396" s="52" t="str">
        <f aca="false">IF($F396&lt;&gt;"",$F396,"")</f>
        <v>Apprenant 384 ou 384'</v>
      </c>
      <c r="Q396" s="53" t="str">
        <f aca="false">IF(AND($G396&lt;&gt;"",$H396&lt;&gt;""),$H396-$G396,"")</f>
        <v/>
      </c>
      <c r="R396" s="53" t="str">
        <f aca="false">IF(AND($G396&lt;&gt;"",$I396&lt;&gt;""),$I396-$G396,"")</f>
        <v/>
      </c>
      <c r="S396" s="53" t="str">
        <f aca="false">IF(AND($H396&lt;&gt;"",$I396&lt;&gt;""),$I396-$H396,"")</f>
        <v/>
      </c>
      <c r="T396" s="53" t="str">
        <f aca="false">IF($J396&lt;&gt;"",$J396,"")</f>
        <v/>
      </c>
      <c r="V396" s="52" t="str">
        <f aca="false">IF($A396&lt;&gt;"",$A396,"")</f>
        <v>Apprenant 384</v>
      </c>
      <c r="W396" s="53" t="str">
        <f aca="false">IF(AND(OR('Choix pédagogiques'!$C$3=1,'Choix pédagogiques'!$C$3=2),$BM396=1),B396,IF(AND('Choix pédagogiques'!$C$3=3,$BO396=1),B396,""))</f>
        <v/>
      </c>
      <c r="X396" s="53" t="str">
        <f aca="false">IF(AND(OR('Choix pédagogiques'!$C$3=1,'Choix pédagogiques'!$C$3=2),$BM396=1),C396,IF(AND('Choix pédagogiques'!$C$3=3,$BO396=1),C396,""))</f>
        <v/>
      </c>
      <c r="Y396" s="53" t="str">
        <f aca="false">IF(AND(OR('Choix pédagogiques'!$C$3=1,'Choix pédagogiques'!$C$3=2),$BM396=1),D396,IF(AND('Choix pédagogiques'!$C$3=3,$BO396=1),D396,""))</f>
        <v/>
      </c>
      <c r="Z396" s="53" t="str">
        <f aca="false">IF($E396&lt;&gt;"",$E396,"")</f>
        <v/>
      </c>
      <c r="AA396" s="52" t="str">
        <f aca="false">IF($F396&lt;&gt;"",$F396,"")</f>
        <v>Apprenant 384 ou 384'</v>
      </c>
      <c r="AB396" s="53" t="str">
        <f aca="false">IF(AND(OR('Choix pédagogiques'!$C$3=1,'Choix pédagogiques'!$C$3=2),$BN396=1),G396,IF(AND('Choix pédagogiques'!$C$3=3,$BO396=1),G396,""))</f>
        <v/>
      </c>
      <c r="AC396" s="53" t="str">
        <f aca="false">IF(AND(OR('Choix pédagogiques'!$C$3=1,'Choix pédagogiques'!$C$3=2),$BN396=1),H396,IF(AND('Choix pédagogiques'!$C$3=3,$BO396=1),H396,""))</f>
        <v/>
      </c>
      <c r="AD396" s="53" t="str">
        <f aca="false">IF(AND(OR('Choix pédagogiques'!$C$3=1,'Choix pédagogiques'!$C$3=2),$BN396=1),I396,IF(AND('Choix pédagogiques'!$C$3=3,$BO396=1),I396,""))</f>
        <v/>
      </c>
      <c r="AE396" s="53" t="str">
        <f aca="false">IF($J396&lt;&gt;"",$J396,"")</f>
        <v/>
      </c>
      <c r="AF396" s="52" t="str">
        <f aca="false">IF($A396&lt;&gt;"",$A396,"")</f>
        <v>Apprenant 384</v>
      </c>
      <c r="AG396" s="53" t="str">
        <f aca="false">IF(AND($W396&lt;&gt;"",$X396&lt;&gt;""),$X396-$W396,"")</f>
        <v/>
      </c>
      <c r="AH396" s="53" t="str">
        <f aca="false">IF(AND($W396&lt;&gt;"",$Y396&lt;&gt;""),$Y396-$W396,"")</f>
        <v/>
      </c>
      <c r="AI396" s="53" t="str">
        <f aca="false">IF(AND($X396&lt;&gt;"",$Y396&lt;&gt;""),$Y396-$X396,"")</f>
        <v/>
      </c>
      <c r="AJ396" s="53" t="str">
        <f aca="false">IF($E396&lt;&gt;"",$E396,"")</f>
        <v/>
      </c>
      <c r="AK396" s="52" t="str">
        <f aca="false">IF($F396&lt;&gt;"",$F396,"")</f>
        <v>Apprenant 384 ou 384'</v>
      </c>
      <c r="AL396" s="53" t="str">
        <f aca="false">IF(AND($AB396&lt;&gt;"",$AC396&lt;&gt;""),$AC396-$AB396,"")</f>
        <v/>
      </c>
      <c r="AM396" s="53" t="str">
        <f aca="false">IF(AND($AB396&lt;&gt;"",$AD396&lt;&gt;""),$AD396-$AB396,"")</f>
        <v/>
      </c>
      <c r="AN396" s="53" t="str">
        <f aca="false">IF(AND($AC396&lt;&gt;"",$AD396&lt;&gt;""),$AD396-$AC396,"")</f>
        <v/>
      </c>
      <c r="AO396" s="53" t="str">
        <f aca="false">IF($J396&lt;&gt;"",$J396,"")</f>
        <v/>
      </c>
      <c r="AQ396" s="52" t="str">
        <f aca="false">IF($A396&lt;&gt;"",$A396,"")</f>
        <v>Apprenant 384</v>
      </c>
      <c r="AR396" s="55" t="str">
        <f aca="false">IF(AND('Choix pédagogiques'!$C$4&lt;&gt;"?",'Choix pédagogiques'!$C$5&lt;&gt;"?",W396&lt;&gt;""),(W396-'Choix pédagogiques'!$C$4)/('Choix pédagogiques'!$C$5-'Choix pédagogiques'!$C$4),"")</f>
        <v/>
      </c>
      <c r="AS396" s="55" t="str">
        <f aca="false">IF(AND('Choix pédagogiques'!$C$4&lt;&gt;"?",'Choix pédagogiques'!$C$5&lt;&gt;"?",X396&lt;&gt;""),(X396-'Choix pédagogiques'!$C$4)/('Choix pédagogiques'!$C$5-'Choix pédagogiques'!$C$4),"")</f>
        <v/>
      </c>
      <c r="AT396" s="55" t="str">
        <f aca="false">IF(AND('Choix pédagogiques'!$C$4&lt;&gt;"?",'Choix pédagogiques'!$C$5&lt;&gt;"?",Y396&lt;&gt;""),(Y396-'Choix pédagogiques'!$C$4)/('Choix pédagogiques'!$C$5-'Choix pédagogiques'!$C$4),"")</f>
        <v/>
      </c>
      <c r="AU396" s="53" t="str">
        <f aca="false">IF($E396&lt;&gt;"",$E396,"")</f>
        <v/>
      </c>
      <c r="AV396" s="52" t="str">
        <f aca="false">IF($F396&lt;&gt;"",$F396,"")</f>
        <v>Apprenant 384 ou 384'</v>
      </c>
      <c r="AW396" s="55" t="str">
        <f aca="false">IF(AND('Choix pédagogiques'!$C$4&lt;&gt;"?",'Choix pédagogiques'!$C$5&lt;&gt;"?",AB396&lt;&gt;""),(AB396-'Choix pédagogiques'!$C$4)/('Choix pédagogiques'!$C$5-'Choix pédagogiques'!$C$4),"")</f>
        <v/>
      </c>
      <c r="AX396" s="55" t="str">
        <f aca="false">IF(AND('Choix pédagogiques'!$C$4&lt;&gt;"?",'Choix pédagogiques'!$C$5&lt;&gt;"?",AC396&lt;&gt;""),(AC396-'Choix pédagogiques'!$C$4)/('Choix pédagogiques'!$C$5-'Choix pédagogiques'!$C$4),"")</f>
        <v/>
      </c>
      <c r="AY396" s="55" t="str">
        <f aca="false">IF(AND('Choix pédagogiques'!$C$4&lt;&gt;"?",'Choix pédagogiques'!$C$5&lt;&gt;"?",AD396&lt;&gt;""),(AD396-'Choix pédagogiques'!$C$4)/('Choix pédagogiques'!$C$5-'Choix pédagogiques'!$C$4),"")</f>
        <v/>
      </c>
      <c r="AZ396" s="53" t="str">
        <f aca="false">IF($J396&lt;&gt;"",$J396,"")</f>
        <v/>
      </c>
      <c r="BA396" s="52" t="str">
        <f aca="false">IF($A396&lt;&gt;"",$A396,"")</f>
        <v>Apprenant 384</v>
      </c>
      <c r="BB396" s="55" t="str">
        <f aca="false">IF(AND($AR396&lt;&gt;"",$AS396&lt;&gt;""),$AS396-$AR396,"")</f>
        <v/>
      </c>
      <c r="BC396" s="55" t="str">
        <f aca="false">IF(AND($AR396&lt;&gt;"",$AT396&lt;&gt;""),$AT396-$AR396,"")</f>
        <v/>
      </c>
      <c r="BD396" s="55" t="str">
        <f aca="false">IF(AND($AS396&lt;&gt;"",$AT396&lt;&gt;""),$AT396-$AS396,"")</f>
        <v/>
      </c>
      <c r="BE396" s="53" t="str">
        <f aca="false">IF($E396&lt;&gt;"",$E396,"")</f>
        <v/>
      </c>
      <c r="BF396" s="52" t="str">
        <f aca="false">IF($F396&lt;&gt;"",$F396,"")</f>
        <v>Apprenant 384 ou 384'</v>
      </c>
      <c r="BG396" s="55" t="str">
        <f aca="false">IF(AND($AW396&lt;&gt;"",$AX396&lt;&gt;""),$AX396-$AW396,"")</f>
        <v/>
      </c>
      <c r="BH396" s="55" t="str">
        <f aca="false">IF(AND($AW396&lt;&gt;"",$AY396&lt;&gt;""),$AY396-$AW396,"")</f>
        <v/>
      </c>
      <c r="BI396" s="55" t="str">
        <f aca="false">IF(AND($AX396&lt;&gt;"",$AY396&lt;&gt;""),$AY396-$AX396,"")</f>
        <v/>
      </c>
      <c r="BJ396" s="53" t="str">
        <f aca="false">IF($J396&lt;&gt;"",$J396,"")</f>
        <v/>
      </c>
      <c r="BL396" s="52"/>
      <c r="BM396" s="52" t="str">
        <f aca="false">IF(OR(COUNT(B396:D1395)=0,AND('Choix pédagogiques'!$C$3&lt;&gt;1,'Choix pédagogiques'!$C$3&lt;&gt;2)),"",IF(AND(OR('Choix pédagogiques'!$C$3=1,'Choix pédagogiques'!$C$3=2),$B396&lt;&gt;"",$C396&lt;&gt;"",$D396&lt;&gt;""),1,0))</f>
        <v/>
      </c>
      <c r="BN396" s="52" t="str">
        <f aca="false">IF(OR(COUNT(G396:I1395)=0,AND('Choix pédagogiques'!$C$3&lt;&gt;1,'Choix pédagogiques'!$C$3&lt;&gt;2)),"",IF(AND(OR('Choix pédagogiques'!$C$3=1,'Choix pédagogiques'!$C$3=2),AND($G396&lt;&gt;"",$H396&lt;&gt;"",$I396&lt;&gt;"")),1,0))</f>
        <v/>
      </c>
      <c r="BO396" s="52" t="str">
        <f aca="false">IF(OR(COUNT(B396:D1395)=0,COUNT(G396:I1395)=0,'Choix pédagogiques'!C$3&lt;&gt;3),"",IF(AND('Choix pédagogiques'!$C$3=3,$B396&lt;&gt;"",$C396&lt;&gt;"",$D396&lt;&gt;"",$G396&lt;&gt;"",$H396&lt;&gt;"",$I396&lt;&gt;""),1,0))</f>
        <v/>
      </c>
      <c r="BR396" s="52" t="n">
        <v>74</v>
      </c>
      <c r="BS396" s="52" t="n">
        <v>1254</v>
      </c>
    </row>
    <row r="397" s="54" customFormat="true" ht="18" hidden="false" customHeight="true" outlineLevel="0" collapsed="false">
      <c r="A397" s="57" t="s">
        <v>725</v>
      </c>
      <c r="B397" s="51"/>
      <c r="C397" s="51"/>
      <c r="D397" s="51"/>
      <c r="E397" s="51"/>
      <c r="F397" s="57" t="s">
        <v>726</v>
      </c>
      <c r="G397" s="51"/>
      <c r="H397" s="51"/>
      <c r="I397" s="51"/>
      <c r="J397" s="51"/>
      <c r="K397" s="52" t="str">
        <f aca="false">IF($A397&lt;&gt;"",$A397,"")</f>
        <v>Apprenant 385</v>
      </c>
      <c r="L397" s="53" t="str">
        <f aca="false">IF(AND($B397&lt;&gt;"",$C397&lt;&gt;""),$C397-$B397,"")</f>
        <v/>
      </c>
      <c r="M397" s="53" t="str">
        <f aca="false">IF(AND($B397&lt;&gt;"",$D397&lt;&gt;""),$D397-$B397,"")</f>
        <v/>
      </c>
      <c r="N397" s="53" t="str">
        <f aca="false">IF(AND($C397&lt;&gt;"",$D397&lt;&gt;""),$D397-$C397,"")</f>
        <v/>
      </c>
      <c r="O397" s="53" t="str">
        <f aca="false">IF($E397&lt;&gt;"",$E397,"")</f>
        <v/>
      </c>
      <c r="P397" s="52" t="str">
        <f aca="false">IF($F397&lt;&gt;"",$F397,"")</f>
        <v>Apprenant 385 ou 385'</v>
      </c>
      <c r="Q397" s="53" t="str">
        <f aca="false">IF(AND($G397&lt;&gt;"",$H397&lt;&gt;""),$H397-$G397,"")</f>
        <v/>
      </c>
      <c r="R397" s="53" t="str">
        <f aca="false">IF(AND($G397&lt;&gt;"",$I397&lt;&gt;""),$I397-$G397,"")</f>
        <v/>
      </c>
      <c r="S397" s="53" t="str">
        <f aca="false">IF(AND($H397&lt;&gt;"",$I397&lt;&gt;""),$I397-$H397,"")</f>
        <v/>
      </c>
      <c r="T397" s="53" t="str">
        <f aca="false">IF($J397&lt;&gt;"",$J397,"")</f>
        <v/>
      </c>
      <c r="V397" s="52" t="str">
        <f aca="false">IF($A397&lt;&gt;"",$A397,"")</f>
        <v>Apprenant 385</v>
      </c>
      <c r="W397" s="53" t="str">
        <f aca="false">IF(AND(OR('Choix pédagogiques'!$C$3=1,'Choix pédagogiques'!$C$3=2),$BM397=1),B397,IF(AND('Choix pédagogiques'!$C$3=3,$BO397=1),B397,""))</f>
        <v/>
      </c>
      <c r="X397" s="53" t="str">
        <f aca="false">IF(AND(OR('Choix pédagogiques'!$C$3=1,'Choix pédagogiques'!$C$3=2),$BM397=1),C397,IF(AND('Choix pédagogiques'!$C$3=3,$BO397=1),C397,""))</f>
        <v/>
      </c>
      <c r="Y397" s="53" t="str">
        <f aca="false">IF(AND(OR('Choix pédagogiques'!$C$3=1,'Choix pédagogiques'!$C$3=2),$BM397=1),D397,IF(AND('Choix pédagogiques'!$C$3=3,$BO397=1),D397,""))</f>
        <v/>
      </c>
      <c r="Z397" s="53" t="str">
        <f aca="false">IF($E397&lt;&gt;"",$E397,"")</f>
        <v/>
      </c>
      <c r="AA397" s="52" t="str">
        <f aca="false">IF($F397&lt;&gt;"",$F397,"")</f>
        <v>Apprenant 385 ou 385'</v>
      </c>
      <c r="AB397" s="53" t="str">
        <f aca="false">IF(AND(OR('Choix pédagogiques'!$C$3=1,'Choix pédagogiques'!$C$3=2),$BN397=1),G397,IF(AND('Choix pédagogiques'!$C$3=3,$BO397=1),G397,""))</f>
        <v/>
      </c>
      <c r="AC397" s="53" t="str">
        <f aca="false">IF(AND(OR('Choix pédagogiques'!$C$3=1,'Choix pédagogiques'!$C$3=2),$BN397=1),H397,IF(AND('Choix pédagogiques'!$C$3=3,$BO397=1),H397,""))</f>
        <v/>
      </c>
      <c r="AD397" s="53" t="str">
        <f aca="false">IF(AND(OR('Choix pédagogiques'!$C$3=1,'Choix pédagogiques'!$C$3=2),$BN397=1),I397,IF(AND('Choix pédagogiques'!$C$3=3,$BO397=1),I397,""))</f>
        <v/>
      </c>
      <c r="AE397" s="53" t="str">
        <f aca="false">IF($J397&lt;&gt;"",$J397,"")</f>
        <v/>
      </c>
      <c r="AF397" s="52" t="str">
        <f aca="false">IF($A397&lt;&gt;"",$A397,"")</f>
        <v>Apprenant 385</v>
      </c>
      <c r="AG397" s="53" t="str">
        <f aca="false">IF(AND($W397&lt;&gt;"",$X397&lt;&gt;""),$X397-$W397,"")</f>
        <v/>
      </c>
      <c r="AH397" s="53" t="str">
        <f aca="false">IF(AND($W397&lt;&gt;"",$Y397&lt;&gt;""),$Y397-$W397,"")</f>
        <v/>
      </c>
      <c r="AI397" s="53" t="str">
        <f aca="false">IF(AND($X397&lt;&gt;"",$Y397&lt;&gt;""),$Y397-$X397,"")</f>
        <v/>
      </c>
      <c r="AJ397" s="53" t="str">
        <f aca="false">IF($E397&lt;&gt;"",$E397,"")</f>
        <v/>
      </c>
      <c r="AK397" s="52" t="str">
        <f aca="false">IF($F397&lt;&gt;"",$F397,"")</f>
        <v>Apprenant 385 ou 385'</v>
      </c>
      <c r="AL397" s="53" t="str">
        <f aca="false">IF(AND($AB397&lt;&gt;"",$AC397&lt;&gt;""),$AC397-$AB397,"")</f>
        <v/>
      </c>
      <c r="AM397" s="53" t="str">
        <f aca="false">IF(AND($AB397&lt;&gt;"",$AD397&lt;&gt;""),$AD397-$AB397,"")</f>
        <v/>
      </c>
      <c r="AN397" s="53" t="str">
        <f aca="false">IF(AND($AC397&lt;&gt;"",$AD397&lt;&gt;""),$AD397-$AC397,"")</f>
        <v/>
      </c>
      <c r="AO397" s="53" t="str">
        <f aca="false">IF($J397&lt;&gt;"",$J397,"")</f>
        <v/>
      </c>
      <c r="AQ397" s="52" t="str">
        <f aca="false">IF($A397&lt;&gt;"",$A397,"")</f>
        <v>Apprenant 385</v>
      </c>
      <c r="AR397" s="55" t="str">
        <f aca="false">IF(AND('Choix pédagogiques'!$C$4&lt;&gt;"?",'Choix pédagogiques'!$C$5&lt;&gt;"?",W397&lt;&gt;""),(W397-'Choix pédagogiques'!$C$4)/('Choix pédagogiques'!$C$5-'Choix pédagogiques'!$C$4),"")</f>
        <v/>
      </c>
      <c r="AS397" s="55" t="str">
        <f aca="false">IF(AND('Choix pédagogiques'!$C$4&lt;&gt;"?",'Choix pédagogiques'!$C$5&lt;&gt;"?",X397&lt;&gt;""),(X397-'Choix pédagogiques'!$C$4)/('Choix pédagogiques'!$C$5-'Choix pédagogiques'!$C$4),"")</f>
        <v/>
      </c>
      <c r="AT397" s="55" t="str">
        <f aca="false">IF(AND('Choix pédagogiques'!$C$4&lt;&gt;"?",'Choix pédagogiques'!$C$5&lt;&gt;"?",Y397&lt;&gt;""),(Y397-'Choix pédagogiques'!$C$4)/('Choix pédagogiques'!$C$5-'Choix pédagogiques'!$C$4),"")</f>
        <v/>
      </c>
      <c r="AU397" s="53" t="str">
        <f aca="false">IF($E397&lt;&gt;"",$E397,"")</f>
        <v/>
      </c>
      <c r="AV397" s="52" t="str">
        <f aca="false">IF($F397&lt;&gt;"",$F397,"")</f>
        <v>Apprenant 385 ou 385'</v>
      </c>
      <c r="AW397" s="55" t="str">
        <f aca="false">IF(AND('Choix pédagogiques'!$C$4&lt;&gt;"?",'Choix pédagogiques'!$C$5&lt;&gt;"?",AB397&lt;&gt;""),(AB397-'Choix pédagogiques'!$C$4)/('Choix pédagogiques'!$C$5-'Choix pédagogiques'!$C$4),"")</f>
        <v/>
      </c>
      <c r="AX397" s="55" t="str">
        <f aca="false">IF(AND('Choix pédagogiques'!$C$4&lt;&gt;"?",'Choix pédagogiques'!$C$5&lt;&gt;"?",AC397&lt;&gt;""),(AC397-'Choix pédagogiques'!$C$4)/('Choix pédagogiques'!$C$5-'Choix pédagogiques'!$C$4),"")</f>
        <v/>
      </c>
      <c r="AY397" s="55" t="str">
        <f aca="false">IF(AND('Choix pédagogiques'!$C$4&lt;&gt;"?",'Choix pédagogiques'!$C$5&lt;&gt;"?",AD397&lt;&gt;""),(AD397-'Choix pédagogiques'!$C$4)/('Choix pédagogiques'!$C$5-'Choix pédagogiques'!$C$4),"")</f>
        <v/>
      </c>
      <c r="AZ397" s="53" t="str">
        <f aca="false">IF($J397&lt;&gt;"",$J397,"")</f>
        <v/>
      </c>
      <c r="BA397" s="52" t="str">
        <f aca="false">IF($A397&lt;&gt;"",$A397,"")</f>
        <v>Apprenant 385</v>
      </c>
      <c r="BB397" s="55" t="str">
        <f aca="false">IF(AND($AR397&lt;&gt;"",$AS397&lt;&gt;""),$AS397-$AR397,"")</f>
        <v/>
      </c>
      <c r="BC397" s="55" t="str">
        <f aca="false">IF(AND($AR397&lt;&gt;"",$AT397&lt;&gt;""),$AT397-$AR397,"")</f>
        <v/>
      </c>
      <c r="BD397" s="55" t="str">
        <f aca="false">IF(AND($AS397&lt;&gt;"",$AT397&lt;&gt;""),$AT397-$AS397,"")</f>
        <v/>
      </c>
      <c r="BE397" s="53" t="str">
        <f aca="false">IF($E397&lt;&gt;"",$E397,"")</f>
        <v/>
      </c>
      <c r="BF397" s="52" t="str">
        <f aca="false">IF($F397&lt;&gt;"",$F397,"")</f>
        <v>Apprenant 385 ou 385'</v>
      </c>
      <c r="BG397" s="55" t="str">
        <f aca="false">IF(AND($AW397&lt;&gt;"",$AX397&lt;&gt;""),$AX397-$AW397,"")</f>
        <v/>
      </c>
      <c r="BH397" s="55" t="str">
        <f aca="false">IF(AND($AW397&lt;&gt;"",$AY397&lt;&gt;""),$AY397-$AW397,"")</f>
        <v/>
      </c>
      <c r="BI397" s="55" t="str">
        <f aca="false">IF(AND($AX397&lt;&gt;"",$AY397&lt;&gt;""),$AY397-$AX397,"")</f>
        <v/>
      </c>
      <c r="BJ397" s="53" t="str">
        <f aca="false">IF($J397&lt;&gt;"",$J397,"")</f>
        <v/>
      </c>
      <c r="BL397" s="52"/>
      <c r="BM397" s="52" t="str">
        <f aca="false">IF(OR(COUNT(B397:D1396)=0,AND('Choix pédagogiques'!$C$3&lt;&gt;1,'Choix pédagogiques'!$C$3&lt;&gt;2)),"",IF(AND(OR('Choix pédagogiques'!$C$3=1,'Choix pédagogiques'!$C$3=2),$B397&lt;&gt;"",$C397&lt;&gt;"",$D397&lt;&gt;""),1,0))</f>
        <v/>
      </c>
      <c r="BN397" s="52" t="str">
        <f aca="false">IF(OR(COUNT(G397:I1396)=0,AND('Choix pédagogiques'!$C$3&lt;&gt;1,'Choix pédagogiques'!$C$3&lt;&gt;2)),"",IF(AND(OR('Choix pédagogiques'!$C$3=1,'Choix pédagogiques'!$C$3=2),AND($G397&lt;&gt;"",$H397&lt;&gt;"",$I397&lt;&gt;"")),1,0))</f>
        <v/>
      </c>
      <c r="BO397" s="52" t="str">
        <f aca="false">IF(OR(COUNT(B397:D1396)=0,COUNT(G397:I1396)=0,'Choix pédagogiques'!C$3&lt;&gt;3),"",IF(AND('Choix pédagogiques'!$C$3=3,$B397&lt;&gt;"",$C397&lt;&gt;"",$D397&lt;&gt;"",$G397&lt;&gt;"",$H397&lt;&gt;"",$I397&lt;&gt;""),1,0))</f>
        <v/>
      </c>
      <c r="BR397" s="52" t="n">
        <v>455</v>
      </c>
      <c r="BS397" s="52" t="n">
        <v>1093</v>
      </c>
    </row>
    <row r="398" s="54" customFormat="true" ht="18" hidden="false" customHeight="true" outlineLevel="0" collapsed="false">
      <c r="A398" s="57" t="s">
        <v>727</v>
      </c>
      <c r="B398" s="51"/>
      <c r="C398" s="51"/>
      <c r="D398" s="51"/>
      <c r="E398" s="51"/>
      <c r="F398" s="57" t="s">
        <v>728</v>
      </c>
      <c r="G398" s="51"/>
      <c r="H398" s="51"/>
      <c r="I398" s="51"/>
      <c r="J398" s="51"/>
      <c r="K398" s="52" t="str">
        <f aca="false">IF($A398&lt;&gt;"",$A398,"")</f>
        <v>Apprenant 386</v>
      </c>
      <c r="L398" s="53" t="str">
        <f aca="false">IF(AND($B398&lt;&gt;"",$C398&lt;&gt;""),$C398-$B398,"")</f>
        <v/>
      </c>
      <c r="M398" s="53" t="str">
        <f aca="false">IF(AND($B398&lt;&gt;"",$D398&lt;&gt;""),$D398-$B398,"")</f>
        <v/>
      </c>
      <c r="N398" s="53" t="str">
        <f aca="false">IF(AND($C398&lt;&gt;"",$D398&lt;&gt;""),$D398-$C398,"")</f>
        <v/>
      </c>
      <c r="O398" s="53" t="str">
        <f aca="false">IF($E398&lt;&gt;"",$E398,"")</f>
        <v/>
      </c>
      <c r="P398" s="52" t="str">
        <f aca="false">IF($F398&lt;&gt;"",$F398,"")</f>
        <v>Apprenant 386 ou 386'</v>
      </c>
      <c r="Q398" s="53" t="str">
        <f aca="false">IF(AND($G398&lt;&gt;"",$H398&lt;&gt;""),$H398-$G398,"")</f>
        <v/>
      </c>
      <c r="R398" s="53" t="str">
        <f aca="false">IF(AND($G398&lt;&gt;"",$I398&lt;&gt;""),$I398-$G398,"")</f>
        <v/>
      </c>
      <c r="S398" s="53" t="str">
        <f aca="false">IF(AND($H398&lt;&gt;"",$I398&lt;&gt;""),$I398-$H398,"")</f>
        <v/>
      </c>
      <c r="T398" s="53" t="str">
        <f aca="false">IF($J398&lt;&gt;"",$J398,"")</f>
        <v/>
      </c>
      <c r="V398" s="52" t="str">
        <f aca="false">IF($A398&lt;&gt;"",$A398,"")</f>
        <v>Apprenant 386</v>
      </c>
      <c r="W398" s="53" t="str">
        <f aca="false">IF(AND(OR('Choix pédagogiques'!$C$3=1,'Choix pédagogiques'!$C$3=2),$BM398=1),B398,IF(AND('Choix pédagogiques'!$C$3=3,$BO398=1),B398,""))</f>
        <v/>
      </c>
      <c r="X398" s="53" t="str">
        <f aca="false">IF(AND(OR('Choix pédagogiques'!$C$3=1,'Choix pédagogiques'!$C$3=2),$BM398=1),C398,IF(AND('Choix pédagogiques'!$C$3=3,$BO398=1),C398,""))</f>
        <v/>
      </c>
      <c r="Y398" s="53" t="str">
        <f aca="false">IF(AND(OR('Choix pédagogiques'!$C$3=1,'Choix pédagogiques'!$C$3=2),$BM398=1),D398,IF(AND('Choix pédagogiques'!$C$3=3,$BO398=1),D398,""))</f>
        <v/>
      </c>
      <c r="Z398" s="53" t="str">
        <f aca="false">IF($E398&lt;&gt;"",$E398,"")</f>
        <v/>
      </c>
      <c r="AA398" s="52" t="str">
        <f aca="false">IF($F398&lt;&gt;"",$F398,"")</f>
        <v>Apprenant 386 ou 386'</v>
      </c>
      <c r="AB398" s="53" t="str">
        <f aca="false">IF(AND(OR('Choix pédagogiques'!$C$3=1,'Choix pédagogiques'!$C$3=2),$BN398=1),G398,IF(AND('Choix pédagogiques'!$C$3=3,$BO398=1),G398,""))</f>
        <v/>
      </c>
      <c r="AC398" s="53" t="str">
        <f aca="false">IF(AND(OR('Choix pédagogiques'!$C$3=1,'Choix pédagogiques'!$C$3=2),$BN398=1),H398,IF(AND('Choix pédagogiques'!$C$3=3,$BO398=1),H398,""))</f>
        <v/>
      </c>
      <c r="AD398" s="53" t="str">
        <f aca="false">IF(AND(OR('Choix pédagogiques'!$C$3=1,'Choix pédagogiques'!$C$3=2),$BN398=1),I398,IF(AND('Choix pédagogiques'!$C$3=3,$BO398=1),I398,""))</f>
        <v/>
      </c>
      <c r="AE398" s="53" t="str">
        <f aca="false">IF($J398&lt;&gt;"",$J398,"")</f>
        <v/>
      </c>
      <c r="AF398" s="52" t="str">
        <f aca="false">IF($A398&lt;&gt;"",$A398,"")</f>
        <v>Apprenant 386</v>
      </c>
      <c r="AG398" s="53" t="str">
        <f aca="false">IF(AND($W398&lt;&gt;"",$X398&lt;&gt;""),$X398-$W398,"")</f>
        <v/>
      </c>
      <c r="AH398" s="53" t="str">
        <f aca="false">IF(AND($W398&lt;&gt;"",$Y398&lt;&gt;""),$Y398-$W398,"")</f>
        <v/>
      </c>
      <c r="AI398" s="53" t="str">
        <f aca="false">IF(AND($X398&lt;&gt;"",$Y398&lt;&gt;""),$Y398-$X398,"")</f>
        <v/>
      </c>
      <c r="AJ398" s="53" t="str">
        <f aca="false">IF($E398&lt;&gt;"",$E398,"")</f>
        <v/>
      </c>
      <c r="AK398" s="52" t="str">
        <f aca="false">IF($F398&lt;&gt;"",$F398,"")</f>
        <v>Apprenant 386 ou 386'</v>
      </c>
      <c r="AL398" s="53" t="str">
        <f aca="false">IF(AND($AB398&lt;&gt;"",$AC398&lt;&gt;""),$AC398-$AB398,"")</f>
        <v/>
      </c>
      <c r="AM398" s="53" t="str">
        <f aca="false">IF(AND($AB398&lt;&gt;"",$AD398&lt;&gt;""),$AD398-$AB398,"")</f>
        <v/>
      </c>
      <c r="AN398" s="53" t="str">
        <f aca="false">IF(AND($AC398&lt;&gt;"",$AD398&lt;&gt;""),$AD398-$AC398,"")</f>
        <v/>
      </c>
      <c r="AO398" s="53" t="str">
        <f aca="false">IF($J398&lt;&gt;"",$J398,"")</f>
        <v/>
      </c>
      <c r="AQ398" s="52" t="str">
        <f aca="false">IF($A398&lt;&gt;"",$A398,"")</f>
        <v>Apprenant 386</v>
      </c>
      <c r="AR398" s="55" t="str">
        <f aca="false">IF(AND('Choix pédagogiques'!$C$4&lt;&gt;"?",'Choix pédagogiques'!$C$5&lt;&gt;"?",W398&lt;&gt;""),(W398-'Choix pédagogiques'!$C$4)/('Choix pédagogiques'!$C$5-'Choix pédagogiques'!$C$4),"")</f>
        <v/>
      </c>
      <c r="AS398" s="55" t="str">
        <f aca="false">IF(AND('Choix pédagogiques'!$C$4&lt;&gt;"?",'Choix pédagogiques'!$C$5&lt;&gt;"?",X398&lt;&gt;""),(X398-'Choix pédagogiques'!$C$4)/('Choix pédagogiques'!$C$5-'Choix pédagogiques'!$C$4),"")</f>
        <v/>
      </c>
      <c r="AT398" s="55" t="str">
        <f aca="false">IF(AND('Choix pédagogiques'!$C$4&lt;&gt;"?",'Choix pédagogiques'!$C$5&lt;&gt;"?",Y398&lt;&gt;""),(Y398-'Choix pédagogiques'!$C$4)/('Choix pédagogiques'!$C$5-'Choix pédagogiques'!$C$4),"")</f>
        <v/>
      </c>
      <c r="AU398" s="53" t="str">
        <f aca="false">IF($E398&lt;&gt;"",$E398,"")</f>
        <v/>
      </c>
      <c r="AV398" s="52" t="str">
        <f aca="false">IF($F398&lt;&gt;"",$F398,"")</f>
        <v>Apprenant 386 ou 386'</v>
      </c>
      <c r="AW398" s="55" t="str">
        <f aca="false">IF(AND('Choix pédagogiques'!$C$4&lt;&gt;"?",'Choix pédagogiques'!$C$5&lt;&gt;"?",AB398&lt;&gt;""),(AB398-'Choix pédagogiques'!$C$4)/('Choix pédagogiques'!$C$5-'Choix pédagogiques'!$C$4),"")</f>
        <v/>
      </c>
      <c r="AX398" s="55" t="str">
        <f aca="false">IF(AND('Choix pédagogiques'!$C$4&lt;&gt;"?",'Choix pédagogiques'!$C$5&lt;&gt;"?",AC398&lt;&gt;""),(AC398-'Choix pédagogiques'!$C$4)/('Choix pédagogiques'!$C$5-'Choix pédagogiques'!$C$4),"")</f>
        <v/>
      </c>
      <c r="AY398" s="55" t="str">
        <f aca="false">IF(AND('Choix pédagogiques'!$C$4&lt;&gt;"?",'Choix pédagogiques'!$C$5&lt;&gt;"?",AD398&lt;&gt;""),(AD398-'Choix pédagogiques'!$C$4)/('Choix pédagogiques'!$C$5-'Choix pédagogiques'!$C$4),"")</f>
        <v/>
      </c>
      <c r="AZ398" s="53" t="str">
        <f aca="false">IF($J398&lt;&gt;"",$J398,"")</f>
        <v/>
      </c>
      <c r="BA398" s="52" t="str">
        <f aca="false">IF($A398&lt;&gt;"",$A398,"")</f>
        <v>Apprenant 386</v>
      </c>
      <c r="BB398" s="55" t="str">
        <f aca="false">IF(AND($AR398&lt;&gt;"",$AS398&lt;&gt;""),$AS398-$AR398,"")</f>
        <v/>
      </c>
      <c r="BC398" s="55" t="str">
        <f aca="false">IF(AND($AR398&lt;&gt;"",$AT398&lt;&gt;""),$AT398-$AR398,"")</f>
        <v/>
      </c>
      <c r="BD398" s="55" t="str">
        <f aca="false">IF(AND($AS398&lt;&gt;"",$AT398&lt;&gt;""),$AT398-$AS398,"")</f>
        <v/>
      </c>
      <c r="BE398" s="53" t="str">
        <f aca="false">IF($E398&lt;&gt;"",$E398,"")</f>
        <v/>
      </c>
      <c r="BF398" s="52" t="str">
        <f aca="false">IF($F398&lt;&gt;"",$F398,"")</f>
        <v>Apprenant 386 ou 386'</v>
      </c>
      <c r="BG398" s="55" t="str">
        <f aca="false">IF(AND($AW398&lt;&gt;"",$AX398&lt;&gt;""),$AX398-$AW398,"")</f>
        <v/>
      </c>
      <c r="BH398" s="55" t="str">
        <f aca="false">IF(AND($AW398&lt;&gt;"",$AY398&lt;&gt;""),$AY398-$AW398,"")</f>
        <v/>
      </c>
      <c r="BI398" s="55" t="str">
        <f aca="false">IF(AND($AX398&lt;&gt;"",$AY398&lt;&gt;""),$AY398-$AX398,"")</f>
        <v/>
      </c>
      <c r="BJ398" s="53" t="str">
        <f aca="false">IF($J398&lt;&gt;"",$J398,"")</f>
        <v/>
      </c>
      <c r="BL398" s="52"/>
      <c r="BM398" s="52" t="str">
        <f aca="false">IF(OR(COUNT(B398:D1397)=0,AND('Choix pédagogiques'!$C$3&lt;&gt;1,'Choix pédagogiques'!$C$3&lt;&gt;2)),"",IF(AND(OR('Choix pédagogiques'!$C$3=1,'Choix pédagogiques'!$C$3=2),$B398&lt;&gt;"",$C398&lt;&gt;"",$D398&lt;&gt;""),1,0))</f>
        <v/>
      </c>
      <c r="BN398" s="52" t="str">
        <f aca="false">IF(OR(COUNT(G398:I1397)=0,AND('Choix pédagogiques'!$C$3&lt;&gt;1,'Choix pédagogiques'!$C$3&lt;&gt;2)),"",IF(AND(OR('Choix pédagogiques'!$C$3=1,'Choix pédagogiques'!$C$3=2),AND($G398&lt;&gt;"",$H398&lt;&gt;"",$I398&lt;&gt;"")),1,0))</f>
        <v/>
      </c>
      <c r="BO398" s="52" t="str">
        <f aca="false">IF(OR(COUNT(B398:D1397)=0,COUNT(G398:I1397)=0,'Choix pédagogiques'!C$3&lt;&gt;3),"",IF(AND('Choix pédagogiques'!$C$3=3,$B398&lt;&gt;"",$C398&lt;&gt;"",$D398&lt;&gt;"",$G398&lt;&gt;"",$H398&lt;&gt;"",$I398&lt;&gt;""),1,0))</f>
        <v/>
      </c>
      <c r="BR398" s="52" t="n">
        <v>987</v>
      </c>
      <c r="BS398" s="52" t="n">
        <v>1745</v>
      </c>
    </row>
    <row r="399" s="54" customFormat="true" ht="18" hidden="false" customHeight="true" outlineLevel="0" collapsed="false">
      <c r="A399" s="57" t="s">
        <v>729</v>
      </c>
      <c r="B399" s="51"/>
      <c r="C399" s="51"/>
      <c r="D399" s="51"/>
      <c r="E399" s="51"/>
      <c r="F399" s="57" t="s">
        <v>730</v>
      </c>
      <c r="G399" s="51"/>
      <c r="H399" s="51"/>
      <c r="I399" s="51"/>
      <c r="J399" s="51"/>
      <c r="K399" s="52" t="str">
        <f aca="false">IF($A399&lt;&gt;"",$A399,"")</f>
        <v>Apprenant 387</v>
      </c>
      <c r="L399" s="53" t="str">
        <f aca="false">IF(AND($B399&lt;&gt;"",$C399&lt;&gt;""),$C399-$B399,"")</f>
        <v/>
      </c>
      <c r="M399" s="53" t="str">
        <f aca="false">IF(AND($B399&lt;&gt;"",$D399&lt;&gt;""),$D399-$B399,"")</f>
        <v/>
      </c>
      <c r="N399" s="53" t="str">
        <f aca="false">IF(AND($C399&lt;&gt;"",$D399&lt;&gt;""),$D399-$C399,"")</f>
        <v/>
      </c>
      <c r="O399" s="53" t="str">
        <f aca="false">IF($E399&lt;&gt;"",$E399,"")</f>
        <v/>
      </c>
      <c r="P399" s="52" t="str">
        <f aca="false">IF($F399&lt;&gt;"",$F399,"")</f>
        <v>Apprenant 387 ou 387'</v>
      </c>
      <c r="Q399" s="53" t="str">
        <f aca="false">IF(AND($G399&lt;&gt;"",$H399&lt;&gt;""),$H399-$G399,"")</f>
        <v/>
      </c>
      <c r="R399" s="53" t="str">
        <f aca="false">IF(AND($G399&lt;&gt;"",$I399&lt;&gt;""),$I399-$G399,"")</f>
        <v/>
      </c>
      <c r="S399" s="53" t="str">
        <f aca="false">IF(AND($H399&lt;&gt;"",$I399&lt;&gt;""),$I399-$H399,"")</f>
        <v/>
      </c>
      <c r="T399" s="53" t="str">
        <f aca="false">IF($J399&lt;&gt;"",$J399,"")</f>
        <v/>
      </c>
      <c r="V399" s="52" t="str">
        <f aca="false">IF($A399&lt;&gt;"",$A399,"")</f>
        <v>Apprenant 387</v>
      </c>
      <c r="W399" s="53" t="str">
        <f aca="false">IF(AND(OR('Choix pédagogiques'!$C$3=1,'Choix pédagogiques'!$C$3=2),$BM399=1),B399,IF(AND('Choix pédagogiques'!$C$3=3,$BO399=1),B399,""))</f>
        <v/>
      </c>
      <c r="X399" s="53" t="str">
        <f aca="false">IF(AND(OR('Choix pédagogiques'!$C$3=1,'Choix pédagogiques'!$C$3=2),$BM399=1),C399,IF(AND('Choix pédagogiques'!$C$3=3,$BO399=1),C399,""))</f>
        <v/>
      </c>
      <c r="Y399" s="53" t="str">
        <f aca="false">IF(AND(OR('Choix pédagogiques'!$C$3=1,'Choix pédagogiques'!$C$3=2),$BM399=1),D399,IF(AND('Choix pédagogiques'!$C$3=3,$BO399=1),D399,""))</f>
        <v/>
      </c>
      <c r="Z399" s="53" t="str">
        <f aca="false">IF($E399&lt;&gt;"",$E399,"")</f>
        <v/>
      </c>
      <c r="AA399" s="52" t="str">
        <f aca="false">IF($F399&lt;&gt;"",$F399,"")</f>
        <v>Apprenant 387 ou 387'</v>
      </c>
      <c r="AB399" s="53" t="str">
        <f aca="false">IF(AND(OR('Choix pédagogiques'!$C$3=1,'Choix pédagogiques'!$C$3=2),$BN399=1),G399,IF(AND('Choix pédagogiques'!$C$3=3,$BO399=1),G399,""))</f>
        <v/>
      </c>
      <c r="AC399" s="53" t="str">
        <f aca="false">IF(AND(OR('Choix pédagogiques'!$C$3=1,'Choix pédagogiques'!$C$3=2),$BN399=1),H399,IF(AND('Choix pédagogiques'!$C$3=3,$BO399=1),H399,""))</f>
        <v/>
      </c>
      <c r="AD399" s="53" t="str">
        <f aca="false">IF(AND(OR('Choix pédagogiques'!$C$3=1,'Choix pédagogiques'!$C$3=2),$BN399=1),I399,IF(AND('Choix pédagogiques'!$C$3=3,$BO399=1),I399,""))</f>
        <v/>
      </c>
      <c r="AE399" s="53" t="str">
        <f aca="false">IF($J399&lt;&gt;"",$J399,"")</f>
        <v/>
      </c>
      <c r="AF399" s="52" t="str">
        <f aca="false">IF($A399&lt;&gt;"",$A399,"")</f>
        <v>Apprenant 387</v>
      </c>
      <c r="AG399" s="53" t="str">
        <f aca="false">IF(AND($W399&lt;&gt;"",$X399&lt;&gt;""),$X399-$W399,"")</f>
        <v/>
      </c>
      <c r="AH399" s="53" t="str">
        <f aca="false">IF(AND($W399&lt;&gt;"",$Y399&lt;&gt;""),$Y399-$W399,"")</f>
        <v/>
      </c>
      <c r="AI399" s="53" t="str">
        <f aca="false">IF(AND($X399&lt;&gt;"",$Y399&lt;&gt;""),$Y399-$X399,"")</f>
        <v/>
      </c>
      <c r="AJ399" s="53" t="str">
        <f aca="false">IF($E399&lt;&gt;"",$E399,"")</f>
        <v/>
      </c>
      <c r="AK399" s="52" t="str">
        <f aca="false">IF($F399&lt;&gt;"",$F399,"")</f>
        <v>Apprenant 387 ou 387'</v>
      </c>
      <c r="AL399" s="53" t="str">
        <f aca="false">IF(AND($AB399&lt;&gt;"",$AC399&lt;&gt;""),$AC399-$AB399,"")</f>
        <v/>
      </c>
      <c r="AM399" s="53" t="str">
        <f aca="false">IF(AND($AB399&lt;&gt;"",$AD399&lt;&gt;""),$AD399-$AB399,"")</f>
        <v/>
      </c>
      <c r="AN399" s="53" t="str">
        <f aca="false">IF(AND($AC399&lt;&gt;"",$AD399&lt;&gt;""),$AD399-$AC399,"")</f>
        <v/>
      </c>
      <c r="AO399" s="53" t="str">
        <f aca="false">IF($J399&lt;&gt;"",$J399,"")</f>
        <v/>
      </c>
      <c r="AQ399" s="52" t="str">
        <f aca="false">IF($A399&lt;&gt;"",$A399,"")</f>
        <v>Apprenant 387</v>
      </c>
      <c r="AR399" s="55" t="str">
        <f aca="false">IF(AND('Choix pédagogiques'!$C$4&lt;&gt;"?",'Choix pédagogiques'!$C$5&lt;&gt;"?",W399&lt;&gt;""),(W399-'Choix pédagogiques'!$C$4)/('Choix pédagogiques'!$C$5-'Choix pédagogiques'!$C$4),"")</f>
        <v/>
      </c>
      <c r="AS399" s="55" t="str">
        <f aca="false">IF(AND('Choix pédagogiques'!$C$4&lt;&gt;"?",'Choix pédagogiques'!$C$5&lt;&gt;"?",X399&lt;&gt;""),(X399-'Choix pédagogiques'!$C$4)/('Choix pédagogiques'!$C$5-'Choix pédagogiques'!$C$4),"")</f>
        <v/>
      </c>
      <c r="AT399" s="55" t="str">
        <f aca="false">IF(AND('Choix pédagogiques'!$C$4&lt;&gt;"?",'Choix pédagogiques'!$C$5&lt;&gt;"?",Y399&lt;&gt;""),(Y399-'Choix pédagogiques'!$C$4)/('Choix pédagogiques'!$C$5-'Choix pédagogiques'!$C$4),"")</f>
        <v/>
      </c>
      <c r="AU399" s="53" t="str">
        <f aca="false">IF($E399&lt;&gt;"",$E399,"")</f>
        <v/>
      </c>
      <c r="AV399" s="52" t="str">
        <f aca="false">IF($F399&lt;&gt;"",$F399,"")</f>
        <v>Apprenant 387 ou 387'</v>
      </c>
      <c r="AW399" s="55" t="str">
        <f aca="false">IF(AND('Choix pédagogiques'!$C$4&lt;&gt;"?",'Choix pédagogiques'!$C$5&lt;&gt;"?",AB399&lt;&gt;""),(AB399-'Choix pédagogiques'!$C$4)/('Choix pédagogiques'!$C$5-'Choix pédagogiques'!$C$4),"")</f>
        <v/>
      </c>
      <c r="AX399" s="55" t="str">
        <f aca="false">IF(AND('Choix pédagogiques'!$C$4&lt;&gt;"?",'Choix pédagogiques'!$C$5&lt;&gt;"?",AC399&lt;&gt;""),(AC399-'Choix pédagogiques'!$C$4)/('Choix pédagogiques'!$C$5-'Choix pédagogiques'!$C$4),"")</f>
        <v/>
      </c>
      <c r="AY399" s="55" t="str">
        <f aca="false">IF(AND('Choix pédagogiques'!$C$4&lt;&gt;"?",'Choix pédagogiques'!$C$5&lt;&gt;"?",AD399&lt;&gt;""),(AD399-'Choix pédagogiques'!$C$4)/('Choix pédagogiques'!$C$5-'Choix pédagogiques'!$C$4),"")</f>
        <v/>
      </c>
      <c r="AZ399" s="53" t="str">
        <f aca="false">IF($J399&lt;&gt;"",$J399,"")</f>
        <v/>
      </c>
      <c r="BA399" s="52" t="str">
        <f aca="false">IF($A399&lt;&gt;"",$A399,"")</f>
        <v>Apprenant 387</v>
      </c>
      <c r="BB399" s="55" t="str">
        <f aca="false">IF(AND($AR399&lt;&gt;"",$AS399&lt;&gt;""),$AS399-$AR399,"")</f>
        <v/>
      </c>
      <c r="BC399" s="55" t="str">
        <f aca="false">IF(AND($AR399&lt;&gt;"",$AT399&lt;&gt;""),$AT399-$AR399,"")</f>
        <v/>
      </c>
      <c r="BD399" s="55" t="str">
        <f aca="false">IF(AND($AS399&lt;&gt;"",$AT399&lt;&gt;""),$AT399-$AS399,"")</f>
        <v/>
      </c>
      <c r="BE399" s="53" t="str">
        <f aca="false">IF($E399&lt;&gt;"",$E399,"")</f>
        <v/>
      </c>
      <c r="BF399" s="52" t="str">
        <f aca="false">IF($F399&lt;&gt;"",$F399,"")</f>
        <v>Apprenant 387 ou 387'</v>
      </c>
      <c r="BG399" s="55" t="str">
        <f aca="false">IF(AND($AW399&lt;&gt;"",$AX399&lt;&gt;""),$AX399-$AW399,"")</f>
        <v/>
      </c>
      <c r="BH399" s="55" t="str">
        <f aca="false">IF(AND($AW399&lt;&gt;"",$AY399&lt;&gt;""),$AY399-$AW399,"")</f>
        <v/>
      </c>
      <c r="BI399" s="55" t="str">
        <f aca="false">IF(AND($AX399&lt;&gt;"",$AY399&lt;&gt;""),$AY399-$AX399,"")</f>
        <v/>
      </c>
      <c r="BJ399" s="53" t="str">
        <f aca="false">IF($J399&lt;&gt;"",$J399,"")</f>
        <v/>
      </c>
      <c r="BL399" s="52"/>
      <c r="BM399" s="52" t="str">
        <f aca="false">IF(OR(COUNT(B399:D1398)=0,AND('Choix pédagogiques'!$C$3&lt;&gt;1,'Choix pédagogiques'!$C$3&lt;&gt;2)),"",IF(AND(OR('Choix pédagogiques'!$C$3=1,'Choix pédagogiques'!$C$3=2),$B399&lt;&gt;"",$C399&lt;&gt;"",$D399&lt;&gt;""),1,0))</f>
        <v/>
      </c>
      <c r="BN399" s="52" t="str">
        <f aca="false">IF(OR(COUNT(G399:I1398)=0,AND('Choix pédagogiques'!$C$3&lt;&gt;1,'Choix pédagogiques'!$C$3&lt;&gt;2)),"",IF(AND(OR('Choix pédagogiques'!$C$3=1,'Choix pédagogiques'!$C$3=2),AND($G399&lt;&gt;"",$H399&lt;&gt;"",$I399&lt;&gt;"")),1,0))</f>
        <v/>
      </c>
      <c r="BO399" s="52" t="str">
        <f aca="false">IF(OR(COUNT(B399:D1398)=0,COUNT(G399:I1398)=0,'Choix pédagogiques'!C$3&lt;&gt;3),"",IF(AND('Choix pédagogiques'!$C$3=3,$B399&lt;&gt;"",$C399&lt;&gt;"",$D399&lt;&gt;"",$G399&lt;&gt;"",$H399&lt;&gt;"",$I399&lt;&gt;""),1,0))</f>
        <v/>
      </c>
      <c r="BR399" s="52" t="n">
        <v>22</v>
      </c>
      <c r="BS399" s="52" t="n">
        <v>1456</v>
      </c>
    </row>
    <row r="400" s="54" customFormat="true" ht="18" hidden="false" customHeight="true" outlineLevel="0" collapsed="false">
      <c r="A400" s="57" t="s">
        <v>731</v>
      </c>
      <c r="B400" s="51"/>
      <c r="C400" s="51"/>
      <c r="D400" s="51"/>
      <c r="E400" s="51"/>
      <c r="F400" s="57" t="s">
        <v>732</v>
      </c>
      <c r="G400" s="51"/>
      <c r="H400" s="51"/>
      <c r="I400" s="51"/>
      <c r="J400" s="51"/>
      <c r="K400" s="52" t="str">
        <f aca="false">IF($A400&lt;&gt;"",$A400,"")</f>
        <v>Apprenant 388</v>
      </c>
      <c r="L400" s="53" t="str">
        <f aca="false">IF(AND($B400&lt;&gt;"",$C400&lt;&gt;""),$C400-$B400,"")</f>
        <v/>
      </c>
      <c r="M400" s="53" t="str">
        <f aca="false">IF(AND($B400&lt;&gt;"",$D400&lt;&gt;""),$D400-$B400,"")</f>
        <v/>
      </c>
      <c r="N400" s="53" t="str">
        <f aca="false">IF(AND($C400&lt;&gt;"",$D400&lt;&gt;""),$D400-$C400,"")</f>
        <v/>
      </c>
      <c r="O400" s="53" t="str">
        <f aca="false">IF($E400&lt;&gt;"",$E400,"")</f>
        <v/>
      </c>
      <c r="P400" s="52" t="str">
        <f aca="false">IF($F400&lt;&gt;"",$F400,"")</f>
        <v>Apprenant 388 ou 388'</v>
      </c>
      <c r="Q400" s="53" t="str">
        <f aca="false">IF(AND($G400&lt;&gt;"",$H400&lt;&gt;""),$H400-$G400,"")</f>
        <v/>
      </c>
      <c r="R400" s="53" t="str">
        <f aca="false">IF(AND($G400&lt;&gt;"",$I400&lt;&gt;""),$I400-$G400,"")</f>
        <v/>
      </c>
      <c r="S400" s="53" t="str">
        <f aca="false">IF(AND($H400&lt;&gt;"",$I400&lt;&gt;""),$I400-$H400,"")</f>
        <v/>
      </c>
      <c r="T400" s="53" t="str">
        <f aca="false">IF($J400&lt;&gt;"",$J400,"")</f>
        <v/>
      </c>
      <c r="V400" s="52" t="str">
        <f aca="false">IF($A400&lt;&gt;"",$A400,"")</f>
        <v>Apprenant 388</v>
      </c>
      <c r="W400" s="53" t="str">
        <f aca="false">IF(AND(OR('Choix pédagogiques'!$C$3=1,'Choix pédagogiques'!$C$3=2),$BM400=1),B400,IF(AND('Choix pédagogiques'!$C$3=3,$BO400=1),B400,""))</f>
        <v/>
      </c>
      <c r="X400" s="53" t="str">
        <f aca="false">IF(AND(OR('Choix pédagogiques'!$C$3=1,'Choix pédagogiques'!$C$3=2),$BM400=1),C400,IF(AND('Choix pédagogiques'!$C$3=3,$BO400=1),C400,""))</f>
        <v/>
      </c>
      <c r="Y400" s="53" t="str">
        <f aca="false">IF(AND(OR('Choix pédagogiques'!$C$3=1,'Choix pédagogiques'!$C$3=2),$BM400=1),D400,IF(AND('Choix pédagogiques'!$C$3=3,$BO400=1),D400,""))</f>
        <v/>
      </c>
      <c r="Z400" s="53" t="str">
        <f aca="false">IF($E400&lt;&gt;"",$E400,"")</f>
        <v/>
      </c>
      <c r="AA400" s="52" t="str">
        <f aca="false">IF($F400&lt;&gt;"",$F400,"")</f>
        <v>Apprenant 388 ou 388'</v>
      </c>
      <c r="AB400" s="53" t="str">
        <f aca="false">IF(AND(OR('Choix pédagogiques'!$C$3=1,'Choix pédagogiques'!$C$3=2),$BN400=1),G400,IF(AND('Choix pédagogiques'!$C$3=3,$BO400=1),G400,""))</f>
        <v/>
      </c>
      <c r="AC400" s="53" t="str">
        <f aca="false">IF(AND(OR('Choix pédagogiques'!$C$3=1,'Choix pédagogiques'!$C$3=2),$BN400=1),H400,IF(AND('Choix pédagogiques'!$C$3=3,$BO400=1),H400,""))</f>
        <v/>
      </c>
      <c r="AD400" s="53" t="str">
        <f aca="false">IF(AND(OR('Choix pédagogiques'!$C$3=1,'Choix pédagogiques'!$C$3=2),$BN400=1),I400,IF(AND('Choix pédagogiques'!$C$3=3,$BO400=1),I400,""))</f>
        <v/>
      </c>
      <c r="AE400" s="53" t="str">
        <f aca="false">IF($J400&lt;&gt;"",$J400,"")</f>
        <v/>
      </c>
      <c r="AF400" s="52" t="str">
        <f aca="false">IF($A400&lt;&gt;"",$A400,"")</f>
        <v>Apprenant 388</v>
      </c>
      <c r="AG400" s="53" t="str">
        <f aca="false">IF(AND($W400&lt;&gt;"",$X400&lt;&gt;""),$X400-$W400,"")</f>
        <v/>
      </c>
      <c r="AH400" s="53" t="str">
        <f aca="false">IF(AND($W400&lt;&gt;"",$Y400&lt;&gt;""),$Y400-$W400,"")</f>
        <v/>
      </c>
      <c r="AI400" s="53" t="str">
        <f aca="false">IF(AND($X400&lt;&gt;"",$Y400&lt;&gt;""),$Y400-$X400,"")</f>
        <v/>
      </c>
      <c r="AJ400" s="53" t="str">
        <f aca="false">IF($E400&lt;&gt;"",$E400,"")</f>
        <v/>
      </c>
      <c r="AK400" s="52" t="str">
        <f aca="false">IF($F400&lt;&gt;"",$F400,"")</f>
        <v>Apprenant 388 ou 388'</v>
      </c>
      <c r="AL400" s="53" t="str">
        <f aca="false">IF(AND($AB400&lt;&gt;"",$AC400&lt;&gt;""),$AC400-$AB400,"")</f>
        <v/>
      </c>
      <c r="AM400" s="53" t="str">
        <f aca="false">IF(AND($AB400&lt;&gt;"",$AD400&lt;&gt;""),$AD400-$AB400,"")</f>
        <v/>
      </c>
      <c r="AN400" s="53" t="str">
        <f aca="false">IF(AND($AC400&lt;&gt;"",$AD400&lt;&gt;""),$AD400-$AC400,"")</f>
        <v/>
      </c>
      <c r="AO400" s="53" t="str">
        <f aca="false">IF($J400&lt;&gt;"",$J400,"")</f>
        <v/>
      </c>
      <c r="AQ400" s="52" t="str">
        <f aca="false">IF($A400&lt;&gt;"",$A400,"")</f>
        <v>Apprenant 388</v>
      </c>
      <c r="AR400" s="55" t="str">
        <f aca="false">IF(AND('Choix pédagogiques'!$C$4&lt;&gt;"?",'Choix pédagogiques'!$C$5&lt;&gt;"?",W400&lt;&gt;""),(W400-'Choix pédagogiques'!$C$4)/('Choix pédagogiques'!$C$5-'Choix pédagogiques'!$C$4),"")</f>
        <v/>
      </c>
      <c r="AS400" s="55" t="str">
        <f aca="false">IF(AND('Choix pédagogiques'!$C$4&lt;&gt;"?",'Choix pédagogiques'!$C$5&lt;&gt;"?",X400&lt;&gt;""),(X400-'Choix pédagogiques'!$C$4)/('Choix pédagogiques'!$C$5-'Choix pédagogiques'!$C$4),"")</f>
        <v/>
      </c>
      <c r="AT400" s="55" t="str">
        <f aca="false">IF(AND('Choix pédagogiques'!$C$4&lt;&gt;"?",'Choix pédagogiques'!$C$5&lt;&gt;"?",Y400&lt;&gt;""),(Y400-'Choix pédagogiques'!$C$4)/('Choix pédagogiques'!$C$5-'Choix pédagogiques'!$C$4),"")</f>
        <v/>
      </c>
      <c r="AU400" s="53" t="str">
        <f aca="false">IF($E400&lt;&gt;"",$E400,"")</f>
        <v/>
      </c>
      <c r="AV400" s="52" t="str">
        <f aca="false">IF($F400&lt;&gt;"",$F400,"")</f>
        <v>Apprenant 388 ou 388'</v>
      </c>
      <c r="AW400" s="55" t="str">
        <f aca="false">IF(AND('Choix pédagogiques'!$C$4&lt;&gt;"?",'Choix pédagogiques'!$C$5&lt;&gt;"?",AB400&lt;&gt;""),(AB400-'Choix pédagogiques'!$C$4)/('Choix pédagogiques'!$C$5-'Choix pédagogiques'!$C$4),"")</f>
        <v/>
      </c>
      <c r="AX400" s="55" t="str">
        <f aca="false">IF(AND('Choix pédagogiques'!$C$4&lt;&gt;"?",'Choix pédagogiques'!$C$5&lt;&gt;"?",AC400&lt;&gt;""),(AC400-'Choix pédagogiques'!$C$4)/('Choix pédagogiques'!$C$5-'Choix pédagogiques'!$C$4),"")</f>
        <v/>
      </c>
      <c r="AY400" s="55" t="str">
        <f aca="false">IF(AND('Choix pédagogiques'!$C$4&lt;&gt;"?",'Choix pédagogiques'!$C$5&lt;&gt;"?",AD400&lt;&gt;""),(AD400-'Choix pédagogiques'!$C$4)/('Choix pédagogiques'!$C$5-'Choix pédagogiques'!$C$4),"")</f>
        <v/>
      </c>
      <c r="AZ400" s="53" t="str">
        <f aca="false">IF($J400&lt;&gt;"",$J400,"")</f>
        <v/>
      </c>
      <c r="BA400" s="52" t="str">
        <f aca="false">IF($A400&lt;&gt;"",$A400,"")</f>
        <v>Apprenant 388</v>
      </c>
      <c r="BB400" s="55" t="str">
        <f aca="false">IF(AND($AR400&lt;&gt;"",$AS400&lt;&gt;""),$AS400-$AR400,"")</f>
        <v/>
      </c>
      <c r="BC400" s="55" t="str">
        <f aca="false">IF(AND($AR400&lt;&gt;"",$AT400&lt;&gt;""),$AT400-$AR400,"")</f>
        <v/>
      </c>
      <c r="BD400" s="55" t="str">
        <f aca="false">IF(AND($AS400&lt;&gt;"",$AT400&lt;&gt;""),$AT400-$AS400,"")</f>
        <v/>
      </c>
      <c r="BE400" s="53" t="str">
        <f aca="false">IF($E400&lt;&gt;"",$E400,"")</f>
        <v/>
      </c>
      <c r="BF400" s="52" t="str">
        <f aca="false">IF($F400&lt;&gt;"",$F400,"")</f>
        <v>Apprenant 388 ou 388'</v>
      </c>
      <c r="BG400" s="55" t="str">
        <f aca="false">IF(AND($AW400&lt;&gt;"",$AX400&lt;&gt;""),$AX400-$AW400,"")</f>
        <v/>
      </c>
      <c r="BH400" s="55" t="str">
        <f aca="false">IF(AND($AW400&lt;&gt;"",$AY400&lt;&gt;""),$AY400-$AW400,"")</f>
        <v/>
      </c>
      <c r="BI400" s="55" t="str">
        <f aca="false">IF(AND($AX400&lt;&gt;"",$AY400&lt;&gt;""),$AY400-$AX400,"")</f>
        <v/>
      </c>
      <c r="BJ400" s="53" t="str">
        <f aca="false">IF($J400&lt;&gt;"",$J400,"")</f>
        <v/>
      </c>
      <c r="BL400" s="52"/>
      <c r="BM400" s="52" t="str">
        <f aca="false">IF(OR(COUNT(B400:D1399)=0,AND('Choix pédagogiques'!$C$3&lt;&gt;1,'Choix pédagogiques'!$C$3&lt;&gt;2)),"",IF(AND(OR('Choix pédagogiques'!$C$3=1,'Choix pédagogiques'!$C$3=2),$B400&lt;&gt;"",$C400&lt;&gt;"",$D400&lt;&gt;""),1,0))</f>
        <v/>
      </c>
      <c r="BN400" s="52" t="str">
        <f aca="false">IF(OR(COUNT(G400:I1399)=0,AND('Choix pédagogiques'!$C$3&lt;&gt;1,'Choix pédagogiques'!$C$3&lt;&gt;2)),"",IF(AND(OR('Choix pédagogiques'!$C$3=1,'Choix pédagogiques'!$C$3=2),AND($G400&lt;&gt;"",$H400&lt;&gt;"",$I400&lt;&gt;"")),1,0))</f>
        <v/>
      </c>
      <c r="BO400" s="52" t="str">
        <f aca="false">IF(OR(COUNT(B400:D1399)=0,COUNT(G400:I1399)=0,'Choix pédagogiques'!C$3&lt;&gt;3),"",IF(AND('Choix pédagogiques'!$C$3=3,$B400&lt;&gt;"",$C400&lt;&gt;"",$D400&lt;&gt;"",$G400&lt;&gt;"",$H400&lt;&gt;"",$I400&lt;&gt;""),1,0))</f>
        <v/>
      </c>
      <c r="BR400" s="52" t="n">
        <v>577</v>
      </c>
      <c r="BS400" s="52" t="n">
        <v>1154</v>
      </c>
    </row>
    <row r="401" s="54" customFormat="true" ht="18" hidden="false" customHeight="true" outlineLevel="0" collapsed="false">
      <c r="A401" s="57" t="s">
        <v>733</v>
      </c>
      <c r="B401" s="51"/>
      <c r="C401" s="51"/>
      <c r="D401" s="51"/>
      <c r="E401" s="51"/>
      <c r="F401" s="57" t="s">
        <v>734</v>
      </c>
      <c r="G401" s="51"/>
      <c r="H401" s="51"/>
      <c r="I401" s="51"/>
      <c r="J401" s="51"/>
      <c r="K401" s="52" t="str">
        <f aca="false">IF($A401&lt;&gt;"",$A401,"")</f>
        <v>Apprenant 389</v>
      </c>
      <c r="L401" s="53" t="str">
        <f aca="false">IF(AND($B401&lt;&gt;"",$C401&lt;&gt;""),$C401-$B401,"")</f>
        <v/>
      </c>
      <c r="M401" s="53" t="str">
        <f aca="false">IF(AND($B401&lt;&gt;"",$D401&lt;&gt;""),$D401-$B401,"")</f>
        <v/>
      </c>
      <c r="N401" s="53" t="str">
        <f aca="false">IF(AND($C401&lt;&gt;"",$D401&lt;&gt;""),$D401-$C401,"")</f>
        <v/>
      </c>
      <c r="O401" s="53" t="str">
        <f aca="false">IF($E401&lt;&gt;"",$E401,"")</f>
        <v/>
      </c>
      <c r="P401" s="52" t="str">
        <f aca="false">IF($F401&lt;&gt;"",$F401,"")</f>
        <v>Apprenant 389 ou 389'</v>
      </c>
      <c r="Q401" s="53" t="str">
        <f aca="false">IF(AND($G401&lt;&gt;"",$H401&lt;&gt;""),$H401-$G401,"")</f>
        <v/>
      </c>
      <c r="R401" s="53" t="str">
        <f aca="false">IF(AND($G401&lt;&gt;"",$I401&lt;&gt;""),$I401-$G401,"")</f>
        <v/>
      </c>
      <c r="S401" s="53" t="str">
        <f aca="false">IF(AND($H401&lt;&gt;"",$I401&lt;&gt;""),$I401-$H401,"")</f>
        <v/>
      </c>
      <c r="T401" s="53" t="str">
        <f aca="false">IF($J401&lt;&gt;"",$J401,"")</f>
        <v/>
      </c>
      <c r="V401" s="52" t="str">
        <f aca="false">IF($A401&lt;&gt;"",$A401,"")</f>
        <v>Apprenant 389</v>
      </c>
      <c r="W401" s="53" t="str">
        <f aca="false">IF(AND(OR('Choix pédagogiques'!$C$3=1,'Choix pédagogiques'!$C$3=2),$BM401=1),B401,IF(AND('Choix pédagogiques'!$C$3=3,$BO401=1),B401,""))</f>
        <v/>
      </c>
      <c r="X401" s="53" t="str">
        <f aca="false">IF(AND(OR('Choix pédagogiques'!$C$3=1,'Choix pédagogiques'!$C$3=2),$BM401=1),C401,IF(AND('Choix pédagogiques'!$C$3=3,$BO401=1),C401,""))</f>
        <v/>
      </c>
      <c r="Y401" s="53" t="str">
        <f aca="false">IF(AND(OR('Choix pédagogiques'!$C$3=1,'Choix pédagogiques'!$C$3=2),$BM401=1),D401,IF(AND('Choix pédagogiques'!$C$3=3,$BO401=1),D401,""))</f>
        <v/>
      </c>
      <c r="Z401" s="53" t="str">
        <f aca="false">IF($E401&lt;&gt;"",$E401,"")</f>
        <v/>
      </c>
      <c r="AA401" s="52" t="str">
        <f aca="false">IF($F401&lt;&gt;"",$F401,"")</f>
        <v>Apprenant 389 ou 389'</v>
      </c>
      <c r="AB401" s="53" t="str">
        <f aca="false">IF(AND(OR('Choix pédagogiques'!$C$3=1,'Choix pédagogiques'!$C$3=2),$BN401=1),G401,IF(AND('Choix pédagogiques'!$C$3=3,$BO401=1),G401,""))</f>
        <v/>
      </c>
      <c r="AC401" s="53" t="str">
        <f aca="false">IF(AND(OR('Choix pédagogiques'!$C$3=1,'Choix pédagogiques'!$C$3=2),$BN401=1),H401,IF(AND('Choix pédagogiques'!$C$3=3,$BO401=1),H401,""))</f>
        <v/>
      </c>
      <c r="AD401" s="53" t="str">
        <f aca="false">IF(AND(OR('Choix pédagogiques'!$C$3=1,'Choix pédagogiques'!$C$3=2),$BN401=1),I401,IF(AND('Choix pédagogiques'!$C$3=3,$BO401=1),I401,""))</f>
        <v/>
      </c>
      <c r="AE401" s="53" t="str">
        <f aca="false">IF($J401&lt;&gt;"",$J401,"")</f>
        <v/>
      </c>
      <c r="AF401" s="52" t="str">
        <f aca="false">IF($A401&lt;&gt;"",$A401,"")</f>
        <v>Apprenant 389</v>
      </c>
      <c r="AG401" s="53" t="str">
        <f aca="false">IF(AND($W401&lt;&gt;"",$X401&lt;&gt;""),$X401-$W401,"")</f>
        <v/>
      </c>
      <c r="AH401" s="53" t="str">
        <f aca="false">IF(AND($W401&lt;&gt;"",$Y401&lt;&gt;""),$Y401-$W401,"")</f>
        <v/>
      </c>
      <c r="AI401" s="53" t="str">
        <f aca="false">IF(AND($X401&lt;&gt;"",$Y401&lt;&gt;""),$Y401-$X401,"")</f>
        <v/>
      </c>
      <c r="AJ401" s="53" t="str">
        <f aca="false">IF($E401&lt;&gt;"",$E401,"")</f>
        <v/>
      </c>
      <c r="AK401" s="52" t="str">
        <f aca="false">IF($F401&lt;&gt;"",$F401,"")</f>
        <v>Apprenant 389 ou 389'</v>
      </c>
      <c r="AL401" s="53" t="str">
        <f aca="false">IF(AND($AB401&lt;&gt;"",$AC401&lt;&gt;""),$AC401-$AB401,"")</f>
        <v/>
      </c>
      <c r="AM401" s="53" t="str">
        <f aca="false">IF(AND($AB401&lt;&gt;"",$AD401&lt;&gt;""),$AD401-$AB401,"")</f>
        <v/>
      </c>
      <c r="AN401" s="53" t="str">
        <f aca="false">IF(AND($AC401&lt;&gt;"",$AD401&lt;&gt;""),$AD401-$AC401,"")</f>
        <v/>
      </c>
      <c r="AO401" s="53" t="str">
        <f aca="false">IF($J401&lt;&gt;"",$J401,"")</f>
        <v/>
      </c>
      <c r="AQ401" s="52" t="str">
        <f aca="false">IF($A401&lt;&gt;"",$A401,"")</f>
        <v>Apprenant 389</v>
      </c>
      <c r="AR401" s="55" t="str">
        <f aca="false">IF(AND('Choix pédagogiques'!$C$4&lt;&gt;"?",'Choix pédagogiques'!$C$5&lt;&gt;"?",W401&lt;&gt;""),(W401-'Choix pédagogiques'!$C$4)/('Choix pédagogiques'!$C$5-'Choix pédagogiques'!$C$4),"")</f>
        <v/>
      </c>
      <c r="AS401" s="55" t="str">
        <f aca="false">IF(AND('Choix pédagogiques'!$C$4&lt;&gt;"?",'Choix pédagogiques'!$C$5&lt;&gt;"?",X401&lt;&gt;""),(X401-'Choix pédagogiques'!$C$4)/('Choix pédagogiques'!$C$5-'Choix pédagogiques'!$C$4),"")</f>
        <v/>
      </c>
      <c r="AT401" s="55" t="str">
        <f aca="false">IF(AND('Choix pédagogiques'!$C$4&lt;&gt;"?",'Choix pédagogiques'!$C$5&lt;&gt;"?",Y401&lt;&gt;""),(Y401-'Choix pédagogiques'!$C$4)/('Choix pédagogiques'!$C$5-'Choix pédagogiques'!$C$4),"")</f>
        <v/>
      </c>
      <c r="AU401" s="53" t="str">
        <f aca="false">IF($E401&lt;&gt;"",$E401,"")</f>
        <v/>
      </c>
      <c r="AV401" s="52" t="str">
        <f aca="false">IF($F401&lt;&gt;"",$F401,"")</f>
        <v>Apprenant 389 ou 389'</v>
      </c>
      <c r="AW401" s="55" t="str">
        <f aca="false">IF(AND('Choix pédagogiques'!$C$4&lt;&gt;"?",'Choix pédagogiques'!$C$5&lt;&gt;"?",AB401&lt;&gt;""),(AB401-'Choix pédagogiques'!$C$4)/('Choix pédagogiques'!$C$5-'Choix pédagogiques'!$C$4),"")</f>
        <v/>
      </c>
      <c r="AX401" s="55" t="str">
        <f aca="false">IF(AND('Choix pédagogiques'!$C$4&lt;&gt;"?",'Choix pédagogiques'!$C$5&lt;&gt;"?",AC401&lt;&gt;""),(AC401-'Choix pédagogiques'!$C$4)/('Choix pédagogiques'!$C$5-'Choix pédagogiques'!$C$4),"")</f>
        <v/>
      </c>
      <c r="AY401" s="55" t="str">
        <f aca="false">IF(AND('Choix pédagogiques'!$C$4&lt;&gt;"?",'Choix pédagogiques'!$C$5&lt;&gt;"?",AD401&lt;&gt;""),(AD401-'Choix pédagogiques'!$C$4)/('Choix pédagogiques'!$C$5-'Choix pédagogiques'!$C$4),"")</f>
        <v/>
      </c>
      <c r="AZ401" s="53" t="str">
        <f aca="false">IF($J401&lt;&gt;"",$J401,"")</f>
        <v/>
      </c>
      <c r="BA401" s="52" t="str">
        <f aca="false">IF($A401&lt;&gt;"",$A401,"")</f>
        <v>Apprenant 389</v>
      </c>
      <c r="BB401" s="55" t="str">
        <f aca="false">IF(AND($AR401&lt;&gt;"",$AS401&lt;&gt;""),$AS401-$AR401,"")</f>
        <v/>
      </c>
      <c r="BC401" s="55" t="str">
        <f aca="false">IF(AND($AR401&lt;&gt;"",$AT401&lt;&gt;""),$AT401-$AR401,"")</f>
        <v/>
      </c>
      <c r="BD401" s="55" t="str">
        <f aca="false">IF(AND($AS401&lt;&gt;"",$AT401&lt;&gt;""),$AT401-$AS401,"")</f>
        <v/>
      </c>
      <c r="BE401" s="53" t="str">
        <f aca="false">IF($E401&lt;&gt;"",$E401,"")</f>
        <v/>
      </c>
      <c r="BF401" s="52" t="str">
        <f aca="false">IF($F401&lt;&gt;"",$F401,"")</f>
        <v>Apprenant 389 ou 389'</v>
      </c>
      <c r="BG401" s="55" t="str">
        <f aca="false">IF(AND($AW401&lt;&gt;"",$AX401&lt;&gt;""),$AX401-$AW401,"")</f>
        <v/>
      </c>
      <c r="BH401" s="55" t="str">
        <f aca="false">IF(AND($AW401&lt;&gt;"",$AY401&lt;&gt;""),$AY401-$AW401,"")</f>
        <v/>
      </c>
      <c r="BI401" s="55" t="str">
        <f aca="false">IF(AND($AX401&lt;&gt;"",$AY401&lt;&gt;""),$AY401-$AX401,"")</f>
        <v/>
      </c>
      <c r="BJ401" s="53" t="str">
        <f aca="false">IF($J401&lt;&gt;"",$J401,"")</f>
        <v/>
      </c>
      <c r="BL401" s="52"/>
      <c r="BM401" s="52" t="str">
        <f aca="false">IF(OR(COUNT(B401:D1400)=0,AND('Choix pédagogiques'!$C$3&lt;&gt;1,'Choix pédagogiques'!$C$3&lt;&gt;2)),"",IF(AND(OR('Choix pédagogiques'!$C$3=1,'Choix pédagogiques'!$C$3=2),$B401&lt;&gt;"",$C401&lt;&gt;"",$D401&lt;&gt;""),1,0))</f>
        <v/>
      </c>
      <c r="BN401" s="52" t="str">
        <f aca="false">IF(OR(COUNT(G401:I1400)=0,AND('Choix pédagogiques'!$C$3&lt;&gt;1,'Choix pédagogiques'!$C$3&lt;&gt;2)),"",IF(AND(OR('Choix pédagogiques'!$C$3=1,'Choix pédagogiques'!$C$3=2),AND($G401&lt;&gt;"",$H401&lt;&gt;"",$I401&lt;&gt;"")),1,0))</f>
        <v/>
      </c>
      <c r="BO401" s="52" t="str">
        <f aca="false">IF(OR(COUNT(B401:D1400)=0,COUNT(G401:I1400)=0,'Choix pédagogiques'!C$3&lt;&gt;3),"",IF(AND('Choix pédagogiques'!$C$3=3,$B401&lt;&gt;"",$C401&lt;&gt;"",$D401&lt;&gt;"",$G401&lt;&gt;"",$H401&lt;&gt;"",$I401&lt;&gt;""),1,0))</f>
        <v/>
      </c>
      <c r="BR401" s="52" t="n">
        <v>120</v>
      </c>
      <c r="BS401" s="52" t="n">
        <v>1272</v>
      </c>
    </row>
    <row r="402" s="54" customFormat="true" ht="18" hidden="false" customHeight="true" outlineLevel="0" collapsed="false">
      <c r="A402" s="57" t="s">
        <v>735</v>
      </c>
      <c r="B402" s="51"/>
      <c r="C402" s="51"/>
      <c r="D402" s="51"/>
      <c r="E402" s="51"/>
      <c r="F402" s="57" t="s">
        <v>736</v>
      </c>
      <c r="G402" s="51"/>
      <c r="H402" s="51"/>
      <c r="I402" s="51"/>
      <c r="J402" s="51"/>
      <c r="K402" s="52" t="str">
        <f aca="false">IF($A402&lt;&gt;"",$A402,"")</f>
        <v>Apprenant 390</v>
      </c>
      <c r="L402" s="53" t="str">
        <f aca="false">IF(AND($B402&lt;&gt;"",$C402&lt;&gt;""),$C402-$B402,"")</f>
        <v/>
      </c>
      <c r="M402" s="53" t="str">
        <f aca="false">IF(AND($B402&lt;&gt;"",$D402&lt;&gt;""),$D402-$B402,"")</f>
        <v/>
      </c>
      <c r="N402" s="53" t="str">
        <f aca="false">IF(AND($C402&lt;&gt;"",$D402&lt;&gt;""),$D402-$C402,"")</f>
        <v/>
      </c>
      <c r="O402" s="53" t="str">
        <f aca="false">IF($E402&lt;&gt;"",$E402,"")</f>
        <v/>
      </c>
      <c r="P402" s="52" t="str">
        <f aca="false">IF($F402&lt;&gt;"",$F402,"")</f>
        <v>Apprenant 390 ou 390'</v>
      </c>
      <c r="Q402" s="53" t="str">
        <f aca="false">IF(AND($G402&lt;&gt;"",$H402&lt;&gt;""),$H402-$G402,"")</f>
        <v/>
      </c>
      <c r="R402" s="53" t="str">
        <f aca="false">IF(AND($G402&lt;&gt;"",$I402&lt;&gt;""),$I402-$G402,"")</f>
        <v/>
      </c>
      <c r="S402" s="53" t="str">
        <f aca="false">IF(AND($H402&lt;&gt;"",$I402&lt;&gt;""),$I402-$H402,"")</f>
        <v/>
      </c>
      <c r="T402" s="53" t="str">
        <f aca="false">IF($J402&lt;&gt;"",$J402,"")</f>
        <v/>
      </c>
      <c r="V402" s="52" t="str">
        <f aca="false">IF($A402&lt;&gt;"",$A402,"")</f>
        <v>Apprenant 390</v>
      </c>
      <c r="W402" s="53" t="str">
        <f aca="false">IF(AND(OR('Choix pédagogiques'!$C$3=1,'Choix pédagogiques'!$C$3=2),$BM402=1),B402,IF(AND('Choix pédagogiques'!$C$3=3,$BO402=1),B402,""))</f>
        <v/>
      </c>
      <c r="X402" s="53" t="str">
        <f aca="false">IF(AND(OR('Choix pédagogiques'!$C$3=1,'Choix pédagogiques'!$C$3=2),$BM402=1),C402,IF(AND('Choix pédagogiques'!$C$3=3,$BO402=1),C402,""))</f>
        <v/>
      </c>
      <c r="Y402" s="53" t="str">
        <f aca="false">IF(AND(OR('Choix pédagogiques'!$C$3=1,'Choix pédagogiques'!$C$3=2),$BM402=1),D402,IF(AND('Choix pédagogiques'!$C$3=3,$BO402=1),D402,""))</f>
        <v/>
      </c>
      <c r="Z402" s="53" t="str">
        <f aca="false">IF($E402&lt;&gt;"",$E402,"")</f>
        <v/>
      </c>
      <c r="AA402" s="52" t="str">
        <f aca="false">IF($F402&lt;&gt;"",$F402,"")</f>
        <v>Apprenant 390 ou 390'</v>
      </c>
      <c r="AB402" s="53" t="str">
        <f aca="false">IF(AND(OR('Choix pédagogiques'!$C$3=1,'Choix pédagogiques'!$C$3=2),$BN402=1),G402,IF(AND('Choix pédagogiques'!$C$3=3,$BO402=1),G402,""))</f>
        <v/>
      </c>
      <c r="AC402" s="53" t="str">
        <f aca="false">IF(AND(OR('Choix pédagogiques'!$C$3=1,'Choix pédagogiques'!$C$3=2),$BN402=1),H402,IF(AND('Choix pédagogiques'!$C$3=3,$BO402=1),H402,""))</f>
        <v/>
      </c>
      <c r="AD402" s="53" t="str">
        <f aca="false">IF(AND(OR('Choix pédagogiques'!$C$3=1,'Choix pédagogiques'!$C$3=2),$BN402=1),I402,IF(AND('Choix pédagogiques'!$C$3=3,$BO402=1),I402,""))</f>
        <v/>
      </c>
      <c r="AE402" s="53" t="str">
        <f aca="false">IF($J402&lt;&gt;"",$J402,"")</f>
        <v/>
      </c>
      <c r="AF402" s="52" t="str">
        <f aca="false">IF($A402&lt;&gt;"",$A402,"")</f>
        <v>Apprenant 390</v>
      </c>
      <c r="AG402" s="53" t="str">
        <f aca="false">IF(AND($W402&lt;&gt;"",$X402&lt;&gt;""),$X402-$W402,"")</f>
        <v/>
      </c>
      <c r="AH402" s="53" t="str">
        <f aca="false">IF(AND($W402&lt;&gt;"",$Y402&lt;&gt;""),$Y402-$W402,"")</f>
        <v/>
      </c>
      <c r="AI402" s="53" t="str">
        <f aca="false">IF(AND($X402&lt;&gt;"",$Y402&lt;&gt;""),$Y402-$X402,"")</f>
        <v/>
      </c>
      <c r="AJ402" s="53" t="str">
        <f aca="false">IF($E402&lt;&gt;"",$E402,"")</f>
        <v/>
      </c>
      <c r="AK402" s="52" t="str">
        <f aca="false">IF($F402&lt;&gt;"",$F402,"")</f>
        <v>Apprenant 390 ou 390'</v>
      </c>
      <c r="AL402" s="53" t="str">
        <f aca="false">IF(AND($AB402&lt;&gt;"",$AC402&lt;&gt;""),$AC402-$AB402,"")</f>
        <v/>
      </c>
      <c r="AM402" s="53" t="str">
        <f aca="false">IF(AND($AB402&lt;&gt;"",$AD402&lt;&gt;""),$AD402-$AB402,"")</f>
        <v/>
      </c>
      <c r="AN402" s="53" t="str">
        <f aca="false">IF(AND($AC402&lt;&gt;"",$AD402&lt;&gt;""),$AD402-$AC402,"")</f>
        <v/>
      </c>
      <c r="AO402" s="53" t="str">
        <f aca="false">IF($J402&lt;&gt;"",$J402,"")</f>
        <v/>
      </c>
      <c r="AQ402" s="52" t="str">
        <f aca="false">IF($A402&lt;&gt;"",$A402,"")</f>
        <v>Apprenant 390</v>
      </c>
      <c r="AR402" s="55" t="str">
        <f aca="false">IF(AND('Choix pédagogiques'!$C$4&lt;&gt;"?",'Choix pédagogiques'!$C$5&lt;&gt;"?",W402&lt;&gt;""),(W402-'Choix pédagogiques'!$C$4)/('Choix pédagogiques'!$C$5-'Choix pédagogiques'!$C$4),"")</f>
        <v/>
      </c>
      <c r="AS402" s="55" t="str">
        <f aca="false">IF(AND('Choix pédagogiques'!$C$4&lt;&gt;"?",'Choix pédagogiques'!$C$5&lt;&gt;"?",X402&lt;&gt;""),(X402-'Choix pédagogiques'!$C$4)/('Choix pédagogiques'!$C$5-'Choix pédagogiques'!$C$4),"")</f>
        <v/>
      </c>
      <c r="AT402" s="55" t="str">
        <f aca="false">IF(AND('Choix pédagogiques'!$C$4&lt;&gt;"?",'Choix pédagogiques'!$C$5&lt;&gt;"?",Y402&lt;&gt;""),(Y402-'Choix pédagogiques'!$C$4)/('Choix pédagogiques'!$C$5-'Choix pédagogiques'!$C$4),"")</f>
        <v/>
      </c>
      <c r="AU402" s="53" t="str">
        <f aca="false">IF($E402&lt;&gt;"",$E402,"")</f>
        <v/>
      </c>
      <c r="AV402" s="52" t="str">
        <f aca="false">IF($F402&lt;&gt;"",$F402,"")</f>
        <v>Apprenant 390 ou 390'</v>
      </c>
      <c r="AW402" s="55" t="str">
        <f aca="false">IF(AND('Choix pédagogiques'!$C$4&lt;&gt;"?",'Choix pédagogiques'!$C$5&lt;&gt;"?",AB402&lt;&gt;""),(AB402-'Choix pédagogiques'!$C$4)/('Choix pédagogiques'!$C$5-'Choix pédagogiques'!$C$4),"")</f>
        <v/>
      </c>
      <c r="AX402" s="55" t="str">
        <f aca="false">IF(AND('Choix pédagogiques'!$C$4&lt;&gt;"?",'Choix pédagogiques'!$C$5&lt;&gt;"?",AC402&lt;&gt;""),(AC402-'Choix pédagogiques'!$C$4)/('Choix pédagogiques'!$C$5-'Choix pédagogiques'!$C$4),"")</f>
        <v/>
      </c>
      <c r="AY402" s="55" t="str">
        <f aca="false">IF(AND('Choix pédagogiques'!$C$4&lt;&gt;"?",'Choix pédagogiques'!$C$5&lt;&gt;"?",AD402&lt;&gt;""),(AD402-'Choix pédagogiques'!$C$4)/('Choix pédagogiques'!$C$5-'Choix pédagogiques'!$C$4),"")</f>
        <v/>
      </c>
      <c r="AZ402" s="53" t="str">
        <f aca="false">IF($J402&lt;&gt;"",$J402,"")</f>
        <v/>
      </c>
      <c r="BA402" s="52" t="str">
        <f aca="false">IF($A402&lt;&gt;"",$A402,"")</f>
        <v>Apprenant 390</v>
      </c>
      <c r="BB402" s="55" t="str">
        <f aca="false">IF(AND($AR402&lt;&gt;"",$AS402&lt;&gt;""),$AS402-$AR402,"")</f>
        <v/>
      </c>
      <c r="BC402" s="55" t="str">
        <f aca="false">IF(AND($AR402&lt;&gt;"",$AT402&lt;&gt;""),$AT402-$AR402,"")</f>
        <v/>
      </c>
      <c r="BD402" s="55" t="str">
        <f aca="false">IF(AND($AS402&lt;&gt;"",$AT402&lt;&gt;""),$AT402-$AS402,"")</f>
        <v/>
      </c>
      <c r="BE402" s="53" t="str">
        <f aca="false">IF($E402&lt;&gt;"",$E402,"")</f>
        <v/>
      </c>
      <c r="BF402" s="52" t="str">
        <f aca="false">IF($F402&lt;&gt;"",$F402,"")</f>
        <v>Apprenant 390 ou 390'</v>
      </c>
      <c r="BG402" s="55" t="str">
        <f aca="false">IF(AND($AW402&lt;&gt;"",$AX402&lt;&gt;""),$AX402-$AW402,"")</f>
        <v/>
      </c>
      <c r="BH402" s="55" t="str">
        <f aca="false">IF(AND($AW402&lt;&gt;"",$AY402&lt;&gt;""),$AY402-$AW402,"")</f>
        <v/>
      </c>
      <c r="BI402" s="55" t="str">
        <f aca="false">IF(AND($AX402&lt;&gt;"",$AY402&lt;&gt;""),$AY402-$AX402,"")</f>
        <v/>
      </c>
      <c r="BJ402" s="53" t="str">
        <f aca="false">IF($J402&lt;&gt;"",$J402,"")</f>
        <v/>
      </c>
      <c r="BL402" s="52"/>
      <c r="BM402" s="52" t="str">
        <f aca="false">IF(OR(COUNT(B402:D1401)=0,AND('Choix pédagogiques'!$C$3&lt;&gt;1,'Choix pédagogiques'!$C$3&lt;&gt;2)),"",IF(AND(OR('Choix pédagogiques'!$C$3=1,'Choix pédagogiques'!$C$3=2),$B402&lt;&gt;"",$C402&lt;&gt;"",$D402&lt;&gt;""),1,0))</f>
        <v/>
      </c>
      <c r="BN402" s="52" t="str">
        <f aca="false">IF(OR(COUNT(G402:I1401)=0,AND('Choix pédagogiques'!$C$3&lt;&gt;1,'Choix pédagogiques'!$C$3&lt;&gt;2)),"",IF(AND(OR('Choix pédagogiques'!$C$3=1,'Choix pédagogiques'!$C$3=2),AND($G402&lt;&gt;"",$H402&lt;&gt;"",$I402&lt;&gt;"")),1,0))</f>
        <v/>
      </c>
      <c r="BO402" s="52" t="str">
        <f aca="false">IF(OR(COUNT(B402:D1401)=0,COUNT(G402:I1401)=0,'Choix pédagogiques'!C$3&lt;&gt;3),"",IF(AND('Choix pédagogiques'!$C$3=3,$B402&lt;&gt;"",$C402&lt;&gt;"",$D402&lt;&gt;"",$G402&lt;&gt;"",$H402&lt;&gt;"",$I402&lt;&gt;""),1,0))</f>
        <v/>
      </c>
      <c r="BR402" s="52" t="n">
        <v>451</v>
      </c>
      <c r="BS402" s="52" t="n">
        <v>1340</v>
      </c>
    </row>
    <row r="403" s="54" customFormat="true" ht="18" hidden="false" customHeight="true" outlineLevel="0" collapsed="false">
      <c r="A403" s="57" t="s">
        <v>737</v>
      </c>
      <c r="B403" s="51"/>
      <c r="C403" s="51"/>
      <c r="D403" s="51"/>
      <c r="E403" s="51"/>
      <c r="F403" s="57" t="s">
        <v>738</v>
      </c>
      <c r="G403" s="51"/>
      <c r="H403" s="51"/>
      <c r="I403" s="51"/>
      <c r="J403" s="51"/>
      <c r="K403" s="52" t="str">
        <f aca="false">IF($A403&lt;&gt;"",$A403,"")</f>
        <v>Apprenant 391</v>
      </c>
      <c r="L403" s="53" t="str">
        <f aca="false">IF(AND($B403&lt;&gt;"",$C403&lt;&gt;""),$C403-$B403,"")</f>
        <v/>
      </c>
      <c r="M403" s="53" t="str">
        <f aca="false">IF(AND($B403&lt;&gt;"",$D403&lt;&gt;""),$D403-$B403,"")</f>
        <v/>
      </c>
      <c r="N403" s="53" t="str">
        <f aca="false">IF(AND($C403&lt;&gt;"",$D403&lt;&gt;""),$D403-$C403,"")</f>
        <v/>
      </c>
      <c r="O403" s="53" t="str">
        <f aca="false">IF($E403&lt;&gt;"",$E403,"")</f>
        <v/>
      </c>
      <c r="P403" s="52" t="str">
        <f aca="false">IF($F403&lt;&gt;"",$F403,"")</f>
        <v>Apprenant 391 ou 391'</v>
      </c>
      <c r="Q403" s="53" t="str">
        <f aca="false">IF(AND($G403&lt;&gt;"",$H403&lt;&gt;""),$H403-$G403,"")</f>
        <v/>
      </c>
      <c r="R403" s="53" t="str">
        <f aca="false">IF(AND($G403&lt;&gt;"",$I403&lt;&gt;""),$I403-$G403,"")</f>
        <v/>
      </c>
      <c r="S403" s="53" t="str">
        <f aca="false">IF(AND($H403&lt;&gt;"",$I403&lt;&gt;""),$I403-$H403,"")</f>
        <v/>
      </c>
      <c r="T403" s="53" t="str">
        <f aca="false">IF($J403&lt;&gt;"",$J403,"")</f>
        <v/>
      </c>
      <c r="V403" s="52" t="str">
        <f aca="false">IF($A403&lt;&gt;"",$A403,"")</f>
        <v>Apprenant 391</v>
      </c>
      <c r="W403" s="53" t="str">
        <f aca="false">IF(AND(OR('Choix pédagogiques'!$C$3=1,'Choix pédagogiques'!$C$3=2),$BM403=1),B403,IF(AND('Choix pédagogiques'!$C$3=3,$BO403=1),B403,""))</f>
        <v/>
      </c>
      <c r="X403" s="53" t="str">
        <f aca="false">IF(AND(OR('Choix pédagogiques'!$C$3=1,'Choix pédagogiques'!$C$3=2),$BM403=1),C403,IF(AND('Choix pédagogiques'!$C$3=3,$BO403=1),C403,""))</f>
        <v/>
      </c>
      <c r="Y403" s="53" t="str">
        <f aca="false">IF(AND(OR('Choix pédagogiques'!$C$3=1,'Choix pédagogiques'!$C$3=2),$BM403=1),D403,IF(AND('Choix pédagogiques'!$C$3=3,$BO403=1),D403,""))</f>
        <v/>
      </c>
      <c r="Z403" s="53" t="str">
        <f aca="false">IF($E403&lt;&gt;"",$E403,"")</f>
        <v/>
      </c>
      <c r="AA403" s="52" t="str">
        <f aca="false">IF($F403&lt;&gt;"",$F403,"")</f>
        <v>Apprenant 391 ou 391'</v>
      </c>
      <c r="AB403" s="53" t="str">
        <f aca="false">IF(AND(OR('Choix pédagogiques'!$C$3=1,'Choix pédagogiques'!$C$3=2),$BN403=1),G403,IF(AND('Choix pédagogiques'!$C$3=3,$BO403=1),G403,""))</f>
        <v/>
      </c>
      <c r="AC403" s="53" t="str">
        <f aca="false">IF(AND(OR('Choix pédagogiques'!$C$3=1,'Choix pédagogiques'!$C$3=2),$BN403=1),H403,IF(AND('Choix pédagogiques'!$C$3=3,$BO403=1),H403,""))</f>
        <v/>
      </c>
      <c r="AD403" s="53" t="str">
        <f aca="false">IF(AND(OR('Choix pédagogiques'!$C$3=1,'Choix pédagogiques'!$C$3=2),$BN403=1),I403,IF(AND('Choix pédagogiques'!$C$3=3,$BO403=1),I403,""))</f>
        <v/>
      </c>
      <c r="AE403" s="53" t="str">
        <f aca="false">IF($J403&lt;&gt;"",$J403,"")</f>
        <v/>
      </c>
      <c r="AF403" s="52" t="str">
        <f aca="false">IF($A403&lt;&gt;"",$A403,"")</f>
        <v>Apprenant 391</v>
      </c>
      <c r="AG403" s="53" t="str">
        <f aca="false">IF(AND($W403&lt;&gt;"",$X403&lt;&gt;""),$X403-$W403,"")</f>
        <v/>
      </c>
      <c r="AH403" s="53" t="str">
        <f aca="false">IF(AND($W403&lt;&gt;"",$Y403&lt;&gt;""),$Y403-$W403,"")</f>
        <v/>
      </c>
      <c r="AI403" s="53" t="str">
        <f aca="false">IF(AND($X403&lt;&gt;"",$Y403&lt;&gt;""),$Y403-$X403,"")</f>
        <v/>
      </c>
      <c r="AJ403" s="53" t="str">
        <f aca="false">IF($E403&lt;&gt;"",$E403,"")</f>
        <v/>
      </c>
      <c r="AK403" s="52" t="str">
        <f aca="false">IF($F403&lt;&gt;"",$F403,"")</f>
        <v>Apprenant 391 ou 391'</v>
      </c>
      <c r="AL403" s="53" t="str">
        <f aca="false">IF(AND($AB403&lt;&gt;"",$AC403&lt;&gt;""),$AC403-$AB403,"")</f>
        <v/>
      </c>
      <c r="AM403" s="53" t="str">
        <f aca="false">IF(AND($AB403&lt;&gt;"",$AD403&lt;&gt;""),$AD403-$AB403,"")</f>
        <v/>
      </c>
      <c r="AN403" s="53" t="str">
        <f aca="false">IF(AND($AC403&lt;&gt;"",$AD403&lt;&gt;""),$AD403-$AC403,"")</f>
        <v/>
      </c>
      <c r="AO403" s="53" t="str">
        <f aca="false">IF($J403&lt;&gt;"",$J403,"")</f>
        <v/>
      </c>
      <c r="AQ403" s="52" t="str">
        <f aca="false">IF($A403&lt;&gt;"",$A403,"")</f>
        <v>Apprenant 391</v>
      </c>
      <c r="AR403" s="55" t="str">
        <f aca="false">IF(AND('Choix pédagogiques'!$C$4&lt;&gt;"?",'Choix pédagogiques'!$C$5&lt;&gt;"?",W403&lt;&gt;""),(W403-'Choix pédagogiques'!$C$4)/('Choix pédagogiques'!$C$5-'Choix pédagogiques'!$C$4),"")</f>
        <v/>
      </c>
      <c r="AS403" s="55" t="str">
        <f aca="false">IF(AND('Choix pédagogiques'!$C$4&lt;&gt;"?",'Choix pédagogiques'!$C$5&lt;&gt;"?",X403&lt;&gt;""),(X403-'Choix pédagogiques'!$C$4)/('Choix pédagogiques'!$C$5-'Choix pédagogiques'!$C$4),"")</f>
        <v/>
      </c>
      <c r="AT403" s="55" t="str">
        <f aca="false">IF(AND('Choix pédagogiques'!$C$4&lt;&gt;"?",'Choix pédagogiques'!$C$5&lt;&gt;"?",Y403&lt;&gt;""),(Y403-'Choix pédagogiques'!$C$4)/('Choix pédagogiques'!$C$5-'Choix pédagogiques'!$C$4),"")</f>
        <v/>
      </c>
      <c r="AU403" s="53" t="str">
        <f aca="false">IF($E403&lt;&gt;"",$E403,"")</f>
        <v/>
      </c>
      <c r="AV403" s="52" t="str">
        <f aca="false">IF($F403&lt;&gt;"",$F403,"")</f>
        <v>Apprenant 391 ou 391'</v>
      </c>
      <c r="AW403" s="55" t="str">
        <f aca="false">IF(AND('Choix pédagogiques'!$C$4&lt;&gt;"?",'Choix pédagogiques'!$C$5&lt;&gt;"?",AB403&lt;&gt;""),(AB403-'Choix pédagogiques'!$C$4)/('Choix pédagogiques'!$C$5-'Choix pédagogiques'!$C$4),"")</f>
        <v/>
      </c>
      <c r="AX403" s="55" t="str">
        <f aca="false">IF(AND('Choix pédagogiques'!$C$4&lt;&gt;"?",'Choix pédagogiques'!$C$5&lt;&gt;"?",AC403&lt;&gt;""),(AC403-'Choix pédagogiques'!$C$4)/('Choix pédagogiques'!$C$5-'Choix pédagogiques'!$C$4),"")</f>
        <v/>
      </c>
      <c r="AY403" s="55" t="str">
        <f aca="false">IF(AND('Choix pédagogiques'!$C$4&lt;&gt;"?",'Choix pédagogiques'!$C$5&lt;&gt;"?",AD403&lt;&gt;""),(AD403-'Choix pédagogiques'!$C$4)/('Choix pédagogiques'!$C$5-'Choix pédagogiques'!$C$4),"")</f>
        <v/>
      </c>
      <c r="AZ403" s="53" t="str">
        <f aca="false">IF($J403&lt;&gt;"",$J403,"")</f>
        <v/>
      </c>
      <c r="BA403" s="52" t="str">
        <f aca="false">IF($A403&lt;&gt;"",$A403,"")</f>
        <v>Apprenant 391</v>
      </c>
      <c r="BB403" s="55" t="str">
        <f aca="false">IF(AND($AR403&lt;&gt;"",$AS403&lt;&gt;""),$AS403-$AR403,"")</f>
        <v/>
      </c>
      <c r="BC403" s="55" t="str">
        <f aca="false">IF(AND($AR403&lt;&gt;"",$AT403&lt;&gt;""),$AT403-$AR403,"")</f>
        <v/>
      </c>
      <c r="BD403" s="55" t="str">
        <f aca="false">IF(AND($AS403&lt;&gt;"",$AT403&lt;&gt;""),$AT403-$AS403,"")</f>
        <v/>
      </c>
      <c r="BE403" s="53" t="str">
        <f aca="false">IF($E403&lt;&gt;"",$E403,"")</f>
        <v/>
      </c>
      <c r="BF403" s="52" t="str">
        <f aca="false">IF($F403&lt;&gt;"",$F403,"")</f>
        <v>Apprenant 391 ou 391'</v>
      </c>
      <c r="BG403" s="55" t="str">
        <f aca="false">IF(AND($AW403&lt;&gt;"",$AX403&lt;&gt;""),$AX403-$AW403,"")</f>
        <v/>
      </c>
      <c r="BH403" s="55" t="str">
        <f aca="false">IF(AND($AW403&lt;&gt;"",$AY403&lt;&gt;""),$AY403-$AW403,"")</f>
        <v/>
      </c>
      <c r="BI403" s="55" t="str">
        <f aca="false">IF(AND($AX403&lt;&gt;"",$AY403&lt;&gt;""),$AY403-$AX403,"")</f>
        <v/>
      </c>
      <c r="BJ403" s="53" t="str">
        <f aca="false">IF($J403&lt;&gt;"",$J403,"")</f>
        <v/>
      </c>
      <c r="BL403" s="52"/>
      <c r="BM403" s="52" t="str">
        <f aca="false">IF(OR(COUNT(B403:D1402)=0,AND('Choix pédagogiques'!$C$3&lt;&gt;1,'Choix pédagogiques'!$C$3&lt;&gt;2)),"",IF(AND(OR('Choix pédagogiques'!$C$3=1,'Choix pédagogiques'!$C$3=2),$B403&lt;&gt;"",$C403&lt;&gt;"",$D403&lt;&gt;""),1,0))</f>
        <v/>
      </c>
      <c r="BN403" s="52" t="str">
        <f aca="false">IF(OR(COUNT(G403:I1402)=0,AND('Choix pédagogiques'!$C$3&lt;&gt;1,'Choix pédagogiques'!$C$3&lt;&gt;2)),"",IF(AND(OR('Choix pédagogiques'!$C$3=1,'Choix pédagogiques'!$C$3=2),AND($G403&lt;&gt;"",$H403&lt;&gt;"",$I403&lt;&gt;"")),1,0))</f>
        <v/>
      </c>
      <c r="BO403" s="52" t="str">
        <f aca="false">IF(OR(COUNT(B403:D1402)=0,COUNT(G403:I1402)=0,'Choix pédagogiques'!C$3&lt;&gt;3),"",IF(AND('Choix pédagogiques'!$C$3=3,$B403&lt;&gt;"",$C403&lt;&gt;"",$D403&lt;&gt;"",$G403&lt;&gt;"",$H403&lt;&gt;"",$I403&lt;&gt;""),1,0))</f>
        <v/>
      </c>
      <c r="BR403" s="52" t="n">
        <v>144</v>
      </c>
      <c r="BS403" s="52" t="n">
        <v>1052</v>
      </c>
    </row>
    <row r="404" s="54" customFormat="true" ht="18" hidden="false" customHeight="true" outlineLevel="0" collapsed="false">
      <c r="A404" s="57" t="s">
        <v>739</v>
      </c>
      <c r="B404" s="51"/>
      <c r="C404" s="51"/>
      <c r="D404" s="51"/>
      <c r="E404" s="51"/>
      <c r="F404" s="57" t="s">
        <v>740</v>
      </c>
      <c r="G404" s="51"/>
      <c r="H404" s="51"/>
      <c r="I404" s="51"/>
      <c r="J404" s="51"/>
      <c r="K404" s="52" t="str">
        <f aca="false">IF($A404&lt;&gt;"",$A404,"")</f>
        <v>Apprenant 392</v>
      </c>
      <c r="L404" s="53" t="str">
        <f aca="false">IF(AND($B404&lt;&gt;"",$C404&lt;&gt;""),$C404-$B404,"")</f>
        <v/>
      </c>
      <c r="M404" s="53" t="str">
        <f aca="false">IF(AND($B404&lt;&gt;"",$D404&lt;&gt;""),$D404-$B404,"")</f>
        <v/>
      </c>
      <c r="N404" s="53" t="str">
        <f aca="false">IF(AND($C404&lt;&gt;"",$D404&lt;&gt;""),$D404-$C404,"")</f>
        <v/>
      </c>
      <c r="O404" s="53" t="str">
        <f aca="false">IF($E404&lt;&gt;"",$E404,"")</f>
        <v/>
      </c>
      <c r="P404" s="52" t="str">
        <f aca="false">IF($F404&lt;&gt;"",$F404,"")</f>
        <v>Apprenant 392 ou 392'</v>
      </c>
      <c r="Q404" s="53" t="str">
        <f aca="false">IF(AND($G404&lt;&gt;"",$H404&lt;&gt;""),$H404-$G404,"")</f>
        <v/>
      </c>
      <c r="R404" s="53" t="str">
        <f aca="false">IF(AND($G404&lt;&gt;"",$I404&lt;&gt;""),$I404-$G404,"")</f>
        <v/>
      </c>
      <c r="S404" s="53" t="str">
        <f aca="false">IF(AND($H404&lt;&gt;"",$I404&lt;&gt;""),$I404-$H404,"")</f>
        <v/>
      </c>
      <c r="T404" s="53" t="str">
        <f aca="false">IF($J404&lt;&gt;"",$J404,"")</f>
        <v/>
      </c>
      <c r="V404" s="52" t="str">
        <f aca="false">IF($A404&lt;&gt;"",$A404,"")</f>
        <v>Apprenant 392</v>
      </c>
      <c r="W404" s="53" t="str">
        <f aca="false">IF(AND(OR('Choix pédagogiques'!$C$3=1,'Choix pédagogiques'!$C$3=2),$BM404=1),B404,IF(AND('Choix pédagogiques'!$C$3=3,$BO404=1),B404,""))</f>
        <v/>
      </c>
      <c r="X404" s="53" t="str">
        <f aca="false">IF(AND(OR('Choix pédagogiques'!$C$3=1,'Choix pédagogiques'!$C$3=2),$BM404=1),C404,IF(AND('Choix pédagogiques'!$C$3=3,$BO404=1),C404,""))</f>
        <v/>
      </c>
      <c r="Y404" s="53" t="str">
        <f aca="false">IF(AND(OR('Choix pédagogiques'!$C$3=1,'Choix pédagogiques'!$C$3=2),$BM404=1),D404,IF(AND('Choix pédagogiques'!$C$3=3,$BO404=1),D404,""))</f>
        <v/>
      </c>
      <c r="Z404" s="53" t="str">
        <f aca="false">IF($E404&lt;&gt;"",$E404,"")</f>
        <v/>
      </c>
      <c r="AA404" s="52" t="str">
        <f aca="false">IF($F404&lt;&gt;"",$F404,"")</f>
        <v>Apprenant 392 ou 392'</v>
      </c>
      <c r="AB404" s="53" t="str">
        <f aca="false">IF(AND(OR('Choix pédagogiques'!$C$3=1,'Choix pédagogiques'!$C$3=2),$BN404=1),G404,IF(AND('Choix pédagogiques'!$C$3=3,$BO404=1),G404,""))</f>
        <v/>
      </c>
      <c r="AC404" s="53" t="str">
        <f aca="false">IF(AND(OR('Choix pédagogiques'!$C$3=1,'Choix pédagogiques'!$C$3=2),$BN404=1),H404,IF(AND('Choix pédagogiques'!$C$3=3,$BO404=1),H404,""))</f>
        <v/>
      </c>
      <c r="AD404" s="53" t="str">
        <f aca="false">IF(AND(OR('Choix pédagogiques'!$C$3=1,'Choix pédagogiques'!$C$3=2),$BN404=1),I404,IF(AND('Choix pédagogiques'!$C$3=3,$BO404=1),I404,""))</f>
        <v/>
      </c>
      <c r="AE404" s="53" t="str">
        <f aca="false">IF($J404&lt;&gt;"",$J404,"")</f>
        <v/>
      </c>
      <c r="AF404" s="52" t="str">
        <f aca="false">IF($A404&lt;&gt;"",$A404,"")</f>
        <v>Apprenant 392</v>
      </c>
      <c r="AG404" s="53" t="str">
        <f aca="false">IF(AND($W404&lt;&gt;"",$X404&lt;&gt;""),$X404-$W404,"")</f>
        <v/>
      </c>
      <c r="AH404" s="53" t="str">
        <f aca="false">IF(AND($W404&lt;&gt;"",$Y404&lt;&gt;""),$Y404-$W404,"")</f>
        <v/>
      </c>
      <c r="AI404" s="53" t="str">
        <f aca="false">IF(AND($X404&lt;&gt;"",$Y404&lt;&gt;""),$Y404-$X404,"")</f>
        <v/>
      </c>
      <c r="AJ404" s="53" t="str">
        <f aca="false">IF($E404&lt;&gt;"",$E404,"")</f>
        <v/>
      </c>
      <c r="AK404" s="52" t="str">
        <f aca="false">IF($F404&lt;&gt;"",$F404,"")</f>
        <v>Apprenant 392 ou 392'</v>
      </c>
      <c r="AL404" s="53" t="str">
        <f aca="false">IF(AND($AB404&lt;&gt;"",$AC404&lt;&gt;""),$AC404-$AB404,"")</f>
        <v/>
      </c>
      <c r="AM404" s="53" t="str">
        <f aca="false">IF(AND($AB404&lt;&gt;"",$AD404&lt;&gt;""),$AD404-$AB404,"")</f>
        <v/>
      </c>
      <c r="AN404" s="53" t="str">
        <f aca="false">IF(AND($AC404&lt;&gt;"",$AD404&lt;&gt;""),$AD404-$AC404,"")</f>
        <v/>
      </c>
      <c r="AO404" s="53" t="str">
        <f aca="false">IF($J404&lt;&gt;"",$J404,"")</f>
        <v/>
      </c>
      <c r="AQ404" s="52" t="str">
        <f aca="false">IF($A404&lt;&gt;"",$A404,"")</f>
        <v>Apprenant 392</v>
      </c>
      <c r="AR404" s="55" t="str">
        <f aca="false">IF(AND('Choix pédagogiques'!$C$4&lt;&gt;"?",'Choix pédagogiques'!$C$5&lt;&gt;"?",W404&lt;&gt;""),(W404-'Choix pédagogiques'!$C$4)/('Choix pédagogiques'!$C$5-'Choix pédagogiques'!$C$4),"")</f>
        <v/>
      </c>
      <c r="AS404" s="55" t="str">
        <f aca="false">IF(AND('Choix pédagogiques'!$C$4&lt;&gt;"?",'Choix pédagogiques'!$C$5&lt;&gt;"?",X404&lt;&gt;""),(X404-'Choix pédagogiques'!$C$4)/('Choix pédagogiques'!$C$5-'Choix pédagogiques'!$C$4),"")</f>
        <v/>
      </c>
      <c r="AT404" s="55" t="str">
        <f aca="false">IF(AND('Choix pédagogiques'!$C$4&lt;&gt;"?",'Choix pédagogiques'!$C$5&lt;&gt;"?",Y404&lt;&gt;""),(Y404-'Choix pédagogiques'!$C$4)/('Choix pédagogiques'!$C$5-'Choix pédagogiques'!$C$4),"")</f>
        <v/>
      </c>
      <c r="AU404" s="53" t="str">
        <f aca="false">IF($E404&lt;&gt;"",$E404,"")</f>
        <v/>
      </c>
      <c r="AV404" s="52" t="str">
        <f aca="false">IF($F404&lt;&gt;"",$F404,"")</f>
        <v>Apprenant 392 ou 392'</v>
      </c>
      <c r="AW404" s="55" t="str">
        <f aca="false">IF(AND('Choix pédagogiques'!$C$4&lt;&gt;"?",'Choix pédagogiques'!$C$5&lt;&gt;"?",AB404&lt;&gt;""),(AB404-'Choix pédagogiques'!$C$4)/('Choix pédagogiques'!$C$5-'Choix pédagogiques'!$C$4),"")</f>
        <v/>
      </c>
      <c r="AX404" s="55" t="str">
        <f aca="false">IF(AND('Choix pédagogiques'!$C$4&lt;&gt;"?",'Choix pédagogiques'!$C$5&lt;&gt;"?",AC404&lt;&gt;""),(AC404-'Choix pédagogiques'!$C$4)/('Choix pédagogiques'!$C$5-'Choix pédagogiques'!$C$4),"")</f>
        <v/>
      </c>
      <c r="AY404" s="55" t="str">
        <f aca="false">IF(AND('Choix pédagogiques'!$C$4&lt;&gt;"?",'Choix pédagogiques'!$C$5&lt;&gt;"?",AD404&lt;&gt;""),(AD404-'Choix pédagogiques'!$C$4)/('Choix pédagogiques'!$C$5-'Choix pédagogiques'!$C$4),"")</f>
        <v/>
      </c>
      <c r="AZ404" s="53" t="str">
        <f aca="false">IF($J404&lt;&gt;"",$J404,"")</f>
        <v/>
      </c>
      <c r="BA404" s="52" t="str">
        <f aca="false">IF($A404&lt;&gt;"",$A404,"")</f>
        <v>Apprenant 392</v>
      </c>
      <c r="BB404" s="55" t="str">
        <f aca="false">IF(AND($AR404&lt;&gt;"",$AS404&lt;&gt;""),$AS404-$AR404,"")</f>
        <v/>
      </c>
      <c r="BC404" s="55" t="str">
        <f aca="false">IF(AND($AR404&lt;&gt;"",$AT404&lt;&gt;""),$AT404-$AR404,"")</f>
        <v/>
      </c>
      <c r="BD404" s="55" t="str">
        <f aca="false">IF(AND($AS404&lt;&gt;"",$AT404&lt;&gt;""),$AT404-$AS404,"")</f>
        <v/>
      </c>
      <c r="BE404" s="53" t="str">
        <f aca="false">IF($E404&lt;&gt;"",$E404,"")</f>
        <v/>
      </c>
      <c r="BF404" s="52" t="str">
        <f aca="false">IF($F404&lt;&gt;"",$F404,"")</f>
        <v>Apprenant 392 ou 392'</v>
      </c>
      <c r="BG404" s="55" t="str">
        <f aca="false">IF(AND($AW404&lt;&gt;"",$AX404&lt;&gt;""),$AX404-$AW404,"")</f>
        <v/>
      </c>
      <c r="BH404" s="55" t="str">
        <f aca="false">IF(AND($AW404&lt;&gt;"",$AY404&lt;&gt;""),$AY404-$AW404,"")</f>
        <v/>
      </c>
      <c r="BI404" s="55" t="str">
        <f aca="false">IF(AND($AX404&lt;&gt;"",$AY404&lt;&gt;""),$AY404-$AX404,"")</f>
        <v/>
      </c>
      <c r="BJ404" s="53" t="str">
        <f aca="false">IF($J404&lt;&gt;"",$J404,"")</f>
        <v/>
      </c>
      <c r="BL404" s="52"/>
      <c r="BM404" s="52" t="str">
        <f aca="false">IF(OR(COUNT(B404:D1403)=0,AND('Choix pédagogiques'!$C$3&lt;&gt;1,'Choix pédagogiques'!$C$3&lt;&gt;2)),"",IF(AND(OR('Choix pédagogiques'!$C$3=1,'Choix pédagogiques'!$C$3=2),$B404&lt;&gt;"",$C404&lt;&gt;"",$D404&lt;&gt;""),1,0))</f>
        <v/>
      </c>
      <c r="BN404" s="52" t="str">
        <f aca="false">IF(OR(COUNT(G404:I1403)=0,AND('Choix pédagogiques'!$C$3&lt;&gt;1,'Choix pédagogiques'!$C$3&lt;&gt;2)),"",IF(AND(OR('Choix pédagogiques'!$C$3=1,'Choix pédagogiques'!$C$3=2),AND($G404&lt;&gt;"",$H404&lt;&gt;"",$I404&lt;&gt;"")),1,0))</f>
        <v/>
      </c>
      <c r="BO404" s="52" t="str">
        <f aca="false">IF(OR(COUNT(B404:D1403)=0,COUNT(G404:I1403)=0,'Choix pédagogiques'!C$3&lt;&gt;3),"",IF(AND('Choix pédagogiques'!$C$3=3,$B404&lt;&gt;"",$C404&lt;&gt;"",$D404&lt;&gt;"",$G404&lt;&gt;"",$H404&lt;&gt;"",$I404&lt;&gt;""),1,0))</f>
        <v/>
      </c>
      <c r="BR404" s="52" t="n">
        <v>590</v>
      </c>
      <c r="BS404" s="52" t="n">
        <v>1703</v>
      </c>
    </row>
    <row r="405" s="54" customFormat="true" ht="18" hidden="false" customHeight="true" outlineLevel="0" collapsed="false">
      <c r="A405" s="57" t="s">
        <v>741</v>
      </c>
      <c r="B405" s="51"/>
      <c r="C405" s="51"/>
      <c r="D405" s="51"/>
      <c r="E405" s="51"/>
      <c r="F405" s="57" t="s">
        <v>742</v>
      </c>
      <c r="G405" s="51"/>
      <c r="H405" s="51"/>
      <c r="I405" s="51"/>
      <c r="J405" s="51"/>
      <c r="K405" s="52" t="str">
        <f aca="false">IF($A405&lt;&gt;"",$A405,"")</f>
        <v>Apprenant 393</v>
      </c>
      <c r="L405" s="53" t="str">
        <f aca="false">IF(AND($B405&lt;&gt;"",$C405&lt;&gt;""),$C405-$B405,"")</f>
        <v/>
      </c>
      <c r="M405" s="53" t="str">
        <f aca="false">IF(AND($B405&lt;&gt;"",$D405&lt;&gt;""),$D405-$B405,"")</f>
        <v/>
      </c>
      <c r="N405" s="53" t="str">
        <f aca="false">IF(AND($C405&lt;&gt;"",$D405&lt;&gt;""),$D405-$C405,"")</f>
        <v/>
      </c>
      <c r="O405" s="53" t="str">
        <f aca="false">IF($E405&lt;&gt;"",$E405,"")</f>
        <v/>
      </c>
      <c r="P405" s="52" t="str">
        <f aca="false">IF($F405&lt;&gt;"",$F405,"")</f>
        <v>Apprenant 393 ou 393'</v>
      </c>
      <c r="Q405" s="53" t="str">
        <f aca="false">IF(AND($G405&lt;&gt;"",$H405&lt;&gt;""),$H405-$G405,"")</f>
        <v/>
      </c>
      <c r="R405" s="53" t="str">
        <f aca="false">IF(AND($G405&lt;&gt;"",$I405&lt;&gt;""),$I405-$G405,"")</f>
        <v/>
      </c>
      <c r="S405" s="53" t="str">
        <f aca="false">IF(AND($H405&lt;&gt;"",$I405&lt;&gt;""),$I405-$H405,"")</f>
        <v/>
      </c>
      <c r="T405" s="53" t="str">
        <f aca="false">IF($J405&lt;&gt;"",$J405,"")</f>
        <v/>
      </c>
      <c r="V405" s="52" t="str">
        <f aca="false">IF($A405&lt;&gt;"",$A405,"")</f>
        <v>Apprenant 393</v>
      </c>
      <c r="W405" s="53" t="str">
        <f aca="false">IF(AND(OR('Choix pédagogiques'!$C$3=1,'Choix pédagogiques'!$C$3=2),$BM405=1),B405,IF(AND('Choix pédagogiques'!$C$3=3,$BO405=1),B405,""))</f>
        <v/>
      </c>
      <c r="X405" s="53" t="str">
        <f aca="false">IF(AND(OR('Choix pédagogiques'!$C$3=1,'Choix pédagogiques'!$C$3=2),$BM405=1),C405,IF(AND('Choix pédagogiques'!$C$3=3,$BO405=1),C405,""))</f>
        <v/>
      </c>
      <c r="Y405" s="53" t="str">
        <f aca="false">IF(AND(OR('Choix pédagogiques'!$C$3=1,'Choix pédagogiques'!$C$3=2),$BM405=1),D405,IF(AND('Choix pédagogiques'!$C$3=3,$BO405=1),D405,""))</f>
        <v/>
      </c>
      <c r="Z405" s="53" t="str">
        <f aca="false">IF($E405&lt;&gt;"",$E405,"")</f>
        <v/>
      </c>
      <c r="AA405" s="52" t="str">
        <f aca="false">IF($F405&lt;&gt;"",$F405,"")</f>
        <v>Apprenant 393 ou 393'</v>
      </c>
      <c r="AB405" s="53" t="str">
        <f aca="false">IF(AND(OR('Choix pédagogiques'!$C$3=1,'Choix pédagogiques'!$C$3=2),$BN405=1),G405,IF(AND('Choix pédagogiques'!$C$3=3,$BO405=1),G405,""))</f>
        <v/>
      </c>
      <c r="AC405" s="53" t="str">
        <f aca="false">IF(AND(OR('Choix pédagogiques'!$C$3=1,'Choix pédagogiques'!$C$3=2),$BN405=1),H405,IF(AND('Choix pédagogiques'!$C$3=3,$BO405=1),H405,""))</f>
        <v/>
      </c>
      <c r="AD405" s="53" t="str">
        <f aca="false">IF(AND(OR('Choix pédagogiques'!$C$3=1,'Choix pédagogiques'!$C$3=2),$BN405=1),I405,IF(AND('Choix pédagogiques'!$C$3=3,$BO405=1),I405,""))</f>
        <v/>
      </c>
      <c r="AE405" s="53" t="str">
        <f aca="false">IF($J405&lt;&gt;"",$J405,"")</f>
        <v/>
      </c>
      <c r="AF405" s="52" t="str">
        <f aca="false">IF($A405&lt;&gt;"",$A405,"")</f>
        <v>Apprenant 393</v>
      </c>
      <c r="AG405" s="53" t="str">
        <f aca="false">IF(AND($W405&lt;&gt;"",$X405&lt;&gt;""),$X405-$W405,"")</f>
        <v/>
      </c>
      <c r="AH405" s="53" t="str">
        <f aca="false">IF(AND($W405&lt;&gt;"",$Y405&lt;&gt;""),$Y405-$W405,"")</f>
        <v/>
      </c>
      <c r="AI405" s="53" t="str">
        <f aca="false">IF(AND($X405&lt;&gt;"",$Y405&lt;&gt;""),$Y405-$X405,"")</f>
        <v/>
      </c>
      <c r="AJ405" s="53" t="str">
        <f aca="false">IF($E405&lt;&gt;"",$E405,"")</f>
        <v/>
      </c>
      <c r="AK405" s="52" t="str">
        <f aca="false">IF($F405&lt;&gt;"",$F405,"")</f>
        <v>Apprenant 393 ou 393'</v>
      </c>
      <c r="AL405" s="53" t="str">
        <f aca="false">IF(AND($AB405&lt;&gt;"",$AC405&lt;&gt;""),$AC405-$AB405,"")</f>
        <v/>
      </c>
      <c r="AM405" s="53" t="str">
        <f aca="false">IF(AND($AB405&lt;&gt;"",$AD405&lt;&gt;""),$AD405-$AB405,"")</f>
        <v/>
      </c>
      <c r="AN405" s="53" t="str">
        <f aca="false">IF(AND($AC405&lt;&gt;"",$AD405&lt;&gt;""),$AD405-$AC405,"")</f>
        <v/>
      </c>
      <c r="AO405" s="53" t="str">
        <f aca="false">IF($J405&lt;&gt;"",$J405,"")</f>
        <v/>
      </c>
      <c r="AQ405" s="52" t="str">
        <f aca="false">IF($A405&lt;&gt;"",$A405,"")</f>
        <v>Apprenant 393</v>
      </c>
      <c r="AR405" s="55" t="str">
        <f aca="false">IF(AND('Choix pédagogiques'!$C$4&lt;&gt;"?",'Choix pédagogiques'!$C$5&lt;&gt;"?",W405&lt;&gt;""),(W405-'Choix pédagogiques'!$C$4)/('Choix pédagogiques'!$C$5-'Choix pédagogiques'!$C$4),"")</f>
        <v/>
      </c>
      <c r="AS405" s="55" t="str">
        <f aca="false">IF(AND('Choix pédagogiques'!$C$4&lt;&gt;"?",'Choix pédagogiques'!$C$5&lt;&gt;"?",X405&lt;&gt;""),(X405-'Choix pédagogiques'!$C$4)/('Choix pédagogiques'!$C$5-'Choix pédagogiques'!$C$4),"")</f>
        <v/>
      </c>
      <c r="AT405" s="55" t="str">
        <f aca="false">IF(AND('Choix pédagogiques'!$C$4&lt;&gt;"?",'Choix pédagogiques'!$C$5&lt;&gt;"?",Y405&lt;&gt;""),(Y405-'Choix pédagogiques'!$C$4)/('Choix pédagogiques'!$C$5-'Choix pédagogiques'!$C$4),"")</f>
        <v/>
      </c>
      <c r="AU405" s="53" t="str">
        <f aca="false">IF($E405&lt;&gt;"",$E405,"")</f>
        <v/>
      </c>
      <c r="AV405" s="52" t="str">
        <f aca="false">IF($F405&lt;&gt;"",$F405,"")</f>
        <v>Apprenant 393 ou 393'</v>
      </c>
      <c r="AW405" s="55" t="str">
        <f aca="false">IF(AND('Choix pédagogiques'!$C$4&lt;&gt;"?",'Choix pédagogiques'!$C$5&lt;&gt;"?",AB405&lt;&gt;""),(AB405-'Choix pédagogiques'!$C$4)/('Choix pédagogiques'!$C$5-'Choix pédagogiques'!$C$4),"")</f>
        <v/>
      </c>
      <c r="AX405" s="55" t="str">
        <f aca="false">IF(AND('Choix pédagogiques'!$C$4&lt;&gt;"?",'Choix pédagogiques'!$C$5&lt;&gt;"?",AC405&lt;&gt;""),(AC405-'Choix pédagogiques'!$C$4)/('Choix pédagogiques'!$C$5-'Choix pédagogiques'!$C$4),"")</f>
        <v/>
      </c>
      <c r="AY405" s="55" t="str">
        <f aca="false">IF(AND('Choix pédagogiques'!$C$4&lt;&gt;"?",'Choix pédagogiques'!$C$5&lt;&gt;"?",AD405&lt;&gt;""),(AD405-'Choix pédagogiques'!$C$4)/('Choix pédagogiques'!$C$5-'Choix pédagogiques'!$C$4),"")</f>
        <v/>
      </c>
      <c r="AZ405" s="53" t="str">
        <f aca="false">IF($J405&lt;&gt;"",$J405,"")</f>
        <v/>
      </c>
      <c r="BA405" s="52" t="str">
        <f aca="false">IF($A405&lt;&gt;"",$A405,"")</f>
        <v>Apprenant 393</v>
      </c>
      <c r="BB405" s="55" t="str">
        <f aca="false">IF(AND($AR405&lt;&gt;"",$AS405&lt;&gt;""),$AS405-$AR405,"")</f>
        <v/>
      </c>
      <c r="BC405" s="55" t="str">
        <f aca="false">IF(AND($AR405&lt;&gt;"",$AT405&lt;&gt;""),$AT405-$AR405,"")</f>
        <v/>
      </c>
      <c r="BD405" s="55" t="str">
        <f aca="false">IF(AND($AS405&lt;&gt;"",$AT405&lt;&gt;""),$AT405-$AS405,"")</f>
        <v/>
      </c>
      <c r="BE405" s="53" t="str">
        <f aca="false">IF($E405&lt;&gt;"",$E405,"")</f>
        <v/>
      </c>
      <c r="BF405" s="52" t="str">
        <f aca="false">IF($F405&lt;&gt;"",$F405,"")</f>
        <v>Apprenant 393 ou 393'</v>
      </c>
      <c r="BG405" s="55" t="str">
        <f aca="false">IF(AND($AW405&lt;&gt;"",$AX405&lt;&gt;""),$AX405-$AW405,"")</f>
        <v/>
      </c>
      <c r="BH405" s="55" t="str">
        <f aca="false">IF(AND($AW405&lt;&gt;"",$AY405&lt;&gt;""),$AY405-$AW405,"")</f>
        <v/>
      </c>
      <c r="BI405" s="55" t="str">
        <f aca="false">IF(AND($AX405&lt;&gt;"",$AY405&lt;&gt;""),$AY405-$AX405,"")</f>
        <v/>
      </c>
      <c r="BJ405" s="53" t="str">
        <f aca="false">IF($J405&lt;&gt;"",$J405,"")</f>
        <v/>
      </c>
      <c r="BL405" s="52"/>
      <c r="BM405" s="52" t="str">
        <f aca="false">IF(OR(COUNT(B405:D1404)=0,AND('Choix pédagogiques'!$C$3&lt;&gt;1,'Choix pédagogiques'!$C$3&lt;&gt;2)),"",IF(AND(OR('Choix pédagogiques'!$C$3=1,'Choix pédagogiques'!$C$3=2),$B405&lt;&gt;"",$C405&lt;&gt;"",$D405&lt;&gt;""),1,0))</f>
        <v/>
      </c>
      <c r="BN405" s="52" t="str">
        <f aca="false">IF(OR(COUNT(G405:I1404)=0,AND('Choix pédagogiques'!$C$3&lt;&gt;1,'Choix pédagogiques'!$C$3&lt;&gt;2)),"",IF(AND(OR('Choix pédagogiques'!$C$3=1,'Choix pédagogiques'!$C$3=2),AND($G405&lt;&gt;"",$H405&lt;&gt;"",$I405&lt;&gt;"")),1,0))</f>
        <v/>
      </c>
      <c r="BO405" s="52" t="str">
        <f aca="false">IF(OR(COUNT(B405:D1404)=0,COUNT(G405:I1404)=0,'Choix pédagogiques'!C$3&lt;&gt;3),"",IF(AND('Choix pédagogiques'!$C$3=3,$B405&lt;&gt;"",$C405&lt;&gt;"",$D405&lt;&gt;"",$G405&lt;&gt;"",$H405&lt;&gt;"",$I405&lt;&gt;""),1,0))</f>
        <v/>
      </c>
      <c r="BR405" s="52" t="n">
        <v>526</v>
      </c>
      <c r="BS405" s="52" t="n">
        <v>1662</v>
      </c>
    </row>
    <row r="406" s="54" customFormat="true" ht="18" hidden="false" customHeight="true" outlineLevel="0" collapsed="false">
      <c r="A406" s="57" t="s">
        <v>743</v>
      </c>
      <c r="B406" s="51"/>
      <c r="C406" s="51"/>
      <c r="D406" s="51"/>
      <c r="E406" s="51"/>
      <c r="F406" s="57" t="s">
        <v>744</v>
      </c>
      <c r="G406" s="51"/>
      <c r="H406" s="51"/>
      <c r="I406" s="51"/>
      <c r="J406" s="51"/>
      <c r="K406" s="52" t="str">
        <f aca="false">IF($A406&lt;&gt;"",$A406,"")</f>
        <v>Apprenant 394</v>
      </c>
      <c r="L406" s="53" t="str">
        <f aca="false">IF(AND($B406&lt;&gt;"",$C406&lt;&gt;""),$C406-$B406,"")</f>
        <v/>
      </c>
      <c r="M406" s="53" t="str">
        <f aca="false">IF(AND($B406&lt;&gt;"",$D406&lt;&gt;""),$D406-$B406,"")</f>
        <v/>
      </c>
      <c r="N406" s="53" t="str">
        <f aca="false">IF(AND($C406&lt;&gt;"",$D406&lt;&gt;""),$D406-$C406,"")</f>
        <v/>
      </c>
      <c r="O406" s="53" t="str">
        <f aca="false">IF($E406&lt;&gt;"",$E406,"")</f>
        <v/>
      </c>
      <c r="P406" s="52" t="str">
        <f aca="false">IF($F406&lt;&gt;"",$F406,"")</f>
        <v>Apprenant 394 ou 394'</v>
      </c>
      <c r="Q406" s="53" t="str">
        <f aca="false">IF(AND($G406&lt;&gt;"",$H406&lt;&gt;""),$H406-$G406,"")</f>
        <v/>
      </c>
      <c r="R406" s="53" t="str">
        <f aca="false">IF(AND($G406&lt;&gt;"",$I406&lt;&gt;""),$I406-$G406,"")</f>
        <v/>
      </c>
      <c r="S406" s="53" t="str">
        <f aca="false">IF(AND($H406&lt;&gt;"",$I406&lt;&gt;""),$I406-$H406,"")</f>
        <v/>
      </c>
      <c r="T406" s="53" t="str">
        <f aca="false">IF($J406&lt;&gt;"",$J406,"")</f>
        <v/>
      </c>
      <c r="V406" s="52" t="str">
        <f aca="false">IF($A406&lt;&gt;"",$A406,"")</f>
        <v>Apprenant 394</v>
      </c>
      <c r="W406" s="53" t="str">
        <f aca="false">IF(AND(OR('Choix pédagogiques'!$C$3=1,'Choix pédagogiques'!$C$3=2),$BM406=1),B406,IF(AND('Choix pédagogiques'!$C$3=3,$BO406=1),B406,""))</f>
        <v/>
      </c>
      <c r="X406" s="53" t="str">
        <f aca="false">IF(AND(OR('Choix pédagogiques'!$C$3=1,'Choix pédagogiques'!$C$3=2),$BM406=1),C406,IF(AND('Choix pédagogiques'!$C$3=3,$BO406=1),C406,""))</f>
        <v/>
      </c>
      <c r="Y406" s="53" t="str">
        <f aca="false">IF(AND(OR('Choix pédagogiques'!$C$3=1,'Choix pédagogiques'!$C$3=2),$BM406=1),D406,IF(AND('Choix pédagogiques'!$C$3=3,$BO406=1),D406,""))</f>
        <v/>
      </c>
      <c r="Z406" s="53" t="str">
        <f aca="false">IF($E406&lt;&gt;"",$E406,"")</f>
        <v/>
      </c>
      <c r="AA406" s="52" t="str">
        <f aca="false">IF($F406&lt;&gt;"",$F406,"")</f>
        <v>Apprenant 394 ou 394'</v>
      </c>
      <c r="AB406" s="53" t="str">
        <f aca="false">IF(AND(OR('Choix pédagogiques'!$C$3=1,'Choix pédagogiques'!$C$3=2),$BN406=1),G406,IF(AND('Choix pédagogiques'!$C$3=3,$BO406=1),G406,""))</f>
        <v/>
      </c>
      <c r="AC406" s="53" t="str">
        <f aca="false">IF(AND(OR('Choix pédagogiques'!$C$3=1,'Choix pédagogiques'!$C$3=2),$BN406=1),H406,IF(AND('Choix pédagogiques'!$C$3=3,$BO406=1),H406,""))</f>
        <v/>
      </c>
      <c r="AD406" s="53" t="str">
        <f aca="false">IF(AND(OR('Choix pédagogiques'!$C$3=1,'Choix pédagogiques'!$C$3=2),$BN406=1),I406,IF(AND('Choix pédagogiques'!$C$3=3,$BO406=1),I406,""))</f>
        <v/>
      </c>
      <c r="AE406" s="53" t="str">
        <f aca="false">IF($J406&lt;&gt;"",$J406,"")</f>
        <v/>
      </c>
      <c r="AF406" s="52" t="str">
        <f aca="false">IF($A406&lt;&gt;"",$A406,"")</f>
        <v>Apprenant 394</v>
      </c>
      <c r="AG406" s="53" t="str">
        <f aca="false">IF(AND($W406&lt;&gt;"",$X406&lt;&gt;""),$X406-$W406,"")</f>
        <v/>
      </c>
      <c r="AH406" s="53" t="str">
        <f aca="false">IF(AND($W406&lt;&gt;"",$Y406&lt;&gt;""),$Y406-$W406,"")</f>
        <v/>
      </c>
      <c r="AI406" s="53" t="str">
        <f aca="false">IF(AND($X406&lt;&gt;"",$Y406&lt;&gt;""),$Y406-$X406,"")</f>
        <v/>
      </c>
      <c r="AJ406" s="53" t="str">
        <f aca="false">IF($E406&lt;&gt;"",$E406,"")</f>
        <v/>
      </c>
      <c r="AK406" s="52" t="str">
        <f aca="false">IF($F406&lt;&gt;"",$F406,"")</f>
        <v>Apprenant 394 ou 394'</v>
      </c>
      <c r="AL406" s="53" t="str">
        <f aca="false">IF(AND($AB406&lt;&gt;"",$AC406&lt;&gt;""),$AC406-$AB406,"")</f>
        <v/>
      </c>
      <c r="AM406" s="53" t="str">
        <f aca="false">IF(AND($AB406&lt;&gt;"",$AD406&lt;&gt;""),$AD406-$AB406,"")</f>
        <v/>
      </c>
      <c r="AN406" s="53" t="str">
        <f aca="false">IF(AND($AC406&lt;&gt;"",$AD406&lt;&gt;""),$AD406-$AC406,"")</f>
        <v/>
      </c>
      <c r="AO406" s="53" t="str">
        <f aca="false">IF($J406&lt;&gt;"",$J406,"")</f>
        <v/>
      </c>
      <c r="AQ406" s="52" t="str">
        <f aca="false">IF($A406&lt;&gt;"",$A406,"")</f>
        <v>Apprenant 394</v>
      </c>
      <c r="AR406" s="55" t="str">
        <f aca="false">IF(AND('Choix pédagogiques'!$C$4&lt;&gt;"?",'Choix pédagogiques'!$C$5&lt;&gt;"?",W406&lt;&gt;""),(W406-'Choix pédagogiques'!$C$4)/('Choix pédagogiques'!$C$5-'Choix pédagogiques'!$C$4),"")</f>
        <v/>
      </c>
      <c r="AS406" s="55" t="str">
        <f aca="false">IF(AND('Choix pédagogiques'!$C$4&lt;&gt;"?",'Choix pédagogiques'!$C$5&lt;&gt;"?",X406&lt;&gt;""),(X406-'Choix pédagogiques'!$C$4)/('Choix pédagogiques'!$C$5-'Choix pédagogiques'!$C$4),"")</f>
        <v/>
      </c>
      <c r="AT406" s="55" t="str">
        <f aca="false">IF(AND('Choix pédagogiques'!$C$4&lt;&gt;"?",'Choix pédagogiques'!$C$5&lt;&gt;"?",Y406&lt;&gt;""),(Y406-'Choix pédagogiques'!$C$4)/('Choix pédagogiques'!$C$5-'Choix pédagogiques'!$C$4),"")</f>
        <v/>
      </c>
      <c r="AU406" s="53" t="str">
        <f aca="false">IF($E406&lt;&gt;"",$E406,"")</f>
        <v/>
      </c>
      <c r="AV406" s="52" t="str">
        <f aca="false">IF($F406&lt;&gt;"",$F406,"")</f>
        <v>Apprenant 394 ou 394'</v>
      </c>
      <c r="AW406" s="55" t="str">
        <f aca="false">IF(AND('Choix pédagogiques'!$C$4&lt;&gt;"?",'Choix pédagogiques'!$C$5&lt;&gt;"?",AB406&lt;&gt;""),(AB406-'Choix pédagogiques'!$C$4)/('Choix pédagogiques'!$C$5-'Choix pédagogiques'!$C$4),"")</f>
        <v/>
      </c>
      <c r="AX406" s="55" t="str">
        <f aca="false">IF(AND('Choix pédagogiques'!$C$4&lt;&gt;"?",'Choix pédagogiques'!$C$5&lt;&gt;"?",AC406&lt;&gt;""),(AC406-'Choix pédagogiques'!$C$4)/('Choix pédagogiques'!$C$5-'Choix pédagogiques'!$C$4),"")</f>
        <v/>
      </c>
      <c r="AY406" s="55" t="str">
        <f aca="false">IF(AND('Choix pédagogiques'!$C$4&lt;&gt;"?",'Choix pédagogiques'!$C$5&lt;&gt;"?",AD406&lt;&gt;""),(AD406-'Choix pédagogiques'!$C$4)/('Choix pédagogiques'!$C$5-'Choix pédagogiques'!$C$4),"")</f>
        <v/>
      </c>
      <c r="AZ406" s="53" t="str">
        <f aca="false">IF($J406&lt;&gt;"",$J406,"")</f>
        <v/>
      </c>
      <c r="BA406" s="52" t="str">
        <f aca="false">IF($A406&lt;&gt;"",$A406,"")</f>
        <v>Apprenant 394</v>
      </c>
      <c r="BB406" s="55" t="str">
        <f aca="false">IF(AND($AR406&lt;&gt;"",$AS406&lt;&gt;""),$AS406-$AR406,"")</f>
        <v/>
      </c>
      <c r="BC406" s="55" t="str">
        <f aca="false">IF(AND($AR406&lt;&gt;"",$AT406&lt;&gt;""),$AT406-$AR406,"")</f>
        <v/>
      </c>
      <c r="BD406" s="55" t="str">
        <f aca="false">IF(AND($AS406&lt;&gt;"",$AT406&lt;&gt;""),$AT406-$AS406,"")</f>
        <v/>
      </c>
      <c r="BE406" s="53" t="str">
        <f aca="false">IF($E406&lt;&gt;"",$E406,"")</f>
        <v/>
      </c>
      <c r="BF406" s="52" t="str">
        <f aca="false">IF($F406&lt;&gt;"",$F406,"")</f>
        <v>Apprenant 394 ou 394'</v>
      </c>
      <c r="BG406" s="55" t="str">
        <f aca="false">IF(AND($AW406&lt;&gt;"",$AX406&lt;&gt;""),$AX406-$AW406,"")</f>
        <v/>
      </c>
      <c r="BH406" s="55" t="str">
        <f aca="false">IF(AND($AW406&lt;&gt;"",$AY406&lt;&gt;""),$AY406-$AW406,"")</f>
        <v/>
      </c>
      <c r="BI406" s="55" t="str">
        <f aca="false">IF(AND($AX406&lt;&gt;"",$AY406&lt;&gt;""),$AY406-$AX406,"")</f>
        <v/>
      </c>
      <c r="BJ406" s="53" t="str">
        <f aca="false">IF($J406&lt;&gt;"",$J406,"")</f>
        <v/>
      </c>
      <c r="BL406" s="52"/>
      <c r="BM406" s="52" t="str">
        <f aca="false">IF(OR(COUNT(B406:D1405)=0,AND('Choix pédagogiques'!$C$3&lt;&gt;1,'Choix pédagogiques'!$C$3&lt;&gt;2)),"",IF(AND(OR('Choix pédagogiques'!$C$3=1,'Choix pédagogiques'!$C$3=2),$B406&lt;&gt;"",$C406&lt;&gt;"",$D406&lt;&gt;""),1,0))</f>
        <v/>
      </c>
      <c r="BN406" s="52" t="str">
        <f aca="false">IF(OR(COUNT(G406:I1405)=0,AND('Choix pédagogiques'!$C$3&lt;&gt;1,'Choix pédagogiques'!$C$3&lt;&gt;2)),"",IF(AND(OR('Choix pédagogiques'!$C$3=1,'Choix pédagogiques'!$C$3=2),AND($G406&lt;&gt;"",$H406&lt;&gt;"",$I406&lt;&gt;"")),1,0))</f>
        <v/>
      </c>
      <c r="BO406" s="52" t="str">
        <f aca="false">IF(OR(COUNT(B406:D1405)=0,COUNT(G406:I1405)=0,'Choix pédagogiques'!C$3&lt;&gt;3),"",IF(AND('Choix pédagogiques'!$C$3=3,$B406&lt;&gt;"",$C406&lt;&gt;"",$D406&lt;&gt;"",$G406&lt;&gt;"",$H406&lt;&gt;"",$I406&lt;&gt;""),1,0))</f>
        <v/>
      </c>
      <c r="BR406" s="52" t="n">
        <v>398</v>
      </c>
      <c r="BS406" s="52" t="n">
        <v>1277</v>
      </c>
    </row>
    <row r="407" s="54" customFormat="true" ht="18" hidden="false" customHeight="true" outlineLevel="0" collapsed="false">
      <c r="A407" s="57" t="s">
        <v>745</v>
      </c>
      <c r="B407" s="51"/>
      <c r="C407" s="51"/>
      <c r="D407" s="51"/>
      <c r="E407" s="51"/>
      <c r="F407" s="57" t="s">
        <v>746</v>
      </c>
      <c r="G407" s="51"/>
      <c r="H407" s="51"/>
      <c r="I407" s="51"/>
      <c r="J407" s="51"/>
      <c r="K407" s="52" t="str">
        <f aca="false">IF($A407&lt;&gt;"",$A407,"")</f>
        <v>Apprenant 395</v>
      </c>
      <c r="L407" s="53" t="str">
        <f aca="false">IF(AND($B407&lt;&gt;"",$C407&lt;&gt;""),$C407-$B407,"")</f>
        <v/>
      </c>
      <c r="M407" s="53" t="str">
        <f aca="false">IF(AND($B407&lt;&gt;"",$D407&lt;&gt;""),$D407-$B407,"")</f>
        <v/>
      </c>
      <c r="N407" s="53" t="str">
        <f aca="false">IF(AND($C407&lt;&gt;"",$D407&lt;&gt;""),$D407-$C407,"")</f>
        <v/>
      </c>
      <c r="O407" s="53" t="str">
        <f aca="false">IF($E407&lt;&gt;"",$E407,"")</f>
        <v/>
      </c>
      <c r="P407" s="52" t="str">
        <f aca="false">IF($F407&lt;&gt;"",$F407,"")</f>
        <v>Apprenant 395 ou 395'</v>
      </c>
      <c r="Q407" s="53" t="str">
        <f aca="false">IF(AND($G407&lt;&gt;"",$H407&lt;&gt;""),$H407-$G407,"")</f>
        <v/>
      </c>
      <c r="R407" s="53" t="str">
        <f aca="false">IF(AND($G407&lt;&gt;"",$I407&lt;&gt;""),$I407-$G407,"")</f>
        <v/>
      </c>
      <c r="S407" s="53" t="str">
        <f aca="false">IF(AND($H407&lt;&gt;"",$I407&lt;&gt;""),$I407-$H407,"")</f>
        <v/>
      </c>
      <c r="T407" s="53" t="str">
        <f aca="false">IF($J407&lt;&gt;"",$J407,"")</f>
        <v/>
      </c>
      <c r="V407" s="52" t="str">
        <f aca="false">IF($A407&lt;&gt;"",$A407,"")</f>
        <v>Apprenant 395</v>
      </c>
      <c r="W407" s="53" t="str">
        <f aca="false">IF(AND(OR('Choix pédagogiques'!$C$3=1,'Choix pédagogiques'!$C$3=2),$BM407=1),B407,IF(AND('Choix pédagogiques'!$C$3=3,$BO407=1),B407,""))</f>
        <v/>
      </c>
      <c r="X407" s="53" t="str">
        <f aca="false">IF(AND(OR('Choix pédagogiques'!$C$3=1,'Choix pédagogiques'!$C$3=2),$BM407=1),C407,IF(AND('Choix pédagogiques'!$C$3=3,$BO407=1),C407,""))</f>
        <v/>
      </c>
      <c r="Y407" s="53" t="str">
        <f aca="false">IF(AND(OR('Choix pédagogiques'!$C$3=1,'Choix pédagogiques'!$C$3=2),$BM407=1),D407,IF(AND('Choix pédagogiques'!$C$3=3,$BO407=1),D407,""))</f>
        <v/>
      </c>
      <c r="Z407" s="53" t="str">
        <f aca="false">IF($E407&lt;&gt;"",$E407,"")</f>
        <v/>
      </c>
      <c r="AA407" s="52" t="str">
        <f aca="false">IF($F407&lt;&gt;"",$F407,"")</f>
        <v>Apprenant 395 ou 395'</v>
      </c>
      <c r="AB407" s="53" t="str">
        <f aca="false">IF(AND(OR('Choix pédagogiques'!$C$3=1,'Choix pédagogiques'!$C$3=2),$BN407=1),G407,IF(AND('Choix pédagogiques'!$C$3=3,$BO407=1),G407,""))</f>
        <v/>
      </c>
      <c r="AC407" s="53" t="str">
        <f aca="false">IF(AND(OR('Choix pédagogiques'!$C$3=1,'Choix pédagogiques'!$C$3=2),$BN407=1),H407,IF(AND('Choix pédagogiques'!$C$3=3,$BO407=1),H407,""))</f>
        <v/>
      </c>
      <c r="AD407" s="53" t="str">
        <f aca="false">IF(AND(OR('Choix pédagogiques'!$C$3=1,'Choix pédagogiques'!$C$3=2),$BN407=1),I407,IF(AND('Choix pédagogiques'!$C$3=3,$BO407=1),I407,""))</f>
        <v/>
      </c>
      <c r="AE407" s="53" t="str">
        <f aca="false">IF($J407&lt;&gt;"",$J407,"")</f>
        <v/>
      </c>
      <c r="AF407" s="52" t="str">
        <f aca="false">IF($A407&lt;&gt;"",$A407,"")</f>
        <v>Apprenant 395</v>
      </c>
      <c r="AG407" s="53" t="str">
        <f aca="false">IF(AND($W407&lt;&gt;"",$X407&lt;&gt;""),$X407-$W407,"")</f>
        <v/>
      </c>
      <c r="AH407" s="53" t="str">
        <f aca="false">IF(AND($W407&lt;&gt;"",$Y407&lt;&gt;""),$Y407-$W407,"")</f>
        <v/>
      </c>
      <c r="AI407" s="53" t="str">
        <f aca="false">IF(AND($X407&lt;&gt;"",$Y407&lt;&gt;""),$Y407-$X407,"")</f>
        <v/>
      </c>
      <c r="AJ407" s="53" t="str">
        <f aca="false">IF($E407&lt;&gt;"",$E407,"")</f>
        <v/>
      </c>
      <c r="AK407" s="52" t="str">
        <f aca="false">IF($F407&lt;&gt;"",$F407,"")</f>
        <v>Apprenant 395 ou 395'</v>
      </c>
      <c r="AL407" s="53" t="str">
        <f aca="false">IF(AND($AB407&lt;&gt;"",$AC407&lt;&gt;""),$AC407-$AB407,"")</f>
        <v/>
      </c>
      <c r="AM407" s="53" t="str">
        <f aca="false">IF(AND($AB407&lt;&gt;"",$AD407&lt;&gt;""),$AD407-$AB407,"")</f>
        <v/>
      </c>
      <c r="AN407" s="53" t="str">
        <f aca="false">IF(AND($AC407&lt;&gt;"",$AD407&lt;&gt;""),$AD407-$AC407,"")</f>
        <v/>
      </c>
      <c r="AO407" s="53" t="str">
        <f aca="false">IF($J407&lt;&gt;"",$J407,"")</f>
        <v/>
      </c>
      <c r="AQ407" s="52" t="str">
        <f aca="false">IF($A407&lt;&gt;"",$A407,"")</f>
        <v>Apprenant 395</v>
      </c>
      <c r="AR407" s="55" t="str">
        <f aca="false">IF(AND('Choix pédagogiques'!$C$4&lt;&gt;"?",'Choix pédagogiques'!$C$5&lt;&gt;"?",W407&lt;&gt;""),(W407-'Choix pédagogiques'!$C$4)/('Choix pédagogiques'!$C$5-'Choix pédagogiques'!$C$4),"")</f>
        <v/>
      </c>
      <c r="AS407" s="55" t="str">
        <f aca="false">IF(AND('Choix pédagogiques'!$C$4&lt;&gt;"?",'Choix pédagogiques'!$C$5&lt;&gt;"?",X407&lt;&gt;""),(X407-'Choix pédagogiques'!$C$4)/('Choix pédagogiques'!$C$5-'Choix pédagogiques'!$C$4),"")</f>
        <v/>
      </c>
      <c r="AT407" s="55" t="str">
        <f aca="false">IF(AND('Choix pédagogiques'!$C$4&lt;&gt;"?",'Choix pédagogiques'!$C$5&lt;&gt;"?",Y407&lt;&gt;""),(Y407-'Choix pédagogiques'!$C$4)/('Choix pédagogiques'!$C$5-'Choix pédagogiques'!$C$4),"")</f>
        <v/>
      </c>
      <c r="AU407" s="53" t="str">
        <f aca="false">IF($E407&lt;&gt;"",$E407,"")</f>
        <v/>
      </c>
      <c r="AV407" s="52" t="str">
        <f aca="false">IF($F407&lt;&gt;"",$F407,"")</f>
        <v>Apprenant 395 ou 395'</v>
      </c>
      <c r="AW407" s="55" t="str">
        <f aca="false">IF(AND('Choix pédagogiques'!$C$4&lt;&gt;"?",'Choix pédagogiques'!$C$5&lt;&gt;"?",AB407&lt;&gt;""),(AB407-'Choix pédagogiques'!$C$4)/('Choix pédagogiques'!$C$5-'Choix pédagogiques'!$C$4),"")</f>
        <v/>
      </c>
      <c r="AX407" s="55" t="str">
        <f aca="false">IF(AND('Choix pédagogiques'!$C$4&lt;&gt;"?",'Choix pédagogiques'!$C$5&lt;&gt;"?",AC407&lt;&gt;""),(AC407-'Choix pédagogiques'!$C$4)/('Choix pédagogiques'!$C$5-'Choix pédagogiques'!$C$4),"")</f>
        <v/>
      </c>
      <c r="AY407" s="55" t="str">
        <f aca="false">IF(AND('Choix pédagogiques'!$C$4&lt;&gt;"?",'Choix pédagogiques'!$C$5&lt;&gt;"?",AD407&lt;&gt;""),(AD407-'Choix pédagogiques'!$C$4)/('Choix pédagogiques'!$C$5-'Choix pédagogiques'!$C$4),"")</f>
        <v/>
      </c>
      <c r="AZ407" s="53" t="str">
        <f aca="false">IF($J407&lt;&gt;"",$J407,"")</f>
        <v/>
      </c>
      <c r="BA407" s="52" t="str">
        <f aca="false">IF($A407&lt;&gt;"",$A407,"")</f>
        <v>Apprenant 395</v>
      </c>
      <c r="BB407" s="55" t="str">
        <f aca="false">IF(AND($AR407&lt;&gt;"",$AS407&lt;&gt;""),$AS407-$AR407,"")</f>
        <v/>
      </c>
      <c r="BC407" s="55" t="str">
        <f aca="false">IF(AND($AR407&lt;&gt;"",$AT407&lt;&gt;""),$AT407-$AR407,"")</f>
        <v/>
      </c>
      <c r="BD407" s="55" t="str">
        <f aca="false">IF(AND($AS407&lt;&gt;"",$AT407&lt;&gt;""),$AT407-$AS407,"")</f>
        <v/>
      </c>
      <c r="BE407" s="53" t="str">
        <f aca="false">IF($E407&lt;&gt;"",$E407,"")</f>
        <v/>
      </c>
      <c r="BF407" s="52" t="str">
        <f aca="false">IF($F407&lt;&gt;"",$F407,"")</f>
        <v>Apprenant 395 ou 395'</v>
      </c>
      <c r="BG407" s="55" t="str">
        <f aca="false">IF(AND($AW407&lt;&gt;"",$AX407&lt;&gt;""),$AX407-$AW407,"")</f>
        <v/>
      </c>
      <c r="BH407" s="55" t="str">
        <f aca="false">IF(AND($AW407&lt;&gt;"",$AY407&lt;&gt;""),$AY407-$AW407,"")</f>
        <v/>
      </c>
      <c r="BI407" s="55" t="str">
        <f aca="false">IF(AND($AX407&lt;&gt;"",$AY407&lt;&gt;""),$AY407-$AX407,"")</f>
        <v/>
      </c>
      <c r="BJ407" s="53" t="str">
        <f aca="false">IF($J407&lt;&gt;"",$J407,"")</f>
        <v/>
      </c>
      <c r="BL407" s="52"/>
      <c r="BM407" s="52" t="str">
        <f aca="false">IF(OR(COUNT(B407:D1406)=0,AND('Choix pédagogiques'!$C$3&lt;&gt;1,'Choix pédagogiques'!$C$3&lt;&gt;2)),"",IF(AND(OR('Choix pédagogiques'!$C$3=1,'Choix pédagogiques'!$C$3=2),$B407&lt;&gt;"",$C407&lt;&gt;"",$D407&lt;&gt;""),1,0))</f>
        <v/>
      </c>
      <c r="BN407" s="52" t="str">
        <f aca="false">IF(OR(COUNT(G407:I1406)=0,AND('Choix pédagogiques'!$C$3&lt;&gt;1,'Choix pédagogiques'!$C$3&lt;&gt;2)),"",IF(AND(OR('Choix pédagogiques'!$C$3=1,'Choix pédagogiques'!$C$3=2),AND($G407&lt;&gt;"",$H407&lt;&gt;"",$I407&lt;&gt;"")),1,0))</f>
        <v/>
      </c>
      <c r="BO407" s="52" t="str">
        <f aca="false">IF(OR(COUNT(B407:D1406)=0,COUNT(G407:I1406)=0,'Choix pédagogiques'!C$3&lt;&gt;3),"",IF(AND('Choix pédagogiques'!$C$3=3,$B407&lt;&gt;"",$C407&lt;&gt;"",$D407&lt;&gt;"",$G407&lt;&gt;"",$H407&lt;&gt;"",$I407&lt;&gt;""),1,0))</f>
        <v/>
      </c>
      <c r="BR407" s="52" t="n">
        <v>640</v>
      </c>
      <c r="BS407" s="52" t="n">
        <v>1341</v>
      </c>
    </row>
    <row r="408" s="54" customFormat="true" ht="18" hidden="false" customHeight="true" outlineLevel="0" collapsed="false">
      <c r="A408" s="57" t="s">
        <v>747</v>
      </c>
      <c r="B408" s="51"/>
      <c r="C408" s="51"/>
      <c r="D408" s="51"/>
      <c r="E408" s="51"/>
      <c r="F408" s="57" t="s">
        <v>748</v>
      </c>
      <c r="G408" s="51"/>
      <c r="H408" s="51"/>
      <c r="I408" s="51"/>
      <c r="J408" s="51"/>
      <c r="K408" s="52" t="str">
        <f aca="false">IF($A408&lt;&gt;"",$A408,"")</f>
        <v>Apprenant 396</v>
      </c>
      <c r="L408" s="53" t="str">
        <f aca="false">IF(AND($B408&lt;&gt;"",$C408&lt;&gt;""),$C408-$B408,"")</f>
        <v/>
      </c>
      <c r="M408" s="53" t="str">
        <f aca="false">IF(AND($B408&lt;&gt;"",$D408&lt;&gt;""),$D408-$B408,"")</f>
        <v/>
      </c>
      <c r="N408" s="53" t="str">
        <f aca="false">IF(AND($C408&lt;&gt;"",$D408&lt;&gt;""),$D408-$C408,"")</f>
        <v/>
      </c>
      <c r="O408" s="53" t="str">
        <f aca="false">IF($E408&lt;&gt;"",$E408,"")</f>
        <v/>
      </c>
      <c r="P408" s="52" t="str">
        <f aca="false">IF($F408&lt;&gt;"",$F408,"")</f>
        <v>Apprenant 396 ou 396'</v>
      </c>
      <c r="Q408" s="53" t="str">
        <f aca="false">IF(AND($G408&lt;&gt;"",$H408&lt;&gt;""),$H408-$G408,"")</f>
        <v/>
      </c>
      <c r="R408" s="53" t="str">
        <f aca="false">IF(AND($G408&lt;&gt;"",$I408&lt;&gt;""),$I408-$G408,"")</f>
        <v/>
      </c>
      <c r="S408" s="53" t="str">
        <f aca="false">IF(AND($H408&lt;&gt;"",$I408&lt;&gt;""),$I408-$H408,"")</f>
        <v/>
      </c>
      <c r="T408" s="53" t="str">
        <f aca="false">IF($J408&lt;&gt;"",$J408,"")</f>
        <v/>
      </c>
      <c r="V408" s="52" t="str">
        <f aca="false">IF($A408&lt;&gt;"",$A408,"")</f>
        <v>Apprenant 396</v>
      </c>
      <c r="W408" s="53" t="str">
        <f aca="false">IF(AND(OR('Choix pédagogiques'!$C$3=1,'Choix pédagogiques'!$C$3=2),$BM408=1),B408,IF(AND('Choix pédagogiques'!$C$3=3,$BO408=1),B408,""))</f>
        <v/>
      </c>
      <c r="X408" s="53" t="str">
        <f aca="false">IF(AND(OR('Choix pédagogiques'!$C$3=1,'Choix pédagogiques'!$C$3=2),$BM408=1),C408,IF(AND('Choix pédagogiques'!$C$3=3,$BO408=1),C408,""))</f>
        <v/>
      </c>
      <c r="Y408" s="53" t="str">
        <f aca="false">IF(AND(OR('Choix pédagogiques'!$C$3=1,'Choix pédagogiques'!$C$3=2),$BM408=1),D408,IF(AND('Choix pédagogiques'!$C$3=3,$BO408=1),D408,""))</f>
        <v/>
      </c>
      <c r="Z408" s="53" t="str">
        <f aca="false">IF($E408&lt;&gt;"",$E408,"")</f>
        <v/>
      </c>
      <c r="AA408" s="52" t="str">
        <f aca="false">IF($F408&lt;&gt;"",$F408,"")</f>
        <v>Apprenant 396 ou 396'</v>
      </c>
      <c r="AB408" s="53" t="str">
        <f aca="false">IF(AND(OR('Choix pédagogiques'!$C$3=1,'Choix pédagogiques'!$C$3=2),$BN408=1),G408,IF(AND('Choix pédagogiques'!$C$3=3,$BO408=1),G408,""))</f>
        <v/>
      </c>
      <c r="AC408" s="53" t="str">
        <f aca="false">IF(AND(OR('Choix pédagogiques'!$C$3=1,'Choix pédagogiques'!$C$3=2),$BN408=1),H408,IF(AND('Choix pédagogiques'!$C$3=3,$BO408=1),H408,""))</f>
        <v/>
      </c>
      <c r="AD408" s="53" t="str">
        <f aca="false">IF(AND(OR('Choix pédagogiques'!$C$3=1,'Choix pédagogiques'!$C$3=2),$BN408=1),I408,IF(AND('Choix pédagogiques'!$C$3=3,$BO408=1),I408,""))</f>
        <v/>
      </c>
      <c r="AE408" s="53" t="str">
        <f aca="false">IF($J408&lt;&gt;"",$J408,"")</f>
        <v/>
      </c>
      <c r="AF408" s="52" t="str">
        <f aca="false">IF($A408&lt;&gt;"",$A408,"")</f>
        <v>Apprenant 396</v>
      </c>
      <c r="AG408" s="53" t="str">
        <f aca="false">IF(AND($W408&lt;&gt;"",$X408&lt;&gt;""),$X408-$W408,"")</f>
        <v/>
      </c>
      <c r="AH408" s="53" t="str">
        <f aca="false">IF(AND($W408&lt;&gt;"",$Y408&lt;&gt;""),$Y408-$W408,"")</f>
        <v/>
      </c>
      <c r="AI408" s="53" t="str">
        <f aca="false">IF(AND($X408&lt;&gt;"",$Y408&lt;&gt;""),$Y408-$X408,"")</f>
        <v/>
      </c>
      <c r="AJ408" s="53" t="str">
        <f aca="false">IF($E408&lt;&gt;"",$E408,"")</f>
        <v/>
      </c>
      <c r="AK408" s="52" t="str">
        <f aca="false">IF($F408&lt;&gt;"",$F408,"")</f>
        <v>Apprenant 396 ou 396'</v>
      </c>
      <c r="AL408" s="53" t="str">
        <f aca="false">IF(AND($AB408&lt;&gt;"",$AC408&lt;&gt;""),$AC408-$AB408,"")</f>
        <v/>
      </c>
      <c r="AM408" s="53" t="str">
        <f aca="false">IF(AND($AB408&lt;&gt;"",$AD408&lt;&gt;""),$AD408-$AB408,"")</f>
        <v/>
      </c>
      <c r="AN408" s="53" t="str">
        <f aca="false">IF(AND($AC408&lt;&gt;"",$AD408&lt;&gt;""),$AD408-$AC408,"")</f>
        <v/>
      </c>
      <c r="AO408" s="53" t="str">
        <f aca="false">IF($J408&lt;&gt;"",$J408,"")</f>
        <v/>
      </c>
      <c r="AQ408" s="52" t="str">
        <f aca="false">IF($A408&lt;&gt;"",$A408,"")</f>
        <v>Apprenant 396</v>
      </c>
      <c r="AR408" s="55" t="str">
        <f aca="false">IF(AND('Choix pédagogiques'!$C$4&lt;&gt;"?",'Choix pédagogiques'!$C$5&lt;&gt;"?",W408&lt;&gt;""),(W408-'Choix pédagogiques'!$C$4)/('Choix pédagogiques'!$C$5-'Choix pédagogiques'!$C$4),"")</f>
        <v/>
      </c>
      <c r="AS408" s="55" t="str">
        <f aca="false">IF(AND('Choix pédagogiques'!$C$4&lt;&gt;"?",'Choix pédagogiques'!$C$5&lt;&gt;"?",X408&lt;&gt;""),(X408-'Choix pédagogiques'!$C$4)/('Choix pédagogiques'!$C$5-'Choix pédagogiques'!$C$4),"")</f>
        <v/>
      </c>
      <c r="AT408" s="55" t="str">
        <f aca="false">IF(AND('Choix pédagogiques'!$C$4&lt;&gt;"?",'Choix pédagogiques'!$C$5&lt;&gt;"?",Y408&lt;&gt;""),(Y408-'Choix pédagogiques'!$C$4)/('Choix pédagogiques'!$C$5-'Choix pédagogiques'!$C$4),"")</f>
        <v/>
      </c>
      <c r="AU408" s="53" t="str">
        <f aca="false">IF($E408&lt;&gt;"",$E408,"")</f>
        <v/>
      </c>
      <c r="AV408" s="52" t="str">
        <f aca="false">IF($F408&lt;&gt;"",$F408,"")</f>
        <v>Apprenant 396 ou 396'</v>
      </c>
      <c r="AW408" s="55" t="str">
        <f aca="false">IF(AND('Choix pédagogiques'!$C$4&lt;&gt;"?",'Choix pédagogiques'!$C$5&lt;&gt;"?",AB408&lt;&gt;""),(AB408-'Choix pédagogiques'!$C$4)/('Choix pédagogiques'!$C$5-'Choix pédagogiques'!$C$4),"")</f>
        <v/>
      </c>
      <c r="AX408" s="55" t="str">
        <f aca="false">IF(AND('Choix pédagogiques'!$C$4&lt;&gt;"?",'Choix pédagogiques'!$C$5&lt;&gt;"?",AC408&lt;&gt;""),(AC408-'Choix pédagogiques'!$C$4)/('Choix pédagogiques'!$C$5-'Choix pédagogiques'!$C$4),"")</f>
        <v/>
      </c>
      <c r="AY408" s="55" t="str">
        <f aca="false">IF(AND('Choix pédagogiques'!$C$4&lt;&gt;"?",'Choix pédagogiques'!$C$5&lt;&gt;"?",AD408&lt;&gt;""),(AD408-'Choix pédagogiques'!$C$4)/('Choix pédagogiques'!$C$5-'Choix pédagogiques'!$C$4),"")</f>
        <v/>
      </c>
      <c r="AZ408" s="53" t="str">
        <f aca="false">IF($J408&lt;&gt;"",$J408,"")</f>
        <v/>
      </c>
      <c r="BA408" s="52" t="str">
        <f aca="false">IF($A408&lt;&gt;"",$A408,"")</f>
        <v>Apprenant 396</v>
      </c>
      <c r="BB408" s="55" t="str">
        <f aca="false">IF(AND($AR408&lt;&gt;"",$AS408&lt;&gt;""),$AS408-$AR408,"")</f>
        <v/>
      </c>
      <c r="BC408" s="55" t="str">
        <f aca="false">IF(AND($AR408&lt;&gt;"",$AT408&lt;&gt;""),$AT408-$AR408,"")</f>
        <v/>
      </c>
      <c r="BD408" s="55" t="str">
        <f aca="false">IF(AND($AS408&lt;&gt;"",$AT408&lt;&gt;""),$AT408-$AS408,"")</f>
        <v/>
      </c>
      <c r="BE408" s="53" t="str">
        <f aca="false">IF($E408&lt;&gt;"",$E408,"")</f>
        <v/>
      </c>
      <c r="BF408" s="52" t="str">
        <f aca="false">IF($F408&lt;&gt;"",$F408,"")</f>
        <v>Apprenant 396 ou 396'</v>
      </c>
      <c r="BG408" s="55" t="str">
        <f aca="false">IF(AND($AW408&lt;&gt;"",$AX408&lt;&gt;""),$AX408-$AW408,"")</f>
        <v/>
      </c>
      <c r="BH408" s="55" t="str">
        <f aca="false">IF(AND($AW408&lt;&gt;"",$AY408&lt;&gt;""),$AY408-$AW408,"")</f>
        <v/>
      </c>
      <c r="BI408" s="55" t="str">
        <f aca="false">IF(AND($AX408&lt;&gt;"",$AY408&lt;&gt;""),$AY408-$AX408,"")</f>
        <v/>
      </c>
      <c r="BJ408" s="53" t="str">
        <f aca="false">IF($J408&lt;&gt;"",$J408,"")</f>
        <v/>
      </c>
      <c r="BL408" s="52"/>
      <c r="BM408" s="52" t="str">
        <f aca="false">IF(OR(COUNT(B408:D1407)=0,AND('Choix pédagogiques'!$C$3&lt;&gt;1,'Choix pédagogiques'!$C$3&lt;&gt;2)),"",IF(AND(OR('Choix pédagogiques'!$C$3=1,'Choix pédagogiques'!$C$3=2),$B408&lt;&gt;"",$C408&lt;&gt;"",$D408&lt;&gt;""),1,0))</f>
        <v/>
      </c>
      <c r="BN408" s="52" t="str">
        <f aca="false">IF(OR(COUNT(G408:I1407)=0,AND('Choix pédagogiques'!$C$3&lt;&gt;1,'Choix pédagogiques'!$C$3&lt;&gt;2)),"",IF(AND(OR('Choix pédagogiques'!$C$3=1,'Choix pédagogiques'!$C$3=2),AND($G408&lt;&gt;"",$H408&lt;&gt;"",$I408&lt;&gt;"")),1,0))</f>
        <v/>
      </c>
      <c r="BO408" s="52" t="str">
        <f aca="false">IF(OR(COUNT(B408:D1407)=0,COUNT(G408:I1407)=0,'Choix pédagogiques'!C$3&lt;&gt;3),"",IF(AND('Choix pédagogiques'!$C$3=3,$B408&lt;&gt;"",$C408&lt;&gt;"",$D408&lt;&gt;"",$G408&lt;&gt;"",$H408&lt;&gt;"",$I408&lt;&gt;""),1,0))</f>
        <v/>
      </c>
      <c r="BR408" s="52" t="n">
        <v>9</v>
      </c>
      <c r="BS408" s="52" t="n">
        <v>1264</v>
      </c>
    </row>
    <row r="409" s="54" customFormat="true" ht="18" hidden="false" customHeight="true" outlineLevel="0" collapsed="false">
      <c r="A409" s="57" t="s">
        <v>749</v>
      </c>
      <c r="B409" s="51"/>
      <c r="C409" s="51"/>
      <c r="D409" s="51"/>
      <c r="E409" s="51"/>
      <c r="F409" s="57" t="s">
        <v>750</v>
      </c>
      <c r="G409" s="51"/>
      <c r="H409" s="51"/>
      <c r="I409" s="51"/>
      <c r="J409" s="51"/>
      <c r="K409" s="52" t="str">
        <f aca="false">IF($A409&lt;&gt;"",$A409,"")</f>
        <v>Apprenant 397</v>
      </c>
      <c r="L409" s="53" t="str">
        <f aca="false">IF(AND($B409&lt;&gt;"",$C409&lt;&gt;""),$C409-$B409,"")</f>
        <v/>
      </c>
      <c r="M409" s="53" t="str">
        <f aca="false">IF(AND($B409&lt;&gt;"",$D409&lt;&gt;""),$D409-$B409,"")</f>
        <v/>
      </c>
      <c r="N409" s="53" t="str">
        <f aca="false">IF(AND($C409&lt;&gt;"",$D409&lt;&gt;""),$D409-$C409,"")</f>
        <v/>
      </c>
      <c r="O409" s="53" t="str">
        <f aca="false">IF($E409&lt;&gt;"",$E409,"")</f>
        <v/>
      </c>
      <c r="P409" s="52" t="str">
        <f aca="false">IF($F409&lt;&gt;"",$F409,"")</f>
        <v>Apprenant 397 ou 397'</v>
      </c>
      <c r="Q409" s="53" t="str">
        <f aca="false">IF(AND($G409&lt;&gt;"",$H409&lt;&gt;""),$H409-$G409,"")</f>
        <v/>
      </c>
      <c r="R409" s="53" t="str">
        <f aca="false">IF(AND($G409&lt;&gt;"",$I409&lt;&gt;""),$I409-$G409,"")</f>
        <v/>
      </c>
      <c r="S409" s="53" t="str">
        <f aca="false">IF(AND($H409&lt;&gt;"",$I409&lt;&gt;""),$I409-$H409,"")</f>
        <v/>
      </c>
      <c r="T409" s="53" t="str">
        <f aca="false">IF($J409&lt;&gt;"",$J409,"")</f>
        <v/>
      </c>
      <c r="V409" s="52" t="str">
        <f aca="false">IF($A409&lt;&gt;"",$A409,"")</f>
        <v>Apprenant 397</v>
      </c>
      <c r="W409" s="53" t="str">
        <f aca="false">IF(AND(OR('Choix pédagogiques'!$C$3=1,'Choix pédagogiques'!$C$3=2),$BM409=1),B409,IF(AND('Choix pédagogiques'!$C$3=3,$BO409=1),B409,""))</f>
        <v/>
      </c>
      <c r="X409" s="53" t="str">
        <f aca="false">IF(AND(OR('Choix pédagogiques'!$C$3=1,'Choix pédagogiques'!$C$3=2),$BM409=1),C409,IF(AND('Choix pédagogiques'!$C$3=3,$BO409=1),C409,""))</f>
        <v/>
      </c>
      <c r="Y409" s="53" t="str">
        <f aca="false">IF(AND(OR('Choix pédagogiques'!$C$3=1,'Choix pédagogiques'!$C$3=2),$BM409=1),D409,IF(AND('Choix pédagogiques'!$C$3=3,$BO409=1),D409,""))</f>
        <v/>
      </c>
      <c r="Z409" s="53" t="str">
        <f aca="false">IF($E409&lt;&gt;"",$E409,"")</f>
        <v/>
      </c>
      <c r="AA409" s="52" t="str">
        <f aca="false">IF($F409&lt;&gt;"",$F409,"")</f>
        <v>Apprenant 397 ou 397'</v>
      </c>
      <c r="AB409" s="53" t="str">
        <f aca="false">IF(AND(OR('Choix pédagogiques'!$C$3=1,'Choix pédagogiques'!$C$3=2),$BN409=1),G409,IF(AND('Choix pédagogiques'!$C$3=3,$BO409=1),G409,""))</f>
        <v/>
      </c>
      <c r="AC409" s="53" t="str">
        <f aca="false">IF(AND(OR('Choix pédagogiques'!$C$3=1,'Choix pédagogiques'!$C$3=2),$BN409=1),H409,IF(AND('Choix pédagogiques'!$C$3=3,$BO409=1),H409,""))</f>
        <v/>
      </c>
      <c r="AD409" s="53" t="str">
        <f aca="false">IF(AND(OR('Choix pédagogiques'!$C$3=1,'Choix pédagogiques'!$C$3=2),$BN409=1),I409,IF(AND('Choix pédagogiques'!$C$3=3,$BO409=1),I409,""))</f>
        <v/>
      </c>
      <c r="AE409" s="53" t="str">
        <f aca="false">IF($J409&lt;&gt;"",$J409,"")</f>
        <v/>
      </c>
      <c r="AF409" s="52" t="str">
        <f aca="false">IF($A409&lt;&gt;"",$A409,"")</f>
        <v>Apprenant 397</v>
      </c>
      <c r="AG409" s="53" t="str">
        <f aca="false">IF(AND($W409&lt;&gt;"",$X409&lt;&gt;""),$X409-$W409,"")</f>
        <v/>
      </c>
      <c r="AH409" s="53" t="str">
        <f aca="false">IF(AND($W409&lt;&gt;"",$Y409&lt;&gt;""),$Y409-$W409,"")</f>
        <v/>
      </c>
      <c r="AI409" s="53" t="str">
        <f aca="false">IF(AND($X409&lt;&gt;"",$Y409&lt;&gt;""),$Y409-$X409,"")</f>
        <v/>
      </c>
      <c r="AJ409" s="53" t="str">
        <f aca="false">IF($E409&lt;&gt;"",$E409,"")</f>
        <v/>
      </c>
      <c r="AK409" s="52" t="str">
        <f aca="false">IF($F409&lt;&gt;"",$F409,"")</f>
        <v>Apprenant 397 ou 397'</v>
      </c>
      <c r="AL409" s="53" t="str">
        <f aca="false">IF(AND($AB409&lt;&gt;"",$AC409&lt;&gt;""),$AC409-$AB409,"")</f>
        <v/>
      </c>
      <c r="AM409" s="53" t="str">
        <f aca="false">IF(AND($AB409&lt;&gt;"",$AD409&lt;&gt;""),$AD409-$AB409,"")</f>
        <v/>
      </c>
      <c r="AN409" s="53" t="str">
        <f aca="false">IF(AND($AC409&lt;&gt;"",$AD409&lt;&gt;""),$AD409-$AC409,"")</f>
        <v/>
      </c>
      <c r="AO409" s="53" t="str">
        <f aca="false">IF($J409&lt;&gt;"",$J409,"")</f>
        <v/>
      </c>
      <c r="AQ409" s="52" t="str">
        <f aca="false">IF($A409&lt;&gt;"",$A409,"")</f>
        <v>Apprenant 397</v>
      </c>
      <c r="AR409" s="55" t="str">
        <f aca="false">IF(AND('Choix pédagogiques'!$C$4&lt;&gt;"?",'Choix pédagogiques'!$C$5&lt;&gt;"?",W409&lt;&gt;""),(W409-'Choix pédagogiques'!$C$4)/('Choix pédagogiques'!$C$5-'Choix pédagogiques'!$C$4),"")</f>
        <v/>
      </c>
      <c r="AS409" s="55" t="str">
        <f aca="false">IF(AND('Choix pédagogiques'!$C$4&lt;&gt;"?",'Choix pédagogiques'!$C$5&lt;&gt;"?",X409&lt;&gt;""),(X409-'Choix pédagogiques'!$C$4)/('Choix pédagogiques'!$C$5-'Choix pédagogiques'!$C$4),"")</f>
        <v/>
      </c>
      <c r="AT409" s="55" t="str">
        <f aca="false">IF(AND('Choix pédagogiques'!$C$4&lt;&gt;"?",'Choix pédagogiques'!$C$5&lt;&gt;"?",Y409&lt;&gt;""),(Y409-'Choix pédagogiques'!$C$4)/('Choix pédagogiques'!$C$5-'Choix pédagogiques'!$C$4),"")</f>
        <v/>
      </c>
      <c r="AU409" s="53" t="str">
        <f aca="false">IF($E409&lt;&gt;"",$E409,"")</f>
        <v/>
      </c>
      <c r="AV409" s="52" t="str">
        <f aca="false">IF($F409&lt;&gt;"",$F409,"")</f>
        <v>Apprenant 397 ou 397'</v>
      </c>
      <c r="AW409" s="55" t="str">
        <f aca="false">IF(AND('Choix pédagogiques'!$C$4&lt;&gt;"?",'Choix pédagogiques'!$C$5&lt;&gt;"?",AB409&lt;&gt;""),(AB409-'Choix pédagogiques'!$C$4)/('Choix pédagogiques'!$C$5-'Choix pédagogiques'!$C$4),"")</f>
        <v/>
      </c>
      <c r="AX409" s="55" t="str">
        <f aca="false">IF(AND('Choix pédagogiques'!$C$4&lt;&gt;"?",'Choix pédagogiques'!$C$5&lt;&gt;"?",AC409&lt;&gt;""),(AC409-'Choix pédagogiques'!$C$4)/('Choix pédagogiques'!$C$5-'Choix pédagogiques'!$C$4),"")</f>
        <v/>
      </c>
      <c r="AY409" s="55" t="str">
        <f aca="false">IF(AND('Choix pédagogiques'!$C$4&lt;&gt;"?",'Choix pédagogiques'!$C$5&lt;&gt;"?",AD409&lt;&gt;""),(AD409-'Choix pédagogiques'!$C$4)/('Choix pédagogiques'!$C$5-'Choix pédagogiques'!$C$4),"")</f>
        <v/>
      </c>
      <c r="AZ409" s="53" t="str">
        <f aca="false">IF($J409&lt;&gt;"",$J409,"")</f>
        <v/>
      </c>
      <c r="BA409" s="52" t="str">
        <f aca="false">IF($A409&lt;&gt;"",$A409,"")</f>
        <v>Apprenant 397</v>
      </c>
      <c r="BB409" s="55" t="str">
        <f aca="false">IF(AND($AR409&lt;&gt;"",$AS409&lt;&gt;""),$AS409-$AR409,"")</f>
        <v/>
      </c>
      <c r="BC409" s="55" t="str">
        <f aca="false">IF(AND($AR409&lt;&gt;"",$AT409&lt;&gt;""),$AT409-$AR409,"")</f>
        <v/>
      </c>
      <c r="BD409" s="55" t="str">
        <f aca="false">IF(AND($AS409&lt;&gt;"",$AT409&lt;&gt;""),$AT409-$AS409,"")</f>
        <v/>
      </c>
      <c r="BE409" s="53" t="str">
        <f aca="false">IF($E409&lt;&gt;"",$E409,"")</f>
        <v/>
      </c>
      <c r="BF409" s="52" t="str">
        <f aca="false">IF($F409&lt;&gt;"",$F409,"")</f>
        <v>Apprenant 397 ou 397'</v>
      </c>
      <c r="BG409" s="55" t="str">
        <f aca="false">IF(AND($AW409&lt;&gt;"",$AX409&lt;&gt;""),$AX409-$AW409,"")</f>
        <v/>
      </c>
      <c r="BH409" s="55" t="str">
        <f aca="false">IF(AND($AW409&lt;&gt;"",$AY409&lt;&gt;""),$AY409-$AW409,"")</f>
        <v/>
      </c>
      <c r="BI409" s="55" t="str">
        <f aca="false">IF(AND($AX409&lt;&gt;"",$AY409&lt;&gt;""),$AY409-$AX409,"")</f>
        <v/>
      </c>
      <c r="BJ409" s="53" t="str">
        <f aca="false">IF($J409&lt;&gt;"",$J409,"")</f>
        <v/>
      </c>
      <c r="BL409" s="52"/>
      <c r="BM409" s="52" t="str">
        <f aca="false">IF(OR(COUNT(B409:D1408)=0,AND('Choix pédagogiques'!$C$3&lt;&gt;1,'Choix pédagogiques'!$C$3&lt;&gt;2)),"",IF(AND(OR('Choix pédagogiques'!$C$3=1,'Choix pédagogiques'!$C$3=2),$B409&lt;&gt;"",$C409&lt;&gt;"",$D409&lt;&gt;""),1,0))</f>
        <v/>
      </c>
      <c r="BN409" s="52" t="str">
        <f aca="false">IF(OR(COUNT(G409:I1408)=0,AND('Choix pédagogiques'!$C$3&lt;&gt;1,'Choix pédagogiques'!$C$3&lt;&gt;2)),"",IF(AND(OR('Choix pédagogiques'!$C$3=1,'Choix pédagogiques'!$C$3=2),AND($G409&lt;&gt;"",$H409&lt;&gt;"",$I409&lt;&gt;"")),1,0))</f>
        <v/>
      </c>
      <c r="BO409" s="52" t="str">
        <f aca="false">IF(OR(COUNT(B409:D1408)=0,COUNT(G409:I1408)=0,'Choix pédagogiques'!C$3&lt;&gt;3),"",IF(AND('Choix pédagogiques'!$C$3=3,$B409&lt;&gt;"",$C409&lt;&gt;"",$D409&lt;&gt;"",$G409&lt;&gt;"",$H409&lt;&gt;"",$I409&lt;&gt;""),1,0))</f>
        <v/>
      </c>
      <c r="BR409" s="52" t="n">
        <v>457</v>
      </c>
      <c r="BS409" s="52" t="n">
        <v>1535</v>
      </c>
    </row>
    <row r="410" s="54" customFormat="true" ht="18" hidden="false" customHeight="true" outlineLevel="0" collapsed="false">
      <c r="A410" s="57" t="s">
        <v>751</v>
      </c>
      <c r="B410" s="51"/>
      <c r="C410" s="51"/>
      <c r="D410" s="51"/>
      <c r="E410" s="51"/>
      <c r="F410" s="57" t="s">
        <v>752</v>
      </c>
      <c r="G410" s="51"/>
      <c r="H410" s="51"/>
      <c r="I410" s="51"/>
      <c r="J410" s="51"/>
      <c r="K410" s="52" t="str">
        <f aca="false">IF($A410&lt;&gt;"",$A410,"")</f>
        <v>Apprenant 398</v>
      </c>
      <c r="L410" s="53" t="str">
        <f aca="false">IF(AND($B410&lt;&gt;"",$C410&lt;&gt;""),$C410-$B410,"")</f>
        <v/>
      </c>
      <c r="M410" s="53" t="str">
        <f aca="false">IF(AND($B410&lt;&gt;"",$D410&lt;&gt;""),$D410-$B410,"")</f>
        <v/>
      </c>
      <c r="N410" s="53" t="str">
        <f aca="false">IF(AND($C410&lt;&gt;"",$D410&lt;&gt;""),$D410-$C410,"")</f>
        <v/>
      </c>
      <c r="O410" s="53" t="str">
        <f aca="false">IF($E410&lt;&gt;"",$E410,"")</f>
        <v/>
      </c>
      <c r="P410" s="52" t="str">
        <f aca="false">IF($F410&lt;&gt;"",$F410,"")</f>
        <v>Apprenant 398 ou 398'</v>
      </c>
      <c r="Q410" s="53" t="str">
        <f aca="false">IF(AND($G410&lt;&gt;"",$H410&lt;&gt;""),$H410-$G410,"")</f>
        <v/>
      </c>
      <c r="R410" s="53" t="str">
        <f aca="false">IF(AND($G410&lt;&gt;"",$I410&lt;&gt;""),$I410-$G410,"")</f>
        <v/>
      </c>
      <c r="S410" s="53" t="str">
        <f aca="false">IF(AND($H410&lt;&gt;"",$I410&lt;&gt;""),$I410-$H410,"")</f>
        <v/>
      </c>
      <c r="T410" s="53" t="str">
        <f aca="false">IF($J410&lt;&gt;"",$J410,"")</f>
        <v/>
      </c>
      <c r="V410" s="52" t="str">
        <f aca="false">IF($A410&lt;&gt;"",$A410,"")</f>
        <v>Apprenant 398</v>
      </c>
      <c r="W410" s="53" t="str">
        <f aca="false">IF(AND(OR('Choix pédagogiques'!$C$3=1,'Choix pédagogiques'!$C$3=2),$BM410=1),B410,IF(AND('Choix pédagogiques'!$C$3=3,$BO410=1),B410,""))</f>
        <v/>
      </c>
      <c r="X410" s="53" t="str">
        <f aca="false">IF(AND(OR('Choix pédagogiques'!$C$3=1,'Choix pédagogiques'!$C$3=2),$BM410=1),C410,IF(AND('Choix pédagogiques'!$C$3=3,$BO410=1),C410,""))</f>
        <v/>
      </c>
      <c r="Y410" s="53" t="str">
        <f aca="false">IF(AND(OR('Choix pédagogiques'!$C$3=1,'Choix pédagogiques'!$C$3=2),$BM410=1),D410,IF(AND('Choix pédagogiques'!$C$3=3,$BO410=1),D410,""))</f>
        <v/>
      </c>
      <c r="Z410" s="53" t="str">
        <f aca="false">IF($E410&lt;&gt;"",$E410,"")</f>
        <v/>
      </c>
      <c r="AA410" s="52" t="str">
        <f aca="false">IF($F410&lt;&gt;"",$F410,"")</f>
        <v>Apprenant 398 ou 398'</v>
      </c>
      <c r="AB410" s="53" t="str">
        <f aca="false">IF(AND(OR('Choix pédagogiques'!$C$3=1,'Choix pédagogiques'!$C$3=2),$BN410=1),G410,IF(AND('Choix pédagogiques'!$C$3=3,$BO410=1),G410,""))</f>
        <v/>
      </c>
      <c r="AC410" s="53" t="str">
        <f aca="false">IF(AND(OR('Choix pédagogiques'!$C$3=1,'Choix pédagogiques'!$C$3=2),$BN410=1),H410,IF(AND('Choix pédagogiques'!$C$3=3,$BO410=1),H410,""))</f>
        <v/>
      </c>
      <c r="AD410" s="53" t="str">
        <f aca="false">IF(AND(OR('Choix pédagogiques'!$C$3=1,'Choix pédagogiques'!$C$3=2),$BN410=1),I410,IF(AND('Choix pédagogiques'!$C$3=3,$BO410=1),I410,""))</f>
        <v/>
      </c>
      <c r="AE410" s="53" t="str">
        <f aca="false">IF($J410&lt;&gt;"",$J410,"")</f>
        <v/>
      </c>
      <c r="AF410" s="52" t="str">
        <f aca="false">IF($A410&lt;&gt;"",$A410,"")</f>
        <v>Apprenant 398</v>
      </c>
      <c r="AG410" s="53" t="str">
        <f aca="false">IF(AND($W410&lt;&gt;"",$X410&lt;&gt;""),$X410-$W410,"")</f>
        <v/>
      </c>
      <c r="AH410" s="53" t="str">
        <f aca="false">IF(AND($W410&lt;&gt;"",$Y410&lt;&gt;""),$Y410-$W410,"")</f>
        <v/>
      </c>
      <c r="AI410" s="53" t="str">
        <f aca="false">IF(AND($X410&lt;&gt;"",$Y410&lt;&gt;""),$Y410-$X410,"")</f>
        <v/>
      </c>
      <c r="AJ410" s="53" t="str">
        <f aca="false">IF($E410&lt;&gt;"",$E410,"")</f>
        <v/>
      </c>
      <c r="AK410" s="52" t="str">
        <f aca="false">IF($F410&lt;&gt;"",$F410,"")</f>
        <v>Apprenant 398 ou 398'</v>
      </c>
      <c r="AL410" s="53" t="str">
        <f aca="false">IF(AND($AB410&lt;&gt;"",$AC410&lt;&gt;""),$AC410-$AB410,"")</f>
        <v/>
      </c>
      <c r="AM410" s="53" t="str">
        <f aca="false">IF(AND($AB410&lt;&gt;"",$AD410&lt;&gt;""),$AD410-$AB410,"")</f>
        <v/>
      </c>
      <c r="AN410" s="53" t="str">
        <f aca="false">IF(AND($AC410&lt;&gt;"",$AD410&lt;&gt;""),$AD410-$AC410,"")</f>
        <v/>
      </c>
      <c r="AO410" s="53" t="str">
        <f aca="false">IF($J410&lt;&gt;"",$J410,"")</f>
        <v/>
      </c>
      <c r="AQ410" s="52" t="str">
        <f aca="false">IF($A410&lt;&gt;"",$A410,"")</f>
        <v>Apprenant 398</v>
      </c>
      <c r="AR410" s="55" t="str">
        <f aca="false">IF(AND('Choix pédagogiques'!$C$4&lt;&gt;"?",'Choix pédagogiques'!$C$5&lt;&gt;"?",W410&lt;&gt;""),(W410-'Choix pédagogiques'!$C$4)/('Choix pédagogiques'!$C$5-'Choix pédagogiques'!$C$4),"")</f>
        <v/>
      </c>
      <c r="AS410" s="55" t="str">
        <f aca="false">IF(AND('Choix pédagogiques'!$C$4&lt;&gt;"?",'Choix pédagogiques'!$C$5&lt;&gt;"?",X410&lt;&gt;""),(X410-'Choix pédagogiques'!$C$4)/('Choix pédagogiques'!$C$5-'Choix pédagogiques'!$C$4),"")</f>
        <v/>
      </c>
      <c r="AT410" s="55" t="str">
        <f aca="false">IF(AND('Choix pédagogiques'!$C$4&lt;&gt;"?",'Choix pédagogiques'!$C$5&lt;&gt;"?",Y410&lt;&gt;""),(Y410-'Choix pédagogiques'!$C$4)/('Choix pédagogiques'!$C$5-'Choix pédagogiques'!$C$4),"")</f>
        <v/>
      </c>
      <c r="AU410" s="53" t="str">
        <f aca="false">IF($E410&lt;&gt;"",$E410,"")</f>
        <v/>
      </c>
      <c r="AV410" s="52" t="str">
        <f aca="false">IF($F410&lt;&gt;"",$F410,"")</f>
        <v>Apprenant 398 ou 398'</v>
      </c>
      <c r="AW410" s="55" t="str">
        <f aca="false">IF(AND('Choix pédagogiques'!$C$4&lt;&gt;"?",'Choix pédagogiques'!$C$5&lt;&gt;"?",AB410&lt;&gt;""),(AB410-'Choix pédagogiques'!$C$4)/('Choix pédagogiques'!$C$5-'Choix pédagogiques'!$C$4),"")</f>
        <v/>
      </c>
      <c r="AX410" s="55" t="str">
        <f aca="false">IF(AND('Choix pédagogiques'!$C$4&lt;&gt;"?",'Choix pédagogiques'!$C$5&lt;&gt;"?",AC410&lt;&gt;""),(AC410-'Choix pédagogiques'!$C$4)/('Choix pédagogiques'!$C$5-'Choix pédagogiques'!$C$4),"")</f>
        <v/>
      </c>
      <c r="AY410" s="55" t="str">
        <f aca="false">IF(AND('Choix pédagogiques'!$C$4&lt;&gt;"?",'Choix pédagogiques'!$C$5&lt;&gt;"?",AD410&lt;&gt;""),(AD410-'Choix pédagogiques'!$C$4)/('Choix pédagogiques'!$C$5-'Choix pédagogiques'!$C$4),"")</f>
        <v/>
      </c>
      <c r="AZ410" s="53" t="str">
        <f aca="false">IF($J410&lt;&gt;"",$J410,"")</f>
        <v/>
      </c>
      <c r="BA410" s="52" t="str">
        <f aca="false">IF($A410&lt;&gt;"",$A410,"")</f>
        <v>Apprenant 398</v>
      </c>
      <c r="BB410" s="55" t="str">
        <f aca="false">IF(AND($AR410&lt;&gt;"",$AS410&lt;&gt;""),$AS410-$AR410,"")</f>
        <v/>
      </c>
      <c r="BC410" s="55" t="str">
        <f aca="false">IF(AND($AR410&lt;&gt;"",$AT410&lt;&gt;""),$AT410-$AR410,"")</f>
        <v/>
      </c>
      <c r="BD410" s="55" t="str">
        <f aca="false">IF(AND($AS410&lt;&gt;"",$AT410&lt;&gt;""),$AT410-$AS410,"")</f>
        <v/>
      </c>
      <c r="BE410" s="53" t="str">
        <f aca="false">IF($E410&lt;&gt;"",$E410,"")</f>
        <v/>
      </c>
      <c r="BF410" s="52" t="str">
        <f aca="false">IF($F410&lt;&gt;"",$F410,"")</f>
        <v>Apprenant 398 ou 398'</v>
      </c>
      <c r="BG410" s="55" t="str">
        <f aca="false">IF(AND($AW410&lt;&gt;"",$AX410&lt;&gt;""),$AX410-$AW410,"")</f>
        <v/>
      </c>
      <c r="BH410" s="55" t="str">
        <f aca="false">IF(AND($AW410&lt;&gt;"",$AY410&lt;&gt;""),$AY410-$AW410,"")</f>
        <v/>
      </c>
      <c r="BI410" s="55" t="str">
        <f aca="false">IF(AND($AX410&lt;&gt;"",$AY410&lt;&gt;""),$AY410-$AX410,"")</f>
        <v/>
      </c>
      <c r="BJ410" s="53" t="str">
        <f aca="false">IF($J410&lt;&gt;"",$J410,"")</f>
        <v/>
      </c>
      <c r="BL410" s="52"/>
      <c r="BM410" s="52" t="str">
        <f aca="false">IF(OR(COUNT(B410:D1409)=0,AND('Choix pédagogiques'!$C$3&lt;&gt;1,'Choix pédagogiques'!$C$3&lt;&gt;2)),"",IF(AND(OR('Choix pédagogiques'!$C$3=1,'Choix pédagogiques'!$C$3=2),$B410&lt;&gt;"",$C410&lt;&gt;"",$D410&lt;&gt;""),1,0))</f>
        <v/>
      </c>
      <c r="BN410" s="52" t="str">
        <f aca="false">IF(OR(COUNT(G410:I1409)=0,AND('Choix pédagogiques'!$C$3&lt;&gt;1,'Choix pédagogiques'!$C$3&lt;&gt;2)),"",IF(AND(OR('Choix pédagogiques'!$C$3=1,'Choix pédagogiques'!$C$3=2),AND($G410&lt;&gt;"",$H410&lt;&gt;"",$I410&lt;&gt;"")),1,0))</f>
        <v/>
      </c>
      <c r="BO410" s="52" t="str">
        <f aca="false">IF(OR(COUNT(B410:D1409)=0,COUNT(G410:I1409)=0,'Choix pédagogiques'!C$3&lt;&gt;3),"",IF(AND('Choix pédagogiques'!$C$3=3,$B410&lt;&gt;"",$C410&lt;&gt;"",$D410&lt;&gt;"",$G410&lt;&gt;"",$H410&lt;&gt;"",$I410&lt;&gt;""),1,0))</f>
        <v/>
      </c>
      <c r="BR410" s="52" t="n">
        <v>435</v>
      </c>
      <c r="BS410" s="52" t="n">
        <v>1054</v>
      </c>
    </row>
    <row r="411" s="54" customFormat="true" ht="18" hidden="false" customHeight="true" outlineLevel="0" collapsed="false">
      <c r="A411" s="57" t="s">
        <v>753</v>
      </c>
      <c r="B411" s="51"/>
      <c r="C411" s="51"/>
      <c r="D411" s="51"/>
      <c r="E411" s="51"/>
      <c r="F411" s="57" t="s">
        <v>754</v>
      </c>
      <c r="G411" s="51"/>
      <c r="H411" s="51"/>
      <c r="I411" s="51"/>
      <c r="J411" s="51"/>
      <c r="K411" s="52" t="str">
        <f aca="false">IF($A411&lt;&gt;"",$A411,"")</f>
        <v>Apprenant 399</v>
      </c>
      <c r="L411" s="53" t="str">
        <f aca="false">IF(AND($B411&lt;&gt;"",$C411&lt;&gt;""),$C411-$B411,"")</f>
        <v/>
      </c>
      <c r="M411" s="53" t="str">
        <f aca="false">IF(AND($B411&lt;&gt;"",$D411&lt;&gt;""),$D411-$B411,"")</f>
        <v/>
      </c>
      <c r="N411" s="53" t="str">
        <f aca="false">IF(AND($C411&lt;&gt;"",$D411&lt;&gt;""),$D411-$C411,"")</f>
        <v/>
      </c>
      <c r="O411" s="53" t="str">
        <f aca="false">IF($E411&lt;&gt;"",$E411,"")</f>
        <v/>
      </c>
      <c r="P411" s="52" t="str">
        <f aca="false">IF($F411&lt;&gt;"",$F411,"")</f>
        <v>Apprenant 399 ou 399'</v>
      </c>
      <c r="Q411" s="53" t="str">
        <f aca="false">IF(AND($G411&lt;&gt;"",$H411&lt;&gt;""),$H411-$G411,"")</f>
        <v/>
      </c>
      <c r="R411" s="53" t="str">
        <f aca="false">IF(AND($G411&lt;&gt;"",$I411&lt;&gt;""),$I411-$G411,"")</f>
        <v/>
      </c>
      <c r="S411" s="53" t="str">
        <f aca="false">IF(AND($H411&lt;&gt;"",$I411&lt;&gt;""),$I411-$H411,"")</f>
        <v/>
      </c>
      <c r="T411" s="53" t="str">
        <f aca="false">IF($J411&lt;&gt;"",$J411,"")</f>
        <v/>
      </c>
      <c r="V411" s="52" t="str">
        <f aca="false">IF($A411&lt;&gt;"",$A411,"")</f>
        <v>Apprenant 399</v>
      </c>
      <c r="W411" s="53" t="str">
        <f aca="false">IF(AND(OR('Choix pédagogiques'!$C$3=1,'Choix pédagogiques'!$C$3=2),$BM411=1),B411,IF(AND('Choix pédagogiques'!$C$3=3,$BO411=1),B411,""))</f>
        <v/>
      </c>
      <c r="X411" s="53" t="str">
        <f aca="false">IF(AND(OR('Choix pédagogiques'!$C$3=1,'Choix pédagogiques'!$C$3=2),$BM411=1),C411,IF(AND('Choix pédagogiques'!$C$3=3,$BO411=1),C411,""))</f>
        <v/>
      </c>
      <c r="Y411" s="53" t="str">
        <f aca="false">IF(AND(OR('Choix pédagogiques'!$C$3=1,'Choix pédagogiques'!$C$3=2),$BM411=1),D411,IF(AND('Choix pédagogiques'!$C$3=3,$BO411=1),D411,""))</f>
        <v/>
      </c>
      <c r="Z411" s="53" t="str">
        <f aca="false">IF($E411&lt;&gt;"",$E411,"")</f>
        <v/>
      </c>
      <c r="AA411" s="52" t="str">
        <f aca="false">IF($F411&lt;&gt;"",$F411,"")</f>
        <v>Apprenant 399 ou 399'</v>
      </c>
      <c r="AB411" s="53" t="str">
        <f aca="false">IF(AND(OR('Choix pédagogiques'!$C$3=1,'Choix pédagogiques'!$C$3=2),$BN411=1),G411,IF(AND('Choix pédagogiques'!$C$3=3,$BO411=1),G411,""))</f>
        <v/>
      </c>
      <c r="AC411" s="53" t="str">
        <f aca="false">IF(AND(OR('Choix pédagogiques'!$C$3=1,'Choix pédagogiques'!$C$3=2),$BN411=1),H411,IF(AND('Choix pédagogiques'!$C$3=3,$BO411=1),H411,""))</f>
        <v/>
      </c>
      <c r="AD411" s="53" t="str">
        <f aca="false">IF(AND(OR('Choix pédagogiques'!$C$3=1,'Choix pédagogiques'!$C$3=2),$BN411=1),I411,IF(AND('Choix pédagogiques'!$C$3=3,$BO411=1),I411,""))</f>
        <v/>
      </c>
      <c r="AE411" s="53" t="str">
        <f aca="false">IF($J411&lt;&gt;"",$J411,"")</f>
        <v/>
      </c>
      <c r="AF411" s="52" t="str">
        <f aca="false">IF($A411&lt;&gt;"",$A411,"")</f>
        <v>Apprenant 399</v>
      </c>
      <c r="AG411" s="53" t="str">
        <f aca="false">IF(AND($W411&lt;&gt;"",$X411&lt;&gt;""),$X411-$W411,"")</f>
        <v/>
      </c>
      <c r="AH411" s="53" t="str">
        <f aca="false">IF(AND($W411&lt;&gt;"",$Y411&lt;&gt;""),$Y411-$W411,"")</f>
        <v/>
      </c>
      <c r="AI411" s="53" t="str">
        <f aca="false">IF(AND($X411&lt;&gt;"",$Y411&lt;&gt;""),$Y411-$X411,"")</f>
        <v/>
      </c>
      <c r="AJ411" s="53" t="str">
        <f aca="false">IF($E411&lt;&gt;"",$E411,"")</f>
        <v/>
      </c>
      <c r="AK411" s="52" t="str">
        <f aca="false">IF($F411&lt;&gt;"",$F411,"")</f>
        <v>Apprenant 399 ou 399'</v>
      </c>
      <c r="AL411" s="53" t="str">
        <f aca="false">IF(AND($AB411&lt;&gt;"",$AC411&lt;&gt;""),$AC411-$AB411,"")</f>
        <v/>
      </c>
      <c r="AM411" s="53" t="str">
        <f aca="false">IF(AND($AB411&lt;&gt;"",$AD411&lt;&gt;""),$AD411-$AB411,"")</f>
        <v/>
      </c>
      <c r="AN411" s="53" t="str">
        <f aca="false">IF(AND($AC411&lt;&gt;"",$AD411&lt;&gt;""),$AD411-$AC411,"")</f>
        <v/>
      </c>
      <c r="AO411" s="53" t="str">
        <f aca="false">IF($J411&lt;&gt;"",$J411,"")</f>
        <v/>
      </c>
      <c r="AQ411" s="52" t="str">
        <f aca="false">IF($A411&lt;&gt;"",$A411,"")</f>
        <v>Apprenant 399</v>
      </c>
      <c r="AR411" s="55" t="str">
        <f aca="false">IF(AND('Choix pédagogiques'!$C$4&lt;&gt;"?",'Choix pédagogiques'!$C$5&lt;&gt;"?",W411&lt;&gt;""),(W411-'Choix pédagogiques'!$C$4)/('Choix pédagogiques'!$C$5-'Choix pédagogiques'!$C$4),"")</f>
        <v/>
      </c>
      <c r="AS411" s="55" t="str">
        <f aca="false">IF(AND('Choix pédagogiques'!$C$4&lt;&gt;"?",'Choix pédagogiques'!$C$5&lt;&gt;"?",X411&lt;&gt;""),(X411-'Choix pédagogiques'!$C$4)/('Choix pédagogiques'!$C$5-'Choix pédagogiques'!$C$4),"")</f>
        <v/>
      </c>
      <c r="AT411" s="55" t="str">
        <f aca="false">IF(AND('Choix pédagogiques'!$C$4&lt;&gt;"?",'Choix pédagogiques'!$C$5&lt;&gt;"?",Y411&lt;&gt;""),(Y411-'Choix pédagogiques'!$C$4)/('Choix pédagogiques'!$C$5-'Choix pédagogiques'!$C$4),"")</f>
        <v/>
      </c>
      <c r="AU411" s="53" t="str">
        <f aca="false">IF($E411&lt;&gt;"",$E411,"")</f>
        <v/>
      </c>
      <c r="AV411" s="52" t="str">
        <f aca="false">IF($F411&lt;&gt;"",$F411,"")</f>
        <v>Apprenant 399 ou 399'</v>
      </c>
      <c r="AW411" s="55" t="str">
        <f aca="false">IF(AND('Choix pédagogiques'!$C$4&lt;&gt;"?",'Choix pédagogiques'!$C$5&lt;&gt;"?",AB411&lt;&gt;""),(AB411-'Choix pédagogiques'!$C$4)/('Choix pédagogiques'!$C$5-'Choix pédagogiques'!$C$4),"")</f>
        <v/>
      </c>
      <c r="AX411" s="55" t="str">
        <f aca="false">IF(AND('Choix pédagogiques'!$C$4&lt;&gt;"?",'Choix pédagogiques'!$C$5&lt;&gt;"?",AC411&lt;&gt;""),(AC411-'Choix pédagogiques'!$C$4)/('Choix pédagogiques'!$C$5-'Choix pédagogiques'!$C$4),"")</f>
        <v/>
      </c>
      <c r="AY411" s="55" t="str">
        <f aca="false">IF(AND('Choix pédagogiques'!$C$4&lt;&gt;"?",'Choix pédagogiques'!$C$5&lt;&gt;"?",AD411&lt;&gt;""),(AD411-'Choix pédagogiques'!$C$4)/('Choix pédagogiques'!$C$5-'Choix pédagogiques'!$C$4),"")</f>
        <v/>
      </c>
      <c r="AZ411" s="53" t="str">
        <f aca="false">IF($J411&lt;&gt;"",$J411,"")</f>
        <v/>
      </c>
      <c r="BA411" s="52" t="str">
        <f aca="false">IF($A411&lt;&gt;"",$A411,"")</f>
        <v>Apprenant 399</v>
      </c>
      <c r="BB411" s="55" t="str">
        <f aca="false">IF(AND($AR411&lt;&gt;"",$AS411&lt;&gt;""),$AS411-$AR411,"")</f>
        <v/>
      </c>
      <c r="BC411" s="55" t="str">
        <f aca="false">IF(AND($AR411&lt;&gt;"",$AT411&lt;&gt;""),$AT411-$AR411,"")</f>
        <v/>
      </c>
      <c r="BD411" s="55" t="str">
        <f aca="false">IF(AND($AS411&lt;&gt;"",$AT411&lt;&gt;""),$AT411-$AS411,"")</f>
        <v/>
      </c>
      <c r="BE411" s="53" t="str">
        <f aca="false">IF($E411&lt;&gt;"",$E411,"")</f>
        <v/>
      </c>
      <c r="BF411" s="52" t="str">
        <f aca="false">IF($F411&lt;&gt;"",$F411,"")</f>
        <v>Apprenant 399 ou 399'</v>
      </c>
      <c r="BG411" s="55" t="str">
        <f aca="false">IF(AND($AW411&lt;&gt;"",$AX411&lt;&gt;""),$AX411-$AW411,"")</f>
        <v/>
      </c>
      <c r="BH411" s="55" t="str">
        <f aca="false">IF(AND($AW411&lt;&gt;"",$AY411&lt;&gt;""),$AY411-$AW411,"")</f>
        <v/>
      </c>
      <c r="BI411" s="55" t="str">
        <f aca="false">IF(AND($AX411&lt;&gt;"",$AY411&lt;&gt;""),$AY411-$AX411,"")</f>
        <v/>
      </c>
      <c r="BJ411" s="53" t="str">
        <f aca="false">IF($J411&lt;&gt;"",$J411,"")</f>
        <v/>
      </c>
      <c r="BL411" s="52"/>
      <c r="BM411" s="52" t="str">
        <f aca="false">IF(OR(COUNT(B411:D1410)=0,AND('Choix pédagogiques'!$C$3&lt;&gt;1,'Choix pédagogiques'!$C$3&lt;&gt;2)),"",IF(AND(OR('Choix pédagogiques'!$C$3=1,'Choix pédagogiques'!$C$3=2),$B411&lt;&gt;"",$C411&lt;&gt;"",$D411&lt;&gt;""),1,0))</f>
        <v/>
      </c>
      <c r="BN411" s="52" t="str">
        <f aca="false">IF(OR(COUNT(G411:I1410)=0,AND('Choix pédagogiques'!$C$3&lt;&gt;1,'Choix pédagogiques'!$C$3&lt;&gt;2)),"",IF(AND(OR('Choix pédagogiques'!$C$3=1,'Choix pédagogiques'!$C$3=2),AND($G411&lt;&gt;"",$H411&lt;&gt;"",$I411&lt;&gt;"")),1,0))</f>
        <v/>
      </c>
      <c r="BO411" s="52" t="str">
        <f aca="false">IF(OR(COUNT(B411:D1410)=0,COUNT(G411:I1410)=0,'Choix pédagogiques'!C$3&lt;&gt;3),"",IF(AND('Choix pédagogiques'!$C$3=3,$B411&lt;&gt;"",$C411&lt;&gt;"",$D411&lt;&gt;"",$G411&lt;&gt;"",$H411&lt;&gt;"",$I411&lt;&gt;""),1,0))</f>
        <v/>
      </c>
      <c r="BR411" s="52" t="n">
        <v>545</v>
      </c>
      <c r="BS411" s="52" t="n">
        <v>1978</v>
      </c>
    </row>
    <row r="412" s="54" customFormat="true" ht="18" hidden="false" customHeight="true" outlineLevel="0" collapsed="false">
      <c r="A412" s="57" t="s">
        <v>755</v>
      </c>
      <c r="B412" s="51"/>
      <c r="C412" s="51"/>
      <c r="D412" s="51"/>
      <c r="E412" s="51"/>
      <c r="F412" s="57" t="s">
        <v>756</v>
      </c>
      <c r="G412" s="51"/>
      <c r="H412" s="51"/>
      <c r="I412" s="51"/>
      <c r="J412" s="51"/>
      <c r="K412" s="52" t="str">
        <f aca="false">IF($A412&lt;&gt;"",$A412,"")</f>
        <v>Apprenant 400</v>
      </c>
      <c r="L412" s="53" t="str">
        <f aca="false">IF(AND($B412&lt;&gt;"",$C412&lt;&gt;""),$C412-$B412,"")</f>
        <v/>
      </c>
      <c r="M412" s="53" t="str">
        <f aca="false">IF(AND($B412&lt;&gt;"",$D412&lt;&gt;""),$D412-$B412,"")</f>
        <v/>
      </c>
      <c r="N412" s="53" t="str">
        <f aca="false">IF(AND($C412&lt;&gt;"",$D412&lt;&gt;""),$D412-$C412,"")</f>
        <v/>
      </c>
      <c r="O412" s="53" t="str">
        <f aca="false">IF($E412&lt;&gt;"",$E412,"")</f>
        <v/>
      </c>
      <c r="P412" s="52" t="str">
        <f aca="false">IF($F412&lt;&gt;"",$F412,"")</f>
        <v>Apprenant 400 ou 400'</v>
      </c>
      <c r="Q412" s="53" t="str">
        <f aca="false">IF(AND($G412&lt;&gt;"",$H412&lt;&gt;""),$H412-$G412,"")</f>
        <v/>
      </c>
      <c r="R412" s="53" t="str">
        <f aca="false">IF(AND($G412&lt;&gt;"",$I412&lt;&gt;""),$I412-$G412,"")</f>
        <v/>
      </c>
      <c r="S412" s="53" t="str">
        <f aca="false">IF(AND($H412&lt;&gt;"",$I412&lt;&gt;""),$I412-$H412,"")</f>
        <v/>
      </c>
      <c r="T412" s="53" t="str">
        <f aca="false">IF($J412&lt;&gt;"",$J412,"")</f>
        <v/>
      </c>
      <c r="V412" s="52" t="str">
        <f aca="false">IF($A412&lt;&gt;"",$A412,"")</f>
        <v>Apprenant 400</v>
      </c>
      <c r="W412" s="53" t="str">
        <f aca="false">IF(AND(OR('Choix pédagogiques'!$C$3=1,'Choix pédagogiques'!$C$3=2),$BM412=1),B412,IF(AND('Choix pédagogiques'!$C$3=3,$BO412=1),B412,""))</f>
        <v/>
      </c>
      <c r="X412" s="53" t="str">
        <f aca="false">IF(AND(OR('Choix pédagogiques'!$C$3=1,'Choix pédagogiques'!$C$3=2),$BM412=1),C412,IF(AND('Choix pédagogiques'!$C$3=3,$BO412=1),C412,""))</f>
        <v/>
      </c>
      <c r="Y412" s="53" t="str">
        <f aca="false">IF(AND(OR('Choix pédagogiques'!$C$3=1,'Choix pédagogiques'!$C$3=2),$BM412=1),D412,IF(AND('Choix pédagogiques'!$C$3=3,$BO412=1),D412,""))</f>
        <v/>
      </c>
      <c r="Z412" s="53" t="str">
        <f aca="false">IF($E412&lt;&gt;"",$E412,"")</f>
        <v/>
      </c>
      <c r="AA412" s="52" t="str">
        <f aca="false">IF($F412&lt;&gt;"",$F412,"")</f>
        <v>Apprenant 400 ou 400'</v>
      </c>
      <c r="AB412" s="53" t="str">
        <f aca="false">IF(AND(OR('Choix pédagogiques'!$C$3=1,'Choix pédagogiques'!$C$3=2),$BN412=1),G412,IF(AND('Choix pédagogiques'!$C$3=3,$BO412=1),G412,""))</f>
        <v/>
      </c>
      <c r="AC412" s="53" t="str">
        <f aca="false">IF(AND(OR('Choix pédagogiques'!$C$3=1,'Choix pédagogiques'!$C$3=2),$BN412=1),H412,IF(AND('Choix pédagogiques'!$C$3=3,$BO412=1),H412,""))</f>
        <v/>
      </c>
      <c r="AD412" s="53" t="str">
        <f aca="false">IF(AND(OR('Choix pédagogiques'!$C$3=1,'Choix pédagogiques'!$C$3=2),$BN412=1),I412,IF(AND('Choix pédagogiques'!$C$3=3,$BO412=1),I412,""))</f>
        <v/>
      </c>
      <c r="AE412" s="53" t="str">
        <f aca="false">IF($J412&lt;&gt;"",$J412,"")</f>
        <v/>
      </c>
      <c r="AF412" s="52" t="str">
        <f aca="false">IF($A412&lt;&gt;"",$A412,"")</f>
        <v>Apprenant 400</v>
      </c>
      <c r="AG412" s="53" t="str">
        <f aca="false">IF(AND($W412&lt;&gt;"",$X412&lt;&gt;""),$X412-$W412,"")</f>
        <v/>
      </c>
      <c r="AH412" s="53" t="str">
        <f aca="false">IF(AND($W412&lt;&gt;"",$Y412&lt;&gt;""),$Y412-$W412,"")</f>
        <v/>
      </c>
      <c r="AI412" s="53" t="str">
        <f aca="false">IF(AND($X412&lt;&gt;"",$Y412&lt;&gt;""),$Y412-$X412,"")</f>
        <v/>
      </c>
      <c r="AJ412" s="53" t="str">
        <f aca="false">IF($E412&lt;&gt;"",$E412,"")</f>
        <v/>
      </c>
      <c r="AK412" s="52" t="str">
        <f aca="false">IF($F412&lt;&gt;"",$F412,"")</f>
        <v>Apprenant 400 ou 400'</v>
      </c>
      <c r="AL412" s="53" t="str">
        <f aca="false">IF(AND($AB412&lt;&gt;"",$AC412&lt;&gt;""),$AC412-$AB412,"")</f>
        <v/>
      </c>
      <c r="AM412" s="53" t="str">
        <f aca="false">IF(AND($AB412&lt;&gt;"",$AD412&lt;&gt;""),$AD412-$AB412,"")</f>
        <v/>
      </c>
      <c r="AN412" s="53" t="str">
        <f aca="false">IF(AND($AC412&lt;&gt;"",$AD412&lt;&gt;""),$AD412-$AC412,"")</f>
        <v/>
      </c>
      <c r="AO412" s="53" t="str">
        <f aca="false">IF($J412&lt;&gt;"",$J412,"")</f>
        <v/>
      </c>
      <c r="AQ412" s="52" t="str">
        <f aca="false">IF($A412&lt;&gt;"",$A412,"")</f>
        <v>Apprenant 400</v>
      </c>
      <c r="AR412" s="55" t="str">
        <f aca="false">IF(AND('Choix pédagogiques'!$C$4&lt;&gt;"?",'Choix pédagogiques'!$C$5&lt;&gt;"?",W412&lt;&gt;""),(W412-'Choix pédagogiques'!$C$4)/('Choix pédagogiques'!$C$5-'Choix pédagogiques'!$C$4),"")</f>
        <v/>
      </c>
      <c r="AS412" s="55" t="str">
        <f aca="false">IF(AND('Choix pédagogiques'!$C$4&lt;&gt;"?",'Choix pédagogiques'!$C$5&lt;&gt;"?",X412&lt;&gt;""),(X412-'Choix pédagogiques'!$C$4)/('Choix pédagogiques'!$C$5-'Choix pédagogiques'!$C$4),"")</f>
        <v/>
      </c>
      <c r="AT412" s="55" t="str">
        <f aca="false">IF(AND('Choix pédagogiques'!$C$4&lt;&gt;"?",'Choix pédagogiques'!$C$5&lt;&gt;"?",Y412&lt;&gt;""),(Y412-'Choix pédagogiques'!$C$4)/('Choix pédagogiques'!$C$5-'Choix pédagogiques'!$C$4),"")</f>
        <v/>
      </c>
      <c r="AU412" s="53" t="str">
        <f aca="false">IF($E412&lt;&gt;"",$E412,"")</f>
        <v/>
      </c>
      <c r="AV412" s="52" t="str">
        <f aca="false">IF($F412&lt;&gt;"",$F412,"")</f>
        <v>Apprenant 400 ou 400'</v>
      </c>
      <c r="AW412" s="55" t="str">
        <f aca="false">IF(AND('Choix pédagogiques'!$C$4&lt;&gt;"?",'Choix pédagogiques'!$C$5&lt;&gt;"?",AB412&lt;&gt;""),(AB412-'Choix pédagogiques'!$C$4)/('Choix pédagogiques'!$C$5-'Choix pédagogiques'!$C$4),"")</f>
        <v/>
      </c>
      <c r="AX412" s="55" t="str">
        <f aca="false">IF(AND('Choix pédagogiques'!$C$4&lt;&gt;"?",'Choix pédagogiques'!$C$5&lt;&gt;"?",AC412&lt;&gt;""),(AC412-'Choix pédagogiques'!$C$4)/('Choix pédagogiques'!$C$5-'Choix pédagogiques'!$C$4),"")</f>
        <v/>
      </c>
      <c r="AY412" s="55" t="str">
        <f aca="false">IF(AND('Choix pédagogiques'!$C$4&lt;&gt;"?",'Choix pédagogiques'!$C$5&lt;&gt;"?",AD412&lt;&gt;""),(AD412-'Choix pédagogiques'!$C$4)/('Choix pédagogiques'!$C$5-'Choix pédagogiques'!$C$4),"")</f>
        <v/>
      </c>
      <c r="AZ412" s="53" t="str">
        <f aca="false">IF($J412&lt;&gt;"",$J412,"")</f>
        <v/>
      </c>
      <c r="BA412" s="52" t="str">
        <f aca="false">IF($A412&lt;&gt;"",$A412,"")</f>
        <v>Apprenant 400</v>
      </c>
      <c r="BB412" s="55" t="str">
        <f aca="false">IF(AND($AR412&lt;&gt;"",$AS412&lt;&gt;""),$AS412-$AR412,"")</f>
        <v/>
      </c>
      <c r="BC412" s="55" t="str">
        <f aca="false">IF(AND($AR412&lt;&gt;"",$AT412&lt;&gt;""),$AT412-$AR412,"")</f>
        <v/>
      </c>
      <c r="BD412" s="55" t="str">
        <f aca="false">IF(AND($AS412&lt;&gt;"",$AT412&lt;&gt;""),$AT412-$AS412,"")</f>
        <v/>
      </c>
      <c r="BE412" s="53" t="str">
        <f aca="false">IF($E412&lt;&gt;"",$E412,"")</f>
        <v/>
      </c>
      <c r="BF412" s="52" t="str">
        <f aca="false">IF($F412&lt;&gt;"",$F412,"")</f>
        <v>Apprenant 400 ou 400'</v>
      </c>
      <c r="BG412" s="55" t="str">
        <f aca="false">IF(AND($AW412&lt;&gt;"",$AX412&lt;&gt;""),$AX412-$AW412,"")</f>
        <v/>
      </c>
      <c r="BH412" s="55" t="str">
        <f aca="false">IF(AND($AW412&lt;&gt;"",$AY412&lt;&gt;""),$AY412-$AW412,"")</f>
        <v/>
      </c>
      <c r="BI412" s="55" t="str">
        <f aca="false">IF(AND($AX412&lt;&gt;"",$AY412&lt;&gt;""),$AY412-$AX412,"")</f>
        <v/>
      </c>
      <c r="BJ412" s="53" t="str">
        <f aca="false">IF($J412&lt;&gt;"",$J412,"")</f>
        <v/>
      </c>
      <c r="BL412" s="52"/>
      <c r="BM412" s="52" t="str">
        <f aca="false">IF(OR(COUNT(B412:D1411)=0,AND('Choix pédagogiques'!$C$3&lt;&gt;1,'Choix pédagogiques'!$C$3&lt;&gt;2)),"",IF(AND(OR('Choix pédagogiques'!$C$3=1,'Choix pédagogiques'!$C$3=2),$B412&lt;&gt;"",$C412&lt;&gt;"",$D412&lt;&gt;""),1,0))</f>
        <v/>
      </c>
      <c r="BN412" s="52" t="str">
        <f aca="false">IF(OR(COUNT(G412:I1411)=0,AND('Choix pédagogiques'!$C$3&lt;&gt;1,'Choix pédagogiques'!$C$3&lt;&gt;2)),"",IF(AND(OR('Choix pédagogiques'!$C$3=1,'Choix pédagogiques'!$C$3=2),AND($G412&lt;&gt;"",$H412&lt;&gt;"",$I412&lt;&gt;"")),1,0))</f>
        <v/>
      </c>
      <c r="BO412" s="52" t="str">
        <f aca="false">IF(OR(COUNT(B412:D1411)=0,COUNT(G412:I1411)=0,'Choix pédagogiques'!C$3&lt;&gt;3),"",IF(AND('Choix pédagogiques'!$C$3=3,$B412&lt;&gt;"",$C412&lt;&gt;"",$D412&lt;&gt;"",$G412&lt;&gt;"",$H412&lt;&gt;"",$I412&lt;&gt;""),1,0))</f>
        <v/>
      </c>
      <c r="BR412" s="52" t="n">
        <v>772</v>
      </c>
      <c r="BS412" s="52" t="n">
        <v>1086</v>
      </c>
    </row>
    <row r="413" s="54" customFormat="true" ht="18" hidden="false" customHeight="true" outlineLevel="0" collapsed="false">
      <c r="A413" s="57" t="s">
        <v>757</v>
      </c>
      <c r="B413" s="51"/>
      <c r="C413" s="51"/>
      <c r="D413" s="51"/>
      <c r="E413" s="51"/>
      <c r="F413" s="57" t="s">
        <v>758</v>
      </c>
      <c r="G413" s="51"/>
      <c r="H413" s="51"/>
      <c r="I413" s="51"/>
      <c r="J413" s="51"/>
      <c r="K413" s="52" t="str">
        <f aca="false">IF($A413&lt;&gt;"",$A413,"")</f>
        <v>Apprenant 401</v>
      </c>
      <c r="L413" s="53" t="str">
        <f aca="false">IF(AND($B413&lt;&gt;"",$C413&lt;&gt;""),$C413-$B413,"")</f>
        <v/>
      </c>
      <c r="M413" s="53" t="str">
        <f aca="false">IF(AND($B413&lt;&gt;"",$D413&lt;&gt;""),$D413-$B413,"")</f>
        <v/>
      </c>
      <c r="N413" s="53" t="str">
        <f aca="false">IF(AND($C413&lt;&gt;"",$D413&lt;&gt;""),$D413-$C413,"")</f>
        <v/>
      </c>
      <c r="O413" s="53" t="str">
        <f aca="false">IF($E413&lt;&gt;"",$E413,"")</f>
        <v/>
      </c>
      <c r="P413" s="52" t="str">
        <f aca="false">IF($F413&lt;&gt;"",$F413,"")</f>
        <v>Apprenant 401 ou 401'</v>
      </c>
      <c r="Q413" s="53" t="str">
        <f aca="false">IF(AND($G413&lt;&gt;"",$H413&lt;&gt;""),$H413-$G413,"")</f>
        <v/>
      </c>
      <c r="R413" s="53" t="str">
        <f aca="false">IF(AND($G413&lt;&gt;"",$I413&lt;&gt;""),$I413-$G413,"")</f>
        <v/>
      </c>
      <c r="S413" s="53" t="str">
        <f aca="false">IF(AND($H413&lt;&gt;"",$I413&lt;&gt;""),$I413-$H413,"")</f>
        <v/>
      </c>
      <c r="T413" s="53" t="str">
        <f aca="false">IF($J413&lt;&gt;"",$J413,"")</f>
        <v/>
      </c>
      <c r="V413" s="52" t="str">
        <f aca="false">IF($A413&lt;&gt;"",$A413,"")</f>
        <v>Apprenant 401</v>
      </c>
      <c r="W413" s="53" t="str">
        <f aca="false">IF(AND(OR('Choix pédagogiques'!$C$3=1,'Choix pédagogiques'!$C$3=2),$BM413=1),B413,IF(AND('Choix pédagogiques'!$C$3=3,$BO413=1),B413,""))</f>
        <v/>
      </c>
      <c r="X413" s="53" t="str">
        <f aca="false">IF(AND(OR('Choix pédagogiques'!$C$3=1,'Choix pédagogiques'!$C$3=2),$BM413=1),C413,IF(AND('Choix pédagogiques'!$C$3=3,$BO413=1),C413,""))</f>
        <v/>
      </c>
      <c r="Y413" s="53" t="str">
        <f aca="false">IF(AND(OR('Choix pédagogiques'!$C$3=1,'Choix pédagogiques'!$C$3=2),$BM413=1),D413,IF(AND('Choix pédagogiques'!$C$3=3,$BO413=1),D413,""))</f>
        <v/>
      </c>
      <c r="Z413" s="53" t="str">
        <f aca="false">IF($E413&lt;&gt;"",$E413,"")</f>
        <v/>
      </c>
      <c r="AA413" s="52" t="str">
        <f aca="false">IF($F413&lt;&gt;"",$F413,"")</f>
        <v>Apprenant 401 ou 401'</v>
      </c>
      <c r="AB413" s="53" t="str">
        <f aca="false">IF(AND(OR('Choix pédagogiques'!$C$3=1,'Choix pédagogiques'!$C$3=2),$BN413=1),G413,IF(AND('Choix pédagogiques'!$C$3=3,$BO413=1),G413,""))</f>
        <v/>
      </c>
      <c r="AC413" s="53" t="str">
        <f aca="false">IF(AND(OR('Choix pédagogiques'!$C$3=1,'Choix pédagogiques'!$C$3=2),$BN413=1),H413,IF(AND('Choix pédagogiques'!$C$3=3,$BO413=1),H413,""))</f>
        <v/>
      </c>
      <c r="AD413" s="53" t="str">
        <f aca="false">IF(AND(OR('Choix pédagogiques'!$C$3=1,'Choix pédagogiques'!$C$3=2),$BN413=1),I413,IF(AND('Choix pédagogiques'!$C$3=3,$BO413=1),I413,""))</f>
        <v/>
      </c>
      <c r="AE413" s="53" t="str">
        <f aca="false">IF($J413&lt;&gt;"",$J413,"")</f>
        <v/>
      </c>
      <c r="AF413" s="52" t="str">
        <f aca="false">IF($A413&lt;&gt;"",$A413,"")</f>
        <v>Apprenant 401</v>
      </c>
      <c r="AG413" s="53" t="str">
        <f aca="false">IF(AND($W413&lt;&gt;"",$X413&lt;&gt;""),$X413-$W413,"")</f>
        <v/>
      </c>
      <c r="AH413" s="53" t="str">
        <f aca="false">IF(AND($W413&lt;&gt;"",$Y413&lt;&gt;""),$Y413-$W413,"")</f>
        <v/>
      </c>
      <c r="AI413" s="53" t="str">
        <f aca="false">IF(AND($X413&lt;&gt;"",$Y413&lt;&gt;""),$Y413-$X413,"")</f>
        <v/>
      </c>
      <c r="AJ413" s="53" t="str">
        <f aca="false">IF($E413&lt;&gt;"",$E413,"")</f>
        <v/>
      </c>
      <c r="AK413" s="52" t="str">
        <f aca="false">IF($F413&lt;&gt;"",$F413,"")</f>
        <v>Apprenant 401 ou 401'</v>
      </c>
      <c r="AL413" s="53" t="str">
        <f aca="false">IF(AND($AB413&lt;&gt;"",$AC413&lt;&gt;""),$AC413-$AB413,"")</f>
        <v/>
      </c>
      <c r="AM413" s="53" t="str">
        <f aca="false">IF(AND($AB413&lt;&gt;"",$AD413&lt;&gt;""),$AD413-$AB413,"")</f>
        <v/>
      </c>
      <c r="AN413" s="53" t="str">
        <f aca="false">IF(AND($AC413&lt;&gt;"",$AD413&lt;&gt;""),$AD413-$AC413,"")</f>
        <v/>
      </c>
      <c r="AO413" s="53" t="str">
        <f aca="false">IF($J413&lt;&gt;"",$J413,"")</f>
        <v/>
      </c>
      <c r="AQ413" s="52" t="str">
        <f aca="false">IF($A413&lt;&gt;"",$A413,"")</f>
        <v>Apprenant 401</v>
      </c>
      <c r="AR413" s="55" t="str">
        <f aca="false">IF(AND('Choix pédagogiques'!$C$4&lt;&gt;"?",'Choix pédagogiques'!$C$5&lt;&gt;"?",W413&lt;&gt;""),(W413-'Choix pédagogiques'!$C$4)/('Choix pédagogiques'!$C$5-'Choix pédagogiques'!$C$4),"")</f>
        <v/>
      </c>
      <c r="AS413" s="55" t="str">
        <f aca="false">IF(AND('Choix pédagogiques'!$C$4&lt;&gt;"?",'Choix pédagogiques'!$C$5&lt;&gt;"?",X413&lt;&gt;""),(X413-'Choix pédagogiques'!$C$4)/('Choix pédagogiques'!$C$5-'Choix pédagogiques'!$C$4),"")</f>
        <v/>
      </c>
      <c r="AT413" s="55" t="str">
        <f aca="false">IF(AND('Choix pédagogiques'!$C$4&lt;&gt;"?",'Choix pédagogiques'!$C$5&lt;&gt;"?",Y413&lt;&gt;""),(Y413-'Choix pédagogiques'!$C$4)/('Choix pédagogiques'!$C$5-'Choix pédagogiques'!$C$4),"")</f>
        <v/>
      </c>
      <c r="AU413" s="53" t="str">
        <f aca="false">IF($E413&lt;&gt;"",$E413,"")</f>
        <v/>
      </c>
      <c r="AV413" s="52" t="str">
        <f aca="false">IF($F413&lt;&gt;"",$F413,"")</f>
        <v>Apprenant 401 ou 401'</v>
      </c>
      <c r="AW413" s="55" t="str">
        <f aca="false">IF(AND('Choix pédagogiques'!$C$4&lt;&gt;"?",'Choix pédagogiques'!$C$5&lt;&gt;"?",AB413&lt;&gt;""),(AB413-'Choix pédagogiques'!$C$4)/('Choix pédagogiques'!$C$5-'Choix pédagogiques'!$C$4),"")</f>
        <v/>
      </c>
      <c r="AX413" s="55" t="str">
        <f aca="false">IF(AND('Choix pédagogiques'!$C$4&lt;&gt;"?",'Choix pédagogiques'!$C$5&lt;&gt;"?",AC413&lt;&gt;""),(AC413-'Choix pédagogiques'!$C$4)/('Choix pédagogiques'!$C$5-'Choix pédagogiques'!$C$4),"")</f>
        <v/>
      </c>
      <c r="AY413" s="55" t="str">
        <f aca="false">IF(AND('Choix pédagogiques'!$C$4&lt;&gt;"?",'Choix pédagogiques'!$C$5&lt;&gt;"?",AD413&lt;&gt;""),(AD413-'Choix pédagogiques'!$C$4)/('Choix pédagogiques'!$C$5-'Choix pédagogiques'!$C$4),"")</f>
        <v/>
      </c>
      <c r="AZ413" s="53" t="str">
        <f aca="false">IF($J413&lt;&gt;"",$J413,"")</f>
        <v/>
      </c>
      <c r="BA413" s="52" t="str">
        <f aca="false">IF($A413&lt;&gt;"",$A413,"")</f>
        <v>Apprenant 401</v>
      </c>
      <c r="BB413" s="55" t="str">
        <f aca="false">IF(AND($AR413&lt;&gt;"",$AS413&lt;&gt;""),$AS413-$AR413,"")</f>
        <v/>
      </c>
      <c r="BC413" s="55" t="str">
        <f aca="false">IF(AND($AR413&lt;&gt;"",$AT413&lt;&gt;""),$AT413-$AR413,"")</f>
        <v/>
      </c>
      <c r="BD413" s="55" t="str">
        <f aca="false">IF(AND($AS413&lt;&gt;"",$AT413&lt;&gt;""),$AT413-$AS413,"")</f>
        <v/>
      </c>
      <c r="BE413" s="53" t="str">
        <f aca="false">IF($E413&lt;&gt;"",$E413,"")</f>
        <v/>
      </c>
      <c r="BF413" s="52" t="str">
        <f aca="false">IF($F413&lt;&gt;"",$F413,"")</f>
        <v>Apprenant 401 ou 401'</v>
      </c>
      <c r="BG413" s="55" t="str">
        <f aca="false">IF(AND($AW413&lt;&gt;"",$AX413&lt;&gt;""),$AX413-$AW413,"")</f>
        <v/>
      </c>
      <c r="BH413" s="55" t="str">
        <f aca="false">IF(AND($AW413&lt;&gt;"",$AY413&lt;&gt;""),$AY413-$AW413,"")</f>
        <v/>
      </c>
      <c r="BI413" s="55" t="str">
        <f aca="false">IF(AND($AX413&lt;&gt;"",$AY413&lt;&gt;""),$AY413-$AX413,"")</f>
        <v/>
      </c>
      <c r="BJ413" s="53" t="str">
        <f aca="false">IF($J413&lt;&gt;"",$J413,"")</f>
        <v/>
      </c>
      <c r="BL413" s="52"/>
      <c r="BM413" s="52" t="str">
        <f aca="false">IF(OR(COUNT(B413:D1412)=0,AND('Choix pédagogiques'!$C$3&lt;&gt;1,'Choix pédagogiques'!$C$3&lt;&gt;2)),"",IF(AND(OR('Choix pédagogiques'!$C$3=1,'Choix pédagogiques'!$C$3=2),$B413&lt;&gt;"",$C413&lt;&gt;"",$D413&lt;&gt;""),1,0))</f>
        <v/>
      </c>
      <c r="BN413" s="52" t="str">
        <f aca="false">IF(OR(COUNT(G413:I1412)=0,AND('Choix pédagogiques'!$C$3&lt;&gt;1,'Choix pédagogiques'!$C$3&lt;&gt;2)),"",IF(AND(OR('Choix pédagogiques'!$C$3=1,'Choix pédagogiques'!$C$3=2),AND($G413&lt;&gt;"",$H413&lt;&gt;"",$I413&lt;&gt;"")),1,0))</f>
        <v/>
      </c>
      <c r="BO413" s="52" t="str">
        <f aca="false">IF(OR(COUNT(B413:D1412)=0,COUNT(G413:I1412)=0,'Choix pédagogiques'!C$3&lt;&gt;3),"",IF(AND('Choix pédagogiques'!$C$3=3,$B413&lt;&gt;"",$C413&lt;&gt;"",$D413&lt;&gt;"",$G413&lt;&gt;"",$H413&lt;&gt;"",$I413&lt;&gt;""),1,0))</f>
        <v/>
      </c>
      <c r="BR413" s="52" t="n">
        <v>583</v>
      </c>
      <c r="BS413" s="52" t="n">
        <v>1998</v>
      </c>
    </row>
    <row r="414" s="54" customFormat="true" ht="18" hidden="false" customHeight="true" outlineLevel="0" collapsed="false">
      <c r="A414" s="57" t="s">
        <v>759</v>
      </c>
      <c r="B414" s="51"/>
      <c r="C414" s="51"/>
      <c r="D414" s="51"/>
      <c r="E414" s="51"/>
      <c r="F414" s="57" t="s">
        <v>760</v>
      </c>
      <c r="G414" s="51"/>
      <c r="H414" s="51"/>
      <c r="I414" s="51"/>
      <c r="J414" s="51"/>
      <c r="K414" s="52" t="str">
        <f aca="false">IF($A414&lt;&gt;"",$A414,"")</f>
        <v>Apprenant 402</v>
      </c>
      <c r="L414" s="53" t="str">
        <f aca="false">IF(AND($B414&lt;&gt;"",$C414&lt;&gt;""),$C414-$B414,"")</f>
        <v/>
      </c>
      <c r="M414" s="53" t="str">
        <f aca="false">IF(AND($B414&lt;&gt;"",$D414&lt;&gt;""),$D414-$B414,"")</f>
        <v/>
      </c>
      <c r="N414" s="53" t="str">
        <f aca="false">IF(AND($C414&lt;&gt;"",$D414&lt;&gt;""),$D414-$C414,"")</f>
        <v/>
      </c>
      <c r="O414" s="53" t="str">
        <f aca="false">IF($E414&lt;&gt;"",$E414,"")</f>
        <v/>
      </c>
      <c r="P414" s="52" t="str">
        <f aca="false">IF($F414&lt;&gt;"",$F414,"")</f>
        <v>Apprenant 402 ou 402'</v>
      </c>
      <c r="Q414" s="53" t="str">
        <f aca="false">IF(AND($G414&lt;&gt;"",$H414&lt;&gt;""),$H414-$G414,"")</f>
        <v/>
      </c>
      <c r="R414" s="53" t="str">
        <f aca="false">IF(AND($G414&lt;&gt;"",$I414&lt;&gt;""),$I414-$G414,"")</f>
        <v/>
      </c>
      <c r="S414" s="53" t="str">
        <f aca="false">IF(AND($H414&lt;&gt;"",$I414&lt;&gt;""),$I414-$H414,"")</f>
        <v/>
      </c>
      <c r="T414" s="53" t="str">
        <f aca="false">IF($J414&lt;&gt;"",$J414,"")</f>
        <v/>
      </c>
      <c r="V414" s="52" t="str">
        <f aca="false">IF($A414&lt;&gt;"",$A414,"")</f>
        <v>Apprenant 402</v>
      </c>
      <c r="W414" s="53" t="str">
        <f aca="false">IF(AND(OR('Choix pédagogiques'!$C$3=1,'Choix pédagogiques'!$C$3=2),$BM414=1),B414,IF(AND('Choix pédagogiques'!$C$3=3,$BO414=1),B414,""))</f>
        <v/>
      </c>
      <c r="X414" s="53" t="str">
        <f aca="false">IF(AND(OR('Choix pédagogiques'!$C$3=1,'Choix pédagogiques'!$C$3=2),$BM414=1),C414,IF(AND('Choix pédagogiques'!$C$3=3,$BO414=1),C414,""))</f>
        <v/>
      </c>
      <c r="Y414" s="53" t="str">
        <f aca="false">IF(AND(OR('Choix pédagogiques'!$C$3=1,'Choix pédagogiques'!$C$3=2),$BM414=1),D414,IF(AND('Choix pédagogiques'!$C$3=3,$BO414=1),D414,""))</f>
        <v/>
      </c>
      <c r="Z414" s="53" t="str">
        <f aca="false">IF($E414&lt;&gt;"",$E414,"")</f>
        <v/>
      </c>
      <c r="AA414" s="52" t="str">
        <f aca="false">IF($F414&lt;&gt;"",$F414,"")</f>
        <v>Apprenant 402 ou 402'</v>
      </c>
      <c r="AB414" s="53" t="str">
        <f aca="false">IF(AND(OR('Choix pédagogiques'!$C$3=1,'Choix pédagogiques'!$C$3=2),$BN414=1),G414,IF(AND('Choix pédagogiques'!$C$3=3,$BO414=1),G414,""))</f>
        <v/>
      </c>
      <c r="AC414" s="53" t="str">
        <f aca="false">IF(AND(OR('Choix pédagogiques'!$C$3=1,'Choix pédagogiques'!$C$3=2),$BN414=1),H414,IF(AND('Choix pédagogiques'!$C$3=3,$BO414=1),H414,""))</f>
        <v/>
      </c>
      <c r="AD414" s="53" t="str">
        <f aca="false">IF(AND(OR('Choix pédagogiques'!$C$3=1,'Choix pédagogiques'!$C$3=2),$BN414=1),I414,IF(AND('Choix pédagogiques'!$C$3=3,$BO414=1),I414,""))</f>
        <v/>
      </c>
      <c r="AE414" s="53" t="str">
        <f aca="false">IF($J414&lt;&gt;"",$J414,"")</f>
        <v/>
      </c>
      <c r="AF414" s="52" t="str">
        <f aca="false">IF($A414&lt;&gt;"",$A414,"")</f>
        <v>Apprenant 402</v>
      </c>
      <c r="AG414" s="53" t="str">
        <f aca="false">IF(AND($W414&lt;&gt;"",$X414&lt;&gt;""),$X414-$W414,"")</f>
        <v/>
      </c>
      <c r="AH414" s="53" t="str">
        <f aca="false">IF(AND($W414&lt;&gt;"",$Y414&lt;&gt;""),$Y414-$W414,"")</f>
        <v/>
      </c>
      <c r="AI414" s="53" t="str">
        <f aca="false">IF(AND($X414&lt;&gt;"",$Y414&lt;&gt;""),$Y414-$X414,"")</f>
        <v/>
      </c>
      <c r="AJ414" s="53" t="str">
        <f aca="false">IF($E414&lt;&gt;"",$E414,"")</f>
        <v/>
      </c>
      <c r="AK414" s="52" t="str">
        <f aca="false">IF($F414&lt;&gt;"",$F414,"")</f>
        <v>Apprenant 402 ou 402'</v>
      </c>
      <c r="AL414" s="53" t="str">
        <f aca="false">IF(AND($AB414&lt;&gt;"",$AC414&lt;&gt;""),$AC414-$AB414,"")</f>
        <v/>
      </c>
      <c r="AM414" s="53" t="str">
        <f aca="false">IF(AND($AB414&lt;&gt;"",$AD414&lt;&gt;""),$AD414-$AB414,"")</f>
        <v/>
      </c>
      <c r="AN414" s="53" t="str">
        <f aca="false">IF(AND($AC414&lt;&gt;"",$AD414&lt;&gt;""),$AD414-$AC414,"")</f>
        <v/>
      </c>
      <c r="AO414" s="53" t="str">
        <f aca="false">IF($J414&lt;&gt;"",$J414,"")</f>
        <v/>
      </c>
      <c r="AQ414" s="52" t="str">
        <f aca="false">IF($A414&lt;&gt;"",$A414,"")</f>
        <v>Apprenant 402</v>
      </c>
      <c r="AR414" s="55" t="str">
        <f aca="false">IF(AND('Choix pédagogiques'!$C$4&lt;&gt;"?",'Choix pédagogiques'!$C$5&lt;&gt;"?",W414&lt;&gt;""),(W414-'Choix pédagogiques'!$C$4)/('Choix pédagogiques'!$C$5-'Choix pédagogiques'!$C$4),"")</f>
        <v/>
      </c>
      <c r="AS414" s="55" t="str">
        <f aca="false">IF(AND('Choix pédagogiques'!$C$4&lt;&gt;"?",'Choix pédagogiques'!$C$5&lt;&gt;"?",X414&lt;&gt;""),(X414-'Choix pédagogiques'!$C$4)/('Choix pédagogiques'!$C$5-'Choix pédagogiques'!$C$4),"")</f>
        <v/>
      </c>
      <c r="AT414" s="55" t="str">
        <f aca="false">IF(AND('Choix pédagogiques'!$C$4&lt;&gt;"?",'Choix pédagogiques'!$C$5&lt;&gt;"?",Y414&lt;&gt;""),(Y414-'Choix pédagogiques'!$C$4)/('Choix pédagogiques'!$C$5-'Choix pédagogiques'!$C$4),"")</f>
        <v/>
      </c>
      <c r="AU414" s="53" t="str">
        <f aca="false">IF($E414&lt;&gt;"",$E414,"")</f>
        <v/>
      </c>
      <c r="AV414" s="52" t="str">
        <f aca="false">IF($F414&lt;&gt;"",$F414,"")</f>
        <v>Apprenant 402 ou 402'</v>
      </c>
      <c r="AW414" s="55" t="str">
        <f aca="false">IF(AND('Choix pédagogiques'!$C$4&lt;&gt;"?",'Choix pédagogiques'!$C$5&lt;&gt;"?",AB414&lt;&gt;""),(AB414-'Choix pédagogiques'!$C$4)/('Choix pédagogiques'!$C$5-'Choix pédagogiques'!$C$4),"")</f>
        <v/>
      </c>
      <c r="AX414" s="55" t="str">
        <f aca="false">IF(AND('Choix pédagogiques'!$C$4&lt;&gt;"?",'Choix pédagogiques'!$C$5&lt;&gt;"?",AC414&lt;&gt;""),(AC414-'Choix pédagogiques'!$C$4)/('Choix pédagogiques'!$C$5-'Choix pédagogiques'!$C$4),"")</f>
        <v/>
      </c>
      <c r="AY414" s="55" t="str">
        <f aca="false">IF(AND('Choix pédagogiques'!$C$4&lt;&gt;"?",'Choix pédagogiques'!$C$5&lt;&gt;"?",AD414&lt;&gt;""),(AD414-'Choix pédagogiques'!$C$4)/('Choix pédagogiques'!$C$5-'Choix pédagogiques'!$C$4),"")</f>
        <v/>
      </c>
      <c r="AZ414" s="53" t="str">
        <f aca="false">IF($J414&lt;&gt;"",$J414,"")</f>
        <v/>
      </c>
      <c r="BA414" s="52" t="str">
        <f aca="false">IF($A414&lt;&gt;"",$A414,"")</f>
        <v>Apprenant 402</v>
      </c>
      <c r="BB414" s="55" t="str">
        <f aca="false">IF(AND($AR414&lt;&gt;"",$AS414&lt;&gt;""),$AS414-$AR414,"")</f>
        <v/>
      </c>
      <c r="BC414" s="55" t="str">
        <f aca="false">IF(AND($AR414&lt;&gt;"",$AT414&lt;&gt;""),$AT414-$AR414,"")</f>
        <v/>
      </c>
      <c r="BD414" s="55" t="str">
        <f aca="false">IF(AND($AS414&lt;&gt;"",$AT414&lt;&gt;""),$AT414-$AS414,"")</f>
        <v/>
      </c>
      <c r="BE414" s="53" t="str">
        <f aca="false">IF($E414&lt;&gt;"",$E414,"")</f>
        <v/>
      </c>
      <c r="BF414" s="52" t="str">
        <f aca="false">IF($F414&lt;&gt;"",$F414,"")</f>
        <v>Apprenant 402 ou 402'</v>
      </c>
      <c r="BG414" s="55" t="str">
        <f aca="false">IF(AND($AW414&lt;&gt;"",$AX414&lt;&gt;""),$AX414-$AW414,"")</f>
        <v/>
      </c>
      <c r="BH414" s="55" t="str">
        <f aca="false">IF(AND($AW414&lt;&gt;"",$AY414&lt;&gt;""),$AY414-$AW414,"")</f>
        <v/>
      </c>
      <c r="BI414" s="55" t="str">
        <f aca="false">IF(AND($AX414&lt;&gt;"",$AY414&lt;&gt;""),$AY414-$AX414,"")</f>
        <v/>
      </c>
      <c r="BJ414" s="53" t="str">
        <f aca="false">IF($J414&lt;&gt;"",$J414,"")</f>
        <v/>
      </c>
      <c r="BL414" s="52"/>
      <c r="BM414" s="52" t="str">
        <f aca="false">IF(OR(COUNT(B414:D1413)=0,AND('Choix pédagogiques'!$C$3&lt;&gt;1,'Choix pédagogiques'!$C$3&lt;&gt;2)),"",IF(AND(OR('Choix pédagogiques'!$C$3=1,'Choix pédagogiques'!$C$3=2),$B414&lt;&gt;"",$C414&lt;&gt;"",$D414&lt;&gt;""),1,0))</f>
        <v/>
      </c>
      <c r="BN414" s="52" t="str">
        <f aca="false">IF(OR(COUNT(G414:I1413)=0,AND('Choix pédagogiques'!$C$3&lt;&gt;1,'Choix pédagogiques'!$C$3&lt;&gt;2)),"",IF(AND(OR('Choix pédagogiques'!$C$3=1,'Choix pédagogiques'!$C$3=2),AND($G414&lt;&gt;"",$H414&lt;&gt;"",$I414&lt;&gt;"")),1,0))</f>
        <v/>
      </c>
      <c r="BO414" s="52" t="str">
        <f aca="false">IF(OR(COUNT(B414:D1413)=0,COUNT(G414:I1413)=0,'Choix pédagogiques'!C$3&lt;&gt;3),"",IF(AND('Choix pédagogiques'!$C$3=3,$B414&lt;&gt;"",$C414&lt;&gt;"",$D414&lt;&gt;"",$G414&lt;&gt;"",$H414&lt;&gt;"",$I414&lt;&gt;""),1,0))</f>
        <v/>
      </c>
      <c r="BR414" s="52" t="n">
        <v>559</v>
      </c>
      <c r="BS414" s="52" t="n">
        <v>1160</v>
      </c>
    </row>
    <row r="415" s="54" customFormat="true" ht="18" hidden="false" customHeight="true" outlineLevel="0" collapsed="false">
      <c r="A415" s="57" t="s">
        <v>761</v>
      </c>
      <c r="B415" s="51"/>
      <c r="C415" s="51"/>
      <c r="D415" s="51"/>
      <c r="E415" s="51"/>
      <c r="F415" s="57" t="s">
        <v>762</v>
      </c>
      <c r="G415" s="51"/>
      <c r="H415" s="51"/>
      <c r="I415" s="51"/>
      <c r="J415" s="51"/>
      <c r="K415" s="52" t="str">
        <f aca="false">IF($A415&lt;&gt;"",$A415,"")</f>
        <v>Apprenant 403</v>
      </c>
      <c r="L415" s="53" t="str">
        <f aca="false">IF(AND($B415&lt;&gt;"",$C415&lt;&gt;""),$C415-$B415,"")</f>
        <v/>
      </c>
      <c r="M415" s="53" t="str">
        <f aca="false">IF(AND($B415&lt;&gt;"",$D415&lt;&gt;""),$D415-$B415,"")</f>
        <v/>
      </c>
      <c r="N415" s="53" t="str">
        <f aca="false">IF(AND($C415&lt;&gt;"",$D415&lt;&gt;""),$D415-$C415,"")</f>
        <v/>
      </c>
      <c r="O415" s="53" t="str">
        <f aca="false">IF($E415&lt;&gt;"",$E415,"")</f>
        <v/>
      </c>
      <c r="P415" s="52" t="str">
        <f aca="false">IF($F415&lt;&gt;"",$F415,"")</f>
        <v>Apprenant 403 ou 403'</v>
      </c>
      <c r="Q415" s="53" t="str">
        <f aca="false">IF(AND($G415&lt;&gt;"",$H415&lt;&gt;""),$H415-$G415,"")</f>
        <v/>
      </c>
      <c r="R415" s="53" t="str">
        <f aca="false">IF(AND($G415&lt;&gt;"",$I415&lt;&gt;""),$I415-$G415,"")</f>
        <v/>
      </c>
      <c r="S415" s="53" t="str">
        <f aca="false">IF(AND($H415&lt;&gt;"",$I415&lt;&gt;""),$I415-$H415,"")</f>
        <v/>
      </c>
      <c r="T415" s="53" t="str">
        <f aca="false">IF($J415&lt;&gt;"",$J415,"")</f>
        <v/>
      </c>
      <c r="V415" s="52" t="str">
        <f aca="false">IF($A415&lt;&gt;"",$A415,"")</f>
        <v>Apprenant 403</v>
      </c>
      <c r="W415" s="53" t="str">
        <f aca="false">IF(AND(OR('Choix pédagogiques'!$C$3=1,'Choix pédagogiques'!$C$3=2),$BM415=1),B415,IF(AND('Choix pédagogiques'!$C$3=3,$BO415=1),B415,""))</f>
        <v/>
      </c>
      <c r="X415" s="53" t="str">
        <f aca="false">IF(AND(OR('Choix pédagogiques'!$C$3=1,'Choix pédagogiques'!$C$3=2),$BM415=1),C415,IF(AND('Choix pédagogiques'!$C$3=3,$BO415=1),C415,""))</f>
        <v/>
      </c>
      <c r="Y415" s="53" t="str">
        <f aca="false">IF(AND(OR('Choix pédagogiques'!$C$3=1,'Choix pédagogiques'!$C$3=2),$BM415=1),D415,IF(AND('Choix pédagogiques'!$C$3=3,$BO415=1),D415,""))</f>
        <v/>
      </c>
      <c r="Z415" s="53" t="str">
        <f aca="false">IF($E415&lt;&gt;"",$E415,"")</f>
        <v/>
      </c>
      <c r="AA415" s="52" t="str">
        <f aca="false">IF($F415&lt;&gt;"",$F415,"")</f>
        <v>Apprenant 403 ou 403'</v>
      </c>
      <c r="AB415" s="53" t="str">
        <f aca="false">IF(AND(OR('Choix pédagogiques'!$C$3=1,'Choix pédagogiques'!$C$3=2),$BN415=1),G415,IF(AND('Choix pédagogiques'!$C$3=3,$BO415=1),G415,""))</f>
        <v/>
      </c>
      <c r="AC415" s="53" t="str">
        <f aca="false">IF(AND(OR('Choix pédagogiques'!$C$3=1,'Choix pédagogiques'!$C$3=2),$BN415=1),H415,IF(AND('Choix pédagogiques'!$C$3=3,$BO415=1),H415,""))</f>
        <v/>
      </c>
      <c r="AD415" s="53" t="str">
        <f aca="false">IF(AND(OR('Choix pédagogiques'!$C$3=1,'Choix pédagogiques'!$C$3=2),$BN415=1),I415,IF(AND('Choix pédagogiques'!$C$3=3,$BO415=1),I415,""))</f>
        <v/>
      </c>
      <c r="AE415" s="53" t="str">
        <f aca="false">IF($J415&lt;&gt;"",$J415,"")</f>
        <v/>
      </c>
      <c r="AF415" s="52" t="str">
        <f aca="false">IF($A415&lt;&gt;"",$A415,"")</f>
        <v>Apprenant 403</v>
      </c>
      <c r="AG415" s="53" t="str">
        <f aca="false">IF(AND($W415&lt;&gt;"",$X415&lt;&gt;""),$X415-$W415,"")</f>
        <v/>
      </c>
      <c r="AH415" s="53" t="str">
        <f aca="false">IF(AND($W415&lt;&gt;"",$Y415&lt;&gt;""),$Y415-$W415,"")</f>
        <v/>
      </c>
      <c r="AI415" s="53" t="str">
        <f aca="false">IF(AND($X415&lt;&gt;"",$Y415&lt;&gt;""),$Y415-$X415,"")</f>
        <v/>
      </c>
      <c r="AJ415" s="53" t="str">
        <f aca="false">IF($E415&lt;&gt;"",$E415,"")</f>
        <v/>
      </c>
      <c r="AK415" s="52" t="str">
        <f aca="false">IF($F415&lt;&gt;"",$F415,"")</f>
        <v>Apprenant 403 ou 403'</v>
      </c>
      <c r="AL415" s="53" t="str">
        <f aca="false">IF(AND($AB415&lt;&gt;"",$AC415&lt;&gt;""),$AC415-$AB415,"")</f>
        <v/>
      </c>
      <c r="AM415" s="53" t="str">
        <f aca="false">IF(AND($AB415&lt;&gt;"",$AD415&lt;&gt;""),$AD415-$AB415,"")</f>
        <v/>
      </c>
      <c r="AN415" s="53" t="str">
        <f aca="false">IF(AND($AC415&lt;&gt;"",$AD415&lt;&gt;""),$AD415-$AC415,"")</f>
        <v/>
      </c>
      <c r="AO415" s="53" t="str">
        <f aca="false">IF($J415&lt;&gt;"",$J415,"")</f>
        <v/>
      </c>
      <c r="AQ415" s="52" t="str">
        <f aca="false">IF($A415&lt;&gt;"",$A415,"")</f>
        <v>Apprenant 403</v>
      </c>
      <c r="AR415" s="55" t="str">
        <f aca="false">IF(AND('Choix pédagogiques'!$C$4&lt;&gt;"?",'Choix pédagogiques'!$C$5&lt;&gt;"?",W415&lt;&gt;""),(W415-'Choix pédagogiques'!$C$4)/('Choix pédagogiques'!$C$5-'Choix pédagogiques'!$C$4),"")</f>
        <v/>
      </c>
      <c r="AS415" s="55" t="str">
        <f aca="false">IF(AND('Choix pédagogiques'!$C$4&lt;&gt;"?",'Choix pédagogiques'!$C$5&lt;&gt;"?",X415&lt;&gt;""),(X415-'Choix pédagogiques'!$C$4)/('Choix pédagogiques'!$C$5-'Choix pédagogiques'!$C$4),"")</f>
        <v/>
      </c>
      <c r="AT415" s="55" t="str">
        <f aca="false">IF(AND('Choix pédagogiques'!$C$4&lt;&gt;"?",'Choix pédagogiques'!$C$5&lt;&gt;"?",Y415&lt;&gt;""),(Y415-'Choix pédagogiques'!$C$4)/('Choix pédagogiques'!$C$5-'Choix pédagogiques'!$C$4),"")</f>
        <v/>
      </c>
      <c r="AU415" s="53" t="str">
        <f aca="false">IF($E415&lt;&gt;"",$E415,"")</f>
        <v/>
      </c>
      <c r="AV415" s="52" t="str">
        <f aca="false">IF($F415&lt;&gt;"",$F415,"")</f>
        <v>Apprenant 403 ou 403'</v>
      </c>
      <c r="AW415" s="55" t="str">
        <f aca="false">IF(AND('Choix pédagogiques'!$C$4&lt;&gt;"?",'Choix pédagogiques'!$C$5&lt;&gt;"?",AB415&lt;&gt;""),(AB415-'Choix pédagogiques'!$C$4)/('Choix pédagogiques'!$C$5-'Choix pédagogiques'!$C$4),"")</f>
        <v/>
      </c>
      <c r="AX415" s="55" t="str">
        <f aca="false">IF(AND('Choix pédagogiques'!$C$4&lt;&gt;"?",'Choix pédagogiques'!$C$5&lt;&gt;"?",AC415&lt;&gt;""),(AC415-'Choix pédagogiques'!$C$4)/('Choix pédagogiques'!$C$5-'Choix pédagogiques'!$C$4),"")</f>
        <v/>
      </c>
      <c r="AY415" s="55" t="str">
        <f aca="false">IF(AND('Choix pédagogiques'!$C$4&lt;&gt;"?",'Choix pédagogiques'!$C$5&lt;&gt;"?",AD415&lt;&gt;""),(AD415-'Choix pédagogiques'!$C$4)/('Choix pédagogiques'!$C$5-'Choix pédagogiques'!$C$4),"")</f>
        <v/>
      </c>
      <c r="AZ415" s="53" t="str">
        <f aca="false">IF($J415&lt;&gt;"",$J415,"")</f>
        <v/>
      </c>
      <c r="BA415" s="52" t="str">
        <f aca="false">IF($A415&lt;&gt;"",$A415,"")</f>
        <v>Apprenant 403</v>
      </c>
      <c r="BB415" s="55" t="str">
        <f aca="false">IF(AND($AR415&lt;&gt;"",$AS415&lt;&gt;""),$AS415-$AR415,"")</f>
        <v/>
      </c>
      <c r="BC415" s="55" t="str">
        <f aca="false">IF(AND($AR415&lt;&gt;"",$AT415&lt;&gt;""),$AT415-$AR415,"")</f>
        <v/>
      </c>
      <c r="BD415" s="55" t="str">
        <f aca="false">IF(AND($AS415&lt;&gt;"",$AT415&lt;&gt;""),$AT415-$AS415,"")</f>
        <v/>
      </c>
      <c r="BE415" s="53" t="str">
        <f aca="false">IF($E415&lt;&gt;"",$E415,"")</f>
        <v/>
      </c>
      <c r="BF415" s="52" t="str">
        <f aca="false">IF($F415&lt;&gt;"",$F415,"")</f>
        <v>Apprenant 403 ou 403'</v>
      </c>
      <c r="BG415" s="55" t="str">
        <f aca="false">IF(AND($AW415&lt;&gt;"",$AX415&lt;&gt;""),$AX415-$AW415,"")</f>
        <v/>
      </c>
      <c r="BH415" s="55" t="str">
        <f aca="false">IF(AND($AW415&lt;&gt;"",$AY415&lt;&gt;""),$AY415-$AW415,"")</f>
        <v/>
      </c>
      <c r="BI415" s="55" t="str">
        <f aca="false">IF(AND($AX415&lt;&gt;"",$AY415&lt;&gt;""),$AY415-$AX415,"")</f>
        <v/>
      </c>
      <c r="BJ415" s="53" t="str">
        <f aca="false">IF($J415&lt;&gt;"",$J415,"")</f>
        <v/>
      </c>
      <c r="BL415" s="52"/>
      <c r="BM415" s="52" t="str">
        <f aca="false">IF(OR(COUNT(B415:D1414)=0,AND('Choix pédagogiques'!$C$3&lt;&gt;1,'Choix pédagogiques'!$C$3&lt;&gt;2)),"",IF(AND(OR('Choix pédagogiques'!$C$3=1,'Choix pédagogiques'!$C$3=2),$B415&lt;&gt;"",$C415&lt;&gt;"",$D415&lt;&gt;""),1,0))</f>
        <v/>
      </c>
      <c r="BN415" s="52" t="str">
        <f aca="false">IF(OR(COUNT(G415:I1414)=0,AND('Choix pédagogiques'!$C$3&lt;&gt;1,'Choix pédagogiques'!$C$3&lt;&gt;2)),"",IF(AND(OR('Choix pédagogiques'!$C$3=1,'Choix pédagogiques'!$C$3=2),AND($G415&lt;&gt;"",$H415&lt;&gt;"",$I415&lt;&gt;"")),1,0))</f>
        <v/>
      </c>
      <c r="BO415" s="52" t="str">
        <f aca="false">IF(OR(COUNT(B415:D1414)=0,COUNT(G415:I1414)=0,'Choix pédagogiques'!C$3&lt;&gt;3),"",IF(AND('Choix pédagogiques'!$C$3=3,$B415&lt;&gt;"",$C415&lt;&gt;"",$D415&lt;&gt;"",$G415&lt;&gt;"",$H415&lt;&gt;"",$I415&lt;&gt;""),1,0))</f>
        <v/>
      </c>
      <c r="BR415" s="52" t="n">
        <v>376</v>
      </c>
      <c r="BS415" s="52" t="n">
        <v>1249</v>
      </c>
    </row>
    <row r="416" s="54" customFormat="true" ht="18" hidden="false" customHeight="true" outlineLevel="0" collapsed="false">
      <c r="A416" s="57" t="s">
        <v>763</v>
      </c>
      <c r="B416" s="51"/>
      <c r="C416" s="51"/>
      <c r="D416" s="51"/>
      <c r="E416" s="51"/>
      <c r="F416" s="57" t="s">
        <v>764</v>
      </c>
      <c r="G416" s="51"/>
      <c r="H416" s="51"/>
      <c r="I416" s="51"/>
      <c r="J416" s="51"/>
      <c r="K416" s="52" t="str">
        <f aca="false">IF($A416&lt;&gt;"",$A416,"")</f>
        <v>Apprenant 404</v>
      </c>
      <c r="L416" s="53" t="str">
        <f aca="false">IF(AND($B416&lt;&gt;"",$C416&lt;&gt;""),$C416-$B416,"")</f>
        <v/>
      </c>
      <c r="M416" s="53" t="str">
        <f aca="false">IF(AND($B416&lt;&gt;"",$D416&lt;&gt;""),$D416-$B416,"")</f>
        <v/>
      </c>
      <c r="N416" s="53" t="str">
        <f aca="false">IF(AND($C416&lt;&gt;"",$D416&lt;&gt;""),$D416-$C416,"")</f>
        <v/>
      </c>
      <c r="O416" s="53" t="str">
        <f aca="false">IF($E416&lt;&gt;"",$E416,"")</f>
        <v/>
      </c>
      <c r="P416" s="52" t="str">
        <f aca="false">IF($F416&lt;&gt;"",$F416,"")</f>
        <v>Apprenant 404 ou 404'</v>
      </c>
      <c r="Q416" s="53" t="str">
        <f aca="false">IF(AND($G416&lt;&gt;"",$H416&lt;&gt;""),$H416-$G416,"")</f>
        <v/>
      </c>
      <c r="R416" s="53" t="str">
        <f aca="false">IF(AND($G416&lt;&gt;"",$I416&lt;&gt;""),$I416-$G416,"")</f>
        <v/>
      </c>
      <c r="S416" s="53" t="str">
        <f aca="false">IF(AND($H416&lt;&gt;"",$I416&lt;&gt;""),$I416-$H416,"")</f>
        <v/>
      </c>
      <c r="T416" s="53" t="str">
        <f aca="false">IF($J416&lt;&gt;"",$J416,"")</f>
        <v/>
      </c>
      <c r="V416" s="52" t="str">
        <f aca="false">IF($A416&lt;&gt;"",$A416,"")</f>
        <v>Apprenant 404</v>
      </c>
      <c r="W416" s="53" t="str">
        <f aca="false">IF(AND(OR('Choix pédagogiques'!$C$3=1,'Choix pédagogiques'!$C$3=2),$BM416=1),B416,IF(AND('Choix pédagogiques'!$C$3=3,$BO416=1),B416,""))</f>
        <v/>
      </c>
      <c r="X416" s="53" t="str">
        <f aca="false">IF(AND(OR('Choix pédagogiques'!$C$3=1,'Choix pédagogiques'!$C$3=2),$BM416=1),C416,IF(AND('Choix pédagogiques'!$C$3=3,$BO416=1),C416,""))</f>
        <v/>
      </c>
      <c r="Y416" s="53" t="str">
        <f aca="false">IF(AND(OR('Choix pédagogiques'!$C$3=1,'Choix pédagogiques'!$C$3=2),$BM416=1),D416,IF(AND('Choix pédagogiques'!$C$3=3,$BO416=1),D416,""))</f>
        <v/>
      </c>
      <c r="Z416" s="53" t="str">
        <f aca="false">IF($E416&lt;&gt;"",$E416,"")</f>
        <v/>
      </c>
      <c r="AA416" s="52" t="str">
        <f aca="false">IF($F416&lt;&gt;"",$F416,"")</f>
        <v>Apprenant 404 ou 404'</v>
      </c>
      <c r="AB416" s="53" t="str">
        <f aca="false">IF(AND(OR('Choix pédagogiques'!$C$3=1,'Choix pédagogiques'!$C$3=2),$BN416=1),G416,IF(AND('Choix pédagogiques'!$C$3=3,$BO416=1),G416,""))</f>
        <v/>
      </c>
      <c r="AC416" s="53" t="str">
        <f aca="false">IF(AND(OR('Choix pédagogiques'!$C$3=1,'Choix pédagogiques'!$C$3=2),$BN416=1),H416,IF(AND('Choix pédagogiques'!$C$3=3,$BO416=1),H416,""))</f>
        <v/>
      </c>
      <c r="AD416" s="53" t="str">
        <f aca="false">IF(AND(OR('Choix pédagogiques'!$C$3=1,'Choix pédagogiques'!$C$3=2),$BN416=1),I416,IF(AND('Choix pédagogiques'!$C$3=3,$BO416=1),I416,""))</f>
        <v/>
      </c>
      <c r="AE416" s="53" t="str">
        <f aca="false">IF($J416&lt;&gt;"",$J416,"")</f>
        <v/>
      </c>
      <c r="AF416" s="52" t="str">
        <f aca="false">IF($A416&lt;&gt;"",$A416,"")</f>
        <v>Apprenant 404</v>
      </c>
      <c r="AG416" s="53" t="str">
        <f aca="false">IF(AND($W416&lt;&gt;"",$X416&lt;&gt;""),$X416-$W416,"")</f>
        <v/>
      </c>
      <c r="AH416" s="53" t="str">
        <f aca="false">IF(AND($W416&lt;&gt;"",$Y416&lt;&gt;""),$Y416-$W416,"")</f>
        <v/>
      </c>
      <c r="AI416" s="53" t="str">
        <f aca="false">IF(AND($X416&lt;&gt;"",$Y416&lt;&gt;""),$Y416-$X416,"")</f>
        <v/>
      </c>
      <c r="AJ416" s="53" t="str">
        <f aca="false">IF($E416&lt;&gt;"",$E416,"")</f>
        <v/>
      </c>
      <c r="AK416" s="52" t="str">
        <f aca="false">IF($F416&lt;&gt;"",$F416,"")</f>
        <v>Apprenant 404 ou 404'</v>
      </c>
      <c r="AL416" s="53" t="str">
        <f aca="false">IF(AND($AB416&lt;&gt;"",$AC416&lt;&gt;""),$AC416-$AB416,"")</f>
        <v/>
      </c>
      <c r="AM416" s="53" t="str">
        <f aca="false">IF(AND($AB416&lt;&gt;"",$AD416&lt;&gt;""),$AD416-$AB416,"")</f>
        <v/>
      </c>
      <c r="AN416" s="53" t="str">
        <f aca="false">IF(AND($AC416&lt;&gt;"",$AD416&lt;&gt;""),$AD416-$AC416,"")</f>
        <v/>
      </c>
      <c r="AO416" s="53" t="str">
        <f aca="false">IF($J416&lt;&gt;"",$J416,"")</f>
        <v/>
      </c>
      <c r="AQ416" s="52" t="str">
        <f aca="false">IF($A416&lt;&gt;"",$A416,"")</f>
        <v>Apprenant 404</v>
      </c>
      <c r="AR416" s="55" t="str">
        <f aca="false">IF(AND('Choix pédagogiques'!$C$4&lt;&gt;"?",'Choix pédagogiques'!$C$5&lt;&gt;"?",W416&lt;&gt;""),(W416-'Choix pédagogiques'!$C$4)/('Choix pédagogiques'!$C$5-'Choix pédagogiques'!$C$4),"")</f>
        <v/>
      </c>
      <c r="AS416" s="55" t="str">
        <f aca="false">IF(AND('Choix pédagogiques'!$C$4&lt;&gt;"?",'Choix pédagogiques'!$C$5&lt;&gt;"?",X416&lt;&gt;""),(X416-'Choix pédagogiques'!$C$4)/('Choix pédagogiques'!$C$5-'Choix pédagogiques'!$C$4),"")</f>
        <v/>
      </c>
      <c r="AT416" s="55" t="str">
        <f aca="false">IF(AND('Choix pédagogiques'!$C$4&lt;&gt;"?",'Choix pédagogiques'!$C$5&lt;&gt;"?",Y416&lt;&gt;""),(Y416-'Choix pédagogiques'!$C$4)/('Choix pédagogiques'!$C$5-'Choix pédagogiques'!$C$4),"")</f>
        <v/>
      </c>
      <c r="AU416" s="53" t="str">
        <f aca="false">IF($E416&lt;&gt;"",$E416,"")</f>
        <v/>
      </c>
      <c r="AV416" s="52" t="str">
        <f aca="false">IF($F416&lt;&gt;"",$F416,"")</f>
        <v>Apprenant 404 ou 404'</v>
      </c>
      <c r="AW416" s="55" t="str">
        <f aca="false">IF(AND('Choix pédagogiques'!$C$4&lt;&gt;"?",'Choix pédagogiques'!$C$5&lt;&gt;"?",AB416&lt;&gt;""),(AB416-'Choix pédagogiques'!$C$4)/('Choix pédagogiques'!$C$5-'Choix pédagogiques'!$C$4),"")</f>
        <v/>
      </c>
      <c r="AX416" s="55" t="str">
        <f aca="false">IF(AND('Choix pédagogiques'!$C$4&lt;&gt;"?",'Choix pédagogiques'!$C$5&lt;&gt;"?",AC416&lt;&gt;""),(AC416-'Choix pédagogiques'!$C$4)/('Choix pédagogiques'!$C$5-'Choix pédagogiques'!$C$4),"")</f>
        <v/>
      </c>
      <c r="AY416" s="55" t="str">
        <f aca="false">IF(AND('Choix pédagogiques'!$C$4&lt;&gt;"?",'Choix pédagogiques'!$C$5&lt;&gt;"?",AD416&lt;&gt;""),(AD416-'Choix pédagogiques'!$C$4)/('Choix pédagogiques'!$C$5-'Choix pédagogiques'!$C$4),"")</f>
        <v/>
      </c>
      <c r="AZ416" s="53" t="str">
        <f aca="false">IF($J416&lt;&gt;"",$J416,"")</f>
        <v/>
      </c>
      <c r="BA416" s="52" t="str">
        <f aca="false">IF($A416&lt;&gt;"",$A416,"")</f>
        <v>Apprenant 404</v>
      </c>
      <c r="BB416" s="55" t="str">
        <f aca="false">IF(AND($AR416&lt;&gt;"",$AS416&lt;&gt;""),$AS416-$AR416,"")</f>
        <v/>
      </c>
      <c r="BC416" s="55" t="str">
        <f aca="false">IF(AND($AR416&lt;&gt;"",$AT416&lt;&gt;""),$AT416-$AR416,"")</f>
        <v/>
      </c>
      <c r="BD416" s="55" t="str">
        <f aca="false">IF(AND($AS416&lt;&gt;"",$AT416&lt;&gt;""),$AT416-$AS416,"")</f>
        <v/>
      </c>
      <c r="BE416" s="53" t="str">
        <f aca="false">IF($E416&lt;&gt;"",$E416,"")</f>
        <v/>
      </c>
      <c r="BF416" s="52" t="str">
        <f aca="false">IF($F416&lt;&gt;"",$F416,"")</f>
        <v>Apprenant 404 ou 404'</v>
      </c>
      <c r="BG416" s="55" t="str">
        <f aca="false">IF(AND($AW416&lt;&gt;"",$AX416&lt;&gt;""),$AX416-$AW416,"")</f>
        <v/>
      </c>
      <c r="BH416" s="55" t="str">
        <f aca="false">IF(AND($AW416&lt;&gt;"",$AY416&lt;&gt;""),$AY416-$AW416,"")</f>
        <v/>
      </c>
      <c r="BI416" s="55" t="str">
        <f aca="false">IF(AND($AX416&lt;&gt;"",$AY416&lt;&gt;""),$AY416-$AX416,"")</f>
        <v/>
      </c>
      <c r="BJ416" s="53" t="str">
        <f aca="false">IF($J416&lt;&gt;"",$J416,"")</f>
        <v/>
      </c>
      <c r="BL416" s="52"/>
      <c r="BM416" s="52" t="str">
        <f aca="false">IF(OR(COUNT(B416:D1415)=0,AND('Choix pédagogiques'!$C$3&lt;&gt;1,'Choix pédagogiques'!$C$3&lt;&gt;2)),"",IF(AND(OR('Choix pédagogiques'!$C$3=1,'Choix pédagogiques'!$C$3=2),$B416&lt;&gt;"",$C416&lt;&gt;"",$D416&lt;&gt;""),1,0))</f>
        <v/>
      </c>
      <c r="BN416" s="52" t="str">
        <f aca="false">IF(OR(COUNT(G416:I1415)=0,AND('Choix pédagogiques'!$C$3&lt;&gt;1,'Choix pédagogiques'!$C$3&lt;&gt;2)),"",IF(AND(OR('Choix pédagogiques'!$C$3=1,'Choix pédagogiques'!$C$3=2),AND($G416&lt;&gt;"",$H416&lt;&gt;"",$I416&lt;&gt;"")),1,0))</f>
        <v/>
      </c>
      <c r="BO416" s="52" t="str">
        <f aca="false">IF(OR(COUNT(B416:D1415)=0,COUNT(G416:I1415)=0,'Choix pédagogiques'!C$3&lt;&gt;3),"",IF(AND('Choix pédagogiques'!$C$3=3,$B416&lt;&gt;"",$C416&lt;&gt;"",$D416&lt;&gt;"",$G416&lt;&gt;"",$H416&lt;&gt;"",$I416&lt;&gt;""),1,0))</f>
        <v/>
      </c>
      <c r="BR416" s="52" t="n">
        <v>187</v>
      </c>
      <c r="BS416" s="52" t="n">
        <v>1065</v>
      </c>
    </row>
    <row r="417" s="54" customFormat="true" ht="18" hidden="false" customHeight="true" outlineLevel="0" collapsed="false">
      <c r="A417" s="57" t="s">
        <v>765</v>
      </c>
      <c r="B417" s="51"/>
      <c r="C417" s="51"/>
      <c r="D417" s="51"/>
      <c r="E417" s="51"/>
      <c r="F417" s="57" t="s">
        <v>766</v>
      </c>
      <c r="G417" s="51"/>
      <c r="H417" s="51"/>
      <c r="I417" s="51"/>
      <c r="J417" s="51"/>
      <c r="K417" s="52" t="str">
        <f aca="false">IF($A417&lt;&gt;"",$A417,"")</f>
        <v>Apprenant 405</v>
      </c>
      <c r="L417" s="53" t="str">
        <f aca="false">IF(AND($B417&lt;&gt;"",$C417&lt;&gt;""),$C417-$B417,"")</f>
        <v/>
      </c>
      <c r="M417" s="53" t="str">
        <f aca="false">IF(AND($B417&lt;&gt;"",$D417&lt;&gt;""),$D417-$B417,"")</f>
        <v/>
      </c>
      <c r="N417" s="53" t="str">
        <f aca="false">IF(AND($C417&lt;&gt;"",$D417&lt;&gt;""),$D417-$C417,"")</f>
        <v/>
      </c>
      <c r="O417" s="53" t="str">
        <f aca="false">IF($E417&lt;&gt;"",$E417,"")</f>
        <v/>
      </c>
      <c r="P417" s="52" t="str">
        <f aca="false">IF($F417&lt;&gt;"",$F417,"")</f>
        <v>Apprenant 405 ou 405'</v>
      </c>
      <c r="Q417" s="53" t="str">
        <f aca="false">IF(AND($G417&lt;&gt;"",$H417&lt;&gt;""),$H417-$G417,"")</f>
        <v/>
      </c>
      <c r="R417" s="53" t="str">
        <f aca="false">IF(AND($G417&lt;&gt;"",$I417&lt;&gt;""),$I417-$G417,"")</f>
        <v/>
      </c>
      <c r="S417" s="53" t="str">
        <f aca="false">IF(AND($H417&lt;&gt;"",$I417&lt;&gt;""),$I417-$H417,"")</f>
        <v/>
      </c>
      <c r="T417" s="53" t="str">
        <f aca="false">IF($J417&lt;&gt;"",$J417,"")</f>
        <v/>
      </c>
      <c r="V417" s="52" t="str">
        <f aca="false">IF($A417&lt;&gt;"",$A417,"")</f>
        <v>Apprenant 405</v>
      </c>
      <c r="W417" s="53" t="str">
        <f aca="false">IF(AND(OR('Choix pédagogiques'!$C$3=1,'Choix pédagogiques'!$C$3=2),$BM417=1),B417,IF(AND('Choix pédagogiques'!$C$3=3,$BO417=1),B417,""))</f>
        <v/>
      </c>
      <c r="X417" s="53" t="str">
        <f aca="false">IF(AND(OR('Choix pédagogiques'!$C$3=1,'Choix pédagogiques'!$C$3=2),$BM417=1),C417,IF(AND('Choix pédagogiques'!$C$3=3,$BO417=1),C417,""))</f>
        <v/>
      </c>
      <c r="Y417" s="53" t="str">
        <f aca="false">IF(AND(OR('Choix pédagogiques'!$C$3=1,'Choix pédagogiques'!$C$3=2),$BM417=1),D417,IF(AND('Choix pédagogiques'!$C$3=3,$BO417=1),D417,""))</f>
        <v/>
      </c>
      <c r="Z417" s="53" t="str">
        <f aca="false">IF($E417&lt;&gt;"",$E417,"")</f>
        <v/>
      </c>
      <c r="AA417" s="52" t="str">
        <f aca="false">IF($F417&lt;&gt;"",$F417,"")</f>
        <v>Apprenant 405 ou 405'</v>
      </c>
      <c r="AB417" s="53" t="str">
        <f aca="false">IF(AND(OR('Choix pédagogiques'!$C$3=1,'Choix pédagogiques'!$C$3=2),$BN417=1),G417,IF(AND('Choix pédagogiques'!$C$3=3,$BO417=1),G417,""))</f>
        <v/>
      </c>
      <c r="AC417" s="53" t="str">
        <f aca="false">IF(AND(OR('Choix pédagogiques'!$C$3=1,'Choix pédagogiques'!$C$3=2),$BN417=1),H417,IF(AND('Choix pédagogiques'!$C$3=3,$BO417=1),H417,""))</f>
        <v/>
      </c>
      <c r="AD417" s="53" t="str">
        <f aca="false">IF(AND(OR('Choix pédagogiques'!$C$3=1,'Choix pédagogiques'!$C$3=2),$BN417=1),I417,IF(AND('Choix pédagogiques'!$C$3=3,$BO417=1),I417,""))</f>
        <v/>
      </c>
      <c r="AE417" s="53" t="str">
        <f aca="false">IF($J417&lt;&gt;"",$J417,"")</f>
        <v/>
      </c>
      <c r="AF417" s="52" t="str">
        <f aca="false">IF($A417&lt;&gt;"",$A417,"")</f>
        <v>Apprenant 405</v>
      </c>
      <c r="AG417" s="53" t="str">
        <f aca="false">IF(AND($W417&lt;&gt;"",$X417&lt;&gt;""),$X417-$W417,"")</f>
        <v/>
      </c>
      <c r="AH417" s="53" t="str">
        <f aca="false">IF(AND($W417&lt;&gt;"",$Y417&lt;&gt;""),$Y417-$W417,"")</f>
        <v/>
      </c>
      <c r="AI417" s="53" t="str">
        <f aca="false">IF(AND($X417&lt;&gt;"",$Y417&lt;&gt;""),$Y417-$X417,"")</f>
        <v/>
      </c>
      <c r="AJ417" s="53" t="str">
        <f aca="false">IF($E417&lt;&gt;"",$E417,"")</f>
        <v/>
      </c>
      <c r="AK417" s="52" t="str">
        <f aca="false">IF($F417&lt;&gt;"",$F417,"")</f>
        <v>Apprenant 405 ou 405'</v>
      </c>
      <c r="AL417" s="53" t="str">
        <f aca="false">IF(AND($AB417&lt;&gt;"",$AC417&lt;&gt;""),$AC417-$AB417,"")</f>
        <v/>
      </c>
      <c r="AM417" s="53" t="str">
        <f aca="false">IF(AND($AB417&lt;&gt;"",$AD417&lt;&gt;""),$AD417-$AB417,"")</f>
        <v/>
      </c>
      <c r="AN417" s="53" t="str">
        <f aca="false">IF(AND($AC417&lt;&gt;"",$AD417&lt;&gt;""),$AD417-$AC417,"")</f>
        <v/>
      </c>
      <c r="AO417" s="53" t="str">
        <f aca="false">IF($J417&lt;&gt;"",$J417,"")</f>
        <v/>
      </c>
      <c r="AQ417" s="52" t="str">
        <f aca="false">IF($A417&lt;&gt;"",$A417,"")</f>
        <v>Apprenant 405</v>
      </c>
      <c r="AR417" s="55" t="str">
        <f aca="false">IF(AND('Choix pédagogiques'!$C$4&lt;&gt;"?",'Choix pédagogiques'!$C$5&lt;&gt;"?",W417&lt;&gt;""),(W417-'Choix pédagogiques'!$C$4)/('Choix pédagogiques'!$C$5-'Choix pédagogiques'!$C$4),"")</f>
        <v/>
      </c>
      <c r="AS417" s="55" t="str">
        <f aca="false">IF(AND('Choix pédagogiques'!$C$4&lt;&gt;"?",'Choix pédagogiques'!$C$5&lt;&gt;"?",X417&lt;&gt;""),(X417-'Choix pédagogiques'!$C$4)/('Choix pédagogiques'!$C$5-'Choix pédagogiques'!$C$4),"")</f>
        <v/>
      </c>
      <c r="AT417" s="55" t="str">
        <f aca="false">IF(AND('Choix pédagogiques'!$C$4&lt;&gt;"?",'Choix pédagogiques'!$C$5&lt;&gt;"?",Y417&lt;&gt;""),(Y417-'Choix pédagogiques'!$C$4)/('Choix pédagogiques'!$C$5-'Choix pédagogiques'!$C$4),"")</f>
        <v/>
      </c>
      <c r="AU417" s="53" t="str">
        <f aca="false">IF($E417&lt;&gt;"",$E417,"")</f>
        <v/>
      </c>
      <c r="AV417" s="52" t="str">
        <f aca="false">IF($F417&lt;&gt;"",$F417,"")</f>
        <v>Apprenant 405 ou 405'</v>
      </c>
      <c r="AW417" s="55" t="str">
        <f aca="false">IF(AND('Choix pédagogiques'!$C$4&lt;&gt;"?",'Choix pédagogiques'!$C$5&lt;&gt;"?",AB417&lt;&gt;""),(AB417-'Choix pédagogiques'!$C$4)/('Choix pédagogiques'!$C$5-'Choix pédagogiques'!$C$4),"")</f>
        <v/>
      </c>
      <c r="AX417" s="55" t="str">
        <f aca="false">IF(AND('Choix pédagogiques'!$C$4&lt;&gt;"?",'Choix pédagogiques'!$C$5&lt;&gt;"?",AC417&lt;&gt;""),(AC417-'Choix pédagogiques'!$C$4)/('Choix pédagogiques'!$C$5-'Choix pédagogiques'!$C$4),"")</f>
        <v/>
      </c>
      <c r="AY417" s="55" t="str">
        <f aca="false">IF(AND('Choix pédagogiques'!$C$4&lt;&gt;"?",'Choix pédagogiques'!$C$5&lt;&gt;"?",AD417&lt;&gt;""),(AD417-'Choix pédagogiques'!$C$4)/('Choix pédagogiques'!$C$5-'Choix pédagogiques'!$C$4),"")</f>
        <v/>
      </c>
      <c r="AZ417" s="53" t="str">
        <f aca="false">IF($J417&lt;&gt;"",$J417,"")</f>
        <v/>
      </c>
      <c r="BA417" s="52" t="str">
        <f aca="false">IF($A417&lt;&gt;"",$A417,"")</f>
        <v>Apprenant 405</v>
      </c>
      <c r="BB417" s="55" t="str">
        <f aca="false">IF(AND($AR417&lt;&gt;"",$AS417&lt;&gt;""),$AS417-$AR417,"")</f>
        <v/>
      </c>
      <c r="BC417" s="55" t="str">
        <f aca="false">IF(AND($AR417&lt;&gt;"",$AT417&lt;&gt;""),$AT417-$AR417,"")</f>
        <v/>
      </c>
      <c r="BD417" s="55" t="str">
        <f aca="false">IF(AND($AS417&lt;&gt;"",$AT417&lt;&gt;""),$AT417-$AS417,"")</f>
        <v/>
      </c>
      <c r="BE417" s="53" t="str">
        <f aca="false">IF($E417&lt;&gt;"",$E417,"")</f>
        <v/>
      </c>
      <c r="BF417" s="52" t="str">
        <f aca="false">IF($F417&lt;&gt;"",$F417,"")</f>
        <v>Apprenant 405 ou 405'</v>
      </c>
      <c r="BG417" s="55" t="str">
        <f aca="false">IF(AND($AW417&lt;&gt;"",$AX417&lt;&gt;""),$AX417-$AW417,"")</f>
        <v/>
      </c>
      <c r="BH417" s="55" t="str">
        <f aca="false">IF(AND($AW417&lt;&gt;"",$AY417&lt;&gt;""),$AY417-$AW417,"")</f>
        <v/>
      </c>
      <c r="BI417" s="55" t="str">
        <f aca="false">IF(AND($AX417&lt;&gt;"",$AY417&lt;&gt;""),$AY417-$AX417,"")</f>
        <v/>
      </c>
      <c r="BJ417" s="53" t="str">
        <f aca="false">IF($J417&lt;&gt;"",$J417,"")</f>
        <v/>
      </c>
      <c r="BL417" s="52"/>
      <c r="BM417" s="52" t="str">
        <f aca="false">IF(OR(COUNT(B417:D1416)=0,AND('Choix pédagogiques'!$C$3&lt;&gt;1,'Choix pédagogiques'!$C$3&lt;&gt;2)),"",IF(AND(OR('Choix pédagogiques'!$C$3=1,'Choix pédagogiques'!$C$3=2),$B417&lt;&gt;"",$C417&lt;&gt;"",$D417&lt;&gt;""),1,0))</f>
        <v/>
      </c>
      <c r="BN417" s="52" t="str">
        <f aca="false">IF(OR(COUNT(G417:I1416)=0,AND('Choix pédagogiques'!$C$3&lt;&gt;1,'Choix pédagogiques'!$C$3&lt;&gt;2)),"",IF(AND(OR('Choix pédagogiques'!$C$3=1,'Choix pédagogiques'!$C$3=2),AND($G417&lt;&gt;"",$H417&lt;&gt;"",$I417&lt;&gt;"")),1,0))</f>
        <v/>
      </c>
      <c r="BO417" s="52" t="str">
        <f aca="false">IF(OR(COUNT(B417:D1416)=0,COUNT(G417:I1416)=0,'Choix pédagogiques'!C$3&lt;&gt;3),"",IF(AND('Choix pédagogiques'!$C$3=3,$B417&lt;&gt;"",$C417&lt;&gt;"",$D417&lt;&gt;"",$G417&lt;&gt;"",$H417&lt;&gt;"",$I417&lt;&gt;""),1,0))</f>
        <v/>
      </c>
      <c r="BR417" s="52" t="n">
        <v>27</v>
      </c>
      <c r="BS417" s="52" t="n">
        <v>1348</v>
      </c>
    </row>
    <row r="418" s="54" customFormat="true" ht="18" hidden="false" customHeight="true" outlineLevel="0" collapsed="false">
      <c r="A418" s="57" t="s">
        <v>767</v>
      </c>
      <c r="B418" s="51"/>
      <c r="C418" s="51"/>
      <c r="D418" s="51"/>
      <c r="E418" s="51"/>
      <c r="F418" s="57" t="s">
        <v>768</v>
      </c>
      <c r="G418" s="51"/>
      <c r="H418" s="51"/>
      <c r="I418" s="51"/>
      <c r="J418" s="51"/>
      <c r="K418" s="52" t="str">
        <f aca="false">IF($A418&lt;&gt;"",$A418,"")</f>
        <v>Apprenant 406</v>
      </c>
      <c r="L418" s="53" t="str">
        <f aca="false">IF(AND($B418&lt;&gt;"",$C418&lt;&gt;""),$C418-$B418,"")</f>
        <v/>
      </c>
      <c r="M418" s="53" t="str">
        <f aca="false">IF(AND($B418&lt;&gt;"",$D418&lt;&gt;""),$D418-$B418,"")</f>
        <v/>
      </c>
      <c r="N418" s="53" t="str">
        <f aca="false">IF(AND($C418&lt;&gt;"",$D418&lt;&gt;""),$D418-$C418,"")</f>
        <v/>
      </c>
      <c r="O418" s="53" t="str">
        <f aca="false">IF($E418&lt;&gt;"",$E418,"")</f>
        <v/>
      </c>
      <c r="P418" s="52" t="str">
        <f aca="false">IF($F418&lt;&gt;"",$F418,"")</f>
        <v>Apprenant 406 ou 406'</v>
      </c>
      <c r="Q418" s="53" t="str">
        <f aca="false">IF(AND($G418&lt;&gt;"",$H418&lt;&gt;""),$H418-$G418,"")</f>
        <v/>
      </c>
      <c r="R418" s="53" t="str">
        <f aca="false">IF(AND($G418&lt;&gt;"",$I418&lt;&gt;""),$I418-$G418,"")</f>
        <v/>
      </c>
      <c r="S418" s="53" t="str">
        <f aca="false">IF(AND($H418&lt;&gt;"",$I418&lt;&gt;""),$I418-$H418,"")</f>
        <v/>
      </c>
      <c r="T418" s="53" t="str">
        <f aca="false">IF($J418&lt;&gt;"",$J418,"")</f>
        <v/>
      </c>
      <c r="V418" s="52" t="str">
        <f aca="false">IF($A418&lt;&gt;"",$A418,"")</f>
        <v>Apprenant 406</v>
      </c>
      <c r="W418" s="53" t="str">
        <f aca="false">IF(AND(OR('Choix pédagogiques'!$C$3=1,'Choix pédagogiques'!$C$3=2),$BM418=1),B418,IF(AND('Choix pédagogiques'!$C$3=3,$BO418=1),B418,""))</f>
        <v/>
      </c>
      <c r="X418" s="53" t="str">
        <f aca="false">IF(AND(OR('Choix pédagogiques'!$C$3=1,'Choix pédagogiques'!$C$3=2),$BM418=1),C418,IF(AND('Choix pédagogiques'!$C$3=3,$BO418=1),C418,""))</f>
        <v/>
      </c>
      <c r="Y418" s="53" t="str">
        <f aca="false">IF(AND(OR('Choix pédagogiques'!$C$3=1,'Choix pédagogiques'!$C$3=2),$BM418=1),D418,IF(AND('Choix pédagogiques'!$C$3=3,$BO418=1),D418,""))</f>
        <v/>
      </c>
      <c r="Z418" s="53" t="str">
        <f aca="false">IF($E418&lt;&gt;"",$E418,"")</f>
        <v/>
      </c>
      <c r="AA418" s="52" t="str">
        <f aca="false">IF($F418&lt;&gt;"",$F418,"")</f>
        <v>Apprenant 406 ou 406'</v>
      </c>
      <c r="AB418" s="53" t="str">
        <f aca="false">IF(AND(OR('Choix pédagogiques'!$C$3=1,'Choix pédagogiques'!$C$3=2),$BN418=1),G418,IF(AND('Choix pédagogiques'!$C$3=3,$BO418=1),G418,""))</f>
        <v/>
      </c>
      <c r="AC418" s="53" t="str">
        <f aca="false">IF(AND(OR('Choix pédagogiques'!$C$3=1,'Choix pédagogiques'!$C$3=2),$BN418=1),H418,IF(AND('Choix pédagogiques'!$C$3=3,$BO418=1),H418,""))</f>
        <v/>
      </c>
      <c r="AD418" s="53" t="str">
        <f aca="false">IF(AND(OR('Choix pédagogiques'!$C$3=1,'Choix pédagogiques'!$C$3=2),$BN418=1),I418,IF(AND('Choix pédagogiques'!$C$3=3,$BO418=1),I418,""))</f>
        <v/>
      </c>
      <c r="AE418" s="53" t="str">
        <f aca="false">IF($J418&lt;&gt;"",$J418,"")</f>
        <v/>
      </c>
      <c r="AF418" s="52" t="str">
        <f aca="false">IF($A418&lt;&gt;"",$A418,"")</f>
        <v>Apprenant 406</v>
      </c>
      <c r="AG418" s="53" t="str">
        <f aca="false">IF(AND($W418&lt;&gt;"",$X418&lt;&gt;""),$X418-$W418,"")</f>
        <v/>
      </c>
      <c r="AH418" s="53" t="str">
        <f aca="false">IF(AND($W418&lt;&gt;"",$Y418&lt;&gt;""),$Y418-$W418,"")</f>
        <v/>
      </c>
      <c r="AI418" s="53" t="str">
        <f aca="false">IF(AND($X418&lt;&gt;"",$Y418&lt;&gt;""),$Y418-$X418,"")</f>
        <v/>
      </c>
      <c r="AJ418" s="53" t="str">
        <f aca="false">IF($E418&lt;&gt;"",$E418,"")</f>
        <v/>
      </c>
      <c r="AK418" s="52" t="str">
        <f aca="false">IF($F418&lt;&gt;"",$F418,"")</f>
        <v>Apprenant 406 ou 406'</v>
      </c>
      <c r="AL418" s="53" t="str">
        <f aca="false">IF(AND($AB418&lt;&gt;"",$AC418&lt;&gt;""),$AC418-$AB418,"")</f>
        <v/>
      </c>
      <c r="AM418" s="53" t="str">
        <f aca="false">IF(AND($AB418&lt;&gt;"",$AD418&lt;&gt;""),$AD418-$AB418,"")</f>
        <v/>
      </c>
      <c r="AN418" s="53" t="str">
        <f aca="false">IF(AND($AC418&lt;&gt;"",$AD418&lt;&gt;""),$AD418-$AC418,"")</f>
        <v/>
      </c>
      <c r="AO418" s="53" t="str">
        <f aca="false">IF($J418&lt;&gt;"",$J418,"")</f>
        <v/>
      </c>
      <c r="AQ418" s="52" t="str">
        <f aca="false">IF($A418&lt;&gt;"",$A418,"")</f>
        <v>Apprenant 406</v>
      </c>
      <c r="AR418" s="55" t="str">
        <f aca="false">IF(AND('Choix pédagogiques'!$C$4&lt;&gt;"?",'Choix pédagogiques'!$C$5&lt;&gt;"?",W418&lt;&gt;""),(W418-'Choix pédagogiques'!$C$4)/('Choix pédagogiques'!$C$5-'Choix pédagogiques'!$C$4),"")</f>
        <v/>
      </c>
      <c r="AS418" s="55" t="str">
        <f aca="false">IF(AND('Choix pédagogiques'!$C$4&lt;&gt;"?",'Choix pédagogiques'!$C$5&lt;&gt;"?",X418&lt;&gt;""),(X418-'Choix pédagogiques'!$C$4)/('Choix pédagogiques'!$C$5-'Choix pédagogiques'!$C$4),"")</f>
        <v/>
      </c>
      <c r="AT418" s="55" t="str">
        <f aca="false">IF(AND('Choix pédagogiques'!$C$4&lt;&gt;"?",'Choix pédagogiques'!$C$5&lt;&gt;"?",Y418&lt;&gt;""),(Y418-'Choix pédagogiques'!$C$4)/('Choix pédagogiques'!$C$5-'Choix pédagogiques'!$C$4),"")</f>
        <v/>
      </c>
      <c r="AU418" s="53" t="str">
        <f aca="false">IF($E418&lt;&gt;"",$E418,"")</f>
        <v/>
      </c>
      <c r="AV418" s="52" t="str">
        <f aca="false">IF($F418&lt;&gt;"",$F418,"")</f>
        <v>Apprenant 406 ou 406'</v>
      </c>
      <c r="AW418" s="55" t="str">
        <f aca="false">IF(AND('Choix pédagogiques'!$C$4&lt;&gt;"?",'Choix pédagogiques'!$C$5&lt;&gt;"?",AB418&lt;&gt;""),(AB418-'Choix pédagogiques'!$C$4)/('Choix pédagogiques'!$C$5-'Choix pédagogiques'!$C$4),"")</f>
        <v/>
      </c>
      <c r="AX418" s="55" t="str">
        <f aca="false">IF(AND('Choix pédagogiques'!$C$4&lt;&gt;"?",'Choix pédagogiques'!$C$5&lt;&gt;"?",AC418&lt;&gt;""),(AC418-'Choix pédagogiques'!$C$4)/('Choix pédagogiques'!$C$5-'Choix pédagogiques'!$C$4),"")</f>
        <v/>
      </c>
      <c r="AY418" s="55" t="str">
        <f aca="false">IF(AND('Choix pédagogiques'!$C$4&lt;&gt;"?",'Choix pédagogiques'!$C$5&lt;&gt;"?",AD418&lt;&gt;""),(AD418-'Choix pédagogiques'!$C$4)/('Choix pédagogiques'!$C$5-'Choix pédagogiques'!$C$4),"")</f>
        <v/>
      </c>
      <c r="AZ418" s="53" t="str">
        <f aca="false">IF($J418&lt;&gt;"",$J418,"")</f>
        <v/>
      </c>
      <c r="BA418" s="52" t="str">
        <f aca="false">IF($A418&lt;&gt;"",$A418,"")</f>
        <v>Apprenant 406</v>
      </c>
      <c r="BB418" s="55" t="str">
        <f aca="false">IF(AND($AR418&lt;&gt;"",$AS418&lt;&gt;""),$AS418-$AR418,"")</f>
        <v/>
      </c>
      <c r="BC418" s="55" t="str">
        <f aca="false">IF(AND($AR418&lt;&gt;"",$AT418&lt;&gt;""),$AT418-$AR418,"")</f>
        <v/>
      </c>
      <c r="BD418" s="55" t="str">
        <f aca="false">IF(AND($AS418&lt;&gt;"",$AT418&lt;&gt;""),$AT418-$AS418,"")</f>
        <v/>
      </c>
      <c r="BE418" s="53" t="str">
        <f aca="false">IF($E418&lt;&gt;"",$E418,"")</f>
        <v/>
      </c>
      <c r="BF418" s="52" t="str">
        <f aca="false">IF($F418&lt;&gt;"",$F418,"")</f>
        <v>Apprenant 406 ou 406'</v>
      </c>
      <c r="BG418" s="55" t="str">
        <f aca="false">IF(AND($AW418&lt;&gt;"",$AX418&lt;&gt;""),$AX418-$AW418,"")</f>
        <v/>
      </c>
      <c r="BH418" s="55" t="str">
        <f aca="false">IF(AND($AW418&lt;&gt;"",$AY418&lt;&gt;""),$AY418-$AW418,"")</f>
        <v/>
      </c>
      <c r="BI418" s="55" t="str">
        <f aca="false">IF(AND($AX418&lt;&gt;"",$AY418&lt;&gt;""),$AY418-$AX418,"")</f>
        <v/>
      </c>
      <c r="BJ418" s="53" t="str">
        <f aca="false">IF($J418&lt;&gt;"",$J418,"")</f>
        <v/>
      </c>
      <c r="BL418" s="52"/>
      <c r="BM418" s="52" t="str">
        <f aca="false">IF(OR(COUNT(B418:D1417)=0,AND('Choix pédagogiques'!$C$3&lt;&gt;1,'Choix pédagogiques'!$C$3&lt;&gt;2)),"",IF(AND(OR('Choix pédagogiques'!$C$3=1,'Choix pédagogiques'!$C$3=2),$B418&lt;&gt;"",$C418&lt;&gt;"",$D418&lt;&gt;""),1,0))</f>
        <v/>
      </c>
      <c r="BN418" s="52" t="str">
        <f aca="false">IF(OR(COUNT(G418:I1417)=0,AND('Choix pédagogiques'!$C$3&lt;&gt;1,'Choix pédagogiques'!$C$3&lt;&gt;2)),"",IF(AND(OR('Choix pédagogiques'!$C$3=1,'Choix pédagogiques'!$C$3=2),AND($G418&lt;&gt;"",$H418&lt;&gt;"",$I418&lt;&gt;"")),1,0))</f>
        <v/>
      </c>
      <c r="BO418" s="52" t="str">
        <f aca="false">IF(OR(COUNT(B418:D1417)=0,COUNT(G418:I1417)=0,'Choix pédagogiques'!C$3&lt;&gt;3),"",IF(AND('Choix pédagogiques'!$C$3=3,$B418&lt;&gt;"",$C418&lt;&gt;"",$D418&lt;&gt;"",$G418&lt;&gt;"",$H418&lt;&gt;"",$I418&lt;&gt;""),1,0))</f>
        <v/>
      </c>
      <c r="BR418" s="52" t="n">
        <v>669</v>
      </c>
      <c r="BS418" s="52" t="n">
        <v>1742</v>
      </c>
    </row>
    <row r="419" s="54" customFormat="true" ht="18" hidden="false" customHeight="true" outlineLevel="0" collapsed="false">
      <c r="A419" s="57" t="s">
        <v>769</v>
      </c>
      <c r="B419" s="51"/>
      <c r="C419" s="51"/>
      <c r="D419" s="51"/>
      <c r="E419" s="51"/>
      <c r="F419" s="57" t="s">
        <v>770</v>
      </c>
      <c r="G419" s="51"/>
      <c r="H419" s="51"/>
      <c r="I419" s="51"/>
      <c r="J419" s="51"/>
      <c r="K419" s="52" t="str">
        <f aca="false">IF($A419&lt;&gt;"",$A419,"")</f>
        <v>Apprenant 407</v>
      </c>
      <c r="L419" s="53" t="str">
        <f aca="false">IF(AND($B419&lt;&gt;"",$C419&lt;&gt;""),$C419-$B419,"")</f>
        <v/>
      </c>
      <c r="M419" s="53" t="str">
        <f aca="false">IF(AND($B419&lt;&gt;"",$D419&lt;&gt;""),$D419-$B419,"")</f>
        <v/>
      </c>
      <c r="N419" s="53" t="str">
        <f aca="false">IF(AND($C419&lt;&gt;"",$D419&lt;&gt;""),$D419-$C419,"")</f>
        <v/>
      </c>
      <c r="O419" s="53" t="str">
        <f aca="false">IF($E419&lt;&gt;"",$E419,"")</f>
        <v/>
      </c>
      <c r="P419" s="52" t="str">
        <f aca="false">IF($F419&lt;&gt;"",$F419,"")</f>
        <v>Apprenant 407 ou 407'</v>
      </c>
      <c r="Q419" s="53" t="str">
        <f aca="false">IF(AND($G419&lt;&gt;"",$H419&lt;&gt;""),$H419-$G419,"")</f>
        <v/>
      </c>
      <c r="R419" s="53" t="str">
        <f aca="false">IF(AND($G419&lt;&gt;"",$I419&lt;&gt;""),$I419-$G419,"")</f>
        <v/>
      </c>
      <c r="S419" s="53" t="str">
        <f aca="false">IF(AND($H419&lt;&gt;"",$I419&lt;&gt;""),$I419-$H419,"")</f>
        <v/>
      </c>
      <c r="T419" s="53" t="str">
        <f aca="false">IF($J419&lt;&gt;"",$J419,"")</f>
        <v/>
      </c>
      <c r="V419" s="52" t="str">
        <f aca="false">IF($A419&lt;&gt;"",$A419,"")</f>
        <v>Apprenant 407</v>
      </c>
      <c r="W419" s="53" t="str">
        <f aca="false">IF(AND(OR('Choix pédagogiques'!$C$3=1,'Choix pédagogiques'!$C$3=2),$BM419=1),B419,IF(AND('Choix pédagogiques'!$C$3=3,$BO419=1),B419,""))</f>
        <v/>
      </c>
      <c r="X419" s="53" t="str">
        <f aca="false">IF(AND(OR('Choix pédagogiques'!$C$3=1,'Choix pédagogiques'!$C$3=2),$BM419=1),C419,IF(AND('Choix pédagogiques'!$C$3=3,$BO419=1),C419,""))</f>
        <v/>
      </c>
      <c r="Y419" s="53" t="str">
        <f aca="false">IF(AND(OR('Choix pédagogiques'!$C$3=1,'Choix pédagogiques'!$C$3=2),$BM419=1),D419,IF(AND('Choix pédagogiques'!$C$3=3,$BO419=1),D419,""))</f>
        <v/>
      </c>
      <c r="Z419" s="53" t="str">
        <f aca="false">IF($E419&lt;&gt;"",$E419,"")</f>
        <v/>
      </c>
      <c r="AA419" s="52" t="str">
        <f aca="false">IF($F419&lt;&gt;"",$F419,"")</f>
        <v>Apprenant 407 ou 407'</v>
      </c>
      <c r="AB419" s="53" t="str">
        <f aca="false">IF(AND(OR('Choix pédagogiques'!$C$3=1,'Choix pédagogiques'!$C$3=2),$BN419=1),G419,IF(AND('Choix pédagogiques'!$C$3=3,$BO419=1),G419,""))</f>
        <v/>
      </c>
      <c r="AC419" s="53" t="str">
        <f aca="false">IF(AND(OR('Choix pédagogiques'!$C$3=1,'Choix pédagogiques'!$C$3=2),$BN419=1),H419,IF(AND('Choix pédagogiques'!$C$3=3,$BO419=1),H419,""))</f>
        <v/>
      </c>
      <c r="AD419" s="53" t="str">
        <f aca="false">IF(AND(OR('Choix pédagogiques'!$C$3=1,'Choix pédagogiques'!$C$3=2),$BN419=1),I419,IF(AND('Choix pédagogiques'!$C$3=3,$BO419=1),I419,""))</f>
        <v/>
      </c>
      <c r="AE419" s="53" t="str">
        <f aca="false">IF($J419&lt;&gt;"",$J419,"")</f>
        <v/>
      </c>
      <c r="AF419" s="52" t="str">
        <f aca="false">IF($A419&lt;&gt;"",$A419,"")</f>
        <v>Apprenant 407</v>
      </c>
      <c r="AG419" s="53" t="str">
        <f aca="false">IF(AND($W419&lt;&gt;"",$X419&lt;&gt;""),$X419-$W419,"")</f>
        <v/>
      </c>
      <c r="AH419" s="53" t="str">
        <f aca="false">IF(AND($W419&lt;&gt;"",$Y419&lt;&gt;""),$Y419-$W419,"")</f>
        <v/>
      </c>
      <c r="AI419" s="53" t="str">
        <f aca="false">IF(AND($X419&lt;&gt;"",$Y419&lt;&gt;""),$Y419-$X419,"")</f>
        <v/>
      </c>
      <c r="AJ419" s="53" t="str">
        <f aca="false">IF($E419&lt;&gt;"",$E419,"")</f>
        <v/>
      </c>
      <c r="AK419" s="52" t="str">
        <f aca="false">IF($F419&lt;&gt;"",$F419,"")</f>
        <v>Apprenant 407 ou 407'</v>
      </c>
      <c r="AL419" s="53" t="str">
        <f aca="false">IF(AND($AB419&lt;&gt;"",$AC419&lt;&gt;""),$AC419-$AB419,"")</f>
        <v/>
      </c>
      <c r="AM419" s="53" t="str">
        <f aca="false">IF(AND($AB419&lt;&gt;"",$AD419&lt;&gt;""),$AD419-$AB419,"")</f>
        <v/>
      </c>
      <c r="AN419" s="53" t="str">
        <f aca="false">IF(AND($AC419&lt;&gt;"",$AD419&lt;&gt;""),$AD419-$AC419,"")</f>
        <v/>
      </c>
      <c r="AO419" s="53" t="str">
        <f aca="false">IF($J419&lt;&gt;"",$J419,"")</f>
        <v/>
      </c>
      <c r="AQ419" s="52" t="str">
        <f aca="false">IF($A419&lt;&gt;"",$A419,"")</f>
        <v>Apprenant 407</v>
      </c>
      <c r="AR419" s="55" t="str">
        <f aca="false">IF(AND('Choix pédagogiques'!$C$4&lt;&gt;"?",'Choix pédagogiques'!$C$5&lt;&gt;"?",W419&lt;&gt;""),(W419-'Choix pédagogiques'!$C$4)/('Choix pédagogiques'!$C$5-'Choix pédagogiques'!$C$4),"")</f>
        <v/>
      </c>
      <c r="AS419" s="55" t="str">
        <f aca="false">IF(AND('Choix pédagogiques'!$C$4&lt;&gt;"?",'Choix pédagogiques'!$C$5&lt;&gt;"?",X419&lt;&gt;""),(X419-'Choix pédagogiques'!$C$4)/('Choix pédagogiques'!$C$5-'Choix pédagogiques'!$C$4),"")</f>
        <v/>
      </c>
      <c r="AT419" s="55" t="str">
        <f aca="false">IF(AND('Choix pédagogiques'!$C$4&lt;&gt;"?",'Choix pédagogiques'!$C$5&lt;&gt;"?",Y419&lt;&gt;""),(Y419-'Choix pédagogiques'!$C$4)/('Choix pédagogiques'!$C$5-'Choix pédagogiques'!$C$4),"")</f>
        <v/>
      </c>
      <c r="AU419" s="53" t="str">
        <f aca="false">IF($E419&lt;&gt;"",$E419,"")</f>
        <v/>
      </c>
      <c r="AV419" s="52" t="str">
        <f aca="false">IF($F419&lt;&gt;"",$F419,"")</f>
        <v>Apprenant 407 ou 407'</v>
      </c>
      <c r="AW419" s="55" t="str">
        <f aca="false">IF(AND('Choix pédagogiques'!$C$4&lt;&gt;"?",'Choix pédagogiques'!$C$5&lt;&gt;"?",AB419&lt;&gt;""),(AB419-'Choix pédagogiques'!$C$4)/('Choix pédagogiques'!$C$5-'Choix pédagogiques'!$C$4),"")</f>
        <v/>
      </c>
      <c r="AX419" s="55" t="str">
        <f aca="false">IF(AND('Choix pédagogiques'!$C$4&lt;&gt;"?",'Choix pédagogiques'!$C$5&lt;&gt;"?",AC419&lt;&gt;""),(AC419-'Choix pédagogiques'!$C$4)/('Choix pédagogiques'!$C$5-'Choix pédagogiques'!$C$4),"")</f>
        <v/>
      </c>
      <c r="AY419" s="55" t="str">
        <f aca="false">IF(AND('Choix pédagogiques'!$C$4&lt;&gt;"?",'Choix pédagogiques'!$C$5&lt;&gt;"?",AD419&lt;&gt;""),(AD419-'Choix pédagogiques'!$C$4)/('Choix pédagogiques'!$C$5-'Choix pédagogiques'!$C$4),"")</f>
        <v/>
      </c>
      <c r="AZ419" s="53" t="str">
        <f aca="false">IF($J419&lt;&gt;"",$J419,"")</f>
        <v/>
      </c>
      <c r="BA419" s="52" t="str">
        <f aca="false">IF($A419&lt;&gt;"",$A419,"")</f>
        <v>Apprenant 407</v>
      </c>
      <c r="BB419" s="55" t="str">
        <f aca="false">IF(AND($AR419&lt;&gt;"",$AS419&lt;&gt;""),$AS419-$AR419,"")</f>
        <v/>
      </c>
      <c r="BC419" s="55" t="str">
        <f aca="false">IF(AND($AR419&lt;&gt;"",$AT419&lt;&gt;""),$AT419-$AR419,"")</f>
        <v/>
      </c>
      <c r="BD419" s="55" t="str">
        <f aca="false">IF(AND($AS419&lt;&gt;"",$AT419&lt;&gt;""),$AT419-$AS419,"")</f>
        <v/>
      </c>
      <c r="BE419" s="53" t="str">
        <f aca="false">IF($E419&lt;&gt;"",$E419,"")</f>
        <v/>
      </c>
      <c r="BF419" s="52" t="str">
        <f aca="false">IF($F419&lt;&gt;"",$F419,"")</f>
        <v>Apprenant 407 ou 407'</v>
      </c>
      <c r="BG419" s="55" t="str">
        <f aca="false">IF(AND($AW419&lt;&gt;"",$AX419&lt;&gt;""),$AX419-$AW419,"")</f>
        <v/>
      </c>
      <c r="BH419" s="55" t="str">
        <f aca="false">IF(AND($AW419&lt;&gt;"",$AY419&lt;&gt;""),$AY419-$AW419,"")</f>
        <v/>
      </c>
      <c r="BI419" s="55" t="str">
        <f aca="false">IF(AND($AX419&lt;&gt;"",$AY419&lt;&gt;""),$AY419-$AX419,"")</f>
        <v/>
      </c>
      <c r="BJ419" s="53" t="str">
        <f aca="false">IF($J419&lt;&gt;"",$J419,"")</f>
        <v/>
      </c>
      <c r="BL419" s="52"/>
      <c r="BM419" s="52" t="str">
        <f aca="false">IF(OR(COUNT(B419:D1418)=0,AND('Choix pédagogiques'!$C$3&lt;&gt;1,'Choix pédagogiques'!$C$3&lt;&gt;2)),"",IF(AND(OR('Choix pédagogiques'!$C$3=1,'Choix pédagogiques'!$C$3=2),$B419&lt;&gt;"",$C419&lt;&gt;"",$D419&lt;&gt;""),1,0))</f>
        <v/>
      </c>
      <c r="BN419" s="52" t="str">
        <f aca="false">IF(OR(COUNT(G419:I1418)=0,AND('Choix pédagogiques'!$C$3&lt;&gt;1,'Choix pédagogiques'!$C$3&lt;&gt;2)),"",IF(AND(OR('Choix pédagogiques'!$C$3=1,'Choix pédagogiques'!$C$3=2),AND($G419&lt;&gt;"",$H419&lt;&gt;"",$I419&lt;&gt;"")),1,0))</f>
        <v/>
      </c>
      <c r="BO419" s="52" t="str">
        <f aca="false">IF(OR(COUNT(B419:D1418)=0,COUNT(G419:I1418)=0,'Choix pédagogiques'!C$3&lt;&gt;3),"",IF(AND('Choix pédagogiques'!$C$3=3,$B419&lt;&gt;"",$C419&lt;&gt;"",$D419&lt;&gt;"",$G419&lt;&gt;"",$H419&lt;&gt;"",$I419&lt;&gt;""),1,0))</f>
        <v/>
      </c>
      <c r="BR419" s="52" t="n">
        <v>378</v>
      </c>
      <c r="BS419" s="52" t="n">
        <v>1461</v>
      </c>
    </row>
    <row r="420" s="54" customFormat="true" ht="18" hidden="false" customHeight="true" outlineLevel="0" collapsed="false">
      <c r="A420" s="57" t="s">
        <v>771</v>
      </c>
      <c r="B420" s="51"/>
      <c r="C420" s="51"/>
      <c r="D420" s="51"/>
      <c r="E420" s="51"/>
      <c r="F420" s="57" t="s">
        <v>772</v>
      </c>
      <c r="G420" s="51"/>
      <c r="H420" s="51"/>
      <c r="I420" s="51"/>
      <c r="J420" s="51"/>
      <c r="K420" s="52" t="str">
        <f aca="false">IF($A420&lt;&gt;"",$A420,"")</f>
        <v>Apprenant 408</v>
      </c>
      <c r="L420" s="53" t="str">
        <f aca="false">IF(AND($B420&lt;&gt;"",$C420&lt;&gt;""),$C420-$B420,"")</f>
        <v/>
      </c>
      <c r="M420" s="53" t="str">
        <f aca="false">IF(AND($B420&lt;&gt;"",$D420&lt;&gt;""),$D420-$B420,"")</f>
        <v/>
      </c>
      <c r="N420" s="53" t="str">
        <f aca="false">IF(AND($C420&lt;&gt;"",$D420&lt;&gt;""),$D420-$C420,"")</f>
        <v/>
      </c>
      <c r="O420" s="53" t="str">
        <f aca="false">IF($E420&lt;&gt;"",$E420,"")</f>
        <v/>
      </c>
      <c r="P420" s="52" t="str">
        <f aca="false">IF($F420&lt;&gt;"",$F420,"")</f>
        <v>Apprenant 408 ou 408'</v>
      </c>
      <c r="Q420" s="53" t="str">
        <f aca="false">IF(AND($G420&lt;&gt;"",$H420&lt;&gt;""),$H420-$G420,"")</f>
        <v/>
      </c>
      <c r="R420" s="53" t="str">
        <f aca="false">IF(AND($G420&lt;&gt;"",$I420&lt;&gt;""),$I420-$G420,"")</f>
        <v/>
      </c>
      <c r="S420" s="53" t="str">
        <f aca="false">IF(AND($H420&lt;&gt;"",$I420&lt;&gt;""),$I420-$H420,"")</f>
        <v/>
      </c>
      <c r="T420" s="53" t="str">
        <f aca="false">IF($J420&lt;&gt;"",$J420,"")</f>
        <v/>
      </c>
      <c r="V420" s="52" t="str">
        <f aca="false">IF($A420&lt;&gt;"",$A420,"")</f>
        <v>Apprenant 408</v>
      </c>
      <c r="W420" s="53" t="str">
        <f aca="false">IF(AND(OR('Choix pédagogiques'!$C$3=1,'Choix pédagogiques'!$C$3=2),$BM420=1),B420,IF(AND('Choix pédagogiques'!$C$3=3,$BO420=1),B420,""))</f>
        <v/>
      </c>
      <c r="X420" s="53" t="str">
        <f aca="false">IF(AND(OR('Choix pédagogiques'!$C$3=1,'Choix pédagogiques'!$C$3=2),$BM420=1),C420,IF(AND('Choix pédagogiques'!$C$3=3,$BO420=1),C420,""))</f>
        <v/>
      </c>
      <c r="Y420" s="53" t="str">
        <f aca="false">IF(AND(OR('Choix pédagogiques'!$C$3=1,'Choix pédagogiques'!$C$3=2),$BM420=1),D420,IF(AND('Choix pédagogiques'!$C$3=3,$BO420=1),D420,""))</f>
        <v/>
      </c>
      <c r="Z420" s="53" t="str">
        <f aca="false">IF($E420&lt;&gt;"",$E420,"")</f>
        <v/>
      </c>
      <c r="AA420" s="52" t="str">
        <f aca="false">IF($F420&lt;&gt;"",$F420,"")</f>
        <v>Apprenant 408 ou 408'</v>
      </c>
      <c r="AB420" s="53" t="str">
        <f aca="false">IF(AND(OR('Choix pédagogiques'!$C$3=1,'Choix pédagogiques'!$C$3=2),$BN420=1),G420,IF(AND('Choix pédagogiques'!$C$3=3,$BO420=1),G420,""))</f>
        <v/>
      </c>
      <c r="AC420" s="53" t="str">
        <f aca="false">IF(AND(OR('Choix pédagogiques'!$C$3=1,'Choix pédagogiques'!$C$3=2),$BN420=1),H420,IF(AND('Choix pédagogiques'!$C$3=3,$BO420=1),H420,""))</f>
        <v/>
      </c>
      <c r="AD420" s="53" t="str">
        <f aca="false">IF(AND(OR('Choix pédagogiques'!$C$3=1,'Choix pédagogiques'!$C$3=2),$BN420=1),I420,IF(AND('Choix pédagogiques'!$C$3=3,$BO420=1),I420,""))</f>
        <v/>
      </c>
      <c r="AE420" s="53" t="str">
        <f aca="false">IF($J420&lt;&gt;"",$J420,"")</f>
        <v/>
      </c>
      <c r="AF420" s="52" t="str">
        <f aca="false">IF($A420&lt;&gt;"",$A420,"")</f>
        <v>Apprenant 408</v>
      </c>
      <c r="AG420" s="53" t="str">
        <f aca="false">IF(AND($W420&lt;&gt;"",$X420&lt;&gt;""),$X420-$W420,"")</f>
        <v/>
      </c>
      <c r="AH420" s="53" t="str">
        <f aca="false">IF(AND($W420&lt;&gt;"",$Y420&lt;&gt;""),$Y420-$W420,"")</f>
        <v/>
      </c>
      <c r="AI420" s="53" t="str">
        <f aca="false">IF(AND($X420&lt;&gt;"",$Y420&lt;&gt;""),$Y420-$X420,"")</f>
        <v/>
      </c>
      <c r="AJ420" s="53" t="str">
        <f aca="false">IF($E420&lt;&gt;"",$E420,"")</f>
        <v/>
      </c>
      <c r="AK420" s="52" t="str">
        <f aca="false">IF($F420&lt;&gt;"",$F420,"")</f>
        <v>Apprenant 408 ou 408'</v>
      </c>
      <c r="AL420" s="53" t="str">
        <f aca="false">IF(AND($AB420&lt;&gt;"",$AC420&lt;&gt;""),$AC420-$AB420,"")</f>
        <v/>
      </c>
      <c r="AM420" s="53" t="str">
        <f aca="false">IF(AND($AB420&lt;&gt;"",$AD420&lt;&gt;""),$AD420-$AB420,"")</f>
        <v/>
      </c>
      <c r="AN420" s="53" t="str">
        <f aca="false">IF(AND($AC420&lt;&gt;"",$AD420&lt;&gt;""),$AD420-$AC420,"")</f>
        <v/>
      </c>
      <c r="AO420" s="53" t="str">
        <f aca="false">IF($J420&lt;&gt;"",$J420,"")</f>
        <v/>
      </c>
      <c r="AQ420" s="52" t="str">
        <f aca="false">IF($A420&lt;&gt;"",$A420,"")</f>
        <v>Apprenant 408</v>
      </c>
      <c r="AR420" s="55" t="str">
        <f aca="false">IF(AND('Choix pédagogiques'!$C$4&lt;&gt;"?",'Choix pédagogiques'!$C$5&lt;&gt;"?",W420&lt;&gt;""),(W420-'Choix pédagogiques'!$C$4)/('Choix pédagogiques'!$C$5-'Choix pédagogiques'!$C$4),"")</f>
        <v/>
      </c>
      <c r="AS420" s="55" t="str">
        <f aca="false">IF(AND('Choix pédagogiques'!$C$4&lt;&gt;"?",'Choix pédagogiques'!$C$5&lt;&gt;"?",X420&lt;&gt;""),(X420-'Choix pédagogiques'!$C$4)/('Choix pédagogiques'!$C$5-'Choix pédagogiques'!$C$4),"")</f>
        <v/>
      </c>
      <c r="AT420" s="55" t="str">
        <f aca="false">IF(AND('Choix pédagogiques'!$C$4&lt;&gt;"?",'Choix pédagogiques'!$C$5&lt;&gt;"?",Y420&lt;&gt;""),(Y420-'Choix pédagogiques'!$C$4)/('Choix pédagogiques'!$C$5-'Choix pédagogiques'!$C$4),"")</f>
        <v/>
      </c>
      <c r="AU420" s="53" t="str">
        <f aca="false">IF($E420&lt;&gt;"",$E420,"")</f>
        <v/>
      </c>
      <c r="AV420" s="52" t="str">
        <f aca="false">IF($F420&lt;&gt;"",$F420,"")</f>
        <v>Apprenant 408 ou 408'</v>
      </c>
      <c r="AW420" s="55" t="str">
        <f aca="false">IF(AND('Choix pédagogiques'!$C$4&lt;&gt;"?",'Choix pédagogiques'!$C$5&lt;&gt;"?",AB420&lt;&gt;""),(AB420-'Choix pédagogiques'!$C$4)/('Choix pédagogiques'!$C$5-'Choix pédagogiques'!$C$4),"")</f>
        <v/>
      </c>
      <c r="AX420" s="55" t="str">
        <f aca="false">IF(AND('Choix pédagogiques'!$C$4&lt;&gt;"?",'Choix pédagogiques'!$C$5&lt;&gt;"?",AC420&lt;&gt;""),(AC420-'Choix pédagogiques'!$C$4)/('Choix pédagogiques'!$C$5-'Choix pédagogiques'!$C$4),"")</f>
        <v/>
      </c>
      <c r="AY420" s="55" t="str">
        <f aca="false">IF(AND('Choix pédagogiques'!$C$4&lt;&gt;"?",'Choix pédagogiques'!$C$5&lt;&gt;"?",AD420&lt;&gt;""),(AD420-'Choix pédagogiques'!$C$4)/('Choix pédagogiques'!$C$5-'Choix pédagogiques'!$C$4),"")</f>
        <v/>
      </c>
      <c r="AZ420" s="53" t="str">
        <f aca="false">IF($J420&lt;&gt;"",$J420,"")</f>
        <v/>
      </c>
      <c r="BA420" s="52" t="str">
        <f aca="false">IF($A420&lt;&gt;"",$A420,"")</f>
        <v>Apprenant 408</v>
      </c>
      <c r="BB420" s="55" t="str">
        <f aca="false">IF(AND($AR420&lt;&gt;"",$AS420&lt;&gt;""),$AS420-$AR420,"")</f>
        <v/>
      </c>
      <c r="BC420" s="55" t="str">
        <f aca="false">IF(AND($AR420&lt;&gt;"",$AT420&lt;&gt;""),$AT420-$AR420,"")</f>
        <v/>
      </c>
      <c r="BD420" s="55" t="str">
        <f aca="false">IF(AND($AS420&lt;&gt;"",$AT420&lt;&gt;""),$AT420-$AS420,"")</f>
        <v/>
      </c>
      <c r="BE420" s="53" t="str">
        <f aca="false">IF($E420&lt;&gt;"",$E420,"")</f>
        <v/>
      </c>
      <c r="BF420" s="52" t="str">
        <f aca="false">IF($F420&lt;&gt;"",$F420,"")</f>
        <v>Apprenant 408 ou 408'</v>
      </c>
      <c r="BG420" s="55" t="str">
        <f aca="false">IF(AND($AW420&lt;&gt;"",$AX420&lt;&gt;""),$AX420-$AW420,"")</f>
        <v/>
      </c>
      <c r="BH420" s="55" t="str">
        <f aca="false">IF(AND($AW420&lt;&gt;"",$AY420&lt;&gt;""),$AY420-$AW420,"")</f>
        <v/>
      </c>
      <c r="BI420" s="55" t="str">
        <f aca="false">IF(AND($AX420&lt;&gt;"",$AY420&lt;&gt;""),$AY420-$AX420,"")</f>
        <v/>
      </c>
      <c r="BJ420" s="53" t="str">
        <f aca="false">IF($J420&lt;&gt;"",$J420,"")</f>
        <v/>
      </c>
      <c r="BL420" s="52"/>
      <c r="BM420" s="52" t="str">
        <f aca="false">IF(OR(COUNT(B420:D1419)=0,AND('Choix pédagogiques'!$C$3&lt;&gt;1,'Choix pédagogiques'!$C$3&lt;&gt;2)),"",IF(AND(OR('Choix pédagogiques'!$C$3=1,'Choix pédagogiques'!$C$3=2),$B420&lt;&gt;"",$C420&lt;&gt;"",$D420&lt;&gt;""),1,0))</f>
        <v/>
      </c>
      <c r="BN420" s="52" t="str">
        <f aca="false">IF(OR(COUNT(G420:I1419)=0,AND('Choix pédagogiques'!$C$3&lt;&gt;1,'Choix pédagogiques'!$C$3&lt;&gt;2)),"",IF(AND(OR('Choix pédagogiques'!$C$3=1,'Choix pédagogiques'!$C$3=2),AND($G420&lt;&gt;"",$H420&lt;&gt;"",$I420&lt;&gt;"")),1,0))</f>
        <v/>
      </c>
      <c r="BO420" s="52" t="str">
        <f aca="false">IF(OR(COUNT(B420:D1419)=0,COUNT(G420:I1419)=0,'Choix pédagogiques'!C$3&lt;&gt;3),"",IF(AND('Choix pédagogiques'!$C$3=3,$B420&lt;&gt;"",$C420&lt;&gt;"",$D420&lt;&gt;"",$G420&lt;&gt;"",$H420&lt;&gt;"",$I420&lt;&gt;""),1,0))</f>
        <v/>
      </c>
      <c r="BR420" s="52" t="n">
        <v>876</v>
      </c>
      <c r="BS420" s="52" t="n">
        <v>1046</v>
      </c>
    </row>
    <row r="421" s="54" customFormat="true" ht="18" hidden="false" customHeight="true" outlineLevel="0" collapsed="false">
      <c r="A421" s="57" t="s">
        <v>773</v>
      </c>
      <c r="B421" s="51"/>
      <c r="C421" s="51"/>
      <c r="D421" s="51"/>
      <c r="E421" s="51"/>
      <c r="F421" s="57" t="s">
        <v>774</v>
      </c>
      <c r="G421" s="51"/>
      <c r="H421" s="51"/>
      <c r="I421" s="51"/>
      <c r="J421" s="51"/>
      <c r="K421" s="52" t="str">
        <f aca="false">IF($A421&lt;&gt;"",$A421,"")</f>
        <v>Apprenant 409</v>
      </c>
      <c r="L421" s="53" t="str">
        <f aca="false">IF(AND($B421&lt;&gt;"",$C421&lt;&gt;""),$C421-$B421,"")</f>
        <v/>
      </c>
      <c r="M421" s="53" t="str">
        <f aca="false">IF(AND($B421&lt;&gt;"",$D421&lt;&gt;""),$D421-$B421,"")</f>
        <v/>
      </c>
      <c r="N421" s="53" t="str">
        <f aca="false">IF(AND($C421&lt;&gt;"",$D421&lt;&gt;""),$D421-$C421,"")</f>
        <v/>
      </c>
      <c r="O421" s="53" t="str">
        <f aca="false">IF($E421&lt;&gt;"",$E421,"")</f>
        <v/>
      </c>
      <c r="P421" s="52" t="str">
        <f aca="false">IF($F421&lt;&gt;"",$F421,"")</f>
        <v>Apprenant 409 ou 409'</v>
      </c>
      <c r="Q421" s="53" t="str">
        <f aca="false">IF(AND($G421&lt;&gt;"",$H421&lt;&gt;""),$H421-$G421,"")</f>
        <v/>
      </c>
      <c r="R421" s="53" t="str">
        <f aca="false">IF(AND($G421&lt;&gt;"",$I421&lt;&gt;""),$I421-$G421,"")</f>
        <v/>
      </c>
      <c r="S421" s="53" t="str">
        <f aca="false">IF(AND($H421&lt;&gt;"",$I421&lt;&gt;""),$I421-$H421,"")</f>
        <v/>
      </c>
      <c r="T421" s="53" t="str">
        <f aca="false">IF($J421&lt;&gt;"",$J421,"")</f>
        <v/>
      </c>
      <c r="V421" s="52" t="str">
        <f aca="false">IF($A421&lt;&gt;"",$A421,"")</f>
        <v>Apprenant 409</v>
      </c>
      <c r="W421" s="53" t="str">
        <f aca="false">IF(AND(OR('Choix pédagogiques'!$C$3=1,'Choix pédagogiques'!$C$3=2),$BM421=1),B421,IF(AND('Choix pédagogiques'!$C$3=3,$BO421=1),B421,""))</f>
        <v/>
      </c>
      <c r="X421" s="53" t="str">
        <f aca="false">IF(AND(OR('Choix pédagogiques'!$C$3=1,'Choix pédagogiques'!$C$3=2),$BM421=1),C421,IF(AND('Choix pédagogiques'!$C$3=3,$BO421=1),C421,""))</f>
        <v/>
      </c>
      <c r="Y421" s="53" t="str">
        <f aca="false">IF(AND(OR('Choix pédagogiques'!$C$3=1,'Choix pédagogiques'!$C$3=2),$BM421=1),D421,IF(AND('Choix pédagogiques'!$C$3=3,$BO421=1),D421,""))</f>
        <v/>
      </c>
      <c r="Z421" s="53" t="str">
        <f aca="false">IF($E421&lt;&gt;"",$E421,"")</f>
        <v/>
      </c>
      <c r="AA421" s="52" t="str">
        <f aca="false">IF($F421&lt;&gt;"",$F421,"")</f>
        <v>Apprenant 409 ou 409'</v>
      </c>
      <c r="AB421" s="53" t="str">
        <f aca="false">IF(AND(OR('Choix pédagogiques'!$C$3=1,'Choix pédagogiques'!$C$3=2),$BN421=1),G421,IF(AND('Choix pédagogiques'!$C$3=3,$BO421=1),G421,""))</f>
        <v/>
      </c>
      <c r="AC421" s="53" t="str">
        <f aca="false">IF(AND(OR('Choix pédagogiques'!$C$3=1,'Choix pédagogiques'!$C$3=2),$BN421=1),H421,IF(AND('Choix pédagogiques'!$C$3=3,$BO421=1),H421,""))</f>
        <v/>
      </c>
      <c r="AD421" s="53" t="str">
        <f aca="false">IF(AND(OR('Choix pédagogiques'!$C$3=1,'Choix pédagogiques'!$C$3=2),$BN421=1),I421,IF(AND('Choix pédagogiques'!$C$3=3,$BO421=1),I421,""))</f>
        <v/>
      </c>
      <c r="AE421" s="53" t="str">
        <f aca="false">IF($J421&lt;&gt;"",$J421,"")</f>
        <v/>
      </c>
      <c r="AF421" s="52" t="str">
        <f aca="false">IF($A421&lt;&gt;"",$A421,"")</f>
        <v>Apprenant 409</v>
      </c>
      <c r="AG421" s="53" t="str">
        <f aca="false">IF(AND($W421&lt;&gt;"",$X421&lt;&gt;""),$X421-$W421,"")</f>
        <v/>
      </c>
      <c r="AH421" s="53" t="str">
        <f aca="false">IF(AND($W421&lt;&gt;"",$Y421&lt;&gt;""),$Y421-$W421,"")</f>
        <v/>
      </c>
      <c r="AI421" s="53" t="str">
        <f aca="false">IF(AND($X421&lt;&gt;"",$Y421&lt;&gt;""),$Y421-$X421,"")</f>
        <v/>
      </c>
      <c r="AJ421" s="53" t="str">
        <f aca="false">IF($E421&lt;&gt;"",$E421,"")</f>
        <v/>
      </c>
      <c r="AK421" s="52" t="str">
        <f aca="false">IF($F421&lt;&gt;"",$F421,"")</f>
        <v>Apprenant 409 ou 409'</v>
      </c>
      <c r="AL421" s="53" t="str">
        <f aca="false">IF(AND($AB421&lt;&gt;"",$AC421&lt;&gt;""),$AC421-$AB421,"")</f>
        <v/>
      </c>
      <c r="AM421" s="53" t="str">
        <f aca="false">IF(AND($AB421&lt;&gt;"",$AD421&lt;&gt;""),$AD421-$AB421,"")</f>
        <v/>
      </c>
      <c r="AN421" s="53" t="str">
        <f aca="false">IF(AND($AC421&lt;&gt;"",$AD421&lt;&gt;""),$AD421-$AC421,"")</f>
        <v/>
      </c>
      <c r="AO421" s="53" t="str">
        <f aca="false">IF($J421&lt;&gt;"",$J421,"")</f>
        <v/>
      </c>
      <c r="AQ421" s="52" t="str">
        <f aca="false">IF($A421&lt;&gt;"",$A421,"")</f>
        <v>Apprenant 409</v>
      </c>
      <c r="AR421" s="55" t="str">
        <f aca="false">IF(AND('Choix pédagogiques'!$C$4&lt;&gt;"?",'Choix pédagogiques'!$C$5&lt;&gt;"?",W421&lt;&gt;""),(W421-'Choix pédagogiques'!$C$4)/('Choix pédagogiques'!$C$5-'Choix pédagogiques'!$C$4),"")</f>
        <v/>
      </c>
      <c r="AS421" s="55" t="str">
        <f aca="false">IF(AND('Choix pédagogiques'!$C$4&lt;&gt;"?",'Choix pédagogiques'!$C$5&lt;&gt;"?",X421&lt;&gt;""),(X421-'Choix pédagogiques'!$C$4)/('Choix pédagogiques'!$C$5-'Choix pédagogiques'!$C$4),"")</f>
        <v/>
      </c>
      <c r="AT421" s="55" t="str">
        <f aca="false">IF(AND('Choix pédagogiques'!$C$4&lt;&gt;"?",'Choix pédagogiques'!$C$5&lt;&gt;"?",Y421&lt;&gt;""),(Y421-'Choix pédagogiques'!$C$4)/('Choix pédagogiques'!$C$5-'Choix pédagogiques'!$C$4),"")</f>
        <v/>
      </c>
      <c r="AU421" s="53" t="str">
        <f aca="false">IF($E421&lt;&gt;"",$E421,"")</f>
        <v/>
      </c>
      <c r="AV421" s="52" t="str">
        <f aca="false">IF($F421&lt;&gt;"",$F421,"")</f>
        <v>Apprenant 409 ou 409'</v>
      </c>
      <c r="AW421" s="55" t="str">
        <f aca="false">IF(AND('Choix pédagogiques'!$C$4&lt;&gt;"?",'Choix pédagogiques'!$C$5&lt;&gt;"?",AB421&lt;&gt;""),(AB421-'Choix pédagogiques'!$C$4)/('Choix pédagogiques'!$C$5-'Choix pédagogiques'!$C$4),"")</f>
        <v/>
      </c>
      <c r="AX421" s="55" t="str">
        <f aca="false">IF(AND('Choix pédagogiques'!$C$4&lt;&gt;"?",'Choix pédagogiques'!$C$5&lt;&gt;"?",AC421&lt;&gt;""),(AC421-'Choix pédagogiques'!$C$4)/('Choix pédagogiques'!$C$5-'Choix pédagogiques'!$C$4),"")</f>
        <v/>
      </c>
      <c r="AY421" s="55" t="str">
        <f aca="false">IF(AND('Choix pédagogiques'!$C$4&lt;&gt;"?",'Choix pédagogiques'!$C$5&lt;&gt;"?",AD421&lt;&gt;""),(AD421-'Choix pédagogiques'!$C$4)/('Choix pédagogiques'!$C$5-'Choix pédagogiques'!$C$4),"")</f>
        <v/>
      </c>
      <c r="AZ421" s="53" t="str">
        <f aca="false">IF($J421&lt;&gt;"",$J421,"")</f>
        <v/>
      </c>
      <c r="BA421" s="52" t="str">
        <f aca="false">IF($A421&lt;&gt;"",$A421,"")</f>
        <v>Apprenant 409</v>
      </c>
      <c r="BB421" s="55" t="str">
        <f aca="false">IF(AND($AR421&lt;&gt;"",$AS421&lt;&gt;""),$AS421-$AR421,"")</f>
        <v/>
      </c>
      <c r="BC421" s="55" t="str">
        <f aca="false">IF(AND($AR421&lt;&gt;"",$AT421&lt;&gt;""),$AT421-$AR421,"")</f>
        <v/>
      </c>
      <c r="BD421" s="55" t="str">
        <f aca="false">IF(AND($AS421&lt;&gt;"",$AT421&lt;&gt;""),$AT421-$AS421,"")</f>
        <v/>
      </c>
      <c r="BE421" s="53" t="str">
        <f aca="false">IF($E421&lt;&gt;"",$E421,"")</f>
        <v/>
      </c>
      <c r="BF421" s="52" t="str">
        <f aca="false">IF($F421&lt;&gt;"",$F421,"")</f>
        <v>Apprenant 409 ou 409'</v>
      </c>
      <c r="BG421" s="55" t="str">
        <f aca="false">IF(AND($AW421&lt;&gt;"",$AX421&lt;&gt;""),$AX421-$AW421,"")</f>
        <v/>
      </c>
      <c r="BH421" s="55" t="str">
        <f aca="false">IF(AND($AW421&lt;&gt;"",$AY421&lt;&gt;""),$AY421-$AW421,"")</f>
        <v/>
      </c>
      <c r="BI421" s="55" t="str">
        <f aca="false">IF(AND($AX421&lt;&gt;"",$AY421&lt;&gt;""),$AY421-$AX421,"")</f>
        <v/>
      </c>
      <c r="BJ421" s="53" t="str">
        <f aca="false">IF($J421&lt;&gt;"",$J421,"")</f>
        <v/>
      </c>
      <c r="BL421" s="52"/>
      <c r="BM421" s="52" t="str">
        <f aca="false">IF(OR(COUNT(B421:D1420)=0,AND('Choix pédagogiques'!$C$3&lt;&gt;1,'Choix pédagogiques'!$C$3&lt;&gt;2)),"",IF(AND(OR('Choix pédagogiques'!$C$3=1,'Choix pédagogiques'!$C$3=2),$B421&lt;&gt;"",$C421&lt;&gt;"",$D421&lt;&gt;""),1,0))</f>
        <v/>
      </c>
      <c r="BN421" s="52" t="str">
        <f aca="false">IF(OR(COUNT(G421:I1420)=0,AND('Choix pédagogiques'!$C$3&lt;&gt;1,'Choix pédagogiques'!$C$3&lt;&gt;2)),"",IF(AND(OR('Choix pédagogiques'!$C$3=1,'Choix pédagogiques'!$C$3=2),AND($G421&lt;&gt;"",$H421&lt;&gt;"",$I421&lt;&gt;"")),1,0))</f>
        <v/>
      </c>
      <c r="BO421" s="52" t="str">
        <f aca="false">IF(OR(COUNT(B421:D1420)=0,COUNT(G421:I1420)=0,'Choix pédagogiques'!C$3&lt;&gt;3),"",IF(AND('Choix pédagogiques'!$C$3=3,$B421&lt;&gt;"",$C421&lt;&gt;"",$D421&lt;&gt;"",$G421&lt;&gt;"",$H421&lt;&gt;"",$I421&lt;&gt;""),1,0))</f>
        <v/>
      </c>
      <c r="BR421" s="52" t="n">
        <v>612</v>
      </c>
      <c r="BS421" s="52" t="n">
        <v>1726</v>
      </c>
    </row>
    <row r="422" s="54" customFormat="true" ht="18" hidden="false" customHeight="true" outlineLevel="0" collapsed="false">
      <c r="A422" s="57" t="s">
        <v>775</v>
      </c>
      <c r="B422" s="51"/>
      <c r="C422" s="51"/>
      <c r="D422" s="51"/>
      <c r="E422" s="51"/>
      <c r="F422" s="57" t="s">
        <v>776</v>
      </c>
      <c r="G422" s="51"/>
      <c r="H422" s="51"/>
      <c r="I422" s="51"/>
      <c r="J422" s="51"/>
      <c r="K422" s="52" t="str">
        <f aca="false">IF($A422&lt;&gt;"",$A422,"")</f>
        <v>Apprenant 410</v>
      </c>
      <c r="L422" s="53" t="str">
        <f aca="false">IF(AND($B422&lt;&gt;"",$C422&lt;&gt;""),$C422-$B422,"")</f>
        <v/>
      </c>
      <c r="M422" s="53" t="str">
        <f aca="false">IF(AND($B422&lt;&gt;"",$D422&lt;&gt;""),$D422-$B422,"")</f>
        <v/>
      </c>
      <c r="N422" s="53" t="str">
        <f aca="false">IF(AND($C422&lt;&gt;"",$D422&lt;&gt;""),$D422-$C422,"")</f>
        <v/>
      </c>
      <c r="O422" s="53" t="str">
        <f aca="false">IF($E422&lt;&gt;"",$E422,"")</f>
        <v/>
      </c>
      <c r="P422" s="52" t="str">
        <f aca="false">IF($F422&lt;&gt;"",$F422,"")</f>
        <v>Apprenant 410 ou 410'</v>
      </c>
      <c r="Q422" s="53" t="str">
        <f aca="false">IF(AND($G422&lt;&gt;"",$H422&lt;&gt;""),$H422-$G422,"")</f>
        <v/>
      </c>
      <c r="R422" s="53" t="str">
        <f aca="false">IF(AND($G422&lt;&gt;"",$I422&lt;&gt;""),$I422-$G422,"")</f>
        <v/>
      </c>
      <c r="S422" s="53" t="str">
        <f aca="false">IF(AND($H422&lt;&gt;"",$I422&lt;&gt;""),$I422-$H422,"")</f>
        <v/>
      </c>
      <c r="T422" s="53" t="str">
        <f aca="false">IF($J422&lt;&gt;"",$J422,"")</f>
        <v/>
      </c>
      <c r="V422" s="52" t="str">
        <f aca="false">IF($A422&lt;&gt;"",$A422,"")</f>
        <v>Apprenant 410</v>
      </c>
      <c r="W422" s="53" t="str">
        <f aca="false">IF(AND(OR('Choix pédagogiques'!$C$3=1,'Choix pédagogiques'!$C$3=2),$BM422=1),B422,IF(AND('Choix pédagogiques'!$C$3=3,$BO422=1),B422,""))</f>
        <v/>
      </c>
      <c r="X422" s="53" t="str">
        <f aca="false">IF(AND(OR('Choix pédagogiques'!$C$3=1,'Choix pédagogiques'!$C$3=2),$BM422=1),C422,IF(AND('Choix pédagogiques'!$C$3=3,$BO422=1),C422,""))</f>
        <v/>
      </c>
      <c r="Y422" s="53" t="str">
        <f aca="false">IF(AND(OR('Choix pédagogiques'!$C$3=1,'Choix pédagogiques'!$C$3=2),$BM422=1),D422,IF(AND('Choix pédagogiques'!$C$3=3,$BO422=1),D422,""))</f>
        <v/>
      </c>
      <c r="Z422" s="53" t="str">
        <f aca="false">IF($E422&lt;&gt;"",$E422,"")</f>
        <v/>
      </c>
      <c r="AA422" s="52" t="str">
        <f aca="false">IF($F422&lt;&gt;"",$F422,"")</f>
        <v>Apprenant 410 ou 410'</v>
      </c>
      <c r="AB422" s="53" t="str">
        <f aca="false">IF(AND(OR('Choix pédagogiques'!$C$3=1,'Choix pédagogiques'!$C$3=2),$BN422=1),G422,IF(AND('Choix pédagogiques'!$C$3=3,$BO422=1),G422,""))</f>
        <v/>
      </c>
      <c r="AC422" s="53" t="str">
        <f aca="false">IF(AND(OR('Choix pédagogiques'!$C$3=1,'Choix pédagogiques'!$C$3=2),$BN422=1),H422,IF(AND('Choix pédagogiques'!$C$3=3,$BO422=1),H422,""))</f>
        <v/>
      </c>
      <c r="AD422" s="53" t="str">
        <f aca="false">IF(AND(OR('Choix pédagogiques'!$C$3=1,'Choix pédagogiques'!$C$3=2),$BN422=1),I422,IF(AND('Choix pédagogiques'!$C$3=3,$BO422=1),I422,""))</f>
        <v/>
      </c>
      <c r="AE422" s="53" t="str">
        <f aca="false">IF($J422&lt;&gt;"",$J422,"")</f>
        <v/>
      </c>
      <c r="AF422" s="52" t="str">
        <f aca="false">IF($A422&lt;&gt;"",$A422,"")</f>
        <v>Apprenant 410</v>
      </c>
      <c r="AG422" s="53" t="str">
        <f aca="false">IF(AND($W422&lt;&gt;"",$X422&lt;&gt;""),$X422-$W422,"")</f>
        <v/>
      </c>
      <c r="AH422" s="53" t="str">
        <f aca="false">IF(AND($W422&lt;&gt;"",$Y422&lt;&gt;""),$Y422-$W422,"")</f>
        <v/>
      </c>
      <c r="AI422" s="53" t="str">
        <f aca="false">IF(AND($X422&lt;&gt;"",$Y422&lt;&gt;""),$Y422-$X422,"")</f>
        <v/>
      </c>
      <c r="AJ422" s="53" t="str">
        <f aca="false">IF($E422&lt;&gt;"",$E422,"")</f>
        <v/>
      </c>
      <c r="AK422" s="52" t="str">
        <f aca="false">IF($F422&lt;&gt;"",$F422,"")</f>
        <v>Apprenant 410 ou 410'</v>
      </c>
      <c r="AL422" s="53" t="str">
        <f aca="false">IF(AND($AB422&lt;&gt;"",$AC422&lt;&gt;""),$AC422-$AB422,"")</f>
        <v/>
      </c>
      <c r="AM422" s="53" t="str">
        <f aca="false">IF(AND($AB422&lt;&gt;"",$AD422&lt;&gt;""),$AD422-$AB422,"")</f>
        <v/>
      </c>
      <c r="AN422" s="53" t="str">
        <f aca="false">IF(AND($AC422&lt;&gt;"",$AD422&lt;&gt;""),$AD422-$AC422,"")</f>
        <v/>
      </c>
      <c r="AO422" s="53" t="str">
        <f aca="false">IF($J422&lt;&gt;"",$J422,"")</f>
        <v/>
      </c>
      <c r="AQ422" s="52" t="str">
        <f aca="false">IF($A422&lt;&gt;"",$A422,"")</f>
        <v>Apprenant 410</v>
      </c>
      <c r="AR422" s="55" t="str">
        <f aca="false">IF(AND('Choix pédagogiques'!$C$4&lt;&gt;"?",'Choix pédagogiques'!$C$5&lt;&gt;"?",W422&lt;&gt;""),(W422-'Choix pédagogiques'!$C$4)/('Choix pédagogiques'!$C$5-'Choix pédagogiques'!$C$4),"")</f>
        <v/>
      </c>
      <c r="AS422" s="55" t="str">
        <f aca="false">IF(AND('Choix pédagogiques'!$C$4&lt;&gt;"?",'Choix pédagogiques'!$C$5&lt;&gt;"?",X422&lt;&gt;""),(X422-'Choix pédagogiques'!$C$4)/('Choix pédagogiques'!$C$5-'Choix pédagogiques'!$C$4),"")</f>
        <v/>
      </c>
      <c r="AT422" s="55" t="str">
        <f aca="false">IF(AND('Choix pédagogiques'!$C$4&lt;&gt;"?",'Choix pédagogiques'!$C$5&lt;&gt;"?",Y422&lt;&gt;""),(Y422-'Choix pédagogiques'!$C$4)/('Choix pédagogiques'!$C$5-'Choix pédagogiques'!$C$4),"")</f>
        <v/>
      </c>
      <c r="AU422" s="53" t="str">
        <f aca="false">IF($E422&lt;&gt;"",$E422,"")</f>
        <v/>
      </c>
      <c r="AV422" s="52" t="str">
        <f aca="false">IF($F422&lt;&gt;"",$F422,"")</f>
        <v>Apprenant 410 ou 410'</v>
      </c>
      <c r="AW422" s="55" t="str">
        <f aca="false">IF(AND('Choix pédagogiques'!$C$4&lt;&gt;"?",'Choix pédagogiques'!$C$5&lt;&gt;"?",AB422&lt;&gt;""),(AB422-'Choix pédagogiques'!$C$4)/('Choix pédagogiques'!$C$5-'Choix pédagogiques'!$C$4),"")</f>
        <v/>
      </c>
      <c r="AX422" s="55" t="str">
        <f aca="false">IF(AND('Choix pédagogiques'!$C$4&lt;&gt;"?",'Choix pédagogiques'!$C$5&lt;&gt;"?",AC422&lt;&gt;""),(AC422-'Choix pédagogiques'!$C$4)/('Choix pédagogiques'!$C$5-'Choix pédagogiques'!$C$4),"")</f>
        <v/>
      </c>
      <c r="AY422" s="55" t="str">
        <f aca="false">IF(AND('Choix pédagogiques'!$C$4&lt;&gt;"?",'Choix pédagogiques'!$C$5&lt;&gt;"?",AD422&lt;&gt;""),(AD422-'Choix pédagogiques'!$C$4)/('Choix pédagogiques'!$C$5-'Choix pédagogiques'!$C$4),"")</f>
        <v/>
      </c>
      <c r="AZ422" s="53" t="str">
        <f aca="false">IF($J422&lt;&gt;"",$J422,"")</f>
        <v/>
      </c>
      <c r="BA422" s="52" t="str">
        <f aca="false">IF($A422&lt;&gt;"",$A422,"")</f>
        <v>Apprenant 410</v>
      </c>
      <c r="BB422" s="55" t="str">
        <f aca="false">IF(AND($AR422&lt;&gt;"",$AS422&lt;&gt;""),$AS422-$AR422,"")</f>
        <v/>
      </c>
      <c r="BC422" s="55" t="str">
        <f aca="false">IF(AND($AR422&lt;&gt;"",$AT422&lt;&gt;""),$AT422-$AR422,"")</f>
        <v/>
      </c>
      <c r="BD422" s="55" t="str">
        <f aca="false">IF(AND($AS422&lt;&gt;"",$AT422&lt;&gt;""),$AT422-$AS422,"")</f>
        <v/>
      </c>
      <c r="BE422" s="53" t="str">
        <f aca="false">IF($E422&lt;&gt;"",$E422,"")</f>
        <v/>
      </c>
      <c r="BF422" s="52" t="str">
        <f aca="false">IF($F422&lt;&gt;"",$F422,"")</f>
        <v>Apprenant 410 ou 410'</v>
      </c>
      <c r="BG422" s="55" t="str">
        <f aca="false">IF(AND($AW422&lt;&gt;"",$AX422&lt;&gt;""),$AX422-$AW422,"")</f>
        <v/>
      </c>
      <c r="BH422" s="55" t="str">
        <f aca="false">IF(AND($AW422&lt;&gt;"",$AY422&lt;&gt;""),$AY422-$AW422,"")</f>
        <v/>
      </c>
      <c r="BI422" s="55" t="str">
        <f aca="false">IF(AND($AX422&lt;&gt;"",$AY422&lt;&gt;""),$AY422-$AX422,"")</f>
        <v/>
      </c>
      <c r="BJ422" s="53" t="str">
        <f aca="false">IF($J422&lt;&gt;"",$J422,"")</f>
        <v/>
      </c>
      <c r="BL422" s="52"/>
      <c r="BM422" s="52" t="str">
        <f aca="false">IF(OR(COUNT(B422:D1421)=0,AND('Choix pédagogiques'!$C$3&lt;&gt;1,'Choix pédagogiques'!$C$3&lt;&gt;2)),"",IF(AND(OR('Choix pédagogiques'!$C$3=1,'Choix pédagogiques'!$C$3=2),$B422&lt;&gt;"",$C422&lt;&gt;"",$D422&lt;&gt;""),1,0))</f>
        <v/>
      </c>
      <c r="BN422" s="52" t="str">
        <f aca="false">IF(OR(COUNT(G422:I1421)=0,AND('Choix pédagogiques'!$C$3&lt;&gt;1,'Choix pédagogiques'!$C$3&lt;&gt;2)),"",IF(AND(OR('Choix pédagogiques'!$C$3=1,'Choix pédagogiques'!$C$3=2),AND($G422&lt;&gt;"",$H422&lt;&gt;"",$I422&lt;&gt;"")),1,0))</f>
        <v/>
      </c>
      <c r="BO422" s="52" t="str">
        <f aca="false">IF(OR(COUNT(B422:D1421)=0,COUNT(G422:I1421)=0,'Choix pédagogiques'!C$3&lt;&gt;3),"",IF(AND('Choix pédagogiques'!$C$3=3,$B422&lt;&gt;"",$C422&lt;&gt;"",$D422&lt;&gt;"",$G422&lt;&gt;"",$H422&lt;&gt;"",$I422&lt;&gt;""),1,0))</f>
        <v/>
      </c>
      <c r="BR422" s="52" t="n">
        <v>644</v>
      </c>
      <c r="BS422" s="52" t="n">
        <v>1506</v>
      </c>
    </row>
    <row r="423" s="54" customFormat="true" ht="18" hidden="false" customHeight="true" outlineLevel="0" collapsed="false">
      <c r="A423" s="57" t="s">
        <v>777</v>
      </c>
      <c r="B423" s="51"/>
      <c r="C423" s="51"/>
      <c r="D423" s="51"/>
      <c r="E423" s="51"/>
      <c r="F423" s="57" t="s">
        <v>778</v>
      </c>
      <c r="G423" s="51"/>
      <c r="H423" s="51"/>
      <c r="I423" s="51"/>
      <c r="J423" s="51"/>
      <c r="K423" s="52" t="str">
        <f aca="false">IF($A423&lt;&gt;"",$A423,"")</f>
        <v>Apprenant 411</v>
      </c>
      <c r="L423" s="53" t="str">
        <f aca="false">IF(AND($B423&lt;&gt;"",$C423&lt;&gt;""),$C423-$B423,"")</f>
        <v/>
      </c>
      <c r="M423" s="53" t="str">
        <f aca="false">IF(AND($B423&lt;&gt;"",$D423&lt;&gt;""),$D423-$B423,"")</f>
        <v/>
      </c>
      <c r="N423" s="53" t="str">
        <f aca="false">IF(AND($C423&lt;&gt;"",$D423&lt;&gt;""),$D423-$C423,"")</f>
        <v/>
      </c>
      <c r="O423" s="53" t="str">
        <f aca="false">IF($E423&lt;&gt;"",$E423,"")</f>
        <v/>
      </c>
      <c r="P423" s="52" t="str">
        <f aca="false">IF($F423&lt;&gt;"",$F423,"")</f>
        <v>Apprenant 411 ou 411'</v>
      </c>
      <c r="Q423" s="53" t="str">
        <f aca="false">IF(AND($G423&lt;&gt;"",$H423&lt;&gt;""),$H423-$G423,"")</f>
        <v/>
      </c>
      <c r="R423" s="53" t="str">
        <f aca="false">IF(AND($G423&lt;&gt;"",$I423&lt;&gt;""),$I423-$G423,"")</f>
        <v/>
      </c>
      <c r="S423" s="53" t="str">
        <f aca="false">IF(AND($H423&lt;&gt;"",$I423&lt;&gt;""),$I423-$H423,"")</f>
        <v/>
      </c>
      <c r="T423" s="53" t="str">
        <f aca="false">IF($J423&lt;&gt;"",$J423,"")</f>
        <v/>
      </c>
      <c r="V423" s="52" t="str">
        <f aca="false">IF($A423&lt;&gt;"",$A423,"")</f>
        <v>Apprenant 411</v>
      </c>
      <c r="W423" s="53" t="str">
        <f aca="false">IF(AND(OR('Choix pédagogiques'!$C$3=1,'Choix pédagogiques'!$C$3=2),$BM423=1),B423,IF(AND('Choix pédagogiques'!$C$3=3,$BO423=1),B423,""))</f>
        <v/>
      </c>
      <c r="X423" s="53" t="str">
        <f aca="false">IF(AND(OR('Choix pédagogiques'!$C$3=1,'Choix pédagogiques'!$C$3=2),$BM423=1),C423,IF(AND('Choix pédagogiques'!$C$3=3,$BO423=1),C423,""))</f>
        <v/>
      </c>
      <c r="Y423" s="53" t="str">
        <f aca="false">IF(AND(OR('Choix pédagogiques'!$C$3=1,'Choix pédagogiques'!$C$3=2),$BM423=1),D423,IF(AND('Choix pédagogiques'!$C$3=3,$BO423=1),D423,""))</f>
        <v/>
      </c>
      <c r="Z423" s="53" t="str">
        <f aca="false">IF($E423&lt;&gt;"",$E423,"")</f>
        <v/>
      </c>
      <c r="AA423" s="52" t="str">
        <f aca="false">IF($F423&lt;&gt;"",$F423,"")</f>
        <v>Apprenant 411 ou 411'</v>
      </c>
      <c r="AB423" s="53" t="str">
        <f aca="false">IF(AND(OR('Choix pédagogiques'!$C$3=1,'Choix pédagogiques'!$C$3=2),$BN423=1),G423,IF(AND('Choix pédagogiques'!$C$3=3,$BO423=1),G423,""))</f>
        <v/>
      </c>
      <c r="AC423" s="53" t="str">
        <f aca="false">IF(AND(OR('Choix pédagogiques'!$C$3=1,'Choix pédagogiques'!$C$3=2),$BN423=1),H423,IF(AND('Choix pédagogiques'!$C$3=3,$BO423=1),H423,""))</f>
        <v/>
      </c>
      <c r="AD423" s="53" t="str">
        <f aca="false">IF(AND(OR('Choix pédagogiques'!$C$3=1,'Choix pédagogiques'!$C$3=2),$BN423=1),I423,IF(AND('Choix pédagogiques'!$C$3=3,$BO423=1),I423,""))</f>
        <v/>
      </c>
      <c r="AE423" s="53" t="str">
        <f aca="false">IF($J423&lt;&gt;"",$J423,"")</f>
        <v/>
      </c>
      <c r="AF423" s="52" t="str">
        <f aca="false">IF($A423&lt;&gt;"",$A423,"")</f>
        <v>Apprenant 411</v>
      </c>
      <c r="AG423" s="53" t="str">
        <f aca="false">IF(AND($W423&lt;&gt;"",$X423&lt;&gt;""),$X423-$W423,"")</f>
        <v/>
      </c>
      <c r="AH423" s="53" t="str">
        <f aca="false">IF(AND($W423&lt;&gt;"",$Y423&lt;&gt;""),$Y423-$W423,"")</f>
        <v/>
      </c>
      <c r="AI423" s="53" t="str">
        <f aca="false">IF(AND($X423&lt;&gt;"",$Y423&lt;&gt;""),$Y423-$X423,"")</f>
        <v/>
      </c>
      <c r="AJ423" s="53" t="str">
        <f aca="false">IF($E423&lt;&gt;"",$E423,"")</f>
        <v/>
      </c>
      <c r="AK423" s="52" t="str">
        <f aca="false">IF($F423&lt;&gt;"",$F423,"")</f>
        <v>Apprenant 411 ou 411'</v>
      </c>
      <c r="AL423" s="53" t="str">
        <f aca="false">IF(AND($AB423&lt;&gt;"",$AC423&lt;&gt;""),$AC423-$AB423,"")</f>
        <v/>
      </c>
      <c r="AM423" s="53" t="str">
        <f aca="false">IF(AND($AB423&lt;&gt;"",$AD423&lt;&gt;""),$AD423-$AB423,"")</f>
        <v/>
      </c>
      <c r="AN423" s="53" t="str">
        <f aca="false">IF(AND($AC423&lt;&gt;"",$AD423&lt;&gt;""),$AD423-$AC423,"")</f>
        <v/>
      </c>
      <c r="AO423" s="53" t="str">
        <f aca="false">IF($J423&lt;&gt;"",$J423,"")</f>
        <v/>
      </c>
      <c r="AQ423" s="52" t="str">
        <f aca="false">IF($A423&lt;&gt;"",$A423,"")</f>
        <v>Apprenant 411</v>
      </c>
      <c r="AR423" s="55" t="str">
        <f aca="false">IF(AND('Choix pédagogiques'!$C$4&lt;&gt;"?",'Choix pédagogiques'!$C$5&lt;&gt;"?",W423&lt;&gt;""),(W423-'Choix pédagogiques'!$C$4)/('Choix pédagogiques'!$C$5-'Choix pédagogiques'!$C$4),"")</f>
        <v/>
      </c>
      <c r="AS423" s="55" t="str">
        <f aca="false">IF(AND('Choix pédagogiques'!$C$4&lt;&gt;"?",'Choix pédagogiques'!$C$5&lt;&gt;"?",X423&lt;&gt;""),(X423-'Choix pédagogiques'!$C$4)/('Choix pédagogiques'!$C$5-'Choix pédagogiques'!$C$4),"")</f>
        <v/>
      </c>
      <c r="AT423" s="55" t="str">
        <f aca="false">IF(AND('Choix pédagogiques'!$C$4&lt;&gt;"?",'Choix pédagogiques'!$C$5&lt;&gt;"?",Y423&lt;&gt;""),(Y423-'Choix pédagogiques'!$C$4)/('Choix pédagogiques'!$C$5-'Choix pédagogiques'!$C$4),"")</f>
        <v/>
      </c>
      <c r="AU423" s="53" t="str">
        <f aca="false">IF($E423&lt;&gt;"",$E423,"")</f>
        <v/>
      </c>
      <c r="AV423" s="52" t="str">
        <f aca="false">IF($F423&lt;&gt;"",$F423,"")</f>
        <v>Apprenant 411 ou 411'</v>
      </c>
      <c r="AW423" s="55" t="str">
        <f aca="false">IF(AND('Choix pédagogiques'!$C$4&lt;&gt;"?",'Choix pédagogiques'!$C$5&lt;&gt;"?",AB423&lt;&gt;""),(AB423-'Choix pédagogiques'!$C$4)/('Choix pédagogiques'!$C$5-'Choix pédagogiques'!$C$4),"")</f>
        <v/>
      </c>
      <c r="AX423" s="55" t="str">
        <f aca="false">IF(AND('Choix pédagogiques'!$C$4&lt;&gt;"?",'Choix pédagogiques'!$C$5&lt;&gt;"?",AC423&lt;&gt;""),(AC423-'Choix pédagogiques'!$C$4)/('Choix pédagogiques'!$C$5-'Choix pédagogiques'!$C$4),"")</f>
        <v/>
      </c>
      <c r="AY423" s="55" t="str">
        <f aca="false">IF(AND('Choix pédagogiques'!$C$4&lt;&gt;"?",'Choix pédagogiques'!$C$5&lt;&gt;"?",AD423&lt;&gt;""),(AD423-'Choix pédagogiques'!$C$4)/('Choix pédagogiques'!$C$5-'Choix pédagogiques'!$C$4),"")</f>
        <v/>
      </c>
      <c r="AZ423" s="53" t="str">
        <f aca="false">IF($J423&lt;&gt;"",$J423,"")</f>
        <v/>
      </c>
      <c r="BA423" s="52" t="str">
        <f aca="false">IF($A423&lt;&gt;"",$A423,"")</f>
        <v>Apprenant 411</v>
      </c>
      <c r="BB423" s="55" t="str">
        <f aca="false">IF(AND($AR423&lt;&gt;"",$AS423&lt;&gt;""),$AS423-$AR423,"")</f>
        <v/>
      </c>
      <c r="BC423" s="55" t="str">
        <f aca="false">IF(AND($AR423&lt;&gt;"",$AT423&lt;&gt;""),$AT423-$AR423,"")</f>
        <v/>
      </c>
      <c r="BD423" s="55" t="str">
        <f aca="false">IF(AND($AS423&lt;&gt;"",$AT423&lt;&gt;""),$AT423-$AS423,"")</f>
        <v/>
      </c>
      <c r="BE423" s="53" t="str">
        <f aca="false">IF($E423&lt;&gt;"",$E423,"")</f>
        <v/>
      </c>
      <c r="BF423" s="52" t="str">
        <f aca="false">IF($F423&lt;&gt;"",$F423,"")</f>
        <v>Apprenant 411 ou 411'</v>
      </c>
      <c r="BG423" s="55" t="str">
        <f aca="false">IF(AND($AW423&lt;&gt;"",$AX423&lt;&gt;""),$AX423-$AW423,"")</f>
        <v/>
      </c>
      <c r="BH423" s="55" t="str">
        <f aca="false">IF(AND($AW423&lt;&gt;"",$AY423&lt;&gt;""),$AY423-$AW423,"")</f>
        <v/>
      </c>
      <c r="BI423" s="55" t="str">
        <f aca="false">IF(AND($AX423&lt;&gt;"",$AY423&lt;&gt;""),$AY423-$AX423,"")</f>
        <v/>
      </c>
      <c r="BJ423" s="53" t="str">
        <f aca="false">IF($J423&lt;&gt;"",$J423,"")</f>
        <v/>
      </c>
      <c r="BL423" s="52"/>
      <c r="BM423" s="52" t="str">
        <f aca="false">IF(OR(COUNT(B423:D1422)=0,AND('Choix pédagogiques'!$C$3&lt;&gt;1,'Choix pédagogiques'!$C$3&lt;&gt;2)),"",IF(AND(OR('Choix pédagogiques'!$C$3=1,'Choix pédagogiques'!$C$3=2),$B423&lt;&gt;"",$C423&lt;&gt;"",$D423&lt;&gt;""),1,0))</f>
        <v/>
      </c>
      <c r="BN423" s="52" t="str">
        <f aca="false">IF(OR(COUNT(G423:I1422)=0,AND('Choix pédagogiques'!$C$3&lt;&gt;1,'Choix pédagogiques'!$C$3&lt;&gt;2)),"",IF(AND(OR('Choix pédagogiques'!$C$3=1,'Choix pédagogiques'!$C$3=2),AND($G423&lt;&gt;"",$H423&lt;&gt;"",$I423&lt;&gt;"")),1,0))</f>
        <v/>
      </c>
      <c r="BO423" s="52" t="str">
        <f aca="false">IF(OR(COUNT(B423:D1422)=0,COUNT(G423:I1422)=0,'Choix pédagogiques'!C$3&lt;&gt;3),"",IF(AND('Choix pédagogiques'!$C$3=3,$B423&lt;&gt;"",$C423&lt;&gt;"",$D423&lt;&gt;"",$G423&lt;&gt;"",$H423&lt;&gt;"",$I423&lt;&gt;""),1,0))</f>
        <v/>
      </c>
      <c r="BR423" s="52" t="n">
        <v>268</v>
      </c>
      <c r="BS423" s="52" t="n">
        <v>1227</v>
      </c>
    </row>
    <row r="424" s="54" customFormat="true" ht="18" hidden="false" customHeight="true" outlineLevel="0" collapsed="false">
      <c r="A424" s="57" t="s">
        <v>779</v>
      </c>
      <c r="B424" s="51"/>
      <c r="C424" s="51"/>
      <c r="D424" s="51"/>
      <c r="E424" s="51"/>
      <c r="F424" s="57" t="s">
        <v>780</v>
      </c>
      <c r="G424" s="51"/>
      <c r="H424" s="51"/>
      <c r="I424" s="51"/>
      <c r="J424" s="51"/>
      <c r="K424" s="52" t="str">
        <f aca="false">IF($A424&lt;&gt;"",$A424,"")</f>
        <v>Apprenant 412</v>
      </c>
      <c r="L424" s="53" t="str">
        <f aca="false">IF(AND($B424&lt;&gt;"",$C424&lt;&gt;""),$C424-$B424,"")</f>
        <v/>
      </c>
      <c r="M424" s="53" t="str">
        <f aca="false">IF(AND($B424&lt;&gt;"",$D424&lt;&gt;""),$D424-$B424,"")</f>
        <v/>
      </c>
      <c r="N424" s="53" t="str">
        <f aca="false">IF(AND($C424&lt;&gt;"",$D424&lt;&gt;""),$D424-$C424,"")</f>
        <v/>
      </c>
      <c r="O424" s="53" t="str">
        <f aca="false">IF($E424&lt;&gt;"",$E424,"")</f>
        <v/>
      </c>
      <c r="P424" s="52" t="str">
        <f aca="false">IF($F424&lt;&gt;"",$F424,"")</f>
        <v>Apprenant 412 ou 412'</v>
      </c>
      <c r="Q424" s="53" t="str">
        <f aca="false">IF(AND($G424&lt;&gt;"",$H424&lt;&gt;""),$H424-$G424,"")</f>
        <v/>
      </c>
      <c r="R424" s="53" t="str">
        <f aca="false">IF(AND($G424&lt;&gt;"",$I424&lt;&gt;""),$I424-$G424,"")</f>
        <v/>
      </c>
      <c r="S424" s="53" t="str">
        <f aca="false">IF(AND($H424&lt;&gt;"",$I424&lt;&gt;""),$I424-$H424,"")</f>
        <v/>
      </c>
      <c r="T424" s="53" t="str">
        <f aca="false">IF($J424&lt;&gt;"",$J424,"")</f>
        <v/>
      </c>
      <c r="V424" s="52" t="str">
        <f aca="false">IF($A424&lt;&gt;"",$A424,"")</f>
        <v>Apprenant 412</v>
      </c>
      <c r="W424" s="53" t="str">
        <f aca="false">IF(AND(OR('Choix pédagogiques'!$C$3=1,'Choix pédagogiques'!$C$3=2),$BM424=1),B424,IF(AND('Choix pédagogiques'!$C$3=3,$BO424=1),B424,""))</f>
        <v/>
      </c>
      <c r="X424" s="53" t="str">
        <f aca="false">IF(AND(OR('Choix pédagogiques'!$C$3=1,'Choix pédagogiques'!$C$3=2),$BM424=1),C424,IF(AND('Choix pédagogiques'!$C$3=3,$BO424=1),C424,""))</f>
        <v/>
      </c>
      <c r="Y424" s="53" t="str">
        <f aca="false">IF(AND(OR('Choix pédagogiques'!$C$3=1,'Choix pédagogiques'!$C$3=2),$BM424=1),D424,IF(AND('Choix pédagogiques'!$C$3=3,$BO424=1),D424,""))</f>
        <v/>
      </c>
      <c r="Z424" s="53" t="str">
        <f aca="false">IF($E424&lt;&gt;"",$E424,"")</f>
        <v/>
      </c>
      <c r="AA424" s="52" t="str">
        <f aca="false">IF($F424&lt;&gt;"",$F424,"")</f>
        <v>Apprenant 412 ou 412'</v>
      </c>
      <c r="AB424" s="53" t="str">
        <f aca="false">IF(AND(OR('Choix pédagogiques'!$C$3=1,'Choix pédagogiques'!$C$3=2),$BN424=1),G424,IF(AND('Choix pédagogiques'!$C$3=3,$BO424=1),G424,""))</f>
        <v/>
      </c>
      <c r="AC424" s="53" t="str">
        <f aca="false">IF(AND(OR('Choix pédagogiques'!$C$3=1,'Choix pédagogiques'!$C$3=2),$BN424=1),H424,IF(AND('Choix pédagogiques'!$C$3=3,$BO424=1),H424,""))</f>
        <v/>
      </c>
      <c r="AD424" s="53" t="str">
        <f aca="false">IF(AND(OR('Choix pédagogiques'!$C$3=1,'Choix pédagogiques'!$C$3=2),$BN424=1),I424,IF(AND('Choix pédagogiques'!$C$3=3,$BO424=1),I424,""))</f>
        <v/>
      </c>
      <c r="AE424" s="53" t="str">
        <f aca="false">IF($J424&lt;&gt;"",$J424,"")</f>
        <v/>
      </c>
      <c r="AF424" s="52" t="str">
        <f aca="false">IF($A424&lt;&gt;"",$A424,"")</f>
        <v>Apprenant 412</v>
      </c>
      <c r="AG424" s="53" t="str">
        <f aca="false">IF(AND($W424&lt;&gt;"",$X424&lt;&gt;""),$X424-$W424,"")</f>
        <v/>
      </c>
      <c r="AH424" s="53" t="str">
        <f aca="false">IF(AND($W424&lt;&gt;"",$Y424&lt;&gt;""),$Y424-$W424,"")</f>
        <v/>
      </c>
      <c r="AI424" s="53" t="str">
        <f aca="false">IF(AND($X424&lt;&gt;"",$Y424&lt;&gt;""),$Y424-$X424,"")</f>
        <v/>
      </c>
      <c r="AJ424" s="53" t="str">
        <f aca="false">IF($E424&lt;&gt;"",$E424,"")</f>
        <v/>
      </c>
      <c r="AK424" s="52" t="str">
        <f aca="false">IF($F424&lt;&gt;"",$F424,"")</f>
        <v>Apprenant 412 ou 412'</v>
      </c>
      <c r="AL424" s="53" t="str">
        <f aca="false">IF(AND($AB424&lt;&gt;"",$AC424&lt;&gt;""),$AC424-$AB424,"")</f>
        <v/>
      </c>
      <c r="AM424" s="53" t="str">
        <f aca="false">IF(AND($AB424&lt;&gt;"",$AD424&lt;&gt;""),$AD424-$AB424,"")</f>
        <v/>
      </c>
      <c r="AN424" s="53" t="str">
        <f aca="false">IF(AND($AC424&lt;&gt;"",$AD424&lt;&gt;""),$AD424-$AC424,"")</f>
        <v/>
      </c>
      <c r="AO424" s="53" t="str">
        <f aca="false">IF($J424&lt;&gt;"",$J424,"")</f>
        <v/>
      </c>
      <c r="AQ424" s="52" t="str">
        <f aca="false">IF($A424&lt;&gt;"",$A424,"")</f>
        <v>Apprenant 412</v>
      </c>
      <c r="AR424" s="55" t="str">
        <f aca="false">IF(AND('Choix pédagogiques'!$C$4&lt;&gt;"?",'Choix pédagogiques'!$C$5&lt;&gt;"?",W424&lt;&gt;""),(W424-'Choix pédagogiques'!$C$4)/('Choix pédagogiques'!$C$5-'Choix pédagogiques'!$C$4),"")</f>
        <v/>
      </c>
      <c r="AS424" s="55" t="str">
        <f aca="false">IF(AND('Choix pédagogiques'!$C$4&lt;&gt;"?",'Choix pédagogiques'!$C$5&lt;&gt;"?",X424&lt;&gt;""),(X424-'Choix pédagogiques'!$C$4)/('Choix pédagogiques'!$C$5-'Choix pédagogiques'!$C$4),"")</f>
        <v/>
      </c>
      <c r="AT424" s="55" t="str">
        <f aca="false">IF(AND('Choix pédagogiques'!$C$4&lt;&gt;"?",'Choix pédagogiques'!$C$5&lt;&gt;"?",Y424&lt;&gt;""),(Y424-'Choix pédagogiques'!$C$4)/('Choix pédagogiques'!$C$5-'Choix pédagogiques'!$C$4),"")</f>
        <v/>
      </c>
      <c r="AU424" s="53" t="str">
        <f aca="false">IF($E424&lt;&gt;"",$E424,"")</f>
        <v/>
      </c>
      <c r="AV424" s="52" t="str">
        <f aca="false">IF($F424&lt;&gt;"",$F424,"")</f>
        <v>Apprenant 412 ou 412'</v>
      </c>
      <c r="AW424" s="55" t="str">
        <f aca="false">IF(AND('Choix pédagogiques'!$C$4&lt;&gt;"?",'Choix pédagogiques'!$C$5&lt;&gt;"?",AB424&lt;&gt;""),(AB424-'Choix pédagogiques'!$C$4)/('Choix pédagogiques'!$C$5-'Choix pédagogiques'!$C$4),"")</f>
        <v/>
      </c>
      <c r="AX424" s="55" t="str">
        <f aca="false">IF(AND('Choix pédagogiques'!$C$4&lt;&gt;"?",'Choix pédagogiques'!$C$5&lt;&gt;"?",AC424&lt;&gt;""),(AC424-'Choix pédagogiques'!$C$4)/('Choix pédagogiques'!$C$5-'Choix pédagogiques'!$C$4),"")</f>
        <v/>
      </c>
      <c r="AY424" s="55" t="str">
        <f aca="false">IF(AND('Choix pédagogiques'!$C$4&lt;&gt;"?",'Choix pédagogiques'!$C$5&lt;&gt;"?",AD424&lt;&gt;""),(AD424-'Choix pédagogiques'!$C$4)/('Choix pédagogiques'!$C$5-'Choix pédagogiques'!$C$4),"")</f>
        <v/>
      </c>
      <c r="AZ424" s="53" t="str">
        <f aca="false">IF($J424&lt;&gt;"",$J424,"")</f>
        <v/>
      </c>
      <c r="BA424" s="52" t="str">
        <f aca="false">IF($A424&lt;&gt;"",$A424,"")</f>
        <v>Apprenant 412</v>
      </c>
      <c r="BB424" s="55" t="str">
        <f aca="false">IF(AND($AR424&lt;&gt;"",$AS424&lt;&gt;""),$AS424-$AR424,"")</f>
        <v/>
      </c>
      <c r="BC424" s="55" t="str">
        <f aca="false">IF(AND($AR424&lt;&gt;"",$AT424&lt;&gt;""),$AT424-$AR424,"")</f>
        <v/>
      </c>
      <c r="BD424" s="55" t="str">
        <f aca="false">IF(AND($AS424&lt;&gt;"",$AT424&lt;&gt;""),$AT424-$AS424,"")</f>
        <v/>
      </c>
      <c r="BE424" s="53" t="str">
        <f aca="false">IF($E424&lt;&gt;"",$E424,"")</f>
        <v/>
      </c>
      <c r="BF424" s="52" t="str">
        <f aca="false">IF($F424&lt;&gt;"",$F424,"")</f>
        <v>Apprenant 412 ou 412'</v>
      </c>
      <c r="BG424" s="55" t="str">
        <f aca="false">IF(AND($AW424&lt;&gt;"",$AX424&lt;&gt;""),$AX424-$AW424,"")</f>
        <v/>
      </c>
      <c r="BH424" s="55" t="str">
        <f aca="false">IF(AND($AW424&lt;&gt;"",$AY424&lt;&gt;""),$AY424-$AW424,"")</f>
        <v/>
      </c>
      <c r="BI424" s="55" t="str">
        <f aca="false">IF(AND($AX424&lt;&gt;"",$AY424&lt;&gt;""),$AY424-$AX424,"")</f>
        <v/>
      </c>
      <c r="BJ424" s="53" t="str">
        <f aca="false">IF($J424&lt;&gt;"",$J424,"")</f>
        <v/>
      </c>
      <c r="BL424" s="52"/>
      <c r="BM424" s="52" t="str">
        <f aca="false">IF(OR(COUNT(B424:D1423)=0,AND('Choix pédagogiques'!$C$3&lt;&gt;1,'Choix pédagogiques'!$C$3&lt;&gt;2)),"",IF(AND(OR('Choix pédagogiques'!$C$3=1,'Choix pédagogiques'!$C$3=2),$B424&lt;&gt;"",$C424&lt;&gt;"",$D424&lt;&gt;""),1,0))</f>
        <v/>
      </c>
      <c r="BN424" s="52" t="str">
        <f aca="false">IF(OR(COUNT(G424:I1423)=0,AND('Choix pédagogiques'!$C$3&lt;&gt;1,'Choix pédagogiques'!$C$3&lt;&gt;2)),"",IF(AND(OR('Choix pédagogiques'!$C$3=1,'Choix pédagogiques'!$C$3=2),AND($G424&lt;&gt;"",$H424&lt;&gt;"",$I424&lt;&gt;"")),1,0))</f>
        <v/>
      </c>
      <c r="BO424" s="52" t="str">
        <f aca="false">IF(OR(COUNT(B424:D1423)=0,COUNT(G424:I1423)=0,'Choix pédagogiques'!C$3&lt;&gt;3),"",IF(AND('Choix pédagogiques'!$C$3=3,$B424&lt;&gt;"",$C424&lt;&gt;"",$D424&lt;&gt;"",$G424&lt;&gt;"",$H424&lt;&gt;"",$I424&lt;&gt;""),1,0))</f>
        <v/>
      </c>
      <c r="BR424" s="52" t="n">
        <v>251</v>
      </c>
      <c r="BS424" s="52" t="n">
        <v>1731</v>
      </c>
    </row>
    <row r="425" s="54" customFormat="true" ht="18" hidden="false" customHeight="true" outlineLevel="0" collapsed="false">
      <c r="A425" s="57" t="s">
        <v>781</v>
      </c>
      <c r="B425" s="51"/>
      <c r="C425" s="51"/>
      <c r="D425" s="51"/>
      <c r="E425" s="51"/>
      <c r="F425" s="57" t="s">
        <v>782</v>
      </c>
      <c r="G425" s="51"/>
      <c r="H425" s="51"/>
      <c r="I425" s="51"/>
      <c r="J425" s="51"/>
      <c r="K425" s="52" t="str">
        <f aca="false">IF($A425&lt;&gt;"",$A425,"")</f>
        <v>Apprenant 413</v>
      </c>
      <c r="L425" s="53" t="str">
        <f aca="false">IF(AND($B425&lt;&gt;"",$C425&lt;&gt;""),$C425-$B425,"")</f>
        <v/>
      </c>
      <c r="M425" s="53" t="str">
        <f aca="false">IF(AND($B425&lt;&gt;"",$D425&lt;&gt;""),$D425-$B425,"")</f>
        <v/>
      </c>
      <c r="N425" s="53" t="str">
        <f aca="false">IF(AND($C425&lt;&gt;"",$D425&lt;&gt;""),$D425-$C425,"")</f>
        <v/>
      </c>
      <c r="O425" s="53" t="str">
        <f aca="false">IF($E425&lt;&gt;"",$E425,"")</f>
        <v/>
      </c>
      <c r="P425" s="52" t="str">
        <f aca="false">IF($F425&lt;&gt;"",$F425,"")</f>
        <v>Apprenant 413 ou 413'</v>
      </c>
      <c r="Q425" s="53" t="str">
        <f aca="false">IF(AND($G425&lt;&gt;"",$H425&lt;&gt;""),$H425-$G425,"")</f>
        <v/>
      </c>
      <c r="R425" s="53" t="str">
        <f aca="false">IF(AND($G425&lt;&gt;"",$I425&lt;&gt;""),$I425-$G425,"")</f>
        <v/>
      </c>
      <c r="S425" s="53" t="str">
        <f aca="false">IF(AND($H425&lt;&gt;"",$I425&lt;&gt;""),$I425-$H425,"")</f>
        <v/>
      </c>
      <c r="T425" s="53" t="str">
        <f aca="false">IF($J425&lt;&gt;"",$J425,"")</f>
        <v/>
      </c>
      <c r="V425" s="52" t="str">
        <f aca="false">IF($A425&lt;&gt;"",$A425,"")</f>
        <v>Apprenant 413</v>
      </c>
      <c r="W425" s="53" t="str">
        <f aca="false">IF(AND(OR('Choix pédagogiques'!$C$3=1,'Choix pédagogiques'!$C$3=2),$BM425=1),B425,IF(AND('Choix pédagogiques'!$C$3=3,$BO425=1),B425,""))</f>
        <v/>
      </c>
      <c r="X425" s="53" t="str">
        <f aca="false">IF(AND(OR('Choix pédagogiques'!$C$3=1,'Choix pédagogiques'!$C$3=2),$BM425=1),C425,IF(AND('Choix pédagogiques'!$C$3=3,$BO425=1),C425,""))</f>
        <v/>
      </c>
      <c r="Y425" s="53" t="str">
        <f aca="false">IF(AND(OR('Choix pédagogiques'!$C$3=1,'Choix pédagogiques'!$C$3=2),$BM425=1),D425,IF(AND('Choix pédagogiques'!$C$3=3,$BO425=1),D425,""))</f>
        <v/>
      </c>
      <c r="Z425" s="53" t="str">
        <f aca="false">IF($E425&lt;&gt;"",$E425,"")</f>
        <v/>
      </c>
      <c r="AA425" s="52" t="str">
        <f aca="false">IF($F425&lt;&gt;"",$F425,"")</f>
        <v>Apprenant 413 ou 413'</v>
      </c>
      <c r="AB425" s="53" t="str">
        <f aca="false">IF(AND(OR('Choix pédagogiques'!$C$3=1,'Choix pédagogiques'!$C$3=2),$BN425=1),G425,IF(AND('Choix pédagogiques'!$C$3=3,$BO425=1),G425,""))</f>
        <v/>
      </c>
      <c r="AC425" s="53" t="str">
        <f aca="false">IF(AND(OR('Choix pédagogiques'!$C$3=1,'Choix pédagogiques'!$C$3=2),$BN425=1),H425,IF(AND('Choix pédagogiques'!$C$3=3,$BO425=1),H425,""))</f>
        <v/>
      </c>
      <c r="AD425" s="53" t="str">
        <f aca="false">IF(AND(OR('Choix pédagogiques'!$C$3=1,'Choix pédagogiques'!$C$3=2),$BN425=1),I425,IF(AND('Choix pédagogiques'!$C$3=3,$BO425=1),I425,""))</f>
        <v/>
      </c>
      <c r="AE425" s="53" t="str">
        <f aca="false">IF($J425&lt;&gt;"",$J425,"")</f>
        <v/>
      </c>
      <c r="AF425" s="52" t="str">
        <f aca="false">IF($A425&lt;&gt;"",$A425,"")</f>
        <v>Apprenant 413</v>
      </c>
      <c r="AG425" s="53" t="str">
        <f aca="false">IF(AND($W425&lt;&gt;"",$X425&lt;&gt;""),$X425-$W425,"")</f>
        <v/>
      </c>
      <c r="AH425" s="53" t="str">
        <f aca="false">IF(AND($W425&lt;&gt;"",$Y425&lt;&gt;""),$Y425-$W425,"")</f>
        <v/>
      </c>
      <c r="AI425" s="53" t="str">
        <f aca="false">IF(AND($X425&lt;&gt;"",$Y425&lt;&gt;""),$Y425-$X425,"")</f>
        <v/>
      </c>
      <c r="AJ425" s="53" t="str">
        <f aca="false">IF($E425&lt;&gt;"",$E425,"")</f>
        <v/>
      </c>
      <c r="AK425" s="52" t="str">
        <f aca="false">IF($F425&lt;&gt;"",$F425,"")</f>
        <v>Apprenant 413 ou 413'</v>
      </c>
      <c r="AL425" s="53" t="str">
        <f aca="false">IF(AND($AB425&lt;&gt;"",$AC425&lt;&gt;""),$AC425-$AB425,"")</f>
        <v/>
      </c>
      <c r="AM425" s="53" t="str">
        <f aca="false">IF(AND($AB425&lt;&gt;"",$AD425&lt;&gt;""),$AD425-$AB425,"")</f>
        <v/>
      </c>
      <c r="AN425" s="53" t="str">
        <f aca="false">IF(AND($AC425&lt;&gt;"",$AD425&lt;&gt;""),$AD425-$AC425,"")</f>
        <v/>
      </c>
      <c r="AO425" s="53" t="str">
        <f aca="false">IF($J425&lt;&gt;"",$J425,"")</f>
        <v/>
      </c>
      <c r="AQ425" s="52" t="str">
        <f aca="false">IF($A425&lt;&gt;"",$A425,"")</f>
        <v>Apprenant 413</v>
      </c>
      <c r="AR425" s="55" t="str">
        <f aca="false">IF(AND('Choix pédagogiques'!$C$4&lt;&gt;"?",'Choix pédagogiques'!$C$5&lt;&gt;"?",W425&lt;&gt;""),(W425-'Choix pédagogiques'!$C$4)/('Choix pédagogiques'!$C$5-'Choix pédagogiques'!$C$4),"")</f>
        <v/>
      </c>
      <c r="AS425" s="55" t="str">
        <f aca="false">IF(AND('Choix pédagogiques'!$C$4&lt;&gt;"?",'Choix pédagogiques'!$C$5&lt;&gt;"?",X425&lt;&gt;""),(X425-'Choix pédagogiques'!$C$4)/('Choix pédagogiques'!$C$5-'Choix pédagogiques'!$C$4),"")</f>
        <v/>
      </c>
      <c r="AT425" s="55" t="str">
        <f aca="false">IF(AND('Choix pédagogiques'!$C$4&lt;&gt;"?",'Choix pédagogiques'!$C$5&lt;&gt;"?",Y425&lt;&gt;""),(Y425-'Choix pédagogiques'!$C$4)/('Choix pédagogiques'!$C$5-'Choix pédagogiques'!$C$4),"")</f>
        <v/>
      </c>
      <c r="AU425" s="53" t="str">
        <f aca="false">IF($E425&lt;&gt;"",$E425,"")</f>
        <v/>
      </c>
      <c r="AV425" s="52" t="str">
        <f aca="false">IF($F425&lt;&gt;"",$F425,"")</f>
        <v>Apprenant 413 ou 413'</v>
      </c>
      <c r="AW425" s="55" t="str">
        <f aca="false">IF(AND('Choix pédagogiques'!$C$4&lt;&gt;"?",'Choix pédagogiques'!$C$5&lt;&gt;"?",AB425&lt;&gt;""),(AB425-'Choix pédagogiques'!$C$4)/('Choix pédagogiques'!$C$5-'Choix pédagogiques'!$C$4),"")</f>
        <v/>
      </c>
      <c r="AX425" s="55" t="str">
        <f aca="false">IF(AND('Choix pédagogiques'!$C$4&lt;&gt;"?",'Choix pédagogiques'!$C$5&lt;&gt;"?",AC425&lt;&gt;""),(AC425-'Choix pédagogiques'!$C$4)/('Choix pédagogiques'!$C$5-'Choix pédagogiques'!$C$4),"")</f>
        <v/>
      </c>
      <c r="AY425" s="55" t="str">
        <f aca="false">IF(AND('Choix pédagogiques'!$C$4&lt;&gt;"?",'Choix pédagogiques'!$C$5&lt;&gt;"?",AD425&lt;&gt;""),(AD425-'Choix pédagogiques'!$C$4)/('Choix pédagogiques'!$C$5-'Choix pédagogiques'!$C$4),"")</f>
        <v/>
      </c>
      <c r="AZ425" s="53" t="str">
        <f aca="false">IF($J425&lt;&gt;"",$J425,"")</f>
        <v/>
      </c>
      <c r="BA425" s="52" t="str">
        <f aca="false">IF($A425&lt;&gt;"",$A425,"")</f>
        <v>Apprenant 413</v>
      </c>
      <c r="BB425" s="55" t="str">
        <f aca="false">IF(AND($AR425&lt;&gt;"",$AS425&lt;&gt;""),$AS425-$AR425,"")</f>
        <v/>
      </c>
      <c r="BC425" s="55" t="str">
        <f aca="false">IF(AND($AR425&lt;&gt;"",$AT425&lt;&gt;""),$AT425-$AR425,"")</f>
        <v/>
      </c>
      <c r="BD425" s="55" t="str">
        <f aca="false">IF(AND($AS425&lt;&gt;"",$AT425&lt;&gt;""),$AT425-$AS425,"")</f>
        <v/>
      </c>
      <c r="BE425" s="53" t="str">
        <f aca="false">IF($E425&lt;&gt;"",$E425,"")</f>
        <v/>
      </c>
      <c r="BF425" s="52" t="str">
        <f aca="false">IF($F425&lt;&gt;"",$F425,"")</f>
        <v>Apprenant 413 ou 413'</v>
      </c>
      <c r="BG425" s="55" t="str">
        <f aca="false">IF(AND($AW425&lt;&gt;"",$AX425&lt;&gt;""),$AX425-$AW425,"")</f>
        <v/>
      </c>
      <c r="BH425" s="55" t="str">
        <f aca="false">IF(AND($AW425&lt;&gt;"",$AY425&lt;&gt;""),$AY425-$AW425,"")</f>
        <v/>
      </c>
      <c r="BI425" s="55" t="str">
        <f aca="false">IF(AND($AX425&lt;&gt;"",$AY425&lt;&gt;""),$AY425-$AX425,"")</f>
        <v/>
      </c>
      <c r="BJ425" s="53" t="str">
        <f aca="false">IF($J425&lt;&gt;"",$J425,"")</f>
        <v/>
      </c>
      <c r="BL425" s="52"/>
      <c r="BM425" s="52" t="str">
        <f aca="false">IF(OR(COUNT(B425:D1424)=0,AND('Choix pédagogiques'!$C$3&lt;&gt;1,'Choix pédagogiques'!$C$3&lt;&gt;2)),"",IF(AND(OR('Choix pédagogiques'!$C$3=1,'Choix pédagogiques'!$C$3=2),$B425&lt;&gt;"",$C425&lt;&gt;"",$D425&lt;&gt;""),1,0))</f>
        <v/>
      </c>
      <c r="BN425" s="52" t="str">
        <f aca="false">IF(OR(COUNT(G425:I1424)=0,AND('Choix pédagogiques'!$C$3&lt;&gt;1,'Choix pédagogiques'!$C$3&lt;&gt;2)),"",IF(AND(OR('Choix pédagogiques'!$C$3=1,'Choix pédagogiques'!$C$3=2),AND($G425&lt;&gt;"",$H425&lt;&gt;"",$I425&lt;&gt;"")),1,0))</f>
        <v/>
      </c>
      <c r="BO425" s="52" t="str">
        <f aca="false">IF(OR(COUNT(B425:D1424)=0,COUNT(G425:I1424)=0,'Choix pédagogiques'!C$3&lt;&gt;3),"",IF(AND('Choix pédagogiques'!$C$3=3,$B425&lt;&gt;"",$C425&lt;&gt;"",$D425&lt;&gt;"",$G425&lt;&gt;"",$H425&lt;&gt;"",$I425&lt;&gt;""),1,0))</f>
        <v/>
      </c>
      <c r="BR425" s="52" t="n">
        <v>524</v>
      </c>
      <c r="BS425" s="52" t="n">
        <v>1977</v>
      </c>
    </row>
    <row r="426" s="54" customFormat="true" ht="18" hidden="false" customHeight="true" outlineLevel="0" collapsed="false">
      <c r="A426" s="57" t="s">
        <v>783</v>
      </c>
      <c r="B426" s="51"/>
      <c r="C426" s="51"/>
      <c r="D426" s="51"/>
      <c r="E426" s="51"/>
      <c r="F426" s="57" t="s">
        <v>784</v>
      </c>
      <c r="G426" s="51"/>
      <c r="H426" s="51"/>
      <c r="I426" s="51"/>
      <c r="J426" s="51"/>
      <c r="K426" s="52" t="str">
        <f aca="false">IF($A426&lt;&gt;"",$A426,"")</f>
        <v>Apprenant 414</v>
      </c>
      <c r="L426" s="53" t="str">
        <f aca="false">IF(AND($B426&lt;&gt;"",$C426&lt;&gt;""),$C426-$B426,"")</f>
        <v/>
      </c>
      <c r="M426" s="53" t="str">
        <f aca="false">IF(AND($B426&lt;&gt;"",$D426&lt;&gt;""),$D426-$B426,"")</f>
        <v/>
      </c>
      <c r="N426" s="53" t="str">
        <f aca="false">IF(AND($C426&lt;&gt;"",$D426&lt;&gt;""),$D426-$C426,"")</f>
        <v/>
      </c>
      <c r="O426" s="53" t="str">
        <f aca="false">IF($E426&lt;&gt;"",$E426,"")</f>
        <v/>
      </c>
      <c r="P426" s="52" t="str">
        <f aca="false">IF($F426&lt;&gt;"",$F426,"")</f>
        <v>Apprenant 414 ou 414'</v>
      </c>
      <c r="Q426" s="53" t="str">
        <f aca="false">IF(AND($G426&lt;&gt;"",$H426&lt;&gt;""),$H426-$G426,"")</f>
        <v/>
      </c>
      <c r="R426" s="53" t="str">
        <f aca="false">IF(AND($G426&lt;&gt;"",$I426&lt;&gt;""),$I426-$G426,"")</f>
        <v/>
      </c>
      <c r="S426" s="53" t="str">
        <f aca="false">IF(AND($H426&lt;&gt;"",$I426&lt;&gt;""),$I426-$H426,"")</f>
        <v/>
      </c>
      <c r="T426" s="53" t="str">
        <f aca="false">IF($J426&lt;&gt;"",$J426,"")</f>
        <v/>
      </c>
      <c r="V426" s="52" t="str">
        <f aca="false">IF($A426&lt;&gt;"",$A426,"")</f>
        <v>Apprenant 414</v>
      </c>
      <c r="W426" s="53" t="str">
        <f aca="false">IF(AND(OR('Choix pédagogiques'!$C$3=1,'Choix pédagogiques'!$C$3=2),$BM426=1),B426,IF(AND('Choix pédagogiques'!$C$3=3,$BO426=1),B426,""))</f>
        <v/>
      </c>
      <c r="X426" s="53" t="str">
        <f aca="false">IF(AND(OR('Choix pédagogiques'!$C$3=1,'Choix pédagogiques'!$C$3=2),$BM426=1),C426,IF(AND('Choix pédagogiques'!$C$3=3,$BO426=1),C426,""))</f>
        <v/>
      </c>
      <c r="Y426" s="53" t="str">
        <f aca="false">IF(AND(OR('Choix pédagogiques'!$C$3=1,'Choix pédagogiques'!$C$3=2),$BM426=1),D426,IF(AND('Choix pédagogiques'!$C$3=3,$BO426=1),D426,""))</f>
        <v/>
      </c>
      <c r="Z426" s="53" t="str">
        <f aca="false">IF($E426&lt;&gt;"",$E426,"")</f>
        <v/>
      </c>
      <c r="AA426" s="52" t="str">
        <f aca="false">IF($F426&lt;&gt;"",$F426,"")</f>
        <v>Apprenant 414 ou 414'</v>
      </c>
      <c r="AB426" s="53" t="str">
        <f aca="false">IF(AND(OR('Choix pédagogiques'!$C$3=1,'Choix pédagogiques'!$C$3=2),$BN426=1),G426,IF(AND('Choix pédagogiques'!$C$3=3,$BO426=1),G426,""))</f>
        <v/>
      </c>
      <c r="AC426" s="53" t="str">
        <f aca="false">IF(AND(OR('Choix pédagogiques'!$C$3=1,'Choix pédagogiques'!$C$3=2),$BN426=1),H426,IF(AND('Choix pédagogiques'!$C$3=3,$BO426=1),H426,""))</f>
        <v/>
      </c>
      <c r="AD426" s="53" t="str">
        <f aca="false">IF(AND(OR('Choix pédagogiques'!$C$3=1,'Choix pédagogiques'!$C$3=2),$BN426=1),I426,IF(AND('Choix pédagogiques'!$C$3=3,$BO426=1),I426,""))</f>
        <v/>
      </c>
      <c r="AE426" s="53" t="str">
        <f aca="false">IF($J426&lt;&gt;"",$J426,"")</f>
        <v/>
      </c>
      <c r="AF426" s="52" t="str">
        <f aca="false">IF($A426&lt;&gt;"",$A426,"")</f>
        <v>Apprenant 414</v>
      </c>
      <c r="AG426" s="53" t="str">
        <f aca="false">IF(AND($W426&lt;&gt;"",$X426&lt;&gt;""),$X426-$W426,"")</f>
        <v/>
      </c>
      <c r="AH426" s="53" t="str">
        <f aca="false">IF(AND($W426&lt;&gt;"",$Y426&lt;&gt;""),$Y426-$W426,"")</f>
        <v/>
      </c>
      <c r="AI426" s="53" t="str">
        <f aca="false">IF(AND($X426&lt;&gt;"",$Y426&lt;&gt;""),$Y426-$X426,"")</f>
        <v/>
      </c>
      <c r="AJ426" s="53" t="str">
        <f aca="false">IF($E426&lt;&gt;"",$E426,"")</f>
        <v/>
      </c>
      <c r="AK426" s="52" t="str">
        <f aca="false">IF($F426&lt;&gt;"",$F426,"")</f>
        <v>Apprenant 414 ou 414'</v>
      </c>
      <c r="AL426" s="53" t="str">
        <f aca="false">IF(AND($AB426&lt;&gt;"",$AC426&lt;&gt;""),$AC426-$AB426,"")</f>
        <v/>
      </c>
      <c r="AM426" s="53" t="str">
        <f aca="false">IF(AND($AB426&lt;&gt;"",$AD426&lt;&gt;""),$AD426-$AB426,"")</f>
        <v/>
      </c>
      <c r="AN426" s="53" t="str">
        <f aca="false">IF(AND($AC426&lt;&gt;"",$AD426&lt;&gt;""),$AD426-$AC426,"")</f>
        <v/>
      </c>
      <c r="AO426" s="53" t="str">
        <f aca="false">IF($J426&lt;&gt;"",$J426,"")</f>
        <v/>
      </c>
      <c r="AQ426" s="52" t="str">
        <f aca="false">IF($A426&lt;&gt;"",$A426,"")</f>
        <v>Apprenant 414</v>
      </c>
      <c r="AR426" s="55" t="str">
        <f aca="false">IF(AND('Choix pédagogiques'!$C$4&lt;&gt;"?",'Choix pédagogiques'!$C$5&lt;&gt;"?",W426&lt;&gt;""),(W426-'Choix pédagogiques'!$C$4)/('Choix pédagogiques'!$C$5-'Choix pédagogiques'!$C$4),"")</f>
        <v/>
      </c>
      <c r="AS426" s="55" t="str">
        <f aca="false">IF(AND('Choix pédagogiques'!$C$4&lt;&gt;"?",'Choix pédagogiques'!$C$5&lt;&gt;"?",X426&lt;&gt;""),(X426-'Choix pédagogiques'!$C$4)/('Choix pédagogiques'!$C$5-'Choix pédagogiques'!$C$4),"")</f>
        <v/>
      </c>
      <c r="AT426" s="55" t="str">
        <f aca="false">IF(AND('Choix pédagogiques'!$C$4&lt;&gt;"?",'Choix pédagogiques'!$C$5&lt;&gt;"?",Y426&lt;&gt;""),(Y426-'Choix pédagogiques'!$C$4)/('Choix pédagogiques'!$C$5-'Choix pédagogiques'!$C$4),"")</f>
        <v/>
      </c>
      <c r="AU426" s="53" t="str">
        <f aca="false">IF($E426&lt;&gt;"",$E426,"")</f>
        <v/>
      </c>
      <c r="AV426" s="52" t="str">
        <f aca="false">IF($F426&lt;&gt;"",$F426,"")</f>
        <v>Apprenant 414 ou 414'</v>
      </c>
      <c r="AW426" s="55" t="str">
        <f aca="false">IF(AND('Choix pédagogiques'!$C$4&lt;&gt;"?",'Choix pédagogiques'!$C$5&lt;&gt;"?",AB426&lt;&gt;""),(AB426-'Choix pédagogiques'!$C$4)/('Choix pédagogiques'!$C$5-'Choix pédagogiques'!$C$4),"")</f>
        <v/>
      </c>
      <c r="AX426" s="55" t="str">
        <f aca="false">IF(AND('Choix pédagogiques'!$C$4&lt;&gt;"?",'Choix pédagogiques'!$C$5&lt;&gt;"?",AC426&lt;&gt;""),(AC426-'Choix pédagogiques'!$C$4)/('Choix pédagogiques'!$C$5-'Choix pédagogiques'!$C$4),"")</f>
        <v/>
      </c>
      <c r="AY426" s="55" t="str">
        <f aca="false">IF(AND('Choix pédagogiques'!$C$4&lt;&gt;"?",'Choix pédagogiques'!$C$5&lt;&gt;"?",AD426&lt;&gt;""),(AD426-'Choix pédagogiques'!$C$4)/('Choix pédagogiques'!$C$5-'Choix pédagogiques'!$C$4),"")</f>
        <v/>
      </c>
      <c r="AZ426" s="53" t="str">
        <f aca="false">IF($J426&lt;&gt;"",$J426,"")</f>
        <v/>
      </c>
      <c r="BA426" s="52" t="str">
        <f aca="false">IF($A426&lt;&gt;"",$A426,"")</f>
        <v>Apprenant 414</v>
      </c>
      <c r="BB426" s="55" t="str">
        <f aca="false">IF(AND($AR426&lt;&gt;"",$AS426&lt;&gt;""),$AS426-$AR426,"")</f>
        <v/>
      </c>
      <c r="BC426" s="55" t="str">
        <f aca="false">IF(AND($AR426&lt;&gt;"",$AT426&lt;&gt;""),$AT426-$AR426,"")</f>
        <v/>
      </c>
      <c r="BD426" s="55" t="str">
        <f aca="false">IF(AND($AS426&lt;&gt;"",$AT426&lt;&gt;""),$AT426-$AS426,"")</f>
        <v/>
      </c>
      <c r="BE426" s="53" t="str">
        <f aca="false">IF($E426&lt;&gt;"",$E426,"")</f>
        <v/>
      </c>
      <c r="BF426" s="52" t="str">
        <f aca="false">IF($F426&lt;&gt;"",$F426,"")</f>
        <v>Apprenant 414 ou 414'</v>
      </c>
      <c r="BG426" s="55" t="str">
        <f aca="false">IF(AND($AW426&lt;&gt;"",$AX426&lt;&gt;""),$AX426-$AW426,"")</f>
        <v/>
      </c>
      <c r="BH426" s="55" t="str">
        <f aca="false">IF(AND($AW426&lt;&gt;"",$AY426&lt;&gt;""),$AY426-$AW426,"")</f>
        <v/>
      </c>
      <c r="BI426" s="55" t="str">
        <f aca="false">IF(AND($AX426&lt;&gt;"",$AY426&lt;&gt;""),$AY426-$AX426,"")</f>
        <v/>
      </c>
      <c r="BJ426" s="53" t="str">
        <f aca="false">IF($J426&lt;&gt;"",$J426,"")</f>
        <v/>
      </c>
      <c r="BL426" s="52"/>
      <c r="BM426" s="52" t="str">
        <f aca="false">IF(OR(COUNT(B426:D1425)=0,AND('Choix pédagogiques'!$C$3&lt;&gt;1,'Choix pédagogiques'!$C$3&lt;&gt;2)),"",IF(AND(OR('Choix pédagogiques'!$C$3=1,'Choix pédagogiques'!$C$3=2),$B426&lt;&gt;"",$C426&lt;&gt;"",$D426&lt;&gt;""),1,0))</f>
        <v/>
      </c>
      <c r="BN426" s="52" t="str">
        <f aca="false">IF(OR(COUNT(G426:I1425)=0,AND('Choix pédagogiques'!$C$3&lt;&gt;1,'Choix pédagogiques'!$C$3&lt;&gt;2)),"",IF(AND(OR('Choix pédagogiques'!$C$3=1,'Choix pédagogiques'!$C$3=2),AND($G426&lt;&gt;"",$H426&lt;&gt;"",$I426&lt;&gt;"")),1,0))</f>
        <v/>
      </c>
      <c r="BO426" s="52" t="str">
        <f aca="false">IF(OR(COUNT(B426:D1425)=0,COUNT(G426:I1425)=0,'Choix pédagogiques'!C$3&lt;&gt;3),"",IF(AND('Choix pédagogiques'!$C$3=3,$B426&lt;&gt;"",$C426&lt;&gt;"",$D426&lt;&gt;"",$G426&lt;&gt;"",$H426&lt;&gt;"",$I426&lt;&gt;""),1,0))</f>
        <v/>
      </c>
      <c r="BR426" s="52" t="n">
        <v>878</v>
      </c>
      <c r="BS426" s="52" t="n">
        <v>1891</v>
      </c>
    </row>
    <row r="427" s="54" customFormat="true" ht="18" hidden="false" customHeight="true" outlineLevel="0" collapsed="false">
      <c r="A427" s="57" t="s">
        <v>785</v>
      </c>
      <c r="B427" s="51"/>
      <c r="C427" s="51"/>
      <c r="D427" s="51"/>
      <c r="E427" s="51"/>
      <c r="F427" s="57" t="s">
        <v>786</v>
      </c>
      <c r="G427" s="51"/>
      <c r="H427" s="51"/>
      <c r="I427" s="51"/>
      <c r="J427" s="51"/>
      <c r="K427" s="52" t="str">
        <f aca="false">IF($A427&lt;&gt;"",$A427,"")</f>
        <v>Apprenant 415</v>
      </c>
      <c r="L427" s="53" t="str">
        <f aca="false">IF(AND($B427&lt;&gt;"",$C427&lt;&gt;""),$C427-$B427,"")</f>
        <v/>
      </c>
      <c r="M427" s="53" t="str">
        <f aca="false">IF(AND($B427&lt;&gt;"",$D427&lt;&gt;""),$D427-$B427,"")</f>
        <v/>
      </c>
      <c r="N427" s="53" t="str">
        <f aca="false">IF(AND($C427&lt;&gt;"",$D427&lt;&gt;""),$D427-$C427,"")</f>
        <v/>
      </c>
      <c r="O427" s="53" t="str">
        <f aca="false">IF($E427&lt;&gt;"",$E427,"")</f>
        <v/>
      </c>
      <c r="P427" s="52" t="str">
        <f aca="false">IF($F427&lt;&gt;"",$F427,"")</f>
        <v>Apprenant 415 ou 415'</v>
      </c>
      <c r="Q427" s="53" t="str">
        <f aca="false">IF(AND($G427&lt;&gt;"",$H427&lt;&gt;""),$H427-$G427,"")</f>
        <v/>
      </c>
      <c r="R427" s="53" t="str">
        <f aca="false">IF(AND($G427&lt;&gt;"",$I427&lt;&gt;""),$I427-$G427,"")</f>
        <v/>
      </c>
      <c r="S427" s="53" t="str">
        <f aca="false">IF(AND($H427&lt;&gt;"",$I427&lt;&gt;""),$I427-$H427,"")</f>
        <v/>
      </c>
      <c r="T427" s="53" t="str">
        <f aca="false">IF($J427&lt;&gt;"",$J427,"")</f>
        <v/>
      </c>
      <c r="V427" s="52" t="str">
        <f aca="false">IF($A427&lt;&gt;"",$A427,"")</f>
        <v>Apprenant 415</v>
      </c>
      <c r="W427" s="53" t="str">
        <f aca="false">IF(AND(OR('Choix pédagogiques'!$C$3=1,'Choix pédagogiques'!$C$3=2),$BM427=1),B427,IF(AND('Choix pédagogiques'!$C$3=3,$BO427=1),B427,""))</f>
        <v/>
      </c>
      <c r="X427" s="53" t="str">
        <f aca="false">IF(AND(OR('Choix pédagogiques'!$C$3=1,'Choix pédagogiques'!$C$3=2),$BM427=1),C427,IF(AND('Choix pédagogiques'!$C$3=3,$BO427=1),C427,""))</f>
        <v/>
      </c>
      <c r="Y427" s="53" t="str">
        <f aca="false">IF(AND(OR('Choix pédagogiques'!$C$3=1,'Choix pédagogiques'!$C$3=2),$BM427=1),D427,IF(AND('Choix pédagogiques'!$C$3=3,$BO427=1),D427,""))</f>
        <v/>
      </c>
      <c r="Z427" s="53" t="str">
        <f aca="false">IF($E427&lt;&gt;"",$E427,"")</f>
        <v/>
      </c>
      <c r="AA427" s="52" t="str">
        <f aca="false">IF($F427&lt;&gt;"",$F427,"")</f>
        <v>Apprenant 415 ou 415'</v>
      </c>
      <c r="AB427" s="53" t="str">
        <f aca="false">IF(AND(OR('Choix pédagogiques'!$C$3=1,'Choix pédagogiques'!$C$3=2),$BN427=1),G427,IF(AND('Choix pédagogiques'!$C$3=3,$BO427=1),G427,""))</f>
        <v/>
      </c>
      <c r="AC427" s="53" t="str">
        <f aca="false">IF(AND(OR('Choix pédagogiques'!$C$3=1,'Choix pédagogiques'!$C$3=2),$BN427=1),H427,IF(AND('Choix pédagogiques'!$C$3=3,$BO427=1),H427,""))</f>
        <v/>
      </c>
      <c r="AD427" s="53" t="str">
        <f aca="false">IF(AND(OR('Choix pédagogiques'!$C$3=1,'Choix pédagogiques'!$C$3=2),$BN427=1),I427,IF(AND('Choix pédagogiques'!$C$3=3,$BO427=1),I427,""))</f>
        <v/>
      </c>
      <c r="AE427" s="53" t="str">
        <f aca="false">IF($J427&lt;&gt;"",$J427,"")</f>
        <v/>
      </c>
      <c r="AF427" s="52" t="str">
        <f aca="false">IF($A427&lt;&gt;"",$A427,"")</f>
        <v>Apprenant 415</v>
      </c>
      <c r="AG427" s="53" t="str">
        <f aca="false">IF(AND($W427&lt;&gt;"",$X427&lt;&gt;""),$X427-$W427,"")</f>
        <v/>
      </c>
      <c r="AH427" s="53" t="str">
        <f aca="false">IF(AND($W427&lt;&gt;"",$Y427&lt;&gt;""),$Y427-$W427,"")</f>
        <v/>
      </c>
      <c r="AI427" s="53" t="str">
        <f aca="false">IF(AND($X427&lt;&gt;"",$Y427&lt;&gt;""),$Y427-$X427,"")</f>
        <v/>
      </c>
      <c r="AJ427" s="53" t="str">
        <f aca="false">IF($E427&lt;&gt;"",$E427,"")</f>
        <v/>
      </c>
      <c r="AK427" s="52" t="str">
        <f aca="false">IF($F427&lt;&gt;"",$F427,"")</f>
        <v>Apprenant 415 ou 415'</v>
      </c>
      <c r="AL427" s="53" t="str">
        <f aca="false">IF(AND($AB427&lt;&gt;"",$AC427&lt;&gt;""),$AC427-$AB427,"")</f>
        <v/>
      </c>
      <c r="AM427" s="53" t="str">
        <f aca="false">IF(AND($AB427&lt;&gt;"",$AD427&lt;&gt;""),$AD427-$AB427,"")</f>
        <v/>
      </c>
      <c r="AN427" s="53" t="str">
        <f aca="false">IF(AND($AC427&lt;&gt;"",$AD427&lt;&gt;""),$AD427-$AC427,"")</f>
        <v/>
      </c>
      <c r="AO427" s="53" t="str">
        <f aca="false">IF($J427&lt;&gt;"",$J427,"")</f>
        <v/>
      </c>
      <c r="AQ427" s="52" t="str">
        <f aca="false">IF($A427&lt;&gt;"",$A427,"")</f>
        <v>Apprenant 415</v>
      </c>
      <c r="AR427" s="55" t="str">
        <f aca="false">IF(AND('Choix pédagogiques'!$C$4&lt;&gt;"?",'Choix pédagogiques'!$C$5&lt;&gt;"?",W427&lt;&gt;""),(W427-'Choix pédagogiques'!$C$4)/('Choix pédagogiques'!$C$5-'Choix pédagogiques'!$C$4),"")</f>
        <v/>
      </c>
      <c r="AS427" s="55" t="str">
        <f aca="false">IF(AND('Choix pédagogiques'!$C$4&lt;&gt;"?",'Choix pédagogiques'!$C$5&lt;&gt;"?",X427&lt;&gt;""),(X427-'Choix pédagogiques'!$C$4)/('Choix pédagogiques'!$C$5-'Choix pédagogiques'!$C$4),"")</f>
        <v/>
      </c>
      <c r="AT427" s="55" t="str">
        <f aca="false">IF(AND('Choix pédagogiques'!$C$4&lt;&gt;"?",'Choix pédagogiques'!$C$5&lt;&gt;"?",Y427&lt;&gt;""),(Y427-'Choix pédagogiques'!$C$4)/('Choix pédagogiques'!$C$5-'Choix pédagogiques'!$C$4),"")</f>
        <v/>
      </c>
      <c r="AU427" s="53" t="str">
        <f aca="false">IF($E427&lt;&gt;"",$E427,"")</f>
        <v/>
      </c>
      <c r="AV427" s="52" t="str">
        <f aca="false">IF($F427&lt;&gt;"",$F427,"")</f>
        <v>Apprenant 415 ou 415'</v>
      </c>
      <c r="AW427" s="55" t="str">
        <f aca="false">IF(AND('Choix pédagogiques'!$C$4&lt;&gt;"?",'Choix pédagogiques'!$C$5&lt;&gt;"?",AB427&lt;&gt;""),(AB427-'Choix pédagogiques'!$C$4)/('Choix pédagogiques'!$C$5-'Choix pédagogiques'!$C$4),"")</f>
        <v/>
      </c>
      <c r="AX427" s="55" t="str">
        <f aca="false">IF(AND('Choix pédagogiques'!$C$4&lt;&gt;"?",'Choix pédagogiques'!$C$5&lt;&gt;"?",AC427&lt;&gt;""),(AC427-'Choix pédagogiques'!$C$4)/('Choix pédagogiques'!$C$5-'Choix pédagogiques'!$C$4),"")</f>
        <v/>
      </c>
      <c r="AY427" s="55" t="str">
        <f aca="false">IF(AND('Choix pédagogiques'!$C$4&lt;&gt;"?",'Choix pédagogiques'!$C$5&lt;&gt;"?",AD427&lt;&gt;""),(AD427-'Choix pédagogiques'!$C$4)/('Choix pédagogiques'!$C$5-'Choix pédagogiques'!$C$4),"")</f>
        <v/>
      </c>
      <c r="AZ427" s="53" t="str">
        <f aca="false">IF($J427&lt;&gt;"",$J427,"")</f>
        <v/>
      </c>
      <c r="BA427" s="52" t="str">
        <f aca="false">IF($A427&lt;&gt;"",$A427,"")</f>
        <v>Apprenant 415</v>
      </c>
      <c r="BB427" s="55" t="str">
        <f aca="false">IF(AND($AR427&lt;&gt;"",$AS427&lt;&gt;""),$AS427-$AR427,"")</f>
        <v/>
      </c>
      <c r="BC427" s="55" t="str">
        <f aca="false">IF(AND($AR427&lt;&gt;"",$AT427&lt;&gt;""),$AT427-$AR427,"")</f>
        <v/>
      </c>
      <c r="BD427" s="55" t="str">
        <f aca="false">IF(AND($AS427&lt;&gt;"",$AT427&lt;&gt;""),$AT427-$AS427,"")</f>
        <v/>
      </c>
      <c r="BE427" s="53" t="str">
        <f aca="false">IF($E427&lt;&gt;"",$E427,"")</f>
        <v/>
      </c>
      <c r="BF427" s="52" t="str">
        <f aca="false">IF($F427&lt;&gt;"",$F427,"")</f>
        <v>Apprenant 415 ou 415'</v>
      </c>
      <c r="BG427" s="55" t="str">
        <f aca="false">IF(AND($AW427&lt;&gt;"",$AX427&lt;&gt;""),$AX427-$AW427,"")</f>
        <v/>
      </c>
      <c r="BH427" s="55" t="str">
        <f aca="false">IF(AND($AW427&lt;&gt;"",$AY427&lt;&gt;""),$AY427-$AW427,"")</f>
        <v/>
      </c>
      <c r="BI427" s="55" t="str">
        <f aca="false">IF(AND($AX427&lt;&gt;"",$AY427&lt;&gt;""),$AY427-$AX427,"")</f>
        <v/>
      </c>
      <c r="BJ427" s="53" t="str">
        <f aca="false">IF($J427&lt;&gt;"",$J427,"")</f>
        <v/>
      </c>
      <c r="BL427" s="52"/>
      <c r="BM427" s="52" t="str">
        <f aca="false">IF(OR(COUNT(B427:D1426)=0,AND('Choix pédagogiques'!$C$3&lt;&gt;1,'Choix pédagogiques'!$C$3&lt;&gt;2)),"",IF(AND(OR('Choix pédagogiques'!$C$3=1,'Choix pédagogiques'!$C$3=2),$B427&lt;&gt;"",$C427&lt;&gt;"",$D427&lt;&gt;""),1,0))</f>
        <v/>
      </c>
      <c r="BN427" s="52" t="str">
        <f aca="false">IF(OR(COUNT(G427:I1426)=0,AND('Choix pédagogiques'!$C$3&lt;&gt;1,'Choix pédagogiques'!$C$3&lt;&gt;2)),"",IF(AND(OR('Choix pédagogiques'!$C$3=1,'Choix pédagogiques'!$C$3=2),AND($G427&lt;&gt;"",$H427&lt;&gt;"",$I427&lt;&gt;"")),1,0))</f>
        <v/>
      </c>
      <c r="BO427" s="52" t="str">
        <f aca="false">IF(OR(COUNT(B427:D1426)=0,COUNT(G427:I1426)=0,'Choix pédagogiques'!C$3&lt;&gt;3),"",IF(AND('Choix pédagogiques'!$C$3=3,$B427&lt;&gt;"",$C427&lt;&gt;"",$D427&lt;&gt;"",$G427&lt;&gt;"",$H427&lt;&gt;"",$I427&lt;&gt;""),1,0))</f>
        <v/>
      </c>
      <c r="BR427" s="52" t="n">
        <v>337</v>
      </c>
      <c r="BS427" s="52" t="n">
        <v>1916</v>
      </c>
    </row>
    <row r="428" s="54" customFormat="true" ht="18" hidden="false" customHeight="true" outlineLevel="0" collapsed="false">
      <c r="A428" s="57" t="s">
        <v>787</v>
      </c>
      <c r="B428" s="51"/>
      <c r="C428" s="51"/>
      <c r="D428" s="51"/>
      <c r="E428" s="51"/>
      <c r="F428" s="57" t="s">
        <v>788</v>
      </c>
      <c r="G428" s="51"/>
      <c r="H428" s="51"/>
      <c r="I428" s="51"/>
      <c r="J428" s="51"/>
      <c r="K428" s="52" t="str">
        <f aca="false">IF($A428&lt;&gt;"",$A428,"")</f>
        <v>Apprenant 416</v>
      </c>
      <c r="L428" s="53" t="str">
        <f aca="false">IF(AND($B428&lt;&gt;"",$C428&lt;&gt;""),$C428-$B428,"")</f>
        <v/>
      </c>
      <c r="M428" s="53" t="str">
        <f aca="false">IF(AND($B428&lt;&gt;"",$D428&lt;&gt;""),$D428-$B428,"")</f>
        <v/>
      </c>
      <c r="N428" s="53" t="str">
        <f aca="false">IF(AND($C428&lt;&gt;"",$D428&lt;&gt;""),$D428-$C428,"")</f>
        <v/>
      </c>
      <c r="O428" s="53" t="str">
        <f aca="false">IF($E428&lt;&gt;"",$E428,"")</f>
        <v/>
      </c>
      <c r="P428" s="52" t="str">
        <f aca="false">IF($F428&lt;&gt;"",$F428,"")</f>
        <v>Apprenant 416 ou 416'</v>
      </c>
      <c r="Q428" s="53" t="str">
        <f aca="false">IF(AND($G428&lt;&gt;"",$H428&lt;&gt;""),$H428-$G428,"")</f>
        <v/>
      </c>
      <c r="R428" s="53" t="str">
        <f aca="false">IF(AND($G428&lt;&gt;"",$I428&lt;&gt;""),$I428-$G428,"")</f>
        <v/>
      </c>
      <c r="S428" s="53" t="str">
        <f aca="false">IF(AND($H428&lt;&gt;"",$I428&lt;&gt;""),$I428-$H428,"")</f>
        <v/>
      </c>
      <c r="T428" s="53" t="str">
        <f aca="false">IF($J428&lt;&gt;"",$J428,"")</f>
        <v/>
      </c>
      <c r="V428" s="52" t="str">
        <f aca="false">IF($A428&lt;&gt;"",$A428,"")</f>
        <v>Apprenant 416</v>
      </c>
      <c r="W428" s="53" t="str">
        <f aca="false">IF(AND(OR('Choix pédagogiques'!$C$3=1,'Choix pédagogiques'!$C$3=2),$BM428=1),B428,IF(AND('Choix pédagogiques'!$C$3=3,$BO428=1),B428,""))</f>
        <v/>
      </c>
      <c r="X428" s="53" t="str">
        <f aca="false">IF(AND(OR('Choix pédagogiques'!$C$3=1,'Choix pédagogiques'!$C$3=2),$BM428=1),C428,IF(AND('Choix pédagogiques'!$C$3=3,$BO428=1),C428,""))</f>
        <v/>
      </c>
      <c r="Y428" s="53" t="str">
        <f aca="false">IF(AND(OR('Choix pédagogiques'!$C$3=1,'Choix pédagogiques'!$C$3=2),$BM428=1),D428,IF(AND('Choix pédagogiques'!$C$3=3,$BO428=1),D428,""))</f>
        <v/>
      </c>
      <c r="Z428" s="53" t="str">
        <f aca="false">IF($E428&lt;&gt;"",$E428,"")</f>
        <v/>
      </c>
      <c r="AA428" s="52" t="str">
        <f aca="false">IF($F428&lt;&gt;"",$F428,"")</f>
        <v>Apprenant 416 ou 416'</v>
      </c>
      <c r="AB428" s="53" t="str">
        <f aca="false">IF(AND(OR('Choix pédagogiques'!$C$3=1,'Choix pédagogiques'!$C$3=2),$BN428=1),G428,IF(AND('Choix pédagogiques'!$C$3=3,$BO428=1),G428,""))</f>
        <v/>
      </c>
      <c r="AC428" s="53" t="str">
        <f aca="false">IF(AND(OR('Choix pédagogiques'!$C$3=1,'Choix pédagogiques'!$C$3=2),$BN428=1),H428,IF(AND('Choix pédagogiques'!$C$3=3,$BO428=1),H428,""))</f>
        <v/>
      </c>
      <c r="AD428" s="53" t="str">
        <f aca="false">IF(AND(OR('Choix pédagogiques'!$C$3=1,'Choix pédagogiques'!$C$3=2),$BN428=1),I428,IF(AND('Choix pédagogiques'!$C$3=3,$BO428=1),I428,""))</f>
        <v/>
      </c>
      <c r="AE428" s="53" t="str">
        <f aca="false">IF($J428&lt;&gt;"",$J428,"")</f>
        <v/>
      </c>
      <c r="AF428" s="52" t="str">
        <f aca="false">IF($A428&lt;&gt;"",$A428,"")</f>
        <v>Apprenant 416</v>
      </c>
      <c r="AG428" s="53" t="str">
        <f aca="false">IF(AND($W428&lt;&gt;"",$X428&lt;&gt;""),$X428-$W428,"")</f>
        <v/>
      </c>
      <c r="AH428" s="53" t="str">
        <f aca="false">IF(AND($W428&lt;&gt;"",$Y428&lt;&gt;""),$Y428-$W428,"")</f>
        <v/>
      </c>
      <c r="AI428" s="53" t="str">
        <f aca="false">IF(AND($X428&lt;&gt;"",$Y428&lt;&gt;""),$Y428-$X428,"")</f>
        <v/>
      </c>
      <c r="AJ428" s="53" t="str">
        <f aca="false">IF($E428&lt;&gt;"",$E428,"")</f>
        <v/>
      </c>
      <c r="AK428" s="52" t="str">
        <f aca="false">IF($F428&lt;&gt;"",$F428,"")</f>
        <v>Apprenant 416 ou 416'</v>
      </c>
      <c r="AL428" s="53" t="str">
        <f aca="false">IF(AND($AB428&lt;&gt;"",$AC428&lt;&gt;""),$AC428-$AB428,"")</f>
        <v/>
      </c>
      <c r="AM428" s="53" t="str">
        <f aca="false">IF(AND($AB428&lt;&gt;"",$AD428&lt;&gt;""),$AD428-$AB428,"")</f>
        <v/>
      </c>
      <c r="AN428" s="53" t="str">
        <f aca="false">IF(AND($AC428&lt;&gt;"",$AD428&lt;&gt;""),$AD428-$AC428,"")</f>
        <v/>
      </c>
      <c r="AO428" s="53" t="str">
        <f aca="false">IF($J428&lt;&gt;"",$J428,"")</f>
        <v/>
      </c>
      <c r="AQ428" s="52" t="str">
        <f aca="false">IF($A428&lt;&gt;"",$A428,"")</f>
        <v>Apprenant 416</v>
      </c>
      <c r="AR428" s="55" t="str">
        <f aca="false">IF(AND('Choix pédagogiques'!$C$4&lt;&gt;"?",'Choix pédagogiques'!$C$5&lt;&gt;"?",W428&lt;&gt;""),(W428-'Choix pédagogiques'!$C$4)/('Choix pédagogiques'!$C$5-'Choix pédagogiques'!$C$4),"")</f>
        <v/>
      </c>
      <c r="AS428" s="55" t="str">
        <f aca="false">IF(AND('Choix pédagogiques'!$C$4&lt;&gt;"?",'Choix pédagogiques'!$C$5&lt;&gt;"?",X428&lt;&gt;""),(X428-'Choix pédagogiques'!$C$4)/('Choix pédagogiques'!$C$5-'Choix pédagogiques'!$C$4),"")</f>
        <v/>
      </c>
      <c r="AT428" s="55" t="str">
        <f aca="false">IF(AND('Choix pédagogiques'!$C$4&lt;&gt;"?",'Choix pédagogiques'!$C$5&lt;&gt;"?",Y428&lt;&gt;""),(Y428-'Choix pédagogiques'!$C$4)/('Choix pédagogiques'!$C$5-'Choix pédagogiques'!$C$4),"")</f>
        <v/>
      </c>
      <c r="AU428" s="53" t="str">
        <f aca="false">IF($E428&lt;&gt;"",$E428,"")</f>
        <v/>
      </c>
      <c r="AV428" s="52" t="str">
        <f aca="false">IF($F428&lt;&gt;"",$F428,"")</f>
        <v>Apprenant 416 ou 416'</v>
      </c>
      <c r="AW428" s="55" t="str">
        <f aca="false">IF(AND('Choix pédagogiques'!$C$4&lt;&gt;"?",'Choix pédagogiques'!$C$5&lt;&gt;"?",AB428&lt;&gt;""),(AB428-'Choix pédagogiques'!$C$4)/('Choix pédagogiques'!$C$5-'Choix pédagogiques'!$C$4),"")</f>
        <v/>
      </c>
      <c r="AX428" s="55" t="str">
        <f aca="false">IF(AND('Choix pédagogiques'!$C$4&lt;&gt;"?",'Choix pédagogiques'!$C$5&lt;&gt;"?",AC428&lt;&gt;""),(AC428-'Choix pédagogiques'!$C$4)/('Choix pédagogiques'!$C$5-'Choix pédagogiques'!$C$4),"")</f>
        <v/>
      </c>
      <c r="AY428" s="55" t="str">
        <f aca="false">IF(AND('Choix pédagogiques'!$C$4&lt;&gt;"?",'Choix pédagogiques'!$C$5&lt;&gt;"?",AD428&lt;&gt;""),(AD428-'Choix pédagogiques'!$C$4)/('Choix pédagogiques'!$C$5-'Choix pédagogiques'!$C$4),"")</f>
        <v/>
      </c>
      <c r="AZ428" s="53" t="str">
        <f aca="false">IF($J428&lt;&gt;"",$J428,"")</f>
        <v/>
      </c>
      <c r="BA428" s="52" t="str">
        <f aca="false">IF($A428&lt;&gt;"",$A428,"")</f>
        <v>Apprenant 416</v>
      </c>
      <c r="BB428" s="55" t="str">
        <f aca="false">IF(AND($AR428&lt;&gt;"",$AS428&lt;&gt;""),$AS428-$AR428,"")</f>
        <v/>
      </c>
      <c r="BC428" s="55" t="str">
        <f aca="false">IF(AND($AR428&lt;&gt;"",$AT428&lt;&gt;""),$AT428-$AR428,"")</f>
        <v/>
      </c>
      <c r="BD428" s="55" t="str">
        <f aca="false">IF(AND($AS428&lt;&gt;"",$AT428&lt;&gt;""),$AT428-$AS428,"")</f>
        <v/>
      </c>
      <c r="BE428" s="53" t="str">
        <f aca="false">IF($E428&lt;&gt;"",$E428,"")</f>
        <v/>
      </c>
      <c r="BF428" s="52" t="str">
        <f aca="false">IF($F428&lt;&gt;"",$F428,"")</f>
        <v>Apprenant 416 ou 416'</v>
      </c>
      <c r="BG428" s="55" t="str">
        <f aca="false">IF(AND($AW428&lt;&gt;"",$AX428&lt;&gt;""),$AX428-$AW428,"")</f>
        <v/>
      </c>
      <c r="BH428" s="55" t="str">
        <f aca="false">IF(AND($AW428&lt;&gt;"",$AY428&lt;&gt;""),$AY428-$AW428,"")</f>
        <v/>
      </c>
      <c r="BI428" s="55" t="str">
        <f aca="false">IF(AND($AX428&lt;&gt;"",$AY428&lt;&gt;""),$AY428-$AX428,"")</f>
        <v/>
      </c>
      <c r="BJ428" s="53" t="str">
        <f aca="false">IF($J428&lt;&gt;"",$J428,"")</f>
        <v/>
      </c>
      <c r="BL428" s="52"/>
      <c r="BM428" s="52" t="str">
        <f aca="false">IF(OR(COUNT(B428:D1427)=0,AND('Choix pédagogiques'!$C$3&lt;&gt;1,'Choix pédagogiques'!$C$3&lt;&gt;2)),"",IF(AND(OR('Choix pédagogiques'!$C$3=1,'Choix pédagogiques'!$C$3=2),$B428&lt;&gt;"",$C428&lt;&gt;"",$D428&lt;&gt;""),1,0))</f>
        <v/>
      </c>
      <c r="BN428" s="52" t="str">
        <f aca="false">IF(OR(COUNT(G428:I1427)=0,AND('Choix pédagogiques'!$C$3&lt;&gt;1,'Choix pédagogiques'!$C$3&lt;&gt;2)),"",IF(AND(OR('Choix pédagogiques'!$C$3=1,'Choix pédagogiques'!$C$3=2),AND($G428&lt;&gt;"",$H428&lt;&gt;"",$I428&lt;&gt;"")),1,0))</f>
        <v/>
      </c>
      <c r="BO428" s="52" t="str">
        <f aca="false">IF(OR(COUNT(B428:D1427)=0,COUNT(G428:I1427)=0,'Choix pédagogiques'!C$3&lt;&gt;3),"",IF(AND('Choix pédagogiques'!$C$3=3,$B428&lt;&gt;"",$C428&lt;&gt;"",$D428&lt;&gt;"",$G428&lt;&gt;"",$H428&lt;&gt;"",$I428&lt;&gt;""),1,0))</f>
        <v/>
      </c>
      <c r="BR428" s="52" t="n">
        <v>720</v>
      </c>
      <c r="BS428" s="52" t="n">
        <v>1588</v>
      </c>
    </row>
    <row r="429" s="54" customFormat="true" ht="18" hidden="false" customHeight="true" outlineLevel="0" collapsed="false">
      <c r="A429" s="57" t="s">
        <v>789</v>
      </c>
      <c r="B429" s="51"/>
      <c r="C429" s="51"/>
      <c r="D429" s="51"/>
      <c r="E429" s="51"/>
      <c r="F429" s="57" t="s">
        <v>790</v>
      </c>
      <c r="G429" s="51"/>
      <c r="H429" s="51"/>
      <c r="I429" s="51"/>
      <c r="J429" s="51"/>
      <c r="K429" s="52" t="str">
        <f aca="false">IF($A429&lt;&gt;"",$A429,"")</f>
        <v>Apprenant 417</v>
      </c>
      <c r="L429" s="53" t="str">
        <f aca="false">IF(AND($B429&lt;&gt;"",$C429&lt;&gt;""),$C429-$B429,"")</f>
        <v/>
      </c>
      <c r="M429" s="53" t="str">
        <f aca="false">IF(AND($B429&lt;&gt;"",$D429&lt;&gt;""),$D429-$B429,"")</f>
        <v/>
      </c>
      <c r="N429" s="53" t="str">
        <f aca="false">IF(AND($C429&lt;&gt;"",$D429&lt;&gt;""),$D429-$C429,"")</f>
        <v/>
      </c>
      <c r="O429" s="53" t="str">
        <f aca="false">IF($E429&lt;&gt;"",$E429,"")</f>
        <v/>
      </c>
      <c r="P429" s="52" t="str">
        <f aca="false">IF($F429&lt;&gt;"",$F429,"")</f>
        <v>Apprenant 417 ou 417'</v>
      </c>
      <c r="Q429" s="53" t="str">
        <f aca="false">IF(AND($G429&lt;&gt;"",$H429&lt;&gt;""),$H429-$G429,"")</f>
        <v/>
      </c>
      <c r="R429" s="53" t="str">
        <f aca="false">IF(AND($G429&lt;&gt;"",$I429&lt;&gt;""),$I429-$G429,"")</f>
        <v/>
      </c>
      <c r="S429" s="53" t="str">
        <f aca="false">IF(AND($H429&lt;&gt;"",$I429&lt;&gt;""),$I429-$H429,"")</f>
        <v/>
      </c>
      <c r="T429" s="53" t="str">
        <f aca="false">IF($J429&lt;&gt;"",$J429,"")</f>
        <v/>
      </c>
      <c r="V429" s="52" t="str">
        <f aca="false">IF($A429&lt;&gt;"",$A429,"")</f>
        <v>Apprenant 417</v>
      </c>
      <c r="W429" s="53" t="str">
        <f aca="false">IF(AND(OR('Choix pédagogiques'!$C$3=1,'Choix pédagogiques'!$C$3=2),$BM429=1),B429,IF(AND('Choix pédagogiques'!$C$3=3,$BO429=1),B429,""))</f>
        <v/>
      </c>
      <c r="X429" s="53" t="str">
        <f aca="false">IF(AND(OR('Choix pédagogiques'!$C$3=1,'Choix pédagogiques'!$C$3=2),$BM429=1),C429,IF(AND('Choix pédagogiques'!$C$3=3,$BO429=1),C429,""))</f>
        <v/>
      </c>
      <c r="Y429" s="53" t="str">
        <f aca="false">IF(AND(OR('Choix pédagogiques'!$C$3=1,'Choix pédagogiques'!$C$3=2),$BM429=1),D429,IF(AND('Choix pédagogiques'!$C$3=3,$BO429=1),D429,""))</f>
        <v/>
      </c>
      <c r="Z429" s="53" t="str">
        <f aca="false">IF($E429&lt;&gt;"",$E429,"")</f>
        <v/>
      </c>
      <c r="AA429" s="52" t="str">
        <f aca="false">IF($F429&lt;&gt;"",$F429,"")</f>
        <v>Apprenant 417 ou 417'</v>
      </c>
      <c r="AB429" s="53" t="str">
        <f aca="false">IF(AND(OR('Choix pédagogiques'!$C$3=1,'Choix pédagogiques'!$C$3=2),$BN429=1),G429,IF(AND('Choix pédagogiques'!$C$3=3,$BO429=1),G429,""))</f>
        <v/>
      </c>
      <c r="AC429" s="53" t="str">
        <f aca="false">IF(AND(OR('Choix pédagogiques'!$C$3=1,'Choix pédagogiques'!$C$3=2),$BN429=1),H429,IF(AND('Choix pédagogiques'!$C$3=3,$BO429=1),H429,""))</f>
        <v/>
      </c>
      <c r="AD429" s="53" t="str">
        <f aca="false">IF(AND(OR('Choix pédagogiques'!$C$3=1,'Choix pédagogiques'!$C$3=2),$BN429=1),I429,IF(AND('Choix pédagogiques'!$C$3=3,$BO429=1),I429,""))</f>
        <v/>
      </c>
      <c r="AE429" s="53" t="str">
        <f aca="false">IF($J429&lt;&gt;"",$J429,"")</f>
        <v/>
      </c>
      <c r="AF429" s="52" t="str">
        <f aca="false">IF($A429&lt;&gt;"",$A429,"")</f>
        <v>Apprenant 417</v>
      </c>
      <c r="AG429" s="53" t="str">
        <f aca="false">IF(AND($W429&lt;&gt;"",$X429&lt;&gt;""),$X429-$W429,"")</f>
        <v/>
      </c>
      <c r="AH429" s="53" t="str">
        <f aca="false">IF(AND($W429&lt;&gt;"",$Y429&lt;&gt;""),$Y429-$W429,"")</f>
        <v/>
      </c>
      <c r="AI429" s="53" t="str">
        <f aca="false">IF(AND($X429&lt;&gt;"",$Y429&lt;&gt;""),$Y429-$X429,"")</f>
        <v/>
      </c>
      <c r="AJ429" s="53" t="str">
        <f aca="false">IF($E429&lt;&gt;"",$E429,"")</f>
        <v/>
      </c>
      <c r="AK429" s="52" t="str">
        <f aca="false">IF($F429&lt;&gt;"",$F429,"")</f>
        <v>Apprenant 417 ou 417'</v>
      </c>
      <c r="AL429" s="53" t="str">
        <f aca="false">IF(AND($AB429&lt;&gt;"",$AC429&lt;&gt;""),$AC429-$AB429,"")</f>
        <v/>
      </c>
      <c r="AM429" s="53" t="str">
        <f aca="false">IF(AND($AB429&lt;&gt;"",$AD429&lt;&gt;""),$AD429-$AB429,"")</f>
        <v/>
      </c>
      <c r="AN429" s="53" t="str">
        <f aca="false">IF(AND($AC429&lt;&gt;"",$AD429&lt;&gt;""),$AD429-$AC429,"")</f>
        <v/>
      </c>
      <c r="AO429" s="53" t="str">
        <f aca="false">IF($J429&lt;&gt;"",$J429,"")</f>
        <v/>
      </c>
      <c r="AQ429" s="52" t="str">
        <f aca="false">IF($A429&lt;&gt;"",$A429,"")</f>
        <v>Apprenant 417</v>
      </c>
      <c r="AR429" s="55" t="str">
        <f aca="false">IF(AND('Choix pédagogiques'!$C$4&lt;&gt;"?",'Choix pédagogiques'!$C$5&lt;&gt;"?",W429&lt;&gt;""),(W429-'Choix pédagogiques'!$C$4)/('Choix pédagogiques'!$C$5-'Choix pédagogiques'!$C$4),"")</f>
        <v/>
      </c>
      <c r="AS429" s="55" t="str">
        <f aca="false">IF(AND('Choix pédagogiques'!$C$4&lt;&gt;"?",'Choix pédagogiques'!$C$5&lt;&gt;"?",X429&lt;&gt;""),(X429-'Choix pédagogiques'!$C$4)/('Choix pédagogiques'!$C$5-'Choix pédagogiques'!$C$4),"")</f>
        <v/>
      </c>
      <c r="AT429" s="55" t="str">
        <f aca="false">IF(AND('Choix pédagogiques'!$C$4&lt;&gt;"?",'Choix pédagogiques'!$C$5&lt;&gt;"?",Y429&lt;&gt;""),(Y429-'Choix pédagogiques'!$C$4)/('Choix pédagogiques'!$C$5-'Choix pédagogiques'!$C$4),"")</f>
        <v/>
      </c>
      <c r="AU429" s="53" t="str">
        <f aca="false">IF($E429&lt;&gt;"",$E429,"")</f>
        <v/>
      </c>
      <c r="AV429" s="52" t="str">
        <f aca="false">IF($F429&lt;&gt;"",$F429,"")</f>
        <v>Apprenant 417 ou 417'</v>
      </c>
      <c r="AW429" s="55" t="str">
        <f aca="false">IF(AND('Choix pédagogiques'!$C$4&lt;&gt;"?",'Choix pédagogiques'!$C$5&lt;&gt;"?",AB429&lt;&gt;""),(AB429-'Choix pédagogiques'!$C$4)/('Choix pédagogiques'!$C$5-'Choix pédagogiques'!$C$4),"")</f>
        <v/>
      </c>
      <c r="AX429" s="55" t="str">
        <f aca="false">IF(AND('Choix pédagogiques'!$C$4&lt;&gt;"?",'Choix pédagogiques'!$C$5&lt;&gt;"?",AC429&lt;&gt;""),(AC429-'Choix pédagogiques'!$C$4)/('Choix pédagogiques'!$C$5-'Choix pédagogiques'!$C$4),"")</f>
        <v/>
      </c>
      <c r="AY429" s="55" t="str">
        <f aca="false">IF(AND('Choix pédagogiques'!$C$4&lt;&gt;"?",'Choix pédagogiques'!$C$5&lt;&gt;"?",AD429&lt;&gt;""),(AD429-'Choix pédagogiques'!$C$4)/('Choix pédagogiques'!$C$5-'Choix pédagogiques'!$C$4),"")</f>
        <v/>
      </c>
      <c r="AZ429" s="53" t="str">
        <f aca="false">IF($J429&lt;&gt;"",$J429,"")</f>
        <v/>
      </c>
      <c r="BA429" s="52" t="str">
        <f aca="false">IF($A429&lt;&gt;"",$A429,"")</f>
        <v>Apprenant 417</v>
      </c>
      <c r="BB429" s="55" t="str">
        <f aca="false">IF(AND($AR429&lt;&gt;"",$AS429&lt;&gt;""),$AS429-$AR429,"")</f>
        <v/>
      </c>
      <c r="BC429" s="55" t="str">
        <f aca="false">IF(AND($AR429&lt;&gt;"",$AT429&lt;&gt;""),$AT429-$AR429,"")</f>
        <v/>
      </c>
      <c r="BD429" s="55" t="str">
        <f aca="false">IF(AND($AS429&lt;&gt;"",$AT429&lt;&gt;""),$AT429-$AS429,"")</f>
        <v/>
      </c>
      <c r="BE429" s="53" t="str">
        <f aca="false">IF($E429&lt;&gt;"",$E429,"")</f>
        <v/>
      </c>
      <c r="BF429" s="52" t="str">
        <f aca="false">IF($F429&lt;&gt;"",$F429,"")</f>
        <v>Apprenant 417 ou 417'</v>
      </c>
      <c r="BG429" s="55" t="str">
        <f aca="false">IF(AND($AW429&lt;&gt;"",$AX429&lt;&gt;""),$AX429-$AW429,"")</f>
        <v/>
      </c>
      <c r="BH429" s="55" t="str">
        <f aca="false">IF(AND($AW429&lt;&gt;"",$AY429&lt;&gt;""),$AY429-$AW429,"")</f>
        <v/>
      </c>
      <c r="BI429" s="55" t="str">
        <f aca="false">IF(AND($AX429&lt;&gt;"",$AY429&lt;&gt;""),$AY429-$AX429,"")</f>
        <v/>
      </c>
      <c r="BJ429" s="53" t="str">
        <f aca="false">IF($J429&lt;&gt;"",$J429,"")</f>
        <v/>
      </c>
      <c r="BL429" s="52"/>
      <c r="BM429" s="52" t="str">
        <f aca="false">IF(OR(COUNT(B429:D1428)=0,AND('Choix pédagogiques'!$C$3&lt;&gt;1,'Choix pédagogiques'!$C$3&lt;&gt;2)),"",IF(AND(OR('Choix pédagogiques'!$C$3=1,'Choix pédagogiques'!$C$3=2),$B429&lt;&gt;"",$C429&lt;&gt;"",$D429&lt;&gt;""),1,0))</f>
        <v/>
      </c>
      <c r="BN429" s="52" t="str">
        <f aca="false">IF(OR(COUNT(G429:I1428)=0,AND('Choix pédagogiques'!$C$3&lt;&gt;1,'Choix pédagogiques'!$C$3&lt;&gt;2)),"",IF(AND(OR('Choix pédagogiques'!$C$3=1,'Choix pédagogiques'!$C$3=2),AND($G429&lt;&gt;"",$H429&lt;&gt;"",$I429&lt;&gt;"")),1,0))</f>
        <v/>
      </c>
      <c r="BO429" s="52" t="str">
        <f aca="false">IF(OR(COUNT(B429:D1428)=0,COUNT(G429:I1428)=0,'Choix pédagogiques'!C$3&lt;&gt;3),"",IF(AND('Choix pédagogiques'!$C$3=3,$B429&lt;&gt;"",$C429&lt;&gt;"",$D429&lt;&gt;"",$G429&lt;&gt;"",$H429&lt;&gt;"",$I429&lt;&gt;""),1,0))</f>
        <v/>
      </c>
      <c r="BR429" s="52" t="n">
        <v>901</v>
      </c>
      <c r="BS429" s="52" t="n">
        <v>1096</v>
      </c>
    </row>
    <row r="430" s="54" customFormat="true" ht="18" hidden="false" customHeight="true" outlineLevel="0" collapsed="false">
      <c r="A430" s="57" t="s">
        <v>791</v>
      </c>
      <c r="B430" s="51"/>
      <c r="C430" s="51"/>
      <c r="D430" s="51"/>
      <c r="E430" s="51"/>
      <c r="F430" s="57" t="s">
        <v>792</v>
      </c>
      <c r="G430" s="51"/>
      <c r="H430" s="51"/>
      <c r="I430" s="51"/>
      <c r="J430" s="51"/>
      <c r="K430" s="52" t="str">
        <f aca="false">IF($A430&lt;&gt;"",$A430,"")</f>
        <v>Apprenant 418</v>
      </c>
      <c r="L430" s="53" t="str">
        <f aca="false">IF(AND($B430&lt;&gt;"",$C430&lt;&gt;""),$C430-$B430,"")</f>
        <v/>
      </c>
      <c r="M430" s="53" t="str">
        <f aca="false">IF(AND($B430&lt;&gt;"",$D430&lt;&gt;""),$D430-$B430,"")</f>
        <v/>
      </c>
      <c r="N430" s="53" t="str">
        <f aca="false">IF(AND($C430&lt;&gt;"",$D430&lt;&gt;""),$D430-$C430,"")</f>
        <v/>
      </c>
      <c r="O430" s="53" t="str">
        <f aca="false">IF($E430&lt;&gt;"",$E430,"")</f>
        <v/>
      </c>
      <c r="P430" s="52" t="str">
        <f aca="false">IF($F430&lt;&gt;"",$F430,"")</f>
        <v>Apprenant 418 ou 418'</v>
      </c>
      <c r="Q430" s="53" t="str">
        <f aca="false">IF(AND($G430&lt;&gt;"",$H430&lt;&gt;""),$H430-$G430,"")</f>
        <v/>
      </c>
      <c r="R430" s="53" t="str">
        <f aca="false">IF(AND($G430&lt;&gt;"",$I430&lt;&gt;""),$I430-$G430,"")</f>
        <v/>
      </c>
      <c r="S430" s="53" t="str">
        <f aca="false">IF(AND($H430&lt;&gt;"",$I430&lt;&gt;""),$I430-$H430,"")</f>
        <v/>
      </c>
      <c r="T430" s="53" t="str">
        <f aca="false">IF($J430&lt;&gt;"",$J430,"")</f>
        <v/>
      </c>
      <c r="V430" s="52" t="str">
        <f aca="false">IF($A430&lt;&gt;"",$A430,"")</f>
        <v>Apprenant 418</v>
      </c>
      <c r="W430" s="53" t="str">
        <f aca="false">IF(AND(OR('Choix pédagogiques'!$C$3=1,'Choix pédagogiques'!$C$3=2),$BM430=1),B430,IF(AND('Choix pédagogiques'!$C$3=3,$BO430=1),B430,""))</f>
        <v/>
      </c>
      <c r="X430" s="53" t="str">
        <f aca="false">IF(AND(OR('Choix pédagogiques'!$C$3=1,'Choix pédagogiques'!$C$3=2),$BM430=1),C430,IF(AND('Choix pédagogiques'!$C$3=3,$BO430=1),C430,""))</f>
        <v/>
      </c>
      <c r="Y430" s="53" t="str">
        <f aca="false">IF(AND(OR('Choix pédagogiques'!$C$3=1,'Choix pédagogiques'!$C$3=2),$BM430=1),D430,IF(AND('Choix pédagogiques'!$C$3=3,$BO430=1),D430,""))</f>
        <v/>
      </c>
      <c r="Z430" s="53" t="str">
        <f aca="false">IF($E430&lt;&gt;"",$E430,"")</f>
        <v/>
      </c>
      <c r="AA430" s="52" t="str">
        <f aca="false">IF($F430&lt;&gt;"",$F430,"")</f>
        <v>Apprenant 418 ou 418'</v>
      </c>
      <c r="AB430" s="53" t="str">
        <f aca="false">IF(AND(OR('Choix pédagogiques'!$C$3=1,'Choix pédagogiques'!$C$3=2),$BN430=1),G430,IF(AND('Choix pédagogiques'!$C$3=3,$BO430=1),G430,""))</f>
        <v/>
      </c>
      <c r="AC430" s="53" t="str">
        <f aca="false">IF(AND(OR('Choix pédagogiques'!$C$3=1,'Choix pédagogiques'!$C$3=2),$BN430=1),H430,IF(AND('Choix pédagogiques'!$C$3=3,$BO430=1),H430,""))</f>
        <v/>
      </c>
      <c r="AD430" s="53" t="str">
        <f aca="false">IF(AND(OR('Choix pédagogiques'!$C$3=1,'Choix pédagogiques'!$C$3=2),$BN430=1),I430,IF(AND('Choix pédagogiques'!$C$3=3,$BO430=1),I430,""))</f>
        <v/>
      </c>
      <c r="AE430" s="53" t="str">
        <f aca="false">IF($J430&lt;&gt;"",$J430,"")</f>
        <v/>
      </c>
      <c r="AF430" s="52" t="str">
        <f aca="false">IF($A430&lt;&gt;"",$A430,"")</f>
        <v>Apprenant 418</v>
      </c>
      <c r="AG430" s="53" t="str">
        <f aca="false">IF(AND($W430&lt;&gt;"",$X430&lt;&gt;""),$X430-$W430,"")</f>
        <v/>
      </c>
      <c r="AH430" s="53" t="str">
        <f aca="false">IF(AND($W430&lt;&gt;"",$Y430&lt;&gt;""),$Y430-$W430,"")</f>
        <v/>
      </c>
      <c r="AI430" s="53" t="str">
        <f aca="false">IF(AND($X430&lt;&gt;"",$Y430&lt;&gt;""),$Y430-$X430,"")</f>
        <v/>
      </c>
      <c r="AJ430" s="53" t="str">
        <f aca="false">IF($E430&lt;&gt;"",$E430,"")</f>
        <v/>
      </c>
      <c r="AK430" s="52" t="str">
        <f aca="false">IF($F430&lt;&gt;"",$F430,"")</f>
        <v>Apprenant 418 ou 418'</v>
      </c>
      <c r="AL430" s="53" t="str">
        <f aca="false">IF(AND($AB430&lt;&gt;"",$AC430&lt;&gt;""),$AC430-$AB430,"")</f>
        <v/>
      </c>
      <c r="AM430" s="53" t="str">
        <f aca="false">IF(AND($AB430&lt;&gt;"",$AD430&lt;&gt;""),$AD430-$AB430,"")</f>
        <v/>
      </c>
      <c r="AN430" s="53" t="str">
        <f aca="false">IF(AND($AC430&lt;&gt;"",$AD430&lt;&gt;""),$AD430-$AC430,"")</f>
        <v/>
      </c>
      <c r="AO430" s="53" t="str">
        <f aca="false">IF($J430&lt;&gt;"",$J430,"")</f>
        <v/>
      </c>
      <c r="AQ430" s="52" t="str">
        <f aca="false">IF($A430&lt;&gt;"",$A430,"")</f>
        <v>Apprenant 418</v>
      </c>
      <c r="AR430" s="55" t="str">
        <f aca="false">IF(AND('Choix pédagogiques'!$C$4&lt;&gt;"?",'Choix pédagogiques'!$C$5&lt;&gt;"?",W430&lt;&gt;""),(W430-'Choix pédagogiques'!$C$4)/('Choix pédagogiques'!$C$5-'Choix pédagogiques'!$C$4),"")</f>
        <v/>
      </c>
      <c r="AS430" s="55" t="str">
        <f aca="false">IF(AND('Choix pédagogiques'!$C$4&lt;&gt;"?",'Choix pédagogiques'!$C$5&lt;&gt;"?",X430&lt;&gt;""),(X430-'Choix pédagogiques'!$C$4)/('Choix pédagogiques'!$C$5-'Choix pédagogiques'!$C$4),"")</f>
        <v/>
      </c>
      <c r="AT430" s="55" t="str">
        <f aca="false">IF(AND('Choix pédagogiques'!$C$4&lt;&gt;"?",'Choix pédagogiques'!$C$5&lt;&gt;"?",Y430&lt;&gt;""),(Y430-'Choix pédagogiques'!$C$4)/('Choix pédagogiques'!$C$5-'Choix pédagogiques'!$C$4),"")</f>
        <v/>
      </c>
      <c r="AU430" s="53" t="str">
        <f aca="false">IF($E430&lt;&gt;"",$E430,"")</f>
        <v/>
      </c>
      <c r="AV430" s="52" t="str">
        <f aca="false">IF($F430&lt;&gt;"",$F430,"")</f>
        <v>Apprenant 418 ou 418'</v>
      </c>
      <c r="AW430" s="55" t="str">
        <f aca="false">IF(AND('Choix pédagogiques'!$C$4&lt;&gt;"?",'Choix pédagogiques'!$C$5&lt;&gt;"?",AB430&lt;&gt;""),(AB430-'Choix pédagogiques'!$C$4)/('Choix pédagogiques'!$C$5-'Choix pédagogiques'!$C$4),"")</f>
        <v/>
      </c>
      <c r="AX430" s="55" t="str">
        <f aca="false">IF(AND('Choix pédagogiques'!$C$4&lt;&gt;"?",'Choix pédagogiques'!$C$5&lt;&gt;"?",AC430&lt;&gt;""),(AC430-'Choix pédagogiques'!$C$4)/('Choix pédagogiques'!$C$5-'Choix pédagogiques'!$C$4),"")</f>
        <v/>
      </c>
      <c r="AY430" s="55" t="str">
        <f aca="false">IF(AND('Choix pédagogiques'!$C$4&lt;&gt;"?",'Choix pédagogiques'!$C$5&lt;&gt;"?",AD430&lt;&gt;""),(AD430-'Choix pédagogiques'!$C$4)/('Choix pédagogiques'!$C$5-'Choix pédagogiques'!$C$4),"")</f>
        <v/>
      </c>
      <c r="AZ430" s="53" t="str">
        <f aca="false">IF($J430&lt;&gt;"",$J430,"")</f>
        <v/>
      </c>
      <c r="BA430" s="52" t="str">
        <f aca="false">IF($A430&lt;&gt;"",$A430,"")</f>
        <v>Apprenant 418</v>
      </c>
      <c r="BB430" s="55" t="str">
        <f aca="false">IF(AND($AR430&lt;&gt;"",$AS430&lt;&gt;""),$AS430-$AR430,"")</f>
        <v/>
      </c>
      <c r="BC430" s="55" t="str">
        <f aca="false">IF(AND($AR430&lt;&gt;"",$AT430&lt;&gt;""),$AT430-$AR430,"")</f>
        <v/>
      </c>
      <c r="BD430" s="55" t="str">
        <f aca="false">IF(AND($AS430&lt;&gt;"",$AT430&lt;&gt;""),$AT430-$AS430,"")</f>
        <v/>
      </c>
      <c r="BE430" s="53" t="str">
        <f aca="false">IF($E430&lt;&gt;"",$E430,"")</f>
        <v/>
      </c>
      <c r="BF430" s="52" t="str">
        <f aca="false">IF($F430&lt;&gt;"",$F430,"")</f>
        <v>Apprenant 418 ou 418'</v>
      </c>
      <c r="BG430" s="55" t="str">
        <f aca="false">IF(AND($AW430&lt;&gt;"",$AX430&lt;&gt;""),$AX430-$AW430,"")</f>
        <v/>
      </c>
      <c r="BH430" s="55" t="str">
        <f aca="false">IF(AND($AW430&lt;&gt;"",$AY430&lt;&gt;""),$AY430-$AW430,"")</f>
        <v/>
      </c>
      <c r="BI430" s="55" t="str">
        <f aca="false">IF(AND($AX430&lt;&gt;"",$AY430&lt;&gt;""),$AY430-$AX430,"")</f>
        <v/>
      </c>
      <c r="BJ430" s="53" t="str">
        <f aca="false">IF($J430&lt;&gt;"",$J430,"")</f>
        <v/>
      </c>
      <c r="BL430" s="52"/>
      <c r="BM430" s="52" t="str">
        <f aca="false">IF(OR(COUNT(B430:D1429)=0,AND('Choix pédagogiques'!$C$3&lt;&gt;1,'Choix pédagogiques'!$C$3&lt;&gt;2)),"",IF(AND(OR('Choix pédagogiques'!$C$3=1,'Choix pédagogiques'!$C$3=2),$B430&lt;&gt;"",$C430&lt;&gt;"",$D430&lt;&gt;""),1,0))</f>
        <v/>
      </c>
      <c r="BN430" s="52" t="str">
        <f aca="false">IF(OR(COUNT(G430:I1429)=0,AND('Choix pédagogiques'!$C$3&lt;&gt;1,'Choix pédagogiques'!$C$3&lt;&gt;2)),"",IF(AND(OR('Choix pédagogiques'!$C$3=1,'Choix pédagogiques'!$C$3=2),AND($G430&lt;&gt;"",$H430&lt;&gt;"",$I430&lt;&gt;"")),1,0))</f>
        <v/>
      </c>
      <c r="BO430" s="52" t="str">
        <f aca="false">IF(OR(COUNT(B430:D1429)=0,COUNT(G430:I1429)=0,'Choix pédagogiques'!C$3&lt;&gt;3),"",IF(AND('Choix pédagogiques'!$C$3=3,$B430&lt;&gt;"",$C430&lt;&gt;"",$D430&lt;&gt;"",$G430&lt;&gt;"",$H430&lt;&gt;"",$I430&lt;&gt;""),1,0))</f>
        <v/>
      </c>
      <c r="BR430" s="52" t="n">
        <v>36</v>
      </c>
      <c r="BS430" s="52" t="n">
        <v>1051</v>
      </c>
    </row>
    <row r="431" s="54" customFormat="true" ht="18" hidden="false" customHeight="true" outlineLevel="0" collapsed="false">
      <c r="A431" s="57" t="s">
        <v>793</v>
      </c>
      <c r="B431" s="51"/>
      <c r="C431" s="51"/>
      <c r="D431" s="51"/>
      <c r="E431" s="51"/>
      <c r="F431" s="57" t="s">
        <v>794</v>
      </c>
      <c r="G431" s="51"/>
      <c r="H431" s="51"/>
      <c r="I431" s="51"/>
      <c r="J431" s="51"/>
      <c r="K431" s="52" t="str">
        <f aca="false">IF($A431&lt;&gt;"",$A431,"")</f>
        <v>Apprenant 419</v>
      </c>
      <c r="L431" s="53" t="str">
        <f aca="false">IF(AND($B431&lt;&gt;"",$C431&lt;&gt;""),$C431-$B431,"")</f>
        <v/>
      </c>
      <c r="M431" s="53" t="str">
        <f aca="false">IF(AND($B431&lt;&gt;"",$D431&lt;&gt;""),$D431-$B431,"")</f>
        <v/>
      </c>
      <c r="N431" s="53" t="str">
        <f aca="false">IF(AND($C431&lt;&gt;"",$D431&lt;&gt;""),$D431-$C431,"")</f>
        <v/>
      </c>
      <c r="O431" s="53" t="str">
        <f aca="false">IF($E431&lt;&gt;"",$E431,"")</f>
        <v/>
      </c>
      <c r="P431" s="52" t="str">
        <f aca="false">IF($F431&lt;&gt;"",$F431,"")</f>
        <v>Apprenant 419 ou 419'</v>
      </c>
      <c r="Q431" s="53" t="str">
        <f aca="false">IF(AND($G431&lt;&gt;"",$H431&lt;&gt;""),$H431-$G431,"")</f>
        <v/>
      </c>
      <c r="R431" s="53" t="str">
        <f aca="false">IF(AND($G431&lt;&gt;"",$I431&lt;&gt;""),$I431-$G431,"")</f>
        <v/>
      </c>
      <c r="S431" s="53" t="str">
        <f aca="false">IF(AND($H431&lt;&gt;"",$I431&lt;&gt;""),$I431-$H431,"")</f>
        <v/>
      </c>
      <c r="T431" s="53" t="str">
        <f aca="false">IF($J431&lt;&gt;"",$J431,"")</f>
        <v/>
      </c>
      <c r="V431" s="52" t="str">
        <f aca="false">IF($A431&lt;&gt;"",$A431,"")</f>
        <v>Apprenant 419</v>
      </c>
      <c r="W431" s="53" t="str">
        <f aca="false">IF(AND(OR('Choix pédagogiques'!$C$3=1,'Choix pédagogiques'!$C$3=2),$BM431=1),B431,IF(AND('Choix pédagogiques'!$C$3=3,$BO431=1),B431,""))</f>
        <v/>
      </c>
      <c r="X431" s="53" t="str">
        <f aca="false">IF(AND(OR('Choix pédagogiques'!$C$3=1,'Choix pédagogiques'!$C$3=2),$BM431=1),C431,IF(AND('Choix pédagogiques'!$C$3=3,$BO431=1),C431,""))</f>
        <v/>
      </c>
      <c r="Y431" s="53" t="str">
        <f aca="false">IF(AND(OR('Choix pédagogiques'!$C$3=1,'Choix pédagogiques'!$C$3=2),$BM431=1),D431,IF(AND('Choix pédagogiques'!$C$3=3,$BO431=1),D431,""))</f>
        <v/>
      </c>
      <c r="Z431" s="53" t="str">
        <f aca="false">IF($E431&lt;&gt;"",$E431,"")</f>
        <v/>
      </c>
      <c r="AA431" s="52" t="str">
        <f aca="false">IF($F431&lt;&gt;"",$F431,"")</f>
        <v>Apprenant 419 ou 419'</v>
      </c>
      <c r="AB431" s="53" t="str">
        <f aca="false">IF(AND(OR('Choix pédagogiques'!$C$3=1,'Choix pédagogiques'!$C$3=2),$BN431=1),G431,IF(AND('Choix pédagogiques'!$C$3=3,$BO431=1),G431,""))</f>
        <v/>
      </c>
      <c r="AC431" s="53" t="str">
        <f aca="false">IF(AND(OR('Choix pédagogiques'!$C$3=1,'Choix pédagogiques'!$C$3=2),$BN431=1),H431,IF(AND('Choix pédagogiques'!$C$3=3,$BO431=1),H431,""))</f>
        <v/>
      </c>
      <c r="AD431" s="53" t="str">
        <f aca="false">IF(AND(OR('Choix pédagogiques'!$C$3=1,'Choix pédagogiques'!$C$3=2),$BN431=1),I431,IF(AND('Choix pédagogiques'!$C$3=3,$BO431=1),I431,""))</f>
        <v/>
      </c>
      <c r="AE431" s="53" t="str">
        <f aca="false">IF($J431&lt;&gt;"",$J431,"")</f>
        <v/>
      </c>
      <c r="AF431" s="52" t="str">
        <f aca="false">IF($A431&lt;&gt;"",$A431,"")</f>
        <v>Apprenant 419</v>
      </c>
      <c r="AG431" s="53" t="str">
        <f aca="false">IF(AND($W431&lt;&gt;"",$X431&lt;&gt;""),$X431-$W431,"")</f>
        <v/>
      </c>
      <c r="AH431" s="53" t="str">
        <f aca="false">IF(AND($W431&lt;&gt;"",$Y431&lt;&gt;""),$Y431-$W431,"")</f>
        <v/>
      </c>
      <c r="AI431" s="53" t="str">
        <f aca="false">IF(AND($X431&lt;&gt;"",$Y431&lt;&gt;""),$Y431-$X431,"")</f>
        <v/>
      </c>
      <c r="AJ431" s="53" t="str">
        <f aca="false">IF($E431&lt;&gt;"",$E431,"")</f>
        <v/>
      </c>
      <c r="AK431" s="52" t="str">
        <f aca="false">IF($F431&lt;&gt;"",$F431,"")</f>
        <v>Apprenant 419 ou 419'</v>
      </c>
      <c r="AL431" s="53" t="str">
        <f aca="false">IF(AND($AB431&lt;&gt;"",$AC431&lt;&gt;""),$AC431-$AB431,"")</f>
        <v/>
      </c>
      <c r="AM431" s="53" t="str">
        <f aca="false">IF(AND($AB431&lt;&gt;"",$AD431&lt;&gt;""),$AD431-$AB431,"")</f>
        <v/>
      </c>
      <c r="AN431" s="53" t="str">
        <f aca="false">IF(AND($AC431&lt;&gt;"",$AD431&lt;&gt;""),$AD431-$AC431,"")</f>
        <v/>
      </c>
      <c r="AO431" s="53" t="str">
        <f aca="false">IF($J431&lt;&gt;"",$J431,"")</f>
        <v/>
      </c>
      <c r="AQ431" s="52" t="str">
        <f aca="false">IF($A431&lt;&gt;"",$A431,"")</f>
        <v>Apprenant 419</v>
      </c>
      <c r="AR431" s="55" t="str">
        <f aca="false">IF(AND('Choix pédagogiques'!$C$4&lt;&gt;"?",'Choix pédagogiques'!$C$5&lt;&gt;"?",W431&lt;&gt;""),(W431-'Choix pédagogiques'!$C$4)/('Choix pédagogiques'!$C$5-'Choix pédagogiques'!$C$4),"")</f>
        <v/>
      </c>
      <c r="AS431" s="55" t="str">
        <f aca="false">IF(AND('Choix pédagogiques'!$C$4&lt;&gt;"?",'Choix pédagogiques'!$C$5&lt;&gt;"?",X431&lt;&gt;""),(X431-'Choix pédagogiques'!$C$4)/('Choix pédagogiques'!$C$5-'Choix pédagogiques'!$C$4),"")</f>
        <v/>
      </c>
      <c r="AT431" s="55" t="str">
        <f aca="false">IF(AND('Choix pédagogiques'!$C$4&lt;&gt;"?",'Choix pédagogiques'!$C$5&lt;&gt;"?",Y431&lt;&gt;""),(Y431-'Choix pédagogiques'!$C$4)/('Choix pédagogiques'!$C$5-'Choix pédagogiques'!$C$4),"")</f>
        <v/>
      </c>
      <c r="AU431" s="53" t="str">
        <f aca="false">IF($E431&lt;&gt;"",$E431,"")</f>
        <v/>
      </c>
      <c r="AV431" s="52" t="str">
        <f aca="false">IF($F431&lt;&gt;"",$F431,"")</f>
        <v>Apprenant 419 ou 419'</v>
      </c>
      <c r="AW431" s="55" t="str">
        <f aca="false">IF(AND('Choix pédagogiques'!$C$4&lt;&gt;"?",'Choix pédagogiques'!$C$5&lt;&gt;"?",AB431&lt;&gt;""),(AB431-'Choix pédagogiques'!$C$4)/('Choix pédagogiques'!$C$5-'Choix pédagogiques'!$C$4),"")</f>
        <v/>
      </c>
      <c r="AX431" s="55" t="str">
        <f aca="false">IF(AND('Choix pédagogiques'!$C$4&lt;&gt;"?",'Choix pédagogiques'!$C$5&lt;&gt;"?",AC431&lt;&gt;""),(AC431-'Choix pédagogiques'!$C$4)/('Choix pédagogiques'!$C$5-'Choix pédagogiques'!$C$4),"")</f>
        <v/>
      </c>
      <c r="AY431" s="55" t="str">
        <f aca="false">IF(AND('Choix pédagogiques'!$C$4&lt;&gt;"?",'Choix pédagogiques'!$C$5&lt;&gt;"?",AD431&lt;&gt;""),(AD431-'Choix pédagogiques'!$C$4)/('Choix pédagogiques'!$C$5-'Choix pédagogiques'!$C$4),"")</f>
        <v/>
      </c>
      <c r="AZ431" s="53" t="str">
        <f aca="false">IF($J431&lt;&gt;"",$J431,"")</f>
        <v/>
      </c>
      <c r="BA431" s="52" t="str">
        <f aca="false">IF($A431&lt;&gt;"",$A431,"")</f>
        <v>Apprenant 419</v>
      </c>
      <c r="BB431" s="55" t="str">
        <f aca="false">IF(AND($AR431&lt;&gt;"",$AS431&lt;&gt;""),$AS431-$AR431,"")</f>
        <v/>
      </c>
      <c r="BC431" s="55" t="str">
        <f aca="false">IF(AND($AR431&lt;&gt;"",$AT431&lt;&gt;""),$AT431-$AR431,"")</f>
        <v/>
      </c>
      <c r="BD431" s="55" t="str">
        <f aca="false">IF(AND($AS431&lt;&gt;"",$AT431&lt;&gt;""),$AT431-$AS431,"")</f>
        <v/>
      </c>
      <c r="BE431" s="53" t="str">
        <f aca="false">IF($E431&lt;&gt;"",$E431,"")</f>
        <v/>
      </c>
      <c r="BF431" s="52" t="str">
        <f aca="false">IF($F431&lt;&gt;"",$F431,"")</f>
        <v>Apprenant 419 ou 419'</v>
      </c>
      <c r="BG431" s="55" t="str">
        <f aca="false">IF(AND($AW431&lt;&gt;"",$AX431&lt;&gt;""),$AX431-$AW431,"")</f>
        <v/>
      </c>
      <c r="BH431" s="55" t="str">
        <f aca="false">IF(AND($AW431&lt;&gt;"",$AY431&lt;&gt;""),$AY431-$AW431,"")</f>
        <v/>
      </c>
      <c r="BI431" s="55" t="str">
        <f aca="false">IF(AND($AX431&lt;&gt;"",$AY431&lt;&gt;""),$AY431-$AX431,"")</f>
        <v/>
      </c>
      <c r="BJ431" s="53" t="str">
        <f aca="false">IF($J431&lt;&gt;"",$J431,"")</f>
        <v/>
      </c>
      <c r="BL431" s="52"/>
      <c r="BM431" s="52" t="str">
        <f aca="false">IF(OR(COUNT(B431:D1430)=0,AND('Choix pédagogiques'!$C$3&lt;&gt;1,'Choix pédagogiques'!$C$3&lt;&gt;2)),"",IF(AND(OR('Choix pédagogiques'!$C$3=1,'Choix pédagogiques'!$C$3=2),$B431&lt;&gt;"",$C431&lt;&gt;"",$D431&lt;&gt;""),1,0))</f>
        <v/>
      </c>
      <c r="BN431" s="52" t="str">
        <f aca="false">IF(OR(COUNT(G431:I1430)=0,AND('Choix pédagogiques'!$C$3&lt;&gt;1,'Choix pédagogiques'!$C$3&lt;&gt;2)),"",IF(AND(OR('Choix pédagogiques'!$C$3=1,'Choix pédagogiques'!$C$3=2),AND($G431&lt;&gt;"",$H431&lt;&gt;"",$I431&lt;&gt;"")),1,0))</f>
        <v/>
      </c>
      <c r="BO431" s="52" t="str">
        <f aca="false">IF(OR(COUNT(B431:D1430)=0,COUNT(G431:I1430)=0,'Choix pédagogiques'!C$3&lt;&gt;3),"",IF(AND('Choix pédagogiques'!$C$3=3,$B431&lt;&gt;"",$C431&lt;&gt;"",$D431&lt;&gt;"",$G431&lt;&gt;"",$H431&lt;&gt;"",$I431&lt;&gt;""),1,0))</f>
        <v/>
      </c>
      <c r="BR431" s="52" t="n">
        <v>942</v>
      </c>
      <c r="BS431" s="52" t="n">
        <v>1605</v>
      </c>
    </row>
    <row r="432" s="54" customFormat="true" ht="18" hidden="false" customHeight="true" outlineLevel="0" collapsed="false">
      <c r="A432" s="57" t="s">
        <v>795</v>
      </c>
      <c r="B432" s="51"/>
      <c r="C432" s="51"/>
      <c r="D432" s="51"/>
      <c r="E432" s="51"/>
      <c r="F432" s="57" t="s">
        <v>796</v>
      </c>
      <c r="G432" s="51"/>
      <c r="H432" s="51"/>
      <c r="I432" s="51"/>
      <c r="J432" s="51"/>
      <c r="K432" s="52" t="str">
        <f aca="false">IF($A432&lt;&gt;"",$A432,"")</f>
        <v>Apprenant 420</v>
      </c>
      <c r="L432" s="53" t="str">
        <f aca="false">IF(AND($B432&lt;&gt;"",$C432&lt;&gt;""),$C432-$B432,"")</f>
        <v/>
      </c>
      <c r="M432" s="53" t="str">
        <f aca="false">IF(AND($B432&lt;&gt;"",$D432&lt;&gt;""),$D432-$B432,"")</f>
        <v/>
      </c>
      <c r="N432" s="53" t="str">
        <f aca="false">IF(AND($C432&lt;&gt;"",$D432&lt;&gt;""),$D432-$C432,"")</f>
        <v/>
      </c>
      <c r="O432" s="53" t="str">
        <f aca="false">IF($E432&lt;&gt;"",$E432,"")</f>
        <v/>
      </c>
      <c r="P432" s="52" t="str">
        <f aca="false">IF($F432&lt;&gt;"",$F432,"")</f>
        <v>Apprenant 420 ou 420'</v>
      </c>
      <c r="Q432" s="53" t="str">
        <f aca="false">IF(AND($G432&lt;&gt;"",$H432&lt;&gt;""),$H432-$G432,"")</f>
        <v/>
      </c>
      <c r="R432" s="53" t="str">
        <f aca="false">IF(AND($G432&lt;&gt;"",$I432&lt;&gt;""),$I432-$G432,"")</f>
        <v/>
      </c>
      <c r="S432" s="53" t="str">
        <f aca="false">IF(AND($H432&lt;&gt;"",$I432&lt;&gt;""),$I432-$H432,"")</f>
        <v/>
      </c>
      <c r="T432" s="53" t="str">
        <f aca="false">IF($J432&lt;&gt;"",$J432,"")</f>
        <v/>
      </c>
      <c r="V432" s="52" t="str">
        <f aca="false">IF($A432&lt;&gt;"",$A432,"")</f>
        <v>Apprenant 420</v>
      </c>
      <c r="W432" s="53" t="str">
        <f aca="false">IF(AND(OR('Choix pédagogiques'!$C$3=1,'Choix pédagogiques'!$C$3=2),$BM432=1),B432,IF(AND('Choix pédagogiques'!$C$3=3,$BO432=1),B432,""))</f>
        <v/>
      </c>
      <c r="X432" s="53" t="str">
        <f aca="false">IF(AND(OR('Choix pédagogiques'!$C$3=1,'Choix pédagogiques'!$C$3=2),$BM432=1),C432,IF(AND('Choix pédagogiques'!$C$3=3,$BO432=1),C432,""))</f>
        <v/>
      </c>
      <c r="Y432" s="53" t="str">
        <f aca="false">IF(AND(OR('Choix pédagogiques'!$C$3=1,'Choix pédagogiques'!$C$3=2),$BM432=1),D432,IF(AND('Choix pédagogiques'!$C$3=3,$BO432=1),D432,""))</f>
        <v/>
      </c>
      <c r="Z432" s="53" t="str">
        <f aca="false">IF($E432&lt;&gt;"",$E432,"")</f>
        <v/>
      </c>
      <c r="AA432" s="52" t="str">
        <f aca="false">IF($F432&lt;&gt;"",$F432,"")</f>
        <v>Apprenant 420 ou 420'</v>
      </c>
      <c r="AB432" s="53" t="str">
        <f aca="false">IF(AND(OR('Choix pédagogiques'!$C$3=1,'Choix pédagogiques'!$C$3=2),$BN432=1),G432,IF(AND('Choix pédagogiques'!$C$3=3,$BO432=1),G432,""))</f>
        <v/>
      </c>
      <c r="AC432" s="53" t="str">
        <f aca="false">IF(AND(OR('Choix pédagogiques'!$C$3=1,'Choix pédagogiques'!$C$3=2),$BN432=1),H432,IF(AND('Choix pédagogiques'!$C$3=3,$BO432=1),H432,""))</f>
        <v/>
      </c>
      <c r="AD432" s="53" t="str">
        <f aca="false">IF(AND(OR('Choix pédagogiques'!$C$3=1,'Choix pédagogiques'!$C$3=2),$BN432=1),I432,IF(AND('Choix pédagogiques'!$C$3=3,$BO432=1),I432,""))</f>
        <v/>
      </c>
      <c r="AE432" s="53" t="str">
        <f aca="false">IF($J432&lt;&gt;"",$J432,"")</f>
        <v/>
      </c>
      <c r="AF432" s="52" t="str">
        <f aca="false">IF($A432&lt;&gt;"",$A432,"")</f>
        <v>Apprenant 420</v>
      </c>
      <c r="AG432" s="53" t="str">
        <f aca="false">IF(AND($W432&lt;&gt;"",$X432&lt;&gt;""),$X432-$W432,"")</f>
        <v/>
      </c>
      <c r="AH432" s="53" t="str">
        <f aca="false">IF(AND($W432&lt;&gt;"",$Y432&lt;&gt;""),$Y432-$W432,"")</f>
        <v/>
      </c>
      <c r="AI432" s="53" t="str">
        <f aca="false">IF(AND($X432&lt;&gt;"",$Y432&lt;&gt;""),$Y432-$X432,"")</f>
        <v/>
      </c>
      <c r="AJ432" s="53" t="str">
        <f aca="false">IF($E432&lt;&gt;"",$E432,"")</f>
        <v/>
      </c>
      <c r="AK432" s="52" t="str">
        <f aca="false">IF($F432&lt;&gt;"",$F432,"")</f>
        <v>Apprenant 420 ou 420'</v>
      </c>
      <c r="AL432" s="53" t="str">
        <f aca="false">IF(AND($AB432&lt;&gt;"",$AC432&lt;&gt;""),$AC432-$AB432,"")</f>
        <v/>
      </c>
      <c r="AM432" s="53" t="str">
        <f aca="false">IF(AND($AB432&lt;&gt;"",$AD432&lt;&gt;""),$AD432-$AB432,"")</f>
        <v/>
      </c>
      <c r="AN432" s="53" t="str">
        <f aca="false">IF(AND($AC432&lt;&gt;"",$AD432&lt;&gt;""),$AD432-$AC432,"")</f>
        <v/>
      </c>
      <c r="AO432" s="53" t="str">
        <f aca="false">IF($J432&lt;&gt;"",$J432,"")</f>
        <v/>
      </c>
      <c r="AQ432" s="52" t="str">
        <f aca="false">IF($A432&lt;&gt;"",$A432,"")</f>
        <v>Apprenant 420</v>
      </c>
      <c r="AR432" s="55" t="str">
        <f aca="false">IF(AND('Choix pédagogiques'!$C$4&lt;&gt;"?",'Choix pédagogiques'!$C$5&lt;&gt;"?",W432&lt;&gt;""),(W432-'Choix pédagogiques'!$C$4)/('Choix pédagogiques'!$C$5-'Choix pédagogiques'!$C$4),"")</f>
        <v/>
      </c>
      <c r="AS432" s="55" t="str">
        <f aca="false">IF(AND('Choix pédagogiques'!$C$4&lt;&gt;"?",'Choix pédagogiques'!$C$5&lt;&gt;"?",X432&lt;&gt;""),(X432-'Choix pédagogiques'!$C$4)/('Choix pédagogiques'!$C$5-'Choix pédagogiques'!$C$4),"")</f>
        <v/>
      </c>
      <c r="AT432" s="55" t="str">
        <f aca="false">IF(AND('Choix pédagogiques'!$C$4&lt;&gt;"?",'Choix pédagogiques'!$C$5&lt;&gt;"?",Y432&lt;&gt;""),(Y432-'Choix pédagogiques'!$C$4)/('Choix pédagogiques'!$C$5-'Choix pédagogiques'!$C$4),"")</f>
        <v/>
      </c>
      <c r="AU432" s="53" t="str">
        <f aca="false">IF($E432&lt;&gt;"",$E432,"")</f>
        <v/>
      </c>
      <c r="AV432" s="52" t="str">
        <f aca="false">IF($F432&lt;&gt;"",$F432,"")</f>
        <v>Apprenant 420 ou 420'</v>
      </c>
      <c r="AW432" s="55" t="str">
        <f aca="false">IF(AND('Choix pédagogiques'!$C$4&lt;&gt;"?",'Choix pédagogiques'!$C$5&lt;&gt;"?",AB432&lt;&gt;""),(AB432-'Choix pédagogiques'!$C$4)/('Choix pédagogiques'!$C$5-'Choix pédagogiques'!$C$4),"")</f>
        <v/>
      </c>
      <c r="AX432" s="55" t="str">
        <f aca="false">IF(AND('Choix pédagogiques'!$C$4&lt;&gt;"?",'Choix pédagogiques'!$C$5&lt;&gt;"?",AC432&lt;&gt;""),(AC432-'Choix pédagogiques'!$C$4)/('Choix pédagogiques'!$C$5-'Choix pédagogiques'!$C$4),"")</f>
        <v/>
      </c>
      <c r="AY432" s="55" t="str">
        <f aca="false">IF(AND('Choix pédagogiques'!$C$4&lt;&gt;"?",'Choix pédagogiques'!$C$5&lt;&gt;"?",AD432&lt;&gt;""),(AD432-'Choix pédagogiques'!$C$4)/('Choix pédagogiques'!$C$5-'Choix pédagogiques'!$C$4),"")</f>
        <v/>
      </c>
      <c r="AZ432" s="53" t="str">
        <f aca="false">IF($J432&lt;&gt;"",$J432,"")</f>
        <v/>
      </c>
      <c r="BA432" s="52" t="str">
        <f aca="false">IF($A432&lt;&gt;"",$A432,"")</f>
        <v>Apprenant 420</v>
      </c>
      <c r="BB432" s="55" t="str">
        <f aca="false">IF(AND($AR432&lt;&gt;"",$AS432&lt;&gt;""),$AS432-$AR432,"")</f>
        <v/>
      </c>
      <c r="BC432" s="55" t="str">
        <f aca="false">IF(AND($AR432&lt;&gt;"",$AT432&lt;&gt;""),$AT432-$AR432,"")</f>
        <v/>
      </c>
      <c r="BD432" s="55" t="str">
        <f aca="false">IF(AND($AS432&lt;&gt;"",$AT432&lt;&gt;""),$AT432-$AS432,"")</f>
        <v/>
      </c>
      <c r="BE432" s="53" t="str">
        <f aca="false">IF($E432&lt;&gt;"",$E432,"")</f>
        <v/>
      </c>
      <c r="BF432" s="52" t="str">
        <f aca="false">IF($F432&lt;&gt;"",$F432,"")</f>
        <v>Apprenant 420 ou 420'</v>
      </c>
      <c r="BG432" s="55" t="str">
        <f aca="false">IF(AND($AW432&lt;&gt;"",$AX432&lt;&gt;""),$AX432-$AW432,"")</f>
        <v/>
      </c>
      <c r="BH432" s="55" t="str">
        <f aca="false">IF(AND($AW432&lt;&gt;"",$AY432&lt;&gt;""),$AY432-$AW432,"")</f>
        <v/>
      </c>
      <c r="BI432" s="55" t="str">
        <f aca="false">IF(AND($AX432&lt;&gt;"",$AY432&lt;&gt;""),$AY432-$AX432,"")</f>
        <v/>
      </c>
      <c r="BJ432" s="53" t="str">
        <f aca="false">IF($J432&lt;&gt;"",$J432,"")</f>
        <v/>
      </c>
      <c r="BL432" s="52"/>
      <c r="BM432" s="52" t="str">
        <f aca="false">IF(OR(COUNT(B432:D1431)=0,AND('Choix pédagogiques'!$C$3&lt;&gt;1,'Choix pédagogiques'!$C$3&lt;&gt;2)),"",IF(AND(OR('Choix pédagogiques'!$C$3=1,'Choix pédagogiques'!$C$3=2),$B432&lt;&gt;"",$C432&lt;&gt;"",$D432&lt;&gt;""),1,0))</f>
        <v/>
      </c>
      <c r="BN432" s="52" t="str">
        <f aca="false">IF(OR(COUNT(G432:I1431)=0,AND('Choix pédagogiques'!$C$3&lt;&gt;1,'Choix pédagogiques'!$C$3&lt;&gt;2)),"",IF(AND(OR('Choix pédagogiques'!$C$3=1,'Choix pédagogiques'!$C$3=2),AND($G432&lt;&gt;"",$H432&lt;&gt;"",$I432&lt;&gt;"")),1,0))</f>
        <v/>
      </c>
      <c r="BO432" s="52" t="str">
        <f aca="false">IF(OR(COUNT(B432:D1431)=0,COUNT(G432:I1431)=0,'Choix pédagogiques'!C$3&lt;&gt;3),"",IF(AND('Choix pédagogiques'!$C$3=3,$B432&lt;&gt;"",$C432&lt;&gt;"",$D432&lt;&gt;"",$G432&lt;&gt;"",$H432&lt;&gt;"",$I432&lt;&gt;""),1,0))</f>
        <v/>
      </c>
      <c r="BR432" s="52" t="n">
        <v>841</v>
      </c>
      <c r="BS432" s="52" t="n">
        <v>1103</v>
      </c>
    </row>
    <row r="433" s="54" customFormat="true" ht="18" hidden="false" customHeight="true" outlineLevel="0" collapsed="false">
      <c r="A433" s="57" t="s">
        <v>797</v>
      </c>
      <c r="B433" s="51"/>
      <c r="C433" s="51"/>
      <c r="D433" s="51"/>
      <c r="E433" s="51"/>
      <c r="F433" s="57" t="s">
        <v>798</v>
      </c>
      <c r="G433" s="51"/>
      <c r="H433" s="51"/>
      <c r="I433" s="51"/>
      <c r="J433" s="51"/>
      <c r="K433" s="52" t="str">
        <f aca="false">IF($A433&lt;&gt;"",$A433,"")</f>
        <v>Apprenant 421</v>
      </c>
      <c r="L433" s="53" t="str">
        <f aca="false">IF(AND($B433&lt;&gt;"",$C433&lt;&gt;""),$C433-$B433,"")</f>
        <v/>
      </c>
      <c r="M433" s="53" t="str">
        <f aca="false">IF(AND($B433&lt;&gt;"",$D433&lt;&gt;""),$D433-$B433,"")</f>
        <v/>
      </c>
      <c r="N433" s="53" t="str">
        <f aca="false">IF(AND($C433&lt;&gt;"",$D433&lt;&gt;""),$D433-$C433,"")</f>
        <v/>
      </c>
      <c r="O433" s="53" t="str">
        <f aca="false">IF($E433&lt;&gt;"",$E433,"")</f>
        <v/>
      </c>
      <c r="P433" s="52" t="str">
        <f aca="false">IF($F433&lt;&gt;"",$F433,"")</f>
        <v>Apprenant 421 ou 421'</v>
      </c>
      <c r="Q433" s="53" t="str">
        <f aca="false">IF(AND($G433&lt;&gt;"",$H433&lt;&gt;""),$H433-$G433,"")</f>
        <v/>
      </c>
      <c r="R433" s="53" t="str">
        <f aca="false">IF(AND($G433&lt;&gt;"",$I433&lt;&gt;""),$I433-$G433,"")</f>
        <v/>
      </c>
      <c r="S433" s="53" t="str">
        <f aca="false">IF(AND($H433&lt;&gt;"",$I433&lt;&gt;""),$I433-$H433,"")</f>
        <v/>
      </c>
      <c r="T433" s="53" t="str">
        <f aca="false">IF($J433&lt;&gt;"",$J433,"")</f>
        <v/>
      </c>
      <c r="V433" s="52" t="str">
        <f aca="false">IF($A433&lt;&gt;"",$A433,"")</f>
        <v>Apprenant 421</v>
      </c>
      <c r="W433" s="53" t="str">
        <f aca="false">IF(AND(OR('Choix pédagogiques'!$C$3=1,'Choix pédagogiques'!$C$3=2),$BM433=1),B433,IF(AND('Choix pédagogiques'!$C$3=3,$BO433=1),B433,""))</f>
        <v/>
      </c>
      <c r="X433" s="53" t="str">
        <f aca="false">IF(AND(OR('Choix pédagogiques'!$C$3=1,'Choix pédagogiques'!$C$3=2),$BM433=1),C433,IF(AND('Choix pédagogiques'!$C$3=3,$BO433=1),C433,""))</f>
        <v/>
      </c>
      <c r="Y433" s="53" t="str">
        <f aca="false">IF(AND(OR('Choix pédagogiques'!$C$3=1,'Choix pédagogiques'!$C$3=2),$BM433=1),D433,IF(AND('Choix pédagogiques'!$C$3=3,$BO433=1),D433,""))</f>
        <v/>
      </c>
      <c r="Z433" s="53" t="str">
        <f aca="false">IF($E433&lt;&gt;"",$E433,"")</f>
        <v/>
      </c>
      <c r="AA433" s="52" t="str">
        <f aca="false">IF($F433&lt;&gt;"",$F433,"")</f>
        <v>Apprenant 421 ou 421'</v>
      </c>
      <c r="AB433" s="53" t="str">
        <f aca="false">IF(AND(OR('Choix pédagogiques'!$C$3=1,'Choix pédagogiques'!$C$3=2),$BN433=1),G433,IF(AND('Choix pédagogiques'!$C$3=3,$BO433=1),G433,""))</f>
        <v/>
      </c>
      <c r="AC433" s="53" t="str">
        <f aca="false">IF(AND(OR('Choix pédagogiques'!$C$3=1,'Choix pédagogiques'!$C$3=2),$BN433=1),H433,IF(AND('Choix pédagogiques'!$C$3=3,$BO433=1),H433,""))</f>
        <v/>
      </c>
      <c r="AD433" s="53" t="str">
        <f aca="false">IF(AND(OR('Choix pédagogiques'!$C$3=1,'Choix pédagogiques'!$C$3=2),$BN433=1),I433,IF(AND('Choix pédagogiques'!$C$3=3,$BO433=1),I433,""))</f>
        <v/>
      </c>
      <c r="AE433" s="53" t="str">
        <f aca="false">IF($J433&lt;&gt;"",$J433,"")</f>
        <v/>
      </c>
      <c r="AF433" s="52" t="str">
        <f aca="false">IF($A433&lt;&gt;"",$A433,"")</f>
        <v>Apprenant 421</v>
      </c>
      <c r="AG433" s="53" t="str">
        <f aca="false">IF(AND($W433&lt;&gt;"",$X433&lt;&gt;""),$X433-$W433,"")</f>
        <v/>
      </c>
      <c r="AH433" s="53" t="str">
        <f aca="false">IF(AND($W433&lt;&gt;"",$Y433&lt;&gt;""),$Y433-$W433,"")</f>
        <v/>
      </c>
      <c r="AI433" s="53" t="str">
        <f aca="false">IF(AND($X433&lt;&gt;"",$Y433&lt;&gt;""),$Y433-$X433,"")</f>
        <v/>
      </c>
      <c r="AJ433" s="53" t="str">
        <f aca="false">IF($E433&lt;&gt;"",$E433,"")</f>
        <v/>
      </c>
      <c r="AK433" s="52" t="str">
        <f aca="false">IF($F433&lt;&gt;"",$F433,"")</f>
        <v>Apprenant 421 ou 421'</v>
      </c>
      <c r="AL433" s="53" t="str">
        <f aca="false">IF(AND($AB433&lt;&gt;"",$AC433&lt;&gt;""),$AC433-$AB433,"")</f>
        <v/>
      </c>
      <c r="AM433" s="53" t="str">
        <f aca="false">IF(AND($AB433&lt;&gt;"",$AD433&lt;&gt;""),$AD433-$AB433,"")</f>
        <v/>
      </c>
      <c r="AN433" s="53" t="str">
        <f aca="false">IF(AND($AC433&lt;&gt;"",$AD433&lt;&gt;""),$AD433-$AC433,"")</f>
        <v/>
      </c>
      <c r="AO433" s="53" t="str">
        <f aca="false">IF($J433&lt;&gt;"",$J433,"")</f>
        <v/>
      </c>
      <c r="AQ433" s="52" t="str">
        <f aca="false">IF($A433&lt;&gt;"",$A433,"")</f>
        <v>Apprenant 421</v>
      </c>
      <c r="AR433" s="55" t="str">
        <f aca="false">IF(AND('Choix pédagogiques'!$C$4&lt;&gt;"?",'Choix pédagogiques'!$C$5&lt;&gt;"?",W433&lt;&gt;""),(W433-'Choix pédagogiques'!$C$4)/('Choix pédagogiques'!$C$5-'Choix pédagogiques'!$C$4),"")</f>
        <v/>
      </c>
      <c r="AS433" s="55" t="str">
        <f aca="false">IF(AND('Choix pédagogiques'!$C$4&lt;&gt;"?",'Choix pédagogiques'!$C$5&lt;&gt;"?",X433&lt;&gt;""),(X433-'Choix pédagogiques'!$C$4)/('Choix pédagogiques'!$C$5-'Choix pédagogiques'!$C$4),"")</f>
        <v/>
      </c>
      <c r="AT433" s="55" t="str">
        <f aca="false">IF(AND('Choix pédagogiques'!$C$4&lt;&gt;"?",'Choix pédagogiques'!$C$5&lt;&gt;"?",Y433&lt;&gt;""),(Y433-'Choix pédagogiques'!$C$4)/('Choix pédagogiques'!$C$5-'Choix pédagogiques'!$C$4),"")</f>
        <v/>
      </c>
      <c r="AU433" s="53" t="str">
        <f aca="false">IF($E433&lt;&gt;"",$E433,"")</f>
        <v/>
      </c>
      <c r="AV433" s="52" t="str">
        <f aca="false">IF($F433&lt;&gt;"",$F433,"")</f>
        <v>Apprenant 421 ou 421'</v>
      </c>
      <c r="AW433" s="55" t="str">
        <f aca="false">IF(AND('Choix pédagogiques'!$C$4&lt;&gt;"?",'Choix pédagogiques'!$C$5&lt;&gt;"?",AB433&lt;&gt;""),(AB433-'Choix pédagogiques'!$C$4)/('Choix pédagogiques'!$C$5-'Choix pédagogiques'!$C$4),"")</f>
        <v/>
      </c>
      <c r="AX433" s="55" t="str">
        <f aca="false">IF(AND('Choix pédagogiques'!$C$4&lt;&gt;"?",'Choix pédagogiques'!$C$5&lt;&gt;"?",AC433&lt;&gt;""),(AC433-'Choix pédagogiques'!$C$4)/('Choix pédagogiques'!$C$5-'Choix pédagogiques'!$C$4),"")</f>
        <v/>
      </c>
      <c r="AY433" s="55" t="str">
        <f aca="false">IF(AND('Choix pédagogiques'!$C$4&lt;&gt;"?",'Choix pédagogiques'!$C$5&lt;&gt;"?",AD433&lt;&gt;""),(AD433-'Choix pédagogiques'!$C$4)/('Choix pédagogiques'!$C$5-'Choix pédagogiques'!$C$4),"")</f>
        <v/>
      </c>
      <c r="AZ433" s="53" t="str">
        <f aca="false">IF($J433&lt;&gt;"",$J433,"")</f>
        <v/>
      </c>
      <c r="BA433" s="52" t="str">
        <f aca="false">IF($A433&lt;&gt;"",$A433,"")</f>
        <v>Apprenant 421</v>
      </c>
      <c r="BB433" s="55" t="str">
        <f aca="false">IF(AND($AR433&lt;&gt;"",$AS433&lt;&gt;""),$AS433-$AR433,"")</f>
        <v/>
      </c>
      <c r="BC433" s="55" t="str">
        <f aca="false">IF(AND($AR433&lt;&gt;"",$AT433&lt;&gt;""),$AT433-$AR433,"")</f>
        <v/>
      </c>
      <c r="BD433" s="55" t="str">
        <f aca="false">IF(AND($AS433&lt;&gt;"",$AT433&lt;&gt;""),$AT433-$AS433,"")</f>
        <v/>
      </c>
      <c r="BE433" s="53" t="str">
        <f aca="false">IF($E433&lt;&gt;"",$E433,"")</f>
        <v/>
      </c>
      <c r="BF433" s="52" t="str">
        <f aca="false">IF($F433&lt;&gt;"",$F433,"")</f>
        <v>Apprenant 421 ou 421'</v>
      </c>
      <c r="BG433" s="55" t="str">
        <f aca="false">IF(AND($AW433&lt;&gt;"",$AX433&lt;&gt;""),$AX433-$AW433,"")</f>
        <v/>
      </c>
      <c r="BH433" s="55" t="str">
        <f aca="false">IF(AND($AW433&lt;&gt;"",$AY433&lt;&gt;""),$AY433-$AW433,"")</f>
        <v/>
      </c>
      <c r="BI433" s="55" t="str">
        <f aca="false">IF(AND($AX433&lt;&gt;"",$AY433&lt;&gt;""),$AY433-$AX433,"")</f>
        <v/>
      </c>
      <c r="BJ433" s="53" t="str">
        <f aca="false">IF($J433&lt;&gt;"",$J433,"")</f>
        <v/>
      </c>
      <c r="BL433" s="52"/>
      <c r="BM433" s="52" t="str">
        <f aca="false">IF(OR(COUNT(B433:D1432)=0,AND('Choix pédagogiques'!$C$3&lt;&gt;1,'Choix pédagogiques'!$C$3&lt;&gt;2)),"",IF(AND(OR('Choix pédagogiques'!$C$3=1,'Choix pédagogiques'!$C$3=2),$B433&lt;&gt;"",$C433&lt;&gt;"",$D433&lt;&gt;""),1,0))</f>
        <v/>
      </c>
      <c r="BN433" s="52" t="str">
        <f aca="false">IF(OR(COUNT(G433:I1432)=0,AND('Choix pédagogiques'!$C$3&lt;&gt;1,'Choix pédagogiques'!$C$3&lt;&gt;2)),"",IF(AND(OR('Choix pédagogiques'!$C$3=1,'Choix pédagogiques'!$C$3=2),AND($G433&lt;&gt;"",$H433&lt;&gt;"",$I433&lt;&gt;"")),1,0))</f>
        <v/>
      </c>
      <c r="BO433" s="52" t="str">
        <f aca="false">IF(OR(COUNT(B433:D1432)=0,COUNT(G433:I1432)=0,'Choix pédagogiques'!C$3&lt;&gt;3),"",IF(AND('Choix pédagogiques'!$C$3=3,$B433&lt;&gt;"",$C433&lt;&gt;"",$D433&lt;&gt;"",$G433&lt;&gt;"",$H433&lt;&gt;"",$I433&lt;&gt;""),1,0))</f>
        <v/>
      </c>
      <c r="BR433" s="52" t="n">
        <v>676</v>
      </c>
      <c r="BS433" s="52" t="n">
        <v>1622</v>
      </c>
    </row>
    <row r="434" s="54" customFormat="true" ht="18" hidden="false" customHeight="true" outlineLevel="0" collapsed="false">
      <c r="A434" s="57" t="s">
        <v>799</v>
      </c>
      <c r="B434" s="51"/>
      <c r="C434" s="51"/>
      <c r="D434" s="51"/>
      <c r="E434" s="51"/>
      <c r="F434" s="57" t="s">
        <v>800</v>
      </c>
      <c r="G434" s="51"/>
      <c r="H434" s="51"/>
      <c r="I434" s="51"/>
      <c r="J434" s="51"/>
      <c r="K434" s="52" t="str">
        <f aca="false">IF($A434&lt;&gt;"",$A434,"")</f>
        <v>Apprenant 422</v>
      </c>
      <c r="L434" s="53" t="str">
        <f aca="false">IF(AND($B434&lt;&gt;"",$C434&lt;&gt;""),$C434-$B434,"")</f>
        <v/>
      </c>
      <c r="M434" s="53" t="str">
        <f aca="false">IF(AND($B434&lt;&gt;"",$D434&lt;&gt;""),$D434-$B434,"")</f>
        <v/>
      </c>
      <c r="N434" s="53" t="str">
        <f aca="false">IF(AND($C434&lt;&gt;"",$D434&lt;&gt;""),$D434-$C434,"")</f>
        <v/>
      </c>
      <c r="O434" s="53" t="str">
        <f aca="false">IF($E434&lt;&gt;"",$E434,"")</f>
        <v/>
      </c>
      <c r="P434" s="52" t="str">
        <f aca="false">IF($F434&lt;&gt;"",$F434,"")</f>
        <v>Apprenant 422 ou 422'</v>
      </c>
      <c r="Q434" s="53" t="str">
        <f aca="false">IF(AND($G434&lt;&gt;"",$H434&lt;&gt;""),$H434-$G434,"")</f>
        <v/>
      </c>
      <c r="R434" s="53" t="str">
        <f aca="false">IF(AND($G434&lt;&gt;"",$I434&lt;&gt;""),$I434-$G434,"")</f>
        <v/>
      </c>
      <c r="S434" s="53" t="str">
        <f aca="false">IF(AND($H434&lt;&gt;"",$I434&lt;&gt;""),$I434-$H434,"")</f>
        <v/>
      </c>
      <c r="T434" s="53" t="str">
        <f aca="false">IF($J434&lt;&gt;"",$J434,"")</f>
        <v/>
      </c>
      <c r="V434" s="52" t="str">
        <f aca="false">IF($A434&lt;&gt;"",$A434,"")</f>
        <v>Apprenant 422</v>
      </c>
      <c r="W434" s="53" t="str">
        <f aca="false">IF(AND(OR('Choix pédagogiques'!$C$3=1,'Choix pédagogiques'!$C$3=2),$BM434=1),B434,IF(AND('Choix pédagogiques'!$C$3=3,$BO434=1),B434,""))</f>
        <v/>
      </c>
      <c r="X434" s="53" t="str">
        <f aca="false">IF(AND(OR('Choix pédagogiques'!$C$3=1,'Choix pédagogiques'!$C$3=2),$BM434=1),C434,IF(AND('Choix pédagogiques'!$C$3=3,$BO434=1),C434,""))</f>
        <v/>
      </c>
      <c r="Y434" s="53" t="str">
        <f aca="false">IF(AND(OR('Choix pédagogiques'!$C$3=1,'Choix pédagogiques'!$C$3=2),$BM434=1),D434,IF(AND('Choix pédagogiques'!$C$3=3,$BO434=1),D434,""))</f>
        <v/>
      </c>
      <c r="Z434" s="53" t="str">
        <f aca="false">IF($E434&lt;&gt;"",$E434,"")</f>
        <v/>
      </c>
      <c r="AA434" s="52" t="str">
        <f aca="false">IF($F434&lt;&gt;"",$F434,"")</f>
        <v>Apprenant 422 ou 422'</v>
      </c>
      <c r="AB434" s="53" t="str">
        <f aca="false">IF(AND(OR('Choix pédagogiques'!$C$3=1,'Choix pédagogiques'!$C$3=2),$BN434=1),G434,IF(AND('Choix pédagogiques'!$C$3=3,$BO434=1),G434,""))</f>
        <v/>
      </c>
      <c r="AC434" s="53" t="str">
        <f aca="false">IF(AND(OR('Choix pédagogiques'!$C$3=1,'Choix pédagogiques'!$C$3=2),$BN434=1),H434,IF(AND('Choix pédagogiques'!$C$3=3,$BO434=1),H434,""))</f>
        <v/>
      </c>
      <c r="AD434" s="53" t="str">
        <f aca="false">IF(AND(OR('Choix pédagogiques'!$C$3=1,'Choix pédagogiques'!$C$3=2),$BN434=1),I434,IF(AND('Choix pédagogiques'!$C$3=3,$BO434=1),I434,""))</f>
        <v/>
      </c>
      <c r="AE434" s="53" t="str">
        <f aca="false">IF($J434&lt;&gt;"",$J434,"")</f>
        <v/>
      </c>
      <c r="AF434" s="52" t="str">
        <f aca="false">IF($A434&lt;&gt;"",$A434,"")</f>
        <v>Apprenant 422</v>
      </c>
      <c r="AG434" s="53" t="str">
        <f aca="false">IF(AND($W434&lt;&gt;"",$X434&lt;&gt;""),$X434-$W434,"")</f>
        <v/>
      </c>
      <c r="AH434" s="53" t="str">
        <f aca="false">IF(AND($W434&lt;&gt;"",$Y434&lt;&gt;""),$Y434-$W434,"")</f>
        <v/>
      </c>
      <c r="AI434" s="53" t="str">
        <f aca="false">IF(AND($X434&lt;&gt;"",$Y434&lt;&gt;""),$Y434-$X434,"")</f>
        <v/>
      </c>
      <c r="AJ434" s="53" t="str">
        <f aca="false">IF($E434&lt;&gt;"",$E434,"")</f>
        <v/>
      </c>
      <c r="AK434" s="52" t="str">
        <f aca="false">IF($F434&lt;&gt;"",$F434,"")</f>
        <v>Apprenant 422 ou 422'</v>
      </c>
      <c r="AL434" s="53" t="str">
        <f aca="false">IF(AND($AB434&lt;&gt;"",$AC434&lt;&gt;""),$AC434-$AB434,"")</f>
        <v/>
      </c>
      <c r="AM434" s="53" t="str">
        <f aca="false">IF(AND($AB434&lt;&gt;"",$AD434&lt;&gt;""),$AD434-$AB434,"")</f>
        <v/>
      </c>
      <c r="AN434" s="53" t="str">
        <f aca="false">IF(AND($AC434&lt;&gt;"",$AD434&lt;&gt;""),$AD434-$AC434,"")</f>
        <v/>
      </c>
      <c r="AO434" s="53" t="str">
        <f aca="false">IF($J434&lt;&gt;"",$J434,"")</f>
        <v/>
      </c>
      <c r="AQ434" s="52" t="str">
        <f aca="false">IF($A434&lt;&gt;"",$A434,"")</f>
        <v>Apprenant 422</v>
      </c>
      <c r="AR434" s="55" t="str">
        <f aca="false">IF(AND('Choix pédagogiques'!$C$4&lt;&gt;"?",'Choix pédagogiques'!$C$5&lt;&gt;"?",W434&lt;&gt;""),(W434-'Choix pédagogiques'!$C$4)/('Choix pédagogiques'!$C$5-'Choix pédagogiques'!$C$4),"")</f>
        <v/>
      </c>
      <c r="AS434" s="55" t="str">
        <f aca="false">IF(AND('Choix pédagogiques'!$C$4&lt;&gt;"?",'Choix pédagogiques'!$C$5&lt;&gt;"?",X434&lt;&gt;""),(X434-'Choix pédagogiques'!$C$4)/('Choix pédagogiques'!$C$5-'Choix pédagogiques'!$C$4),"")</f>
        <v/>
      </c>
      <c r="AT434" s="55" t="str">
        <f aca="false">IF(AND('Choix pédagogiques'!$C$4&lt;&gt;"?",'Choix pédagogiques'!$C$5&lt;&gt;"?",Y434&lt;&gt;""),(Y434-'Choix pédagogiques'!$C$4)/('Choix pédagogiques'!$C$5-'Choix pédagogiques'!$C$4),"")</f>
        <v/>
      </c>
      <c r="AU434" s="53" t="str">
        <f aca="false">IF($E434&lt;&gt;"",$E434,"")</f>
        <v/>
      </c>
      <c r="AV434" s="52" t="str">
        <f aca="false">IF($F434&lt;&gt;"",$F434,"")</f>
        <v>Apprenant 422 ou 422'</v>
      </c>
      <c r="AW434" s="55" t="str">
        <f aca="false">IF(AND('Choix pédagogiques'!$C$4&lt;&gt;"?",'Choix pédagogiques'!$C$5&lt;&gt;"?",AB434&lt;&gt;""),(AB434-'Choix pédagogiques'!$C$4)/('Choix pédagogiques'!$C$5-'Choix pédagogiques'!$C$4),"")</f>
        <v/>
      </c>
      <c r="AX434" s="55" t="str">
        <f aca="false">IF(AND('Choix pédagogiques'!$C$4&lt;&gt;"?",'Choix pédagogiques'!$C$5&lt;&gt;"?",AC434&lt;&gt;""),(AC434-'Choix pédagogiques'!$C$4)/('Choix pédagogiques'!$C$5-'Choix pédagogiques'!$C$4),"")</f>
        <v/>
      </c>
      <c r="AY434" s="55" t="str">
        <f aca="false">IF(AND('Choix pédagogiques'!$C$4&lt;&gt;"?",'Choix pédagogiques'!$C$5&lt;&gt;"?",AD434&lt;&gt;""),(AD434-'Choix pédagogiques'!$C$4)/('Choix pédagogiques'!$C$5-'Choix pédagogiques'!$C$4),"")</f>
        <v/>
      </c>
      <c r="AZ434" s="53" t="str">
        <f aca="false">IF($J434&lt;&gt;"",$J434,"")</f>
        <v/>
      </c>
      <c r="BA434" s="52" t="str">
        <f aca="false">IF($A434&lt;&gt;"",$A434,"")</f>
        <v>Apprenant 422</v>
      </c>
      <c r="BB434" s="55" t="str">
        <f aca="false">IF(AND($AR434&lt;&gt;"",$AS434&lt;&gt;""),$AS434-$AR434,"")</f>
        <v/>
      </c>
      <c r="BC434" s="55" t="str">
        <f aca="false">IF(AND($AR434&lt;&gt;"",$AT434&lt;&gt;""),$AT434-$AR434,"")</f>
        <v/>
      </c>
      <c r="BD434" s="55" t="str">
        <f aca="false">IF(AND($AS434&lt;&gt;"",$AT434&lt;&gt;""),$AT434-$AS434,"")</f>
        <v/>
      </c>
      <c r="BE434" s="53" t="str">
        <f aca="false">IF($E434&lt;&gt;"",$E434,"")</f>
        <v/>
      </c>
      <c r="BF434" s="52" t="str">
        <f aca="false">IF($F434&lt;&gt;"",$F434,"")</f>
        <v>Apprenant 422 ou 422'</v>
      </c>
      <c r="BG434" s="55" t="str">
        <f aca="false">IF(AND($AW434&lt;&gt;"",$AX434&lt;&gt;""),$AX434-$AW434,"")</f>
        <v/>
      </c>
      <c r="BH434" s="55" t="str">
        <f aca="false">IF(AND($AW434&lt;&gt;"",$AY434&lt;&gt;""),$AY434-$AW434,"")</f>
        <v/>
      </c>
      <c r="BI434" s="55" t="str">
        <f aca="false">IF(AND($AX434&lt;&gt;"",$AY434&lt;&gt;""),$AY434-$AX434,"")</f>
        <v/>
      </c>
      <c r="BJ434" s="53" t="str">
        <f aca="false">IF($J434&lt;&gt;"",$J434,"")</f>
        <v/>
      </c>
      <c r="BL434" s="52"/>
      <c r="BM434" s="52" t="str">
        <f aca="false">IF(OR(COUNT(B434:D1433)=0,AND('Choix pédagogiques'!$C$3&lt;&gt;1,'Choix pédagogiques'!$C$3&lt;&gt;2)),"",IF(AND(OR('Choix pédagogiques'!$C$3=1,'Choix pédagogiques'!$C$3=2),$B434&lt;&gt;"",$C434&lt;&gt;"",$D434&lt;&gt;""),1,0))</f>
        <v/>
      </c>
      <c r="BN434" s="52" t="str">
        <f aca="false">IF(OR(COUNT(G434:I1433)=0,AND('Choix pédagogiques'!$C$3&lt;&gt;1,'Choix pédagogiques'!$C$3&lt;&gt;2)),"",IF(AND(OR('Choix pédagogiques'!$C$3=1,'Choix pédagogiques'!$C$3=2),AND($G434&lt;&gt;"",$H434&lt;&gt;"",$I434&lt;&gt;"")),1,0))</f>
        <v/>
      </c>
      <c r="BO434" s="52" t="str">
        <f aca="false">IF(OR(COUNT(B434:D1433)=0,COUNT(G434:I1433)=0,'Choix pédagogiques'!C$3&lt;&gt;3),"",IF(AND('Choix pédagogiques'!$C$3=3,$B434&lt;&gt;"",$C434&lt;&gt;"",$D434&lt;&gt;"",$G434&lt;&gt;"",$H434&lt;&gt;"",$I434&lt;&gt;""),1,0))</f>
        <v/>
      </c>
      <c r="BR434" s="52" t="n">
        <v>836</v>
      </c>
      <c r="BS434" s="52" t="n">
        <v>1792</v>
      </c>
    </row>
    <row r="435" s="54" customFormat="true" ht="18" hidden="false" customHeight="true" outlineLevel="0" collapsed="false">
      <c r="A435" s="57" t="s">
        <v>801</v>
      </c>
      <c r="B435" s="51"/>
      <c r="C435" s="51"/>
      <c r="D435" s="51"/>
      <c r="E435" s="51"/>
      <c r="F435" s="57" t="s">
        <v>802</v>
      </c>
      <c r="G435" s="51"/>
      <c r="H435" s="51"/>
      <c r="I435" s="51"/>
      <c r="J435" s="51"/>
      <c r="K435" s="52" t="str">
        <f aca="false">IF($A435&lt;&gt;"",$A435,"")</f>
        <v>Apprenant 423</v>
      </c>
      <c r="L435" s="53" t="str">
        <f aca="false">IF(AND($B435&lt;&gt;"",$C435&lt;&gt;""),$C435-$B435,"")</f>
        <v/>
      </c>
      <c r="M435" s="53" t="str">
        <f aca="false">IF(AND($B435&lt;&gt;"",$D435&lt;&gt;""),$D435-$B435,"")</f>
        <v/>
      </c>
      <c r="N435" s="53" t="str">
        <f aca="false">IF(AND($C435&lt;&gt;"",$D435&lt;&gt;""),$D435-$C435,"")</f>
        <v/>
      </c>
      <c r="O435" s="53" t="str">
        <f aca="false">IF($E435&lt;&gt;"",$E435,"")</f>
        <v/>
      </c>
      <c r="P435" s="52" t="str">
        <f aca="false">IF($F435&lt;&gt;"",$F435,"")</f>
        <v>Apprenant 423 ou 423'</v>
      </c>
      <c r="Q435" s="53" t="str">
        <f aca="false">IF(AND($G435&lt;&gt;"",$H435&lt;&gt;""),$H435-$G435,"")</f>
        <v/>
      </c>
      <c r="R435" s="53" t="str">
        <f aca="false">IF(AND($G435&lt;&gt;"",$I435&lt;&gt;""),$I435-$G435,"")</f>
        <v/>
      </c>
      <c r="S435" s="53" t="str">
        <f aca="false">IF(AND($H435&lt;&gt;"",$I435&lt;&gt;""),$I435-$H435,"")</f>
        <v/>
      </c>
      <c r="T435" s="53" t="str">
        <f aca="false">IF($J435&lt;&gt;"",$J435,"")</f>
        <v/>
      </c>
      <c r="V435" s="52" t="str">
        <f aca="false">IF($A435&lt;&gt;"",$A435,"")</f>
        <v>Apprenant 423</v>
      </c>
      <c r="W435" s="53" t="str">
        <f aca="false">IF(AND(OR('Choix pédagogiques'!$C$3=1,'Choix pédagogiques'!$C$3=2),$BM435=1),B435,IF(AND('Choix pédagogiques'!$C$3=3,$BO435=1),B435,""))</f>
        <v/>
      </c>
      <c r="X435" s="53" t="str">
        <f aca="false">IF(AND(OR('Choix pédagogiques'!$C$3=1,'Choix pédagogiques'!$C$3=2),$BM435=1),C435,IF(AND('Choix pédagogiques'!$C$3=3,$BO435=1),C435,""))</f>
        <v/>
      </c>
      <c r="Y435" s="53" t="str">
        <f aca="false">IF(AND(OR('Choix pédagogiques'!$C$3=1,'Choix pédagogiques'!$C$3=2),$BM435=1),D435,IF(AND('Choix pédagogiques'!$C$3=3,$BO435=1),D435,""))</f>
        <v/>
      </c>
      <c r="Z435" s="53" t="str">
        <f aca="false">IF($E435&lt;&gt;"",$E435,"")</f>
        <v/>
      </c>
      <c r="AA435" s="52" t="str">
        <f aca="false">IF($F435&lt;&gt;"",$F435,"")</f>
        <v>Apprenant 423 ou 423'</v>
      </c>
      <c r="AB435" s="53" t="str">
        <f aca="false">IF(AND(OR('Choix pédagogiques'!$C$3=1,'Choix pédagogiques'!$C$3=2),$BN435=1),G435,IF(AND('Choix pédagogiques'!$C$3=3,$BO435=1),G435,""))</f>
        <v/>
      </c>
      <c r="AC435" s="53" t="str">
        <f aca="false">IF(AND(OR('Choix pédagogiques'!$C$3=1,'Choix pédagogiques'!$C$3=2),$BN435=1),H435,IF(AND('Choix pédagogiques'!$C$3=3,$BO435=1),H435,""))</f>
        <v/>
      </c>
      <c r="AD435" s="53" t="str">
        <f aca="false">IF(AND(OR('Choix pédagogiques'!$C$3=1,'Choix pédagogiques'!$C$3=2),$BN435=1),I435,IF(AND('Choix pédagogiques'!$C$3=3,$BO435=1),I435,""))</f>
        <v/>
      </c>
      <c r="AE435" s="53" t="str">
        <f aca="false">IF($J435&lt;&gt;"",$J435,"")</f>
        <v/>
      </c>
      <c r="AF435" s="52" t="str">
        <f aca="false">IF($A435&lt;&gt;"",$A435,"")</f>
        <v>Apprenant 423</v>
      </c>
      <c r="AG435" s="53" t="str">
        <f aca="false">IF(AND($W435&lt;&gt;"",$X435&lt;&gt;""),$X435-$W435,"")</f>
        <v/>
      </c>
      <c r="AH435" s="53" t="str">
        <f aca="false">IF(AND($W435&lt;&gt;"",$Y435&lt;&gt;""),$Y435-$W435,"")</f>
        <v/>
      </c>
      <c r="AI435" s="53" t="str">
        <f aca="false">IF(AND($X435&lt;&gt;"",$Y435&lt;&gt;""),$Y435-$X435,"")</f>
        <v/>
      </c>
      <c r="AJ435" s="53" t="str">
        <f aca="false">IF($E435&lt;&gt;"",$E435,"")</f>
        <v/>
      </c>
      <c r="AK435" s="52" t="str">
        <f aca="false">IF($F435&lt;&gt;"",$F435,"")</f>
        <v>Apprenant 423 ou 423'</v>
      </c>
      <c r="AL435" s="53" t="str">
        <f aca="false">IF(AND($AB435&lt;&gt;"",$AC435&lt;&gt;""),$AC435-$AB435,"")</f>
        <v/>
      </c>
      <c r="AM435" s="53" t="str">
        <f aca="false">IF(AND($AB435&lt;&gt;"",$AD435&lt;&gt;""),$AD435-$AB435,"")</f>
        <v/>
      </c>
      <c r="AN435" s="53" t="str">
        <f aca="false">IF(AND($AC435&lt;&gt;"",$AD435&lt;&gt;""),$AD435-$AC435,"")</f>
        <v/>
      </c>
      <c r="AO435" s="53" t="str">
        <f aca="false">IF($J435&lt;&gt;"",$J435,"")</f>
        <v/>
      </c>
      <c r="AQ435" s="52" t="str">
        <f aca="false">IF($A435&lt;&gt;"",$A435,"")</f>
        <v>Apprenant 423</v>
      </c>
      <c r="AR435" s="55" t="str">
        <f aca="false">IF(AND('Choix pédagogiques'!$C$4&lt;&gt;"?",'Choix pédagogiques'!$C$5&lt;&gt;"?",W435&lt;&gt;""),(W435-'Choix pédagogiques'!$C$4)/('Choix pédagogiques'!$C$5-'Choix pédagogiques'!$C$4),"")</f>
        <v/>
      </c>
      <c r="AS435" s="55" t="str">
        <f aca="false">IF(AND('Choix pédagogiques'!$C$4&lt;&gt;"?",'Choix pédagogiques'!$C$5&lt;&gt;"?",X435&lt;&gt;""),(X435-'Choix pédagogiques'!$C$4)/('Choix pédagogiques'!$C$5-'Choix pédagogiques'!$C$4),"")</f>
        <v/>
      </c>
      <c r="AT435" s="55" t="str">
        <f aca="false">IF(AND('Choix pédagogiques'!$C$4&lt;&gt;"?",'Choix pédagogiques'!$C$5&lt;&gt;"?",Y435&lt;&gt;""),(Y435-'Choix pédagogiques'!$C$4)/('Choix pédagogiques'!$C$5-'Choix pédagogiques'!$C$4),"")</f>
        <v/>
      </c>
      <c r="AU435" s="53" t="str">
        <f aca="false">IF($E435&lt;&gt;"",$E435,"")</f>
        <v/>
      </c>
      <c r="AV435" s="52" t="str">
        <f aca="false">IF($F435&lt;&gt;"",$F435,"")</f>
        <v>Apprenant 423 ou 423'</v>
      </c>
      <c r="AW435" s="55" t="str">
        <f aca="false">IF(AND('Choix pédagogiques'!$C$4&lt;&gt;"?",'Choix pédagogiques'!$C$5&lt;&gt;"?",AB435&lt;&gt;""),(AB435-'Choix pédagogiques'!$C$4)/('Choix pédagogiques'!$C$5-'Choix pédagogiques'!$C$4),"")</f>
        <v/>
      </c>
      <c r="AX435" s="55" t="str">
        <f aca="false">IF(AND('Choix pédagogiques'!$C$4&lt;&gt;"?",'Choix pédagogiques'!$C$5&lt;&gt;"?",AC435&lt;&gt;""),(AC435-'Choix pédagogiques'!$C$4)/('Choix pédagogiques'!$C$5-'Choix pédagogiques'!$C$4),"")</f>
        <v/>
      </c>
      <c r="AY435" s="55" t="str">
        <f aca="false">IF(AND('Choix pédagogiques'!$C$4&lt;&gt;"?",'Choix pédagogiques'!$C$5&lt;&gt;"?",AD435&lt;&gt;""),(AD435-'Choix pédagogiques'!$C$4)/('Choix pédagogiques'!$C$5-'Choix pédagogiques'!$C$4),"")</f>
        <v/>
      </c>
      <c r="AZ435" s="53" t="str">
        <f aca="false">IF($J435&lt;&gt;"",$J435,"")</f>
        <v/>
      </c>
      <c r="BA435" s="52" t="str">
        <f aca="false">IF($A435&lt;&gt;"",$A435,"")</f>
        <v>Apprenant 423</v>
      </c>
      <c r="BB435" s="55" t="str">
        <f aca="false">IF(AND($AR435&lt;&gt;"",$AS435&lt;&gt;""),$AS435-$AR435,"")</f>
        <v/>
      </c>
      <c r="BC435" s="55" t="str">
        <f aca="false">IF(AND($AR435&lt;&gt;"",$AT435&lt;&gt;""),$AT435-$AR435,"")</f>
        <v/>
      </c>
      <c r="BD435" s="55" t="str">
        <f aca="false">IF(AND($AS435&lt;&gt;"",$AT435&lt;&gt;""),$AT435-$AS435,"")</f>
        <v/>
      </c>
      <c r="BE435" s="53" t="str">
        <f aca="false">IF($E435&lt;&gt;"",$E435,"")</f>
        <v/>
      </c>
      <c r="BF435" s="52" t="str">
        <f aca="false">IF($F435&lt;&gt;"",$F435,"")</f>
        <v>Apprenant 423 ou 423'</v>
      </c>
      <c r="BG435" s="55" t="str">
        <f aca="false">IF(AND($AW435&lt;&gt;"",$AX435&lt;&gt;""),$AX435-$AW435,"")</f>
        <v/>
      </c>
      <c r="BH435" s="55" t="str">
        <f aca="false">IF(AND($AW435&lt;&gt;"",$AY435&lt;&gt;""),$AY435-$AW435,"")</f>
        <v/>
      </c>
      <c r="BI435" s="55" t="str">
        <f aca="false">IF(AND($AX435&lt;&gt;"",$AY435&lt;&gt;""),$AY435-$AX435,"")</f>
        <v/>
      </c>
      <c r="BJ435" s="53" t="str">
        <f aca="false">IF($J435&lt;&gt;"",$J435,"")</f>
        <v/>
      </c>
      <c r="BL435" s="52"/>
      <c r="BM435" s="52" t="str">
        <f aca="false">IF(OR(COUNT(B435:D1434)=0,AND('Choix pédagogiques'!$C$3&lt;&gt;1,'Choix pédagogiques'!$C$3&lt;&gt;2)),"",IF(AND(OR('Choix pédagogiques'!$C$3=1,'Choix pédagogiques'!$C$3=2),$B435&lt;&gt;"",$C435&lt;&gt;"",$D435&lt;&gt;""),1,0))</f>
        <v/>
      </c>
      <c r="BN435" s="52" t="str">
        <f aca="false">IF(OR(COUNT(G435:I1434)=0,AND('Choix pédagogiques'!$C$3&lt;&gt;1,'Choix pédagogiques'!$C$3&lt;&gt;2)),"",IF(AND(OR('Choix pédagogiques'!$C$3=1,'Choix pédagogiques'!$C$3=2),AND($G435&lt;&gt;"",$H435&lt;&gt;"",$I435&lt;&gt;"")),1,0))</f>
        <v/>
      </c>
      <c r="BO435" s="52" t="str">
        <f aca="false">IF(OR(COUNT(B435:D1434)=0,COUNT(G435:I1434)=0,'Choix pédagogiques'!C$3&lt;&gt;3),"",IF(AND('Choix pédagogiques'!$C$3=3,$B435&lt;&gt;"",$C435&lt;&gt;"",$D435&lt;&gt;"",$G435&lt;&gt;"",$H435&lt;&gt;"",$I435&lt;&gt;""),1,0))</f>
        <v/>
      </c>
      <c r="BR435" s="52" t="n">
        <v>399</v>
      </c>
      <c r="BS435" s="52" t="n">
        <v>1786</v>
      </c>
    </row>
    <row r="436" s="54" customFormat="true" ht="18" hidden="false" customHeight="true" outlineLevel="0" collapsed="false">
      <c r="A436" s="57" t="s">
        <v>803</v>
      </c>
      <c r="B436" s="51"/>
      <c r="C436" s="51"/>
      <c r="D436" s="51"/>
      <c r="E436" s="51"/>
      <c r="F436" s="57" t="s">
        <v>804</v>
      </c>
      <c r="G436" s="51"/>
      <c r="H436" s="51"/>
      <c r="I436" s="51"/>
      <c r="J436" s="51"/>
      <c r="K436" s="52" t="str">
        <f aca="false">IF($A436&lt;&gt;"",$A436,"")</f>
        <v>Apprenant 424</v>
      </c>
      <c r="L436" s="53" t="str">
        <f aca="false">IF(AND($B436&lt;&gt;"",$C436&lt;&gt;""),$C436-$B436,"")</f>
        <v/>
      </c>
      <c r="M436" s="53" t="str">
        <f aca="false">IF(AND($B436&lt;&gt;"",$D436&lt;&gt;""),$D436-$B436,"")</f>
        <v/>
      </c>
      <c r="N436" s="53" t="str">
        <f aca="false">IF(AND($C436&lt;&gt;"",$D436&lt;&gt;""),$D436-$C436,"")</f>
        <v/>
      </c>
      <c r="O436" s="53" t="str">
        <f aca="false">IF($E436&lt;&gt;"",$E436,"")</f>
        <v/>
      </c>
      <c r="P436" s="52" t="str">
        <f aca="false">IF($F436&lt;&gt;"",$F436,"")</f>
        <v>Apprenant 424 ou 424'</v>
      </c>
      <c r="Q436" s="53" t="str">
        <f aca="false">IF(AND($G436&lt;&gt;"",$H436&lt;&gt;""),$H436-$G436,"")</f>
        <v/>
      </c>
      <c r="R436" s="53" t="str">
        <f aca="false">IF(AND($G436&lt;&gt;"",$I436&lt;&gt;""),$I436-$G436,"")</f>
        <v/>
      </c>
      <c r="S436" s="53" t="str">
        <f aca="false">IF(AND($H436&lt;&gt;"",$I436&lt;&gt;""),$I436-$H436,"")</f>
        <v/>
      </c>
      <c r="T436" s="53" t="str">
        <f aca="false">IF($J436&lt;&gt;"",$J436,"")</f>
        <v/>
      </c>
      <c r="V436" s="52" t="str">
        <f aca="false">IF($A436&lt;&gt;"",$A436,"")</f>
        <v>Apprenant 424</v>
      </c>
      <c r="W436" s="53" t="str">
        <f aca="false">IF(AND(OR('Choix pédagogiques'!$C$3=1,'Choix pédagogiques'!$C$3=2),$BM436=1),B436,IF(AND('Choix pédagogiques'!$C$3=3,$BO436=1),B436,""))</f>
        <v/>
      </c>
      <c r="X436" s="53" t="str">
        <f aca="false">IF(AND(OR('Choix pédagogiques'!$C$3=1,'Choix pédagogiques'!$C$3=2),$BM436=1),C436,IF(AND('Choix pédagogiques'!$C$3=3,$BO436=1),C436,""))</f>
        <v/>
      </c>
      <c r="Y436" s="53" t="str">
        <f aca="false">IF(AND(OR('Choix pédagogiques'!$C$3=1,'Choix pédagogiques'!$C$3=2),$BM436=1),D436,IF(AND('Choix pédagogiques'!$C$3=3,$BO436=1),D436,""))</f>
        <v/>
      </c>
      <c r="Z436" s="53" t="str">
        <f aca="false">IF($E436&lt;&gt;"",$E436,"")</f>
        <v/>
      </c>
      <c r="AA436" s="52" t="str">
        <f aca="false">IF($F436&lt;&gt;"",$F436,"")</f>
        <v>Apprenant 424 ou 424'</v>
      </c>
      <c r="AB436" s="53" t="str">
        <f aca="false">IF(AND(OR('Choix pédagogiques'!$C$3=1,'Choix pédagogiques'!$C$3=2),$BN436=1),G436,IF(AND('Choix pédagogiques'!$C$3=3,$BO436=1),G436,""))</f>
        <v/>
      </c>
      <c r="AC436" s="53" t="str">
        <f aca="false">IF(AND(OR('Choix pédagogiques'!$C$3=1,'Choix pédagogiques'!$C$3=2),$BN436=1),H436,IF(AND('Choix pédagogiques'!$C$3=3,$BO436=1),H436,""))</f>
        <v/>
      </c>
      <c r="AD436" s="53" t="str">
        <f aca="false">IF(AND(OR('Choix pédagogiques'!$C$3=1,'Choix pédagogiques'!$C$3=2),$BN436=1),I436,IF(AND('Choix pédagogiques'!$C$3=3,$BO436=1),I436,""))</f>
        <v/>
      </c>
      <c r="AE436" s="53" t="str">
        <f aca="false">IF($J436&lt;&gt;"",$J436,"")</f>
        <v/>
      </c>
      <c r="AF436" s="52" t="str">
        <f aca="false">IF($A436&lt;&gt;"",$A436,"")</f>
        <v>Apprenant 424</v>
      </c>
      <c r="AG436" s="53" t="str">
        <f aca="false">IF(AND($W436&lt;&gt;"",$X436&lt;&gt;""),$X436-$W436,"")</f>
        <v/>
      </c>
      <c r="AH436" s="53" t="str">
        <f aca="false">IF(AND($W436&lt;&gt;"",$Y436&lt;&gt;""),$Y436-$W436,"")</f>
        <v/>
      </c>
      <c r="AI436" s="53" t="str">
        <f aca="false">IF(AND($X436&lt;&gt;"",$Y436&lt;&gt;""),$Y436-$X436,"")</f>
        <v/>
      </c>
      <c r="AJ436" s="53" t="str">
        <f aca="false">IF($E436&lt;&gt;"",$E436,"")</f>
        <v/>
      </c>
      <c r="AK436" s="52" t="str">
        <f aca="false">IF($F436&lt;&gt;"",$F436,"")</f>
        <v>Apprenant 424 ou 424'</v>
      </c>
      <c r="AL436" s="53" t="str">
        <f aca="false">IF(AND($AB436&lt;&gt;"",$AC436&lt;&gt;""),$AC436-$AB436,"")</f>
        <v/>
      </c>
      <c r="AM436" s="53" t="str">
        <f aca="false">IF(AND($AB436&lt;&gt;"",$AD436&lt;&gt;""),$AD436-$AB436,"")</f>
        <v/>
      </c>
      <c r="AN436" s="53" t="str">
        <f aca="false">IF(AND($AC436&lt;&gt;"",$AD436&lt;&gt;""),$AD436-$AC436,"")</f>
        <v/>
      </c>
      <c r="AO436" s="53" t="str">
        <f aca="false">IF($J436&lt;&gt;"",$J436,"")</f>
        <v/>
      </c>
      <c r="AQ436" s="52" t="str">
        <f aca="false">IF($A436&lt;&gt;"",$A436,"")</f>
        <v>Apprenant 424</v>
      </c>
      <c r="AR436" s="55" t="str">
        <f aca="false">IF(AND('Choix pédagogiques'!$C$4&lt;&gt;"?",'Choix pédagogiques'!$C$5&lt;&gt;"?",W436&lt;&gt;""),(W436-'Choix pédagogiques'!$C$4)/('Choix pédagogiques'!$C$5-'Choix pédagogiques'!$C$4),"")</f>
        <v/>
      </c>
      <c r="AS436" s="55" t="str">
        <f aca="false">IF(AND('Choix pédagogiques'!$C$4&lt;&gt;"?",'Choix pédagogiques'!$C$5&lt;&gt;"?",X436&lt;&gt;""),(X436-'Choix pédagogiques'!$C$4)/('Choix pédagogiques'!$C$5-'Choix pédagogiques'!$C$4),"")</f>
        <v/>
      </c>
      <c r="AT436" s="55" t="str">
        <f aca="false">IF(AND('Choix pédagogiques'!$C$4&lt;&gt;"?",'Choix pédagogiques'!$C$5&lt;&gt;"?",Y436&lt;&gt;""),(Y436-'Choix pédagogiques'!$C$4)/('Choix pédagogiques'!$C$5-'Choix pédagogiques'!$C$4),"")</f>
        <v/>
      </c>
      <c r="AU436" s="53" t="str">
        <f aca="false">IF($E436&lt;&gt;"",$E436,"")</f>
        <v/>
      </c>
      <c r="AV436" s="52" t="str">
        <f aca="false">IF($F436&lt;&gt;"",$F436,"")</f>
        <v>Apprenant 424 ou 424'</v>
      </c>
      <c r="AW436" s="55" t="str">
        <f aca="false">IF(AND('Choix pédagogiques'!$C$4&lt;&gt;"?",'Choix pédagogiques'!$C$5&lt;&gt;"?",AB436&lt;&gt;""),(AB436-'Choix pédagogiques'!$C$4)/('Choix pédagogiques'!$C$5-'Choix pédagogiques'!$C$4),"")</f>
        <v/>
      </c>
      <c r="AX436" s="55" t="str">
        <f aca="false">IF(AND('Choix pédagogiques'!$C$4&lt;&gt;"?",'Choix pédagogiques'!$C$5&lt;&gt;"?",AC436&lt;&gt;""),(AC436-'Choix pédagogiques'!$C$4)/('Choix pédagogiques'!$C$5-'Choix pédagogiques'!$C$4),"")</f>
        <v/>
      </c>
      <c r="AY436" s="55" t="str">
        <f aca="false">IF(AND('Choix pédagogiques'!$C$4&lt;&gt;"?",'Choix pédagogiques'!$C$5&lt;&gt;"?",AD436&lt;&gt;""),(AD436-'Choix pédagogiques'!$C$4)/('Choix pédagogiques'!$C$5-'Choix pédagogiques'!$C$4),"")</f>
        <v/>
      </c>
      <c r="AZ436" s="53" t="str">
        <f aca="false">IF($J436&lt;&gt;"",$J436,"")</f>
        <v/>
      </c>
      <c r="BA436" s="52" t="str">
        <f aca="false">IF($A436&lt;&gt;"",$A436,"")</f>
        <v>Apprenant 424</v>
      </c>
      <c r="BB436" s="55" t="str">
        <f aca="false">IF(AND($AR436&lt;&gt;"",$AS436&lt;&gt;""),$AS436-$AR436,"")</f>
        <v/>
      </c>
      <c r="BC436" s="55" t="str">
        <f aca="false">IF(AND($AR436&lt;&gt;"",$AT436&lt;&gt;""),$AT436-$AR436,"")</f>
        <v/>
      </c>
      <c r="BD436" s="55" t="str">
        <f aca="false">IF(AND($AS436&lt;&gt;"",$AT436&lt;&gt;""),$AT436-$AS436,"")</f>
        <v/>
      </c>
      <c r="BE436" s="53" t="str">
        <f aca="false">IF($E436&lt;&gt;"",$E436,"")</f>
        <v/>
      </c>
      <c r="BF436" s="52" t="str">
        <f aca="false">IF($F436&lt;&gt;"",$F436,"")</f>
        <v>Apprenant 424 ou 424'</v>
      </c>
      <c r="BG436" s="55" t="str">
        <f aca="false">IF(AND($AW436&lt;&gt;"",$AX436&lt;&gt;""),$AX436-$AW436,"")</f>
        <v/>
      </c>
      <c r="BH436" s="55" t="str">
        <f aca="false">IF(AND($AW436&lt;&gt;"",$AY436&lt;&gt;""),$AY436-$AW436,"")</f>
        <v/>
      </c>
      <c r="BI436" s="55" t="str">
        <f aca="false">IF(AND($AX436&lt;&gt;"",$AY436&lt;&gt;""),$AY436-$AX436,"")</f>
        <v/>
      </c>
      <c r="BJ436" s="53" t="str">
        <f aca="false">IF($J436&lt;&gt;"",$J436,"")</f>
        <v/>
      </c>
      <c r="BL436" s="52"/>
      <c r="BM436" s="52" t="str">
        <f aca="false">IF(OR(COUNT(B436:D1435)=0,AND('Choix pédagogiques'!$C$3&lt;&gt;1,'Choix pédagogiques'!$C$3&lt;&gt;2)),"",IF(AND(OR('Choix pédagogiques'!$C$3=1,'Choix pédagogiques'!$C$3=2),$B436&lt;&gt;"",$C436&lt;&gt;"",$D436&lt;&gt;""),1,0))</f>
        <v/>
      </c>
      <c r="BN436" s="52" t="str">
        <f aca="false">IF(OR(COUNT(G436:I1435)=0,AND('Choix pédagogiques'!$C$3&lt;&gt;1,'Choix pédagogiques'!$C$3&lt;&gt;2)),"",IF(AND(OR('Choix pédagogiques'!$C$3=1,'Choix pédagogiques'!$C$3=2),AND($G436&lt;&gt;"",$H436&lt;&gt;"",$I436&lt;&gt;"")),1,0))</f>
        <v/>
      </c>
      <c r="BO436" s="52" t="str">
        <f aca="false">IF(OR(COUNT(B436:D1435)=0,COUNT(G436:I1435)=0,'Choix pédagogiques'!C$3&lt;&gt;3),"",IF(AND('Choix pédagogiques'!$C$3=3,$B436&lt;&gt;"",$C436&lt;&gt;"",$D436&lt;&gt;"",$G436&lt;&gt;"",$H436&lt;&gt;"",$I436&lt;&gt;""),1,0))</f>
        <v/>
      </c>
      <c r="BR436" s="52" t="n">
        <v>63</v>
      </c>
      <c r="BS436" s="52" t="n">
        <v>1708</v>
      </c>
    </row>
    <row r="437" s="54" customFormat="true" ht="18" hidden="false" customHeight="true" outlineLevel="0" collapsed="false">
      <c r="A437" s="57" t="s">
        <v>805</v>
      </c>
      <c r="B437" s="51"/>
      <c r="C437" s="51"/>
      <c r="D437" s="51"/>
      <c r="E437" s="51"/>
      <c r="F437" s="57" t="s">
        <v>806</v>
      </c>
      <c r="G437" s="51"/>
      <c r="H437" s="51"/>
      <c r="I437" s="51"/>
      <c r="J437" s="51"/>
      <c r="K437" s="52" t="str">
        <f aca="false">IF($A437&lt;&gt;"",$A437,"")</f>
        <v>Apprenant 425</v>
      </c>
      <c r="L437" s="53" t="str">
        <f aca="false">IF(AND($B437&lt;&gt;"",$C437&lt;&gt;""),$C437-$B437,"")</f>
        <v/>
      </c>
      <c r="M437" s="53" t="str">
        <f aca="false">IF(AND($B437&lt;&gt;"",$D437&lt;&gt;""),$D437-$B437,"")</f>
        <v/>
      </c>
      <c r="N437" s="53" t="str">
        <f aca="false">IF(AND($C437&lt;&gt;"",$D437&lt;&gt;""),$D437-$C437,"")</f>
        <v/>
      </c>
      <c r="O437" s="53" t="str">
        <f aca="false">IF($E437&lt;&gt;"",$E437,"")</f>
        <v/>
      </c>
      <c r="P437" s="52" t="str">
        <f aca="false">IF($F437&lt;&gt;"",$F437,"")</f>
        <v>Apprenant 425 ou 425'</v>
      </c>
      <c r="Q437" s="53" t="str">
        <f aca="false">IF(AND($G437&lt;&gt;"",$H437&lt;&gt;""),$H437-$G437,"")</f>
        <v/>
      </c>
      <c r="R437" s="53" t="str">
        <f aca="false">IF(AND($G437&lt;&gt;"",$I437&lt;&gt;""),$I437-$G437,"")</f>
        <v/>
      </c>
      <c r="S437" s="53" t="str">
        <f aca="false">IF(AND($H437&lt;&gt;"",$I437&lt;&gt;""),$I437-$H437,"")</f>
        <v/>
      </c>
      <c r="T437" s="53" t="str">
        <f aca="false">IF($J437&lt;&gt;"",$J437,"")</f>
        <v/>
      </c>
      <c r="V437" s="52" t="str">
        <f aca="false">IF($A437&lt;&gt;"",$A437,"")</f>
        <v>Apprenant 425</v>
      </c>
      <c r="W437" s="53" t="str">
        <f aca="false">IF(AND(OR('Choix pédagogiques'!$C$3=1,'Choix pédagogiques'!$C$3=2),$BM437=1),B437,IF(AND('Choix pédagogiques'!$C$3=3,$BO437=1),B437,""))</f>
        <v/>
      </c>
      <c r="X437" s="53" t="str">
        <f aca="false">IF(AND(OR('Choix pédagogiques'!$C$3=1,'Choix pédagogiques'!$C$3=2),$BM437=1),C437,IF(AND('Choix pédagogiques'!$C$3=3,$BO437=1),C437,""))</f>
        <v/>
      </c>
      <c r="Y437" s="53" t="str">
        <f aca="false">IF(AND(OR('Choix pédagogiques'!$C$3=1,'Choix pédagogiques'!$C$3=2),$BM437=1),D437,IF(AND('Choix pédagogiques'!$C$3=3,$BO437=1),D437,""))</f>
        <v/>
      </c>
      <c r="Z437" s="53" t="str">
        <f aca="false">IF($E437&lt;&gt;"",$E437,"")</f>
        <v/>
      </c>
      <c r="AA437" s="52" t="str">
        <f aca="false">IF($F437&lt;&gt;"",$F437,"")</f>
        <v>Apprenant 425 ou 425'</v>
      </c>
      <c r="AB437" s="53" t="str">
        <f aca="false">IF(AND(OR('Choix pédagogiques'!$C$3=1,'Choix pédagogiques'!$C$3=2),$BN437=1),G437,IF(AND('Choix pédagogiques'!$C$3=3,$BO437=1),G437,""))</f>
        <v/>
      </c>
      <c r="AC437" s="53" t="str">
        <f aca="false">IF(AND(OR('Choix pédagogiques'!$C$3=1,'Choix pédagogiques'!$C$3=2),$BN437=1),H437,IF(AND('Choix pédagogiques'!$C$3=3,$BO437=1),H437,""))</f>
        <v/>
      </c>
      <c r="AD437" s="53" t="str">
        <f aca="false">IF(AND(OR('Choix pédagogiques'!$C$3=1,'Choix pédagogiques'!$C$3=2),$BN437=1),I437,IF(AND('Choix pédagogiques'!$C$3=3,$BO437=1),I437,""))</f>
        <v/>
      </c>
      <c r="AE437" s="53" t="str">
        <f aca="false">IF($J437&lt;&gt;"",$J437,"")</f>
        <v/>
      </c>
      <c r="AF437" s="52" t="str">
        <f aca="false">IF($A437&lt;&gt;"",$A437,"")</f>
        <v>Apprenant 425</v>
      </c>
      <c r="AG437" s="53" t="str">
        <f aca="false">IF(AND($W437&lt;&gt;"",$X437&lt;&gt;""),$X437-$W437,"")</f>
        <v/>
      </c>
      <c r="AH437" s="53" t="str">
        <f aca="false">IF(AND($W437&lt;&gt;"",$Y437&lt;&gt;""),$Y437-$W437,"")</f>
        <v/>
      </c>
      <c r="AI437" s="53" t="str">
        <f aca="false">IF(AND($X437&lt;&gt;"",$Y437&lt;&gt;""),$Y437-$X437,"")</f>
        <v/>
      </c>
      <c r="AJ437" s="53" t="str">
        <f aca="false">IF($E437&lt;&gt;"",$E437,"")</f>
        <v/>
      </c>
      <c r="AK437" s="52" t="str">
        <f aca="false">IF($F437&lt;&gt;"",$F437,"")</f>
        <v>Apprenant 425 ou 425'</v>
      </c>
      <c r="AL437" s="53" t="str">
        <f aca="false">IF(AND($AB437&lt;&gt;"",$AC437&lt;&gt;""),$AC437-$AB437,"")</f>
        <v/>
      </c>
      <c r="AM437" s="53" t="str">
        <f aca="false">IF(AND($AB437&lt;&gt;"",$AD437&lt;&gt;""),$AD437-$AB437,"")</f>
        <v/>
      </c>
      <c r="AN437" s="53" t="str">
        <f aca="false">IF(AND($AC437&lt;&gt;"",$AD437&lt;&gt;""),$AD437-$AC437,"")</f>
        <v/>
      </c>
      <c r="AO437" s="53" t="str">
        <f aca="false">IF($J437&lt;&gt;"",$J437,"")</f>
        <v/>
      </c>
      <c r="AQ437" s="52" t="str">
        <f aca="false">IF($A437&lt;&gt;"",$A437,"")</f>
        <v>Apprenant 425</v>
      </c>
      <c r="AR437" s="55" t="str">
        <f aca="false">IF(AND('Choix pédagogiques'!$C$4&lt;&gt;"?",'Choix pédagogiques'!$C$5&lt;&gt;"?",W437&lt;&gt;""),(W437-'Choix pédagogiques'!$C$4)/('Choix pédagogiques'!$C$5-'Choix pédagogiques'!$C$4),"")</f>
        <v/>
      </c>
      <c r="AS437" s="55" t="str">
        <f aca="false">IF(AND('Choix pédagogiques'!$C$4&lt;&gt;"?",'Choix pédagogiques'!$C$5&lt;&gt;"?",X437&lt;&gt;""),(X437-'Choix pédagogiques'!$C$4)/('Choix pédagogiques'!$C$5-'Choix pédagogiques'!$C$4),"")</f>
        <v/>
      </c>
      <c r="AT437" s="55" t="str">
        <f aca="false">IF(AND('Choix pédagogiques'!$C$4&lt;&gt;"?",'Choix pédagogiques'!$C$5&lt;&gt;"?",Y437&lt;&gt;""),(Y437-'Choix pédagogiques'!$C$4)/('Choix pédagogiques'!$C$5-'Choix pédagogiques'!$C$4),"")</f>
        <v/>
      </c>
      <c r="AU437" s="53" t="str">
        <f aca="false">IF($E437&lt;&gt;"",$E437,"")</f>
        <v/>
      </c>
      <c r="AV437" s="52" t="str">
        <f aca="false">IF($F437&lt;&gt;"",$F437,"")</f>
        <v>Apprenant 425 ou 425'</v>
      </c>
      <c r="AW437" s="55" t="str">
        <f aca="false">IF(AND('Choix pédagogiques'!$C$4&lt;&gt;"?",'Choix pédagogiques'!$C$5&lt;&gt;"?",AB437&lt;&gt;""),(AB437-'Choix pédagogiques'!$C$4)/('Choix pédagogiques'!$C$5-'Choix pédagogiques'!$C$4),"")</f>
        <v/>
      </c>
      <c r="AX437" s="55" t="str">
        <f aca="false">IF(AND('Choix pédagogiques'!$C$4&lt;&gt;"?",'Choix pédagogiques'!$C$5&lt;&gt;"?",AC437&lt;&gt;""),(AC437-'Choix pédagogiques'!$C$4)/('Choix pédagogiques'!$C$5-'Choix pédagogiques'!$C$4),"")</f>
        <v/>
      </c>
      <c r="AY437" s="55" t="str">
        <f aca="false">IF(AND('Choix pédagogiques'!$C$4&lt;&gt;"?",'Choix pédagogiques'!$C$5&lt;&gt;"?",AD437&lt;&gt;""),(AD437-'Choix pédagogiques'!$C$4)/('Choix pédagogiques'!$C$5-'Choix pédagogiques'!$C$4),"")</f>
        <v/>
      </c>
      <c r="AZ437" s="53" t="str">
        <f aca="false">IF($J437&lt;&gt;"",$J437,"")</f>
        <v/>
      </c>
      <c r="BA437" s="52" t="str">
        <f aca="false">IF($A437&lt;&gt;"",$A437,"")</f>
        <v>Apprenant 425</v>
      </c>
      <c r="BB437" s="55" t="str">
        <f aca="false">IF(AND($AR437&lt;&gt;"",$AS437&lt;&gt;""),$AS437-$AR437,"")</f>
        <v/>
      </c>
      <c r="BC437" s="55" t="str">
        <f aca="false">IF(AND($AR437&lt;&gt;"",$AT437&lt;&gt;""),$AT437-$AR437,"")</f>
        <v/>
      </c>
      <c r="BD437" s="55" t="str">
        <f aca="false">IF(AND($AS437&lt;&gt;"",$AT437&lt;&gt;""),$AT437-$AS437,"")</f>
        <v/>
      </c>
      <c r="BE437" s="53" t="str">
        <f aca="false">IF($E437&lt;&gt;"",$E437,"")</f>
        <v/>
      </c>
      <c r="BF437" s="52" t="str">
        <f aca="false">IF($F437&lt;&gt;"",$F437,"")</f>
        <v>Apprenant 425 ou 425'</v>
      </c>
      <c r="BG437" s="55" t="str">
        <f aca="false">IF(AND($AW437&lt;&gt;"",$AX437&lt;&gt;""),$AX437-$AW437,"")</f>
        <v/>
      </c>
      <c r="BH437" s="55" t="str">
        <f aca="false">IF(AND($AW437&lt;&gt;"",$AY437&lt;&gt;""),$AY437-$AW437,"")</f>
        <v/>
      </c>
      <c r="BI437" s="55" t="str">
        <f aca="false">IF(AND($AX437&lt;&gt;"",$AY437&lt;&gt;""),$AY437-$AX437,"")</f>
        <v/>
      </c>
      <c r="BJ437" s="53" t="str">
        <f aca="false">IF($J437&lt;&gt;"",$J437,"")</f>
        <v/>
      </c>
      <c r="BL437" s="52"/>
      <c r="BM437" s="52" t="str">
        <f aca="false">IF(OR(COUNT(B437:D1436)=0,AND('Choix pédagogiques'!$C$3&lt;&gt;1,'Choix pédagogiques'!$C$3&lt;&gt;2)),"",IF(AND(OR('Choix pédagogiques'!$C$3=1,'Choix pédagogiques'!$C$3=2),$B437&lt;&gt;"",$C437&lt;&gt;"",$D437&lt;&gt;""),1,0))</f>
        <v/>
      </c>
      <c r="BN437" s="52" t="str">
        <f aca="false">IF(OR(COUNT(G437:I1436)=0,AND('Choix pédagogiques'!$C$3&lt;&gt;1,'Choix pédagogiques'!$C$3&lt;&gt;2)),"",IF(AND(OR('Choix pédagogiques'!$C$3=1,'Choix pédagogiques'!$C$3=2),AND($G437&lt;&gt;"",$H437&lt;&gt;"",$I437&lt;&gt;"")),1,0))</f>
        <v/>
      </c>
      <c r="BO437" s="52" t="str">
        <f aca="false">IF(OR(COUNT(B437:D1436)=0,COUNT(G437:I1436)=0,'Choix pédagogiques'!C$3&lt;&gt;3),"",IF(AND('Choix pédagogiques'!$C$3=3,$B437&lt;&gt;"",$C437&lt;&gt;"",$D437&lt;&gt;"",$G437&lt;&gt;"",$H437&lt;&gt;"",$I437&lt;&gt;""),1,0))</f>
        <v/>
      </c>
      <c r="BR437" s="52" t="n">
        <v>28</v>
      </c>
      <c r="BS437" s="52" t="n">
        <v>1216</v>
      </c>
    </row>
    <row r="438" s="54" customFormat="true" ht="18" hidden="false" customHeight="true" outlineLevel="0" collapsed="false">
      <c r="A438" s="57" t="s">
        <v>807</v>
      </c>
      <c r="B438" s="51"/>
      <c r="C438" s="51"/>
      <c r="D438" s="51"/>
      <c r="E438" s="51"/>
      <c r="F438" s="57" t="s">
        <v>808</v>
      </c>
      <c r="G438" s="51"/>
      <c r="H438" s="51"/>
      <c r="I438" s="51"/>
      <c r="J438" s="51"/>
      <c r="K438" s="52" t="str">
        <f aca="false">IF($A438&lt;&gt;"",$A438,"")</f>
        <v>Apprenant 426</v>
      </c>
      <c r="L438" s="53" t="str">
        <f aca="false">IF(AND($B438&lt;&gt;"",$C438&lt;&gt;""),$C438-$B438,"")</f>
        <v/>
      </c>
      <c r="M438" s="53" t="str">
        <f aca="false">IF(AND($B438&lt;&gt;"",$D438&lt;&gt;""),$D438-$B438,"")</f>
        <v/>
      </c>
      <c r="N438" s="53" t="str">
        <f aca="false">IF(AND($C438&lt;&gt;"",$D438&lt;&gt;""),$D438-$C438,"")</f>
        <v/>
      </c>
      <c r="O438" s="53" t="str">
        <f aca="false">IF($E438&lt;&gt;"",$E438,"")</f>
        <v/>
      </c>
      <c r="P438" s="52" t="str">
        <f aca="false">IF($F438&lt;&gt;"",$F438,"")</f>
        <v>Apprenant 426 ou 426'</v>
      </c>
      <c r="Q438" s="53" t="str">
        <f aca="false">IF(AND($G438&lt;&gt;"",$H438&lt;&gt;""),$H438-$G438,"")</f>
        <v/>
      </c>
      <c r="R438" s="53" t="str">
        <f aca="false">IF(AND($G438&lt;&gt;"",$I438&lt;&gt;""),$I438-$G438,"")</f>
        <v/>
      </c>
      <c r="S438" s="53" t="str">
        <f aca="false">IF(AND($H438&lt;&gt;"",$I438&lt;&gt;""),$I438-$H438,"")</f>
        <v/>
      </c>
      <c r="T438" s="53" t="str">
        <f aca="false">IF($J438&lt;&gt;"",$J438,"")</f>
        <v/>
      </c>
      <c r="V438" s="52" t="str">
        <f aca="false">IF($A438&lt;&gt;"",$A438,"")</f>
        <v>Apprenant 426</v>
      </c>
      <c r="W438" s="53" t="str">
        <f aca="false">IF(AND(OR('Choix pédagogiques'!$C$3=1,'Choix pédagogiques'!$C$3=2),$BM438=1),B438,IF(AND('Choix pédagogiques'!$C$3=3,$BO438=1),B438,""))</f>
        <v/>
      </c>
      <c r="X438" s="53" t="str">
        <f aca="false">IF(AND(OR('Choix pédagogiques'!$C$3=1,'Choix pédagogiques'!$C$3=2),$BM438=1),C438,IF(AND('Choix pédagogiques'!$C$3=3,$BO438=1),C438,""))</f>
        <v/>
      </c>
      <c r="Y438" s="53" t="str">
        <f aca="false">IF(AND(OR('Choix pédagogiques'!$C$3=1,'Choix pédagogiques'!$C$3=2),$BM438=1),D438,IF(AND('Choix pédagogiques'!$C$3=3,$BO438=1),D438,""))</f>
        <v/>
      </c>
      <c r="Z438" s="53" t="str">
        <f aca="false">IF($E438&lt;&gt;"",$E438,"")</f>
        <v/>
      </c>
      <c r="AA438" s="52" t="str">
        <f aca="false">IF($F438&lt;&gt;"",$F438,"")</f>
        <v>Apprenant 426 ou 426'</v>
      </c>
      <c r="AB438" s="53" t="str">
        <f aca="false">IF(AND(OR('Choix pédagogiques'!$C$3=1,'Choix pédagogiques'!$C$3=2),$BN438=1),G438,IF(AND('Choix pédagogiques'!$C$3=3,$BO438=1),G438,""))</f>
        <v/>
      </c>
      <c r="AC438" s="53" t="str">
        <f aca="false">IF(AND(OR('Choix pédagogiques'!$C$3=1,'Choix pédagogiques'!$C$3=2),$BN438=1),H438,IF(AND('Choix pédagogiques'!$C$3=3,$BO438=1),H438,""))</f>
        <v/>
      </c>
      <c r="AD438" s="53" t="str">
        <f aca="false">IF(AND(OR('Choix pédagogiques'!$C$3=1,'Choix pédagogiques'!$C$3=2),$BN438=1),I438,IF(AND('Choix pédagogiques'!$C$3=3,$BO438=1),I438,""))</f>
        <v/>
      </c>
      <c r="AE438" s="53" t="str">
        <f aca="false">IF($J438&lt;&gt;"",$J438,"")</f>
        <v/>
      </c>
      <c r="AF438" s="52" t="str">
        <f aca="false">IF($A438&lt;&gt;"",$A438,"")</f>
        <v>Apprenant 426</v>
      </c>
      <c r="AG438" s="53" t="str">
        <f aca="false">IF(AND($W438&lt;&gt;"",$X438&lt;&gt;""),$X438-$W438,"")</f>
        <v/>
      </c>
      <c r="AH438" s="53" t="str">
        <f aca="false">IF(AND($W438&lt;&gt;"",$Y438&lt;&gt;""),$Y438-$W438,"")</f>
        <v/>
      </c>
      <c r="AI438" s="53" t="str">
        <f aca="false">IF(AND($X438&lt;&gt;"",$Y438&lt;&gt;""),$Y438-$X438,"")</f>
        <v/>
      </c>
      <c r="AJ438" s="53" t="str">
        <f aca="false">IF($E438&lt;&gt;"",$E438,"")</f>
        <v/>
      </c>
      <c r="AK438" s="52" t="str">
        <f aca="false">IF($F438&lt;&gt;"",$F438,"")</f>
        <v>Apprenant 426 ou 426'</v>
      </c>
      <c r="AL438" s="53" t="str">
        <f aca="false">IF(AND($AB438&lt;&gt;"",$AC438&lt;&gt;""),$AC438-$AB438,"")</f>
        <v/>
      </c>
      <c r="AM438" s="53" t="str">
        <f aca="false">IF(AND($AB438&lt;&gt;"",$AD438&lt;&gt;""),$AD438-$AB438,"")</f>
        <v/>
      </c>
      <c r="AN438" s="53" t="str">
        <f aca="false">IF(AND($AC438&lt;&gt;"",$AD438&lt;&gt;""),$AD438-$AC438,"")</f>
        <v/>
      </c>
      <c r="AO438" s="53" t="str">
        <f aca="false">IF($J438&lt;&gt;"",$J438,"")</f>
        <v/>
      </c>
      <c r="AQ438" s="52" t="str">
        <f aca="false">IF($A438&lt;&gt;"",$A438,"")</f>
        <v>Apprenant 426</v>
      </c>
      <c r="AR438" s="55" t="str">
        <f aca="false">IF(AND('Choix pédagogiques'!$C$4&lt;&gt;"?",'Choix pédagogiques'!$C$5&lt;&gt;"?",W438&lt;&gt;""),(W438-'Choix pédagogiques'!$C$4)/('Choix pédagogiques'!$C$5-'Choix pédagogiques'!$C$4),"")</f>
        <v/>
      </c>
      <c r="AS438" s="55" t="str">
        <f aca="false">IF(AND('Choix pédagogiques'!$C$4&lt;&gt;"?",'Choix pédagogiques'!$C$5&lt;&gt;"?",X438&lt;&gt;""),(X438-'Choix pédagogiques'!$C$4)/('Choix pédagogiques'!$C$5-'Choix pédagogiques'!$C$4),"")</f>
        <v/>
      </c>
      <c r="AT438" s="55" t="str">
        <f aca="false">IF(AND('Choix pédagogiques'!$C$4&lt;&gt;"?",'Choix pédagogiques'!$C$5&lt;&gt;"?",Y438&lt;&gt;""),(Y438-'Choix pédagogiques'!$C$4)/('Choix pédagogiques'!$C$5-'Choix pédagogiques'!$C$4),"")</f>
        <v/>
      </c>
      <c r="AU438" s="53" t="str">
        <f aca="false">IF($E438&lt;&gt;"",$E438,"")</f>
        <v/>
      </c>
      <c r="AV438" s="52" t="str">
        <f aca="false">IF($F438&lt;&gt;"",$F438,"")</f>
        <v>Apprenant 426 ou 426'</v>
      </c>
      <c r="AW438" s="55" t="str">
        <f aca="false">IF(AND('Choix pédagogiques'!$C$4&lt;&gt;"?",'Choix pédagogiques'!$C$5&lt;&gt;"?",AB438&lt;&gt;""),(AB438-'Choix pédagogiques'!$C$4)/('Choix pédagogiques'!$C$5-'Choix pédagogiques'!$C$4),"")</f>
        <v/>
      </c>
      <c r="AX438" s="55" t="str">
        <f aca="false">IF(AND('Choix pédagogiques'!$C$4&lt;&gt;"?",'Choix pédagogiques'!$C$5&lt;&gt;"?",AC438&lt;&gt;""),(AC438-'Choix pédagogiques'!$C$4)/('Choix pédagogiques'!$C$5-'Choix pédagogiques'!$C$4),"")</f>
        <v/>
      </c>
      <c r="AY438" s="55" t="str">
        <f aca="false">IF(AND('Choix pédagogiques'!$C$4&lt;&gt;"?",'Choix pédagogiques'!$C$5&lt;&gt;"?",AD438&lt;&gt;""),(AD438-'Choix pédagogiques'!$C$4)/('Choix pédagogiques'!$C$5-'Choix pédagogiques'!$C$4),"")</f>
        <v/>
      </c>
      <c r="AZ438" s="53" t="str">
        <f aca="false">IF($J438&lt;&gt;"",$J438,"")</f>
        <v/>
      </c>
      <c r="BA438" s="52" t="str">
        <f aca="false">IF($A438&lt;&gt;"",$A438,"")</f>
        <v>Apprenant 426</v>
      </c>
      <c r="BB438" s="55" t="str">
        <f aca="false">IF(AND($AR438&lt;&gt;"",$AS438&lt;&gt;""),$AS438-$AR438,"")</f>
        <v/>
      </c>
      <c r="BC438" s="55" t="str">
        <f aca="false">IF(AND($AR438&lt;&gt;"",$AT438&lt;&gt;""),$AT438-$AR438,"")</f>
        <v/>
      </c>
      <c r="BD438" s="55" t="str">
        <f aca="false">IF(AND($AS438&lt;&gt;"",$AT438&lt;&gt;""),$AT438-$AS438,"")</f>
        <v/>
      </c>
      <c r="BE438" s="53" t="str">
        <f aca="false">IF($E438&lt;&gt;"",$E438,"")</f>
        <v/>
      </c>
      <c r="BF438" s="52" t="str">
        <f aca="false">IF($F438&lt;&gt;"",$F438,"")</f>
        <v>Apprenant 426 ou 426'</v>
      </c>
      <c r="BG438" s="55" t="str">
        <f aca="false">IF(AND($AW438&lt;&gt;"",$AX438&lt;&gt;""),$AX438-$AW438,"")</f>
        <v/>
      </c>
      <c r="BH438" s="55" t="str">
        <f aca="false">IF(AND($AW438&lt;&gt;"",$AY438&lt;&gt;""),$AY438-$AW438,"")</f>
        <v/>
      </c>
      <c r="BI438" s="55" t="str">
        <f aca="false">IF(AND($AX438&lt;&gt;"",$AY438&lt;&gt;""),$AY438-$AX438,"")</f>
        <v/>
      </c>
      <c r="BJ438" s="53" t="str">
        <f aca="false">IF($J438&lt;&gt;"",$J438,"")</f>
        <v/>
      </c>
      <c r="BL438" s="52"/>
      <c r="BM438" s="52" t="str">
        <f aca="false">IF(OR(COUNT(B438:D1437)=0,AND('Choix pédagogiques'!$C$3&lt;&gt;1,'Choix pédagogiques'!$C$3&lt;&gt;2)),"",IF(AND(OR('Choix pédagogiques'!$C$3=1,'Choix pédagogiques'!$C$3=2),$B438&lt;&gt;"",$C438&lt;&gt;"",$D438&lt;&gt;""),1,0))</f>
        <v/>
      </c>
      <c r="BN438" s="52" t="str">
        <f aca="false">IF(OR(COUNT(G438:I1437)=0,AND('Choix pédagogiques'!$C$3&lt;&gt;1,'Choix pédagogiques'!$C$3&lt;&gt;2)),"",IF(AND(OR('Choix pédagogiques'!$C$3=1,'Choix pédagogiques'!$C$3=2),AND($G438&lt;&gt;"",$H438&lt;&gt;"",$I438&lt;&gt;"")),1,0))</f>
        <v/>
      </c>
      <c r="BO438" s="52" t="str">
        <f aca="false">IF(OR(COUNT(B438:D1437)=0,COUNT(G438:I1437)=0,'Choix pédagogiques'!C$3&lt;&gt;3),"",IF(AND('Choix pédagogiques'!$C$3=3,$B438&lt;&gt;"",$C438&lt;&gt;"",$D438&lt;&gt;"",$G438&lt;&gt;"",$H438&lt;&gt;"",$I438&lt;&gt;""),1,0))</f>
        <v/>
      </c>
      <c r="BR438" s="52" t="n">
        <v>568</v>
      </c>
      <c r="BS438" s="52" t="n">
        <v>1345</v>
      </c>
    </row>
    <row r="439" s="54" customFormat="true" ht="18" hidden="false" customHeight="true" outlineLevel="0" collapsed="false">
      <c r="A439" s="57" t="s">
        <v>809</v>
      </c>
      <c r="B439" s="51"/>
      <c r="C439" s="51"/>
      <c r="D439" s="51"/>
      <c r="E439" s="51"/>
      <c r="F439" s="57" t="s">
        <v>810</v>
      </c>
      <c r="G439" s="51"/>
      <c r="H439" s="51"/>
      <c r="I439" s="51"/>
      <c r="J439" s="51"/>
      <c r="K439" s="52" t="str">
        <f aca="false">IF($A439&lt;&gt;"",$A439,"")</f>
        <v>Apprenant 427</v>
      </c>
      <c r="L439" s="53" t="str">
        <f aca="false">IF(AND($B439&lt;&gt;"",$C439&lt;&gt;""),$C439-$B439,"")</f>
        <v/>
      </c>
      <c r="M439" s="53" t="str">
        <f aca="false">IF(AND($B439&lt;&gt;"",$D439&lt;&gt;""),$D439-$B439,"")</f>
        <v/>
      </c>
      <c r="N439" s="53" t="str">
        <f aca="false">IF(AND($C439&lt;&gt;"",$D439&lt;&gt;""),$D439-$C439,"")</f>
        <v/>
      </c>
      <c r="O439" s="53" t="str">
        <f aca="false">IF($E439&lt;&gt;"",$E439,"")</f>
        <v/>
      </c>
      <c r="P439" s="52" t="str">
        <f aca="false">IF($F439&lt;&gt;"",$F439,"")</f>
        <v>Apprenant 427 ou 427'</v>
      </c>
      <c r="Q439" s="53" t="str">
        <f aca="false">IF(AND($G439&lt;&gt;"",$H439&lt;&gt;""),$H439-$G439,"")</f>
        <v/>
      </c>
      <c r="R439" s="53" t="str">
        <f aca="false">IF(AND($G439&lt;&gt;"",$I439&lt;&gt;""),$I439-$G439,"")</f>
        <v/>
      </c>
      <c r="S439" s="53" t="str">
        <f aca="false">IF(AND($H439&lt;&gt;"",$I439&lt;&gt;""),$I439-$H439,"")</f>
        <v/>
      </c>
      <c r="T439" s="53" t="str">
        <f aca="false">IF($J439&lt;&gt;"",$J439,"")</f>
        <v/>
      </c>
      <c r="V439" s="52" t="str">
        <f aca="false">IF($A439&lt;&gt;"",$A439,"")</f>
        <v>Apprenant 427</v>
      </c>
      <c r="W439" s="53" t="str">
        <f aca="false">IF(AND(OR('Choix pédagogiques'!$C$3=1,'Choix pédagogiques'!$C$3=2),$BM439=1),B439,IF(AND('Choix pédagogiques'!$C$3=3,$BO439=1),B439,""))</f>
        <v/>
      </c>
      <c r="X439" s="53" t="str">
        <f aca="false">IF(AND(OR('Choix pédagogiques'!$C$3=1,'Choix pédagogiques'!$C$3=2),$BM439=1),C439,IF(AND('Choix pédagogiques'!$C$3=3,$BO439=1),C439,""))</f>
        <v/>
      </c>
      <c r="Y439" s="53" t="str">
        <f aca="false">IF(AND(OR('Choix pédagogiques'!$C$3=1,'Choix pédagogiques'!$C$3=2),$BM439=1),D439,IF(AND('Choix pédagogiques'!$C$3=3,$BO439=1),D439,""))</f>
        <v/>
      </c>
      <c r="Z439" s="53" t="str">
        <f aca="false">IF($E439&lt;&gt;"",$E439,"")</f>
        <v/>
      </c>
      <c r="AA439" s="52" t="str">
        <f aca="false">IF($F439&lt;&gt;"",$F439,"")</f>
        <v>Apprenant 427 ou 427'</v>
      </c>
      <c r="AB439" s="53" t="str">
        <f aca="false">IF(AND(OR('Choix pédagogiques'!$C$3=1,'Choix pédagogiques'!$C$3=2),$BN439=1),G439,IF(AND('Choix pédagogiques'!$C$3=3,$BO439=1),G439,""))</f>
        <v/>
      </c>
      <c r="AC439" s="53" t="str">
        <f aca="false">IF(AND(OR('Choix pédagogiques'!$C$3=1,'Choix pédagogiques'!$C$3=2),$BN439=1),H439,IF(AND('Choix pédagogiques'!$C$3=3,$BO439=1),H439,""))</f>
        <v/>
      </c>
      <c r="AD439" s="53" t="str">
        <f aca="false">IF(AND(OR('Choix pédagogiques'!$C$3=1,'Choix pédagogiques'!$C$3=2),$BN439=1),I439,IF(AND('Choix pédagogiques'!$C$3=3,$BO439=1),I439,""))</f>
        <v/>
      </c>
      <c r="AE439" s="53" t="str">
        <f aca="false">IF($J439&lt;&gt;"",$J439,"")</f>
        <v/>
      </c>
      <c r="AF439" s="52" t="str">
        <f aca="false">IF($A439&lt;&gt;"",$A439,"")</f>
        <v>Apprenant 427</v>
      </c>
      <c r="AG439" s="53" t="str">
        <f aca="false">IF(AND($W439&lt;&gt;"",$X439&lt;&gt;""),$X439-$W439,"")</f>
        <v/>
      </c>
      <c r="AH439" s="53" t="str">
        <f aca="false">IF(AND($W439&lt;&gt;"",$Y439&lt;&gt;""),$Y439-$W439,"")</f>
        <v/>
      </c>
      <c r="AI439" s="53" t="str">
        <f aca="false">IF(AND($X439&lt;&gt;"",$Y439&lt;&gt;""),$Y439-$X439,"")</f>
        <v/>
      </c>
      <c r="AJ439" s="53" t="str">
        <f aca="false">IF($E439&lt;&gt;"",$E439,"")</f>
        <v/>
      </c>
      <c r="AK439" s="52" t="str">
        <f aca="false">IF($F439&lt;&gt;"",$F439,"")</f>
        <v>Apprenant 427 ou 427'</v>
      </c>
      <c r="AL439" s="53" t="str">
        <f aca="false">IF(AND($AB439&lt;&gt;"",$AC439&lt;&gt;""),$AC439-$AB439,"")</f>
        <v/>
      </c>
      <c r="AM439" s="53" t="str">
        <f aca="false">IF(AND($AB439&lt;&gt;"",$AD439&lt;&gt;""),$AD439-$AB439,"")</f>
        <v/>
      </c>
      <c r="AN439" s="53" t="str">
        <f aca="false">IF(AND($AC439&lt;&gt;"",$AD439&lt;&gt;""),$AD439-$AC439,"")</f>
        <v/>
      </c>
      <c r="AO439" s="53" t="str">
        <f aca="false">IF($J439&lt;&gt;"",$J439,"")</f>
        <v/>
      </c>
      <c r="AQ439" s="52" t="str">
        <f aca="false">IF($A439&lt;&gt;"",$A439,"")</f>
        <v>Apprenant 427</v>
      </c>
      <c r="AR439" s="55" t="str">
        <f aca="false">IF(AND('Choix pédagogiques'!$C$4&lt;&gt;"?",'Choix pédagogiques'!$C$5&lt;&gt;"?",W439&lt;&gt;""),(W439-'Choix pédagogiques'!$C$4)/('Choix pédagogiques'!$C$5-'Choix pédagogiques'!$C$4),"")</f>
        <v/>
      </c>
      <c r="AS439" s="55" t="str">
        <f aca="false">IF(AND('Choix pédagogiques'!$C$4&lt;&gt;"?",'Choix pédagogiques'!$C$5&lt;&gt;"?",X439&lt;&gt;""),(X439-'Choix pédagogiques'!$C$4)/('Choix pédagogiques'!$C$5-'Choix pédagogiques'!$C$4),"")</f>
        <v/>
      </c>
      <c r="AT439" s="55" t="str">
        <f aca="false">IF(AND('Choix pédagogiques'!$C$4&lt;&gt;"?",'Choix pédagogiques'!$C$5&lt;&gt;"?",Y439&lt;&gt;""),(Y439-'Choix pédagogiques'!$C$4)/('Choix pédagogiques'!$C$5-'Choix pédagogiques'!$C$4),"")</f>
        <v/>
      </c>
      <c r="AU439" s="53" t="str">
        <f aca="false">IF($E439&lt;&gt;"",$E439,"")</f>
        <v/>
      </c>
      <c r="AV439" s="52" t="str">
        <f aca="false">IF($F439&lt;&gt;"",$F439,"")</f>
        <v>Apprenant 427 ou 427'</v>
      </c>
      <c r="AW439" s="55" t="str">
        <f aca="false">IF(AND('Choix pédagogiques'!$C$4&lt;&gt;"?",'Choix pédagogiques'!$C$5&lt;&gt;"?",AB439&lt;&gt;""),(AB439-'Choix pédagogiques'!$C$4)/('Choix pédagogiques'!$C$5-'Choix pédagogiques'!$C$4),"")</f>
        <v/>
      </c>
      <c r="AX439" s="55" t="str">
        <f aca="false">IF(AND('Choix pédagogiques'!$C$4&lt;&gt;"?",'Choix pédagogiques'!$C$5&lt;&gt;"?",AC439&lt;&gt;""),(AC439-'Choix pédagogiques'!$C$4)/('Choix pédagogiques'!$C$5-'Choix pédagogiques'!$C$4),"")</f>
        <v/>
      </c>
      <c r="AY439" s="55" t="str">
        <f aca="false">IF(AND('Choix pédagogiques'!$C$4&lt;&gt;"?",'Choix pédagogiques'!$C$5&lt;&gt;"?",AD439&lt;&gt;""),(AD439-'Choix pédagogiques'!$C$4)/('Choix pédagogiques'!$C$5-'Choix pédagogiques'!$C$4),"")</f>
        <v/>
      </c>
      <c r="AZ439" s="53" t="str">
        <f aca="false">IF($J439&lt;&gt;"",$J439,"")</f>
        <v/>
      </c>
      <c r="BA439" s="52" t="str">
        <f aca="false">IF($A439&lt;&gt;"",$A439,"")</f>
        <v>Apprenant 427</v>
      </c>
      <c r="BB439" s="55" t="str">
        <f aca="false">IF(AND($AR439&lt;&gt;"",$AS439&lt;&gt;""),$AS439-$AR439,"")</f>
        <v/>
      </c>
      <c r="BC439" s="55" t="str">
        <f aca="false">IF(AND($AR439&lt;&gt;"",$AT439&lt;&gt;""),$AT439-$AR439,"")</f>
        <v/>
      </c>
      <c r="BD439" s="55" t="str">
        <f aca="false">IF(AND($AS439&lt;&gt;"",$AT439&lt;&gt;""),$AT439-$AS439,"")</f>
        <v/>
      </c>
      <c r="BE439" s="53" t="str">
        <f aca="false">IF($E439&lt;&gt;"",$E439,"")</f>
        <v/>
      </c>
      <c r="BF439" s="52" t="str">
        <f aca="false">IF($F439&lt;&gt;"",$F439,"")</f>
        <v>Apprenant 427 ou 427'</v>
      </c>
      <c r="BG439" s="55" t="str">
        <f aca="false">IF(AND($AW439&lt;&gt;"",$AX439&lt;&gt;""),$AX439-$AW439,"")</f>
        <v/>
      </c>
      <c r="BH439" s="55" t="str">
        <f aca="false">IF(AND($AW439&lt;&gt;"",$AY439&lt;&gt;""),$AY439-$AW439,"")</f>
        <v/>
      </c>
      <c r="BI439" s="55" t="str">
        <f aca="false">IF(AND($AX439&lt;&gt;"",$AY439&lt;&gt;""),$AY439-$AX439,"")</f>
        <v/>
      </c>
      <c r="BJ439" s="53" t="str">
        <f aca="false">IF($J439&lt;&gt;"",$J439,"")</f>
        <v/>
      </c>
      <c r="BL439" s="52"/>
      <c r="BM439" s="52" t="str">
        <f aca="false">IF(OR(COUNT(B439:D1438)=0,AND('Choix pédagogiques'!$C$3&lt;&gt;1,'Choix pédagogiques'!$C$3&lt;&gt;2)),"",IF(AND(OR('Choix pédagogiques'!$C$3=1,'Choix pédagogiques'!$C$3=2),$B439&lt;&gt;"",$C439&lt;&gt;"",$D439&lt;&gt;""),1,0))</f>
        <v/>
      </c>
      <c r="BN439" s="52" t="str">
        <f aca="false">IF(OR(COUNT(G439:I1438)=0,AND('Choix pédagogiques'!$C$3&lt;&gt;1,'Choix pédagogiques'!$C$3&lt;&gt;2)),"",IF(AND(OR('Choix pédagogiques'!$C$3=1,'Choix pédagogiques'!$C$3=2),AND($G439&lt;&gt;"",$H439&lt;&gt;"",$I439&lt;&gt;"")),1,0))</f>
        <v/>
      </c>
      <c r="BO439" s="52" t="str">
        <f aca="false">IF(OR(COUNT(B439:D1438)=0,COUNT(G439:I1438)=0,'Choix pédagogiques'!C$3&lt;&gt;3),"",IF(AND('Choix pédagogiques'!$C$3=3,$B439&lt;&gt;"",$C439&lt;&gt;"",$D439&lt;&gt;"",$G439&lt;&gt;"",$H439&lt;&gt;"",$I439&lt;&gt;""),1,0))</f>
        <v/>
      </c>
      <c r="BR439" s="52" t="n">
        <v>430</v>
      </c>
      <c r="BS439" s="52" t="n">
        <v>1543</v>
      </c>
    </row>
    <row r="440" s="54" customFormat="true" ht="18" hidden="false" customHeight="true" outlineLevel="0" collapsed="false">
      <c r="A440" s="57" t="s">
        <v>811</v>
      </c>
      <c r="B440" s="51"/>
      <c r="C440" s="51"/>
      <c r="D440" s="51"/>
      <c r="E440" s="51"/>
      <c r="F440" s="57" t="s">
        <v>812</v>
      </c>
      <c r="G440" s="51"/>
      <c r="H440" s="51"/>
      <c r="I440" s="51"/>
      <c r="J440" s="51"/>
      <c r="K440" s="52" t="str">
        <f aca="false">IF($A440&lt;&gt;"",$A440,"")</f>
        <v>Apprenant 428</v>
      </c>
      <c r="L440" s="53" t="str">
        <f aca="false">IF(AND($B440&lt;&gt;"",$C440&lt;&gt;""),$C440-$B440,"")</f>
        <v/>
      </c>
      <c r="M440" s="53" t="str">
        <f aca="false">IF(AND($B440&lt;&gt;"",$D440&lt;&gt;""),$D440-$B440,"")</f>
        <v/>
      </c>
      <c r="N440" s="53" t="str">
        <f aca="false">IF(AND($C440&lt;&gt;"",$D440&lt;&gt;""),$D440-$C440,"")</f>
        <v/>
      </c>
      <c r="O440" s="53" t="str">
        <f aca="false">IF($E440&lt;&gt;"",$E440,"")</f>
        <v/>
      </c>
      <c r="P440" s="52" t="str">
        <f aca="false">IF($F440&lt;&gt;"",$F440,"")</f>
        <v>Apprenant 428 ou 428'</v>
      </c>
      <c r="Q440" s="53" t="str">
        <f aca="false">IF(AND($G440&lt;&gt;"",$H440&lt;&gt;""),$H440-$G440,"")</f>
        <v/>
      </c>
      <c r="R440" s="53" t="str">
        <f aca="false">IF(AND($G440&lt;&gt;"",$I440&lt;&gt;""),$I440-$G440,"")</f>
        <v/>
      </c>
      <c r="S440" s="53" t="str">
        <f aca="false">IF(AND($H440&lt;&gt;"",$I440&lt;&gt;""),$I440-$H440,"")</f>
        <v/>
      </c>
      <c r="T440" s="53" t="str">
        <f aca="false">IF($J440&lt;&gt;"",$J440,"")</f>
        <v/>
      </c>
      <c r="V440" s="52" t="str">
        <f aca="false">IF($A440&lt;&gt;"",$A440,"")</f>
        <v>Apprenant 428</v>
      </c>
      <c r="W440" s="53" t="str">
        <f aca="false">IF(AND(OR('Choix pédagogiques'!$C$3=1,'Choix pédagogiques'!$C$3=2),$BM440=1),B440,IF(AND('Choix pédagogiques'!$C$3=3,$BO440=1),B440,""))</f>
        <v/>
      </c>
      <c r="X440" s="53" t="str">
        <f aca="false">IF(AND(OR('Choix pédagogiques'!$C$3=1,'Choix pédagogiques'!$C$3=2),$BM440=1),C440,IF(AND('Choix pédagogiques'!$C$3=3,$BO440=1),C440,""))</f>
        <v/>
      </c>
      <c r="Y440" s="53" t="str">
        <f aca="false">IF(AND(OR('Choix pédagogiques'!$C$3=1,'Choix pédagogiques'!$C$3=2),$BM440=1),D440,IF(AND('Choix pédagogiques'!$C$3=3,$BO440=1),D440,""))</f>
        <v/>
      </c>
      <c r="Z440" s="53" t="str">
        <f aca="false">IF($E440&lt;&gt;"",$E440,"")</f>
        <v/>
      </c>
      <c r="AA440" s="52" t="str">
        <f aca="false">IF($F440&lt;&gt;"",$F440,"")</f>
        <v>Apprenant 428 ou 428'</v>
      </c>
      <c r="AB440" s="53" t="str">
        <f aca="false">IF(AND(OR('Choix pédagogiques'!$C$3=1,'Choix pédagogiques'!$C$3=2),$BN440=1),G440,IF(AND('Choix pédagogiques'!$C$3=3,$BO440=1),G440,""))</f>
        <v/>
      </c>
      <c r="AC440" s="53" t="str">
        <f aca="false">IF(AND(OR('Choix pédagogiques'!$C$3=1,'Choix pédagogiques'!$C$3=2),$BN440=1),H440,IF(AND('Choix pédagogiques'!$C$3=3,$BO440=1),H440,""))</f>
        <v/>
      </c>
      <c r="AD440" s="53" t="str">
        <f aca="false">IF(AND(OR('Choix pédagogiques'!$C$3=1,'Choix pédagogiques'!$C$3=2),$BN440=1),I440,IF(AND('Choix pédagogiques'!$C$3=3,$BO440=1),I440,""))</f>
        <v/>
      </c>
      <c r="AE440" s="53" t="str">
        <f aca="false">IF($J440&lt;&gt;"",$J440,"")</f>
        <v/>
      </c>
      <c r="AF440" s="52" t="str">
        <f aca="false">IF($A440&lt;&gt;"",$A440,"")</f>
        <v>Apprenant 428</v>
      </c>
      <c r="AG440" s="53" t="str">
        <f aca="false">IF(AND($W440&lt;&gt;"",$X440&lt;&gt;""),$X440-$W440,"")</f>
        <v/>
      </c>
      <c r="AH440" s="53" t="str">
        <f aca="false">IF(AND($W440&lt;&gt;"",$Y440&lt;&gt;""),$Y440-$W440,"")</f>
        <v/>
      </c>
      <c r="AI440" s="53" t="str">
        <f aca="false">IF(AND($X440&lt;&gt;"",$Y440&lt;&gt;""),$Y440-$X440,"")</f>
        <v/>
      </c>
      <c r="AJ440" s="53" t="str">
        <f aca="false">IF($E440&lt;&gt;"",$E440,"")</f>
        <v/>
      </c>
      <c r="AK440" s="52" t="str">
        <f aca="false">IF($F440&lt;&gt;"",$F440,"")</f>
        <v>Apprenant 428 ou 428'</v>
      </c>
      <c r="AL440" s="53" t="str">
        <f aca="false">IF(AND($AB440&lt;&gt;"",$AC440&lt;&gt;""),$AC440-$AB440,"")</f>
        <v/>
      </c>
      <c r="AM440" s="53" t="str">
        <f aca="false">IF(AND($AB440&lt;&gt;"",$AD440&lt;&gt;""),$AD440-$AB440,"")</f>
        <v/>
      </c>
      <c r="AN440" s="53" t="str">
        <f aca="false">IF(AND($AC440&lt;&gt;"",$AD440&lt;&gt;""),$AD440-$AC440,"")</f>
        <v/>
      </c>
      <c r="AO440" s="53" t="str">
        <f aca="false">IF($J440&lt;&gt;"",$J440,"")</f>
        <v/>
      </c>
      <c r="AQ440" s="52" t="str">
        <f aca="false">IF($A440&lt;&gt;"",$A440,"")</f>
        <v>Apprenant 428</v>
      </c>
      <c r="AR440" s="55" t="str">
        <f aca="false">IF(AND('Choix pédagogiques'!$C$4&lt;&gt;"?",'Choix pédagogiques'!$C$5&lt;&gt;"?",W440&lt;&gt;""),(W440-'Choix pédagogiques'!$C$4)/('Choix pédagogiques'!$C$5-'Choix pédagogiques'!$C$4),"")</f>
        <v/>
      </c>
      <c r="AS440" s="55" t="str">
        <f aca="false">IF(AND('Choix pédagogiques'!$C$4&lt;&gt;"?",'Choix pédagogiques'!$C$5&lt;&gt;"?",X440&lt;&gt;""),(X440-'Choix pédagogiques'!$C$4)/('Choix pédagogiques'!$C$5-'Choix pédagogiques'!$C$4),"")</f>
        <v/>
      </c>
      <c r="AT440" s="55" t="str">
        <f aca="false">IF(AND('Choix pédagogiques'!$C$4&lt;&gt;"?",'Choix pédagogiques'!$C$5&lt;&gt;"?",Y440&lt;&gt;""),(Y440-'Choix pédagogiques'!$C$4)/('Choix pédagogiques'!$C$5-'Choix pédagogiques'!$C$4),"")</f>
        <v/>
      </c>
      <c r="AU440" s="53" t="str">
        <f aca="false">IF($E440&lt;&gt;"",$E440,"")</f>
        <v/>
      </c>
      <c r="AV440" s="52" t="str">
        <f aca="false">IF($F440&lt;&gt;"",$F440,"")</f>
        <v>Apprenant 428 ou 428'</v>
      </c>
      <c r="AW440" s="55" t="str">
        <f aca="false">IF(AND('Choix pédagogiques'!$C$4&lt;&gt;"?",'Choix pédagogiques'!$C$5&lt;&gt;"?",AB440&lt;&gt;""),(AB440-'Choix pédagogiques'!$C$4)/('Choix pédagogiques'!$C$5-'Choix pédagogiques'!$C$4),"")</f>
        <v/>
      </c>
      <c r="AX440" s="55" t="str">
        <f aca="false">IF(AND('Choix pédagogiques'!$C$4&lt;&gt;"?",'Choix pédagogiques'!$C$5&lt;&gt;"?",AC440&lt;&gt;""),(AC440-'Choix pédagogiques'!$C$4)/('Choix pédagogiques'!$C$5-'Choix pédagogiques'!$C$4),"")</f>
        <v/>
      </c>
      <c r="AY440" s="55" t="str">
        <f aca="false">IF(AND('Choix pédagogiques'!$C$4&lt;&gt;"?",'Choix pédagogiques'!$C$5&lt;&gt;"?",AD440&lt;&gt;""),(AD440-'Choix pédagogiques'!$C$4)/('Choix pédagogiques'!$C$5-'Choix pédagogiques'!$C$4),"")</f>
        <v/>
      </c>
      <c r="AZ440" s="53" t="str">
        <f aca="false">IF($J440&lt;&gt;"",$J440,"")</f>
        <v/>
      </c>
      <c r="BA440" s="52" t="str">
        <f aca="false">IF($A440&lt;&gt;"",$A440,"")</f>
        <v>Apprenant 428</v>
      </c>
      <c r="BB440" s="55" t="str">
        <f aca="false">IF(AND($AR440&lt;&gt;"",$AS440&lt;&gt;""),$AS440-$AR440,"")</f>
        <v/>
      </c>
      <c r="BC440" s="55" t="str">
        <f aca="false">IF(AND($AR440&lt;&gt;"",$AT440&lt;&gt;""),$AT440-$AR440,"")</f>
        <v/>
      </c>
      <c r="BD440" s="55" t="str">
        <f aca="false">IF(AND($AS440&lt;&gt;"",$AT440&lt;&gt;""),$AT440-$AS440,"")</f>
        <v/>
      </c>
      <c r="BE440" s="53" t="str">
        <f aca="false">IF($E440&lt;&gt;"",$E440,"")</f>
        <v/>
      </c>
      <c r="BF440" s="52" t="str">
        <f aca="false">IF($F440&lt;&gt;"",$F440,"")</f>
        <v>Apprenant 428 ou 428'</v>
      </c>
      <c r="BG440" s="55" t="str">
        <f aca="false">IF(AND($AW440&lt;&gt;"",$AX440&lt;&gt;""),$AX440-$AW440,"")</f>
        <v/>
      </c>
      <c r="BH440" s="55" t="str">
        <f aca="false">IF(AND($AW440&lt;&gt;"",$AY440&lt;&gt;""),$AY440-$AW440,"")</f>
        <v/>
      </c>
      <c r="BI440" s="55" t="str">
        <f aca="false">IF(AND($AX440&lt;&gt;"",$AY440&lt;&gt;""),$AY440-$AX440,"")</f>
        <v/>
      </c>
      <c r="BJ440" s="53" t="str">
        <f aca="false">IF($J440&lt;&gt;"",$J440,"")</f>
        <v/>
      </c>
      <c r="BL440" s="52"/>
      <c r="BM440" s="52" t="str">
        <f aca="false">IF(OR(COUNT(B440:D1439)=0,AND('Choix pédagogiques'!$C$3&lt;&gt;1,'Choix pédagogiques'!$C$3&lt;&gt;2)),"",IF(AND(OR('Choix pédagogiques'!$C$3=1,'Choix pédagogiques'!$C$3=2),$B440&lt;&gt;"",$C440&lt;&gt;"",$D440&lt;&gt;""),1,0))</f>
        <v/>
      </c>
      <c r="BN440" s="52" t="str">
        <f aca="false">IF(OR(COUNT(G440:I1439)=0,AND('Choix pédagogiques'!$C$3&lt;&gt;1,'Choix pédagogiques'!$C$3&lt;&gt;2)),"",IF(AND(OR('Choix pédagogiques'!$C$3=1,'Choix pédagogiques'!$C$3=2),AND($G440&lt;&gt;"",$H440&lt;&gt;"",$I440&lt;&gt;"")),1,0))</f>
        <v/>
      </c>
      <c r="BO440" s="52" t="str">
        <f aca="false">IF(OR(COUNT(B440:D1439)=0,COUNT(G440:I1439)=0,'Choix pédagogiques'!C$3&lt;&gt;3),"",IF(AND('Choix pédagogiques'!$C$3=3,$B440&lt;&gt;"",$C440&lt;&gt;"",$D440&lt;&gt;"",$G440&lt;&gt;"",$H440&lt;&gt;"",$I440&lt;&gt;""),1,0))</f>
        <v/>
      </c>
      <c r="BR440" s="52" t="n">
        <v>721</v>
      </c>
      <c r="BS440" s="52" t="n">
        <v>1173</v>
      </c>
    </row>
    <row r="441" s="54" customFormat="true" ht="18" hidden="false" customHeight="true" outlineLevel="0" collapsed="false">
      <c r="A441" s="57" t="s">
        <v>813</v>
      </c>
      <c r="B441" s="51"/>
      <c r="C441" s="51"/>
      <c r="D441" s="51"/>
      <c r="E441" s="51"/>
      <c r="F441" s="57" t="s">
        <v>814</v>
      </c>
      <c r="G441" s="51"/>
      <c r="H441" s="51"/>
      <c r="I441" s="51"/>
      <c r="J441" s="51"/>
      <c r="K441" s="52" t="str">
        <f aca="false">IF($A441&lt;&gt;"",$A441,"")</f>
        <v>Apprenant 429</v>
      </c>
      <c r="L441" s="53" t="str">
        <f aca="false">IF(AND($B441&lt;&gt;"",$C441&lt;&gt;""),$C441-$B441,"")</f>
        <v/>
      </c>
      <c r="M441" s="53" t="str">
        <f aca="false">IF(AND($B441&lt;&gt;"",$D441&lt;&gt;""),$D441-$B441,"")</f>
        <v/>
      </c>
      <c r="N441" s="53" t="str">
        <f aca="false">IF(AND($C441&lt;&gt;"",$D441&lt;&gt;""),$D441-$C441,"")</f>
        <v/>
      </c>
      <c r="O441" s="53" t="str">
        <f aca="false">IF($E441&lt;&gt;"",$E441,"")</f>
        <v/>
      </c>
      <c r="P441" s="52" t="str">
        <f aca="false">IF($F441&lt;&gt;"",$F441,"")</f>
        <v>Apprenant 429 ou 429'</v>
      </c>
      <c r="Q441" s="53" t="str">
        <f aca="false">IF(AND($G441&lt;&gt;"",$H441&lt;&gt;""),$H441-$G441,"")</f>
        <v/>
      </c>
      <c r="R441" s="53" t="str">
        <f aca="false">IF(AND($G441&lt;&gt;"",$I441&lt;&gt;""),$I441-$G441,"")</f>
        <v/>
      </c>
      <c r="S441" s="53" t="str">
        <f aca="false">IF(AND($H441&lt;&gt;"",$I441&lt;&gt;""),$I441-$H441,"")</f>
        <v/>
      </c>
      <c r="T441" s="53" t="str">
        <f aca="false">IF($J441&lt;&gt;"",$J441,"")</f>
        <v/>
      </c>
      <c r="V441" s="52" t="str">
        <f aca="false">IF($A441&lt;&gt;"",$A441,"")</f>
        <v>Apprenant 429</v>
      </c>
      <c r="W441" s="53" t="str">
        <f aca="false">IF(AND(OR('Choix pédagogiques'!$C$3=1,'Choix pédagogiques'!$C$3=2),$BM441=1),B441,IF(AND('Choix pédagogiques'!$C$3=3,$BO441=1),B441,""))</f>
        <v/>
      </c>
      <c r="X441" s="53" t="str">
        <f aca="false">IF(AND(OR('Choix pédagogiques'!$C$3=1,'Choix pédagogiques'!$C$3=2),$BM441=1),C441,IF(AND('Choix pédagogiques'!$C$3=3,$BO441=1),C441,""))</f>
        <v/>
      </c>
      <c r="Y441" s="53" t="str">
        <f aca="false">IF(AND(OR('Choix pédagogiques'!$C$3=1,'Choix pédagogiques'!$C$3=2),$BM441=1),D441,IF(AND('Choix pédagogiques'!$C$3=3,$BO441=1),D441,""))</f>
        <v/>
      </c>
      <c r="Z441" s="53" t="str">
        <f aca="false">IF($E441&lt;&gt;"",$E441,"")</f>
        <v/>
      </c>
      <c r="AA441" s="52" t="str">
        <f aca="false">IF($F441&lt;&gt;"",$F441,"")</f>
        <v>Apprenant 429 ou 429'</v>
      </c>
      <c r="AB441" s="53" t="str">
        <f aca="false">IF(AND(OR('Choix pédagogiques'!$C$3=1,'Choix pédagogiques'!$C$3=2),$BN441=1),G441,IF(AND('Choix pédagogiques'!$C$3=3,$BO441=1),G441,""))</f>
        <v/>
      </c>
      <c r="AC441" s="53" t="str">
        <f aca="false">IF(AND(OR('Choix pédagogiques'!$C$3=1,'Choix pédagogiques'!$C$3=2),$BN441=1),H441,IF(AND('Choix pédagogiques'!$C$3=3,$BO441=1),H441,""))</f>
        <v/>
      </c>
      <c r="AD441" s="53" t="str">
        <f aca="false">IF(AND(OR('Choix pédagogiques'!$C$3=1,'Choix pédagogiques'!$C$3=2),$BN441=1),I441,IF(AND('Choix pédagogiques'!$C$3=3,$BO441=1),I441,""))</f>
        <v/>
      </c>
      <c r="AE441" s="53" t="str">
        <f aca="false">IF($J441&lt;&gt;"",$J441,"")</f>
        <v/>
      </c>
      <c r="AF441" s="52" t="str">
        <f aca="false">IF($A441&lt;&gt;"",$A441,"")</f>
        <v>Apprenant 429</v>
      </c>
      <c r="AG441" s="53" t="str">
        <f aca="false">IF(AND($W441&lt;&gt;"",$X441&lt;&gt;""),$X441-$W441,"")</f>
        <v/>
      </c>
      <c r="AH441" s="53" t="str">
        <f aca="false">IF(AND($W441&lt;&gt;"",$Y441&lt;&gt;""),$Y441-$W441,"")</f>
        <v/>
      </c>
      <c r="AI441" s="53" t="str">
        <f aca="false">IF(AND($X441&lt;&gt;"",$Y441&lt;&gt;""),$Y441-$X441,"")</f>
        <v/>
      </c>
      <c r="AJ441" s="53" t="str">
        <f aca="false">IF($E441&lt;&gt;"",$E441,"")</f>
        <v/>
      </c>
      <c r="AK441" s="52" t="str">
        <f aca="false">IF($F441&lt;&gt;"",$F441,"")</f>
        <v>Apprenant 429 ou 429'</v>
      </c>
      <c r="AL441" s="53" t="str">
        <f aca="false">IF(AND($AB441&lt;&gt;"",$AC441&lt;&gt;""),$AC441-$AB441,"")</f>
        <v/>
      </c>
      <c r="AM441" s="53" t="str">
        <f aca="false">IF(AND($AB441&lt;&gt;"",$AD441&lt;&gt;""),$AD441-$AB441,"")</f>
        <v/>
      </c>
      <c r="AN441" s="53" t="str">
        <f aca="false">IF(AND($AC441&lt;&gt;"",$AD441&lt;&gt;""),$AD441-$AC441,"")</f>
        <v/>
      </c>
      <c r="AO441" s="53" t="str">
        <f aca="false">IF($J441&lt;&gt;"",$J441,"")</f>
        <v/>
      </c>
      <c r="AQ441" s="52" t="str">
        <f aca="false">IF($A441&lt;&gt;"",$A441,"")</f>
        <v>Apprenant 429</v>
      </c>
      <c r="AR441" s="55" t="str">
        <f aca="false">IF(AND('Choix pédagogiques'!$C$4&lt;&gt;"?",'Choix pédagogiques'!$C$5&lt;&gt;"?",W441&lt;&gt;""),(W441-'Choix pédagogiques'!$C$4)/('Choix pédagogiques'!$C$5-'Choix pédagogiques'!$C$4),"")</f>
        <v/>
      </c>
      <c r="AS441" s="55" t="str">
        <f aca="false">IF(AND('Choix pédagogiques'!$C$4&lt;&gt;"?",'Choix pédagogiques'!$C$5&lt;&gt;"?",X441&lt;&gt;""),(X441-'Choix pédagogiques'!$C$4)/('Choix pédagogiques'!$C$5-'Choix pédagogiques'!$C$4),"")</f>
        <v/>
      </c>
      <c r="AT441" s="55" t="str">
        <f aca="false">IF(AND('Choix pédagogiques'!$C$4&lt;&gt;"?",'Choix pédagogiques'!$C$5&lt;&gt;"?",Y441&lt;&gt;""),(Y441-'Choix pédagogiques'!$C$4)/('Choix pédagogiques'!$C$5-'Choix pédagogiques'!$C$4),"")</f>
        <v/>
      </c>
      <c r="AU441" s="53" t="str">
        <f aca="false">IF($E441&lt;&gt;"",$E441,"")</f>
        <v/>
      </c>
      <c r="AV441" s="52" t="str">
        <f aca="false">IF($F441&lt;&gt;"",$F441,"")</f>
        <v>Apprenant 429 ou 429'</v>
      </c>
      <c r="AW441" s="55" t="str">
        <f aca="false">IF(AND('Choix pédagogiques'!$C$4&lt;&gt;"?",'Choix pédagogiques'!$C$5&lt;&gt;"?",AB441&lt;&gt;""),(AB441-'Choix pédagogiques'!$C$4)/('Choix pédagogiques'!$C$5-'Choix pédagogiques'!$C$4),"")</f>
        <v/>
      </c>
      <c r="AX441" s="55" t="str">
        <f aca="false">IF(AND('Choix pédagogiques'!$C$4&lt;&gt;"?",'Choix pédagogiques'!$C$5&lt;&gt;"?",AC441&lt;&gt;""),(AC441-'Choix pédagogiques'!$C$4)/('Choix pédagogiques'!$C$5-'Choix pédagogiques'!$C$4),"")</f>
        <v/>
      </c>
      <c r="AY441" s="55" t="str">
        <f aca="false">IF(AND('Choix pédagogiques'!$C$4&lt;&gt;"?",'Choix pédagogiques'!$C$5&lt;&gt;"?",AD441&lt;&gt;""),(AD441-'Choix pédagogiques'!$C$4)/('Choix pédagogiques'!$C$5-'Choix pédagogiques'!$C$4),"")</f>
        <v/>
      </c>
      <c r="AZ441" s="53" t="str">
        <f aca="false">IF($J441&lt;&gt;"",$J441,"")</f>
        <v/>
      </c>
      <c r="BA441" s="52" t="str">
        <f aca="false">IF($A441&lt;&gt;"",$A441,"")</f>
        <v>Apprenant 429</v>
      </c>
      <c r="BB441" s="55" t="str">
        <f aca="false">IF(AND($AR441&lt;&gt;"",$AS441&lt;&gt;""),$AS441-$AR441,"")</f>
        <v/>
      </c>
      <c r="BC441" s="55" t="str">
        <f aca="false">IF(AND($AR441&lt;&gt;"",$AT441&lt;&gt;""),$AT441-$AR441,"")</f>
        <v/>
      </c>
      <c r="BD441" s="55" t="str">
        <f aca="false">IF(AND($AS441&lt;&gt;"",$AT441&lt;&gt;""),$AT441-$AS441,"")</f>
        <v/>
      </c>
      <c r="BE441" s="53" t="str">
        <f aca="false">IF($E441&lt;&gt;"",$E441,"")</f>
        <v/>
      </c>
      <c r="BF441" s="52" t="str">
        <f aca="false">IF($F441&lt;&gt;"",$F441,"")</f>
        <v>Apprenant 429 ou 429'</v>
      </c>
      <c r="BG441" s="55" t="str">
        <f aca="false">IF(AND($AW441&lt;&gt;"",$AX441&lt;&gt;""),$AX441-$AW441,"")</f>
        <v/>
      </c>
      <c r="BH441" s="55" t="str">
        <f aca="false">IF(AND($AW441&lt;&gt;"",$AY441&lt;&gt;""),$AY441-$AW441,"")</f>
        <v/>
      </c>
      <c r="BI441" s="55" t="str">
        <f aca="false">IF(AND($AX441&lt;&gt;"",$AY441&lt;&gt;""),$AY441-$AX441,"")</f>
        <v/>
      </c>
      <c r="BJ441" s="53" t="str">
        <f aca="false">IF($J441&lt;&gt;"",$J441,"")</f>
        <v/>
      </c>
      <c r="BL441" s="52"/>
      <c r="BM441" s="52" t="str">
        <f aca="false">IF(OR(COUNT(B441:D1440)=0,AND('Choix pédagogiques'!$C$3&lt;&gt;1,'Choix pédagogiques'!$C$3&lt;&gt;2)),"",IF(AND(OR('Choix pédagogiques'!$C$3=1,'Choix pédagogiques'!$C$3=2),$B441&lt;&gt;"",$C441&lt;&gt;"",$D441&lt;&gt;""),1,0))</f>
        <v/>
      </c>
      <c r="BN441" s="52" t="str">
        <f aca="false">IF(OR(COUNT(G441:I1440)=0,AND('Choix pédagogiques'!$C$3&lt;&gt;1,'Choix pédagogiques'!$C$3&lt;&gt;2)),"",IF(AND(OR('Choix pédagogiques'!$C$3=1,'Choix pédagogiques'!$C$3=2),AND($G441&lt;&gt;"",$H441&lt;&gt;"",$I441&lt;&gt;"")),1,0))</f>
        <v/>
      </c>
      <c r="BO441" s="52" t="str">
        <f aca="false">IF(OR(COUNT(B441:D1440)=0,COUNT(G441:I1440)=0,'Choix pédagogiques'!C$3&lt;&gt;3),"",IF(AND('Choix pédagogiques'!$C$3=3,$B441&lt;&gt;"",$C441&lt;&gt;"",$D441&lt;&gt;"",$G441&lt;&gt;"",$H441&lt;&gt;"",$I441&lt;&gt;""),1,0))</f>
        <v/>
      </c>
      <c r="BR441" s="52" t="n">
        <v>134</v>
      </c>
      <c r="BS441" s="52" t="n">
        <v>1825</v>
      </c>
    </row>
    <row r="442" s="54" customFormat="true" ht="18" hidden="false" customHeight="true" outlineLevel="0" collapsed="false">
      <c r="A442" s="57" t="s">
        <v>815</v>
      </c>
      <c r="B442" s="51"/>
      <c r="C442" s="51"/>
      <c r="D442" s="51"/>
      <c r="E442" s="51"/>
      <c r="F442" s="57" t="s">
        <v>816</v>
      </c>
      <c r="G442" s="51"/>
      <c r="H442" s="51"/>
      <c r="I442" s="51"/>
      <c r="J442" s="51"/>
      <c r="K442" s="52" t="str">
        <f aca="false">IF($A442&lt;&gt;"",$A442,"")</f>
        <v>Apprenant 430</v>
      </c>
      <c r="L442" s="53" t="str">
        <f aca="false">IF(AND($B442&lt;&gt;"",$C442&lt;&gt;""),$C442-$B442,"")</f>
        <v/>
      </c>
      <c r="M442" s="53" t="str">
        <f aca="false">IF(AND($B442&lt;&gt;"",$D442&lt;&gt;""),$D442-$B442,"")</f>
        <v/>
      </c>
      <c r="N442" s="53" t="str">
        <f aca="false">IF(AND($C442&lt;&gt;"",$D442&lt;&gt;""),$D442-$C442,"")</f>
        <v/>
      </c>
      <c r="O442" s="53" t="str">
        <f aca="false">IF($E442&lt;&gt;"",$E442,"")</f>
        <v/>
      </c>
      <c r="P442" s="52" t="str">
        <f aca="false">IF($F442&lt;&gt;"",$F442,"")</f>
        <v>Apprenant 430 ou 430'</v>
      </c>
      <c r="Q442" s="53" t="str">
        <f aca="false">IF(AND($G442&lt;&gt;"",$H442&lt;&gt;""),$H442-$G442,"")</f>
        <v/>
      </c>
      <c r="R442" s="53" t="str">
        <f aca="false">IF(AND($G442&lt;&gt;"",$I442&lt;&gt;""),$I442-$G442,"")</f>
        <v/>
      </c>
      <c r="S442" s="53" t="str">
        <f aca="false">IF(AND($H442&lt;&gt;"",$I442&lt;&gt;""),$I442-$H442,"")</f>
        <v/>
      </c>
      <c r="T442" s="53" t="str">
        <f aca="false">IF($J442&lt;&gt;"",$J442,"")</f>
        <v/>
      </c>
      <c r="V442" s="52" t="str">
        <f aca="false">IF($A442&lt;&gt;"",$A442,"")</f>
        <v>Apprenant 430</v>
      </c>
      <c r="W442" s="53" t="str">
        <f aca="false">IF(AND(OR('Choix pédagogiques'!$C$3=1,'Choix pédagogiques'!$C$3=2),$BM442=1),B442,IF(AND('Choix pédagogiques'!$C$3=3,$BO442=1),B442,""))</f>
        <v/>
      </c>
      <c r="X442" s="53" t="str">
        <f aca="false">IF(AND(OR('Choix pédagogiques'!$C$3=1,'Choix pédagogiques'!$C$3=2),$BM442=1),C442,IF(AND('Choix pédagogiques'!$C$3=3,$BO442=1),C442,""))</f>
        <v/>
      </c>
      <c r="Y442" s="53" t="str">
        <f aca="false">IF(AND(OR('Choix pédagogiques'!$C$3=1,'Choix pédagogiques'!$C$3=2),$BM442=1),D442,IF(AND('Choix pédagogiques'!$C$3=3,$BO442=1),D442,""))</f>
        <v/>
      </c>
      <c r="Z442" s="53" t="str">
        <f aca="false">IF($E442&lt;&gt;"",$E442,"")</f>
        <v/>
      </c>
      <c r="AA442" s="52" t="str">
        <f aca="false">IF($F442&lt;&gt;"",$F442,"")</f>
        <v>Apprenant 430 ou 430'</v>
      </c>
      <c r="AB442" s="53" t="str">
        <f aca="false">IF(AND(OR('Choix pédagogiques'!$C$3=1,'Choix pédagogiques'!$C$3=2),$BN442=1),G442,IF(AND('Choix pédagogiques'!$C$3=3,$BO442=1),G442,""))</f>
        <v/>
      </c>
      <c r="AC442" s="53" t="str">
        <f aca="false">IF(AND(OR('Choix pédagogiques'!$C$3=1,'Choix pédagogiques'!$C$3=2),$BN442=1),H442,IF(AND('Choix pédagogiques'!$C$3=3,$BO442=1),H442,""))</f>
        <v/>
      </c>
      <c r="AD442" s="53" t="str">
        <f aca="false">IF(AND(OR('Choix pédagogiques'!$C$3=1,'Choix pédagogiques'!$C$3=2),$BN442=1),I442,IF(AND('Choix pédagogiques'!$C$3=3,$BO442=1),I442,""))</f>
        <v/>
      </c>
      <c r="AE442" s="53" t="str">
        <f aca="false">IF($J442&lt;&gt;"",$J442,"")</f>
        <v/>
      </c>
      <c r="AF442" s="52" t="str">
        <f aca="false">IF($A442&lt;&gt;"",$A442,"")</f>
        <v>Apprenant 430</v>
      </c>
      <c r="AG442" s="53" t="str">
        <f aca="false">IF(AND($W442&lt;&gt;"",$X442&lt;&gt;""),$X442-$W442,"")</f>
        <v/>
      </c>
      <c r="AH442" s="53" t="str">
        <f aca="false">IF(AND($W442&lt;&gt;"",$Y442&lt;&gt;""),$Y442-$W442,"")</f>
        <v/>
      </c>
      <c r="AI442" s="53" t="str">
        <f aca="false">IF(AND($X442&lt;&gt;"",$Y442&lt;&gt;""),$Y442-$X442,"")</f>
        <v/>
      </c>
      <c r="AJ442" s="53" t="str">
        <f aca="false">IF($E442&lt;&gt;"",$E442,"")</f>
        <v/>
      </c>
      <c r="AK442" s="52" t="str">
        <f aca="false">IF($F442&lt;&gt;"",$F442,"")</f>
        <v>Apprenant 430 ou 430'</v>
      </c>
      <c r="AL442" s="53" t="str">
        <f aca="false">IF(AND($AB442&lt;&gt;"",$AC442&lt;&gt;""),$AC442-$AB442,"")</f>
        <v/>
      </c>
      <c r="AM442" s="53" t="str">
        <f aca="false">IF(AND($AB442&lt;&gt;"",$AD442&lt;&gt;""),$AD442-$AB442,"")</f>
        <v/>
      </c>
      <c r="AN442" s="53" t="str">
        <f aca="false">IF(AND($AC442&lt;&gt;"",$AD442&lt;&gt;""),$AD442-$AC442,"")</f>
        <v/>
      </c>
      <c r="AO442" s="53" t="str">
        <f aca="false">IF($J442&lt;&gt;"",$J442,"")</f>
        <v/>
      </c>
      <c r="AQ442" s="52" t="str">
        <f aca="false">IF($A442&lt;&gt;"",$A442,"")</f>
        <v>Apprenant 430</v>
      </c>
      <c r="AR442" s="55" t="str">
        <f aca="false">IF(AND('Choix pédagogiques'!$C$4&lt;&gt;"?",'Choix pédagogiques'!$C$5&lt;&gt;"?",W442&lt;&gt;""),(W442-'Choix pédagogiques'!$C$4)/('Choix pédagogiques'!$C$5-'Choix pédagogiques'!$C$4),"")</f>
        <v/>
      </c>
      <c r="AS442" s="55" t="str">
        <f aca="false">IF(AND('Choix pédagogiques'!$C$4&lt;&gt;"?",'Choix pédagogiques'!$C$5&lt;&gt;"?",X442&lt;&gt;""),(X442-'Choix pédagogiques'!$C$4)/('Choix pédagogiques'!$C$5-'Choix pédagogiques'!$C$4),"")</f>
        <v/>
      </c>
      <c r="AT442" s="55" t="str">
        <f aca="false">IF(AND('Choix pédagogiques'!$C$4&lt;&gt;"?",'Choix pédagogiques'!$C$5&lt;&gt;"?",Y442&lt;&gt;""),(Y442-'Choix pédagogiques'!$C$4)/('Choix pédagogiques'!$C$5-'Choix pédagogiques'!$C$4),"")</f>
        <v/>
      </c>
      <c r="AU442" s="53" t="str">
        <f aca="false">IF($E442&lt;&gt;"",$E442,"")</f>
        <v/>
      </c>
      <c r="AV442" s="52" t="str">
        <f aca="false">IF($F442&lt;&gt;"",$F442,"")</f>
        <v>Apprenant 430 ou 430'</v>
      </c>
      <c r="AW442" s="55" t="str">
        <f aca="false">IF(AND('Choix pédagogiques'!$C$4&lt;&gt;"?",'Choix pédagogiques'!$C$5&lt;&gt;"?",AB442&lt;&gt;""),(AB442-'Choix pédagogiques'!$C$4)/('Choix pédagogiques'!$C$5-'Choix pédagogiques'!$C$4),"")</f>
        <v/>
      </c>
      <c r="AX442" s="55" t="str">
        <f aca="false">IF(AND('Choix pédagogiques'!$C$4&lt;&gt;"?",'Choix pédagogiques'!$C$5&lt;&gt;"?",AC442&lt;&gt;""),(AC442-'Choix pédagogiques'!$C$4)/('Choix pédagogiques'!$C$5-'Choix pédagogiques'!$C$4),"")</f>
        <v/>
      </c>
      <c r="AY442" s="55" t="str">
        <f aca="false">IF(AND('Choix pédagogiques'!$C$4&lt;&gt;"?",'Choix pédagogiques'!$C$5&lt;&gt;"?",AD442&lt;&gt;""),(AD442-'Choix pédagogiques'!$C$4)/('Choix pédagogiques'!$C$5-'Choix pédagogiques'!$C$4),"")</f>
        <v/>
      </c>
      <c r="AZ442" s="53" t="str">
        <f aca="false">IF($J442&lt;&gt;"",$J442,"")</f>
        <v/>
      </c>
      <c r="BA442" s="52" t="str">
        <f aca="false">IF($A442&lt;&gt;"",$A442,"")</f>
        <v>Apprenant 430</v>
      </c>
      <c r="BB442" s="55" t="str">
        <f aca="false">IF(AND($AR442&lt;&gt;"",$AS442&lt;&gt;""),$AS442-$AR442,"")</f>
        <v/>
      </c>
      <c r="BC442" s="55" t="str">
        <f aca="false">IF(AND($AR442&lt;&gt;"",$AT442&lt;&gt;""),$AT442-$AR442,"")</f>
        <v/>
      </c>
      <c r="BD442" s="55" t="str">
        <f aca="false">IF(AND($AS442&lt;&gt;"",$AT442&lt;&gt;""),$AT442-$AS442,"")</f>
        <v/>
      </c>
      <c r="BE442" s="53" t="str">
        <f aca="false">IF($E442&lt;&gt;"",$E442,"")</f>
        <v/>
      </c>
      <c r="BF442" s="52" t="str">
        <f aca="false">IF($F442&lt;&gt;"",$F442,"")</f>
        <v>Apprenant 430 ou 430'</v>
      </c>
      <c r="BG442" s="55" t="str">
        <f aca="false">IF(AND($AW442&lt;&gt;"",$AX442&lt;&gt;""),$AX442-$AW442,"")</f>
        <v/>
      </c>
      <c r="BH442" s="55" t="str">
        <f aca="false">IF(AND($AW442&lt;&gt;"",$AY442&lt;&gt;""),$AY442-$AW442,"")</f>
        <v/>
      </c>
      <c r="BI442" s="55" t="str">
        <f aca="false">IF(AND($AX442&lt;&gt;"",$AY442&lt;&gt;""),$AY442-$AX442,"")</f>
        <v/>
      </c>
      <c r="BJ442" s="53" t="str">
        <f aca="false">IF($J442&lt;&gt;"",$J442,"")</f>
        <v/>
      </c>
      <c r="BL442" s="52"/>
      <c r="BM442" s="52" t="str">
        <f aca="false">IF(OR(COUNT(B442:D1441)=0,AND('Choix pédagogiques'!$C$3&lt;&gt;1,'Choix pédagogiques'!$C$3&lt;&gt;2)),"",IF(AND(OR('Choix pédagogiques'!$C$3=1,'Choix pédagogiques'!$C$3=2),$B442&lt;&gt;"",$C442&lt;&gt;"",$D442&lt;&gt;""),1,0))</f>
        <v/>
      </c>
      <c r="BN442" s="52" t="str">
        <f aca="false">IF(OR(COUNT(G442:I1441)=0,AND('Choix pédagogiques'!$C$3&lt;&gt;1,'Choix pédagogiques'!$C$3&lt;&gt;2)),"",IF(AND(OR('Choix pédagogiques'!$C$3=1,'Choix pédagogiques'!$C$3=2),AND($G442&lt;&gt;"",$H442&lt;&gt;"",$I442&lt;&gt;"")),1,0))</f>
        <v/>
      </c>
      <c r="BO442" s="52" t="str">
        <f aca="false">IF(OR(COUNT(B442:D1441)=0,COUNT(G442:I1441)=0,'Choix pédagogiques'!C$3&lt;&gt;3),"",IF(AND('Choix pédagogiques'!$C$3=3,$B442&lt;&gt;"",$C442&lt;&gt;"",$D442&lt;&gt;"",$G442&lt;&gt;"",$H442&lt;&gt;"",$I442&lt;&gt;""),1,0))</f>
        <v/>
      </c>
      <c r="BR442" s="52" t="n">
        <v>38</v>
      </c>
      <c r="BS442" s="52" t="n">
        <v>1516</v>
      </c>
    </row>
    <row r="443" s="54" customFormat="true" ht="18" hidden="false" customHeight="true" outlineLevel="0" collapsed="false">
      <c r="A443" s="57" t="s">
        <v>817</v>
      </c>
      <c r="B443" s="51"/>
      <c r="C443" s="51"/>
      <c r="D443" s="51"/>
      <c r="E443" s="51"/>
      <c r="F443" s="57" t="s">
        <v>818</v>
      </c>
      <c r="G443" s="51"/>
      <c r="H443" s="51"/>
      <c r="I443" s="51"/>
      <c r="J443" s="51"/>
      <c r="K443" s="52" t="str">
        <f aca="false">IF($A443&lt;&gt;"",$A443,"")</f>
        <v>Apprenant 431</v>
      </c>
      <c r="L443" s="53" t="str">
        <f aca="false">IF(AND($B443&lt;&gt;"",$C443&lt;&gt;""),$C443-$B443,"")</f>
        <v/>
      </c>
      <c r="M443" s="53" t="str">
        <f aca="false">IF(AND($B443&lt;&gt;"",$D443&lt;&gt;""),$D443-$B443,"")</f>
        <v/>
      </c>
      <c r="N443" s="53" t="str">
        <f aca="false">IF(AND($C443&lt;&gt;"",$D443&lt;&gt;""),$D443-$C443,"")</f>
        <v/>
      </c>
      <c r="O443" s="53" t="str">
        <f aca="false">IF($E443&lt;&gt;"",$E443,"")</f>
        <v/>
      </c>
      <c r="P443" s="52" t="str">
        <f aca="false">IF($F443&lt;&gt;"",$F443,"")</f>
        <v>Apprenant 431 ou 431'</v>
      </c>
      <c r="Q443" s="53" t="str">
        <f aca="false">IF(AND($G443&lt;&gt;"",$H443&lt;&gt;""),$H443-$G443,"")</f>
        <v/>
      </c>
      <c r="R443" s="53" t="str">
        <f aca="false">IF(AND($G443&lt;&gt;"",$I443&lt;&gt;""),$I443-$G443,"")</f>
        <v/>
      </c>
      <c r="S443" s="53" t="str">
        <f aca="false">IF(AND($H443&lt;&gt;"",$I443&lt;&gt;""),$I443-$H443,"")</f>
        <v/>
      </c>
      <c r="T443" s="53" t="str">
        <f aca="false">IF($J443&lt;&gt;"",$J443,"")</f>
        <v/>
      </c>
      <c r="V443" s="52" t="str">
        <f aca="false">IF($A443&lt;&gt;"",$A443,"")</f>
        <v>Apprenant 431</v>
      </c>
      <c r="W443" s="53" t="str">
        <f aca="false">IF(AND(OR('Choix pédagogiques'!$C$3=1,'Choix pédagogiques'!$C$3=2),$BM443=1),B443,IF(AND('Choix pédagogiques'!$C$3=3,$BO443=1),B443,""))</f>
        <v/>
      </c>
      <c r="X443" s="53" t="str">
        <f aca="false">IF(AND(OR('Choix pédagogiques'!$C$3=1,'Choix pédagogiques'!$C$3=2),$BM443=1),C443,IF(AND('Choix pédagogiques'!$C$3=3,$BO443=1),C443,""))</f>
        <v/>
      </c>
      <c r="Y443" s="53" t="str">
        <f aca="false">IF(AND(OR('Choix pédagogiques'!$C$3=1,'Choix pédagogiques'!$C$3=2),$BM443=1),D443,IF(AND('Choix pédagogiques'!$C$3=3,$BO443=1),D443,""))</f>
        <v/>
      </c>
      <c r="Z443" s="53" t="str">
        <f aca="false">IF($E443&lt;&gt;"",$E443,"")</f>
        <v/>
      </c>
      <c r="AA443" s="52" t="str">
        <f aca="false">IF($F443&lt;&gt;"",$F443,"")</f>
        <v>Apprenant 431 ou 431'</v>
      </c>
      <c r="AB443" s="53" t="str">
        <f aca="false">IF(AND(OR('Choix pédagogiques'!$C$3=1,'Choix pédagogiques'!$C$3=2),$BN443=1),G443,IF(AND('Choix pédagogiques'!$C$3=3,$BO443=1),G443,""))</f>
        <v/>
      </c>
      <c r="AC443" s="53" t="str">
        <f aca="false">IF(AND(OR('Choix pédagogiques'!$C$3=1,'Choix pédagogiques'!$C$3=2),$BN443=1),H443,IF(AND('Choix pédagogiques'!$C$3=3,$BO443=1),H443,""))</f>
        <v/>
      </c>
      <c r="AD443" s="53" t="str">
        <f aca="false">IF(AND(OR('Choix pédagogiques'!$C$3=1,'Choix pédagogiques'!$C$3=2),$BN443=1),I443,IF(AND('Choix pédagogiques'!$C$3=3,$BO443=1),I443,""))</f>
        <v/>
      </c>
      <c r="AE443" s="53" t="str">
        <f aca="false">IF($J443&lt;&gt;"",$J443,"")</f>
        <v/>
      </c>
      <c r="AF443" s="52" t="str">
        <f aca="false">IF($A443&lt;&gt;"",$A443,"")</f>
        <v>Apprenant 431</v>
      </c>
      <c r="AG443" s="53" t="str">
        <f aca="false">IF(AND($W443&lt;&gt;"",$X443&lt;&gt;""),$X443-$W443,"")</f>
        <v/>
      </c>
      <c r="AH443" s="53" t="str">
        <f aca="false">IF(AND($W443&lt;&gt;"",$Y443&lt;&gt;""),$Y443-$W443,"")</f>
        <v/>
      </c>
      <c r="AI443" s="53" t="str">
        <f aca="false">IF(AND($X443&lt;&gt;"",$Y443&lt;&gt;""),$Y443-$X443,"")</f>
        <v/>
      </c>
      <c r="AJ443" s="53" t="str">
        <f aca="false">IF($E443&lt;&gt;"",$E443,"")</f>
        <v/>
      </c>
      <c r="AK443" s="52" t="str">
        <f aca="false">IF($F443&lt;&gt;"",$F443,"")</f>
        <v>Apprenant 431 ou 431'</v>
      </c>
      <c r="AL443" s="53" t="str">
        <f aca="false">IF(AND($AB443&lt;&gt;"",$AC443&lt;&gt;""),$AC443-$AB443,"")</f>
        <v/>
      </c>
      <c r="AM443" s="53" t="str">
        <f aca="false">IF(AND($AB443&lt;&gt;"",$AD443&lt;&gt;""),$AD443-$AB443,"")</f>
        <v/>
      </c>
      <c r="AN443" s="53" t="str">
        <f aca="false">IF(AND($AC443&lt;&gt;"",$AD443&lt;&gt;""),$AD443-$AC443,"")</f>
        <v/>
      </c>
      <c r="AO443" s="53" t="str">
        <f aca="false">IF($J443&lt;&gt;"",$J443,"")</f>
        <v/>
      </c>
      <c r="AQ443" s="52" t="str">
        <f aca="false">IF($A443&lt;&gt;"",$A443,"")</f>
        <v>Apprenant 431</v>
      </c>
      <c r="AR443" s="55" t="str">
        <f aca="false">IF(AND('Choix pédagogiques'!$C$4&lt;&gt;"?",'Choix pédagogiques'!$C$5&lt;&gt;"?",W443&lt;&gt;""),(W443-'Choix pédagogiques'!$C$4)/('Choix pédagogiques'!$C$5-'Choix pédagogiques'!$C$4),"")</f>
        <v/>
      </c>
      <c r="AS443" s="55" t="str">
        <f aca="false">IF(AND('Choix pédagogiques'!$C$4&lt;&gt;"?",'Choix pédagogiques'!$C$5&lt;&gt;"?",X443&lt;&gt;""),(X443-'Choix pédagogiques'!$C$4)/('Choix pédagogiques'!$C$5-'Choix pédagogiques'!$C$4),"")</f>
        <v/>
      </c>
      <c r="AT443" s="55" t="str">
        <f aca="false">IF(AND('Choix pédagogiques'!$C$4&lt;&gt;"?",'Choix pédagogiques'!$C$5&lt;&gt;"?",Y443&lt;&gt;""),(Y443-'Choix pédagogiques'!$C$4)/('Choix pédagogiques'!$C$5-'Choix pédagogiques'!$C$4),"")</f>
        <v/>
      </c>
      <c r="AU443" s="53" t="str">
        <f aca="false">IF($E443&lt;&gt;"",$E443,"")</f>
        <v/>
      </c>
      <c r="AV443" s="52" t="str">
        <f aca="false">IF($F443&lt;&gt;"",$F443,"")</f>
        <v>Apprenant 431 ou 431'</v>
      </c>
      <c r="AW443" s="55" t="str">
        <f aca="false">IF(AND('Choix pédagogiques'!$C$4&lt;&gt;"?",'Choix pédagogiques'!$C$5&lt;&gt;"?",AB443&lt;&gt;""),(AB443-'Choix pédagogiques'!$C$4)/('Choix pédagogiques'!$C$5-'Choix pédagogiques'!$C$4),"")</f>
        <v/>
      </c>
      <c r="AX443" s="55" t="str">
        <f aca="false">IF(AND('Choix pédagogiques'!$C$4&lt;&gt;"?",'Choix pédagogiques'!$C$5&lt;&gt;"?",AC443&lt;&gt;""),(AC443-'Choix pédagogiques'!$C$4)/('Choix pédagogiques'!$C$5-'Choix pédagogiques'!$C$4),"")</f>
        <v/>
      </c>
      <c r="AY443" s="55" t="str">
        <f aca="false">IF(AND('Choix pédagogiques'!$C$4&lt;&gt;"?",'Choix pédagogiques'!$C$5&lt;&gt;"?",AD443&lt;&gt;""),(AD443-'Choix pédagogiques'!$C$4)/('Choix pédagogiques'!$C$5-'Choix pédagogiques'!$C$4),"")</f>
        <v/>
      </c>
      <c r="AZ443" s="53" t="str">
        <f aca="false">IF($J443&lt;&gt;"",$J443,"")</f>
        <v/>
      </c>
      <c r="BA443" s="52" t="str">
        <f aca="false">IF($A443&lt;&gt;"",$A443,"")</f>
        <v>Apprenant 431</v>
      </c>
      <c r="BB443" s="55" t="str">
        <f aca="false">IF(AND($AR443&lt;&gt;"",$AS443&lt;&gt;""),$AS443-$AR443,"")</f>
        <v/>
      </c>
      <c r="BC443" s="55" t="str">
        <f aca="false">IF(AND($AR443&lt;&gt;"",$AT443&lt;&gt;""),$AT443-$AR443,"")</f>
        <v/>
      </c>
      <c r="BD443" s="55" t="str">
        <f aca="false">IF(AND($AS443&lt;&gt;"",$AT443&lt;&gt;""),$AT443-$AS443,"")</f>
        <v/>
      </c>
      <c r="BE443" s="53" t="str">
        <f aca="false">IF($E443&lt;&gt;"",$E443,"")</f>
        <v/>
      </c>
      <c r="BF443" s="52" t="str">
        <f aca="false">IF($F443&lt;&gt;"",$F443,"")</f>
        <v>Apprenant 431 ou 431'</v>
      </c>
      <c r="BG443" s="55" t="str">
        <f aca="false">IF(AND($AW443&lt;&gt;"",$AX443&lt;&gt;""),$AX443-$AW443,"")</f>
        <v/>
      </c>
      <c r="BH443" s="55" t="str">
        <f aca="false">IF(AND($AW443&lt;&gt;"",$AY443&lt;&gt;""),$AY443-$AW443,"")</f>
        <v/>
      </c>
      <c r="BI443" s="55" t="str">
        <f aca="false">IF(AND($AX443&lt;&gt;"",$AY443&lt;&gt;""),$AY443-$AX443,"")</f>
        <v/>
      </c>
      <c r="BJ443" s="53" t="str">
        <f aca="false">IF($J443&lt;&gt;"",$J443,"")</f>
        <v/>
      </c>
      <c r="BL443" s="52"/>
      <c r="BM443" s="52" t="str">
        <f aca="false">IF(OR(COUNT(B443:D1442)=0,AND('Choix pédagogiques'!$C$3&lt;&gt;1,'Choix pédagogiques'!$C$3&lt;&gt;2)),"",IF(AND(OR('Choix pédagogiques'!$C$3=1,'Choix pédagogiques'!$C$3=2),$B443&lt;&gt;"",$C443&lt;&gt;"",$D443&lt;&gt;""),1,0))</f>
        <v/>
      </c>
      <c r="BN443" s="52" t="str">
        <f aca="false">IF(OR(COUNT(G443:I1442)=0,AND('Choix pédagogiques'!$C$3&lt;&gt;1,'Choix pédagogiques'!$C$3&lt;&gt;2)),"",IF(AND(OR('Choix pédagogiques'!$C$3=1,'Choix pédagogiques'!$C$3=2),AND($G443&lt;&gt;"",$H443&lt;&gt;"",$I443&lt;&gt;"")),1,0))</f>
        <v/>
      </c>
      <c r="BO443" s="52" t="str">
        <f aca="false">IF(OR(COUNT(B443:D1442)=0,COUNT(G443:I1442)=0,'Choix pédagogiques'!C$3&lt;&gt;3),"",IF(AND('Choix pédagogiques'!$C$3=3,$B443&lt;&gt;"",$C443&lt;&gt;"",$D443&lt;&gt;"",$G443&lt;&gt;"",$H443&lt;&gt;"",$I443&lt;&gt;""),1,0))</f>
        <v/>
      </c>
      <c r="BR443" s="52" t="n">
        <v>621</v>
      </c>
      <c r="BS443" s="52" t="n">
        <v>1172</v>
      </c>
    </row>
    <row r="444" s="54" customFormat="true" ht="18" hidden="false" customHeight="true" outlineLevel="0" collapsed="false">
      <c r="A444" s="57" t="s">
        <v>819</v>
      </c>
      <c r="B444" s="51"/>
      <c r="C444" s="51"/>
      <c r="D444" s="51"/>
      <c r="E444" s="51"/>
      <c r="F444" s="57" t="s">
        <v>820</v>
      </c>
      <c r="G444" s="51"/>
      <c r="H444" s="51"/>
      <c r="I444" s="51"/>
      <c r="J444" s="51"/>
      <c r="K444" s="52" t="str">
        <f aca="false">IF($A444&lt;&gt;"",$A444,"")</f>
        <v>Apprenant 432</v>
      </c>
      <c r="L444" s="53" t="str">
        <f aca="false">IF(AND($B444&lt;&gt;"",$C444&lt;&gt;""),$C444-$B444,"")</f>
        <v/>
      </c>
      <c r="M444" s="53" t="str">
        <f aca="false">IF(AND($B444&lt;&gt;"",$D444&lt;&gt;""),$D444-$B444,"")</f>
        <v/>
      </c>
      <c r="N444" s="53" t="str">
        <f aca="false">IF(AND($C444&lt;&gt;"",$D444&lt;&gt;""),$D444-$C444,"")</f>
        <v/>
      </c>
      <c r="O444" s="53" t="str">
        <f aca="false">IF($E444&lt;&gt;"",$E444,"")</f>
        <v/>
      </c>
      <c r="P444" s="52" t="str">
        <f aca="false">IF($F444&lt;&gt;"",$F444,"")</f>
        <v>Apprenant 432 ou 432'</v>
      </c>
      <c r="Q444" s="53" t="str">
        <f aca="false">IF(AND($G444&lt;&gt;"",$H444&lt;&gt;""),$H444-$G444,"")</f>
        <v/>
      </c>
      <c r="R444" s="53" t="str">
        <f aca="false">IF(AND($G444&lt;&gt;"",$I444&lt;&gt;""),$I444-$G444,"")</f>
        <v/>
      </c>
      <c r="S444" s="53" t="str">
        <f aca="false">IF(AND($H444&lt;&gt;"",$I444&lt;&gt;""),$I444-$H444,"")</f>
        <v/>
      </c>
      <c r="T444" s="53" t="str">
        <f aca="false">IF($J444&lt;&gt;"",$J444,"")</f>
        <v/>
      </c>
      <c r="V444" s="52" t="str">
        <f aca="false">IF($A444&lt;&gt;"",$A444,"")</f>
        <v>Apprenant 432</v>
      </c>
      <c r="W444" s="53" t="str">
        <f aca="false">IF(AND(OR('Choix pédagogiques'!$C$3=1,'Choix pédagogiques'!$C$3=2),$BM444=1),B444,IF(AND('Choix pédagogiques'!$C$3=3,$BO444=1),B444,""))</f>
        <v/>
      </c>
      <c r="X444" s="53" t="str">
        <f aca="false">IF(AND(OR('Choix pédagogiques'!$C$3=1,'Choix pédagogiques'!$C$3=2),$BM444=1),C444,IF(AND('Choix pédagogiques'!$C$3=3,$BO444=1),C444,""))</f>
        <v/>
      </c>
      <c r="Y444" s="53" t="str">
        <f aca="false">IF(AND(OR('Choix pédagogiques'!$C$3=1,'Choix pédagogiques'!$C$3=2),$BM444=1),D444,IF(AND('Choix pédagogiques'!$C$3=3,$BO444=1),D444,""))</f>
        <v/>
      </c>
      <c r="Z444" s="53" t="str">
        <f aca="false">IF($E444&lt;&gt;"",$E444,"")</f>
        <v/>
      </c>
      <c r="AA444" s="52" t="str">
        <f aca="false">IF($F444&lt;&gt;"",$F444,"")</f>
        <v>Apprenant 432 ou 432'</v>
      </c>
      <c r="AB444" s="53" t="str">
        <f aca="false">IF(AND(OR('Choix pédagogiques'!$C$3=1,'Choix pédagogiques'!$C$3=2),$BN444=1),G444,IF(AND('Choix pédagogiques'!$C$3=3,$BO444=1),G444,""))</f>
        <v/>
      </c>
      <c r="AC444" s="53" t="str">
        <f aca="false">IF(AND(OR('Choix pédagogiques'!$C$3=1,'Choix pédagogiques'!$C$3=2),$BN444=1),H444,IF(AND('Choix pédagogiques'!$C$3=3,$BO444=1),H444,""))</f>
        <v/>
      </c>
      <c r="AD444" s="53" t="str">
        <f aca="false">IF(AND(OR('Choix pédagogiques'!$C$3=1,'Choix pédagogiques'!$C$3=2),$BN444=1),I444,IF(AND('Choix pédagogiques'!$C$3=3,$BO444=1),I444,""))</f>
        <v/>
      </c>
      <c r="AE444" s="53" t="str">
        <f aca="false">IF($J444&lt;&gt;"",$J444,"")</f>
        <v/>
      </c>
      <c r="AF444" s="52" t="str">
        <f aca="false">IF($A444&lt;&gt;"",$A444,"")</f>
        <v>Apprenant 432</v>
      </c>
      <c r="AG444" s="53" t="str">
        <f aca="false">IF(AND($W444&lt;&gt;"",$X444&lt;&gt;""),$X444-$W444,"")</f>
        <v/>
      </c>
      <c r="AH444" s="53" t="str">
        <f aca="false">IF(AND($W444&lt;&gt;"",$Y444&lt;&gt;""),$Y444-$W444,"")</f>
        <v/>
      </c>
      <c r="AI444" s="53" t="str">
        <f aca="false">IF(AND($X444&lt;&gt;"",$Y444&lt;&gt;""),$Y444-$X444,"")</f>
        <v/>
      </c>
      <c r="AJ444" s="53" t="str">
        <f aca="false">IF($E444&lt;&gt;"",$E444,"")</f>
        <v/>
      </c>
      <c r="AK444" s="52" t="str">
        <f aca="false">IF($F444&lt;&gt;"",$F444,"")</f>
        <v>Apprenant 432 ou 432'</v>
      </c>
      <c r="AL444" s="53" t="str">
        <f aca="false">IF(AND($AB444&lt;&gt;"",$AC444&lt;&gt;""),$AC444-$AB444,"")</f>
        <v/>
      </c>
      <c r="AM444" s="53" t="str">
        <f aca="false">IF(AND($AB444&lt;&gt;"",$AD444&lt;&gt;""),$AD444-$AB444,"")</f>
        <v/>
      </c>
      <c r="AN444" s="53" t="str">
        <f aca="false">IF(AND($AC444&lt;&gt;"",$AD444&lt;&gt;""),$AD444-$AC444,"")</f>
        <v/>
      </c>
      <c r="AO444" s="53" t="str">
        <f aca="false">IF($J444&lt;&gt;"",$J444,"")</f>
        <v/>
      </c>
      <c r="AQ444" s="52" t="str">
        <f aca="false">IF($A444&lt;&gt;"",$A444,"")</f>
        <v>Apprenant 432</v>
      </c>
      <c r="AR444" s="55" t="str">
        <f aca="false">IF(AND('Choix pédagogiques'!$C$4&lt;&gt;"?",'Choix pédagogiques'!$C$5&lt;&gt;"?",W444&lt;&gt;""),(W444-'Choix pédagogiques'!$C$4)/('Choix pédagogiques'!$C$5-'Choix pédagogiques'!$C$4),"")</f>
        <v/>
      </c>
      <c r="AS444" s="55" t="str">
        <f aca="false">IF(AND('Choix pédagogiques'!$C$4&lt;&gt;"?",'Choix pédagogiques'!$C$5&lt;&gt;"?",X444&lt;&gt;""),(X444-'Choix pédagogiques'!$C$4)/('Choix pédagogiques'!$C$5-'Choix pédagogiques'!$C$4),"")</f>
        <v/>
      </c>
      <c r="AT444" s="55" t="str">
        <f aca="false">IF(AND('Choix pédagogiques'!$C$4&lt;&gt;"?",'Choix pédagogiques'!$C$5&lt;&gt;"?",Y444&lt;&gt;""),(Y444-'Choix pédagogiques'!$C$4)/('Choix pédagogiques'!$C$5-'Choix pédagogiques'!$C$4),"")</f>
        <v/>
      </c>
      <c r="AU444" s="53" t="str">
        <f aca="false">IF($E444&lt;&gt;"",$E444,"")</f>
        <v/>
      </c>
      <c r="AV444" s="52" t="str">
        <f aca="false">IF($F444&lt;&gt;"",$F444,"")</f>
        <v>Apprenant 432 ou 432'</v>
      </c>
      <c r="AW444" s="55" t="str">
        <f aca="false">IF(AND('Choix pédagogiques'!$C$4&lt;&gt;"?",'Choix pédagogiques'!$C$5&lt;&gt;"?",AB444&lt;&gt;""),(AB444-'Choix pédagogiques'!$C$4)/('Choix pédagogiques'!$C$5-'Choix pédagogiques'!$C$4),"")</f>
        <v/>
      </c>
      <c r="AX444" s="55" t="str">
        <f aca="false">IF(AND('Choix pédagogiques'!$C$4&lt;&gt;"?",'Choix pédagogiques'!$C$5&lt;&gt;"?",AC444&lt;&gt;""),(AC444-'Choix pédagogiques'!$C$4)/('Choix pédagogiques'!$C$5-'Choix pédagogiques'!$C$4),"")</f>
        <v/>
      </c>
      <c r="AY444" s="55" t="str">
        <f aca="false">IF(AND('Choix pédagogiques'!$C$4&lt;&gt;"?",'Choix pédagogiques'!$C$5&lt;&gt;"?",AD444&lt;&gt;""),(AD444-'Choix pédagogiques'!$C$4)/('Choix pédagogiques'!$C$5-'Choix pédagogiques'!$C$4),"")</f>
        <v/>
      </c>
      <c r="AZ444" s="53" t="str">
        <f aca="false">IF($J444&lt;&gt;"",$J444,"")</f>
        <v/>
      </c>
      <c r="BA444" s="52" t="str">
        <f aca="false">IF($A444&lt;&gt;"",$A444,"")</f>
        <v>Apprenant 432</v>
      </c>
      <c r="BB444" s="55" t="str">
        <f aca="false">IF(AND($AR444&lt;&gt;"",$AS444&lt;&gt;""),$AS444-$AR444,"")</f>
        <v/>
      </c>
      <c r="BC444" s="55" t="str">
        <f aca="false">IF(AND($AR444&lt;&gt;"",$AT444&lt;&gt;""),$AT444-$AR444,"")</f>
        <v/>
      </c>
      <c r="BD444" s="55" t="str">
        <f aca="false">IF(AND($AS444&lt;&gt;"",$AT444&lt;&gt;""),$AT444-$AS444,"")</f>
        <v/>
      </c>
      <c r="BE444" s="53" t="str">
        <f aca="false">IF($E444&lt;&gt;"",$E444,"")</f>
        <v/>
      </c>
      <c r="BF444" s="52" t="str">
        <f aca="false">IF($F444&lt;&gt;"",$F444,"")</f>
        <v>Apprenant 432 ou 432'</v>
      </c>
      <c r="BG444" s="55" t="str">
        <f aca="false">IF(AND($AW444&lt;&gt;"",$AX444&lt;&gt;""),$AX444-$AW444,"")</f>
        <v/>
      </c>
      <c r="BH444" s="55" t="str">
        <f aca="false">IF(AND($AW444&lt;&gt;"",$AY444&lt;&gt;""),$AY444-$AW444,"")</f>
        <v/>
      </c>
      <c r="BI444" s="55" t="str">
        <f aca="false">IF(AND($AX444&lt;&gt;"",$AY444&lt;&gt;""),$AY444-$AX444,"")</f>
        <v/>
      </c>
      <c r="BJ444" s="53" t="str">
        <f aca="false">IF($J444&lt;&gt;"",$J444,"")</f>
        <v/>
      </c>
      <c r="BL444" s="52"/>
      <c r="BM444" s="52" t="str">
        <f aca="false">IF(OR(COUNT(B444:D1443)=0,AND('Choix pédagogiques'!$C$3&lt;&gt;1,'Choix pédagogiques'!$C$3&lt;&gt;2)),"",IF(AND(OR('Choix pédagogiques'!$C$3=1,'Choix pédagogiques'!$C$3=2),$B444&lt;&gt;"",$C444&lt;&gt;"",$D444&lt;&gt;""),1,0))</f>
        <v/>
      </c>
      <c r="BN444" s="52" t="str">
        <f aca="false">IF(OR(COUNT(G444:I1443)=0,AND('Choix pédagogiques'!$C$3&lt;&gt;1,'Choix pédagogiques'!$C$3&lt;&gt;2)),"",IF(AND(OR('Choix pédagogiques'!$C$3=1,'Choix pédagogiques'!$C$3=2),AND($G444&lt;&gt;"",$H444&lt;&gt;"",$I444&lt;&gt;"")),1,0))</f>
        <v/>
      </c>
      <c r="BO444" s="52" t="str">
        <f aca="false">IF(OR(COUNT(B444:D1443)=0,COUNT(G444:I1443)=0,'Choix pédagogiques'!C$3&lt;&gt;3),"",IF(AND('Choix pédagogiques'!$C$3=3,$B444&lt;&gt;"",$C444&lt;&gt;"",$D444&lt;&gt;"",$G444&lt;&gt;"",$H444&lt;&gt;"",$I444&lt;&gt;""),1,0))</f>
        <v/>
      </c>
      <c r="BR444" s="52" t="n">
        <v>605</v>
      </c>
      <c r="BS444" s="52" t="n">
        <v>1890</v>
      </c>
    </row>
    <row r="445" s="54" customFormat="true" ht="18" hidden="false" customHeight="true" outlineLevel="0" collapsed="false">
      <c r="A445" s="57" t="s">
        <v>821</v>
      </c>
      <c r="B445" s="51"/>
      <c r="C445" s="51"/>
      <c r="D445" s="51"/>
      <c r="E445" s="51"/>
      <c r="F445" s="57" t="s">
        <v>822</v>
      </c>
      <c r="G445" s="51"/>
      <c r="H445" s="51"/>
      <c r="I445" s="51"/>
      <c r="J445" s="51"/>
      <c r="K445" s="52" t="str">
        <f aca="false">IF($A445&lt;&gt;"",$A445,"")</f>
        <v>Apprenant 433</v>
      </c>
      <c r="L445" s="53" t="str">
        <f aca="false">IF(AND($B445&lt;&gt;"",$C445&lt;&gt;""),$C445-$B445,"")</f>
        <v/>
      </c>
      <c r="M445" s="53" t="str">
        <f aca="false">IF(AND($B445&lt;&gt;"",$D445&lt;&gt;""),$D445-$B445,"")</f>
        <v/>
      </c>
      <c r="N445" s="53" t="str">
        <f aca="false">IF(AND($C445&lt;&gt;"",$D445&lt;&gt;""),$D445-$C445,"")</f>
        <v/>
      </c>
      <c r="O445" s="53" t="str">
        <f aca="false">IF($E445&lt;&gt;"",$E445,"")</f>
        <v/>
      </c>
      <c r="P445" s="52" t="str">
        <f aca="false">IF($F445&lt;&gt;"",$F445,"")</f>
        <v>Apprenant 433 ou 433'</v>
      </c>
      <c r="Q445" s="53" t="str">
        <f aca="false">IF(AND($G445&lt;&gt;"",$H445&lt;&gt;""),$H445-$G445,"")</f>
        <v/>
      </c>
      <c r="R445" s="53" t="str">
        <f aca="false">IF(AND($G445&lt;&gt;"",$I445&lt;&gt;""),$I445-$G445,"")</f>
        <v/>
      </c>
      <c r="S445" s="53" t="str">
        <f aca="false">IF(AND($H445&lt;&gt;"",$I445&lt;&gt;""),$I445-$H445,"")</f>
        <v/>
      </c>
      <c r="T445" s="53" t="str">
        <f aca="false">IF($J445&lt;&gt;"",$J445,"")</f>
        <v/>
      </c>
      <c r="V445" s="52" t="str">
        <f aca="false">IF($A445&lt;&gt;"",$A445,"")</f>
        <v>Apprenant 433</v>
      </c>
      <c r="W445" s="53" t="str">
        <f aca="false">IF(AND(OR('Choix pédagogiques'!$C$3=1,'Choix pédagogiques'!$C$3=2),$BM445=1),B445,IF(AND('Choix pédagogiques'!$C$3=3,$BO445=1),B445,""))</f>
        <v/>
      </c>
      <c r="X445" s="53" t="str">
        <f aca="false">IF(AND(OR('Choix pédagogiques'!$C$3=1,'Choix pédagogiques'!$C$3=2),$BM445=1),C445,IF(AND('Choix pédagogiques'!$C$3=3,$BO445=1),C445,""))</f>
        <v/>
      </c>
      <c r="Y445" s="53" t="str">
        <f aca="false">IF(AND(OR('Choix pédagogiques'!$C$3=1,'Choix pédagogiques'!$C$3=2),$BM445=1),D445,IF(AND('Choix pédagogiques'!$C$3=3,$BO445=1),D445,""))</f>
        <v/>
      </c>
      <c r="Z445" s="53" t="str">
        <f aca="false">IF($E445&lt;&gt;"",$E445,"")</f>
        <v/>
      </c>
      <c r="AA445" s="52" t="str">
        <f aca="false">IF($F445&lt;&gt;"",$F445,"")</f>
        <v>Apprenant 433 ou 433'</v>
      </c>
      <c r="AB445" s="53" t="str">
        <f aca="false">IF(AND(OR('Choix pédagogiques'!$C$3=1,'Choix pédagogiques'!$C$3=2),$BN445=1),G445,IF(AND('Choix pédagogiques'!$C$3=3,$BO445=1),G445,""))</f>
        <v/>
      </c>
      <c r="AC445" s="53" t="str">
        <f aca="false">IF(AND(OR('Choix pédagogiques'!$C$3=1,'Choix pédagogiques'!$C$3=2),$BN445=1),H445,IF(AND('Choix pédagogiques'!$C$3=3,$BO445=1),H445,""))</f>
        <v/>
      </c>
      <c r="AD445" s="53" t="str">
        <f aca="false">IF(AND(OR('Choix pédagogiques'!$C$3=1,'Choix pédagogiques'!$C$3=2),$BN445=1),I445,IF(AND('Choix pédagogiques'!$C$3=3,$BO445=1),I445,""))</f>
        <v/>
      </c>
      <c r="AE445" s="53" t="str">
        <f aca="false">IF($J445&lt;&gt;"",$J445,"")</f>
        <v/>
      </c>
      <c r="AF445" s="52" t="str">
        <f aca="false">IF($A445&lt;&gt;"",$A445,"")</f>
        <v>Apprenant 433</v>
      </c>
      <c r="AG445" s="53" t="str">
        <f aca="false">IF(AND($W445&lt;&gt;"",$X445&lt;&gt;""),$X445-$W445,"")</f>
        <v/>
      </c>
      <c r="AH445" s="53" t="str">
        <f aca="false">IF(AND($W445&lt;&gt;"",$Y445&lt;&gt;""),$Y445-$W445,"")</f>
        <v/>
      </c>
      <c r="AI445" s="53" t="str">
        <f aca="false">IF(AND($X445&lt;&gt;"",$Y445&lt;&gt;""),$Y445-$X445,"")</f>
        <v/>
      </c>
      <c r="AJ445" s="53" t="str">
        <f aca="false">IF($E445&lt;&gt;"",$E445,"")</f>
        <v/>
      </c>
      <c r="AK445" s="52" t="str">
        <f aca="false">IF($F445&lt;&gt;"",$F445,"")</f>
        <v>Apprenant 433 ou 433'</v>
      </c>
      <c r="AL445" s="53" t="str">
        <f aca="false">IF(AND($AB445&lt;&gt;"",$AC445&lt;&gt;""),$AC445-$AB445,"")</f>
        <v/>
      </c>
      <c r="AM445" s="53" t="str">
        <f aca="false">IF(AND($AB445&lt;&gt;"",$AD445&lt;&gt;""),$AD445-$AB445,"")</f>
        <v/>
      </c>
      <c r="AN445" s="53" t="str">
        <f aca="false">IF(AND($AC445&lt;&gt;"",$AD445&lt;&gt;""),$AD445-$AC445,"")</f>
        <v/>
      </c>
      <c r="AO445" s="53" t="str">
        <f aca="false">IF($J445&lt;&gt;"",$J445,"")</f>
        <v/>
      </c>
      <c r="AQ445" s="52" t="str">
        <f aca="false">IF($A445&lt;&gt;"",$A445,"")</f>
        <v>Apprenant 433</v>
      </c>
      <c r="AR445" s="55" t="str">
        <f aca="false">IF(AND('Choix pédagogiques'!$C$4&lt;&gt;"?",'Choix pédagogiques'!$C$5&lt;&gt;"?",W445&lt;&gt;""),(W445-'Choix pédagogiques'!$C$4)/('Choix pédagogiques'!$C$5-'Choix pédagogiques'!$C$4),"")</f>
        <v/>
      </c>
      <c r="AS445" s="55" t="str">
        <f aca="false">IF(AND('Choix pédagogiques'!$C$4&lt;&gt;"?",'Choix pédagogiques'!$C$5&lt;&gt;"?",X445&lt;&gt;""),(X445-'Choix pédagogiques'!$C$4)/('Choix pédagogiques'!$C$5-'Choix pédagogiques'!$C$4),"")</f>
        <v/>
      </c>
      <c r="AT445" s="55" t="str">
        <f aca="false">IF(AND('Choix pédagogiques'!$C$4&lt;&gt;"?",'Choix pédagogiques'!$C$5&lt;&gt;"?",Y445&lt;&gt;""),(Y445-'Choix pédagogiques'!$C$4)/('Choix pédagogiques'!$C$5-'Choix pédagogiques'!$C$4),"")</f>
        <v/>
      </c>
      <c r="AU445" s="53" t="str">
        <f aca="false">IF($E445&lt;&gt;"",$E445,"")</f>
        <v/>
      </c>
      <c r="AV445" s="52" t="str">
        <f aca="false">IF($F445&lt;&gt;"",$F445,"")</f>
        <v>Apprenant 433 ou 433'</v>
      </c>
      <c r="AW445" s="55" t="str">
        <f aca="false">IF(AND('Choix pédagogiques'!$C$4&lt;&gt;"?",'Choix pédagogiques'!$C$5&lt;&gt;"?",AB445&lt;&gt;""),(AB445-'Choix pédagogiques'!$C$4)/('Choix pédagogiques'!$C$5-'Choix pédagogiques'!$C$4),"")</f>
        <v/>
      </c>
      <c r="AX445" s="55" t="str">
        <f aca="false">IF(AND('Choix pédagogiques'!$C$4&lt;&gt;"?",'Choix pédagogiques'!$C$5&lt;&gt;"?",AC445&lt;&gt;""),(AC445-'Choix pédagogiques'!$C$4)/('Choix pédagogiques'!$C$5-'Choix pédagogiques'!$C$4),"")</f>
        <v/>
      </c>
      <c r="AY445" s="55" t="str">
        <f aca="false">IF(AND('Choix pédagogiques'!$C$4&lt;&gt;"?",'Choix pédagogiques'!$C$5&lt;&gt;"?",AD445&lt;&gt;""),(AD445-'Choix pédagogiques'!$C$4)/('Choix pédagogiques'!$C$5-'Choix pédagogiques'!$C$4),"")</f>
        <v/>
      </c>
      <c r="AZ445" s="53" t="str">
        <f aca="false">IF($J445&lt;&gt;"",$J445,"")</f>
        <v/>
      </c>
      <c r="BA445" s="52" t="str">
        <f aca="false">IF($A445&lt;&gt;"",$A445,"")</f>
        <v>Apprenant 433</v>
      </c>
      <c r="BB445" s="55" t="str">
        <f aca="false">IF(AND($AR445&lt;&gt;"",$AS445&lt;&gt;""),$AS445-$AR445,"")</f>
        <v/>
      </c>
      <c r="BC445" s="55" t="str">
        <f aca="false">IF(AND($AR445&lt;&gt;"",$AT445&lt;&gt;""),$AT445-$AR445,"")</f>
        <v/>
      </c>
      <c r="BD445" s="55" t="str">
        <f aca="false">IF(AND($AS445&lt;&gt;"",$AT445&lt;&gt;""),$AT445-$AS445,"")</f>
        <v/>
      </c>
      <c r="BE445" s="53" t="str">
        <f aca="false">IF($E445&lt;&gt;"",$E445,"")</f>
        <v/>
      </c>
      <c r="BF445" s="52" t="str">
        <f aca="false">IF($F445&lt;&gt;"",$F445,"")</f>
        <v>Apprenant 433 ou 433'</v>
      </c>
      <c r="BG445" s="55" t="str">
        <f aca="false">IF(AND($AW445&lt;&gt;"",$AX445&lt;&gt;""),$AX445-$AW445,"")</f>
        <v/>
      </c>
      <c r="BH445" s="55" t="str">
        <f aca="false">IF(AND($AW445&lt;&gt;"",$AY445&lt;&gt;""),$AY445-$AW445,"")</f>
        <v/>
      </c>
      <c r="BI445" s="55" t="str">
        <f aca="false">IF(AND($AX445&lt;&gt;"",$AY445&lt;&gt;""),$AY445-$AX445,"")</f>
        <v/>
      </c>
      <c r="BJ445" s="53" t="str">
        <f aca="false">IF($J445&lt;&gt;"",$J445,"")</f>
        <v/>
      </c>
      <c r="BL445" s="52"/>
      <c r="BM445" s="52" t="str">
        <f aca="false">IF(OR(COUNT(B445:D1444)=0,AND('Choix pédagogiques'!$C$3&lt;&gt;1,'Choix pédagogiques'!$C$3&lt;&gt;2)),"",IF(AND(OR('Choix pédagogiques'!$C$3=1,'Choix pédagogiques'!$C$3=2),$B445&lt;&gt;"",$C445&lt;&gt;"",$D445&lt;&gt;""),1,0))</f>
        <v/>
      </c>
      <c r="BN445" s="52" t="str">
        <f aca="false">IF(OR(COUNT(G445:I1444)=0,AND('Choix pédagogiques'!$C$3&lt;&gt;1,'Choix pédagogiques'!$C$3&lt;&gt;2)),"",IF(AND(OR('Choix pédagogiques'!$C$3=1,'Choix pédagogiques'!$C$3=2),AND($G445&lt;&gt;"",$H445&lt;&gt;"",$I445&lt;&gt;"")),1,0))</f>
        <v/>
      </c>
      <c r="BO445" s="52" t="str">
        <f aca="false">IF(OR(COUNT(B445:D1444)=0,COUNT(G445:I1444)=0,'Choix pédagogiques'!C$3&lt;&gt;3),"",IF(AND('Choix pédagogiques'!$C$3=3,$B445&lt;&gt;"",$C445&lt;&gt;"",$D445&lt;&gt;"",$G445&lt;&gt;"",$H445&lt;&gt;"",$I445&lt;&gt;""),1,0))</f>
        <v/>
      </c>
      <c r="BR445" s="52" t="n">
        <v>220</v>
      </c>
      <c r="BS445" s="52" t="n">
        <v>1329</v>
      </c>
    </row>
    <row r="446" s="54" customFormat="true" ht="18" hidden="false" customHeight="true" outlineLevel="0" collapsed="false">
      <c r="A446" s="57" t="s">
        <v>823</v>
      </c>
      <c r="B446" s="51"/>
      <c r="C446" s="51"/>
      <c r="D446" s="51"/>
      <c r="E446" s="51"/>
      <c r="F446" s="57" t="s">
        <v>824</v>
      </c>
      <c r="G446" s="51"/>
      <c r="H446" s="51"/>
      <c r="I446" s="51"/>
      <c r="J446" s="51"/>
      <c r="K446" s="52" t="str">
        <f aca="false">IF($A446&lt;&gt;"",$A446,"")</f>
        <v>Apprenant 434</v>
      </c>
      <c r="L446" s="53" t="str">
        <f aca="false">IF(AND($B446&lt;&gt;"",$C446&lt;&gt;""),$C446-$B446,"")</f>
        <v/>
      </c>
      <c r="M446" s="53" t="str">
        <f aca="false">IF(AND($B446&lt;&gt;"",$D446&lt;&gt;""),$D446-$B446,"")</f>
        <v/>
      </c>
      <c r="N446" s="53" t="str">
        <f aca="false">IF(AND($C446&lt;&gt;"",$D446&lt;&gt;""),$D446-$C446,"")</f>
        <v/>
      </c>
      <c r="O446" s="53" t="str">
        <f aca="false">IF($E446&lt;&gt;"",$E446,"")</f>
        <v/>
      </c>
      <c r="P446" s="52" t="str">
        <f aca="false">IF($F446&lt;&gt;"",$F446,"")</f>
        <v>Apprenant 434 ou 434'</v>
      </c>
      <c r="Q446" s="53" t="str">
        <f aca="false">IF(AND($G446&lt;&gt;"",$H446&lt;&gt;""),$H446-$G446,"")</f>
        <v/>
      </c>
      <c r="R446" s="53" t="str">
        <f aca="false">IF(AND($G446&lt;&gt;"",$I446&lt;&gt;""),$I446-$G446,"")</f>
        <v/>
      </c>
      <c r="S446" s="53" t="str">
        <f aca="false">IF(AND($H446&lt;&gt;"",$I446&lt;&gt;""),$I446-$H446,"")</f>
        <v/>
      </c>
      <c r="T446" s="53" t="str">
        <f aca="false">IF($J446&lt;&gt;"",$J446,"")</f>
        <v/>
      </c>
      <c r="V446" s="52" t="str">
        <f aca="false">IF($A446&lt;&gt;"",$A446,"")</f>
        <v>Apprenant 434</v>
      </c>
      <c r="W446" s="53" t="str">
        <f aca="false">IF(AND(OR('Choix pédagogiques'!$C$3=1,'Choix pédagogiques'!$C$3=2),$BM446=1),B446,IF(AND('Choix pédagogiques'!$C$3=3,$BO446=1),B446,""))</f>
        <v/>
      </c>
      <c r="X446" s="53" t="str">
        <f aca="false">IF(AND(OR('Choix pédagogiques'!$C$3=1,'Choix pédagogiques'!$C$3=2),$BM446=1),C446,IF(AND('Choix pédagogiques'!$C$3=3,$BO446=1),C446,""))</f>
        <v/>
      </c>
      <c r="Y446" s="53" t="str">
        <f aca="false">IF(AND(OR('Choix pédagogiques'!$C$3=1,'Choix pédagogiques'!$C$3=2),$BM446=1),D446,IF(AND('Choix pédagogiques'!$C$3=3,$BO446=1),D446,""))</f>
        <v/>
      </c>
      <c r="Z446" s="53" t="str">
        <f aca="false">IF($E446&lt;&gt;"",$E446,"")</f>
        <v/>
      </c>
      <c r="AA446" s="52" t="str">
        <f aca="false">IF($F446&lt;&gt;"",$F446,"")</f>
        <v>Apprenant 434 ou 434'</v>
      </c>
      <c r="AB446" s="53" t="str">
        <f aca="false">IF(AND(OR('Choix pédagogiques'!$C$3=1,'Choix pédagogiques'!$C$3=2),$BN446=1),G446,IF(AND('Choix pédagogiques'!$C$3=3,$BO446=1),G446,""))</f>
        <v/>
      </c>
      <c r="AC446" s="53" t="str">
        <f aca="false">IF(AND(OR('Choix pédagogiques'!$C$3=1,'Choix pédagogiques'!$C$3=2),$BN446=1),H446,IF(AND('Choix pédagogiques'!$C$3=3,$BO446=1),H446,""))</f>
        <v/>
      </c>
      <c r="AD446" s="53" t="str">
        <f aca="false">IF(AND(OR('Choix pédagogiques'!$C$3=1,'Choix pédagogiques'!$C$3=2),$BN446=1),I446,IF(AND('Choix pédagogiques'!$C$3=3,$BO446=1),I446,""))</f>
        <v/>
      </c>
      <c r="AE446" s="53" t="str">
        <f aca="false">IF($J446&lt;&gt;"",$J446,"")</f>
        <v/>
      </c>
      <c r="AF446" s="52" t="str">
        <f aca="false">IF($A446&lt;&gt;"",$A446,"")</f>
        <v>Apprenant 434</v>
      </c>
      <c r="AG446" s="53" t="str">
        <f aca="false">IF(AND($W446&lt;&gt;"",$X446&lt;&gt;""),$X446-$W446,"")</f>
        <v/>
      </c>
      <c r="AH446" s="53" t="str">
        <f aca="false">IF(AND($W446&lt;&gt;"",$Y446&lt;&gt;""),$Y446-$W446,"")</f>
        <v/>
      </c>
      <c r="AI446" s="53" t="str">
        <f aca="false">IF(AND($X446&lt;&gt;"",$Y446&lt;&gt;""),$Y446-$X446,"")</f>
        <v/>
      </c>
      <c r="AJ446" s="53" t="str">
        <f aca="false">IF($E446&lt;&gt;"",$E446,"")</f>
        <v/>
      </c>
      <c r="AK446" s="52" t="str">
        <f aca="false">IF($F446&lt;&gt;"",$F446,"")</f>
        <v>Apprenant 434 ou 434'</v>
      </c>
      <c r="AL446" s="53" t="str">
        <f aca="false">IF(AND($AB446&lt;&gt;"",$AC446&lt;&gt;""),$AC446-$AB446,"")</f>
        <v/>
      </c>
      <c r="AM446" s="53" t="str">
        <f aca="false">IF(AND($AB446&lt;&gt;"",$AD446&lt;&gt;""),$AD446-$AB446,"")</f>
        <v/>
      </c>
      <c r="AN446" s="53" t="str">
        <f aca="false">IF(AND($AC446&lt;&gt;"",$AD446&lt;&gt;""),$AD446-$AC446,"")</f>
        <v/>
      </c>
      <c r="AO446" s="53" t="str">
        <f aca="false">IF($J446&lt;&gt;"",$J446,"")</f>
        <v/>
      </c>
      <c r="AQ446" s="52" t="str">
        <f aca="false">IF($A446&lt;&gt;"",$A446,"")</f>
        <v>Apprenant 434</v>
      </c>
      <c r="AR446" s="55" t="str">
        <f aca="false">IF(AND('Choix pédagogiques'!$C$4&lt;&gt;"?",'Choix pédagogiques'!$C$5&lt;&gt;"?",W446&lt;&gt;""),(W446-'Choix pédagogiques'!$C$4)/('Choix pédagogiques'!$C$5-'Choix pédagogiques'!$C$4),"")</f>
        <v/>
      </c>
      <c r="AS446" s="55" t="str">
        <f aca="false">IF(AND('Choix pédagogiques'!$C$4&lt;&gt;"?",'Choix pédagogiques'!$C$5&lt;&gt;"?",X446&lt;&gt;""),(X446-'Choix pédagogiques'!$C$4)/('Choix pédagogiques'!$C$5-'Choix pédagogiques'!$C$4),"")</f>
        <v/>
      </c>
      <c r="AT446" s="55" t="str">
        <f aca="false">IF(AND('Choix pédagogiques'!$C$4&lt;&gt;"?",'Choix pédagogiques'!$C$5&lt;&gt;"?",Y446&lt;&gt;""),(Y446-'Choix pédagogiques'!$C$4)/('Choix pédagogiques'!$C$5-'Choix pédagogiques'!$C$4),"")</f>
        <v/>
      </c>
      <c r="AU446" s="53" t="str">
        <f aca="false">IF($E446&lt;&gt;"",$E446,"")</f>
        <v/>
      </c>
      <c r="AV446" s="52" t="str">
        <f aca="false">IF($F446&lt;&gt;"",$F446,"")</f>
        <v>Apprenant 434 ou 434'</v>
      </c>
      <c r="AW446" s="55" t="str">
        <f aca="false">IF(AND('Choix pédagogiques'!$C$4&lt;&gt;"?",'Choix pédagogiques'!$C$5&lt;&gt;"?",AB446&lt;&gt;""),(AB446-'Choix pédagogiques'!$C$4)/('Choix pédagogiques'!$C$5-'Choix pédagogiques'!$C$4),"")</f>
        <v/>
      </c>
      <c r="AX446" s="55" t="str">
        <f aca="false">IF(AND('Choix pédagogiques'!$C$4&lt;&gt;"?",'Choix pédagogiques'!$C$5&lt;&gt;"?",AC446&lt;&gt;""),(AC446-'Choix pédagogiques'!$C$4)/('Choix pédagogiques'!$C$5-'Choix pédagogiques'!$C$4),"")</f>
        <v/>
      </c>
      <c r="AY446" s="55" t="str">
        <f aca="false">IF(AND('Choix pédagogiques'!$C$4&lt;&gt;"?",'Choix pédagogiques'!$C$5&lt;&gt;"?",AD446&lt;&gt;""),(AD446-'Choix pédagogiques'!$C$4)/('Choix pédagogiques'!$C$5-'Choix pédagogiques'!$C$4),"")</f>
        <v/>
      </c>
      <c r="AZ446" s="53" t="str">
        <f aca="false">IF($J446&lt;&gt;"",$J446,"")</f>
        <v/>
      </c>
      <c r="BA446" s="52" t="str">
        <f aca="false">IF($A446&lt;&gt;"",$A446,"")</f>
        <v>Apprenant 434</v>
      </c>
      <c r="BB446" s="55" t="str">
        <f aca="false">IF(AND($AR446&lt;&gt;"",$AS446&lt;&gt;""),$AS446-$AR446,"")</f>
        <v/>
      </c>
      <c r="BC446" s="55" t="str">
        <f aca="false">IF(AND($AR446&lt;&gt;"",$AT446&lt;&gt;""),$AT446-$AR446,"")</f>
        <v/>
      </c>
      <c r="BD446" s="55" t="str">
        <f aca="false">IF(AND($AS446&lt;&gt;"",$AT446&lt;&gt;""),$AT446-$AS446,"")</f>
        <v/>
      </c>
      <c r="BE446" s="53" t="str">
        <f aca="false">IF($E446&lt;&gt;"",$E446,"")</f>
        <v/>
      </c>
      <c r="BF446" s="52" t="str">
        <f aca="false">IF($F446&lt;&gt;"",$F446,"")</f>
        <v>Apprenant 434 ou 434'</v>
      </c>
      <c r="BG446" s="55" t="str">
        <f aca="false">IF(AND($AW446&lt;&gt;"",$AX446&lt;&gt;""),$AX446-$AW446,"")</f>
        <v/>
      </c>
      <c r="BH446" s="55" t="str">
        <f aca="false">IF(AND($AW446&lt;&gt;"",$AY446&lt;&gt;""),$AY446-$AW446,"")</f>
        <v/>
      </c>
      <c r="BI446" s="55" t="str">
        <f aca="false">IF(AND($AX446&lt;&gt;"",$AY446&lt;&gt;""),$AY446-$AX446,"")</f>
        <v/>
      </c>
      <c r="BJ446" s="53" t="str">
        <f aca="false">IF($J446&lt;&gt;"",$J446,"")</f>
        <v/>
      </c>
      <c r="BL446" s="52"/>
      <c r="BM446" s="52" t="str">
        <f aca="false">IF(OR(COUNT(B446:D1445)=0,AND('Choix pédagogiques'!$C$3&lt;&gt;1,'Choix pédagogiques'!$C$3&lt;&gt;2)),"",IF(AND(OR('Choix pédagogiques'!$C$3=1,'Choix pédagogiques'!$C$3=2),$B446&lt;&gt;"",$C446&lt;&gt;"",$D446&lt;&gt;""),1,0))</f>
        <v/>
      </c>
      <c r="BN446" s="52" t="str">
        <f aca="false">IF(OR(COUNT(G446:I1445)=0,AND('Choix pédagogiques'!$C$3&lt;&gt;1,'Choix pédagogiques'!$C$3&lt;&gt;2)),"",IF(AND(OR('Choix pédagogiques'!$C$3=1,'Choix pédagogiques'!$C$3=2),AND($G446&lt;&gt;"",$H446&lt;&gt;"",$I446&lt;&gt;"")),1,0))</f>
        <v/>
      </c>
      <c r="BO446" s="52" t="str">
        <f aca="false">IF(OR(COUNT(B446:D1445)=0,COUNT(G446:I1445)=0,'Choix pédagogiques'!C$3&lt;&gt;3),"",IF(AND('Choix pédagogiques'!$C$3=3,$B446&lt;&gt;"",$C446&lt;&gt;"",$D446&lt;&gt;"",$G446&lt;&gt;"",$H446&lt;&gt;"",$I446&lt;&gt;""),1,0))</f>
        <v/>
      </c>
      <c r="BR446" s="52" t="n">
        <v>742</v>
      </c>
      <c r="BS446" s="52" t="n">
        <v>1794</v>
      </c>
    </row>
    <row r="447" s="54" customFormat="true" ht="18" hidden="false" customHeight="true" outlineLevel="0" collapsed="false">
      <c r="A447" s="57" t="s">
        <v>825</v>
      </c>
      <c r="B447" s="51"/>
      <c r="C447" s="51"/>
      <c r="D447" s="51"/>
      <c r="E447" s="51"/>
      <c r="F447" s="57" t="s">
        <v>826</v>
      </c>
      <c r="G447" s="51"/>
      <c r="H447" s="51"/>
      <c r="I447" s="51"/>
      <c r="J447" s="51"/>
      <c r="K447" s="52" t="str">
        <f aca="false">IF($A447&lt;&gt;"",$A447,"")</f>
        <v>Apprenant 435</v>
      </c>
      <c r="L447" s="53" t="str">
        <f aca="false">IF(AND($B447&lt;&gt;"",$C447&lt;&gt;""),$C447-$B447,"")</f>
        <v/>
      </c>
      <c r="M447" s="53" t="str">
        <f aca="false">IF(AND($B447&lt;&gt;"",$D447&lt;&gt;""),$D447-$B447,"")</f>
        <v/>
      </c>
      <c r="N447" s="53" t="str">
        <f aca="false">IF(AND($C447&lt;&gt;"",$D447&lt;&gt;""),$D447-$C447,"")</f>
        <v/>
      </c>
      <c r="O447" s="53" t="str">
        <f aca="false">IF($E447&lt;&gt;"",$E447,"")</f>
        <v/>
      </c>
      <c r="P447" s="52" t="str">
        <f aca="false">IF($F447&lt;&gt;"",$F447,"")</f>
        <v>Apprenant 435 ou 435'</v>
      </c>
      <c r="Q447" s="53" t="str">
        <f aca="false">IF(AND($G447&lt;&gt;"",$H447&lt;&gt;""),$H447-$G447,"")</f>
        <v/>
      </c>
      <c r="R447" s="53" t="str">
        <f aca="false">IF(AND($G447&lt;&gt;"",$I447&lt;&gt;""),$I447-$G447,"")</f>
        <v/>
      </c>
      <c r="S447" s="53" t="str">
        <f aca="false">IF(AND($H447&lt;&gt;"",$I447&lt;&gt;""),$I447-$H447,"")</f>
        <v/>
      </c>
      <c r="T447" s="53" t="str">
        <f aca="false">IF($J447&lt;&gt;"",$J447,"")</f>
        <v/>
      </c>
      <c r="V447" s="52" t="str">
        <f aca="false">IF($A447&lt;&gt;"",$A447,"")</f>
        <v>Apprenant 435</v>
      </c>
      <c r="W447" s="53" t="str">
        <f aca="false">IF(AND(OR('Choix pédagogiques'!$C$3=1,'Choix pédagogiques'!$C$3=2),$BM447=1),B447,IF(AND('Choix pédagogiques'!$C$3=3,$BO447=1),B447,""))</f>
        <v/>
      </c>
      <c r="X447" s="53" t="str">
        <f aca="false">IF(AND(OR('Choix pédagogiques'!$C$3=1,'Choix pédagogiques'!$C$3=2),$BM447=1),C447,IF(AND('Choix pédagogiques'!$C$3=3,$BO447=1),C447,""))</f>
        <v/>
      </c>
      <c r="Y447" s="53" t="str">
        <f aca="false">IF(AND(OR('Choix pédagogiques'!$C$3=1,'Choix pédagogiques'!$C$3=2),$BM447=1),D447,IF(AND('Choix pédagogiques'!$C$3=3,$BO447=1),D447,""))</f>
        <v/>
      </c>
      <c r="Z447" s="53" t="str">
        <f aca="false">IF($E447&lt;&gt;"",$E447,"")</f>
        <v/>
      </c>
      <c r="AA447" s="52" t="str">
        <f aca="false">IF($F447&lt;&gt;"",$F447,"")</f>
        <v>Apprenant 435 ou 435'</v>
      </c>
      <c r="AB447" s="53" t="str">
        <f aca="false">IF(AND(OR('Choix pédagogiques'!$C$3=1,'Choix pédagogiques'!$C$3=2),$BN447=1),G447,IF(AND('Choix pédagogiques'!$C$3=3,$BO447=1),G447,""))</f>
        <v/>
      </c>
      <c r="AC447" s="53" t="str">
        <f aca="false">IF(AND(OR('Choix pédagogiques'!$C$3=1,'Choix pédagogiques'!$C$3=2),$BN447=1),H447,IF(AND('Choix pédagogiques'!$C$3=3,$BO447=1),H447,""))</f>
        <v/>
      </c>
      <c r="AD447" s="53" t="str">
        <f aca="false">IF(AND(OR('Choix pédagogiques'!$C$3=1,'Choix pédagogiques'!$C$3=2),$BN447=1),I447,IF(AND('Choix pédagogiques'!$C$3=3,$BO447=1),I447,""))</f>
        <v/>
      </c>
      <c r="AE447" s="53" t="str">
        <f aca="false">IF($J447&lt;&gt;"",$J447,"")</f>
        <v/>
      </c>
      <c r="AF447" s="52" t="str">
        <f aca="false">IF($A447&lt;&gt;"",$A447,"")</f>
        <v>Apprenant 435</v>
      </c>
      <c r="AG447" s="53" t="str">
        <f aca="false">IF(AND($W447&lt;&gt;"",$X447&lt;&gt;""),$X447-$W447,"")</f>
        <v/>
      </c>
      <c r="AH447" s="53" t="str">
        <f aca="false">IF(AND($W447&lt;&gt;"",$Y447&lt;&gt;""),$Y447-$W447,"")</f>
        <v/>
      </c>
      <c r="AI447" s="53" t="str">
        <f aca="false">IF(AND($X447&lt;&gt;"",$Y447&lt;&gt;""),$Y447-$X447,"")</f>
        <v/>
      </c>
      <c r="AJ447" s="53" t="str">
        <f aca="false">IF($E447&lt;&gt;"",$E447,"")</f>
        <v/>
      </c>
      <c r="AK447" s="52" t="str">
        <f aca="false">IF($F447&lt;&gt;"",$F447,"")</f>
        <v>Apprenant 435 ou 435'</v>
      </c>
      <c r="AL447" s="53" t="str">
        <f aca="false">IF(AND($AB447&lt;&gt;"",$AC447&lt;&gt;""),$AC447-$AB447,"")</f>
        <v/>
      </c>
      <c r="AM447" s="53" t="str">
        <f aca="false">IF(AND($AB447&lt;&gt;"",$AD447&lt;&gt;""),$AD447-$AB447,"")</f>
        <v/>
      </c>
      <c r="AN447" s="53" t="str">
        <f aca="false">IF(AND($AC447&lt;&gt;"",$AD447&lt;&gt;""),$AD447-$AC447,"")</f>
        <v/>
      </c>
      <c r="AO447" s="53" t="str">
        <f aca="false">IF($J447&lt;&gt;"",$J447,"")</f>
        <v/>
      </c>
      <c r="AQ447" s="52" t="str">
        <f aca="false">IF($A447&lt;&gt;"",$A447,"")</f>
        <v>Apprenant 435</v>
      </c>
      <c r="AR447" s="55" t="str">
        <f aca="false">IF(AND('Choix pédagogiques'!$C$4&lt;&gt;"?",'Choix pédagogiques'!$C$5&lt;&gt;"?",W447&lt;&gt;""),(W447-'Choix pédagogiques'!$C$4)/('Choix pédagogiques'!$C$5-'Choix pédagogiques'!$C$4),"")</f>
        <v/>
      </c>
      <c r="AS447" s="55" t="str">
        <f aca="false">IF(AND('Choix pédagogiques'!$C$4&lt;&gt;"?",'Choix pédagogiques'!$C$5&lt;&gt;"?",X447&lt;&gt;""),(X447-'Choix pédagogiques'!$C$4)/('Choix pédagogiques'!$C$5-'Choix pédagogiques'!$C$4),"")</f>
        <v/>
      </c>
      <c r="AT447" s="55" t="str">
        <f aca="false">IF(AND('Choix pédagogiques'!$C$4&lt;&gt;"?",'Choix pédagogiques'!$C$5&lt;&gt;"?",Y447&lt;&gt;""),(Y447-'Choix pédagogiques'!$C$4)/('Choix pédagogiques'!$C$5-'Choix pédagogiques'!$C$4),"")</f>
        <v/>
      </c>
      <c r="AU447" s="53" t="str">
        <f aca="false">IF($E447&lt;&gt;"",$E447,"")</f>
        <v/>
      </c>
      <c r="AV447" s="52" t="str">
        <f aca="false">IF($F447&lt;&gt;"",$F447,"")</f>
        <v>Apprenant 435 ou 435'</v>
      </c>
      <c r="AW447" s="55" t="str">
        <f aca="false">IF(AND('Choix pédagogiques'!$C$4&lt;&gt;"?",'Choix pédagogiques'!$C$5&lt;&gt;"?",AB447&lt;&gt;""),(AB447-'Choix pédagogiques'!$C$4)/('Choix pédagogiques'!$C$5-'Choix pédagogiques'!$C$4),"")</f>
        <v/>
      </c>
      <c r="AX447" s="55" t="str">
        <f aca="false">IF(AND('Choix pédagogiques'!$C$4&lt;&gt;"?",'Choix pédagogiques'!$C$5&lt;&gt;"?",AC447&lt;&gt;""),(AC447-'Choix pédagogiques'!$C$4)/('Choix pédagogiques'!$C$5-'Choix pédagogiques'!$C$4),"")</f>
        <v/>
      </c>
      <c r="AY447" s="55" t="str">
        <f aca="false">IF(AND('Choix pédagogiques'!$C$4&lt;&gt;"?",'Choix pédagogiques'!$C$5&lt;&gt;"?",AD447&lt;&gt;""),(AD447-'Choix pédagogiques'!$C$4)/('Choix pédagogiques'!$C$5-'Choix pédagogiques'!$C$4),"")</f>
        <v/>
      </c>
      <c r="AZ447" s="53" t="str">
        <f aca="false">IF($J447&lt;&gt;"",$J447,"")</f>
        <v/>
      </c>
      <c r="BA447" s="52" t="str">
        <f aca="false">IF($A447&lt;&gt;"",$A447,"")</f>
        <v>Apprenant 435</v>
      </c>
      <c r="BB447" s="55" t="str">
        <f aca="false">IF(AND($AR447&lt;&gt;"",$AS447&lt;&gt;""),$AS447-$AR447,"")</f>
        <v/>
      </c>
      <c r="BC447" s="55" t="str">
        <f aca="false">IF(AND($AR447&lt;&gt;"",$AT447&lt;&gt;""),$AT447-$AR447,"")</f>
        <v/>
      </c>
      <c r="BD447" s="55" t="str">
        <f aca="false">IF(AND($AS447&lt;&gt;"",$AT447&lt;&gt;""),$AT447-$AS447,"")</f>
        <v/>
      </c>
      <c r="BE447" s="53" t="str">
        <f aca="false">IF($E447&lt;&gt;"",$E447,"")</f>
        <v/>
      </c>
      <c r="BF447" s="52" t="str">
        <f aca="false">IF($F447&lt;&gt;"",$F447,"")</f>
        <v>Apprenant 435 ou 435'</v>
      </c>
      <c r="BG447" s="55" t="str">
        <f aca="false">IF(AND($AW447&lt;&gt;"",$AX447&lt;&gt;""),$AX447-$AW447,"")</f>
        <v/>
      </c>
      <c r="BH447" s="55" t="str">
        <f aca="false">IF(AND($AW447&lt;&gt;"",$AY447&lt;&gt;""),$AY447-$AW447,"")</f>
        <v/>
      </c>
      <c r="BI447" s="55" t="str">
        <f aca="false">IF(AND($AX447&lt;&gt;"",$AY447&lt;&gt;""),$AY447-$AX447,"")</f>
        <v/>
      </c>
      <c r="BJ447" s="53" t="str">
        <f aca="false">IF($J447&lt;&gt;"",$J447,"")</f>
        <v/>
      </c>
      <c r="BL447" s="52"/>
      <c r="BM447" s="52" t="str">
        <f aca="false">IF(OR(COUNT(B447:D1446)=0,AND('Choix pédagogiques'!$C$3&lt;&gt;1,'Choix pédagogiques'!$C$3&lt;&gt;2)),"",IF(AND(OR('Choix pédagogiques'!$C$3=1,'Choix pédagogiques'!$C$3=2),$B447&lt;&gt;"",$C447&lt;&gt;"",$D447&lt;&gt;""),1,0))</f>
        <v/>
      </c>
      <c r="BN447" s="52" t="str">
        <f aca="false">IF(OR(COUNT(G447:I1446)=0,AND('Choix pédagogiques'!$C$3&lt;&gt;1,'Choix pédagogiques'!$C$3&lt;&gt;2)),"",IF(AND(OR('Choix pédagogiques'!$C$3=1,'Choix pédagogiques'!$C$3=2),AND($G447&lt;&gt;"",$H447&lt;&gt;"",$I447&lt;&gt;"")),1,0))</f>
        <v/>
      </c>
      <c r="BO447" s="52" t="str">
        <f aca="false">IF(OR(COUNT(B447:D1446)=0,COUNT(G447:I1446)=0,'Choix pédagogiques'!C$3&lt;&gt;3),"",IF(AND('Choix pédagogiques'!$C$3=3,$B447&lt;&gt;"",$C447&lt;&gt;"",$D447&lt;&gt;"",$G447&lt;&gt;"",$H447&lt;&gt;"",$I447&lt;&gt;""),1,0))</f>
        <v/>
      </c>
      <c r="BR447" s="52" t="n">
        <v>528</v>
      </c>
      <c r="BS447" s="52" t="n">
        <v>1428</v>
      </c>
    </row>
    <row r="448" s="54" customFormat="true" ht="18" hidden="false" customHeight="true" outlineLevel="0" collapsed="false">
      <c r="A448" s="57" t="s">
        <v>827</v>
      </c>
      <c r="B448" s="51"/>
      <c r="C448" s="51"/>
      <c r="D448" s="51"/>
      <c r="E448" s="51"/>
      <c r="F448" s="57" t="s">
        <v>828</v>
      </c>
      <c r="G448" s="51"/>
      <c r="H448" s="51"/>
      <c r="I448" s="51"/>
      <c r="J448" s="51"/>
      <c r="K448" s="52" t="str">
        <f aca="false">IF($A448&lt;&gt;"",$A448,"")</f>
        <v>Apprenant 436</v>
      </c>
      <c r="L448" s="53" t="str">
        <f aca="false">IF(AND($B448&lt;&gt;"",$C448&lt;&gt;""),$C448-$B448,"")</f>
        <v/>
      </c>
      <c r="M448" s="53" t="str">
        <f aca="false">IF(AND($B448&lt;&gt;"",$D448&lt;&gt;""),$D448-$B448,"")</f>
        <v/>
      </c>
      <c r="N448" s="53" t="str">
        <f aca="false">IF(AND($C448&lt;&gt;"",$D448&lt;&gt;""),$D448-$C448,"")</f>
        <v/>
      </c>
      <c r="O448" s="53" t="str">
        <f aca="false">IF($E448&lt;&gt;"",$E448,"")</f>
        <v/>
      </c>
      <c r="P448" s="52" t="str">
        <f aca="false">IF($F448&lt;&gt;"",$F448,"")</f>
        <v>Apprenant 436 ou 436'</v>
      </c>
      <c r="Q448" s="53" t="str">
        <f aca="false">IF(AND($G448&lt;&gt;"",$H448&lt;&gt;""),$H448-$G448,"")</f>
        <v/>
      </c>
      <c r="R448" s="53" t="str">
        <f aca="false">IF(AND($G448&lt;&gt;"",$I448&lt;&gt;""),$I448-$G448,"")</f>
        <v/>
      </c>
      <c r="S448" s="53" t="str">
        <f aca="false">IF(AND($H448&lt;&gt;"",$I448&lt;&gt;""),$I448-$H448,"")</f>
        <v/>
      </c>
      <c r="T448" s="53" t="str">
        <f aca="false">IF($J448&lt;&gt;"",$J448,"")</f>
        <v/>
      </c>
      <c r="V448" s="52" t="str">
        <f aca="false">IF($A448&lt;&gt;"",$A448,"")</f>
        <v>Apprenant 436</v>
      </c>
      <c r="W448" s="53" t="str">
        <f aca="false">IF(AND(OR('Choix pédagogiques'!$C$3=1,'Choix pédagogiques'!$C$3=2),$BM448=1),B448,IF(AND('Choix pédagogiques'!$C$3=3,$BO448=1),B448,""))</f>
        <v/>
      </c>
      <c r="X448" s="53" t="str">
        <f aca="false">IF(AND(OR('Choix pédagogiques'!$C$3=1,'Choix pédagogiques'!$C$3=2),$BM448=1),C448,IF(AND('Choix pédagogiques'!$C$3=3,$BO448=1),C448,""))</f>
        <v/>
      </c>
      <c r="Y448" s="53" t="str">
        <f aca="false">IF(AND(OR('Choix pédagogiques'!$C$3=1,'Choix pédagogiques'!$C$3=2),$BM448=1),D448,IF(AND('Choix pédagogiques'!$C$3=3,$BO448=1),D448,""))</f>
        <v/>
      </c>
      <c r="Z448" s="53" t="str">
        <f aca="false">IF($E448&lt;&gt;"",$E448,"")</f>
        <v/>
      </c>
      <c r="AA448" s="52" t="str">
        <f aca="false">IF($F448&lt;&gt;"",$F448,"")</f>
        <v>Apprenant 436 ou 436'</v>
      </c>
      <c r="AB448" s="53" t="str">
        <f aca="false">IF(AND(OR('Choix pédagogiques'!$C$3=1,'Choix pédagogiques'!$C$3=2),$BN448=1),G448,IF(AND('Choix pédagogiques'!$C$3=3,$BO448=1),G448,""))</f>
        <v/>
      </c>
      <c r="AC448" s="53" t="str">
        <f aca="false">IF(AND(OR('Choix pédagogiques'!$C$3=1,'Choix pédagogiques'!$C$3=2),$BN448=1),H448,IF(AND('Choix pédagogiques'!$C$3=3,$BO448=1),H448,""))</f>
        <v/>
      </c>
      <c r="AD448" s="53" t="str">
        <f aca="false">IF(AND(OR('Choix pédagogiques'!$C$3=1,'Choix pédagogiques'!$C$3=2),$BN448=1),I448,IF(AND('Choix pédagogiques'!$C$3=3,$BO448=1),I448,""))</f>
        <v/>
      </c>
      <c r="AE448" s="53" t="str">
        <f aca="false">IF($J448&lt;&gt;"",$J448,"")</f>
        <v/>
      </c>
      <c r="AF448" s="52" t="str">
        <f aca="false">IF($A448&lt;&gt;"",$A448,"")</f>
        <v>Apprenant 436</v>
      </c>
      <c r="AG448" s="53" t="str">
        <f aca="false">IF(AND($W448&lt;&gt;"",$X448&lt;&gt;""),$X448-$W448,"")</f>
        <v/>
      </c>
      <c r="AH448" s="53" t="str">
        <f aca="false">IF(AND($W448&lt;&gt;"",$Y448&lt;&gt;""),$Y448-$W448,"")</f>
        <v/>
      </c>
      <c r="AI448" s="53" t="str">
        <f aca="false">IF(AND($X448&lt;&gt;"",$Y448&lt;&gt;""),$Y448-$X448,"")</f>
        <v/>
      </c>
      <c r="AJ448" s="53" t="str">
        <f aca="false">IF($E448&lt;&gt;"",$E448,"")</f>
        <v/>
      </c>
      <c r="AK448" s="52" t="str">
        <f aca="false">IF($F448&lt;&gt;"",$F448,"")</f>
        <v>Apprenant 436 ou 436'</v>
      </c>
      <c r="AL448" s="53" t="str">
        <f aca="false">IF(AND($AB448&lt;&gt;"",$AC448&lt;&gt;""),$AC448-$AB448,"")</f>
        <v/>
      </c>
      <c r="AM448" s="53" t="str">
        <f aca="false">IF(AND($AB448&lt;&gt;"",$AD448&lt;&gt;""),$AD448-$AB448,"")</f>
        <v/>
      </c>
      <c r="AN448" s="53" t="str">
        <f aca="false">IF(AND($AC448&lt;&gt;"",$AD448&lt;&gt;""),$AD448-$AC448,"")</f>
        <v/>
      </c>
      <c r="AO448" s="53" t="str">
        <f aca="false">IF($J448&lt;&gt;"",$J448,"")</f>
        <v/>
      </c>
      <c r="AQ448" s="52" t="str">
        <f aca="false">IF($A448&lt;&gt;"",$A448,"")</f>
        <v>Apprenant 436</v>
      </c>
      <c r="AR448" s="55" t="str">
        <f aca="false">IF(AND('Choix pédagogiques'!$C$4&lt;&gt;"?",'Choix pédagogiques'!$C$5&lt;&gt;"?",W448&lt;&gt;""),(W448-'Choix pédagogiques'!$C$4)/('Choix pédagogiques'!$C$5-'Choix pédagogiques'!$C$4),"")</f>
        <v/>
      </c>
      <c r="AS448" s="55" t="str">
        <f aca="false">IF(AND('Choix pédagogiques'!$C$4&lt;&gt;"?",'Choix pédagogiques'!$C$5&lt;&gt;"?",X448&lt;&gt;""),(X448-'Choix pédagogiques'!$C$4)/('Choix pédagogiques'!$C$5-'Choix pédagogiques'!$C$4),"")</f>
        <v/>
      </c>
      <c r="AT448" s="55" t="str">
        <f aca="false">IF(AND('Choix pédagogiques'!$C$4&lt;&gt;"?",'Choix pédagogiques'!$C$5&lt;&gt;"?",Y448&lt;&gt;""),(Y448-'Choix pédagogiques'!$C$4)/('Choix pédagogiques'!$C$5-'Choix pédagogiques'!$C$4),"")</f>
        <v/>
      </c>
      <c r="AU448" s="53" t="str">
        <f aca="false">IF($E448&lt;&gt;"",$E448,"")</f>
        <v/>
      </c>
      <c r="AV448" s="52" t="str">
        <f aca="false">IF($F448&lt;&gt;"",$F448,"")</f>
        <v>Apprenant 436 ou 436'</v>
      </c>
      <c r="AW448" s="55" t="str">
        <f aca="false">IF(AND('Choix pédagogiques'!$C$4&lt;&gt;"?",'Choix pédagogiques'!$C$5&lt;&gt;"?",AB448&lt;&gt;""),(AB448-'Choix pédagogiques'!$C$4)/('Choix pédagogiques'!$C$5-'Choix pédagogiques'!$C$4),"")</f>
        <v/>
      </c>
      <c r="AX448" s="55" t="str">
        <f aca="false">IF(AND('Choix pédagogiques'!$C$4&lt;&gt;"?",'Choix pédagogiques'!$C$5&lt;&gt;"?",AC448&lt;&gt;""),(AC448-'Choix pédagogiques'!$C$4)/('Choix pédagogiques'!$C$5-'Choix pédagogiques'!$C$4),"")</f>
        <v/>
      </c>
      <c r="AY448" s="55" t="str">
        <f aca="false">IF(AND('Choix pédagogiques'!$C$4&lt;&gt;"?",'Choix pédagogiques'!$C$5&lt;&gt;"?",AD448&lt;&gt;""),(AD448-'Choix pédagogiques'!$C$4)/('Choix pédagogiques'!$C$5-'Choix pédagogiques'!$C$4),"")</f>
        <v/>
      </c>
      <c r="AZ448" s="53" t="str">
        <f aca="false">IF($J448&lt;&gt;"",$J448,"")</f>
        <v/>
      </c>
      <c r="BA448" s="52" t="str">
        <f aca="false">IF($A448&lt;&gt;"",$A448,"")</f>
        <v>Apprenant 436</v>
      </c>
      <c r="BB448" s="55" t="str">
        <f aca="false">IF(AND($AR448&lt;&gt;"",$AS448&lt;&gt;""),$AS448-$AR448,"")</f>
        <v/>
      </c>
      <c r="BC448" s="55" t="str">
        <f aca="false">IF(AND($AR448&lt;&gt;"",$AT448&lt;&gt;""),$AT448-$AR448,"")</f>
        <v/>
      </c>
      <c r="BD448" s="55" t="str">
        <f aca="false">IF(AND($AS448&lt;&gt;"",$AT448&lt;&gt;""),$AT448-$AS448,"")</f>
        <v/>
      </c>
      <c r="BE448" s="53" t="str">
        <f aca="false">IF($E448&lt;&gt;"",$E448,"")</f>
        <v/>
      </c>
      <c r="BF448" s="52" t="str">
        <f aca="false">IF($F448&lt;&gt;"",$F448,"")</f>
        <v>Apprenant 436 ou 436'</v>
      </c>
      <c r="BG448" s="55" t="str">
        <f aca="false">IF(AND($AW448&lt;&gt;"",$AX448&lt;&gt;""),$AX448-$AW448,"")</f>
        <v/>
      </c>
      <c r="BH448" s="55" t="str">
        <f aca="false">IF(AND($AW448&lt;&gt;"",$AY448&lt;&gt;""),$AY448-$AW448,"")</f>
        <v/>
      </c>
      <c r="BI448" s="55" t="str">
        <f aca="false">IF(AND($AX448&lt;&gt;"",$AY448&lt;&gt;""),$AY448-$AX448,"")</f>
        <v/>
      </c>
      <c r="BJ448" s="53" t="str">
        <f aca="false">IF($J448&lt;&gt;"",$J448,"")</f>
        <v/>
      </c>
      <c r="BL448" s="52"/>
      <c r="BM448" s="52" t="str">
        <f aca="false">IF(OR(COUNT(B448:D1447)=0,AND('Choix pédagogiques'!$C$3&lt;&gt;1,'Choix pédagogiques'!$C$3&lt;&gt;2)),"",IF(AND(OR('Choix pédagogiques'!$C$3=1,'Choix pédagogiques'!$C$3=2),$B448&lt;&gt;"",$C448&lt;&gt;"",$D448&lt;&gt;""),1,0))</f>
        <v/>
      </c>
      <c r="BN448" s="52" t="str">
        <f aca="false">IF(OR(COUNT(G448:I1447)=0,AND('Choix pédagogiques'!$C$3&lt;&gt;1,'Choix pédagogiques'!$C$3&lt;&gt;2)),"",IF(AND(OR('Choix pédagogiques'!$C$3=1,'Choix pédagogiques'!$C$3=2),AND($G448&lt;&gt;"",$H448&lt;&gt;"",$I448&lt;&gt;"")),1,0))</f>
        <v/>
      </c>
      <c r="BO448" s="52" t="str">
        <f aca="false">IF(OR(COUNT(B448:D1447)=0,COUNT(G448:I1447)=0,'Choix pédagogiques'!C$3&lt;&gt;3),"",IF(AND('Choix pédagogiques'!$C$3=3,$B448&lt;&gt;"",$C448&lt;&gt;"",$D448&lt;&gt;"",$G448&lt;&gt;"",$H448&lt;&gt;"",$I448&lt;&gt;""),1,0))</f>
        <v/>
      </c>
      <c r="BR448" s="52" t="n">
        <v>205</v>
      </c>
      <c r="BS448" s="52" t="n">
        <v>1678</v>
      </c>
    </row>
    <row r="449" s="54" customFormat="true" ht="18" hidden="false" customHeight="true" outlineLevel="0" collapsed="false">
      <c r="A449" s="57" t="s">
        <v>829</v>
      </c>
      <c r="B449" s="51"/>
      <c r="C449" s="51"/>
      <c r="D449" s="51"/>
      <c r="E449" s="51"/>
      <c r="F449" s="57" t="s">
        <v>830</v>
      </c>
      <c r="G449" s="51"/>
      <c r="H449" s="51"/>
      <c r="I449" s="51"/>
      <c r="J449" s="51"/>
      <c r="K449" s="52" t="str">
        <f aca="false">IF($A449&lt;&gt;"",$A449,"")</f>
        <v>Apprenant 437</v>
      </c>
      <c r="L449" s="53" t="str">
        <f aca="false">IF(AND($B449&lt;&gt;"",$C449&lt;&gt;""),$C449-$B449,"")</f>
        <v/>
      </c>
      <c r="M449" s="53" t="str">
        <f aca="false">IF(AND($B449&lt;&gt;"",$D449&lt;&gt;""),$D449-$B449,"")</f>
        <v/>
      </c>
      <c r="N449" s="53" t="str">
        <f aca="false">IF(AND($C449&lt;&gt;"",$D449&lt;&gt;""),$D449-$C449,"")</f>
        <v/>
      </c>
      <c r="O449" s="53" t="str">
        <f aca="false">IF($E449&lt;&gt;"",$E449,"")</f>
        <v/>
      </c>
      <c r="P449" s="52" t="str">
        <f aca="false">IF($F449&lt;&gt;"",$F449,"")</f>
        <v>Apprenant 437 ou 437'</v>
      </c>
      <c r="Q449" s="53" t="str">
        <f aca="false">IF(AND($G449&lt;&gt;"",$H449&lt;&gt;""),$H449-$G449,"")</f>
        <v/>
      </c>
      <c r="R449" s="53" t="str">
        <f aca="false">IF(AND($G449&lt;&gt;"",$I449&lt;&gt;""),$I449-$G449,"")</f>
        <v/>
      </c>
      <c r="S449" s="53" t="str">
        <f aca="false">IF(AND($H449&lt;&gt;"",$I449&lt;&gt;""),$I449-$H449,"")</f>
        <v/>
      </c>
      <c r="T449" s="53" t="str">
        <f aca="false">IF($J449&lt;&gt;"",$J449,"")</f>
        <v/>
      </c>
      <c r="V449" s="52" t="str">
        <f aca="false">IF($A449&lt;&gt;"",$A449,"")</f>
        <v>Apprenant 437</v>
      </c>
      <c r="W449" s="53" t="str">
        <f aca="false">IF(AND(OR('Choix pédagogiques'!$C$3=1,'Choix pédagogiques'!$C$3=2),$BM449=1),B449,IF(AND('Choix pédagogiques'!$C$3=3,$BO449=1),B449,""))</f>
        <v/>
      </c>
      <c r="X449" s="53" t="str">
        <f aca="false">IF(AND(OR('Choix pédagogiques'!$C$3=1,'Choix pédagogiques'!$C$3=2),$BM449=1),C449,IF(AND('Choix pédagogiques'!$C$3=3,$BO449=1),C449,""))</f>
        <v/>
      </c>
      <c r="Y449" s="53" t="str">
        <f aca="false">IF(AND(OR('Choix pédagogiques'!$C$3=1,'Choix pédagogiques'!$C$3=2),$BM449=1),D449,IF(AND('Choix pédagogiques'!$C$3=3,$BO449=1),D449,""))</f>
        <v/>
      </c>
      <c r="Z449" s="53" t="str">
        <f aca="false">IF($E449&lt;&gt;"",$E449,"")</f>
        <v/>
      </c>
      <c r="AA449" s="52" t="str">
        <f aca="false">IF($F449&lt;&gt;"",$F449,"")</f>
        <v>Apprenant 437 ou 437'</v>
      </c>
      <c r="AB449" s="53" t="str">
        <f aca="false">IF(AND(OR('Choix pédagogiques'!$C$3=1,'Choix pédagogiques'!$C$3=2),$BN449=1),G449,IF(AND('Choix pédagogiques'!$C$3=3,$BO449=1),G449,""))</f>
        <v/>
      </c>
      <c r="AC449" s="53" t="str">
        <f aca="false">IF(AND(OR('Choix pédagogiques'!$C$3=1,'Choix pédagogiques'!$C$3=2),$BN449=1),H449,IF(AND('Choix pédagogiques'!$C$3=3,$BO449=1),H449,""))</f>
        <v/>
      </c>
      <c r="AD449" s="53" t="str">
        <f aca="false">IF(AND(OR('Choix pédagogiques'!$C$3=1,'Choix pédagogiques'!$C$3=2),$BN449=1),I449,IF(AND('Choix pédagogiques'!$C$3=3,$BO449=1),I449,""))</f>
        <v/>
      </c>
      <c r="AE449" s="53" t="str">
        <f aca="false">IF($J449&lt;&gt;"",$J449,"")</f>
        <v/>
      </c>
      <c r="AF449" s="52" t="str">
        <f aca="false">IF($A449&lt;&gt;"",$A449,"")</f>
        <v>Apprenant 437</v>
      </c>
      <c r="AG449" s="53" t="str">
        <f aca="false">IF(AND($W449&lt;&gt;"",$X449&lt;&gt;""),$X449-$W449,"")</f>
        <v/>
      </c>
      <c r="AH449" s="53" t="str">
        <f aca="false">IF(AND($W449&lt;&gt;"",$Y449&lt;&gt;""),$Y449-$W449,"")</f>
        <v/>
      </c>
      <c r="AI449" s="53" t="str">
        <f aca="false">IF(AND($X449&lt;&gt;"",$Y449&lt;&gt;""),$Y449-$X449,"")</f>
        <v/>
      </c>
      <c r="AJ449" s="53" t="str">
        <f aca="false">IF($E449&lt;&gt;"",$E449,"")</f>
        <v/>
      </c>
      <c r="AK449" s="52" t="str">
        <f aca="false">IF($F449&lt;&gt;"",$F449,"")</f>
        <v>Apprenant 437 ou 437'</v>
      </c>
      <c r="AL449" s="53" t="str">
        <f aca="false">IF(AND($AB449&lt;&gt;"",$AC449&lt;&gt;""),$AC449-$AB449,"")</f>
        <v/>
      </c>
      <c r="AM449" s="53" t="str">
        <f aca="false">IF(AND($AB449&lt;&gt;"",$AD449&lt;&gt;""),$AD449-$AB449,"")</f>
        <v/>
      </c>
      <c r="AN449" s="53" t="str">
        <f aca="false">IF(AND($AC449&lt;&gt;"",$AD449&lt;&gt;""),$AD449-$AC449,"")</f>
        <v/>
      </c>
      <c r="AO449" s="53" t="str">
        <f aca="false">IF($J449&lt;&gt;"",$J449,"")</f>
        <v/>
      </c>
      <c r="AQ449" s="52" t="str">
        <f aca="false">IF($A449&lt;&gt;"",$A449,"")</f>
        <v>Apprenant 437</v>
      </c>
      <c r="AR449" s="55" t="str">
        <f aca="false">IF(AND('Choix pédagogiques'!$C$4&lt;&gt;"?",'Choix pédagogiques'!$C$5&lt;&gt;"?",W449&lt;&gt;""),(W449-'Choix pédagogiques'!$C$4)/('Choix pédagogiques'!$C$5-'Choix pédagogiques'!$C$4),"")</f>
        <v/>
      </c>
      <c r="AS449" s="55" t="str">
        <f aca="false">IF(AND('Choix pédagogiques'!$C$4&lt;&gt;"?",'Choix pédagogiques'!$C$5&lt;&gt;"?",X449&lt;&gt;""),(X449-'Choix pédagogiques'!$C$4)/('Choix pédagogiques'!$C$5-'Choix pédagogiques'!$C$4),"")</f>
        <v/>
      </c>
      <c r="AT449" s="55" t="str">
        <f aca="false">IF(AND('Choix pédagogiques'!$C$4&lt;&gt;"?",'Choix pédagogiques'!$C$5&lt;&gt;"?",Y449&lt;&gt;""),(Y449-'Choix pédagogiques'!$C$4)/('Choix pédagogiques'!$C$5-'Choix pédagogiques'!$C$4),"")</f>
        <v/>
      </c>
      <c r="AU449" s="53" t="str">
        <f aca="false">IF($E449&lt;&gt;"",$E449,"")</f>
        <v/>
      </c>
      <c r="AV449" s="52" t="str">
        <f aca="false">IF($F449&lt;&gt;"",$F449,"")</f>
        <v>Apprenant 437 ou 437'</v>
      </c>
      <c r="AW449" s="55" t="str">
        <f aca="false">IF(AND('Choix pédagogiques'!$C$4&lt;&gt;"?",'Choix pédagogiques'!$C$5&lt;&gt;"?",AB449&lt;&gt;""),(AB449-'Choix pédagogiques'!$C$4)/('Choix pédagogiques'!$C$5-'Choix pédagogiques'!$C$4),"")</f>
        <v/>
      </c>
      <c r="AX449" s="55" t="str">
        <f aca="false">IF(AND('Choix pédagogiques'!$C$4&lt;&gt;"?",'Choix pédagogiques'!$C$5&lt;&gt;"?",AC449&lt;&gt;""),(AC449-'Choix pédagogiques'!$C$4)/('Choix pédagogiques'!$C$5-'Choix pédagogiques'!$C$4),"")</f>
        <v/>
      </c>
      <c r="AY449" s="55" t="str">
        <f aca="false">IF(AND('Choix pédagogiques'!$C$4&lt;&gt;"?",'Choix pédagogiques'!$C$5&lt;&gt;"?",AD449&lt;&gt;""),(AD449-'Choix pédagogiques'!$C$4)/('Choix pédagogiques'!$C$5-'Choix pédagogiques'!$C$4),"")</f>
        <v/>
      </c>
      <c r="AZ449" s="53" t="str">
        <f aca="false">IF($J449&lt;&gt;"",$J449,"")</f>
        <v/>
      </c>
      <c r="BA449" s="52" t="str">
        <f aca="false">IF($A449&lt;&gt;"",$A449,"")</f>
        <v>Apprenant 437</v>
      </c>
      <c r="BB449" s="55" t="str">
        <f aca="false">IF(AND($AR449&lt;&gt;"",$AS449&lt;&gt;""),$AS449-$AR449,"")</f>
        <v/>
      </c>
      <c r="BC449" s="55" t="str">
        <f aca="false">IF(AND($AR449&lt;&gt;"",$AT449&lt;&gt;""),$AT449-$AR449,"")</f>
        <v/>
      </c>
      <c r="BD449" s="55" t="str">
        <f aca="false">IF(AND($AS449&lt;&gt;"",$AT449&lt;&gt;""),$AT449-$AS449,"")</f>
        <v/>
      </c>
      <c r="BE449" s="53" t="str">
        <f aca="false">IF($E449&lt;&gt;"",$E449,"")</f>
        <v/>
      </c>
      <c r="BF449" s="52" t="str">
        <f aca="false">IF($F449&lt;&gt;"",$F449,"")</f>
        <v>Apprenant 437 ou 437'</v>
      </c>
      <c r="BG449" s="55" t="str">
        <f aca="false">IF(AND($AW449&lt;&gt;"",$AX449&lt;&gt;""),$AX449-$AW449,"")</f>
        <v/>
      </c>
      <c r="BH449" s="55" t="str">
        <f aca="false">IF(AND($AW449&lt;&gt;"",$AY449&lt;&gt;""),$AY449-$AW449,"")</f>
        <v/>
      </c>
      <c r="BI449" s="55" t="str">
        <f aca="false">IF(AND($AX449&lt;&gt;"",$AY449&lt;&gt;""),$AY449-$AX449,"")</f>
        <v/>
      </c>
      <c r="BJ449" s="53" t="str">
        <f aca="false">IF($J449&lt;&gt;"",$J449,"")</f>
        <v/>
      </c>
      <c r="BL449" s="52"/>
      <c r="BM449" s="52" t="str">
        <f aca="false">IF(OR(COUNT(B449:D1448)=0,AND('Choix pédagogiques'!$C$3&lt;&gt;1,'Choix pédagogiques'!$C$3&lt;&gt;2)),"",IF(AND(OR('Choix pédagogiques'!$C$3=1,'Choix pédagogiques'!$C$3=2),$B449&lt;&gt;"",$C449&lt;&gt;"",$D449&lt;&gt;""),1,0))</f>
        <v/>
      </c>
      <c r="BN449" s="52" t="str">
        <f aca="false">IF(OR(COUNT(G449:I1448)=0,AND('Choix pédagogiques'!$C$3&lt;&gt;1,'Choix pédagogiques'!$C$3&lt;&gt;2)),"",IF(AND(OR('Choix pédagogiques'!$C$3=1,'Choix pédagogiques'!$C$3=2),AND($G449&lt;&gt;"",$H449&lt;&gt;"",$I449&lt;&gt;"")),1,0))</f>
        <v/>
      </c>
      <c r="BO449" s="52" t="str">
        <f aca="false">IF(OR(COUNT(B449:D1448)=0,COUNT(G449:I1448)=0,'Choix pédagogiques'!C$3&lt;&gt;3),"",IF(AND('Choix pédagogiques'!$C$3=3,$B449&lt;&gt;"",$C449&lt;&gt;"",$D449&lt;&gt;"",$G449&lt;&gt;"",$H449&lt;&gt;"",$I449&lt;&gt;""),1,0))</f>
        <v/>
      </c>
      <c r="BR449" s="52" t="n">
        <v>500</v>
      </c>
      <c r="BS449" s="52" t="n">
        <v>1654</v>
      </c>
    </row>
    <row r="450" s="54" customFormat="true" ht="18" hidden="false" customHeight="true" outlineLevel="0" collapsed="false">
      <c r="A450" s="57" t="s">
        <v>831</v>
      </c>
      <c r="B450" s="51"/>
      <c r="C450" s="51"/>
      <c r="D450" s="51"/>
      <c r="E450" s="51"/>
      <c r="F450" s="57" t="s">
        <v>832</v>
      </c>
      <c r="G450" s="51"/>
      <c r="H450" s="51"/>
      <c r="I450" s="51"/>
      <c r="J450" s="51"/>
      <c r="K450" s="52" t="str">
        <f aca="false">IF($A450&lt;&gt;"",$A450,"")</f>
        <v>Apprenant 438</v>
      </c>
      <c r="L450" s="53" t="str">
        <f aca="false">IF(AND($B450&lt;&gt;"",$C450&lt;&gt;""),$C450-$B450,"")</f>
        <v/>
      </c>
      <c r="M450" s="53" t="str">
        <f aca="false">IF(AND($B450&lt;&gt;"",$D450&lt;&gt;""),$D450-$B450,"")</f>
        <v/>
      </c>
      <c r="N450" s="53" t="str">
        <f aca="false">IF(AND($C450&lt;&gt;"",$D450&lt;&gt;""),$D450-$C450,"")</f>
        <v/>
      </c>
      <c r="O450" s="53" t="str">
        <f aca="false">IF($E450&lt;&gt;"",$E450,"")</f>
        <v/>
      </c>
      <c r="P450" s="52" t="str">
        <f aca="false">IF($F450&lt;&gt;"",$F450,"")</f>
        <v>Apprenant 438 ou 438'</v>
      </c>
      <c r="Q450" s="53" t="str">
        <f aca="false">IF(AND($G450&lt;&gt;"",$H450&lt;&gt;""),$H450-$G450,"")</f>
        <v/>
      </c>
      <c r="R450" s="53" t="str">
        <f aca="false">IF(AND($G450&lt;&gt;"",$I450&lt;&gt;""),$I450-$G450,"")</f>
        <v/>
      </c>
      <c r="S450" s="53" t="str">
        <f aca="false">IF(AND($H450&lt;&gt;"",$I450&lt;&gt;""),$I450-$H450,"")</f>
        <v/>
      </c>
      <c r="T450" s="53" t="str">
        <f aca="false">IF($J450&lt;&gt;"",$J450,"")</f>
        <v/>
      </c>
      <c r="V450" s="52" t="str">
        <f aca="false">IF($A450&lt;&gt;"",$A450,"")</f>
        <v>Apprenant 438</v>
      </c>
      <c r="W450" s="53" t="str">
        <f aca="false">IF(AND(OR('Choix pédagogiques'!$C$3=1,'Choix pédagogiques'!$C$3=2),$BM450=1),B450,IF(AND('Choix pédagogiques'!$C$3=3,$BO450=1),B450,""))</f>
        <v/>
      </c>
      <c r="X450" s="53" t="str">
        <f aca="false">IF(AND(OR('Choix pédagogiques'!$C$3=1,'Choix pédagogiques'!$C$3=2),$BM450=1),C450,IF(AND('Choix pédagogiques'!$C$3=3,$BO450=1),C450,""))</f>
        <v/>
      </c>
      <c r="Y450" s="53" t="str">
        <f aca="false">IF(AND(OR('Choix pédagogiques'!$C$3=1,'Choix pédagogiques'!$C$3=2),$BM450=1),D450,IF(AND('Choix pédagogiques'!$C$3=3,$BO450=1),D450,""))</f>
        <v/>
      </c>
      <c r="Z450" s="53" t="str">
        <f aca="false">IF($E450&lt;&gt;"",$E450,"")</f>
        <v/>
      </c>
      <c r="AA450" s="52" t="str">
        <f aca="false">IF($F450&lt;&gt;"",$F450,"")</f>
        <v>Apprenant 438 ou 438'</v>
      </c>
      <c r="AB450" s="53" t="str">
        <f aca="false">IF(AND(OR('Choix pédagogiques'!$C$3=1,'Choix pédagogiques'!$C$3=2),$BN450=1),G450,IF(AND('Choix pédagogiques'!$C$3=3,$BO450=1),G450,""))</f>
        <v/>
      </c>
      <c r="AC450" s="53" t="str">
        <f aca="false">IF(AND(OR('Choix pédagogiques'!$C$3=1,'Choix pédagogiques'!$C$3=2),$BN450=1),H450,IF(AND('Choix pédagogiques'!$C$3=3,$BO450=1),H450,""))</f>
        <v/>
      </c>
      <c r="AD450" s="53" t="str">
        <f aca="false">IF(AND(OR('Choix pédagogiques'!$C$3=1,'Choix pédagogiques'!$C$3=2),$BN450=1),I450,IF(AND('Choix pédagogiques'!$C$3=3,$BO450=1),I450,""))</f>
        <v/>
      </c>
      <c r="AE450" s="53" t="str">
        <f aca="false">IF($J450&lt;&gt;"",$J450,"")</f>
        <v/>
      </c>
      <c r="AF450" s="52" t="str">
        <f aca="false">IF($A450&lt;&gt;"",$A450,"")</f>
        <v>Apprenant 438</v>
      </c>
      <c r="AG450" s="53" t="str">
        <f aca="false">IF(AND($W450&lt;&gt;"",$X450&lt;&gt;""),$X450-$W450,"")</f>
        <v/>
      </c>
      <c r="AH450" s="53" t="str">
        <f aca="false">IF(AND($W450&lt;&gt;"",$Y450&lt;&gt;""),$Y450-$W450,"")</f>
        <v/>
      </c>
      <c r="AI450" s="53" t="str">
        <f aca="false">IF(AND($X450&lt;&gt;"",$Y450&lt;&gt;""),$Y450-$X450,"")</f>
        <v/>
      </c>
      <c r="AJ450" s="53" t="str">
        <f aca="false">IF($E450&lt;&gt;"",$E450,"")</f>
        <v/>
      </c>
      <c r="AK450" s="52" t="str">
        <f aca="false">IF($F450&lt;&gt;"",$F450,"")</f>
        <v>Apprenant 438 ou 438'</v>
      </c>
      <c r="AL450" s="53" t="str">
        <f aca="false">IF(AND($AB450&lt;&gt;"",$AC450&lt;&gt;""),$AC450-$AB450,"")</f>
        <v/>
      </c>
      <c r="AM450" s="53" t="str">
        <f aca="false">IF(AND($AB450&lt;&gt;"",$AD450&lt;&gt;""),$AD450-$AB450,"")</f>
        <v/>
      </c>
      <c r="AN450" s="53" t="str">
        <f aca="false">IF(AND($AC450&lt;&gt;"",$AD450&lt;&gt;""),$AD450-$AC450,"")</f>
        <v/>
      </c>
      <c r="AO450" s="53" t="str">
        <f aca="false">IF($J450&lt;&gt;"",$J450,"")</f>
        <v/>
      </c>
      <c r="AQ450" s="52" t="str">
        <f aca="false">IF($A450&lt;&gt;"",$A450,"")</f>
        <v>Apprenant 438</v>
      </c>
      <c r="AR450" s="55" t="str">
        <f aca="false">IF(AND('Choix pédagogiques'!$C$4&lt;&gt;"?",'Choix pédagogiques'!$C$5&lt;&gt;"?",W450&lt;&gt;""),(W450-'Choix pédagogiques'!$C$4)/('Choix pédagogiques'!$C$5-'Choix pédagogiques'!$C$4),"")</f>
        <v/>
      </c>
      <c r="AS450" s="55" t="str">
        <f aca="false">IF(AND('Choix pédagogiques'!$C$4&lt;&gt;"?",'Choix pédagogiques'!$C$5&lt;&gt;"?",X450&lt;&gt;""),(X450-'Choix pédagogiques'!$C$4)/('Choix pédagogiques'!$C$5-'Choix pédagogiques'!$C$4),"")</f>
        <v/>
      </c>
      <c r="AT450" s="55" t="str">
        <f aca="false">IF(AND('Choix pédagogiques'!$C$4&lt;&gt;"?",'Choix pédagogiques'!$C$5&lt;&gt;"?",Y450&lt;&gt;""),(Y450-'Choix pédagogiques'!$C$4)/('Choix pédagogiques'!$C$5-'Choix pédagogiques'!$C$4),"")</f>
        <v/>
      </c>
      <c r="AU450" s="53" t="str">
        <f aca="false">IF($E450&lt;&gt;"",$E450,"")</f>
        <v/>
      </c>
      <c r="AV450" s="52" t="str">
        <f aca="false">IF($F450&lt;&gt;"",$F450,"")</f>
        <v>Apprenant 438 ou 438'</v>
      </c>
      <c r="AW450" s="55" t="str">
        <f aca="false">IF(AND('Choix pédagogiques'!$C$4&lt;&gt;"?",'Choix pédagogiques'!$C$5&lt;&gt;"?",AB450&lt;&gt;""),(AB450-'Choix pédagogiques'!$C$4)/('Choix pédagogiques'!$C$5-'Choix pédagogiques'!$C$4),"")</f>
        <v/>
      </c>
      <c r="AX450" s="55" t="str">
        <f aca="false">IF(AND('Choix pédagogiques'!$C$4&lt;&gt;"?",'Choix pédagogiques'!$C$5&lt;&gt;"?",AC450&lt;&gt;""),(AC450-'Choix pédagogiques'!$C$4)/('Choix pédagogiques'!$C$5-'Choix pédagogiques'!$C$4),"")</f>
        <v/>
      </c>
      <c r="AY450" s="55" t="str">
        <f aca="false">IF(AND('Choix pédagogiques'!$C$4&lt;&gt;"?",'Choix pédagogiques'!$C$5&lt;&gt;"?",AD450&lt;&gt;""),(AD450-'Choix pédagogiques'!$C$4)/('Choix pédagogiques'!$C$5-'Choix pédagogiques'!$C$4),"")</f>
        <v/>
      </c>
      <c r="AZ450" s="53" t="str">
        <f aca="false">IF($J450&lt;&gt;"",$J450,"")</f>
        <v/>
      </c>
      <c r="BA450" s="52" t="str">
        <f aca="false">IF($A450&lt;&gt;"",$A450,"")</f>
        <v>Apprenant 438</v>
      </c>
      <c r="BB450" s="55" t="str">
        <f aca="false">IF(AND($AR450&lt;&gt;"",$AS450&lt;&gt;""),$AS450-$AR450,"")</f>
        <v/>
      </c>
      <c r="BC450" s="55" t="str">
        <f aca="false">IF(AND($AR450&lt;&gt;"",$AT450&lt;&gt;""),$AT450-$AR450,"")</f>
        <v/>
      </c>
      <c r="BD450" s="55" t="str">
        <f aca="false">IF(AND($AS450&lt;&gt;"",$AT450&lt;&gt;""),$AT450-$AS450,"")</f>
        <v/>
      </c>
      <c r="BE450" s="53" t="str">
        <f aca="false">IF($E450&lt;&gt;"",$E450,"")</f>
        <v/>
      </c>
      <c r="BF450" s="52" t="str">
        <f aca="false">IF($F450&lt;&gt;"",$F450,"")</f>
        <v>Apprenant 438 ou 438'</v>
      </c>
      <c r="BG450" s="55" t="str">
        <f aca="false">IF(AND($AW450&lt;&gt;"",$AX450&lt;&gt;""),$AX450-$AW450,"")</f>
        <v/>
      </c>
      <c r="BH450" s="55" t="str">
        <f aca="false">IF(AND($AW450&lt;&gt;"",$AY450&lt;&gt;""),$AY450-$AW450,"")</f>
        <v/>
      </c>
      <c r="BI450" s="55" t="str">
        <f aca="false">IF(AND($AX450&lt;&gt;"",$AY450&lt;&gt;""),$AY450-$AX450,"")</f>
        <v/>
      </c>
      <c r="BJ450" s="53" t="str">
        <f aca="false">IF($J450&lt;&gt;"",$J450,"")</f>
        <v/>
      </c>
      <c r="BL450" s="52"/>
      <c r="BM450" s="52" t="str">
        <f aca="false">IF(OR(COUNT(B450:D1449)=0,AND('Choix pédagogiques'!$C$3&lt;&gt;1,'Choix pédagogiques'!$C$3&lt;&gt;2)),"",IF(AND(OR('Choix pédagogiques'!$C$3=1,'Choix pédagogiques'!$C$3=2),$B450&lt;&gt;"",$C450&lt;&gt;"",$D450&lt;&gt;""),1,0))</f>
        <v/>
      </c>
      <c r="BN450" s="52" t="str">
        <f aca="false">IF(OR(COUNT(G450:I1449)=0,AND('Choix pédagogiques'!$C$3&lt;&gt;1,'Choix pédagogiques'!$C$3&lt;&gt;2)),"",IF(AND(OR('Choix pédagogiques'!$C$3=1,'Choix pédagogiques'!$C$3=2),AND($G450&lt;&gt;"",$H450&lt;&gt;"",$I450&lt;&gt;"")),1,0))</f>
        <v/>
      </c>
      <c r="BO450" s="52" t="str">
        <f aca="false">IF(OR(COUNT(B450:D1449)=0,COUNT(G450:I1449)=0,'Choix pédagogiques'!C$3&lt;&gt;3),"",IF(AND('Choix pédagogiques'!$C$3=3,$B450&lt;&gt;"",$C450&lt;&gt;"",$D450&lt;&gt;"",$G450&lt;&gt;"",$H450&lt;&gt;"",$I450&lt;&gt;""),1,0))</f>
        <v/>
      </c>
      <c r="BR450" s="52" t="n">
        <v>620</v>
      </c>
      <c r="BS450" s="52" t="n">
        <v>1161</v>
      </c>
    </row>
    <row r="451" s="54" customFormat="true" ht="18" hidden="false" customHeight="true" outlineLevel="0" collapsed="false">
      <c r="A451" s="57" t="s">
        <v>833</v>
      </c>
      <c r="B451" s="51"/>
      <c r="C451" s="51"/>
      <c r="D451" s="51"/>
      <c r="E451" s="51"/>
      <c r="F451" s="57" t="s">
        <v>834</v>
      </c>
      <c r="G451" s="51"/>
      <c r="H451" s="51"/>
      <c r="I451" s="51"/>
      <c r="J451" s="51"/>
      <c r="K451" s="52" t="str">
        <f aca="false">IF($A451&lt;&gt;"",$A451,"")</f>
        <v>Apprenant 439</v>
      </c>
      <c r="L451" s="53" t="str">
        <f aca="false">IF(AND($B451&lt;&gt;"",$C451&lt;&gt;""),$C451-$B451,"")</f>
        <v/>
      </c>
      <c r="M451" s="53" t="str">
        <f aca="false">IF(AND($B451&lt;&gt;"",$D451&lt;&gt;""),$D451-$B451,"")</f>
        <v/>
      </c>
      <c r="N451" s="53" t="str">
        <f aca="false">IF(AND($C451&lt;&gt;"",$D451&lt;&gt;""),$D451-$C451,"")</f>
        <v/>
      </c>
      <c r="O451" s="53" t="str">
        <f aca="false">IF($E451&lt;&gt;"",$E451,"")</f>
        <v/>
      </c>
      <c r="P451" s="52" t="str">
        <f aca="false">IF($F451&lt;&gt;"",$F451,"")</f>
        <v>Apprenant 439 ou 439'</v>
      </c>
      <c r="Q451" s="53" t="str">
        <f aca="false">IF(AND($G451&lt;&gt;"",$H451&lt;&gt;""),$H451-$G451,"")</f>
        <v/>
      </c>
      <c r="R451" s="53" t="str">
        <f aca="false">IF(AND($G451&lt;&gt;"",$I451&lt;&gt;""),$I451-$G451,"")</f>
        <v/>
      </c>
      <c r="S451" s="53" t="str">
        <f aca="false">IF(AND($H451&lt;&gt;"",$I451&lt;&gt;""),$I451-$H451,"")</f>
        <v/>
      </c>
      <c r="T451" s="53" t="str">
        <f aca="false">IF($J451&lt;&gt;"",$J451,"")</f>
        <v/>
      </c>
      <c r="V451" s="52" t="str">
        <f aca="false">IF($A451&lt;&gt;"",$A451,"")</f>
        <v>Apprenant 439</v>
      </c>
      <c r="W451" s="53" t="str">
        <f aca="false">IF(AND(OR('Choix pédagogiques'!$C$3=1,'Choix pédagogiques'!$C$3=2),$BM451=1),B451,IF(AND('Choix pédagogiques'!$C$3=3,$BO451=1),B451,""))</f>
        <v/>
      </c>
      <c r="X451" s="53" t="str">
        <f aca="false">IF(AND(OR('Choix pédagogiques'!$C$3=1,'Choix pédagogiques'!$C$3=2),$BM451=1),C451,IF(AND('Choix pédagogiques'!$C$3=3,$BO451=1),C451,""))</f>
        <v/>
      </c>
      <c r="Y451" s="53" t="str">
        <f aca="false">IF(AND(OR('Choix pédagogiques'!$C$3=1,'Choix pédagogiques'!$C$3=2),$BM451=1),D451,IF(AND('Choix pédagogiques'!$C$3=3,$BO451=1),D451,""))</f>
        <v/>
      </c>
      <c r="Z451" s="53" t="str">
        <f aca="false">IF($E451&lt;&gt;"",$E451,"")</f>
        <v/>
      </c>
      <c r="AA451" s="52" t="str">
        <f aca="false">IF($F451&lt;&gt;"",$F451,"")</f>
        <v>Apprenant 439 ou 439'</v>
      </c>
      <c r="AB451" s="53" t="str">
        <f aca="false">IF(AND(OR('Choix pédagogiques'!$C$3=1,'Choix pédagogiques'!$C$3=2),$BN451=1),G451,IF(AND('Choix pédagogiques'!$C$3=3,$BO451=1),G451,""))</f>
        <v/>
      </c>
      <c r="AC451" s="53" t="str">
        <f aca="false">IF(AND(OR('Choix pédagogiques'!$C$3=1,'Choix pédagogiques'!$C$3=2),$BN451=1),H451,IF(AND('Choix pédagogiques'!$C$3=3,$BO451=1),H451,""))</f>
        <v/>
      </c>
      <c r="AD451" s="53" t="str">
        <f aca="false">IF(AND(OR('Choix pédagogiques'!$C$3=1,'Choix pédagogiques'!$C$3=2),$BN451=1),I451,IF(AND('Choix pédagogiques'!$C$3=3,$BO451=1),I451,""))</f>
        <v/>
      </c>
      <c r="AE451" s="53" t="str">
        <f aca="false">IF($J451&lt;&gt;"",$J451,"")</f>
        <v/>
      </c>
      <c r="AF451" s="52" t="str">
        <f aca="false">IF($A451&lt;&gt;"",$A451,"")</f>
        <v>Apprenant 439</v>
      </c>
      <c r="AG451" s="53" t="str">
        <f aca="false">IF(AND($W451&lt;&gt;"",$X451&lt;&gt;""),$X451-$W451,"")</f>
        <v/>
      </c>
      <c r="AH451" s="53" t="str">
        <f aca="false">IF(AND($W451&lt;&gt;"",$Y451&lt;&gt;""),$Y451-$W451,"")</f>
        <v/>
      </c>
      <c r="AI451" s="53" t="str">
        <f aca="false">IF(AND($X451&lt;&gt;"",$Y451&lt;&gt;""),$Y451-$X451,"")</f>
        <v/>
      </c>
      <c r="AJ451" s="53" t="str">
        <f aca="false">IF($E451&lt;&gt;"",$E451,"")</f>
        <v/>
      </c>
      <c r="AK451" s="52" t="str">
        <f aca="false">IF($F451&lt;&gt;"",$F451,"")</f>
        <v>Apprenant 439 ou 439'</v>
      </c>
      <c r="AL451" s="53" t="str">
        <f aca="false">IF(AND($AB451&lt;&gt;"",$AC451&lt;&gt;""),$AC451-$AB451,"")</f>
        <v/>
      </c>
      <c r="AM451" s="53" t="str">
        <f aca="false">IF(AND($AB451&lt;&gt;"",$AD451&lt;&gt;""),$AD451-$AB451,"")</f>
        <v/>
      </c>
      <c r="AN451" s="53" t="str">
        <f aca="false">IF(AND($AC451&lt;&gt;"",$AD451&lt;&gt;""),$AD451-$AC451,"")</f>
        <v/>
      </c>
      <c r="AO451" s="53" t="str">
        <f aca="false">IF($J451&lt;&gt;"",$J451,"")</f>
        <v/>
      </c>
      <c r="AQ451" s="52" t="str">
        <f aca="false">IF($A451&lt;&gt;"",$A451,"")</f>
        <v>Apprenant 439</v>
      </c>
      <c r="AR451" s="55" t="str">
        <f aca="false">IF(AND('Choix pédagogiques'!$C$4&lt;&gt;"?",'Choix pédagogiques'!$C$5&lt;&gt;"?",W451&lt;&gt;""),(W451-'Choix pédagogiques'!$C$4)/('Choix pédagogiques'!$C$5-'Choix pédagogiques'!$C$4),"")</f>
        <v/>
      </c>
      <c r="AS451" s="55" t="str">
        <f aca="false">IF(AND('Choix pédagogiques'!$C$4&lt;&gt;"?",'Choix pédagogiques'!$C$5&lt;&gt;"?",X451&lt;&gt;""),(X451-'Choix pédagogiques'!$C$4)/('Choix pédagogiques'!$C$5-'Choix pédagogiques'!$C$4),"")</f>
        <v/>
      </c>
      <c r="AT451" s="55" t="str">
        <f aca="false">IF(AND('Choix pédagogiques'!$C$4&lt;&gt;"?",'Choix pédagogiques'!$C$5&lt;&gt;"?",Y451&lt;&gt;""),(Y451-'Choix pédagogiques'!$C$4)/('Choix pédagogiques'!$C$5-'Choix pédagogiques'!$C$4),"")</f>
        <v/>
      </c>
      <c r="AU451" s="53" t="str">
        <f aca="false">IF($E451&lt;&gt;"",$E451,"")</f>
        <v/>
      </c>
      <c r="AV451" s="52" t="str">
        <f aca="false">IF($F451&lt;&gt;"",$F451,"")</f>
        <v>Apprenant 439 ou 439'</v>
      </c>
      <c r="AW451" s="55" t="str">
        <f aca="false">IF(AND('Choix pédagogiques'!$C$4&lt;&gt;"?",'Choix pédagogiques'!$C$5&lt;&gt;"?",AB451&lt;&gt;""),(AB451-'Choix pédagogiques'!$C$4)/('Choix pédagogiques'!$C$5-'Choix pédagogiques'!$C$4),"")</f>
        <v/>
      </c>
      <c r="AX451" s="55" t="str">
        <f aca="false">IF(AND('Choix pédagogiques'!$C$4&lt;&gt;"?",'Choix pédagogiques'!$C$5&lt;&gt;"?",AC451&lt;&gt;""),(AC451-'Choix pédagogiques'!$C$4)/('Choix pédagogiques'!$C$5-'Choix pédagogiques'!$C$4),"")</f>
        <v/>
      </c>
      <c r="AY451" s="55" t="str">
        <f aca="false">IF(AND('Choix pédagogiques'!$C$4&lt;&gt;"?",'Choix pédagogiques'!$C$5&lt;&gt;"?",AD451&lt;&gt;""),(AD451-'Choix pédagogiques'!$C$4)/('Choix pédagogiques'!$C$5-'Choix pédagogiques'!$C$4),"")</f>
        <v/>
      </c>
      <c r="AZ451" s="53" t="str">
        <f aca="false">IF($J451&lt;&gt;"",$J451,"")</f>
        <v/>
      </c>
      <c r="BA451" s="52" t="str">
        <f aca="false">IF($A451&lt;&gt;"",$A451,"")</f>
        <v>Apprenant 439</v>
      </c>
      <c r="BB451" s="55" t="str">
        <f aca="false">IF(AND($AR451&lt;&gt;"",$AS451&lt;&gt;""),$AS451-$AR451,"")</f>
        <v/>
      </c>
      <c r="BC451" s="55" t="str">
        <f aca="false">IF(AND($AR451&lt;&gt;"",$AT451&lt;&gt;""),$AT451-$AR451,"")</f>
        <v/>
      </c>
      <c r="BD451" s="55" t="str">
        <f aca="false">IF(AND($AS451&lt;&gt;"",$AT451&lt;&gt;""),$AT451-$AS451,"")</f>
        <v/>
      </c>
      <c r="BE451" s="53" t="str">
        <f aca="false">IF($E451&lt;&gt;"",$E451,"")</f>
        <v/>
      </c>
      <c r="BF451" s="52" t="str">
        <f aca="false">IF($F451&lt;&gt;"",$F451,"")</f>
        <v>Apprenant 439 ou 439'</v>
      </c>
      <c r="BG451" s="55" t="str">
        <f aca="false">IF(AND($AW451&lt;&gt;"",$AX451&lt;&gt;""),$AX451-$AW451,"")</f>
        <v/>
      </c>
      <c r="BH451" s="55" t="str">
        <f aca="false">IF(AND($AW451&lt;&gt;"",$AY451&lt;&gt;""),$AY451-$AW451,"")</f>
        <v/>
      </c>
      <c r="BI451" s="55" t="str">
        <f aca="false">IF(AND($AX451&lt;&gt;"",$AY451&lt;&gt;""),$AY451-$AX451,"")</f>
        <v/>
      </c>
      <c r="BJ451" s="53" t="str">
        <f aca="false">IF($J451&lt;&gt;"",$J451,"")</f>
        <v/>
      </c>
      <c r="BL451" s="52"/>
      <c r="BM451" s="52" t="str">
        <f aca="false">IF(OR(COUNT(B451:D1450)=0,AND('Choix pédagogiques'!$C$3&lt;&gt;1,'Choix pédagogiques'!$C$3&lt;&gt;2)),"",IF(AND(OR('Choix pédagogiques'!$C$3=1,'Choix pédagogiques'!$C$3=2),$B451&lt;&gt;"",$C451&lt;&gt;"",$D451&lt;&gt;""),1,0))</f>
        <v/>
      </c>
      <c r="BN451" s="52" t="str">
        <f aca="false">IF(OR(COUNT(G451:I1450)=0,AND('Choix pédagogiques'!$C$3&lt;&gt;1,'Choix pédagogiques'!$C$3&lt;&gt;2)),"",IF(AND(OR('Choix pédagogiques'!$C$3=1,'Choix pédagogiques'!$C$3=2),AND($G451&lt;&gt;"",$H451&lt;&gt;"",$I451&lt;&gt;"")),1,0))</f>
        <v/>
      </c>
      <c r="BO451" s="52" t="str">
        <f aca="false">IF(OR(COUNT(B451:D1450)=0,COUNT(G451:I1450)=0,'Choix pédagogiques'!C$3&lt;&gt;3),"",IF(AND('Choix pédagogiques'!$C$3=3,$B451&lt;&gt;"",$C451&lt;&gt;"",$D451&lt;&gt;"",$G451&lt;&gt;"",$H451&lt;&gt;"",$I451&lt;&gt;""),1,0))</f>
        <v/>
      </c>
      <c r="BR451" s="52" t="n">
        <v>802</v>
      </c>
      <c r="BS451" s="52" t="n">
        <v>1608</v>
      </c>
    </row>
    <row r="452" s="54" customFormat="true" ht="18" hidden="false" customHeight="true" outlineLevel="0" collapsed="false">
      <c r="A452" s="57" t="s">
        <v>835</v>
      </c>
      <c r="B452" s="51"/>
      <c r="C452" s="51"/>
      <c r="D452" s="51"/>
      <c r="E452" s="51"/>
      <c r="F452" s="57" t="s">
        <v>836</v>
      </c>
      <c r="G452" s="51"/>
      <c r="H452" s="51"/>
      <c r="I452" s="51"/>
      <c r="J452" s="51"/>
      <c r="K452" s="52" t="str">
        <f aca="false">IF($A452&lt;&gt;"",$A452,"")</f>
        <v>Apprenant 440</v>
      </c>
      <c r="L452" s="53" t="str">
        <f aca="false">IF(AND($B452&lt;&gt;"",$C452&lt;&gt;""),$C452-$B452,"")</f>
        <v/>
      </c>
      <c r="M452" s="53" t="str">
        <f aca="false">IF(AND($B452&lt;&gt;"",$D452&lt;&gt;""),$D452-$B452,"")</f>
        <v/>
      </c>
      <c r="N452" s="53" t="str">
        <f aca="false">IF(AND($C452&lt;&gt;"",$D452&lt;&gt;""),$D452-$C452,"")</f>
        <v/>
      </c>
      <c r="O452" s="53" t="str">
        <f aca="false">IF($E452&lt;&gt;"",$E452,"")</f>
        <v/>
      </c>
      <c r="P452" s="52" t="str">
        <f aca="false">IF($F452&lt;&gt;"",$F452,"")</f>
        <v>Apprenant 440 ou 440'</v>
      </c>
      <c r="Q452" s="53" t="str">
        <f aca="false">IF(AND($G452&lt;&gt;"",$H452&lt;&gt;""),$H452-$G452,"")</f>
        <v/>
      </c>
      <c r="R452" s="53" t="str">
        <f aca="false">IF(AND($G452&lt;&gt;"",$I452&lt;&gt;""),$I452-$G452,"")</f>
        <v/>
      </c>
      <c r="S452" s="53" t="str">
        <f aca="false">IF(AND($H452&lt;&gt;"",$I452&lt;&gt;""),$I452-$H452,"")</f>
        <v/>
      </c>
      <c r="T452" s="53" t="str">
        <f aca="false">IF($J452&lt;&gt;"",$J452,"")</f>
        <v/>
      </c>
      <c r="V452" s="52" t="str">
        <f aca="false">IF($A452&lt;&gt;"",$A452,"")</f>
        <v>Apprenant 440</v>
      </c>
      <c r="W452" s="53" t="str">
        <f aca="false">IF(AND(OR('Choix pédagogiques'!$C$3=1,'Choix pédagogiques'!$C$3=2),$BM452=1),B452,IF(AND('Choix pédagogiques'!$C$3=3,$BO452=1),B452,""))</f>
        <v/>
      </c>
      <c r="X452" s="53" t="str">
        <f aca="false">IF(AND(OR('Choix pédagogiques'!$C$3=1,'Choix pédagogiques'!$C$3=2),$BM452=1),C452,IF(AND('Choix pédagogiques'!$C$3=3,$BO452=1),C452,""))</f>
        <v/>
      </c>
      <c r="Y452" s="53" t="str">
        <f aca="false">IF(AND(OR('Choix pédagogiques'!$C$3=1,'Choix pédagogiques'!$C$3=2),$BM452=1),D452,IF(AND('Choix pédagogiques'!$C$3=3,$BO452=1),D452,""))</f>
        <v/>
      </c>
      <c r="Z452" s="53" t="str">
        <f aca="false">IF($E452&lt;&gt;"",$E452,"")</f>
        <v/>
      </c>
      <c r="AA452" s="52" t="str">
        <f aca="false">IF($F452&lt;&gt;"",$F452,"")</f>
        <v>Apprenant 440 ou 440'</v>
      </c>
      <c r="AB452" s="53" t="str">
        <f aca="false">IF(AND(OR('Choix pédagogiques'!$C$3=1,'Choix pédagogiques'!$C$3=2),$BN452=1),G452,IF(AND('Choix pédagogiques'!$C$3=3,$BO452=1),G452,""))</f>
        <v/>
      </c>
      <c r="AC452" s="53" t="str">
        <f aca="false">IF(AND(OR('Choix pédagogiques'!$C$3=1,'Choix pédagogiques'!$C$3=2),$BN452=1),H452,IF(AND('Choix pédagogiques'!$C$3=3,$BO452=1),H452,""))</f>
        <v/>
      </c>
      <c r="AD452" s="53" t="str">
        <f aca="false">IF(AND(OR('Choix pédagogiques'!$C$3=1,'Choix pédagogiques'!$C$3=2),$BN452=1),I452,IF(AND('Choix pédagogiques'!$C$3=3,$BO452=1),I452,""))</f>
        <v/>
      </c>
      <c r="AE452" s="53" t="str">
        <f aca="false">IF($J452&lt;&gt;"",$J452,"")</f>
        <v/>
      </c>
      <c r="AF452" s="52" t="str">
        <f aca="false">IF($A452&lt;&gt;"",$A452,"")</f>
        <v>Apprenant 440</v>
      </c>
      <c r="AG452" s="53" t="str">
        <f aca="false">IF(AND($W452&lt;&gt;"",$X452&lt;&gt;""),$X452-$W452,"")</f>
        <v/>
      </c>
      <c r="AH452" s="53" t="str">
        <f aca="false">IF(AND($W452&lt;&gt;"",$Y452&lt;&gt;""),$Y452-$W452,"")</f>
        <v/>
      </c>
      <c r="AI452" s="53" t="str">
        <f aca="false">IF(AND($X452&lt;&gt;"",$Y452&lt;&gt;""),$Y452-$X452,"")</f>
        <v/>
      </c>
      <c r="AJ452" s="53" t="str">
        <f aca="false">IF($E452&lt;&gt;"",$E452,"")</f>
        <v/>
      </c>
      <c r="AK452" s="52" t="str">
        <f aca="false">IF($F452&lt;&gt;"",$F452,"")</f>
        <v>Apprenant 440 ou 440'</v>
      </c>
      <c r="AL452" s="53" t="str">
        <f aca="false">IF(AND($AB452&lt;&gt;"",$AC452&lt;&gt;""),$AC452-$AB452,"")</f>
        <v/>
      </c>
      <c r="AM452" s="53" t="str">
        <f aca="false">IF(AND($AB452&lt;&gt;"",$AD452&lt;&gt;""),$AD452-$AB452,"")</f>
        <v/>
      </c>
      <c r="AN452" s="53" t="str">
        <f aca="false">IF(AND($AC452&lt;&gt;"",$AD452&lt;&gt;""),$AD452-$AC452,"")</f>
        <v/>
      </c>
      <c r="AO452" s="53" t="str">
        <f aca="false">IF($J452&lt;&gt;"",$J452,"")</f>
        <v/>
      </c>
      <c r="AQ452" s="52" t="str">
        <f aca="false">IF($A452&lt;&gt;"",$A452,"")</f>
        <v>Apprenant 440</v>
      </c>
      <c r="AR452" s="55" t="str">
        <f aca="false">IF(AND('Choix pédagogiques'!$C$4&lt;&gt;"?",'Choix pédagogiques'!$C$5&lt;&gt;"?",W452&lt;&gt;""),(W452-'Choix pédagogiques'!$C$4)/('Choix pédagogiques'!$C$5-'Choix pédagogiques'!$C$4),"")</f>
        <v/>
      </c>
      <c r="AS452" s="55" t="str">
        <f aca="false">IF(AND('Choix pédagogiques'!$C$4&lt;&gt;"?",'Choix pédagogiques'!$C$5&lt;&gt;"?",X452&lt;&gt;""),(X452-'Choix pédagogiques'!$C$4)/('Choix pédagogiques'!$C$5-'Choix pédagogiques'!$C$4),"")</f>
        <v/>
      </c>
      <c r="AT452" s="55" t="str">
        <f aca="false">IF(AND('Choix pédagogiques'!$C$4&lt;&gt;"?",'Choix pédagogiques'!$C$5&lt;&gt;"?",Y452&lt;&gt;""),(Y452-'Choix pédagogiques'!$C$4)/('Choix pédagogiques'!$C$5-'Choix pédagogiques'!$C$4),"")</f>
        <v/>
      </c>
      <c r="AU452" s="53" t="str">
        <f aca="false">IF($E452&lt;&gt;"",$E452,"")</f>
        <v/>
      </c>
      <c r="AV452" s="52" t="str">
        <f aca="false">IF($F452&lt;&gt;"",$F452,"")</f>
        <v>Apprenant 440 ou 440'</v>
      </c>
      <c r="AW452" s="55" t="str">
        <f aca="false">IF(AND('Choix pédagogiques'!$C$4&lt;&gt;"?",'Choix pédagogiques'!$C$5&lt;&gt;"?",AB452&lt;&gt;""),(AB452-'Choix pédagogiques'!$C$4)/('Choix pédagogiques'!$C$5-'Choix pédagogiques'!$C$4),"")</f>
        <v/>
      </c>
      <c r="AX452" s="55" t="str">
        <f aca="false">IF(AND('Choix pédagogiques'!$C$4&lt;&gt;"?",'Choix pédagogiques'!$C$5&lt;&gt;"?",AC452&lt;&gt;""),(AC452-'Choix pédagogiques'!$C$4)/('Choix pédagogiques'!$C$5-'Choix pédagogiques'!$C$4),"")</f>
        <v/>
      </c>
      <c r="AY452" s="55" t="str">
        <f aca="false">IF(AND('Choix pédagogiques'!$C$4&lt;&gt;"?",'Choix pédagogiques'!$C$5&lt;&gt;"?",AD452&lt;&gt;""),(AD452-'Choix pédagogiques'!$C$4)/('Choix pédagogiques'!$C$5-'Choix pédagogiques'!$C$4),"")</f>
        <v/>
      </c>
      <c r="AZ452" s="53" t="str">
        <f aca="false">IF($J452&lt;&gt;"",$J452,"")</f>
        <v/>
      </c>
      <c r="BA452" s="52" t="str">
        <f aca="false">IF($A452&lt;&gt;"",$A452,"")</f>
        <v>Apprenant 440</v>
      </c>
      <c r="BB452" s="55" t="str">
        <f aca="false">IF(AND($AR452&lt;&gt;"",$AS452&lt;&gt;""),$AS452-$AR452,"")</f>
        <v/>
      </c>
      <c r="BC452" s="55" t="str">
        <f aca="false">IF(AND($AR452&lt;&gt;"",$AT452&lt;&gt;""),$AT452-$AR452,"")</f>
        <v/>
      </c>
      <c r="BD452" s="55" t="str">
        <f aca="false">IF(AND($AS452&lt;&gt;"",$AT452&lt;&gt;""),$AT452-$AS452,"")</f>
        <v/>
      </c>
      <c r="BE452" s="53" t="str">
        <f aca="false">IF($E452&lt;&gt;"",$E452,"")</f>
        <v/>
      </c>
      <c r="BF452" s="52" t="str">
        <f aca="false">IF($F452&lt;&gt;"",$F452,"")</f>
        <v>Apprenant 440 ou 440'</v>
      </c>
      <c r="BG452" s="55" t="str">
        <f aca="false">IF(AND($AW452&lt;&gt;"",$AX452&lt;&gt;""),$AX452-$AW452,"")</f>
        <v/>
      </c>
      <c r="BH452" s="55" t="str">
        <f aca="false">IF(AND($AW452&lt;&gt;"",$AY452&lt;&gt;""),$AY452-$AW452,"")</f>
        <v/>
      </c>
      <c r="BI452" s="55" t="str">
        <f aca="false">IF(AND($AX452&lt;&gt;"",$AY452&lt;&gt;""),$AY452-$AX452,"")</f>
        <v/>
      </c>
      <c r="BJ452" s="53" t="str">
        <f aca="false">IF($J452&lt;&gt;"",$J452,"")</f>
        <v/>
      </c>
      <c r="BL452" s="52"/>
      <c r="BM452" s="52" t="str">
        <f aca="false">IF(OR(COUNT(B452:D1451)=0,AND('Choix pédagogiques'!$C$3&lt;&gt;1,'Choix pédagogiques'!$C$3&lt;&gt;2)),"",IF(AND(OR('Choix pédagogiques'!$C$3=1,'Choix pédagogiques'!$C$3=2),$B452&lt;&gt;"",$C452&lt;&gt;"",$D452&lt;&gt;""),1,0))</f>
        <v/>
      </c>
      <c r="BN452" s="52" t="str">
        <f aca="false">IF(OR(COUNT(G452:I1451)=0,AND('Choix pédagogiques'!$C$3&lt;&gt;1,'Choix pédagogiques'!$C$3&lt;&gt;2)),"",IF(AND(OR('Choix pédagogiques'!$C$3=1,'Choix pédagogiques'!$C$3=2),AND($G452&lt;&gt;"",$H452&lt;&gt;"",$I452&lt;&gt;"")),1,0))</f>
        <v/>
      </c>
      <c r="BO452" s="52" t="str">
        <f aca="false">IF(OR(COUNT(B452:D1451)=0,COUNT(G452:I1451)=0,'Choix pédagogiques'!C$3&lt;&gt;3),"",IF(AND('Choix pédagogiques'!$C$3=3,$B452&lt;&gt;"",$C452&lt;&gt;"",$D452&lt;&gt;"",$G452&lt;&gt;"",$H452&lt;&gt;"",$I452&lt;&gt;""),1,0))</f>
        <v/>
      </c>
      <c r="BR452" s="52" t="n">
        <v>425</v>
      </c>
      <c r="BS452" s="52" t="n">
        <v>1237</v>
      </c>
    </row>
    <row r="453" s="54" customFormat="true" ht="18" hidden="false" customHeight="true" outlineLevel="0" collapsed="false">
      <c r="A453" s="57" t="s">
        <v>837</v>
      </c>
      <c r="B453" s="51"/>
      <c r="C453" s="51"/>
      <c r="D453" s="51"/>
      <c r="E453" s="51"/>
      <c r="F453" s="57" t="s">
        <v>838</v>
      </c>
      <c r="G453" s="51"/>
      <c r="H453" s="51"/>
      <c r="I453" s="51"/>
      <c r="J453" s="51"/>
      <c r="K453" s="52" t="str">
        <f aca="false">IF($A453&lt;&gt;"",$A453,"")</f>
        <v>Apprenant 441</v>
      </c>
      <c r="L453" s="53" t="str">
        <f aca="false">IF(AND($B453&lt;&gt;"",$C453&lt;&gt;""),$C453-$B453,"")</f>
        <v/>
      </c>
      <c r="M453" s="53" t="str">
        <f aca="false">IF(AND($B453&lt;&gt;"",$D453&lt;&gt;""),$D453-$B453,"")</f>
        <v/>
      </c>
      <c r="N453" s="53" t="str">
        <f aca="false">IF(AND($C453&lt;&gt;"",$D453&lt;&gt;""),$D453-$C453,"")</f>
        <v/>
      </c>
      <c r="O453" s="53" t="str">
        <f aca="false">IF($E453&lt;&gt;"",$E453,"")</f>
        <v/>
      </c>
      <c r="P453" s="52" t="str">
        <f aca="false">IF($F453&lt;&gt;"",$F453,"")</f>
        <v>Apprenant 441 ou 441'</v>
      </c>
      <c r="Q453" s="53" t="str">
        <f aca="false">IF(AND($G453&lt;&gt;"",$H453&lt;&gt;""),$H453-$G453,"")</f>
        <v/>
      </c>
      <c r="R453" s="53" t="str">
        <f aca="false">IF(AND($G453&lt;&gt;"",$I453&lt;&gt;""),$I453-$G453,"")</f>
        <v/>
      </c>
      <c r="S453" s="53" t="str">
        <f aca="false">IF(AND($H453&lt;&gt;"",$I453&lt;&gt;""),$I453-$H453,"")</f>
        <v/>
      </c>
      <c r="T453" s="53" t="str">
        <f aca="false">IF($J453&lt;&gt;"",$J453,"")</f>
        <v/>
      </c>
      <c r="V453" s="52" t="str">
        <f aca="false">IF($A453&lt;&gt;"",$A453,"")</f>
        <v>Apprenant 441</v>
      </c>
      <c r="W453" s="53" t="str">
        <f aca="false">IF(AND(OR('Choix pédagogiques'!$C$3=1,'Choix pédagogiques'!$C$3=2),$BM453=1),B453,IF(AND('Choix pédagogiques'!$C$3=3,$BO453=1),B453,""))</f>
        <v/>
      </c>
      <c r="X453" s="53" t="str">
        <f aca="false">IF(AND(OR('Choix pédagogiques'!$C$3=1,'Choix pédagogiques'!$C$3=2),$BM453=1),C453,IF(AND('Choix pédagogiques'!$C$3=3,$BO453=1),C453,""))</f>
        <v/>
      </c>
      <c r="Y453" s="53" t="str">
        <f aca="false">IF(AND(OR('Choix pédagogiques'!$C$3=1,'Choix pédagogiques'!$C$3=2),$BM453=1),D453,IF(AND('Choix pédagogiques'!$C$3=3,$BO453=1),D453,""))</f>
        <v/>
      </c>
      <c r="Z453" s="53" t="str">
        <f aca="false">IF($E453&lt;&gt;"",$E453,"")</f>
        <v/>
      </c>
      <c r="AA453" s="52" t="str">
        <f aca="false">IF($F453&lt;&gt;"",$F453,"")</f>
        <v>Apprenant 441 ou 441'</v>
      </c>
      <c r="AB453" s="53" t="str">
        <f aca="false">IF(AND(OR('Choix pédagogiques'!$C$3=1,'Choix pédagogiques'!$C$3=2),$BN453=1),G453,IF(AND('Choix pédagogiques'!$C$3=3,$BO453=1),G453,""))</f>
        <v/>
      </c>
      <c r="AC453" s="53" t="str">
        <f aca="false">IF(AND(OR('Choix pédagogiques'!$C$3=1,'Choix pédagogiques'!$C$3=2),$BN453=1),H453,IF(AND('Choix pédagogiques'!$C$3=3,$BO453=1),H453,""))</f>
        <v/>
      </c>
      <c r="AD453" s="53" t="str">
        <f aca="false">IF(AND(OR('Choix pédagogiques'!$C$3=1,'Choix pédagogiques'!$C$3=2),$BN453=1),I453,IF(AND('Choix pédagogiques'!$C$3=3,$BO453=1),I453,""))</f>
        <v/>
      </c>
      <c r="AE453" s="53" t="str">
        <f aca="false">IF($J453&lt;&gt;"",$J453,"")</f>
        <v/>
      </c>
      <c r="AF453" s="52" t="str">
        <f aca="false">IF($A453&lt;&gt;"",$A453,"")</f>
        <v>Apprenant 441</v>
      </c>
      <c r="AG453" s="53" t="str">
        <f aca="false">IF(AND($W453&lt;&gt;"",$X453&lt;&gt;""),$X453-$W453,"")</f>
        <v/>
      </c>
      <c r="AH453" s="53" t="str">
        <f aca="false">IF(AND($W453&lt;&gt;"",$Y453&lt;&gt;""),$Y453-$W453,"")</f>
        <v/>
      </c>
      <c r="AI453" s="53" t="str">
        <f aca="false">IF(AND($X453&lt;&gt;"",$Y453&lt;&gt;""),$Y453-$X453,"")</f>
        <v/>
      </c>
      <c r="AJ453" s="53" t="str">
        <f aca="false">IF($E453&lt;&gt;"",$E453,"")</f>
        <v/>
      </c>
      <c r="AK453" s="52" t="str">
        <f aca="false">IF($F453&lt;&gt;"",$F453,"")</f>
        <v>Apprenant 441 ou 441'</v>
      </c>
      <c r="AL453" s="53" t="str">
        <f aca="false">IF(AND($AB453&lt;&gt;"",$AC453&lt;&gt;""),$AC453-$AB453,"")</f>
        <v/>
      </c>
      <c r="AM453" s="53" t="str">
        <f aca="false">IF(AND($AB453&lt;&gt;"",$AD453&lt;&gt;""),$AD453-$AB453,"")</f>
        <v/>
      </c>
      <c r="AN453" s="53" t="str">
        <f aca="false">IF(AND($AC453&lt;&gt;"",$AD453&lt;&gt;""),$AD453-$AC453,"")</f>
        <v/>
      </c>
      <c r="AO453" s="53" t="str">
        <f aca="false">IF($J453&lt;&gt;"",$J453,"")</f>
        <v/>
      </c>
      <c r="AQ453" s="52" t="str">
        <f aca="false">IF($A453&lt;&gt;"",$A453,"")</f>
        <v>Apprenant 441</v>
      </c>
      <c r="AR453" s="55" t="str">
        <f aca="false">IF(AND('Choix pédagogiques'!$C$4&lt;&gt;"?",'Choix pédagogiques'!$C$5&lt;&gt;"?",W453&lt;&gt;""),(W453-'Choix pédagogiques'!$C$4)/('Choix pédagogiques'!$C$5-'Choix pédagogiques'!$C$4),"")</f>
        <v/>
      </c>
      <c r="AS453" s="55" t="str">
        <f aca="false">IF(AND('Choix pédagogiques'!$C$4&lt;&gt;"?",'Choix pédagogiques'!$C$5&lt;&gt;"?",X453&lt;&gt;""),(X453-'Choix pédagogiques'!$C$4)/('Choix pédagogiques'!$C$5-'Choix pédagogiques'!$C$4),"")</f>
        <v/>
      </c>
      <c r="AT453" s="55" t="str">
        <f aca="false">IF(AND('Choix pédagogiques'!$C$4&lt;&gt;"?",'Choix pédagogiques'!$C$5&lt;&gt;"?",Y453&lt;&gt;""),(Y453-'Choix pédagogiques'!$C$4)/('Choix pédagogiques'!$C$5-'Choix pédagogiques'!$C$4),"")</f>
        <v/>
      </c>
      <c r="AU453" s="53" t="str">
        <f aca="false">IF($E453&lt;&gt;"",$E453,"")</f>
        <v/>
      </c>
      <c r="AV453" s="52" t="str">
        <f aca="false">IF($F453&lt;&gt;"",$F453,"")</f>
        <v>Apprenant 441 ou 441'</v>
      </c>
      <c r="AW453" s="55" t="str">
        <f aca="false">IF(AND('Choix pédagogiques'!$C$4&lt;&gt;"?",'Choix pédagogiques'!$C$5&lt;&gt;"?",AB453&lt;&gt;""),(AB453-'Choix pédagogiques'!$C$4)/('Choix pédagogiques'!$C$5-'Choix pédagogiques'!$C$4),"")</f>
        <v/>
      </c>
      <c r="AX453" s="55" t="str">
        <f aca="false">IF(AND('Choix pédagogiques'!$C$4&lt;&gt;"?",'Choix pédagogiques'!$C$5&lt;&gt;"?",AC453&lt;&gt;""),(AC453-'Choix pédagogiques'!$C$4)/('Choix pédagogiques'!$C$5-'Choix pédagogiques'!$C$4),"")</f>
        <v/>
      </c>
      <c r="AY453" s="55" t="str">
        <f aca="false">IF(AND('Choix pédagogiques'!$C$4&lt;&gt;"?",'Choix pédagogiques'!$C$5&lt;&gt;"?",AD453&lt;&gt;""),(AD453-'Choix pédagogiques'!$C$4)/('Choix pédagogiques'!$C$5-'Choix pédagogiques'!$C$4),"")</f>
        <v/>
      </c>
      <c r="AZ453" s="53" t="str">
        <f aca="false">IF($J453&lt;&gt;"",$J453,"")</f>
        <v/>
      </c>
      <c r="BA453" s="52" t="str">
        <f aca="false">IF($A453&lt;&gt;"",$A453,"")</f>
        <v>Apprenant 441</v>
      </c>
      <c r="BB453" s="55" t="str">
        <f aca="false">IF(AND($AR453&lt;&gt;"",$AS453&lt;&gt;""),$AS453-$AR453,"")</f>
        <v/>
      </c>
      <c r="BC453" s="55" t="str">
        <f aca="false">IF(AND($AR453&lt;&gt;"",$AT453&lt;&gt;""),$AT453-$AR453,"")</f>
        <v/>
      </c>
      <c r="BD453" s="55" t="str">
        <f aca="false">IF(AND($AS453&lt;&gt;"",$AT453&lt;&gt;""),$AT453-$AS453,"")</f>
        <v/>
      </c>
      <c r="BE453" s="53" t="str">
        <f aca="false">IF($E453&lt;&gt;"",$E453,"")</f>
        <v/>
      </c>
      <c r="BF453" s="52" t="str">
        <f aca="false">IF($F453&lt;&gt;"",$F453,"")</f>
        <v>Apprenant 441 ou 441'</v>
      </c>
      <c r="BG453" s="55" t="str">
        <f aca="false">IF(AND($AW453&lt;&gt;"",$AX453&lt;&gt;""),$AX453-$AW453,"")</f>
        <v/>
      </c>
      <c r="BH453" s="55" t="str">
        <f aca="false">IF(AND($AW453&lt;&gt;"",$AY453&lt;&gt;""),$AY453-$AW453,"")</f>
        <v/>
      </c>
      <c r="BI453" s="55" t="str">
        <f aca="false">IF(AND($AX453&lt;&gt;"",$AY453&lt;&gt;""),$AY453-$AX453,"")</f>
        <v/>
      </c>
      <c r="BJ453" s="53" t="str">
        <f aca="false">IF($J453&lt;&gt;"",$J453,"")</f>
        <v/>
      </c>
      <c r="BL453" s="52"/>
      <c r="BM453" s="52" t="str">
        <f aca="false">IF(OR(COUNT(B453:D1452)=0,AND('Choix pédagogiques'!$C$3&lt;&gt;1,'Choix pédagogiques'!$C$3&lt;&gt;2)),"",IF(AND(OR('Choix pédagogiques'!$C$3=1,'Choix pédagogiques'!$C$3=2),$B453&lt;&gt;"",$C453&lt;&gt;"",$D453&lt;&gt;""),1,0))</f>
        <v/>
      </c>
      <c r="BN453" s="52" t="str">
        <f aca="false">IF(OR(COUNT(G453:I1452)=0,AND('Choix pédagogiques'!$C$3&lt;&gt;1,'Choix pédagogiques'!$C$3&lt;&gt;2)),"",IF(AND(OR('Choix pédagogiques'!$C$3=1,'Choix pédagogiques'!$C$3=2),AND($G453&lt;&gt;"",$H453&lt;&gt;"",$I453&lt;&gt;"")),1,0))</f>
        <v/>
      </c>
      <c r="BO453" s="52" t="str">
        <f aca="false">IF(OR(COUNT(B453:D1452)=0,COUNT(G453:I1452)=0,'Choix pédagogiques'!C$3&lt;&gt;3),"",IF(AND('Choix pédagogiques'!$C$3=3,$B453&lt;&gt;"",$C453&lt;&gt;"",$D453&lt;&gt;"",$G453&lt;&gt;"",$H453&lt;&gt;"",$I453&lt;&gt;""),1,0))</f>
        <v/>
      </c>
      <c r="BR453" s="52" t="n">
        <v>6</v>
      </c>
      <c r="BS453" s="52" t="n">
        <v>1165</v>
      </c>
    </row>
    <row r="454" s="54" customFormat="true" ht="18" hidden="false" customHeight="true" outlineLevel="0" collapsed="false">
      <c r="A454" s="57" t="s">
        <v>839</v>
      </c>
      <c r="B454" s="51"/>
      <c r="C454" s="51"/>
      <c r="D454" s="51"/>
      <c r="E454" s="51"/>
      <c r="F454" s="57" t="s">
        <v>840</v>
      </c>
      <c r="G454" s="51"/>
      <c r="H454" s="51"/>
      <c r="I454" s="51"/>
      <c r="J454" s="51"/>
      <c r="K454" s="52" t="str">
        <f aca="false">IF($A454&lt;&gt;"",$A454,"")</f>
        <v>Apprenant 442</v>
      </c>
      <c r="L454" s="53" t="str">
        <f aca="false">IF(AND($B454&lt;&gt;"",$C454&lt;&gt;""),$C454-$B454,"")</f>
        <v/>
      </c>
      <c r="M454" s="53" t="str">
        <f aca="false">IF(AND($B454&lt;&gt;"",$D454&lt;&gt;""),$D454-$B454,"")</f>
        <v/>
      </c>
      <c r="N454" s="53" t="str">
        <f aca="false">IF(AND($C454&lt;&gt;"",$D454&lt;&gt;""),$D454-$C454,"")</f>
        <v/>
      </c>
      <c r="O454" s="53" t="str">
        <f aca="false">IF($E454&lt;&gt;"",$E454,"")</f>
        <v/>
      </c>
      <c r="P454" s="52" t="str">
        <f aca="false">IF($F454&lt;&gt;"",$F454,"")</f>
        <v>Apprenant 442 ou 442'</v>
      </c>
      <c r="Q454" s="53" t="str">
        <f aca="false">IF(AND($G454&lt;&gt;"",$H454&lt;&gt;""),$H454-$G454,"")</f>
        <v/>
      </c>
      <c r="R454" s="53" t="str">
        <f aca="false">IF(AND($G454&lt;&gt;"",$I454&lt;&gt;""),$I454-$G454,"")</f>
        <v/>
      </c>
      <c r="S454" s="53" t="str">
        <f aca="false">IF(AND($H454&lt;&gt;"",$I454&lt;&gt;""),$I454-$H454,"")</f>
        <v/>
      </c>
      <c r="T454" s="53" t="str">
        <f aca="false">IF($J454&lt;&gt;"",$J454,"")</f>
        <v/>
      </c>
      <c r="V454" s="52" t="str">
        <f aca="false">IF($A454&lt;&gt;"",$A454,"")</f>
        <v>Apprenant 442</v>
      </c>
      <c r="W454" s="53" t="str">
        <f aca="false">IF(AND(OR('Choix pédagogiques'!$C$3=1,'Choix pédagogiques'!$C$3=2),$BM454=1),B454,IF(AND('Choix pédagogiques'!$C$3=3,$BO454=1),B454,""))</f>
        <v/>
      </c>
      <c r="X454" s="53" t="str">
        <f aca="false">IF(AND(OR('Choix pédagogiques'!$C$3=1,'Choix pédagogiques'!$C$3=2),$BM454=1),C454,IF(AND('Choix pédagogiques'!$C$3=3,$BO454=1),C454,""))</f>
        <v/>
      </c>
      <c r="Y454" s="53" t="str">
        <f aca="false">IF(AND(OR('Choix pédagogiques'!$C$3=1,'Choix pédagogiques'!$C$3=2),$BM454=1),D454,IF(AND('Choix pédagogiques'!$C$3=3,$BO454=1),D454,""))</f>
        <v/>
      </c>
      <c r="Z454" s="53" t="str">
        <f aca="false">IF($E454&lt;&gt;"",$E454,"")</f>
        <v/>
      </c>
      <c r="AA454" s="52" t="str">
        <f aca="false">IF($F454&lt;&gt;"",$F454,"")</f>
        <v>Apprenant 442 ou 442'</v>
      </c>
      <c r="AB454" s="53" t="str">
        <f aca="false">IF(AND(OR('Choix pédagogiques'!$C$3=1,'Choix pédagogiques'!$C$3=2),$BN454=1),G454,IF(AND('Choix pédagogiques'!$C$3=3,$BO454=1),G454,""))</f>
        <v/>
      </c>
      <c r="AC454" s="53" t="str">
        <f aca="false">IF(AND(OR('Choix pédagogiques'!$C$3=1,'Choix pédagogiques'!$C$3=2),$BN454=1),H454,IF(AND('Choix pédagogiques'!$C$3=3,$BO454=1),H454,""))</f>
        <v/>
      </c>
      <c r="AD454" s="53" t="str">
        <f aca="false">IF(AND(OR('Choix pédagogiques'!$C$3=1,'Choix pédagogiques'!$C$3=2),$BN454=1),I454,IF(AND('Choix pédagogiques'!$C$3=3,$BO454=1),I454,""))</f>
        <v/>
      </c>
      <c r="AE454" s="53" t="str">
        <f aca="false">IF($J454&lt;&gt;"",$J454,"")</f>
        <v/>
      </c>
      <c r="AF454" s="52" t="str">
        <f aca="false">IF($A454&lt;&gt;"",$A454,"")</f>
        <v>Apprenant 442</v>
      </c>
      <c r="AG454" s="53" t="str">
        <f aca="false">IF(AND($W454&lt;&gt;"",$X454&lt;&gt;""),$X454-$W454,"")</f>
        <v/>
      </c>
      <c r="AH454" s="53" t="str">
        <f aca="false">IF(AND($W454&lt;&gt;"",$Y454&lt;&gt;""),$Y454-$W454,"")</f>
        <v/>
      </c>
      <c r="AI454" s="53" t="str">
        <f aca="false">IF(AND($X454&lt;&gt;"",$Y454&lt;&gt;""),$Y454-$X454,"")</f>
        <v/>
      </c>
      <c r="AJ454" s="53" t="str">
        <f aca="false">IF($E454&lt;&gt;"",$E454,"")</f>
        <v/>
      </c>
      <c r="AK454" s="52" t="str">
        <f aca="false">IF($F454&lt;&gt;"",$F454,"")</f>
        <v>Apprenant 442 ou 442'</v>
      </c>
      <c r="AL454" s="53" t="str">
        <f aca="false">IF(AND($AB454&lt;&gt;"",$AC454&lt;&gt;""),$AC454-$AB454,"")</f>
        <v/>
      </c>
      <c r="AM454" s="53" t="str">
        <f aca="false">IF(AND($AB454&lt;&gt;"",$AD454&lt;&gt;""),$AD454-$AB454,"")</f>
        <v/>
      </c>
      <c r="AN454" s="53" t="str">
        <f aca="false">IF(AND($AC454&lt;&gt;"",$AD454&lt;&gt;""),$AD454-$AC454,"")</f>
        <v/>
      </c>
      <c r="AO454" s="53" t="str">
        <f aca="false">IF($J454&lt;&gt;"",$J454,"")</f>
        <v/>
      </c>
      <c r="AQ454" s="52" t="str">
        <f aca="false">IF($A454&lt;&gt;"",$A454,"")</f>
        <v>Apprenant 442</v>
      </c>
      <c r="AR454" s="55" t="str">
        <f aca="false">IF(AND('Choix pédagogiques'!$C$4&lt;&gt;"?",'Choix pédagogiques'!$C$5&lt;&gt;"?",W454&lt;&gt;""),(W454-'Choix pédagogiques'!$C$4)/('Choix pédagogiques'!$C$5-'Choix pédagogiques'!$C$4),"")</f>
        <v/>
      </c>
      <c r="AS454" s="55" t="str">
        <f aca="false">IF(AND('Choix pédagogiques'!$C$4&lt;&gt;"?",'Choix pédagogiques'!$C$5&lt;&gt;"?",X454&lt;&gt;""),(X454-'Choix pédagogiques'!$C$4)/('Choix pédagogiques'!$C$5-'Choix pédagogiques'!$C$4),"")</f>
        <v/>
      </c>
      <c r="AT454" s="55" t="str">
        <f aca="false">IF(AND('Choix pédagogiques'!$C$4&lt;&gt;"?",'Choix pédagogiques'!$C$5&lt;&gt;"?",Y454&lt;&gt;""),(Y454-'Choix pédagogiques'!$C$4)/('Choix pédagogiques'!$C$5-'Choix pédagogiques'!$C$4),"")</f>
        <v/>
      </c>
      <c r="AU454" s="53" t="str">
        <f aca="false">IF($E454&lt;&gt;"",$E454,"")</f>
        <v/>
      </c>
      <c r="AV454" s="52" t="str">
        <f aca="false">IF($F454&lt;&gt;"",$F454,"")</f>
        <v>Apprenant 442 ou 442'</v>
      </c>
      <c r="AW454" s="55" t="str">
        <f aca="false">IF(AND('Choix pédagogiques'!$C$4&lt;&gt;"?",'Choix pédagogiques'!$C$5&lt;&gt;"?",AB454&lt;&gt;""),(AB454-'Choix pédagogiques'!$C$4)/('Choix pédagogiques'!$C$5-'Choix pédagogiques'!$C$4),"")</f>
        <v/>
      </c>
      <c r="AX454" s="55" t="str">
        <f aca="false">IF(AND('Choix pédagogiques'!$C$4&lt;&gt;"?",'Choix pédagogiques'!$C$5&lt;&gt;"?",AC454&lt;&gt;""),(AC454-'Choix pédagogiques'!$C$4)/('Choix pédagogiques'!$C$5-'Choix pédagogiques'!$C$4),"")</f>
        <v/>
      </c>
      <c r="AY454" s="55" t="str">
        <f aca="false">IF(AND('Choix pédagogiques'!$C$4&lt;&gt;"?",'Choix pédagogiques'!$C$5&lt;&gt;"?",AD454&lt;&gt;""),(AD454-'Choix pédagogiques'!$C$4)/('Choix pédagogiques'!$C$5-'Choix pédagogiques'!$C$4),"")</f>
        <v/>
      </c>
      <c r="AZ454" s="53" t="str">
        <f aca="false">IF($J454&lt;&gt;"",$J454,"")</f>
        <v/>
      </c>
      <c r="BA454" s="52" t="str">
        <f aca="false">IF($A454&lt;&gt;"",$A454,"")</f>
        <v>Apprenant 442</v>
      </c>
      <c r="BB454" s="55" t="str">
        <f aca="false">IF(AND($AR454&lt;&gt;"",$AS454&lt;&gt;""),$AS454-$AR454,"")</f>
        <v/>
      </c>
      <c r="BC454" s="55" t="str">
        <f aca="false">IF(AND($AR454&lt;&gt;"",$AT454&lt;&gt;""),$AT454-$AR454,"")</f>
        <v/>
      </c>
      <c r="BD454" s="55" t="str">
        <f aca="false">IF(AND($AS454&lt;&gt;"",$AT454&lt;&gt;""),$AT454-$AS454,"")</f>
        <v/>
      </c>
      <c r="BE454" s="53" t="str">
        <f aca="false">IF($E454&lt;&gt;"",$E454,"")</f>
        <v/>
      </c>
      <c r="BF454" s="52" t="str">
        <f aca="false">IF($F454&lt;&gt;"",$F454,"")</f>
        <v>Apprenant 442 ou 442'</v>
      </c>
      <c r="BG454" s="55" t="str">
        <f aca="false">IF(AND($AW454&lt;&gt;"",$AX454&lt;&gt;""),$AX454-$AW454,"")</f>
        <v/>
      </c>
      <c r="BH454" s="55" t="str">
        <f aca="false">IF(AND($AW454&lt;&gt;"",$AY454&lt;&gt;""),$AY454-$AW454,"")</f>
        <v/>
      </c>
      <c r="BI454" s="55" t="str">
        <f aca="false">IF(AND($AX454&lt;&gt;"",$AY454&lt;&gt;""),$AY454-$AX454,"")</f>
        <v/>
      </c>
      <c r="BJ454" s="53" t="str">
        <f aca="false">IF($J454&lt;&gt;"",$J454,"")</f>
        <v/>
      </c>
      <c r="BL454" s="52"/>
      <c r="BM454" s="52" t="str">
        <f aca="false">IF(OR(COUNT(B454:D1453)=0,AND('Choix pédagogiques'!$C$3&lt;&gt;1,'Choix pédagogiques'!$C$3&lt;&gt;2)),"",IF(AND(OR('Choix pédagogiques'!$C$3=1,'Choix pédagogiques'!$C$3=2),$B454&lt;&gt;"",$C454&lt;&gt;"",$D454&lt;&gt;""),1,0))</f>
        <v/>
      </c>
      <c r="BN454" s="52" t="str">
        <f aca="false">IF(OR(COUNT(G454:I1453)=0,AND('Choix pédagogiques'!$C$3&lt;&gt;1,'Choix pédagogiques'!$C$3&lt;&gt;2)),"",IF(AND(OR('Choix pédagogiques'!$C$3=1,'Choix pédagogiques'!$C$3=2),AND($G454&lt;&gt;"",$H454&lt;&gt;"",$I454&lt;&gt;"")),1,0))</f>
        <v/>
      </c>
      <c r="BO454" s="52" t="str">
        <f aca="false">IF(OR(COUNT(B454:D1453)=0,COUNT(G454:I1453)=0,'Choix pédagogiques'!C$3&lt;&gt;3),"",IF(AND('Choix pédagogiques'!$C$3=3,$B454&lt;&gt;"",$C454&lt;&gt;"",$D454&lt;&gt;"",$G454&lt;&gt;"",$H454&lt;&gt;"",$I454&lt;&gt;""),1,0))</f>
        <v/>
      </c>
      <c r="BR454" s="52" t="n">
        <v>494</v>
      </c>
      <c r="BS454" s="52" t="n">
        <v>1017</v>
      </c>
    </row>
    <row r="455" s="54" customFormat="true" ht="18" hidden="false" customHeight="true" outlineLevel="0" collapsed="false">
      <c r="A455" s="57" t="s">
        <v>841</v>
      </c>
      <c r="B455" s="51"/>
      <c r="C455" s="51"/>
      <c r="D455" s="51"/>
      <c r="E455" s="51"/>
      <c r="F455" s="57" t="s">
        <v>842</v>
      </c>
      <c r="G455" s="51"/>
      <c r="H455" s="51"/>
      <c r="I455" s="51"/>
      <c r="J455" s="51"/>
      <c r="K455" s="52" t="str">
        <f aca="false">IF($A455&lt;&gt;"",$A455,"")</f>
        <v>Apprenant 443</v>
      </c>
      <c r="L455" s="53" t="str">
        <f aca="false">IF(AND($B455&lt;&gt;"",$C455&lt;&gt;""),$C455-$B455,"")</f>
        <v/>
      </c>
      <c r="M455" s="53" t="str">
        <f aca="false">IF(AND($B455&lt;&gt;"",$D455&lt;&gt;""),$D455-$B455,"")</f>
        <v/>
      </c>
      <c r="N455" s="53" t="str">
        <f aca="false">IF(AND($C455&lt;&gt;"",$D455&lt;&gt;""),$D455-$C455,"")</f>
        <v/>
      </c>
      <c r="O455" s="53" t="str">
        <f aca="false">IF($E455&lt;&gt;"",$E455,"")</f>
        <v/>
      </c>
      <c r="P455" s="52" t="str">
        <f aca="false">IF($F455&lt;&gt;"",$F455,"")</f>
        <v>Apprenant 443 ou 443'</v>
      </c>
      <c r="Q455" s="53" t="str">
        <f aca="false">IF(AND($G455&lt;&gt;"",$H455&lt;&gt;""),$H455-$G455,"")</f>
        <v/>
      </c>
      <c r="R455" s="53" t="str">
        <f aca="false">IF(AND($G455&lt;&gt;"",$I455&lt;&gt;""),$I455-$G455,"")</f>
        <v/>
      </c>
      <c r="S455" s="53" t="str">
        <f aca="false">IF(AND($H455&lt;&gt;"",$I455&lt;&gt;""),$I455-$H455,"")</f>
        <v/>
      </c>
      <c r="T455" s="53" t="str">
        <f aca="false">IF($J455&lt;&gt;"",$J455,"")</f>
        <v/>
      </c>
      <c r="V455" s="52" t="str">
        <f aca="false">IF($A455&lt;&gt;"",$A455,"")</f>
        <v>Apprenant 443</v>
      </c>
      <c r="W455" s="53" t="str">
        <f aca="false">IF(AND(OR('Choix pédagogiques'!$C$3=1,'Choix pédagogiques'!$C$3=2),$BM455=1),B455,IF(AND('Choix pédagogiques'!$C$3=3,$BO455=1),B455,""))</f>
        <v/>
      </c>
      <c r="X455" s="53" t="str">
        <f aca="false">IF(AND(OR('Choix pédagogiques'!$C$3=1,'Choix pédagogiques'!$C$3=2),$BM455=1),C455,IF(AND('Choix pédagogiques'!$C$3=3,$BO455=1),C455,""))</f>
        <v/>
      </c>
      <c r="Y455" s="53" t="str">
        <f aca="false">IF(AND(OR('Choix pédagogiques'!$C$3=1,'Choix pédagogiques'!$C$3=2),$BM455=1),D455,IF(AND('Choix pédagogiques'!$C$3=3,$BO455=1),D455,""))</f>
        <v/>
      </c>
      <c r="Z455" s="53" t="str">
        <f aca="false">IF($E455&lt;&gt;"",$E455,"")</f>
        <v/>
      </c>
      <c r="AA455" s="52" t="str">
        <f aca="false">IF($F455&lt;&gt;"",$F455,"")</f>
        <v>Apprenant 443 ou 443'</v>
      </c>
      <c r="AB455" s="53" t="str">
        <f aca="false">IF(AND(OR('Choix pédagogiques'!$C$3=1,'Choix pédagogiques'!$C$3=2),$BN455=1),G455,IF(AND('Choix pédagogiques'!$C$3=3,$BO455=1),G455,""))</f>
        <v/>
      </c>
      <c r="AC455" s="53" t="str">
        <f aca="false">IF(AND(OR('Choix pédagogiques'!$C$3=1,'Choix pédagogiques'!$C$3=2),$BN455=1),H455,IF(AND('Choix pédagogiques'!$C$3=3,$BO455=1),H455,""))</f>
        <v/>
      </c>
      <c r="AD455" s="53" t="str">
        <f aca="false">IF(AND(OR('Choix pédagogiques'!$C$3=1,'Choix pédagogiques'!$C$3=2),$BN455=1),I455,IF(AND('Choix pédagogiques'!$C$3=3,$BO455=1),I455,""))</f>
        <v/>
      </c>
      <c r="AE455" s="53" t="str">
        <f aca="false">IF($J455&lt;&gt;"",$J455,"")</f>
        <v/>
      </c>
      <c r="AF455" s="52" t="str">
        <f aca="false">IF($A455&lt;&gt;"",$A455,"")</f>
        <v>Apprenant 443</v>
      </c>
      <c r="AG455" s="53" t="str">
        <f aca="false">IF(AND($W455&lt;&gt;"",$X455&lt;&gt;""),$X455-$W455,"")</f>
        <v/>
      </c>
      <c r="AH455" s="53" t="str">
        <f aca="false">IF(AND($W455&lt;&gt;"",$Y455&lt;&gt;""),$Y455-$W455,"")</f>
        <v/>
      </c>
      <c r="AI455" s="53" t="str">
        <f aca="false">IF(AND($X455&lt;&gt;"",$Y455&lt;&gt;""),$Y455-$X455,"")</f>
        <v/>
      </c>
      <c r="AJ455" s="53" t="str">
        <f aca="false">IF($E455&lt;&gt;"",$E455,"")</f>
        <v/>
      </c>
      <c r="AK455" s="52" t="str">
        <f aca="false">IF($F455&lt;&gt;"",$F455,"")</f>
        <v>Apprenant 443 ou 443'</v>
      </c>
      <c r="AL455" s="53" t="str">
        <f aca="false">IF(AND($AB455&lt;&gt;"",$AC455&lt;&gt;""),$AC455-$AB455,"")</f>
        <v/>
      </c>
      <c r="AM455" s="53" t="str">
        <f aca="false">IF(AND($AB455&lt;&gt;"",$AD455&lt;&gt;""),$AD455-$AB455,"")</f>
        <v/>
      </c>
      <c r="AN455" s="53" t="str">
        <f aca="false">IF(AND($AC455&lt;&gt;"",$AD455&lt;&gt;""),$AD455-$AC455,"")</f>
        <v/>
      </c>
      <c r="AO455" s="53" t="str">
        <f aca="false">IF($J455&lt;&gt;"",$J455,"")</f>
        <v/>
      </c>
      <c r="AQ455" s="52" t="str">
        <f aca="false">IF($A455&lt;&gt;"",$A455,"")</f>
        <v>Apprenant 443</v>
      </c>
      <c r="AR455" s="55" t="str">
        <f aca="false">IF(AND('Choix pédagogiques'!$C$4&lt;&gt;"?",'Choix pédagogiques'!$C$5&lt;&gt;"?",W455&lt;&gt;""),(W455-'Choix pédagogiques'!$C$4)/('Choix pédagogiques'!$C$5-'Choix pédagogiques'!$C$4),"")</f>
        <v/>
      </c>
      <c r="AS455" s="55" t="str">
        <f aca="false">IF(AND('Choix pédagogiques'!$C$4&lt;&gt;"?",'Choix pédagogiques'!$C$5&lt;&gt;"?",X455&lt;&gt;""),(X455-'Choix pédagogiques'!$C$4)/('Choix pédagogiques'!$C$5-'Choix pédagogiques'!$C$4),"")</f>
        <v/>
      </c>
      <c r="AT455" s="55" t="str">
        <f aca="false">IF(AND('Choix pédagogiques'!$C$4&lt;&gt;"?",'Choix pédagogiques'!$C$5&lt;&gt;"?",Y455&lt;&gt;""),(Y455-'Choix pédagogiques'!$C$4)/('Choix pédagogiques'!$C$5-'Choix pédagogiques'!$C$4),"")</f>
        <v/>
      </c>
      <c r="AU455" s="53" t="str">
        <f aca="false">IF($E455&lt;&gt;"",$E455,"")</f>
        <v/>
      </c>
      <c r="AV455" s="52" t="str">
        <f aca="false">IF($F455&lt;&gt;"",$F455,"")</f>
        <v>Apprenant 443 ou 443'</v>
      </c>
      <c r="AW455" s="55" t="str">
        <f aca="false">IF(AND('Choix pédagogiques'!$C$4&lt;&gt;"?",'Choix pédagogiques'!$C$5&lt;&gt;"?",AB455&lt;&gt;""),(AB455-'Choix pédagogiques'!$C$4)/('Choix pédagogiques'!$C$5-'Choix pédagogiques'!$C$4),"")</f>
        <v/>
      </c>
      <c r="AX455" s="55" t="str">
        <f aca="false">IF(AND('Choix pédagogiques'!$C$4&lt;&gt;"?",'Choix pédagogiques'!$C$5&lt;&gt;"?",AC455&lt;&gt;""),(AC455-'Choix pédagogiques'!$C$4)/('Choix pédagogiques'!$C$5-'Choix pédagogiques'!$C$4),"")</f>
        <v/>
      </c>
      <c r="AY455" s="55" t="str">
        <f aca="false">IF(AND('Choix pédagogiques'!$C$4&lt;&gt;"?",'Choix pédagogiques'!$C$5&lt;&gt;"?",AD455&lt;&gt;""),(AD455-'Choix pédagogiques'!$C$4)/('Choix pédagogiques'!$C$5-'Choix pédagogiques'!$C$4),"")</f>
        <v/>
      </c>
      <c r="AZ455" s="53" t="str">
        <f aca="false">IF($J455&lt;&gt;"",$J455,"")</f>
        <v/>
      </c>
      <c r="BA455" s="52" t="str">
        <f aca="false">IF($A455&lt;&gt;"",$A455,"")</f>
        <v>Apprenant 443</v>
      </c>
      <c r="BB455" s="55" t="str">
        <f aca="false">IF(AND($AR455&lt;&gt;"",$AS455&lt;&gt;""),$AS455-$AR455,"")</f>
        <v/>
      </c>
      <c r="BC455" s="55" t="str">
        <f aca="false">IF(AND($AR455&lt;&gt;"",$AT455&lt;&gt;""),$AT455-$AR455,"")</f>
        <v/>
      </c>
      <c r="BD455" s="55" t="str">
        <f aca="false">IF(AND($AS455&lt;&gt;"",$AT455&lt;&gt;""),$AT455-$AS455,"")</f>
        <v/>
      </c>
      <c r="BE455" s="53" t="str">
        <f aca="false">IF($E455&lt;&gt;"",$E455,"")</f>
        <v/>
      </c>
      <c r="BF455" s="52" t="str">
        <f aca="false">IF($F455&lt;&gt;"",$F455,"")</f>
        <v>Apprenant 443 ou 443'</v>
      </c>
      <c r="BG455" s="55" t="str">
        <f aca="false">IF(AND($AW455&lt;&gt;"",$AX455&lt;&gt;""),$AX455-$AW455,"")</f>
        <v/>
      </c>
      <c r="BH455" s="55" t="str">
        <f aca="false">IF(AND($AW455&lt;&gt;"",$AY455&lt;&gt;""),$AY455-$AW455,"")</f>
        <v/>
      </c>
      <c r="BI455" s="55" t="str">
        <f aca="false">IF(AND($AX455&lt;&gt;"",$AY455&lt;&gt;""),$AY455-$AX455,"")</f>
        <v/>
      </c>
      <c r="BJ455" s="53" t="str">
        <f aca="false">IF($J455&lt;&gt;"",$J455,"")</f>
        <v/>
      </c>
      <c r="BL455" s="52"/>
      <c r="BM455" s="52" t="str">
        <f aca="false">IF(OR(COUNT(B455:D1454)=0,AND('Choix pédagogiques'!$C$3&lt;&gt;1,'Choix pédagogiques'!$C$3&lt;&gt;2)),"",IF(AND(OR('Choix pédagogiques'!$C$3=1,'Choix pédagogiques'!$C$3=2),$B455&lt;&gt;"",$C455&lt;&gt;"",$D455&lt;&gt;""),1,0))</f>
        <v/>
      </c>
      <c r="BN455" s="52" t="str">
        <f aca="false">IF(OR(COUNT(G455:I1454)=0,AND('Choix pédagogiques'!$C$3&lt;&gt;1,'Choix pédagogiques'!$C$3&lt;&gt;2)),"",IF(AND(OR('Choix pédagogiques'!$C$3=1,'Choix pédagogiques'!$C$3=2),AND($G455&lt;&gt;"",$H455&lt;&gt;"",$I455&lt;&gt;"")),1,0))</f>
        <v/>
      </c>
      <c r="BO455" s="52" t="str">
        <f aca="false">IF(OR(COUNT(B455:D1454)=0,COUNT(G455:I1454)=0,'Choix pédagogiques'!C$3&lt;&gt;3),"",IF(AND('Choix pédagogiques'!$C$3=3,$B455&lt;&gt;"",$C455&lt;&gt;"",$D455&lt;&gt;"",$G455&lt;&gt;"",$H455&lt;&gt;"",$I455&lt;&gt;""),1,0))</f>
        <v/>
      </c>
      <c r="BR455" s="52" t="n">
        <v>714</v>
      </c>
      <c r="BS455" s="52" t="n">
        <v>1245</v>
      </c>
    </row>
    <row r="456" s="54" customFormat="true" ht="18" hidden="false" customHeight="true" outlineLevel="0" collapsed="false">
      <c r="A456" s="57" t="s">
        <v>843</v>
      </c>
      <c r="B456" s="51"/>
      <c r="C456" s="51"/>
      <c r="D456" s="51"/>
      <c r="E456" s="51"/>
      <c r="F456" s="57" t="s">
        <v>844</v>
      </c>
      <c r="G456" s="51"/>
      <c r="H456" s="51"/>
      <c r="I456" s="51"/>
      <c r="J456" s="51"/>
      <c r="K456" s="52" t="str">
        <f aca="false">IF($A456&lt;&gt;"",$A456,"")</f>
        <v>Apprenant 444</v>
      </c>
      <c r="L456" s="53" t="str">
        <f aca="false">IF(AND($B456&lt;&gt;"",$C456&lt;&gt;""),$C456-$B456,"")</f>
        <v/>
      </c>
      <c r="M456" s="53" t="str">
        <f aca="false">IF(AND($B456&lt;&gt;"",$D456&lt;&gt;""),$D456-$B456,"")</f>
        <v/>
      </c>
      <c r="N456" s="53" t="str">
        <f aca="false">IF(AND($C456&lt;&gt;"",$D456&lt;&gt;""),$D456-$C456,"")</f>
        <v/>
      </c>
      <c r="O456" s="53" t="str">
        <f aca="false">IF($E456&lt;&gt;"",$E456,"")</f>
        <v/>
      </c>
      <c r="P456" s="52" t="str">
        <f aca="false">IF($F456&lt;&gt;"",$F456,"")</f>
        <v>Apprenant 444 ou 444'</v>
      </c>
      <c r="Q456" s="53" t="str">
        <f aca="false">IF(AND($G456&lt;&gt;"",$H456&lt;&gt;""),$H456-$G456,"")</f>
        <v/>
      </c>
      <c r="R456" s="53" t="str">
        <f aca="false">IF(AND($G456&lt;&gt;"",$I456&lt;&gt;""),$I456-$G456,"")</f>
        <v/>
      </c>
      <c r="S456" s="53" t="str">
        <f aca="false">IF(AND($H456&lt;&gt;"",$I456&lt;&gt;""),$I456-$H456,"")</f>
        <v/>
      </c>
      <c r="T456" s="53" t="str">
        <f aca="false">IF($J456&lt;&gt;"",$J456,"")</f>
        <v/>
      </c>
      <c r="V456" s="52" t="str">
        <f aca="false">IF($A456&lt;&gt;"",$A456,"")</f>
        <v>Apprenant 444</v>
      </c>
      <c r="W456" s="53" t="str">
        <f aca="false">IF(AND(OR('Choix pédagogiques'!$C$3=1,'Choix pédagogiques'!$C$3=2),$BM456=1),B456,IF(AND('Choix pédagogiques'!$C$3=3,$BO456=1),B456,""))</f>
        <v/>
      </c>
      <c r="X456" s="53" t="str">
        <f aca="false">IF(AND(OR('Choix pédagogiques'!$C$3=1,'Choix pédagogiques'!$C$3=2),$BM456=1),C456,IF(AND('Choix pédagogiques'!$C$3=3,$BO456=1),C456,""))</f>
        <v/>
      </c>
      <c r="Y456" s="53" t="str">
        <f aca="false">IF(AND(OR('Choix pédagogiques'!$C$3=1,'Choix pédagogiques'!$C$3=2),$BM456=1),D456,IF(AND('Choix pédagogiques'!$C$3=3,$BO456=1),D456,""))</f>
        <v/>
      </c>
      <c r="Z456" s="53" t="str">
        <f aca="false">IF($E456&lt;&gt;"",$E456,"")</f>
        <v/>
      </c>
      <c r="AA456" s="52" t="str">
        <f aca="false">IF($F456&lt;&gt;"",$F456,"")</f>
        <v>Apprenant 444 ou 444'</v>
      </c>
      <c r="AB456" s="53" t="str">
        <f aca="false">IF(AND(OR('Choix pédagogiques'!$C$3=1,'Choix pédagogiques'!$C$3=2),$BN456=1),G456,IF(AND('Choix pédagogiques'!$C$3=3,$BO456=1),G456,""))</f>
        <v/>
      </c>
      <c r="AC456" s="53" t="str">
        <f aca="false">IF(AND(OR('Choix pédagogiques'!$C$3=1,'Choix pédagogiques'!$C$3=2),$BN456=1),H456,IF(AND('Choix pédagogiques'!$C$3=3,$BO456=1),H456,""))</f>
        <v/>
      </c>
      <c r="AD456" s="53" t="str">
        <f aca="false">IF(AND(OR('Choix pédagogiques'!$C$3=1,'Choix pédagogiques'!$C$3=2),$BN456=1),I456,IF(AND('Choix pédagogiques'!$C$3=3,$BO456=1),I456,""))</f>
        <v/>
      </c>
      <c r="AE456" s="53" t="str">
        <f aca="false">IF($J456&lt;&gt;"",$J456,"")</f>
        <v/>
      </c>
      <c r="AF456" s="52" t="str">
        <f aca="false">IF($A456&lt;&gt;"",$A456,"")</f>
        <v>Apprenant 444</v>
      </c>
      <c r="AG456" s="53" t="str">
        <f aca="false">IF(AND($W456&lt;&gt;"",$X456&lt;&gt;""),$X456-$W456,"")</f>
        <v/>
      </c>
      <c r="AH456" s="53" t="str">
        <f aca="false">IF(AND($W456&lt;&gt;"",$Y456&lt;&gt;""),$Y456-$W456,"")</f>
        <v/>
      </c>
      <c r="AI456" s="53" t="str">
        <f aca="false">IF(AND($X456&lt;&gt;"",$Y456&lt;&gt;""),$Y456-$X456,"")</f>
        <v/>
      </c>
      <c r="AJ456" s="53" t="str">
        <f aca="false">IF($E456&lt;&gt;"",$E456,"")</f>
        <v/>
      </c>
      <c r="AK456" s="52" t="str">
        <f aca="false">IF($F456&lt;&gt;"",$F456,"")</f>
        <v>Apprenant 444 ou 444'</v>
      </c>
      <c r="AL456" s="53" t="str">
        <f aca="false">IF(AND($AB456&lt;&gt;"",$AC456&lt;&gt;""),$AC456-$AB456,"")</f>
        <v/>
      </c>
      <c r="AM456" s="53" t="str">
        <f aca="false">IF(AND($AB456&lt;&gt;"",$AD456&lt;&gt;""),$AD456-$AB456,"")</f>
        <v/>
      </c>
      <c r="AN456" s="53" t="str">
        <f aca="false">IF(AND($AC456&lt;&gt;"",$AD456&lt;&gt;""),$AD456-$AC456,"")</f>
        <v/>
      </c>
      <c r="AO456" s="53" t="str">
        <f aca="false">IF($J456&lt;&gt;"",$J456,"")</f>
        <v/>
      </c>
      <c r="AQ456" s="52" t="str">
        <f aca="false">IF($A456&lt;&gt;"",$A456,"")</f>
        <v>Apprenant 444</v>
      </c>
      <c r="AR456" s="55" t="str">
        <f aca="false">IF(AND('Choix pédagogiques'!$C$4&lt;&gt;"?",'Choix pédagogiques'!$C$5&lt;&gt;"?",W456&lt;&gt;""),(W456-'Choix pédagogiques'!$C$4)/('Choix pédagogiques'!$C$5-'Choix pédagogiques'!$C$4),"")</f>
        <v/>
      </c>
      <c r="AS456" s="55" t="str">
        <f aca="false">IF(AND('Choix pédagogiques'!$C$4&lt;&gt;"?",'Choix pédagogiques'!$C$5&lt;&gt;"?",X456&lt;&gt;""),(X456-'Choix pédagogiques'!$C$4)/('Choix pédagogiques'!$C$5-'Choix pédagogiques'!$C$4),"")</f>
        <v/>
      </c>
      <c r="AT456" s="55" t="str">
        <f aca="false">IF(AND('Choix pédagogiques'!$C$4&lt;&gt;"?",'Choix pédagogiques'!$C$5&lt;&gt;"?",Y456&lt;&gt;""),(Y456-'Choix pédagogiques'!$C$4)/('Choix pédagogiques'!$C$5-'Choix pédagogiques'!$C$4),"")</f>
        <v/>
      </c>
      <c r="AU456" s="53" t="str">
        <f aca="false">IF($E456&lt;&gt;"",$E456,"")</f>
        <v/>
      </c>
      <c r="AV456" s="52" t="str">
        <f aca="false">IF($F456&lt;&gt;"",$F456,"")</f>
        <v>Apprenant 444 ou 444'</v>
      </c>
      <c r="AW456" s="55" t="str">
        <f aca="false">IF(AND('Choix pédagogiques'!$C$4&lt;&gt;"?",'Choix pédagogiques'!$C$5&lt;&gt;"?",AB456&lt;&gt;""),(AB456-'Choix pédagogiques'!$C$4)/('Choix pédagogiques'!$C$5-'Choix pédagogiques'!$C$4),"")</f>
        <v/>
      </c>
      <c r="AX456" s="55" t="str">
        <f aca="false">IF(AND('Choix pédagogiques'!$C$4&lt;&gt;"?",'Choix pédagogiques'!$C$5&lt;&gt;"?",AC456&lt;&gt;""),(AC456-'Choix pédagogiques'!$C$4)/('Choix pédagogiques'!$C$5-'Choix pédagogiques'!$C$4),"")</f>
        <v/>
      </c>
      <c r="AY456" s="55" t="str">
        <f aca="false">IF(AND('Choix pédagogiques'!$C$4&lt;&gt;"?",'Choix pédagogiques'!$C$5&lt;&gt;"?",AD456&lt;&gt;""),(AD456-'Choix pédagogiques'!$C$4)/('Choix pédagogiques'!$C$5-'Choix pédagogiques'!$C$4),"")</f>
        <v/>
      </c>
      <c r="AZ456" s="53" t="str">
        <f aca="false">IF($J456&lt;&gt;"",$J456,"")</f>
        <v/>
      </c>
      <c r="BA456" s="52" t="str">
        <f aca="false">IF($A456&lt;&gt;"",$A456,"")</f>
        <v>Apprenant 444</v>
      </c>
      <c r="BB456" s="55" t="str">
        <f aca="false">IF(AND($AR456&lt;&gt;"",$AS456&lt;&gt;""),$AS456-$AR456,"")</f>
        <v/>
      </c>
      <c r="BC456" s="55" t="str">
        <f aca="false">IF(AND($AR456&lt;&gt;"",$AT456&lt;&gt;""),$AT456-$AR456,"")</f>
        <v/>
      </c>
      <c r="BD456" s="55" t="str">
        <f aca="false">IF(AND($AS456&lt;&gt;"",$AT456&lt;&gt;""),$AT456-$AS456,"")</f>
        <v/>
      </c>
      <c r="BE456" s="53" t="str">
        <f aca="false">IF($E456&lt;&gt;"",$E456,"")</f>
        <v/>
      </c>
      <c r="BF456" s="52" t="str">
        <f aca="false">IF($F456&lt;&gt;"",$F456,"")</f>
        <v>Apprenant 444 ou 444'</v>
      </c>
      <c r="BG456" s="55" t="str">
        <f aca="false">IF(AND($AW456&lt;&gt;"",$AX456&lt;&gt;""),$AX456-$AW456,"")</f>
        <v/>
      </c>
      <c r="BH456" s="55" t="str">
        <f aca="false">IF(AND($AW456&lt;&gt;"",$AY456&lt;&gt;""),$AY456-$AW456,"")</f>
        <v/>
      </c>
      <c r="BI456" s="55" t="str">
        <f aca="false">IF(AND($AX456&lt;&gt;"",$AY456&lt;&gt;""),$AY456-$AX456,"")</f>
        <v/>
      </c>
      <c r="BJ456" s="53" t="str">
        <f aca="false">IF($J456&lt;&gt;"",$J456,"")</f>
        <v/>
      </c>
      <c r="BL456" s="52"/>
      <c r="BM456" s="52" t="str">
        <f aca="false">IF(OR(COUNT(B456:D1455)=0,AND('Choix pédagogiques'!$C$3&lt;&gt;1,'Choix pédagogiques'!$C$3&lt;&gt;2)),"",IF(AND(OR('Choix pédagogiques'!$C$3=1,'Choix pédagogiques'!$C$3=2),$B456&lt;&gt;"",$C456&lt;&gt;"",$D456&lt;&gt;""),1,0))</f>
        <v/>
      </c>
      <c r="BN456" s="52" t="str">
        <f aca="false">IF(OR(COUNT(G456:I1455)=0,AND('Choix pédagogiques'!$C$3&lt;&gt;1,'Choix pédagogiques'!$C$3&lt;&gt;2)),"",IF(AND(OR('Choix pédagogiques'!$C$3=1,'Choix pédagogiques'!$C$3=2),AND($G456&lt;&gt;"",$H456&lt;&gt;"",$I456&lt;&gt;"")),1,0))</f>
        <v/>
      </c>
      <c r="BO456" s="52" t="str">
        <f aca="false">IF(OR(COUNT(B456:D1455)=0,COUNT(G456:I1455)=0,'Choix pédagogiques'!C$3&lt;&gt;3),"",IF(AND('Choix pédagogiques'!$C$3=3,$B456&lt;&gt;"",$C456&lt;&gt;"",$D456&lt;&gt;"",$G456&lt;&gt;"",$H456&lt;&gt;"",$I456&lt;&gt;""),1,0))</f>
        <v/>
      </c>
      <c r="BR456" s="52" t="n">
        <v>636</v>
      </c>
      <c r="BS456" s="52" t="n">
        <v>1321</v>
      </c>
    </row>
    <row r="457" s="54" customFormat="true" ht="18" hidden="false" customHeight="true" outlineLevel="0" collapsed="false">
      <c r="A457" s="57" t="s">
        <v>845</v>
      </c>
      <c r="B457" s="51"/>
      <c r="C457" s="51"/>
      <c r="D457" s="51"/>
      <c r="E457" s="51"/>
      <c r="F457" s="57" t="s">
        <v>846</v>
      </c>
      <c r="G457" s="51"/>
      <c r="H457" s="51"/>
      <c r="I457" s="51"/>
      <c r="J457" s="51"/>
      <c r="K457" s="52" t="str">
        <f aca="false">IF($A457&lt;&gt;"",$A457,"")</f>
        <v>Apprenant 445</v>
      </c>
      <c r="L457" s="53" t="str">
        <f aca="false">IF(AND($B457&lt;&gt;"",$C457&lt;&gt;""),$C457-$B457,"")</f>
        <v/>
      </c>
      <c r="M457" s="53" t="str">
        <f aca="false">IF(AND($B457&lt;&gt;"",$D457&lt;&gt;""),$D457-$B457,"")</f>
        <v/>
      </c>
      <c r="N457" s="53" t="str">
        <f aca="false">IF(AND($C457&lt;&gt;"",$D457&lt;&gt;""),$D457-$C457,"")</f>
        <v/>
      </c>
      <c r="O457" s="53" t="str">
        <f aca="false">IF($E457&lt;&gt;"",$E457,"")</f>
        <v/>
      </c>
      <c r="P457" s="52" t="str">
        <f aca="false">IF($F457&lt;&gt;"",$F457,"")</f>
        <v>Apprenant 445 ou 445'</v>
      </c>
      <c r="Q457" s="53" t="str">
        <f aca="false">IF(AND($G457&lt;&gt;"",$H457&lt;&gt;""),$H457-$G457,"")</f>
        <v/>
      </c>
      <c r="R457" s="53" t="str">
        <f aca="false">IF(AND($G457&lt;&gt;"",$I457&lt;&gt;""),$I457-$G457,"")</f>
        <v/>
      </c>
      <c r="S457" s="53" t="str">
        <f aca="false">IF(AND($H457&lt;&gt;"",$I457&lt;&gt;""),$I457-$H457,"")</f>
        <v/>
      </c>
      <c r="T457" s="53" t="str">
        <f aca="false">IF($J457&lt;&gt;"",$J457,"")</f>
        <v/>
      </c>
      <c r="V457" s="52" t="str">
        <f aca="false">IF($A457&lt;&gt;"",$A457,"")</f>
        <v>Apprenant 445</v>
      </c>
      <c r="W457" s="53" t="str">
        <f aca="false">IF(AND(OR('Choix pédagogiques'!$C$3=1,'Choix pédagogiques'!$C$3=2),$BM457=1),B457,IF(AND('Choix pédagogiques'!$C$3=3,$BO457=1),B457,""))</f>
        <v/>
      </c>
      <c r="X457" s="53" t="str">
        <f aca="false">IF(AND(OR('Choix pédagogiques'!$C$3=1,'Choix pédagogiques'!$C$3=2),$BM457=1),C457,IF(AND('Choix pédagogiques'!$C$3=3,$BO457=1),C457,""))</f>
        <v/>
      </c>
      <c r="Y457" s="53" t="str">
        <f aca="false">IF(AND(OR('Choix pédagogiques'!$C$3=1,'Choix pédagogiques'!$C$3=2),$BM457=1),D457,IF(AND('Choix pédagogiques'!$C$3=3,$BO457=1),D457,""))</f>
        <v/>
      </c>
      <c r="Z457" s="53" t="str">
        <f aca="false">IF($E457&lt;&gt;"",$E457,"")</f>
        <v/>
      </c>
      <c r="AA457" s="52" t="str">
        <f aca="false">IF($F457&lt;&gt;"",$F457,"")</f>
        <v>Apprenant 445 ou 445'</v>
      </c>
      <c r="AB457" s="53" t="str">
        <f aca="false">IF(AND(OR('Choix pédagogiques'!$C$3=1,'Choix pédagogiques'!$C$3=2),$BN457=1),G457,IF(AND('Choix pédagogiques'!$C$3=3,$BO457=1),G457,""))</f>
        <v/>
      </c>
      <c r="AC457" s="53" t="str">
        <f aca="false">IF(AND(OR('Choix pédagogiques'!$C$3=1,'Choix pédagogiques'!$C$3=2),$BN457=1),H457,IF(AND('Choix pédagogiques'!$C$3=3,$BO457=1),H457,""))</f>
        <v/>
      </c>
      <c r="AD457" s="53" t="str">
        <f aca="false">IF(AND(OR('Choix pédagogiques'!$C$3=1,'Choix pédagogiques'!$C$3=2),$BN457=1),I457,IF(AND('Choix pédagogiques'!$C$3=3,$BO457=1),I457,""))</f>
        <v/>
      </c>
      <c r="AE457" s="53" t="str">
        <f aca="false">IF($J457&lt;&gt;"",$J457,"")</f>
        <v/>
      </c>
      <c r="AF457" s="52" t="str">
        <f aca="false">IF($A457&lt;&gt;"",$A457,"")</f>
        <v>Apprenant 445</v>
      </c>
      <c r="AG457" s="53" t="str">
        <f aca="false">IF(AND($W457&lt;&gt;"",$X457&lt;&gt;""),$X457-$W457,"")</f>
        <v/>
      </c>
      <c r="AH457" s="53" t="str">
        <f aca="false">IF(AND($W457&lt;&gt;"",$Y457&lt;&gt;""),$Y457-$W457,"")</f>
        <v/>
      </c>
      <c r="AI457" s="53" t="str">
        <f aca="false">IF(AND($X457&lt;&gt;"",$Y457&lt;&gt;""),$Y457-$X457,"")</f>
        <v/>
      </c>
      <c r="AJ457" s="53" t="str">
        <f aca="false">IF($E457&lt;&gt;"",$E457,"")</f>
        <v/>
      </c>
      <c r="AK457" s="52" t="str">
        <f aca="false">IF($F457&lt;&gt;"",$F457,"")</f>
        <v>Apprenant 445 ou 445'</v>
      </c>
      <c r="AL457" s="53" t="str">
        <f aca="false">IF(AND($AB457&lt;&gt;"",$AC457&lt;&gt;""),$AC457-$AB457,"")</f>
        <v/>
      </c>
      <c r="AM457" s="53" t="str">
        <f aca="false">IF(AND($AB457&lt;&gt;"",$AD457&lt;&gt;""),$AD457-$AB457,"")</f>
        <v/>
      </c>
      <c r="AN457" s="53" t="str">
        <f aca="false">IF(AND($AC457&lt;&gt;"",$AD457&lt;&gt;""),$AD457-$AC457,"")</f>
        <v/>
      </c>
      <c r="AO457" s="53" t="str">
        <f aca="false">IF($J457&lt;&gt;"",$J457,"")</f>
        <v/>
      </c>
      <c r="AQ457" s="52" t="str">
        <f aca="false">IF($A457&lt;&gt;"",$A457,"")</f>
        <v>Apprenant 445</v>
      </c>
      <c r="AR457" s="55" t="str">
        <f aca="false">IF(AND('Choix pédagogiques'!$C$4&lt;&gt;"?",'Choix pédagogiques'!$C$5&lt;&gt;"?",W457&lt;&gt;""),(W457-'Choix pédagogiques'!$C$4)/('Choix pédagogiques'!$C$5-'Choix pédagogiques'!$C$4),"")</f>
        <v/>
      </c>
      <c r="AS457" s="55" t="str">
        <f aca="false">IF(AND('Choix pédagogiques'!$C$4&lt;&gt;"?",'Choix pédagogiques'!$C$5&lt;&gt;"?",X457&lt;&gt;""),(X457-'Choix pédagogiques'!$C$4)/('Choix pédagogiques'!$C$5-'Choix pédagogiques'!$C$4),"")</f>
        <v/>
      </c>
      <c r="AT457" s="55" t="str">
        <f aca="false">IF(AND('Choix pédagogiques'!$C$4&lt;&gt;"?",'Choix pédagogiques'!$C$5&lt;&gt;"?",Y457&lt;&gt;""),(Y457-'Choix pédagogiques'!$C$4)/('Choix pédagogiques'!$C$5-'Choix pédagogiques'!$C$4),"")</f>
        <v/>
      </c>
      <c r="AU457" s="53" t="str">
        <f aca="false">IF($E457&lt;&gt;"",$E457,"")</f>
        <v/>
      </c>
      <c r="AV457" s="52" t="str">
        <f aca="false">IF($F457&lt;&gt;"",$F457,"")</f>
        <v>Apprenant 445 ou 445'</v>
      </c>
      <c r="AW457" s="55" t="str">
        <f aca="false">IF(AND('Choix pédagogiques'!$C$4&lt;&gt;"?",'Choix pédagogiques'!$C$5&lt;&gt;"?",AB457&lt;&gt;""),(AB457-'Choix pédagogiques'!$C$4)/('Choix pédagogiques'!$C$5-'Choix pédagogiques'!$C$4),"")</f>
        <v/>
      </c>
      <c r="AX457" s="55" t="str">
        <f aca="false">IF(AND('Choix pédagogiques'!$C$4&lt;&gt;"?",'Choix pédagogiques'!$C$5&lt;&gt;"?",AC457&lt;&gt;""),(AC457-'Choix pédagogiques'!$C$4)/('Choix pédagogiques'!$C$5-'Choix pédagogiques'!$C$4),"")</f>
        <v/>
      </c>
      <c r="AY457" s="55" t="str">
        <f aca="false">IF(AND('Choix pédagogiques'!$C$4&lt;&gt;"?",'Choix pédagogiques'!$C$5&lt;&gt;"?",AD457&lt;&gt;""),(AD457-'Choix pédagogiques'!$C$4)/('Choix pédagogiques'!$C$5-'Choix pédagogiques'!$C$4),"")</f>
        <v/>
      </c>
      <c r="AZ457" s="53" t="str">
        <f aca="false">IF($J457&lt;&gt;"",$J457,"")</f>
        <v/>
      </c>
      <c r="BA457" s="52" t="str">
        <f aca="false">IF($A457&lt;&gt;"",$A457,"")</f>
        <v>Apprenant 445</v>
      </c>
      <c r="BB457" s="55" t="str">
        <f aca="false">IF(AND($AR457&lt;&gt;"",$AS457&lt;&gt;""),$AS457-$AR457,"")</f>
        <v/>
      </c>
      <c r="BC457" s="55" t="str">
        <f aca="false">IF(AND($AR457&lt;&gt;"",$AT457&lt;&gt;""),$AT457-$AR457,"")</f>
        <v/>
      </c>
      <c r="BD457" s="55" t="str">
        <f aca="false">IF(AND($AS457&lt;&gt;"",$AT457&lt;&gt;""),$AT457-$AS457,"")</f>
        <v/>
      </c>
      <c r="BE457" s="53" t="str">
        <f aca="false">IF($E457&lt;&gt;"",$E457,"")</f>
        <v/>
      </c>
      <c r="BF457" s="52" t="str">
        <f aca="false">IF($F457&lt;&gt;"",$F457,"")</f>
        <v>Apprenant 445 ou 445'</v>
      </c>
      <c r="BG457" s="55" t="str">
        <f aca="false">IF(AND($AW457&lt;&gt;"",$AX457&lt;&gt;""),$AX457-$AW457,"")</f>
        <v/>
      </c>
      <c r="BH457" s="55" t="str">
        <f aca="false">IF(AND($AW457&lt;&gt;"",$AY457&lt;&gt;""),$AY457-$AW457,"")</f>
        <v/>
      </c>
      <c r="BI457" s="55" t="str">
        <f aca="false">IF(AND($AX457&lt;&gt;"",$AY457&lt;&gt;""),$AY457-$AX457,"")</f>
        <v/>
      </c>
      <c r="BJ457" s="53" t="str">
        <f aca="false">IF($J457&lt;&gt;"",$J457,"")</f>
        <v/>
      </c>
      <c r="BL457" s="52"/>
      <c r="BM457" s="52" t="str">
        <f aca="false">IF(OR(COUNT(B457:D1456)=0,AND('Choix pédagogiques'!$C$3&lt;&gt;1,'Choix pédagogiques'!$C$3&lt;&gt;2)),"",IF(AND(OR('Choix pédagogiques'!$C$3=1,'Choix pédagogiques'!$C$3=2),$B457&lt;&gt;"",$C457&lt;&gt;"",$D457&lt;&gt;""),1,0))</f>
        <v/>
      </c>
      <c r="BN457" s="52" t="str">
        <f aca="false">IF(OR(COUNT(G457:I1456)=0,AND('Choix pédagogiques'!$C$3&lt;&gt;1,'Choix pédagogiques'!$C$3&lt;&gt;2)),"",IF(AND(OR('Choix pédagogiques'!$C$3=1,'Choix pédagogiques'!$C$3=2),AND($G457&lt;&gt;"",$H457&lt;&gt;"",$I457&lt;&gt;"")),1,0))</f>
        <v/>
      </c>
      <c r="BO457" s="52" t="str">
        <f aca="false">IF(OR(COUNT(B457:D1456)=0,COUNT(G457:I1456)=0,'Choix pédagogiques'!C$3&lt;&gt;3),"",IF(AND('Choix pédagogiques'!$C$3=3,$B457&lt;&gt;"",$C457&lt;&gt;"",$D457&lt;&gt;"",$G457&lt;&gt;"",$H457&lt;&gt;"",$I457&lt;&gt;""),1,0))</f>
        <v/>
      </c>
      <c r="BR457" s="52" t="n">
        <v>25</v>
      </c>
      <c r="BS457" s="52" t="n">
        <v>1657</v>
      </c>
    </row>
    <row r="458" s="54" customFormat="true" ht="18" hidden="false" customHeight="true" outlineLevel="0" collapsed="false">
      <c r="A458" s="57" t="s">
        <v>847</v>
      </c>
      <c r="B458" s="51"/>
      <c r="C458" s="51"/>
      <c r="D458" s="51"/>
      <c r="E458" s="51"/>
      <c r="F458" s="57" t="s">
        <v>848</v>
      </c>
      <c r="G458" s="51"/>
      <c r="H458" s="51"/>
      <c r="I458" s="51"/>
      <c r="J458" s="51"/>
      <c r="K458" s="52" t="str">
        <f aca="false">IF($A458&lt;&gt;"",$A458,"")</f>
        <v>Apprenant 446</v>
      </c>
      <c r="L458" s="53" t="str">
        <f aca="false">IF(AND($B458&lt;&gt;"",$C458&lt;&gt;""),$C458-$B458,"")</f>
        <v/>
      </c>
      <c r="M458" s="53" t="str">
        <f aca="false">IF(AND($B458&lt;&gt;"",$D458&lt;&gt;""),$D458-$B458,"")</f>
        <v/>
      </c>
      <c r="N458" s="53" t="str">
        <f aca="false">IF(AND($C458&lt;&gt;"",$D458&lt;&gt;""),$D458-$C458,"")</f>
        <v/>
      </c>
      <c r="O458" s="53" t="str">
        <f aca="false">IF($E458&lt;&gt;"",$E458,"")</f>
        <v/>
      </c>
      <c r="P458" s="52" t="str">
        <f aca="false">IF($F458&lt;&gt;"",$F458,"")</f>
        <v>Apprenant 446 ou 446'</v>
      </c>
      <c r="Q458" s="53" t="str">
        <f aca="false">IF(AND($G458&lt;&gt;"",$H458&lt;&gt;""),$H458-$G458,"")</f>
        <v/>
      </c>
      <c r="R458" s="53" t="str">
        <f aca="false">IF(AND($G458&lt;&gt;"",$I458&lt;&gt;""),$I458-$G458,"")</f>
        <v/>
      </c>
      <c r="S458" s="53" t="str">
        <f aca="false">IF(AND($H458&lt;&gt;"",$I458&lt;&gt;""),$I458-$H458,"")</f>
        <v/>
      </c>
      <c r="T458" s="53" t="str">
        <f aca="false">IF($J458&lt;&gt;"",$J458,"")</f>
        <v/>
      </c>
      <c r="V458" s="52" t="str">
        <f aca="false">IF($A458&lt;&gt;"",$A458,"")</f>
        <v>Apprenant 446</v>
      </c>
      <c r="W458" s="53" t="str">
        <f aca="false">IF(AND(OR('Choix pédagogiques'!$C$3=1,'Choix pédagogiques'!$C$3=2),$BM458=1),B458,IF(AND('Choix pédagogiques'!$C$3=3,$BO458=1),B458,""))</f>
        <v/>
      </c>
      <c r="X458" s="53" t="str">
        <f aca="false">IF(AND(OR('Choix pédagogiques'!$C$3=1,'Choix pédagogiques'!$C$3=2),$BM458=1),C458,IF(AND('Choix pédagogiques'!$C$3=3,$BO458=1),C458,""))</f>
        <v/>
      </c>
      <c r="Y458" s="53" t="str">
        <f aca="false">IF(AND(OR('Choix pédagogiques'!$C$3=1,'Choix pédagogiques'!$C$3=2),$BM458=1),D458,IF(AND('Choix pédagogiques'!$C$3=3,$BO458=1),D458,""))</f>
        <v/>
      </c>
      <c r="Z458" s="53" t="str">
        <f aca="false">IF($E458&lt;&gt;"",$E458,"")</f>
        <v/>
      </c>
      <c r="AA458" s="52" t="str">
        <f aca="false">IF($F458&lt;&gt;"",$F458,"")</f>
        <v>Apprenant 446 ou 446'</v>
      </c>
      <c r="AB458" s="53" t="str">
        <f aca="false">IF(AND(OR('Choix pédagogiques'!$C$3=1,'Choix pédagogiques'!$C$3=2),$BN458=1),G458,IF(AND('Choix pédagogiques'!$C$3=3,$BO458=1),G458,""))</f>
        <v/>
      </c>
      <c r="AC458" s="53" t="str">
        <f aca="false">IF(AND(OR('Choix pédagogiques'!$C$3=1,'Choix pédagogiques'!$C$3=2),$BN458=1),H458,IF(AND('Choix pédagogiques'!$C$3=3,$BO458=1),H458,""))</f>
        <v/>
      </c>
      <c r="AD458" s="53" t="str">
        <f aca="false">IF(AND(OR('Choix pédagogiques'!$C$3=1,'Choix pédagogiques'!$C$3=2),$BN458=1),I458,IF(AND('Choix pédagogiques'!$C$3=3,$BO458=1),I458,""))</f>
        <v/>
      </c>
      <c r="AE458" s="53" t="str">
        <f aca="false">IF($J458&lt;&gt;"",$J458,"")</f>
        <v/>
      </c>
      <c r="AF458" s="52" t="str">
        <f aca="false">IF($A458&lt;&gt;"",$A458,"")</f>
        <v>Apprenant 446</v>
      </c>
      <c r="AG458" s="53" t="str">
        <f aca="false">IF(AND($W458&lt;&gt;"",$X458&lt;&gt;""),$X458-$W458,"")</f>
        <v/>
      </c>
      <c r="AH458" s="53" t="str">
        <f aca="false">IF(AND($W458&lt;&gt;"",$Y458&lt;&gt;""),$Y458-$W458,"")</f>
        <v/>
      </c>
      <c r="AI458" s="53" t="str">
        <f aca="false">IF(AND($X458&lt;&gt;"",$Y458&lt;&gt;""),$Y458-$X458,"")</f>
        <v/>
      </c>
      <c r="AJ458" s="53" t="str">
        <f aca="false">IF($E458&lt;&gt;"",$E458,"")</f>
        <v/>
      </c>
      <c r="AK458" s="52" t="str">
        <f aca="false">IF($F458&lt;&gt;"",$F458,"")</f>
        <v>Apprenant 446 ou 446'</v>
      </c>
      <c r="AL458" s="53" t="str">
        <f aca="false">IF(AND($AB458&lt;&gt;"",$AC458&lt;&gt;""),$AC458-$AB458,"")</f>
        <v/>
      </c>
      <c r="AM458" s="53" t="str">
        <f aca="false">IF(AND($AB458&lt;&gt;"",$AD458&lt;&gt;""),$AD458-$AB458,"")</f>
        <v/>
      </c>
      <c r="AN458" s="53" t="str">
        <f aca="false">IF(AND($AC458&lt;&gt;"",$AD458&lt;&gt;""),$AD458-$AC458,"")</f>
        <v/>
      </c>
      <c r="AO458" s="53" t="str">
        <f aca="false">IF($J458&lt;&gt;"",$J458,"")</f>
        <v/>
      </c>
      <c r="AQ458" s="52" t="str">
        <f aca="false">IF($A458&lt;&gt;"",$A458,"")</f>
        <v>Apprenant 446</v>
      </c>
      <c r="AR458" s="55" t="str">
        <f aca="false">IF(AND('Choix pédagogiques'!$C$4&lt;&gt;"?",'Choix pédagogiques'!$C$5&lt;&gt;"?",W458&lt;&gt;""),(W458-'Choix pédagogiques'!$C$4)/('Choix pédagogiques'!$C$5-'Choix pédagogiques'!$C$4),"")</f>
        <v/>
      </c>
      <c r="AS458" s="55" t="str">
        <f aca="false">IF(AND('Choix pédagogiques'!$C$4&lt;&gt;"?",'Choix pédagogiques'!$C$5&lt;&gt;"?",X458&lt;&gt;""),(X458-'Choix pédagogiques'!$C$4)/('Choix pédagogiques'!$C$5-'Choix pédagogiques'!$C$4),"")</f>
        <v/>
      </c>
      <c r="AT458" s="55" t="str">
        <f aca="false">IF(AND('Choix pédagogiques'!$C$4&lt;&gt;"?",'Choix pédagogiques'!$C$5&lt;&gt;"?",Y458&lt;&gt;""),(Y458-'Choix pédagogiques'!$C$4)/('Choix pédagogiques'!$C$5-'Choix pédagogiques'!$C$4),"")</f>
        <v/>
      </c>
      <c r="AU458" s="53" t="str">
        <f aca="false">IF($E458&lt;&gt;"",$E458,"")</f>
        <v/>
      </c>
      <c r="AV458" s="52" t="str">
        <f aca="false">IF($F458&lt;&gt;"",$F458,"")</f>
        <v>Apprenant 446 ou 446'</v>
      </c>
      <c r="AW458" s="55" t="str">
        <f aca="false">IF(AND('Choix pédagogiques'!$C$4&lt;&gt;"?",'Choix pédagogiques'!$C$5&lt;&gt;"?",AB458&lt;&gt;""),(AB458-'Choix pédagogiques'!$C$4)/('Choix pédagogiques'!$C$5-'Choix pédagogiques'!$C$4),"")</f>
        <v/>
      </c>
      <c r="AX458" s="55" t="str">
        <f aca="false">IF(AND('Choix pédagogiques'!$C$4&lt;&gt;"?",'Choix pédagogiques'!$C$5&lt;&gt;"?",AC458&lt;&gt;""),(AC458-'Choix pédagogiques'!$C$4)/('Choix pédagogiques'!$C$5-'Choix pédagogiques'!$C$4),"")</f>
        <v/>
      </c>
      <c r="AY458" s="55" t="str">
        <f aca="false">IF(AND('Choix pédagogiques'!$C$4&lt;&gt;"?",'Choix pédagogiques'!$C$5&lt;&gt;"?",AD458&lt;&gt;""),(AD458-'Choix pédagogiques'!$C$4)/('Choix pédagogiques'!$C$5-'Choix pédagogiques'!$C$4),"")</f>
        <v/>
      </c>
      <c r="AZ458" s="53" t="str">
        <f aca="false">IF($J458&lt;&gt;"",$J458,"")</f>
        <v/>
      </c>
      <c r="BA458" s="52" t="str">
        <f aca="false">IF($A458&lt;&gt;"",$A458,"")</f>
        <v>Apprenant 446</v>
      </c>
      <c r="BB458" s="55" t="str">
        <f aca="false">IF(AND($AR458&lt;&gt;"",$AS458&lt;&gt;""),$AS458-$AR458,"")</f>
        <v/>
      </c>
      <c r="BC458" s="55" t="str">
        <f aca="false">IF(AND($AR458&lt;&gt;"",$AT458&lt;&gt;""),$AT458-$AR458,"")</f>
        <v/>
      </c>
      <c r="BD458" s="55" t="str">
        <f aca="false">IF(AND($AS458&lt;&gt;"",$AT458&lt;&gt;""),$AT458-$AS458,"")</f>
        <v/>
      </c>
      <c r="BE458" s="53" t="str">
        <f aca="false">IF($E458&lt;&gt;"",$E458,"")</f>
        <v/>
      </c>
      <c r="BF458" s="52" t="str">
        <f aca="false">IF($F458&lt;&gt;"",$F458,"")</f>
        <v>Apprenant 446 ou 446'</v>
      </c>
      <c r="BG458" s="55" t="str">
        <f aca="false">IF(AND($AW458&lt;&gt;"",$AX458&lt;&gt;""),$AX458-$AW458,"")</f>
        <v/>
      </c>
      <c r="BH458" s="55" t="str">
        <f aca="false">IF(AND($AW458&lt;&gt;"",$AY458&lt;&gt;""),$AY458-$AW458,"")</f>
        <v/>
      </c>
      <c r="BI458" s="55" t="str">
        <f aca="false">IF(AND($AX458&lt;&gt;"",$AY458&lt;&gt;""),$AY458-$AX458,"")</f>
        <v/>
      </c>
      <c r="BJ458" s="53" t="str">
        <f aca="false">IF($J458&lt;&gt;"",$J458,"")</f>
        <v/>
      </c>
      <c r="BL458" s="52"/>
      <c r="BM458" s="52" t="str">
        <f aca="false">IF(OR(COUNT(B458:D1457)=0,AND('Choix pédagogiques'!$C$3&lt;&gt;1,'Choix pédagogiques'!$C$3&lt;&gt;2)),"",IF(AND(OR('Choix pédagogiques'!$C$3=1,'Choix pédagogiques'!$C$3=2),$B458&lt;&gt;"",$C458&lt;&gt;"",$D458&lt;&gt;""),1,0))</f>
        <v/>
      </c>
      <c r="BN458" s="52" t="str">
        <f aca="false">IF(OR(COUNT(G458:I1457)=0,AND('Choix pédagogiques'!$C$3&lt;&gt;1,'Choix pédagogiques'!$C$3&lt;&gt;2)),"",IF(AND(OR('Choix pédagogiques'!$C$3=1,'Choix pédagogiques'!$C$3=2),AND($G458&lt;&gt;"",$H458&lt;&gt;"",$I458&lt;&gt;"")),1,0))</f>
        <v/>
      </c>
      <c r="BO458" s="52" t="str">
        <f aca="false">IF(OR(COUNT(B458:D1457)=0,COUNT(G458:I1457)=0,'Choix pédagogiques'!C$3&lt;&gt;3),"",IF(AND('Choix pédagogiques'!$C$3=3,$B458&lt;&gt;"",$C458&lt;&gt;"",$D458&lt;&gt;"",$G458&lt;&gt;"",$H458&lt;&gt;"",$I458&lt;&gt;""),1,0))</f>
        <v/>
      </c>
      <c r="BR458" s="52" t="n">
        <v>552</v>
      </c>
      <c r="BS458" s="52" t="n">
        <v>1581</v>
      </c>
    </row>
    <row r="459" s="54" customFormat="true" ht="18" hidden="false" customHeight="true" outlineLevel="0" collapsed="false">
      <c r="A459" s="57" t="s">
        <v>849</v>
      </c>
      <c r="B459" s="51"/>
      <c r="C459" s="51"/>
      <c r="D459" s="51"/>
      <c r="E459" s="51"/>
      <c r="F459" s="57" t="s">
        <v>850</v>
      </c>
      <c r="G459" s="51"/>
      <c r="H459" s="51"/>
      <c r="I459" s="51"/>
      <c r="J459" s="51"/>
      <c r="K459" s="52" t="str">
        <f aca="false">IF($A459&lt;&gt;"",$A459,"")</f>
        <v>Apprenant 447</v>
      </c>
      <c r="L459" s="53" t="str">
        <f aca="false">IF(AND($B459&lt;&gt;"",$C459&lt;&gt;""),$C459-$B459,"")</f>
        <v/>
      </c>
      <c r="M459" s="53" t="str">
        <f aca="false">IF(AND($B459&lt;&gt;"",$D459&lt;&gt;""),$D459-$B459,"")</f>
        <v/>
      </c>
      <c r="N459" s="53" t="str">
        <f aca="false">IF(AND($C459&lt;&gt;"",$D459&lt;&gt;""),$D459-$C459,"")</f>
        <v/>
      </c>
      <c r="O459" s="53" t="str">
        <f aca="false">IF($E459&lt;&gt;"",$E459,"")</f>
        <v/>
      </c>
      <c r="P459" s="52" t="str">
        <f aca="false">IF($F459&lt;&gt;"",$F459,"")</f>
        <v>Apprenant 447 ou 447'</v>
      </c>
      <c r="Q459" s="53" t="str">
        <f aca="false">IF(AND($G459&lt;&gt;"",$H459&lt;&gt;""),$H459-$G459,"")</f>
        <v/>
      </c>
      <c r="R459" s="53" t="str">
        <f aca="false">IF(AND($G459&lt;&gt;"",$I459&lt;&gt;""),$I459-$G459,"")</f>
        <v/>
      </c>
      <c r="S459" s="53" t="str">
        <f aca="false">IF(AND($H459&lt;&gt;"",$I459&lt;&gt;""),$I459-$H459,"")</f>
        <v/>
      </c>
      <c r="T459" s="53" t="str">
        <f aca="false">IF($J459&lt;&gt;"",$J459,"")</f>
        <v/>
      </c>
      <c r="V459" s="52" t="str">
        <f aca="false">IF($A459&lt;&gt;"",$A459,"")</f>
        <v>Apprenant 447</v>
      </c>
      <c r="W459" s="53" t="str">
        <f aca="false">IF(AND(OR('Choix pédagogiques'!$C$3=1,'Choix pédagogiques'!$C$3=2),$BM459=1),B459,IF(AND('Choix pédagogiques'!$C$3=3,$BO459=1),B459,""))</f>
        <v/>
      </c>
      <c r="X459" s="53" t="str">
        <f aca="false">IF(AND(OR('Choix pédagogiques'!$C$3=1,'Choix pédagogiques'!$C$3=2),$BM459=1),C459,IF(AND('Choix pédagogiques'!$C$3=3,$BO459=1),C459,""))</f>
        <v/>
      </c>
      <c r="Y459" s="53" t="str">
        <f aca="false">IF(AND(OR('Choix pédagogiques'!$C$3=1,'Choix pédagogiques'!$C$3=2),$BM459=1),D459,IF(AND('Choix pédagogiques'!$C$3=3,$BO459=1),D459,""))</f>
        <v/>
      </c>
      <c r="Z459" s="53" t="str">
        <f aca="false">IF($E459&lt;&gt;"",$E459,"")</f>
        <v/>
      </c>
      <c r="AA459" s="52" t="str">
        <f aca="false">IF($F459&lt;&gt;"",$F459,"")</f>
        <v>Apprenant 447 ou 447'</v>
      </c>
      <c r="AB459" s="53" t="str">
        <f aca="false">IF(AND(OR('Choix pédagogiques'!$C$3=1,'Choix pédagogiques'!$C$3=2),$BN459=1),G459,IF(AND('Choix pédagogiques'!$C$3=3,$BO459=1),G459,""))</f>
        <v/>
      </c>
      <c r="AC459" s="53" t="str">
        <f aca="false">IF(AND(OR('Choix pédagogiques'!$C$3=1,'Choix pédagogiques'!$C$3=2),$BN459=1),H459,IF(AND('Choix pédagogiques'!$C$3=3,$BO459=1),H459,""))</f>
        <v/>
      </c>
      <c r="AD459" s="53" t="str">
        <f aca="false">IF(AND(OR('Choix pédagogiques'!$C$3=1,'Choix pédagogiques'!$C$3=2),$BN459=1),I459,IF(AND('Choix pédagogiques'!$C$3=3,$BO459=1),I459,""))</f>
        <v/>
      </c>
      <c r="AE459" s="53" t="str">
        <f aca="false">IF($J459&lt;&gt;"",$J459,"")</f>
        <v/>
      </c>
      <c r="AF459" s="52" t="str">
        <f aca="false">IF($A459&lt;&gt;"",$A459,"")</f>
        <v>Apprenant 447</v>
      </c>
      <c r="AG459" s="53" t="str">
        <f aca="false">IF(AND($W459&lt;&gt;"",$X459&lt;&gt;""),$X459-$W459,"")</f>
        <v/>
      </c>
      <c r="AH459" s="53" t="str">
        <f aca="false">IF(AND($W459&lt;&gt;"",$Y459&lt;&gt;""),$Y459-$W459,"")</f>
        <v/>
      </c>
      <c r="AI459" s="53" t="str">
        <f aca="false">IF(AND($X459&lt;&gt;"",$Y459&lt;&gt;""),$Y459-$X459,"")</f>
        <v/>
      </c>
      <c r="AJ459" s="53" t="str">
        <f aca="false">IF($E459&lt;&gt;"",$E459,"")</f>
        <v/>
      </c>
      <c r="AK459" s="52" t="str">
        <f aca="false">IF($F459&lt;&gt;"",$F459,"")</f>
        <v>Apprenant 447 ou 447'</v>
      </c>
      <c r="AL459" s="53" t="str">
        <f aca="false">IF(AND($AB459&lt;&gt;"",$AC459&lt;&gt;""),$AC459-$AB459,"")</f>
        <v/>
      </c>
      <c r="AM459" s="53" t="str">
        <f aca="false">IF(AND($AB459&lt;&gt;"",$AD459&lt;&gt;""),$AD459-$AB459,"")</f>
        <v/>
      </c>
      <c r="AN459" s="53" t="str">
        <f aca="false">IF(AND($AC459&lt;&gt;"",$AD459&lt;&gt;""),$AD459-$AC459,"")</f>
        <v/>
      </c>
      <c r="AO459" s="53" t="str">
        <f aca="false">IF($J459&lt;&gt;"",$J459,"")</f>
        <v/>
      </c>
      <c r="AQ459" s="52" t="str">
        <f aca="false">IF($A459&lt;&gt;"",$A459,"")</f>
        <v>Apprenant 447</v>
      </c>
      <c r="AR459" s="55" t="str">
        <f aca="false">IF(AND('Choix pédagogiques'!$C$4&lt;&gt;"?",'Choix pédagogiques'!$C$5&lt;&gt;"?",W459&lt;&gt;""),(W459-'Choix pédagogiques'!$C$4)/('Choix pédagogiques'!$C$5-'Choix pédagogiques'!$C$4),"")</f>
        <v/>
      </c>
      <c r="AS459" s="55" t="str">
        <f aca="false">IF(AND('Choix pédagogiques'!$C$4&lt;&gt;"?",'Choix pédagogiques'!$C$5&lt;&gt;"?",X459&lt;&gt;""),(X459-'Choix pédagogiques'!$C$4)/('Choix pédagogiques'!$C$5-'Choix pédagogiques'!$C$4),"")</f>
        <v/>
      </c>
      <c r="AT459" s="55" t="str">
        <f aca="false">IF(AND('Choix pédagogiques'!$C$4&lt;&gt;"?",'Choix pédagogiques'!$C$5&lt;&gt;"?",Y459&lt;&gt;""),(Y459-'Choix pédagogiques'!$C$4)/('Choix pédagogiques'!$C$5-'Choix pédagogiques'!$C$4),"")</f>
        <v/>
      </c>
      <c r="AU459" s="53" t="str">
        <f aca="false">IF($E459&lt;&gt;"",$E459,"")</f>
        <v/>
      </c>
      <c r="AV459" s="52" t="str">
        <f aca="false">IF($F459&lt;&gt;"",$F459,"")</f>
        <v>Apprenant 447 ou 447'</v>
      </c>
      <c r="AW459" s="55" t="str">
        <f aca="false">IF(AND('Choix pédagogiques'!$C$4&lt;&gt;"?",'Choix pédagogiques'!$C$5&lt;&gt;"?",AB459&lt;&gt;""),(AB459-'Choix pédagogiques'!$C$4)/('Choix pédagogiques'!$C$5-'Choix pédagogiques'!$C$4),"")</f>
        <v/>
      </c>
      <c r="AX459" s="55" t="str">
        <f aca="false">IF(AND('Choix pédagogiques'!$C$4&lt;&gt;"?",'Choix pédagogiques'!$C$5&lt;&gt;"?",AC459&lt;&gt;""),(AC459-'Choix pédagogiques'!$C$4)/('Choix pédagogiques'!$C$5-'Choix pédagogiques'!$C$4),"")</f>
        <v/>
      </c>
      <c r="AY459" s="55" t="str">
        <f aca="false">IF(AND('Choix pédagogiques'!$C$4&lt;&gt;"?",'Choix pédagogiques'!$C$5&lt;&gt;"?",AD459&lt;&gt;""),(AD459-'Choix pédagogiques'!$C$4)/('Choix pédagogiques'!$C$5-'Choix pédagogiques'!$C$4),"")</f>
        <v/>
      </c>
      <c r="AZ459" s="53" t="str">
        <f aca="false">IF($J459&lt;&gt;"",$J459,"")</f>
        <v/>
      </c>
      <c r="BA459" s="52" t="str">
        <f aca="false">IF($A459&lt;&gt;"",$A459,"")</f>
        <v>Apprenant 447</v>
      </c>
      <c r="BB459" s="55" t="str">
        <f aca="false">IF(AND($AR459&lt;&gt;"",$AS459&lt;&gt;""),$AS459-$AR459,"")</f>
        <v/>
      </c>
      <c r="BC459" s="55" t="str">
        <f aca="false">IF(AND($AR459&lt;&gt;"",$AT459&lt;&gt;""),$AT459-$AR459,"")</f>
        <v/>
      </c>
      <c r="BD459" s="55" t="str">
        <f aca="false">IF(AND($AS459&lt;&gt;"",$AT459&lt;&gt;""),$AT459-$AS459,"")</f>
        <v/>
      </c>
      <c r="BE459" s="53" t="str">
        <f aca="false">IF($E459&lt;&gt;"",$E459,"")</f>
        <v/>
      </c>
      <c r="BF459" s="52" t="str">
        <f aca="false">IF($F459&lt;&gt;"",$F459,"")</f>
        <v>Apprenant 447 ou 447'</v>
      </c>
      <c r="BG459" s="55" t="str">
        <f aca="false">IF(AND($AW459&lt;&gt;"",$AX459&lt;&gt;""),$AX459-$AW459,"")</f>
        <v/>
      </c>
      <c r="BH459" s="55" t="str">
        <f aca="false">IF(AND($AW459&lt;&gt;"",$AY459&lt;&gt;""),$AY459-$AW459,"")</f>
        <v/>
      </c>
      <c r="BI459" s="55" t="str">
        <f aca="false">IF(AND($AX459&lt;&gt;"",$AY459&lt;&gt;""),$AY459-$AX459,"")</f>
        <v/>
      </c>
      <c r="BJ459" s="53" t="str">
        <f aca="false">IF($J459&lt;&gt;"",$J459,"")</f>
        <v/>
      </c>
      <c r="BL459" s="52"/>
      <c r="BM459" s="52" t="str">
        <f aca="false">IF(OR(COUNT(B459:D1458)=0,AND('Choix pédagogiques'!$C$3&lt;&gt;1,'Choix pédagogiques'!$C$3&lt;&gt;2)),"",IF(AND(OR('Choix pédagogiques'!$C$3=1,'Choix pédagogiques'!$C$3=2),$B459&lt;&gt;"",$C459&lt;&gt;"",$D459&lt;&gt;""),1,0))</f>
        <v/>
      </c>
      <c r="BN459" s="52" t="str">
        <f aca="false">IF(OR(COUNT(G459:I1458)=0,AND('Choix pédagogiques'!$C$3&lt;&gt;1,'Choix pédagogiques'!$C$3&lt;&gt;2)),"",IF(AND(OR('Choix pédagogiques'!$C$3=1,'Choix pédagogiques'!$C$3=2),AND($G459&lt;&gt;"",$H459&lt;&gt;"",$I459&lt;&gt;"")),1,0))</f>
        <v/>
      </c>
      <c r="BO459" s="52" t="str">
        <f aca="false">IF(OR(COUNT(B459:D1458)=0,COUNT(G459:I1458)=0,'Choix pédagogiques'!C$3&lt;&gt;3),"",IF(AND('Choix pédagogiques'!$C$3=3,$B459&lt;&gt;"",$C459&lt;&gt;"",$D459&lt;&gt;"",$G459&lt;&gt;"",$H459&lt;&gt;"",$I459&lt;&gt;""),1,0))</f>
        <v/>
      </c>
      <c r="BR459" s="52" t="n">
        <v>752</v>
      </c>
      <c r="BS459" s="52" t="n">
        <v>1474</v>
      </c>
    </row>
    <row r="460" s="54" customFormat="true" ht="18" hidden="false" customHeight="true" outlineLevel="0" collapsed="false">
      <c r="A460" s="57" t="s">
        <v>851</v>
      </c>
      <c r="B460" s="51"/>
      <c r="C460" s="51"/>
      <c r="D460" s="51"/>
      <c r="E460" s="51"/>
      <c r="F460" s="57" t="s">
        <v>852</v>
      </c>
      <c r="G460" s="51"/>
      <c r="H460" s="51"/>
      <c r="I460" s="51"/>
      <c r="J460" s="51"/>
      <c r="K460" s="52" t="str">
        <f aca="false">IF($A460&lt;&gt;"",$A460,"")</f>
        <v>Apprenant 448</v>
      </c>
      <c r="L460" s="53" t="str">
        <f aca="false">IF(AND($B460&lt;&gt;"",$C460&lt;&gt;""),$C460-$B460,"")</f>
        <v/>
      </c>
      <c r="M460" s="53" t="str">
        <f aca="false">IF(AND($B460&lt;&gt;"",$D460&lt;&gt;""),$D460-$B460,"")</f>
        <v/>
      </c>
      <c r="N460" s="53" t="str">
        <f aca="false">IF(AND($C460&lt;&gt;"",$D460&lt;&gt;""),$D460-$C460,"")</f>
        <v/>
      </c>
      <c r="O460" s="53" t="str">
        <f aca="false">IF($E460&lt;&gt;"",$E460,"")</f>
        <v/>
      </c>
      <c r="P460" s="52" t="str">
        <f aca="false">IF($F460&lt;&gt;"",$F460,"")</f>
        <v>Apprenant 448 ou 448'</v>
      </c>
      <c r="Q460" s="53" t="str">
        <f aca="false">IF(AND($G460&lt;&gt;"",$H460&lt;&gt;""),$H460-$G460,"")</f>
        <v/>
      </c>
      <c r="R460" s="53" t="str">
        <f aca="false">IF(AND($G460&lt;&gt;"",$I460&lt;&gt;""),$I460-$G460,"")</f>
        <v/>
      </c>
      <c r="S460" s="53" t="str">
        <f aca="false">IF(AND($H460&lt;&gt;"",$I460&lt;&gt;""),$I460-$H460,"")</f>
        <v/>
      </c>
      <c r="T460" s="53" t="str">
        <f aca="false">IF($J460&lt;&gt;"",$J460,"")</f>
        <v/>
      </c>
      <c r="V460" s="52" t="str">
        <f aca="false">IF($A460&lt;&gt;"",$A460,"")</f>
        <v>Apprenant 448</v>
      </c>
      <c r="W460" s="53" t="str">
        <f aca="false">IF(AND(OR('Choix pédagogiques'!$C$3=1,'Choix pédagogiques'!$C$3=2),$BM460=1),B460,IF(AND('Choix pédagogiques'!$C$3=3,$BO460=1),B460,""))</f>
        <v/>
      </c>
      <c r="X460" s="53" t="str">
        <f aca="false">IF(AND(OR('Choix pédagogiques'!$C$3=1,'Choix pédagogiques'!$C$3=2),$BM460=1),C460,IF(AND('Choix pédagogiques'!$C$3=3,$BO460=1),C460,""))</f>
        <v/>
      </c>
      <c r="Y460" s="53" t="str">
        <f aca="false">IF(AND(OR('Choix pédagogiques'!$C$3=1,'Choix pédagogiques'!$C$3=2),$BM460=1),D460,IF(AND('Choix pédagogiques'!$C$3=3,$BO460=1),D460,""))</f>
        <v/>
      </c>
      <c r="Z460" s="53" t="str">
        <f aca="false">IF($E460&lt;&gt;"",$E460,"")</f>
        <v/>
      </c>
      <c r="AA460" s="52" t="str">
        <f aca="false">IF($F460&lt;&gt;"",$F460,"")</f>
        <v>Apprenant 448 ou 448'</v>
      </c>
      <c r="AB460" s="53" t="str">
        <f aca="false">IF(AND(OR('Choix pédagogiques'!$C$3=1,'Choix pédagogiques'!$C$3=2),$BN460=1),G460,IF(AND('Choix pédagogiques'!$C$3=3,$BO460=1),G460,""))</f>
        <v/>
      </c>
      <c r="AC460" s="53" t="str">
        <f aca="false">IF(AND(OR('Choix pédagogiques'!$C$3=1,'Choix pédagogiques'!$C$3=2),$BN460=1),H460,IF(AND('Choix pédagogiques'!$C$3=3,$BO460=1),H460,""))</f>
        <v/>
      </c>
      <c r="AD460" s="53" t="str">
        <f aca="false">IF(AND(OR('Choix pédagogiques'!$C$3=1,'Choix pédagogiques'!$C$3=2),$BN460=1),I460,IF(AND('Choix pédagogiques'!$C$3=3,$BO460=1),I460,""))</f>
        <v/>
      </c>
      <c r="AE460" s="53" t="str">
        <f aca="false">IF($J460&lt;&gt;"",$J460,"")</f>
        <v/>
      </c>
      <c r="AF460" s="52" t="str">
        <f aca="false">IF($A460&lt;&gt;"",$A460,"")</f>
        <v>Apprenant 448</v>
      </c>
      <c r="AG460" s="53" t="str">
        <f aca="false">IF(AND($W460&lt;&gt;"",$X460&lt;&gt;""),$X460-$W460,"")</f>
        <v/>
      </c>
      <c r="AH460" s="53" t="str">
        <f aca="false">IF(AND($W460&lt;&gt;"",$Y460&lt;&gt;""),$Y460-$W460,"")</f>
        <v/>
      </c>
      <c r="AI460" s="53" t="str">
        <f aca="false">IF(AND($X460&lt;&gt;"",$Y460&lt;&gt;""),$Y460-$X460,"")</f>
        <v/>
      </c>
      <c r="AJ460" s="53" t="str">
        <f aca="false">IF($E460&lt;&gt;"",$E460,"")</f>
        <v/>
      </c>
      <c r="AK460" s="52" t="str">
        <f aca="false">IF($F460&lt;&gt;"",$F460,"")</f>
        <v>Apprenant 448 ou 448'</v>
      </c>
      <c r="AL460" s="53" t="str">
        <f aca="false">IF(AND($AB460&lt;&gt;"",$AC460&lt;&gt;""),$AC460-$AB460,"")</f>
        <v/>
      </c>
      <c r="AM460" s="53" t="str">
        <f aca="false">IF(AND($AB460&lt;&gt;"",$AD460&lt;&gt;""),$AD460-$AB460,"")</f>
        <v/>
      </c>
      <c r="AN460" s="53" t="str">
        <f aca="false">IF(AND($AC460&lt;&gt;"",$AD460&lt;&gt;""),$AD460-$AC460,"")</f>
        <v/>
      </c>
      <c r="AO460" s="53" t="str">
        <f aca="false">IF($J460&lt;&gt;"",$J460,"")</f>
        <v/>
      </c>
      <c r="AQ460" s="52" t="str">
        <f aca="false">IF($A460&lt;&gt;"",$A460,"")</f>
        <v>Apprenant 448</v>
      </c>
      <c r="AR460" s="55" t="str">
        <f aca="false">IF(AND('Choix pédagogiques'!$C$4&lt;&gt;"?",'Choix pédagogiques'!$C$5&lt;&gt;"?",W460&lt;&gt;""),(W460-'Choix pédagogiques'!$C$4)/('Choix pédagogiques'!$C$5-'Choix pédagogiques'!$C$4),"")</f>
        <v/>
      </c>
      <c r="AS460" s="55" t="str">
        <f aca="false">IF(AND('Choix pédagogiques'!$C$4&lt;&gt;"?",'Choix pédagogiques'!$C$5&lt;&gt;"?",X460&lt;&gt;""),(X460-'Choix pédagogiques'!$C$4)/('Choix pédagogiques'!$C$5-'Choix pédagogiques'!$C$4),"")</f>
        <v/>
      </c>
      <c r="AT460" s="55" t="str">
        <f aca="false">IF(AND('Choix pédagogiques'!$C$4&lt;&gt;"?",'Choix pédagogiques'!$C$5&lt;&gt;"?",Y460&lt;&gt;""),(Y460-'Choix pédagogiques'!$C$4)/('Choix pédagogiques'!$C$5-'Choix pédagogiques'!$C$4),"")</f>
        <v/>
      </c>
      <c r="AU460" s="53" t="str">
        <f aca="false">IF($E460&lt;&gt;"",$E460,"")</f>
        <v/>
      </c>
      <c r="AV460" s="52" t="str">
        <f aca="false">IF($F460&lt;&gt;"",$F460,"")</f>
        <v>Apprenant 448 ou 448'</v>
      </c>
      <c r="AW460" s="55" t="str">
        <f aca="false">IF(AND('Choix pédagogiques'!$C$4&lt;&gt;"?",'Choix pédagogiques'!$C$5&lt;&gt;"?",AB460&lt;&gt;""),(AB460-'Choix pédagogiques'!$C$4)/('Choix pédagogiques'!$C$5-'Choix pédagogiques'!$C$4),"")</f>
        <v/>
      </c>
      <c r="AX460" s="55" t="str">
        <f aca="false">IF(AND('Choix pédagogiques'!$C$4&lt;&gt;"?",'Choix pédagogiques'!$C$5&lt;&gt;"?",AC460&lt;&gt;""),(AC460-'Choix pédagogiques'!$C$4)/('Choix pédagogiques'!$C$5-'Choix pédagogiques'!$C$4),"")</f>
        <v/>
      </c>
      <c r="AY460" s="55" t="str">
        <f aca="false">IF(AND('Choix pédagogiques'!$C$4&lt;&gt;"?",'Choix pédagogiques'!$C$5&lt;&gt;"?",AD460&lt;&gt;""),(AD460-'Choix pédagogiques'!$C$4)/('Choix pédagogiques'!$C$5-'Choix pédagogiques'!$C$4),"")</f>
        <v/>
      </c>
      <c r="AZ460" s="53" t="str">
        <f aca="false">IF($J460&lt;&gt;"",$J460,"")</f>
        <v/>
      </c>
      <c r="BA460" s="52" t="str">
        <f aca="false">IF($A460&lt;&gt;"",$A460,"")</f>
        <v>Apprenant 448</v>
      </c>
      <c r="BB460" s="55" t="str">
        <f aca="false">IF(AND($AR460&lt;&gt;"",$AS460&lt;&gt;""),$AS460-$AR460,"")</f>
        <v/>
      </c>
      <c r="BC460" s="55" t="str">
        <f aca="false">IF(AND($AR460&lt;&gt;"",$AT460&lt;&gt;""),$AT460-$AR460,"")</f>
        <v/>
      </c>
      <c r="BD460" s="55" t="str">
        <f aca="false">IF(AND($AS460&lt;&gt;"",$AT460&lt;&gt;""),$AT460-$AS460,"")</f>
        <v/>
      </c>
      <c r="BE460" s="53" t="str">
        <f aca="false">IF($E460&lt;&gt;"",$E460,"")</f>
        <v/>
      </c>
      <c r="BF460" s="52" t="str">
        <f aca="false">IF($F460&lt;&gt;"",$F460,"")</f>
        <v>Apprenant 448 ou 448'</v>
      </c>
      <c r="BG460" s="55" t="str">
        <f aca="false">IF(AND($AW460&lt;&gt;"",$AX460&lt;&gt;""),$AX460-$AW460,"")</f>
        <v/>
      </c>
      <c r="BH460" s="55" t="str">
        <f aca="false">IF(AND($AW460&lt;&gt;"",$AY460&lt;&gt;""),$AY460-$AW460,"")</f>
        <v/>
      </c>
      <c r="BI460" s="55" t="str">
        <f aca="false">IF(AND($AX460&lt;&gt;"",$AY460&lt;&gt;""),$AY460-$AX460,"")</f>
        <v/>
      </c>
      <c r="BJ460" s="53" t="str">
        <f aca="false">IF($J460&lt;&gt;"",$J460,"")</f>
        <v/>
      </c>
      <c r="BL460" s="52"/>
      <c r="BM460" s="52" t="str">
        <f aca="false">IF(OR(COUNT(B460:D1459)=0,AND('Choix pédagogiques'!$C$3&lt;&gt;1,'Choix pédagogiques'!$C$3&lt;&gt;2)),"",IF(AND(OR('Choix pédagogiques'!$C$3=1,'Choix pédagogiques'!$C$3=2),$B460&lt;&gt;"",$C460&lt;&gt;"",$D460&lt;&gt;""),1,0))</f>
        <v/>
      </c>
      <c r="BN460" s="52" t="str">
        <f aca="false">IF(OR(COUNT(G460:I1459)=0,AND('Choix pédagogiques'!$C$3&lt;&gt;1,'Choix pédagogiques'!$C$3&lt;&gt;2)),"",IF(AND(OR('Choix pédagogiques'!$C$3=1,'Choix pédagogiques'!$C$3=2),AND($G460&lt;&gt;"",$H460&lt;&gt;"",$I460&lt;&gt;"")),1,0))</f>
        <v/>
      </c>
      <c r="BO460" s="52" t="str">
        <f aca="false">IF(OR(COUNT(B460:D1459)=0,COUNT(G460:I1459)=0,'Choix pédagogiques'!C$3&lt;&gt;3),"",IF(AND('Choix pédagogiques'!$C$3=3,$B460&lt;&gt;"",$C460&lt;&gt;"",$D460&lt;&gt;"",$G460&lt;&gt;"",$H460&lt;&gt;"",$I460&lt;&gt;""),1,0))</f>
        <v/>
      </c>
      <c r="BR460" s="52" t="n">
        <v>271</v>
      </c>
      <c r="BS460" s="52" t="n">
        <v>1019</v>
      </c>
    </row>
    <row r="461" s="54" customFormat="true" ht="18" hidden="false" customHeight="true" outlineLevel="0" collapsed="false">
      <c r="A461" s="57" t="s">
        <v>853</v>
      </c>
      <c r="B461" s="51"/>
      <c r="C461" s="51"/>
      <c r="D461" s="51"/>
      <c r="E461" s="51"/>
      <c r="F461" s="57" t="s">
        <v>854</v>
      </c>
      <c r="G461" s="51"/>
      <c r="H461" s="51"/>
      <c r="I461" s="51"/>
      <c r="J461" s="51"/>
      <c r="K461" s="52" t="str">
        <f aca="false">IF($A461&lt;&gt;"",$A461,"")</f>
        <v>Apprenant 449</v>
      </c>
      <c r="L461" s="53" t="str">
        <f aca="false">IF(AND($B461&lt;&gt;"",$C461&lt;&gt;""),$C461-$B461,"")</f>
        <v/>
      </c>
      <c r="M461" s="53" t="str">
        <f aca="false">IF(AND($B461&lt;&gt;"",$D461&lt;&gt;""),$D461-$B461,"")</f>
        <v/>
      </c>
      <c r="N461" s="53" t="str">
        <f aca="false">IF(AND($C461&lt;&gt;"",$D461&lt;&gt;""),$D461-$C461,"")</f>
        <v/>
      </c>
      <c r="O461" s="53" t="str">
        <f aca="false">IF($E461&lt;&gt;"",$E461,"")</f>
        <v/>
      </c>
      <c r="P461" s="52" t="str">
        <f aca="false">IF($F461&lt;&gt;"",$F461,"")</f>
        <v>Apprenant 449 ou 449'</v>
      </c>
      <c r="Q461" s="53" t="str">
        <f aca="false">IF(AND($G461&lt;&gt;"",$H461&lt;&gt;""),$H461-$G461,"")</f>
        <v/>
      </c>
      <c r="R461" s="53" t="str">
        <f aca="false">IF(AND($G461&lt;&gt;"",$I461&lt;&gt;""),$I461-$G461,"")</f>
        <v/>
      </c>
      <c r="S461" s="53" t="str">
        <f aca="false">IF(AND($H461&lt;&gt;"",$I461&lt;&gt;""),$I461-$H461,"")</f>
        <v/>
      </c>
      <c r="T461" s="53" t="str">
        <f aca="false">IF($J461&lt;&gt;"",$J461,"")</f>
        <v/>
      </c>
      <c r="V461" s="52" t="str">
        <f aca="false">IF($A461&lt;&gt;"",$A461,"")</f>
        <v>Apprenant 449</v>
      </c>
      <c r="W461" s="53" t="str">
        <f aca="false">IF(AND(OR('Choix pédagogiques'!$C$3=1,'Choix pédagogiques'!$C$3=2),$BM461=1),B461,IF(AND('Choix pédagogiques'!$C$3=3,$BO461=1),B461,""))</f>
        <v/>
      </c>
      <c r="X461" s="53" t="str">
        <f aca="false">IF(AND(OR('Choix pédagogiques'!$C$3=1,'Choix pédagogiques'!$C$3=2),$BM461=1),C461,IF(AND('Choix pédagogiques'!$C$3=3,$BO461=1),C461,""))</f>
        <v/>
      </c>
      <c r="Y461" s="53" t="str">
        <f aca="false">IF(AND(OR('Choix pédagogiques'!$C$3=1,'Choix pédagogiques'!$C$3=2),$BM461=1),D461,IF(AND('Choix pédagogiques'!$C$3=3,$BO461=1),D461,""))</f>
        <v/>
      </c>
      <c r="Z461" s="53" t="str">
        <f aca="false">IF($E461&lt;&gt;"",$E461,"")</f>
        <v/>
      </c>
      <c r="AA461" s="52" t="str">
        <f aca="false">IF($F461&lt;&gt;"",$F461,"")</f>
        <v>Apprenant 449 ou 449'</v>
      </c>
      <c r="AB461" s="53" t="str">
        <f aca="false">IF(AND(OR('Choix pédagogiques'!$C$3=1,'Choix pédagogiques'!$C$3=2),$BN461=1),G461,IF(AND('Choix pédagogiques'!$C$3=3,$BO461=1),G461,""))</f>
        <v/>
      </c>
      <c r="AC461" s="53" t="str">
        <f aca="false">IF(AND(OR('Choix pédagogiques'!$C$3=1,'Choix pédagogiques'!$C$3=2),$BN461=1),H461,IF(AND('Choix pédagogiques'!$C$3=3,$BO461=1),H461,""))</f>
        <v/>
      </c>
      <c r="AD461" s="53" t="str">
        <f aca="false">IF(AND(OR('Choix pédagogiques'!$C$3=1,'Choix pédagogiques'!$C$3=2),$BN461=1),I461,IF(AND('Choix pédagogiques'!$C$3=3,$BO461=1),I461,""))</f>
        <v/>
      </c>
      <c r="AE461" s="53" t="str">
        <f aca="false">IF($J461&lt;&gt;"",$J461,"")</f>
        <v/>
      </c>
      <c r="AF461" s="52" t="str">
        <f aca="false">IF($A461&lt;&gt;"",$A461,"")</f>
        <v>Apprenant 449</v>
      </c>
      <c r="AG461" s="53" t="str">
        <f aca="false">IF(AND($W461&lt;&gt;"",$X461&lt;&gt;""),$X461-$W461,"")</f>
        <v/>
      </c>
      <c r="AH461" s="53" t="str">
        <f aca="false">IF(AND($W461&lt;&gt;"",$Y461&lt;&gt;""),$Y461-$W461,"")</f>
        <v/>
      </c>
      <c r="AI461" s="53" t="str">
        <f aca="false">IF(AND($X461&lt;&gt;"",$Y461&lt;&gt;""),$Y461-$X461,"")</f>
        <v/>
      </c>
      <c r="AJ461" s="53" t="str">
        <f aca="false">IF($E461&lt;&gt;"",$E461,"")</f>
        <v/>
      </c>
      <c r="AK461" s="52" t="str">
        <f aca="false">IF($F461&lt;&gt;"",$F461,"")</f>
        <v>Apprenant 449 ou 449'</v>
      </c>
      <c r="AL461" s="53" t="str">
        <f aca="false">IF(AND($AB461&lt;&gt;"",$AC461&lt;&gt;""),$AC461-$AB461,"")</f>
        <v/>
      </c>
      <c r="AM461" s="53" t="str">
        <f aca="false">IF(AND($AB461&lt;&gt;"",$AD461&lt;&gt;""),$AD461-$AB461,"")</f>
        <v/>
      </c>
      <c r="AN461" s="53" t="str">
        <f aca="false">IF(AND($AC461&lt;&gt;"",$AD461&lt;&gt;""),$AD461-$AC461,"")</f>
        <v/>
      </c>
      <c r="AO461" s="53" t="str">
        <f aca="false">IF($J461&lt;&gt;"",$J461,"")</f>
        <v/>
      </c>
      <c r="AQ461" s="52" t="str">
        <f aca="false">IF($A461&lt;&gt;"",$A461,"")</f>
        <v>Apprenant 449</v>
      </c>
      <c r="AR461" s="55" t="str">
        <f aca="false">IF(AND('Choix pédagogiques'!$C$4&lt;&gt;"?",'Choix pédagogiques'!$C$5&lt;&gt;"?",W461&lt;&gt;""),(W461-'Choix pédagogiques'!$C$4)/('Choix pédagogiques'!$C$5-'Choix pédagogiques'!$C$4),"")</f>
        <v/>
      </c>
      <c r="AS461" s="55" t="str">
        <f aca="false">IF(AND('Choix pédagogiques'!$C$4&lt;&gt;"?",'Choix pédagogiques'!$C$5&lt;&gt;"?",X461&lt;&gt;""),(X461-'Choix pédagogiques'!$C$4)/('Choix pédagogiques'!$C$5-'Choix pédagogiques'!$C$4),"")</f>
        <v/>
      </c>
      <c r="AT461" s="55" t="str">
        <f aca="false">IF(AND('Choix pédagogiques'!$C$4&lt;&gt;"?",'Choix pédagogiques'!$C$5&lt;&gt;"?",Y461&lt;&gt;""),(Y461-'Choix pédagogiques'!$C$4)/('Choix pédagogiques'!$C$5-'Choix pédagogiques'!$C$4),"")</f>
        <v/>
      </c>
      <c r="AU461" s="53" t="str">
        <f aca="false">IF($E461&lt;&gt;"",$E461,"")</f>
        <v/>
      </c>
      <c r="AV461" s="52" t="str">
        <f aca="false">IF($F461&lt;&gt;"",$F461,"")</f>
        <v>Apprenant 449 ou 449'</v>
      </c>
      <c r="AW461" s="55" t="str">
        <f aca="false">IF(AND('Choix pédagogiques'!$C$4&lt;&gt;"?",'Choix pédagogiques'!$C$5&lt;&gt;"?",AB461&lt;&gt;""),(AB461-'Choix pédagogiques'!$C$4)/('Choix pédagogiques'!$C$5-'Choix pédagogiques'!$C$4),"")</f>
        <v/>
      </c>
      <c r="AX461" s="55" t="str">
        <f aca="false">IF(AND('Choix pédagogiques'!$C$4&lt;&gt;"?",'Choix pédagogiques'!$C$5&lt;&gt;"?",AC461&lt;&gt;""),(AC461-'Choix pédagogiques'!$C$4)/('Choix pédagogiques'!$C$5-'Choix pédagogiques'!$C$4),"")</f>
        <v/>
      </c>
      <c r="AY461" s="55" t="str">
        <f aca="false">IF(AND('Choix pédagogiques'!$C$4&lt;&gt;"?",'Choix pédagogiques'!$C$5&lt;&gt;"?",AD461&lt;&gt;""),(AD461-'Choix pédagogiques'!$C$4)/('Choix pédagogiques'!$C$5-'Choix pédagogiques'!$C$4),"")</f>
        <v/>
      </c>
      <c r="AZ461" s="53" t="str">
        <f aca="false">IF($J461&lt;&gt;"",$J461,"")</f>
        <v/>
      </c>
      <c r="BA461" s="52" t="str">
        <f aca="false">IF($A461&lt;&gt;"",$A461,"")</f>
        <v>Apprenant 449</v>
      </c>
      <c r="BB461" s="55" t="str">
        <f aca="false">IF(AND($AR461&lt;&gt;"",$AS461&lt;&gt;""),$AS461-$AR461,"")</f>
        <v/>
      </c>
      <c r="BC461" s="55" t="str">
        <f aca="false">IF(AND($AR461&lt;&gt;"",$AT461&lt;&gt;""),$AT461-$AR461,"")</f>
        <v/>
      </c>
      <c r="BD461" s="55" t="str">
        <f aca="false">IF(AND($AS461&lt;&gt;"",$AT461&lt;&gt;""),$AT461-$AS461,"")</f>
        <v/>
      </c>
      <c r="BE461" s="53" t="str">
        <f aca="false">IF($E461&lt;&gt;"",$E461,"")</f>
        <v/>
      </c>
      <c r="BF461" s="52" t="str">
        <f aca="false">IF($F461&lt;&gt;"",$F461,"")</f>
        <v>Apprenant 449 ou 449'</v>
      </c>
      <c r="BG461" s="55" t="str">
        <f aca="false">IF(AND($AW461&lt;&gt;"",$AX461&lt;&gt;""),$AX461-$AW461,"")</f>
        <v/>
      </c>
      <c r="BH461" s="55" t="str">
        <f aca="false">IF(AND($AW461&lt;&gt;"",$AY461&lt;&gt;""),$AY461-$AW461,"")</f>
        <v/>
      </c>
      <c r="BI461" s="55" t="str">
        <f aca="false">IF(AND($AX461&lt;&gt;"",$AY461&lt;&gt;""),$AY461-$AX461,"")</f>
        <v/>
      </c>
      <c r="BJ461" s="53" t="str">
        <f aca="false">IF($J461&lt;&gt;"",$J461,"")</f>
        <v/>
      </c>
      <c r="BL461" s="52"/>
      <c r="BM461" s="52" t="str">
        <f aca="false">IF(OR(COUNT(B461:D1460)=0,AND('Choix pédagogiques'!$C$3&lt;&gt;1,'Choix pédagogiques'!$C$3&lt;&gt;2)),"",IF(AND(OR('Choix pédagogiques'!$C$3=1,'Choix pédagogiques'!$C$3=2),$B461&lt;&gt;"",$C461&lt;&gt;"",$D461&lt;&gt;""),1,0))</f>
        <v/>
      </c>
      <c r="BN461" s="52" t="str">
        <f aca="false">IF(OR(COUNT(G461:I1460)=0,AND('Choix pédagogiques'!$C$3&lt;&gt;1,'Choix pédagogiques'!$C$3&lt;&gt;2)),"",IF(AND(OR('Choix pédagogiques'!$C$3=1,'Choix pédagogiques'!$C$3=2),AND($G461&lt;&gt;"",$H461&lt;&gt;"",$I461&lt;&gt;"")),1,0))</f>
        <v/>
      </c>
      <c r="BO461" s="52" t="str">
        <f aca="false">IF(OR(COUNT(B461:D1460)=0,COUNT(G461:I1460)=0,'Choix pédagogiques'!C$3&lt;&gt;3),"",IF(AND('Choix pédagogiques'!$C$3=3,$B461&lt;&gt;"",$C461&lt;&gt;"",$D461&lt;&gt;"",$G461&lt;&gt;"",$H461&lt;&gt;"",$I461&lt;&gt;""),1,0))</f>
        <v/>
      </c>
      <c r="BR461" s="52" t="n">
        <v>827</v>
      </c>
      <c r="BS461" s="52" t="n">
        <v>1789</v>
      </c>
    </row>
    <row r="462" s="54" customFormat="true" ht="18" hidden="false" customHeight="true" outlineLevel="0" collapsed="false">
      <c r="A462" s="57" t="s">
        <v>855</v>
      </c>
      <c r="B462" s="51"/>
      <c r="C462" s="51"/>
      <c r="D462" s="51"/>
      <c r="E462" s="51"/>
      <c r="F462" s="57" t="s">
        <v>856</v>
      </c>
      <c r="G462" s="51"/>
      <c r="H462" s="51"/>
      <c r="I462" s="51"/>
      <c r="J462" s="51"/>
      <c r="K462" s="52" t="str">
        <f aca="false">IF($A462&lt;&gt;"",$A462,"")</f>
        <v>Apprenant 450</v>
      </c>
      <c r="L462" s="53" t="str">
        <f aca="false">IF(AND($B462&lt;&gt;"",$C462&lt;&gt;""),$C462-$B462,"")</f>
        <v/>
      </c>
      <c r="M462" s="53" t="str">
        <f aca="false">IF(AND($B462&lt;&gt;"",$D462&lt;&gt;""),$D462-$B462,"")</f>
        <v/>
      </c>
      <c r="N462" s="53" t="str">
        <f aca="false">IF(AND($C462&lt;&gt;"",$D462&lt;&gt;""),$D462-$C462,"")</f>
        <v/>
      </c>
      <c r="O462" s="53" t="str">
        <f aca="false">IF($E462&lt;&gt;"",$E462,"")</f>
        <v/>
      </c>
      <c r="P462" s="52" t="str">
        <f aca="false">IF($F462&lt;&gt;"",$F462,"")</f>
        <v>Apprenant 450 ou 450'</v>
      </c>
      <c r="Q462" s="53" t="str">
        <f aca="false">IF(AND($G462&lt;&gt;"",$H462&lt;&gt;""),$H462-$G462,"")</f>
        <v/>
      </c>
      <c r="R462" s="53" t="str">
        <f aca="false">IF(AND($G462&lt;&gt;"",$I462&lt;&gt;""),$I462-$G462,"")</f>
        <v/>
      </c>
      <c r="S462" s="53" t="str">
        <f aca="false">IF(AND($H462&lt;&gt;"",$I462&lt;&gt;""),$I462-$H462,"")</f>
        <v/>
      </c>
      <c r="T462" s="53" t="str">
        <f aca="false">IF($J462&lt;&gt;"",$J462,"")</f>
        <v/>
      </c>
      <c r="V462" s="52" t="str">
        <f aca="false">IF($A462&lt;&gt;"",$A462,"")</f>
        <v>Apprenant 450</v>
      </c>
      <c r="W462" s="53" t="str">
        <f aca="false">IF(AND(OR('Choix pédagogiques'!$C$3=1,'Choix pédagogiques'!$C$3=2),$BM462=1),B462,IF(AND('Choix pédagogiques'!$C$3=3,$BO462=1),B462,""))</f>
        <v/>
      </c>
      <c r="X462" s="53" t="str">
        <f aca="false">IF(AND(OR('Choix pédagogiques'!$C$3=1,'Choix pédagogiques'!$C$3=2),$BM462=1),C462,IF(AND('Choix pédagogiques'!$C$3=3,$BO462=1),C462,""))</f>
        <v/>
      </c>
      <c r="Y462" s="53" t="str">
        <f aca="false">IF(AND(OR('Choix pédagogiques'!$C$3=1,'Choix pédagogiques'!$C$3=2),$BM462=1),D462,IF(AND('Choix pédagogiques'!$C$3=3,$BO462=1),D462,""))</f>
        <v/>
      </c>
      <c r="Z462" s="53" t="str">
        <f aca="false">IF($E462&lt;&gt;"",$E462,"")</f>
        <v/>
      </c>
      <c r="AA462" s="52" t="str">
        <f aca="false">IF($F462&lt;&gt;"",$F462,"")</f>
        <v>Apprenant 450 ou 450'</v>
      </c>
      <c r="AB462" s="53" t="str">
        <f aca="false">IF(AND(OR('Choix pédagogiques'!$C$3=1,'Choix pédagogiques'!$C$3=2),$BN462=1),G462,IF(AND('Choix pédagogiques'!$C$3=3,$BO462=1),G462,""))</f>
        <v/>
      </c>
      <c r="AC462" s="53" t="str">
        <f aca="false">IF(AND(OR('Choix pédagogiques'!$C$3=1,'Choix pédagogiques'!$C$3=2),$BN462=1),H462,IF(AND('Choix pédagogiques'!$C$3=3,$BO462=1),H462,""))</f>
        <v/>
      </c>
      <c r="AD462" s="53" t="str">
        <f aca="false">IF(AND(OR('Choix pédagogiques'!$C$3=1,'Choix pédagogiques'!$C$3=2),$BN462=1),I462,IF(AND('Choix pédagogiques'!$C$3=3,$BO462=1),I462,""))</f>
        <v/>
      </c>
      <c r="AE462" s="53" t="str">
        <f aca="false">IF($J462&lt;&gt;"",$J462,"")</f>
        <v/>
      </c>
      <c r="AF462" s="52" t="str">
        <f aca="false">IF($A462&lt;&gt;"",$A462,"")</f>
        <v>Apprenant 450</v>
      </c>
      <c r="AG462" s="53" t="str">
        <f aca="false">IF(AND($W462&lt;&gt;"",$X462&lt;&gt;""),$X462-$W462,"")</f>
        <v/>
      </c>
      <c r="AH462" s="53" t="str">
        <f aca="false">IF(AND($W462&lt;&gt;"",$Y462&lt;&gt;""),$Y462-$W462,"")</f>
        <v/>
      </c>
      <c r="AI462" s="53" t="str">
        <f aca="false">IF(AND($X462&lt;&gt;"",$Y462&lt;&gt;""),$Y462-$X462,"")</f>
        <v/>
      </c>
      <c r="AJ462" s="53" t="str">
        <f aca="false">IF($E462&lt;&gt;"",$E462,"")</f>
        <v/>
      </c>
      <c r="AK462" s="52" t="str">
        <f aca="false">IF($F462&lt;&gt;"",$F462,"")</f>
        <v>Apprenant 450 ou 450'</v>
      </c>
      <c r="AL462" s="53" t="str">
        <f aca="false">IF(AND($AB462&lt;&gt;"",$AC462&lt;&gt;""),$AC462-$AB462,"")</f>
        <v/>
      </c>
      <c r="AM462" s="53" t="str">
        <f aca="false">IF(AND($AB462&lt;&gt;"",$AD462&lt;&gt;""),$AD462-$AB462,"")</f>
        <v/>
      </c>
      <c r="AN462" s="53" t="str">
        <f aca="false">IF(AND($AC462&lt;&gt;"",$AD462&lt;&gt;""),$AD462-$AC462,"")</f>
        <v/>
      </c>
      <c r="AO462" s="53" t="str">
        <f aca="false">IF($J462&lt;&gt;"",$J462,"")</f>
        <v/>
      </c>
      <c r="AQ462" s="52" t="str">
        <f aca="false">IF($A462&lt;&gt;"",$A462,"")</f>
        <v>Apprenant 450</v>
      </c>
      <c r="AR462" s="55" t="str">
        <f aca="false">IF(AND('Choix pédagogiques'!$C$4&lt;&gt;"?",'Choix pédagogiques'!$C$5&lt;&gt;"?",W462&lt;&gt;""),(W462-'Choix pédagogiques'!$C$4)/('Choix pédagogiques'!$C$5-'Choix pédagogiques'!$C$4),"")</f>
        <v/>
      </c>
      <c r="AS462" s="55" t="str">
        <f aca="false">IF(AND('Choix pédagogiques'!$C$4&lt;&gt;"?",'Choix pédagogiques'!$C$5&lt;&gt;"?",X462&lt;&gt;""),(X462-'Choix pédagogiques'!$C$4)/('Choix pédagogiques'!$C$5-'Choix pédagogiques'!$C$4),"")</f>
        <v/>
      </c>
      <c r="AT462" s="55" t="str">
        <f aca="false">IF(AND('Choix pédagogiques'!$C$4&lt;&gt;"?",'Choix pédagogiques'!$C$5&lt;&gt;"?",Y462&lt;&gt;""),(Y462-'Choix pédagogiques'!$C$4)/('Choix pédagogiques'!$C$5-'Choix pédagogiques'!$C$4),"")</f>
        <v/>
      </c>
      <c r="AU462" s="53" t="str">
        <f aca="false">IF($E462&lt;&gt;"",$E462,"")</f>
        <v/>
      </c>
      <c r="AV462" s="52" t="str">
        <f aca="false">IF($F462&lt;&gt;"",$F462,"")</f>
        <v>Apprenant 450 ou 450'</v>
      </c>
      <c r="AW462" s="55" t="str">
        <f aca="false">IF(AND('Choix pédagogiques'!$C$4&lt;&gt;"?",'Choix pédagogiques'!$C$5&lt;&gt;"?",AB462&lt;&gt;""),(AB462-'Choix pédagogiques'!$C$4)/('Choix pédagogiques'!$C$5-'Choix pédagogiques'!$C$4),"")</f>
        <v/>
      </c>
      <c r="AX462" s="55" t="str">
        <f aca="false">IF(AND('Choix pédagogiques'!$C$4&lt;&gt;"?",'Choix pédagogiques'!$C$5&lt;&gt;"?",AC462&lt;&gt;""),(AC462-'Choix pédagogiques'!$C$4)/('Choix pédagogiques'!$C$5-'Choix pédagogiques'!$C$4),"")</f>
        <v/>
      </c>
      <c r="AY462" s="55" t="str">
        <f aca="false">IF(AND('Choix pédagogiques'!$C$4&lt;&gt;"?",'Choix pédagogiques'!$C$5&lt;&gt;"?",AD462&lt;&gt;""),(AD462-'Choix pédagogiques'!$C$4)/('Choix pédagogiques'!$C$5-'Choix pédagogiques'!$C$4),"")</f>
        <v/>
      </c>
      <c r="AZ462" s="53" t="str">
        <f aca="false">IF($J462&lt;&gt;"",$J462,"")</f>
        <v/>
      </c>
      <c r="BA462" s="52" t="str">
        <f aca="false">IF($A462&lt;&gt;"",$A462,"")</f>
        <v>Apprenant 450</v>
      </c>
      <c r="BB462" s="55" t="str">
        <f aca="false">IF(AND($AR462&lt;&gt;"",$AS462&lt;&gt;""),$AS462-$AR462,"")</f>
        <v/>
      </c>
      <c r="BC462" s="55" t="str">
        <f aca="false">IF(AND($AR462&lt;&gt;"",$AT462&lt;&gt;""),$AT462-$AR462,"")</f>
        <v/>
      </c>
      <c r="BD462" s="55" t="str">
        <f aca="false">IF(AND($AS462&lt;&gt;"",$AT462&lt;&gt;""),$AT462-$AS462,"")</f>
        <v/>
      </c>
      <c r="BE462" s="53" t="str">
        <f aca="false">IF($E462&lt;&gt;"",$E462,"")</f>
        <v/>
      </c>
      <c r="BF462" s="52" t="str">
        <f aca="false">IF($F462&lt;&gt;"",$F462,"")</f>
        <v>Apprenant 450 ou 450'</v>
      </c>
      <c r="BG462" s="55" t="str">
        <f aca="false">IF(AND($AW462&lt;&gt;"",$AX462&lt;&gt;""),$AX462-$AW462,"")</f>
        <v/>
      </c>
      <c r="BH462" s="55" t="str">
        <f aca="false">IF(AND($AW462&lt;&gt;"",$AY462&lt;&gt;""),$AY462-$AW462,"")</f>
        <v/>
      </c>
      <c r="BI462" s="55" t="str">
        <f aca="false">IF(AND($AX462&lt;&gt;"",$AY462&lt;&gt;""),$AY462-$AX462,"")</f>
        <v/>
      </c>
      <c r="BJ462" s="53" t="str">
        <f aca="false">IF($J462&lt;&gt;"",$J462,"")</f>
        <v/>
      </c>
      <c r="BL462" s="52"/>
      <c r="BM462" s="52" t="str">
        <f aca="false">IF(OR(COUNT(B462:D1461)=0,AND('Choix pédagogiques'!$C$3&lt;&gt;1,'Choix pédagogiques'!$C$3&lt;&gt;2)),"",IF(AND(OR('Choix pédagogiques'!$C$3=1,'Choix pédagogiques'!$C$3=2),$B462&lt;&gt;"",$C462&lt;&gt;"",$D462&lt;&gt;""),1,0))</f>
        <v/>
      </c>
      <c r="BN462" s="52" t="str">
        <f aca="false">IF(OR(COUNT(G462:I1461)=0,AND('Choix pédagogiques'!$C$3&lt;&gt;1,'Choix pédagogiques'!$C$3&lt;&gt;2)),"",IF(AND(OR('Choix pédagogiques'!$C$3=1,'Choix pédagogiques'!$C$3=2),AND($G462&lt;&gt;"",$H462&lt;&gt;"",$I462&lt;&gt;"")),1,0))</f>
        <v/>
      </c>
      <c r="BO462" s="52" t="str">
        <f aca="false">IF(OR(COUNT(B462:D1461)=0,COUNT(G462:I1461)=0,'Choix pédagogiques'!C$3&lt;&gt;3),"",IF(AND('Choix pédagogiques'!$C$3=3,$B462&lt;&gt;"",$C462&lt;&gt;"",$D462&lt;&gt;"",$G462&lt;&gt;"",$H462&lt;&gt;"",$I462&lt;&gt;""),1,0))</f>
        <v/>
      </c>
      <c r="BR462" s="52" t="n">
        <v>761</v>
      </c>
      <c r="BS462" s="52" t="n">
        <v>1913</v>
      </c>
    </row>
    <row r="463" s="54" customFormat="true" ht="18" hidden="false" customHeight="true" outlineLevel="0" collapsed="false">
      <c r="A463" s="57" t="s">
        <v>857</v>
      </c>
      <c r="B463" s="51"/>
      <c r="C463" s="51"/>
      <c r="D463" s="51"/>
      <c r="E463" s="51"/>
      <c r="F463" s="57" t="s">
        <v>858</v>
      </c>
      <c r="G463" s="51"/>
      <c r="H463" s="51"/>
      <c r="I463" s="51"/>
      <c r="J463" s="51"/>
      <c r="K463" s="52" t="str">
        <f aca="false">IF($A463&lt;&gt;"",$A463,"")</f>
        <v>Apprenant 451</v>
      </c>
      <c r="L463" s="53" t="str">
        <f aca="false">IF(AND($B463&lt;&gt;"",$C463&lt;&gt;""),$C463-$B463,"")</f>
        <v/>
      </c>
      <c r="M463" s="53" t="str">
        <f aca="false">IF(AND($B463&lt;&gt;"",$D463&lt;&gt;""),$D463-$B463,"")</f>
        <v/>
      </c>
      <c r="N463" s="53" t="str">
        <f aca="false">IF(AND($C463&lt;&gt;"",$D463&lt;&gt;""),$D463-$C463,"")</f>
        <v/>
      </c>
      <c r="O463" s="53" t="str">
        <f aca="false">IF($E463&lt;&gt;"",$E463,"")</f>
        <v/>
      </c>
      <c r="P463" s="52" t="str">
        <f aca="false">IF($F463&lt;&gt;"",$F463,"")</f>
        <v>Apprenant 451 ou 451'</v>
      </c>
      <c r="Q463" s="53" t="str">
        <f aca="false">IF(AND($G463&lt;&gt;"",$H463&lt;&gt;""),$H463-$G463,"")</f>
        <v/>
      </c>
      <c r="R463" s="53" t="str">
        <f aca="false">IF(AND($G463&lt;&gt;"",$I463&lt;&gt;""),$I463-$G463,"")</f>
        <v/>
      </c>
      <c r="S463" s="53" t="str">
        <f aca="false">IF(AND($H463&lt;&gt;"",$I463&lt;&gt;""),$I463-$H463,"")</f>
        <v/>
      </c>
      <c r="T463" s="53" t="str">
        <f aca="false">IF($J463&lt;&gt;"",$J463,"")</f>
        <v/>
      </c>
      <c r="V463" s="52" t="str">
        <f aca="false">IF($A463&lt;&gt;"",$A463,"")</f>
        <v>Apprenant 451</v>
      </c>
      <c r="W463" s="53" t="str">
        <f aca="false">IF(AND(OR('Choix pédagogiques'!$C$3=1,'Choix pédagogiques'!$C$3=2),$BM463=1),B463,IF(AND('Choix pédagogiques'!$C$3=3,$BO463=1),B463,""))</f>
        <v/>
      </c>
      <c r="X463" s="53" t="str">
        <f aca="false">IF(AND(OR('Choix pédagogiques'!$C$3=1,'Choix pédagogiques'!$C$3=2),$BM463=1),C463,IF(AND('Choix pédagogiques'!$C$3=3,$BO463=1),C463,""))</f>
        <v/>
      </c>
      <c r="Y463" s="53" t="str">
        <f aca="false">IF(AND(OR('Choix pédagogiques'!$C$3=1,'Choix pédagogiques'!$C$3=2),$BM463=1),D463,IF(AND('Choix pédagogiques'!$C$3=3,$BO463=1),D463,""))</f>
        <v/>
      </c>
      <c r="Z463" s="53" t="str">
        <f aca="false">IF($E463&lt;&gt;"",$E463,"")</f>
        <v/>
      </c>
      <c r="AA463" s="52" t="str">
        <f aca="false">IF($F463&lt;&gt;"",$F463,"")</f>
        <v>Apprenant 451 ou 451'</v>
      </c>
      <c r="AB463" s="53" t="str">
        <f aca="false">IF(AND(OR('Choix pédagogiques'!$C$3=1,'Choix pédagogiques'!$C$3=2),$BN463=1),G463,IF(AND('Choix pédagogiques'!$C$3=3,$BO463=1),G463,""))</f>
        <v/>
      </c>
      <c r="AC463" s="53" t="str">
        <f aca="false">IF(AND(OR('Choix pédagogiques'!$C$3=1,'Choix pédagogiques'!$C$3=2),$BN463=1),H463,IF(AND('Choix pédagogiques'!$C$3=3,$BO463=1),H463,""))</f>
        <v/>
      </c>
      <c r="AD463" s="53" t="str">
        <f aca="false">IF(AND(OR('Choix pédagogiques'!$C$3=1,'Choix pédagogiques'!$C$3=2),$BN463=1),I463,IF(AND('Choix pédagogiques'!$C$3=3,$BO463=1),I463,""))</f>
        <v/>
      </c>
      <c r="AE463" s="53" t="str">
        <f aca="false">IF($J463&lt;&gt;"",$J463,"")</f>
        <v/>
      </c>
      <c r="AF463" s="52" t="str">
        <f aca="false">IF($A463&lt;&gt;"",$A463,"")</f>
        <v>Apprenant 451</v>
      </c>
      <c r="AG463" s="53" t="str">
        <f aca="false">IF(AND($W463&lt;&gt;"",$X463&lt;&gt;""),$X463-$W463,"")</f>
        <v/>
      </c>
      <c r="AH463" s="53" t="str">
        <f aca="false">IF(AND($W463&lt;&gt;"",$Y463&lt;&gt;""),$Y463-$W463,"")</f>
        <v/>
      </c>
      <c r="AI463" s="53" t="str">
        <f aca="false">IF(AND($X463&lt;&gt;"",$Y463&lt;&gt;""),$Y463-$X463,"")</f>
        <v/>
      </c>
      <c r="AJ463" s="53" t="str">
        <f aca="false">IF($E463&lt;&gt;"",$E463,"")</f>
        <v/>
      </c>
      <c r="AK463" s="52" t="str">
        <f aca="false">IF($F463&lt;&gt;"",$F463,"")</f>
        <v>Apprenant 451 ou 451'</v>
      </c>
      <c r="AL463" s="53" t="str">
        <f aca="false">IF(AND($AB463&lt;&gt;"",$AC463&lt;&gt;""),$AC463-$AB463,"")</f>
        <v/>
      </c>
      <c r="AM463" s="53" t="str">
        <f aca="false">IF(AND($AB463&lt;&gt;"",$AD463&lt;&gt;""),$AD463-$AB463,"")</f>
        <v/>
      </c>
      <c r="AN463" s="53" t="str">
        <f aca="false">IF(AND($AC463&lt;&gt;"",$AD463&lt;&gt;""),$AD463-$AC463,"")</f>
        <v/>
      </c>
      <c r="AO463" s="53" t="str">
        <f aca="false">IF($J463&lt;&gt;"",$J463,"")</f>
        <v/>
      </c>
      <c r="AQ463" s="52" t="str">
        <f aca="false">IF($A463&lt;&gt;"",$A463,"")</f>
        <v>Apprenant 451</v>
      </c>
      <c r="AR463" s="55" t="str">
        <f aca="false">IF(AND('Choix pédagogiques'!$C$4&lt;&gt;"?",'Choix pédagogiques'!$C$5&lt;&gt;"?",W463&lt;&gt;""),(W463-'Choix pédagogiques'!$C$4)/('Choix pédagogiques'!$C$5-'Choix pédagogiques'!$C$4),"")</f>
        <v/>
      </c>
      <c r="AS463" s="55" t="str">
        <f aca="false">IF(AND('Choix pédagogiques'!$C$4&lt;&gt;"?",'Choix pédagogiques'!$C$5&lt;&gt;"?",X463&lt;&gt;""),(X463-'Choix pédagogiques'!$C$4)/('Choix pédagogiques'!$C$5-'Choix pédagogiques'!$C$4),"")</f>
        <v/>
      </c>
      <c r="AT463" s="55" t="str">
        <f aca="false">IF(AND('Choix pédagogiques'!$C$4&lt;&gt;"?",'Choix pédagogiques'!$C$5&lt;&gt;"?",Y463&lt;&gt;""),(Y463-'Choix pédagogiques'!$C$4)/('Choix pédagogiques'!$C$5-'Choix pédagogiques'!$C$4),"")</f>
        <v/>
      </c>
      <c r="AU463" s="53" t="str">
        <f aca="false">IF($E463&lt;&gt;"",$E463,"")</f>
        <v/>
      </c>
      <c r="AV463" s="52" t="str">
        <f aca="false">IF($F463&lt;&gt;"",$F463,"")</f>
        <v>Apprenant 451 ou 451'</v>
      </c>
      <c r="AW463" s="55" t="str">
        <f aca="false">IF(AND('Choix pédagogiques'!$C$4&lt;&gt;"?",'Choix pédagogiques'!$C$5&lt;&gt;"?",AB463&lt;&gt;""),(AB463-'Choix pédagogiques'!$C$4)/('Choix pédagogiques'!$C$5-'Choix pédagogiques'!$C$4),"")</f>
        <v/>
      </c>
      <c r="AX463" s="55" t="str">
        <f aca="false">IF(AND('Choix pédagogiques'!$C$4&lt;&gt;"?",'Choix pédagogiques'!$C$5&lt;&gt;"?",AC463&lt;&gt;""),(AC463-'Choix pédagogiques'!$C$4)/('Choix pédagogiques'!$C$5-'Choix pédagogiques'!$C$4),"")</f>
        <v/>
      </c>
      <c r="AY463" s="55" t="str">
        <f aca="false">IF(AND('Choix pédagogiques'!$C$4&lt;&gt;"?",'Choix pédagogiques'!$C$5&lt;&gt;"?",AD463&lt;&gt;""),(AD463-'Choix pédagogiques'!$C$4)/('Choix pédagogiques'!$C$5-'Choix pédagogiques'!$C$4),"")</f>
        <v/>
      </c>
      <c r="AZ463" s="53" t="str">
        <f aca="false">IF($J463&lt;&gt;"",$J463,"")</f>
        <v/>
      </c>
      <c r="BA463" s="52" t="str">
        <f aca="false">IF($A463&lt;&gt;"",$A463,"")</f>
        <v>Apprenant 451</v>
      </c>
      <c r="BB463" s="55" t="str">
        <f aca="false">IF(AND($AR463&lt;&gt;"",$AS463&lt;&gt;""),$AS463-$AR463,"")</f>
        <v/>
      </c>
      <c r="BC463" s="55" t="str">
        <f aca="false">IF(AND($AR463&lt;&gt;"",$AT463&lt;&gt;""),$AT463-$AR463,"")</f>
        <v/>
      </c>
      <c r="BD463" s="55" t="str">
        <f aca="false">IF(AND($AS463&lt;&gt;"",$AT463&lt;&gt;""),$AT463-$AS463,"")</f>
        <v/>
      </c>
      <c r="BE463" s="53" t="str">
        <f aca="false">IF($E463&lt;&gt;"",$E463,"")</f>
        <v/>
      </c>
      <c r="BF463" s="52" t="str">
        <f aca="false">IF($F463&lt;&gt;"",$F463,"")</f>
        <v>Apprenant 451 ou 451'</v>
      </c>
      <c r="BG463" s="55" t="str">
        <f aca="false">IF(AND($AW463&lt;&gt;"",$AX463&lt;&gt;""),$AX463-$AW463,"")</f>
        <v/>
      </c>
      <c r="BH463" s="55" t="str">
        <f aca="false">IF(AND($AW463&lt;&gt;"",$AY463&lt;&gt;""),$AY463-$AW463,"")</f>
        <v/>
      </c>
      <c r="BI463" s="55" t="str">
        <f aca="false">IF(AND($AX463&lt;&gt;"",$AY463&lt;&gt;""),$AY463-$AX463,"")</f>
        <v/>
      </c>
      <c r="BJ463" s="53" t="str">
        <f aca="false">IF($J463&lt;&gt;"",$J463,"")</f>
        <v/>
      </c>
      <c r="BL463" s="52"/>
      <c r="BM463" s="52" t="str">
        <f aca="false">IF(OR(COUNT(B463:D1462)=0,AND('Choix pédagogiques'!$C$3&lt;&gt;1,'Choix pédagogiques'!$C$3&lt;&gt;2)),"",IF(AND(OR('Choix pédagogiques'!$C$3=1,'Choix pédagogiques'!$C$3=2),$B463&lt;&gt;"",$C463&lt;&gt;"",$D463&lt;&gt;""),1,0))</f>
        <v/>
      </c>
      <c r="BN463" s="52" t="str">
        <f aca="false">IF(OR(COUNT(G463:I1462)=0,AND('Choix pédagogiques'!$C$3&lt;&gt;1,'Choix pédagogiques'!$C$3&lt;&gt;2)),"",IF(AND(OR('Choix pédagogiques'!$C$3=1,'Choix pédagogiques'!$C$3=2),AND($G463&lt;&gt;"",$H463&lt;&gt;"",$I463&lt;&gt;"")),1,0))</f>
        <v/>
      </c>
      <c r="BO463" s="52" t="str">
        <f aca="false">IF(OR(COUNT(B463:D1462)=0,COUNT(G463:I1462)=0,'Choix pédagogiques'!C$3&lt;&gt;3),"",IF(AND('Choix pédagogiques'!$C$3=3,$B463&lt;&gt;"",$C463&lt;&gt;"",$D463&lt;&gt;"",$G463&lt;&gt;"",$H463&lt;&gt;"",$I463&lt;&gt;""),1,0))</f>
        <v/>
      </c>
      <c r="BR463" s="52" t="n">
        <v>573</v>
      </c>
      <c r="BS463" s="52" t="n">
        <v>1517</v>
      </c>
    </row>
    <row r="464" s="54" customFormat="true" ht="18" hidden="false" customHeight="true" outlineLevel="0" collapsed="false">
      <c r="A464" s="57" t="s">
        <v>859</v>
      </c>
      <c r="B464" s="51"/>
      <c r="C464" s="51"/>
      <c r="D464" s="51"/>
      <c r="E464" s="51"/>
      <c r="F464" s="57" t="s">
        <v>860</v>
      </c>
      <c r="G464" s="51"/>
      <c r="H464" s="51"/>
      <c r="I464" s="51"/>
      <c r="J464" s="51"/>
      <c r="K464" s="52" t="str">
        <f aca="false">IF($A464&lt;&gt;"",$A464,"")</f>
        <v>Apprenant 452</v>
      </c>
      <c r="L464" s="53" t="str">
        <f aca="false">IF(AND($B464&lt;&gt;"",$C464&lt;&gt;""),$C464-$B464,"")</f>
        <v/>
      </c>
      <c r="M464" s="53" t="str">
        <f aca="false">IF(AND($B464&lt;&gt;"",$D464&lt;&gt;""),$D464-$B464,"")</f>
        <v/>
      </c>
      <c r="N464" s="53" t="str">
        <f aca="false">IF(AND($C464&lt;&gt;"",$D464&lt;&gt;""),$D464-$C464,"")</f>
        <v/>
      </c>
      <c r="O464" s="53" t="str">
        <f aca="false">IF($E464&lt;&gt;"",$E464,"")</f>
        <v/>
      </c>
      <c r="P464" s="52" t="str">
        <f aca="false">IF($F464&lt;&gt;"",$F464,"")</f>
        <v>Apprenant 452 ou 452'</v>
      </c>
      <c r="Q464" s="53" t="str">
        <f aca="false">IF(AND($G464&lt;&gt;"",$H464&lt;&gt;""),$H464-$G464,"")</f>
        <v/>
      </c>
      <c r="R464" s="53" t="str">
        <f aca="false">IF(AND($G464&lt;&gt;"",$I464&lt;&gt;""),$I464-$G464,"")</f>
        <v/>
      </c>
      <c r="S464" s="53" t="str">
        <f aca="false">IF(AND($H464&lt;&gt;"",$I464&lt;&gt;""),$I464-$H464,"")</f>
        <v/>
      </c>
      <c r="T464" s="53" t="str">
        <f aca="false">IF($J464&lt;&gt;"",$J464,"")</f>
        <v/>
      </c>
      <c r="V464" s="52" t="str">
        <f aca="false">IF($A464&lt;&gt;"",$A464,"")</f>
        <v>Apprenant 452</v>
      </c>
      <c r="W464" s="53" t="str">
        <f aca="false">IF(AND(OR('Choix pédagogiques'!$C$3=1,'Choix pédagogiques'!$C$3=2),$BM464=1),B464,IF(AND('Choix pédagogiques'!$C$3=3,$BO464=1),B464,""))</f>
        <v/>
      </c>
      <c r="X464" s="53" t="str">
        <f aca="false">IF(AND(OR('Choix pédagogiques'!$C$3=1,'Choix pédagogiques'!$C$3=2),$BM464=1),C464,IF(AND('Choix pédagogiques'!$C$3=3,$BO464=1),C464,""))</f>
        <v/>
      </c>
      <c r="Y464" s="53" t="str">
        <f aca="false">IF(AND(OR('Choix pédagogiques'!$C$3=1,'Choix pédagogiques'!$C$3=2),$BM464=1),D464,IF(AND('Choix pédagogiques'!$C$3=3,$BO464=1),D464,""))</f>
        <v/>
      </c>
      <c r="Z464" s="53" t="str">
        <f aca="false">IF($E464&lt;&gt;"",$E464,"")</f>
        <v/>
      </c>
      <c r="AA464" s="52" t="str">
        <f aca="false">IF($F464&lt;&gt;"",$F464,"")</f>
        <v>Apprenant 452 ou 452'</v>
      </c>
      <c r="AB464" s="53" t="str">
        <f aca="false">IF(AND(OR('Choix pédagogiques'!$C$3=1,'Choix pédagogiques'!$C$3=2),$BN464=1),G464,IF(AND('Choix pédagogiques'!$C$3=3,$BO464=1),G464,""))</f>
        <v/>
      </c>
      <c r="AC464" s="53" t="str">
        <f aca="false">IF(AND(OR('Choix pédagogiques'!$C$3=1,'Choix pédagogiques'!$C$3=2),$BN464=1),H464,IF(AND('Choix pédagogiques'!$C$3=3,$BO464=1),H464,""))</f>
        <v/>
      </c>
      <c r="AD464" s="53" t="str">
        <f aca="false">IF(AND(OR('Choix pédagogiques'!$C$3=1,'Choix pédagogiques'!$C$3=2),$BN464=1),I464,IF(AND('Choix pédagogiques'!$C$3=3,$BO464=1),I464,""))</f>
        <v/>
      </c>
      <c r="AE464" s="53" t="str">
        <f aca="false">IF($J464&lt;&gt;"",$J464,"")</f>
        <v/>
      </c>
      <c r="AF464" s="52" t="str">
        <f aca="false">IF($A464&lt;&gt;"",$A464,"")</f>
        <v>Apprenant 452</v>
      </c>
      <c r="AG464" s="53" t="str">
        <f aca="false">IF(AND($W464&lt;&gt;"",$X464&lt;&gt;""),$X464-$W464,"")</f>
        <v/>
      </c>
      <c r="AH464" s="53" t="str">
        <f aca="false">IF(AND($W464&lt;&gt;"",$Y464&lt;&gt;""),$Y464-$W464,"")</f>
        <v/>
      </c>
      <c r="AI464" s="53" t="str">
        <f aca="false">IF(AND($X464&lt;&gt;"",$Y464&lt;&gt;""),$Y464-$X464,"")</f>
        <v/>
      </c>
      <c r="AJ464" s="53" t="str">
        <f aca="false">IF($E464&lt;&gt;"",$E464,"")</f>
        <v/>
      </c>
      <c r="AK464" s="52" t="str">
        <f aca="false">IF($F464&lt;&gt;"",$F464,"")</f>
        <v>Apprenant 452 ou 452'</v>
      </c>
      <c r="AL464" s="53" t="str">
        <f aca="false">IF(AND($AB464&lt;&gt;"",$AC464&lt;&gt;""),$AC464-$AB464,"")</f>
        <v/>
      </c>
      <c r="AM464" s="53" t="str">
        <f aca="false">IF(AND($AB464&lt;&gt;"",$AD464&lt;&gt;""),$AD464-$AB464,"")</f>
        <v/>
      </c>
      <c r="AN464" s="53" t="str">
        <f aca="false">IF(AND($AC464&lt;&gt;"",$AD464&lt;&gt;""),$AD464-$AC464,"")</f>
        <v/>
      </c>
      <c r="AO464" s="53" t="str">
        <f aca="false">IF($J464&lt;&gt;"",$J464,"")</f>
        <v/>
      </c>
      <c r="AQ464" s="52" t="str">
        <f aca="false">IF($A464&lt;&gt;"",$A464,"")</f>
        <v>Apprenant 452</v>
      </c>
      <c r="AR464" s="55" t="str">
        <f aca="false">IF(AND('Choix pédagogiques'!$C$4&lt;&gt;"?",'Choix pédagogiques'!$C$5&lt;&gt;"?",W464&lt;&gt;""),(W464-'Choix pédagogiques'!$C$4)/('Choix pédagogiques'!$C$5-'Choix pédagogiques'!$C$4),"")</f>
        <v/>
      </c>
      <c r="AS464" s="55" t="str">
        <f aca="false">IF(AND('Choix pédagogiques'!$C$4&lt;&gt;"?",'Choix pédagogiques'!$C$5&lt;&gt;"?",X464&lt;&gt;""),(X464-'Choix pédagogiques'!$C$4)/('Choix pédagogiques'!$C$5-'Choix pédagogiques'!$C$4),"")</f>
        <v/>
      </c>
      <c r="AT464" s="55" t="str">
        <f aca="false">IF(AND('Choix pédagogiques'!$C$4&lt;&gt;"?",'Choix pédagogiques'!$C$5&lt;&gt;"?",Y464&lt;&gt;""),(Y464-'Choix pédagogiques'!$C$4)/('Choix pédagogiques'!$C$5-'Choix pédagogiques'!$C$4),"")</f>
        <v/>
      </c>
      <c r="AU464" s="53" t="str">
        <f aca="false">IF($E464&lt;&gt;"",$E464,"")</f>
        <v/>
      </c>
      <c r="AV464" s="52" t="str">
        <f aca="false">IF($F464&lt;&gt;"",$F464,"")</f>
        <v>Apprenant 452 ou 452'</v>
      </c>
      <c r="AW464" s="55" t="str">
        <f aca="false">IF(AND('Choix pédagogiques'!$C$4&lt;&gt;"?",'Choix pédagogiques'!$C$5&lt;&gt;"?",AB464&lt;&gt;""),(AB464-'Choix pédagogiques'!$C$4)/('Choix pédagogiques'!$C$5-'Choix pédagogiques'!$C$4),"")</f>
        <v/>
      </c>
      <c r="AX464" s="55" t="str">
        <f aca="false">IF(AND('Choix pédagogiques'!$C$4&lt;&gt;"?",'Choix pédagogiques'!$C$5&lt;&gt;"?",AC464&lt;&gt;""),(AC464-'Choix pédagogiques'!$C$4)/('Choix pédagogiques'!$C$5-'Choix pédagogiques'!$C$4),"")</f>
        <v/>
      </c>
      <c r="AY464" s="55" t="str">
        <f aca="false">IF(AND('Choix pédagogiques'!$C$4&lt;&gt;"?",'Choix pédagogiques'!$C$5&lt;&gt;"?",AD464&lt;&gt;""),(AD464-'Choix pédagogiques'!$C$4)/('Choix pédagogiques'!$C$5-'Choix pédagogiques'!$C$4),"")</f>
        <v/>
      </c>
      <c r="AZ464" s="53" t="str">
        <f aca="false">IF($J464&lt;&gt;"",$J464,"")</f>
        <v/>
      </c>
      <c r="BA464" s="52" t="str">
        <f aca="false">IF($A464&lt;&gt;"",$A464,"")</f>
        <v>Apprenant 452</v>
      </c>
      <c r="BB464" s="55" t="str">
        <f aca="false">IF(AND($AR464&lt;&gt;"",$AS464&lt;&gt;""),$AS464-$AR464,"")</f>
        <v/>
      </c>
      <c r="BC464" s="55" t="str">
        <f aca="false">IF(AND($AR464&lt;&gt;"",$AT464&lt;&gt;""),$AT464-$AR464,"")</f>
        <v/>
      </c>
      <c r="BD464" s="55" t="str">
        <f aca="false">IF(AND($AS464&lt;&gt;"",$AT464&lt;&gt;""),$AT464-$AS464,"")</f>
        <v/>
      </c>
      <c r="BE464" s="53" t="str">
        <f aca="false">IF($E464&lt;&gt;"",$E464,"")</f>
        <v/>
      </c>
      <c r="BF464" s="52" t="str">
        <f aca="false">IF($F464&lt;&gt;"",$F464,"")</f>
        <v>Apprenant 452 ou 452'</v>
      </c>
      <c r="BG464" s="55" t="str">
        <f aca="false">IF(AND($AW464&lt;&gt;"",$AX464&lt;&gt;""),$AX464-$AW464,"")</f>
        <v/>
      </c>
      <c r="BH464" s="55" t="str">
        <f aca="false">IF(AND($AW464&lt;&gt;"",$AY464&lt;&gt;""),$AY464-$AW464,"")</f>
        <v/>
      </c>
      <c r="BI464" s="55" t="str">
        <f aca="false">IF(AND($AX464&lt;&gt;"",$AY464&lt;&gt;""),$AY464-$AX464,"")</f>
        <v/>
      </c>
      <c r="BJ464" s="53" t="str">
        <f aca="false">IF($J464&lt;&gt;"",$J464,"")</f>
        <v/>
      </c>
      <c r="BL464" s="52"/>
      <c r="BM464" s="52" t="str">
        <f aca="false">IF(OR(COUNT(B464:D1463)=0,AND('Choix pédagogiques'!$C$3&lt;&gt;1,'Choix pédagogiques'!$C$3&lt;&gt;2)),"",IF(AND(OR('Choix pédagogiques'!$C$3=1,'Choix pédagogiques'!$C$3=2),$B464&lt;&gt;"",$C464&lt;&gt;"",$D464&lt;&gt;""),1,0))</f>
        <v/>
      </c>
      <c r="BN464" s="52" t="str">
        <f aca="false">IF(OR(COUNT(G464:I1463)=0,AND('Choix pédagogiques'!$C$3&lt;&gt;1,'Choix pédagogiques'!$C$3&lt;&gt;2)),"",IF(AND(OR('Choix pédagogiques'!$C$3=1,'Choix pédagogiques'!$C$3=2),AND($G464&lt;&gt;"",$H464&lt;&gt;"",$I464&lt;&gt;"")),1,0))</f>
        <v/>
      </c>
      <c r="BO464" s="52" t="str">
        <f aca="false">IF(OR(COUNT(B464:D1463)=0,COUNT(G464:I1463)=0,'Choix pédagogiques'!C$3&lt;&gt;3),"",IF(AND('Choix pédagogiques'!$C$3=3,$B464&lt;&gt;"",$C464&lt;&gt;"",$D464&lt;&gt;"",$G464&lt;&gt;"",$H464&lt;&gt;"",$I464&lt;&gt;""),1,0))</f>
        <v/>
      </c>
      <c r="BR464" s="52" t="n">
        <v>719</v>
      </c>
      <c r="BS464" s="52" t="n">
        <v>1920</v>
      </c>
    </row>
    <row r="465" s="54" customFormat="true" ht="18" hidden="false" customHeight="true" outlineLevel="0" collapsed="false">
      <c r="A465" s="57" t="s">
        <v>861</v>
      </c>
      <c r="B465" s="51"/>
      <c r="C465" s="51"/>
      <c r="D465" s="51"/>
      <c r="E465" s="51"/>
      <c r="F465" s="57" t="s">
        <v>862</v>
      </c>
      <c r="G465" s="51"/>
      <c r="H465" s="51"/>
      <c r="I465" s="51"/>
      <c r="J465" s="51"/>
      <c r="K465" s="52" t="str">
        <f aca="false">IF($A465&lt;&gt;"",$A465,"")</f>
        <v>Apprenant 453</v>
      </c>
      <c r="L465" s="53" t="str">
        <f aca="false">IF(AND($B465&lt;&gt;"",$C465&lt;&gt;""),$C465-$B465,"")</f>
        <v/>
      </c>
      <c r="M465" s="53" t="str">
        <f aca="false">IF(AND($B465&lt;&gt;"",$D465&lt;&gt;""),$D465-$B465,"")</f>
        <v/>
      </c>
      <c r="N465" s="53" t="str">
        <f aca="false">IF(AND($C465&lt;&gt;"",$D465&lt;&gt;""),$D465-$C465,"")</f>
        <v/>
      </c>
      <c r="O465" s="53" t="str">
        <f aca="false">IF($E465&lt;&gt;"",$E465,"")</f>
        <v/>
      </c>
      <c r="P465" s="52" t="str">
        <f aca="false">IF($F465&lt;&gt;"",$F465,"")</f>
        <v>Apprenant 453 ou 453'</v>
      </c>
      <c r="Q465" s="53" t="str">
        <f aca="false">IF(AND($G465&lt;&gt;"",$H465&lt;&gt;""),$H465-$G465,"")</f>
        <v/>
      </c>
      <c r="R465" s="53" t="str">
        <f aca="false">IF(AND($G465&lt;&gt;"",$I465&lt;&gt;""),$I465-$G465,"")</f>
        <v/>
      </c>
      <c r="S465" s="53" t="str">
        <f aca="false">IF(AND($H465&lt;&gt;"",$I465&lt;&gt;""),$I465-$H465,"")</f>
        <v/>
      </c>
      <c r="T465" s="53" t="str">
        <f aca="false">IF($J465&lt;&gt;"",$J465,"")</f>
        <v/>
      </c>
      <c r="V465" s="52" t="str">
        <f aca="false">IF($A465&lt;&gt;"",$A465,"")</f>
        <v>Apprenant 453</v>
      </c>
      <c r="W465" s="53" t="str">
        <f aca="false">IF(AND(OR('Choix pédagogiques'!$C$3=1,'Choix pédagogiques'!$C$3=2),$BM465=1),B465,IF(AND('Choix pédagogiques'!$C$3=3,$BO465=1),B465,""))</f>
        <v/>
      </c>
      <c r="X465" s="53" t="str">
        <f aca="false">IF(AND(OR('Choix pédagogiques'!$C$3=1,'Choix pédagogiques'!$C$3=2),$BM465=1),C465,IF(AND('Choix pédagogiques'!$C$3=3,$BO465=1),C465,""))</f>
        <v/>
      </c>
      <c r="Y465" s="53" t="str">
        <f aca="false">IF(AND(OR('Choix pédagogiques'!$C$3=1,'Choix pédagogiques'!$C$3=2),$BM465=1),D465,IF(AND('Choix pédagogiques'!$C$3=3,$BO465=1),D465,""))</f>
        <v/>
      </c>
      <c r="Z465" s="53" t="str">
        <f aca="false">IF($E465&lt;&gt;"",$E465,"")</f>
        <v/>
      </c>
      <c r="AA465" s="52" t="str">
        <f aca="false">IF($F465&lt;&gt;"",$F465,"")</f>
        <v>Apprenant 453 ou 453'</v>
      </c>
      <c r="AB465" s="53" t="str">
        <f aca="false">IF(AND(OR('Choix pédagogiques'!$C$3=1,'Choix pédagogiques'!$C$3=2),$BN465=1),G465,IF(AND('Choix pédagogiques'!$C$3=3,$BO465=1),G465,""))</f>
        <v/>
      </c>
      <c r="AC465" s="53" t="str">
        <f aca="false">IF(AND(OR('Choix pédagogiques'!$C$3=1,'Choix pédagogiques'!$C$3=2),$BN465=1),H465,IF(AND('Choix pédagogiques'!$C$3=3,$BO465=1),H465,""))</f>
        <v/>
      </c>
      <c r="AD465" s="53" t="str">
        <f aca="false">IF(AND(OR('Choix pédagogiques'!$C$3=1,'Choix pédagogiques'!$C$3=2),$BN465=1),I465,IF(AND('Choix pédagogiques'!$C$3=3,$BO465=1),I465,""))</f>
        <v/>
      </c>
      <c r="AE465" s="53" t="str">
        <f aca="false">IF($J465&lt;&gt;"",$J465,"")</f>
        <v/>
      </c>
      <c r="AF465" s="52" t="str">
        <f aca="false">IF($A465&lt;&gt;"",$A465,"")</f>
        <v>Apprenant 453</v>
      </c>
      <c r="AG465" s="53" t="str">
        <f aca="false">IF(AND($W465&lt;&gt;"",$X465&lt;&gt;""),$X465-$W465,"")</f>
        <v/>
      </c>
      <c r="AH465" s="53" t="str">
        <f aca="false">IF(AND($W465&lt;&gt;"",$Y465&lt;&gt;""),$Y465-$W465,"")</f>
        <v/>
      </c>
      <c r="AI465" s="53" t="str">
        <f aca="false">IF(AND($X465&lt;&gt;"",$Y465&lt;&gt;""),$Y465-$X465,"")</f>
        <v/>
      </c>
      <c r="AJ465" s="53" t="str">
        <f aca="false">IF($E465&lt;&gt;"",$E465,"")</f>
        <v/>
      </c>
      <c r="AK465" s="52" t="str">
        <f aca="false">IF($F465&lt;&gt;"",$F465,"")</f>
        <v>Apprenant 453 ou 453'</v>
      </c>
      <c r="AL465" s="53" t="str">
        <f aca="false">IF(AND($AB465&lt;&gt;"",$AC465&lt;&gt;""),$AC465-$AB465,"")</f>
        <v/>
      </c>
      <c r="AM465" s="53" t="str">
        <f aca="false">IF(AND($AB465&lt;&gt;"",$AD465&lt;&gt;""),$AD465-$AB465,"")</f>
        <v/>
      </c>
      <c r="AN465" s="53" t="str">
        <f aca="false">IF(AND($AC465&lt;&gt;"",$AD465&lt;&gt;""),$AD465-$AC465,"")</f>
        <v/>
      </c>
      <c r="AO465" s="53" t="str">
        <f aca="false">IF($J465&lt;&gt;"",$J465,"")</f>
        <v/>
      </c>
      <c r="AQ465" s="52" t="str">
        <f aca="false">IF($A465&lt;&gt;"",$A465,"")</f>
        <v>Apprenant 453</v>
      </c>
      <c r="AR465" s="55" t="str">
        <f aca="false">IF(AND('Choix pédagogiques'!$C$4&lt;&gt;"?",'Choix pédagogiques'!$C$5&lt;&gt;"?",W465&lt;&gt;""),(W465-'Choix pédagogiques'!$C$4)/('Choix pédagogiques'!$C$5-'Choix pédagogiques'!$C$4),"")</f>
        <v/>
      </c>
      <c r="AS465" s="55" t="str">
        <f aca="false">IF(AND('Choix pédagogiques'!$C$4&lt;&gt;"?",'Choix pédagogiques'!$C$5&lt;&gt;"?",X465&lt;&gt;""),(X465-'Choix pédagogiques'!$C$4)/('Choix pédagogiques'!$C$5-'Choix pédagogiques'!$C$4),"")</f>
        <v/>
      </c>
      <c r="AT465" s="55" t="str">
        <f aca="false">IF(AND('Choix pédagogiques'!$C$4&lt;&gt;"?",'Choix pédagogiques'!$C$5&lt;&gt;"?",Y465&lt;&gt;""),(Y465-'Choix pédagogiques'!$C$4)/('Choix pédagogiques'!$C$5-'Choix pédagogiques'!$C$4),"")</f>
        <v/>
      </c>
      <c r="AU465" s="53" t="str">
        <f aca="false">IF($E465&lt;&gt;"",$E465,"")</f>
        <v/>
      </c>
      <c r="AV465" s="52" t="str">
        <f aca="false">IF($F465&lt;&gt;"",$F465,"")</f>
        <v>Apprenant 453 ou 453'</v>
      </c>
      <c r="AW465" s="55" t="str">
        <f aca="false">IF(AND('Choix pédagogiques'!$C$4&lt;&gt;"?",'Choix pédagogiques'!$C$5&lt;&gt;"?",AB465&lt;&gt;""),(AB465-'Choix pédagogiques'!$C$4)/('Choix pédagogiques'!$C$5-'Choix pédagogiques'!$C$4),"")</f>
        <v/>
      </c>
      <c r="AX465" s="55" t="str">
        <f aca="false">IF(AND('Choix pédagogiques'!$C$4&lt;&gt;"?",'Choix pédagogiques'!$C$5&lt;&gt;"?",AC465&lt;&gt;""),(AC465-'Choix pédagogiques'!$C$4)/('Choix pédagogiques'!$C$5-'Choix pédagogiques'!$C$4),"")</f>
        <v/>
      </c>
      <c r="AY465" s="55" t="str">
        <f aca="false">IF(AND('Choix pédagogiques'!$C$4&lt;&gt;"?",'Choix pédagogiques'!$C$5&lt;&gt;"?",AD465&lt;&gt;""),(AD465-'Choix pédagogiques'!$C$4)/('Choix pédagogiques'!$C$5-'Choix pédagogiques'!$C$4),"")</f>
        <v/>
      </c>
      <c r="AZ465" s="53" t="str">
        <f aca="false">IF($J465&lt;&gt;"",$J465,"")</f>
        <v/>
      </c>
      <c r="BA465" s="52" t="str">
        <f aca="false">IF($A465&lt;&gt;"",$A465,"")</f>
        <v>Apprenant 453</v>
      </c>
      <c r="BB465" s="55" t="str">
        <f aca="false">IF(AND($AR465&lt;&gt;"",$AS465&lt;&gt;""),$AS465-$AR465,"")</f>
        <v/>
      </c>
      <c r="BC465" s="55" t="str">
        <f aca="false">IF(AND($AR465&lt;&gt;"",$AT465&lt;&gt;""),$AT465-$AR465,"")</f>
        <v/>
      </c>
      <c r="BD465" s="55" t="str">
        <f aca="false">IF(AND($AS465&lt;&gt;"",$AT465&lt;&gt;""),$AT465-$AS465,"")</f>
        <v/>
      </c>
      <c r="BE465" s="53" t="str">
        <f aca="false">IF($E465&lt;&gt;"",$E465,"")</f>
        <v/>
      </c>
      <c r="BF465" s="52" t="str">
        <f aca="false">IF($F465&lt;&gt;"",$F465,"")</f>
        <v>Apprenant 453 ou 453'</v>
      </c>
      <c r="BG465" s="55" t="str">
        <f aca="false">IF(AND($AW465&lt;&gt;"",$AX465&lt;&gt;""),$AX465-$AW465,"")</f>
        <v/>
      </c>
      <c r="BH465" s="55" t="str">
        <f aca="false">IF(AND($AW465&lt;&gt;"",$AY465&lt;&gt;""),$AY465-$AW465,"")</f>
        <v/>
      </c>
      <c r="BI465" s="55" t="str">
        <f aca="false">IF(AND($AX465&lt;&gt;"",$AY465&lt;&gt;""),$AY465-$AX465,"")</f>
        <v/>
      </c>
      <c r="BJ465" s="53" t="str">
        <f aca="false">IF($J465&lt;&gt;"",$J465,"")</f>
        <v/>
      </c>
      <c r="BL465" s="52"/>
      <c r="BM465" s="52" t="str">
        <f aca="false">IF(OR(COUNT(B465:D1464)=0,AND('Choix pédagogiques'!$C$3&lt;&gt;1,'Choix pédagogiques'!$C$3&lt;&gt;2)),"",IF(AND(OR('Choix pédagogiques'!$C$3=1,'Choix pédagogiques'!$C$3=2),$B465&lt;&gt;"",$C465&lt;&gt;"",$D465&lt;&gt;""),1,0))</f>
        <v/>
      </c>
      <c r="BN465" s="52" t="str">
        <f aca="false">IF(OR(COUNT(G465:I1464)=0,AND('Choix pédagogiques'!$C$3&lt;&gt;1,'Choix pédagogiques'!$C$3&lt;&gt;2)),"",IF(AND(OR('Choix pédagogiques'!$C$3=1,'Choix pédagogiques'!$C$3=2),AND($G465&lt;&gt;"",$H465&lt;&gt;"",$I465&lt;&gt;"")),1,0))</f>
        <v/>
      </c>
      <c r="BO465" s="52" t="str">
        <f aca="false">IF(OR(COUNT(B465:D1464)=0,COUNT(G465:I1464)=0,'Choix pédagogiques'!C$3&lt;&gt;3),"",IF(AND('Choix pédagogiques'!$C$3=3,$B465&lt;&gt;"",$C465&lt;&gt;"",$D465&lt;&gt;"",$G465&lt;&gt;"",$H465&lt;&gt;"",$I465&lt;&gt;""),1,0))</f>
        <v/>
      </c>
      <c r="BR465" s="52" t="n">
        <v>999</v>
      </c>
      <c r="BS465" s="52" t="n">
        <v>1132</v>
      </c>
    </row>
    <row r="466" s="54" customFormat="true" ht="18" hidden="false" customHeight="true" outlineLevel="0" collapsed="false">
      <c r="A466" s="57" t="s">
        <v>863</v>
      </c>
      <c r="B466" s="51"/>
      <c r="C466" s="51"/>
      <c r="D466" s="51"/>
      <c r="E466" s="51"/>
      <c r="F466" s="57" t="s">
        <v>864</v>
      </c>
      <c r="G466" s="51"/>
      <c r="H466" s="51"/>
      <c r="I466" s="51"/>
      <c r="J466" s="51"/>
      <c r="K466" s="52" t="str">
        <f aca="false">IF($A466&lt;&gt;"",$A466,"")</f>
        <v>Apprenant 454</v>
      </c>
      <c r="L466" s="53" t="str">
        <f aca="false">IF(AND($B466&lt;&gt;"",$C466&lt;&gt;""),$C466-$B466,"")</f>
        <v/>
      </c>
      <c r="M466" s="53" t="str">
        <f aca="false">IF(AND($B466&lt;&gt;"",$D466&lt;&gt;""),$D466-$B466,"")</f>
        <v/>
      </c>
      <c r="N466" s="53" t="str">
        <f aca="false">IF(AND($C466&lt;&gt;"",$D466&lt;&gt;""),$D466-$C466,"")</f>
        <v/>
      </c>
      <c r="O466" s="53" t="str">
        <f aca="false">IF($E466&lt;&gt;"",$E466,"")</f>
        <v/>
      </c>
      <c r="P466" s="52" t="str">
        <f aca="false">IF($F466&lt;&gt;"",$F466,"")</f>
        <v>Apprenant 454 ou 454'</v>
      </c>
      <c r="Q466" s="53" t="str">
        <f aca="false">IF(AND($G466&lt;&gt;"",$H466&lt;&gt;""),$H466-$G466,"")</f>
        <v/>
      </c>
      <c r="R466" s="53" t="str">
        <f aca="false">IF(AND($G466&lt;&gt;"",$I466&lt;&gt;""),$I466-$G466,"")</f>
        <v/>
      </c>
      <c r="S466" s="53" t="str">
        <f aca="false">IF(AND($H466&lt;&gt;"",$I466&lt;&gt;""),$I466-$H466,"")</f>
        <v/>
      </c>
      <c r="T466" s="53" t="str">
        <f aca="false">IF($J466&lt;&gt;"",$J466,"")</f>
        <v/>
      </c>
      <c r="V466" s="52" t="str">
        <f aca="false">IF($A466&lt;&gt;"",$A466,"")</f>
        <v>Apprenant 454</v>
      </c>
      <c r="W466" s="53" t="str">
        <f aca="false">IF(AND(OR('Choix pédagogiques'!$C$3=1,'Choix pédagogiques'!$C$3=2),$BM466=1),B466,IF(AND('Choix pédagogiques'!$C$3=3,$BO466=1),B466,""))</f>
        <v/>
      </c>
      <c r="X466" s="53" t="str">
        <f aca="false">IF(AND(OR('Choix pédagogiques'!$C$3=1,'Choix pédagogiques'!$C$3=2),$BM466=1),C466,IF(AND('Choix pédagogiques'!$C$3=3,$BO466=1),C466,""))</f>
        <v/>
      </c>
      <c r="Y466" s="53" t="str">
        <f aca="false">IF(AND(OR('Choix pédagogiques'!$C$3=1,'Choix pédagogiques'!$C$3=2),$BM466=1),D466,IF(AND('Choix pédagogiques'!$C$3=3,$BO466=1),D466,""))</f>
        <v/>
      </c>
      <c r="Z466" s="53" t="str">
        <f aca="false">IF($E466&lt;&gt;"",$E466,"")</f>
        <v/>
      </c>
      <c r="AA466" s="52" t="str">
        <f aca="false">IF($F466&lt;&gt;"",$F466,"")</f>
        <v>Apprenant 454 ou 454'</v>
      </c>
      <c r="AB466" s="53" t="str">
        <f aca="false">IF(AND(OR('Choix pédagogiques'!$C$3=1,'Choix pédagogiques'!$C$3=2),$BN466=1),G466,IF(AND('Choix pédagogiques'!$C$3=3,$BO466=1),G466,""))</f>
        <v/>
      </c>
      <c r="AC466" s="53" t="str">
        <f aca="false">IF(AND(OR('Choix pédagogiques'!$C$3=1,'Choix pédagogiques'!$C$3=2),$BN466=1),H466,IF(AND('Choix pédagogiques'!$C$3=3,$BO466=1),H466,""))</f>
        <v/>
      </c>
      <c r="AD466" s="53" t="str">
        <f aca="false">IF(AND(OR('Choix pédagogiques'!$C$3=1,'Choix pédagogiques'!$C$3=2),$BN466=1),I466,IF(AND('Choix pédagogiques'!$C$3=3,$BO466=1),I466,""))</f>
        <v/>
      </c>
      <c r="AE466" s="53" t="str">
        <f aca="false">IF($J466&lt;&gt;"",$J466,"")</f>
        <v/>
      </c>
      <c r="AF466" s="52" t="str">
        <f aca="false">IF($A466&lt;&gt;"",$A466,"")</f>
        <v>Apprenant 454</v>
      </c>
      <c r="AG466" s="53" t="str">
        <f aca="false">IF(AND($W466&lt;&gt;"",$X466&lt;&gt;""),$X466-$W466,"")</f>
        <v/>
      </c>
      <c r="AH466" s="53" t="str">
        <f aca="false">IF(AND($W466&lt;&gt;"",$Y466&lt;&gt;""),$Y466-$W466,"")</f>
        <v/>
      </c>
      <c r="AI466" s="53" t="str">
        <f aca="false">IF(AND($X466&lt;&gt;"",$Y466&lt;&gt;""),$Y466-$X466,"")</f>
        <v/>
      </c>
      <c r="AJ466" s="53" t="str">
        <f aca="false">IF($E466&lt;&gt;"",$E466,"")</f>
        <v/>
      </c>
      <c r="AK466" s="52" t="str">
        <f aca="false">IF($F466&lt;&gt;"",$F466,"")</f>
        <v>Apprenant 454 ou 454'</v>
      </c>
      <c r="AL466" s="53" t="str">
        <f aca="false">IF(AND($AB466&lt;&gt;"",$AC466&lt;&gt;""),$AC466-$AB466,"")</f>
        <v/>
      </c>
      <c r="AM466" s="53" t="str">
        <f aca="false">IF(AND($AB466&lt;&gt;"",$AD466&lt;&gt;""),$AD466-$AB466,"")</f>
        <v/>
      </c>
      <c r="AN466" s="53" t="str">
        <f aca="false">IF(AND($AC466&lt;&gt;"",$AD466&lt;&gt;""),$AD466-$AC466,"")</f>
        <v/>
      </c>
      <c r="AO466" s="53" t="str">
        <f aca="false">IF($J466&lt;&gt;"",$J466,"")</f>
        <v/>
      </c>
      <c r="AQ466" s="52" t="str">
        <f aca="false">IF($A466&lt;&gt;"",$A466,"")</f>
        <v>Apprenant 454</v>
      </c>
      <c r="AR466" s="55" t="str">
        <f aca="false">IF(AND('Choix pédagogiques'!$C$4&lt;&gt;"?",'Choix pédagogiques'!$C$5&lt;&gt;"?",W466&lt;&gt;""),(W466-'Choix pédagogiques'!$C$4)/('Choix pédagogiques'!$C$5-'Choix pédagogiques'!$C$4),"")</f>
        <v/>
      </c>
      <c r="AS466" s="55" t="str">
        <f aca="false">IF(AND('Choix pédagogiques'!$C$4&lt;&gt;"?",'Choix pédagogiques'!$C$5&lt;&gt;"?",X466&lt;&gt;""),(X466-'Choix pédagogiques'!$C$4)/('Choix pédagogiques'!$C$5-'Choix pédagogiques'!$C$4),"")</f>
        <v/>
      </c>
      <c r="AT466" s="55" t="str">
        <f aca="false">IF(AND('Choix pédagogiques'!$C$4&lt;&gt;"?",'Choix pédagogiques'!$C$5&lt;&gt;"?",Y466&lt;&gt;""),(Y466-'Choix pédagogiques'!$C$4)/('Choix pédagogiques'!$C$5-'Choix pédagogiques'!$C$4),"")</f>
        <v/>
      </c>
      <c r="AU466" s="53" t="str">
        <f aca="false">IF($E466&lt;&gt;"",$E466,"")</f>
        <v/>
      </c>
      <c r="AV466" s="52" t="str">
        <f aca="false">IF($F466&lt;&gt;"",$F466,"")</f>
        <v>Apprenant 454 ou 454'</v>
      </c>
      <c r="AW466" s="55" t="str">
        <f aca="false">IF(AND('Choix pédagogiques'!$C$4&lt;&gt;"?",'Choix pédagogiques'!$C$5&lt;&gt;"?",AB466&lt;&gt;""),(AB466-'Choix pédagogiques'!$C$4)/('Choix pédagogiques'!$C$5-'Choix pédagogiques'!$C$4),"")</f>
        <v/>
      </c>
      <c r="AX466" s="55" t="str">
        <f aca="false">IF(AND('Choix pédagogiques'!$C$4&lt;&gt;"?",'Choix pédagogiques'!$C$5&lt;&gt;"?",AC466&lt;&gt;""),(AC466-'Choix pédagogiques'!$C$4)/('Choix pédagogiques'!$C$5-'Choix pédagogiques'!$C$4),"")</f>
        <v/>
      </c>
      <c r="AY466" s="55" t="str">
        <f aca="false">IF(AND('Choix pédagogiques'!$C$4&lt;&gt;"?",'Choix pédagogiques'!$C$5&lt;&gt;"?",AD466&lt;&gt;""),(AD466-'Choix pédagogiques'!$C$4)/('Choix pédagogiques'!$C$5-'Choix pédagogiques'!$C$4),"")</f>
        <v/>
      </c>
      <c r="AZ466" s="53" t="str">
        <f aca="false">IF($J466&lt;&gt;"",$J466,"")</f>
        <v/>
      </c>
      <c r="BA466" s="52" t="str">
        <f aca="false">IF($A466&lt;&gt;"",$A466,"")</f>
        <v>Apprenant 454</v>
      </c>
      <c r="BB466" s="55" t="str">
        <f aca="false">IF(AND($AR466&lt;&gt;"",$AS466&lt;&gt;""),$AS466-$AR466,"")</f>
        <v/>
      </c>
      <c r="BC466" s="55" t="str">
        <f aca="false">IF(AND($AR466&lt;&gt;"",$AT466&lt;&gt;""),$AT466-$AR466,"")</f>
        <v/>
      </c>
      <c r="BD466" s="55" t="str">
        <f aca="false">IF(AND($AS466&lt;&gt;"",$AT466&lt;&gt;""),$AT466-$AS466,"")</f>
        <v/>
      </c>
      <c r="BE466" s="53" t="str">
        <f aca="false">IF($E466&lt;&gt;"",$E466,"")</f>
        <v/>
      </c>
      <c r="BF466" s="52" t="str">
        <f aca="false">IF($F466&lt;&gt;"",$F466,"")</f>
        <v>Apprenant 454 ou 454'</v>
      </c>
      <c r="BG466" s="55" t="str">
        <f aca="false">IF(AND($AW466&lt;&gt;"",$AX466&lt;&gt;""),$AX466-$AW466,"")</f>
        <v/>
      </c>
      <c r="BH466" s="55" t="str">
        <f aca="false">IF(AND($AW466&lt;&gt;"",$AY466&lt;&gt;""),$AY466-$AW466,"")</f>
        <v/>
      </c>
      <c r="BI466" s="55" t="str">
        <f aca="false">IF(AND($AX466&lt;&gt;"",$AY466&lt;&gt;""),$AY466-$AX466,"")</f>
        <v/>
      </c>
      <c r="BJ466" s="53" t="str">
        <f aca="false">IF($J466&lt;&gt;"",$J466,"")</f>
        <v/>
      </c>
      <c r="BL466" s="52"/>
      <c r="BM466" s="52" t="str">
        <f aca="false">IF(OR(COUNT(B466:D1465)=0,AND('Choix pédagogiques'!$C$3&lt;&gt;1,'Choix pédagogiques'!$C$3&lt;&gt;2)),"",IF(AND(OR('Choix pédagogiques'!$C$3=1,'Choix pédagogiques'!$C$3=2),$B466&lt;&gt;"",$C466&lt;&gt;"",$D466&lt;&gt;""),1,0))</f>
        <v/>
      </c>
      <c r="BN466" s="52" t="str">
        <f aca="false">IF(OR(COUNT(G466:I1465)=0,AND('Choix pédagogiques'!$C$3&lt;&gt;1,'Choix pédagogiques'!$C$3&lt;&gt;2)),"",IF(AND(OR('Choix pédagogiques'!$C$3=1,'Choix pédagogiques'!$C$3=2),AND($G466&lt;&gt;"",$H466&lt;&gt;"",$I466&lt;&gt;"")),1,0))</f>
        <v/>
      </c>
      <c r="BO466" s="52" t="str">
        <f aca="false">IF(OR(COUNT(B466:D1465)=0,COUNT(G466:I1465)=0,'Choix pédagogiques'!C$3&lt;&gt;3),"",IF(AND('Choix pédagogiques'!$C$3=3,$B466&lt;&gt;"",$C466&lt;&gt;"",$D466&lt;&gt;"",$G466&lt;&gt;"",$H466&lt;&gt;"",$I466&lt;&gt;""),1,0))</f>
        <v/>
      </c>
      <c r="BR466" s="52" t="n">
        <v>518</v>
      </c>
      <c r="BS466" s="52" t="n">
        <v>1229</v>
      </c>
    </row>
    <row r="467" s="54" customFormat="true" ht="18" hidden="false" customHeight="true" outlineLevel="0" collapsed="false">
      <c r="A467" s="57" t="s">
        <v>865</v>
      </c>
      <c r="B467" s="51"/>
      <c r="C467" s="51"/>
      <c r="D467" s="51"/>
      <c r="E467" s="51"/>
      <c r="F467" s="57" t="s">
        <v>866</v>
      </c>
      <c r="G467" s="51"/>
      <c r="H467" s="51"/>
      <c r="I467" s="51"/>
      <c r="J467" s="51"/>
      <c r="K467" s="52" t="str">
        <f aca="false">IF($A467&lt;&gt;"",$A467,"")</f>
        <v>Apprenant 455</v>
      </c>
      <c r="L467" s="53" t="str">
        <f aca="false">IF(AND($B467&lt;&gt;"",$C467&lt;&gt;""),$C467-$B467,"")</f>
        <v/>
      </c>
      <c r="M467" s="53" t="str">
        <f aca="false">IF(AND($B467&lt;&gt;"",$D467&lt;&gt;""),$D467-$B467,"")</f>
        <v/>
      </c>
      <c r="N467" s="53" t="str">
        <f aca="false">IF(AND($C467&lt;&gt;"",$D467&lt;&gt;""),$D467-$C467,"")</f>
        <v/>
      </c>
      <c r="O467" s="53" t="str">
        <f aca="false">IF($E467&lt;&gt;"",$E467,"")</f>
        <v/>
      </c>
      <c r="P467" s="52" t="str">
        <f aca="false">IF($F467&lt;&gt;"",$F467,"")</f>
        <v>Apprenant 455 ou 455'</v>
      </c>
      <c r="Q467" s="53" t="str">
        <f aca="false">IF(AND($G467&lt;&gt;"",$H467&lt;&gt;""),$H467-$G467,"")</f>
        <v/>
      </c>
      <c r="R467" s="53" t="str">
        <f aca="false">IF(AND($G467&lt;&gt;"",$I467&lt;&gt;""),$I467-$G467,"")</f>
        <v/>
      </c>
      <c r="S467" s="53" t="str">
        <f aca="false">IF(AND($H467&lt;&gt;"",$I467&lt;&gt;""),$I467-$H467,"")</f>
        <v/>
      </c>
      <c r="T467" s="53" t="str">
        <f aca="false">IF($J467&lt;&gt;"",$J467,"")</f>
        <v/>
      </c>
      <c r="V467" s="52" t="str">
        <f aca="false">IF($A467&lt;&gt;"",$A467,"")</f>
        <v>Apprenant 455</v>
      </c>
      <c r="W467" s="53" t="str">
        <f aca="false">IF(AND(OR('Choix pédagogiques'!$C$3=1,'Choix pédagogiques'!$C$3=2),$BM467=1),B467,IF(AND('Choix pédagogiques'!$C$3=3,$BO467=1),B467,""))</f>
        <v/>
      </c>
      <c r="X467" s="53" t="str">
        <f aca="false">IF(AND(OR('Choix pédagogiques'!$C$3=1,'Choix pédagogiques'!$C$3=2),$BM467=1),C467,IF(AND('Choix pédagogiques'!$C$3=3,$BO467=1),C467,""))</f>
        <v/>
      </c>
      <c r="Y467" s="53" t="str">
        <f aca="false">IF(AND(OR('Choix pédagogiques'!$C$3=1,'Choix pédagogiques'!$C$3=2),$BM467=1),D467,IF(AND('Choix pédagogiques'!$C$3=3,$BO467=1),D467,""))</f>
        <v/>
      </c>
      <c r="Z467" s="53" t="str">
        <f aca="false">IF($E467&lt;&gt;"",$E467,"")</f>
        <v/>
      </c>
      <c r="AA467" s="52" t="str">
        <f aca="false">IF($F467&lt;&gt;"",$F467,"")</f>
        <v>Apprenant 455 ou 455'</v>
      </c>
      <c r="AB467" s="53" t="str">
        <f aca="false">IF(AND(OR('Choix pédagogiques'!$C$3=1,'Choix pédagogiques'!$C$3=2),$BN467=1),G467,IF(AND('Choix pédagogiques'!$C$3=3,$BO467=1),G467,""))</f>
        <v/>
      </c>
      <c r="AC467" s="53" t="str">
        <f aca="false">IF(AND(OR('Choix pédagogiques'!$C$3=1,'Choix pédagogiques'!$C$3=2),$BN467=1),H467,IF(AND('Choix pédagogiques'!$C$3=3,$BO467=1),H467,""))</f>
        <v/>
      </c>
      <c r="AD467" s="53" t="str">
        <f aca="false">IF(AND(OR('Choix pédagogiques'!$C$3=1,'Choix pédagogiques'!$C$3=2),$BN467=1),I467,IF(AND('Choix pédagogiques'!$C$3=3,$BO467=1),I467,""))</f>
        <v/>
      </c>
      <c r="AE467" s="53" t="str">
        <f aca="false">IF($J467&lt;&gt;"",$J467,"")</f>
        <v/>
      </c>
      <c r="AF467" s="52" t="str">
        <f aca="false">IF($A467&lt;&gt;"",$A467,"")</f>
        <v>Apprenant 455</v>
      </c>
      <c r="AG467" s="53" t="str">
        <f aca="false">IF(AND($W467&lt;&gt;"",$X467&lt;&gt;""),$X467-$W467,"")</f>
        <v/>
      </c>
      <c r="AH467" s="53" t="str">
        <f aca="false">IF(AND($W467&lt;&gt;"",$Y467&lt;&gt;""),$Y467-$W467,"")</f>
        <v/>
      </c>
      <c r="AI467" s="53" t="str">
        <f aca="false">IF(AND($X467&lt;&gt;"",$Y467&lt;&gt;""),$Y467-$X467,"")</f>
        <v/>
      </c>
      <c r="AJ467" s="53" t="str">
        <f aca="false">IF($E467&lt;&gt;"",$E467,"")</f>
        <v/>
      </c>
      <c r="AK467" s="52" t="str">
        <f aca="false">IF($F467&lt;&gt;"",$F467,"")</f>
        <v>Apprenant 455 ou 455'</v>
      </c>
      <c r="AL467" s="53" t="str">
        <f aca="false">IF(AND($AB467&lt;&gt;"",$AC467&lt;&gt;""),$AC467-$AB467,"")</f>
        <v/>
      </c>
      <c r="AM467" s="53" t="str">
        <f aca="false">IF(AND($AB467&lt;&gt;"",$AD467&lt;&gt;""),$AD467-$AB467,"")</f>
        <v/>
      </c>
      <c r="AN467" s="53" t="str">
        <f aca="false">IF(AND($AC467&lt;&gt;"",$AD467&lt;&gt;""),$AD467-$AC467,"")</f>
        <v/>
      </c>
      <c r="AO467" s="53" t="str">
        <f aca="false">IF($J467&lt;&gt;"",$J467,"")</f>
        <v/>
      </c>
      <c r="AQ467" s="52" t="str">
        <f aca="false">IF($A467&lt;&gt;"",$A467,"")</f>
        <v>Apprenant 455</v>
      </c>
      <c r="AR467" s="55" t="str">
        <f aca="false">IF(AND('Choix pédagogiques'!$C$4&lt;&gt;"?",'Choix pédagogiques'!$C$5&lt;&gt;"?",W467&lt;&gt;""),(W467-'Choix pédagogiques'!$C$4)/('Choix pédagogiques'!$C$5-'Choix pédagogiques'!$C$4),"")</f>
        <v/>
      </c>
      <c r="AS467" s="55" t="str">
        <f aca="false">IF(AND('Choix pédagogiques'!$C$4&lt;&gt;"?",'Choix pédagogiques'!$C$5&lt;&gt;"?",X467&lt;&gt;""),(X467-'Choix pédagogiques'!$C$4)/('Choix pédagogiques'!$C$5-'Choix pédagogiques'!$C$4),"")</f>
        <v/>
      </c>
      <c r="AT467" s="55" t="str">
        <f aca="false">IF(AND('Choix pédagogiques'!$C$4&lt;&gt;"?",'Choix pédagogiques'!$C$5&lt;&gt;"?",Y467&lt;&gt;""),(Y467-'Choix pédagogiques'!$C$4)/('Choix pédagogiques'!$C$5-'Choix pédagogiques'!$C$4),"")</f>
        <v/>
      </c>
      <c r="AU467" s="53" t="str">
        <f aca="false">IF($E467&lt;&gt;"",$E467,"")</f>
        <v/>
      </c>
      <c r="AV467" s="52" t="str">
        <f aca="false">IF($F467&lt;&gt;"",$F467,"")</f>
        <v>Apprenant 455 ou 455'</v>
      </c>
      <c r="AW467" s="55" t="str">
        <f aca="false">IF(AND('Choix pédagogiques'!$C$4&lt;&gt;"?",'Choix pédagogiques'!$C$5&lt;&gt;"?",AB467&lt;&gt;""),(AB467-'Choix pédagogiques'!$C$4)/('Choix pédagogiques'!$C$5-'Choix pédagogiques'!$C$4),"")</f>
        <v/>
      </c>
      <c r="AX467" s="55" t="str">
        <f aca="false">IF(AND('Choix pédagogiques'!$C$4&lt;&gt;"?",'Choix pédagogiques'!$C$5&lt;&gt;"?",AC467&lt;&gt;""),(AC467-'Choix pédagogiques'!$C$4)/('Choix pédagogiques'!$C$5-'Choix pédagogiques'!$C$4),"")</f>
        <v/>
      </c>
      <c r="AY467" s="55" t="str">
        <f aca="false">IF(AND('Choix pédagogiques'!$C$4&lt;&gt;"?",'Choix pédagogiques'!$C$5&lt;&gt;"?",AD467&lt;&gt;""),(AD467-'Choix pédagogiques'!$C$4)/('Choix pédagogiques'!$C$5-'Choix pédagogiques'!$C$4),"")</f>
        <v/>
      </c>
      <c r="AZ467" s="53" t="str">
        <f aca="false">IF($J467&lt;&gt;"",$J467,"")</f>
        <v/>
      </c>
      <c r="BA467" s="52" t="str">
        <f aca="false">IF($A467&lt;&gt;"",$A467,"")</f>
        <v>Apprenant 455</v>
      </c>
      <c r="BB467" s="55" t="str">
        <f aca="false">IF(AND($AR467&lt;&gt;"",$AS467&lt;&gt;""),$AS467-$AR467,"")</f>
        <v/>
      </c>
      <c r="BC467" s="55" t="str">
        <f aca="false">IF(AND($AR467&lt;&gt;"",$AT467&lt;&gt;""),$AT467-$AR467,"")</f>
        <v/>
      </c>
      <c r="BD467" s="55" t="str">
        <f aca="false">IF(AND($AS467&lt;&gt;"",$AT467&lt;&gt;""),$AT467-$AS467,"")</f>
        <v/>
      </c>
      <c r="BE467" s="53" t="str">
        <f aca="false">IF($E467&lt;&gt;"",$E467,"")</f>
        <v/>
      </c>
      <c r="BF467" s="52" t="str">
        <f aca="false">IF($F467&lt;&gt;"",$F467,"")</f>
        <v>Apprenant 455 ou 455'</v>
      </c>
      <c r="BG467" s="55" t="str">
        <f aca="false">IF(AND($AW467&lt;&gt;"",$AX467&lt;&gt;""),$AX467-$AW467,"")</f>
        <v/>
      </c>
      <c r="BH467" s="55" t="str">
        <f aca="false">IF(AND($AW467&lt;&gt;"",$AY467&lt;&gt;""),$AY467-$AW467,"")</f>
        <v/>
      </c>
      <c r="BI467" s="55" t="str">
        <f aca="false">IF(AND($AX467&lt;&gt;"",$AY467&lt;&gt;""),$AY467-$AX467,"")</f>
        <v/>
      </c>
      <c r="BJ467" s="53" t="str">
        <f aca="false">IF($J467&lt;&gt;"",$J467,"")</f>
        <v/>
      </c>
      <c r="BL467" s="52"/>
      <c r="BM467" s="52" t="str">
        <f aca="false">IF(OR(COUNT(B467:D1466)=0,AND('Choix pédagogiques'!$C$3&lt;&gt;1,'Choix pédagogiques'!$C$3&lt;&gt;2)),"",IF(AND(OR('Choix pédagogiques'!$C$3=1,'Choix pédagogiques'!$C$3=2),$B467&lt;&gt;"",$C467&lt;&gt;"",$D467&lt;&gt;""),1,0))</f>
        <v/>
      </c>
      <c r="BN467" s="52" t="str">
        <f aca="false">IF(OR(COUNT(G467:I1466)=0,AND('Choix pédagogiques'!$C$3&lt;&gt;1,'Choix pédagogiques'!$C$3&lt;&gt;2)),"",IF(AND(OR('Choix pédagogiques'!$C$3=1,'Choix pédagogiques'!$C$3=2),AND($G467&lt;&gt;"",$H467&lt;&gt;"",$I467&lt;&gt;"")),1,0))</f>
        <v/>
      </c>
      <c r="BO467" s="52" t="str">
        <f aca="false">IF(OR(COUNT(B467:D1466)=0,COUNT(G467:I1466)=0,'Choix pédagogiques'!C$3&lt;&gt;3),"",IF(AND('Choix pédagogiques'!$C$3=3,$B467&lt;&gt;"",$C467&lt;&gt;"",$D467&lt;&gt;"",$G467&lt;&gt;"",$H467&lt;&gt;"",$I467&lt;&gt;""),1,0))</f>
        <v/>
      </c>
      <c r="BR467" s="52" t="n">
        <v>81</v>
      </c>
      <c r="BS467" s="52" t="n">
        <v>1529</v>
      </c>
    </row>
    <row r="468" s="54" customFormat="true" ht="18" hidden="false" customHeight="true" outlineLevel="0" collapsed="false">
      <c r="A468" s="57" t="s">
        <v>867</v>
      </c>
      <c r="B468" s="51"/>
      <c r="C468" s="51"/>
      <c r="D468" s="51"/>
      <c r="E468" s="51"/>
      <c r="F468" s="57" t="s">
        <v>868</v>
      </c>
      <c r="G468" s="51"/>
      <c r="H468" s="51"/>
      <c r="I468" s="51"/>
      <c r="J468" s="51"/>
      <c r="K468" s="52" t="str">
        <f aca="false">IF($A468&lt;&gt;"",$A468,"")</f>
        <v>Apprenant 456</v>
      </c>
      <c r="L468" s="53" t="str">
        <f aca="false">IF(AND($B468&lt;&gt;"",$C468&lt;&gt;""),$C468-$B468,"")</f>
        <v/>
      </c>
      <c r="M468" s="53" t="str">
        <f aca="false">IF(AND($B468&lt;&gt;"",$D468&lt;&gt;""),$D468-$B468,"")</f>
        <v/>
      </c>
      <c r="N468" s="53" t="str">
        <f aca="false">IF(AND($C468&lt;&gt;"",$D468&lt;&gt;""),$D468-$C468,"")</f>
        <v/>
      </c>
      <c r="O468" s="53" t="str">
        <f aca="false">IF($E468&lt;&gt;"",$E468,"")</f>
        <v/>
      </c>
      <c r="P468" s="52" t="str">
        <f aca="false">IF($F468&lt;&gt;"",$F468,"")</f>
        <v>Apprenant 456 ou 456'</v>
      </c>
      <c r="Q468" s="53" t="str">
        <f aca="false">IF(AND($G468&lt;&gt;"",$H468&lt;&gt;""),$H468-$G468,"")</f>
        <v/>
      </c>
      <c r="R468" s="53" t="str">
        <f aca="false">IF(AND($G468&lt;&gt;"",$I468&lt;&gt;""),$I468-$G468,"")</f>
        <v/>
      </c>
      <c r="S468" s="53" t="str">
        <f aca="false">IF(AND($H468&lt;&gt;"",$I468&lt;&gt;""),$I468-$H468,"")</f>
        <v/>
      </c>
      <c r="T468" s="53" t="str">
        <f aca="false">IF($J468&lt;&gt;"",$J468,"")</f>
        <v/>
      </c>
      <c r="V468" s="52" t="str">
        <f aca="false">IF($A468&lt;&gt;"",$A468,"")</f>
        <v>Apprenant 456</v>
      </c>
      <c r="W468" s="53" t="str">
        <f aca="false">IF(AND(OR('Choix pédagogiques'!$C$3=1,'Choix pédagogiques'!$C$3=2),$BM468=1),B468,IF(AND('Choix pédagogiques'!$C$3=3,$BO468=1),B468,""))</f>
        <v/>
      </c>
      <c r="X468" s="53" t="str">
        <f aca="false">IF(AND(OR('Choix pédagogiques'!$C$3=1,'Choix pédagogiques'!$C$3=2),$BM468=1),C468,IF(AND('Choix pédagogiques'!$C$3=3,$BO468=1),C468,""))</f>
        <v/>
      </c>
      <c r="Y468" s="53" t="str">
        <f aca="false">IF(AND(OR('Choix pédagogiques'!$C$3=1,'Choix pédagogiques'!$C$3=2),$BM468=1),D468,IF(AND('Choix pédagogiques'!$C$3=3,$BO468=1),D468,""))</f>
        <v/>
      </c>
      <c r="Z468" s="53" t="str">
        <f aca="false">IF($E468&lt;&gt;"",$E468,"")</f>
        <v/>
      </c>
      <c r="AA468" s="52" t="str">
        <f aca="false">IF($F468&lt;&gt;"",$F468,"")</f>
        <v>Apprenant 456 ou 456'</v>
      </c>
      <c r="AB468" s="53" t="str">
        <f aca="false">IF(AND(OR('Choix pédagogiques'!$C$3=1,'Choix pédagogiques'!$C$3=2),$BN468=1),G468,IF(AND('Choix pédagogiques'!$C$3=3,$BO468=1),G468,""))</f>
        <v/>
      </c>
      <c r="AC468" s="53" t="str">
        <f aca="false">IF(AND(OR('Choix pédagogiques'!$C$3=1,'Choix pédagogiques'!$C$3=2),$BN468=1),H468,IF(AND('Choix pédagogiques'!$C$3=3,$BO468=1),H468,""))</f>
        <v/>
      </c>
      <c r="AD468" s="53" t="str">
        <f aca="false">IF(AND(OR('Choix pédagogiques'!$C$3=1,'Choix pédagogiques'!$C$3=2),$BN468=1),I468,IF(AND('Choix pédagogiques'!$C$3=3,$BO468=1),I468,""))</f>
        <v/>
      </c>
      <c r="AE468" s="53" t="str">
        <f aca="false">IF($J468&lt;&gt;"",$J468,"")</f>
        <v/>
      </c>
      <c r="AF468" s="52" t="str">
        <f aca="false">IF($A468&lt;&gt;"",$A468,"")</f>
        <v>Apprenant 456</v>
      </c>
      <c r="AG468" s="53" t="str">
        <f aca="false">IF(AND($W468&lt;&gt;"",$X468&lt;&gt;""),$X468-$W468,"")</f>
        <v/>
      </c>
      <c r="AH468" s="53" t="str">
        <f aca="false">IF(AND($W468&lt;&gt;"",$Y468&lt;&gt;""),$Y468-$W468,"")</f>
        <v/>
      </c>
      <c r="AI468" s="53" t="str">
        <f aca="false">IF(AND($X468&lt;&gt;"",$Y468&lt;&gt;""),$Y468-$X468,"")</f>
        <v/>
      </c>
      <c r="AJ468" s="53" t="str">
        <f aca="false">IF($E468&lt;&gt;"",$E468,"")</f>
        <v/>
      </c>
      <c r="AK468" s="52" t="str">
        <f aca="false">IF($F468&lt;&gt;"",$F468,"")</f>
        <v>Apprenant 456 ou 456'</v>
      </c>
      <c r="AL468" s="53" t="str">
        <f aca="false">IF(AND($AB468&lt;&gt;"",$AC468&lt;&gt;""),$AC468-$AB468,"")</f>
        <v/>
      </c>
      <c r="AM468" s="53" t="str">
        <f aca="false">IF(AND($AB468&lt;&gt;"",$AD468&lt;&gt;""),$AD468-$AB468,"")</f>
        <v/>
      </c>
      <c r="AN468" s="53" t="str">
        <f aca="false">IF(AND($AC468&lt;&gt;"",$AD468&lt;&gt;""),$AD468-$AC468,"")</f>
        <v/>
      </c>
      <c r="AO468" s="53" t="str">
        <f aca="false">IF($J468&lt;&gt;"",$J468,"")</f>
        <v/>
      </c>
      <c r="AQ468" s="52" t="str">
        <f aca="false">IF($A468&lt;&gt;"",$A468,"")</f>
        <v>Apprenant 456</v>
      </c>
      <c r="AR468" s="55" t="str">
        <f aca="false">IF(AND('Choix pédagogiques'!$C$4&lt;&gt;"?",'Choix pédagogiques'!$C$5&lt;&gt;"?",W468&lt;&gt;""),(W468-'Choix pédagogiques'!$C$4)/('Choix pédagogiques'!$C$5-'Choix pédagogiques'!$C$4),"")</f>
        <v/>
      </c>
      <c r="AS468" s="55" t="str">
        <f aca="false">IF(AND('Choix pédagogiques'!$C$4&lt;&gt;"?",'Choix pédagogiques'!$C$5&lt;&gt;"?",X468&lt;&gt;""),(X468-'Choix pédagogiques'!$C$4)/('Choix pédagogiques'!$C$5-'Choix pédagogiques'!$C$4),"")</f>
        <v/>
      </c>
      <c r="AT468" s="55" t="str">
        <f aca="false">IF(AND('Choix pédagogiques'!$C$4&lt;&gt;"?",'Choix pédagogiques'!$C$5&lt;&gt;"?",Y468&lt;&gt;""),(Y468-'Choix pédagogiques'!$C$4)/('Choix pédagogiques'!$C$5-'Choix pédagogiques'!$C$4),"")</f>
        <v/>
      </c>
      <c r="AU468" s="53" t="str">
        <f aca="false">IF($E468&lt;&gt;"",$E468,"")</f>
        <v/>
      </c>
      <c r="AV468" s="52" t="str">
        <f aca="false">IF($F468&lt;&gt;"",$F468,"")</f>
        <v>Apprenant 456 ou 456'</v>
      </c>
      <c r="AW468" s="55" t="str">
        <f aca="false">IF(AND('Choix pédagogiques'!$C$4&lt;&gt;"?",'Choix pédagogiques'!$C$5&lt;&gt;"?",AB468&lt;&gt;""),(AB468-'Choix pédagogiques'!$C$4)/('Choix pédagogiques'!$C$5-'Choix pédagogiques'!$C$4),"")</f>
        <v/>
      </c>
      <c r="AX468" s="55" t="str">
        <f aca="false">IF(AND('Choix pédagogiques'!$C$4&lt;&gt;"?",'Choix pédagogiques'!$C$5&lt;&gt;"?",AC468&lt;&gt;""),(AC468-'Choix pédagogiques'!$C$4)/('Choix pédagogiques'!$C$5-'Choix pédagogiques'!$C$4),"")</f>
        <v/>
      </c>
      <c r="AY468" s="55" t="str">
        <f aca="false">IF(AND('Choix pédagogiques'!$C$4&lt;&gt;"?",'Choix pédagogiques'!$C$5&lt;&gt;"?",AD468&lt;&gt;""),(AD468-'Choix pédagogiques'!$C$4)/('Choix pédagogiques'!$C$5-'Choix pédagogiques'!$C$4),"")</f>
        <v/>
      </c>
      <c r="AZ468" s="53" t="str">
        <f aca="false">IF($J468&lt;&gt;"",$J468,"")</f>
        <v/>
      </c>
      <c r="BA468" s="52" t="str">
        <f aca="false">IF($A468&lt;&gt;"",$A468,"")</f>
        <v>Apprenant 456</v>
      </c>
      <c r="BB468" s="55" t="str">
        <f aca="false">IF(AND($AR468&lt;&gt;"",$AS468&lt;&gt;""),$AS468-$AR468,"")</f>
        <v/>
      </c>
      <c r="BC468" s="55" t="str">
        <f aca="false">IF(AND($AR468&lt;&gt;"",$AT468&lt;&gt;""),$AT468-$AR468,"")</f>
        <v/>
      </c>
      <c r="BD468" s="55" t="str">
        <f aca="false">IF(AND($AS468&lt;&gt;"",$AT468&lt;&gt;""),$AT468-$AS468,"")</f>
        <v/>
      </c>
      <c r="BE468" s="53" t="str">
        <f aca="false">IF($E468&lt;&gt;"",$E468,"")</f>
        <v/>
      </c>
      <c r="BF468" s="52" t="str">
        <f aca="false">IF($F468&lt;&gt;"",$F468,"")</f>
        <v>Apprenant 456 ou 456'</v>
      </c>
      <c r="BG468" s="55" t="str">
        <f aca="false">IF(AND($AW468&lt;&gt;"",$AX468&lt;&gt;""),$AX468-$AW468,"")</f>
        <v/>
      </c>
      <c r="BH468" s="55" t="str">
        <f aca="false">IF(AND($AW468&lt;&gt;"",$AY468&lt;&gt;""),$AY468-$AW468,"")</f>
        <v/>
      </c>
      <c r="BI468" s="55" t="str">
        <f aca="false">IF(AND($AX468&lt;&gt;"",$AY468&lt;&gt;""),$AY468-$AX468,"")</f>
        <v/>
      </c>
      <c r="BJ468" s="53" t="str">
        <f aca="false">IF($J468&lt;&gt;"",$J468,"")</f>
        <v/>
      </c>
      <c r="BL468" s="52"/>
      <c r="BM468" s="52" t="str">
        <f aca="false">IF(OR(COUNT(B468:D1467)=0,AND('Choix pédagogiques'!$C$3&lt;&gt;1,'Choix pédagogiques'!$C$3&lt;&gt;2)),"",IF(AND(OR('Choix pédagogiques'!$C$3=1,'Choix pédagogiques'!$C$3=2),$B468&lt;&gt;"",$C468&lt;&gt;"",$D468&lt;&gt;""),1,0))</f>
        <v/>
      </c>
      <c r="BN468" s="52" t="str">
        <f aca="false">IF(OR(COUNT(G468:I1467)=0,AND('Choix pédagogiques'!$C$3&lt;&gt;1,'Choix pédagogiques'!$C$3&lt;&gt;2)),"",IF(AND(OR('Choix pédagogiques'!$C$3=1,'Choix pédagogiques'!$C$3=2),AND($G468&lt;&gt;"",$H468&lt;&gt;"",$I468&lt;&gt;"")),1,0))</f>
        <v/>
      </c>
      <c r="BO468" s="52" t="str">
        <f aca="false">IF(OR(COUNT(B468:D1467)=0,COUNT(G468:I1467)=0,'Choix pédagogiques'!C$3&lt;&gt;3),"",IF(AND('Choix pédagogiques'!$C$3=3,$B468&lt;&gt;"",$C468&lt;&gt;"",$D468&lt;&gt;"",$G468&lt;&gt;"",$H468&lt;&gt;"",$I468&lt;&gt;""),1,0))</f>
        <v/>
      </c>
      <c r="BR468" s="52" t="n">
        <v>30</v>
      </c>
      <c r="BS468" s="52" t="n">
        <v>1999</v>
      </c>
    </row>
    <row r="469" s="54" customFormat="true" ht="18" hidden="false" customHeight="true" outlineLevel="0" collapsed="false">
      <c r="A469" s="57" t="s">
        <v>869</v>
      </c>
      <c r="B469" s="51"/>
      <c r="C469" s="51"/>
      <c r="D469" s="51"/>
      <c r="E469" s="51"/>
      <c r="F469" s="57" t="s">
        <v>870</v>
      </c>
      <c r="G469" s="51"/>
      <c r="H469" s="51"/>
      <c r="I469" s="51"/>
      <c r="J469" s="51"/>
      <c r="K469" s="52" t="str">
        <f aca="false">IF($A469&lt;&gt;"",$A469,"")</f>
        <v>Apprenant 457</v>
      </c>
      <c r="L469" s="53" t="str">
        <f aca="false">IF(AND($B469&lt;&gt;"",$C469&lt;&gt;""),$C469-$B469,"")</f>
        <v/>
      </c>
      <c r="M469" s="53" t="str">
        <f aca="false">IF(AND($B469&lt;&gt;"",$D469&lt;&gt;""),$D469-$B469,"")</f>
        <v/>
      </c>
      <c r="N469" s="53" t="str">
        <f aca="false">IF(AND($C469&lt;&gt;"",$D469&lt;&gt;""),$D469-$C469,"")</f>
        <v/>
      </c>
      <c r="O469" s="53" t="str">
        <f aca="false">IF($E469&lt;&gt;"",$E469,"")</f>
        <v/>
      </c>
      <c r="P469" s="52" t="str">
        <f aca="false">IF($F469&lt;&gt;"",$F469,"")</f>
        <v>Apprenant 457 ou 457'</v>
      </c>
      <c r="Q469" s="53" t="str">
        <f aca="false">IF(AND($G469&lt;&gt;"",$H469&lt;&gt;""),$H469-$G469,"")</f>
        <v/>
      </c>
      <c r="R469" s="53" t="str">
        <f aca="false">IF(AND($G469&lt;&gt;"",$I469&lt;&gt;""),$I469-$G469,"")</f>
        <v/>
      </c>
      <c r="S469" s="53" t="str">
        <f aca="false">IF(AND($H469&lt;&gt;"",$I469&lt;&gt;""),$I469-$H469,"")</f>
        <v/>
      </c>
      <c r="T469" s="53" t="str">
        <f aca="false">IF($J469&lt;&gt;"",$J469,"")</f>
        <v/>
      </c>
      <c r="V469" s="52" t="str">
        <f aca="false">IF($A469&lt;&gt;"",$A469,"")</f>
        <v>Apprenant 457</v>
      </c>
      <c r="W469" s="53" t="str">
        <f aca="false">IF(AND(OR('Choix pédagogiques'!$C$3=1,'Choix pédagogiques'!$C$3=2),$BM469=1),B469,IF(AND('Choix pédagogiques'!$C$3=3,$BO469=1),B469,""))</f>
        <v/>
      </c>
      <c r="X469" s="53" t="str">
        <f aca="false">IF(AND(OR('Choix pédagogiques'!$C$3=1,'Choix pédagogiques'!$C$3=2),$BM469=1),C469,IF(AND('Choix pédagogiques'!$C$3=3,$BO469=1),C469,""))</f>
        <v/>
      </c>
      <c r="Y469" s="53" t="str">
        <f aca="false">IF(AND(OR('Choix pédagogiques'!$C$3=1,'Choix pédagogiques'!$C$3=2),$BM469=1),D469,IF(AND('Choix pédagogiques'!$C$3=3,$BO469=1),D469,""))</f>
        <v/>
      </c>
      <c r="Z469" s="53" t="str">
        <f aca="false">IF($E469&lt;&gt;"",$E469,"")</f>
        <v/>
      </c>
      <c r="AA469" s="52" t="str">
        <f aca="false">IF($F469&lt;&gt;"",$F469,"")</f>
        <v>Apprenant 457 ou 457'</v>
      </c>
      <c r="AB469" s="53" t="str">
        <f aca="false">IF(AND(OR('Choix pédagogiques'!$C$3=1,'Choix pédagogiques'!$C$3=2),$BN469=1),G469,IF(AND('Choix pédagogiques'!$C$3=3,$BO469=1),G469,""))</f>
        <v/>
      </c>
      <c r="AC469" s="53" t="str">
        <f aca="false">IF(AND(OR('Choix pédagogiques'!$C$3=1,'Choix pédagogiques'!$C$3=2),$BN469=1),H469,IF(AND('Choix pédagogiques'!$C$3=3,$BO469=1),H469,""))</f>
        <v/>
      </c>
      <c r="AD469" s="53" t="str">
        <f aca="false">IF(AND(OR('Choix pédagogiques'!$C$3=1,'Choix pédagogiques'!$C$3=2),$BN469=1),I469,IF(AND('Choix pédagogiques'!$C$3=3,$BO469=1),I469,""))</f>
        <v/>
      </c>
      <c r="AE469" s="53" t="str">
        <f aca="false">IF($J469&lt;&gt;"",$J469,"")</f>
        <v/>
      </c>
      <c r="AF469" s="52" t="str">
        <f aca="false">IF($A469&lt;&gt;"",$A469,"")</f>
        <v>Apprenant 457</v>
      </c>
      <c r="AG469" s="53" t="str">
        <f aca="false">IF(AND($W469&lt;&gt;"",$X469&lt;&gt;""),$X469-$W469,"")</f>
        <v/>
      </c>
      <c r="AH469" s="53" t="str">
        <f aca="false">IF(AND($W469&lt;&gt;"",$Y469&lt;&gt;""),$Y469-$W469,"")</f>
        <v/>
      </c>
      <c r="AI469" s="53" t="str">
        <f aca="false">IF(AND($X469&lt;&gt;"",$Y469&lt;&gt;""),$Y469-$X469,"")</f>
        <v/>
      </c>
      <c r="AJ469" s="53" t="str">
        <f aca="false">IF($E469&lt;&gt;"",$E469,"")</f>
        <v/>
      </c>
      <c r="AK469" s="52" t="str">
        <f aca="false">IF($F469&lt;&gt;"",$F469,"")</f>
        <v>Apprenant 457 ou 457'</v>
      </c>
      <c r="AL469" s="53" t="str">
        <f aca="false">IF(AND($AB469&lt;&gt;"",$AC469&lt;&gt;""),$AC469-$AB469,"")</f>
        <v/>
      </c>
      <c r="AM469" s="53" t="str">
        <f aca="false">IF(AND($AB469&lt;&gt;"",$AD469&lt;&gt;""),$AD469-$AB469,"")</f>
        <v/>
      </c>
      <c r="AN469" s="53" t="str">
        <f aca="false">IF(AND($AC469&lt;&gt;"",$AD469&lt;&gt;""),$AD469-$AC469,"")</f>
        <v/>
      </c>
      <c r="AO469" s="53" t="str">
        <f aca="false">IF($J469&lt;&gt;"",$J469,"")</f>
        <v/>
      </c>
      <c r="AQ469" s="52" t="str">
        <f aca="false">IF($A469&lt;&gt;"",$A469,"")</f>
        <v>Apprenant 457</v>
      </c>
      <c r="AR469" s="55" t="str">
        <f aca="false">IF(AND('Choix pédagogiques'!$C$4&lt;&gt;"?",'Choix pédagogiques'!$C$5&lt;&gt;"?",W469&lt;&gt;""),(W469-'Choix pédagogiques'!$C$4)/('Choix pédagogiques'!$C$5-'Choix pédagogiques'!$C$4),"")</f>
        <v/>
      </c>
      <c r="AS469" s="55" t="str">
        <f aca="false">IF(AND('Choix pédagogiques'!$C$4&lt;&gt;"?",'Choix pédagogiques'!$C$5&lt;&gt;"?",X469&lt;&gt;""),(X469-'Choix pédagogiques'!$C$4)/('Choix pédagogiques'!$C$5-'Choix pédagogiques'!$C$4),"")</f>
        <v/>
      </c>
      <c r="AT469" s="55" t="str">
        <f aca="false">IF(AND('Choix pédagogiques'!$C$4&lt;&gt;"?",'Choix pédagogiques'!$C$5&lt;&gt;"?",Y469&lt;&gt;""),(Y469-'Choix pédagogiques'!$C$4)/('Choix pédagogiques'!$C$5-'Choix pédagogiques'!$C$4),"")</f>
        <v/>
      </c>
      <c r="AU469" s="53" t="str">
        <f aca="false">IF($E469&lt;&gt;"",$E469,"")</f>
        <v/>
      </c>
      <c r="AV469" s="52" t="str">
        <f aca="false">IF($F469&lt;&gt;"",$F469,"")</f>
        <v>Apprenant 457 ou 457'</v>
      </c>
      <c r="AW469" s="55" t="str">
        <f aca="false">IF(AND('Choix pédagogiques'!$C$4&lt;&gt;"?",'Choix pédagogiques'!$C$5&lt;&gt;"?",AB469&lt;&gt;""),(AB469-'Choix pédagogiques'!$C$4)/('Choix pédagogiques'!$C$5-'Choix pédagogiques'!$C$4),"")</f>
        <v/>
      </c>
      <c r="AX469" s="55" t="str">
        <f aca="false">IF(AND('Choix pédagogiques'!$C$4&lt;&gt;"?",'Choix pédagogiques'!$C$5&lt;&gt;"?",AC469&lt;&gt;""),(AC469-'Choix pédagogiques'!$C$4)/('Choix pédagogiques'!$C$5-'Choix pédagogiques'!$C$4),"")</f>
        <v/>
      </c>
      <c r="AY469" s="55" t="str">
        <f aca="false">IF(AND('Choix pédagogiques'!$C$4&lt;&gt;"?",'Choix pédagogiques'!$C$5&lt;&gt;"?",AD469&lt;&gt;""),(AD469-'Choix pédagogiques'!$C$4)/('Choix pédagogiques'!$C$5-'Choix pédagogiques'!$C$4),"")</f>
        <v/>
      </c>
      <c r="AZ469" s="53" t="str">
        <f aca="false">IF($J469&lt;&gt;"",$J469,"")</f>
        <v/>
      </c>
      <c r="BA469" s="52" t="str">
        <f aca="false">IF($A469&lt;&gt;"",$A469,"")</f>
        <v>Apprenant 457</v>
      </c>
      <c r="BB469" s="55" t="str">
        <f aca="false">IF(AND($AR469&lt;&gt;"",$AS469&lt;&gt;""),$AS469-$AR469,"")</f>
        <v/>
      </c>
      <c r="BC469" s="55" t="str">
        <f aca="false">IF(AND($AR469&lt;&gt;"",$AT469&lt;&gt;""),$AT469-$AR469,"")</f>
        <v/>
      </c>
      <c r="BD469" s="55" t="str">
        <f aca="false">IF(AND($AS469&lt;&gt;"",$AT469&lt;&gt;""),$AT469-$AS469,"")</f>
        <v/>
      </c>
      <c r="BE469" s="53" t="str">
        <f aca="false">IF($E469&lt;&gt;"",$E469,"")</f>
        <v/>
      </c>
      <c r="BF469" s="52" t="str">
        <f aca="false">IF($F469&lt;&gt;"",$F469,"")</f>
        <v>Apprenant 457 ou 457'</v>
      </c>
      <c r="BG469" s="55" t="str">
        <f aca="false">IF(AND($AW469&lt;&gt;"",$AX469&lt;&gt;""),$AX469-$AW469,"")</f>
        <v/>
      </c>
      <c r="BH469" s="55" t="str">
        <f aca="false">IF(AND($AW469&lt;&gt;"",$AY469&lt;&gt;""),$AY469-$AW469,"")</f>
        <v/>
      </c>
      <c r="BI469" s="55" t="str">
        <f aca="false">IF(AND($AX469&lt;&gt;"",$AY469&lt;&gt;""),$AY469-$AX469,"")</f>
        <v/>
      </c>
      <c r="BJ469" s="53" t="str">
        <f aca="false">IF($J469&lt;&gt;"",$J469,"")</f>
        <v/>
      </c>
      <c r="BL469" s="52"/>
      <c r="BM469" s="52" t="str">
        <f aca="false">IF(OR(COUNT(B469:D1468)=0,AND('Choix pédagogiques'!$C$3&lt;&gt;1,'Choix pédagogiques'!$C$3&lt;&gt;2)),"",IF(AND(OR('Choix pédagogiques'!$C$3=1,'Choix pédagogiques'!$C$3=2),$B469&lt;&gt;"",$C469&lt;&gt;"",$D469&lt;&gt;""),1,0))</f>
        <v/>
      </c>
      <c r="BN469" s="52" t="str">
        <f aca="false">IF(OR(COUNT(G469:I1468)=0,AND('Choix pédagogiques'!$C$3&lt;&gt;1,'Choix pédagogiques'!$C$3&lt;&gt;2)),"",IF(AND(OR('Choix pédagogiques'!$C$3=1,'Choix pédagogiques'!$C$3=2),AND($G469&lt;&gt;"",$H469&lt;&gt;"",$I469&lt;&gt;"")),1,0))</f>
        <v/>
      </c>
      <c r="BO469" s="52" t="str">
        <f aca="false">IF(OR(COUNT(B469:D1468)=0,COUNT(G469:I1468)=0,'Choix pédagogiques'!C$3&lt;&gt;3),"",IF(AND('Choix pédagogiques'!$C$3=3,$B469&lt;&gt;"",$C469&lt;&gt;"",$D469&lt;&gt;"",$G469&lt;&gt;"",$H469&lt;&gt;"",$I469&lt;&gt;""),1,0))</f>
        <v/>
      </c>
      <c r="BR469" s="52" t="n">
        <v>39</v>
      </c>
      <c r="BS469" s="52" t="n">
        <v>1219</v>
      </c>
    </row>
    <row r="470" s="54" customFormat="true" ht="18" hidden="false" customHeight="true" outlineLevel="0" collapsed="false">
      <c r="A470" s="57" t="s">
        <v>871</v>
      </c>
      <c r="B470" s="51"/>
      <c r="C470" s="51"/>
      <c r="D470" s="51"/>
      <c r="E470" s="51"/>
      <c r="F470" s="57" t="s">
        <v>872</v>
      </c>
      <c r="G470" s="51"/>
      <c r="H470" s="51"/>
      <c r="I470" s="51"/>
      <c r="J470" s="51"/>
      <c r="K470" s="52" t="str">
        <f aca="false">IF($A470&lt;&gt;"",$A470,"")</f>
        <v>Apprenant 458</v>
      </c>
      <c r="L470" s="53" t="str">
        <f aca="false">IF(AND($B470&lt;&gt;"",$C470&lt;&gt;""),$C470-$B470,"")</f>
        <v/>
      </c>
      <c r="M470" s="53" t="str">
        <f aca="false">IF(AND($B470&lt;&gt;"",$D470&lt;&gt;""),$D470-$B470,"")</f>
        <v/>
      </c>
      <c r="N470" s="53" t="str">
        <f aca="false">IF(AND($C470&lt;&gt;"",$D470&lt;&gt;""),$D470-$C470,"")</f>
        <v/>
      </c>
      <c r="O470" s="53" t="str">
        <f aca="false">IF($E470&lt;&gt;"",$E470,"")</f>
        <v/>
      </c>
      <c r="P470" s="52" t="str">
        <f aca="false">IF($F470&lt;&gt;"",$F470,"")</f>
        <v>Apprenant 458 ou 458'</v>
      </c>
      <c r="Q470" s="53" t="str">
        <f aca="false">IF(AND($G470&lt;&gt;"",$H470&lt;&gt;""),$H470-$G470,"")</f>
        <v/>
      </c>
      <c r="R470" s="53" t="str">
        <f aca="false">IF(AND($G470&lt;&gt;"",$I470&lt;&gt;""),$I470-$G470,"")</f>
        <v/>
      </c>
      <c r="S470" s="53" t="str">
        <f aca="false">IF(AND($H470&lt;&gt;"",$I470&lt;&gt;""),$I470-$H470,"")</f>
        <v/>
      </c>
      <c r="T470" s="53" t="str">
        <f aca="false">IF($J470&lt;&gt;"",$J470,"")</f>
        <v/>
      </c>
      <c r="V470" s="52" t="str">
        <f aca="false">IF($A470&lt;&gt;"",$A470,"")</f>
        <v>Apprenant 458</v>
      </c>
      <c r="W470" s="53" t="str">
        <f aca="false">IF(AND(OR('Choix pédagogiques'!$C$3=1,'Choix pédagogiques'!$C$3=2),$BM470=1),B470,IF(AND('Choix pédagogiques'!$C$3=3,$BO470=1),B470,""))</f>
        <v/>
      </c>
      <c r="X470" s="53" t="str">
        <f aca="false">IF(AND(OR('Choix pédagogiques'!$C$3=1,'Choix pédagogiques'!$C$3=2),$BM470=1),C470,IF(AND('Choix pédagogiques'!$C$3=3,$BO470=1),C470,""))</f>
        <v/>
      </c>
      <c r="Y470" s="53" t="str">
        <f aca="false">IF(AND(OR('Choix pédagogiques'!$C$3=1,'Choix pédagogiques'!$C$3=2),$BM470=1),D470,IF(AND('Choix pédagogiques'!$C$3=3,$BO470=1),D470,""))</f>
        <v/>
      </c>
      <c r="Z470" s="53" t="str">
        <f aca="false">IF($E470&lt;&gt;"",$E470,"")</f>
        <v/>
      </c>
      <c r="AA470" s="52" t="str">
        <f aca="false">IF($F470&lt;&gt;"",$F470,"")</f>
        <v>Apprenant 458 ou 458'</v>
      </c>
      <c r="AB470" s="53" t="str">
        <f aca="false">IF(AND(OR('Choix pédagogiques'!$C$3=1,'Choix pédagogiques'!$C$3=2),$BN470=1),G470,IF(AND('Choix pédagogiques'!$C$3=3,$BO470=1),G470,""))</f>
        <v/>
      </c>
      <c r="AC470" s="53" t="str">
        <f aca="false">IF(AND(OR('Choix pédagogiques'!$C$3=1,'Choix pédagogiques'!$C$3=2),$BN470=1),H470,IF(AND('Choix pédagogiques'!$C$3=3,$BO470=1),H470,""))</f>
        <v/>
      </c>
      <c r="AD470" s="53" t="str">
        <f aca="false">IF(AND(OR('Choix pédagogiques'!$C$3=1,'Choix pédagogiques'!$C$3=2),$BN470=1),I470,IF(AND('Choix pédagogiques'!$C$3=3,$BO470=1),I470,""))</f>
        <v/>
      </c>
      <c r="AE470" s="53" t="str">
        <f aca="false">IF($J470&lt;&gt;"",$J470,"")</f>
        <v/>
      </c>
      <c r="AF470" s="52" t="str">
        <f aca="false">IF($A470&lt;&gt;"",$A470,"")</f>
        <v>Apprenant 458</v>
      </c>
      <c r="AG470" s="53" t="str">
        <f aca="false">IF(AND($W470&lt;&gt;"",$X470&lt;&gt;""),$X470-$W470,"")</f>
        <v/>
      </c>
      <c r="AH470" s="53" t="str">
        <f aca="false">IF(AND($W470&lt;&gt;"",$Y470&lt;&gt;""),$Y470-$W470,"")</f>
        <v/>
      </c>
      <c r="AI470" s="53" t="str">
        <f aca="false">IF(AND($X470&lt;&gt;"",$Y470&lt;&gt;""),$Y470-$X470,"")</f>
        <v/>
      </c>
      <c r="AJ470" s="53" t="str">
        <f aca="false">IF($E470&lt;&gt;"",$E470,"")</f>
        <v/>
      </c>
      <c r="AK470" s="52" t="str">
        <f aca="false">IF($F470&lt;&gt;"",$F470,"")</f>
        <v>Apprenant 458 ou 458'</v>
      </c>
      <c r="AL470" s="53" t="str">
        <f aca="false">IF(AND($AB470&lt;&gt;"",$AC470&lt;&gt;""),$AC470-$AB470,"")</f>
        <v/>
      </c>
      <c r="AM470" s="53" t="str">
        <f aca="false">IF(AND($AB470&lt;&gt;"",$AD470&lt;&gt;""),$AD470-$AB470,"")</f>
        <v/>
      </c>
      <c r="AN470" s="53" t="str">
        <f aca="false">IF(AND($AC470&lt;&gt;"",$AD470&lt;&gt;""),$AD470-$AC470,"")</f>
        <v/>
      </c>
      <c r="AO470" s="53" t="str">
        <f aca="false">IF($J470&lt;&gt;"",$J470,"")</f>
        <v/>
      </c>
      <c r="AQ470" s="52" t="str">
        <f aca="false">IF($A470&lt;&gt;"",$A470,"")</f>
        <v>Apprenant 458</v>
      </c>
      <c r="AR470" s="55" t="str">
        <f aca="false">IF(AND('Choix pédagogiques'!$C$4&lt;&gt;"?",'Choix pédagogiques'!$C$5&lt;&gt;"?",W470&lt;&gt;""),(W470-'Choix pédagogiques'!$C$4)/('Choix pédagogiques'!$C$5-'Choix pédagogiques'!$C$4),"")</f>
        <v/>
      </c>
      <c r="AS470" s="55" t="str">
        <f aca="false">IF(AND('Choix pédagogiques'!$C$4&lt;&gt;"?",'Choix pédagogiques'!$C$5&lt;&gt;"?",X470&lt;&gt;""),(X470-'Choix pédagogiques'!$C$4)/('Choix pédagogiques'!$C$5-'Choix pédagogiques'!$C$4),"")</f>
        <v/>
      </c>
      <c r="AT470" s="55" t="str">
        <f aca="false">IF(AND('Choix pédagogiques'!$C$4&lt;&gt;"?",'Choix pédagogiques'!$C$5&lt;&gt;"?",Y470&lt;&gt;""),(Y470-'Choix pédagogiques'!$C$4)/('Choix pédagogiques'!$C$5-'Choix pédagogiques'!$C$4),"")</f>
        <v/>
      </c>
      <c r="AU470" s="53" t="str">
        <f aca="false">IF($E470&lt;&gt;"",$E470,"")</f>
        <v/>
      </c>
      <c r="AV470" s="52" t="str">
        <f aca="false">IF($F470&lt;&gt;"",$F470,"")</f>
        <v>Apprenant 458 ou 458'</v>
      </c>
      <c r="AW470" s="55" t="str">
        <f aca="false">IF(AND('Choix pédagogiques'!$C$4&lt;&gt;"?",'Choix pédagogiques'!$C$5&lt;&gt;"?",AB470&lt;&gt;""),(AB470-'Choix pédagogiques'!$C$4)/('Choix pédagogiques'!$C$5-'Choix pédagogiques'!$C$4),"")</f>
        <v/>
      </c>
      <c r="AX470" s="55" t="str">
        <f aca="false">IF(AND('Choix pédagogiques'!$C$4&lt;&gt;"?",'Choix pédagogiques'!$C$5&lt;&gt;"?",AC470&lt;&gt;""),(AC470-'Choix pédagogiques'!$C$4)/('Choix pédagogiques'!$C$5-'Choix pédagogiques'!$C$4),"")</f>
        <v/>
      </c>
      <c r="AY470" s="55" t="str">
        <f aca="false">IF(AND('Choix pédagogiques'!$C$4&lt;&gt;"?",'Choix pédagogiques'!$C$5&lt;&gt;"?",AD470&lt;&gt;""),(AD470-'Choix pédagogiques'!$C$4)/('Choix pédagogiques'!$C$5-'Choix pédagogiques'!$C$4),"")</f>
        <v/>
      </c>
      <c r="AZ470" s="53" t="str">
        <f aca="false">IF($J470&lt;&gt;"",$J470,"")</f>
        <v/>
      </c>
      <c r="BA470" s="52" t="str">
        <f aca="false">IF($A470&lt;&gt;"",$A470,"")</f>
        <v>Apprenant 458</v>
      </c>
      <c r="BB470" s="55" t="str">
        <f aca="false">IF(AND($AR470&lt;&gt;"",$AS470&lt;&gt;""),$AS470-$AR470,"")</f>
        <v/>
      </c>
      <c r="BC470" s="55" t="str">
        <f aca="false">IF(AND($AR470&lt;&gt;"",$AT470&lt;&gt;""),$AT470-$AR470,"")</f>
        <v/>
      </c>
      <c r="BD470" s="55" t="str">
        <f aca="false">IF(AND($AS470&lt;&gt;"",$AT470&lt;&gt;""),$AT470-$AS470,"")</f>
        <v/>
      </c>
      <c r="BE470" s="53" t="str">
        <f aca="false">IF($E470&lt;&gt;"",$E470,"")</f>
        <v/>
      </c>
      <c r="BF470" s="52" t="str">
        <f aca="false">IF($F470&lt;&gt;"",$F470,"")</f>
        <v>Apprenant 458 ou 458'</v>
      </c>
      <c r="BG470" s="55" t="str">
        <f aca="false">IF(AND($AW470&lt;&gt;"",$AX470&lt;&gt;""),$AX470-$AW470,"")</f>
        <v/>
      </c>
      <c r="BH470" s="55" t="str">
        <f aca="false">IF(AND($AW470&lt;&gt;"",$AY470&lt;&gt;""),$AY470-$AW470,"")</f>
        <v/>
      </c>
      <c r="BI470" s="55" t="str">
        <f aca="false">IF(AND($AX470&lt;&gt;"",$AY470&lt;&gt;""),$AY470-$AX470,"")</f>
        <v/>
      </c>
      <c r="BJ470" s="53" t="str">
        <f aca="false">IF($J470&lt;&gt;"",$J470,"")</f>
        <v/>
      </c>
      <c r="BL470" s="52"/>
      <c r="BM470" s="52" t="str">
        <f aca="false">IF(OR(COUNT(B470:D1469)=0,AND('Choix pédagogiques'!$C$3&lt;&gt;1,'Choix pédagogiques'!$C$3&lt;&gt;2)),"",IF(AND(OR('Choix pédagogiques'!$C$3=1,'Choix pédagogiques'!$C$3=2),$B470&lt;&gt;"",$C470&lt;&gt;"",$D470&lt;&gt;""),1,0))</f>
        <v/>
      </c>
      <c r="BN470" s="52" t="str">
        <f aca="false">IF(OR(COUNT(G470:I1469)=0,AND('Choix pédagogiques'!$C$3&lt;&gt;1,'Choix pédagogiques'!$C$3&lt;&gt;2)),"",IF(AND(OR('Choix pédagogiques'!$C$3=1,'Choix pédagogiques'!$C$3=2),AND($G470&lt;&gt;"",$H470&lt;&gt;"",$I470&lt;&gt;"")),1,0))</f>
        <v/>
      </c>
      <c r="BO470" s="52" t="str">
        <f aca="false">IF(OR(COUNT(B470:D1469)=0,COUNT(G470:I1469)=0,'Choix pédagogiques'!C$3&lt;&gt;3),"",IF(AND('Choix pédagogiques'!$C$3=3,$B470&lt;&gt;"",$C470&lt;&gt;"",$D470&lt;&gt;"",$G470&lt;&gt;"",$H470&lt;&gt;"",$I470&lt;&gt;""),1,0))</f>
        <v/>
      </c>
      <c r="BR470" s="52" t="n">
        <v>293</v>
      </c>
      <c r="BS470" s="52" t="n">
        <v>1271</v>
      </c>
    </row>
    <row r="471" s="54" customFormat="true" ht="18" hidden="false" customHeight="true" outlineLevel="0" collapsed="false">
      <c r="A471" s="57" t="s">
        <v>873</v>
      </c>
      <c r="B471" s="51"/>
      <c r="C471" s="51"/>
      <c r="D471" s="51"/>
      <c r="E471" s="51"/>
      <c r="F471" s="57" t="s">
        <v>874</v>
      </c>
      <c r="G471" s="51"/>
      <c r="H471" s="51"/>
      <c r="I471" s="51"/>
      <c r="J471" s="51"/>
      <c r="K471" s="52" t="str">
        <f aca="false">IF($A471&lt;&gt;"",$A471,"")</f>
        <v>Apprenant 459</v>
      </c>
      <c r="L471" s="53" t="str">
        <f aca="false">IF(AND($B471&lt;&gt;"",$C471&lt;&gt;""),$C471-$B471,"")</f>
        <v/>
      </c>
      <c r="M471" s="53" t="str">
        <f aca="false">IF(AND($B471&lt;&gt;"",$D471&lt;&gt;""),$D471-$B471,"")</f>
        <v/>
      </c>
      <c r="N471" s="53" t="str">
        <f aca="false">IF(AND($C471&lt;&gt;"",$D471&lt;&gt;""),$D471-$C471,"")</f>
        <v/>
      </c>
      <c r="O471" s="53" t="str">
        <f aca="false">IF($E471&lt;&gt;"",$E471,"")</f>
        <v/>
      </c>
      <c r="P471" s="52" t="str">
        <f aca="false">IF($F471&lt;&gt;"",$F471,"")</f>
        <v>Apprenant 459 ou 459'</v>
      </c>
      <c r="Q471" s="53" t="str">
        <f aca="false">IF(AND($G471&lt;&gt;"",$H471&lt;&gt;""),$H471-$G471,"")</f>
        <v/>
      </c>
      <c r="R471" s="53" t="str">
        <f aca="false">IF(AND($G471&lt;&gt;"",$I471&lt;&gt;""),$I471-$G471,"")</f>
        <v/>
      </c>
      <c r="S471" s="53" t="str">
        <f aca="false">IF(AND($H471&lt;&gt;"",$I471&lt;&gt;""),$I471-$H471,"")</f>
        <v/>
      </c>
      <c r="T471" s="53" t="str">
        <f aca="false">IF($J471&lt;&gt;"",$J471,"")</f>
        <v/>
      </c>
      <c r="V471" s="52" t="str">
        <f aca="false">IF($A471&lt;&gt;"",$A471,"")</f>
        <v>Apprenant 459</v>
      </c>
      <c r="W471" s="53" t="str">
        <f aca="false">IF(AND(OR('Choix pédagogiques'!$C$3=1,'Choix pédagogiques'!$C$3=2),$BM471=1),B471,IF(AND('Choix pédagogiques'!$C$3=3,$BO471=1),B471,""))</f>
        <v/>
      </c>
      <c r="X471" s="53" t="str">
        <f aca="false">IF(AND(OR('Choix pédagogiques'!$C$3=1,'Choix pédagogiques'!$C$3=2),$BM471=1),C471,IF(AND('Choix pédagogiques'!$C$3=3,$BO471=1),C471,""))</f>
        <v/>
      </c>
      <c r="Y471" s="53" t="str">
        <f aca="false">IF(AND(OR('Choix pédagogiques'!$C$3=1,'Choix pédagogiques'!$C$3=2),$BM471=1),D471,IF(AND('Choix pédagogiques'!$C$3=3,$BO471=1),D471,""))</f>
        <v/>
      </c>
      <c r="Z471" s="53" t="str">
        <f aca="false">IF($E471&lt;&gt;"",$E471,"")</f>
        <v/>
      </c>
      <c r="AA471" s="52" t="str">
        <f aca="false">IF($F471&lt;&gt;"",$F471,"")</f>
        <v>Apprenant 459 ou 459'</v>
      </c>
      <c r="AB471" s="53" t="str">
        <f aca="false">IF(AND(OR('Choix pédagogiques'!$C$3=1,'Choix pédagogiques'!$C$3=2),$BN471=1),G471,IF(AND('Choix pédagogiques'!$C$3=3,$BO471=1),G471,""))</f>
        <v/>
      </c>
      <c r="AC471" s="53" t="str">
        <f aca="false">IF(AND(OR('Choix pédagogiques'!$C$3=1,'Choix pédagogiques'!$C$3=2),$BN471=1),H471,IF(AND('Choix pédagogiques'!$C$3=3,$BO471=1),H471,""))</f>
        <v/>
      </c>
      <c r="AD471" s="53" t="str">
        <f aca="false">IF(AND(OR('Choix pédagogiques'!$C$3=1,'Choix pédagogiques'!$C$3=2),$BN471=1),I471,IF(AND('Choix pédagogiques'!$C$3=3,$BO471=1),I471,""))</f>
        <v/>
      </c>
      <c r="AE471" s="53" t="str">
        <f aca="false">IF($J471&lt;&gt;"",$J471,"")</f>
        <v/>
      </c>
      <c r="AF471" s="52" t="str">
        <f aca="false">IF($A471&lt;&gt;"",$A471,"")</f>
        <v>Apprenant 459</v>
      </c>
      <c r="AG471" s="53" t="str">
        <f aca="false">IF(AND($W471&lt;&gt;"",$X471&lt;&gt;""),$X471-$W471,"")</f>
        <v/>
      </c>
      <c r="AH471" s="53" t="str">
        <f aca="false">IF(AND($W471&lt;&gt;"",$Y471&lt;&gt;""),$Y471-$W471,"")</f>
        <v/>
      </c>
      <c r="AI471" s="53" t="str">
        <f aca="false">IF(AND($X471&lt;&gt;"",$Y471&lt;&gt;""),$Y471-$X471,"")</f>
        <v/>
      </c>
      <c r="AJ471" s="53" t="str">
        <f aca="false">IF($E471&lt;&gt;"",$E471,"")</f>
        <v/>
      </c>
      <c r="AK471" s="52" t="str">
        <f aca="false">IF($F471&lt;&gt;"",$F471,"")</f>
        <v>Apprenant 459 ou 459'</v>
      </c>
      <c r="AL471" s="53" t="str">
        <f aca="false">IF(AND($AB471&lt;&gt;"",$AC471&lt;&gt;""),$AC471-$AB471,"")</f>
        <v/>
      </c>
      <c r="AM471" s="53" t="str">
        <f aca="false">IF(AND($AB471&lt;&gt;"",$AD471&lt;&gt;""),$AD471-$AB471,"")</f>
        <v/>
      </c>
      <c r="AN471" s="53" t="str">
        <f aca="false">IF(AND($AC471&lt;&gt;"",$AD471&lt;&gt;""),$AD471-$AC471,"")</f>
        <v/>
      </c>
      <c r="AO471" s="53" t="str">
        <f aca="false">IF($J471&lt;&gt;"",$J471,"")</f>
        <v/>
      </c>
      <c r="AQ471" s="52" t="str">
        <f aca="false">IF($A471&lt;&gt;"",$A471,"")</f>
        <v>Apprenant 459</v>
      </c>
      <c r="AR471" s="55" t="str">
        <f aca="false">IF(AND('Choix pédagogiques'!$C$4&lt;&gt;"?",'Choix pédagogiques'!$C$5&lt;&gt;"?",W471&lt;&gt;""),(W471-'Choix pédagogiques'!$C$4)/('Choix pédagogiques'!$C$5-'Choix pédagogiques'!$C$4),"")</f>
        <v/>
      </c>
      <c r="AS471" s="55" t="str">
        <f aca="false">IF(AND('Choix pédagogiques'!$C$4&lt;&gt;"?",'Choix pédagogiques'!$C$5&lt;&gt;"?",X471&lt;&gt;""),(X471-'Choix pédagogiques'!$C$4)/('Choix pédagogiques'!$C$5-'Choix pédagogiques'!$C$4),"")</f>
        <v/>
      </c>
      <c r="AT471" s="55" t="str">
        <f aca="false">IF(AND('Choix pédagogiques'!$C$4&lt;&gt;"?",'Choix pédagogiques'!$C$5&lt;&gt;"?",Y471&lt;&gt;""),(Y471-'Choix pédagogiques'!$C$4)/('Choix pédagogiques'!$C$5-'Choix pédagogiques'!$C$4),"")</f>
        <v/>
      </c>
      <c r="AU471" s="53" t="str">
        <f aca="false">IF($E471&lt;&gt;"",$E471,"")</f>
        <v/>
      </c>
      <c r="AV471" s="52" t="str">
        <f aca="false">IF($F471&lt;&gt;"",$F471,"")</f>
        <v>Apprenant 459 ou 459'</v>
      </c>
      <c r="AW471" s="55" t="str">
        <f aca="false">IF(AND('Choix pédagogiques'!$C$4&lt;&gt;"?",'Choix pédagogiques'!$C$5&lt;&gt;"?",AB471&lt;&gt;""),(AB471-'Choix pédagogiques'!$C$4)/('Choix pédagogiques'!$C$5-'Choix pédagogiques'!$C$4),"")</f>
        <v/>
      </c>
      <c r="AX471" s="55" t="str">
        <f aca="false">IF(AND('Choix pédagogiques'!$C$4&lt;&gt;"?",'Choix pédagogiques'!$C$5&lt;&gt;"?",AC471&lt;&gt;""),(AC471-'Choix pédagogiques'!$C$4)/('Choix pédagogiques'!$C$5-'Choix pédagogiques'!$C$4),"")</f>
        <v/>
      </c>
      <c r="AY471" s="55" t="str">
        <f aca="false">IF(AND('Choix pédagogiques'!$C$4&lt;&gt;"?",'Choix pédagogiques'!$C$5&lt;&gt;"?",AD471&lt;&gt;""),(AD471-'Choix pédagogiques'!$C$4)/('Choix pédagogiques'!$C$5-'Choix pédagogiques'!$C$4),"")</f>
        <v/>
      </c>
      <c r="AZ471" s="53" t="str">
        <f aca="false">IF($J471&lt;&gt;"",$J471,"")</f>
        <v/>
      </c>
      <c r="BA471" s="52" t="str">
        <f aca="false">IF($A471&lt;&gt;"",$A471,"")</f>
        <v>Apprenant 459</v>
      </c>
      <c r="BB471" s="55" t="str">
        <f aca="false">IF(AND($AR471&lt;&gt;"",$AS471&lt;&gt;""),$AS471-$AR471,"")</f>
        <v/>
      </c>
      <c r="BC471" s="55" t="str">
        <f aca="false">IF(AND($AR471&lt;&gt;"",$AT471&lt;&gt;""),$AT471-$AR471,"")</f>
        <v/>
      </c>
      <c r="BD471" s="55" t="str">
        <f aca="false">IF(AND($AS471&lt;&gt;"",$AT471&lt;&gt;""),$AT471-$AS471,"")</f>
        <v/>
      </c>
      <c r="BE471" s="53" t="str">
        <f aca="false">IF($E471&lt;&gt;"",$E471,"")</f>
        <v/>
      </c>
      <c r="BF471" s="52" t="str">
        <f aca="false">IF($F471&lt;&gt;"",$F471,"")</f>
        <v>Apprenant 459 ou 459'</v>
      </c>
      <c r="BG471" s="55" t="str">
        <f aca="false">IF(AND($AW471&lt;&gt;"",$AX471&lt;&gt;""),$AX471-$AW471,"")</f>
        <v/>
      </c>
      <c r="BH471" s="55" t="str">
        <f aca="false">IF(AND($AW471&lt;&gt;"",$AY471&lt;&gt;""),$AY471-$AW471,"")</f>
        <v/>
      </c>
      <c r="BI471" s="55" t="str">
        <f aca="false">IF(AND($AX471&lt;&gt;"",$AY471&lt;&gt;""),$AY471-$AX471,"")</f>
        <v/>
      </c>
      <c r="BJ471" s="53" t="str">
        <f aca="false">IF($J471&lt;&gt;"",$J471,"")</f>
        <v/>
      </c>
      <c r="BL471" s="52"/>
      <c r="BM471" s="52" t="str">
        <f aca="false">IF(OR(COUNT(B471:D1470)=0,AND('Choix pédagogiques'!$C$3&lt;&gt;1,'Choix pédagogiques'!$C$3&lt;&gt;2)),"",IF(AND(OR('Choix pédagogiques'!$C$3=1,'Choix pédagogiques'!$C$3=2),$B471&lt;&gt;"",$C471&lt;&gt;"",$D471&lt;&gt;""),1,0))</f>
        <v/>
      </c>
      <c r="BN471" s="52" t="str">
        <f aca="false">IF(OR(COUNT(G471:I1470)=0,AND('Choix pédagogiques'!$C$3&lt;&gt;1,'Choix pédagogiques'!$C$3&lt;&gt;2)),"",IF(AND(OR('Choix pédagogiques'!$C$3=1,'Choix pédagogiques'!$C$3=2),AND($G471&lt;&gt;"",$H471&lt;&gt;"",$I471&lt;&gt;"")),1,0))</f>
        <v/>
      </c>
      <c r="BO471" s="52" t="str">
        <f aca="false">IF(OR(COUNT(B471:D1470)=0,COUNT(G471:I1470)=0,'Choix pédagogiques'!C$3&lt;&gt;3),"",IF(AND('Choix pédagogiques'!$C$3=3,$B471&lt;&gt;"",$C471&lt;&gt;"",$D471&lt;&gt;"",$G471&lt;&gt;"",$H471&lt;&gt;"",$I471&lt;&gt;""),1,0))</f>
        <v/>
      </c>
      <c r="BR471" s="52" t="n">
        <v>346</v>
      </c>
      <c r="BS471" s="52" t="n">
        <v>1988</v>
      </c>
    </row>
    <row r="472" s="54" customFormat="true" ht="18" hidden="false" customHeight="true" outlineLevel="0" collapsed="false">
      <c r="A472" s="57" t="s">
        <v>875</v>
      </c>
      <c r="B472" s="51"/>
      <c r="C472" s="51"/>
      <c r="D472" s="51"/>
      <c r="E472" s="51"/>
      <c r="F472" s="57" t="s">
        <v>876</v>
      </c>
      <c r="G472" s="51"/>
      <c r="H472" s="51"/>
      <c r="I472" s="51"/>
      <c r="J472" s="51"/>
      <c r="K472" s="52" t="str">
        <f aca="false">IF($A472&lt;&gt;"",$A472,"")</f>
        <v>Apprenant 460</v>
      </c>
      <c r="L472" s="53" t="str">
        <f aca="false">IF(AND($B472&lt;&gt;"",$C472&lt;&gt;""),$C472-$B472,"")</f>
        <v/>
      </c>
      <c r="M472" s="53" t="str">
        <f aca="false">IF(AND($B472&lt;&gt;"",$D472&lt;&gt;""),$D472-$B472,"")</f>
        <v/>
      </c>
      <c r="N472" s="53" t="str">
        <f aca="false">IF(AND($C472&lt;&gt;"",$D472&lt;&gt;""),$D472-$C472,"")</f>
        <v/>
      </c>
      <c r="O472" s="53" t="str">
        <f aca="false">IF($E472&lt;&gt;"",$E472,"")</f>
        <v/>
      </c>
      <c r="P472" s="52" t="str">
        <f aca="false">IF($F472&lt;&gt;"",$F472,"")</f>
        <v>Apprenant 460 ou 460'</v>
      </c>
      <c r="Q472" s="53" t="str">
        <f aca="false">IF(AND($G472&lt;&gt;"",$H472&lt;&gt;""),$H472-$G472,"")</f>
        <v/>
      </c>
      <c r="R472" s="53" t="str">
        <f aca="false">IF(AND($G472&lt;&gt;"",$I472&lt;&gt;""),$I472-$G472,"")</f>
        <v/>
      </c>
      <c r="S472" s="53" t="str">
        <f aca="false">IF(AND($H472&lt;&gt;"",$I472&lt;&gt;""),$I472-$H472,"")</f>
        <v/>
      </c>
      <c r="T472" s="53" t="str">
        <f aca="false">IF($J472&lt;&gt;"",$J472,"")</f>
        <v/>
      </c>
      <c r="V472" s="52" t="str">
        <f aca="false">IF($A472&lt;&gt;"",$A472,"")</f>
        <v>Apprenant 460</v>
      </c>
      <c r="W472" s="53" t="str">
        <f aca="false">IF(AND(OR('Choix pédagogiques'!$C$3=1,'Choix pédagogiques'!$C$3=2),$BM472=1),B472,IF(AND('Choix pédagogiques'!$C$3=3,$BO472=1),B472,""))</f>
        <v/>
      </c>
      <c r="X472" s="53" t="str">
        <f aca="false">IF(AND(OR('Choix pédagogiques'!$C$3=1,'Choix pédagogiques'!$C$3=2),$BM472=1),C472,IF(AND('Choix pédagogiques'!$C$3=3,$BO472=1),C472,""))</f>
        <v/>
      </c>
      <c r="Y472" s="53" t="str">
        <f aca="false">IF(AND(OR('Choix pédagogiques'!$C$3=1,'Choix pédagogiques'!$C$3=2),$BM472=1),D472,IF(AND('Choix pédagogiques'!$C$3=3,$BO472=1),D472,""))</f>
        <v/>
      </c>
      <c r="Z472" s="53" t="str">
        <f aca="false">IF($E472&lt;&gt;"",$E472,"")</f>
        <v/>
      </c>
      <c r="AA472" s="52" t="str">
        <f aca="false">IF($F472&lt;&gt;"",$F472,"")</f>
        <v>Apprenant 460 ou 460'</v>
      </c>
      <c r="AB472" s="53" t="str">
        <f aca="false">IF(AND(OR('Choix pédagogiques'!$C$3=1,'Choix pédagogiques'!$C$3=2),$BN472=1),G472,IF(AND('Choix pédagogiques'!$C$3=3,$BO472=1),G472,""))</f>
        <v/>
      </c>
      <c r="AC472" s="53" t="str">
        <f aca="false">IF(AND(OR('Choix pédagogiques'!$C$3=1,'Choix pédagogiques'!$C$3=2),$BN472=1),H472,IF(AND('Choix pédagogiques'!$C$3=3,$BO472=1),H472,""))</f>
        <v/>
      </c>
      <c r="AD472" s="53" t="str">
        <f aca="false">IF(AND(OR('Choix pédagogiques'!$C$3=1,'Choix pédagogiques'!$C$3=2),$BN472=1),I472,IF(AND('Choix pédagogiques'!$C$3=3,$BO472=1),I472,""))</f>
        <v/>
      </c>
      <c r="AE472" s="53" t="str">
        <f aca="false">IF($J472&lt;&gt;"",$J472,"")</f>
        <v/>
      </c>
      <c r="AF472" s="52" t="str">
        <f aca="false">IF($A472&lt;&gt;"",$A472,"")</f>
        <v>Apprenant 460</v>
      </c>
      <c r="AG472" s="53" t="str">
        <f aca="false">IF(AND($W472&lt;&gt;"",$X472&lt;&gt;""),$X472-$W472,"")</f>
        <v/>
      </c>
      <c r="AH472" s="53" t="str">
        <f aca="false">IF(AND($W472&lt;&gt;"",$Y472&lt;&gt;""),$Y472-$W472,"")</f>
        <v/>
      </c>
      <c r="AI472" s="53" t="str">
        <f aca="false">IF(AND($X472&lt;&gt;"",$Y472&lt;&gt;""),$Y472-$X472,"")</f>
        <v/>
      </c>
      <c r="AJ472" s="53" t="str">
        <f aca="false">IF($E472&lt;&gt;"",$E472,"")</f>
        <v/>
      </c>
      <c r="AK472" s="52" t="str">
        <f aca="false">IF($F472&lt;&gt;"",$F472,"")</f>
        <v>Apprenant 460 ou 460'</v>
      </c>
      <c r="AL472" s="53" t="str">
        <f aca="false">IF(AND($AB472&lt;&gt;"",$AC472&lt;&gt;""),$AC472-$AB472,"")</f>
        <v/>
      </c>
      <c r="AM472" s="53" t="str">
        <f aca="false">IF(AND($AB472&lt;&gt;"",$AD472&lt;&gt;""),$AD472-$AB472,"")</f>
        <v/>
      </c>
      <c r="AN472" s="53" t="str">
        <f aca="false">IF(AND($AC472&lt;&gt;"",$AD472&lt;&gt;""),$AD472-$AC472,"")</f>
        <v/>
      </c>
      <c r="AO472" s="53" t="str">
        <f aca="false">IF($J472&lt;&gt;"",$J472,"")</f>
        <v/>
      </c>
      <c r="AQ472" s="52" t="str">
        <f aca="false">IF($A472&lt;&gt;"",$A472,"")</f>
        <v>Apprenant 460</v>
      </c>
      <c r="AR472" s="55" t="str">
        <f aca="false">IF(AND('Choix pédagogiques'!$C$4&lt;&gt;"?",'Choix pédagogiques'!$C$5&lt;&gt;"?",W472&lt;&gt;""),(W472-'Choix pédagogiques'!$C$4)/('Choix pédagogiques'!$C$5-'Choix pédagogiques'!$C$4),"")</f>
        <v/>
      </c>
      <c r="AS472" s="55" t="str">
        <f aca="false">IF(AND('Choix pédagogiques'!$C$4&lt;&gt;"?",'Choix pédagogiques'!$C$5&lt;&gt;"?",X472&lt;&gt;""),(X472-'Choix pédagogiques'!$C$4)/('Choix pédagogiques'!$C$5-'Choix pédagogiques'!$C$4),"")</f>
        <v/>
      </c>
      <c r="AT472" s="55" t="str">
        <f aca="false">IF(AND('Choix pédagogiques'!$C$4&lt;&gt;"?",'Choix pédagogiques'!$C$5&lt;&gt;"?",Y472&lt;&gt;""),(Y472-'Choix pédagogiques'!$C$4)/('Choix pédagogiques'!$C$5-'Choix pédagogiques'!$C$4),"")</f>
        <v/>
      </c>
      <c r="AU472" s="53" t="str">
        <f aca="false">IF($E472&lt;&gt;"",$E472,"")</f>
        <v/>
      </c>
      <c r="AV472" s="52" t="str">
        <f aca="false">IF($F472&lt;&gt;"",$F472,"")</f>
        <v>Apprenant 460 ou 460'</v>
      </c>
      <c r="AW472" s="55" t="str">
        <f aca="false">IF(AND('Choix pédagogiques'!$C$4&lt;&gt;"?",'Choix pédagogiques'!$C$5&lt;&gt;"?",AB472&lt;&gt;""),(AB472-'Choix pédagogiques'!$C$4)/('Choix pédagogiques'!$C$5-'Choix pédagogiques'!$C$4),"")</f>
        <v/>
      </c>
      <c r="AX472" s="55" t="str">
        <f aca="false">IF(AND('Choix pédagogiques'!$C$4&lt;&gt;"?",'Choix pédagogiques'!$C$5&lt;&gt;"?",AC472&lt;&gt;""),(AC472-'Choix pédagogiques'!$C$4)/('Choix pédagogiques'!$C$5-'Choix pédagogiques'!$C$4),"")</f>
        <v/>
      </c>
      <c r="AY472" s="55" t="str">
        <f aca="false">IF(AND('Choix pédagogiques'!$C$4&lt;&gt;"?",'Choix pédagogiques'!$C$5&lt;&gt;"?",AD472&lt;&gt;""),(AD472-'Choix pédagogiques'!$C$4)/('Choix pédagogiques'!$C$5-'Choix pédagogiques'!$C$4),"")</f>
        <v/>
      </c>
      <c r="AZ472" s="53" t="str">
        <f aca="false">IF($J472&lt;&gt;"",$J472,"")</f>
        <v/>
      </c>
      <c r="BA472" s="52" t="str">
        <f aca="false">IF($A472&lt;&gt;"",$A472,"")</f>
        <v>Apprenant 460</v>
      </c>
      <c r="BB472" s="55" t="str">
        <f aca="false">IF(AND($AR472&lt;&gt;"",$AS472&lt;&gt;""),$AS472-$AR472,"")</f>
        <v/>
      </c>
      <c r="BC472" s="55" t="str">
        <f aca="false">IF(AND($AR472&lt;&gt;"",$AT472&lt;&gt;""),$AT472-$AR472,"")</f>
        <v/>
      </c>
      <c r="BD472" s="55" t="str">
        <f aca="false">IF(AND($AS472&lt;&gt;"",$AT472&lt;&gt;""),$AT472-$AS472,"")</f>
        <v/>
      </c>
      <c r="BE472" s="53" t="str">
        <f aca="false">IF($E472&lt;&gt;"",$E472,"")</f>
        <v/>
      </c>
      <c r="BF472" s="52" t="str">
        <f aca="false">IF($F472&lt;&gt;"",$F472,"")</f>
        <v>Apprenant 460 ou 460'</v>
      </c>
      <c r="BG472" s="55" t="str">
        <f aca="false">IF(AND($AW472&lt;&gt;"",$AX472&lt;&gt;""),$AX472-$AW472,"")</f>
        <v/>
      </c>
      <c r="BH472" s="55" t="str">
        <f aca="false">IF(AND($AW472&lt;&gt;"",$AY472&lt;&gt;""),$AY472-$AW472,"")</f>
        <v/>
      </c>
      <c r="BI472" s="55" t="str">
        <f aca="false">IF(AND($AX472&lt;&gt;"",$AY472&lt;&gt;""),$AY472-$AX472,"")</f>
        <v/>
      </c>
      <c r="BJ472" s="53" t="str">
        <f aca="false">IF($J472&lt;&gt;"",$J472,"")</f>
        <v/>
      </c>
      <c r="BL472" s="52"/>
      <c r="BM472" s="52" t="str">
        <f aca="false">IF(OR(COUNT(B472:D1471)=0,AND('Choix pédagogiques'!$C$3&lt;&gt;1,'Choix pédagogiques'!$C$3&lt;&gt;2)),"",IF(AND(OR('Choix pédagogiques'!$C$3=1,'Choix pédagogiques'!$C$3=2),$B472&lt;&gt;"",$C472&lt;&gt;"",$D472&lt;&gt;""),1,0))</f>
        <v/>
      </c>
      <c r="BN472" s="52" t="str">
        <f aca="false">IF(OR(COUNT(G472:I1471)=0,AND('Choix pédagogiques'!$C$3&lt;&gt;1,'Choix pédagogiques'!$C$3&lt;&gt;2)),"",IF(AND(OR('Choix pédagogiques'!$C$3=1,'Choix pédagogiques'!$C$3=2),AND($G472&lt;&gt;"",$H472&lt;&gt;"",$I472&lt;&gt;"")),1,0))</f>
        <v/>
      </c>
      <c r="BO472" s="52" t="str">
        <f aca="false">IF(OR(COUNT(B472:D1471)=0,COUNT(G472:I1471)=0,'Choix pédagogiques'!C$3&lt;&gt;3),"",IF(AND('Choix pédagogiques'!$C$3=3,$B472&lt;&gt;"",$C472&lt;&gt;"",$D472&lt;&gt;"",$G472&lt;&gt;"",$H472&lt;&gt;"",$I472&lt;&gt;""),1,0))</f>
        <v/>
      </c>
      <c r="BR472" s="52" t="n">
        <v>764</v>
      </c>
      <c r="BS472" s="52" t="n">
        <v>1163</v>
      </c>
    </row>
    <row r="473" s="54" customFormat="true" ht="18" hidden="false" customHeight="true" outlineLevel="0" collapsed="false">
      <c r="A473" s="57" t="s">
        <v>877</v>
      </c>
      <c r="B473" s="51"/>
      <c r="C473" s="51"/>
      <c r="D473" s="51"/>
      <c r="E473" s="51"/>
      <c r="F473" s="57" t="s">
        <v>878</v>
      </c>
      <c r="G473" s="51"/>
      <c r="H473" s="51"/>
      <c r="I473" s="51"/>
      <c r="J473" s="51"/>
      <c r="K473" s="52" t="str">
        <f aca="false">IF($A473&lt;&gt;"",$A473,"")</f>
        <v>Apprenant 461</v>
      </c>
      <c r="L473" s="53" t="str">
        <f aca="false">IF(AND($B473&lt;&gt;"",$C473&lt;&gt;""),$C473-$B473,"")</f>
        <v/>
      </c>
      <c r="M473" s="53" t="str">
        <f aca="false">IF(AND($B473&lt;&gt;"",$D473&lt;&gt;""),$D473-$B473,"")</f>
        <v/>
      </c>
      <c r="N473" s="53" t="str">
        <f aca="false">IF(AND($C473&lt;&gt;"",$D473&lt;&gt;""),$D473-$C473,"")</f>
        <v/>
      </c>
      <c r="O473" s="53" t="str">
        <f aca="false">IF($E473&lt;&gt;"",$E473,"")</f>
        <v/>
      </c>
      <c r="P473" s="52" t="str">
        <f aca="false">IF($F473&lt;&gt;"",$F473,"")</f>
        <v>Apprenant 461 ou 461'</v>
      </c>
      <c r="Q473" s="53" t="str">
        <f aca="false">IF(AND($G473&lt;&gt;"",$H473&lt;&gt;""),$H473-$G473,"")</f>
        <v/>
      </c>
      <c r="R473" s="53" t="str">
        <f aca="false">IF(AND($G473&lt;&gt;"",$I473&lt;&gt;""),$I473-$G473,"")</f>
        <v/>
      </c>
      <c r="S473" s="53" t="str">
        <f aca="false">IF(AND($H473&lt;&gt;"",$I473&lt;&gt;""),$I473-$H473,"")</f>
        <v/>
      </c>
      <c r="T473" s="53" t="str">
        <f aca="false">IF($J473&lt;&gt;"",$J473,"")</f>
        <v/>
      </c>
      <c r="V473" s="52" t="str">
        <f aca="false">IF($A473&lt;&gt;"",$A473,"")</f>
        <v>Apprenant 461</v>
      </c>
      <c r="W473" s="53" t="str">
        <f aca="false">IF(AND(OR('Choix pédagogiques'!$C$3=1,'Choix pédagogiques'!$C$3=2),$BM473=1),B473,IF(AND('Choix pédagogiques'!$C$3=3,$BO473=1),B473,""))</f>
        <v/>
      </c>
      <c r="X473" s="53" t="str">
        <f aca="false">IF(AND(OR('Choix pédagogiques'!$C$3=1,'Choix pédagogiques'!$C$3=2),$BM473=1),C473,IF(AND('Choix pédagogiques'!$C$3=3,$BO473=1),C473,""))</f>
        <v/>
      </c>
      <c r="Y473" s="53" t="str">
        <f aca="false">IF(AND(OR('Choix pédagogiques'!$C$3=1,'Choix pédagogiques'!$C$3=2),$BM473=1),D473,IF(AND('Choix pédagogiques'!$C$3=3,$BO473=1),D473,""))</f>
        <v/>
      </c>
      <c r="Z473" s="53" t="str">
        <f aca="false">IF($E473&lt;&gt;"",$E473,"")</f>
        <v/>
      </c>
      <c r="AA473" s="52" t="str">
        <f aca="false">IF($F473&lt;&gt;"",$F473,"")</f>
        <v>Apprenant 461 ou 461'</v>
      </c>
      <c r="AB473" s="53" t="str">
        <f aca="false">IF(AND(OR('Choix pédagogiques'!$C$3=1,'Choix pédagogiques'!$C$3=2),$BN473=1),G473,IF(AND('Choix pédagogiques'!$C$3=3,$BO473=1),G473,""))</f>
        <v/>
      </c>
      <c r="AC473" s="53" t="str">
        <f aca="false">IF(AND(OR('Choix pédagogiques'!$C$3=1,'Choix pédagogiques'!$C$3=2),$BN473=1),H473,IF(AND('Choix pédagogiques'!$C$3=3,$BO473=1),H473,""))</f>
        <v/>
      </c>
      <c r="AD473" s="53" t="str">
        <f aca="false">IF(AND(OR('Choix pédagogiques'!$C$3=1,'Choix pédagogiques'!$C$3=2),$BN473=1),I473,IF(AND('Choix pédagogiques'!$C$3=3,$BO473=1),I473,""))</f>
        <v/>
      </c>
      <c r="AE473" s="53" t="str">
        <f aca="false">IF($J473&lt;&gt;"",$J473,"")</f>
        <v/>
      </c>
      <c r="AF473" s="52" t="str">
        <f aca="false">IF($A473&lt;&gt;"",$A473,"")</f>
        <v>Apprenant 461</v>
      </c>
      <c r="AG473" s="53" t="str">
        <f aca="false">IF(AND($W473&lt;&gt;"",$X473&lt;&gt;""),$X473-$W473,"")</f>
        <v/>
      </c>
      <c r="AH473" s="53" t="str">
        <f aca="false">IF(AND($W473&lt;&gt;"",$Y473&lt;&gt;""),$Y473-$W473,"")</f>
        <v/>
      </c>
      <c r="AI473" s="53" t="str">
        <f aca="false">IF(AND($X473&lt;&gt;"",$Y473&lt;&gt;""),$Y473-$X473,"")</f>
        <v/>
      </c>
      <c r="AJ473" s="53" t="str">
        <f aca="false">IF($E473&lt;&gt;"",$E473,"")</f>
        <v/>
      </c>
      <c r="AK473" s="52" t="str">
        <f aca="false">IF($F473&lt;&gt;"",$F473,"")</f>
        <v>Apprenant 461 ou 461'</v>
      </c>
      <c r="AL473" s="53" t="str">
        <f aca="false">IF(AND($AB473&lt;&gt;"",$AC473&lt;&gt;""),$AC473-$AB473,"")</f>
        <v/>
      </c>
      <c r="AM473" s="53" t="str">
        <f aca="false">IF(AND($AB473&lt;&gt;"",$AD473&lt;&gt;""),$AD473-$AB473,"")</f>
        <v/>
      </c>
      <c r="AN473" s="53" t="str">
        <f aca="false">IF(AND($AC473&lt;&gt;"",$AD473&lt;&gt;""),$AD473-$AC473,"")</f>
        <v/>
      </c>
      <c r="AO473" s="53" t="str">
        <f aca="false">IF($J473&lt;&gt;"",$J473,"")</f>
        <v/>
      </c>
      <c r="AQ473" s="52" t="str">
        <f aca="false">IF($A473&lt;&gt;"",$A473,"")</f>
        <v>Apprenant 461</v>
      </c>
      <c r="AR473" s="55" t="str">
        <f aca="false">IF(AND('Choix pédagogiques'!$C$4&lt;&gt;"?",'Choix pédagogiques'!$C$5&lt;&gt;"?",W473&lt;&gt;""),(W473-'Choix pédagogiques'!$C$4)/('Choix pédagogiques'!$C$5-'Choix pédagogiques'!$C$4),"")</f>
        <v/>
      </c>
      <c r="AS473" s="55" t="str">
        <f aca="false">IF(AND('Choix pédagogiques'!$C$4&lt;&gt;"?",'Choix pédagogiques'!$C$5&lt;&gt;"?",X473&lt;&gt;""),(X473-'Choix pédagogiques'!$C$4)/('Choix pédagogiques'!$C$5-'Choix pédagogiques'!$C$4),"")</f>
        <v/>
      </c>
      <c r="AT473" s="55" t="str">
        <f aca="false">IF(AND('Choix pédagogiques'!$C$4&lt;&gt;"?",'Choix pédagogiques'!$C$5&lt;&gt;"?",Y473&lt;&gt;""),(Y473-'Choix pédagogiques'!$C$4)/('Choix pédagogiques'!$C$5-'Choix pédagogiques'!$C$4),"")</f>
        <v/>
      </c>
      <c r="AU473" s="53" t="str">
        <f aca="false">IF($E473&lt;&gt;"",$E473,"")</f>
        <v/>
      </c>
      <c r="AV473" s="52" t="str">
        <f aca="false">IF($F473&lt;&gt;"",$F473,"")</f>
        <v>Apprenant 461 ou 461'</v>
      </c>
      <c r="AW473" s="55" t="str">
        <f aca="false">IF(AND('Choix pédagogiques'!$C$4&lt;&gt;"?",'Choix pédagogiques'!$C$5&lt;&gt;"?",AB473&lt;&gt;""),(AB473-'Choix pédagogiques'!$C$4)/('Choix pédagogiques'!$C$5-'Choix pédagogiques'!$C$4),"")</f>
        <v/>
      </c>
      <c r="AX473" s="55" t="str">
        <f aca="false">IF(AND('Choix pédagogiques'!$C$4&lt;&gt;"?",'Choix pédagogiques'!$C$5&lt;&gt;"?",AC473&lt;&gt;""),(AC473-'Choix pédagogiques'!$C$4)/('Choix pédagogiques'!$C$5-'Choix pédagogiques'!$C$4),"")</f>
        <v/>
      </c>
      <c r="AY473" s="55" t="str">
        <f aca="false">IF(AND('Choix pédagogiques'!$C$4&lt;&gt;"?",'Choix pédagogiques'!$C$5&lt;&gt;"?",AD473&lt;&gt;""),(AD473-'Choix pédagogiques'!$C$4)/('Choix pédagogiques'!$C$5-'Choix pédagogiques'!$C$4),"")</f>
        <v/>
      </c>
      <c r="AZ473" s="53" t="str">
        <f aca="false">IF($J473&lt;&gt;"",$J473,"")</f>
        <v/>
      </c>
      <c r="BA473" s="52" t="str">
        <f aca="false">IF($A473&lt;&gt;"",$A473,"")</f>
        <v>Apprenant 461</v>
      </c>
      <c r="BB473" s="55" t="str">
        <f aca="false">IF(AND($AR473&lt;&gt;"",$AS473&lt;&gt;""),$AS473-$AR473,"")</f>
        <v/>
      </c>
      <c r="BC473" s="55" t="str">
        <f aca="false">IF(AND($AR473&lt;&gt;"",$AT473&lt;&gt;""),$AT473-$AR473,"")</f>
        <v/>
      </c>
      <c r="BD473" s="55" t="str">
        <f aca="false">IF(AND($AS473&lt;&gt;"",$AT473&lt;&gt;""),$AT473-$AS473,"")</f>
        <v/>
      </c>
      <c r="BE473" s="53" t="str">
        <f aca="false">IF($E473&lt;&gt;"",$E473,"")</f>
        <v/>
      </c>
      <c r="BF473" s="52" t="str">
        <f aca="false">IF($F473&lt;&gt;"",$F473,"")</f>
        <v>Apprenant 461 ou 461'</v>
      </c>
      <c r="BG473" s="55" t="str">
        <f aca="false">IF(AND($AW473&lt;&gt;"",$AX473&lt;&gt;""),$AX473-$AW473,"")</f>
        <v/>
      </c>
      <c r="BH473" s="55" t="str">
        <f aca="false">IF(AND($AW473&lt;&gt;"",$AY473&lt;&gt;""),$AY473-$AW473,"")</f>
        <v/>
      </c>
      <c r="BI473" s="55" t="str">
        <f aca="false">IF(AND($AX473&lt;&gt;"",$AY473&lt;&gt;""),$AY473-$AX473,"")</f>
        <v/>
      </c>
      <c r="BJ473" s="53" t="str">
        <f aca="false">IF($J473&lt;&gt;"",$J473,"")</f>
        <v/>
      </c>
      <c r="BL473" s="52"/>
      <c r="BM473" s="52" t="str">
        <f aca="false">IF(OR(COUNT(B473:D1472)=0,AND('Choix pédagogiques'!$C$3&lt;&gt;1,'Choix pédagogiques'!$C$3&lt;&gt;2)),"",IF(AND(OR('Choix pédagogiques'!$C$3=1,'Choix pédagogiques'!$C$3=2),$B473&lt;&gt;"",$C473&lt;&gt;"",$D473&lt;&gt;""),1,0))</f>
        <v/>
      </c>
      <c r="BN473" s="52" t="str">
        <f aca="false">IF(OR(COUNT(G473:I1472)=0,AND('Choix pédagogiques'!$C$3&lt;&gt;1,'Choix pédagogiques'!$C$3&lt;&gt;2)),"",IF(AND(OR('Choix pédagogiques'!$C$3=1,'Choix pédagogiques'!$C$3=2),AND($G473&lt;&gt;"",$H473&lt;&gt;"",$I473&lt;&gt;"")),1,0))</f>
        <v/>
      </c>
      <c r="BO473" s="52" t="str">
        <f aca="false">IF(OR(COUNT(B473:D1472)=0,COUNT(G473:I1472)=0,'Choix pédagogiques'!C$3&lt;&gt;3),"",IF(AND('Choix pédagogiques'!$C$3=3,$B473&lt;&gt;"",$C473&lt;&gt;"",$D473&lt;&gt;"",$G473&lt;&gt;"",$H473&lt;&gt;"",$I473&lt;&gt;""),1,0))</f>
        <v/>
      </c>
      <c r="BR473" s="52" t="n">
        <v>625</v>
      </c>
      <c r="BS473" s="52" t="n">
        <v>1780</v>
      </c>
    </row>
    <row r="474" s="54" customFormat="true" ht="18" hidden="false" customHeight="true" outlineLevel="0" collapsed="false">
      <c r="A474" s="57" t="s">
        <v>879</v>
      </c>
      <c r="B474" s="51"/>
      <c r="C474" s="51"/>
      <c r="D474" s="51"/>
      <c r="E474" s="51"/>
      <c r="F474" s="57" t="s">
        <v>880</v>
      </c>
      <c r="G474" s="51"/>
      <c r="H474" s="51"/>
      <c r="I474" s="51"/>
      <c r="J474" s="51"/>
      <c r="K474" s="52" t="str">
        <f aca="false">IF($A474&lt;&gt;"",$A474,"")</f>
        <v>Apprenant 462</v>
      </c>
      <c r="L474" s="53" t="str">
        <f aca="false">IF(AND($B474&lt;&gt;"",$C474&lt;&gt;""),$C474-$B474,"")</f>
        <v/>
      </c>
      <c r="M474" s="53" t="str">
        <f aca="false">IF(AND($B474&lt;&gt;"",$D474&lt;&gt;""),$D474-$B474,"")</f>
        <v/>
      </c>
      <c r="N474" s="53" t="str">
        <f aca="false">IF(AND($C474&lt;&gt;"",$D474&lt;&gt;""),$D474-$C474,"")</f>
        <v/>
      </c>
      <c r="O474" s="53" t="str">
        <f aca="false">IF($E474&lt;&gt;"",$E474,"")</f>
        <v/>
      </c>
      <c r="P474" s="52" t="str">
        <f aca="false">IF($F474&lt;&gt;"",$F474,"")</f>
        <v>Apprenant 462 ou 462'</v>
      </c>
      <c r="Q474" s="53" t="str">
        <f aca="false">IF(AND($G474&lt;&gt;"",$H474&lt;&gt;""),$H474-$G474,"")</f>
        <v/>
      </c>
      <c r="R474" s="53" t="str">
        <f aca="false">IF(AND($G474&lt;&gt;"",$I474&lt;&gt;""),$I474-$G474,"")</f>
        <v/>
      </c>
      <c r="S474" s="53" t="str">
        <f aca="false">IF(AND($H474&lt;&gt;"",$I474&lt;&gt;""),$I474-$H474,"")</f>
        <v/>
      </c>
      <c r="T474" s="53" t="str">
        <f aca="false">IF($J474&lt;&gt;"",$J474,"")</f>
        <v/>
      </c>
      <c r="V474" s="52" t="str">
        <f aca="false">IF($A474&lt;&gt;"",$A474,"")</f>
        <v>Apprenant 462</v>
      </c>
      <c r="W474" s="53" t="str">
        <f aca="false">IF(AND(OR('Choix pédagogiques'!$C$3=1,'Choix pédagogiques'!$C$3=2),$BM474=1),B474,IF(AND('Choix pédagogiques'!$C$3=3,$BO474=1),B474,""))</f>
        <v/>
      </c>
      <c r="X474" s="53" t="str">
        <f aca="false">IF(AND(OR('Choix pédagogiques'!$C$3=1,'Choix pédagogiques'!$C$3=2),$BM474=1),C474,IF(AND('Choix pédagogiques'!$C$3=3,$BO474=1),C474,""))</f>
        <v/>
      </c>
      <c r="Y474" s="53" t="str">
        <f aca="false">IF(AND(OR('Choix pédagogiques'!$C$3=1,'Choix pédagogiques'!$C$3=2),$BM474=1),D474,IF(AND('Choix pédagogiques'!$C$3=3,$BO474=1),D474,""))</f>
        <v/>
      </c>
      <c r="Z474" s="53" t="str">
        <f aca="false">IF($E474&lt;&gt;"",$E474,"")</f>
        <v/>
      </c>
      <c r="AA474" s="52" t="str">
        <f aca="false">IF($F474&lt;&gt;"",$F474,"")</f>
        <v>Apprenant 462 ou 462'</v>
      </c>
      <c r="AB474" s="53" t="str">
        <f aca="false">IF(AND(OR('Choix pédagogiques'!$C$3=1,'Choix pédagogiques'!$C$3=2),$BN474=1),G474,IF(AND('Choix pédagogiques'!$C$3=3,$BO474=1),G474,""))</f>
        <v/>
      </c>
      <c r="AC474" s="53" t="str">
        <f aca="false">IF(AND(OR('Choix pédagogiques'!$C$3=1,'Choix pédagogiques'!$C$3=2),$BN474=1),H474,IF(AND('Choix pédagogiques'!$C$3=3,$BO474=1),H474,""))</f>
        <v/>
      </c>
      <c r="AD474" s="53" t="str">
        <f aca="false">IF(AND(OR('Choix pédagogiques'!$C$3=1,'Choix pédagogiques'!$C$3=2),$BN474=1),I474,IF(AND('Choix pédagogiques'!$C$3=3,$BO474=1),I474,""))</f>
        <v/>
      </c>
      <c r="AE474" s="53" t="str">
        <f aca="false">IF($J474&lt;&gt;"",$J474,"")</f>
        <v/>
      </c>
      <c r="AF474" s="52" t="str">
        <f aca="false">IF($A474&lt;&gt;"",$A474,"")</f>
        <v>Apprenant 462</v>
      </c>
      <c r="AG474" s="53" t="str">
        <f aca="false">IF(AND($W474&lt;&gt;"",$X474&lt;&gt;""),$X474-$W474,"")</f>
        <v/>
      </c>
      <c r="AH474" s="53" t="str">
        <f aca="false">IF(AND($W474&lt;&gt;"",$Y474&lt;&gt;""),$Y474-$W474,"")</f>
        <v/>
      </c>
      <c r="AI474" s="53" t="str">
        <f aca="false">IF(AND($X474&lt;&gt;"",$Y474&lt;&gt;""),$Y474-$X474,"")</f>
        <v/>
      </c>
      <c r="AJ474" s="53" t="str">
        <f aca="false">IF($E474&lt;&gt;"",$E474,"")</f>
        <v/>
      </c>
      <c r="AK474" s="52" t="str">
        <f aca="false">IF($F474&lt;&gt;"",$F474,"")</f>
        <v>Apprenant 462 ou 462'</v>
      </c>
      <c r="AL474" s="53" t="str">
        <f aca="false">IF(AND($AB474&lt;&gt;"",$AC474&lt;&gt;""),$AC474-$AB474,"")</f>
        <v/>
      </c>
      <c r="AM474" s="53" t="str">
        <f aca="false">IF(AND($AB474&lt;&gt;"",$AD474&lt;&gt;""),$AD474-$AB474,"")</f>
        <v/>
      </c>
      <c r="AN474" s="53" t="str">
        <f aca="false">IF(AND($AC474&lt;&gt;"",$AD474&lt;&gt;""),$AD474-$AC474,"")</f>
        <v/>
      </c>
      <c r="AO474" s="53" t="str">
        <f aca="false">IF($J474&lt;&gt;"",$J474,"")</f>
        <v/>
      </c>
      <c r="AQ474" s="52" t="str">
        <f aca="false">IF($A474&lt;&gt;"",$A474,"")</f>
        <v>Apprenant 462</v>
      </c>
      <c r="AR474" s="55" t="str">
        <f aca="false">IF(AND('Choix pédagogiques'!$C$4&lt;&gt;"?",'Choix pédagogiques'!$C$5&lt;&gt;"?",W474&lt;&gt;""),(W474-'Choix pédagogiques'!$C$4)/('Choix pédagogiques'!$C$5-'Choix pédagogiques'!$C$4),"")</f>
        <v/>
      </c>
      <c r="AS474" s="55" t="str">
        <f aca="false">IF(AND('Choix pédagogiques'!$C$4&lt;&gt;"?",'Choix pédagogiques'!$C$5&lt;&gt;"?",X474&lt;&gt;""),(X474-'Choix pédagogiques'!$C$4)/('Choix pédagogiques'!$C$5-'Choix pédagogiques'!$C$4),"")</f>
        <v/>
      </c>
      <c r="AT474" s="55" t="str">
        <f aca="false">IF(AND('Choix pédagogiques'!$C$4&lt;&gt;"?",'Choix pédagogiques'!$C$5&lt;&gt;"?",Y474&lt;&gt;""),(Y474-'Choix pédagogiques'!$C$4)/('Choix pédagogiques'!$C$5-'Choix pédagogiques'!$C$4),"")</f>
        <v/>
      </c>
      <c r="AU474" s="53" t="str">
        <f aca="false">IF($E474&lt;&gt;"",$E474,"")</f>
        <v/>
      </c>
      <c r="AV474" s="52" t="str">
        <f aca="false">IF($F474&lt;&gt;"",$F474,"")</f>
        <v>Apprenant 462 ou 462'</v>
      </c>
      <c r="AW474" s="55" t="str">
        <f aca="false">IF(AND('Choix pédagogiques'!$C$4&lt;&gt;"?",'Choix pédagogiques'!$C$5&lt;&gt;"?",AB474&lt;&gt;""),(AB474-'Choix pédagogiques'!$C$4)/('Choix pédagogiques'!$C$5-'Choix pédagogiques'!$C$4),"")</f>
        <v/>
      </c>
      <c r="AX474" s="55" t="str">
        <f aca="false">IF(AND('Choix pédagogiques'!$C$4&lt;&gt;"?",'Choix pédagogiques'!$C$5&lt;&gt;"?",AC474&lt;&gt;""),(AC474-'Choix pédagogiques'!$C$4)/('Choix pédagogiques'!$C$5-'Choix pédagogiques'!$C$4),"")</f>
        <v/>
      </c>
      <c r="AY474" s="55" t="str">
        <f aca="false">IF(AND('Choix pédagogiques'!$C$4&lt;&gt;"?",'Choix pédagogiques'!$C$5&lt;&gt;"?",AD474&lt;&gt;""),(AD474-'Choix pédagogiques'!$C$4)/('Choix pédagogiques'!$C$5-'Choix pédagogiques'!$C$4),"")</f>
        <v/>
      </c>
      <c r="AZ474" s="53" t="str">
        <f aca="false">IF($J474&lt;&gt;"",$J474,"")</f>
        <v/>
      </c>
      <c r="BA474" s="52" t="str">
        <f aca="false">IF($A474&lt;&gt;"",$A474,"")</f>
        <v>Apprenant 462</v>
      </c>
      <c r="BB474" s="55" t="str">
        <f aca="false">IF(AND($AR474&lt;&gt;"",$AS474&lt;&gt;""),$AS474-$AR474,"")</f>
        <v/>
      </c>
      <c r="BC474" s="55" t="str">
        <f aca="false">IF(AND($AR474&lt;&gt;"",$AT474&lt;&gt;""),$AT474-$AR474,"")</f>
        <v/>
      </c>
      <c r="BD474" s="55" t="str">
        <f aca="false">IF(AND($AS474&lt;&gt;"",$AT474&lt;&gt;""),$AT474-$AS474,"")</f>
        <v/>
      </c>
      <c r="BE474" s="53" t="str">
        <f aca="false">IF($E474&lt;&gt;"",$E474,"")</f>
        <v/>
      </c>
      <c r="BF474" s="52" t="str">
        <f aca="false">IF($F474&lt;&gt;"",$F474,"")</f>
        <v>Apprenant 462 ou 462'</v>
      </c>
      <c r="BG474" s="55" t="str">
        <f aca="false">IF(AND($AW474&lt;&gt;"",$AX474&lt;&gt;""),$AX474-$AW474,"")</f>
        <v/>
      </c>
      <c r="BH474" s="55" t="str">
        <f aca="false">IF(AND($AW474&lt;&gt;"",$AY474&lt;&gt;""),$AY474-$AW474,"")</f>
        <v/>
      </c>
      <c r="BI474" s="55" t="str">
        <f aca="false">IF(AND($AX474&lt;&gt;"",$AY474&lt;&gt;""),$AY474-$AX474,"")</f>
        <v/>
      </c>
      <c r="BJ474" s="53" t="str">
        <f aca="false">IF($J474&lt;&gt;"",$J474,"")</f>
        <v/>
      </c>
      <c r="BL474" s="52"/>
      <c r="BM474" s="52" t="str">
        <f aca="false">IF(OR(COUNT(B474:D1473)=0,AND('Choix pédagogiques'!$C$3&lt;&gt;1,'Choix pédagogiques'!$C$3&lt;&gt;2)),"",IF(AND(OR('Choix pédagogiques'!$C$3=1,'Choix pédagogiques'!$C$3=2),$B474&lt;&gt;"",$C474&lt;&gt;"",$D474&lt;&gt;""),1,0))</f>
        <v/>
      </c>
      <c r="BN474" s="52" t="str">
        <f aca="false">IF(OR(COUNT(G474:I1473)=0,AND('Choix pédagogiques'!$C$3&lt;&gt;1,'Choix pédagogiques'!$C$3&lt;&gt;2)),"",IF(AND(OR('Choix pédagogiques'!$C$3=1,'Choix pédagogiques'!$C$3=2),AND($G474&lt;&gt;"",$H474&lt;&gt;"",$I474&lt;&gt;"")),1,0))</f>
        <v/>
      </c>
      <c r="BO474" s="52" t="str">
        <f aca="false">IF(OR(COUNT(B474:D1473)=0,COUNT(G474:I1473)=0,'Choix pédagogiques'!C$3&lt;&gt;3),"",IF(AND('Choix pédagogiques'!$C$3=3,$B474&lt;&gt;"",$C474&lt;&gt;"",$D474&lt;&gt;"",$G474&lt;&gt;"",$H474&lt;&gt;"",$I474&lt;&gt;""),1,0))</f>
        <v/>
      </c>
      <c r="BR474" s="52" t="n">
        <v>725</v>
      </c>
      <c r="BS474" s="52" t="n">
        <v>1955</v>
      </c>
    </row>
    <row r="475" s="54" customFormat="true" ht="18" hidden="false" customHeight="true" outlineLevel="0" collapsed="false">
      <c r="A475" s="57" t="s">
        <v>881</v>
      </c>
      <c r="B475" s="51"/>
      <c r="C475" s="51"/>
      <c r="D475" s="51"/>
      <c r="E475" s="51"/>
      <c r="F475" s="57" t="s">
        <v>882</v>
      </c>
      <c r="G475" s="51"/>
      <c r="H475" s="51"/>
      <c r="I475" s="51"/>
      <c r="J475" s="51"/>
      <c r="K475" s="52" t="str">
        <f aca="false">IF($A475&lt;&gt;"",$A475,"")</f>
        <v>Apprenant 463</v>
      </c>
      <c r="L475" s="53" t="str">
        <f aca="false">IF(AND($B475&lt;&gt;"",$C475&lt;&gt;""),$C475-$B475,"")</f>
        <v/>
      </c>
      <c r="M475" s="53" t="str">
        <f aca="false">IF(AND($B475&lt;&gt;"",$D475&lt;&gt;""),$D475-$B475,"")</f>
        <v/>
      </c>
      <c r="N475" s="53" t="str">
        <f aca="false">IF(AND($C475&lt;&gt;"",$D475&lt;&gt;""),$D475-$C475,"")</f>
        <v/>
      </c>
      <c r="O475" s="53" t="str">
        <f aca="false">IF($E475&lt;&gt;"",$E475,"")</f>
        <v/>
      </c>
      <c r="P475" s="52" t="str">
        <f aca="false">IF($F475&lt;&gt;"",$F475,"")</f>
        <v>Apprenant 463 ou 463'</v>
      </c>
      <c r="Q475" s="53" t="str">
        <f aca="false">IF(AND($G475&lt;&gt;"",$H475&lt;&gt;""),$H475-$G475,"")</f>
        <v/>
      </c>
      <c r="R475" s="53" t="str">
        <f aca="false">IF(AND($G475&lt;&gt;"",$I475&lt;&gt;""),$I475-$G475,"")</f>
        <v/>
      </c>
      <c r="S475" s="53" t="str">
        <f aca="false">IF(AND($H475&lt;&gt;"",$I475&lt;&gt;""),$I475-$H475,"")</f>
        <v/>
      </c>
      <c r="T475" s="53" t="str">
        <f aca="false">IF($J475&lt;&gt;"",$J475,"")</f>
        <v/>
      </c>
      <c r="V475" s="52" t="str">
        <f aca="false">IF($A475&lt;&gt;"",$A475,"")</f>
        <v>Apprenant 463</v>
      </c>
      <c r="W475" s="53" t="str">
        <f aca="false">IF(AND(OR('Choix pédagogiques'!$C$3=1,'Choix pédagogiques'!$C$3=2),$BM475=1),B475,IF(AND('Choix pédagogiques'!$C$3=3,$BO475=1),B475,""))</f>
        <v/>
      </c>
      <c r="X475" s="53" t="str">
        <f aca="false">IF(AND(OR('Choix pédagogiques'!$C$3=1,'Choix pédagogiques'!$C$3=2),$BM475=1),C475,IF(AND('Choix pédagogiques'!$C$3=3,$BO475=1),C475,""))</f>
        <v/>
      </c>
      <c r="Y475" s="53" t="str">
        <f aca="false">IF(AND(OR('Choix pédagogiques'!$C$3=1,'Choix pédagogiques'!$C$3=2),$BM475=1),D475,IF(AND('Choix pédagogiques'!$C$3=3,$BO475=1),D475,""))</f>
        <v/>
      </c>
      <c r="Z475" s="53" t="str">
        <f aca="false">IF($E475&lt;&gt;"",$E475,"")</f>
        <v/>
      </c>
      <c r="AA475" s="52" t="str">
        <f aca="false">IF($F475&lt;&gt;"",$F475,"")</f>
        <v>Apprenant 463 ou 463'</v>
      </c>
      <c r="AB475" s="53" t="str">
        <f aca="false">IF(AND(OR('Choix pédagogiques'!$C$3=1,'Choix pédagogiques'!$C$3=2),$BN475=1),G475,IF(AND('Choix pédagogiques'!$C$3=3,$BO475=1),G475,""))</f>
        <v/>
      </c>
      <c r="AC475" s="53" t="str">
        <f aca="false">IF(AND(OR('Choix pédagogiques'!$C$3=1,'Choix pédagogiques'!$C$3=2),$BN475=1),H475,IF(AND('Choix pédagogiques'!$C$3=3,$BO475=1),H475,""))</f>
        <v/>
      </c>
      <c r="AD475" s="53" t="str">
        <f aca="false">IF(AND(OR('Choix pédagogiques'!$C$3=1,'Choix pédagogiques'!$C$3=2),$BN475=1),I475,IF(AND('Choix pédagogiques'!$C$3=3,$BO475=1),I475,""))</f>
        <v/>
      </c>
      <c r="AE475" s="53" t="str">
        <f aca="false">IF($J475&lt;&gt;"",$J475,"")</f>
        <v/>
      </c>
      <c r="AF475" s="52" t="str">
        <f aca="false">IF($A475&lt;&gt;"",$A475,"")</f>
        <v>Apprenant 463</v>
      </c>
      <c r="AG475" s="53" t="str">
        <f aca="false">IF(AND($W475&lt;&gt;"",$X475&lt;&gt;""),$X475-$W475,"")</f>
        <v/>
      </c>
      <c r="AH475" s="53" t="str">
        <f aca="false">IF(AND($W475&lt;&gt;"",$Y475&lt;&gt;""),$Y475-$W475,"")</f>
        <v/>
      </c>
      <c r="AI475" s="53" t="str">
        <f aca="false">IF(AND($X475&lt;&gt;"",$Y475&lt;&gt;""),$Y475-$X475,"")</f>
        <v/>
      </c>
      <c r="AJ475" s="53" t="str">
        <f aca="false">IF($E475&lt;&gt;"",$E475,"")</f>
        <v/>
      </c>
      <c r="AK475" s="52" t="str">
        <f aca="false">IF($F475&lt;&gt;"",$F475,"")</f>
        <v>Apprenant 463 ou 463'</v>
      </c>
      <c r="AL475" s="53" t="str">
        <f aca="false">IF(AND($AB475&lt;&gt;"",$AC475&lt;&gt;""),$AC475-$AB475,"")</f>
        <v/>
      </c>
      <c r="AM475" s="53" t="str">
        <f aca="false">IF(AND($AB475&lt;&gt;"",$AD475&lt;&gt;""),$AD475-$AB475,"")</f>
        <v/>
      </c>
      <c r="AN475" s="53" t="str">
        <f aca="false">IF(AND($AC475&lt;&gt;"",$AD475&lt;&gt;""),$AD475-$AC475,"")</f>
        <v/>
      </c>
      <c r="AO475" s="53" t="str">
        <f aca="false">IF($J475&lt;&gt;"",$J475,"")</f>
        <v/>
      </c>
      <c r="AQ475" s="52" t="str">
        <f aca="false">IF($A475&lt;&gt;"",$A475,"")</f>
        <v>Apprenant 463</v>
      </c>
      <c r="AR475" s="55" t="str">
        <f aca="false">IF(AND('Choix pédagogiques'!$C$4&lt;&gt;"?",'Choix pédagogiques'!$C$5&lt;&gt;"?",W475&lt;&gt;""),(W475-'Choix pédagogiques'!$C$4)/('Choix pédagogiques'!$C$5-'Choix pédagogiques'!$C$4),"")</f>
        <v/>
      </c>
      <c r="AS475" s="55" t="str">
        <f aca="false">IF(AND('Choix pédagogiques'!$C$4&lt;&gt;"?",'Choix pédagogiques'!$C$5&lt;&gt;"?",X475&lt;&gt;""),(X475-'Choix pédagogiques'!$C$4)/('Choix pédagogiques'!$C$5-'Choix pédagogiques'!$C$4),"")</f>
        <v/>
      </c>
      <c r="AT475" s="55" t="str">
        <f aca="false">IF(AND('Choix pédagogiques'!$C$4&lt;&gt;"?",'Choix pédagogiques'!$C$5&lt;&gt;"?",Y475&lt;&gt;""),(Y475-'Choix pédagogiques'!$C$4)/('Choix pédagogiques'!$C$5-'Choix pédagogiques'!$C$4),"")</f>
        <v/>
      </c>
      <c r="AU475" s="53" t="str">
        <f aca="false">IF($E475&lt;&gt;"",$E475,"")</f>
        <v/>
      </c>
      <c r="AV475" s="52" t="str">
        <f aca="false">IF($F475&lt;&gt;"",$F475,"")</f>
        <v>Apprenant 463 ou 463'</v>
      </c>
      <c r="AW475" s="55" t="str">
        <f aca="false">IF(AND('Choix pédagogiques'!$C$4&lt;&gt;"?",'Choix pédagogiques'!$C$5&lt;&gt;"?",AB475&lt;&gt;""),(AB475-'Choix pédagogiques'!$C$4)/('Choix pédagogiques'!$C$5-'Choix pédagogiques'!$C$4),"")</f>
        <v/>
      </c>
      <c r="AX475" s="55" t="str">
        <f aca="false">IF(AND('Choix pédagogiques'!$C$4&lt;&gt;"?",'Choix pédagogiques'!$C$5&lt;&gt;"?",AC475&lt;&gt;""),(AC475-'Choix pédagogiques'!$C$4)/('Choix pédagogiques'!$C$5-'Choix pédagogiques'!$C$4),"")</f>
        <v/>
      </c>
      <c r="AY475" s="55" t="str">
        <f aca="false">IF(AND('Choix pédagogiques'!$C$4&lt;&gt;"?",'Choix pédagogiques'!$C$5&lt;&gt;"?",AD475&lt;&gt;""),(AD475-'Choix pédagogiques'!$C$4)/('Choix pédagogiques'!$C$5-'Choix pédagogiques'!$C$4),"")</f>
        <v/>
      </c>
      <c r="AZ475" s="53" t="str">
        <f aca="false">IF($J475&lt;&gt;"",$J475,"")</f>
        <v/>
      </c>
      <c r="BA475" s="52" t="str">
        <f aca="false">IF($A475&lt;&gt;"",$A475,"")</f>
        <v>Apprenant 463</v>
      </c>
      <c r="BB475" s="55" t="str">
        <f aca="false">IF(AND($AR475&lt;&gt;"",$AS475&lt;&gt;""),$AS475-$AR475,"")</f>
        <v/>
      </c>
      <c r="BC475" s="55" t="str">
        <f aca="false">IF(AND($AR475&lt;&gt;"",$AT475&lt;&gt;""),$AT475-$AR475,"")</f>
        <v/>
      </c>
      <c r="BD475" s="55" t="str">
        <f aca="false">IF(AND($AS475&lt;&gt;"",$AT475&lt;&gt;""),$AT475-$AS475,"")</f>
        <v/>
      </c>
      <c r="BE475" s="53" t="str">
        <f aca="false">IF($E475&lt;&gt;"",$E475,"")</f>
        <v/>
      </c>
      <c r="BF475" s="52" t="str">
        <f aca="false">IF($F475&lt;&gt;"",$F475,"")</f>
        <v>Apprenant 463 ou 463'</v>
      </c>
      <c r="BG475" s="55" t="str">
        <f aca="false">IF(AND($AW475&lt;&gt;"",$AX475&lt;&gt;""),$AX475-$AW475,"")</f>
        <v/>
      </c>
      <c r="BH475" s="55" t="str">
        <f aca="false">IF(AND($AW475&lt;&gt;"",$AY475&lt;&gt;""),$AY475-$AW475,"")</f>
        <v/>
      </c>
      <c r="BI475" s="55" t="str">
        <f aca="false">IF(AND($AX475&lt;&gt;"",$AY475&lt;&gt;""),$AY475-$AX475,"")</f>
        <v/>
      </c>
      <c r="BJ475" s="53" t="str">
        <f aca="false">IF($J475&lt;&gt;"",$J475,"")</f>
        <v/>
      </c>
      <c r="BL475" s="52"/>
      <c r="BM475" s="52" t="str">
        <f aca="false">IF(OR(COUNT(B475:D1474)=0,AND('Choix pédagogiques'!$C$3&lt;&gt;1,'Choix pédagogiques'!$C$3&lt;&gt;2)),"",IF(AND(OR('Choix pédagogiques'!$C$3=1,'Choix pédagogiques'!$C$3=2),$B475&lt;&gt;"",$C475&lt;&gt;"",$D475&lt;&gt;""),1,0))</f>
        <v/>
      </c>
      <c r="BN475" s="52" t="str">
        <f aca="false">IF(OR(COUNT(G475:I1474)=0,AND('Choix pédagogiques'!$C$3&lt;&gt;1,'Choix pédagogiques'!$C$3&lt;&gt;2)),"",IF(AND(OR('Choix pédagogiques'!$C$3=1,'Choix pédagogiques'!$C$3=2),AND($G475&lt;&gt;"",$H475&lt;&gt;"",$I475&lt;&gt;"")),1,0))</f>
        <v/>
      </c>
      <c r="BO475" s="52" t="str">
        <f aca="false">IF(OR(COUNT(B475:D1474)=0,COUNT(G475:I1474)=0,'Choix pédagogiques'!C$3&lt;&gt;3),"",IF(AND('Choix pédagogiques'!$C$3=3,$B475&lt;&gt;"",$C475&lt;&gt;"",$D475&lt;&gt;"",$G475&lt;&gt;"",$H475&lt;&gt;"",$I475&lt;&gt;""),1,0))</f>
        <v/>
      </c>
      <c r="BR475" s="52" t="n">
        <v>917</v>
      </c>
      <c r="BS475" s="52" t="n">
        <v>1324</v>
      </c>
    </row>
    <row r="476" s="54" customFormat="true" ht="18" hidden="false" customHeight="true" outlineLevel="0" collapsed="false">
      <c r="A476" s="57" t="s">
        <v>883</v>
      </c>
      <c r="B476" s="51"/>
      <c r="C476" s="51"/>
      <c r="D476" s="51"/>
      <c r="E476" s="51"/>
      <c r="F476" s="57" t="s">
        <v>884</v>
      </c>
      <c r="G476" s="51"/>
      <c r="H476" s="51"/>
      <c r="I476" s="51"/>
      <c r="J476" s="51"/>
      <c r="K476" s="52" t="str">
        <f aca="false">IF($A476&lt;&gt;"",$A476,"")</f>
        <v>Apprenant 464</v>
      </c>
      <c r="L476" s="53" t="str">
        <f aca="false">IF(AND($B476&lt;&gt;"",$C476&lt;&gt;""),$C476-$B476,"")</f>
        <v/>
      </c>
      <c r="M476" s="53" t="str">
        <f aca="false">IF(AND($B476&lt;&gt;"",$D476&lt;&gt;""),$D476-$B476,"")</f>
        <v/>
      </c>
      <c r="N476" s="53" t="str">
        <f aca="false">IF(AND($C476&lt;&gt;"",$D476&lt;&gt;""),$D476-$C476,"")</f>
        <v/>
      </c>
      <c r="O476" s="53" t="str">
        <f aca="false">IF($E476&lt;&gt;"",$E476,"")</f>
        <v/>
      </c>
      <c r="P476" s="52" t="str">
        <f aca="false">IF($F476&lt;&gt;"",$F476,"")</f>
        <v>Apprenant 464 ou 464'</v>
      </c>
      <c r="Q476" s="53" t="str">
        <f aca="false">IF(AND($G476&lt;&gt;"",$H476&lt;&gt;""),$H476-$G476,"")</f>
        <v/>
      </c>
      <c r="R476" s="53" t="str">
        <f aca="false">IF(AND($G476&lt;&gt;"",$I476&lt;&gt;""),$I476-$G476,"")</f>
        <v/>
      </c>
      <c r="S476" s="53" t="str">
        <f aca="false">IF(AND($H476&lt;&gt;"",$I476&lt;&gt;""),$I476-$H476,"")</f>
        <v/>
      </c>
      <c r="T476" s="53" t="str">
        <f aca="false">IF($J476&lt;&gt;"",$J476,"")</f>
        <v/>
      </c>
      <c r="V476" s="52" t="str">
        <f aca="false">IF($A476&lt;&gt;"",$A476,"")</f>
        <v>Apprenant 464</v>
      </c>
      <c r="W476" s="53" t="str">
        <f aca="false">IF(AND(OR('Choix pédagogiques'!$C$3=1,'Choix pédagogiques'!$C$3=2),$BM476=1),B476,IF(AND('Choix pédagogiques'!$C$3=3,$BO476=1),B476,""))</f>
        <v/>
      </c>
      <c r="X476" s="53" t="str">
        <f aca="false">IF(AND(OR('Choix pédagogiques'!$C$3=1,'Choix pédagogiques'!$C$3=2),$BM476=1),C476,IF(AND('Choix pédagogiques'!$C$3=3,$BO476=1),C476,""))</f>
        <v/>
      </c>
      <c r="Y476" s="53" t="str">
        <f aca="false">IF(AND(OR('Choix pédagogiques'!$C$3=1,'Choix pédagogiques'!$C$3=2),$BM476=1),D476,IF(AND('Choix pédagogiques'!$C$3=3,$BO476=1),D476,""))</f>
        <v/>
      </c>
      <c r="Z476" s="53" t="str">
        <f aca="false">IF($E476&lt;&gt;"",$E476,"")</f>
        <v/>
      </c>
      <c r="AA476" s="52" t="str">
        <f aca="false">IF($F476&lt;&gt;"",$F476,"")</f>
        <v>Apprenant 464 ou 464'</v>
      </c>
      <c r="AB476" s="53" t="str">
        <f aca="false">IF(AND(OR('Choix pédagogiques'!$C$3=1,'Choix pédagogiques'!$C$3=2),$BN476=1),G476,IF(AND('Choix pédagogiques'!$C$3=3,$BO476=1),G476,""))</f>
        <v/>
      </c>
      <c r="AC476" s="53" t="str">
        <f aca="false">IF(AND(OR('Choix pédagogiques'!$C$3=1,'Choix pédagogiques'!$C$3=2),$BN476=1),H476,IF(AND('Choix pédagogiques'!$C$3=3,$BO476=1),H476,""))</f>
        <v/>
      </c>
      <c r="AD476" s="53" t="str">
        <f aca="false">IF(AND(OR('Choix pédagogiques'!$C$3=1,'Choix pédagogiques'!$C$3=2),$BN476=1),I476,IF(AND('Choix pédagogiques'!$C$3=3,$BO476=1),I476,""))</f>
        <v/>
      </c>
      <c r="AE476" s="53" t="str">
        <f aca="false">IF($J476&lt;&gt;"",$J476,"")</f>
        <v/>
      </c>
      <c r="AF476" s="52" t="str">
        <f aca="false">IF($A476&lt;&gt;"",$A476,"")</f>
        <v>Apprenant 464</v>
      </c>
      <c r="AG476" s="53" t="str">
        <f aca="false">IF(AND($W476&lt;&gt;"",$X476&lt;&gt;""),$X476-$W476,"")</f>
        <v/>
      </c>
      <c r="AH476" s="53" t="str">
        <f aca="false">IF(AND($W476&lt;&gt;"",$Y476&lt;&gt;""),$Y476-$W476,"")</f>
        <v/>
      </c>
      <c r="AI476" s="53" t="str">
        <f aca="false">IF(AND($X476&lt;&gt;"",$Y476&lt;&gt;""),$Y476-$X476,"")</f>
        <v/>
      </c>
      <c r="AJ476" s="53" t="str">
        <f aca="false">IF($E476&lt;&gt;"",$E476,"")</f>
        <v/>
      </c>
      <c r="AK476" s="52" t="str">
        <f aca="false">IF($F476&lt;&gt;"",$F476,"")</f>
        <v>Apprenant 464 ou 464'</v>
      </c>
      <c r="AL476" s="53" t="str">
        <f aca="false">IF(AND($AB476&lt;&gt;"",$AC476&lt;&gt;""),$AC476-$AB476,"")</f>
        <v/>
      </c>
      <c r="AM476" s="53" t="str">
        <f aca="false">IF(AND($AB476&lt;&gt;"",$AD476&lt;&gt;""),$AD476-$AB476,"")</f>
        <v/>
      </c>
      <c r="AN476" s="53" t="str">
        <f aca="false">IF(AND($AC476&lt;&gt;"",$AD476&lt;&gt;""),$AD476-$AC476,"")</f>
        <v/>
      </c>
      <c r="AO476" s="53" t="str">
        <f aca="false">IF($J476&lt;&gt;"",$J476,"")</f>
        <v/>
      </c>
      <c r="AQ476" s="52" t="str">
        <f aca="false">IF($A476&lt;&gt;"",$A476,"")</f>
        <v>Apprenant 464</v>
      </c>
      <c r="AR476" s="55" t="str">
        <f aca="false">IF(AND('Choix pédagogiques'!$C$4&lt;&gt;"?",'Choix pédagogiques'!$C$5&lt;&gt;"?",W476&lt;&gt;""),(W476-'Choix pédagogiques'!$C$4)/('Choix pédagogiques'!$C$5-'Choix pédagogiques'!$C$4),"")</f>
        <v/>
      </c>
      <c r="AS476" s="55" t="str">
        <f aca="false">IF(AND('Choix pédagogiques'!$C$4&lt;&gt;"?",'Choix pédagogiques'!$C$5&lt;&gt;"?",X476&lt;&gt;""),(X476-'Choix pédagogiques'!$C$4)/('Choix pédagogiques'!$C$5-'Choix pédagogiques'!$C$4),"")</f>
        <v/>
      </c>
      <c r="AT476" s="55" t="str">
        <f aca="false">IF(AND('Choix pédagogiques'!$C$4&lt;&gt;"?",'Choix pédagogiques'!$C$5&lt;&gt;"?",Y476&lt;&gt;""),(Y476-'Choix pédagogiques'!$C$4)/('Choix pédagogiques'!$C$5-'Choix pédagogiques'!$C$4),"")</f>
        <v/>
      </c>
      <c r="AU476" s="53" t="str">
        <f aca="false">IF($E476&lt;&gt;"",$E476,"")</f>
        <v/>
      </c>
      <c r="AV476" s="52" t="str">
        <f aca="false">IF($F476&lt;&gt;"",$F476,"")</f>
        <v>Apprenant 464 ou 464'</v>
      </c>
      <c r="AW476" s="55" t="str">
        <f aca="false">IF(AND('Choix pédagogiques'!$C$4&lt;&gt;"?",'Choix pédagogiques'!$C$5&lt;&gt;"?",AB476&lt;&gt;""),(AB476-'Choix pédagogiques'!$C$4)/('Choix pédagogiques'!$C$5-'Choix pédagogiques'!$C$4),"")</f>
        <v/>
      </c>
      <c r="AX476" s="55" t="str">
        <f aca="false">IF(AND('Choix pédagogiques'!$C$4&lt;&gt;"?",'Choix pédagogiques'!$C$5&lt;&gt;"?",AC476&lt;&gt;""),(AC476-'Choix pédagogiques'!$C$4)/('Choix pédagogiques'!$C$5-'Choix pédagogiques'!$C$4),"")</f>
        <v/>
      </c>
      <c r="AY476" s="55" t="str">
        <f aca="false">IF(AND('Choix pédagogiques'!$C$4&lt;&gt;"?",'Choix pédagogiques'!$C$5&lt;&gt;"?",AD476&lt;&gt;""),(AD476-'Choix pédagogiques'!$C$4)/('Choix pédagogiques'!$C$5-'Choix pédagogiques'!$C$4),"")</f>
        <v/>
      </c>
      <c r="AZ476" s="53" t="str">
        <f aca="false">IF($J476&lt;&gt;"",$J476,"")</f>
        <v/>
      </c>
      <c r="BA476" s="52" t="str">
        <f aca="false">IF($A476&lt;&gt;"",$A476,"")</f>
        <v>Apprenant 464</v>
      </c>
      <c r="BB476" s="55" t="str">
        <f aca="false">IF(AND($AR476&lt;&gt;"",$AS476&lt;&gt;""),$AS476-$AR476,"")</f>
        <v/>
      </c>
      <c r="BC476" s="55" t="str">
        <f aca="false">IF(AND($AR476&lt;&gt;"",$AT476&lt;&gt;""),$AT476-$AR476,"")</f>
        <v/>
      </c>
      <c r="BD476" s="55" t="str">
        <f aca="false">IF(AND($AS476&lt;&gt;"",$AT476&lt;&gt;""),$AT476-$AS476,"")</f>
        <v/>
      </c>
      <c r="BE476" s="53" t="str">
        <f aca="false">IF($E476&lt;&gt;"",$E476,"")</f>
        <v/>
      </c>
      <c r="BF476" s="52" t="str">
        <f aca="false">IF($F476&lt;&gt;"",$F476,"")</f>
        <v>Apprenant 464 ou 464'</v>
      </c>
      <c r="BG476" s="55" t="str">
        <f aca="false">IF(AND($AW476&lt;&gt;"",$AX476&lt;&gt;""),$AX476-$AW476,"")</f>
        <v/>
      </c>
      <c r="BH476" s="55" t="str">
        <f aca="false">IF(AND($AW476&lt;&gt;"",$AY476&lt;&gt;""),$AY476-$AW476,"")</f>
        <v/>
      </c>
      <c r="BI476" s="55" t="str">
        <f aca="false">IF(AND($AX476&lt;&gt;"",$AY476&lt;&gt;""),$AY476-$AX476,"")</f>
        <v/>
      </c>
      <c r="BJ476" s="53" t="str">
        <f aca="false">IF($J476&lt;&gt;"",$J476,"")</f>
        <v/>
      </c>
      <c r="BL476" s="52"/>
      <c r="BM476" s="52" t="str">
        <f aca="false">IF(OR(COUNT(B476:D1475)=0,AND('Choix pédagogiques'!$C$3&lt;&gt;1,'Choix pédagogiques'!$C$3&lt;&gt;2)),"",IF(AND(OR('Choix pédagogiques'!$C$3=1,'Choix pédagogiques'!$C$3=2),$B476&lt;&gt;"",$C476&lt;&gt;"",$D476&lt;&gt;""),1,0))</f>
        <v/>
      </c>
      <c r="BN476" s="52" t="str">
        <f aca="false">IF(OR(COUNT(G476:I1475)=0,AND('Choix pédagogiques'!$C$3&lt;&gt;1,'Choix pédagogiques'!$C$3&lt;&gt;2)),"",IF(AND(OR('Choix pédagogiques'!$C$3=1,'Choix pédagogiques'!$C$3=2),AND($G476&lt;&gt;"",$H476&lt;&gt;"",$I476&lt;&gt;"")),1,0))</f>
        <v/>
      </c>
      <c r="BO476" s="52" t="str">
        <f aca="false">IF(OR(COUNT(B476:D1475)=0,COUNT(G476:I1475)=0,'Choix pédagogiques'!C$3&lt;&gt;3),"",IF(AND('Choix pédagogiques'!$C$3=3,$B476&lt;&gt;"",$C476&lt;&gt;"",$D476&lt;&gt;"",$G476&lt;&gt;"",$H476&lt;&gt;"",$I476&lt;&gt;""),1,0))</f>
        <v/>
      </c>
      <c r="BR476" s="52" t="n">
        <v>216</v>
      </c>
      <c r="BS476" s="52" t="n">
        <v>1600</v>
      </c>
    </row>
    <row r="477" s="54" customFormat="true" ht="18" hidden="false" customHeight="true" outlineLevel="0" collapsed="false">
      <c r="A477" s="57" t="s">
        <v>885</v>
      </c>
      <c r="B477" s="51"/>
      <c r="C477" s="51"/>
      <c r="D477" s="51"/>
      <c r="E477" s="51"/>
      <c r="F477" s="57" t="s">
        <v>886</v>
      </c>
      <c r="G477" s="51"/>
      <c r="H477" s="51"/>
      <c r="I477" s="51"/>
      <c r="J477" s="51"/>
      <c r="K477" s="52" t="str">
        <f aca="false">IF($A477&lt;&gt;"",$A477,"")</f>
        <v>Apprenant 465</v>
      </c>
      <c r="L477" s="53" t="str">
        <f aca="false">IF(AND($B477&lt;&gt;"",$C477&lt;&gt;""),$C477-$B477,"")</f>
        <v/>
      </c>
      <c r="M477" s="53" t="str">
        <f aca="false">IF(AND($B477&lt;&gt;"",$D477&lt;&gt;""),$D477-$B477,"")</f>
        <v/>
      </c>
      <c r="N477" s="53" t="str">
        <f aca="false">IF(AND($C477&lt;&gt;"",$D477&lt;&gt;""),$D477-$C477,"")</f>
        <v/>
      </c>
      <c r="O477" s="53" t="str">
        <f aca="false">IF($E477&lt;&gt;"",$E477,"")</f>
        <v/>
      </c>
      <c r="P477" s="52" t="str">
        <f aca="false">IF($F477&lt;&gt;"",$F477,"")</f>
        <v>Apprenant 465 ou 465'</v>
      </c>
      <c r="Q477" s="53" t="str">
        <f aca="false">IF(AND($G477&lt;&gt;"",$H477&lt;&gt;""),$H477-$G477,"")</f>
        <v/>
      </c>
      <c r="R477" s="53" t="str">
        <f aca="false">IF(AND($G477&lt;&gt;"",$I477&lt;&gt;""),$I477-$G477,"")</f>
        <v/>
      </c>
      <c r="S477" s="53" t="str">
        <f aca="false">IF(AND($H477&lt;&gt;"",$I477&lt;&gt;""),$I477-$H477,"")</f>
        <v/>
      </c>
      <c r="T477" s="53" t="str">
        <f aca="false">IF($J477&lt;&gt;"",$J477,"")</f>
        <v/>
      </c>
      <c r="V477" s="52" t="str">
        <f aca="false">IF($A477&lt;&gt;"",$A477,"")</f>
        <v>Apprenant 465</v>
      </c>
      <c r="W477" s="53" t="str">
        <f aca="false">IF(AND(OR('Choix pédagogiques'!$C$3=1,'Choix pédagogiques'!$C$3=2),$BM477=1),B477,IF(AND('Choix pédagogiques'!$C$3=3,$BO477=1),B477,""))</f>
        <v/>
      </c>
      <c r="X477" s="53" t="str">
        <f aca="false">IF(AND(OR('Choix pédagogiques'!$C$3=1,'Choix pédagogiques'!$C$3=2),$BM477=1),C477,IF(AND('Choix pédagogiques'!$C$3=3,$BO477=1),C477,""))</f>
        <v/>
      </c>
      <c r="Y477" s="53" t="str">
        <f aca="false">IF(AND(OR('Choix pédagogiques'!$C$3=1,'Choix pédagogiques'!$C$3=2),$BM477=1),D477,IF(AND('Choix pédagogiques'!$C$3=3,$BO477=1),D477,""))</f>
        <v/>
      </c>
      <c r="Z477" s="53" t="str">
        <f aca="false">IF($E477&lt;&gt;"",$E477,"")</f>
        <v/>
      </c>
      <c r="AA477" s="52" t="str">
        <f aca="false">IF($F477&lt;&gt;"",$F477,"")</f>
        <v>Apprenant 465 ou 465'</v>
      </c>
      <c r="AB477" s="53" t="str">
        <f aca="false">IF(AND(OR('Choix pédagogiques'!$C$3=1,'Choix pédagogiques'!$C$3=2),$BN477=1),G477,IF(AND('Choix pédagogiques'!$C$3=3,$BO477=1),G477,""))</f>
        <v/>
      </c>
      <c r="AC477" s="53" t="str">
        <f aca="false">IF(AND(OR('Choix pédagogiques'!$C$3=1,'Choix pédagogiques'!$C$3=2),$BN477=1),H477,IF(AND('Choix pédagogiques'!$C$3=3,$BO477=1),H477,""))</f>
        <v/>
      </c>
      <c r="AD477" s="53" t="str">
        <f aca="false">IF(AND(OR('Choix pédagogiques'!$C$3=1,'Choix pédagogiques'!$C$3=2),$BN477=1),I477,IF(AND('Choix pédagogiques'!$C$3=3,$BO477=1),I477,""))</f>
        <v/>
      </c>
      <c r="AE477" s="53" t="str">
        <f aca="false">IF($J477&lt;&gt;"",$J477,"")</f>
        <v/>
      </c>
      <c r="AF477" s="52" t="str">
        <f aca="false">IF($A477&lt;&gt;"",$A477,"")</f>
        <v>Apprenant 465</v>
      </c>
      <c r="AG477" s="53" t="str">
        <f aca="false">IF(AND($W477&lt;&gt;"",$X477&lt;&gt;""),$X477-$W477,"")</f>
        <v/>
      </c>
      <c r="AH477" s="53" t="str">
        <f aca="false">IF(AND($W477&lt;&gt;"",$Y477&lt;&gt;""),$Y477-$W477,"")</f>
        <v/>
      </c>
      <c r="AI477" s="53" t="str">
        <f aca="false">IF(AND($X477&lt;&gt;"",$Y477&lt;&gt;""),$Y477-$X477,"")</f>
        <v/>
      </c>
      <c r="AJ477" s="53" t="str">
        <f aca="false">IF($E477&lt;&gt;"",$E477,"")</f>
        <v/>
      </c>
      <c r="AK477" s="52" t="str">
        <f aca="false">IF($F477&lt;&gt;"",$F477,"")</f>
        <v>Apprenant 465 ou 465'</v>
      </c>
      <c r="AL477" s="53" t="str">
        <f aca="false">IF(AND($AB477&lt;&gt;"",$AC477&lt;&gt;""),$AC477-$AB477,"")</f>
        <v/>
      </c>
      <c r="AM477" s="53" t="str">
        <f aca="false">IF(AND($AB477&lt;&gt;"",$AD477&lt;&gt;""),$AD477-$AB477,"")</f>
        <v/>
      </c>
      <c r="AN477" s="53" t="str">
        <f aca="false">IF(AND($AC477&lt;&gt;"",$AD477&lt;&gt;""),$AD477-$AC477,"")</f>
        <v/>
      </c>
      <c r="AO477" s="53" t="str">
        <f aca="false">IF($J477&lt;&gt;"",$J477,"")</f>
        <v/>
      </c>
      <c r="AQ477" s="52" t="str">
        <f aca="false">IF($A477&lt;&gt;"",$A477,"")</f>
        <v>Apprenant 465</v>
      </c>
      <c r="AR477" s="55" t="str">
        <f aca="false">IF(AND('Choix pédagogiques'!$C$4&lt;&gt;"?",'Choix pédagogiques'!$C$5&lt;&gt;"?",W477&lt;&gt;""),(W477-'Choix pédagogiques'!$C$4)/('Choix pédagogiques'!$C$5-'Choix pédagogiques'!$C$4),"")</f>
        <v/>
      </c>
      <c r="AS477" s="55" t="str">
        <f aca="false">IF(AND('Choix pédagogiques'!$C$4&lt;&gt;"?",'Choix pédagogiques'!$C$5&lt;&gt;"?",X477&lt;&gt;""),(X477-'Choix pédagogiques'!$C$4)/('Choix pédagogiques'!$C$5-'Choix pédagogiques'!$C$4),"")</f>
        <v/>
      </c>
      <c r="AT477" s="55" t="str">
        <f aca="false">IF(AND('Choix pédagogiques'!$C$4&lt;&gt;"?",'Choix pédagogiques'!$C$5&lt;&gt;"?",Y477&lt;&gt;""),(Y477-'Choix pédagogiques'!$C$4)/('Choix pédagogiques'!$C$5-'Choix pédagogiques'!$C$4),"")</f>
        <v/>
      </c>
      <c r="AU477" s="53" t="str">
        <f aca="false">IF($E477&lt;&gt;"",$E477,"")</f>
        <v/>
      </c>
      <c r="AV477" s="52" t="str">
        <f aca="false">IF($F477&lt;&gt;"",$F477,"")</f>
        <v>Apprenant 465 ou 465'</v>
      </c>
      <c r="AW477" s="55" t="str">
        <f aca="false">IF(AND('Choix pédagogiques'!$C$4&lt;&gt;"?",'Choix pédagogiques'!$C$5&lt;&gt;"?",AB477&lt;&gt;""),(AB477-'Choix pédagogiques'!$C$4)/('Choix pédagogiques'!$C$5-'Choix pédagogiques'!$C$4),"")</f>
        <v/>
      </c>
      <c r="AX477" s="55" t="str">
        <f aca="false">IF(AND('Choix pédagogiques'!$C$4&lt;&gt;"?",'Choix pédagogiques'!$C$5&lt;&gt;"?",AC477&lt;&gt;""),(AC477-'Choix pédagogiques'!$C$4)/('Choix pédagogiques'!$C$5-'Choix pédagogiques'!$C$4),"")</f>
        <v/>
      </c>
      <c r="AY477" s="55" t="str">
        <f aca="false">IF(AND('Choix pédagogiques'!$C$4&lt;&gt;"?",'Choix pédagogiques'!$C$5&lt;&gt;"?",AD477&lt;&gt;""),(AD477-'Choix pédagogiques'!$C$4)/('Choix pédagogiques'!$C$5-'Choix pédagogiques'!$C$4),"")</f>
        <v/>
      </c>
      <c r="AZ477" s="53" t="str">
        <f aca="false">IF($J477&lt;&gt;"",$J477,"")</f>
        <v/>
      </c>
      <c r="BA477" s="52" t="str">
        <f aca="false">IF($A477&lt;&gt;"",$A477,"")</f>
        <v>Apprenant 465</v>
      </c>
      <c r="BB477" s="55" t="str">
        <f aca="false">IF(AND($AR477&lt;&gt;"",$AS477&lt;&gt;""),$AS477-$AR477,"")</f>
        <v/>
      </c>
      <c r="BC477" s="55" t="str">
        <f aca="false">IF(AND($AR477&lt;&gt;"",$AT477&lt;&gt;""),$AT477-$AR477,"")</f>
        <v/>
      </c>
      <c r="BD477" s="55" t="str">
        <f aca="false">IF(AND($AS477&lt;&gt;"",$AT477&lt;&gt;""),$AT477-$AS477,"")</f>
        <v/>
      </c>
      <c r="BE477" s="53" t="str">
        <f aca="false">IF($E477&lt;&gt;"",$E477,"")</f>
        <v/>
      </c>
      <c r="BF477" s="52" t="str">
        <f aca="false">IF($F477&lt;&gt;"",$F477,"")</f>
        <v>Apprenant 465 ou 465'</v>
      </c>
      <c r="BG477" s="55" t="str">
        <f aca="false">IF(AND($AW477&lt;&gt;"",$AX477&lt;&gt;""),$AX477-$AW477,"")</f>
        <v/>
      </c>
      <c r="BH477" s="55" t="str">
        <f aca="false">IF(AND($AW477&lt;&gt;"",$AY477&lt;&gt;""),$AY477-$AW477,"")</f>
        <v/>
      </c>
      <c r="BI477" s="55" t="str">
        <f aca="false">IF(AND($AX477&lt;&gt;"",$AY477&lt;&gt;""),$AY477-$AX477,"")</f>
        <v/>
      </c>
      <c r="BJ477" s="53" t="str">
        <f aca="false">IF($J477&lt;&gt;"",$J477,"")</f>
        <v/>
      </c>
      <c r="BL477" s="52"/>
      <c r="BM477" s="52" t="str">
        <f aca="false">IF(OR(COUNT(B477:D1476)=0,AND('Choix pédagogiques'!$C$3&lt;&gt;1,'Choix pédagogiques'!$C$3&lt;&gt;2)),"",IF(AND(OR('Choix pédagogiques'!$C$3=1,'Choix pédagogiques'!$C$3=2),$B477&lt;&gt;"",$C477&lt;&gt;"",$D477&lt;&gt;""),1,0))</f>
        <v/>
      </c>
      <c r="BN477" s="52" t="str">
        <f aca="false">IF(OR(COUNT(G477:I1476)=0,AND('Choix pédagogiques'!$C$3&lt;&gt;1,'Choix pédagogiques'!$C$3&lt;&gt;2)),"",IF(AND(OR('Choix pédagogiques'!$C$3=1,'Choix pédagogiques'!$C$3=2),AND($G477&lt;&gt;"",$H477&lt;&gt;"",$I477&lt;&gt;"")),1,0))</f>
        <v/>
      </c>
      <c r="BO477" s="52" t="str">
        <f aca="false">IF(OR(COUNT(B477:D1476)=0,COUNT(G477:I1476)=0,'Choix pédagogiques'!C$3&lt;&gt;3),"",IF(AND('Choix pédagogiques'!$C$3=3,$B477&lt;&gt;"",$C477&lt;&gt;"",$D477&lt;&gt;"",$G477&lt;&gt;"",$H477&lt;&gt;"",$I477&lt;&gt;""),1,0))</f>
        <v/>
      </c>
      <c r="BR477" s="52" t="n">
        <v>47</v>
      </c>
      <c r="BS477" s="52" t="n">
        <v>1611</v>
      </c>
    </row>
    <row r="478" s="54" customFormat="true" ht="18" hidden="false" customHeight="true" outlineLevel="0" collapsed="false">
      <c r="A478" s="57" t="s">
        <v>887</v>
      </c>
      <c r="B478" s="51"/>
      <c r="C478" s="51"/>
      <c r="D478" s="51"/>
      <c r="E478" s="51"/>
      <c r="F478" s="57" t="s">
        <v>888</v>
      </c>
      <c r="G478" s="51"/>
      <c r="H478" s="51"/>
      <c r="I478" s="51"/>
      <c r="J478" s="51"/>
      <c r="K478" s="52" t="str">
        <f aca="false">IF($A478&lt;&gt;"",$A478,"")</f>
        <v>Apprenant 466</v>
      </c>
      <c r="L478" s="53" t="str">
        <f aca="false">IF(AND($B478&lt;&gt;"",$C478&lt;&gt;""),$C478-$B478,"")</f>
        <v/>
      </c>
      <c r="M478" s="53" t="str">
        <f aca="false">IF(AND($B478&lt;&gt;"",$D478&lt;&gt;""),$D478-$B478,"")</f>
        <v/>
      </c>
      <c r="N478" s="53" t="str">
        <f aca="false">IF(AND($C478&lt;&gt;"",$D478&lt;&gt;""),$D478-$C478,"")</f>
        <v/>
      </c>
      <c r="O478" s="53" t="str">
        <f aca="false">IF($E478&lt;&gt;"",$E478,"")</f>
        <v/>
      </c>
      <c r="P478" s="52" t="str">
        <f aca="false">IF($F478&lt;&gt;"",$F478,"")</f>
        <v>Apprenant 466 ou 466'</v>
      </c>
      <c r="Q478" s="53" t="str">
        <f aca="false">IF(AND($G478&lt;&gt;"",$H478&lt;&gt;""),$H478-$G478,"")</f>
        <v/>
      </c>
      <c r="R478" s="53" t="str">
        <f aca="false">IF(AND($G478&lt;&gt;"",$I478&lt;&gt;""),$I478-$G478,"")</f>
        <v/>
      </c>
      <c r="S478" s="53" t="str">
        <f aca="false">IF(AND($H478&lt;&gt;"",$I478&lt;&gt;""),$I478-$H478,"")</f>
        <v/>
      </c>
      <c r="T478" s="53" t="str">
        <f aca="false">IF($J478&lt;&gt;"",$J478,"")</f>
        <v/>
      </c>
      <c r="V478" s="52" t="str">
        <f aca="false">IF($A478&lt;&gt;"",$A478,"")</f>
        <v>Apprenant 466</v>
      </c>
      <c r="W478" s="53" t="str">
        <f aca="false">IF(AND(OR('Choix pédagogiques'!$C$3=1,'Choix pédagogiques'!$C$3=2),$BM478=1),B478,IF(AND('Choix pédagogiques'!$C$3=3,$BO478=1),B478,""))</f>
        <v/>
      </c>
      <c r="X478" s="53" t="str">
        <f aca="false">IF(AND(OR('Choix pédagogiques'!$C$3=1,'Choix pédagogiques'!$C$3=2),$BM478=1),C478,IF(AND('Choix pédagogiques'!$C$3=3,$BO478=1),C478,""))</f>
        <v/>
      </c>
      <c r="Y478" s="53" t="str">
        <f aca="false">IF(AND(OR('Choix pédagogiques'!$C$3=1,'Choix pédagogiques'!$C$3=2),$BM478=1),D478,IF(AND('Choix pédagogiques'!$C$3=3,$BO478=1),D478,""))</f>
        <v/>
      </c>
      <c r="Z478" s="53" t="str">
        <f aca="false">IF($E478&lt;&gt;"",$E478,"")</f>
        <v/>
      </c>
      <c r="AA478" s="52" t="str">
        <f aca="false">IF($F478&lt;&gt;"",$F478,"")</f>
        <v>Apprenant 466 ou 466'</v>
      </c>
      <c r="AB478" s="53" t="str">
        <f aca="false">IF(AND(OR('Choix pédagogiques'!$C$3=1,'Choix pédagogiques'!$C$3=2),$BN478=1),G478,IF(AND('Choix pédagogiques'!$C$3=3,$BO478=1),G478,""))</f>
        <v/>
      </c>
      <c r="AC478" s="53" t="str">
        <f aca="false">IF(AND(OR('Choix pédagogiques'!$C$3=1,'Choix pédagogiques'!$C$3=2),$BN478=1),H478,IF(AND('Choix pédagogiques'!$C$3=3,$BO478=1),H478,""))</f>
        <v/>
      </c>
      <c r="AD478" s="53" t="str">
        <f aca="false">IF(AND(OR('Choix pédagogiques'!$C$3=1,'Choix pédagogiques'!$C$3=2),$BN478=1),I478,IF(AND('Choix pédagogiques'!$C$3=3,$BO478=1),I478,""))</f>
        <v/>
      </c>
      <c r="AE478" s="53" t="str">
        <f aca="false">IF($J478&lt;&gt;"",$J478,"")</f>
        <v/>
      </c>
      <c r="AF478" s="52" t="str">
        <f aca="false">IF($A478&lt;&gt;"",$A478,"")</f>
        <v>Apprenant 466</v>
      </c>
      <c r="AG478" s="53" t="str">
        <f aca="false">IF(AND($W478&lt;&gt;"",$X478&lt;&gt;""),$X478-$W478,"")</f>
        <v/>
      </c>
      <c r="AH478" s="53" t="str">
        <f aca="false">IF(AND($W478&lt;&gt;"",$Y478&lt;&gt;""),$Y478-$W478,"")</f>
        <v/>
      </c>
      <c r="AI478" s="53" t="str">
        <f aca="false">IF(AND($X478&lt;&gt;"",$Y478&lt;&gt;""),$Y478-$X478,"")</f>
        <v/>
      </c>
      <c r="AJ478" s="53" t="str">
        <f aca="false">IF($E478&lt;&gt;"",$E478,"")</f>
        <v/>
      </c>
      <c r="AK478" s="52" t="str">
        <f aca="false">IF($F478&lt;&gt;"",$F478,"")</f>
        <v>Apprenant 466 ou 466'</v>
      </c>
      <c r="AL478" s="53" t="str">
        <f aca="false">IF(AND($AB478&lt;&gt;"",$AC478&lt;&gt;""),$AC478-$AB478,"")</f>
        <v/>
      </c>
      <c r="AM478" s="53" t="str">
        <f aca="false">IF(AND($AB478&lt;&gt;"",$AD478&lt;&gt;""),$AD478-$AB478,"")</f>
        <v/>
      </c>
      <c r="AN478" s="53" t="str">
        <f aca="false">IF(AND($AC478&lt;&gt;"",$AD478&lt;&gt;""),$AD478-$AC478,"")</f>
        <v/>
      </c>
      <c r="AO478" s="53" t="str">
        <f aca="false">IF($J478&lt;&gt;"",$J478,"")</f>
        <v/>
      </c>
      <c r="AQ478" s="52" t="str">
        <f aca="false">IF($A478&lt;&gt;"",$A478,"")</f>
        <v>Apprenant 466</v>
      </c>
      <c r="AR478" s="55" t="str">
        <f aca="false">IF(AND('Choix pédagogiques'!$C$4&lt;&gt;"?",'Choix pédagogiques'!$C$5&lt;&gt;"?",W478&lt;&gt;""),(W478-'Choix pédagogiques'!$C$4)/('Choix pédagogiques'!$C$5-'Choix pédagogiques'!$C$4),"")</f>
        <v/>
      </c>
      <c r="AS478" s="55" t="str">
        <f aca="false">IF(AND('Choix pédagogiques'!$C$4&lt;&gt;"?",'Choix pédagogiques'!$C$5&lt;&gt;"?",X478&lt;&gt;""),(X478-'Choix pédagogiques'!$C$4)/('Choix pédagogiques'!$C$5-'Choix pédagogiques'!$C$4),"")</f>
        <v/>
      </c>
      <c r="AT478" s="55" t="str">
        <f aca="false">IF(AND('Choix pédagogiques'!$C$4&lt;&gt;"?",'Choix pédagogiques'!$C$5&lt;&gt;"?",Y478&lt;&gt;""),(Y478-'Choix pédagogiques'!$C$4)/('Choix pédagogiques'!$C$5-'Choix pédagogiques'!$C$4),"")</f>
        <v/>
      </c>
      <c r="AU478" s="53" t="str">
        <f aca="false">IF($E478&lt;&gt;"",$E478,"")</f>
        <v/>
      </c>
      <c r="AV478" s="52" t="str">
        <f aca="false">IF($F478&lt;&gt;"",$F478,"")</f>
        <v>Apprenant 466 ou 466'</v>
      </c>
      <c r="AW478" s="55" t="str">
        <f aca="false">IF(AND('Choix pédagogiques'!$C$4&lt;&gt;"?",'Choix pédagogiques'!$C$5&lt;&gt;"?",AB478&lt;&gt;""),(AB478-'Choix pédagogiques'!$C$4)/('Choix pédagogiques'!$C$5-'Choix pédagogiques'!$C$4),"")</f>
        <v/>
      </c>
      <c r="AX478" s="55" t="str">
        <f aca="false">IF(AND('Choix pédagogiques'!$C$4&lt;&gt;"?",'Choix pédagogiques'!$C$5&lt;&gt;"?",AC478&lt;&gt;""),(AC478-'Choix pédagogiques'!$C$4)/('Choix pédagogiques'!$C$5-'Choix pédagogiques'!$C$4),"")</f>
        <v/>
      </c>
      <c r="AY478" s="55" t="str">
        <f aca="false">IF(AND('Choix pédagogiques'!$C$4&lt;&gt;"?",'Choix pédagogiques'!$C$5&lt;&gt;"?",AD478&lt;&gt;""),(AD478-'Choix pédagogiques'!$C$4)/('Choix pédagogiques'!$C$5-'Choix pédagogiques'!$C$4),"")</f>
        <v/>
      </c>
      <c r="AZ478" s="53" t="str">
        <f aca="false">IF($J478&lt;&gt;"",$J478,"")</f>
        <v/>
      </c>
      <c r="BA478" s="52" t="str">
        <f aca="false">IF($A478&lt;&gt;"",$A478,"")</f>
        <v>Apprenant 466</v>
      </c>
      <c r="BB478" s="55" t="str">
        <f aca="false">IF(AND($AR478&lt;&gt;"",$AS478&lt;&gt;""),$AS478-$AR478,"")</f>
        <v/>
      </c>
      <c r="BC478" s="55" t="str">
        <f aca="false">IF(AND($AR478&lt;&gt;"",$AT478&lt;&gt;""),$AT478-$AR478,"")</f>
        <v/>
      </c>
      <c r="BD478" s="55" t="str">
        <f aca="false">IF(AND($AS478&lt;&gt;"",$AT478&lt;&gt;""),$AT478-$AS478,"")</f>
        <v/>
      </c>
      <c r="BE478" s="53" t="str">
        <f aca="false">IF($E478&lt;&gt;"",$E478,"")</f>
        <v/>
      </c>
      <c r="BF478" s="52" t="str">
        <f aca="false">IF($F478&lt;&gt;"",$F478,"")</f>
        <v>Apprenant 466 ou 466'</v>
      </c>
      <c r="BG478" s="55" t="str">
        <f aca="false">IF(AND($AW478&lt;&gt;"",$AX478&lt;&gt;""),$AX478-$AW478,"")</f>
        <v/>
      </c>
      <c r="BH478" s="55" t="str">
        <f aca="false">IF(AND($AW478&lt;&gt;"",$AY478&lt;&gt;""),$AY478-$AW478,"")</f>
        <v/>
      </c>
      <c r="BI478" s="55" t="str">
        <f aca="false">IF(AND($AX478&lt;&gt;"",$AY478&lt;&gt;""),$AY478-$AX478,"")</f>
        <v/>
      </c>
      <c r="BJ478" s="53" t="str">
        <f aca="false">IF($J478&lt;&gt;"",$J478,"")</f>
        <v/>
      </c>
      <c r="BL478" s="52"/>
      <c r="BM478" s="52" t="str">
        <f aca="false">IF(OR(COUNT(B478:D1477)=0,AND('Choix pédagogiques'!$C$3&lt;&gt;1,'Choix pédagogiques'!$C$3&lt;&gt;2)),"",IF(AND(OR('Choix pédagogiques'!$C$3=1,'Choix pédagogiques'!$C$3=2),$B478&lt;&gt;"",$C478&lt;&gt;"",$D478&lt;&gt;""),1,0))</f>
        <v/>
      </c>
      <c r="BN478" s="52" t="str">
        <f aca="false">IF(OR(COUNT(G478:I1477)=0,AND('Choix pédagogiques'!$C$3&lt;&gt;1,'Choix pédagogiques'!$C$3&lt;&gt;2)),"",IF(AND(OR('Choix pédagogiques'!$C$3=1,'Choix pédagogiques'!$C$3=2),AND($G478&lt;&gt;"",$H478&lt;&gt;"",$I478&lt;&gt;"")),1,0))</f>
        <v/>
      </c>
      <c r="BO478" s="52" t="str">
        <f aca="false">IF(OR(COUNT(B478:D1477)=0,COUNT(G478:I1477)=0,'Choix pédagogiques'!C$3&lt;&gt;3),"",IF(AND('Choix pédagogiques'!$C$3=3,$B478&lt;&gt;"",$C478&lt;&gt;"",$D478&lt;&gt;"",$G478&lt;&gt;"",$H478&lt;&gt;"",$I478&lt;&gt;""),1,0))</f>
        <v/>
      </c>
      <c r="BR478" s="52" t="n">
        <v>777</v>
      </c>
      <c r="BS478" s="52" t="n">
        <v>1770</v>
      </c>
    </row>
    <row r="479" s="54" customFormat="true" ht="18" hidden="false" customHeight="true" outlineLevel="0" collapsed="false">
      <c r="A479" s="57" t="s">
        <v>889</v>
      </c>
      <c r="B479" s="51"/>
      <c r="C479" s="51"/>
      <c r="D479" s="51"/>
      <c r="E479" s="51"/>
      <c r="F479" s="57" t="s">
        <v>890</v>
      </c>
      <c r="G479" s="51"/>
      <c r="H479" s="51"/>
      <c r="I479" s="51"/>
      <c r="J479" s="51"/>
      <c r="K479" s="52" t="str">
        <f aca="false">IF($A479&lt;&gt;"",$A479,"")</f>
        <v>Apprenant 467</v>
      </c>
      <c r="L479" s="53" t="str">
        <f aca="false">IF(AND($B479&lt;&gt;"",$C479&lt;&gt;""),$C479-$B479,"")</f>
        <v/>
      </c>
      <c r="M479" s="53" t="str">
        <f aca="false">IF(AND($B479&lt;&gt;"",$D479&lt;&gt;""),$D479-$B479,"")</f>
        <v/>
      </c>
      <c r="N479" s="53" t="str">
        <f aca="false">IF(AND($C479&lt;&gt;"",$D479&lt;&gt;""),$D479-$C479,"")</f>
        <v/>
      </c>
      <c r="O479" s="53" t="str">
        <f aca="false">IF($E479&lt;&gt;"",$E479,"")</f>
        <v/>
      </c>
      <c r="P479" s="52" t="str">
        <f aca="false">IF($F479&lt;&gt;"",$F479,"")</f>
        <v>Apprenant 467 ou 467'</v>
      </c>
      <c r="Q479" s="53" t="str">
        <f aca="false">IF(AND($G479&lt;&gt;"",$H479&lt;&gt;""),$H479-$G479,"")</f>
        <v/>
      </c>
      <c r="R479" s="53" t="str">
        <f aca="false">IF(AND($G479&lt;&gt;"",$I479&lt;&gt;""),$I479-$G479,"")</f>
        <v/>
      </c>
      <c r="S479" s="53" t="str">
        <f aca="false">IF(AND($H479&lt;&gt;"",$I479&lt;&gt;""),$I479-$H479,"")</f>
        <v/>
      </c>
      <c r="T479" s="53" t="str">
        <f aca="false">IF($J479&lt;&gt;"",$J479,"")</f>
        <v/>
      </c>
      <c r="V479" s="52" t="str">
        <f aca="false">IF($A479&lt;&gt;"",$A479,"")</f>
        <v>Apprenant 467</v>
      </c>
      <c r="W479" s="53" t="str">
        <f aca="false">IF(AND(OR('Choix pédagogiques'!$C$3=1,'Choix pédagogiques'!$C$3=2),$BM479=1),B479,IF(AND('Choix pédagogiques'!$C$3=3,$BO479=1),B479,""))</f>
        <v/>
      </c>
      <c r="X479" s="53" t="str">
        <f aca="false">IF(AND(OR('Choix pédagogiques'!$C$3=1,'Choix pédagogiques'!$C$3=2),$BM479=1),C479,IF(AND('Choix pédagogiques'!$C$3=3,$BO479=1),C479,""))</f>
        <v/>
      </c>
      <c r="Y479" s="53" t="str">
        <f aca="false">IF(AND(OR('Choix pédagogiques'!$C$3=1,'Choix pédagogiques'!$C$3=2),$BM479=1),D479,IF(AND('Choix pédagogiques'!$C$3=3,$BO479=1),D479,""))</f>
        <v/>
      </c>
      <c r="Z479" s="53" t="str">
        <f aca="false">IF($E479&lt;&gt;"",$E479,"")</f>
        <v/>
      </c>
      <c r="AA479" s="52" t="str">
        <f aca="false">IF($F479&lt;&gt;"",$F479,"")</f>
        <v>Apprenant 467 ou 467'</v>
      </c>
      <c r="AB479" s="53" t="str">
        <f aca="false">IF(AND(OR('Choix pédagogiques'!$C$3=1,'Choix pédagogiques'!$C$3=2),$BN479=1),G479,IF(AND('Choix pédagogiques'!$C$3=3,$BO479=1),G479,""))</f>
        <v/>
      </c>
      <c r="AC479" s="53" t="str">
        <f aca="false">IF(AND(OR('Choix pédagogiques'!$C$3=1,'Choix pédagogiques'!$C$3=2),$BN479=1),H479,IF(AND('Choix pédagogiques'!$C$3=3,$BO479=1),H479,""))</f>
        <v/>
      </c>
      <c r="AD479" s="53" t="str">
        <f aca="false">IF(AND(OR('Choix pédagogiques'!$C$3=1,'Choix pédagogiques'!$C$3=2),$BN479=1),I479,IF(AND('Choix pédagogiques'!$C$3=3,$BO479=1),I479,""))</f>
        <v/>
      </c>
      <c r="AE479" s="53" t="str">
        <f aca="false">IF($J479&lt;&gt;"",$J479,"")</f>
        <v/>
      </c>
      <c r="AF479" s="52" t="str">
        <f aca="false">IF($A479&lt;&gt;"",$A479,"")</f>
        <v>Apprenant 467</v>
      </c>
      <c r="AG479" s="53" t="str">
        <f aca="false">IF(AND($W479&lt;&gt;"",$X479&lt;&gt;""),$X479-$W479,"")</f>
        <v/>
      </c>
      <c r="AH479" s="53" t="str">
        <f aca="false">IF(AND($W479&lt;&gt;"",$Y479&lt;&gt;""),$Y479-$W479,"")</f>
        <v/>
      </c>
      <c r="AI479" s="53" t="str">
        <f aca="false">IF(AND($X479&lt;&gt;"",$Y479&lt;&gt;""),$Y479-$X479,"")</f>
        <v/>
      </c>
      <c r="AJ479" s="53" t="str">
        <f aca="false">IF($E479&lt;&gt;"",$E479,"")</f>
        <v/>
      </c>
      <c r="AK479" s="52" t="str">
        <f aca="false">IF($F479&lt;&gt;"",$F479,"")</f>
        <v>Apprenant 467 ou 467'</v>
      </c>
      <c r="AL479" s="53" t="str">
        <f aca="false">IF(AND($AB479&lt;&gt;"",$AC479&lt;&gt;""),$AC479-$AB479,"")</f>
        <v/>
      </c>
      <c r="AM479" s="53" t="str">
        <f aca="false">IF(AND($AB479&lt;&gt;"",$AD479&lt;&gt;""),$AD479-$AB479,"")</f>
        <v/>
      </c>
      <c r="AN479" s="53" t="str">
        <f aca="false">IF(AND($AC479&lt;&gt;"",$AD479&lt;&gt;""),$AD479-$AC479,"")</f>
        <v/>
      </c>
      <c r="AO479" s="53" t="str">
        <f aca="false">IF($J479&lt;&gt;"",$J479,"")</f>
        <v/>
      </c>
      <c r="AQ479" s="52" t="str">
        <f aca="false">IF($A479&lt;&gt;"",$A479,"")</f>
        <v>Apprenant 467</v>
      </c>
      <c r="AR479" s="55" t="str">
        <f aca="false">IF(AND('Choix pédagogiques'!$C$4&lt;&gt;"?",'Choix pédagogiques'!$C$5&lt;&gt;"?",W479&lt;&gt;""),(W479-'Choix pédagogiques'!$C$4)/('Choix pédagogiques'!$C$5-'Choix pédagogiques'!$C$4),"")</f>
        <v/>
      </c>
      <c r="AS479" s="55" t="str">
        <f aca="false">IF(AND('Choix pédagogiques'!$C$4&lt;&gt;"?",'Choix pédagogiques'!$C$5&lt;&gt;"?",X479&lt;&gt;""),(X479-'Choix pédagogiques'!$C$4)/('Choix pédagogiques'!$C$5-'Choix pédagogiques'!$C$4),"")</f>
        <v/>
      </c>
      <c r="AT479" s="55" t="str">
        <f aca="false">IF(AND('Choix pédagogiques'!$C$4&lt;&gt;"?",'Choix pédagogiques'!$C$5&lt;&gt;"?",Y479&lt;&gt;""),(Y479-'Choix pédagogiques'!$C$4)/('Choix pédagogiques'!$C$5-'Choix pédagogiques'!$C$4),"")</f>
        <v/>
      </c>
      <c r="AU479" s="53" t="str">
        <f aca="false">IF($E479&lt;&gt;"",$E479,"")</f>
        <v/>
      </c>
      <c r="AV479" s="52" t="str">
        <f aca="false">IF($F479&lt;&gt;"",$F479,"")</f>
        <v>Apprenant 467 ou 467'</v>
      </c>
      <c r="AW479" s="55" t="str">
        <f aca="false">IF(AND('Choix pédagogiques'!$C$4&lt;&gt;"?",'Choix pédagogiques'!$C$5&lt;&gt;"?",AB479&lt;&gt;""),(AB479-'Choix pédagogiques'!$C$4)/('Choix pédagogiques'!$C$5-'Choix pédagogiques'!$C$4),"")</f>
        <v/>
      </c>
      <c r="AX479" s="55" t="str">
        <f aca="false">IF(AND('Choix pédagogiques'!$C$4&lt;&gt;"?",'Choix pédagogiques'!$C$5&lt;&gt;"?",AC479&lt;&gt;""),(AC479-'Choix pédagogiques'!$C$4)/('Choix pédagogiques'!$C$5-'Choix pédagogiques'!$C$4),"")</f>
        <v/>
      </c>
      <c r="AY479" s="55" t="str">
        <f aca="false">IF(AND('Choix pédagogiques'!$C$4&lt;&gt;"?",'Choix pédagogiques'!$C$5&lt;&gt;"?",AD479&lt;&gt;""),(AD479-'Choix pédagogiques'!$C$4)/('Choix pédagogiques'!$C$5-'Choix pédagogiques'!$C$4),"")</f>
        <v/>
      </c>
      <c r="AZ479" s="53" t="str">
        <f aca="false">IF($J479&lt;&gt;"",$J479,"")</f>
        <v/>
      </c>
      <c r="BA479" s="52" t="str">
        <f aca="false">IF($A479&lt;&gt;"",$A479,"")</f>
        <v>Apprenant 467</v>
      </c>
      <c r="BB479" s="55" t="str">
        <f aca="false">IF(AND($AR479&lt;&gt;"",$AS479&lt;&gt;""),$AS479-$AR479,"")</f>
        <v/>
      </c>
      <c r="BC479" s="55" t="str">
        <f aca="false">IF(AND($AR479&lt;&gt;"",$AT479&lt;&gt;""),$AT479-$AR479,"")</f>
        <v/>
      </c>
      <c r="BD479" s="55" t="str">
        <f aca="false">IF(AND($AS479&lt;&gt;"",$AT479&lt;&gt;""),$AT479-$AS479,"")</f>
        <v/>
      </c>
      <c r="BE479" s="53" t="str">
        <f aca="false">IF($E479&lt;&gt;"",$E479,"")</f>
        <v/>
      </c>
      <c r="BF479" s="52" t="str">
        <f aca="false">IF($F479&lt;&gt;"",$F479,"")</f>
        <v>Apprenant 467 ou 467'</v>
      </c>
      <c r="BG479" s="55" t="str">
        <f aca="false">IF(AND($AW479&lt;&gt;"",$AX479&lt;&gt;""),$AX479-$AW479,"")</f>
        <v/>
      </c>
      <c r="BH479" s="55" t="str">
        <f aca="false">IF(AND($AW479&lt;&gt;"",$AY479&lt;&gt;""),$AY479-$AW479,"")</f>
        <v/>
      </c>
      <c r="BI479" s="55" t="str">
        <f aca="false">IF(AND($AX479&lt;&gt;"",$AY479&lt;&gt;""),$AY479-$AX479,"")</f>
        <v/>
      </c>
      <c r="BJ479" s="53" t="str">
        <f aca="false">IF($J479&lt;&gt;"",$J479,"")</f>
        <v/>
      </c>
      <c r="BL479" s="52"/>
      <c r="BM479" s="52" t="str">
        <f aca="false">IF(OR(COUNT(B479:D1478)=0,AND('Choix pédagogiques'!$C$3&lt;&gt;1,'Choix pédagogiques'!$C$3&lt;&gt;2)),"",IF(AND(OR('Choix pédagogiques'!$C$3=1,'Choix pédagogiques'!$C$3=2),$B479&lt;&gt;"",$C479&lt;&gt;"",$D479&lt;&gt;""),1,0))</f>
        <v/>
      </c>
      <c r="BN479" s="52" t="str">
        <f aca="false">IF(OR(COUNT(G479:I1478)=0,AND('Choix pédagogiques'!$C$3&lt;&gt;1,'Choix pédagogiques'!$C$3&lt;&gt;2)),"",IF(AND(OR('Choix pédagogiques'!$C$3=1,'Choix pédagogiques'!$C$3=2),AND($G479&lt;&gt;"",$H479&lt;&gt;"",$I479&lt;&gt;"")),1,0))</f>
        <v/>
      </c>
      <c r="BO479" s="52" t="str">
        <f aca="false">IF(OR(COUNT(B479:D1478)=0,COUNT(G479:I1478)=0,'Choix pédagogiques'!C$3&lt;&gt;3),"",IF(AND('Choix pédagogiques'!$C$3=3,$B479&lt;&gt;"",$C479&lt;&gt;"",$D479&lt;&gt;"",$G479&lt;&gt;"",$H479&lt;&gt;"",$I479&lt;&gt;""),1,0))</f>
        <v/>
      </c>
      <c r="BR479" s="52" t="n">
        <v>382</v>
      </c>
      <c r="BS479" s="52" t="n">
        <v>1084</v>
      </c>
    </row>
    <row r="480" s="54" customFormat="true" ht="18" hidden="false" customHeight="true" outlineLevel="0" collapsed="false">
      <c r="A480" s="57" t="s">
        <v>891</v>
      </c>
      <c r="B480" s="51"/>
      <c r="C480" s="51"/>
      <c r="D480" s="51"/>
      <c r="E480" s="51"/>
      <c r="F480" s="57" t="s">
        <v>892</v>
      </c>
      <c r="G480" s="51"/>
      <c r="H480" s="51"/>
      <c r="I480" s="51"/>
      <c r="J480" s="51"/>
      <c r="K480" s="52" t="str">
        <f aca="false">IF($A480&lt;&gt;"",$A480,"")</f>
        <v>Apprenant 468</v>
      </c>
      <c r="L480" s="53" t="str">
        <f aca="false">IF(AND($B480&lt;&gt;"",$C480&lt;&gt;""),$C480-$B480,"")</f>
        <v/>
      </c>
      <c r="M480" s="53" t="str">
        <f aca="false">IF(AND($B480&lt;&gt;"",$D480&lt;&gt;""),$D480-$B480,"")</f>
        <v/>
      </c>
      <c r="N480" s="53" t="str">
        <f aca="false">IF(AND($C480&lt;&gt;"",$D480&lt;&gt;""),$D480-$C480,"")</f>
        <v/>
      </c>
      <c r="O480" s="53" t="str">
        <f aca="false">IF($E480&lt;&gt;"",$E480,"")</f>
        <v/>
      </c>
      <c r="P480" s="52" t="str">
        <f aca="false">IF($F480&lt;&gt;"",$F480,"")</f>
        <v>Apprenant 468 ou 468'</v>
      </c>
      <c r="Q480" s="53" t="str">
        <f aca="false">IF(AND($G480&lt;&gt;"",$H480&lt;&gt;""),$H480-$G480,"")</f>
        <v/>
      </c>
      <c r="R480" s="53" t="str">
        <f aca="false">IF(AND($G480&lt;&gt;"",$I480&lt;&gt;""),$I480-$G480,"")</f>
        <v/>
      </c>
      <c r="S480" s="53" t="str">
        <f aca="false">IF(AND($H480&lt;&gt;"",$I480&lt;&gt;""),$I480-$H480,"")</f>
        <v/>
      </c>
      <c r="T480" s="53" t="str">
        <f aca="false">IF($J480&lt;&gt;"",$J480,"")</f>
        <v/>
      </c>
      <c r="V480" s="52" t="str">
        <f aca="false">IF($A480&lt;&gt;"",$A480,"")</f>
        <v>Apprenant 468</v>
      </c>
      <c r="W480" s="53" t="str">
        <f aca="false">IF(AND(OR('Choix pédagogiques'!$C$3=1,'Choix pédagogiques'!$C$3=2),$BM480=1),B480,IF(AND('Choix pédagogiques'!$C$3=3,$BO480=1),B480,""))</f>
        <v/>
      </c>
      <c r="X480" s="53" t="str">
        <f aca="false">IF(AND(OR('Choix pédagogiques'!$C$3=1,'Choix pédagogiques'!$C$3=2),$BM480=1),C480,IF(AND('Choix pédagogiques'!$C$3=3,$BO480=1),C480,""))</f>
        <v/>
      </c>
      <c r="Y480" s="53" t="str">
        <f aca="false">IF(AND(OR('Choix pédagogiques'!$C$3=1,'Choix pédagogiques'!$C$3=2),$BM480=1),D480,IF(AND('Choix pédagogiques'!$C$3=3,$BO480=1),D480,""))</f>
        <v/>
      </c>
      <c r="Z480" s="53" t="str">
        <f aca="false">IF($E480&lt;&gt;"",$E480,"")</f>
        <v/>
      </c>
      <c r="AA480" s="52" t="str">
        <f aca="false">IF($F480&lt;&gt;"",$F480,"")</f>
        <v>Apprenant 468 ou 468'</v>
      </c>
      <c r="AB480" s="53" t="str">
        <f aca="false">IF(AND(OR('Choix pédagogiques'!$C$3=1,'Choix pédagogiques'!$C$3=2),$BN480=1),G480,IF(AND('Choix pédagogiques'!$C$3=3,$BO480=1),G480,""))</f>
        <v/>
      </c>
      <c r="AC480" s="53" t="str">
        <f aca="false">IF(AND(OR('Choix pédagogiques'!$C$3=1,'Choix pédagogiques'!$C$3=2),$BN480=1),H480,IF(AND('Choix pédagogiques'!$C$3=3,$BO480=1),H480,""))</f>
        <v/>
      </c>
      <c r="AD480" s="53" t="str">
        <f aca="false">IF(AND(OR('Choix pédagogiques'!$C$3=1,'Choix pédagogiques'!$C$3=2),$BN480=1),I480,IF(AND('Choix pédagogiques'!$C$3=3,$BO480=1),I480,""))</f>
        <v/>
      </c>
      <c r="AE480" s="53" t="str">
        <f aca="false">IF($J480&lt;&gt;"",$J480,"")</f>
        <v/>
      </c>
      <c r="AF480" s="52" t="str">
        <f aca="false">IF($A480&lt;&gt;"",$A480,"")</f>
        <v>Apprenant 468</v>
      </c>
      <c r="AG480" s="53" t="str">
        <f aca="false">IF(AND($W480&lt;&gt;"",$X480&lt;&gt;""),$X480-$W480,"")</f>
        <v/>
      </c>
      <c r="AH480" s="53" t="str">
        <f aca="false">IF(AND($W480&lt;&gt;"",$Y480&lt;&gt;""),$Y480-$W480,"")</f>
        <v/>
      </c>
      <c r="AI480" s="53" t="str">
        <f aca="false">IF(AND($X480&lt;&gt;"",$Y480&lt;&gt;""),$Y480-$X480,"")</f>
        <v/>
      </c>
      <c r="AJ480" s="53" t="str">
        <f aca="false">IF($E480&lt;&gt;"",$E480,"")</f>
        <v/>
      </c>
      <c r="AK480" s="52" t="str">
        <f aca="false">IF($F480&lt;&gt;"",$F480,"")</f>
        <v>Apprenant 468 ou 468'</v>
      </c>
      <c r="AL480" s="53" t="str">
        <f aca="false">IF(AND($AB480&lt;&gt;"",$AC480&lt;&gt;""),$AC480-$AB480,"")</f>
        <v/>
      </c>
      <c r="AM480" s="53" t="str">
        <f aca="false">IF(AND($AB480&lt;&gt;"",$AD480&lt;&gt;""),$AD480-$AB480,"")</f>
        <v/>
      </c>
      <c r="AN480" s="53" t="str">
        <f aca="false">IF(AND($AC480&lt;&gt;"",$AD480&lt;&gt;""),$AD480-$AC480,"")</f>
        <v/>
      </c>
      <c r="AO480" s="53" t="str">
        <f aca="false">IF($J480&lt;&gt;"",$J480,"")</f>
        <v/>
      </c>
      <c r="AQ480" s="52" t="str">
        <f aca="false">IF($A480&lt;&gt;"",$A480,"")</f>
        <v>Apprenant 468</v>
      </c>
      <c r="AR480" s="55" t="str">
        <f aca="false">IF(AND('Choix pédagogiques'!$C$4&lt;&gt;"?",'Choix pédagogiques'!$C$5&lt;&gt;"?",W480&lt;&gt;""),(W480-'Choix pédagogiques'!$C$4)/('Choix pédagogiques'!$C$5-'Choix pédagogiques'!$C$4),"")</f>
        <v/>
      </c>
      <c r="AS480" s="55" t="str">
        <f aca="false">IF(AND('Choix pédagogiques'!$C$4&lt;&gt;"?",'Choix pédagogiques'!$C$5&lt;&gt;"?",X480&lt;&gt;""),(X480-'Choix pédagogiques'!$C$4)/('Choix pédagogiques'!$C$5-'Choix pédagogiques'!$C$4),"")</f>
        <v/>
      </c>
      <c r="AT480" s="55" t="str">
        <f aca="false">IF(AND('Choix pédagogiques'!$C$4&lt;&gt;"?",'Choix pédagogiques'!$C$5&lt;&gt;"?",Y480&lt;&gt;""),(Y480-'Choix pédagogiques'!$C$4)/('Choix pédagogiques'!$C$5-'Choix pédagogiques'!$C$4),"")</f>
        <v/>
      </c>
      <c r="AU480" s="53" t="str">
        <f aca="false">IF($E480&lt;&gt;"",$E480,"")</f>
        <v/>
      </c>
      <c r="AV480" s="52" t="str">
        <f aca="false">IF($F480&lt;&gt;"",$F480,"")</f>
        <v>Apprenant 468 ou 468'</v>
      </c>
      <c r="AW480" s="55" t="str">
        <f aca="false">IF(AND('Choix pédagogiques'!$C$4&lt;&gt;"?",'Choix pédagogiques'!$C$5&lt;&gt;"?",AB480&lt;&gt;""),(AB480-'Choix pédagogiques'!$C$4)/('Choix pédagogiques'!$C$5-'Choix pédagogiques'!$C$4),"")</f>
        <v/>
      </c>
      <c r="AX480" s="55" t="str">
        <f aca="false">IF(AND('Choix pédagogiques'!$C$4&lt;&gt;"?",'Choix pédagogiques'!$C$5&lt;&gt;"?",AC480&lt;&gt;""),(AC480-'Choix pédagogiques'!$C$4)/('Choix pédagogiques'!$C$5-'Choix pédagogiques'!$C$4),"")</f>
        <v/>
      </c>
      <c r="AY480" s="55" t="str">
        <f aca="false">IF(AND('Choix pédagogiques'!$C$4&lt;&gt;"?",'Choix pédagogiques'!$C$5&lt;&gt;"?",AD480&lt;&gt;""),(AD480-'Choix pédagogiques'!$C$4)/('Choix pédagogiques'!$C$5-'Choix pédagogiques'!$C$4),"")</f>
        <v/>
      </c>
      <c r="AZ480" s="53" t="str">
        <f aca="false">IF($J480&lt;&gt;"",$J480,"")</f>
        <v/>
      </c>
      <c r="BA480" s="52" t="str">
        <f aca="false">IF($A480&lt;&gt;"",$A480,"")</f>
        <v>Apprenant 468</v>
      </c>
      <c r="BB480" s="55" t="str">
        <f aca="false">IF(AND($AR480&lt;&gt;"",$AS480&lt;&gt;""),$AS480-$AR480,"")</f>
        <v/>
      </c>
      <c r="BC480" s="55" t="str">
        <f aca="false">IF(AND($AR480&lt;&gt;"",$AT480&lt;&gt;""),$AT480-$AR480,"")</f>
        <v/>
      </c>
      <c r="BD480" s="55" t="str">
        <f aca="false">IF(AND($AS480&lt;&gt;"",$AT480&lt;&gt;""),$AT480-$AS480,"")</f>
        <v/>
      </c>
      <c r="BE480" s="53" t="str">
        <f aca="false">IF($E480&lt;&gt;"",$E480,"")</f>
        <v/>
      </c>
      <c r="BF480" s="52" t="str">
        <f aca="false">IF($F480&lt;&gt;"",$F480,"")</f>
        <v>Apprenant 468 ou 468'</v>
      </c>
      <c r="BG480" s="55" t="str">
        <f aca="false">IF(AND($AW480&lt;&gt;"",$AX480&lt;&gt;""),$AX480-$AW480,"")</f>
        <v/>
      </c>
      <c r="BH480" s="55" t="str">
        <f aca="false">IF(AND($AW480&lt;&gt;"",$AY480&lt;&gt;""),$AY480-$AW480,"")</f>
        <v/>
      </c>
      <c r="BI480" s="55" t="str">
        <f aca="false">IF(AND($AX480&lt;&gt;"",$AY480&lt;&gt;""),$AY480-$AX480,"")</f>
        <v/>
      </c>
      <c r="BJ480" s="53" t="str">
        <f aca="false">IF($J480&lt;&gt;"",$J480,"")</f>
        <v/>
      </c>
      <c r="BL480" s="52"/>
      <c r="BM480" s="52" t="str">
        <f aca="false">IF(OR(COUNT(B480:D1479)=0,AND('Choix pédagogiques'!$C$3&lt;&gt;1,'Choix pédagogiques'!$C$3&lt;&gt;2)),"",IF(AND(OR('Choix pédagogiques'!$C$3=1,'Choix pédagogiques'!$C$3=2),$B480&lt;&gt;"",$C480&lt;&gt;"",$D480&lt;&gt;""),1,0))</f>
        <v/>
      </c>
      <c r="BN480" s="52" t="str">
        <f aca="false">IF(OR(COUNT(G480:I1479)=0,AND('Choix pédagogiques'!$C$3&lt;&gt;1,'Choix pédagogiques'!$C$3&lt;&gt;2)),"",IF(AND(OR('Choix pédagogiques'!$C$3=1,'Choix pédagogiques'!$C$3=2),AND($G480&lt;&gt;"",$H480&lt;&gt;"",$I480&lt;&gt;"")),1,0))</f>
        <v/>
      </c>
      <c r="BO480" s="52" t="str">
        <f aca="false">IF(OR(COUNT(B480:D1479)=0,COUNT(G480:I1479)=0,'Choix pédagogiques'!C$3&lt;&gt;3),"",IF(AND('Choix pédagogiques'!$C$3=3,$B480&lt;&gt;"",$C480&lt;&gt;"",$D480&lt;&gt;"",$G480&lt;&gt;"",$H480&lt;&gt;"",$I480&lt;&gt;""),1,0))</f>
        <v/>
      </c>
      <c r="BR480" s="52" t="n">
        <v>840</v>
      </c>
      <c r="BS480" s="52" t="n">
        <v>1215</v>
      </c>
    </row>
    <row r="481" s="54" customFormat="true" ht="18" hidden="false" customHeight="true" outlineLevel="0" collapsed="false">
      <c r="A481" s="57" t="s">
        <v>893</v>
      </c>
      <c r="B481" s="51"/>
      <c r="C481" s="51"/>
      <c r="D481" s="51"/>
      <c r="E481" s="51"/>
      <c r="F481" s="57" t="s">
        <v>894</v>
      </c>
      <c r="G481" s="51"/>
      <c r="H481" s="51"/>
      <c r="I481" s="51"/>
      <c r="J481" s="51"/>
      <c r="K481" s="52" t="str">
        <f aca="false">IF($A481&lt;&gt;"",$A481,"")</f>
        <v>Apprenant 469</v>
      </c>
      <c r="L481" s="53" t="str">
        <f aca="false">IF(AND($B481&lt;&gt;"",$C481&lt;&gt;""),$C481-$B481,"")</f>
        <v/>
      </c>
      <c r="M481" s="53" t="str">
        <f aca="false">IF(AND($B481&lt;&gt;"",$D481&lt;&gt;""),$D481-$B481,"")</f>
        <v/>
      </c>
      <c r="N481" s="53" t="str">
        <f aca="false">IF(AND($C481&lt;&gt;"",$D481&lt;&gt;""),$D481-$C481,"")</f>
        <v/>
      </c>
      <c r="O481" s="53" t="str">
        <f aca="false">IF($E481&lt;&gt;"",$E481,"")</f>
        <v/>
      </c>
      <c r="P481" s="52" t="str">
        <f aca="false">IF($F481&lt;&gt;"",$F481,"")</f>
        <v>Apprenant 469 ou 469'</v>
      </c>
      <c r="Q481" s="53" t="str">
        <f aca="false">IF(AND($G481&lt;&gt;"",$H481&lt;&gt;""),$H481-$G481,"")</f>
        <v/>
      </c>
      <c r="R481" s="53" t="str">
        <f aca="false">IF(AND($G481&lt;&gt;"",$I481&lt;&gt;""),$I481-$G481,"")</f>
        <v/>
      </c>
      <c r="S481" s="53" t="str">
        <f aca="false">IF(AND($H481&lt;&gt;"",$I481&lt;&gt;""),$I481-$H481,"")</f>
        <v/>
      </c>
      <c r="T481" s="53" t="str">
        <f aca="false">IF($J481&lt;&gt;"",$J481,"")</f>
        <v/>
      </c>
      <c r="V481" s="52" t="str">
        <f aca="false">IF($A481&lt;&gt;"",$A481,"")</f>
        <v>Apprenant 469</v>
      </c>
      <c r="W481" s="53" t="str">
        <f aca="false">IF(AND(OR('Choix pédagogiques'!$C$3=1,'Choix pédagogiques'!$C$3=2),$BM481=1),B481,IF(AND('Choix pédagogiques'!$C$3=3,$BO481=1),B481,""))</f>
        <v/>
      </c>
      <c r="X481" s="53" t="str">
        <f aca="false">IF(AND(OR('Choix pédagogiques'!$C$3=1,'Choix pédagogiques'!$C$3=2),$BM481=1),C481,IF(AND('Choix pédagogiques'!$C$3=3,$BO481=1),C481,""))</f>
        <v/>
      </c>
      <c r="Y481" s="53" t="str">
        <f aca="false">IF(AND(OR('Choix pédagogiques'!$C$3=1,'Choix pédagogiques'!$C$3=2),$BM481=1),D481,IF(AND('Choix pédagogiques'!$C$3=3,$BO481=1),D481,""))</f>
        <v/>
      </c>
      <c r="Z481" s="53" t="str">
        <f aca="false">IF($E481&lt;&gt;"",$E481,"")</f>
        <v/>
      </c>
      <c r="AA481" s="52" t="str">
        <f aca="false">IF($F481&lt;&gt;"",$F481,"")</f>
        <v>Apprenant 469 ou 469'</v>
      </c>
      <c r="AB481" s="53" t="str">
        <f aca="false">IF(AND(OR('Choix pédagogiques'!$C$3=1,'Choix pédagogiques'!$C$3=2),$BN481=1),G481,IF(AND('Choix pédagogiques'!$C$3=3,$BO481=1),G481,""))</f>
        <v/>
      </c>
      <c r="AC481" s="53" t="str">
        <f aca="false">IF(AND(OR('Choix pédagogiques'!$C$3=1,'Choix pédagogiques'!$C$3=2),$BN481=1),H481,IF(AND('Choix pédagogiques'!$C$3=3,$BO481=1),H481,""))</f>
        <v/>
      </c>
      <c r="AD481" s="53" t="str">
        <f aca="false">IF(AND(OR('Choix pédagogiques'!$C$3=1,'Choix pédagogiques'!$C$3=2),$BN481=1),I481,IF(AND('Choix pédagogiques'!$C$3=3,$BO481=1),I481,""))</f>
        <v/>
      </c>
      <c r="AE481" s="53" t="str">
        <f aca="false">IF($J481&lt;&gt;"",$J481,"")</f>
        <v/>
      </c>
      <c r="AF481" s="52" t="str">
        <f aca="false">IF($A481&lt;&gt;"",$A481,"")</f>
        <v>Apprenant 469</v>
      </c>
      <c r="AG481" s="53" t="str">
        <f aca="false">IF(AND($W481&lt;&gt;"",$X481&lt;&gt;""),$X481-$W481,"")</f>
        <v/>
      </c>
      <c r="AH481" s="53" t="str">
        <f aca="false">IF(AND($W481&lt;&gt;"",$Y481&lt;&gt;""),$Y481-$W481,"")</f>
        <v/>
      </c>
      <c r="AI481" s="53" t="str">
        <f aca="false">IF(AND($X481&lt;&gt;"",$Y481&lt;&gt;""),$Y481-$X481,"")</f>
        <v/>
      </c>
      <c r="AJ481" s="53" t="str">
        <f aca="false">IF($E481&lt;&gt;"",$E481,"")</f>
        <v/>
      </c>
      <c r="AK481" s="52" t="str">
        <f aca="false">IF($F481&lt;&gt;"",$F481,"")</f>
        <v>Apprenant 469 ou 469'</v>
      </c>
      <c r="AL481" s="53" t="str">
        <f aca="false">IF(AND($AB481&lt;&gt;"",$AC481&lt;&gt;""),$AC481-$AB481,"")</f>
        <v/>
      </c>
      <c r="AM481" s="53" t="str">
        <f aca="false">IF(AND($AB481&lt;&gt;"",$AD481&lt;&gt;""),$AD481-$AB481,"")</f>
        <v/>
      </c>
      <c r="AN481" s="53" t="str">
        <f aca="false">IF(AND($AC481&lt;&gt;"",$AD481&lt;&gt;""),$AD481-$AC481,"")</f>
        <v/>
      </c>
      <c r="AO481" s="53" t="str">
        <f aca="false">IF($J481&lt;&gt;"",$J481,"")</f>
        <v/>
      </c>
      <c r="AQ481" s="52" t="str">
        <f aca="false">IF($A481&lt;&gt;"",$A481,"")</f>
        <v>Apprenant 469</v>
      </c>
      <c r="AR481" s="55" t="str">
        <f aca="false">IF(AND('Choix pédagogiques'!$C$4&lt;&gt;"?",'Choix pédagogiques'!$C$5&lt;&gt;"?",W481&lt;&gt;""),(W481-'Choix pédagogiques'!$C$4)/('Choix pédagogiques'!$C$5-'Choix pédagogiques'!$C$4),"")</f>
        <v/>
      </c>
      <c r="AS481" s="55" t="str">
        <f aca="false">IF(AND('Choix pédagogiques'!$C$4&lt;&gt;"?",'Choix pédagogiques'!$C$5&lt;&gt;"?",X481&lt;&gt;""),(X481-'Choix pédagogiques'!$C$4)/('Choix pédagogiques'!$C$5-'Choix pédagogiques'!$C$4),"")</f>
        <v/>
      </c>
      <c r="AT481" s="55" t="str">
        <f aca="false">IF(AND('Choix pédagogiques'!$C$4&lt;&gt;"?",'Choix pédagogiques'!$C$5&lt;&gt;"?",Y481&lt;&gt;""),(Y481-'Choix pédagogiques'!$C$4)/('Choix pédagogiques'!$C$5-'Choix pédagogiques'!$C$4),"")</f>
        <v/>
      </c>
      <c r="AU481" s="53" t="str">
        <f aca="false">IF($E481&lt;&gt;"",$E481,"")</f>
        <v/>
      </c>
      <c r="AV481" s="52" t="str">
        <f aca="false">IF($F481&lt;&gt;"",$F481,"")</f>
        <v>Apprenant 469 ou 469'</v>
      </c>
      <c r="AW481" s="55" t="str">
        <f aca="false">IF(AND('Choix pédagogiques'!$C$4&lt;&gt;"?",'Choix pédagogiques'!$C$5&lt;&gt;"?",AB481&lt;&gt;""),(AB481-'Choix pédagogiques'!$C$4)/('Choix pédagogiques'!$C$5-'Choix pédagogiques'!$C$4),"")</f>
        <v/>
      </c>
      <c r="AX481" s="55" t="str">
        <f aca="false">IF(AND('Choix pédagogiques'!$C$4&lt;&gt;"?",'Choix pédagogiques'!$C$5&lt;&gt;"?",AC481&lt;&gt;""),(AC481-'Choix pédagogiques'!$C$4)/('Choix pédagogiques'!$C$5-'Choix pédagogiques'!$C$4),"")</f>
        <v/>
      </c>
      <c r="AY481" s="55" t="str">
        <f aca="false">IF(AND('Choix pédagogiques'!$C$4&lt;&gt;"?",'Choix pédagogiques'!$C$5&lt;&gt;"?",AD481&lt;&gt;""),(AD481-'Choix pédagogiques'!$C$4)/('Choix pédagogiques'!$C$5-'Choix pédagogiques'!$C$4),"")</f>
        <v/>
      </c>
      <c r="AZ481" s="53" t="str">
        <f aca="false">IF($J481&lt;&gt;"",$J481,"")</f>
        <v/>
      </c>
      <c r="BA481" s="52" t="str">
        <f aca="false">IF($A481&lt;&gt;"",$A481,"")</f>
        <v>Apprenant 469</v>
      </c>
      <c r="BB481" s="55" t="str">
        <f aca="false">IF(AND($AR481&lt;&gt;"",$AS481&lt;&gt;""),$AS481-$AR481,"")</f>
        <v/>
      </c>
      <c r="BC481" s="55" t="str">
        <f aca="false">IF(AND($AR481&lt;&gt;"",$AT481&lt;&gt;""),$AT481-$AR481,"")</f>
        <v/>
      </c>
      <c r="BD481" s="55" t="str">
        <f aca="false">IF(AND($AS481&lt;&gt;"",$AT481&lt;&gt;""),$AT481-$AS481,"")</f>
        <v/>
      </c>
      <c r="BE481" s="53" t="str">
        <f aca="false">IF($E481&lt;&gt;"",$E481,"")</f>
        <v/>
      </c>
      <c r="BF481" s="52" t="str">
        <f aca="false">IF($F481&lt;&gt;"",$F481,"")</f>
        <v>Apprenant 469 ou 469'</v>
      </c>
      <c r="BG481" s="55" t="str">
        <f aca="false">IF(AND($AW481&lt;&gt;"",$AX481&lt;&gt;""),$AX481-$AW481,"")</f>
        <v/>
      </c>
      <c r="BH481" s="55" t="str">
        <f aca="false">IF(AND($AW481&lt;&gt;"",$AY481&lt;&gt;""),$AY481-$AW481,"")</f>
        <v/>
      </c>
      <c r="BI481" s="55" t="str">
        <f aca="false">IF(AND($AX481&lt;&gt;"",$AY481&lt;&gt;""),$AY481-$AX481,"")</f>
        <v/>
      </c>
      <c r="BJ481" s="53" t="str">
        <f aca="false">IF($J481&lt;&gt;"",$J481,"")</f>
        <v/>
      </c>
      <c r="BL481" s="52"/>
      <c r="BM481" s="52" t="str">
        <f aca="false">IF(OR(COUNT(B481:D1480)=0,AND('Choix pédagogiques'!$C$3&lt;&gt;1,'Choix pédagogiques'!$C$3&lt;&gt;2)),"",IF(AND(OR('Choix pédagogiques'!$C$3=1,'Choix pédagogiques'!$C$3=2),$B481&lt;&gt;"",$C481&lt;&gt;"",$D481&lt;&gt;""),1,0))</f>
        <v/>
      </c>
      <c r="BN481" s="52" t="str">
        <f aca="false">IF(OR(COUNT(G481:I1480)=0,AND('Choix pédagogiques'!$C$3&lt;&gt;1,'Choix pédagogiques'!$C$3&lt;&gt;2)),"",IF(AND(OR('Choix pédagogiques'!$C$3=1,'Choix pédagogiques'!$C$3=2),AND($G481&lt;&gt;"",$H481&lt;&gt;"",$I481&lt;&gt;"")),1,0))</f>
        <v/>
      </c>
      <c r="BO481" s="52" t="str">
        <f aca="false">IF(OR(COUNT(B481:D1480)=0,COUNT(G481:I1480)=0,'Choix pédagogiques'!C$3&lt;&gt;3),"",IF(AND('Choix pédagogiques'!$C$3=3,$B481&lt;&gt;"",$C481&lt;&gt;"",$D481&lt;&gt;"",$G481&lt;&gt;"",$H481&lt;&gt;"",$I481&lt;&gt;""),1,0))</f>
        <v/>
      </c>
      <c r="BR481" s="52" t="n">
        <v>515</v>
      </c>
      <c r="BS481" s="52" t="n">
        <v>1598</v>
      </c>
    </row>
    <row r="482" s="54" customFormat="true" ht="18" hidden="false" customHeight="true" outlineLevel="0" collapsed="false">
      <c r="A482" s="57" t="s">
        <v>895</v>
      </c>
      <c r="B482" s="51"/>
      <c r="C482" s="51"/>
      <c r="D482" s="51"/>
      <c r="E482" s="51"/>
      <c r="F482" s="57" t="s">
        <v>896</v>
      </c>
      <c r="G482" s="51"/>
      <c r="H482" s="51"/>
      <c r="I482" s="51"/>
      <c r="J482" s="51"/>
      <c r="K482" s="52" t="str">
        <f aca="false">IF($A482&lt;&gt;"",$A482,"")</f>
        <v>Apprenant 470</v>
      </c>
      <c r="L482" s="53" t="str">
        <f aca="false">IF(AND($B482&lt;&gt;"",$C482&lt;&gt;""),$C482-$B482,"")</f>
        <v/>
      </c>
      <c r="M482" s="53" t="str">
        <f aca="false">IF(AND($B482&lt;&gt;"",$D482&lt;&gt;""),$D482-$B482,"")</f>
        <v/>
      </c>
      <c r="N482" s="53" t="str">
        <f aca="false">IF(AND($C482&lt;&gt;"",$D482&lt;&gt;""),$D482-$C482,"")</f>
        <v/>
      </c>
      <c r="O482" s="53" t="str">
        <f aca="false">IF($E482&lt;&gt;"",$E482,"")</f>
        <v/>
      </c>
      <c r="P482" s="52" t="str">
        <f aca="false">IF($F482&lt;&gt;"",$F482,"")</f>
        <v>Apprenant 470 ou 470'</v>
      </c>
      <c r="Q482" s="53" t="str">
        <f aca="false">IF(AND($G482&lt;&gt;"",$H482&lt;&gt;""),$H482-$G482,"")</f>
        <v/>
      </c>
      <c r="R482" s="53" t="str">
        <f aca="false">IF(AND($G482&lt;&gt;"",$I482&lt;&gt;""),$I482-$G482,"")</f>
        <v/>
      </c>
      <c r="S482" s="53" t="str">
        <f aca="false">IF(AND($H482&lt;&gt;"",$I482&lt;&gt;""),$I482-$H482,"")</f>
        <v/>
      </c>
      <c r="T482" s="53" t="str">
        <f aca="false">IF($J482&lt;&gt;"",$J482,"")</f>
        <v/>
      </c>
      <c r="V482" s="52" t="str">
        <f aca="false">IF($A482&lt;&gt;"",$A482,"")</f>
        <v>Apprenant 470</v>
      </c>
      <c r="W482" s="53" t="str">
        <f aca="false">IF(AND(OR('Choix pédagogiques'!$C$3=1,'Choix pédagogiques'!$C$3=2),$BM482=1),B482,IF(AND('Choix pédagogiques'!$C$3=3,$BO482=1),B482,""))</f>
        <v/>
      </c>
      <c r="X482" s="53" t="str">
        <f aca="false">IF(AND(OR('Choix pédagogiques'!$C$3=1,'Choix pédagogiques'!$C$3=2),$BM482=1),C482,IF(AND('Choix pédagogiques'!$C$3=3,$BO482=1),C482,""))</f>
        <v/>
      </c>
      <c r="Y482" s="53" t="str">
        <f aca="false">IF(AND(OR('Choix pédagogiques'!$C$3=1,'Choix pédagogiques'!$C$3=2),$BM482=1),D482,IF(AND('Choix pédagogiques'!$C$3=3,$BO482=1),D482,""))</f>
        <v/>
      </c>
      <c r="Z482" s="53" t="str">
        <f aca="false">IF($E482&lt;&gt;"",$E482,"")</f>
        <v/>
      </c>
      <c r="AA482" s="52" t="str">
        <f aca="false">IF($F482&lt;&gt;"",$F482,"")</f>
        <v>Apprenant 470 ou 470'</v>
      </c>
      <c r="AB482" s="53" t="str">
        <f aca="false">IF(AND(OR('Choix pédagogiques'!$C$3=1,'Choix pédagogiques'!$C$3=2),$BN482=1),G482,IF(AND('Choix pédagogiques'!$C$3=3,$BO482=1),G482,""))</f>
        <v/>
      </c>
      <c r="AC482" s="53" t="str">
        <f aca="false">IF(AND(OR('Choix pédagogiques'!$C$3=1,'Choix pédagogiques'!$C$3=2),$BN482=1),H482,IF(AND('Choix pédagogiques'!$C$3=3,$BO482=1),H482,""))</f>
        <v/>
      </c>
      <c r="AD482" s="53" t="str">
        <f aca="false">IF(AND(OR('Choix pédagogiques'!$C$3=1,'Choix pédagogiques'!$C$3=2),$BN482=1),I482,IF(AND('Choix pédagogiques'!$C$3=3,$BO482=1),I482,""))</f>
        <v/>
      </c>
      <c r="AE482" s="53" t="str">
        <f aca="false">IF($J482&lt;&gt;"",$J482,"")</f>
        <v/>
      </c>
      <c r="AF482" s="52" t="str">
        <f aca="false">IF($A482&lt;&gt;"",$A482,"")</f>
        <v>Apprenant 470</v>
      </c>
      <c r="AG482" s="53" t="str">
        <f aca="false">IF(AND($W482&lt;&gt;"",$X482&lt;&gt;""),$X482-$W482,"")</f>
        <v/>
      </c>
      <c r="AH482" s="53" t="str">
        <f aca="false">IF(AND($W482&lt;&gt;"",$Y482&lt;&gt;""),$Y482-$W482,"")</f>
        <v/>
      </c>
      <c r="AI482" s="53" t="str">
        <f aca="false">IF(AND($X482&lt;&gt;"",$Y482&lt;&gt;""),$Y482-$X482,"")</f>
        <v/>
      </c>
      <c r="AJ482" s="53" t="str">
        <f aca="false">IF($E482&lt;&gt;"",$E482,"")</f>
        <v/>
      </c>
      <c r="AK482" s="52" t="str">
        <f aca="false">IF($F482&lt;&gt;"",$F482,"")</f>
        <v>Apprenant 470 ou 470'</v>
      </c>
      <c r="AL482" s="53" t="str">
        <f aca="false">IF(AND($AB482&lt;&gt;"",$AC482&lt;&gt;""),$AC482-$AB482,"")</f>
        <v/>
      </c>
      <c r="AM482" s="53" t="str">
        <f aca="false">IF(AND($AB482&lt;&gt;"",$AD482&lt;&gt;""),$AD482-$AB482,"")</f>
        <v/>
      </c>
      <c r="AN482" s="53" t="str">
        <f aca="false">IF(AND($AC482&lt;&gt;"",$AD482&lt;&gt;""),$AD482-$AC482,"")</f>
        <v/>
      </c>
      <c r="AO482" s="53" t="str">
        <f aca="false">IF($J482&lt;&gt;"",$J482,"")</f>
        <v/>
      </c>
      <c r="AQ482" s="52" t="str">
        <f aca="false">IF($A482&lt;&gt;"",$A482,"")</f>
        <v>Apprenant 470</v>
      </c>
      <c r="AR482" s="55" t="str">
        <f aca="false">IF(AND('Choix pédagogiques'!$C$4&lt;&gt;"?",'Choix pédagogiques'!$C$5&lt;&gt;"?",W482&lt;&gt;""),(W482-'Choix pédagogiques'!$C$4)/('Choix pédagogiques'!$C$5-'Choix pédagogiques'!$C$4),"")</f>
        <v/>
      </c>
      <c r="AS482" s="55" t="str">
        <f aca="false">IF(AND('Choix pédagogiques'!$C$4&lt;&gt;"?",'Choix pédagogiques'!$C$5&lt;&gt;"?",X482&lt;&gt;""),(X482-'Choix pédagogiques'!$C$4)/('Choix pédagogiques'!$C$5-'Choix pédagogiques'!$C$4),"")</f>
        <v/>
      </c>
      <c r="AT482" s="55" t="str">
        <f aca="false">IF(AND('Choix pédagogiques'!$C$4&lt;&gt;"?",'Choix pédagogiques'!$C$5&lt;&gt;"?",Y482&lt;&gt;""),(Y482-'Choix pédagogiques'!$C$4)/('Choix pédagogiques'!$C$5-'Choix pédagogiques'!$C$4),"")</f>
        <v/>
      </c>
      <c r="AU482" s="53" t="str">
        <f aca="false">IF($E482&lt;&gt;"",$E482,"")</f>
        <v/>
      </c>
      <c r="AV482" s="52" t="str">
        <f aca="false">IF($F482&lt;&gt;"",$F482,"")</f>
        <v>Apprenant 470 ou 470'</v>
      </c>
      <c r="AW482" s="55" t="str">
        <f aca="false">IF(AND('Choix pédagogiques'!$C$4&lt;&gt;"?",'Choix pédagogiques'!$C$5&lt;&gt;"?",AB482&lt;&gt;""),(AB482-'Choix pédagogiques'!$C$4)/('Choix pédagogiques'!$C$5-'Choix pédagogiques'!$C$4),"")</f>
        <v/>
      </c>
      <c r="AX482" s="55" t="str">
        <f aca="false">IF(AND('Choix pédagogiques'!$C$4&lt;&gt;"?",'Choix pédagogiques'!$C$5&lt;&gt;"?",AC482&lt;&gt;""),(AC482-'Choix pédagogiques'!$C$4)/('Choix pédagogiques'!$C$5-'Choix pédagogiques'!$C$4),"")</f>
        <v/>
      </c>
      <c r="AY482" s="55" t="str">
        <f aca="false">IF(AND('Choix pédagogiques'!$C$4&lt;&gt;"?",'Choix pédagogiques'!$C$5&lt;&gt;"?",AD482&lt;&gt;""),(AD482-'Choix pédagogiques'!$C$4)/('Choix pédagogiques'!$C$5-'Choix pédagogiques'!$C$4),"")</f>
        <v/>
      </c>
      <c r="AZ482" s="53" t="str">
        <f aca="false">IF($J482&lt;&gt;"",$J482,"")</f>
        <v/>
      </c>
      <c r="BA482" s="52" t="str">
        <f aca="false">IF($A482&lt;&gt;"",$A482,"")</f>
        <v>Apprenant 470</v>
      </c>
      <c r="BB482" s="55" t="str">
        <f aca="false">IF(AND($AR482&lt;&gt;"",$AS482&lt;&gt;""),$AS482-$AR482,"")</f>
        <v/>
      </c>
      <c r="BC482" s="55" t="str">
        <f aca="false">IF(AND($AR482&lt;&gt;"",$AT482&lt;&gt;""),$AT482-$AR482,"")</f>
        <v/>
      </c>
      <c r="BD482" s="55" t="str">
        <f aca="false">IF(AND($AS482&lt;&gt;"",$AT482&lt;&gt;""),$AT482-$AS482,"")</f>
        <v/>
      </c>
      <c r="BE482" s="53" t="str">
        <f aca="false">IF($E482&lt;&gt;"",$E482,"")</f>
        <v/>
      </c>
      <c r="BF482" s="52" t="str">
        <f aca="false">IF($F482&lt;&gt;"",$F482,"")</f>
        <v>Apprenant 470 ou 470'</v>
      </c>
      <c r="BG482" s="55" t="str">
        <f aca="false">IF(AND($AW482&lt;&gt;"",$AX482&lt;&gt;""),$AX482-$AW482,"")</f>
        <v/>
      </c>
      <c r="BH482" s="55" t="str">
        <f aca="false">IF(AND($AW482&lt;&gt;"",$AY482&lt;&gt;""),$AY482-$AW482,"")</f>
        <v/>
      </c>
      <c r="BI482" s="55" t="str">
        <f aca="false">IF(AND($AX482&lt;&gt;"",$AY482&lt;&gt;""),$AY482-$AX482,"")</f>
        <v/>
      </c>
      <c r="BJ482" s="53" t="str">
        <f aca="false">IF($J482&lt;&gt;"",$J482,"")</f>
        <v/>
      </c>
      <c r="BL482" s="52"/>
      <c r="BM482" s="52" t="str">
        <f aca="false">IF(OR(COUNT(B482:D1481)=0,AND('Choix pédagogiques'!$C$3&lt;&gt;1,'Choix pédagogiques'!$C$3&lt;&gt;2)),"",IF(AND(OR('Choix pédagogiques'!$C$3=1,'Choix pédagogiques'!$C$3=2),$B482&lt;&gt;"",$C482&lt;&gt;"",$D482&lt;&gt;""),1,0))</f>
        <v/>
      </c>
      <c r="BN482" s="52" t="str">
        <f aca="false">IF(OR(COUNT(G482:I1481)=0,AND('Choix pédagogiques'!$C$3&lt;&gt;1,'Choix pédagogiques'!$C$3&lt;&gt;2)),"",IF(AND(OR('Choix pédagogiques'!$C$3=1,'Choix pédagogiques'!$C$3=2),AND($G482&lt;&gt;"",$H482&lt;&gt;"",$I482&lt;&gt;"")),1,0))</f>
        <v/>
      </c>
      <c r="BO482" s="52" t="str">
        <f aca="false">IF(OR(COUNT(B482:D1481)=0,COUNT(G482:I1481)=0,'Choix pédagogiques'!C$3&lt;&gt;3),"",IF(AND('Choix pédagogiques'!$C$3=3,$B482&lt;&gt;"",$C482&lt;&gt;"",$D482&lt;&gt;"",$G482&lt;&gt;"",$H482&lt;&gt;"",$I482&lt;&gt;""),1,0))</f>
        <v/>
      </c>
      <c r="BR482" s="52" t="n">
        <v>879</v>
      </c>
      <c r="BS482" s="52" t="n">
        <v>1362</v>
      </c>
    </row>
    <row r="483" s="54" customFormat="true" ht="18" hidden="false" customHeight="true" outlineLevel="0" collapsed="false">
      <c r="A483" s="57" t="s">
        <v>897</v>
      </c>
      <c r="B483" s="51"/>
      <c r="C483" s="51"/>
      <c r="D483" s="51"/>
      <c r="E483" s="51"/>
      <c r="F483" s="57" t="s">
        <v>898</v>
      </c>
      <c r="G483" s="51"/>
      <c r="H483" s="51"/>
      <c r="I483" s="51"/>
      <c r="J483" s="51"/>
      <c r="K483" s="52" t="str">
        <f aca="false">IF($A483&lt;&gt;"",$A483,"")</f>
        <v>Apprenant 471</v>
      </c>
      <c r="L483" s="53" t="str">
        <f aca="false">IF(AND($B483&lt;&gt;"",$C483&lt;&gt;""),$C483-$B483,"")</f>
        <v/>
      </c>
      <c r="M483" s="53" t="str">
        <f aca="false">IF(AND($B483&lt;&gt;"",$D483&lt;&gt;""),$D483-$B483,"")</f>
        <v/>
      </c>
      <c r="N483" s="53" t="str">
        <f aca="false">IF(AND($C483&lt;&gt;"",$D483&lt;&gt;""),$D483-$C483,"")</f>
        <v/>
      </c>
      <c r="O483" s="53" t="str">
        <f aca="false">IF($E483&lt;&gt;"",$E483,"")</f>
        <v/>
      </c>
      <c r="P483" s="52" t="str">
        <f aca="false">IF($F483&lt;&gt;"",$F483,"")</f>
        <v>Apprenant 471 ou 471'</v>
      </c>
      <c r="Q483" s="53" t="str">
        <f aca="false">IF(AND($G483&lt;&gt;"",$H483&lt;&gt;""),$H483-$G483,"")</f>
        <v/>
      </c>
      <c r="R483" s="53" t="str">
        <f aca="false">IF(AND($G483&lt;&gt;"",$I483&lt;&gt;""),$I483-$G483,"")</f>
        <v/>
      </c>
      <c r="S483" s="53" t="str">
        <f aca="false">IF(AND($H483&lt;&gt;"",$I483&lt;&gt;""),$I483-$H483,"")</f>
        <v/>
      </c>
      <c r="T483" s="53" t="str">
        <f aca="false">IF($J483&lt;&gt;"",$J483,"")</f>
        <v/>
      </c>
      <c r="V483" s="52" t="str">
        <f aca="false">IF($A483&lt;&gt;"",$A483,"")</f>
        <v>Apprenant 471</v>
      </c>
      <c r="W483" s="53" t="str">
        <f aca="false">IF(AND(OR('Choix pédagogiques'!$C$3=1,'Choix pédagogiques'!$C$3=2),$BM483=1),B483,IF(AND('Choix pédagogiques'!$C$3=3,$BO483=1),B483,""))</f>
        <v/>
      </c>
      <c r="X483" s="53" t="str">
        <f aca="false">IF(AND(OR('Choix pédagogiques'!$C$3=1,'Choix pédagogiques'!$C$3=2),$BM483=1),C483,IF(AND('Choix pédagogiques'!$C$3=3,$BO483=1),C483,""))</f>
        <v/>
      </c>
      <c r="Y483" s="53" t="str">
        <f aca="false">IF(AND(OR('Choix pédagogiques'!$C$3=1,'Choix pédagogiques'!$C$3=2),$BM483=1),D483,IF(AND('Choix pédagogiques'!$C$3=3,$BO483=1),D483,""))</f>
        <v/>
      </c>
      <c r="Z483" s="53" t="str">
        <f aca="false">IF($E483&lt;&gt;"",$E483,"")</f>
        <v/>
      </c>
      <c r="AA483" s="52" t="str">
        <f aca="false">IF($F483&lt;&gt;"",$F483,"")</f>
        <v>Apprenant 471 ou 471'</v>
      </c>
      <c r="AB483" s="53" t="str">
        <f aca="false">IF(AND(OR('Choix pédagogiques'!$C$3=1,'Choix pédagogiques'!$C$3=2),$BN483=1),G483,IF(AND('Choix pédagogiques'!$C$3=3,$BO483=1),G483,""))</f>
        <v/>
      </c>
      <c r="AC483" s="53" t="str">
        <f aca="false">IF(AND(OR('Choix pédagogiques'!$C$3=1,'Choix pédagogiques'!$C$3=2),$BN483=1),H483,IF(AND('Choix pédagogiques'!$C$3=3,$BO483=1),H483,""))</f>
        <v/>
      </c>
      <c r="AD483" s="53" t="str">
        <f aca="false">IF(AND(OR('Choix pédagogiques'!$C$3=1,'Choix pédagogiques'!$C$3=2),$BN483=1),I483,IF(AND('Choix pédagogiques'!$C$3=3,$BO483=1),I483,""))</f>
        <v/>
      </c>
      <c r="AE483" s="53" t="str">
        <f aca="false">IF($J483&lt;&gt;"",$J483,"")</f>
        <v/>
      </c>
      <c r="AF483" s="52" t="str">
        <f aca="false">IF($A483&lt;&gt;"",$A483,"")</f>
        <v>Apprenant 471</v>
      </c>
      <c r="AG483" s="53" t="str">
        <f aca="false">IF(AND($W483&lt;&gt;"",$X483&lt;&gt;""),$X483-$W483,"")</f>
        <v/>
      </c>
      <c r="AH483" s="53" t="str">
        <f aca="false">IF(AND($W483&lt;&gt;"",$Y483&lt;&gt;""),$Y483-$W483,"")</f>
        <v/>
      </c>
      <c r="AI483" s="53" t="str">
        <f aca="false">IF(AND($X483&lt;&gt;"",$Y483&lt;&gt;""),$Y483-$X483,"")</f>
        <v/>
      </c>
      <c r="AJ483" s="53" t="str">
        <f aca="false">IF($E483&lt;&gt;"",$E483,"")</f>
        <v/>
      </c>
      <c r="AK483" s="52" t="str">
        <f aca="false">IF($F483&lt;&gt;"",$F483,"")</f>
        <v>Apprenant 471 ou 471'</v>
      </c>
      <c r="AL483" s="53" t="str">
        <f aca="false">IF(AND($AB483&lt;&gt;"",$AC483&lt;&gt;""),$AC483-$AB483,"")</f>
        <v/>
      </c>
      <c r="AM483" s="53" t="str">
        <f aca="false">IF(AND($AB483&lt;&gt;"",$AD483&lt;&gt;""),$AD483-$AB483,"")</f>
        <v/>
      </c>
      <c r="AN483" s="53" t="str">
        <f aca="false">IF(AND($AC483&lt;&gt;"",$AD483&lt;&gt;""),$AD483-$AC483,"")</f>
        <v/>
      </c>
      <c r="AO483" s="53" t="str">
        <f aca="false">IF($J483&lt;&gt;"",$J483,"")</f>
        <v/>
      </c>
      <c r="AQ483" s="52" t="str">
        <f aca="false">IF($A483&lt;&gt;"",$A483,"")</f>
        <v>Apprenant 471</v>
      </c>
      <c r="AR483" s="55" t="str">
        <f aca="false">IF(AND('Choix pédagogiques'!$C$4&lt;&gt;"?",'Choix pédagogiques'!$C$5&lt;&gt;"?",W483&lt;&gt;""),(W483-'Choix pédagogiques'!$C$4)/('Choix pédagogiques'!$C$5-'Choix pédagogiques'!$C$4),"")</f>
        <v/>
      </c>
      <c r="AS483" s="55" t="str">
        <f aca="false">IF(AND('Choix pédagogiques'!$C$4&lt;&gt;"?",'Choix pédagogiques'!$C$5&lt;&gt;"?",X483&lt;&gt;""),(X483-'Choix pédagogiques'!$C$4)/('Choix pédagogiques'!$C$5-'Choix pédagogiques'!$C$4),"")</f>
        <v/>
      </c>
      <c r="AT483" s="55" t="str">
        <f aca="false">IF(AND('Choix pédagogiques'!$C$4&lt;&gt;"?",'Choix pédagogiques'!$C$5&lt;&gt;"?",Y483&lt;&gt;""),(Y483-'Choix pédagogiques'!$C$4)/('Choix pédagogiques'!$C$5-'Choix pédagogiques'!$C$4),"")</f>
        <v/>
      </c>
      <c r="AU483" s="53" t="str">
        <f aca="false">IF($E483&lt;&gt;"",$E483,"")</f>
        <v/>
      </c>
      <c r="AV483" s="52" t="str">
        <f aca="false">IF($F483&lt;&gt;"",$F483,"")</f>
        <v>Apprenant 471 ou 471'</v>
      </c>
      <c r="AW483" s="55" t="str">
        <f aca="false">IF(AND('Choix pédagogiques'!$C$4&lt;&gt;"?",'Choix pédagogiques'!$C$5&lt;&gt;"?",AB483&lt;&gt;""),(AB483-'Choix pédagogiques'!$C$4)/('Choix pédagogiques'!$C$5-'Choix pédagogiques'!$C$4),"")</f>
        <v/>
      </c>
      <c r="AX483" s="55" t="str">
        <f aca="false">IF(AND('Choix pédagogiques'!$C$4&lt;&gt;"?",'Choix pédagogiques'!$C$5&lt;&gt;"?",AC483&lt;&gt;""),(AC483-'Choix pédagogiques'!$C$4)/('Choix pédagogiques'!$C$5-'Choix pédagogiques'!$C$4),"")</f>
        <v/>
      </c>
      <c r="AY483" s="55" t="str">
        <f aca="false">IF(AND('Choix pédagogiques'!$C$4&lt;&gt;"?",'Choix pédagogiques'!$C$5&lt;&gt;"?",AD483&lt;&gt;""),(AD483-'Choix pédagogiques'!$C$4)/('Choix pédagogiques'!$C$5-'Choix pédagogiques'!$C$4),"")</f>
        <v/>
      </c>
      <c r="AZ483" s="53" t="str">
        <f aca="false">IF($J483&lt;&gt;"",$J483,"")</f>
        <v/>
      </c>
      <c r="BA483" s="52" t="str">
        <f aca="false">IF($A483&lt;&gt;"",$A483,"")</f>
        <v>Apprenant 471</v>
      </c>
      <c r="BB483" s="55" t="str">
        <f aca="false">IF(AND($AR483&lt;&gt;"",$AS483&lt;&gt;""),$AS483-$AR483,"")</f>
        <v/>
      </c>
      <c r="BC483" s="55" t="str">
        <f aca="false">IF(AND($AR483&lt;&gt;"",$AT483&lt;&gt;""),$AT483-$AR483,"")</f>
        <v/>
      </c>
      <c r="BD483" s="55" t="str">
        <f aca="false">IF(AND($AS483&lt;&gt;"",$AT483&lt;&gt;""),$AT483-$AS483,"")</f>
        <v/>
      </c>
      <c r="BE483" s="53" t="str">
        <f aca="false">IF($E483&lt;&gt;"",$E483,"")</f>
        <v/>
      </c>
      <c r="BF483" s="52" t="str">
        <f aca="false">IF($F483&lt;&gt;"",$F483,"")</f>
        <v>Apprenant 471 ou 471'</v>
      </c>
      <c r="BG483" s="55" t="str">
        <f aca="false">IF(AND($AW483&lt;&gt;"",$AX483&lt;&gt;""),$AX483-$AW483,"")</f>
        <v/>
      </c>
      <c r="BH483" s="55" t="str">
        <f aca="false">IF(AND($AW483&lt;&gt;"",$AY483&lt;&gt;""),$AY483-$AW483,"")</f>
        <v/>
      </c>
      <c r="BI483" s="55" t="str">
        <f aca="false">IF(AND($AX483&lt;&gt;"",$AY483&lt;&gt;""),$AY483-$AX483,"")</f>
        <v/>
      </c>
      <c r="BJ483" s="53" t="str">
        <f aca="false">IF($J483&lt;&gt;"",$J483,"")</f>
        <v/>
      </c>
      <c r="BL483" s="52"/>
      <c r="BM483" s="52" t="str">
        <f aca="false">IF(OR(COUNT(B483:D1482)=0,AND('Choix pédagogiques'!$C$3&lt;&gt;1,'Choix pédagogiques'!$C$3&lt;&gt;2)),"",IF(AND(OR('Choix pédagogiques'!$C$3=1,'Choix pédagogiques'!$C$3=2),$B483&lt;&gt;"",$C483&lt;&gt;"",$D483&lt;&gt;""),1,0))</f>
        <v/>
      </c>
      <c r="BN483" s="52" t="str">
        <f aca="false">IF(OR(COUNT(G483:I1482)=0,AND('Choix pédagogiques'!$C$3&lt;&gt;1,'Choix pédagogiques'!$C$3&lt;&gt;2)),"",IF(AND(OR('Choix pédagogiques'!$C$3=1,'Choix pédagogiques'!$C$3=2),AND($G483&lt;&gt;"",$H483&lt;&gt;"",$I483&lt;&gt;"")),1,0))</f>
        <v/>
      </c>
      <c r="BO483" s="52" t="str">
        <f aca="false">IF(OR(COUNT(B483:D1482)=0,COUNT(G483:I1482)=0,'Choix pédagogiques'!C$3&lt;&gt;3),"",IF(AND('Choix pédagogiques'!$C$3=3,$B483&lt;&gt;"",$C483&lt;&gt;"",$D483&lt;&gt;"",$G483&lt;&gt;"",$H483&lt;&gt;"",$I483&lt;&gt;""),1,0))</f>
        <v/>
      </c>
      <c r="BR483" s="52" t="n">
        <v>272</v>
      </c>
      <c r="BS483" s="52" t="n">
        <v>1166</v>
      </c>
    </row>
    <row r="484" s="54" customFormat="true" ht="18" hidden="false" customHeight="true" outlineLevel="0" collapsed="false">
      <c r="A484" s="57" t="s">
        <v>899</v>
      </c>
      <c r="B484" s="51"/>
      <c r="C484" s="51"/>
      <c r="D484" s="51"/>
      <c r="E484" s="51"/>
      <c r="F484" s="57" t="s">
        <v>900</v>
      </c>
      <c r="G484" s="51"/>
      <c r="H484" s="51"/>
      <c r="I484" s="51"/>
      <c r="J484" s="51"/>
      <c r="K484" s="52" t="str">
        <f aca="false">IF($A484&lt;&gt;"",$A484,"")</f>
        <v>Apprenant 472</v>
      </c>
      <c r="L484" s="53" t="str">
        <f aca="false">IF(AND($B484&lt;&gt;"",$C484&lt;&gt;""),$C484-$B484,"")</f>
        <v/>
      </c>
      <c r="M484" s="53" t="str">
        <f aca="false">IF(AND($B484&lt;&gt;"",$D484&lt;&gt;""),$D484-$B484,"")</f>
        <v/>
      </c>
      <c r="N484" s="53" t="str">
        <f aca="false">IF(AND($C484&lt;&gt;"",$D484&lt;&gt;""),$D484-$C484,"")</f>
        <v/>
      </c>
      <c r="O484" s="53" t="str">
        <f aca="false">IF($E484&lt;&gt;"",$E484,"")</f>
        <v/>
      </c>
      <c r="P484" s="52" t="str">
        <f aca="false">IF($F484&lt;&gt;"",$F484,"")</f>
        <v>Apprenant 472 ou 472'</v>
      </c>
      <c r="Q484" s="53" t="str">
        <f aca="false">IF(AND($G484&lt;&gt;"",$H484&lt;&gt;""),$H484-$G484,"")</f>
        <v/>
      </c>
      <c r="R484" s="53" t="str">
        <f aca="false">IF(AND($G484&lt;&gt;"",$I484&lt;&gt;""),$I484-$G484,"")</f>
        <v/>
      </c>
      <c r="S484" s="53" t="str">
        <f aca="false">IF(AND($H484&lt;&gt;"",$I484&lt;&gt;""),$I484-$H484,"")</f>
        <v/>
      </c>
      <c r="T484" s="53" t="str">
        <f aca="false">IF($J484&lt;&gt;"",$J484,"")</f>
        <v/>
      </c>
      <c r="V484" s="52" t="str">
        <f aca="false">IF($A484&lt;&gt;"",$A484,"")</f>
        <v>Apprenant 472</v>
      </c>
      <c r="W484" s="53" t="str">
        <f aca="false">IF(AND(OR('Choix pédagogiques'!$C$3=1,'Choix pédagogiques'!$C$3=2),$BM484=1),B484,IF(AND('Choix pédagogiques'!$C$3=3,$BO484=1),B484,""))</f>
        <v/>
      </c>
      <c r="X484" s="53" t="str">
        <f aca="false">IF(AND(OR('Choix pédagogiques'!$C$3=1,'Choix pédagogiques'!$C$3=2),$BM484=1),C484,IF(AND('Choix pédagogiques'!$C$3=3,$BO484=1),C484,""))</f>
        <v/>
      </c>
      <c r="Y484" s="53" t="str">
        <f aca="false">IF(AND(OR('Choix pédagogiques'!$C$3=1,'Choix pédagogiques'!$C$3=2),$BM484=1),D484,IF(AND('Choix pédagogiques'!$C$3=3,$BO484=1),D484,""))</f>
        <v/>
      </c>
      <c r="Z484" s="53" t="str">
        <f aca="false">IF($E484&lt;&gt;"",$E484,"")</f>
        <v/>
      </c>
      <c r="AA484" s="52" t="str">
        <f aca="false">IF($F484&lt;&gt;"",$F484,"")</f>
        <v>Apprenant 472 ou 472'</v>
      </c>
      <c r="AB484" s="53" t="str">
        <f aca="false">IF(AND(OR('Choix pédagogiques'!$C$3=1,'Choix pédagogiques'!$C$3=2),$BN484=1),G484,IF(AND('Choix pédagogiques'!$C$3=3,$BO484=1),G484,""))</f>
        <v/>
      </c>
      <c r="AC484" s="53" t="str">
        <f aca="false">IF(AND(OR('Choix pédagogiques'!$C$3=1,'Choix pédagogiques'!$C$3=2),$BN484=1),H484,IF(AND('Choix pédagogiques'!$C$3=3,$BO484=1),H484,""))</f>
        <v/>
      </c>
      <c r="AD484" s="53" t="str">
        <f aca="false">IF(AND(OR('Choix pédagogiques'!$C$3=1,'Choix pédagogiques'!$C$3=2),$BN484=1),I484,IF(AND('Choix pédagogiques'!$C$3=3,$BO484=1),I484,""))</f>
        <v/>
      </c>
      <c r="AE484" s="53" t="str">
        <f aca="false">IF($J484&lt;&gt;"",$J484,"")</f>
        <v/>
      </c>
      <c r="AF484" s="52" t="str">
        <f aca="false">IF($A484&lt;&gt;"",$A484,"")</f>
        <v>Apprenant 472</v>
      </c>
      <c r="AG484" s="53" t="str">
        <f aca="false">IF(AND($W484&lt;&gt;"",$X484&lt;&gt;""),$X484-$W484,"")</f>
        <v/>
      </c>
      <c r="AH484" s="53" t="str">
        <f aca="false">IF(AND($W484&lt;&gt;"",$Y484&lt;&gt;""),$Y484-$W484,"")</f>
        <v/>
      </c>
      <c r="AI484" s="53" t="str">
        <f aca="false">IF(AND($X484&lt;&gt;"",$Y484&lt;&gt;""),$Y484-$X484,"")</f>
        <v/>
      </c>
      <c r="AJ484" s="53" t="str">
        <f aca="false">IF($E484&lt;&gt;"",$E484,"")</f>
        <v/>
      </c>
      <c r="AK484" s="52" t="str">
        <f aca="false">IF($F484&lt;&gt;"",$F484,"")</f>
        <v>Apprenant 472 ou 472'</v>
      </c>
      <c r="AL484" s="53" t="str">
        <f aca="false">IF(AND($AB484&lt;&gt;"",$AC484&lt;&gt;""),$AC484-$AB484,"")</f>
        <v/>
      </c>
      <c r="AM484" s="53" t="str">
        <f aca="false">IF(AND($AB484&lt;&gt;"",$AD484&lt;&gt;""),$AD484-$AB484,"")</f>
        <v/>
      </c>
      <c r="AN484" s="53" t="str">
        <f aca="false">IF(AND($AC484&lt;&gt;"",$AD484&lt;&gt;""),$AD484-$AC484,"")</f>
        <v/>
      </c>
      <c r="AO484" s="53" t="str">
        <f aca="false">IF($J484&lt;&gt;"",$J484,"")</f>
        <v/>
      </c>
      <c r="AQ484" s="52" t="str">
        <f aca="false">IF($A484&lt;&gt;"",$A484,"")</f>
        <v>Apprenant 472</v>
      </c>
      <c r="AR484" s="55" t="str">
        <f aca="false">IF(AND('Choix pédagogiques'!$C$4&lt;&gt;"?",'Choix pédagogiques'!$C$5&lt;&gt;"?",W484&lt;&gt;""),(W484-'Choix pédagogiques'!$C$4)/('Choix pédagogiques'!$C$5-'Choix pédagogiques'!$C$4),"")</f>
        <v/>
      </c>
      <c r="AS484" s="55" t="str">
        <f aca="false">IF(AND('Choix pédagogiques'!$C$4&lt;&gt;"?",'Choix pédagogiques'!$C$5&lt;&gt;"?",X484&lt;&gt;""),(X484-'Choix pédagogiques'!$C$4)/('Choix pédagogiques'!$C$5-'Choix pédagogiques'!$C$4),"")</f>
        <v/>
      </c>
      <c r="AT484" s="55" t="str">
        <f aca="false">IF(AND('Choix pédagogiques'!$C$4&lt;&gt;"?",'Choix pédagogiques'!$C$5&lt;&gt;"?",Y484&lt;&gt;""),(Y484-'Choix pédagogiques'!$C$4)/('Choix pédagogiques'!$C$5-'Choix pédagogiques'!$C$4),"")</f>
        <v/>
      </c>
      <c r="AU484" s="53" t="str">
        <f aca="false">IF($E484&lt;&gt;"",$E484,"")</f>
        <v/>
      </c>
      <c r="AV484" s="52" t="str">
        <f aca="false">IF($F484&lt;&gt;"",$F484,"")</f>
        <v>Apprenant 472 ou 472'</v>
      </c>
      <c r="AW484" s="55" t="str">
        <f aca="false">IF(AND('Choix pédagogiques'!$C$4&lt;&gt;"?",'Choix pédagogiques'!$C$5&lt;&gt;"?",AB484&lt;&gt;""),(AB484-'Choix pédagogiques'!$C$4)/('Choix pédagogiques'!$C$5-'Choix pédagogiques'!$C$4),"")</f>
        <v/>
      </c>
      <c r="AX484" s="55" t="str">
        <f aca="false">IF(AND('Choix pédagogiques'!$C$4&lt;&gt;"?",'Choix pédagogiques'!$C$5&lt;&gt;"?",AC484&lt;&gt;""),(AC484-'Choix pédagogiques'!$C$4)/('Choix pédagogiques'!$C$5-'Choix pédagogiques'!$C$4),"")</f>
        <v/>
      </c>
      <c r="AY484" s="55" t="str">
        <f aca="false">IF(AND('Choix pédagogiques'!$C$4&lt;&gt;"?",'Choix pédagogiques'!$C$5&lt;&gt;"?",AD484&lt;&gt;""),(AD484-'Choix pédagogiques'!$C$4)/('Choix pédagogiques'!$C$5-'Choix pédagogiques'!$C$4),"")</f>
        <v/>
      </c>
      <c r="AZ484" s="53" t="str">
        <f aca="false">IF($J484&lt;&gt;"",$J484,"")</f>
        <v/>
      </c>
      <c r="BA484" s="52" t="str">
        <f aca="false">IF($A484&lt;&gt;"",$A484,"")</f>
        <v>Apprenant 472</v>
      </c>
      <c r="BB484" s="55" t="str">
        <f aca="false">IF(AND($AR484&lt;&gt;"",$AS484&lt;&gt;""),$AS484-$AR484,"")</f>
        <v/>
      </c>
      <c r="BC484" s="55" t="str">
        <f aca="false">IF(AND($AR484&lt;&gt;"",$AT484&lt;&gt;""),$AT484-$AR484,"")</f>
        <v/>
      </c>
      <c r="BD484" s="55" t="str">
        <f aca="false">IF(AND($AS484&lt;&gt;"",$AT484&lt;&gt;""),$AT484-$AS484,"")</f>
        <v/>
      </c>
      <c r="BE484" s="53" t="str">
        <f aca="false">IF($E484&lt;&gt;"",$E484,"")</f>
        <v/>
      </c>
      <c r="BF484" s="52" t="str">
        <f aca="false">IF($F484&lt;&gt;"",$F484,"")</f>
        <v>Apprenant 472 ou 472'</v>
      </c>
      <c r="BG484" s="55" t="str">
        <f aca="false">IF(AND($AW484&lt;&gt;"",$AX484&lt;&gt;""),$AX484-$AW484,"")</f>
        <v/>
      </c>
      <c r="BH484" s="55" t="str">
        <f aca="false">IF(AND($AW484&lt;&gt;"",$AY484&lt;&gt;""),$AY484-$AW484,"")</f>
        <v/>
      </c>
      <c r="BI484" s="55" t="str">
        <f aca="false">IF(AND($AX484&lt;&gt;"",$AY484&lt;&gt;""),$AY484-$AX484,"")</f>
        <v/>
      </c>
      <c r="BJ484" s="53" t="str">
        <f aca="false">IF($J484&lt;&gt;"",$J484,"")</f>
        <v/>
      </c>
      <c r="BL484" s="52"/>
      <c r="BM484" s="52" t="str">
        <f aca="false">IF(OR(COUNT(B484:D1483)=0,AND('Choix pédagogiques'!$C$3&lt;&gt;1,'Choix pédagogiques'!$C$3&lt;&gt;2)),"",IF(AND(OR('Choix pédagogiques'!$C$3=1,'Choix pédagogiques'!$C$3=2),$B484&lt;&gt;"",$C484&lt;&gt;"",$D484&lt;&gt;""),1,0))</f>
        <v/>
      </c>
      <c r="BN484" s="52" t="str">
        <f aca="false">IF(OR(COUNT(G484:I1483)=0,AND('Choix pédagogiques'!$C$3&lt;&gt;1,'Choix pédagogiques'!$C$3&lt;&gt;2)),"",IF(AND(OR('Choix pédagogiques'!$C$3=1,'Choix pédagogiques'!$C$3=2),AND($G484&lt;&gt;"",$H484&lt;&gt;"",$I484&lt;&gt;"")),1,0))</f>
        <v/>
      </c>
      <c r="BO484" s="52" t="str">
        <f aca="false">IF(OR(COUNT(B484:D1483)=0,COUNT(G484:I1483)=0,'Choix pédagogiques'!C$3&lt;&gt;3),"",IF(AND('Choix pédagogiques'!$C$3=3,$B484&lt;&gt;"",$C484&lt;&gt;"",$D484&lt;&gt;"",$G484&lt;&gt;"",$H484&lt;&gt;"",$I484&lt;&gt;""),1,0))</f>
        <v/>
      </c>
      <c r="BR484" s="52" t="n">
        <v>503</v>
      </c>
      <c r="BS484" s="52" t="n">
        <v>1199</v>
      </c>
    </row>
    <row r="485" s="54" customFormat="true" ht="18" hidden="false" customHeight="true" outlineLevel="0" collapsed="false">
      <c r="A485" s="57" t="s">
        <v>901</v>
      </c>
      <c r="B485" s="51"/>
      <c r="C485" s="51"/>
      <c r="D485" s="51"/>
      <c r="E485" s="51"/>
      <c r="F485" s="57" t="s">
        <v>902</v>
      </c>
      <c r="G485" s="51"/>
      <c r="H485" s="51"/>
      <c r="I485" s="51"/>
      <c r="J485" s="51"/>
      <c r="K485" s="52" t="str">
        <f aca="false">IF($A485&lt;&gt;"",$A485,"")</f>
        <v>Apprenant 473</v>
      </c>
      <c r="L485" s="53" t="str">
        <f aca="false">IF(AND($B485&lt;&gt;"",$C485&lt;&gt;""),$C485-$B485,"")</f>
        <v/>
      </c>
      <c r="M485" s="53" t="str">
        <f aca="false">IF(AND($B485&lt;&gt;"",$D485&lt;&gt;""),$D485-$B485,"")</f>
        <v/>
      </c>
      <c r="N485" s="53" t="str">
        <f aca="false">IF(AND($C485&lt;&gt;"",$D485&lt;&gt;""),$D485-$C485,"")</f>
        <v/>
      </c>
      <c r="O485" s="53" t="str">
        <f aca="false">IF($E485&lt;&gt;"",$E485,"")</f>
        <v/>
      </c>
      <c r="P485" s="52" t="str">
        <f aca="false">IF($F485&lt;&gt;"",$F485,"")</f>
        <v>Apprenant 473 ou 473'</v>
      </c>
      <c r="Q485" s="53" t="str">
        <f aca="false">IF(AND($G485&lt;&gt;"",$H485&lt;&gt;""),$H485-$G485,"")</f>
        <v/>
      </c>
      <c r="R485" s="53" t="str">
        <f aca="false">IF(AND($G485&lt;&gt;"",$I485&lt;&gt;""),$I485-$G485,"")</f>
        <v/>
      </c>
      <c r="S485" s="53" t="str">
        <f aca="false">IF(AND($H485&lt;&gt;"",$I485&lt;&gt;""),$I485-$H485,"")</f>
        <v/>
      </c>
      <c r="T485" s="53" t="str">
        <f aca="false">IF($J485&lt;&gt;"",$J485,"")</f>
        <v/>
      </c>
      <c r="V485" s="52" t="str">
        <f aca="false">IF($A485&lt;&gt;"",$A485,"")</f>
        <v>Apprenant 473</v>
      </c>
      <c r="W485" s="53" t="str">
        <f aca="false">IF(AND(OR('Choix pédagogiques'!$C$3=1,'Choix pédagogiques'!$C$3=2),$BM485=1),B485,IF(AND('Choix pédagogiques'!$C$3=3,$BO485=1),B485,""))</f>
        <v/>
      </c>
      <c r="X485" s="53" t="str">
        <f aca="false">IF(AND(OR('Choix pédagogiques'!$C$3=1,'Choix pédagogiques'!$C$3=2),$BM485=1),C485,IF(AND('Choix pédagogiques'!$C$3=3,$BO485=1),C485,""))</f>
        <v/>
      </c>
      <c r="Y485" s="53" t="str">
        <f aca="false">IF(AND(OR('Choix pédagogiques'!$C$3=1,'Choix pédagogiques'!$C$3=2),$BM485=1),D485,IF(AND('Choix pédagogiques'!$C$3=3,$BO485=1),D485,""))</f>
        <v/>
      </c>
      <c r="Z485" s="53" t="str">
        <f aca="false">IF($E485&lt;&gt;"",$E485,"")</f>
        <v/>
      </c>
      <c r="AA485" s="52" t="str">
        <f aca="false">IF($F485&lt;&gt;"",$F485,"")</f>
        <v>Apprenant 473 ou 473'</v>
      </c>
      <c r="AB485" s="53" t="str">
        <f aca="false">IF(AND(OR('Choix pédagogiques'!$C$3=1,'Choix pédagogiques'!$C$3=2),$BN485=1),G485,IF(AND('Choix pédagogiques'!$C$3=3,$BO485=1),G485,""))</f>
        <v/>
      </c>
      <c r="AC485" s="53" t="str">
        <f aca="false">IF(AND(OR('Choix pédagogiques'!$C$3=1,'Choix pédagogiques'!$C$3=2),$BN485=1),H485,IF(AND('Choix pédagogiques'!$C$3=3,$BO485=1),H485,""))</f>
        <v/>
      </c>
      <c r="AD485" s="53" t="str">
        <f aca="false">IF(AND(OR('Choix pédagogiques'!$C$3=1,'Choix pédagogiques'!$C$3=2),$BN485=1),I485,IF(AND('Choix pédagogiques'!$C$3=3,$BO485=1),I485,""))</f>
        <v/>
      </c>
      <c r="AE485" s="53" t="str">
        <f aca="false">IF($J485&lt;&gt;"",$J485,"")</f>
        <v/>
      </c>
      <c r="AF485" s="52" t="str">
        <f aca="false">IF($A485&lt;&gt;"",$A485,"")</f>
        <v>Apprenant 473</v>
      </c>
      <c r="AG485" s="53" t="str">
        <f aca="false">IF(AND($W485&lt;&gt;"",$X485&lt;&gt;""),$X485-$W485,"")</f>
        <v/>
      </c>
      <c r="AH485" s="53" t="str">
        <f aca="false">IF(AND($W485&lt;&gt;"",$Y485&lt;&gt;""),$Y485-$W485,"")</f>
        <v/>
      </c>
      <c r="AI485" s="53" t="str">
        <f aca="false">IF(AND($X485&lt;&gt;"",$Y485&lt;&gt;""),$Y485-$X485,"")</f>
        <v/>
      </c>
      <c r="AJ485" s="53" t="str">
        <f aca="false">IF($E485&lt;&gt;"",$E485,"")</f>
        <v/>
      </c>
      <c r="AK485" s="52" t="str">
        <f aca="false">IF($F485&lt;&gt;"",$F485,"")</f>
        <v>Apprenant 473 ou 473'</v>
      </c>
      <c r="AL485" s="53" t="str">
        <f aca="false">IF(AND($AB485&lt;&gt;"",$AC485&lt;&gt;""),$AC485-$AB485,"")</f>
        <v/>
      </c>
      <c r="AM485" s="53" t="str">
        <f aca="false">IF(AND($AB485&lt;&gt;"",$AD485&lt;&gt;""),$AD485-$AB485,"")</f>
        <v/>
      </c>
      <c r="AN485" s="53" t="str">
        <f aca="false">IF(AND($AC485&lt;&gt;"",$AD485&lt;&gt;""),$AD485-$AC485,"")</f>
        <v/>
      </c>
      <c r="AO485" s="53" t="str">
        <f aca="false">IF($J485&lt;&gt;"",$J485,"")</f>
        <v/>
      </c>
      <c r="AQ485" s="52" t="str">
        <f aca="false">IF($A485&lt;&gt;"",$A485,"")</f>
        <v>Apprenant 473</v>
      </c>
      <c r="AR485" s="55" t="str">
        <f aca="false">IF(AND('Choix pédagogiques'!$C$4&lt;&gt;"?",'Choix pédagogiques'!$C$5&lt;&gt;"?",W485&lt;&gt;""),(W485-'Choix pédagogiques'!$C$4)/('Choix pédagogiques'!$C$5-'Choix pédagogiques'!$C$4),"")</f>
        <v/>
      </c>
      <c r="AS485" s="55" t="str">
        <f aca="false">IF(AND('Choix pédagogiques'!$C$4&lt;&gt;"?",'Choix pédagogiques'!$C$5&lt;&gt;"?",X485&lt;&gt;""),(X485-'Choix pédagogiques'!$C$4)/('Choix pédagogiques'!$C$5-'Choix pédagogiques'!$C$4),"")</f>
        <v/>
      </c>
      <c r="AT485" s="55" t="str">
        <f aca="false">IF(AND('Choix pédagogiques'!$C$4&lt;&gt;"?",'Choix pédagogiques'!$C$5&lt;&gt;"?",Y485&lt;&gt;""),(Y485-'Choix pédagogiques'!$C$4)/('Choix pédagogiques'!$C$5-'Choix pédagogiques'!$C$4),"")</f>
        <v/>
      </c>
      <c r="AU485" s="53" t="str">
        <f aca="false">IF($E485&lt;&gt;"",$E485,"")</f>
        <v/>
      </c>
      <c r="AV485" s="52" t="str">
        <f aca="false">IF($F485&lt;&gt;"",$F485,"")</f>
        <v>Apprenant 473 ou 473'</v>
      </c>
      <c r="AW485" s="55" t="str">
        <f aca="false">IF(AND('Choix pédagogiques'!$C$4&lt;&gt;"?",'Choix pédagogiques'!$C$5&lt;&gt;"?",AB485&lt;&gt;""),(AB485-'Choix pédagogiques'!$C$4)/('Choix pédagogiques'!$C$5-'Choix pédagogiques'!$C$4),"")</f>
        <v/>
      </c>
      <c r="AX485" s="55" t="str">
        <f aca="false">IF(AND('Choix pédagogiques'!$C$4&lt;&gt;"?",'Choix pédagogiques'!$C$5&lt;&gt;"?",AC485&lt;&gt;""),(AC485-'Choix pédagogiques'!$C$4)/('Choix pédagogiques'!$C$5-'Choix pédagogiques'!$C$4),"")</f>
        <v/>
      </c>
      <c r="AY485" s="55" t="str">
        <f aca="false">IF(AND('Choix pédagogiques'!$C$4&lt;&gt;"?",'Choix pédagogiques'!$C$5&lt;&gt;"?",AD485&lt;&gt;""),(AD485-'Choix pédagogiques'!$C$4)/('Choix pédagogiques'!$C$5-'Choix pédagogiques'!$C$4),"")</f>
        <v/>
      </c>
      <c r="AZ485" s="53" t="str">
        <f aca="false">IF($J485&lt;&gt;"",$J485,"")</f>
        <v/>
      </c>
      <c r="BA485" s="52" t="str">
        <f aca="false">IF($A485&lt;&gt;"",$A485,"")</f>
        <v>Apprenant 473</v>
      </c>
      <c r="BB485" s="55" t="str">
        <f aca="false">IF(AND($AR485&lt;&gt;"",$AS485&lt;&gt;""),$AS485-$AR485,"")</f>
        <v/>
      </c>
      <c r="BC485" s="55" t="str">
        <f aca="false">IF(AND($AR485&lt;&gt;"",$AT485&lt;&gt;""),$AT485-$AR485,"")</f>
        <v/>
      </c>
      <c r="BD485" s="55" t="str">
        <f aca="false">IF(AND($AS485&lt;&gt;"",$AT485&lt;&gt;""),$AT485-$AS485,"")</f>
        <v/>
      </c>
      <c r="BE485" s="53" t="str">
        <f aca="false">IF($E485&lt;&gt;"",$E485,"")</f>
        <v/>
      </c>
      <c r="BF485" s="52" t="str">
        <f aca="false">IF($F485&lt;&gt;"",$F485,"")</f>
        <v>Apprenant 473 ou 473'</v>
      </c>
      <c r="BG485" s="55" t="str">
        <f aca="false">IF(AND($AW485&lt;&gt;"",$AX485&lt;&gt;""),$AX485-$AW485,"")</f>
        <v/>
      </c>
      <c r="BH485" s="55" t="str">
        <f aca="false">IF(AND($AW485&lt;&gt;"",$AY485&lt;&gt;""),$AY485-$AW485,"")</f>
        <v/>
      </c>
      <c r="BI485" s="55" t="str">
        <f aca="false">IF(AND($AX485&lt;&gt;"",$AY485&lt;&gt;""),$AY485-$AX485,"")</f>
        <v/>
      </c>
      <c r="BJ485" s="53" t="str">
        <f aca="false">IF($J485&lt;&gt;"",$J485,"")</f>
        <v/>
      </c>
      <c r="BL485" s="52"/>
      <c r="BM485" s="52" t="str">
        <f aca="false">IF(OR(COUNT(B485:D1484)=0,AND('Choix pédagogiques'!$C$3&lt;&gt;1,'Choix pédagogiques'!$C$3&lt;&gt;2)),"",IF(AND(OR('Choix pédagogiques'!$C$3=1,'Choix pédagogiques'!$C$3=2),$B485&lt;&gt;"",$C485&lt;&gt;"",$D485&lt;&gt;""),1,0))</f>
        <v/>
      </c>
      <c r="BN485" s="52" t="str">
        <f aca="false">IF(OR(COUNT(G485:I1484)=0,AND('Choix pédagogiques'!$C$3&lt;&gt;1,'Choix pédagogiques'!$C$3&lt;&gt;2)),"",IF(AND(OR('Choix pédagogiques'!$C$3=1,'Choix pédagogiques'!$C$3=2),AND($G485&lt;&gt;"",$H485&lt;&gt;"",$I485&lt;&gt;"")),1,0))</f>
        <v/>
      </c>
      <c r="BO485" s="52" t="str">
        <f aca="false">IF(OR(COUNT(B485:D1484)=0,COUNT(G485:I1484)=0,'Choix pédagogiques'!C$3&lt;&gt;3),"",IF(AND('Choix pédagogiques'!$C$3=3,$B485&lt;&gt;"",$C485&lt;&gt;"",$D485&lt;&gt;"",$G485&lt;&gt;"",$H485&lt;&gt;"",$I485&lt;&gt;""),1,0))</f>
        <v/>
      </c>
      <c r="BR485" s="52" t="n">
        <v>211</v>
      </c>
      <c r="BS485" s="52" t="n">
        <v>1241</v>
      </c>
    </row>
    <row r="486" s="54" customFormat="true" ht="18" hidden="false" customHeight="true" outlineLevel="0" collapsed="false">
      <c r="A486" s="57" t="s">
        <v>903</v>
      </c>
      <c r="B486" s="51"/>
      <c r="C486" s="51"/>
      <c r="D486" s="51"/>
      <c r="E486" s="51"/>
      <c r="F486" s="57" t="s">
        <v>904</v>
      </c>
      <c r="G486" s="51"/>
      <c r="H486" s="51"/>
      <c r="I486" s="51"/>
      <c r="J486" s="51"/>
      <c r="K486" s="52" t="str">
        <f aca="false">IF($A486&lt;&gt;"",$A486,"")</f>
        <v>Apprenant 474</v>
      </c>
      <c r="L486" s="53" t="str">
        <f aca="false">IF(AND($B486&lt;&gt;"",$C486&lt;&gt;""),$C486-$B486,"")</f>
        <v/>
      </c>
      <c r="M486" s="53" t="str">
        <f aca="false">IF(AND($B486&lt;&gt;"",$D486&lt;&gt;""),$D486-$B486,"")</f>
        <v/>
      </c>
      <c r="N486" s="53" t="str">
        <f aca="false">IF(AND($C486&lt;&gt;"",$D486&lt;&gt;""),$D486-$C486,"")</f>
        <v/>
      </c>
      <c r="O486" s="53" t="str">
        <f aca="false">IF($E486&lt;&gt;"",$E486,"")</f>
        <v/>
      </c>
      <c r="P486" s="52" t="str">
        <f aca="false">IF($F486&lt;&gt;"",$F486,"")</f>
        <v>Apprenant 474 ou 474'</v>
      </c>
      <c r="Q486" s="53" t="str">
        <f aca="false">IF(AND($G486&lt;&gt;"",$H486&lt;&gt;""),$H486-$G486,"")</f>
        <v/>
      </c>
      <c r="R486" s="53" t="str">
        <f aca="false">IF(AND($G486&lt;&gt;"",$I486&lt;&gt;""),$I486-$G486,"")</f>
        <v/>
      </c>
      <c r="S486" s="53" t="str">
        <f aca="false">IF(AND($H486&lt;&gt;"",$I486&lt;&gt;""),$I486-$H486,"")</f>
        <v/>
      </c>
      <c r="T486" s="53" t="str">
        <f aca="false">IF($J486&lt;&gt;"",$J486,"")</f>
        <v/>
      </c>
      <c r="V486" s="52" t="str">
        <f aca="false">IF($A486&lt;&gt;"",$A486,"")</f>
        <v>Apprenant 474</v>
      </c>
      <c r="W486" s="53" t="str">
        <f aca="false">IF(AND(OR('Choix pédagogiques'!$C$3=1,'Choix pédagogiques'!$C$3=2),$BM486=1),B486,IF(AND('Choix pédagogiques'!$C$3=3,$BO486=1),B486,""))</f>
        <v/>
      </c>
      <c r="X486" s="53" t="str">
        <f aca="false">IF(AND(OR('Choix pédagogiques'!$C$3=1,'Choix pédagogiques'!$C$3=2),$BM486=1),C486,IF(AND('Choix pédagogiques'!$C$3=3,$BO486=1),C486,""))</f>
        <v/>
      </c>
      <c r="Y486" s="53" t="str">
        <f aca="false">IF(AND(OR('Choix pédagogiques'!$C$3=1,'Choix pédagogiques'!$C$3=2),$BM486=1),D486,IF(AND('Choix pédagogiques'!$C$3=3,$BO486=1),D486,""))</f>
        <v/>
      </c>
      <c r="Z486" s="53" t="str">
        <f aca="false">IF($E486&lt;&gt;"",$E486,"")</f>
        <v/>
      </c>
      <c r="AA486" s="52" t="str">
        <f aca="false">IF($F486&lt;&gt;"",$F486,"")</f>
        <v>Apprenant 474 ou 474'</v>
      </c>
      <c r="AB486" s="53" t="str">
        <f aca="false">IF(AND(OR('Choix pédagogiques'!$C$3=1,'Choix pédagogiques'!$C$3=2),$BN486=1),G486,IF(AND('Choix pédagogiques'!$C$3=3,$BO486=1),G486,""))</f>
        <v/>
      </c>
      <c r="AC486" s="53" t="str">
        <f aca="false">IF(AND(OR('Choix pédagogiques'!$C$3=1,'Choix pédagogiques'!$C$3=2),$BN486=1),H486,IF(AND('Choix pédagogiques'!$C$3=3,$BO486=1),H486,""))</f>
        <v/>
      </c>
      <c r="AD486" s="53" t="str">
        <f aca="false">IF(AND(OR('Choix pédagogiques'!$C$3=1,'Choix pédagogiques'!$C$3=2),$BN486=1),I486,IF(AND('Choix pédagogiques'!$C$3=3,$BO486=1),I486,""))</f>
        <v/>
      </c>
      <c r="AE486" s="53" t="str">
        <f aca="false">IF($J486&lt;&gt;"",$J486,"")</f>
        <v/>
      </c>
      <c r="AF486" s="52" t="str">
        <f aca="false">IF($A486&lt;&gt;"",$A486,"")</f>
        <v>Apprenant 474</v>
      </c>
      <c r="AG486" s="53" t="str">
        <f aca="false">IF(AND($W486&lt;&gt;"",$X486&lt;&gt;""),$X486-$W486,"")</f>
        <v/>
      </c>
      <c r="AH486" s="53" t="str">
        <f aca="false">IF(AND($W486&lt;&gt;"",$Y486&lt;&gt;""),$Y486-$W486,"")</f>
        <v/>
      </c>
      <c r="AI486" s="53" t="str">
        <f aca="false">IF(AND($X486&lt;&gt;"",$Y486&lt;&gt;""),$Y486-$X486,"")</f>
        <v/>
      </c>
      <c r="AJ486" s="53" t="str">
        <f aca="false">IF($E486&lt;&gt;"",$E486,"")</f>
        <v/>
      </c>
      <c r="AK486" s="52" t="str">
        <f aca="false">IF($F486&lt;&gt;"",$F486,"")</f>
        <v>Apprenant 474 ou 474'</v>
      </c>
      <c r="AL486" s="53" t="str">
        <f aca="false">IF(AND($AB486&lt;&gt;"",$AC486&lt;&gt;""),$AC486-$AB486,"")</f>
        <v/>
      </c>
      <c r="AM486" s="53" t="str">
        <f aca="false">IF(AND($AB486&lt;&gt;"",$AD486&lt;&gt;""),$AD486-$AB486,"")</f>
        <v/>
      </c>
      <c r="AN486" s="53" t="str">
        <f aca="false">IF(AND($AC486&lt;&gt;"",$AD486&lt;&gt;""),$AD486-$AC486,"")</f>
        <v/>
      </c>
      <c r="AO486" s="53" t="str">
        <f aca="false">IF($J486&lt;&gt;"",$J486,"")</f>
        <v/>
      </c>
      <c r="AQ486" s="52" t="str">
        <f aca="false">IF($A486&lt;&gt;"",$A486,"")</f>
        <v>Apprenant 474</v>
      </c>
      <c r="AR486" s="55" t="str">
        <f aca="false">IF(AND('Choix pédagogiques'!$C$4&lt;&gt;"?",'Choix pédagogiques'!$C$5&lt;&gt;"?",W486&lt;&gt;""),(W486-'Choix pédagogiques'!$C$4)/('Choix pédagogiques'!$C$5-'Choix pédagogiques'!$C$4),"")</f>
        <v/>
      </c>
      <c r="AS486" s="55" t="str">
        <f aca="false">IF(AND('Choix pédagogiques'!$C$4&lt;&gt;"?",'Choix pédagogiques'!$C$5&lt;&gt;"?",X486&lt;&gt;""),(X486-'Choix pédagogiques'!$C$4)/('Choix pédagogiques'!$C$5-'Choix pédagogiques'!$C$4),"")</f>
        <v/>
      </c>
      <c r="AT486" s="55" t="str">
        <f aca="false">IF(AND('Choix pédagogiques'!$C$4&lt;&gt;"?",'Choix pédagogiques'!$C$5&lt;&gt;"?",Y486&lt;&gt;""),(Y486-'Choix pédagogiques'!$C$4)/('Choix pédagogiques'!$C$5-'Choix pédagogiques'!$C$4),"")</f>
        <v/>
      </c>
      <c r="AU486" s="53" t="str">
        <f aca="false">IF($E486&lt;&gt;"",$E486,"")</f>
        <v/>
      </c>
      <c r="AV486" s="52" t="str">
        <f aca="false">IF($F486&lt;&gt;"",$F486,"")</f>
        <v>Apprenant 474 ou 474'</v>
      </c>
      <c r="AW486" s="55" t="str">
        <f aca="false">IF(AND('Choix pédagogiques'!$C$4&lt;&gt;"?",'Choix pédagogiques'!$C$5&lt;&gt;"?",AB486&lt;&gt;""),(AB486-'Choix pédagogiques'!$C$4)/('Choix pédagogiques'!$C$5-'Choix pédagogiques'!$C$4),"")</f>
        <v/>
      </c>
      <c r="AX486" s="55" t="str">
        <f aca="false">IF(AND('Choix pédagogiques'!$C$4&lt;&gt;"?",'Choix pédagogiques'!$C$5&lt;&gt;"?",AC486&lt;&gt;""),(AC486-'Choix pédagogiques'!$C$4)/('Choix pédagogiques'!$C$5-'Choix pédagogiques'!$C$4),"")</f>
        <v/>
      </c>
      <c r="AY486" s="55" t="str">
        <f aca="false">IF(AND('Choix pédagogiques'!$C$4&lt;&gt;"?",'Choix pédagogiques'!$C$5&lt;&gt;"?",AD486&lt;&gt;""),(AD486-'Choix pédagogiques'!$C$4)/('Choix pédagogiques'!$C$5-'Choix pédagogiques'!$C$4),"")</f>
        <v/>
      </c>
      <c r="AZ486" s="53" t="str">
        <f aca="false">IF($J486&lt;&gt;"",$J486,"")</f>
        <v/>
      </c>
      <c r="BA486" s="52" t="str">
        <f aca="false">IF($A486&lt;&gt;"",$A486,"")</f>
        <v>Apprenant 474</v>
      </c>
      <c r="BB486" s="55" t="str">
        <f aca="false">IF(AND($AR486&lt;&gt;"",$AS486&lt;&gt;""),$AS486-$AR486,"")</f>
        <v/>
      </c>
      <c r="BC486" s="55" t="str">
        <f aca="false">IF(AND($AR486&lt;&gt;"",$AT486&lt;&gt;""),$AT486-$AR486,"")</f>
        <v/>
      </c>
      <c r="BD486" s="55" t="str">
        <f aca="false">IF(AND($AS486&lt;&gt;"",$AT486&lt;&gt;""),$AT486-$AS486,"")</f>
        <v/>
      </c>
      <c r="BE486" s="53" t="str">
        <f aca="false">IF($E486&lt;&gt;"",$E486,"")</f>
        <v/>
      </c>
      <c r="BF486" s="52" t="str">
        <f aca="false">IF($F486&lt;&gt;"",$F486,"")</f>
        <v>Apprenant 474 ou 474'</v>
      </c>
      <c r="BG486" s="55" t="str">
        <f aca="false">IF(AND($AW486&lt;&gt;"",$AX486&lt;&gt;""),$AX486-$AW486,"")</f>
        <v/>
      </c>
      <c r="BH486" s="55" t="str">
        <f aca="false">IF(AND($AW486&lt;&gt;"",$AY486&lt;&gt;""),$AY486-$AW486,"")</f>
        <v/>
      </c>
      <c r="BI486" s="55" t="str">
        <f aca="false">IF(AND($AX486&lt;&gt;"",$AY486&lt;&gt;""),$AY486-$AX486,"")</f>
        <v/>
      </c>
      <c r="BJ486" s="53" t="str">
        <f aca="false">IF($J486&lt;&gt;"",$J486,"")</f>
        <v/>
      </c>
      <c r="BL486" s="52"/>
      <c r="BM486" s="52" t="str">
        <f aca="false">IF(OR(COUNT(B486:D1485)=0,AND('Choix pédagogiques'!$C$3&lt;&gt;1,'Choix pédagogiques'!$C$3&lt;&gt;2)),"",IF(AND(OR('Choix pédagogiques'!$C$3=1,'Choix pédagogiques'!$C$3=2),$B486&lt;&gt;"",$C486&lt;&gt;"",$D486&lt;&gt;""),1,0))</f>
        <v/>
      </c>
      <c r="BN486" s="52" t="str">
        <f aca="false">IF(OR(COUNT(G486:I1485)=0,AND('Choix pédagogiques'!$C$3&lt;&gt;1,'Choix pédagogiques'!$C$3&lt;&gt;2)),"",IF(AND(OR('Choix pédagogiques'!$C$3=1,'Choix pédagogiques'!$C$3=2),AND($G486&lt;&gt;"",$H486&lt;&gt;"",$I486&lt;&gt;"")),1,0))</f>
        <v/>
      </c>
      <c r="BO486" s="52" t="str">
        <f aca="false">IF(OR(COUNT(B486:D1485)=0,COUNT(G486:I1485)=0,'Choix pédagogiques'!C$3&lt;&gt;3),"",IF(AND('Choix pédagogiques'!$C$3=3,$B486&lt;&gt;"",$C486&lt;&gt;"",$D486&lt;&gt;"",$G486&lt;&gt;"",$H486&lt;&gt;"",$I486&lt;&gt;""),1,0))</f>
        <v/>
      </c>
      <c r="BR486" s="52" t="n">
        <v>116</v>
      </c>
      <c r="BS486" s="52" t="n">
        <v>1331</v>
      </c>
    </row>
    <row r="487" s="54" customFormat="true" ht="18" hidden="false" customHeight="true" outlineLevel="0" collapsed="false">
      <c r="A487" s="57" t="s">
        <v>905</v>
      </c>
      <c r="B487" s="51"/>
      <c r="C487" s="51"/>
      <c r="D487" s="51"/>
      <c r="E487" s="51"/>
      <c r="F487" s="57" t="s">
        <v>906</v>
      </c>
      <c r="G487" s="51"/>
      <c r="H487" s="51"/>
      <c r="I487" s="51"/>
      <c r="J487" s="51"/>
      <c r="K487" s="52" t="str">
        <f aca="false">IF($A487&lt;&gt;"",$A487,"")</f>
        <v>Apprenant 475</v>
      </c>
      <c r="L487" s="53" t="str">
        <f aca="false">IF(AND($B487&lt;&gt;"",$C487&lt;&gt;""),$C487-$B487,"")</f>
        <v/>
      </c>
      <c r="M487" s="53" t="str">
        <f aca="false">IF(AND($B487&lt;&gt;"",$D487&lt;&gt;""),$D487-$B487,"")</f>
        <v/>
      </c>
      <c r="N487" s="53" t="str">
        <f aca="false">IF(AND($C487&lt;&gt;"",$D487&lt;&gt;""),$D487-$C487,"")</f>
        <v/>
      </c>
      <c r="O487" s="53" t="str">
        <f aca="false">IF($E487&lt;&gt;"",$E487,"")</f>
        <v/>
      </c>
      <c r="P487" s="52" t="str">
        <f aca="false">IF($F487&lt;&gt;"",$F487,"")</f>
        <v>Apprenant 475 ou 475'</v>
      </c>
      <c r="Q487" s="53" t="str">
        <f aca="false">IF(AND($G487&lt;&gt;"",$H487&lt;&gt;""),$H487-$G487,"")</f>
        <v/>
      </c>
      <c r="R487" s="53" t="str">
        <f aca="false">IF(AND($G487&lt;&gt;"",$I487&lt;&gt;""),$I487-$G487,"")</f>
        <v/>
      </c>
      <c r="S487" s="53" t="str">
        <f aca="false">IF(AND($H487&lt;&gt;"",$I487&lt;&gt;""),$I487-$H487,"")</f>
        <v/>
      </c>
      <c r="T487" s="53" t="str">
        <f aca="false">IF($J487&lt;&gt;"",$J487,"")</f>
        <v/>
      </c>
      <c r="V487" s="52" t="str">
        <f aca="false">IF($A487&lt;&gt;"",$A487,"")</f>
        <v>Apprenant 475</v>
      </c>
      <c r="W487" s="53" t="str">
        <f aca="false">IF(AND(OR('Choix pédagogiques'!$C$3=1,'Choix pédagogiques'!$C$3=2),$BM487=1),B487,IF(AND('Choix pédagogiques'!$C$3=3,$BO487=1),B487,""))</f>
        <v/>
      </c>
      <c r="X487" s="53" t="str">
        <f aca="false">IF(AND(OR('Choix pédagogiques'!$C$3=1,'Choix pédagogiques'!$C$3=2),$BM487=1),C487,IF(AND('Choix pédagogiques'!$C$3=3,$BO487=1),C487,""))</f>
        <v/>
      </c>
      <c r="Y487" s="53" t="str">
        <f aca="false">IF(AND(OR('Choix pédagogiques'!$C$3=1,'Choix pédagogiques'!$C$3=2),$BM487=1),D487,IF(AND('Choix pédagogiques'!$C$3=3,$BO487=1),D487,""))</f>
        <v/>
      </c>
      <c r="Z487" s="53" t="str">
        <f aca="false">IF($E487&lt;&gt;"",$E487,"")</f>
        <v/>
      </c>
      <c r="AA487" s="52" t="str">
        <f aca="false">IF($F487&lt;&gt;"",$F487,"")</f>
        <v>Apprenant 475 ou 475'</v>
      </c>
      <c r="AB487" s="53" t="str">
        <f aca="false">IF(AND(OR('Choix pédagogiques'!$C$3=1,'Choix pédagogiques'!$C$3=2),$BN487=1),G487,IF(AND('Choix pédagogiques'!$C$3=3,$BO487=1),G487,""))</f>
        <v/>
      </c>
      <c r="AC487" s="53" t="str">
        <f aca="false">IF(AND(OR('Choix pédagogiques'!$C$3=1,'Choix pédagogiques'!$C$3=2),$BN487=1),H487,IF(AND('Choix pédagogiques'!$C$3=3,$BO487=1),H487,""))</f>
        <v/>
      </c>
      <c r="AD487" s="53" t="str">
        <f aca="false">IF(AND(OR('Choix pédagogiques'!$C$3=1,'Choix pédagogiques'!$C$3=2),$BN487=1),I487,IF(AND('Choix pédagogiques'!$C$3=3,$BO487=1),I487,""))</f>
        <v/>
      </c>
      <c r="AE487" s="53" t="str">
        <f aca="false">IF($J487&lt;&gt;"",$J487,"")</f>
        <v/>
      </c>
      <c r="AF487" s="52" t="str">
        <f aca="false">IF($A487&lt;&gt;"",$A487,"")</f>
        <v>Apprenant 475</v>
      </c>
      <c r="AG487" s="53" t="str">
        <f aca="false">IF(AND($W487&lt;&gt;"",$X487&lt;&gt;""),$X487-$W487,"")</f>
        <v/>
      </c>
      <c r="AH487" s="53" t="str">
        <f aca="false">IF(AND($W487&lt;&gt;"",$Y487&lt;&gt;""),$Y487-$W487,"")</f>
        <v/>
      </c>
      <c r="AI487" s="53" t="str">
        <f aca="false">IF(AND($X487&lt;&gt;"",$Y487&lt;&gt;""),$Y487-$X487,"")</f>
        <v/>
      </c>
      <c r="AJ487" s="53" t="str">
        <f aca="false">IF($E487&lt;&gt;"",$E487,"")</f>
        <v/>
      </c>
      <c r="AK487" s="52" t="str">
        <f aca="false">IF($F487&lt;&gt;"",$F487,"")</f>
        <v>Apprenant 475 ou 475'</v>
      </c>
      <c r="AL487" s="53" t="str">
        <f aca="false">IF(AND($AB487&lt;&gt;"",$AC487&lt;&gt;""),$AC487-$AB487,"")</f>
        <v/>
      </c>
      <c r="AM487" s="53" t="str">
        <f aca="false">IF(AND($AB487&lt;&gt;"",$AD487&lt;&gt;""),$AD487-$AB487,"")</f>
        <v/>
      </c>
      <c r="AN487" s="53" t="str">
        <f aca="false">IF(AND($AC487&lt;&gt;"",$AD487&lt;&gt;""),$AD487-$AC487,"")</f>
        <v/>
      </c>
      <c r="AO487" s="53" t="str">
        <f aca="false">IF($J487&lt;&gt;"",$J487,"")</f>
        <v/>
      </c>
      <c r="AQ487" s="52" t="str">
        <f aca="false">IF($A487&lt;&gt;"",$A487,"")</f>
        <v>Apprenant 475</v>
      </c>
      <c r="AR487" s="55" t="str">
        <f aca="false">IF(AND('Choix pédagogiques'!$C$4&lt;&gt;"?",'Choix pédagogiques'!$C$5&lt;&gt;"?",W487&lt;&gt;""),(W487-'Choix pédagogiques'!$C$4)/('Choix pédagogiques'!$C$5-'Choix pédagogiques'!$C$4),"")</f>
        <v/>
      </c>
      <c r="AS487" s="55" t="str">
        <f aca="false">IF(AND('Choix pédagogiques'!$C$4&lt;&gt;"?",'Choix pédagogiques'!$C$5&lt;&gt;"?",X487&lt;&gt;""),(X487-'Choix pédagogiques'!$C$4)/('Choix pédagogiques'!$C$5-'Choix pédagogiques'!$C$4),"")</f>
        <v/>
      </c>
      <c r="AT487" s="55" t="str">
        <f aca="false">IF(AND('Choix pédagogiques'!$C$4&lt;&gt;"?",'Choix pédagogiques'!$C$5&lt;&gt;"?",Y487&lt;&gt;""),(Y487-'Choix pédagogiques'!$C$4)/('Choix pédagogiques'!$C$5-'Choix pédagogiques'!$C$4),"")</f>
        <v/>
      </c>
      <c r="AU487" s="53" t="str">
        <f aca="false">IF($E487&lt;&gt;"",$E487,"")</f>
        <v/>
      </c>
      <c r="AV487" s="52" t="str">
        <f aca="false">IF($F487&lt;&gt;"",$F487,"")</f>
        <v>Apprenant 475 ou 475'</v>
      </c>
      <c r="AW487" s="55" t="str">
        <f aca="false">IF(AND('Choix pédagogiques'!$C$4&lt;&gt;"?",'Choix pédagogiques'!$C$5&lt;&gt;"?",AB487&lt;&gt;""),(AB487-'Choix pédagogiques'!$C$4)/('Choix pédagogiques'!$C$5-'Choix pédagogiques'!$C$4),"")</f>
        <v/>
      </c>
      <c r="AX487" s="55" t="str">
        <f aca="false">IF(AND('Choix pédagogiques'!$C$4&lt;&gt;"?",'Choix pédagogiques'!$C$5&lt;&gt;"?",AC487&lt;&gt;""),(AC487-'Choix pédagogiques'!$C$4)/('Choix pédagogiques'!$C$5-'Choix pédagogiques'!$C$4),"")</f>
        <v/>
      </c>
      <c r="AY487" s="55" t="str">
        <f aca="false">IF(AND('Choix pédagogiques'!$C$4&lt;&gt;"?",'Choix pédagogiques'!$C$5&lt;&gt;"?",AD487&lt;&gt;""),(AD487-'Choix pédagogiques'!$C$4)/('Choix pédagogiques'!$C$5-'Choix pédagogiques'!$C$4),"")</f>
        <v/>
      </c>
      <c r="AZ487" s="53" t="str">
        <f aca="false">IF($J487&lt;&gt;"",$J487,"")</f>
        <v/>
      </c>
      <c r="BA487" s="52" t="str">
        <f aca="false">IF($A487&lt;&gt;"",$A487,"")</f>
        <v>Apprenant 475</v>
      </c>
      <c r="BB487" s="55" t="str">
        <f aca="false">IF(AND($AR487&lt;&gt;"",$AS487&lt;&gt;""),$AS487-$AR487,"")</f>
        <v/>
      </c>
      <c r="BC487" s="55" t="str">
        <f aca="false">IF(AND($AR487&lt;&gt;"",$AT487&lt;&gt;""),$AT487-$AR487,"")</f>
        <v/>
      </c>
      <c r="BD487" s="55" t="str">
        <f aca="false">IF(AND($AS487&lt;&gt;"",$AT487&lt;&gt;""),$AT487-$AS487,"")</f>
        <v/>
      </c>
      <c r="BE487" s="53" t="str">
        <f aca="false">IF($E487&lt;&gt;"",$E487,"")</f>
        <v/>
      </c>
      <c r="BF487" s="52" t="str">
        <f aca="false">IF($F487&lt;&gt;"",$F487,"")</f>
        <v>Apprenant 475 ou 475'</v>
      </c>
      <c r="BG487" s="55" t="str">
        <f aca="false">IF(AND($AW487&lt;&gt;"",$AX487&lt;&gt;""),$AX487-$AW487,"")</f>
        <v/>
      </c>
      <c r="BH487" s="55" t="str">
        <f aca="false">IF(AND($AW487&lt;&gt;"",$AY487&lt;&gt;""),$AY487-$AW487,"")</f>
        <v/>
      </c>
      <c r="BI487" s="55" t="str">
        <f aca="false">IF(AND($AX487&lt;&gt;"",$AY487&lt;&gt;""),$AY487-$AX487,"")</f>
        <v/>
      </c>
      <c r="BJ487" s="53" t="str">
        <f aca="false">IF($J487&lt;&gt;"",$J487,"")</f>
        <v/>
      </c>
      <c r="BL487" s="52"/>
      <c r="BM487" s="52" t="str">
        <f aca="false">IF(OR(COUNT(B487:D1486)=0,AND('Choix pédagogiques'!$C$3&lt;&gt;1,'Choix pédagogiques'!$C$3&lt;&gt;2)),"",IF(AND(OR('Choix pédagogiques'!$C$3=1,'Choix pédagogiques'!$C$3=2),$B487&lt;&gt;"",$C487&lt;&gt;"",$D487&lt;&gt;""),1,0))</f>
        <v/>
      </c>
      <c r="BN487" s="52" t="str">
        <f aca="false">IF(OR(COUNT(G487:I1486)=0,AND('Choix pédagogiques'!$C$3&lt;&gt;1,'Choix pédagogiques'!$C$3&lt;&gt;2)),"",IF(AND(OR('Choix pédagogiques'!$C$3=1,'Choix pédagogiques'!$C$3=2),AND($G487&lt;&gt;"",$H487&lt;&gt;"",$I487&lt;&gt;"")),1,0))</f>
        <v/>
      </c>
      <c r="BO487" s="52" t="str">
        <f aca="false">IF(OR(COUNT(B487:D1486)=0,COUNT(G487:I1486)=0,'Choix pédagogiques'!C$3&lt;&gt;3),"",IF(AND('Choix pédagogiques'!$C$3=3,$B487&lt;&gt;"",$C487&lt;&gt;"",$D487&lt;&gt;"",$G487&lt;&gt;"",$H487&lt;&gt;"",$I487&lt;&gt;""),1,0))</f>
        <v/>
      </c>
      <c r="BR487" s="52" t="n">
        <v>666</v>
      </c>
      <c r="BS487" s="52" t="n">
        <v>1455</v>
      </c>
    </row>
    <row r="488" s="54" customFormat="true" ht="18" hidden="false" customHeight="true" outlineLevel="0" collapsed="false">
      <c r="A488" s="57" t="s">
        <v>907</v>
      </c>
      <c r="B488" s="51"/>
      <c r="C488" s="51"/>
      <c r="D488" s="51"/>
      <c r="E488" s="51"/>
      <c r="F488" s="57" t="s">
        <v>908</v>
      </c>
      <c r="G488" s="51"/>
      <c r="H488" s="51"/>
      <c r="I488" s="51"/>
      <c r="J488" s="51"/>
      <c r="K488" s="52" t="str">
        <f aca="false">IF($A488&lt;&gt;"",$A488,"")</f>
        <v>Apprenant 476</v>
      </c>
      <c r="L488" s="53" t="str">
        <f aca="false">IF(AND($B488&lt;&gt;"",$C488&lt;&gt;""),$C488-$B488,"")</f>
        <v/>
      </c>
      <c r="M488" s="53" t="str">
        <f aca="false">IF(AND($B488&lt;&gt;"",$D488&lt;&gt;""),$D488-$B488,"")</f>
        <v/>
      </c>
      <c r="N488" s="53" t="str">
        <f aca="false">IF(AND($C488&lt;&gt;"",$D488&lt;&gt;""),$D488-$C488,"")</f>
        <v/>
      </c>
      <c r="O488" s="53" t="str">
        <f aca="false">IF($E488&lt;&gt;"",$E488,"")</f>
        <v/>
      </c>
      <c r="P488" s="52" t="str">
        <f aca="false">IF($F488&lt;&gt;"",$F488,"")</f>
        <v>Apprenant 476 ou 476'</v>
      </c>
      <c r="Q488" s="53" t="str">
        <f aca="false">IF(AND($G488&lt;&gt;"",$H488&lt;&gt;""),$H488-$G488,"")</f>
        <v/>
      </c>
      <c r="R488" s="53" t="str">
        <f aca="false">IF(AND($G488&lt;&gt;"",$I488&lt;&gt;""),$I488-$G488,"")</f>
        <v/>
      </c>
      <c r="S488" s="53" t="str">
        <f aca="false">IF(AND($H488&lt;&gt;"",$I488&lt;&gt;""),$I488-$H488,"")</f>
        <v/>
      </c>
      <c r="T488" s="53" t="str">
        <f aca="false">IF($J488&lt;&gt;"",$J488,"")</f>
        <v/>
      </c>
      <c r="V488" s="52" t="str">
        <f aca="false">IF($A488&lt;&gt;"",$A488,"")</f>
        <v>Apprenant 476</v>
      </c>
      <c r="W488" s="53" t="str">
        <f aca="false">IF(AND(OR('Choix pédagogiques'!$C$3=1,'Choix pédagogiques'!$C$3=2),$BM488=1),B488,IF(AND('Choix pédagogiques'!$C$3=3,$BO488=1),B488,""))</f>
        <v/>
      </c>
      <c r="X488" s="53" t="str">
        <f aca="false">IF(AND(OR('Choix pédagogiques'!$C$3=1,'Choix pédagogiques'!$C$3=2),$BM488=1),C488,IF(AND('Choix pédagogiques'!$C$3=3,$BO488=1),C488,""))</f>
        <v/>
      </c>
      <c r="Y488" s="53" t="str">
        <f aca="false">IF(AND(OR('Choix pédagogiques'!$C$3=1,'Choix pédagogiques'!$C$3=2),$BM488=1),D488,IF(AND('Choix pédagogiques'!$C$3=3,$BO488=1),D488,""))</f>
        <v/>
      </c>
      <c r="Z488" s="53" t="str">
        <f aca="false">IF($E488&lt;&gt;"",$E488,"")</f>
        <v/>
      </c>
      <c r="AA488" s="52" t="str">
        <f aca="false">IF($F488&lt;&gt;"",$F488,"")</f>
        <v>Apprenant 476 ou 476'</v>
      </c>
      <c r="AB488" s="53" t="str">
        <f aca="false">IF(AND(OR('Choix pédagogiques'!$C$3=1,'Choix pédagogiques'!$C$3=2),$BN488=1),G488,IF(AND('Choix pédagogiques'!$C$3=3,$BO488=1),G488,""))</f>
        <v/>
      </c>
      <c r="AC488" s="53" t="str">
        <f aca="false">IF(AND(OR('Choix pédagogiques'!$C$3=1,'Choix pédagogiques'!$C$3=2),$BN488=1),H488,IF(AND('Choix pédagogiques'!$C$3=3,$BO488=1),H488,""))</f>
        <v/>
      </c>
      <c r="AD488" s="53" t="str">
        <f aca="false">IF(AND(OR('Choix pédagogiques'!$C$3=1,'Choix pédagogiques'!$C$3=2),$BN488=1),I488,IF(AND('Choix pédagogiques'!$C$3=3,$BO488=1),I488,""))</f>
        <v/>
      </c>
      <c r="AE488" s="53" t="str">
        <f aca="false">IF($J488&lt;&gt;"",$J488,"")</f>
        <v/>
      </c>
      <c r="AF488" s="52" t="str">
        <f aca="false">IF($A488&lt;&gt;"",$A488,"")</f>
        <v>Apprenant 476</v>
      </c>
      <c r="AG488" s="53" t="str">
        <f aca="false">IF(AND($W488&lt;&gt;"",$X488&lt;&gt;""),$X488-$W488,"")</f>
        <v/>
      </c>
      <c r="AH488" s="53" t="str">
        <f aca="false">IF(AND($W488&lt;&gt;"",$Y488&lt;&gt;""),$Y488-$W488,"")</f>
        <v/>
      </c>
      <c r="AI488" s="53" t="str">
        <f aca="false">IF(AND($X488&lt;&gt;"",$Y488&lt;&gt;""),$Y488-$X488,"")</f>
        <v/>
      </c>
      <c r="AJ488" s="53" t="str">
        <f aca="false">IF($E488&lt;&gt;"",$E488,"")</f>
        <v/>
      </c>
      <c r="AK488" s="52" t="str">
        <f aca="false">IF($F488&lt;&gt;"",$F488,"")</f>
        <v>Apprenant 476 ou 476'</v>
      </c>
      <c r="AL488" s="53" t="str">
        <f aca="false">IF(AND($AB488&lt;&gt;"",$AC488&lt;&gt;""),$AC488-$AB488,"")</f>
        <v/>
      </c>
      <c r="AM488" s="53" t="str">
        <f aca="false">IF(AND($AB488&lt;&gt;"",$AD488&lt;&gt;""),$AD488-$AB488,"")</f>
        <v/>
      </c>
      <c r="AN488" s="53" t="str">
        <f aca="false">IF(AND($AC488&lt;&gt;"",$AD488&lt;&gt;""),$AD488-$AC488,"")</f>
        <v/>
      </c>
      <c r="AO488" s="53" t="str">
        <f aca="false">IF($J488&lt;&gt;"",$J488,"")</f>
        <v/>
      </c>
      <c r="AQ488" s="52" t="str">
        <f aca="false">IF($A488&lt;&gt;"",$A488,"")</f>
        <v>Apprenant 476</v>
      </c>
      <c r="AR488" s="55" t="str">
        <f aca="false">IF(AND('Choix pédagogiques'!$C$4&lt;&gt;"?",'Choix pédagogiques'!$C$5&lt;&gt;"?",W488&lt;&gt;""),(W488-'Choix pédagogiques'!$C$4)/('Choix pédagogiques'!$C$5-'Choix pédagogiques'!$C$4),"")</f>
        <v/>
      </c>
      <c r="AS488" s="55" t="str">
        <f aca="false">IF(AND('Choix pédagogiques'!$C$4&lt;&gt;"?",'Choix pédagogiques'!$C$5&lt;&gt;"?",X488&lt;&gt;""),(X488-'Choix pédagogiques'!$C$4)/('Choix pédagogiques'!$C$5-'Choix pédagogiques'!$C$4),"")</f>
        <v/>
      </c>
      <c r="AT488" s="55" t="str">
        <f aca="false">IF(AND('Choix pédagogiques'!$C$4&lt;&gt;"?",'Choix pédagogiques'!$C$5&lt;&gt;"?",Y488&lt;&gt;""),(Y488-'Choix pédagogiques'!$C$4)/('Choix pédagogiques'!$C$5-'Choix pédagogiques'!$C$4),"")</f>
        <v/>
      </c>
      <c r="AU488" s="53" t="str">
        <f aca="false">IF($E488&lt;&gt;"",$E488,"")</f>
        <v/>
      </c>
      <c r="AV488" s="52" t="str">
        <f aca="false">IF($F488&lt;&gt;"",$F488,"")</f>
        <v>Apprenant 476 ou 476'</v>
      </c>
      <c r="AW488" s="55" t="str">
        <f aca="false">IF(AND('Choix pédagogiques'!$C$4&lt;&gt;"?",'Choix pédagogiques'!$C$5&lt;&gt;"?",AB488&lt;&gt;""),(AB488-'Choix pédagogiques'!$C$4)/('Choix pédagogiques'!$C$5-'Choix pédagogiques'!$C$4),"")</f>
        <v/>
      </c>
      <c r="AX488" s="55" t="str">
        <f aca="false">IF(AND('Choix pédagogiques'!$C$4&lt;&gt;"?",'Choix pédagogiques'!$C$5&lt;&gt;"?",AC488&lt;&gt;""),(AC488-'Choix pédagogiques'!$C$4)/('Choix pédagogiques'!$C$5-'Choix pédagogiques'!$C$4),"")</f>
        <v/>
      </c>
      <c r="AY488" s="55" t="str">
        <f aca="false">IF(AND('Choix pédagogiques'!$C$4&lt;&gt;"?",'Choix pédagogiques'!$C$5&lt;&gt;"?",AD488&lt;&gt;""),(AD488-'Choix pédagogiques'!$C$4)/('Choix pédagogiques'!$C$5-'Choix pédagogiques'!$C$4),"")</f>
        <v/>
      </c>
      <c r="AZ488" s="53" t="str">
        <f aca="false">IF($J488&lt;&gt;"",$J488,"")</f>
        <v/>
      </c>
      <c r="BA488" s="52" t="str">
        <f aca="false">IF($A488&lt;&gt;"",$A488,"")</f>
        <v>Apprenant 476</v>
      </c>
      <c r="BB488" s="55" t="str">
        <f aca="false">IF(AND($AR488&lt;&gt;"",$AS488&lt;&gt;""),$AS488-$AR488,"")</f>
        <v/>
      </c>
      <c r="BC488" s="55" t="str">
        <f aca="false">IF(AND($AR488&lt;&gt;"",$AT488&lt;&gt;""),$AT488-$AR488,"")</f>
        <v/>
      </c>
      <c r="BD488" s="55" t="str">
        <f aca="false">IF(AND($AS488&lt;&gt;"",$AT488&lt;&gt;""),$AT488-$AS488,"")</f>
        <v/>
      </c>
      <c r="BE488" s="53" t="str">
        <f aca="false">IF($E488&lt;&gt;"",$E488,"")</f>
        <v/>
      </c>
      <c r="BF488" s="52" t="str">
        <f aca="false">IF($F488&lt;&gt;"",$F488,"")</f>
        <v>Apprenant 476 ou 476'</v>
      </c>
      <c r="BG488" s="55" t="str">
        <f aca="false">IF(AND($AW488&lt;&gt;"",$AX488&lt;&gt;""),$AX488-$AW488,"")</f>
        <v/>
      </c>
      <c r="BH488" s="55" t="str">
        <f aca="false">IF(AND($AW488&lt;&gt;"",$AY488&lt;&gt;""),$AY488-$AW488,"")</f>
        <v/>
      </c>
      <c r="BI488" s="55" t="str">
        <f aca="false">IF(AND($AX488&lt;&gt;"",$AY488&lt;&gt;""),$AY488-$AX488,"")</f>
        <v/>
      </c>
      <c r="BJ488" s="53" t="str">
        <f aca="false">IF($J488&lt;&gt;"",$J488,"")</f>
        <v/>
      </c>
      <c r="BL488" s="52"/>
      <c r="BM488" s="52" t="str">
        <f aca="false">IF(OR(COUNT(B488:D1487)=0,AND('Choix pédagogiques'!$C$3&lt;&gt;1,'Choix pédagogiques'!$C$3&lt;&gt;2)),"",IF(AND(OR('Choix pédagogiques'!$C$3=1,'Choix pédagogiques'!$C$3=2),$B488&lt;&gt;"",$C488&lt;&gt;"",$D488&lt;&gt;""),1,0))</f>
        <v/>
      </c>
      <c r="BN488" s="52" t="str">
        <f aca="false">IF(OR(COUNT(G488:I1487)=0,AND('Choix pédagogiques'!$C$3&lt;&gt;1,'Choix pédagogiques'!$C$3&lt;&gt;2)),"",IF(AND(OR('Choix pédagogiques'!$C$3=1,'Choix pédagogiques'!$C$3=2),AND($G488&lt;&gt;"",$H488&lt;&gt;"",$I488&lt;&gt;"")),1,0))</f>
        <v/>
      </c>
      <c r="BO488" s="52" t="str">
        <f aca="false">IF(OR(COUNT(B488:D1487)=0,COUNT(G488:I1487)=0,'Choix pédagogiques'!C$3&lt;&gt;3),"",IF(AND('Choix pédagogiques'!$C$3=3,$B488&lt;&gt;"",$C488&lt;&gt;"",$D488&lt;&gt;"",$G488&lt;&gt;"",$H488&lt;&gt;"",$I488&lt;&gt;""),1,0))</f>
        <v/>
      </c>
      <c r="BR488" s="52" t="n">
        <v>219</v>
      </c>
      <c r="BS488" s="52" t="n">
        <v>1221</v>
      </c>
    </row>
    <row r="489" s="54" customFormat="true" ht="18" hidden="false" customHeight="true" outlineLevel="0" collapsed="false">
      <c r="A489" s="57" t="s">
        <v>909</v>
      </c>
      <c r="B489" s="51"/>
      <c r="C489" s="51"/>
      <c r="D489" s="51"/>
      <c r="E489" s="51"/>
      <c r="F489" s="57" t="s">
        <v>910</v>
      </c>
      <c r="G489" s="51"/>
      <c r="H489" s="51"/>
      <c r="I489" s="51"/>
      <c r="J489" s="51"/>
      <c r="K489" s="52" t="str">
        <f aca="false">IF($A489&lt;&gt;"",$A489,"")</f>
        <v>Apprenant 477</v>
      </c>
      <c r="L489" s="53" t="str">
        <f aca="false">IF(AND($B489&lt;&gt;"",$C489&lt;&gt;""),$C489-$B489,"")</f>
        <v/>
      </c>
      <c r="M489" s="53" t="str">
        <f aca="false">IF(AND($B489&lt;&gt;"",$D489&lt;&gt;""),$D489-$B489,"")</f>
        <v/>
      </c>
      <c r="N489" s="53" t="str">
        <f aca="false">IF(AND($C489&lt;&gt;"",$D489&lt;&gt;""),$D489-$C489,"")</f>
        <v/>
      </c>
      <c r="O489" s="53" t="str">
        <f aca="false">IF($E489&lt;&gt;"",$E489,"")</f>
        <v/>
      </c>
      <c r="P489" s="52" t="str">
        <f aca="false">IF($F489&lt;&gt;"",$F489,"")</f>
        <v>Apprenant 477 ou 477'</v>
      </c>
      <c r="Q489" s="53" t="str">
        <f aca="false">IF(AND($G489&lt;&gt;"",$H489&lt;&gt;""),$H489-$G489,"")</f>
        <v/>
      </c>
      <c r="R489" s="53" t="str">
        <f aca="false">IF(AND($G489&lt;&gt;"",$I489&lt;&gt;""),$I489-$G489,"")</f>
        <v/>
      </c>
      <c r="S489" s="53" t="str">
        <f aca="false">IF(AND($H489&lt;&gt;"",$I489&lt;&gt;""),$I489-$H489,"")</f>
        <v/>
      </c>
      <c r="T489" s="53" t="str">
        <f aca="false">IF($J489&lt;&gt;"",$J489,"")</f>
        <v/>
      </c>
      <c r="V489" s="52" t="str">
        <f aca="false">IF($A489&lt;&gt;"",$A489,"")</f>
        <v>Apprenant 477</v>
      </c>
      <c r="W489" s="53" t="str">
        <f aca="false">IF(AND(OR('Choix pédagogiques'!$C$3=1,'Choix pédagogiques'!$C$3=2),$BM489=1),B489,IF(AND('Choix pédagogiques'!$C$3=3,$BO489=1),B489,""))</f>
        <v/>
      </c>
      <c r="X489" s="53" t="str">
        <f aca="false">IF(AND(OR('Choix pédagogiques'!$C$3=1,'Choix pédagogiques'!$C$3=2),$BM489=1),C489,IF(AND('Choix pédagogiques'!$C$3=3,$BO489=1),C489,""))</f>
        <v/>
      </c>
      <c r="Y489" s="53" t="str">
        <f aca="false">IF(AND(OR('Choix pédagogiques'!$C$3=1,'Choix pédagogiques'!$C$3=2),$BM489=1),D489,IF(AND('Choix pédagogiques'!$C$3=3,$BO489=1),D489,""))</f>
        <v/>
      </c>
      <c r="Z489" s="53" t="str">
        <f aca="false">IF($E489&lt;&gt;"",$E489,"")</f>
        <v/>
      </c>
      <c r="AA489" s="52" t="str">
        <f aca="false">IF($F489&lt;&gt;"",$F489,"")</f>
        <v>Apprenant 477 ou 477'</v>
      </c>
      <c r="AB489" s="53" t="str">
        <f aca="false">IF(AND(OR('Choix pédagogiques'!$C$3=1,'Choix pédagogiques'!$C$3=2),$BN489=1),G489,IF(AND('Choix pédagogiques'!$C$3=3,$BO489=1),G489,""))</f>
        <v/>
      </c>
      <c r="AC489" s="53" t="str">
        <f aca="false">IF(AND(OR('Choix pédagogiques'!$C$3=1,'Choix pédagogiques'!$C$3=2),$BN489=1),H489,IF(AND('Choix pédagogiques'!$C$3=3,$BO489=1),H489,""))</f>
        <v/>
      </c>
      <c r="AD489" s="53" t="str">
        <f aca="false">IF(AND(OR('Choix pédagogiques'!$C$3=1,'Choix pédagogiques'!$C$3=2),$BN489=1),I489,IF(AND('Choix pédagogiques'!$C$3=3,$BO489=1),I489,""))</f>
        <v/>
      </c>
      <c r="AE489" s="53" t="str">
        <f aca="false">IF($J489&lt;&gt;"",$J489,"")</f>
        <v/>
      </c>
      <c r="AF489" s="52" t="str">
        <f aca="false">IF($A489&lt;&gt;"",$A489,"")</f>
        <v>Apprenant 477</v>
      </c>
      <c r="AG489" s="53" t="str">
        <f aca="false">IF(AND($W489&lt;&gt;"",$X489&lt;&gt;""),$X489-$W489,"")</f>
        <v/>
      </c>
      <c r="AH489" s="53" t="str">
        <f aca="false">IF(AND($W489&lt;&gt;"",$Y489&lt;&gt;""),$Y489-$W489,"")</f>
        <v/>
      </c>
      <c r="AI489" s="53" t="str">
        <f aca="false">IF(AND($X489&lt;&gt;"",$Y489&lt;&gt;""),$Y489-$X489,"")</f>
        <v/>
      </c>
      <c r="AJ489" s="53" t="str">
        <f aca="false">IF($E489&lt;&gt;"",$E489,"")</f>
        <v/>
      </c>
      <c r="AK489" s="52" t="str">
        <f aca="false">IF($F489&lt;&gt;"",$F489,"")</f>
        <v>Apprenant 477 ou 477'</v>
      </c>
      <c r="AL489" s="53" t="str">
        <f aca="false">IF(AND($AB489&lt;&gt;"",$AC489&lt;&gt;""),$AC489-$AB489,"")</f>
        <v/>
      </c>
      <c r="AM489" s="53" t="str">
        <f aca="false">IF(AND($AB489&lt;&gt;"",$AD489&lt;&gt;""),$AD489-$AB489,"")</f>
        <v/>
      </c>
      <c r="AN489" s="53" t="str">
        <f aca="false">IF(AND($AC489&lt;&gt;"",$AD489&lt;&gt;""),$AD489-$AC489,"")</f>
        <v/>
      </c>
      <c r="AO489" s="53" t="str">
        <f aca="false">IF($J489&lt;&gt;"",$J489,"")</f>
        <v/>
      </c>
      <c r="AQ489" s="52" t="str">
        <f aca="false">IF($A489&lt;&gt;"",$A489,"")</f>
        <v>Apprenant 477</v>
      </c>
      <c r="AR489" s="55" t="str">
        <f aca="false">IF(AND('Choix pédagogiques'!$C$4&lt;&gt;"?",'Choix pédagogiques'!$C$5&lt;&gt;"?",W489&lt;&gt;""),(W489-'Choix pédagogiques'!$C$4)/('Choix pédagogiques'!$C$5-'Choix pédagogiques'!$C$4),"")</f>
        <v/>
      </c>
      <c r="AS489" s="55" t="str">
        <f aca="false">IF(AND('Choix pédagogiques'!$C$4&lt;&gt;"?",'Choix pédagogiques'!$C$5&lt;&gt;"?",X489&lt;&gt;""),(X489-'Choix pédagogiques'!$C$4)/('Choix pédagogiques'!$C$5-'Choix pédagogiques'!$C$4),"")</f>
        <v/>
      </c>
      <c r="AT489" s="55" t="str">
        <f aca="false">IF(AND('Choix pédagogiques'!$C$4&lt;&gt;"?",'Choix pédagogiques'!$C$5&lt;&gt;"?",Y489&lt;&gt;""),(Y489-'Choix pédagogiques'!$C$4)/('Choix pédagogiques'!$C$5-'Choix pédagogiques'!$C$4),"")</f>
        <v/>
      </c>
      <c r="AU489" s="53" t="str">
        <f aca="false">IF($E489&lt;&gt;"",$E489,"")</f>
        <v/>
      </c>
      <c r="AV489" s="52" t="str">
        <f aca="false">IF($F489&lt;&gt;"",$F489,"")</f>
        <v>Apprenant 477 ou 477'</v>
      </c>
      <c r="AW489" s="55" t="str">
        <f aca="false">IF(AND('Choix pédagogiques'!$C$4&lt;&gt;"?",'Choix pédagogiques'!$C$5&lt;&gt;"?",AB489&lt;&gt;""),(AB489-'Choix pédagogiques'!$C$4)/('Choix pédagogiques'!$C$5-'Choix pédagogiques'!$C$4),"")</f>
        <v/>
      </c>
      <c r="AX489" s="55" t="str">
        <f aca="false">IF(AND('Choix pédagogiques'!$C$4&lt;&gt;"?",'Choix pédagogiques'!$C$5&lt;&gt;"?",AC489&lt;&gt;""),(AC489-'Choix pédagogiques'!$C$4)/('Choix pédagogiques'!$C$5-'Choix pédagogiques'!$C$4),"")</f>
        <v/>
      </c>
      <c r="AY489" s="55" t="str">
        <f aca="false">IF(AND('Choix pédagogiques'!$C$4&lt;&gt;"?",'Choix pédagogiques'!$C$5&lt;&gt;"?",AD489&lt;&gt;""),(AD489-'Choix pédagogiques'!$C$4)/('Choix pédagogiques'!$C$5-'Choix pédagogiques'!$C$4),"")</f>
        <v/>
      </c>
      <c r="AZ489" s="53" t="str">
        <f aca="false">IF($J489&lt;&gt;"",$J489,"")</f>
        <v/>
      </c>
      <c r="BA489" s="52" t="str">
        <f aca="false">IF($A489&lt;&gt;"",$A489,"")</f>
        <v>Apprenant 477</v>
      </c>
      <c r="BB489" s="55" t="str">
        <f aca="false">IF(AND($AR489&lt;&gt;"",$AS489&lt;&gt;""),$AS489-$AR489,"")</f>
        <v/>
      </c>
      <c r="BC489" s="55" t="str">
        <f aca="false">IF(AND($AR489&lt;&gt;"",$AT489&lt;&gt;""),$AT489-$AR489,"")</f>
        <v/>
      </c>
      <c r="BD489" s="55" t="str">
        <f aca="false">IF(AND($AS489&lt;&gt;"",$AT489&lt;&gt;""),$AT489-$AS489,"")</f>
        <v/>
      </c>
      <c r="BE489" s="53" t="str">
        <f aca="false">IF($E489&lt;&gt;"",$E489,"")</f>
        <v/>
      </c>
      <c r="BF489" s="52" t="str">
        <f aca="false">IF($F489&lt;&gt;"",$F489,"")</f>
        <v>Apprenant 477 ou 477'</v>
      </c>
      <c r="BG489" s="55" t="str">
        <f aca="false">IF(AND($AW489&lt;&gt;"",$AX489&lt;&gt;""),$AX489-$AW489,"")</f>
        <v/>
      </c>
      <c r="BH489" s="55" t="str">
        <f aca="false">IF(AND($AW489&lt;&gt;"",$AY489&lt;&gt;""),$AY489-$AW489,"")</f>
        <v/>
      </c>
      <c r="BI489" s="55" t="str">
        <f aca="false">IF(AND($AX489&lt;&gt;"",$AY489&lt;&gt;""),$AY489-$AX489,"")</f>
        <v/>
      </c>
      <c r="BJ489" s="53" t="str">
        <f aca="false">IF($J489&lt;&gt;"",$J489,"")</f>
        <v/>
      </c>
      <c r="BL489" s="52"/>
      <c r="BM489" s="52" t="str">
        <f aca="false">IF(OR(COUNT(B489:D1488)=0,AND('Choix pédagogiques'!$C$3&lt;&gt;1,'Choix pédagogiques'!$C$3&lt;&gt;2)),"",IF(AND(OR('Choix pédagogiques'!$C$3=1,'Choix pédagogiques'!$C$3=2),$B489&lt;&gt;"",$C489&lt;&gt;"",$D489&lt;&gt;""),1,0))</f>
        <v/>
      </c>
      <c r="BN489" s="52" t="str">
        <f aca="false">IF(OR(COUNT(G489:I1488)=0,AND('Choix pédagogiques'!$C$3&lt;&gt;1,'Choix pédagogiques'!$C$3&lt;&gt;2)),"",IF(AND(OR('Choix pédagogiques'!$C$3=1,'Choix pédagogiques'!$C$3=2),AND($G489&lt;&gt;"",$H489&lt;&gt;"",$I489&lt;&gt;"")),1,0))</f>
        <v/>
      </c>
      <c r="BO489" s="52" t="str">
        <f aca="false">IF(OR(COUNT(B489:D1488)=0,COUNT(G489:I1488)=0,'Choix pédagogiques'!C$3&lt;&gt;3),"",IF(AND('Choix pédagogiques'!$C$3=3,$B489&lt;&gt;"",$C489&lt;&gt;"",$D489&lt;&gt;"",$G489&lt;&gt;"",$H489&lt;&gt;"",$I489&lt;&gt;""),1,0))</f>
        <v/>
      </c>
      <c r="BR489" s="52" t="n">
        <v>616</v>
      </c>
      <c r="BS489" s="52" t="n">
        <v>1632</v>
      </c>
    </row>
    <row r="490" s="54" customFormat="true" ht="18" hidden="false" customHeight="true" outlineLevel="0" collapsed="false">
      <c r="A490" s="57" t="s">
        <v>911</v>
      </c>
      <c r="B490" s="51"/>
      <c r="C490" s="51"/>
      <c r="D490" s="51"/>
      <c r="E490" s="51"/>
      <c r="F490" s="57" t="s">
        <v>912</v>
      </c>
      <c r="G490" s="51"/>
      <c r="H490" s="51"/>
      <c r="I490" s="51"/>
      <c r="J490" s="51"/>
      <c r="K490" s="52" t="str">
        <f aca="false">IF($A490&lt;&gt;"",$A490,"")</f>
        <v>Apprenant 478</v>
      </c>
      <c r="L490" s="53" t="str">
        <f aca="false">IF(AND($B490&lt;&gt;"",$C490&lt;&gt;""),$C490-$B490,"")</f>
        <v/>
      </c>
      <c r="M490" s="53" t="str">
        <f aca="false">IF(AND($B490&lt;&gt;"",$D490&lt;&gt;""),$D490-$B490,"")</f>
        <v/>
      </c>
      <c r="N490" s="53" t="str">
        <f aca="false">IF(AND($C490&lt;&gt;"",$D490&lt;&gt;""),$D490-$C490,"")</f>
        <v/>
      </c>
      <c r="O490" s="53" t="str">
        <f aca="false">IF($E490&lt;&gt;"",$E490,"")</f>
        <v/>
      </c>
      <c r="P490" s="52" t="str">
        <f aca="false">IF($F490&lt;&gt;"",$F490,"")</f>
        <v>Apprenant 478 ou 478'</v>
      </c>
      <c r="Q490" s="53" t="str">
        <f aca="false">IF(AND($G490&lt;&gt;"",$H490&lt;&gt;""),$H490-$G490,"")</f>
        <v/>
      </c>
      <c r="R490" s="53" t="str">
        <f aca="false">IF(AND($G490&lt;&gt;"",$I490&lt;&gt;""),$I490-$G490,"")</f>
        <v/>
      </c>
      <c r="S490" s="53" t="str">
        <f aca="false">IF(AND($H490&lt;&gt;"",$I490&lt;&gt;""),$I490-$H490,"")</f>
        <v/>
      </c>
      <c r="T490" s="53" t="str">
        <f aca="false">IF($J490&lt;&gt;"",$J490,"")</f>
        <v/>
      </c>
      <c r="V490" s="52" t="str">
        <f aca="false">IF($A490&lt;&gt;"",$A490,"")</f>
        <v>Apprenant 478</v>
      </c>
      <c r="W490" s="53" t="str">
        <f aca="false">IF(AND(OR('Choix pédagogiques'!$C$3=1,'Choix pédagogiques'!$C$3=2),$BM490=1),B490,IF(AND('Choix pédagogiques'!$C$3=3,$BO490=1),B490,""))</f>
        <v/>
      </c>
      <c r="X490" s="53" t="str">
        <f aca="false">IF(AND(OR('Choix pédagogiques'!$C$3=1,'Choix pédagogiques'!$C$3=2),$BM490=1),C490,IF(AND('Choix pédagogiques'!$C$3=3,$BO490=1),C490,""))</f>
        <v/>
      </c>
      <c r="Y490" s="53" t="str">
        <f aca="false">IF(AND(OR('Choix pédagogiques'!$C$3=1,'Choix pédagogiques'!$C$3=2),$BM490=1),D490,IF(AND('Choix pédagogiques'!$C$3=3,$BO490=1),D490,""))</f>
        <v/>
      </c>
      <c r="Z490" s="53" t="str">
        <f aca="false">IF($E490&lt;&gt;"",$E490,"")</f>
        <v/>
      </c>
      <c r="AA490" s="52" t="str">
        <f aca="false">IF($F490&lt;&gt;"",$F490,"")</f>
        <v>Apprenant 478 ou 478'</v>
      </c>
      <c r="AB490" s="53" t="str">
        <f aca="false">IF(AND(OR('Choix pédagogiques'!$C$3=1,'Choix pédagogiques'!$C$3=2),$BN490=1),G490,IF(AND('Choix pédagogiques'!$C$3=3,$BO490=1),G490,""))</f>
        <v/>
      </c>
      <c r="AC490" s="53" t="str">
        <f aca="false">IF(AND(OR('Choix pédagogiques'!$C$3=1,'Choix pédagogiques'!$C$3=2),$BN490=1),H490,IF(AND('Choix pédagogiques'!$C$3=3,$BO490=1),H490,""))</f>
        <v/>
      </c>
      <c r="AD490" s="53" t="str">
        <f aca="false">IF(AND(OR('Choix pédagogiques'!$C$3=1,'Choix pédagogiques'!$C$3=2),$BN490=1),I490,IF(AND('Choix pédagogiques'!$C$3=3,$BO490=1),I490,""))</f>
        <v/>
      </c>
      <c r="AE490" s="53" t="str">
        <f aca="false">IF($J490&lt;&gt;"",$J490,"")</f>
        <v/>
      </c>
      <c r="AF490" s="52" t="str">
        <f aca="false">IF($A490&lt;&gt;"",$A490,"")</f>
        <v>Apprenant 478</v>
      </c>
      <c r="AG490" s="53" t="str">
        <f aca="false">IF(AND($W490&lt;&gt;"",$X490&lt;&gt;""),$X490-$W490,"")</f>
        <v/>
      </c>
      <c r="AH490" s="53" t="str">
        <f aca="false">IF(AND($W490&lt;&gt;"",$Y490&lt;&gt;""),$Y490-$W490,"")</f>
        <v/>
      </c>
      <c r="AI490" s="53" t="str">
        <f aca="false">IF(AND($X490&lt;&gt;"",$Y490&lt;&gt;""),$Y490-$X490,"")</f>
        <v/>
      </c>
      <c r="AJ490" s="53" t="str">
        <f aca="false">IF($E490&lt;&gt;"",$E490,"")</f>
        <v/>
      </c>
      <c r="AK490" s="52" t="str">
        <f aca="false">IF($F490&lt;&gt;"",$F490,"")</f>
        <v>Apprenant 478 ou 478'</v>
      </c>
      <c r="AL490" s="53" t="str">
        <f aca="false">IF(AND($AB490&lt;&gt;"",$AC490&lt;&gt;""),$AC490-$AB490,"")</f>
        <v/>
      </c>
      <c r="AM490" s="53" t="str">
        <f aca="false">IF(AND($AB490&lt;&gt;"",$AD490&lt;&gt;""),$AD490-$AB490,"")</f>
        <v/>
      </c>
      <c r="AN490" s="53" t="str">
        <f aca="false">IF(AND($AC490&lt;&gt;"",$AD490&lt;&gt;""),$AD490-$AC490,"")</f>
        <v/>
      </c>
      <c r="AO490" s="53" t="str">
        <f aca="false">IF($J490&lt;&gt;"",$J490,"")</f>
        <v/>
      </c>
      <c r="AQ490" s="52" t="str">
        <f aca="false">IF($A490&lt;&gt;"",$A490,"")</f>
        <v>Apprenant 478</v>
      </c>
      <c r="AR490" s="55" t="str">
        <f aca="false">IF(AND('Choix pédagogiques'!$C$4&lt;&gt;"?",'Choix pédagogiques'!$C$5&lt;&gt;"?",W490&lt;&gt;""),(W490-'Choix pédagogiques'!$C$4)/('Choix pédagogiques'!$C$5-'Choix pédagogiques'!$C$4),"")</f>
        <v/>
      </c>
      <c r="AS490" s="55" t="str">
        <f aca="false">IF(AND('Choix pédagogiques'!$C$4&lt;&gt;"?",'Choix pédagogiques'!$C$5&lt;&gt;"?",X490&lt;&gt;""),(X490-'Choix pédagogiques'!$C$4)/('Choix pédagogiques'!$C$5-'Choix pédagogiques'!$C$4),"")</f>
        <v/>
      </c>
      <c r="AT490" s="55" t="str">
        <f aca="false">IF(AND('Choix pédagogiques'!$C$4&lt;&gt;"?",'Choix pédagogiques'!$C$5&lt;&gt;"?",Y490&lt;&gt;""),(Y490-'Choix pédagogiques'!$C$4)/('Choix pédagogiques'!$C$5-'Choix pédagogiques'!$C$4),"")</f>
        <v/>
      </c>
      <c r="AU490" s="53" t="str">
        <f aca="false">IF($E490&lt;&gt;"",$E490,"")</f>
        <v/>
      </c>
      <c r="AV490" s="52" t="str">
        <f aca="false">IF($F490&lt;&gt;"",$F490,"")</f>
        <v>Apprenant 478 ou 478'</v>
      </c>
      <c r="AW490" s="55" t="str">
        <f aca="false">IF(AND('Choix pédagogiques'!$C$4&lt;&gt;"?",'Choix pédagogiques'!$C$5&lt;&gt;"?",AB490&lt;&gt;""),(AB490-'Choix pédagogiques'!$C$4)/('Choix pédagogiques'!$C$5-'Choix pédagogiques'!$C$4),"")</f>
        <v/>
      </c>
      <c r="AX490" s="55" t="str">
        <f aca="false">IF(AND('Choix pédagogiques'!$C$4&lt;&gt;"?",'Choix pédagogiques'!$C$5&lt;&gt;"?",AC490&lt;&gt;""),(AC490-'Choix pédagogiques'!$C$4)/('Choix pédagogiques'!$C$5-'Choix pédagogiques'!$C$4),"")</f>
        <v/>
      </c>
      <c r="AY490" s="55" t="str">
        <f aca="false">IF(AND('Choix pédagogiques'!$C$4&lt;&gt;"?",'Choix pédagogiques'!$C$5&lt;&gt;"?",AD490&lt;&gt;""),(AD490-'Choix pédagogiques'!$C$4)/('Choix pédagogiques'!$C$5-'Choix pédagogiques'!$C$4),"")</f>
        <v/>
      </c>
      <c r="AZ490" s="53" t="str">
        <f aca="false">IF($J490&lt;&gt;"",$J490,"")</f>
        <v/>
      </c>
      <c r="BA490" s="52" t="str">
        <f aca="false">IF($A490&lt;&gt;"",$A490,"")</f>
        <v>Apprenant 478</v>
      </c>
      <c r="BB490" s="55" t="str">
        <f aca="false">IF(AND($AR490&lt;&gt;"",$AS490&lt;&gt;""),$AS490-$AR490,"")</f>
        <v/>
      </c>
      <c r="BC490" s="55" t="str">
        <f aca="false">IF(AND($AR490&lt;&gt;"",$AT490&lt;&gt;""),$AT490-$AR490,"")</f>
        <v/>
      </c>
      <c r="BD490" s="55" t="str">
        <f aca="false">IF(AND($AS490&lt;&gt;"",$AT490&lt;&gt;""),$AT490-$AS490,"")</f>
        <v/>
      </c>
      <c r="BE490" s="53" t="str">
        <f aca="false">IF($E490&lt;&gt;"",$E490,"")</f>
        <v/>
      </c>
      <c r="BF490" s="52" t="str">
        <f aca="false">IF($F490&lt;&gt;"",$F490,"")</f>
        <v>Apprenant 478 ou 478'</v>
      </c>
      <c r="BG490" s="55" t="str">
        <f aca="false">IF(AND($AW490&lt;&gt;"",$AX490&lt;&gt;""),$AX490-$AW490,"")</f>
        <v/>
      </c>
      <c r="BH490" s="55" t="str">
        <f aca="false">IF(AND($AW490&lt;&gt;"",$AY490&lt;&gt;""),$AY490-$AW490,"")</f>
        <v/>
      </c>
      <c r="BI490" s="55" t="str">
        <f aca="false">IF(AND($AX490&lt;&gt;"",$AY490&lt;&gt;""),$AY490-$AX490,"")</f>
        <v/>
      </c>
      <c r="BJ490" s="53" t="str">
        <f aca="false">IF($J490&lt;&gt;"",$J490,"")</f>
        <v/>
      </c>
      <c r="BL490" s="52"/>
      <c r="BM490" s="52" t="str">
        <f aca="false">IF(OR(COUNT(B490:D1489)=0,AND('Choix pédagogiques'!$C$3&lt;&gt;1,'Choix pédagogiques'!$C$3&lt;&gt;2)),"",IF(AND(OR('Choix pédagogiques'!$C$3=1,'Choix pédagogiques'!$C$3=2),$B490&lt;&gt;"",$C490&lt;&gt;"",$D490&lt;&gt;""),1,0))</f>
        <v/>
      </c>
      <c r="BN490" s="52" t="str">
        <f aca="false">IF(OR(COUNT(G490:I1489)=0,AND('Choix pédagogiques'!$C$3&lt;&gt;1,'Choix pédagogiques'!$C$3&lt;&gt;2)),"",IF(AND(OR('Choix pédagogiques'!$C$3=1,'Choix pédagogiques'!$C$3=2),AND($G490&lt;&gt;"",$H490&lt;&gt;"",$I490&lt;&gt;"")),1,0))</f>
        <v/>
      </c>
      <c r="BO490" s="52" t="str">
        <f aca="false">IF(OR(COUNT(B490:D1489)=0,COUNT(G490:I1489)=0,'Choix pédagogiques'!C$3&lt;&gt;3),"",IF(AND('Choix pédagogiques'!$C$3=3,$B490&lt;&gt;"",$C490&lt;&gt;"",$D490&lt;&gt;"",$G490&lt;&gt;"",$H490&lt;&gt;"",$I490&lt;&gt;""),1,0))</f>
        <v/>
      </c>
      <c r="BR490" s="52" t="n">
        <v>979</v>
      </c>
      <c r="BS490" s="52" t="n">
        <v>1265</v>
      </c>
    </row>
    <row r="491" s="54" customFormat="true" ht="18" hidden="false" customHeight="true" outlineLevel="0" collapsed="false">
      <c r="A491" s="57" t="s">
        <v>913</v>
      </c>
      <c r="B491" s="51"/>
      <c r="C491" s="51"/>
      <c r="D491" s="51"/>
      <c r="E491" s="51"/>
      <c r="F491" s="57" t="s">
        <v>914</v>
      </c>
      <c r="G491" s="51"/>
      <c r="H491" s="51"/>
      <c r="I491" s="51"/>
      <c r="J491" s="51"/>
      <c r="K491" s="52" t="str">
        <f aca="false">IF($A491&lt;&gt;"",$A491,"")</f>
        <v>Apprenant 479</v>
      </c>
      <c r="L491" s="53" t="str">
        <f aca="false">IF(AND($B491&lt;&gt;"",$C491&lt;&gt;""),$C491-$B491,"")</f>
        <v/>
      </c>
      <c r="M491" s="53" t="str">
        <f aca="false">IF(AND($B491&lt;&gt;"",$D491&lt;&gt;""),$D491-$B491,"")</f>
        <v/>
      </c>
      <c r="N491" s="53" t="str">
        <f aca="false">IF(AND($C491&lt;&gt;"",$D491&lt;&gt;""),$D491-$C491,"")</f>
        <v/>
      </c>
      <c r="O491" s="53" t="str">
        <f aca="false">IF($E491&lt;&gt;"",$E491,"")</f>
        <v/>
      </c>
      <c r="P491" s="52" t="str">
        <f aca="false">IF($F491&lt;&gt;"",$F491,"")</f>
        <v>Apprenant 479 ou 479'</v>
      </c>
      <c r="Q491" s="53" t="str">
        <f aca="false">IF(AND($G491&lt;&gt;"",$H491&lt;&gt;""),$H491-$G491,"")</f>
        <v/>
      </c>
      <c r="R491" s="53" t="str">
        <f aca="false">IF(AND($G491&lt;&gt;"",$I491&lt;&gt;""),$I491-$G491,"")</f>
        <v/>
      </c>
      <c r="S491" s="53" t="str">
        <f aca="false">IF(AND($H491&lt;&gt;"",$I491&lt;&gt;""),$I491-$H491,"")</f>
        <v/>
      </c>
      <c r="T491" s="53" t="str">
        <f aca="false">IF($J491&lt;&gt;"",$J491,"")</f>
        <v/>
      </c>
      <c r="V491" s="52" t="str">
        <f aca="false">IF($A491&lt;&gt;"",$A491,"")</f>
        <v>Apprenant 479</v>
      </c>
      <c r="W491" s="53" t="str">
        <f aca="false">IF(AND(OR('Choix pédagogiques'!$C$3=1,'Choix pédagogiques'!$C$3=2),$BM491=1),B491,IF(AND('Choix pédagogiques'!$C$3=3,$BO491=1),B491,""))</f>
        <v/>
      </c>
      <c r="X491" s="53" t="str">
        <f aca="false">IF(AND(OR('Choix pédagogiques'!$C$3=1,'Choix pédagogiques'!$C$3=2),$BM491=1),C491,IF(AND('Choix pédagogiques'!$C$3=3,$BO491=1),C491,""))</f>
        <v/>
      </c>
      <c r="Y491" s="53" t="str">
        <f aca="false">IF(AND(OR('Choix pédagogiques'!$C$3=1,'Choix pédagogiques'!$C$3=2),$BM491=1),D491,IF(AND('Choix pédagogiques'!$C$3=3,$BO491=1),D491,""))</f>
        <v/>
      </c>
      <c r="Z491" s="53" t="str">
        <f aca="false">IF($E491&lt;&gt;"",$E491,"")</f>
        <v/>
      </c>
      <c r="AA491" s="52" t="str">
        <f aca="false">IF($F491&lt;&gt;"",$F491,"")</f>
        <v>Apprenant 479 ou 479'</v>
      </c>
      <c r="AB491" s="53" t="str">
        <f aca="false">IF(AND(OR('Choix pédagogiques'!$C$3=1,'Choix pédagogiques'!$C$3=2),$BN491=1),G491,IF(AND('Choix pédagogiques'!$C$3=3,$BO491=1),G491,""))</f>
        <v/>
      </c>
      <c r="AC491" s="53" t="str">
        <f aca="false">IF(AND(OR('Choix pédagogiques'!$C$3=1,'Choix pédagogiques'!$C$3=2),$BN491=1),H491,IF(AND('Choix pédagogiques'!$C$3=3,$BO491=1),H491,""))</f>
        <v/>
      </c>
      <c r="AD491" s="53" t="str">
        <f aca="false">IF(AND(OR('Choix pédagogiques'!$C$3=1,'Choix pédagogiques'!$C$3=2),$BN491=1),I491,IF(AND('Choix pédagogiques'!$C$3=3,$BO491=1),I491,""))</f>
        <v/>
      </c>
      <c r="AE491" s="53" t="str">
        <f aca="false">IF($J491&lt;&gt;"",$J491,"")</f>
        <v/>
      </c>
      <c r="AF491" s="52" t="str">
        <f aca="false">IF($A491&lt;&gt;"",$A491,"")</f>
        <v>Apprenant 479</v>
      </c>
      <c r="AG491" s="53" t="str">
        <f aca="false">IF(AND($W491&lt;&gt;"",$X491&lt;&gt;""),$X491-$W491,"")</f>
        <v/>
      </c>
      <c r="AH491" s="53" t="str">
        <f aca="false">IF(AND($W491&lt;&gt;"",$Y491&lt;&gt;""),$Y491-$W491,"")</f>
        <v/>
      </c>
      <c r="AI491" s="53" t="str">
        <f aca="false">IF(AND($X491&lt;&gt;"",$Y491&lt;&gt;""),$Y491-$X491,"")</f>
        <v/>
      </c>
      <c r="AJ491" s="53" t="str">
        <f aca="false">IF($E491&lt;&gt;"",$E491,"")</f>
        <v/>
      </c>
      <c r="AK491" s="52" t="str">
        <f aca="false">IF($F491&lt;&gt;"",$F491,"")</f>
        <v>Apprenant 479 ou 479'</v>
      </c>
      <c r="AL491" s="53" t="str">
        <f aca="false">IF(AND($AB491&lt;&gt;"",$AC491&lt;&gt;""),$AC491-$AB491,"")</f>
        <v/>
      </c>
      <c r="AM491" s="53" t="str">
        <f aca="false">IF(AND($AB491&lt;&gt;"",$AD491&lt;&gt;""),$AD491-$AB491,"")</f>
        <v/>
      </c>
      <c r="AN491" s="53" t="str">
        <f aca="false">IF(AND($AC491&lt;&gt;"",$AD491&lt;&gt;""),$AD491-$AC491,"")</f>
        <v/>
      </c>
      <c r="AO491" s="53" t="str">
        <f aca="false">IF($J491&lt;&gt;"",$J491,"")</f>
        <v/>
      </c>
      <c r="AQ491" s="52" t="str">
        <f aca="false">IF($A491&lt;&gt;"",$A491,"")</f>
        <v>Apprenant 479</v>
      </c>
      <c r="AR491" s="55" t="str">
        <f aca="false">IF(AND('Choix pédagogiques'!$C$4&lt;&gt;"?",'Choix pédagogiques'!$C$5&lt;&gt;"?",W491&lt;&gt;""),(W491-'Choix pédagogiques'!$C$4)/('Choix pédagogiques'!$C$5-'Choix pédagogiques'!$C$4),"")</f>
        <v/>
      </c>
      <c r="AS491" s="55" t="str">
        <f aca="false">IF(AND('Choix pédagogiques'!$C$4&lt;&gt;"?",'Choix pédagogiques'!$C$5&lt;&gt;"?",X491&lt;&gt;""),(X491-'Choix pédagogiques'!$C$4)/('Choix pédagogiques'!$C$5-'Choix pédagogiques'!$C$4),"")</f>
        <v/>
      </c>
      <c r="AT491" s="55" t="str">
        <f aca="false">IF(AND('Choix pédagogiques'!$C$4&lt;&gt;"?",'Choix pédagogiques'!$C$5&lt;&gt;"?",Y491&lt;&gt;""),(Y491-'Choix pédagogiques'!$C$4)/('Choix pédagogiques'!$C$5-'Choix pédagogiques'!$C$4),"")</f>
        <v/>
      </c>
      <c r="AU491" s="53" t="str">
        <f aca="false">IF($E491&lt;&gt;"",$E491,"")</f>
        <v/>
      </c>
      <c r="AV491" s="52" t="str">
        <f aca="false">IF($F491&lt;&gt;"",$F491,"")</f>
        <v>Apprenant 479 ou 479'</v>
      </c>
      <c r="AW491" s="55" t="str">
        <f aca="false">IF(AND('Choix pédagogiques'!$C$4&lt;&gt;"?",'Choix pédagogiques'!$C$5&lt;&gt;"?",AB491&lt;&gt;""),(AB491-'Choix pédagogiques'!$C$4)/('Choix pédagogiques'!$C$5-'Choix pédagogiques'!$C$4),"")</f>
        <v/>
      </c>
      <c r="AX491" s="55" t="str">
        <f aca="false">IF(AND('Choix pédagogiques'!$C$4&lt;&gt;"?",'Choix pédagogiques'!$C$5&lt;&gt;"?",AC491&lt;&gt;""),(AC491-'Choix pédagogiques'!$C$4)/('Choix pédagogiques'!$C$5-'Choix pédagogiques'!$C$4),"")</f>
        <v/>
      </c>
      <c r="AY491" s="55" t="str">
        <f aca="false">IF(AND('Choix pédagogiques'!$C$4&lt;&gt;"?",'Choix pédagogiques'!$C$5&lt;&gt;"?",AD491&lt;&gt;""),(AD491-'Choix pédagogiques'!$C$4)/('Choix pédagogiques'!$C$5-'Choix pédagogiques'!$C$4),"")</f>
        <v/>
      </c>
      <c r="AZ491" s="53" t="str">
        <f aca="false">IF($J491&lt;&gt;"",$J491,"")</f>
        <v/>
      </c>
      <c r="BA491" s="52" t="str">
        <f aca="false">IF($A491&lt;&gt;"",$A491,"")</f>
        <v>Apprenant 479</v>
      </c>
      <c r="BB491" s="55" t="str">
        <f aca="false">IF(AND($AR491&lt;&gt;"",$AS491&lt;&gt;""),$AS491-$AR491,"")</f>
        <v/>
      </c>
      <c r="BC491" s="55" t="str">
        <f aca="false">IF(AND($AR491&lt;&gt;"",$AT491&lt;&gt;""),$AT491-$AR491,"")</f>
        <v/>
      </c>
      <c r="BD491" s="55" t="str">
        <f aca="false">IF(AND($AS491&lt;&gt;"",$AT491&lt;&gt;""),$AT491-$AS491,"")</f>
        <v/>
      </c>
      <c r="BE491" s="53" t="str">
        <f aca="false">IF($E491&lt;&gt;"",$E491,"")</f>
        <v/>
      </c>
      <c r="BF491" s="52" t="str">
        <f aca="false">IF($F491&lt;&gt;"",$F491,"")</f>
        <v>Apprenant 479 ou 479'</v>
      </c>
      <c r="BG491" s="55" t="str">
        <f aca="false">IF(AND($AW491&lt;&gt;"",$AX491&lt;&gt;""),$AX491-$AW491,"")</f>
        <v/>
      </c>
      <c r="BH491" s="55" t="str">
        <f aca="false">IF(AND($AW491&lt;&gt;"",$AY491&lt;&gt;""),$AY491-$AW491,"")</f>
        <v/>
      </c>
      <c r="BI491" s="55" t="str">
        <f aca="false">IF(AND($AX491&lt;&gt;"",$AY491&lt;&gt;""),$AY491-$AX491,"")</f>
        <v/>
      </c>
      <c r="BJ491" s="53" t="str">
        <f aca="false">IF($J491&lt;&gt;"",$J491,"")</f>
        <v/>
      </c>
      <c r="BL491" s="52"/>
      <c r="BM491" s="52" t="str">
        <f aca="false">IF(OR(COUNT(B491:D1490)=0,AND('Choix pédagogiques'!$C$3&lt;&gt;1,'Choix pédagogiques'!$C$3&lt;&gt;2)),"",IF(AND(OR('Choix pédagogiques'!$C$3=1,'Choix pédagogiques'!$C$3=2),$B491&lt;&gt;"",$C491&lt;&gt;"",$D491&lt;&gt;""),1,0))</f>
        <v/>
      </c>
      <c r="BN491" s="52" t="str">
        <f aca="false">IF(OR(COUNT(G491:I1490)=0,AND('Choix pédagogiques'!$C$3&lt;&gt;1,'Choix pédagogiques'!$C$3&lt;&gt;2)),"",IF(AND(OR('Choix pédagogiques'!$C$3=1,'Choix pédagogiques'!$C$3=2),AND($G491&lt;&gt;"",$H491&lt;&gt;"",$I491&lt;&gt;"")),1,0))</f>
        <v/>
      </c>
      <c r="BO491" s="52" t="str">
        <f aca="false">IF(OR(COUNT(B491:D1490)=0,COUNT(G491:I1490)=0,'Choix pédagogiques'!C$3&lt;&gt;3),"",IF(AND('Choix pédagogiques'!$C$3=3,$B491&lt;&gt;"",$C491&lt;&gt;"",$D491&lt;&gt;"",$G491&lt;&gt;"",$H491&lt;&gt;"",$I491&lt;&gt;""),1,0))</f>
        <v/>
      </c>
      <c r="BR491" s="52" t="n">
        <v>933</v>
      </c>
      <c r="BS491" s="52" t="n">
        <v>1062</v>
      </c>
    </row>
    <row r="492" s="54" customFormat="true" ht="18" hidden="false" customHeight="true" outlineLevel="0" collapsed="false">
      <c r="A492" s="57" t="s">
        <v>915</v>
      </c>
      <c r="B492" s="51"/>
      <c r="C492" s="51"/>
      <c r="D492" s="51"/>
      <c r="E492" s="51"/>
      <c r="F492" s="57" t="s">
        <v>916</v>
      </c>
      <c r="G492" s="51"/>
      <c r="H492" s="51"/>
      <c r="I492" s="51"/>
      <c r="J492" s="51"/>
      <c r="K492" s="52" t="str">
        <f aca="false">IF($A492&lt;&gt;"",$A492,"")</f>
        <v>Apprenant 480</v>
      </c>
      <c r="L492" s="53" t="str">
        <f aca="false">IF(AND($B492&lt;&gt;"",$C492&lt;&gt;""),$C492-$B492,"")</f>
        <v/>
      </c>
      <c r="M492" s="53" t="str">
        <f aca="false">IF(AND($B492&lt;&gt;"",$D492&lt;&gt;""),$D492-$B492,"")</f>
        <v/>
      </c>
      <c r="N492" s="53" t="str">
        <f aca="false">IF(AND($C492&lt;&gt;"",$D492&lt;&gt;""),$D492-$C492,"")</f>
        <v/>
      </c>
      <c r="O492" s="53" t="str">
        <f aca="false">IF($E492&lt;&gt;"",$E492,"")</f>
        <v/>
      </c>
      <c r="P492" s="52" t="str">
        <f aca="false">IF($F492&lt;&gt;"",$F492,"")</f>
        <v>Apprenant 480 ou 480'</v>
      </c>
      <c r="Q492" s="53" t="str">
        <f aca="false">IF(AND($G492&lt;&gt;"",$H492&lt;&gt;""),$H492-$G492,"")</f>
        <v/>
      </c>
      <c r="R492" s="53" t="str">
        <f aca="false">IF(AND($G492&lt;&gt;"",$I492&lt;&gt;""),$I492-$G492,"")</f>
        <v/>
      </c>
      <c r="S492" s="53" t="str">
        <f aca="false">IF(AND($H492&lt;&gt;"",$I492&lt;&gt;""),$I492-$H492,"")</f>
        <v/>
      </c>
      <c r="T492" s="53" t="str">
        <f aca="false">IF($J492&lt;&gt;"",$J492,"")</f>
        <v/>
      </c>
      <c r="V492" s="52" t="str">
        <f aca="false">IF($A492&lt;&gt;"",$A492,"")</f>
        <v>Apprenant 480</v>
      </c>
      <c r="W492" s="53" t="str">
        <f aca="false">IF(AND(OR('Choix pédagogiques'!$C$3=1,'Choix pédagogiques'!$C$3=2),$BM492=1),B492,IF(AND('Choix pédagogiques'!$C$3=3,$BO492=1),B492,""))</f>
        <v/>
      </c>
      <c r="X492" s="53" t="str">
        <f aca="false">IF(AND(OR('Choix pédagogiques'!$C$3=1,'Choix pédagogiques'!$C$3=2),$BM492=1),C492,IF(AND('Choix pédagogiques'!$C$3=3,$BO492=1),C492,""))</f>
        <v/>
      </c>
      <c r="Y492" s="53" t="str">
        <f aca="false">IF(AND(OR('Choix pédagogiques'!$C$3=1,'Choix pédagogiques'!$C$3=2),$BM492=1),D492,IF(AND('Choix pédagogiques'!$C$3=3,$BO492=1),D492,""))</f>
        <v/>
      </c>
      <c r="Z492" s="53" t="str">
        <f aca="false">IF($E492&lt;&gt;"",$E492,"")</f>
        <v/>
      </c>
      <c r="AA492" s="52" t="str">
        <f aca="false">IF($F492&lt;&gt;"",$F492,"")</f>
        <v>Apprenant 480 ou 480'</v>
      </c>
      <c r="AB492" s="53" t="str">
        <f aca="false">IF(AND(OR('Choix pédagogiques'!$C$3=1,'Choix pédagogiques'!$C$3=2),$BN492=1),G492,IF(AND('Choix pédagogiques'!$C$3=3,$BO492=1),G492,""))</f>
        <v/>
      </c>
      <c r="AC492" s="53" t="str">
        <f aca="false">IF(AND(OR('Choix pédagogiques'!$C$3=1,'Choix pédagogiques'!$C$3=2),$BN492=1),H492,IF(AND('Choix pédagogiques'!$C$3=3,$BO492=1),H492,""))</f>
        <v/>
      </c>
      <c r="AD492" s="53" t="str">
        <f aca="false">IF(AND(OR('Choix pédagogiques'!$C$3=1,'Choix pédagogiques'!$C$3=2),$BN492=1),I492,IF(AND('Choix pédagogiques'!$C$3=3,$BO492=1),I492,""))</f>
        <v/>
      </c>
      <c r="AE492" s="53" t="str">
        <f aca="false">IF($J492&lt;&gt;"",$J492,"")</f>
        <v/>
      </c>
      <c r="AF492" s="52" t="str">
        <f aca="false">IF($A492&lt;&gt;"",$A492,"")</f>
        <v>Apprenant 480</v>
      </c>
      <c r="AG492" s="53" t="str">
        <f aca="false">IF(AND($W492&lt;&gt;"",$X492&lt;&gt;""),$X492-$W492,"")</f>
        <v/>
      </c>
      <c r="AH492" s="53" t="str">
        <f aca="false">IF(AND($W492&lt;&gt;"",$Y492&lt;&gt;""),$Y492-$W492,"")</f>
        <v/>
      </c>
      <c r="AI492" s="53" t="str">
        <f aca="false">IF(AND($X492&lt;&gt;"",$Y492&lt;&gt;""),$Y492-$X492,"")</f>
        <v/>
      </c>
      <c r="AJ492" s="53" t="str">
        <f aca="false">IF($E492&lt;&gt;"",$E492,"")</f>
        <v/>
      </c>
      <c r="AK492" s="52" t="str">
        <f aca="false">IF($F492&lt;&gt;"",$F492,"")</f>
        <v>Apprenant 480 ou 480'</v>
      </c>
      <c r="AL492" s="53" t="str">
        <f aca="false">IF(AND($AB492&lt;&gt;"",$AC492&lt;&gt;""),$AC492-$AB492,"")</f>
        <v/>
      </c>
      <c r="AM492" s="53" t="str">
        <f aca="false">IF(AND($AB492&lt;&gt;"",$AD492&lt;&gt;""),$AD492-$AB492,"")</f>
        <v/>
      </c>
      <c r="AN492" s="53" t="str">
        <f aca="false">IF(AND($AC492&lt;&gt;"",$AD492&lt;&gt;""),$AD492-$AC492,"")</f>
        <v/>
      </c>
      <c r="AO492" s="53" t="str">
        <f aca="false">IF($J492&lt;&gt;"",$J492,"")</f>
        <v/>
      </c>
      <c r="AQ492" s="52" t="str">
        <f aca="false">IF($A492&lt;&gt;"",$A492,"")</f>
        <v>Apprenant 480</v>
      </c>
      <c r="AR492" s="55" t="str">
        <f aca="false">IF(AND('Choix pédagogiques'!$C$4&lt;&gt;"?",'Choix pédagogiques'!$C$5&lt;&gt;"?",W492&lt;&gt;""),(W492-'Choix pédagogiques'!$C$4)/('Choix pédagogiques'!$C$5-'Choix pédagogiques'!$C$4),"")</f>
        <v/>
      </c>
      <c r="AS492" s="55" t="str">
        <f aca="false">IF(AND('Choix pédagogiques'!$C$4&lt;&gt;"?",'Choix pédagogiques'!$C$5&lt;&gt;"?",X492&lt;&gt;""),(X492-'Choix pédagogiques'!$C$4)/('Choix pédagogiques'!$C$5-'Choix pédagogiques'!$C$4),"")</f>
        <v/>
      </c>
      <c r="AT492" s="55" t="str">
        <f aca="false">IF(AND('Choix pédagogiques'!$C$4&lt;&gt;"?",'Choix pédagogiques'!$C$5&lt;&gt;"?",Y492&lt;&gt;""),(Y492-'Choix pédagogiques'!$C$4)/('Choix pédagogiques'!$C$5-'Choix pédagogiques'!$C$4),"")</f>
        <v/>
      </c>
      <c r="AU492" s="53" t="str">
        <f aca="false">IF($E492&lt;&gt;"",$E492,"")</f>
        <v/>
      </c>
      <c r="AV492" s="52" t="str">
        <f aca="false">IF($F492&lt;&gt;"",$F492,"")</f>
        <v>Apprenant 480 ou 480'</v>
      </c>
      <c r="AW492" s="55" t="str">
        <f aca="false">IF(AND('Choix pédagogiques'!$C$4&lt;&gt;"?",'Choix pédagogiques'!$C$5&lt;&gt;"?",AB492&lt;&gt;""),(AB492-'Choix pédagogiques'!$C$4)/('Choix pédagogiques'!$C$5-'Choix pédagogiques'!$C$4),"")</f>
        <v/>
      </c>
      <c r="AX492" s="55" t="str">
        <f aca="false">IF(AND('Choix pédagogiques'!$C$4&lt;&gt;"?",'Choix pédagogiques'!$C$5&lt;&gt;"?",AC492&lt;&gt;""),(AC492-'Choix pédagogiques'!$C$4)/('Choix pédagogiques'!$C$5-'Choix pédagogiques'!$C$4),"")</f>
        <v/>
      </c>
      <c r="AY492" s="55" t="str">
        <f aca="false">IF(AND('Choix pédagogiques'!$C$4&lt;&gt;"?",'Choix pédagogiques'!$C$5&lt;&gt;"?",AD492&lt;&gt;""),(AD492-'Choix pédagogiques'!$C$4)/('Choix pédagogiques'!$C$5-'Choix pédagogiques'!$C$4),"")</f>
        <v/>
      </c>
      <c r="AZ492" s="53" t="str">
        <f aca="false">IF($J492&lt;&gt;"",$J492,"")</f>
        <v/>
      </c>
      <c r="BA492" s="52" t="str">
        <f aca="false">IF($A492&lt;&gt;"",$A492,"")</f>
        <v>Apprenant 480</v>
      </c>
      <c r="BB492" s="55" t="str">
        <f aca="false">IF(AND($AR492&lt;&gt;"",$AS492&lt;&gt;""),$AS492-$AR492,"")</f>
        <v/>
      </c>
      <c r="BC492" s="55" t="str">
        <f aca="false">IF(AND($AR492&lt;&gt;"",$AT492&lt;&gt;""),$AT492-$AR492,"")</f>
        <v/>
      </c>
      <c r="BD492" s="55" t="str">
        <f aca="false">IF(AND($AS492&lt;&gt;"",$AT492&lt;&gt;""),$AT492-$AS492,"")</f>
        <v/>
      </c>
      <c r="BE492" s="53" t="str">
        <f aca="false">IF($E492&lt;&gt;"",$E492,"")</f>
        <v/>
      </c>
      <c r="BF492" s="52" t="str">
        <f aca="false">IF($F492&lt;&gt;"",$F492,"")</f>
        <v>Apprenant 480 ou 480'</v>
      </c>
      <c r="BG492" s="55" t="str">
        <f aca="false">IF(AND($AW492&lt;&gt;"",$AX492&lt;&gt;""),$AX492-$AW492,"")</f>
        <v/>
      </c>
      <c r="BH492" s="55" t="str">
        <f aca="false">IF(AND($AW492&lt;&gt;"",$AY492&lt;&gt;""),$AY492-$AW492,"")</f>
        <v/>
      </c>
      <c r="BI492" s="55" t="str">
        <f aca="false">IF(AND($AX492&lt;&gt;"",$AY492&lt;&gt;""),$AY492-$AX492,"")</f>
        <v/>
      </c>
      <c r="BJ492" s="53" t="str">
        <f aca="false">IF($J492&lt;&gt;"",$J492,"")</f>
        <v/>
      </c>
      <c r="BL492" s="52"/>
      <c r="BM492" s="52" t="str">
        <f aca="false">IF(OR(COUNT(B492:D1491)=0,AND('Choix pédagogiques'!$C$3&lt;&gt;1,'Choix pédagogiques'!$C$3&lt;&gt;2)),"",IF(AND(OR('Choix pédagogiques'!$C$3=1,'Choix pédagogiques'!$C$3=2),$B492&lt;&gt;"",$C492&lt;&gt;"",$D492&lt;&gt;""),1,0))</f>
        <v/>
      </c>
      <c r="BN492" s="52" t="str">
        <f aca="false">IF(OR(COUNT(G492:I1491)=0,AND('Choix pédagogiques'!$C$3&lt;&gt;1,'Choix pédagogiques'!$C$3&lt;&gt;2)),"",IF(AND(OR('Choix pédagogiques'!$C$3=1,'Choix pédagogiques'!$C$3=2),AND($G492&lt;&gt;"",$H492&lt;&gt;"",$I492&lt;&gt;"")),1,0))</f>
        <v/>
      </c>
      <c r="BO492" s="52" t="str">
        <f aca="false">IF(OR(COUNT(B492:D1491)=0,COUNT(G492:I1491)=0,'Choix pédagogiques'!C$3&lt;&gt;3),"",IF(AND('Choix pédagogiques'!$C$3=3,$B492&lt;&gt;"",$C492&lt;&gt;"",$D492&lt;&gt;"",$G492&lt;&gt;"",$H492&lt;&gt;"",$I492&lt;&gt;""),1,0))</f>
        <v/>
      </c>
      <c r="BR492" s="52" t="n">
        <v>543</v>
      </c>
      <c r="BS492" s="52" t="n">
        <v>1094</v>
      </c>
    </row>
    <row r="493" s="54" customFormat="true" ht="18" hidden="false" customHeight="true" outlineLevel="0" collapsed="false">
      <c r="A493" s="57" t="s">
        <v>917</v>
      </c>
      <c r="B493" s="51"/>
      <c r="C493" s="51"/>
      <c r="D493" s="51"/>
      <c r="E493" s="51"/>
      <c r="F493" s="57" t="s">
        <v>918</v>
      </c>
      <c r="G493" s="51"/>
      <c r="H493" s="51"/>
      <c r="I493" s="51"/>
      <c r="J493" s="51"/>
      <c r="K493" s="52" t="str">
        <f aca="false">IF($A493&lt;&gt;"",$A493,"")</f>
        <v>Apprenant 481</v>
      </c>
      <c r="L493" s="53" t="str">
        <f aca="false">IF(AND($B493&lt;&gt;"",$C493&lt;&gt;""),$C493-$B493,"")</f>
        <v/>
      </c>
      <c r="M493" s="53" t="str">
        <f aca="false">IF(AND($B493&lt;&gt;"",$D493&lt;&gt;""),$D493-$B493,"")</f>
        <v/>
      </c>
      <c r="N493" s="53" t="str">
        <f aca="false">IF(AND($C493&lt;&gt;"",$D493&lt;&gt;""),$D493-$C493,"")</f>
        <v/>
      </c>
      <c r="O493" s="53" t="str">
        <f aca="false">IF($E493&lt;&gt;"",$E493,"")</f>
        <v/>
      </c>
      <c r="P493" s="52" t="str">
        <f aca="false">IF($F493&lt;&gt;"",$F493,"")</f>
        <v>Apprenant 481 ou 481'</v>
      </c>
      <c r="Q493" s="53" t="str">
        <f aca="false">IF(AND($G493&lt;&gt;"",$H493&lt;&gt;""),$H493-$G493,"")</f>
        <v/>
      </c>
      <c r="R493" s="53" t="str">
        <f aca="false">IF(AND($G493&lt;&gt;"",$I493&lt;&gt;""),$I493-$G493,"")</f>
        <v/>
      </c>
      <c r="S493" s="53" t="str">
        <f aca="false">IF(AND($H493&lt;&gt;"",$I493&lt;&gt;""),$I493-$H493,"")</f>
        <v/>
      </c>
      <c r="T493" s="53" t="str">
        <f aca="false">IF($J493&lt;&gt;"",$J493,"")</f>
        <v/>
      </c>
      <c r="V493" s="52" t="str">
        <f aca="false">IF($A493&lt;&gt;"",$A493,"")</f>
        <v>Apprenant 481</v>
      </c>
      <c r="W493" s="53" t="str">
        <f aca="false">IF(AND(OR('Choix pédagogiques'!$C$3=1,'Choix pédagogiques'!$C$3=2),$BM493=1),B493,IF(AND('Choix pédagogiques'!$C$3=3,$BO493=1),B493,""))</f>
        <v/>
      </c>
      <c r="X493" s="53" t="str">
        <f aca="false">IF(AND(OR('Choix pédagogiques'!$C$3=1,'Choix pédagogiques'!$C$3=2),$BM493=1),C493,IF(AND('Choix pédagogiques'!$C$3=3,$BO493=1),C493,""))</f>
        <v/>
      </c>
      <c r="Y493" s="53" t="str">
        <f aca="false">IF(AND(OR('Choix pédagogiques'!$C$3=1,'Choix pédagogiques'!$C$3=2),$BM493=1),D493,IF(AND('Choix pédagogiques'!$C$3=3,$BO493=1),D493,""))</f>
        <v/>
      </c>
      <c r="Z493" s="53" t="str">
        <f aca="false">IF($E493&lt;&gt;"",$E493,"")</f>
        <v/>
      </c>
      <c r="AA493" s="52" t="str">
        <f aca="false">IF($F493&lt;&gt;"",$F493,"")</f>
        <v>Apprenant 481 ou 481'</v>
      </c>
      <c r="AB493" s="53" t="str">
        <f aca="false">IF(AND(OR('Choix pédagogiques'!$C$3=1,'Choix pédagogiques'!$C$3=2),$BN493=1),G493,IF(AND('Choix pédagogiques'!$C$3=3,$BO493=1),G493,""))</f>
        <v/>
      </c>
      <c r="AC493" s="53" t="str">
        <f aca="false">IF(AND(OR('Choix pédagogiques'!$C$3=1,'Choix pédagogiques'!$C$3=2),$BN493=1),H493,IF(AND('Choix pédagogiques'!$C$3=3,$BO493=1),H493,""))</f>
        <v/>
      </c>
      <c r="AD493" s="53" t="str">
        <f aca="false">IF(AND(OR('Choix pédagogiques'!$C$3=1,'Choix pédagogiques'!$C$3=2),$BN493=1),I493,IF(AND('Choix pédagogiques'!$C$3=3,$BO493=1),I493,""))</f>
        <v/>
      </c>
      <c r="AE493" s="53" t="str">
        <f aca="false">IF($J493&lt;&gt;"",$J493,"")</f>
        <v/>
      </c>
      <c r="AF493" s="52" t="str">
        <f aca="false">IF($A493&lt;&gt;"",$A493,"")</f>
        <v>Apprenant 481</v>
      </c>
      <c r="AG493" s="53" t="str">
        <f aca="false">IF(AND($W493&lt;&gt;"",$X493&lt;&gt;""),$X493-$W493,"")</f>
        <v/>
      </c>
      <c r="AH493" s="53" t="str">
        <f aca="false">IF(AND($W493&lt;&gt;"",$Y493&lt;&gt;""),$Y493-$W493,"")</f>
        <v/>
      </c>
      <c r="AI493" s="53" t="str">
        <f aca="false">IF(AND($X493&lt;&gt;"",$Y493&lt;&gt;""),$Y493-$X493,"")</f>
        <v/>
      </c>
      <c r="AJ493" s="53" t="str">
        <f aca="false">IF($E493&lt;&gt;"",$E493,"")</f>
        <v/>
      </c>
      <c r="AK493" s="52" t="str">
        <f aca="false">IF($F493&lt;&gt;"",$F493,"")</f>
        <v>Apprenant 481 ou 481'</v>
      </c>
      <c r="AL493" s="53" t="str">
        <f aca="false">IF(AND($AB493&lt;&gt;"",$AC493&lt;&gt;""),$AC493-$AB493,"")</f>
        <v/>
      </c>
      <c r="AM493" s="53" t="str">
        <f aca="false">IF(AND($AB493&lt;&gt;"",$AD493&lt;&gt;""),$AD493-$AB493,"")</f>
        <v/>
      </c>
      <c r="AN493" s="53" t="str">
        <f aca="false">IF(AND($AC493&lt;&gt;"",$AD493&lt;&gt;""),$AD493-$AC493,"")</f>
        <v/>
      </c>
      <c r="AO493" s="53" t="str">
        <f aca="false">IF($J493&lt;&gt;"",$J493,"")</f>
        <v/>
      </c>
      <c r="AQ493" s="52" t="str">
        <f aca="false">IF($A493&lt;&gt;"",$A493,"")</f>
        <v>Apprenant 481</v>
      </c>
      <c r="AR493" s="55" t="str">
        <f aca="false">IF(AND('Choix pédagogiques'!$C$4&lt;&gt;"?",'Choix pédagogiques'!$C$5&lt;&gt;"?",W493&lt;&gt;""),(W493-'Choix pédagogiques'!$C$4)/('Choix pédagogiques'!$C$5-'Choix pédagogiques'!$C$4),"")</f>
        <v/>
      </c>
      <c r="AS493" s="55" t="str">
        <f aca="false">IF(AND('Choix pédagogiques'!$C$4&lt;&gt;"?",'Choix pédagogiques'!$C$5&lt;&gt;"?",X493&lt;&gt;""),(X493-'Choix pédagogiques'!$C$4)/('Choix pédagogiques'!$C$5-'Choix pédagogiques'!$C$4),"")</f>
        <v/>
      </c>
      <c r="AT493" s="55" t="str">
        <f aca="false">IF(AND('Choix pédagogiques'!$C$4&lt;&gt;"?",'Choix pédagogiques'!$C$5&lt;&gt;"?",Y493&lt;&gt;""),(Y493-'Choix pédagogiques'!$C$4)/('Choix pédagogiques'!$C$5-'Choix pédagogiques'!$C$4),"")</f>
        <v/>
      </c>
      <c r="AU493" s="53" t="str">
        <f aca="false">IF($E493&lt;&gt;"",$E493,"")</f>
        <v/>
      </c>
      <c r="AV493" s="52" t="str">
        <f aca="false">IF($F493&lt;&gt;"",$F493,"")</f>
        <v>Apprenant 481 ou 481'</v>
      </c>
      <c r="AW493" s="55" t="str">
        <f aca="false">IF(AND('Choix pédagogiques'!$C$4&lt;&gt;"?",'Choix pédagogiques'!$C$5&lt;&gt;"?",AB493&lt;&gt;""),(AB493-'Choix pédagogiques'!$C$4)/('Choix pédagogiques'!$C$5-'Choix pédagogiques'!$C$4),"")</f>
        <v/>
      </c>
      <c r="AX493" s="55" t="str">
        <f aca="false">IF(AND('Choix pédagogiques'!$C$4&lt;&gt;"?",'Choix pédagogiques'!$C$5&lt;&gt;"?",AC493&lt;&gt;""),(AC493-'Choix pédagogiques'!$C$4)/('Choix pédagogiques'!$C$5-'Choix pédagogiques'!$C$4),"")</f>
        <v/>
      </c>
      <c r="AY493" s="55" t="str">
        <f aca="false">IF(AND('Choix pédagogiques'!$C$4&lt;&gt;"?",'Choix pédagogiques'!$C$5&lt;&gt;"?",AD493&lt;&gt;""),(AD493-'Choix pédagogiques'!$C$4)/('Choix pédagogiques'!$C$5-'Choix pédagogiques'!$C$4),"")</f>
        <v/>
      </c>
      <c r="AZ493" s="53" t="str">
        <f aca="false">IF($J493&lt;&gt;"",$J493,"")</f>
        <v/>
      </c>
      <c r="BA493" s="52" t="str">
        <f aca="false">IF($A493&lt;&gt;"",$A493,"")</f>
        <v>Apprenant 481</v>
      </c>
      <c r="BB493" s="55" t="str">
        <f aca="false">IF(AND($AR493&lt;&gt;"",$AS493&lt;&gt;""),$AS493-$AR493,"")</f>
        <v/>
      </c>
      <c r="BC493" s="55" t="str">
        <f aca="false">IF(AND($AR493&lt;&gt;"",$AT493&lt;&gt;""),$AT493-$AR493,"")</f>
        <v/>
      </c>
      <c r="BD493" s="55" t="str">
        <f aca="false">IF(AND($AS493&lt;&gt;"",$AT493&lt;&gt;""),$AT493-$AS493,"")</f>
        <v/>
      </c>
      <c r="BE493" s="53" t="str">
        <f aca="false">IF($E493&lt;&gt;"",$E493,"")</f>
        <v/>
      </c>
      <c r="BF493" s="52" t="str">
        <f aca="false">IF($F493&lt;&gt;"",$F493,"")</f>
        <v>Apprenant 481 ou 481'</v>
      </c>
      <c r="BG493" s="55" t="str">
        <f aca="false">IF(AND($AW493&lt;&gt;"",$AX493&lt;&gt;""),$AX493-$AW493,"")</f>
        <v/>
      </c>
      <c r="BH493" s="55" t="str">
        <f aca="false">IF(AND($AW493&lt;&gt;"",$AY493&lt;&gt;""),$AY493-$AW493,"")</f>
        <v/>
      </c>
      <c r="BI493" s="55" t="str">
        <f aca="false">IF(AND($AX493&lt;&gt;"",$AY493&lt;&gt;""),$AY493-$AX493,"")</f>
        <v/>
      </c>
      <c r="BJ493" s="53" t="str">
        <f aca="false">IF($J493&lt;&gt;"",$J493,"")</f>
        <v/>
      </c>
      <c r="BL493" s="52"/>
      <c r="BM493" s="52" t="str">
        <f aca="false">IF(OR(COUNT(B493:D1492)=0,AND('Choix pédagogiques'!$C$3&lt;&gt;1,'Choix pédagogiques'!$C$3&lt;&gt;2)),"",IF(AND(OR('Choix pédagogiques'!$C$3=1,'Choix pédagogiques'!$C$3=2),$B493&lt;&gt;"",$C493&lt;&gt;"",$D493&lt;&gt;""),1,0))</f>
        <v/>
      </c>
      <c r="BN493" s="52" t="str">
        <f aca="false">IF(OR(COUNT(G493:I1492)=0,AND('Choix pédagogiques'!$C$3&lt;&gt;1,'Choix pédagogiques'!$C$3&lt;&gt;2)),"",IF(AND(OR('Choix pédagogiques'!$C$3=1,'Choix pédagogiques'!$C$3=2),AND($G493&lt;&gt;"",$H493&lt;&gt;"",$I493&lt;&gt;"")),1,0))</f>
        <v/>
      </c>
      <c r="BO493" s="52" t="str">
        <f aca="false">IF(OR(COUNT(B493:D1492)=0,COUNT(G493:I1492)=0,'Choix pédagogiques'!C$3&lt;&gt;3),"",IF(AND('Choix pédagogiques'!$C$3=3,$B493&lt;&gt;"",$C493&lt;&gt;"",$D493&lt;&gt;"",$G493&lt;&gt;"",$H493&lt;&gt;"",$I493&lt;&gt;""),1,0))</f>
        <v/>
      </c>
      <c r="BR493" s="52" t="n">
        <v>142</v>
      </c>
      <c r="BS493" s="52" t="n">
        <v>1313</v>
      </c>
    </row>
    <row r="494" s="54" customFormat="true" ht="18" hidden="false" customHeight="true" outlineLevel="0" collapsed="false">
      <c r="A494" s="57" t="s">
        <v>919</v>
      </c>
      <c r="B494" s="51"/>
      <c r="C494" s="51"/>
      <c r="D494" s="51"/>
      <c r="E494" s="51"/>
      <c r="F494" s="57" t="s">
        <v>920</v>
      </c>
      <c r="G494" s="51"/>
      <c r="H494" s="51"/>
      <c r="I494" s="51"/>
      <c r="J494" s="51"/>
      <c r="K494" s="52" t="str">
        <f aca="false">IF($A494&lt;&gt;"",$A494,"")</f>
        <v>Apprenant 482</v>
      </c>
      <c r="L494" s="53" t="str">
        <f aca="false">IF(AND($B494&lt;&gt;"",$C494&lt;&gt;""),$C494-$B494,"")</f>
        <v/>
      </c>
      <c r="M494" s="53" t="str">
        <f aca="false">IF(AND($B494&lt;&gt;"",$D494&lt;&gt;""),$D494-$B494,"")</f>
        <v/>
      </c>
      <c r="N494" s="53" t="str">
        <f aca="false">IF(AND($C494&lt;&gt;"",$D494&lt;&gt;""),$D494-$C494,"")</f>
        <v/>
      </c>
      <c r="O494" s="53" t="str">
        <f aca="false">IF($E494&lt;&gt;"",$E494,"")</f>
        <v/>
      </c>
      <c r="P494" s="52" t="str">
        <f aca="false">IF($F494&lt;&gt;"",$F494,"")</f>
        <v>Apprenant 482 ou 482'</v>
      </c>
      <c r="Q494" s="53" t="str">
        <f aca="false">IF(AND($G494&lt;&gt;"",$H494&lt;&gt;""),$H494-$G494,"")</f>
        <v/>
      </c>
      <c r="R494" s="53" t="str">
        <f aca="false">IF(AND($G494&lt;&gt;"",$I494&lt;&gt;""),$I494-$G494,"")</f>
        <v/>
      </c>
      <c r="S494" s="53" t="str">
        <f aca="false">IF(AND($H494&lt;&gt;"",$I494&lt;&gt;""),$I494-$H494,"")</f>
        <v/>
      </c>
      <c r="T494" s="53" t="str">
        <f aca="false">IF($J494&lt;&gt;"",$J494,"")</f>
        <v/>
      </c>
      <c r="V494" s="52" t="str">
        <f aca="false">IF($A494&lt;&gt;"",$A494,"")</f>
        <v>Apprenant 482</v>
      </c>
      <c r="W494" s="53" t="str">
        <f aca="false">IF(AND(OR('Choix pédagogiques'!$C$3=1,'Choix pédagogiques'!$C$3=2),$BM494=1),B494,IF(AND('Choix pédagogiques'!$C$3=3,$BO494=1),B494,""))</f>
        <v/>
      </c>
      <c r="X494" s="53" t="str">
        <f aca="false">IF(AND(OR('Choix pédagogiques'!$C$3=1,'Choix pédagogiques'!$C$3=2),$BM494=1),C494,IF(AND('Choix pédagogiques'!$C$3=3,$BO494=1),C494,""))</f>
        <v/>
      </c>
      <c r="Y494" s="53" t="str">
        <f aca="false">IF(AND(OR('Choix pédagogiques'!$C$3=1,'Choix pédagogiques'!$C$3=2),$BM494=1),D494,IF(AND('Choix pédagogiques'!$C$3=3,$BO494=1),D494,""))</f>
        <v/>
      </c>
      <c r="Z494" s="53" t="str">
        <f aca="false">IF($E494&lt;&gt;"",$E494,"")</f>
        <v/>
      </c>
      <c r="AA494" s="52" t="str">
        <f aca="false">IF($F494&lt;&gt;"",$F494,"")</f>
        <v>Apprenant 482 ou 482'</v>
      </c>
      <c r="AB494" s="53" t="str">
        <f aca="false">IF(AND(OR('Choix pédagogiques'!$C$3=1,'Choix pédagogiques'!$C$3=2),$BN494=1),G494,IF(AND('Choix pédagogiques'!$C$3=3,$BO494=1),G494,""))</f>
        <v/>
      </c>
      <c r="AC494" s="53" t="str">
        <f aca="false">IF(AND(OR('Choix pédagogiques'!$C$3=1,'Choix pédagogiques'!$C$3=2),$BN494=1),H494,IF(AND('Choix pédagogiques'!$C$3=3,$BO494=1),H494,""))</f>
        <v/>
      </c>
      <c r="AD494" s="53" t="str">
        <f aca="false">IF(AND(OR('Choix pédagogiques'!$C$3=1,'Choix pédagogiques'!$C$3=2),$BN494=1),I494,IF(AND('Choix pédagogiques'!$C$3=3,$BO494=1),I494,""))</f>
        <v/>
      </c>
      <c r="AE494" s="53" t="str">
        <f aca="false">IF($J494&lt;&gt;"",$J494,"")</f>
        <v/>
      </c>
      <c r="AF494" s="52" t="str">
        <f aca="false">IF($A494&lt;&gt;"",$A494,"")</f>
        <v>Apprenant 482</v>
      </c>
      <c r="AG494" s="53" t="str">
        <f aca="false">IF(AND($W494&lt;&gt;"",$X494&lt;&gt;""),$X494-$W494,"")</f>
        <v/>
      </c>
      <c r="AH494" s="53" t="str">
        <f aca="false">IF(AND($W494&lt;&gt;"",$Y494&lt;&gt;""),$Y494-$W494,"")</f>
        <v/>
      </c>
      <c r="AI494" s="53" t="str">
        <f aca="false">IF(AND($X494&lt;&gt;"",$Y494&lt;&gt;""),$Y494-$X494,"")</f>
        <v/>
      </c>
      <c r="AJ494" s="53" t="str">
        <f aca="false">IF($E494&lt;&gt;"",$E494,"")</f>
        <v/>
      </c>
      <c r="AK494" s="52" t="str">
        <f aca="false">IF($F494&lt;&gt;"",$F494,"")</f>
        <v>Apprenant 482 ou 482'</v>
      </c>
      <c r="AL494" s="53" t="str">
        <f aca="false">IF(AND($AB494&lt;&gt;"",$AC494&lt;&gt;""),$AC494-$AB494,"")</f>
        <v/>
      </c>
      <c r="AM494" s="53" t="str">
        <f aca="false">IF(AND($AB494&lt;&gt;"",$AD494&lt;&gt;""),$AD494-$AB494,"")</f>
        <v/>
      </c>
      <c r="AN494" s="53" t="str">
        <f aca="false">IF(AND($AC494&lt;&gt;"",$AD494&lt;&gt;""),$AD494-$AC494,"")</f>
        <v/>
      </c>
      <c r="AO494" s="53" t="str">
        <f aca="false">IF($J494&lt;&gt;"",$J494,"")</f>
        <v/>
      </c>
      <c r="AQ494" s="52" t="str">
        <f aca="false">IF($A494&lt;&gt;"",$A494,"")</f>
        <v>Apprenant 482</v>
      </c>
      <c r="AR494" s="55" t="str">
        <f aca="false">IF(AND('Choix pédagogiques'!$C$4&lt;&gt;"?",'Choix pédagogiques'!$C$5&lt;&gt;"?",W494&lt;&gt;""),(W494-'Choix pédagogiques'!$C$4)/('Choix pédagogiques'!$C$5-'Choix pédagogiques'!$C$4),"")</f>
        <v/>
      </c>
      <c r="AS494" s="55" t="str">
        <f aca="false">IF(AND('Choix pédagogiques'!$C$4&lt;&gt;"?",'Choix pédagogiques'!$C$5&lt;&gt;"?",X494&lt;&gt;""),(X494-'Choix pédagogiques'!$C$4)/('Choix pédagogiques'!$C$5-'Choix pédagogiques'!$C$4),"")</f>
        <v/>
      </c>
      <c r="AT494" s="55" t="str">
        <f aca="false">IF(AND('Choix pédagogiques'!$C$4&lt;&gt;"?",'Choix pédagogiques'!$C$5&lt;&gt;"?",Y494&lt;&gt;""),(Y494-'Choix pédagogiques'!$C$4)/('Choix pédagogiques'!$C$5-'Choix pédagogiques'!$C$4),"")</f>
        <v/>
      </c>
      <c r="AU494" s="53" t="str">
        <f aca="false">IF($E494&lt;&gt;"",$E494,"")</f>
        <v/>
      </c>
      <c r="AV494" s="52" t="str">
        <f aca="false">IF($F494&lt;&gt;"",$F494,"")</f>
        <v>Apprenant 482 ou 482'</v>
      </c>
      <c r="AW494" s="55" t="str">
        <f aca="false">IF(AND('Choix pédagogiques'!$C$4&lt;&gt;"?",'Choix pédagogiques'!$C$5&lt;&gt;"?",AB494&lt;&gt;""),(AB494-'Choix pédagogiques'!$C$4)/('Choix pédagogiques'!$C$5-'Choix pédagogiques'!$C$4),"")</f>
        <v/>
      </c>
      <c r="AX494" s="55" t="str">
        <f aca="false">IF(AND('Choix pédagogiques'!$C$4&lt;&gt;"?",'Choix pédagogiques'!$C$5&lt;&gt;"?",AC494&lt;&gt;""),(AC494-'Choix pédagogiques'!$C$4)/('Choix pédagogiques'!$C$5-'Choix pédagogiques'!$C$4),"")</f>
        <v/>
      </c>
      <c r="AY494" s="55" t="str">
        <f aca="false">IF(AND('Choix pédagogiques'!$C$4&lt;&gt;"?",'Choix pédagogiques'!$C$5&lt;&gt;"?",AD494&lt;&gt;""),(AD494-'Choix pédagogiques'!$C$4)/('Choix pédagogiques'!$C$5-'Choix pédagogiques'!$C$4),"")</f>
        <v/>
      </c>
      <c r="AZ494" s="53" t="str">
        <f aca="false">IF($J494&lt;&gt;"",$J494,"")</f>
        <v/>
      </c>
      <c r="BA494" s="52" t="str">
        <f aca="false">IF($A494&lt;&gt;"",$A494,"")</f>
        <v>Apprenant 482</v>
      </c>
      <c r="BB494" s="55" t="str">
        <f aca="false">IF(AND($AR494&lt;&gt;"",$AS494&lt;&gt;""),$AS494-$AR494,"")</f>
        <v/>
      </c>
      <c r="BC494" s="55" t="str">
        <f aca="false">IF(AND($AR494&lt;&gt;"",$AT494&lt;&gt;""),$AT494-$AR494,"")</f>
        <v/>
      </c>
      <c r="BD494" s="55" t="str">
        <f aca="false">IF(AND($AS494&lt;&gt;"",$AT494&lt;&gt;""),$AT494-$AS494,"")</f>
        <v/>
      </c>
      <c r="BE494" s="53" t="str">
        <f aca="false">IF($E494&lt;&gt;"",$E494,"")</f>
        <v/>
      </c>
      <c r="BF494" s="52" t="str">
        <f aca="false">IF($F494&lt;&gt;"",$F494,"")</f>
        <v>Apprenant 482 ou 482'</v>
      </c>
      <c r="BG494" s="55" t="str">
        <f aca="false">IF(AND($AW494&lt;&gt;"",$AX494&lt;&gt;""),$AX494-$AW494,"")</f>
        <v/>
      </c>
      <c r="BH494" s="55" t="str">
        <f aca="false">IF(AND($AW494&lt;&gt;"",$AY494&lt;&gt;""),$AY494-$AW494,"")</f>
        <v/>
      </c>
      <c r="BI494" s="55" t="str">
        <f aca="false">IF(AND($AX494&lt;&gt;"",$AY494&lt;&gt;""),$AY494-$AX494,"")</f>
        <v/>
      </c>
      <c r="BJ494" s="53" t="str">
        <f aca="false">IF($J494&lt;&gt;"",$J494,"")</f>
        <v/>
      </c>
      <c r="BL494" s="52"/>
      <c r="BM494" s="52" t="str">
        <f aca="false">IF(OR(COUNT(B494:D1493)=0,AND('Choix pédagogiques'!$C$3&lt;&gt;1,'Choix pédagogiques'!$C$3&lt;&gt;2)),"",IF(AND(OR('Choix pédagogiques'!$C$3=1,'Choix pédagogiques'!$C$3=2),$B494&lt;&gt;"",$C494&lt;&gt;"",$D494&lt;&gt;""),1,0))</f>
        <v/>
      </c>
      <c r="BN494" s="52" t="str">
        <f aca="false">IF(OR(COUNT(G494:I1493)=0,AND('Choix pédagogiques'!$C$3&lt;&gt;1,'Choix pédagogiques'!$C$3&lt;&gt;2)),"",IF(AND(OR('Choix pédagogiques'!$C$3=1,'Choix pédagogiques'!$C$3=2),AND($G494&lt;&gt;"",$H494&lt;&gt;"",$I494&lt;&gt;"")),1,0))</f>
        <v/>
      </c>
      <c r="BO494" s="52" t="str">
        <f aca="false">IF(OR(COUNT(B494:D1493)=0,COUNT(G494:I1493)=0,'Choix pédagogiques'!C$3&lt;&gt;3),"",IF(AND('Choix pédagogiques'!$C$3=3,$B494&lt;&gt;"",$C494&lt;&gt;"",$D494&lt;&gt;"",$G494&lt;&gt;"",$H494&lt;&gt;"",$I494&lt;&gt;""),1,0))</f>
        <v/>
      </c>
      <c r="BR494" s="52" t="n">
        <v>433</v>
      </c>
      <c r="BS494" s="52" t="n">
        <v>1483</v>
      </c>
    </row>
    <row r="495" s="54" customFormat="true" ht="18" hidden="false" customHeight="true" outlineLevel="0" collapsed="false">
      <c r="A495" s="57" t="s">
        <v>921</v>
      </c>
      <c r="B495" s="51"/>
      <c r="C495" s="51"/>
      <c r="D495" s="51"/>
      <c r="E495" s="51"/>
      <c r="F495" s="57" t="s">
        <v>922</v>
      </c>
      <c r="G495" s="51"/>
      <c r="H495" s="51"/>
      <c r="I495" s="51"/>
      <c r="J495" s="51"/>
      <c r="K495" s="52" t="str">
        <f aca="false">IF($A495&lt;&gt;"",$A495,"")</f>
        <v>Apprenant 483</v>
      </c>
      <c r="L495" s="53" t="str">
        <f aca="false">IF(AND($B495&lt;&gt;"",$C495&lt;&gt;""),$C495-$B495,"")</f>
        <v/>
      </c>
      <c r="M495" s="53" t="str">
        <f aca="false">IF(AND($B495&lt;&gt;"",$D495&lt;&gt;""),$D495-$B495,"")</f>
        <v/>
      </c>
      <c r="N495" s="53" t="str">
        <f aca="false">IF(AND($C495&lt;&gt;"",$D495&lt;&gt;""),$D495-$C495,"")</f>
        <v/>
      </c>
      <c r="O495" s="53" t="str">
        <f aca="false">IF($E495&lt;&gt;"",$E495,"")</f>
        <v/>
      </c>
      <c r="P495" s="52" t="str">
        <f aca="false">IF($F495&lt;&gt;"",$F495,"")</f>
        <v>Apprenant 483 ou 483'</v>
      </c>
      <c r="Q495" s="53" t="str">
        <f aca="false">IF(AND($G495&lt;&gt;"",$H495&lt;&gt;""),$H495-$G495,"")</f>
        <v/>
      </c>
      <c r="R495" s="53" t="str">
        <f aca="false">IF(AND($G495&lt;&gt;"",$I495&lt;&gt;""),$I495-$G495,"")</f>
        <v/>
      </c>
      <c r="S495" s="53" t="str">
        <f aca="false">IF(AND($H495&lt;&gt;"",$I495&lt;&gt;""),$I495-$H495,"")</f>
        <v/>
      </c>
      <c r="T495" s="53" t="str">
        <f aca="false">IF($J495&lt;&gt;"",$J495,"")</f>
        <v/>
      </c>
      <c r="V495" s="52" t="str">
        <f aca="false">IF($A495&lt;&gt;"",$A495,"")</f>
        <v>Apprenant 483</v>
      </c>
      <c r="W495" s="53" t="str">
        <f aca="false">IF(AND(OR('Choix pédagogiques'!$C$3=1,'Choix pédagogiques'!$C$3=2),$BM495=1),B495,IF(AND('Choix pédagogiques'!$C$3=3,$BO495=1),B495,""))</f>
        <v/>
      </c>
      <c r="X495" s="53" t="str">
        <f aca="false">IF(AND(OR('Choix pédagogiques'!$C$3=1,'Choix pédagogiques'!$C$3=2),$BM495=1),C495,IF(AND('Choix pédagogiques'!$C$3=3,$BO495=1),C495,""))</f>
        <v/>
      </c>
      <c r="Y495" s="53" t="str">
        <f aca="false">IF(AND(OR('Choix pédagogiques'!$C$3=1,'Choix pédagogiques'!$C$3=2),$BM495=1),D495,IF(AND('Choix pédagogiques'!$C$3=3,$BO495=1),D495,""))</f>
        <v/>
      </c>
      <c r="Z495" s="53" t="str">
        <f aca="false">IF($E495&lt;&gt;"",$E495,"")</f>
        <v/>
      </c>
      <c r="AA495" s="52" t="str">
        <f aca="false">IF($F495&lt;&gt;"",$F495,"")</f>
        <v>Apprenant 483 ou 483'</v>
      </c>
      <c r="AB495" s="53" t="str">
        <f aca="false">IF(AND(OR('Choix pédagogiques'!$C$3=1,'Choix pédagogiques'!$C$3=2),$BN495=1),G495,IF(AND('Choix pédagogiques'!$C$3=3,$BO495=1),G495,""))</f>
        <v/>
      </c>
      <c r="AC495" s="53" t="str">
        <f aca="false">IF(AND(OR('Choix pédagogiques'!$C$3=1,'Choix pédagogiques'!$C$3=2),$BN495=1),H495,IF(AND('Choix pédagogiques'!$C$3=3,$BO495=1),H495,""))</f>
        <v/>
      </c>
      <c r="AD495" s="53" t="str">
        <f aca="false">IF(AND(OR('Choix pédagogiques'!$C$3=1,'Choix pédagogiques'!$C$3=2),$BN495=1),I495,IF(AND('Choix pédagogiques'!$C$3=3,$BO495=1),I495,""))</f>
        <v/>
      </c>
      <c r="AE495" s="53" t="str">
        <f aca="false">IF($J495&lt;&gt;"",$J495,"")</f>
        <v/>
      </c>
      <c r="AF495" s="52" t="str">
        <f aca="false">IF($A495&lt;&gt;"",$A495,"")</f>
        <v>Apprenant 483</v>
      </c>
      <c r="AG495" s="53" t="str">
        <f aca="false">IF(AND($W495&lt;&gt;"",$X495&lt;&gt;""),$X495-$W495,"")</f>
        <v/>
      </c>
      <c r="AH495" s="53" t="str">
        <f aca="false">IF(AND($W495&lt;&gt;"",$Y495&lt;&gt;""),$Y495-$W495,"")</f>
        <v/>
      </c>
      <c r="AI495" s="53" t="str">
        <f aca="false">IF(AND($X495&lt;&gt;"",$Y495&lt;&gt;""),$Y495-$X495,"")</f>
        <v/>
      </c>
      <c r="AJ495" s="53" t="str">
        <f aca="false">IF($E495&lt;&gt;"",$E495,"")</f>
        <v/>
      </c>
      <c r="AK495" s="52" t="str">
        <f aca="false">IF($F495&lt;&gt;"",$F495,"")</f>
        <v>Apprenant 483 ou 483'</v>
      </c>
      <c r="AL495" s="53" t="str">
        <f aca="false">IF(AND($AB495&lt;&gt;"",$AC495&lt;&gt;""),$AC495-$AB495,"")</f>
        <v/>
      </c>
      <c r="AM495" s="53" t="str">
        <f aca="false">IF(AND($AB495&lt;&gt;"",$AD495&lt;&gt;""),$AD495-$AB495,"")</f>
        <v/>
      </c>
      <c r="AN495" s="53" t="str">
        <f aca="false">IF(AND($AC495&lt;&gt;"",$AD495&lt;&gt;""),$AD495-$AC495,"")</f>
        <v/>
      </c>
      <c r="AO495" s="53" t="str">
        <f aca="false">IF($J495&lt;&gt;"",$J495,"")</f>
        <v/>
      </c>
      <c r="AQ495" s="52" t="str">
        <f aca="false">IF($A495&lt;&gt;"",$A495,"")</f>
        <v>Apprenant 483</v>
      </c>
      <c r="AR495" s="55" t="str">
        <f aca="false">IF(AND('Choix pédagogiques'!$C$4&lt;&gt;"?",'Choix pédagogiques'!$C$5&lt;&gt;"?",W495&lt;&gt;""),(W495-'Choix pédagogiques'!$C$4)/('Choix pédagogiques'!$C$5-'Choix pédagogiques'!$C$4),"")</f>
        <v/>
      </c>
      <c r="AS495" s="55" t="str">
        <f aca="false">IF(AND('Choix pédagogiques'!$C$4&lt;&gt;"?",'Choix pédagogiques'!$C$5&lt;&gt;"?",X495&lt;&gt;""),(X495-'Choix pédagogiques'!$C$4)/('Choix pédagogiques'!$C$5-'Choix pédagogiques'!$C$4),"")</f>
        <v/>
      </c>
      <c r="AT495" s="55" t="str">
        <f aca="false">IF(AND('Choix pédagogiques'!$C$4&lt;&gt;"?",'Choix pédagogiques'!$C$5&lt;&gt;"?",Y495&lt;&gt;""),(Y495-'Choix pédagogiques'!$C$4)/('Choix pédagogiques'!$C$5-'Choix pédagogiques'!$C$4),"")</f>
        <v/>
      </c>
      <c r="AU495" s="53" t="str">
        <f aca="false">IF($E495&lt;&gt;"",$E495,"")</f>
        <v/>
      </c>
      <c r="AV495" s="52" t="str">
        <f aca="false">IF($F495&lt;&gt;"",$F495,"")</f>
        <v>Apprenant 483 ou 483'</v>
      </c>
      <c r="AW495" s="55" t="str">
        <f aca="false">IF(AND('Choix pédagogiques'!$C$4&lt;&gt;"?",'Choix pédagogiques'!$C$5&lt;&gt;"?",AB495&lt;&gt;""),(AB495-'Choix pédagogiques'!$C$4)/('Choix pédagogiques'!$C$5-'Choix pédagogiques'!$C$4),"")</f>
        <v/>
      </c>
      <c r="AX495" s="55" t="str">
        <f aca="false">IF(AND('Choix pédagogiques'!$C$4&lt;&gt;"?",'Choix pédagogiques'!$C$5&lt;&gt;"?",AC495&lt;&gt;""),(AC495-'Choix pédagogiques'!$C$4)/('Choix pédagogiques'!$C$5-'Choix pédagogiques'!$C$4),"")</f>
        <v/>
      </c>
      <c r="AY495" s="55" t="str">
        <f aca="false">IF(AND('Choix pédagogiques'!$C$4&lt;&gt;"?",'Choix pédagogiques'!$C$5&lt;&gt;"?",AD495&lt;&gt;""),(AD495-'Choix pédagogiques'!$C$4)/('Choix pédagogiques'!$C$5-'Choix pédagogiques'!$C$4),"")</f>
        <v/>
      </c>
      <c r="AZ495" s="53" t="str">
        <f aca="false">IF($J495&lt;&gt;"",$J495,"")</f>
        <v/>
      </c>
      <c r="BA495" s="52" t="str">
        <f aca="false">IF($A495&lt;&gt;"",$A495,"")</f>
        <v>Apprenant 483</v>
      </c>
      <c r="BB495" s="55" t="str">
        <f aca="false">IF(AND($AR495&lt;&gt;"",$AS495&lt;&gt;""),$AS495-$AR495,"")</f>
        <v/>
      </c>
      <c r="BC495" s="55" t="str">
        <f aca="false">IF(AND($AR495&lt;&gt;"",$AT495&lt;&gt;""),$AT495-$AR495,"")</f>
        <v/>
      </c>
      <c r="BD495" s="55" t="str">
        <f aca="false">IF(AND($AS495&lt;&gt;"",$AT495&lt;&gt;""),$AT495-$AS495,"")</f>
        <v/>
      </c>
      <c r="BE495" s="53" t="str">
        <f aca="false">IF($E495&lt;&gt;"",$E495,"")</f>
        <v/>
      </c>
      <c r="BF495" s="52" t="str">
        <f aca="false">IF($F495&lt;&gt;"",$F495,"")</f>
        <v>Apprenant 483 ou 483'</v>
      </c>
      <c r="BG495" s="55" t="str">
        <f aca="false">IF(AND($AW495&lt;&gt;"",$AX495&lt;&gt;""),$AX495-$AW495,"")</f>
        <v/>
      </c>
      <c r="BH495" s="55" t="str">
        <f aca="false">IF(AND($AW495&lt;&gt;"",$AY495&lt;&gt;""),$AY495-$AW495,"")</f>
        <v/>
      </c>
      <c r="BI495" s="55" t="str">
        <f aca="false">IF(AND($AX495&lt;&gt;"",$AY495&lt;&gt;""),$AY495-$AX495,"")</f>
        <v/>
      </c>
      <c r="BJ495" s="53" t="str">
        <f aca="false">IF($J495&lt;&gt;"",$J495,"")</f>
        <v/>
      </c>
      <c r="BL495" s="52"/>
      <c r="BM495" s="52" t="str">
        <f aca="false">IF(OR(COUNT(B495:D1494)=0,AND('Choix pédagogiques'!$C$3&lt;&gt;1,'Choix pédagogiques'!$C$3&lt;&gt;2)),"",IF(AND(OR('Choix pédagogiques'!$C$3=1,'Choix pédagogiques'!$C$3=2),$B495&lt;&gt;"",$C495&lt;&gt;"",$D495&lt;&gt;""),1,0))</f>
        <v/>
      </c>
      <c r="BN495" s="52" t="str">
        <f aca="false">IF(OR(COUNT(G495:I1494)=0,AND('Choix pédagogiques'!$C$3&lt;&gt;1,'Choix pédagogiques'!$C$3&lt;&gt;2)),"",IF(AND(OR('Choix pédagogiques'!$C$3=1,'Choix pédagogiques'!$C$3=2),AND($G495&lt;&gt;"",$H495&lt;&gt;"",$I495&lt;&gt;"")),1,0))</f>
        <v/>
      </c>
      <c r="BO495" s="52" t="str">
        <f aca="false">IF(OR(COUNT(B495:D1494)=0,COUNT(G495:I1494)=0,'Choix pédagogiques'!C$3&lt;&gt;3),"",IF(AND('Choix pédagogiques'!$C$3=3,$B495&lt;&gt;"",$C495&lt;&gt;"",$D495&lt;&gt;"",$G495&lt;&gt;"",$H495&lt;&gt;"",$I495&lt;&gt;""),1,0))</f>
        <v/>
      </c>
      <c r="BR495" s="52" t="n">
        <v>70</v>
      </c>
      <c r="BS495" s="52" t="n">
        <v>1705</v>
      </c>
    </row>
    <row r="496" s="54" customFormat="true" ht="18" hidden="false" customHeight="true" outlineLevel="0" collapsed="false">
      <c r="A496" s="57" t="s">
        <v>923</v>
      </c>
      <c r="B496" s="51"/>
      <c r="C496" s="51"/>
      <c r="D496" s="51"/>
      <c r="E496" s="51"/>
      <c r="F496" s="57" t="s">
        <v>924</v>
      </c>
      <c r="G496" s="51"/>
      <c r="H496" s="51"/>
      <c r="I496" s="51"/>
      <c r="J496" s="51"/>
      <c r="K496" s="52" t="str">
        <f aca="false">IF($A496&lt;&gt;"",$A496,"")</f>
        <v>Apprenant 484</v>
      </c>
      <c r="L496" s="53" t="str">
        <f aca="false">IF(AND($B496&lt;&gt;"",$C496&lt;&gt;""),$C496-$B496,"")</f>
        <v/>
      </c>
      <c r="M496" s="53" t="str">
        <f aca="false">IF(AND($B496&lt;&gt;"",$D496&lt;&gt;""),$D496-$B496,"")</f>
        <v/>
      </c>
      <c r="N496" s="53" t="str">
        <f aca="false">IF(AND($C496&lt;&gt;"",$D496&lt;&gt;""),$D496-$C496,"")</f>
        <v/>
      </c>
      <c r="O496" s="53" t="str">
        <f aca="false">IF($E496&lt;&gt;"",$E496,"")</f>
        <v/>
      </c>
      <c r="P496" s="52" t="str">
        <f aca="false">IF($F496&lt;&gt;"",$F496,"")</f>
        <v>Apprenant 484 ou 484'</v>
      </c>
      <c r="Q496" s="53" t="str">
        <f aca="false">IF(AND($G496&lt;&gt;"",$H496&lt;&gt;""),$H496-$G496,"")</f>
        <v/>
      </c>
      <c r="R496" s="53" t="str">
        <f aca="false">IF(AND($G496&lt;&gt;"",$I496&lt;&gt;""),$I496-$G496,"")</f>
        <v/>
      </c>
      <c r="S496" s="53" t="str">
        <f aca="false">IF(AND($H496&lt;&gt;"",$I496&lt;&gt;""),$I496-$H496,"")</f>
        <v/>
      </c>
      <c r="T496" s="53" t="str">
        <f aca="false">IF($J496&lt;&gt;"",$J496,"")</f>
        <v/>
      </c>
      <c r="V496" s="52" t="str">
        <f aca="false">IF($A496&lt;&gt;"",$A496,"")</f>
        <v>Apprenant 484</v>
      </c>
      <c r="W496" s="53" t="str">
        <f aca="false">IF(AND(OR('Choix pédagogiques'!$C$3=1,'Choix pédagogiques'!$C$3=2),$BM496=1),B496,IF(AND('Choix pédagogiques'!$C$3=3,$BO496=1),B496,""))</f>
        <v/>
      </c>
      <c r="X496" s="53" t="str">
        <f aca="false">IF(AND(OR('Choix pédagogiques'!$C$3=1,'Choix pédagogiques'!$C$3=2),$BM496=1),C496,IF(AND('Choix pédagogiques'!$C$3=3,$BO496=1),C496,""))</f>
        <v/>
      </c>
      <c r="Y496" s="53" t="str">
        <f aca="false">IF(AND(OR('Choix pédagogiques'!$C$3=1,'Choix pédagogiques'!$C$3=2),$BM496=1),D496,IF(AND('Choix pédagogiques'!$C$3=3,$BO496=1),D496,""))</f>
        <v/>
      </c>
      <c r="Z496" s="53" t="str">
        <f aca="false">IF($E496&lt;&gt;"",$E496,"")</f>
        <v/>
      </c>
      <c r="AA496" s="52" t="str">
        <f aca="false">IF($F496&lt;&gt;"",$F496,"")</f>
        <v>Apprenant 484 ou 484'</v>
      </c>
      <c r="AB496" s="53" t="str">
        <f aca="false">IF(AND(OR('Choix pédagogiques'!$C$3=1,'Choix pédagogiques'!$C$3=2),$BN496=1),G496,IF(AND('Choix pédagogiques'!$C$3=3,$BO496=1),G496,""))</f>
        <v/>
      </c>
      <c r="AC496" s="53" t="str">
        <f aca="false">IF(AND(OR('Choix pédagogiques'!$C$3=1,'Choix pédagogiques'!$C$3=2),$BN496=1),H496,IF(AND('Choix pédagogiques'!$C$3=3,$BO496=1),H496,""))</f>
        <v/>
      </c>
      <c r="AD496" s="53" t="str">
        <f aca="false">IF(AND(OR('Choix pédagogiques'!$C$3=1,'Choix pédagogiques'!$C$3=2),$BN496=1),I496,IF(AND('Choix pédagogiques'!$C$3=3,$BO496=1),I496,""))</f>
        <v/>
      </c>
      <c r="AE496" s="53" t="str">
        <f aca="false">IF($J496&lt;&gt;"",$J496,"")</f>
        <v/>
      </c>
      <c r="AF496" s="52" t="str">
        <f aca="false">IF($A496&lt;&gt;"",$A496,"")</f>
        <v>Apprenant 484</v>
      </c>
      <c r="AG496" s="53" t="str">
        <f aca="false">IF(AND($W496&lt;&gt;"",$X496&lt;&gt;""),$X496-$W496,"")</f>
        <v/>
      </c>
      <c r="AH496" s="53" t="str">
        <f aca="false">IF(AND($W496&lt;&gt;"",$Y496&lt;&gt;""),$Y496-$W496,"")</f>
        <v/>
      </c>
      <c r="AI496" s="53" t="str">
        <f aca="false">IF(AND($X496&lt;&gt;"",$Y496&lt;&gt;""),$Y496-$X496,"")</f>
        <v/>
      </c>
      <c r="AJ496" s="53" t="str">
        <f aca="false">IF($E496&lt;&gt;"",$E496,"")</f>
        <v/>
      </c>
      <c r="AK496" s="52" t="str">
        <f aca="false">IF($F496&lt;&gt;"",$F496,"")</f>
        <v>Apprenant 484 ou 484'</v>
      </c>
      <c r="AL496" s="53" t="str">
        <f aca="false">IF(AND($AB496&lt;&gt;"",$AC496&lt;&gt;""),$AC496-$AB496,"")</f>
        <v/>
      </c>
      <c r="AM496" s="53" t="str">
        <f aca="false">IF(AND($AB496&lt;&gt;"",$AD496&lt;&gt;""),$AD496-$AB496,"")</f>
        <v/>
      </c>
      <c r="AN496" s="53" t="str">
        <f aca="false">IF(AND($AC496&lt;&gt;"",$AD496&lt;&gt;""),$AD496-$AC496,"")</f>
        <v/>
      </c>
      <c r="AO496" s="53" t="str">
        <f aca="false">IF($J496&lt;&gt;"",$J496,"")</f>
        <v/>
      </c>
      <c r="AQ496" s="52" t="str">
        <f aca="false">IF($A496&lt;&gt;"",$A496,"")</f>
        <v>Apprenant 484</v>
      </c>
      <c r="AR496" s="55" t="str">
        <f aca="false">IF(AND('Choix pédagogiques'!$C$4&lt;&gt;"?",'Choix pédagogiques'!$C$5&lt;&gt;"?",W496&lt;&gt;""),(W496-'Choix pédagogiques'!$C$4)/('Choix pédagogiques'!$C$5-'Choix pédagogiques'!$C$4),"")</f>
        <v/>
      </c>
      <c r="AS496" s="55" t="str">
        <f aca="false">IF(AND('Choix pédagogiques'!$C$4&lt;&gt;"?",'Choix pédagogiques'!$C$5&lt;&gt;"?",X496&lt;&gt;""),(X496-'Choix pédagogiques'!$C$4)/('Choix pédagogiques'!$C$5-'Choix pédagogiques'!$C$4),"")</f>
        <v/>
      </c>
      <c r="AT496" s="55" t="str">
        <f aca="false">IF(AND('Choix pédagogiques'!$C$4&lt;&gt;"?",'Choix pédagogiques'!$C$5&lt;&gt;"?",Y496&lt;&gt;""),(Y496-'Choix pédagogiques'!$C$4)/('Choix pédagogiques'!$C$5-'Choix pédagogiques'!$C$4),"")</f>
        <v/>
      </c>
      <c r="AU496" s="53" t="str">
        <f aca="false">IF($E496&lt;&gt;"",$E496,"")</f>
        <v/>
      </c>
      <c r="AV496" s="52" t="str">
        <f aca="false">IF($F496&lt;&gt;"",$F496,"")</f>
        <v>Apprenant 484 ou 484'</v>
      </c>
      <c r="AW496" s="55" t="str">
        <f aca="false">IF(AND('Choix pédagogiques'!$C$4&lt;&gt;"?",'Choix pédagogiques'!$C$5&lt;&gt;"?",AB496&lt;&gt;""),(AB496-'Choix pédagogiques'!$C$4)/('Choix pédagogiques'!$C$5-'Choix pédagogiques'!$C$4),"")</f>
        <v/>
      </c>
      <c r="AX496" s="55" t="str">
        <f aca="false">IF(AND('Choix pédagogiques'!$C$4&lt;&gt;"?",'Choix pédagogiques'!$C$5&lt;&gt;"?",AC496&lt;&gt;""),(AC496-'Choix pédagogiques'!$C$4)/('Choix pédagogiques'!$C$5-'Choix pédagogiques'!$C$4),"")</f>
        <v/>
      </c>
      <c r="AY496" s="55" t="str">
        <f aca="false">IF(AND('Choix pédagogiques'!$C$4&lt;&gt;"?",'Choix pédagogiques'!$C$5&lt;&gt;"?",AD496&lt;&gt;""),(AD496-'Choix pédagogiques'!$C$4)/('Choix pédagogiques'!$C$5-'Choix pédagogiques'!$C$4),"")</f>
        <v/>
      </c>
      <c r="AZ496" s="53" t="str">
        <f aca="false">IF($J496&lt;&gt;"",$J496,"")</f>
        <v/>
      </c>
      <c r="BA496" s="52" t="str">
        <f aca="false">IF($A496&lt;&gt;"",$A496,"")</f>
        <v>Apprenant 484</v>
      </c>
      <c r="BB496" s="55" t="str">
        <f aca="false">IF(AND($AR496&lt;&gt;"",$AS496&lt;&gt;""),$AS496-$AR496,"")</f>
        <v/>
      </c>
      <c r="BC496" s="55" t="str">
        <f aca="false">IF(AND($AR496&lt;&gt;"",$AT496&lt;&gt;""),$AT496-$AR496,"")</f>
        <v/>
      </c>
      <c r="BD496" s="55" t="str">
        <f aca="false">IF(AND($AS496&lt;&gt;"",$AT496&lt;&gt;""),$AT496-$AS496,"")</f>
        <v/>
      </c>
      <c r="BE496" s="53" t="str">
        <f aca="false">IF($E496&lt;&gt;"",$E496,"")</f>
        <v/>
      </c>
      <c r="BF496" s="52" t="str">
        <f aca="false">IF($F496&lt;&gt;"",$F496,"")</f>
        <v>Apprenant 484 ou 484'</v>
      </c>
      <c r="BG496" s="55" t="str">
        <f aca="false">IF(AND($AW496&lt;&gt;"",$AX496&lt;&gt;""),$AX496-$AW496,"")</f>
        <v/>
      </c>
      <c r="BH496" s="55" t="str">
        <f aca="false">IF(AND($AW496&lt;&gt;"",$AY496&lt;&gt;""),$AY496-$AW496,"")</f>
        <v/>
      </c>
      <c r="BI496" s="55" t="str">
        <f aca="false">IF(AND($AX496&lt;&gt;"",$AY496&lt;&gt;""),$AY496-$AX496,"")</f>
        <v/>
      </c>
      <c r="BJ496" s="53" t="str">
        <f aca="false">IF($J496&lt;&gt;"",$J496,"")</f>
        <v/>
      </c>
      <c r="BL496" s="52"/>
      <c r="BM496" s="52" t="str">
        <f aca="false">IF(OR(COUNT(B496:D1495)=0,AND('Choix pédagogiques'!$C$3&lt;&gt;1,'Choix pédagogiques'!$C$3&lt;&gt;2)),"",IF(AND(OR('Choix pédagogiques'!$C$3=1,'Choix pédagogiques'!$C$3=2),$B496&lt;&gt;"",$C496&lt;&gt;"",$D496&lt;&gt;""),1,0))</f>
        <v/>
      </c>
      <c r="BN496" s="52" t="str">
        <f aca="false">IF(OR(COUNT(G496:I1495)=0,AND('Choix pédagogiques'!$C$3&lt;&gt;1,'Choix pédagogiques'!$C$3&lt;&gt;2)),"",IF(AND(OR('Choix pédagogiques'!$C$3=1,'Choix pédagogiques'!$C$3=2),AND($G496&lt;&gt;"",$H496&lt;&gt;"",$I496&lt;&gt;"")),1,0))</f>
        <v/>
      </c>
      <c r="BO496" s="52" t="str">
        <f aca="false">IF(OR(COUNT(B496:D1495)=0,COUNT(G496:I1495)=0,'Choix pédagogiques'!C$3&lt;&gt;3),"",IF(AND('Choix pédagogiques'!$C$3=3,$B496&lt;&gt;"",$C496&lt;&gt;"",$D496&lt;&gt;"",$G496&lt;&gt;"",$H496&lt;&gt;"",$I496&lt;&gt;""),1,0))</f>
        <v/>
      </c>
      <c r="BR496" s="52" t="n">
        <v>129</v>
      </c>
      <c r="BS496" s="52" t="n">
        <v>1879</v>
      </c>
    </row>
    <row r="497" s="54" customFormat="true" ht="18" hidden="false" customHeight="true" outlineLevel="0" collapsed="false">
      <c r="A497" s="57" t="s">
        <v>925</v>
      </c>
      <c r="B497" s="51"/>
      <c r="C497" s="51"/>
      <c r="D497" s="51"/>
      <c r="E497" s="51"/>
      <c r="F497" s="57" t="s">
        <v>926</v>
      </c>
      <c r="G497" s="51"/>
      <c r="H497" s="51"/>
      <c r="I497" s="51"/>
      <c r="J497" s="51"/>
      <c r="K497" s="52" t="str">
        <f aca="false">IF($A497&lt;&gt;"",$A497,"")</f>
        <v>Apprenant 485</v>
      </c>
      <c r="L497" s="53" t="str">
        <f aca="false">IF(AND($B497&lt;&gt;"",$C497&lt;&gt;""),$C497-$B497,"")</f>
        <v/>
      </c>
      <c r="M497" s="53" t="str">
        <f aca="false">IF(AND($B497&lt;&gt;"",$D497&lt;&gt;""),$D497-$B497,"")</f>
        <v/>
      </c>
      <c r="N497" s="53" t="str">
        <f aca="false">IF(AND($C497&lt;&gt;"",$D497&lt;&gt;""),$D497-$C497,"")</f>
        <v/>
      </c>
      <c r="O497" s="53" t="str">
        <f aca="false">IF($E497&lt;&gt;"",$E497,"")</f>
        <v/>
      </c>
      <c r="P497" s="52" t="str">
        <f aca="false">IF($F497&lt;&gt;"",$F497,"")</f>
        <v>Apprenant 485 ou 485'</v>
      </c>
      <c r="Q497" s="53" t="str">
        <f aca="false">IF(AND($G497&lt;&gt;"",$H497&lt;&gt;""),$H497-$G497,"")</f>
        <v/>
      </c>
      <c r="R497" s="53" t="str">
        <f aca="false">IF(AND($G497&lt;&gt;"",$I497&lt;&gt;""),$I497-$G497,"")</f>
        <v/>
      </c>
      <c r="S497" s="53" t="str">
        <f aca="false">IF(AND($H497&lt;&gt;"",$I497&lt;&gt;""),$I497-$H497,"")</f>
        <v/>
      </c>
      <c r="T497" s="53" t="str">
        <f aca="false">IF($J497&lt;&gt;"",$J497,"")</f>
        <v/>
      </c>
      <c r="V497" s="52" t="str">
        <f aca="false">IF($A497&lt;&gt;"",$A497,"")</f>
        <v>Apprenant 485</v>
      </c>
      <c r="W497" s="53" t="str">
        <f aca="false">IF(AND(OR('Choix pédagogiques'!$C$3=1,'Choix pédagogiques'!$C$3=2),$BM497=1),B497,IF(AND('Choix pédagogiques'!$C$3=3,$BO497=1),B497,""))</f>
        <v/>
      </c>
      <c r="X497" s="53" t="str">
        <f aca="false">IF(AND(OR('Choix pédagogiques'!$C$3=1,'Choix pédagogiques'!$C$3=2),$BM497=1),C497,IF(AND('Choix pédagogiques'!$C$3=3,$BO497=1),C497,""))</f>
        <v/>
      </c>
      <c r="Y497" s="53" t="str">
        <f aca="false">IF(AND(OR('Choix pédagogiques'!$C$3=1,'Choix pédagogiques'!$C$3=2),$BM497=1),D497,IF(AND('Choix pédagogiques'!$C$3=3,$BO497=1),D497,""))</f>
        <v/>
      </c>
      <c r="Z497" s="53" t="str">
        <f aca="false">IF($E497&lt;&gt;"",$E497,"")</f>
        <v/>
      </c>
      <c r="AA497" s="52" t="str">
        <f aca="false">IF($F497&lt;&gt;"",$F497,"")</f>
        <v>Apprenant 485 ou 485'</v>
      </c>
      <c r="AB497" s="53" t="str">
        <f aca="false">IF(AND(OR('Choix pédagogiques'!$C$3=1,'Choix pédagogiques'!$C$3=2),$BN497=1),G497,IF(AND('Choix pédagogiques'!$C$3=3,$BO497=1),G497,""))</f>
        <v/>
      </c>
      <c r="AC497" s="53" t="str">
        <f aca="false">IF(AND(OR('Choix pédagogiques'!$C$3=1,'Choix pédagogiques'!$C$3=2),$BN497=1),H497,IF(AND('Choix pédagogiques'!$C$3=3,$BO497=1),H497,""))</f>
        <v/>
      </c>
      <c r="AD497" s="53" t="str">
        <f aca="false">IF(AND(OR('Choix pédagogiques'!$C$3=1,'Choix pédagogiques'!$C$3=2),$BN497=1),I497,IF(AND('Choix pédagogiques'!$C$3=3,$BO497=1),I497,""))</f>
        <v/>
      </c>
      <c r="AE497" s="53" t="str">
        <f aca="false">IF($J497&lt;&gt;"",$J497,"")</f>
        <v/>
      </c>
      <c r="AF497" s="52" t="str">
        <f aca="false">IF($A497&lt;&gt;"",$A497,"")</f>
        <v>Apprenant 485</v>
      </c>
      <c r="AG497" s="53" t="str">
        <f aca="false">IF(AND($W497&lt;&gt;"",$X497&lt;&gt;""),$X497-$W497,"")</f>
        <v/>
      </c>
      <c r="AH497" s="53" t="str">
        <f aca="false">IF(AND($W497&lt;&gt;"",$Y497&lt;&gt;""),$Y497-$W497,"")</f>
        <v/>
      </c>
      <c r="AI497" s="53" t="str">
        <f aca="false">IF(AND($X497&lt;&gt;"",$Y497&lt;&gt;""),$Y497-$X497,"")</f>
        <v/>
      </c>
      <c r="AJ497" s="53" t="str">
        <f aca="false">IF($E497&lt;&gt;"",$E497,"")</f>
        <v/>
      </c>
      <c r="AK497" s="52" t="str">
        <f aca="false">IF($F497&lt;&gt;"",$F497,"")</f>
        <v>Apprenant 485 ou 485'</v>
      </c>
      <c r="AL497" s="53" t="str">
        <f aca="false">IF(AND($AB497&lt;&gt;"",$AC497&lt;&gt;""),$AC497-$AB497,"")</f>
        <v/>
      </c>
      <c r="AM497" s="53" t="str">
        <f aca="false">IF(AND($AB497&lt;&gt;"",$AD497&lt;&gt;""),$AD497-$AB497,"")</f>
        <v/>
      </c>
      <c r="AN497" s="53" t="str">
        <f aca="false">IF(AND($AC497&lt;&gt;"",$AD497&lt;&gt;""),$AD497-$AC497,"")</f>
        <v/>
      </c>
      <c r="AO497" s="53" t="str">
        <f aca="false">IF($J497&lt;&gt;"",$J497,"")</f>
        <v/>
      </c>
      <c r="AQ497" s="52" t="str">
        <f aca="false">IF($A497&lt;&gt;"",$A497,"")</f>
        <v>Apprenant 485</v>
      </c>
      <c r="AR497" s="55" t="str">
        <f aca="false">IF(AND('Choix pédagogiques'!$C$4&lt;&gt;"?",'Choix pédagogiques'!$C$5&lt;&gt;"?",W497&lt;&gt;""),(W497-'Choix pédagogiques'!$C$4)/('Choix pédagogiques'!$C$5-'Choix pédagogiques'!$C$4),"")</f>
        <v/>
      </c>
      <c r="AS497" s="55" t="str">
        <f aca="false">IF(AND('Choix pédagogiques'!$C$4&lt;&gt;"?",'Choix pédagogiques'!$C$5&lt;&gt;"?",X497&lt;&gt;""),(X497-'Choix pédagogiques'!$C$4)/('Choix pédagogiques'!$C$5-'Choix pédagogiques'!$C$4),"")</f>
        <v/>
      </c>
      <c r="AT497" s="55" t="str">
        <f aca="false">IF(AND('Choix pédagogiques'!$C$4&lt;&gt;"?",'Choix pédagogiques'!$C$5&lt;&gt;"?",Y497&lt;&gt;""),(Y497-'Choix pédagogiques'!$C$4)/('Choix pédagogiques'!$C$5-'Choix pédagogiques'!$C$4),"")</f>
        <v/>
      </c>
      <c r="AU497" s="53" t="str">
        <f aca="false">IF($E497&lt;&gt;"",$E497,"")</f>
        <v/>
      </c>
      <c r="AV497" s="52" t="str">
        <f aca="false">IF($F497&lt;&gt;"",$F497,"")</f>
        <v>Apprenant 485 ou 485'</v>
      </c>
      <c r="AW497" s="55" t="str">
        <f aca="false">IF(AND('Choix pédagogiques'!$C$4&lt;&gt;"?",'Choix pédagogiques'!$C$5&lt;&gt;"?",AB497&lt;&gt;""),(AB497-'Choix pédagogiques'!$C$4)/('Choix pédagogiques'!$C$5-'Choix pédagogiques'!$C$4),"")</f>
        <v/>
      </c>
      <c r="AX497" s="55" t="str">
        <f aca="false">IF(AND('Choix pédagogiques'!$C$4&lt;&gt;"?",'Choix pédagogiques'!$C$5&lt;&gt;"?",AC497&lt;&gt;""),(AC497-'Choix pédagogiques'!$C$4)/('Choix pédagogiques'!$C$5-'Choix pédagogiques'!$C$4),"")</f>
        <v/>
      </c>
      <c r="AY497" s="55" t="str">
        <f aca="false">IF(AND('Choix pédagogiques'!$C$4&lt;&gt;"?",'Choix pédagogiques'!$C$5&lt;&gt;"?",AD497&lt;&gt;""),(AD497-'Choix pédagogiques'!$C$4)/('Choix pédagogiques'!$C$5-'Choix pédagogiques'!$C$4),"")</f>
        <v/>
      </c>
      <c r="AZ497" s="53" t="str">
        <f aca="false">IF($J497&lt;&gt;"",$J497,"")</f>
        <v/>
      </c>
      <c r="BA497" s="52" t="str">
        <f aca="false">IF($A497&lt;&gt;"",$A497,"")</f>
        <v>Apprenant 485</v>
      </c>
      <c r="BB497" s="55" t="str">
        <f aca="false">IF(AND($AR497&lt;&gt;"",$AS497&lt;&gt;""),$AS497-$AR497,"")</f>
        <v/>
      </c>
      <c r="BC497" s="55" t="str">
        <f aca="false">IF(AND($AR497&lt;&gt;"",$AT497&lt;&gt;""),$AT497-$AR497,"")</f>
        <v/>
      </c>
      <c r="BD497" s="55" t="str">
        <f aca="false">IF(AND($AS497&lt;&gt;"",$AT497&lt;&gt;""),$AT497-$AS497,"")</f>
        <v/>
      </c>
      <c r="BE497" s="53" t="str">
        <f aca="false">IF($E497&lt;&gt;"",$E497,"")</f>
        <v/>
      </c>
      <c r="BF497" s="52" t="str">
        <f aca="false">IF($F497&lt;&gt;"",$F497,"")</f>
        <v>Apprenant 485 ou 485'</v>
      </c>
      <c r="BG497" s="55" t="str">
        <f aca="false">IF(AND($AW497&lt;&gt;"",$AX497&lt;&gt;""),$AX497-$AW497,"")</f>
        <v/>
      </c>
      <c r="BH497" s="55" t="str">
        <f aca="false">IF(AND($AW497&lt;&gt;"",$AY497&lt;&gt;""),$AY497-$AW497,"")</f>
        <v/>
      </c>
      <c r="BI497" s="55" t="str">
        <f aca="false">IF(AND($AX497&lt;&gt;"",$AY497&lt;&gt;""),$AY497-$AX497,"")</f>
        <v/>
      </c>
      <c r="BJ497" s="53" t="str">
        <f aca="false">IF($J497&lt;&gt;"",$J497,"")</f>
        <v/>
      </c>
      <c r="BL497" s="52"/>
      <c r="BM497" s="52" t="str">
        <f aca="false">IF(OR(COUNT(B497:D1496)=0,AND('Choix pédagogiques'!$C$3&lt;&gt;1,'Choix pédagogiques'!$C$3&lt;&gt;2)),"",IF(AND(OR('Choix pédagogiques'!$C$3=1,'Choix pédagogiques'!$C$3=2),$B497&lt;&gt;"",$C497&lt;&gt;"",$D497&lt;&gt;""),1,0))</f>
        <v/>
      </c>
      <c r="BN497" s="52" t="str">
        <f aca="false">IF(OR(COUNT(G497:I1496)=0,AND('Choix pédagogiques'!$C$3&lt;&gt;1,'Choix pédagogiques'!$C$3&lt;&gt;2)),"",IF(AND(OR('Choix pédagogiques'!$C$3=1,'Choix pédagogiques'!$C$3=2),AND($G497&lt;&gt;"",$H497&lt;&gt;"",$I497&lt;&gt;"")),1,0))</f>
        <v/>
      </c>
      <c r="BO497" s="52" t="str">
        <f aca="false">IF(OR(COUNT(B497:D1496)=0,COUNT(G497:I1496)=0,'Choix pédagogiques'!C$3&lt;&gt;3),"",IF(AND('Choix pédagogiques'!$C$3=3,$B497&lt;&gt;"",$C497&lt;&gt;"",$D497&lt;&gt;"",$G497&lt;&gt;"",$H497&lt;&gt;"",$I497&lt;&gt;""),1,0))</f>
        <v/>
      </c>
      <c r="BR497" s="52" t="n">
        <v>801</v>
      </c>
      <c r="BS497" s="52" t="n">
        <v>1868</v>
      </c>
    </row>
    <row r="498" s="54" customFormat="true" ht="18" hidden="false" customHeight="true" outlineLevel="0" collapsed="false">
      <c r="A498" s="57" t="s">
        <v>927</v>
      </c>
      <c r="B498" s="51"/>
      <c r="C498" s="51"/>
      <c r="D498" s="51"/>
      <c r="E498" s="51"/>
      <c r="F498" s="57" t="s">
        <v>928</v>
      </c>
      <c r="G498" s="51"/>
      <c r="H498" s="51"/>
      <c r="I498" s="51"/>
      <c r="J498" s="51"/>
      <c r="K498" s="52" t="str">
        <f aca="false">IF($A498&lt;&gt;"",$A498,"")</f>
        <v>Apprenant 486</v>
      </c>
      <c r="L498" s="53" t="str">
        <f aca="false">IF(AND($B498&lt;&gt;"",$C498&lt;&gt;""),$C498-$B498,"")</f>
        <v/>
      </c>
      <c r="M498" s="53" t="str">
        <f aca="false">IF(AND($B498&lt;&gt;"",$D498&lt;&gt;""),$D498-$B498,"")</f>
        <v/>
      </c>
      <c r="N498" s="53" t="str">
        <f aca="false">IF(AND($C498&lt;&gt;"",$D498&lt;&gt;""),$D498-$C498,"")</f>
        <v/>
      </c>
      <c r="O498" s="53" t="str">
        <f aca="false">IF($E498&lt;&gt;"",$E498,"")</f>
        <v/>
      </c>
      <c r="P498" s="52" t="str">
        <f aca="false">IF($F498&lt;&gt;"",$F498,"")</f>
        <v>Apprenant 486 ou 486'</v>
      </c>
      <c r="Q498" s="53" t="str">
        <f aca="false">IF(AND($G498&lt;&gt;"",$H498&lt;&gt;""),$H498-$G498,"")</f>
        <v/>
      </c>
      <c r="R498" s="53" t="str">
        <f aca="false">IF(AND($G498&lt;&gt;"",$I498&lt;&gt;""),$I498-$G498,"")</f>
        <v/>
      </c>
      <c r="S498" s="53" t="str">
        <f aca="false">IF(AND($H498&lt;&gt;"",$I498&lt;&gt;""),$I498-$H498,"")</f>
        <v/>
      </c>
      <c r="T498" s="53" t="str">
        <f aca="false">IF($J498&lt;&gt;"",$J498,"")</f>
        <v/>
      </c>
      <c r="V498" s="52" t="str">
        <f aca="false">IF($A498&lt;&gt;"",$A498,"")</f>
        <v>Apprenant 486</v>
      </c>
      <c r="W498" s="53" t="str">
        <f aca="false">IF(AND(OR('Choix pédagogiques'!$C$3=1,'Choix pédagogiques'!$C$3=2),$BM498=1),B498,IF(AND('Choix pédagogiques'!$C$3=3,$BO498=1),B498,""))</f>
        <v/>
      </c>
      <c r="X498" s="53" t="str">
        <f aca="false">IF(AND(OR('Choix pédagogiques'!$C$3=1,'Choix pédagogiques'!$C$3=2),$BM498=1),C498,IF(AND('Choix pédagogiques'!$C$3=3,$BO498=1),C498,""))</f>
        <v/>
      </c>
      <c r="Y498" s="53" t="str">
        <f aca="false">IF(AND(OR('Choix pédagogiques'!$C$3=1,'Choix pédagogiques'!$C$3=2),$BM498=1),D498,IF(AND('Choix pédagogiques'!$C$3=3,$BO498=1),D498,""))</f>
        <v/>
      </c>
      <c r="Z498" s="53" t="str">
        <f aca="false">IF($E498&lt;&gt;"",$E498,"")</f>
        <v/>
      </c>
      <c r="AA498" s="52" t="str">
        <f aca="false">IF($F498&lt;&gt;"",$F498,"")</f>
        <v>Apprenant 486 ou 486'</v>
      </c>
      <c r="AB498" s="53" t="str">
        <f aca="false">IF(AND(OR('Choix pédagogiques'!$C$3=1,'Choix pédagogiques'!$C$3=2),$BN498=1),G498,IF(AND('Choix pédagogiques'!$C$3=3,$BO498=1),G498,""))</f>
        <v/>
      </c>
      <c r="AC498" s="53" t="str">
        <f aca="false">IF(AND(OR('Choix pédagogiques'!$C$3=1,'Choix pédagogiques'!$C$3=2),$BN498=1),H498,IF(AND('Choix pédagogiques'!$C$3=3,$BO498=1),H498,""))</f>
        <v/>
      </c>
      <c r="AD498" s="53" t="str">
        <f aca="false">IF(AND(OR('Choix pédagogiques'!$C$3=1,'Choix pédagogiques'!$C$3=2),$BN498=1),I498,IF(AND('Choix pédagogiques'!$C$3=3,$BO498=1),I498,""))</f>
        <v/>
      </c>
      <c r="AE498" s="53" t="str">
        <f aca="false">IF($J498&lt;&gt;"",$J498,"")</f>
        <v/>
      </c>
      <c r="AF498" s="52" t="str">
        <f aca="false">IF($A498&lt;&gt;"",$A498,"")</f>
        <v>Apprenant 486</v>
      </c>
      <c r="AG498" s="53" t="str">
        <f aca="false">IF(AND($W498&lt;&gt;"",$X498&lt;&gt;""),$X498-$W498,"")</f>
        <v/>
      </c>
      <c r="AH498" s="53" t="str">
        <f aca="false">IF(AND($W498&lt;&gt;"",$Y498&lt;&gt;""),$Y498-$W498,"")</f>
        <v/>
      </c>
      <c r="AI498" s="53" t="str">
        <f aca="false">IF(AND($X498&lt;&gt;"",$Y498&lt;&gt;""),$Y498-$X498,"")</f>
        <v/>
      </c>
      <c r="AJ498" s="53" t="str">
        <f aca="false">IF($E498&lt;&gt;"",$E498,"")</f>
        <v/>
      </c>
      <c r="AK498" s="52" t="str">
        <f aca="false">IF($F498&lt;&gt;"",$F498,"")</f>
        <v>Apprenant 486 ou 486'</v>
      </c>
      <c r="AL498" s="53" t="str">
        <f aca="false">IF(AND($AB498&lt;&gt;"",$AC498&lt;&gt;""),$AC498-$AB498,"")</f>
        <v/>
      </c>
      <c r="AM498" s="53" t="str">
        <f aca="false">IF(AND($AB498&lt;&gt;"",$AD498&lt;&gt;""),$AD498-$AB498,"")</f>
        <v/>
      </c>
      <c r="AN498" s="53" t="str">
        <f aca="false">IF(AND($AC498&lt;&gt;"",$AD498&lt;&gt;""),$AD498-$AC498,"")</f>
        <v/>
      </c>
      <c r="AO498" s="53" t="str">
        <f aca="false">IF($J498&lt;&gt;"",$J498,"")</f>
        <v/>
      </c>
      <c r="AQ498" s="52" t="str">
        <f aca="false">IF($A498&lt;&gt;"",$A498,"")</f>
        <v>Apprenant 486</v>
      </c>
      <c r="AR498" s="55" t="str">
        <f aca="false">IF(AND('Choix pédagogiques'!$C$4&lt;&gt;"?",'Choix pédagogiques'!$C$5&lt;&gt;"?",W498&lt;&gt;""),(W498-'Choix pédagogiques'!$C$4)/('Choix pédagogiques'!$C$5-'Choix pédagogiques'!$C$4),"")</f>
        <v/>
      </c>
      <c r="AS498" s="55" t="str">
        <f aca="false">IF(AND('Choix pédagogiques'!$C$4&lt;&gt;"?",'Choix pédagogiques'!$C$5&lt;&gt;"?",X498&lt;&gt;""),(X498-'Choix pédagogiques'!$C$4)/('Choix pédagogiques'!$C$5-'Choix pédagogiques'!$C$4),"")</f>
        <v/>
      </c>
      <c r="AT498" s="55" t="str">
        <f aca="false">IF(AND('Choix pédagogiques'!$C$4&lt;&gt;"?",'Choix pédagogiques'!$C$5&lt;&gt;"?",Y498&lt;&gt;""),(Y498-'Choix pédagogiques'!$C$4)/('Choix pédagogiques'!$C$5-'Choix pédagogiques'!$C$4),"")</f>
        <v/>
      </c>
      <c r="AU498" s="53" t="str">
        <f aca="false">IF($E498&lt;&gt;"",$E498,"")</f>
        <v/>
      </c>
      <c r="AV498" s="52" t="str">
        <f aca="false">IF($F498&lt;&gt;"",$F498,"")</f>
        <v>Apprenant 486 ou 486'</v>
      </c>
      <c r="AW498" s="55" t="str">
        <f aca="false">IF(AND('Choix pédagogiques'!$C$4&lt;&gt;"?",'Choix pédagogiques'!$C$5&lt;&gt;"?",AB498&lt;&gt;""),(AB498-'Choix pédagogiques'!$C$4)/('Choix pédagogiques'!$C$5-'Choix pédagogiques'!$C$4),"")</f>
        <v/>
      </c>
      <c r="AX498" s="55" t="str">
        <f aca="false">IF(AND('Choix pédagogiques'!$C$4&lt;&gt;"?",'Choix pédagogiques'!$C$5&lt;&gt;"?",AC498&lt;&gt;""),(AC498-'Choix pédagogiques'!$C$4)/('Choix pédagogiques'!$C$5-'Choix pédagogiques'!$C$4),"")</f>
        <v/>
      </c>
      <c r="AY498" s="55" t="str">
        <f aca="false">IF(AND('Choix pédagogiques'!$C$4&lt;&gt;"?",'Choix pédagogiques'!$C$5&lt;&gt;"?",AD498&lt;&gt;""),(AD498-'Choix pédagogiques'!$C$4)/('Choix pédagogiques'!$C$5-'Choix pédagogiques'!$C$4),"")</f>
        <v/>
      </c>
      <c r="AZ498" s="53" t="str">
        <f aca="false">IF($J498&lt;&gt;"",$J498,"")</f>
        <v/>
      </c>
      <c r="BA498" s="52" t="str">
        <f aca="false">IF($A498&lt;&gt;"",$A498,"")</f>
        <v>Apprenant 486</v>
      </c>
      <c r="BB498" s="55" t="str">
        <f aca="false">IF(AND($AR498&lt;&gt;"",$AS498&lt;&gt;""),$AS498-$AR498,"")</f>
        <v/>
      </c>
      <c r="BC498" s="55" t="str">
        <f aca="false">IF(AND($AR498&lt;&gt;"",$AT498&lt;&gt;""),$AT498-$AR498,"")</f>
        <v/>
      </c>
      <c r="BD498" s="55" t="str">
        <f aca="false">IF(AND($AS498&lt;&gt;"",$AT498&lt;&gt;""),$AT498-$AS498,"")</f>
        <v/>
      </c>
      <c r="BE498" s="53" t="str">
        <f aca="false">IF($E498&lt;&gt;"",$E498,"")</f>
        <v/>
      </c>
      <c r="BF498" s="52" t="str">
        <f aca="false">IF($F498&lt;&gt;"",$F498,"")</f>
        <v>Apprenant 486 ou 486'</v>
      </c>
      <c r="BG498" s="55" t="str">
        <f aca="false">IF(AND($AW498&lt;&gt;"",$AX498&lt;&gt;""),$AX498-$AW498,"")</f>
        <v/>
      </c>
      <c r="BH498" s="55" t="str">
        <f aca="false">IF(AND($AW498&lt;&gt;"",$AY498&lt;&gt;""),$AY498-$AW498,"")</f>
        <v/>
      </c>
      <c r="BI498" s="55" t="str">
        <f aca="false">IF(AND($AX498&lt;&gt;"",$AY498&lt;&gt;""),$AY498-$AX498,"")</f>
        <v/>
      </c>
      <c r="BJ498" s="53" t="str">
        <f aca="false">IF($J498&lt;&gt;"",$J498,"")</f>
        <v/>
      </c>
      <c r="BL498" s="52"/>
      <c r="BM498" s="52" t="str">
        <f aca="false">IF(OR(COUNT(B498:D1497)=0,AND('Choix pédagogiques'!$C$3&lt;&gt;1,'Choix pédagogiques'!$C$3&lt;&gt;2)),"",IF(AND(OR('Choix pédagogiques'!$C$3=1,'Choix pédagogiques'!$C$3=2),$B498&lt;&gt;"",$C498&lt;&gt;"",$D498&lt;&gt;""),1,0))</f>
        <v/>
      </c>
      <c r="BN498" s="52" t="str">
        <f aca="false">IF(OR(COUNT(G498:I1497)=0,AND('Choix pédagogiques'!$C$3&lt;&gt;1,'Choix pédagogiques'!$C$3&lt;&gt;2)),"",IF(AND(OR('Choix pédagogiques'!$C$3=1,'Choix pédagogiques'!$C$3=2),AND($G498&lt;&gt;"",$H498&lt;&gt;"",$I498&lt;&gt;"")),1,0))</f>
        <v/>
      </c>
      <c r="BO498" s="52" t="str">
        <f aca="false">IF(OR(COUNT(B498:D1497)=0,COUNT(G498:I1497)=0,'Choix pédagogiques'!C$3&lt;&gt;3),"",IF(AND('Choix pédagogiques'!$C$3=3,$B498&lt;&gt;"",$C498&lt;&gt;"",$D498&lt;&gt;"",$G498&lt;&gt;"",$H498&lt;&gt;"",$I498&lt;&gt;""),1,0))</f>
        <v/>
      </c>
      <c r="BR498" s="52" t="n">
        <v>560</v>
      </c>
      <c r="BS498" s="52" t="n">
        <v>1475</v>
      </c>
    </row>
    <row r="499" s="54" customFormat="true" ht="18" hidden="false" customHeight="true" outlineLevel="0" collapsed="false">
      <c r="A499" s="57" t="s">
        <v>929</v>
      </c>
      <c r="B499" s="51"/>
      <c r="C499" s="51"/>
      <c r="D499" s="51"/>
      <c r="E499" s="51"/>
      <c r="F499" s="57" t="s">
        <v>930</v>
      </c>
      <c r="G499" s="51"/>
      <c r="H499" s="51"/>
      <c r="I499" s="51"/>
      <c r="J499" s="51"/>
      <c r="K499" s="52" t="str">
        <f aca="false">IF($A499&lt;&gt;"",$A499,"")</f>
        <v>Apprenant 487</v>
      </c>
      <c r="L499" s="53" t="str">
        <f aca="false">IF(AND($B499&lt;&gt;"",$C499&lt;&gt;""),$C499-$B499,"")</f>
        <v/>
      </c>
      <c r="M499" s="53" t="str">
        <f aca="false">IF(AND($B499&lt;&gt;"",$D499&lt;&gt;""),$D499-$B499,"")</f>
        <v/>
      </c>
      <c r="N499" s="53" t="str">
        <f aca="false">IF(AND($C499&lt;&gt;"",$D499&lt;&gt;""),$D499-$C499,"")</f>
        <v/>
      </c>
      <c r="O499" s="53" t="str">
        <f aca="false">IF($E499&lt;&gt;"",$E499,"")</f>
        <v/>
      </c>
      <c r="P499" s="52" t="str">
        <f aca="false">IF($F499&lt;&gt;"",$F499,"")</f>
        <v>Apprenant 487 ou 487'</v>
      </c>
      <c r="Q499" s="53" t="str">
        <f aca="false">IF(AND($G499&lt;&gt;"",$H499&lt;&gt;""),$H499-$G499,"")</f>
        <v/>
      </c>
      <c r="R499" s="53" t="str">
        <f aca="false">IF(AND($G499&lt;&gt;"",$I499&lt;&gt;""),$I499-$G499,"")</f>
        <v/>
      </c>
      <c r="S499" s="53" t="str">
        <f aca="false">IF(AND($H499&lt;&gt;"",$I499&lt;&gt;""),$I499-$H499,"")</f>
        <v/>
      </c>
      <c r="T499" s="53" t="str">
        <f aca="false">IF($J499&lt;&gt;"",$J499,"")</f>
        <v/>
      </c>
      <c r="V499" s="52" t="str">
        <f aca="false">IF($A499&lt;&gt;"",$A499,"")</f>
        <v>Apprenant 487</v>
      </c>
      <c r="W499" s="53" t="str">
        <f aca="false">IF(AND(OR('Choix pédagogiques'!$C$3=1,'Choix pédagogiques'!$C$3=2),$BM499=1),B499,IF(AND('Choix pédagogiques'!$C$3=3,$BO499=1),B499,""))</f>
        <v/>
      </c>
      <c r="X499" s="53" t="str">
        <f aca="false">IF(AND(OR('Choix pédagogiques'!$C$3=1,'Choix pédagogiques'!$C$3=2),$BM499=1),C499,IF(AND('Choix pédagogiques'!$C$3=3,$BO499=1),C499,""))</f>
        <v/>
      </c>
      <c r="Y499" s="53" t="str">
        <f aca="false">IF(AND(OR('Choix pédagogiques'!$C$3=1,'Choix pédagogiques'!$C$3=2),$BM499=1),D499,IF(AND('Choix pédagogiques'!$C$3=3,$BO499=1),D499,""))</f>
        <v/>
      </c>
      <c r="Z499" s="53" t="str">
        <f aca="false">IF($E499&lt;&gt;"",$E499,"")</f>
        <v/>
      </c>
      <c r="AA499" s="52" t="str">
        <f aca="false">IF($F499&lt;&gt;"",$F499,"")</f>
        <v>Apprenant 487 ou 487'</v>
      </c>
      <c r="AB499" s="53" t="str">
        <f aca="false">IF(AND(OR('Choix pédagogiques'!$C$3=1,'Choix pédagogiques'!$C$3=2),$BN499=1),G499,IF(AND('Choix pédagogiques'!$C$3=3,$BO499=1),G499,""))</f>
        <v/>
      </c>
      <c r="AC499" s="53" t="str">
        <f aca="false">IF(AND(OR('Choix pédagogiques'!$C$3=1,'Choix pédagogiques'!$C$3=2),$BN499=1),H499,IF(AND('Choix pédagogiques'!$C$3=3,$BO499=1),H499,""))</f>
        <v/>
      </c>
      <c r="AD499" s="53" t="str">
        <f aca="false">IF(AND(OR('Choix pédagogiques'!$C$3=1,'Choix pédagogiques'!$C$3=2),$BN499=1),I499,IF(AND('Choix pédagogiques'!$C$3=3,$BO499=1),I499,""))</f>
        <v/>
      </c>
      <c r="AE499" s="53" t="str">
        <f aca="false">IF($J499&lt;&gt;"",$J499,"")</f>
        <v/>
      </c>
      <c r="AF499" s="52" t="str">
        <f aca="false">IF($A499&lt;&gt;"",$A499,"")</f>
        <v>Apprenant 487</v>
      </c>
      <c r="AG499" s="53" t="str">
        <f aca="false">IF(AND($W499&lt;&gt;"",$X499&lt;&gt;""),$X499-$W499,"")</f>
        <v/>
      </c>
      <c r="AH499" s="53" t="str">
        <f aca="false">IF(AND($W499&lt;&gt;"",$Y499&lt;&gt;""),$Y499-$W499,"")</f>
        <v/>
      </c>
      <c r="AI499" s="53" t="str">
        <f aca="false">IF(AND($X499&lt;&gt;"",$Y499&lt;&gt;""),$Y499-$X499,"")</f>
        <v/>
      </c>
      <c r="AJ499" s="53" t="str">
        <f aca="false">IF($E499&lt;&gt;"",$E499,"")</f>
        <v/>
      </c>
      <c r="AK499" s="52" t="str">
        <f aca="false">IF($F499&lt;&gt;"",$F499,"")</f>
        <v>Apprenant 487 ou 487'</v>
      </c>
      <c r="AL499" s="53" t="str">
        <f aca="false">IF(AND($AB499&lt;&gt;"",$AC499&lt;&gt;""),$AC499-$AB499,"")</f>
        <v/>
      </c>
      <c r="AM499" s="53" t="str">
        <f aca="false">IF(AND($AB499&lt;&gt;"",$AD499&lt;&gt;""),$AD499-$AB499,"")</f>
        <v/>
      </c>
      <c r="AN499" s="53" t="str">
        <f aca="false">IF(AND($AC499&lt;&gt;"",$AD499&lt;&gt;""),$AD499-$AC499,"")</f>
        <v/>
      </c>
      <c r="AO499" s="53" t="str">
        <f aca="false">IF($J499&lt;&gt;"",$J499,"")</f>
        <v/>
      </c>
      <c r="AQ499" s="52" t="str">
        <f aca="false">IF($A499&lt;&gt;"",$A499,"")</f>
        <v>Apprenant 487</v>
      </c>
      <c r="AR499" s="55" t="str">
        <f aca="false">IF(AND('Choix pédagogiques'!$C$4&lt;&gt;"?",'Choix pédagogiques'!$C$5&lt;&gt;"?",W499&lt;&gt;""),(W499-'Choix pédagogiques'!$C$4)/('Choix pédagogiques'!$C$5-'Choix pédagogiques'!$C$4),"")</f>
        <v/>
      </c>
      <c r="AS499" s="55" t="str">
        <f aca="false">IF(AND('Choix pédagogiques'!$C$4&lt;&gt;"?",'Choix pédagogiques'!$C$5&lt;&gt;"?",X499&lt;&gt;""),(X499-'Choix pédagogiques'!$C$4)/('Choix pédagogiques'!$C$5-'Choix pédagogiques'!$C$4),"")</f>
        <v/>
      </c>
      <c r="AT499" s="55" t="str">
        <f aca="false">IF(AND('Choix pédagogiques'!$C$4&lt;&gt;"?",'Choix pédagogiques'!$C$5&lt;&gt;"?",Y499&lt;&gt;""),(Y499-'Choix pédagogiques'!$C$4)/('Choix pédagogiques'!$C$5-'Choix pédagogiques'!$C$4),"")</f>
        <v/>
      </c>
      <c r="AU499" s="53" t="str">
        <f aca="false">IF($E499&lt;&gt;"",$E499,"")</f>
        <v/>
      </c>
      <c r="AV499" s="52" t="str">
        <f aca="false">IF($F499&lt;&gt;"",$F499,"")</f>
        <v>Apprenant 487 ou 487'</v>
      </c>
      <c r="AW499" s="55" t="str">
        <f aca="false">IF(AND('Choix pédagogiques'!$C$4&lt;&gt;"?",'Choix pédagogiques'!$C$5&lt;&gt;"?",AB499&lt;&gt;""),(AB499-'Choix pédagogiques'!$C$4)/('Choix pédagogiques'!$C$5-'Choix pédagogiques'!$C$4),"")</f>
        <v/>
      </c>
      <c r="AX499" s="55" t="str">
        <f aca="false">IF(AND('Choix pédagogiques'!$C$4&lt;&gt;"?",'Choix pédagogiques'!$C$5&lt;&gt;"?",AC499&lt;&gt;""),(AC499-'Choix pédagogiques'!$C$4)/('Choix pédagogiques'!$C$5-'Choix pédagogiques'!$C$4),"")</f>
        <v/>
      </c>
      <c r="AY499" s="55" t="str">
        <f aca="false">IF(AND('Choix pédagogiques'!$C$4&lt;&gt;"?",'Choix pédagogiques'!$C$5&lt;&gt;"?",AD499&lt;&gt;""),(AD499-'Choix pédagogiques'!$C$4)/('Choix pédagogiques'!$C$5-'Choix pédagogiques'!$C$4),"")</f>
        <v/>
      </c>
      <c r="AZ499" s="53" t="str">
        <f aca="false">IF($J499&lt;&gt;"",$J499,"")</f>
        <v/>
      </c>
      <c r="BA499" s="52" t="str">
        <f aca="false">IF($A499&lt;&gt;"",$A499,"")</f>
        <v>Apprenant 487</v>
      </c>
      <c r="BB499" s="55" t="str">
        <f aca="false">IF(AND($AR499&lt;&gt;"",$AS499&lt;&gt;""),$AS499-$AR499,"")</f>
        <v/>
      </c>
      <c r="BC499" s="55" t="str">
        <f aca="false">IF(AND($AR499&lt;&gt;"",$AT499&lt;&gt;""),$AT499-$AR499,"")</f>
        <v/>
      </c>
      <c r="BD499" s="55" t="str">
        <f aca="false">IF(AND($AS499&lt;&gt;"",$AT499&lt;&gt;""),$AT499-$AS499,"")</f>
        <v/>
      </c>
      <c r="BE499" s="53" t="str">
        <f aca="false">IF($E499&lt;&gt;"",$E499,"")</f>
        <v/>
      </c>
      <c r="BF499" s="52" t="str">
        <f aca="false">IF($F499&lt;&gt;"",$F499,"")</f>
        <v>Apprenant 487 ou 487'</v>
      </c>
      <c r="BG499" s="55" t="str">
        <f aca="false">IF(AND($AW499&lt;&gt;"",$AX499&lt;&gt;""),$AX499-$AW499,"")</f>
        <v/>
      </c>
      <c r="BH499" s="55" t="str">
        <f aca="false">IF(AND($AW499&lt;&gt;"",$AY499&lt;&gt;""),$AY499-$AW499,"")</f>
        <v/>
      </c>
      <c r="BI499" s="55" t="str">
        <f aca="false">IF(AND($AX499&lt;&gt;"",$AY499&lt;&gt;""),$AY499-$AX499,"")</f>
        <v/>
      </c>
      <c r="BJ499" s="53" t="str">
        <f aca="false">IF($J499&lt;&gt;"",$J499,"")</f>
        <v/>
      </c>
      <c r="BL499" s="52"/>
      <c r="BM499" s="52" t="str">
        <f aca="false">IF(OR(COUNT(B499:D1498)=0,AND('Choix pédagogiques'!$C$3&lt;&gt;1,'Choix pédagogiques'!$C$3&lt;&gt;2)),"",IF(AND(OR('Choix pédagogiques'!$C$3=1,'Choix pédagogiques'!$C$3=2),$B499&lt;&gt;"",$C499&lt;&gt;"",$D499&lt;&gt;""),1,0))</f>
        <v/>
      </c>
      <c r="BN499" s="52" t="str">
        <f aca="false">IF(OR(COUNT(G499:I1498)=0,AND('Choix pédagogiques'!$C$3&lt;&gt;1,'Choix pédagogiques'!$C$3&lt;&gt;2)),"",IF(AND(OR('Choix pédagogiques'!$C$3=1,'Choix pédagogiques'!$C$3=2),AND($G499&lt;&gt;"",$H499&lt;&gt;"",$I499&lt;&gt;"")),1,0))</f>
        <v/>
      </c>
      <c r="BO499" s="52" t="str">
        <f aca="false">IF(OR(COUNT(B499:D1498)=0,COUNT(G499:I1498)=0,'Choix pédagogiques'!C$3&lt;&gt;3),"",IF(AND('Choix pédagogiques'!$C$3=3,$B499&lt;&gt;"",$C499&lt;&gt;"",$D499&lt;&gt;"",$G499&lt;&gt;"",$H499&lt;&gt;"",$I499&lt;&gt;""),1,0))</f>
        <v/>
      </c>
      <c r="BR499" s="52" t="n">
        <v>406</v>
      </c>
      <c r="BS499" s="52" t="n">
        <v>1322</v>
      </c>
    </row>
    <row r="500" s="54" customFormat="true" ht="18" hidden="false" customHeight="true" outlineLevel="0" collapsed="false">
      <c r="A500" s="57" t="s">
        <v>931</v>
      </c>
      <c r="B500" s="51"/>
      <c r="C500" s="51"/>
      <c r="D500" s="51"/>
      <c r="E500" s="51"/>
      <c r="F500" s="57" t="s">
        <v>932</v>
      </c>
      <c r="G500" s="51"/>
      <c r="H500" s="51"/>
      <c r="I500" s="51"/>
      <c r="J500" s="51"/>
      <c r="K500" s="52" t="str">
        <f aca="false">IF($A500&lt;&gt;"",$A500,"")</f>
        <v>Apprenant 488</v>
      </c>
      <c r="L500" s="53" t="str">
        <f aca="false">IF(AND($B500&lt;&gt;"",$C500&lt;&gt;""),$C500-$B500,"")</f>
        <v/>
      </c>
      <c r="M500" s="53" t="str">
        <f aca="false">IF(AND($B500&lt;&gt;"",$D500&lt;&gt;""),$D500-$B500,"")</f>
        <v/>
      </c>
      <c r="N500" s="53" t="str">
        <f aca="false">IF(AND($C500&lt;&gt;"",$D500&lt;&gt;""),$D500-$C500,"")</f>
        <v/>
      </c>
      <c r="O500" s="53" t="str">
        <f aca="false">IF($E500&lt;&gt;"",$E500,"")</f>
        <v/>
      </c>
      <c r="P500" s="52" t="str">
        <f aca="false">IF($F500&lt;&gt;"",$F500,"")</f>
        <v>Apprenant 488 ou 488'</v>
      </c>
      <c r="Q500" s="53" t="str">
        <f aca="false">IF(AND($G500&lt;&gt;"",$H500&lt;&gt;""),$H500-$G500,"")</f>
        <v/>
      </c>
      <c r="R500" s="53" t="str">
        <f aca="false">IF(AND($G500&lt;&gt;"",$I500&lt;&gt;""),$I500-$G500,"")</f>
        <v/>
      </c>
      <c r="S500" s="53" t="str">
        <f aca="false">IF(AND($H500&lt;&gt;"",$I500&lt;&gt;""),$I500-$H500,"")</f>
        <v/>
      </c>
      <c r="T500" s="53" t="str">
        <f aca="false">IF($J500&lt;&gt;"",$J500,"")</f>
        <v/>
      </c>
      <c r="V500" s="52" t="str">
        <f aca="false">IF($A500&lt;&gt;"",$A500,"")</f>
        <v>Apprenant 488</v>
      </c>
      <c r="W500" s="53" t="str">
        <f aca="false">IF(AND(OR('Choix pédagogiques'!$C$3=1,'Choix pédagogiques'!$C$3=2),$BM500=1),B500,IF(AND('Choix pédagogiques'!$C$3=3,$BO500=1),B500,""))</f>
        <v/>
      </c>
      <c r="X500" s="53" t="str">
        <f aca="false">IF(AND(OR('Choix pédagogiques'!$C$3=1,'Choix pédagogiques'!$C$3=2),$BM500=1),C500,IF(AND('Choix pédagogiques'!$C$3=3,$BO500=1),C500,""))</f>
        <v/>
      </c>
      <c r="Y500" s="53" t="str">
        <f aca="false">IF(AND(OR('Choix pédagogiques'!$C$3=1,'Choix pédagogiques'!$C$3=2),$BM500=1),D500,IF(AND('Choix pédagogiques'!$C$3=3,$BO500=1),D500,""))</f>
        <v/>
      </c>
      <c r="Z500" s="53" t="str">
        <f aca="false">IF($E500&lt;&gt;"",$E500,"")</f>
        <v/>
      </c>
      <c r="AA500" s="52" t="str">
        <f aca="false">IF($F500&lt;&gt;"",$F500,"")</f>
        <v>Apprenant 488 ou 488'</v>
      </c>
      <c r="AB500" s="53" t="str">
        <f aca="false">IF(AND(OR('Choix pédagogiques'!$C$3=1,'Choix pédagogiques'!$C$3=2),$BN500=1),G500,IF(AND('Choix pédagogiques'!$C$3=3,$BO500=1),G500,""))</f>
        <v/>
      </c>
      <c r="AC500" s="53" t="str">
        <f aca="false">IF(AND(OR('Choix pédagogiques'!$C$3=1,'Choix pédagogiques'!$C$3=2),$BN500=1),H500,IF(AND('Choix pédagogiques'!$C$3=3,$BO500=1),H500,""))</f>
        <v/>
      </c>
      <c r="AD500" s="53" t="str">
        <f aca="false">IF(AND(OR('Choix pédagogiques'!$C$3=1,'Choix pédagogiques'!$C$3=2),$BN500=1),I500,IF(AND('Choix pédagogiques'!$C$3=3,$BO500=1),I500,""))</f>
        <v/>
      </c>
      <c r="AE500" s="53" t="str">
        <f aca="false">IF($J500&lt;&gt;"",$J500,"")</f>
        <v/>
      </c>
      <c r="AF500" s="52" t="str">
        <f aca="false">IF($A500&lt;&gt;"",$A500,"")</f>
        <v>Apprenant 488</v>
      </c>
      <c r="AG500" s="53" t="str">
        <f aca="false">IF(AND($W500&lt;&gt;"",$X500&lt;&gt;""),$X500-$W500,"")</f>
        <v/>
      </c>
      <c r="AH500" s="53" t="str">
        <f aca="false">IF(AND($W500&lt;&gt;"",$Y500&lt;&gt;""),$Y500-$W500,"")</f>
        <v/>
      </c>
      <c r="AI500" s="53" t="str">
        <f aca="false">IF(AND($X500&lt;&gt;"",$Y500&lt;&gt;""),$Y500-$X500,"")</f>
        <v/>
      </c>
      <c r="AJ500" s="53" t="str">
        <f aca="false">IF($E500&lt;&gt;"",$E500,"")</f>
        <v/>
      </c>
      <c r="AK500" s="52" t="str">
        <f aca="false">IF($F500&lt;&gt;"",$F500,"")</f>
        <v>Apprenant 488 ou 488'</v>
      </c>
      <c r="AL500" s="53" t="str">
        <f aca="false">IF(AND($AB500&lt;&gt;"",$AC500&lt;&gt;""),$AC500-$AB500,"")</f>
        <v/>
      </c>
      <c r="AM500" s="53" t="str">
        <f aca="false">IF(AND($AB500&lt;&gt;"",$AD500&lt;&gt;""),$AD500-$AB500,"")</f>
        <v/>
      </c>
      <c r="AN500" s="53" t="str">
        <f aca="false">IF(AND($AC500&lt;&gt;"",$AD500&lt;&gt;""),$AD500-$AC500,"")</f>
        <v/>
      </c>
      <c r="AO500" s="53" t="str">
        <f aca="false">IF($J500&lt;&gt;"",$J500,"")</f>
        <v/>
      </c>
      <c r="AQ500" s="52" t="str">
        <f aca="false">IF($A500&lt;&gt;"",$A500,"")</f>
        <v>Apprenant 488</v>
      </c>
      <c r="AR500" s="55" t="str">
        <f aca="false">IF(AND('Choix pédagogiques'!$C$4&lt;&gt;"?",'Choix pédagogiques'!$C$5&lt;&gt;"?",W500&lt;&gt;""),(W500-'Choix pédagogiques'!$C$4)/('Choix pédagogiques'!$C$5-'Choix pédagogiques'!$C$4),"")</f>
        <v/>
      </c>
      <c r="AS500" s="55" t="str">
        <f aca="false">IF(AND('Choix pédagogiques'!$C$4&lt;&gt;"?",'Choix pédagogiques'!$C$5&lt;&gt;"?",X500&lt;&gt;""),(X500-'Choix pédagogiques'!$C$4)/('Choix pédagogiques'!$C$5-'Choix pédagogiques'!$C$4),"")</f>
        <v/>
      </c>
      <c r="AT500" s="55" t="str">
        <f aca="false">IF(AND('Choix pédagogiques'!$C$4&lt;&gt;"?",'Choix pédagogiques'!$C$5&lt;&gt;"?",Y500&lt;&gt;""),(Y500-'Choix pédagogiques'!$C$4)/('Choix pédagogiques'!$C$5-'Choix pédagogiques'!$C$4),"")</f>
        <v/>
      </c>
      <c r="AU500" s="53" t="str">
        <f aca="false">IF($E500&lt;&gt;"",$E500,"")</f>
        <v/>
      </c>
      <c r="AV500" s="52" t="str">
        <f aca="false">IF($F500&lt;&gt;"",$F500,"")</f>
        <v>Apprenant 488 ou 488'</v>
      </c>
      <c r="AW500" s="55" t="str">
        <f aca="false">IF(AND('Choix pédagogiques'!$C$4&lt;&gt;"?",'Choix pédagogiques'!$C$5&lt;&gt;"?",AB500&lt;&gt;""),(AB500-'Choix pédagogiques'!$C$4)/('Choix pédagogiques'!$C$5-'Choix pédagogiques'!$C$4),"")</f>
        <v/>
      </c>
      <c r="AX500" s="55" t="str">
        <f aca="false">IF(AND('Choix pédagogiques'!$C$4&lt;&gt;"?",'Choix pédagogiques'!$C$5&lt;&gt;"?",AC500&lt;&gt;""),(AC500-'Choix pédagogiques'!$C$4)/('Choix pédagogiques'!$C$5-'Choix pédagogiques'!$C$4),"")</f>
        <v/>
      </c>
      <c r="AY500" s="55" t="str">
        <f aca="false">IF(AND('Choix pédagogiques'!$C$4&lt;&gt;"?",'Choix pédagogiques'!$C$5&lt;&gt;"?",AD500&lt;&gt;""),(AD500-'Choix pédagogiques'!$C$4)/('Choix pédagogiques'!$C$5-'Choix pédagogiques'!$C$4),"")</f>
        <v/>
      </c>
      <c r="AZ500" s="53" t="str">
        <f aca="false">IF($J500&lt;&gt;"",$J500,"")</f>
        <v/>
      </c>
      <c r="BA500" s="52" t="str">
        <f aca="false">IF($A500&lt;&gt;"",$A500,"")</f>
        <v>Apprenant 488</v>
      </c>
      <c r="BB500" s="55" t="str">
        <f aca="false">IF(AND($AR500&lt;&gt;"",$AS500&lt;&gt;""),$AS500-$AR500,"")</f>
        <v/>
      </c>
      <c r="BC500" s="55" t="str">
        <f aca="false">IF(AND($AR500&lt;&gt;"",$AT500&lt;&gt;""),$AT500-$AR500,"")</f>
        <v/>
      </c>
      <c r="BD500" s="55" t="str">
        <f aca="false">IF(AND($AS500&lt;&gt;"",$AT500&lt;&gt;""),$AT500-$AS500,"")</f>
        <v/>
      </c>
      <c r="BE500" s="53" t="str">
        <f aca="false">IF($E500&lt;&gt;"",$E500,"")</f>
        <v/>
      </c>
      <c r="BF500" s="52" t="str">
        <f aca="false">IF($F500&lt;&gt;"",$F500,"")</f>
        <v>Apprenant 488 ou 488'</v>
      </c>
      <c r="BG500" s="55" t="str">
        <f aca="false">IF(AND($AW500&lt;&gt;"",$AX500&lt;&gt;""),$AX500-$AW500,"")</f>
        <v/>
      </c>
      <c r="BH500" s="55" t="str">
        <f aca="false">IF(AND($AW500&lt;&gt;"",$AY500&lt;&gt;""),$AY500-$AW500,"")</f>
        <v/>
      </c>
      <c r="BI500" s="55" t="str">
        <f aca="false">IF(AND($AX500&lt;&gt;"",$AY500&lt;&gt;""),$AY500-$AX500,"")</f>
        <v/>
      </c>
      <c r="BJ500" s="53" t="str">
        <f aca="false">IF($J500&lt;&gt;"",$J500,"")</f>
        <v/>
      </c>
      <c r="BL500" s="52"/>
      <c r="BM500" s="52" t="str">
        <f aca="false">IF(OR(COUNT(B500:D1499)=0,AND('Choix pédagogiques'!$C$3&lt;&gt;1,'Choix pédagogiques'!$C$3&lt;&gt;2)),"",IF(AND(OR('Choix pédagogiques'!$C$3=1,'Choix pédagogiques'!$C$3=2),$B500&lt;&gt;"",$C500&lt;&gt;"",$D500&lt;&gt;""),1,0))</f>
        <v/>
      </c>
      <c r="BN500" s="52" t="str">
        <f aca="false">IF(OR(COUNT(G500:I1499)=0,AND('Choix pédagogiques'!$C$3&lt;&gt;1,'Choix pédagogiques'!$C$3&lt;&gt;2)),"",IF(AND(OR('Choix pédagogiques'!$C$3=1,'Choix pédagogiques'!$C$3=2),AND($G500&lt;&gt;"",$H500&lt;&gt;"",$I500&lt;&gt;"")),1,0))</f>
        <v/>
      </c>
      <c r="BO500" s="52" t="str">
        <f aca="false">IF(OR(COUNT(B500:D1499)=0,COUNT(G500:I1499)=0,'Choix pédagogiques'!C$3&lt;&gt;3),"",IF(AND('Choix pédagogiques'!$C$3=3,$B500&lt;&gt;"",$C500&lt;&gt;"",$D500&lt;&gt;"",$G500&lt;&gt;"",$H500&lt;&gt;"",$I500&lt;&gt;""),1,0))</f>
        <v/>
      </c>
      <c r="BR500" s="52" t="n">
        <v>292</v>
      </c>
      <c r="BS500" s="52" t="n">
        <v>1698</v>
      </c>
    </row>
    <row r="501" s="54" customFormat="true" ht="18" hidden="false" customHeight="true" outlineLevel="0" collapsed="false">
      <c r="A501" s="57" t="s">
        <v>933</v>
      </c>
      <c r="B501" s="51"/>
      <c r="C501" s="51"/>
      <c r="D501" s="51"/>
      <c r="E501" s="51"/>
      <c r="F501" s="57" t="s">
        <v>934</v>
      </c>
      <c r="G501" s="51"/>
      <c r="H501" s="51"/>
      <c r="I501" s="51"/>
      <c r="J501" s="51"/>
      <c r="K501" s="52" t="str">
        <f aca="false">IF($A501&lt;&gt;"",$A501,"")</f>
        <v>Apprenant 489</v>
      </c>
      <c r="L501" s="53" t="str">
        <f aca="false">IF(AND($B501&lt;&gt;"",$C501&lt;&gt;""),$C501-$B501,"")</f>
        <v/>
      </c>
      <c r="M501" s="53" t="str">
        <f aca="false">IF(AND($B501&lt;&gt;"",$D501&lt;&gt;""),$D501-$B501,"")</f>
        <v/>
      </c>
      <c r="N501" s="53" t="str">
        <f aca="false">IF(AND($C501&lt;&gt;"",$D501&lt;&gt;""),$D501-$C501,"")</f>
        <v/>
      </c>
      <c r="O501" s="53" t="str">
        <f aca="false">IF($E501&lt;&gt;"",$E501,"")</f>
        <v/>
      </c>
      <c r="P501" s="52" t="str">
        <f aca="false">IF($F501&lt;&gt;"",$F501,"")</f>
        <v>Apprenant 489 ou 489'</v>
      </c>
      <c r="Q501" s="53" t="str">
        <f aca="false">IF(AND($G501&lt;&gt;"",$H501&lt;&gt;""),$H501-$G501,"")</f>
        <v/>
      </c>
      <c r="R501" s="53" t="str">
        <f aca="false">IF(AND($G501&lt;&gt;"",$I501&lt;&gt;""),$I501-$G501,"")</f>
        <v/>
      </c>
      <c r="S501" s="53" t="str">
        <f aca="false">IF(AND($H501&lt;&gt;"",$I501&lt;&gt;""),$I501-$H501,"")</f>
        <v/>
      </c>
      <c r="T501" s="53" t="str">
        <f aca="false">IF($J501&lt;&gt;"",$J501,"")</f>
        <v/>
      </c>
      <c r="V501" s="52" t="str">
        <f aca="false">IF($A501&lt;&gt;"",$A501,"")</f>
        <v>Apprenant 489</v>
      </c>
      <c r="W501" s="53" t="str">
        <f aca="false">IF(AND(OR('Choix pédagogiques'!$C$3=1,'Choix pédagogiques'!$C$3=2),$BM501=1),B501,IF(AND('Choix pédagogiques'!$C$3=3,$BO501=1),B501,""))</f>
        <v/>
      </c>
      <c r="X501" s="53" t="str">
        <f aca="false">IF(AND(OR('Choix pédagogiques'!$C$3=1,'Choix pédagogiques'!$C$3=2),$BM501=1),C501,IF(AND('Choix pédagogiques'!$C$3=3,$BO501=1),C501,""))</f>
        <v/>
      </c>
      <c r="Y501" s="53" t="str">
        <f aca="false">IF(AND(OR('Choix pédagogiques'!$C$3=1,'Choix pédagogiques'!$C$3=2),$BM501=1),D501,IF(AND('Choix pédagogiques'!$C$3=3,$BO501=1),D501,""))</f>
        <v/>
      </c>
      <c r="Z501" s="53" t="str">
        <f aca="false">IF($E501&lt;&gt;"",$E501,"")</f>
        <v/>
      </c>
      <c r="AA501" s="52" t="str">
        <f aca="false">IF($F501&lt;&gt;"",$F501,"")</f>
        <v>Apprenant 489 ou 489'</v>
      </c>
      <c r="AB501" s="53" t="str">
        <f aca="false">IF(AND(OR('Choix pédagogiques'!$C$3=1,'Choix pédagogiques'!$C$3=2),$BN501=1),G501,IF(AND('Choix pédagogiques'!$C$3=3,$BO501=1),G501,""))</f>
        <v/>
      </c>
      <c r="AC501" s="53" t="str">
        <f aca="false">IF(AND(OR('Choix pédagogiques'!$C$3=1,'Choix pédagogiques'!$C$3=2),$BN501=1),H501,IF(AND('Choix pédagogiques'!$C$3=3,$BO501=1),H501,""))</f>
        <v/>
      </c>
      <c r="AD501" s="53" t="str">
        <f aca="false">IF(AND(OR('Choix pédagogiques'!$C$3=1,'Choix pédagogiques'!$C$3=2),$BN501=1),I501,IF(AND('Choix pédagogiques'!$C$3=3,$BO501=1),I501,""))</f>
        <v/>
      </c>
      <c r="AE501" s="53" t="str">
        <f aca="false">IF($J501&lt;&gt;"",$J501,"")</f>
        <v/>
      </c>
      <c r="AF501" s="52" t="str">
        <f aca="false">IF($A501&lt;&gt;"",$A501,"")</f>
        <v>Apprenant 489</v>
      </c>
      <c r="AG501" s="53" t="str">
        <f aca="false">IF(AND($W501&lt;&gt;"",$X501&lt;&gt;""),$X501-$W501,"")</f>
        <v/>
      </c>
      <c r="AH501" s="53" t="str">
        <f aca="false">IF(AND($W501&lt;&gt;"",$Y501&lt;&gt;""),$Y501-$W501,"")</f>
        <v/>
      </c>
      <c r="AI501" s="53" t="str">
        <f aca="false">IF(AND($X501&lt;&gt;"",$Y501&lt;&gt;""),$Y501-$X501,"")</f>
        <v/>
      </c>
      <c r="AJ501" s="53" t="str">
        <f aca="false">IF($E501&lt;&gt;"",$E501,"")</f>
        <v/>
      </c>
      <c r="AK501" s="52" t="str">
        <f aca="false">IF($F501&lt;&gt;"",$F501,"")</f>
        <v>Apprenant 489 ou 489'</v>
      </c>
      <c r="AL501" s="53" t="str">
        <f aca="false">IF(AND($AB501&lt;&gt;"",$AC501&lt;&gt;""),$AC501-$AB501,"")</f>
        <v/>
      </c>
      <c r="AM501" s="53" t="str">
        <f aca="false">IF(AND($AB501&lt;&gt;"",$AD501&lt;&gt;""),$AD501-$AB501,"")</f>
        <v/>
      </c>
      <c r="AN501" s="53" t="str">
        <f aca="false">IF(AND($AC501&lt;&gt;"",$AD501&lt;&gt;""),$AD501-$AC501,"")</f>
        <v/>
      </c>
      <c r="AO501" s="53" t="str">
        <f aca="false">IF($J501&lt;&gt;"",$J501,"")</f>
        <v/>
      </c>
      <c r="AQ501" s="52" t="str">
        <f aca="false">IF($A501&lt;&gt;"",$A501,"")</f>
        <v>Apprenant 489</v>
      </c>
      <c r="AR501" s="55" t="str">
        <f aca="false">IF(AND('Choix pédagogiques'!$C$4&lt;&gt;"?",'Choix pédagogiques'!$C$5&lt;&gt;"?",W501&lt;&gt;""),(W501-'Choix pédagogiques'!$C$4)/('Choix pédagogiques'!$C$5-'Choix pédagogiques'!$C$4),"")</f>
        <v/>
      </c>
      <c r="AS501" s="55" t="str">
        <f aca="false">IF(AND('Choix pédagogiques'!$C$4&lt;&gt;"?",'Choix pédagogiques'!$C$5&lt;&gt;"?",X501&lt;&gt;""),(X501-'Choix pédagogiques'!$C$4)/('Choix pédagogiques'!$C$5-'Choix pédagogiques'!$C$4),"")</f>
        <v/>
      </c>
      <c r="AT501" s="55" t="str">
        <f aca="false">IF(AND('Choix pédagogiques'!$C$4&lt;&gt;"?",'Choix pédagogiques'!$C$5&lt;&gt;"?",Y501&lt;&gt;""),(Y501-'Choix pédagogiques'!$C$4)/('Choix pédagogiques'!$C$5-'Choix pédagogiques'!$C$4),"")</f>
        <v/>
      </c>
      <c r="AU501" s="53" t="str">
        <f aca="false">IF($E501&lt;&gt;"",$E501,"")</f>
        <v/>
      </c>
      <c r="AV501" s="52" t="str">
        <f aca="false">IF($F501&lt;&gt;"",$F501,"")</f>
        <v>Apprenant 489 ou 489'</v>
      </c>
      <c r="AW501" s="55" t="str">
        <f aca="false">IF(AND('Choix pédagogiques'!$C$4&lt;&gt;"?",'Choix pédagogiques'!$C$5&lt;&gt;"?",AB501&lt;&gt;""),(AB501-'Choix pédagogiques'!$C$4)/('Choix pédagogiques'!$C$5-'Choix pédagogiques'!$C$4),"")</f>
        <v/>
      </c>
      <c r="AX501" s="55" t="str">
        <f aca="false">IF(AND('Choix pédagogiques'!$C$4&lt;&gt;"?",'Choix pédagogiques'!$C$5&lt;&gt;"?",AC501&lt;&gt;""),(AC501-'Choix pédagogiques'!$C$4)/('Choix pédagogiques'!$C$5-'Choix pédagogiques'!$C$4),"")</f>
        <v/>
      </c>
      <c r="AY501" s="55" t="str">
        <f aca="false">IF(AND('Choix pédagogiques'!$C$4&lt;&gt;"?",'Choix pédagogiques'!$C$5&lt;&gt;"?",AD501&lt;&gt;""),(AD501-'Choix pédagogiques'!$C$4)/('Choix pédagogiques'!$C$5-'Choix pédagogiques'!$C$4),"")</f>
        <v/>
      </c>
      <c r="AZ501" s="53" t="str">
        <f aca="false">IF($J501&lt;&gt;"",$J501,"")</f>
        <v/>
      </c>
      <c r="BA501" s="52" t="str">
        <f aca="false">IF($A501&lt;&gt;"",$A501,"")</f>
        <v>Apprenant 489</v>
      </c>
      <c r="BB501" s="55" t="str">
        <f aca="false">IF(AND($AR501&lt;&gt;"",$AS501&lt;&gt;""),$AS501-$AR501,"")</f>
        <v/>
      </c>
      <c r="BC501" s="55" t="str">
        <f aca="false">IF(AND($AR501&lt;&gt;"",$AT501&lt;&gt;""),$AT501-$AR501,"")</f>
        <v/>
      </c>
      <c r="BD501" s="55" t="str">
        <f aca="false">IF(AND($AS501&lt;&gt;"",$AT501&lt;&gt;""),$AT501-$AS501,"")</f>
        <v/>
      </c>
      <c r="BE501" s="53" t="str">
        <f aca="false">IF($E501&lt;&gt;"",$E501,"")</f>
        <v/>
      </c>
      <c r="BF501" s="52" t="str">
        <f aca="false">IF($F501&lt;&gt;"",$F501,"")</f>
        <v>Apprenant 489 ou 489'</v>
      </c>
      <c r="BG501" s="55" t="str">
        <f aca="false">IF(AND($AW501&lt;&gt;"",$AX501&lt;&gt;""),$AX501-$AW501,"")</f>
        <v/>
      </c>
      <c r="BH501" s="55" t="str">
        <f aca="false">IF(AND($AW501&lt;&gt;"",$AY501&lt;&gt;""),$AY501-$AW501,"")</f>
        <v/>
      </c>
      <c r="BI501" s="55" t="str">
        <f aca="false">IF(AND($AX501&lt;&gt;"",$AY501&lt;&gt;""),$AY501-$AX501,"")</f>
        <v/>
      </c>
      <c r="BJ501" s="53" t="str">
        <f aca="false">IF($J501&lt;&gt;"",$J501,"")</f>
        <v/>
      </c>
      <c r="BL501" s="52"/>
      <c r="BM501" s="52" t="str">
        <f aca="false">IF(OR(COUNT(B501:D1500)=0,AND('Choix pédagogiques'!$C$3&lt;&gt;1,'Choix pédagogiques'!$C$3&lt;&gt;2)),"",IF(AND(OR('Choix pédagogiques'!$C$3=1,'Choix pédagogiques'!$C$3=2),$B501&lt;&gt;"",$C501&lt;&gt;"",$D501&lt;&gt;""),1,0))</f>
        <v/>
      </c>
      <c r="BN501" s="52" t="str">
        <f aca="false">IF(OR(COUNT(G501:I1500)=0,AND('Choix pédagogiques'!$C$3&lt;&gt;1,'Choix pédagogiques'!$C$3&lt;&gt;2)),"",IF(AND(OR('Choix pédagogiques'!$C$3=1,'Choix pédagogiques'!$C$3=2),AND($G501&lt;&gt;"",$H501&lt;&gt;"",$I501&lt;&gt;"")),1,0))</f>
        <v/>
      </c>
      <c r="BO501" s="52" t="str">
        <f aca="false">IF(OR(COUNT(B501:D1500)=0,COUNT(G501:I1500)=0,'Choix pédagogiques'!C$3&lt;&gt;3),"",IF(AND('Choix pédagogiques'!$C$3=3,$B501&lt;&gt;"",$C501&lt;&gt;"",$D501&lt;&gt;"",$G501&lt;&gt;"",$H501&lt;&gt;"",$I501&lt;&gt;""),1,0))</f>
        <v/>
      </c>
      <c r="BR501" s="52" t="n">
        <v>609</v>
      </c>
      <c r="BS501" s="52" t="n">
        <v>1603</v>
      </c>
    </row>
    <row r="502" s="54" customFormat="true" ht="18" hidden="false" customHeight="true" outlineLevel="0" collapsed="false">
      <c r="A502" s="57" t="s">
        <v>935</v>
      </c>
      <c r="B502" s="51"/>
      <c r="C502" s="51"/>
      <c r="D502" s="51"/>
      <c r="E502" s="51"/>
      <c r="F502" s="57" t="s">
        <v>936</v>
      </c>
      <c r="G502" s="51"/>
      <c r="H502" s="51"/>
      <c r="I502" s="51"/>
      <c r="J502" s="51"/>
      <c r="K502" s="52" t="str">
        <f aca="false">IF($A502&lt;&gt;"",$A502,"")</f>
        <v>Apprenant 490</v>
      </c>
      <c r="L502" s="53" t="str">
        <f aca="false">IF(AND($B502&lt;&gt;"",$C502&lt;&gt;""),$C502-$B502,"")</f>
        <v/>
      </c>
      <c r="M502" s="53" t="str">
        <f aca="false">IF(AND($B502&lt;&gt;"",$D502&lt;&gt;""),$D502-$B502,"")</f>
        <v/>
      </c>
      <c r="N502" s="53" t="str">
        <f aca="false">IF(AND($C502&lt;&gt;"",$D502&lt;&gt;""),$D502-$C502,"")</f>
        <v/>
      </c>
      <c r="O502" s="53" t="str">
        <f aca="false">IF($E502&lt;&gt;"",$E502,"")</f>
        <v/>
      </c>
      <c r="P502" s="52" t="str">
        <f aca="false">IF($F502&lt;&gt;"",$F502,"")</f>
        <v>Apprenant 490 ou 490'</v>
      </c>
      <c r="Q502" s="53" t="str">
        <f aca="false">IF(AND($G502&lt;&gt;"",$H502&lt;&gt;""),$H502-$G502,"")</f>
        <v/>
      </c>
      <c r="R502" s="53" t="str">
        <f aca="false">IF(AND($G502&lt;&gt;"",$I502&lt;&gt;""),$I502-$G502,"")</f>
        <v/>
      </c>
      <c r="S502" s="53" t="str">
        <f aca="false">IF(AND($H502&lt;&gt;"",$I502&lt;&gt;""),$I502-$H502,"")</f>
        <v/>
      </c>
      <c r="T502" s="53" t="str">
        <f aca="false">IF($J502&lt;&gt;"",$J502,"")</f>
        <v/>
      </c>
      <c r="V502" s="52" t="str">
        <f aca="false">IF($A502&lt;&gt;"",$A502,"")</f>
        <v>Apprenant 490</v>
      </c>
      <c r="W502" s="53" t="str">
        <f aca="false">IF(AND(OR('Choix pédagogiques'!$C$3=1,'Choix pédagogiques'!$C$3=2),$BM502=1),B502,IF(AND('Choix pédagogiques'!$C$3=3,$BO502=1),B502,""))</f>
        <v/>
      </c>
      <c r="X502" s="53" t="str">
        <f aca="false">IF(AND(OR('Choix pédagogiques'!$C$3=1,'Choix pédagogiques'!$C$3=2),$BM502=1),C502,IF(AND('Choix pédagogiques'!$C$3=3,$BO502=1),C502,""))</f>
        <v/>
      </c>
      <c r="Y502" s="53" t="str">
        <f aca="false">IF(AND(OR('Choix pédagogiques'!$C$3=1,'Choix pédagogiques'!$C$3=2),$BM502=1),D502,IF(AND('Choix pédagogiques'!$C$3=3,$BO502=1),D502,""))</f>
        <v/>
      </c>
      <c r="Z502" s="53" t="str">
        <f aca="false">IF($E502&lt;&gt;"",$E502,"")</f>
        <v/>
      </c>
      <c r="AA502" s="52" t="str">
        <f aca="false">IF($F502&lt;&gt;"",$F502,"")</f>
        <v>Apprenant 490 ou 490'</v>
      </c>
      <c r="AB502" s="53" t="str">
        <f aca="false">IF(AND(OR('Choix pédagogiques'!$C$3=1,'Choix pédagogiques'!$C$3=2),$BN502=1),G502,IF(AND('Choix pédagogiques'!$C$3=3,$BO502=1),G502,""))</f>
        <v/>
      </c>
      <c r="AC502" s="53" t="str">
        <f aca="false">IF(AND(OR('Choix pédagogiques'!$C$3=1,'Choix pédagogiques'!$C$3=2),$BN502=1),H502,IF(AND('Choix pédagogiques'!$C$3=3,$BO502=1),H502,""))</f>
        <v/>
      </c>
      <c r="AD502" s="53" t="str">
        <f aca="false">IF(AND(OR('Choix pédagogiques'!$C$3=1,'Choix pédagogiques'!$C$3=2),$BN502=1),I502,IF(AND('Choix pédagogiques'!$C$3=3,$BO502=1),I502,""))</f>
        <v/>
      </c>
      <c r="AE502" s="53" t="str">
        <f aca="false">IF($J502&lt;&gt;"",$J502,"")</f>
        <v/>
      </c>
      <c r="AF502" s="52" t="str">
        <f aca="false">IF($A502&lt;&gt;"",$A502,"")</f>
        <v>Apprenant 490</v>
      </c>
      <c r="AG502" s="53" t="str">
        <f aca="false">IF(AND($W502&lt;&gt;"",$X502&lt;&gt;""),$X502-$W502,"")</f>
        <v/>
      </c>
      <c r="AH502" s="53" t="str">
        <f aca="false">IF(AND($W502&lt;&gt;"",$Y502&lt;&gt;""),$Y502-$W502,"")</f>
        <v/>
      </c>
      <c r="AI502" s="53" t="str">
        <f aca="false">IF(AND($X502&lt;&gt;"",$Y502&lt;&gt;""),$Y502-$X502,"")</f>
        <v/>
      </c>
      <c r="AJ502" s="53" t="str">
        <f aca="false">IF($E502&lt;&gt;"",$E502,"")</f>
        <v/>
      </c>
      <c r="AK502" s="52" t="str">
        <f aca="false">IF($F502&lt;&gt;"",$F502,"")</f>
        <v>Apprenant 490 ou 490'</v>
      </c>
      <c r="AL502" s="53" t="str">
        <f aca="false">IF(AND($AB502&lt;&gt;"",$AC502&lt;&gt;""),$AC502-$AB502,"")</f>
        <v/>
      </c>
      <c r="AM502" s="53" t="str">
        <f aca="false">IF(AND($AB502&lt;&gt;"",$AD502&lt;&gt;""),$AD502-$AB502,"")</f>
        <v/>
      </c>
      <c r="AN502" s="53" t="str">
        <f aca="false">IF(AND($AC502&lt;&gt;"",$AD502&lt;&gt;""),$AD502-$AC502,"")</f>
        <v/>
      </c>
      <c r="AO502" s="53" t="str">
        <f aca="false">IF($J502&lt;&gt;"",$J502,"")</f>
        <v/>
      </c>
      <c r="AQ502" s="52" t="str">
        <f aca="false">IF($A502&lt;&gt;"",$A502,"")</f>
        <v>Apprenant 490</v>
      </c>
      <c r="AR502" s="55" t="str">
        <f aca="false">IF(AND('Choix pédagogiques'!$C$4&lt;&gt;"?",'Choix pédagogiques'!$C$5&lt;&gt;"?",W502&lt;&gt;""),(W502-'Choix pédagogiques'!$C$4)/('Choix pédagogiques'!$C$5-'Choix pédagogiques'!$C$4),"")</f>
        <v/>
      </c>
      <c r="AS502" s="55" t="str">
        <f aca="false">IF(AND('Choix pédagogiques'!$C$4&lt;&gt;"?",'Choix pédagogiques'!$C$5&lt;&gt;"?",X502&lt;&gt;""),(X502-'Choix pédagogiques'!$C$4)/('Choix pédagogiques'!$C$5-'Choix pédagogiques'!$C$4),"")</f>
        <v/>
      </c>
      <c r="AT502" s="55" t="str">
        <f aca="false">IF(AND('Choix pédagogiques'!$C$4&lt;&gt;"?",'Choix pédagogiques'!$C$5&lt;&gt;"?",Y502&lt;&gt;""),(Y502-'Choix pédagogiques'!$C$4)/('Choix pédagogiques'!$C$5-'Choix pédagogiques'!$C$4),"")</f>
        <v/>
      </c>
      <c r="AU502" s="53" t="str">
        <f aca="false">IF($E502&lt;&gt;"",$E502,"")</f>
        <v/>
      </c>
      <c r="AV502" s="52" t="str">
        <f aca="false">IF($F502&lt;&gt;"",$F502,"")</f>
        <v>Apprenant 490 ou 490'</v>
      </c>
      <c r="AW502" s="55" t="str">
        <f aca="false">IF(AND('Choix pédagogiques'!$C$4&lt;&gt;"?",'Choix pédagogiques'!$C$5&lt;&gt;"?",AB502&lt;&gt;""),(AB502-'Choix pédagogiques'!$C$4)/('Choix pédagogiques'!$C$5-'Choix pédagogiques'!$C$4),"")</f>
        <v/>
      </c>
      <c r="AX502" s="55" t="str">
        <f aca="false">IF(AND('Choix pédagogiques'!$C$4&lt;&gt;"?",'Choix pédagogiques'!$C$5&lt;&gt;"?",AC502&lt;&gt;""),(AC502-'Choix pédagogiques'!$C$4)/('Choix pédagogiques'!$C$5-'Choix pédagogiques'!$C$4),"")</f>
        <v/>
      </c>
      <c r="AY502" s="55" t="str">
        <f aca="false">IF(AND('Choix pédagogiques'!$C$4&lt;&gt;"?",'Choix pédagogiques'!$C$5&lt;&gt;"?",AD502&lt;&gt;""),(AD502-'Choix pédagogiques'!$C$4)/('Choix pédagogiques'!$C$5-'Choix pédagogiques'!$C$4),"")</f>
        <v/>
      </c>
      <c r="AZ502" s="53" t="str">
        <f aca="false">IF($J502&lt;&gt;"",$J502,"")</f>
        <v/>
      </c>
      <c r="BA502" s="52" t="str">
        <f aca="false">IF($A502&lt;&gt;"",$A502,"")</f>
        <v>Apprenant 490</v>
      </c>
      <c r="BB502" s="55" t="str">
        <f aca="false">IF(AND($AR502&lt;&gt;"",$AS502&lt;&gt;""),$AS502-$AR502,"")</f>
        <v/>
      </c>
      <c r="BC502" s="55" t="str">
        <f aca="false">IF(AND($AR502&lt;&gt;"",$AT502&lt;&gt;""),$AT502-$AR502,"")</f>
        <v/>
      </c>
      <c r="BD502" s="55" t="str">
        <f aca="false">IF(AND($AS502&lt;&gt;"",$AT502&lt;&gt;""),$AT502-$AS502,"")</f>
        <v/>
      </c>
      <c r="BE502" s="53" t="str">
        <f aca="false">IF($E502&lt;&gt;"",$E502,"")</f>
        <v/>
      </c>
      <c r="BF502" s="52" t="str">
        <f aca="false">IF($F502&lt;&gt;"",$F502,"")</f>
        <v>Apprenant 490 ou 490'</v>
      </c>
      <c r="BG502" s="55" t="str">
        <f aca="false">IF(AND($AW502&lt;&gt;"",$AX502&lt;&gt;""),$AX502-$AW502,"")</f>
        <v/>
      </c>
      <c r="BH502" s="55" t="str">
        <f aca="false">IF(AND($AW502&lt;&gt;"",$AY502&lt;&gt;""),$AY502-$AW502,"")</f>
        <v/>
      </c>
      <c r="BI502" s="55" t="str">
        <f aca="false">IF(AND($AX502&lt;&gt;"",$AY502&lt;&gt;""),$AY502-$AX502,"")</f>
        <v/>
      </c>
      <c r="BJ502" s="53" t="str">
        <f aca="false">IF($J502&lt;&gt;"",$J502,"")</f>
        <v/>
      </c>
      <c r="BL502" s="52"/>
      <c r="BM502" s="52" t="str">
        <f aca="false">IF(OR(COUNT(B502:D1501)=0,AND('Choix pédagogiques'!$C$3&lt;&gt;1,'Choix pédagogiques'!$C$3&lt;&gt;2)),"",IF(AND(OR('Choix pédagogiques'!$C$3=1,'Choix pédagogiques'!$C$3=2),$B502&lt;&gt;"",$C502&lt;&gt;"",$D502&lt;&gt;""),1,0))</f>
        <v/>
      </c>
      <c r="BN502" s="52" t="str">
        <f aca="false">IF(OR(COUNT(G502:I1501)=0,AND('Choix pédagogiques'!$C$3&lt;&gt;1,'Choix pédagogiques'!$C$3&lt;&gt;2)),"",IF(AND(OR('Choix pédagogiques'!$C$3=1,'Choix pédagogiques'!$C$3=2),AND($G502&lt;&gt;"",$H502&lt;&gt;"",$I502&lt;&gt;"")),1,0))</f>
        <v/>
      </c>
      <c r="BO502" s="52" t="str">
        <f aca="false">IF(OR(COUNT(B502:D1501)=0,COUNT(G502:I1501)=0,'Choix pédagogiques'!C$3&lt;&gt;3),"",IF(AND('Choix pédagogiques'!$C$3=3,$B502&lt;&gt;"",$C502&lt;&gt;"",$D502&lt;&gt;"",$G502&lt;&gt;"",$H502&lt;&gt;"",$I502&lt;&gt;""),1,0))</f>
        <v/>
      </c>
      <c r="BR502" s="52" t="n">
        <v>483</v>
      </c>
      <c r="BS502" s="52" t="n">
        <v>1013</v>
      </c>
    </row>
    <row r="503" s="54" customFormat="true" ht="18" hidden="false" customHeight="true" outlineLevel="0" collapsed="false">
      <c r="A503" s="57" t="s">
        <v>937</v>
      </c>
      <c r="B503" s="51"/>
      <c r="C503" s="51"/>
      <c r="D503" s="51"/>
      <c r="E503" s="51"/>
      <c r="F503" s="57" t="s">
        <v>938</v>
      </c>
      <c r="G503" s="51"/>
      <c r="H503" s="51"/>
      <c r="I503" s="51"/>
      <c r="J503" s="51"/>
      <c r="K503" s="52" t="str">
        <f aca="false">IF($A503&lt;&gt;"",$A503,"")</f>
        <v>Apprenant 491</v>
      </c>
      <c r="L503" s="53" t="str">
        <f aca="false">IF(AND($B503&lt;&gt;"",$C503&lt;&gt;""),$C503-$B503,"")</f>
        <v/>
      </c>
      <c r="M503" s="53" t="str">
        <f aca="false">IF(AND($B503&lt;&gt;"",$D503&lt;&gt;""),$D503-$B503,"")</f>
        <v/>
      </c>
      <c r="N503" s="53" t="str">
        <f aca="false">IF(AND($C503&lt;&gt;"",$D503&lt;&gt;""),$D503-$C503,"")</f>
        <v/>
      </c>
      <c r="O503" s="53" t="str">
        <f aca="false">IF($E503&lt;&gt;"",$E503,"")</f>
        <v/>
      </c>
      <c r="P503" s="52" t="str">
        <f aca="false">IF($F503&lt;&gt;"",$F503,"")</f>
        <v>Apprenant 491 ou 491'</v>
      </c>
      <c r="Q503" s="53" t="str">
        <f aca="false">IF(AND($G503&lt;&gt;"",$H503&lt;&gt;""),$H503-$G503,"")</f>
        <v/>
      </c>
      <c r="R503" s="53" t="str">
        <f aca="false">IF(AND($G503&lt;&gt;"",$I503&lt;&gt;""),$I503-$G503,"")</f>
        <v/>
      </c>
      <c r="S503" s="53" t="str">
        <f aca="false">IF(AND($H503&lt;&gt;"",$I503&lt;&gt;""),$I503-$H503,"")</f>
        <v/>
      </c>
      <c r="T503" s="53" t="str">
        <f aca="false">IF($J503&lt;&gt;"",$J503,"")</f>
        <v/>
      </c>
      <c r="V503" s="52" t="str">
        <f aca="false">IF($A503&lt;&gt;"",$A503,"")</f>
        <v>Apprenant 491</v>
      </c>
      <c r="W503" s="53" t="str">
        <f aca="false">IF(AND(OR('Choix pédagogiques'!$C$3=1,'Choix pédagogiques'!$C$3=2),$BM503=1),B503,IF(AND('Choix pédagogiques'!$C$3=3,$BO503=1),B503,""))</f>
        <v/>
      </c>
      <c r="X503" s="53" t="str">
        <f aca="false">IF(AND(OR('Choix pédagogiques'!$C$3=1,'Choix pédagogiques'!$C$3=2),$BM503=1),C503,IF(AND('Choix pédagogiques'!$C$3=3,$BO503=1),C503,""))</f>
        <v/>
      </c>
      <c r="Y503" s="53" t="str">
        <f aca="false">IF(AND(OR('Choix pédagogiques'!$C$3=1,'Choix pédagogiques'!$C$3=2),$BM503=1),D503,IF(AND('Choix pédagogiques'!$C$3=3,$BO503=1),D503,""))</f>
        <v/>
      </c>
      <c r="Z503" s="53" t="str">
        <f aca="false">IF($E503&lt;&gt;"",$E503,"")</f>
        <v/>
      </c>
      <c r="AA503" s="52" t="str">
        <f aca="false">IF($F503&lt;&gt;"",$F503,"")</f>
        <v>Apprenant 491 ou 491'</v>
      </c>
      <c r="AB503" s="53" t="str">
        <f aca="false">IF(AND(OR('Choix pédagogiques'!$C$3=1,'Choix pédagogiques'!$C$3=2),$BN503=1),G503,IF(AND('Choix pédagogiques'!$C$3=3,$BO503=1),G503,""))</f>
        <v/>
      </c>
      <c r="AC503" s="53" t="str">
        <f aca="false">IF(AND(OR('Choix pédagogiques'!$C$3=1,'Choix pédagogiques'!$C$3=2),$BN503=1),H503,IF(AND('Choix pédagogiques'!$C$3=3,$BO503=1),H503,""))</f>
        <v/>
      </c>
      <c r="AD503" s="53" t="str">
        <f aca="false">IF(AND(OR('Choix pédagogiques'!$C$3=1,'Choix pédagogiques'!$C$3=2),$BN503=1),I503,IF(AND('Choix pédagogiques'!$C$3=3,$BO503=1),I503,""))</f>
        <v/>
      </c>
      <c r="AE503" s="53" t="str">
        <f aca="false">IF($J503&lt;&gt;"",$J503,"")</f>
        <v/>
      </c>
      <c r="AF503" s="52" t="str">
        <f aca="false">IF($A503&lt;&gt;"",$A503,"")</f>
        <v>Apprenant 491</v>
      </c>
      <c r="AG503" s="53" t="str">
        <f aca="false">IF(AND($W503&lt;&gt;"",$X503&lt;&gt;""),$X503-$W503,"")</f>
        <v/>
      </c>
      <c r="AH503" s="53" t="str">
        <f aca="false">IF(AND($W503&lt;&gt;"",$Y503&lt;&gt;""),$Y503-$W503,"")</f>
        <v/>
      </c>
      <c r="AI503" s="53" t="str">
        <f aca="false">IF(AND($X503&lt;&gt;"",$Y503&lt;&gt;""),$Y503-$X503,"")</f>
        <v/>
      </c>
      <c r="AJ503" s="53" t="str">
        <f aca="false">IF($E503&lt;&gt;"",$E503,"")</f>
        <v/>
      </c>
      <c r="AK503" s="52" t="str">
        <f aca="false">IF($F503&lt;&gt;"",$F503,"")</f>
        <v>Apprenant 491 ou 491'</v>
      </c>
      <c r="AL503" s="53" t="str">
        <f aca="false">IF(AND($AB503&lt;&gt;"",$AC503&lt;&gt;""),$AC503-$AB503,"")</f>
        <v/>
      </c>
      <c r="AM503" s="53" t="str">
        <f aca="false">IF(AND($AB503&lt;&gt;"",$AD503&lt;&gt;""),$AD503-$AB503,"")</f>
        <v/>
      </c>
      <c r="AN503" s="53" t="str">
        <f aca="false">IF(AND($AC503&lt;&gt;"",$AD503&lt;&gt;""),$AD503-$AC503,"")</f>
        <v/>
      </c>
      <c r="AO503" s="53" t="str">
        <f aca="false">IF($J503&lt;&gt;"",$J503,"")</f>
        <v/>
      </c>
      <c r="AQ503" s="52" t="str">
        <f aca="false">IF($A503&lt;&gt;"",$A503,"")</f>
        <v>Apprenant 491</v>
      </c>
      <c r="AR503" s="55" t="str">
        <f aca="false">IF(AND('Choix pédagogiques'!$C$4&lt;&gt;"?",'Choix pédagogiques'!$C$5&lt;&gt;"?",W503&lt;&gt;""),(W503-'Choix pédagogiques'!$C$4)/('Choix pédagogiques'!$C$5-'Choix pédagogiques'!$C$4),"")</f>
        <v/>
      </c>
      <c r="AS503" s="55" t="str">
        <f aca="false">IF(AND('Choix pédagogiques'!$C$4&lt;&gt;"?",'Choix pédagogiques'!$C$5&lt;&gt;"?",X503&lt;&gt;""),(X503-'Choix pédagogiques'!$C$4)/('Choix pédagogiques'!$C$5-'Choix pédagogiques'!$C$4),"")</f>
        <v/>
      </c>
      <c r="AT503" s="55" t="str">
        <f aca="false">IF(AND('Choix pédagogiques'!$C$4&lt;&gt;"?",'Choix pédagogiques'!$C$5&lt;&gt;"?",Y503&lt;&gt;""),(Y503-'Choix pédagogiques'!$C$4)/('Choix pédagogiques'!$C$5-'Choix pédagogiques'!$C$4),"")</f>
        <v/>
      </c>
      <c r="AU503" s="53" t="str">
        <f aca="false">IF($E503&lt;&gt;"",$E503,"")</f>
        <v/>
      </c>
      <c r="AV503" s="52" t="str">
        <f aca="false">IF($F503&lt;&gt;"",$F503,"")</f>
        <v>Apprenant 491 ou 491'</v>
      </c>
      <c r="AW503" s="55" t="str">
        <f aca="false">IF(AND('Choix pédagogiques'!$C$4&lt;&gt;"?",'Choix pédagogiques'!$C$5&lt;&gt;"?",AB503&lt;&gt;""),(AB503-'Choix pédagogiques'!$C$4)/('Choix pédagogiques'!$C$5-'Choix pédagogiques'!$C$4),"")</f>
        <v/>
      </c>
      <c r="AX503" s="55" t="str">
        <f aca="false">IF(AND('Choix pédagogiques'!$C$4&lt;&gt;"?",'Choix pédagogiques'!$C$5&lt;&gt;"?",AC503&lt;&gt;""),(AC503-'Choix pédagogiques'!$C$4)/('Choix pédagogiques'!$C$5-'Choix pédagogiques'!$C$4),"")</f>
        <v/>
      </c>
      <c r="AY503" s="55" t="str">
        <f aca="false">IF(AND('Choix pédagogiques'!$C$4&lt;&gt;"?",'Choix pédagogiques'!$C$5&lt;&gt;"?",AD503&lt;&gt;""),(AD503-'Choix pédagogiques'!$C$4)/('Choix pédagogiques'!$C$5-'Choix pédagogiques'!$C$4),"")</f>
        <v/>
      </c>
      <c r="AZ503" s="53" t="str">
        <f aca="false">IF($J503&lt;&gt;"",$J503,"")</f>
        <v/>
      </c>
      <c r="BA503" s="52" t="str">
        <f aca="false">IF($A503&lt;&gt;"",$A503,"")</f>
        <v>Apprenant 491</v>
      </c>
      <c r="BB503" s="55" t="str">
        <f aca="false">IF(AND($AR503&lt;&gt;"",$AS503&lt;&gt;""),$AS503-$AR503,"")</f>
        <v/>
      </c>
      <c r="BC503" s="55" t="str">
        <f aca="false">IF(AND($AR503&lt;&gt;"",$AT503&lt;&gt;""),$AT503-$AR503,"")</f>
        <v/>
      </c>
      <c r="BD503" s="55" t="str">
        <f aca="false">IF(AND($AS503&lt;&gt;"",$AT503&lt;&gt;""),$AT503-$AS503,"")</f>
        <v/>
      </c>
      <c r="BE503" s="53" t="str">
        <f aca="false">IF($E503&lt;&gt;"",$E503,"")</f>
        <v/>
      </c>
      <c r="BF503" s="52" t="str">
        <f aca="false">IF($F503&lt;&gt;"",$F503,"")</f>
        <v>Apprenant 491 ou 491'</v>
      </c>
      <c r="BG503" s="55" t="str">
        <f aca="false">IF(AND($AW503&lt;&gt;"",$AX503&lt;&gt;""),$AX503-$AW503,"")</f>
        <v/>
      </c>
      <c r="BH503" s="55" t="str">
        <f aca="false">IF(AND($AW503&lt;&gt;"",$AY503&lt;&gt;""),$AY503-$AW503,"")</f>
        <v/>
      </c>
      <c r="BI503" s="55" t="str">
        <f aca="false">IF(AND($AX503&lt;&gt;"",$AY503&lt;&gt;""),$AY503-$AX503,"")</f>
        <v/>
      </c>
      <c r="BJ503" s="53" t="str">
        <f aca="false">IF($J503&lt;&gt;"",$J503,"")</f>
        <v/>
      </c>
      <c r="BL503" s="52"/>
      <c r="BM503" s="52" t="str">
        <f aca="false">IF(OR(COUNT(B503:D1502)=0,AND('Choix pédagogiques'!$C$3&lt;&gt;1,'Choix pédagogiques'!$C$3&lt;&gt;2)),"",IF(AND(OR('Choix pédagogiques'!$C$3=1,'Choix pédagogiques'!$C$3=2),$B503&lt;&gt;"",$C503&lt;&gt;"",$D503&lt;&gt;""),1,0))</f>
        <v/>
      </c>
      <c r="BN503" s="52" t="str">
        <f aca="false">IF(OR(COUNT(G503:I1502)=0,AND('Choix pédagogiques'!$C$3&lt;&gt;1,'Choix pédagogiques'!$C$3&lt;&gt;2)),"",IF(AND(OR('Choix pédagogiques'!$C$3=1,'Choix pédagogiques'!$C$3=2),AND($G503&lt;&gt;"",$H503&lt;&gt;"",$I503&lt;&gt;"")),1,0))</f>
        <v/>
      </c>
      <c r="BO503" s="52" t="str">
        <f aca="false">IF(OR(COUNT(B503:D1502)=0,COUNT(G503:I1502)=0,'Choix pédagogiques'!C$3&lt;&gt;3),"",IF(AND('Choix pédagogiques'!$C$3=3,$B503&lt;&gt;"",$C503&lt;&gt;"",$D503&lt;&gt;"",$G503&lt;&gt;"",$H503&lt;&gt;"",$I503&lt;&gt;""),1,0))</f>
        <v/>
      </c>
      <c r="BR503" s="52" t="n">
        <v>244</v>
      </c>
      <c r="BS503" s="52" t="n">
        <v>1158</v>
      </c>
    </row>
    <row r="504" s="54" customFormat="true" ht="18" hidden="false" customHeight="true" outlineLevel="0" collapsed="false">
      <c r="A504" s="57" t="s">
        <v>939</v>
      </c>
      <c r="B504" s="51"/>
      <c r="C504" s="51"/>
      <c r="D504" s="51"/>
      <c r="E504" s="51"/>
      <c r="F504" s="57" t="s">
        <v>940</v>
      </c>
      <c r="G504" s="51"/>
      <c r="H504" s="51"/>
      <c r="I504" s="51"/>
      <c r="J504" s="51"/>
      <c r="K504" s="52" t="str">
        <f aca="false">IF($A504&lt;&gt;"",$A504,"")</f>
        <v>Apprenant 492</v>
      </c>
      <c r="L504" s="53" t="str">
        <f aca="false">IF(AND($B504&lt;&gt;"",$C504&lt;&gt;""),$C504-$B504,"")</f>
        <v/>
      </c>
      <c r="M504" s="53" t="str">
        <f aca="false">IF(AND($B504&lt;&gt;"",$D504&lt;&gt;""),$D504-$B504,"")</f>
        <v/>
      </c>
      <c r="N504" s="53" t="str">
        <f aca="false">IF(AND($C504&lt;&gt;"",$D504&lt;&gt;""),$D504-$C504,"")</f>
        <v/>
      </c>
      <c r="O504" s="53" t="str">
        <f aca="false">IF($E504&lt;&gt;"",$E504,"")</f>
        <v/>
      </c>
      <c r="P504" s="52" t="str">
        <f aca="false">IF($F504&lt;&gt;"",$F504,"")</f>
        <v>Apprenant 492 ou 492'</v>
      </c>
      <c r="Q504" s="53" t="str">
        <f aca="false">IF(AND($G504&lt;&gt;"",$H504&lt;&gt;""),$H504-$G504,"")</f>
        <v/>
      </c>
      <c r="R504" s="53" t="str">
        <f aca="false">IF(AND($G504&lt;&gt;"",$I504&lt;&gt;""),$I504-$G504,"")</f>
        <v/>
      </c>
      <c r="S504" s="53" t="str">
        <f aca="false">IF(AND($H504&lt;&gt;"",$I504&lt;&gt;""),$I504-$H504,"")</f>
        <v/>
      </c>
      <c r="T504" s="53" t="str">
        <f aca="false">IF($J504&lt;&gt;"",$J504,"")</f>
        <v/>
      </c>
      <c r="V504" s="52" t="str">
        <f aca="false">IF($A504&lt;&gt;"",$A504,"")</f>
        <v>Apprenant 492</v>
      </c>
      <c r="W504" s="53" t="str">
        <f aca="false">IF(AND(OR('Choix pédagogiques'!$C$3=1,'Choix pédagogiques'!$C$3=2),$BM504=1),B504,IF(AND('Choix pédagogiques'!$C$3=3,$BO504=1),B504,""))</f>
        <v/>
      </c>
      <c r="X504" s="53" t="str">
        <f aca="false">IF(AND(OR('Choix pédagogiques'!$C$3=1,'Choix pédagogiques'!$C$3=2),$BM504=1),C504,IF(AND('Choix pédagogiques'!$C$3=3,$BO504=1),C504,""))</f>
        <v/>
      </c>
      <c r="Y504" s="53" t="str">
        <f aca="false">IF(AND(OR('Choix pédagogiques'!$C$3=1,'Choix pédagogiques'!$C$3=2),$BM504=1),D504,IF(AND('Choix pédagogiques'!$C$3=3,$BO504=1),D504,""))</f>
        <v/>
      </c>
      <c r="Z504" s="53" t="str">
        <f aca="false">IF($E504&lt;&gt;"",$E504,"")</f>
        <v/>
      </c>
      <c r="AA504" s="52" t="str">
        <f aca="false">IF($F504&lt;&gt;"",$F504,"")</f>
        <v>Apprenant 492 ou 492'</v>
      </c>
      <c r="AB504" s="53" t="str">
        <f aca="false">IF(AND(OR('Choix pédagogiques'!$C$3=1,'Choix pédagogiques'!$C$3=2),$BN504=1),G504,IF(AND('Choix pédagogiques'!$C$3=3,$BO504=1),G504,""))</f>
        <v/>
      </c>
      <c r="AC504" s="53" t="str">
        <f aca="false">IF(AND(OR('Choix pédagogiques'!$C$3=1,'Choix pédagogiques'!$C$3=2),$BN504=1),H504,IF(AND('Choix pédagogiques'!$C$3=3,$BO504=1),H504,""))</f>
        <v/>
      </c>
      <c r="AD504" s="53" t="str">
        <f aca="false">IF(AND(OR('Choix pédagogiques'!$C$3=1,'Choix pédagogiques'!$C$3=2),$BN504=1),I504,IF(AND('Choix pédagogiques'!$C$3=3,$BO504=1),I504,""))</f>
        <v/>
      </c>
      <c r="AE504" s="53" t="str">
        <f aca="false">IF($J504&lt;&gt;"",$J504,"")</f>
        <v/>
      </c>
      <c r="AF504" s="52" t="str">
        <f aca="false">IF($A504&lt;&gt;"",$A504,"")</f>
        <v>Apprenant 492</v>
      </c>
      <c r="AG504" s="53" t="str">
        <f aca="false">IF(AND($W504&lt;&gt;"",$X504&lt;&gt;""),$X504-$W504,"")</f>
        <v/>
      </c>
      <c r="AH504" s="53" t="str">
        <f aca="false">IF(AND($W504&lt;&gt;"",$Y504&lt;&gt;""),$Y504-$W504,"")</f>
        <v/>
      </c>
      <c r="AI504" s="53" t="str">
        <f aca="false">IF(AND($X504&lt;&gt;"",$Y504&lt;&gt;""),$Y504-$X504,"")</f>
        <v/>
      </c>
      <c r="AJ504" s="53" t="str">
        <f aca="false">IF($E504&lt;&gt;"",$E504,"")</f>
        <v/>
      </c>
      <c r="AK504" s="52" t="str">
        <f aca="false">IF($F504&lt;&gt;"",$F504,"")</f>
        <v>Apprenant 492 ou 492'</v>
      </c>
      <c r="AL504" s="53" t="str">
        <f aca="false">IF(AND($AB504&lt;&gt;"",$AC504&lt;&gt;""),$AC504-$AB504,"")</f>
        <v/>
      </c>
      <c r="AM504" s="53" t="str">
        <f aca="false">IF(AND($AB504&lt;&gt;"",$AD504&lt;&gt;""),$AD504-$AB504,"")</f>
        <v/>
      </c>
      <c r="AN504" s="53" t="str">
        <f aca="false">IF(AND($AC504&lt;&gt;"",$AD504&lt;&gt;""),$AD504-$AC504,"")</f>
        <v/>
      </c>
      <c r="AO504" s="53" t="str">
        <f aca="false">IF($J504&lt;&gt;"",$J504,"")</f>
        <v/>
      </c>
      <c r="AQ504" s="52" t="str">
        <f aca="false">IF($A504&lt;&gt;"",$A504,"")</f>
        <v>Apprenant 492</v>
      </c>
      <c r="AR504" s="55" t="str">
        <f aca="false">IF(AND('Choix pédagogiques'!$C$4&lt;&gt;"?",'Choix pédagogiques'!$C$5&lt;&gt;"?",W504&lt;&gt;""),(W504-'Choix pédagogiques'!$C$4)/('Choix pédagogiques'!$C$5-'Choix pédagogiques'!$C$4),"")</f>
        <v/>
      </c>
      <c r="AS504" s="55" t="str">
        <f aca="false">IF(AND('Choix pédagogiques'!$C$4&lt;&gt;"?",'Choix pédagogiques'!$C$5&lt;&gt;"?",X504&lt;&gt;""),(X504-'Choix pédagogiques'!$C$4)/('Choix pédagogiques'!$C$5-'Choix pédagogiques'!$C$4),"")</f>
        <v/>
      </c>
      <c r="AT504" s="55" t="str">
        <f aca="false">IF(AND('Choix pédagogiques'!$C$4&lt;&gt;"?",'Choix pédagogiques'!$C$5&lt;&gt;"?",Y504&lt;&gt;""),(Y504-'Choix pédagogiques'!$C$4)/('Choix pédagogiques'!$C$5-'Choix pédagogiques'!$C$4),"")</f>
        <v/>
      </c>
      <c r="AU504" s="53" t="str">
        <f aca="false">IF($E504&lt;&gt;"",$E504,"")</f>
        <v/>
      </c>
      <c r="AV504" s="52" t="str">
        <f aca="false">IF($F504&lt;&gt;"",$F504,"")</f>
        <v>Apprenant 492 ou 492'</v>
      </c>
      <c r="AW504" s="55" t="str">
        <f aca="false">IF(AND('Choix pédagogiques'!$C$4&lt;&gt;"?",'Choix pédagogiques'!$C$5&lt;&gt;"?",AB504&lt;&gt;""),(AB504-'Choix pédagogiques'!$C$4)/('Choix pédagogiques'!$C$5-'Choix pédagogiques'!$C$4),"")</f>
        <v/>
      </c>
      <c r="AX504" s="55" t="str">
        <f aca="false">IF(AND('Choix pédagogiques'!$C$4&lt;&gt;"?",'Choix pédagogiques'!$C$5&lt;&gt;"?",AC504&lt;&gt;""),(AC504-'Choix pédagogiques'!$C$4)/('Choix pédagogiques'!$C$5-'Choix pédagogiques'!$C$4),"")</f>
        <v/>
      </c>
      <c r="AY504" s="55" t="str">
        <f aca="false">IF(AND('Choix pédagogiques'!$C$4&lt;&gt;"?",'Choix pédagogiques'!$C$5&lt;&gt;"?",AD504&lt;&gt;""),(AD504-'Choix pédagogiques'!$C$4)/('Choix pédagogiques'!$C$5-'Choix pédagogiques'!$C$4),"")</f>
        <v/>
      </c>
      <c r="AZ504" s="53" t="str">
        <f aca="false">IF($J504&lt;&gt;"",$J504,"")</f>
        <v/>
      </c>
      <c r="BA504" s="52" t="str">
        <f aca="false">IF($A504&lt;&gt;"",$A504,"")</f>
        <v>Apprenant 492</v>
      </c>
      <c r="BB504" s="55" t="str">
        <f aca="false">IF(AND($AR504&lt;&gt;"",$AS504&lt;&gt;""),$AS504-$AR504,"")</f>
        <v/>
      </c>
      <c r="BC504" s="55" t="str">
        <f aca="false">IF(AND($AR504&lt;&gt;"",$AT504&lt;&gt;""),$AT504-$AR504,"")</f>
        <v/>
      </c>
      <c r="BD504" s="55" t="str">
        <f aca="false">IF(AND($AS504&lt;&gt;"",$AT504&lt;&gt;""),$AT504-$AS504,"")</f>
        <v/>
      </c>
      <c r="BE504" s="53" t="str">
        <f aca="false">IF($E504&lt;&gt;"",$E504,"")</f>
        <v/>
      </c>
      <c r="BF504" s="52" t="str">
        <f aca="false">IF($F504&lt;&gt;"",$F504,"")</f>
        <v>Apprenant 492 ou 492'</v>
      </c>
      <c r="BG504" s="55" t="str">
        <f aca="false">IF(AND($AW504&lt;&gt;"",$AX504&lt;&gt;""),$AX504-$AW504,"")</f>
        <v/>
      </c>
      <c r="BH504" s="55" t="str">
        <f aca="false">IF(AND($AW504&lt;&gt;"",$AY504&lt;&gt;""),$AY504-$AW504,"")</f>
        <v/>
      </c>
      <c r="BI504" s="55" t="str">
        <f aca="false">IF(AND($AX504&lt;&gt;"",$AY504&lt;&gt;""),$AY504-$AX504,"")</f>
        <v/>
      </c>
      <c r="BJ504" s="53" t="str">
        <f aca="false">IF($J504&lt;&gt;"",$J504,"")</f>
        <v/>
      </c>
      <c r="BL504" s="52"/>
      <c r="BM504" s="52" t="str">
        <f aca="false">IF(OR(COUNT(B504:D1503)=0,AND('Choix pédagogiques'!$C$3&lt;&gt;1,'Choix pédagogiques'!$C$3&lt;&gt;2)),"",IF(AND(OR('Choix pédagogiques'!$C$3=1,'Choix pédagogiques'!$C$3=2),$B504&lt;&gt;"",$C504&lt;&gt;"",$D504&lt;&gt;""),1,0))</f>
        <v/>
      </c>
      <c r="BN504" s="52" t="str">
        <f aca="false">IF(OR(COUNT(G504:I1503)=0,AND('Choix pédagogiques'!$C$3&lt;&gt;1,'Choix pédagogiques'!$C$3&lt;&gt;2)),"",IF(AND(OR('Choix pédagogiques'!$C$3=1,'Choix pédagogiques'!$C$3=2),AND($G504&lt;&gt;"",$H504&lt;&gt;"",$I504&lt;&gt;"")),1,0))</f>
        <v/>
      </c>
      <c r="BO504" s="52" t="str">
        <f aca="false">IF(OR(COUNT(B504:D1503)=0,COUNT(G504:I1503)=0,'Choix pédagogiques'!C$3&lt;&gt;3),"",IF(AND('Choix pédagogiques'!$C$3=3,$B504&lt;&gt;"",$C504&lt;&gt;"",$D504&lt;&gt;"",$G504&lt;&gt;"",$H504&lt;&gt;"",$I504&lt;&gt;""),1,0))</f>
        <v/>
      </c>
      <c r="BR504" s="52" t="n">
        <v>790</v>
      </c>
      <c r="BS504" s="52" t="n">
        <v>1059</v>
      </c>
    </row>
    <row r="505" s="54" customFormat="true" ht="18" hidden="false" customHeight="true" outlineLevel="0" collapsed="false">
      <c r="A505" s="57" t="s">
        <v>941</v>
      </c>
      <c r="B505" s="51"/>
      <c r="C505" s="51"/>
      <c r="D505" s="51"/>
      <c r="E505" s="51"/>
      <c r="F505" s="57" t="s">
        <v>942</v>
      </c>
      <c r="G505" s="51"/>
      <c r="H505" s="51"/>
      <c r="I505" s="51"/>
      <c r="J505" s="51"/>
      <c r="K505" s="52" t="str">
        <f aca="false">IF($A505&lt;&gt;"",$A505,"")</f>
        <v>Apprenant 493</v>
      </c>
      <c r="L505" s="53" t="str">
        <f aca="false">IF(AND($B505&lt;&gt;"",$C505&lt;&gt;""),$C505-$B505,"")</f>
        <v/>
      </c>
      <c r="M505" s="53" t="str">
        <f aca="false">IF(AND($B505&lt;&gt;"",$D505&lt;&gt;""),$D505-$B505,"")</f>
        <v/>
      </c>
      <c r="N505" s="53" t="str">
        <f aca="false">IF(AND($C505&lt;&gt;"",$D505&lt;&gt;""),$D505-$C505,"")</f>
        <v/>
      </c>
      <c r="O505" s="53" t="str">
        <f aca="false">IF($E505&lt;&gt;"",$E505,"")</f>
        <v/>
      </c>
      <c r="P505" s="52" t="str">
        <f aca="false">IF($F505&lt;&gt;"",$F505,"")</f>
        <v>Apprenant 493 ou 493'</v>
      </c>
      <c r="Q505" s="53" t="str">
        <f aca="false">IF(AND($G505&lt;&gt;"",$H505&lt;&gt;""),$H505-$G505,"")</f>
        <v/>
      </c>
      <c r="R505" s="53" t="str">
        <f aca="false">IF(AND($G505&lt;&gt;"",$I505&lt;&gt;""),$I505-$G505,"")</f>
        <v/>
      </c>
      <c r="S505" s="53" t="str">
        <f aca="false">IF(AND($H505&lt;&gt;"",$I505&lt;&gt;""),$I505-$H505,"")</f>
        <v/>
      </c>
      <c r="T505" s="53" t="str">
        <f aca="false">IF($J505&lt;&gt;"",$J505,"")</f>
        <v/>
      </c>
      <c r="V505" s="52" t="str">
        <f aca="false">IF($A505&lt;&gt;"",$A505,"")</f>
        <v>Apprenant 493</v>
      </c>
      <c r="W505" s="53" t="str">
        <f aca="false">IF(AND(OR('Choix pédagogiques'!$C$3=1,'Choix pédagogiques'!$C$3=2),$BM505=1),B505,IF(AND('Choix pédagogiques'!$C$3=3,$BO505=1),B505,""))</f>
        <v/>
      </c>
      <c r="X505" s="53" t="str">
        <f aca="false">IF(AND(OR('Choix pédagogiques'!$C$3=1,'Choix pédagogiques'!$C$3=2),$BM505=1),C505,IF(AND('Choix pédagogiques'!$C$3=3,$BO505=1),C505,""))</f>
        <v/>
      </c>
      <c r="Y505" s="53" t="str">
        <f aca="false">IF(AND(OR('Choix pédagogiques'!$C$3=1,'Choix pédagogiques'!$C$3=2),$BM505=1),D505,IF(AND('Choix pédagogiques'!$C$3=3,$BO505=1),D505,""))</f>
        <v/>
      </c>
      <c r="Z505" s="53" t="str">
        <f aca="false">IF($E505&lt;&gt;"",$E505,"")</f>
        <v/>
      </c>
      <c r="AA505" s="52" t="str">
        <f aca="false">IF($F505&lt;&gt;"",$F505,"")</f>
        <v>Apprenant 493 ou 493'</v>
      </c>
      <c r="AB505" s="53" t="str">
        <f aca="false">IF(AND(OR('Choix pédagogiques'!$C$3=1,'Choix pédagogiques'!$C$3=2),$BN505=1),G505,IF(AND('Choix pédagogiques'!$C$3=3,$BO505=1),G505,""))</f>
        <v/>
      </c>
      <c r="AC505" s="53" t="str">
        <f aca="false">IF(AND(OR('Choix pédagogiques'!$C$3=1,'Choix pédagogiques'!$C$3=2),$BN505=1),H505,IF(AND('Choix pédagogiques'!$C$3=3,$BO505=1),H505,""))</f>
        <v/>
      </c>
      <c r="AD505" s="53" t="str">
        <f aca="false">IF(AND(OR('Choix pédagogiques'!$C$3=1,'Choix pédagogiques'!$C$3=2),$BN505=1),I505,IF(AND('Choix pédagogiques'!$C$3=3,$BO505=1),I505,""))</f>
        <v/>
      </c>
      <c r="AE505" s="53" t="str">
        <f aca="false">IF($J505&lt;&gt;"",$J505,"")</f>
        <v/>
      </c>
      <c r="AF505" s="52" t="str">
        <f aca="false">IF($A505&lt;&gt;"",$A505,"")</f>
        <v>Apprenant 493</v>
      </c>
      <c r="AG505" s="53" t="str">
        <f aca="false">IF(AND($W505&lt;&gt;"",$X505&lt;&gt;""),$X505-$W505,"")</f>
        <v/>
      </c>
      <c r="AH505" s="53" t="str">
        <f aca="false">IF(AND($W505&lt;&gt;"",$Y505&lt;&gt;""),$Y505-$W505,"")</f>
        <v/>
      </c>
      <c r="AI505" s="53" t="str">
        <f aca="false">IF(AND($X505&lt;&gt;"",$Y505&lt;&gt;""),$Y505-$X505,"")</f>
        <v/>
      </c>
      <c r="AJ505" s="53" t="str">
        <f aca="false">IF($E505&lt;&gt;"",$E505,"")</f>
        <v/>
      </c>
      <c r="AK505" s="52" t="str">
        <f aca="false">IF($F505&lt;&gt;"",$F505,"")</f>
        <v>Apprenant 493 ou 493'</v>
      </c>
      <c r="AL505" s="53" t="str">
        <f aca="false">IF(AND($AB505&lt;&gt;"",$AC505&lt;&gt;""),$AC505-$AB505,"")</f>
        <v/>
      </c>
      <c r="AM505" s="53" t="str">
        <f aca="false">IF(AND($AB505&lt;&gt;"",$AD505&lt;&gt;""),$AD505-$AB505,"")</f>
        <v/>
      </c>
      <c r="AN505" s="53" t="str">
        <f aca="false">IF(AND($AC505&lt;&gt;"",$AD505&lt;&gt;""),$AD505-$AC505,"")</f>
        <v/>
      </c>
      <c r="AO505" s="53" t="str">
        <f aca="false">IF($J505&lt;&gt;"",$J505,"")</f>
        <v/>
      </c>
      <c r="AQ505" s="52" t="str">
        <f aca="false">IF($A505&lt;&gt;"",$A505,"")</f>
        <v>Apprenant 493</v>
      </c>
      <c r="AR505" s="55" t="str">
        <f aca="false">IF(AND('Choix pédagogiques'!$C$4&lt;&gt;"?",'Choix pédagogiques'!$C$5&lt;&gt;"?",W505&lt;&gt;""),(W505-'Choix pédagogiques'!$C$4)/('Choix pédagogiques'!$C$5-'Choix pédagogiques'!$C$4),"")</f>
        <v/>
      </c>
      <c r="AS505" s="55" t="str">
        <f aca="false">IF(AND('Choix pédagogiques'!$C$4&lt;&gt;"?",'Choix pédagogiques'!$C$5&lt;&gt;"?",X505&lt;&gt;""),(X505-'Choix pédagogiques'!$C$4)/('Choix pédagogiques'!$C$5-'Choix pédagogiques'!$C$4),"")</f>
        <v/>
      </c>
      <c r="AT505" s="55" t="str">
        <f aca="false">IF(AND('Choix pédagogiques'!$C$4&lt;&gt;"?",'Choix pédagogiques'!$C$5&lt;&gt;"?",Y505&lt;&gt;""),(Y505-'Choix pédagogiques'!$C$4)/('Choix pédagogiques'!$C$5-'Choix pédagogiques'!$C$4),"")</f>
        <v/>
      </c>
      <c r="AU505" s="53" t="str">
        <f aca="false">IF($E505&lt;&gt;"",$E505,"")</f>
        <v/>
      </c>
      <c r="AV505" s="52" t="str">
        <f aca="false">IF($F505&lt;&gt;"",$F505,"")</f>
        <v>Apprenant 493 ou 493'</v>
      </c>
      <c r="AW505" s="55" t="str">
        <f aca="false">IF(AND('Choix pédagogiques'!$C$4&lt;&gt;"?",'Choix pédagogiques'!$C$5&lt;&gt;"?",AB505&lt;&gt;""),(AB505-'Choix pédagogiques'!$C$4)/('Choix pédagogiques'!$C$5-'Choix pédagogiques'!$C$4),"")</f>
        <v/>
      </c>
      <c r="AX505" s="55" t="str">
        <f aca="false">IF(AND('Choix pédagogiques'!$C$4&lt;&gt;"?",'Choix pédagogiques'!$C$5&lt;&gt;"?",AC505&lt;&gt;""),(AC505-'Choix pédagogiques'!$C$4)/('Choix pédagogiques'!$C$5-'Choix pédagogiques'!$C$4),"")</f>
        <v/>
      </c>
      <c r="AY505" s="55" t="str">
        <f aca="false">IF(AND('Choix pédagogiques'!$C$4&lt;&gt;"?",'Choix pédagogiques'!$C$5&lt;&gt;"?",AD505&lt;&gt;""),(AD505-'Choix pédagogiques'!$C$4)/('Choix pédagogiques'!$C$5-'Choix pédagogiques'!$C$4),"")</f>
        <v/>
      </c>
      <c r="AZ505" s="53" t="str">
        <f aca="false">IF($J505&lt;&gt;"",$J505,"")</f>
        <v/>
      </c>
      <c r="BA505" s="52" t="str">
        <f aca="false">IF($A505&lt;&gt;"",$A505,"")</f>
        <v>Apprenant 493</v>
      </c>
      <c r="BB505" s="55" t="str">
        <f aca="false">IF(AND($AR505&lt;&gt;"",$AS505&lt;&gt;""),$AS505-$AR505,"")</f>
        <v/>
      </c>
      <c r="BC505" s="55" t="str">
        <f aca="false">IF(AND($AR505&lt;&gt;"",$AT505&lt;&gt;""),$AT505-$AR505,"")</f>
        <v/>
      </c>
      <c r="BD505" s="55" t="str">
        <f aca="false">IF(AND($AS505&lt;&gt;"",$AT505&lt;&gt;""),$AT505-$AS505,"")</f>
        <v/>
      </c>
      <c r="BE505" s="53" t="str">
        <f aca="false">IF($E505&lt;&gt;"",$E505,"")</f>
        <v/>
      </c>
      <c r="BF505" s="52" t="str">
        <f aca="false">IF($F505&lt;&gt;"",$F505,"")</f>
        <v>Apprenant 493 ou 493'</v>
      </c>
      <c r="BG505" s="55" t="str">
        <f aca="false">IF(AND($AW505&lt;&gt;"",$AX505&lt;&gt;""),$AX505-$AW505,"")</f>
        <v/>
      </c>
      <c r="BH505" s="55" t="str">
        <f aca="false">IF(AND($AW505&lt;&gt;"",$AY505&lt;&gt;""),$AY505-$AW505,"")</f>
        <v/>
      </c>
      <c r="BI505" s="55" t="str">
        <f aca="false">IF(AND($AX505&lt;&gt;"",$AY505&lt;&gt;""),$AY505-$AX505,"")</f>
        <v/>
      </c>
      <c r="BJ505" s="53" t="str">
        <f aca="false">IF($J505&lt;&gt;"",$J505,"")</f>
        <v/>
      </c>
      <c r="BL505" s="52"/>
      <c r="BM505" s="52" t="str">
        <f aca="false">IF(OR(COUNT(B505:D1504)=0,AND('Choix pédagogiques'!$C$3&lt;&gt;1,'Choix pédagogiques'!$C$3&lt;&gt;2)),"",IF(AND(OR('Choix pédagogiques'!$C$3=1,'Choix pédagogiques'!$C$3=2),$B505&lt;&gt;"",$C505&lt;&gt;"",$D505&lt;&gt;""),1,0))</f>
        <v/>
      </c>
      <c r="BN505" s="52" t="str">
        <f aca="false">IF(OR(COUNT(G505:I1504)=0,AND('Choix pédagogiques'!$C$3&lt;&gt;1,'Choix pédagogiques'!$C$3&lt;&gt;2)),"",IF(AND(OR('Choix pédagogiques'!$C$3=1,'Choix pédagogiques'!$C$3=2),AND($G505&lt;&gt;"",$H505&lt;&gt;"",$I505&lt;&gt;"")),1,0))</f>
        <v/>
      </c>
      <c r="BO505" s="52" t="str">
        <f aca="false">IF(OR(COUNT(B505:D1504)=0,COUNT(G505:I1504)=0,'Choix pédagogiques'!C$3&lt;&gt;3),"",IF(AND('Choix pédagogiques'!$C$3=3,$B505&lt;&gt;"",$C505&lt;&gt;"",$D505&lt;&gt;"",$G505&lt;&gt;"",$H505&lt;&gt;"",$I505&lt;&gt;""),1,0))</f>
        <v/>
      </c>
      <c r="BR505" s="52" t="n">
        <v>37</v>
      </c>
      <c r="BS505" s="52" t="n">
        <v>1479</v>
      </c>
    </row>
    <row r="506" s="54" customFormat="true" ht="18" hidden="false" customHeight="true" outlineLevel="0" collapsed="false">
      <c r="A506" s="57" t="s">
        <v>943</v>
      </c>
      <c r="B506" s="51"/>
      <c r="C506" s="51"/>
      <c r="D506" s="51"/>
      <c r="E506" s="51"/>
      <c r="F506" s="57" t="s">
        <v>944</v>
      </c>
      <c r="G506" s="51"/>
      <c r="H506" s="51"/>
      <c r="I506" s="51"/>
      <c r="J506" s="51"/>
      <c r="K506" s="52" t="str">
        <f aca="false">IF($A506&lt;&gt;"",$A506,"")</f>
        <v>Apprenant 494</v>
      </c>
      <c r="L506" s="53" t="str">
        <f aca="false">IF(AND($B506&lt;&gt;"",$C506&lt;&gt;""),$C506-$B506,"")</f>
        <v/>
      </c>
      <c r="M506" s="53" t="str">
        <f aca="false">IF(AND($B506&lt;&gt;"",$D506&lt;&gt;""),$D506-$B506,"")</f>
        <v/>
      </c>
      <c r="N506" s="53" t="str">
        <f aca="false">IF(AND($C506&lt;&gt;"",$D506&lt;&gt;""),$D506-$C506,"")</f>
        <v/>
      </c>
      <c r="O506" s="53" t="str">
        <f aca="false">IF($E506&lt;&gt;"",$E506,"")</f>
        <v/>
      </c>
      <c r="P506" s="52" t="str">
        <f aca="false">IF($F506&lt;&gt;"",$F506,"")</f>
        <v>Apprenant 494 ou 494'</v>
      </c>
      <c r="Q506" s="53" t="str">
        <f aca="false">IF(AND($G506&lt;&gt;"",$H506&lt;&gt;""),$H506-$G506,"")</f>
        <v/>
      </c>
      <c r="R506" s="53" t="str">
        <f aca="false">IF(AND($G506&lt;&gt;"",$I506&lt;&gt;""),$I506-$G506,"")</f>
        <v/>
      </c>
      <c r="S506" s="53" t="str">
        <f aca="false">IF(AND($H506&lt;&gt;"",$I506&lt;&gt;""),$I506-$H506,"")</f>
        <v/>
      </c>
      <c r="T506" s="53" t="str">
        <f aca="false">IF($J506&lt;&gt;"",$J506,"")</f>
        <v/>
      </c>
      <c r="V506" s="52" t="str">
        <f aca="false">IF($A506&lt;&gt;"",$A506,"")</f>
        <v>Apprenant 494</v>
      </c>
      <c r="W506" s="53" t="str">
        <f aca="false">IF(AND(OR('Choix pédagogiques'!$C$3=1,'Choix pédagogiques'!$C$3=2),$BM506=1),B506,IF(AND('Choix pédagogiques'!$C$3=3,$BO506=1),B506,""))</f>
        <v/>
      </c>
      <c r="X506" s="53" t="str">
        <f aca="false">IF(AND(OR('Choix pédagogiques'!$C$3=1,'Choix pédagogiques'!$C$3=2),$BM506=1),C506,IF(AND('Choix pédagogiques'!$C$3=3,$BO506=1),C506,""))</f>
        <v/>
      </c>
      <c r="Y506" s="53" t="str">
        <f aca="false">IF(AND(OR('Choix pédagogiques'!$C$3=1,'Choix pédagogiques'!$C$3=2),$BM506=1),D506,IF(AND('Choix pédagogiques'!$C$3=3,$BO506=1),D506,""))</f>
        <v/>
      </c>
      <c r="Z506" s="53" t="str">
        <f aca="false">IF($E506&lt;&gt;"",$E506,"")</f>
        <v/>
      </c>
      <c r="AA506" s="52" t="str">
        <f aca="false">IF($F506&lt;&gt;"",$F506,"")</f>
        <v>Apprenant 494 ou 494'</v>
      </c>
      <c r="AB506" s="53" t="str">
        <f aca="false">IF(AND(OR('Choix pédagogiques'!$C$3=1,'Choix pédagogiques'!$C$3=2),$BN506=1),G506,IF(AND('Choix pédagogiques'!$C$3=3,$BO506=1),G506,""))</f>
        <v/>
      </c>
      <c r="AC506" s="53" t="str">
        <f aca="false">IF(AND(OR('Choix pédagogiques'!$C$3=1,'Choix pédagogiques'!$C$3=2),$BN506=1),H506,IF(AND('Choix pédagogiques'!$C$3=3,$BO506=1),H506,""))</f>
        <v/>
      </c>
      <c r="AD506" s="53" t="str">
        <f aca="false">IF(AND(OR('Choix pédagogiques'!$C$3=1,'Choix pédagogiques'!$C$3=2),$BN506=1),I506,IF(AND('Choix pédagogiques'!$C$3=3,$BO506=1),I506,""))</f>
        <v/>
      </c>
      <c r="AE506" s="53" t="str">
        <f aca="false">IF($J506&lt;&gt;"",$J506,"")</f>
        <v/>
      </c>
      <c r="AF506" s="52" t="str">
        <f aca="false">IF($A506&lt;&gt;"",$A506,"")</f>
        <v>Apprenant 494</v>
      </c>
      <c r="AG506" s="53" t="str">
        <f aca="false">IF(AND($W506&lt;&gt;"",$X506&lt;&gt;""),$X506-$W506,"")</f>
        <v/>
      </c>
      <c r="AH506" s="53" t="str">
        <f aca="false">IF(AND($W506&lt;&gt;"",$Y506&lt;&gt;""),$Y506-$W506,"")</f>
        <v/>
      </c>
      <c r="AI506" s="53" t="str">
        <f aca="false">IF(AND($X506&lt;&gt;"",$Y506&lt;&gt;""),$Y506-$X506,"")</f>
        <v/>
      </c>
      <c r="AJ506" s="53" t="str">
        <f aca="false">IF($E506&lt;&gt;"",$E506,"")</f>
        <v/>
      </c>
      <c r="AK506" s="52" t="str">
        <f aca="false">IF($F506&lt;&gt;"",$F506,"")</f>
        <v>Apprenant 494 ou 494'</v>
      </c>
      <c r="AL506" s="53" t="str">
        <f aca="false">IF(AND($AB506&lt;&gt;"",$AC506&lt;&gt;""),$AC506-$AB506,"")</f>
        <v/>
      </c>
      <c r="AM506" s="53" t="str">
        <f aca="false">IF(AND($AB506&lt;&gt;"",$AD506&lt;&gt;""),$AD506-$AB506,"")</f>
        <v/>
      </c>
      <c r="AN506" s="53" t="str">
        <f aca="false">IF(AND($AC506&lt;&gt;"",$AD506&lt;&gt;""),$AD506-$AC506,"")</f>
        <v/>
      </c>
      <c r="AO506" s="53" t="str">
        <f aca="false">IF($J506&lt;&gt;"",$J506,"")</f>
        <v/>
      </c>
      <c r="AQ506" s="52" t="str">
        <f aca="false">IF($A506&lt;&gt;"",$A506,"")</f>
        <v>Apprenant 494</v>
      </c>
      <c r="AR506" s="55" t="str">
        <f aca="false">IF(AND('Choix pédagogiques'!$C$4&lt;&gt;"?",'Choix pédagogiques'!$C$5&lt;&gt;"?",W506&lt;&gt;""),(W506-'Choix pédagogiques'!$C$4)/('Choix pédagogiques'!$C$5-'Choix pédagogiques'!$C$4),"")</f>
        <v/>
      </c>
      <c r="AS506" s="55" t="str">
        <f aca="false">IF(AND('Choix pédagogiques'!$C$4&lt;&gt;"?",'Choix pédagogiques'!$C$5&lt;&gt;"?",X506&lt;&gt;""),(X506-'Choix pédagogiques'!$C$4)/('Choix pédagogiques'!$C$5-'Choix pédagogiques'!$C$4),"")</f>
        <v/>
      </c>
      <c r="AT506" s="55" t="str">
        <f aca="false">IF(AND('Choix pédagogiques'!$C$4&lt;&gt;"?",'Choix pédagogiques'!$C$5&lt;&gt;"?",Y506&lt;&gt;""),(Y506-'Choix pédagogiques'!$C$4)/('Choix pédagogiques'!$C$5-'Choix pédagogiques'!$C$4),"")</f>
        <v/>
      </c>
      <c r="AU506" s="53" t="str">
        <f aca="false">IF($E506&lt;&gt;"",$E506,"")</f>
        <v/>
      </c>
      <c r="AV506" s="52" t="str">
        <f aca="false">IF($F506&lt;&gt;"",$F506,"")</f>
        <v>Apprenant 494 ou 494'</v>
      </c>
      <c r="AW506" s="55" t="str">
        <f aca="false">IF(AND('Choix pédagogiques'!$C$4&lt;&gt;"?",'Choix pédagogiques'!$C$5&lt;&gt;"?",AB506&lt;&gt;""),(AB506-'Choix pédagogiques'!$C$4)/('Choix pédagogiques'!$C$5-'Choix pédagogiques'!$C$4),"")</f>
        <v/>
      </c>
      <c r="AX506" s="55" t="str">
        <f aca="false">IF(AND('Choix pédagogiques'!$C$4&lt;&gt;"?",'Choix pédagogiques'!$C$5&lt;&gt;"?",AC506&lt;&gt;""),(AC506-'Choix pédagogiques'!$C$4)/('Choix pédagogiques'!$C$5-'Choix pédagogiques'!$C$4),"")</f>
        <v/>
      </c>
      <c r="AY506" s="55" t="str">
        <f aca="false">IF(AND('Choix pédagogiques'!$C$4&lt;&gt;"?",'Choix pédagogiques'!$C$5&lt;&gt;"?",AD506&lt;&gt;""),(AD506-'Choix pédagogiques'!$C$4)/('Choix pédagogiques'!$C$5-'Choix pédagogiques'!$C$4),"")</f>
        <v/>
      </c>
      <c r="AZ506" s="53" t="str">
        <f aca="false">IF($J506&lt;&gt;"",$J506,"")</f>
        <v/>
      </c>
      <c r="BA506" s="52" t="str">
        <f aca="false">IF($A506&lt;&gt;"",$A506,"")</f>
        <v>Apprenant 494</v>
      </c>
      <c r="BB506" s="55" t="str">
        <f aca="false">IF(AND($AR506&lt;&gt;"",$AS506&lt;&gt;""),$AS506-$AR506,"")</f>
        <v/>
      </c>
      <c r="BC506" s="55" t="str">
        <f aca="false">IF(AND($AR506&lt;&gt;"",$AT506&lt;&gt;""),$AT506-$AR506,"")</f>
        <v/>
      </c>
      <c r="BD506" s="55" t="str">
        <f aca="false">IF(AND($AS506&lt;&gt;"",$AT506&lt;&gt;""),$AT506-$AS506,"")</f>
        <v/>
      </c>
      <c r="BE506" s="53" t="str">
        <f aca="false">IF($E506&lt;&gt;"",$E506,"")</f>
        <v/>
      </c>
      <c r="BF506" s="52" t="str">
        <f aca="false">IF($F506&lt;&gt;"",$F506,"")</f>
        <v>Apprenant 494 ou 494'</v>
      </c>
      <c r="BG506" s="55" t="str">
        <f aca="false">IF(AND($AW506&lt;&gt;"",$AX506&lt;&gt;""),$AX506-$AW506,"")</f>
        <v/>
      </c>
      <c r="BH506" s="55" t="str">
        <f aca="false">IF(AND($AW506&lt;&gt;"",$AY506&lt;&gt;""),$AY506-$AW506,"")</f>
        <v/>
      </c>
      <c r="BI506" s="55" t="str">
        <f aca="false">IF(AND($AX506&lt;&gt;"",$AY506&lt;&gt;""),$AY506-$AX506,"")</f>
        <v/>
      </c>
      <c r="BJ506" s="53" t="str">
        <f aca="false">IF($J506&lt;&gt;"",$J506,"")</f>
        <v/>
      </c>
      <c r="BL506" s="52"/>
      <c r="BM506" s="52" t="str">
        <f aca="false">IF(OR(COUNT(B506:D1505)=0,AND('Choix pédagogiques'!$C$3&lt;&gt;1,'Choix pédagogiques'!$C$3&lt;&gt;2)),"",IF(AND(OR('Choix pédagogiques'!$C$3=1,'Choix pédagogiques'!$C$3=2),$B506&lt;&gt;"",$C506&lt;&gt;"",$D506&lt;&gt;""),1,0))</f>
        <v/>
      </c>
      <c r="BN506" s="52" t="str">
        <f aca="false">IF(OR(COUNT(G506:I1505)=0,AND('Choix pédagogiques'!$C$3&lt;&gt;1,'Choix pédagogiques'!$C$3&lt;&gt;2)),"",IF(AND(OR('Choix pédagogiques'!$C$3=1,'Choix pédagogiques'!$C$3=2),AND($G506&lt;&gt;"",$H506&lt;&gt;"",$I506&lt;&gt;"")),1,0))</f>
        <v/>
      </c>
      <c r="BO506" s="52" t="str">
        <f aca="false">IF(OR(COUNT(B506:D1505)=0,COUNT(G506:I1505)=0,'Choix pédagogiques'!C$3&lt;&gt;3),"",IF(AND('Choix pédagogiques'!$C$3=3,$B506&lt;&gt;"",$C506&lt;&gt;"",$D506&lt;&gt;"",$G506&lt;&gt;"",$H506&lt;&gt;"",$I506&lt;&gt;""),1,0))</f>
        <v/>
      </c>
      <c r="BR506" s="52" t="n">
        <v>449</v>
      </c>
      <c r="BS506" s="52" t="n">
        <v>1591</v>
      </c>
    </row>
    <row r="507" s="54" customFormat="true" ht="18" hidden="false" customHeight="true" outlineLevel="0" collapsed="false">
      <c r="A507" s="57" t="s">
        <v>945</v>
      </c>
      <c r="B507" s="51"/>
      <c r="C507" s="51"/>
      <c r="D507" s="51"/>
      <c r="E507" s="51"/>
      <c r="F507" s="57" t="s">
        <v>946</v>
      </c>
      <c r="G507" s="51"/>
      <c r="H507" s="51"/>
      <c r="I507" s="51"/>
      <c r="J507" s="51"/>
      <c r="K507" s="52" t="str">
        <f aca="false">IF($A507&lt;&gt;"",$A507,"")</f>
        <v>Apprenant 495</v>
      </c>
      <c r="L507" s="53" t="str">
        <f aca="false">IF(AND($B507&lt;&gt;"",$C507&lt;&gt;""),$C507-$B507,"")</f>
        <v/>
      </c>
      <c r="M507" s="53" t="str">
        <f aca="false">IF(AND($B507&lt;&gt;"",$D507&lt;&gt;""),$D507-$B507,"")</f>
        <v/>
      </c>
      <c r="N507" s="53" t="str">
        <f aca="false">IF(AND($C507&lt;&gt;"",$D507&lt;&gt;""),$D507-$C507,"")</f>
        <v/>
      </c>
      <c r="O507" s="53" t="str">
        <f aca="false">IF($E507&lt;&gt;"",$E507,"")</f>
        <v/>
      </c>
      <c r="P507" s="52" t="str">
        <f aca="false">IF($F507&lt;&gt;"",$F507,"")</f>
        <v>Apprenant 495 ou 495'</v>
      </c>
      <c r="Q507" s="53" t="str">
        <f aca="false">IF(AND($G507&lt;&gt;"",$H507&lt;&gt;""),$H507-$G507,"")</f>
        <v/>
      </c>
      <c r="R507" s="53" t="str">
        <f aca="false">IF(AND($G507&lt;&gt;"",$I507&lt;&gt;""),$I507-$G507,"")</f>
        <v/>
      </c>
      <c r="S507" s="53" t="str">
        <f aca="false">IF(AND($H507&lt;&gt;"",$I507&lt;&gt;""),$I507-$H507,"")</f>
        <v/>
      </c>
      <c r="T507" s="53" t="str">
        <f aca="false">IF($J507&lt;&gt;"",$J507,"")</f>
        <v/>
      </c>
      <c r="V507" s="52" t="str">
        <f aca="false">IF($A507&lt;&gt;"",$A507,"")</f>
        <v>Apprenant 495</v>
      </c>
      <c r="W507" s="53" t="str">
        <f aca="false">IF(AND(OR('Choix pédagogiques'!$C$3=1,'Choix pédagogiques'!$C$3=2),$BM507=1),B507,IF(AND('Choix pédagogiques'!$C$3=3,$BO507=1),B507,""))</f>
        <v/>
      </c>
      <c r="X507" s="53" t="str">
        <f aca="false">IF(AND(OR('Choix pédagogiques'!$C$3=1,'Choix pédagogiques'!$C$3=2),$BM507=1),C507,IF(AND('Choix pédagogiques'!$C$3=3,$BO507=1),C507,""))</f>
        <v/>
      </c>
      <c r="Y507" s="53" t="str">
        <f aca="false">IF(AND(OR('Choix pédagogiques'!$C$3=1,'Choix pédagogiques'!$C$3=2),$BM507=1),D507,IF(AND('Choix pédagogiques'!$C$3=3,$BO507=1),D507,""))</f>
        <v/>
      </c>
      <c r="Z507" s="53" t="str">
        <f aca="false">IF($E507&lt;&gt;"",$E507,"")</f>
        <v/>
      </c>
      <c r="AA507" s="52" t="str">
        <f aca="false">IF($F507&lt;&gt;"",$F507,"")</f>
        <v>Apprenant 495 ou 495'</v>
      </c>
      <c r="AB507" s="53" t="str">
        <f aca="false">IF(AND(OR('Choix pédagogiques'!$C$3=1,'Choix pédagogiques'!$C$3=2),$BN507=1),G507,IF(AND('Choix pédagogiques'!$C$3=3,$BO507=1),G507,""))</f>
        <v/>
      </c>
      <c r="AC507" s="53" t="str">
        <f aca="false">IF(AND(OR('Choix pédagogiques'!$C$3=1,'Choix pédagogiques'!$C$3=2),$BN507=1),H507,IF(AND('Choix pédagogiques'!$C$3=3,$BO507=1),H507,""))</f>
        <v/>
      </c>
      <c r="AD507" s="53" t="str">
        <f aca="false">IF(AND(OR('Choix pédagogiques'!$C$3=1,'Choix pédagogiques'!$C$3=2),$BN507=1),I507,IF(AND('Choix pédagogiques'!$C$3=3,$BO507=1),I507,""))</f>
        <v/>
      </c>
      <c r="AE507" s="53" t="str">
        <f aca="false">IF($J507&lt;&gt;"",$J507,"")</f>
        <v/>
      </c>
      <c r="AF507" s="52" t="str">
        <f aca="false">IF($A507&lt;&gt;"",$A507,"")</f>
        <v>Apprenant 495</v>
      </c>
      <c r="AG507" s="53" t="str">
        <f aca="false">IF(AND($W507&lt;&gt;"",$X507&lt;&gt;""),$X507-$W507,"")</f>
        <v/>
      </c>
      <c r="AH507" s="53" t="str">
        <f aca="false">IF(AND($W507&lt;&gt;"",$Y507&lt;&gt;""),$Y507-$W507,"")</f>
        <v/>
      </c>
      <c r="AI507" s="53" t="str">
        <f aca="false">IF(AND($X507&lt;&gt;"",$Y507&lt;&gt;""),$Y507-$X507,"")</f>
        <v/>
      </c>
      <c r="AJ507" s="53" t="str">
        <f aca="false">IF($E507&lt;&gt;"",$E507,"")</f>
        <v/>
      </c>
      <c r="AK507" s="52" t="str">
        <f aca="false">IF($F507&lt;&gt;"",$F507,"")</f>
        <v>Apprenant 495 ou 495'</v>
      </c>
      <c r="AL507" s="53" t="str">
        <f aca="false">IF(AND($AB507&lt;&gt;"",$AC507&lt;&gt;""),$AC507-$AB507,"")</f>
        <v/>
      </c>
      <c r="AM507" s="53" t="str">
        <f aca="false">IF(AND($AB507&lt;&gt;"",$AD507&lt;&gt;""),$AD507-$AB507,"")</f>
        <v/>
      </c>
      <c r="AN507" s="53" t="str">
        <f aca="false">IF(AND($AC507&lt;&gt;"",$AD507&lt;&gt;""),$AD507-$AC507,"")</f>
        <v/>
      </c>
      <c r="AO507" s="53" t="str">
        <f aca="false">IF($J507&lt;&gt;"",$J507,"")</f>
        <v/>
      </c>
      <c r="AQ507" s="52" t="str">
        <f aca="false">IF($A507&lt;&gt;"",$A507,"")</f>
        <v>Apprenant 495</v>
      </c>
      <c r="AR507" s="55" t="str">
        <f aca="false">IF(AND('Choix pédagogiques'!$C$4&lt;&gt;"?",'Choix pédagogiques'!$C$5&lt;&gt;"?",W507&lt;&gt;""),(W507-'Choix pédagogiques'!$C$4)/('Choix pédagogiques'!$C$5-'Choix pédagogiques'!$C$4),"")</f>
        <v/>
      </c>
      <c r="AS507" s="55" t="str">
        <f aca="false">IF(AND('Choix pédagogiques'!$C$4&lt;&gt;"?",'Choix pédagogiques'!$C$5&lt;&gt;"?",X507&lt;&gt;""),(X507-'Choix pédagogiques'!$C$4)/('Choix pédagogiques'!$C$5-'Choix pédagogiques'!$C$4),"")</f>
        <v/>
      </c>
      <c r="AT507" s="55" t="str">
        <f aca="false">IF(AND('Choix pédagogiques'!$C$4&lt;&gt;"?",'Choix pédagogiques'!$C$5&lt;&gt;"?",Y507&lt;&gt;""),(Y507-'Choix pédagogiques'!$C$4)/('Choix pédagogiques'!$C$5-'Choix pédagogiques'!$C$4),"")</f>
        <v/>
      </c>
      <c r="AU507" s="53" t="str">
        <f aca="false">IF($E507&lt;&gt;"",$E507,"")</f>
        <v/>
      </c>
      <c r="AV507" s="52" t="str">
        <f aca="false">IF($F507&lt;&gt;"",$F507,"")</f>
        <v>Apprenant 495 ou 495'</v>
      </c>
      <c r="AW507" s="55" t="str">
        <f aca="false">IF(AND('Choix pédagogiques'!$C$4&lt;&gt;"?",'Choix pédagogiques'!$C$5&lt;&gt;"?",AB507&lt;&gt;""),(AB507-'Choix pédagogiques'!$C$4)/('Choix pédagogiques'!$C$5-'Choix pédagogiques'!$C$4),"")</f>
        <v/>
      </c>
      <c r="AX507" s="55" t="str">
        <f aca="false">IF(AND('Choix pédagogiques'!$C$4&lt;&gt;"?",'Choix pédagogiques'!$C$5&lt;&gt;"?",AC507&lt;&gt;""),(AC507-'Choix pédagogiques'!$C$4)/('Choix pédagogiques'!$C$5-'Choix pédagogiques'!$C$4),"")</f>
        <v/>
      </c>
      <c r="AY507" s="55" t="str">
        <f aca="false">IF(AND('Choix pédagogiques'!$C$4&lt;&gt;"?",'Choix pédagogiques'!$C$5&lt;&gt;"?",AD507&lt;&gt;""),(AD507-'Choix pédagogiques'!$C$4)/('Choix pédagogiques'!$C$5-'Choix pédagogiques'!$C$4),"")</f>
        <v/>
      </c>
      <c r="AZ507" s="53" t="str">
        <f aca="false">IF($J507&lt;&gt;"",$J507,"")</f>
        <v/>
      </c>
      <c r="BA507" s="52" t="str">
        <f aca="false">IF($A507&lt;&gt;"",$A507,"")</f>
        <v>Apprenant 495</v>
      </c>
      <c r="BB507" s="55" t="str">
        <f aca="false">IF(AND($AR507&lt;&gt;"",$AS507&lt;&gt;""),$AS507-$AR507,"")</f>
        <v/>
      </c>
      <c r="BC507" s="55" t="str">
        <f aca="false">IF(AND($AR507&lt;&gt;"",$AT507&lt;&gt;""),$AT507-$AR507,"")</f>
        <v/>
      </c>
      <c r="BD507" s="55" t="str">
        <f aca="false">IF(AND($AS507&lt;&gt;"",$AT507&lt;&gt;""),$AT507-$AS507,"")</f>
        <v/>
      </c>
      <c r="BE507" s="53" t="str">
        <f aca="false">IF($E507&lt;&gt;"",$E507,"")</f>
        <v/>
      </c>
      <c r="BF507" s="52" t="str">
        <f aca="false">IF($F507&lt;&gt;"",$F507,"")</f>
        <v>Apprenant 495 ou 495'</v>
      </c>
      <c r="BG507" s="55" t="str">
        <f aca="false">IF(AND($AW507&lt;&gt;"",$AX507&lt;&gt;""),$AX507-$AW507,"")</f>
        <v/>
      </c>
      <c r="BH507" s="55" t="str">
        <f aca="false">IF(AND($AW507&lt;&gt;"",$AY507&lt;&gt;""),$AY507-$AW507,"")</f>
        <v/>
      </c>
      <c r="BI507" s="55" t="str">
        <f aca="false">IF(AND($AX507&lt;&gt;"",$AY507&lt;&gt;""),$AY507-$AX507,"")</f>
        <v/>
      </c>
      <c r="BJ507" s="53" t="str">
        <f aca="false">IF($J507&lt;&gt;"",$J507,"")</f>
        <v/>
      </c>
      <c r="BL507" s="52"/>
      <c r="BM507" s="52" t="str">
        <f aca="false">IF(OR(COUNT(B507:D1506)=0,AND('Choix pédagogiques'!$C$3&lt;&gt;1,'Choix pédagogiques'!$C$3&lt;&gt;2)),"",IF(AND(OR('Choix pédagogiques'!$C$3=1,'Choix pédagogiques'!$C$3=2),$B507&lt;&gt;"",$C507&lt;&gt;"",$D507&lt;&gt;""),1,0))</f>
        <v/>
      </c>
      <c r="BN507" s="52" t="str">
        <f aca="false">IF(OR(COUNT(G507:I1506)=0,AND('Choix pédagogiques'!$C$3&lt;&gt;1,'Choix pédagogiques'!$C$3&lt;&gt;2)),"",IF(AND(OR('Choix pédagogiques'!$C$3=1,'Choix pédagogiques'!$C$3=2),AND($G507&lt;&gt;"",$H507&lt;&gt;"",$I507&lt;&gt;"")),1,0))</f>
        <v/>
      </c>
      <c r="BO507" s="52" t="str">
        <f aca="false">IF(OR(COUNT(B507:D1506)=0,COUNT(G507:I1506)=0,'Choix pédagogiques'!C$3&lt;&gt;3),"",IF(AND('Choix pédagogiques'!$C$3=3,$B507&lt;&gt;"",$C507&lt;&gt;"",$D507&lt;&gt;"",$G507&lt;&gt;"",$H507&lt;&gt;"",$I507&lt;&gt;""),1,0))</f>
        <v/>
      </c>
      <c r="BR507" s="52" t="n">
        <v>607</v>
      </c>
      <c r="BS507" s="52" t="n">
        <v>1507</v>
      </c>
    </row>
    <row r="508" s="54" customFormat="true" ht="18" hidden="false" customHeight="true" outlineLevel="0" collapsed="false">
      <c r="A508" s="57" t="s">
        <v>947</v>
      </c>
      <c r="B508" s="51"/>
      <c r="C508" s="51"/>
      <c r="D508" s="51"/>
      <c r="E508" s="51"/>
      <c r="F508" s="57" t="s">
        <v>948</v>
      </c>
      <c r="G508" s="51"/>
      <c r="H508" s="51"/>
      <c r="I508" s="51"/>
      <c r="J508" s="51"/>
      <c r="K508" s="52" t="str">
        <f aca="false">IF($A508&lt;&gt;"",$A508,"")</f>
        <v>Apprenant 496</v>
      </c>
      <c r="L508" s="53" t="str">
        <f aca="false">IF(AND($B508&lt;&gt;"",$C508&lt;&gt;""),$C508-$B508,"")</f>
        <v/>
      </c>
      <c r="M508" s="53" t="str">
        <f aca="false">IF(AND($B508&lt;&gt;"",$D508&lt;&gt;""),$D508-$B508,"")</f>
        <v/>
      </c>
      <c r="N508" s="53" t="str">
        <f aca="false">IF(AND($C508&lt;&gt;"",$D508&lt;&gt;""),$D508-$C508,"")</f>
        <v/>
      </c>
      <c r="O508" s="53" t="str">
        <f aca="false">IF($E508&lt;&gt;"",$E508,"")</f>
        <v/>
      </c>
      <c r="P508" s="52" t="str">
        <f aca="false">IF($F508&lt;&gt;"",$F508,"")</f>
        <v>Apprenant 496 ou 496'</v>
      </c>
      <c r="Q508" s="53" t="str">
        <f aca="false">IF(AND($G508&lt;&gt;"",$H508&lt;&gt;""),$H508-$G508,"")</f>
        <v/>
      </c>
      <c r="R508" s="53" t="str">
        <f aca="false">IF(AND($G508&lt;&gt;"",$I508&lt;&gt;""),$I508-$G508,"")</f>
        <v/>
      </c>
      <c r="S508" s="53" t="str">
        <f aca="false">IF(AND($H508&lt;&gt;"",$I508&lt;&gt;""),$I508-$H508,"")</f>
        <v/>
      </c>
      <c r="T508" s="53" t="str">
        <f aca="false">IF($J508&lt;&gt;"",$J508,"")</f>
        <v/>
      </c>
      <c r="V508" s="52" t="str">
        <f aca="false">IF($A508&lt;&gt;"",$A508,"")</f>
        <v>Apprenant 496</v>
      </c>
      <c r="W508" s="53" t="str">
        <f aca="false">IF(AND(OR('Choix pédagogiques'!$C$3=1,'Choix pédagogiques'!$C$3=2),$BM508=1),B508,IF(AND('Choix pédagogiques'!$C$3=3,$BO508=1),B508,""))</f>
        <v/>
      </c>
      <c r="X508" s="53" t="str">
        <f aca="false">IF(AND(OR('Choix pédagogiques'!$C$3=1,'Choix pédagogiques'!$C$3=2),$BM508=1),C508,IF(AND('Choix pédagogiques'!$C$3=3,$BO508=1),C508,""))</f>
        <v/>
      </c>
      <c r="Y508" s="53" t="str">
        <f aca="false">IF(AND(OR('Choix pédagogiques'!$C$3=1,'Choix pédagogiques'!$C$3=2),$BM508=1),D508,IF(AND('Choix pédagogiques'!$C$3=3,$BO508=1),D508,""))</f>
        <v/>
      </c>
      <c r="Z508" s="53" t="str">
        <f aca="false">IF($E508&lt;&gt;"",$E508,"")</f>
        <v/>
      </c>
      <c r="AA508" s="52" t="str">
        <f aca="false">IF($F508&lt;&gt;"",$F508,"")</f>
        <v>Apprenant 496 ou 496'</v>
      </c>
      <c r="AB508" s="53" t="str">
        <f aca="false">IF(AND(OR('Choix pédagogiques'!$C$3=1,'Choix pédagogiques'!$C$3=2),$BN508=1),G508,IF(AND('Choix pédagogiques'!$C$3=3,$BO508=1),G508,""))</f>
        <v/>
      </c>
      <c r="AC508" s="53" t="str">
        <f aca="false">IF(AND(OR('Choix pédagogiques'!$C$3=1,'Choix pédagogiques'!$C$3=2),$BN508=1),H508,IF(AND('Choix pédagogiques'!$C$3=3,$BO508=1),H508,""))</f>
        <v/>
      </c>
      <c r="AD508" s="53" t="str">
        <f aca="false">IF(AND(OR('Choix pédagogiques'!$C$3=1,'Choix pédagogiques'!$C$3=2),$BN508=1),I508,IF(AND('Choix pédagogiques'!$C$3=3,$BO508=1),I508,""))</f>
        <v/>
      </c>
      <c r="AE508" s="53" t="str">
        <f aca="false">IF($J508&lt;&gt;"",$J508,"")</f>
        <v/>
      </c>
      <c r="AF508" s="52" t="str">
        <f aca="false">IF($A508&lt;&gt;"",$A508,"")</f>
        <v>Apprenant 496</v>
      </c>
      <c r="AG508" s="53" t="str">
        <f aca="false">IF(AND($W508&lt;&gt;"",$X508&lt;&gt;""),$X508-$W508,"")</f>
        <v/>
      </c>
      <c r="AH508" s="53" t="str">
        <f aca="false">IF(AND($W508&lt;&gt;"",$Y508&lt;&gt;""),$Y508-$W508,"")</f>
        <v/>
      </c>
      <c r="AI508" s="53" t="str">
        <f aca="false">IF(AND($X508&lt;&gt;"",$Y508&lt;&gt;""),$Y508-$X508,"")</f>
        <v/>
      </c>
      <c r="AJ508" s="53" t="str">
        <f aca="false">IF($E508&lt;&gt;"",$E508,"")</f>
        <v/>
      </c>
      <c r="AK508" s="52" t="str">
        <f aca="false">IF($F508&lt;&gt;"",$F508,"")</f>
        <v>Apprenant 496 ou 496'</v>
      </c>
      <c r="AL508" s="53" t="str">
        <f aca="false">IF(AND($AB508&lt;&gt;"",$AC508&lt;&gt;""),$AC508-$AB508,"")</f>
        <v/>
      </c>
      <c r="AM508" s="53" t="str">
        <f aca="false">IF(AND($AB508&lt;&gt;"",$AD508&lt;&gt;""),$AD508-$AB508,"")</f>
        <v/>
      </c>
      <c r="AN508" s="53" t="str">
        <f aca="false">IF(AND($AC508&lt;&gt;"",$AD508&lt;&gt;""),$AD508-$AC508,"")</f>
        <v/>
      </c>
      <c r="AO508" s="53" t="str">
        <f aca="false">IF($J508&lt;&gt;"",$J508,"")</f>
        <v/>
      </c>
      <c r="AQ508" s="52" t="str">
        <f aca="false">IF($A508&lt;&gt;"",$A508,"")</f>
        <v>Apprenant 496</v>
      </c>
      <c r="AR508" s="55" t="str">
        <f aca="false">IF(AND('Choix pédagogiques'!$C$4&lt;&gt;"?",'Choix pédagogiques'!$C$5&lt;&gt;"?",W508&lt;&gt;""),(W508-'Choix pédagogiques'!$C$4)/('Choix pédagogiques'!$C$5-'Choix pédagogiques'!$C$4),"")</f>
        <v/>
      </c>
      <c r="AS508" s="55" t="str">
        <f aca="false">IF(AND('Choix pédagogiques'!$C$4&lt;&gt;"?",'Choix pédagogiques'!$C$5&lt;&gt;"?",X508&lt;&gt;""),(X508-'Choix pédagogiques'!$C$4)/('Choix pédagogiques'!$C$5-'Choix pédagogiques'!$C$4),"")</f>
        <v/>
      </c>
      <c r="AT508" s="55" t="str">
        <f aca="false">IF(AND('Choix pédagogiques'!$C$4&lt;&gt;"?",'Choix pédagogiques'!$C$5&lt;&gt;"?",Y508&lt;&gt;""),(Y508-'Choix pédagogiques'!$C$4)/('Choix pédagogiques'!$C$5-'Choix pédagogiques'!$C$4),"")</f>
        <v/>
      </c>
      <c r="AU508" s="53" t="str">
        <f aca="false">IF($E508&lt;&gt;"",$E508,"")</f>
        <v/>
      </c>
      <c r="AV508" s="52" t="str">
        <f aca="false">IF($F508&lt;&gt;"",$F508,"")</f>
        <v>Apprenant 496 ou 496'</v>
      </c>
      <c r="AW508" s="55" t="str">
        <f aca="false">IF(AND('Choix pédagogiques'!$C$4&lt;&gt;"?",'Choix pédagogiques'!$C$5&lt;&gt;"?",AB508&lt;&gt;""),(AB508-'Choix pédagogiques'!$C$4)/('Choix pédagogiques'!$C$5-'Choix pédagogiques'!$C$4),"")</f>
        <v/>
      </c>
      <c r="AX508" s="55" t="str">
        <f aca="false">IF(AND('Choix pédagogiques'!$C$4&lt;&gt;"?",'Choix pédagogiques'!$C$5&lt;&gt;"?",AC508&lt;&gt;""),(AC508-'Choix pédagogiques'!$C$4)/('Choix pédagogiques'!$C$5-'Choix pédagogiques'!$C$4),"")</f>
        <v/>
      </c>
      <c r="AY508" s="55" t="str">
        <f aca="false">IF(AND('Choix pédagogiques'!$C$4&lt;&gt;"?",'Choix pédagogiques'!$C$5&lt;&gt;"?",AD508&lt;&gt;""),(AD508-'Choix pédagogiques'!$C$4)/('Choix pédagogiques'!$C$5-'Choix pédagogiques'!$C$4),"")</f>
        <v/>
      </c>
      <c r="AZ508" s="53" t="str">
        <f aca="false">IF($J508&lt;&gt;"",$J508,"")</f>
        <v/>
      </c>
      <c r="BA508" s="52" t="str">
        <f aca="false">IF($A508&lt;&gt;"",$A508,"")</f>
        <v>Apprenant 496</v>
      </c>
      <c r="BB508" s="55" t="str">
        <f aca="false">IF(AND($AR508&lt;&gt;"",$AS508&lt;&gt;""),$AS508-$AR508,"")</f>
        <v/>
      </c>
      <c r="BC508" s="55" t="str">
        <f aca="false">IF(AND($AR508&lt;&gt;"",$AT508&lt;&gt;""),$AT508-$AR508,"")</f>
        <v/>
      </c>
      <c r="BD508" s="55" t="str">
        <f aca="false">IF(AND($AS508&lt;&gt;"",$AT508&lt;&gt;""),$AT508-$AS508,"")</f>
        <v/>
      </c>
      <c r="BE508" s="53" t="str">
        <f aca="false">IF($E508&lt;&gt;"",$E508,"")</f>
        <v/>
      </c>
      <c r="BF508" s="52" t="str">
        <f aca="false">IF($F508&lt;&gt;"",$F508,"")</f>
        <v>Apprenant 496 ou 496'</v>
      </c>
      <c r="BG508" s="55" t="str">
        <f aca="false">IF(AND($AW508&lt;&gt;"",$AX508&lt;&gt;""),$AX508-$AW508,"")</f>
        <v/>
      </c>
      <c r="BH508" s="55" t="str">
        <f aca="false">IF(AND($AW508&lt;&gt;"",$AY508&lt;&gt;""),$AY508-$AW508,"")</f>
        <v/>
      </c>
      <c r="BI508" s="55" t="str">
        <f aca="false">IF(AND($AX508&lt;&gt;"",$AY508&lt;&gt;""),$AY508-$AX508,"")</f>
        <v/>
      </c>
      <c r="BJ508" s="53" t="str">
        <f aca="false">IF($J508&lt;&gt;"",$J508,"")</f>
        <v/>
      </c>
      <c r="BL508" s="52"/>
      <c r="BM508" s="52" t="str">
        <f aca="false">IF(OR(COUNT(B508:D1507)=0,AND('Choix pédagogiques'!$C$3&lt;&gt;1,'Choix pédagogiques'!$C$3&lt;&gt;2)),"",IF(AND(OR('Choix pédagogiques'!$C$3=1,'Choix pédagogiques'!$C$3=2),$B508&lt;&gt;"",$C508&lt;&gt;"",$D508&lt;&gt;""),1,0))</f>
        <v/>
      </c>
      <c r="BN508" s="52" t="str">
        <f aca="false">IF(OR(COUNT(G508:I1507)=0,AND('Choix pédagogiques'!$C$3&lt;&gt;1,'Choix pédagogiques'!$C$3&lt;&gt;2)),"",IF(AND(OR('Choix pédagogiques'!$C$3=1,'Choix pédagogiques'!$C$3=2),AND($G508&lt;&gt;"",$H508&lt;&gt;"",$I508&lt;&gt;"")),1,0))</f>
        <v/>
      </c>
      <c r="BO508" s="52" t="str">
        <f aca="false">IF(OR(COUNT(B508:D1507)=0,COUNT(G508:I1507)=0,'Choix pédagogiques'!C$3&lt;&gt;3),"",IF(AND('Choix pédagogiques'!$C$3=3,$B508&lt;&gt;"",$C508&lt;&gt;"",$D508&lt;&gt;"",$G508&lt;&gt;"",$H508&lt;&gt;"",$I508&lt;&gt;""),1,0))</f>
        <v/>
      </c>
      <c r="BR508" s="52" t="n">
        <v>493</v>
      </c>
      <c r="BS508" s="52" t="n">
        <v>1408</v>
      </c>
    </row>
    <row r="509" s="54" customFormat="true" ht="18" hidden="false" customHeight="true" outlineLevel="0" collapsed="false">
      <c r="A509" s="57" t="s">
        <v>949</v>
      </c>
      <c r="B509" s="51"/>
      <c r="C509" s="51"/>
      <c r="D509" s="51"/>
      <c r="E509" s="51"/>
      <c r="F509" s="57" t="s">
        <v>950</v>
      </c>
      <c r="G509" s="51"/>
      <c r="H509" s="51"/>
      <c r="I509" s="51"/>
      <c r="J509" s="51"/>
      <c r="K509" s="52" t="str">
        <f aca="false">IF($A509&lt;&gt;"",$A509,"")</f>
        <v>Apprenant 497</v>
      </c>
      <c r="L509" s="53" t="str">
        <f aca="false">IF(AND($B509&lt;&gt;"",$C509&lt;&gt;""),$C509-$B509,"")</f>
        <v/>
      </c>
      <c r="M509" s="53" t="str">
        <f aca="false">IF(AND($B509&lt;&gt;"",$D509&lt;&gt;""),$D509-$B509,"")</f>
        <v/>
      </c>
      <c r="N509" s="53" t="str">
        <f aca="false">IF(AND($C509&lt;&gt;"",$D509&lt;&gt;""),$D509-$C509,"")</f>
        <v/>
      </c>
      <c r="O509" s="53" t="str">
        <f aca="false">IF($E509&lt;&gt;"",$E509,"")</f>
        <v/>
      </c>
      <c r="P509" s="52" t="str">
        <f aca="false">IF($F509&lt;&gt;"",$F509,"")</f>
        <v>Apprenant 497 ou 497'</v>
      </c>
      <c r="Q509" s="53" t="str">
        <f aca="false">IF(AND($G509&lt;&gt;"",$H509&lt;&gt;""),$H509-$G509,"")</f>
        <v/>
      </c>
      <c r="R509" s="53" t="str">
        <f aca="false">IF(AND($G509&lt;&gt;"",$I509&lt;&gt;""),$I509-$G509,"")</f>
        <v/>
      </c>
      <c r="S509" s="53" t="str">
        <f aca="false">IF(AND($H509&lt;&gt;"",$I509&lt;&gt;""),$I509-$H509,"")</f>
        <v/>
      </c>
      <c r="T509" s="53" t="str">
        <f aca="false">IF($J509&lt;&gt;"",$J509,"")</f>
        <v/>
      </c>
      <c r="V509" s="52" t="str">
        <f aca="false">IF($A509&lt;&gt;"",$A509,"")</f>
        <v>Apprenant 497</v>
      </c>
      <c r="W509" s="53" t="str">
        <f aca="false">IF(AND(OR('Choix pédagogiques'!$C$3=1,'Choix pédagogiques'!$C$3=2),$BM509=1),B509,IF(AND('Choix pédagogiques'!$C$3=3,$BO509=1),B509,""))</f>
        <v/>
      </c>
      <c r="X509" s="53" t="str">
        <f aca="false">IF(AND(OR('Choix pédagogiques'!$C$3=1,'Choix pédagogiques'!$C$3=2),$BM509=1),C509,IF(AND('Choix pédagogiques'!$C$3=3,$BO509=1),C509,""))</f>
        <v/>
      </c>
      <c r="Y509" s="53" t="str">
        <f aca="false">IF(AND(OR('Choix pédagogiques'!$C$3=1,'Choix pédagogiques'!$C$3=2),$BM509=1),D509,IF(AND('Choix pédagogiques'!$C$3=3,$BO509=1),D509,""))</f>
        <v/>
      </c>
      <c r="Z509" s="53" t="str">
        <f aca="false">IF($E509&lt;&gt;"",$E509,"")</f>
        <v/>
      </c>
      <c r="AA509" s="52" t="str">
        <f aca="false">IF($F509&lt;&gt;"",$F509,"")</f>
        <v>Apprenant 497 ou 497'</v>
      </c>
      <c r="AB509" s="53" t="str">
        <f aca="false">IF(AND(OR('Choix pédagogiques'!$C$3=1,'Choix pédagogiques'!$C$3=2),$BN509=1),G509,IF(AND('Choix pédagogiques'!$C$3=3,$BO509=1),G509,""))</f>
        <v/>
      </c>
      <c r="AC509" s="53" t="str">
        <f aca="false">IF(AND(OR('Choix pédagogiques'!$C$3=1,'Choix pédagogiques'!$C$3=2),$BN509=1),H509,IF(AND('Choix pédagogiques'!$C$3=3,$BO509=1),H509,""))</f>
        <v/>
      </c>
      <c r="AD509" s="53" t="str">
        <f aca="false">IF(AND(OR('Choix pédagogiques'!$C$3=1,'Choix pédagogiques'!$C$3=2),$BN509=1),I509,IF(AND('Choix pédagogiques'!$C$3=3,$BO509=1),I509,""))</f>
        <v/>
      </c>
      <c r="AE509" s="53" t="str">
        <f aca="false">IF($J509&lt;&gt;"",$J509,"")</f>
        <v/>
      </c>
      <c r="AF509" s="52" t="str">
        <f aca="false">IF($A509&lt;&gt;"",$A509,"")</f>
        <v>Apprenant 497</v>
      </c>
      <c r="AG509" s="53" t="str">
        <f aca="false">IF(AND($W509&lt;&gt;"",$X509&lt;&gt;""),$X509-$W509,"")</f>
        <v/>
      </c>
      <c r="AH509" s="53" t="str">
        <f aca="false">IF(AND($W509&lt;&gt;"",$Y509&lt;&gt;""),$Y509-$W509,"")</f>
        <v/>
      </c>
      <c r="AI509" s="53" t="str">
        <f aca="false">IF(AND($X509&lt;&gt;"",$Y509&lt;&gt;""),$Y509-$X509,"")</f>
        <v/>
      </c>
      <c r="AJ509" s="53" t="str">
        <f aca="false">IF($E509&lt;&gt;"",$E509,"")</f>
        <v/>
      </c>
      <c r="AK509" s="52" t="str">
        <f aca="false">IF($F509&lt;&gt;"",$F509,"")</f>
        <v>Apprenant 497 ou 497'</v>
      </c>
      <c r="AL509" s="53" t="str">
        <f aca="false">IF(AND($AB509&lt;&gt;"",$AC509&lt;&gt;""),$AC509-$AB509,"")</f>
        <v/>
      </c>
      <c r="AM509" s="53" t="str">
        <f aca="false">IF(AND($AB509&lt;&gt;"",$AD509&lt;&gt;""),$AD509-$AB509,"")</f>
        <v/>
      </c>
      <c r="AN509" s="53" t="str">
        <f aca="false">IF(AND($AC509&lt;&gt;"",$AD509&lt;&gt;""),$AD509-$AC509,"")</f>
        <v/>
      </c>
      <c r="AO509" s="53" t="str">
        <f aca="false">IF($J509&lt;&gt;"",$J509,"")</f>
        <v/>
      </c>
      <c r="AQ509" s="52" t="str">
        <f aca="false">IF($A509&lt;&gt;"",$A509,"")</f>
        <v>Apprenant 497</v>
      </c>
      <c r="AR509" s="55" t="str">
        <f aca="false">IF(AND('Choix pédagogiques'!$C$4&lt;&gt;"?",'Choix pédagogiques'!$C$5&lt;&gt;"?",W509&lt;&gt;""),(W509-'Choix pédagogiques'!$C$4)/('Choix pédagogiques'!$C$5-'Choix pédagogiques'!$C$4),"")</f>
        <v/>
      </c>
      <c r="AS509" s="55" t="str">
        <f aca="false">IF(AND('Choix pédagogiques'!$C$4&lt;&gt;"?",'Choix pédagogiques'!$C$5&lt;&gt;"?",X509&lt;&gt;""),(X509-'Choix pédagogiques'!$C$4)/('Choix pédagogiques'!$C$5-'Choix pédagogiques'!$C$4),"")</f>
        <v/>
      </c>
      <c r="AT509" s="55" t="str">
        <f aca="false">IF(AND('Choix pédagogiques'!$C$4&lt;&gt;"?",'Choix pédagogiques'!$C$5&lt;&gt;"?",Y509&lt;&gt;""),(Y509-'Choix pédagogiques'!$C$4)/('Choix pédagogiques'!$C$5-'Choix pédagogiques'!$C$4),"")</f>
        <v/>
      </c>
      <c r="AU509" s="53" t="str">
        <f aca="false">IF($E509&lt;&gt;"",$E509,"")</f>
        <v/>
      </c>
      <c r="AV509" s="52" t="str">
        <f aca="false">IF($F509&lt;&gt;"",$F509,"")</f>
        <v>Apprenant 497 ou 497'</v>
      </c>
      <c r="AW509" s="55" t="str">
        <f aca="false">IF(AND('Choix pédagogiques'!$C$4&lt;&gt;"?",'Choix pédagogiques'!$C$5&lt;&gt;"?",AB509&lt;&gt;""),(AB509-'Choix pédagogiques'!$C$4)/('Choix pédagogiques'!$C$5-'Choix pédagogiques'!$C$4),"")</f>
        <v/>
      </c>
      <c r="AX509" s="55" t="str">
        <f aca="false">IF(AND('Choix pédagogiques'!$C$4&lt;&gt;"?",'Choix pédagogiques'!$C$5&lt;&gt;"?",AC509&lt;&gt;""),(AC509-'Choix pédagogiques'!$C$4)/('Choix pédagogiques'!$C$5-'Choix pédagogiques'!$C$4),"")</f>
        <v/>
      </c>
      <c r="AY509" s="55" t="str">
        <f aca="false">IF(AND('Choix pédagogiques'!$C$4&lt;&gt;"?",'Choix pédagogiques'!$C$5&lt;&gt;"?",AD509&lt;&gt;""),(AD509-'Choix pédagogiques'!$C$4)/('Choix pédagogiques'!$C$5-'Choix pédagogiques'!$C$4),"")</f>
        <v/>
      </c>
      <c r="AZ509" s="53" t="str">
        <f aca="false">IF($J509&lt;&gt;"",$J509,"")</f>
        <v/>
      </c>
      <c r="BA509" s="52" t="str">
        <f aca="false">IF($A509&lt;&gt;"",$A509,"")</f>
        <v>Apprenant 497</v>
      </c>
      <c r="BB509" s="55" t="str">
        <f aca="false">IF(AND($AR509&lt;&gt;"",$AS509&lt;&gt;""),$AS509-$AR509,"")</f>
        <v/>
      </c>
      <c r="BC509" s="55" t="str">
        <f aca="false">IF(AND($AR509&lt;&gt;"",$AT509&lt;&gt;""),$AT509-$AR509,"")</f>
        <v/>
      </c>
      <c r="BD509" s="55" t="str">
        <f aca="false">IF(AND($AS509&lt;&gt;"",$AT509&lt;&gt;""),$AT509-$AS509,"")</f>
        <v/>
      </c>
      <c r="BE509" s="53" t="str">
        <f aca="false">IF($E509&lt;&gt;"",$E509,"")</f>
        <v/>
      </c>
      <c r="BF509" s="52" t="str">
        <f aca="false">IF($F509&lt;&gt;"",$F509,"")</f>
        <v>Apprenant 497 ou 497'</v>
      </c>
      <c r="BG509" s="55" t="str">
        <f aca="false">IF(AND($AW509&lt;&gt;"",$AX509&lt;&gt;""),$AX509-$AW509,"")</f>
        <v/>
      </c>
      <c r="BH509" s="55" t="str">
        <f aca="false">IF(AND($AW509&lt;&gt;"",$AY509&lt;&gt;""),$AY509-$AW509,"")</f>
        <v/>
      </c>
      <c r="BI509" s="55" t="str">
        <f aca="false">IF(AND($AX509&lt;&gt;"",$AY509&lt;&gt;""),$AY509-$AX509,"")</f>
        <v/>
      </c>
      <c r="BJ509" s="53" t="str">
        <f aca="false">IF($J509&lt;&gt;"",$J509,"")</f>
        <v/>
      </c>
      <c r="BL509" s="52"/>
      <c r="BM509" s="52" t="str">
        <f aca="false">IF(OR(COUNT(B509:D1508)=0,AND('Choix pédagogiques'!$C$3&lt;&gt;1,'Choix pédagogiques'!$C$3&lt;&gt;2)),"",IF(AND(OR('Choix pédagogiques'!$C$3=1,'Choix pédagogiques'!$C$3=2),$B509&lt;&gt;"",$C509&lt;&gt;"",$D509&lt;&gt;""),1,0))</f>
        <v/>
      </c>
      <c r="BN509" s="52" t="str">
        <f aca="false">IF(OR(COUNT(G509:I1508)=0,AND('Choix pédagogiques'!$C$3&lt;&gt;1,'Choix pédagogiques'!$C$3&lt;&gt;2)),"",IF(AND(OR('Choix pédagogiques'!$C$3=1,'Choix pédagogiques'!$C$3=2),AND($G509&lt;&gt;"",$H509&lt;&gt;"",$I509&lt;&gt;"")),1,0))</f>
        <v/>
      </c>
      <c r="BO509" s="52" t="str">
        <f aca="false">IF(OR(COUNT(B509:D1508)=0,COUNT(G509:I1508)=0,'Choix pédagogiques'!C$3&lt;&gt;3),"",IF(AND('Choix pédagogiques'!$C$3=3,$B509&lt;&gt;"",$C509&lt;&gt;"",$D509&lt;&gt;"",$G509&lt;&gt;"",$H509&lt;&gt;"",$I509&lt;&gt;""),1,0))</f>
        <v/>
      </c>
      <c r="BR509" s="52" t="n">
        <v>544</v>
      </c>
      <c r="BS509" s="52" t="n">
        <v>1380</v>
      </c>
    </row>
    <row r="510" s="54" customFormat="true" ht="18" hidden="false" customHeight="true" outlineLevel="0" collapsed="false">
      <c r="A510" s="57" t="s">
        <v>951</v>
      </c>
      <c r="B510" s="51"/>
      <c r="C510" s="51"/>
      <c r="D510" s="51"/>
      <c r="E510" s="51"/>
      <c r="F510" s="57" t="s">
        <v>952</v>
      </c>
      <c r="G510" s="51"/>
      <c r="H510" s="51"/>
      <c r="I510" s="51"/>
      <c r="J510" s="51"/>
      <c r="K510" s="52" t="str">
        <f aca="false">IF($A510&lt;&gt;"",$A510,"")</f>
        <v>Apprenant 498</v>
      </c>
      <c r="L510" s="53" t="str">
        <f aca="false">IF(AND($B510&lt;&gt;"",$C510&lt;&gt;""),$C510-$B510,"")</f>
        <v/>
      </c>
      <c r="M510" s="53" t="str">
        <f aca="false">IF(AND($B510&lt;&gt;"",$D510&lt;&gt;""),$D510-$B510,"")</f>
        <v/>
      </c>
      <c r="N510" s="53" t="str">
        <f aca="false">IF(AND($C510&lt;&gt;"",$D510&lt;&gt;""),$D510-$C510,"")</f>
        <v/>
      </c>
      <c r="O510" s="53" t="str">
        <f aca="false">IF($E510&lt;&gt;"",$E510,"")</f>
        <v/>
      </c>
      <c r="P510" s="52" t="str">
        <f aca="false">IF($F510&lt;&gt;"",$F510,"")</f>
        <v>Apprenant 498 ou 498'</v>
      </c>
      <c r="Q510" s="53" t="str">
        <f aca="false">IF(AND($G510&lt;&gt;"",$H510&lt;&gt;""),$H510-$G510,"")</f>
        <v/>
      </c>
      <c r="R510" s="53" t="str">
        <f aca="false">IF(AND($G510&lt;&gt;"",$I510&lt;&gt;""),$I510-$G510,"")</f>
        <v/>
      </c>
      <c r="S510" s="53" t="str">
        <f aca="false">IF(AND($H510&lt;&gt;"",$I510&lt;&gt;""),$I510-$H510,"")</f>
        <v/>
      </c>
      <c r="T510" s="53" t="str">
        <f aca="false">IF($J510&lt;&gt;"",$J510,"")</f>
        <v/>
      </c>
      <c r="V510" s="52" t="str">
        <f aca="false">IF($A510&lt;&gt;"",$A510,"")</f>
        <v>Apprenant 498</v>
      </c>
      <c r="W510" s="53" t="str">
        <f aca="false">IF(AND(OR('Choix pédagogiques'!$C$3=1,'Choix pédagogiques'!$C$3=2),$BM510=1),B510,IF(AND('Choix pédagogiques'!$C$3=3,$BO510=1),B510,""))</f>
        <v/>
      </c>
      <c r="X510" s="53" t="str">
        <f aca="false">IF(AND(OR('Choix pédagogiques'!$C$3=1,'Choix pédagogiques'!$C$3=2),$BM510=1),C510,IF(AND('Choix pédagogiques'!$C$3=3,$BO510=1),C510,""))</f>
        <v/>
      </c>
      <c r="Y510" s="53" t="str">
        <f aca="false">IF(AND(OR('Choix pédagogiques'!$C$3=1,'Choix pédagogiques'!$C$3=2),$BM510=1),D510,IF(AND('Choix pédagogiques'!$C$3=3,$BO510=1),D510,""))</f>
        <v/>
      </c>
      <c r="Z510" s="53" t="str">
        <f aca="false">IF($E510&lt;&gt;"",$E510,"")</f>
        <v/>
      </c>
      <c r="AA510" s="52" t="str">
        <f aca="false">IF($F510&lt;&gt;"",$F510,"")</f>
        <v>Apprenant 498 ou 498'</v>
      </c>
      <c r="AB510" s="53" t="str">
        <f aca="false">IF(AND(OR('Choix pédagogiques'!$C$3=1,'Choix pédagogiques'!$C$3=2),$BN510=1),G510,IF(AND('Choix pédagogiques'!$C$3=3,$BO510=1),G510,""))</f>
        <v/>
      </c>
      <c r="AC510" s="53" t="str">
        <f aca="false">IF(AND(OR('Choix pédagogiques'!$C$3=1,'Choix pédagogiques'!$C$3=2),$BN510=1),H510,IF(AND('Choix pédagogiques'!$C$3=3,$BO510=1),H510,""))</f>
        <v/>
      </c>
      <c r="AD510" s="53" t="str">
        <f aca="false">IF(AND(OR('Choix pédagogiques'!$C$3=1,'Choix pédagogiques'!$C$3=2),$BN510=1),I510,IF(AND('Choix pédagogiques'!$C$3=3,$BO510=1),I510,""))</f>
        <v/>
      </c>
      <c r="AE510" s="53" t="str">
        <f aca="false">IF($J510&lt;&gt;"",$J510,"")</f>
        <v/>
      </c>
      <c r="AF510" s="52" t="str">
        <f aca="false">IF($A510&lt;&gt;"",$A510,"")</f>
        <v>Apprenant 498</v>
      </c>
      <c r="AG510" s="53" t="str">
        <f aca="false">IF(AND($W510&lt;&gt;"",$X510&lt;&gt;""),$X510-$W510,"")</f>
        <v/>
      </c>
      <c r="AH510" s="53" t="str">
        <f aca="false">IF(AND($W510&lt;&gt;"",$Y510&lt;&gt;""),$Y510-$W510,"")</f>
        <v/>
      </c>
      <c r="AI510" s="53" t="str">
        <f aca="false">IF(AND($X510&lt;&gt;"",$Y510&lt;&gt;""),$Y510-$X510,"")</f>
        <v/>
      </c>
      <c r="AJ510" s="53" t="str">
        <f aca="false">IF($E510&lt;&gt;"",$E510,"")</f>
        <v/>
      </c>
      <c r="AK510" s="52" t="str">
        <f aca="false">IF($F510&lt;&gt;"",$F510,"")</f>
        <v>Apprenant 498 ou 498'</v>
      </c>
      <c r="AL510" s="53" t="str">
        <f aca="false">IF(AND($AB510&lt;&gt;"",$AC510&lt;&gt;""),$AC510-$AB510,"")</f>
        <v/>
      </c>
      <c r="AM510" s="53" t="str">
        <f aca="false">IF(AND($AB510&lt;&gt;"",$AD510&lt;&gt;""),$AD510-$AB510,"")</f>
        <v/>
      </c>
      <c r="AN510" s="53" t="str">
        <f aca="false">IF(AND($AC510&lt;&gt;"",$AD510&lt;&gt;""),$AD510-$AC510,"")</f>
        <v/>
      </c>
      <c r="AO510" s="53" t="str">
        <f aca="false">IF($J510&lt;&gt;"",$J510,"")</f>
        <v/>
      </c>
      <c r="AQ510" s="52" t="str">
        <f aca="false">IF($A510&lt;&gt;"",$A510,"")</f>
        <v>Apprenant 498</v>
      </c>
      <c r="AR510" s="55" t="str">
        <f aca="false">IF(AND('Choix pédagogiques'!$C$4&lt;&gt;"?",'Choix pédagogiques'!$C$5&lt;&gt;"?",W510&lt;&gt;""),(W510-'Choix pédagogiques'!$C$4)/('Choix pédagogiques'!$C$5-'Choix pédagogiques'!$C$4),"")</f>
        <v/>
      </c>
      <c r="AS510" s="55" t="str">
        <f aca="false">IF(AND('Choix pédagogiques'!$C$4&lt;&gt;"?",'Choix pédagogiques'!$C$5&lt;&gt;"?",X510&lt;&gt;""),(X510-'Choix pédagogiques'!$C$4)/('Choix pédagogiques'!$C$5-'Choix pédagogiques'!$C$4),"")</f>
        <v/>
      </c>
      <c r="AT510" s="55" t="str">
        <f aca="false">IF(AND('Choix pédagogiques'!$C$4&lt;&gt;"?",'Choix pédagogiques'!$C$5&lt;&gt;"?",Y510&lt;&gt;""),(Y510-'Choix pédagogiques'!$C$4)/('Choix pédagogiques'!$C$5-'Choix pédagogiques'!$C$4),"")</f>
        <v/>
      </c>
      <c r="AU510" s="53" t="str">
        <f aca="false">IF($E510&lt;&gt;"",$E510,"")</f>
        <v/>
      </c>
      <c r="AV510" s="52" t="str">
        <f aca="false">IF($F510&lt;&gt;"",$F510,"")</f>
        <v>Apprenant 498 ou 498'</v>
      </c>
      <c r="AW510" s="55" t="str">
        <f aca="false">IF(AND('Choix pédagogiques'!$C$4&lt;&gt;"?",'Choix pédagogiques'!$C$5&lt;&gt;"?",AB510&lt;&gt;""),(AB510-'Choix pédagogiques'!$C$4)/('Choix pédagogiques'!$C$5-'Choix pédagogiques'!$C$4),"")</f>
        <v/>
      </c>
      <c r="AX510" s="55" t="str">
        <f aca="false">IF(AND('Choix pédagogiques'!$C$4&lt;&gt;"?",'Choix pédagogiques'!$C$5&lt;&gt;"?",AC510&lt;&gt;""),(AC510-'Choix pédagogiques'!$C$4)/('Choix pédagogiques'!$C$5-'Choix pédagogiques'!$C$4),"")</f>
        <v/>
      </c>
      <c r="AY510" s="55" t="str">
        <f aca="false">IF(AND('Choix pédagogiques'!$C$4&lt;&gt;"?",'Choix pédagogiques'!$C$5&lt;&gt;"?",AD510&lt;&gt;""),(AD510-'Choix pédagogiques'!$C$4)/('Choix pédagogiques'!$C$5-'Choix pédagogiques'!$C$4),"")</f>
        <v/>
      </c>
      <c r="AZ510" s="53" t="str">
        <f aca="false">IF($J510&lt;&gt;"",$J510,"")</f>
        <v/>
      </c>
      <c r="BA510" s="52" t="str">
        <f aca="false">IF($A510&lt;&gt;"",$A510,"")</f>
        <v>Apprenant 498</v>
      </c>
      <c r="BB510" s="55" t="str">
        <f aca="false">IF(AND($AR510&lt;&gt;"",$AS510&lt;&gt;""),$AS510-$AR510,"")</f>
        <v/>
      </c>
      <c r="BC510" s="55" t="str">
        <f aca="false">IF(AND($AR510&lt;&gt;"",$AT510&lt;&gt;""),$AT510-$AR510,"")</f>
        <v/>
      </c>
      <c r="BD510" s="55" t="str">
        <f aca="false">IF(AND($AS510&lt;&gt;"",$AT510&lt;&gt;""),$AT510-$AS510,"")</f>
        <v/>
      </c>
      <c r="BE510" s="53" t="str">
        <f aca="false">IF($E510&lt;&gt;"",$E510,"")</f>
        <v/>
      </c>
      <c r="BF510" s="52" t="str">
        <f aca="false">IF($F510&lt;&gt;"",$F510,"")</f>
        <v>Apprenant 498 ou 498'</v>
      </c>
      <c r="BG510" s="55" t="str">
        <f aca="false">IF(AND($AW510&lt;&gt;"",$AX510&lt;&gt;""),$AX510-$AW510,"")</f>
        <v/>
      </c>
      <c r="BH510" s="55" t="str">
        <f aca="false">IF(AND($AW510&lt;&gt;"",$AY510&lt;&gt;""),$AY510-$AW510,"")</f>
        <v/>
      </c>
      <c r="BI510" s="55" t="str">
        <f aca="false">IF(AND($AX510&lt;&gt;"",$AY510&lt;&gt;""),$AY510-$AX510,"")</f>
        <v/>
      </c>
      <c r="BJ510" s="53" t="str">
        <f aca="false">IF($J510&lt;&gt;"",$J510,"")</f>
        <v/>
      </c>
      <c r="BL510" s="52"/>
      <c r="BM510" s="52" t="str">
        <f aca="false">IF(OR(COUNT(B510:D1509)=0,AND('Choix pédagogiques'!$C$3&lt;&gt;1,'Choix pédagogiques'!$C$3&lt;&gt;2)),"",IF(AND(OR('Choix pédagogiques'!$C$3=1,'Choix pédagogiques'!$C$3=2),$B510&lt;&gt;"",$C510&lt;&gt;"",$D510&lt;&gt;""),1,0))</f>
        <v/>
      </c>
      <c r="BN510" s="52" t="str">
        <f aca="false">IF(OR(COUNT(G510:I1509)=0,AND('Choix pédagogiques'!$C$3&lt;&gt;1,'Choix pédagogiques'!$C$3&lt;&gt;2)),"",IF(AND(OR('Choix pédagogiques'!$C$3=1,'Choix pédagogiques'!$C$3=2),AND($G510&lt;&gt;"",$H510&lt;&gt;"",$I510&lt;&gt;"")),1,0))</f>
        <v/>
      </c>
      <c r="BO510" s="52" t="str">
        <f aca="false">IF(OR(COUNT(B510:D1509)=0,COUNT(G510:I1509)=0,'Choix pédagogiques'!C$3&lt;&gt;3),"",IF(AND('Choix pédagogiques'!$C$3=3,$B510&lt;&gt;"",$C510&lt;&gt;"",$D510&lt;&gt;"",$G510&lt;&gt;"",$H510&lt;&gt;"",$I510&lt;&gt;""),1,0))</f>
        <v/>
      </c>
      <c r="BR510" s="52" t="n">
        <v>713</v>
      </c>
      <c r="BS510" s="52" t="n">
        <v>1829</v>
      </c>
    </row>
    <row r="511" s="54" customFormat="true" ht="18" hidden="false" customHeight="true" outlineLevel="0" collapsed="false">
      <c r="A511" s="57" t="s">
        <v>953</v>
      </c>
      <c r="B511" s="51"/>
      <c r="C511" s="51"/>
      <c r="D511" s="51"/>
      <c r="E511" s="51"/>
      <c r="F511" s="57" t="s">
        <v>954</v>
      </c>
      <c r="G511" s="51"/>
      <c r="H511" s="51"/>
      <c r="I511" s="51"/>
      <c r="J511" s="51"/>
      <c r="K511" s="52" t="str">
        <f aca="false">IF($A511&lt;&gt;"",$A511,"")</f>
        <v>Apprenant 499</v>
      </c>
      <c r="L511" s="53" t="str">
        <f aca="false">IF(AND($B511&lt;&gt;"",$C511&lt;&gt;""),$C511-$B511,"")</f>
        <v/>
      </c>
      <c r="M511" s="53" t="str">
        <f aca="false">IF(AND($B511&lt;&gt;"",$D511&lt;&gt;""),$D511-$B511,"")</f>
        <v/>
      </c>
      <c r="N511" s="53" t="str">
        <f aca="false">IF(AND($C511&lt;&gt;"",$D511&lt;&gt;""),$D511-$C511,"")</f>
        <v/>
      </c>
      <c r="O511" s="53" t="str">
        <f aca="false">IF($E511&lt;&gt;"",$E511,"")</f>
        <v/>
      </c>
      <c r="P511" s="52" t="str">
        <f aca="false">IF($F511&lt;&gt;"",$F511,"")</f>
        <v>Apprenant 499 ou 499'</v>
      </c>
      <c r="Q511" s="53" t="str">
        <f aca="false">IF(AND($G511&lt;&gt;"",$H511&lt;&gt;""),$H511-$G511,"")</f>
        <v/>
      </c>
      <c r="R511" s="53" t="str">
        <f aca="false">IF(AND($G511&lt;&gt;"",$I511&lt;&gt;""),$I511-$G511,"")</f>
        <v/>
      </c>
      <c r="S511" s="53" t="str">
        <f aca="false">IF(AND($H511&lt;&gt;"",$I511&lt;&gt;""),$I511-$H511,"")</f>
        <v/>
      </c>
      <c r="T511" s="53" t="str">
        <f aca="false">IF($J511&lt;&gt;"",$J511,"")</f>
        <v/>
      </c>
      <c r="V511" s="52" t="str">
        <f aca="false">IF($A511&lt;&gt;"",$A511,"")</f>
        <v>Apprenant 499</v>
      </c>
      <c r="W511" s="53" t="str">
        <f aca="false">IF(AND(OR('Choix pédagogiques'!$C$3=1,'Choix pédagogiques'!$C$3=2),$BM511=1),B511,IF(AND('Choix pédagogiques'!$C$3=3,$BO511=1),B511,""))</f>
        <v/>
      </c>
      <c r="X511" s="53" t="str">
        <f aca="false">IF(AND(OR('Choix pédagogiques'!$C$3=1,'Choix pédagogiques'!$C$3=2),$BM511=1),C511,IF(AND('Choix pédagogiques'!$C$3=3,$BO511=1),C511,""))</f>
        <v/>
      </c>
      <c r="Y511" s="53" t="str">
        <f aca="false">IF(AND(OR('Choix pédagogiques'!$C$3=1,'Choix pédagogiques'!$C$3=2),$BM511=1),D511,IF(AND('Choix pédagogiques'!$C$3=3,$BO511=1),D511,""))</f>
        <v/>
      </c>
      <c r="Z511" s="53" t="str">
        <f aca="false">IF($E511&lt;&gt;"",$E511,"")</f>
        <v/>
      </c>
      <c r="AA511" s="52" t="str">
        <f aca="false">IF($F511&lt;&gt;"",$F511,"")</f>
        <v>Apprenant 499 ou 499'</v>
      </c>
      <c r="AB511" s="53" t="str">
        <f aca="false">IF(AND(OR('Choix pédagogiques'!$C$3=1,'Choix pédagogiques'!$C$3=2),$BN511=1),G511,IF(AND('Choix pédagogiques'!$C$3=3,$BO511=1),G511,""))</f>
        <v/>
      </c>
      <c r="AC511" s="53" t="str">
        <f aca="false">IF(AND(OR('Choix pédagogiques'!$C$3=1,'Choix pédagogiques'!$C$3=2),$BN511=1),H511,IF(AND('Choix pédagogiques'!$C$3=3,$BO511=1),H511,""))</f>
        <v/>
      </c>
      <c r="AD511" s="53" t="str">
        <f aca="false">IF(AND(OR('Choix pédagogiques'!$C$3=1,'Choix pédagogiques'!$C$3=2),$BN511=1),I511,IF(AND('Choix pédagogiques'!$C$3=3,$BO511=1),I511,""))</f>
        <v/>
      </c>
      <c r="AE511" s="53" t="str">
        <f aca="false">IF($J511&lt;&gt;"",$J511,"")</f>
        <v/>
      </c>
      <c r="AF511" s="52" t="str">
        <f aca="false">IF($A511&lt;&gt;"",$A511,"")</f>
        <v>Apprenant 499</v>
      </c>
      <c r="AG511" s="53" t="str">
        <f aca="false">IF(AND($W511&lt;&gt;"",$X511&lt;&gt;""),$X511-$W511,"")</f>
        <v/>
      </c>
      <c r="AH511" s="53" t="str">
        <f aca="false">IF(AND($W511&lt;&gt;"",$Y511&lt;&gt;""),$Y511-$W511,"")</f>
        <v/>
      </c>
      <c r="AI511" s="53" t="str">
        <f aca="false">IF(AND($X511&lt;&gt;"",$Y511&lt;&gt;""),$Y511-$X511,"")</f>
        <v/>
      </c>
      <c r="AJ511" s="53" t="str">
        <f aca="false">IF($E511&lt;&gt;"",$E511,"")</f>
        <v/>
      </c>
      <c r="AK511" s="52" t="str">
        <f aca="false">IF($F511&lt;&gt;"",$F511,"")</f>
        <v>Apprenant 499 ou 499'</v>
      </c>
      <c r="AL511" s="53" t="str">
        <f aca="false">IF(AND($AB511&lt;&gt;"",$AC511&lt;&gt;""),$AC511-$AB511,"")</f>
        <v/>
      </c>
      <c r="AM511" s="53" t="str">
        <f aca="false">IF(AND($AB511&lt;&gt;"",$AD511&lt;&gt;""),$AD511-$AB511,"")</f>
        <v/>
      </c>
      <c r="AN511" s="53" t="str">
        <f aca="false">IF(AND($AC511&lt;&gt;"",$AD511&lt;&gt;""),$AD511-$AC511,"")</f>
        <v/>
      </c>
      <c r="AO511" s="53" t="str">
        <f aca="false">IF($J511&lt;&gt;"",$J511,"")</f>
        <v/>
      </c>
      <c r="AQ511" s="52" t="str">
        <f aca="false">IF($A511&lt;&gt;"",$A511,"")</f>
        <v>Apprenant 499</v>
      </c>
      <c r="AR511" s="55" t="str">
        <f aca="false">IF(AND('Choix pédagogiques'!$C$4&lt;&gt;"?",'Choix pédagogiques'!$C$5&lt;&gt;"?",W511&lt;&gt;""),(W511-'Choix pédagogiques'!$C$4)/('Choix pédagogiques'!$C$5-'Choix pédagogiques'!$C$4),"")</f>
        <v/>
      </c>
      <c r="AS511" s="55" t="str">
        <f aca="false">IF(AND('Choix pédagogiques'!$C$4&lt;&gt;"?",'Choix pédagogiques'!$C$5&lt;&gt;"?",X511&lt;&gt;""),(X511-'Choix pédagogiques'!$C$4)/('Choix pédagogiques'!$C$5-'Choix pédagogiques'!$C$4),"")</f>
        <v/>
      </c>
      <c r="AT511" s="55" t="str">
        <f aca="false">IF(AND('Choix pédagogiques'!$C$4&lt;&gt;"?",'Choix pédagogiques'!$C$5&lt;&gt;"?",Y511&lt;&gt;""),(Y511-'Choix pédagogiques'!$C$4)/('Choix pédagogiques'!$C$5-'Choix pédagogiques'!$C$4),"")</f>
        <v/>
      </c>
      <c r="AU511" s="53" t="str">
        <f aca="false">IF($E511&lt;&gt;"",$E511,"")</f>
        <v/>
      </c>
      <c r="AV511" s="52" t="str">
        <f aca="false">IF($F511&lt;&gt;"",$F511,"")</f>
        <v>Apprenant 499 ou 499'</v>
      </c>
      <c r="AW511" s="55" t="str">
        <f aca="false">IF(AND('Choix pédagogiques'!$C$4&lt;&gt;"?",'Choix pédagogiques'!$C$5&lt;&gt;"?",AB511&lt;&gt;""),(AB511-'Choix pédagogiques'!$C$4)/('Choix pédagogiques'!$C$5-'Choix pédagogiques'!$C$4),"")</f>
        <v/>
      </c>
      <c r="AX511" s="55" t="str">
        <f aca="false">IF(AND('Choix pédagogiques'!$C$4&lt;&gt;"?",'Choix pédagogiques'!$C$5&lt;&gt;"?",AC511&lt;&gt;""),(AC511-'Choix pédagogiques'!$C$4)/('Choix pédagogiques'!$C$5-'Choix pédagogiques'!$C$4),"")</f>
        <v/>
      </c>
      <c r="AY511" s="55" t="str">
        <f aca="false">IF(AND('Choix pédagogiques'!$C$4&lt;&gt;"?",'Choix pédagogiques'!$C$5&lt;&gt;"?",AD511&lt;&gt;""),(AD511-'Choix pédagogiques'!$C$4)/('Choix pédagogiques'!$C$5-'Choix pédagogiques'!$C$4),"")</f>
        <v/>
      </c>
      <c r="AZ511" s="53" t="str">
        <f aca="false">IF($J511&lt;&gt;"",$J511,"")</f>
        <v/>
      </c>
      <c r="BA511" s="52" t="str">
        <f aca="false">IF($A511&lt;&gt;"",$A511,"")</f>
        <v>Apprenant 499</v>
      </c>
      <c r="BB511" s="55" t="str">
        <f aca="false">IF(AND($AR511&lt;&gt;"",$AS511&lt;&gt;""),$AS511-$AR511,"")</f>
        <v/>
      </c>
      <c r="BC511" s="55" t="str">
        <f aca="false">IF(AND($AR511&lt;&gt;"",$AT511&lt;&gt;""),$AT511-$AR511,"")</f>
        <v/>
      </c>
      <c r="BD511" s="55" t="str">
        <f aca="false">IF(AND($AS511&lt;&gt;"",$AT511&lt;&gt;""),$AT511-$AS511,"")</f>
        <v/>
      </c>
      <c r="BE511" s="53" t="str">
        <f aca="false">IF($E511&lt;&gt;"",$E511,"")</f>
        <v/>
      </c>
      <c r="BF511" s="52" t="str">
        <f aca="false">IF($F511&lt;&gt;"",$F511,"")</f>
        <v>Apprenant 499 ou 499'</v>
      </c>
      <c r="BG511" s="55" t="str">
        <f aca="false">IF(AND($AW511&lt;&gt;"",$AX511&lt;&gt;""),$AX511-$AW511,"")</f>
        <v/>
      </c>
      <c r="BH511" s="55" t="str">
        <f aca="false">IF(AND($AW511&lt;&gt;"",$AY511&lt;&gt;""),$AY511-$AW511,"")</f>
        <v/>
      </c>
      <c r="BI511" s="55" t="str">
        <f aca="false">IF(AND($AX511&lt;&gt;"",$AY511&lt;&gt;""),$AY511-$AX511,"")</f>
        <v/>
      </c>
      <c r="BJ511" s="53" t="str">
        <f aca="false">IF($J511&lt;&gt;"",$J511,"")</f>
        <v/>
      </c>
      <c r="BL511" s="52"/>
      <c r="BM511" s="52" t="str">
        <f aca="false">IF(OR(COUNT(B511:D1510)=0,AND('Choix pédagogiques'!$C$3&lt;&gt;1,'Choix pédagogiques'!$C$3&lt;&gt;2)),"",IF(AND(OR('Choix pédagogiques'!$C$3=1,'Choix pédagogiques'!$C$3=2),$B511&lt;&gt;"",$C511&lt;&gt;"",$D511&lt;&gt;""),1,0))</f>
        <v/>
      </c>
      <c r="BN511" s="52" t="str">
        <f aca="false">IF(OR(COUNT(G511:I1510)=0,AND('Choix pédagogiques'!$C$3&lt;&gt;1,'Choix pédagogiques'!$C$3&lt;&gt;2)),"",IF(AND(OR('Choix pédagogiques'!$C$3=1,'Choix pédagogiques'!$C$3=2),AND($G511&lt;&gt;"",$H511&lt;&gt;"",$I511&lt;&gt;"")),1,0))</f>
        <v/>
      </c>
      <c r="BO511" s="52" t="str">
        <f aca="false">IF(OR(COUNT(B511:D1510)=0,COUNT(G511:I1510)=0,'Choix pédagogiques'!C$3&lt;&gt;3),"",IF(AND('Choix pédagogiques'!$C$3=3,$B511&lt;&gt;"",$C511&lt;&gt;"",$D511&lt;&gt;"",$G511&lt;&gt;"",$H511&lt;&gt;"",$I511&lt;&gt;""),1,0))</f>
        <v/>
      </c>
      <c r="BR511" s="52" t="n">
        <v>333</v>
      </c>
      <c r="BS511" s="52" t="n">
        <v>1347</v>
      </c>
    </row>
    <row r="512" s="54" customFormat="true" ht="18" hidden="false" customHeight="true" outlineLevel="0" collapsed="false">
      <c r="A512" s="57" t="s">
        <v>955</v>
      </c>
      <c r="B512" s="51"/>
      <c r="C512" s="51"/>
      <c r="D512" s="51"/>
      <c r="E512" s="51"/>
      <c r="F512" s="57" t="s">
        <v>956</v>
      </c>
      <c r="G512" s="51"/>
      <c r="H512" s="51"/>
      <c r="I512" s="51"/>
      <c r="J512" s="51"/>
      <c r="K512" s="52" t="str">
        <f aca="false">IF($A512&lt;&gt;"",$A512,"")</f>
        <v>Apprenant 500</v>
      </c>
      <c r="L512" s="53" t="str">
        <f aca="false">IF(AND($B512&lt;&gt;"",$C512&lt;&gt;""),$C512-$B512,"")</f>
        <v/>
      </c>
      <c r="M512" s="53" t="str">
        <f aca="false">IF(AND($B512&lt;&gt;"",$D512&lt;&gt;""),$D512-$B512,"")</f>
        <v/>
      </c>
      <c r="N512" s="53" t="str">
        <f aca="false">IF(AND($C512&lt;&gt;"",$D512&lt;&gt;""),$D512-$C512,"")</f>
        <v/>
      </c>
      <c r="O512" s="53" t="str">
        <f aca="false">IF($E512&lt;&gt;"",$E512,"")</f>
        <v/>
      </c>
      <c r="P512" s="52" t="str">
        <f aca="false">IF($F512&lt;&gt;"",$F512,"")</f>
        <v>Apprenant 500 ou 500'</v>
      </c>
      <c r="Q512" s="53" t="str">
        <f aca="false">IF(AND($G512&lt;&gt;"",$H512&lt;&gt;""),$H512-$G512,"")</f>
        <v/>
      </c>
      <c r="R512" s="53" t="str">
        <f aca="false">IF(AND($G512&lt;&gt;"",$I512&lt;&gt;""),$I512-$G512,"")</f>
        <v/>
      </c>
      <c r="S512" s="53" t="str">
        <f aca="false">IF(AND($H512&lt;&gt;"",$I512&lt;&gt;""),$I512-$H512,"")</f>
        <v/>
      </c>
      <c r="T512" s="53" t="str">
        <f aca="false">IF($J512&lt;&gt;"",$J512,"")</f>
        <v/>
      </c>
      <c r="V512" s="52" t="str">
        <f aca="false">IF($A512&lt;&gt;"",$A512,"")</f>
        <v>Apprenant 500</v>
      </c>
      <c r="W512" s="53" t="str">
        <f aca="false">IF(AND(OR('Choix pédagogiques'!$C$3=1,'Choix pédagogiques'!$C$3=2),$BM512=1),B512,IF(AND('Choix pédagogiques'!$C$3=3,$BO512=1),B512,""))</f>
        <v/>
      </c>
      <c r="X512" s="53" t="str">
        <f aca="false">IF(AND(OR('Choix pédagogiques'!$C$3=1,'Choix pédagogiques'!$C$3=2),$BM512=1),C512,IF(AND('Choix pédagogiques'!$C$3=3,$BO512=1),C512,""))</f>
        <v/>
      </c>
      <c r="Y512" s="53" t="str">
        <f aca="false">IF(AND(OR('Choix pédagogiques'!$C$3=1,'Choix pédagogiques'!$C$3=2),$BM512=1),D512,IF(AND('Choix pédagogiques'!$C$3=3,$BO512=1),D512,""))</f>
        <v/>
      </c>
      <c r="Z512" s="53" t="str">
        <f aca="false">IF($E512&lt;&gt;"",$E512,"")</f>
        <v/>
      </c>
      <c r="AA512" s="52" t="str">
        <f aca="false">IF($F512&lt;&gt;"",$F512,"")</f>
        <v>Apprenant 500 ou 500'</v>
      </c>
      <c r="AB512" s="53" t="str">
        <f aca="false">IF(AND(OR('Choix pédagogiques'!$C$3=1,'Choix pédagogiques'!$C$3=2),$BN512=1),G512,IF(AND('Choix pédagogiques'!$C$3=3,$BO512=1),G512,""))</f>
        <v/>
      </c>
      <c r="AC512" s="53" t="str">
        <f aca="false">IF(AND(OR('Choix pédagogiques'!$C$3=1,'Choix pédagogiques'!$C$3=2),$BN512=1),H512,IF(AND('Choix pédagogiques'!$C$3=3,$BO512=1),H512,""))</f>
        <v/>
      </c>
      <c r="AD512" s="53" t="str">
        <f aca="false">IF(AND(OR('Choix pédagogiques'!$C$3=1,'Choix pédagogiques'!$C$3=2),$BN512=1),I512,IF(AND('Choix pédagogiques'!$C$3=3,$BO512=1),I512,""))</f>
        <v/>
      </c>
      <c r="AE512" s="53" t="str">
        <f aca="false">IF($J512&lt;&gt;"",$J512,"")</f>
        <v/>
      </c>
      <c r="AF512" s="52" t="str">
        <f aca="false">IF($A512&lt;&gt;"",$A512,"")</f>
        <v>Apprenant 500</v>
      </c>
      <c r="AG512" s="53" t="str">
        <f aca="false">IF(AND($W512&lt;&gt;"",$X512&lt;&gt;""),$X512-$W512,"")</f>
        <v/>
      </c>
      <c r="AH512" s="53" t="str">
        <f aca="false">IF(AND($W512&lt;&gt;"",$Y512&lt;&gt;""),$Y512-$W512,"")</f>
        <v/>
      </c>
      <c r="AI512" s="53" t="str">
        <f aca="false">IF(AND($X512&lt;&gt;"",$Y512&lt;&gt;""),$Y512-$X512,"")</f>
        <v/>
      </c>
      <c r="AJ512" s="53" t="str">
        <f aca="false">IF($E512&lt;&gt;"",$E512,"")</f>
        <v/>
      </c>
      <c r="AK512" s="52" t="str">
        <f aca="false">IF($F512&lt;&gt;"",$F512,"")</f>
        <v>Apprenant 500 ou 500'</v>
      </c>
      <c r="AL512" s="53" t="str">
        <f aca="false">IF(AND($AB512&lt;&gt;"",$AC512&lt;&gt;""),$AC512-$AB512,"")</f>
        <v/>
      </c>
      <c r="AM512" s="53" t="str">
        <f aca="false">IF(AND($AB512&lt;&gt;"",$AD512&lt;&gt;""),$AD512-$AB512,"")</f>
        <v/>
      </c>
      <c r="AN512" s="53" t="str">
        <f aca="false">IF(AND($AC512&lt;&gt;"",$AD512&lt;&gt;""),$AD512-$AC512,"")</f>
        <v/>
      </c>
      <c r="AO512" s="53" t="str">
        <f aca="false">IF($J512&lt;&gt;"",$J512,"")</f>
        <v/>
      </c>
      <c r="AQ512" s="52" t="str">
        <f aca="false">IF($A512&lt;&gt;"",$A512,"")</f>
        <v>Apprenant 500</v>
      </c>
      <c r="AR512" s="55" t="str">
        <f aca="false">IF(AND('Choix pédagogiques'!$C$4&lt;&gt;"?",'Choix pédagogiques'!$C$5&lt;&gt;"?",W512&lt;&gt;""),(W512-'Choix pédagogiques'!$C$4)/('Choix pédagogiques'!$C$5-'Choix pédagogiques'!$C$4),"")</f>
        <v/>
      </c>
      <c r="AS512" s="55" t="str">
        <f aca="false">IF(AND('Choix pédagogiques'!$C$4&lt;&gt;"?",'Choix pédagogiques'!$C$5&lt;&gt;"?",X512&lt;&gt;""),(X512-'Choix pédagogiques'!$C$4)/('Choix pédagogiques'!$C$5-'Choix pédagogiques'!$C$4),"")</f>
        <v/>
      </c>
      <c r="AT512" s="55" t="str">
        <f aca="false">IF(AND('Choix pédagogiques'!$C$4&lt;&gt;"?",'Choix pédagogiques'!$C$5&lt;&gt;"?",Y512&lt;&gt;""),(Y512-'Choix pédagogiques'!$C$4)/('Choix pédagogiques'!$C$5-'Choix pédagogiques'!$C$4),"")</f>
        <v/>
      </c>
      <c r="AU512" s="53" t="str">
        <f aca="false">IF($E512&lt;&gt;"",$E512,"")</f>
        <v/>
      </c>
      <c r="AV512" s="52" t="str">
        <f aca="false">IF($F512&lt;&gt;"",$F512,"")</f>
        <v>Apprenant 500 ou 500'</v>
      </c>
      <c r="AW512" s="55" t="str">
        <f aca="false">IF(AND('Choix pédagogiques'!$C$4&lt;&gt;"?",'Choix pédagogiques'!$C$5&lt;&gt;"?",AB512&lt;&gt;""),(AB512-'Choix pédagogiques'!$C$4)/('Choix pédagogiques'!$C$5-'Choix pédagogiques'!$C$4),"")</f>
        <v/>
      </c>
      <c r="AX512" s="55" t="str">
        <f aca="false">IF(AND('Choix pédagogiques'!$C$4&lt;&gt;"?",'Choix pédagogiques'!$C$5&lt;&gt;"?",AC512&lt;&gt;""),(AC512-'Choix pédagogiques'!$C$4)/('Choix pédagogiques'!$C$5-'Choix pédagogiques'!$C$4),"")</f>
        <v/>
      </c>
      <c r="AY512" s="55" t="str">
        <f aca="false">IF(AND('Choix pédagogiques'!$C$4&lt;&gt;"?",'Choix pédagogiques'!$C$5&lt;&gt;"?",AD512&lt;&gt;""),(AD512-'Choix pédagogiques'!$C$4)/('Choix pédagogiques'!$C$5-'Choix pédagogiques'!$C$4),"")</f>
        <v/>
      </c>
      <c r="AZ512" s="53" t="str">
        <f aca="false">IF($J512&lt;&gt;"",$J512,"")</f>
        <v/>
      </c>
      <c r="BA512" s="52" t="str">
        <f aca="false">IF($A512&lt;&gt;"",$A512,"")</f>
        <v>Apprenant 500</v>
      </c>
      <c r="BB512" s="55" t="str">
        <f aca="false">IF(AND($AR512&lt;&gt;"",$AS512&lt;&gt;""),$AS512-$AR512,"")</f>
        <v/>
      </c>
      <c r="BC512" s="55" t="str">
        <f aca="false">IF(AND($AR512&lt;&gt;"",$AT512&lt;&gt;""),$AT512-$AR512,"")</f>
        <v/>
      </c>
      <c r="BD512" s="55" t="str">
        <f aca="false">IF(AND($AS512&lt;&gt;"",$AT512&lt;&gt;""),$AT512-$AS512,"")</f>
        <v/>
      </c>
      <c r="BE512" s="53" t="str">
        <f aca="false">IF($E512&lt;&gt;"",$E512,"")</f>
        <v/>
      </c>
      <c r="BF512" s="52" t="str">
        <f aca="false">IF($F512&lt;&gt;"",$F512,"")</f>
        <v>Apprenant 500 ou 500'</v>
      </c>
      <c r="BG512" s="55" t="str">
        <f aca="false">IF(AND($AW512&lt;&gt;"",$AX512&lt;&gt;""),$AX512-$AW512,"")</f>
        <v/>
      </c>
      <c r="BH512" s="55" t="str">
        <f aca="false">IF(AND($AW512&lt;&gt;"",$AY512&lt;&gt;""),$AY512-$AW512,"")</f>
        <v/>
      </c>
      <c r="BI512" s="55" t="str">
        <f aca="false">IF(AND($AX512&lt;&gt;"",$AY512&lt;&gt;""),$AY512-$AX512,"")</f>
        <v/>
      </c>
      <c r="BJ512" s="53" t="str">
        <f aca="false">IF($J512&lt;&gt;"",$J512,"")</f>
        <v/>
      </c>
      <c r="BL512" s="52"/>
      <c r="BM512" s="52" t="str">
        <f aca="false">IF(OR(COUNT(B512:D1511)=0,AND('Choix pédagogiques'!$C$3&lt;&gt;1,'Choix pédagogiques'!$C$3&lt;&gt;2)),"",IF(AND(OR('Choix pédagogiques'!$C$3=1,'Choix pédagogiques'!$C$3=2),$B512&lt;&gt;"",$C512&lt;&gt;"",$D512&lt;&gt;""),1,0))</f>
        <v/>
      </c>
      <c r="BN512" s="52" t="str">
        <f aca="false">IF(OR(COUNT(G512:I1511)=0,AND('Choix pédagogiques'!$C$3&lt;&gt;1,'Choix pédagogiques'!$C$3&lt;&gt;2)),"",IF(AND(OR('Choix pédagogiques'!$C$3=1,'Choix pédagogiques'!$C$3=2),AND($G512&lt;&gt;"",$H512&lt;&gt;"",$I512&lt;&gt;"")),1,0))</f>
        <v/>
      </c>
      <c r="BO512" s="52" t="str">
        <f aca="false">IF(OR(COUNT(B512:D1511)=0,COUNT(G512:I1511)=0,'Choix pédagogiques'!C$3&lt;&gt;3),"",IF(AND('Choix pédagogiques'!$C$3=3,$B512&lt;&gt;"",$C512&lt;&gt;"",$D512&lt;&gt;"",$G512&lt;&gt;"",$H512&lt;&gt;"",$I512&lt;&gt;""),1,0))</f>
        <v/>
      </c>
      <c r="BR512" s="52" t="n">
        <v>624</v>
      </c>
      <c r="BS512" s="52" t="n">
        <v>1080</v>
      </c>
    </row>
    <row r="513" s="54" customFormat="true" ht="18" hidden="false" customHeight="true" outlineLevel="0" collapsed="false">
      <c r="A513" s="57" t="s">
        <v>957</v>
      </c>
      <c r="B513" s="51"/>
      <c r="C513" s="51"/>
      <c r="D513" s="51"/>
      <c r="E513" s="51"/>
      <c r="F513" s="57" t="s">
        <v>958</v>
      </c>
      <c r="G513" s="51"/>
      <c r="H513" s="51"/>
      <c r="I513" s="51"/>
      <c r="J513" s="51"/>
      <c r="K513" s="52" t="str">
        <f aca="false">IF($A513&lt;&gt;"",$A513,"")</f>
        <v>Apprenant 501</v>
      </c>
      <c r="L513" s="53" t="str">
        <f aca="false">IF(AND($B513&lt;&gt;"",$C513&lt;&gt;""),$C513-$B513,"")</f>
        <v/>
      </c>
      <c r="M513" s="53" t="str">
        <f aca="false">IF(AND($B513&lt;&gt;"",$D513&lt;&gt;""),$D513-$B513,"")</f>
        <v/>
      </c>
      <c r="N513" s="53" t="str">
        <f aca="false">IF(AND($C513&lt;&gt;"",$D513&lt;&gt;""),$D513-$C513,"")</f>
        <v/>
      </c>
      <c r="O513" s="53" t="str">
        <f aca="false">IF($E513&lt;&gt;"",$E513,"")</f>
        <v/>
      </c>
      <c r="P513" s="52" t="str">
        <f aca="false">IF($F513&lt;&gt;"",$F513,"")</f>
        <v>Apprenant 501 ou 501'</v>
      </c>
      <c r="Q513" s="53" t="str">
        <f aca="false">IF(AND($G513&lt;&gt;"",$H513&lt;&gt;""),$H513-$G513,"")</f>
        <v/>
      </c>
      <c r="R513" s="53" t="str">
        <f aca="false">IF(AND($G513&lt;&gt;"",$I513&lt;&gt;""),$I513-$G513,"")</f>
        <v/>
      </c>
      <c r="S513" s="53" t="str">
        <f aca="false">IF(AND($H513&lt;&gt;"",$I513&lt;&gt;""),$I513-$H513,"")</f>
        <v/>
      </c>
      <c r="T513" s="53" t="str">
        <f aca="false">IF($J513&lt;&gt;"",$J513,"")</f>
        <v/>
      </c>
      <c r="V513" s="52" t="str">
        <f aca="false">IF($A513&lt;&gt;"",$A513,"")</f>
        <v>Apprenant 501</v>
      </c>
      <c r="W513" s="53" t="str">
        <f aca="false">IF(AND(OR('Choix pédagogiques'!$C$3=1,'Choix pédagogiques'!$C$3=2),$BM513=1),B513,IF(AND('Choix pédagogiques'!$C$3=3,$BO513=1),B513,""))</f>
        <v/>
      </c>
      <c r="X513" s="53" t="str">
        <f aca="false">IF(AND(OR('Choix pédagogiques'!$C$3=1,'Choix pédagogiques'!$C$3=2),$BM513=1),C513,IF(AND('Choix pédagogiques'!$C$3=3,$BO513=1),C513,""))</f>
        <v/>
      </c>
      <c r="Y513" s="53" t="str">
        <f aca="false">IF(AND(OR('Choix pédagogiques'!$C$3=1,'Choix pédagogiques'!$C$3=2),$BM513=1),D513,IF(AND('Choix pédagogiques'!$C$3=3,$BO513=1),D513,""))</f>
        <v/>
      </c>
      <c r="Z513" s="53" t="str">
        <f aca="false">IF($E513&lt;&gt;"",$E513,"")</f>
        <v/>
      </c>
      <c r="AA513" s="52" t="str">
        <f aca="false">IF($F513&lt;&gt;"",$F513,"")</f>
        <v>Apprenant 501 ou 501'</v>
      </c>
      <c r="AB513" s="53" t="str">
        <f aca="false">IF(AND(OR('Choix pédagogiques'!$C$3=1,'Choix pédagogiques'!$C$3=2),$BN513=1),G513,IF(AND('Choix pédagogiques'!$C$3=3,$BO513=1),G513,""))</f>
        <v/>
      </c>
      <c r="AC513" s="53" t="str">
        <f aca="false">IF(AND(OR('Choix pédagogiques'!$C$3=1,'Choix pédagogiques'!$C$3=2),$BN513=1),H513,IF(AND('Choix pédagogiques'!$C$3=3,$BO513=1),H513,""))</f>
        <v/>
      </c>
      <c r="AD513" s="53" t="str">
        <f aca="false">IF(AND(OR('Choix pédagogiques'!$C$3=1,'Choix pédagogiques'!$C$3=2),$BN513=1),I513,IF(AND('Choix pédagogiques'!$C$3=3,$BO513=1),I513,""))</f>
        <v/>
      </c>
      <c r="AE513" s="53" t="str">
        <f aca="false">IF($J513&lt;&gt;"",$J513,"")</f>
        <v/>
      </c>
      <c r="AF513" s="52" t="str">
        <f aca="false">IF($A513&lt;&gt;"",$A513,"")</f>
        <v>Apprenant 501</v>
      </c>
      <c r="AG513" s="53" t="str">
        <f aca="false">IF(AND($W513&lt;&gt;"",$X513&lt;&gt;""),$X513-$W513,"")</f>
        <v/>
      </c>
      <c r="AH513" s="53" t="str">
        <f aca="false">IF(AND($W513&lt;&gt;"",$Y513&lt;&gt;""),$Y513-$W513,"")</f>
        <v/>
      </c>
      <c r="AI513" s="53" t="str">
        <f aca="false">IF(AND($X513&lt;&gt;"",$Y513&lt;&gt;""),$Y513-$X513,"")</f>
        <v/>
      </c>
      <c r="AJ513" s="53" t="str">
        <f aca="false">IF($E513&lt;&gt;"",$E513,"")</f>
        <v/>
      </c>
      <c r="AK513" s="52" t="str">
        <f aca="false">IF($F513&lt;&gt;"",$F513,"")</f>
        <v>Apprenant 501 ou 501'</v>
      </c>
      <c r="AL513" s="53" t="str">
        <f aca="false">IF(AND($AB513&lt;&gt;"",$AC513&lt;&gt;""),$AC513-$AB513,"")</f>
        <v/>
      </c>
      <c r="AM513" s="53" t="str">
        <f aca="false">IF(AND($AB513&lt;&gt;"",$AD513&lt;&gt;""),$AD513-$AB513,"")</f>
        <v/>
      </c>
      <c r="AN513" s="53" t="str">
        <f aca="false">IF(AND($AC513&lt;&gt;"",$AD513&lt;&gt;""),$AD513-$AC513,"")</f>
        <v/>
      </c>
      <c r="AO513" s="53" t="str">
        <f aca="false">IF($J513&lt;&gt;"",$J513,"")</f>
        <v/>
      </c>
      <c r="AQ513" s="52" t="str">
        <f aca="false">IF($A513&lt;&gt;"",$A513,"")</f>
        <v>Apprenant 501</v>
      </c>
      <c r="AR513" s="55" t="str">
        <f aca="false">IF(AND('Choix pédagogiques'!$C$4&lt;&gt;"?",'Choix pédagogiques'!$C$5&lt;&gt;"?",W513&lt;&gt;""),(W513-'Choix pédagogiques'!$C$4)/('Choix pédagogiques'!$C$5-'Choix pédagogiques'!$C$4),"")</f>
        <v/>
      </c>
      <c r="AS513" s="55" t="str">
        <f aca="false">IF(AND('Choix pédagogiques'!$C$4&lt;&gt;"?",'Choix pédagogiques'!$C$5&lt;&gt;"?",X513&lt;&gt;""),(X513-'Choix pédagogiques'!$C$4)/('Choix pédagogiques'!$C$5-'Choix pédagogiques'!$C$4),"")</f>
        <v/>
      </c>
      <c r="AT513" s="55" t="str">
        <f aca="false">IF(AND('Choix pédagogiques'!$C$4&lt;&gt;"?",'Choix pédagogiques'!$C$5&lt;&gt;"?",Y513&lt;&gt;""),(Y513-'Choix pédagogiques'!$C$4)/('Choix pédagogiques'!$C$5-'Choix pédagogiques'!$C$4),"")</f>
        <v/>
      </c>
      <c r="AU513" s="53" t="str">
        <f aca="false">IF($E513&lt;&gt;"",$E513,"")</f>
        <v/>
      </c>
      <c r="AV513" s="52" t="str">
        <f aca="false">IF($F513&lt;&gt;"",$F513,"")</f>
        <v>Apprenant 501 ou 501'</v>
      </c>
      <c r="AW513" s="55" t="str">
        <f aca="false">IF(AND('Choix pédagogiques'!$C$4&lt;&gt;"?",'Choix pédagogiques'!$C$5&lt;&gt;"?",AB513&lt;&gt;""),(AB513-'Choix pédagogiques'!$C$4)/('Choix pédagogiques'!$C$5-'Choix pédagogiques'!$C$4),"")</f>
        <v/>
      </c>
      <c r="AX513" s="55" t="str">
        <f aca="false">IF(AND('Choix pédagogiques'!$C$4&lt;&gt;"?",'Choix pédagogiques'!$C$5&lt;&gt;"?",AC513&lt;&gt;""),(AC513-'Choix pédagogiques'!$C$4)/('Choix pédagogiques'!$C$5-'Choix pédagogiques'!$C$4),"")</f>
        <v/>
      </c>
      <c r="AY513" s="55" t="str">
        <f aca="false">IF(AND('Choix pédagogiques'!$C$4&lt;&gt;"?",'Choix pédagogiques'!$C$5&lt;&gt;"?",AD513&lt;&gt;""),(AD513-'Choix pédagogiques'!$C$4)/('Choix pédagogiques'!$C$5-'Choix pédagogiques'!$C$4),"")</f>
        <v/>
      </c>
      <c r="AZ513" s="53" t="str">
        <f aca="false">IF($J513&lt;&gt;"",$J513,"")</f>
        <v/>
      </c>
      <c r="BA513" s="52" t="str">
        <f aca="false">IF($A513&lt;&gt;"",$A513,"")</f>
        <v>Apprenant 501</v>
      </c>
      <c r="BB513" s="55" t="str">
        <f aca="false">IF(AND($AR513&lt;&gt;"",$AS513&lt;&gt;""),$AS513-$AR513,"")</f>
        <v/>
      </c>
      <c r="BC513" s="55" t="str">
        <f aca="false">IF(AND($AR513&lt;&gt;"",$AT513&lt;&gt;""),$AT513-$AR513,"")</f>
        <v/>
      </c>
      <c r="BD513" s="55" t="str">
        <f aca="false">IF(AND($AS513&lt;&gt;"",$AT513&lt;&gt;""),$AT513-$AS513,"")</f>
        <v/>
      </c>
      <c r="BE513" s="53" t="str">
        <f aca="false">IF($E513&lt;&gt;"",$E513,"")</f>
        <v/>
      </c>
      <c r="BF513" s="52" t="str">
        <f aca="false">IF($F513&lt;&gt;"",$F513,"")</f>
        <v>Apprenant 501 ou 501'</v>
      </c>
      <c r="BG513" s="55" t="str">
        <f aca="false">IF(AND($AW513&lt;&gt;"",$AX513&lt;&gt;""),$AX513-$AW513,"")</f>
        <v/>
      </c>
      <c r="BH513" s="55" t="str">
        <f aca="false">IF(AND($AW513&lt;&gt;"",$AY513&lt;&gt;""),$AY513-$AW513,"")</f>
        <v/>
      </c>
      <c r="BI513" s="55" t="str">
        <f aca="false">IF(AND($AX513&lt;&gt;"",$AY513&lt;&gt;""),$AY513-$AX513,"")</f>
        <v/>
      </c>
      <c r="BJ513" s="53" t="str">
        <f aca="false">IF($J513&lt;&gt;"",$J513,"")</f>
        <v/>
      </c>
      <c r="BL513" s="52"/>
      <c r="BM513" s="52" t="str">
        <f aca="false">IF(OR(COUNT(B513:D1512)=0,AND('Choix pédagogiques'!$C$3&lt;&gt;1,'Choix pédagogiques'!$C$3&lt;&gt;2)),"",IF(AND(OR('Choix pédagogiques'!$C$3=1,'Choix pédagogiques'!$C$3=2),$B513&lt;&gt;"",$C513&lt;&gt;"",$D513&lt;&gt;""),1,0))</f>
        <v/>
      </c>
      <c r="BN513" s="52" t="str">
        <f aca="false">IF(OR(COUNT(G513:I1512)=0,AND('Choix pédagogiques'!$C$3&lt;&gt;1,'Choix pédagogiques'!$C$3&lt;&gt;2)),"",IF(AND(OR('Choix pédagogiques'!$C$3=1,'Choix pédagogiques'!$C$3=2),AND($G513&lt;&gt;"",$H513&lt;&gt;"",$I513&lt;&gt;"")),1,0))</f>
        <v/>
      </c>
      <c r="BO513" s="52" t="str">
        <f aca="false">IF(OR(COUNT(B513:D1512)=0,COUNT(G513:I1512)=0,'Choix pédagogiques'!C$3&lt;&gt;3),"",IF(AND('Choix pédagogiques'!$C$3=3,$B513&lt;&gt;"",$C513&lt;&gt;"",$D513&lt;&gt;"",$G513&lt;&gt;"",$H513&lt;&gt;"",$I513&lt;&gt;""),1,0))</f>
        <v/>
      </c>
      <c r="BR513" s="52" t="n">
        <v>41</v>
      </c>
      <c r="BS513" s="52" t="n">
        <v>1365</v>
      </c>
    </row>
    <row r="514" s="54" customFormat="true" ht="18" hidden="false" customHeight="true" outlineLevel="0" collapsed="false">
      <c r="A514" s="57" t="s">
        <v>959</v>
      </c>
      <c r="B514" s="51"/>
      <c r="C514" s="51"/>
      <c r="D514" s="51"/>
      <c r="E514" s="51"/>
      <c r="F514" s="57" t="s">
        <v>960</v>
      </c>
      <c r="G514" s="51"/>
      <c r="H514" s="51"/>
      <c r="I514" s="51"/>
      <c r="J514" s="51"/>
      <c r="K514" s="52" t="str">
        <f aca="false">IF($A514&lt;&gt;"",$A514,"")</f>
        <v>Apprenant 502</v>
      </c>
      <c r="L514" s="53" t="str">
        <f aca="false">IF(AND($B514&lt;&gt;"",$C514&lt;&gt;""),$C514-$B514,"")</f>
        <v/>
      </c>
      <c r="M514" s="53" t="str">
        <f aca="false">IF(AND($B514&lt;&gt;"",$D514&lt;&gt;""),$D514-$B514,"")</f>
        <v/>
      </c>
      <c r="N514" s="53" t="str">
        <f aca="false">IF(AND($C514&lt;&gt;"",$D514&lt;&gt;""),$D514-$C514,"")</f>
        <v/>
      </c>
      <c r="O514" s="53" t="str">
        <f aca="false">IF($E514&lt;&gt;"",$E514,"")</f>
        <v/>
      </c>
      <c r="P514" s="52" t="str">
        <f aca="false">IF($F514&lt;&gt;"",$F514,"")</f>
        <v>Apprenant 502 ou 502'</v>
      </c>
      <c r="Q514" s="53" t="str">
        <f aca="false">IF(AND($G514&lt;&gt;"",$H514&lt;&gt;""),$H514-$G514,"")</f>
        <v/>
      </c>
      <c r="R514" s="53" t="str">
        <f aca="false">IF(AND($G514&lt;&gt;"",$I514&lt;&gt;""),$I514-$G514,"")</f>
        <v/>
      </c>
      <c r="S514" s="53" t="str">
        <f aca="false">IF(AND($H514&lt;&gt;"",$I514&lt;&gt;""),$I514-$H514,"")</f>
        <v/>
      </c>
      <c r="T514" s="53" t="str">
        <f aca="false">IF($J514&lt;&gt;"",$J514,"")</f>
        <v/>
      </c>
      <c r="V514" s="52" t="str">
        <f aca="false">IF($A514&lt;&gt;"",$A514,"")</f>
        <v>Apprenant 502</v>
      </c>
      <c r="W514" s="53" t="str">
        <f aca="false">IF(AND(OR('Choix pédagogiques'!$C$3=1,'Choix pédagogiques'!$C$3=2),$BM514=1),B514,IF(AND('Choix pédagogiques'!$C$3=3,$BO514=1),B514,""))</f>
        <v/>
      </c>
      <c r="X514" s="53" t="str">
        <f aca="false">IF(AND(OR('Choix pédagogiques'!$C$3=1,'Choix pédagogiques'!$C$3=2),$BM514=1),C514,IF(AND('Choix pédagogiques'!$C$3=3,$BO514=1),C514,""))</f>
        <v/>
      </c>
      <c r="Y514" s="53" t="str">
        <f aca="false">IF(AND(OR('Choix pédagogiques'!$C$3=1,'Choix pédagogiques'!$C$3=2),$BM514=1),D514,IF(AND('Choix pédagogiques'!$C$3=3,$BO514=1),D514,""))</f>
        <v/>
      </c>
      <c r="Z514" s="53" t="str">
        <f aca="false">IF($E514&lt;&gt;"",$E514,"")</f>
        <v/>
      </c>
      <c r="AA514" s="52" t="str">
        <f aca="false">IF($F514&lt;&gt;"",$F514,"")</f>
        <v>Apprenant 502 ou 502'</v>
      </c>
      <c r="AB514" s="53" t="str">
        <f aca="false">IF(AND(OR('Choix pédagogiques'!$C$3=1,'Choix pédagogiques'!$C$3=2),$BN514=1),G514,IF(AND('Choix pédagogiques'!$C$3=3,$BO514=1),G514,""))</f>
        <v/>
      </c>
      <c r="AC514" s="53" t="str">
        <f aca="false">IF(AND(OR('Choix pédagogiques'!$C$3=1,'Choix pédagogiques'!$C$3=2),$BN514=1),H514,IF(AND('Choix pédagogiques'!$C$3=3,$BO514=1),H514,""))</f>
        <v/>
      </c>
      <c r="AD514" s="53" t="str">
        <f aca="false">IF(AND(OR('Choix pédagogiques'!$C$3=1,'Choix pédagogiques'!$C$3=2),$BN514=1),I514,IF(AND('Choix pédagogiques'!$C$3=3,$BO514=1),I514,""))</f>
        <v/>
      </c>
      <c r="AE514" s="53" t="str">
        <f aca="false">IF($J514&lt;&gt;"",$J514,"")</f>
        <v/>
      </c>
      <c r="AF514" s="52" t="str">
        <f aca="false">IF($A514&lt;&gt;"",$A514,"")</f>
        <v>Apprenant 502</v>
      </c>
      <c r="AG514" s="53" t="str">
        <f aca="false">IF(AND($W514&lt;&gt;"",$X514&lt;&gt;""),$X514-$W514,"")</f>
        <v/>
      </c>
      <c r="AH514" s="53" t="str">
        <f aca="false">IF(AND($W514&lt;&gt;"",$Y514&lt;&gt;""),$Y514-$W514,"")</f>
        <v/>
      </c>
      <c r="AI514" s="53" t="str">
        <f aca="false">IF(AND($X514&lt;&gt;"",$Y514&lt;&gt;""),$Y514-$X514,"")</f>
        <v/>
      </c>
      <c r="AJ514" s="53" t="str">
        <f aca="false">IF($E514&lt;&gt;"",$E514,"")</f>
        <v/>
      </c>
      <c r="AK514" s="52" t="str">
        <f aca="false">IF($F514&lt;&gt;"",$F514,"")</f>
        <v>Apprenant 502 ou 502'</v>
      </c>
      <c r="AL514" s="53" t="str">
        <f aca="false">IF(AND($AB514&lt;&gt;"",$AC514&lt;&gt;""),$AC514-$AB514,"")</f>
        <v/>
      </c>
      <c r="AM514" s="53" t="str">
        <f aca="false">IF(AND($AB514&lt;&gt;"",$AD514&lt;&gt;""),$AD514-$AB514,"")</f>
        <v/>
      </c>
      <c r="AN514" s="53" t="str">
        <f aca="false">IF(AND($AC514&lt;&gt;"",$AD514&lt;&gt;""),$AD514-$AC514,"")</f>
        <v/>
      </c>
      <c r="AO514" s="53" t="str">
        <f aca="false">IF($J514&lt;&gt;"",$J514,"")</f>
        <v/>
      </c>
      <c r="AQ514" s="52" t="str">
        <f aca="false">IF($A514&lt;&gt;"",$A514,"")</f>
        <v>Apprenant 502</v>
      </c>
      <c r="AR514" s="55" t="str">
        <f aca="false">IF(AND('Choix pédagogiques'!$C$4&lt;&gt;"?",'Choix pédagogiques'!$C$5&lt;&gt;"?",W514&lt;&gt;""),(W514-'Choix pédagogiques'!$C$4)/('Choix pédagogiques'!$C$5-'Choix pédagogiques'!$C$4),"")</f>
        <v/>
      </c>
      <c r="AS514" s="55" t="str">
        <f aca="false">IF(AND('Choix pédagogiques'!$C$4&lt;&gt;"?",'Choix pédagogiques'!$C$5&lt;&gt;"?",X514&lt;&gt;""),(X514-'Choix pédagogiques'!$C$4)/('Choix pédagogiques'!$C$5-'Choix pédagogiques'!$C$4),"")</f>
        <v/>
      </c>
      <c r="AT514" s="55" t="str">
        <f aca="false">IF(AND('Choix pédagogiques'!$C$4&lt;&gt;"?",'Choix pédagogiques'!$C$5&lt;&gt;"?",Y514&lt;&gt;""),(Y514-'Choix pédagogiques'!$C$4)/('Choix pédagogiques'!$C$5-'Choix pédagogiques'!$C$4),"")</f>
        <v/>
      </c>
      <c r="AU514" s="53" t="str">
        <f aca="false">IF($E514&lt;&gt;"",$E514,"")</f>
        <v/>
      </c>
      <c r="AV514" s="52" t="str">
        <f aca="false">IF($F514&lt;&gt;"",$F514,"")</f>
        <v>Apprenant 502 ou 502'</v>
      </c>
      <c r="AW514" s="55" t="str">
        <f aca="false">IF(AND('Choix pédagogiques'!$C$4&lt;&gt;"?",'Choix pédagogiques'!$C$5&lt;&gt;"?",AB514&lt;&gt;""),(AB514-'Choix pédagogiques'!$C$4)/('Choix pédagogiques'!$C$5-'Choix pédagogiques'!$C$4),"")</f>
        <v/>
      </c>
      <c r="AX514" s="55" t="str">
        <f aca="false">IF(AND('Choix pédagogiques'!$C$4&lt;&gt;"?",'Choix pédagogiques'!$C$5&lt;&gt;"?",AC514&lt;&gt;""),(AC514-'Choix pédagogiques'!$C$4)/('Choix pédagogiques'!$C$5-'Choix pédagogiques'!$C$4),"")</f>
        <v/>
      </c>
      <c r="AY514" s="55" t="str">
        <f aca="false">IF(AND('Choix pédagogiques'!$C$4&lt;&gt;"?",'Choix pédagogiques'!$C$5&lt;&gt;"?",AD514&lt;&gt;""),(AD514-'Choix pédagogiques'!$C$4)/('Choix pédagogiques'!$C$5-'Choix pédagogiques'!$C$4),"")</f>
        <v/>
      </c>
      <c r="AZ514" s="53" t="str">
        <f aca="false">IF($J514&lt;&gt;"",$J514,"")</f>
        <v/>
      </c>
      <c r="BA514" s="52" t="str">
        <f aca="false">IF($A514&lt;&gt;"",$A514,"")</f>
        <v>Apprenant 502</v>
      </c>
      <c r="BB514" s="55" t="str">
        <f aca="false">IF(AND($AR514&lt;&gt;"",$AS514&lt;&gt;""),$AS514-$AR514,"")</f>
        <v/>
      </c>
      <c r="BC514" s="55" t="str">
        <f aca="false">IF(AND($AR514&lt;&gt;"",$AT514&lt;&gt;""),$AT514-$AR514,"")</f>
        <v/>
      </c>
      <c r="BD514" s="55" t="str">
        <f aca="false">IF(AND($AS514&lt;&gt;"",$AT514&lt;&gt;""),$AT514-$AS514,"")</f>
        <v/>
      </c>
      <c r="BE514" s="53" t="str">
        <f aca="false">IF($E514&lt;&gt;"",$E514,"")</f>
        <v/>
      </c>
      <c r="BF514" s="52" t="str">
        <f aca="false">IF($F514&lt;&gt;"",$F514,"")</f>
        <v>Apprenant 502 ou 502'</v>
      </c>
      <c r="BG514" s="55" t="str">
        <f aca="false">IF(AND($AW514&lt;&gt;"",$AX514&lt;&gt;""),$AX514-$AW514,"")</f>
        <v/>
      </c>
      <c r="BH514" s="55" t="str">
        <f aca="false">IF(AND($AW514&lt;&gt;"",$AY514&lt;&gt;""),$AY514-$AW514,"")</f>
        <v/>
      </c>
      <c r="BI514" s="55" t="str">
        <f aca="false">IF(AND($AX514&lt;&gt;"",$AY514&lt;&gt;""),$AY514-$AX514,"")</f>
        <v/>
      </c>
      <c r="BJ514" s="53" t="str">
        <f aca="false">IF($J514&lt;&gt;"",$J514,"")</f>
        <v/>
      </c>
      <c r="BL514" s="52"/>
      <c r="BM514" s="52" t="str">
        <f aca="false">IF(OR(COUNT(B514:D1513)=0,AND('Choix pédagogiques'!$C$3&lt;&gt;1,'Choix pédagogiques'!$C$3&lt;&gt;2)),"",IF(AND(OR('Choix pédagogiques'!$C$3=1,'Choix pédagogiques'!$C$3=2),$B514&lt;&gt;"",$C514&lt;&gt;"",$D514&lt;&gt;""),1,0))</f>
        <v/>
      </c>
      <c r="BN514" s="52" t="str">
        <f aca="false">IF(OR(COUNT(G514:I1513)=0,AND('Choix pédagogiques'!$C$3&lt;&gt;1,'Choix pédagogiques'!$C$3&lt;&gt;2)),"",IF(AND(OR('Choix pédagogiques'!$C$3=1,'Choix pédagogiques'!$C$3=2),AND($G514&lt;&gt;"",$H514&lt;&gt;"",$I514&lt;&gt;"")),1,0))</f>
        <v/>
      </c>
      <c r="BO514" s="52" t="str">
        <f aca="false">IF(OR(COUNT(B514:D1513)=0,COUNT(G514:I1513)=0,'Choix pédagogiques'!C$3&lt;&gt;3),"",IF(AND('Choix pédagogiques'!$C$3=3,$B514&lt;&gt;"",$C514&lt;&gt;"",$D514&lt;&gt;"",$G514&lt;&gt;"",$H514&lt;&gt;"",$I514&lt;&gt;""),1,0))</f>
        <v/>
      </c>
      <c r="BR514" s="52" t="n">
        <v>694</v>
      </c>
      <c r="BS514" s="52" t="n">
        <v>1927</v>
      </c>
    </row>
    <row r="515" s="54" customFormat="true" ht="18" hidden="false" customHeight="true" outlineLevel="0" collapsed="false">
      <c r="A515" s="57" t="s">
        <v>961</v>
      </c>
      <c r="B515" s="51"/>
      <c r="C515" s="51"/>
      <c r="D515" s="51"/>
      <c r="E515" s="51"/>
      <c r="F515" s="57" t="s">
        <v>962</v>
      </c>
      <c r="G515" s="51"/>
      <c r="H515" s="51"/>
      <c r="I515" s="51"/>
      <c r="J515" s="51"/>
      <c r="K515" s="52" t="str">
        <f aca="false">IF($A515&lt;&gt;"",$A515,"")</f>
        <v>Apprenant 503</v>
      </c>
      <c r="L515" s="53" t="str">
        <f aca="false">IF(AND($B515&lt;&gt;"",$C515&lt;&gt;""),$C515-$B515,"")</f>
        <v/>
      </c>
      <c r="M515" s="53" t="str">
        <f aca="false">IF(AND($B515&lt;&gt;"",$D515&lt;&gt;""),$D515-$B515,"")</f>
        <v/>
      </c>
      <c r="N515" s="53" t="str">
        <f aca="false">IF(AND($C515&lt;&gt;"",$D515&lt;&gt;""),$D515-$C515,"")</f>
        <v/>
      </c>
      <c r="O515" s="53" t="str">
        <f aca="false">IF($E515&lt;&gt;"",$E515,"")</f>
        <v/>
      </c>
      <c r="P515" s="52" t="str">
        <f aca="false">IF($F515&lt;&gt;"",$F515,"")</f>
        <v>Apprenant 503 ou 503'</v>
      </c>
      <c r="Q515" s="53" t="str">
        <f aca="false">IF(AND($G515&lt;&gt;"",$H515&lt;&gt;""),$H515-$G515,"")</f>
        <v/>
      </c>
      <c r="R515" s="53" t="str">
        <f aca="false">IF(AND($G515&lt;&gt;"",$I515&lt;&gt;""),$I515-$G515,"")</f>
        <v/>
      </c>
      <c r="S515" s="53" t="str">
        <f aca="false">IF(AND($H515&lt;&gt;"",$I515&lt;&gt;""),$I515-$H515,"")</f>
        <v/>
      </c>
      <c r="T515" s="53" t="str">
        <f aca="false">IF($J515&lt;&gt;"",$J515,"")</f>
        <v/>
      </c>
      <c r="V515" s="52" t="str">
        <f aca="false">IF($A515&lt;&gt;"",$A515,"")</f>
        <v>Apprenant 503</v>
      </c>
      <c r="W515" s="53" t="str">
        <f aca="false">IF(AND(OR('Choix pédagogiques'!$C$3=1,'Choix pédagogiques'!$C$3=2),$BM515=1),B515,IF(AND('Choix pédagogiques'!$C$3=3,$BO515=1),B515,""))</f>
        <v/>
      </c>
      <c r="X515" s="53" t="str">
        <f aca="false">IF(AND(OR('Choix pédagogiques'!$C$3=1,'Choix pédagogiques'!$C$3=2),$BM515=1),C515,IF(AND('Choix pédagogiques'!$C$3=3,$BO515=1),C515,""))</f>
        <v/>
      </c>
      <c r="Y515" s="53" t="str">
        <f aca="false">IF(AND(OR('Choix pédagogiques'!$C$3=1,'Choix pédagogiques'!$C$3=2),$BM515=1),D515,IF(AND('Choix pédagogiques'!$C$3=3,$BO515=1),D515,""))</f>
        <v/>
      </c>
      <c r="Z515" s="53" t="str">
        <f aca="false">IF($E515&lt;&gt;"",$E515,"")</f>
        <v/>
      </c>
      <c r="AA515" s="52" t="str">
        <f aca="false">IF($F515&lt;&gt;"",$F515,"")</f>
        <v>Apprenant 503 ou 503'</v>
      </c>
      <c r="AB515" s="53" t="str">
        <f aca="false">IF(AND(OR('Choix pédagogiques'!$C$3=1,'Choix pédagogiques'!$C$3=2),$BN515=1),G515,IF(AND('Choix pédagogiques'!$C$3=3,$BO515=1),G515,""))</f>
        <v/>
      </c>
      <c r="AC515" s="53" t="str">
        <f aca="false">IF(AND(OR('Choix pédagogiques'!$C$3=1,'Choix pédagogiques'!$C$3=2),$BN515=1),H515,IF(AND('Choix pédagogiques'!$C$3=3,$BO515=1),H515,""))</f>
        <v/>
      </c>
      <c r="AD515" s="53" t="str">
        <f aca="false">IF(AND(OR('Choix pédagogiques'!$C$3=1,'Choix pédagogiques'!$C$3=2),$BN515=1),I515,IF(AND('Choix pédagogiques'!$C$3=3,$BO515=1),I515,""))</f>
        <v/>
      </c>
      <c r="AE515" s="53" t="str">
        <f aca="false">IF($J515&lt;&gt;"",$J515,"")</f>
        <v/>
      </c>
      <c r="AF515" s="52" t="str">
        <f aca="false">IF($A515&lt;&gt;"",$A515,"")</f>
        <v>Apprenant 503</v>
      </c>
      <c r="AG515" s="53" t="str">
        <f aca="false">IF(AND($W515&lt;&gt;"",$X515&lt;&gt;""),$X515-$W515,"")</f>
        <v/>
      </c>
      <c r="AH515" s="53" t="str">
        <f aca="false">IF(AND($W515&lt;&gt;"",$Y515&lt;&gt;""),$Y515-$W515,"")</f>
        <v/>
      </c>
      <c r="AI515" s="53" t="str">
        <f aca="false">IF(AND($X515&lt;&gt;"",$Y515&lt;&gt;""),$Y515-$X515,"")</f>
        <v/>
      </c>
      <c r="AJ515" s="53" t="str">
        <f aca="false">IF($E515&lt;&gt;"",$E515,"")</f>
        <v/>
      </c>
      <c r="AK515" s="52" t="str">
        <f aca="false">IF($F515&lt;&gt;"",$F515,"")</f>
        <v>Apprenant 503 ou 503'</v>
      </c>
      <c r="AL515" s="53" t="str">
        <f aca="false">IF(AND($AB515&lt;&gt;"",$AC515&lt;&gt;""),$AC515-$AB515,"")</f>
        <v/>
      </c>
      <c r="AM515" s="53" t="str">
        <f aca="false">IF(AND($AB515&lt;&gt;"",$AD515&lt;&gt;""),$AD515-$AB515,"")</f>
        <v/>
      </c>
      <c r="AN515" s="53" t="str">
        <f aca="false">IF(AND($AC515&lt;&gt;"",$AD515&lt;&gt;""),$AD515-$AC515,"")</f>
        <v/>
      </c>
      <c r="AO515" s="53" t="str">
        <f aca="false">IF($J515&lt;&gt;"",$J515,"")</f>
        <v/>
      </c>
      <c r="AQ515" s="52" t="str">
        <f aca="false">IF($A515&lt;&gt;"",$A515,"")</f>
        <v>Apprenant 503</v>
      </c>
      <c r="AR515" s="55" t="str">
        <f aca="false">IF(AND('Choix pédagogiques'!$C$4&lt;&gt;"?",'Choix pédagogiques'!$C$5&lt;&gt;"?",W515&lt;&gt;""),(W515-'Choix pédagogiques'!$C$4)/('Choix pédagogiques'!$C$5-'Choix pédagogiques'!$C$4),"")</f>
        <v/>
      </c>
      <c r="AS515" s="55" t="str">
        <f aca="false">IF(AND('Choix pédagogiques'!$C$4&lt;&gt;"?",'Choix pédagogiques'!$C$5&lt;&gt;"?",X515&lt;&gt;""),(X515-'Choix pédagogiques'!$C$4)/('Choix pédagogiques'!$C$5-'Choix pédagogiques'!$C$4),"")</f>
        <v/>
      </c>
      <c r="AT515" s="55" t="str">
        <f aca="false">IF(AND('Choix pédagogiques'!$C$4&lt;&gt;"?",'Choix pédagogiques'!$C$5&lt;&gt;"?",Y515&lt;&gt;""),(Y515-'Choix pédagogiques'!$C$4)/('Choix pédagogiques'!$C$5-'Choix pédagogiques'!$C$4),"")</f>
        <v/>
      </c>
      <c r="AU515" s="53" t="str">
        <f aca="false">IF($E515&lt;&gt;"",$E515,"")</f>
        <v/>
      </c>
      <c r="AV515" s="52" t="str">
        <f aca="false">IF($F515&lt;&gt;"",$F515,"")</f>
        <v>Apprenant 503 ou 503'</v>
      </c>
      <c r="AW515" s="55" t="str">
        <f aca="false">IF(AND('Choix pédagogiques'!$C$4&lt;&gt;"?",'Choix pédagogiques'!$C$5&lt;&gt;"?",AB515&lt;&gt;""),(AB515-'Choix pédagogiques'!$C$4)/('Choix pédagogiques'!$C$5-'Choix pédagogiques'!$C$4),"")</f>
        <v/>
      </c>
      <c r="AX515" s="55" t="str">
        <f aca="false">IF(AND('Choix pédagogiques'!$C$4&lt;&gt;"?",'Choix pédagogiques'!$C$5&lt;&gt;"?",AC515&lt;&gt;""),(AC515-'Choix pédagogiques'!$C$4)/('Choix pédagogiques'!$C$5-'Choix pédagogiques'!$C$4),"")</f>
        <v/>
      </c>
      <c r="AY515" s="55" t="str">
        <f aca="false">IF(AND('Choix pédagogiques'!$C$4&lt;&gt;"?",'Choix pédagogiques'!$C$5&lt;&gt;"?",AD515&lt;&gt;""),(AD515-'Choix pédagogiques'!$C$4)/('Choix pédagogiques'!$C$5-'Choix pédagogiques'!$C$4),"")</f>
        <v/>
      </c>
      <c r="AZ515" s="53" t="str">
        <f aca="false">IF($J515&lt;&gt;"",$J515,"")</f>
        <v/>
      </c>
      <c r="BA515" s="52" t="str">
        <f aca="false">IF($A515&lt;&gt;"",$A515,"")</f>
        <v>Apprenant 503</v>
      </c>
      <c r="BB515" s="55" t="str">
        <f aca="false">IF(AND($AR515&lt;&gt;"",$AS515&lt;&gt;""),$AS515-$AR515,"")</f>
        <v/>
      </c>
      <c r="BC515" s="55" t="str">
        <f aca="false">IF(AND($AR515&lt;&gt;"",$AT515&lt;&gt;""),$AT515-$AR515,"")</f>
        <v/>
      </c>
      <c r="BD515" s="55" t="str">
        <f aca="false">IF(AND($AS515&lt;&gt;"",$AT515&lt;&gt;""),$AT515-$AS515,"")</f>
        <v/>
      </c>
      <c r="BE515" s="53" t="str">
        <f aca="false">IF($E515&lt;&gt;"",$E515,"")</f>
        <v/>
      </c>
      <c r="BF515" s="52" t="str">
        <f aca="false">IF($F515&lt;&gt;"",$F515,"")</f>
        <v>Apprenant 503 ou 503'</v>
      </c>
      <c r="BG515" s="55" t="str">
        <f aca="false">IF(AND($AW515&lt;&gt;"",$AX515&lt;&gt;""),$AX515-$AW515,"")</f>
        <v/>
      </c>
      <c r="BH515" s="55" t="str">
        <f aca="false">IF(AND($AW515&lt;&gt;"",$AY515&lt;&gt;""),$AY515-$AW515,"")</f>
        <v/>
      </c>
      <c r="BI515" s="55" t="str">
        <f aca="false">IF(AND($AX515&lt;&gt;"",$AY515&lt;&gt;""),$AY515-$AX515,"")</f>
        <v/>
      </c>
      <c r="BJ515" s="53" t="str">
        <f aca="false">IF($J515&lt;&gt;"",$J515,"")</f>
        <v/>
      </c>
      <c r="BL515" s="52"/>
      <c r="BM515" s="52" t="str">
        <f aca="false">IF(OR(COUNT(B515:D1514)=0,AND('Choix pédagogiques'!$C$3&lt;&gt;1,'Choix pédagogiques'!$C$3&lt;&gt;2)),"",IF(AND(OR('Choix pédagogiques'!$C$3=1,'Choix pédagogiques'!$C$3=2),$B515&lt;&gt;"",$C515&lt;&gt;"",$D515&lt;&gt;""),1,0))</f>
        <v/>
      </c>
      <c r="BN515" s="52" t="str">
        <f aca="false">IF(OR(COUNT(G515:I1514)=0,AND('Choix pédagogiques'!$C$3&lt;&gt;1,'Choix pédagogiques'!$C$3&lt;&gt;2)),"",IF(AND(OR('Choix pédagogiques'!$C$3=1,'Choix pédagogiques'!$C$3=2),AND($G515&lt;&gt;"",$H515&lt;&gt;"",$I515&lt;&gt;"")),1,0))</f>
        <v/>
      </c>
      <c r="BO515" s="52" t="str">
        <f aca="false">IF(OR(COUNT(B515:D1514)=0,COUNT(G515:I1514)=0,'Choix pédagogiques'!C$3&lt;&gt;3),"",IF(AND('Choix pédagogiques'!$C$3=3,$B515&lt;&gt;"",$C515&lt;&gt;"",$D515&lt;&gt;"",$G515&lt;&gt;"",$H515&lt;&gt;"",$I515&lt;&gt;""),1,0))</f>
        <v/>
      </c>
      <c r="BR515" s="52" t="n">
        <v>871</v>
      </c>
      <c r="BS515" s="52" t="n">
        <v>1904</v>
      </c>
    </row>
    <row r="516" s="54" customFormat="true" ht="18" hidden="false" customHeight="true" outlineLevel="0" collapsed="false">
      <c r="A516" s="57" t="s">
        <v>963</v>
      </c>
      <c r="B516" s="51"/>
      <c r="C516" s="51"/>
      <c r="D516" s="51"/>
      <c r="E516" s="51"/>
      <c r="F516" s="57" t="s">
        <v>964</v>
      </c>
      <c r="G516" s="51"/>
      <c r="H516" s="51"/>
      <c r="I516" s="51"/>
      <c r="J516" s="51"/>
      <c r="K516" s="52" t="str">
        <f aca="false">IF($A516&lt;&gt;"",$A516,"")</f>
        <v>Apprenant 504</v>
      </c>
      <c r="L516" s="53" t="str">
        <f aca="false">IF(AND($B516&lt;&gt;"",$C516&lt;&gt;""),$C516-$B516,"")</f>
        <v/>
      </c>
      <c r="M516" s="53" t="str">
        <f aca="false">IF(AND($B516&lt;&gt;"",$D516&lt;&gt;""),$D516-$B516,"")</f>
        <v/>
      </c>
      <c r="N516" s="53" t="str">
        <f aca="false">IF(AND($C516&lt;&gt;"",$D516&lt;&gt;""),$D516-$C516,"")</f>
        <v/>
      </c>
      <c r="O516" s="53" t="str">
        <f aca="false">IF($E516&lt;&gt;"",$E516,"")</f>
        <v/>
      </c>
      <c r="P516" s="52" t="str">
        <f aca="false">IF($F516&lt;&gt;"",$F516,"")</f>
        <v>Apprenant 504 ou 504'</v>
      </c>
      <c r="Q516" s="53" t="str">
        <f aca="false">IF(AND($G516&lt;&gt;"",$H516&lt;&gt;""),$H516-$G516,"")</f>
        <v/>
      </c>
      <c r="R516" s="53" t="str">
        <f aca="false">IF(AND($G516&lt;&gt;"",$I516&lt;&gt;""),$I516-$G516,"")</f>
        <v/>
      </c>
      <c r="S516" s="53" t="str">
        <f aca="false">IF(AND($H516&lt;&gt;"",$I516&lt;&gt;""),$I516-$H516,"")</f>
        <v/>
      </c>
      <c r="T516" s="53" t="str">
        <f aca="false">IF($J516&lt;&gt;"",$J516,"")</f>
        <v/>
      </c>
      <c r="V516" s="52" t="str">
        <f aca="false">IF($A516&lt;&gt;"",$A516,"")</f>
        <v>Apprenant 504</v>
      </c>
      <c r="W516" s="53" t="str">
        <f aca="false">IF(AND(OR('Choix pédagogiques'!$C$3=1,'Choix pédagogiques'!$C$3=2),$BM516=1),B516,IF(AND('Choix pédagogiques'!$C$3=3,$BO516=1),B516,""))</f>
        <v/>
      </c>
      <c r="X516" s="53" t="str">
        <f aca="false">IF(AND(OR('Choix pédagogiques'!$C$3=1,'Choix pédagogiques'!$C$3=2),$BM516=1),C516,IF(AND('Choix pédagogiques'!$C$3=3,$BO516=1),C516,""))</f>
        <v/>
      </c>
      <c r="Y516" s="53" t="str">
        <f aca="false">IF(AND(OR('Choix pédagogiques'!$C$3=1,'Choix pédagogiques'!$C$3=2),$BM516=1),D516,IF(AND('Choix pédagogiques'!$C$3=3,$BO516=1),D516,""))</f>
        <v/>
      </c>
      <c r="Z516" s="53" t="str">
        <f aca="false">IF($E516&lt;&gt;"",$E516,"")</f>
        <v/>
      </c>
      <c r="AA516" s="52" t="str">
        <f aca="false">IF($F516&lt;&gt;"",$F516,"")</f>
        <v>Apprenant 504 ou 504'</v>
      </c>
      <c r="AB516" s="53" t="str">
        <f aca="false">IF(AND(OR('Choix pédagogiques'!$C$3=1,'Choix pédagogiques'!$C$3=2),$BN516=1),G516,IF(AND('Choix pédagogiques'!$C$3=3,$BO516=1),G516,""))</f>
        <v/>
      </c>
      <c r="AC516" s="53" t="str">
        <f aca="false">IF(AND(OR('Choix pédagogiques'!$C$3=1,'Choix pédagogiques'!$C$3=2),$BN516=1),H516,IF(AND('Choix pédagogiques'!$C$3=3,$BO516=1),H516,""))</f>
        <v/>
      </c>
      <c r="AD516" s="53" t="str">
        <f aca="false">IF(AND(OR('Choix pédagogiques'!$C$3=1,'Choix pédagogiques'!$C$3=2),$BN516=1),I516,IF(AND('Choix pédagogiques'!$C$3=3,$BO516=1),I516,""))</f>
        <v/>
      </c>
      <c r="AE516" s="53" t="str">
        <f aca="false">IF($J516&lt;&gt;"",$J516,"")</f>
        <v/>
      </c>
      <c r="AF516" s="52" t="str">
        <f aca="false">IF($A516&lt;&gt;"",$A516,"")</f>
        <v>Apprenant 504</v>
      </c>
      <c r="AG516" s="53" t="str">
        <f aca="false">IF(AND($W516&lt;&gt;"",$X516&lt;&gt;""),$X516-$W516,"")</f>
        <v/>
      </c>
      <c r="AH516" s="53" t="str">
        <f aca="false">IF(AND($W516&lt;&gt;"",$Y516&lt;&gt;""),$Y516-$W516,"")</f>
        <v/>
      </c>
      <c r="AI516" s="53" t="str">
        <f aca="false">IF(AND($X516&lt;&gt;"",$Y516&lt;&gt;""),$Y516-$X516,"")</f>
        <v/>
      </c>
      <c r="AJ516" s="53" t="str">
        <f aca="false">IF($E516&lt;&gt;"",$E516,"")</f>
        <v/>
      </c>
      <c r="AK516" s="52" t="str">
        <f aca="false">IF($F516&lt;&gt;"",$F516,"")</f>
        <v>Apprenant 504 ou 504'</v>
      </c>
      <c r="AL516" s="53" t="str">
        <f aca="false">IF(AND($AB516&lt;&gt;"",$AC516&lt;&gt;""),$AC516-$AB516,"")</f>
        <v/>
      </c>
      <c r="AM516" s="53" t="str">
        <f aca="false">IF(AND($AB516&lt;&gt;"",$AD516&lt;&gt;""),$AD516-$AB516,"")</f>
        <v/>
      </c>
      <c r="AN516" s="53" t="str">
        <f aca="false">IF(AND($AC516&lt;&gt;"",$AD516&lt;&gt;""),$AD516-$AC516,"")</f>
        <v/>
      </c>
      <c r="AO516" s="53" t="str">
        <f aca="false">IF($J516&lt;&gt;"",$J516,"")</f>
        <v/>
      </c>
      <c r="AQ516" s="52" t="str">
        <f aca="false">IF($A516&lt;&gt;"",$A516,"")</f>
        <v>Apprenant 504</v>
      </c>
      <c r="AR516" s="55" t="str">
        <f aca="false">IF(AND('Choix pédagogiques'!$C$4&lt;&gt;"?",'Choix pédagogiques'!$C$5&lt;&gt;"?",W516&lt;&gt;""),(W516-'Choix pédagogiques'!$C$4)/('Choix pédagogiques'!$C$5-'Choix pédagogiques'!$C$4),"")</f>
        <v/>
      </c>
      <c r="AS516" s="55" t="str">
        <f aca="false">IF(AND('Choix pédagogiques'!$C$4&lt;&gt;"?",'Choix pédagogiques'!$C$5&lt;&gt;"?",X516&lt;&gt;""),(X516-'Choix pédagogiques'!$C$4)/('Choix pédagogiques'!$C$5-'Choix pédagogiques'!$C$4),"")</f>
        <v/>
      </c>
      <c r="AT516" s="55" t="str">
        <f aca="false">IF(AND('Choix pédagogiques'!$C$4&lt;&gt;"?",'Choix pédagogiques'!$C$5&lt;&gt;"?",Y516&lt;&gt;""),(Y516-'Choix pédagogiques'!$C$4)/('Choix pédagogiques'!$C$5-'Choix pédagogiques'!$C$4),"")</f>
        <v/>
      </c>
      <c r="AU516" s="53" t="str">
        <f aca="false">IF($E516&lt;&gt;"",$E516,"")</f>
        <v/>
      </c>
      <c r="AV516" s="52" t="str">
        <f aca="false">IF($F516&lt;&gt;"",$F516,"")</f>
        <v>Apprenant 504 ou 504'</v>
      </c>
      <c r="AW516" s="55" t="str">
        <f aca="false">IF(AND('Choix pédagogiques'!$C$4&lt;&gt;"?",'Choix pédagogiques'!$C$5&lt;&gt;"?",AB516&lt;&gt;""),(AB516-'Choix pédagogiques'!$C$4)/('Choix pédagogiques'!$C$5-'Choix pédagogiques'!$C$4),"")</f>
        <v/>
      </c>
      <c r="AX516" s="55" t="str">
        <f aca="false">IF(AND('Choix pédagogiques'!$C$4&lt;&gt;"?",'Choix pédagogiques'!$C$5&lt;&gt;"?",AC516&lt;&gt;""),(AC516-'Choix pédagogiques'!$C$4)/('Choix pédagogiques'!$C$5-'Choix pédagogiques'!$C$4),"")</f>
        <v/>
      </c>
      <c r="AY516" s="55" t="str">
        <f aca="false">IF(AND('Choix pédagogiques'!$C$4&lt;&gt;"?",'Choix pédagogiques'!$C$5&lt;&gt;"?",AD516&lt;&gt;""),(AD516-'Choix pédagogiques'!$C$4)/('Choix pédagogiques'!$C$5-'Choix pédagogiques'!$C$4),"")</f>
        <v/>
      </c>
      <c r="AZ516" s="53" t="str">
        <f aca="false">IF($J516&lt;&gt;"",$J516,"")</f>
        <v/>
      </c>
      <c r="BA516" s="52" t="str">
        <f aca="false">IF($A516&lt;&gt;"",$A516,"")</f>
        <v>Apprenant 504</v>
      </c>
      <c r="BB516" s="55" t="str">
        <f aca="false">IF(AND($AR516&lt;&gt;"",$AS516&lt;&gt;""),$AS516-$AR516,"")</f>
        <v/>
      </c>
      <c r="BC516" s="55" t="str">
        <f aca="false">IF(AND($AR516&lt;&gt;"",$AT516&lt;&gt;""),$AT516-$AR516,"")</f>
        <v/>
      </c>
      <c r="BD516" s="55" t="str">
        <f aca="false">IF(AND($AS516&lt;&gt;"",$AT516&lt;&gt;""),$AT516-$AS516,"")</f>
        <v/>
      </c>
      <c r="BE516" s="53" t="str">
        <f aca="false">IF($E516&lt;&gt;"",$E516,"")</f>
        <v/>
      </c>
      <c r="BF516" s="52" t="str">
        <f aca="false">IF($F516&lt;&gt;"",$F516,"")</f>
        <v>Apprenant 504 ou 504'</v>
      </c>
      <c r="BG516" s="55" t="str">
        <f aca="false">IF(AND($AW516&lt;&gt;"",$AX516&lt;&gt;""),$AX516-$AW516,"")</f>
        <v/>
      </c>
      <c r="BH516" s="55" t="str">
        <f aca="false">IF(AND($AW516&lt;&gt;"",$AY516&lt;&gt;""),$AY516-$AW516,"")</f>
        <v/>
      </c>
      <c r="BI516" s="55" t="str">
        <f aca="false">IF(AND($AX516&lt;&gt;"",$AY516&lt;&gt;""),$AY516-$AX516,"")</f>
        <v/>
      </c>
      <c r="BJ516" s="53" t="str">
        <f aca="false">IF($J516&lt;&gt;"",$J516,"")</f>
        <v/>
      </c>
      <c r="BL516" s="52"/>
      <c r="BM516" s="52" t="str">
        <f aca="false">IF(OR(COUNT(B516:D1515)=0,AND('Choix pédagogiques'!$C$3&lt;&gt;1,'Choix pédagogiques'!$C$3&lt;&gt;2)),"",IF(AND(OR('Choix pédagogiques'!$C$3=1,'Choix pédagogiques'!$C$3=2),$B516&lt;&gt;"",$C516&lt;&gt;"",$D516&lt;&gt;""),1,0))</f>
        <v/>
      </c>
      <c r="BN516" s="52" t="str">
        <f aca="false">IF(OR(COUNT(G516:I1515)=0,AND('Choix pédagogiques'!$C$3&lt;&gt;1,'Choix pédagogiques'!$C$3&lt;&gt;2)),"",IF(AND(OR('Choix pédagogiques'!$C$3=1,'Choix pédagogiques'!$C$3=2),AND($G516&lt;&gt;"",$H516&lt;&gt;"",$I516&lt;&gt;"")),1,0))</f>
        <v/>
      </c>
      <c r="BO516" s="52" t="str">
        <f aca="false">IF(OR(COUNT(B516:D1515)=0,COUNT(G516:I1515)=0,'Choix pédagogiques'!C$3&lt;&gt;3),"",IF(AND('Choix pédagogiques'!$C$3=3,$B516&lt;&gt;"",$C516&lt;&gt;"",$D516&lt;&gt;"",$G516&lt;&gt;"",$H516&lt;&gt;"",$I516&lt;&gt;""),1,0))</f>
        <v/>
      </c>
      <c r="BR516" s="52" t="n">
        <v>728</v>
      </c>
      <c r="BS516" s="52" t="n">
        <v>1486</v>
      </c>
    </row>
    <row r="517" s="54" customFormat="true" ht="18" hidden="false" customHeight="true" outlineLevel="0" collapsed="false">
      <c r="A517" s="57" t="s">
        <v>965</v>
      </c>
      <c r="B517" s="51"/>
      <c r="C517" s="51"/>
      <c r="D517" s="51"/>
      <c r="E517" s="51"/>
      <c r="F517" s="57" t="s">
        <v>966</v>
      </c>
      <c r="G517" s="51"/>
      <c r="H517" s="51"/>
      <c r="I517" s="51"/>
      <c r="J517" s="51"/>
      <c r="K517" s="52" t="str">
        <f aca="false">IF($A517&lt;&gt;"",$A517,"")</f>
        <v>Apprenant 505</v>
      </c>
      <c r="L517" s="53" t="str">
        <f aca="false">IF(AND($B517&lt;&gt;"",$C517&lt;&gt;""),$C517-$B517,"")</f>
        <v/>
      </c>
      <c r="M517" s="53" t="str">
        <f aca="false">IF(AND($B517&lt;&gt;"",$D517&lt;&gt;""),$D517-$B517,"")</f>
        <v/>
      </c>
      <c r="N517" s="53" t="str">
        <f aca="false">IF(AND($C517&lt;&gt;"",$D517&lt;&gt;""),$D517-$C517,"")</f>
        <v/>
      </c>
      <c r="O517" s="53" t="str">
        <f aca="false">IF($E517&lt;&gt;"",$E517,"")</f>
        <v/>
      </c>
      <c r="P517" s="52" t="str">
        <f aca="false">IF($F517&lt;&gt;"",$F517,"")</f>
        <v>Apprenant 505 ou 505'</v>
      </c>
      <c r="Q517" s="53" t="str">
        <f aca="false">IF(AND($G517&lt;&gt;"",$H517&lt;&gt;""),$H517-$G517,"")</f>
        <v/>
      </c>
      <c r="R517" s="53" t="str">
        <f aca="false">IF(AND($G517&lt;&gt;"",$I517&lt;&gt;""),$I517-$G517,"")</f>
        <v/>
      </c>
      <c r="S517" s="53" t="str">
        <f aca="false">IF(AND($H517&lt;&gt;"",$I517&lt;&gt;""),$I517-$H517,"")</f>
        <v/>
      </c>
      <c r="T517" s="53" t="str">
        <f aca="false">IF($J517&lt;&gt;"",$J517,"")</f>
        <v/>
      </c>
      <c r="V517" s="52" t="str">
        <f aca="false">IF($A517&lt;&gt;"",$A517,"")</f>
        <v>Apprenant 505</v>
      </c>
      <c r="W517" s="53" t="str">
        <f aca="false">IF(AND(OR('Choix pédagogiques'!$C$3=1,'Choix pédagogiques'!$C$3=2),$BM517=1),B517,IF(AND('Choix pédagogiques'!$C$3=3,$BO517=1),B517,""))</f>
        <v/>
      </c>
      <c r="X517" s="53" t="str">
        <f aca="false">IF(AND(OR('Choix pédagogiques'!$C$3=1,'Choix pédagogiques'!$C$3=2),$BM517=1),C517,IF(AND('Choix pédagogiques'!$C$3=3,$BO517=1),C517,""))</f>
        <v/>
      </c>
      <c r="Y517" s="53" t="str">
        <f aca="false">IF(AND(OR('Choix pédagogiques'!$C$3=1,'Choix pédagogiques'!$C$3=2),$BM517=1),D517,IF(AND('Choix pédagogiques'!$C$3=3,$BO517=1),D517,""))</f>
        <v/>
      </c>
      <c r="Z517" s="53" t="str">
        <f aca="false">IF($E517&lt;&gt;"",$E517,"")</f>
        <v/>
      </c>
      <c r="AA517" s="52" t="str">
        <f aca="false">IF($F517&lt;&gt;"",$F517,"")</f>
        <v>Apprenant 505 ou 505'</v>
      </c>
      <c r="AB517" s="53" t="str">
        <f aca="false">IF(AND(OR('Choix pédagogiques'!$C$3=1,'Choix pédagogiques'!$C$3=2),$BN517=1),G517,IF(AND('Choix pédagogiques'!$C$3=3,$BO517=1),G517,""))</f>
        <v/>
      </c>
      <c r="AC517" s="53" t="str">
        <f aca="false">IF(AND(OR('Choix pédagogiques'!$C$3=1,'Choix pédagogiques'!$C$3=2),$BN517=1),H517,IF(AND('Choix pédagogiques'!$C$3=3,$BO517=1),H517,""))</f>
        <v/>
      </c>
      <c r="AD517" s="53" t="str">
        <f aca="false">IF(AND(OR('Choix pédagogiques'!$C$3=1,'Choix pédagogiques'!$C$3=2),$BN517=1),I517,IF(AND('Choix pédagogiques'!$C$3=3,$BO517=1),I517,""))</f>
        <v/>
      </c>
      <c r="AE517" s="53" t="str">
        <f aca="false">IF($J517&lt;&gt;"",$J517,"")</f>
        <v/>
      </c>
      <c r="AF517" s="52" t="str">
        <f aca="false">IF($A517&lt;&gt;"",$A517,"")</f>
        <v>Apprenant 505</v>
      </c>
      <c r="AG517" s="53" t="str">
        <f aca="false">IF(AND($W517&lt;&gt;"",$X517&lt;&gt;""),$X517-$W517,"")</f>
        <v/>
      </c>
      <c r="AH517" s="53" t="str">
        <f aca="false">IF(AND($W517&lt;&gt;"",$Y517&lt;&gt;""),$Y517-$W517,"")</f>
        <v/>
      </c>
      <c r="AI517" s="53" t="str">
        <f aca="false">IF(AND($X517&lt;&gt;"",$Y517&lt;&gt;""),$Y517-$X517,"")</f>
        <v/>
      </c>
      <c r="AJ517" s="53" t="str">
        <f aca="false">IF($E517&lt;&gt;"",$E517,"")</f>
        <v/>
      </c>
      <c r="AK517" s="52" t="str">
        <f aca="false">IF($F517&lt;&gt;"",$F517,"")</f>
        <v>Apprenant 505 ou 505'</v>
      </c>
      <c r="AL517" s="53" t="str">
        <f aca="false">IF(AND($AB517&lt;&gt;"",$AC517&lt;&gt;""),$AC517-$AB517,"")</f>
        <v/>
      </c>
      <c r="AM517" s="53" t="str">
        <f aca="false">IF(AND($AB517&lt;&gt;"",$AD517&lt;&gt;""),$AD517-$AB517,"")</f>
        <v/>
      </c>
      <c r="AN517" s="53" t="str">
        <f aca="false">IF(AND($AC517&lt;&gt;"",$AD517&lt;&gt;""),$AD517-$AC517,"")</f>
        <v/>
      </c>
      <c r="AO517" s="53" t="str">
        <f aca="false">IF($J517&lt;&gt;"",$J517,"")</f>
        <v/>
      </c>
      <c r="AQ517" s="52" t="str">
        <f aca="false">IF($A517&lt;&gt;"",$A517,"")</f>
        <v>Apprenant 505</v>
      </c>
      <c r="AR517" s="55" t="str">
        <f aca="false">IF(AND('Choix pédagogiques'!$C$4&lt;&gt;"?",'Choix pédagogiques'!$C$5&lt;&gt;"?",W517&lt;&gt;""),(W517-'Choix pédagogiques'!$C$4)/('Choix pédagogiques'!$C$5-'Choix pédagogiques'!$C$4),"")</f>
        <v/>
      </c>
      <c r="AS517" s="55" t="str">
        <f aca="false">IF(AND('Choix pédagogiques'!$C$4&lt;&gt;"?",'Choix pédagogiques'!$C$5&lt;&gt;"?",X517&lt;&gt;""),(X517-'Choix pédagogiques'!$C$4)/('Choix pédagogiques'!$C$5-'Choix pédagogiques'!$C$4),"")</f>
        <v/>
      </c>
      <c r="AT517" s="55" t="str">
        <f aca="false">IF(AND('Choix pédagogiques'!$C$4&lt;&gt;"?",'Choix pédagogiques'!$C$5&lt;&gt;"?",Y517&lt;&gt;""),(Y517-'Choix pédagogiques'!$C$4)/('Choix pédagogiques'!$C$5-'Choix pédagogiques'!$C$4),"")</f>
        <v/>
      </c>
      <c r="AU517" s="53" t="str">
        <f aca="false">IF($E517&lt;&gt;"",$E517,"")</f>
        <v/>
      </c>
      <c r="AV517" s="52" t="str">
        <f aca="false">IF($F517&lt;&gt;"",$F517,"")</f>
        <v>Apprenant 505 ou 505'</v>
      </c>
      <c r="AW517" s="55" t="str">
        <f aca="false">IF(AND('Choix pédagogiques'!$C$4&lt;&gt;"?",'Choix pédagogiques'!$C$5&lt;&gt;"?",AB517&lt;&gt;""),(AB517-'Choix pédagogiques'!$C$4)/('Choix pédagogiques'!$C$5-'Choix pédagogiques'!$C$4),"")</f>
        <v/>
      </c>
      <c r="AX517" s="55" t="str">
        <f aca="false">IF(AND('Choix pédagogiques'!$C$4&lt;&gt;"?",'Choix pédagogiques'!$C$5&lt;&gt;"?",AC517&lt;&gt;""),(AC517-'Choix pédagogiques'!$C$4)/('Choix pédagogiques'!$C$5-'Choix pédagogiques'!$C$4),"")</f>
        <v/>
      </c>
      <c r="AY517" s="55" t="str">
        <f aca="false">IF(AND('Choix pédagogiques'!$C$4&lt;&gt;"?",'Choix pédagogiques'!$C$5&lt;&gt;"?",AD517&lt;&gt;""),(AD517-'Choix pédagogiques'!$C$4)/('Choix pédagogiques'!$C$5-'Choix pédagogiques'!$C$4),"")</f>
        <v/>
      </c>
      <c r="AZ517" s="53" t="str">
        <f aca="false">IF($J517&lt;&gt;"",$J517,"")</f>
        <v/>
      </c>
      <c r="BA517" s="52" t="str">
        <f aca="false">IF($A517&lt;&gt;"",$A517,"")</f>
        <v>Apprenant 505</v>
      </c>
      <c r="BB517" s="55" t="str">
        <f aca="false">IF(AND($AR517&lt;&gt;"",$AS517&lt;&gt;""),$AS517-$AR517,"")</f>
        <v/>
      </c>
      <c r="BC517" s="55" t="str">
        <f aca="false">IF(AND($AR517&lt;&gt;"",$AT517&lt;&gt;""),$AT517-$AR517,"")</f>
        <v/>
      </c>
      <c r="BD517" s="55" t="str">
        <f aca="false">IF(AND($AS517&lt;&gt;"",$AT517&lt;&gt;""),$AT517-$AS517,"")</f>
        <v/>
      </c>
      <c r="BE517" s="53" t="str">
        <f aca="false">IF($E517&lt;&gt;"",$E517,"")</f>
        <v/>
      </c>
      <c r="BF517" s="52" t="str">
        <f aca="false">IF($F517&lt;&gt;"",$F517,"")</f>
        <v>Apprenant 505 ou 505'</v>
      </c>
      <c r="BG517" s="55" t="str">
        <f aca="false">IF(AND($AW517&lt;&gt;"",$AX517&lt;&gt;""),$AX517-$AW517,"")</f>
        <v/>
      </c>
      <c r="BH517" s="55" t="str">
        <f aca="false">IF(AND($AW517&lt;&gt;"",$AY517&lt;&gt;""),$AY517-$AW517,"")</f>
        <v/>
      </c>
      <c r="BI517" s="55" t="str">
        <f aca="false">IF(AND($AX517&lt;&gt;"",$AY517&lt;&gt;""),$AY517-$AX517,"")</f>
        <v/>
      </c>
      <c r="BJ517" s="53" t="str">
        <f aca="false">IF($J517&lt;&gt;"",$J517,"")</f>
        <v/>
      </c>
      <c r="BL517" s="52"/>
      <c r="BM517" s="52" t="str">
        <f aca="false">IF(OR(COUNT(B517:D1516)=0,AND('Choix pédagogiques'!$C$3&lt;&gt;1,'Choix pédagogiques'!$C$3&lt;&gt;2)),"",IF(AND(OR('Choix pédagogiques'!$C$3=1,'Choix pédagogiques'!$C$3=2),$B517&lt;&gt;"",$C517&lt;&gt;"",$D517&lt;&gt;""),1,0))</f>
        <v/>
      </c>
      <c r="BN517" s="52" t="str">
        <f aca="false">IF(OR(COUNT(G517:I1516)=0,AND('Choix pédagogiques'!$C$3&lt;&gt;1,'Choix pédagogiques'!$C$3&lt;&gt;2)),"",IF(AND(OR('Choix pédagogiques'!$C$3=1,'Choix pédagogiques'!$C$3=2),AND($G517&lt;&gt;"",$H517&lt;&gt;"",$I517&lt;&gt;"")),1,0))</f>
        <v/>
      </c>
      <c r="BO517" s="52" t="str">
        <f aca="false">IF(OR(COUNT(B517:D1516)=0,COUNT(G517:I1516)=0,'Choix pédagogiques'!C$3&lt;&gt;3),"",IF(AND('Choix pédagogiques'!$C$3=3,$B517&lt;&gt;"",$C517&lt;&gt;"",$D517&lt;&gt;"",$G517&lt;&gt;"",$H517&lt;&gt;"",$I517&lt;&gt;""),1,0))</f>
        <v/>
      </c>
      <c r="BR517" s="52" t="n">
        <v>663</v>
      </c>
      <c r="BS517" s="52" t="n">
        <v>1956</v>
      </c>
    </row>
    <row r="518" s="54" customFormat="true" ht="18" hidden="false" customHeight="true" outlineLevel="0" collapsed="false">
      <c r="A518" s="57" t="s">
        <v>967</v>
      </c>
      <c r="B518" s="51"/>
      <c r="C518" s="51"/>
      <c r="D518" s="51"/>
      <c r="E518" s="51"/>
      <c r="F518" s="57" t="s">
        <v>968</v>
      </c>
      <c r="G518" s="51"/>
      <c r="H518" s="51"/>
      <c r="I518" s="51"/>
      <c r="J518" s="51"/>
      <c r="K518" s="52" t="str">
        <f aca="false">IF($A518&lt;&gt;"",$A518,"")</f>
        <v>Apprenant 506</v>
      </c>
      <c r="L518" s="53" t="str">
        <f aca="false">IF(AND($B518&lt;&gt;"",$C518&lt;&gt;""),$C518-$B518,"")</f>
        <v/>
      </c>
      <c r="M518" s="53" t="str">
        <f aca="false">IF(AND($B518&lt;&gt;"",$D518&lt;&gt;""),$D518-$B518,"")</f>
        <v/>
      </c>
      <c r="N518" s="53" t="str">
        <f aca="false">IF(AND($C518&lt;&gt;"",$D518&lt;&gt;""),$D518-$C518,"")</f>
        <v/>
      </c>
      <c r="O518" s="53" t="str">
        <f aca="false">IF($E518&lt;&gt;"",$E518,"")</f>
        <v/>
      </c>
      <c r="P518" s="52" t="str">
        <f aca="false">IF($F518&lt;&gt;"",$F518,"")</f>
        <v>Apprenant 506 ou 506'</v>
      </c>
      <c r="Q518" s="53" t="str">
        <f aca="false">IF(AND($G518&lt;&gt;"",$H518&lt;&gt;""),$H518-$G518,"")</f>
        <v/>
      </c>
      <c r="R518" s="53" t="str">
        <f aca="false">IF(AND($G518&lt;&gt;"",$I518&lt;&gt;""),$I518-$G518,"")</f>
        <v/>
      </c>
      <c r="S518" s="53" t="str">
        <f aca="false">IF(AND($H518&lt;&gt;"",$I518&lt;&gt;""),$I518-$H518,"")</f>
        <v/>
      </c>
      <c r="T518" s="53" t="str">
        <f aca="false">IF($J518&lt;&gt;"",$J518,"")</f>
        <v/>
      </c>
      <c r="V518" s="52" t="str">
        <f aca="false">IF($A518&lt;&gt;"",$A518,"")</f>
        <v>Apprenant 506</v>
      </c>
      <c r="W518" s="53" t="str">
        <f aca="false">IF(AND(OR('Choix pédagogiques'!$C$3=1,'Choix pédagogiques'!$C$3=2),$BM518=1),B518,IF(AND('Choix pédagogiques'!$C$3=3,$BO518=1),B518,""))</f>
        <v/>
      </c>
      <c r="X518" s="53" t="str">
        <f aca="false">IF(AND(OR('Choix pédagogiques'!$C$3=1,'Choix pédagogiques'!$C$3=2),$BM518=1),C518,IF(AND('Choix pédagogiques'!$C$3=3,$BO518=1),C518,""))</f>
        <v/>
      </c>
      <c r="Y518" s="53" t="str">
        <f aca="false">IF(AND(OR('Choix pédagogiques'!$C$3=1,'Choix pédagogiques'!$C$3=2),$BM518=1),D518,IF(AND('Choix pédagogiques'!$C$3=3,$BO518=1),D518,""))</f>
        <v/>
      </c>
      <c r="Z518" s="53" t="str">
        <f aca="false">IF($E518&lt;&gt;"",$E518,"")</f>
        <v/>
      </c>
      <c r="AA518" s="52" t="str">
        <f aca="false">IF($F518&lt;&gt;"",$F518,"")</f>
        <v>Apprenant 506 ou 506'</v>
      </c>
      <c r="AB518" s="53" t="str">
        <f aca="false">IF(AND(OR('Choix pédagogiques'!$C$3=1,'Choix pédagogiques'!$C$3=2),$BN518=1),G518,IF(AND('Choix pédagogiques'!$C$3=3,$BO518=1),G518,""))</f>
        <v/>
      </c>
      <c r="AC518" s="53" t="str">
        <f aca="false">IF(AND(OR('Choix pédagogiques'!$C$3=1,'Choix pédagogiques'!$C$3=2),$BN518=1),H518,IF(AND('Choix pédagogiques'!$C$3=3,$BO518=1),H518,""))</f>
        <v/>
      </c>
      <c r="AD518" s="53" t="str">
        <f aca="false">IF(AND(OR('Choix pédagogiques'!$C$3=1,'Choix pédagogiques'!$C$3=2),$BN518=1),I518,IF(AND('Choix pédagogiques'!$C$3=3,$BO518=1),I518,""))</f>
        <v/>
      </c>
      <c r="AE518" s="53" t="str">
        <f aca="false">IF($J518&lt;&gt;"",$J518,"")</f>
        <v/>
      </c>
      <c r="AF518" s="52" t="str">
        <f aca="false">IF($A518&lt;&gt;"",$A518,"")</f>
        <v>Apprenant 506</v>
      </c>
      <c r="AG518" s="53" t="str">
        <f aca="false">IF(AND($W518&lt;&gt;"",$X518&lt;&gt;""),$X518-$W518,"")</f>
        <v/>
      </c>
      <c r="AH518" s="53" t="str">
        <f aca="false">IF(AND($W518&lt;&gt;"",$Y518&lt;&gt;""),$Y518-$W518,"")</f>
        <v/>
      </c>
      <c r="AI518" s="53" t="str">
        <f aca="false">IF(AND($X518&lt;&gt;"",$Y518&lt;&gt;""),$Y518-$X518,"")</f>
        <v/>
      </c>
      <c r="AJ518" s="53" t="str">
        <f aca="false">IF($E518&lt;&gt;"",$E518,"")</f>
        <v/>
      </c>
      <c r="AK518" s="52" t="str">
        <f aca="false">IF($F518&lt;&gt;"",$F518,"")</f>
        <v>Apprenant 506 ou 506'</v>
      </c>
      <c r="AL518" s="53" t="str">
        <f aca="false">IF(AND($AB518&lt;&gt;"",$AC518&lt;&gt;""),$AC518-$AB518,"")</f>
        <v/>
      </c>
      <c r="AM518" s="53" t="str">
        <f aca="false">IF(AND($AB518&lt;&gt;"",$AD518&lt;&gt;""),$AD518-$AB518,"")</f>
        <v/>
      </c>
      <c r="AN518" s="53" t="str">
        <f aca="false">IF(AND($AC518&lt;&gt;"",$AD518&lt;&gt;""),$AD518-$AC518,"")</f>
        <v/>
      </c>
      <c r="AO518" s="53" t="str">
        <f aca="false">IF($J518&lt;&gt;"",$J518,"")</f>
        <v/>
      </c>
      <c r="AQ518" s="52" t="str">
        <f aca="false">IF($A518&lt;&gt;"",$A518,"")</f>
        <v>Apprenant 506</v>
      </c>
      <c r="AR518" s="55" t="str">
        <f aca="false">IF(AND('Choix pédagogiques'!$C$4&lt;&gt;"?",'Choix pédagogiques'!$C$5&lt;&gt;"?",W518&lt;&gt;""),(W518-'Choix pédagogiques'!$C$4)/('Choix pédagogiques'!$C$5-'Choix pédagogiques'!$C$4),"")</f>
        <v/>
      </c>
      <c r="AS518" s="55" t="str">
        <f aca="false">IF(AND('Choix pédagogiques'!$C$4&lt;&gt;"?",'Choix pédagogiques'!$C$5&lt;&gt;"?",X518&lt;&gt;""),(X518-'Choix pédagogiques'!$C$4)/('Choix pédagogiques'!$C$5-'Choix pédagogiques'!$C$4),"")</f>
        <v/>
      </c>
      <c r="AT518" s="55" t="str">
        <f aca="false">IF(AND('Choix pédagogiques'!$C$4&lt;&gt;"?",'Choix pédagogiques'!$C$5&lt;&gt;"?",Y518&lt;&gt;""),(Y518-'Choix pédagogiques'!$C$4)/('Choix pédagogiques'!$C$5-'Choix pédagogiques'!$C$4),"")</f>
        <v/>
      </c>
      <c r="AU518" s="53" t="str">
        <f aca="false">IF($E518&lt;&gt;"",$E518,"")</f>
        <v/>
      </c>
      <c r="AV518" s="52" t="str">
        <f aca="false">IF($F518&lt;&gt;"",$F518,"")</f>
        <v>Apprenant 506 ou 506'</v>
      </c>
      <c r="AW518" s="55" t="str">
        <f aca="false">IF(AND('Choix pédagogiques'!$C$4&lt;&gt;"?",'Choix pédagogiques'!$C$5&lt;&gt;"?",AB518&lt;&gt;""),(AB518-'Choix pédagogiques'!$C$4)/('Choix pédagogiques'!$C$5-'Choix pédagogiques'!$C$4),"")</f>
        <v/>
      </c>
      <c r="AX518" s="55" t="str">
        <f aca="false">IF(AND('Choix pédagogiques'!$C$4&lt;&gt;"?",'Choix pédagogiques'!$C$5&lt;&gt;"?",AC518&lt;&gt;""),(AC518-'Choix pédagogiques'!$C$4)/('Choix pédagogiques'!$C$5-'Choix pédagogiques'!$C$4),"")</f>
        <v/>
      </c>
      <c r="AY518" s="55" t="str">
        <f aca="false">IF(AND('Choix pédagogiques'!$C$4&lt;&gt;"?",'Choix pédagogiques'!$C$5&lt;&gt;"?",AD518&lt;&gt;""),(AD518-'Choix pédagogiques'!$C$4)/('Choix pédagogiques'!$C$5-'Choix pédagogiques'!$C$4),"")</f>
        <v/>
      </c>
      <c r="AZ518" s="53" t="str">
        <f aca="false">IF($J518&lt;&gt;"",$J518,"")</f>
        <v/>
      </c>
      <c r="BA518" s="52" t="str">
        <f aca="false">IF($A518&lt;&gt;"",$A518,"")</f>
        <v>Apprenant 506</v>
      </c>
      <c r="BB518" s="55" t="str">
        <f aca="false">IF(AND($AR518&lt;&gt;"",$AS518&lt;&gt;""),$AS518-$AR518,"")</f>
        <v/>
      </c>
      <c r="BC518" s="55" t="str">
        <f aca="false">IF(AND($AR518&lt;&gt;"",$AT518&lt;&gt;""),$AT518-$AR518,"")</f>
        <v/>
      </c>
      <c r="BD518" s="55" t="str">
        <f aca="false">IF(AND($AS518&lt;&gt;"",$AT518&lt;&gt;""),$AT518-$AS518,"")</f>
        <v/>
      </c>
      <c r="BE518" s="53" t="str">
        <f aca="false">IF($E518&lt;&gt;"",$E518,"")</f>
        <v/>
      </c>
      <c r="BF518" s="52" t="str">
        <f aca="false">IF($F518&lt;&gt;"",$F518,"")</f>
        <v>Apprenant 506 ou 506'</v>
      </c>
      <c r="BG518" s="55" t="str">
        <f aca="false">IF(AND($AW518&lt;&gt;"",$AX518&lt;&gt;""),$AX518-$AW518,"")</f>
        <v/>
      </c>
      <c r="BH518" s="55" t="str">
        <f aca="false">IF(AND($AW518&lt;&gt;"",$AY518&lt;&gt;""),$AY518-$AW518,"")</f>
        <v/>
      </c>
      <c r="BI518" s="55" t="str">
        <f aca="false">IF(AND($AX518&lt;&gt;"",$AY518&lt;&gt;""),$AY518-$AX518,"")</f>
        <v/>
      </c>
      <c r="BJ518" s="53" t="str">
        <f aca="false">IF($J518&lt;&gt;"",$J518,"")</f>
        <v/>
      </c>
      <c r="BL518" s="52"/>
      <c r="BM518" s="52" t="str">
        <f aca="false">IF(OR(COUNT(B518:D1517)=0,AND('Choix pédagogiques'!$C$3&lt;&gt;1,'Choix pédagogiques'!$C$3&lt;&gt;2)),"",IF(AND(OR('Choix pédagogiques'!$C$3=1,'Choix pédagogiques'!$C$3=2),$B518&lt;&gt;"",$C518&lt;&gt;"",$D518&lt;&gt;""),1,0))</f>
        <v/>
      </c>
      <c r="BN518" s="52" t="str">
        <f aca="false">IF(OR(COUNT(G518:I1517)=0,AND('Choix pédagogiques'!$C$3&lt;&gt;1,'Choix pédagogiques'!$C$3&lt;&gt;2)),"",IF(AND(OR('Choix pédagogiques'!$C$3=1,'Choix pédagogiques'!$C$3=2),AND($G518&lt;&gt;"",$H518&lt;&gt;"",$I518&lt;&gt;"")),1,0))</f>
        <v/>
      </c>
      <c r="BO518" s="52" t="str">
        <f aca="false">IF(OR(COUNT(B518:D1517)=0,COUNT(G518:I1517)=0,'Choix pédagogiques'!C$3&lt;&gt;3),"",IF(AND('Choix pédagogiques'!$C$3=3,$B518&lt;&gt;"",$C518&lt;&gt;"",$D518&lt;&gt;"",$G518&lt;&gt;"",$H518&lt;&gt;"",$I518&lt;&gt;""),1,0))</f>
        <v/>
      </c>
      <c r="BR518" s="52" t="n">
        <v>825</v>
      </c>
      <c r="BS518" s="52" t="n">
        <v>1177</v>
      </c>
    </row>
    <row r="519" s="54" customFormat="true" ht="18" hidden="false" customHeight="true" outlineLevel="0" collapsed="false">
      <c r="A519" s="57" t="s">
        <v>969</v>
      </c>
      <c r="B519" s="51"/>
      <c r="C519" s="51"/>
      <c r="D519" s="51"/>
      <c r="E519" s="51"/>
      <c r="F519" s="57" t="s">
        <v>970</v>
      </c>
      <c r="G519" s="51"/>
      <c r="H519" s="51"/>
      <c r="I519" s="51"/>
      <c r="J519" s="51"/>
      <c r="K519" s="52" t="str">
        <f aca="false">IF($A519&lt;&gt;"",$A519,"")</f>
        <v>Apprenant 507</v>
      </c>
      <c r="L519" s="53" t="str">
        <f aca="false">IF(AND($B519&lt;&gt;"",$C519&lt;&gt;""),$C519-$B519,"")</f>
        <v/>
      </c>
      <c r="M519" s="53" t="str">
        <f aca="false">IF(AND($B519&lt;&gt;"",$D519&lt;&gt;""),$D519-$B519,"")</f>
        <v/>
      </c>
      <c r="N519" s="53" t="str">
        <f aca="false">IF(AND($C519&lt;&gt;"",$D519&lt;&gt;""),$D519-$C519,"")</f>
        <v/>
      </c>
      <c r="O519" s="53" t="str">
        <f aca="false">IF($E519&lt;&gt;"",$E519,"")</f>
        <v/>
      </c>
      <c r="P519" s="52" t="str">
        <f aca="false">IF($F519&lt;&gt;"",$F519,"")</f>
        <v>Apprenant 507 ou 507'</v>
      </c>
      <c r="Q519" s="53" t="str">
        <f aca="false">IF(AND($G519&lt;&gt;"",$H519&lt;&gt;""),$H519-$G519,"")</f>
        <v/>
      </c>
      <c r="R519" s="53" t="str">
        <f aca="false">IF(AND($G519&lt;&gt;"",$I519&lt;&gt;""),$I519-$G519,"")</f>
        <v/>
      </c>
      <c r="S519" s="53" t="str">
        <f aca="false">IF(AND($H519&lt;&gt;"",$I519&lt;&gt;""),$I519-$H519,"")</f>
        <v/>
      </c>
      <c r="T519" s="53" t="str">
        <f aca="false">IF($J519&lt;&gt;"",$J519,"")</f>
        <v/>
      </c>
      <c r="V519" s="52" t="str">
        <f aca="false">IF($A519&lt;&gt;"",$A519,"")</f>
        <v>Apprenant 507</v>
      </c>
      <c r="W519" s="53" t="str">
        <f aca="false">IF(AND(OR('Choix pédagogiques'!$C$3=1,'Choix pédagogiques'!$C$3=2),$BM519=1),B519,IF(AND('Choix pédagogiques'!$C$3=3,$BO519=1),B519,""))</f>
        <v/>
      </c>
      <c r="X519" s="53" t="str">
        <f aca="false">IF(AND(OR('Choix pédagogiques'!$C$3=1,'Choix pédagogiques'!$C$3=2),$BM519=1),C519,IF(AND('Choix pédagogiques'!$C$3=3,$BO519=1),C519,""))</f>
        <v/>
      </c>
      <c r="Y519" s="53" t="str">
        <f aca="false">IF(AND(OR('Choix pédagogiques'!$C$3=1,'Choix pédagogiques'!$C$3=2),$BM519=1),D519,IF(AND('Choix pédagogiques'!$C$3=3,$BO519=1),D519,""))</f>
        <v/>
      </c>
      <c r="Z519" s="53" t="str">
        <f aca="false">IF($E519&lt;&gt;"",$E519,"")</f>
        <v/>
      </c>
      <c r="AA519" s="52" t="str">
        <f aca="false">IF($F519&lt;&gt;"",$F519,"")</f>
        <v>Apprenant 507 ou 507'</v>
      </c>
      <c r="AB519" s="53" t="str">
        <f aca="false">IF(AND(OR('Choix pédagogiques'!$C$3=1,'Choix pédagogiques'!$C$3=2),$BN519=1),G519,IF(AND('Choix pédagogiques'!$C$3=3,$BO519=1),G519,""))</f>
        <v/>
      </c>
      <c r="AC519" s="53" t="str">
        <f aca="false">IF(AND(OR('Choix pédagogiques'!$C$3=1,'Choix pédagogiques'!$C$3=2),$BN519=1),H519,IF(AND('Choix pédagogiques'!$C$3=3,$BO519=1),H519,""))</f>
        <v/>
      </c>
      <c r="AD519" s="53" t="str">
        <f aca="false">IF(AND(OR('Choix pédagogiques'!$C$3=1,'Choix pédagogiques'!$C$3=2),$BN519=1),I519,IF(AND('Choix pédagogiques'!$C$3=3,$BO519=1),I519,""))</f>
        <v/>
      </c>
      <c r="AE519" s="53" t="str">
        <f aca="false">IF($J519&lt;&gt;"",$J519,"")</f>
        <v/>
      </c>
      <c r="AF519" s="52" t="str">
        <f aca="false">IF($A519&lt;&gt;"",$A519,"")</f>
        <v>Apprenant 507</v>
      </c>
      <c r="AG519" s="53" t="str">
        <f aca="false">IF(AND($W519&lt;&gt;"",$X519&lt;&gt;""),$X519-$W519,"")</f>
        <v/>
      </c>
      <c r="AH519" s="53" t="str">
        <f aca="false">IF(AND($W519&lt;&gt;"",$Y519&lt;&gt;""),$Y519-$W519,"")</f>
        <v/>
      </c>
      <c r="AI519" s="53" t="str">
        <f aca="false">IF(AND($X519&lt;&gt;"",$Y519&lt;&gt;""),$Y519-$X519,"")</f>
        <v/>
      </c>
      <c r="AJ519" s="53" t="str">
        <f aca="false">IF($E519&lt;&gt;"",$E519,"")</f>
        <v/>
      </c>
      <c r="AK519" s="52" t="str">
        <f aca="false">IF($F519&lt;&gt;"",$F519,"")</f>
        <v>Apprenant 507 ou 507'</v>
      </c>
      <c r="AL519" s="53" t="str">
        <f aca="false">IF(AND($AB519&lt;&gt;"",$AC519&lt;&gt;""),$AC519-$AB519,"")</f>
        <v/>
      </c>
      <c r="AM519" s="53" t="str">
        <f aca="false">IF(AND($AB519&lt;&gt;"",$AD519&lt;&gt;""),$AD519-$AB519,"")</f>
        <v/>
      </c>
      <c r="AN519" s="53" t="str">
        <f aca="false">IF(AND($AC519&lt;&gt;"",$AD519&lt;&gt;""),$AD519-$AC519,"")</f>
        <v/>
      </c>
      <c r="AO519" s="53" t="str">
        <f aca="false">IF($J519&lt;&gt;"",$J519,"")</f>
        <v/>
      </c>
      <c r="AQ519" s="52" t="str">
        <f aca="false">IF($A519&lt;&gt;"",$A519,"")</f>
        <v>Apprenant 507</v>
      </c>
      <c r="AR519" s="55" t="str">
        <f aca="false">IF(AND('Choix pédagogiques'!$C$4&lt;&gt;"?",'Choix pédagogiques'!$C$5&lt;&gt;"?",W519&lt;&gt;""),(W519-'Choix pédagogiques'!$C$4)/('Choix pédagogiques'!$C$5-'Choix pédagogiques'!$C$4),"")</f>
        <v/>
      </c>
      <c r="AS519" s="55" t="str">
        <f aca="false">IF(AND('Choix pédagogiques'!$C$4&lt;&gt;"?",'Choix pédagogiques'!$C$5&lt;&gt;"?",X519&lt;&gt;""),(X519-'Choix pédagogiques'!$C$4)/('Choix pédagogiques'!$C$5-'Choix pédagogiques'!$C$4),"")</f>
        <v/>
      </c>
      <c r="AT519" s="55" t="str">
        <f aca="false">IF(AND('Choix pédagogiques'!$C$4&lt;&gt;"?",'Choix pédagogiques'!$C$5&lt;&gt;"?",Y519&lt;&gt;""),(Y519-'Choix pédagogiques'!$C$4)/('Choix pédagogiques'!$C$5-'Choix pédagogiques'!$C$4),"")</f>
        <v/>
      </c>
      <c r="AU519" s="53" t="str">
        <f aca="false">IF($E519&lt;&gt;"",$E519,"")</f>
        <v/>
      </c>
      <c r="AV519" s="52" t="str">
        <f aca="false">IF($F519&lt;&gt;"",$F519,"")</f>
        <v>Apprenant 507 ou 507'</v>
      </c>
      <c r="AW519" s="55" t="str">
        <f aca="false">IF(AND('Choix pédagogiques'!$C$4&lt;&gt;"?",'Choix pédagogiques'!$C$5&lt;&gt;"?",AB519&lt;&gt;""),(AB519-'Choix pédagogiques'!$C$4)/('Choix pédagogiques'!$C$5-'Choix pédagogiques'!$C$4),"")</f>
        <v/>
      </c>
      <c r="AX519" s="55" t="str">
        <f aca="false">IF(AND('Choix pédagogiques'!$C$4&lt;&gt;"?",'Choix pédagogiques'!$C$5&lt;&gt;"?",AC519&lt;&gt;""),(AC519-'Choix pédagogiques'!$C$4)/('Choix pédagogiques'!$C$5-'Choix pédagogiques'!$C$4),"")</f>
        <v/>
      </c>
      <c r="AY519" s="55" t="str">
        <f aca="false">IF(AND('Choix pédagogiques'!$C$4&lt;&gt;"?",'Choix pédagogiques'!$C$5&lt;&gt;"?",AD519&lt;&gt;""),(AD519-'Choix pédagogiques'!$C$4)/('Choix pédagogiques'!$C$5-'Choix pédagogiques'!$C$4),"")</f>
        <v/>
      </c>
      <c r="AZ519" s="53" t="str">
        <f aca="false">IF($J519&lt;&gt;"",$J519,"")</f>
        <v/>
      </c>
      <c r="BA519" s="52" t="str">
        <f aca="false">IF($A519&lt;&gt;"",$A519,"")</f>
        <v>Apprenant 507</v>
      </c>
      <c r="BB519" s="55" t="str">
        <f aca="false">IF(AND($AR519&lt;&gt;"",$AS519&lt;&gt;""),$AS519-$AR519,"")</f>
        <v/>
      </c>
      <c r="BC519" s="55" t="str">
        <f aca="false">IF(AND($AR519&lt;&gt;"",$AT519&lt;&gt;""),$AT519-$AR519,"")</f>
        <v/>
      </c>
      <c r="BD519" s="55" t="str">
        <f aca="false">IF(AND($AS519&lt;&gt;"",$AT519&lt;&gt;""),$AT519-$AS519,"")</f>
        <v/>
      </c>
      <c r="BE519" s="53" t="str">
        <f aca="false">IF($E519&lt;&gt;"",$E519,"")</f>
        <v/>
      </c>
      <c r="BF519" s="52" t="str">
        <f aca="false">IF($F519&lt;&gt;"",$F519,"")</f>
        <v>Apprenant 507 ou 507'</v>
      </c>
      <c r="BG519" s="55" t="str">
        <f aca="false">IF(AND($AW519&lt;&gt;"",$AX519&lt;&gt;""),$AX519-$AW519,"")</f>
        <v/>
      </c>
      <c r="BH519" s="55" t="str">
        <f aca="false">IF(AND($AW519&lt;&gt;"",$AY519&lt;&gt;""),$AY519-$AW519,"")</f>
        <v/>
      </c>
      <c r="BI519" s="55" t="str">
        <f aca="false">IF(AND($AX519&lt;&gt;"",$AY519&lt;&gt;""),$AY519-$AX519,"")</f>
        <v/>
      </c>
      <c r="BJ519" s="53" t="str">
        <f aca="false">IF($J519&lt;&gt;"",$J519,"")</f>
        <v/>
      </c>
      <c r="BL519" s="52"/>
      <c r="BM519" s="52" t="str">
        <f aca="false">IF(OR(COUNT(B519:D1518)=0,AND('Choix pédagogiques'!$C$3&lt;&gt;1,'Choix pédagogiques'!$C$3&lt;&gt;2)),"",IF(AND(OR('Choix pédagogiques'!$C$3=1,'Choix pédagogiques'!$C$3=2),$B519&lt;&gt;"",$C519&lt;&gt;"",$D519&lt;&gt;""),1,0))</f>
        <v/>
      </c>
      <c r="BN519" s="52" t="str">
        <f aca="false">IF(OR(COUNT(G519:I1518)=0,AND('Choix pédagogiques'!$C$3&lt;&gt;1,'Choix pédagogiques'!$C$3&lt;&gt;2)),"",IF(AND(OR('Choix pédagogiques'!$C$3=1,'Choix pédagogiques'!$C$3=2),AND($G519&lt;&gt;"",$H519&lt;&gt;"",$I519&lt;&gt;"")),1,0))</f>
        <v/>
      </c>
      <c r="BO519" s="52" t="str">
        <f aca="false">IF(OR(COUNT(B519:D1518)=0,COUNT(G519:I1518)=0,'Choix pédagogiques'!C$3&lt;&gt;3),"",IF(AND('Choix pédagogiques'!$C$3=3,$B519&lt;&gt;"",$C519&lt;&gt;"",$D519&lt;&gt;"",$G519&lt;&gt;"",$H519&lt;&gt;"",$I519&lt;&gt;""),1,0))</f>
        <v/>
      </c>
      <c r="BR519" s="52" t="n">
        <v>897</v>
      </c>
      <c r="BS519" s="52" t="n">
        <v>1168</v>
      </c>
    </row>
    <row r="520" s="54" customFormat="true" ht="18" hidden="false" customHeight="true" outlineLevel="0" collapsed="false">
      <c r="A520" s="57" t="s">
        <v>971</v>
      </c>
      <c r="B520" s="51"/>
      <c r="C520" s="51"/>
      <c r="D520" s="51"/>
      <c r="E520" s="51"/>
      <c r="F520" s="57" t="s">
        <v>972</v>
      </c>
      <c r="G520" s="51"/>
      <c r="H520" s="51"/>
      <c r="I520" s="51"/>
      <c r="J520" s="51"/>
      <c r="K520" s="52" t="str">
        <f aca="false">IF($A520&lt;&gt;"",$A520,"")</f>
        <v>Apprenant 508</v>
      </c>
      <c r="L520" s="53" t="str">
        <f aca="false">IF(AND($B520&lt;&gt;"",$C520&lt;&gt;""),$C520-$B520,"")</f>
        <v/>
      </c>
      <c r="M520" s="53" t="str">
        <f aca="false">IF(AND($B520&lt;&gt;"",$D520&lt;&gt;""),$D520-$B520,"")</f>
        <v/>
      </c>
      <c r="N520" s="53" t="str">
        <f aca="false">IF(AND($C520&lt;&gt;"",$D520&lt;&gt;""),$D520-$C520,"")</f>
        <v/>
      </c>
      <c r="O520" s="53" t="str">
        <f aca="false">IF($E520&lt;&gt;"",$E520,"")</f>
        <v/>
      </c>
      <c r="P520" s="52" t="str">
        <f aca="false">IF($F520&lt;&gt;"",$F520,"")</f>
        <v>Apprenant 508 ou 508'</v>
      </c>
      <c r="Q520" s="53" t="str">
        <f aca="false">IF(AND($G520&lt;&gt;"",$H520&lt;&gt;""),$H520-$G520,"")</f>
        <v/>
      </c>
      <c r="R520" s="53" t="str">
        <f aca="false">IF(AND($G520&lt;&gt;"",$I520&lt;&gt;""),$I520-$G520,"")</f>
        <v/>
      </c>
      <c r="S520" s="53" t="str">
        <f aca="false">IF(AND($H520&lt;&gt;"",$I520&lt;&gt;""),$I520-$H520,"")</f>
        <v/>
      </c>
      <c r="T520" s="53" t="str">
        <f aca="false">IF($J520&lt;&gt;"",$J520,"")</f>
        <v/>
      </c>
      <c r="V520" s="52" t="str">
        <f aca="false">IF($A520&lt;&gt;"",$A520,"")</f>
        <v>Apprenant 508</v>
      </c>
      <c r="W520" s="53" t="str">
        <f aca="false">IF(AND(OR('Choix pédagogiques'!$C$3=1,'Choix pédagogiques'!$C$3=2),$BM520=1),B520,IF(AND('Choix pédagogiques'!$C$3=3,$BO520=1),B520,""))</f>
        <v/>
      </c>
      <c r="X520" s="53" t="str">
        <f aca="false">IF(AND(OR('Choix pédagogiques'!$C$3=1,'Choix pédagogiques'!$C$3=2),$BM520=1),C520,IF(AND('Choix pédagogiques'!$C$3=3,$BO520=1),C520,""))</f>
        <v/>
      </c>
      <c r="Y520" s="53" t="str">
        <f aca="false">IF(AND(OR('Choix pédagogiques'!$C$3=1,'Choix pédagogiques'!$C$3=2),$BM520=1),D520,IF(AND('Choix pédagogiques'!$C$3=3,$BO520=1),D520,""))</f>
        <v/>
      </c>
      <c r="Z520" s="53" t="str">
        <f aca="false">IF($E520&lt;&gt;"",$E520,"")</f>
        <v/>
      </c>
      <c r="AA520" s="52" t="str">
        <f aca="false">IF($F520&lt;&gt;"",$F520,"")</f>
        <v>Apprenant 508 ou 508'</v>
      </c>
      <c r="AB520" s="53" t="str">
        <f aca="false">IF(AND(OR('Choix pédagogiques'!$C$3=1,'Choix pédagogiques'!$C$3=2),$BN520=1),G520,IF(AND('Choix pédagogiques'!$C$3=3,$BO520=1),G520,""))</f>
        <v/>
      </c>
      <c r="AC520" s="53" t="str">
        <f aca="false">IF(AND(OR('Choix pédagogiques'!$C$3=1,'Choix pédagogiques'!$C$3=2),$BN520=1),H520,IF(AND('Choix pédagogiques'!$C$3=3,$BO520=1),H520,""))</f>
        <v/>
      </c>
      <c r="AD520" s="53" t="str">
        <f aca="false">IF(AND(OR('Choix pédagogiques'!$C$3=1,'Choix pédagogiques'!$C$3=2),$BN520=1),I520,IF(AND('Choix pédagogiques'!$C$3=3,$BO520=1),I520,""))</f>
        <v/>
      </c>
      <c r="AE520" s="53" t="str">
        <f aca="false">IF($J520&lt;&gt;"",$J520,"")</f>
        <v/>
      </c>
      <c r="AF520" s="52" t="str">
        <f aca="false">IF($A520&lt;&gt;"",$A520,"")</f>
        <v>Apprenant 508</v>
      </c>
      <c r="AG520" s="53" t="str">
        <f aca="false">IF(AND($W520&lt;&gt;"",$X520&lt;&gt;""),$X520-$W520,"")</f>
        <v/>
      </c>
      <c r="AH520" s="53" t="str">
        <f aca="false">IF(AND($W520&lt;&gt;"",$Y520&lt;&gt;""),$Y520-$W520,"")</f>
        <v/>
      </c>
      <c r="AI520" s="53" t="str">
        <f aca="false">IF(AND($X520&lt;&gt;"",$Y520&lt;&gt;""),$Y520-$X520,"")</f>
        <v/>
      </c>
      <c r="AJ520" s="53" t="str">
        <f aca="false">IF($E520&lt;&gt;"",$E520,"")</f>
        <v/>
      </c>
      <c r="AK520" s="52" t="str">
        <f aca="false">IF($F520&lt;&gt;"",$F520,"")</f>
        <v>Apprenant 508 ou 508'</v>
      </c>
      <c r="AL520" s="53" t="str">
        <f aca="false">IF(AND($AB520&lt;&gt;"",$AC520&lt;&gt;""),$AC520-$AB520,"")</f>
        <v/>
      </c>
      <c r="AM520" s="53" t="str">
        <f aca="false">IF(AND($AB520&lt;&gt;"",$AD520&lt;&gt;""),$AD520-$AB520,"")</f>
        <v/>
      </c>
      <c r="AN520" s="53" t="str">
        <f aca="false">IF(AND($AC520&lt;&gt;"",$AD520&lt;&gt;""),$AD520-$AC520,"")</f>
        <v/>
      </c>
      <c r="AO520" s="53" t="str">
        <f aca="false">IF($J520&lt;&gt;"",$J520,"")</f>
        <v/>
      </c>
      <c r="AQ520" s="52" t="str">
        <f aca="false">IF($A520&lt;&gt;"",$A520,"")</f>
        <v>Apprenant 508</v>
      </c>
      <c r="AR520" s="55" t="str">
        <f aca="false">IF(AND('Choix pédagogiques'!$C$4&lt;&gt;"?",'Choix pédagogiques'!$C$5&lt;&gt;"?",W520&lt;&gt;""),(W520-'Choix pédagogiques'!$C$4)/('Choix pédagogiques'!$C$5-'Choix pédagogiques'!$C$4),"")</f>
        <v/>
      </c>
      <c r="AS520" s="55" t="str">
        <f aca="false">IF(AND('Choix pédagogiques'!$C$4&lt;&gt;"?",'Choix pédagogiques'!$C$5&lt;&gt;"?",X520&lt;&gt;""),(X520-'Choix pédagogiques'!$C$4)/('Choix pédagogiques'!$C$5-'Choix pédagogiques'!$C$4),"")</f>
        <v/>
      </c>
      <c r="AT520" s="55" t="str">
        <f aca="false">IF(AND('Choix pédagogiques'!$C$4&lt;&gt;"?",'Choix pédagogiques'!$C$5&lt;&gt;"?",Y520&lt;&gt;""),(Y520-'Choix pédagogiques'!$C$4)/('Choix pédagogiques'!$C$5-'Choix pédagogiques'!$C$4),"")</f>
        <v/>
      </c>
      <c r="AU520" s="53" t="str">
        <f aca="false">IF($E520&lt;&gt;"",$E520,"")</f>
        <v/>
      </c>
      <c r="AV520" s="52" t="str">
        <f aca="false">IF($F520&lt;&gt;"",$F520,"")</f>
        <v>Apprenant 508 ou 508'</v>
      </c>
      <c r="AW520" s="55" t="str">
        <f aca="false">IF(AND('Choix pédagogiques'!$C$4&lt;&gt;"?",'Choix pédagogiques'!$C$5&lt;&gt;"?",AB520&lt;&gt;""),(AB520-'Choix pédagogiques'!$C$4)/('Choix pédagogiques'!$C$5-'Choix pédagogiques'!$C$4),"")</f>
        <v/>
      </c>
      <c r="AX520" s="55" t="str">
        <f aca="false">IF(AND('Choix pédagogiques'!$C$4&lt;&gt;"?",'Choix pédagogiques'!$C$5&lt;&gt;"?",AC520&lt;&gt;""),(AC520-'Choix pédagogiques'!$C$4)/('Choix pédagogiques'!$C$5-'Choix pédagogiques'!$C$4),"")</f>
        <v/>
      </c>
      <c r="AY520" s="55" t="str">
        <f aca="false">IF(AND('Choix pédagogiques'!$C$4&lt;&gt;"?",'Choix pédagogiques'!$C$5&lt;&gt;"?",AD520&lt;&gt;""),(AD520-'Choix pédagogiques'!$C$4)/('Choix pédagogiques'!$C$5-'Choix pédagogiques'!$C$4),"")</f>
        <v/>
      </c>
      <c r="AZ520" s="53" t="str">
        <f aca="false">IF($J520&lt;&gt;"",$J520,"")</f>
        <v/>
      </c>
      <c r="BA520" s="52" t="str">
        <f aca="false">IF($A520&lt;&gt;"",$A520,"")</f>
        <v>Apprenant 508</v>
      </c>
      <c r="BB520" s="55" t="str">
        <f aca="false">IF(AND($AR520&lt;&gt;"",$AS520&lt;&gt;""),$AS520-$AR520,"")</f>
        <v/>
      </c>
      <c r="BC520" s="55" t="str">
        <f aca="false">IF(AND($AR520&lt;&gt;"",$AT520&lt;&gt;""),$AT520-$AR520,"")</f>
        <v/>
      </c>
      <c r="BD520" s="55" t="str">
        <f aca="false">IF(AND($AS520&lt;&gt;"",$AT520&lt;&gt;""),$AT520-$AS520,"")</f>
        <v/>
      </c>
      <c r="BE520" s="53" t="str">
        <f aca="false">IF($E520&lt;&gt;"",$E520,"")</f>
        <v/>
      </c>
      <c r="BF520" s="52" t="str">
        <f aca="false">IF($F520&lt;&gt;"",$F520,"")</f>
        <v>Apprenant 508 ou 508'</v>
      </c>
      <c r="BG520" s="55" t="str">
        <f aca="false">IF(AND($AW520&lt;&gt;"",$AX520&lt;&gt;""),$AX520-$AW520,"")</f>
        <v/>
      </c>
      <c r="BH520" s="55" t="str">
        <f aca="false">IF(AND($AW520&lt;&gt;"",$AY520&lt;&gt;""),$AY520-$AW520,"")</f>
        <v/>
      </c>
      <c r="BI520" s="55" t="str">
        <f aca="false">IF(AND($AX520&lt;&gt;"",$AY520&lt;&gt;""),$AY520-$AX520,"")</f>
        <v/>
      </c>
      <c r="BJ520" s="53" t="str">
        <f aca="false">IF($J520&lt;&gt;"",$J520,"")</f>
        <v/>
      </c>
      <c r="BL520" s="52"/>
      <c r="BM520" s="52" t="str">
        <f aca="false">IF(OR(COUNT(B520:D1519)=0,AND('Choix pédagogiques'!$C$3&lt;&gt;1,'Choix pédagogiques'!$C$3&lt;&gt;2)),"",IF(AND(OR('Choix pédagogiques'!$C$3=1,'Choix pédagogiques'!$C$3=2),$B520&lt;&gt;"",$C520&lt;&gt;"",$D520&lt;&gt;""),1,0))</f>
        <v/>
      </c>
      <c r="BN520" s="52" t="str">
        <f aca="false">IF(OR(COUNT(G520:I1519)=0,AND('Choix pédagogiques'!$C$3&lt;&gt;1,'Choix pédagogiques'!$C$3&lt;&gt;2)),"",IF(AND(OR('Choix pédagogiques'!$C$3=1,'Choix pédagogiques'!$C$3=2),AND($G520&lt;&gt;"",$H520&lt;&gt;"",$I520&lt;&gt;"")),1,0))</f>
        <v/>
      </c>
      <c r="BO520" s="52" t="str">
        <f aca="false">IF(OR(COUNT(B520:D1519)=0,COUNT(G520:I1519)=0,'Choix pédagogiques'!C$3&lt;&gt;3),"",IF(AND('Choix pédagogiques'!$C$3=3,$B520&lt;&gt;"",$C520&lt;&gt;"",$D520&lt;&gt;"",$G520&lt;&gt;"",$H520&lt;&gt;"",$I520&lt;&gt;""),1,0))</f>
        <v/>
      </c>
      <c r="BR520" s="52" t="n">
        <v>101</v>
      </c>
      <c r="BS520" s="52" t="n">
        <v>1018</v>
      </c>
    </row>
    <row r="521" s="54" customFormat="true" ht="18" hidden="false" customHeight="true" outlineLevel="0" collapsed="false">
      <c r="A521" s="57" t="s">
        <v>973</v>
      </c>
      <c r="B521" s="51"/>
      <c r="C521" s="51"/>
      <c r="D521" s="51"/>
      <c r="E521" s="51"/>
      <c r="F521" s="57" t="s">
        <v>974</v>
      </c>
      <c r="G521" s="51"/>
      <c r="H521" s="51"/>
      <c r="I521" s="51"/>
      <c r="J521" s="51"/>
      <c r="K521" s="52" t="str">
        <f aca="false">IF($A521&lt;&gt;"",$A521,"")</f>
        <v>Apprenant 509</v>
      </c>
      <c r="L521" s="53" t="str">
        <f aca="false">IF(AND($B521&lt;&gt;"",$C521&lt;&gt;""),$C521-$B521,"")</f>
        <v/>
      </c>
      <c r="M521" s="53" t="str">
        <f aca="false">IF(AND($B521&lt;&gt;"",$D521&lt;&gt;""),$D521-$B521,"")</f>
        <v/>
      </c>
      <c r="N521" s="53" t="str">
        <f aca="false">IF(AND($C521&lt;&gt;"",$D521&lt;&gt;""),$D521-$C521,"")</f>
        <v/>
      </c>
      <c r="O521" s="53" t="str">
        <f aca="false">IF($E521&lt;&gt;"",$E521,"")</f>
        <v/>
      </c>
      <c r="P521" s="52" t="str">
        <f aca="false">IF($F521&lt;&gt;"",$F521,"")</f>
        <v>Apprenant 509 ou 509'</v>
      </c>
      <c r="Q521" s="53" t="str">
        <f aca="false">IF(AND($G521&lt;&gt;"",$H521&lt;&gt;""),$H521-$G521,"")</f>
        <v/>
      </c>
      <c r="R521" s="53" t="str">
        <f aca="false">IF(AND($G521&lt;&gt;"",$I521&lt;&gt;""),$I521-$G521,"")</f>
        <v/>
      </c>
      <c r="S521" s="53" t="str">
        <f aca="false">IF(AND($H521&lt;&gt;"",$I521&lt;&gt;""),$I521-$H521,"")</f>
        <v/>
      </c>
      <c r="T521" s="53" t="str">
        <f aca="false">IF($J521&lt;&gt;"",$J521,"")</f>
        <v/>
      </c>
      <c r="V521" s="52" t="str">
        <f aca="false">IF($A521&lt;&gt;"",$A521,"")</f>
        <v>Apprenant 509</v>
      </c>
      <c r="W521" s="53" t="str">
        <f aca="false">IF(AND(OR('Choix pédagogiques'!$C$3=1,'Choix pédagogiques'!$C$3=2),$BM521=1),B521,IF(AND('Choix pédagogiques'!$C$3=3,$BO521=1),B521,""))</f>
        <v/>
      </c>
      <c r="X521" s="53" t="str">
        <f aca="false">IF(AND(OR('Choix pédagogiques'!$C$3=1,'Choix pédagogiques'!$C$3=2),$BM521=1),C521,IF(AND('Choix pédagogiques'!$C$3=3,$BO521=1),C521,""))</f>
        <v/>
      </c>
      <c r="Y521" s="53" t="str">
        <f aca="false">IF(AND(OR('Choix pédagogiques'!$C$3=1,'Choix pédagogiques'!$C$3=2),$BM521=1),D521,IF(AND('Choix pédagogiques'!$C$3=3,$BO521=1),D521,""))</f>
        <v/>
      </c>
      <c r="Z521" s="53" t="str">
        <f aca="false">IF($E521&lt;&gt;"",$E521,"")</f>
        <v/>
      </c>
      <c r="AA521" s="52" t="str">
        <f aca="false">IF($F521&lt;&gt;"",$F521,"")</f>
        <v>Apprenant 509 ou 509'</v>
      </c>
      <c r="AB521" s="53" t="str">
        <f aca="false">IF(AND(OR('Choix pédagogiques'!$C$3=1,'Choix pédagogiques'!$C$3=2),$BN521=1),G521,IF(AND('Choix pédagogiques'!$C$3=3,$BO521=1),G521,""))</f>
        <v/>
      </c>
      <c r="AC521" s="53" t="str">
        <f aca="false">IF(AND(OR('Choix pédagogiques'!$C$3=1,'Choix pédagogiques'!$C$3=2),$BN521=1),H521,IF(AND('Choix pédagogiques'!$C$3=3,$BO521=1),H521,""))</f>
        <v/>
      </c>
      <c r="AD521" s="53" t="str">
        <f aca="false">IF(AND(OR('Choix pédagogiques'!$C$3=1,'Choix pédagogiques'!$C$3=2),$BN521=1),I521,IF(AND('Choix pédagogiques'!$C$3=3,$BO521=1),I521,""))</f>
        <v/>
      </c>
      <c r="AE521" s="53" t="str">
        <f aca="false">IF($J521&lt;&gt;"",$J521,"")</f>
        <v/>
      </c>
      <c r="AF521" s="52" t="str">
        <f aca="false">IF($A521&lt;&gt;"",$A521,"")</f>
        <v>Apprenant 509</v>
      </c>
      <c r="AG521" s="53" t="str">
        <f aca="false">IF(AND($W521&lt;&gt;"",$X521&lt;&gt;""),$X521-$W521,"")</f>
        <v/>
      </c>
      <c r="AH521" s="53" t="str">
        <f aca="false">IF(AND($W521&lt;&gt;"",$Y521&lt;&gt;""),$Y521-$W521,"")</f>
        <v/>
      </c>
      <c r="AI521" s="53" t="str">
        <f aca="false">IF(AND($X521&lt;&gt;"",$Y521&lt;&gt;""),$Y521-$X521,"")</f>
        <v/>
      </c>
      <c r="AJ521" s="53" t="str">
        <f aca="false">IF($E521&lt;&gt;"",$E521,"")</f>
        <v/>
      </c>
      <c r="AK521" s="52" t="str">
        <f aca="false">IF($F521&lt;&gt;"",$F521,"")</f>
        <v>Apprenant 509 ou 509'</v>
      </c>
      <c r="AL521" s="53" t="str">
        <f aca="false">IF(AND($AB521&lt;&gt;"",$AC521&lt;&gt;""),$AC521-$AB521,"")</f>
        <v/>
      </c>
      <c r="AM521" s="53" t="str">
        <f aca="false">IF(AND($AB521&lt;&gt;"",$AD521&lt;&gt;""),$AD521-$AB521,"")</f>
        <v/>
      </c>
      <c r="AN521" s="53" t="str">
        <f aca="false">IF(AND($AC521&lt;&gt;"",$AD521&lt;&gt;""),$AD521-$AC521,"")</f>
        <v/>
      </c>
      <c r="AO521" s="53" t="str">
        <f aca="false">IF($J521&lt;&gt;"",$J521,"")</f>
        <v/>
      </c>
      <c r="AQ521" s="52" t="str">
        <f aca="false">IF($A521&lt;&gt;"",$A521,"")</f>
        <v>Apprenant 509</v>
      </c>
      <c r="AR521" s="55" t="str">
        <f aca="false">IF(AND('Choix pédagogiques'!$C$4&lt;&gt;"?",'Choix pédagogiques'!$C$5&lt;&gt;"?",W521&lt;&gt;""),(W521-'Choix pédagogiques'!$C$4)/('Choix pédagogiques'!$C$5-'Choix pédagogiques'!$C$4),"")</f>
        <v/>
      </c>
      <c r="AS521" s="55" t="str">
        <f aca="false">IF(AND('Choix pédagogiques'!$C$4&lt;&gt;"?",'Choix pédagogiques'!$C$5&lt;&gt;"?",X521&lt;&gt;""),(X521-'Choix pédagogiques'!$C$4)/('Choix pédagogiques'!$C$5-'Choix pédagogiques'!$C$4),"")</f>
        <v/>
      </c>
      <c r="AT521" s="55" t="str">
        <f aca="false">IF(AND('Choix pédagogiques'!$C$4&lt;&gt;"?",'Choix pédagogiques'!$C$5&lt;&gt;"?",Y521&lt;&gt;""),(Y521-'Choix pédagogiques'!$C$4)/('Choix pédagogiques'!$C$5-'Choix pédagogiques'!$C$4),"")</f>
        <v/>
      </c>
      <c r="AU521" s="53" t="str">
        <f aca="false">IF($E521&lt;&gt;"",$E521,"")</f>
        <v/>
      </c>
      <c r="AV521" s="52" t="str">
        <f aca="false">IF($F521&lt;&gt;"",$F521,"")</f>
        <v>Apprenant 509 ou 509'</v>
      </c>
      <c r="AW521" s="55" t="str">
        <f aca="false">IF(AND('Choix pédagogiques'!$C$4&lt;&gt;"?",'Choix pédagogiques'!$C$5&lt;&gt;"?",AB521&lt;&gt;""),(AB521-'Choix pédagogiques'!$C$4)/('Choix pédagogiques'!$C$5-'Choix pédagogiques'!$C$4),"")</f>
        <v/>
      </c>
      <c r="AX521" s="55" t="str">
        <f aca="false">IF(AND('Choix pédagogiques'!$C$4&lt;&gt;"?",'Choix pédagogiques'!$C$5&lt;&gt;"?",AC521&lt;&gt;""),(AC521-'Choix pédagogiques'!$C$4)/('Choix pédagogiques'!$C$5-'Choix pédagogiques'!$C$4),"")</f>
        <v/>
      </c>
      <c r="AY521" s="55" t="str">
        <f aca="false">IF(AND('Choix pédagogiques'!$C$4&lt;&gt;"?",'Choix pédagogiques'!$C$5&lt;&gt;"?",AD521&lt;&gt;""),(AD521-'Choix pédagogiques'!$C$4)/('Choix pédagogiques'!$C$5-'Choix pédagogiques'!$C$4),"")</f>
        <v/>
      </c>
      <c r="AZ521" s="53" t="str">
        <f aca="false">IF($J521&lt;&gt;"",$J521,"")</f>
        <v/>
      </c>
      <c r="BA521" s="52" t="str">
        <f aca="false">IF($A521&lt;&gt;"",$A521,"")</f>
        <v>Apprenant 509</v>
      </c>
      <c r="BB521" s="55" t="str">
        <f aca="false">IF(AND($AR521&lt;&gt;"",$AS521&lt;&gt;""),$AS521-$AR521,"")</f>
        <v/>
      </c>
      <c r="BC521" s="55" t="str">
        <f aca="false">IF(AND($AR521&lt;&gt;"",$AT521&lt;&gt;""),$AT521-$AR521,"")</f>
        <v/>
      </c>
      <c r="BD521" s="55" t="str">
        <f aca="false">IF(AND($AS521&lt;&gt;"",$AT521&lt;&gt;""),$AT521-$AS521,"")</f>
        <v/>
      </c>
      <c r="BE521" s="53" t="str">
        <f aca="false">IF($E521&lt;&gt;"",$E521,"")</f>
        <v/>
      </c>
      <c r="BF521" s="52" t="str">
        <f aca="false">IF($F521&lt;&gt;"",$F521,"")</f>
        <v>Apprenant 509 ou 509'</v>
      </c>
      <c r="BG521" s="55" t="str">
        <f aca="false">IF(AND($AW521&lt;&gt;"",$AX521&lt;&gt;""),$AX521-$AW521,"")</f>
        <v/>
      </c>
      <c r="BH521" s="55" t="str">
        <f aca="false">IF(AND($AW521&lt;&gt;"",$AY521&lt;&gt;""),$AY521-$AW521,"")</f>
        <v/>
      </c>
      <c r="BI521" s="55" t="str">
        <f aca="false">IF(AND($AX521&lt;&gt;"",$AY521&lt;&gt;""),$AY521-$AX521,"")</f>
        <v/>
      </c>
      <c r="BJ521" s="53" t="str">
        <f aca="false">IF($J521&lt;&gt;"",$J521,"")</f>
        <v/>
      </c>
      <c r="BL521" s="52"/>
      <c r="BM521" s="52" t="str">
        <f aca="false">IF(OR(COUNT(B521:D1520)=0,AND('Choix pédagogiques'!$C$3&lt;&gt;1,'Choix pédagogiques'!$C$3&lt;&gt;2)),"",IF(AND(OR('Choix pédagogiques'!$C$3=1,'Choix pédagogiques'!$C$3=2),$B521&lt;&gt;"",$C521&lt;&gt;"",$D521&lt;&gt;""),1,0))</f>
        <v/>
      </c>
      <c r="BN521" s="52" t="str">
        <f aca="false">IF(OR(COUNT(G521:I1520)=0,AND('Choix pédagogiques'!$C$3&lt;&gt;1,'Choix pédagogiques'!$C$3&lt;&gt;2)),"",IF(AND(OR('Choix pédagogiques'!$C$3=1,'Choix pédagogiques'!$C$3=2),AND($G521&lt;&gt;"",$H521&lt;&gt;"",$I521&lt;&gt;"")),1,0))</f>
        <v/>
      </c>
      <c r="BO521" s="52" t="str">
        <f aca="false">IF(OR(COUNT(B521:D1520)=0,COUNT(G521:I1520)=0,'Choix pédagogiques'!C$3&lt;&gt;3),"",IF(AND('Choix pédagogiques'!$C$3=3,$B521&lt;&gt;"",$C521&lt;&gt;"",$D521&lt;&gt;"",$G521&lt;&gt;"",$H521&lt;&gt;"",$I521&lt;&gt;""),1,0))</f>
        <v/>
      </c>
      <c r="BR521" s="52" t="n">
        <v>795</v>
      </c>
      <c r="BS521" s="52" t="n">
        <v>1230</v>
      </c>
    </row>
    <row r="522" s="54" customFormat="true" ht="18" hidden="false" customHeight="true" outlineLevel="0" collapsed="false">
      <c r="A522" s="57" t="s">
        <v>975</v>
      </c>
      <c r="B522" s="51"/>
      <c r="C522" s="51"/>
      <c r="D522" s="51"/>
      <c r="E522" s="51"/>
      <c r="F522" s="57" t="s">
        <v>976</v>
      </c>
      <c r="G522" s="51"/>
      <c r="H522" s="51"/>
      <c r="I522" s="51"/>
      <c r="J522" s="51"/>
      <c r="K522" s="52" t="str">
        <f aca="false">IF($A522&lt;&gt;"",$A522,"")</f>
        <v>Apprenant 510</v>
      </c>
      <c r="L522" s="53" t="str">
        <f aca="false">IF(AND($B522&lt;&gt;"",$C522&lt;&gt;""),$C522-$B522,"")</f>
        <v/>
      </c>
      <c r="M522" s="53" t="str">
        <f aca="false">IF(AND($B522&lt;&gt;"",$D522&lt;&gt;""),$D522-$B522,"")</f>
        <v/>
      </c>
      <c r="N522" s="53" t="str">
        <f aca="false">IF(AND($C522&lt;&gt;"",$D522&lt;&gt;""),$D522-$C522,"")</f>
        <v/>
      </c>
      <c r="O522" s="53" t="str">
        <f aca="false">IF($E522&lt;&gt;"",$E522,"")</f>
        <v/>
      </c>
      <c r="P522" s="52" t="str">
        <f aca="false">IF($F522&lt;&gt;"",$F522,"")</f>
        <v>Apprenant 510 ou 510'</v>
      </c>
      <c r="Q522" s="53" t="str">
        <f aca="false">IF(AND($G522&lt;&gt;"",$H522&lt;&gt;""),$H522-$G522,"")</f>
        <v/>
      </c>
      <c r="R522" s="53" t="str">
        <f aca="false">IF(AND($G522&lt;&gt;"",$I522&lt;&gt;""),$I522-$G522,"")</f>
        <v/>
      </c>
      <c r="S522" s="53" t="str">
        <f aca="false">IF(AND($H522&lt;&gt;"",$I522&lt;&gt;""),$I522-$H522,"")</f>
        <v/>
      </c>
      <c r="T522" s="53" t="str">
        <f aca="false">IF($J522&lt;&gt;"",$J522,"")</f>
        <v/>
      </c>
      <c r="V522" s="52" t="str">
        <f aca="false">IF($A522&lt;&gt;"",$A522,"")</f>
        <v>Apprenant 510</v>
      </c>
      <c r="W522" s="53" t="str">
        <f aca="false">IF(AND(OR('Choix pédagogiques'!$C$3=1,'Choix pédagogiques'!$C$3=2),$BM522=1),B522,IF(AND('Choix pédagogiques'!$C$3=3,$BO522=1),B522,""))</f>
        <v/>
      </c>
      <c r="X522" s="53" t="str">
        <f aca="false">IF(AND(OR('Choix pédagogiques'!$C$3=1,'Choix pédagogiques'!$C$3=2),$BM522=1),C522,IF(AND('Choix pédagogiques'!$C$3=3,$BO522=1),C522,""))</f>
        <v/>
      </c>
      <c r="Y522" s="53" t="str">
        <f aca="false">IF(AND(OR('Choix pédagogiques'!$C$3=1,'Choix pédagogiques'!$C$3=2),$BM522=1),D522,IF(AND('Choix pédagogiques'!$C$3=3,$BO522=1),D522,""))</f>
        <v/>
      </c>
      <c r="Z522" s="53" t="str">
        <f aca="false">IF($E522&lt;&gt;"",$E522,"")</f>
        <v/>
      </c>
      <c r="AA522" s="52" t="str">
        <f aca="false">IF($F522&lt;&gt;"",$F522,"")</f>
        <v>Apprenant 510 ou 510'</v>
      </c>
      <c r="AB522" s="53" t="str">
        <f aca="false">IF(AND(OR('Choix pédagogiques'!$C$3=1,'Choix pédagogiques'!$C$3=2),$BN522=1),G522,IF(AND('Choix pédagogiques'!$C$3=3,$BO522=1),G522,""))</f>
        <v/>
      </c>
      <c r="AC522" s="53" t="str">
        <f aca="false">IF(AND(OR('Choix pédagogiques'!$C$3=1,'Choix pédagogiques'!$C$3=2),$BN522=1),H522,IF(AND('Choix pédagogiques'!$C$3=3,$BO522=1),H522,""))</f>
        <v/>
      </c>
      <c r="AD522" s="53" t="str">
        <f aca="false">IF(AND(OR('Choix pédagogiques'!$C$3=1,'Choix pédagogiques'!$C$3=2),$BN522=1),I522,IF(AND('Choix pédagogiques'!$C$3=3,$BO522=1),I522,""))</f>
        <v/>
      </c>
      <c r="AE522" s="53" t="str">
        <f aca="false">IF($J522&lt;&gt;"",$J522,"")</f>
        <v/>
      </c>
      <c r="AF522" s="52" t="str">
        <f aca="false">IF($A522&lt;&gt;"",$A522,"")</f>
        <v>Apprenant 510</v>
      </c>
      <c r="AG522" s="53" t="str">
        <f aca="false">IF(AND($W522&lt;&gt;"",$X522&lt;&gt;""),$X522-$W522,"")</f>
        <v/>
      </c>
      <c r="AH522" s="53" t="str">
        <f aca="false">IF(AND($W522&lt;&gt;"",$Y522&lt;&gt;""),$Y522-$W522,"")</f>
        <v/>
      </c>
      <c r="AI522" s="53" t="str">
        <f aca="false">IF(AND($X522&lt;&gt;"",$Y522&lt;&gt;""),$Y522-$X522,"")</f>
        <v/>
      </c>
      <c r="AJ522" s="53" t="str">
        <f aca="false">IF($E522&lt;&gt;"",$E522,"")</f>
        <v/>
      </c>
      <c r="AK522" s="52" t="str">
        <f aca="false">IF($F522&lt;&gt;"",$F522,"")</f>
        <v>Apprenant 510 ou 510'</v>
      </c>
      <c r="AL522" s="53" t="str">
        <f aca="false">IF(AND($AB522&lt;&gt;"",$AC522&lt;&gt;""),$AC522-$AB522,"")</f>
        <v/>
      </c>
      <c r="AM522" s="53" t="str">
        <f aca="false">IF(AND($AB522&lt;&gt;"",$AD522&lt;&gt;""),$AD522-$AB522,"")</f>
        <v/>
      </c>
      <c r="AN522" s="53" t="str">
        <f aca="false">IF(AND($AC522&lt;&gt;"",$AD522&lt;&gt;""),$AD522-$AC522,"")</f>
        <v/>
      </c>
      <c r="AO522" s="53" t="str">
        <f aca="false">IF($J522&lt;&gt;"",$J522,"")</f>
        <v/>
      </c>
      <c r="AQ522" s="52" t="str">
        <f aca="false">IF($A522&lt;&gt;"",$A522,"")</f>
        <v>Apprenant 510</v>
      </c>
      <c r="AR522" s="55" t="str">
        <f aca="false">IF(AND('Choix pédagogiques'!$C$4&lt;&gt;"?",'Choix pédagogiques'!$C$5&lt;&gt;"?",W522&lt;&gt;""),(W522-'Choix pédagogiques'!$C$4)/('Choix pédagogiques'!$C$5-'Choix pédagogiques'!$C$4),"")</f>
        <v/>
      </c>
      <c r="AS522" s="55" t="str">
        <f aca="false">IF(AND('Choix pédagogiques'!$C$4&lt;&gt;"?",'Choix pédagogiques'!$C$5&lt;&gt;"?",X522&lt;&gt;""),(X522-'Choix pédagogiques'!$C$4)/('Choix pédagogiques'!$C$5-'Choix pédagogiques'!$C$4),"")</f>
        <v/>
      </c>
      <c r="AT522" s="55" t="str">
        <f aca="false">IF(AND('Choix pédagogiques'!$C$4&lt;&gt;"?",'Choix pédagogiques'!$C$5&lt;&gt;"?",Y522&lt;&gt;""),(Y522-'Choix pédagogiques'!$C$4)/('Choix pédagogiques'!$C$5-'Choix pédagogiques'!$C$4),"")</f>
        <v/>
      </c>
      <c r="AU522" s="53" t="str">
        <f aca="false">IF($E522&lt;&gt;"",$E522,"")</f>
        <v/>
      </c>
      <c r="AV522" s="52" t="str">
        <f aca="false">IF($F522&lt;&gt;"",$F522,"")</f>
        <v>Apprenant 510 ou 510'</v>
      </c>
      <c r="AW522" s="55" t="str">
        <f aca="false">IF(AND('Choix pédagogiques'!$C$4&lt;&gt;"?",'Choix pédagogiques'!$C$5&lt;&gt;"?",AB522&lt;&gt;""),(AB522-'Choix pédagogiques'!$C$4)/('Choix pédagogiques'!$C$5-'Choix pédagogiques'!$C$4),"")</f>
        <v/>
      </c>
      <c r="AX522" s="55" t="str">
        <f aca="false">IF(AND('Choix pédagogiques'!$C$4&lt;&gt;"?",'Choix pédagogiques'!$C$5&lt;&gt;"?",AC522&lt;&gt;""),(AC522-'Choix pédagogiques'!$C$4)/('Choix pédagogiques'!$C$5-'Choix pédagogiques'!$C$4),"")</f>
        <v/>
      </c>
      <c r="AY522" s="55" t="str">
        <f aca="false">IF(AND('Choix pédagogiques'!$C$4&lt;&gt;"?",'Choix pédagogiques'!$C$5&lt;&gt;"?",AD522&lt;&gt;""),(AD522-'Choix pédagogiques'!$C$4)/('Choix pédagogiques'!$C$5-'Choix pédagogiques'!$C$4),"")</f>
        <v/>
      </c>
      <c r="AZ522" s="53" t="str">
        <f aca="false">IF($J522&lt;&gt;"",$J522,"")</f>
        <v/>
      </c>
      <c r="BA522" s="52" t="str">
        <f aca="false">IF($A522&lt;&gt;"",$A522,"")</f>
        <v>Apprenant 510</v>
      </c>
      <c r="BB522" s="55" t="str">
        <f aca="false">IF(AND($AR522&lt;&gt;"",$AS522&lt;&gt;""),$AS522-$AR522,"")</f>
        <v/>
      </c>
      <c r="BC522" s="55" t="str">
        <f aca="false">IF(AND($AR522&lt;&gt;"",$AT522&lt;&gt;""),$AT522-$AR522,"")</f>
        <v/>
      </c>
      <c r="BD522" s="55" t="str">
        <f aca="false">IF(AND($AS522&lt;&gt;"",$AT522&lt;&gt;""),$AT522-$AS522,"")</f>
        <v/>
      </c>
      <c r="BE522" s="53" t="str">
        <f aca="false">IF($E522&lt;&gt;"",$E522,"")</f>
        <v/>
      </c>
      <c r="BF522" s="52" t="str">
        <f aca="false">IF($F522&lt;&gt;"",$F522,"")</f>
        <v>Apprenant 510 ou 510'</v>
      </c>
      <c r="BG522" s="55" t="str">
        <f aca="false">IF(AND($AW522&lt;&gt;"",$AX522&lt;&gt;""),$AX522-$AW522,"")</f>
        <v/>
      </c>
      <c r="BH522" s="55" t="str">
        <f aca="false">IF(AND($AW522&lt;&gt;"",$AY522&lt;&gt;""),$AY522-$AW522,"")</f>
        <v/>
      </c>
      <c r="BI522" s="55" t="str">
        <f aca="false">IF(AND($AX522&lt;&gt;"",$AY522&lt;&gt;""),$AY522-$AX522,"")</f>
        <v/>
      </c>
      <c r="BJ522" s="53" t="str">
        <f aca="false">IF($J522&lt;&gt;"",$J522,"")</f>
        <v/>
      </c>
      <c r="BL522" s="52"/>
      <c r="BM522" s="52" t="str">
        <f aca="false">IF(OR(COUNT(B522:D1521)=0,AND('Choix pédagogiques'!$C$3&lt;&gt;1,'Choix pédagogiques'!$C$3&lt;&gt;2)),"",IF(AND(OR('Choix pédagogiques'!$C$3=1,'Choix pédagogiques'!$C$3=2),$B522&lt;&gt;"",$C522&lt;&gt;"",$D522&lt;&gt;""),1,0))</f>
        <v/>
      </c>
      <c r="BN522" s="52" t="str">
        <f aca="false">IF(OR(COUNT(G522:I1521)=0,AND('Choix pédagogiques'!$C$3&lt;&gt;1,'Choix pédagogiques'!$C$3&lt;&gt;2)),"",IF(AND(OR('Choix pédagogiques'!$C$3=1,'Choix pédagogiques'!$C$3=2),AND($G522&lt;&gt;"",$H522&lt;&gt;"",$I522&lt;&gt;"")),1,0))</f>
        <v/>
      </c>
      <c r="BO522" s="52" t="str">
        <f aca="false">IF(OR(COUNT(B522:D1521)=0,COUNT(G522:I1521)=0,'Choix pédagogiques'!C$3&lt;&gt;3),"",IF(AND('Choix pédagogiques'!$C$3=3,$B522&lt;&gt;"",$C522&lt;&gt;"",$D522&lt;&gt;"",$G522&lt;&gt;"",$H522&lt;&gt;"",$I522&lt;&gt;""),1,0))</f>
        <v/>
      </c>
      <c r="BR522" s="52" t="n">
        <v>264</v>
      </c>
      <c r="BS522" s="52" t="n">
        <v>1700</v>
      </c>
    </row>
    <row r="523" s="54" customFormat="true" ht="18" hidden="false" customHeight="true" outlineLevel="0" collapsed="false">
      <c r="A523" s="57" t="s">
        <v>977</v>
      </c>
      <c r="B523" s="51"/>
      <c r="C523" s="51"/>
      <c r="D523" s="51"/>
      <c r="E523" s="51"/>
      <c r="F523" s="57" t="s">
        <v>978</v>
      </c>
      <c r="G523" s="51"/>
      <c r="H523" s="51"/>
      <c r="I523" s="51"/>
      <c r="J523" s="51"/>
      <c r="K523" s="52" t="str">
        <f aca="false">IF($A523&lt;&gt;"",$A523,"")</f>
        <v>Apprenant 511</v>
      </c>
      <c r="L523" s="53" t="str">
        <f aca="false">IF(AND($B523&lt;&gt;"",$C523&lt;&gt;""),$C523-$B523,"")</f>
        <v/>
      </c>
      <c r="M523" s="53" t="str">
        <f aca="false">IF(AND($B523&lt;&gt;"",$D523&lt;&gt;""),$D523-$B523,"")</f>
        <v/>
      </c>
      <c r="N523" s="53" t="str">
        <f aca="false">IF(AND($C523&lt;&gt;"",$D523&lt;&gt;""),$D523-$C523,"")</f>
        <v/>
      </c>
      <c r="O523" s="53" t="str">
        <f aca="false">IF($E523&lt;&gt;"",$E523,"")</f>
        <v/>
      </c>
      <c r="P523" s="52" t="str">
        <f aca="false">IF($F523&lt;&gt;"",$F523,"")</f>
        <v>Apprenant 511 ou 511'</v>
      </c>
      <c r="Q523" s="53" t="str">
        <f aca="false">IF(AND($G523&lt;&gt;"",$H523&lt;&gt;""),$H523-$G523,"")</f>
        <v/>
      </c>
      <c r="R523" s="53" t="str">
        <f aca="false">IF(AND($G523&lt;&gt;"",$I523&lt;&gt;""),$I523-$G523,"")</f>
        <v/>
      </c>
      <c r="S523" s="53" t="str">
        <f aca="false">IF(AND($H523&lt;&gt;"",$I523&lt;&gt;""),$I523-$H523,"")</f>
        <v/>
      </c>
      <c r="T523" s="53" t="str">
        <f aca="false">IF($J523&lt;&gt;"",$J523,"")</f>
        <v/>
      </c>
      <c r="V523" s="52" t="str">
        <f aca="false">IF($A523&lt;&gt;"",$A523,"")</f>
        <v>Apprenant 511</v>
      </c>
      <c r="W523" s="53" t="str">
        <f aca="false">IF(AND(OR('Choix pédagogiques'!$C$3=1,'Choix pédagogiques'!$C$3=2),$BM523=1),B523,IF(AND('Choix pédagogiques'!$C$3=3,$BO523=1),B523,""))</f>
        <v/>
      </c>
      <c r="X523" s="53" t="str">
        <f aca="false">IF(AND(OR('Choix pédagogiques'!$C$3=1,'Choix pédagogiques'!$C$3=2),$BM523=1),C523,IF(AND('Choix pédagogiques'!$C$3=3,$BO523=1),C523,""))</f>
        <v/>
      </c>
      <c r="Y523" s="53" t="str">
        <f aca="false">IF(AND(OR('Choix pédagogiques'!$C$3=1,'Choix pédagogiques'!$C$3=2),$BM523=1),D523,IF(AND('Choix pédagogiques'!$C$3=3,$BO523=1),D523,""))</f>
        <v/>
      </c>
      <c r="Z523" s="53" t="str">
        <f aca="false">IF($E523&lt;&gt;"",$E523,"")</f>
        <v/>
      </c>
      <c r="AA523" s="52" t="str">
        <f aca="false">IF($F523&lt;&gt;"",$F523,"")</f>
        <v>Apprenant 511 ou 511'</v>
      </c>
      <c r="AB523" s="53" t="str">
        <f aca="false">IF(AND(OR('Choix pédagogiques'!$C$3=1,'Choix pédagogiques'!$C$3=2),$BN523=1),G523,IF(AND('Choix pédagogiques'!$C$3=3,$BO523=1),G523,""))</f>
        <v/>
      </c>
      <c r="AC523" s="53" t="str">
        <f aca="false">IF(AND(OR('Choix pédagogiques'!$C$3=1,'Choix pédagogiques'!$C$3=2),$BN523=1),H523,IF(AND('Choix pédagogiques'!$C$3=3,$BO523=1),H523,""))</f>
        <v/>
      </c>
      <c r="AD523" s="53" t="str">
        <f aca="false">IF(AND(OR('Choix pédagogiques'!$C$3=1,'Choix pédagogiques'!$C$3=2),$BN523=1),I523,IF(AND('Choix pédagogiques'!$C$3=3,$BO523=1),I523,""))</f>
        <v/>
      </c>
      <c r="AE523" s="53" t="str">
        <f aca="false">IF($J523&lt;&gt;"",$J523,"")</f>
        <v/>
      </c>
      <c r="AF523" s="52" t="str">
        <f aca="false">IF($A523&lt;&gt;"",$A523,"")</f>
        <v>Apprenant 511</v>
      </c>
      <c r="AG523" s="53" t="str">
        <f aca="false">IF(AND($W523&lt;&gt;"",$X523&lt;&gt;""),$X523-$W523,"")</f>
        <v/>
      </c>
      <c r="AH523" s="53" t="str">
        <f aca="false">IF(AND($W523&lt;&gt;"",$Y523&lt;&gt;""),$Y523-$W523,"")</f>
        <v/>
      </c>
      <c r="AI523" s="53" t="str">
        <f aca="false">IF(AND($X523&lt;&gt;"",$Y523&lt;&gt;""),$Y523-$X523,"")</f>
        <v/>
      </c>
      <c r="AJ523" s="53" t="str">
        <f aca="false">IF($E523&lt;&gt;"",$E523,"")</f>
        <v/>
      </c>
      <c r="AK523" s="52" t="str">
        <f aca="false">IF($F523&lt;&gt;"",$F523,"")</f>
        <v>Apprenant 511 ou 511'</v>
      </c>
      <c r="AL523" s="53" t="str">
        <f aca="false">IF(AND($AB523&lt;&gt;"",$AC523&lt;&gt;""),$AC523-$AB523,"")</f>
        <v/>
      </c>
      <c r="AM523" s="53" t="str">
        <f aca="false">IF(AND($AB523&lt;&gt;"",$AD523&lt;&gt;""),$AD523-$AB523,"")</f>
        <v/>
      </c>
      <c r="AN523" s="53" t="str">
        <f aca="false">IF(AND($AC523&lt;&gt;"",$AD523&lt;&gt;""),$AD523-$AC523,"")</f>
        <v/>
      </c>
      <c r="AO523" s="53" t="str">
        <f aca="false">IF($J523&lt;&gt;"",$J523,"")</f>
        <v/>
      </c>
      <c r="AQ523" s="52" t="str">
        <f aca="false">IF($A523&lt;&gt;"",$A523,"")</f>
        <v>Apprenant 511</v>
      </c>
      <c r="AR523" s="55" t="str">
        <f aca="false">IF(AND('Choix pédagogiques'!$C$4&lt;&gt;"?",'Choix pédagogiques'!$C$5&lt;&gt;"?",W523&lt;&gt;""),(W523-'Choix pédagogiques'!$C$4)/('Choix pédagogiques'!$C$5-'Choix pédagogiques'!$C$4),"")</f>
        <v/>
      </c>
      <c r="AS523" s="55" t="str">
        <f aca="false">IF(AND('Choix pédagogiques'!$C$4&lt;&gt;"?",'Choix pédagogiques'!$C$5&lt;&gt;"?",X523&lt;&gt;""),(X523-'Choix pédagogiques'!$C$4)/('Choix pédagogiques'!$C$5-'Choix pédagogiques'!$C$4),"")</f>
        <v/>
      </c>
      <c r="AT523" s="55" t="str">
        <f aca="false">IF(AND('Choix pédagogiques'!$C$4&lt;&gt;"?",'Choix pédagogiques'!$C$5&lt;&gt;"?",Y523&lt;&gt;""),(Y523-'Choix pédagogiques'!$C$4)/('Choix pédagogiques'!$C$5-'Choix pédagogiques'!$C$4),"")</f>
        <v/>
      </c>
      <c r="AU523" s="53" t="str">
        <f aca="false">IF($E523&lt;&gt;"",$E523,"")</f>
        <v/>
      </c>
      <c r="AV523" s="52" t="str">
        <f aca="false">IF($F523&lt;&gt;"",$F523,"")</f>
        <v>Apprenant 511 ou 511'</v>
      </c>
      <c r="AW523" s="55" t="str">
        <f aca="false">IF(AND('Choix pédagogiques'!$C$4&lt;&gt;"?",'Choix pédagogiques'!$C$5&lt;&gt;"?",AB523&lt;&gt;""),(AB523-'Choix pédagogiques'!$C$4)/('Choix pédagogiques'!$C$5-'Choix pédagogiques'!$C$4),"")</f>
        <v/>
      </c>
      <c r="AX523" s="55" t="str">
        <f aca="false">IF(AND('Choix pédagogiques'!$C$4&lt;&gt;"?",'Choix pédagogiques'!$C$5&lt;&gt;"?",AC523&lt;&gt;""),(AC523-'Choix pédagogiques'!$C$4)/('Choix pédagogiques'!$C$5-'Choix pédagogiques'!$C$4),"")</f>
        <v/>
      </c>
      <c r="AY523" s="55" t="str">
        <f aca="false">IF(AND('Choix pédagogiques'!$C$4&lt;&gt;"?",'Choix pédagogiques'!$C$5&lt;&gt;"?",AD523&lt;&gt;""),(AD523-'Choix pédagogiques'!$C$4)/('Choix pédagogiques'!$C$5-'Choix pédagogiques'!$C$4),"")</f>
        <v/>
      </c>
      <c r="AZ523" s="53" t="str">
        <f aca="false">IF($J523&lt;&gt;"",$J523,"")</f>
        <v/>
      </c>
      <c r="BA523" s="52" t="str">
        <f aca="false">IF($A523&lt;&gt;"",$A523,"")</f>
        <v>Apprenant 511</v>
      </c>
      <c r="BB523" s="55" t="str">
        <f aca="false">IF(AND($AR523&lt;&gt;"",$AS523&lt;&gt;""),$AS523-$AR523,"")</f>
        <v/>
      </c>
      <c r="BC523" s="55" t="str">
        <f aca="false">IF(AND($AR523&lt;&gt;"",$AT523&lt;&gt;""),$AT523-$AR523,"")</f>
        <v/>
      </c>
      <c r="BD523" s="55" t="str">
        <f aca="false">IF(AND($AS523&lt;&gt;"",$AT523&lt;&gt;""),$AT523-$AS523,"")</f>
        <v/>
      </c>
      <c r="BE523" s="53" t="str">
        <f aca="false">IF($E523&lt;&gt;"",$E523,"")</f>
        <v/>
      </c>
      <c r="BF523" s="52" t="str">
        <f aca="false">IF($F523&lt;&gt;"",$F523,"")</f>
        <v>Apprenant 511 ou 511'</v>
      </c>
      <c r="BG523" s="55" t="str">
        <f aca="false">IF(AND($AW523&lt;&gt;"",$AX523&lt;&gt;""),$AX523-$AW523,"")</f>
        <v/>
      </c>
      <c r="BH523" s="55" t="str">
        <f aca="false">IF(AND($AW523&lt;&gt;"",$AY523&lt;&gt;""),$AY523-$AW523,"")</f>
        <v/>
      </c>
      <c r="BI523" s="55" t="str">
        <f aca="false">IF(AND($AX523&lt;&gt;"",$AY523&lt;&gt;""),$AY523-$AX523,"")</f>
        <v/>
      </c>
      <c r="BJ523" s="53" t="str">
        <f aca="false">IF($J523&lt;&gt;"",$J523,"")</f>
        <v/>
      </c>
      <c r="BL523" s="52"/>
      <c r="BM523" s="52" t="str">
        <f aca="false">IF(OR(COUNT(B523:D1522)=0,AND('Choix pédagogiques'!$C$3&lt;&gt;1,'Choix pédagogiques'!$C$3&lt;&gt;2)),"",IF(AND(OR('Choix pédagogiques'!$C$3=1,'Choix pédagogiques'!$C$3=2),$B523&lt;&gt;"",$C523&lt;&gt;"",$D523&lt;&gt;""),1,0))</f>
        <v/>
      </c>
      <c r="BN523" s="52" t="str">
        <f aca="false">IF(OR(COUNT(G523:I1522)=0,AND('Choix pédagogiques'!$C$3&lt;&gt;1,'Choix pédagogiques'!$C$3&lt;&gt;2)),"",IF(AND(OR('Choix pédagogiques'!$C$3=1,'Choix pédagogiques'!$C$3=2),AND($G523&lt;&gt;"",$H523&lt;&gt;"",$I523&lt;&gt;"")),1,0))</f>
        <v/>
      </c>
      <c r="BO523" s="52" t="str">
        <f aca="false">IF(OR(COUNT(B523:D1522)=0,COUNT(G523:I1522)=0,'Choix pédagogiques'!C$3&lt;&gt;3),"",IF(AND('Choix pédagogiques'!$C$3=3,$B523&lt;&gt;"",$C523&lt;&gt;"",$D523&lt;&gt;"",$G523&lt;&gt;"",$H523&lt;&gt;"",$I523&lt;&gt;""),1,0))</f>
        <v/>
      </c>
      <c r="BR523" s="52" t="n">
        <v>849</v>
      </c>
      <c r="BS523" s="52" t="n">
        <v>1922</v>
      </c>
    </row>
    <row r="524" s="54" customFormat="true" ht="18" hidden="false" customHeight="true" outlineLevel="0" collapsed="false">
      <c r="A524" s="57" t="s">
        <v>979</v>
      </c>
      <c r="B524" s="51"/>
      <c r="C524" s="51"/>
      <c r="D524" s="51"/>
      <c r="E524" s="51"/>
      <c r="F524" s="57" t="s">
        <v>980</v>
      </c>
      <c r="G524" s="51"/>
      <c r="H524" s="51"/>
      <c r="I524" s="51"/>
      <c r="J524" s="51"/>
      <c r="K524" s="52" t="str">
        <f aca="false">IF($A524&lt;&gt;"",$A524,"")</f>
        <v>Apprenant 512</v>
      </c>
      <c r="L524" s="53" t="str">
        <f aca="false">IF(AND($B524&lt;&gt;"",$C524&lt;&gt;""),$C524-$B524,"")</f>
        <v/>
      </c>
      <c r="M524" s="53" t="str">
        <f aca="false">IF(AND($B524&lt;&gt;"",$D524&lt;&gt;""),$D524-$B524,"")</f>
        <v/>
      </c>
      <c r="N524" s="53" t="str">
        <f aca="false">IF(AND($C524&lt;&gt;"",$D524&lt;&gt;""),$D524-$C524,"")</f>
        <v/>
      </c>
      <c r="O524" s="53" t="str">
        <f aca="false">IF($E524&lt;&gt;"",$E524,"")</f>
        <v/>
      </c>
      <c r="P524" s="52" t="str">
        <f aca="false">IF($F524&lt;&gt;"",$F524,"")</f>
        <v>Apprenant 512 ou 512'</v>
      </c>
      <c r="Q524" s="53" t="str">
        <f aca="false">IF(AND($G524&lt;&gt;"",$H524&lt;&gt;""),$H524-$G524,"")</f>
        <v/>
      </c>
      <c r="R524" s="53" t="str">
        <f aca="false">IF(AND($G524&lt;&gt;"",$I524&lt;&gt;""),$I524-$G524,"")</f>
        <v/>
      </c>
      <c r="S524" s="53" t="str">
        <f aca="false">IF(AND($H524&lt;&gt;"",$I524&lt;&gt;""),$I524-$H524,"")</f>
        <v/>
      </c>
      <c r="T524" s="53" t="str">
        <f aca="false">IF($J524&lt;&gt;"",$J524,"")</f>
        <v/>
      </c>
      <c r="V524" s="52" t="str">
        <f aca="false">IF($A524&lt;&gt;"",$A524,"")</f>
        <v>Apprenant 512</v>
      </c>
      <c r="W524" s="53" t="str">
        <f aca="false">IF(AND(OR('Choix pédagogiques'!$C$3=1,'Choix pédagogiques'!$C$3=2),$BM524=1),B524,IF(AND('Choix pédagogiques'!$C$3=3,$BO524=1),B524,""))</f>
        <v/>
      </c>
      <c r="X524" s="53" t="str">
        <f aca="false">IF(AND(OR('Choix pédagogiques'!$C$3=1,'Choix pédagogiques'!$C$3=2),$BM524=1),C524,IF(AND('Choix pédagogiques'!$C$3=3,$BO524=1),C524,""))</f>
        <v/>
      </c>
      <c r="Y524" s="53" t="str">
        <f aca="false">IF(AND(OR('Choix pédagogiques'!$C$3=1,'Choix pédagogiques'!$C$3=2),$BM524=1),D524,IF(AND('Choix pédagogiques'!$C$3=3,$BO524=1),D524,""))</f>
        <v/>
      </c>
      <c r="Z524" s="53" t="str">
        <f aca="false">IF($E524&lt;&gt;"",$E524,"")</f>
        <v/>
      </c>
      <c r="AA524" s="52" t="str">
        <f aca="false">IF($F524&lt;&gt;"",$F524,"")</f>
        <v>Apprenant 512 ou 512'</v>
      </c>
      <c r="AB524" s="53" t="str">
        <f aca="false">IF(AND(OR('Choix pédagogiques'!$C$3=1,'Choix pédagogiques'!$C$3=2),$BN524=1),G524,IF(AND('Choix pédagogiques'!$C$3=3,$BO524=1),G524,""))</f>
        <v/>
      </c>
      <c r="AC524" s="53" t="str">
        <f aca="false">IF(AND(OR('Choix pédagogiques'!$C$3=1,'Choix pédagogiques'!$C$3=2),$BN524=1),H524,IF(AND('Choix pédagogiques'!$C$3=3,$BO524=1),H524,""))</f>
        <v/>
      </c>
      <c r="AD524" s="53" t="str">
        <f aca="false">IF(AND(OR('Choix pédagogiques'!$C$3=1,'Choix pédagogiques'!$C$3=2),$BN524=1),I524,IF(AND('Choix pédagogiques'!$C$3=3,$BO524=1),I524,""))</f>
        <v/>
      </c>
      <c r="AE524" s="53" t="str">
        <f aca="false">IF($J524&lt;&gt;"",$J524,"")</f>
        <v/>
      </c>
      <c r="AF524" s="52" t="str">
        <f aca="false">IF($A524&lt;&gt;"",$A524,"")</f>
        <v>Apprenant 512</v>
      </c>
      <c r="AG524" s="53" t="str">
        <f aca="false">IF(AND($W524&lt;&gt;"",$X524&lt;&gt;""),$X524-$W524,"")</f>
        <v/>
      </c>
      <c r="AH524" s="53" t="str">
        <f aca="false">IF(AND($W524&lt;&gt;"",$Y524&lt;&gt;""),$Y524-$W524,"")</f>
        <v/>
      </c>
      <c r="AI524" s="53" t="str">
        <f aca="false">IF(AND($X524&lt;&gt;"",$Y524&lt;&gt;""),$Y524-$X524,"")</f>
        <v/>
      </c>
      <c r="AJ524" s="53" t="str">
        <f aca="false">IF($E524&lt;&gt;"",$E524,"")</f>
        <v/>
      </c>
      <c r="AK524" s="52" t="str">
        <f aca="false">IF($F524&lt;&gt;"",$F524,"")</f>
        <v>Apprenant 512 ou 512'</v>
      </c>
      <c r="AL524" s="53" t="str">
        <f aca="false">IF(AND($AB524&lt;&gt;"",$AC524&lt;&gt;""),$AC524-$AB524,"")</f>
        <v/>
      </c>
      <c r="AM524" s="53" t="str">
        <f aca="false">IF(AND($AB524&lt;&gt;"",$AD524&lt;&gt;""),$AD524-$AB524,"")</f>
        <v/>
      </c>
      <c r="AN524" s="53" t="str">
        <f aca="false">IF(AND($AC524&lt;&gt;"",$AD524&lt;&gt;""),$AD524-$AC524,"")</f>
        <v/>
      </c>
      <c r="AO524" s="53" t="str">
        <f aca="false">IF($J524&lt;&gt;"",$J524,"")</f>
        <v/>
      </c>
      <c r="AQ524" s="52" t="str">
        <f aca="false">IF($A524&lt;&gt;"",$A524,"")</f>
        <v>Apprenant 512</v>
      </c>
      <c r="AR524" s="55" t="str">
        <f aca="false">IF(AND('Choix pédagogiques'!$C$4&lt;&gt;"?",'Choix pédagogiques'!$C$5&lt;&gt;"?",W524&lt;&gt;""),(W524-'Choix pédagogiques'!$C$4)/('Choix pédagogiques'!$C$5-'Choix pédagogiques'!$C$4),"")</f>
        <v/>
      </c>
      <c r="AS524" s="55" t="str">
        <f aca="false">IF(AND('Choix pédagogiques'!$C$4&lt;&gt;"?",'Choix pédagogiques'!$C$5&lt;&gt;"?",X524&lt;&gt;""),(X524-'Choix pédagogiques'!$C$4)/('Choix pédagogiques'!$C$5-'Choix pédagogiques'!$C$4),"")</f>
        <v/>
      </c>
      <c r="AT524" s="55" t="str">
        <f aca="false">IF(AND('Choix pédagogiques'!$C$4&lt;&gt;"?",'Choix pédagogiques'!$C$5&lt;&gt;"?",Y524&lt;&gt;""),(Y524-'Choix pédagogiques'!$C$4)/('Choix pédagogiques'!$C$5-'Choix pédagogiques'!$C$4),"")</f>
        <v/>
      </c>
      <c r="AU524" s="53" t="str">
        <f aca="false">IF($E524&lt;&gt;"",$E524,"")</f>
        <v/>
      </c>
      <c r="AV524" s="52" t="str">
        <f aca="false">IF($F524&lt;&gt;"",$F524,"")</f>
        <v>Apprenant 512 ou 512'</v>
      </c>
      <c r="AW524" s="55" t="str">
        <f aca="false">IF(AND('Choix pédagogiques'!$C$4&lt;&gt;"?",'Choix pédagogiques'!$C$5&lt;&gt;"?",AB524&lt;&gt;""),(AB524-'Choix pédagogiques'!$C$4)/('Choix pédagogiques'!$C$5-'Choix pédagogiques'!$C$4),"")</f>
        <v/>
      </c>
      <c r="AX524" s="55" t="str">
        <f aca="false">IF(AND('Choix pédagogiques'!$C$4&lt;&gt;"?",'Choix pédagogiques'!$C$5&lt;&gt;"?",AC524&lt;&gt;""),(AC524-'Choix pédagogiques'!$C$4)/('Choix pédagogiques'!$C$5-'Choix pédagogiques'!$C$4),"")</f>
        <v/>
      </c>
      <c r="AY524" s="55" t="str">
        <f aca="false">IF(AND('Choix pédagogiques'!$C$4&lt;&gt;"?",'Choix pédagogiques'!$C$5&lt;&gt;"?",AD524&lt;&gt;""),(AD524-'Choix pédagogiques'!$C$4)/('Choix pédagogiques'!$C$5-'Choix pédagogiques'!$C$4),"")</f>
        <v/>
      </c>
      <c r="AZ524" s="53" t="str">
        <f aca="false">IF($J524&lt;&gt;"",$J524,"")</f>
        <v/>
      </c>
      <c r="BA524" s="52" t="str">
        <f aca="false">IF($A524&lt;&gt;"",$A524,"")</f>
        <v>Apprenant 512</v>
      </c>
      <c r="BB524" s="55" t="str">
        <f aca="false">IF(AND($AR524&lt;&gt;"",$AS524&lt;&gt;""),$AS524-$AR524,"")</f>
        <v/>
      </c>
      <c r="BC524" s="55" t="str">
        <f aca="false">IF(AND($AR524&lt;&gt;"",$AT524&lt;&gt;""),$AT524-$AR524,"")</f>
        <v/>
      </c>
      <c r="BD524" s="55" t="str">
        <f aca="false">IF(AND($AS524&lt;&gt;"",$AT524&lt;&gt;""),$AT524-$AS524,"")</f>
        <v/>
      </c>
      <c r="BE524" s="53" t="str">
        <f aca="false">IF($E524&lt;&gt;"",$E524,"")</f>
        <v/>
      </c>
      <c r="BF524" s="52" t="str">
        <f aca="false">IF($F524&lt;&gt;"",$F524,"")</f>
        <v>Apprenant 512 ou 512'</v>
      </c>
      <c r="BG524" s="55" t="str">
        <f aca="false">IF(AND($AW524&lt;&gt;"",$AX524&lt;&gt;""),$AX524-$AW524,"")</f>
        <v/>
      </c>
      <c r="BH524" s="55" t="str">
        <f aca="false">IF(AND($AW524&lt;&gt;"",$AY524&lt;&gt;""),$AY524-$AW524,"")</f>
        <v/>
      </c>
      <c r="BI524" s="55" t="str">
        <f aca="false">IF(AND($AX524&lt;&gt;"",$AY524&lt;&gt;""),$AY524-$AX524,"")</f>
        <v/>
      </c>
      <c r="BJ524" s="53" t="str">
        <f aca="false">IF($J524&lt;&gt;"",$J524,"")</f>
        <v/>
      </c>
      <c r="BL524" s="52"/>
      <c r="BM524" s="52" t="str">
        <f aca="false">IF(OR(COUNT(B524:D1523)=0,AND('Choix pédagogiques'!$C$3&lt;&gt;1,'Choix pédagogiques'!$C$3&lt;&gt;2)),"",IF(AND(OR('Choix pédagogiques'!$C$3=1,'Choix pédagogiques'!$C$3=2),$B524&lt;&gt;"",$C524&lt;&gt;"",$D524&lt;&gt;""),1,0))</f>
        <v/>
      </c>
      <c r="BN524" s="52" t="str">
        <f aca="false">IF(OR(COUNT(G524:I1523)=0,AND('Choix pédagogiques'!$C$3&lt;&gt;1,'Choix pédagogiques'!$C$3&lt;&gt;2)),"",IF(AND(OR('Choix pédagogiques'!$C$3=1,'Choix pédagogiques'!$C$3=2),AND($G524&lt;&gt;"",$H524&lt;&gt;"",$I524&lt;&gt;"")),1,0))</f>
        <v/>
      </c>
      <c r="BO524" s="52" t="str">
        <f aca="false">IF(OR(COUNT(B524:D1523)=0,COUNT(G524:I1523)=0,'Choix pédagogiques'!C$3&lt;&gt;3),"",IF(AND('Choix pédagogiques'!$C$3=3,$B524&lt;&gt;"",$C524&lt;&gt;"",$D524&lt;&gt;"",$G524&lt;&gt;"",$H524&lt;&gt;"",$I524&lt;&gt;""),1,0))</f>
        <v/>
      </c>
      <c r="BR524" s="52" t="n">
        <v>496</v>
      </c>
      <c r="BS524" s="52" t="n">
        <v>1716</v>
      </c>
    </row>
    <row r="525" s="54" customFormat="true" ht="18" hidden="false" customHeight="true" outlineLevel="0" collapsed="false">
      <c r="A525" s="57" t="s">
        <v>981</v>
      </c>
      <c r="B525" s="51"/>
      <c r="C525" s="51"/>
      <c r="D525" s="51"/>
      <c r="E525" s="51"/>
      <c r="F525" s="57" t="s">
        <v>982</v>
      </c>
      <c r="G525" s="51"/>
      <c r="H525" s="51"/>
      <c r="I525" s="51"/>
      <c r="J525" s="51"/>
      <c r="K525" s="52" t="str">
        <f aca="false">IF($A525&lt;&gt;"",$A525,"")</f>
        <v>Apprenant 513</v>
      </c>
      <c r="L525" s="53" t="str">
        <f aca="false">IF(AND($B525&lt;&gt;"",$C525&lt;&gt;""),$C525-$B525,"")</f>
        <v/>
      </c>
      <c r="M525" s="53" t="str">
        <f aca="false">IF(AND($B525&lt;&gt;"",$D525&lt;&gt;""),$D525-$B525,"")</f>
        <v/>
      </c>
      <c r="N525" s="53" t="str">
        <f aca="false">IF(AND($C525&lt;&gt;"",$D525&lt;&gt;""),$D525-$C525,"")</f>
        <v/>
      </c>
      <c r="O525" s="53" t="str">
        <f aca="false">IF($E525&lt;&gt;"",$E525,"")</f>
        <v/>
      </c>
      <c r="P525" s="52" t="str">
        <f aca="false">IF($F525&lt;&gt;"",$F525,"")</f>
        <v>Apprenant 513 ou 513'</v>
      </c>
      <c r="Q525" s="53" t="str">
        <f aca="false">IF(AND($G525&lt;&gt;"",$H525&lt;&gt;""),$H525-$G525,"")</f>
        <v/>
      </c>
      <c r="R525" s="53" t="str">
        <f aca="false">IF(AND($G525&lt;&gt;"",$I525&lt;&gt;""),$I525-$G525,"")</f>
        <v/>
      </c>
      <c r="S525" s="53" t="str">
        <f aca="false">IF(AND($H525&lt;&gt;"",$I525&lt;&gt;""),$I525-$H525,"")</f>
        <v/>
      </c>
      <c r="T525" s="53" t="str">
        <f aca="false">IF($J525&lt;&gt;"",$J525,"")</f>
        <v/>
      </c>
      <c r="V525" s="52" t="str">
        <f aca="false">IF($A525&lt;&gt;"",$A525,"")</f>
        <v>Apprenant 513</v>
      </c>
      <c r="W525" s="53" t="str">
        <f aca="false">IF(AND(OR('Choix pédagogiques'!$C$3=1,'Choix pédagogiques'!$C$3=2),$BM525=1),B525,IF(AND('Choix pédagogiques'!$C$3=3,$BO525=1),B525,""))</f>
        <v/>
      </c>
      <c r="X525" s="53" t="str">
        <f aca="false">IF(AND(OR('Choix pédagogiques'!$C$3=1,'Choix pédagogiques'!$C$3=2),$BM525=1),C525,IF(AND('Choix pédagogiques'!$C$3=3,$BO525=1),C525,""))</f>
        <v/>
      </c>
      <c r="Y525" s="53" t="str">
        <f aca="false">IF(AND(OR('Choix pédagogiques'!$C$3=1,'Choix pédagogiques'!$C$3=2),$BM525=1),D525,IF(AND('Choix pédagogiques'!$C$3=3,$BO525=1),D525,""))</f>
        <v/>
      </c>
      <c r="Z525" s="53" t="str">
        <f aca="false">IF($E525&lt;&gt;"",$E525,"")</f>
        <v/>
      </c>
      <c r="AA525" s="52" t="str">
        <f aca="false">IF($F525&lt;&gt;"",$F525,"")</f>
        <v>Apprenant 513 ou 513'</v>
      </c>
      <c r="AB525" s="53" t="str">
        <f aca="false">IF(AND(OR('Choix pédagogiques'!$C$3=1,'Choix pédagogiques'!$C$3=2),$BN525=1),G525,IF(AND('Choix pédagogiques'!$C$3=3,$BO525=1),G525,""))</f>
        <v/>
      </c>
      <c r="AC525" s="53" t="str">
        <f aca="false">IF(AND(OR('Choix pédagogiques'!$C$3=1,'Choix pédagogiques'!$C$3=2),$BN525=1),H525,IF(AND('Choix pédagogiques'!$C$3=3,$BO525=1),H525,""))</f>
        <v/>
      </c>
      <c r="AD525" s="53" t="str">
        <f aca="false">IF(AND(OR('Choix pédagogiques'!$C$3=1,'Choix pédagogiques'!$C$3=2),$BN525=1),I525,IF(AND('Choix pédagogiques'!$C$3=3,$BO525=1),I525,""))</f>
        <v/>
      </c>
      <c r="AE525" s="53" t="str">
        <f aca="false">IF($J525&lt;&gt;"",$J525,"")</f>
        <v/>
      </c>
      <c r="AF525" s="52" t="str">
        <f aca="false">IF($A525&lt;&gt;"",$A525,"")</f>
        <v>Apprenant 513</v>
      </c>
      <c r="AG525" s="53" t="str">
        <f aca="false">IF(AND($W525&lt;&gt;"",$X525&lt;&gt;""),$X525-$W525,"")</f>
        <v/>
      </c>
      <c r="AH525" s="53" t="str">
        <f aca="false">IF(AND($W525&lt;&gt;"",$Y525&lt;&gt;""),$Y525-$W525,"")</f>
        <v/>
      </c>
      <c r="AI525" s="53" t="str">
        <f aca="false">IF(AND($X525&lt;&gt;"",$Y525&lt;&gt;""),$Y525-$X525,"")</f>
        <v/>
      </c>
      <c r="AJ525" s="53" t="str">
        <f aca="false">IF($E525&lt;&gt;"",$E525,"")</f>
        <v/>
      </c>
      <c r="AK525" s="52" t="str">
        <f aca="false">IF($F525&lt;&gt;"",$F525,"")</f>
        <v>Apprenant 513 ou 513'</v>
      </c>
      <c r="AL525" s="53" t="str">
        <f aca="false">IF(AND($AB525&lt;&gt;"",$AC525&lt;&gt;""),$AC525-$AB525,"")</f>
        <v/>
      </c>
      <c r="AM525" s="53" t="str">
        <f aca="false">IF(AND($AB525&lt;&gt;"",$AD525&lt;&gt;""),$AD525-$AB525,"")</f>
        <v/>
      </c>
      <c r="AN525" s="53" t="str">
        <f aca="false">IF(AND($AC525&lt;&gt;"",$AD525&lt;&gt;""),$AD525-$AC525,"")</f>
        <v/>
      </c>
      <c r="AO525" s="53" t="str">
        <f aca="false">IF($J525&lt;&gt;"",$J525,"")</f>
        <v/>
      </c>
      <c r="AQ525" s="52" t="str">
        <f aca="false">IF($A525&lt;&gt;"",$A525,"")</f>
        <v>Apprenant 513</v>
      </c>
      <c r="AR525" s="55" t="str">
        <f aca="false">IF(AND('Choix pédagogiques'!$C$4&lt;&gt;"?",'Choix pédagogiques'!$C$5&lt;&gt;"?",W525&lt;&gt;""),(W525-'Choix pédagogiques'!$C$4)/('Choix pédagogiques'!$C$5-'Choix pédagogiques'!$C$4),"")</f>
        <v/>
      </c>
      <c r="AS525" s="55" t="str">
        <f aca="false">IF(AND('Choix pédagogiques'!$C$4&lt;&gt;"?",'Choix pédagogiques'!$C$5&lt;&gt;"?",X525&lt;&gt;""),(X525-'Choix pédagogiques'!$C$4)/('Choix pédagogiques'!$C$5-'Choix pédagogiques'!$C$4),"")</f>
        <v/>
      </c>
      <c r="AT525" s="55" t="str">
        <f aca="false">IF(AND('Choix pédagogiques'!$C$4&lt;&gt;"?",'Choix pédagogiques'!$C$5&lt;&gt;"?",Y525&lt;&gt;""),(Y525-'Choix pédagogiques'!$C$4)/('Choix pédagogiques'!$C$5-'Choix pédagogiques'!$C$4),"")</f>
        <v/>
      </c>
      <c r="AU525" s="53" t="str">
        <f aca="false">IF($E525&lt;&gt;"",$E525,"")</f>
        <v/>
      </c>
      <c r="AV525" s="52" t="str">
        <f aca="false">IF($F525&lt;&gt;"",$F525,"")</f>
        <v>Apprenant 513 ou 513'</v>
      </c>
      <c r="AW525" s="55" t="str">
        <f aca="false">IF(AND('Choix pédagogiques'!$C$4&lt;&gt;"?",'Choix pédagogiques'!$C$5&lt;&gt;"?",AB525&lt;&gt;""),(AB525-'Choix pédagogiques'!$C$4)/('Choix pédagogiques'!$C$5-'Choix pédagogiques'!$C$4),"")</f>
        <v/>
      </c>
      <c r="AX525" s="55" t="str">
        <f aca="false">IF(AND('Choix pédagogiques'!$C$4&lt;&gt;"?",'Choix pédagogiques'!$C$5&lt;&gt;"?",AC525&lt;&gt;""),(AC525-'Choix pédagogiques'!$C$4)/('Choix pédagogiques'!$C$5-'Choix pédagogiques'!$C$4),"")</f>
        <v/>
      </c>
      <c r="AY525" s="55" t="str">
        <f aca="false">IF(AND('Choix pédagogiques'!$C$4&lt;&gt;"?",'Choix pédagogiques'!$C$5&lt;&gt;"?",AD525&lt;&gt;""),(AD525-'Choix pédagogiques'!$C$4)/('Choix pédagogiques'!$C$5-'Choix pédagogiques'!$C$4),"")</f>
        <v/>
      </c>
      <c r="AZ525" s="53" t="str">
        <f aca="false">IF($J525&lt;&gt;"",$J525,"")</f>
        <v/>
      </c>
      <c r="BA525" s="52" t="str">
        <f aca="false">IF($A525&lt;&gt;"",$A525,"")</f>
        <v>Apprenant 513</v>
      </c>
      <c r="BB525" s="55" t="str">
        <f aca="false">IF(AND($AR525&lt;&gt;"",$AS525&lt;&gt;""),$AS525-$AR525,"")</f>
        <v/>
      </c>
      <c r="BC525" s="55" t="str">
        <f aca="false">IF(AND($AR525&lt;&gt;"",$AT525&lt;&gt;""),$AT525-$AR525,"")</f>
        <v/>
      </c>
      <c r="BD525" s="55" t="str">
        <f aca="false">IF(AND($AS525&lt;&gt;"",$AT525&lt;&gt;""),$AT525-$AS525,"")</f>
        <v/>
      </c>
      <c r="BE525" s="53" t="str">
        <f aca="false">IF($E525&lt;&gt;"",$E525,"")</f>
        <v/>
      </c>
      <c r="BF525" s="52" t="str">
        <f aca="false">IF($F525&lt;&gt;"",$F525,"")</f>
        <v>Apprenant 513 ou 513'</v>
      </c>
      <c r="BG525" s="55" t="str">
        <f aca="false">IF(AND($AW525&lt;&gt;"",$AX525&lt;&gt;""),$AX525-$AW525,"")</f>
        <v/>
      </c>
      <c r="BH525" s="55" t="str">
        <f aca="false">IF(AND($AW525&lt;&gt;"",$AY525&lt;&gt;""),$AY525-$AW525,"")</f>
        <v/>
      </c>
      <c r="BI525" s="55" t="str">
        <f aca="false">IF(AND($AX525&lt;&gt;"",$AY525&lt;&gt;""),$AY525-$AX525,"")</f>
        <v/>
      </c>
      <c r="BJ525" s="53" t="str">
        <f aca="false">IF($J525&lt;&gt;"",$J525,"")</f>
        <v/>
      </c>
      <c r="BL525" s="52"/>
      <c r="BM525" s="52" t="str">
        <f aca="false">IF(OR(COUNT(B525:D1524)=0,AND('Choix pédagogiques'!$C$3&lt;&gt;1,'Choix pédagogiques'!$C$3&lt;&gt;2)),"",IF(AND(OR('Choix pédagogiques'!$C$3=1,'Choix pédagogiques'!$C$3=2),$B525&lt;&gt;"",$C525&lt;&gt;"",$D525&lt;&gt;""),1,0))</f>
        <v/>
      </c>
      <c r="BN525" s="52" t="str">
        <f aca="false">IF(OR(COUNT(G525:I1524)=0,AND('Choix pédagogiques'!$C$3&lt;&gt;1,'Choix pédagogiques'!$C$3&lt;&gt;2)),"",IF(AND(OR('Choix pédagogiques'!$C$3=1,'Choix pédagogiques'!$C$3=2),AND($G525&lt;&gt;"",$H525&lt;&gt;"",$I525&lt;&gt;"")),1,0))</f>
        <v/>
      </c>
      <c r="BO525" s="52" t="str">
        <f aca="false">IF(OR(COUNT(B525:D1524)=0,COUNT(G525:I1524)=0,'Choix pédagogiques'!C$3&lt;&gt;3),"",IF(AND('Choix pédagogiques'!$C$3=3,$B525&lt;&gt;"",$C525&lt;&gt;"",$D525&lt;&gt;"",$G525&lt;&gt;"",$H525&lt;&gt;"",$I525&lt;&gt;""),1,0))</f>
        <v/>
      </c>
      <c r="BR525" s="52" t="n">
        <v>480</v>
      </c>
      <c r="BS525" s="52" t="n">
        <v>1921</v>
      </c>
    </row>
    <row r="526" s="54" customFormat="true" ht="18" hidden="false" customHeight="true" outlineLevel="0" collapsed="false">
      <c r="A526" s="57" t="s">
        <v>983</v>
      </c>
      <c r="B526" s="51"/>
      <c r="C526" s="51"/>
      <c r="D526" s="51"/>
      <c r="E526" s="51"/>
      <c r="F526" s="57" t="s">
        <v>984</v>
      </c>
      <c r="G526" s="51"/>
      <c r="H526" s="51"/>
      <c r="I526" s="51"/>
      <c r="J526" s="51"/>
      <c r="K526" s="52" t="str">
        <f aca="false">IF($A526&lt;&gt;"",$A526,"")</f>
        <v>Apprenant 514</v>
      </c>
      <c r="L526" s="53" t="str">
        <f aca="false">IF(AND($B526&lt;&gt;"",$C526&lt;&gt;""),$C526-$B526,"")</f>
        <v/>
      </c>
      <c r="M526" s="53" t="str">
        <f aca="false">IF(AND($B526&lt;&gt;"",$D526&lt;&gt;""),$D526-$B526,"")</f>
        <v/>
      </c>
      <c r="N526" s="53" t="str">
        <f aca="false">IF(AND($C526&lt;&gt;"",$D526&lt;&gt;""),$D526-$C526,"")</f>
        <v/>
      </c>
      <c r="O526" s="53" t="str">
        <f aca="false">IF($E526&lt;&gt;"",$E526,"")</f>
        <v/>
      </c>
      <c r="P526" s="52" t="str">
        <f aca="false">IF($F526&lt;&gt;"",$F526,"")</f>
        <v>Apprenant 514 ou 514'</v>
      </c>
      <c r="Q526" s="53" t="str">
        <f aca="false">IF(AND($G526&lt;&gt;"",$H526&lt;&gt;""),$H526-$G526,"")</f>
        <v/>
      </c>
      <c r="R526" s="53" t="str">
        <f aca="false">IF(AND($G526&lt;&gt;"",$I526&lt;&gt;""),$I526-$G526,"")</f>
        <v/>
      </c>
      <c r="S526" s="53" t="str">
        <f aca="false">IF(AND($H526&lt;&gt;"",$I526&lt;&gt;""),$I526-$H526,"")</f>
        <v/>
      </c>
      <c r="T526" s="53" t="str">
        <f aca="false">IF($J526&lt;&gt;"",$J526,"")</f>
        <v/>
      </c>
      <c r="V526" s="52" t="str">
        <f aca="false">IF($A526&lt;&gt;"",$A526,"")</f>
        <v>Apprenant 514</v>
      </c>
      <c r="W526" s="53" t="str">
        <f aca="false">IF(AND(OR('Choix pédagogiques'!$C$3=1,'Choix pédagogiques'!$C$3=2),$BM526=1),B526,IF(AND('Choix pédagogiques'!$C$3=3,$BO526=1),B526,""))</f>
        <v/>
      </c>
      <c r="X526" s="53" t="str">
        <f aca="false">IF(AND(OR('Choix pédagogiques'!$C$3=1,'Choix pédagogiques'!$C$3=2),$BM526=1),C526,IF(AND('Choix pédagogiques'!$C$3=3,$BO526=1),C526,""))</f>
        <v/>
      </c>
      <c r="Y526" s="53" t="str">
        <f aca="false">IF(AND(OR('Choix pédagogiques'!$C$3=1,'Choix pédagogiques'!$C$3=2),$BM526=1),D526,IF(AND('Choix pédagogiques'!$C$3=3,$BO526=1),D526,""))</f>
        <v/>
      </c>
      <c r="Z526" s="53" t="str">
        <f aca="false">IF($E526&lt;&gt;"",$E526,"")</f>
        <v/>
      </c>
      <c r="AA526" s="52" t="str">
        <f aca="false">IF($F526&lt;&gt;"",$F526,"")</f>
        <v>Apprenant 514 ou 514'</v>
      </c>
      <c r="AB526" s="53" t="str">
        <f aca="false">IF(AND(OR('Choix pédagogiques'!$C$3=1,'Choix pédagogiques'!$C$3=2),$BN526=1),G526,IF(AND('Choix pédagogiques'!$C$3=3,$BO526=1),G526,""))</f>
        <v/>
      </c>
      <c r="AC526" s="53" t="str">
        <f aca="false">IF(AND(OR('Choix pédagogiques'!$C$3=1,'Choix pédagogiques'!$C$3=2),$BN526=1),H526,IF(AND('Choix pédagogiques'!$C$3=3,$BO526=1),H526,""))</f>
        <v/>
      </c>
      <c r="AD526" s="53" t="str">
        <f aca="false">IF(AND(OR('Choix pédagogiques'!$C$3=1,'Choix pédagogiques'!$C$3=2),$BN526=1),I526,IF(AND('Choix pédagogiques'!$C$3=3,$BO526=1),I526,""))</f>
        <v/>
      </c>
      <c r="AE526" s="53" t="str">
        <f aca="false">IF($J526&lt;&gt;"",$J526,"")</f>
        <v/>
      </c>
      <c r="AF526" s="52" t="str">
        <f aca="false">IF($A526&lt;&gt;"",$A526,"")</f>
        <v>Apprenant 514</v>
      </c>
      <c r="AG526" s="53" t="str">
        <f aca="false">IF(AND($W526&lt;&gt;"",$X526&lt;&gt;""),$X526-$W526,"")</f>
        <v/>
      </c>
      <c r="AH526" s="53" t="str">
        <f aca="false">IF(AND($W526&lt;&gt;"",$Y526&lt;&gt;""),$Y526-$W526,"")</f>
        <v/>
      </c>
      <c r="AI526" s="53" t="str">
        <f aca="false">IF(AND($X526&lt;&gt;"",$Y526&lt;&gt;""),$Y526-$X526,"")</f>
        <v/>
      </c>
      <c r="AJ526" s="53" t="str">
        <f aca="false">IF($E526&lt;&gt;"",$E526,"")</f>
        <v/>
      </c>
      <c r="AK526" s="52" t="str">
        <f aca="false">IF($F526&lt;&gt;"",$F526,"")</f>
        <v>Apprenant 514 ou 514'</v>
      </c>
      <c r="AL526" s="53" t="str">
        <f aca="false">IF(AND($AB526&lt;&gt;"",$AC526&lt;&gt;""),$AC526-$AB526,"")</f>
        <v/>
      </c>
      <c r="AM526" s="53" t="str">
        <f aca="false">IF(AND($AB526&lt;&gt;"",$AD526&lt;&gt;""),$AD526-$AB526,"")</f>
        <v/>
      </c>
      <c r="AN526" s="53" t="str">
        <f aca="false">IF(AND($AC526&lt;&gt;"",$AD526&lt;&gt;""),$AD526-$AC526,"")</f>
        <v/>
      </c>
      <c r="AO526" s="53" t="str">
        <f aca="false">IF($J526&lt;&gt;"",$J526,"")</f>
        <v/>
      </c>
      <c r="AQ526" s="52" t="str">
        <f aca="false">IF($A526&lt;&gt;"",$A526,"")</f>
        <v>Apprenant 514</v>
      </c>
      <c r="AR526" s="55" t="str">
        <f aca="false">IF(AND('Choix pédagogiques'!$C$4&lt;&gt;"?",'Choix pédagogiques'!$C$5&lt;&gt;"?",W526&lt;&gt;""),(W526-'Choix pédagogiques'!$C$4)/('Choix pédagogiques'!$C$5-'Choix pédagogiques'!$C$4),"")</f>
        <v/>
      </c>
      <c r="AS526" s="55" t="str">
        <f aca="false">IF(AND('Choix pédagogiques'!$C$4&lt;&gt;"?",'Choix pédagogiques'!$C$5&lt;&gt;"?",X526&lt;&gt;""),(X526-'Choix pédagogiques'!$C$4)/('Choix pédagogiques'!$C$5-'Choix pédagogiques'!$C$4),"")</f>
        <v/>
      </c>
      <c r="AT526" s="55" t="str">
        <f aca="false">IF(AND('Choix pédagogiques'!$C$4&lt;&gt;"?",'Choix pédagogiques'!$C$5&lt;&gt;"?",Y526&lt;&gt;""),(Y526-'Choix pédagogiques'!$C$4)/('Choix pédagogiques'!$C$5-'Choix pédagogiques'!$C$4),"")</f>
        <v/>
      </c>
      <c r="AU526" s="53" t="str">
        <f aca="false">IF($E526&lt;&gt;"",$E526,"")</f>
        <v/>
      </c>
      <c r="AV526" s="52" t="str">
        <f aca="false">IF($F526&lt;&gt;"",$F526,"")</f>
        <v>Apprenant 514 ou 514'</v>
      </c>
      <c r="AW526" s="55" t="str">
        <f aca="false">IF(AND('Choix pédagogiques'!$C$4&lt;&gt;"?",'Choix pédagogiques'!$C$5&lt;&gt;"?",AB526&lt;&gt;""),(AB526-'Choix pédagogiques'!$C$4)/('Choix pédagogiques'!$C$5-'Choix pédagogiques'!$C$4),"")</f>
        <v/>
      </c>
      <c r="AX526" s="55" t="str">
        <f aca="false">IF(AND('Choix pédagogiques'!$C$4&lt;&gt;"?",'Choix pédagogiques'!$C$5&lt;&gt;"?",AC526&lt;&gt;""),(AC526-'Choix pédagogiques'!$C$4)/('Choix pédagogiques'!$C$5-'Choix pédagogiques'!$C$4),"")</f>
        <v/>
      </c>
      <c r="AY526" s="55" t="str">
        <f aca="false">IF(AND('Choix pédagogiques'!$C$4&lt;&gt;"?",'Choix pédagogiques'!$C$5&lt;&gt;"?",AD526&lt;&gt;""),(AD526-'Choix pédagogiques'!$C$4)/('Choix pédagogiques'!$C$5-'Choix pédagogiques'!$C$4),"")</f>
        <v/>
      </c>
      <c r="AZ526" s="53" t="str">
        <f aca="false">IF($J526&lt;&gt;"",$J526,"")</f>
        <v/>
      </c>
      <c r="BA526" s="52" t="str">
        <f aca="false">IF($A526&lt;&gt;"",$A526,"")</f>
        <v>Apprenant 514</v>
      </c>
      <c r="BB526" s="55" t="str">
        <f aca="false">IF(AND($AR526&lt;&gt;"",$AS526&lt;&gt;""),$AS526-$AR526,"")</f>
        <v/>
      </c>
      <c r="BC526" s="55" t="str">
        <f aca="false">IF(AND($AR526&lt;&gt;"",$AT526&lt;&gt;""),$AT526-$AR526,"")</f>
        <v/>
      </c>
      <c r="BD526" s="55" t="str">
        <f aca="false">IF(AND($AS526&lt;&gt;"",$AT526&lt;&gt;""),$AT526-$AS526,"")</f>
        <v/>
      </c>
      <c r="BE526" s="53" t="str">
        <f aca="false">IF($E526&lt;&gt;"",$E526,"")</f>
        <v/>
      </c>
      <c r="BF526" s="52" t="str">
        <f aca="false">IF($F526&lt;&gt;"",$F526,"")</f>
        <v>Apprenant 514 ou 514'</v>
      </c>
      <c r="BG526" s="55" t="str">
        <f aca="false">IF(AND($AW526&lt;&gt;"",$AX526&lt;&gt;""),$AX526-$AW526,"")</f>
        <v/>
      </c>
      <c r="BH526" s="55" t="str">
        <f aca="false">IF(AND($AW526&lt;&gt;"",$AY526&lt;&gt;""),$AY526-$AW526,"")</f>
        <v/>
      </c>
      <c r="BI526" s="55" t="str">
        <f aca="false">IF(AND($AX526&lt;&gt;"",$AY526&lt;&gt;""),$AY526-$AX526,"")</f>
        <v/>
      </c>
      <c r="BJ526" s="53" t="str">
        <f aca="false">IF($J526&lt;&gt;"",$J526,"")</f>
        <v/>
      </c>
      <c r="BL526" s="52"/>
      <c r="BM526" s="52" t="str">
        <f aca="false">IF(OR(COUNT(B526:D1525)=0,AND('Choix pédagogiques'!$C$3&lt;&gt;1,'Choix pédagogiques'!$C$3&lt;&gt;2)),"",IF(AND(OR('Choix pédagogiques'!$C$3=1,'Choix pédagogiques'!$C$3=2),$B526&lt;&gt;"",$C526&lt;&gt;"",$D526&lt;&gt;""),1,0))</f>
        <v/>
      </c>
      <c r="BN526" s="52" t="str">
        <f aca="false">IF(OR(COUNT(G526:I1525)=0,AND('Choix pédagogiques'!$C$3&lt;&gt;1,'Choix pédagogiques'!$C$3&lt;&gt;2)),"",IF(AND(OR('Choix pédagogiques'!$C$3=1,'Choix pédagogiques'!$C$3=2),AND($G526&lt;&gt;"",$H526&lt;&gt;"",$I526&lt;&gt;"")),1,0))</f>
        <v/>
      </c>
      <c r="BO526" s="52" t="str">
        <f aca="false">IF(OR(COUNT(B526:D1525)=0,COUNT(G526:I1525)=0,'Choix pédagogiques'!C$3&lt;&gt;3),"",IF(AND('Choix pédagogiques'!$C$3=3,$B526&lt;&gt;"",$C526&lt;&gt;"",$D526&lt;&gt;"",$G526&lt;&gt;"",$H526&lt;&gt;"",$I526&lt;&gt;""),1,0))</f>
        <v/>
      </c>
      <c r="BR526" s="52" t="n">
        <v>517</v>
      </c>
      <c r="BS526" s="52" t="n">
        <v>1576</v>
      </c>
    </row>
    <row r="527" s="54" customFormat="true" ht="18" hidden="false" customHeight="true" outlineLevel="0" collapsed="false">
      <c r="A527" s="57" t="s">
        <v>985</v>
      </c>
      <c r="B527" s="51"/>
      <c r="C527" s="51"/>
      <c r="D527" s="51"/>
      <c r="E527" s="51"/>
      <c r="F527" s="57" t="s">
        <v>986</v>
      </c>
      <c r="G527" s="51"/>
      <c r="H527" s="51"/>
      <c r="I527" s="51"/>
      <c r="J527" s="51"/>
      <c r="K527" s="52" t="str">
        <f aca="false">IF($A527&lt;&gt;"",$A527,"")</f>
        <v>Apprenant 515</v>
      </c>
      <c r="L527" s="53" t="str">
        <f aca="false">IF(AND($B527&lt;&gt;"",$C527&lt;&gt;""),$C527-$B527,"")</f>
        <v/>
      </c>
      <c r="M527" s="53" t="str">
        <f aca="false">IF(AND($B527&lt;&gt;"",$D527&lt;&gt;""),$D527-$B527,"")</f>
        <v/>
      </c>
      <c r="N527" s="53" t="str">
        <f aca="false">IF(AND($C527&lt;&gt;"",$D527&lt;&gt;""),$D527-$C527,"")</f>
        <v/>
      </c>
      <c r="O527" s="53" t="str">
        <f aca="false">IF($E527&lt;&gt;"",$E527,"")</f>
        <v/>
      </c>
      <c r="P527" s="52" t="str">
        <f aca="false">IF($F527&lt;&gt;"",$F527,"")</f>
        <v>Apprenant 515 ou 515'</v>
      </c>
      <c r="Q527" s="53" t="str">
        <f aca="false">IF(AND($G527&lt;&gt;"",$H527&lt;&gt;""),$H527-$G527,"")</f>
        <v/>
      </c>
      <c r="R527" s="53" t="str">
        <f aca="false">IF(AND($G527&lt;&gt;"",$I527&lt;&gt;""),$I527-$G527,"")</f>
        <v/>
      </c>
      <c r="S527" s="53" t="str">
        <f aca="false">IF(AND($H527&lt;&gt;"",$I527&lt;&gt;""),$I527-$H527,"")</f>
        <v/>
      </c>
      <c r="T527" s="53" t="str">
        <f aca="false">IF($J527&lt;&gt;"",$J527,"")</f>
        <v/>
      </c>
      <c r="V527" s="52" t="str">
        <f aca="false">IF($A527&lt;&gt;"",$A527,"")</f>
        <v>Apprenant 515</v>
      </c>
      <c r="W527" s="53" t="str">
        <f aca="false">IF(AND(OR('Choix pédagogiques'!$C$3=1,'Choix pédagogiques'!$C$3=2),$BM527=1),B527,IF(AND('Choix pédagogiques'!$C$3=3,$BO527=1),B527,""))</f>
        <v/>
      </c>
      <c r="X527" s="53" t="str">
        <f aca="false">IF(AND(OR('Choix pédagogiques'!$C$3=1,'Choix pédagogiques'!$C$3=2),$BM527=1),C527,IF(AND('Choix pédagogiques'!$C$3=3,$BO527=1),C527,""))</f>
        <v/>
      </c>
      <c r="Y527" s="53" t="str">
        <f aca="false">IF(AND(OR('Choix pédagogiques'!$C$3=1,'Choix pédagogiques'!$C$3=2),$BM527=1),D527,IF(AND('Choix pédagogiques'!$C$3=3,$BO527=1),D527,""))</f>
        <v/>
      </c>
      <c r="Z527" s="53" t="str">
        <f aca="false">IF($E527&lt;&gt;"",$E527,"")</f>
        <v/>
      </c>
      <c r="AA527" s="52" t="str">
        <f aca="false">IF($F527&lt;&gt;"",$F527,"")</f>
        <v>Apprenant 515 ou 515'</v>
      </c>
      <c r="AB527" s="53" t="str">
        <f aca="false">IF(AND(OR('Choix pédagogiques'!$C$3=1,'Choix pédagogiques'!$C$3=2),$BN527=1),G527,IF(AND('Choix pédagogiques'!$C$3=3,$BO527=1),G527,""))</f>
        <v/>
      </c>
      <c r="AC527" s="53" t="str">
        <f aca="false">IF(AND(OR('Choix pédagogiques'!$C$3=1,'Choix pédagogiques'!$C$3=2),$BN527=1),H527,IF(AND('Choix pédagogiques'!$C$3=3,$BO527=1),H527,""))</f>
        <v/>
      </c>
      <c r="AD527" s="53" t="str">
        <f aca="false">IF(AND(OR('Choix pédagogiques'!$C$3=1,'Choix pédagogiques'!$C$3=2),$BN527=1),I527,IF(AND('Choix pédagogiques'!$C$3=3,$BO527=1),I527,""))</f>
        <v/>
      </c>
      <c r="AE527" s="53" t="str">
        <f aca="false">IF($J527&lt;&gt;"",$J527,"")</f>
        <v/>
      </c>
      <c r="AF527" s="52" t="str">
        <f aca="false">IF($A527&lt;&gt;"",$A527,"")</f>
        <v>Apprenant 515</v>
      </c>
      <c r="AG527" s="53" t="str">
        <f aca="false">IF(AND($W527&lt;&gt;"",$X527&lt;&gt;""),$X527-$W527,"")</f>
        <v/>
      </c>
      <c r="AH527" s="53" t="str">
        <f aca="false">IF(AND($W527&lt;&gt;"",$Y527&lt;&gt;""),$Y527-$W527,"")</f>
        <v/>
      </c>
      <c r="AI527" s="53" t="str">
        <f aca="false">IF(AND($X527&lt;&gt;"",$Y527&lt;&gt;""),$Y527-$X527,"")</f>
        <v/>
      </c>
      <c r="AJ527" s="53" t="str">
        <f aca="false">IF($E527&lt;&gt;"",$E527,"")</f>
        <v/>
      </c>
      <c r="AK527" s="52" t="str">
        <f aca="false">IF($F527&lt;&gt;"",$F527,"")</f>
        <v>Apprenant 515 ou 515'</v>
      </c>
      <c r="AL527" s="53" t="str">
        <f aca="false">IF(AND($AB527&lt;&gt;"",$AC527&lt;&gt;""),$AC527-$AB527,"")</f>
        <v/>
      </c>
      <c r="AM527" s="53" t="str">
        <f aca="false">IF(AND($AB527&lt;&gt;"",$AD527&lt;&gt;""),$AD527-$AB527,"")</f>
        <v/>
      </c>
      <c r="AN527" s="53" t="str">
        <f aca="false">IF(AND($AC527&lt;&gt;"",$AD527&lt;&gt;""),$AD527-$AC527,"")</f>
        <v/>
      </c>
      <c r="AO527" s="53" t="str">
        <f aca="false">IF($J527&lt;&gt;"",$J527,"")</f>
        <v/>
      </c>
      <c r="AQ527" s="52" t="str">
        <f aca="false">IF($A527&lt;&gt;"",$A527,"")</f>
        <v>Apprenant 515</v>
      </c>
      <c r="AR527" s="55" t="str">
        <f aca="false">IF(AND('Choix pédagogiques'!$C$4&lt;&gt;"?",'Choix pédagogiques'!$C$5&lt;&gt;"?",W527&lt;&gt;""),(W527-'Choix pédagogiques'!$C$4)/('Choix pédagogiques'!$C$5-'Choix pédagogiques'!$C$4),"")</f>
        <v/>
      </c>
      <c r="AS527" s="55" t="str">
        <f aca="false">IF(AND('Choix pédagogiques'!$C$4&lt;&gt;"?",'Choix pédagogiques'!$C$5&lt;&gt;"?",X527&lt;&gt;""),(X527-'Choix pédagogiques'!$C$4)/('Choix pédagogiques'!$C$5-'Choix pédagogiques'!$C$4),"")</f>
        <v/>
      </c>
      <c r="AT527" s="55" t="str">
        <f aca="false">IF(AND('Choix pédagogiques'!$C$4&lt;&gt;"?",'Choix pédagogiques'!$C$5&lt;&gt;"?",Y527&lt;&gt;""),(Y527-'Choix pédagogiques'!$C$4)/('Choix pédagogiques'!$C$5-'Choix pédagogiques'!$C$4),"")</f>
        <v/>
      </c>
      <c r="AU527" s="53" t="str">
        <f aca="false">IF($E527&lt;&gt;"",$E527,"")</f>
        <v/>
      </c>
      <c r="AV527" s="52" t="str">
        <f aca="false">IF($F527&lt;&gt;"",$F527,"")</f>
        <v>Apprenant 515 ou 515'</v>
      </c>
      <c r="AW527" s="55" t="str">
        <f aca="false">IF(AND('Choix pédagogiques'!$C$4&lt;&gt;"?",'Choix pédagogiques'!$C$5&lt;&gt;"?",AB527&lt;&gt;""),(AB527-'Choix pédagogiques'!$C$4)/('Choix pédagogiques'!$C$5-'Choix pédagogiques'!$C$4),"")</f>
        <v/>
      </c>
      <c r="AX527" s="55" t="str">
        <f aca="false">IF(AND('Choix pédagogiques'!$C$4&lt;&gt;"?",'Choix pédagogiques'!$C$5&lt;&gt;"?",AC527&lt;&gt;""),(AC527-'Choix pédagogiques'!$C$4)/('Choix pédagogiques'!$C$5-'Choix pédagogiques'!$C$4),"")</f>
        <v/>
      </c>
      <c r="AY527" s="55" t="str">
        <f aca="false">IF(AND('Choix pédagogiques'!$C$4&lt;&gt;"?",'Choix pédagogiques'!$C$5&lt;&gt;"?",AD527&lt;&gt;""),(AD527-'Choix pédagogiques'!$C$4)/('Choix pédagogiques'!$C$5-'Choix pédagogiques'!$C$4),"")</f>
        <v/>
      </c>
      <c r="AZ527" s="53" t="str">
        <f aca="false">IF($J527&lt;&gt;"",$J527,"")</f>
        <v/>
      </c>
      <c r="BA527" s="52" t="str">
        <f aca="false">IF($A527&lt;&gt;"",$A527,"")</f>
        <v>Apprenant 515</v>
      </c>
      <c r="BB527" s="55" t="str">
        <f aca="false">IF(AND($AR527&lt;&gt;"",$AS527&lt;&gt;""),$AS527-$AR527,"")</f>
        <v/>
      </c>
      <c r="BC527" s="55" t="str">
        <f aca="false">IF(AND($AR527&lt;&gt;"",$AT527&lt;&gt;""),$AT527-$AR527,"")</f>
        <v/>
      </c>
      <c r="BD527" s="55" t="str">
        <f aca="false">IF(AND($AS527&lt;&gt;"",$AT527&lt;&gt;""),$AT527-$AS527,"")</f>
        <v/>
      </c>
      <c r="BE527" s="53" t="str">
        <f aca="false">IF($E527&lt;&gt;"",$E527,"")</f>
        <v/>
      </c>
      <c r="BF527" s="52" t="str">
        <f aca="false">IF($F527&lt;&gt;"",$F527,"")</f>
        <v>Apprenant 515 ou 515'</v>
      </c>
      <c r="BG527" s="55" t="str">
        <f aca="false">IF(AND($AW527&lt;&gt;"",$AX527&lt;&gt;""),$AX527-$AW527,"")</f>
        <v/>
      </c>
      <c r="BH527" s="55" t="str">
        <f aca="false">IF(AND($AW527&lt;&gt;"",$AY527&lt;&gt;""),$AY527-$AW527,"")</f>
        <v/>
      </c>
      <c r="BI527" s="55" t="str">
        <f aca="false">IF(AND($AX527&lt;&gt;"",$AY527&lt;&gt;""),$AY527-$AX527,"")</f>
        <v/>
      </c>
      <c r="BJ527" s="53" t="str">
        <f aca="false">IF($J527&lt;&gt;"",$J527,"")</f>
        <v/>
      </c>
      <c r="BL527" s="52"/>
      <c r="BM527" s="52" t="str">
        <f aca="false">IF(OR(COUNT(B527:D1526)=0,AND('Choix pédagogiques'!$C$3&lt;&gt;1,'Choix pédagogiques'!$C$3&lt;&gt;2)),"",IF(AND(OR('Choix pédagogiques'!$C$3=1,'Choix pédagogiques'!$C$3=2),$B527&lt;&gt;"",$C527&lt;&gt;"",$D527&lt;&gt;""),1,0))</f>
        <v/>
      </c>
      <c r="BN527" s="52" t="str">
        <f aca="false">IF(OR(COUNT(G527:I1526)=0,AND('Choix pédagogiques'!$C$3&lt;&gt;1,'Choix pédagogiques'!$C$3&lt;&gt;2)),"",IF(AND(OR('Choix pédagogiques'!$C$3=1,'Choix pédagogiques'!$C$3=2),AND($G527&lt;&gt;"",$H527&lt;&gt;"",$I527&lt;&gt;"")),1,0))</f>
        <v/>
      </c>
      <c r="BO527" s="52" t="str">
        <f aca="false">IF(OR(COUNT(B527:D1526)=0,COUNT(G527:I1526)=0,'Choix pédagogiques'!C$3&lt;&gt;3),"",IF(AND('Choix pédagogiques'!$C$3=3,$B527&lt;&gt;"",$C527&lt;&gt;"",$D527&lt;&gt;"",$G527&lt;&gt;"",$H527&lt;&gt;"",$I527&lt;&gt;""),1,0))</f>
        <v/>
      </c>
      <c r="BR527" s="52" t="n">
        <v>44</v>
      </c>
      <c r="BS527" s="52" t="n">
        <v>1699</v>
      </c>
    </row>
    <row r="528" s="54" customFormat="true" ht="18" hidden="false" customHeight="true" outlineLevel="0" collapsed="false">
      <c r="A528" s="57" t="s">
        <v>987</v>
      </c>
      <c r="B528" s="51"/>
      <c r="C528" s="51"/>
      <c r="D528" s="51"/>
      <c r="E528" s="51"/>
      <c r="F528" s="57" t="s">
        <v>988</v>
      </c>
      <c r="G528" s="51"/>
      <c r="H528" s="51"/>
      <c r="I528" s="51"/>
      <c r="J528" s="51"/>
      <c r="K528" s="52" t="str">
        <f aca="false">IF($A528&lt;&gt;"",$A528,"")</f>
        <v>Apprenant 516</v>
      </c>
      <c r="L528" s="53" t="str">
        <f aca="false">IF(AND($B528&lt;&gt;"",$C528&lt;&gt;""),$C528-$B528,"")</f>
        <v/>
      </c>
      <c r="M528" s="53" t="str">
        <f aca="false">IF(AND($B528&lt;&gt;"",$D528&lt;&gt;""),$D528-$B528,"")</f>
        <v/>
      </c>
      <c r="N528" s="53" t="str">
        <f aca="false">IF(AND($C528&lt;&gt;"",$D528&lt;&gt;""),$D528-$C528,"")</f>
        <v/>
      </c>
      <c r="O528" s="53" t="str">
        <f aca="false">IF($E528&lt;&gt;"",$E528,"")</f>
        <v/>
      </c>
      <c r="P528" s="52" t="str">
        <f aca="false">IF($F528&lt;&gt;"",$F528,"")</f>
        <v>Apprenant 516 ou 516'</v>
      </c>
      <c r="Q528" s="53" t="str">
        <f aca="false">IF(AND($G528&lt;&gt;"",$H528&lt;&gt;""),$H528-$G528,"")</f>
        <v/>
      </c>
      <c r="R528" s="53" t="str">
        <f aca="false">IF(AND($G528&lt;&gt;"",$I528&lt;&gt;""),$I528-$G528,"")</f>
        <v/>
      </c>
      <c r="S528" s="53" t="str">
        <f aca="false">IF(AND($H528&lt;&gt;"",$I528&lt;&gt;""),$I528-$H528,"")</f>
        <v/>
      </c>
      <c r="T528" s="53" t="str">
        <f aca="false">IF($J528&lt;&gt;"",$J528,"")</f>
        <v/>
      </c>
      <c r="V528" s="52" t="str">
        <f aca="false">IF($A528&lt;&gt;"",$A528,"")</f>
        <v>Apprenant 516</v>
      </c>
      <c r="W528" s="53" t="str">
        <f aca="false">IF(AND(OR('Choix pédagogiques'!$C$3=1,'Choix pédagogiques'!$C$3=2),$BM528=1),B528,IF(AND('Choix pédagogiques'!$C$3=3,$BO528=1),B528,""))</f>
        <v/>
      </c>
      <c r="X528" s="53" t="str">
        <f aca="false">IF(AND(OR('Choix pédagogiques'!$C$3=1,'Choix pédagogiques'!$C$3=2),$BM528=1),C528,IF(AND('Choix pédagogiques'!$C$3=3,$BO528=1),C528,""))</f>
        <v/>
      </c>
      <c r="Y528" s="53" t="str">
        <f aca="false">IF(AND(OR('Choix pédagogiques'!$C$3=1,'Choix pédagogiques'!$C$3=2),$BM528=1),D528,IF(AND('Choix pédagogiques'!$C$3=3,$BO528=1),D528,""))</f>
        <v/>
      </c>
      <c r="Z528" s="53" t="str">
        <f aca="false">IF($E528&lt;&gt;"",$E528,"")</f>
        <v/>
      </c>
      <c r="AA528" s="52" t="str">
        <f aca="false">IF($F528&lt;&gt;"",$F528,"")</f>
        <v>Apprenant 516 ou 516'</v>
      </c>
      <c r="AB528" s="53" t="str">
        <f aca="false">IF(AND(OR('Choix pédagogiques'!$C$3=1,'Choix pédagogiques'!$C$3=2),$BN528=1),G528,IF(AND('Choix pédagogiques'!$C$3=3,$BO528=1),G528,""))</f>
        <v/>
      </c>
      <c r="AC528" s="53" t="str">
        <f aca="false">IF(AND(OR('Choix pédagogiques'!$C$3=1,'Choix pédagogiques'!$C$3=2),$BN528=1),H528,IF(AND('Choix pédagogiques'!$C$3=3,$BO528=1),H528,""))</f>
        <v/>
      </c>
      <c r="AD528" s="53" t="str">
        <f aca="false">IF(AND(OR('Choix pédagogiques'!$C$3=1,'Choix pédagogiques'!$C$3=2),$BN528=1),I528,IF(AND('Choix pédagogiques'!$C$3=3,$BO528=1),I528,""))</f>
        <v/>
      </c>
      <c r="AE528" s="53" t="str">
        <f aca="false">IF($J528&lt;&gt;"",$J528,"")</f>
        <v/>
      </c>
      <c r="AF528" s="52" t="str">
        <f aca="false">IF($A528&lt;&gt;"",$A528,"")</f>
        <v>Apprenant 516</v>
      </c>
      <c r="AG528" s="53" t="str">
        <f aca="false">IF(AND($W528&lt;&gt;"",$X528&lt;&gt;""),$X528-$W528,"")</f>
        <v/>
      </c>
      <c r="AH528" s="53" t="str">
        <f aca="false">IF(AND($W528&lt;&gt;"",$Y528&lt;&gt;""),$Y528-$W528,"")</f>
        <v/>
      </c>
      <c r="AI528" s="53" t="str">
        <f aca="false">IF(AND($X528&lt;&gt;"",$Y528&lt;&gt;""),$Y528-$X528,"")</f>
        <v/>
      </c>
      <c r="AJ528" s="53" t="str">
        <f aca="false">IF($E528&lt;&gt;"",$E528,"")</f>
        <v/>
      </c>
      <c r="AK528" s="52" t="str">
        <f aca="false">IF($F528&lt;&gt;"",$F528,"")</f>
        <v>Apprenant 516 ou 516'</v>
      </c>
      <c r="AL528" s="53" t="str">
        <f aca="false">IF(AND($AB528&lt;&gt;"",$AC528&lt;&gt;""),$AC528-$AB528,"")</f>
        <v/>
      </c>
      <c r="AM528" s="53" t="str">
        <f aca="false">IF(AND($AB528&lt;&gt;"",$AD528&lt;&gt;""),$AD528-$AB528,"")</f>
        <v/>
      </c>
      <c r="AN528" s="53" t="str">
        <f aca="false">IF(AND($AC528&lt;&gt;"",$AD528&lt;&gt;""),$AD528-$AC528,"")</f>
        <v/>
      </c>
      <c r="AO528" s="53" t="str">
        <f aca="false">IF($J528&lt;&gt;"",$J528,"")</f>
        <v/>
      </c>
      <c r="AQ528" s="52" t="str">
        <f aca="false">IF($A528&lt;&gt;"",$A528,"")</f>
        <v>Apprenant 516</v>
      </c>
      <c r="AR528" s="55" t="str">
        <f aca="false">IF(AND('Choix pédagogiques'!$C$4&lt;&gt;"?",'Choix pédagogiques'!$C$5&lt;&gt;"?",W528&lt;&gt;""),(W528-'Choix pédagogiques'!$C$4)/('Choix pédagogiques'!$C$5-'Choix pédagogiques'!$C$4),"")</f>
        <v/>
      </c>
      <c r="AS528" s="55" t="str">
        <f aca="false">IF(AND('Choix pédagogiques'!$C$4&lt;&gt;"?",'Choix pédagogiques'!$C$5&lt;&gt;"?",X528&lt;&gt;""),(X528-'Choix pédagogiques'!$C$4)/('Choix pédagogiques'!$C$5-'Choix pédagogiques'!$C$4),"")</f>
        <v/>
      </c>
      <c r="AT528" s="55" t="str">
        <f aca="false">IF(AND('Choix pédagogiques'!$C$4&lt;&gt;"?",'Choix pédagogiques'!$C$5&lt;&gt;"?",Y528&lt;&gt;""),(Y528-'Choix pédagogiques'!$C$4)/('Choix pédagogiques'!$C$5-'Choix pédagogiques'!$C$4),"")</f>
        <v/>
      </c>
      <c r="AU528" s="53" t="str">
        <f aca="false">IF($E528&lt;&gt;"",$E528,"")</f>
        <v/>
      </c>
      <c r="AV528" s="52" t="str">
        <f aca="false">IF($F528&lt;&gt;"",$F528,"")</f>
        <v>Apprenant 516 ou 516'</v>
      </c>
      <c r="AW528" s="55" t="str">
        <f aca="false">IF(AND('Choix pédagogiques'!$C$4&lt;&gt;"?",'Choix pédagogiques'!$C$5&lt;&gt;"?",AB528&lt;&gt;""),(AB528-'Choix pédagogiques'!$C$4)/('Choix pédagogiques'!$C$5-'Choix pédagogiques'!$C$4),"")</f>
        <v/>
      </c>
      <c r="AX528" s="55" t="str">
        <f aca="false">IF(AND('Choix pédagogiques'!$C$4&lt;&gt;"?",'Choix pédagogiques'!$C$5&lt;&gt;"?",AC528&lt;&gt;""),(AC528-'Choix pédagogiques'!$C$4)/('Choix pédagogiques'!$C$5-'Choix pédagogiques'!$C$4),"")</f>
        <v/>
      </c>
      <c r="AY528" s="55" t="str">
        <f aca="false">IF(AND('Choix pédagogiques'!$C$4&lt;&gt;"?",'Choix pédagogiques'!$C$5&lt;&gt;"?",AD528&lt;&gt;""),(AD528-'Choix pédagogiques'!$C$4)/('Choix pédagogiques'!$C$5-'Choix pédagogiques'!$C$4),"")</f>
        <v/>
      </c>
      <c r="AZ528" s="53" t="str">
        <f aca="false">IF($J528&lt;&gt;"",$J528,"")</f>
        <v/>
      </c>
      <c r="BA528" s="52" t="str">
        <f aca="false">IF($A528&lt;&gt;"",$A528,"")</f>
        <v>Apprenant 516</v>
      </c>
      <c r="BB528" s="55" t="str">
        <f aca="false">IF(AND($AR528&lt;&gt;"",$AS528&lt;&gt;""),$AS528-$AR528,"")</f>
        <v/>
      </c>
      <c r="BC528" s="55" t="str">
        <f aca="false">IF(AND($AR528&lt;&gt;"",$AT528&lt;&gt;""),$AT528-$AR528,"")</f>
        <v/>
      </c>
      <c r="BD528" s="55" t="str">
        <f aca="false">IF(AND($AS528&lt;&gt;"",$AT528&lt;&gt;""),$AT528-$AS528,"")</f>
        <v/>
      </c>
      <c r="BE528" s="53" t="str">
        <f aca="false">IF($E528&lt;&gt;"",$E528,"")</f>
        <v/>
      </c>
      <c r="BF528" s="52" t="str">
        <f aca="false">IF($F528&lt;&gt;"",$F528,"")</f>
        <v>Apprenant 516 ou 516'</v>
      </c>
      <c r="BG528" s="55" t="str">
        <f aca="false">IF(AND($AW528&lt;&gt;"",$AX528&lt;&gt;""),$AX528-$AW528,"")</f>
        <v/>
      </c>
      <c r="BH528" s="55" t="str">
        <f aca="false">IF(AND($AW528&lt;&gt;"",$AY528&lt;&gt;""),$AY528-$AW528,"")</f>
        <v/>
      </c>
      <c r="BI528" s="55" t="str">
        <f aca="false">IF(AND($AX528&lt;&gt;"",$AY528&lt;&gt;""),$AY528-$AX528,"")</f>
        <v/>
      </c>
      <c r="BJ528" s="53" t="str">
        <f aca="false">IF($J528&lt;&gt;"",$J528,"")</f>
        <v/>
      </c>
      <c r="BL528" s="52"/>
      <c r="BM528" s="52" t="str">
        <f aca="false">IF(OR(COUNT(B528:D1527)=0,AND('Choix pédagogiques'!$C$3&lt;&gt;1,'Choix pédagogiques'!$C$3&lt;&gt;2)),"",IF(AND(OR('Choix pédagogiques'!$C$3=1,'Choix pédagogiques'!$C$3=2),$B528&lt;&gt;"",$C528&lt;&gt;"",$D528&lt;&gt;""),1,0))</f>
        <v/>
      </c>
      <c r="BN528" s="52" t="str">
        <f aca="false">IF(OR(COUNT(G528:I1527)=0,AND('Choix pédagogiques'!$C$3&lt;&gt;1,'Choix pédagogiques'!$C$3&lt;&gt;2)),"",IF(AND(OR('Choix pédagogiques'!$C$3=1,'Choix pédagogiques'!$C$3=2),AND($G528&lt;&gt;"",$H528&lt;&gt;"",$I528&lt;&gt;"")),1,0))</f>
        <v/>
      </c>
      <c r="BO528" s="52" t="str">
        <f aca="false">IF(OR(COUNT(B528:D1527)=0,COUNT(G528:I1527)=0,'Choix pédagogiques'!C$3&lt;&gt;3),"",IF(AND('Choix pédagogiques'!$C$3=3,$B528&lt;&gt;"",$C528&lt;&gt;"",$D528&lt;&gt;"",$G528&lt;&gt;"",$H528&lt;&gt;"",$I528&lt;&gt;""),1,0))</f>
        <v/>
      </c>
      <c r="BR528" s="52" t="n">
        <v>599</v>
      </c>
      <c r="BS528" s="52" t="n">
        <v>1412</v>
      </c>
    </row>
    <row r="529" s="54" customFormat="true" ht="18" hidden="false" customHeight="true" outlineLevel="0" collapsed="false">
      <c r="A529" s="57" t="s">
        <v>989</v>
      </c>
      <c r="B529" s="51"/>
      <c r="C529" s="51"/>
      <c r="D529" s="51"/>
      <c r="E529" s="51"/>
      <c r="F529" s="57" t="s">
        <v>990</v>
      </c>
      <c r="G529" s="51"/>
      <c r="H529" s="51"/>
      <c r="I529" s="51"/>
      <c r="J529" s="51"/>
      <c r="K529" s="52" t="str">
        <f aca="false">IF($A529&lt;&gt;"",$A529,"")</f>
        <v>Apprenant 517</v>
      </c>
      <c r="L529" s="53" t="str">
        <f aca="false">IF(AND($B529&lt;&gt;"",$C529&lt;&gt;""),$C529-$B529,"")</f>
        <v/>
      </c>
      <c r="M529" s="53" t="str">
        <f aca="false">IF(AND($B529&lt;&gt;"",$D529&lt;&gt;""),$D529-$B529,"")</f>
        <v/>
      </c>
      <c r="N529" s="53" t="str">
        <f aca="false">IF(AND($C529&lt;&gt;"",$D529&lt;&gt;""),$D529-$C529,"")</f>
        <v/>
      </c>
      <c r="O529" s="53" t="str">
        <f aca="false">IF($E529&lt;&gt;"",$E529,"")</f>
        <v/>
      </c>
      <c r="P529" s="52" t="str">
        <f aca="false">IF($F529&lt;&gt;"",$F529,"")</f>
        <v>Apprenant 517 ou 517'</v>
      </c>
      <c r="Q529" s="53" t="str">
        <f aca="false">IF(AND($G529&lt;&gt;"",$H529&lt;&gt;""),$H529-$G529,"")</f>
        <v/>
      </c>
      <c r="R529" s="53" t="str">
        <f aca="false">IF(AND($G529&lt;&gt;"",$I529&lt;&gt;""),$I529-$G529,"")</f>
        <v/>
      </c>
      <c r="S529" s="53" t="str">
        <f aca="false">IF(AND($H529&lt;&gt;"",$I529&lt;&gt;""),$I529-$H529,"")</f>
        <v/>
      </c>
      <c r="T529" s="53" t="str">
        <f aca="false">IF($J529&lt;&gt;"",$J529,"")</f>
        <v/>
      </c>
      <c r="V529" s="52" t="str">
        <f aca="false">IF($A529&lt;&gt;"",$A529,"")</f>
        <v>Apprenant 517</v>
      </c>
      <c r="W529" s="53" t="str">
        <f aca="false">IF(AND(OR('Choix pédagogiques'!$C$3=1,'Choix pédagogiques'!$C$3=2),$BM529=1),B529,IF(AND('Choix pédagogiques'!$C$3=3,$BO529=1),B529,""))</f>
        <v/>
      </c>
      <c r="X529" s="53" t="str">
        <f aca="false">IF(AND(OR('Choix pédagogiques'!$C$3=1,'Choix pédagogiques'!$C$3=2),$BM529=1),C529,IF(AND('Choix pédagogiques'!$C$3=3,$BO529=1),C529,""))</f>
        <v/>
      </c>
      <c r="Y529" s="53" t="str">
        <f aca="false">IF(AND(OR('Choix pédagogiques'!$C$3=1,'Choix pédagogiques'!$C$3=2),$BM529=1),D529,IF(AND('Choix pédagogiques'!$C$3=3,$BO529=1),D529,""))</f>
        <v/>
      </c>
      <c r="Z529" s="53" t="str">
        <f aca="false">IF($E529&lt;&gt;"",$E529,"")</f>
        <v/>
      </c>
      <c r="AA529" s="52" t="str">
        <f aca="false">IF($F529&lt;&gt;"",$F529,"")</f>
        <v>Apprenant 517 ou 517'</v>
      </c>
      <c r="AB529" s="53" t="str">
        <f aca="false">IF(AND(OR('Choix pédagogiques'!$C$3=1,'Choix pédagogiques'!$C$3=2),$BN529=1),G529,IF(AND('Choix pédagogiques'!$C$3=3,$BO529=1),G529,""))</f>
        <v/>
      </c>
      <c r="AC529" s="53" t="str">
        <f aca="false">IF(AND(OR('Choix pédagogiques'!$C$3=1,'Choix pédagogiques'!$C$3=2),$BN529=1),H529,IF(AND('Choix pédagogiques'!$C$3=3,$BO529=1),H529,""))</f>
        <v/>
      </c>
      <c r="AD529" s="53" t="str">
        <f aca="false">IF(AND(OR('Choix pédagogiques'!$C$3=1,'Choix pédagogiques'!$C$3=2),$BN529=1),I529,IF(AND('Choix pédagogiques'!$C$3=3,$BO529=1),I529,""))</f>
        <v/>
      </c>
      <c r="AE529" s="53" t="str">
        <f aca="false">IF($J529&lt;&gt;"",$J529,"")</f>
        <v/>
      </c>
      <c r="AF529" s="52" t="str">
        <f aca="false">IF($A529&lt;&gt;"",$A529,"")</f>
        <v>Apprenant 517</v>
      </c>
      <c r="AG529" s="53" t="str">
        <f aca="false">IF(AND($W529&lt;&gt;"",$X529&lt;&gt;""),$X529-$W529,"")</f>
        <v/>
      </c>
      <c r="AH529" s="53" t="str">
        <f aca="false">IF(AND($W529&lt;&gt;"",$Y529&lt;&gt;""),$Y529-$W529,"")</f>
        <v/>
      </c>
      <c r="AI529" s="53" t="str">
        <f aca="false">IF(AND($X529&lt;&gt;"",$Y529&lt;&gt;""),$Y529-$X529,"")</f>
        <v/>
      </c>
      <c r="AJ529" s="53" t="str">
        <f aca="false">IF($E529&lt;&gt;"",$E529,"")</f>
        <v/>
      </c>
      <c r="AK529" s="52" t="str">
        <f aca="false">IF($F529&lt;&gt;"",$F529,"")</f>
        <v>Apprenant 517 ou 517'</v>
      </c>
      <c r="AL529" s="53" t="str">
        <f aca="false">IF(AND($AB529&lt;&gt;"",$AC529&lt;&gt;""),$AC529-$AB529,"")</f>
        <v/>
      </c>
      <c r="AM529" s="53" t="str">
        <f aca="false">IF(AND($AB529&lt;&gt;"",$AD529&lt;&gt;""),$AD529-$AB529,"")</f>
        <v/>
      </c>
      <c r="AN529" s="53" t="str">
        <f aca="false">IF(AND($AC529&lt;&gt;"",$AD529&lt;&gt;""),$AD529-$AC529,"")</f>
        <v/>
      </c>
      <c r="AO529" s="53" t="str">
        <f aca="false">IF($J529&lt;&gt;"",$J529,"")</f>
        <v/>
      </c>
      <c r="AQ529" s="52" t="str">
        <f aca="false">IF($A529&lt;&gt;"",$A529,"")</f>
        <v>Apprenant 517</v>
      </c>
      <c r="AR529" s="55" t="str">
        <f aca="false">IF(AND('Choix pédagogiques'!$C$4&lt;&gt;"?",'Choix pédagogiques'!$C$5&lt;&gt;"?",W529&lt;&gt;""),(W529-'Choix pédagogiques'!$C$4)/('Choix pédagogiques'!$C$5-'Choix pédagogiques'!$C$4),"")</f>
        <v/>
      </c>
      <c r="AS529" s="55" t="str">
        <f aca="false">IF(AND('Choix pédagogiques'!$C$4&lt;&gt;"?",'Choix pédagogiques'!$C$5&lt;&gt;"?",X529&lt;&gt;""),(X529-'Choix pédagogiques'!$C$4)/('Choix pédagogiques'!$C$5-'Choix pédagogiques'!$C$4),"")</f>
        <v/>
      </c>
      <c r="AT529" s="55" t="str">
        <f aca="false">IF(AND('Choix pédagogiques'!$C$4&lt;&gt;"?",'Choix pédagogiques'!$C$5&lt;&gt;"?",Y529&lt;&gt;""),(Y529-'Choix pédagogiques'!$C$4)/('Choix pédagogiques'!$C$5-'Choix pédagogiques'!$C$4),"")</f>
        <v/>
      </c>
      <c r="AU529" s="53" t="str">
        <f aca="false">IF($E529&lt;&gt;"",$E529,"")</f>
        <v/>
      </c>
      <c r="AV529" s="52" t="str">
        <f aca="false">IF($F529&lt;&gt;"",$F529,"")</f>
        <v>Apprenant 517 ou 517'</v>
      </c>
      <c r="AW529" s="55" t="str">
        <f aca="false">IF(AND('Choix pédagogiques'!$C$4&lt;&gt;"?",'Choix pédagogiques'!$C$5&lt;&gt;"?",AB529&lt;&gt;""),(AB529-'Choix pédagogiques'!$C$4)/('Choix pédagogiques'!$C$5-'Choix pédagogiques'!$C$4),"")</f>
        <v/>
      </c>
      <c r="AX529" s="55" t="str">
        <f aca="false">IF(AND('Choix pédagogiques'!$C$4&lt;&gt;"?",'Choix pédagogiques'!$C$5&lt;&gt;"?",AC529&lt;&gt;""),(AC529-'Choix pédagogiques'!$C$4)/('Choix pédagogiques'!$C$5-'Choix pédagogiques'!$C$4),"")</f>
        <v/>
      </c>
      <c r="AY529" s="55" t="str">
        <f aca="false">IF(AND('Choix pédagogiques'!$C$4&lt;&gt;"?",'Choix pédagogiques'!$C$5&lt;&gt;"?",AD529&lt;&gt;""),(AD529-'Choix pédagogiques'!$C$4)/('Choix pédagogiques'!$C$5-'Choix pédagogiques'!$C$4),"")</f>
        <v/>
      </c>
      <c r="AZ529" s="53" t="str">
        <f aca="false">IF($J529&lt;&gt;"",$J529,"")</f>
        <v/>
      </c>
      <c r="BA529" s="52" t="str">
        <f aca="false">IF($A529&lt;&gt;"",$A529,"")</f>
        <v>Apprenant 517</v>
      </c>
      <c r="BB529" s="55" t="str">
        <f aca="false">IF(AND($AR529&lt;&gt;"",$AS529&lt;&gt;""),$AS529-$AR529,"")</f>
        <v/>
      </c>
      <c r="BC529" s="55" t="str">
        <f aca="false">IF(AND($AR529&lt;&gt;"",$AT529&lt;&gt;""),$AT529-$AR529,"")</f>
        <v/>
      </c>
      <c r="BD529" s="55" t="str">
        <f aca="false">IF(AND($AS529&lt;&gt;"",$AT529&lt;&gt;""),$AT529-$AS529,"")</f>
        <v/>
      </c>
      <c r="BE529" s="53" t="str">
        <f aca="false">IF($E529&lt;&gt;"",$E529,"")</f>
        <v/>
      </c>
      <c r="BF529" s="52" t="str">
        <f aca="false">IF($F529&lt;&gt;"",$F529,"")</f>
        <v>Apprenant 517 ou 517'</v>
      </c>
      <c r="BG529" s="55" t="str">
        <f aca="false">IF(AND($AW529&lt;&gt;"",$AX529&lt;&gt;""),$AX529-$AW529,"")</f>
        <v/>
      </c>
      <c r="BH529" s="55" t="str">
        <f aca="false">IF(AND($AW529&lt;&gt;"",$AY529&lt;&gt;""),$AY529-$AW529,"")</f>
        <v/>
      </c>
      <c r="BI529" s="55" t="str">
        <f aca="false">IF(AND($AX529&lt;&gt;"",$AY529&lt;&gt;""),$AY529-$AX529,"")</f>
        <v/>
      </c>
      <c r="BJ529" s="53" t="str">
        <f aca="false">IF($J529&lt;&gt;"",$J529,"")</f>
        <v/>
      </c>
      <c r="BL529" s="52"/>
      <c r="BM529" s="52" t="str">
        <f aca="false">IF(OR(COUNT(B529:D1528)=0,AND('Choix pédagogiques'!$C$3&lt;&gt;1,'Choix pédagogiques'!$C$3&lt;&gt;2)),"",IF(AND(OR('Choix pédagogiques'!$C$3=1,'Choix pédagogiques'!$C$3=2),$B529&lt;&gt;"",$C529&lt;&gt;"",$D529&lt;&gt;""),1,0))</f>
        <v/>
      </c>
      <c r="BN529" s="52" t="str">
        <f aca="false">IF(OR(COUNT(G529:I1528)=0,AND('Choix pédagogiques'!$C$3&lt;&gt;1,'Choix pédagogiques'!$C$3&lt;&gt;2)),"",IF(AND(OR('Choix pédagogiques'!$C$3=1,'Choix pédagogiques'!$C$3=2),AND($G529&lt;&gt;"",$H529&lt;&gt;"",$I529&lt;&gt;"")),1,0))</f>
        <v/>
      </c>
      <c r="BO529" s="52" t="str">
        <f aca="false">IF(OR(COUNT(B529:D1528)=0,COUNT(G529:I1528)=0,'Choix pédagogiques'!C$3&lt;&gt;3),"",IF(AND('Choix pédagogiques'!$C$3=3,$B529&lt;&gt;"",$C529&lt;&gt;"",$D529&lt;&gt;"",$G529&lt;&gt;"",$H529&lt;&gt;"",$I529&lt;&gt;""),1,0))</f>
        <v/>
      </c>
      <c r="BR529" s="52" t="n">
        <v>857</v>
      </c>
      <c r="BS529" s="52" t="n">
        <v>1179</v>
      </c>
    </row>
    <row r="530" s="54" customFormat="true" ht="18" hidden="false" customHeight="true" outlineLevel="0" collapsed="false">
      <c r="A530" s="57" t="s">
        <v>991</v>
      </c>
      <c r="B530" s="51"/>
      <c r="C530" s="51"/>
      <c r="D530" s="51"/>
      <c r="E530" s="51"/>
      <c r="F530" s="57" t="s">
        <v>992</v>
      </c>
      <c r="G530" s="51"/>
      <c r="H530" s="51"/>
      <c r="I530" s="51"/>
      <c r="J530" s="51"/>
      <c r="K530" s="52" t="str">
        <f aca="false">IF($A530&lt;&gt;"",$A530,"")</f>
        <v>Apprenant 518</v>
      </c>
      <c r="L530" s="53" t="str">
        <f aca="false">IF(AND($B530&lt;&gt;"",$C530&lt;&gt;""),$C530-$B530,"")</f>
        <v/>
      </c>
      <c r="M530" s="53" t="str">
        <f aca="false">IF(AND($B530&lt;&gt;"",$D530&lt;&gt;""),$D530-$B530,"")</f>
        <v/>
      </c>
      <c r="N530" s="53" t="str">
        <f aca="false">IF(AND($C530&lt;&gt;"",$D530&lt;&gt;""),$D530-$C530,"")</f>
        <v/>
      </c>
      <c r="O530" s="53" t="str">
        <f aca="false">IF($E530&lt;&gt;"",$E530,"")</f>
        <v/>
      </c>
      <c r="P530" s="52" t="str">
        <f aca="false">IF($F530&lt;&gt;"",$F530,"")</f>
        <v>Apprenant 518 ou 518'</v>
      </c>
      <c r="Q530" s="53" t="str">
        <f aca="false">IF(AND($G530&lt;&gt;"",$H530&lt;&gt;""),$H530-$G530,"")</f>
        <v/>
      </c>
      <c r="R530" s="53" t="str">
        <f aca="false">IF(AND($G530&lt;&gt;"",$I530&lt;&gt;""),$I530-$G530,"")</f>
        <v/>
      </c>
      <c r="S530" s="53" t="str">
        <f aca="false">IF(AND($H530&lt;&gt;"",$I530&lt;&gt;""),$I530-$H530,"")</f>
        <v/>
      </c>
      <c r="T530" s="53" t="str">
        <f aca="false">IF($J530&lt;&gt;"",$J530,"")</f>
        <v/>
      </c>
      <c r="V530" s="52" t="str">
        <f aca="false">IF($A530&lt;&gt;"",$A530,"")</f>
        <v>Apprenant 518</v>
      </c>
      <c r="W530" s="53" t="str">
        <f aca="false">IF(AND(OR('Choix pédagogiques'!$C$3=1,'Choix pédagogiques'!$C$3=2),$BM530=1),B530,IF(AND('Choix pédagogiques'!$C$3=3,$BO530=1),B530,""))</f>
        <v/>
      </c>
      <c r="X530" s="53" t="str">
        <f aca="false">IF(AND(OR('Choix pédagogiques'!$C$3=1,'Choix pédagogiques'!$C$3=2),$BM530=1),C530,IF(AND('Choix pédagogiques'!$C$3=3,$BO530=1),C530,""))</f>
        <v/>
      </c>
      <c r="Y530" s="53" t="str">
        <f aca="false">IF(AND(OR('Choix pédagogiques'!$C$3=1,'Choix pédagogiques'!$C$3=2),$BM530=1),D530,IF(AND('Choix pédagogiques'!$C$3=3,$BO530=1),D530,""))</f>
        <v/>
      </c>
      <c r="Z530" s="53" t="str">
        <f aca="false">IF($E530&lt;&gt;"",$E530,"")</f>
        <v/>
      </c>
      <c r="AA530" s="52" t="str">
        <f aca="false">IF($F530&lt;&gt;"",$F530,"")</f>
        <v>Apprenant 518 ou 518'</v>
      </c>
      <c r="AB530" s="53" t="str">
        <f aca="false">IF(AND(OR('Choix pédagogiques'!$C$3=1,'Choix pédagogiques'!$C$3=2),$BN530=1),G530,IF(AND('Choix pédagogiques'!$C$3=3,$BO530=1),G530,""))</f>
        <v/>
      </c>
      <c r="AC530" s="53" t="str">
        <f aca="false">IF(AND(OR('Choix pédagogiques'!$C$3=1,'Choix pédagogiques'!$C$3=2),$BN530=1),H530,IF(AND('Choix pédagogiques'!$C$3=3,$BO530=1),H530,""))</f>
        <v/>
      </c>
      <c r="AD530" s="53" t="str">
        <f aca="false">IF(AND(OR('Choix pédagogiques'!$C$3=1,'Choix pédagogiques'!$C$3=2),$BN530=1),I530,IF(AND('Choix pédagogiques'!$C$3=3,$BO530=1),I530,""))</f>
        <v/>
      </c>
      <c r="AE530" s="53" t="str">
        <f aca="false">IF($J530&lt;&gt;"",$J530,"")</f>
        <v/>
      </c>
      <c r="AF530" s="52" t="str">
        <f aca="false">IF($A530&lt;&gt;"",$A530,"")</f>
        <v>Apprenant 518</v>
      </c>
      <c r="AG530" s="53" t="str">
        <f aca="false">IF(AND($W530&lt;&gt;"",$X530&lt;&gt;""),$X530-$W530,"")</f>
        <v/>
      </c>
      <c r="AH530" s="53" t="str">
        <f aca="false">IF(AND($W530&lt;&gt;"",$Y530&lt;&gt;""),$Y530-$W530,"")</f>
        <v/>
      </c>
      <c r="AI530" s="53" t="str">
        <f aca="false">IF(AND($X530&lt;&gt;"",$Y530&lt;&gt;""),$Y530-$X530,"")</f>
        <v/>
      </c>
      <c r="AJ530" s="53" t="str">
        <f aca="false">IF($E530&lt;&gt;"",$E530,"")</f>
        <v/>
      </c>
      <c r="AK530" s="52" t="str">
        <f aca="false">IF($F530&lt;&gt;"",$F530,"")</f>
        <v>Apprenant 518 ou 518'</v>
      </c>
      <c r="AL530" s="53" t="str">
        <f aca="false">IF(AND($AB530&lt;&gt;"",$AC530&lt;&gt;""),$AC530-$AB530,"")</f>
        <v/>
      </c>
      <c r="AM530" s="53" t="str">
        <f aca="false">IF(AND($AB530&lt;&gt;"",$AD530&lt;&gt;""),$AD530-$AB530,"")</f>
        <v/>
      </c>
      <c r="AN530" s="53" t="str">
        <f aca="false">IF(AND($AC530&lt;&gt;"",$AD530&lt;&gt;""),$AD530-$AC530,"")</f>
        <v/>
      </c>
      <c r="AO530" s="53" t="str">
        <f aca="false">IF($J530&lt;&gt;"",$J530,"")</f>
        <v/>
      </c>
      <c r="AQ530" s="52" t="str">
        <f aca="false">IF($A530&lt;&gt;"",$A530,"")</f>
        <v>Apprenant 518</v>
      </c>
      <c r="AR530" s="55" t="str">
        <f aca="false">IF(AND('Choix pédagogiques'!$C$4&lt;&gt;"?",'Choix pédagogiques'!$C$5&lt;&gt;"?",W530&lt;&gt;""),(W530-'Choix pédagogiques'!$C$4)/('Choix pédagogiques'!$C$5-'Choix pédagogiques'!$C$4),"")</f>
        <v/>
      </c>
      <c r="AS530" s="55" t="str">
        <f aca="false">IF(AND('Choix pédagogiques'!$C$4&lt;&gt;"?",'Choix pédagogiques'!$C$5&lt;&gt;"?",X530&lt;&gt;""),(X530-'Choix pédagogiques'!$C$4)/('Choix pédagogiques'!$C$5-'Choix pédagogiques'!$C$4),"")</f>
        <v/>
      </c>
      <c r="AT530" s="55" t="str">
        <f aca="false">IF(AND('Choix pédagogiques'!$C$4&lt;&gt;"?",'Choix pédagogiques'!$C$5&lt;&gt;"?",Y530&lt;&gt;""),(Y530-'Choix pédagogiques'!$C$4)/('Choix pédagogiques'!$C$5-'Choix pédagogiques'!$C$4),"")</f>
        <v/>
      </c>
      <c r="AU530" s="53" t="str">
        <f aca="false">IF($E530&lt;&gt;"",$E530,"")</f>
        <v/>
      </c>
      <c r="AV530" s="52" t="str">
        <f aca="false">IF($F530&lt;&gt;"",$F530,"")</f>
        <v>Apprenant 518 ou 518'</v>
      </c>
      <c r="AW530" s="55" t="str">
        <f aca="false">IF(AND('Choix pédagogiques'!$C$4&lt;&gt;"?",'Choix pédagogiques'!$C$5&lt;&gt;"?",AB530&lt;&gt;""),(AB530-'Choix pédagogiques'!$C$4)/('Choix pédagogiques'!$C$5-'Choix pédagogiques'!$C$4),"")</f>
        <v/>
      </c>
      <c r="AX530" s="55" t="str">
        <f aca="false">IF(AND('Choix pédagogiques'!$C$4&lt;&gt;"?",'Choix pédagogiques'!$C$5&lt;&gt;"?",AC530&lt;&gt;""),(AC530-'Choix pédagogiques'!$C$4)/('Choix pédagogiques'!$C$5-'Choix pédagogiques'!$C$4),"")</f>
        <v/>
      </c>
      <c r="AY530" s="55" t="str">
        <f aca="false">IF(AND('Choix pédagogiques'!$C$4&lt;&gt;"?",'Choix pédagogiques'!$C$5&lt;&gt;"?",AD530&lt;&gt;""),(AD530-'Choix pédagogiques'!$C$4)/('Choix pédagogiques'!$C$5-'Choix pédagogiques'!$C$4),"")</f>
        <v/>
      </c>
      <c r="AZ530" s="53" t="str">
        <f aca="false">IF($J530&lt;&gt;"",$J530,"")</f>
        <v/>
      </c>
      <c r="BA530" s="52" t="str">
        <f aca="false">IF($A530&lt;&gt;"",$A530,"")</f>
        <v>Apprenant 518</v>
      </c>
      <c r="BB530" s="55" t="str">
        <f aca="false">IF(AND($AR530&lt;&gt;"",$AS530&lt;&gt;""),$AS530-$AR530,"")</f>
        <v/>
      </c>
      <c r="BC530" s="55" t="str">
        <f aca="false">IF(AND($AR530&lt;&gt;"",$AT530&lt;&gt;""),$AT530-$AR530,"")</f>
        <v/>
      </c>
      <c r="BD530" s="55" t="str">
        <f aca="false">IF(AND($AS530&lt;&gt;"",$AT530&lt;&gt;""),$AT530-$AS530,"")</f>
        <v/>
      </c>
      <c r="BE530" s="53" t="str">
        <f aca="false">IF($E530&lt;&gt;"",$E530,"")</f>
        <v/>
      </c>
      <c r="BF530" s="52" t="str">
        <f aca="false">IF($F530&lt;&gt;"",$F530,"")</f>
        <v>Apprenant 518 ou 518'</v>
      </c>
      <c r="BG530" s="55" t="str">
        <f aca="false">IF(AND($AW530&lt;&gt;"",$AX530&lt;&gt;""),$AX530-$AW530,"")</f>
        <v/>
      </c>
      <c r="BH530" s="55" t="str">
        <f aca="false">IF(AND($AW530&lt;&gt;"",$AY530&lt;&gt;""),$AY530-$AW530,"")</f>
        <v/>
      </c>
      <c r="BI530" s="55" t="str">
        <f aca="false">IF(AND($AX530&lt;&gt;"",$AY530&lt;&gt;""),$AY530-$AX530,"")</f>
        <v/>
      </c>
      <c r="BJ530" s="53" t="str">
        <f aca="false">IF($J530&lt;&gt;"",$J530,"")</f>
        <v/>
      </c>
      <c r="BL530" s="52"/>
      <c r="BM530" s="52" t="str">
        <f aca="false">IF(OR(COUNT(B530:D1529)=0,AND('Choix pédagogiques'!$C$3&lt;&gt;1,'Choix pédagogiques'!$C$3&lt;&gt;2)),"",IF(AND(OR('Choix pédagogiques'!$C$3=1,'Choix pédagogiques'!$C$3=2),$B530&lt;&gt;"",$C530&lt;&gt;"",$D530&lt;&gt;""),1,0))</f>
        <v/>
      </c>
      <c r="BN530" s="52" t="str">
        <f aca="false">IF(OR(COUNT(G530:I1529)=0,AND('Choix pédagogiques'!$C$3&lt;&gt;1,'Choix pédagogiques'!$C$3&lt;&gt;2)),"",IF(AND(OR('Choix pédagogiques'!$C$3=1,'Choix pédagogiques'!$C$3=2),AND($G530&lt;&gt;"",$H530&lt;&gt;"",$I530&lt;&gt;"")),1,0))</f>
        <v/>
      </c>
      <c r="BO530" s="52" t="str">
        <f aca="false">IF(OR(COUNT(B530:D1529)=0,COUNT(G530:I1529)=0,'Choix pédagogiques'!C$3&lt;&gt;3),"",IF(AND('Choix pédagogiques'!$C$3=3,$B530&lt;&gt;"",$C530&lt;&gt;"",$D530&lt;&gt;"",$G530&lt;&gt;"",$H530&lt;&gt;"",$I530&lt;&gt;""),1,0))</f>
        <v/>
      </c>
      <c r="BR530" s="52" t="n">
        <v>492</v>
      </c>
      <c r="BS530" s="52" t="n">
        <v>1426</v>
      </c>
    </row>
    <row r="531" s="54" customFormat="true" ht="18" hidden="false" customHeight="true" outlineLevel="0" collapsed="false">
      <c r="A531" s="57" t="s">
        <v>993</v>
      </c>
      <c r="B531" s="51"/>
      <c r="C531" s="51"/>
      <c r="D531" s="51"/>
      <c r="E531" s="51"/>
      <c r="F531" s="57" t="s">
        <v>994</v>
      </c>
      <c r="G531" s="51"/>
      <c r="H531" s="51"/>
      <c r="I531" s="51"/>
      <c r="J531" s="51"/>
      <c r="K531" s="52" t="str">
        <f aca="false">IF($A531&lt;&gt;"",$A531,"")</f>
        <v>Apprenant 519</v>
      </c>
      <c r="L531" s="53" t="str">
        <f aca="false">IF(AND($B531&lt;&gt;"",$C531&lt;&gt;""),$C531-$B531,"")</f>
        <v/>
      </c>
      <c r="M531" s="53" t="str">
        <f aca="false">IF(AND($B531&lt;&gt;"",$D531&lt;&gt;""),$D531-$B531,"")</f>
        <v/>
      </c>
      <c r="N531" s="53" t="str">
        <f aca="false">IF(AND($C531&lt;&gt;"",$D531&lt;&gt;""),$D531-$C531,"")</f>
        <v/>
      </c>
      <c r="O531" s="53" t="str">
        <f aca="false">IF($E531&lt;&gt;"",$E531,"")</f>
        <v/>
      </c>
      <c r="P531" s="52" t="str">
        <f aca="false">IF($F531&lt;&gt;"",$F531,"")</f>
        <v>Apprenant 519 ou 519'</v>
      </c>
      <c r="Q531" s="53" t="str">
        <f aca="false">IF(AND($G531&lt;&gt;"",$H531&lt;&gt;""),$H531-$G531,"")</f>
        <v/>
      </c>
      <c r="R531" s="53" t="str">
        <f aca="false">IF(AND($G531&lt;&gt;"",$I531&lt;&gt;""),$I531-$G531,"")</f>
        <v/>
      </c>
      <c r="S531" s="53" t="str">
        <f aca="false">IF(AND($H531&lt;&gt;"",$I531&lt;&gt;""),$I531-$H531,"")</f>
        <v/>
      </c>
      <c r="T531" s="53" t="str">
        <f aca="false">IF($J531&lt;&gt;"",$J531,"")</f>
        <v/>
      </c>
      <c r="V531" s="52" t="str">
        <f aca="false">IF($A531&lt;&gt;"",$A531,"")</f>
        <v>Apprenant 519</v>
      </c>
      <c r="W531" s="53" t="str">
        <f aca="false">IF(AND(OR('Choix pédagogiques'!$C$3=1,'Choix pédagogiques'!$C$3=2),$BM531=1),B531,IF(AND('Choix pédagogiques'!$C$3=3,$BO531=1),B531,""))</f>
        <v/>
      </c>
      <c r="X531" s="53" t="str">
        <f aca="false">IF(AND(OR('Choix pédagogiques'!$C$3=1,'Choix pédagogiques'!$C$3=2),$BM531=1),C531,IF(AND('Choix pédagogiques'!$C$3=3,$BO531=1),C531,""))</f>
        <v/>
      </c>
      <c r="Y531" s="53" t="str">
        <f aca="false">IF(AND(OR('Choix pédagogiques'!$C$3=1,'Choix pédagogiques'!$C$3=2),$BM531=1),D531,IF(AND('Choix pédagogiques'!$C$3=3,$BO531=1),D531,""))</f>
        <v/>
      </c>
      <c r="Z531" s="53" t="str">
        <f aca="false">IF($E531&lt;&gt;"",$E531,"")</f>
        <v/>
      </c>
      <c r="AA531" s="52" t="str">
        <f aca="false">IF($F531&lt;&gt;"",$F531,"")</f>
        <v>Apprenant 519 ou 519'</v>
      </c>
      <c r="AB531" s="53" t="str">
        <f aca="false">IF(AND(OR('Choix pédagogiques'!$C$3=1,'Choix pédagogiques'!$C$3=2),$BN531=1),G531,IF(AND('Choix pédagogiques'!$C$3=3,$BO531=1),G531,""))</f>
        <v/>
      </c>
      <c r="AC531" s="53" t="str">
        <f aca="false">IF(AND(OR('Choix pédagogiques'!$C$3=1,'Choix pédagogiques'!$C$3=2),$BN531=1),H531,IF(AND('Choix pédagogiques'!$C$3=3,$BO531=1),H531,""))</f>
        <v/>
      </c>
      <c r="AD531" s="53" t="str">
        <f aca="false">IF(AND(OR('Choix pédagogiques'!$C$3=1,'Choix pédagogiques'!$C$3=2),$BN531=1),I531,IF(AND('Choix pédagogiques'!$C$3=3,$BO531=1),I531,""))</f>
        <v/>
      </c>
      <c r="AE531" s="53" t="str">
        <f aca="false">IF($J531&lt;&gt;"",$J531,"")</f>
        <v/>
      </c>
      <c r="AF531" s="52" t="str">
        <f aca="false">IF($A531&lt;&gt;"",$A531,"")</f>
        <v>Apprenant 519</v>
      </c>
      <c r="AG531" s="53" t="str">
        <f aca="false">IF(AND($W531&lt;&gt;"",$X531&lt;&gt;""),$X531-$W531,"")</f>
        <v/>
      </c>
      <c r="AH531" s="53" t="str">
        <f aca="false">IF(AND($W531&lt;&gt;"",$Y531&lt;&gt;""),$Y531-$W531,"")</f>
        <v/>
      </c>
      <c r="AI531" s="53" t="str">
        <f aca="false">IF(AND($X531&lt;&gt;"",$Y531&lt;&gt;""),$Y531-$X531,"")</f>
        <v/>
      </c>
      <c r="AJ531" s="53" t="str">
        <f aca="false">IF($E531&lt;&gt;"",$E531,"")</f>
        <v/>
      </c>
      <c r="AK531" s="52" t="str">
        <f aca="false">IF($F531&lt;&gt;"",$F531,"")</f>
        <v>Apprenant 519 ou 519'</v>
      </c>
      <c r="AL531" s="53" t="str">
        <f aca="false">IF(AND($AB531&lt;&gt;"",$AC531&lt;&gt;""),$AC531-$AB531,"")</f>
        <v/>
      </c>
      <c r="AM531" s="53" t="str">
        <f aca="false">IF(AND($AB531&lt;&gt;"",$AD531&lt;&gt;""),$AD531-$AB531,"")</f>
        <v/>
      </c>
      <c r="AN531" s="53" t="str">
        <f aca="false">IF(AND($AC531&lt;&gt;"",$AD531&lt;&gt;""),$AD531-$AC531,"")</f>
        <v/>
      </c>
      <c r="AO531" s="53" t="str">
        <f aca="false">IF($J531&lt;&gt;"",$J531,"")</f>
        <v/>
      </c>
      <c r="AQ531" s="52" t="str">
        <f aca="false">IF($A531&lt;&gt;"",$A531,"")</f>
        <v>Apprenant 519</v>
      </c>
      <c r="AR531" s="55" t="str">
        <f aca="false">IF(AND('Choix pédagogiques'!$C$4&lt;&gt;"?",'Choix pédagogiques'!$C$5&lt;&gt;"?",W531&lt;&gt;""),(W531-'Choix pédagogiques'!$C$4)/('Choix pédagogiques'!$C$5-'Choix pédagogiques'!$C$4),"")</f>
        <v/>
      </c>
      <c r="AS531" s="55" t="str">
        <f aca="false">IF(AND('Choix pédagogiques'!$C$4&lt;&gt;"?",'Choix pédagogiques'!$C$5&lt;&gt;"?",X531&lt;&gt;""),(X531-'Choix pédagogiques'!$C$4)/('Choix pédagogiques'!$C$5-'Choix pédagogiques'!$C$4),"")</f>
        <v/>
      </c>
      <c r="AT531" s="55" t="str">
        <f aca="false">IF(AND('Choix pédagogiques'!$C$4&lt;&gt;"?",'Choix pédagogiques'!$C$5&lt;&gt;"?",Y531&lt;&gt;""),(Y531-'Choix pédagogiques'!$C$4)/('Choix pédagogiques'!$C$5-'Choix pédagogiques'!$C$4),"")</f>
        <v/>
      </c>
      <c r="AU531" s="53" t="str">
        <f aca="false">IF($E531&lt;&gt;"",$E531,"")</f>
        <v/>
      </c>
      <c r="AV531" s="52" t="str">
        <f aca="false">IF($F531&lt;&gt;"",$F531,"")</f>
        <v>Apprenant 519 ou 519'</v>
      </c>
      <c r="AW531" s="55" t="str">
        <f aca="false">IF(AND('Choix pédagogiques'!$C$4&lt;&gt;"?",'Choix pédagogiques'!$C$5&lt;&gt;"?",AB531&lt;&gt;""),(AB531-'Choix pédagogiques'!$C$4)/('Choix pédagogiques'!$C$5-'Choix pédagogiques'!$C$4),"")</f>
        <v/>
      </c>
      <c r="AX531" s="55" t="str">
        <f aca="false">IF(AND('Choix pédagogiques'!$C$4&lt;&gt;"?",'Choix pédagogiques'!$C$5&lt;&gt;"?",AC531&lt;&gt;""),(AC531-'Choix pédagogiques'!$C$4)/('Choix pédagogiques'!$C$5-'Choix pédagogiques'!$C$4),"")</f>
        <v/>
      </c>
      <c r="AY531" s="55" t="str">
        <f aca="false">IF(AND('Choix pédagogiques'!$C$4&lt;&gt;"?",'Choix pédagogiques'!$C$5&lt;&gt;"?",AD531&lt;&gt;""),(AD531-'Choix pédagogiques'!$C$4)/('Choix pédagogiques'!$C$5-'Choix pédagogiques'!$C$4),"")</f>
        <v/>
      </c>
      <c r="AZ531" s="53" t="str">
        <f aca="false">IF($J531&lt;&gt;"",$J531,"")</f>
        <v/>
      </c>
      <c r="BA531" s="52" t="str">
        <f aca="false">IF($A531&lt;&gt;"",$A531,"")</f>
        <v>Apprenant 519</v>
      </c>
      <c r="BB531" s="55" t="str">
        <f aca="false">IF(AND($AR531&lt;&gt;"",$AS531&lt;&gt;""),$AS531-$AR531,"")</f>
        <v/>
      </c>
      <c r="BC531" s="55" t="str">
        <f aca="false">IF(AND($AR531&lt;&gt;"",$AT531&lt;&gt;""),$AT531-$AR531,"")</f>
        <v/>
      </c>
      <c r="BD531" s="55" t="str">
        <f aca="false">IF(AND($AS531&lt;&gt;"",$AT531&lt;&gt;""),$AT531-$AS531,"")</f>
        <v/>
      </c>
      <c r="BE531" s="53" t="str">
        <f aca="false">IF($E531&lt;&gt;"",$E531,"")</f>
        <v/>
      </c>
      <c r="BF531" s="52" t="str">
        <f aca="false">IF($F531&lt;&gt;"",$F531,"")</f>
        <v>Apprenant 519 ou 519'</v>
      </c>
      <c r="BG531" s="55" t="str">
        <f aca="false">IF(AND($AW531&lt;&gt;"",$AX531&lt;&gt;""),$AX531-$AW531,"")</f>
        <v/>
      </c>
      <c r="BH531" s="55" t="str">
        <f aca="false">IF(AND($AW531&lt;&gt;"",$AY531&lt;&gt;""),$AY531-$AW531,"")</f>
        <v/>
      </c>
      <c r="BI531" s="55" t="str">
        <f aca="false">IF(AND($AX531&lt;&gt;"",$AY531&lt;&gt;""),$AY531-$AX531,"")</f>
        <v/>
      </c>
      <c r="BJ531" s="53" t="str">
        <f aca="false">IF($J531&lt;&gt;"",$J531,"")</f>
        <v/>
      </c>
      <c r="BL531" s="52"/>
      <c r="BM531" s="52" t="str">
        <f aca="false">IF(OR(COUNT(B531:D1530)=0,AND('Choix pédagogiques'!$C$3&lt;&gt;1,'Choix pédagogiques'!$C$3&lt;&gt;2)),"",IF(AND(OR('Choix pédagogiques'!$C$3=1,'Choix pédagogiques'!$C$3=2),$B531&lt;&gt;"",$C531&lt;&gt;"",$D531&lt;&gt;""),1,0))</f>
        <v/>
      </c>
      <c r="BN531" s="52" t="str">
        <f aca="false">IF(OR(COUNT(G531:I1530)=0,AND('Choix pédagogiques'!$C$3&lt;&gt;1,'Choix pédagogiques'!$C$3&lt;&gt;2)),"",IF(AND(OR('Choix pédagogiques'!$C$3=1,'Choix pédagogiques'!$C$3=2),AND($G531&lt;&gt;"",$H531&lt;&gt;"",$I531&lt;&gt;"")),1,0))</f>
        <v/>
      </c>
      <c r="BO531" s="52" t="str">
        <f aca="false">IF(OR(COUNT(B531:D1530)=0,COUNT(G531:I1530)=0,'Choix pédagogiques'!C$3&lt;&gt;3),"",IF(AND('Choix pédagogiques'!$C$3=3,$B531&lt;&gt;"",$C531&lt;&gt;"",$D531&lt;&gt;"",$G531&lt;&gt;"",$H531&lt;&gt;"",$I531&lt;&gt;""),1,0))</f>
        <v/>
      </c>
      <c r="BR531" s="52" t="n">
        <v>540</v>
      </c>
      <c r="BS531" s="52" t="n">
        <v>1125</v>
      </c>
    </row>
    <row r="532" s="54" customFormat="true" ht="18" hidden="false" customHeight="true" outlineLevel="0" collapsed="false">
      <c r="A532" s="57" t="s">
        <v>995</v>
      </c>
      <c r="B532" s="51"/>
      <c r="C532" s="51"/>
      <c r="D532" s="51"/>
      <c r="E532" s="51"/>
      <c r="F532" s="57" t="s">
        <v>996</v>
      </c>
      <c r="G532" s="51"/>
      <c r="H532" s="51"/>
      <c r="I532" s="51"/>
      <c r="J532" s="51"/>
      <c r="K532" s="52" t="str">
        <f aca="false">IF($A532&lt;&gt;"",$A532,"")</f>
        <v>Apprenant 520</v>
      </c>
      <c r="L532" s="53" t="str">
        <f aca="false">IF(AND($B532&lt;&gt;"",$C532&lt;&gt;""),$C532-$B532,"")</f>
        <v/>
      </c>
      <c r="M532" s="53" t="str">
        <f aca="false">IF(AND($B532&lt;&gt;"",$D532&lt;&gt;""),$D532-$B532,"")</f>
        <v/>
      </c>
      <c r="N532" s="53" t="str">
        <f aca="false">IF(AND($C532&lt;&gt;"",$D532&lt;&gt;""),$D532-$C532,"")</f>
        <v/>
      </c>
      <c r="O532" s="53" t="str">
        <f aca="false">IF($E532&lt;&gt;"",$E532,"")</f>
        <v/>
      </c>
      <c r="P532" s="52" t="str">
        <f aca="false">IF($F532&lt;&gt;"",$F532,"")</f>
        <v>Apprenant 520 ou 520'</v>
      </c>
      <c r="Q532" s="53" t="str">
        <f aca="false">IF(AND($G532&lt;&gt;"",$H532&lt;&gt;""),$H532-$G532,"")</f>
        <v/>
      </c>
      <c r="R532" s="53" t="str">
        <f aca="false">IF(AND($G532&lt;&gt;"",$I532&lt;&gt;""),$I532-$G532,"")</f>
        <v/>
      </c>
      <c r="S532" s="53" t="str">
        <f aca="false">IF(AND($H532&lt;&gt;"",$I532&lt;&gt;""),$I532-$H532,"")</f>
        <v/>
      </c>
      <c r="T532" s="53" t="str">
        <f aca="false">IF($J532&lt;&gt;"",$J532,"")</f>
        <v/>
      </c>
      <c r="V532" s="52" t="str">
        <f aca="false">IF($A532&lt;&gt;"",$A532,"")</f>
        <v>Apprenant 520</v>
      </c>
      <c r="W532" s="53" t="str">
        <f aca="false">IF(AND(OR('Choix pédagogiques'!$C$3=1,'Choix pédagogiques'!$C$3=2),$BM532=1),B532,IF(AND('Choix pédagogiques'!$C$3=3,$BO532=1),B532,""))</f>
        <v/>
      </c>
      <c r="X532" s="53" t="str">
        <f aca="false">IF(AND(OR('Choix pédagogiques'!$C$3=1,'Choix pédagogiques'!$C$3=2),$BM532=1),C532,IF(AND('Choix pédagogiques'!$C$3=3,$BO532=1),C532,""))</f>
        <v/>
      </c>
      <c r="Y532" s="53" t="str">
        <f aca="false">IF(AND(OR('Choix pédagogiques'!$C$3=1,'Choix pédagogiques'!$C$3=2),$BM532=1),D532,IF(AND('Choix pédagogiques'!$C$3=3,$BO532=1),D532,""))</f>
        <v/>
      </c>
      <c r="Z532" s="53" t="str">
        <f aca="false">IF($E532&lt;&gt;"",$E532,"")</f>
        <v/>
      </c>
      <c r="AA532" s="52" t="str">
        <f aca="false">IF($F532&lt;&gt;"",$F532,"")</f>
        <v>Apprenant 520 ou 520'</v>
      </c>
      <c r="AB532" s="53" t="str">
        <f aca="false">IF(AND(OR('Choix pédagogiques'!$C$3=1,'Choix pédagogiques'!$C$3=2),$BN532=1),G532,IF(AND('Choix pédagogiques'!$C$3=3,$BO532=1),G532,""))</f>
        <v/>
      </c>
      <c r="AC532" s="53" t="str">
        <f aca="false">IF(AND(OR('Choix pédagogiques'!$C$3=1,'Choix pédagogiques'!$C$3=2),$BN532=1),H532,IF(AND('Choix pédagogiques'!$C$3=3,$BO532=1),H532,""))</f>
        <v/>
      </c>
      <c r="AD532" s="53" t="str">
        <f aca="false">IF(AND(OR('Choix pédagogiques'!$C$3=1,'Choix pédagogiques'!$C$3=2),$BN532=1),I532,IF(AND('Choix pédagogiques'!$C$3=3,$BO532=1),I532,""))</f>
        <v/>
      </c>
      <c r="AE532" s="53" t="str">
        <f aca="false">IF($J532&lt;&gt;"",$J532,"")</f>
        <v/>
      </c>
      <c r="AF532" s="52" t="str">
        <f aca="false">IF($A532&lt;&gt;"",$A532,"")</f>
        <v>Apprenant 520</v>
      </c>
      <c r="AG532" s="53" t="str">
        <f aca="false">IF(AND($W532&lt;&gt;"",$X532&lt;&gt;""),$X532-$W532,"")</f>
        <v/>
      </c>
      <c r="AH532" s="53" t="str">
        <f aca="false">IF(AND($W532&lt;&gt;"",$Y532&lt;&gt;""),$Y532-$W532,"")</f>
        <v/>
      </c>
      <c r="AI532" s="53" t="str">
        <f aca="false">IF(AND($X532&lt;&gt;"",$Y532&lt;&gt;""),$Y532-$X532,"")</f>
        <v/>
      </c>
      <c r="AJ532" s="53" t="str">
        <f aca="false">IF($E532&lt;&gt;"",$E532,"")</f>
        <v/>
      </c>
      <c r="AK532" s="52" t="str">
        <f aca="false">IF($F532&lt;&gt;"",$F532,"")</f>
        <v>Apprenant 520 ou 520'</v>
      </c>
      <c r="AL532" s="53" t="str">
        <f aca="false">IF(AND($AB532&lt;&gt;"",$AC532&lt;&gt;""),$AC532-$AB532,"")</f>
        <v/>
      </c>
      <c r="AM532" s="53" t="str">
        <f aca="false">IF(AND($AB532&lt;&gt;"",$AD532&lt;&gt;""),$AD532-$AB532,"")</f>
        <v/>
      </c>
      <c r="AN532" s="53" t="str">
        <f aca="false">IF(AND($AC532&lt;&gt;"",$AD532&lt;&gt;""),$AD532-$AC532,"")</f>
        <v/>
      </c>
      <c r="AO532" s="53" t="str">
        <f aca="false">IF($J532&lt;&gt;"",$J532,"")</f>
        <v/>
      </c>
      <c r="AQ532" s="52" t="str">
        <f aca="false">IF($A532&lt;&gt;"",$A532,"")</f>
        <v>Apprenant 520</v>
      </c>
      <c r="AR532" s="55" t="str">
        <f aca="false">IF(AND('Choix pédagogiques'!$C$4&lt;&gt;"?",'Choix pédagogiques'!$C$5&lt;&gt;"?",W532&lt;&gt;""),(W532-'Choix pédagogiques'!$C$4)/('Choix pédagogiques'!$C$5-'Choix pédagogiques'!$C$4),"")</f>
        <v/>
      </c>
      <c r="AS532" s="55" t="str">
        <f aca="false">IF(AND('Choix pédagogiques'!$C$4&lt;&gt;"?",'Choix pédagogiques'!$C$5&lt;&gt;"?",X532&lt;&gt;""),(X532-'Choix pédagogiques'!$C$4)/('Choix pédagogiques'!$C$5-'Choix pédagogiques'!$C$4),"")</f>
        <v/>
      </c>
      <c r="AT532" s="55" t="str">
        <f aca="false">IF(AND('Choix pédagogiques'!$C$4&lt;&gt;"?",'Choix pédagogiques'!$C$5&lt;&gt;"?",Y532&lt;&gt;""),(Y532-'Choix pédagogiques'!$C$4)/('Choix pédagogiques'!$C$5-'Choix pédagogiques'!$C$4),"")</f>
        <v/>
      </c>
      <c r="AU532" s="53" t="str">
        <f aca="false">IF($E532&lt;&gt;"",$E532,"")</f>
        <v/>
      </c>
      <c r="AV532" s="52" t="str">
        <f aca="false">IF($F532&lt;&gt;"",$F532,"")</f>
        <v>Apprenant 520 ou 520'</v>
      </c>
      <c r="AW532" s="55" t="str">
        <f aca="false">IF(AND('Choix pédagogiques'!$C$4&lt;&gt;"?",'Choix pédagogiques'!$C$5&lt;&gt;"?",AB532&lt;&gt;""),(AB532-'Choix pédagogiques'!$C$4)/('Choix pédagogiques'!$C$5-'Choix pédagogiques'!$C$4),"")</f>
        <v/>
      </c>
      <c r="AX532" s="55" t="str">
        <f aca="false">IF(AND('Choix pédagogiques'!$C$4&lt;&gt;"?",'Choix pédagogiques'!$C$5&lt;&gt;"?",AC532&lt;&gt;""),(AC532-'Choix pédagogiques'!$C$4)/('Choix pédagogiques'!$C$5-'Choix pédagogiques'!$C$4),"")</f>
        <v/>
      </c>
      <c r="AY532" s="55" t="str">
        <f aca="false">IF(AND('Choix pédagogiques'!$C$4&lt;&gt;"?",'Choix pédagogiques'!$C$5&lt;&gt;"?",AD532&lt;&gt;""),(AD532-'Choix pédagogiques'!$C$4)/('Choix pédagogiques'!$C$5-'Choix pédagogiques'!$C$4),"")</f>
        <v/>
      </c>
      <c r="AZ532" s="53" t="str">
        <f aca="false">IF($J532&lt;&gt;"",$J532,"")</f>
        <v/>
      </c>
      <c r="BA532" s="52" t="str">
        <f aca="false">IF($A532&lt;&gt;"",$A532,"")</f>
        <v>Apprenant 520</v>
      </c>
      <c r="BB532" s="55" t="str">
        <f aca="false">IF(AND($AR532&lt;&gt;"",$AS532&lt;&gt;""),$AS532-$AR532,"")</f>
        <v/>
      </c>
      <c r="BC532" s="55" t="str">
        <f aca="false">IF(AND($AR532&lt;&gt;"",$AT532&lt;&gt;""),$AT532-$AR532,"")</f>
        <v/>
      </c>
      <c r="BD532" s="55" t="str">
        <f aca="false">IF(AND($AS532&lt;&gt;"",$AT532&lt;&gt;""),$AT532-$AS532,"")</f>
        <v/>
      </c>
      <c r="BE532" s="53" t="str">
        <f aca="false">IF($E532&lt;&gt;"",$E532,"")</f>
        <v/>
      </c>
      <c r="BF532" s="52" t="str">
        <f aca="false">IF($F532&lt;&gt;"",$F532,"")</f>
        <v>Apprenant 520 ou 520'</v>
      </c>
      <c r="BG532" s="55" t="str">
        <f aca="false">IF(AND($AW532&lt;&gt;"",$AX532&lt;&gt;""),$AX532-$AW532,"")</f>
        <v/>
      </c>
      <c r="BH532" s="55" t="str">
        <f aca="false">IF(AND($AW532&lt;&gt;"",$AY532&lt;&gt;""),$AY532-$AW532,"")</f>
        <v/>
      </c>
      <c r="BI532" s="55" t="str">
        <f aca="false">IF(AND($AX532&lt;&gt;"",$AY532&lt;&gt;""),$AY532-$AX532,"")</f>
        <v/>
      </c>
      <c r="BJ532" s="53" t="str">
        <f aca="false">IF($J532&lt;&gt;"",$J532,"")</f>
        <v/>
      </c>
      <c r="BL532" s="52"/>
      <c r="BM532" s="52" t="str">
        <f aca="false">IF(OR(COUNT(B532:D1531)=0,AND('Choix pédagogiques'!$C$3&lt;&gt;1,'Choix pédagogiques'!$C$3&lt;&gt;2)),"",IF(AND(OR('Choix pédagogiques'!$C$3=1,'Choix pédagogiques'!$C$3=2),$B532&lt;&gt;"",$C532&lt;&gt;"",$D532&lt;&gt;""),1,0))</f>
        <v/>
      </c>
      <c r="BN532" s="52" t="str">
        <f aca="false">IF(OR(COUNT(G532:I1531)=0,AND('Choix pédagogiques'!$C$3&lt;&gt;1,'Choix pédagogiques'!$C$3&lt;&gt;2)),"",IF(AND(OR('Choix pédagogiques'!$C$3=1,'Choix pédagogiques'!$C$3=2),AND($G532&lt;&gt;"",$H532&lt;&gt;"",$I532&lt;&gt;"")),1,0))</f>
        <v/>
      </c>
      <c r="BO532" s="52" t="str">
        <f aca="false">IF(OR(COUNT(B532:D1531)=0,COUNT(G532:I1531)=0,'Choix pédagogiques'!C$3&lt;&gt;3),"",IF(AND('Choix pédagogiques'!$C$3=3,$B532&lt;&gt;"",$C532&lt;&gt;"",$D532&lt;&gt;"",$G532&lt;&gt;"",$H532&lt;&gt;"",$I532&lt;&gt;""),1,0))</f>
        <v/>
      </c>
      <c r="BR532" s="52" t="n">
        <v>851</v>
      </c>
      <c r="BS532" s="52" t="n">
        <v>1217</v>
      </c>
    </row>
    <row r="533" s="54" customFormat="true" ht="18" hidden="false" customHeight="true" outlineLevel="0" collapsed="false">
      <c r="A533" s="57" t="s">
        <v>997</v>
      </c>
      <c r="B533" s="51"/>
      <c r="C533" s="51"/>
      <c r="D533" s="51"/>
      <c r="E533" s="51"/>
      <c r="F533" s="57" t="s">
        <v>998</v>
      </c>
      <c r="G533" s="51"/>
      <c r="H533" s="51"/>
      <c r="I533" s="51"/>
      <c r="J533" s="51"/>
      <c r="K533" s="52" t="str">
        <f aca="false">IF($A533&lt;&gt;"",$A533,"")</f>
        <v>Apprenant 521</v>
      </c>
      <c r="L533" s="53" t="str">
        <f aca="false">IF(AND($B533&lt;&gt;"",$C533&lt;&gt;""),$C533-$B533,"")</f>
        <v/>
      </c>
      <c r="M533" s="53" t="str">
        <f aca="false">IF(AND($B533&lt;&gt;"",$D533&lt;&gt;""),$D533-$B533,"")</f>
        <v/>
      </c>
      <c r="N533" s="53" t="str">
        <f aca="false">IF(AND($C533&lt;&gt;"",$D533&lt;&gt;""),$D533-$C533,"")</f>
        <v/>
      </c>
      <c r="O533" s="53" t="str">
        <f aca="false">IF($E533&lt;&gt;"",$E533,"")</f>
        <v/>
      </c>
      <c r="P533" s="52" t="str">
        <f aca="false">IF($F533&lt;&gt;"",$F533,"")</f>
        <v>Apprenant 521 ou 521'</v>
      </c>
      <c r="Q533" s="53" t="str">
        <f aca="false">IF(AND($G533&lt;&gt;"",$H533&lt;&gt;""),$H533-$G533,"")</f>
        <v/>
      </c>
      <c r="R533" s="53" t="str">
        <f aca="false">IF(AND($G533&lt;&gt;"",$I533&lt;&gt;""),$I533-$G533,"")</f>
        <v/>
      </c>
      <c r="S533" s="53" t="str">
        <f aca="false">IF(AND($H533&lt;&gt;"",$I533&lt;&gt;""),$I533-$H533,"")</f>
        <v/>
      </c>
      <c r="T533" s="53" t="str">
        <f aca="false">IF($J533&lt;&gt;"",$J533,"")</f>
        <v/>
      </c>
      <c r="V533" s="52" t="str">
        <f aca="false">IF($A533&lt;&gt;"",$A533,"")</f>
        <v>Apprenant 521</v>
      </c>
      <c r="W533" s="53" t="str">
        <f aca="false">IF(AND(OR('Choix pédagogiques'!$C$3=1,'Choix pédagogiques'!$C$3=2),$BM533=1),B533,IF(AND('Choix pédagogiques'!$C$3=3,$BO533=1),B533,""))</f>
        <v/>
      </c>
      <c r="X533" s="53" t="str">
        <f aca="false">IF(AND(OR('Choix pédagogiques'!$C$3=1,'Choix pédagogiques'!$C$3=2),$BM533=1),C533,IF(AND('Choix pédagogiques'!$C$3=3,$BO533=1),C533,""))</f>
        <v/>
      </c>
      <c r="Y533" s="53" t="str">
        <f aca="false">IF(AND(OR('Choix pédagogiques'!$C$3=1,'Choix pédagogiques'!$C$3=2),$BM533=1),D533,IF(AND('Choix pédagogiques'!$C$3=3,$BO533=1),D533,""))</f>
        <v/>
      </c>
      <c r="Z533" s="53" t="str">
        <f aca="false">IF($E533&lt;&gt;"",$E533,"")</f>
        <v/>
      </c>
      <c r="AA533" s="52" t="str">
        <f aca="false">IF($F533&lt;&gt;"",$F533,"")</f>
        <v>Apprenant 521 ou 521'</v>
      </c>
      <c r="AB533" s="53" t="str">
        <f aca="false">IF(AND(OR('Choix pédagogiques'!$C$3=1,'Choix pédagogiques'!$C$3=2),$BN533=1),G533,IF(AND('Choix pédagogiques'!$C$3=3,$BO533=1),G533,""))</f>
        <v/>
      </c>
      <c r="AC533" s="53" t="str">
        <f aca="false">IF(AND(OR('Choix pédagogiques'!$C$3=1,'Choix pédagogiques'!$C$3=2),$BN533=1),H533,IF(AND('Choix pédagogiques'!$C$3=3,$BO533=1),H533,""))</f>
        <v/>
      </c>
      <c r="AD533" s="53" t="str">
        <f aca="false">IF(AND(OR('Choix pédagogiques'!$C$3=1,'Choix pédagogiques'!$C$3=2),$BN533=1),I533,IF(AND('Choix pédagogiques'!$C$3=3,$BO533=1),I533,""))</f>
        <v/>
      </c>
      <c r="AE533" s="53" t="str">
        <f aca="false">IF($J533&lt;&gt;"",$J533,"")</f>
        <v/>
      </c>
      <c r="AF533" s="52" t="str">
        <f aca="false">IF($A533&lt;&gt;"",$A533,"")</f>
        <v>Apprenant 521</v>
      </c>
      <c r="AG533" s="53" t="str">
        <f aca="false">IF(AND($W533&lt;&gt;"",$X533&lt;&gt;""),$X533-$W533,"")</f>
        <v/>
      </c>
      <c r="AH533" s="53" t="str">
        <f aca="false">IF(AND($W533&lt;&gt;"",$Y533&lt;&gt;""),$Y533-$W533,"")</f>
        <v/>
      </c>
      <c r="AI533" s="53" t="str">
        <f aca="false">IF(AND($X533&lt;&gt;"",$Y533&lt;&gt;""),$Y533-$X533,"")</f>
        <v/>
      </c>
      <c r="AJ533" s="53" t="str">
        <f aca="false">IF($E533&lt;&gt;"",$E533,"")</f>
        <v/>
      </c>
      <c r="AK533" s="52" t="str">
        <f aca="false">IF($F533&lt;&gt;"",$F533,"")</f>
        <v>Apprenant 521 ou 521'</v>
      </c>
      <c r="AL533" s="53" t="str">
        <f aca="false">IF(AND($AB533&lt;&gt;"",$AC533&lt;&gt;""),$AC533-$AB533,"")</f>
        <v/>
      </c>
      <c r="AM533" s="53" t="str">
        <f aca="false">IF(AND($AB533&lt;&gt;"",$AD533&lt;&gt;""),$AD533-$AB533,"")</f>
        <v/>
      </c>
      <c r="AN533" s="53" t="str">
        <f aca="false">IF(AND($AC533&lt;&gt;"",$AD533&lt;&gt;""),$AD533-$AC533,"")</f>
        <v/>
      </c>
      <c r="AO533" s="53" t="str">
        <f aca="false">IF($J533&lt;&gt;"",$J533,"")</f>
        <v/>
      </c>
      <c r="AQ533" s="52" t="str">
        <f aca="false">IF($A533&lt;&gt;"",$A533,"")</f>
        <v>Apprenant 521</v>
      </c>
      <c r="AR533" s="55" t="str">
        <f aca="false">IF(AND('Choix pédagogiques'!$C$4&lt;&gt;"?",'Choix pédagogiques'!$C$5&lt;&gt;"?",W533&lt;&gt;""),(W533-'Choix pédagogiques'!$C$4)/('Choix pédagogiques'!$C$5-'Choix pédagogiques'!$C$4),"")</f>
        <v/>
      </c>
      <c r="AS533" s="55" t="str">
        <f aca="false">IF(AND('Choix pédagogiques'!$C$4&lt;&gt;"?",'Choix pédagogiques'!$C$5&lt;&gt;"?",X533&lt;&gt;""),(X533-'Choix pédagogiques'!$C$4)/('Choix pédagogiques'!$C$5-'Choix pédagogiques'!$C$4),"")</f>
        <v/>
      </c>
      <c r="AT533" s="55" t="str">
        <f aca="false">IF(AND('Choix pédagogiques'!$C$4&lt;&gt;"?",'Choix pédagogiques'!$C$5&lt;&gt;"?",Y533&lt;&gt;""),(Y533-'Choix pédagogiques'!$C$4)/('Choix pédagogiques'!$C$5-'Choix pédagogiques'!$C$4),"")</f>
        <v/>
      </c>
      <c r="AU533" s="53" t="str">
        <f aca="false">IF($E533&lt;&gt;"",$E533,"")</f>
        <v/>
      </c>
      <c r="AV533" s="52" t="str">
        <f aca="false">IF($F533&lt;&gt;"",$F533,"")</f>
        <v>Apprenant 521 ou 521'</v>
      </c>
      <c r="AW533" s="55" t="str">
        <f aca="false">IF(AND('Choix pédagogiques'!$C$4&lt;&gt;"?",'Choix pédagogiques'!$C$5&lt;&gt;"?",AB533&lt;&gt;""),(AB533-'Choix pédagogiques'!$C$4)/('Choix pédagogiques'!$C$5-'Choix pédagogiques'!$C$4),"")</f>
        <v/>
      </c>
      <c r="AX533" s="55" t="str">
        <f aca="false">IF(AND('Choix pédagogiques'!$C$4&lt;&gt;"?",'Choix pédagogiques'!$C$5&lt;&gt;"?",AC533&lt;&gt;""),(AC533-'Choix pédagogiques'!$C$4)/('Choix pédagogiques'!$C$5-'Choix pédagogiques'!$C$4),"")</f>
        <v/>
      </c>
      <c r="AY533" s="55" t="str">
        <f aca="false">IF(AND('Choix pédagogiques'!$C$4&lt;&gt;"?",'Choix pédagogiques'!$C$5&lt;&gt;"?",AD533&lt;&gt;""),(AD533-'Choix pédagogiques'!$C$4)/('Choix pédagogiques'!$C$5-'Choix pédagogiques'!$C$4),"")</f>
        <v/>
      </c>
      <c r="AZ533" s="53" t="str">
        <f aca="false">IF($J533&lt;&gt;"",$J533,"")</f>
        <v/>
      </c>
      <c r="BA533" s="52" t="str">
        <f aca="false">IF($A533&lt;&gt;"",$A533,"")</f>
        <v>Apprenant 521</v>
      </c>
      <c r="BB533" s="55" t="str">
        <f aca="false">IF(AND($AR533&lt;&gt;"",$AS533&lt;&gt;""),$AS533-$AR533,"")</f>
        <v/>
      </c>
      <c r="BC533" s="55" t="str">
        <f aca="false">IF(AND($AR533&lt;&gt;"",$AT533&lt;&gt;""),$AT533-$AR533,"")</f>
        <v/>
      </c>
      <c r="BD533" s="55" t="str">
        <f aca="false">IF(AND($AS533&lt;&gt;"",$AT533&lt;&gt;""),$AT533-$AS533,"")</f>
        <v/>
      </c>
      <c r="BE533" s="53" t="str">
        <f aca="false">IF($E533&lt;&gt;"",$E533,"")</f>
        <v/>
      </c>
      <c r="BF533" s="52" t="str">
        <f aca="false">IF($F533&lt;&gt;"",$F533,"")</f>
        <v>Apprenant 521 ou 521'</v>
      </c>
      <c r="BG533" s="55" t="str">
        <f aca="false">IF(AND($AW533&lt;&gt;"",$AX533&lt;&gt;""),$AX533-$AW533,"")</f>
        <v/>
      </c>
      <c r="BH533" s="55" t="str">
        <f aca="false">IF(AND($AW533&lt;&gt;"",$AY533&lt;&gt;""),$AY533-$AW533,"")</f>
        <v/>
      </c>
      <c r="BI533" s="55" t="str">
        <f aca="false">IF(AND($AX533&lt;&gt;"",$AY533&lt;&gt;""),$AY533-$AX533,"")</f>
        <v/>
      </c>
      <c r="BJ533" s="53" t="str">
        <f aca="false">IF($J533&lt;&gt;"",$J533,"")</f>
        <v/>
      </c>
      <c r="BL533" s="52"/>
      <c r="BM533" s="52" t="str">
        <f aca="false">IF(OR(COUNT(B533:D1532)=0,AND('Choix pédagogiques'!$C$3&lt;&gt;1,'Choix pédagogiques'!$C$3&lt;&gt;2)),"",IF(AND(OR('Choix pédagogiques'!$C$3=1,'Choix pédagogiques'!$C$3=2),$B533&lt;&gt;"",$C533&lt;&gt;"",$D533&lt;&gt;""),1,0))</f>
        <v/>
      </c>
      <c r="BN533" s="52" t="str">
        <f aca="false">IF(OR(COUNT(G533:I1532)=0,AND('Choix pédagogiques'!$C$3&lt;&gt;1,'Choix pédagogiques'!$C$3&lt;&gt;2)),"",IF(AND(OR('Choix pédagogiques'!$C$3=1,'Choix pédagogiques'!$C$3=2),AND($G533&lt;&gt;"",$H533&lt;&gt;"",$I533&lt;&gt;"")),1,0))</f>
        <v/>
      </c>
      <c r="BO533" s="52" t="str">
        <f aca="false">IF(OR(COUNT(B533:D1532)=0,COUNT(G533:I1532)=0,'Choix pédagogiques'!C$3&lt;&gt;3),"",IF(AND('Choix pédagogiques'!$C$3=3,$B533&lt;&gt;"",$C533&lt;&gt;"",$D533&lt;&gt;"",$G533&lt;&gt;"",$H533&lt;&gt;"",$I533&lt;&gt;""),1,0))</f>
        <v/>
      </c>
      <c r="BR533" s="52" t="n">
        <v>796</v>
      </c>
      <c r="BS533" s="52" t="n">
        <v>1627</v>
      </c>
    </row>
    <row r="534" s="54" customFormat="true" ht="18" hidden="false" customHeight="true" outlineLevel="0" collapsed="false">
      <c r="A534" s="57" t="s">
        <v>999</v>
      </c>
      <c r="B534" s="51"/>
      <c r="C534" s="51"/>
      <c r="D534" s="51"/>
      <c r="E534" s="51"/>
      <c r="F534" s="57" t="s">
        <v>1000</v>
      </c>
      <c r="G534" s="51"/>
      <c r="H534" s="51"/>
      <c r="I534" s="51"/>
      <c r="J534" s="51"/>
      <c r="K534" s="52" t="str">
        <f aca="false">IF($A534&lt;&gt;"",$A534,"")</f>
        <v>Apprenant 522</v>
      </c>
      <c r="L534" s="53" t="str">
        <f aca="false">IF(AND($B534&lt;&gt;"",$C534&lt;&gt;""),$C534-$B534,"")</f>
        <v/>
      </c>
      <c r="M534" s="53" t="str">
        <f aca="false">IF(AND($B534&lt;&gt;"",$D534&lt;&gt;""),$D534-$B534,"")</f>
        <v/>
      </c>
      <c r="N534" s="53" t="str">
        <f aca="false">IF(AND($C534&lt;&gt;"",$D534&lt;&gt;""),$D534-$C534,"")</f>
        <v/>
      </c>
      <c r="O534" s="53" t="str">
        <f aca="false">IF($E534&lt;&gt;"",$E534,"")</f>
        <v/>
      </c>
      <c r="P534" s="52" t="str">
        <f aca="false">IF($F534&lt;&gt;"",$F534,"")</f>
        <v>Apprenant 522 ou 522'</v>
      </c>
      <c r="Q534" s="53" t="str">
        <f aca="false">IF(AND($G534&lt;&gt;"",$H534&lt;&gt;""),$H534-$G534,"")</f>
        <v/>
      </c>
      <c r="R534" s="53" t="str">
        <f aca="false">IF(AND($G534&lt;&gt;"",$I534&lt;&gt;""),$I534-$G534,"")</f>
        <v/>
      </c>
      <c r="S534" s="53" t="str">
        <f aca="false">IF(AND($H534&lt;&gt;"",$I534&lt;&gt;""),$I534-$H534,"")</f>
        <v/>
      </c>
      <c r="T534" s="53" t="str">
        <f aca="false">IF($J534&lt;&gt;"",$J534,"")</f>
        <v/>
      </c>
      <c r="V534" s="52" t="str">
        <f aca="false">IF($A534&lt;&gt;"",$A534,"")</f>
        <v>Apprenant 522</v>
      </c>
      <c r="W534" s="53" t="str">
        <f aca="false">IF(AND(OR('Choix pédagogiques'!$C$3=1,'Choix pédagogiques'!$C$3=2),$BM534=1),B534,IF(AND('Choix pédagogiques'!$C$3=3,$BO534=1),B534,""))</f>
        <v/>
      </c>
      <c r="X534" s="53" t="str">
        <f aca="false">IF(AND(OR('Choix pédagogiques'!$C$3=1,'Choix pédagogiques'!$C$3=2),$BM534=1),C534,IF(AND('Choix pédagogiques'!$C$3=3,$BO534=1),C534,""))</f>
        <v/>
      </c>
      <c r="Y534" s="53" t="str">
        <f aca="false">IF(AND(OR('Choix pédagogiques'!$C$3=1,'Choix pédagogiques'!$C$3=2),$BM534=1),D534,IF(AND('Choix pédagogiques'!$C$3=3,$BO534=1),D534,""))</f>
        <v/>
      </c>
      <c r="Z534" s="53" t="str">
        <f aca="false">IF($E534&lt;&gt;"",$E534,"")</f>
        <v/>
      </c>
      <c r="AA534" s="52" t="str">
        <f aca="false">IF($F534&lt;&gt;"",$F534,"")</f>
        <v>Apprenant 522 ou 522'</v>
      </c>
      <c r="AB534" s="53" t="str">
        <f aca="false">IF(AND(OR('Choix pédagogiques'!$C$3=1,'Choix pédagogiques'!$C$3=2),$BN534=1),G534,IF(AND('Choix pédagogiques'!$C$3=3,$BO534=1),G534,""))</f>
        <v/>
      </c>
      <c r="AC534" s="53" t="str">
        <f aca="false">IF(AND(OR('Choix pédagogiques'!$C$3=1,'Choix pédagogiques'!$C$3=2),$BN534=1),H534,IF(AND('Choix pédagogiques'!$C$3=3,$BO534=1),H534,""))</f>
        <v/>
      </c>
      <c r="AD534" s="53" t="str">
        <f aca="false">IF(AND(OR('Choix pédagogiques'!$C$3=1,'Choix pédagogiques'!$C$3=2),$BN534=1),I534,IF(AND('Choix pédagogiques'!$C$3=3,$BO534=1),I534,""))</f>
        <v/>
      </c>
      <c r="AE534" s="53" t="str">
        <f aca="false">IF($J534&lt;&gt;"",$J534,"")</f>
        <v/>
      </c>
      <c r="AF534" s="52" t="str">
        <f aca="false">IF($A534&lt;&gt;"",$A534,"")</f>
        <v>Apprenant 522</v>
      </c>
      <c r="AG534" s="53" t="str">
        <f aca="false">IF(AND($W534&lt;&gt;"",$X534&lt;&gt;""),$X534-$W534,"")</f>
        <v/>
      </c>
      <c r="AH534" s="53" t="str">
        <f aca="false">IF(AND($W534&lt;&gt;"",$Y534&lt;&gt;""),$Y534-$W534,"")</f>
        <v/>
      </c>
      <c r="AI534" s="53" t="str">
        <f aca="false">IF(AND($X534&lt;&gt;"",$Y534&lt;&gt;""),$Y534-$X534,"")</f>
        <v/>
      </c>
      <c r="AJ534" s="53" t="str">
        <f aca="false">IF($E534&lt;&gt;"",$E534,"")</f>
        <v/>
      </c>
      <c r="AK534" s="52" t="str">
        <f aca="false">IF($F534&lt;&gt;"",$F534,"")</f>
        <v>Apprenant 522 ou 522'</v>
      </c>
      <c r="AL534" s="53" t="str">
        <f aca="false">IF(AND($AB534&lt;&gt;"",$AC534&lt;&gt;""),$AC534-$AB534,"")</f>
        <v/>
      </c>
      <c r="AM534" s="53" t="str">
        <f aca="false">IF(AND($AB534&lt;&gt;"",$AD534&lt;&gt;""),$AD534-$AB534,"")</f>
        <v/>
      </c>
      <c r="AN534" s="53" t="str">
        <f aca="false">IF(AND($AC534&lt;&gt;"",$AD534&lt;&gt;""),$AD534-$AC534,"")</f>
        <v/>
      </c>
      <c r="AO534" s="53" t="str">
        <f aca="false">IF($J534&lt;&gt;"",$J534,"")</f>
        <v/>
      </c>
      <c r="AQ534" s="52" t="str">
        <f aca="false">IF($A534&lt;&gt;"",$A534,"")</f>
        <v>Apprenant 522</v>
      </c>
      <c r="AR534" s="55" t="str">
        <f aca="false">IF(AND('Choix pédagogiques'!$C$4&lt;&gt;"?",'Choix pédagogiques'!$C$5&lt;&gt;"?",W534&lt;&gt;""),(W534-'Choix pédagogiques'!$C$4)/('Choix pédagogiques'!$C$5-'Choix pédagogiques'!$C$4),"")</f>
        <v/>
      </c>
      <c r="AS534" s="55" t="str">
        <f aca="false">IF(AND('Choix pédagogiques'!$C$4&lt;&gt;"?",'Choix pédagogiques'!$C$5&lt;&gt;"?",X534&lt;&gt;""),(X534-'Choix pédagogiques'!$C$4)/('Choix pédagogiques'!$C$5-'Choix pédagogiques'!$C$4),"")</f>
        <v/>
      </c>
      <c r="AT534" s="55" t="str">
        <f aca="false">IF(AND('Choix pédagogiques'!$C$4&lt;&gt;"?",'Choix pédagogiques'!$C$5&lt;&gt;"?",Y534&lt;&gt;""),(Y534-'Choix pédagogiques'!$C$4)/('Choix pédagogiques'!$C$5-'Choix pédagogiques'!$C$4),"")</f>
        <v/>
      </c>
      <c r="AU534" s="53" t="str">
        <f aca="false">IF($E534&lt;&gt;"",$E534,"")</f>
        <v/>
      </c>
      <c r="AV534" s="52" t="str">
        <f aca="false">IF($F534&lt;&gt;"",$F534,"")</f>
        <v>Apprenant 522 ou 522'</v>
      </c>
      <c r="AW534" s="55" t="str">
        <f aca="false">IF(AND('Choix pédagogiques'!$C$4&lt;&gt;"?",'Choix pédagogiques'!$C$5&lt;&gt;"?",AB534&lt;&gt;""),(AB534-'Choix pédagogiques'!$C$4)/('Choix pédagogiques'!$C$5-'Choix pédagogiques'!$C$4),"")</f>
        <v/>
      </c>
      <c r="AX534" s="55" t="str">
        <f aca="false">IF(AND('Choix pédagogiques'!$C$4&lt;&gt;"?",'Choix pédagogiques'!$C$5&lt;&gt;"?",AC534&lt;&gt;""),(AC534-'Choix pédagogiques'!$C$4)/('Choix pédagogiques'!$C$5-'Choix pédagogiques'!$C$4),"")</f>
        <v/>
      </c>
      <c r="AY534" s="55" t="str">
        <f aca="false">IF(AND('Choix pédagogiques'!$C$4&lt;&gt;"?",'Choix pédagogiques'!$C$5&lt;&gt;"?",AD534&lt;&gt;""),(AD534-'Choix pédagogiques'!$C$4)/('Choix pédagogiques'!$C$5-'Choix pédagogiques'!$C$4),"")</f>
        <v/>
      </c>
      <c r="AZ534" s="53" t="str">
        <f aca="false">IF($J534&lt;&gt;"",$J534,"")</f>
        <v/>
      </c>
      <c r="BA534" s="52" t="str">
        <f aca="false">IF($A534&lt;&gt;"",$A534,"")</f>
        <v>Apprenant 522</v>
      </c>
      <c r="BB534" s="55" t="str">
        <f aca="false">IF(AND($AR534&lt;&gt;"",$AS534&lt;&gt;""),$AS534-$AR534,"")</f>
        <v/>
      </c>
      <c r="BC534" s="55" t="str">
        <f aca="false">IF(AND($AR534&lt;&gt;"",$AT534&lt;&gt;""),$AT534-$AR534,"")</f>
        <v/>
      </c>
      <c r="BD534" s="55" t="str">
        <f aca="false">IF(AND($AS534&lt;&gt;"",$AT534&lt;&gt;""),$AT534-$AS534,"")</f>
        <v/>
      </c>
      <c r="BE534" s="53" t="str">
        <f aca="false">IF($E534&lt;&gt;"",$E534,"")</f>
        <v/>
      </c>
      <c r="BF534" s="52" t="str">
        <f aca="false">IF($F534&lt;&gt;"",$F534,"")</f>
        <v>Apprenant 522 ou 522'</v>
      </c>
      <c r="BG534" s="55" t="str">
        <f aca="false">IF(AND($AW534&lt;&gt;"",$AX534&lt;&gt;""),$AX534-$AW534,"")</f>
        <v/>
      </c>
      <c r="BH534" s="55" t="str">
        <f aca="false">IF(AND($AW534&lt;&gt;"",$AY534&lt;&gt;""),$AY534-$AW534,"")</f>
        <v/>
      </c>
      <c r="BI534" s="55" t="str">
        <f aca="false">IF(AND($AX534&lt;&gt;"",$AY534&lt;&gt;""),$AY534-$AX534,"")</f>
        <v/>
      </c>
      <c r="BJ534" s="53" t="str">
        <f aca="false">IF($J534&lt;&gt;"",$J534,"")</f>
        <v/>
      </c>
      <c r="BL534" s="52"/>
      <c r="BM534" s="52" t="str">
        <f aca="false">IF(OR(COUNT(B534:D1533)=0,AND('Choix pédagogiques'!$C$3&lt;&gt;1,'Choix pédagogiques'!$C$3&lt;&gt;2)),"",IF(AND(OR('Choix pédagogiques'!$C$3=1,'Choix pédagogiques'!$C$3=2),$B534&lt;&gt;"",$C534&lt;&gt;"",$D534&lt;&gt;""),1,0))</f>
        <v/>
      </c>
      <c r="BN534" s="52" t="str">
        <f aca="false">IF(OR(COUNT(G534:I1533)=0,AND('Choix pédagogiques'!$C$3&lt;&gt;1,'Choix pédagogiques'!$C$3&lt;&gt;2)),"",IF(AND(OR('Choix pédagogiques'!$C$3=1,'Choix pédagogiques'!$C$3=2),AND($G534&lt;&gt;"",$H534&lt;&gt;"",$I534&lt;&gt;"")),1,0))</f>
        <v/>
      </c>
      <c r="BO534" s="52" t="str">
        <f aca="false">IF(OR(COUNT(B534:D1533)=0,COUNT(G534:I1533)=0,'Choix pédagogiques'!C$3&lt;&gt;3),"",IF(AND('Choix pédagogiques'!$C$3=3,$B534&lt;&gt;"",$C534&lt;&gt;"",$D534&lt;&gt;"",$G534&lt;&gt;"",$H534&lt;&gt;"",$I534&lt;&gt;""),1,0))</f>
        <v/>
      </c>
      <c r="BR534" s="52" t="n">
        <v>522</v>
      </c>
      <c r="BS534" s="52" t="n">
        <v>1047</v>
      </c>
    </row>
    <row r="535" s="54" customFormat="true" ht="18" hidden="false" customHeight="true" outlineLevel="0" collapsed="false">
      <c r="A535" s="57" t="s">
        <v>1001</v>
      </c>
      <c r="B535" s="51"/>
      <c r="C535" s="51"/>
      <c r="D535" s="51"/>
      <c r="E535" s="51"/>
      <c r="F535" s="57" t="s">
        <v>1002</v>
      </c>
      <c r="G535" s="51"/>
      <c r="H535" s="51"/>
      <c r="I535" s="51"/>
      <c r="J535" s="51"/>
      <c r="K535" s="52" t="str">
        <f aca="false">IF($A535&lt;&gt;"",$A535,"")</f>
        <v>Apprenant 523</v>
      </c>
      <c r="L535" s="53" t="str">
        <f aca="false">IF(AND($B535&lt;&gt;"",$C535&lt;&gt;""),$C535-$B535,"")</f>
        <v/>
      </c>
      <c r="M535" s="53" t="str">
        <f aca="false">IF(AND($B535&lt;&gt;"",$D535&lt;&gt;""),$D535-$B535,"")</f>
        <v/>
      </c>
      <c r="N535" s="53" t="str">
        <f aca="false">IF(AND($C535&lt;&gt;"",$D535&lt;&gt;""),$D535-$C535,"")</f>
        <v/>
      </c>
      <c r="O535" s="53" t="str">
        <f aca="false">IF($E535&lt;&gt;"",$E535,"")</f>
        <v/>
      </c>
      <c r="P535" s="52" t="str">
        <f aca="false">IF($F535&lt;&gt;"",$F535,"")</f>
        <v>Apprenant 523 ou 523'</v>
      </c>
      <c r="Q535" s="53" t="str">
        <f aca="false">IF(AND($G535&lt;&gt;"",$H535&lt;&gt;""),$H535-$G535,"")</f>
        <v/>
      </c>
      <c r="R535" s="53" t="str">
        <f aca="false">IF(AND($G535&lt;&gt;"",$I535&lt;&gt;""),$I535-$G535,"")</f>
        <v/>
      </c>
      <c r="S535" s="53" t="str">
        <f aca="false">IF(AND($H535&lt;&gt;"",$I535&lt;&gt;""),$I535-$H535,"")</f>
        <v/>
      </c>
      <c r="T535" s="53" t="str">
        <f aca="false">IF($J535&lt;&gt;"",$J535,"")</f>
        <v/>
      </c>
      <c r="V535" s="52" t="str">
        <f aca="false">IF($A535&lt;&gt;"",$A535,"")</f>
        <v>Apprenant 523</v>
      </c>
      <c r="W535" s="53" t="str">
        <f aca="false">IF(AND(OR('Choix pédagogiques'!$C$3=1,'Choix pédagogiques'!$C$3=2),$BM535=1),B535,IF(AND('Choix pédagogiques'!$C$3=3,$BO535=1),B535,""))</f>
        <v/>
      </c>
      <c r="X535" s="53" t="str">
        <f aca="false">IF(AND(OR('Choix pédagogiques'!$C$3=1,'Choix pédagogiques'!$C$3=2),$BM535=1),C535,IF(AND('Choix pédagogiques'!$C$3=3,$BO535=1),C535,""))</f>
        <v/>
      </c>
      <c r="Y535" s="53" t="str">
        <f aca="false">IF(AND(OR('Choix pédagogiques'!$C$3=1,'Choix pédagogiques'!$C$3=2),$BM535=1),D535,IF(AND('Choix pédagogiques'!$C$3=3,$BO535=1),D535,""))</f>
        <v/>
      </c>
      <c r="Z535" s="53" t="str">
        <f aca="false">IF($E535&lt;&gt;"",$E535,"")</f>
        <v/>
      </c>
      <c r="AA535" s="52" t="str">
        <f aca="false">IF($F535&lt;&gt;"",$F535,"")</f>
        <v>Apprenant 523 ou 523'</v>
      </c>
      <c r="AB535" s="53" t="str">
        <f aca="false">IF(AND(OR('Choix pédagogiques'!$C$3=1,'Choix pédagogiques'!$C$3=2),$BN535=1),G535,IF(AND('Choix pédagogiques'!$C$3=3,$BO535=1),G535,""))</f>
        <v/>
      </c>
      <c r="AC535" s="53" t="str">
        <f aca="false">IF(AND(OR('Choix pédagogiques'!$C$3=1,'Choix pédagogiques'!$C$3=2),$BN535=1),H535,IF(AND('Choix pédagogiques'!$C$3=3,$BO535=1),H535,""))</f>
        <v/>
      </c>
      <c r="AD535" s="53" t="str">
        <f aca="false">IF(AND(OR('Choix pédagogiques'!$C$3=1,'Choix pédagogiques'!$C$3=2),$BN535=1),I535,IF(AND('Choix pédagogiques'!$C$3=3,$BO535=1),I535,""))</f>
        <v/>
      </c>
      <c r="AE535" s="53" t="str">
        <f aca="false">IF($J535&lt;&gt;"",$J535,"")</f>
        <v/>
      </c>
      <c r="AF535" s="52" t="str">
        <f aca="false">IF($A535&lt;&gt;"",$A535,"")</f>
        <v>Apprenant 523</v>
      </c>
      <c r="AG535" s="53" t="str">
        <f aca="false">IF(AND($W535&lt;&gt;"",$X535&lt;&gt;""),$X535-$W535,"")</f>
        <v/>
      </c>
      <c r="AH535" s="53" t="str">
        <f aca="false">IF(AND($W535&lt;&gt;"",$Y535&lt;&gt;""),$Y535-$W535,"")</f>
        <v/>
      </c>
      <c r="AI535" s="53" t="str">
        <f aca="false">IF(AND($X535&lt;&gt;"",$Y535&lt;&gt;""),$Y535-$X535,"")</f>
        <v/>
      </c>
      <c r="AJ535" s="53" t="str">
        <f aca="false">IF($E535&lt;&gt;"",$E535,"")</f>
        <v/>
      </c>
      <c r="AK535" s="52" t="str">
        <f aca="false">IF($F535&lt;&gt;"",$F535,"")</f>
        <v>Apprenant 523 ou 523'</v>
      </c>
      <c r="AL535" s="53" t="str">
        <f aca="false">IF(AND($AB535&lt;&gt;"",$AC535&lt;&gt;""),$AC535-$AB535,"")</f>
        <v/>
      </c>
      <c r="AM535" s="53" t="str">
        <f aca="false">IF(AND($AB535&lt;&gt;"",$AD535&lt;&gt;""),$AD535-$AB535,"")</f>
        <v/>
      </c>
      <c r="AN535" s="53" t="str">
        <f aca="false">IF(AND($AC535&lt;&gt;"",$AD535&lt;&gt;""),$AD535-$AC535,"")</f>
        <v/>
      </c>
      <c r="AO535" s="53" t="str">
        <f aca="false">IF($J535&lt;&gt;"",$J535,"")</f>
        <v/>
      </c>
      <c r="AQ535" s="52" t="str">
        <f aca="false">IF($A535&lt;&gt;"",$A535,"")</f>
        <v>Apprenant 523</v>
      </c>
      <c r="AR535" s="55" t="str">
        <f aca="false">IF(AND('Choix pédagogiques'!$C$4&lt;&gt;"?",'Choix pédagogiques'!$C$5&lt;&gt;"?",W535&lt;&gt;""),(W535-'Choix pédagogiques'!$C$4)/('Choix pédagogiques'!$C$5-'Choix pédagogiques'!$C$4),"")</f>
        <v/>
      </c>
      <c r="AS535" s="55" t="str">
        <f aca="false">IF(AND('Choix pédagogiques'!$C$4&lt;&gt;"?",'Choix pédagogiques'!$C$5&lt;&gt;"?",X535&lt;&gt;""),(X535-'Choix pédagogiques'!$C$4)/('Choix pédagogiques'!$C$5-'Choix pédagogiques'!$C$4),"")</f>
        <v/>
      </c>
      <c r="AT535" s="55" t="str">
        <f aca="false">IF(AND('Choix pédagogiques'!$C$4&lt;&gt;"?",'Choix pédagogiques'!$C$5&lt;&gt;"?",Y535&lt;&gt;""),(Y535-'Choix pédagogiques'!$C$4)/('Choix pédagogiques'!$C$5-'Choix pédagogiques'!$C$4),"")</f>
        <v/>
      </c>
      <c r="AU535" s="53" t="str">
        <f aca="false">IF($E535&lt;&gt;"",$E535,"")</f>
        <v/>
      </c>
      <c r="AV535" s="52" t="str">
        <f aca="false">IF($F535&lt;&gt;"",$F535,"")</f>
        <v>Apprenant 523 ou 523'</v>
      </c>
      <c r="AW535" s="55" t="str">
        <f aca="false">IF(AND('Choix pédagogiques'!$C$4&lt;&gt;"?",'Choix pédagogiques'!$C$5&lt;&gt;"?",AB535&lt;&gt;""),(AB535-'Choix pédagogiques'!$C$4)/('Choix pédagogiques'!$C$5-'Choix pédagogiques'!$C$4),"")</f>
        <v/>
      </c>
      <c r="AX535" s="55" t="str">
        <f aca="false">IF(AND('Choix pédagogiques'!$C$4&lt;&gt;"?",'Choix pédagogiques'!$C$5&lt;&gt;"?",AC535&lt;&gt;""),(AC535-'Choix pédagogiques'!$C$4)/('Choix pédagogiques'!$C$5-'Choix pédagogiques'!$C$4),"")</f>
        <v/>
      </c>
      <c r="AY535" s="55" t="str">
        <f aca="false">IF(AND('Choix pédagogiques'!$C$4&lt;&gt;"?",'Choix pédagogiques'!$C$5&lt;&gt;"?",AD535&lt;&gt;""),(AD535-'Choix pédagogiques'!$C$4)/('Choix pédagogiques'!$C$5-'Choix pédagogiques'!$C$4),"")</f>
        <v/>
      </c>
      <c r="AZ535" s="53" t="str">
        <f aca="false">IF($J535&lt;&gt;"",$J535,"")</f>
        <v/>
      </c>
      <c r="BA535" s="52" t="str">
        <f aca="false">IF($A535&lt;&gt;"",$A535,"")</f>
        <v>Apprenant 523</v>
      </c>
      <c r="BB535" s="55" t="str">
        <f aca="false">IF(AND($AR535&lt;&gt;"",$AS535&lt;&gt;""),$AS535-$AR535,"")</f>
        <v/>
      </c>
      <c r="BC535" s="55" t="str">
        <f aca="false">IF(AND($AR535&lt;&gt;"",$AT535&lt;&gt;""),$AT535-$AR535,"")</f>
        <v/>
      </c>
      <c r="BD535" s="55" t="str">
        <f aca="false">IF(AND($AS535&lt;&gt;"",$AT535&lt;&gt;""),$AT535-$AS535,"")</f>
        <v/>
      </c>
      <c r="BE535" s="53" t="str">
        <f aca="false">IF($E535&lt;&gt;"",$E535,"")</f>
        <v/>
      </c>
      <c r="BF535" s="52" t="str">
        <f aca="false">IF($F535&lt;&gt;"",$F535,"")</f>
        <v>Apprenant 523 ou 523'</v>
      </c>
      <c r="BG535" s="55" t="str">
        <f aca="false">IF(AND($AW535&lt;&gt;"",$AX535&lt;&gt;""),$AX535-$AW535,"")</f>
        <v/>
      </c>
      <c r="BH535" s="55" t="str">
        <f aca="false">IF(AND($AW535&lt;&gt;"",$AY535&lt;&gt;""),$AY535-$AW535,"")</f>
        <v/>
      </c>
      <c r="BI535" s="55" t="str">
        <f aca="false">IF(AND($AX535&lt;&gt;"",$AY535&lt;&gt;""),$AY535-$AX535,"")</f>
        <v/>
      </c>
      <c r="BJ535" s="53" t="str">
        <f aca="false">IF($J535&lt;&gt;"",$J535,"")</f>
        <v/>
      </c>
      <c r="BL535" s="52"/>
      <c r="BM535" s="52" t="str">
        <f aca="false">IF(OR(COUNT(B535:D1534)=0,AND('Choix pédagogiques'!$C$3&lt;&gt;1,'Choix pédagogiques'!$C$3&lt;&gt;2)),"",IF(AND(OR('Choix pédagogiques'!$C$3=1,'Choix pédagogiques'!$C$3=2),$B535&lt;&gt;"",$C535&lt;&gt;"",$D535&lt;&gt;""),1,0))</f>
        <v/>
      </c>
      <c r="BN535" s="52" t="str">
        <f aca="false">IF(OR(COUNT(G535:I1534)=0,AND('Choix pédagogiques'!$C$3&lt;&gt;1,'Choix pédagogiques'!$C$3&lt;&gt;2)),"",IF(AND(OR('Choix pédagogiques'!$C$3=1,'Choix pédagogiques'!$C$3=2),AND($G535&lt;&gt;"",$H535&lt;&gt;"",$I535&lt;&gt;"")),1,0))</f>
        <v/>
      </c>
      <c r="BO535" s="52" t="str">
        <f aca="false">IF(OR(COUNT(B535:D1534)=0,COUNT(G535:I1534)=0,'Choix pédagogiques'!C$3&lt;&gt;3),"",IF(AND('Choix pédagogiques'!$C$3=3,$B535&lt;&gt;"",$C535&lt;&gt;"",$D535&lt;&gt;"",$G535&lt;&gt;"",$H535&lt;&gt;"",$I535&lt;&gt;""),1,0))</f>
        <v/>
      </c>
      <c r="BR535" s="52" t="n">
        <v>421</v>
      </c>
      <c r="BS535" s="52" t="n">
        <v>1450</v>
      </c>
    </row>
    <row r="536" s="54" customFormat="true" ht="18" hidden="false" customHeight="true" outlineLevel="0" collapsed="false">
      <c r="A536" s="57" t="s">
        <v>1003</v>
      </c>
      <c r="B536" s="51"/>
      <c r="C536" s="51"/>
      <c r="D536" s="51"/>
      <c r="E536" s="51"/>
      <c r="F536" s="57" t="s">
        <v>1004</v>
      </c>
      <c r="G536" s="51"/>
      <c r="H536" s="51"/>
      <c r="I536" s="51"/>
      <c r="J536" s="51"/>
      <c r="K536" s="52" t="str">
        <f aca="false">IF($A536&lt;&gt;"",$A536,"")</f>
        <v>Apprenant 524</v>
      </c>
      <c r="L536" s="53" t="str">
        <f aca="false">IF(AND($B536&lt;&gt;"",$C536&lt;&gt;""),$C536-$B536,"")</f>
        <v/>
      </c>
      <c r="M536" s="53" t="str">
        <f aca="false">IF(AND($B536&lt;&gt;"",$D536&lt;&gt;""),$D536-$B536,"")</f>
        <v/>
      </c>
      <c r="N536" s="53" t="str">
        <f aca="false">IF(AND($C536&lt;&gt;"",$D536&lt;&gt;""),$D536-$C536,"")</f>
        <v/>
      </c>
      <c r="O536" s="53" t="str">
        <f aca="false">IF($E536&lt;&gt;"",$E536,"")</f>
        <v/>
      </c>
      <c r="P536" s="52" t="str">
        <f aca="false">IF($F536&lt;&gt;"",$F536,"")</f>
        <v>Apprenant 524 ou 524'</v>
      </c>
      <c r="Q536" s="53" t="str">
        <f aca="false">IF(AND($G536&lt;&gt;"",$H536&lt;&gt;""),$H536-$G536,"")</f>
        <v/>
      </c>
      <c r="R536" s="53" t="str">
        <f aca="false">IF(AND($G536&lt;&gt;"",$I536&lt;&gt;""),$I536-$G536,"")</f>
        <v/>
      </c>
      <c r="S536" s="53" t="str">
        <f aca="false">IF(AND($H536&lt;&gt;"",$I536&lt;&gt;""),$I536-$H536,"")</f>
        <v/>
      </c>
      <c r="T536" s="53" t="str">
        <f aca="false">IF($J536&lt;&gt;"",$J536,"")</f>
        <v/>
      </c>
      <c r="V536" s="52" t="str">
        <f aca="false">IF($A536&lt;&gt;"",$A536,"")</f>
        <v>Apprenant 524</v>
      </c>
      <c r="W536" s="53" t="str">
        <f aca="false">IF(AND(OR('Choix pédagogiques'!$C$3=1,'Choix pédagogiques'!$C$3=2),$BM536=1),B536,IF(AND('Choix pédagogiques'!$C$3=3,$BO536=1),B536,""))</f>
        <v/>
      </c>
      <c r="X536" s="53" t="str">
        <f aca="false">IF(AND(OR('Choix pédagogiques'!$C$3=1,'Choix pédagogiques'!$C$3=2),$BM536=1),C536,IF(AND('Choix pédagogiques'!$C$3=3,$BO536=1),C536,""))</f>
        <v/>
      </c>
      <c r="Y536" s="53" t="str">
        <f aca="false">IF(AND(OR('Choix pédagogiques'!$C$3=1,'Choix pédagogiques'!$C$3=2),$BM536=1),D536,IF(AND('Choix pédagogiques'!$C$3=3,$BO536=1),D536,""))</f>
        <v/>
      </c>
      <c r="Z536" s="53" t="str">
        <f aca="false">IF($E536&lt;&gt;"",$E536,"")</f>
        <v/>
      </c>
      <c r="AA536" s="52" t="str">
        <f aca="false">IF($F536&lt;&gt;"",$F536,"")</f>
        <v>Apprenant 524 ou 524'</v>
      </c>
      <c r="AB536" s="53" t="str">
        <f aca="false">IF(AND(OR('Choix pédagogiques'!$C$3=1,'Choix pédagogiques'!$C$3=2),$BN536=1),G536,IF(AND('Choix pédagogiques'!$C$3=3,$BO536=1),G536,""))</f>
        <v/>
      </c>
      <c r="AC536" s="53" t="str">
        <f aca="false">IF(AND(OR('Choix pédagogiques'!$C$3=1,'Choix pédagogiques'!$C$3=2),$BN536=1),H536,IF(AND('Choix pédagogiques'!$C$3=3,$BO536=1),H536,""))</f>
        <v/>
      </c>
      <c r="AD536" s="53" t="str">
        <f aca="false">IF(AND(OR('Choix pédagogiques'!$C$3=1,'Choix pédagogiques'!$C$3=2),$BN536=1),I536,IF(AND('Choix pédagogiques'!$C$3=3,$BO536=1),I536,""))</f>
        <v/>
      </c>
      <c r="AE536" s="53" t="str">
        <f aca="false">IF($J536&lt;&gt;"",$J536,"")</f>
        <v/>
      </c>
      <c r="AF536" s="52" t="str">
        <f aca="false">IF($A536&lt;&gt;"",$A536,"")</f>
        <v>Apprenant 524</v>
      </c>
      <c r="AG536" s="53" t="str">
        <f aca="false">IF(AND($W536&lt;&gt;"",$X536&lt;&gt;""),$X536-$W536,"")</f>
        <v/>
      </c>
      <c r="AH536" s="53" t="str">
        <f aca="false">IF(AND($W536&lt;&gt;"",$Y536&lt;&gt;""),$Y536-$W536,"")</f>
        <v/>
      </c>
      <c r="AI536" s="53" t="str">
        <f aca="false">IF(AND($X536&lt;&gt;"",$Y536&lt;&gt;""),$Y536-$X536,"")</f>
        <v/>
      </c>
      <c r="AJ536" s="53" t="str">
        <f aca="false">IF($E536&lt;&gt;"",$E536,"")</f>
        <v/>
      </c>
      <c r="AK536" s="52" t="str">
        <f aca="false">IF($F536&lt;&gt;"",$F536,"")</f>
        <v>Apprenant 524 ou 524'</v>
      </c>
      <c r="AL536" s="53" t="str">
        <f aca="false">IF(AND($AB536&lt;&gt;"",$AC536&lt;&gt;""),$AC536-$AB536,"")</f>
        <v/>
      </c>
      <c r="AM536" s="53" t="str">
        <f aca="false">IF(AND($AB536&lt;&gt;"",$AD536&lt;&gt;""),$AD536-$AB536,"")</f>
        <v/>
      </c>
      <c r="AN536" s="53" t="str">
        <f aca="false">IF(AND($AC536&lt;&gt;"",$AD536&lt;&gt;""),$AD536-$AC536,"")</f>
        <v/>
      </c>
      <c r="AO536" s="53" t="str">
        <f aca="false">IF($J536&lt;&gt;"",$J536,"")</f>
        <v/>
      </c>
      <c r="AQ536" s="52" t="str">
        <f aca="false">IF($A536&lt;&gt;"",$A536,"")</f>
        <v>Apprenant 524</v>
      </c>
      <c r="AR536" s="55" t="str">
        <f aca="false">IF(AND('Choix pédagogiques'!$C$4&lt;&gt;"?",'Choix pédagogiques'!$C$5&lt;&gt;"?",W536&lt;&gt;""),(W536-'Choix pédagogiques'!$C$4)/('Choix pédagogiques'!$C$5-'Choix pédagogiques'!$C$4),"")</f>
        <v/>
      </c>
      <c r="AS536" s="55" t="str">
        <f aca="false">IF(AND('Choix pédagogiques'!$C$4&lt;&gt;"?",'Choix pédagogiques'!$C$5&lt;&gt;"?",X536&lt;&gt;""),(X536-'Choix pédagogiques'!$C$4)/('Choix pédagogiques'!$C$5-'Choix pédagogiques'!$C$4),"")</f>
        <v/>
      </c>
      <c r="AT536" s="55" t="str">
        <f aca="false">IF(AND('Choix pédagogiques'!$C$4&lt;&gt;"?",'Choix pédagogiques'!$C$5&lt;&gt;"?",Y536&lt;&gt;""),(Y536-'Choix pédagogiques'!$C$4)/('Choix pédagogiques'!$C$5-'Choix pédagogiques'!$C$4),"")</f>
        <v/>
      </c>
      <c r="AU536" s="53" t="str">
        <f aca="false">IF($E536&lt;&gt;"",$E536,"")</f>
        <v/>
      </c>
      <c r="AV536" s="52" t="str">
        <f aca="false">IF($F536&lt;&gt;"",$F536,"")</f>
        <v>Apprenant 524 ou 524'</v>
      </c>
      <c r="AW536" s="55" t="str">
        <f aca="false">IF(AND('Choix pédagogiques'!$C$4&lt;&gt;"?",'Choix pédagogiques'!$C$5&lt;&gt;"?",AB536&lt;&gt;""),(AB536-'Choix pédagogiques'!$C$4)/('Choix pédagogiques'!$C$5-'Choix pédagogiques'!$C$4),"")</f>
        <v/>
      </c>
      <c r="AX536" s="55" t="str">
        <f aca="false">IF(AND('Choix pédagogiques'!$C$4&lt;&gt;"?",'Choix pédagogiques'!$C$5&lt;&gt;"?",AC536&lt;&gt;""),(AC536-'Choix pédagogiques'!$C$4)/('Choix pédagogiques'!$C$5-'Choix pédagogiques'!$C$4),"")</f>
        <v/>
      </c>
      <c r="AY536" s="55" t="str">
        <f aca="false">IF(AND('Choix pédagogiques'!$C$4&lt;&gt;"?",'Choix pédagogiques'!$C$5&lt;&gt;"?",AD536&lt;&gt;""),(AD536-'Choix pédagogiques'!$C$4)/('Choix pédagogiques'!$C$5-'Choix pédagogiques'!$C$4),"")</f>
        <v/>
      </c>
      <c r="AZ536" s="53" t="str">
        <f aca="false">IF($J536&lt;&gt;"",$J536,"")</f>
        <v/>
      </c>
      <c r="BA536" s="52" t="str">
        <f aca="false">IF($A536&lt;&gt;"",$A536,"")</f>
        <v>Apprenant 524</v>
      </c>
      <c r="BB536" s="55" t="str">
        <f aca="false">IF(AND($AR536&lt;&gt;"",$AS536&lt;&gt;""),$AS536-$AR536,"")</f>
        <v/>
      </c>
      <c r="BC536" s="55" t="str">
        <f aca="false">IF(AND($AR536&lt;&gt;"",$AT536&lt;&gt;""),$AT536-$AR536,"")</f>
        <v/>
      </c>
      <c r="BD536" s="55" t="str">
        <f aca="false">IF(AND($AS536&lt;&gt;"",$AT536&lt;&gt;""),$AT536-$AS536,"")</f>
        <v/>
      </c>
      <c r="BE536" s="53" t="str">
        <f aca="false">IF($E536&lt;&gt;"",$E536,"")</f>
        <v/>
      </c>
      <c r="BF536" s="52" t="str">
        <f aca="false">IF($F536&lt;&gt;"",$F536,"")</f>
        <v>Apprenant 524 ou 524'</v>
      </c>
      <c r="BG536" s="55" t="str">
        <f aca="false">IF(AND($AW536&lt;&gt;"",$AX536&lt;&gt;""),$AX536-$AW536,"")</f>
        <v/>
      </c>
      <c r="BH536" s="55" t="str">
        <f aca="false">IF(AND($AW536&lt;&gt;"",$AY536&lt;&gt;""),$AY536-$AW536,"")</f>
        <v/>
      </c>
      <c r="BI536" s="55" t="str">
        <f aca="false">IF(AND($AX536&lt;&gt;"",$AY536&lt;&gt;""),$AY536-$AX536,"")</f>
        <v/>
      </c>
      <c r="BJ536" s="53" t="str">
        <f aca="false">IF($J536&lt;&gt;"",$J536,"")</f>
        <v/>
      </c>
      <c r="BL536" s="52"/>
      <c r="BM536" s="52" t="str">
        <f aca="false">IF(OR(COUNT(B536:D1535)=0,AND('Choix pédagogiques'!$C$3&lt;&gt;1,'Choix pédagogiques'!$C$3&lt;&gt;2)),"",IF(AND(OR('Choix pédagogiques'!$C$3=1,'Choix pédagogiques'!$C$3=2),$B536&lt;&gt;"",$C536&lt;&gt;"",$D536&lt;&gt;""),1,0))</f>
        <v/>
      </c>
      <c r="BN536" s="52" t="str">
        <f aca="false">IF(OR(COUNT(G536:I1535)=0,AND('Choix pédagogiques'!$C$3&lt;&gt;1,'Choix pédagogiques'!$C$3&lt;&gt;2)),"",IF(AND(OR('Choix pédagogiques'!$C$3=1,'Choix pédagogiques'!$C$3=2),AND($G536&lt;&gt;"",$H536&lt;&gt;"",$I536&lt;&gt;"")),1,0))</f>
        <v/>
      </c>
      <c r="BO536" s="52" t="str">
        <f aca="false">IF(OR(COUNT(B536:D1535)=0,COUNT(G536:I1535)=0,'Choix pédagogiques'!C$3&lt;&gt;3),"",IF(AND('Choix pédagogiques'!$C$3=3,$B536&lt;&gt;"",$C536&lt;&gt;"",$D536&lt;&gt;"",$G536&lt;&gt;"",$H536&lt;&gt;"",$I536&lt;&gt;""),1,0))</f>
        <v/>
      </c>
      <c r="BR536" s="52" t="n">
        <v>839</v>
      </c>
      <c r="BS536" s="52" t="n">
        <v>1122</v>
      </c>
    </row>
    <row r="537" s="54" customFormat="true" ht="18" hidden="false" customHeight="true" outlineLevel="0" collapsed="false">
      <c r="A537" s="57" t="s">
        <v>1005</v>
      </c>
      <c r="B537" s="51"/>
      <c r="C537" s="51"/>
      <c r="D537" s="51"/>
      <c r="E537" s="51"/>
      <c r="F537" s="57" t="s">
        <v>1006</v>
      </c>
      <c r="G537" s="51"/>
      <c r="H537" s="51"/>
      <c r="I537" s="51"/>
      <c r="J537" s="51"/>
      <c r="K537" s="52" t="str">
        <f aca="false">IF($A537&lt;&gt;"",$A537,"")</f>
        <v>Apprenant 525</v>
      </c>
      <c r="L537" s="53" t="str">
        <f aca="false">IF(AND($B537&lt;&gt;"",$C537&lt;&gt;""),$C537-$B537,"")</f>
        <v/>
      </c>
      <c r="M537" s="53" t="str">
        <f aca="false">IF(AND($B537&lt;&gt;"",$D537&lt;&gt;""),$D537-$B537,"")</f>
        <v/>
      </c>
      <c r="N537" s="53" t="str">
        <f aca="false">IF(AND($C537&lt;&gt;"",$D537&lt;&gt;""),$D537-$C537,"")</f>
        <v/>
      </c>
      <c r="O537" s="53" t="str">
        <f aca="false">IF($E537&lt;&gt;"",$E537,"")</f>
        <v/>
      </c>
      <c r="P537" s="52" t="str">
        <f aca="false">IF($F537&lt;&gt;"",$F537,"")</f>
        <v>Apprenant 525 ou 525'</v>
      </c>
      <c r="Q537" s="53" t="str">
        <f aca="false">IF(AND($G537&lt;&gt;"",$H537&lt;&gt;""),$H537-$G537,"")</f>
        <v/>
      </c>
      <c r="R537" s="53" t="str">
        <f aca="false">IF(AND($G537&lt;&gt;"",$I537&lt;&gt;""),$I537-$G537,"")</f>
        <v/>
      </c>
      <c r="S537" s="53" t="str">
        <f aca="false">IF(AND($H537&lt;&gt;"",$I537&lt;&gt;""),$I537-$H537,"")</f>
        <v/>
      </c>
      <c r="T537" s="53" t="str">
        <f aca="false">IF($J537&lt;&gt;"",$J537,"")</f>
        <v/>
      </c>
      <c r="V537" s="52" t="str">
        <f aca="false">IF($A537&lt;&gt;"",$A537,"")</f>
        <v>Apprenant 525</v>
      </c>
      <c r="W537" s="53" t="str">
        <f aca="false">IF(AND(OR('Choix pédagogiques'!$C$3=1,'Choix pédagogiques'!$C$3=2),$BM537=1),B537,IF(AND('Choix pédagogiques'!$C$3=3,$BO537=1),B537,""))</f>
        <v/>
      </c>
      <c r="X537" s="53" t="str">
        <f aca="false">IF(AND(OR('Choix pédagogiques'!$C$3=1,'Choix pédagogiques'!$C$3=2),$BM537=1),C537,IF(AND('Choix pédagogiques'!$C$3=3,$BO537=1),C537,""))</f>
        <v/>
      </c>
      <c r="Y537" s="53" t="str">
        <f aca="false">IF(AND(OR('Choix pédagogiques'!$C$3=1,'Choix pédagogiques'!$C$3=2),$BM537=1),D537,IF(AND('Choix pédagogiques'!$C$3=3,$BO537=1),D537,""))</f>
        <v/>
      </c>
      <c r="Z537" s="53" t="str">
        <f aca="false">IF($E537&lt;&gt;"",$E537,"")</f>
        <v/>
      </c>
      <c r="AA537" s="52" t="str">
        <f aca="false">IF($F537&lt;&gt;"",$F537,"")</f>
        <v>Apprenant 525 ou 525'</v>
      </c>
      <c r="AB537" s="53" t="str">
        <f aca="false">IF(AND(OR('Choix pédagogiques'!$C$3=1,'Choix pédagogiques'!$C$3=2),$BN537=1),G537,IF(AND('Choix pédagogiques'!$C$3=3,$BO537=1),G537,""))</f>
        <v/>
      </c>
      <c r="AC537" s="53" t="str">
        <f aca="false">IF(AND(OR('Choix pédagogiques'!$C$3=1,'Choix pédagogiques'!$C$3=2),$BN537=1),H537,IF(AND('Choix pédagogiques'!$C$3=3,$BO537=1),H537,""))</f>
        <v/>
      </c>
      <c r="AD537" s="53" t="str">
        <f aca="false">IF(AND(OR('Choix pédagogiques'!$C$3=1,'Choix pédagogiques'!$C$3=2),$BN537=1),I537,IF(AND('Choix pédagogiques'!$C$3=3,$BO537=1),I537,""))</f>
        <v/>
      </c>
      <c r="AE537" s="53" t="str">
        <f aca="false">IF($J537&lt;&gt;"",$J537,"")</f>
        <v/>
      </c>
      <c r="AF537" s="52" t="str">
        <f aca="false">IF($A537&lt;&gt;"",$A537,"")</f>
        <v>Apprenant 525</v>
      </c>
      <c r="AG537" s="53" t="str">
        <f aca="false">IF(AND($W537&lt;&gt;"",$X537&lt;&gt;""),$X537-$W537,"")</f>
        <v/>
      </c>
      <c r="AH537" s="53" t="str">
        <f aca="false">IF(AND($W537&lt;&gt;"",$Y537&lt;&gt;""),$Y537-$W537,"")</f>
        <v/>
      </c>
      <c r="AI537" s="53" t="str">
        <f aca="false">IF(AND($X537&lt;&gt;"",$Y537&lt;&gt;""),$Y537-$X537,"")</f>
        <v/>
      </c>
      <c r="AJ537" s="53" t="str">
        <f aca="false">IF($E537&lt;&gt;"",$E537,"")</f>
        <v/>
      </c>
      <c r="AK537" s="52" t="str">
        <f aca="false">IF($F537&lt;&gt;"",$F537,"")</f>
        <v>Apprenant 525 ou 525'</v>
      </c>
      <c r="AL537" s="53" t="str">
        <f aca="false">IF(AND($AB537&lt;&gt;"",$AC537&lt;&gt;""),$AC537-$AB537,"")</f>
        <v/>
      </c>
      <c r="AM537" s="53" t="str">
        <f aca="false">IF(AND($AB537&lt;&gt;"",$AD537&lt;&gt;""),$AD537-$AB537,"")</f>
        <v/>
      </c>
      <c r="AN537" s="53" t="str">
        <f aca="false">IF(AND($AC537&lt;&gt;"",$AD537&lt;&gt;""),$AD537-$AC537,"")</f>
        <v/>
      </c>
      <c r="AO537" s="53" t="str">
        <f aca="false">IF($J537&lt;&gt;"",$J537,"")</f>
        <v/>
      </c>
      <c r="AQ537" s="52" t="str">
        <f aca="false">IF($A537&lt;&gt;"",$A537,"")</f>
        <v>Apprenant 525</v>
      </c>
      <c r="AR537" s="55" t="str">
        <f aca="false">IF(AND('Choix pédagogiques'!$C$4&lt;&gt;"?",'Choix pédagogiques'!$C$5&lt;&gt;"?",W537&lt;&gt;""),(W537-'Choix pédagogiques'!$C$4)/('Choix pédagogiques'!$C$5-'Choix pédagogiques'!$C$4),"")</f>
        <v/>
      </c>
      <c r="AS537" s="55" t="str">
        <f aca="false">IF(AND('Choix pédagogiques'!$C$4&lt;&gt;"?",'Choix pédagogiques'!$C$5&lt;&gt;"?",X537&lt;&gt;""),(X537-'Choix pédagogiques'!$C$4)/('Choix pédagogiques'!$C$5-'Choix pédagogiques'!$C$4),"")</f>
        <v/>
      </c>
      <c r="AT537" s="55" t="str">
        <f aca="false">IF(AND('Choix pédagogiques'!$C$4&lt;&gt;"?",'Choix pédagogiques'!$C$5&lt;&gt;"?",Y537&lt;&gt;""),(Y537-'Choix pédagogiques'!$C$4)/('Choix pédagogiques'!$C$5-'Choix pédagogiques'!$C$4),"")</f>
        <v/>
      </c>
      <c r="AU537" s="53" t="str">
        <f aca="false">IF($E537&lt;&gt;"",$E537,"")</f>
        <v/>
      </c>
      <c r="AV537" s="52" t="str">
        <f aca="false">IF($F537&lt;&gt;"",$F537,"")</f>
        <v>Apprenant 525 ou 525'</v>
      </c>
      <c r="AW537" s="55" t="str">
        <f aca="false">IF(AND('Choix pédagogiques'!$C$4&lt;&gt;"?",'Choix pédagogiques'!$C$5&lt;&gt;"?",AB537&lt;&gt;""),(AB537-'Choix pédagogiques'!$C$4)/('Choix pédagogiques'!$C$5-'Choix pédagogiques'!$C$4),"")</f>
        <v/>
      </c>
      <c r="AX537" s="55" t="str">
        <f aca="false">IF(AND('Choix pédagogiques'!$C$4&lt;&gt;"?",'Choix pédagogiques'!$C$5&lt;&gt;"?",AC537&lt;&gt;""),(AC537-'Choix pédagogiques'!$C$4)/('Choix pédagogiques'!$C$5-'Choix pédagogiques'!$C$4),"")</f>
        <v/>
      </c>
      <c r="AY537" s="55" t="str">
        <f aca="false">IF(AND('Choix pédagogiques'!$C$4&lt;&gt;"?",'Choix pédagogiques'!$C$5&lt;&gt;"?",AD537&lt;&gt;""),(AD537-'Choix pédagogiques'!$C$4)/('Choix pédagogiques'!$C$5-'Choix pédagogiques'!$C$4),"")</f>
        <v/>
      </c>
      <c r="AZ537" s="53" t="str">
        <f aca="false">IF($J537&lt;&gt;"",$J537,"")</f>
        <v/>
      </c>
      <c r="BA537" s="52" t="str">
        <f aca="false">IF($A537&lt;&gt;"",$A537,"")</f>
        <v>Apprenant 525</v>
      </c>
      <c r="BB537" s="55" t="str">
        <f aca="false">IF(AND($AR537&lt;&gt;"",$AS537&lt;&gt;""),$AS537-$AR537,"")</f>
        <v/>
      </c>
      <c r="BC537" s="55" t="str">
        <f aca="false">IF(AND($AR537&lt;&gt;"",$AT537&lt;&gt;""),$AT537-$AR537,"")</f>
        <v/>
      </c>
      <c r="BD537" s="55" t="str">
        <f aca="false">IF(AND($AS537&lt;&gt;"",$AT537&lt;&gt;""),$AT537-$AS537,"")</f>
        <v/>
      </c>
      <c r="BE537" s="53" t="str">
        <f aca="false">IF($E537&lt;&gt;"",$E537,"")</f>
        <v/>
      </c>
      <c r="BF537" s="52" t="str">
        <f aca="false">IF($F537&lt;&gt;"",$F537,"")</f>
        <v>Apprenant 525 ou 525'</v>
      </c>
      <c r="BG537" s="55" t="str">
        <f aca="false">IF(AND($AW537&lt;&gt;"",$AX537&lt;&gt;""),$AX537-$AW537,"")</f>
        <v/>
      </c>
      <c r="BH537" s="55" t="str">
        <f aca="false">IF(AND($AW537&lt;&gt;"",$AY537&lt;&gt;""),$AY537-$AW537,"")</f>
        <v/>
      </c>
      <c r="BI537" s="55" t="str">
        <f aca="false">IF(AND($AX537&lt;&gt;"",$AY537&lt;&gt;""),$AY537-$AX537,"")</f>
        <v/>
      </c>
      <c r="BJ537" s="53" t="str">
        <f aca="false">IF($J537&lt;&gt;"",$J537,"")</f>
        <v/>
      </c>
      <c r="BL537" s="52"/>
      <c r="BM537" s="52" t="str">
        <f aca="false">IF(OR(COUNT(B537:D1536)=0,AND('Choix pédagogiques'!$C$3&lt;&gt;1,'Choix pédagogiques'!$C$3&lt;&gt;2)),"",IF(AND(OR('Choix pédagogiques'!$C$3=1,'Choix pédagogiques'!$C$3=2),$B537&lt;&gt;"",$C537&lt;&gt;"",$D537&lt;&gt;""),1,0))</f>
        <v/>
      </c>
      <c r="BN537" s="52" t="str">
        <f aca="false">IF(OR(COUNT(G537:I1536)=0,AND('Choix pédagogiques'!$C$3&lt;&gt;1,'Choix pédagogiques'!$C$3&lt;&gt;2)),"",IF(AND(OR('Choix pédagogiques'!$C$3=1,'Choix pédagogiques'!$C$3=2),AND($G537&lt;&gt;"",$H537&lt;&gt;"",$I537&lt;&gt;"")),1,0))</f>
        <v/>
      </c>
      <c r="BO537" s="52" t="str">
        <f aca="false">IF(OR(COUNT(B537:D1536)=0,COUNT(G537:I1536)=0,'Choix pédagogiques'!C$3&lt;&gt;3),"",IF(AND('Choix pédagogiques'!$C$3=3,$B537&lt;&gt;"",$C537&lt;&gt;"",$D537&lt;&gt;"",$G537&lt;&gt;"",$H537&lt;&gt;"",$I537&lt;&gt;""),1,0))</f>
        <v/>
      </c>
      <c r="BR537" s="52" t="n">
        <v>793</v>
      </c>
      <c r="BS537" s="52" t="n">
        <v>1691</v>
      </c>
    </row>
    <row r="538" s="54" customFormat="true" ht="18" hidden="false" customHeight="true" outlineLevel="0" collapsed="false">
      <c r="A538" s="57" t="s">
        <v>1007</v>
      </c>
      <c r="B538" s="51"/>
      <c r="C538" s="51"/>
      <c r="D538" s="51"/>
      <c r="E538" s="51"/>
      <c r="F538" s="57" t="s">
        <v>1008</v>
      </c>
      <c r="G538" s="51"/>
      <c r="H538" s="51"/>
      <c r="I538" s="51"/>
      <c r="J538" s="51"/>
      <c r="K538" s="52" t="str">
        <f aca="false">IF($A538&lt;&gt;"",$A538,"")</f>
        <v>Apprenant 526</v>
      </c>
      <c r="L538" s="53" t="str">
        <f aca="false">IF(AND($B538&lt;&gt;"",$C538&lt;&gt;""),$C538-$B538,"")</f>
        <v/>
      </c>
      <c r="M538" s="53" t="str">
        <f aca="false">IF(AND($B538&lt;&gt;"",$D538&lt;&gt;""),$D538-$B538,"")</f>
        <v/>
      </c>
      <c r="N538" s="53" t="str">
        <f aca="false">IF(AND($C538&lt;&gt;"",$D538&lt;&gt;""),$D538-$C538,"")</f>
        <v/>
      </c>
      <c r="O538" s="53" t="str">
        <f aca="false">IF($E538&lt;&gt;"",$E538,"")</f>
        <v/>
      </c>
      <c r="P538" s="52" t="str">
        <f aca="false">IF($F538&lt;&gt;"",$F538,"")</f>
        <v>Apprenant 526 ou 526'</v>
      </c>
      <c r="Q538" s="53" t="str">
        <f aca="false">IF(AND($G538&lt;&gt;"",$H538&lt;&gt;""),$H538-$G538,"")</f>
        <v/>
      </c>
      <c r="R538" s="53" t="str">
        <f aca="false">IF(AND($G538&lt;&gt;"",$I538&lt;&gt;""),$I538-$G538,"")</f>
        <v/>
      </c>
      <c r="S538" s="53" t="str">
        <f aca="false">IF(AND($H538&lt;&gt;"",$I538&lt;&gt;""),$I538-$H538,"")</f>
        <v/>
      </c>
      <c r="T538" s="53" t="str">
        <f aca="false">IF($J538&lt;&gt;"",$J538,"")</f>
        <v/>
      </c>
      <c r="V538" s="52" t="str">
        <f aca="false">IF($A538&lt;&gt;"",$A538,"")</f>
        <v>Apprenant 526</v>
      </c>
      <c r="W538" s="53" t="str">
        <f aca="false">IF(AND(OR('Choix pédagogiques'!$C$3=1,'Choix pédagogiques'!$C$3=2),$BM538=1),B538,IF(AND('Choix pédagogiques'!$C$3=3,$BO538=1),B538,""))</f>
        <v/>
      </c>
      <c r="X538" s="53" t="str">
        <f aca="false">IF(AND(OR('Choix pédagogiques'!$C$3=1,'Choix pédagogiques'!$C$3=2),$BM538=1),C538,IF(AND('Choix pédagogiques'!$C$3=3,$BO538=1),C538,""))</f>
        <v/>
      </c>
      <c r="Y538" s="53" t="str">
        <f aca="false">IF(AND(OR('Choix pédagogiques'!$C$3=1,'Choix pédagogiques'!$C$3=2),$BM538=1),D538,IF(AND('Choix pédagogiques'!$C$3=3,$BO538=1),D538,""))</f>
        <v/>
      </c>
      <c r="Z538" s="53" t="str">
        <f aca="false">IF($E538&lt;&gt;"",$E538,"")</f>
        <v/>
      </c>
      <c r="AA538" s="52" t="str">
        <f aca="false">IF($F538&lt;&gt;"",$F538,"")</f>
        <v>Apprenant 526 ou 526'</v>
      </c>
      <c r="AB538" s="53" t="str">
        <f aca="false">IF(AND(OR('Choix pédagogiques'!$C$3=1,'Choix pédagogiques'!$C$3=2),$BN538=1),G538,IF(AND('Choix pédagogiques'!$C$3=3,$BO538=1),G538,""))</f>
        <v/>
      </c>
      <c r="AC538" s="53" t="str">
        <f aca="false">IF(AND(OR('Choix pédagogiques'!$C$3=1,'Choix pédagogiques'!$C$3=2),$BN538=1),H538,IF(AND('Choix pédagogiques'!$C$3=3,$BO538=1),H538,""))</f>
        <v/>
      </c>
      <c r="AD538" s="53" t="str">
        <f aca="false">IF(AND(OR('Choix pédagogiques'!$C$3=1,'Choix pédagogiques'!$C$3=2),$BN538=1),I538,IF(AND('Choix pédagogiques'!$C$3=3,$BO538=1),I538,""))</f>
        <v/>
      </c>
      <c r="AE538" s="53" t="str">
        <f aca="false">IF($J538&lt;&gt;"",$J538,"")</f>
        <v/>
      </c>
      <c r="AF538" s="52" t="str">
        <f aca="false">IF($A538&lt;&gt;"",$A538,"")</f>
        <v>Apprenant 526</v>
      </c>
      <c r="AG538" s="53" t="str">
        <f aca="false">IF(AND($W538&lt;&gt;"",$X538&lt;&gt;""),$X538-$W538,"")</f>
        <v/>
      </c>
      <c r="AH538" s="53" t="str">
        <f aca="false">IF(AND($W538&lt;&gt;"",$Y538&lt;&gt;""),$Y538-$W538,"")</f>
        <v/>
      </c>
      <c r="AI538" s="53" t="str">
        <f aca="false">IF(AND($X538&lt;&gt;"",$Y538&lt;&gt;""),$Y538-$X538,"")</f>
        <v/>
      </c>
      <c r="AJ538" s="53" t="str">
        <f aca="false">IF($E538&lt;&gt;"",$E538,"")</f>
        <v/>
      </c>
      <c r="AK538" s="52" t="str">
        <f aca="false">IF($F538&lt;&gt;"",$F538,"")</f>
        <v>Apprenant 526 ou 526'</v>
      </c>
      <c r="AL538" s="53" t="str">
        <f aca="false">IF(AND($AB538&lt;&gt;"",$AC538&lt;&gt;""),$AC538-$AB538,"")</f>
        <v/>
      </c>
      <c r="AM538" s="53" t="str">
        <f aca="false">IF(AND($AB538&lt;&gt;"",$AD538&lt;&gt;""),$AD538-$AB538,"")</f>
        <v/>
      </c>
      <c r="AN538" s="53" t="str">
        <f aca="false">IF(AND($AC538&lt;&gt;"",$AD538&lt;&gt;""),$AD538-$AC538,"")</f>
        <v/>
      </c>
      <c r="AO538" s="53" t="str">
        <f aca="false">IF($J538&lt;&gt;"",$J538,"")</f>
        <v/>
      </c>
      <c r="AQ538" s="52" t="str">
        <f aca="false">IF($A538&lt;&gt;"",$A538,"")</f>
        <v>Apprenant 526</v>
      </c>
      <c r="AR538" s="55" t="str">
        <f aca="false">IF(AND('Choix pédagogiques'!$C$4&lt;&gt;"?",'Choix pédagogiques'!$C$5&lt;&gt;"?",W538&lt;&gt;""),(W538-'Choix pédagogiques'!$C$4)/('Choix pédagogiques'!$C$5-'Choix pédagogiques'!$C$4),"")</f>
        <v/>
      </c>
      <c r="AS538" s="55" t="str">
        <f aca="false">IF(AND('Choix pédagogiques'!$C$4&lt;&gt;"?",'Choix pédagogiques'!$C$5&lt;&gt;"?",X538&lt;&gt;""),(X538-'Choix pédagogiques'!$C$4)/('Choix pédagogiques'!$C$5-'Choix pédagogiques'!$C$4),"")</f>
        <v/>
      </c>
      <c r="AT538" s="55" t="str">
        <f aca="false">IF(AND('Choix pédagogiques'!$C$4&lt;&gt;"?",'Choix pédagogiques'!$C$5&lt;&gt;"?",Y538&lt;&gt;""),(Y538-'Choix pédagogiques'!$C$4)/('Choix pédagogiques'!$C$5-'Choix pédagogiques'!$C$4),"")</f>
        <v/>
      </c>
      <c r="AU538" s="53" t="str">
        <f aca="false">IF($E538&lt;&gt;"",$E538,"")</f>
        <v/>
      </c>
      <c r="AV538" s="52" t="str">
        <f aca="false">IF($F538&lt;&gt;"",$F538,"")</f>
        <v>Apprenant 526 ou 526'</v>
      </c>
      <c r="AW538" s="55" t="str">
        <f aca="false">IF(AND('Choix pédagogiques'!$C$4&lt;&gt;"?",'Choix pédagogiques'!$C$5&lt;&gt;"?",AB538&lt;&gt;""),(AB538-'Choix pédagogiques'!$C$4)/('Choix pédagogiques'!$C$5-'Choix pédagogiques'!$C$4),"")</f>
        <v/>
      </c>
      <c r="AX538" s="55" t="str">
        <f aca="false">IF(AND('Choix pédagogiques'!$C$4&lt;&gt;"?",'Choix pédagogiques'!$C$5&lt;&gt;"?",AC538&lt;&gt;""),(AC538-'Choix pédagogiques'!$C$4)/('Choix pédagogiques'!$C$5-'Choix pédagogiques'!$C$4),"")</f>
        <v/>
      </c>
      <c r="AY538" s="55" t="str">
        <f aca="false">IF(AND('Choix pédagogiques'!$C$4&lt;&gt;"?",'Choix pédagogiques'!$C$5&lt;&gt;"?",AD538&lt;&gt;""),(AD538-'Choix pédagogiques'!$C$4)/('Choix pédagogiques'!$C$5-'Choix pédagogiques'!$C$4),"")</f>
        <v/>
      </c>
      <c r="AZ538" s="53" t="str">
        <f aca="false">IF($J538&lt;&gt;"",$J538,"")</f>
        <v/>
      </c>
      <c r="BA538" s="52" t="str">
        <f aca="false">IF($A538&lt;&gt;"",$A538,"")</f>
        <v>Apprenant 526</v>
      </c>
      <c r="BB538" s="55" t="str">
        <f aca="false">IF(AND($AR538&lt;&gt;"",$AS538&lt;&gt;""),$AS538-$AR538,"")</f>
        <v/>
      </c>
      <c r="BC538" s="55" t="str">
        <f aca="false">IF(AND($AR538&lt;&gt;"",$AT538&lt;&gt;""),$AT538-$AR538,"")</f>
        <v/>
      </c>
      <c r="BD538" s="55" t="str">
        <f aca="false">IF(AND($AS538&lt;&gt;"",$AT538&lt;&gt;""),$AT538-$AS538,"")</f>
        <v/>
      </c>
      <c r="BE538" s="53" t="str">
        <f aca="false">IF($E538&lt;&gt;"",$E538,"")</f>
        <v/>
      </c>
      <c r="BF538" s="52" t="str">
        <f aca="false">IF($F538&lt;&gt;"",$F538,"")</f>
        <v>Apprenant 526 ou 526'</v>
      </c>
      <c r="BG538" s="55" t="str">
        <f aca="false">IF(AND($AW538&lt;&gt;"",$AX538&lt;&gt;""),$AX538-$AW538,"")</f>
        <v/>
      </c>
      <c r="BH538" s="55" t="str">
        <f aca="false">IF(AND($AW538&lt;&gt;"",$AY538&lt;&gt;""),$AY538-$AW538,"")</f>
        <v/>
      </c>
      <c r="BI538" s="55" t="str">
        <f aca="false">IF(AND($AX538&lt;&gt;"",$AY538&lt;&gt;""),$AY538-$AX538,"")</f>
        <v/>
      </c>
      <c r="BJ538" s="53" t="str">
        <f aca="false">IF($J538&lt;&gt;"",$J538,"")</f>
        <v/>
      </c>
      <c r="BL538" s="52"/>
      <c r="BM538" s="52" t="str">
        <f aca="false">IF(OR(COUNT(B538:D1537)=0,AND('Choix pédagogiques'!$C$3&lt;&gt;1,'Choix pédagogiques'!$C$3&lt;&gt;2)),"",IF(AND(OR('Choix pédagogiques'!$C$3=1,'Choix pédagogiques'!$C$3=2),$B538&lt;&gt;"",$C538&lt;&gt;"",$D538&lt;&gt;""),1,0))</f>
        <v/>
      </c>
      <c r="BN538" s="52" t="str">
        <f aca="false">IF(OR(COUNT(G538:I1537)=0,AND('Choix pédagogiques'!$C$3&lt;&gt;1,'Choix pédagogiques'!$C$3&lt;&gt;2)),"",IF(AND(OR('Choix pédagogiques'!$C$3=1,'Choix pédagogiques'!$C$3=2),AND($G538&lt;&gt;"",$H538&lt;&gt;"",$I538&lt;&gt;"")),1,0))</f>
        <v/>
      </c>
      <c r="BO538" s="52" t="str">
        <f aca="false">IF(OR(COUNT(B538:D1537)=0,COUNT(G538:I1537)=0,'Choix pédagogiques'!C$3&lt;&gt;3),"",IF(AND('Choix pédagogiques'!$C$3=3,$B538&lt;&gt;"",$C538&lt;&gt;"",$D538&lt;&gt;"",$G538&lt;&gt;"",$H538&lt;&gt;"",$I538&lt;&gt;""),1,0))</f>
        <v/>
      </c>
      <c r="BR538" s="52" t="n">
        <v>335</v>
      </c>
      <c r="BS538" s="52" t="n">
        <v>1137</v>
      </c>
    </row>
    <row r="539" s="54" customFormat="true" ht="18" hidden="false" customHeight="true" outlineLevel="0" collapsed="false">
      <c r="A539" s="57" t="s">
        <v>1009</v>
      </c>
      <c r="B539" s="51"/>
      <c r="C539" s="51"/>
      <c r="D539" s="51"/>
      <c r="E539" s="51"/>
      <c r="F539" s="57" t="s">
        <v>1010</v>
      </c>
      <c r="G539" s="51"/>
      <c r="H539" s="51"/>
      <c r="I539" s="51"/>
      <c r="J539" s="51"/>
      <c r="K539" s="52" t="str">
        <f aca="false">IF($A539&lt;&gt;"",$A539,"")</f>
        <v>Apprenant 527</v>
      </c>
      <c r="L539" s="53" t="str">
        <f aca="false">IF(AND($B539&lt;&gt;"",$C539&lt;&gt;""),$C539-$B539,"")</f>
        <v/>
      </c>
      <c r="M539" s="53" t="str">
        <f aca="false">IF(AND($B539&lt;&gt;"",$D539&lt;&gt;""),$D539-$B539,"")</f>
        <v/>
      </c>
      <c r="N539" s="53" t="str">
        <f aca="false">IF(AND($C539&lt;&gt;"",$D539&lt;&gt;""),$D539-$C539,"")</f>
        <v/>
      </c>
      <c r="O539" s="53" t="str">
        <f aca="false">IF($E539&lt;&gt;"",$E539,"")</f>
        <v/>
      </c>
      <c r="P539" s="52" t="str">
        <f aca="false">IF($F539&lt;&gt;"",$F539,"")</f>
        <v>Apprenant 527 ou 527'</v>
      </c>
      <c r="Q539" s="53" t="str">
        <f aca="false">IF(AND($G539&lt;&gt;"",$H539&lt;&gt;""),$H539-$G539,"")</f>
        <v/>
      </c>
      <c r="R539" s="53" t="str">
        <f aca="false">IF(AND($G539&lt;&gt;"",$I539&lt;&gt;""),$I539-$G539,"")</f>
        <v/>
      </c>
      <c r="S539" s="53" t="str">
        <f aca="false">IF(AND($H539&lt;&gt;"",$I539&lt;&gt;""),$I539-$H539,"")</f>
        <v/>
      </c>
      <c r="T539" s="53" t="str">
        <f aca="false">IF($J539&lt;&gt;"",$J539,"")</f>
        <v/>
      </c>
      <c r="V539" s="52" t="str">
        <f aca="false">IF($A539&lt;&gt;"",$A539,"")</f>
        <v>Apprenant 527</v>
      </c>
      <c r="W539" s="53" t="str">
        <f aca="false">IF(AND(OR('Choix pédagogiques'!$C$3=1,'Choix pédagogiques'!$C$3=2),$BM539=1),B539,IF(AND('Choix pédagogiques'!$C$3=3,$BO539=1),B539,""))</f>
        <v/>
      </c>
      <c r="X539" s="53" t="str">
        <f aca="false">IF(AND(OR('Choix pédagogiques'!$C$3=1,'Choix pédagogiques'!$C$3=2),$BM539=1),C539,IF(AND('Choix pédagogiques'!$C$3=3,$BO539=1),C539,""))</f>
        <v/>
      </c>
      <c r="Y539" s="53" t="str">
        <f aca="false">IF(AND(OR('Choix pédagogiques'!$C$3=1,'Choix pédagogiques'!$C$3=2),$BM539=1),D539,IF(AND('Choix pédagogiques'!$C$3=3,$BO539=1),D539,""))</f>
        <v/>
      </c>
      <c r="Z539" s="53" t="str">
        <f aca="false">IF($E539&lt;&gt;"",$E539,"")</f>
        <v/>
      </c>
      <c r="AA539" s="52" t="str">
        <f aca="false">IF($F539&lt;&gt;"",$F539,"")</f>
        <v>Apprenant 527 ou 527'</v>
      </c>
      <c r="AB539" s="53" t="str">
        <f aca="false">IF(AND(OR('Choix pédagogiques'!$C$3=1,'Choix pédagogiques'!$C$3=2),$BN539=1),G539,IF(AND('Choix pédagogiques'!$C$3=3,$BO539=1),G539,""))</f>
        <v/>
      </c>
      <c r="AC539" s="53" t="str">
        <f aca="false">IF(AND(OR('Choix pédagogiques'!$C$3=1,'Choix pédagogiques'!$C$3=2),$BN539=1),H539,IF(AND('Choix pédagogiques'!$C$3=3,$BO539=1),H539,""))</f>
        <v/>
      </c>
      <c r="AD539" s="53" t="str">
        <f aca="false">IF(AND(OR('Choix pédagogiques'!$C$3=1,'Choix pédagogiques'!$C$3=2),$BN539=1),I539,IF(AND('Choix pédagogiques'!$C$3=3,$BO539=1),I539,""))</f>
        <v/>
      </c>
      <c r="AE539" s="53" t="str">
        <f aca="false">IF($J539&lt;&gt;"",$J539,"")</f>
        <v/>
      </c>
      <c r="AF539" s="52" t="str">
        <f aca="false">IF($A539&lt;&gt;"",$A539,"")</f>
        <v>Apprenant 527</v>
      </c>
      <c r="AG539" s="53" t="str">
        <f aca="false">IF(AND($W539&lt;&gt;"",$X539&lt;&gt;""),$X539-$W539,"")</f>
        <v/>
      </c>
      <c r="AH539" s="53" t="str">
        <f aca="false">IF(AND($W539&lt;&gt;"",$Y539&lt;&gt;""),$Y539-$W539,"")</f>
        <v/>
      </c>
      <c r="AI539" s="53" t="str">
        <f aca="false">IF(AND($X539&lt;&gt;"",$Y539&lt;&gt;""),$Y539-$X539,"")</f>
        <v/>
      </c>
      <c r="AJ539" s="53" t="str">
        <f aca="false">IF($E539&lt;&gt;"",$E539,"")</f>
        <v/>
      </c>
      <c r="AK539" s="52" t="str">
        <f aca="false">IF($F539&lt;&gt;"",$F539,"")</f>
        <v>Apprenant 527 ou 527'</v>
      </c>
      <c r="AL539" s="53" t="str">
        <f aca="false">IF(AND($AB539&lt;&gt;"",$AC539&lt;&gt;""),$AC539-$AB539,"")</f>
        <v/>
      </c>
      <c r="AM539" s="53" t="str">
        <f aca="false">IF(AND($AB539&lt;&gt;"",$AD539&lt;&gt;""),$AD539-$AB539,"")</f>
        <v/>
      </c>
      <c r="AN539" s="53" t="str">
        <f aca="false">IF(AND($AC539&lt;&gt;"",$AD539&lt;&gt;""),$AD539-$AC539,"")</f>
        <v/>
      </c>
      <c r="AO539" s="53" t="str">
        <f aca="false">IF($J539&lt;&gt;"",$J539,"")</f>
        <v/>
      </c>
      <c r="AQ539" s="52" t="str">
        <f aca="false">IF($A539&lt;&gt;"",$A539,"")</f>
        <v>Apprenant 527</v>
      </c>
      <c r="AR539" s="55" t="str">
        <f aca="false">IF(AND('Choix pédagogiques'!$C$4&lt;&gt;"?",'Choix pédagogiques'!$C$5&lt;&gt;"?",W539&lt;&gt;""),(W539-'Choix pédagogiques'!$C$4)/('Choix pédagogiques'!$C$5-'Choix pédagogiques'!$C$4),"")</f>
        <v/>
      </c>
      <c r="AS539" s="55" t="str">
        <f aca="false">IF(AND('Choix pédagogiques'!$C$4&lt;&gt;"?",'Choix pédagogiques'!$C$5&lt;&gt;"?",X539&lt;&gt;""),(X539-'Choix pédagogiques'!$C$4)/('Choix pédagogiques'!$C$5-'Choix pédagogiques'!$C$4),"")</f>
        <v/>
      </c>
      <c r="AT539" s="55" t="str">
        <f aca="false">IF(AND('Choix pédagogiques'!$C$4&lt;&gt;"?",'Choix pédagogiques'!$C$5&lt;&gt;"?",Y539&lt;&gt;""),(Y539-'Choix pédagogiques'!$C$4)/('Choix pédagogiques'!$C$5-'Choix pédagogiques'!$C$4),"")</f>
        <v/>
      </c>
      <c r="AU539" s="53" t="str">
        <f aca="false">IF($E539&lt;&gt;"",$E539,"")</f>
        <v/>
      </c>
      <c r="AV539" s="52" t="str">
        <f aca="false">IF($F539&lt;&gt;"",$F539,"")</f>
        <v>Apprenant 527 ou 527'</v>
      </c>
      <c r="AW539" s="55" t="str">
        <f aca="false">IF(AND('Choix pédagogiques'!$C$4&lt;&gt;"?",'Choix pédagogiques'!$C$5&lt;&gt;"?",AB539&lt;&gt;""),(AB539-'Choix pédagogiques'!$C$4)/('Choix pédagogiques'!$C$5-'Choix pédagogiques'!$C$4),"")</f>
        <v/>
      </c>
      <c r="AX539" s="55" t="str">
        <f aca="false">IF(AND('Choix pédagogiques'!$C$4&lt;&gt;"?",'Choix pédagogiques'!$C$5&lt;&gt;"?",AC539&lt;&gt;""),(AC539-'Choix pédagogiques'!$C$4)/('Choix pédagogiques'!$C$5-'Choix pédagogiques'!$C$4),"")</f>
        <v/>
      </c>
      <c r="AY539" s="55" t="str">
        <f aca="false">IF(AND('Choix pédagogiques'!$C$4&lt;&gt;"?",'Choix pédagogiques'!$C$5&lt;&gt;"?",AD539&lt;&gt;""),(AD539-'Choix pédagogiques'!$C$4)/('Choix pédagogiques'!$C$5-'Choix pédagogiques'!$C$4),"")</f>
        <v/>
      </c>
      <c r="AZ539" s="53" t="str">
        <f aca="false">IF($J539&lt;&gt;"",$J539,"")</f>
        <v/>
      </c>
      <c r="BA539" s="52" t="str">
        <f aca="false">IF($A539&lt;&gt;"",$A539,"")</f>
        <v>Apprenant 527</v>
      </c>
      <c r="BB539" s="55" t="str">
        <f aca="false">IF(AND($AR539&lt;&gt;"",$AS539&lt;&gt;""),$AS539-$AR539,"")</f>
        <v/>
      </c>
      <c r="BC539" s="55" t="str">
        <f aca="false">IF(AND($AR539&lt;&gt;"",$AT539&lt;&gt;""),$AT539-$AR539,"")</f>
        <v/>
      </c>
      <c r="BD539" s="55" t="str">
        <f aca="false">IF(AND($AS539&lt;&gt;"",$AT539&lt;&gt;""),$AT539-$AS539,"")</f>
        <v/>
      </c>
      <c r="BE539" s="53" t="str">
        <f aca="false">IF($E539&lt;&gt;"",$E539,"")</f>
        <v/>
      </c>
      <c r="BF539" s="52" t="str">
        <f aca="false">IF($F539&lt;&gt;"",$F539,"")</f>
        <v>Apprenant 527 ou 527'</v>
      </c>
      <c r="BG539" s="55" t="str">
        <f aca="false">IF(AND($AW539&lt;&gt;"",$AX539&lt;&gt;""),$AX539-$AW539,"")</f>
        <v/>
      </c>
      <c r="BH539" s="55" t="str">
        <f aca="false">IF(AND($AW539&lt;&gt;"",$AY539&lt;&gt;""),$AY539-$AW539,"")</f>
        <v/>
      </c>
      <c r="BI539" s="55" t="str">
        <f aca="false">IF(AND($AX539&lt;&gt;"",$AY539&lt;&gt;""),$AY539-$AX539,"")</f>
        <v/>
      </c>
      <c r="BJ539" s="53" t="str">
        <f aca="false">IF($J539&lt;&gt;"",$J539,"")</f>
        <v/>
      </c>
      <c r="BL539" s="52"/>
      <c r="BM539" s="52" t="str">
        <f aca="false">IF(OR(COUNT(B539:D1538)=0,AND('Choix pédagogiques'!$C$3&lt;&gt;1,'Choix pédagogiques'!$C$3&lt;&gt;2)),"",IF(AND(OR('Choix pédagogiques'!$C$3=1,'Choix pédagogiques'!$C$3=2),$B539&lt;&gt;"",$C539&lt;&gt;"",$D539&lt;&gt;""),1,0))</f>
        <v/>
      </c>
      <c r="BN539" s="52" t="str">
        <f aca="false">IF(OR(COUNT(G539:I1538)=0,AND('Choix pédagogiques'!$C$3&lt;&gt;1,'Choix pédagogiques'!$C$3&lt;&gt;2)),"",IF(AND(OR('Choix pédagogiques'!$C$3=1,'Choix pédagogiques'!$C$3=2),AND($G539&lt;&gt;"",$H539&lt;&gt;"",$I539&lt;&gt;"")),1,0))</f>
        <v/>
      </c>
      <c r="BO539" s="52" t="str">
        <f aca="false">IF(OR(COUNT(B539:D1538)=0,COUNT(G539:I1538)=0,'Choix pédagogiques'!C$3&lt;&gt;3),"",IF(AND('Choix pédagogiques'!$C$3=3,$B539&lt;&gt;"",$C539&lt;&gt;"",$D539&lt;&gt;"",$G539&lt;&gt;"",$H539&lt;&gt;"",$I539&lt;&gt;""),1,0))</f>
        <v/>
      </c>
      <c r="BR539" s="52" t="n">
        <v>986</v>
      </c>
      <c r="BS539" s="52" t="n">
        <v>1679</v>
      </c>
    </row>
    <row r="540" s="54" customFormat="true" ht="18" hidden="false" customHeight="true" outlineLevel="0" collapsed="false">
      <c r="A540" s="57" t="s">
        <v>1011</v>
      </c>
      <c r="B540" s="51"/>
      <c r="C540" s="51"/>
      <c r="D540" s="51"/>
      <c r="E540" s="51"/>
      <c r="F540" s="57" t="s">
        <v>1012</v>
      </c>
      <c r="G540" s="51"/>
      <c r="H540" s="51"/>
      <c r="I540" s="51"/>
      <c r="J540" s="51"/>
      <c r="K540" s="52" t="str">
        <f aca="false">IF($A540&lt;&gt;"",$A540,"")</f>
        <v>Apprenant 528</v>
      </c>
      <c r="L540" s="53" t="str">
        <f aca="false">IF(AND($B540&lt;&gt;"",$C540&lt;&gt;""),$C540-$B540,"")</f>
        <v/>
      </c>
      <c r="M540" s="53" t="str">
        <f aca="false">IF(AND($B540&lt;&gt;"",$D540&lt;&gt;""),$D540-$B540,"")</f>
        <v/>
      </c>
      <c r="N540" s="53" t="str">
        <f aca="false">IF(AND($C540&lt;&gt;"",$D540&lt;&gt;""),$D540-$C540,"")</f>
        <v/>
      </c>
      <c r="O540" s="53" t="str">
        <f aca="false">IF($E540&lt;&gt;"",$E540,"")</f>
        <v/>
      </c>
      <c r="P540" s="52" t="str">
        <f aca="false">IF($F540&lt;&gt;"",$F540,"")</f>
        <v>Apprenant 528 ou 528'</v>
      </c>
      <c r="Q540" s="53" t="str">
        <f aca="false">IF(AND($G540&lt;&gt;"",$H540&lt;&gt;""),$H540-$G540,"")</f>
        <v/>
      </c>
      <c r="R540" s="53" t="str">
        <f aca="false">IF(AND($G540&lt;&gt;"",$I540&lt;&gt;""),$I540-$G540,"")</f>
        <v/>
      </c>
      <c r="S540" s="53" t="str">
        <f aca="false">IF(AND($H540&lt;&gt;"",$I540&lt;&gt;""),$I540-$H540,"")</f>
        <v/>
      </c>
      <c r="T540" s="53" t="str">
        <f aca="false">IF($J540&lt;&gt;"",$J540,"")</f>
        <v/>
      </c>
      <c r="V540" s="52" t="str">
        <f aca="false">IF($A540&lt;&gt;"",$A540,"")</f>
        <v>Apprenant 528</v>
      </c>
      <c r="W540" s="53" t="str">
        <f aca="false">IF(AND(OR('Choix pédagogiques'!$C$3=1,'Choix pédagogiques'!$C$3=2),$BM540=1),B540,IF(AND('Choix pédagogiques'!$C$3=3,$BO540=1),B540,""))</f>
        <v/>
      </c>
      <c r="X540" s="53" t="str">
        <f aca="false">IF(AND(OR('Choix pédagogiques'!$C$3=1,'Choix pédagogiques'!$C$3=2),$BM540=1),C540,IF(AND('Choix pédagogiques'!$C$3=3,$BO540=1),C540,""))</f>
        <v/>
      </c>
      <c r="Y540" s="53" t="str">
        <f aca="false">IF(AND(OR('Choix pédagogiques'!$C$3=1,'Choix pédagogiques'!$C$3=2),$BM540=1),D540,IF(AND('Choix pédagogiques'!$C$3=3,$BO540=1),D540,""))</f>
        <v/>
      </c>
      <c r="Z540" s="53" t="str">
        <f aca="false">IF($E540&lt;&gt;"",$E540,"")</f>
        <v/>
      </c>
      <c r="AA540" s="52" t="str">
        <f aca="false">IF($F540&lt;&gt;"",$F540,"")</f>
        <v>Apprenant 528 ou 528'</v>
      </c>
      <c r="AB540" s="53" t="str">
        <f aca="false">IF(AND(OR('Choix pédagogiques'!$C$3=1,'Choix pédagogiques'!$C$3=2),$BN540=1),G540,IF(AND('Choix pédagogiques'!$C$3=3,$BO540=1),G540,""))</f>
        <v/>
      </c>
      <c r="AC540" s="53" t="str">
        <f aca="false">IF(AND(OR('Choix pédagogiques'!$C$3=1,'Choix pédagogiques'!$C$3=2),$BN540=1),H540,IF(AND('Choix pédagogiques'!$C$3=3,$BO540=1),H540,""))</f>
        <v/>
      </c>
      <c r="AD540" s="53" t="str">
        <f aca="false">IF(AND(OR('Choix pédagogiques'!$C$3=1,'Choix pédagogiques'!$C$3=2),$BN540=1),I540,IF(AND('Choix pédagogiques'!$C$3=3,$BO540=1),I540,""))</f>
        <v/>
      </c>
      <c r="AE540" s="53" t="str">
        <f aca="false">IF($J540&lt;&gt;"",$J540,"")</f>
        <v/>
      </c>
      <c r="AF540" s="52" t="str">
        <f aca="false">IF($A540&lt;&gt;"",$A540,"")</f>
        <v>Apprenant 528</v>
      </c>
      <c r="AG540" s="53" t="str">
        <f aca="false">IF(AND($W540&lt;&gt;"",$X540&lt;&gt;""),$X540-$W540,"")</f>
        <v/>
      </c>
      <c r="AH540" s="53" t="str">
        <f aca="false">IF(AND($W540&lt;&gt;"",$Y540&lt;&gt;""),$Y540-$W540,"")</f>
        <v/>
      </c>
      <c r="AI540" s="53" t="str">
        <f aca="false">IF(AND($X540&lt;&gt;"",$Y540&lt;&gt;""),$Y540-$X540,"")</f>
        <v/>
      </c>
      <c r="AJ540" s="53" t="str">
        <f aca="false">IF($E540&lt;&gt;"",$E540,"")</f>
        <v/>
      </c>
      <c r="AK540" s="52" t="str">
        <f aca="false">IF($F540&lt;&gt;"",$F540,"")</f>
        <v>Apprenant 528 ou 528'</v>
      </c>
      <c r="AL540" s="53" t="str">
        <f aca="false">IF(AND($AB540&lt;&gt;"",$AC540&lt;&gt;""),$AC540-$AB540,"")</f>
        <v/>
      </c>
      <c r="AM540" s="53" t="str">
        <f aca="false">IF(AND($AB540&lt;&gt;"",$AD540&lt;&gt;""),$AD540-$AB540,"")</f>
        <v/>
      </c>
      <c r="AN540" s="53" t="str">
        <f aca="false">IF(AND($AC540&lt;&gt;"",$AD540&lt;&gt;""),$AD540-$AC540,"")</f>
        <v/>
      </c>
      <c r="AO540" s="53" t="str">
        <f aca="false">IF($J540&lt;&gt;"",$J540,"")</f>
        <v/>
      </c>
      <c r="AQ540" s="52" t="str">
        <f aca="false">IF($A540&lt;&gt;"",$A540,"")</f>
        <v>Apprenant 528</v>
      </c>
      <c r="AR540" s="55" t="str">
        <f aca="false">IF(AND('Choix pédagogiques'!$C$4&lt;&gt;"?",'Choix pédagogiques'!$C$5&lt;&gt;"?",W540&lt;&gt;""),(W540-'Choix pédagogiques'!$C$4)/('Choix pédagogiques'!$C$5-'Choix pédagogiques'!$C$4),"")</f>
        <v/>
      </c>
      <c r="AS540" s="55" t="str">
        <f aca="false">IF(AND('Choix pédagogiques'!$C$4&lt;&gt;"?",'Choix pédagogiques'!$C$5&lt;&gt;"?",X540&lt;&gt;""),(X540-'Choix pédagogiques'!$C$4)/('Choix pédagogiques'!$C$5-'Choix pédagogiques'!$C$4),"")</f>
        <v/>
      </c>
      <c r="AT540" s="55" t="str">
        <f aca="false">IF(AND('Choix pédagogiques'!$C$4&lt;&gt;"?",'Choix pédagogiques'!$C$5&lt;&gt;"?",Y540&lt;&gt;""),(Y540-'Choix pédagogiques'!$C$4)/('Choix pédagogiques'!$C$5-'Choix pédagogiques'!$C$4),"")</f>
        <v/>
      </c>
      <c r="AU540" s="53" t="str">
        <f aca="false">IF($E540&lt;&gt;"",$E540,"")</f>
        <v/>
      </c>
      <c r="AV540" s="52" t="str">
        <f aca="false">IF($F540&lt;&gt;"",$F540,"")</f>
        <v>Apprenant 528 ou 528'</v>
      </c>
      <c r="AW540" s="55" t="str">
        <f aca="false">IF(AND('Choix pédagogiques'!$C$4&lt;&gt;"?",'Choix pédagogiques'!$C$5&lt;&gt;"?",AB540&lt;&gt;""),(AB540-'Choix pédagogiques'!$C$4)/('Choix pédagogiques'!$C$5-'Choix pédagogiques'!$C$4),"")</f>
        <v/>
      </c>
      <c r="AX540" s="55" t="str">
        <f aca="false">IF(AND('Choix pédagogiques'!$C$4&lt;&gt;"?",'Choix pédagogiques'!$C$5&lt;&gt;"?",AC540&lt;&gt;""),(AC540-'Choix pédagogiques'!$C$4)/('Choix pédagogiques'!$C$5-'Choix pédagogiques'!$C$4),"")</f>
        <v/>
      </c>
      <c r="AY540" s="55" t="str">
        <f aca="false">IF(AND('Choix pédagogiques'!$C$4&lt;&gt;"?",'Choix pédagogiques'!$C$5&lt;&gt;"?",AD540&lt;&gt;""),(AD540-'Choix pédagogiques'!$C$4)/('Choix pédagogiques'!$C$5-'Choix pédagogiques'!$C$4),"")</f>
        <v/>
      </c>
      <c r="AZ540" s="53" t="str">
        <f aca="false">IF($J540&lt;&gt;"",$J540,"")</f>
        <v/>
      </c>
      <c r="BA540" s="52" t="str">
        <f aca="false">IF($A540&lt;&gt;"",$A540,"")</f>
        <v>Apprenant 528</v>
      </c>
      <c r="BB540" s="55" t="str">
        <f aca="false">IF(AND($AR540&lt;&gt;"",$AS540&lt;&gt;""),$AS540-$AR540,"")</f>
        <v/>
      </c>
      <c r="BC540" s="55" t="str">
        <f aca="false">IF(AND($AR540&lt;&gt;"",$AT540&lt;&gt;""),$AT540-$AR540,"")</f>
        <v/>
      </c>
      <c r="BD540" s="55" t="str">
        <f aca="false">IF(AND($AS540&lt;&gt;"",$AT540&lt;&gt;""),$AT540-$AS540,"")</f>
        <v/>
      </c>
      <c r="BE540" s="53" t="str">
        <f aca="false">IF($E540&lt;&gt;"",$E540,"")</f>
        <v/>
      </c>
      <c r="BF540" s="52" t="str">
        <f aca="false">IF($F540&lt;&gt;"",$F540,"")</f>
        <v>Apprenant 528 ou 528'</v>
      </c>
      <c r="BG540" s="55" t="str">
        <f aca="false">IF(AND($AW540&lt;&gt;"",$AX540&lt;&gt;""),$AX540-$AW540,"")</f>
        <v/>
      </c>
      <c r="BH540" s="55" t="str">
        <f aca="false">IF(AND($AW540&lt;&gt;"",$AY540&lt;&gt;""),$AY540-$AW540,"")</f>
        <v/>
      </c>
      <c r="BI540" s="55" t="str">
        <f aca="false">IF(AND($AX540&lt;&gt;"",$AY540&lt;&gt;""),$AY540-$AX540,"")</f>
        <v/>
      </c>
      <c r="BJ540" s="53" t="str">
        <f aca="false">IF($J540&lt;&gt;"",$J540,"")</f>
        <v/>
      </c>
      <c r="BL540" s="52"/>
      <c r="BM540" s="52" t="str">
        <f aca="false">IF(OR(COUNT(B540:D1539)=0,AND('Choix pédagogiques'!$C$3&lt;&gt;1,'Choix pédagogiques'!$C$3&lt;&gt;2)),"",IF(AND(OR('Choix pédagogiques'!$C$3=1,'Choix pédagogiques'!$C$3=2),$B540&lt;&gt;"",$C540&lt;&gt;"",$D540&lt;&gt;""),1,0))</f>
        <v/>
      </c>
      <c r="BN540" s="52" t="str">
        <f aca="false">IF(OR(COUNT(G540:I1539)=0,AND('Choix pédagogiques'!$C$3&lt;&gt;1,'Choix pédagogiques'!$C$3&lt;&gt;2)),"",IF(AND(OR('Choix pédagogiques'!$C$3=1,'Choix pédagogiques'!$C$3=2),AND($G540&lt;&gt;"",$H540&lt;&gt;"",$I540&lt;&gt;"")),1,0))</f>
        <v/>
      </c>
      <c r="BO540" s="52" t="str">
        <f aca="false">IF(OR(COUNT(B540:D1539)=0,COUNT(G540:I1539)=0,'Choix pédagogiques'!C$3&lt;&gt;3),"",IF(AND('Choix pédagogiques'!$C$3=3,$B540&lt;&gt;"",$C540&lt;&gt;"",$D540&lt;&gt;"",$G540&lt;&gt;"",$H540&lt;&gt;"",$I540&lt;&gt;""),1,0))</f>
        <v/>
      </c>
      <c r="BR540" s="52" t="n">
        <v>596</v>
      </c>
      <c r="BS540" s="52" t="n">
        <v>1748</v>
      </c>
    </row>
    <row r="541" s="54" customFormat="true" ht="18" hidden="false" customHeight="true" outlineLevel="0" collapsed="false">
      <c r="A541" s="57" t="s">
        <v>1013</v>
      </c>
      <c r="B541" s="51"/>
      <c r="C541" s="51"/>
      <c r="D541" s="51"/>
      <c r="E541" s="51"/>
      <c r="F541" s="57" t="s">
        <v>1014</v>
      </c>
      <c r="G541" s="51"/>
      <c r="H541" s="51"/>
      <c r="I541" s="51"/>
      <c r="J541" s="51"/>
      <c r="K541" s="52" t="str">
        <f aca="false">IF($A541&lt;&gt;"",$A541,"")</f>
        <v>Apprenant 529</v>
      </c>
      <c r="L541" s="53" t="str">
        <f aca="false">IF(AND($B541&lt;&gt;"",$C541&lt;&gt;""),$C541-$B541,"")</f>
        <v/>
      </c>
      <c r="M541" s="53" t="str">
        <f aca="false">IF(AND($B541&lt;&gt;"",$D541&lt;&gt;""),$D541-$B541,"")</f>
        <v/>
      </c>
      <c r="N541" s="53" t="str">
        <f aca="false">IF(AND($C541&lt;&gt;"",$D541&lt;&gt;""),$D541-$C541,"")</f>
        <v/>
      </c>
      <c r="O541" s="53" t="str">
        <f aca="false">IF($E541&lt;&gt;"",$E541,"")</f>
        <v/>
      </c>
      <c r="P541" s="52" t="str">
        <f aca="false">IF($F541&lt;&gt;"",$F541,"")</f>
        <v>Apprenant 529 ou 529'</v>
      </c>
      <c r="Q541" s="53" t="str">
        <f aca="false">IF(AND($G541&lt;&gt;"",$H541&lt;&gt;""),$H541-$G541,"")</f>
        <v/>
      </c>
      <c r="R541" s="53" t="str">
        <f aca="false">IF(AND($G541&lt;&gt;"",$I541&lt;&gt;""),$I541-$G541,"")</f>
        <v/>
      </c>
      <c r="S541" s="53" t="str">
        <f aca="false">IF(AND($H541&lt;&gt;"",$I541&lt;&gt;""),$I541-$H541,"")</f>
        <v/>
      </c>
      <c r="T541" s="53" t="str">
        <f aca="false">IF($J541&lt;&gt;"",$J541,"")</f>
        <v/>
      </c>
      <c r="V541" s="52" t="str">
        <f aca="false">IF($A541&lt;&gt;"",$A541,"")</f>
        <v>Apprenant 529</v>
      </c>
      <c r="W541" s="53" t="str">
        <f aca="false">IF(AND(OR('Choix pédagogiques'!$C$3=1,'Choix pédagogiques'!$C$3=2),$BM541=1),B541,IF(AND('Choix pédagogiques'!$C$3=3,$BO541=1),B541,""))</f>
        <v/>
      </c>
      <c r="X541" s="53" t="str">
        <f aca="false">IF(AND(OR('Choix pédagogiques'!$C$3=1,'Choix pédagogiques'!$C$3=2),$BM541=1),C541,IF(AND('Choix pédagogiques'!$C$3=3,$BO541=1),C541,""))</f>
        <v/>
      </c>
      <c r="Y541" s="53" t="str">
        <f aca="false">IF(AND(OR('Choix pédagogiques'!$C$3=1,'Choix pédagogiques'!$C$3=2),$BM541=1),D541,IF(AND('Choix pédagogiques'!$C$3=3,$BO541=1),D541,""))</f>
        <v/>
      </c>
      <c r="Z541" s="53" t="str">
        <f aca="false">IF($E541&lt;&gt;"",$E541,"")</f>
        <v/>
      </c>
      <c r="AA541" s="52" t="str">
        <f aca="false">IF($F541&lt;&gt;"",$F541,"")</f>
        <v>Apprenant 529 ou 529'</v>
      </c>
      <c r="AB541" s="53" t="str">
        <f aca="false">IF(AND(OR('Choix pédagogiques'!$C$3=1,'Choix pédagogiques'!$C$3=2),$BN541=1),G541,IF(AND('Choix pédagogiques'!$C$3=3,$BO541=1),G541,""))</f>
        <v/>
      </c>
      <c r="AC541" s="53" t="str">
        <f aca="false">IF(AND(OR('Choix pédagogiques'!$C$3=1,'Choix pédagogiques'!$C$3=2),$BN541=1),H541,IF(AND('Choix pédagogiques'!$C$3=3,$BO541=1),H541,""))</f>
        <v/>
      </c>
      <c r="AD541" s="53" t="str">
        <f aca="false">IF(AND(OR('Choix pédagogiques'!$C$3=1,'Choix pédagogiques'!$C$3=2),$BN541=1),I541,IF(AND('Choix pédagogiques'!$C$3=3,$BO541=1),I541,""))</f>
        <v/>
      </c>
      <c r="AE541" s="53" t="str">
        <f aca="false">IF($J541&lt;&gt;"",$J541,"")</f>
        <v/>
      </c>
      <c r="AF541" s="52" t="str">
        <f aca="false">IF($A541&lt;&gt;"",$A541,"")</f>
        <v>Apprenant 529</v>
      </c>
      <c r="AG541" s="53" t="str">
        <f aca="false">IF(AND($W541&lt;&gt;"",$X541&lt;&gt;""),$X541-$W541,"")</f>
        <v/>
      </c>
      <c r="AH541" s="53" t="str">
        <f aca="false">IF(AND($W541&lt;&gt;"",$Y541&lt;&gt;""),$Y541-$W541,"")</f>
        <v/>
      </c>
      <c r="AI541" s="53" t="str">
        <f aca="false">IF(AND($X541&lt;&gt;"",$Y541&lt;&gt;""),$Y541-$X541,"")</f>
        <v/>
      </c>
      <c r="AJ541" s="53" t="str">
        <f aca="false">IF($E541&lt;&gt;"",$E541,"")</f>
        <v/>
      </c>
      <c r="AK541" s="52" t="str">
        <f aca="false">IF($F541&lt;&gt;"",$F541,"")</f>
        <v>Apprenant 529 ou 529'</v>
      </c>
      <c r="AL541" s="53" t="str">
        <f aca="false">IF(AND($AB541&lt;&gt;"",$AC541&lt;&gt;""),$AC541-$AB541,"")</f>
        <v/>
      </c>
      <c r="AM541" s="53" t="str">
        <f aca="false">IF(AND($AB541&lt;&gt;"",$AD541&lt;&gt;""),$AD541-$AB541,"")</f>
        <v/>
      </c>
      <c r="AN541" s="53" t="str">
        <f aca="false">IF(AND($AC541&lt;&gt;"",$AD541&lt;&gt;""),$AD541-$AC541,"")</f>
        <v/>
      </c>
      <c r="AO541" s="53" t="str">
        <f aca="false">IF($J541&lt;&gt;"",$J541,"")</f>
        <v/>
      </c>
      <c r="AQ541" s="52" t="str">
        <f aca="false">IF($A541&lt;&gt;"",$A541,"")</f>
        <v>Apprenant 529</v>
      </c>
      <c r="AR541" s="55" t="str">
        <f aca="false">IF(AND('Choix pédagogiques'!$C$4&lt;&gt;"?",'Choix pédagogiques'!$C$5&lt;&gt;"?",W541&lt;&gt;""),(W541-'Choix pédagogiques'!$C$4)/('Choix pédagogiques'!$C$5-'Choix pédagogiques'!$C$4),"")</f>
        <v/>
      </c>
      <c r="AS541" s="55" t="str">
        <f aca="false">IF(AND('Choix pédagogiques'!$C$4&lt;&gt;"?",'Choix pédagogiques'!$C$5&lt;&gt;"?",X541&lt;&gt;""),(X541-'Choix pédagogiques'!$C$4)/('Choix pédagogiques'!$C$5-'Choix pédagogiques'!$C$4),"")</f>
        <v/>
      </c>
      <c r="AT541" s="55" t="str">
        <f aca="false">IF(AND('Choix pédagogiques'!$C$4&lt;&gt;"?",'Choix pédagogiques'!$C$5&lt;&gt;"?",Y541&lt;&gt;""),(Y541-'Choix pédagogiques'!$C$4)/('Choix pédagogiques'!$C$5-'Choix pédagogiques'!$C$4),"")</f>
        <v/>
      </c>
      <c r="AU541" s="53" t="str">
        <f aca="false">IF($E541&lt;&gt;"",$E541,"")</f>
        <v/>
      </c>
      <c r="AV541" s="52" t="str">
        <f aca="false">IF($F541&lt;&gt;"",$F541,"")</f>
        <v>Apprenant 529 ou 529'</v>
      </c>
      <c r="AW541" s="55" t="str">
        <f aca="false">IF(AND('Choix pédagogiques'!$C$4&lt;&gt;"?",'Choix pédagogiques'!$C$5&lt;&gt;"?",AB541&lt;&gt;""),(AB541-'Choix pédagogiques'!$C$4)/('Choix pédagogiques'!$C$5-'Choix pédagogiques'!$C$4),"")</f>
        <v/>
      </c>
      <c r="AX541" s="55" t="str">
        <f aca="false">IF(AND('Choix pédagogiques'!$C$4&lt;&gt;"?",'Choix pédagogiques'!$C$5&lt;&gt;"?",AC541&lt;&gt;""),(AC541-'Choix pédagogiques'!$C$4)/('Choix pédagogiques'!$C$5-'Choix pédagogiques'!$C$4),"")</f>
        <v/>
      </c>
      <c r="AY541" s="55" t="str">
        <f aca="false">IF(AND('Choix pédagogiques'!$C$4&lt;&gt;"?",'Choix pédagogiques'!$C$5&lt;&gt;"?",AD541&lt;&gt;""),(AD541-'Choix pédagogiques'!$C$4)/('Choix pédagogiques'!$C$5-'Choix pédagogiques'!$C$4),"")</f>
        <v/>
      </c>
      <c r="AZ541" s="53" t="str">
        <f aca="false">IF($J541&lt;&gt;"",$J541,"")</f>
        <v/>
      </c>
      <c r="BA541" s="52" t="str">
        <f aca="false">IF($A541&lt;&gt;"",$A541,"")</f>
        <v>Apprenant 529</v>
      </c>
      <c r="BB541" s="55" t="str">
        <f aca="false">IF(AND($AR541&lt;&gt;"",$AS541&lt;&gt;""),$AS541-$AR541,"")</f>
        <v/>
      </c>
      <c r="BC541" s="55" t="str">
        <f aca="false">IF(AND($AR541&lt;&gt;"",$AT541&lt;&gt;""),$AT541-$AR541,"")</f>
        <v/>
      </c>
      <c r="BD541" s="55" t="str">
        <f aca="false">IF(AND($AS541&lt;&gt;"",$AT541&lt;&gt;""),$AT541-$AS541,"")</f>
        <v/>
      </c>
      <c r="BE541" s="53" t="str">
        <f aca="false">IF($E541&lt;&gt;"",$E541,"")</f>
        <v/>
      </c>
      <c r="BF541" s="52" t="str">
        <f aca="false">IF($F541&lt;&gt;"",$F541,"")</f>
        <v>Apprenant 529 ou 529'</v>
      </c>
      <c r="BG541" s="55" t="str">
        <f aca="false">IF(AND($AW541&lt;&gt;"",$AX541&lt;&gt;""),$AX541-$AW541,"")</f>
        <v/>
      </c>
      <c r="BH541" s="55" t="str">
        <f aca="false">IF(AND($AW541&lt;&gt;"",$AY541&lt;&gt;""),$AY541-$AW541,"")</f>
        <v/>
      </c>
      <c r="BI541" s="55" t="str">
        <f aca="false">IF(AND($AX541&lt;&gt;"",$AY541&lt;&gt;""),$AY541-$AX541,"")</f>
        <v/>
      </c>
      <c r="BJ541" s="53" t="str">
        <f aca="false">IF($J541&lt;&gt;"",$J541,"")</f>
        <v/>
      </c>
      <c r="BL541" s="52"/>
      <c r="BM541" s="52" t="str">
        <f aca="false">IF(OR(COUNT(B541:D1540)=0,AND('Choix pédagogiques'!$C$3&lt;&gt;1,'Choix pédagogiques'!$C$3&lt;&gt;2)),"",IF(AND(OR('Choix pédagogiques'!$C$3=1,'Choix pédagogiques'!$C$3=2),$B541&lt;&gt;"",$C541&lt;&gt;"",$D541&lt;&gt;""),1,0))</f>
        <v/>
      </c>
      <c r="BN541" s="52" t="str">
        <f aca="false">IF(OR(COUNT(G541:I1540)=0,AND('Choix pédagogiques'!$C$3&lt;&gt;1,'Choix pédagogiques'!$C$3&lt;&gt;2)),"",IF(AND(OR('Choix pédagogiques'!$C$3=1,'Choix pédagogiques'!$C$3=2),AND($G541&lt;&gt;"",$H541&lt;&gt;"",$I541&lt;&gt;"")),1,0))</f>
        <v/>
      </c>
      <c r="BO541" s="52" t="str">
        <f aca="false">IF(OR(COUNT(B541:D1540)=0,COUNT(G541:I1540)=0,'Choix pédagogiques'!C$3&lt;&gt;3),"",IF(AND('Choix pédagogiques'!$C$3=3,$B541&lt;&gt;"",$C541&lt;&gt;"",$D541&lt;&gt;"",$G541&lt;&gt;"",$H541&lt;&gt;"",$I541&lt;&gt;""),1,0))</f>
        <v/>
      </c>
      <c r="BR541" s="52" t="n">
        <v>444</v>
      </c>
      <c r="BS541" s="52" t="n">
        <v>1685</v>
      </c>
    </row>
    <row r="542" s="54" customFormat="true" ht="18" hidden="false" customHeight="true" outlineLevel="0" collapsed="false">
      <c r="A542" s="57" t="s">
        <v>1015</v>
      </c>
      <c r="B542" s="51"/>
      <c r="C542" s="51"/>
      <c r="D542" s="51"/>
      <c r="E542" s="51"/>
      <c r="F542" s="57" t="s">
        <v>1016</v>
      </c>
      <c r="G542" s="51"/>
      <c r="H542" s="51"/>
      <c r="I542" s="51"/>
      <c r="J542" s="51"/>
      <c r="K542" s="52" t="str">
        <f aca="false">IF($A542&lt;&gt;"",$A542,"")</f>
        <v>Apprenant 530</v>
      </c>
      <c r="L542" s="53" t="str">
        <f aca="false">IF(AND($B542&lt;&gt;"",$C542&lt;&gt;""),$C542-$B542,"")</f>
        <v/>
      </c>
      <c r="M542" s="53" t="str">
        <f aca="false">IF(AND($B542&lt;&gt;"",$D542&lt;&gt;""),$D542-$B542,"")</f>
        <v/>
      </c>
      <c r="N542" s="53" t="str">
        <f aca="false">IF(AND($C542&lt;&gt;"",$D542&lt;&gt;""),$D542-$C542,"")</f>
        <v/>
      </c>
      <c r="O542" s="53" t="str">
        <f aca="false">IF($E542&lt;&gt;"",$E542,"")</f>
        <v/>
      </c>
      <c r="P542" s="52" t="str">
        <f aca="false">IF($F542&lt;&gt;"",$F542,"")</f>
        <v>Apprenant 530 ou 530'</v>
      </c>
      <c r="Q542" s="53" t="str">
        <f aca="false">IF(AND($G542&lt;&gt;"",$H542&lt;&gt;""),$H542-$G542,"")</f>
        <v/>
      </c>
      <c r="R542" s="53" t="str">
        <f aca="false">IF(AND($G542&lt;&gt;"",$I542&lt;&gt;""),$I542-$G542,"")</f>
        <v/>
      </c>
      <c r="S542" s="53" t="str">
        <f aca="false">IF(AND($H542&lt;&gt;"",$I542&lt;&gt;""),$I542-$H542,"")</f>
        <v/>
      </c>
      <c r="T542" s="53" t="str">
        <f aca="false">IF($J542&lt;&gt;"",$J542,"")</f>
        <v/>
      </c>
      <c r="V542" s="52" t="str">
        <f aca="false">IF($A542&lt;&gt;"",$A542,"")</f>
        <v>Apprenant 530</v>
      </c>
      <c r="W542" s="53" t="str">
        <f aca="false">IF(AND(OR('Choix pédagogiques'!$C$3=1,'Choix pédagogiques'!$C$3=2),$BM542=1),B542,IF(AND('Choix pédagogiques'!$C$3=3,$BO542=1),B542,""))</f>
        <v/>
      </c>
      <c r="X542" s="53" t="str">
        <f aca="false">IF(AND(OR('Choix pédagogiques'!$C$3=1,'Choix pédagogiques'!$C$3=2),$BM542=1),C542,IF(AND('Choix pédagogiques'!$C$3=3,$BO542=1),C542,""))</f>
        <v/>
      </c>
      <c r="Y542" s="53" t="str">
        <f aca="false">IF(AND(OR('Choix pédagogiques'!$C$3=1,'Choix pédagogiques'!$C$3=2),$BM542=1),D542,IF(AND('Choix pédagogiques'!$C$3=3,$BO542=1),D542,""))</f>
        <v/>
      </c>
      <c r="Z542" s="53" t="str">
        <f aca="false">IF($E542&lt;&gt;"",$E542,"")</f>
        <v/>
      </c>
      <c r="AA542" s="52" t="str">
        <f aca="false">IF($F542&lt;&gt;"",$F542,"")</f>
        <v>Apprenant 530 ou 530'</v>
      </c>
      <c r="AB542" s="53" t="str">
        <f aca="false">IF(AND(OR('Choix pédagogiques'!$C$3=1,'Choix pédagogiques'!$C$3=2),$BN542=1),G542,IF(AND('Choix pédagogiques'!$C$3=3,$BO542=1),G542,""))</f>
        <v/>
      </c>
      <c r="AC542" s="53" t="str">
        <f aca="false">IF(AND(OR('Choix pédagogiques'!$C$3=1,'Choix pédagogiques'!$C$3=2),$BN542=1),H542,IF(AND('Choix pédagogiques'!$C$3=3,$BO542=1),H542,""))</f>
        <v/>
      </c>
      <c r="AD542" s="53" t="str">
        <f aca="false">IF(AND(OR('Choix pédagogiques'!$C$3=1,'Choix pédagogiques'!$C$3=2),$BN542=1),I542,IF(AND('Choix pédagogiques'!$C$3=3,$BO542=1),I542,""))</f>
        <v/>
      </c>
      <c r="AE542" s="53" t="str">
        <f aca="false">IF($J542&lt;&gt;"",$J542,"")</f>
        <v/>
      </c>
      <c r="AF542" s="52" t="str">
        <f aca="false">IF($A542&lt;&gt;"",$A542,"")</f>
        <v>Apprenant 530</v>
      </c>
      <c r="AG542" s="53" t="str">
        <f aca="false">IF(AND($W542&lt;&gt;"",$X542&lt;&gt;""),$X542-$W542,"")</f>
        <v/>
      </c>
      <c r="AH542" s="53" t="str">
        <f aca="false">IF(AND($W542&lt;&gt;"",$Y542&lt;&gt;""),$Y542-$W542,"")</f>
        <v/>
      </c>
      <c r="AI542" s="53" t="str">
        <f aca="false">IF(AND($X542&lt;&gt;"",$Y542&lt;&gt;""),$Y542-$X542,"")</f>
        <v/>
      </c>
      <c r="AJ542" s="53" t="str">
        <f aca="false">IF($E542&lt;&gt;"",$E542,"")</f>
        <v/>
      </c>
      <c r="AK542" s="52" t="str">
        <f aca="false">IF($F542&lt;&gt;"",$F542,"")</f>
        <v>Apprenant 530 ou 530'</v>
      </c>
      <c r="AL542" s="53" t="str">
        <f aca="false">IF(AND($AB542&lt;&gt;"",$AC542&lt;&gt;""),$AC542-$AB542,"")</f>
        <v/>
      </c>
      <c r="AM542" s="53" t="str">
        <f aca="false">IF(AND($AB542&lt;&gt;"",$AD542&lt;&gt;""),$AD542-$AB542,"")</f>
        <v/>
      </c>
      <c r="AN542" s="53" t="str">
        <f aca="false">IF(AND($AC542&lt;&gt;"",$AD542&lt;&gt;""),$AD542-$AC542,"")</f>
        <v/>
      </c>
      <c r="AO542" s="53" t="str">
        <f aca="false">IF($J542&lt;&gt;"",$J542,"")</f>
        <v/>
      </c>
      <c r="AQ542" s="52" t="str">
        <f aca="false">IF($A542&lt;&gt;"",$A542,"")</f>
        <v>Apprenant 530</v>
      </c>
      <c r="AR542" s="55" t="str">
        <f aca="false">IF(AND('Choix pédagogiques'!$C$4&lt;&gt;"?",'Choix pédagogiques'!$C$5&lt;&gt;"?",W542&lt;&gt;""),(W542-'Choix pédagogiques'!$C$4)/('Choix pédagogiques'!$C$5-'Choix pédagogiques'!$C$4),"")</f>
        <v/>
      </c>
      <c r="AS542" s="55" t="str">
        <f aca="false">IF(AND('Choix pédagogiques'!$C$4&lt;&gt;"?",'Choix pédagogiques'!$C$5&lt;&gt;"?",X542&lt;&gt;""),(X542-'Choix pédagogiques'!$C$4)/('Choix pédagogiques'!$C$5-'Choix pédagogiques'!$C$4),"")</f>
        <v/>
      </c>
      <c r="AT542" s="55" t="str">
        <f aca="false">IF(AND('Choix pédagogiques'!$C$4&lt;&gt;"?",'Choix pédagogiques'!$C$5&lt;&gt;"?",Y542&lt;&gt;""),(Y542-'Choix pédagogiques'!$C$4)/('Choix pédagogiques'!$C$5-'Choix pédagogiques'!$C$4),"")</f>
        <v/>
      </c>
      <c r="AU542" s="53" t="str">
        <f aca="false">IF($E542&lt;&gt;"",$E542,"")</f>
        <v/>
      </c>
      <c r="AV542" s="52" t="str">
        <f aca="false">IF($F542&lt;&gt;"",$F542,"")</f>
        <v>Apprenant 530 ou 530'</v>
      </c>
      <c r="AW542" s="55" t="str">
        <f aca="false">IF(AND('Choix pédagogiques'!$C$4&lt;&gt;"?",'Choix pédagogiques'!$C$5&lt;&gt;"?",AB542&lt;&gt;""),(AB542-'Choix pédagogiques'!$C$4)/('Choix pédagogiques'!$C$5-'Choix pédagogiques'!$C$4),"")</f>
        <v/>
      </c>
      <c r="AX542" s="55" t="str">
        <f aca="false">IF(AND('Choix pédagogiques'!$C$4&lt;&gt;"?",'Choix pédagogiques'!$C$5&lt;&gt;"?",AC542&lt;&gt;""),(AC542-'Choix pédagogiques'!$C$4)/('Choix pédagogiques'!$C$5-'Choix pédagogiques'!$C$4),"")</f>
        <v/>
      </c>
      <c r="AY542" s="55" t="str">
        <f aca="false">IF(AND('Choix pédagogiques'!$C$4&lt;&gt;"?",'Choix pédagogiques'!$C$5&lt;&gt;"?",AD542&lt;&gt;""),(AD542-'Choix pédagogiques'!$C$4)/('Choix pédagogiques'!$C$5-'Choix pédagogiques'!$C$4),"")</f>
        <v/>
      </c>
      <c r="AZ542" s="53" t="str">
        <f aca="false">IF($J542&lt;&gt;"",$J542,"")</f>
        <v/>
      </c>
      <c r="BA542" s="52" t="str">
        <f aca="false">IF($A542&lt;&gt;"",$A542,"")</f>
        <v>Apprenant 530</v>
      </c>
      <c r="BB542" s="55" t="str">
        <f aca="false">IF(AND($AR542&lt;&gt;"",$AS542&lt;&gt;""),$AS542-$AR542,"")</f>
        <v/>
      </c>
      <c r="BC542" s="55" t="str">
        <f aca="false">IF(AND($AR542&lt;&gt;"",$AT542&lt;&gt;""),$AT542-$AR542,"")</f>
        <v/>
      </c>
      <c r="BD542" s="55" t="str">
        <f aca="false">IF(AND($AS542&lt;&gt;"",$AT542&lt;&gt;""),$AT542-$AS542,"")</f>
        <v/>
      </c>
      <c r="BE542" s="53" t="str">
        <f aca="false">IF($E542&lt;&gt;"",$E542,"")</f>
        <v/>
      </c>
      <c r="BF542" s="52" t="str">
        <f aca="false">IF($F542&lt;&gt;"",$F542,"")</f>
        <v>Apprenant 530 ou 530'</v>
      </c>
      <c r="BG542" s="55" t="str">
        <f aca="false">IF(AND($AW542&lt;&gt;"",$AX542&lt;&gt;""),$AX542-$AW542,"")</f>
        <v/>
      </c>
      <c r="BH542" s="55" t="str">
        <f aca="false">IF(AND($AW542&lt;&gt;"",$AY542&lt;&gt;""),$AY542-$AW542,"")</f>
        <v/>
      </c>
      <c r="BI542" s="55" t="str">
        <f aca="false">IF(AND($AX542&lt;&gt;"",$AY542&lt;&gt;""),$AY542-$AX542,"")</f>
        <v/>
      </c>
      <c r="BJ542" s="53" t="str">
        <f aca="false">IF($J542&lt;&gt;"",$J542,"")</f>
        <v/>
      </c>
      <c r="BL542" s="52"/>
      <c r="BM542" s="52" t="str">
        <f aca="false">IF(OR(COUNT(B542:D1541)=0,AND('Choix pédagogiques'!$C$3&lt;&gt;1,'Choix pédagogiques'!$C$3&lt;&gt;2)),"",IF(AND(OR('Choix pédagogiques'!$C$3=1,'Choix pédagogiques'!$C$3=2),$B542&lt;&gt;"",$C542&lt;&gt;"",$D542&lt;&gt;""),1,0))</f>
        <v/>
      </c>
      <c r="BN542" s="52" t="str">
        <f aca="false">IF(OR(COUNT(G542:I1541)=0,AND('Choix pédagogiques'!$C$3&lt;&gt;1,'Choix pédagogiques'!$C$3&lt;&gt;2)),"",IF(AND(OR('Choix pédagogiques'!$C$3=1,'Choix pédagogiques'!$C$3=2),AND($G542&lt;&gt;"",$H542&lt;&gt;"",$I542&lt;&gt;"")),1,0))</f>
        <v/>
      </c>
      <c r="BO542" s="52" t="str">
        <f aca="false">IF(OR(COUNT(B542:D1541)=0,COUNT(G542:I1541)=0,'Choix pédagogiques'!C$3&lt;&gt;3),"",IF(AND('Choix pédagogiques'!$C$3=3,$B542&lt;&gt;"",$C542&lt;&gt;"",$D542&lt;&gt;"",$G542&lt;&gt;"",$H542&lt;&gt;"",$I542&lt;&gt;""),1,0))</f>
        <v/>
      </c>
      <c r="BR542" s="52" t="n">
        <v>294</v>
      </c>
      <c r="BS542" s="52" t="n">
        <v>1274</v>
      </c>
    </row>
    <row r="543" s="54" customFormat="true" ht="18" hidden="false" customHeight="true" outlineLevel="0" collapsed="false">
      <c r="A543" s="57" t="s">
        <v>1017</v>
      </c>
      <c r="B543" s="51"/>
      <c r="C543" s="51"/>
      <c r="D543" s="51"/>
      <c r="E543" s="51"/>
      <c r="F543" s="57" t="s">
        <v>1018</v>
      </c>
      <c r="G543" s="51"/>
      <c r="H543" s="51"/>
      <c r="I543" s="51"/>
      <c r="J543" s="51"/>
      <c r="K543" s="52" t="str">
        <f aca="false">IF($A543&lt;&gt;"",$A543,"")</f>
        <v>Apprenant 531</v>
      </c>
      <c r="L543" s="53" t="str">
        <f aca="false">IF(AND($B543&lt;&gt;"",$C543&lt;&gt;""),$C543-$B543,"")</f>
        <v/>
      </c>
      <c r="M543" s="53" t="str">
        <f aca="false">IF(AND($B543&lt;&gt;"",$D543&lt;&gt;""),$D543-$B543,"")</f>
        <v/>
      </c>
      <c r="N543" s="53" t="str">
        <f aca="false">IF(AND($C543&lt;&gt;"",$D543&lt;&gt;""),$D543-$C543,"")</f>
        <v/>
      </c>
      <c r="O543" s="53" t="str">
        <f aca="false">IF($E543&lt;&gt;"",$E543,"")</f>
        <v/>
      </c>
      <c r="P543" s="52" t="str">
        <f aca="false">IF($F543&lt;&gt;"",$F543,"")</f>
        <v>Apprenant 531 ou 531'</v>
      </c>
      <c r="Q543" s="53" t="str">
        <f aca="false">IF(AND($G543&lt;&gt;"",$H543&lt;&gt;""),$H543-$G543,"")</f>
        <v/>
      </c>
      <c r="R543" s="53" t="str">
        <f aca="false">IF(AND($G543&lt;&gt;"",$I543&lt;&gt;""),$I543-$G543,"")</f>
        <v/>
      </c>
      <c r="S543" s="53" t="str">
        <f aca="false">IF(AND($H543&lt;&gt;"",$I543&lt;&gt;""),$I543-$H543,"")</f>
        <v/>
      </c>
      <c r="T543" s="53" t="str">
        <f aca="false">IF($J543&lt;&gt;"",$J543,"")</f>
        <v/>
      </c>
      <c r="V543" s="52" t="str">
        <f aca="false">IF($A543&lt;&gt;"",$A543,"")</f>
        <v>Apprenant 531</v>
      </c>
      <c r="W543" s="53" t="str">
        <f aca="false">IF(AND(OR('Choix pédagogiques'!$C$3=1,'Choix pédagogiques'!$C$3=2),$BM543=1),B543,IF(AND('Choix pédagogiques'!$C$3=3,$BO543=1),B543,""))</f>
        <v/>
      </c>
      <c r="X543" s="53" t="str">
        <f aca="false">IF(AND(OR('Choix pédagogiques'!$C$3=1,'Choix pédagogiques'!$C$3=2),$BM543=1),C543,IF(AND('Choix pédagogiques'!$C$3=3,$BO543=1),C543,""))</f>
        <v/>
      </c>
      <c r="Y543" s="53" t="str">
        <f aca="false">IF(AND(OR('Choix pédagogiques'!$C$3=1,'Choix pédagogiques'!$C$3=2),$BM543=1),D543,IF(AND('Choix pédagogiques'!$C$3=3,$BO543=1),D543,""))</f>
        <v/>
      </c>
      <c r="Z543" s="53" t="str">
        <f aca="false">IF($E543&lt;&gt;"",$E543,"")</f>
        <v/>
      </c>
      <c r="AA543" s="52" t="str">
        <f aca="false">IF($F543&lt;&gt;"",$F543,"")</f>
        <v>Apprenant 531 ou 531'</v>
      </c>
      <c r="AB543" s="53" t="str">
        <f aca="false">IF(AND(OR('Choix pédagogiques'!$C$3=1,'Choix pédagogiques'!$C$3=2),$BN543=1),G543,IF(AND('Choix pédagogiques'!$C$3=3,$BO543=1),G543,""))</f>
        <v/>
      </c>
      <c r="AC543" s="53" t="str">
        <f aca="false">IF(AND(OR('Choix pédagogiques'!$C$3=1,'Choix pédagogiques'!$C$3=2),$BN543=1),H543,IF(AND('Choix pédagogiques'!$C$3=3,$BO543=1),H543,""))</f>
        <v/>
      </c>
      <c r="AD543" s="53" t="str">
        <f aca="false">IF(AND(OR('Choix pédagogiques'!$C$3=1,'Choix pédagogiques'!$C$3=2),$BN543=1),I543,IF(AND('Choix pédagogiques'!$C$3=3,$BO543=1),I543,""))</f>
        <v/>
      </c>
      <c r="AE543" s="53" t="str">
        <f aca="false">IF($J543&lt;&gt;"",$J543,"")</f>
        <v/>
      </c>
      <c r="AF543" s="52" t="str">
        <f aca="false">IF($A543&lt;&gt;"",$A543,"")</f>
        <v>Apprenant 531</v>
      </c>
      <c r="AG543" s="53" t="str">
        <f aca="false">IF(AND($W543&lt;&gt;"",$X543&lt;&gt;""),$X543-$W543,"")</f>
        <v/>
      </c>
      <c r="AH543" s="53" t="str">
        <f aca="false">IF(AND($W543&lt;&gt;"",$Y543&lt;&gt;""),$Y543-$W543,"")</f>
        <v/>
      </c>
      <c r="AI543" s="53" t="str">
        <f aca="false">IF(AND($X543&lt;&gt;"",$Y543&lt;&gt;""),$Y543-$X543,"")</f>
        <v/>
      </c>
      <c r="AJ543" s="53" t="str">
        <f aca="false">IF($E543&lt;&gt;"",$E543,"")</f>
        <v/>
      </c>
      <c r="AK543" s="52" t="str">
        <f aca="false">IF($F543&lt;&gt;"",$F543,"")</f>
        <v>Apprenant 531 ou 531'</v>
      </c>
      <c r="AL543" s="53" t="str">
        <f aca="false">IF(AND($AB543&lt;&gt;"",$AC543&lt;&gt;""),$AC543-$AB543,"")</f>
        <v/>
      </c>
      <c r="AM543" s="53" t="str">
        <f aca="false">IF(AND($AB543&lt;&gt;"",$AD543&lt;&gt;""),$AD543-$AB543,"")</f>
        <v/>
      </c>
      <c r="AN543" s="53" t="str">
        <f aca="false">IF(AND($AC543&lt;&gt;"",$AD543&lt;&gt;""),$AD543-$AC543,"")</f>
        <v/>
      </c>
      <c r="AO543" s="53" t="str">
        <f aca="false">IF($J543&lt;&gt;"",$J543,"")</f>
        <v/>
      </c>
      <c r="AQ543" s="52" t="str">
        <f aca="false">IF($A543&lt;&gt;"",$A543,"")</f>
        <v>Apprenant 531</v>
      </c>
      <c r="AR543" s="55" t="str">
        <f aca="false">IF(AND('Choix pédagogiques'!$C$4&lt;&gt;"?",'Choix pédagogiques'!$C$5&lt;&gt;"?",W543&lt;&gt;""),(W543-'Choix pédagogiques'!$C$4)/('Choix pédagogiques'!$C$5-'Choix pédagogiques'!$C$4),"")</f>
        <v/>
      </c>
      <c r="AS543" s="55" t="str">
        <f aca="false">IF(AND('Choix pédagogiques'!$C$4&lt;&gt;"?",'Choix pédagogiques'!$C$5&lt;&gt;"?",X543&lt;&gt;""),(X543-'Choix pédagogiques'!$C$4)/('Choix pédagogiques'!$C$5-'Choix pédagogiques'!$C$4),"")</f>
        <v/>
      </c>
      <c r="AT543" s="55" t="str">
        <f aca="false">IF(AND('Choix pédagogiques'!$C$4&lt;&gt;"?",'Choix pédagogiques'!$C$5&lt;&gt;"?",Y543&lt;&gt;""),(Y543-'Choix pédagogiques'!$C$4)/('Choix pédagogiques'!$C$5-'Choix pédagogiques'!$C$4),"")</f>
        <v/>
      </c>
      <c r="AU543" s="53" t="str">
        <f aca="false">IF($E543&lt;&gt;"",$E543,"")</f>
        <v/>
      </c>
      <c r="AV543" s="52" t="str">
        <f aca="false">IF($F543&lt;&gt;"",$F543,"")</f>
        <v>Apprenant 531 ou 531'</v>
      </c>
      <c r="AW543" s="55" t="str">
        <f aca="false">IF(AND('Choix pédagogiques'!$C$4&lt;&gt;"?",'Choix pédagogiques'!$C$5&lt;&gt;"?",AB543&lt;&gt;""),(AB543-'Choix pédagogiques'!$C$4)/('Choix pédagogiques'!$C$5-'Choix pédagogiques'!$C$4),"")</f>
        <v/>
      </c>
      <c r="AX543" s="55" t="str">
        <f aca="false">IF(AND('Choix pédagogiques'!$C$4&lt;&gt;"?",'Choix pédagogiques'!$C$5&lt;&gt;"?",AC543&lt;&gt;""),(AC543-'Choix pédagogiques'!$C$4)/('Choix pédagogiques'!$C$5-'Choix pédagogiques'!$C$4),"")</f>
        <v/>
      </c>
      <c r="AY543" s="55" t="str">
        <f aca="false">IF(AND('Choix pédagogiques'!$C$4&lt;&gt;"?",'Choix pédagogiques'!$C$5&lt;&gt;"?",AD543&lt;&gt;""),(AD543-'Choix pédagogiques'!$C$4)/('Choix pédagogiques'!$C$5-'Choix pédagogiques'!$C$4),"")</f>
        <v/>
      </c>
      <c r="AZ543" s="53" t="str">
        <f aca="false">IF($J543&lt;&gt;"",$J543,"")</f>
        <v/>
      </c>
      <c r="BA543" s="52" t="str">
        <f aca="false">IF($A543&lt;&gt;"",$A543,"")</f>
        <v>Apprenant 531</v>
      </c>
      <c r="BB543" s="55" t="str">
        <f aca="false">IF(AND($AR543&lt;&gt;"",$AS543&lt;&gt;""),$AS543-$AR543,"")</f>
        <v/>
      </c>
      <c r="BC543" s="55" t="str">
        <f aca="false">IF(AND($AR543&lt;&gt;"",$AT543&lt;&gt;""),$AT543-$AR543,"")</f>
        <v/>
      </c>
      <c r="BD543" s="55" t="str">
        <f aca="false">IF(AND($AS543&lt;&gt;"",$AT543&lt;&gt;""),$AT543-$AS543,"")</f>
        <v/>
      </c>
      <c r="BE543" s="53" t="str">
        <f aca="false">IF($E543&lt;&gt;"",$E543,"")</f>
        <v/>
      </c>
      <c r="BF543" s="52" t="str">
        <f aca="false">IF($F543&lt;&gt;"",$F543,"")</f>
        <v>Apprenant 531 ou 531'</v>
      </c>
      <c r="BG543" s="55" t="str">
        <f aca="false">IF(AND($AW543&lt;&gt;"",$AX543&lt;&gt;""),$AX543-$AW543,"")</f>
        <v/>
      </c>
      <c r="BH543" s="55" t="str">
        <f aca="false">IF(AND($AW543&lt;&gt;"",$AY543&lt;&gt;""),$AY543-$AW543,"")</f>
        <v/>
      </c>
      <c r="BI543" s="55" t="str">
        <f aca="false">IF(AND($AX543&lt;&gt;"",$AY543&lt;&gt;""),$AY543-$AX543,"")</f>
        <v/>
      </c>
      <c r="BJ543" s="53" t="str">
        <f aca="false">IF($J543&lt;&gt;"",$J543,"")</f>
        <v/>
      </c>
      <c r="BL543" s="52"/>
      <c r="BM543" s="52" t="str">
        <f aca="false">IF(OR(COUNT(B543:D1542)=0,AND('Choix pédagogiques'!$C$3&lt;&gt;1,'Choix pédagogiques'!$C$3&lt;&gt;2)),"",IF(AND(OR('Choix pédagogiques'!$C$3=1,'Choix pédagogiques'!$C$3=2),$B543&lt;&gt;"",$C543&lt;&gt;"",$D543&lt;&gt;""),1,0))</f>
        <v/>
      </c>
      <c r="BN543" s="52" t="str">
        <f aca="false">IF(OR(COUNT(G543:I1542)=0,AND('Choix pédagogiques'!$C$3&lt;&gt;1,'Choix pédagogiques'!$C$3&lt;&gt;2)),"",IF(AND(OR('Choix pédagogiques'!$C$3=1,'Choix pédagogiques'!$C$3=2),AND($G543&lt;&gt;"",$H543&lt;&gt;"",$I543&lt;&gt;"")),1,0))</f>
        <v/>
      </c>
      <c r="BO543" s="52" t="str">
        <f aca="false">IF(OR(COUNT(B543:D1542)=0,COUNT(G543:I1542)=0,'Choix pédagogiques'!C$3&lt;&gt;3),"",IF(AND('Choix pédagogiques'!$C$3=3,$B543&lt;&gt;"",$C543&lt;&gt;"",$D543&lt;&gt;"",$G543&lt;&gt;"",$H543&lt;&gt;"",$I543&lt;&gt;""),1,0))</f>
        <v/>
      </c>
      <c r="BR543" s="52" t="n">
        <v>627</v>
      </c>
      <c r="BS543" s="52" t="n">
        <v>1028</v>
      </c>
    </row>
    <row r="544" s="54" customFormat="true" ht="18" hidden="false" customHeight="true" outlineLevel="0" collapsed="false">
      <c r="A544" s="57" t="s">
        <v>1019</v>
      </c>
      <c r="B544" s="51"/>
      <c r="C544" s="51"/>
      <c r="D544" s="51"/>
      <c r="E544" s="51"/>
      <c r="F544" s="57" t="s">
        <v>1020</v>
      </c>
      <c r="G544" s="51"/>
      <c r="H544" s="51"/>
      <c r="I544" s="51"/>
      <c r="J544" s="51"/>
      <c r="K544" s="52" t="str">
        <f aca="false">IF($A544&lt;&gt;"",$A544,"")</f>
        <v>Apprenant 532</v>
      </c>
      <c r="L544" s="53" t="str">
        <f aca="false">IF(AND($B544&lt;&gt;"",$C544&lt;&gt;""),$C544-$B544,"")</f>
        <v/>
      </c>
      <c r="M544" s="53" t="str">
        <f aca="false">IF(AND($B544&lt;&gt;"",$D544&lt;&gt;""),$D544-$B544,"")</f>
        <v/>
      </c>
      <c r="N544" s="53" t="str">
        <f aca="false">IF(AND($C544&lt;&gt;"",$D544&lt;&gt;""),$D544-$C544,"")</f>
        <v/>
      </c>
      <c r="O544" s="53" t="str">
        <f aca="false">IF($E544&lt;&gt;"",$E544,"")</f>
        <v/>
      </c>
      <c r="P544" s="52" t="str">
        <f aca="false">IF($F544&lt;&gt;"",$F544,"")</f>
        <v>Apprenant 532 ou 532'</v>
      </c>
      <c r="Q544" s="53" t="str">
        <f aca="false">IF(AND($G544&lt;&gt;"",$H544&lt;&gt;""),$H544-$G544,"")</f>
        <v/>
      </c>
      <c r="R544" s="53" t="str">
        <f aca="false">IF(AND($G544&lt;&gt;"",$I544&lt;&gt;""),$I544-$G544,"")</f>
        <v/>
      </c>
      <c r="S544" s="53" t="str">
        <f aca="false">IF(AND($H544&lt;&gt;"",$I544&lt;&gt;""),$I544-$H544,"")</f>
        <v/>
      </c>
      <c r="T544" s="53" t="str">
        <f aca="false">IF($J544&lt;&gt;"",$J544,"")</f>
        <v/>
      </c>
      <c r="V544" s="52" t="str">
        <f aca="false">IF($A544&lt;&gt;"",$A544,"")</f>
        <v>Apprenant 532</v>
      </c>
      <c r="W544" s="53" t="str">
        <f aca="false">IF(AND(OR('Choix pédagogiques'!$C$3=1,'Choix pédagogiques'!$C$3=2),$BM544=1),B544,IF(AND('Choix pédagogiques'!$C$3=3,$BO544=1),B544,""))</f>
        <v/>
      </c>
      <c r="X544" s="53" t="str">
        <f aca="false">IF(AND(OR('Choix pédagogiques'!$C$3=1,'Choix pédagogiques'!$C$3=2),$BM544=1),C544,IF(AND('Choix pédagogiques'!$C$3=3,$BO544=1),C544,""))</f>
        <v/>
      </c>
      <c r="Y544" s="53" t="str">
        <f aca="false">IF(AND(OR('Choix pédagogiques'!$C$3=1,'Choix pédagogiques'!$C$3=2),$BM544=1),D544,IF(AND('Choix pédagogiques'!$C$3=3,$BO544=1),D544,""))</f>
        <v/>
      </c>
      <c r="Z544" s="53" t="str">
        <f aca="false">IF($E544&lt;&gt;"",$E544,"")</f>
        <v/>
      </c>
      <c r="AA544" s="52" t="str">
        <f aca="false">IF($F544&lt;&gt;"",$F544,"")</f>
        <v>Apprenant 532 ou 532'</v>
      </c>
      <c r="AB544" s="53" t="str">
        <f aca="false">IF(AND(OR('Choix pédagogiques'!$C$3=1,'Choix pédagogiques'!$C$3=2),$BN544=1),G544,IF(AND('Choix pédagogiques'!$C$3=3,$BO544=1),G544,""))</f>
        <v/>
      </c>
      <c r="AC544" s="53" t="str">
        <f aca="false">IF(AND(OR('Choix pédagogiques'!$C$3=1,'Choix pédagogiques'!$C$3=2),$BN544=1),H544,IF(AND('Choix pédagogiques'!$C$3=3,$BO544=1),H544,""))</f>
        <v/>
      </c>
      <c r="AD544" s="53" t="str">
        <f aca="false">IF(AND(OR('Choix pédagogiques'!$C$3=1,'Choix pédagogiques'!$C$3=2),$BN544=1),I544,IF(AND('Choix pédagogiques'!$C$3=3,$BO544=1),I544,""))</f>
        <v/>
      </c>
      <c r="AE544" s="53" t="str">
        <f aca="false">IF($J544&lt;&gt;"",$J544,"")</f>
        <v/>
      </c>
      <c r="AF544" s="52" t="str">
        <f aca="false">IF($A544&lt;&gt;"",$A544,"")</f>
        <v>Apprenant 532</v>
      </c>
      <c r="AG544" s="53" t="str">
        <f aca="false">IF(AND($W544&lt;&gt;"",$X544&lt;&gt;""),$X544-$W544,"")</f>
        <v/>
      </c>
      <c r="AH544" s="53" t="str">
        <f aca="false">IF(AND($W544&lt;&gt;"",$Y544&lt;&gt;""),$Y544-$W544,"")</f>
        <v/>
      </c>
      <c r="AI544" s="53" t="str">
        <f aca="false">IF(AND($X544&lt;&gt;"",$Y544&lt;&gt;""),$Y544-$X544,"")</f>
        <v/>
      </c>
      <c r="AJ544" s="53" t="str">
        <f aca="false">IF($E544&lt;&gt;"",$E544,"")</f>
        <v/>
      </c>
      <c r="AK544" s="52" t="str">
        <f aca="false">IF($F544&lt;&gt;"",$F544,"")</f>
        <v>Apprenant 532 ou 532'</v>
      </c>
      <c r="AL544" s="53" t="str">
        <f aca="false">IF(AND($AB544&lt;&gt;"",$AC544&lt;&gt;""),$AC544-$AB544,"")</f>
        <v/>
      </c>
      <c r="AM544" s="53" t="str">
        <f aca="false">IF(AND($AB544&lt;&gt;"",$AD544&lt;&gt;""),$AD544-$AB544,"")</f>
        <v/>
      </c>
      <c r="AN544" s="53" t="str">
        <f aca="false">IF(AND($AC544&lt;&gt;"",$AD544&lt;&gt;""),$AD544-$AC544,"")</f>
        <v/>
      </c>
      <c r="AO544" s="53" t="str">
        <f aca="false">IF($J544&lt;&gt;"",$J544,"")</f>
        <v/>
      </c>
      <c r="AQ544" s="52" t="str">
        <f aca="false">IF($A544&lt;&gt;"",$A544,"")</f>
        <v>Apprenant 532</v>
      </c>
      <c r="AR544" s="55" t="str">
        <f aca="false">IF(AND('Choix pédagogiques'!$C$4&lt;&gt;"?",'Choix pédagogiques'!$C$5&lt;&gt;"?",W544&lt;&gt;""),(W544-'Choix pédagogiques'!$C$4)/('Choix pédagogiques'!$C$5-'Choix pédagogiques'!$C$4),"")</f>
        <v/>
      </c>
      <c r="AS544" s="55" t="str">
        <f aca="false">IF(AND('Choix pédagogiques'!$C$4&lt;&gt;"?",'Choix pédagogiques'!$C$5&lt;&gt;"?",X544&lt;&gt;""),(X544-'Choix pédagogiques'!$C$4)/('Choix pédagogiques'!$C$5-'Choix pédagogiques'!$C$4),"")</f>
        <v/>
      </c>
      <c r="AT544" s="55" t="str">
        <f aca="false">IF(AND('Choix pédagogiques'!$C$4&lt;&gt;"?",'Choix pédagogiques'!$C$5&lt;&gt;"?",Y544&lt;&gt;""),(Y544-'Choix pédagogiques'!$C$4)/('Choix pédagogiques'!$C$5-'Choix pédagogiques'!$C$4),"")</f>
        <v/>
      </c>
      <c r="AU544" s="53" t="str">
        <f aca="false">IF($E544&lt;&gt;"",$E544,"")</f>
        <v/>
      </c>
      <c r="AV544" s="52" t="str">
        <f aca="false">IF($F544&lt;&gt;"",$F544,"")</f>
        <v>Apprenant 532 ou 532'</v>
      </c>
      <c r="AW544" s="55" t="str">
        <f aca="false">IF(AND('Choix pédagogiques'!$C$4&lt;&gt;"?",'Choix pédagogiques'!$C$5&lt;&gt;"?",AB544&lt;&gt;""),(AB544-'Choix pédagogiques'!$C$4)/('Choix pédagogiques'!$C$5-'Choix pédagogiques'!$C$4),"")</f>
        <v/>
      </c>
      <c r="AX544" s="55" t="str">
        <f aca="false">IF(AND('Choix pédagogiques'!$C$4&lt;&gt;"?",'Choix pédagogiques'!$C$5&lt;&gt;"?",AC544&lt;&gt;""),(AC544-'Choix pédagogiques'!$C$4)/('Choix pédagogiques'!$C$5-'Choix pédagogiques'!$C$4),"")</f>
        <v/>
      </c>
      <c r="AY544" s="55" t="str">
        <f aca="false">IF(AND('Choix pédagogiques'!$C$4&lt;&gt;"?",'Choix pédagogiques'!$C$5&lt;&gt;"?",AD544&lt;&gt;""),(AD544-'Choix pédagogiques'!$C$4)/('Choix pédagogiques'!$C$5-'Choix pédagogiques'!$C$4),"")</f>
        <v/>
      </c>
      <c r="AZ544" s="53" t="str">
        <f aca="false">IF($J544&lt;&gt;"",$J544,"")</f>
        <v/>
      </c>
      <c r="BA544" s="52" t="str">
        <f aca="false">IF($A544&lt;&gt;"",$A544,"")</f>
        <v>Apprenant 532</v>
      </c>
      <c r="BB544" s="55" t="str">
        <f aca="false">IF(AND($AR544&lt;&gt;"",$AS544&lt;&gt;""),$AS544-$AR544,"")</f>
        <v/>
      </c>
      <c r="BC544" s="55" t="str">
        <f aca="false">IF(AND($AR544&lt;&gt;"",$AT544&lt;&gt;""),$AT544-$AR544,"")</f>
        <v/>
      </c>
      <c r="BD544" s="55" t="str">
        <f aca="false">IF(AND($AS544&lt;&gt;"",$AT544&lt;&gt;""),$AT544-$AS544,"")</f>
        <v/>
      </c>
      <c r="BE544" s="53" t="str">
        <f aca="false">IF($E544&lt;&gt;"",$E544,"")</f>
        <v/>
      </c>
      <c r="BF544" s="52" t="str">
        <f aca="false">IF($F544&lt;&gt;"",$F544,"")</f>
        <v>Apprenant 532 ou 532'</v>
      </c>
      <c r="BG544" s="55" t="str">
        <f aca="false">IF(AND($AW544&lt;&gt;"",$AX544&lt;&gt;""),$AX544-$AW544,"")</f>
        <v/>
      </c>
      <c r="BH544" s="55" t="str">
        <f aca="false">IF(AND($AW544&lt;&gt;"",$AY544&lt;&gt;""),$AY544-$AW544,"")</f>
        <v/>
      </c>
      <c r="BI544" s="55" t="str">
        <f aca="false">IF(AND($AX544&lt;&gt;"",$AY544&lt;&gt;""),$AY544-$AX544,"")</f>
        <v/>
      </c>
      <c r="BJ544" s="53" t="str">
        <f aca="false">IF($J544&lt;&gt;"",$J544,"")</f>
        <v/>
      </c>
      <c r="BL544" s="52"/>
      <c r="BM544" s="52" t="str">
        <f aca="false">IF(OR(COUNT(B544:D1543)=0,AND('Choix pédagogiques'!$C$3&lt;&gt;1,'Choix pédagogiques'!$C$3&lt;&gt;2)),"",IF(AND(OR('Choix pédagogiques'!$C$3=1,'Choix pédagogiques'!$C$3=2),$B544&lt;&gt;"",$C544&lt;&gt;"",$D544&lt;&gt;""),1,0))</f>
        <v/>
      </c>
      <c r="BN544" s="52" t="str">
        <f aca="false">IF(OR(COUNT(G544:I1543)=0,AND('Choix pédagogiques'!$C$3&lt;&gt;1,'Choix pédagogiques'!$C$3&lt;&gt;2)),"",IF(AND(OR('Choix pédagogiques'!$C$3=1,'Choix pédagogiques'!$C$3=2),AND($G544&lt;&gt;"",$H544&lt;&gt;"",$I544&lt;&gt;"")),1,0))</f>
        <v/>
      </c>
      <c r="BO544" s="52" t="str">
        <f aca="false">IF(OR(COUNT(B544:D1543)=0,COUNT(G544:I1543)=0,'Choix pédagogiques'!C$3&lt;&gt;3),"",IF(AND('Choix pédagogiques'!$C$3=3,$B544&lt;&gt;"",$C544&lt;&gt;"",$D544&lt;&gt;"",$G544&lt;&gt;"",$H544&lt;&gt;"",$I544&lt;&gt;""),1,0))</f>
        <v/>
      </c>
      <c r="BR544" s="52" t="n">
        <v>416</v>
      </c>
      <c r="BS544" s="52" t="n">
        <v>1958</v>
      </c>
    </row>
    <row r="545" s="54" customFormat="true" ht="18" hidden="false" customHeight="true" outlineLevel="0" collapsed="false">
      <c r="A545" s="57" t="s">
        <v>1021</v>
      </c>
      <c r="B545" s="51"/>
      <c r="C545" s="51"/>
      <c r="D545" s="51"/>
      <c r="E545" s="51"/>
      <c r="F545" s="57" t="s">
        <v>1022</v>
      </c>
      <c r="G545" s="51"/>
      <c r="H545" s="51"/>
      <c r="I545" s="51"/>
      <c r="J545" s="51"/>
      <c r="K545" s="52" t="str">
        <f aca="false">IF($A545&lt;&gt;"",$A545,"")</f>
        <v>Apprenant 533</v>
      </c>
      <c r="L545" s="53" t="str">
        <f aca="false">IF(AND($B545&lt;&gt;"",$C545&lt;&gt;""),$C545-$B545,"")</f>
        <v/>
      </c>
      <c r="M545" s="53" t="str">
        <f aca="false">IF(AND($B545&lt;&gt;"",$D545&lt;&gt;""),$D545-$B545,"")</f>
        <v/>
      </c>
      <c r="N545" s="53" t="str">
        <f aca="false">IF(AND($C545&lt;&gt;"",$D545&lt;&gt;""),$D545-$C545,"")</f>
        <v/>
      </c>
      <c r="O545" s="53" t="str">
        <f aca="false">IF($E545&lt;&gt;"",$E545,"")</f>
        <v/>
      </c>
      <c r="P545" s="52" t="str">
        <f aca="false">IF($F545&lt;&gt;"",$F545,"")</f>
        <v>Apprenant 533 ou 533'</v>
      </c>
      <c r="Q545" s="53" t="str">
        <f aca="false">IF(AND($G545&lt;&gt;"",$H545&lt;&gt;""),$H545-$G545,"")</f>
        <v/>
      </c>
      <c r="R545" s="53" t="str">
        <f aca="false">IF(AND($G545&lt;&gt;"",$I545&lt;&gt;""),$I545-$G545,"")</f>
        <v/>
      </c>
      <c r="S545" s="53" t="str">
        <f aca="false">IF(AND($H545&lt;&gt;"",$I545&lt;&gt;""),$I545-$H545,"")</f>
        <v/>
      </c>
      <c r="T545" s="53" t="str">
        <f aca="false">IF($J545&lt;&gt;"",$J545,"")</f>
        <v/>
      </c>
      <c r="V545" s="52" t="str">
        <f aca="false">IF($A545&lt;&gt;"",$A545,"")</f>
        <v>Apprenant 533</v>
      </c>
      <c r="W545" s="53" t="str">
        <f aca="false">IF(AND(OR('Choix pédagogiques'!$C$3=1,'Choix pédagogiques'!$C$3=2),$BM545=1),B545,IF(AND('Choix pédagogiques'!$C$3=3,$BO545=1),B545,""))</f>
        <v/>
      </c>
      <c r="X545" s="53" t="str">
        <f aca="false">IF(AND(OR('Choix pédagogiques'!$C$3=1,'Choix pédagogiques'!$C$3=2),$BM545=1),C545,IF(AND('Choix pédagogiques'!$C$3=3,$BO545=1),C545,""))</f>
        <v/>
      </c>
      <c r="Y545" s="53" t="str">
        <f aca="false">IF(AND(OR('Choix pédagogiques'!$C$3=1,'Choix pédagogiques'!$C$3=2),$BM545=1),D545,IF(AND('Choix pédagogiques'!$C$3=3,$BO545=1),D545,""))</f>
        <v/>
      </c>
      <c r="Z545" s="53" t="str">
        <f aca="false">IF($E545&lt;&gt;"",$E545,"")</f>
        <v/>
      </c>
      <c r="AA545" s="52" t="str">
        <f aca="false">IF($F545&lt;&gt;"",$F545,"")</f>
        <v>Apprenant 533 ou 533'</v>
      </c>
      <c r="AB545" s="53" t="str">
        <f aca="false">IF(AND(OR('Choix pédagogiques'!$C$3=1,'Choix pédagogiques'!$C$3=2),$BN545=1),G545,IF(AND('Choix pédagogiques'!$C$3=3,$BO545=1),G545,""))</f>
        <v/>
      </c>
      <c r="AC545" s="53" t="str">
        <f aca="false">IF(AND(OR('Choix pédagogiques'!$C$3=1,'Choix pédagogiques'!$C$3=2),$BN545=1),H545,IF(AND('Choix pédagogiques'!$C$3=3,$BO545=1),H545,""))</f>
        <v/>
      </c>
      <c r="AD545" s="53" t="str">
        <f aca="false">IF(AND(OR('Choix pédagogiques'!$C$3=1,'Choix pédagogiques'!$C$3=2),$BN545=1),I545,IF(AND('Choix pédagogiques'!$C$3=3,$BO545=1),I545,""))</f>
        <v/>
      </c>
      <c r="AE545" s="53" t="str">
        <f aca="false">IF($J545&lt;&gt;"",$J545,"")</f>
        <v/>
      </c>
      <c r="AF545" s="52" t="str">
        <f aca="false">IF($A545&lt;&gt;"",$A545,"")</f>
        <v>Apprenant 533</v>
      </c>
      <c r="AG545" s="53" t="str">
        <f aca="false">IF(AND($W545&lt;&gt;"",$X545&lt;&gt;""),$X545-$W545,"")</f>
        <v/>
      </c>
      <c r="AH545" s="53" t="str">
        <f aca="false">IF(AND($W545&lt;&gt;"",$Y545&lt;&gt;""),$Y545-$W545,"")</f>
        <v/>
      </c>
      <c r="AI545" s="53" t="str">
        <f aca="false">IF(AND($X545&lt;&gt;"",$Y545&lt;&gt;""),$Y545-$X545,"")</f>
        <v/>
      </c>
      <c r="AJ545" s="53" t="str">
        <f aca="false">IF($E545&lt;&gt;"",$E545,"")</f>
        <v/>
      </c>
      <c r="AK545" s="52" t="str">
        <f aca="false">IF($F545&lt;&gt;"",$F545,"")</f>
        <v>Apprenant 533 ou 533'</v>
      </c>
      <c r="AL545" s="53" t="str">
        <f aca="false">IF(AND($AB545&lt;&gt;"",$AC545&lt;&gt;""),$AC545-$AB545,"")</f>
        <v/>
      </c>
      <c r="AM545" s="53" t="str">
        <f aca="false">IF(AND($AB545&lt;&gt;"",$AD545&lt;&gt;""),$AD545-$AB545,"")</f>
        <v/>
      </c>
      <c r="AN545" s="53" t="str">
        <f aca="false">IF(AND($AC545&lt;&gt;"",$AD545&lt;&gt;""),$AD545-$AC545,"")</f>
        <v/>
      </c>
      <c r="AO545" s="53" t="str">
        <f aca="false">IF($J545&lt;&gt;"",$J545,"")</f>
        <v/>
      </c>
      <c r="AQ545" s="52" t="str">
        <f aca="false">IF($A545&lt;&gt;"",$A545,"")</f>
        <v>Apprenant 533</v>
      </c>
      <c r="AR545" s="55" t="str">
        <f aca="false">IF(AND('Choix pédagogiques'!$C$4&lt;&gt;"?",'Choix pédagogiques'!$C$5&lt;&gt;"?",W545&lt;&gt;""),(W545-'Choix pédagogiques'!$C$4)/('Choix pédagogiques'!$C$5-'Choix pédagogiques'!$C$4),"")</f>
        <v/>
      </c>
      <c r="AS545" s="55" t="str">
        <f aca="false">IF(AND('Choix pédagogiques'!$C$4&lt;&gt;"?",'Choix pédagogiques'!$C$5&lt;&gt;"?",X545&lt;&gt;""),(X545-'Choix pédagogiques'!$C$4)/('Choix pédagogiques'!$C$5-'Choix pédagogiques'!$C$4),"")</f>
        <v/>
      </c>
      <c r="AT545" s="55" t="str">
        <f aca="false">IF(AND('Choix pédagogiques'!$C$4&lt;&gt;"?",'Choix pédagogiques'!$C$5&lt;&gt;"?",Y545&lt;&gt;""),(Y545-'Choix pédagogiques'!$C$4)/('Choix pédagogiques'!$C$5-'Choix pédagogiques'!$C$4),"")</f>
        <v/>
      </c>
      <c r="AU545" s="53" t="str">
        <f aca="false">IF($E545&lt;&gt;"",$E545,"")</f>
        <v/>
      </c>
      <c r="AV545" s="52" t="str">
        <f aca="false">IF($F545&lt;&gt;"",$F545,"")</f>
        <v>Apprenant 533 ou 533'</v>
      </c>
      <c r="AW545" s="55" t="str">
        <f aca="false">IF(AND('Choix pédagogiques'!$C$4&lt;&gt;"?",'Choix pédagogiques'!$C$5&lt;&gt;"?",AB545&lt;&gt;""),(AB545-'Choix pédagogiques'!$C$4)/('Choix pédagogiques'!$C$5-'Choix pédagogiques'!$C$4),"")</f>
        <v/>
      </c>
      <c r="AX545" s="55" t="str">
        <f aca="false">IF(AND('Choix pédagogiques'!$C$4&lt;&gt;"?",'Choix pédagogiques'!$C$5&lt;&gt;"?",AC545&lt;&gt;""),(AC545-'Choix pédagogiques'!$C$4)/('Choix pédagogiques'!$C$5-'Choix pédagogiques'!$C$4),"")</f>
        <v/>
      </c>
      <c r="AY545" s="55" t="str">
        <f aca="false">IF(AND('Choix pédagogiques'!$C$4&lt;&gt;"?",'Choix pédagogiques'!$C$5&lt;&gt;"?",AD545&lt;&gt;""),(AD545-'Choix pédagogiques'!$C$4)/('Choix pédagogiques'!$C$5-'Choix pédagogiques'!$C$4),"")</f>
        <v/>
      </c>
      <c r="AZ545" s="53" t="str">
        <f aca="false">IF($J545&lt;&gt;"",$J545,"")</f>
        <v/>
      </c>
      <c r="BA545" s="52" t="str">
        <f aca="false">IF($A545&lt;&gt;"",$A545,"")</f>
        <v>Apprenant 533</v>
      </c>
      <c r="BB545" s="55" t="str">
        <f aca="false">IF(AND($AR545&lt;&gt;"",$AS545&lt;&gt;""),$AS545-$AR545,"")</f>
        <v/>
      </c>
      <c r="BC545" s="55" t="str">
        <f aca="false">IF(AND($AR545&lt;&gt;"",$AT545&lt;&gt;""),$AT545-$AR545,"")</f>
        <v/>
      </c>
      <c r="BD545" s="55" t="str">
        <f aca="false">IF(AND($AS545&lt;&gt;"",$AT545&lt;&gt;""),$AT545-$AS545,"")</f>
        <v/>
      </c>
      <c r="BE545" s="53" t="str">
        <f aca="false">IF($E545&lt;&gt;"",$E545,"")</f>
        <v/>
      </c>
      <c r="BF545" s="52" t="str">
        <f aca="false">IF($F545&lt;&gt;"",$F545,"")</f>
        <v>Apprenant 533 ou 533'</v>
      </c>
      <c r="BG545" s="55" t="str">
        <f aca="false">IF(AND($AW545&lt;&gt;"",$AX545&lt;&gt;""),$AX545-$AW545,"")</f>
        <v/>
      </c>
      <c r="BH545" s="55" t="str">
        <f aca="false">IF(AND($AW545&lt;&gt;"",$AY545&lt;&gt;""),$AY545-$AW545,"")</f>
        <v/>
      </c>
      <c r="BI545" s="55" t="str">
        <f aca="false">IF(AND($AX545&lt;&gt;"",$AY545&lt;&gt;""),$AY545-$AX545,"")</f>
        <v/>
      </c>
      <c r="BJ545" s="53" t="str">
        <f aca="false">IF($J545&lt;&gt;"",$J545,"")</f>
        <v/>
      </c>
      <c r="BL545" s="52"/>
      <c r="BM545" s="52" t="str">
        <f aca="false">IF(OR(COUNT(B545:D1544)=0,AND('Choix pédagogiques'!$C$3&lt;&gt;1,'Choix pédagogiques'!$C$3&lt;&gt;2)),"",IF(AND(OR('Choix pédagogiques'!$C$3=1,'Choix pédagogiques'!$C$3=2),$B545&lt;&gt;"",$C545&lt;&gt;"",$D545&lt;&gt;""),1,0))</f>
        <v/>
      </c>
      <c r="BN545" s="52" t="str">
        <f aca="false">IF(OR(COUNT(G545:I1544)=0,AND('Choix pédagogiques'!$C$3&lt;&gt;1,'Choix pédagogiques'!$C$3&lt;&gt;2)),"",IF(AND(OR('Choix pédagogiques'!$C$3=1,'Choix pédagogiques'!$C$3=2),AND($G545&lt;&gt;"",$H545&lt;&gt;"",$I545&lt;&gt;"")),1,0))</f>
        <v/>
      </c>
      <c r="BO545" s="52" t="str">
        <f aca="false">IF(OR(COUNT(B545:D1544)=0,COUNT(G545:I1544)=0,'Choix pédagogiques'!C$3&lt;&gt;3),"",IF(AND('Choix pédagogiques'!$C$3=3,$B545&lt;&gt;"",$C545&lt;&gt;"",$D545&lt;&gt;"",$G545&lt;&gt;"",$H545&lt;&gt;"",$I545&lt;&gt;""),1,0))</f>
        <v/>
      </c>
      <c r="BR545" s="52" t="n">
        <v>606</v>
      </c>
      <c r="BS545" s="52" t="n">
        <v>1014</v>
      </c>
    </row>
    <row r="546" s="54" customFormat="true" ht="18" hidden="false" customHeight="true" outlineLevel="0" collapsed="false">
      <c r="A546" s="57" t="s">
        <v>1023</v>
      </c>
      <c r="B546" s="51"/>
      <c r="C546" s="51"/>
      <c r="D546" s="51"/>
      <c r="E546" s="51"/>
      <c r="F546" s="57" t="s">
        <v>1024</v>
      </c>
      <c r="G546" s="51"/>
      <c r="H546" s="51"/>
      <c r="I546" s="51"/>
      <c r="J546" s="51"/>
      <c r="K546" s="52" t="str">
        <f aca="false">IF($A546&lt;&gt;"",$A546,"")</f>
        <v>Apprenant 534</v>
      </c>
      <c r="L546" s="53" t="str">
        <f aca="false">IF(AND($B546&lt;&gt;"",$C546&lt;&gt;""),$C546-$B546,"")</f>
        <v/>
      </c>
      <c r="M546" s="53" t="str">
        <f aca="false">IF(AND($B546&lt;&gt;"",$D546&lt;&gt;""),$D546-$B546,"")</f>
        <v/>
      </c>
      <c r="N546" s="53" t="str">
        <f aca="false">IF(AND($C546&lt;&gt;"",$D546&lt;&gt;""),$D546-$C546,"")</f>
        <v/>
      </c>
      <c r="O546" s="53" t="str">
        <f aca="false">IF($E546&lt;&gt;"",$E546,"")</f>
        <v/>
      </c>
      <c r="P546" s="52" t="str">
        <f aca="false">IF($F546&lt;&gt;"",$F546,"")</f>
        <v>Apprenant 534 ou 534'</v>
      </c>
      <c r="Q546" s="53" t="str">
        <f aca="false">IF(AND($G546&lt;&gt;"",$H546&lt;&gt;""),$H546-$G546,"")</f>
        <v/>
      </c>
      <c r="R546" s="53" t="str">
        <f aca="false">IF(AND($G546&lt;&gt;"",$I546&lt;&gt;""),$I546-$G546,"")</f>
        <v/>
      </c>
      <c r="S546" s="53" t="str">
        <f aca="false">IF(AND($H546&lt;&gt;"",$I546&lt;&gt;""),$I546-$H546,"")</f>
        <v/>
      </c>
      <c r="T546" s="53" t="str">
        <f aca="false">IF($J546&lt;&gt;"",$J546,"")</f>
        <v/>
      </c>
      <c r="V546" s="52" t="str">
        <f aca="false">IF($A546&lt;&gt;"",$A546,"")</f>
        <v>Apprenant 534</v>
      </c>
      <c r="W546" s="53" t="str">
        <f aca="false">IF(AND(OR('Choix pédagogiques'!$C$3=1,'Choix pédagogiques'!$C$3=2),$BM546=1),B546,IF(AND('Choix pédagogiques'!$C$3=3,$BO546=1),B546,""))</f>
        <v/>
      </c>
      <c r="X546" s="53" t="str">
        <f aca="false">IF(AND(OR('Choix pédagogiques'!$C$3=1,'Choix pédagogiques'!$C$3=2),$BM546=1),C546,IF(AND('Choix pédagogiques'!$C$3=3,$BO546=1),C546,""))</f>
        <v/>
      </c>
      <c r="Y546" s="53" t="str">
        <f aca="false">IF(AND(OR('Choix pédagogiques'!$C$3=1,'Choix pédagogiques'!$C$3=2),$BM546=1),D546,IF(AND('Choix pédagogiques'!$C$3=3,$BO546=1),D546,""))</f>
        <v/>
      </c>
      <c r="Z546" s="53" t="str">
        <f aca="false">IF($E546&lt;&gt;"",$E546,"")</f>
        <v/>
      </c>
      <c r="AA546" s="52" t="str">
        <f aca="false">IF($F546&lt;&gt;"",$F546,"")</f>
        <v>Apprenant 534 ou 534'</v>
      </c>
      <c r="AB546" s="53" t="str">
        <f aca="false">IF(AND(OR('Choix pédagogiques'!$C$3=1,'Choix pédagogiques'!$C$3=2),$BN546=1),G546,IF(AND('Choix pédagogiques'!$C$3=3,$BO546=1),G546,""))</f>
        <v/>
      </c>
      <c r="AC546" s="53" t="str">
        <f aca="false">IF(AND(OR('Choix pédagogiques'!$C$3=1,'Choix pédagogiques'!$C$3=2),$BN546=1),H546,IF(AND('Choix pédagogiques'!$C$3=3,$BO546=1),H546,""))</f>
        <v/>
      </c>
      <c r="AD546" s="53" t="str">
        <f aca="false">IF(AND(OR('Choix pédagogiques'!$C$3=1,'Choix pédagogiques'!$C$3=2),$BN546=1),I546,IF(AND('Choix pédagogiques'!$C$3=3,$BO546=1),I546,""))</f>
        <v/>
      </c>
      <c r="AE546" s="53" t="str">
        <f aca="false">IF($J546&lt;&gt;"",$J546,"")</f>
        <v/>
      </c>
      <c r="AF546" s="52" t="str">
        <f aca="false">IF($A546&lt;&gt;"",$A546,"")</f>
        <v>Apprenant 534</v>
      </c>
      <c r="AG546" s="53" t="str">
        <f aca="false">IF(AND($W546&lt;&gt;"",$X546&lt;&gt;""),$X546-$W546,"")</f>
        <v/>
      </c>
      <c r="AH546" s="53" t="str">
        <f aca="false">IF(AND($W546&lt;&gt;"",$Y546&lt;&gt;""),$Y546-$W546,"")</f>
        <v/>
      </c>
      <c r="AI546" s="53" t="str">
        <f aca="false">IF(AND($X546&lt;&gt;"",$Y546&lt;&gt;""),$Y546-$X546,"")</f>
        <v/>
      </c>
      <c r="AJ546" s="53" t="str">
        <f aca="false">IF($E546&lt;&gt;"",$E546,"")</f>
        <v/>
      </c>
      <c r="AK546" s="52" t="str">
        <f aca="false">IF($F546&lt;&gt;"",$F546,"")</f>
        <v>Apprenant 534 ou 534'</v>
      </c>
      <c r="AL546" s="53" t="str">
        <f aca="false">IF(AND($AB546&lt;&gt;"",$AC546&lt;&gt;""),$AC546-$AB546,"")</f>
        <v/>
      </c>
      <c r="AM546" s="53" t="str">
        <f aca="false">IF(AND($AB546&lt;&gt;"",$AD546&lt;&gt;""),$AD546-$AB546,"")</f>
        <v/>
      </c>
      <c r="AN546" s="53" t="str">
        <f aca="false">IF(AND($AC546&lt;&gt;"",$AD546&lt;&gt;""),$AD546-$AC546,"")</f>
        <v/>
      </c>
      <c r="AO546" s="53" t="str">
        <f aca="false">IF($J546&lt;&gt;"",$J546,"")</f>
        <v/>
      </c>
      <c r="AQ546" s="52" t="str">
        <f aca="false">IF($A546&lt;&gt;"",$A546,"")</f>
        <v>Apprenant 534</v>
      </c>
      <c r="AR546" s="55" t="str">
        <f aca="false">IF(AND('Choix pédagogiques'!$C$4&lt;&gt;"?",'Choix pédagogiques'!$C$5&lt;&gt;"?",W546&lt;&gt;""),(W546-'Choix pédagogiques'!$C$4)/('Choix pédagogiques'!$C$5-'Choix pédagogiques'!$C$4),"")</f>
        <v/>
      </c>
      <c r="AS546" s="55" t="str">
        <f aca="false">IF(AND('Choix pédagogiques'!$C$4&lt;&gt;"?",'Choix pédagogiques'!$C$5&lt;&gt;"?",X546&lt;&gt;""),(X546-'Choix pédagogiques'!$C$4)/('Choix pédagogiques'!$C$5-'Choix pédagogiques'!$C$4),"")</f>
        <v/>
      </c>
      <c r="AT546" s="55" t="str">
        <f aca="false">IF(AND('Choix pédagogiques'!$C$4&lt;&gt;"?",'Choix pédagogiques'!$C$5&lt;&gt;"?",Y546&lt;&gt;""),(Y546-'Choix pédagogiques'!$C$4)/('Choix pédagogiques'!$C$5-'Choix pédagogiques'!$C$4),"")</f>
        <v/>
      </c>
      <c r="AU546" s="53" t="str">
        <f aca="false">IF($E546&lt;&gt;"",$E546,"")</f>
        <v/>
      </c>
      <c r="AV546" s="52" t="str">
        <f aca="false">IF($F546&lt;&gt;"",$F546,"")</f>
        <v>Apprenant 534 ou 534'</v>
      </c>
      <c r="AW546" s="55" t="str">
        <f aca="false">IF(AND('Choix pédagogiques'!$C$4&lt;&gt;"?",'Choix pédagogiques'!$C$5&lt;&gt;"?",AB546&lt;&gt;""),(AB546-'Choix pédagogiques'!$C$4)/('Choix pédagogiques'!$C$5-'Choix pédagogiques'!$C$4),"")</f>
        <v/>
      </c>
      <c r="AX546" s="55" t="str">
        <f aca="false">IF(AND('Choix pédagogiques'!$C$4&lt;&gt;"?",'Choix pédagogiques'!$C$5&lt;&gt;"?",AC546&lt;&gt;""),(AC546-'Choix pédagogiques'!$C$4)/('Choix pédagogiques'!$C$5-'Choix pédagogiques'!$C$4),"")</f>
        <v/>
      </c>
      <c r="AY546" s="55" t="str">
        <f aca="false">IF(AND('Choix pédagogiques'!$C$4&lt;&gt;"?",'Choix pédagogiques'!$C$5&lt;&gt;"?",AD546&lt;&gt;""),(AD546-'Choix pédagogiques'!$C$4)/('Choix pédagogiques'!$C$5-'Choix pédagogiques'!$C$4),"")</f>
        <v/>
      </c>
      <c r="AZ546" s="53" t="str">
        <f aca="false">IF($J546&lt;&gt;"",$J546,"")</f>
        <v/>
      </c>
      <c r="BA546" s="52" t="str">
        <f aca="false">IF($A546&lt;&gt;"",$A546,"")</f>
        <v>Apprenant 534</v>
      </c>
      <c r="BB546" s="55" t="str">
        <f aca="false">IF(AND($AR546&lt;&gt;"",$AS546&lt;&gt;""),$AS546-$AR546,"")</f>
        <v/>
      </c>
      <c r="BC546" s="55" t="str">
        <f aca="false">IF(AND($AR546&lt;&gt;"",$AT546&lt;&gt;""),$AT546-$AR546,"")</f>
        <v/>
      </c>
      <c r="BD546" s="55" t="str">
        <f aca="false">IF(AND($AS546&lt;&gt;"",$AT546&lt;&gt;""),$AT546-$AS546,"")</f>
        <v/>
      </c>
      <c r="BE546" s="53" t="str">
        <f aca="false">IF($E546&lt;&gt;"",$E546,"")</f>
        <v/>
      </c>
      <c r="BF546" s="52" t="str">
        <f aca="false">IF($F546&lt;&gt;"",$F546,"")</f>
        <v>Apprenant 534 ou 534'</v>
      </c>
      <c r="BG546" s="55" t="str">
        <f aca="false">IF(AND($AW546&lt;&gt;"",$AX546&lt;&gt;""),$AX546-$AW546,"")</f>
        <v/>
      </c>
      <c r="BH546" s="55" t="str">
        <f aca="false">IF(AND($AW546&lt;&gt;"",$AY546&lt;&gt;""),$AY546-$AW546,"")</f>
        <v/>
      </c>
      <c r="BI546" s="55" t="str">
        <f aca="false">IF(AND($AX546&lt;&gt;"",$AY546&lt;&gt;""),$AY546-$AX546,"")</f>
        <v/>
      </c>
      <c r="BJ546" s="53" t="str">
        <f aca="false">IF($J546&lt;&gt;"",$J546,"")</f>
        <v/>
      </c>
      <c r="BL546" s="52"/>
      <c r="BM546" s="52" t="str">
        <f aca="false">IF(OR(COUNT(B546:D1545)=0,AND('Choix pédagogiques'!$C$3&lt;&gt;1,'Choix pédagogiques'!$C$3&lt;&gt;2)),"",IF(AND(OR('Choix pédagogiques'!$C$3=1,'Choix pédagogiques'!$C$3=2),$B546&lt;&gt;"",$C546&lt;&gt;"",$D546&lt;&gt;""),1,0))</f>
        <v/>
      </c>
      <c r="BN546" s="52" t="str">
        <f aca="false">IF(OR(COUNT(G546:I1545)=0,AND('Choix pédagogiques'!$C$3&lt;&gt;1,'Choix pédagogiques'!$C$3&lt;&gt;2)),"",IF(AND(OR('Choix pédagogiques'!$C$3=1,'Choix pédagogiques'!$C$3=2),AND($G546&lt;&gt;"",$H546&lt;&gt;"",$I546&lt;&gt;"")),1,0))</f>
        <v/>
      </c>
      <c r="BO546" s="52" t="str">
        <f aca="false">IF(OR(COUNT(B546:D1545)=0,COUNT(G546:I1545)=0,'Choix pédagogiques'!C$3&lt;&gt;3),"",IF(AND('Choix pédagogiques'!$C$3=3,$B546&lt;&gt;"",$C546&lt;&gt;"",$D546&lt;&gt;"",$G546&lt;&gt;"",$H546&lt;&gt;"",$I546&lt;&gt;""),1,0))</f>
        <v/>
      </c>
      <c r="BR546" s="52" t="n">
        <v>491</v>
      </c>
      <c r="BS546" s="52" t="n">
        <v>1709</v>
      </c>
    </row>
    <row r="547" s="54" customFormat="true" ht="18" hidden="false" customHeight="true" outlineLevel="0" collapsed="false">
      <c r="A547" s="57" t="s">
        <v>1025</v>
      </c>
      <c r="B547" s="51"/>
      <c r="C547" s="51"/>
      <c r="D547" s="51"/>
      <c r="E547" s="51"/>
      <c r="F547" s="57" t="s">
        <v>1026</v>
      </c>
      <c r="G547" s="51"/>
      <c r="H547" s="51"/>
      <c r="I547" s="51"/>
      <c r="J547" s="51"/>
      <c r="K547" s="52" t="str">
        <f aca="false">IF($A547&lt;&gt;"",$A547,"")</f>
        <v>Apprenant 535</v>
      </c>
      <c r="L547" s="53" t="str">
        <f aca="false">IF(AND($B547&lt;&gt;"",$C547&lt;&gt;""),$C547-$B547,"")</f>
        <v/>
      </c>
      <c r="M547" s="53" t="str">
        <f aca="false">IF(AND($B547&lt;&gt;"",$D547&lt;&gt;""),$D547-$B547,"")</f>
        <v/>
      </c>
      <c r="N547" s="53" t="str">
        <f aca="false">IF(AND($C547&lt;&gt;"",$D547&lt;&gt;""),$D547-$C547,"")</f>
        <v/>
      </c>
      <c r="O547" s="53" t="str">
        <f aca="false">IF($E547&lt;&gt;"",$E547,"")</f>
        <v/>
      </c>
      <c r="P547" s="52" t="str">
        <f aca="false">IF($F547&lt;&gt;"",$F547,"")</f>
        <v>Apprenant 535 ou 535'</v>
      </c>
      <c r="Q547" s="53" t="str">
        <f aca="false">IF(AND($G547&lt;&gt;"",$H547&lt;&gt;""),$H547-$G547,"")</f>
        <v/>
      </c>
      <c r="R547" s="53" t="str">
        <f aca="false">IF(AND($G547&lt;&gt;"",$I547&lt;&gt;""),$I547-$G547,"")</f>
        <v/>
      </c>
      <c r="S547" s="53" t="str">
        <f aca="false">IF(AND($H547&lt;&gt;"",$I547&lt;&gt;""),$I547-$H547,"")</f>
        <v/>
      </c>
      <c r="T547" s="53" t="str">
        <f aca="false">IF($J547&lt;&gt;"",$J547,"")</f>
        <v/>
      </c>
      <c r="V547" s="52" t="str">
        <f aca="false">IF($A547&lt;&gt;"",$A547,"")</f>
        <v>Apprenant 535</v>
      </c>
      <c r="W547" s="53" t="str">
        <f aca="false">IF(AND(OR('Choix pédagogiques'!$C$3=1,'Choix pédagogiques'!$C$3=2),$BM547=1),B547,IF(AND('Choix pédagogiques'!$C$3=3,$BO547=1),B547,""))</f>
        <v/>
      </c>
      <c r="X547" s="53" t="str">
        <f aca="false">IF(AND(OR('Choix pédagogiques'!$C$3=1,'Choix pédagogiques'!$C$3=2),$BM547=1),C547,IF(AND('Choix pédagogiques'!$C$3=3,$BO547=1),C547,""))</f>
        <v/>
      </c>
      <c r="Y547" s="53" t="str">
        <f aca="false">IF(AND(OR('Choix pédagogiques'!$C$3=1,'Choix pédagogiques'!$C$3=2),$BM547=1),D547,IF(AND('Choix pédagogiques'!$C$3=3,$BO547=1),D547,""))</f>
        <v/>
      </c>
      <c r="Z547" s="53" t="str">
        <f aca="false">IF($E547&lt;&gt;"",$E547,"")</f>
        <v/>
      </c>
      <c r="AA547" s="52" t="str">
        <f aca="false">IF($F547&lt;&gt;"",$F547,"")</f>
        <v>Apprenant 535 ou 535'</v>
      </c>
      <c r="AB547" s="53" t="str">
        <f aca="false">IF(AND(OR('Choix pédagogiques'!$C$3=1,'Choix pédagogiques'!$C$3=2),$BN547=1),G547,IF(AND('Choix pédagogiques'!$C$3=3,$BO547=1),G547,""))</f>
        <v/>
      </c>
      <c r="AC547" s="53" t="str">
        <f aca="false">IF(AND(OR('Choix pédagogiques'!$C$3=1,'Choix pédagogiques'!$C$3=2),$BN547=1),H547,IF(AND('Choix pédagogiques'!$C$3=3,$BO547=1),H547,""))</f>
        <v/>
      </c>
      <c r="AD547" s="53" t="str">
        <f aca="false">IF(AND(OR('Choix pédagogiques'!$C$3=1,'Choix pédagogiques'!$C$3=2),$BN547=1),I547,IF(AND('Choix pédagogiques'!$C$3=3,$BO547=1),I547,""))</f>
        <v/>
      </c>
      <c r="AE547" s="53" t="str">
        <f aca="false">IF($J547&lt;&gt;"",$J547,"")</f>
        <v/>
      </c>
      <c r="AF547" s="52" t="str">
        <f aca="false">IF($A547&lt;&gt;"",$A547,"")</f>
        <v>Apprenant 535</v>
      </c>
      <c r="AG547" s="53" t="str">
        <f aca="false">IF(AND($W547&lt;&gt;"",$X547&lt;&gt;""),$X547-$W547,"")</f>
        <v/>
      </c>
      <c r="AH547" s="53" t="str">
        <f aca="false">IF(AND($W547&lt;&gt;"",$Y547&lt;&gt;""),$Y547-$W547,"")</f>
        <v/>
      </c>
      <c r="AI547" s="53" t="str">
        <f aca="false">IF(AND($X547&lt;&gt;"",$Y547&lt;&gt;""),$Y547-$X547,"")</f>
        <v/>
      </c>
      <c r="AJ547" s="53" t="str">
        <f aca="false">IF($E547&lt;&gt;"",$E547,"")</f>
        <v/>
      </c>
      <c r="AK547" s="52" t="str">
        <f aca="false">IF($F547&lt;&gt;"",$F547,"")</f>
        <v>Apprenant 535 ou 535'</v>
      </c>
      <c r="AL547" s="53" t="str">
        <f aca="false">IF(AND($AB547&lt;&gt;"",$AC547&lt;&gt;""),$AC547-$AB547,"")</f>
        <v/>
      </c>
      <c r="AM547" s="53" t="str">
        <f aca="false">IF(AND($AB547&lt;&gt;"",$AD547&lt;&gt;""),$AD547-$AB547,"")</f>
        <v/>
      </c>
      <c r="AN547" s="53" t="str">
        <f aca="false">IF(AND($AC547&lt;&gt;"",$AD547&lt;&gt;""),$AD547-$AC547,"")</f>
        <v/>
      </c>
      <c r="AO547" s="53" t="str">
        <f aca="false">IF($J547&lt;&gt;"",$J547,"")</f>
        <v/>
      </c>
      <c r="AQ547" s="52" t="str">
        <f aca="false">IF($A547&lt;&gt;"",$A547,"")</f>
        <v>Apprenant 535</v>
      </c>
      <c r="AR547" s="55" t="str">
        <f aca="false">IF(AND('Choix pédagogiques'!$C$4&lt;&gt;"?",'Choix pédagogiques'!$C$5&lt;&gt;"?",W547&lt;&gt;""),(W547-'Choix pédagogiques'!$C$4)/('Choix pédagogiques'!$C$5-'Choix pédagogiques'!$C$4),"")</f>
        <v/>
      </c>
      <c r="AS547" s="55" t="str">
        <f aca="false">IF(AND('Choix pédagogiques'!$C$4&lt;&gt;"?",'Choix pédagogiques'!$C$5&lt;&gt;"?",X547&lt;&gt;""),(X547-'Choix pédagogiques'!$C$4)/('Choix pédagogiques'!$C$5-'Choix pédagogiques'!$C$4),"")</f>
        <v/>
      </c>
      <c r="AT547" s="55" t="str">
        <f aca="false">IF(AND('Choix pédagogiques'!$C$4&lt;&gt;"?",'Choix pédagogiques'!$C$5&lt;&gt;"?",Y547&lt;&gt;""),(Y547-'Choix pédagogiques'!$C$4)/('Choix pédagogiques'!$C$5-'Choix pédagogiques'!$C$4),"")</f>
        <v/>
      </c>
      <c r="AU547" s="53" t="str">
        <f aca="false">IF($E547&lt;&gt;"",$E547,"")</f>
        <v/>
      </c>
      <c r="AV547" s="52" t="str">
        <f aca="false">IF($F547&lt;&gt;"",$F547,"")</f>
        <v>Apprenant 535 ou 535'</v>
      </c>
      <c r="AW547" s="55" t="str">
        <f aca="false">IF(AND('Choix pédagogiques'!$C$4&lt;&gt;"?",'Choix pédagogiques'!$C$5&lt;&gt;"?",AB547&lt;&gt;""),(AB547-'Choix pédagogiques'!$C$4)/('Choix pédagogiques'!$C$5-'Choix pédagogiques'!$C$4),"")</f>
        <v/>
      </c>
      <c r="AX547" s="55" t="str">
        <f aca="false">IF(AND('Choix pédagogiques'!$C$4&lt;&gt;"?",'Choix pédagogiques'!$C$5&lt;&gt;"?",AC547&lt;&gt;""),(AC547-'Choix pédagogiques'!$C$4)/('Choix pédagogiques'!$C$5-'Choix pédagogiques'!$C$4),"")</f>
        <v/>
      </c>
      <c r="AY547" s="55" t="str">
        <f aca="false">IF(AND('Choix pédagogiques'!$C$4&lt;&gt;"?",'Choix pédagogiques'!$C$5&lt;&gt;"?",AD547&lt;&gt;""),(AD547-'Choix pédagogiques'!$C$4)/('Choix pédagogiques'!$C$5-'Choix pédagogiques'!$C$4),"")</f>
        <v/>
      </c>
      <c r="AZ547" s="53" t="str">
        <f aca="false">IF($J547&lt;&gt;"",$J547,"")</f>
        <v/>
      </c>
      <c r="BA547" s="52" t="str">
        <f aca="false">IF($A547&lt;&gt;"",$A547,"")</f>
        <v>Apprenant 535</v>
      </c>
      <c r="BB547" s="55" t="str">
        <f aca="false">IF(AND($AR547&lt;&gt;"",$AS547&lt;&gt;""),$AS547-$AR547,"")</f>
        <v/>
      </c>
      <c r="BC547" s="55" t="str">
        <f aca="false">IF(AND($AR547&lt;&gt;"",$AT547&lt;&gt;""),$AT547-$AR547,"")</f>
        <v/>
      </c>
      <c r="BD547" s="55" t="str">
        <f aca="false">IF(AND($AS547&lt;&gt;"",$AT547&lt;&gt;""),$AT547-$AS547,"")</f>
        <v/>
      </c>
      <c r="BE547" s="53" t="str">
        <f aca="false">IF($E547&lt;&gt;"",$E547,"")</f>
        <v/>
      </c>
      <c r="BF547" s="52" t="str">
        <f aca="false">IF($F547&lt;&gt;"",$F547,"")</f>
        <v>Apprenant 535 ou 535'</v>
      </c>
      <c r="BG547" s="55" t="str">
        <f aca="false">IF(AND($AW547&lt;&gt;"",$AX547&lt;&gt;""),$AX547-$AW547,"")</f>
        <v/>
      </c>
      <c r="BH547" s="55" t="str">
        <f aca="false">IF(AND($AW547&lt;&gt;"",$AY547&lt;&gt;""),$AY547-$AW547,"")</f>
        <v/>
      </c>
      <c r="BI547" s="55" t="str">
        <f aca="false">IF(AND($AX547&lt;&gt;"",$AY547&lt;&gt;""),$AY547-$AX547,"")</f>
        <v/>
      </c>
      <c r="BJ547" s="53" t="str">
        <f aca="false">IF($J547&lt;&gt;"",$J547,"")</f>
        <v/>
      </c>
      <c r="BL547" s="52"/>
      <c r="BM547" s="52" t="str">
        <f aca="false">IF(OR(COUNT(B547:D1546)=0,AND('Choix pédagogiques'!$C$3&lt;&gt;1,'Choix pédagogiques'!$C$3&lt;&gt;2)),"",IF(AND(OR('Choix pédagogiques'!$C$3=1,'Choix pédagogiques'!$C$3=2),$B547&lt;&gt;"",$C547&lt;&gt;"",$D547&lt;&gt;""),1,0))</f>
        <v/>
      </c>
      <c r="BN547" s="52" t="str">
        <f aca="false">IF(OR(COUNT(G547:I1546)=0,AND('Choix pédagogiques'!$C$3&lt;&gt;1,'Choix pédagogiques'!$C$3&lt;&gt;2)),"",IF(AND(OR('Choix pédagogiques'!$C$3=1,'Choix pédagogiques'!$C$3=2),AND($G547&lt;&gt;"",$H547&lt;&gt;"",$I547&lt;&gt;"")),1,0))</f>
        <v/>
      </c>
      <c r="BO547" s="52" t="str">
        <f aca="false">IF(OR(COUNT(B547:D1546)=0,COUNT(G547:I1546)=0,'Choix pédagogiques'!C$3&lt;&gt;3),"",IF(AND('Choix pédagogiques'!$C$3=3,$B547&lt;&gt;"",$C547&lt;&gt;"",$D547&lt;&gt;"",$G547&lt;&gt;"",$H547&lt;&gt;"",$I547&lt;&gt;""),1,0))</f>
        <v/>
      </c>
      <c r="BR547" s="52" t="n">
        <v>906</v>
      </c>
      <c r="BS547" s="52" t="n">
        <v>1069</v>
      </c>
    </row>
    <row r="548" s="54" customFormat="true" ht="18" hidden="false" customHeight="true" outlineLevel="0" collapsed="false">
      <c r="A548" s="57" t="s">
        <v>1027</v>
      </c>
      <c r="B548" s="51"/>
      <c r="C548" s="51"/>
      <c r="D548" s="51"/>
      <c r="E548" s="51"/>
      <c r="F548" s="57" t="s">
        <v>1028</v>
      </c>
      <c r="G548" s="51"/>
      <c r="H548" s="51"/>
      <c r="I548" s="51"/>
      <c r="J548" s="51"/>
      <c r="K548" s="52" t="str">
        <f aca="false">IF($A548&lt;&gt;"",$A548,"")</f>
        <v>Apprenant 536</v>
      </c>
      <c r="L548" s="53" t="str">
        <f aca="false">IF(AND($B548&lt;&gt;"",$C548&lt;&gt;""),$C548-$B548,"")</f>
        <v/>
      </c>
      <c r="M548" s="53" t="str">
        <f aca="false">IF(AND($B548&lt;&gt;"",$D548&lt;&gt;""),$D548-$B548,"")</f>
        <v/>
      </c>
      <c r="N548" s="53" t="str">
        <f aca="false">IF(AND($C548&lt;&gt;"",$D548&lt;&gt;""),$D548-$C548,"")</f>
        <v/>
      </c>
      <c r="O548" s="53" t="str">
        <f aca="false">IF($E548&lt;&gt;"",$E548,"")</f>
        <v/>
      </c>
      <c r="P548" s="52" t="str">
        <f aca="false">IF($F548&lt;&gt;"",$F548,"")</f>
        <v>Apprenant 536 ou 536'</v>
      </c>
      <c r="Q548" s="53" t="str">
        <f aca="false">IF(AND($G548&lt;&gt;"",$H548&lt;&gt;""),$H548-$G548,"")</f>
        <v/>
      </c>
      <c r="R548" s="53" t="str">
        <f aca="false">IF(AND($G548&lt;&gt;"",$I548&lt;&gt;""),$I548-$G548,"")</f>
        <v/>
      </c>
      <c r="S548" s="53" t="str">
        <f aca="false">IF(AND($H548&lt;&gt;"",$I548&lt;&gt;""),$I548-$H548,"")</f>
        <v/>
      </c>
      <c r="T548" s="53" t="str">
        <f aca="false">IF($J548&lt;&gt;"",$J548,"")</f>
        <v/>
      </c>
      <c r="V548" s="52" t="str">
        <f aca="false">IF($A548&lt;&gt;"",$A548,"")</f>
        <v>Apprenant 536</v>
      </c>
      <c r="W548" s="53" t="str">
        <f aca="false">IF(AND(OR('Choix pédagogiques'!$C$3=1,'Choix pédagogiques'!$C$3=2),$BM548=1),B548,IF(AND('Choix pédagogiques'!$C$3=3,$BO548=1),B548,""))</f>
        <v/>
      </c>
      <c r="X548" s="53" t="str">
        <f aca="false">IF(AND(OR('Choix pédagogiques'!$C$3=1,'Choix pédagogiques'!$C$3=2),$BM548=1),C548,IF(AND('Choix pédagogiques'!$C$3=3,$BO548=1),C548,""))</f>
        <v/>
      </c>
      <c r="Y548" s="53" t="str">
        <f aca="false">IF(AND(OR('Choix pédagogiques'!$C$3=1,'Choix pédagogiques'!$C$3=2),$BM548=1),D548,IF(AND('Choix pédagogiques'!$C$3=3,$BO548=1),D548,""))</f>
        <v/>
      </c>
      <c r="Z548" s="53" t="str">
        <f aca="false">IF($E548&lt;&gt;"",$E548,"")</f>
        <v/>
      </c>
      <c r="AA548" s="52" t="str">
        <f aca="false">IF($F548&lt;&gt;"",$F548,"")</f>
        <v>Apprenant 536 ou 536'</v>
      </c>
      <c r="AB548" s="53" t="str">
        <f aca="false">IF(AND(OR('Choix pédagogiques'!$C$3=1,'Choix pédagogiques'!$C$3=2),$BN548=1),G548,IF(AND('Choix pédagogiques'!$C$3=3,$BO548=1),G548,""))</f>
        <v/>
      </c>
      <c r="AC548" s="53" t="str">
        <f aca="false">IF(AND(OR('Choix pédagogiques'!$C$3=1,'Choix pédagogiques'!$C$3=2),$BN548=1),H548,IF(AND('Choix pédagogiques'!$C$3=3,$BO548=1),H548,""))</f>
        <v/>
      </c>
      <c r="AD548" s="53" t="str">
        <f aca="false">IF(AND(OR('Choix pédagogiques'!$C$3=1,'Choix pédagogiques'!$C$3=2),$BN548=1),I548,IF(AND('Choix pédagogiques'!$C$3=3,$BO548=1),I548,""))</f>
        <v/>
      </c>
      <c r="AE548" s="53" t="str">
        <f aca="false">IF($J548&lt;&gt;"",$J548,"")</f>
        <v/>
      </c>
      <c r="AF548" s="52" t="str">
        <f aca="false">IF($A548&lt;&gt;"",$A548,"")</f>
        <v>Apprenant 536</v>
      </c>
      <c r="AG548" s="53" t="str">
        <f aca="false">IF(AND($W548&lt;&gt;"",$X548&lt;&gt;""),$X548-$W548,"")</f>
        <v/>
      </c>
      <c r="AH548" s="53" t="str">
        <f aca="false">IF(AND($W548&lt;&gt;"",$Y548&lt;&gt;""),$Y548-$W548,"")</f>
        <v/>
      </c>
      <c r="AI548" s="53" t="str">
        <f aca="false">IF(AND($X548&lt;&gt;"",$Y548&lt;&gt;""),$Y548-$X548,"")</f>
        <v/>
      </c>
      <c r="AJ548" s="53" t="str">
        <f aca="false">IF($E548&lt;&gt;"",$E548,"")</f>
        <v/>
      </c>
      <c r="AK548" s="52" t="str">
        <f aca="false">IF($F548&lt;&gt;"",$F548,"")</f>
        <v>Apprenant 536 ou 536'</v>
      </c>
      <c r="AL548" s="53" t="str">
        <f aca="false">IF(AND($AB548&lt;&gt;"",$AC548&lt;&gt;""),$AC548-$AB548,"")</f>
        <v/>
      </c>
      <c r="AM548" s="53" t="str">
        <f aca="false">IF(AND($AB548&lt;&gt;"",$AD548&lt;&gt;""),$AD548-$AB548,"")</f>
        <v/>
      </c>
      <c r="AN548" s="53" t="str">
        <f aca="false">IF(AND($AC548&lt;&gt;"",$AD548&lt;&gt;""),$AD548-$AC548,"")</f>
        <v/>
      </c>
      <c r="AO548" s="53" t="str">
        <f aca="false">IF($J548&lt;&gt;"",$J548,"")</f>
        <v/>
      </c>
      <c r="AQ548" s="52" t="str">
        <f aca="false">IF($A548&lt;&gt;"",$A548,"")</f>
        <v>Apprenant 536</v>
      </c>
      <c r="AR548" s="55" t="str">
        <f aca="false">IF(AND('Choix pédagogiques'!$C$4&lt;&gt;"?",'Choix pédagogiques'!$C$5&lt;&gt;"?",W548&lt;&gt;""),(W548-'Choix pédagogiques'!$C$4)/('Choix pédagogiques'!$C$5-'Choix pédagogiques'!$C$4),"")</f>
        <v/>
      </c>
      <c r="AS548" s="55" t="str">
        <f aca="false">IF(AND('Choix pédagogiques'!$C$4&lt;&gt;"?",'Choix pédagogiques'!$C$5&lt;&gt;"?",X548&lt;&gt;""),(X548-'Choix pédagogiques'!$C$4)/('Choix pédagogiques'!$C$5-'Choix pédagogiques'!$C$4),"")</f>
        <v/>
      </c>
      <c r="AT548" s="55" t="str">
        <f aca="false">IF(AND('Choix pédagogiques'!$C$4&lt;&gt;"?",'Choix pédagogiques'!$C$5&lt;&gt;"?",Y548&lt;&gt;""),(Y548-'Choix pédagogiques'!$C$4)/('Choix pédagogiques'!$C$5-'Choix pédagogiques'!$C$4),"")</f>
        <v/>
      </c>
      <c r="AU548" s="53" t="str">
        <f aca="false">IF($E548&lt;&gt;"",$E548,"")</f>
        <v/>
      </c>
      <c r="AV548" s="52" t="str">
        <f aca="false">IF($F548&lt;&gt;"",$F548,"")</f>
        <v>Apprenant 536 ou 536'</v>
      </c>
      <c r="AW548" s="55" t="str">
        <f aca="false">IF(AND('Choix pédagogiques'!$C$4&lt;&gt;"?",'Choix pédagogiques'!$C$5&lt;&gt;"?",AB548&lt;&gt;""),(AB548-'Choix pédagogiques'!$C$4)/('Choix pédagogiques'!$C$5-'Choix pédagogiques'!$C$4),"")</f>
        <v/>
      </c>
      <c r="AX548" s="55" t="str">
        <f aca="false">IF(AND('Choix pédagogiques'!$C$4&lt;&gt;"?",'Choix pédagogiques'!$C$5&lt;&gt;"?",AC548&lt;&gt;""),(AC548-'Choix pédagogiques'!$C$4)/('Choix pédagogiques'!$C$5-'Choix pédagogiques'!$C$4),"")</f>
        <v/>
      </c>
      <c r="AY548" s="55" t="str">
        <f aca="false">IF(AND('Choix pédagogiques'!$C$4&lt;&gt;"?",'Choix pédagogiques'!$C$5&lt;&gt;"?",AD548&lt;&gt;""),(AD548-'Choix pédagogiques'!$C$4)/('Choix pédagogiques'!$C$5-'Choix pédagogiques'!$C$4),"")</f>
        <v/>
      </c>
      <c r="AZ548" s="53" t="str">
        <f aca="false">IF($J548&lt;&gt;"",$J548,"")</f>
        <v/>
      </c>
      <c r="BA548" s="52" t="str">
        <f aca="false">IF($A548&lt;&gt;"",$A548,"")</f>
        <v>Apprenant 536</v>
      </c>
      <c r="BB548" s="55" t="str">
        <f aca="false">IF(AND($AR548&lt;&gt;"",$AS548&lt;&gt;""),$AS548-$AR548,"")</f>
        <v/>
      </c>
      <c r="BC548" s="55" t="str">
        <f aca="false">IF(AND($AR548&lt;&gt;"",$AT548&lt;&gt;""),$AT548-$AR548,"")</f>
        <v/>
      </c>
      <c r="BD548" s="55" t="str">
        <f aca="false">IF(AND($AS548&lt;&gt;"",$AT548&lt;&gt;""),$AT548-$AS548,"")</f>
        <v/>
      </c>
      <c r="BE548" s="53" t="str">
        <f aca="false">IF($E548&lt;&gt;"",$E548,"")</f>
        <v/>
      </c>
      <c r="BF548" s="52" t="str">
        <f aca="false">IF($F548&lt;&gt;"",$F548,"")</f>
        <v>Apprenant 536 ou 536'</v>
      </c>
      <c r="BG548" s="55" t="str">
        <f aca="false">IF(AND($AW548&lt;&gt;"",$AX548&lt;&gt;""),$AX548-$AW548,"")</f>
        <v/>
      </c>
      <c r="BH548" s="55" t="str">
        <f aca="false">IF(AND($AW548&lt;&gt;"",$AY548&lt;&gt;""),$AY548-$AW548,"")</f>
        <v/>
      </c>
      <c r="BI548" s="55" t="str">
        <f aca="false">IF(AND($AX548&lt;&gt;"",$AY548&lt;&gt;""),$AY548-$AX548,"")</f>
        <v/>
      </c>
      <c r="BJ548" s="53" t="str">
        <f aca="false">IF($J548&lt;&gt;"",$J548,"")</f>
        <v/>
      </c>
      <c r="BL548" s="52"/>
      <c r="BM548" s="52" t="str">
        <f aca="false">IF(OR(COUNT(B548:D1547)=0,AND('Choix pédagogiques'!$C$3&lt;&gt;1,'Choix pédagogiques'!$C$3&lt;&gt;2)),"",IF(AND(OR('Choix pédagogiques'!$C$3=1,'Choix pédagogiques'!$C$3=2),$B548&lt;&gt;"",$C548&lt;&gt;"",$D548&lt;&gt;""),1,0))</f>
        <v/>
      </c>
      <c r="BN548" s="52" t="str">
        <f aca="false">IF(OR(COUNT(G548:I1547)=0,AND('Choix pédagogiques'!$C$3&lt;&gt;1,'Choix pédagogiques'!$C$3&lt;&gt;2)),"",IF(AND(OR('Choix pédagogiques'!$C$3=1,'Choix pédagogiques'!$C$3=2),AND($G548&lt;&gt;"",$H548&lt;&gt;"",$I548&lt;&gt;"")),1,0))</f>
        <v/>
      </c>
      <c r="BO548" s="52" t="str">
        <f aca="false">IF(OR(COUNT(B548:D1547)=0,COUNT(G548:I1547)=0,'Choix pédagogiques'!C$3&lt;&gt;3),"",IF(AND('Choix pédagogiques'!$C$3=3,$B548&lt;&gt;"",$C548&lt;&gt;"",$D548&lt;&gt;"",$G548&lt;&gt;"",$H548&lt;&gt;"",$I548&lt;&gt;""),1,0))</f>
        <v/>
      </c>
      <c r="BR548" s="52" t="n">
        <v>804</v>
      </c>
      <c r="BS548" s="52" t="n">
        <v>1015</v>
      </c>
    </row>
    <row r="549" s="54" customFormat="true" ht="18" hidden="false" customHeight="true" outlineLevel="0" collapsed="false">
      <c r="A549" s="57" t="s">
        <v>1029</v>
      </c>
      <c r="B549" s="51"/>
      <c r="C549" s="51"/>
      <c r="D549" s="51"/>
      <c r="E549" s="51"/>
      <c r="F549" s="57" t="s">
        <v>1030</v>
      </c>
      <c r="G549" s="51"/>
      <c r="H549" s="51"/>
      <c r="I549" s="51"/>
      <c r="J549" s="51"/>
      <c r="K549" s="52" t="str">
        <f aca="false">IF($A549&lt;&gt;"",$A549,"")</f>
        <v>Apprenant 537</v>
      </c>
      <c r="L549" s="53" t="str">
        <f aca="false">IF(AND($B549&lt;&gt;"",$C549&lt;&gt;""),$C549-$B549,"")</f>
        <v/>
      </c>
      <c r="M549" s="53" t="str">
        <f aca="false">IF(AND($B549&lt;&gt;"",$D549&lt;&gt;""),$D549-$B549,"")</f>
        <v/>
      </c>
      <c r="N549" s="53" t="str">
        <f aca="false">IF(AND($C549&lt;&gt;"",$D549&lt;&gt;""),$D549-$C549,"")</f>
        <v/>
      </c>
      <c r="O549" s="53" t="str">
        <f aca="false">IF($E549&lt;&gt;"",$E549,"")</f>
        <v/>
      </c>
      <c r="P549" s="52" t="str">
        <f aca="false">IF($F549&lt;&gt;"",$F549,"")</f>
        <v>Apprenant 537 ou 537'</v>
      </c>
      <c r="Q549" s="53" t="str">
        <f aca="false">IF(AND($G549&lt;&gt;"",$H549&lt;&gt;""),$H549-$G549,"")</f>
        <v/>
      </c>
      <c r="R549" s="53" t="str">
        <f aca="false">IF(AND($G549&lt;&gt;"",$I549&lt;&gt;""),$I549-$G549,"")</f>
        <v/>
      </c>
      <c r="S549" s="53" t="str">
        <f aca="false">IF(AND($H549&lt;&gt;"",$I549&lt;&gt;""),$I549-$H549,"")</f>
        <v/>
      </c>
      <c r="T549" s="53" t="str">
        <f aca="false">IF($J549&lt;&gt;"",$J549,"")</f>
        <v/>
      </c>
      <c r="V549" s="52" t="str">
        <f aca="false">IF($A549&lt;&gt;"",$A549,"")</f>
        <v>Apprenant 537</v>
      </c>
      <c r="W549" s="53" t="str">
        <f aca="false">IF(AND(OR('Choix pédagogiques'!$C$3=1,'Choix pédagogiques'!$C$3=2),$BM549=1),B549,IF(AND('Choix pédagogiques'!$C$3=3,$BO549=1),B549,""))</f>
        <v/>
      </c>
      <c r="X549" s="53" t="str">
        <f aca="false">IF(AND(OR('Choix pédagogiques'!$C$3=1,'Choix pédagogiques'!$C$3=2),$BM549=1),C549,IF(AND('Choix pédagogiques'!$C$3=3,$BO549=1),C549,""))</f>
        <v/>
      </c>
      <c r="Y549" s="53" t="str">
        <f aca="false">IF(AND(OR('Choix pédagogiques'!$C$3=1,'Choix pédagogiques'!$C$3=2),$BM549=1),D549,IF(AND('Choix pédagogiques'!$C$3=3,$BO549=1),D549,""))</f>
        <v/>
      </c>
      <c r="Z549" s="53" t="str">
        <f aca="false">IF($E549&lt;&gt;"",$E549,"")</f>
        <v/>
      </c>
      <c r="AA549" s="52" t="str">
        <f aca="false">IF($F549&lt;&gt;"",$F549,"")</f>
        <v>Apprenant 537 ou 537'</v>
      </c>
      <c r="AB549" s="53" t="str">
        <f aca="false">IF(AND(OR('Choix pédagogiques'!$C$3=1,'Choix pédagogiques'!$C$3=2),$BN549=1),G549,IF(AND('Choix pédagogiques'!$C$3=3,$BO549=1),G549,""))</f>
        <v/>
      </c>
      <c r="AC549" s="53" t="str">
        <f aca="false">IF(AND(OR('Choix pédagogiques'!$C$3=1,'Choix pédagogiques'!$C$3=2),$BN549=1),H549,IF(AND('Choix pédagogiques'!$C$3=3,$BO549=1),H549,""))</f>
        <v/>
      </c>
      <c r="AD549" s="53" t="str">
        <f aca="false">IF(AND(OR('Choix pédagogiques'!$C$3=1,'Choix pédagogiques'!$C$3=2),$BN549=1),I549,IF(AND('Choix pédagogiques'!$C$3=3,$BO549=1),I549,""))</f>
        <v/>
      </c>
      <c r="AE549" s="53" t="str">
        <f aca="false">IF($J549&lt;&gt;"",$J549,"")</f>
        <v/>
      </c>
      <c r="AF549" s="52" t="str">
        <f aca="false">IF($A549&lt;&gt;"",$A549,"")</f>
        <v>Apprenant 537</v>
      </c>
      <c r="AG549" s="53" t="str">
        <f aca="false">IF(AND($W549&lt;&gt;"",$X549&lt;&gt;""),$X549-$W549,"")</f>
        <v/>
      </c>
      <c r="AH549" s="53" t="str">
        <f aca="false">IF(AND($W549&lt;&gt;"",$Y549&lt;&gt;""),$Y549-$W549,"")</f>
        <v/>
      </c>
      <c r="AI549" s="53" t="str">
        <f aca="false">IF(AND($X549&lt;&gt;"",$Y549&lt;&gt;""),$Y549-$X549,"")</f>
        <v/>
      </c>
      <c r="AJ549" s="53" t="str">
        <f aca="false">IF($E549&lt;&gt;"",$E549,"")</f>
        <v/>
      </c>
      <c r="AK549" s="52" t="str">
        <f aca="false">IF($F549&lt;&gt;"",$F549,"")</f>
        <v>Apprenant 537 ou 537'</v>
      </c>
      <c r="AL549" s="53" t="str">
        <f aca="false">IF(AND($AB549&lt;&gt;"",$AC549&lt;&gt;""),$AC549-$AB549,"")</f>
        <v/>
      </c>
      <c r="AM549" s="53" t="str">
        <f aca="false">IF(AND($AB549&lt;&gt;"",$AD549&lt;&gt;""),$AD549-$AB549,"")</f>
        <v/>
      </c>
      <c r="AN549" s="53" t="str">
        <f aca="false">IF(AND($AC549&lt;&gt;"",$AD549&lt;&gt;""),$AD549-$AC549,"")</f>
        <v/>
      </c>
      <c r="AO549" s="53" t="str">
        <f aca="false">IF($J549&lt;&gt;"",$J549,"")</f>
        <v/>
      </c>
      <c r="AQ549" s="52" t="str">
        <f aca="false">IF($A549&lt;&gt;"",$A549,"")</f>
        <v>Apprenant 537</v>
      </c>
      <c r="AR549" s="55" t="str">
        <f aca="false">IF(AND('Choix pédagogiques'!$C$4&lt;&gt;"?",'Choix pédagogiques'!$C$5&lt;&gt;"?",W549&lt;&gt;""),(W549-'Choix pédagogiques'!$C$4)/('Choix pédagogiques'!$C$5-'Choix pédagogiques'!$C$4),"")</f>
        <v/>
      </c>
      <c r="AS549" s="55" t="str">
        <f aca="false">IF(AND('Choix pédagogiques'!$C$4&lt;&gt;"?",'Choix pédagogiques'!$C$5&lt;&gt;"?",X549&lt;&gt;""),(X549-'Choix pédagogiques'!$C$4)/('Choix pédagogiques'!$C$5-'Choix pédagogiques'!$C$4),"")</f>
        <v/>
      </c>
      <c r="AT549" s="55" t="str">
        <f aca="false">IF(AND('Choix pédagogiques'!$C$4&lt;&gt;"?",'Choix pédagogiques'!$C$5&lt;&gt;"?",Y549&lt;&gt;""),(Y549-'Choix pédagogiques'!$C$4)/('Choix pédagogiques'!$C$5-'Choix pédagogiques'!$C$4),"")</f>
        <v/>
      </c>
      <c r="AU549" s="53" t="str">
        <f aca="false">IF($E549&lt;&gt;"",$E549,"")</f>
        <v/>
      </c>
      <c r="AV549" s="52" t="str">
        <f aca="false">IF($F549&lt;&gt;"",$F549,"")</f>
        <v>Apprenant 537 ou 537'</v>
      </c>
      <c r="AW549" s="55" t="str">
        <f aca="false">IF(AND('Choix pédagogiques'!$C$4&lt;&gt;"?",'Choix pédagogiques'!$C$5&lt;&gt;"?",AB549&lt;&gt;""),(AB549-'Choix pédagogiques'!$C$4)/('Choix pédagogiques'!$C$5-'Choix pédagogiques'!$C$4),"")</f>
        <v/>
      </c>
      <c r="AX549" s="55" t="str">
        <f aca="false">IF(AND('Choix pédagogiques'!$C$4&lt;&gt;"?",'Choix pédagogiques'!$C$5&lt;&gt;"?",AC549&lt;&gt;""),(AC549-'Choix pédagogiques'!$C$4)/('Choix pédagogiques'!$C$5-'Choix pédagogiques'!$C$4),"")</f>
        <v/>
      </c>
      <c r="AY549" s="55" t="str">
        <f aca="false">IF(AND('Choix pédagogiques'!$C$4&lt;&gt;"?",'Choix pédagogiques'!$C$5&lt;&gt;"?",AD549&lt;&gt;""),(AD549-'Choix pédagogiques'!$C$4)/('Choix pédagogiques'!$C$5-'Choix pédagogiques'!$C$4),"")</f>
        <v/>
      </c>
      <c r="AZ549" s="53" t="str">
        <f aca="false">IF($J549&lt;&gt;"",$J549,"")</f>
        <v/>
      </c>
      <c r="BA549" s="52" t="str">
        <f aca="false">IF($A549&lt;&gt;"",$A549,"")</f>
        <v>Apprenant 537</v>
      </c>
      <c r="BB549" s="55" t="str">
        <f aca="false">IF(AND($AR549&lt;&gt;"",$AS549&lt;&gt;""),$AS549-$AR549,"")</f>
        <v/>
      </c>
      <c r="BC549" s="55" t="str">
        <f aca="false">IF(AND($AR549&lt;&gt;"",$AT549&lt;&gt;""),$AT549-$AR549,"")</f>
        <v/>
      </c>
      <c r="BD549" s="55" t="str">
        <f aca="false">IF(AND($AS549&lt;&gt;"",$AT549&lt;&gt;""),$AT549-$AS549,"")</f>
        <v/>
      </c>
      <c r="BE549" s="53" t="str">
        <f aca="false">IF($E549&lt;&gt;"",$E549,"")</f>
        <v/>
      </c>
      <c r="BF549" s="52" t="str">
        <f aca="false">IF($F549&lt;&gt;"",$F549,"")</f>
        <v>Apprenant 537 ou 537'</v>
      </c>
      <c r="BG549" s="55" t="str">
        <f aca="false">IF(AND($AW549&lt;&gt;"",$AX549&lt;&gt;""),$AX549-$AW549,"")</f>
        <v/>
      </c>
      <c r="BH549" s="55" t="str">
        <f aca="false">IF(AND($AW549&lt;&gt;"",$AY549&lt;&gt;""),$AY549-$AW549,"")</f>
        <v/>
      </c>
      <c r="BI549" s="55" t="str">
        <f aca="false">IF(AND($AX549&lt;&gt;"",$AY549&lt;&gt;""),$AY549-$AX549,"")</f>
        <v/>
      </c>
      <c r="BJ549" s="53" t="str">
        <f aca="false">IF($J549&lt;&gt;"",$J549,"")</f>
        <v/>
      </c>
      <c r="BL549" s="52"/>
      <c r="BM549" s="52" t="str">
        <f aca="false">IF(OR(COUNT(B549:D1548)=0,AND('Choix pédagogiques'!$C$3&lt;&gt;1,'Choix pédagogiques'!$C$3&lt;&gt;2)),"",IF(AND(OR('Choix pédagogiques'!$C$3=1,'Choix pédagogiques'!$C$3=2),$B549&lt;&gt;"",$C549&lt;&gt;"",$D549&lt;&gt;""),1,0))</f>
        <v/>
      </c>
      <c r="BN549" s="52" t="str">
        <f aca="false">IF(OR(COUNT(G549:I1548)=0,AND('Choix pédagogiques'!$C$3&lt;&gt;1,'Choix pédagogiques'!$C$3&lt;&gt;2)),"",IF(AND(OR('Choix pédagogiques'!$C$3=1,'Choix pédagogiques'!$C$3=2),AND($G549&lt;&gt;"",$H549&lt;&gt;"",$I549&lt;&gt;"")),1,0))</f>
        <v/>
      </c>
      <c r="BO549" s="52" t="str">
        <f aca="false">IF(OR(COUNT(B549:D1548)=0,COUNT(G549:I1548)=0,'Choix pédagogiques'!C$3&lt;&gt;3),"",IF(AND('Choix pédagogiques'!$C$3=3,$B549&lt;&gt;"",$C549&lt;&gt;"",$D549&lt;&gt;"",$G549&lt;&gt;"",$H549&lt;&gt;"",$I549&lt;&gt;""),1,0))</f>
        <v/>
      </c>
      <c r="BR549" s="52" t="n">
        <v>686</v>
      </c>
      <c r="BS549" s="52" t="n">
        <v>1521</v>
      </c>
    </row>
    <row r="550" s="54" customFormat="true" ht="18" hidden="false" customHeight="true" outlineLevel="0" collapsed="false">
      <c r="A550" s="57" t="s">
        <v>1031</v>
      </c>
      <c r="B550" s="51"/>
      <c r="C550" s="51"/>
      <c r="D550" s="51"/>
      <c r="E550" s="51"/>
      <c r="F550" s="57" t="s">
        <v>1032</v>
      </c>
      <c r="G550" s="51"/>
      <c r="H550" s="51"/>
      <c r="I550" s="51"/>
      <c r="J550" s="51"/>
      <c r="K550" s="52" t="str">
        <f aca="false">IF($A550&lt;&gt;"",$A550,"")</f>
        <v>Apprenant 538</v>
      </c>
      <c r="L550" s="53" t="str">
        <f aca="false">IF(AND($B550&lt;&gt;"",$C550&lt;&gt;""),$C550-$B550,"")</f>
        <v/>
      </c>
      <c r="M550" s="53" t="str">
        <f aca="false">IF(AND($B550&lt;&gt;"",$D550&lt;&gt;""),$D550-$B550,"")</f>
        <v/>
      </c>
      <c r="N550" s="53" t="str">
        <f aca="false">IF(AND($C550&lt;&gt;"",$D550&lt;&gt;""),$D550-$C550,"")</f>
        <v/>
      </c>
      <c r="O550" s="53" t="str">
        <f aca="false">IF($E550&lt;&gt;"",$E550,"")</f>
        <v/>
      </c>
      <c r="P550" s="52" t="str">
        <f aca="false">IF($F550&lt;&gt;"",$F550,"")</f>
        <v>Apprenant 538 ou 538'</v>
      </c>
      <c r="Q550" s="53" t="str">
        <f aca="false">IF(AND($G550&lt;&gt;"",$H550&lt;&gt;""),$H550-$G550,"")</f>
        <v/>
      </c>
      <c r="R550" s="53" t="str">
        <f aca="false">IF(AND($G550&lt;&gt;"",$I550&lt;&gt;""),$I550-$G550,"")</f>
        <v/>
      </c>
      <c r="S550" s="53" t="str">
        <f aca="false">IF(AND($H550&lt;&gt;"",$I550&lt;&gt;""),$I550-$H550,"")</f>
        <v/>
      </c>
      <c r="T550" s="53" t="str">
        <f aca="false">IF($J550&lt;&gt;"",$J550,"")</f>
        <v/>
      </c>
      <c r="V550" s="52" t="str">
        <f aca="false">IF($A550&lt;&gt;"",$A550,"")</f>
        <v>Apprenant 538</v>
      </c>
      <c r="W550" s="53" t="str">
        <f aca="false">IF(AND(OR('Choix pédagogiques'!$C$3=1,'Choix pédagogiques'!$C$3=2),$BM550=1),B550,IF(AND('Choix pédagogiques'!$C$3=3,$BO550=1),B550,""))</f>
        <v/>
      </c>
      <c r="X550" s="53" t="str">
        <f aca="false">IF(AND(OR('Choix pédagogiques'!$C$3=1,'Choix pédagogiques'!$C$3=2),$BM550=1),C550,IF(AND('Choix pédagogiques'!$C$3=3,$BO550=1),C550,""))</f>
        <v/>
      </c>
      <c r="Y550" s="53" t="str">
        <f aca="false">IF(AND(OR('Choix pédagogiques'!$C$3=1,'Choix pédagogiques'!$C$3=2),$BM550=1),D550,IF(AND('Choix pédagogiques'!$C$3=3,$BO550=1),D550,""))</f>
        <v/>
      </c>
      <c r="Z550" s="53" t="str">
        <f aca="false">IF($E550&lt;&gt;"",$E550,"")</f>
        <v/>
      </c>
      <c r="AA550" s="52" t="str">
        <f aca="false">IF($F550&lt;&gt;"",$F550,"")</f>
        <v>Apprenant 538 ou 538'</v>
      </c>
      <c r="AB550" s="53" t="str">
        <f aca="false">IF(AND(OR('Choix pédagogiques'!$C$3=1,'Choix pédagogiques'!$C$3=2),$BN550=1),G550,IF(AND('Choix pédagogiques'!$C$3=3,$BO550=1),G550,""))</f>
        <v/>
      </c>
      <c r="AC550" s="53" t="str">
        <f aca="false">IF(AND(OR('Choix pédagogiques'!$C$3=1,'Choix pédagogiques'!$C$3=2),$BN550=1),H550,IF(AND('Choix pédagogiques'!$C$3=3,$BO550=1),H550,""))</f>
        <v/>
      </c>
      <c r="AD550" s="53" t="str">
        <f aca="false">IF(AND(OR('Choix pédagogiques'!$C$3=1,'Choix pédagogiques'!$C$3=2),$BN550=1),I550,IF(AND('Choix pédagogiques'!$C$3=3,$BO550=1),I550,""))</f>
        <v/>
      </c>
      <c r="AE550" s="53" t="str">
        <f aca="false">IF($J550&lt;&gt;"",$J550,"")</f>
        <v/>
      </c>
      <c r="AF550" s="52" t="str">
        <f aca="false">IF($A550&lt;&gt;"",$A550,"")</f>
        <v>Apprenant 538</v>
      </c>
      <c r="AG550" s="53" t="str">
        <f aca="false">IF(AND($W550&lt;&gt;"",$X550&lt;&gt;""),$X550-$W550,"")</f>
        <v/>
      </c>
      <c r="AH550" s="53" t="str">
        <f aca="false">IF(AND($W550&lt;&gt;"",$Y550&lt;&gt;""),$Y550-$W550,"")</f>
        <v/>
      </c>
      <c r="AI550" s="53" t="str">
        <f aca="false">IF(AND($X550&lt;&gt;"",$Y550&lt;&gt;""),$Y550-$X550,"")</f>
        <v/>
      </c>
      <c r="AJ550" s="53" t="str">
        <f aca="false">IF($E550&lt;&gt;"",$E550,"")</f>
        <v/>
      </c>
      <c r="AK550" s="52" t="str">
        <f aca="false">IF($F550&lt;&gt;"",$F550,"")</f>
        <v>Apprenant 538 ou 538'</v>
      </c>
      <c r="AL550" s="53" t="str">
        <f aca="false">IF(AND($AB550&lt;&gt;"",$AC550&lt;&gt;""),$AC550-$AB550,"")</f>
        <v/>
      </c>
      <c r="AM550" s="53" t="str">
        <f aca="false">IF(AND($AB550&lt;&gt;"",$AD550&lt;&gt;""),$AD550-$AB550,"")</f>
        <v/>
      </c>
      <c r="AN550" s="53" t="str">
        <f aca="false">IF(AND($AC550&lt;&gt;"",$AD550&lt;&gt;""),$AD550-$AC550,"")</f>
        <v/>
      </c>
      <c r="AO550" s="53" t="str">
        <f aca="false">IF($J550&lt;&gt;"",$J550,"")</f>
        <v/>
      </c>
      <c r="AQ550" s="52" t="str">
        <f aca="false">IF($A550&lt;&gt;"",$A550,"")</f>
        <v>Apprenant 538</v>
      </c>
      <c r="AR550" s="55" t="str">
        <f aca="false">IF(AND('Choix pédagogiques'!$C$4&lt;&gt;"?",'Choix pédagogiques'!$C$5&lt;&gt;"?",W550&lt;&gt;""),(W550-'Choix pédagogiques'!$C$4)/('Choix pédagogiques'!$C$5-'Choix pédagogiques'!$C$4),"")</f>
        <v/>
      </c>
      <c r="AS550" s="55" t="str">
        <f aca="false">IF(AND('Choix pédagogiques'!$C$4&lt;&gt;"?",'Choix pédagogiques'!$C$5&lt;&gt;"?",X550&lt;&gt;""),(X550-'Choix pédagogiques'!$C$4)/('Choix pédagogiques'!$C$5-'Choix pédagogiques'!$C$4),"")</f>
        <v/>
      </c>
      <c r="AT550" s="55" t="str">
        <f aca="false">IF(AND('Choix pédagogiques'!$C$4&lt;&gt;"?",'Choix pédagogiques'!$C$5&lt;&gt;"?",Y550&lt;&gt;""),(Y550-'Choix pédagogiques'!$C$4)/('Choix pédagogiques'!$C$5-'Choix pédagogiques'!$C$4),"")</f>
        <v/>
      </c>
      <c r="AU550" s="53" t="str">
        <f aca="false">IF($E550&lt;&gt;"",$E550,"")</f>
        <v/>
      </c>
      <c r="AV550" s="52" t="str">
        <f aca="false">IF($F550&lt;&gt;"",$F550,"")</f>
        <v>Apprenant 538 ou 538'</v>
      </c>
      <c r="AW550" s="55" t="str">
        <f aca="false">IF(AND('Choix pédagogiques'!$C$4&lt;&gt;"?",'Choix pédagogiques'!$C$5&lt;&gt;"?",AB550&lt;&gt;""),(AB550-'Choix pédagogiques'!$C$4)/('Choix pédagogiques'!$C$5-'Choix pédagogiques'!$C$4),"")</f>
        <v/>
      </c>
      <c r="AX550" s="55" t="str">
        <f aca="false">IF(AND('Choix pédagogiques'!$C$4&lt;&gt;"?",'Choix pédagogiques'!$C$5&lt;&gt;"?",AC550&lt;&gt;""),(AC550-'Choix pédagogiques'!$C$4)/('Choix pédagogiques'!$C$5-'Choix pédagogiques'!$C$4),"")</f>
        <v/>
      </c>
      <c r="AY550" s="55" t="str">
        <f aca="false">IF(AND('Choix pédagogiques'!$C$4&lt;&gt;"?",'Choix pédagogiques'!$C$5&lt;&gt;"?",AD550&lt;&gt;""),(AD550-'Choix pédagogiques'!$C$4)/('Choix pédagogiques'!$C$5-'Choix pédagogiques'!$C$4),"")</f>
        <v/>
      </c>
      <c r="AZ550" s="53" t="str">
        <f aca="false">IF($J550&lt;&gt;"",$J550,"")</f>
        <v/>
      </c>
      <c r="BA550" s="52" t="str">
        <f aca="false">IF($A550&lt;&gt;"",$A550,"")</f>
        <v>Apprenant 538</v>
      </c>
      <c r="BB550" s="55" t="str">
        <f aca="false">IF(AND($AR550&lt;&gt;"",$AS550&lt;&gt;""),$AS550-$AR550,"")</f>
        <v/>
      </c>
      <c r="BC550" s="55" t="str">
        <f aca="false">IF(AND($AR550&lt;&gt;"",$AT550&lt;&gt;""),$AT550-$AR550,"")</f>
        <v/>
      </c>
      <c r="BD550" s="55" t="str">
        <f aca="false">IF(AND($AS550&lt;&gt;"",$AT550&lt;&gt;""),$AT550-$AS550,"")</f>
        <v/>
      </c>
      <c r="BE550" s="53" t="str">
        <f aca="false">IF($E550&lt;&gt;"",$E550,"")</f>
        <v/>
      </c>
      <c r="BF550" s="52" t="str">
        <f aca="false">IF($F550&lt;&gt;"",$F550,"")</f>
        <v>Apprenant 538 ou 538'</v>
      </c>
      <c r="BG550" s="55" t="str">
        <f aca="false">IF(AND($AW550&lt;&gt;"",$AX550&lt;&gt;""),$AX550-$AW550,"")</f>
        <v/>
      </c>
      <c r="BH550" s="55" t="str">
        <f aca="false">IF(AND($AW550&lt;&gt;"",$AY550&lt;&gt;""),$AY550-$AW550,"")</f>
        <v/>
      </c>
      <c r="BI550" s="55" t="str">
        <f aca="false">IF(AND($AX550&lt;&gt;"",$AY550&lt;&gt;""),$AY550-$AX550,"")</f>
        <v/>
      </c>
      <c r="BJ550" s="53" t="str">
        <f aca="false">IF($J550&lt;&gt;"",$J550,"")</f>
        <v/>
      </c>
      <c r="BL550" s="52"/>
      <c r="BM550" s="52" t="str">
        <f aca="false">IF(OR(COUNT(B550:D1549)=0,AND('Choix pédagogiques'!$C$3&lt;&gt;1,'Choix pédagogiques'!$C$3&lt;&gt;2)),"",IF(AND(OR('Choix pédagogiques'!$C$3=1,'Choix pédagogiques'!$C$3=2),$B550&lt;&gt;"",$C550&lt;&gt;"",$D550&lt;&gt;""),1,0))</f>
        <v/>
      </c>
      <c r="BN550" s="52" t="str">
        <f aca="false">IF(OR(COUNT(G550:I1549)=0,AND('Choix pédagogiques'!$C$3&lt;&gt;1,'Choix pédagogiques'!$C$3&lt;&gt;2)),"",IF(AND(OR('Choix pédagogiques'!$C$3=1,'Choix pédagogiques'!$C$3=2),AND($G550&lt;&gt;"",$H550&lt;&gt;"",$I550&lt;&gt;"")),1,0))</f>
        <v/>
      </c>
      <c r="BO550" s="52" t="str">
        <f aca="false">IF(OR(COUNT(B550:D1549)=0,COUNT(G550:I1549)=0,'Choix pédagogiques'!C$3&lt;&gt;3),"",IF(AND('Choix pédagogiques'!$C$3=3,$B550&lt;&gt;"",$C550&lt;&gt;"",$D550&lt;&gt;"",$G550&lt;&gt;"",$H550&lt;&gt;"",$I550&lt;&gt;""),1,0))</f>
        <v/>
      </c>
      <c r="BR550" s="52" t="n">
        <v>12</v>
      </c>
      <c r="BS550" s="52" t="n">
        <v>1954</v>
      </c>
    </row>
    <row r="551" s="54" customFormat="true" ht="18" hidden="false" customHeight="true" outlineLevel="0" collapsed="false">
      <c r="A551" s="57" t="s">
        <v>1033</v>
      </c>
      <c r="B551" s="51"/>
      <c r="C551" s="51"/>
      <c r="D551" s="51"/>
      <c r="E551" s="51"/>
      <c r="F551" s="57" t="s">
        <v>1034</v>
      </c>
      <c r="G551" s="51"/>
      <c r="H551" s="51"/>
      <c r="I551" s="51"/>
      <c r="J551" s="51"/>
      <c r="K551" s="52" t="str">
        <f aca="false">IF($A551&lt;&gt;"",$A551,"")</f>
        <v>Apprenant 539</v>
      </c>
      <c r="L551" s="53" t="str">
        <f aca="false">IF(AND($B551&lt;&gt;"",$C551&lt;&gt;""),$C551-$B551,"")</f>
        <v/>
      </c>
      <c r="M551" s="53" t="str">
        <f aca="false">IF(AND($B551&lt;&gt;"",$D551&lt;&gt;""),$D551-$B551,"")</f>
        <v/>
      </c>
      <c r="N551" s="53" t="str">
        <f aca="false">IF(AND($C551&lt;&gt;"",$D551&lt;&gt;""),$D551-$C551,"")</f>
        <v/>
      </c>
      <c r="O551" s="53" t="str">
        <f aca="false">IF($E551&lt;&gt;"",$E551,"")</f>
        <v/>
      </c>
      <c r="P551" s="52" t="str">
        <f aca="false">IF($F551&lt;&gt;"",$F551,"")</f>
        <v>Apprenant 539 ou 539'</v>
      </c>
      <c r="Q551" s="53" t="str">
        <f aca="false">IF(AND($G551&lt;&gt;"",$H551&lt;&gt;""),$H551-$G551,"")</f>
        <v/>
      </c>
      <c r="R551" s="53" t="str">
        <f aca="false">IF(AND($G551&lt;&gt;"",$I551&lt;&gt;""),$I551-$G551,"")</f>
        <v/>
      </c>
      <c r="S551" s="53" t="str">
        <f aca="false">IF(AND($H551&lt;&gt;"",$I551&lt;&gt;""),$I551-$H551,"")</f>
        <v/>
      </c>
      <c r="T551" s="53" t="str">
        <f aca="false">IF($J551&lt;&gt;"",$J551,"")</f>
        <v/>
      </c>
      <c r="V551" s="52" t="str">
        <f aca="false">IF($A551&lt;&gt;"",$A551,"")</f>
        <v>Apprenant 539</v>
      </c>
      <c r="W551" s="53" t="str">
        <f aca="false">IF(AND(OR('Choix pédagogiques'!$C$3=1,'Choix pédagogiques'!$C$3=2),$BM551=1),B551,IF(AND('Choix pédagogiques'!$C$3=3,$BO551=1),B551,""))</f>
        <v/>
      </c>
      <c r="X551" s="53" t="str">
        <f aca="false">IF(AND(OR('Choix pédagogiques'!$C$3=1,'Choix pédagogiques'!$C$3=2),$BM551=1),C551,IF(AND('Choix pédagogiques'!$C$3=3,$BO551=1),C551,""))</f>
        <v/>
      </c>
      <c r="Y551" s="53" t="str">
        <f aca="false">IF(AND(OR('Choix pédagogiques'!$C$3=1,'Choix pédagogiques'!$C$3=2),$BM551=1),D551,IF(AND('Choix pédagogiques'!$C$3=3,$BO551=1),D551,""))</f>
        <v/>
      </c>
      <c r="Z551" s="53" t="str">
        <f aca="false">IF($E551&lt;&gt;"",$E551,"")</f>
        <v/>
      </c>
      <c r="AA551" s="52" t="str">
        <f aca="false">IF($F551&lt;&gt;"",$F551,"")</f>
        <v>Apprenant 539 ou 539'</v>
      </c>
      <c r="AB551" s="53" t="str">
        <f aca="false">IF(AND(OR('Choix pédagogiques'!$C$3=1,'Choix pédagogiques'!$C$3=2),$BN551=1),G551,IF(AND('Choix pédagogiques'!$C$3=3,$BO551=1),G551,""))</f>
        <v/>
      </c>
      <c r="AC551" s="53" t="str">
        <f aca="false">IF(AND(OR('Choix pédagogiques'!$C$3=1,'Choix pédagogiques'!$C$3=2),$BN551=1),H551,IF(AND('Choix pédagogiques'!$C$3=3,$BO551=1),H551,""))</f>
        <v/>
      </c>
      <c r="AD551" s="53" t="str">
        <f aca="false">IF(AND(OR('Choix pédagogiques'!$C$3=1,'Choix pédagogiques'!$C$3=2),$BN551=1),I551,IF(AND('Choix pédagogiques'!$C$3=3,$BO551=1),I551,""))</f>
        <v/>
      </c>
      <c r="AE551" s="53" t="str">
        <f aca="false">IF($J551&lt;&gt;"",$J551,"")</f>
        <v/>
      </c>
      <c r="AF551" s="52" t="str">
        <f aca="false">IF($A551&lt;&gt;"",$A551,"")</f>
        <v>Apprenant 539</v>
      </c>
      <c r="AG551" s="53" t="str">
        <f aca="false">IF(AND($W551&lt;&gt;"",$X551&lt;&gt;""),$X551-$W551,"")</f>
        <v/>
      </c>
      <c r="AH551" s="53" t="str">
        <f aca="false">IF(AND($W551&lt;&gt;"",$Y551&lt;&gt;""),$Y551-$W551,"")</f>
        <v/>
      </c>
      <c r="AI551" s="53" t="str">
        <f aca="false">IF(AND($X551&lt;&gt;"",$Y551&lt;&gt;""),$Y551-$X551,"")</f>
        <v/>
      </c>
      <c r="AJ551" s="53" t="str">
        <f aca="false">IF($E551&lt;&gt;"",$E551,"")</f>
        <v/>
      </c>
      <c r="AK551" s="52" t="str">
        <f aca="false">IF($F551&lt;&gt;"",$F551,"")</f>
        <v>Apprenant 539 ou 539'</v>
      </c>
      <c r="AL551" s="53" t="str">
        <f aca="false">IF(AND($AB551&lt;&gt;"",$AC551&lt;&gt;""),$AC551-$AB551,"")</f>
        <v/>
      </c>
      <c r="AM551" s="53" t="str">
        <f aca="false">IF(AND($AB551&lt;&gt;"",$AD551&lt;&gt;""),$AD551-$AB551,"")</f>
        <v/>
      </c>
      <c r="AN551" s="53" t="str">
        <f aca="false">IF(AND($AC551&lt;&gt;"",$AD551&lt;&gt;""),$AD551-$AC551,"")</f>
        <v/>
      </c>
      <c r="AO551" s="53" t="str">
        <f aca="false">IF($J551&lt;&gt;"",$J551,"")</f>
        <v/>
      </c>
      <c r="AQ551" s="52" t="str">
        <f aca="false">IF($A551&lt;&gt;"",$A551,"")</f>
        <v>Apprenant 539</v>
      </c>
      <c r="AR551" s="55" t="str">
        <f aca="false">IF(AND('Choix pédagogiques'!$C$4&lt;&gt;"?",'Choix pédagogiques'!$C$5&lt;&gt;"?",W551&lt;&gt;""),(W551-'Choix pédagogiques'!$C$4)/('Choix pédagogiques'!$C$5-'Choix pédagogiques'!$C$4),"")</f>
        <v/>
      </c>
      <c r="AS551" s="55" t="str">
        <f aca="false">IF(AND('Choix pédagogiques'!$C$4&lt;&gt;"?",'Choix pédagogiques'!$C$5&lt;&gt;"?",X551&lt;&gt;""),(X551-'Choix pédagogiques'!$C$4)/('Choix pédagogiques'!$C$5-'Choix pédagogiques'!$C$4),"")</f>
        <v/>
      </c>
      <c r="AT551" s="55" t="str">
        <f aca="false">IF(AND('Choix pédagogiques'!$C$4&lt;&gt;"?",'Choix pédagogiques'!$C$5&lt;&gt;"?",Y551&lt;&gt;""),(Y551-'Choix pédagogiques'!$C$4)/('Choix pédagogiques'!$C$5-'Choix pédagogiques'!$C$4),"")</f>
        <v/>
      </c>
      <c r="AU551" s="53" t="str">
        <f aca="false">IF($E551&lt;&gt;"",$E551,"")</f>
        <v/>
      </c>
      <c r="AV551" s="52" t="str">
        <f aca="false">IF($F551&lt;&gt;"",$F551,"")</f>
        <v>Apprenant 539 ou 539'</v>
      </c>
      <c r="AW551" s="55" t="str">
        <f aca="false">IF(AND('Choix pédagogiques'!$C$4&lt;&gt;"?",'Choix pédagogiques'!$C$5&lt;&gt;"?",AB551&lt;&gt;""),(AB551-'Choix pédagogiques'!$C$4)/('Choix pédagogiques'!$C$5-'Choix pédagogiques'!$C$4),"")</f>
        <v/>
      </c>
      <c r="AX551" s="55" t="str">
        <f aca="false">IF(AND('Choix pédagogiques'!$C$4&lt;&gt;"?",'Choix pédagogiques'!$C$5&lt;&gt;"?",AC551&lt;&gt;""),(AC551-'Choix pédagogiques'!$C$4)/('Choix pédagogiques'!$C$5-'Choix pédagogiques'!$C$4),"")</f>
        <v/>
      </c>
      <c r="AY551" s="55" t="str">
        <f aca="false">IF(AND('Choix pédagogiques'!$C$4&lt;&gt;"?",'Choix pédagogiques'!$C$5&lt;&gt;"?",AD551&lt;&gt;""),(AD551-'Choix pédagogiques'!$C$4)/('Choix pédagogiques'!$C$5-'Choix pédagogiques'!$C$4),"")</f>
        <v/>
      </c>
      <c r="AZ551" s="53" t="str">
        <f aca="false">IF($J551&lt;&gt;"",$J551,"")</f>
        <v/>
      </c>
      <c r="BA551" s="52" t="str">
        <f aca="false">IF($A551&lt;&gt;"",$A551,"")</f>
        <v>Apprenant 539</v>
      </c>
      <c r="BB551" s="55" t="str">
        <f aca="false">IF(AND($AR551&lt;&gt;"",$AS551&lt;&gt;""),$AS551-$AR551,"")</f>
        <v/>
      </c>
      <c r="BC551" s="55" t="str">
        <f aca="false">IF(AND($AR551&lt;&gt;"",$AT551&lt;&gt;""),$AT551-$AR551,"")</f>
        <v/>
      </c>
      <c r="BD551" s="55" t="str">
        <f aca="false">IF(AND($AS551&lt;&gt;"",$AT551&lt;&gt;""),$AT551-$AS551,"")</f>
        <v/>
      </c>
      <c r="BE551" s="53" t="str">
        <f aca="false">IF($E551&lt;&gt;"",$E551,"")</f>
        <v/>
      </c>
      <c r="BF551" s="52" t="str">
        <f aca="false">IF($F551&lt;&gt;"",$F551,"")</f>
        <v>Apprenant 539 ou 539'</v>
      </c>
      <c r="BG551" s="55" t="str">
        <f aca="false">IF(AND($AW551&lt;&gt;"",$AX551&lt;&gt;""),$AX551-$AW551,"")</f>
        <v/>
      </c>
      <c r="BH551" s="55" t="str">
        <f aca="false">IF(AND($AW551&lt;&gt;"",$AY551&lt;&gt;""),$AY551-$AW551,"")</f>
        <v/>
      </c>
      <c r="BI551" s="55" t="str">
        <f aca="false">IF(AND($AX551&lt;&gt;"",$AY551&lt;&gt;""),$AY551-$AX551,"")</f>
        <v/>
      </c>
      <c r="BJ551" s="53" t="str">
        <f aca="false">IF($J551&lt;&gt;"",$J551,"")</f>
        <v/>
      </c>
      <c r="BL551" s="52"/>
      <c r="BM551" s="52" t="str">
        <f aca="false">IF(OR(COUNT(B551:D1550)=0,AND('Choix pédagogiques'!$C$3&lt;&gt;1,'Choix pédagogiques'!$C$3&lt;&gt;2)),"",IF(AND(OR('Choix pédagogiques'!$C$3=1,'Choix pédagogiques'!$C$3=2),$B551&lt;&gt;"",$C551&lt;&gt;"",$D551&lt;&gt;""),1,0))</f>
        <v/>
      </c>
      <c r="BN551" s="52" t="str">
        <f aca="false">IF(OR(COUNT(G551:I1550)=0,AND('Choix pédagogiques'!$C$3&lt;&gt;1,'Choix pédagogiques'!$C$3&lt;&gt;2)),"",IF(AND(OR('Choix pédagogiques'!$C$3=1,'Choix pédagogiques'!$C$3=2),AND($G551&lt;&gt;"",$H551&lt;&gt;"",$I551&lt;&gt;"")),1,0))</f>
        <v/>
      </c>
      <c r="BO551" s="52" t="str">
        <f aca="false">IF(OR(COUNT(B551:D1550)=0,COUNT(G551:I1550)=0,'Choix pédagogiques'!C$3&lt;&gt;3),"",IF(AND('Choix pédagogiques'!$C$3=3,$B551&lt;&gt;"",$C551&lt;&gt;"",$D551&lt;&gt;"",$G551&lt;&gt;"",$H551&lt;&gt;"",$I551&lt;&gt;""),1,0))</f>
        <v/>
      </c>
      <c r="BR551" s="52" t="n">
        <v>505</v>
      </c>
      <c r="BS551" s="52" t="n">
        <v>1763</v>
      </c>
    </row>
    <row r="552" s="54" customFormat="true" ht="18" hidden="false" customHeight="true" outlineLevel="0" collapsed="false">
      <c r="A552" s="57" t="s">
        <v>1035</v>
      </c>
      <c r="B552" s="51"/>
      <c r="C552" s="51"/>
      <c r="D552" s="51"/>
      <c r="E552" s="51"/>
      <c r="F552" s="57" t="s">
        <v>1036</v>
      </c>
      <c r="G552" s="51"/>
      <c r="H552" s="51"/>
      <c r="I552" s="51"/>
      <c r="J552" s="51"/>
      <c r="K552" s="52" t="str">
        <f aca="false">IF($A552&lt;&gt;"",$A552,"")</f>
        <v>Apprenant 540</v>
      </c>
      <c r="L552" s="53" t="str">
        <f aca="false">IF(AND($B552&lt;&gt;"",$C552&lt;&gt;""),$C552-$B552,"")</f>
        <v/>
      </c>
      <c r="M552" s="53" t="str">
        <f aca="false">IF(AND($B552&lt;&gt;"",$D552&lt;&gt;""),$D552-$B552,"")</f>
        <v/>
      </c>
      <c r="N552" s="53" t="str">
        <f aca="false">IF(AND($C552&lt;&gt;"",$D552&lt;&gt;""),$D552-$C552,"")</f>
        <v/>
      </c>
      <c r="O552" s="53" t="str">
        <f aca="false">IF($E552&lt;&gt;"",$E552,"")</f>
        <v/>
      </c>
      <c r="P552" s="52" t="str">
        <f aca="false">IF($F552&lt;&gt;"",$F552,"")</f>
        <v>Apprenant 540 ou 540'</v>
      </c>
      <c r="Q552" s="53" t="str">
        <f aca="false">IF(AND($G552&lt;&gt;"",$H552&lt;&gt;""),$H552-$G552,"")</f>
        <v/>
      </c>
      <c r="R552" s="53" t="str">
        <f aca="false">IF(AND($G552&lt;&gt;"",$I552&lt;&gt;""),$I552-$G552,"")</f>
        <v/>
      </c>
      <c r="S552" s="53" t="str">
        <f aca="false">IF(AND($H552&lt;&gt;"",$I552&lt;&gt;""),$I552-$H552,"")</f>
        <v/>
      </c>
      <c r="T552" s="53" t="str">
        <f aca="false">IF($J552&lt;&gt;"",$J552,"")</f>
        <v/>
      </c>
      <c r="V552" s="52" t="str">
        <f aca="false">IF($A552&lt;&gt;"",$A552,"")</f>
        <v>Apprenant 540</v>
      </c>
      <c r="W552" s="53" t="str">
        <f aca="false">IF(AND(OR('Choix pédagogiques'!$C$3=1,'Choix pédagogiques'!$C$3=2),$BM552=1),B552,IF(AND('Choix pédagogiques'!$C$3=3,$BO552=1),B552,""))</f>
        <v/>
      </c>
      <c r="X552" s="53" t="str">
        <f aca="false">IF(AND(OR('Choix pédagogiques'!$C$3=1,'Choix pédagogiques'!$C$3=2),$BM552=1),C552,IF(AND('Choix pédagogiques'!$C$3=3,$BO552=1),C552,""))</f>
        <v/>
      </c>
      <c r="Y552" s="53" t="str">
        <f aca="false">IF(AND(OR('Choix pédagogiques'!$C$3=1,'Choix pédagogiques'!$C$3=2),$BM552=1),D552,IF(AND('Choix pédagogiques'!$C$3=3,$BO552=1),D552,""))</f>
        <v/>
      </c>
      <c r="Z552" s="53" t="str">
        <f aca="false">IF($E552&lt;&gt;"",$E552,"")</f>
        <v/>
      </c>
      <c r="AA552" s="52" t="str">
        <f aca="false">IF($F552&lt;&gt;"",$F552,"")</f>
        <v>Apprenant 540 ou 540'</v>
      </c>
      <c r="AB552" s="53" t="str">
        <f aca="false">IF(AND(OR('Choix pédagogiques'!$C$3=1,'Choix pédagogiques'!$C$3=2),$BN552=1),G552,IF(AND('Choix pédagogiques'!$C$3=3,$BO552=1),G552,""))</f>
        <v/>
      </c>
      <c r="AC552" s="53" t="str">
        <f aca="false">IF(AND(OR('Choix pédagogiques'!$C$3=1,'Choix pédagogiques'!$C$3=2),$BN552=1),H552,IF(AND('Choix pédagogiques'!$C$3=3,$BO552=1),H552,""))</f>
        <v/>
      </c>
      <c r="AD552" s="53" t="str">
        <f aca="false">IF(AND(OR('Choix pédagogiques'!$C$3=1,'Choix pédagogiques'!$C$3=2),$BN552=1),I552,IF(AND('Choix pédagogiques'!$C$3=3,$BO552=1),I552,""))</f>
        <v/>
      </c>
      <c r="AE552" s="53" t="str">
        <f aca="false">IF($J552&lt;&gt;"",$J552,"")</f>
        <v/>
      </c>
      <c r="AF552" s="52" t="str">
        <f aca="false">IF($A552&lt;&gt;"",$A552,"")</f>
        <v>Apprenant 540</v>
      </c>
      <c r="AG552" s="53" t="str">
        <f aca="false">IF(AND($W552&lt;&gt;"",$X552&lt;&gt;""),$X552-$W552,"")</f>
        <v/>
      </c>
      <c r="AH552" s="53" t="str">
        <f aca="false">IF(AND($W552&lt;&gt;"",$Y552&lt;&gt;""),$Y552-$W552,"")</f>
        <v/>
      </c>
      <c r="AI552" s="53" t="str">
        <f aca="false">IF(AND($X552&lt;&gt;"",$Y552&lt;&gt;""),$Y552-$X552,"")</f>
        <v/>
      </c>
      <c r="AJ552" s="53" t="str">
        <f aca="false">IF($E552&lt;&gt;"",$E552,"")</f>
        <v/>
      </c>
      <c r="AK552" s="52" t="str">
        <f aca="false">IF($F552&lt;&gt;"",$F552,"")</f>
        <v>Apprenant 540 ou 540'</v>
      </c>
      <c r="AL552" s="53" t="str">
        <f aca="false">IF(AND($AB552&lt;&gt;"",$AC552&lt;&gt;""),$AC552-$AB552,"")</f>
        <v/>
      </c>
      <c r="AM552" s="53" t="str">
        <f aca="false">IF(AND($AB552&lt;&gt;"",$AD552&lt;&gt;""),$AD552-$AB552,"")</f>
        <v/>
      </c>
      <c r="AN552" s="53" t="str">
        <f aca="false">IF(AND($AC552&lt;&gt;"",$AD552&lt;&gt;""),$AD552-$AC552,"")</f>
        <v/>
      </c>
      <c r="AO552" s="53" t="str">
        <f aca="false">IF($J552&lt;&gt;"",$J552,"")</f>
        <v/>
      </c>
      <c r="AQ552" s="52" t="str">
        <f aca="false">IF($A552&lt;&gt;"",$A552,"")</f>
        <v>Apprenant 540</v>
      </c>
      <c r="AR552" s="55" t="str">
        <f aca="false">IF(AND('Choix pédagogiques'!$C$4&lt;&gt;"?",'Choix pédagogiques'!$C$5&lt;&gt;"?",W552&lt;&gt;""),(W552-'Choix pédagogiques'!$C$4)/('Choix pédagogiques'!$C$5-'Choix pédagogiques'!$C$4),"")</f>
        <v/>
      </c>
      <c r="AS552" s="55" t="str">
        <f aca="false">IF(AND('Choix pédagogiques'!$C$4&lt;&gt;"?",'Choix pédagogiques'!$C$5&lt;&gt;"?",X552&lt;&gt;""),(X552-'Choix pédagogiques'!$C$4)/('Choix pédagogiques'!$C$5-'Choix pédagogiques'!$C$4),"")</f>
        <v/>
      </c>
      <c r="AT552" s="55" t="str">
        <f aca="false">IF(AND('Choix pédagogiques'!$C$4&lt;&gt;"?",'Choix pédagogiques'!$C$5&lt;&gt;"?",Y552&lt;&gt;""),(Y552-'Choix pédagogiques'!$C$4)/('Choix pédagogiques'!$C$5-'Choix pédagogiques'!$C$4),"")</f>
        <v/>
      </c>
      <c r="AU552" s="53" t="str">
        <f aca="false">IF($E552&lt;&gt;"",$E552,"")</f>
        <v/>
      </c>
      <c r="AV552" s="52" t="str">
        <f aca="false">IF($F552&lt;&gt;"",$F552,"")</f>
        <v>Apprenant 540 ou 540'</v>
      </c>
      <c r="AW552" s="55" t="str">
        <f aca="false">IF(AND('Choix pédagogiques'!$C$4&lt;&gt;"?",'Choix pédagogiques'!$C$5&lt;&gt;"?",AB552&lt;&gt;""),(AB552-'Choix pédagogiques'!$C$4)/('Choix pédagogiques'!$C$5-'Choix pédagogiques'!$C$4),"")</f>
        <v/>
      </c>
      <c r="AX552" s="55" t="str">
        <f aca="false">IF(AND('Choix pédagogiques'!$C$4&lt;&gt;"?",'Choix pédagogiques'!$C$5&lt;&gt;"?",AC552&lt;&gt;""),(AC552-'Choix pédagogiques'!$C$4)/('Choix pédagogiques'!$C$5-'Choix pédagogiques'!$C$4),"")</f>
        <v/>
      </c>
      <c r="AY552" s="55" t="str">
        <f aca="false">IF(AND('Choix pédagogiques'!$C$4&lt;&gt;"?",'Choix pédagogiques'!$C$5&lt;&gt;"?",AD552&lt;&gt;""),(AD552-'Choix pédagogiques'!$C$4)/('Choix pédagogiques'!$C$5-'Choix pédagogiques'!$C$4),"")</f>
        <v/>
      </c>
      <c r="AZ552" s="53" t="str">
        <f aca="false">IF($J552&lt;&gt;"",$J552,"")</f>
        <v/>
      </c>
      <c r="BA552" s="52" t="str">
        <f aca="false">IF($A552&lt;&gt;"",$A552,"")</f>
        <v>Apprenant 540</v>
      </c>
      <c r="BB552" s="55" t="str">
        <f aca="false">IF(AND($AR552&lt;&gt;"",$AS552&lt;&gt;""),$AS552-$AR552,"")</f>
        <v/>
      </c>
      <c r="BC552" s="55" t="str">
        <f aca="false">IF(AND($AR552&lt;&gt;"",$AT552&lt;&gt;""),$AT552-$AR552,"")</f>
        <v/>
      </c>
      <c r="BD552" s="55" t="str">
        <f aca="false">IF(AND($AS552&lt;&gt;"",$AT552&lt;&gt;""),$AT552-$AS552,"")</f>
        <v/>
      </c>
      <c r="BE552" s="53" t="str">
        <f aca="false">IF($E552&lt;&gt;"",$E552,"")</f>
        <v/>
      </c>
      <c r="BF552" s="52" t="str">
        <f aca="false">IF($F552&lt;&gt;"",$F552,"")</f>
        <v>Apprenant 540 ou 540'</v>
      </c>
      <c r="BG552" s="55" t="str">
        <f aca="false">IF(AND($AW552&lt;&gt;"",$AX552&lt;&gt;""),$AX552-$AW552,"")</f>
        <v/>
      </c>
      <c r="BH552" s="55" t="str">
        <f aca="false">IF(AND($AW552&lt;&gt;"",$AY552&lt;&gt;""),$AY552-$AW552,"")</f>
        <v/>
      </c>
      <c r="BI552" s="55" t="str">
        <f aca="false">IF(AND($AX552&lt;&gt;"",$AY552&lt;&gt;""),$AY552-$AX552,"")</f>
        <v/>
      </c>
      <c r="BJ552" s="53" t="str">
        <f aca="false">IF($J552&lt;&gt;"",$J552,"")</f>
        <v/>
      </c>
      <c r="BL552" s="52"/>
      <c r="BM552" s="52" t="str">
        <f aca="false">IF(OR(COUNT(B552:D1551)=0,AND('Choix pédagogiques'!$C$3&lt;&gt;1,'Choix pédagogiques'!$C$3&lt;&gt;2)),"",IF(AND(OR('Choix pédagogiques'!$C$3=1,'Choix pédagogiques'!$C$3=2),$B552&lt;&gt;"",$C552&lt;&gt;"",$D552&lt;&gt;""),1,0))</f>
        <v/>
      </c>
      <c r="BN552" s="52" t="str">
        <f aca="false">IF(OR(COUNT(G552:I1551)=0,AND('Choix pédagogiques'!$C$3&lt;&gt;1,'Choix pédagogiques'!$C$3&lt;&gt;2)),"",IF(AND(OR('Choix pédagogiques'!$C$3=1,'Choix pédagogiques'!$C$3=2),AND($G552&lt;&gt;"",$H552&lt;&gt;"",$I552&lt;&gt;"")),1,0))</f>
        <v/>
      </c>
      <c r="BO552" s="52" t="str">
        <f aca="false">IF(OR(COUNT(B552:D1551)=0,COUNT(G552:I1551)=0,'Choix pédagogiques'!C$3&lt;&gt;3),"",IF(AND('Choix pédagogiques'!$C$3=3,$B552&lt;&gt;"",$C552&lt;&gt;"",$D552&lt;&gt;"",$G552&lt;&gt;"",$H552&lt;&gt;"",$I552&lt;&gt;""),1,0))</f>
        <v/>
      </c>
      <c r="BR552" s="52" t="n">
        <v>832</v>
      </c>
      <c r="BS552" s="52" t="n">
        <v>1859</v>
      </c>
    </row>
    <row r="553" s="54" customFormat="true" ht="18" hidden="false" customHeight="true" outlineLevel="0" collapsed="false">
      <c r="A553" s="57" t="s">
        <v>1037</v>
      </c>
      <c r="B553" s="51"/>
      <c r="C553" s="51"/>
      <c r="D553" s="51"/>
      <c r="E553" s="51"/>
      <c r="F553" s="57" t="s">
        <v>1038</v>
      </c>
      <c r="G553" s="51"/>
      <c r="H553" s="51"/>
      <c r="I553" s="51"/>
      <c r="J553" s="51"/>
      <c r="K553" s="52" t="str">
        <f aca="false">IF($A553&lt;&gt;"",$A553,"")</f>
        <v>Apprenant 541</v>
      </c>
      <c r="L553" s="53" t="str">
        <f aca="false">IF(AND($B553&lt;&gt;"",$C553&lt;&gt;""),$C553-$B553,"")</f>
        <v/>
      </c>
      <c r="M553" s="53" t="str">
        <f aca="false">IF(AND($B553&lt;&gt;"",$D553&lt;&gt;""),$D553-$B553,"")</f>
        <v/>
      </c>
      <c r="N553" s="53" t="str">
        <f aca="false">IF(AND($C553&lt;&gt;"",$D553&lt;&gt;""),$D553-$C553,"")</f>
        <v/>
      </c>
      <c r="O553" s="53" t="str">
        <f aca="false">IF($E553&lt;&gt;"",$E553,"")</f>
        <v/>
      </c>
      <c r="P553" s="52" t="str">
        <f aca="false">IF($F553&lt;&gt;"",$F553,"")</f>
        <v>Apprenant 541 ou 541'</v>
      </c>
      <c r="Q553" s="53" t="str">
        <f aca="false">IF(AND($G553&lt;&gt;"",$H553&lt;&gt;""),$H553-$G553,"")</f>
        <v/>
      </c>
      <c r="R553" s="53" t="str">
        <f aca="false">IF(AND($G553&lt;&gt;"",$I553&lt;&gt;""),$I553-$G553,"")</f>
        <v/>
      </c>
      <c r="S553" s="53" t="str">
        <f aca="false">IF(AND($H553&lt;&gt;"",$I553&lt;&gt;""),$I553-$H553,"")</f>
        <v/>
      </c>
      <c r="T553" s="53" t="str">
        <f aca="false">IF($J553&lt;&gt;"",$J553,"")</f>
        <v/>
      </c>
      <c r="V553" s="52" t="str">
        <f aca="false">IF($A553&lt;&gt;"",$A553,"")</f>
        <v>Apprenant 541</v>
      </c>
      <c r="W553" s="53" t="str">
        <f aca="false">IF(AND(OR('Choix pédagogiques'!$C$3=1,'Choix pédagogiques'!$C$3=2),$BM553=1),B553,IF(AND('Choix pédagogiques'!$C$3=3,$BO553=1),B553,""))</f>
        <v/>
      </c>
      <c r="X553" s="53" t="str">
        <f aca="false">IF(AND(OR('Choix pédagogiques'!$C$3=1,'Choix pédagogiques'!$C$3=2),$BM553=1),C553,IF(AND('Choix pédagogiques'!$C$3=3,$BO553=1),C553,""))</f>
        <v/>
      </c>
      <c r="Y553" s="53" t="str">
        <f aca="false">IF(AND(OR('Choix pédagogiques'!$C$3=1,'Choix pédagogiques'!$C$3=2),$BM553=1),D553,IF(AND('Choix pédagogiques'!$C$3=3,$BO553=1),D553,""))</f>
        <v/>
      </c>
      <c r="Z553" s="53" t="str">
        <f aca="false">IF($E553&lt;&gt;"",$E553,"")</f>
        <v/>
      </c>
      <c r="AA553" s="52" t="str">
        <f aca="false">IF($F553&lt;&gt;"",$F553,"")</f>
        <v>Apprenant 541 ou 541'</v>
      </c>
      <c r="AB553" s="53" t="str">
        <f aca="false">IF(AND(OR('Choix pédagogiques'!$C$3=1,'Choix pédagogiques'!$C$3=2),$BN553=1),G553,IF(AND('Choix pédagogiques'!$C$3=3,$BO553=1),G553,""))</f>
        <v/>
      </c>
      <c r="AC553" s="53" t="str">
        <f aca="false">IF(AND(OR('Choix pédagogiques'!$C$3=1,'Choix pédagogiques'!$C$3=2),$BN553=1),H553,IF(AND('Choix pédagogiques'!$C$3=3,$BO553=1),H553,""))</f>
        <v/>
      </c>
      <c r="AD553" s="53" t="str">
        <f aca="false">IF(AND(OR('Choix pédagogiques'!$C$3=1,'Choix pédagogiques'!$C$3=2),$BN553=1),I553,IF(AND('Choix pédagogiques'!$C$3=3,$BO553=1),I553,""))</f>
        <v/>
      </c>
      <c r="AE553" s="53" t="str">
        <f aca="false">IF($J553&lt;&gt;"",$J553,"")</f>
        <v/>
      </c>
      <c r="AF553" s="52" t="str">
        <f aca="false">IF($A553&lt;&gt;"",$A553,"")</f>
        <v>Apprenant 541</v>
      </c>
      <c r="AG553" s="53" t="str">
        <f aca="false">IF(AND($W553&lt;&gt;"",$X553&lt;&gt;""),$X553-$W553,"")</f>
        <v/>
      </c>
      <c r="AH553" s="53" t="str">
        <f aca="false">IF(AND($W553&lt;&gt;"",$Y553&lt;&gt;""),$Y553-$W553,"")</f>
        <v/>
      </c>
      <c r="AI553" s="53" t="str">
        <f aca="false">IF(AND($X553&lt;&gt;"",$Y553&lt;&gt;""),$Y553-$X553,"")</f>
        <v/>
      </c>
      <c r="AJ553" s="53" t="str">
        <f aca="false">IF($E553&lt;&gt;"",$E553,"")</f>
        <v/>
      </c>
      <c r="AK553" s="52" t="str">
        <f aca="false">IF($F553&lt;&gt;"",$F553,"")</f>
        <v>Apprenant 541 ou 541'</v>
      </c>
      <c r="AL553" s="53" t="str">
        <f aca="false">IF(AND($AB553&lt;&gt;"",$AC553&lt;&gt;""),$AC553-$AB553,"")</f>
        <v/>
      </c>
      <c r="AM553" s="53" t="str">
        <f aca="false">IF(AND($AB553&lt;&gt;"",$AD553&lt;&gt;""),$AD553-$AB553,"")</f>
        <v/>
      </c>
      <c r="AN553" s="53" t="str">
        <f aca="false">IF(AND($AC553&lt;&gt;"",$AD553&lt;&gt;""),$AD553-$AC553,"")</f>
        <v/>
      </c>
      <c r="AO553" s="53" t="str">
        <f aca="false">IF($J553&lt;&gt;"",$J553,"")</f>
        <v/>
      </c>
      <c r="AQ553" s="52" t="str">
        <f aca="false">IF($A553&lt;&gt;"",$A553,"")</f>
        <v>Apprenant 541</v>
      </c>
      <c r="AR553" s="55" t="str">
        <f aca="false">IF(AND('Choix pédagogiques'!$C$4&lt;&gt;"?",'Choix pédagogiques'!$C$5&lt;&gt;"?",W553&lt;&gt;""),(W553-'Choix pédagogiques'!$C$4)/('Choix pédagogiques'!$C$5-'Choix pédagogiques'!$C$4),"")</f>
        <v/>
      </c>
      <c r="AS553" s="55" t="str">
        <f aca="false">IF(AND('Choix pédagogiques'!$C$4&lt;&gt;"?",'Choix pédagogiques'!$C$5&lt;&gt;"?",X553&lt;&gt;""),(X553-'Choix pédagogiques'!$C$4)/('Choix pédagogiques'!$C$5-'Choix pédagogiques'!$C$4),"")</f>
        <v/>
      </c>
      <c r="AT553" s="55" t="str">
        <f aca="false">IF(AND('Choix pédagogiques'!$C$4&lt;&gt;"?",'Choix pédagogiques'!$C$5&lt;&gt;"?",Y553&lt;&gt;""),(Y553-'Choix pédagogiques'!$C$4)/('Choix pédagogiques'!$C$5-'Choix pédagogiques'!$C$4),"")</f>
        <v/>
      </c>
      <c r="AU553" s="53" t="str">
        <f aca="false">IF($E553&lt;&gt;"",$E553,"")</f>
        <v/>
      </c>
      <c r="AV553" s="52" t="str">
        <f aca="false">IF($F553&lt;&gt;"",$F553,"")</f>
        <v>Apprenant 541 ou 541'</v>
      </c>
      <c r="AW553" s="55" t="str">
        <f aca="false">IF(AND('Choix pédagogiques'!$C$4&lt;&gt;"?",'Choix pédagogiques'!$C$5&lt;&gt;"?",AB553&lt;&gt;""),(AB553-'Choix pédagogiques'!$C$4)/('Choix pédagogiques'!$C$5-'Choix pédagogiques'!$C$4),"")</f>
        <v/>
      </c>
      <c r="AX553" s="55" t="str">
        <f aca="false">IF(AND('Choix pédagogiques'!$C$4&lt;&gt;"?",'Choix pédagogiques'!$C$5&lt;&gt;"?",AC553&lt;&gt;""),(AC553-'Choix pédagogiques'!$C$4)/('Choix pédagogiques'!$C$5-'Choix pédagogiques'!$C$4),"")</f>
        <v/>
      </c>
      <c r="AY553" s="55" t="str">
        <f aca="false">IF(AND('Choix pédagogiques'!$C$4&lt;&gt;"?",'Choix pédagogiques'!$C$5&lt;&gt;"?",AD553&lt;&gt;""),(AD553-'Choix pédagogiques'!$C$4)/('Choix pédagogiques'!$C$5-'Choix pédagogiques'!$C$4),"")</f>
        <v/>
      </c>
      <c r="AZ553" s="53" t="str">
        <f aca="false">IF($J553&lt;&gt;"",$J553,"")</f>
        <v/>
      </c>
      <c r="BA553" s="52" t="str">
        <f aca="false">IF($A553&lt;&gt;"",$A553,"")</f>
        <v>Apprenant 541</v>
      </c>
      <c r="BB553" s="55" t="str">
        <f aca="false">IF(AND($AR553&lt;&gt;"",$AS553&lt;&gt;""),$AS553-$AR553,"")</f>
        <v/>
      </c>
      <c r="BC553" s="55" t="str">
        <f aca="false">IF(AND($AR553&lt;&gt;"",$AT553&lt;&gt;""),$AT553-$AR553,"")</f>
        <v/>
      </c>
      <c r="BD553" s="55" t="str">
        <f aca="false">IF(AND($AS553&lt;&gt;"",$AT553&lt;&gt;""),$AT553-$AS553,"")</f>
        <v/>
      </c>
      <c r="BE553" s="53" t="str">
        <f aca="false">IF($E553&lt;&gt;"",$E553,"")</f>
        <v/>
      </c>
      <c r="BF553" s="52" t="str">
        <f aca="false">IF($F553&lt;&gt;"",$F553,"")</f>
        <v>Apprenant 541 ou 541'</v>
      </c>
      <c r="BG553" s="55" t="str">
        <f aca="false">IF(AND($AW553&lt;&gt;"",$AX553&lt;&gt;""),$AX553-$AW553,"")</f>
        <v/>
      </c>
      <c r="BH553" s="55" t="str">
        <f aca="false">IF(AND($AW553&lt;&gt;"",$AY553&lt;&gt;""),$AY553-$AW553,"")</f>
        <v/>
      </c>
      <c r="BI553" s="55" t="str">
        <f aca="false">IF(AND($AX553&lt;&gt;"",$AY553&lt;&gt;""),$AY553-$AX553,"")</f>
        <v/>
      </c>
      <c r="BJ553" s="53" t="str">
        <f aca="false">IF($J553&lt;&gt;"",$J553,"")</f>
        <v/>
      </c>
      <c r="BL553" s="52"/>
      <c r="BM553" s="52" t="str">
        <f aca="false">IF(OR(COUNT(B553:D1552)=0,AND('Choix pédagogiques'!$C$3&lt;&gt;1,'Choix pédagogiques'!$C$3&lt;&gt;2)),"",IF(AND(OR('Choix pédagogiques'!$C$3=1,'Choix pédagogiques'!$C$3=2),$B553&lt;&gt;"",$C553&lt;&gt;"",$D553&lt;&gt;""),1,0))</f>
        <v/>
      </c>
      <c r="BN553" s="52" t="str">
        <f aca="false">IF(OR(COUNT(G553:I1552)=0,AND('Choix pédagogiques'!$C$3&lt;&gt;1,'Choix pédagogiques'!$C$3&lt;&gt;2)),"",IF(AND(OR('Choix pédagogiques'!$C$3=1,'Choix pédagogiques'!$C$3=2),AND($G553&lt;&gt;"",$H553&lt;&gt;"",$I553&lt;&gt;"")),1,0))</f>
        <v/>
      </c>
      <c r="BO553" s="52" t="str">
        <f aca="false">IF(OR(COUNT(B553:D1552)=0,COUNT(G553:I1552)=0,'Choix pédagogiques'!C$3&lt;&gt;3),"",IF(AND('Choix pédagogiques'!$C$3=3,$B553&lt;&gt;"",$C553&lt;&gt;"",$D553&lt;&gt;"",$G553&lt;&gt;"",$H553&lt;&gt;"",$I553&lt;&gt;""),1,0))</f>
        <v/>
      </c>
      <c r="BR553" s="52" t="n">
        <v>642</v>
      </c>
      <c r="BS553" s="52" t="n">
        <v>1440</v>
      </c>
    </row>
    <row r="554" s="54" customFormat="true" ht="18" hidden="false" customHeight="true" outlineLevel="0" collapsed="false">
      <c r="A554" s="57" t="s">
        <v>1039</v>
      </c>
      <c r="B554" s="51"/>
      <c r="C554" s="51"/>
      <c r="D554" s="51"/>
      <c r="E554" s="51"/>
      <c r="F554" s="57" t="s">
        <v>1040</v>
      </c>
      <c r="G554" s="51"/>
      <c r="H554" s="51"/>
      <c r="I554" s="51"/>
      <c r="J554" s="51"/>
      <c r="K554" s="52" t="str">
        <f aca="false">IF($A554&lt;&gt;"",$A554,"")</f>
        <v>Apprenant 542</v>
      </c>
      <c r="L554" s="53" t="str">
        <f aca="false">IF(AND($B554&lt;&gt;"",$C554&lt;&gt;""),$C554-$B554,"")</f>
        <v/>
      </c>
      <c r="M554" s="53" t="str">
        <f aca="false">IF(AND($B554&lt;&gt;"",$D554&lt;&gt;""),$D554-$B554,"")</f>
        <v/>
      </c>
      <c r="N554" s="53" t="str">
        <f aca="false">IF(AND($C554&lt;&gt;"",$D554&lt;&gt;""),$D554-$C554,"")</f>
        <v/>
      </c>
      <c r="O554" s="53" t="str">
        <f aca="false">IF($E554&lt;&gt;"",$E554,"")</f>
        <v/>
      </c>
      <c r="P554" s="52" t="str">
        <f aca="false">IF($F554&lt;&gt;"",$F554,"")</f>
        <v>Apprenant 542 ou 542'</v>
      </c>
      <c r="Q554" s="53" t="str">
        <f aca="false">IF(AND($G554&lt;&gt;"",$H554&lt;&gt;""),$H554-$G554,"")</f>
        <v/>
      </c>
      <c r="R554" s="53" t="str">
        <f aca="false">IF(AND($G554&lt;&gt;"",$I554&lt;&gt;""),$I554-$G554,"")</f>
        <v/>
      </c>
      <c r="S554" s="53" t="str">
        <f aca="false">IF(AND($H554&lt;&gt;"",$I554&lt;&gt;""),$I554-$H554,"")</f>
        <v/>
      </c>
      <c r="T554" s="53" t="str">
        <f aca="false">IF($J554&lt;&gt;"",$J554,"")</f>
        <v/>
      </c>
      <c r="V554" s="52" t="str">
        <f aca="false">IF($A554&lt;&gt;"",$A554,"")</f>
        <v>Apprenant 542</v>
      </c>
      <c r="W554" s="53" t="str">
        <f aca="false">IF(AND(OR('Choix pédagogiques'!$C$3=1,'Choix pédagogiques'!$C$3=2),$BM554=1),B554,IF(AND('Choix pédagogiques'!$C$3=3,$BO554=1),B554,""))</f>
        <v/>
      </c>
      <c r="X554" s="53" t="str">
        <f aca="false">IF(AND(OR('Choix pédagogiques'!$C$3=1,'Choix pédagogiques'!$C$3=2),$BM554=1),C554,IF(AND('Choix pédagogiques'!$C$3=3,$BO554=1),C554,""))</f>
        <v/>
      </c>
      <c r="Y554" s="53" t="str">
        <f aca="false">IF(AND(OR('Choix pédagogiques'!$C$3=1,'Choix pédagogiques'!$C$3=2),$BM554=1),D554,IF(AND('Choix pédagogiques'!$C$3=3,$BO554=1),D554,""))</f>
        <v/>
      </c>
      <c r="Z554" s="53" t="str">
        <f aca="false">IF($E554&lt;&gt;"",$E554,"")</f>
        <v/>
      </c>
      <c r="AA554" s="52" t="str">
        <f aca="false">IF($F554&lt;&gt;"",$F554,"")</f>
        <v>Apprenant 542 ou 542'</v>
      </c>
      <c r="AB554" s="53" t="str">
        <f aca="false">IF(AND(OR('Choix pédagogiques'!$C$3=1,'Choix pédagogiques'!$C$3=2),$BN554=1),G554,IF(AND('Choix pédagogiques'!$C$3=3,$BO554=1),G554,""))</f>
        <v/>
      </c>
      <c r="AC554" s="53" t="str">
        <f aca="false">IF(AND(OR('Choix pédagogiques'!$C$3=1,'Choix pédagogiques'!$C$3=2),$BN554=1),H554,IF(AND('Choix pédagogiques'!$C$3=3,$BO554=1),H554,""))</f>
        <v/>
      </c>
      <c r="AD554" s="53" t="str">
        <f aca="false">IF(AND(OR('Choix pédagogiques'!$C$3=1,'Choix pédagogiques'!$C$3=2),$BN554=1),I554,IF(AND('Choix pédagogiques'!$C$3=3,$BO554=1),I554,""))</f>
        <v/>
      </c>
      <c r="AE554" s="53" t="str">
        <f aca="false">IF($J554&lt;&gt;"",$J554,"")</f>
        <v/>
      </c>
      <c r="AF554" s="52" t="str">
        <f aca="false">IF($A554&lt;&gt;"",$A554,"")</f>
        <v>Apprenant 542</v>
      </c>
      <c r="AG554" s="53" t="str">
        <f aca="false">IF(AND($W554&lt;&gt;"",$X554&lt;&gt;""),$X554-$W554,"")</f>
        <v/>
      </c>
      <c r="AH554" s="53" t="str">
        <f aca="false">IF(AND($W554&lt;&gt;"",$Y554&lt;&gt;""),$Y554-$W554,"")</f>
        <v/>
      </c>
      <c r="AI554" s="53" t="str">
        <f aca="false">IF(AND($X554&lt;&gt;"",$Y554&lt;&gt;""),$Y554-$X554,"")</f>
        <v/>
      </c>
      <c r="AJ554" s="53" t="str">
        <f aca="false">IF($E554&lt;&gt;"",$E554,"")</f>
        <v/>
      </c>
      <c r="AK554" s="52" t="str">
        <f aca="false">IF($F554&lt;&gt;"",$F554,"")</f>
        <v>Apprenant 542 ou 542'</v>
      </c>
      <c r="AL554" s="53" t="str">
        <f aca="false">IF(AND($AB554&lt;&gt;"",$AC554&lt;&gt;""),$AC554-$AB554,"")</f>
        <v/>
      </c>
      <c r="AM554" s="53" t="str">
        <f aca="false">IF(AND($AB554&lt;&gt;"",$AD554&lt;&gt;""),$AD554-$AB554,"")</f>
        <v/>
      </c>
      <c r="AN554" s="53" t="str">
        <f aca="false">IF(AND($AC554&lt;&gt;"",$AD554&lt;&gt;""),$AD554-$AC554,"")</f>
        <v/>
      </c>
      <c r="AO554" s="53" t="str">
        <f aca="false">IF($J554&lt;&gt;"",$J554,"")</f>
        <v/>
      </c>
      <c r="AQ554" s="52" t="str">
        <f aca="false">IF($A554&lt;&gt;"",$A554,"")</f>
        <v>Apprenant 542</v>
      </c>
      <c r="AR554" s="55" t="str">
        <f aca="false">IF(AND('Choix pédagogiques'!$C$4&lt;&gt;"?",'Choix pédagogiques'!$C$5&lt;&gt;"?",W554&lt;&gt;""),(W554-'Choix pédagogiques'!$C$4)/('Choix pédagogiques'!$C$5-'Choix pédagogiques'!$C$4),"")</f>
        <v/>
      </c>
      <c r="AS554" s="55" t="str">
        <f aca="false">IF(AND('Choix pédagogiques'!$C$4&lt;&gt;"?",'Choix pédagogiques'!$C$5&lt;&gt;"?",X554&lt;&gt;""),(X554-'Choix pédagogiques'!$C$4)/('Choix pédagogiques'!$C$5-'Choix pédagogiques'!$C$4),"")</f>
        <v/>
      </c>
      <c r="AT554" s="55" t="str">
        <f aca="false">IF(AND('Choix pédagogiques'!$C$4&lt;&gt;"?",'Choix pédagogiques'!$C$5&lt;&gt;"?",Y554&lt;&gt;""),(Y554-'Choix pédagogiques'!$C$4)/('Choix pédagogiques'!$C$5-'Choix pédagogiques'!$C$4),"")</f>
        <v/>
      </c>
      <c r="AU554" s="53" t="str">
        <f aca="false">IF($E554&lt;&gt;"",$E554,"")</f>
        <v/>
      </c>
      <c r="AV554" s="52" t="str">
        <f aca="false">IF($F554&lt;&gt;"",$F554,"")</f>
        <v>Apprenant 542 ou 542'</v>
      </c>
      <c r="AW554" s="55" t="str">
        <f aca="false">IF(AND('Choix pédagogiques'!$C$4&lt;&gt;"?",'Choix pédagogiques'!$C$5&lt;&gt;"?",AB554&lt;&gt;""),(AB554-'Choix pédagogiques'!$C$4)/('Choix pédagogiques'!$C$5-'Choix pédagogiques'!$C$4),"")</f>
        <v/>
      </c>
      <c r="AX554" s="55" t="str">
        <f aca="false">IF(AND('Choix pédagogiques'!$C$4&lt;&gt;"?",'Choix pédagogiques'!$C$5&lt;&gt;"?",AC554&lt;&gt;""),(AC554-'Choix pédagogiques'!$C$4)/('Choix pédagogiques'!$C$5-'Choix pédagogiques'!$C$4),"")</f>
        <v/>
      </c>
      <c r="AY554" s="55" t="str">
        <f aca="false">IF(AND('Choix pédagogiques'!$C$4&lt;&gt;"?",'Choix pédagogiques'!$C$5&lt;&gt;"?",AD554&lt;&gt;""),(AD554-'Choix pédagogiques'!$C$4)/('Choix pédagogiques'!$C$5-'Choix pédagogiques'!$C$4),"")</f>
        <v/>
      </c>
      <c r="AZ554" s="53" t="str">
        <f aca="false">IF($J554&lt;&gt;"",$J554,"")</f>
        <v/>
      </c>
      <c r="BA554" s="52" t="str">
        <f aca="false">IF($A554&lt;&gt;"",$A554,"")</f>
        <v>Apprenant 542</v>
      </c>
      <c r="BB554" s="55" t="str">
        <f aca="false">IF(AND($AR554&lt;&gt;"",$AS554&lt;&gt;""),$AS554-$AR554,"")</f>
        <v/>
      </c>
      <c r="BC554" s="55" t="str">
        <f aca="false">IF(AND($AR554&lt;&gt;"",$AT554&lt;&gt;""),$AT554-$AR554,"")</f>
        <v/>
      </c>
      <c r="BD554" s="55" t="str">
        <f aca="false">IF(AND($AS554&lt;&gt;"",$AT554&lt;&gt;""),$AT554-$AS554,"")</f>
        <v/>
      </c>
      <c r="BE554" s="53" t="str">
        <f aca="false">IF($E554&lt;&gt;"",$E554,"")</f>
        <v/>
      </c>
      <c r="BF554" s="52" t="str">
        <f aca="false">IF($F554&lt;&gt;"",$F554,"")</f>
        <v>Apprenant 542 ou 542'</v>
      </c>
      <c r="BG554" s="55" t="str">
        <f aca="false">IF(AND($AW554&lt;&gt;"",$AX554&lt;&gt;""),$AX554-$AW554,"")</f>
        <v/>
      </c>
      <c r="BH554" s="55" t="str">
        <f aca="false">IF(AND($AW554&lt;&gt;"",$AY554&lt;&gt;""),$AY554-$AW554,"")</f>
        <v/>
      </c>
      <c r="BI554" s="55" t="str">
        <f aca="false">IF(AND($AX554&lt;&gt;"",$AY554&lt;&gt;""),$AY554-$AX554,"")</f>
        <v/>
      </c>
      <c r="BJ554" s="53" t="str">
        <f aca="false">IF($J554&lt;&gt;"",$J554,"")</f>
        <v/>
      </c>
      <c r="BL554" s="52"/>
      <c r="BM554" s="52" t="str">
        <f aca="false">IF(OR(COUNT(B554:D1553)=0,AND('Choix pédagogiques'!$C$3&lt;&gt;1,'Choix pédagogiques'!$C$3&lt;&gt;2)),"",IF(AND(OR('Choix pédagogiques'!$C$3=1,'Choix pédagogiques'!$C$3=2),$B554&lt;&gt;"",$C554&lt;&gt;"",$D554&lt;&gt;""),1,0))</f>
        <v/>
      </c>
      <c r="BN554" s="52" t="str">
        <f aca="false">IF(OR(COUNT(G554:I1553)=0,AND('Choix pédagogiques'!$C$3&lt;&gt;1,'Choix pédagogiques'!$C$3&lt;&gt;2)),"",IF(AND(OR('Choix pédagogiques'!$C$3=1,'Choix pédagogiques'!$C$3=2),AND($G554&lt;&gt;"",$H554&lt;&gt;"",$I554&lt;&gt;"")),1,0))</f>
        <v/>
      </c>
      <c r="BO554" s="52" t="str">
        <f aca="false">IF(OR(COUNT(B554:D1553)=0,COUNT(G554:I1553)=0,'Choix pédagogiques'!C$3&lt;&gt;3),"",IF(AND('Choix pédagogiques'!$C$3=3,$B554&lt;&gt;"",$C554&lt;&gt;"",$D554&lt;&gt;"",$G554&lt;&gt;"",$H554&lt;&gt;"",$I554&lt;&gt;""),1,0))</f>
        <v/>
      </c>
      <c r="BR554" s="52" t="n">
        <v>582</v>
      </c>
      <c r="BS554" s="52" t="n">
        <v>1207</v>
      </c>
    </row>
    <row r="555" s="54" customFormat="true" ht="18" hidden="false" customHeight="true" outlineLevel="0" collapsed="false">
      <c r="A555" s="57" t="s">
        <v>1041</v>
      </c>
      <c r="B555" s="51"/>
      <c r="C555" s="51"/>
      <c r="D555" s="51"/>
      <c r="E555" s="51"/>
      <c r="F555" s="57" t="s">
        <v>1042</v>
      </c>
      <c r="G555" s="51"/>
      <c r="H555" s="51"/>
      <c r="I555" s="51"/>
      <c r="J555" s="51"/>
      <c r="K555" s="52" t="str">
        <f aca="false">IF($A555&lt;&gt;"",$A555,"")</f>
        <v>Apprenant 543</v>
      </c>
      <c r="L555" s="53" t="str">
        <f aca="false">IF(AND($B555&lt;&gt;"",$C555&lt;&gt;""),$C555-$B555,"")</f>
        <v/>
      </c>
      <c r="M555" s="53" t="str">
        <f aca="false">IF(AND($B555&lt;&gt;"",$D555&lt;&gt;""),$D555-$B555,"")</f>
        <v/>
      </c>
      <c r="N555" s="53" t="str">
        <f aca="false">IF(AND($C555&lt;&gt;"",$D555&lt;&gt;""),$D555-$C555,"")</f>
        <v/>
      </c>
      <c r="O555" s="53" t="str">
        <f aca="false">IF($E555&lt;&gt;"",$E555,"")</f>
        <v/>
      </c>
      <c r="P555" s="52" t="str">
        <f aca="false">IF($F555&lt;&gt;"",$F555,"")</f>
        <v>Apprenant 543 ou 543'</v>
      </c>
      <c r="Q555" s="53" t="str">
        <f aca="false">IF(AND($G555&lt;&gt;"",$H555&lt;&gt;""),$H555-$G555,"")</f>
        <v/>
      </c>
      <c r="R555" s="53" t="str">
        <f aca="false">IF(AND($G555&lt;&gt;"",$I555&lt;&gt;""),$I555-$G555,"")</f>
        <v/>
      </c>
      <c r="S555" s="53" t="str">
        <f aca="false">IF(AND($H555&lt;&gt;"",$I555&lt;&gt;""),$I555-$H555,"")</f>
        <v/>
      </c>
      <c r="T555" s="53" t="str">
        <f aca="false">IF($J555&lt;&gt;"",$J555,"")</f>
        <v/>
      </c>
      <c r="V555" s="52" t="str">
        <f aca="false">IF($A555&lt;&gt;"",$A555,"")</f>
        <v>Apprenant 543</v>
      </c>
      <c r="W555" s="53" t="str">
        <f aca="false">IF(AND(OR('Choix pédagogiques'!$C$3=1,'Choix pédagogiques'!$C$3=2),$BM555=1),B555,IF(AND('Choix pédagogiques'!$C$3=3,$BO555=1),B555,""))</f>
        <v/>
      </c>
      <c r="X555" s="53" t="str">
        <f aca="false">IF(AND(OR('Choix pédagogiques'!$C$3=1,'Choix pédagogiques'!$C$3=2),$BM555=1),C555,IF(AND('Choix pédagogiques'!$C$3=3,$BO555=1),C555,""))</f>
        <v/>
      </c>
      <c r="Y555" s="53" t="str">
        <f aca="false">IF(AND(OR('Choix pédagogiques'!$C$3=1,'Choix pédagogiques'!$C$3=2),$BM555=1),D555,IF(AND('Choix pédagogiques'!$C$3=3,$BO555=1),D555,""))</f>
        <v/>
      </c>
      <c r="Z555" s="53" t="str">
        <f aca="false">IF($E555&lt;&gt;"",$E555,"")</f>
        <v/>
      </c>
      <c r="AA555" s="52" t="str">
        <f aca="false">IF($F555&lt;&gt;"",$F555,"")</f>
        <v>Apprenant 543 ou 543'</v>
      </c>
      <c r="AB555" s="53" t="str">
        <f aca="false">IF(AND(OR('Choix pédagogiques'!$C$3=1,'Choix pédagogiques'!$C$3=2),$BN555=1),G555,IF(AND('Choix pédagogiques'!$C$3=3,$BO555=1),G555,""))</f>
        <v/>
      </c>
      <c r="AC555" s="53" t="str">
        <f aca="false">IF(AND(OR('Choix pédagogiques'!$C$3=1,'Choix pédagogiques'!$C$3=2),$BN555=1),H555,IF(AND('Choix pédagogiques'!$C$3=3,$BO555=1),H555,""))</f>
        <v/>
      </c>
      <c r="AD555" s="53" t="str">
        <f aca="false">IF(AND(OR('Choix pédagogiques'!$C$3=1,'Choix pédagogiques'!$C$3=2),$BN555=1),I555,IF(AND('Choix pédagogiques'!$C$3=3,$BO555=1),I555,""))</f>
        <v/>
      </c>
      <c r="AE555" s="53" t="str">
        <f aca="false">IF($J555&lt;&gt;"",$J555,"")</f>
        <v/>
      </c>
      <c r="AF555" s="52" t="str">
        <f aca="false">IF($A555&lt;&gt;"",$A555,"")</f>
        <v>Apprenant 543</v>
      </c>
      <c r="AG555" s="53" t="str">
        <f aca="false">IF(AND($W555&lt;&gt;"",$X555&lt;&gt;""),$X555-$W555,"")</f>
        <v/>
      </c>
      <c r="AH555" s="53" t="str">
        <f aca="false">IF(AND($W555&lt;&gt;"",$Y555&lt;&gt;""),$Y555-$W555,"")</f>
        <v/>
      </c>
      <c r="AI555" s="53" t="str">
        <f aca="false">IF(AND($X555&lt;&gt;"",$Y555&lt;&gt;""),$Y555-$X555,"")</f>
        <v/>
      </c>
      <c r="AJ555" s="53" t="str">
        <f aca="false">IF($E555&lt;&gt;"",$E555,"")</f>
        <v/>
      </c>
      <c r="AK555" s="52" t="str">
        <f aca="false">IF($F555&lt;&gt;"",$F555,"")</f>
        <v>Apprenant 543 ou 543'</v>
      </c>
      <c r="AL555" s="53" t="str">
        <f aca="false">IF(AND($AB555&lt;&gt;"",$AC555&lt;&gt;""),$AC555-$AB555,"")</f>
        <v/>
      </c>
      <c r="AM555" s="53" t="str">
        <f aca="false">IF(AND($AB555&lt;&gt;"",$AD555&lt;&gt;""),$AD555-$AB555,"")</f>
        <v/>
      </c>
      <c r="AN555" s="53" t="str">
        <f aca="false">IF(AND($AC555&lt;&gt;"",$AD555&lt;&gt;""),$AD555-$AC555,"")</f>
        <v/>
      </c>
      <c r="AO555" s="53" t="str">
        <f aca="false">IF($J555&lt;&gt;"",$J555,"")</f>
        <v/>
      </c>
      <c r="AQ555" s="52" t="str">
        <f aca="false">IF($A555&lt;&gt;"",$A555,"")</f>
        <v>Apprenant 543</v>
      </c>
      <c r="AR555" s="55" t="str">
        <f aca="false">IF(AND('Choix pédagogiques'!$C$4&lt;&gt;"?",'Choix pédagogiques'!$C$5&lt;&gt;"?",W555&lt;&gt;""),(W555-'Choix pédagogiques'!$C$4)/('Choix pédagogiques'!$C$5-'Choix pédagogiques'!$C$4),"")</f>
        <v/>
      </c>
      <c r="AS555" s="55" t="str">
        <f aca="false">IF(AND('Choix pédagogiques'!$C$4&lt;&gt;"?",'Choix pédagogiques'!$C$5&lt;&gt;"?",X555&lt;&gt;""),(X555-'Choix pédagogiques'!$C$4)/('Choix pédagogiques'!$C$5-'Choix pédagogiques'!$C$4),"")</f>
        <v/>
      </c>
      <c r="AT555" s="55" t="str">
        <f aca="false">IF(AND('Choix pédagogiques'!$C$4&lt;&gt;"?",'Choix pédagogiques'!$C$5&lt;&gt;"?",Y555&lt;&gt;""),(Y555-'Choix pédagogiques'!$C$4)/('Choix pédagogiques'!$C$5-'Choix pédagogiques'!$C$4),"")</f>
        <v/>
      </c>
      <c r="AU555" s="53" t="str">
        <f aca="false">IF($E555&lt;&gt;"",$E555,"")</f>
        <v/>
      </c>
      <c r="AV555" s="52" t="str">
        <f aca="false">IF($F555&lt;&gt;"",$F555,"")</f>
        <v>Apprenant 543 ou 543'</v>
      </c>
      <c r="AW555" s="55" t="str">
        <f aca="false">IF(AND('Choix pédagogiques'!$C$4&lt;&gt;"?",'Choix pédagogiques'!$C$5&lt;&gt;"?",AB555&lt;&gt;""),(AB555-'Choix pédagogiques'!$C$4)/('Choix pédagogiques'!$C$5-'Choix pédagogiques'!$C$4),"")</f>
        <v/>
      </c>
      <c r="AX555" s="55" t="str">
        <f aca="false">IF(AND('Choix pédagogiques'!$C$4&lt;&gt;"?",'Choix pédagogiques'!$C$5&lt;&gt;"?",AC555&lt;&gt;""),(AC555-'Choix pédagogiques'!$C$4)/('Choix pédagogiques'!$C$5-'Choix pédagogiques'!$C$4),"")</f>
        <v/>
      </c>
      <c r="AY555" s="55" t="str">
        <f aca="false">IF(AND('Choix pédagogiques'!$C$4&lt;&gt;"?",'Choix pédagogiques'!$C$5&lt;&gt;"?",AD555&lt;&gt;""),(AD555-'Choix pédagogiques'!$C$4)/('Choix pédagogiques'!$C$5-'Choix pédagogiques'!$C$4),"")</f>
        <v/>
      </c>
      <c r="AZ555" s="53" t="str">
        <f aca="false">IF($J555&lt;&gt;"",$J555,"")</f>
        <v/>
      </c>
      <c r="BA555" s="52" t="str">
        <f aca="false">IF($A555&lt;&gt;"",$A555,"")</f>
        <v>Apprenant 543</v>
      </c>
      <c r="BB555" s="55" t="str">
        <f aca="false">IF(AND($AR555&lt;&gt;"",$AS555&lt;&gt;""),$AS555-$AR555,"")</f>
        <v/>
      </c>
      <c r="BC555" s="55" t="str">
        <f aca="false">IF(AND($AR555&lt;&gt;"",$AT555&lt;&gt;""),$AT555-$AR555,"")</f>
        <v/>
      </c>
      <c r="BD555" s="55" t="str">
        <f aca="false">IF(AND($AS555&lt;&gt;"",$AT555&lt;&gt;""),$AT555-$AS555,"")</f>
        <v/>
      </c>
      <c r="BE555" s="53" t="str">
        <f aca="false">IF($E555&lt;&gt;"",$E555,"")</f>
        <v/>
      </c>
      <c r="BF555" s="52" t="str">
        <f aca="false">IF($F555&lt;&gt;"",$F555,"")</f>
        <v>Apprenant 543 ou 543'</v>
      </c>
      <c r="BG555" s="55" t="str">
        <f aca="false">IF(AND($AW555&lt;&gt;"",$AX555&lt;&gt;""),$AX555-$AW555,"")</f>
        <v/>
      </c>
      <c r="BH555" s="55" t="str">
        <f aca="false">IF(AND($AW555&lt;&gt;"",$AY555&lt;&gt;""),$AY555-$AW555,"")</f>
        <v/>
      </c>
      <c r="BI555" s="55" t="str">
        <f aca="false">IF(AND($AX555&lt;&gt;"",$AY555&lt;&gt;""),$AY555-$AX555,"")</f>
        <v/>
      </c>
      <c r="BJ555" s="53" t="str">
        <f aca="false">IF($J555&lt;&gt;"",$J555,"")</f>
        <v/>
      </c>
      <c r="BL555" s="52"/>
      <c r="BM555" s="52" t="str">
        <f aca="false">IF(OR(COUNT(B555:D1554)=0,AND('Choix pédagogiques'!$C$3&lt;&gt;1,'Choix pédagogiques'!$C$3&lt;&gt;2)),"",IF(AND(OR('Choix pédagogiques'!$C$3=1,'Choix pédagogiques'!$C$3=2),$B555&lt;&gt;"",$C555&lt;&gt;"",$D555&lt;&gt;""),1,0))</f>
        <v/>
      </c>
      <c r="BN555" s="52" t="str">
        <f aca="false">IF(OR(COUNT(G555:I1554)=0,AND('Choix pédagogiques'!$C$3&lt;&gt;1,'Choix pédagogiques'!$C$3&lt;&gt;2)),"",IF(AND(OR('Choix pédagogiques'!$C$3=1,'Choix pédagogiques'!$C$3=2),AND($G555&lt;&gt;"",$H555&lt;&gt;"",$I555&lt;&gt;"")),1,0))</f>
        <v/>
      </c>
      <c r="BO555" s="52" t="str">
        <f aca="false">IF(OR(COUNT(B555:D1554)=0,COUNT(G555:I1554)=0,'Choix pédagogiques'!C$3&lt;&gt;3),"",IF(AND('Choix pédagogiques'!$C$3=3,$B555&lt;&gt;"",$C555&lt;&gt;"",$D555&lt;&gt;"",$G555&lt;&gt;"",$H555&lt;&gt;"",$I555&lt;&gt;""),1,0))</f>
        <v/>
      </c>
      <c r="BR555" s="52" t="n">
        <v>66</v>
      </c>
      <c r="BS555" s="52" t="n">
        <v>1772</v>
      </c>
    </row>
    <row r="556" s="54" customFormat="true" ht="18" hidden="false" customHeight="true" outlineLevel="0" collapsed="false">
      <c r="A556" s="57" t="s">
        <v>1043</v>
      </c>
      <c r="B556" s="51"/>
      <c r="C556" s="51"/>
      <c r="D556" s="51"/>
      <c r="E556" s="51"/>
      <c r="F556" s="57" t="s">
        <v>1044</v>
      </c>
      <c r="G556" s="51"/>
      <c r="H556" s="51"/>
      <c r="I556" s="51"/>
      <c r="J556" s="51"/>
      <c r="K556" s="52" t="str">
        <f aca="false">IF($A556&lt;&gt;"",$A556,"")</f>
        <v>Apprenant 544</v>
      </c>
      <c r="L556" s="53" t="str">
        <f aca="false">IF(AND($B556&lt;&gt;"",$C556&lt;&gt;""),$C556-$B556,"")</f>
        <v/>
      </c>
      <c r="M556" s="53" t="str">
        <f aca="false">IF(AND($B556&lt;&gt;"",$D556&lt;&gt;""),$D556-$B556,"")</f>
        <v/>
      </c>
      <c r="N556" s="53" t="str">
        <f aca="false">IF(AND($C556&lt;&gt;"",$D556&lt;&gt;""),$D556-$C556,"")</f>
        <v/>
      </c>
      <c r="O556" s="53" t="str">
        <f aca="false">IF($E556&lt;&gt;"",$E556,"")</f>
        <v/>
      </c>
      <c r="P556" s="52" t="str">
        <f aca="false">IF($F556&lt;&gt;"",$F556,"")</f>
        <v>Apprenant 544 ou 544'</v>
      </c>
      <c r="Q556" s="53" t="str">
        <f aca="false">IF(AND($G556&lt;&gt;"",$H556&lt;&gt;""),$H556-$G556,"")</f>
        <v/>
      </c>
      <c r="R556" s="53" t="str">
        <f aca="false">IF(AND($G556&lt;&gt;"",$I556&lt;&gt;""),$I556-$G556,"")</f>
        <v/>
      </c>
      <c r="S556" s="53" t="str">
        <f aca="false">IF(AND($H556&lt;&gt;"",$I556&lt;&gt;""),$I556-$H556,"")</f>
        <v/>
      </c>
      <c r="T556" s="53" t="str">
        <f aca="false">IF($J556&lt;&gt;"",$J556,"")</f>
        <v/>
      </c>
      <c r="V556" s="52" t="str">
        <f aca="false">IF($A556&lt;&gt;"",$A556,"")</f>
        <v>Apprenant 544</v>
      </c>
      <c r="W556" s="53" t="str">
        <f aca="false">IF(AND(OR('Choix pédagogiques'!$C$3=1,'Choix pédagogiques'!$C$3=2),$BM556=1),B556,IF(AND('Choix pédagogiques'!$C$3=3,$BO556=1),B556,""))</f>
        <v/>
      </c>
      <c r="X556" s="53" t="str">
        <f aca="false">IF(AND(OR('Choix pédagogiques'!$C$3=1,'Choix pédagogiques'!$C$3=2),$BM556=1),C556,IF(AND('Choix pédagogiques'!$C$3=3,$BO556=1),C556,""))</f>
        <v/>
      </c>
      <c r="Y556" s="53" t="str">
        <f aca="false">IF(AND(OR('Choix pédagogiques'!$C$3=1,'Choix pédagogiques'!$C$3=2),$BM556=1),D556,IF(AND('Choix pédagogiques'!$C$3=3,$BO556=1),D556,""))</f>
        <v/>
      </c>
      <c r="Z556" s="53" t="str">
        <f aca="false">IF($E556&lt;&gt;"",$E556,"")</f>
        <v/>
      </c>
      <c r="AA556" s="52" t="str">
        <f aca="false">IF($F556&lt;&gt;"",$F556,"")</f>
        <v>Apprenant 544 ou 544'</v>
      </c>
      <c r="AB556" s="53" t="str">
        <f aca="false">IF(AND(OR('Choix pédagogiques'!$C$3=1,'Choix pédagogiques'!$C$3=2),$BN556=1),G556,IF(AND('Choix pédagogiques'!$C$3=3,$BO556=1),G556,""))</f>
        <v/>
      </c>
      <c r="AC556" s="53" t="str">
        <f aca="false">IF(AND(OR('Choix pédagogiques'!$C$3=1,'Choix pédagogiques'!$C$3=2),$BN556=1),H556,IF(AND('Choix pédagogiques'!$C$3=3,$BO556=1),H556,""))</f>
        <v/>
      </c>
      <c r="AD556" s="53" t="str">
        <f aca="false">IF(AND(OR('Choix pédagogiques'!$C$3=1,'Choix pédagogiques'!$C$3=2),$BN556=1),I556,IF(AND('Choix pédagogiques'!$C$3=3,$BO556=1),I556,""))</f>
        <v/>
      </c>
      <c r="AE556" s="53" t="str">
        <f aca="false">IF($J556&lt;&gt;"",$J556,"")</f>
        <v/>
      </c>
      <c r="AF556" s="52" t="str">
        <f aca="false">IF($A556&lt;&gt;"",$A556,"")</f>
        <v>Apprenant 544</v>
      </c>
      <c r="AG556" s="53" t="str">
        <f aca="false">IF(AND($W556&lt;&gt;"",$X556&lt;&gt;""),$X556-$W556,"")</f>
        <v/>
      </c>
      <c r="AH556" s="53" t="str">
        <f aca="false">IF(AND($W556&lt;&gt;"",$Y556&lt;&gt;""),$Y556-$W556,"")</f>
        <v/>
      </c>
      <c r="AI556" s="53" t="str">
        <f aca="false">IF(AND($X556&lt;&gt;"",$Y556&lt;&gt;""),$Y556-$X556,"")</f>
        <v/>
      </c>
      <c r="AJ556" s="53" t="str">
        <f aca="false">IF($E556&lt;&gt;"",$E556,"")</f>
        <v/>
      </c>
      <c r="AK556" s="52" t="str">
        <f aca="false">IF($F556&lt;&gt;"",$F556,"")</f>
        <v>Apprenant 544 ou 544'</v>
      </c>
      <c r="AL556" s="53" t="str">
        <f aca="false">IF(AND($AB556&lt;&gt;"",$AC556&lt;&gt;""),$AC556-$AB556,"")</f>
        <v/>
      </c>
      <c r="AM556" s="53" t="str">
        <f aca="false">IF(AND($AB556&lt;&gt;"",$AD556&lt;&gt;""),$AD556-$AB556,"")</f>
        <v/>
      </c>
      <c r="AN556" s="53" t="str">
        <f aca="false">IF(AND($AC556&lt;&gt;"",$AD556&lt;&gt;""),$AD556-$AC556,"")</f>
        <v/>
      </c>
      <c r="AO556" s="53" t="str">
        <f aca="false">IF($J556&lt;&gt;"",$J556,"")</f>
        <v/>
      </c>
      <c r="AQ556" s="52" t="str">
        <f aca="false">IF($A556&lt;&gt;"",$A556,"")</f>
        <v>Apprenant 544</v>
      </c>
      <c r="AR556" s="55" t="str">
        <f aca="false">IF(AND('Choix pédagogiques'!$C$4&lt;&gt;"?",'Choix pédagogiques'!$C$5&lt;&gt;"?",W556&lt;&gt;""),(W556-'Choix pédagogiques'!$C$4)/('Choix pédagogiques'!$C$5-'Choix pédagogiques'!$C$4),"")</f>
        <v/>
      </c>
      <c r="AS556" s="55" t="str">
        <f aca="false">IF(AND('Choix pédagogiques'!$C$4&lt;&gt;"?",'Choix pédagogiques'!$C$5&lt;&gt;"?",X556&lt;&gt;""),(X556-'Choix pédagogiques'!$C$4)/('Choix pédagogiques'!$C$5-'Choix pédagogiques'!$C$4),"")</f>
        <v/>
      </c>
      <c r="AT556" s="55" t="str">
        <f aca="false">IF(AND('Choix pédagogiques'!$C$4&lt;&gt;"?",'Choix pédagogiques'!$C$5&lt;&gt;"?",Y556&lt;&gt;""),(Y556-'Choix pédagogiques'!$C$4)/('Choix pédagogiques'!$C$5-'Choix pédagogiques'!$C$4),"")</f>
        <v/>
      </c>
      <c r="AU556" s="53" t="str">
        <f aca="false">IF($E556&lt;&gt;"",$E556,"")</f>
        <v/>
      </c>
      <c r="AV556" s="52" t="str">
        <f aca="false">IF($F556&lt;&gt;"",$F556,"")</f>
        <v>Apprenant 544 ou 544'</v>
      </c>
      <c r="AW556" s="55" t="str">
        <f aca="false">IF(AND('Choix pédagogiques'!$C$4&lt;&gt;"?",'Choix pédagogiques'!$C$5&lt;&gt;"?",AB556&lt;&gt;""),(AB556-'Choix pédagogiques'!$C$4)/('Choix pédagogiques'!$C$5-'Choix pédagogiques'!$C$4),"")</f>
        <v/>
      </c>
      <c r="AX556" s="55" t="str">
        <f aca="false">IF(AND('Choix pédagogiques'!$C$4&lt;&gt;"?",'Choix pédagogiques'!$C$5&lt;&gt;"?",AC556&lt;&gt;""),(AC556-'Choix pédagogiques'!$C$4)/('Choix pédagogiques'!$C$5-'Choix pédagogiques'!$C$4),"")</f>
        <v/>
      </c>
      <c r="AY556" s="55" t="str">
        <f aca="false">IF(AND('Choix pédagogiques'!$C$4&lt;&gt;"?",'Choix pédagogiques'!$C$5&lt;&gt;"?",AD556&lt;&gt;""),(AD556-'Choix pédagogiques'!$C$4)/('Choix pédagogiques'!$C$5-'Choix pédagogiques'!$C$4),"")</f>
        <v/>
      </c>
      <c r="AZ556" s="53" t="str">
        <f aca="false">IF($J556&lt;&gt;"",$J556,"")</f>
        <v/>
      </c>
      <c r="BA556" s="52" t="str">
        <f aca="false">IF($A556&lt;&gt;"",$A556,"")</f>
        <v>Apprenant 544</v>
      </c>
      <c r="BB556" s="55" t="str">
        <f aca="false">IF(AND($AR556&lt;&gt;"",$AS556&lt;&gt;""),$AS556-$AR556,"")</f>
        <v/>
      </c>
      <c r="BC556" s="55" t="str">
        <f aca="false">IF(AND($AR556&lt;&gt;"",$AT556&lt;&gt;""),$AT556-$AR556,"")</f>
        <v/>
      </c>
      <c r="BD556" s="55" t="str">
        <f aca="false">IF(AND($AS556&lt;&gt;"",$AT556&lt;&gt;""),$AT556-$AS556,"")</f>
        <v/>
      </c>
      <c r="BE556" s="53" t="str">
        <f aca="false">IF($E556&lt;&gt;"",$E556,"")</f>
        <v/>
      </c>
      <c r="BF556" s="52" t="str">
        <f aca="false">IF($F556&lt;&gt;"",$F556,"")</f>
        <v>Apprenant 544 ou 544'</v>
      </c>
      <c r="BG556" s="55" t="str">
        <f aca="false">IF(AND($AW556&lt;&gt;"",$AX556&lt;&gt;""),$AX556-$AW556,"")</f>
        <v/>
      </c>
      <c r="BH556" s="55" t="str">
        <f aca="false">IF(AND($AW556&lt;&gt;"",$AY556&lt;&gt;""),$AY556-$AW556,"")</f>
        <v/>
      </c>
      <c r="BI556" s="55" t="str">
        <f aca="false">IF(AND($AX556&lt;&gt;"",$AY556&lt;&gt;""),$AY556-$AX556,"")</f>
        <v/>
      </c>
      <c r="BJ556" s="53" t="str">
        <f aca="false">IF($J556&lt;&gt;"",$J556,"")</f>
        <v/>
      </c>
      <c r="BL556" s="52"/>
      <c r="BM556" s="52" t="str">
        <f aca="false">IF(OR(COUNT(B556:D1555)=0,AND('Choix pédagogiques'!$C$3&lt;&gt;1,'Choix pédagogiques'!$C$3&lt;&gt;2)),"",IF(AND(OR('Choix pédagogiques'!$C$3=1,'Choix pédagogiques'!$C$3=2),$B556&lt;&gt;"",$C556&lt;&gt;"",$D556&lt;&gt;""),1,0))</f>
        <v/>
      </c>
      <c r="BN556" s="52" t="str">
        <f aca="false">IF(OR(COUNT(G556:I1555)=0,AND('Choix pédagogiques'!$C$3&lt;&gt;1,'Choix pédagogiques'!$C$3&lt;&gt;2)),"",IF(AND(OR('Choix pédagogiques'!$C$3=1,'Choix pédagogiques'!$C$3=2),AND($G556&lt;&gt;"",$H556&lt;&gt;"",$I556&lt;&gt;"")),1,0))</f>
        <v/>
      </c>
      <c r="BO556" s="52" t="str">
        <f aca="false">IF(OR(COUNT(B556:D1555)=0,COUNT(G556:I1555)=0,'Choix pédagogiques'!C$3&lt;&gt;3),"",IF(AND('Choix pédagogiques'!$C$3=3,$B556&lt;&gt;"",$C556&lt;&gt;"",$D556&lt;&gt;"",$G556&lt;&gt;"",$H556&lt;&gt;"",$I556&lt;&gt;""),1,0))</f>
        <v/>
      </c>
      <c r="BR556" s="52" t="n">
        <v>43</v>
      </c>
      <c r="BS556" s="52" t="n">
        <v>1882</v>
      </c>
    </row>
    <row r="557" s="54" customFormat="true" ht="18" hidden="false" customHeight="true" outlineLevel="0" collapsed="false">
      <c r="A557" s="57" t="s">
        <v>1045</v>
      </c>
      <c r="B557" s="51"/>
      <c r="C557" s="51"/>
      <c r="D557" s="51"/>
      <c r="E557" s="51"/>
      <c r="F557" s="57" t="s">
        <v>1046</v>
      </c>
      <c r="G557" s="51"/>
      <c r="H557" s="51"/>
      <c r="I557" s="51"/>
      <c r="J557" s="51"/>
      <c r="K557" s="52" t="str">
        <f aca="false">IF($A557&lt;&gt;"",$A557,"")</f>
        <v>Apprenant 545</v>
      </c>
      <c r="L557" s="53" t="str">
        <f aca="false">IF(AND($B557&lt;&gt;"",$C557&lt;&gt;""),$C557-$B557,"")</f>
        <v/>
      </c>
      <c r="M557" s="53" t="str">
        <f aca="false">IF(AND($B557&lt;&gt;"",$D557&lt;&gt;""),$D557-$B557,"")</f>
        <v/>
      </c>
      <c r="N557" s="53" t="str">
        <f aca="false">IF(AND($C557&lt;&gt;"",$D557&lt;&gt;""),$D557-$C557,"")</f>
        <v/>
      </c>
      <c r="O557" s="53" t="str">
        <f aca="false">IF($E557&lt;&gt;"",$E557,"")</f>
        <v/>
      </c>
      <c r="P557" s="52" t="str">
        <f aca="false">IF($F557&lt;&gt;"",$F557,"")</f>
        <v>Apprenant 545 ou 545'</v>
      </c>
      <c r="Q557" s="53" t="str">
        <f aca="false">IF(AND($G557&lt;&gt;"",$H557&lt;&gt;""),$H557-$G557,"")</f>
        <v/>
      </c>
      <c r="R557" s="53" t="str">
        <f aca="false">IF(AND($G557&lt;&gt;"",$I557&lt;&gt;""),$I557-$G557,"")</f>
        <v/>
      </c>
      <c r="S557" s="53" t="str">
        <f aca="false">IF(AND($H557&lt;&gt;"",$I557&lt;&gt;""),$I557-$H557,"")</f>
        <v/>
      </c>
      <c r="T557" s="53" t="str">
        <f aca="false">IF($J557&lt;&gt;"",$J557,"")</f>
        <v/>
      </c>
      <c r="V557" s="52" t="str">
        <f aca="false">IF($A557&lt;&gt;"",$A557,"")</f>
        <v>Apprenant 545</v>
      </c>
      <c r="W557" s="53" t="str">
        <f aca="false">IF(AND(OR('Choix pédagogiques'!$C$3=1,'Choix pédagogiques'!$C$3=2),$BM557=1),B557,IF(AND('Choix pédagogiques'!$C$3=3,$BO557=1),B557,""))</f>
        <v/>
      </c>
      <c r="X557" s="53" t="str">
        <f aca="false">IF(AND(OR('Choix pédagogiques'!$C$3=1,'Choix pédagogiques'!$C$3=2),$BM557=1),C557,IF(AND('Choix pédagogiques'!$C$3=3,$BO557=1),C557,""))</f>
        <v/>
      </c>
      <c r="Y557" s="53" t="str">
        <f aca="false">IF(AND(OR('Choix pédagogiques'!$C$3=1,'Choix pédagogiques'!$C$3=2),$BM557=1),D557,IF(AND('Choix pédagogiques'!$C$3=3,$BO557=1),D557,""))</f>
        <v/>
      </c>
      <c r="Z557" s="53" t="str">
        <f aca="false">IF($E557&lt;&gt;"",$E557,"")</f>
        <v/>
      </c>
      <c r="AA557" s="52" t="str">
        <f aca="false">IF($F557&lt;&gt;"",$F557,"")</f>
        <v>Apprenant 545 ou 545'</v>
      </c>
      <c r="AB557" s="53" t="str">
        <f aca="false">IF(AND(OR('Choix pédagogiques'!$C$3=1,'Choix pédagogiques'!$C$3=2),$BN557=1),G557,IF(AND('Choix pédagogiques'!$C$3=3,$BO557=1),G557,""))</f>
        <v/>
      </c>
      <c r="AC557" s="53" t="str">
        <f aca="false">IF(AND(OR('Choix pédagogiques'!$C$3=1,'Choix pédagogiques'!$C$3=2),$BN557=1),H557,IF(AND('Choix pédagogiques'!$C$3=3,$BO557=1),H557,""))</f>
        <v/>
      </c>
      <c r="AD557" s="53" t="str">
        <f aca="false">IF(AND(OR('Choix pédagogiques'!$C$3=1,'Choix pédagogiques'!$C$3=2),$BN557=1),I557,IF(AND('Choix pédagogiques'!$C$3=3,$BO557=1),I557,""))</f>
        <v/>
      </c>
      <c r="AE557" s="53" t="str">
        <f aca="false">IF($J557&lt;&gt;"",$J557,"")</f>
        <v/>
      </c>
      <c r="AF557" s="52" t="str">
        <f aca="false">IF($A557&lt;&gt;"",$A557,"")</f>
        <v>Apprenant 545</v>
      </c>
      <c r="AG557" s="53" t="str">
        <f aca="false">IF(AND($W557&lt;&gt;"",$X557&lt;&gt;""),$X557-$W557,"")</f>
        <v/>
      </c>
      <c r="AH557" s="53" t="str">
        <f aca="false">IF(AND($W557&lt;&gt;"",$Y557&lt;&gt;""),$Y557-$W557,"")</f>
        <v/>
      </c>
      <c r="AI557" s="53" t="str">
        <f aca="false">IF(AND($X557&lt;&gt;"",$Y557&lt;&gt;""),$Y557-$X557,"")</f>
        <v/>
      </c>
      <c r="AJ557" s="53" t="str">
        <f aca="false">IF($E557&lt;&gt;"",$E557,"")</f>
        <v/>
      </c>
      <c r="AK557" s="52" t="str">
        <f aca="false">IF($F557&lt;&gt;"",$F557,"")</f>
        <v>Apprenant 545 ou 545'</v>
      </c>
      <c r="AL557" s="53" t="str">
        <f aca="false">IF(AND($AB557&lt;&gt;"",$AC557&lt;&gt;""),$AC557-$AB557,"")</f>
        <v/>
      </c>
      <c r="AM557" s="53" t="str">
        <f aca="false">IF(AND($AB557&lt;&gt;"",$AD557&lt;&gt;""),$AD557-$AB557,"")</f>
        <v/>
      </c>
      <c r="AN557" s="53" t="str">
        <f aca="false">IF(AND($AC557&lt;&gt;"",$AD557&lt;&gt;""),$AD557-$AC557,"")</f>
        <v/>
      </c>
      <c r="AO557" s="53" t="str">
        <f aca="false">IF($J557&lt;&gt;"",$J557,"")</f>
        <v/>
      </c>
      <c r="AQ557" s="52" t="str">
        <f aca="false">IF($A557&lt;&gt;"",$A557,"")</f>
        <v>Apprenant 545</v>
      </c>
      <c r="AR557" s="55" t="str">
        <f aca="false">IF(AND('Choix pédagogiques'!$C$4&lt;&gt;"?",'Choix pédagogiques'!$C$5&lt;&gt;"?",W557&lt;&gt;""),(W557-'Choix pédagogiques'!$C$4)/('Choix pédagogiques'!$C$5-'Choix pédagogiques'!$C$4),"")</f>
        <v/>
      </c>
      <c r="AS557" s="55" t="str">
        <f aca="false">IF(AND('Choix pédagogiques'!$C$4&lt;&gt;"?",'Choix pédagogiques'!$C$5&lt;&gt;"?",X557&lt;&gt;""),(X557-'Choix pédagogiques'!$C$4)/('Choix pédagogiques'!$C$5-'Choix pédagogiques'!$C$4),"")</f>
        <v/>
      </c>
      <c r="AT557" s="55" t="str">
        <f aca="false">IF(AND('Choix pédagogiques'!$C$4&lt;&gt;"?",'Choix pédagogiques'!$C$5&lt;&gt;"?",Y557&lt;&gt;""),(Y557-'Choix pédagogiques'!$C$4)/('Choix pédagogiques'!$C$5-'Choix pédagogiques'!$C$4),"")</f>
        <v/>
      </c>
      <c r="AU557" s="53" t="str">
        <f aca="false">IF($E557&lt;&gt;"",$E557,"")</f>
        <v/>
      </c>
      <c r="AV557" s="52" t="str">
        <f aca="false">IF($F557&lt;&gt;"",$F557,"")</f>
        <v>Apprenant 545 ou 545'</v>
      </c>
      <c r="AW557" s="55" t="str">
        <f aca="false">IF(AND('Choix pédagogiques'!$C$4&lt;&gt;"?",'Choix pédagogiques'!$C$5&lt;&gt;"?",AB557&lt;&gt;""),(AB557-'Choix pédagogiques'!$C$4)/('Choix pédagogiques'!$C$5-'Choix pédagogiques'!$C$4),"")</f>
        <v/>
      </c>
      <c r="AX557" s="55" t="str">
        <f aca="false">IF(AND('Choix pédagogiques'!$C$4&lt;&gt;"?",'Choix pédagogiques'!$C$5&lt;&gt;"?",AC557&lt;&gt;""),(AC557-'Choix pédagogiques'!$C$4)/('Choix pédagogiques'!$C$5-'Choix pédagogiques'!$C$4),"")</f>
        <v/>
      </c>
      <c r="AY557" s="55" t="str">
        <f aca="false">IF(AND('Choix pédagogiques'!$C$4&lt;&gt;"?",'Choix pédagogiques'!$C$5&lt;&gt;"?",AD557&lt;&gt;""),(AD557-'Choix pédagogiques'!$C$4)/('Choix pédagogiques'!$C$5-'Choix pédagogiques'!$C$4),"")</f>
        <v/>
      </c>
      <c r="AZ557" s="53" t="str">
        <f aca="false">IF($J557&lt;&gt;"",$J557,"")</f>
        <v/>
      </c>
      <c r="BA557" s="52" t="str">
        <f aca="false">IF($A557&lt;&gt;"",$A557,"")</f>
        <v>Apprenant 545</v>
      </c>
      <c r="BB557" s="55" t="str">
        <f aca="false">IF(AND($AR557&lt;&gt;"",$AS557&lt;&gt;""),$AS557-$AR557,"")</f>
        <v/>
      </c>
      <c r="BC557" s="55" t="str">
        <f aca="false">IF(AND($AR557&lt;&gt;"",$AT557&lt;&gt;""),$AT557-$AR557,"")</f>
        <v/>
      </c>
      <c r="BD557" s="55" t="str">
        <f aca="false">IF(AND($AS557&lt;&gt;"",$AT557&lt;&gt;""),$AT557-$AS557,"")</f>
        <v/>
      </c>
      <c r="BE557" s="53" t="str">
        <f aca="false">IF($E557&lt;&gt;"",$E557,"")</f>
        <v/>
      </c>
      <c r="BF557" s="52" t="str">
        <f aca="false">IF($F557&lt;&gt;"",$F557,"")</f>
        <v>Apprenant 545 ou 545'</v>
      </c>
      <c r="BG557" s="55" t="str">
        <f aca="false">IF(AND($AW557&lt;&gt;"",$AX557&lt;&gt;""),$AX557-$AW557,"")</f>
        <v/>
      </c>
      <c r="BH557" s="55" t="str">
        <f aca="false">IF(AND($AW557&lt;&gt;"",$AY557&lt;&gt;""),$AY557-$AW557,"")</f>
        <v/>
      </c>
      <c r="BI557" s="55" t="str">
        <f aca="false">IF(AND($AX557&lt;&gt;"",$AY557&lt;&gt;""),$AY557-$AX557,"")</f>
        <v/>
      </c>
      <c r="BJ557" s="53" t="str">
        <f aca="false">IF($J557&lt;&gt;"",$J557,"")</f>
        <v/>
      </c>
      <c r="BL557" s="52"/>
      <c r="BM557" s="52" t="str">
        <f aca="false">IF(OR(COUNT(B557:D1556)=0,AND('Choix pédagogiques'!$C$3&lt;&gt;1,'Choix pédagogiques'!$C$3&lt;&gt;2)),"",IF(AND(OR('Choix pédagogiques'!$C$3=1,'Choix pédagogiques'!$C$3=2),$B557&lt;&gt;"",$C557&lt;&gt;"",$D557&lt;&gt;""),1,0))</f>
        <v/>
      </c>
      <c r="BN557" s="52" t="str">
        <f aca="false">IF(OR(COUNT(G557:I1556)=0,AND('Choix pédagogiques'!$C$3&lt;&gt;1,'Choix pédagogiques'!$C$3&lt;&gt;2)),"",IF(AND(OR('Choix pédagogiques'!$C$3=1,'Choix pédagogiques'!$C$3=2),AND($G557&lt;&gt;"",$H557&lt;&gt;"",$I557&lt;&gt;"")),1,0))</f>
        <v/>
      </c>
      <c r="BO557" s="52" t="str">
        <f aca="false">IF(OR(COUNT(B557:D1556)=0,COUNT(G557:I1556)=0,'Choix pédagogiques'!C$3&lt;&gt;3),"",IF(AND('Choix pédagogiques'!$C$3=3,$B557&lt;&gt;"",$C557&lt;&gt;"",$D557&lt;&gt;"",$G557&lt;&gt;"",$H557&lt;&gt;"",$I557&lt;&gt;""),1,0))</f>
        <v/>
      </c>
      <c r="BR557" s="52" t="n">
        <v>960</v>
      </c>
      <c r="BS557" s="52" t="n">
        <v>1153</v>
      </c>
    </row>
    <row r="558" s="54" customFormat="true" ht="18" hidden="false" customHeight="true" outlineLevel="0" collapsed="false">
      <c r="A558" s="57" t="s">
        <v>1047</v>
      </c>
      <c r="B558" s="51"/>
      <c r="C558" s="51"/>
      <c r="D558" s="51"/>
      <c r="E558" s="51"/>
      <c r="F558" s="57" t="s">
        <v>1048</v>
      </c>
      <c r="G558" s="51"/>
      <c r="H558" s="51"/>
      <c r="I558" s="51"/>
      <c r="J558" s="51"/>
      <c r="K558" s="52" t="str">
        <f aca="false">IF($A558&lt;&gt;"",$A558,"")</f>
        <v>Apprenant 546</v>
      </c>
      <c r="L558" s="53" t="str">
        <f aca="false">IF(AND($B558&lt;&gt;"",$C558&lt;&gt;""),$C558-$B558,"")</f>
        <v/>
      </c>
      <c r="M558" s="53" t="str">
        <f aca="false">IF(AND($B558&lt;&gt;"",$D558&lt;&gt;""),$D558-$B558,"")</f>
        <v/>
      </c>
      <c r="N558" s="53" t="str">
        <f aca="false">IF(AND($C558&lt;&gt;"",$D558&lt;&gt;""),$D558-$C558,"")</f>
        <v/>
      </c>
      <c r="O558" s="53" t="str">
        <f aca="false">IF($E558&lt;&gt;"",$E558,"")</f>
        <v/>
      </c>
      <c r="P558" s="52" t="str">
        <f aca="false">IF($F558&lt;&gt;"",$F558,"")</f>
        <v>Apprenant 546 ou 546'</v>
      </c>
      <c r="Q558" s="53" t="str">
        <f aca="false">IF(AND($G558&lt;&gt;"",$H558&lt;&gt;""),$H558-$G558,"")</f>
        <v/>
      </c>
      <c r="R558" s="53" t="str">
        <f aca="false">IF(AND($G558&lt;&gt;"",$I558&lt;&gt;""),$I558-$G558,"")</f>
        <v/>
      </c>
      <c r="S558" s="53" t="str">
        <f aca="false">IF(AND($H558&lt;&gt;"",$I558&lt;&gt;""),$I558-$H558,"")</f>
        <v/>
      </c>
      <c r="T558" s="53" t="str">
        <f aca="false">IF($J558&lt;&gt;"",$J558,"")</f>
        <v/>
      </c>
      <c r="V558" s="52" t="str">
        <f aca="false">IF($A558&lt;&gt;"",$A558,"")</f>
        <v>Apprenant 546</v>
      </c>
      <c r="W558" s="53" t="str">
        <f aca="false">IF(AND(OR('Choix pédagogiques'!$C$3=1,'Choix pédagogiques'!$C$3=2),$BM558=1),B558,IF(AND('Choix pédagogiques'!$C$3=3,$BO558=1),B558,""))</f>
        <v/>
      </c>
      <c r="X558" s="53" t="str">
        <f aca="false">IF(AND(OR('Choix pédagogiques'!$C$3=1,'Choix pédagogiques'!$C$3=2),$BM558=1),C558,IF(AND('Choix pédagogiques'!$C$3=3,$BO558=1),C558,""))</f>
        <v/>
      </c>
      <c r="Y558" s="53" t="str">
        <f aca="false">IF(AND(OR('Choix pédagogiques'!$C$3=1,'Choix pédagogiques'!$C$3=2),$BM558=1),D558,IF(AND('Choix pédagogiques'!$C$3=3,$BO558=1),D558,""))</f>
        <v/>
      </c>
      <c r="Z558" s="53" t="str">
        <f aca="false">IF($E558&lt;&gt;"",$E558,"")</f>
        <v/>
      </c>
      <c r="AA558" s="52" t="str">
        <f aca="false">IF($F558&lt;&gt;"",$F558,"")</f>
        <v>Apprenant 546 ou 546'</v>
      </c>
      <c r="AB558" s="53" t="str">
        <f aca="false">IF(AND(OR('Choix pédagogiques'!$C$3=1,'Choix pédagogiques'!$C$3=2),$BN558=1),G558,IF(AND('Choix pédagogiques'!$C$3=3,$BO558=1),G558,""))</f>
        <v/>
      </c>
      <c r="AC558" s="53" t="str">
        <f aca="false">IF(AND(OR('Choix pédagogiques'!$C$3=1,'Choix pédagogiques'!$C$3=2),$BN558=1),H558,IF(AND('Choix pédagogiques'!$C$3=3,$BO558=1),H558,""))</f>
        <v/>
      </c>
      <c r="AD558" s="53" t="str">
        <f aca="false">IF(AND(OR('Choix pédagogiques'!$C$3=1,'Choix pédagogiques'!$C$3=2),$BN558=1),I558,IF(AND('Choix pédagogiques'!$C$3=3,$BO558=1),I558,""))</f>
        <v/>
      </c>
      <c r="AE558" s="53" t="str">
        <f aca="false">IF($J558&lt;&gt;"",$J558,"")</f>
        <v/>
      </c>
      <c r="AF558" s="52" t="str">
        <f aca="false">IF($A558&lt;&gt;"",$A558,"")</f>
        <v>Apprenant 546</v>
      </c>
      <c r="AG558" s="53" t="str">
        <f aca="false">IF(AND($W558&lt;&gt;"",$X558&lt;&gt;""),$X558-$W558,"")</f>
        <v/>
      </c>
      <c r="AH558" s="53" t="str">
        <f aca="false">IF(AND($W558&lt;&gt;"",$Y558&lt;&gt;""),$Y558-$W558,"")</f>
        <v/>
      </c>
      <c r="AI558" s="53" t="str">
        <f aca="false">IF(AND($X558&lt;&gt;"",$Y558&lt;&gt;""),$Y558-$X558,"")</f>
        <v/>
      </c>
      <c r="AJ558" s="53" t="str">
        <f aca="false">IF($E558&lt;&gt;"",$E558,"")</f>
        <v/>
      </c>
      <c r="AK558" s="52" t="str">
        <f aca="false">IF($F558&lt;&gt;"",$F558,"")</f>
        <v>Apprenant 546 ou 546'</v>
      </c>
      <c r="AL558" s="53" t="str">
        <f aca="false">IF(AND($AB558&lt;&gt;"",$AC558&lt;&gt;""),$AC558-$AB558,"")</f>
        <v/>
      </c>
      <c r="AM558" s="53" t="str">
        <f aca="false">IF(AND($AB558&lt;&gt;"",$AD558&lt;&gt;""),$AD558-$AB558,"")</f>
        <v/>
      </c>
      <c r="AN558" s="53" t="str">
        <f aca="false">IF(AND($AC558&lt;&gt;"",$AD558&lt;&gt;""),$AD558-$AC558,"")</f>
        <v/>
      </c>
      <c r="AO558" s="53" t="str">
        <f aca="false">IF($J558&lt;&gt;"",$J558,"")</f>
        <v/>
      </c>
      <c r="AQ558" s="52" t="str">
        <f aca="false">IF($A558&lt;&gt;"",$A558,"")</f>
        <v>Apprenant 546</v>
      </c>
      <c r="AR558" s="55" t="str">
        <f aca="false">IF(AND('Choix pédagogiques'!$C$4&lt;&gt;"?",'Choix pédagogiques'!$C$5&lt;&gt;"?",W558&lt;&gt;""),(W558-'Choix pédagogiques'!$C$4)/('Choix pédagogiques'!$C$5-'Choix pédagogiques'!$C$4),"")</f>
        <v/>
      </c>
      <c r="AS558" s="55" t="str">
        <f aca="false">IF(AND('Choix pédagogiques'!$C$4&lt;&gt;"?",'Choix pédagogiques'!$C$5&lt;&gt;"?",X558&lt;&gt;""),(X558-'Choix pédagogiques'!$C$4)/('Choix pédagogiques'!$C$5-'Choix pédagogiques'!$C$4),"")</f>
        <v/>
      </c>
      <c r="AT558" s="55" t="str">
        <f aca="false">IF(AND('Choix pédagogiques'!$C$4&lt;&gt;"?",'Choix pédagogiques'!$C$5&lt;&gt;"?",Y558&lt;&gt;""),(Y558-'Choix pédagogiques'!$C$4)/('Choix pédagogiques'!$C$5-'Choix pédagogiques'!$C$4),"")</f>
        <v/>
      </c>
      <c r="AU558" s="53" t="str">
        <f aca="false">IF($E558&lt;&gt;"",$E558,"")</f>
        <v/>
      </c>
      <c r="AV558" s="52" t="str">
        <f aca="false">IF($F558&lt;&gt;"",$F558,"")</f>
        <v>Apprenant 546 ou 546'</v>
      </c>
      <c r="AW558" s="55" t="str">
        <f aca="false">IF(AND('Choix pédagogiques'!$C$4&lt;&gt;"?",'Choix pédagogiques'!$C$5&lt;&gt;"?",AB558&lt;&gt;""),(AB558-'Choix pédagogiques'!$C$4)/('Choix pédagogiques'!$C$5-'Choix pédagogiques'!$C$4),"")</f>
        <v/>
      </c>
      <c r="AX558" s="55" t="str">
        <f aca="false">IF(AND('Choix pédagogiques'!$C$4&lt;&gt;"?",'Choix pédagogiques'!$C$5&lt;&gt;"?",AC558&lt;&gt;""),(AC558-'Choix pédagogiques'!$C$4)/('Choix pédagogiques'!$C$5-'Choix pédagogiques'!$C$4),"")</f>
        <v/>
      </c>
      <c r="AY558" s="55" t="str">
        <f aca="false">IF(AND('Choix pédagogiques'!$C$4&lt;&gt;"?",'Choix pédagogiques'!$C$5&lt;&gt;"?",AD558&lt;&gt;""),(AD558-'Choix pédagogiques'!$C$4)/('Choix pédagogiques'!$C$5-'Choix pédagogiques'!$C$4),"")</f>
        <v/>
      </c>
      <c r="AZ558" s="53" t="str">
        <f aca="false">IF($J558&lt;&gt;"",$J558,"")</f>
        <v/>
      </c>
      <c r="BA558" s="52" t="str">
        <f aca="false">IF($A558&lt;&gt;"",$A558,"")</f>
        <v>Apprenant 546</v>
      </c>
      <c r="BB558" s="55" t="str">
        <f aca="false">IF(AND($AR558&lt;&gt;"",$AS558&lt;&gt;""),$AS558-$AR558,"")</f>
        <v/>
      </c>
      <c r="BC558" s="55" t="str">
        <f aca="false">IF(AND($AR558&lt;&gt;"",$AT558&lt;&gt;""),$AT558-$AR558,"")</f>
        <v/>
      </c>
      <c r="BD558" s="55" t="str">
        <f aca="false">IF(AND($AS558&lt;&gt;"",$AT558&lt;&gt;""),$AT558-$AS558,"")</f>
        <v/>
      </c>
      <c r="BE558" s="53" t="str">
        <f aca="false">IF($E558&lt;&gt;"",$E558,"")</f>
        <v/>
      </c>
      <c r="BF558" s="52" t="str">
        <f aca="false">IF($F558&lt;&gt;"",$F558,"")</f>
        <v>Apprenant 546 ou 546'</v>
      </c>
      <c r="BG558" s="55" t="str">
        <f aca="false">IF(AND($AW558&lt;&gt;"",$AX558&lt;&gt;""),$AX558-$AW558,"")</f>
        <v/>
      </c>
      <c r="BH558" s="55" t="str">
        <f aca="false">IF(AND($AW558&lt;&gt;"",$AY558&lt;&gt;""),$AY558-$AW558,"")</f>
        <v/>
      </c>
      <c r="BI558" s="55" t="str">
        <f aca="false">IF(AND($AX558&lt;&gt;"",$AY558&lt;&gt;""),$AY558-$AX558,"")</f>
        <v/>
      </c>
      <c r="BJ558" s="53" t="str">
        <f aca="false">IF($J558&lt;&gt;"",$J558,"")</f>
        <v/>
      </c>
      <c r="BL558" s="52"/>
      <c r="BM558" s="52" t="str">
        <f aca="false">IF(OR(COUNT(B558:D1557)=0,AND('Choix pédagogiques'!$C$3&lt;&gt;1,'Choix pédagogiques'!$C$3&lt;&gt;2)),"",IF(AND(OR('Choix pédagogiques'!$C$3=1,'Choix pédagogiques'!$C$3=2),$B558&lt;&gt;"",$C558&lt;&gt;"",$D558&lt;&gt;""),1,0))</f>
        <v/>
      </c>
      <c r="BN558" s="52" t="str">
        <f aca="false">IF(OR(COUNT(G558:I1557)=0,AND('Choix pédagogiques'!$C$3&lt;&gt;1,'Choix pédagogiques'!$C$3&lt;&gt;2)),"",IF(AND(OR('Choix pédagogiques'!$C$3=1,'Choix pédagogiques'!$C$3=2),AND($G558&lt;&gt;"",$H558&lt;&gt;"",$I558&lt;&gt;"")),1,0))</f>
        <v/>
      </c>
      <c r="BO558" s="52" t="str">
        <f aca="false">IF(OR(COUNT(B558:D1557)=0,COUNT(G558:I1557)=0,'Choix pédagogiques'!C$3&lt;&gt;3),"",IF(AND('Choix pédagogiques'!$C$3=3,$B558&lt;&gt;"",$C558&lt;&gt;"",$D558&lt;&gt;"",$G558&lt;&gt;"",$H558&lt;&gt;"",$I558&lt;&gt;""),1,0))</f>
        <v/>
      </c>
      <c r="BR558" s="52" t="n">
        <v>46</v>
      </c>
      <c r="BS558" s="52" t="n">
        <v>1849</v>
      </c>
    </row>
    <row r="559" s="54" customFormat="true" ht="18" hidden="false" customHeight="true" outlineLevel="0" collapsed="false">
      <c r="A559" s="57" t="s">
        <v>1049</v>
      </c>
      <c r="B559" s="51"/>
      <c r="C559" s="51"/>
      <c r="D559" s="51"/>
      <c r="E559" s="51"/>
      <c r="F559" s="57" t="s">
        <v>1050</v>
      </c>
      <c r="G559" s="51"/>
      <c r="H559" s="51"/>
      <c r="I559" s="51"/>
      <c r="J559" s="51"/>
      <c r="K559" s="52" t="str">
        <f aca="false">IF($A559&lt;&gt;"",$A559,"")</f>
        <v>Apprenant 547</v>
      </c>
      <c r="L559" s="53" t="str">
        <f aca="false">IF(AND($B559&lt;&gt;"",$C559&lt;&gt;""),$C559-$B559,"")</f>
        <v/>
      </c>
      <c r="M559" s="53" t="str">
        <f aca="false">IF(AND($B559&lt;&gt;"",$D559&lt;&gt;""),$D559-$B559,"")</f>
        <v/>
      </c>
      <c r="N559" s="53" t="str">
        <f aca="false">IF(AND($C559&lt;&gt;"",$D559&lt;&gt;""),$D559-$C559,"")</f>
        <v/>
      </c>
      <c r="O559" s="53" t="str">
        <f aca="false">IF($E559&lt;&gt;"",$E559,"")</f>
        <v/>
      </c>
      <c r="P559" s="52" t="str">
        <f aca="false">IF($F559&lt;&gt;"",$F559,"")</f>
        <v>Apprenant 547 ou 547'</v>
      </c>
      <c r="Q559" s="53" t="str">
        <f aca="false">IF(AND($G559&lt;&gt;"",$H559&lt;&gt;""),$H559-$G559,"")</f>
        <v/>
      </c>
      <c r="R559" s="53" t="str">
        <f aca="false">IF(AND($G559&lt;&gt;"",$I559&lt;&gt;""),$I559-$G559,"")</f>
        <v/>
      </c>
      <c r="S559" s="53" t="str">
        <f aca="false">IF(AND($H559&lt;&gt;"",$I559&lt;&gt;""),$I559-$H559,"")</f>
        <v/>
      </c>
      <c r="T559" s="53" t="str">
        <f aca="false">IF($J559&lt;&gt;"",$J559,"")</f>
        <v/>
      </c>
      <c r="V559" s="52" t="str">
        <f aca="false">IF($A559&lt;&gt;"",$A559,"")</f>
        <v>Apprenant 547</v>
      </c>
      <c r="W559" s="53" t="str">
        <f aca="false">IF(AND(OR('Choix pédagogiques'!$C$3=1,'Choix pédagogiques'!$C$3=2),$BM559=1),B559,IF(AND('Choix pédagogiques'!$C$3=3,$BO559=1),B559,""))</f>
        <v/>
      </c>
      <c r="X559" s="53" t="str">
        <f aca="false">IF(AND(OR('Choix pédagogiques'!$C$3=1,'Choix pédagogiques'!$C$3=2),$BM559=1),C559,IF(AND('Choix pédagogiques'!$C$3=3,$BO559=1),C559,""))</f>
        <v/>
      </c>
      <c r="Y559" s="53" t="str">
        <f aca="false">IF(AND(OR('Choix pédagogiques'!$C$3=1,'Choix pédagogiques'!$C$3=2),$BM559=1),D559,IF(AND('Choix pédagogiques'!$C$3=3,$BO559=1),D559,""))</f>
        <v/>
      </c>
      <c r="Z559" s="53" t="str">
        <f aca="false">IF($E559&lt;&gt;"",$E559,"")</f>
        <v/>
      </c>
      <c r="AA559" s="52" t="str">
        <f aca="false">IF($F559&lt;&gt;"",$F559,"")</f>
        <v>Apprenant 547 ou 547'</v>
      </c>
      <c r="AB559" s="53" t="str">
        <f aca="false">IF(AND(OR('Choix pédagogiques'!$C$3=1,'Choix pédagogiques'!$C$3=2),$BN559=1),G559,IF(AND('Choix pédagogiques'!$C$3=3,$BO559=1),G559,""))</f>
        <v/>
      </c>
      <c r="AC559" s="53" t="str">
        <f aca="false">IF(AND(OR('Choix pédagogiques'!$C$3=1,'Choix pédagogiques'!$C$3=2),$BN559=1),H559,IF(AND('Choix pédagogiques'!$C$3=3,$BO559=1),H559,""))</f>
        <v/>
      </c>
      <c r="AD559" s="53" t="str">
        <f aca="false">IF(AND(OR('Choix pédagogiques'!$C$3=1,'Choix pédagogiques'!$C$3=2),$BN559=1),I559,IF(AND('Choix pédagogiques'!$C$3=3,$BO559=1),I559,""))</f>
        <v/>
      </c>
      <c r="AE559" s="53" t="str">
        <f aca="false">IF($J559&lt;&gt;"",$J559,"")</f>
        <v/>
      </c>
      <c r="AF559" s="52" t="str">
        <f aca="false">IF($A559&lt;&gt;"",$A559,"")</f>
        <v>Apprenant 547</v>
      </c>
      <c r="AG559" s="53" t="str">
        <f aca="false">IF(AND($W559&lt;&gt;"",$X559&lt;&gt;""),$X559-$W559,"")</f>
        <v/>
      </c>
      <c r="AH559" s="53" t="str">
        <f aca="false">IF(AND($W559&lt;&gt;"",$Y559&lt;&gt;""),$Y559-$W559,"")</f>
        <v/>
      </c>
      <c r="AI559" s="53" t="str">
        <f aca="false">IF(AND($X559&lt;&gt;"",$Y559&lt;&gt;""),$Y559-$X559,"")</f>
        <v/>
      </c>
      <c r="AJ559" s="53" t="str">
        <f aca="false">IF($E559&lt;&gt;"",$E559,"")</f>
        <v/>
      </c>
      <c r="AK559" s="52" t="str">
        <f aca="false">IF($F559&lt;&gt;"",$F559,"")</f>
        <v>Apprenant 547 ou 547'</v>
      </c>
      <c r="AL559" s="53" t="str">
        <f aca="false">IF(AND($AB559&lt;&gt;"",$AC559&lt;&gt;""),$AC559-$AB559,"")</f>
        <v/>
      </c>
      <c r="AM559" s="53" t="str">
        <f aca="false">IF(AND($AB559&lt;&gt;"",$AD559&lt;&gt;""),$AD559-$AB559,"")</f>
        <v/>
      </c>
      <c r="AN559" s="53" t="str">
        <f aca="false">IF(AND($AC559&lt;&gt;"",$AD559&lt;&gt;""),$AD559-$AC559,"")</f>
        <v/>
      </c>
      <c r="AO559" s="53" t="str">
        <f aca="false">IF($J559&lt;&gt;"",$J559,"")</f>
        <v/>
      </c>
      <c r="AQ559" s="52" t="str">
        <f aca="false">IF($A559&lt;&gt;"",$A559,"")</f>
        <v>Apprenant 547</v>
      </c>
      <c r="AR559" s="55" t="str">
        <f aca="false">IF(AND('Choix pédagogiques'!$C$4&lt;&gt;"?",'Choix pédagogiques'!$C$5&lt;&gt;"?",W559&lt;&gt;""),(W559-'Choix pédagogiques'!$C$4)/('Choix pédagogiques'!$C$5-'Choix pédagogiques'!$C$4),"")</f>
        <v/>
      </c>
      <c r="AS559" s="55" t="str">
        <f aca="false">IF(AND('Choix pédagogiques'!$C$4&lt;&gt;"?",'Choix pédagogiques'!$C$5&lt;&gt;"?",X559&lt;&gt;""),(X559-'Choix pédagogiques'!$C$4)/('Choix pédagogiques'!$C$5-'Choix pédagogiques'!$C$4),"")</f>
        <v/>
      </c>
      <c r="AT559" s="55" t="str">
        <f aca="false">IF(AND('Choix pédagogiques'!$C$4&lt;&gt;"?",'Choix pédagogiques'!$C$5&lt;&gt;"?",Y559&lt;&gt;""),(Y559-'Choix pédagogiques'!$C$4)/('Choix pédagogiques'!$C$5-'Choix pédagogiques'!$C$4),"")</f>
        <v/>
      </c>
      <c r="AU559" s="53" t="str">
        <f aca="false">IF($E559&lt;&gt;"",$E559,"")</f>
        <v/>
      </c>
      <c r="AV559" s="52" t="str">
        <f aca="false">IF($F559&lt;&gt;"",$F559,"")</f>
        <v>Apprenant 547 ou 547'</v>
      </c>
      <c r="AW559" s="55" t="str">
        <f aca="false">IF(AND('Choix pédagogiques'!$C$4&lt;&gt;"?",'Choix pédagogiques'!$C$5&lt;&gt;"?",AB559&lt;&gt;""),(AB559-'Choix pédagogiques'!$C$4)/('Choix pédagogiques'!$C$5-'Choix pédagogiques'!$C$4),"")</f>
        <v/>
      </c>
      <c r="AX559" s="55" t="str">
        <f aca="false">IF(AND('Choix pédagogiques'!$C$4&lt;&gt;"?",'Choix pédagogiques'!$C$5&lt;&gt;"?",AC559&lt;&gt;""),(AC559-'Choix pédagogiques'!$C$4)/('Choix pédagogiques'!$C$5-'Choix pédagogiques'!$C$4),"")</f>
        <v/>
      </c>
      <c r="AY559" s="55" t="str">
        <f aca="false">IF(AND('Choix pédagogiques'!$C$4&lt;&gt;"?",'Choix pédagogiques'!$C$5&lt;&gt;"?",AD559&lt;&gt;""),(AD559-'Choix pédagogiques'!$C$4)/('Choix pédagogiques'!$C$5-'Choix pédagogiques'!$C$4),"")</f>
        <v/>
      </c>
      <c r="AZ559" s="53" t="str">
        <f aca="false">IF($J559&lt;&gt;"",$J559,"")</f>
        <v/>
      </c>
      <c r="BA559" s="52" t="str">
        <f aca="false">IF($A559&lt;&gt;"",$A559,"")</f>
        <v>Apprenant 547</v>
      </c>
      <c r="BB559" s="55" t="str">
        <f aca="false">IF(AND($AR559&lt;&gt;"",$AS559&lt;&gt;""),$AS559-$AR559,"")</f>
        <v/>
      </c>
      <c r="BC559" s="55" t="str">
        <f aca="false">IF(AND($AR559&lt;&gt;"",$AT559&lt;&gt;""),$AT559-$AR559,"")</f>
        <v/>
      </c>
      <c r="BD559" s="55" t="str">
        <f aca="false">IF(AND($AS559&lt;&gt;"",$AT559&lt;&gt;""),$AT559-$AS559,"")</f>
        <v/>
      </c>
      <c r="BE559" s="53" t="str">
        <f aca="false">IF($E559&lt;&gt;"",$E559,"")</f>
        <v/>
      </c>
      <c r="BF559" s="52" t="str">
        <f aca="false">IF($F559&lt;&gt;"",$F559,"")</f>
        <v>Apprenant 547 ou 547'</v>
      </c>
      <c r="BG559" s="55" t="str">
        <f aca="false">IF(AND($AW559&lt;&gt;"",$AX559&lt;&gt;""),$AX559-$AW559,"")</f>
        <v/>
      </c>
      <c r="BH559" s="55" t="str">
        <f aca="false">IF(AND($AW559&lt;&gt;"",$AY559&lt;&gt;""),$AY559-$AW559,"")</f>
        <v/>
      </c>
      <c r="BI559" s="55" t="str">
        <f aca="false">IF(AND($AX559&lt;&gt;"",$AY559&lt;&gt;""),$AY559-$AX559,"")</f>
        <v/>
      </c>
      <c r="BJ559" s="53" t="str">
        <f aca="false">IF($J559&lt;&gt;"",$J559,"")</f>
        <v/>
      </c>
      <c r="BL559" s="52"/>
      <c r="BM559" s="52" t="str">
        <f aca="false">IF(OR(COUNT(B559:D1558)=0,AND('Choix pédagogiques'!$C$3&lt;&gt;1,'Choix pédagogiques'!$C$3&lt;&gt;2)),"",IF(AND(OR('Choix pédagogiques'!$C$3=1,'Choix pédagogiques'!$C$3=2),$B559&lt;&gt;"",$C559&lt;&gt;"",$D559&lt;&gt;""),1,0))</f>
        <v/>
      </c>
      <c r="BN559" s="52" t="str">
        <f aca="false">IF(OR(COUNT(G559:I1558)=0,AND('Choix pédagogiques'!$C$3&lt;&gt;1,'Choix pédagogiques'!$C$3&lt;&gt;2)),"",IF(AND(OR('Choix pédagogiques'!$C$3=1,'Choix pédagogiques'!$C$3=2),AND($G559&lt;&gt;"",$H559&lt;&gt;"",$I559&lt;&gt;"")),1,0))</f>
        <v/>
      </c>
      <c r="BO559" s="52" t="str">
        <f aca="false">IF(OR(COUNT(B559:D1558)=0,COUNT(G559:I1558)=0,'Choix pédagogiques'!C$3&lt;&gt;3),"",IF(AND('Choix pédagogiques'!$C$3=3,$B559&lt;&gt;"",$C559&lt;&gt;"",$D559&lt;&gt;"",$G559&lt;&gt;"",$H559&lt;&gt;"",$I559&lt;&gt;""),1,0))</f>
        <v/>
      </c>
      <c r="BR559" s="52" t="n">
        <v>931</v>
      </c>
      <c r="BS559" s="52" t="n">
        <v>1830</v>
      </c>
    </row>
    <row r="560" s="54" customFormat="true" ht="18" hidden="false" customHeight="true" outlineLevel="0" collapsed="false">
      <c r="A560" s="57" t="s">
        <v>1051</v>
      </c>
      <c r="B560" s="51"/>
      <c r="C560" s="51"/>
      <c r="D560" s="51"/>
      <c r="E560" s="51"/>
      <c r="F560" s="57" t="s">
        <v>1052</v>
      </c>
      <c r="G560" s="51"/>
      <c r="H560" s="51"/>
      <c r="I560" s="51"/>
      <c r="J560" s="51"/>
      <c r="K560" s="52" t="str">
        <f aca="false">IF($A560&lt;&gt;"",$A560,"")</f>
        <v>Apprenant 548</v>
      </c>
      <c r="L560" s="53" t="str">
        <f aca="false">IF(AND($B560&lt;&gt;"",$C560&lt;&gt;""),$C560-$B560,"")</f>
        <v/>
      </c>
      <c r="M560" s="53" t="str">
        <f aca="false">IF(AND($B560&lt;&gt;"",$D560&lt;&gt;""),$D560-$B560,"")</f>
        <v/>
      </c>
      <c r="N560" s="53" t="str">
        <f aca="false">IF(AND($C560&lt;&gt;"",$D560&lt;&gt;""),$D560-$C560,"")</f>
        <v/>
      </c>
      <c r="O560" s="53" t="str">
        <f aca="false">IF($E560&lt;&gt;"",$E560,"")</f>
        <v/>
      </c>
      <c r="P560" s="52" t="str">
        <f aca="false">IF($F560&lt;&gt;"",$F560,"")</f>
        <v>Apprenant 548 ou 548'</v>
      </c>
      <c r="Q560" s="53" t="str">
        <f aca="false">IF(AND($G560&lt;&gt;"",$H560&lt;&gt;""),$H560-$G560,"")</f>
        <v/>
      </c>
      <c r="R560" s="53" t="str">
        <f aca="false">IF(AND($G560&lt;&gt;"",$I560&lt;&gt;""),$I560-$G560,"")</f>
        <v/>
      </c>
      <c r="S560" s="53" t="str">
        <f aca="false">IF(AND($H560&lt;&gt;"",$I560&lt;&gt;""),$I560-$H560,"")</f>
        <v/>
      </c>
      <c r="T560" s="53" t="str">
        <f aca="false">IF($J560&lt;&gt;"",$J560,"")</f>
        <v/>
      </c>
      <c r="V560" s="52" t="str">
        <f aca="false">IF($A560&lt;&gt;"",$A560,"")</f>
        <v>Apprenant 548</v>
      </c>
      <c r="W560" s="53" t="str">
        <f aca="false">IF(AND(OR('Choix pédagogiques'!$C$3=1,'Choix pédagogiques'!$C$3=2),$BM560=1),B560,IF(AND('Choix pédagogiques'!$C$3=3,$BO560=1),B560,""))</f>
        <v/>
      </c>
      <c r="X560" s="53" t="str">
        <f aca="false">IF(AND(OR('Choix pédagogiques'!$C$3=1,'Choix pédagogiques'!$C$3=2),$BM560=1),C560,IF(AND('Choix pédagogiques'!$C$3=3,$BO560=1),C560,""))</f>
        <v/>
      </c>
      <c r="Y560" s="53" t="str">
        <f aca="false">IF(AND(OR('Choix pédagogiques'!$C$3=1,'Choix pédagogiques'!$C$3=2),$BM560=1),D560,IF(AND('Choix pédagogiques'!$C$3=3,$BO560=1),D560,""))</f>
        <v/>
      </c>
      <c r="Z560" s="53" t="str">
        <f aca="false">IF($E560&lt;&gt;"",$E560,"")</f>
        <v/>
      </c>
      <c r="AA560" s="52" t="str">
        <f aca="false">IF($F560&lt;&gt;"",$F560,"")</f>
        <v>Apprenant 548 ou 548'</v>
      </c>
      <c r="AB560" s="53" t="str">
        <f aca="false">IF(AND(OR('Choix pédagogiques'!$C$3=1,'Choix pédagogiques'!$C$3=2),$BN560=1),G560,IF(AND('Choix pédagogiques'!$C$3=3,$BO560=1),G560,""))</f>
        <v/>
      </c>
      <c r="AC560" s="53" t="str">
        <f aca="false">IF(AND(OR('Choix pédagogiques'!$C$3=1,'Choix pédagogiques'!$C$3=2),$BN560=1),H560,IF(AND('Choix pédagogiques'!$C$3=3,$BO560=1),H560,""))</f>
        <v/>
      </c>
      <c r="AD560" s="53" t="str">
        <f aca="false">IF(AND(OR('Choix pédagogiques'!$C$3=1,'Choix pédagogiques'!$C$3=2),$BN560=1),I560,IF(AND('Choix pédagogiques'!$C$3=3,$BO560=1),I560,""))</f>
        <v/>
      </c>
      <c r="AE560" s="53" t="str">
        <f aca="false">IF($J560&lt;&gt;"",$J560,"")</f>
        <v/>
      </c>
      <c r="AF560" s="52" t="str">
        <f aca="false">IF($A560&lt;&gt;"",$A560,"")</f>
        <v>Apprenant 548</v>
      </c>
      <c r="AG560" s="53" t="str">
        <f aca="false">IF(AND($W560&lt;&gt;"",$X560&lt;&gt;""),$X560-$W560,"")</f>
        <v/>
      </c>
      <c r="AH560" s="53" t="str">
        <f aca="false">IF(AND($W560&lt;&gt;"",$Y560&lt;&gt;""),$Y560-$W560,"")</f>
        <v/>
      </c>
      <c r="AI560" s="53" t="str">
        <f aca="false">IF(AND($X560&lt;&gt;"",$Y560&lt;&gt;""),$Y560-$X560,"")</f>
        <v/>
      </c>
      <c r="AJ560" s="53" t="str">
        <f aca="false">IF($E560&lt;&gt;"",$E560,"")</f>
        <v/>
      </c>
      <c r="AK560" s="52" t="str">
        <f aca="false">IF($F560&lt;&gt;"",$F560,"")</f>
        <v>Apprenant 548 ou 548'</v>
      </c>
      <c r="AL560" s="53" t="str">
        <f aca="false">IF(AND($AB560&lt;&gt;"",$AC560&lt;&gt;""),$AC560-$AB560,"")</f>
        <v/>
      </c>
      <c r="AM560" s="53" t="str">
        <f aca="false">IF(AND($AB560&lt;&gt;"",$AD560&lt;&gt;""),$AD560-$AB560,"")</f>
        <v/>
      </c>
      <c r="AN560" s="53" t="str">
        <f aca="false">IF(AND($AC560&lt;&gt;"",$AD560&lt;&gt;""),$AD560-$AC560,"")</f>
        <v/>
      </c>
      <c r="AO560" s="53" t="str">
        <f aca="false">IF($J560&lt;&gt;"",$J560,"")</f>
        <v/>
      </c>
      <c r="AQ560" s="52" t="str">
        <f aca="false">IF($A560&lt;&gt;"",$A560,"")</f>
        <v>Apprenant 548</v>
      </c>
      <c r="AR560" s="55" t="str">
        <f aca="false">IF(AND('Choix pédagogiques'!$C$4&lt;&gt;"?",'Choix pédagogiques'!$C$5&lt;&gt;"?",W560&lt;&gt;""),(W560-'Choix pédagogiques'!$C$4)/('Choix pédagogiques'!$C$5-'Choix pédagogiques'!$C$4),"")</f>
        <v/>
      </c>
      <c r="AS560" s="55" t="str">
        <f aca="false">IF(AND('Choix pédagogiques'!$C$4&lt;&gt;"?",'Choix pédagogiques'!$C$5&lt;&gt;"?",X560&lt;&gt;""),(X560-'Choix pédagogiques'!$C$4)/('Choix pédagogiques'!$C$5-'Choix pédagogiques'!$C$4),"")</f>
        <v/>
      </c>
      <c r="AT560" s="55" t="str">
        <f aca="false">IF(AND('Choix pédagogiques'!$C$4&lt;&gt;"?",'Choix pédagogiques'!$C$5&lt;&gt;"?",Y560&lt;&gt;""),(Y560-'Choix pédagogiques'!$C$4)/('Choix pédagogiques'!$C$5-'Choix pédagogiques'!$C$4),"")</f>
        <v/>
      </c>
      <c r="AU560" s="53" t="str">
        <f aca="false">IF($E560&lt;&gt;"",$E560,"")</f>
        <v/>
      </c>
      <c r="AV560" s="52" t="str">
        <f aca="false">IF($F560&lt;&gt;"",$F560,"")</f>
        <v>Apprenant 548 ou 548'</v>
      </c>
      <c r="AW560" s="55" t="str">
        <f aca="false">IF(AND('Choix pédagogiques'!$C$4&lt;&gt;"?",'Choix pédagogiques'!$C$5&lt;&gt;"?",AB560&lt;&gt;""),(AB560-'Choix pédagogiques'!$C$4)/('Choix pédagogiques'!$C$5-'Choix pédagogiques'!$C$4),"")</f>
        <v/>
      </c>
      <c r="AX560" s="55" t="str">
        <f aca="false">IF(AND('Choix pédagogiques'!$C$4&lt;&gt;"?",'Choix pédagogiques'!$C$5&lt;&gt;"?",AC560&lt;&gt;""),(AC560-'Choix pédagogiques'!$C$4)/('Choix pédagogiques'!$C$5-'Choix pédagogiques'!$C$4),"")</f>
        <v/>
      </c>
      <c r="AY560" s="55" t="str">
        <f aca="false">IF(AND('Choix pédagogiques'!$C$4&lt;&gt;"?",'Choix pédagogiques'!$C$5&lt;&gt;"?",AD560&lt;&gt;""),(AD560-'Choix pédagogiques'!$C$4)/('Choix pédagogiques'!$C$5-'Choix pédagogiques'!$C$4),"")</f>
        <v/>
      </c>
      <c r="AZ560" s="53" t="str">
        <f aca="false">IF($J560&lt;&gt;"",$J560,"")</f>
        <v/>
      </c>
      <c r="BA560" s="52" t="str">
        <f aca="false">IF($A560&lt;&gt;"",$A560,"")</f>
        <v>Apprenant 548</v>
      </c>
      <c r="BB560" s="55" t="str">
        <f aca="false">IF(AND($AR560&lt;&gt;"",$AS560&lt;&gt;""),$AS560-$AR560,"")</f>
        <v/>
      </c>
      <c r="BC560" s="55" t="str">
        <f aca="false">IF(AND($AR560&lt;&gt;"",$AT560&lt;&gt;""),$AT560-$AR560,"")</f>
        <v/>
      </c>
      <c r="BD560" s="55" t="str">
        <f aca="false">IF(AND($AS560&lt;&gt;"",$AT560&lt;&gt;""),$AT560-$AS560,"")</f>
        <v/>
      </c>
      <c r="BE560" s="53" t="str">
        <f aca="false">IF($E560&lt;&gt;"",$E560,"")</f>
        <v/>
      </c>
      <c r="BF560" s="52" t="str">
        <f aca="false">IF($F560&lt;&gt;"",$F560,"")</f>
        <v>Apprenant 548 ou 548'</v>
      </c>
      <c r="BG560" s="55" t="str">
        <f aca="false">IF(AND($AW560&lt;&gt;"",$AX560&lt;&gt;""),$AX560-$AW560,"")</f>
        <v/>
      </c>
      <c r="BH560" s="55" t="str">
        <f aca="false">IF(AND($AW560&lt;&gt;"",$AY560&lt;&gt;""),$AY560-$AW560,"")</f>
        <v/>
      </c>
      <c r="BI560" s="55" t="str">
        <f aca="false">IF(AND($AX560&lt;&gt;"",$AY560&lt;&gt;""),$AY560-$AX560,"")</f>
        <v/>
      </c>
      <c r="BJ560" s="53" t="str">
        <f aca="false">IF($J560&lt;&gt;"",$J560,"")</f>
        <v/>
      </c>
      <c r="BL560" s="52"/>
      <c r="BM560" s="52" t="str">
        <f aca="false">IF(OR(COUNT(B560:D1559)=0,AND('Choix pédagogiques'!$C$3&lt;&gt;1,'Choix pédagogiques'!$C$3&lt;&gt;2)),"",IF(AND(OR('Choix pédagogiques'!$C$3=1,'Choix pédagogiques'!$C$3=2),$B560&lt;&gt;"",$C560&lt;&gt;"",$D560&lt;&gt;""),1,0))</f>
        <v/>
      </c>
      <c r="BN560" s="52" t="str">
        <f aca="false">IF(OR(COUNT(G560:I1559)=0,AND('Choix pédagogiques'!$C$3&lt;&gt;1,'Choix pédagogiques'!$C$3&lt;&gt;2)),"",IF(AND(OR('Choix pédagogiques'!$C$3=1,'Choix pédagogiques'!$C$3=2),AND($G560&lt;&gt;"",$H560&lt;&gt;"",$I560&lt;&gt;"")),1,0))</f>
        <v/>
      </c>
      <c r="BO560" s="52" t="str">
        <f aca="false">IF(OR(COUNT(B560:D1559)=0,COUNT(G560:I1559)=0,'Choix pédagogiques'!C$3&lt;&gt;3),"",IF(AND('Choix pédagogiques'!$C$3=3,$B560&lt;&gt;"",$C560&lt;&gt;"",$D560&lt;&gt;"",$G560&lt;&gt;"",$H560&lt;&gt;"",$I560&lt;&gt;""),1,0))</f>
        <v/>
      </c>
      <c r="BR560" s="52" t="n">
        <v>252</v>
      </c>
      <c r="BS560" s="52" t="n">
        <v>1980</v>
      </c>
    </row>
    <row r="561" s="54" customFormat="true" ht="18" hidden="false" customHeight="true" outlineLevel="0" collapsed="false">
      <c r="A561" s="57" t="s">
        <v>1053</v>
      </c>
      <c r="B561" s="51"/>
      <c r="C561" s="51"/>
      <c r="D561" s="51"/>
      <c r="E561" s="51"/>
      <c r="F561" s="57" t="s">
        <v>1054</v>
      </c>
      <c r="G561" s="51"/>
      <c r="H561" s="51"/>
      <c r="I561" s="51"/>
      <c r="J561" s="51"/>
      <c r="K561" s="52" t="str">
        <f aca="false">IF($A561&lt;&gt;"",$A561,"")</f>
        <v>Apprenant 549</v>
      </c>
      <c r="L561" s="53" t="str">
        <f aca="false">IF(AND($B561&lt;&gt;"",$C561&lt;&gt;""),$C561-$B561,"")</f>
        <v/>
      </c>
      <c r="M561" s="53" t="str">
        <f aca="false">IF(AND($B561&lt;&gt;"",$D561&lt;&gt;""),$D561-$B561,"")</f>
        <v/>
      </c>
      <c r="N561" s="53" t="str">
        <f aca="false">IF(AND($C561&lt;&gt;"",$D561&lt;&gt;""),$D561-$C561,"")</f>
        <v/>
      </c>
      <c r="O561" s="53" t="str">
        <f aca="false">IF($E561&lt;&gt;"",$E561,"")</f>
        <v/>
      </c>
      <c r="P561" s="52" t="str">
        <f aca="false">IF($F561&lt;&gt;"",$F561,"")</f>
        <v>Apprenant 549 ou 549'</v>
      </c>
      <c r="Q561" s="53" t="str">
        <f aca="false">IF(AND($G561&lt;&gt;"",$H561&lt;&gt;""),$H561-$G561,"")</f>
        <v/>
      </c>
      <c r="R561" s="53" t="str">
        <f aca="false">IF(AND($G561&lt;&gt;"",$I561&lt;&gt;""),$I561-$G561,"")</f>
        <v/>
      </c>
      <c r="S561" s="53" t="str">
        <f aca="false">IF(AND($H561&lt;&gt;"",$I561&lt;&gt;""),$I561-$H561,"")</f>
        <v/>
      </c>
      <c r="T561" s="53" t="str">
        <f aca="false">IF($J561&lt;&gt;"",$J561,"")</f>
        <v/>
      </c>
      <c r="V561" s="52" t="str">
        <f aca="false">IF($A561&lt;&gt;"",$A561,"")</f>
        <v>Apprenant 549</v>
      </c>
      <c r="W561" s="53" t="str">
        <f aca="false">IF(AND(OR('Choix pédagogiques'!$C$3=1,'Choix pédagogiques'!$C$3=2),$BM561=1),B561,IF(AND('Choix pédagogiques'!$C$3=3,$BO561=1),B561,""))</f>
        <v/>
      </c>
      <c r="X561" s="53" t="str">
        <f aca="false">IF(AND(OR('Choix pédagogiques'!$C$3=1,'Choix pédagogiques'!$C$3=2),$BM561=1),C561,IF(AND('Choix pédagogiques'!$C$3=3,$BO561=1),C561,""))</f>
        <v/>
      </c>
      <c r="Y561" s="53" t="str">
        <f aca="false">IF(AND(OR('Choix pédagogiques'!$C$3=1,'Choix pédagogiques'!$C$3=2),$BM561=1),D561,IF(AND('Choix pédagogiques'!$C$3=3,$BO561=1),D561,""))</f>
        <v/>
      </c>
      <c r="Z561" s="53" t="str">
        <f aca="false">IF($E561&lt;&gt;"",$E561,"")</f>
        <v/>
      </c>
      <c r="AA561" s="52" t="str">
        <f aca="false">IF($F561&lt;&gt;"",$F561,"")</f>
        <v>Apprenant 549 ou 549'</v>
      </c>
      <c r="AB561" s="53" t="str">
        <f aca="false">IF(AND(OR('Choix pédagogiques'!$C$3=1,'Choix pédagogiques'!$C$3=2),$BN561=1),G561,IF(AND('Choix pédagogiques'!$C$3=3,$BO561=1),G561,""))</f>
        <v/>
      </c>
      <c r="AC561" s="53" t="str">
        <f aca="false">IF(AND(OR('Choix pédagogiques'!$C$3=1,'Choix pédagogiques'!$C$3=2),$BN561=1),H561,IF(AND('Choix pédagogiques'!$C$3=3,$BO561=1),H561,""))</f>
        <v/>
      </c>
      <c r="AD561" s="53" t="str">
        <f aca="false">IF(AND(OR('Choix pédagogiques'!$C$3=1,'Choix pédagogiques'!$C$3=2),$BN561=1),I561,IF(AND('Choix pédagogiques'!$C$3=3,$BO561=1),I561,""))</f>
        <v/>
      </c>
      <c r="AE561" s="53" t="str">
        <f aca="false">IF($J561&lt;&gt;"",$J561,"")</f>
        <v/>
      </c>
      <c r="AF561" s="52" t="str">
        <f aca="false">IF($A561&lt;&gt;"",$A561,"")</f>
        <v>Apprenant 549</v>
      </c>
      <c r="AG561" s="53" t="str">
        <f aca="false">IF(AND($W561&lt;&gt;"",$X561&lt;&gt;""),$X561-$W561,"")</f>
        <v/>
      </c>
      <c r="AH561" s="53" t="str">
        <f aca="false">IF(AND($W561&lt;&gt;"",$Y561&lt;&gt;""),$Y561-$W561,"")</f>
        <v/>
      </c>
      <c r="AI561" s="53" t="str">
        <f aca="false">IF(AND($X561&lt;&gt;"",$Y561&lt;&gt;""),$Y561-$X561,"")</f>
        <v/>
      </c>
      <c r="AJ561" s="53" t="str">
        <f aca="false">IF($E561&lt;&gt;"",$E561,"")</f>
        <v/>
      </c>
      <c r="AK561" s="52" t="str">
        <f aca="false">IF($F561&lt;&gt;"",$F561,"")</f>
        <v>Apprenant 549 ou 549'</v>
      </c>
      <c r="AL561" s="53" t="str">
        <f aca="false">IF(AND($AB561&lt;&gt;"",$AC561&lt;&gt;""),$AC561-$AB561,"")</f>
        <v/>
      </c>
      <c r="AM561" s="53" t="str">
        <f aca="false">IF(AND($AB561&lt;&gt;"",$AD561&lt;&gt;""),$AD561-$AB561,"")</f>
        <v/>
      </c>
      <c r="AN561" s="53" t="str">
        <f aca="false">IF(AND($AC561&lt;&gt;"",$AD561&lt;&gt;""),$AD561-$AC561,"")</f>
        <v/>
      </c>
      <c r="AO561" s="53" t="str">
        <f aca="false">IF($J561&lt;&gt;"",$J561,"")</f>
        <v/>
      </c>
      <c r="AQ561" s="52" t="str">
        <f aca="false">IF($A561&lt;&gt;"",$A561,"")</f>
        <v>Apprenant 549</v>
      </c>
      <c r="AR561" s="55" t="str">
        <f aca="false">IF(AND('Choix pédagogiques'!$C$4&lt;&gt;"?",'Choix pédagogiques'!$C$5&lt;&gt;"?",W561&lt;&gt;""),(W561-'Choix pédagogiques'!$C$4)/('Choix pédagogiques'!$C$5-'Choix pédagogiques'!$C$4),"")</f>
        <v/>
      </c>
      <c r="AS561" s="55" t="str">
        <f aca="false">IF(AND('Choix pédagogiques'!$C$4&lt;&gt;"?",'Choix pédagogiques'!$C$5&lt;&gt;"?",X561&lt;&gt;""),(X561-'Choix pédagogiques'!$C$4)/('Choix pédagogiques'!$C$5-'Choix pédagogiques'!$C$4),"")</f>
        <v/>
      </c>
      <c r="AT561" s="55" t="str">
        <f aca="false">IF(AND('Choix pédagogiques'!$C$4&lt;&gt;"?",'Choix pédagogiques'!$C$5&lt;&gt;"?",Y561&lt;&gt;""),(Y561-'Choix pédagogiques'!$C$4)/('Choix pédagogiques'!$C$5-'Choix pédagogiques'!$C$4),"")</f>
        <v/>
      </c>
      <c r="AU561" s="53" t="str">
        <f aca="false">IF($E561&lt;&gt;"",$E561,"")</f>
        <v/>
      </c>
      <c r="AV561" s="52" t="str">
        <f aca="false">IF($F561&lt;&gt;"",$F561,"")</f>
        <v>Apprenant 549 ou 549'</v>
      </c>
      <c r="AW561" s="55" t="str">
        <f aca="false">IF(AND('Choix pédagogiques'!$C$4&lt;&gt;"?",'Choix pédagogiques'!$C$5&lt;&gt;"?",AB561&lt;&gt;""),(AB561-'Choix pédagogiques'!$C$4)/('Choix pédagogiques'!$C$5-'Choix pédagogiques'!$C$4),"")</f>
        <v/>
      </c>
      <c r="AX561" s="55" t="str">
        <f aca="false">IF(AND('Choix pédagogiques'!$C$4&lt;&gt;"?",'Choix pédagogiques'!$C$5&lt;&gt;"?",AC561&lt;&gt;""),(AC561-'Choix pédagogiques'!$C$4)/('Choix pédagogiques'!$C$5-'Choix pédagogiques'!$C$4),"")</f>
        <v/>
      </c>
      <c r="AY561" s="55" t="str">
        <f aca="false">IF(AND('Choix pédagogiques'!$C$4&lt;&gt;"?",'Choix pédagogiques'!$C$5&lt;&gt;"?",AD561&lt;&gt;""),(AD561-'Choix pédagogiques'!$C$4)/('Choix pédagogiques'!$C$5-'Choix pédagogiques'!$C$4),"")</f>
        <v/>
      </c>
      <c r="AZ561" s="53" t="str">
        <f aca="false">IF($J561&lt;&gt;"",$J561,"")</f>
        <v/>
      </c>
      <c r="BA561" s="52" t="str">
        <f aca="false">IF($A561&lt;&gt;"",$A561,"")</f>
        <v>Apprenant 549</v>
      </c>
      <c r="BB561" s="55" t="str">
        <f aca="false">IF(AND($AR561&lt;&gt;"",$AS561&lt;&gt;""),$AS561-$AR561,"")</f>
        <v/>
      </c>
      <c r="BC561" s="55" t="str">
        <f aca="false">IF(AND($AR561&lt;&gt;"",$AT561&lt;&gt;""),$AT561-$AR561,"")</f>
        <v/>
      </c>
      <c r="BD561" s="55" t="str">
        <f aca="false">IF(AND($AS561&lt;&gt;"",$AT561&lt;&gt;""),$AT561-$AS561,"")</f>
        <v/>
      </c>
      <c r="BE561" s="53" t="str">
        <f aca="false">IF($E561&lt;&gt;"",$E561,"")</f>
        <v/>
      </c>
      <c r="BF561" s="52" t="str">
        <f aca="false">IF($F561&lt;&gt;"",$F561,"")</f>
        <v>Apprenant 549 ou 549'</v>
      </c>
      <c r="BG561" s="55" t="str">
        <f aca="false">IF(AND($AW561&lt;&gt;"",$AX561&lt;&gt;""),$AX561-$AW561,"")</f>
        <v/>
      </c>
      <c r="BH561" s="55" t="str">
        <f aca="false">IF(AND($AW561&lt;&gt;"",$AY561&lt;&gt;""),$AY561-$AW561,"")</f>
        <v/>
      </c>
      <c r="BI561" s="55" t="str">
        <f aca="false">IF(AND($AX561&lt;&gt;"",$AY561&lt;&gt;""),$AY561-$AX561,"")</f>
        <v/>
      </c>
      <c r="BJ561" s="53" t="str">
        <f aca="false">IF($J561&lt;&gt;"",$J561,"")</f>
        <v/>
      </c>
      <c r="BL561" s="52"/>
      <c r="BM561" s="52" t="str">
        <f aca="false">IF(OR(COUNT(B561:D1560)=0,AND('Choix pédagogiques'!$C$3&lt;&gt;1,'Choix pédagogiques'!$C$3&lt;&gt;2)),"",IF(AND(OR('Choix pédagogiques'!$C$3=1,'Choix pédagogiques'!$C$3=2),$B561&lt;&gt;"",$C561&lt;&gt;"",$D561&lt;&gt;""),1,0))</f>
        <v/>
      </c>
      <c r="BN561" s="52" t="str">
        <f aca="false">IF(OR(COUNT(G561:I1560)=0,AND('Choix pédagogiques'!$C$3&lt;&gt;1,'Choix pédagogiques'!$C$3&lt;&gt;2)),"",IF(AND(OR('Choix pédagogiques'!$C$3=1,'Choix pédagogiques'!$C$3=2),AND($G561&lt;&gt;"",$H561&lt;&gt;"",$I561&lt;&gt;"")),1,0))</f>
        <v/>
      </c>
      <c r="BO561" s="52" t="str">
        <f aca="false">IF(OR(COUNT(B561:D1560)=0,COUNT(G561:I1560)=0,'Choix pédagogiques'!C$3&lt;&gt;3),"",IF(AND('Choix pédagogiques'!$C$3=3,$B561&lt;&gt;"",$C561&lt;&gt;"",$D561&lt;&gt;"",$G561&lt;&gt;"",$H561&lt;&gt;"",$I561&lt;&gt;""),1,0))</f>
        <v/>
      </c>
      <c r="BR561" s="52" t="n">
        <v>258</v>
      </c>
      <c r="BS561" s="52" t="n">
        <v>1982</v>
      </c>
    </row>
    <row r="562" s="54" customFormat="true" ht="18" hidden="false" customHeight="true" outlineLevel="0" collapsed="false">
      <c r="A562" s="57" t="s">
        <v>1055</v>
      </c>
      <c r="B562" s="51"/>
      <c r="C562" s="51"/>
      <c r="D562" s="51"/>
      <c r="E562" s="51"/>
      <c r="F562" s="57" t="s">
        <v>1056</v>
      </c>
      <c r="G562" s="51"/>
      <c r="H562" s="51"/>
      <c r="I562" s="51"/>
      <c r="J562" s="51"/>
      <c r="K562" s="52" t="str">
        <f aca="false">IF($A562&lt;&gt;"",$A562,"")</f>
        <v>Apprenant 550</v>
      </c>
      <c r="L562" s="53" t="str">
        <f aca="false">IF(AND($B562&lt;&gt;"",$C562&lt;&gt;""),$C562-$B562,"")</f>
        <v/>
      </c>
      <c r="M562" s="53" t="str">
        <f aca="false">IF(AND($B562&lt;&gt;"",$D562&lt;&gt;""),$D562-$B562,"")</f>
        <v/>
      </c>
      <c r="N562" s="53" t="str">
        <f aca="false">IF(AND($C562&lt;&gt;"",$D562&lt;&gt;""),$D562-$C562,"")</f>
        <v/>
      </c>
      <c r="O562" s="53" t="str">
        <f aca="false">IF($E562&lt;&gt;"",$E562,"")</f>
        <v/>
      </c>
      <c r="P562" s="52" t="str">
        <f aca="false">IF($F562&lt;&gt;"",$F562,"")</f>
        <v>Apprenant 550 ou 550'</v>
      </c>
      <c r="Q562" s="53" t="str">
        <f aca="false">IF(AND($G562&lt;&gt;"",$H562&lt;&gt;""),$H562-$G562,"")</f>
        <v/>
      </c>
      <c r="R562" s="53" t="str">
        <f aca="false">IF(AND($G562&lt;&gt;"",$I562&lt;&gt;""),$I562-$G562,"")</f>
        <v/>
      </c>
      <c r="S562" s="53" t="str">
        <f aca="false">IF(AND($H562&lt;&gt;"",$I562&lt;&gt;""),$I562-$H562,"")</f>
        <v/>
      </c>
      <c r="T562" s="53" t="str">
        <f aca="false">IF($J562&lt;&gt;"",$J562,"")</f>
        <v/>
      </c>
      <c r="V562" s="52" t="str">
        <f aca="false">IF($A562&lt;&gt;"",$A562,"")</f>
        <v>Apprenant 550</v>
      </c>
      <c r="W562" s="53" t="str">
        <f aca="false">IF(AND(OR('Choix pédagogiques'!$C$3=1,'Choix pédagogiques'!$C$3=2),$BM562=1),B562,IF(AND('Choix pédagogiques'!$C$3=3,$BO562=1),B562,""))</f>
        <v/>
      </c>
      <c r="X562" s="53" t="str">
        <f aca="false">IF(AND(OR('Choix pédagogiques'!$C$3=1,'Choix pédagogiques'!$C$3=2),$BM562=1),C562,IF(AND('Choix pédagogiques'!$C$3=3,$BO562=1),C562,""))</f>
        <v/>
      </c>
      <c r="Y562" s="53" t="str">
        <f aca="false">IF(AND(OR('Choix pédagogiques'!$C$3=1,'Choix pédagogiques'!$C$3=2),$BM562=1),D562,IF(AND('Choix pédagogiques'!$C$3=3,$BO562=1),D562,""))</f>
        <v/>
      </c>
      <c r="Z562" s="53" t="str">
        <f aca="false">IF($E562&lt;&gt;"",$E562,"")</f>
        <v/>
      </c>
      <c r="AA562" s="52" t="str">
        <f aca="false">IF($F562&lt;&gt;"",$F562,"")</f>
        <v>Apprenant 550 ou 550'</v>
      </c>
      <c r="AB562" s="53" t="str">
        <f aca="false">IF(AND(OR('Choix pédagogiques'!$C$3=1,'Choix pédagogiques'!$C$3=2),$BN562=1),G562,IF(AND('Choix pédagogiques'!$C$3=3,$BO562=1),G562,""))</f>
        <v/>
      </c>
      <c r="AC562" s="53" t="str">
        <f aca="false">IF(AND(OR('Choix pédagogiques'!$C$3=1,'Choix pédagogiques'!$C$3=2),$BN562=1),H562,IF(AND('Choix pédagogiques'!$C$3=3,$BO562=1),H562,""))</f>
        <v/>
      </c>
      <c r="AD562" s="53" t="str">
        <f aca="false">IF(AND(OR('Choix pédagogiques'!$C$3=1,'Choix pédagogiques'!$C$3=2),$BN562=1),I562,IF(AND('Choix pédagogiques'!$C$3=3,$BO562=1),I562,""))</f>
        <v/>
      </c>
      <c r="AE562" s="53" t="str">
        <f aca="false">IF($J562&lt;&gt;"",$J562,"")</f>
        <v/>
      </c>
      <c r="AF562" s="52" t="str">
        <f aca="false">IF($A562&lt;&gt;"",$A562,"")</f>
        <v>Apprenant 550</v>
      </c>
      <c r="AG562" s="53" t="str">
        <f aca="false">IF(AND($W562&lt;&gt;"",$X562&lt;&gt;""),$X562-$W562,"")</f>
        <v/>
      </c>
      <c r="AH562" s="53" t="str">
        <f aca="false">IF(AND($W562&lt;&gt;"",$Y562&lt;&gt;""),$Y562-$W562,"")</f>
        <v/>
      </c>
      <c r="AI562" s="53" t="str">
        <f aca="false">IF(AND($X562&lt;&gt;"",$Y562&lt;&gt;""),$Y562-$X562,"")</f>
        <v/>
      </c>
      <c r="AJ562" s="53" t="str">
        <f aca="false">IF($E562&lt;&gt;"",$E562,"")</f>
        <v/>
      </c>
      <c r="AK562" s="52" t="str">
        <f aca="false">IF($F562&lt;&gt;"",$F562,"")</f>
        <v>Apprenant 550 ou 550'</v>
      </c>
      <c r="AL562" s="53" t="str">
        <f aca="false">IF(AND($AB562&lt;&gt;"",$AC562&lt;&gt;""),$AC562-$AB562,"")</f>
        <v/>
      </c>
      <c r="AM562" s="53" t="str">
        <f aca="false">IF(AND($AB562&lt;&gt;"",$AD562&lt;&gt;""),$AD562-$AB562,"")</f>
        <v/>
      </c>
      <c r="AN562" s="53" t="str">
        <f aca="false">IF(AND($AC562&lt;&gt;"",$AD562&lt;&gt;""),$AD562-$AC562,"")</f>
        <v/>
      </c>
      <c r="AO562" s="53" t="str">
        <f aca="false">IF($J562&lt;&gt;"",$J562,"")</f>
        <v/>
      </c>
      <c r="AQ562" s="52" t="str">
        <f aca="false">IF($A562&lt;&gt;"",$A562,"")</f>
        <v>Apprenant 550</v>
      </c>
      <c r="AR562" s="55" t="str">
        <f aca="false">IF(AND('Choix pédagogiques'!$C$4&lt;&gt;"?",'Choix pédagogiques'!$C$5&lt;&gt;"?",W562&lt;&gt;""),(W562-'Choix pédagogiques'!$C$4)/('Choix pédagogiques'!$C$5-'Choix pédagogiques'!$C$4),"")</f>
        <v/>
      </c>
      <c r="AS562" s="55" t="str">
        <f aca="false">IF(AND('Choix pédagogiques'!$C$4&lt;&gt;"?",'Choix pédagogiques'!$C$5&lt;&gt;"?",X562&lt;&gt;""),(X562-'Choix pédagogiques'!$C$4)/('Choix pédagogiques'!$C$5-'Choix pédagogiques'!$C$4),"")</f>
        <v/>
      </c>
      <c r="AT562" s="55" t="str">
        <f aca="false">IF(AND('Choix pédagogiques'!$C$4&lt;&gt;"?",'Choix pédagogiques'!$C$5&lt;&gt;"?",Y562&lt;&gt;""),(Y562-'Choix pédagogiques'!$C$4)/('Choix pédagogiques'!$C$5-'Choix pédagogiques'!$C$4),"")</f>
        <v/>
      </c>
      <c r="AU562" s="53" t="str">
        <f aca="false">IF($E562&lt;&gt;"",$E562,"")</f>
        <v/>
      </c>
      <c r="AV562" s="52" t="str">
        <f aca="false">IF($F562&lt;&gt;"",$F562,"")</f>
        <v>Apprenant 550 ou 550'</v>
      </c>
      <c r="AW562" s="55" t="str">
        <f aca="false">IF(AND('Choix pédagogiques'!$C$4&lt;&gt;"?",'Choix pédagogiques'!$C$5&lt;&gt;"?",AB562&lt;&gt;""),(AB562-'Choix pédagogiques'!$C$4)/('Choix pédagogiques'!$C$5-'Choix pédagogiques'!$C$4),"")</f>
        <v/>
      </c>
      <c r="AX562" s="55" t="str">
        <f aca="false">IF(AND('Choix pédagogiques'!$C$4&lt;&gt;"?",'Choix pédagogiques'!$C$5&lt;&gt;"?",AC562&lt;&gt;""),(AC562-'Choix pédagogiques'!$C$4)/('Choix pédagogiques'!$C$5-'Choix pédagogiques'!$C$4),"")</f>
        <v/>
      </c>
      <c r="AY562" s="55" t="str">
        <f aca="false">IF(AND('Choix pédagogiques'!$C$4&lt;&gt;"?",'Choix pédagogiques'!$C$5&lt;&gt;"?",AD562&lt;&gt;""),(AD562-'Choix pédagogiques'!$C$4)/('Choix pédagogiques'!$C$5-'Choix pédagogiques'!$C$4),"")</f>
        <v/>
      </c>
      <c r="AZ562" s="53" t="str">
        <f aca="false">IF($J562&lt;&gt;"",$J562,"")</f>
        <v/>
      </c>
      <c r="BA562" s="52" t="str">
        <f aca="false">IF($A562&lt;&gt;"",$A562,"")</f>
        <v>Apprenant 550</v>
      </c>
      <c r="BB562" s="55" t="str">
        <f aca="false">IF(AND($AR562&lt;&gt;"",$AS562&lt;&gt;""),$AS562-$AR562,"")</f>
        <v/>
      </c>
      <c r="BC562" s="55" t="str">
        <f aca="false">IF(AND($AR562&lt;&gt;"",$AT562&lt;&gt;""),$AT562-$AR562,"")</f>
        <v/>
      </c>
      <c r="BD562" s="55" t="str">
        <f aca="false">IF(AND($AS562&lt;&gt;"",$AT562&lt;&gt;""),$AT562-$AS562,"")</f>
        <v/>
      </c>
      <c r="BE562" s="53" t="str">
        <f aca="false">IF($E562&lt;&gt;"",$E562,"")</f>
        <v/>
      </c>
      <c r="BF562" s="52" t="str">
        <f aca="false">IF($F562&lt;&gt;"",$F562,"")</f>
        <v>Apprenant 550 ou 550'</v>
      </c>
      <c r="BG562" s="55" t="str">
        <f aca="false">IF(AND($AW562&lt;&gt;"",$AX562&lt;&gt;""),$AX562-$AW562,"")</f>
        <v/>
      </c>
      <c r="BH562" s="55" t="str">
        <f aca="false">IF(AND($AW562&lt;&gt;"",$AY562&lt;&gt;""),$AY562-$AW562,"")</f>
        <v/>
      </c>
      <c r="BI562" s="55" t="str">
        <f aca="false">IF(AND($AX562&lt;&gt;"",$AY562&lt;&gt;""),$AY562-$AX562,"")</f>
        <v/>
      </c>
      <c r="BJ562" s="53" t="str">
        <f aca="false">IF($J562&lt;&gt;"",$J562,"")</f>
        <v/>
      </c>
      <c r="BL562" s="52"/>
      <c r="BM562" s="52" t="str">
        <f aca="false">IF(OR(COUNT(B562:D1561)=0,AND('Choix pédagogiques'!$C$3&lt;&gt;1,'Choix pédagogiques'!$C$3&lt;&gt;2)),"",IF(AND(OR('Choix pédagogiques'!$C$3=1,'Choix pédagogiques'!$C$3=2),$B562&lt;&gt;"",$C562&lt;&gt;"",$D562&lt;&gt;""),1,0))</f>
        <v/>
      </c>
      <c r="BN562" s="52" t="str">
        <f aca="false">IF(OR(COUNT(G562:I1561)=0,AND('Choix pédagogiques'!$C$3&lt;&gt;1,'Choix pédagogiques'!$C$3&lt;&gt;2)),"",IF(AND(OR('Choix pédagogiques'!$C$3=1,'Choix pédagogiques'!$C$3=2),AND($G562&lt;&gt;"",$H562&lt;&gt;"",$I562&lt;&gt;"")),1,0))</f>
        <v/>
      </c>
      <c r="BO562" s="52" t="str">
        <f aca="false">IF(OR(COUNT(B562:D1561)=0,COUNT(G562:I1561)=0,'Choix pédagogiques'!C$3&lt;&gt;3),"",IF(AND('Choix pédagogiques'!$C$3=3,$B562&lt;&gt;"",$C562&lt;&gt;"",$D562&lt;&gt;"",$G562&lt;&gt;"",$H562&lt;&gt;"",$I562&lt;&gt;""),1,0))</f>
        <v/>
      </c>
      <c r="BR562" s="52" t="n">
        <v>334</v>
      </c>
      <c r="BS562" s="52" t="n">
        <v>1870</v>
      </c>
    </row>
    <row r="563" s="54" customFormat="true" ht="18" hidden="false" customHeight="true" outlineLevel="0" collapsed="false">
      <c r="A563" s="57" t="s">
        <v>1057</v>
      </c>
      <c r="B563" s="51"/>
      <c r="C563" s="51"/>
      <c r="D563" s="51"/>
      <c r="E563" s="51"/>
      <c r="F563" s="57" t="s">
        <v>1058</v>
      </c>
      <c r="G563" s="51"/>
      <c r="H563" s="51"/>
      <c r="I563" s="51"/>
      <c r="J563" s="51"/>
      <c r="K563" s="52" t="str">
        <f aca="false">IF($A563&lt;&gt;"",$A563,"")</f>
        <v>Apprenant 551</v>
      </c>
      <c r="L563" s="53" t="str">
        <f aca="false">IF(AND($B563&lt;&gt;"",$C563&lt;&gt;""),$C563-$B563,"")</f>
        <v/>
      </c>
      <c r="M563" s="53" t="str">
        <f aca="false">IF(AND($B563&lt;&gt;"",$D563&lt;&gt;""),$D563-$B563,"")</f>
        <v/>
      </c>
      <c r="N563" s="53" t="str">
        <f aca="false">IF(AND($C563&lt;&gt;"",$D563&lt;&gt;""),$D563-$C563,"")</f>
        <v/>
      </c>
      <c r="O563" s="53" t="str">
        <f aca="false">IF($E563&lt;&gt;"",$E563,"")</f>
        <v/>
      </c>
      <c r="P563" s="52" t="str">
        <f aca="false">IF($F563&lt;&gt;"",$F563,"")</f>
        <v>Apprenant 551 ou 551'</v>
      </c>
      <c r="Q563" s="53" t="str">
        <f aca="false">IF(AND($G563&lt;&gt;"",$H563&lt;&gt;""),$H563-$G563,"")</f>
        <v/>
      </c>
      <c r="R563" s="53" t="str">
        <f aca="false">IF(AND($G563&lt;&gt;"",$I563&lt;&gt;""),$I563-$G563,"")</f>
        <v/>
      </c>
      <c r="S563" s="53" t="str">
        <f aca="false">IF(AND($H563&lt;&gt;"",$I563&lt;&gt;""),$I563-$H563,"")</f>
        <v/>
      </c>
      <c r="T563" s="53" t="str">
        <f aca="false">IF($J563&lt;&gt;"",$J563,"")</f>
        <v/>
      </c>
      <c r="V563" s="52" t="str">
        <f aca="false">IF($A563&lt;&gt;"",$A563,"")</f>
        <v>Apprenant 551</v>
      </c>
      <c r="W563" s="53" t="str">
        <f aca="false">IF(AND(OR('Choix pédagogiques'!$C$3=1,'Choix pédagogiques'!$C$3=2),$BM563=1),B563,IF(AND('Choix pédagogiques'!$C$3=3,$BO563=1),B563,""))</f>
        <v/>
      </c>
      <c r="X563" s="53" t="str">
        <f aca="false">IF(AND(OR('Choix pédagogiques'!$C$3=1,'Choix pédagogiques'!$C$3=2),$BM563=1),C563,IF(AND('Choix pédagogiques'!$C$3=3,$BO563=1),C563,""))</f>
        <v/>
      </c>
      <c r="Y563" s="53" t="str">
        <f aca="false">IF(AND(OR('Choix pédagogiques'!$C$3=1,'Choix pédagogiques'!$C$3=2),$BM563=1),D563,IF(AND('Choix pédagogiques'!$C$3=3,$BO563=1),D563,""))</f>
        <v/>
      </c>
      <c r="Z563" s="53" t="str">
        <f aca="false">IF($E563&lt;&gt;"",$E563,"")</f>
        <v/>
      </c>
      <c r="AA563" s="52" t="str">
        <f aca="false">IF($F563&lt;&gt;"",$F563,"")</f>
        <v>Apprenant 551 ou 551'</v>
      </c>
      <c r="AB563" s="53" t="str">
        <f aca="false">IF(AND(OR('Choix pédagogiques'!$C$3=1,'Choix pédagogiques'!$C$3=2),$BN563=1),G563,IF(AND('Choix pédagogiques'!$C$3=3,$BO563=1),G563,""))</f>
        <v/>
      </c>
      <c r="AC563" s="53" t="str">
        <f aca="false">IF(AND(OR('Choix pédagogiques'!$C$3=1,'Choix pédagogiques'!$C$3=2),$BN563=1),H563,IF(AND('Choix pédagogiques'!$C$3=3,$BO563=1),H563,""))</f>
        <v/>
      </c>
      <c r="AD563" s="53" t="str">
        <f aca="false">IF(AND(OR('Choix pédagogiques'!$C$3=1,'Choix pédagogiques'!$C$3=2),$BN563=1),I563,IF(AND('Choix pédagogiques'!$C$3=3,$BO563=1),I563,""))</f>
        <v/>
      </c>
      <c r="AE563" s="53" t="str">
        <f aca="false">IF($J563&lt;&gt;"",$J563,"")</f>
        <v/>
      </c>
      <c r="AF563" s="52" t="str">
        <f aca="false">IF($A563&lt;&gt;"",$A563,"")</f>
        <v>Apprenant 551</v>
      </c>
      <c r="AG563" s="53" t="str">
        <f aca="false">IF(AND($W563&lt;&gt;"",$X563&lt;&gt;""),$X563-$W563,"")</f>
        <v/>
      </c>
      <c r="AH563" s="53" t="str">
        <f aca="false">IF(AND($W563&lt;&gt;"",$Y563&lt;&gt;""),$Y563-$W563,"")</f>
        <v/>
      </c>
      <c r="AI563" s="53" t="str">
        <f aca="false">IF(AND($X563&lt;&gt;"",$Y563&lt;&gt;""),$Y563-$X563,"")</f>
        <v/>
      </c>
      <c r="AJ563" s="53" t="str">
        <f aca="false">IF($E563&lt;&gt;"",$E563,"")</f>
        <v/>
      </c>
      <c r="AK563" s="52" t="str">
        <f aca="false">IF($F563&lt;&gt;"",$F563,"")</f>
        <v>Apprenant 551 ou 551'</v>
      </c>
      <c r="AL563" s="53" t="str">
        <f aca="false">IF(AND($AB563&lt;&gt;"",$AC563&lt;&gt;""),$AC563-$AB563,"")</f>
        <v/>
      </c>
      <c r="AM563" s="53" t="str">
        <f aca="false">IF(AND($AB563&lt;&gt;"",$AD563&lt;&gt;""),$AD563-$AB563,"")</f>
        <v/>
      </c>
      <c r="AN563" s="53" t="str">
        <f aca="false">IF(AND($AC563&lt;&gt;"",$AD563&lt;&gt;""),$AD563-$AC563,"")</f>
        <v/>
      </c>
      <c r="AO563" s="53" t="str">
        <f aca="false">IF($J563&lt;&gt;"",$J563,"")</f>
        <v/>
      </c>
      <c r="AQ563" s="52" t="str">
        <f aca="false">IF($A563&lt;&gt;"",$A563,"")</f>
        <v>Apprenant 551</v>
      </c>
      <c r="AR563" s="55" t="str">
        <f aca="false">IF(AND('Choix pédagogiques'!$C$4&lt;&gt;"?",'Choix pédagogiques'!$C$5&lt;&gt;"?",W563&lt;&gt;""),(W563-'Choix pédagogiques'!$C$4)/('Choix pédagogiques'!$C$5-'Choix pédagogiques'!$C$4),"")</f>
        <v/>
      </c>
      <c r="AS563" s="55" t="str">
        <f aca="false">IF(AND('Choix pédagogiques'!$C$4&lt;&gt;"?",'Choix pédagogiques'!$C$5&lt;&gt;"?",X563&lt;&gt;""),(X563-'Choix pédagogiques'!$C$4)/('Choix pédagogiques'!$C$5-'Choix pédagogiques'!$C$4),"")</f>
        <v/>
      </c>
      <c r="AT563" s="55" t="str">
        <f aca="false">IF(AND('Choix pédagogiques'!$C$4&lt;&gt;"?",'Choix pédagogiques'!$C$5&lt;&gt;"?",Y563&lt;&gt;""),(Y563-'Choix pédagogiques'!$C$4)/('Choix pédagogiques'!$C$5-'Choix pédagogiques'!$C$4),"")</f>
        <v/>
      </c>
      <c r="AU563" s="53" t="str">
        <f aca="false">IF($E563&lt;&gt;"",$E563,"")</f>
        <v/>
      </c>
      <c r="AV563" s="52" t="str">
        <f aca="false">IF($F563&lt;&gt;"",$F563,"")</f>
        <v>Apprenant 551 ou 551'</v>
      </c>
      <c r="AW563" s="55" t="str">
        <f aca="false">IF(AND('Choix pédagogiques'!$C$4&lt;&gt;"?",'Choix pédagogiques'!$C$5&lt;&gt;"?",AB563&lt;&gt;""),(AB563-'Choix pédagogiques'!$C$4)/('Choix pédagogiques'!$C$5-'Choix pédagogiques'!$C$4),"")</f>
        <v/>
      </c>
      <c r="AX563" s="55" t="str">
        <f aca="false">IF(AND('Choix pédagogiques'!$C$4&lt;&gt;"?",'Choix pédagogiques'!$C$5&lt;&gt;"?",AC563&lt;&gt;""),(AC563-'Choix pédagogiques'!$C$4)/('Choix pédagogiques'!$C$5-'Choix pédagogiques'!$C$4),"")</f>
        <v/>
      </c>
      <c r="AY563" s="55" t="str">
        <f aca="false">IF(AND('Choix pédagogiques'!$C$4&lt;&gt;"?",'Choix pédagogiques'!$C$5&lt;&gt;"?",AD563&lt;&gt;""),(AD563-'Choix pédagogiques'!$C$4)/('Choix pédagogiques'!$C$5-'Choix pédagogiques'!$C$4),"")</f>
        <v/>
      </c>
      <c r="AZ563" s="53" t="str">
        <f aca="false">IF($J563&lt;&gt;"",$J563,"")</f>
        <v/>
      </c>
      <c r="BA563" s="52" t="str">
        <f aca="false">IF($A563&lt;&gt;"",$A563,"")</f>
        <v>Apprenant 551</v>
      </c>
      <c r="BB563" s="55" t="str">
        <f aca="false">IF(AND($AR563&lt;&gt;"",$AS563&lt;&gt;""),$AS563-$AR563,"")</f>
        <v/>
      </c>
      <c r="BC563" s="55" t="str">
        <f aca="false">IF(AND($AR563&lt;&gt;"",$AT563&lt;&gt;""),$AT563-$AR563,"")</f>
        <v/>
      </c>
      <c r="BD563" s="55" t="str">
        <f aca="false">IF(AND($AS563&lt;&gt;"",$AT563&lt;&gt;""),$AT563-$AS563,"")</f>
        <v/>
      </c>
      <c r="BE563" s="53" t="str">
        <f aca="false">IF($E563&lt;&gt;"",$E563,"")</f>
        <v/>
      </c>
      <c r="BF563" s="52" t="str">
        <f aca="false">IF($F563&lt;&gt;"",$F563,"")</f>
        <v>Apprenant 551 ou 551'</v>
      </c>
      <c r="BG563" s="55" t="str">
        <f aca="false">IF(AND($AW563&lt;&gt;"",$AX563&lt;&gt;""),$AX563-$AW563,"")</f>
        <v/>
      </c>
      <c r="BH563" s="55" t="str">
        <f aca="false">IF(AND($AW563&lt;&gt;"",$AY563&lt;&gt;""),$AY563-$AW563,"")</f>
        <v/>
      </c>
      <c r="BI563" s="55" t="str">
        <f aca="false">IF(AND($AX563&lt;&gt;"",$AY563&lt;&gt;""),$AY563-$AX563,"")</f>
        <v/>
      </c>
      <c r="BJ563" s="53" t="str">
        <f aca="false">IF($J563&lt;&gt;"",$J563,"")</f>
        <v/>
      </c>
      <c r="BL563" s="52"/>
      <c r="BM563" s="52" t="str">
        <f aca="false">IF(OR(COUNT(B563:D1562)=0,AND('Choix pédagogiques'!$C$3&lt;&gt;1,'Choix pédagogiques'!$C$3&lt;&gt;2)),"",IF(AND(OR('Choix pédagogiques'!$C$3=1,'Choix pédagogiques'!$C$3=2),$B563&lt;&gt;"",$C563&lt;&gt;"",$D563&lt;&gt;""),1,0))</f>
        <v/>
      </c>
      <c r="BN563" s="52" t="str">
        <f aca="false">IF(OR(COUNT(G563:I1562)=0,AND('Choix pédagogiques'!$C$3&lt;&gt;1,'Choix pédagogiques'!$C$3&lt;&gt;2)),"",IF(AND(OR('Choix pédagogiques'!$C$3=1,'Choix pédagogiques'!$C$3=2),AND($G563&lt;&gt;"",$H563&lt;&gt;"",$I563&lt;&gt;"")),1,0))</f>
        <v/>
      </c>
      <c r="BO563" s="52" t="str">
        <f aca="false">IF(OR(COUNT(B563:D1562)=0,COUNT(G563:I1562)=0,'Choix pédagogiques'!C$3&lt;&gt;3),"",IF(AND('Choix pédagogiques'!$C$3=3,$B563&lt;&gt;"",$C563&lt;&gt;"",$D563&lt;&gt;"",$G563&lt;&gt;"",$H563&lt;&gt;"",$I563&lt;&gt;""),1,0))</f>
        <v/>
      </c>
      <c r="BR563" s="52" t="n">
        <v>78</v>
      </c>
      <c r="BS563" s="52" t="n">
        <v>1524</v>
      </c>
    </row>
    <row r="564" s="54" customFormat="true" ht="18" hidden="false" customHeight="true" outlineLevel="0" collapsed="false">
      <c r="A564" s="57" t="s">
        <v>1059</v>
      </c>
      <c r="B564" s="51"/>
      <c r="C564" s="51"/>
      <c r="D564" s="51"/>
      <c r="E564" s="51"/>
      <c r="F564" s="57" t="s">
        <v>1060</v>
      </c>
      <c r="G564" s="51"/>
      <c r="H564" s="51"/>
      <c r="I564" s="51"/>
      <c r="J564" s="51"/>
      <c r="K564" s="52" t="str">
        <f aca="false">IF($A564&lt;&gt;"",$A564,"")</f>
        <v>Apprenant 552</v>
      </c>
      <c r="L564" s="53" t="str">
        <f aca="false">IF(AND($B564&lt;&gt;"",$C564&lt;&gt;""),$C564-$B564,"")</f>
        <v/>
      </c>
      <c r="M564" s="53" t="str">
        <f aca="false">IF(AND($B564&lt;&gt;"",$D564&lt;&gt;""),$D564-$B564,"")</f>
        <v/>
      </c>
      <c r="N564" s="53" t="str">
        <f aca="false">IF(AND($C564&lt;&gt;"",$D564&lt;&gt;""),$D564-$C564,"")</f>
        <v/>
      </c>
      <c r="O564" s="53" t="str">
        <f aca="false">IF($E564&lt;&gt;"",$E564,"")</f>
        <v/>
      </c>
      <c r="P564" s="52" t="str">
        <f aca="false">IF($F564&lt;&gt;"",$F564,"")</f>
        <v>Apprenant 552 ou 552'</v>
      </c>
      <c r="Q564" s="53" t="str">
        <f aca="false">IF(AND($G564&lt;&gt;"",$H564&lt;&gt;""),$H564-$G564,"")</f>
        <v/>
      </c>
      <c r="R564" s="53" t="str">
        <f aca="false">IF(AND($G564&lt;&gt;"",$I564&lt;&gt;""),$I564-$G564,"")</f>
        <v/>
      </c>
      <c r="S564" s="53" t="str">
        <f aca="false">IF(AND($H564&lt;&gt;"",$I564&lt;&gt;""),$I564-$H564,"")</f>
        <v/>
      </c>
      <c r="T564" s="53" t="str">
        <f aca="false">IF($J564&lt;&gt;"",$J564,"")</f>
        <v/>
      </c>
      <c r="V564" s="52" t="str">
        <f aca="false">IF($A564&lt;&gt;"",$A564,"")</f>
        <v>Apprenant 552</v>
      </c>
      <c r="W564" s="53" t="str">
        <f aca="false">IF(AND(OR('Choix pédagogiques'!$C$3=1,'Choix pédagogiques'!$C$3=2),$BM564=1),B564,IF(AND('Choix pédagogiques'!$C$3=3,$BO564=1),B564,""))</f>
        <v/>
      </c>
      <c r="X564" s="53" t="str">
        <f aca="false">IF(AND(OR('Choix pédagogiques'!$C$3=1,'Choix pédagogiques'!$C$3=2),$BM564=1),C564,IF(AND('Choix pédagogiques'!$C$3=3,$BO564=1),C564,""))</f>
        <v/>
      </c>
      <c r="Y564" s="53" t="str">
        <f aca="false">IF(AND(OR('Choix pédagogiques'!$C$3=1,'Choix pédagogiques'!$C$3=2),$BM564=1),D564,IF(AND('Choix pédagogiques'!$C$3=3,$BO564=1),D564,""))</f>
        <v/>
      </c>
      <c r="Z564" s="53" t="str">
        <f aca="false">IF($E564&lt;&gt;"",$E564,"")</f>
        <v/>
      </c>
      <c r="AA564" s="52" t="str">
        <f aca="false">IF($F564&lt;&gt;"",$F564,"")</f>
        <v>Apprenant 552 ou 552'</v>
      </c>
      <c r="AB564" s="53" t="str">
        <f aca="false">IF(AND(OR('Choix pédagogiques'!$C$3=1,'Choix pédagogiques'!$C$3=2),$BN564=1),G564,IF(AND('Choix pédagogiques'!$C$3=3,$BO564=1),G564,""))</f>
        <v/>
      </c>
      <c r="AC564" s="53" t="str">
        <f aca="false">IF(AND(OR('Choix pédagogiques'!$C$3=1,'Choix pédagogiques'!$C$3=2),$BN564=1),H564,IF(AND('Choix pédagogiques'!$C$3=3,$BO564=1),H564,""))</f>
        <v/>
      </c>
      <c r="AD564" s="53" t="str">
        <f aca="false">IF(AND(OR('Choix pédagogiques'!$C$3=1,'Choix pédagogiques'!$C$3=2),$BN564=1),I564,IF(AND('Choix pédagogiques'!$C$3=3,$BO564=1),I564,""))</f>
        <v/>
      </c>
      <c r="AE564" s="53" t="str">
        <f aca="false">IF($J564&lt;&gt;"",$J564,"")</f>
        <v/>
      </c>
      <c r="AF564" s="52" t="str">
        <f aca="false">IF($A564&lt;&gt;"",$A564,"")</f>
        <v>Apprenant 552</v>
      </c>
      <c r="AG564" s="53" t="str">
        <f aca="false">IF(AND($W564&lt;&gt;"",$X564&lt;&gt;""),$X564-$W564,"")</f>
        <v/>
      </c>
      <c r="AH564" s="53" t="str">
        <f aca="false">IF(AND($W564&lt;&gt;"",$Y564&lt;&gt;""),$Y564-$W564,"")</f>
        <v/>
      </c>
      <c r="AI564" s="53" t="str">
        <f aca="false">IF(AND($X564&lt;&gt;"",$Y564&lt;&gt;""),$Y564-$X564,"")</f>
        <v/>
      </c>
      <c r="AJ564" s="53" t="str">
        <f aca="false">IF($E564&lt;&gt;"",$E564,"")</f>
        <v/>
      </c>
      <c r="AK564" s="52" t="str">
        <f aca="false">IF($F564&lt;&gt;"",$F564,"")</f>
        <v>Apprenant 552 ou 552'</v>
      </c>
      <c r="AL564" s="53" t="str">
        <f aca="false">IF(AND($AB564&lt;&gt;"",$AC564&lt;&gt;""),$AC564-$AB564,"")</f>
        <v/>
      </c>
      <c r="AM564" s="53" t="str">
        <f aca="false">IF(AND($AB564&lt;&gt;"",$AD564&lt;&gt;""),$AD564-$AB564,"")</f>
        <v/>
      </c>
      <c r="AN564" s="53" t="str">
        <f aca="false">IF(AND($AC564&lt;&gt;"",$AD564&lt;&gt;""),$AD564-$AC564,"")</f>
        <v/>
      </c>
      <c r="AO564" s="53" t="str">
        <f aca="false">IF($J564&lt;&gt;"",$J564,"")</f>
        <v/>
      </c>
      <c r="AQ564" s="52" t="str">
        <f aca="false">IF($A564&lt;&gt;"",$A564,"")</f>
        <v>Apprenant 552</v>
      </c>
      <c r="AR564" s="55" t="str">
        <f aca="false">IF(AND('Choix pédagogiques'!$C$4&lt;&gt;"?",'Choix pédagogiques'!$C$5&lt;&gt;"?",W564&lt;&gt;""),(W564-'Choix pédagogiques'!$C$4)/('Choix pédagogiques'!$C$5-'Choix pédagogiques'!$C$4),"")</f>
        <v/>
      </c>
      <c r="AS564" s="55" t="str">
        <f aca="false">IF(AND('Choix pédagogiques'!$C$4&lt;&gt;"?",'Choix pédagogiques'!$C$5&lt;&gt;"?",X564&lt;&gt;""),(X564-'Choix pédagogiques'!$C$4)/('Choix pédagogiques'!$C$5-'Choix pédagogiques'!$C$4),"")</f>
        <v/>
      </c>
      <c r="AT564" s="55" t="str">
        <f aca="false">IF(AND('Choix pédagogiques'!$C$4&lt;&gt;"?",'Choix pédagogiques'!$C$5&lt;&gt;"?",Y564&lt;&gt;""),(Y564-'Choix pédagogiques'!$C$4)/('Choix pédagogiques'!$C$5-'Choix pédagogiques'!$C$4),"")</f>
        <v/>
      </c>
      <c r="AU564" s="53" t="str">
        <f aca="false">IF($E564&lt;&gt;"",$E564,"")</f>
        <v/>
      </c>
      <c r="AV564" s="52" t="str">
        <f aca="false">IF($F564&lt;&gt;"",$F564,"")</f>
        <v>Apprenant 552 ou 552'</v>
      </c>
      <c r="AW564" s="55" t="str">
        <f aca="false">IF(AND('Choix pédagogiques'!$C$4&lt;&gt;"?",'Choix pédagogiques'!$C$5&lt;&gt;"?",AB564&lt;&gt;""),(AB564-'Choix pédagogiques'!$C$4)/('Choix pédagogiques'!$C$5-'Choix pédagogiques'!$C$4),"")</f>
        <v/>
      </c>
      <c r="AX564" s="55" t="str">
        <f aca="false">IF(AND('Choix pédagogiques'!$C$4&lt;&gt;"?",'Choix pédagogiques'!$C$5&lt;&gt;"?",AC564&lt;&gt;""),(AC564-'Choix pédagogiques'!$C$4)/('Choix pédagogiques'!$C$5-'Choix pédagogiques'!$C$4),"")</f>
        <v/>
      </c>
      <c r="AY564" s="55" t="str">
        <f aca="false">IF(AND('Choix pédagogiques'!$C$4&lt;&gt;"?",'Choix pédagogiques'!$C$5&lt;&gt;"?",AD564&lt;&gt;""),(AD564-'Choix pédagogiques'!$C$4)/('Choix pédagogiques'!$C$5-'Choix pédagogiques'!$C$4),"")</f>
        <v/>
      </c>
      <c r="AZ564" s="53" t="str">
        <f aca="false">IF($J564&lt;&gt;"",$J564,"")</f>
        <v/>
      </c>
      <c r="BA564" s="52" t="str">
        <f aca="false">IF($A564&lt;&gt;"",$A564,"")</f>
        <v>Apprenant 552</v>
      </c>
      <c r="BB564" s="55" t="str">
        <f aca="false">IF(AND($AR564&lt;&gt;"",$AS564&lt;&gt;""),$AS564-$AR564,"")</f>
        <v/>
      </c>
      <c r="BC564" s="55" t="str">
        <f aca="false">IF(AND($AR564&lt;&gt;"",$AT564&lt;&gt;""),$AT564-$AR564,"")</f>
        <v/>
      </c>
      <c r="BD564" s="55" t="str">
        <f aca="false">IF(AND($AS564&lt;&gt;"",$AT564&lt;&gt;""),$AT564-$AS564,"")</f>
        <v/>
      </c>
      <c r="BE564" s="53" t="str">
        <f aca="false">IF($E564&lt;&gt;"",$E564,"")</f>
        <v/>
      </c>
      <c r="BF564" s="52" t="str">
        <f aca="false">IF($F564&lt;&gt;"",$F564,"")</f>
        <v>Apprenant 552 ou 552'</v>
      </c>
      <c r="BG564" s="55" t="str">
        <f aca="false">IF(AND($AW564&lt;&gt;"",$AX564&lt;&gt;""),$AX564-$AW564,"")</f>
        <v/>
      </c>
      <c r="BH564" s="55" t="str">
        <f aca="false">IF(AND($AW564&lt;&gt;"",$AY564&lt;&gt;""),$AY564-$AW564,"")</f>
        <v/>
      </c>
      <c r="BI564" s="55" t="str">
        <f aca="false">IF(AND($AX564&lt;&gt;"",$AY564&lt;&gt;""),$AY564-$AX564,"")</f>
        <v/>
      </c>
      <c r="BJ564" s="53" t="str">
        <f aca="false">IF($J564&lt;&gt;"",$J564,"")</f>
        <v/>
      </c>
      <c r="BL564" s="52"/>
      <c r="BM564" s="52" t="str">
        <f aca="false">IF(OR(COUNT(B564:D1563)=0,AND('Choix pédagogiques'!$C$3&lt;&gt;1,'Choix pédagogiques'!$C$3&lt;&gt;2)),"",IF(AND(OR('Choix pédagogiques'!$C$3=1,'Choix pédagogiques'!$C$3=2),$B564&lt;&gt;"",$C564&lt;&gt;"",$D564&lt;&gt;""),1,0))</f>
        <v/>
      </c>
      <c r="BN564" s="52" t="str">
        <f aca="false">IF(OR(COUNT(G564:I1563)=0,AND('Choix pédagogiques'!$C$3&lt;&gt;1,'Choix pédagogiques'!$C$3&lt;&gt;2)),"",IF(AND(OR('Choix pédagogiques'!$C$3=1,'Choix pédagogiques'!$C$3=2),AND($G564&lt;&gt;"",$H564&lt;&gt;"",$I564&lt;&gt;"")),1,0))</f>
        <v/>
      </c>
      <c r="BO564" s="52" t="str">
        <f aca="false">IF(OR(COUNT(B564:D1563)=0,COUNT(G564:I1563)=0,'Choix pédagogiques'!C$3&lt;&gt;3),"",IF(AND('Choix pédagogiques'!$C$3=3,$B564&lt;&gt;"",$C564&lt;&gt;"",$D564&lt;&gt;"",$G564&lt;&gt;"",$H564&lt;&gt;"",$I564&lt;&gt;""),1,0))</f>
        <v/>
      </c>
      <c r="BR564" s="52" t="n">
        <v>885</v>
      </c>
      <c r="BS564" s="52" t="n">
        <v>1694</v>
      </c>
    </row>
    <row r="565" s="54" customFormat="true" ht="18" hidden="false" customHeight="true" outlineLevel="0" collapsed="false">
      <c r="A565" s="57" t="s">
        <v>1061</v>
      </c>
      <c r="B565" s="51"/>
      <c r="C565" s="51"/>
      <c r="D565" s="51"/>
      <c r="E565" s="51"/>
      <c r="F565" s="57" t="s">
        <v>1062</v>
      </c>
      <c r="G565" s="51"/>
      <c r="H565" s="51"/>
      <c r="I565" s="51"/>
      <c r="J565" s="51"/>
      <c r="K565" s="52" t="str">
        <f aca="false">IF($A565&lt;&gt;"",$A565,"")</f>
        <v>Apprenant 553</v>
      </c>
      <c r="L565" s="53" t="str">
        <f aca="false">IF(AND($B565&lt;&gt;"",$C565&lt;&gt;""),$C565-$B565,"")</f>
        <v/>
      </c>
      <c r="M565" s="53" t="str">
        <f aca="false">IF(AND($B565&lt;&gt;"",$D565&lt;&gt;""),$D565-$B565,"")</f>
        <v/>
      </c>
      <c r="N565" s="53" t="str">
        <f aca="false">IF(AND($C565&lt;&gt;"",$D565&lt;&gt;""),$D565-$C565,"")</f>
        <v/>
      </c>
      <c r="O565" s="53" t="str">
        <f aca="false">IF($E565&lt;&gt;"",$E565,"")</f>
        <v/>
      </c>
      <c r="P565" s="52" t="str">
        <f aca="false">IF($F565&lt;&gt;"",$F565,"")</f>
        <v>Apprenant 553 ou 553'</v>
      </c>
      <c r="Q565" s="53" t="str">
        <f aca="false">IF(AND($G565&lt;&gt;"",$H565&lt;&gt;""),$H565-$G565,"")</f>
        <v/>
      </c>
      <c r="R565" s="53" t="str">
        <f aca="false">IF(AND($G565&lt;&gt;"",$I565&lt;&gt;""),$I565-$G565,"")</f>
        <v/>
      </c>
      <c r="S565" s="53" t="str">
        <f aca="false">IF(AND($H565&lt;&gt;"",$I565&lt;&gt;""),$I565-$H565,"")</f>
        <v/>
      </c>
      <c r="T565" s="53" t="str">
        <f aca="false">IF($J565&lt;&gt;"",$J565,"")</f>
        <v/>
      </c>
      <c r="V565" s="52" t="str">
        <f aca="false">IF($A565&lt;&gt;"",$A565,"")</f>
        <v>Apprenant 553</v>
      </c>
      <c r="W565" s="53" t="str">
        <f aca="false">IF(AND(OR('Choix pédagogiques'!$C$3=1,'Choix pédagogiques'!$C$3=2),$BM565=1),B565,IF(AND('Choix pédagogiques'!$C$3=3,$BO565=1),B565,""))</f>
        <v/>
      </c>
      <c r="X565" s="53" t="str">
        <f aca="false">IF(AND(OR('Choix pédagogiques'!$C$3=1,'Choix pédagogiques'!$C$3=2),$BM565=1),C565,IF(AND('Choix pédagogiques'!$C$3=3,$BO565=1),C565,""))</f>
        <v/>
      </c>
      <c r="Y565" s="53" t="str">
        <f aca="false">IF(AND(OR('Choix pédagogiques'!$C$3=1,'Choix pédagogiques'!$C$3=2),$BM565=1),D565,IF(AND('Choix pédagogiques'!$C$3=3,$BO565=1),D565,""))</f>
        <v/>
      </c>
      <c r="Z565" s="53" t="str">
        <f aca="false">IF($E565&lt;&gt;"",$E565,"")</f>
        <v/>
      </c>
      <c r="AA565" s="52" t="str">
        <f aca="false">IF($F565&lt;&gt;"",$F565,"")</f>
        <v>Apprenant 553 ou 553'</v>
      </c>
      <c r="AB565" s="53" t="str">
        <f aca="false">IF(AND(OR('Choix pédagogiques'!$C$3=1,'Choix pédagogiques'!$C$3=2),$BN565=1),G565,IF(AND('Choix pédagogiques'!$C$3=3,$BO565=1),G565,""))</f>
        <v/>
      </c>
      <c r="AC565" s="53" t="str">
        <f aca="false">IF(AND(OR('Choix pédagogiques'!$C$3=1,'Choix pédagogiques'!$C$3=2),$BN565=1),H565,IF(AND('Choix pédagogiques'!$C$3=3,$BO565=1),H565,""))</f>
        <v/>
      </c>
      <c r="AD565" s="53" t="str">
        <f aca="false">IF(AND(OR('Choix pédagogiques'!$C$3=1,'Choix pédagogiques'!$C$3=2),$BN565=1),I565,IF(AND('Choix pédagogiques'!$C$3=3,$BO565=1),I565,""))</f>
        <v/>
      </c>
      <c r="AE565" s="53" t="str">
        <f aca="false">IF($J565&lt;&gt;"",$J565,"")</f>
        <v/>
      </c>
      <c r="AF565" s="52" t="str">
        <f aca="false">IF($A565&lt;&gt;"",$A565,"")</f>
        <v>Apprenant 553</v>
      </c>
      <c r="AG565" s="53" t="str">
        <f aca="false">IF(AND($W565&lt;&gt;"",$X565&lt;&gt;""),$X565-$W565,"")</f>
        <v/>
      </c>
      <c r="AH565" s="53" t="str">
        <f aca="false">IF(AND($W565&lt;&gt;"",$Y565&lt;&gt;""),$Y565-$W565,"")</f>
        <v/>
      </c>
      <c r="AI565" s="53" t="str">
        <f aca="false">IF(AND($X565&lt;&gt;"",$Y565&lt;&gt;""),$Y565-$X565,"")</f>
        <v/>
      </c>
      <c r="AJ565" s="53" t="str">
        <f aca="false">IF($E565&lt;&gt;"",$E565,"")</f>
        <v/>
      </c>
      <c r="AK565" s="52" t="str">
        <f aca="false">IF($F565&lt;&gt;"",$F565,"")</f>
        <v>Apprenant 553 ou 553'</v>
      </c>
      <c r="AL565" s="53" t="str">
        <f aca="false">IF(AND($AB565&lt;&gt;"",$AC565&lt;&gt;""),$AC565-$AB565,"")</f>
        <v/>
      </c>
      <c r="AM565" s="53" t="str">
        <f aca="false">IF(AND($AB565&lt;&gt;"",$AD565&lt;&gt;""),$AD565-$AB565,"")</f>
        <v/>
      </c>
      <c r="AN565" s="53" t="str">
        <f aca="false">IF(AND($AC565&lt;&gt;"",$AD565&lt;&gt;""),$AD565-$AC565,"")</f>
        <v/>
      </c>
      <c r="AO565" s="53" t="str">
        <f aca="false">IF($J565&lt;&gt;"",$J565,"")</f>
        <v/>
      </c>
      <c r="AQ565" s="52" t="str">
        <f aca="false">IF($A565&lt;&gt;"",$A565,"")</f>
        <v>Apprenant 553</v>
      </c>
      <c r="AR565" s="55" t="str">
        <f aca="false">IF(AND('Choix pédagogiques'!$C$4&lt;&gt;"?",'Choix pédagogiques'!$C$5&lt;&gt;"?",W565&lt;&gt;""),(W565-'Choix pédagogiques'!$C$4)/('Choix pédagogiques'!$C$5-'Choix pédagogiques'!$C$4),"")</f>
        <v/>
      </c>
      <c r="AS565" s="55" t="str">
        <f aca="false">IF(AND('Choix pédagogiques'!$C$4&lt;&gt;"?",'Choix pédagogiques'!$C$5&lt;&gt;"?",X565&lt;&gt;""),(X565-'Choix pédagogiques'!$C$4)/('Choix pédagogiques'!$C$5-'Choix pédagogiques'!$C$4),"")</f>
        <v/>
      </c>
      <c r="AT565" s="55" t="str">
        <f aca="false">IF(AND('Choix pédagogiques'!$C$4&lt;&gt;"?",'Choix pédagogiques'!$C$5&lt;&gt;"?",Y565&lt;&gt;""),(Y565-'Choix pédagogiques'!$C$4)/('Choix pédagogiques'!$C$5-'Choix pédagogiques'!$C$4),"")</f>
        <v/>
      </c>
      <c r="AU565" s="53" t="str">
        <f aca="false">IF($E565&lt;&gt;"",$E565,"")</f>
        <v/>
      </c>
      <c r="AV565" s="52" t="str">
        <f aca="false">IF($F565&lt;&gt;"",$F565,"")</f>
        <v>Apprenant 553 ou 553'</v>
      </c>
      <c r="AW565" s="55" t="str">
        <f aca="false">IF(AND('Choix pédagogiques'!$C$4&lt;&gt;"?",'Choix pédagogiques'!$C$5&lt;&gt;"?",AB565&lt;&gt;""),(AB565-'Choix pédagogiques'!$C$4)/('Choix pédagogiques'!$C$5-'Choix pédagogiques'!$C$4),"")</f>
        <v/>
      </c>
      <c r="AX565" s="55" t="str">
        <f aca="false">IF(AND('Choix pédagogiques'!$C$4&lt;&gt;"?",'Choix pédagogiques'!$C$5&lt;&gt;"?",AC565&lt;&gt;""),(AC565-'Choix pédagogiques'!$C$4)/('Choix pédagogiques'!$C$5-'Choix pédagogiques'!$C$4),"")</f>
        <v/>
      </c>
      <c r="AY565" s="55" t="str">
        <f aca="false">IF(AND('Choix pédagogiques'!$C$4&lt;&gt;"?",'Choix pédagogiques'!$C$5&lt;&gt;"?",AD565&lt;&gt;""),(AD565-'Choix pédagogiques'!$C$4)/('Choix pédagogiques'!$C$5-'Choix pédagogiques'!$C$4),"")</f>
        <v/>
      </c>
      <c r="AZ565" s="53" t="str">
        <f aca="false">IF($J565&lt;&gt;"",$J565,"")</f>
        <v/>
      </c>
      <c r="BA565" s="52" t="str">
        <f aca="false">IF($A565&lt;&gt;"",$A565,"")</f>
        <v>Apprenant 553</v>
      </c>
      <c r="BB565" s="55" t="str">
        <f aca="false">IF(AND($AR565&lt;&gt;"",$AS565&lt;&gt;""),$AS565-$AR565,"")</f>
        <v/>
      </c>
      <c r="BC565" s="55" t="str">
        <f aca="false">IF(AND($AR565&lt;&gt;"",$AT565&lt;&gt;""),$AT565-$AR565,"")</f>
        <v/>
      </c>
      <c r="BD565" s="55" t="str">
        <f aca="false">IF(AND($AS565&lt;&gt;"",$AT565&lt;&gt;""),$AT565-$AS565,"")</f>
        <v/>
      </c>
      <c r="BE565" s="53" t="str">
        <f aca="false">IF($E565&lt;&gt;"",$E565,"")</f>
        <v/>
      </c>
      <c r="BF565" s="52" t="str">
        <f aca="false">IF($F565&lt;&gt;"",$F565,"")</f>
        <v>Apprenant 553 ou 553'</v>
      </c>
      <c r="BG565" s="55" t="str">
        <f aca="false">IF(AND($AW565&lt;&gt;"",$AX565&lt;&gt;""),$AX565-$AW565,"")</f>
        <v/>
      </c>
      <c r="BH565" s="55" t="str">
        <f aca="false">IF(AND($AW565&lt;&gt;"",$AY565&lt;&gt;""),$AY565-$AW565,"")</f>
        <v/>
      </c>
      <c r="BI565" s="55" t="str">
        <f aca="false">IF(AND($AX565&lt;&gt;"",$AY565&lt;&gt;""),$AY565-$AX565,"")</f>
        <v/>
      </c>
      <c r="BJ565" s="53" t="str">
        <f aca="false">IF($J565&lt;&gt;"",$J565,"")</f>
        <v/>
      </c>
      <c r="BL565" s="52"/>
      <c r="BM565" s="52" t="str">
        <f aca="false">IF(OR(COUNT(B565:D1564)=0,AND('Choix pédagogiques'!$C$3&lt;&gt;1,'Choix pédagogiques'!$C$3&lt;&gt;2)),"",IF(AND(OR('Choix pédagogiques'!$C$3=1,'Choix pédagogiques'!$C$3=2),$B565&lt;&gt;"",$C565&lt;&gt;"",$D565&lt;&gt;""),1,0))</f>
        <v/>
      </c>
      <c r="BN565" s="52" t="str">
        <f aca="false">IF(OR(COUNT(G565:I1564)=0,AND('Choix pédagogiques'!$C$3&lt;&gt;1,'Choix pédagogiques'!$C$3&lt;&gt;2)),"",IF(AND(OR('Choix pédagogiques'!$C$3=1,'Choix pédagogiques'!$C$3=2),AND($G565&lt;&gt;"",$H565&lt;&gt;"",$I565&lt;&gt;"")),1,0))</f>
        <v/>
      </c>
      <c r="BO565" s="52" t="str">
        <f aca="false">IF(OR(COUNT(B565:D1564)=0,COUNT(G565:I1564)=0,'Choix pédagogiques'!C$3&lt;&gt;3),"",IF(AND('Choix pédagogiques'!$C$3=3,$B565&lt;&gt;"",$C565&lt;&gt;"",$D565&lt;&gt;"",$G565&lt;&gt;"",$H565&lt;&gt;"",$I565&lt;&gt;""),1,0))</f>
        <v/>
      </c>
      <c r="BR565" s="52" t="n">
        <v>366</v>
      </c>
      <c r="BS565" s="52" t="n">
        <v>1515</v>
      </c>
    </row>
    <row r="566" s="54" customFormat="true" ht="18" hidden="false" customHeight="true" outlineLevel="0" collapsed="false">
      <c r="A566" s="57" t="s">
        <v>1063</v>
      </c>
      <c r="B566" s="51"/>
      <c r="C566" s="51"/>
      <c r="D566" s="51"/>
      <c r="E566" s="51"/>
      <c r="F566" s="57" t="s">
        <v>1064</v>
      </c>
      <c r="G566" s="51"/>
      <c r="H566" s="51"/>
      <c r="I566" s="51"/>
      <c r="J566" s="51"/>
      <c r="K566" s="52" t="str">
        <f aca="false">IF($A566&lt;&gt;"",$A566,"")</f>
        <v>Apprenant 554</v>
      </c>
      <c r="L566" s="53" t="str">
        <f aca="false">IF(AND($B566&lt;&gt;"",$C566&lt;&gt;""),$C566-$B566,"")</f>
        <v/>
      </c>
      <c r="M566" s="53" t="str">
        <f aca="false">IF(AND($B566&lt;&gt;"",$D566&lt;&gt;""),$D566-$B566,"")</f>
        <v/>
      </c>
      <c r="N566" s="53" t="str">
        <f aca="false">IF(AND($C566&lt;&gt;"",$D566&lt;&gt;""),$D566-$C566,"")</f>
        <v/>
      </c>
      <c r="O566" s="53" t="str">
        <f aca="false">IF($E566&lt;&gt;"",$E566,"")</f>
        <v/>
      </c>
      <c r="P566" s="52" t="str">
        <f aca="false">IF($F566&lt;&gt;"",$F566,"")</f>
        <v>Apprenant 554 ou 554'</v>
      </c>
      <c r="Q566" s="53" t="str">
        <f aca="false">IF(AND($G566&lt;&gt;"",$H566&lt;&gt;""),$H566-$G566,"")</f>
        <v/>
      </c>
      <c r="R566" s="53" t="str">
        <f aca="false">IF(AND($G566&lt;&gt;"",$I566&lt;&gt;""),$I566-$G566,"")</f>
        <v/>
      </c>
      <c r="S566" s="53" t="str">
        <f aca="false">IF(AND($H566&lt;&gt;"",$I566&lt;&gt;""),$I566-$H566,"")</f>
        <v/>
      </c>
      <c r="T566" s="53" t="str">
        <f aca="false">IF($J566&lt;&gt;"",$J566,"")</f>
        <v/>
      </c>
      <c r="V566" s="52" t="str">
        <f aca="false">IF($A566&lt;&gt;"",$A566,"")</f>
        <v>Apprenant 554</v>
      </c>
      <c r="W566" s="53" t="str">
        <f aca="false">IF(AND(OR('Choix pédagogiques'!$C$3=1,'Choix pédagogiques'!$C$3=2),$BM566=1),B566,IF(AND('Choix pédagogiques'!$C$3=3,$BO566=1),B566,""))</f>
        <v/>
      </c>
      <c r="X566" s="53" t="str">
        <f aca="false">IF(AND(OR('Choix pédagogiques'!$C$3=1,'Choix pédagogiques'!$C$3=2),$BM566=1),C566,IF(AND('Choix pédagogiques'!$C$3=3,$BO566=1),C566,""))</f>
        <v/>
      </c>
      <c r="Y566" s="53" t="str">
        <f aca="false">IF(AND(OR('Choix pédagogiques'!$C$3=1,'Choix pédagogiques'!$C$3=2),$BM566=1),D566,IF(AND('Choix pédagogiques'!$C$3=3,$BO566=1),D566,""))</f>
        <v/>
      </c>
      <c r="Z566" s="53" t="str">
        <f aca="false">IF($E566&lt;&gt;"",$E566,"")</f>
        <v/>
      </c>
      <c r="AA566" s="52" t="str">
        <f aca="false">IF($F566&lt;&gt;"",$F566,"")</f>
        <v>Apprenant 554 ou 554'</v>
      </c>
      <c r="AB566" s="53" t="str">
        <f aca="false">IF(AND(OR('Choix pédagogiques'!$C$3=1,'Choix pédagogiques'!$C$3=2),$BN566=1),G566,IF(AND('Choix pédagogiques'!$C$3=3,$BO566=1),G566,""))</f>
        <v/>
      </c>
      <c r="AC566" s="53" t="str">
        <f aca="false">IF(AND(OR('Choix pédagogiques'!$C$3=1,'Choix pédagogiques'!$C$3=2),$BN566=1),H566,IF(AND('Choix pédagogiques'!$C$3=3,$BO566=1),H566,""))</f>
        <v/>
      </c>
      <c r="AD566" s="53" t="str">
        <f aca="false">IF(AND(OR('Choix pédagogiques'!$C$3=1,'Choix pédagogiques'!$C$3=2),$BN566=1),I566,IF(AND('Choix pédagogiques'!$C$3=3,$BO566=1),I566,""))</f>
        <v/>
      </c>
      <c r="AE566" s="53" t="str">
        <f aca="false">IF($J566&lt;&gt;"",$J566,"")</f>
        <v/>
      </c>
      <c r="AF566" s="52" t="str">
        <f aca="false">IF($A566&lt;&gt;"",$A566,"")</f>
        <v>Apprenant 554</v>
      </c>
      <c r="AG566" s="53" t="str">
        <f aca="false">IF(AND($W566&lt;&gt;"",$X566&lt;&gt;""),$X566-$W566,"")</f>
        <v/>
      </c>
      <c r="AH566" s="53" t="str">
        <f aca="false">IF(AND($W566&lt;&gt;"",$Y566&lt;&gt;""),$Y566-$W566,"")</f>
        <v/>
      </c>
      <c r="AI566" s="53" t="str">
        <f aca="false">IF(AND($X566&lt;&gt;"",$Y566&lt;&gt;""),$Y566-$X566,"")</f>
        <v/>
      </c>
      <c r="AJ566" s="53" t="str">
        <f aca="false">IF($E566&lt;&gt;"",$E566,"")</f>
        <v/>
      </c>
      <c r="AK566" s="52" t="str">
        <f aca="false">IF($F566&lt;&gt;"",$F566,"")</f>
        <v>Apprenant 554 ou 554'</v>
      </c>
      <c r="AL566" s="53" t="str">
        <f aca="false">IF(AND($AB566&lt;&gt;"",$AC566&lt;&gt;""),$AC566-$AB566,"")</f>
        <v/>
      </c>
      <c r="AM566" s="53" t="str">
        <f aca="false">IF(AND($AB566&lt;&gt;"",$AD566&lt;&gt;""),$AD566-$AB566,"")</f>
        <v/>
      </c>
      <c r="AN566" s="53" t="str">
        <f aca="false">IF(AND($AC566&lt;&gt;"",$AD566&lt;&gt;""),$AD566-$AC566,"")</f>
        <v/>
      </c>
      <c r="AO566" s="53" t="str">
        <f aca="false">IF($J566&lt;&gt;"",$J566,"")</f>
        <v/>
      </c>
      <c r="AQ566" s="52" t="str">
        <f aca="false">IF($A566&lt;&gt;"",$A566,"")</f>
        <v>Apprenant 554</v>
      </c>
      <c r="AR566" s="55" t="str">
        <f aca="false">IF(AND('Choix pédagogiques'!$C$4&lt;&gt;"?",'Choix pédagogiques'!$C$5&lt;&gt;"?",W566&lt;&gt;""),(W566-'Choix pédagogiques'!$C$4)/('Choix pédagogiques'!$C$5-'Choix pédagogiques'!$C$4),"")</f>
        <v/>
      </c>
      <c r="AS566" s="55" t="str">
        <f aca="false">IF(AND('Choix pédagogiques'!$C$4&lt;&gt;"?",'Choix pédagogiques'!$C$5&lt;&gt;"?",X566&lt;&gt;""),(X566-'Choix pédagogiques'!$C$4)/('Choix pédagogiques'!$C$5-'Choix pédagogiques'!$C$4),"")</f>
        <v/>
      </c>
      <c r="AT566" s="55" t="str">
        <f aca="false">IF(AND('Choix pédagogiques'!$C$4&lt;&gt;"?",'Choix pédagogiques'!$C$5&lt;&gt;"?",Y566&lt;&gt;""),(Y566-'Choix pédagogiques'!$C$4)/('Choix pédagogiques'!$C$5-'Choix pédagogiques'!$C$4),"")</f>
        <v/>
      </c>
      <c r="AU566" s="53" t="str">
        <f aca="false">IF($E566&lt;&gt;"",$E566,"")</f>
        <v/>
      </c>
      <c r="AV566" s="52" t="str">
        <f aca="false">IF($F566&lt;&gt;"",$F566,"")</f>
        <v>Apprenant 554 ou 554'</v>
      </c>
      <c r="AW566" s="55" t="str">
        <f aca="false">IF(AND('Choix pédagogiques'!$C$4&lt;&gt;"?",'Choix pédagogiques'!$C$5&lt;&gt;"?",AB566&lt;&gt;""),(AB566-'Choix pédagogiques'!$C$4)/('Choix pédagogiques'!$C$5-'Choix pédagogiques'!$C$4),"")</f>
        <v/>
      </c>
      <c r="AX566" s="55" t="str">
        <f aca="false">IF(AND('Choix pédagogiques'!$C$4&lt;&gt;"?",'Choix pédagogiques'!$C$5&lt;&gt;"?",AC566&lt;&gt;""),(AC566-'Choix pédagogiques'!$C$4)/('Choix pédagogiques'!$C$5-'Choix pédagogiques'!$C$4),"")</f>
        <v/>
      </c>
      <c r="AY566" s="55" t="str">
        <f aca="false">IF(AND('Choix pédagogiques'!$C$4&lt;&gt;"?",'Choix pédagogiques'!$C$5&lt;&gt;"?",AD566&lt;&gt;""),(AD566-'Choix pédagogiques'!$C$4)/('Choix pédagogiques'!$C$5-'Choix pédagogiques'!$C$4),"")</f>
        <v/>
      </c>
      <c r="AZ566" s="53" t="str">
        <f aca="false">IF($J566&lt;&gt;"",$J566,"")</f>
        <v/>
      </c>
      <c r="BA566" s="52" t="str">
        <f aca="false">IF($A566&lt;&gt;"",$A566,"")</f>
        <v>Apprenant 554</v>
      </c>
      <c r="BB566" s="55" t="str">
        <f aca="false">IF(AND($AR566&lt;&gt;"",$AS566&lt;&gt;""),$AS566-$AR566,"")</f>
        <v/>
      </c>
      <c r="BC566" s="55" t="str">
        <f aca="false">IF(AND($AR566&lt;&gt;"",$AT566&lt;&gt;""),$AT566-$AR566,"")</f>
        <v/>
      </c>
      <c r="BD566" s="55" t="str">
        <f aca="false">IF(AND($AS566&lt;&gt;"",$AT566&lt;&gt;""),$AT566-$AS566,"")</f>
        <v/>
      </c>
      <c r="BE566" s="53" t="str">
        <f aca="false">IF($E566&lt;&gt;"",$E566,"")</f>
        <v/>
      </c>
      <c r="BF566" s="52" t="str">
        <f aca="false">IF($F566&lt;&gt;"",$F566,"")</f>
        <v>Apprenant 554 ou 554'</v>
      </c>
      <c r="BG566" s="55" t="str">
        <f aca="false">IF(AND($AW566&lt;&gt;"",$AX566&lt;&gt;""),$AX566-$AW566,"")</f>
        <v/>
      </c>
      <c r="BH566" s="55" t="str">
        <f aca="false">IF(AND($AW566&lt;&gt;"",$AY566&lt;&gt;""),$AY566-$AW566,"")</f>
        <v/>
      </c>
      <c r="BI566" s="55" t="str">
        <f aca="false">IF(AND($AX566&lt;&gt;"",$AY566&lt;&gt;""),$AY566-$AX566,"")</f>
        <v/>
      </c>
      <c r="BJ566" s="53" t="str">
        <f aca="false">IF($J566&lt;&gt;"",$J566,"")</f>
        <v/>
      </c>
      <c r="BL566" s="52"/>
      <c r="BM566" s="52" t="str">
        <f aca="false">IF(OR(COUNT(B566:D1565)=0,AND('Choix pédagogiques'!$C$3&lt;&gt;1,'Choix pédagogiques'!$C$3&lt;&gt;2)),"",IF(AND(OR('Choix pédagogiques'!$C$3=1,'Choix pédagogiques'!$C$3=2),$B566&lt;&gt;"",$C566&lt;&gt;"",$D566&lt;&gt;""),1,0))</f>
        <v/>
      </c>
      <c r="BN566" s="52" t="str">
        <f aca="false">IF(OR(COUNT(G566:I1565)=0,AND('Choix pédagogiques'!$C$3&lt;&gt;1,'Choix pédagogiques'!$C$3&lt;&gt;2)),"",IF(AND(OR('Choix pédagogiques'!$C$3=1,'Choix pédagogiques'!$C$3=2),AND($G566&lt;&gt;"",$H566&lt;&gt;"",$I566&lt;&gt;"")),1,0))</f>
        <v/>
      </c>
      <c r="BO566" s="52" t="str">
        <f aca="false">IF(OR(COUNT(B566:D1565)=0,COUNT(G566:I1565)=0,'Choix pédagogiques'!C$3&lt;&gt;3),"",IF(AND('Choix pédagogiques'!$C$3=3,$B566&lt;&gt;"",$C566&lt;&gt;"",$D566&lt;&gt;"",$G566&lt;&gt;"",$H566&lt;&gt;"",$I566&lt;&gt;""),1,0))</f>
        <v/>
      </c>
      <c r="BR566" s="52" t="n">
        <v>997</v>
      </c>
      <c r="BS566" s="52" t="n">
        <v>1078</v>
      </c>
    </row>
    <row r="567" s="54" customFormat="true" ht="18" hidden="false" customHeight="true" outlineLevel="0" collapsed="false">
      <c r="A567" s="57" t="s">
        <v>1065</v>
      </c>
      <c r="B567" s="51"/>
      <c r="C567" s="51"/>
      <c r="D567" s="51"/>
      <c r="E567" s="51"/>
      <c r="F567" s="57" t="s">
        <v>1066</v>
      </c>
      <c r="G567" s="51"/>
      <c r="H567" s="51"/>
      <c r="I567" s="51"/>
      <c r="J567" s="51"/>
      <c r="K567" s="52" t="str">
        <f aca="false">IF($A567&lt;&gt;"",$A567,"")</f>
        <v>Apprenant 555</v>
      </c>
      <c r="L567" s="53" t="str">
        <f aca="false">IF(AND($B567&lt;&gt;"",$C567&lt;&gt;""),$C567-$B567,"")</f>
        <v/>
      </c>
      <c r="M567" s="53" t="str">
        <f aca="false">IF(AND($B567&lt;&gt;"",$D567&lt;&gt;""),$D567-$B567,"")</f>
        <v/>
      </c>
      <c r="N567" s="53" t="str">
        <f aca="false">IF(AND($C567&lt;&gt;"",$D567&lt;&gt;""),$D567-$C567,"")</f>
        <v/>
      </c>
      <c r="O567" s="53" t="str">
        <f aca="false">IF($E567&lt;&gt;"",$E567,"")</f>
        <v/>
      </c>
      <c r="P567" s="52" t="str">
        <f aca="false">IF($F567&lt;&gt;"",$F567,"")</f>
        <v>Apprenant 555 ou 555'</v>
      </c>
      <c r="Q567" s="53" t="str">
        <f aca="false">IF(AND($G567&lt;&gt;"",$H567&lt;&gt;""),$H567-$G567,"")</f>
        <v/>
      </c>
      <c r="R567" s="53" t="str">
        <f aca="false">IF(AND($G567&lt;&gt;"",$I567&lt;&gt;""),$I567-$G567,"")</f>
        <v/>
      </c>
      <c r="S567" s="53" t="str">
        <f aca="false">IF(AND($H567&lt;&gt;"",$I567&lt;&gt;""),$I567-$H567,"")</f>
        <v/>
      </c>
      <c r="T567" s="53" t="str">
        <f aca="false">IF($J567&lt;&gt;"",$J567,"")</f>
        <v/>
      </c>
      <c r="V567" s="52" t="str">
        <f aca="false">IF($A567&lt;&gt;"",$A567,"")</f>
        <v>Apprenant 555</v>
      </c>
      <c r="W567" s="53" t="str">
        <f aca="false">IF(AND(OR('Choix pédagogiques'!$C$3=1,'Choix pédagogiques'!$C$3=2),$BM567=1),B567,IF(AND('Choix pédagogiques'!$C$3=3,$BO567=1),B567,""))</f>
        <v/>
      </c>
      <c r="X567" s="53" t="str">
        <f aca="false">IF(AND(OR('Choix pédagogiques'!$C$3=1,'Choix pédagogiques'!$C$3=2),$BM567=1),C567,IF(AND('Choix pédagogiques'!$C$3=3,$BO567=1),C567,""))</f>
        <v/>
      </c>
      <c r="Y567" s="53" t="str">
        <f aca="false">IF(AND(OR('Choix pédagogiques'!$C$3=1,'Choix pédagogiques'!$C$3=2),$BM567=1),D567,IF(AND('Choix pédagogiques'!$C$3=3,$BO567=1),D567,""))</f>
        <v/>
      </c>
      <c r="Z567" s="53" t="str">
        <f aca="false">IF($E567&lt;&gt;"",$E567,"")</f>
        <v/>
      </c>
      <c r="AA567" s="52" t="str">
        <f aca="false">IF($F567&lt;&gt;"",$F567,"")</f>
        <v>Apprenant 555 ou 555'</v>
      </c>
      <c r="AB567" s="53" t="str">
        <f aca="false">IF(AND(OR('Choix pédagogiques'!$C$3=1,'Choix pédagogiques'!$C$3=2),$BN567=1),G567,IF(AND('Choix pédagogiques'!$C$3=3,$BO567=1),G567,""))</f>
        <v/>
      </c>
      <c r="AC567" s="53" t="str">
        <f aca="false">IF(AND(OR('Choix pédagogiques'!$C$3=1,'Choix pédagogiques'!$C$3=2),$BN567=1),H567,IF(AND('Choix pédagogiques'!$C$3=3,$BO567=1),H567,""))</f>
        <v/>
      </c>
      <c r="AD567" s="53" t="str">
        <f aca="false">IF(AND(OR('Choix pédagogiques'!$C$3=1,'Choix pédagogiques'!$C$3=2),$BN567=1),I567,IF(AND('Choix pédagogiques'!$C$3=3,$BO567=1),I567,""))</f>
        <v/>
      </c>
      <c r="AE567" s="53" t="str">
        <f aca="false">IF($J567&lt;&gt;"",$J567,"")</f>
        <v/>
      </c>
      <c r="AF567" s="52" t="str">
        <f aca="false">IF($A567&lt;&gt;"",$A567,"")</f>
        <v>Apprenant 555</v>
      </c>
      <c r="AG567" s="53" t="str">
        <f aca="false">IF(AND($W567&lt;&gt;"",$X567&lt;&gt;""),$X567-$W567,"")</f>
        <v/>
      </c>
      <c r="AH567" s="53" t="str">
        <f aca="false">IF(AND($W567&lt;&gt;"",$Y567&lt;&gt;""),$Y567-$W567,"")</f>
        <v/>
      </c>
      <c r="AI567" s="53" t="str">
        <f aca="false">IF(AND($X567&lt;&gt;"",$Y567&lt;&gt;""),$Y567-$X567,"")</f>
        <v/>
      </c>
      <c r="AJ567" s="53" t="str">
        <f aca="false">IF($E567&lt;&gt;"",$E567,"")</f>
        <v/>
      </c>
      <c r="AK567" s="52" t="str">
        <f aca="false">IF($F567&lt;&gt;"",$F567,"")</f>
        <v>Apprenant 555 ou 555'</v>
      </c>
      <c r="AL567" s="53" t="str">
        <f aca="false">IF(AND($AB567&lt;&gt;"",$AC567&lt;&gt;""),$AC567-$AB567,"")</f>
        <v/>
      </c>
      <c r="AM567" s="53" t="str">
        <f aca="false">IF(AND($AB567&lt;&gt;"",$AD567&lt;&gt;""),$AD567-$AB567,"")</f>
        <v/>
      </c>
      <c r="AN567" s="53" t="str">
        <f aca="false">IF(AND($AC567&lt;&gt;"",$AD567&lt;&gt;""),$AD567-$AC567,"")</f>
        <v/>
      </c>
      <c r="AO567" s="53" t="str">
        <f aca="false">IF($J567&lt;&gt;"",$J567,"")</f>
        <v/>
      </c>
      <c r="AQ567" s="52" t="str">
        <f aca="false">IF($A567&lt;&gt;"",$A567,"")</f>
        <v>Apprenant 555</v>
      </c>
      <c r="AR567" s="55" t="str">
        <f aca="false">IF(AND('Choix pédagogiques'!$C$4&lt;&gt;"?",'Choix pédagogiques'!$C$5&lt;&gt;"?",W567&lt;&gt;""),(W567-'Choix pédagogiques'!$C$4)/('Choix pédagogiques'!$C$5-'Choix pédagogiques'!$C$4),"")</f>
        <v/>
      </c>
      <c r="AS567" s="55" t="str">
        <f aca="false">IF(AND('Choix pédagogiques'!$C$4&lt;&gt;"?",'Choix pédagogiques'!$C$5&lt;&gt;"?",X567&lt;&gt;""),(X567-'Choix pédagogiques'!$C$4)/('Choix pédagogiques'!$C$5-'Choix pédagogiques'!$C$4),"")</f>
        <v/>
      </c>
      <c r="AT567" s="55" t="str">
        <f aca="false">IF(AND('Choix pédagogiques'!$C$4&lt;&gt;"?",'Choix pédagogiques'!$C$5&lt;&gt;"?",Y567&lt;&gt;""),(Y567-'Choix pédagogiques'!$C$4)/('Choix pédagogiques'!$C$5-'Choix pédagogiques'!$C$4),"")</f>
        <v/>
      </c>
      <c r="AU567" s="53" t="str">
        <f aca="false">IF($E567&lt;&gt;"",$E567,"")</f>
        <v/>
      </c>
      <c r="AV567" s="52" t="str">
        <f aca="false">IF($F567&lt;&gt;"",$F567,"")</f>
        <v>Apprenant 555 ou 555'</v>
      </c>
      <c r="AW567" s="55" t="str">
        <f aca="false">IF(AND('Choix pédagogiques'!$C$4&lt;&gt;"?",'Choix pédagogiques'!$C$5&lt;&gt;"?",AB567&lt;&gt;""),(AB567-'Choix pédagogiques'!$C$4)/('Choix pédagogiques'!$C$5-'Choix pédagogiques'!$C$4),"")</f>
        <v/>
      </c>
      <c r="AX567" s="55" t="str">
        <f aca="false">IF(AND('Choix pédagogiques'!$C$4&lt;&gt;"?",'Choix pédagogiques'!$C$5&lt;&gt;"?",AC567&lt;&gt;""),(AC567-'Choix pédagogiques'!$C$4)/('Choix pédagogiques'!$C$5-'Choix pédagogiques'!$C$4),"")</f>
        <v/>
      </c>
      <c r="AY567" s="55" t="str">
        <f aca="false">IF(AND('Choix pédagogiques'!$C$4&lt;&gt;"?",'Choix pédagogiques'!$C$5&lt;&gt;"?",AD567&lt;&gt;""),(AD567-'Choix pédagogiques'!$C$4)/('Choix pédagogiques'!$C$5-'Choix pédagogiques'!$C$4),"")</f>
        <v/>
      </c>
      <c r="AZ567" s="53" t="str">
        <f aca="false">IF($J567&lt;&gt;"",$J567,"")</f>
        <v/>
      </c>
      <c r="BA567" s="52" t="str">
        <f aca="false">IF($A567&lt;&gt;"",$A567,"")</f>
        <v>Apprenant 555</v>
      </c>
      <c r="BB567" s="55" t="str">
        <f aca="false">IF(AND($AR567&lt;&gt;"",$AS567&lt;&gt;""),$AS567-$AR567,"")</f>
        <v/>
      </c>
      <c r="BC567" s="55" t="str">
        <f aca="false">IF(AND($AR567&lt;&gt;"",$AT567&lt;&gt;""),$AT567-$AR567,"")</f>
        <v/>
      </c>
      <c r="BD567" s="55" t="str">
        <f aca="false">IF(AND($AS567&lt;&gt;"",$AT567&lt;&gt;""),$AT567-$AS567,"")</f>
        <v/>
      </c>
      <c r="BE567" s="53" t="str">
        <f aca="false">IF($E567&lt;&gt;"",$E567,"")</f>
        <v/>
      </c>
      <c r="BF567" s="52" t="str">
        <f aca="false">IF($F567&lt;&gt;"",$F567,"")</f>
        <v>Apprenant 555 ou 555'</v>
      </c>
      <c r="BG567" s="55" t="str">
        <f aca="false">IF(AND($AW567&lt;&gt;"",$AX567&lt;&gt;""),$AX567-$AW567,"")</f>
        <v/>
      </c>
      <c r="BH567" s="55" t="str">
        <f aca="false">IF(AND($AW567&lt;&gt;"",$AY567&lt;&gt;""),$AY567-$AW567,"")</f>
        <v/>
      </c>
      <c r="BI567" s="55" t="str">
        <f aca="false">IF(AND($AX567&lt;&gt;"",$AY567&lt;&gt;""),$AY567-$AX567,"")</f>
        <v/>
      </c>
      <c r="BJ567" s="53" t="str">
        <f aca="false">IF($J567&lt;&gt;"",$J567,"")</f>
        <v/>
      </c>
      <c r="BL567" s="52"/>
      <c r="BM567" s="52" t="str">
        <f aca="false">IF(OR(COUNT(B567:D1566)=0,AND('Choix pédagogiques'!$C$3&lt;&gt;1,'Choix pédagogiques'!$C$3&lt;&gt;2)),"",IF(AND(OR('Choix pédagogiques'!$C$3=1,'Choix pédagogiques'!$C$3=2),$B567&lt;&gt;"",$C567&lt;&gt;"",$D567&lt;&gt;""),1,0))</f>
        <v/>
      </c>
      <c r="BN567" s="52" t="str">
        <f aca="false">IF(OR(COUNT(G567:I1566)=0,AND('Choix pédagogiques'!$C$3&lt;&gt;1,'Choix pédagogiques'!$C$3&lt;&gt;2)),"",IF(AND(OR('Choix pédagogiques'!$C$3=1,'Choix pédagogiques'!$C$3=2),AND($G567&lt;&gt;"",$H567&lt;&gt;"",$I567&lt;&gt;"")),1,0))</f>
        <v/>
      </c>
      <c r="BO567" s="52" t="str">
        <f aca="false">IF(OR(COUNT(B567:D1566)=0,COUNT(G567:I1566)=0,'Choix pédagogiques'!C$3&lt;&gt;3),"",IF(AND('Choix pédagogiques'!$C$3=3,$B567&lt;&gt;"",$C567&lt;&gt;"",$D567&lt;&gt;"",$G567&lt;&gt;"",$H567&lt;&gt;"",$I567&lt;&gt;""),1,0))</f>
        <v/>
      </c>
      <c r="BR567" s="52" t="n">
        <v>58</v>
      </c>
      <c r="BS567" s="52" t="n">
        <v>1112</v>
      </c>
    </row>
    <row r="568" s="54" customFormat="true" ht="18" hidden="false" customHeight="true" outlineLevel="0" collapsed="false">
      <c r="A568" s="57" t="s">
        <v>1067</v>
      </c>
      <c r="B568" s="51"/>
      <c r="C568" s="51"/>
      <c r="D568" s="51"/>
      <c r="E568" s="51"/>
      <c r="F568" s="57" t="s">
        <v>1068</v>
      </c>
      <c r="G568" s="51"/>
      <c r="H568" s="51"/>
      <c r="I568" s="51"/>
      <c r="J568" s="51"/>
      <c r="K568" s="52" t="str">
        <f aca="false">IF($A568&lt;&gt;"",$A568,"")</f>
        <v>Apprenant 556</v>
      </c>
      <c r="L568" s="53" t="str">
        <f aca="false">IF(AND($B568&lt;&gt;"",$C568&lt;&gt;""),$C568-$B568,"")</f>
        <v/>
      </c>
      <c r="M568" s="53" t="str">
        <f aca="false">IF(AND($B568&lt;&gt;"",$D568&lt;&gt;""),$D568-$B568,"")</f>
        <v/>
      </c>
      <c r="N568" s="53" t="str">
        <f aca="false">IF(AND($C568&lt;&gt;"",$D568&lt;&gt;""),$D568-$C568,"")</f>
        <v/>
      </c>
      <c r="O568" s="53" t="str">
        <f aca="false">IF($E568&lt;&gt;"",$E568,"")</f>
        <v/>
      </c>
      <c r="P568" s="52" t="str">
        <f aca="false">IF($F568&lt;&gt;"",$F568,"")</f>
        <v>Apprenant 556 ou 556'</v>
      </c>
      <c r="Q568" s="53" t="str">
        <f aca="false">IF(AND($G568&lt;&gt;"",$H568&lt;&gt;""),$H568-$G568,"")</f>
        <v/>
      </c>
      <c r="R568" s="53" t="str">
        <f aca="false">IF(AND($G568&lt;&gt;"",$I568&lt;&gt;""),$I568-$G568,"")</f>
        <v/>
      </c>
      <c r="S568" s="53" t="str">
        <f aca="false">IF(AND($H568&lt;&gt;"",$I568&lt;&gt;""),$I568-$H568,"")</f>
        <v/>
      </c>
      <c r="T568" s="53" t="str">
        <f aca="false">IF($J568&lt;&gt;"",$J568,"")</f>
        <v/>
      </c>
      <c r="V568" s="52" t="str">
        <f aca="false">IF($A568&lt;&gt;"",$A568,"")</f>
        <v>Apprenant 556</v>
      </c>
      <c r="W568" s="53" t="str">
        <f aca="false">IF(AND(OR('Choix pédagogiques'!$C$3=1,'Choix pédagogiques'!$C$3=2),$BM568=1),B568,IF(AND('Choix pédagogiques'!$C$3=3,$BO568=1),B568,""))</f>
        <v/>
      </c>
      <c r="X568" s="53" t="str">
        <f aca="false">IF(AND(OR('Choix pédagogiques'!$C$3=1,'Choix pédagogiques'!$C$3=2),$BM568=1),C568,IF(AND('Choix pédagogiques'!$C$3=3,$BO568=1),C568,""))</f>
        <v/>
      </c>
      <c r="Y568" s="53" t="str">
        <f aca="false">IF(AND(OR('Choix pédagogiques'!$C$3=1,'Choix pédagogiques'!$C$3=2),$BM568=1),D568,IF(AND('Choix pédagogiques'!$C$3=3,$BO568=1),D568,""))</f>
        <v/>
      </c>
      <c r="Z568" s="53" t="str">
        <f aca="false">IF($E568&lt;&gt;"",$E568,"")</f>
        <v/>
      </c>
      <c r="AA568" s="52" t="str">
        <f aca="false">IF($F568&lt;&gt;"",$F568,"")</f>
        <v>Apprenant 556 ou 556'</v>
      </c>
      <c r="AB568" s="53" t="str">
        <f aca="false">IF(AND(OR('Choix pédagogiques'!$C$3=1,'Choix pédagogiques'!$C$3=2),$BN568=1),G568,IF(AND('Choix pédagogiques'!$C$3=3,$BO568=1),G568,""))</f>
        <v/>
      </c>
      <c r="AC568" s="53" t="str">
        <f aca="false">IF(AND(OR('Choix pédagogiques'!$C$3=1,'Choix pédagogiques'!$C$3=2),$BN568=1),H568,IF(AND('Choix pédagogiques'!$C$3=3,$BO568=1),H568,""))</f>
        <v/>
      </c>
      <c r="AD568" s="53" t="str">
        <f aca="false">IF(AND(OR('Choix pédagogiques'!$C$3=1,'Choix pédagogiques'!$C$3=2),$BN568=1),I568,IF(AND('Choix pédagogiques'!$C$3=3,$BO568=1),I568,""))</f>
        <v/>
      </c>
      <c r="AE568" s="53" t="str">
        <f aca="false">IF($J568&lt;&gt;"",$J568,"")</f>
        <v/>
      </c>
      <c r="AF568" s="52" t="str">
        <f aca="false">IF($A568&lt;&gt;"",$A568,"")</f>
        <v>Apprenant 556</v>
      </c>
      <c r="AG568" s="53" t="str">
        <f aca="false">IF(AND($W568&lt;&gt;"",$X568&lt;&gt;""),$X568-$W568,"")</f>
        <v/>
      </c>
      <c r="AH568" s="53" t="str">
        <f aca="false">IF(AND($W568&lt;&gt;"",$Y568&lt;&gt;""),$Y568-$W568,"")</f>
        <v/>
      </c>
      <c r="AI568" s="53" t="str">
        <f aca="false">IF(AND($X568&lt;&gt;"",$Y568&lt;&gt;""),$Y568-$X568,"")</f>
        <v/>
      </c>
      <c r="AJ568" s="53" t="str">
        <f aca="false">IF($E568&lt;&gt;"",$E568,"")</f>
        <v/>
      </c>
      <c r="AK568" s="52" t="str">
        <f aca="false">IF($F568&lt;&gt;"",$F568,"")</f>
        <v>Apprenant 556 ou 556'</v>
      </c>
      <c r="AL568" s="53" t="str">
        <f aca="false">IF(AND($AB568&lt;&gt;"",$AC568&lt;&gt;""),$AC568-$AB568,"")</f>
        <v/>
      </c>
      <c r="AM568" s="53" t="str">
        <f aca="false">IF(AND($AB568&lt;&gt;"",$AD568&lt;&gt;""),$AD568-$AB568,"")</f>
        <v/>
      </c>
      <c r="AN568" s="53" t="str">
        <f aca="false">IF(AND($AC568&lt;&gt;"",$AD568&lt;&gt;""),$AD568-$AC568,"")</f>
        <v/>
      </c>
      <c r="AO568" s="53" t="str">
        <f aca="false">IF($J568&lt;&gt;"",$J568,"")</f>
        <v/>
      </c>
      <c r="AQ568" s="52" t="str">
        <f aca="false">IF($A568&lt;&gt;"",$A568,"")</f>
        <v>Apprenant 556</v>
      </c>
      <c r="AR568" s="55" t="str">
        <f aca="false">IF(AND('Choix pédagogiques'!$C$4&lt;&gt;"?",'Choix pédagogiques'!$C$5&lt;&gt;"?",W568&lt;&gt;""),(W568-'Choix pédagogiques'!$C$4)/('Choix pédagogiques'!$C$5-'Choix pédagogiques'!$C$4),"")</f>
        <v/>
      </c>
      <c r="AS568" s="55" t="str">
        <f aca="false">IF(AND('Choix pédagogiques'!$C$4&lt;&gt;"?",'Choix pédagogiques'!$C$5&lt;&gt;"?",X568&lt;&gt;""),(X568-'Choix pédagogiques'!$C$4)/('Choix pédagogiques'!$C$5-'Choix pédagogiques'!$C$4),"")</f>
        <v/>
      </c>
      <c r="AT568" s="55" t="str">
        <f aca="false">IF(AND('Choix pédagogiques'!$C$4&lt;&gt;"?",'Choix pédagogiques'!$C$5&lt;&gt;"?",Y568&lt;&gt;""),(Y568-'Choix pédagogiques'!$C$4)/('Choix pédagogiques'!$C$5-'Choix pédagogiques'!$C$4),"")</f>
        <v/>
      </c>
      <c r="AU568" s="53" t="str">
        <f aca="false">IF($E568&lt;&gt;"",$E568,"")</f>
        <v/>
      </c>
      <c r="AV568" s="52" t="str">
        <f aca="false">IF($F568&lt;&gt;"",$F568,"")</f>
        <v>Apprenant 556 ou 556'</v>
      </c>
      <c r="AW568" s="55" t="str">
        <f aca="false">IF(AND('Choix pédagogiques'!$C$4&lt;&gt;"?",'Choix pédagogiques'!$C$5&lt;&gt;"?",AB568&lt;&gt;""),(AB568-'Choix pédagogiques'!$C$4)/('Choix pédagogiques'!$C$5-'Choix pédagogiques'!$C$4),"")</f>
        <v/>
      </c>
      <c r="AX568" s="55" t="str">
        <f aca="false">IF(AND('Choix pédagogiques'!$C$4&lt;&gt;"?",'Choix pédagogiques'!$C$5&lt;&gt;"?",AC568&lt;&gt;""),(AC568-'Choix pédagogiques'!$C$4)/('Choix pédagogiques'!$C$5-'Choix pédagogiques'!$C$4),"")</f>
        <v/>
      </c>
      <c r="AY568" s="55" t="str">
        <f aca="false">IF(AND('Choix pédagogiques'!$C$4&lt;&gt;"?",'Choix pédagogiques'!$C$5&lt;&gt;"?",AD568&lt;&gt;""),(AD568-'Choix pédagogiques'!$C$4)/('Choix pédagogiques'!$C$5-'Choix pédagogiques'!$C$4),"")</f>
        <v/>
      </c>
      <c r="AZ568" s="53" t="str">
        <f aca="false">IF($J568&lt;&gt;"",$J568,"")</f>
        <v/>
      </c>
      <c r="BA568" s="52" t="str">
        <f aca="false">IF($A568&lt;&gt;"",$A568,"")</f>
        <v>Apprenant 556</v>
      </c>
      <c r="BB568" s="55" t="str">
        <f aca="false">IF(AND($AR568&lt;&gt;"",$AS568&lt;&gt;""),$AS568-$AR568,"")</f>
        <v/>
      </c>
      <c r="BC568" s="55" t="str">
        <f aca="false">IF(AND($AR568&lt;&gt;"",$AT568&lt;&gt;""),$AT568-$AR568,"")</f>
        <v/>
      </c>
      <c r="BD568" s="55" t="str">
        <f aca="false">IF(AND($AS568&lt;&gt;"",$AT568&lt;&gt;""),$AT568-$AS568,"")</f>
        <v/>
      </c>
      <c r="BE568" s="53" t="str">
        <f aca="false">IF($E568&lt;&gt;"",$E568,"")</f>
        <v/>
      </c>
      <c r="BF568" s="52" t="str">
        <f aca="false">IF($F568&lt;&gt;"",$F568,"")</f>
        <v>Apprenant 556 ou 556'</v>
      </c>
      <c r="BG568" s="55" t="str">
        <f aca="false">IF(AND($AW568&lt;&gt;"",$AX568&lt;&gt;""),$AX568-$AW568,"")</f>
        <v/>
      </c>
      <c r="BH568" s="55" t="str">
        <f aca="false">IF(AND($AW568&lt;&gt;"",$AY568&lt;&gt;""),$AY568-$AW568,"")</f>
        <v/>
      </c>
      <c r="BI568" s="55" t="str">
        <f aca="false">IF(AND($AX568&lt;&gt;"",$AY568&lt;&gt;""),$AY568-$AX568,"")</f>
        <v/>
      </c>
      <c r="BJ568" s="53" t="str">
        <f aca="false">IF($J568&lt;&gt;"",$J568,"")</f>
        <v/>
      </c>
      <c r="BL568" s="52"/>
      <c r="BM568" s="52" t="str">
        <f aca="false">IF(OR(COUNT(B568:D1567)=0,AND('Choix pédagogiques'!$C$3&lt;&gt;1,'Choix pédagogiques'!$C$3&lt;&gt;2)),"",IF(AND(OR('Choix pédagogiques'!$C$3=1,'Choix pédagogiques'!$C$3=2),$B568&lt;&gt;"",$C568&lt;&gt;"",$D568&lt;&gt;""),1,0))</f>
        <v/>
      </c>
      <c r="BN568" s="52" t="str">
        <f aca="false">IF(OR(COUNT(G568:I1567)=0,AND('Choix pédagogiques'!$C$3&lt;&gt;1,'Choix pédagogiques'!$C$3&lt;&gt;2)),"",IF(AND(OR('Choix pédagogiques'!$C$3=1,'Choix pédagogiques'!$C$3=2),AND($G568&lt;&gt;"",$H568&lt;&gt;"",$I568&lt;&gt;"")),1,0))</f>
        <v/>
      </c>
      <c r="BO568" s="52" t="str">
        <f aca="false">IF(OR(COUNT(B568:D1567)=0,COUNT(G568:I1567)=0,'Choix pédagogiques'!C$3&lt;&gt;3),"",IF(AND('Choix pédagogiques'!$C$3=3,$B568&lt;&gt;"",$C568&lt;&gt;"",$D568&lt;&gt;"",$G568&lt;&gt;"",$H568&lt;&gt;"",$I568&lt;&gt;""),1,0))</f>
        <v/>
      </c>
      <c r="BR568" s="52" t="n">
        <v>400</v>
      </c>
      <c r="BS568" s="52" t="n">
        <v>1599</v>
      </c>
    </row>
    <row r="569" s="54" customFormat="true" ht="18" hidden="false" customHeight="true" outlineLevel="0" collapsed="false">
      <c r="A569" s="57" t="s">
        <v>1069</v>
      </c>
      <c r="B569" s="51"/>
      <c r="C569" s="51"/>
      <c r="D569" s="51"/>
      <c r="E569" s="51"/>
      <c r="F569" s="57" t="s">
        <v>1070</v>
      </c>
      <c r="G569" s="51"/>
      <c r="H569" s="51"/>
      <c r="I569" s="51"/>
      <c r="J569" s="51"/>
      <c r="K569" s="52" t="str">
        <f aca="false">IF($A569&lt;&gt;"",$A569,"")</f>
        <v>Apprenant 557</v>
      </c>
      <c r="L569" s="53" t="str">
        <f aca="false">IF(AND($B569&lt;&gt;"",$C569&lt;&gt;""),$C569-$B569,"")</f>
        <v/>
      </c>
      <c r="M569" s="53" t="str">
        <f aca="false">IF(AND($B569&lt;&gt;"",$D569&lt;&gt;""),$D569-$B569,"")</f>
        <v/>
      </c>
      <c r="N569" s="53" t="str">
        <f aca="false">IF(AND($C569&lt;&gt;"",$D569&lt;&gt;""),$D569-$C569,"")</f>
        <v/>
      </c>
      <c r="O569" s="53" t="str">
        <f aca="false">IF($E569&lt;&gt;"",$E569,"")</f>
        <v/>
      </c>
      <c r="P569" s="52" t="str">
        <f aca="false">IF($F569&lt;&gt;"",$F569,"")</f>
        <v>Apprenant 557 ou 557'</v>
      </c>
      <c r="Q569" s="53" t="str">
        <f aca="false">IF(AND($G569&lt;&gt;"",$H569&lt;&gt;""),$H569-$G569,"")</f>
        <v/>
      </c>
      <c r="R569" s="53" t="str">
        <f aca="false">IF(AND($G569&lt;&gt;"",$I569&lt;&gt;""),$I569-$G569,"")</f>
        <v/>
      </c>
      <c r="S569" s="53" t="str">
        <f aca="false">IF(AND($H569&lt;&gt;"",$I569&lt;&gt;""),$I569-$H569,"")</f>
        <v/>
      </c>
      <c r="T569" s="53" t="str">
        <f aca="false">IF($J569&lt;&gt;"",$J569,"")</f>
        <v/>
      </c>
      <c r="V569" s="52" t="str">
        <f aca="false">IF($A569&lt;&gt;"",$A569,"")</f>
        <v>Apprenant 557</v>
      </c>
      <c r="W569" s="53" t="str">
        <f aca="false">IF(AND(OR('Choix pédagogiques'!$C$3=1,'Choix pédagogiques'!$C$3=2),$BM569=1),B569,IF(AND('Choix pédagogiques'!$C$3=3,$BO569=1),B569,""))</f>
        <v/>
      </c>
      <c r="X569" s="53" t="str">
        <f aca="false">IF(AND(OR('Choix pédagogiques'!$C$3=1,'Choix pédagogiques'!$C$3=2),$BM569=1),C569,IF(AND('Choix pédagogiques'!$C$3=3,$BO569=1),C569,""))</f>
        <v/>
      </c>
      <c r="Y569" s="53" t="str">
        <f aca="false">IF(AND(OR('Choix pédagogiques'!$C$3=1,'Choix pédagogiques'!$C$3=2),$BM569=1),D569,IF(AND('Choix pédagogiques'!$C$3=3,$BO569=1),D569,""))</f>
        <v/>
      </c>
      <c r="Z569" s="53" t="str">
        <f aca="false">IF($E569&lt;&gt;"",$E569,"")</f>
        <v/>
      </c>
      <c r="AA569" s="52" t="str">
        <f aca="false">IF($F569&lt;&gt;"",$F569,"")</f>
        <v>Apprenant 557 ou 557'</v>
      </c>
      <c r="AB569" s="53" t="str">
        <f aca="false">IF(AND(OR('Choix pédagogiques'!$C$3=1,'Choix pédagogiques'!$C$3=2),$BN569=1),G569,IF(AND('Choix pédagogiques'!$C$3=3,$BO569=1),G569,""))</f>
        <v/>
      </c>
      <c r="AC569" s="53" t="str">
        <f aca="false">IF(AND(OR('Choix pédagogiques'!$C$3=1,'Choix pédagogiques'!$C$3=2),$BN569=1),H569,IF(AND('Choix pédagogiques'!$C$3=3,$BO569=1),H569,""))</f>
        <v/>
      </c>
      <c r="AD569" s="53" t="str">
        <f aca="false">IF(AND(OR('Choix pédagogiques'!$C$3=1,'Choix pédagogiques'!$C$3=2),$BN569=1),I569,IF(AND('Choix pédagogiques'!$C$3=3,$BO569=1),I569,""))</f>
        <v/>
      </c>
      <c r="AE569" s="53" t="str">
        <f aca="false">IF($J569&lt;&gt;"",$J569,"")</f>
        <v/>
      </c>
      <c r="AF569" s="52" t="str">
        <f aca="false">IF($A569&lt;&gt;"",$A569,"")</f>
        <v>Apprenant 557</v>
      </c>
      <c r="AG569" s="53" t="str">
        <f aca="false">IF(AND($W569&lt;&gt;"",$X569&lt;&gt;""),$X569-$W569,"")</f>
        <v/>
      </c>
      <c r="AH569" s="53" t="str">
        <f aca="false">IF(AND($W569&lt;&gt;"",$Y569&lt;&gt;""),$Y569-$W569,"")</f>
        <v/>
      </c>
      <c r="AI569" s="53" t="str">
        <f aca="false">IF(AND($X569&lt;&gt;"",$Y569&lt;&gt;""),$Y569-$X569,"")</f>
        <v/>
      </c>
      <c r="AJ569" s="53" t="str">
        <f aca="false">IF($E569&lt;&gt;"",$E569,"")</f>
        <v/>
      </c>
      <c r="AK569" s="52" t="str">
        <f aca="false">IF($F569&lt;&gt;"",$F569,"")</f>
        <v>Apprenant 557 ou 557'</v>
      </c>
      <c r="AL569" s="53" t="str">
        <f aca="false">IF(AND($AB569&lt;&gt;"",$AC569&lt;&gt;""),$AC569-$AB569,"")</f>
        <v/>
      </c>
      <c r="AM569" s="53" t="str">
        <f aca="false">IF(AND($AB569&lt;&gt;"",$AD569&lt;&gt;""),$AD569-$AB569,"")</f>
        <v/>
      </c>
      <c r="AN569" s="53" t="str">
        <f aca="false">IF(AND($AC569&lt;&gt;"",$AD569&lt;&gt;""),$AD569-$AC569,"")</f>
        <v/>
      </c>
      <c r="AO569" s="53" t="str">
        <f aca="false">IF($J569&lt;&gt;"",$J569,"")</f>
        <v/>
      </c>
      <c r="AQ569" s="52" t="str">
        <f aca="false">IF($A569&lt;&gt;"",$A569,"")</f>
        <v>Apprenant 557</v>
      </c>
      <c r="AR569" s="55" t="str">
        <f aca="false">IF(AND('Choix pédagogiques'!$C$4&lt;&gt;"?",'Choix pédagogiques'!$C$5&lt;&gt;"?",W569&lt;&gt;""),(W569-'Choix pédagogiques'!$C$4)/('Choix pédagogiques'!$C$5-'Choix pédagogiques'!$C$4),"")</f>
        <v/>
      </c>
      <c r="AS569" s="55" t="str">
        <f aca="false">IF(AND('Choix pédagogiques'!$C$4&lt;&gt;"?",'Choix pédagogiques'!$C$5&lt;&gt;"?",X569&lt;&gt;""),(X569-'Choix pédagogiques'!$C$4)/('Choix pédagogiques'!$C$5-'Choix pédagogiques'!$C$4),"")</f>
        <v/>
      </c>
      <c r="AT569" s="55" t="str">
        <f aca="false">IF(AND('Choix pédagogiques'!$C$4&lt;&gt;"?",'Choix pédagogiques'!$C$5&lt;&gt;"?",Y569&lt;&gt;""),(Y569-'Choix pédagogiques'!$C$4)/('Choix pédagogiques'!$C$5-'Choix pédagogiques'!$C$4),"")</f>
        <v/>
      </c>
      <c r="AU569" s="53" t="str">
        <f aca="false">IF($E569&lt;&gt;"",$E569,"")</f>
        <v/>
      </c>
      <c r="AV569" s="52" t="str">
        <f aca="false">IF($F569&lt;&gt;"",$F569,"")</f>
        <v>Apprenant 557 ou 557'</v>
      </c>
      <c r="AW569" s="55" t="str">
        <f aca="false">IF(AND('Choix pédagogiques'!$C$4&lt;&gt;"?",'Choix pédagogiques'!$C$5&lt;&gt;"?",AB569&lt;&gt;""),(AB569-'Choix pédagogiques'!$C$4)/('Choix pédagogiques'!$C$5-'Choix pédagogiques'!$C$4),"")</f>
        <v/>
      </c>
      <c r="AX569" s="55" t="str">
        <f aca="false">IF(AND('Choix pédagogiques'!$C$4&lt;&gt;"?",'Choix pédagogiques'!$C$5&lt;&gt;"?",AC569&lt;&gt;""),(AC569-'Choix pédagogiques'!$C$4)/('Choix pédagogiques'!$C$5-'Choix pédagogiques'!$C$4),"")</f>
        <v/>
      </c>
      <c r="AY569" s="55" t="str">
        <f aca="false">IF(AND('Choix pédagogiques'!$C$4&lt;&gt;"?",'Choix pédagogiques'!$C$5&lt;&gt;"?",AD569&lt;&gt;""),(AD569-'Choix pédagogiques'!$C$4)/('Choix pédagogiques'!$C$5-'Choix pédagogiques'!$C$4),"")</f>
        <v/>
      </c>
      <c r="AZ569" s="53" t="str">
        <f aca="false">IF($J569&lt;&gt;"",$J569,"")</f>
        <v/>
      </c>
      <c r="BA569" s="52" t="str">
        <f aca="false">IF($A569&lt;&gt;"",$A569,"")</f>
        <v>Apprenant 557</v>
      </c>
      <c r="BB569" s="55" t="str">
        <f aca="false">IF(AND($AR569&lt;&gt;"",$AS569&lt;&gt;""),$AS569-$AR569,"")</f>
        <v/>
      </c>
      <c r="BC569" s="55" t="str">
        <f aca="false">IF(AND($AR569&lt;&gt;"",$AT569&lt;&gt;""),$AT569-$AR569,"")</f>
        <v/>
      </c>
      <c r="BD569" s="55" t="str">
        <f aca="false">IF(AND($AS569&lt;&gt;"",$AT569&lt;&gt;""),$AT569-$AS569,"")</f>
        <v/>
      </c>
      <c r="BE569" s="53" t="str">
        <f aca="false">IF($E569&lt;&gt;"",$E569,"")</f>
        <v/>
      </c>
      <c r="BF569" s="52" t="str">
        <f aca="false">IF($F569&lt;&gt;"",$F569,"")</f>
        <v>Apprenant 557 ou 557'</v>
      </c>
      <c r="BG569" s="55" t="str">
        <f aca="false">IF(AND($AW569&lt;&gt;"",$AX569&lt;&gt;""),$AX569-$AW569,"")</f>
        <v/>
      </c>
      <c r="BH569" s="55" t="str">
        <f aca="false">IF(AND($AW569&lt;&gt;"",$AY569&lt;&gt;""),$AY569-$AW569,"")</f>
        <v/>
      </c>
      <c r="BI569" s="55" t="str">
        <f aca="false">IF(AND($AX569&lt;&gt;"",$AY569&lt;&gt;""),$AY569-$AX569,"")</f>
        <v/>
      </c>
      <c r="BJ569" s="53" t="str">
        <f aca="false">IF($J569&lt;&gt;"",$J569,"")</f>
        <v/>
      </c>
      <c r="BL569" s="52"/>
      <c r="BM569" s="52" t="str">
        <f aca="false">IF(OR(COUNT(B569:D1568)=0,AND('Choix pédagogiques'!$C$3&lt;&gt;1,'Choix pédagogiques'!$C$3&lt;&gt;2)),"",IF(AND(OR('Choix pédagogiques'!$C$3=1,'Choix pédagogiques'!$C$3=2),$B569&lt;&gt;"",$C569&lt;&gt;"",$D569&lt;&gt;""),1,0))</f>
        <v/>
      </c>
      <c r="BN569" s="52" t="str">
        <f aca="false">IF(OR(COUNT(G569:I1568)=0,AND('Choix pédagogiques'!$C$3&lt;&gt;1,'Choix pédagogiques'!$C$3&lt;&gt;2)),"",IF(AND(OR('Choix pédagogiques'!$C$3=1,'Choix pédagogiques'!$C$3=2),AND($G569&lt;&gt;"",$H569&lt;&gt;"",$I569&lt;&gt;"")),1,0))</f>
        <v/>
      </c>
      <c r="BO569" s="52" t="str">
        <f aca="false">IF(OR(COUNT(B569:D1568)=0,COUNT(G569:I1568)=0,'Choix pédagogiques'!C$3&lt;&gt;3),"",IF(AND('Choix pédagogiques'!$C$3=3,$B569&lt;&gt;"",$C569&lt;&gt;"",$D569&lt;&gt;"",$G569&lt;&gt;"",$H569&lt;&gt;"",$I569&lt;&gt;""),1,0))</f>
        <v/>
      </c>
      <c r="BR569" s="52" t="n">
        <v>176</v>
      </c>
      <c r="BS569" s="52" t="n">
        <v>1382</v>
      </c>
    </row>
    <row r="570" s="54" customFormat="true" ht="18" hidden="false" customHeight="true" outlineLevel="0" collapsed="false">
      <c r="A570" s="57" t="s">
        <v>1071</v>
      </c>
      <c r="B570" s="51"/>
      <c r="C570" s="51"/>
      <c r="D570" s="51"/>
      <c r="E570" s="51"/>
      <c r="F570" s="57" t="s">
        <v>1072</v>
      </c>
      <c r="G570" s="51"/>
      <c r="H570" s="51"/>
      <c r="I570" s="51"/>
      <c r="J570" s="51"/>
      <c r="K570" s="52" t="str">
        <f aca="false">IF($A570&lt;&gt;"",$A570,"")</f>
        <v>Apprenant 558</v>
      </c>
      <c r="L570" s="53" t="str">
        <f aca="false">IF(AND($B570&lt;&gt;"",$C570&lt;&gt;""),$C570-$B570,"")</f>
        <v/>
      </c>
      <c r="M570" s="53" t="str">
        <f aca="false">IF(AND($B570&lt;&gt;"",$D570&lt;&gt;""),$D570-$B570,"")</f>
        <v/>
      </c>
      <c r="N570" s="53" t="str">
        <f aca="false">IF(AND($C570&lt;&gt;"",$D570&lt;&gt;""),$D570-$C570,"")</f>
        <v/>
      </c>
      <c r="O570" s="53" t="str">
        <f aca="false">IF($E570&lt;&gt;"",$E570,"")</f>
        <v/>
      </c>
      <c r="P570" s="52" t="str">
        <f aca="false">IF($F570&lt;&gt;"",$F570,"")</f>
        <v>Apprenant 558 ou 558'</v>
      </c>
      <c r="Q570" s="53" t="str">
        <f aca="false">IF(AND($G570&lt;&gt;"",$H570&lt;&gt;""),$H570-$G570,"")</f>
        <v/>
      </c>
      <c r="R570" s="53" t="str">
        <f aca="false">IF(AND($G570&lt;&gt;"",$I570&lt;&gt;""),$I570-$G570,"")</f>
        <v/>
      </c>
      <c r="S570" s="53" t="str">
        <f aca="false">IF(AND($H570&lt;&gt;"",$I570&lt;&gt;""),$I570-$H570,"")</f>
        <v/>
      </c>
      <c r="T570" s="53" t="str">
        <f aca="false">IF($J570&lt;&gt;"",$J570,"")</f>
        <v/>
      </c>
      <c r="V570" s="52" t="str">
        <f aca="false">IF($A570&lt;&gt;"",$A570,"")</f>
        <v>Apprenant 558</v>
      </c>
      <c r="W570" s="53" t="str">
        <f aca="false">IF(AND(OR('Choix pédagogiques'!$C$3=1,'Choix pédagogiques'!$C$3=2),$BM570=1),B570,IF(AND('Choix pédagogiques'!$C$3=3,$BO570=1),B570,""))</f>
        <v/>
      </c>
      <c r="X570" s="53" t="str">
        <f aca="false">IF(AND(OR('Choix pédagogiques'!$C$3=1,'Choix pédagogiques'!$C$3=2),$BM570=1),C570,IF(AND('Choix pédagogiques'!$C$3=3,$BO570=1),C570,""))</f>
        <v/>
      </c>
      <c r="Y570" s="53" t="str">
        <f aca="false">IF(AND(OR('Choix pédagogiques'!$C$3=1,'Choix pédagogiques'!$C$3=2),$BM570=1),D570,IF(AND('Choix pédagogiques'!$C$3=3,$BO570=1),D570,""))</f>
        <v/>
      </c>
      <c r="Z570" s="53" t="str">
        <f aca="false">IF($E570&lt;&gt;"",$E570,"")</f>
        <v/>
      </c>
      <c r="AA570" s="52" t="str">
        <f aca="false">IF($F570&lt;&gt;"",$F570,"")</f>
        <v>Apprenant 558 ou 558'</v>
      </c>
      <c r="AB570" s="53" t="str">
        <f aca="false">IF(AND(OR('Choix pédagogiques'!$C$3=1,'Choix pédagogiques'!$C$3=2),$BN570=1),G570,IF(AND('Choix pédagogiques'!$C$3=3,$BO570=1),G570,""))</f>
        <v/>
      </c>
      <c r="AC570" s="53" t="str">
        <f aca="false">IF(AND(OR('Choix pédagogiques'!$C$3=1,'Choix pédagogiques'!$C$3=2),$BN570=1),H570,IF(AND('Choix pédagogiques'!$C$3=3,$BO570=1),H570,""))</f>
        <v/>
      </c>
      <c r="AD570" s="53" t="str">
        <f aca="false">IF(AND(OR('Choix pédagogiques'!$C$3=1,'Choix pédagogiques'!$C$3=2),$BN570=1),I570,IF(AND('Choix pédagogiques'!$C$3=3,$BO570=1),I570,""))</f>
        <v/>
      </c>
      <c r="AE570" s="53" t="str">
        <f aca="false">IF($J570&lt;&gt;"",$J570,"")</f>
        <v/>
      </c>
      <c r="AF570" s="52" t="str">
        <f aca="false">IF($A570&lt;&gt;"",$A570,"")</f>
        <v>Apprenant 558</v>
      </c>
      <c r="AG570" s="53" t="str">
        <f aca="false">IF(AND($W570&lt;&gt;"",$X570&lt;&gt;""),$X570-$W570,"")</f>
        <v/>
      </c>
      <c r="AH570" s="53" t="str">
        <f aca="false">IF(AND($W570&lt;&gt;"",$Y570&lt;&gt;""),$Y570-$W570,"")</f>
        <v/>
      </c>
      <c r="AI570" s="53" t="str">
        <f aca="false">IF(AND($X570&lt;&gt;"",$Y570&lt;&gt;""),$Y570-$X570,"")</f>
        <v/>
      </c>
      <c r="AJ570" s="53" t="str">
        <f aca="false">IF($E570&lt;&gt;"",$E570,"")</f>
        <v/>
      </c>
      <c r="AK570" s="52" t="str">
        <f aca="false">IF($F570&lt;&gt;"",$F570,"")</f>
        <v>Apprenant 558 ou 558'</v>
      </c>
      <c r="AL570" s="53" t="str">
        <f aca="false">IF(AND($AB570&lt;&gt;"",$AC570&lt;&gt;""),$AC570-$AB570,"")</f>
        <v/>
      </c>
      <c r="AM570" s="53" t="str">
        <f aca="false">IF(AND($AB570&lt;&gt;"",$AD570&lt;&gt;""),$AD570-$AB570,"")</f>
        <v/>
      </c>
      <c r="AN570" s="53" t="str">
        <f aca="false">IF(AND($AC570&lt;&gt;"",$AD570&lt;&gt;""),$AD570-$AC570,"")</f>
        <v/>
      </c>
      <c r="AO570" s="53" t="str">
        <f aca="false">IF($J570&lt;&gt;"",$J570,"")</f>
        <v/>
      </c>
      <c r="AQ570" s="52" t="str">
        <f aca="false">IF($A570&lt;&gt;"",$A570,"")</f>
        <v>Apprenant 558</v>
      </c>
      <c r="AR570" s="55" t="str">
        <f aca="false">IF(AND('Choix pédagogiques'!$C$4&lt;&gt;"?",'Choix pédagogiques'!$C$5&lt;&gt;"?",W570&lt;&gt;""),(W570-'Choix pédagogiques'!$C$4)/('Choix pédagogiques'!$C$5-'Choix pédagogiques'!$C$4),"")</f>
        <v/>
      </c>
      <c r="AS570" s="55" t="str">
        <f aca="false">IF(AND('Choix pédagogiques'!$C$4&lt;&gt;"?",'Choix pédagogiques'!$C$5&lt;&gt;"?",X570&lt;&gt;""),(X570-'Choix pédagogiques'!$C$4)/('Choix pédagogiques'!$C$5-'Choix pédagogiques'!$C$4),"")</f>
        <v/>
      </c>
      <c r="AT570" s="55" t="str">
        <f aca="false">IF(AND('Choix pédagogiques'!$C$4&lt;&gt;"?",'Choix pédagogiques'!$C$5&lt;&gt;"?",Y570&lt;&gt;""),(Y570-'Choix pédagogiques'!$C$4)/('Choix pédagogiques'!$C$5-'Choix pédagogiques'!$C$4),"")</f>
        <v/>
      </c>
      <c r="AU570" s="53" t="str">
        <f aca="false">IF($E570&lt;&gt;"",$E570,"")</f>
        <v/>
      </c>
      <c r="AV570" s="52" t="str">
        <f aca="false">IF($F570&lt;&gt;"",$F570,"")</f>
        <v>Apprenant 558 ou 558'</v>
      </c>
      <c r="AW570" s="55" t="str">
        <f aca="false">IF(AND('Choix pédagogiques'!$C$4&lt;&gt;"?",'Choix pédagogiques'!$C$5&lt;&gt;"?",AB570&lt;&gt;""),(AB570-'Choix pédagogiques'!$C$4)/('Choix pédagogiques'!$C$5-'Choix pédagogiques'!$C$4),"")</f>
        <v/>
      </c>
      <c r="AX570" s="55" t="str">
        <f aca="false">IF(AND('Choix pédagogiques'!$C$4&lt;&gt;"?",'Choix pédagogiques'!$C$5&lt;&gt;"?",AC570&lt;&gt;""),(AC570-'Choix pédagogiques'!$C$4)/('Choix pédagogiques'!$C$5-'Choix pédagogiques'!$C$4),"")</f>
        <v/>
      </c>
      <c r="AY570" s="55" t="str">
        <f aca="false">IF(AND('Choix pédagogiques'!$C$4&lt;&gt;"?",'Choix pédagogiques'!$C$5&lt;&gt;"?",AD570&lt;&gt;""),(AD570-'Choix pédagogiques'!$C$4)/('Choix pédagogiques'!$C$5-'Choix pédagogiques'!$C$4),"")</f>
        <v/>
      </c>
      <c r="AZ570" s="53" t="str">
        <f aca="false">IF($J570&lt;&gt;"",$J570,"")</f>
        <v/>
      </c>
      <c r="BA570" s="52" t="str">
        <f aca="false">IF($A570&lt;&gt;"",$A570,"")</f>
        <v>Apprenant 558</v>
      </c>
      <c r="BB570" s="55" t="str">
        <f aca="false">IF(AND($AR570&lt;&gt;"",$AS570&lt;&gt;""),$AS570-$AR570,"")</f>
        <v/>
      </c>
      <c r="BC570" s="55" t="str">
        <f aca="false">IF(AND($AR570&lt;&gt;"",$AT570&lt;&gt;""),$AT570-$AR570,"")</f>
        <v/>
      </c>
      <c r="BD570" s="55" t="str">
        <f aca="false">IF(AND($AS570&lt;&gt;"",$AT570&lt;&gt;""),$AT570-$AS570,"")</f>
        <v/>
      </c>
      <c r="BE570" s="53" t="str">
        <f aca="false">IF($E570&lt;&gt;"",$E570,"")</f>
        <v/>
      </c>
      <c r="BF570" s="52" t="str">
        <f aca="false">IF($F570&lt;&gt;"",$F570,"")</f>
        <v>Apprenant 558 ou 558'</v>
      </c>
      <c r="BG570" s="55" t="str">
        <f aca="false">IF(AND($AW570&lt;&gt;"",$AX570&lt;&gt;""),$AX570-$AW570,"")</f>
        <v/>
      </c>
      <c r="BH570" s="55" t="str">
        <f aca="false">IF(AND($AW570&lt;&gt;"",$AY570&lt;&gt;""),$AY570-$AW570,"")</f>
        <v/>
      </c>
      <c r="BI570" s="55" t="str">
        <f aca="false">IF(AND($AX570&lt;&gt;"",$AY570&lt;&gt;""),$AY570-$AX570,"")</f>
        <v/>
      </c>
      <c r="BJ570" s="53" t="str">
        <f aca="false">IF($J570&lt;&gt;"",$J570,"")</f>
        <v/>
      </c>
      <c r="BL570" s="52"/>
      <c r="BM570" s="52" t="str">
        <f aca="false">IF(OR(COUNT(B570:D1569)=0,AND('Choix pédagogiques'!$C$3&lt;&gt;1,'Choix pédagogiques'!$C$3&lt;&gt;2)),"",IF(AND(OR('Choix pédagogiques'!$C$3=1,'Choix pédagogiques'!$C$3=2),$B570&lt;&gt;"",$C570&lt;&gt;"",$D570&lt;&gt;""),1,0))</f>
        <v/>
      </c>
      <c r="BN570" s="52" t="str">
        <f aca="false">IF(OR(COUNT(G570:I1569)=0,AND('Choix pédagogiques'!$C$3&lt;&gt;1,'Choix pédagogiques'!$C$3&lt;&gt;2)),"",IF(AND(OR('Choix pédagogiques'!$C$3=1,'Choix pédagogiques'!$C$3=2),AND($G570&lt;&gt;"",$H570&lt;&gt;"",$I570&lt;&gt;"")),1,0))</f>
        <v/>
      </c>
      <c r="BO570" s="52" t="str">
        <f aca="false">IF(OR(COUNT(B570:D1569)=0,COUNT(G570:I1569)=0,'Choix pédagogiques'!C$3&lt;&gt;3),"",IF(AND('Choix pédagogiques'!$C$3=3,$B570&lt;&gt;"",$C570&lt;&gt;"",$D570&lt;&gt;"",$G570&lt;&gt;"",$H570&lt;&gt;"",$I570&lt;&gt;""),1,0))</f>
        <v/>
      </c>
      <c r="BR570" s="52" t="n">
        <v>932</v>
      </c>
      <c r="BS570" s="52" t="n">
        <v>1294</v>
      </c>
    </row>
    <row r="571" s="54" customFormat="true" ht="18" hidden="false" customHeight="true" outlineLevel="0" collapsed="false">
      <c r="A571" s="57" t="s">
        <v>1073</v>
      </c>
      <c r="B571" s="51"/>
      <c r="C571" s="51"/>
      <c r="D571" s="51"/>
      <c r="E571" s="51"/>
      <c r="F571" s="57" t="s">
        <v>1074</v>
      </c>
      <c r="G571" s="51"/>
      <c r="H571" s="51"/>
      <c r="I571" s="51"/>
      <c r="J571" s="51"/>
      <c r="K571" s="52" t="str">
        <f aca="false">IF($A571&lt;&gt;"",$A571,"")</f>
        <v>Apprenant 559</v>
      </c>
      <c r="L571" s="53" t="str">
        <f aca="false">IF(AND($B571&lt;&gt;"",$C571&lt;&gt;""),$C571-$B571,"")</f>
        <v/>
      </c>
      <c r="M571" s="53" t="str">
        <f aca="false">IF(AND($B571&lt;&gt;"",$D571&lt;&gt;""),$D571-$B571,"")</f>
        <v/>
      </c>
      <c r="N571" s="53" t="str">
        <f aca="false">IF(AND($C571&lt;&gt;"",$D571&lt;&gt;""),$D571-$C571,"")</f>
        <v/>
      </c>
      <c r="O571" s="53" t="str">
        <f aca="false">IF($E571&lt;&gt;"",$E571,"")</f>
        <v/>
      </c>
      <c r="P571" s="52" t="str">
        <f aca="false">IF($F571&lt;&gt;"",$F571,"")</f>
        <v>Apprenant 559 ou 559'</v>
      </c>
      <c r="Q571" s="53" t="str">
        <f aca="false">IF(AND($G571&lt;&gt;"",$H571&lt;&gt;""),$H571-$G571,"")</f>
        <v/>
      </c>
      <c r="R571" s="53" t="str">
        <f aca="false">IF(AND($G571&lt;&gt;"",$I571&lt;&gt;""),$I571-$G571,"")</f>
        <v/>
      </c>
      <c r="S571" s="53" t="str">
        <f aca="false">IF(AND($H571&lt;&gt;"",$I571&lt;&gt;""),$I571-$H571,"")</f>
        <v/>
      </c>
      <c r="T571" s="53" t="str">
        <f aca="false">IF($J571&lt;&gt;"",$J571,"")</f>
        <v/>
      </c>
      <c r="V571" s="52" t="str">
        <f aca="false">IF($A571&lt;&gt;"",$A571,"")</f>
        <v>Apprenant 559</v>
      </c>
      <c r="W571" s="53" t="str">
        <f aca="false">IF(AND(OR('Choix pédagogiques'!$C$3=1,'Choix pédagogiques'!$C$3=2),$BM571=1),B571,IF(AND('Choix pédagogiques'!$C$3=3,$BO571=1),B571,""))</f>
        <v/>
      </c>
      <c r="X571" s="53" t="str">
        <f aca="false">IF(AND(OR('Choix pédagogiques'!$C$3=1,'Choix pédagogiques'!$C$3=2),$BM571=1),C571,IF(AND('Choix pédagogiques'!$C$3=3,$BO571=1),C571,""))</f>
        <v/>
      </c>
      <c r="Y571" s="53" t="str">
        <f aca="false">IF(AND(OR('Choix pédagogiques'!$C$3=1,'Choix pédagogiques'!$C$3=2),$BM571=1),D571,IF(AND('Choix pédagogiques'!$C$3=3,$BO571=1),D571,""))</f>
        <v/>
      </c>
      <c r="Z571" s="53" t="str">
        <f aca="false">IF($E571&lt;&gt;"",$E571,"")</f>
        <v/>
      </c>
      <c r="AA571" s="52" t="str">
        <f aca="false">IF($F571&lt;&gt;"",$F571,"")</f>
        <v>Apprenant 559 ou 559'</v>
      </c>
      <c r="AB571" s="53" t="str">
        <f aca="false">IF(AND(OR('Choix pédagogiques'!$C$3=1,'Choix pédagogiques'!$C$3=2),$BN571=1),G571,IF(AND('Choix pédagogiques'!$C$3=3,$BO571=1),G571,""))</f>
        <v/>
      </c>
      <c r="AC571" s="53" t="str">
        <f aca="false">IF(AND(OR('Choix pédagogiques'!$C$3=1,'Choix pédagogiques'!$C$3=2),$BN571=1),H571,IF(AND('Choix pédagogiques'!$C$3=3,$BO571=1),H571,""))</f>
        <v/>
      </c>
      <c r="AD571" s="53" t="str">
        <f aca="false">IF(AND(OR('Choix pédagogiques'!$C$3=1,'Choix pédagogiques'!$C$3=2),$BN571=1),I571,IF(AND('Choix pédagogiques'!$C$3=3,$BO571=1),I571,""))</f>
        <v/>
      </c>
      <c r="AE571" s="53" t="str">
        <f aca="false">IF($J571&lt;&gt;"",$J571,"")</f>
        <v/>
      </c>
      <c r="AF571" s="52" t="str">
        <f aca="false">IF($A571&lt;&gt;"",$A571,"")</f>
        <v>Apprenant 559</v>
      </c>
      <c r="AG571" s="53" t="str">
        <f aca="false">IF(AND($W571&lt;&gt;"",$X571&lt;&gt;""),$X571-$W571,"")</f>
        <v/>
      </c>
      <c r="AH571" s="53" t="str">
        <f aca="false">IF(AND($W571&lt;&gt;"",$Y571&lt;&gt;""),$Y571-$W571,"")</f>
        <v/>
      </c>
      <c r="AI571" s="53" t="str">
        <f aca="false">IF(AND($X571&lt;&gt;"",$Y571&lt;&gt;""),$Y571-$X571,"")</f>
        <v/>
      </c>
      <c r="AJ571" s="53" t="str">
        <f aca="false">IF($E571&lt;&gt;"",$E571,"")</f>
        <v/>
      </c>
      <c r="AK571" s="52" t="str">
        <f aca="false">IF($F571&lt;&gt;"",$F571,"")</f>
        <v>Apprenant 559 ou 559'</v>
      </c>
      <c r="AL571" s="53" t="str">
        <f aca="false">IF(AND($AB571&lt;&gt;"",$AC571&lt;&gt;""),$AC571-$AB571,"")</f>
        <v/>
      </c>
      <c r="AM571" s="53" t="str">
        <f aca="false">IF(AND($AB571&lt;&gt;"",$AD571&lt;&gt;""),$AD571-$AB571,"")</f>
        <v/>
      </c>
      <c r="AN571" s="53" t="str">
        <f aca="false">IF(AND($AC571&lt;&gt;"",$AD571&lt;&gt;""),$AD571-$AC571,"")</f>
        <v/>
      </c>
      <c r="AO571" s="53" t="str">
        <f aca="false">IF($J571&lt;&gt;"",$J571,"")</f>
        <v/>
      </c>
      <c r="AQ571" s="52" t="str">
        <f aca="false">IF($A571&lt;&gt;"",$A571,"")</f>
        <v>Apprenant 559</v>
      </c>
      <c r="AR571" s="55" t="str">
        <f aca="false">IF(AND('Choix pédagogiques'!$C$4&lt;&gt;"?",'Choix pédagogiques'!$C$5&lt;&gt;"?",W571&lt;&gt;""),(W571-'Choix pédagogiques'!$C$4)/('Choix pédagogiques'!$C$5-'Choix pédagogiques'!$C$4),"")</f>
        <v/>
      </c>
      <c r="AS571" s="55" t="str">
        <f aca="false">IF(AND('Choix pédagogiques'!$C$4&lt;&gt;"?",'Choix pédagogiques'!$C$5&lt;&gt;"?",X571&lt;&gt;""),(X571-'Choix pédagogiques'!$C$4)/('Choix pédagogiques'!$C$5-'Choix pédagogiques'!$C$4),"")</f>
        <v/>
      </c>
      <c r="AT571" s="55" t="str">
        <f aca="false">IF(AND('Choix pédagogiques'!$C$4&lt;&gt;"?",'Choix pédagogiques'!$C$5&lt;&gt;"?",Y571&lt;&gt;""),(Y571-'Choix pédagogiques'!$C$4)/('Choix pédagogiques'!$C$5-'Choix pédagogiques'!$C$4),"")</f>
        <v/>
      </c>
      <c r="AU571" s="53" t="str">
        <f aca="false">IF($E571&lt;&gt;"",$E571,"")</f>
        <v/>
      </c>
      <c r="AV571" s="52" t="str">
        <f aca="false">IF($F571&lt;&gt;"",$F571,"")</f>
        <v>Apprenant 559 ou 559'</v>
      </c>
      <c r="AW571" s="55" t="str">
        <f aca="false">IF(AND('Choix pédagogiques'!$C$4&lt;&gt;"?",'Choix pédagogiques'!$C$5&lt;&gt;"?",AB571&lt;&gt;""),(AB571-'Choix pédagogiques'!$C$4)/('Choix pédagogiques'!$C$5-'Choix pédagogiques'!$C$4),"")</f>
        <v/>
      </c>
      <c r="AX571" s="55" t="str">
        <f aca="false">IF(AND('Choix pédagogiques'!$C$4&lt;&gt;"?",'Choix pédagogiques'!$C$5&lt;&gt;"?",AC571&lt;&gt;""),(AC571-'Choix pédagogiques'!$C$4)/('Choix pédagogiques'!$C$5-'Choix pédagogiques'!$C$4),"")</f>
        <v/>
      </c>
      <c r="AY571" s="55" t="str">
        <f aca="false">IF(AND('Choix pédagogiques'!$C$4&lt;&gt;"?",'Choix pédagogiques'!$C$5&lt;&gt;"?",AD571&lt;&gt;""),(AD571-'Choix pédagogiques'!$C$4)/('Choix pédagogiques'!$C$5-'Choix pédagogiques'!$C$4),"")</f>
        <v/>
      </c>
      <c r="AZ571" s="53" t="str">
        <f aca="false">IF($J571&lt;&gt;"",$J571,"")</f>
        <v/>
      </c>
      <c r="BA571" s="52" t="str">
        <f aca="false">IF($A571&lt;&gt;"",$A571,"")</f>
        <v>Apprenant 559</v>
      </c>
      <c r="BB571" s="55" t="str">
        <f aca="false">IF(AND($AR571&lt;&gt;"",$AS571&lt;&gt;""),$AS571-$AR571,"")</f>
        <v/>
      </c>
      <c r="BC571" s="55" t="str">
        <f aca="false">IF(AND($AR571&lt;&gt;"",$AT571&lt;&gt;""),$AT571-$AR571,"")</f>
        <v/>
      </c>
      <c r="BD571" s="55" t="str">
        <f aca="false">IF(AND($AS571&lt;&gt;"",$AT571&lt;&gt;""),$AT571-$AS571,"")</f>
        <v/>
      </c>
      <c r="BE571" s="53" t="str">
        <f aca="false">IF($E571&lt;&gt;"",$E571,"")</f>
        <v/>
      </c>
      <c r="BF571" s="52" t="str">
        <f aca="false">IF($F571&lt;&gt;"",$F571,"")</f>
        <v>Apprenant 559 ou 559'</v>
      </c>
      <c r="BG571" s="55" t="str">
        <f aca="false">IF(AND($AW571&lt;&gt;"",$AX571&lt;&gt;""),$AX571-$AW571,"")</f>
        <v/>
      </c>
      <c r="BH571" s="55" t="str">
        <f aca="false">IF(AND($AW571&lt;&gt;"",$AY571&lt;&gt;""),$AY571-$AW571,"")</f>
        <v/>
      </c>
      <c r="BI571" s="55" t="str">
        <f aca="false">IF(AND($AX571&lt;&gt;"",$AY571&lt;&gt;""),$AY571-$AX571,"")</f>
        <v/>
      </c>
      <c r="BJ571" s="53" t="str">
        <f aca="false">IF($J571&lt;&gt;"",$J571,"")</f>
        <v/>
      </c>
      <c r="BL571" s="52"/>
      <c r="BM571" s="52" t="str">
        <f aca="false">IF(OR(COUNT(B571:D1570)=0,AND('Choix pédagogiques'!$C$3&lt;&gt;1,'Choix pédagogiques'!$C$3&lt;&gt;2)),"",IF(AND(OR('Choix pédagogiques'!$C$3=1,'Choix pédagogiques'!$C$3=2),$B571&lt;&gt;"",$C571&lt;&gt;"",$D571&lt;&gt;""),1,0))</f>
        <v/>
      </c>
      <c r="BN571" s="52" t="str">
        <f aca="false">IF(OR(COUNT(G571:I1570)=0,AND('Choix pédagogiques'!$C$3&lt;&gt;1,'Choix pédagogiques'!$C$3&lt;&gt;2)),"",IF(AND(OR('Choix pédagogiques'!$C$3=1,'Choix pédagogiques'!$C$3=2),AND($G571&lt;&gt;"",$H571&lt;&gt;"",$I571&lt;&gt;"")),1,0))</f>
        <v/>
      </c>
      <c r="BO571" s="52" t="str">
        <f aca="false">IF(OR(COUNT(B571:D1570)=0,COUNT(G571:I1570)=0,'Choix pédagogiques'!C$3&lt;&gt;3),"",IF(AND('Choix pédagogiques'!$C$3=3,$B571&lt;&gt;"",$C571&lt;&gt;"",$D571&lt;&gt;"",$G571&lt;&gt;"",$H571&lt;&gt;"",$I571&lt;&gt;""),1,0))</f>
        <v/>
      </c>
      <c r="BR571" s="52" t="n">
        <v>548</v>
      </c>
      <c r="BS571" s="52" t="n">
        <v>1541</v>
      </c>
    </row>
    <row r="572" s="54" customFormat="true" ht="18" hidden="false" customHeight="true" outlineLevel="0" collapsed="false">
      <c r="A572" s="57" t="s">
        <v>1075</v>
      </c>
      <c r="B572" s="51"/>
      <c r="C572" s="51"/>
      <c r="D572" s="51"/>
      <c r="E572" s="51"/>
      <c r="F572" s="57" t="s">
        <v>1076</v>
      </c>
      <c r="G572" s="51"/>
      <c r="H572" s="51"/>
      <c r="I572" s="51"/>
      <c r="J572" s="51"/>
      <c r="K572" s="52" t="str">
        <f aca="false">IF($A572&lt;&gt;"",$A572,"")</f>
        <v>Apprenant 560</v>
      </c>
      <c r="L572" s="53" t="str">
        <f aca="false">IF(AND($B572&lt;&gt;"",$C572&lt;&gt;""),$C572-$B572,"")</f>
        <v/>
      </c>
      <c r="M572" s="53" t="str">
        <f aca="false">IF(AND($B572&lt;&gt;"",$D572&lt;&gt;""),$D572-$B572,"")</f>
        <v/>
      </c>
      <c r="N572" s="53" t="str">
        <f aca="false">IF(AND($C572&lt;&gt;"",$D572&lt;&gt;""),$D572-$C572,"")</f>
        <v/>
      </c>
      <c r="O572" s="53" t="str">
        <f aca="false">IF($E572&lt;&gt;"",$E572,"")</f>
        <v/>
      </c>
      <c r="P572" s="52" t="str">
        <f aca="false">IF($F572&lt;&gt;"",$F572,"")</f>
        <v>Apprenant 560 ou 560'</v>
      </c>
      <c r="Q572" s="53" t="str">
        <f aca="false">IF(AND($G572&lt;&gt;"",$H572&lt;&gt;""),$H572-$G572,"")</f>
        <v/>
      </c>
      <c r="R572" s="53" t="str">
        <f aca="false">IF(AND($G572&lt;&gt;"",$I572&lt;&gt;""),$I572-$G572,"")</f>
        <v/>
      </c>
      <c r="S572" s="53" t="str">
        <f aca="false">IF(AND($H572&lt;&gt;"",$I572&lt;&gt;""),$I572-$H572,"")</f>
        <v/>
      </c>
      <c r="T572" s="53" t="str">
        <f aca="false">IF($J572&lt;&gt;"",$J572,"")</f>
        <v/>
      </c>
      <c r="V572" s="52" t="str">
        <f aca="false">IF($A572&lt;&gt;"",$A572,"")</f>
        <v>Apprenant 560</v>
      </c>
      <c r="W572" s="53" t="str">
        <f aca="false">IF(AND(OR('Choix pédagogiques'!$C$3=1,'Choix pédagogiques'!$C$3=2),$BM572=1),B572,IF(AND('Choix pédagogiques'!$C$3=3,$BO572=1),B572,""))</f>
        <v/>
      </c>
      <c r="X572" s="53" t="str">
        <f aca="false">IF(AND(OR('Choix pédagogiques'!$C$3=1,'Choix pédagogiques'!$C$3=2),$BM572=1),C572,IF(AND('Choix pédagogiques'!$C$3=3,$BO572=1),C572,""))</f>
        <v/>
      </c>
      <c r="Y572" s="53" t="str">
        <f aca="false">IF(AND(OR('Choix pédagogiques'!$C$3=1,'Choix pédagogiques'!$C$3=2),$BM572=1),D572,IF(AND('Choix pédagogiques'!$C$3=3,$BO572=1),D572,""))</f>
        <v/>
      </c>
      <c r="Z572" s="53" t="str">
        <f aca="false">IF($E572&lt;&gt;"",$E572,"")</f>
        <v/>
      </c>
      <c r="AA572" s="52" t="str">
        <f aca="false">IF($F572&lt;&gt;"",$F572,"")</f>
        <v>Apprenant 560 ou 560'</v>
      </c>
      <c r="AB572" s="53" t="str">
        <f aca="false">IF(AND(OR('Choix pédagogiques'!$C$3=1,'Choix pédagogiques'!$C$3=2),$BN572=1),G572,IF(AND('Choix pédagogiques'!$C$3=3,$BO572=1),G572,""))</f>
        <v/>
      </c>
      <c r="AC572" s="53" t="str">
        <f aca="false">IF(AND(OR('Choix pédagogiques'!$C$3=1,'Choix pédagogiques'!$C$3=2),$BN572=1),H572,IF(AND('Choix pédagogiques'!$C$3=3,$BO572=1),H572,""))</f>
        <v/>
      </c>
      <c r="AD572" s="53" t="str">
        <f aca="false">IF(AND(OR('Choix pédagogiques'!$C$3=1,'Choix pédagogiques'!$C$3=2),$BN572=1),I572,IF(AND('Choix pédagogiques'!$C$3=3,$BO572=1),I572,""))</f>
        <v/>
      </c>
      <c r="AE572" s="53" t="str">
        <f aca="false">IF($J572&lt;&gt;"",$J572,"")</f>
        <v/>
      </c>
      <c r="AF572" s="52" t="str">
        <f aca="false">IF($A572&lt;&gt;"",$A572,"")</f>
        <v>Apprenant 560</v>
      </c>
      <c r="AG572" s="53" t="str">
        <f aca="false">IF(AND($W572&lt;&gt;"",$X572&lt;&gt;""),$X572-$W572,"")</f>
        <v/>
      </c>
      <c r="AH572" s="53" t="str">
        <f aca="false">IF(AND($W572&lt;&gt;"",$Y572&lt;&gt;""),$Y572-$W572,"")</f>
        <v/>
      </c>
      <c r="AI572" s="53" t="str">
        <f aca="false">IF(AND($X572&lt;&gt;"",$Y572&lt;&gt;""),$Y572-$X572,"")</f>
        <v/>
      </c>
      <c r="AJ572" s="53" t="str">
        <f aca="false">IF($E572&lt;&gt;"",$E572,"")</f>
        <v/>
      </c>
      <c r="AK572" s="52" t="str">
        <f aca="false">IF($F572&lt;&gt;"",$F572,"")</f>
        <v>Apprenant 560 ou 560'</v>
      </c>
      <c r="AL572" s="53" t="str">
        <f aca="false">IF(AND($AB572&lt;&gt;"",$AC572&lt;&gt;""),$AC572-$AB572,"")</f>
        <v/>
      </c>
      <c r="AM572" s="53" t="str">
        <f aca="false">IF(AND($AB572&lt;&gt;"",$AD572&lt;&gt;""),$AD572-$AB572,"")</f>
        <v/>
      </c>
      <c r="AN572" s="53" t="str">
        <f aca="false">IF(AND($AC572&lt;&gt;"",$AD572&lt;&gt;""),$AD572-$AC572,"")</f>
        <v/>
      </c>
      <c r="AO572" s="53" t="str">
        <f aca="false">IF($J572&lt;&gt;"",$J572,"")</f>
        <v/>
      </c>
      <c r="AQ572" s="52" t="str">
        <f aca="false">IF($A572&lt;&gt;"",$A572,"")</f>
        <v>Apprenant 560</v>
      </c>
      <c r="AR572" s="55" t="str">
        <f aca="false">IF(AND('Choix pédagogiques'!$C$4&lt;&gt;"?",'Choix pédagogiques'!$C$5&lt;&gt;"?",W572&lt;&gt;""),(W572-'Choix pédagogiques'!$C$4)/('Choix pédagogiques'!$C$5-'Choix pédagogiques'!$C$4),"")</f>
        <v/>
      </c>
      <c r="AS572" s="55" t="str">
        <f aca="false">IF(AND('Choix pédagogiques'!$C$4&lt;&gt;"?",'Choix pédagogiques'!$C$5&lt;&gt;"?",X572&lt;&gt;""),(X572-'Choix pédagogiques'!$C$4)/('Choix pédagogiques'!$C$5-'Choix pédagogiques'!$C$4),"")</f>
        <v/>
      </c>
      <c r="AT572" s="55" t="str">
        <f aca="false">IF(AND('Choix pédagogiques'!$C$4&lt;&gt;"?",'Choix pédagogiques'!$C$5&lt;&gt;"?",Y572&lt;&gt;""),(Y572-'Choix pédagogiques'!$C$4)/('Choix pédagogiques'!$C$5-'Choix pédagogiques'!$C$4),"")</f>
        <v/>
      </c>
      <c r="AU572" s="53" t="str">
        <f aca="false">IF($E572&lt;&gt;"",$E572,"")</f>
        <v/>
      </c>
      <c r="AV572" s="52" t="str">
        <f aca="false">IF($F572&lt;&gt;"",$F572,"")</f>
        <v>Apprenant 560 ou 560'</v>
      </c>
      <c r="AW572" s="55" t="str">
        <f aca="false">IF(AND('Choix pédagogiques'!$C$4&lt;&gt;"?",'Choix pédagogiques'!$C$5&lt;&gt;"?",AB572&lt;&gt;""),(AB572-'Choix pédagogiques'!$C$4)/('Choix pédagogiques'!$C$5-'Choix pédagogiques'!$C$4),"")</f>
        <v/>
      </c>
      <c r="AX572" s="55" t="str">
        <f aca="false">IF(AND('Choix pédagogiques'!$C$4&lt;&gt;"?",'Choix pédagogiques'!$C$5&lt;&gt;"?",AC572&lt;&gt;""),(AC572-'Choix pédagogiques'!$C$4)/('Choix pédagogiques'!$C$5-'Choix pédagogiques'!$C$4),"")</f>
        <v/>
      </c>
      <c r="AY572" s="55" t="str">
        <f aca="false">IF(AND('Choix pédagogiques'!$C$4&lt;&gt;"?",'Choix pédagogiques'!$C$5&lt;&gt;"?",AD572&lt;&gt;""),(AD572-'Choix pédagogiques'!$C$4)/('Choix pédagogiques'!$C$5-'Choix pédagogiques'!$C$4),"")</f>
        <v/>
      </c>
      <c r="AZ572" s="53" t="str">
        <f aca="false">IF($J572&lt;&gt;"",$J572,"")</f>
        <v/>
      </c>
      <c r="BA572" s="52" t="str">
        <f aca="false">IF($A572&lt;&gt;"",$A572,"")</f>
        <v>Apprenant 560</v>
      </c>
      <c r="BB572" s="55" t="str">
        <f aca="false">IF(AND($AR572&lt;&gt;"",$AS572&lt;&gt;""),$AS572-$AR572,"")</f>
        <v/>
      </c>
      <c r="BC572" s="55" t="str">
        <f aca="false">IF(AND($AR572&lt;&gt;"",$AT572&lt;&gt;""),$AT572-$AR572,"")</f>
        <v/>
      </c>
      <c r="BD572" s="55" t="str">
        <f aca="false">IF(AND($AS572&lt;&gt;"",$AT572&lt;&gt;""),$AT572-$AS572,"")</f>
        <v/>
      </c>
      <c r="BE572" s="53" t="str">
        <f aca="false">IF($E572&lt;&gt;"",$E572,"")</f>
        <v/>
      </c>
      <c r="BF572" s="52" t="str">
        <f aca="false">IF($F572&lt;&gt;"",$F572,"")</f>
        <v>Apprenant 560 ou 560'</v>
      </c>
      <c r="BG572" s="55" t="str">
        <f aca="false">IF(AND($AW572&lt;&gt;"",$AX572&lt;&gt;""),$AX572-$AW572,"")</f>
        <v/>
      </c>
      <c r="BH572" s="55" t="str">
        <f aca="false">IF(AND($AW572&lt;&gt;"",$AY572&lt;&gt;""),$AY572-$AW572,"")</f>
        <v/>
      </c>
      <c r="BI572" s="55" t="str">
        <f aca="false">IF(AND($AX572&lt;&gt;"",$AY572&lt;&gt;""),$AY572-$AX572,"")</f>
        <v/>
      </c>
      <c r="BJ572" s="53" t="str">
        <f aca="false">IF($J572&lt;&gt;"",$J572,"")</f>
        <v/>
      </c>
      <c r="BL572" s="52"/>
      <c r="BM572" s="52" t="str">
        <f aca="false">IF(OR(COUNT(B572:D1571)=0,AND('Choix pédagogiques'!$C$3&lt;&gt;1,'Choix pédagogiques'!$C$3&lt;&gt;2)),"",IF(AND(OR('Choix pédagogiques'!$C$3=1,'Choix pédagogiques'!$C$3=2),$B572&lt;&gt;"",$C572&lt;&gt;"",$D572&lt;&gt;""),1,0))</f>
        <v/>
      </c>
      <c r="BN572" s="52" t="str">
        <f aca="false">IF(OR(COUNT(G572:I1571)=0,AND('Choix pédagogiques'!$C$3&lt;&gt;1,'Choix pédagogiques'!$C$3&lt;&gt;2)),"",IF(AND(OR('Choix pédagogiques'!$C$3=1,'Choix pédagogiques'!$C$3=2),AND($G572&lt;&gt;"",$H572&lt;&gt;"",$I572&lt;&gt;"")),1,0))</f>
        <v/>
      </c>
      <c r="BO572" s="52" t="str">
        <f aca="false">IF(OR(COUNT(B572:D1571)=0,COUNT(G572:I1571)=0,'Choix pédagogiques'!C$3&lt;&gt;3),"",IF(AND('Choix pédagogiques'!$C$3=3,$B572&lt;&gt;"",$C572&lt;&gt;"",$D572&lt;&gt;"",$G572&lt;&gt;"",$H572&lt;&gt;"",$I572&lt;&gt;""),1,0))</f>
        <v/>
      </c>
      <c r="BR572" s="52" t="n">
        <v>597</v>
      </c>
      <c r="BS572" s="52" t="n">
        <v>1837</v>
      </c>
    </row>
    <row r="573" s="54" customFormat="true" ht="18" hidden="false" customHeight="true" outlineLevel="0" collapsed="false">
      <c r="A573" s="57" t="s">
        <v>1077</v>
      </c>
      <c r="B573" s="51"/>
      <c r="C573" s="51"/>
      <c r="D573" s="51"/>
      <c r="E573" s="51"/>
      <c r="F573" s="57" t="s">
        <v>1078</v>
      </c>
      <c r="G573" s="51"/>
      <c r="H573" s="51"/>
      <c r="I573" s="51"/>
      <c r="J573" s="51"/>
      <c r="K573" s="52" t="str">
        <f aca="false">IF($A573&lt;&gt;"",$A573,"")</f>
        <v>Apprenant 561</v>
      </c>
      <c r="L573" s="53" t="str">
        <f aca="false">IF(AND($B573&lt;&gt;"",$C573&lt;&gt;""),$C573-$B573,"")</f>
        <v/>
      </c>
      <c r="M573" s="53" t="str">
        <f aca="false">IF(AND($B573&lt;&gt;"",$D573&lt;&gt;""),$D573-$B573,"")</f>
        <v/>
      </c>
      <c r="N573" s="53" t="str">
        <f aca="false">IF(AND($C573&lt;&gt;"",$D573&lt;&gt;""),$D573-$C573,"")</f>
        <v/>
      </c>
      <c r="O573" s="53" t="str">
        <f aca="false">IF($E573&lt;&gt;"",$E573,"")</f>
        <v/>
      </c>
      <c r="P573" s="52" t="str">
        <f aca="false">IF($F573&lt;&gt;"",$F573,"")</f>
        <v>Apprenant 561 ou 561'</v>
      </c>
      <c r="Q573" s="53" t="str">
        <f aca="false">IF(AND($G573&lt;&gt;"",$H573&lt;&gt;""),$H573-$G573,"")</f>
        <v/>
      </c>
      <c r="R573" s="53" t="str">
        <f aca="false">IF(AND($G573&lt;&gt;"",$I573&lt;&gt;""),$I573-$G573,"")</f>
        <v/>
      </c>
      <c r="S573" s="53" t="str">
        <f aca="false">IF(AND($H573&lt;&gt;"",$I573&lt;&gt;""),$I573-$H573,"")</f>
        <v/>
      </c>
      <c r="T573" s="53" t="str">
        <f aca="false">IF($J573&lt;&gt;"",$J573,"")</f>
        <v/>
      </c>
      <c r="V573" s="52" t="str">
        <f aca="false">IF($A573&lt;&gt;"",$A573,"")</f>
        <v>Apprenant 561</v>
      </c>
      <c r="W573" s="53" t="str">
        <f aca="false">IF(AND(OR('Choix pédagogiques'!$C$3=1,'Choix pédagogiques'!$C$3=2),$BM573=1),B573,IF(AND('Choix pédagogiques'!$C$3=3,$BO573=1),B573,""))</f>
        <v/>
      </c>
      <c r="X573" s="53" t="str">
        <f aca="false">IF(AND(OR('Choix pédagogiques'!$C$3=1,'Choix pédagogiques'!$C$3=2),$BM573=1),C573,IF(AND('Choix pédagogiques'!$C$3=3,$BO573=1),C573,""))</f>
        <v/>
      </c>
      <c r="Y573" s="53" t="str">
        <f aca="false">IF(AND(OR('Choix pédagogiques'!$C$3=1,'Choix pédagogiques'!$C$3=2),$BM573=1),D573,IF(AND('Choix pédagogiques'!$C$3=3,$BO573=1),D573,""))</f>
        <v/>
      </c>
      <c r="Z573" s="53" t="str">
        <f aca="false">IF($E573&lt;&gt;"",$E573,"")</f>
        <v/>
      </c>
      <c r="AA573" s="52" t="str">
        <f aca="false">IF($F573&lt;&gt;"",$F573,"")</f>
        <v>Apprenant 561 ou 561'</v>
      </c>
      <c r="AB573" s="53" t="str">
        <f aca="false">IF(AND(OR('Choix pédagogiques'!$C$3=1,'Choix pédagogiques'!$C$3=2),$BN573=1),G573,IF(AND('Choix pédagogiques'!$C$3=3,$BO573=1),G573,""))</f>
        <v/>
      </c>
      <c r="AC573" s="53" t="str">
        <f aca="false">IF(AND(OR('Choix pédagogiques'!$C$3=1,'Choix pédagogiques'!$C$3=2),$BN573=1),H573,IF(AND('Choix pédagogiques'!$C$3=3,$BO573=1),H573,""))</f>
        <v/>
      </c>
      <c r="AD573" s="53" t="str">
        <f aca="false">IF(AND(OR('Choix pédagogiques'!$C$3=1,'Choix pédagogiques'!$C$3=2),$BN573=1),I573,IF(AND('Choix pédagogiques'!$C$3=3,$BO573=1),I573,""))</f>
        <v/>
      </c>
      <c r="AE573" s="53" t="str">
        <f aca="false">IF($J573&lt;&gt;"",$J573,"")</f>
        <v/>
      </c>
      <c r="AF573" s="52" t="str">
        <f aca="false">IF($A573&lt;&gt;"",$A573,"")</f>
        <v>Apprenant 561</v>
      </c>
      <c r="AG573" s="53" t="str">
        <f aca="false">IF(AND($W573&lt;&gt;"",$X573&lt;&gt;""),$X573-$W573,"")</f>
        <v/>
      </c>
      <c r="AH573" s="53" t="str">
        <f aca="false">IF(AND($W573&lt;&gt;"",$Y573&lt;&gt;""),$Y573-$W573,"")</f>
        <v/>
      </c>
      <c r="AI573" s="53" t="str">
        <f aca="false">IF(AND($X573&lt;&gt;"",$Y573&lt;&gt;""),$Y573-$X573,"")</f>
        <v/>
      </c>
      <c r="AJ573" s="53" t="str">
        <f aca="false">IF($E573&lt;&gt;"",$E573,"")</f>
        <v/>
      </c>
      <c r="AK573" s="52" t="str">
        <f aca="false">IF($F573&lt;&gt;"",$F573,"")</f>
        <v>Apprenant 561 ou 561'</v>
      </c>
      <c r="AL573" s="53" t="str">
        <f aca="false">IF(AND($AB573&lt;&gt;"",$AC573&lt;&gt;""),$AC573-$AB573,"")</f>
        <v/>
      </c>
      <c r="AM573" s="53" t="str">
        <f aca="false">IF(AND($AB573&lt;&gt;"",$AD573&lt;&gt;""),$AD573-$AB573,"")</f>
        <v/>
      </c>
      <c r="AN573" s="53" t="str">
        <f aca="false">IF(AND($AC573&lt;&gt;"",$AD573&lt;&gt;""),$AD573-$AC573,"")</f>
        <v/>
      </c>
      <c r="AO573" s="53" t="str">
        <f aca="false">IF($J573&lt;&gt;"",$J573,"")</f>
        <v/>
      </c>
      <c r="AQ573" s="52" t="str">
        <f aca="false">IF($A573&lt;&gt;"",$A573,"")</f>
        <v>Apprenant 561</v>
      </c>
      <c r="AR573" s="55" t="str">
        <f aca="false">IF(AND('Choix pédagogiques'!$C$4&lt;&gt;"?",'Choix pédagogiques'!$C$5&lt;&gt;"?",W573&lt;&gt;""),(W573-'Choix pédagogiques'!$C$4)/('Choix pédagogiques'!$C$5-'Choix pédagogiques'!$C$4),"")</f>
        <v/>
      </c>
      <c r="AS573" s="55" t="str">
        <f aca="false">IF(AND('Choix pédagogiques'!$C$4&lt;&gt;"?",'Choix pédagogiques'!$C$5&lt;&gt;"?",X573&lt;&gt;""),(X573-'Choix pédagogiques'!$C$4)/('Choix pédagogiques'!$C$5-'Choix pédagogiques'!$C$4),"")</f>
        <v/>
      </c>
      <c r="AT573" s="55" t="str">
        <f aca="false">IF(AND('Choix pédagogiques'!$C$4&lt;&gt;"?",'Choix pédagogiques'!$C$5&lt;&gt;"?",Y573&lt;&gt;""),(Y573-'Choix pédagogiques'!$C$4)/('Choix pédagogiques'!$C$5-'Choix pédagogiques'!$C$4),"")</f>
        <v/>
      </c>
      <c r="AU573" s="53" t="str">
        <f aca="false">IF($E573&lt;&gt;"",$E573,"")</f>
        <v/>
      </c>
      <c r="AV573" s="52" t="str">
        <f aca="false">IF($F573&lt;&gt;"",$F573,"")</f>
        <v>Apprenant 561 ou 561'</v>
      </c>
      <c r="AW573" s="55" t="str">
        <f aca="false">IF(AND('Choix pédagogiques'!$C$4&lt;&gt;"?",'Choix pédagogiques'!$C$5&lt;&gt;"?",AB573&lt;&gt;""),(AB573-'Choix pédagogiques'!$C$4)/('Choix pédagogiques'!$C$5-'Choix pédagogiques'!$C$4),"")</f>
        <v/>
      </c>
      <c r="AX573" s="55" t="str">
        <f aca="false">IF(AND('Choix pédagogiques'!$C$4&lt;&gt;"?",'Choix pédagogiques'!$C$5&lt;&gt;"?",AC573&lt;&gt;""),(AC573-'Choix pédagogiques'!$C$4)/('Choix pédagogiques'!$C$5-'Choix pédagogiques'!$C$4),"")</f>
        <v/>
      </c>
      <c r="AY573" s="55" t="str">
        <f aca="false">IF(AND('Choix pédagogiques'!$C$4&lt;&gt;"?",'Choix pédagogiques'!$C$5&lt;&gt;"?",AD573&lt;&gt;""),(AD573-'Choix pédagogiques'!$C$4)/('Choix pédagogiques'!$C$5-'Choix pédagogiques'!$C$4),"")</f>
        <v/>
      </c>
      <c r="AZ573" s="53" t="str">
        <f aca="false">IF($J573&lt;&gt;"",$J573,"")</f>
        <v/>
      </c>
      <c r="BA573" s="52" t="str">
        <f aca="false">IF($A573&lt;&gt;"",$A573,"")</f>
        <v>Apprenant 561</v>
      </c>
      <c r="BB573" s="55" t="str">
        <f aca="false">IF(AND($AR573&lt;&gt;"",$AS573&lt;&gt;""),$AS573-$AR573,"")</f>
        <v/>
      </c>
      <c r="BC573" s="55" t="str">
        <f aca="false">IF(AND($AR573&lt;&gt;"",$AT573&lt;&gt;""),$AT573-$AR573,"")</f>
        <v/>
      </c>
      <c r="BD573" s="55" t="str">
        <f aca="false">IF(AND($AS573&lt;&gt;"",$AT573&lt;&gt;""),$AT573-$AS573,"")</f>
        <v/>
      </c>
      <c r="BE573" s="53" t="str">
        <f aca="false">IF($E573&lt;&gt;"",$E573,"")</f>
        <v/>
      </c>
      <c r="BF573" s="52" t="str">
        <f aca="false">IF($F573&lt;&gt;"",$F573,"")</f>
        <v>Apprenant 561 ou 561'</v>
      </c>
      <c r="BG573" s="55" t="str">
        <f aca="false">IF(AND($AW573&lt;&gt;"",$AX573&lt;&gt;""),$AX573-$AW573,"")</f>
        <v/>
      </c>
      <c r="BH573" s="55" t="str">
        <f aca="false">IF(AND($AW573&lt;&gt;"",$AY573&lt;&gt;""),$AY573-$AW573,"")</f>
        <v/>
      </c>
      <c r="BI573" s="55" t="str">
        <f aca="false">IF(AND($AX573&lt;&gt;"",$AY573&lt;&gt;""),$AY573-$AX573,"")</f>
        <v/>
      </c>
      <c r="BJ573" s="53" t="str">
        <f aca="false">IF($J573&lt;&gt;"",$J573,"")</f>
        <v/>
      </c>
      <c r="BL573" s="52"/>
      <c r="BM573" s="52" t="str">
        <f aca="false">IF(OR(COUNT(B573:D1572)=0,AND('Choix pédagogiques'!$C$3&lt;&gt;1,'Choix pédagogiques'!$C$3&lt;&gt;2)),"",IF(AND(OR('Choix pédagogiques'!$C$3=1,'Choix pédagogiques'!$C$3=2),$B573&lt;&gt;"",$C573&lt;&gt;"",$D573&lt;&gt;""),1,0))</f>
        <v/>
      </c>
      <c r="BN573" s="52" t="str">
        <f aca="false">IF(OR(COUNT(G573:I1572)=0,AND('Choix pédagogiques'!$C$3&lt;&gt;1,'Choix pédagogiques'!$C$3&lt;&gt;2)),"",IF(AND(OR('Choix pédagogiques'!$C$3=1,'Choix pédagogiques'!$C$3=2),AND($G573&lt;&gt;"",$H573&lt;&gt;"",$I573&lt;&gt;"")),1,0))</f>
        <v/>
      </c>
      <c r="BO573" s="52" t="str">
        <f aca="false">IF(OR(COUNT(B573:D1572)=0,COUNT(G573:I1572)=0,'Choix pédagogiques'!C$3&lt;&gt;3),"",IF(AND('Choix pédagogiques'!$C$3=3,$B573&lt;&gt;"",$C573&lt;&gt;"",$D573&lt;&gt;"",$G573&lt;&gt;"",$H573&lt;&gt;"",$I573&lt;&gt;""),1,0))</f>
        <v/>
      </c>
      <c r="BR573" s="52" t="n">
        <v>17</v>
      </c>
      <c r="BS573" s="52" t="n">
        <v>1597</v>
      </c>
    </row>
    <row r="574" s="54" customFormat="true" ht="18" hidden="false" customHeight="true" outlineLevel="0" collapsed="false">
      <c r="A574" s="57" t="s">
        <v>1079</v>
      </c>
      <c r="B574" s="51"/>
      <c r="C574" s="51"/>
      <c r="D574" s="51"/>
      <c r="E574" s="51"/>
      <c r="F574" s="57" t="s">
        <v>1080</v>
      </c>
      <c r="G574" s="51"/>
      <c r="H574" s="51"/>
      <c r="I574" s="51"/>
      <c r="J574" s="51"/>
      <c r="K574" s="52" t="str">
        <f aca="false">IF($A574&lt;&gt;"",$A574,"")</f>
        <v>Apprenant 562</v>
      </c>
      <c r="L574" s="53" t="str">
        <f aca="false">IF(AND($B574&lt;&gt;"",$C574&lt;&gt;""),$C574-$B574,"")</f>
        <v/>
      </c>
      <c r="M574" s="53" t="str">
        <f aca="false">IF(AND($B574&lt;&gt;"",$D574&lt;&gt;""),$D574-$B574,"")</f>
        <v/>
      </c>
      <c r="N574" s="53" t="str">
        <f aca="false">IF(AND($C574&lt;&gt;"",$D574&lt;&gt;""),$D574-$C574,"")</f>
        <v/>
      </c>
      <c r="O574" s="53" t="str">
        <f aca="false">IF($E574&lt;&gt;"",$E574,"")</f>
        <v/>
      </c>
      <c r="P574" s="52" t="str">
        <f aca="false">IF($F574&lt;&gt;"",$F574,"")</f>
        <v>Apprenant 562 ou 562'</v>
      </c>
      <c r="Q574" s="53" t="str">
        <f aca="false">IF(AND($G574&lt;&gt;"",$H574&lt;&gt;""),$H574-$G574,"")</f>
        <v/>
      </c>
      <c r="R574" s="53" t="str">
        <f aca="false">IF(AND($G574&lt;&gt;"",$I574&lt;&gt;""),$I574-$G574,"")</f>
        <v/>
      </c>
      <c r="S574" s="53" t="str">
        <f aca="false">IF(AND($H574&lt;&gt;"",$I574&lt;&gt;""),$I574-$H574,"")</f>
        <v/>
      </c>
      <c r="T574" s="53" t="str">
        <f aca="false">IF($J574&lt;&gt;"",$J574,"")</f>
        <v/>
      </c>
      <c r="V574" s="52" t="str">
        <f aca="false">IF($A574&lt;&gt;"",$A574,"")</f>
        <v>Apprenant 562</v>
      </c>
      <c r="W574" s="53" t="str">
        <f aca="false">IF(AND(OR('Choix pédagogiques'!$C$3=1,'Choix pédagogiques'!$C$3=2),$BM574=1),B574,IF(AND('Choix pédagogiques'!$C$3=3,$BO574=1),B574,""))</f>
        <v/>
      </c>
      <c r="X574" s="53" t="str">
        <f aca="false">IF(AND(OR('Choix pédagogiques'!$C$3=1,'Choix pédagogiques'!$C$3=2),$BM574=1),C574,IF(AND('Choix pédagogiques'!$C$3=3,$BO574=1),C574,""))</f>
        <v/>
      </c>
      <c r="Y574" s="53" t="str">
        <f aca="false">IF(AND(OR('Choix pédagogiques'!$C$3=1,'Choix pédagogiques'!$C$3=2),$BM574=1),D574,IF(AND('Choix pédagogiques'!$C$3=3,$BO574=1),D574,""))</f>
        <v/>
      </c>
      <c r="Z574" s="53" t="str">
        <f aca="false">IF($E574&lt;&gt;"",$E574,"")</f>
        <v/>
      </c>
      <c r="AA574" s="52" t="str">
        <f aca="false">IF($F574&lt;&gt;"",$F574,"")</f>
        <v>Apprenant 562 ou 562'</v>
      </c>
      <c r="AB574" s="53" t="str">
        <f aca="false">IF(AND(OR('Choix pédagogiques'!$C$3=1,'Choix pédagogiques'!$C$3=2),$BN574=1),G574,IF(AND('Choix pédagogiques'!$C$3=3,$BO574=1),G574,""))</f>
        <v/>
      </c>
      <c r="AC574" s="53" t="str">
        <f aca="false">IF(AND(OR('Choix pédagogiques'!$C$3=1,'Choix pédagogiques'!$C$3=2),$BN574=1),H574,IF(AND('Choix pédagogiques'!$C$3=3,$BO574=1),H574,""))</f>
        <v/>
      </c>
      <c r="AD574" s="53" t="str">
        <f aca="false">IF(AND(OR('Choix pédagogiques'!$C$3=1,'Choix pédagogiques'!$C$3=2),$BN574=1),I574,IF(AND('Choix pédagogiques'!$C$3=3,$BO574=1),I574,""))</f>
        <v/>
      </c>
      <c r="AE574" s="53" t="str">
        <f aca="false">IF($J574&lt;&gt;"",$J574,"")</f>
        <v/>
      </c>
      <c r="AF574" s="52" t="str">
        <f aca="false">IF($A574&lt;&gt;"",$A574,"")</f>
        <v>Apprenant 562</v>
      </c>
      <c r="AG574" s="53" t="str">
        <f aca="false">IF(AND($W574&lt;&gt;"",$X574&lt;&gt;""),$X574-$W574,"")</f>
        <v/>
      </c>
      <c r="AH574" s="53" t="str">
        <f aca="false">IF(AND($W574&lt;&gt;"",$Y574&lt;&gt;""),$Y574-$W574,"")</f>
        <v/>
      </c>
      <c r="AI574" s="53" t="str">
        <f aca="false">IF(AND($X574&lt;&gt;"",$Y574&lt;&gt;""),$Y574-$X574,"")</f>
        <v/>
      </c>
      <c r="AJ574" s="53" t="str">
        <f aca="false">IF($E574&lt;&gt;"",$E574,"")</f>
        <v/>
      </c>
      <c r="AK574" s="52" t="str">
        <f aca="false">IF($F574&lt;&gt;"",$F574,"")</f>
        <v>Apprenant 562 ou 562'</v>
      </c>
      <c r="AL574" s="53" t="str">
        <f aca="false">IF(AND($AB574&lt;&gt;"",$AC574&lt;&gt;""),$AC574-$AB574,"")</f>
        <v/>
      </c>
      <c r="AM574" s="53" t="str">
        <f aca="false">IF(AND($AB574&lt;&gt;"",$AD574&lt;&gt;""),$AD574-$AB574,"")</f>
        <v/>
      </c>
      <c r="AN574" s="53" t="str">
        <f aca="false">IF(AND($AC574&lt;&gt;"",$AD574&lt;&gt;""),$AD574-$AC574,"")</f>
        <v/>
      </c>
      <c r="AO574" s="53" t="str">
        <f aca="false">IF($J574&lt;&gt;"",$J574,"")</f>
        <v/>
      </c>
      <c r="AQ574" s="52" t="str">
        <f aca="false">IF($A574&lt;&gt;"",$A574,"")</f>
        <v>Apprenant 562</v>
      </c>
      <c r="AR574" s="55" t="str">
        <f aca="false">IF(AND('Choix pédagogiques'!$C$4&lt;&gt;"?",'Choix pédagogiques'!$C$5&lt;&gt;"?",W574&lt;&gt;""),(W574-'Choix pédagogiques'!$C$4)/('Choix pédagogiques'!$C$5-'Choix pédagogiques'!$C$4),"")</f>
        <v/>
      </c>
      <c r="AS574" s="55" t="str">
        <f aca="false">IF(AND('Choix pédagogiques'!$C$4&lt;&gt;"?",'Choix pédagogiques'!$C$5&lt;&gt;"?",X574&lt;&gt;""),(X574-'Choix pédagogiques'!$C$4)/('Choix pédagogiques'!$C$5-'Choix pédagogiques'!$C$4),"")</f>
        <v/>
      </c>
      <c r="AT574" s="55" t="str">
        <f aca="false">IF(AND('Choix pédagogiques'!$C$4&lt;&gt;"?",'Choix pédagogiques'!$C$5&lt;&gt;"?",Y574&lt;&gt;""),(Y574-'Choix pédagogiques'!$C$4)/('Choix pédagogiques'!$C$5-'Choix pédagogiques'!$C$4),"")</f>
        <v/>
      </c>
      <c r="AU574" s="53" t="str">
        <f aca="false">IF($E574&lt;&gt;"",$E574,"")</f>
        <v/>
      </c>
      <c r="AV574" s="52" t="str">
        <f aca="false">IF($F574&lt;&gt;"",$F574,"")</f>
        <v>Apprenant 562 ou 562'</v>
      </c>
      <c r="AW574" s="55" t="str">
        <f aca="false">IF(AND('Choix pédagogiques'!$C$4&lt;&gt;"?",'Choix pédagogiques'!$C$5&lt;&gt;"?",AB574&lt;&gt;""),(AB574-'Choix pédagogiques'!$C$4)/('Choix pédagogiques'!$C$5-'Choix pédagogiques'!$C$4),"")</f>
        <v/>
      </c>
      <c r="AX574" s="55" t="str">
        <f aca="false">IF(AND('Choix pédagogiques'!$C$4&lt;&gt;"?",'Choix pédagogiques'!$C$5&lt;&gt;"?",AC574&lt;&gt;""),(AC574-'Choix pédagogiques'!$C$4)/('Choix pédagogiques'!$C$5-'Choix pédagogiques'!$C$4),"")</f>
        <v/>
      </c>
      <c r="AY574" s="55" t="str">
        <f aca="false">IF(AND('Choix pédagogiques'!$C$4&lt;&gt;"?",'Choix pédagogiques'!$C$5&lt;&gt;"?",AD574&lt;&gt;""),(AD574-'Choix pédagogiques'!$C$4)/('Choix pédagogiques'!$C$5-'Choix pédagogiques'!$C$4),"")</f>
        <v/>
      </c>
      <c r="AZ574" s="53" t="str">
        <f aca="false">IF($J574&lt;&gt;"",$J574,"")</f>
        <v/>
      </c>
      <c r="BA574" s="52" t="str">
        <f aca="false">IF($A574&lt;&gt;"",$A574,"")</f>
        <v>Apprenant 562</v>
      </c>
      <c r="BB574" s="55" t="str">
        <f aca="false">IF(AND($AR574&lt;&gt;"",$AS574&lt;&gt;""),$AS574-$AR574,"")</f>
        <v/>
      </c>
      <c r="BC574" s="55" t="str">
        <f aca="false">IF(AND($AR574&lt;&gt;"",$AT574&lt;&gt;""),$AT574-$AR574,"")</f>
        <v/>
      </c>
      <c r="BD574" s="55" t="str">
        <f aca="false">IF(AND($AS574&lt;&gt;"",$AT574&lt;&gt;""),$AT574-$AS574,"")</f>
        <v/>
      </c>
      <c r="BE574" s="53" t="str">
        <f aca="false">IF($E574&lt;&gt;"",$E574,"")</f>
        <v/>
      </c>
      <c r="BF574" s="52" t="str">
        <f aca="false">IF($F574&lt;&gt;"",$F574,"")</f>
        <v>Apprenant 562 ou 562'</v>
      </c>
      <c r="BG574" s="55" t="str">
        <f aca="false">IF(AND($AW574&lt;&gt;"",$AX574&lt;&gt;""),$AX574-$AW574,"")</f>
        <v/>
      </c>
      <c r="BH574" s="55" t="str">
        <f aca="false">IF(AND($AW574&lt;&gt;"",$AY574&lt;&gt;""),$AY574-$AW574,"")</f>
        <v/>
      </c>
      <c r="BI574" s="55" t="str">
        <f aca="false">IF(AND($AX574&lt;&gt;"",$AY574&lt;&gt;""),$AY574-$AX574,"")</f>
        <v/>
      </c>
      <c r="BJ574" s="53" t="str">
        <f aca="false">IF($J574&lt;&gt;"",$J574,"")</f>
        <v/>
      </c>
      <c r="BL574" s="52"/>
      <c r="BM574" s="52" t="str">
        <f aca="false">IF(OR(COUNT(B574:D1573)=0,AND('Choix pédagogiques'!$C$3&lt;&gt;1,'Choix pédagogiques'!$C$3&lt;&gt;2)),"",IF(AND(OR('Choix pédagogiques'!$C$3=1,'Choix pédagogiques'!$C$3=2),$B574&lt;&gt;"",$C574&lt;&gt;"",$D574&lt;&gt;""),1,0))</f>
        <v/>
      </c>
      <c r="BN574" s="52" t="str">
        <f aca="false">IF(OR(COUNT(G574:I1573)=0,AND('Choix pédagogiques'!$C$3&lt;&gt;1,'Choix pédagogiques'!$C$3&lt;&gt;2)),"",IF(AND(OR('Choix pédagogiques'!$C$3=1,'Choix pédagogiques'!$C$3=2),AND($G574&lt;&gt;"",$H574&lt;&gt;"",$I574&lt;&gt;"")),1,0))</f>
        <v/>
      </c>
      <c r="BO574" s="52" t="str">
        <f aca="false">IF(OR(COUNT(B574:D1573)=0,COUNT(G574:I1573)=0,'Choix pédagogiques'!C$3&lt;&gt;3),"",IF(AND('Choix pédagogiques'!$C$3=3,$B574&lt;&gt;"",$C574&lt;&gt;"",$D574&lt;&gt;"",$G574&lt;&gt;"",$H574&lt;&gt;"",$I574&lt;&gt;""),1,0))</f>
        <v/>
      </c>
      <c r="BR574" s="52" t="n">
        <v>414</v>
      </c>
      <c r="BS574" s="52" t="n">
        <v>1012</v>
      </c>
    </row>
    <row r="575" s="54" customFormat="true" ht="18" hidden="false" customHeight="true" outlineLevel="0" collapsed="false">
      <c r="A575" s="57" t="s">
        <v>1081</v>
      </c>
      <c r="B575" s="51"/>
      <c r="C575" s="51"/>
      <c r="D575" s="51"/>
      <c r="E575" s="51"/>
      <c r="F575" s="57" t="s">
        <v>1082</v>
      </c>
      <c r="G575" s="51"/>
      <c r="H575" s="51"/>
      <c r="I575" s="51"/>
      <c r="J575" s="51"/>
      <c r="K575" s="52" t="str">
        <f aca="false">IF($A575&lt;&gt;"",$A575,"")</f>
        <v>Apprenant 563</v>
      </c>
      <c r="L575" s="53" t="str">
        <f aca="false">IF(AND($B575&lt;&gt;"",$C575&lt;&gt;""),$C575-$B575,"")</f>
        <v/>
      </c>
      <c r="M575" s="53" t="str">
        <f aca="false">IF(AND($B575&lt;&gt;"",$D575&lt;&gt;""),$D575-$B575,"")</f>
        <v/>
      </c>
      <c r="N575" s="53" t="str">
        <f aca="false">IF(AND($C575&lt;&gt;"",$D575&lt;&gt;""),$D575-$C575,"")</f>
        <v/>
      </c>
      <c r="O575" s="53" t="str">
        <f aca="false">IF($E575&lt;&gt;"",$E575,"")</f>
        <v/>
      </c>
      <c r="P575" s="52" t="str">
        <f aca="false">IF($F575&lt;&gt;"",$F575,"")</f>
        <v>Apprenant 563 ou 563'</v>
      </c>
      <c r="Q575" s="53" t="str">
        <f aca="false">IF(AND($G575&lt;&gt;"",$H575&lt;&gt;""),$H575-$G575,"")</f>
        <v/>
      </c>
      <c r="R575" s="53" t="str">
        <f aca="false">IF(AND($G575&lt;&gt;"",$I575&lt;&gt;""),$I575-$G575,"")</f>
        <v/>
      </c>
      <c r="S575" s="53" t="str">
        <f aca="false">IF(AND($H575&lt;&gt;"",$I575&lt;&gt;""),$I575-$H575,"")</f>
        <v/>
      </c>
      <c r="T575" s="53" t="str">
        <f aca="false">IF($J575&lt;&gt;"",$J575,"")</f>
        <v/>
      </c>
      <c r="V575" s="52" t="str">
        <f aca="false">IF($A575&lt;&gt;"",$A575,"")</f>
        <v>Apprenant 563</v>
      </c>
      <c r="W575" s="53" t="str">
        <f aca="false">IF(AND(OR('Choix pédagogiques'!$C$3=1,'Choix pédagogiques'!$C$3=2),$BM575=1),B575,IF(AND('Choix pédagogiques'!$C$3=3,$BO575=1),B575,""))</f>
        <v/>
      </c>
      <c r="X575" s="53" t="str">
        <f aca="false">IF(AND(OR('Choix pédagogiques'!$C$3=1,'Choix pédagogiques'!$C$3=2),$BM575=1),C575,IF(AND('Choix pédagogiques'!$C$3=3,$BO575=1),C575,""))</f>
        <v/>
      </c>
      <c r="Y575" s="53" t="str">
        <f aca="false">IF(AND(OR('Choix pédagogiques'!$C$3=1,'Choix pédagogiques'!$C$3=2),$BM575=1),D575,IF(AND('Choix pédagogiques'!$C$3=3,$BO575=1),D575,""))</f>
        <v/>
      </c>
      <c r="Z575" s="53" t="str">
        <f aca="false">IF($E575&lt;&gt;"",$E575,"")</f>
        <v/>
      </c>
      <c r="AA575" s="52" t="str">
        <f aca="false">IF($F575&lt;&gt;"",$F575,"")</f>
        <v>Apprenant 563 ou 563'</v>
      </c>
      <c r="AB575" s="53" t="str">
        <f aca="false">IF(AND(OR('Choix pédagogiques'!$C$3=1,'Choix pédagogiques'!$C$3=2),$BN575=1),G575,IF(AND('Choix pédagogiques'!$C$3=3,$BO575=1),G575,""))</f>
        <v/>
      </c>
      <c r="AC575" s="53" t="str">
        <f aca="false">IF(AND(OR('Choix pédagogiques'!$C$3=1,'Choix pédagogiques'!$C$3=2),$BN575=1),H575,IF(AND('Choix pédagogiques'!$C$3=3,$BO575=1),H575,""))</f>
        <v/>
      </c>
      <c r="AD575" s="53" t="str">
        <f aca="false">IF(AND(OR('Choix pédagogiques'!$C$3=1,'Choix pédagogiques'!$C$3=2),$BN575=1),I575,IF(AND('Choix pédagogiques'!$C$3=3,$BO575=1),I575,""))</f>
        <v/>
      </c>
      <c r="AE575" s="53" t="str">
        <f aca="false">IF($J575&lt;&gt;"",$J575,"")</f>
        <v/>
      </c>
      <c r="AF575" s="52" t="str">
        <f aca="false">IF($A575&lt;&gt;"",$A575,"")</f>
        <v>Apprenant 563</v>
      </c>
      <c r="AG575" s="53" t="str">
        <f aca="false">IF(AND($W575&lt;&gt;"",$X575&lt;&gt;""),$X575-$W575,"")</f>
        <v/>
      </c>
      <c r="AH575" s="53" t="str">
        <f aca="false">IF(AND($W575&lt;&gt;"",$Y575&lt;&gt;""),$Y575-$W575,"")</f>
        <v/>
      </c>
      <c r="AI575" s="53" t="str">
        <f aca="false">IF(AND($X575&lt;&gt;"",$Y575&lt;&gt;""),$Y575-$X575,"")</f>
        <v/>
      </c>
      <c r="AJ575" s="53" t="str">
        <f aca="false">IF($E575&lt;&gt;"",$E575,"")</f>
        <v/>
      </c>
      <c r="AK575" s="52" t="str">
        <f aca="false">IF($F575&lt;&gt;"",$F575,"")</f>
        <v>Apprenant 563 ou 563'</v>
      </c>
      <c r="AL575" s="53" t="str">
        <f aca="false">IF(AND($AB575&lt;&gt;"",$AC575&lt;&gt;""),$AC575-$AB575,"")</f>
        <v/>
      </c>
      <c r="AM575" s="53" t="str">
        <f aca="false">IF(AND($AB575&lt;&gt;"",$AD575&lt;&gt;""),$AD575-$AB575,"")</f>
        <v/>
      </c>
      <c r="AN575" s="53" t="str">
        <f aca="false">IF(AND($AC575&lt;&gt;"",$AD575&lt;&gt;""),$AD575-$AC575,"")</f>
        <v/>
      </c>
      <c r="AO575" s="53" t="str">
        <f aca="false">IF($J575&lt;&gt;"",$J575,"")</f>
        <v/>
      </c>
      <c r="AQ575" s="52" t="str">
        <f aca="false">IF($A575&lt;&gt;"",$A575,"")</f>
        <v>Apprenant 563</v>
      </c>
      <c r="AR575" s="55" t="str">
        <f aca="false">IF(AND('Choix pédagogiques'!$C$4&lt;&gt;"?",'Choix pédagogiques'!$C$5&lt;&gt;"?",W575&lt;&gt;""),(W575-'Choix pédagogiques'!$C$4)/('Choix pédagogiques'!$C$5-'Choix pédagogiques'!$C$4),"")</f>
        <v/>
      </c>
      <c r="AS575" s="55" t="str">
        <f aca="false">IF(AND('Choix pédagogiques'!$C$4&lt;&gt;"?",'Choix pédagogiques'!$C$5&lt;&gt;"?",X575&lt;&gt;""),(X575-'Choix pédagogiques'!$C$4)/('Choix pédagogiques'!$C$5-'Choix pédagogiques'!$C$4),"")</f>
        <v/>
      </c>
      <c r="AT575" s="55" t="str">
        <f aca="false">IF(AND('Choix pédagogiques'!$C$4&lt;&gt;"?",'Choix pédagogiques'!$C$5&lt;&gt;"?",Y575&lt;&gt;""),(Y575-'Choix pédagogiques'!$C$4)/('Choix pédagogiques'!$C$5-'Choix pédagogiques'!$C$4),"")</f>
        <v/>
      </c>
      <c r="AU575" s="53" t="str">
        <f aca="false">IF($E575&lt;&gt;"",$E575,"")</f>
        <v/>
      </c>
      <c r="AV575" s="52" t="str">
        <f aca="false">IF($F575&lt;&gt;"",$F575,"")</f>
        <v>Apprenant 563 ou 563'</v>
      </c>
      <c r="AW575" s="55" t="str">
        <f aca="false">IF(AND('Choix pédagogiques'!$C$4&lt;&gt;"?",'Choix pédagogiques'!$C$5&lt;&gt;"?",AB575&lt;&gt;""),(AB575-'Choix pédagogiques'!$C$4)/('Choix pédagogiques'!$C$5-'Choix pédagogiques'!$C$4),"")</f>
        <v/>
      </c>
      <c r="AX575" s="55" t="str">
        <f aca="false">IF(AND('Choix pédagogiques'!$C$4&lt;&gt;"?",'Choix pédagogiques'!$C$5&lt;&gt;"?",AC575&lt;&gt;""),(AC575-'Choix pédagogiques'!$C$4)/('Choix pédagogiques'!$C$5-'Choix pédagogiques'!$C$4),"")</f>
        <v/>
      </c>
      <c r="AY575" s="55" t="str">
        <f aca="false">IF(AND('Choix pédagogiques'!$C$4&lt;&gt;"?",'Choix pédagogiques'!$C$5&lt;&gt;"?",AD575&lt;&gt;""),(AD575-'Choix pédagogiques'!$C$4)/('Choix pédagogiques'!$C$5-'Choix pédagogiques'!$C$4),"")</f>
        <v/>
      </c>
      <c r="AZ575" s="53" t="str">
        <f aca="false">IF($J575&lt;&gt;"",$J575,"")</f>
        <v/>
      </c>
      <c r="BA575" s="52" t="str">
        <f aca="false">IF($A575&lt;&gt;"",$A575,"")</f>
        <v>Apprenant 563</v>
      </c>
      <c r="BB575" s="55" t="str">
        <f aca="false">IF(AND($AR575&lt;&gt;"",$AS575&lt;&gt;""),$AS575-$AR575,"")</f>
        <v/>
      </c>
      <c r="BC575" s="55" t="str">
        <f aca="false">IF(AND($AR575&lt;&gt;"",$AT575&lt;&gt;""),$AT575-$AR575,"")</f>
        <v/>
      </c>
      <c r="BD575" s="55" t="str">
        <f aca="false">IF(AND($AS575&lt;&gt;"",$AT575&lt;&gt;""),$AT575-$AS575,"")</f>
        <v/>
      </c>
      <c r="BE575" s="53" t="str">
        <f aca="false">IF($E575&lt;&gt;"",$E575,"")</f>
        <v/>
      </c>
      <c r="BF575" s="52" t="str">
        <f aca="false">IF($F575&lt;&gt;"",$F575,"")</f>
        <v>Apprenant 563 ou 563'</v>
      </c>
      <c r="BG575" s="55" t="str">
        <f aca="false">IF(AND($AW575&lt;&gt;"",$AX575&lt;&gt;""),$AX575-$AW575,"")</f>
        <v/>
      </c>
      <c r="BH575" s="55" t="str">
        <f aca="false">IF(AND($AW575&lt;&gt;"",$AY575&lt;&gt;""),$AY575-$AW575,"")</f>
        <v/>
      </c>
      <c r="BI575" s="55" t="str">
        <f aca="false">IF(AND($AX575&lt;&gt;"",$AY575&lt;&gt;""),$AY575-$AX575,"")</f>
        <v/>
      </c>
      <c r="BJ575" s="53" t="str">
        <f aca="false">IF($J575&lt;&gt;"",$J575,"")</f>
        <v/>
      </c>
      <c r="BL575" s="52"/>
      <c r="BM575" s="52" t="str">
        <f aca="false">IF(OR(COUNT(B575:D1574)=0,AND('Choix pédagogiques'!$C$3&lt;&gt;1,'Choix pédagogiques'!$C$3&lt;&gt;2)),"",IF(AND(OR('Choix pédagogiques'!$C$3=1,'Choix pédagogiques'!$C$3=2),$B575&lt;&gt;"",$C575&lt;&gt;"",$D575&lt;&gt;""),1,0))</f>
        <v/>
      </c>
      <c r="BN575" s="52" t="str">
        <f aca="false">IF(OR(COUNT(G575:I1574)=0,AND('Choix pédagogiques'!$C$3&lt;&gt;1,'Choix pédagogiques'!$C$3&lt;&gt;2)),"",IF(AND(OR('Choix pédagogiques'!$C$3=1,'Choix pédagogiques'!$C$3=2),AND($G575&lt;&gt;"",$H575&lt;&gt;"",$I575&lt;&gt;"")),1,0))</f>
        <v/>
      </c>
      <c r="BO575" s="52" t="str">
        <f aca="false">IF(OR(COUNT(B575:D1574)=0,COUNT(G575:I1574)=0,'Choix pédagogiques'!C$3&lt;&gt;3),"",IF(AND('Choix pédagogiques'!$C$3=3,$B575&lt;&gt;"",$C575&lt;&gt;"",$D575&lt;&gt;"",$G575&lt;&gt;"",$H575&lt;&gt;"",$I575&lt;&gt;""),1,0))</f>
        <v/>
      </c>
      <c r="BR575" s="52" t="n">
        <v>821</v>
      </c>
      <c r="BS575" s="52" t="n">
        <v>1972</v>
      </c>
    </row>
    <row r="576" s="54" customFormat="true" ht="18" hidden="false" customHeight="true" outlineLevel="0" collapsed="false">
      <c r="A576" s="57" t="s">
        <v>1083</v>
      </c>
      <c r="B576" s="51"/>
      <c r="C576" s="51"/>
      <c r="D576" s="51"/>
      <c r="E576" s="51"/>
      <c r="F576" s="57" t="s">
        <v>1084</v>
      </c>
      <c r="G576" s="51"/>
      <c r="H576" s="51"/>
      <c r="I576" s="51"/>
      <c r="J576" s="51"/>
      <c r="K576" s="52" t="str">
        <f aca="false">IF($A576&lt;&gt;"",$A576,"")</f>
        <v>Apprenant 564</v>
      </c>
      <c r="L576" s="53" t="str">
        <f aca="false">IF(AND($B576&lt;&gt;"",$C576&lt;&gt;""),$C576-$B576,"")</f>
        <v/>
      </c>
      <c r="M576" s="53" t="str">
        <f aca="false">IF(AND($B576&lt;&gt;"",$D576&lt;&gt;""),$D576-$B576,"")</f>
        <v/>
      </c>
      <c r="N576" s="53" t="str">
        <f aca="false">IF(AND($C576&lt;&gt;"",$D576&lt;&gt;""),$D576-$C576,"")</f>
        <v/>
      </c>
      <c r="O576" s="53" t="str">
        <f aca="false">IF($E576&lt;&gt;"",$E576,"")</f>
        <v/>
      </c>
      <c r="P576" s="52" t="str">
        <f aca="false">IF($F576&lt;&gt;"",$F576,"")</f>
        <v>Apprenant 564 ou 564'</v>
      </c>
      <c r="Q576" s="53" t="str">
        <f aca="false">IF(AND($G576&lt;&gt;"",$H576&lt;&gt;""),$H576-$G576,"")</f>
        <v/>
      </c>
      <c r="R576" s="53" t="str">
        <f aca="false">IF(AND($G576&lt;&gt;"",$I576&lt;&gt;""),$I576-$G576,"")</f>
        <v/>
      </c>
      <c r="S576" s="53" t="str">
        <f aca="false">IF(AND($H576&lt;&gt;"",$I576&lt;&gt;""),$I576-$H576,"")</f>
        <v/>
      </c>
      <c r="T576" s="53" t="str">
        <f aca="false">IF($J576&lt;&gt;"",$J576,"")</f>
        <v/>
      </c>
      <c r="V576" s="52" t="str">
        <f aca="false">IF($A576&lt;&gt;"",$A576,"")</f>
        <v>Apprenant 564</v>
      </c>
      <c r="W576" s="53" t="str">
        <f aca="false">IF(AND(OR('Choix pédagogiques'!$C$3=1,'Choix pédagogiques'!$C$3=2),$BM576=1),B576,IF(AND('Choix pédagogiques'!$C$3=3,$BO576=1),B576,""))</f>
        <v/>
      </c>
      <c r="X576" s="53" t="str">
        <f aca="false">IF(AND(OR('Choix pédagogiques'!$C$3=1,'Choix pédagogiques'!$C$3=2),$BM576=1),C576,IF(AND('Choix pédagogiques'!$C$3=3,$BO576=1),C576,""))</f>
        <v/>
      </c>
      <c r="Y576" s="53" t="str">
        <f aca="false">IF(AND(OR('Choix pédagogiques'!$C$3=1,'Choix pédagogiques'!$C$3=2),$BM576=1),D576,IF(AND('Choix pédagogiques'!$C$3=3,$BO576=1),D576,""))</f>
        <v/>
      </c>
      <c r="Z576" s="53" t="str">
        <f aca="false">IF($E576&lt;&gt;"",$E576,"")</f>
        <v/>
      </c>
      <c r="AA576" s="52" t="str">
        <f aca="false">IF($F576&lt;&gt;"",$F576,"")</f>
        <v>Apprenant 564 ou 564'</v>
      </c>
      <c r="AB576" s="53" t="str">
        <f aca="false">IF(AND(OR('Choix pédagogiques'!$C$3=1,'Choix pédagogiques'!$C$3=2),$BN576=1),G576,IF(AND('Choix pédagogiques'!$C$3=3,$BO576=1),G576,""))</f>
        <v/>
      </c>
      <c r="AC576" s="53" t="str">
        <f aca="false">IF(AND(OR('Choix pédagogiques'!$C$3=1,'Choix pédagogiques'!$C$3=2),$BN576=1),H576,IF(AND('Choix pédagogiques'!$C$3=3,$BO576=1),H576,""))</f>
        <v/>
      </c>
      <c r="AD576" s="53" t="str">
        <f aca="false">IF(AND(OR('Choix pédagogiques'!$C$3=1,'Choix pédagogiques'!$C$3=2),$BN576=1),I576,IF(AND('Choix pédagogiques'!$C$3=3,$BO576=1),I576,""))</f>
        <v/>
      </c>
      <c r="AE576" s="53" t="str">
        <f aca="false">IF($J576&lt;&gt;"",$J576,"")</f>
        <v/>
      </c>
      <c r="AF576" s="52" t="str">
        <f aca="false">IF($A576&lt;&gt;"",$A576,"")</f>
        <v>Apprenant 564</v>
      </c>
      <c r="AG576" s="53" t="str">
        <f aca="false">IF(AND($W576&lt;&gt;"",$X576&lt;&gt;""),$X576-$W576,"")</f>
        <v/>
      </c>
      <c r="AH576" s="53" t="str">
        <f aca="false">IF(AND($W576&lt;&gt;"",$Y576&lt;&gt;""),$Y576-$W576,"")</f>
        <v/>
      </c>
      <c r="AI576" s="53" t="str">
        <f aca="false">IF(AND($X576&lt;&gt;"",$Y576&lt;&gt;""),$Y576-$X576,"")</f>
        <v/>
      </c>
      <c r="AJ576" s="53" t="str">
        <f aca="false">IF($E576&lt;&gt;"",$E576,"")</f>
        <v/>
      </c>
      <c r="AK576" s="52" t="str">
        <f aca="false">IF($F576&lt;&gt;"",$F576,"")</f>
        <v>Apprenant 564 ou 564'</v>
      </c>
      <c r="AL576" s="53" t="str">
        <f aca="false">IF(AND($AB576&lt;&gt;"",$AC576&lt;&gt;""),$AC576-$AB576,"")</f>
        <v/>
      </c>
      <c r="AM576" s="53" t="str">
        <f aca="false">IF(AND($AB576&lt;&gt;"",$AD576&lt;&gt;""),$AD576-$AB576,"")</f>
        <v/>
      </c>
      <c r="AN576" s="53" t="str">
        <f aca="false">IF(AND($AC576&lt;&gt;"",$AD576&lt;&gt;""),$AD576-$AC576,"")</f>
        <v/>
      </c>
      <c r="AO576" s="53" t="str">
        <f aca="false">IF($J576&lt;&gt;"",$J576,"")</f>
        <v/>
      </c>
      <c r="AQ576" s="52" t="str">
        <f aca="false">IF($A576&lt;&gt;"",$A576,"")</f>
        <v>Apprenant 564</v>
      </c>
      <c r="AR576" s="55" t="str">
        <f aca="false">IF(AND('Choix pédagogiques'!$C$4&lt;&gt;"?",'Choix pédagogiques'!$C$5&lt;&gt;"?",W576&lt;&gt;""),(W576-'Choix pédagogiques'!$C$4)/('Choix pédagogiques'!$C$5-'Choix pédagogiques'!$C$4),"")</f>
        <v/>
      </c>
      <c r="AS576" s="55" t="str">
        <f aca="false">IF(AND('Choix pédagogiques'!$C$4&lt;&gt;"?",'Choix pédagogiques'!$C$5&lt;&gt;"?",X576&lt;&gt;""),(X576-'Choix pédagogiques'!$C$4)/('Choix pédagogiques'!$C$5-'Choix pédagogiques'!$C$4),"")</f>
        <v/>
      </c>
      <c r="AT576" s="55" t="str">
        <f aca="false">IF(AND('Choix pédagogiques'!$C$4&lt;&gt;"?",'Choix pédagogiques'!$C$5&lt;&gt;"?",Y576&lt;&gt;""),(Y576-'Choix pédagogiques'!$C$4)/('Choix pédagogiques'!$C$5-'Choix pédagogiques'!$C$4),"")</f>
        <v/>
      </c>
      <c r="AU576" s="53" t="str">
        <f aca="false">IF($E576&lt;&gt;"",$E576,"")</f>
        <v/>
      </c>
      <c r="AV576" s="52" t="str">
        <f aca="false">IF($F576&lt;&gt;"",$F576,"")</f>
        <v>Apprenant 564 ou 564'</v>
      </c>
      <c r="AW576" s="55" t="str">
        <f aca="false">IF(AND('Choix pédagogiques'!$C$4&lt;&gt;"?",'Choix pédagogiques'!$C$5&lt;&gt;"?",AB576&lt;&gt;""),(AB576-'Choix pédagogiques'!$C$4)/('Choix pédagogiques'!$C$5-'Choix pédagogiques'!$C$4),"")</f>
        <v/>
      </c>
      <c r="AX576" s="55" t="str">
        <f aca="false">IF(AND('Choix pédagogiques'!$C$4&lt;&gt;"?",'Choix pédagogiques'!$C$5&lt;&gt;"?",AC576&lt;&gt;""),(AC576-'Choix pédagogiques'!$C$4)/('Choix pédagogiques'!$C$5-'Choix pédagogiques'!$C$4),"")</f>
        <v/>
      </c>
      <c r="AY576" s="55" t="str">
        <f aca="false">IF(AND('Choix pédagogiques'!$C$4&lt;&gt;"?",'Choix pédagogiques'!$C$5&lt;&gt;"?",AD576&lt;&gt;""),(AD576-'Choix pédagogiques'!$C$4)/('Choix pédagogiques'!$C$5-'Choix pédagogiques'!$C$4),"")</f>
        <v/>
      </c>
      <c r="AZ576" s="53" t="str">
        <f aca="false">IF($J576&lt;&gt;"",$J576,"")</f>
        <v/>
      </c>
      <c r="BA576" s="52" t="str">
        <f aca="false">IF($A576&lt;&gt;"",$A576,"")</f>
        <v>Apprenant 564</v>
      </c>
      <c r="BB576" s="55" t="str">
        <f aca="false">IF(AND($AR576&lt;&gt;"",$AS576&lt;&gt;""),$AS576-$AR576,"")</f>
        <v/>
      </c>
      <c r="BC576" s="55" t="str">
        <f aca="false">IF(AND($AR576&lt;&gt;"",$AT576&lt;&gt;""),$AT576-$AR576,"")</f>
        <v/>
      </c>
      <c r="BD576" s="55" t="str">
        <f aca="false">IF(AND($AS576&lt;&gt;"",$AT576&lt;&gt;""),$AT576-$AS576,"")</f>
        <v/>
      </c>
      <c r="BE576" s="53" t="str">
        <f aca="false">IF($E576&lt;&gt;"",$E576,"")</f>
        <v/>
      </c>
      <c r="BF576" s="52" t="str">
        <f aca="false">IF($F576&lt;&gt;"",$F576,"")</f>
        <v>Apprenant 564 ou 564'</v>
      </c>
      <c r="BG576" s="55" t="str">
        <f aca="false">IF(AND($AW576&lt;&gt;"",$AX576&lt;&gt;""),$AX576-$AW576,"")</f>
        <v/>
      </c>
      <c r="BH576" s="55" t="str">
        <f aca="false">IF(AND($AW576&lt;&gt;"",$AY576&lt;&gt;""),$AY576-$AW576,"")</f>
        <v/>
      </c>
      <c r="BI576" s="55" t="str">
        <f aca="false">IF(AND($AX576&lt;&gt;"",$AY576&lt;&gt;""),$AY576-$AX576,"")</f>
        <v/>
      </c>
      <c r="BJ576" s="53" t="str">
        <f aca="false">IF($J576&lt;&gt;"",$J576,"")</f>
        <v/>
      </c>
      <c r="BL576" s="52"/>
      <c r="BM576" s="52" t="str">
        <f aca="false">IF(OR(COUNT(B576:D1575)=0,AND('Choix pédagogiques'!$C$3&lt;&gt;1,'Choix pédagogiques'!$C$3&lt;&gt;2)),"",IF(AND(OR('Choix pédagogiques'!$C$3=1,'Choix pédagogiques'!$C$3=2),$B576&lt;&gt;"",$C576&lt;&gt;"",$D576&lt;&gt;""),1,0))</f>
        <v/>
      </c>
      <c r="BN576" s="52" t="str">
        <f aca="false">IF(OR(COUNT(G576:I1575)=0,AND('Choix pédagogiques'!$C$3&lt;&gt;1,'Choix pédagogiques'!$C$3&lt;&gt;2)),"",IF(AND(OR('Choix pédagogiques'!$C$3=1,'Choix pédagogiques'!$C$3=2),AND($G576&lt;&gt;"",$H576&lt;&gt;"",$I576&lt;&gt;"")),1,0))</f>
        <v/>
      </c>
      <c r="BO576" s="52" t="str">
        <f aca="false">IF(OR(COUNT(B576:D1575)=0,COUNT(G576:I1575)=0,'Choix pédagogiques'!C$3&lt;&gt;3),"",IF(AND('Choix pédagogiques'!$C$3=3,$B576&lt;&gt;"",$C576&lt;&gt;"",$D576&lt;&gt;"",$G576&lt;&gt;"",$H576&lt;&gt;"",$I576&lt;&gt;""),1,0))</f>
        <v/>
      </c>
      <c r="BR576" s="52" t="n">
        <v>684</v>
      </c>
      <c r="BS576" s="52" t="n">
        <v>1534</v>
      </c>
    </row>
    <row r="577" s="54" customFormat="true" ht="18" hidden="false" customHeight="true" outlineLevel="0" collapsed="false">
      <c r="A577" s="57" t="s">
        <v>1085</v>
      </c>
      <c r="B577" s="51"/>
      <c r="C577" s="51"/>
      <c r="D577" s="51"/>
      <c r="E577" s="51"/>
      <c r="F577" s="57" t="s">
        <v>1086</v>
      </c>
      <c r="G577" s="51"/>
      <c r="H577" s="51"/>
      <c r="I577" s="51"/>
      <c r="J577" s="51"/>
      <c r="K577" s="52" t="str">
        <f aca="false">IF($A577&lt;&gt;"",$A577,"")</f>
        <v>Apprenant 565</v>
      </c>
      <c r="L577" s="53" t="str">
        <f aca="false">IF(AND($B577&lt;&gt;"",$C577&lt;&gt;""),$C577-$B577,"")</f>
        <v/>
      </c>
      <c r="M577" s="53" t="str">
        <f aca="false">IF(AND($B577&lt;&gt;"",$D577&lt;&gt;""),$D577-$B577,"")</f>
        <v/>
      </c>
      <c r="N577" s="53" t="str">
        <f aca="false">IF(AND($C577&lt;&gt;"",$D577&lt;&gt;""),$D577-$C577,"")</f>
        <v/>
      </c>
      <c r="O577" s="53" t="str">
        <f aca="false">IF($E577&lt;&gt;"",$E577,"")</f>
        <v/>
      </c>
      <c r="P577" s="52" t="str">
        <f aca="false">IF($F577&lt;&gt;"",$F577,"")</f>
        <v>Apprenant 565 ou 565'</v>
      </c>
      <c r="Q577" s="53" t="str">
        <f aca="false">IF(AND($G577&lt;&gt;"",$H577&lt;&gt;""),$H577-$G577,"")</f>
        <v/>
      </c>
      <c r="R577" s="53" t="str">
        <f aca="false">IF(AND($G577&lt;&gt;"",$I577&lt;&gt;""),$I577-$G577,"")</f>
        <v/>
      </c>
      <c r="S577" s="53" t="str">
        <f aca="false">IF(AND($H577&lt;&gt;"",$I577&lt;&gt;""),$I577-$H577,"")</f>
        <v/>
      </c>
      <c r="T577" s="53" t="str">
        <f aca="false">IF($J577&lt;&gt;"",$J577,"")</f>
        <v/>
      </c>
      <c r="V577" s="52" t="str">
        <f aca="false">IF($A577&lt;&gt;"",$A577,"")</f>
        <v>Apprenant 565</v>
      </c>
      <c r="W577" s="53" t="str">
        <f aca="false">IF(AND(OR('Choix pédagogiques'!$C$3=1,'Choix pédagogiques'!$C$3=2),$BM577=1),B577,IF(AND('Choix pédagogiques'!$C$3=3,$BO577=1),B577,""))</f>
        <v/>
      </c>
      <c r="X577" s="53" t="str">
        <f aca="false">IF(AND(OR('Choix pédagogiques'!$C$3=1,'Choix pédagogiques'!$C$3=2),$BM577=1),C577,IF(AND('Choix pédagogiques'!$C$3=3,$BO577=1),C577,""))</f>
        <v/>
      </c>
      <c r="Y577" s="53" t="str">
        <f aca="false">IF(AND(OR('Choix pédagogiques'!$C$3=1,'Choix pédagogiques'!$C$3=2),$BM577=1),D577,IF(AND('Choix pédagogiques'!$C$3=3,$BO577=1),D577,""))</f>
        <v/>
      </c>
      <c r="Z577" s="53" t="str">
        <f aca="false">IF($E577&lt;&gt;"",$E577,"")</f>
        <v/>
      </c>
      <c r="AA577" s="52" t="str">
        <f aca="false">IF($F577&lt;&gt;"",$F577,"")</f>
        <v>Apprenant 565 ou 565'</v>
      </c>
      <c r="AB577" s="53" t="str">
        <f aca="false">IF(AND(OR('Choix pédagogiques'!$C$3=1,'Choix pédagogiques'!$C$3=2),$BN577=1),G577,IF(AND('Choix pédagogiques'!$C$3=3,$BO577=1),G577,""))</f>
        <v/>
      </c>
      <c r="AC577" s="53" t="str">
        <f aca="false">IF(AND(OR('Choix pédagogiques'!$C$3=1,'Choix pédagogiques'!$C$3=2),$BN577=1),H577,IF(AND('Choix pédagogiques'!$C$3=3,$BO577=1),H577,""))</f>
        <v/>
      </c>
      <c r="AD577" s="53" t="str">
        <f aca="false">IF(AND(OR('Choix pédagogiques'!$C$3=1,'Choix pédagogiques'!$C$3=2),$BN577=1),I577,IF(AND('Choix pédagogiques'!$C$3=3,$BO577=1),I577,""))</f>
        <v/>
      </c>
      <c r="AE577" s="53" t="str">
        <f aca="false">IF($J577&lt;&gt;"",$J577,"")</f>
        <v/>
      </c>
      <c r="AF577" s="52" t="str">
        <f aca="false">IF($A577&lt;&gt;"",$A577,"")</f>
        <v>Apprenant 565</v>
      </c>
      <c r="AG577" s="53" t="str">
        <f aca="false">IF(AND($W577&lt;&gt;"",$X577&lt;&gt;""),$X577-$W577,"")</f>
        <v/>
      </c>
      <c r="AH577" s="53" t="str">
        <f aca="false">IF(AND($W577&lt;&gt;"",$Y577&lt;&gt;""),$Y577-$W577,"")</f>
        <v/>
      </c>
      <c r="AI577" s="53" t="str">
        <f aca="false">IF(AND($X577&lt;&gt;"",$Y577&lt;&gt;""),$Y577-$X577,"")</f>
        <v/>
      </c>
      <c r="AJ577" s="53" t="str">
        <f aca="false">IF($E577&lt;&gt;"",$E577,"")</f>
        <v/>
      </c>
      <c r="AK577" s="52" t="str">
        <f aca="false">IF($F577&lt;&gt;"",$F577,"")</f>
        <v>Apprenant 565 ou 565'</v>
      </c>
      <c r="AL577" s="53" t="str">
        <f aca="false">IF(AND($AB577&lt;&gt;"",$AC577&lt;&gt;""),$AC577-$AB577,"")</f>
        <v/>
      </c>
      <c r="AM577" s="53" t="str">
        <f aca="false">IF(AND($AB577&lt;&gt;"",$AD577&lt;&gt;""),$AD577-$AB577,"")</f>
        <v/>
      </c>
      <c r="AN577" s="53" t="str">
        <f aca="false">IF(AND($AC577&lt;&gt;"",$AD577&lt;&gt;""),$AD577-$AC577,"")</f>
        <v/>
      </c>
      <c r="AO577" s="53" t="str">
        <f aca="false">IF($J577&lt;&gt;"",$J577,"")</f>
        <v/>
      </c>
      <c r="AQ577" s="52" t="str">
        <f aca="false">IF($A577&lt;&gt;"",$A577,"")</f>
        <v>Apprenant 565</v>
      </c>
      <c r="AR577" s="55" t="str">
        <f aca="false">IF(AND('Choix pédagogiques'!$C$4&lt;&gt;"?",'Choix pédagogiques'!$C$5&lt;&gt;"?",W577&lt;&gt;""),(W577-'Choix pédagogiques'!$C$4)/('Choix pédagogiques'!$C$5-'Choix pédagogiques'!$C$4),"")</f>
        <v/>
      </c>
      <c r="AS577" s="55" t="str">
        <f aca="false">IF(AND('Choix pédagogiques'!$C$4&lt;&gt;"?",'Choix pédagogiques'!$C$5&lt;&gt;"?",X577&lt;&gt;""),(X577-'Choix pédagogiques'!$C$4)/('Choix pédagogiques'!$C$5-'Choix pédagogiques'!$C$4),"")</f>
        <v/>
      </c>
      <c r="AT577" s="55" t="str">
        <f aca="false">IF(AND('Choix pédagogiques'!$C$4&lt;&gt;"?",'Choix pédagogiques'!$C$5&lt;&gt;"?",Y577&lt;&gt;""),(Y577-'Choix pédagogiques'!$C$4)/('Choix pédagogiques'!$C$5-'Choix pédagogiques'!$C$4),"")</f>
        <v/>
      </c>
      <c r="AU577" s="53" t="str">
        <f aca="false">IF($E577&lt;&gt;"",$E577,"")</f>
        <v/>
      </c>
      <c r="AV577" s="52" t="str">
        <f aca="false">IF($F577&lt;&gt;"",$F577,"")</f>
        <v>Apprenant 565 ou 565'</v>
      </c>
      <c r="AW577" s="55" t="str">
        <f aca="false">IF(AND('Choix pédagogiques'!$C$4&lt;&gt;"?",'Choix pédagogiques'!$C$5&lt;&gt;"?",AB577&lt;&gt;""),(AB577-'Choix pédagogiques'!$C$4)/('Choix pédagogiques'!$C$5-'Choix pédagogiques'!$C$4),"")</f>
        <v/>
      </c>
      <c r="AX577" s="55" t="str">
        <f aca="false">IF(AND('Choix pédagogiques'!$C$4&lt;&gt;"?",'Choix pédagogiques'!$C$5&lt;&gt;"?",AC577&lt;&gt;""),(AC577-'Choix pédagogiques'!$C$4)/('Choix pédagogiques'!$C$5-'Choix pédagogiques'!$C$4),"")</f>
        <v/>
      </c>
      <c r="AY577" s="55" t="str">
        <f aca="false">IF(AND('Choix pédagogiques'!$C$4&lt;&gt;"?",'Choix pédagogiques'!$C$5&lt;&gt;"?",AD577&lt;&gt;""),(AD577-'Choix pédagogiques'!$C$4)/('Choix pédagogiques'!$C$5-'Choix pédagogiques'!$C$4),"")</f>
        <v/>
      </c>
      <c r="AZ577" s="53" t="str">
        <f aca="false">IF($J577&lt;&gt;"",$J577,"")</f>
        <v/>
      </c>
      <c r="BA577" s="52" t="str">
        <f aca="false">IF($A577&lt;&gt;"",$A577,"")</f>
        <v>Apprenant 565</v>
      </c>
      <c r="BB577" s="55" t="str">
        <f aca="false">IF(AND($AR577&lt;&gt;"",$AS577&lt;&gt;""),$AS577-$AR577,"")</f>
        <v/>
      </c>
      <c r="BC577" s="55" t="str">
        <f aca="false">IF(AND($AR577&lt;&gt;"",$AT577&lt;&gt;""),$AT577-$AR577,"")</f>
        <v/>
      </c>
      <c r="BD577" s="55" t="str">
        <f aca="false">IF(AND($AS577&lt;&gt;"",$AT577&lt;&gt;""),$AT577-$AS577,"")</f>
        <v/>
      </c>
      <c r="BE577" s="53" t="str">
        <f aca="false">IF($E577&lt;&gt;"",$E577,"")</f>
        <v/>
      </c>
      <c r="BF577" s="52" t="str">
        <f aca="false">IF($F577&lt;&gt;"",$F577,"")</f>
        <v>Apprenant 565 ou 565'</v>
      </c>
      <c r="BG577" s="55" t="str">
        <f aca="false">IF(AND($AW577&lt;&gt;"",$AX577&lt;&gt;""),$AX577-$AW577,"")</f>
        <v/>
      </c>
      <c r="BH577" s="55" t="str">
        <f aca="false">IF(AND($AW577&lt;&gt;"",$AY577&lt;&gt;""),$AY577-$AW577,"")</f>
        <v/>
      </c>
      <c r="BI577" s="55" t="str">
        <f aca="false">IF(AND($AX577&lt;&gt;"",$AY577&lt;&gt;""),$AY577-$AX577,"")</f>
        <v/>
      </c>
      <c r="BJ577" s="53" t="str">
        <f aca="false">IF($J577&lt;&gt;"",$J577,"")</f>
        <v/>
      </c>
      <c r="BL577" s="52"/>
      <c r="BM577" s="52" t="str">
        <f aca="false">IF(OR(COUNT(B577:D1576)=0,AND('Choix pédagogiques'!$C$3&lt;&gt;1,'Choix pédagogiques'!$C$3&lt;&gt;2)),"",IF(AND(OR('Choix pédagogiques'!$C$3=1,'Choix pédagogiques'!$C$3=2),$B577&lt;&gt;"",$C577&lt;&gt;"",$D577&lt;&gt;""),1,0))</f>
        <v/>
      </c>
      <c r="BN577" s="52" t="str">
        <f aca="false">IF(OR(COUNT(G577:I1576)=0,AND('Choix pédagogiques'!$C$3&lt;&gt;1,'Choix pédagogiques'!$C$3&lt;&gt;2)),"",IF(AND(OR('Choix pédagogiques'!$C$3=1,'Choix pédagogiques'!$C$3=2),AND($G577&lt;&gt;"",$H577&lt;&gt;"",$I577&lt;&gt;"")),1,0))</f>
        <v/>
      </c>
      <c r="BO577" s="52" t="str">
        <f aca="false">IF(OR(COUNT(B577:D1576)=0,COUNT(G577:I1576)=0,'Choix pédagogiques'!C$3&lt;&gt;3),"",IF(AND('Choix pédagogiques'!$C$3=3,$B577&lt;&gt;"",$C577&lt;&gt;"",$D577&lt;&gt;"",$G577&lt;&gt;"",$H577&lt;&gt;"",$I577&lt;&gt;""),1,0))</f>
        <v/>
      </c>
      <c r="BR577" s="52" t="n">
        <v>49</v>
      </c>
      <c r="BS577" s="52" t="n">
        <v>1559</v>
      </c>
    </row>
    <row r="578" s="54" customFormat="true" ht="18" hidden="false" customHeight="true" outlineLevel="0" collapsed="false">
      <c r="A578" s="57" t="s">
        <v>1087</v>
      </c>
      <c r="B578" s="51"/>
      <c r="C578" s="51"/>
      <c r="D578" s="51"/>
      <c r="E578" s="51"/>
      <c r="F578" s="57" t="s">
        <v>1088</v>
      </c>
      <c r="G578" s="51"/>
      <c r="H578" s="51"/>
      <c r="I578" s="51"/>
      <c r="J578" s="51"/>
      <c r="K578" s="52" t="str">
        <f aca="false">IF($A578&lt;&gt;"",$A578,"")</f>
        <v>Apprenant 566</v>
      </c>
      <c r="L578" s="53" t="str">
        <f aca="false">IF(AND($B578&lt;&gt;"",$C578&lt;&gt;""),$C578-$B578,"")</f>
        <v/>
      </c>
      <c r="M578" s="53" t="str">
        <f aca="false">IF(AND($B578&lt;&gt;"",$D578&lt;&gt;""),$D578-$B578,"")</f>
        <v/>
      </c>
      <c r="N578" s="53" t="str">
        <f aca="false">IF(AND($C578&lt;&gt;"",$D578&lt;&gt;""),$D578-$C578,"")</f>
        <v/>
      </c>
      <c r="O578" s="53" t="str">
        <f aca="false">IF($E578&lt;&gt;"",$E578,"")</f>
        <v/>
      </c>
      <c r="P578" s="52" t="str">
        <f aca="false">IF($F578&lt;&gt;"",$F578,"")</f>
        <v>Apprenant 566 ou 566'</v>
      </c>
      <c r="Q578" s="53" t="str">
        <f aca="false">IF(AND($G578&lt;&gt;"",$H578&lt;&gt;""),$H578-$G578,"")</f>
        <v/>
      </c>
      <c r="R578" s="53" t="str">
        <f aca="false">IF(AND($G578&lt;&gt;"",$I578&lt;&gt;""),$I578-$G578,"")</f>
        <v/>
      </c>
      <c r="S578" s="53" t="str">
        <f aca="false">IF(AND($H578&lt;&gt;"",$I578&lt;&gt;""),$I578-$H578,"")</f>
        <v/>
      </c>
      <c r="T578" s="53" t="str">
        <f aca="false">IF($J578&lt;&gt;"",$J578,"")</f>
        <v/>
      </c>
      <c r="V578" s="52" t="str">
        <f aca="false">IF($A578&lt;&gt;"",$A578,"")</f>
        <v>Apprenant 566</v>
      </c>
      <c r="W578" s="53" t="str">
        <f aca="false">IF(AND(OR('Choix pédagogiques'!$C$3=1,'Choix pédagogiques'!$C$3=2),$BM578=1),B578,IF(AND('Choix pédagogiques'!$C$3=3,$BO578=1),B578,""))</f>
        <v/>
      </c>
      <c r="X578" s="53" t="str">
        <f aca="false">IF(AND(OR('Choix pédagogiques'!$C$3=1,'Choix pédagogiques'!$C$3=2),$BM578=1),C578,IF(AND('Choix pédagogiques'!$C$3=3,$BO578=1),C578,""))</f>
        <v/>
      </c>
      <c r="Y578" s="53" t="str">
        <f aca="false">IF(AND(OR('Choix pédagogiques'!$C$3=1,'Choix pédagogiques'!$C$3=2),$BM578=1),D578,IF(AND('Choix pédagogiques'!$C$3=3,$BO578=1),D578,""))</f>
        <v/>
      </c>
      <c r="Z578" s="53" t="str">
        <f aca="false">IF($E578&lt;&gt;"",$E578,"")</f>
        <v/>
      </c>
      <c r="AA578" s="52" t="str">
        <f aca="false">IF($F578&lt;&gt;"",$F578,"")</f>
        <v>Apprenant 566 ou 566'</v>
      </c>
      <c r="AB578" s="53" t="str">
        <f aca="false">IF(AND(OR('Choix pédagogiques'!$C$3=1,'Choix pédagogiques'!$C$3=2),$BN578=1),G578,IF(AND('Choix pédagogiques'!$C$3=3,$BO578=1),G578,""))</f>
        <v/>
      </c>
      <c r="AC578" s="53" t="str">
        <f aca="false">IF(AND(OR('Choix pédagogiques'!$C$3=1,'Choix pédagogiques'!$C$3=2),$BN578=1),H578,IF(AND('Choix pédagogiques'!$C$3=3,$BO578=1),H578,""))</f>
        <v/>
      </c>
      <c r="AD578" s="53" t="str">
        <f aca="false">IF(AND(OR('Choix pédagogiques'!$C$3=1,'Choix pédagogiques'!$C$3=2),$BN578=1),I578,IF(AND('Choix pédagogiques'!$C$3=3,$BO578=1),I578,""))</f>
        <v/>
      </c>
      <c r="AE578" s="53" t="str">
        <f aca="false">IF($J578&lt;&gt;"",$J578,"")</f>
        <v/>
      </c>
      <c r="AF578" s="52" t="str">
        <f aca="false">IF($A578&lt;&gt;"",$A578,"")</f>
        <v>Apprenant 566</v>
      </c>
      <c r="AG578" s="53" t="str">
        <f aca="false">IF(AND($W578&lt;&gt;"",$X578&lt;&gt;""),$X578-$W578,"")</f>
        <v/>
      </c>
      <c r="AH578" s="53" t="str">
        <f aca="false">IF(AND($W578&lt;&gt;"",$Y578&lt;&gt;""),$Y578-$W578,"")</f>
        <v/>
      </c>
      <c r="AI578" s="53" t="str">
        <f aca="false">IF(AND($X578&lt;&gt;"",$Y578&lt;&gt;""),$Y578-$X578,"")</f>
        <v/>
      </c>
      <c r="AJ578" s="53" t="str">
        <f aca="false">IF($E578&lt;&gt;"",$E578,"")</f>
        <v/>
      </c>
      <c r="AK578" s="52" t="str">
        <f aca="false">IF($F578&lt;&gt;"",$F578,"")</f>
        <v>Apprenant 566 ou 566'</v>
      </c>
      <c r="AL578" s="53" t="str">
        <f aca="false">IF(AND($AB578&lt;&gt;"",$AC578&lt;&gt;""),$AC578-$AB578,"")</f>
        <v/>
      </c>
      <c r="AM578" s="53" t="str">
        <f aca="false">IF(AND($AB578&lt;&gt;"",$AD578&lt;&gt;""),$AD578-$AB578,"")</f>
        <v/>
      </c>
      <c r="AN578" s="53" t="str">
        <f aca="false">IF(AND($AC578&lt;&gt;"",$AD578&lt;&gt;""),$AD578-$AC578,"")</f>
        <v/>
      </c>
      <c r="AO578" s="53" t="str">
        <f aca="false">IF($J578&lt;&gt;"",$J578,"")</f>
        <v/>
      </c>
      <c r="AQ578" s="52" t="str">
        <f aca="false">IF($A578&lt;&gt;"",$A578,"")</f>
        <v>Apprenant 566</v>
      </c>
      <c r="AR578" s="55" t="str">
        <f aca="false">IF(AND('Choix pédagogiques'!$C$4&lt;&gt;"?",'Choix pédagogiques'!$C$5&lt;&gt;"?",W578&lt;&gt;""),(W578-'Choix pédagogiques'!$C$4)/('Choix pédagogiques'!$C$5-'Choix pédagogiques'!$C$4),"")</f>
        <v/>
      </c>
      <c r="AS578" s="55" t="str">
        <f aca="false">IF(AND('Choix pédagogiques'!$C$4&lt;&gt;"?",'Choix pédagogiques'!$C$5&lt;&gt;"?",X578&lt;&gt;""),(X578-'Choix pédagogiques'!$C$4)/('Choix pédagogiques'!$C$5-'Choix pédagogiques'!$C$4),"")</f>
        <v/>
      </c>
      <c r="AT578" s="55" t="str">
        <f aca="false">IF(AND('Choix pédagogiques'!$C$4&lt;&gt;"?",'Choix pédagogiques'!$C$5&lt;&gt;"?",Y578&lt;&gt;""),(Y578-'Choix pédagogiques'!$C$4)/('Choix pédagogiques'!$C$5-'Choix pédagogiques'!$C$4),"")</f>
        <v/>
      </c>
      <c r="AU578" s="53" t="str">
        <f aca="false">IF($E578&lt;&gt;"",$E578,"")</f>
        <v/>
      </c>
      <c r="AV578" s="52" t="str">
        <f aca="false">IF($F578&lt;&gt;"",$F578,"")</f>
        <v>Apprenant 566 ou 566'</v>
      </c>
      <c r="AW578" s="55" t="str">
        <f aca="false">IF(AND('Choix pédagogiques'!$C$4&lt;&gt;"?",'Choix pédagogiques'!$C$5&lt;&gt;"?",AB578&lt;&gt;""),(AB578-'Choix pédagogiques'!$C$4)/('Choix pédagogiques'!$C$5-'Choix pédagogiques'!$C$4),"")</f>
        <v/>
      </c>
      <c r="AX578" s="55" t="str">
        <f aca="false">IF(AND('Choix pédagogiques'!$C$4&lt;&gt;"?",'Choix pédagogiques'!$C$5&lt;&gt;"?",AC578&lt;&gt;""),(AC578-'Choix pédagogiques'!$C$4)/('Choix pédagogiques'!$C$5-'Choix pédagogiques'!$C$4),"")</f>
        <v/>
      </c>
      <c r="AY578" s="55" t="str">
        <f aca="false">IF(AND('Choix pédagogiques'!$C$4&lt;&gt;"?",'Choix pédagogiques'!$C$5&lt;&gt;"?",AD578&lt;&gt;""),(AD578-'Choix pédagogiques'!$C$4)/('Choix pédagogiques'!$C$5-'Choix pédagogiques'!$C$4),"")</f>
        <v/>
      </c>
      <c r="AZ578" s="53" t="str">
        <f aca="false">IF($J578&lt;&gt;"",$J578,"")</f>
        <v/>
      </c>
      <c r="BA578" s="52" t="str">
        <f aca="false">IF($A578&lt;&gt;"",$A578,"")</f>
        <v>Apprenant 566</v>
      </c>
      <c r="BB578" s="55" t="str">
        <f aca="false">IF(AND($AR578&lt;&gt;"",$AS578&lt;&gt;""),$AS578-$AR578,"")</f>
        <v/>
      </c>
      <c r="BC578" s="55" t="str">
        <f aca="false">IF(AND($AR578&lt;&gt;"",$AT578&lt;&gt;""),$AT578-$AR578,"")</f>
        <v/>
      </c>
      <c r="BD578" s="55" t="str">
        <f aca="false">IF(AND($AS578&lt;&gt;"",$AT578&lt;&gt;""),$AT578-$AS578,"")</f>
        <v/>
      </c>
      <c r="BE578" s="53" t="str">
        <f aca="false">IF($E578&lt;&gt;"",$E578,"")</f>
        <v/>
      </c>
      <c r="BF578" s="52" t="str">
        <f aca="false">IF($F578&lt;&gt;"",$F578,"")</f>
        <v>Apprenant 566 ou 566'</v>
      </c>
      <c r="BG578" s="55" t="str">
        <f aca="false">IF(AND($AW578&lt;&gt;"",$AX578&lt;&gt;""),$AX578-$AW578,"")</f>
        <v/>
      </c>
      <c r="BH578" s="55" t="str">
        <f aca="false">IF(AND($AW578&lt;&gt;"",$AY578&lt;&gt;""),$AY578-$AW578,"")</f>
        <v/>
      </c>
      <c r="BI578" s="55" t="str">
        <f aca="false">IF(AND($AX578&lt;&gt;"",$AY578&lt;&gt;""),$AY578-$AX578,"")</f>
        <v/>
      </c>
      <c r="BJ578" s="53" t="str">
        <f aca="false">IF($J578&lt;&gt;"",$J578,"")</f>
        <v/>
      </c>
      <c r="BL578" s="52"/>
      <c r="BM578" s="52" t="str">
        <f aca="false">IF(OR(COUNT(B578:D1577)=0,AND('Choix pédagogiques'!$C$3&lt;&gt;1,'Choix pédagogiques'!$C$3&lt;&gt;2)),"",IF(AND(OR('Choix pédagogiques'!$C$3=1,'Choix pédagogiques'!$C$3=2),$B578&lt;&gt;"",$C578&lt;&gt;"",$D578&lt;&gt;""),1,0))</f>
        <v/>
      </c>
      <c r="BN578" s="52" t="str">
        <f aca="false">IF(OR(COUNT(G578:I1577)=0,AND('Choix pédagogiques'!$C$3&lt;&gt;1,'Choix pédagogiques'!$C$3&lt;&gt;2)),"",IF(AND(OR('Choix pédagogiques'!$C$3=1,'Choix pédagogiques'!$C$3=2),AND($G578&lt;&gt;"",$H578&lt;&gt;"",$I578&lt;&gt;"")),1,0))</f>
        <v/>
      </c>
      <c r="BO578" s="52" t="str">
        <f aca="false">IF(OR(COUNT(B578:D1577)=0,COUNT(G578:I1577)=0,'Choix pédagogiques'!C$3&lt;&gt;3),"",IF(AND('Choix pédagogiques'!$C$3=3,$B578&lt;&gt;"",$C578&lt;&gt;"",$D578&lt;&gt;"",$G578&lt;&gt;"",$H578&lt;&gt;"",$I578&lt;&gt;""),1,0))</f>
        <v/>
      </c>
      <c r="BR578" s="52" t="n">
        <v>715</v>
      </c>
      <c r="BS578" s="52" t="n">
        <v>1968</v>
      </c>
    </row>
    <row r="579" s="54" customFormat="true" ht="18" hidden="false" customHeight="true" outlineLevel="0" collapsed="false">
      <c r="A579" s="57" t="s">
        <v>1089</v>
      </c>
      <c r="B579" s="51"/>
      <c r="C579" s="51"/>
      <c r="D579" s="51"/>
      <c r="E579" s="51"/>
      <c r="F579" s="57" t="s">
        <v>1090</v>
      </c>
      <c r="G579" s="51"/>
      <c r="H579" s="51"/>
      <c r="I579" s="51"/>
      <c r="J579" s="51"/>
      <c r="K579" s="52" t="str">
        <f aca="false">IF($A579&lt;&gt;"",$A579,"")</f>
        <v>Apprenant 567</v>
      </c>
      <c r="L579" s="53" t="str">
        <f aca="false">IF(AND($B579&lt;&gt;"",$C579&lt;&gt;""),$C579-$B579,"")</f>
        <v/>
      </c>
      <c r="M579" s="53" t="str">
        <f aca="false">IF(AND($B579&lt;&gt;"",$D579&lt;&gt;""),$D579-$B579,"")</f>
        <v/>
      </c>
      <c r="N579" s="53" t="str">
        <f aca="false">IF(AND($C579&lt;&gt;"",$D579&lt;&gt;""),$D579-$C579,"")</f>
        <v/>
      </c>
      <c r="O579" s="53" t="str">
        <f aca="false">IF($E579&lt;&gt;"",$E579,"")</f>
        <v/>
      </c>
      <c r="P579" s="52" t="str">
        <f aca="false">IF($F579&lt;&gt;"",$F579,"")</f>
        <v>Apprenant 567 ou 567'</v>
      </c>
      <c r="Q579" s="53" t="str">
        <f aca="false">IF(AND($G579&lt;&gt;"",$H579&lt;&gt;""),$H579-$G579,"")</f>
        <v/>
      </c>
      <c r="R579" s="53" t="str">
        <f aca="false">IF(AND($G579&lt;&gt;"",$I579&lt;&gt;""),$I579-$G579,"")</f>
        <v/>
      </c>
      <c r="S579" s="53" t="str">
        <f aca="false">IF(AND($H579&lt;&gt;"",$I579&lt;&gt;""),$I579-$H579,"")</f>
        <v/>
      </c>
      <c r="T579" s="53" t="str">
        <f aca="false">IF($J579&lt;&gt;"",$J579,"")</f>
        <v/>
      </c>
      <c r="V579" s="52" t="str">
        <f aca="false">IF($A579&lt;&gt;"",$A579,"")</f>
        <v>Apprenant 567</v>
      </c>
      <c r="W579" s="53" t="str">
        <f aca="false">IF(AND(OR('Choix pédagogiques'!$C$3=1,'Choix pédagogiques'!$C$3=2),$BM579=1),B579,IF(AND('Choix pédagogiques'!$C$3=3,$BO579=1),B579,""))</f>
        <v/>
      </c>
      <c r="X579" s="53" t="str">
        <f aca="false">IF(AND(OR('Choix pédagogiques'!$C$3=1,'Choix pédagogiques'!$C$3=2),$BM579=1),C579,IF(AND('Choix pédagogiques'!$C$3=3,$BO579=1),C579,""))</f>
        <v/>
      </c>
      <c r="Y579" s="53" t="str">
        <f aca="false">IF(AND(OR('Choix pédagogiques'!$C$3=1,'Choix pédagogiques'!$C$3=2),$BM579=1),D579,IF(AND('Choix pédagogiques'!$C$3=3,$BO579=1),D579,""))</f>
        <v/>
      </c>
      <c r="Z579" s="53" t="str">
        <f aca="false">IF($E579&lt;&gt;"",$E579,"")</f>
        <v/>
      </c>
      <c r="AA579" s="52" t="str">
        <f aca="false">IF($F579&lt;&gt;"",$F579,"")</f>
        <v>Apprenant 567 ou 567'</v>
      </c>
      <c r="AB579" s="53" t="str">
        <f aca="false">IF(AND(OR('Choix pédagogiques'!$C$3=1,'Choix pédagogiques'!$C$3=2),$BN579=1),G579,IF(AND('Choix pédagogiques'!$C$3=3,$BO579=1),G579,""))</f>
        <v/>
      </c>
      <c r="AC579" s="53" t="str">
        <f aca="false">IF(AND(OR('Choix pédagogiques'!$C$3=1,'Choix pédagogiques'!$C$3=2),$BN579=1),H579,IF(AND('Choix pédagogiques'!$C$3=3,$BO579=1),H579,""))</f>
        <v/>
      </c>
      <c r="AD579" s="53" t="str">
        <f aca="false">IF(AND(OR('Choix pédagogiques'!$C$3=1,'Choix pédagogiques'!$C$3=2),$BN579=1),I579,IF(AND('Choix pédagogiques'!$C$3=3,$BO579=1),I579,""))</f>
        <v/>
      </c>
      <c r="AE579" s="53" t="str">
        <f aca="false">IF($J579&lt;&gt;"",$J579,"")</f>
        <v/>
      </c>
      <c r="AF579" s="52" t="str">
        <f aca="false">IF($A579&lt;&gt;"",$A579,"")</f>
        <v>Apprenant 567</v>
      </c>
      <c r="AG579" s="53" t="str">
        <f aca="false">IF(AND($W579&lt;&gt;"",$X579&lt;&gt;""),$X579-$W579,"")</f>
        <v/>
      </c>
      <c r="AH579" s="53" t="str">
        <f aca="false">IF(AND($W579&lt;&gt;"",$Y579&lt;&gt;""),$Y579-$W579,"")</f>
        <v/>
      </c>
      <c r="AI579" s="53" t="str">
        <f aca="false">IF(AND($X579&lt;&gt;"",$Y579&lt;&gt;""),$Y579-$X579,"")</f>
        <v/>
      </c>
      <c r="AJ579" s="53" t="str">
        <f aca="false">IF($E579&lt;&gt;"",$E579,"")</f>
        <v/>
      </c>
      <c r="AK579" s="52" t="str">
        <f aca="false">IF($F579&lt;&gt;"",$F579,"")</f>
        <v>Apprenant 567 ou 567'</v>
      </c>
      <c r="AL579" s="53" t="str">
        <f aca="false">IF(AND($AB579&lt;&gt;"",$AC579&lt;&gt;""),$AC579-$AB579,"")</f>
        <v/>
      </c>
      <c r="AM579" s="53" t="str">
        <f aca="false">IF(AND($AB579&lt;&gt;"",$AD579&lt;&gt;""),$AD579-$AB579,"")</f>
        <v/>
      </c>
      <c r="AN579" s="53" t="str">
        <f aca="false">IF(AND($AC579&lt;&gt;"",$AD579&lt;&gt;""),$AD579-$AC579,"")</f>
        <v/>
      </c>
      <c r="AO579" s="53" t="str">
        <f aca="false">IF($J579&lt;&gt;"",$J579,"")</f>
        <v/>
      </c>
      <c r="AQ579" s="52" t="str">
        <f aca="false">IF($A579&lt;&gt;"",$A579,"")</f>
        <v>Apprenant 567</v>
      </c>
      <c r="AR579" s="55" t="str">
        <f aca="false">IF(AND('Choix pédagogiques'!$C$4&lt;&gt;"?",'Choix pédagogiques'!$C$5&lt;&gt;"?",W579&lt;&gt;""),(W579-'Choix pédagogiques'!$C$4)/('Choix pédagogiques'!$C$5-'Choix pédagogiques'!$C$4),"")</f>
        <v/>
      </c>
      <c r="AS579" s="55" t="str">
        <f aca="false">IF(AND('Choix pédagogiques'!$C$4&lt;&gt;"?",'Choix pédagogiques'!$C$5&lt;&gt;"?",X579&lt;&gt;""),(X579-'Choix pédagogiques'!$C$4)/('Choix pédagogiques'!$C$5-'Choix pédagogiques'!$C$4),"")</f>
        <v/>
      </c>
      <c r="AT579" s="55" t="str">
        <f aca="false">IF(AND('Choix pédagogiques'!$C$4&lt;&gt;"?",'Choix pédagogiques'!$C$5&lt;&gt;"?",Y579&lt;&gt;""),(Y579-'Choix pédagogiques'!$C$4)/('Choix pédagogiques'!$C$5-'Choix pédagogiques'!$C$4),"")</f>
        <v/>
      </c>
      <c r="AU579" s="53" t="str">
        <f aca="false">IF($E579&lt;&gt;"",$E579,"")</f>
        <v/>
      </c>
      <c r="AV579" s="52" t="str">
        <f aca="false">IF($F579&lt;&gt;"",$F579,"")</f>
        <v>Apprenant 567 ou 567'</v>
      </c>
      <c r="AW579" s="55" t="str">
        <f aca="false">IF(AND('Choix pédagogiques'!$C$4&lt;&gt;"?",'Choix pédagogiques'!$C$5&lt;&gt;"?",AB579&lt;&gt;""),(AB579-'Choix pédagogiques'!$C$4)/('Choix pédagogiques'!$C$5-'Choix pédagogiques'!$C$4),"")</f>
        <v/>
      </c>
      <c r="AX579" s="55" t="str">
        <f aca="false">IF(AND('Choix pédagogiques'!$C$4&lt;&gt;"?",'Choix pédagogiques'!$C$5&lt;&gt;"?",AC579&lt;&gt;""),(AC579-'Choix pédagogiques'!$C$4)/('Choix pédagogiques'!$C$5-'Choix pédagogiques'!$C$4),"")</f>
        <v/>
      </c>
      <c r="AY579" s="55" t="str">
        <f aca="false">IF(AND('Choix pédagogiques'!$C$4&lt;&gt;"?",'Choix pédagogiques'!$C$5&lt;&gt;"?",AD579&lt;&gt;""),(AD579-'Choix pédagogiques'!$C$4)/('Choix pédagogiques'!$C$5-'Choix pédagogiques'!$C$4),"")</f>
        <v/>
      </c>
      <c r="AZ579" s="53" t="str">
        <f aca="false">IF($J579&lt;&gt;"",$J579,"")</f>
        <v/>
      </c>
      <c r="BA579" s="52" t="str">
        <f aca="false">IF($A579&lt;&gt;"",$A579,"")</f>
        <v>Apprenant 567</v>
      </c>
      <c r="BB579" s="55" t="str">
        <f aca="false">IF(AND($AR579&lt;&gt;"",$AS579&lt;&gt;""),$AS579-$AR579,"")</f>
        <v/>
      </c>
      <c r="BC579" s="55" t="str">
        <f aca="false">IF(AND($AR579&lt;&gt;"",$AT579&lt;&gt;""),$AT579-$AR579,"")</f>
        <v/>
      </c>
      <c r="BD579" s="55" t="str">
        <f aca="false">IF(AND($AS579&lt;&gt;"",$AT579&lt;&gt;""),$AT579-$AS579,"")</f>
        <v/>
      </c>
      <c r="BE579" s="53" t="str">
        <f aca="false">IF($E579&lt;&gt;"",$E579,"")</f>
        <v/>
      </c>
      <c r="BF579" s="52" t="str">
        <f aca="false">IF($F579&lt;&gt;"",$F579,"")</f>
        <v>Apprenant 567 ou 567'</v>
      </c>
      <c r="BG579" s="55" t="str">
        <f aca="false">IF(AND($AW579&lt;&gt;"",$AX579&lt;&gt;""),$AX579-$AW579,"")</f>
        <v/>
      </c>
      <c r="BH579" s="55" t="str">
        <f aca="false">IF(AND($AW579&lt;&gt;"",$AY579&lt;&gt;""),$AY579-$AW579,"")</f>
        <v/>
      </c>
      <c r="BI579" s="55" t="str">
        <f aca="false">IF(AND($AX579&lt;&gt;"",$AY579&lt;&gt;""),$AY579-$AX579,"")</f>
        <v/>
      </c>
      <c r="BJ579" s="53" t="str">
        <f aca="false">IF($J579&lt;&gt;"",$J579,"")</f>
        <v/>
      </c>
      <c r="BL579" s="52"/>
      <c r="BM579" s="52" t="str">
        <f aca="false">IF(OR(COUNT(B579:D1578)=0,AND('Choix pédagogiques'!$C$3&lt;&gt;1,'Choix pédagogiques'!$C$3&lt;&gt;2)),"",IF(AND(OR('Choix pédagogiques'!$C$3=1,'Choix pédagogiques'!$C$3=2),$B579&lt;&gt;"",$C579&lt;&gt;"",$D579&lt;&gt;""),1,0))</f>
        <v/>
      </c>
      <c r="BN579" s="52" t="str">
        <f aca="false">IF(OR(COUNT(G579:I1578)=0,AND('Choix pédagogiques'!$C$3&lt;&gt;1,'Choix pédagogiques'!$C$3&lt;&gt;2)),"",IF(AND(OR('Choix pédagogiques'!$C$3=1,'Choix pédagogiques'!$C$3=2),AND($G579&lt;&gt;"",$H579&lt;&gt;"",$I579&lt;&gt;"")),1,0))</f>
        <v/>
      </c>
      <c r="BO579" s="52" t="str">
        <f aca="false">IF(OR(COUNT(B579:D1578)=0,COUNT(G579:I1578)=0,'Choix pédagogiques'!C$3&lt;&gt;3),"",IF(AND('Choix pédagogiques'!$C$3=3,$B579&lt;&gt;"",$C579&lt;&gt;"",$D579&lt;&gt;"",$G579&lt;&gt;"",$H579&lt;&gt;"",$I579&lt;&gt;""),1,0))</f>
        <v/>
      </c>
      <c r="BR579" s="52" t="n">
        <v>727</v>
      </c>
      <c r="BS579" s="52" t="n">
        <v>1131</v>
      </c>
    </row>
    <row r="580" s="54" customFormat="true" ht="18" hidden="false" customHeight="true" outlineLevel="0" collapsed="false">
      <c r="A580" s="57" t="s">
        <v>1091</v>
      </c>
      <c r="B580" s="51"/>
      <c r="C580" s="51"/>
      <c r="D580" s="51"/>
      <c r="E580" s="51"/>
      <c r="F580" s="57" t="s">
        <v>1092</v>
      </c>
      <c r="G580" s="51"/>
      <c r="H580" s="51"/>
      <c r="I580" s="51"/>
      <c r="J580" s="51"/>
      <c r="K580" s="52" t="str">
        <f aca="false">IF($A580&lt;&gt;"",$A580,"")</f>
        <v>Apprenant 568</v>
      </c>
      <c r="L580" s="53" t="str">
        <f aca="false">IF(AND($B580&lt;&gt;"",$C580&lt;&gt;""),$C580-$B580,"")</f>
        <v/>
      </c>
      <c r="M580" s="53" t="str">
        <f aca="false">IF(AND($B580&lt;&gt;"",$D580&lt;&gt;""),$D580-$B580,"")</f>
        <v/>
      </c>
      <c r="N580" s="53" t="str">
        <f aca="false">IF(AND($C580&lt;&gt;"",$D580&lt;&gt;""),$D580-$C580,"")</f>
        <v/>
      </c>
      <c r="O580" s="53" t="str">
        <f aca="false">IF($E580&lt;&gt;"",$E580,"")</f>
        <v/>
      </c>
      <c r="P580" s="52" t="str">
        <f aca="false">IF($F580&lt;&gt;"",$F580,"")</f>
        <v>Apprenant 568 ou 568'</v>
      </c>
      <c r="Q580" s="53" t="str">
        <f aca="false">IF(AND($G580&lt;&gt;"",$H580&lt;&gt;""),$H580-$G580,"")</f>
        <v/>
      </c>
      <c r="R580" s="53" t="str">
        <f aca="false">IF(AND($G580&lt;&gt;"",$I580&lt;&gt;""),$I580-$G580,"")</f>
        <v/>
      </c>
      <c r="S580" s="53" t="str">
        <f aca="false">IF(AND($H580&lt;&gt;"",$I580&lt;&gt;""),$I580-$H580,"")</f>
        <v/>
      </c>
      <c r="T580" s="53" t="str">
        <f aca="false">IF($J580&lt;&gt;"",$J580,"")</f>
        <v/>
      </c>
      <c r="V580" s="52" t="str">
        <f aca="false">IF($A580&lt;&gt;"",$A580,"")</f>
        <v>Apprenant 568</v>
      </c>
      <c r="W580" s="53" t="str">
        <f aca="false">IF(AND(OR('Choix pédagogiques'!$C$3=1,'Choix pédagogiques'!$C$3=2),$BM580=1),B580,IF(AND('Choix pédagogiques'!$C$3=3,$BO580=1),B580,""))</f>
        <v/>
      </c>
      <c r="X580" s="53" t="str">
        <f aca="false">IF(AND(OR('Choix pédagogiques'!$C$3=1,'Choix pédagogiques'!$C$3=2),$BM580=1),C580,IF(AND('Choix pédagogiques'!$C$3=3,$BO580=1),C580,""))</f>
        <v/>
      </c>
      <c r="Y580" s="53" t="str">
        <f aca="false">IF(AND(OR('Choix pédagogiques'!$C$3=1,'Choix pédagogiques'!$C$3=2),$BM580=1),D580,IF(AND('Choix pédagogiques'!$C$3=3,$BO580=1),D580,""))</f>
        <v/>
      </c>
      <c r="Z580" s="53" t="str">
        <f aca="false">IF($E580&lt;&gt;"",$E580,"")</f>
        <v/>
      </c>
      <c r="AA580" s="52" t="str">
        <f aca="false">IF($F580&lt;&gt;"",$F580,"")</f>
        <v>Apprenant 568 ou 568'</v>
      </c>
      <c r="AB580" s="53" t="str">
        <f aca="false">IF(AND(OR('Choix pédagogiques'!$C$3=1,'Choix pédagogiques'!$C$3=2),$BN580=1),G580,IF(AND('Choix pédagogiques'!$C$3=3,$BO580=1),G580,""))</f>
        <v/>
      </c>
      <c r="AC580" s="53" t="str">
        <f aca="false">IF(AND(OR('Choix pédagogiques'!$C$3=1,'Choix pédagogiques'!$C$3=2),$BN580=1),H580,IF(AND('Choix pédagogiques'!$C$3=3,$BO580=1),H580,""))</f>
        <v/>
      </c>
      <c r="AD580" s="53" t="str">
        <f aca="false">IF(AND(OR('Choix pédagogiques'!$C$3=1,'Choix pédagogiques'!$C$3=2),$BN580=1),I580,IF(AND('Choix pédagogiques'!$C$3=3,$BO580=1),I580,""))</f>
        <v/>
      </c>
      <c r="AE580" s="53" t="str">
        <f aca="false">IF($J580&lt;&gt;"",$J580,"")</f>
        <v/>
      </c>
      <c r="AF580" s="52" t="str">
        <f aca="false">IF($A580&lt;&gt;"",$A580,"")</f>
        <v>Apprenant 568</v>
      </c>
      <c r="AG580" s="53" t="str">
        <f aca="false">IF(AND($W580&lt;&gt;"",$X580&lt;&gt;""),$X580-$W580,"")</f>
        <v/>
      </c>
      <c r="AH580" s="53" t="str">
        <f aca="false">IF(AND($W580&lt;&gt;"",$Y580&lt;&gt;""),$Y580-$W580,"")</f>
        <v/>
      </c>
      <c r="AI580" s="53" t="str">
        <f aca="false">IF(AND($X580&lt;&gt;"",$Y580&lt;&gt;""),$Y580-$X580,"")</f>
        <v/>
      </c>
      <c r="AJ580" s="53" t="str">
        <f aca="false">IF($E580&lt;&gt;"",$E580,"")</f>
        <v/>
      </c>
      <c r="AK580" s="52" t="str">
        <f aca="false">IF($F580&lt;&gt;"",$F580,"")</f>
        <v>Apprenant 568 ou 568'</v>
      </c>
      <c r="AL580" s="53" t="str">
        <f aca="false">IF(AND($AB580&lt;&gt;"",$AC580&lt;&gt;""),$AC580-$AB580,"")</f>
        <v/>
      </c>
      <c r="AM580" s="53" t="str">
        <f aca="false">IF(AND($AB580&lt;&gt;"",$AD580&lt;&gt;""),$AD580-$AB580,"")</f>
        <v/>
      </c>
      <c r="AN580" s="53" t="str">
        <f aca="false">IF(AND($AC580&lt;&gt;"",$AD580&lt;&gt;""),$AD580-$AC580,"")</f>
        <v/>
      </c>
      <c r="AO580" s="53" t="str">
        <f aca="false">IF($J580&lt;&gt;"",$J580,"")</f>
        <v/>
      </c>
      <c r="AQ580" s="52" t="str">
        <f aca="false">IF($A580&lt;&gt;"",$A580,"")</f>
        <v>Apprenant 568</v>
      </c>
      <c r="AR580" s="55" t="str">
        <f aca="false">IF(AND('Choix pédagogiques'!$C$4&lt;&gt;"?",'Choix pédagogiques'!$C$5&lt;&gt;"?",W580&lt;&gt;""),(W580-'Choix pédagogiques'!$C$4)/('Choix pédagogiques'!$C$5-'Choix pédagogiques'!$C$4),"")</f>
        <v/>
      </c>
      <c r="AS580" s="55" t="str">
        <f aca="false">IF(AND('Choix pédagogiques'!$C$4&lt;&gt;"?",'Choix pédagogiques'!$C$5&lt;&gt;"?",X580&lt;&gt;""),(X580-'Choix pédagogiques'!$C$4)/('Choix pédagogiques'!$C$5-'Choix pédagogiques'!$C$4),"")</f>
        <v/>
      </c>
      <c r="AT580" s="55" t="str">
        <f aca="false">IF(AND('Choix pédagogiques'!$C$4&lt;&gt;"?",'Choix pédagogiques'!$C$5&lt;&gt;"?",Y580&lt;&gt;""),(Y580-'Choix pédagogiques'!$C$4)/('Choix pédagogiques'!$C$5-'Choix pédagogiques'!$C$4),"")</f>
        <v/>
      </c>
      <c r="AU580" s="53" t="str">
        <f aca="false">IF($E580&lt;&gt;"",$E580,"")</f>
        <v/>
      </c>
      <c r="AV580" s="52" t="str">
        <f aca="false">IF($F580&lt;&gt;"",$F580,"")</f>
        <v>Apprenant 568 ou 568'</v>
      </c>
      <c r="AW580" s="55" t="str">
        <f aca="false">IF(AND('Choix pédagogiques'!$C$4&lt;&gt;"?",'Choix pédagogiques'!$C$5&lt;&gt;"?",AB580&lt;&gt;""),(AB580-'Choix pédagogiques'!$C$4)/('Choix pédagogiques'!$C$5-'Choix pédagogiques'!$C$4),"")</f>
        <v/>
      </c>
      <c r="AX580" s="55" t="str">
        <f aca="false">IF(AND('Choix pédagogiques'!$C$4&lt;&gt;"?",'Choix pédagogiques'!$C$5&lt;&gt;"?",AC580&lt;&gt;""),(AC580-'Choix pédagogiques'!$C$4)/('Choix pédagogiques'!$C$5-'Choix pédagogiques'!$C$4),"")</f>
        <v/>
      </c>
      <c r="AY580" s="55" t="str">
        <f aca="false">IF(AND('Choix pédagogiques'!$C$4&lt;&gt;"?",'Choix pédagogiques'!$C$5&lt;&gt;"?",AD580&lt;&gt;""),(AD580-'Choix pédagogiques'!$C$4)/('Choix pédagogiques'!$C$5-'Choix pédagogiques'!$C$4),"")</f>
        <v/>
      </c>
      <c r="AZ580" s="53" t="str">
        <f aca="false">IF($J580&lt;&gt;"",$J580,"")</f>
        <v/>
      </c>
      <c r="BA580" s="52" t="str">
        <f aca="false">IF($A580&lt;&gt;"",$A580,"")</f>
        <v>Apprenant 568</v>
      </c>
      <c r="BB580" s="55" t="str">
        <f aca="false">IF(AND($AR580&lt;&gt;"",$AS580&lt;&gt;""),$AS580-$AR580,"")</f>
        <v/>
      </c>
      <c r="BC580" s="55" t="str">
        <f aca="false">IF(AND($AR580&lt;&gt;"",$AT580&lt;&gt;""),$AT580-$AR580,"")</f>
        <v/>
      </c>
      <c r="BD580" s="55" t="str">
        <f aca="false">IF(AND($AS580&lt;&gt;"",$AT580&lt;&gt;""),$AT580-$AS580,"")</f>
        <v/>
      </c>
      <c r="BE580" s="53" t="str">
        <f aca="false">IF($E580&lt;&gt;"",$E580,"")</f>
        <v/>
      </c>
      <c r="BF580" s="52" t="str">
        <f aca="false">IF($F580&lt;&gt;"",$F580,"")</f>
        <v>Apprenant 568 ou 568'</v>
      </c>
      <c r="BG580" s="55" t="str">
        <f aca="false">IF(AND($AW580&lt;&gt;"",$AX580&lt;&gt;""),$AX580-$AW580,"")</f>
        <v/>
      </c>
      <c r="BH580" s="55" t="str">
        <f aca="false">IF(AND($AW580&lt;&gt;"",$AY580&lt;&gt;""),$AY580-$AW580,"")</f>
        <v/>
      </c>
      <c r="BI580" s="55" t="str">
        <f aca="false">IF(AND($AX580&lt;&gt;"",$AY580&lt;&gt;""),$AY580-$AX580,"")</f>
        <v/>
      </c>
      <c r="BJ580" s="53" t="str">
        <f aca="false">IF($J580&lt;&gt;"",$J580,"")</f>
        <v/>
      </c>
      <c r="BL580" s="52"/>
      <c r="BM580" s="52" t="str">
        <f aca="false">IF(OR(COUNT(B580:D1579)=0,AND('Choix pédagogiques'!$C$3&lt;&gt;1,'Choix pédagogiques'!$C$3&lt;&gt;2)),"",IF(AND(OR('Choix pédagogiques'!$C$3=1,'Choix pédagogiques'!$C$3=2),$B580&lt;&gt;"",$C580&lt;&gt;"",$D580&lt;&gt;""),1,0))</f>
        <v/>
      </c>
      <c r="BN580" s="52" t="str">
        <f aca="false">IF(OR(COUNT(G580:I1579)=0,AND('Choix pédagogiques'!$C$3&lt;&gt;1,'Choix pédagogiques'!$C$3&lt;&gt;2)),"",IF(AND(OR('Choix pédagogiques'!$C$3=1,'Choix pédagogiques'!$C$3=2),AND($G580&lt;&gt;"",$H580&lt;&gt;"",$I580&lt;&gt;"")),1,0))</f>
        <v/>
      </c>
      <c r="BO580" s="52" t="str">
        <f aca="false">IF(OR(COUNT(B580:D1579)=0,COUNT(G580:I1579)=0,'Choix pédagogiques'!C$3&lt;&gt;3),"",IF(AND('Choix pédagogiques'!$C$3=3,$B580&lt;&gt;"",$C580&lt;&gt;"",$D580&lt;&gt;"",$G580&lt;&gt;"",$H580&lt;&gt;"",$I580&lt;&gt;""),1,0))</f>
        <v/>
      </c>
      <c r="BR580" s="52" t="n">
        <v>537</v>
      </c>
      <c r="BS580" s="52" t="n">
        <v>1796</v>
      </c>
    </row>
    <row r="581" s="54" customFormat="true" ht="18" hidden="false" customHeight="true" outlineLevel="0" collapsed="false">
      <c r="A581" s="57" t="s">
        <v>1093</v>
      </c>
      <c r="B581" s="51"/>
      <c r="C581" s="51"/>
      <c r="D581" s="51"/>
      <c r="E581" s="51"/>
      <c r="F581" s="57" t="s">
        <v>1094</v>
      </c>
      <c r="G581" s="51"/>
      <c r="H581" s="51"/>
      <c r="I581" s="51"/>
      <c r="J581" s="51"/>
      <c r="K581" s="52" t="str">
        <f aca="false">IF($A581&lt;&gt;"",$A581,"")</f>
        <v>Apprenant 569</v>
      </c>
      <c r="L581" s="53" t="str">
        <f aca="false">IF(AND($B581&lt;&gt;"",$C581&lt;&gt;""),$C581-$B581,"")</f>
        <v/>
      </c>
      <c r="M581" s="53" t="str">
        <f aca="false">IF(AND($B581&lt;&gt;"",$D581&lt;&gt;""),$D581-$B581,"")</f>
        <v/>
      </c>
      <c r="N581" s="53" t="str">
        <f aca="false">IF(AND($C581&lt;&gt;"",$D581&lt;&gt;""),$D581-$C581,"")</f>
        <v/>
      </c>
      <c r="O581" s="53" t="str">
        <f aca="false">IF($E581&lt;&gt;"",$E581,"")</f>
        <v/>
      </c>
      <c r="P581" s="52" t="str">
        <f aca="false">IF($F581&lt;&gt;"",$F581,"")</f>
        <v>Apprenant 569 ou 569'</v>
      </c>
      <c r="Q581" s="53" t="str">
        <f aca="false">IF(AND($G581&lt;&gt;"",$H581&lt;&gt;""),$H581-$G581,"")</f>
        <v/>
      </c>
      <c r="R581" s="53" t="str">
        <f aca="false">IF(AND($G581&lt;&gt;"",$I581&lt;&gt;""),$I581-$G581,"")</f>
        <v/>
      </c>
      <c r="S581" s="53" t="str">
        <f aca="false">IF(AND($H581&lt;&gt;"",$I581&lt;&gt;""),$I581-$H581,"")</f>
        <v/>
      </c>
      <c r="T581" s="53" t="str">
        <f aca="false">IF($J581&lt;&gt;"",$J581,"")</f>
        <v/>
      </c>
      <c r="V581" s="52" t="str">
        <f aca="false">IF($A581&lt;&gt;"",$A581,"")</f>
        <v>Apprenant 569</v>
      </c>
      <c r="W581" s="53" t="str">
        <f aca="false">IF(AND(OR('Choix pédagogiques'!$C$3=1,'Choix pédagogiques'!$C$3=2),$BM581=1),B581,IF(AND('Choix pédagogiques'!$C$3=3,$BO581=1),B581,""))</f>
        <v/>
      </c>
      <c r="X581" s="53" t="str">
        <f aca="false">IF(AND(OR('Choix pédagogiques'!$C$3=1,'Choix pédagogiques'!$C$3=2),$BM581=1),C581,IF(AND('Choix pédagogiques'!$C$3=3,$BO581=1),C581,""))</f>
        <v/>
      </c>
      <c r="Y581" s="53" t="str">
        <f aca="false">IF(AND(OR('Choix pédagogiques'!$C$3=1,'Choix pédagogiques'!$C$3=2),$BM581=1),D581,IF(AND('Choix pédagogiques'!$C$3=3,$BO581=1),D581,""))</f>
        <v/>
      </c>
      <c r="Z581" s="53" t="str">
        <f aca="false">IF($E581&lt;&gt;"",$E581,"")</f>
        <v/>
      </c>
      <c r="AA581" s="52" t="str">
        <f aca="false">IF($F581&lt;&gt;"",$F581,"")</f>
        <v>Apprenant 569 ou 569'</v>
      </c>
      <c r="AB581" s="53" t="str">
        <f aca="false">IF(AND(OR('Choix pédagogiques'!$C$3=1,'Choix pédagogiques'!$C$3=2),$BN581=1),G581,IF(AND('Choix pédagogiques'!$C$3=3,$BO581=1),G581,""))</f>
        <v/>
      </c>
      <c r="AC581" s="53" t="str">
        <f aca="false">IF(AND(OR('Choix pédagogiques'!$C$3=1,'Choix pédagogiques'!$C$3=2),$BN581=1),H581,IF(AND('Choix pédagogiques'!$C$3=3,$BO581=1),H581,""))</f>
        <v/>
      </c>
      <c r="AD581" s="53" t="str">
        <f aca="false">IF(AND(OR('Choix pédagogiques'!$C$3=1,'Choix pédagogiques'!$C$3=2),$BN581=1),I581,IF(AND('Choix pédagogiques'!$C$3=3,$BO581=1),I581,""))</f>
        <v/>
      </c>
      <c r="AE581" s="53" t="str">
        <f aca="false">IF($J581&lt;&gt;"",$J581,"")</f>
        <v/>
      </c>
      <c r="AF581" s="52" t="str">
        <f aca="false">IF($A581&lt;&gt;"",$A581,"")</f>
        <v>Apprenant 569</v>
      </c>
      <c r="AG581" s="53" t="str">
        <f aca="false">IF(AND($W581&lt;&gt;"",$X581&lt;&gt;""),$X581-$W581,"")</f>
        <v/>
      </c>
      <c r="AH581" s="53" t="str">
        <f aca="false">IF(AND($W581&lt;&gt;"",$Y581&lt;&gt;""),$Y581-$W581,"")</f>
        <v/>
      </c>
      <c r="AI581" s="53" t="str">
        <f aca="false">IF(AND($X581&lt;&gt;"",$Y581&lt;&gt;""),$Y581-$X581,"")</f>
        <v/>
      </c>
      <c r="AJ581" s="53" t="str">
        <f aca="false">IF($E581&lt;&gt;"",$E581,"")</f>
        <v/>
      </c>
      <c r="AK581" s="52" t="str">
        <f aca="false">IF($F581&lt;&gt;"",$F581,"")</f>
        <v>Apprenant 569 ou 569'</v>
      </c>
      <c r="AL581" s="53" t="str">
        <f aca="false">IF(AND($AB581&lt;&gt;"",$AC581&lt;&gt;""),$AC581-$AB581,"")</f>
        <v/>
      </c>
      <c r="AM581" s="53" t="str">
        <f aca="false">IF(AND($AB581&lt;&gt;"",$AD581&lt;&gt;""),$AD581-$AB581,"")</f>
        <v/>
      </c>
      <c r="AN581" s="53" t="str">
        <f aca="false">IF(AND($AC581&lt;&gt;"",$AD581&lt;&gt;""),$AD581-$AC581,"")</f>
        <v/>
      </c>
      <c r="AO581" s="53" t="str">
        <f aca="false">IF($J581&lt;&gt;"",$J581,"")</f>
        <v/>
      </c>
      <c r="AQ581" s="52" t="str">
        <f aca="false">IF($A581&lt;&gt;"",$A581,"")</f>
        <v>Apprenant 569</v>
      </c>
      <c r="AR581" s="55" t="str">
        <f aca="false">IF(AND('Choix pédagogiques'!$C$4&lt;&gt;"?",'Choix pédagogiques'!$C$5&lt;&gt;"?",W581&lt;&gt;""),(W581-'Choix pédagogiques'!$C$4)/('Choix pédagogiques'!$C$5-'Choix pédagogiques'!$C$4),"")</f>
        <v/>
      </c>
      <c r="AS581" s="55" t="str">
        <f aca="false">IF(AND('Choix pédagogiques'!$C$4&lt;&gt;"?",'Choix pédagogiques'!$C$5&lt;&gt;"?",X581&lt;&gt;""),(X581-'Choix pédagogiques'!$C$4)/('Choix pédagogiques'!$C$5-'Choix pédagogiques'!$C$4),"")</f>
        <v/>
      </c>
      <c r="AT581" s="55" t="str">
        <f aca="false">IF(AND('Choix pédagogiques'!$C$4&lt;&gt;"?",'Choix pédagogiques'!$C$5&lt;&gt;"?",Y581&lt;&gt;""),(Y581-'Choix pédagogiques'!$C$4)/('Choix pédagogiques'!$C$5-'Choix pédagogiques'!$C$4),"")</f>
        <v/>
      </c>
      <c r="AU581" s="53" t="str">
        <f aca="false">IF($E581&lt;&gt;"",$E581,"")</f>
        <v/>
      </c>
      <c r="AV581" s="52" t="str">
        <f aca="false">IF($F581&lt;&gt;"",$F581,"")</f>
        <v>Apprenant 569 ou 569'</v>
      </c>
      <c r="AW581" s="55" t="str">
        <f aca="false">IF(AND('Choix pédagogiques'!$C$4&lt;&gt;"?",'Choix pédagogiques'!$C$5&lt;&gt;"?",AB581&lt;&gt;""),(AB581-'Choix pédagogiques'!$C$4)/('Choix pédagogiques'!$C$5-'Choix pédagogiques'!$C$4),"")</f>
        <v/>
      </c>
      <c r="AX581" s="55" t="str">
        <f aca="false">IF(AND('Choix pédagogiques'!$C$4&lt;&gt;"?",'Choix pédagogiques'!$C$5&lt;&gt;"?",AC581&lt;&gt;""),(AC581-'Choix pédagogiques'!$C$4)/('Choix pédagogiques'!$C$5-'Choix pédagogiques'!$C$4),"")</f>
        <v/>
      </c>
      <c r="AY581" s="55" t="str">
        <f aca="false">IF(AND('Choix pédagogiques'!$C$4&lt;&gt;"?",'Choix pédagogiques'!$C$5&lt;&gt;"?",AD581&lt;&gt;""),(AD581-'Choix pédagogiques'!$C$4)/('Choix pédagogiques'!$C$5-'Choix pédagogiques'!$C$4),"")</f>
        <v/>
      </c>
      <c r="AZ581" s="53" t="str">
        <f aca="false">IF($J581&lt;&gt;"",$J581,"")</f>
        <v/>
      </c>
      <c r="BA581" s="52" t="str">
        <f aca="false">IF($A581&lt;&gt;"",$A581,"")</f>
        <v>Apprenant 569</v>
      </c>
      <c r="BB581" s="55" t="str">
        <f aca="false">IF(AND($AR581&lt;&gt;"",$AS581&lt;&gt;""),$AS581-$AR581,"")</f>
        <v/>
      </c>
      <c r="BC581" s="55" t="str">
        <f aca="false">IF(AND($AR581&lt;&gt;"",$AT581&lt;&gt;""),$AT581-$AR581,"")</f>
        <v/>
      </c>
      <c r="BD581" s="55" t="str">
        <f aca="false">IF(AND($AS581&lt;&gt;"",$AT581&lt;&gt;""),$AT581-$AS581,"")</f>
        <v/>
      </c>
      <c r="BE581" s="53" t="str">
        <f aca="false">IF($E581&lt;&gt;"",$E581,"")</f>
        <v/>
      </c>
      <c r="BF581" s="52" t="str">
        <f aca="false">IF($F581&lt;&gt;"",$F581,"")</f>
        <v>Apprenant 569 ou 569'</v>
      </c>
      <c r="BG581" s="55" t="str">
        <f aca="false">IF(AND($AW581&lt;&gt;"",$AX581&lt;&gt;""),$AX581-$AW581,"")</f>
        <v/>
      </c>
      <c r="BH581" s="55" t="str">
        <f aca="false">IF(AND($AW581&lt;&gt;"",$AY581&lt;&gt;""),$AY581-$AW581,"")</f>
        <v/>
      </c>
      <c r="BI581" s="55" t="str">
        <f aca="false">IF(AND($AX581&lt;&gt;"",$AY581&lt;&gt;""),$AY581-$AX581,"")</f>
        <v/>
      </c>
      <c r="BJ581" s="53" t="str">
        <f aca="false">IF($J581&lt;&gt;"",$J581,"")</f>
        <v/>
      </c>
      <c r="BL581" s="52"/>
      <c r="BM581" s="52" t="str">
        <f aca="false">IF(OR(COUNT(B581:D1580)=0,AND('Choix pédagogiques'!$C$3&lt;&gt;1,'Choix pédagogiques'!$C$3&lt;&gt;2)),"",IF(AND(OR('Choix pédagogiques'!$C$3=1,'Choix pédagogiques'!$C$3=2),$B581&lt;&gt;"",$C581&lt;&gt;"",$D581&lt;&gt;""),1,0))</f>
        <v/>
      </c>
      <c r="BN581" s="52" t="str">
        <f aca="false">IF(OR(COUNT(G581:I1580)=0,AND('Choix pédagogiques'!$C$3&lt;&gt;1,'Choix pédagogiques'!$C$3&lt;&gt;2)),"",IF(AND(OR('Choix pédagogiques'!$C$3=1,'Choix pédagogiques'!$C$3=2),AND($G581&lt;&gt;"",$H581&lt;&gt;"",$I581&lt;&gt;"")),1,0))</f>
        <v/>
      </c>
      <c r="BO581" s="52" t="str">
        <f aca="false">IF(OR(COUNT(B581:D1580)=0,COUNT(G581:I1580)=0,'Choix pédagogiques'!C$3&lt;&gt;3),"",IF(AND('Choix pédagogiques'!$C$3=3,$B581&lt;&gt;"",$C581&lt;&gt;"",$D581&lt;&gt;"",$G581&lt;&gt;"",$H581&lt;&gt;"",$I581&lt;&gt;""),1,0))</f>
        <v/>
      </c>
      <c r="BR581" s="52" t="n">
        <v>756</v>
      </c>
      <c r="BS581" s="52" t="n">
        <v>1933</v>
      </c>
    </row>
    <row r="582" s="54" customFormat="true" ht="18" hidden="false" customHeight="true" outlineLevel="0" collapsed="false">
      <c r="A582" s="57" t="s">
        <v>1095</v>
      </c>
      <c r="B582" s="51"/>
      <c r="C582" s="51"/>
      <c r="D582" s="51"/>
      <c r="E582" s="51"/>
      <c r="F582" s="57" t="s">
        <v>1096</v>
      </c>
      <c r="G582" s="51"/>
      <c r="H582" s="51"/>
      <c r="I582" s="51"/>
      <c r="J582" s="51"/>
      <c r="K582" s="52" t="str">
        <f aca="false">IF($A582&lt;&gt;"",$A582,"")</f>
        <v>Apprenant 570</v>
      </c>
      <c r="L582" s="53" t="str">
        <f aca="false">IF(AND($B582&lt;&gt;"",$C582&lt;&gt;""),$C582-$B582,"")</f>
        <v/>
      </c>
      <c r="M582" s="53" t="str">
        <f aca="false">IF(AND($B582&lt;&gt;"",$D582&lt;&gt;""),$D582-$B582,"")</f>
        <v/>
      </c>
      <c r="N582" s="53" t="str">
        <f aca="false">IF(AND($C582&lt;&gt;"",$D582&lt;&gt;""),$D582-$C582,"")</f>
        <v/>
      </c>
      <c r="O582" s="53" t="str">
        <f aca="false">IF($E582&lt;&gt;"",$E582,"")</f>
        <v/>
      </c>
      <c r="P582" s="52" t="str">
        <f aca="false">IF($F582&lt;&gt;"",$F582,"")</f>
        <v>Apprenant 570 ou 570'</v>
      </c>
      <c r="Q582" s="53" t="str">
        <f aca="false">IF(AND($G582&lt;&gt;"",$H582&lt;&gt;""),$H582-$G582,"")</f>
        <v/>
      </c>
      <c r="R582" s="53" t="str">
        <f aca="false">IF(AND($G582&lt;&gt;"",$I582&lt;&gt;""),$I582-$G582,"")</f>
        <v/>
      </c>
      <c r="S582" s="53" t="str">
        <f aca="false">IF(AND($H582&lt;&gt;"",$I582&lt;&gt;""),$I582-$H582,"")</f>
        <v/>
      </c>
      <c r="T582" s="53" t="str">
        <f aca="false">IF($J582&lt;&gt;"",$J582,"")</f>
        <v/>
      </c>
      <c r="V582" s="52" t="str">
        <f aca="false">IF($A582&lt;&gt;"",$A582,"")</f>
        <v>Apprenant 570</v>
      </c>
      <c r="W582" s="53" t="str">
        <f aca="false">IF(AND(OR('Choix pédagogiques'!$C$3=1,'Choix pédagogiques'!$C$3=2),$BM582=1),B582,IF(AND('Choix pédagogiques'!$C$3=3,$BO582=1),B582,""))</f>
        <v/>
      </c>
      <c r="X582" s="53" t="str">
        <f aca="false">IF(AND(OR('Choix pédagogiques'!$C$3=1,'Choix pédagogiques'!$C$3=2),$BM582=1),C582,IF(AND('Choix pédagogiques'!$C$3=3,$BO582=1),C582,""))</f>
        <v/>
      </c>
      <c r="Y582" s="53" t="str">
        <f aca="false">IF(AND(OR('Choix pédagogiques'!$C$3=1,'Choix pédagogiques'!$C$3=2),$BM582=1),D582,IF(AND('Choix pédagogiques'!$C$3=3,$BO582=1),D582,""))</f>
        <v/>
      </c>
      <c r="Z582" s="53" t="str">
        <f aca="false">IF($E582&lt;&gt;"",$E582,"")</f>
        <v/>
      </c>
      <c r="AA582" s="52" t="str">
        <f aca="false">IF($F582&lt;&gt;"",$F582,"")</f>
        <v>Apprenant 570 ou 570'</v>
      </c>
      <c r="AB582" s="53" t="str">
        <f aca="false">IF(AND(OR('Choix pédagogiques'!$C$3=1,'Choix pédagogiques'!$C$3=2),$BN582=1),G582,IF(AND('Choix pédagogiques'!$C$3=3,$BO582=1),G582,""))</f>
        <v/>
      </c>
      <c r="AC582" s="53" t="str">
        <f aca="false">IF(AND(OR('Choix pédagogiques'!$C$3=1,'Choix pédagogiques'!$C$3=2),$BN582=1),H582,IF(AND('Choix pédagogiques'!$C$3=3,$BO582=1),H582,""))</f>
        <v/>
      </c>
      <c r="AD582" s="53" t="str">
        <f aca="false">IF(AND(OR('Choix pédagogiques'!$C$3=1,'Choix pédagogiques'!$C$3=2),$BN582=1),I582,IF(AND('Choix pédagogiques'!$C$3=3,$BO582=1),I582,""))</f>
        <v/>
      </c>
      <c r="AE582" s="53" t="str">
        <f aca="false">IF($J582&lt;&gt;"",$J582,"")</f>
        <v/>
      </c>
      <c r="AF582" s="52" t="str">
        <f aca="false">IF($A582&lt;&gt;"",$A582,"")</f>
        <v>Apprenant 570</v>
      </c>
      <c r="AG582" s="53" t="str">
        <f aca="false">IF(AND($W582&lt;&gt;"",$X582&lt;&gt;""),$X582-$W582,"")</f>
        <v/>
      </c>
      <c r="AH582" s="53" t="str">
        <f aca="false">IF(AND($W582&lt;&gt;"",$Y582&lt;&gt;""),$Y582-$W582,"")</f>
        <v/>
      </c>
      <c r="AI582" s="53" t="str">
        <f aca="false">IF(AND($X582&lt;&gt;"",$Y582&lt;&gt;""),$Y582-$X582,"")</f>
        <v/>
      </c>
      <c r="AJ582" s="53" t="str">
        <f aca="false">IF($E582&lt;&gt;"",$E582,"")</f>
        <v/>
      </c>
      <c r="AK582" s="52" t="str">
        <f aca="false">IF($F582&lt;&gt;"",$F582,"")</f>
        <v>Apprenant 570 ou 570'</v>
      </c>
      <c r="AL582" s="53" t="str">
        <f aca="false">IF(AND($AB582&lt;&gt;"",$AC582&lt;&gt;""),$AC582-$AB582,"")</f>
        <v/>
      </c>
      <c r="AM582" s="53" t="str">
        <f aca="false">IF(AND($AB582&lt;&gt;"",$AD582&lt;&gt;""),$AD582-$AB582,"")</f>
        <v/>
      </c>
      <c r="AN582" s="53" t="str">
        <f aca="false">IF(AND($AC582&lt;&gt;"",$AD582&lt;&gt;""),$AD582-$AC582,"")</f>
        <v/>
      </c>
      <c r="AO582" s="53" t="str">
        <f aca="false">IF($J582&lt;&gt;"",$J582,"")</f>
        <v/>
      </c>
      <c r="AQ582" s="52" t="str">
        <f aca="false">IF($A582&lt;&gt;"",$A582,"")</f>
        <v>Apprenant 570</v>
      </c>
      <c r="AR582" s="55" t="str">
        <f aca="false">IF(AND('Choix pédagogiques'!$C$4&lt;&gt;"?",'Choix pédagogiques'!$C$5&lt;&gt;"?",W582&lt;&gt;""),(W582-'Choix pédagogiques'!$C$4)/('Choix pédagogiques'!$C$5-'Choix pédagogiques'!$C$4),"")</f>
        <v/>
      </c>
      <c r="AS582" s="55" t="str">
        <f aca="false">IF(AND('Choix pédagogiques'!$C$4&lt;&gt;"?",'Choix pédagogiques'!$C$5&lt;&gt;"?",X582&lt;&gt;""),(X582-'Choix pédagogiques'!$C$4)/('Choix pédagogiques'!$C$5-'Choix pédagogiques'!$C$4),"")</f>
        <v/>
      </c>
      <c r="AT582" s="55" t="str">
        <f aca="false">IF(AND('Choix pédagogiques'!$C$4&lt;&gt;"?",'Choix pédagogiques'!$C$5&lt;&gt;"?",Y582&lt;&gt;""),(Y582-'Choix pédagogiques'!$C$4)/('Choix pédagogiques'!$C$5-'Choix pédagogiques'!$C$4),"")</f>
        <v/>
      </c>
      <c r="AU582" s="53" t="str">
        <f aca="false">IF($E582&lt;&gt;"",$E582,"")</f>
        <v/>
      </c>
      <c r="AV582" s="52" t="str">
        <f aca="false">IF($F582&lt;&gt;"",$F582,"")</f>
        <v>Apprenant 570 ou 570'</v>
      </c>
      <c r="AW582" s="55" t="str">
        <f aca="false">IF(AND('Choix pédagogiques'!$C$4&lt;&gt;"?",'Choix pédagogiques'!$C$5&lt;&gt;"?",AB582&lt;&gt;""),(AB582-'Choix pédagogiques'!$C$4)/('Choix pédagogiques'!$C$5-'Choix pédagogiques'!$C$4),"")</f>
        <v/>
      </c>
      <c r="AX582" s="55" t="str">
        <f aca="false">IF(AND('Choix pédagogiques'!$C$4&lt;&gt;"?",'Choix pédagogiques'!$C$5&lt;&gt;"?",AC582&lt;&gt;""),(AC582-'Choix pédagogiques'!$C$4)/('Choix pédagogiques'!$C$5-'Choix pédagogiques'!$C$4),"")</f>
        <v/>
      </c>
      <c r="AY582" s="55" t="str">
        <f aca="false">IF(AND('Choix pédagogiques'!$C$4&lt;&gt;"?",'Choix pédagogiques'!$C$5&lt;&gt;"?",AD582&lt;&gt;""),(AD582-'Choix pédagogiques'!$C$4)/('Choix pédagogiques'!$C$5-'Choix pédagogiques'!$C$4),"")</f>
        <v/>
      </c>
      <c r="AZ582" s="53" t="str">
        <f aca="false">IF($J582&lt;&gt;"",$J582,"")</f>
        <v/>
      </c>
      <c r="BA582" s="52" t="str">
        <f aca="false">IF($A582&lt;&gt;"",$A582,"")</f>
        <v>Apprenant 570</v>
      </c>
      <c r="BB582" s="55" t="str">
        <f aca="false">IF(AND($AR582&lt;&gt;"",$AS582&lt;&gt;""),$AS582-$AR582,"")</f>
        <v/>
      </c>
      <c r="BC582" s="55" t="str">
        <f aca="false">IF(AND($AR582&lt;&gt;"",$AT582&lt;&gt;""),$AT582-$AR582,"")</f>
        <v/>
      </c>
      <c r="BD582" s="55" t="str">
        <f aca="false">IF(AND($AS582&lt;&gt;"",$AT582&lt;&gt;""),$AT582-$AS582,"")</f>
        <v/>
      </c>
      <c r="BE582" s="53" t="str">
        <f aca="false">IF($E582&lt;&gt;"",$E582,"")</f>
        <v/>
      </c>
      <c r="BF582" s="52" t="str">
        <f aca="false">IF($F582&lt;&gt;"",$F582,"")</f>
        <v>Apprenant 570 ou 570'</v>
      </c>
      <c r="BG582" s="55" t="str">
        <f aca="false">IF(AND($AW582&lt;&gt;"",$AX582&lt;&gt;""),$AX582-$AW582,"")</f>
        <v/>
      </c>
      <c r="BH582" s="55" t="str">
        <f aca="false">IF(AND($AW582&lt;&gt;"",$AY582&lt;&gt;""),$AY582-$AW582,"")</f>
        <v/>
      </c>
      <c r="BI582" s="55" t="str">
        <f aca="false">IF(AND($AX582&lt;&gt;"",$AY582&lt;&gt;""),$AY582-$AX582,"")</f>
        <v/>
      </c>
      <c r="BJ582" s="53" t="str">
        <f aca="false">IF($J582&lt;&gt;"",$J582,"")</f>
        <v/>
      </c>
      <c r="BL582" s="52"/>
      <c r="BM582" s="52" t="str">
        <f aca="false">IF(OR(COUNT(B582:D1581)=0,AND('Choix pédagogiques'!$C$3&lt;&gt;1,'Choix pédagogiques'!$C$3&lt;&gt;2)),"",IF(AND(OR('Choix pédagogiques'!$C$3=1,'Choix pédagogiques'!$C$3=2),$B582&lt;&gt;"",$C582&lt;&gt;"",$D582&lt;&gt;""),1,0))</f>
        <v/>
      </c>
      <c r="BN582" s="52" t="str">
        <f aca="false">IF(OR(COUNT(G582:I1581)=0,AND('Choix pédagogiques'!$C$3&lt;&gt;1,'Choix pédagogiques'!$C$3&lt;&gt;2)),"",IF(AND(OR('Choix pédagogiques'!$C$3=1,'Choix pédagogiques'!$C$3=2),AND($G582&lt;&gt;"",$H582&lt;&gt;"",$I582&lt;&gt;"")),1,0))</f>
        <v/>
      </c>
      <c r="BO582" s="52" t="str">
        <f aca="false">IF(OR(COUNT(B582:D1581)=0,COUNT(G582:I1581)=0,'Choix pédagogiques'!C$3&lt;&gt;3),"",IF(AND('Choix pédagogiques'!$C$3=3,$B582&lt;&gt;"",$C582&lt;&gt;"",$D582&lt;&gt;"",$G582&lt;&gt;"",$H582&lt;&gt;"",$I582&lt;&gt;""),1,0))</f>
        <v/>
      </c>
      <c r="BR582" s="52" t="n">
        <v>732</v>
      </c>
      <c r="BS582" s="52" t="n">
        <v>1070</v>
      </c>
    </row>
    <row r="583" s="54" customFormat="true" ht="18" hidden="false" customHeight="true" outlineLevel="0" collapsed="false">
      <c r="A583" s="57" t="s">
        <v>1097</v>
      </c>
      <c r="B583" s="51"/>
      <c r="C583" s="51"/>
      <c r="D583" s="51"/>
      <c r="E583" s="51"/>
      <c r="F583" s="57" t="s">
        <v>1098</v>
      </c>
      <c r="G583" s="51"/>
      <c r="H583" s="51"/>
      <c r="I583" s="51"/>
      <c r="J583" s="51"/>
      <c r="K583" s="52" t="str">
        <f aca="false">IF($A583&lt;&gt;"",$A583,"")</f>
        <v>Apprenant 571</v>
      </c>
      <c r="L583" s="53" t="str">
        <f aca="false">IF(AND($B583&lt;&gt;"",$C583&lt;&gt;""),$C583-$B583,"")</f>
        <v/>
      </c>
      <c r="M583" s="53" t="str">
        <f aca="false">IF(AND($B583&lt;&gt;"",$D583&lt;&gt;""),$D583-$B583,"")</f>
        <v/>
      </c>
      <c r="N583" s="53" t="str">
        <f aca="false">IF(AND($C583&lt;&gt;"",$D583&lt;&gt;""),$D583-$C583,"")</f>
        <v/>
      </c>
      <c r="O583" s="53" t="str">
        <f aca="false">IF($E583&lt;&gt;"",$E583,"")</f>
        <v/>
      </c>
      <c r="P583" s="52" t="str">
        <f aca="false">IF($F583&lt;&gt;"",$F583,"")</f>
        <v>Apprenant 571 ou 571'</v>
      </c>
      <c r="Q583" s="53" t="str">
        <f aca="false">IF(AND($G583&lt;&gt;"",$H583&lt;&gt;""),$H583-$G583,"")</f>
        <v/>
      </c>
      <c r="R583" s="53" t="str">
        <f aca="false">IF(AND($G583&lt;&gt;"",$I583&lt;&gt;""),$I583-$G583,"")</f>
        <v/>
      </c>
      <c r="S583" s="53" t="str">
        <f aca="false">IF(AND($H583&lt;&gt;"",$I583&lt;&gt;""),$I583-$H583,"")</f>
        <v/>
      </c>
      <c r="T583" s="53" t="str">
        <f aca="false">IF($J583&lt;&gt;"",$J583,"")</f>
        <v/>
      </c>
      <c r="V583" s="52" t="str">
        <f aca="false">IF($A583&lt;&gt;"",$A583,"")</f>
        <v>Apprenant 571</v>
      </c>
      <c r="W583" s="53" t="str">
        <f aca="false">IF(AND(OR('Choix pédagogiques'!$C$3=1,'Choix pédagogiques'!$C$3=2),$BM583=1),B583,IF(AND('Choix pédagogiques'!$C$3=3,$BO583=1),B583,""))</f>
        <v/>
      </c>
      <c r="X583" s="53" t="str">
        <f aca="false">IF(AND(OR('Choix pédagogiques'!$C$3=1,'Choix pédagogiques'!$C$3=2),$BM583=1),C583,IF(AND('Choix pédagogiques'!$C$3=3,$BO583=1),C583,""))</f>
        <v/>
      </c>
      <c r="Y583" s="53" t="str">
        <f aca="false">IF(AND(OR('Choix pédagogiques'!$C$3=1,'Choix pédagogiques'!$C$3=2),$BM583=1),D583,IF(AND('Choix pédagogiques'!$C$3=3,$BO583=1),D583,""))</f>
        <v/>
      </c>
      <c r="Z583" s="53" t="str">
        <f aca="false">IF($E583&lt;&gt;"",$E583,"")</f>
        <v/>
      </c>
      <c r="AA583" s="52" t="str">
        <f aca="false">IF($F583&lt;&gt;"",$F583,"")</f>
        <v>Apprenant 571 ou 571'</v>
      </c>
      <c r="AB583" s="53" t="str">
        <f aca="false">IF(AND(OR('Choix pédagogiques'!$C$3=1,'Choix pédagogiques'!$C$3=2),$BN583=1),G583,IF(AND('Choix pédagogiques'!$C$3=3,$BO583=1),G583,""))</f>
        <v/>
      </c>
      <c r="AC583" s="53" t="str">
        <f aca="false">IF(AND(OR('Choix pédagogiques'!$C$3=1,'Choix pédagogiques'!$C$3=2),$BN583=1),H583,IF(AND('Choix pédagogiques'!$C$3=3,$BO583=1),H583,""))</f>
        <v/>
      </c>
      <c r="AD583" s="53" t="str">
        <f aca="false">IF(AND(OR('Choix pédagogiques'!$C$3=1,'Choix pédagogiques'!$C$3=2),$BN583=1),I583,IF(AND('Choix pédagogiques'!$C$3=3,$BO583=1),I583,""))</f>
        <v/>
      </c>
      <c r="AE583" s="53" t="str">
        <f aca="false">IF($J583&lt;&gt;"",$J583,"")</f>
        <v/>
      </c>
      <c r="AF583" s="52" t="str">
        <f aca="false">IF($A583&lt;&gt;"",$A583,"")</f>
        <v>Apprenant 571</v>
      </c>
      <c r="AG583" s="53" t="str">
        <f aca="false">IF(AND($W583&lt;&gt;"",$X583&lt;&gt;""),$X583-$W583,"")</f>
        <v/>
      </c>
      <c r="AH583" s="53" t="str">
        <f aca="false">IF(AND($W583&lt;&gt;"",$Y583&lt;&gt;""),$Y583-$W583,"")</f>
        <v/>
      </c>
      <c r="AI583" s="53" t="str">
        <f aca="false">IF(AND($X583&lt;&gt;"",$Y583&lt;&gt;""),$Y583-$X583,"")</f>
        <v/>
      </c>
      <c r="AJ583" s="53" t="str">
        <f aca="false">IF($E583&lt;&gt;"",$E583,"")</f>
        <v/>
      </c>
      <c r="AK583" s="52" t="str">
        <f aca="false">IF($F583&lt;&gt;"",$F583,"")</f>
        <v>Apprenant 571 ou 571'</v>
      </c>
      <c r="AL583" s="53" t="str">
        <f aca="false">IF(AND($AB583&lt;&gt;"",$AC583&lt;&gt;""),$AC583-$AB583,"")</f>
        <v/>
      </c>
      <c r="AM583" s="53" t="str">
        <f aca="false">IF(AND($AB583&lt;&gt;"",$AD583&lt;&gt;""),$AD583-$AB583,"")</f>
        <v/>
      </c>
      <c r="AN583" s="53" t="str">
        <f aca="false">IF(AND($AC583&lt;&gt;"",$AD583&lt;&gt;""),$AD583-$AC583,"")</f>
        <v/>
      </c>
      <c r="AO583" s="53" t="str">
        <f aca="false">IF($J583&lt;&gt;"",$J583,"")</f>
        <v/>
      </c>
      <c r="AQ583" s="52" t="str">
        <f aca="false">IF($A583&lt;&gt;"",$A583,"")</f>
        <v>Apprenant 571</v>
      </c>
      <c r="AR583" s="55" t="str">
        <f aca="false">IF(AND('Choix pédagogiques'!$C$4&lt;&gt;"?",'Choix pédagogiques'!$C$5&lt;&gt;"?",W583&lt;&gt;""),(W583-'Choix pédagogiques'!$C$4)/('Choix pédagogiques'!$C$5-'Choix pédagogiques'!$C$4),"")</f>
        <v/>
      </c>
      <c r="AS583" s="55" t="str">
        <f aca="false">IF(AND('Choix pédagogiques'!$C$4&lt;&gt;"?",'Choix pédagogiques'!$C$5&lt;&gt;"?",X583&lt;&gt;""),(X583-'Choix pédagogiques'!$C$4)/('Choix pédagogiques'!$C$5-'Choix pédagogiques'!$C$4),"")</f>
        <v/>
      </c>
      <c r="AT583" s="55" t="str">
        <f aca="false">IF(AND('Choix pédagogiques'!$C$4&lt;&gt;"?",'Choix pédagogiques'!$C$5&lt;&gt;"?",Y583&lt;&gt;""),(Y583-'Choix pédagogiques'!$C$4)/('Choix pédagogiques'!$C$5-'Choix pédagogiques'!$C$4),"")</f>
        <v/>
      </c>
      <c r="AU583" s="53" t="str">
        <f aca="false">IF($E583&lt;&gt;"",$E583,"")</f>
        <v/>
      </c>
      <c r="AV583" s="52" t="str">
        <f aca="false">IF($F583&lt;&gt;"",$F583,"")</f>
        <v>Apprenant 571 ou 571'</v>
      </c>
      <c r="AW583" s="55" t="str">
        <f aca="false">IF(AND('Choix pédagogiques'!$C$4&lt;&gt;"?",'Choix pédagogiques'!$C$5&lt;&gt;"?",AB583&lt;&gt;""),(AB583-'Choix pédagogiques'!$C$4)/('Choix pédagogiques'!$C$5-'Choix pédagogiques'!$C$4),"")</f>
        <v/>
      </c>
      <c r="AX583" s="55" t="str">
        <f aca="false">IF(AND('Choix pédagogiques'!$C$4&lt;&gt;"?",'Choix pédagogiques'!$C$5&lt;&gt;"?",AC583&lt;&gt;""),(AC583-'Choix pédagogiques'!$C$4)/('Choix pédagogiques'!$C$5-'Choix pédagogiques'!$C$4),"")</f>
        <v/>
      </c>
      <c r="AY583" s="55" t="str">
        <f aca="false">IF(AND('Choix pédagogiques'!$C$4&lt;&gt;"?",'Choix pédagogiques'!$C$5&lt;&gt;"?",AD583&lt;&gt;""),(AD583-'Choix pédagogiques'!$C$4)/('Choix pédagogiques'!$C$5-'Choix pédagogiques'!$C$4),"")</f>
        <v/>
      </c>
      <c r="AZ583" s="53" t="str">
        <f aca="false">IF($J583&lt;&gt;"",$J583,"")</f>
        <v/>
      </c>
      <c r="BA583" s="52" t="str">
        <f aca="false">IF($A583&lt;&gt;"",$A583,"")</f>
        <v>Apprenant 571</v>
      </c>
      <c r="BB583" s="55" t="str">
        <f aca="false">IF(AND($AR583&lt;&gt;"",$AS583&lt;&gt;""),$AS583-$AR583,"")</f>
        <v/>
      </c>
      <c r="BC583" s="55" t="str">
        <f aca="false">IF(AND($AR583&lt;&gt;"",$AT583&lt;&gt;""),$AT583-$AR583,"")</f>
        <v/>
      </c>
      <c r="BD583" s="55" t="str">
        <f aca="false">IF(AND($AS583&lt;&gt;"",$AT583&lt;&gt;""),$AT583-$AS583,"")</f>
        <v/>
      </c>
      <c r="BE583" s="53" t="str">
        <f aca="false">IF($E583&lt;&gt;"",$E583,"")</f>
        <v/>
      </c>
      <c r="BF583" s="52" t="str">
        <f aca="false">IF($F583&lt;&gt;"",$F583,"")</f>
        <v>Apprenant 571 ou 571'</v>
      </c>
      <c r="BG583" s="55" t="str">
        <f aca="false">IF(AND($AW583&lt;&gt;"",$AX583&lt;&gt;""),$AX583-$AW583,"")</f>
        <v/>
      </c>
      <c r="BH583" s="55" t="str">
        <f aca="false">IF(AND($AW583&lt;&gt;"",$AY583&lt;&gt;""),$AY583-$AW583,"")</f>
        <v/>
      </c>
      <c r="BI583" s="55" t="str">
        <f aca="false">IF(AND($AX583&lt;&gt;"",$AY583&lt;&gt;""),$AY583-$AX583,"")</f>
        <v/>
      </c>
      <c r="BJ583" s="53" t="str">
        <f aca="false">IF($J583&lt;&gt;"",$J583,"")</f>
        <v/>
      </c>
      <c r="BL583" s="52"/>
      <c r="BM583" s="52" t="str">
        <f aca="false">IF(OR(COUNT(B583:D1582)=0,AND('Choix pédagogiques'!$C$3&lt;&gt;1,'Choix pédagogiques'!$C$3&lt;&gt;2)),"",IF(AND(OR('Choix pédagogiques'!$C$3=1,'Choix pédagogiques'!$C$3=2),$B583&lt;&gt;"",$C583&lt;&gt;"",$D583&lt;&gt;""),1,0))</f>
        <v/>
      </c>
      <c r="BN583" s="52" t="str">
        <f aca="false">IF(OR(COUNT(G583:I1582)=0,AND('Choix pédagogiques'!$C$3&lt;&gt;1,'Choix pédagogiques'!$C$3&lt;&gt;2)),"",IF(AND(OR('Choix pédagogiques'!$C$3=1,'Choix pédagogiques'!$C$3=2),AND($G583&lt;&gt;"",$H583&lt;&gt;"",$I583&lt;&gt;"")),1,0))</f>
        <v/>
      </c>
      <c r="BO583" s="52" t="str">
        <f aca="false">IF(OR(COUNT(B583:D1582)=0,COUNT(G583:I1582)=0,'Choix pédagogiques'!C$3&lt;&gt;3),"",IF(AND('Choix pédagogiques'!$C$3=3,$B583&lt;&gt;"",$C583&lt;&gt;"",$D583&lt;&gt;"",$G583&lt;&gt;"",$H583&lt;&gt;"",$I583&lt;&gt;""),1,0))</f>
        <v/>
      </c>
      <c r="BR583" s="52" t="n">
        <v>536</v>
      </c>
      <c r="BS583" s="52" t="n">
        <v>1091</v>
      </c>
    </row>
    <row r="584" s="54" customFormat="true" ht="18" hidden="false" customHeight="true" outlineLevel="0" collapsed="false">
      <c r="A584" s="57" t="s">
        <v>1099</v>
      </c>
      <c r="B584" s="51"/>
      <c r="C584" s="51"/>
      <c r="D584" s="51"/>
      <c r="E584" s="51"/>
      <c r="F584" s="57" t="s">
        <v>1100</v>
      </c>
      <c r="G584" s="51"/>
      <c r="H584" s="51"/>
      <c r="I584" s="51"/>
      <c r="J584" s="51"/>
      <c r="K584" s="52" t="str">
        <f aca="false">IF($A584&lt;&gt;"",$A584,"")</f>
        <v>Apprenant 572</v>
      </c>
      <c r="L584" s="53" t="str">
        <f aca="false">IF(AND($B584&lt;&gt;"",$C584&lt;&gt;""),$C584-$B584,"")</f>
        <v/>
      </c>
      <c r="M584" s="53" t="str">
        <f aca="false">IF(AND($B584&lt;&gt;"",$D584&lt;&gt;""),$D584-$B584,"")</f>
        <v/>
      </c>
      <c r="N584" s="53" t="str">
        <f aca="false">IF(AND($C584&lt;&gt;"",$D584&lt;&gt;""),$D584-$C584,"")</f>
        <v/>
      </c>
      <c r="O584" s="53" t="str">
        <f aca="false">IF($E584&lt;&gt;"",$E584,"")</f>
        <v/>
      </c>
      <c r="P584" s="52" t="str">
        <f aca="false">IF($F584&lt;&gt;"",$F584,"")</f>
        <v>Apprenant 572 ou 572'</v>
      </c>
      <c r="Q584" s="53" t="str">
        <f aca="false">IF(AND($G584&lt;&gt;"",$H584&lt;&gt;""),$H584-$G584,"")</f>
        <v/>
      </c>
      <c r="R584" s="53" t="str">
        <f aca="false">IF(AND($G584&lt;&gt;"",$I584&lt;&gt;""),$I584-$G584,"")</f>
        <v/>
      </c>
      <c r="S584" s="53" t="str">
        <f aca="false">IF(AND($H584&lt;&gt;"",$I584&lt;&gt;""),$I584-$H584,"")</f>
        <v/>
      </c>
      <c r="T584" s="53" t="str">
        <f aca="false">IF($J584&lt;&gt;"",$J584,"")</f>
        <v/>
      </c>
      <c r="V584" s="52" t="str">
        <f aca="false">IF($A584&lt;&gt;"",$A584,"")</f>
        <v>Apprenant 572</v>
      </c>
      <c r="W584" s="53" t="str">
        <f aca="false">IF(AND(OR('Choix pédagogiques'!$C$3=1,'Choix pédagogiques'!$C$3=2),$BM584=1),B584,IF(AND('Choix pédagogiques'!$C$3=3,$BO584=1),B584,""))</f>
        <v/>
      </c>
      <c r="X584" s="53" t="str">
        <f aca="false">IF(AND(OR('Choix pédagogiques'!$C$3=1,'Choix pédagogiques'!$C$3=2),$BM584=1),C584,IF(AND('Choix pédagogiques'!$C$3=3,$BO584=1),C584,""))</f>
        <v/>
      </c>
      <c r="Y584" s="53" t="str">
        <f aca="false">IF(AND(OR('Choix pédagogiques'!$C$3=1,'Choix pédagogiques'!$C$3=2),$BM584=1),D584,IF(AND('Choix pédagogiques'!$C$3=3,$BO584=1),D584,""))</f>
        <v/>
      </c>
      <c r="Z584" s="53" t="str">
        <f aca="false">IF($E584&lt;&gt;"",$E584,"")</f>
        <v/>
      </c>
      <c r="AA584" s="52" t="str">
        <f aca="false">IF($F584&lt;&gt;"",$F584,"")</f>
        <v>Apprenant 572 ou 572'</v>
      </c>
      <c r="AB584" s="53" t="str">
        <f aca="false">IF(AND(OR('Choix pédagogiques'!$C$3=1,'Choix pédagogiques'!$C$3=2),$BN584=1),G584,IF(AND('Choix pédagogiques'!$C$3=3,$BO584=1),G584,""))</f>
        <v/>
      </c>
      <c r="AC584" s="53" t="str">
        <f aca="false">IF(AND(OR('Choix pédagogiques'!$C$3=1,'Choix pédagogiques'!$C$3=2),$BN584=1),H584,IF(AND('Choix pédagogiques'!$C$3=3,$BO584=1),H584,""))</f>
        <v/>
      </c>
      <c r="AD584" s="53" t="str">
        <f aca="false">IF(AND(OR('Choix pédagogiques'!$C$3=1,'Choix pédagogiques'!$C$3=2),$BN584=1),I584,IF(AND('Choix pédagogiques'!$C$3=3,$BO584=1),I584,""))</f>
        <v/>
      </c>
      <c r="AE584" s="53" t="str">
        <f aca="false">IF($J584&lt;&gt;"",$J584,"")</f>
        <v/>
      </c>
      <c r="AF584" s="52" t="str">
        <f aca="false">IF($A584&lt;&gt;"",$A584,"")</f>
        <v>Apprenant 572</v>
      </c>
      <c r="AG584" s="53" t="str">
        <f aca="false">IF(AND($W584&lt;&gt;"",$X584&lt;&gt;""),$X584-$W584,"")</f>
        <v/>
      </c>
      <c r="AH584" s="53" t="str">
        <f aca="false">IF(AND($W584&lt;&gt;"",$Y584&lt;&gt;""),$Y584-$W584,"")</f>
        <v/>
      </c>
      <c r="AI584" s="53" t="str">
        <f aca="false">IF(AND($X584&lt;&gt;"",$Y584&lt;&gt;""),$Y584-$X584,"")</f>
        <v/>
      </c>
      <c r="AJ584" s="53" t="str">
        <f aca="false">IF($E584&lt;&gt;"",$E584,"")</f>
        <v/>
      </c>
      <c r="AK584" s="52" t="str">
        <f aca="false">IF($F584&lt;&gt;"",$F584,"")</f>
        <v>Apprenant 572 ou 572'</v>
      </c>
      <c r="AL584" s="53" t="str">
        <f aca="false">IF(AND($AB584&lt;&gt;"",$AC584&lt;&gt;""),$AC584-$AB584,"")</f>
        <v/>
      </c>
      <c r="AM584" s="53" t="str">
        <f aca="false">IF(AND($AB584&lt;&gt;"",$AD584&lt;&gt;""),$AD584-$AB584,"")</f>
        <v/>
      </c>
      <c r="AN584" s="53" t="str">
        <f aca="false">IF(AND($AC584&lt;&gt;"",$AD584&lt;&gt;""),$AD584-$AC584,"")</f>
        <v/>
      </c>
      <c r="AO584" s="53" t="str">
        <f aca="false">IF($J584&lt;&gt;"",$J584,"")</f>
        <v/>
      </c>
      <c r="AQ584" s="52" t="str">
        <f aca="false">IF($A584&lt;&gt;"",$A584,"")</f>
        <v>Apprenant 572</v>
      </c>
      <c r="AR584" s="55" t="str">
        <f aca="false">IF(AND('Choix pédagogiques'!$C$4&lt;&gt;"?",'Choix pédagogiques'!$C$5&lt;&gt;"?",W584&lt;&gt;""),(W584-'Choix pédagogiques'!$C$4)/('Choix pédagogiques'!$C$5-'Choix pédagogiques'!$C$4),"")</f>
        <v/>
      </c>
      <c r="AS584" s="55" t="str">
        <f aca="false">IF(AND('Choix pédagogiques'!$C$4&lt;&gt;"?",'Choix pédagogiques'!$C$5&lt;&gt;"?",X584&lt;&gt;""),(X584-'Choix pédagogiques'!$C$4)/('Choix pédagogiques'!$C$5-'Choix pédagogiques'!$C$4),"")</f>
        <v/>
      </c>
      <c r="AT584" s="55" t="str">
        <f aca="false">IF(AND('Choix pédagogiques'!$C$4&lt;&gt;"?",'Choix pédagogiques'!$C$5&lt;&gt;"?",Y584&lt;&gt;""),(Y584-'Choix pédagogiques'!$C$4)/('Choix pédagogiques'!$C$5-'Choix pédagogiques'!$C$4),"")</f>
        <v/>
      </c>
      <c r="AU584" s="53" t="str">
        <f aca="false">IF($E584&lt;&gt;"",$E584,"")</f>
        <v/>
      </c>
      <c r="AV584" s="52" t="str">
        <f aca="false">IF($F584&lt;&gt;"",$F584,"")</f>
        <v>Apprenant 572 ou 572'</v>
      </c>
      <c r="AW584" s="55" t="str">
        <f aca="false">IF(AND('Choix pédagogiques'!$C$4&lt;&gt;"?",'Choix pédagogiques'!$C$5&lt;&gt;"?",AB584&lt;&gt;""),(AB584-'Choix pédagogiques'!$C$4)/('Choix pédagogiques'!$C$5-'Choix pédagogiques'!$C$4),"")</f>
        <v/>
      </c>
      <c r="AX584" s="55" t="str">
        <f aca="false">IF(AND('Choix pédagogiques'!$C$4&lt;&gt;"?",'Choix pédagogiques'!$C$5&lt;&gt;"?",AC584&lt;&gt;""),(AC584-'Choix pédagogiques'!$C$4)/('Choix pédagogiques'!$C$5-'Choix pédagogiques'!$C$4),"")</f>
        <v/>
      </c>
      <c r="AY584" s="55" t="str">
        <f aca="false">IF(AND('Choix pédagogiques'!$C$4&lt;&gt;"?",'Choix pédagogiques'!$C$5&lt;&gt;"?",AD584&lt;&gt;""),(AD584-'Choix pédagogiques'!$C$4)/('Choix pédagogiques'!$C$5-'Choix pédagogiques'!$C$4),"")</f>
        <v/>
      </c>
      <c r="AZ584" s="53" t="str">
        <f aca="false">IF($J584&lt;&gt;"",$J584,"")</f>
        <v/>
      </c>
      <c r="BA584" s="52" t="str">
        <f aca="false">IF($A584&lt;&gt;"",$A584,"")</f>
        <v>Apprenant 572</v>
      </c>
      <c r="BB584" s="55" t="str">
        <f aca="false">IF(AND($AR584&lt;&gt;"",$AS584&lt;&gt;""),$AS584-$AR584,"")</f>
        <v/>
      </c>
      <c r="BC584" s="55" t="str">
        <f aca="false">IF(AND($AR584&lt;&gt;"",$AT584&lt;&gt;""),$AT584-$AR584,"")</f>
        <v/>
      </c>
      <c r="BD584" s="55" t="str">
        <f aca="false">IF(AND($AS584&lt;&gt;"",$AT584&lt;&gt;""),$AT584-$AS584,"")</f>
        <v/>
      </c>
      <c r="BE584" s="53" t="str">
        <f aca="false">IF($E584&lt;&gt;"",$E584,"")</f>
        <v/>
      </c>
      <c r="BF584" s="52" t="str">
        <f aca="false">IF($F584&lt;&gt;"",$F584,"")</f>
        <v>Apprenant 572 ou 572'</v>
      </c>
      <c r="BG584" s="55" t="str">
        <f aca="false">IF(AND($AW584&lt;&gt;"",$AX584&lt;&gt;""),$AX584-$AW584,"")</f>
        <v/>
      </c>
      <c r="BH584" s="55" t="str">
        <f aca="false">IF(AND($AW584&lt;&gt;"",$AY584&lt;&gt;""),$AY584-$AW584,"")</f>
        <v/>
      </c>
      <c r="BI584" s="55" t="str">
        <f aca="false">IF(AND($AX584&lt;&gt;"",$AY584&lt;&gt;""),$AY584-$AX584,"")</f>
        <v/>
      </c>
      <c r="BJ584" s="53" t="str">
        <f aca="false">IF($J584&lt;&gt;"",$J584,"")</f>
        <v/>
      </c>
      <c r="BL584" s="52"/>
      <c r="BM584" s="52" t="str">
        <f aca="false">IF(OR(COUNT(B584:D1583)=0,AND('Choix pédagogiques'!$C$3&lt;&gt;1,'Choix pédagogiques'!$C$3&lt;&gt;2)),"",IF(AND(OR('Choix pédagogiques'!$C$3=1,'Choix pédagogiques'!$C$3=2),$B584&lt;&gt;"",$C584&lt;&gt;"",$D584&lt;&gt;""),1,0))</f>
        <v/>
      </c>
      <c r="BN584" s="52" t="str">
        <f aca="false">IF(OR(COUNT(G584:I1583)=0,AND('Choix pédagogiques'!$C$3&lt;&gt;1,'Choix pédagogiques'!$C$3&lt;&gt;2)),"",IF(AND(OR('Choix pédagogiques'!$C$3=1,'Choix pédagogiques'!$C$3=2),AND($G584&lt;&gt;"",$H584&lt;&gt;"",$I584&lt;&gt;"")),1,0))</f>
        <v/>
      </c>
      <c r="BO584" s="52" t="str">
        <f aca="false">IF(OR(COUNT(B584:D1583)=0,COUNT(G584:I1583)=0,'Choix pédagogiques'!C$3&lt;&gt;3),"",IF(AND('Choix pédagogiques'!$C$3=3,$B584&lt;&gt;"",$C584&lt;&gt;"",$D584&lt;&gt;"",$G584&lt;&gt;"",$H584&lt;&gt;"",$I584&lt;&gt;""),1,0))</f>
        <v/>
      </c>
      <c r="BR584" s="52" t="n">
        <v>835</v>
      </c>
      <c r="BS584" s="52" t="n">
        <v>1624</v>
      </c>
    </row>
    <row r="585" s="54" customFormat="true" ht="18" hidden="false" customHeight="true" outlineLevel="0" collapsed="false">
      <c r="A585" s="57" t="s">
        <v>1101</v>
      </c>
      <c r="B585" s="51"/>
      <c r="C585" s="51"/>
      <c r="D585" s="51"/>
      <c r="E585" s="51"/>
      <c r="F585" s="57" t="s">
        <v>1102</v>
      </c>
      <c r="G585" s="51"/>
      <c r="H585" s="51"/>
      <c r="I585" s="51"/>
      <c r="J585" s="51"/>
      <c r="K585" s="52" t="str">
        <f aca="false">IF($A585&lt;&gt;"",$A585,"")</f>
        <v>Apprenant 573</v>
      </c>
      <c r="L585" s="53" t="str">
        <f aca="false">IF(AND($B585&lt;&gt;"",$C585&lt;&gt;""),$C585-$B585,"")</f>
        <v/>
      </c>
      <c r="M585" s="53" t="str">
        <f aca="false">IF(AND($B585&lt;&gt;"",$D585&lt;&gt;""),$D585-$B585,"")</f>
        <v/>
      </c>
      <c r="N585" s="53" t="str">
        <f aca="false">IF(AND($C585&lt;&gt;"",$D585&lt;&gt;""),$D585-$C585,"")</f>
        <v/>
      </c>
      <c r="O585" s="53" t="str">
        <f aca="false">IF($E585&lt;&gt;"",$E585,"")</f>
        <v/>
      </c>
      <c r="P585" s="52" t="str">
        <f aca="false">IF($F585&lt;&gt;"",$F585,"")</f>
        <v>Apprenant 573 ou 573'</v>
      </c>
      <c r="Q585" s="53" t="str">
        <f aca="false">IF(AND($G585&lt;&gt;"",$H585&lt;&gt;""),$H585-$G585,"")</f>
        <v/>
      </c>
      <c r="R585" s="53" t="str">
        <f aca="false">IF(AND($G585&lt;&gt;"",$I585&lt;&gt;""),$I585-$G585,"")</f>
        <v/>
      </c>
      <c r="S585" s="53" t="str">
        <f aca="false">IF(AND($H585&lt;&gt;"",$I585&lt;&gt;""),$I585-$H585,"")</f>
        <v/>
      </c>
      <c r="T585" s="53" t="str">
        <f aca="false">IF($J585&lt;&gt;"",$J585,"")</f>
        <v/>
      </c>
      <c r="V585" s="52" t="str">
        <f aca="false">IF($A585&lt;&gt;"",$A585,"")</f>
        <v>Apprenant 573</v>
      </c>
      <c r="W585" s="53" t="str">
        <f aca="false">IF(AND(OR('Choix pédagogiques'!$C$3=1,'Choix pédagogiques'!$C$3=2),$BM585=1),B585,IF(AND('Choix pédagogiques'!$C$3=3,$BO585=1),B585,""))</f>
        <v/>
      </c>
      <c r="X585" s="53" t="str">
        <f aca="false">IF(AND(OR('Choix pédagogiques'!$C$3=1,'Choix pédagogiques'!$C$3=2),$BM585=1),C585,IF(AND('Choix pédagogiques'!$C$3=3,$BO585=1),C585,""))</f>
        <v/>
      </c>
      <c r="Y585" s="53" t="str">
        <f aca="false">IF(AND(OR('Choix pédagogiques'!$C$3=1,'Choix pédagogiques'!$C$3=2),$BM585=1),D585,IF(AND('Choix pédagogiques'!$C$3=3,$BO585=1),D585,""))</f>
        <v/>
      </c>
      <c r="Z585" s="53" t="str">
        <f aca="false">IF($E585&lt;&gt;"",$E585,"")</f>
        <v/>
      </c>
      <c r="AA585" s="52" t="str">
        <f aca="false">IF($F585&lt;&gt;"",$F585,"")</f>
        <v>Apprenant 573 ou 573'</v>
      </c>
      <c r="AB585" s="53" t="str">
        <f aca="false">IF(AND(OR('Choix pédagogiques'!$C$3=1,'Choix pédagogiques'!$C$3=2),$BN585=1),G585,IF(AND('Choix pédagogiques'!$C$3=3,$BO585=1),G585,""))</f>
        <v/>
      </c>
      <c r="AC585" s="53" t="str">
        <f aca="false">IF(AND(OR('Choix pédagogiques'!$C$3=1,'Choix pédagogiques'!$C$3=2),$BN585=1),H585,IF(AND('Choix pédagogiques'!$C$3=3,$BO585=1),H585,""))</f>
        <v/>
      </c>
      <c r="AD585" s="53" t="str">
        <f aca="false">IF(AND(OR('Choix pédagogiques'!$C$3=1,'Choix pédagogiques'!$C$3=2),$BN585=1),I585,IF(AND('Choix pédagogiques'!$C$3=3,$BO585=1),I585,""))</f>
        <v/>
      </c>
      <c r="AE585" s="53" t="str">
        <f aca="false">IF($J585&lt;&gt;"",$J585,"")</f>
        <v/>
      </c>
      <c r="AF585" s="52" t="str">
        <f aca="false">IF($A585&lt;&gt;"",$A585,"")</f>
        <v>Apprenant 573</v>
      </c>
      <c r="AG585" s="53" t="str">
        <f aca="false">IF(AND($W585&lt;&gt;"",$X585&lt;&gt;""),$X585-$W585,"")</f>
        <v/>
      </c>
      <c r="AH585" s="53" t="str">
        <f aca="false">IF(AND($W585&lt;&gt;"",$Y585&lt;&gt;""),$Y585-$W585,"")</f>
        <v/>
      </c>
      <c r="AI585" s="53" t="str">
        <f aca="false">IF(AND($X585&lt;&gt;"",$Y585&lt;&gt;""),$Y585-$X585,"")</f>
        <v/>
      </c>
      <c r="AJ585" s="53" t="str">
        <f aca="false">IF($E585&lt;&gt;"",$E585,"")</f>
        <v/>
      </c>
      <c r="AK585" s="52" t="str">
        <f aca="false">IF($F585&lt;&gt;"",$F585,"")</f>
        <v>Apprenant 573 ou 573'</v>
      </c>
      <c r="AL585" s="53" t="str">
        <f aca="false">IF(AND($AB585&lt;&gt;"",$AC585&lt;&gt;""),$AC585-$AB585,"")</f>
        <v/>
      </c>
      <c r="AM585" s="53" t="str">
        <f aca="false">IF(AND($AB585&lt;&gt;"",$AD585&lt;&gt;""),$AD585-$AB585,"")</f>
        <v/>
      </c>
      <c r="AN585" s="53" t="str">
        <f aca="false">IF(AND($AC585&lt;&gt;"",$AD585&lt;&gt;""),$AD585-$AC585,"")</f>
        <v/>
      </c>
      <c r="AO585" s="53" t="str">
        <f aca="false">IF($J585&lt;&gt;"",$J585,"")</f>
        <v/>
      </c>
      <c r="AQ585" s="52" t="str">
        <f aca="false">IF($A585&lt;&gt;"",$A585,"")</f>
        <v>Apprenant 573</v>
      </c>
      <c r="AR585" s="55" t="str">
        <f aca="false">IF(AND('Choix pédagogiques'!$C$4&lt;&gt;"?",'Choix pédagogiques'!$C$5&lt;&gt;"?",W585&lt;&gt;""),(W585-'Choix pédagogiques'!$C$4)/('Choix pédagogiques'!$C$5-'Choix pédagogiques'!$C$4),"")</f>
        <v/>
      </c>
      <c r="AS585" s="55" t="str">
        <f aca="false">IF(AND('Choix pédagogiques'!$C$4&lt;&gt;"?",'Choix pédagogiques'!$C$5&lt;&gt;"?",X585&lt;&gt;""),(X585-'Choix pédagogiques'!$C$4)/('Choix pédagogiques'!$C$5-'Choix pédagogiques'!$C$4),"")</f>
        <v/>
      </c>
      <c r="AT585" s="55" t="str">
        <f aca="false">IF(AND('Choix pédagogiques'!$C$4&lt;&gt;"?",'Choix pédagogiques'!$C$5&lt;&gt;"?",Y585&lt;&gt;""),(Y585-'Choix pédagogiques'!$C$4)/('Choix pédagogiques'!$C$5-'Choix pédagogiques'!$C$4),"")</f>
        <v/>
      </c>
      <c r="AU585" s="53" t="str">
        <f aca="false">IF($E585&lt;&gt;"",$E585,"")</f>
        <v/>
      </c>
      <c r="AV585" s="52" t="str">
        <f aca="false">IF($F585&lt;&gt;"",$F585,"")</f>
        <v>Apprenant 573 ou 573'</v>
      </c>
      <c r="AW585" s="55" t="str">
        <f aca="false">IF(AND('Choix pédagogiques'!$C$4&lt;&gt;"?",'Choix pédagogiques'!$C$5&lt;&gt;"?",AB585&lt;&gt;""),(AB585-'Choix pédagogiques'!$C$4)/('Choix pédagogiques'!$C$5-'Choix pédagogiques'!$C$4),"")</f>
        <v/>
      </c>
      <c r="AX585" s="55" t="str">
        <f aca="false">IF(AND('Choix pédagogiques'!$C$4&lt;&gt;"?",'Choix pédagogiques'!$C$5&lt;&gt;"?",AC585&lt;&gt;""),(AC585-'Choix pédagogiques'!$C$4)/('Choix pédagogiques'!$C$5-'Choix pédagogiques'!$C$4),"")</f>
        <v/>
      </c>
      <c r="AY585" s="55" t="str">
        <f aca="false">IF(AND('Choix pédagogiques'!$C$4&lt;&gt;"?",'Choix pédagogiques'!$C$5&lt;&gt;"?",AD585&lt;&gt;""),(AD585-'Choix pédagogiques'!$C$4)/('Choix pédagogiques'!$C$5-'Choix pédagogiques'!$C$4),"")</f>
        <v/>
      </c>
      <c r="AZ585" s="53" t="str">
        <f aca="false">IF($J585&lt;&gt;"",$J585,"")</f>
        <v/>
      </c>
      <c r="BA585" s="52" t="str">
        <f aca="false">IF($A585&lt;&gt;"",$A585,"")</f>
        <v>Apprenant 573</v>
      </c>
      <c r="BB585" s="55" t="str">
        <f aca="false">IF(AND($AR585&lt;&gt;"",$AS585&lt;&gt;""),$AS585-$AR585,"")</f>
        <v/>
      </c>
      <c r="BC585" s="55" t="str">
        <f aca="false">IF(AND($AR585&lt;&gt;"",$AT585&lt;&gt;""),$AT585-$AR585,"")</f>
        <v/>
      </c>
      <c r="BD585" s="55" t="str">
        <f aca="false">IF(AND($AS585&lt;&gt;"",$AT585&lt;&gt;""),$AT585-$AS585,"")</f>
        <v/>
      </c>
      <c r="BE585" s="53" t="str">
        <f aca="false">IF($E585&lt;&gt;"",$E585,"")</f>
        <v/>
      </c>
      <c r="BF585" s="52" t="str">
        <f aca="false">IF($F585&lt;&gt;"",$F585,"")</f>
        <v>Apprenant 573 ou 573'</v>
      </c>
      <c r="BG585" s="55" t="str">
        <f aca="false">IF(AND($AW585&lt;&gt;"",$AX585&lt;&gt;""),$AX585-$AW585,"")</f>
        <v/>
      </c>
      <c r="BH585" s="55" t="str">
        <f aca="false">IF(AND($AW585&lt;&gt;"",$AY585&lt;&gt;""),$AY585-$AW585,"")</f>
        <v/>
      </c>
      <c r="BI585" s="55" t="str">
        <f aca="false">IF(AND($AX585&lt;&gt;"",$AY585&lt;&gt;""),$AY585-$AX585,"")</f>
        <v/>
      </c>
      <c r="BJ585" s="53" t="str">
        <f aca="false">IF($J585&lt;&gt;"",$J585,"")</f>
        <v/>
      </c>
      <c r="BL585" s="52"/>
      <c r="BM585" s="52" t="str">
        <f aca="false">IF(OR(COUNT(B585:D1584)=0,AND('Choix pédagogiques'!$C$3&lt;&gt;1,'Choix pédagogiques'!$C$3&lt;&gt;2)),"",IF(AND(OR('Choix pédagogiques'!$C$3=1,'Choix pédagogiques'!$C$3=2),$B585&lt;&gt;"",$C585&lt;&gt;"",$D585&lt;&gt;""),1,0))</f>
        <v/>
      </c>
      <c r="BN585" s="52" t="str">
        <f aca="false">IF(OR(COUNT(G585:I1584)=0,AND('Choix pédagogiques'!$C$3&lt;&gt;1,'Choix pédagogiques'!$C$3&lt;&gt;2)),"",IF(AND(OR('Choix pédagogiques'!$C$3=1,'Choix pédagogiques'!$C$3=2),AND($G585&lt;&gt;"",$H585&lt;&gt;"",$I585&lt;&gt;"")),1,0))</f>
        <v/>
      </c>
      <c r="BO585" s="52" t="str">
        <f aca="false">IF(OR(COUNT(B585:D1584)=0,COUNT(G585:I1584)=0,'Choix pédagogiques'!C$3&lt;&gt;3),"",IF(AND('Choix pédagogiques'!$C$3=3,$B585&lt;&gt;"",$C585&lt;&gt;"",$D585&lt;&gt;"",$G585&lt;&gt;"",$H585&lt;&gt;"",$I585&lt;&gt;""),1,0))</f>
        <v/>
      </c>
      <c r="BR585" s="52" t="n">
        <v>150</v>
      </c>
      <c r="BS585" s="52" t="n">
        <v>1155</v>
      </c>
    </row>
    <row r="586" s="54" customFormat="true" ht="18" hidden="false" customHeight="true" outlineLevel="0" collapsed="false">
      <c r="A586" s="57" t="s">
        <v>1103</v>
      </c>
      <c r="B586" s="51"/>
      <c r="C586" s="51"/>
      <c r="D586" s="51"/>
      <c r="E586" s="51"/>
      <c r="F586" s="57" t="s">
        <v>1104</v>
      </c>
      <c r="G586" s="51"/>
      <c r="H586" s="51"/>
      <c r="I586" s="51"/>
      <c r="J586" s="51"/>
      <c r="K586" s="52" t="str">
        <f aca="false">IF($A586&lt;&gt;"",$A586,"")</f>
        <v>Apprenant 574</v>
      </c>
      <c r="L586" s="53" t="str">
        <f aca="false">IF(AND($B586&lt;&gt;"",$C586&lt;&gt;""),$C586-$B586,"")</f>
        <v/>
      </c>
      <c r="M586" s="53" t="str">
        <f aca="false">IF(AND($B586&lt;&gt;"",$D586&lt;&gt;""),$D586-$B586,"")</f>
        <v/>
      </c>
      <c r="N586" s="53" t="str">
        <f aca="false">IF(AND($C586&lt;&gt;"",$D586&lt;&gt;""),$D586-$C586,"")</f>
        <v/>
      </c>
      <c r="O586" s="53" t="str">
        <f aca="false">IF($E586&lt;&gt;"",$E586,"")</f>
        <v/>
      </c>
      <c r="P586" s="52" t="str">
        <f aca="false">IF($F586&lt;&gt;"",$F586,"")</f>
        <v>Apprenant 574 ou 574'</v>
      </c>
      <c r="Q586" s="53" t="str">
        <f aca="false">IF(AND($G586&lt;&gt;"",$H586&lt;&gt;""),$H586-$G586,"")</f>
        <v/>
      </c>
      <c r="R586" s="53" t="str">
        <f aca="false">IF(AND($G586&lt;&gt;"",$I586&lt;&gt;""),$I586-$G586,"")</f>
        <v/>
      </c>
      <c r="S586" s="53" t="str">
        <f aca="false">IF(AND($H586&lt;&gt;"",$I586&lt;&gt;""),$I586-$H586,"")</f>
        <v/>
      </c>
      <c r="T586" s="53" t="str">
        <f aca="false">IF($J586&lt;&gt;"",$J586,"")</f>
        <v/>
      </c>
      <c r="V586" s="52" t="str">
        <f aca="false">IF($A586&lt;&gt;"",$A586,"")</f>
        <v>Apprenant 574</v>
      </c>
      <c r="W586" s="53" t="str">
        <f aca="false">IF(AND(OR('Choix pédagogiques'!$C$3=1,'Choix pédagogiques'!$C$3=2),$BM586=1),B586,IF(AND('Choix pédagogiques'!$C$3=3,$BO586=1),B586,""))</f>
        <v/>
      </c>
      <c r="X586" s="53" t="str">
        <f aca="false">IF(AND(OR('Choix pédagogiques'!$C$3=1,'Choix pédagogiques'!$C$3=2),$BM586=1),C586,IF(AND('Choix pédagogiques'!$C$3=3,$BO586=1),C586,""))</f>
        <v/>
      </c>
      <c r="Y586" s="53" t="str">
        <f aca="false">IF(AND(OR('Choix pédagogiques'!$C$3=1,'Choix pédagogiques'!$C$3=2),$BM586=1),D586,IF(AND('Choix pédagogiques'!$C$3=3,$BO586=1),D586,""))</f>
        <v/>
      </c>
      <c r="Z586" s="53" t="str">
        <f aca="false">IF($E586&lt;&gt;"",$E586,"")</f>
        <v/>
      </c>
      <c r="AA586" s="52" t="str">
        <f aca="false">IF($F586&lt;&gt;"",$F586,"")</f>
        <v>Apprenant 574 ou 574'</v>
      </c>
      <c r="AB586" s="53" t="str">
        <f aca="false">IF(AND(OR('Choix pédagogiques'!$C$3=1,'Choix pédagogiques'!$C$3=2),$BN586=1),G586,IF(AND('Choix pédagogiques'!$C$3=3,$BO586=1),G586,""))</f>
        <v/>
      </c>
      <c r="AC586" s="53" t="str">
        <f aca="false">IF(AND(OR('Choix pédagogiques'!$C$3=1,'Choix pédagogiques'!$C$3=2),$BN586=1),H586,IF(AND('Choix pédagogiques'!$C$3=3,$BO586=1),H586,""))</f>
        <v/>
      </c>
      <c r="AD586" s="53" t="str">
        <f aca="false">IF(AND(OR('Choix pédagogiques'!$C$3=1,'Choix pédagogiques'!$C$3=2),$BN586=1),I586,IF(AND('Choix pédagogiques'!$C$3=3,$BO586=1),I586,""))</f>
        <v/>
      </c>
      <c r="AE586" s="53" t="str">
        <f aca="false">IF($J586&lt;&gt;"",$J586,"")</f>
        <v/>
      </c>
      <c r="AF586" s="52" t="str">
        <f aca="false">IF($A586&lt;&gt;"",$A586,"")</f>
        <v>Apprenant 574</v>
      </c>
      <c r="AG586" s="53" t="str">
        <f aca="false">IF(AND($W586&lt;&gt;"",$X586&lt;&gt;""),$X586-$W586,"")</f>
        <v/>
      </c>
      <c r="AH586" s="53" t="str">
        <f aca="false">IF(AND($W586&lt;&gt;"",$Y586&lt;&gt;""),$Y586-$W586,"")</f>
        <v/>
      </c>
      <c r="AI586" s="53" t="str">
        <f aca="false">IF(AND($X586&lt;&gt;"",$Y586&lt;&gt;""),$Y586-$X586,"")</f>
        <v/>
      </c>
      <c r="AJ586" s="53" t="str">
        <f aca="false">IF($E586&lt;&gt;"",$E586,"")</f>
        <v/>
      </c>
      <c r="AK586" s="52" t="str">
        <f aca="false">IF($F586&lt;&gt;"",$F586,"")</f>
        <v>Apprenant 574 ou 574'</v>
      </c>
      <c r="AL586" s="53" t="str">
        <f aca="false">IF(AND($AB586&lt;&gt;"",$AC586&lt;&gt;""),$AC586-$AB586,"")</f>
        <v/>
      </c>
      <c r="AM586" s="53" t="str">
        <f aca="false">IF(AND($AB586&lt;&gt;"",$AD586&lt;&gt;""),$AD586-$AB586,"")</f>
        <v/>
      </c>
      <c r="AN586" s="53" t="str">
        <f aca="false">IF(AND($AC586&lt;&gt;"",$AD586&lt;&gt;""),$AD586-$AC586,"")</f>
        <v/>
      </c>
      <c r="AO586" s="53" t="str">
        <f aca="false">IF($J586&lt;&gt;"",$J586,"")</f>
        <v/>
      </c>
      <c r="AQ586" s="52" t="str">
        <f aca="false">IF($A586&lt;&gt;"",$A586,"")</f>
        <v>Apprenant 574</v>
      </c>
      <c r="AR586" s="55" t="str">
        <f aca="false">IF(AND('Choix pédagogiques'!$C$4&lt;&gt;"?",'Choix pédagogiques'!$C$5&lt;&gt;"?",W586&lt;&gt;""),(W586-'Choix pédagogiques'!$C$4)/('Choix pédagogiques'!$C$5-'Choix pédagogiques'!$C$4),"")</f>
        <v/>
      </c>
      <c r="AS586" s="55" t="str">
        <f aca="false">IF(AND('Choix pédagogiques'!$C$4&lt;&gt;"?",'Choix pédagogiques'!$C$5&lt;&gt;"?",X586&lt;&gt;""),(X586-'Choix pédagogiques'!$C$4)/('Choix pédagogiques'!$C$5-'Choix pédagogiques'!$C$4),"")</f>
        <v/>
      </c>
      <c r="AT586" s="55" t="str">
        <f aca="false">IF(AND('Choix pédagogiques'!$C$4&lt;&gt;"?",'Choix pédagogiques'!$C$5&lt;&gt;"?",Y586&lt;&gt;""),(Y586-'Choix pédagogiques'!$C$4)/('Choix pédagogiques'!$C$5-'Choix pédagogiques'!$C$4),"")</f>
        <v/>
      </c>
      <c r="AU586" s="53" t="str">
        <f aca="false">IF($E586&lt;&gt;"",$E586,"")</f>
        <v/>
      </c>
      <c r="AV586" s="52" t="str">
        <f aca="false">IF($F586&lt;&gt;"",$F586,"")</f>
        <v>Apprenant 574 ou 574'</v>
      </c>
      <c r="AW586" s="55" t="str">
        <f aca="false">IF(AND('Choix pédagogiques'!$C$4&lt;&gt;"?",'Choix pédagogiques'!$C$5&lt;&gt;"?",AB586&lt;&gt;""),(AB586-'Choix pédagogiques'!$C$4)/('Choix pédagogiques'!$C$5-'Choix pédagogiques'!$C$4),"")</f>
        <v/>
      </c>
      <c r="AX586" s="55" t="str">
        <f aca="false">IF(AND('Choix pédagogiques'!$C$4&lt;&gt;"?",'Choix pédagogiques'!$C$5&lt;&gt;"?",AC586&lt;&gt;""),(AC586-'Choix pédagogiques'!$C$4)/('Choix pédagogiques'!$C$5-'Choix pédagogiques'!$C$4),"")</f>
        <v/>
      </c>
      <c r="AY586" s="55" t="str">
        <f aca="false">IF(AND('Choix pédagogiques'!$C$4&lt;&gt;"?",'Choix pédagogiques'!$C$5&lt;&gt;"?",AD586&lt;&gt;""),(AD586-'Choix pédagogiques'!$C$4)/('Choix pédagogiques'!$C$5-'Choix pédagogiques'!$C$4),"")</f>
        <v/>
      </c>
      <c r="AZ586" s="53" t="str">
        <f aca="false">IF($J586&lt;&gt;"",$J586,"")</f>
        <v/>
      </c>
      <c r="BA586" s="52" t="str">
        <f aca="false">IF($A586&lt;&gt;"",$A586,"")</f>
        <v>Apprenant 574</v>
      </c>
      <c r="BB586" s="55" t="str">
        <f aca="false">IF(AND($AR586&lt;&gt;"",$AS586&lt;&gt;""),$AS586-$AR586,"")</f>
        <v/>
      </c>
      <c r="BC586" s="55" t="str">
        <f aca="false">IF(AND($AR586&lt;&gt;"",$AT586&lt;&gt;""),$AT586-$AR586,"")</f>
        <v/>
      </c>
      <c r="BD586" s="55" t="str">
        <f aca="false">IF(AND($AS586&lt;&gt;"",$AT586&lt;&gt;""),$AT586-$AS586,"")</f>
        <v/>
      </c>
      <c r="BE586" s="53" t="str">
        <f aca="false">IF($E586&lt;&gt;"",$E586,"")</f>
        <v/>
      </c>
      <c r="BF586" s="52" t="str">
        <f aca="false">IF($F586&lt;&gt;"",$F586,"")</f>
        <v>Apprenant 574 ou 574'</v>
      </c>
      <c r="BG586" s="55" t="str">
        <f aca="false">IF(AND($AW586&lt;&gt;"",$AX586&lt;&gt;""),$AX586-$AW586,"")</f>
        <v/>
      </c>
      <c r="BH586" s="55" t="str">
        <f aca="false">IF(AND($AW586&lt;&gt;"",$AY586&lt;&gt;""),$AY586-$AW586,"")</f>
        <v/>
      </c>
      <c r="BI586" s="55" t="str">
        <f aca="false">IF(AND($AX586&lt;&gt;"",$AY586&lt;&gt;""),$AY586-$AX586,"")</f>
        <v/>
      </c>
      <c r="BJ586" s="53" t="str">
        <f aca="false">IF($J586&lt;&gt;"",$J586,"")</f>
        <v/>
      </c>
      <c r="BL586" s="52"/>
      <c r="BM586" s="52" t="str">
        <f aca="false">IF(OR(COUNT(B586:D1585)=0,AND('Choix pédagogiques'!$C$3&lt;&gt;1,'Choix pédagogiques'!$C$3&lt;&gt;2)),"",IF(AND(OR('Choix pédagogiques'!$C$3=1,'Choix pédagogiques'!$C$3=2),$B586&lt;&gt;"",$C586&lt;&gt;"",$D586&lt;&gt;""),1,0))</f>
        <v/>
      </c>
      <c r="BN586" s="52" t="str">
        <f aca="false">IF(OR(COUNT(G586:I1585)=0,AND('Choix pédagogiques'!$C$3&lt;&gt;1,'Choix pédagogiques'!$C$3&lt;&gt;2)),"",IF(AND(OR('Choix pédagogiques'!$C$3=1,'Choix pédagogiques'!$C$3=2),AND($G586&lt;&gt;"",$H586&lt;&gt;"",$I586&lt;&gt;"")),1,0))</f>
        <v/>
      </c>
      <c r="BO586" s="52" t="str">
        <f aca="false">IF(OR(COUNT(B586:D1585)=0,COUNT(G586:I1585)=0,'Choix pédagogiques'!C$3&lt;&gt;3),"",IF(AND('Choix pédagogiques'!$C$3=3,$B586&lt;&gt;"",$C586&lt;&gt;"",$D586&lt;&gt;"",$G586&lt;&gt;"",$H586&lt;&gt;"",$I586&lt;&gt;""),1,0))</f>
        <v/>
      </c>
      <c r="BR586" s="52" t="n">
        <v>539</v>
      </c>
      <c r="BS586" s="52" t="n">
        <v>1453</v>
      </c>
    </row>
    <row r="587" s="54" customFormat="true" ht="18" hidden="false" customHeight="true" outlineLevel="0" collapsed="false">
      <c r="A587" s="57" t="s">
        <v>1105</v>
      </c>
      <c r="B587" s="51"/>
      <c r="C587" s="51"/>
      <c r="D587" s="51"/>
      <c r="E587" s="51"/>
      <c r="F587" s="57" t="s">
        <v>1106</v>
      </c>
      <c r="G587" s="51"/>
      <c r="H587" s="51"/>
      <c r="I587" s="51"/>
      <c r="J587" s="51"/>
      <c r="K587" s="52" t="str">
        <f aca="false">IF($A587&lt;&gt;"",$A587,"")</f>
        <v>Apprenant 575</v>
      </c>
      <c r="L587" s="53" t="str">
        <f aca="false">IF(AND($B587&lt;&gt;"",$C587&lt;&gt;""),$C587-$B587,"")</f>
        <v/>
      </c>
      <c r="M587" s="53" t="str">
        <f aca="false">IF(AND($B587&lt;&gt;"",$D587&lt;&gt;""),$D587-$B587,"")</f>
        <v/>
      </c>
      <c r="N587" s="53" t="str">
        <f aca="false">IF(AND($C587&lt;&gt;"",$D587&lt;&gt;""),$D587-$C587,"")</f>
        <v/>
      </c>
      <c r="O587" s="53" t="str">
        <f aca="false">IF($E587&lt;&gt;"",$E587,"")</f>
        <v/>
      </c>
      <c r="P587" s="52" t="str">
        <f aca="false">IF($F587&lt;&gt;"",$F587,"")</f>
        <v>Apprenant 575 ou 575'</v>
      </c>
      <c r="Q587" s="53" t="str">
        <f aca="false">IF(AND($G587&lt;&gt;"",$H587&lt;&gt;""),$H587-$G587,"")</f>
        <v/>
      </c>
      <c r="R587" s="53" t="str">
        <f aca="false">IF(AND($G587&lt;&gt;"",$I587&lt;&gt;""),$I587-$G587,"")</f>
        <v/>
      </c>
      <c r="S587" s="53" t="str">
        <f aca="false">IF(AND($H587&lt;&gt;"",$I587&lt;&gt;""),$I587-$H587,"")</f>
        <v/>
      </c>
      <c r="T587" s="53" t="str">
        <f aca="false">IF($J587&lt;&gt;"",$J587,"")</f>
        <v/>
      </c>
      <c r="V587" s="52" t="str">
        <f aca="false">IF($A587&lt;&gt;"",$A587,"")</f>
        <v>Apprenant 575</v>
      </c>
      <c r="W587" s="53" t="str">
        <f aca="false">IF(AND(OR('Choix pédagogiques'!$C$3=1,'Choix pédagogiques'!$C$3=2),$BM587=1),B587,IF(AND('Choix pédagogiques'!$C$3=3,$BO587=1),B587,""))</f>
        <v/>
      </c>
      <c r="X587" s="53" t="str">
        <f aca="false">IF(AND(OR('Choix pédagogiques'!$C$3=1,'Choix pédagogiques'!$C$3=2),$BM587=1),C587,IF(AND('Choix pédagogiques'!$C$3=3,$BO587=1),C587,""))</f>
        <v/>
      </c>
      <c r="Y587" s="53" t="str">
        <f aca="false">IF(AND(OR('Choix pédagogiques'!$C$3=1,'Choix pédagogiques'!$C$3=2),$BM587=1),D587,IF(AND('Choix pédagogiques'!$C$3=3,$BO587=1),D587,""))</f>
        <v/>
      </c>
      <c r="Z587" s="53" t="str">
        <f aca="false">IF($E587&lt;&gt;"",$E587,"")</f>
        <v/>
      </c>
      <c r="AA587" s="52" t="str">
        <f aca="false">IF($F587&lt;&gt;"",$F587,"")</f>
        <v>Apprenant 575 ou 575'</v>
      </c>
      <c r="AB587" s="53" t="str">
        <f aca="false">IF(AND(OR('Choix pédagogiques'!$C$3=1,'Choix pédagogiques'!$C$3=2),$BN587=1),G587,IF(AND('Choix pédagogiques'!$C$3=3,$BO587=1),G587,""))</f>
        <v/>
      </c>
      <c r="AC587" s="53" t="str">
        <f aca="false">IF(AND(OR('Choix pédagogiques'!$C$3=1,'Choix pédagogiques'!$C$3=2),$BN587=1),H587,IF(AND('Choix pédagogiques'!$C$3=3,$BO587=1),H587,""))</f>
        <v/>
      </c>
      <c r="AD587" s="53" t="str">
        <f aca="false">IF(AND(OR('Choix pédagogiques'!$C$3=1,'Choix pédagogiques'!$C$3=2),$BN587=1),I587,IF(AND('Choix pédagogiques'!$C$3=3,$BO587=1),I587,""))</f>
        <v/>
      </c>
      <c r="AE587" s="53" t="str">
        <f aca="false">IF($J587&lt;&gt;"",$J587,"")</f>
        <v/>
      </c>
      <c r="AF587" s="52" t="str">
        <f aca="false">IF($A587&lt;&gt;"",$A587,"")</f>
        <v>Apprenant 575</v>
      </c>
      <c r="AG587" s="53" t="str">
        <f aca="false">IF(AND($W587&lt;&gt;"",$X587&lt;&gt;""),$X587-$W587,"")</f>
        <v/>
      </c>
      <c r="AH587" s="53" t="str">
        <f aca="false">IF(AND($W587&lt;&gt;"",$Y587&lt;&gt;""),$Y587-$W587,"")</f>
        <v/>
      </c>
      <c r="AI587" s="53" t="str">
        <f aca="false">IF(AND($X587&lt;&gt;"",$Y587&lt;&gt;""),$Y587-$X587,"")</f>
        <v/>
      </c>
      <c r="AJ587" s="53" t="str">
        <f aca="false">IF($E587&lt;&gt;"",$E587,"")</f>
        <v/>
      </c>
      <c r="AK587" s="52" t="str">
        <f aca="false">IF($F587&lt;&gt;"",$F587,"")</f>
        <v>Apprenant 575 ou 575'</v>
      </c>
      <c r="AL587" s="53" t="str">
        <f aca="false">IF(AND($AB587&lt;&gt;"",$AC587&lt;&gt;""),$AC587-$AB587,"")</f>
        <v/>
      </c>
      <c r="AM587" s="53" t="str">
        <f aca="false">IF(AND($AB587&lt;&gt;"",$AD587&lt;&gt;""),$AD587-$AB587,"")</f>
        <v/>
      </c>
      <c r="AN587" s="53" t="str">
        <f aca="false">IF(AND($AC587&lt;&gt;"",$AD587&lt;&gt;""),$AD587-$AC587,"")</f>
        <v/>
      </c>
      <c r="AO587" s="53" t="str">
        <f aca="false">IF($J587&lt;&gt;"",$J587,"")</f>
        <v/>
      </c>
      <c r="AQ587" s="52" t="str">
        <f aca="false">IF($A587&lt;&gt;"",$A587,"")</f>
        <v>Apprenant 575</v>
      </c>
      <c r="AR587" s="55" t="str">
        <f aca="false">IF(AND('Choix pédagogiques'!$C$4&lt;&gt;"?",'Choix pédagogiques'!$C$5&lt;&gt;"?",W587&lt;&gt;""),(W587-'Choix pédagogiques'!$C$4)/('Choix pédagogiques'!$C$5-'Choix pédagogiques'!$C$4),"")</f>
        <v/>
      </c>
      <c r="AS587" s="55" t="str">
        <f aca="false">IF(AND('Choix pédagogiques'!$C$4&lt;&gt;"?",'Choix pédagogiques'!$C$5&lt;&gt;"?",X587&lt;&gt;""),(X587-'Choix pédagogiques'!$C$4)/('Choix pédagogiques'!$C$5-'Choix pédagogiques'!$C$4),"")</f>
        <v/>
      </c>
      <c r="AT587" s="55" t="str">
        <f aca="false">IF(AND('Choix pédagogiques'!$C$4&lt;&gt;"?",'Choix pédagogiques'!$C$5&lt;&gt;"?",Y587&lt;&gt;""),(Y587-'Choix pédagogiques'!$C$4)/('Choix pédagogiques'!$C$5-'Choix pédagogiques'!$C$4),"")</f>
        <v/>
      </c>
      <c r="AU587" s="53" t="str">
        <f aca="false">IF($E587&lt;&gt;"",$E587,"")</f>
        <v/>
      </c>
      <c r="AV587" s="52" t="str">
        <f aca="false">IF($F587&lt;&gt;"",$F587,"")</f>
        <v>Apprenant 575 ou 575'</v>
      </c>
      <c r="AW587" s="55" t="str">
        <f aca="false">IF(AND('Choix pédagogiques'!$C$4&lt;&gt;"?",'Choix pédagogiques'!$C$5&lt;&gt;"?",AB587&lt;&gt;""),(AB587-'Choix pédagogiques'!$C$4)/('Choix pédagogiques'!$C$5-'Choix pédagogiques'!$C$4),"")</f>
        <v/>
      </c>
      <c r="AX587" s="55" t="str">
        <f aca="false">IF(AND('Choix pédagogiques'!$C$4&lt;&gt;"?",'Choix pédagogiques'!$C$5&lt;&gt;"?",AC587&lt;&gt;""),(AC587-'Choix pédagogiques'!$C$4)/('Choix pédagogiques'!$C$5-'Choix pédagogiques'!$C$4),"")</f>
        <v/>
      </c>
      <c r="AY587" s="55" t="str">
        <f aca="false">IF(AND('Choix pédagogiques'!$C$4&lt;&gt;"?",'Choix pédagogiques'!$C$5&lt;&gt;"?",AD587&lt;&gt;""),(AD587-'Choix pédagogiques'!$C$4)/('Choix pédagogiques'!$C$5-'Choix pédagogiques'!$C$4),"")</f>
        <v/>
      </c>
      <c r="AZ587" s="53" t="str">
        <f aca="false">IF($J587&lt;&gt;"",$J587,"")</f>
        <v/>
      </c>
      <c r="BA587" s="52" t="str">
        <f aca="false">IF($A587&lt;&gt;"",$A587,"")</f>
        <v>Apprenant 575</v>
      </c>
      <c r="BB587" s="55" t="str">
        <f aca="false">IF(AND($AR587&lt;&gt;"",$AS587&lt;&gt;""),$AS587-$AR587,"")</f>
        <v/>
      </c>
      <c r="BC587" s="55" t="str">
        <f aca="false">IF(AND($AR587&lt;&gt;"",$AT587&lt;&gt;""),$AT587-$AR587,"")</f>
        <v/>
      </c>
      <c r="BD587" s="55" t="str">
        <f aca="false">IF(AND($AS587&lt;&gt;"",$AT587&lt;&gt;""),$AT587-$AS587,"")</f>
        <v/>
      </c>
      <c r="BE587" s="53" t="str">
        <f aca="false">IF($E587&lt;&gt;"",$E587,"")</f>
        <v/>
      </c>
      <c r="BF587" s="52" t="str">
        <f aca="false">IF($F587&lt;&gt;"",$F587,"")</f>
        <v>Apprenant 575 ou 575'</v>
      </c>
      <c r="BG587" s="55" t="str">
        <f aca="false">IF(AND($AW587&lt;&gt;"",$AX587&lt;&gt;""),$AX587-$AW587,"")</f>
        <v/>
      </c>
      <c r="BH587" s="55" t="str">
        <f aca="false">IF(AND($AW587&lt;&gt;"",$AY587&lt;&gt;""),$AY587-$AW587,"")</f>
        <v/>
      </c>
      <c r="BI587" s="55" t="str">
        <f aca="false">IF(AND($AX587&lt;&gt;"",$AY587&lt;&gt;""),$AY587-$AX587,"")</f>
        <v/>
      </c>
      <c r="BJ587" s="53" t="str">
        <f aca="false">IF($J587&lt;&gt;"",$J587,"")</f>
        <v/>
      </c>
      <c r="BL587" s="52"/>
      <c r="BM587" s="52" t="str">
        <f aca="false">IF(OR(COUNT(B587:D1586)=0,AND('Choix pédagogiques'!$C$3&lt;&gt;1,'Choix pédagogiques'!$C$3&lt;&gt;2)),"",IF(AND(OR('Choix pédagogiques'!$C$3=1,'Choix pédagogiques'!$C$3=2),$B587&lt;&gt;"",$C587&lt;&gt;"",$D587&lt;&gt;""),1,0))</f>
        <v/>
      </c>
      <c r="BN587" s="52" t="str">
        <f aca="false">IF(OR(COUNT(G587:I1586)=0,AND('Choix pédagogiques'!$C$3&lt;&gt;1,'Choix pédagogiques'!$C$3&lt;&gt;2)),"",IF(AND(OR('Choix pédagogiques'!$C$3=1,'Choix pédagogiques'!$C$3=2),AND($G587&lt;&gt;"",$H587&lt;&gt;"",$I587&lt;&gt;"")),1,0))</f>
        <v/>
      </c>
      <c r="BO587" s="52" t="str">
        <f aca="false">IF(OR(COUNT(B587:D1586)=0,COUNT(G587:I1586)=0,'Choix pédagogiques'!C$3&lt;&gt;3),"",IF(AND('Choix pédagogiques'!$C$3=3,$B587&lt;&gt;"",$C587&lt;&gt;"",$D587&lt;&gt;"",$G587&lt;&gt;"",$H587&lt;&gt;"",$I587&lt;&gt;""),1,0))</f>
        <v/>
      </c>
      <c r="BR587" s="52" t="n">
        <v>572</v>
      </c>
      <c r="BS587" s="52" t="n">
        <v>1531</v>
      </c>
    </row>
    <row r="588" s="54" customFormat="true" ht="18" hidden="false" customHeight="true" outlineLevel="0" collapsed="false">
      <c r="A588" s="57" t="s">
        <v>1107</v>
      </c>
      <c r="B588" s="51"/>
      <c r="C588" s="51"/>
      <c r="D588" s="51"/>
      <c r="E588" s="51"/>
      <c r="F588" s="57" t="s">
        <v>1108</v>
      </c>
      <c r="G588" s="51"/>
      <c r="H588" s="51"/>
      <c r="I588" s="51"/>
      <c r="J588" s="51"/>
      <c r="K588" s="52" t="str">
        <f aca="false">IF($A588&lt;&gt;"",$A588,"")</f>
        <v>Apprenant 576</v>
      </c>
      <c r="L588" s="53" t="str">
        <f aca="false">IF(AND($B588&lt;&gt;"",$C588&lt;&gt;""),$C588-$B588,"")</f>
        <v/>
      </c>
      <c r="M588" s="53" t="str">
        <f aca="false">IF(AND($B588&lt;&gt;"",$D588&lt;&gt;""),$D588-$B588,"")</f>
        <v/>
      </c>
      <c r="N588" s="53" t="str">
        <f aca="false">IF(AND($C588&lt;&gt;"",$D588&lt;&gt;""),$D588-$C588,"")</f>
        <v/>
      </c>
      <c r="O588" s="53" t="str">
        <f aca="false">IF($E588&lt;&gt;"",$E588,"")</f>
        <v/>
      </c>
      <c r="P588" s="52" t="str">
        <f aca="false">IF($F588&lt;&gt;"",$F588,"")</f>
        <v>Apprenant 576 ou 576'</v>
      </c>
      <c r="Q588" s="53" t="str">
        <f aca="false">IF(AND($G588&lt;&gt;"",$H588&lt;&gt;""),$H588-$G588,"")</f>
        <v/>
      </c>
      <c r="R588" s="53" t="str">
        <f aca="false">IF(AND($G588&lt;&gt;"",$I588&lt;&gt;""),$I588-$G588,"")</f>
        <v/>
      </c>
      <c r="S588" s="53" t="str">
        <f aca="false">IF(AND($H588&lt;&gt;"",$I588&lt;&gt;""),$I588-$H588,"")</f>
        <v/>
      </c>
      <c r="T588" s="53" t="str">
        <f aca="false">IF($J588&lt;&gt;"",$J588,"")</f>
        <v/>
      </c>
      <c r="V588" s="52" t="str">
        <f aca="false">IF($A588&lt;&gt;"",$A588,"")</f>
        <v>Apprenant 576</v>
      </c>
      <c r="W588" s="53" t="str">
        <f aca="false">IF(AND(OR('Choix pédagogiques'!$C$3=1,'Choix pédagogiques'!$C$3=2),$BM588=1),B588,IF(AND('Choix pédagogiques'!$C$3=3,$BO588=1),B588,""))</f>
        <v/>
      </c>
      <c r="X588" s="53" t="str">
        <f aca="false">IF(AND(OR('Choix pédagogiques'!$C$3=1,'Choix pédagogiques'!$C$3=2),$BM588=1),C588,IF(AND('Choix pédagogiques'!$C$3=3,$BO588=1),C588,""))</f>
        <v/>
      </c>
      <c r="Y588" s="53" t="str">
        <f aca="false">IF(AND(OR('Choix pédagogiques'!$C$3=1,'Choix pédagogiques'!$C$3=2),$BM588=1),D588,IF(AND('Choix pédagogiques'!$C$3=3,$BO588=1),D588,""))</f>
        <v/>
      </c>
      <c r="Z588" s="53" t="str">
        <f aca="false">IF($E588&lt;&gt;"",$E588,"")</f>
        <v/>
      </c>
      <c r="AA588" s="52" t="str">
        <f aca="false">IF($F588&lt;&gt;"",$F588,"")</f>
        <v>Apprenant 576 ou 576'</v>
      </c>
      <c r="AB588" s="53" t="str">
        <f aca="false">IF(AND(OR('Choix pédagogiques'!$C$3=1,'Choix pédagogiques'!$C$3=2),$BN588=1),G588,IF(AND('Choix pédagogiques'!$C$3=3,$BO588=1),G588,""))</f>
        <v/>
      </c>
      <c r="AC588" s="53" t="str">
        <f aca="false">IF(AND(OR('Choix pédagogiques'!$C$3=1,'Choix pédagogiques'!$C$3=2),$BN588=1),H588,IF(AND('Choix pédagogiques'!$C$3=3,$BO588=1),H588,""))</f>
        <v/>
      </c>
      <c r="AD588" s="53" t="str">
        <f aca="false">IF(AND(OR('Choix pédagogiques'!$C$3=1,'Choix pédagogiques'!$C$3=2),$BN588=1),I588,IF(AND('Choix pédagogiques'!$C$3=3,$BO588=1),I588,""))</f>
        <v/>
      </c>
      <c r="AE588" s="53" t="str">
        <f aca="false">IF($J588&lt;&gt;"",$J588,"")</f>
        <v/>
      </c>
      <c r="AF588" s="52" t="str">
        <f aca="false">IF($A588&lt;&gt;"",$A588,"")</f>
        <v>Apprenant 576</v>
      </c>
      <c r="AG588" s="53" t="str">
        <f aca="false">IF(AND($W588&lt;&gt;"",$X588&lt;&gt;""),$X588-$W588,"")</f>
        <v/>
      </c>
      <c r="AH588" s="53" t="str">
        <f aca="false">IF(AND($W588&lt;&gt;"",$Y588&lt;&gt;""),$Y588-$W588,"")</f>
        <v/>
      </c>
      <c r="AI588" s="53" t="str">
        <f aca="false">IF(AND($X588&lt;&gt;"",$Y588&lt;&gt;""),$Y588-$X588,"")</f>
        <v/>
      </c>
      <c r="AJ588" s="53" t="str">
        <f aca="false">IF($E588&lt;&gt;"",$E588,"")</f>
        <v/>
      </c>
      <c r="AK588" s="52" t="str">
        <f aca="false">IF($F588&lt;&gt;"",$F588,"")</f>
        <v>Apprenant 576 ou 576'</v>
      </c>
      <c r="AL588" s="53" t="str">
        <f aca="false">IF(AND($AB588&lt;&gt;"",$AC588&lt;&gt;""),$AC588-$AB588,"")</f>
        <v/>
      </c>
      <c r="AM588" s="53" t="str">
        <f aca="false">IF(AND($AB588&lt;&gt;"",$AD588&lt;&gt;""),$AD588-$AB588,"")</f>
        <v/>
      </c>
      <c r="AN588" s="53" t="str">
        <f aca="false">IF(AND($AC588&lt;&gt;"",$AD588&lt;&gt;""),$AD588-$AC588,"")</f>
        <v/>
      </c>
      <c r="AO588" s="53" t="str">
        <f aca="false">IF($J588&lt;&gt;"",$J588,"")</f>
        <v/>
      </c>
      <c r="AQ588" s="52" t="str">
        <f aca="false">IF($A588&lt;&gt;"",$A588,"")</f>
        <v>Apprenant 576</v>
      </c>
      <c r="AR588" s="55" t="str">
        <f aca="false">IF(AND('Choix pédagogiques'!$C$4&lt;&gt;"?",'Choix pédagogiques'!$C$5&lt;&gt;"?",W588&lt;&gt;""),(W588-'Choix pédagogiques'!$C$4)/('Choix pédagogiques'!$C$5-'Choix pédagogiques'!$C$4),"")</f>
        <v/>
      </c>
      <c r="AS588" s="55" t="str">
        <f aca="false">IF(AND('Choix pédagogiques'!$C$4&lt;&gt;"?",'Choix pédagogiques'!$C$5&lt;&gt;"?",X588&lt;&gt;""),(X588-'Choix pédagogiques'!$C$4)/('Choix pédagogiques'!$C$5-'Choix pédagogiques'!$C$4),"")</f>
        <v/>
      </c>
      <c r="AT588" s="55" t="str">
        <f aca="false">IF(AND('Choix pédagogiques'!$C$4&lt;&gt;"?",'Choix pédagogiques'!$C$5&lt;&gt;"?",Y588&lt;&gt;""),(Y588-'Choix pédagogiques'!$C$4)/('Choix pédagogiques'!$C$5-'Choix pédagogiques'!$C$4),"")</f>
        <v/>
      </c>
      <c r="AU588" s="53" t="str">
        <f aca="false">IF($E588&lt;&gt;"",$E588,"")</f>
        <v/>
      </c>
      <c r="AV588" s="52" t="str">
        <f aca="false">IF($F588&lt;&gt;"",$F588,"")</f>
        <v>Apprenant 576 ou 576'</v>
      </c>
      <c r="AW588" s="55" t="str">
        <f aca="false">IF(AND('Choix pédagogiques'!$C$4&lt;&gt;"?",'Choix pédagogiques'!$C$5&lt;&gt;"?",AB588&lt;&gt;""),(AB588-'Choix pédagogiques'!$C$4)/('Choix pédagogiques'!$C$5-'Choix pédagogiques'!$C$4),"")</f>
        <v/>
      </c>
      <c r="AX588" s="55" t="str">
        <f aca="false">IF(AND('Choix pédagogiques'!$C$4&lt;&gt;"?",'Choix pédagogiques'!$C$5&lt;&gt;"?",AC588&lt;&gt;""),(AC588-'Choix pédagogiques'!$C$4)/('Choix pédagogiques'!$C$5-'Choix pédagogiques'!$C$4),"")</f>
        <v/>
      </c>
      <c r="AY588" s="55" t="str">
        <f aca="false">IF(AND('Choix pédagogiques'!$C$4&lt;&gt;"?",'Choix pédagogiques'!$C$5&lt;&gt;"?",AD588&lt;&gt;""),(AD588-'Choix pédagogiques'!$C$4)/('Choix pédagogiques'!$C$5-'Choix pédagogiques'!$C$4),"")</f>
        <v/>
      </c>
      <c r="AZ588" s="53" t="str">
        <f aca="false">IF($J588&lt;&gt;"",$J588,"")</f>
        <v/>
      </c>
      <c r="BA588" s="52" t="str">
        <f aca="false">IF($A588&lt;&gt;"",$A588,"")</f>
        <v>Apprenant 576</v>
      </c>
      <c r="BB588" s="55" t="str">
        <f aca="false">IF(AND($AR588&lt;&gt;"",$AS588&lt;&gt;""),$AS588-$AR588,"")</f>
        <v/>
      </c>
      <c r="BC588" s="55" t="str">
        <f aca="false">IF(AND($AR588&lt;&gt;"",$AT588&lt;&gt;""),$AT588-$AR588,"")</f>
        <v/>
      </c>
      <c r="BD588" s="55" t="str">
        <f aca="false">IF(AND($AS588&lt;&gt;"",$AT588&lt;&gt;""),$AT588-$AS588,"")</f>
        <v/>
      </c>
      <c r="BE588" s="53" t="str">
        <f aca="false">IF($E588&lt;&gt;"",$E588,"")</f>
        <v/>
      </c>
      <c r="BF588" s="52" t="str">
        <f aca="false">IF($F588&lt;&gt;"",$F588,"")</f>
        <v>Apprenant 576 ou 576'</v>
      </c>
      <c r="BG588" s="55" t="str">
        <f aca="false">IF(AND($AW588&lt;&gt;"",$AX588&lt;&gt;""),$AX588-$AW588,"")</f>
        <v/>
      </c>
      <c r="BH588" s="55" t="str">
        <f aca="false">IF(AND($AW588&lt;&gt;"",$AY588&lt;&gt;""),$AY588-$AW588,"")</f>
        <v/>
      </c>
      <c r="BI588" s="55" t="str">
        <f aca="false">IF(AND($AX588&lt;&gt;"",$AY588&lt;&gt;""),$AY588-$AX588,"")</f>
        <v/>
      </c>
      <c r="BJ588" s="53" t="str">
        <f aca="false">IF($J588&lt;&gt;"",$J588,"")</f>
        <v/>
      </c>
      <c r="BL588" s="52"/>
      <c r="BM588" s="52" t="str">
        <f aca="false">IF(OR(COUNT(B588:D1587)=0,AND('Choix pédagogiques'!$C$3&lt;&gt;1,'Choix pédagogiques'!$C$3&lt;&gt;2)),"",IF(AND(OR('Choix pédagogiques'!$C$3=1,'Choix pédagogiques'!$C$3=2),$B588&lt;&gt;"",$C588&lt;&gt;"",$D588&lt;&gt;""),1,0))</f>
        <v/>
      </c>
      <c r="BN588" s="52" t="str">
        <f aca="false">IF(OR(COUNT(G588:I1587)=0,AND('Choix pédagogiques'!$C$3&lt;&gt;1,'Choix pédagogiques'!$C$3&lt;&gt;2)),"",IF(AND(OR('Choix pédagogiques'!$C$3=1,'Choix pédagogiques'!$C$3=2),AND($G588&lt;&gt;"",$H588&lt;&gt;"",$I588&lt;&gt;"")),1,0))</f>
        <v/>
      </c>
      <c r="BO588" s="52" t="str">
        <f aca="false">IF(OR(COUNT(B588:D1587)=0,COUNT(G588:I1587)=0,'Choix pédagogiques'!C$3&lt;&gt;3),"",IF(AND('Choix pédagogiques'!$C$3=3,$B588&lt;&gt;"",$C588&lt;&gt;"",$D588&lt;&gt;"",$G588&lt;&gt;"",$H588&lt;&gt;"",$I588&lt;&gt;""),1,0))</f>
        <v/>
      </c>
      <c r="BR588" s="52" t="n">
        <v>298</v>
      </c>
      <c r="BS588" s="52" t="n">
        <v>1609</v>
      </c>
    </row>
    <row r="589" s="54" customFormat="true" ht="18" hidden="false" customHeight="true" outlineLevel="0" collapsed="false">
      <c r="A589" s="57" t="s">
        <v>1109</v>
      </c>
      <c r="B589" s="51"/>
      <c r="C589" s="51"/>
      <c r="D589" s="51"/>
      <c r="E589" s="51"/>
      <c r="F589" s="57" t="s">
        <v>1110</v>
      </c>
      <c r="G589" s="51"/>
      <c r="H589" s="51"/>
      <c r="I589" s="51"/>
      <c r="J589" s="51"/>
      <c r="K589" s="52" t="str">
        <f aca="false">IF($A589&lt;&gt;"",$A589,"")</f>
        <v>Apprenant 577</v>
      </c>
      <c r="L589" s="53" t="str">
        <f aca="false">IF(AND($B589&lt;&gt;"",$C589&lt;&gt;""),$C589-$B589,"")</f>
        <v/>
      </c>
      <c r="M589" s="53" t="str">
        <f aca="false">IF(AND($B589&lt;&gt;"",$D589&lt;&gt;""),$D589-$B589,"")</f>
        <v/>
      </c>
      <c r="N589" s="53" t="str">
        <f aca="false">IF(AND($C589&lt;&gt;"",$D589&lt;&gt;""),$D589-$C589,"")</f>
        <v/>
      </c>
      <c r="O589" s="53" t="str">
        <f aca="false">IF($E589&lt;&gt;"",$E589,"")</f>
        <v/>
      </c>
      <c r="P589" s="52" t="str">
        <f aca="false">IF($F589&lt;&gt;"",$F589,"")</f>
        <v>Apprenant 577 ou 577'</v>
      </c>
      <c r="Q589" s="53" t="str">
        <f aca="false">IF(AND($G589&lt;&gt;"",$H589&lt;&gt;""),$H589-$G589,"")</f>
        <v/>
      </c>
      <c r="R589" s="53" t="str">
        <f aca="false">IF(AND($G589&lt;&gt;"",$I589&lt;&gt;""),$I589-$G589,"")</f>
        <v/>
      </c>
      <c r="S589" s="53" t="str">
        <f aca="false">IF(AND($H589&lt;&gt;"",$I589&lt;&gt;""),$I589-$H589,"")</f>
        <v/>
      </c>
      <c r="T589" s="53" t="str">
        <f aca="false">IF($J589&lt;&gt;"",$J589,"")</f>
        <v/>
      </c>
      <c r="V589" s="52" t="str">
        <f aca="false">IF($A589&lt;&gt;"",$A589,"")</f>
        <v>Apprenant 577</v>
      </c>
      <c r="W589" s="53" t="str">
        <f aca="false">IF(AND(OR('Choix pédagogiques'!$C$3=1,'Choix pédagogiques'!$C$3=2),$BM589=1),B589,IF(AND('Choix pédagogiques'!$C$3=3,$BO589=1),B589,""))</f>
        <v/>
      </c>
      <c r="X589" s="53" t="str">
        <f aca="false">IF(AND(OR('Choix pédagogiques'!$C$3=1,'Choix pédagogiques'!$C$3=2),$BM589=1),C589,IF(AND('Choix pédagogiques'!$C$3=3,$BO589=1),C589,""))</f>
        <v/>
      </c>
      <c r="Y589" s="53" t="str">
        <f aca="false">IF(AND(OR('Choix pédagogiques'!$C$3=1,'Choix pédagogiques'!$C$3=2),$BM589=1),D589,IF(AND('Choix pédagogiques'!$C$3=3,$BO589=1),D589,""))</f>
        <v/>
      </c>
      <c r="Z589" s="53" t="str">
        <f aca="false">IF($E589&lt;&gt;"",$E589,"")</f>
        <v/>
      </c>
      <c r="AA589" s="52" t="str">
        <f aca="false">IF($F589&lt;&gt;"",$F589,"")</f>
        <v>Apprenant 577 ou 577'</v>
      </c>
      <c r="AB589" s="53" t="str">
        <f aca="false">IF(AND(OR('Choix pédagogiques'!$C$3=1,'Choix pédagogiques'!$C$3=2),$BN589=1),G589,IF(AND('Choix pédagogiques'!$C$3=3,$BO589=1),G589,""))</f>
        <v/>
      </c>
      <c r="AC589" s="53" t="str">
        <f aca="false">IF(AND(OR('Choix pédagogiques'!$C$3=1,'Choix pédagogiques'!$C$3=2),$BN589=1),H589,IF(AND('Choix pédagogiques'!$C$3=3,$BO589=1),H589,""))</f>
        <v/>
      </c>
      <c r="AD589" s="53" t="str">
        <f aca="false">IF(AND(OR('Choix pédagogiques'!$C$3=1,'Choix pédagogiques'!$C$3=2),$BN589=1),I589,IF(AND('Choix pédagogiques'!$C$3=3,$BO589=1),I589,""))</f>
        <v/>
      </c>
      <c r="AE589" s="53" t="str">
        <f aca="false">IF($J589&lt;&gt;"",$J589,"")</f>
        <v/>
      </c>
      <c r="AF589" s="52" t="str">
        <f aca="false">IF($A589&lt;&gt;"",$A589,"")</f>
        <v>Apprenant 577</v>
      </c>
      <c r="AG589" s="53" t="str">
        <f aca="false">IF(AND($W589&lt;&gt;"",$X589&lt;&gt;""),$X589-$W589,"")</f>
        <v/>
      </c>
      <c r="AH589" s="53" t="str">
        <f aca="false">IF(AND($W589&lt;&gt;"",$Y589&lt;&gt;""),$Y589-$W589,"")</f>
        <v/>
      </c>
      <c r="AI589" s="53" t="str">
        <f aca="false">IF(AND($X589&lt;&gt;"",$Y589&lt;&gt;""),$Y589-$X589,"")</f>
        <v/>
      </c>
      <c r="AJ589" s="53" t="str">
        <f aca="false">IF($E589&lt;&gt;"",$E589,"")</f>
        <v/>
      </c>
      <c r="AK589" s="52" t="str">
        <f aca="false">IF($F589&lt;&gt;"",$F589,"")</f>
        <v>Apprenant 577 ou 577'</v>
      </c>
      <c r="AL589" s="53" t="str">
        <f aca="false">IF(AND($AB589&lt;&gt;"",$AC589&lt;&gt;""),$AC589-$AB589,"")</f>
        <v/>
      </c>
      <c r="AM589" s="53" t="str">
        <f aca="false">IF(AND($AB589&lt;&gt;"",$AD589&lt;&gt;""),$AD589-$AB589,"")</f>
        <v/>
      </c>
      <c r="AN589" s="53" t="str">
        <f aca="false">IF(AND($AC589&lt;&gt;"",$AD589&lt;&gt;""),$AD589-$AC589,"")</f>
        <v/>
      </c>
      <c r="AO589" s="53" t="str">
        <f aca="false">IF($J589&lt;&gt;"",$J589,"")</f>
        <v/>
      </c>
      <c r="AQ589" s="52" t="str">
        <f aca="false">IF($A589&lt;&gt;"",$A589,"")</f>
        <v>Apprenant 577</v>
      </c>
      <c r="AR589" s="55" t="str">
        <f aca="false">IF(AND('Choix pédagogiques'!$C$4&lt;&gt;"?",'Choix pédagogiques'!$C$5&lt;&gt;"?",W589&lt;&gt;""),(W589-'Choix pédagogiques'!$C$4)/('Choix pédagogiques'!$C$5-'Choix pédagogiques'!$C$4),"")</f>
        <v/>
      </c>
      <c r="AS589" s="55" t="str">
        <f aca="false">IF(AND('Choix pédagogiques'!$C$4&lt;&gt;"?",'Choix pédagogiques'!$C$5&lt;&gt;"?",X589&lt;&gt;""),(X589-'Choix pédagogiques'!$C$4)/('Choix pédagogiques'!$C$5-'Choix pédagogiques'!$C$4),"")</f>
        <v/>
      </c>
      <c r="AT589" s="55" t="str">
        <f aca="false">IF(AND('Choix pédagogiques'!$C$4&lt;&gt;"?",'Choix pédagogiques'!$C$5&lt;&gt;"?",Y589&lt;&gt;""),(Y589-'Choix pédagogiques'!$C$4)/('Choix pédagogiques'!$C$5-'Choix pédagogiques'!$C$4),"")</f>
        <v/>
      </c>
      <c r="AU589" s="53" t="str">
        <f aca="false">IF($E589&lt;&gt;"",$E589,"")</f>
        <v/>
      </c>
      <c r="AV589" s="52" t="str">
        <f aca="false">IF($F589&lt;&gt;"",$F589,"")</f>
        <v>Apprenant 577 ou 577'</v>
      </c>
      <c r="AW589" s="55" t="str">
        <f aca="false">IF(AND('Choix pédagogiques'!$C$4&lt;&gt;"?",'Choix pédagogiques'!$C$5&lt;&gt;"?",AB589&lt;&gt;""),(AB589-'Choix pédagogiques'!$C$4)/('Choix pédagogiques'!$C$5-'Choix pédagogiques'!$C$4),"")</f>
        <v/>
      </c>
      <c r="AX589" s="55" t="str">
        <f aca="false">IF(AND('Choix pédagogiques'!$C$4&lt;&gt;"?",'Choix pédagogiques'!$C$5&lt;&gt;"?",AC589&lt;&gt;""),(AC589-'Choix pédagogiques'!$C$4)/('Choix pédagogiques'!$C$5-'Choix pédagogiques'!$C$4),"")</f>
        <v/>
      </c>
      <c r="AY589" s="55" t="str">
        <f aca="false">IF(AND('Choix pédagogiques'!$C$4&lt;&gt;"?",'Choix pédagogiques'!$C$5&lt;&gt;"?",AD589&lt;&gt;""),(AD589-'Choix pédagogiques'!$C$4)/('Choix pédagogiques'!$C$5-'Choix pédagogiques'!$C$4),"")</f>
        <v/>
      </c>
      <c r="AZ589" s="53" t="str">
        <f aca="false">IF($J589&lt;&gt;"",$J589,"")</f>
        <v/>
      </c>
      <c r="BA589" s="52" t="str">
        <f aca="false">IF($A589&lt;&gt;"",$A589,"")</f>
        <v>Apprenant 577</v>
      </c>
      <c r="BB589" s="55" t="str">
        <f aca="false">IF(AND($AR589&lt;&gt;"",$AS589&lt;&gt;""),$AS589-$AR589,"")</f>
        <v/>
      </c>
      <c r="BC589" s="55" t="str">
        <f aca="false">IF(AND($AR589&lt;&gt;"",$AT589&lt;&gt;""),$AT589-$AR589,"")</f>
        <v/>
      </c>
      <c r="BD589" s="55" t="str">
        <f aca="false">IF(AND($AS589&lt;&gt;"",$AT589&lt;&gt;""),$AT589-$AS589,"")</f>
        <v/>
      </c>
      <c r="BE589" s="53" t="str">
        <f aca="false">IF($E589&lt;&gt;"",$E589,"")</f>
        <v/>
      </c>
      <c r="BF589" s="52" t="str">
        <f aca="false">IF($F589&lt;&gt;"",$F589,"")</f>
        <v>Apprenant 577 ou 577'</v>
      </c>
      <c r="BG589" s="55" t="str">
        <f aca="false">IF(AND($AW589&lt;&gt;"",$AX589&lt;&gt;""),$AX589-$AW589,"")</f>
        <v/>
      </c>
      <c r="BH589" s="55" t="str">
        <f aca="false">IF(AND($AW589&lt;&gt;"",$AY589&lt;&gt;""),$AY589-$AW589,"")</f>
        <v/>
      </c>
      <c r="BI589" s="55" t="str">
        <f aca="false">IF(AND($AX589&lt;&gt;"",$AY589&lt;&gt;""),$AY589-$AX589,"")</f>
        <v/>
      </c>
      <c r="BJ589" s="53" t="str">
        <f aca="false">IF($J589&lt;&gt;"",$J589,"")</f>
        <v/>
      </c>
      <c r="BL589" s="52"/>
      <c r="BM589" s="52" t="str">
        <f aca="false">IF(OR(COUNT(B589:D1588)=0,AND('Choix pédagogiques'!$C$3&lt;&gt;1,'Choix pédagogiques'!$C$3&lt;&gt;2)),"",IF(AND(OR('Choix pédagogiques'!$C$3=1,'Choix pédagogiques'!$C$3=2),$B589&lt;&gt;"",$C589&lt;&gt;"",$D589&lt;&gt;""),1,0))</f>
        <v/>
      </c>
      <c r="BN589" s="52" t="str">
        <f aca="false">IF(OR(COUNT(G589:I1588)=0,AND('Choix pédagogiques'!$C$3&lt;&gt;1,'Choix pédagogiques'!$C$3&lt;&gt;2)),"",IF(AND(OR('Choix pédagogiques'!$C$3=1,'Choix pédagogiques'!$C$3=2),AND($G589&lt;&gt;"",$H589&lt;&gt;"",$I589&lt;&gt;"")),1,0))</f>
        <v/>
      </c>
      <c r="BO589" s="52" t="str">
        <f aca="false">IF(OR(COUNT(B589:D1588)=0,COUNT(G589:I1588)=0,'Choix pédagogiques'!C$3&lt;&gt;3),"",IF(AND('Choix pédagogiques'!$C$3=3,$B589&lt;&gt;"",$C589&lt;&gt;"",$D589&lt;&gt;"",$G589&lt;&gt;"",$H589&lt;&gt;"",$I589&lt;&gt;""),1,0))</f>
        <v/>
      </c>
      <c r="BR589" s="52" t="n">
        <v>787</v>
      </c>
      <c r="BS589" s="52" t="n">
        <v>1704</v>
      </c>
    </row>
    <row r="590" s="54" customFormat="true" ht="18" hidden="false" customHeight="true" outlineLevel="0" collapsed="false">
      <c r="A590" s="57" t="s">
        <v>1111</v>
      </c>
      <c r="B590" s="51"/>
      <c r="C590" s="51"/>
      <c r="D590" s="51"/>
      <c r="E590" s="51"/>
      <c r="F590" s="57" t="s">
        <v>1112</v>
      </c>
      <c r="G590" s="51"/>
      <c r="H590" s="51"/>
      <c r="I590" s="51"/>
      <c r="J590" s="51"/>
      <c r="K590" s="52" t="str">
        <f aca="false">IF($A590&lt;&gt;"",$A590,"")</f>
        <v>Apprenant 578</v>
      </c>
      <c r="L590" s="53" t="str">
        <f aca="false">IF(AND($B590&lt;&gt;"",$C590&lt;&gt;""),$C590-$B590,"")</f>
        <v/>
      </c>
      <c r="M590" s="53" t="str">
        <f aca="false">IF(AND($B590&lt;&gt;"",$D590&lt;&gt;""),$D590-$B590,"")</f>
        <v/>
      </c>
      <c r="N590" s="53" t="str">
        <f aca="false">IF(AND($C590&lt;&gt;"",$D590&lt;&gt;""),$D590-$C590,"")</f>
        <v/>
      </c>
      <c r="O590" s="53" t="str">
        <f aca="false">IF($E590&lt;&gt;"",$E590,"")</f>
        <v/>
      </c>
      <c r="P590" s="52" t="str">
        <f aca="false">IF($F590&lt;&gt;"",$F590,"")</f>
        <v>Apprenant 578 ou 578'</v>
      </c>
      <c r="Q590" s="53" t="str">
        <f aca="false">IF(AND($G590&lt;&gt;"",$H590&lt;&gt;""),$H590-$G590,"")</f>
        <v/>
      </c>
      <c r="R590" s="53" t="str">
        <f aca="false">IF(AND($G590&lt;&gt;"",$I590&lt;&gt;""),$I590-$G590,"")</f>
        <v/>
      </c>
      <c r="S590" s="53" t="str">
        <f aca="false">IF(AND($H590&lt;&gt;"",$I590&lt;&gt;""),$I590-$H590,"")</f>
        <v/>
      </c>
      <c r="T590" s="53" t="str">
        <f aca="false">IF($J590&lt;&gt;"",$J590,"")</f>
        <v/>
      </c>
      <c r="V590" s="52" t="str">
        <f aca="false">IF($A590&lt;&gt;"",$A590,"")</f>
        <v>Apprenant 578</v>
      </c>
      <c r="W590" s="53" t="str">
        <f aca="false">IF(AND(OR('Choix pédagogiques'!$C$3=1,'Choix pédagogiques'!$C$3=2),$BM590=1),B590,IF(AND('Choix pédagogiques'!$C$3=3,$BO590=1),B590,""))</f>
        <v/>
      </c>
      <c r="X590" s="53" t="str">
        <f aca="false">IF(AND(OR('Choix pédagogiques'!$C$3=1,'Choix pédagogiques'!$C$3=2),$BM590=1),C590,IF(AND('Choix pédagogiques'!$C$3=3,$BO590=1),C590,""))</f>
        <v/>
      </c>
      <c r="Y590" s="53" t="str">
        <f aca="false">IF(AND(OR('Choix pédagogiques'!$C$3=1,'Choix pédagogiques'!$C$3=2),$BM590=1),D590,IF(AND('Choix pédagogiques'!$C$3=3,$BO590=1),D590,""))</f>
        <v/>
      </c>
      <c r="Z590" s="53" t="str">
        <f aca="false">IF($E590&lt;&gt;"",$E590,"")</f>
        <v/>
      </c>
      <c r="AA590" s="52" t="str">
        <f aca="false">IF($F590&lt;&gt;"",$F590,"")</f>
        <v>Apprenant 578 ou 578'</v>
      </c>
      <c r="AB590" s="53" t="str">
        <f aca="false">IF(AND(OR('Choix pédagogiques'!$C$3=1,'Choix pédagogiques'!$C$3=2),$BN590=1),G590,IF(AND('Choix pédagogiques'!$C$3=3,$BO590=1),G590,""))</f>
        <v/>
      </c>
      <c r="AC590" s="53" t="str">
        <f aca="false">IF(AND(OR('Choix pédagogiques'!$C$3=1,'Choix pédagogiques'!$C$3=2),$BN590=1),H590,IF(AND('Choix pédagogiques'!$C$3=3,$BO590=1),H590,""))</f>
        <v/>
      </c>
      <c r="AD590" s="53" t="str">
        <f aca="false">IF(AND(OR('Choix pédagogiques'!$C$3=1,'Choix pédagogiques'!$C$3=2),$BN590=1),I590,IF(AND('Choix pédagogiques'!$C$3=3,$BO590=1),I590,""))</f>
        <v/>
      </c>
      <c r="AE590" s="53" t="str">
        <f aca="false">IF($J590&lt;&gt;"",$J590,"")</f>
        <v/>
      </c>
      <c r="AF590" s="52" t="str">
        <f aca="false">IF($A590&lt;&gt;"",$A590,"")</f>
        <v>Apprenant 578</v>
      </c>
      <c r="AG590" s="53" t="str">
        <f aca="false">IF(AND($W590&lt;&gt;"",$X590&lt;&gt;""),$X590-$W590,"")</f>
        <v/>
      </c>
      <c r="AH590" s="53" t="str">
        <f aca="false">IF(AND($W590&lt;&gt;"",$Y590&lt;&gt;""),$Y590-$W590,"")</f>
        <v/>
      </c>
      <c r="AI590" s="53" t="str">
        <f aca="false">IF(AND($X590&lt;&gt;"",$Y590&lt;&gt;""),$Y590-$X590,"")</f>
        <v/>
      </c>
      <c r="AJ590" s="53" t="str">
        <f aca="false">IF($E590&lt;&gt;"",$E590,"")</f>
        <v/>
      </c>
      <c r="AK590" s="52" t="str">
        <f aca="false">IF($F590&lt;&gt;"",$F590,"")</f>
        <v>Apprenant 578 ou 578'</v>
      </c>
      <c r="AL590" s="53" t="str">
        <f aca="false">IF(AND($AB590&lt;&gt;"",$AC590&lt;&gt;""),$AC590-$AB590,"")</f>
        <v/>
      </c>
      <c r="AM590" s="53" t="str">
        <f aca="false">IF(AND($AB590&lt;&gt;"",$AD590&lt;&gt;""),$AD590-$AB590,"")</f>
        <v/>
      </c>
      <c r="AN590" s="53" t="str">
        <f aca="false">IF(AND($AC590&lt;&gt;"",$AD590&lt;&gt;""),$AD590-$AC590,"")</f>
        <v/>
      </c>
      <c r="AO590" s="53" t="str">
        <f aca="false">IF($J590&lt;&gt;"",$J590,"")</f>
        <v/>
      </c>
      <c r="AQ590" s="52" t="str">
        <f aca="false">IF($A590&lt;&gt;"",$A590,"")</f>
        <v>Apprenant 578</v>
      </c>
      <c r="AR590" s="55" t="str">
        <f aca="false">IF(AND('Choix pédagogiques'!$C$4&lt;&gt;"?",'Choix pédagogiques'!$C$5&lt;&gt;"?",W590&lt;&gt;""),(W590-'Choix pédagogiques'!$C$4)/('Choix pédagogiques'!$C$5-'Choix pédagogiques'!$C$4),"")</f>
        <v/>
      </c>
      <c r="AS590" s="55" t="str">
        <f aca="false">IF(AND('Choix pédagogiques'!$C$4&lt;&gt;"?",'Choix pédagogiques'!$C$5&lt;&gt;"?",X590&lt;&gt;""),(X590-'Choix pédagogiques'!$C$4)/('Choix pédagogiques'!$C$5-'Choix pédagogiques'!$C$4),"")</f>
        <v/>
      </c>
      <c r="AT590" s="55" t="str">
        <f aca="false">IF(AND('Choix pédagogiques'!$C$4&lt;&gt;"?",'Choix pédagogiques'!$C$5&lt;&gt;"?",Y590&lt;&gt;""),(Y590-'Choix pédagogiques'!$C$4)/('Choix pédagogiques'!$C$5-'Choix pédagogiques'!$C$4),"")</f>
        <v/>
      </c>
      <c r="AU590" s="53" t="str">
        <f aca="false">IF($E590&lt;&gt;"",$E590,"")</f>
        <v/>
      </c>
      <c r="AV590" s="52" t="str">
        <f aca="false">IF($F590&lt;&gt;"",$F590,"")</f>
        <v>Apprenant 578 ou 578'</v>
      </c>
      <c r="AW590" s="55" t="str">
        <f aca="false">IF(AND('Choix pédagogiques'!$C$4&lt;&gt;"?",'Choix pédagogiques'!$C$5&lt;&gt;"?",AB590&lt;&gt;""),(AB590-'Choix pédagogiques'!$C$4)/('Choix pédagogiques'!$C$5-'Choix pédagogiques'!$C$4),"")</f>
        <v/>
      </c>
      <c r="AX590" s="55" t="str">
        <f aca="false">IF(AND('Choix pédagogiques'!$C$4&lt;&gt;"?",'Choix pédagogiques'!$C$5&lt;&gt;"?",AC590&lt;&gt;""),(AC590-'Choix pédagogiques'!$C$4)/('Choix pédagogiques'!$C$5-'Choix pédagogiques'!$C$4),"")</f>
        <v/>
      </c>
      <c r="AY590" s="55" t="str">
        <f aca="false">IF(AND('Choix pédagogiques'!$C$4&lt;&gt;"?",'Choix pédagogiques'!$C$5&lt;&gt;"?",AD590&lt;&gt;""),(AD590-'Choix pédagogiques'!$C$4)/('Choix pédagogiques'!$C$5-'Choix pédagogiques'!$C$4),"")</f>
        <v/>
      </c>
      <c r="AZ590" s="53" t="str">
        <f aca="false">IF($J590&lt;&gt;"",$J590,"")</f>
        <v/>
      </c>
      <c r="BA590" s="52" t="str">
        <f aca="false">IF($A590&lt;&gt;"",$A590,"")</f>
        <v>Apprenant 578</v>
      </c>
      <c r="BB590" s="55" t="str">
        <f aca="false">IF(AND($AR590&lt;&gt;"",$AS590&lt;&gt;""),$AS590-$AR590,"")</f>
        <v/>
      </c>
      <c r="BC590" s="55" t="str">
        <f aca="false">IF(AND($AR590&lt;&gt;"",$AT590&lt;&gt;""),$AT590-$AR590,"")</f>
        <v/>
      </c>
      <c r="BD590" s="55" t="str">
        <f aca="false">IF(AND($AS590&lt;&gt;"",$AT590&lt;&gt;""),$AT590-$AS590,"")</f>
        <v/>
      </c>
      <c r="BE590" s="53" t="str">
        <f aca="false">IF($E590&lt;&gt;"",$E590,"")</f>
        <v/>
      </c>
      <c r="BF590" s="52" t="str">
        <f aca="false">IF($F590&lt;&gt;"",$F590,"")</f>
        <v>Apprenant 578 ou 578'</v>
      </c>
      <c r="BG590" s="55" t="str">
        <f aca="false">IF(AND($AW590&lt;&gt;"",$AX590&lt;&gt;""),$AX590-$AW590,"")</f>
        <v/>
      </c>
      <c r="BH590" s="55" t="str">
        <f aca="false">IF(AND($AW590&lt;&gt;"",$AY590&lt;&gt;""),$AY590-$AW590,"")</f>
        <v/>
      </c>
      <c r="BI590" s="55" t="str">
        <f aca="false">IF(AND($AX590&lt;&gt;"",$AY590&lt;&gt;""),$AY590-$AX590,"")</f>
        <v/>
      </c>
      <c r="BJ590" s="53" t="str">
        <f aca="false">IF($J590&lt;&gt;"",$J590,"")</f>
        <v/>
      </c>
      <c r="BL590" s="52"/>
      <c r="BM590" s="52" t="str">
        <f aca="false">IF(OR(COUNT(B590:D1589)=0,AND('Choix pédagogiques'!$C$3&lt;&gt;1,'Choix pédagogiques'!$C$3&lt;&gt;2)),"",IF(AND(OR('Choix pédagogiques'!$C$3=1,'Choix pédagogiques'!$C$3=2),$B590&lt;&gt;"",$C590&lt;&gt;"",$D590&lt;&gt;""),1,0))</f>
        <v/>
      </c>
      <c r="BN590" s="52" t="str">
        <f aca="false">IF(OR(COUNT(G590:I1589)=0,AND('Choix pédagogiques'!$C$3&lt;&gt;1,'Choix pédagogiques'!$C$3&lt;&gt;2)),"",IF(AND(OR('Choix pédagogiques'!$C$3=1,'Choix pédagogiques'!$C$3=2),AND($G590&lt;&gt;"",$H590&lt;&gt;"",$I590&lt;&gt;"")),1,0))</f>
        <v/>
      </c>
      <c r="BO590" s="52" t="str">
        <f aca="false">IF(OR(COUNT(B590:D1589)=0,COUNT(G590:I1589)=0,'Choix pédagogiques'!C$3&lt;&gt;3),"",IF(AND('Choix pédagogiques'!$C$3=3,$B590&lt;&gt;"",$C590&lt;&gt;"",$D590&lt;&gt;"",$G590&lt;&gt;"",$H590&lt;&gt;"",$I590&lt;&gt;""),1,0))</f>
        <v/>
      </c>
      <c r="BR590" s="52" t="n">
        <v>207</v>
      </c>
      <c r="BS590" s="52" t="n">
        <v>1504</v>
      </c>
    </row>
    <row r="591" s="54" customFormat="true" ht="18" hidden="false" customHeight="true" outlineLevel="0" collapsed="false">
      <c r="A591" s="57" t="s">
        <v>1113</v>
      </c>
      <c r="B591" s="51"/>
      <c r="C591" s="51"/>
      <c r="D591" s="51"/>
      <c r="E591" s="51"/>
      <c r="F591" s="57" t="s">
        <v>1114</v>
      </c>
      <c r="G591" s="51"/>
      <c r="H591" s="51"/>
      <c r="I591" s="51"/>
      <c r="J591" s="51"/>
      <c r="K591" s="52" t="str">
        <f aca="false">IF($A591&lt;&gt;"",$A591,"")</f>
        <v>Apprenant 579</v>
      </c>
      <c r="L591" s="53" t="str">
        <f aca="false">IF(AND($B591&lt;&gt;"",$C591&lt;&gt;""),$C591-$B591,"")</f>
        <v/>
      </c>
      <c r="M591" s="53" t="str">
        <f aca="false">IF(AND($B591&lt;&gt;"",$D591&lt;&gt;""),$D591-$B591,"")</f>
        <v/>
      </c>
      <c r="N591" s="53" t="str">
        <f aca="false">IF(AND($C591&lt;&gt;"",$D591&lt;&gt;""),$D591-$C591,"")</f>
        <v/>
      </c>
      <c r="O591" s="53" t="str">
        <f aca="false">IF($E591&lt;&gt;"",$E591,"")</f>
        <v/>
      </c>
      <c r="P591" s="52" t="str">
        <f aca="false">IF($F591&lt;&gt;"",$F591,"")</f>
        <v>Apprenant 579 ou 579'</v>
      </c>
      <c r="Q591" s="53" t="str">
        <f aca="false">IF(AND($G591&lt;&gt;"",$H591&lt;&gt;""),$H591-$G591,"")</f>
        <v/>
      </c>
      <c r="R591" s="53" t="str">
        <f aca="false">IF(AND($G591&lt;&gt;"",$I591&lt;&gt;""),$I591-$G591,"")</f>
        <v/>
      </c>
      <c r="S591" s="53" t="str">
        <f aca="false">IF(AND($H591&lt;&gt;"",$I591&lt;&gt;""),$I591-$H591,"")</f>
        <v/>
      </c>
      <c r="T591" s="53" t="str">
        <f aca="false">IF($J591&lt;&gt;"",$J591,"")</f>
        <v/>
      </c>
      <c r="V591" s="52" t="str">
        <f aca="false">IF($A591&lt;&gt;"",$A591,"")</f>
        <v>Apprenant 579</v>
      </c>
      <c r="W591" s="53" t="str">
        <f aca="false">IF(AND(OR('Choix pédagogiques'!$C$3=1,'Choix pédagogiques'!$C$3=2),$BM591=1),B591,IF(AND('Choix pédagogiques'!$C$3=3,$BO591=1),B591,""))</f>
        <v/>
      </c>
      <c r="X591" s="53" t="str">
        <f aca="false">IF(AND(OR('Choix pédagogiques'!$C$3=1,'Choix pédagogiques'!$C$3=2),$BM591=1),C591,IF(AND('Choix pédagogiques'!$C$3=3,$BO591=1),C591,""))</f>
        <v/>
      </c>
      <c r="Y591" s="53" t="str">
        <f aca="false">IF(AND(OR('Choix pédagogiques'!$C$3=1,'Choix pédagogiques'!$C$3=2),$BM591=1),D591,IF(AND('Choix pédagogiques'!$C$3=3,$BO591=1),D591,""))</f>
        <v/>
      </c>
      <c r="Z591" s="53" t="str">
        <f aca="false">IF($E591&lt;&gt;"",$E591,"")</f>
        <v/>
      </c>
      <c r="AA591" s="52" t="str">
        <f aca="false">IF($F591&lt;&gt;"",$F591,"")</f>
        <v>Apprenant 579 ou 579'</v>
      </c>
      <c r="AB591" s="53" t="str">
        <f aca="false">IF(AND(OR('Choix pédagogiques'!$C$3=1,'Choix pédagogiques'!$C$3=2),$BN591=1),G591,IF(AND('Choix pédagogiques'!$C$3=3,$BO591=1),G591,""))</f>
        <v/>
      </c>
      <c r="AC591" s="53" t="str">
        <f aca="false">IF(AND(OR('Choix pédagogiques'!$C$3=1,'Choix pédagogiques'!$C$3=2),$BN591=1),H591,IF(AND('Choix pédagogiques'!$C$3=3,$BO591=1),H591,""))</f>
        <v/>
      </c>
      <c r="AD591" s="53" t="str">
        <f aca="false">IF(AND(OR('Choix pédagogiques'!$C$3=1,'Choix pédagogiques'!$C$3=2),$BN591=1),I591,IF(AND('Choix pédagogiques'!$C$3=3,$BO591=1),I591,""))</f>
        <v/>
      </c>
      <c r="AE591" s="53" t="str">
        <f aca="false">IF($J591&lt;&gt;"",$J591,"")</f>
        <v/>
      </c>
      <c r="AF591" s="52" t="str">
        <f aca="false">IF($A591&lt;&gt;"",$A591,"")</f>
        <v>Apprenant 579</v>
      </c>
      <c r="AG591" s="53" t="str">
        <f aca="false">IF(AND($W591&lt;&gt;"",$X591&lt;&gt;""),$X591-$W591,"")</f>
        <v/>
      </c>
      <c r="AH591" s="53" t="str">
        <f aca="false">IF(AND($W591&lt;&gt;"",$Y591&lt;&gt;""),$Y591-$W591,"")</f>
        <v/>
      </c>
      <c r="AI591" s="53" t="str">
        <f aca="false">IF(AND($X591&lt;&gt;"",$Y591&lt;&gt;""),$Y591-$X591,"")</f>
        <v/>
      </c>
      <c r="AJ591" s="53" t="str">
        <f aca="false">IF($E591&lt;&gt;"",$E591,"")</f>
        <v/>
      </c>
      <c r="AK591" s="52" t="str">
        <f aca="false">IF($F591&lt;&gt;"",$F591,"")</f>
        <v>Apprenant 579 ou 579'</v>
      </c>
      <c r="AL591" s="53" t="str">
        <f aca="false">IF(AND($AB591&lt;&gt;"",$AC591&lt;&gt;""),$AC591-$AB591,"")</f>
        <v/>
      </c>
      <c r="AM591" s="53" t="str">
        <f aca="false">IF(AND($AB591&lt;&gt;"",$AD591&lt;&gt;""),$AD591-$AB591,"")</f>
        <v/>
      </c>
      <c r="AN591" s="53" t="str">
        <f aca="false">IF(AND($AC591&lt;&gt;"",$AD591&lt;&gt;""),$AD591-$AC591,"")</f>
        <v/>
      </c>
      <c r="AO591" s="53" t="str">
        <f aca="false">IF($J591&lt;&gt;"",$J591,"")</f>
        <v/>
      </c>
      <c r="AQ591" s="52" t="str">
        <f aca="false">IF($A591&lt;&gt;"",$A591,"")</f>
        <v>Apprenant 579</v>
      </c>
      <c r="AR591" s="55" t="str">
        <f aca="false">IF(AND('Choix pédagogiques'!$C$4&lt;&gt;"?",'Choix pédagogiques'!$C$5&lt;&gt;"?",W591&lt;&gt;""),(W591-'Choix pédagogiques'!$C$4)/('Choix pédagogiques'!$C$5-'Choix pédagogiques'!$C$4),"")</f>
        <v/>
      </c>
      <c r="AS591" s="55" t="str">
        <f aca="false">IF(AND('Choix pédagogiques'!$C$4&lt;&gt;"?",'Choix pédagogiques'!$C$5&lt;&gt;"?",X591&lt;&gt;""),(X591-'Choix pédagogiques'!$C$4)/('Choix pédagogiques'!$C$5-'Choix pédagogiques'!$C$4),"")</f>
        <v/>
      </c>
      <c r="AT591" s="55" t="str">
        <f aca="false">IF(AND('Choix pédagogiques'!$C$4&lt;&gt;"?",'Choix pédagogiques'!$C$5&lt;&gt;"?",Y591&lt;&gt;""),(Y591-'Choix pédagogiques'!$C$4)/('Choix pédagogiques'!$C$5-'Choix pédagogiques'!$C$4),"")</f>
        <v/>
      </c>
      <c r="AU591" s="53" t="str">
        <f aca="false">IF($E591&lt;&gt;"",$E591,"")</f>
        <v/>
      </c>
      <c r="AV591" s="52" t="str">
        <f aca="false">IF($F591&lt;&gt;"",$F591,"")</f>
        <v>Apprenant 579 ou 579'</v>
      </c>
      <c r="AW591" s="55" t="str">
        <f aca="false">IF(AND('Choix pédagogiques'!$C$4&lt;&gt;"?",'Choix pédagogiques'!$C$5&lt;&gt;"?",AB591&lt;&gt;""),(AB591-'Choix pédagogiques'!$C$4)/('Choix pédagogiques'!$C$5-'Choix pédagogiques'!$C$4),"")</f>
        <v/>
      </c>
      <c r="AX591" s="55" t="str">
        <f aca="false">IF(AND('Choix pédagogiques'!$C$4&lt;&gt;"?",'Choix pédagogiques'!$C$5&lt;&gt;"?",AC591&lt;&gt;""),(AC591-'Choix pédagogiques'!$C$4)/('Choix pédagogiques'!$C$5-'Choix pédagogiques'!$C$4),"")</f>
        <v/>
      </c>
      <c r="AY591" s="55" t="str">
        <f aca="false">IF(AND('Choix pédagogiques'!$C$4&lt;&gt;"?",'Choix pédagogiques'!$C$5&lt;&gt;"?",AD591&lt;&gt;""),(AD591-'Choix pédagogiques'!$C$4)/('Choix pédagogiques'!$C$5-'Choix pédagogiques'!$C$4),"")</f>
        <v/>
      </c>
      <c r="AZ591" s="53" t="str">
        <f aca="false">IF($J591&lt;&gt;"",$J591,"")</f>
        <v/>
      </c>
      <c r="BA591" s="52" t="str">
        <f aca="false">IF($A591&lt;&gt;"",$A591,"")</f>
        <v>Apprenant 579</v>
      </c>
      <c r="BB591" s="55" t="str">
        <f aca="false">IF(AND($AR591&lt;&gt;"",$AS591&lt;&gt;""),$AS591-$AR591,"")</f>
        <v/>
      </c>
      <c r="BC591" s="55" t="str">
        <f aca="false">IF(AND($AR591&lt;&gt;"",$AT591&lt;&gt;""),$AT591-$AR591,"")</f>
        <v/>
      </c>
      <c r="BD591" s="55" t="str">
        <f aca="false">IF(AND($AS591&lt;&gt;"",$AT591&lt;&gt;""),$AT591-$AS591,"")</f>
        <v/>
      </c>
      <c r="BE591" s="53" t="str">
        <f aca="false">IF($E591&lt;&gt;"",$E591,"")</f>
        <v/>
      </c>
      <c r="BF591" s="52" t="str">
        <f aca="false">IF($F591&lt;&gt;"",$F591,"")</f>
        <v>Apprenant 579 ou 579'</v>
      </c>
      <c r="BG591" s="55" t="str">
        <f aca="false">IF(AND($AW591&lt;&gt;"",$AX591&lt;&gt;""),$AX591-$AW591,"")</f>
        <v/>
      </c>
      <c r="BH591" s="55" t="str">
        <f aca="false">IF(AND($AW591&lt;&gt;"",$AY591&lt;&gt;""),$AY591-$AW591,"")</f>
        <v/>
      </c>
      <c r="BI591" s="55" t="str">
        <f aca="false">IF(AND($AX591&lt;&gt;"",$AY591&lt;&gt;""),$AY591-$AX591,"")</f>
        <v/>
      </c>
      <c r="BJ591" s="53" t="str">
        <f aca="false">IF($J591&lt;&gt;"",$J591,"")</f>
        <v/>
      </c>
      <c r="BL591" s="52"/>
      <c r="BM591" s="52" t="str">
        <f aca="false">IF(OR(COUNT(B591:D1590)=0,AND('Choix pédagogiques'!$C$3&lt;&gt;1,'Choix pédagogiques'!$C$3&lt;&gt;2)),"",IF(AND(OR('Choix pédagogiques'!$C$3=1,'Choix pédagogiques'!$C$3=2),$B591&lt;&gt;"",$C591&lt;&gt;"",$D591&lt;&gt;""),1,0))</f>
        <v/>
      </c>
      <c r="BN591" s="52" t="str">
        <f aca="false">IF(OR(COUNT(G591:I1590)=0,AND('Choix pédagogiques'!$C$3&lt;&gt;1,'Choix pédagogiques'!$C$3&lt;&gt;2)),"",IF(AND(OR('Choix pédagogiques'!$C$3=1,'Choix pédagogiques'!$C$3=2),AND($G591&lt;&gt;"",$H591&lt;&gt;"",$I591&lt;&gt;"")),1,0))</f>
        <v/>
      </c>
      <c r="BO591" s="52" t="str">
        <f aca="false">IF(OR(COUNT(B591:D1590)=0,COUNT(G591:I1590)=0,'Choix pédagogiques'!C$3&lt;&gt;3),"",IF(AND('Choix pédagogiques'!$C$3=3,$B591&lt;&gt;"",$C591&lt;&gt;"",$D591&lt;&gt;"",$G591&lt;&gt;"",$H591&lt;&gt;"",$I591&lt;&gt;""),1,0))</f>
        <v/>
      </c>
      <c r="BR591" s="52" t="n">
        <v>108</v>
      </c>
      <c r="BS591" s="52" t="n">
        <v>1736</v>
      </c>
    </row>
    <row r="592" s="54" customFormat="true" ht="18" hidden="false" customHeight="true" outlineLevel="0" collapsed="false">
      <c r="A592" s="57" t="s">
        <v>1115</v>
      </c>
      <c r="B592" s="51"/>
      <c r="C592" s="51"/>
      <c r="D592" s="51"/>
      <c r="E592" s="51"/>
      <c r="F592" s="57" t="s">
        <v>1116</v>
      </c>
      <c r="G592" s="51"/>
      <c r="H592" s="51"/>
      <c r="I592" s="51"/>
      <c r="J592" s="51"/>
      <c r="K592" s="52" t="str">
        <f aca="false">IF($A592&lt;&gt;"",$A592,"")</f>
        <v>Apprenant 580</v>
      </c>
      <c r="L592" s="53" t="str">
        <f aca="false">IF(AND($B592&lt;&gt;"",$C592&lt;&gt;""),$C592-$B592,"")</f>
        <v/>
      </c>
      <c r="M592" s="53" t="str">
        <f aca="false">IF(AND($B592&lt;&gt;"",$D592&lt;&gt;""),$D592-$B592,"")</f>
        <v/>
      </c>
      <c r="N592" s="53" t="str">
        <f aca="false">IF(AND($C592&lt;&gt;"",$D592&lt;&gt;""),$D592-$C592,"")</f>
        <v/>
      </c>
      <c r="O592" s="53" t="str">
        <f aca="false">IF($E592&lt;&gt;"",$E592,"")</f>
        <v/>
      </c>
      <c r="P592" s="52" t="str">
        <f aca="false">IF($F592&lt;&gt;"",$F592,"")</f>
        <v>Apprenant 580 ou 580'</v>
      </c>
      <c r="Q592" s="53" t="str">
        <f aca="false">IF(AND($G592&lt;&gt;"",$H592&lt;&gt;""),$H592-$G592,"")</f>
        <v/>
      </c>
      <c r="R592" s="53" t="str">
        <f aca="false">IF(AND($G592&lt;&gt;"",$I592&lt;&gt;""),$I592-$G592,"")</f>
        <v/>
      </c>
      <c r="S592" s="53" t="str">
        <f aca="false">IF(AND($H592&lt;&gt;"",$I592&lt;&gt;""),$I592-$H592,"")</f>
        <v/>
      </c>
      <c r="T592" s="53" t="str">
        <f aca="false">IF($J592&lt;&gt;"",$J592,"")</f>
        <v/>
      </c>
      <c r="V592" s="52" t="str">
        <f aca="false">IF($A592&lt;&gt;"",$A592,"")</f>
        <v>Apprenant 580</v>
      </c>
      <c r="W592" s="53" t="str">
        <f aca="false">IF(AND(OR('Choix pédagogiques'!$C$3=1,'Choix pédagogiques'!$C$3=2),$BM592=1),B592,IF(AND('Choix pédagogiques'!$C$3=3,$BO592=1),B592,""))</f>
        <v/>
      </c>
      <c r="X592" s="53" t="str">
        <f aca="false">IF(AND(OR('Choix pédagogiques'!$C$3=1,'Choix pédagogiques'!$C$3=2),$BM592=1),C592,IF(AND('Choix pédagogiques'!$C$3=3,$BO592=1),C592,""))</f>
        <v/>
      </c>
      <c r="Y592" s="53" t="str">
        <f aca="false">IF(AND(OR('Choix pédagogiques'!$C$3=1,'Choix pédagogiques'!$C$3=2),$BM592=1),D592,IF(AND('Choix pédagogiques'!$C$3=3,$BO592=1),D592,""))</f>
        <v/>
      </c>
      <c r="Z592" s="53" t="str">
        <f aca="false">IF($E592&lt;&gt;"",$E592,"")</f>
        <v/>
      </c>
      <c r="AA592" s="52" t="str">
        <f aca="false">IF($F592&lt;&gt;"",$F592,"")</f>
        <v>Apprenant 580 ou 580'</v>
      </c>
      <c r="AB592" s="53" t="str">
        <f aca="false">IF(AND(OR('Choix pédagogiques'!$C$3=1,'Choix pédagogiques'!$C$3=2),$BN592=1),G592,IF(AND('Choix pédagogiques'!$C$3=3,$BO592=1),G592,""))</f>
        <v/>
      </c>
      <c r="AC592" s="53" t="str">
        <f aca="false">IF(AND(OR('Choix pédagogiques'!$C$3=1,'Choix pédagogiques'!$C$3=2),$BN592=1),H592,IF(AND('Choix pédagogiques'!$C$3=3,$BO592=1),H592,""))</f>
        <v/>
      </c>
      <c r="AD592" s="53" t="str">
        <f aca="false">IF(AND(OR('Choix pédagogiques'!$C$3=1,'Choix pédagogiques'!$C$3=2),$BN592=1),I592,IF(AND('Choix pédagogiques'!$C$3=3,$BO592=1),I592,""))</f>
        <v/>
      </c>
      <c r="AE592" s="53" t="str">
        <f aca="false">IF($J592&lt;&gt;"",$J592,"")</f>
        <v/>
      </c>
      <c r="AF592" s="52" t="str">
        <f aca="false">IF($A592&lt;&gt;"",$A592,"")</f>
        <v>Apprenant 580</v>
      </c>
      <c r="AG592" s="53" t="str">
        <f aca="false">IF(AND($W592&lt;&gt;"",$X592&lt;&gt;""),$X592-$W592,"")</f>
        <v/>
      </c>
      <c r="AH592" s="53" t="str">
        <f aca="false">IF(AND($W592&lt;&gt;"",$Y592&lt;&gt;""),$Y592-$W592,"")</f>
        <v/>
      </c>
      <c r="AI592" s="53" t="str">
        <f aca="false">IF(AND($X592&lt;&gt;"",$Y592&lt;&gt;""),$Y592-$X592,"")</f>
        <v/>
      </c>
      <c r="AJ592" s="53" t="str">
        <f aca="false">IF($E592&lt;&gt;"",$E592,"")</f>
        <v/>
      </c>
      <c r="AK592" s="52" t="str">
        <f aca="false">IF($F592&lt;&gt;"",$F592,"")</f>
        <v>Apprenant 580 ou 580'</v>
      </c>
      <c r="AL592" s="53" t="str">
        <f aca="false">IF(AND($AB592&lt;&gt;"",$AC592&lt;&gt;""),$AC592-$AB592,"")</f>
        <v/>
      </c>
      <c r="AM592" s="53" t="str">
        <f aca="false">IF(AND($AB592&lt;&gt;"",$AD592&lt;&gt;""),$AD592-$AB592,"")</f>
        <v/>
      </c>
      <c r="AN592" s="53" t="str">
        <f aca="false">IF(AND($AC592&lt;&gt;"",$AD592&lt;&gt;""),$AD592-$AC592,"")</f>
        <v/>
      </c>
      <c r="AO592" s="53" t="str">
        <f aca="false">IF($J592&lt;&gt;"",$J592,"")</f>
        <v/>
      </c>
      <c r="AQ592" s="52" t="str">
        <f aca="false">IF($A592&lt;&gt;"",$A592,"")</f>
        <v>Apprenant 580</v>
      </c>
      <c r="AR592" s="55" t="str">
        <f aca="false">IF(AND('Choix pédagogiques'!$C$4&lt;&gt;"?",'Choix pédagogiques'!$C$5&lt;&gt;"?",W592&lt;&gt;""),(W592-'Choix pédagogiques'!$C$4)/('Choix pédagogiques'!$C$5-'Choix pédagogiques'!$C$4),"")</f>
        <v/>
      </c>
      <c r="AS592" s="55" t="str">
        <f aca="false">IF(AND('Choix pédagogiques'!$C$4&lt;&gt;"?",'Choix pédagogiques'!$C$5&lt;&gt;"?",X592&lt;&gt;""),(X592-'Choix pédagogiques'!$C$4)/('Choix pédagogiques'!$C$5-'Choix pédagogiques'!$C$4),"")</f>
        <v/>
      </c>
      <c r="AT592" s="55" t="str">
        <f aca="false">IF(AND('Choix pédagogiques'!$C$4&lt;&gt;"?",'Choix pédagogiques'!$C$5&lt;&gt;"?",Y592&lt;&gt;""),(Y592-'Choix pédagogiques'!$C$4)/('Choix pédagogiques'!$C$5-'Choix pédagogiques'!$C$4),"")</f>
        <v/>
      </c>
      <c r="AU592" s="53" t="str">
        <f aca="false">IF($E592&lt;&gt;"",$E592,"")</f>
        <v/>
      </c>
      <c r="AV592" s="52" t="str">
        <f aca="false">IF($F592&lt;&gt;"",$F592,"")</f>
        <v>Apprenant 580 ou 580'</v>
      </c>
      <c r="AW592" s="55" t="str">
        <f aca="false">IF(AND('Choix pédagogiques'!$C$4&lt;&gt;"?",'Choix pédagogiques'!$C$5&lt;&gt;"?",AB592&lt;&gt;""),(AB592-'Choix pédagogiques'!$C$4)/('Choix pédagogiques'!$C$5-'Choix pédagogiques'!$C$4),"")</f>
        <v/>
      </c>
      <c r="AX592" s="55" t="str">
        <f aca="false">IF(AND('Choix pédagogiques'!$C$4&lt;&gt;"?",'Choix pédagogiques'!$C$5&lt;&gt;"?",AC592&lt;&gt;""),(AC592-'Choix pédagogiques'!$C$4)/('Choix pédagogiques'!$C$5-'Choix pédagogiques'!$C$4),"")</f>
        <v/>
      </c>
      <c r="AY592" s="55" t="str">
        <f aca="false">IF(AND('Choix pédagogiques'!$C$4&lt;&gt;"?",'Choix pédagogiques'!$C$5&lt;&gt;"?",AD592&lt;&gt;""),(AD592-'Choix pédagogiques'!$C$4)/('Choix pédagogiques'!$C$5-'Choix pédagogiques'!$C$4),"")</f>
        <v/>
      </c>
      <c r="AZ592" s="53" t="str">
        <f aca="false">IF($J592&lt;&gt;"",$J592,"")</f>
        <v/>
      </c>
      <c r="BA592" s="52" t="str">
        <f aca="false">IF($A592&lt;&gt;"",$A592,"")</f>
        <v>Apprenant 580</v>
      </c>
      <c r="BB592" s="55" t="str">
        <f aca="false">IF(AND($AR592&lt;&gt;"",$AS592&lt;&gt;""),$AS592-$AR592,"")</f>
        <v/>
      </c>
      <c r="BC592" s="55" t="str">
        <f aca="false">IF(AND($AR592&lt;&gt;"",$AT592&lt;&gt;""),$AT592-$AR592,"")</f>
        <v/>
      </c>
      <c r="BD592" s="55" t="str">
        <f aca="false">IF(AND($AS592&lt;&gt;"",$AT592&lt;&gt;""),$AT592-$AS592,"")</f>
        <v/>
      </c>
      <c r="BE592" s="53" t="str">
        <f aca="false">IF($E592&lt;&gt;"",$E592,"")</f>
        <v/>
      </c>
      <c r="BF592" s="52" t="str">
        <f aca="false">IF($F592&lt;&gt;"",$F592,"")</f>
        <v>Apprenant 580 ou 580'</v>
      </c>
      <c r="BG592" s="55" t="str">
        <f aca="false">IF(AND($AW592&lt;&gt;"",$AX592&lt;&gt;""),$AX592-$AW592,"")</f>
        <v/>
      </c>
      <c r="BH592" s="55" t="str">
        <f aca="false">IF(AND($AW592&lt;&gt;"",$AY592&lt;&gt;""),$AY592-$AW592,"")</f>
        <v/>
      </c>
      <c r="BI592" s="55" t="str">
        <f aca="false">IF(AND($AX592&lt;&gt;"",$AY592&lt;&gt;""),$AY592-$AX592,"")</f>
        <v/>
      </c>
      <c r="BJ592" s="53" t="str">
        <f aca="false">IF($J592&lt;&gt;"",$J592,"")</f>
        <v/>
      </c>
      <c r="BL592" s="52"/>
      <c r="BM592" s="52" t="str">
        <f aca="false">IF(OR(COUNT(B592:D1591)=0,AND('Choix pédagogiques'!$C$3&lt;&gt;1,'Choix pédagogiques'!$C$3&lt;&gt;2)),"",IF(AND(OR('Choix pédagogiques'!$C$3=1,'Choix pédagogiques'!$C$3=2),$B592&lt;&gt;"",$C592&lt;&gt;"",$D592&lt;&gt;""),1,0))</f>
        <v/>
      </c>
      <c r="BN592" s="52" t="str">
        <f aca="false">IF(OR(COUNT(G592:I1591)=0,AND('Choix pédagogiques'!$C$3&lt;&gt;1,'Choix pédagogiques'!$C$3&lt;&gt;2)),"",IF(AND(OR('Choix pédagogiques'!$C$3=1,'Choix pédagogiques'!$C$3=2),AND($G592&lt;&gt;"",$H592&lt;&gt;"",$I592&lt;&gt;"")),1,0))</f>
        <v/>
      </c>
      <c r="BO592" s="52" t="str">
        <f aca="false">IF(OR(COUNT(B592:D1591)=0,COUNT(G592:I1591)=0,'Choix pédagogiques'!C$3&lt;&gt;3),"",IF(AND('Choix pédagogiques'!$C$3=3,$B592&lt;&gt;"",$C592&lt;&gt;"",$D592&lt;&gt;"",$G592&lt;&gt;"",$H592&lt;&gt;"",$I592&lt;&gt;""),1,0))</f>
        <v/>
      </c>
      <c r="BR592" s="52" t="n">
        <v>654</v>
      </c>
      <c r="BS592" s="52" t="n">
        <v>1899</v>
      </c>
    </row>
    <row r="593" s="54" customFormat="true" ht="18" hidden="false" customHeight="true" outlineLevel="0" collapsed="false">
      <c r="A593" s="57" t="s">
        <v>1117</v>
      </c>
      <c r="B593" s="51"/>
      <c r="C593" s="51"/>
      <c r="D593" s="51"/>
      <c r="E593" s="51"/>
      <c r="F593" s="57" t="s">
        <v>1118</v>
      </c>
      <c r="G593" s="51"/>
      <c r="H593" s="51"/>
      <c r="I593" s="51"/>
      <c r="J593" s="51"/>
      <c r="K593" s="52" t="str">
        <f aca="false">IF($A593&lt;&gt;"",$A593,"")</f>
        <v>Apprenant 581</v>
      </c>
      <c r="L593" s="53" t="str">
        <f aca="false">IF(AND($B593&lt;&gt;"",$C593&lt;&gt;""),$C593-$B593,"")</f>
        <v/>
      </c>
      <c r="M593" s="53" t="str">
        <f aca="false">IF(AND($B593&lt;&gt;"",$D593&lt;&gt;""),$D593-$B593,"")</f>
        <v/>
      </c>
      <c r="N593" s="53" t="str">
        <f aca="false">IF(AND($C593&lt;&gt;"",$D593&lt;&gt;""),$D593-$C593,"")</f>
        <v/>
      </c>
      <c r="O593" s="53" t="str">
        <f aca="false">IF($E593&lt;&gt;"",$E593,"")</f>
        <v/>
      </c>
      <c r="P593" s="52" t="str">
        <f aca="false">IF($F593&lt;&gt;"",$F593,"")</f>
        <v>Apprenant 581 ou 581'</v>
      </c>
      <c r="Q593" s="53" t="str">
        <f aca="false">IF(AND($G593&lt;&gt;"",$H593&lt;&gt;""),$H593-$G593,"")</f>
        <v/>
      </c>
      <c r="R593" s="53" t="str">
        <f aca="false">IF(AND($G593&lt;&gt;"",$I593&lt;&gt;""),$I593-$G593,"")</f>
        <v/>
      </c>
      <c r="S593" s="53" t="str">
        <f aca="false">IF(AND($H593&lt;&gt;"",$I593&lt;&gt;""),$I593-$H593,"")</f>
        <v/>
      </c>
      <c r="T593" s="53" t="str">
        <f aca="false">IF($J593&lt;&gt;"",$J593,"")</f>
        <v/>
      </c>
      <c r="V593" s="52" t="str">
        <f aca="false">IF($A593&lt;&gt;"",$A593,"")</f>
        <v>Apprenant 581</v>
      </c>
      <c r="W593" s="53" t="str">
        <f aca="false">IF(AND(OR('Choix pédagogiques'!$C$3=1,'Choix pédagogiques'!$C$3=2),$BM593=1),B593,IF(AND('Choix pédagogiques'!$C$3=3,$BO593=1),B593,""))</f>
        <v/>
      </c>
      <c r="X593" s="53" t="str">
        <f aca="false">IF(AND(OR('Choix pédagogiques'!$C$3=1,'Choix pédagogiques'!$C$3=2),$BM593=1),C593,IF(AND('Choix pédagogiques'!$C$3=3,$BO593=1),C593,""))</f>
        <v/>
      </c>
      <c r="Y593" s="53" t="str">
        <f aca="false">IF(AND(OR('Choix pédagogiques'!$C$3=1,'Choix pédagogiques'!$C$3=2),$BM593=1),D593,IF(AND('Choix pédagogiques'!$C$3=3,$BO593=1),D593,""))</f>
        <v/>
      </c>
      <c r="Z593" s="53" t="str">
        <f aca="false">IF($E593&lt;&gt;"",$E593,"")</f>
        <v/>
      </c>
      <c r="AA593" s="52" t="str">
        <f aca="false">IF($F593&lt;&gt;"",$F593,"")</f>
        <v>Apprenant 581 ou 581'</v>
      </c>
      <c r="AB593" s="53" t="str">
        <f aca="false">IF(AND(OR('Choix pédagogiques'!$C$3=1,'Choix pédagogiques'!$C$3=2),$BN593=1),G593,IF(AND('Choix pédagogiques'!$C$3=3,$BO593=1),G593,""))</f>
        <v/>
      </c>
      <c r="AC593" s="53" t="str">
        <f aca="false">IF(AND(OR('Choix pédagogiques'!$C$3=1,'Choix pédagogiques'!$C$3=2),$BN593=1),H593,IF(AND('Choix pédagogiques'!$C$3=3,$BO593=1),H593,""))</f>
        <v/>
      </c>
      <c r="AD593" s="53" t="str">
        <f aca="false">IF(AND(OR('Choix pédagogiques'!$C$3=1,'Choix pédagogiques'!$C$3=2),$BN593=1),I593,IF(AND('Choix pédagogiques'!$C$3=3,$BO593=1),I593,""))</f>
        <v/>
      </c>
      <c r="AE593" s="53" t="str">
        <f aca="false">IF($J593&lt;&gt;"",$J593,"")</f>
        <v/>
      </c>
      <c r="AF593" s="52" t="str">
        <f aca="false">IF($A593&lt;&gt;"",$A593,"")</f>
        <v>Apprenant 581</v>
      </c>
      <c r="AG593" s="53" t="str">
        <f aca="false">IF(AND($W593&lt;&gt;"",$X593&lt;&gt;""),$X593-$W593,"")</f>
        <v/>
      </c>
      <c r="AH593" s="53" t="str">
        <f aca="false">IF(AND($W593&lt;&gt;"",$Y593&lt;&gt;""),$Y593-$W593,"")</f>
        <v/>
      </c>
      <c r="AI593" s="53" t="str">
        <f aca="false">IF(AND($X593&lt;&gt;"",$Y593&lt;&gt;""),$Y593-$X593,"")</f>
        <v/>
      </c>
      <c r="AJ593" s="53" t="str">
        <f aca="false">IF($E593&lt;&gt;"",$E593,"")</f>
        <v/>
      </c>
      <c r="AK593" s="52" t="str">
        <f aca="false">IF($F593&lt;&gt;"",$F593,"")</f>
        <v>Apprenant 581 ou 581'</v>
      </c>
      <c r="AL593" s="53" t="str">
        <f aca="false">IF(AND($AB593&lt;&gt;"",$AC593&lt;&gt;""),$AC593-$AB593,"")</f>
        <v/>
      </c>
      <c r="AM593" s="53" t="str">
        <f aca="false">IF(AND($AB593&lt;&gt;"",$AD593&lt;&gt;""),$AD593-$AB593,"")</f>
        <v/>
      </c>
      <c r="AN593" s="53" t="str">
        <f aca="false">IF(AND($AC593&lt;&gt;"",$AD593&lt;&gt;""),$AD593-$AC593,"")</f>
        <v/>
      </c>
      <c r="AO593" s="53" t="str">
        <f aca="false">IF($J593&lt;&gt;"",$J593,"")</f>
        <v/>
      </c>
      <c r="AQ593" s="52" t="str">
        <f aca="false">IF($A593&lt;&gt;"",$A593,"")</f>
        <v>Apprenant 581</v>
      </c>
      <c r="AR593" s="55" t="str">
        <f aca="false">IF(AND('Choix pédagogiques'!$C$4&lt;&gt;"?",'Choix pédagogiques'!$C$5&lt;&gt;"?",W593&lt;&gt;""),(W593-'Choix pédagogiques'!$C$4)/('Choix pédagogiques'!$C$5-'Choix pédagogiques'!$C$4),"")</f>
        <v/>
      </c>
      <c r="AS593" s="55" t="str">
        <f aca="false">IF(AND('Choix pédagogiques'!$C$4&lt;&gt;"?",'Choix pédagogiques'!$C$5&lt;&gt;"?",X593&lt;&gt;""),(X593-'Choix pédagogiques'!$C$4)/('Choix pédagogiques'!$C$5-'Choix pédagogiques'!$C$4),"")</f>
        <v/>
      </c>
      <c r="AT593" s="55" t="str">
        <f aca="false">IF(AND('Choix pédagogiques'!$C$4&lt;&gt;"?",'Choix pédagogiques'!$C$5&lt;&gt;"?",Y593&lt;&gt;""),(Y593-'Choix pédagogiques'!$C$4)/('Choix pédagogiques'!$C$5-'Choix pédagogiques'!$C$4),"")</f>
        <v/>
      </c>
      <c r="AU593" s="53" t="str">
        <f aca="false">IF($E593&lt;&gt;"",$E593,"")</f>
        <v/>
      </c>
      <c r="AV593" s="52" t="str">
        <f aca="false">IF($F593&lt;&gt;"",$F593,"")</f>
        <v>Apprenant 581 ou 581'</v>
      </c>
      <c r="AW593" s="55" t="str">
        <f aca="false">IF(AND('Choix pédagogiques'!$C$4&lt;&gt;"?",'Choix pédagogiques'!$C$5&lt;&gt;"?",AB593&lt;&gt;""),(AB593-'Choix pédagogiques'!$C$4)/('Choix pédagogiques'!$C$5-'Choix pédagogiques'!$C$4),"")</f>
        <v/>
      </c>
      <c r="AX593" s="55" t="str">
        <f aca="false">IF(AND('Choix pédagogiques'!$C$4&lt;&gt;"?",'Choix pédagogiques'!$C$5&lt;&gt;"?",AC593&lt;&gt;""),(AC593-'Choix pédagogiques'!$C$4)/('Choix pédagogiques'!$C$5-'Choix pédagogiques'!$C$4),"")</f>
        <v/>
      </c>
      <c r="AY593" s="55" t="str">
        <f aca="false">IF(AND('Choix pédagogiques'!$C$4&lt;&gt;"?",'Choix pédagogiques'!$C$5&lt;&gt;"?",AD593&lt;&gt;""),(AD593-'Choix pédagogiques'!$C$4)/('Choix pédagogiques'!$C$5-'Choix pédagogiques'!$C$4),"")</f>
        <v/>
      </c>
      <c r="AZ593" s="53" t="str">
        <f aca="false">IF($J593&lt;&gt;"",$J593,"")</f>
        <v/>
      </c>
      <c r="BA593" s="52" t="str">
        <f aca="false">IF($A593&lt;&gt;"",$A593,"")</f>
        <v>Apprenant 581</v>
      </c>
      <c r="BB593" s="55" t="str">
        <f aca="false">IF(AND($AR593&lt;&gt;"",$AS593&lt;&gt;""),$AS593-$AR593,"")</f>
        <v/>
      </c>
      <c r="BC593" s="55" t="str">
        <f aca="false">IF(AND($AR593&lt;&gt;"",$AT593&lt;&gt;""),$AT593-$AR593,"")</f>
        <v/>
      </c>
      <c r="BD593" s="55" t="str">
        <f aca="false">IF(AND($AS593&lt;&gt;"",$AT593&lt;&gt;""),$AT593-$AS593,"")</f>
        <v/>
      </c>
      <c r="BE593" s="53" t="str">
        <f aca="false">IF($E593&lt;&gt;"",$E593,"")</f>
        <v/>
      </c>
      <c r="BF593" s="52" t="str">
        <f aca="false">IF($F593&lt;&gt;"",$F593,"")</f>
        <v>Apprenant 581 ou 581'</v>
      </c>
      <c r="BG593" s="55" t="str">
        <f aca="false">IF(AND($AW593&lt;&gt;"",$AX593&lt;&gt;""),$AX593-$AW593,"")</f>
        <v/>
      </c>
      <c r="BH593" s="55" t="str">
        <f aca="false">IF(AND($AW593&lt;&gt;"",$AY593&lt;&gt;""),$AY593-$AW593,"")</f>
        <v/>
      </c>
      <c r="BI593" s="55" t="str">
        <f aca="false">IF(AND($AX593&lt;&gt;"",$AY593&lt;&gt;""),$AY593-$AX593,"")</f>
        <v/>
      </c>
      <c r="BJ593" s="53" t="str">
        <f aca="false">IF($J593&lt;&gt;"",$J593,"")</f>
        <v/>
      </c>
      <c r="BL593" s="52"/>
      <c r="BM593" s="52" t="str">
        <f aca="false">IF(OR(COUNT(B593:D1592)=0,AND('Choix pédagogiques'!$C$3&lt;&gt;1,'Choix pédagogiques'!$C$3&lt;&gt;2)),"",IF(AND(OR('Choix pédagogiques'!$C$3=1,'Choix pédagogiques'!$C$3=2),$B593&lt;&gt;"",$C593&lt;&gt;"",$D593&lt;&gt;""),1,0))</f>
        <v/>
      </c>
      <c r="BN593" s="52" t="str">
        <f aca="false">IF(OR(COUNT(G593:I1592)=0,AND('Choix pédagogiques'!$C$3&lt;&gt;1,'Choix pédagogiques'!$C$3&lt;&gt;2)),"",IF(AND(OR('Choix pédagogiques'!$C$3=1,'Choix pédagogiques'!$C$3=2),AND($G593&lt;&gt;"",$H593&lt;&gt;"",$I593&lt;&gt;"")),1,0))</f>
        <v/>
      </c>
      <c r="BO593" s="52" t="str">
        <f aca="false">IF(OR(COUNT(B593:D1592)=0,COUNT(G593:I1592)=0,'Choix pédagogiques'!C$3&lt;&gt;3),"",IF(AND('Choix pédagogiques'!$C$3=3,$B593&lt;&gt;"",$C593&lt;&gt;"",$D593&lt;&gt;"",$G593&lt;&gt;"",$H593&lt;&gt;"",$I593&lt;&gt;""),1,0))</f>
        <v/>
      </c>
      <c r="BR593" s="52" t="n">
        <v>447</v>
      </c>
      <c r="BS593" s="52" t="n">
        <v>1263</v>
      </c>
    </row>
    <row r="594" s="54" customFormat="true" ht="18" hidden="false" customHeight="true" outlineLevel="0" collapsed="false">
      <c r="A594" s="57" t="s">
        <v>1119</v>
      </c>
      <c r="B594" s="51"/>
      <c r="C594" s="51"/>
      <c r="D594" s="51"/>
      <c r="E594" s="51"/>
      <c r="F594" s="57" t="s">
        <v>1120</v>
      </c>
      <c r="G594" s="51"/>
      <c r="H594" s="51"/>
      <c r="I594" s="51"/>
      <c r="J594" s="51"/>
      <c r="K594" s="52" t="str">
        <f aca="false">IF($A594&lt;&gt;"",$A594,"")</f>
        <v>Apprenant 582</v>
      </c>
      <c r="L594" s="53" t="str">
        <f aca="false">IF(AND($B594&lt;&gt;"",$C594&lt;&gt;""),$C594-$B594,"")</f>
        <v/>
      </c>
      <c r="M594" s="53" t="str">
        <f aca="false">IF(AND($B594&lt;&gt;"",$D594&lt;&gt;""),$D594-$B594,"")</f>
        <v/>
      </c>
      <c r="N594" s="53" t="str">
        <f aca="false">IF(AND($C594&lt;&gt;"",$D594&lt;&gt;""),$D594-$C594,"")</f>
        <v/>
      </c>
      <c r="O594" s="53" t="str">
        <f aca="false">IF($E594&lt;&gt;"",$E594,"")</f>
        <v/>
      </c>
      <c r="P594" s="52" t="str">
        <f aca="false">IF($F594&lt;&gt;"",$F594,"")</f>
        <v>Apprenant 582 ou 582'</v>
      </c>
      <c r="Q594" s="53" t="str">
        <f aca="false">IF(AND($G594&lt;&gt;"",$H594&lt;&gt;""),$H594-$G594,"")</f>
        <v/>
      </c>
      <c r="R594" s="53" t="str">
        <f aca="false">IF(AND($G594&lt;&gt;"",$I594&lt;&gt;""),$I594-$G594,"")</f>
        <v/>
      </c>
      <c r="S594" s="53" t="str">
        <f aca="false">IF(AND($H594&lt;&gt;"",$I594&lt;&gt;""),$I594-$H594,"")</f>
        <v/>
      </c>
      <c r="T594" s="53" t="str">
        <f aca="false">IF($J594&lt;&gt;"",$J594,"")</f>
        <v/>
      </c>
      <c r="V594" s="52" t="str">
        <f aca="false">IF($A594&lt;&gt;"",$A594,"")</f>
        <v>Apprenant 582</v>
      </c>
      <c r="W594" s="53" t="str">
        <f aca="false">IF(AND(OR('Choix pédagogiques'!$C$3=1,'Choix pédagogiques'!$C$3=2),$BM594=1),B594,IF(AND('Choix pédagogiques'!$C$3=3,$BO594=1),B594,""))</f>
        <v/>
      </c>
      <c r="X594" s="53" t="str">
        <f aca="false">IF(AND(OR('Choix pédagogiques'!$C$3=1,'Choix pédagogiques'!$C$3=2),$BM594=1),C594,IF(AND('Choix pédagogiques'!$C$3=3,$BO594=1),C594,""))</f>
        <v/>
      </c>
      <c r="Y594" s="53" t="str">
        <f aca="false">IF(AND(OR('Choix pédagogiques'!$C$3=1,'Choix pédagogiques'!$C$3=2),$BM594=1),D594,IF(AND('Choix pédagogiques'!$C$3=3,$BO594=1),D594,""))</f>
        <v/>
      </c>
      <c r="Z594" s="53" t="str">
        <f aca="false">IF($E594&lt;&gt;"",$E594,"")</f>
        <v/>
      </c>
      <c r="AA594" s="52" t="str">
        <f aca="false">IF($F594&lt;&gt;"",$F594,"")</f>
        <v>Apprenant 582 ou 582'</v>
      </c>
      <c r="AB594" s="53" t="str">
        <f aca="false">IF(AND(OR('Choix pédagogiques'!$C$3=1,'Choix pédagogiques'!$C$3=2),$BN594=1),G594,IF(AND('Choix pédagogiques'!$C$3=3,$BO594=1),G594,""))</f>
        <v/>
      </c>
      <c r="AC594" s="53" t="str">
        <f aca="false">IF(AND(OR('Choix pédagogiques'!$C$3=1,'Choix pédagogiques'!$C$3=2),$BN594=1),H594,IF(AND('Choix pédagogiques'!$C$3=3,$BO594=1),H594,""))</f>
        <v/>
      </c>
      <c r="AD594" s="53" t="str">
        <f aca="false">IF(AND(OR('Choix pédagogiques'!$C$3=1,'Choix pédagogiques'!$C$3=2),$BN594=1),I594,IF(AND('Choix pédagogiques'!$C$3=3,$BO594=1),I594,""))</f>
        <v/>
      </c>
      <c r="AE594" s="53" t="str">
        <f aca="false">IF($J594&lt;&gt;"",$J594,"")</f>
        <v/>
      </c>
      <c r="AF594" s="52" t="str">
        <f aca="false">IF($A594&lt;&gt;"",$A594,"")</f>
        <v>Apprenant 582</v>
      </c>
      <c r="AG594" s="53" t="str">
        <f aca="false">IF(AND($W594&lt;&gt;"",$X594&lt;&gt;""),$X594-$W594,"")</f>
        <v/>
      </c>
      <c r="AH594" s="53" t="str">
        <f aca="false">IF(AND($W594&lt;&gt;"",$Y594&lt;&gt;""),$Y594-$W594,"")</f>
        <v/>
      </c>
      <c r="AI594" s="53" t="str">
        <f aca="false">IF(AND($X594&lt;&gt;"",$Y594&lt;&gt;""),$Y594-$X594,"")</f>
        <v/>
      </c>
      <c r="AJ594" s="53" t="str">
        <f aca="false">IF($E594&lt;&gt;"",$E594,"")</f>
        <v/>
      </c>
      <c r="AK594" s="52" t="str">
        <f aca="false">IF($F594&lt;&gt;"",$F594,"")</f>
        <v>Apprenant 582 ou 582'</v>
      </c>
      <c r="AL594" s="53" t="str">
        <f aca="false">IF(AND($AB594&lt;&gt;"",$AC594&lt;&gt;""),$AC594-$AB594,"")</f>
        <v/>
      </c>
      <c r="AM594" s="53" t="str">
        <f aca="false">IF(AND($AB594&lt;&gt;"",$AD594&lt;&gt;""),$AD594-$AB594,"")</f>
        <v/>
      </c>
      <c r="AN594" s="53" t="str">
        <f aca="false">IF(AND($AC594&lt;&gt;"",$AD594&lt;&gt;""),$AD594-$AC594,"")</f>
        <v/>
      </c>
      <c r="AO594" s="53" t="str">
        <f aca="false">IF($J594&lt;&gt;"",$J594,"")</f>
        <v/>
      </c>
      <c r="AQ594" s="52" t="str">
        <f aca="false">IF($A594&lt;&gt;"",$A594,"")</f>
        <v>Apprenant 582</v>
      </c>
      <c r="AR594" s="55" t="str">
        <f aca="false">IF(AND('Choix pédagogiques'!$C$4&lt;&gt;"?",'Choix pédagogiques'!$C$5&lt;&gt;"?",W594&lt;&gt;""),(W594-'Choix pédagogiques'!$C$4)/('Choix pédagogiques'!$C$5-'Choix pédagogiques'!$C$4),"")</f>
        <v/>
      </c>
      <c r="AS594" s="55" t="str">
        <f aca="false">IF(AND('Choix pédagogiques'!$C$4&lt;&gt;"?",'Choix pédagogiques'!$C$5&lt;&gt;"?",X594&lt;&gt;""),(X594-'Choix pédagogiques'!$C$4)/('Choix pédagogiques'!$C$5-'Choix pédagogiques'!$C$4),"")</f>
        <v/>
      </c>
      <c r="AT594" s="55" t="str">
        <f aca="false">IF(AND('Choix pédagogiques'!$C$4&lt;&gt;"?",'Choix pédagogiques'!$C$5&lt;&gt;"?",Y594&lt;&gt;""),(Y594-'Choix pédagogiques'!$C$4)/('Choix pédagogiques'!$C$5-'Choix pédagogiques'!$C$4),"")</f>
        <v/>
      </c>
      <c r="AU594" s="53" t="str">
        <f aca="false">IF($E594&lt;&gt;"",$E594,"")</f>
        <v/>
      </c>
      <c r="AV594" s="52" t="str">
        <f aca="false">IF($F594&lt;&gt;"",$F594,"")</f>
        <v>Apprenant 582 ou 582'</v>
      </c>
      <c r="AW594" s="55" t="str">
        <f aca="false">IF(AND('Choix pédagogiques'!$C$4&lt;&gt;"?",'Choix pédagogiques'!$C$5&lt;&gt;"?",AB594&lt;&gt;""),(AB594-'Choix pédagogiques'!$C$4)/('Choix pédagogiques'!$C$5-'Choix pédagogiques'!$C$4),"")</f>
        <v/>
      </c>
      <c r="AX594" s="55" t="str">
        <f aca="false">IF(AND('Choix pédagogiques'!$C$4&lt;&gt;"?",'Choix pédagogiques'!$C$5&lt;&gt;"?",AC594&lt;&gt;""),(AC594-'Choix pédagogiques'!$C$4)/('Choix pédagogiques'!$C$5-'Choix pédagogiques'!$C$4),"")</f>
        <v/>
      </c>
      <c r="AY594" s="55" t="str">
        <f aca="false">IF(AND('Choix pédagogiques'!$C$4&lt;&gt;"?",'Choix pédagogiques'!$C$5&lt;&gt;"?",AD594&lt;&gt;""),(AD594-'Choix pédagogiques'!$C$4)/('Choix pédagogiques'!$C$5-'Choix pédagogiques'!$C$4),"")</f>
        <v/>
      </c>
      <c r="AZ594" s="53" t="str">
        <f aca="false">IF($J594&lt;&gt;"",$J594,"")</f>
        <v/>
      </c>
      <c r="BA594" s="52" t="str">
        <f aca="false">IF($A594&lt;&gt;"",$A594,"")</f>
        <v>Apprenant 582</v>
      </c>
      <c r="BB594" s="55" t="str">
        <f aca="false">IF(AND($AR594&lt;&gt;"",$AS594&lt;&gt;""),$AS594-$AR594,"")</f>
        <v/>
      </c>
      <c r="BC594" s="55" t="str">
        <f aca="false">IF(AND($AR594&lt;&gt;"",$AT594&lt;&gt;""),$AT594-$AR594,"")</f>
        <v/>
      </c>
      <c r="BD594" s="55" t="str">
        <f aca="false">IF(AND($AS594&lt;&gt;"",$AT594&lt;&gt;""),$AT594-$AS594,"")</f>
        <v/>
      </c>
      <c r="BE594" s="53" t="str">
        <f aca="false">IF($E594&lt;&gt;"",$E594,"")</f>
        <v/>
      </c>
      <c r="BF594" s="52" t="str">
        <f aca="false">IF($F594&lt;&gt;"",$F594,"")</f>
        <v>Apprenant 582 ou 582'</v>
      </c>
      <c r="BG594" s="55" t="str">
        <f aca="false">IF(AND($AW594&lt;&gt;"",$AX594&lt;&gt;""),$AX594-$AW594,"")</f>
        <v/>
      </c>
      <c r="BH594" s="55" t="str">
        <f aca="false">IF(AND($AW594&lt;&gt;"",$AY594&lt;&gt;""),$AY594-$AW594,"")</f>
        <v/>
      </c>
      <c r="BI594" s="55" t="str">
        <f aca="false">IF(AND($AX594&lt;&gt;"",$AY594&lt;&gt;""),$AY594-$AX594,"")</f>
        <v/>
      </c>
      <c r="BJ594" s="53" t="str">
        <f aca="false">IF($J594&lt;&gt;"",$J594,"")</f>
        <v/>
      </c>
      <c r="BL594" s="52"/>
      <c r="BM594" s="52" t="str">
        <f aca="false">IF(OR(COUNT(B594:D1593)=0,AND('Choix pédagogiques'!$C$3&lt;&gt;1,'Choix pédagogiques'!$C$3&lt;&gt;2)),"",IF(AND(OR('Choix pédagogiques'!$C$3=1,'Choix pédagogiques'!$C$3=2),$B594&lt;&gt;"",$C594&lt;&gt;"",$D594&lt;&gt;""),1,0))</f>
        <v/>
      </c>
      <c r="BN594" s="52" t="str">
        <f aca="false">IF(OR(COUNT(G594:I1593)=0,AND('Choix pédagogiques'!$C$3&lt;&gt;1,'Choix pédagogiques'!$C$3&lt;&gt;2)),"",IF(AND(OR('Choix pédagogiques'!$C$3=1,'Choix pédagogiques'!$C$3=2),AND($G594&lt;&gt;"",$H594&lt;&gt;"",$I594&lt;&gt;"")),1,0))</f>
        <v/>
      </c>
      <c r="BO594" s="52" t="str">
        <f aca="false">IF(OR(COUNT(B594:D1593)=0,COUNT(G594:I1593)=0,'Choix pédagogiques'!C$3&lt;&gt;3),"",IF(AND('Choix pédagogiques'!$C$3=3,$B594&lt;&gt;"",$C594&lt;&gt;"",$D594&lt;&gt;"",$G594&lt;&gt;"",$H594&lt;&gt;"",$I594&lt;&gt;""),1,0))</f>
        <v/>
      </c>
      <c r="BR594" s="52" t="n">
        <v>972</v>
      </c>
      <c r="BS594" s="52" t="n">
        <v>1613</v>
      </c>
    </row>
    <row r="595" s="54" customFormat="true" ht="18" hidden="false" customHeight="true" outlineLevel="0" collapsed="false">
      <c r="A595" s="57" t="s">
        <v>1121</v>
      </c>
      <c r="B595" s="51"/>
      <c r="C595" s="51"/>
      <c r="D595" s="51"/>
      <c r="E595" s="51"/>
      <c r="F595" s="57" t="s">
        <v>1122</v>
      </c>
      <c r="G595" s="51"/>
      <c r="H595" s="51"/>
      <c r="I595" s="51"/>
      <c r="J595" s="51"/>
      <c r="K595" s="52" t="str">
        <f aca="false">IF($A595&lt;&gt;"",$A595,"")</f>
        <v>Apprenant 583</v>
      </c>
      <c r="L595" s="53" t="str">
        <f aca="false">IF(AND($B595&lt;&gt;"",$C595&lt;&gt;""),$C595-$B595,"")</f>
        <v/>
      </c>
      <c r="M595" s="53" t="str">
        <f aca="false">IF(AND($B595&lt;&gt;"",$D595&lt;&gt;""),$D595-$B595,"")</f>
        <v/>
      </c>
      <c r="N595" s="53" t="str">
        <f aca="false">IF(AND($C595&lt;&gt;"",$D595&lt;&gt;""),$D595-$C595,"")</f>
        <v/>
      </c>
      <c r="O595" s="53" t="str">
        <f aca="false">IF($E595&lt;&gt;"",$E595,"")</f>
        <v/>
      </c>
      <c r="P595" s="52" t="str">
        <f aca="false">IF($F595&lt;&gt;"",$F595,"")</f>
        <v>Apprenant 583 ou 583'</v>
      </c>
      <c r="Q595" s="53" t="str">
        <f aca="false">IF(AND($G595&lt;&gt;"",$H595&lt;&gt;""),$H595-$G595,"")</f>
        <v/>
      </c>
      <c r="R595" s="53" t="str">
        <f aca="false">IF(AND($G595&lt;&gt;"",$I595&lt;&gt;""),$I595-$G595,"")</f>
        <v/>
      </c>
      <c r="S595" s="53" t="str">
        <f aca="false">IF(AND($H595&lt;&gt;"",$I595&lt;&gt;""),$I595-$H595,"")</f>
        <v/>
      </c>
      <c r="T595" s="53" t="str">
        <f aca="false">IF($J595&lt;&gt;"",$J595,"")</f>
        <v/>
      </c>
      <c r="V595" s="52" t="str">
        <f aca="false">IF($A595&lt;&gt;"",$A595,"")</f>
        <v>Apprenant 583</v>
      </c>
      <c r="W595" s="53" t="str">
        <f aca="false">IF(AND(OR('Choix pédagogiques'!$C$3=1,'Choix pédagogiques'!$C$3=2),$BM595=1),B595,IF(AND('Choix pédagogiques'!$C$3=3,$BO595=1),B595,""))</f>
        <v/>
      </c>
      <c r="X595" s="53" t="str">
        <f aca="false">IF(AND(OR('Choix pédagogiques'!$C$3=1,'Choix pédagogiques'!$C$3=2),$BM595=1),C595,IF(AND('Choix pédagogiques'!$C$3=3,$BO595=1),C595,""))</f>
        <v/>
      </c>
      <c r="Y595" s="53" t="str">
        <f aca="false">IF(AND(OR('Choix pédagogiques'!$C$3=1,'Choix pédagogiques'!$C$3=2),$BM595=1),D595,IF(AND('Choix pédagogiques'!$C$3=3,$BO595=1),D595,""))</f>
        <v/>
      </c>
      <c r="Z595" s="53" t="str">
        <f aca="false">IF($E595&lt;&gt;"",$E595,"")</f>
        <v/>
      </c>
      <c r="AA595" s="52" t="str">
        <f aca="false">IF($F595&lt;&gt;"",$F595,"")</f>
        <v>Apprenant 583 ou 583'</v>
      </c>
      <c r="AB595" s="53" t="str">
        <f aca="false">IF(AND(OR('Choix pédagogiques'!$C$3=1,'Choix pédagogiques'!$C$3=2),$BN595=1),G595,IF(AND('Choix pédagogiques'!$C$3=3,$BO595=1),G595,""))</f>
        <v/>
      </c>
      <c r="AC595" s="53" t="str">
        <f aca="false">IF(AND(OR('Choix pédagogiques'!$C$3=1,'Choix pédagogiques'!$C$3=2),$BN595=1),H595,IF(AND('Choix pédagogiques'!$C$3=3,$BO595=1),H595,""))</f>
        <v/>
      </c>
      <c r="AD595" s="53" t="str">
        <f aca="false">IF(AND(OR('Choix pédagogiques'!$C$3=1,'Choix pédagogiques'!$C$3=2),$BN595=1),I595,IF(AND('Choix pédagogiques'!$C$3=3,$BO595=1),I595,""))</f>
        <v/>
      </c>
      <c r="AE595" s="53" t="str">
        <f aca="false">IF($J595&lt;&gt;"",$J595,"")</f>
        <v/>
      </c>
      <c r="AF595" s="52" t="str">
        <f aca="false">IF($A595&lt;&gt;"",$A595,"")</f>
        <v>Apprenant 583</v>
      </c>
      <c r="AG595" s="53" t="str">
        <f aca="false">IF(AND($W595&lt;&gt;"",$X595&lt;&gt;""),$X595-$W595,"")</f>
        <v/>
      </c>
      <c r="AH595" s="53" t="str">
        <f aca="false">IF(AND($W595&lt;&gt;"",$Y595&lt;&gt;""),$Y595-$W595,"")</f>
        <v/>
      </c>
      <c r="AI595" s="53" t="str">
        <f aca="false">IF(AND($X595&lt;&gt;"",$Y595&lt;&gt;""),$Y595-$X595,"")</f>
        <v/>
      </c>
      <c r="AJ595" s="53" t="str">
        <f aca="false">IF($E595&lt;&gt;"",$E595,"")</f>
        <v/>
      </c>
      <c r="AK595" s="52" t="str">
        <f aca="false">IF($F595&lt;&gt;"",$F595,"")</f>
        <v>Apprenant 583 ou 583'</v>
      </c>
      <c r="AL595" s="53" t="str">
        <f aca="false">IF(AND($AB595&lt;&gt;"",$AC595&lt;&gt;""),$AC595-$AB595,"")</f>
        <v/>
      </c>
      <c r="AM595" s="53" t="str">
        <f aca="false">IF(AND($AB595&lt;&gt;"",$AD595&lt;&gt;""),$AD595-$AB595,"")</f>
        <v/>
      </c>
      <c r="AN595" s="53" t="str">
        <f aca="false">IF(AND($AC595&lt;&gt;"",$AD595&lt;&gt;""),$AD595-$AC595,"")</f>
        <v/>
      </c>
      <c r="AO595" s="53" t="str">
        <f aca="false">IF($J595&lt;&gt;"",$J595,"")</f>
        <v/>
      </c>
      <c r="AQ595" s="52" t="str">
        <f aca="false">IF($A595&lt;&gt;"",$A595,"")</f>
        <v>Apprenant 583</v>
      </c>
      <c r="AR595" s="55" t="str">
        <f aca="false">IF(AND('Choix pédagogiques'!$C$4&lt;&gt;"?",'Choix pédagogiques'!$C$5&lt;&gt;"?",W595&lt;&gt;""),(W595-'Choix pédagogiques'!$C$4)/('Choix pédagogiques'!$C$5-'Choix pédagogiques'!$C$4),"")</f>
        <v/>
      </c>
      <c r="AS595" s="55" t="str">
        <f aca="false">IF(AND('Choix pédagogiques'!$C$4&lt;&gt;"?",'Choix pédagogiques'!$C$5&lt;&gt;"?",X595&lt;&gt;""),(X595-'Choix pédagogiques'!$C$4)/('Choix pédagogiques'!$C$5-'Choix pédagogiques'!$C$4),"")</f>
        <v/>
      </c>
      <c r="AT595" s="55" t="str">
        <f aca="false">IF(AND('Choix pédagogiques'!$C$4&lt;&gt;"?",'Choix pédagogiques'!$C$5&lt;&gt;"?",Y595&lt;&gt;""),(Y595-'Choix pédagogiques'!$C$4)/('Choix pédagogiques'!$C$5-'Choix pédagogiques'!$C$4),"")</f>
        <v/>
      </c>
      <c r="AU595" s="53" t="str">
        <f aca="false">IF($E595&lt;&gt;"",$E595,"")</f>
        <v/>
      </c>
      <c r="AV595" s="52" t="str">
        <f aca="false">IF($F595&lt;&gt;"",$F595,"")</f>
        <v>Apprenant 583 ou 583'</v>
      </c>
      <c r="AW595" s="55" t="str">
        <f aca="false">IF(AND('Choix pédagogiques'!$C$4&lt;&gt;"?",'Choix pédagogiques'!$C$5&lt;&gt;"?",AB595&lt;&gt;""),(AB595-'Choix pédagogiques'!$C$4)/('Choix pédagogiques'!$C$5-'Choix pédagogiques'!$C$4),"")</f>
        <v/>
      </c>
      <c r="AX595" s="55" t="str">
        <f aca="false">IF(AND('Choix pédagogiques'!$C$4&lt;&gt;"?",'Choix pédagogiques'!$C$5&lt;&gt;"?",AC595&lt;&gt;""),(AC595-'Choix pédagogiques'!$C$4)/('Choix pédagogiques'!$C$5-'Choix pédagogiques'!$C$4),"")</f>
        <v/>
      </c>
      <c r="AY595" s="55" t="str">
        <f aca="false">IF(AND('Choix pédagogiques'!$C$4&lt;&gt;"?",'Choix pédagogiques'!$C$5&lt;&gt;"?",AD595&lt;&gt;""),(AD595-'Choix pédagogiques'!$C$4)/('Choix pédagogiques'!$C$5-'Choix pédagogiques'!$C$4),"")</f>
        <v/>
      </c>
      <c r="AZ595" s="53" t="str">
        <f aca="false">IF($J595&lt;&gt;"",$J595,"")</f>
        <v/>
      </c>
      <c r="BA595" s="52" t="str">
        <f aca="false">IF($A595&lt;&gt;"",$A595,"")</f>
        <v>Apprenant 583</v>
      </c>
      <c r="BB595" s="55" t="str">
        <f aca="false">IF(AND($AR595&lt;&gt;"",$AS595&lt;&gt;""),$AS595-$AR595,"")</f>
        <v/>
      </c>
      <c r="BC595" s="55" t="str">
        <f aca="false">IF(AND($AR595&lt;&gt;"",$AT595&lt;&gt;""),$AT595-$AR595,"")</f>
        <v/>
      </c>
      <c r="BD595" s="55" t="str">
        <f aca="false">IF(AND($AS595&lt;&gt;"",$AT595&lt;&gt;""),$AT595-$AS595,"")</f>
        <v/>
      </c>
      <c r="BE595" s="53" t="str">
        <f aca="false">IF($E595&lt;&gt;"",$E595,"")</f>
        <v/>
      </c>
      <c r="BF595" s="52" t="str">
        <f aca="false">IF($F595&lt;&gt;"",$F595,"")</f>
        <v>Apprenant 583 ou 583'</v>
      </c>
      <c r="BG595" s="55" t="str">
        <f aca="false">IF(AND($AW595&lt;&gt;"",$AX595&lt;&gt;""),$AX595-$AW595,"")</f>
        <v/>
      </c>
      <c r="BH595" s="55" t="str">
        <f aca="false">IF(AND($AW595&lt;&gt;"",$AY595&lt;&gt;""),$AY595-$AW595,"")</f>
        <v/>
      </c>
      <c r="BI595" s="55" t="str">
        <f aca="false">IF(AND($AX595&lt;&gt;"",$AY595&lt;&gt;""),$AY595-$AX595,"")</f>
        <v/>
      </c>
      <c r="BJ595" s="53" t="str">
        <f aca="false">IF($J595&lt;&gt;"",$J595,"")</f>
        <v/>
      </c>
      <c r="BL595" s="52"/>
      <c r="BM595" s="52" t="str">
        <f aca="false">IF(OR(COUNT(B595:D1594)=0,AND('Choix pédagogiques'!$C$3&lt;&gt;1,'Choix pédagogiques'!$C$3&lt;&gt;2)),"",IF(AND(OR('Choix pédagogiques'!$C$3=1,'Choix pédagogiques'!$C$3=2),$B595&lt;&gt;"",$C595&lt;&gt;"",$D595&lt;&gt;""),1,0))</f>
        <v/>
      </c>
      <c r="BN595" s="52" t="str">
        <f aca="false">IF(OR(COUNT(G595:I1594)=0,AND('Choix pédagogiques'!$C$3&lt;&gt;1,'Choix pédagogiques'!$C$3&lt;&gt;2)),"",IF(AND(OR('Choix pédagogiques'!$C$3=1,'Choix pédagogiques'!$C$3=2),AND($G595&lt;&gt;"",$H595&lt;&gt;"",$I595&lt;&gt;"")),1,0))</f>
        <v/>
      </c>
      <c r="BO595" s="52" t="str">
        <f aca="false">IF(OR(COUNT(B595:D1594)=0,COUNT(G595:I1594)=0,'Choix pédagogiques'!C$3&lt;&gt;3),"",IF(AND('Choix pédagogiques'!$C$3=3,$B595&lt;&gt;"",$C595&lt;&gt;"",$D595&lt;&gt;"",$G595&lt;&gt;"",$H595&lt;&gt;"",$I595&lt;&gt;""),1,0))</f>
        <v/>
      </c>
      <c r="BR595" s="52" t="n">
        <v>776</v>
      </c>
      <c r="BS595" s="52" t="n">
        <v>1255</v>
      </c>
    </row>
    <row r="596" s="54" customFormat="true" ht="18" hidden="false" customHeight="true" outlineLevel="0" collapsed="false">
      <c r="A596" s="57" t="s">
        <v>1123</v>
      </c>
      <c r="B596" s="51"/>
      <c r="C596" s="51"/>
      <c r="D596" s="51"/>
      <c r="E596" s="51"/>
      <c r="F596" s="57" t="s">
        <v>1124</v>
      </c>
      <c r="G596" s="51"/>
      <c r="H596" s="51"/>
      <c r="I596" s="51"/>
      <c r="J596" s="51"/>
      <c r="K596" s="52" t="str">
        <f aca="false">IF($A596&lt;&gt;"",$A596,"")</f>
        <v>Apprenant 584</v>
      </c>
      <c r="L596" s="53" t="str">
        <f aca="false">IF(AND($B596&lt;&gt;"",$C596&lt;&gt;""),$C596-$B596,"")</f>
        <v/>
      </c>
      <c r="M596" s="53" t="str">
        <f aca="false">IF(AND($B596&lt;&gt;"",$D596&lt;&gt;""),$D596-$B596,"")</f>
        <v/>
      </c>
      <c r="N596" s="53" t="str">
        <f aca="false">IF(AND($C596&lt;&gt;"",$D596&lt;&gt;""),$D596-$C596,"")</f>
        <v/>
      </c>
      <c r="O596" s="53" t="str">
        <f aca="false">IF($E596&lt;&gt;"",$E596,"")</f>
        <v/>
      </c>
      <c r="P596" s="52" t="str">
        <f aca="false">IF($F596&lt;&gt;"",$F596,"")</f>
        <v>Apprenant 584 ou 584'</v>
      </c>
      <c r="Q596" s="53" t="str">
        <f aca="false">IF(AND($G596&lt;&gt;"",$H596&lt;&gt;""),$H596-$G596,"")</f>
        <v/>
      </c>
      <c r="R596" s="53" t="str">
        <f aca="false">IF(AND($G596&lt;&gt;"",$I596&lt;&gt;""),$I596-$G596,"")</f>
        <v/>
      </c>
      <c r="S596" s="53" t="str">
        <f aca="false">IF(AND($H596&lt;&gt;"",$I596&lt;&gt;""),$I596-$H596,"")</f>
        <v/>
      </c>
      <c r="T596" s="53" t="str">
        <f aca="false">IF($J596&lt;&gt;"",$J596,"")</f>
        <v/>
      </c>
      <c r="V596" s="52" t="str">
        <f aca="false">IF($A596&lt;&gt;"",$A596,"")</f>
        <v>Apprenant 584</v>
      </c>
      <c r="W596" s="53" t="str">
        <f aca="false">IF(AND(OR('Choix pédagogiques'!$C$3=1,'Choix pédagogiques'!$C$3=2),$BM596=1),B596,IF(AND('Choix pédagogiques'!$C$3=3,$BO596=1),B596,""))</f>
        <v/>
      </c>
      <c r="X596" s="53" t="str">
        <f aca="false">IF(AND(OR('Choix pédagogiques'!$C$3=1,'Choix pédagogiques'!$C$3=2),$BM596=1),C596,IF(AND('Choix pédagogiques'!$C$3=3,$BO596=1),C596,""))</f>
        <v/>
      </c>
      <c r="Y596" s="53" t="str">
        <f aca="false">IF(AND(OR('Choix pédagogiques'!$C$3=1,'Choix pédagogiques'!$C$3=2),$BM596=1),D596,IF(AND('Choix pédagogiques'!$C$3=3,$BO596=1),D596,""))</f>
        <v/>
      </c>
      <c r="Z596" s="53" t="str">
        <f aca="false">IF($E596&lt;&gt;"",$E596,"")</f>
        <v/>
      </c>
      <c r="AA596" s="52" t="str">
        <f aca="false">IF($F596&lt;&gt;"",$F596,"")</f>
        <v>Apprenant 584 ou 584'</v>
      </c>
      <c r="AB596" s="53" t="str">
        <f aca="false">IF(AND(OR('Choix pédagogiques'!$C$3=1,'Choix pédagogiques'!$C$3=2),$BN596=1),G596,IF(AND('Choix pédagogiques'!$C$3=3,$BO596=1),G596,""))</f>
        <v/>
      </c>
      <c r="AC596" s="53" t="str">
        <f aca="false">IF(AND(OR('Choix pédagogiques'!$C$3=1,'Choix pédagogiques'!$C$3=2),$BN596=1),H596,IF(AND('Choix pédagogiques'!$C$3=3,$BO596=1),H596,""))</f>
        <v/>
      </c>
      <c r="AD596" s="53" t="str">
        <f aca="false">IF(AND(OR('Choix pédagogiques'!$C$3=1,'Choix pédagogiques'!$C$3=2),$BN596=1),I596,IF(AND('Choix pédagogiques'!$C$3=3,$BO596=1),I596,""))</f>
        <v/>
      </c>
      <c r="AE596" s="53" t="str">
        <f aca="false">IF($J596&lt;&gt;"",$J596,"")</f>
        <v/>
      </c>
      <c r="AF596" s="52" t="str">
        <f aca="false">IF($A596&lt;&gt;"",$A596,"")</f>
        <v>Apprenant 584</v>
      </c>
      <c r="AG596" s="53" t="str">
        <f aca="false">IF(AND($W596&lt;&gt;"",$X596&lt;&gt;""),$X596-$W596,"")</f>
        <v/>
      </c>
      <c r="AH596" s="53" t="str">
        <f aca="false">IF(AND($W596&lt;&gt;"",$Y596&lt;&gt;""),$Y596-$W596,"")</f>
        <v/>
      </c>
      <c r="AI596" s="53" t="str">
        <f aca="false">IF(AND($X596&lt;&gt;"",$Y596&lt;&gt;""),$Y596-$X596,"")</f>
        <v/>
      </c>
      <c r="AJ596" s="53" t="str">
        <f aca="false">IF($E596&lt;&gt;"",$E596,"")</f>
        <v/>
      </c>
      <c r="AK596" s="52" t="str">
        <f aca="false">IF($F596&lt;&gt;"",$F596,"")</f>
        <v>Apprenant 584 ou 584'</v>
      </c>
      <c r="AL596" s="53" t="str">
        <f aca="false">IF(AND($AB596&lt;&gt;"",$AC596&lt;&gt;""),$AC596-$AB596,"")</f>
        <v/>
      </c>
      <c r="AM596" s="53" t="str">
        <f aca="false">IF(AND($AB596&lt;&gt;"",$AD596&lt;&gt;""),$AD596-$AB596,"")</f>
        <v/>
      </c>
      <c r="AN596" s="53" t="str">
        <f aca="false">IF(AND($AC596&lt;&gt;"",$AD596&lt;&gt;""),$AD596-$AC596,"")</f>
        <v/>
      </c>
      <c r="AO596" s="53" t="str">
        <f aca="false">IF($J596&lt;&gt;"",$J596,"")</f>
        <v/>
      </c>
      <c r="AQ596" s="52" t="str">
        <f aca="false">IF($A596&lt;&gt;"",$A596,"")</f>
        <v>Apprenant 584</v>
      </c>
      <c r="AR596" s="55" t="str">
        <f aca="false">IF(AND('Choix pédagogiques'!$C$4&lt;&gt;"?",'Choix pédagogiques'!$C$5&lt;&gt;"?",W596&lt;&gt;""),(W596-'Choix pédagogiques'!$C$4)/('Choix pédagogiques'!$C$5-'Choix pédagogiques'!$C$4),"")</f>
        <v/>
      </c>
      <c r="AS596" s="55" t="str">
        <f aca="false">IF(AND('Choix pédagogiques'!$C$4&lt;&gt;"?",'Choix pédagogiques'!$C$5&lt;&gt;"?",X596&lt;&gt;""),(X596-'Choix pédagogiques'!$C$4)/('Choix pédagogiques'!$C$5-'Choix pédagogiques'!$C$4),"")</f>
        <v/>
      </c>
      <c r="AT596" s="55" t="str">
        <f aca="false">IF(AND('Choix pédagogiques'!$C$4&lt;&gt;"?",'Choix pédagogiques'!$C$5&lt;&gt;"?",Y596&lt;&gt;""),(Y596-'Choix pédagogiques'!$C$4)/('Choix pédagogiques'!$C$5-'Choix pédagogiques'!$C$4),"")</f>
        <v/>
      </c>
      <c r="AU596" s="53" t="str">
        <f aca="false">IF($E596&lt;&gt;"",$E596,"")</f>
        <v/>
      </c>
      <c r="AV596" s="52" t="str">
        <f aca="false">IF($F596&lt;&gt;"",$F596,"")</f>
        <v>Apprenant 584 ou 584'</v>
      </c>
      <c r="AW596" s="55" t="str">
        <f aca="false">IF(AND('Choix pédagogiques'!$C$4&lt;&gt;"?",'Choix pédagogiques'!$C$5&lt;&gt;"?",AB596&lt;&gt;""),(AB596-'Choix pédagogiques'!$C$4)/('Choix pédagogiques'!$C$5-'Choix pédagogiques'!$C$4),"")</f>
        <v/>
      </c>
      <c r="AX596" s="55" t="str">
        <f aca="false">IF(AND('Choix pédagogiques'!$C$4&lt;&gt;"?",'Choix pédagogiques'!$C$5&lt;&gt;"?",AC596&lt;&gt;""),(AC596-'Choix pédagogiques'!$C$4)/('Choix pédagogiques'!$C$5-'Choix pédagogiques'!$C$4),"")</f>
        <v/>
      </c>
      <c r="AY596" s="55" t="str">
        <f aca="false">IF(AND('Choix pédagogiques'!$C$4&lt;&gt;"?",'Choix pédagogiques'!$C$5&lt;&gt;"?",AD596&lt;&gt;""),(AD596-'Choix pédagogiques'!$C$4)/('Choix pédagogiques'!$C$5-'Choix pédagogiques'!$C$4),"")</f>
        <v/>
      </c>
      <c r="AZ596" s="53" t="str">
        <f aca="false">IF($J596&lt;&gt;"",$J596,"")</f>
        <v/>
      </c>
      <c r="BA596" s="52" t="str">
        <f aca="false">IF($A596&lt;&gt;"",$A596,"")</f>
        <v>Apprenant 584</v>
      </c>
      <c r="BB596" s="55" t="str">
        <f aca="false">IF(AND($AR596&lt;&gt;"",$AS596&lt;&gt;""),$AS596-$AR596,"")</f>
        <v/>
      </c>
      <c r="BC596" s="55" t="str">
        <f aca="false">IF(AND($AR596&lt;&gt;"",$AT596&lt;&gt;""),$AT596-$AR596,"")</f>
        <v/>
      </c>
      <c r="BD596" s="55" t="str">
        <f aca="false">IF(AND($AS596&lt;&gt;"",$AT596&lt;&gt;""),$AT596-$AS596,"")</f>
        <v/>
      </c>
      <c r="BE596" s="53" t="str">
        <f aca="false">IF($E596&lt;&gt;"",$E596,"")</f>
        <v/>
      </c>
      <c r="BF596" s="52" t="str">
        <f aca="false">IF($F596&lt;&gt;"",$F596,"")</f>
        <v>Apprenant 584 ou 584'</v>
      </c>
      <c r="BG596" s="55" t="str">
        <f aca="false">IF(AND($AW596&lt;&gt;"",$AX596&lt;&gt;""),$AX596-$AW596,"")</f>
        <v/>
      </c>
      <c r="BH596" s="55" t="str">
        <f aca="false">IF(AND($AW596&lt;&gt;"",$AY596&lt;&gt;""),$AY596-$AW596,"")</f>
        <v/>
      </c>
      <c r="BI596" s="55" t="str">
        <f aca="false">IF(AND($AX596&lt;&gt;"",$AY596&lt;&gt;""),$AY596-$AX596,"")</f>
        <v/>
      </c>
      <c r="BJ596" s="53" t="str">
        <f aca="false">IF($J596&lt;&gt;"",$J596,"")</f>
        <v/>
      </c>
      <c r="BL596" s="52"/>
      <c r="BM596" s="52" t="str">
        <f aca="false">IF(OR(COUNT(B596:D1595)=0,AND('Choix pédagogiques'!$C$3&lt;&gt;1,'Choix pédagogiques'!$C$3&lt;&gt;2)),"",IF(AND(OR('Choix pédagogiques'!$C$3=1,'Choix pédagogiques'!$C$3=2),$B596&lt;&gt;"",$C596&lt;&gt;"",$D596&lt;&gt;""),1,0))</f>
        <v/>
      </c>
      <c r="BN596" s="52" t="str">
        <f aca="false">IF(OR(COUNT(G596:I1595)=0,AND('Choix pédagogiques'!$C$3&lt;&gt;1,'Choix pédagogiques'!$C$3&lt;&gt;2)),"",IF(AND(OR('Choix pédagogiques'!$C$3=1,'Choix pédagogiques'!$C$3=2),AND($G596&lt;&gt;"",$H596&lt;&gt;"",$I596&lt;&gt;"")),1,0))</f>
        <v/>
      </c>
      <c r="BO596" s="52" t="str">
        <f aca="false">IF(OR(COUNT(B596:D1595)=0,COUNT(G596:I1595)=0,'Choix pédagogiques'!C$3&lt;&gt;3),"",IF(AND('Choix pédagogiques'!$C$3=3,$B596&lt;&gt;"",$C596&lt;&gt;"",$D596&lt;&gt;"",$G596&lt;&gt;"",$H596&lt;&gt;"",$I596&lt;&gt;""),1,0))</f>
        <v/>
      </c>
      <c r="BR596" s="52" t="n">
        <v>418</v>
      </c>
      <c r="BS596" s="52" t="n">
        <v>1510</v>
      </c>
    </row>
    <row r="597" s="54" customFormat="true" ht="18" hidden="false" customHeight="true" outlineLevel="0" collapsed="false">
      <c r="A597" s="57" t="s">
        <v>1125</v>
      </c>
      <c r="B597" s="51"/>
      <c r="C597" s="51"/>
      <c r="D597" s="51"/>
      <c r="E597" s="51"/>
      <c r="F597" s="57" t="s">
        <v>1126</v>
      </c>
      <c r="G597" s="51"/>
      <c r="H597" s="51"/>
      <c r="I597" s="51"/>
      <c r="J597" s="51"/>
      <c r="K597" s="52" t="str">
        <f aca="false">IF($A597&lt;&gt;"",$A597,"")</f>
        <v>Apprenant 585</v>
      </c>
      <c r="L597" s="53" t="str">
        <f aca="false">IF(AND($B597&lt;&gt;"",$C597&lt;&gt;""),$C597-$B597,"")</f>
        <v/>
      </c>
      <c r="M597" s="53" t="str">
        <f aca="false">IF(AND($B597&lt;&gt;"",$D597&lt;&gt;""),$D597-$B597,"")</f>
        <v/>
      </c>
      <c r="N597" s="53" t="str">
        <f aca="false">IF(AND($C597&lt;&gt;"",$D597&lt;&gt;""),$D597-$C597,"")</f>
        <v/>
      </c>
      <c r="O597" s="53" t="str">
        <f aca="false">IF($E597&lt;&gt;"",$E597,"")</f>
        <v/>
      </c>
      <c r="P597" s="52" t="str">
        <f aca="false">IF($F597&lt;&gt;"",$F597,"")</f>
        <v>Apprenant 585 ou 585'</v>
      </c>
      <c r="Q597" s="53" t="str">
        <f aca="false">IF(AND($G597&lt;&gt;"",$H597&lt;&gt;""),$H597-$G597,"")</f>
        <v/>
      </c>
      <c r="R597" s="53" t="str">
        <f aca="false">IF(AND($G597&lt;&gt;"",$I597&lt;&gt;""),$I597-$G597,"")</f>
        <v/>
      </c>
      <c r="S597" s="53" t="str">
        <f aca="false">IF(AND($H597&lt;&gt;"",$I597&lt;&gt;""),$I597-$H597,"")</f>
        <v/>
      </c>
      <c r="T597" s="53" t="str">
        <f aca="false">IF($J597&lt;&gt;"",$J597,"")</f>
        <v/>
      </c>
      <c r="V597" s="52" t="str">
        <f aca="false">IF($A597&lt;&gt;"",$A597,"")</f>
        <v>Apprenant 585</v>
      </c>
      <c r="W597" s="53" t="str">
        <f aca="false">IF(AND(OR('Choix pédagogiques'!$C$3=1,'Choix pédagogiques'!$C$3=2),$BM597=1),B597,IF(AND('Choix pédagogiques'!$C$3=3,$BO597=1),B597,""))</f>
        <v/>
      </c>
      <c r="X597" s="53" t="str">
        <f aca="false">IF(AND(OR('Choix pédagogiques'!$C$3=1,'Choix pédagogiques'!$C$3=2),$BM597=1),C597,IF(AND('Choix pédagogiques'!$C$3=3,$BO597=1),C597,""))</f>
        <v/>
      </c>
      <c r="Y597" s="53" t="str">
        <f aca="false">IF(AND(OR('Choix pédagogiques'!$C$3=1,'Choix pédagogiques'!$C$3=2),$BM597=1),D597,IF(AND('Choix pédagogiques'!$C$3=3,$BO597=1),D597,""))</f>
        <v/>
      </c>
      <c r="Z597" s="53" t="str">
        <f aca="false">IF($E597&lt;&gt;"",$E597,"")</f>
        <v/>
      </c>
      <c r="AA597" s="52" t="str">
        <f aca="false">IF($F597&lt;&gt;"",$F597,"")</f>
        <v>Apprenant 585 ou 585'</v>
      </c>
      <c r="AB597" s="53" t="str">
        <f aca="false">IF(AND(OR('Choix pédagogiques'!$C$3=1,'Choix pédagogiques'!$C$3=2),$BN597=1),G597,IF(AND('Choix pédagogiques'!$C$3=3,$BO597=1),G597,""))</f>
        <v/>
      </c>
      <c r="AC597" s="53" t="str">
        <f aca="false">IF(AND(OR('Choix pédagogiques'!$C$3=1,'Choix pédagogiques'!$C$3=2),$BN597=1),H597,IF(AND('Choix pédagogiques'!$C$3=3,$BO597=1),H597,""))</f>
        <v/>
      </c>
      <c r="AD597" s="53" t="str">
        <f aca="false">IF(AND(OR('Choix pédagogiques'!$C$3=1,'Choix pédagogiques'!$C$3=2),$BN597=1),I597,IF(AND('Choix pédagogiques'!$C$3=3,$BO597=1),I597,""))</f>
        <v/>
      </c>
      <c r="AE597" s="53" t="str">
        <f aca="false">IF($J597&lt;&gt;"",$J597,"")</f>
        <v/>
      </c>
      <c r="AF597" s="52" t="str">
        <f aca="false">IF($A597&lt;&gt;"",$A597,"")</f>
        <v>Apprenant 585</v>
      </c>
      <c r="AG597" s="53" t="str">
        <f aca="false">IF(AND($W597&lt;&gt;"",$X597&lt;&gt;""),$X597-$W597,"")</f>
        <v/>
      </c>
      <c r="AH597" s="53" t="str">
        <f aca="false">IF(AND($W597&lt;&gt;"",$Y597&lt;&gt;""),$Y597-$W597,"")</f>
        <v/>
      </c>
      <c r="AI597" s="53" t="str">
        <f aca="false">IF(AND($X597&lt;&gt;"",$Y597&lt;&gt;""),$Y597-$X597,"")</f>
        <v/>
      </c>
      <c r="AJ597" s="53" t="str">
        <f aca="false">IF($E597&lt;&gt;"",$E597,"")</f>
        <v/>
      </c>
      <c r="AK597" s="52" t="str">
        <f aca="false">IF($F597&lt;&gt;"",$F597,"")</f>
        <v>Apprenant 585 ou 585'</v>
      </c>
      <c r="AL597" s="53" t="str">
        <f aca="false">IF(AND($AB597&lt;&gt;"",$AC597&lt;&gt;""),$AC597-$AB597,"")</f>
        <v/>
      </c>
      <c r="AM597" s="53" t="str">
        <f aca="false">IF(AND($AB597&lt;&gt;"",$AD597&lt;&gt;""),$AD597-$AB597,"")</f>
        <v/>
      </c>
      <c r="AN597" s="53" t="str">
        <f aca="false">IF(AND($AC597&lt;&gt;"",$AD597&lt;&gt;""),$AD597-$AC597,"")</f>
        <v/>
      </c>
      <c r="AO597" s="53" t="str">
        <f aca="false">IF($J597&lt;&gt;"",$J597,"")</f>
        <v/>
      </c>
      <c r="AQ597" s="52" t="str">
        <f aca="false">IF($A597&lt;&gt;"",$A597,"")</f>
        <v>Apprenant 585</v>
      </c>
      <c r="AR597" s="55" t="str">
        <f aca="false">IF(AND('Choix pédagogiques'!$C$4&lt;&gt;"?",'Choix pédagogiques'!$C$5&lt;&gt;"?",W597&lt;&gt;""),(W597-'Choix pédagogiques'!$C$4)/('Choix pédagogiques'!$C$5-'Choix pédagogiques'!$C$4),"")</f>
        <v/>
      </c>
      <c r="AS597" s="55" t="str">
        <f aca="false">IF(AND('Choix pédagogiques'!$C$4&lt;&gt;"?",'Choix pédagogiques'!$C$5&lt;&gt;"?",X597&lt;&gt;""),(X597-'Choix pédagogiques'!$C$4)/('Choix pédagogiques'!$C$5-'Choix pédagogiques'!$C$4),"")</f>
        <v/>
      </c>
      <c r="AT597" s="55" t="str">
        <f aca="false">IF(AND('Choix pédagogiques'!$C$4&lt;&gt;"?",'Choix pédagogiques'!$C$5&lt;&gt;"?",Y597&lt;&gt;""),(Y597-'Choix pédagogiques'!$C$4)/('Choix pédagogiques'!$C$5-'Choix pédagogiques'!$C$4),"")</f>
        <v/>
      </c>
      <c r="AU597" s="53" t="str">
        <f aca="false">IF($E597&lt;&gt;"",$E597,"")</f>
        <v/>
      </c>
      <c r="AV597" s="52" t="str">
        <f aca="false">IF($F597&lt;&gt;"",$F597,"")</f>
        <v>Apprenant 585 ou 585'</v>
      </c>
      <c r="AW597" s="55" t="str">
        <f aca="false">IF(AND('Choix pédagogiques'!$C$4&lt;&gt;"?",'Choix pédagogiques'!$C$5&lt;&gt;"?",AB597&lt;&gt;""),(AB597-'Choix pédagogiques'!$C$4)/('Choix pédagogiques'!$C$5-'Choix pédagogiques'!$C$4),"")</f>
        <v/>
      </c>
      <c r="AX597" s="55" t="str">
        <f aca="false">IF(AND('Choix pédagogiques'!$C$4&lt;&gt;"?",'Choix pédagogiques'!$C$5&lt;&gt;"?",AC597&lt;&gt;""),(AC597-'Choix pédagogiques'!$C$4)/('Choix pédagogiques'!$C$5-'Choix pédagogiques'!$C$4),"")</f>
        <v/>
      </c>
      <c r="AY597" s="55" t="str">
        <f aca="false">IF(AND('Choix pédagogiques'!$C$4&lt;&gt;"?",'Choix pédagogiques'!$C$5&lt;&gt;"?",AD597&lt;&gt;""),(AD597-'Choix pédagogiques'!$C$4)/('Choix pédagogiques'!$C$5-'Choix pédagogiques'!$C$4),"")</f>
        <v/>
      </c>
      <c r="AZ597" s="53" t="str">
        <f aca="false">IF($J597&lt;&gt;"",$J597,"")</f>
        <v/>
      </c>
      <c r="BA597" s="52" t="str">
        <f aca="false">IF($A597&lt;&gt;"",$A597,"")</f>
        <v>Apprenant 585</v>
      </c>
      <c r="BB597" s="55" t="str">
        <f aca="false">IF(AND($AR597&lt;&gt;"",$AS597&lt;&gt;""),$AS597-$AR597,"")</f>
        <v/>
      </c>
      <c r="BC597" s="55" t="str">
        <f aca="false">IF(AND($AR597&lt;&gt;"",$AT597&lt;&gt;""),$AT597-$AR597,"")</f>
        <v/>
      </c>
      <c r="BD597" s="55" t="str">
        <f aca="false">IF(AND($AS597&lt;&gt;"",$AT597&lt;&gt;""),$AT597-$AS597,"")</f>
        <v/>
      </c>
      <c r="BE597" s="53" t="str">
        <f aca="false">IF($E597&lt;&gt;"",$E597,"")</f>
        <v/>
      </c>
      <c r="BF597" s="52" t="str">
        <f aca="false">IF($F597&lt;&gt;"",$F597,"")</f>
        <v>Apprenant 585 ou 585'</v>
      </c>
      <c r="BG597" s="55" t="str">
        <f aca="false">IF(AND($AW597&lt;&gt;"",$AX597&lt;&gt;""),$AX597-$AW597,"")</f>
        <v/>
      </c>
      <c r="BH597" s="55" t="str">
        <f aca="false">IF(AND($AW597&lt;&gt;"",$AY597&lt;&gt;""),$AY597-$AW597,"")</f>
        <v/>
      </c>
      <c r="BI597" s="55" t="str">
        <f aca="false">IF(AND($AX597&lt;&gt;"",$AY597&lt;&gt;""),$AY597-$AX597,"")</f>
        <v/>
      </c>
      <c r="BJ597" s="53" t="str">
        <f aca="false">IF($J597&lt;&gt;"",$J597,"")</f>
        <v/>
      </c>
      <c r="BL597" s="52"/>
      <c r="BM597" s="52" t="str">
        <f aca="false">IF(OR(COUNT(B597:D1596)=0,AND('Choix pédagogiques'!$C$3&lt;&gt;1,'Choix pédagogiques'!$C$3&lt;&gt;2)),"",IF(AND(OR('Choix pédagogiques'!$C$3=1,'Choix pédagogiques'!$C$3=2),$B597&lt;&gt;"",$C597&lt;&gt;"",$D597&lt;&gt;""),1,0))</f>
        <v/>
      </c>
      <c r="BN597" s="52" t="str">
        <f aca="false">IF(OR(COUNT(G597:I1596)=0,AND('Choix pédagogiques'!$C$3&lt;&gt;1,'Choix pédagogiques'!$C$3&lt;&gt;2)),"",IF(AND(OR('Choix pédagogiques'!$C$3=1,'Choix pédagogiques'!$C$3=2),AND($G597&lt;&gt;"",$H597&lt;&gt;"",$I597&lt;&gt;"")),1,0))</f>
        <v/>
      </c>
      <c r="BO597" s="52" t="str">
        <f aca="false">IF(OR(COUNT(B597:D1596)=0,COUNT(G597:I1596)=0,'Choix pédagogiques'!C$3&lt;&gt;3),"",IF(AND('Choix pédagogiques'!$C$3=3,$B597&lt;&gt;"",$C597&lt;&gt;"",$D597&lt;&gt;"",$G597&lt;&gt;"",$H597&lt;&gt;"",$I597&lt;&gt;""),1,0))</f>
        <v/>
      </c>
      <c r="BR597" s="52" t="n">
        <v>916</v>
      </c>
      <c r="BS597" s="52" t="n">
        <v>1393</v>
      </c>
    </row>
    <row r="598" s="54" customFormat="true" ht="18" hidden="false" customHeight="true" outlineLevel="0" collapsed="false">
      <c r="A598" s="57" t="s">
        <v>1127</v>
      </c>
      <c r="B598" s="51"/>
      <c r="C598" s="51"/>
      <c r="D598" s="51"/>
      <c r="E598" s="51"/>
      <c r="F598" s="57" t="s">
        <v>1128</v>
      </c>
      <c r="G598" s="51"/>
      <c r="H598" s="51"/>
      <c r="I598" s="51"/>
      <c r="J598" s="51"/>
      <c r="K598" s="52" t="str">
        <f aca="false">IF($A598&lt;&gt;"",$A598,"")</f>
        <v>Apprenant 586</v>
      </c>
      <c r="L598" s="53" t="str">
        <f aca="false">IF(AND($B598&lt;&gt;"",$C598&lt;&gt;""),$C598-$B598,"")</f>
        <v/>
      </c>
      <c r="M598" s="53" t="str">
        <f aca="false">IF(AND($B598&lt;&gt;"",$D598&lt;&gt;""),$D598-$B598,"")</f>
        <v/>
      </c>
      <c r="N598" s="53" t="str">
        <f aca="false">IF(AND($C598&lt;&gt;"",$D598&lt;&gt;""),$D598-$C598,"")</f>
        <v/>
      </c>
      <c r="O598" s="53" t="str">
        <f aca="false">IF($E598&lt;&gt;"",$E598,"")</f>
        <v/>
      </c>
      <c r="P598" s="52" t="str">
        <f aca="false">IF($F598&lt;&gt;"",$F598,"")</f>
        <v>Apprenant 586 ou 586'</v>
      </c>
      <c r="Q598" s="53" t="str">
        <f aca="false">IF(AND($G598&lt;&gt;"",$H598&lt;&gt;""),$H598-$G598,"")</f>
        <v/>
      </c>
      <c r="R598" s="53" t="str">
        <f aca="false">IF(AND($G598&lt;&gt;"",$I598&lt;&gt;""),$I598-$G598,"")</f>
        <v/>
      </c>
      <c r="S598" s="53" t="str">
        <f aca="false">IF(AND($H598&lt;&gt;"",$I598&lt;&gt;""),$I598-$H598,"")</f>
        <v/>
      </c>
      <c r="T598" s="53" t="str">
        <f aca="false">IF($J598&lt;&gt;"",$J598,"")</f>
        <v/>
      </c>
      <c r="V598" s="52" t="str">
        <f aca="false">IF($A598&lt;&gt;"",$A598,"")</f>
        <v>Apprenant 586</v>
      </c>
      <c r="W598" s="53" t="str">
        <f aca="false">IF(AND(OR('Choix pédagogiques'!$C$3=1,'Choix pédagogiques'!$C$3=2),$BM598=1),B598,IF(AND('Choix pédagogiques'!$C$3=3,$BO598=1),B598,""))</f>
        <v/>
      </c>
      <c r="X598" s="53" t="str">
        <f aca="false">IF(AND(OR('Choix pédagogiques'!$C$3=1,'Choix pédagogiques'!$C$3=2),$BM598=1),C598,IF(AND('Choix pédagogiques'!$C$3=3,$BO598=1),C598,""))</f>
        <v/>
      </c>
      <c r="Y598" s="53" t="str">
        <f aca="false">IF(AND(OR('Choix pédagogiques'!$C$3=1,'Choix pédagogiques'!$C$3=2),$BM598=1),D598,IF(AND('Choix pédagogiques'!$C$3=3,$BO598=1),D598,""))</f>
        <v/>
      </c>
      <c r="Z598" s="53" t="str">
        <f aca="false">IF($E598&lt;&gt;"",$E598,"")</f>
        <v/>
      </c>
      <c r="AA598" s="52" t="str">
        <f aca="false">IF($F598&lt;&gt;"",$F598,"")</f>
        <v>Apprenant 586 ou 586'</v>
      </c>
      <c r="AB598" s="53" t="str">
        <f aca="false">IF(AND(OR('Choix pédagogiques'!$C$3=1,'Choix pédagogiques'!$C$3=2),$BN598=1),G598,IF(AND('Choix pédagogiques'!$C$3=3,$BO598=1),G598,""))</f>
        <v/>
      </c>
      <c r="AC598" s="53" t="str">
        <f aca="false">IF(AND(OR('Choix pédagogiques'!$C$3=1,'Choix pédagogiques'!$C$3=2),$BN598=1),H598,IF(AND('Choix pédagogiques'!$C$3=3,$BO598=1),H598,""))</f>
        <v/>
      </c>
      <c r="AD598" s="53" t="str">
        <f aca="false">IF(AND(OR('Choix pédagogiques'!$C$3=1,'Choix pédagogiques'!$C$3=2),$BN598=1),I598,IF(AND('Choix pédagogiques'!$C$3=3,$BO598=1),I598,""))</f>
        <v/>
      </c>
      <c r="AE598" s="53" t="str">
        <f aca="false">IF($J598&lt;&gt;"",$J598,"")</f>
        <v/>
      </c>
      <c r="AF598" s="52" t="str">
        <f aca="false">IF($A598&lt;&gt;"",$A598,"")</f>
        <v>Apprenant 586</v>
      </c>
      <c r="AG598" s="53" t="str">
        <f aca="false">IF(AND($W598&lt;&gt;"",$X598&lt;&gt;""),$X598-$W598,"")</f>
        <v/>
      </c>
      <c r="AH598" s="53" t="str">
        <f aca="false">IF(AND($W598&lt;&gt;"",$Y598&lt;&gt;""),$Y598-$W598,"")</f>
        <v/>
      </c>
      <c r="AI598" s="53" t="str">
        <f aca="false">IF(AND($X598&lt;&gt;"",$Y598&lt;&gt;""),$Y598-$X598,"")</f>
        <v/>
      </c>
      <c r="AJ598" s="53" t="str">
        <f aca="false">IF($E598&lt;&gt;"",$E598,"")</f>
        <v/>
      </c>
      <c r="AK598" s="52" t="str">
        <f aca="false">IF($F598&lt;&gt;"",$F598,"")</f>
        <v>Apprenant 586 ou 586'</v>
      </c>
      <c r="AL598" s="53" t="str">
        <f aca="false">IF(AND($AB598&lt;&gt;"",$AC598&lt;&gt;""),$AC598-$AB598,"")</f>
        <v/>
      </c>
      <c r="AM598" s="53" t="str">
        <f aca="false">IF(AND($AB598&lt;&gt;"",$AD598&lt;&gt;""),$AD598-$AB598,"")</f>
        <v/>
      </c>
      <c r="AN598" s="53" t="str">
        <f aca="false">IF(AND($AC598&lt;&gt;"",$AD598&lt;&gt;""),$AD598-$AC598,"")</f>
        <v/>
      </c>
      <c r="AO598" s="53" t="str">
        <f aca="false">IF($J598&lt;&gt;"",$J598,"")</f>
        <v/>
      </c>
      <c r="AQ598" s="52" t="str">
        <f aca="false">IF($A598&lt;&gt;"",$A598,"")</f>
        <v>Apprenant 586</v>
      </c>
      <c r="AR598" s="55" t="str">
        <f aca="false">IF(AND('Choix pédagogiques'!$C$4&lt;&gt;"?",'Choix pédagogiques'!$C$5&lt;&gt;"?",W598&lt;&gt;""),(W598-'Choix pédagogiques'!$C$4)/('Choix pédagogiques'!$C$5-'Choix pédagogiques'!$C$4),"")</f>
        <v/>
      </c>
      <c r="AS598" s="55" t="str">
        <f aca="false">IF(AND('Choix pédagogiques'!$C$4&lt;&gt;"?",'Choix pédagogiques'!$C$5&lt;&gt;"?",X598&lt;&gt;""),(X598-'Choix pédagogiques'!$C$4)/('Choix pédagogiques'!$C$5-'Choix pédagogiques'!$C$4),"")</f>
        <v/>
      </c>
      <c r="AT598" s="55" t="str">
        <f aca="false">IF(AND('Choix pédagogiques'!$C$4&lt;&gt;"?",'Choix pédagogiques'!$C$5&lt;&gt;"?",Y598&lt;&gt;""),(Y598-'Choix pédagogiques'!$C$4)/('Choix pédagogiques'!$C$5-'Choix pédagogiques'!$C$4),"")</f>
        <v/>
      </c>
      <c r="AU598" s="53" t="str">
        <f aca="false">IF($E598&lt;&gt;"",$E598,"")</f>
        <v/>
      </c>
      <c r="AV598" s="52" t="str">
        <f aca="false">IF($F598&lt;&gt;"",$F598,"")</f>
        <v>Apprenant 586 ou 586'</v>
      </c>
      <c r="AW598" s="55" t="str">
        <f aca="false">IF(AND('Choix pédagogiques'!$C$4&lt;&gt;"?",'Choix pédagogiques'!$C$5&lt;&gt;"?",AB598&lt;&gt;""),(AB598-'Choix pédagogiques'!$C$4)/('Choix pédagogiques'!$C$5-'Choix pédagogiques'!$C$4),"")</f>
        <v/>
      </c>
      <c r="AX598" s="55" t="str">
        <f aca="false">IF(AND('Choix pédagogiques'!$C$4&lt;&gt;"?",'Choix pédagogiques'!$C$5&lt;&gt;"?",AC598&lt;&gt;""),(AC598-'Choix pédagogiques'!$C$4)/('Choix pédagogiques'!$C$5-'Choix pédagogiques'!$C$4),"")</f>
        <v/>
      </c>
      <c r="AY598" s="55" t="str">
        <f aca="false">IF(AND('Choix pédagogiques'!$C$4&lt;&gt;"?",'Choix pédagogiques'!$C$5&lt;&gt;"?",AD598&lt;&gt;""),(AD598-'Choix pédagogiques'!$C$4)/('Choix pédagogiques'!$C$5-'Choix pédagogiques'!$C$4),"")</f>
        <v/>
      </c>
      <c r="AZ598" s="53" t="str">
        <f aca="false">IF($J598&lt;&gt;"",$J598,"")</f>
        <v/>
      </c>
      <c r="BA598" s="52" t="str">
        <f aca="false">IF($A598&lt;&gt;"",$A598,"")</f>
        <v>Apprenant 586</v>
      </c>
      <c r="BB598" s="55" t="str">
        <f aca="false">IF(AND($AR598&lt;&gt;"",$AS598&lt;&gt;""),$AS598-$AR598,"")</f>
        <v/>
      </c>
      <c r="BC598" s="55" t="str">
        <f aca="false">IF(AND($AR598&lt;&gt;"",$AT598&lt;&gt;""),$AT598-$AR598,"")</f>
        <v/>
      </c>
      <c r="BD598" s="55" t="str">
        <f aca="false">IF(AND($AS598&lt;&gt;"",$AT598&lt;&gt;""),$AT598-$AS598,"")</f>
        <v/>
      </c>
      <c r="BE598" s="53" t="str">
        <f aca="false">IF($E598&lt;&gt;"",$E598,"")</f>
        <v/>
      </c>
      <c r="BF598" s="52" t="str">
        <f aca="false">IF($F598&lt;&gt;"",$F598,"")</f>
        <v>Apprenant 586 ou 586'</v>
      </c>
      <c r="BG598" s="55" t="str">
        <f aca="false">IF(AND($AW598&lt;&gt;"",$AX598&lt;&gt;""),$AX598-$AW598,"")</f>
        <v/>
      </c>
      <c r="BH598" s="55" t="str">
        <f aca="false">IF(AND($AW598&lt;&gt;"",$AY598&lt;&gt;""),$AY598-$AW598,"")</f>
        <v/>
      </c>
      <c r="BI598" s="55" t="str">
        <f aca="false">IF(AND($AX598&lt;&gt;"",$AY598&lt;&gt;""),$AY598-$AX598,"")</f>
        <v/>
      </c>
      <c r="BJ598" s="53" t="str">
        <f aca="false">IF($J598&lt;&gt;"",$J598,"")</f>
        <v/>
      </c>
      <c r="BL598" s="52"/>
      <c r="BM598" s="52" t="str">
        <f aca="false">IF(OR(COUNT(B598:D1597)=0,AND('Choix pédagogiques'!$C$3&lt;&gt;1,'Choix pédagogiques'!$C$3&lt;&gt;2)),"",IF(AND(OR('Choix pédagogiques'!$C$3=1,'Choix pédagogiques'!$C$3=2),$B598&lt;&gt;"",$C598&lt;&gt;"",$D598&lt;&gt;""),1,0))</f>
        <v/>
      </c>
      <c r="BN598" s="52" t="str">
        <f aca="false">IF(OR(COUNT(G598:I1597)=0,AND('Choix pédagogiques'!$C$3&lt;&gt;1,'Choix pédagogiques'!$C$3&lt;&gt;2)),"",IF(AND(OR('Choix pédagogiques'!$C$3=1,'Choix pédagogiques'!$C$3=2),AND($G598&lt;&gt;"",$H598&lt;&gt;"",$I598&lt;&gt;"")),1,0))</f>
        <v/>
      </c>
      <c r="BO598" s="52" t="str">
        <f aca="false">IF(OR(COUNT(B598:D1597)=0,COUNT(G598:I1597)=0,'Choix pédagogiques'!C$3&lt;&gt;3),"",IF(AND('Choix pédagogiques'!$C$3=3,$B598&lt;&gt;"",$C598&lt;&gt;"",$D598&lt;&gt;"",$G598&lt;&gt;"",$H598&lt;&gt;"",$I598&lt;&gt;""),1,0))</f>
        <v/>
      </c>
      <c r="BR598" s="52" t="n">
        <v>459</v>
      </c>
      <c r="BS598" s="52" t="n">
        <v>1076</v>
      </c>
    </row>
    <row r="599" s="54" customFormat="true" ht="18" hidden="false" customHeight="true" outlineLevel="0" collapsed="false">
      <c r="A599" s="57" t="s">
        <v>1129</v>
      </c>
      <c r="B599" s="51"/>
      <c r="C599" s="51"/>
      <c r="D599" s="51"/>
      <c r="E599" s="51"/>
      <c r="F599" s="57" t="s">
        <v>1130</v>
      </c>
      <c r="G599" s="51"/>
      <c r="H599" s="51"/>
      <c r="I599" s="51"/>
      <c r="J599" s="51"/>
      <c r="K599" s="52" t="str">
        <f aca="false">IF($A599&lt;&gt;"",$A599,"")</f>
        <v>Apprenant 587</v>
      </c>
      <c r="L599" s="53" t="str">
        <f aca="false">IF(AND($B599&lt;&gt;"",$C599&lt;&gt;""),$C599-$B599,"")</f>
        <v/>
      </c>
      <c r="M599" s="53" t="str">
        <f aca="false">IF(AND($B599&lt;&gt;"",$D599&lt;&gt;""),$D599-$B599,"")</f>
        <v/>
      </c>
      <c r="N599" s="53" t="str">
        <f aca="false">IF(AND($C599&lt;&gt;"",$D599&lt;&gt;""),$D599-$C599,"")</f>
        <v/>
      </c>
      <c r="O599" s="53" t="str">
        <f aca="false">IF($E599&lt;&gt;"",$E599,"")</f>
        <v/>
      </c>
      <c r="P599" s="52" t="str">
        <f aca="false">IF($F599&lt;&gt;"",$F599,"")</f>
        <v>Apprenant 587 ou 587'</v>
      </c>
      <c r="Q599" s="53" t="str">
        <f aca="false">IF(AND($G599&lt;&gt;"",$H599&lt;&gt;""),$H599-$G599,"")</f>
        <v/>
      </c>
      <c r="R599" s="53" t="str">
        <f aca="false">IF(AND($G599&lt;&gt;"",$I599&lt;&gt;""),$I599-$G599,"")</f>
        <v/>
      </c>
      <c r="S599" s="53" t="str">
        <f aca="false">IF(AND($H599&lt;&gt;"",$I599&lt;&gt;""),$I599-$H599,"")</f>
        <v/>
      </c>
      <c r="T599" s="53" t="str">
        <f aca="false">IF($J599&lt;&gt;"",$J599,"")</f>
        <v/>
      </c>
      <c r="V599" s="52" t="str">
        <f aca="false">IF($A599&lt;&gt;"",$A599,"")</f>
        <v>Apprenant 587</v>
      </c>
      <c r="W599" s="53" t="str">
        <f aca="false">IF(AND(OR('Choix pédagogiques'!$C$3=1,'Choix pédagogiques'!$C$3=2),$BM599=1),B599,IF(AND('Choix pédagogiques'!$C$3=3,$BO599=1),B599,""))</f>
        <v/>
      </c>
      <c r="X599" s="53" t="str">
        <f aca="false">IF(AND(OR('Choix pédagogiques'!$C$3=1,'Choix pédagogiques'!$C$3=2),$BM599=1),C599,IF(AND('Choix pédagogiques'!$C$3=3,$BO599=1),C599,""))</f>
        <v/>
      </c>
      <c r="Y599" s="53" t="str">
        <f aca="false">IF(AND(OR('Choix pédagogiques'!$C$3=1,'Choix pédagogiques'!$C$3=2),$BM599=1),D599,IF(AND('Choix pédagogiques'!$C$3=3,$BO599=1),D599,""))</f>
        <v/>
      </c>
      <c r="Z599" s="53" t="str">
        <f aca="false">IF($E599&lt;&gt;"",$E599,"")</f>
        <v/>
      </c>
      <c r="AA599" s="52" t="str">
        <f aca="false">IF($F599&lt;&gt;"",$F599,"")</f>
        <v>Apprenant 587 ou 587'</v>
      </c>
      <c r="AB599" s="53" t="str">
        <f aca="false">IF(AND(OR('Choix pédagogiques'!$C$3=1,'Choix pédagogiques'!$C$3=2),$BN599=1),G599,IF(AND('Choix pédagogiques'!$C$3=3,$BO599=1),G599,""))</f>
        <v/>
      </c>
      <c r="AC599" s="53" t="str">
        <f aca="false">IF(AND(OR('Choix pédagogiques'!$C$3=1,'Choix pédagogiques'!$C$3=2),$BN599=1),H599,IF(AND('Choix pédagogiques'!$C$3=3,$BO599=1),H599,""))</f>
        <v/>
      </c>
      <c r="AD599" s="53" t="str">
        <f aca="false">IF(AND(OR('Choix pédagogiques'!$C$3=1,'Choix pédagogiques'!$C$3=2),$BN599=1),I599,IF(AND('Choix pédagogiques'!$C$3=3,$BO599=1),I599,""))</f>
        <v/>
      </c>
      <c r="AE599" s="53" t="str">
        <f aca="false">IF($J599&lt;&gt;"",$J599,"")</f>
        <v/>
      </c>
      <c r="AF599" s="52" t="str">
        <f aca="false">IF($A599&lt;&gt;"",$A599,"")</f>
        <v>Apprenant 587</v>
      </c>
      <c r="AG599" s="53" t="str">
        <f aca="false">IF(AND($W599&lt;&gt;"",$X599&lt;&gt;""),$X599-$W599,"")</f>
        <v/>
      </c>
      <c r="AH599" s="53" t="str">
        <f aca="false">IF(AND($W599&lt;&gt;"",$Y599&lt;&gt;""),$Y599-$W599,"")</f>
        <v/>
      </c>
      <c r="AI599" s="53" t="str">
        <f aca="false">IF(AND($X599&lt;&gt;"",$Y599&lt;&gt;""),$Y599-$X599,"")</f>
        <v/>
      </c>
      <c r="AJ599" s="53" t="str">
        <f aca="false">IF($E599&lt;&gt;"",$E599,"")</f>
        <v/>
      </c>
      <c r="AK599" s="52" t="str">
        <f aca="false">IF($F599&lt;&gt;"",$F599,"")</f>
        <v>Apprenant 587 ou 587'</v>
      </c>
      <c r="AL599" s="53" t="str">
        <f aca="false">IF(AND($AB599&lt;&gt;"",$AC599&lt;&gt;""),$AC599-$AB599,"")</f>
        <v/>
      </c>
      <c r="AM599" s="53" t="str">
        <f aca="false">IF(AND($AB599&lt;&gt;"",$AD599&lt;&gt;""),$AD599-$AB599,"")</f>
        <v/>
      </c>
      <c r="AN599" s="53" t="str">
        <f aca="false">IF(AND($AC599&lt;&gt;"",$AD599&lt;&gt;""),$AD599-$AC599,"")</f>
        <v/>
      </c>
      <c r="AO599" s="53" t="str">
        <f aca="false">IF($J599&lt;&gt;"",$J599,"")</f>
        <v/>
      </c>
      <c r="AQ599" s="52" t="str">
        <f aca="false">IF($A599&lt;&gt;"",$A599,"")</f>
        <v>Apprenant 587</v>
      </c>
      <c r="AR599" s="55" t="str">
        <f aca="false">IF(AND('Choix pédagogiques'!$C$4&lt;&gt;"?",'Choix pédagogiques'!$C$5&lt;&gt;"?",W599&lt;&gt;""),(W599-'Choix pédagogiques'!$C$4)/('Choix pédagogiques'!$C$5-'Choix pédagogiques'!$C$4),"")</f>
        <v/>
      </c>
      <c r="AS599" s="55" t="str">
        <f aca="false">IF(AND('Choix pédagogiques'!$C$4&lt;&gt;"?",'Choix pédagogiques'!$C$5&lt;&gt;"?",X599&lt;&gt;""),(X599-'Choix pédagogiques'!$C$4)/('Choix pédagogiques'!$C$5-'Choix pédagogiques'!$C$4),"")</f>
        <v/>
      </c>
      <c r="AT599" s="55" t="str">
        <f aca="false">IF(AND('Choix pédagogiques'!$C$4&lt;&gt;"?",'Choix pédagogiques'!$C$5&lt;&gt;"?",Y599&lt;&gt;""),(Y599-'Choix pédagogiques'!$C$4)/('Choix pédagogiques'!$C$5-'Choix pédagogiques'!$C$4),"")</f>
        <v/>
      </c>
      <c r="AU599" s="53" t="str">
        <f aca="false">IF($E599&lt;&gt;"",$E599,"")</f>
        <v/>
      </c>
      <c r="AV599" s="52" t="str">
        <f aca="false">IF($F599&lt;&gt;"",$F599,"")</f>
        <v>Apprenant 587 ou 587'</v>
      </c>
      <c r="AW599" s="55" t="str">
        <f aca="false">IF(AND('Choix pédagogiques'!$C$4&lt;&gt;"?",'Choix pédagogiques'!$C$5&lt;&gt;"?",AB599&lt;&gt;""),(AB599-'Choix pédagogiques'!$C$4)/('Choix pédagogiques'!$C$5-'Choix pédagogiques'!$C$4),"")</f>
        <v/>
      </c>
      <c r="AX599" s="55" t="str">
        <f aca="false">IF(AND('Choix pédagogiques'!$C$4&lt;&gt;"?",'Choix pédagogiques'!$C$5&lt;&gt;"?",AC599&lt;&gt;""),(AC599-'Choix pédagogiques'!$C$4)/('Choix pédagogiques'!$C$5-'Choix pédagogiques'!$C$4),"")</f>
        <v/>
      </c>
      <c r="AY599" s="55" t="str">
        <f aca="false">IF(AND('Choix pédagogiques'!$C$4&lt;&gt;"?",'Choix pédagogiques'!$C$5&lt;&gt;"?",AD599&lt;&gt;""),(AD599-'Choix pédagogiques'!$C$4)/('Choix pédagogiques'!$C$5-'Choix pédagogiques'!$C$4),"")</f>
        <v/>
      </c>
      <c r="AZ599" s="53" t="str">
        <f aca="false">IF($J599&lt;&gt;"",$J599,"")</f>
        <v/>
      </c>
      <c r="BA599" s="52" t="str">
        <f aca="false">IF($A599&lt;&gt;"",$A599,"")</f>
        <v>Apprenant 587</v>
      </c>
      <c r="BB599" s="55" t="str">
        <f aca="false">IF(AND($AR599&lt;&gt;"",$AS599&lt;&gt;""),$AS599-$AR599,"")</f>
        <v/>
      </c>
      <c r="BC599" s="55" t="str">
        <f aca="false">IF(AND($AR599&lt;&gt;"",$AT599&lt;&gt;""),$AT599-$AR599,"")</f>
        <v/>
      </c>
      <c r="BD599" s="55" t="str">
        <f aca="false">IF(AND($AS599&lt;&gt;"",$AT599&lt;&gt;""),$AT599-$AS599,"")</f>
        <v/>
      </c>
      <c r="BE599" s="53" t="str">
        <f aca="false">IF($E599&lt;&gt;"",$E599,"")</f>
        <v/>
      </c>
      <c r="BF599" s="52" t="str">
        <f aca="false">IF($F599&lt;&gt;"",$F599,"")</f>
        <v>Apprenant 587 ou 587'</v>
      </c>
      <c r="BG599" s="55" t="str">
        <f aca="false">IF(AND($AW599&lt;&gt;"",$AX599&lt;&gt;""),$AX599-$AW599,"")</f>
        <v/>
      </c>
      <c r="BH599" s="55" t="str">
        <f aca="false">IF(AND($AW599&lt;&gt;"",$AY599&lt;&gt;""),$AY599-$AW599,"")</f>
        <v/>
      </c>
      <c r="BI599" s="55" t="str">
        <f aca="false">IF(AND($AX599&lt;&gt;"",$AY599&lt;&gt;""),$AY599-$AX599,"")</f>
        <v/>
      </c>
      <c r="BJ599" s="53" t="str">
        <f aca="false">IF($J599&lt;&gt;"",$J599,"")</f>
        <v/>
      </c>
      <c r="BL599" s="52"/>
      <c r="BM599" s="52" t="str">
        <f aca="false">IF(OR(COUNT(B599:D1598)=0,AND('Choix pédagogiques'!$C$3&lt;&gt;1,'Choix pédagogiques'!$C$3&lt;&gt;2)),"",IF(AND(OR('Choix pédagogiques'!$C$3=1,'Choix pédagogiques'!$C$3=2),$B599&lt;&gt;"",$C599&lt;&gt;"",$D599&lt;&gt;""),1,0))</f>
        <v/>
      </c>
      <c r="BN599" s="52" t="str">
        <f aca="false">IF(OR(COUNT(G599:I1598)=0,AND('Choix pédagogiques'!$C$3&lt;&gt;1,'Choix pédagogiques'!$C$3&lt;&gt;2)),"",IF(AND(OR('Choix pédagogiques'!$C$3=1,'Choix pédagogiques'!$C$3=2),AND($G599&lt;&gt;"",$H599&lt;&gt;"",$I599&lt;&gt;"")),1,0))</f>
        <v/>
      </c>
      <c r="BO599" s="52" t="str">
        <f aca="false">IF(OR(COUNT(B599:D1598)=0,COUNT(G599:I1598)=0,'Choix pédagogiques'!C$3&lt;&gt;3),"",IF(AND('Choix pédagogiques'!$C$3=3,$B599&lt;&gt;"",$C599&lt;&gt;"",$D599&lt;&gt;"",$G599&lt;&gt;"",$H599&lt;&gt;"",$I599&lt;&gt;""),1,0))</f>
        <v/>
      </c>
      <c r="BR599" s="52" t="n">
        <v>204</v>
      </c>
      <c r="BS599" s="52" t="n">
        <v>1815</v>
      </c>
    </row>
    <row r="600" s="54" customFormat="true" ht="18" hidden="false" customHeight="true" outlineLevel="0" collapsed="false">
      <c r="A600" s="57" t="s">
        <v>1131</v>
      </c>
      <c r="B600" s="51"/>
      <c r="C600" s="51"/>
      <c r="D600" s="51"/>
      <c r="E600" s="51"/>
      <c r="F600" s="57" t="s">
        <v>1132</v>
      </c>
      <c r="G600" s="51"/>
      <c r="H600" s="51"/>
      <c r="I600" s="51"/>
      <c r="J600" s="51"/>
      <c r="K600" s="52" t="str">
        <f aca="false">IF($A600&lt;&gt;"",$A600,"")</f>
        <v>Apprenant 588</v>
      </c>
      <c r="L600" s="53" t="str">
        <f aca="false">IF(AND($B600&lt;&gt;"",$C600&lt;&gt;""),$C600-$B600,"")</f>
        <v/>
      </c>
      <c r="M600" s="53" t="str">
        <f aca="false">IF(AND($B600&lt;&gt;"",$D600&lt;&gt;""),$D600-$B600,"")</f>
        <v/>
      </c>
      <c r="N600" s="53" t="str">
        <f aca="false">IF(AND($C600&lt;&gt;"",$D600&lt;&gt;""),$D600-$C600,"")</f>
        <v/>
      </c>
      <c r="O600" s="53" t="str">
        <f aca="false">IF($E600&lt;&gt;"",$E600,"")</f>
        <v/>
      </c>
      <c r="P600" s="52" t="str">
        <f aca="false">IF($F600&lt;&gt;"",$F600,"")</f>
        <v>Apprenant 588 ou 588'</v>
      </c>
      <c r="Q600" s="53" t="str">
        <f aca="false">IF(AND($G600&lt;&gt;"",$H600&lt;&gt;""),$H600-$G600,"")</f>
        <v/>
      </c>
      <c r="R600" s="53" t="str">
        <f aca="false">IF(AND($G600&lt;&gt;"",$I600&lt;&gt;""),$I600-$G600,"")</f>
        <v/>
      </c>
      <c r="S600" s="53" t="str">
        <f aca="false">IF(AND($H600&lt;&gt;"",$I600&lt;&gt;""),$I600-$H600,"")</f>
        <v/>
      </c>
      <c r="T600" s="53" t="str">
        <f aca="false">IF($J600&lt;&gt;"",$J600,"")</f>
        <v/>
      </c>
      <c r="V600" s="52" t="str">
        <f aca="false">IF($A600&lt;&gt;"",$A600,"")</f>
        <v>Apprenant 588</v>
      </c>
      <c r="W600" s="53" t="str">
        <f aca="false">IF(AND(OR('Choix pédagogiques'!$C$3=1,'Choix pédagogiques'!$C$3=2),$BM600=1),B600,IF(AND('Choix pédagogiques'!$C$3=3,$BO600=1),B600,""))</f>
        <v/>
      </c>
      <c r="X600" s="53" t="str">
        <f aca="false">IF(AND(OR('Choix pédagogiques'!$C$3=1,'Choix pédagogiques'!$C$3=2),$BM600=1),C600,IF(AND('Choix pédagogiques'!$C$3=3,$BO600=1),C600,""))</f>
        <v/>
      </c>
      <c r="Y600" s="53" t="str">
        <f aca="false">IF(AND(OR('Choix pédagogiques'!$C$3=1,'Choix pédagogiques'!$C$3=2),$BM600=1),D600,IF(AND('Choix pédagogiques'!$C$3=3,$BO600=1),D600,""))</f>
        <v/>
      </c>
      <c r="Z600" s="53" t="str">
        <f aca="false">IF($E600&lt;&gt;"",$E600,"")</f>
        <v/>
      </c>
      <c r="AA600" s="52" t="str">
        <f aca="false">IF($F600&lt;&gt;"",$F600,"")</f>
        <v>Apprenant 588 ou 588'</v>
      </c>
      <c r="AB600" s="53" t="str">
        <f aca="false">IF(AND(OR('Choix pédagogiques'!$C$3=1,'Choix pédagogiques'!$C$3=2),$BN600=1),G600,IF(AND('Choix pédagogiques'!$C$3=3,$BO600=1),G600,""))</f>
        <v/>
      </c>
      <c r="AC600" s="53" t="str">
        <f aca="false">IF(AND(OR('Choix pédagogiques'!$C$3=1,'Choix pédagogiques'!$C$3=2),$BN600=1),H600,IF(AND('Choix pédagogiques'!$C$3=3,$BO600=1),H600,""))</f>
        <v/>
      </c>
      <c r="AD600" s="53" t="str">
        <f aca="false">IF(AND(OR('Choix pédagogiques'!$C$3=1,'Choix pédagogiques'!$C$3=2),$BN600=1),I600,IF(AND('Choix pédagogiques'!$C$3=3,$BO600=1),I600,""))</f>
        <v/>
      </c>
      <c r="AE600" s="53" t="str">
        <f aca="false">IF($J600&lt;&gt;"",$J600,"")</f>
        <v/>
      </c>
      <c r="AF600" s="52" t="str">
        <f aca="false">IF($A600&lt;&gt;"",$A600,"")</f>
        <v>Apprenant 588</v>
      </c>
      <c r="AG600" s="53" t="str">
        <f aca="false">IF(AND($W600&lt;&gt;"",$X600&lt;&gt;""),$X600-$W600,"")</f>
        <v/>
      </c>
      <c r="AH600" s="53" t="str">
        <f aca="false">IF(AND($W600&lt;&gt;"",$Y600&lt;&gt;""),$Y600-$W600,"")</f>
        <v/>
      </c>
      <c r="AI600" s="53" t="str">
        <f aca="false">IF(AND($X600&lt;&gt;"",$Y600&lt;&gt;""),$Y600-$X600,"")</f>
        <v/>
      </c>
      <c r="AJ600" s="53" t="str">
        <f aca="false">IF($E600&lt;&gt;"",$E600,"")</f>
        <v/>
      </c>
      <c r="AK600" s="52" t="str">
        <f aca="false">IF($F600&lt;&gt;"",$F600,"")</f>
        <v>Apprenant 588 ou 588'</v>
      </c>
      <c r="AL600" s="53" t="str">
        <f aca="false">IF(AND($AB600&lt;&gt;"",$AC600&lt;&gt;""),$AC600-$AB600,"")</f>
        <v/>
      </c>
      <c r="AM600" s="53" t="str">
        <f aca="false">IF(AND($AB600&lt;&gt;"",$AD600&lt;&gt;""),$AD600-$AB600,"")</f>
        <v/>
      </c>
      <c r="AN600" s="53" t="str">
        <f aca="false">IF(AND($AC600&lt;&gt;"",$AD600&lt;&gt;""),$AD600-$AC600,"")</f>
        <v/>
      </c>
      <c r="AO600" s="53" t="str">
        <f aca="false">IF($J600&lt;&gt;"",$J600,"")</f>
        <v/>
      </c>
      <c r="AQ600" s="52" t="str">
        <f aca="false">IF($A600&lt;&gt;"",$A600,"")</f>
        <v>Apprenant 588</v>
      </c>
      <c r="AR600" s="55" t="str">
        <f aca="false">IF(AND('Choix pédagogiques'!$C$4&lt;&gt;"?",'Choix pédagogiques'!$C$5&lt;&gt;"?",W600&lt;&gt;""),(W600-'Choix pédagogiques'!$C$4)/('Choix pédagogiques'!$C$5-'Choix pédagogiques'!$C$4),"")</f>
        <v/>
      </c>
      <c r="AS600" s="55" t="str">
        <f aca="false">IF(AND('Choix pédagogiques'!$C$4&lt;&gt;"?",'Choix pédagogiques'!$C$5&lt;&gt;"?",X600&lt;&gt;""),(X600-'Choix pédagogiques'!$C$4)/('Choix pédagogiques'!$C$5-'Choix pédagogiques'!$C$4),"")</f>
        <v/>
      </c>
      <c r="AT600" s="55" t="str">
        <f aca="false">IF(AND('Choix pédagogiques'!$C$4&lt;&gt;"?",'Choix pédagogiques'!$C$5&lt;&gt;"?",Y600&lt;&gt;""),(Y600-'Choix pédagogiques'!$C$4)/('Choix pédagogiques'!$C$5-'Choix pédagogiques'!$C$4),"")</f>
        <v/>
      </c>
      <c r="AU600" s="53" t="str">
        <f aca="false">IF($E600&lt;&gt;"",$E600,"")</f>
        <v/>
      </c>
      <c r="AV600" s="52" t="str">
        <f aca="false">IF($F600&lt;&gt;"",$F600,"")</f>
        <v>Apprenant 588 ou 588'</v>
      </c>
      <c r="AW600" s="55" t="str">
        <f aca="false">IF(AND('Choix pédagogiques'!$C$4&lt;&gt;"?",'Choix pédagogiques'!$C$5&lt;&gt;"?",AB600&lt;&gt;""),(AB600-'Choix pédagogiques'!$C$4)/('Choix pédagogiques'!$C$5-'Choix pédagogiques'!$C$4),"")</f>
        <v/>
      </c>
      <c r="AX600" s="55" t="str">
        <f aca="false">IF(AND('Choix pédagogiques'!$C$4&lt;&gt;"?",'Choix pédagogiques'!$C$5&lt;&gt;"?",AC600&lt;&gt;""),(AC600-'Choix pédagogiques'!$C$4)/('Choix pédagogiques'!$C$5-'Choix pédagogiques'!$C$4),"")</f>
        <v/>
      </c>
      <c r="AY600" s="55" t="str">
        <f aca="false">IF(AND('Choix pédagogiques'!$C$4&lt;&gt;"?",'Choix pédagogiques'!$C$5&lt;&gt;"?",AD600&lt;&gt;""),(AD600-'Choix pédagogiques'!$C$4)/('Choix pédagogiques'!$C$5-'Choix pédagogiques'!$C$4),"")</f>
        <v/>
      </c>
      <c r="AZ600" s="53" t="str">
        <f aca="false">IF($J600&lt;&gt;"",$J600,"")</f>
        <v/>
      </c>
      <c r="BA600" s="52" t="str">
        <f aca="false">IF($A600&lt;&gt;"",$A600,"")</f>
        <v>Apprenant 588</v>
      </c>
      <c r="BB600" s="55" t="str">
        <f aca="false">IF(AND($AR600&lt;&gt;"",$AS600&lt;&gt;""),$AS600-$AR600,"")</f>
        <v/>
      </c>
      <c r="BC600" s="55" t="str">
        <f aca="false">IF(AND($AR600&lt;&gt;"",$AT600&lt;&gt;""),$AT600-$AR600,"")</f>
        <v/>
      </c>
      <c r="BD600" s="55" t="str">
        <f aca="false">IF(AND($AS600&lt;&gt;"",$AT600&lt;&gt;""),$AT600-$AS600,"")</f>
        <v/>
      </c>
      <c r="BE600" s="53" t="str">
        <f aca="false">IF($E600&lt;&gt;"",$E600,"")</f>
        <v/>
      </c>
      <c r="BF600" s="52" t="str">
        <f aca="false">IF($F600&lt;&gt;"",$F600,"")</f>
        <v>Apprenant 588 ou 588'</v>
      </c>
      <c r="BG600" s="55" t="str">
        <f aca="false">IF(AND($AW600&lt;&gt;"",$AX600&lt;&gt;""),$AX600-$AW600,"")</f>
        <v/>
      </c>
      <c r="BH600" s="55" t="str">
        <f aca="false">IF(AND($AW600&lt;&gt;"",$AY600&lt;&gt;""),$AY600-$AW600,"")</f>
        <v/>
      </c>
      <c r="BI600" s="55" t="str">
        <f aca="false">IF(AND($AX600&lt;&gt;"",$AY600&lt;&gt;""),$AY600-$AX600,"")</f>
        <v/>
      </c>
      <c r="BJ600" s="53" t="str">
        <f aca="false">IF($J600&lt;&gt;"",$J600,"")</f>
        <v/>
      </c>
      <c r="BL600" s="52"/>
      <c r="BM600" s="52" t="str">
        <f aca="false">IF(OR(COUNT(B600:D1599)=0,AND('Choix pédagogiques'!$C$3&lt;&gt;1,'Choix pédagogiques'!$C$3&lt;&gt;2)),"",IF(AND(OR('Choix pédagogiques'!$C$3=1,'Choix pédagogiques'!$C$3=2),$B600&lt;&gt;"",$C600&lt;&gt;"",$D600&lt;&gt;""),1,0))</f>
        <v/>
      </c>
      <c r="BN600" s="52" t="str">
        <f aca="false">IF(OR(COUNT(G600:I1599)=0,AND('Choix pédagogiques'!$C$3&lt;&gt;1,'Choix pédagogiques'!$C$3&lt;&gt;2)),"",IF(AND(OR('Choix pédagogiques'!$C$3=1,'Choix pédagogiques'!$C$3=2),AND($G600&lt;&gt;"",$H600&lt;&gt;"",$I600&lt;&gt;"")),1,0))</f>
        <v/>
      </c>
      <c r="BO600" s="52" t="str">
        <f aca="false">IF(OR(COUNT(B600:D1599)=0,COUNT(G600:I1599)=0,'Choix pédagogiques'!C$3&lt;&gt;3),"",IF(AND('Choix pédagogiques'!$C$3=3,$B600&lt;&gt;"",$C600&lt;&gt;"",$D600&lt;&gt;"",$G600&lt;&gt;"",$H600&lt;&gt;"",$I600&lt;&gt;""),1,0))</f>
        <v/>
      </c>
      <c r="BR600" s="52" t="n">
        <v>356</v>
      </c>
      <c r="BS600" s="52" t="n">
        <v>1205</v>
      </c>
    </row>
    <row r="601" s="54" customFormat="true" ht="18" hidden="false" customHeight="true" outlineLevel="0" collapsed="false">
      <c r="A601" s="57" t="s">
        <v>1133</v>
      </c>
      <c r="B601" s="51"/>
      <c r="C601" s="51"/>
      <c r="D601" s="51"/>
      <c r="E601" s="51"/>
      <c r="F601" s="57" t="s">
        <v>1134</v>
      </c>
      <c r="G601" s="51"/>
      <c r="H601" s="51"/>
      <c r="I601" s="51"/>
      <c r="J601" s="51"/>
      <c r="K601" s="52" t="str">
        <f aca="false">IF($A601&lt;&gt;"",$A601,"")</f>
        <v>Apprenant 589</v>
      </c>
      <c r="L601" s="53" t="str">
        <f aca="false">IF(AND($B601&lt;&gt;"",$C601&lt;&gt;""),$C601-$B601,"")</f>
        <v/>
      </c>
      <c r="M601" s="53" t="str">
        <f aca="false">IF(AND($B601&lt;&gt;"",$D601&lt;&gt;""),$D601-$B601,"")</f>
        <v/>
      </c>
      <c r="N601" s="53" t="str">
        <f aca="false">IF(AND($C601&lt;&gt;"",$D601&lt;&gt;""),$D601-$C601,"")</f>
        <v/>
      </c>
      <c r="O601" s="53" t="str">
        <f aca="false">IF($E601&lt;&gt;"",$E601,"")</f>
        <v/>
      </c>
      <c r="P601" s="52" t="str">
        <f aca="false">IF($F601&lt;&gt;"",$F601,"")</f>
        <v>Apprenant 589 ou 589'</v>
      </c>
      <c r="Q601" s="53" t="str">
        <f aca="false">IF(AND($G601&lt;&gt;"",$H601&lt;&gt;""),$H601-$G601,"")</f>
        <v/>
      </c>
      <c r="R601" s="53" t="str">
        <f aca="false">IF(AND($G601&lt;&gt;"",$I601&lt;&gt;""),$I601-$G601,"")</f>
        <v/>
      </c>
      <c r="S601" s="53" t="str">
        <f aca="false">IF(AND($H601&lt;&gt;"",$I601&lt;&gt;""),$I601-$H601,"")</f>
        <v/>
      </c>
      <c r="T601" s="53" t="str">
        <f aca="false">IF($J601&lt;&gt;"",$J601,"")</f>
        <v/>
      </c>
      <c r="V601" s="52" t="str">
        <f aca="false">IF($A601&lt;&gt;"",$A601,"")</f>
        <v>Apprenant 589</v>
      </c>
      <c r="W601" s="53" t="str">
        <f aca="false">IF(AND(OR('Choix pédagogiques'!$C$3=1,'Choix pédagogiques'!$C$3=2),$BM601=1),B601,IF(AND('Choix pédagogiques'!$C$3=3,$BO601=1),B601,""))</f>
        <v/>
      </c>
      <c r="X601" s="53" t="str">
        <f aca="false">IF(AND(OR('Choix pédagogiques'!$C$3=1,'Choix pédagogiques'!$C$3=2),$BM601=1),C601,IF(AND('Choix pédagogiques'!$C$3=3,$BO601=1),C601,""))</f>
        <v/>
      </c>
      <c r="Y601" s="53" t="str">
        <f aca="false">IF(AND(OR('Choix pédagogiques'!$C$3=1,'Choix pédagogiques'!$C$3=2),$BM601=1),D601,IF(AND('Choix pédagogiques'!$C$3=3,$BO601=1),D601,""))</f>
        <v/>
      </c>
      <c r="Z601" s="53" t="str">
        <f aca="false">IF($E601&lt;&gt;"",$E601,"")</f>
        <v/>
      </c>
      <c r="AA601" s="52" t="str">
        <f aca="false">IF($F601&lt;&gt;"",$F601,"")</f>
        <v>Apprenant 589 ou 589'</v>
      </c>
      <c r="AB601" s="53" t="str">
        <f aca="false">IF(AND(OR('Choix pédagogiques'!$C$3=1,'Choix pédagogiques'!$C$3=2),$BN601=1),G601,IF(AND('Choix pédagogiques'!$C$3=3,$BO601=1),G601,""))</f>
        <v/>
      </c>
      <c r="AC601" s="53" t="str">
        <f aca="false">IF(AND(OR('Choix pédagogiques'!$C$3=1,'Choix pédagogiques'!$C$3=2),$BN601=1),H601,IF(AND('Choix pédagogiques'!$C$3=3,$BO601=1),H601,""))</f>
        <v/>
      </c>
      <c r="AD601" s="53" t="str">
        <f aca="false">IF(AND(OR('Choix pédagogiques'!$C$3=1,'Choix pédagogiques'!$C$3=2),$BN601=1),I601,IF(AND('Choix pédagogiques'!$C$3=3,$BO601=1),I601,""))</f>
        <v/>
      </c>
      <c r="AE601" s="53" t="str">
        <f aca="false">IF($J601&lt;&gt;"",$J601,"")</f>
        <v/>
      </c>
      <c r="AF601" s="52" t="str">
        <f aca="false">IF($A601&lt;&gt;"",$A601,"")</f>
        <v>Apprenant 589</v>
      </c>
      <c r="AG601" s="53" t="str">
        <f aca="false">IF(AND($W601&lt;&gt;"",$X601&lt;&gt;""),$X601-$W601,"")</f>
        <v/>
      </c>
      <c r="AH601" s="53" t="str">
        <f aca="false">IF(AND($W601&lt;&gt;"",$Y601&lt;&gt;""),$Y601-$W601,"")</f>
        <v/>
      </c>
      <c r="AI601" s="53" t="str">
        <f aca="false">IF(AND($X601&lt;&gt;"",$Y601&lt;&gt;""),$Y601-$X601,"")</f>
        <v/>
      </c>
      <c r="AJ601" s="53" t="str">
        <f aca="false">IF($E601&lt;&gt;"",$E601,"")</f>
        <v/>
      </c>
      <c r="AK601" s="52" t="str">
        <f aca="false">IF($F601&lt;&gt;"",$F601,"")</f>
        <v>Apprenant 589 ou 589'</v>
      </c>
      <c r="AL601" s="53" t="str">
        <f aca="false">IF(AND($AB601&lt;&gt;"",$AC601&lt;&gt;""),$AC601-$AB601,"")</f>
        <v/>
      </c>
      <c r="AM601" s="53" t="str">
        <f aca="false">IF(AND($AB601&lt;&gt;"",$AD601&lt;&gt;""),$AD601-$AB601,"")</f>
        <v/>
      </c>
      <c r="AN601" s="53" t="str">
        <f aca="false">IF(AND($AC601&lt;&gt;"",$AD601&lt;&gt;""),$AD601-$AC601,"")</f>
        <v/>
      </c>
      <c r="AO601" s="53" t="str">
        <f aca="false">IF($J601&lt;&gt;"",$J601,"")</f>
        <v/>
      </c>
      <c r="AQ601" s="52" t="str">
        <f aca="false">IF($A601&lt;&gt;"",$A601,"")</f>
        <v>Apprenant 589</v>
      </c>
      <c r="AR601" s="55" t="str">
        <f aca="false">IF(AND('Choix pédagogiques'!$C$4&lt;&gt;"?",'Choix pédagogiques'!$C$5&lt;&gt;"?",W601&lt;&gt;""),(W601-'Choix pédagogiques'!$C$4)/('Choix pédagogiques'!$C$5-'Choix pédagogiques'!$C$4),"")</f>
        <v/>
      </c>
      <c r="AS601" s="55" t="str">
        <f aca="false">IF(AND('Choix pédagogiques'!$C$4&lt;&gt;"?",'Choix pédagogiques'!$C$5&lt;&gt;"?",X601&lt;&gt;""),(X601-'Choix pédagogiques'!$C$4)/('Choix pédagogiques'!$C$5-'Choix pédagogiques'!$C$4),"")</f>
        <v/>
      </c>
      <c r="AT601" s="55" t="str">
        <f aca="false">IF(AND('Choix pédagogiques'!$C$4&lt;&gt;"?",'Choix pédagogiques'!$C$5&lt;&gt;"?",Y601&lt;&gt;""),(Y601-'Choix pédagogiques'!$C$4)/('Choix pédagogiques'!$C$5-'Choix pédagogiques'!$C$4),"")</f>
        <v/>
      </c>
      <c r="AU601" s="53" t="str">
        <f aca="false">IF($E601&lt;&gt;"",$E601,"")</f>
        <v/>
      </c>
      <c r="AV601" s="52" t="str">
        <f aca="false">IF($F601&lt;&gt;"",$F601,"")</f>
        <v>Apprenant 589 ou 589'</v>
      </c>
      <c r="AW601" s="55" t="str">
        <f aca="false">IF(AND('Choix pédagogiques'!$C$4&lt;&gt;"?",'Choix pédagogiques'!$C$5&lt;&gt;"?",AB601&lt;&gt;""),(AB601-'Choix pédagogiques'!$C$4)/('Choix pédagogiques'!$C$5-'Choix pédagogiques'!$C$4),"")</f>
        <v/>
      </c>
      <c r="AX601" s="55" t="str">
        <f aca="false">IF(AND('Choix pédagogiques'!$C$4&lt;&gt;"?",'Choix pédagogiques'!$C$5&lt;&gt;"?",AC601&lt;&gt;""),(AC601-'Choix pédagogiques'!$C$4)/('Choix pédagogiques'!$C$5-'Choix pédagogiques'!$C$4),"")</f>
        <v/>
      </c>
      <c r="AY601" s="55" t="str">
        <f aca="false">IF(AND('Choix pédagogiques'!$C$4&lt;&gt;"?",'Choix pédagogiques'!$C$5&lt;&gt;"?",AD601&lt;&gt;""),(AD601-'Choix pédagogiques'!$C$4)/('Choix pédagogiques'!$C$5-'Choix pédagogiques'!$C$4),"")</f>
        <v/>
      </c>
      <c r="AZ601" s="53" t="str">
        <f aca="false">IF($J601&lt;&gt;"",$J601,"")</f>
        <v/>
      </c>
      <c r="BA601" s="52" t="str">
        <f aca="false">IF($A601&lt;&gt;"",$A601,"")</f>
        <v>Apprenant 589</v>
      </c>
      <c r="BB601" s="55" t="str">
        <f aca="false">IF(AND($AR601&lt;&gt;"",$AS601&lt;&gt;""),$AS601-$AR601,"")</f>
        <v/>
      </c>
      <c r="BC601" s="55" t="str">
        <f aca="false">IF(AND($AR601&lt;&gt;"",$AT601&lt;&gt;""),$AT601-$AR601,"")</f>
        <v/>
      </c>
      <c r="BD601" s="55" t="str">
        <f aca="false">IF(AND($AS601&lt;&gt;"",$AT601&lt;&gt;""),$AT601-$AS601,"")</f>
        <v/>
      </c>
      <c r="BE601" s="53" t="str">
        <f aca="false">IF($E601&lt;&gt;"",$E601,"")</f>
        <v/>
      </c>
      <c r="BF601" s="52" t="str">
        <f aca="false">IF($F601&lt;&gt;"",$F601,"")</f>
        <v>Apprenant 589 ou 589'</v>
      </c>
      <c r="BG601" s="55" t="str">
        <f aca="false">IF(AND($AW601&lt;&gt;"",$AX601&lt;&gt;""),$AX601-$AW601,"")</f>
        <v/>
      </c>
      <c r="BH601" s="55" t="str">
        <f aca="false">IF(AND($AW601&lt;&gt;"",$AY601&lt;&gt;""),$AY601-$AW601,"")</f>
        <v/>
      </c>
      <c r="BI601" s="55" t="str">
        <f aca="false">IF(AND($AX601&lt;&gt;"",$AY601&lt;&gt;""),$AY601-$AX601,"")</f>
        <v/>
      </c>
      <c r="BJ601" s="53" t="str">
        <f aca="false">IF($J601&lt;&gt;"",$J601,"")</f>
        <v/>
      </c>
      <c r="BL601" s="52"/>
      <c r="BM601" s="52" t="str">
        <f aca="false">IF(OR(COUNT(B601:D1600)=0,AND('Choix pédagogiques'!$C$3&lt;&gt;1,'Choix pédagogiques'!$C$3&lt;&gt;2)),"",IF(AND(OR('Choix pédagogiques'!$C$3=1,'Choix pédagogiques'!$C$3=2),$B601&lt;&gt;"",$C601&lt;&gt;"",$D601&lt;&gt;""),1,0))</f>
        <v/>
      </c>
      <c r="BN601" s="52" t="str">
        <f aca="false">IF(OR(COUNT(G601:I1600)=0,AND('Choix pédagogiques'!$C$3&lt;&gt;1,'Choix pédagogiques'!$C$3&lt;&gt;2)),"",IF(AND(OR('Choix pédagogiques'!$C$3=1,'Choix pédagogiques'!$C$3=2),AND($G601&lt;&gt;"",$H601&lt;&gt;"",$I601&lt;&gt;"")),1,0))</f>
        <v/>
      </c>
      <c r="BO601" s="52" t="str">
        <f aca="false">IF(OR(COUNT(B601:D1600)=0,COUNT(G601:I1600)=0,'Choix pédagogiques'!C$3&lt;&gt;3),"",IF(AND('Choix pédagogiques'!$C$3=3,$B601&lt;&gt;"",$C601&lt;&gt;"",$D601&lt;&gt;"",$G601&lt;&gt;"",$H601&lt;&gt;"",$I601&lt;&gt;""),1,0))</f>
        <v/>
      </c>
      <c r="BR601" s="52" t="n">
        <v>570</v>
      </c>
      <c r="BS601" s="52" t="n">
        <v>1444</v>
      </c>
    </row>
    <row r="602" s="54" customFormat="true" ht="18" hidden="false" customHeight="true" outlineLevel="0" collapsed="false">
      <c r="A602" s="57" t="s">
        <v>1135</v>
      </c>
      <c r="B602" s="51"/>
      <c r="C602" s="51"/>
      <c r="D602" s="51"/>
      <c r="E602" s="51"/>
      <c r="F602" s="57" t="s">
        <v>1136</v>
      </c>
      <c r="G602" s="51"/>
      <c r="H602" s="51"/>
      <c r="I602" s="51"/>
      <c r="J602" s="51"/>
      <c r="K602" s="52" t="str">
        <f aca="false">IF($A602&lt;&gt;"",$A602,"")</f>
        <v>Apprenant 590</v>
      </c>
      <c r="L602" s="53" t="str">
        <f aca="false">IF(AND($B602&lt;&gt;"",$C602&lt;&gt;""),$C602-$B602,"")</f>
        <v/>
      </c>
      <c r="M602" s="53" t="str">
        <f aca="false">IF(AND($B602&lt;&gt;"",$D602&lt;&gt;""),$D602-$B602,"")</f>
        <v/>
      </c>
      <c r="N602" s="53" t="str">
        <f aca="false">IF(AND($C602&lt;&gt;"",$D602&lt;&gt;""),$D602-$C602,"")</f>
        <v/>
      </c>
      <c r="O602" s="53" t="str">
        <f aca="false">IF($E602&lt;&gt;"",$E602,"")</f>
        <v/>
      </c>
      <c r="P602" s="52" t="str">
        <f aca="false">IF($F602&lt;&gt;"",$F602,"")</f>
        <v>Apprenant 590 ou 590'</v>
      </c>
      <c r="Q602" s="53" t="str">
        <f aca="false">IF(AND($G602&lt;&gt;"",$H602&lt;&gt;""),$H602-$G602,"")</f>
        <v/>
      </c>
      <c r="R602" s="53" t="str">
        <f aca="false">IF(AND($G602&lt;&gt;"",$I602&lt;&gt;""),$I602-$G602,"")</f>
        <v/>
      </c>
      <c r="S602" s="53" t="str">
        <f aca="false">IF(AND($H602&lt;&gt;"",$I602&lt;&gt;""),$I602-$H602,"")</f>
        <v/>
      </c>
      <c r="T602" s="53" t="str">
        <f aca="false">IF($J602&lt;&gt;"",$J602,"")</f>
        <v/>
      </c>
      <c r="V602" s="52" t="str">
        <f aca="false">IF($A602&lt;&gt;"",$A602,"")</f>
        <v>Apprenant 590</v>
      </c>
      <c r="W602" s="53" t="str">
        <f aca="false">IF(AND(OR('Choix pédagogiques'!$C$3=1,'Choix pédagogiques'!$C$3=2),$BM602=1),B602,IF(AND('Choix pédagogiques'!$C$3=3,$BO602=1),B602,""))</f>
        <v/>
      </c>
      <c r="X602" s="53" t="str">
        <f aca="false">IF(AND(OR('Choix pédagogiques'!$C$3=1,'Choix pédagogiques'!$C$3=2),$BM602=1),C602,IF(AND('Choix pédagogiques'!$C$3=3,$BO602=1),C602,""))</f>
        <v/>
      </c>
      <c r="Y602" s="53" t="str">
        <f aca="false">IF(AND(OR('Choix pédagogiques'!$C$3=1,'Choix pédagogiques'!$C$3=2),$BM602=1),D602,IF(AND('Choix pédagogiques'!$C$3=3,$BO602=1),D602,""))</f>
        <v/>
      </c>
      <c r="Z602" s="53" t="str">
        <f aca="false">IF($E602&lt;&gt;"",$E602,"")</f>
        <v/>
      </c>
      <c r="AA602" s="52" t="str">
        <f aca="false">IF($F602&lt;&gt;"",$F602,"")</f>
        <v>Apprenant 590 ou 590'</v>
      </c>
      <c r="AB602" s="53" t="str">
        <f aca="false">IF(AND(OR('Choix pédagogiques'!$C$3=1,'Choix pédagogiques'!$C$3=2),$BN602=1),G602,IF(AND('Choix pédagogiques'!$C$3=3,$BO602=1),G602,""))</f>
        <v/>
      </c>
      <c r="AC602" s="53" t="str">
        <f aca="false">IF(AND(OR('Choix pédagogiques'!$C$3=1,'Choix pédagogiques'!$C$3=2),$BN602=1),H602,IF(AND('Choix pédagogiques'!$C$3=3,$BO602=1),H602,""))</f>
        <v/>
      </c>
      <c r="AD602" s="53" t="str">
        <f aca="false">IF(AND(OR('Choix pédagogiques'!$C$3=1,'Choix pédagogiques'!$C$3=2),$BN602=1),I602,IF(AND('Choix pédagogiques'!$C$3=3,$BO602=1),I602,""))</f>
        <v/>
      </c>
      <c r="AE602" s="53" t="str">
        <f aca="false">IF($J602&lt;&gt;"",$J602,"")</f>
        <v/>
      </c>
      <c r="AF602" s="52" t="str">
        <f aca="false">IF($A602&lt;&gt;"",$A602,"")</f>
        <v>Apprenant 590</v>
      </c>
      <c r="AG602" s="53" t="str">
        <f aca="false">IF(AND($W602&lt;&gt;"",$X602&lt;&gt;""),$X602-$W602,"")</f>
        <v/>
      </c>
      <c r="AH602" s="53" t="str">
        <f aca="false">IF(AND($W602&lt;&gt;"",$Y602&lt;&gt;""),$Y602-$W602,"")</f>
        <v/>
      </c>
      <c r="AI602" s="53" t="str">
        <f aca="false">IF(AND($X602&lt;&gt;"",$Y602&lt;&gt;""),$Y602-$X602,"")</f>
        <v/>
      </c>
      <c r="AJ602" s="53" t="str">
        <f aca="false">IF($E602&lt;&gt;"",$E602,"")</f>
        <v/>
      </c>
      <c r="AK602" s="52" t="str">
        <f aca="false">IF($F602&lt;&gt;"",$F602,"")</f>
        <v>Apprenant 590 ou 590'</v>
      </c>
      <c r="AL602" s="53" t="str">
        <f aca="false">IF(AND($AB602&lt;&gt;"",$AC602&lt;&gt;""),$AC602-$AB602,"")</f>
        <v/>
      </c>
      <c r="AM602" s="53" t="str">
        <f aca="false">IF(AND($AB602&lt;&gt;"",$AD602&lt;&gt;""),$AD602-$AB602,"")</f>
        <v/>
      </c>
      <c r="AN602" s="53" t="str">
        <f aca="false">IF(AND($AC602&lt;&gt;"",$AD602&lt;&gt;""),$AD602-$AC602,"")</f>
        <v/>
      </c>
      <c r="AO602" s="53" t="str">
        <f aca="false">IF($J602&lt;&gt;"",$J602,"")</f>
        <v/>
      </c>
      <c r="AQ602" s="52" t="str">
        <f aca="false">IF($A602&lt;&gt;"",$A602,"")</f>
        <v>Apprenant 590</v>
      </c>
      <c r="AR602" s="55" t="str">
        <f aca="false">IF(AND('Choix pédagogiques'!$C$4&lt;&gt;"?",'Choix pédagogiques'!$C$5&lt;&gt;"?",W602&lt;&gt;""),(W602-'Choix pédagogiques'!$C$4)/('Choix pédagogiques'!$C$5-'Choix pédagogiques'!$C$4),"")</f>
        <v/>
      </c>
      <c r="AS602" s="55" t="str">
        <f aca="false">IF(AND('Choix pédagogiques'!$C$4&lt;&gt;"?",'Choix pédagogiques'!$C$5&lt;&gt;"?",X602&lt;&gt;""),(X602-'Choix pédagogiques'!$C$4)/('Choix pédagogiques'!$C$5-'Choix pédagogiques'!$C$4),"")</f>
        <v/>
      </c>
      <c r="AT602" s="55" t="str">
        <f aca="false">IF(AND('Choix pédagogiques'!$C$4&lt;&gt;"?",'Choix pédagogiques'!$C$5&lt;&gt;"?",Y602&lt;&gt;""),(Y602-'Choix pédagogiques'!$C$4)/('Choix pédagogiques'!$C$5-'Choix pédagogiques'!$C$4),"")</f>
        <v/>
      </c>
      <c r="AU602" s="53" t="str">
        <f aca="false">IF($E602&lt;&gt;"",$E602,"")</f>
        <v/>
      </c>
      <c r="AV602" s="52" t="str">
        <f aca="false">IF($F602&lt;&gt;"",$F602,"")</f>
        <v>Apprenant 590 ou 590'</v>
      </c>
      <c r="AW602" s="55" t="str">
        <f aca="false">IF(AND('Choix pédagogiques'!$C$4&lt;&gt;"?",'Choix pédagogiques'!$C$5&lt;&gt;"?",AB602&lt;&gt;""),(AB602-'Choix pédagogiques'!$C$4)/('Choix pédagogiques'!$C$5-'Choix pédagogiques'!$C$4),"")</f>
        <v/>
      </c>
      <c r="AX602" s="55" t="str">
        <f aca="false">IF(AND('Choix pédagogiques'!$C$4&lt;&gt;"?",'Choix pédagogiques'!$C$5&lt;&gt;"?",AC602&lt;&gt;""),(AC602-'Choix pédagogiques'!$C$4)/('Choix pédagogiques'!$C$5-'Choix pédagogiques'!$C$4),"")</f>
        <v/>
      </c>
      <c r="AY602" s="55" t="str">
        <f aca="false">IF(AND('Choix pédagogiques'!$C$4&lt;&gt;"?",'Choix pédagogiques'!$C$5&lt;&gt;"?",AD602&lt;&gt;""),(AD602-'Choix pédagogiques'!$C$4)/('Choix pédagogiques'!$C$5-'Choix pédagogiques'!$C$4),"")</f>
        <v/>
      </c>
      <c r="AZ602" s="53" t="str">
        <f aca="false">IF($J602&lt;&gt;"",$J602,"")</f>
        <v/>
      </c>
      <c r="BA602" s="52" t="str">
        <f aca="false">IF($A602&lt;&gt;"",$A602,"")</f>
        <v>Apprenant 590</v>
      </c>
      <c r="BB602" s="55" t="str">
        <f aca="false">IF(AND($AR602&lt;&gt;"",$AS602&lt;&gt;""),$AS602-$AR602,"")</f>
        <v/>
      </c>
      <c r="BC602" s="55" t="str">
        <f aca="false">IF(AND($AR602&lt;&gt;"",$AT602&lt;&gt;""),$AT602-$AR602,"")</f>
        <v/>
      </c>
      <c r="BD602" s="55" t="str">
        <f aca="false">IF(AND($AS602&lt;&gt;"",$AT602&lt;&gt;""),$AT602-$AS602,"")</f>
        <v/>
      </c>
      <c r="BE602" s="53" t="str">
        <f aca="false">IF($E602&lt;&gt;"",$E602,"")</f>
        <v/>
      </c>
      <c r="BF602" s="52" t="str">
        <f aca="false">IF($F602&lt;&gt;"",$F602,"")</f>
        <v>Apprenant 590 ou 590'</v>
      </c>
      <c r="BG602" s="55" t="str">
        <f aca="false">IF(AND($AW602&lt;&gt;"",$AX602&lt;&gt;""),$AX602-$AW602,"")</f>
        <v/>
      </c>
      <c r="BH602" s="55" t="str">
        <f aca="false">IF(AND($AW602&lt;&gt;"",$AY602&lt;&gt;""),$AY602-$AW602,"")</f>
        <v/>
      </c>
      <c r="BI602" s="55" t="str">
        <f aca="false">IF(AND($AX602&lt;&gt;"",$AY602&lt;&gt;""),$AY602-$AX602,"")</f>
        <v/>
      </c>
      <c r="BJ602" s="53" t="str">
        <f aca="false">IF($J602&lt;&gt;"",$J602,"")</f>
        <v/>
      </c>
      <c r="BL602" s="52"/>
      <c r="BM602" s="52" t="str">
        <f aca="false">IF(OR(COUNT(B602:D1601)=0,AND('Choix pédagogiques'!$C$3&lt;&gt;1,'Choix pédagogiques'!$C$3&lt;&gt;2)),"",IF(AND(OR('Choix pédagogiques'!$C$3=1,'Choix pédagogiques'!$C$3=2),$B602&lt;&gt;"",$C602&lt;&gt;"",$D602&lt;&gt;""),1,0))</f>
        <v/>
      </c>
      <c r="BN602" s="52" t="str">
        <f aca="false">IF(OR(COUNT(G602:I1601)=0,AND('Choix pédagogiques'!$C$3&lt;&gt;1,'Choix pédagogiques'!$C$3&lt;&gt;2)),"",IF(AND(OR('Choix pédagogiques'!$C$3=1,'Choix pédagogiques'!$C$3=2),AND($G602&lt;&gt;"",$H602&lt;&gt;"",$I602&lt;&gt;"")),1,0))</f>
        <v/>
      </c>
      <c r="BO602" s="52" t="str">
        <f aca="false">IF(OR(COUNT(B602:D1601)=0,COUNT(G602:I1601)=0,'Choix pédagogiques'!C$3&lt;&gt;3),"",IF(AND('Choix pédagogiques'!$C$3=3,$B602&lt;&gt;"",$C602&lt;&gt;"",$D602&lt;&gt;"",$G602&lt;&gt;"",$H602&lt;&gt;"",$I602&lt;&gt;""),1,0))</f>
        <v/>
      </c>
      <c r="BR602" s="52" t="n">
        <v>689</v>
      </c>
      <c r="BS602" s="52" t="n">
        <v>1468</v>
      </c>
    </row>
    <row r="603" s="54" customFormat="true" ht="18" hidden="false" customHeight="true" outlineLevel="0" collapsed="false">
      <c r="A603" s="57" t="s">
        <v>1137</v>
      </c>
      <c r="B603" s="51"/>
      <c r="C603" s="51"/>
      <c r="D603" s="51"/>
      <c r="E603" s="51"/>
      <c r="F603" s="57" t="s">
        <v>1138</v>
      </c>
      <c r="G603" s="51"/>
      <c r="H603" s="51"/>
      <c r="I603" s="51"/>
      <c r="J603" s="51"/>
      <c r="K603" s="52" t="str">
        <f aca="false">IF($A603&lt;&gt;"",$A603,"")</f>
        <v>Apprenant 591</v>
      </c>
      <c r="L603" s="53" t="str">
        <f aca="false">IF(AND($B603&lt;&gt;"",$C603&lt;&gt;""),$C603-$B603,"")</f>
        <v/>
      </c>
      <c r="M603" s="53" t="str">
        <f aca="false">IF(AND($B603&lt;&gt;"",$D603&lt;&gt;""),$D603-$B603,"")</f>
        <v/>
      </c>
      <c r="N603" s="53" t="str">
        <f aca="false">IF(AND($C603&lt;&gt;"",$D603&lt;&gt;""),$D603-$C603,"")</f>
        <v/>
      </c>
      <c r="O603" s="53" t="str">
        <f aca="false">IF($E603&lt;&gt;"",$E603,"")</f>
        <v/>
      </c>
      <c r="P603" s="52" t="str">
        <f aca="false">IF($F603&lt;&gt;"",$F603,"")</f>
        <v>Apprenant 591 ou 591'</v>
      </c>
      <c r="Q603" s="53" t="str">
        <f aca="false">IF(AND($G603&lt;&gt;"",$H603&lt;&gt;""),$H603-$G603,"")</f>
        <v/>
      </c>
      <c r="R603" s="53" t="str">
        <f aca="false">IF(AND($G603&lt;&gt;"",$I603&lt;&gt;""),$I603-$G603,"")</f>
        <v/>
      </c>
      <c r="S603" s="53" t="str">
        <f aca="false">IF(AND($H603&lt;&gt;"",$I603&lt;&gt;""),$I603-$H603,"")</f>
        <v/>
      </c>
      <c r="T603" s="53" t="str">
        <f aca="false">IF($J603&lt;&gt;"",$J603,"")</f>
        <v/>
      </c>
      <c r="V603" s="52" t="str">
        <f aca="false">IF($A603&lt;&gt;"",$A603,"")</f>
        <v>Apprenant 591</v>
      </c>
      <c r="W603" s="53" t="str">
        <f aca="false">IF(AND(OR('Choix pédagogiques'!$C$3=1,'Choix pédagogiques'!$C$3=2),$BM603=1),B603,IF(AND('Choix pédagogiques'!$C$3=3,$BO603=1),B603,""))</f>
        <v/>
      </c>
      <c r="X603" s="53" t="str">
        <f aca="false">IF(AND(OR('Choix pédagogiques'!$C$3=1,'Choix pédagogiques'!$C$3=2),$BM603=1),C603,IF(AND('Choix pédagogiques'!$C$3=3,$BO603=1),C603,""))</f>
        <v/>
      </c>
      <c r="Y603" s="53" t="str">
        <f aca="false">IF(AND(OR('Choix pédagogiques'!$C$3=1,'Choix pédagogiques'!$C$3=2),$BM603=1),D603,IF(AND('Choix pédagogiques'!$C$3=3,$BO603=1),D603,""))</f>
        <v/>
      </c>
      <c r="Z603" s="53" t="str">
        <f aca="false">IF($E603&lt;&gt;"",$E603,"")</f>
        <v/>
      </c>
      <c r="AA603" s="52" t="str">
        <f aca="false">IF($F603&lt;&gt;"",$F603,"")</f>
        <v>Apprenant 591 ou 591'</v>
      </c>
      <c r="AB603" s="53" t="str">
        <f aca="false">IF(AND(OR('Choix pédagogiques'!$C$3=1,'Choix pédagogiques'!$C$3=2),$BN603=1),G603,IF(AND('Choix pédagogiques'!$C$3=3,$BO603=1),G603,""))</f>
        <v/>
      </c>
      <c r="AC603" s="53" t="str">
        <f aca="false">IF(AND(OR('Choix pédagogiques'!$C$3=1,'Choix pédagogiques'!$C$3=2),$BN603=1),H603,IF(AND('Choix pédagogiques'!$C$3=3,$BO603=1),H603,""))</f>
        <v/>
      </c>
      <c r="AD603" s="53" t="str">
        <f aca="false">IF(AND(OR('Choix pédagogiques'!$C$3=1,'Choix pédagogiques'!$C$3=2),$BN603=1),I603,IF(AND('Choix pédagogiques'!$C$3=3,$BO603=1),I603,""))</f>
        <v/>
      </c>
      <c r="AE603" s="53" t="str">
        <f aca="false">IF($J603&lt;&gt;"",$J603,"")</f>
        <v/>
      </c>
      <c r="AF603" s="52" t="str">
        <f aca="false">IF($A603&lt;&gt;"",$A603,"")</f>
        <v>Apprenant 591</v>
      </c>
      <c r="AG603" s="53" t="str">
        <f aca="false">IF(AND($W603&lt;&gt;"",$X603&lt;&gt;""),$X603-$W603,"")</f>
        <v/>
      </c>
      <c r="AH603" s="53" t="str">
        <f aca="false">IF(AND($W603&lt;&gt;"",$Y603&lt;&gt;""),$Y603-$W603,"")</f>
        <v/>
      </c>
      <c r="AI603" s="53" t="str">
        <f aca="false">IF(AND($X603&lt;&gt;"",$Y603&lt;&gt;""),$Y603-$X603,"")</f>
        <v/>
      </c>
      <c r="AJ603" s="53" t="str">
        <f aca="false">IF($E603&lt;&gt;"",$E603,"")</f>
        <v/>
      </c>
      <c r="AK603" s="52" t="str">
        <f aca="false">IF($F603&lt;&gt;"",$F603,"")</f>
        <v>Apprenant 591 ou 591'</v>
      </c>
      <c r="AL603" s="53" t="str">
        <f aca="false">IF(AND($AB603&lt;&gt;"",$AC603&lt;&gt;""),$AC603-$AB603,"")</f>
        <v/>
      </c>
      <c r="AM603" s="53" t="str">
        <f aca="false">IF(AND($AB603&lt;&gt;"",$AD603&lt;&gt;""),$AD603-$AB603,"")</f>
        <v/>
      </c>
      <c r="AN603" s="53" t="str">
        <f aca="false">IF(AND($AC603&lt;&gt;"",$AD603&lt;&gt;""),$AD603-$AC603,"")</f>
        <v/>
      </c>
      <c r="AO603" s="53" t="str">
        <f aca="false">IF($J603&lt;&gt;"",$J603,"")</f>
        <v/>
      </c>
      <c r="AQ603" s="52" t="str">
        <f aca="false">IF($A603&lt;&gt;"",$A603,"")</f>
        <v>Apprenant 591</v>
      </c>
      <c r="AR603" s="55" t="str">
        <f aca="false">IF(AND('Choix pédagogiques'!$C$4&lt;&gt;"?",'Choix pédagogiques'!$C$5&lt;&gt;"?",W603&lt;&gt;""),(W603-'Choix pédagogiques'!$C$4)/('Choix pédagogiques'!$C$5-'Choix pédagogiques'!$C$4),"")</f>
        <v/>
      </c>
      <c r="AS603" s="55" t="str">
        <f aca="false">IF(AND('Choix pédagogiques'!$C$4&lt;&gt;"?",'Choix pédagogiques'!$C$5&lt;&gt;"?",X603&lt;&gt;""),(X603-'Choix pédagogiques'!$C$4)/('Choix pédagogiques'!$C$5-'Choix pédagogiques'!$C$4),"")</f>
        <v/>
      </c>
      <c r="AT603" s="55" t="str">
        <f aca="false">IF(AND('Choix pédagogiques'!$C$4&lt;&gt;"?",'Choix pédagogiques'!$C$5&lt;&gt;"?",Y603&lt;&gt;""),(Y603-'Choix pédagogiques'!$C$4)/('Choix pédagogiques'!$C$5-'Choix pédagogiques'!$C$4),"")</f>
        <v/>
      </c>
      <c r="AU603" s="53" t="str">
        <f aca="false">IF($E603&lt;&gt;"",$E603,"")</f>
        <v/>
      </c>
      <c r="AV603" s="52" t="str">
        <f aca="false">IF($F603&lt;&gt;"",$F603,"")</f>
        <v>Apprenant 591 ou 591'</v>
      </c>
      <c r="AW603" s="55" t="str">
        <f aca="false">IF(AND('Choix pédagogiques'!$C$4&lt;&gt;"?",'Choix pédagogiques'!$C$5&lt;&gt;"?",AB603&lt;&gt;""),(AB603-'Choix pédagogiques'!$C$4)/('Choix pédagogiques'!$C$5-'Choix pédagogiques'!$C$4),"")</f>
        <v/>
      </c>
      <c r="AX603" s="55" t="str">
        <f aca="false">IF(AND('Choix pédagogiques'!$C$4&lt;&gt;"?",'Choix pédagogiques'!$C$5&lt;&gt;"?",AC603&lt;&gt;""),(AC603-'Choix pédagogiques'!$C$4)/('Choix pédagogiques'!$C$5-'Choix pédagogiques'!$C$4),"")</f>
        <v/>
      </c>
      <c r="AY603" s="55" t="str">
        <f aca="false">IF(AND('Choix pédagogiques'!$C$4&lt;&gt;"?",'Choix pédagogiques'!$C$5&lt;&gt;"?",AD603&lt;&gt;""),(AD603-'Choix pédagogiques'!$C$4)/('Choix pédagogiques'!$C$5-'Choix pédagogiques'!$C$4),"")</f>
        <v/>
      </c>
      <c r="AZ603" s="53" t="str">
        <f aca="false">IF($J603&lt;&gt;"",$J603,"")</f>
        <v/>
      </c>
      <c r="BA603" s="52" t="str">
        <f aca="false">IF($A603&lt;&gt;"",$A603,"")</f>
        <v>Apprenant 591</v>
      </c>
      <c r="BB603" s="55" t="str">
        <f aca="false">IF(AND($AR603&lt;&gt;"",$AS603&lt;&gt;""),$AS603-$AR603,"")</f>
        <v/>
      </c>
      <c r="BC603" s="55" t="str">
        <f aca="false">IF(AND($AR603&lt;&gt;"",$AT603&lt;&gt;""),$AT603-$AR603,"")</f>
        <v/>
      </c>
      <c r="BD603" s="55" t="str">
        <f aca="false">IF(AND($AS603&lt;&gt;"",$AT603&lt;&gt;""),$AT603-$AS603,"")</f>
        <v/>
      </c>
      <c r="BE603" s="53" t="str">
        <f aca="false">IF($E603&lt;&gt;"",$E603,"")</f>
        <v/>
      </c>
      <c r="BF603" s="52" t="str">
        <f aca="false">IF($F603&lt;&gt;"",$F603,"")</f>
        <v>Apprenant 591 ou 591'</v>
      </c>
      <c r="BG603" s="55" t="str">
        <f aca="false">IF(AND($AW603&lt;&gt;"",$AX603&lt;&gt;""),$AX603-$AW603,"")</f>
        <v/>
      </c>
      <c r="BH603" s="55" t="str">
        <f aca="false">IF(AND($AW603&lt;&gt;"",$AY603&lt;&gt;""),$AY603-$AW603,"")</f>
        <v/>
      </c>
      <c r="BI603" s="55" t="str">
        <f aca="false">IF(AND($AX603&lt;&gt;"",$AY603&lt;&gt;""),$AY603-$AX603,"")</f>
        <v/>
      </c>
      <c r="BJ603" s="53" t="str">
        <f aca="false">IF($J603&lt;&gt;"",$J603,"")</f>
        <v/>
      </c>
      <c r="BL603" s="52"/>
      <c r="BM603" s="52" t="str">
        <f aca="false">IF(OR(COUNT(B603:D1602)=0,AND('Choix pédagogiques'!$C$3&lt;&gt;1,'Choix pédagogiques'!$C$3&lt;&gt;2)),"",IF(AND(OR('Choix pédagogiques'!$C$3=1,'Choix pédagogiques'!$C$3=2),$B603&lt;&gt;"",$C603&lt;&gt;"",$D603&lt;&gt;""),1,0))</f>
        <v/>
      </c>
      <c r="BN603" s="52" t="str">
        <f aca="false">IF(OR(COUNT(G603:I1602)=0,AND('Choix pédagogiques'!$C$3&lt;&gt;1,'Choix pédagogiques'!$C$3&lt;&gt;2)),"",IF(AND(OR('Choix pédagogiques'!$C$3=1,'Choix pédagogiques'!$C$3=2),AND($G603&lt;&gt;"",$H603&lt;&gt;"",$I603&lt;&gt;"")),1,0))</f>
        <v/>
      </c>
      <c r="BO603" s="52" t="str">
        <f aca="false">IF(OR(COUNT(B603:D1602)=0,COUNT(G603:I1602)=0,'Choix pédagogiques'!C$3&lt;&gt;3),"",IF(AND('Choix pédagogiques'!$C$3=3,$B603&lt;&gt;"",$C603&lt;&gt;"",$D603&lt;&gt;"",$G603&lt;&gt;"",$H603&lt;&gt;"",$I603&lt;&gt;""),1,0))</f>
        <v/>
      </c>
      <c r="BR603" s="52" t="n">
        <v>641</v>
      </c>
      <c r="BS603" s="52" t="n">
        <v>1465</v>
      </c>
    </row>
    <row r="604" s="54" customFormat="true" ht="18" hidden="false" customHeight="true" outlineLevel="0" collapsed="false">
      <c r="A604" s="57" t="s">
        <v>1139</v>
      </c>
      <c r="B604" s="51"/>
      <c r="C604" s="51"/>
      <c r="D604" s="51"/>
      <c r="E604" s="51"/>
      <c r="F604" s="57" t="s">
        <v>1140</v>
      </c>
      <c r="G604" s="51"/>
      <c r="H604" s="51"/>
      <c r="I604" s="51"/>
      <c r="J604" s="51"/>
      <c r="K604" s="52" t="str">
        <f aca="false">IF($A604&lt;&gt;"",$A604,"")</f>
        <v>Apprenant 592</v>
      </c>
      <c r="L604" s="53" t="str">
        <f aca="false">IF(AND($B604&lt;&gt;"",$C604&lt;&gt;""),$C604-$B604,"")</f>
        <v/>
      </c>
      <c r="M604" s="53" t="str">
        <f aca="false">IF(AND($B604&lt;&gt;"",$D604&lt;&gt;""),$D604-$B604,"")</f>
        <v/>
      </c>
      <c r="N604" s="53" t="str">
        <f aca="false">IF(AND($C604&lt;&gt;"",$D604&lt;&gt;""),$D604-$C604,"")</f>
        <v/>
      </c>
      <c r="O604" s="53" t="str">
        <f aca="false">IF($E604&lt;&gt;"",$E604,"")</f>
        <v/>
      </c>
      <c r="P604" s="52" t="str">
        <f aca="false">IF($F604&lt;&gt;"",$F604,"")</f>
        <v>Apprenant 592 ou 592'</v>
      </c>
      <c r="Q604" s="53" t="str">
        <f aca="false">IF(AND($G604&lt;&gt;"",$H604&lt;&gt;""),$H604-$G604,"")</f>
        <v/>
      </c>
      <c r="R604" s="53" t="str">
        <f aca="false">IF(AND($G604&lt;&gt;"",$I604&lt;&gt;""),$I604-$G604,"")</f>
        <v/>
      </c>
      <c r="S604" s="53" t="str">
        <f aca="false">IF(AND($H604&lt;&gt;"",$I604&lt;&gt;""),$I604-$H604,"")</f>
        <v/>
      </c>
      <c r="T604" s="53" t="str">
        <f aca="false">IF($J604&lt;&gt;"",$J604,"")</f>
        <v/>
      </c>
      <c r="V604" s="52" t="str">
        <f aca="false">IF($A604&lt;&gt;"",$A604,"")</f>
        <v>Apprenant 592</v>
      </c>
      <c r="W604" s="53" t="str">
        <f aca="false">IF(AND(OR('Choix pédagogiques'!$C$3=1,'Choix pédagogiques'!$C$3=2),$BM604=1),B604,IF(AND('Choix pédagogiques'!$C$3=3,$BO604=1),B604,""))</f>
        <v/>
      </c>
      <c r="X604" s="53" t="str">
        <f aca="false">IF(AND(OR('Choix pédagogiques'!$C$3=1,'Choix pédagogiques'!$C$3=2),$BM604=1),C604,IF(AND('Choix pédagogiques'!$C$3=3,$BO604=1),C604,""))</f>
        <v/>
      </c>
      <c r="Y604" s="53" t="str">
        <f aca="false">IF(AND(OR('Choix pédagogiques'!$C$3=1,'Choix pédagogiques'!$C$3=2),$BM604=1),D604,IF(AND('Choix pédagogiques'!$C$3=3,$BO604=1),D604,""))</f>
        <v/>
      </c>
      <c r="Z604" s="53" t="str">
        <f aca="false">IF($E604&lt;&gt;"",$E604,"")</f>
        <v/>
      </c>
      <c r="AA604" s="52" t="str">
        <f aca="false">IF($F604&lt;&gt;"",$F604,"")</f>
        <v>Apprenant 592 ou 592'</v>
      </c>
      <c r="AB604" s="53" t="str">
        <f aca="false">IF(AND(OR('Choix pédagogiques'!$C$3=1,'Choix pédagogiques'!$C$3=2),$BN604=1),G604,IF(AND('Choix pédagogiques'!$C$3=3,$BO604=1),G604,""))</f>
        <v/>
      </c>
      <c r="AC604" s="53" t="str">
        <f aca="false">IF(AND(OR('Choix pédagogiques'!$C$3=1,'Choix pédagogiques'!$C$3=2),$BN604=1),H604,IF(AND('Choix pédagogiques'!$C$3=3,$BO604=1),H604,""))</f>
        <v/>
      </c>
      <c r="AD604" s="53" t="str">
        <f aca="false">IF(AND(OR('Choix pédagogiques'!$C$3=1,'Choix pédagogiques'!$C$3=2),$BN604=1),I604,IF(AND('Choix pédagogiques'!$C$3=3,$BO604=1),I604,""))</f>
        <v/>
      </c>
      <c r="AE604" s="53" t="str">
        <f aca="false">IF($J604&lt;&gt;"",$J604,"")</f>
        <v/>
      </c>
      <c r="AF604" s="52" t="str">
        <f aca="false">IF($A604&lt;&gt;"",$A604,"")</f>
        <v>Apprenant 592</v>
      </c>
      <c r="AG604" s="53" t="str">
        <f aca="false">IF(AND($W604&lt;&gt;"",$X604&lt;&gt;""),$X604-$W604,"")</f>
        <v/>
      </c>
      <c r="AH604" s="53" t="str">
        <f aca="false">IF(AND($W604&lt;&gt;"",$Y604&lt;&gt;""),$Y604-$W604,"")</f>
        <v/>
      </c>
      <c r="AI604" s="53" t="str">
        <f aca="false">IF(AND($X604&lt;&gt;"",$Y604&lt;&gt;""),$Y604-$X604,"")</f>
        <v/>
      </c>
      <c r="AJ604" s="53" t="str">
        <f aca="false">IF($E604&lt;&gt;"",$E604,"")</f>
        <v/>
      </c>
      <c r="AK604" s="52" t="str">
        <f aca="false">IF($F604&lt;&gt;"",$F604,"")</f>
        <v>Apprenant 592 ou 592'</v>
      </c>
      <c r="AL604" s="53" t="str">
        <f aca="false">IF(AND($AB604&lt;&gt;"",$AC604&lt;&gt;""),$AC604-$AB604,"")</f>
        <v/>
      </c>
      <c r="AM604" s="53" t="str">
        <f aca="false">IF(AND($AB604&lt;&gt;"",$AD604&lt;&gt;""),$AD604-$AB604,"")</f>
        <v/>
      </c>
      <c r="AN604" s="53" t="str">
        <f aca="false">IF(AND($AC604&lt;&gt;"",$AD604&lt;&gt;""),$AD604-$AC604,"")</f>
        <v/>
      </c>
      <c r="AO604" s="53" t="str">
        <f aca="false">IF($J604&lt;&gt;"",$J604,"")</f>
        <v/>
      </c>
      <c r="AQ604" s="52" t="str">
        <f aca="false">IF($A604&lt;&gt;"",$A604,"")</f>
        <v>Apprenant 592</v>
      </c>
      <c r="AR604" s="55" t="str">
        <f aca="false">IF(AND('Choix pédagogiques'!$C$4&lt;&gt;"?",'Choix pédagogiques'!$C$5&lt;&gt;"?",W604&lt;&gt;""),(W604-'Choix pédagogiques'!$C$4)/('Choix pédagogiques'!$C$5-'Choix pédagogiques'!$C$4),"")</f>
        <v/>
      </c>
      <c r="AS604" s="55" t="str">
        <f aca="false">IF(AND('Choix pédagogiques'!$C$4&lt;&gt;"?",'Choix pédagogiques'!$C$5&lt;&gt;"?",X604&lt;&gt;""),(X604-'Choix pédagogiques'!$C$4)/('Choix pédagogiques'!$C$5-'Choix pédagogiques'!$C$4),"")</f>
        <v/>
      </c>
      <c r="AT604" s="55" t="str">
        <f aca="false">IF(AND('Choix pédagogiques'!$C$4&lt;&gt;"?",'Choix pédagogiques'!$C$5&lt;&gt;"?",Y604&lt;&gt;""),(Y604-'Choix pédagogiques'!$C$4)/('Choix pédagogiques'!$C$5-'Choix pédagogiques'!$C$4),"")</f>
        <v/>
      </c>
      <c r="AU604" s="53" t="str">
        <f aca="false">IF($E604&lt;&gt;"",$E604,"")</f>
        <v/>
      </c>
      <c r="AV604" s="52" t="str">
        <f aca="false">IF($F604&lt;&gt;"",$F604,"")</f>
        <v>Apprenant 592 ou 592'</v>
      </c>
      <c r="AW604" s="55" t="str">
        <f aca="false">IF(AND('Choix pédagogiques'!$C$4&lt;&gt;"?",'Choix pédagogiques'!$C$5&lt;&gt;"?",AB604&lt;&gt;""),(AB604-'Choix pédagogiques'!$C$4)/('Choix pédagogiques'!$C$5-'Choix pédagogiques'!$C$4),"")</f>
        <v/>
      </c>
      <c r="AX604" s="55" t="str">
        <f aca="false">IF(AND('Choix pédagogiques'!$C$4&lt;&gt;"?",'Choix pédagogiques'!$C$5&lt;&gt;"?",AC604&lt;&gt;""),(AC604-'Choix pédagogiques'!$C$4)/('Choix pédagogiques'!$C$5-'Choix pédagogiques'!$C$4),"")</f>
        <v/>
      </c>
      <c r="AY604" s="55" t="str">
        <f aca="false">IF(AND('Choix pédagogiques'!$C$4&lt;&gt;"?",'Choix pédagogiques'!$C$5&lt;&gt;"?",AD604&lt;&gt;""),(AD604-'Choix pédagogiques'!$C$4)/('Choix pédagogiques'!$C$5-'Choix pédagogiques'!$C$4),"")</f>
        <v/>
      </c>
      <c r="AZ604" s="53" t="str">
        <f aca="false">IF($J604&lt;&gt;"",$J604,"")</f>
        <v/>
      </c>
      <c r="BA604" s="52" t="str">
        <f aca="false">IF($A604&lt;&gt;"",$A604,"")</f>
        <v>Apprenant 592</v>
      </c>
      <c r="BB604" s="55" t="str">
        <f aca="false">IF(AND($AR604&lt;&gt;"",$AS604&lt;&gt;""),$AS604-$AR604,"")</f>
        <v/>
      </c>
      <c r="BC604" s="55" t="str">
        <f aca="false">IF(AND($AR604&lt;&gt;"",$AT604&lt;&gt;""),$AT604-$AR604,"")</f>
        <v/>
      </c>
      <c r="BD604" s="55" t="str">
        <f aca="false">IF(AND($AS604&lt;&gt;"",$AT604&lt;&gt;""),$AT604-$AS604,"")</f>
        <v/>
      </c>
      <c r="BE604" s="53" t="str">
        <f aca="false">IF($E604&lt;&gt;"",$E604,"")</f>
        <v/>
      </c>
      <c r="BF604" s="52" t="str">
        <f aca="false">IF($F604&lt;&gt;"",$F604,"")</f>
        <v>Apprenant 592 ou 592'</v>
      </c>
      <c r="BG604" s="55" t="str">
        <f aca="false">IF(AND($AW604&lt;&gt;"",$AX604&lt;&gt;""),$AX604-$AW604,"")</f>
        <v/>
      </c>
      <c r="BH604" s="55" t="str">
        <f aca="false">IF(AND($AW604&lt;&gt;"",$AY604&lt;&gt;""),$AY604-$AW604,"")</f>
        <v/>
      </c>
      <c r="BI604" s="55" t="str">
        <f aca="false">IF(AND($AX604&lt;&gt;"",$AY604&lt;&gt;""),$AY604-$AX604,"")</f>
        <v/>
      </c>
      <c r="BJ604" s="53" t="str">
        <f aca="false">IF($J604&lt;&gt;"",$J604,"")</f>
        <v/>
      </c>
      <c r="BL604" s="52"/>
      <c r="BM604" s="52" t="str">
        <f aca="false">IF(OR(COUNT(B604:D1603)=0,AND('Choix pédagogiques'!$C$3&lt;&gt;1,'Choix pédagogiques'!$C$3&lt;&gt;2)),"",IF(AND(OR('Choix pédagogiques'!$C$3=1,'Choix pédagogiques'!$C$3=2),$B604&lt;&gt;"",$C604&lt;&gt;"",$D604&lt;&gt;""),1,0))</f>
        <v/>
      </c>
      <c r="BN604" s="52" t="str">
        <f aca="false">IF(OR(COUNT(G604:I1603)=0,AND('Choix pédagogiques'!$C$3&lt;&gt;1,'Choix pédagogiques'!$C$3&lt;&gt;2)),"",IF(AND(OR('Choix pédagogiques'!$C$3=1,'Choix pédagogiques'!$C$3=2),AND($G604&lt;&gt;"",$H604&lt;&gt;"",$I604&lt;&gt;"")),1,0))</f>
        <v/>
      </c>
      <c r="BO604" s="52" t="str">
        <f aca="false">IF(OR(COUNT(B604:D1603)=0,COUNT(G604:I1603)=0,'Choix pédagogiques'!C$3&lt;&gt;3),"",IF(AND('Choix pédagogiques'!$C$3=3,$B604&lt;&gt;"",$C604&lt;&gt;"",$D604&lt;&gt;"",$G604&lt;&gt;"",$H604&lt;&gt;"",$I604&lt;&gt;""),1,0))</f>
        <v/>
      </c>
      <c r="BR604" s="52" t="n">
        <v>472</v>
      </c>
      <c r="BS604" s="52" t="n">
        <v>1831</v>
      </c>
    </row>
    <row r="605" s="54" customFormat="true" ht="18" hidden="false" customHeight="true" outlineLevel="0" collapsed="false">
      <c r="A605" s="57" t="s">
        <v>1141</v>
      </c>
      <c r="B605" s="51"/>
      <c r="C605" s="51"/>
      <c r="D605" s="51"/>
      <c r="E605" s="51"/>
      <c r="F605" s="57" t="s">
        <v>1142</v>
      </c>
      <c r="G605" s="51"/>
      <c r="H605" s="51"/>
      <c r="I605" s="51"/>
      <c r="J605" s="51"/>
      <c r="K605" s="52" t="str">
        <f aca="false">IF($A605&lt;&gt;"",$A605,"")</f>
        <v>Apprenant 593</v>
      </c>
      <c r="L605" s="53" t="str">
        <f aca="false">IF(AND($B605&lt;&gt;"",$C605&lt;&gt;""),$C605-$B605,"")</f>
        <v/>
      </c>
      <c r="M605" s="53" t="str">
        <f aca="false">IF(AND($B605&lt;&gt;"",$D605&lt;&gt;""),$D605-$B605,"")</f>
        <v/>
      </c>
      <c r="N605" s="53" t="str">
        <f aca="false">IF(AND($C605&lt;&gt;"",$D605&lt;&gt;""),$D605-$C605,"")</f>
        <v/>
      </c>
      <c r="O605" s="53" t="str">
        <f aca="false">IF($E605&lt;&gt;"",$E605,"")</f>
        <v/>
      </c>
      <c r="P605" s="52" t="str">
        <f aca="false">IF($F605&lt;&gt;"",$F605,"")</f>
        <v>Apprenant 593 ou 593'</v>
      </c>
      <c r="Q605" s="53" t="str">
        <f aca="false">IF(AND($G605&lt;&gt;"",$H605&lt;&gt;""),$H605-$G605,"")</f>
        <v/>
      </c>
      <c r="R605" s="53" t="str">
        <f aca="false">IF(AND($G605&lt;&gt;"",$I605&lt;&gt;""),$I605-$G605,"")</f>
        <v/>
      </c>
      <c r="S605" s="53" t="str">
        <f aca="false">IF(AND($H605&lt;&gt;"",$I605&lt;&gt;""),$I605-$H605,"")</f>
        <v/>
      </c>
      <c r="T605" s="53" t="str">
        <f aca="false">IF($J605&lt;&gt;"",$J605,"")</f>
        <v/>
      </c>
      <c r="V605" s="52" t="str">
        <f aca="false">IF($A605&lt;&gt;"",$A605,"")</f>
        <v>Apprenant 593</v>
      </c>
      <c r="W605" s="53" t="str">
        <f aca="false">IF(AND(OR('Choix pédagogiques'!$C$3=1,'Choix pédagogiques'!$C$3=2),$BM605=1),B605,IF(AND('Choix pédagogiques'!$C$3=3,$BO605=1),B605,""))</f>
        <v/>
      </c>
      <c r="X605" s="53" t="str">
        <f aca="false">IF(AND(OR('Choix pédagogiques'!$C$3=1,'Choix pédagogiques'!$C$3=2),$BM605=1),C605,IF(AND('Choix pédagogiques'!$C$3=3,$BO605=1),C605,""))</f>
        <v/>
      </c>
      <c r="Y605" s="53" t="str">
        <f aca="false">IF(AND(OR('Choix pédagogiques'!$C$3=1,'Choix pédagogiques'!$C$3=2),$BM605=1),D605,IF(AND('Choix pédagogiques'!$C$3=3,$BO605=1),D605,""))</f>
        <v/>
      </c>
      <c r="Z605" s="53" t="str">
        <f aca="false">IF($E605&lt;&gt;"",$E605,"")</f>
        <v/>
      </c>
      <c r="AA605" s="52" t="str">
        <f aca="false">IF($F605&lt;&gt;"",$F605,"")</f>
        <v>Apprenant 593 ou 593'</v>
      </c>
      <c r="AB605" s="53" t="str">
        <f aca="false">IF(AND(OR('Choix pédagogiques'!$C$3=1,'Choix pédagogiques'!$C$3=2),$BN605=1),G605,IF(AND('Choix pédagogiques'!$C$3=3,$BO605=1),G605,""))</f>
        <v/>
      </c>
      <c r="AC605" s="53" t="str">
        <f aca="false">IF(AND(OR('Choix pédagogiques'!$C$3=1,'Choix pédagogiques'!$C$3=2),$BN605=1),H605,IF(AND('Choix pédagogiques'!$C$3=3,$BO605=1),H605,""))</f>
        <v/>
      </c>
      <c r="AD605" s="53" t="str">
        <f aca="false">IF(AND(OR('Choix pédagogiques'!$C$3=1,'Choix pédagogiques'!$C$3=2),$BN605=1),I605,IF(AND('Choix pédagogiques'!$C$3=3,$BO605=1),I605,""))</f>
        <v/>
      </c>
      <c r="AE605" s="53" t="str">
        <f aca="false">IF($J605&lt;&gt;"",$J605,"")</f>
        <v/>
      </c>
      <c r="AF605" s="52" t="str">
        <f aca="false">IF($A605&lt;&gt;"",$A605,"")</f>
        <v>Apprenant 593</v>
      </c>
      <c r="AG605" s="53" t="str">
        <f aca="false">IF(AND($W605&lt;&gt;"",$X605&lt;&gt;""),$X605-$W605,"")</f>
        <v/>
      </c>
      <c r="AH605" s="53" t="str">
        <f aca="false">IF(AND($W605&lt;&gt;"",$Y605&lt;&gt;""),$Y605-$W605,"")</f>
        <v/>
      </c>
      <c r="AI605" s="53" t="str">
        <f aca="false">IF(AND($X605&lt;&gt;"",$Y605&lt;&gt;""),$Y605-$X605,"")</f>
        <v/>
      </c>
      <c r="AJ605" s="53" t="str">
        <f aca="false">IF($E605&lt;&gt;"",$E605,"")</f>
        <v/>
      </c>
      <c r="AK605" s="52" t="str">
        <f aca="false">IF($F605&lt;&gt;"",$F605,"")</f>
        <v>Apprenant 593 ou 593'</v>
      </c>
      <c r="AL605" s="53" t="str">
        <f aca="false">IF(AND($AB605&lt;&gt;"",$AC605&lt;&gt;""),$AC605-$AB605,"")</f>
        <v/>
      </c>
      <c r="AM605" s="53" t="str">
        <f aca="false">IF(AND($AB605&lt;&gt;"",$AD605&lt;&gt;""),$AD605-$AB605,"")</f>
        <v/>
      </c>
      <c r="AN605" s="53" t="str">
        <f aca="false">IF(AND($AC605&lt;&gt;"",$AD605&lt;&gt;""),$AD605-$AC605,"")</f>
        <v/>
      </c>
      <c r="AO605" s="53" t="str">
        <f aca="false">IF($J605&lt;&gt;"",$J605,"")</f>
        <v/>
      </c>
      <c r="AQ605" s="52" t="str">
        <f aca="false">IF($A605&lt;&gt;"",$A605,"")</f>
        <v>Apprenant 593</v>
      </c>
      <c r="AR605" s="55" t="str">
        <f aca="false">IF(AND('Choix pédagogiques'!$C$4&lt;&gt;"?",'Choix pédagogiques'!$C$5&lt;&gt;"?",W605&lt;&gt;""),(W605-'Choix pédagogiques'!$C$4)/('Choix pédagogiques'!$C$5-'Choix pédagogiques'!$C$4),"")</f>
        <v/>
      </c>
      <c r="AS605" s="55" t="str">
        <f aca="false">IF(AND('Choix pédagogiques'!$C$4&lt;&gt;"?",'Choix pédagogiques'!$C$5&lt;&gt;"?",X605&lt;&gt;""),(X605-'Choix pédagogiques'!$C$4)/('Choix pédagogiques'!$C$5-'Choix pédagogiques'!$C$4),"")</f>
        <v/>
      </c>
      <c r="AT605" s="55" t="str">
        <f aca="false">IF(AND('Choix pédagogiques'!$C$4&lt;&gt;"?",'Choix pédagogiques'!$C$5&lt;&gt;"?",Y605&lt;&gt;""),(Y605-'Choix pédagogiques'!$C$4)/('Choix pédagogiques'!$C$5-'Choix pédagogiques'!$C$4),"")</f>
        <v/>
      </c>
      <c r="AU605" s="53" t="str">
        <f aca="false">IF($E605&lt;&gt;"",$E605,"")</f>
        <v/>
      </c>
      <c r="AV605" s="52" t="str">
        <f aca="false">IF($F605&lt;&gt;"",$F605,"")</f>
        <v>Apprenant 593 ou 593'</v>
      </c>
      <c r="AW605" s="55" t="str">
        <f aca="false">IF(AND('Choix pédagogiques'!$C$4&lt;&gt;"?",'Choix pédagogiques'!$C$5&lt;&gt;"?",AB605&lt;&gt;""),(AB605-'Choix pédagogiques'!$C$4)/('Choix pédagogiques'!$C$5-'Choix pédagogiques'!$C$4),"")</f>
        <v/>
      </c>
      <c r="AX605" s="55" t="str">
        <f aca="false">IF(AND('Choix pédagogiques'!$C$4&lt;&gt;"?",'Choix pédagogiques'!$C$5&lt;&gt;"?",AC605&lt;&gt;""),(AC605-'Choix pédagogiques'!$C$4)/('Choix pédagogiques'!$C$5-'Choix pédagogiques'!$C$4),"")</f>
        <v/>
      </c>
      <c r="AY605" s="55" t="str">
        <f aca="false">IF(AND('Choix pédagogiques'!$C$4&lt;&gt;"?",'Choix pédagogiques'!$C$5&lt;&gt;"?",AD605&lt;&gt;""),(AD605-'Choix pédagogiques'!$C$4)/('Choix pédagogiques'!$C$5-'Choix pédagogiques'!$C$4),"")</f>
        <v/>
      </c>
      <c r="AZ605" s="53" t="str">
        <f aca="false">IF($J605&lt;&gt;"",$J605,"")</f>
        <v/>
      </c>
      <c r="BA605" s="52" t="str">
        <f aca="false">IF($A605&lt;&gt;"",$A605,"")</f>
        <v>Apprenant 593</v>
      </c>
      <c r="BB605" s="55" t="str">
        <f aca="false">IF(AND($AR605&lt;&gt;"",$AS605&lt;&gt;""),$AS605-$AR605,"")</f>
        <v/>
      </c>
      <c r="BC605" s="55" t="str">
        <f aca="false">IF(AND($AR605&lt;&gt;"",$AT605&lt;&gt;""),$AT605-$AR605,"")</f>
        <v/>
      </c>
      <c r="BD605" s="55" t="str">
        <f aca="false">IF(AND($AS605&lt;&gt;"",$AT605&lt;&gt;""),$AT605-$AS605,"")</f>
        <v/>
      </c>
      <c r="BE605" s="53" t="str">
        <f aca="false">IF($E605&lt;&gt;"",$E605,"")</f>
        <v/>
      </c>
      <c r="BF605" s="52" t="str">
        <f aca="false">IF($F605&lt;&gt;"",$F605,"")</f>
        <v>Apprenant 593 ou 593'</v>
      </c>
      <c r="BG605" s="55" t="str">
        <f aca="false">IF(AND($AW605&lt;&gt;"",$AX605&lt;&gt;""),$AX605-$AW605,"")</f>
        <v/>
      </c>
      <c r="BH605" s="55" t="str">
        <f aca="false">IF(AND($AW605&lt;&gt;"",$AY605&lt;&gt;""),$AY605-$AW605,"")</f>
        <v/>
      </c>
      <c r="BI605" s="55" t="str">
        <f aca="false">IF(AND($AX605&lt;&gt;"",$AY605&lt;&gt;""),$AY605-$AX605,"")</f>
        <v/>
      </c>
      <c r="BJ605" s="53" t="str">
        <f aca="false">IF($J605&lt;&gt;"",$J605,"")</f>
        <v/>
      </c>
      <c r="BL605" s="52"/>
      <c r="BM605" s="52" t="str">
        <f aca="false">IF(OR(COUNT(B605:D1604)=0,AND('Choix pédagogiques'!$C$3&lt;&gt;1,'Choix pédagogiques'!$C$3&lt;&gt;2)),"",IF(AND(OR('Choix pédagogiques'!$C$3=1,'Choix pédagogiques'!$C$3=2),$B605&lt;&gt;"",$C605&lt;&gt;"",$D605&lt;&gt;""),1,0))</f>
        <v/>
      </c>
      <c r="BN605" s="52" t="str">
        <f aca="false">IF(OR(COUNT(G605:I1604)=0,AND('Choix pédagogiques'!$C$3&lt;&gt;1,'Choix pédagogiques'!$C$3&lt;&gt;2)),"",IF(AND(OR('Choix pédagogiques'!$C$3=1,'Choix pédagogiques'!$C$3=2),AND($G605&lt;&gt;"",$H605&lt;&gt;"",$I605&lt;&gt;"")),1,0))</f>
        <v/>
      </c>
      <c r="BO605" s="52" t="str">
        <f aca="false">IF(OR(COUNT(B605:D1604)=0,COUNT(G605:I1604)=0,'Choix pédagogiques'!C$3&lt;&gt;3),"",IF(AND('Choix pédagogiques'!$C$3=3,$B605&lt;&gt;"",$C605&lt;&gt;"",$D605&lt;&gt;"",$G605&lt;&gt;"",$H605&lt;&gt;"",$I605&lt;&gt;""),1,0))</f>
        <v/>
      </c>
      <c r="BR605" s="52" t="n">
        <v>99</v>
      </c>
      <c r="BS605" s="52" t="n">
        <v>1995</v>
      </c>
    </row>
    <row r="606" s="54" customFormat="true" ht="18" hidden="false" customHeight="true" outlineLevel="0" collapsed="false">
      <c r="A606" s="57" t="s">
        <v>1143</v>
      </c>
      <c r="B606" s="51"/>
      <c r="C606" s="51"/>
      <c r="D606" s="51"/>
      <c r="E606" s="51"/>
      <c r="F606" s="57" t="s">
        <v>1144</v>
      </c>
      <c r="G606" s="51"/>
      <c r="H606" s="51"/>
      <c r="I606" s="51"/>
      <c r="J606" s="51"/>
      <c r="K606" s="52" t="str">
        <f aca="false">IF($A606&lt;&gt;"",$A606,"")</f>
        <v>Apprenant 594</v>
      </c>
      <c r="L606" s="53" t="str">
        <f aca="false">IF(AND($B606&lt;&gt;"",$C606&lt;&gt;""),$C606-$B606,"")</f>
        <v/>
      </c>
      <c r="M606" s="53" t="str">
        <f aca="false">IF(AND($B606&lt;&gt;"",$D606&lt;&gt;""),$D606-$B606,"")</f>
        <v/>
      </c>
      <c r="N606" s="53" t="str">
        <f aca="false">IF(AND($C606&lt;&gt;"",$D606&lt;&gt;""),$D606-$C606,"")</f>
        <v/>
      </c>
      <c r="O606" s="53" t="str">
        <f aca="false">IF($E606&lt;&gt;"",$E606,"")</f>
        <v/>
      </c>
      <c r="P606" s="52" t="str">
        <f aca="false">IF($F606&lt;&gt;"",$F606,"")</f>
        <v>Apprenant 594 ou 594'</v>
      </c>
      <c r="Q606" s="53" t="str">
        <f aca="false">IF(AND($G606&lt;&gt;"",$H606&lt;&gt;""),$H606-$G606,"")</f>
        <v/>
      </c>
      <c r="R606" s="53" t="str">
        <f aca="false">IF(AND($G606&lt;&gt;"",$I606&lt;&gt;""),$I606-$G606,"")</f>
        <v/>
      </c>
      <c r="S606" s="53" t="str">
        <f aca="false">IF(AND($H606&lt;&gt;"",$I606&lt;&gt;""),$I606-$H606,"")</f>
        <v/>
      </c>
      <c r="T606" s="53" t="str">
        <f aca="false">IF($J606&lt;&gt;"",$J606,"")</f>
        <v/>
      </c>
      <c r="V606" s="52" t="str">
        <f aca="false">IF($A606&lt;&gt;"",$A606,"")</f>
        <v>Apprenant 594</v>
      </c>
      <c r="W606" s="53" t="str">
        <f aca="false">IF(AND(OR('Choix pédagogiques'!$C$3=1,'Choix pédagogiques'!$C$3=2),$BM606=1),B606,IF(AND('Choix pédagogiques'!$C$3=3,$BO606=1),B606,""))</f>
        <v/>
      </c>
      <c r="X606" s="53" t="str">
        <f aca="false">IF(AND(OR('Choix pédagogiques'!$C$3=1,'Choix pédagogiques'!$C$3=2),$BM606=1),C606,IF(AND('Choix pédagogiques'!$C$3=3,$BO606=1),C606,""))</f>
        <v/>
      </c>
      <c r="Y606" s="53" t="str">
        <f aca="false">IF(AND(OR('Choix pédagogiques'!$C$3=1,'Choix pédagogiques'!$C$3=2),$BM606=1),D606,IF(AND('Choix pédagogiques'!$C$3=3,$BO606=1),D606,""))</f>
        <v/>
      </c>
      <c r="Z606" s="53" t="str">
        <f aca="false">IF($E606&lt;&gt;"",$E606,"")</f>
        <v/>
      </c>
      <c r="AA606" s="52" t="str">
        <f aca="false">IF($F606&lt;&gt;"",$F606,"")</f>
        <v>Apprenant 594 ou 594'</v>
      </c>
      <c r="AB606" s="53" t="str">
        <f aca="false">IF(AND(OR('Choix pédagogiques'!$C$3=1,'Choix pédagogiques'!$C$3=2),$BN606=1),G606,IF(AND('Choix pédagogiques'!$C$3=3,$BO606=1),G606,""))</f>
        <v/>
      </c>
      <c r="AC606" s="53" t="str">
        <f aca="false">IF(AND(OR('Choix pédagogiques'!$C$3=1,'Choix pédagogiques'!$C$3=2),$BN606=1),H606,IF(AND('Choix pédagogiques'!$C$3=3,$BO606=1),H606,""))</f>
        <v/>
      </c>
      <c r="AD606" s="53" t="str">
        <f aca="false">IF(AND(OR('Choix pédagogiques'!$C$3=1,'Choix pédagogiques'!$C$3=2),$BN606=1),I606,IF(AND('Choix pédagogiques'!$C$3=3,$BO606=1),I606,""))</f>
        <v/>
      </c>
      <c r="AE606" s="53" t="str">
        <f aca="false">IF($J606&lt;&gt;"",$J606,"")</f>
        <v/>
      </c>
      <c r="AF606" s="52" t="str">
        <f aca="false">IF($A606&lt;&gt;"",$A606,"")</f>
        <v>Apprenant 594</v>
      </c>
      <c r="AG606" s="53" t="str">
        <f aca="false">IF(AND($W606&lt;&gt;"",$X606&lt;&gt;""),$X606-$W606,"")</f>
        <v/>
      </c>
      <c r="AH606" s="53" t="str">
        <f aca="false">IF(AND($W606&lt;&gt;"",$Y606&lt;&gt;""),$Y606-$W606,"")</f>
        <v/>
      </c>
      <c r="AI606" s="53" t="str">
        <f aca="false">IF(AND($X606&lt;&gt;"",$Y606&lt;&gt;""),$Y606-$X606,"")</f>
        <v/>
      </c>
      <c r="AJ606" s="53" t="str">
        <f aca="false">IF($E606&lt;&gt;"",$E606,"")</f>
        <v/>
      </c>
      <c r="AK606" s="52" t="str">
        <f aca="false">IF($F606&lt;&gt;"",$F606,"")</f>
        <v>Apprenant 594 ou 594'</v>
      </c>
      <c r="AL606" s="53" t="str">
        <f aca="false">IF(AND($AB606&lt;&gt;"",$AC606&lt;&gt;""),$AC606-$AB606,"")</f>
        <v/>
      </c>
      <c r="AM606" s="53" t="str">
        <f aca="false">IF(AND($AB606&lt;&gt;"",$AD606&lt;&gt;""),$AD606-$AB606,"")</f>
        <v/>
      </c>
      <c r="AN606" s="53" t="str">
        <f aca="false">IF(AND($AC606&lt;&gt;"",$AD606&lt;&gt;""),$AD606-$AC606,"")</f>
        <v/>
      </c>
      <c r="AO606" s="53" t="str">
        <f aca="false">IF($J606&lt;&gt;"",$J606,"")</f>
        <v/>
      </c>
      <c r="AQ606" s="52" t="str">
        <f aca="false">IF($A606&lt;&gt;"",$A606,"")</f>
        <v>Apprenant 594</v>
      </c>
      <c r="AR606" s="55" t="str">
        <f aca="false">IF(AND('Choix pédagogiques'!$C$4&lt;&gt;"?",'Choix pédagogiques'!$C$5&lt;&gt;"?",W606&lt;&gt;""),(W606-'Choix pédagogiques'!$C$4)/('Choix pédagogiques'!$C$5-'Choix pédagogiques'!$C$4),"")</f>
        <v/>
      </c>
      <c r="AS606" s="55" t="str">
        <f aca="false">IF(AND('Choix pédagogiques'!$C$4&lt;&gt;"?",'Choix pédagogiques'!$C$5&lt;&gt;"?",X606&lt;&gt;""),(X606-'Choix pédagogiques'!$C$4)/('Choix pédagogiques'!$C$5-'Choix pédagogiques'!$C$4),"")</f>
        <v/>
      </c>
      <c r="AT606" s="55" t="str">
        <f aca="false">IF(AND('Choix pédagogiques'!$C$4&lt;&gt;"?",'Choix pédagogiques'!$C$5&lt;&gt;"?",Y606&lt;&gt;""),(Y606-'Choix pédagogiques'!$C$4)/('Choix pédagogiques'!$C$5-'Choix pédagogiques'!$C$4),"")</f>
        <v/>
      </c>
      <c r="AU606" s="53" t="str">
        <f aca="false">IF($E606&lt;&gt;"",$E606,"")</f>
        <v/>
      </c>
      <c r="AV606" s="52" t="str">
        <f aca="false">IF($F606&lt;&gt;"",$F606,"")</f>
        <v>Apprenant 594 ou 594'</v>
      </c>
      <c r="AW606" s="55" t="str">
        <f aca="false">IF(AND('Choix pédagogiques'!$C$4&lt;&gt;"?",'Choix pédagogiques'!$C$5&lt;&gt;"?",AB606&lt;&gt;""),(AB606-'Choix pédagogiques'!$C$4)/('Choix pédagogiques'!$C$5-'Choix pédagogiques'!$C$4),"")</f>
        <v/>
      </c>
      <c r="AX606" s="55" t="str">
        <f aca="false">IF(AND('Choix pédagogiques'!$C$4&lt;&gt;"?",'Choix pédagogiques'!$C$5&lt;&gt;"?",AC606&lt;&gt;""),(AC606-'Choix pédagogiques'!$C$4)/('Choix pédagogiques'!$C$5-'Choix pédagogiques'!$C$4),"")</f>
        <v/>
      </c>
      <c r="AY606" s="55" t="str">
        <f aca="false">IF(AND('Choix pédagogiques'!$C$4&lt;&gt;"?",'Choix pédagogiques'!$C$5&lt;&gt;"?",AD606&lt;&gt;""),(AD606-'Choix pédagogiques'!$C$4)/('Choix pédagogiques'!$C$5-'Choix pédagogiques'!$C$4),"")</f>
        <v/>
      </c>
      <c r="AZ606" s="53" t="str">
        <f aca="false">IF($J606&lt;&gt;"",$J606,"")</f>
        <v/>
      </c>
      <c r="BA606" s="52" t="str">
        <f aca="false">IF($A606&lt;&gt;"",$A606,"")</f>
        <v>Apprenant 594</v>
      </c>
      <c r="BB606" s="55" t="str">
        <f aca="false">IF(AND($AR606&lt;&gt;"",$AS606&lt;&gt;""),$AS606-$AR606,"")</f>
        <v/>
      </c>
      <c r="BC606" s="55" t="str">
        <f aca="false">IF(AND($AR606&lt;&gt;"",$AT606&lt;&gt;""),$AT606-$AR606,"")</f>
        <v/>
      </c>
      <c r="BD606" s="55" t="str">
        <f aca="false">IF(AND($AS606&lt;&gt;"",$AT606&lt;&gt;""),$AT606-$AS606,"")</f>
        <v/>
      </c>
      <c r="BE606" s="53" t="str">
        <f aca="false">IF($E606&lt;&gt;"",$E606,"")</f>
        <v/>
      </c>
      <c r="BF606" s="52" t="str">
        <f aca="false">IF($F606&lt;&gt;"",$F606,"")</f>
        <v>Apprenant 594 ou 594'</v>
      </c>
      <c r="BG606" s="55" t="str">
        <f aca="false">IF(AND($AW606&lt;&gt;"",$AX606&lt;&gt;""),$AX606-$AW606,"")</f>
        <v/>
      </c>
      <c r="BH606" s="55" t="str">
        <f aca="false">IF(AND($AW606&lt;&gt;"",$AY606&lt;&gt;""),$AY606-$AW606,"")</f>
        <v/>
      </c>
      <c r="BI606" s="55" t="str">
        <f aca="false">IF(AND($AX606&lt;&gt;"",$AY606&lt;&gt;""),$AY606-$AX606,"")</f>
        <v/>
      </c>
      <c r="BJ606" s="53" t="str">
        <f aca="false">IF($J606&lt;&gt;"",$J606,"")</f>
        <v/>
      </c>
      <c r="BL606" s="52"/>
      <c r="BM606" s="52" t="str">
        <f aca="false">IF(OR(COUNT(B606:D1605)=0,AND('Choix pédagogiques'!$C$3&lt;&gt;1,'Choix pédagogiques'!$C$3&lt;&gt;2)),"",IF(AND(OR('Choix pédagogiques'!$C$3=1,'Choix pédagogiques'!$C$3=2),$B606&lt;&gt;"",$C606&lt;&gt;"",$D606&lt;&gt;""),1,0))</f>
        <v/>
      </c>
      <c r="BN606" s="52" t="str">
        <f aca="false">IF(OR(COUNT(G606:I1605)=0,AND('Choix pédagogiques'!$C$3&lt;&gt;1,'Choix pédagogiques'!$C$3&lt;&gt;2)),"",IF(AND(OR('Choix pédagogiques'!$C$3=1,'Choix pédagogiques'!$C$3=2),AND($G606&lt;&gt;"",$H606&lt;&gt;"",$I606&lt;&gt;"")),1,0))</f>
        <v/>
      </c>
      <c r="BO606" s="52" t="str">
        <f aca="false">IF(OR(COUNT(B606:D1605)=0,COUNT(G606:I1605)=0,'Choix pédagogiques'!C$3&lt;&gt;3),"",IF(AND('Choix pédagogiques'!$C$3=3,$B606&lt;&gt;"",$C606&lt;&gt;"",$D606&lt;&gt;"",$G606&lt;&gt;"",$H606&lt;&gt;"",$I606&lt;&gt;""),1,0))</f>
        <v/>
      </c>
      <c r="BR606" s="52" t="n">
        <v>947</v>
      </c>
      <c r="BS606" s="52" t="n">
        <v>1546</v>
      </c>
    </row>
    <row r="607" s="54" customFormat="true" ht="18" hidden="false" customHeight="true" outlineLevel="0" collapsed="false">
      <c r="A607" s="57" t="s">
        <v>1145</v>
      </c>
      <c r="B607" s="51"/>
      <c r="C607" s="51"/>
      <c r="D607" s="51"/>
      <c r="E607" s="51"/>
      <c r="F607" s="57" t="s">
        <v>1146</v>
      </c>
      <c r="G607" s="51"/>
      <c r="H607" s="51"/>
      <c r="I607" s="51"/>
      <c r="J607" s="51"/>
      <c r="K607" s="52" t="str">
        <f aca="false">IF($A607&lt;&gt;"",$A607,"")</f>
        <v>Apprenant 595</v>
      </c>
      <c r="L607" s="53" t="str">
        <f aca="false">IF(AND($B607&lt;&gt;"",$C607&lt;&gt;""),$C607-$B607,"")</f>
        <v/>
      </c>
      <c r="M607" s="53" t="str">
        <f aca="false">IF(AND($B607&lt;&gt;"",$D607&lt;&gt;""),$D607-$B607,"")</f>
        <v/>
      </c>
      <c r="N607" s="53" t="str">
        <f aca="false">IF(AND($C607&lt;&gt;"",$D607&lt;&gt;""),$D607-$C607,"")</f>
        <v/>
      </c>
      <c r="O607" s="53" t="str">
        <f aca="false">IF($E607&lt;&gt;"",$E607,"")</f>
        <v/>
      </c>
      <c r="P607" s="52" t="str">
        <f aca="false">IF($F607&lt;&gt;"",$F607,"")</f>
        <v>Apprenant 595 ou 595'</v>
      </c>
      <c r="Q607" s="53" t="str">
        <f aca="false">IF(AND($G607&lt;&gt;"",$H607&lt;&gt;""),$H607-$G607,"")</f>
        <v/>
      </c>
      <c r="R607" s="53" t="str">
        <f aca="false">IF(AND($G607&lt;&gt;"",$I607&lt;&gt;""),$I607-$G607,"")</f>
        <v/>
      </c>
      <c r="S607" s="53" t="str">
        <f aca="false">IF(AND($H607&lt;&gt;"",$I607&lt;&gt;""),$I607-$H607,"")</f>
        <v/>
      </c>
      <c r="T607" s="53" t="str">
        <f aca="false">IF($J607&lt;&gt;"",$J607,"")</f>
        <v/>
      </c>
      <c r="V607" s="52" t="str">
        <f aca="false">IF($A607&lt;&gt;"",$A607,"")</f>
        <v>Apprenant 595</v>
      </c>
      <c r="W607" s="53" t="str">
        <f aca="false">IF(AND(OR('Choix pédagogiques'!$C$3=1,'Choix pédagogiques'!$C$3=2),$BM607=1),B607,IF(AND('Choix pédagogiques'!$C$3=3,$BO607=1),B607,""))</f>
        <v/>
      </c>
      <c r="X607" s="53" t="str">
        <f aca="false">IF(AND(OR('Choix pédagogiques'!$C$3=1,'Choix pédagogiques'!$C$3=2),$BM607=1),C607,IF(AND('Choix pédagogiques'!$C$3=3,$BO607=1),C607,""))</f>
        <v/>
      </c>
      <c r="Y607" s="53" t="str">
        <f aca="false">IF(AND(OR('Choix pédagogiques'!$C$3=1,'Choix pédagogiques'!$C$3=2),$BM607=1),D607,IF(AND('Choix pédagogiques'!$C$3=3,$BO607=1),D607,""))</f>
        <v/>
      </c>
      <c r="Z607" s="53" t="str">
        <f aca="false">IF($E607&lt;&gt;"",$E607,"")</f>
        <v/>
      </c>
      <c r="AA607" s="52" t="str">
        <f aca="false">IF($F607&lt;&gt;"",$F607,"")</f>
        <v>Apprenant 595 ou 595'</v>
      </c>
      <c r="AB607" s="53" t="str">
        <f aca="false">IF(AND(OR('Choix pédagogiques'!$C$3=1,'Choix pédagogiques'!$C$3=2),$BN607=1),G607,IF(AND('Choix pédagogiques'!$C$3=3,$BO607=1),G607,""))</f>
        <v/>
      </c>
      <c r="AC607" s="53" t="str">
        <f aca="false">IF(AND(OR('Choix pédagogiques'!$C$3=1,'Choix pédagogiques'!$C$3=2),$BN607=1),H607,IF(AND('Choix pédagogiques'!$C$3=3,$BO607=1),H607,""))</f>
        <v/>
      </c>
      <c r="AD607" s="53" t="str">
        <f aca="false">IF(AND(OR('Choix pédagogiques'!$C$3=1,'Choix pédagogiques'!$C$3=2),$BN607=1),I607,IF(AND('Choix pédagogiques'!$C$3=3,$BO607=1),I607,""))</f>
        <v/>
      </c>
      <c r="AE607" s="53" t="str">
        <f aca="false">IF($J607&lt;&gt;"",$J607,"")</f>
        <v/>
      </c>
      <c r="AF607" s="52" t="str">
        <f aca="false">IF($A607&lt;&gt;"",$A607,"")</f>
        <v>Apprenant 595</v>
      </c>
      <c r="AG607" s="53" t="str">
        <f aca="false">IF(AND($W607&lt;&gt;"",$X607&lt;&gt;""),$X607-$W607,"")</f>
        <v/>
      </c>
      <c r="AH607" s="53" t="str">
        <f aca="false">IF(AND($W607&lt;&gt;"",$Y607&lt;&gt;""),$Y607-$W607,"")</f>
        <v/>
      </c>
      <c r="AI607" s="53" t="str">
        <f aca="false">IF(AND($X607&lt;&gt;"",$Y607&lt;&gt;""),$Y607-$X607,"")</f>
        <v/>
      </c>
      <c r="AJ607" s="53" t="str">
        <f aca="false">IF($E607&lt;&gt;"",$E607,"")</f>
        <v/>
      </c>
      <c r="AK607" s="52" t="str">
        <f aca="false">IF($F607&lt;&gt;"",$F607,"")</f>
        <v>Apprenant 595 ou 595'</v>
      </c>
      <c r="AL607" s="53" t="str">
        <f aca="false">IF(AND($AB607&lt;&gt;"",$AC607&lt;&gt;""),$AC607-$AB607,"")</f>
        <v/>
      </c>
      <c r="AM607" s="53" t="str">
        <f aca="false">IF(AND($AB607&lt;&gt;"",$AD607&lt;&gt;""),$AD607-$AB607,"")</f>
        <v/>
      </c>
      <c r="AN607" s="53" t="str">
        <f aca="false">IF(AND($AC607&lt;&gt;"",$AD607&lt;&gt;""),$AD607-$AC607,"")</f>
        <v/>
      </c>
      <c r="AO607" s="53" t="str">
        <f aca="false">IF($J607&lt;&gt;"",$J607,"")</f>
        <v/>
      </c>
      <c r="AQ607" s="52" t="str">
        <f aca="false">IF($A607&lt;&gt;"",$A607,"")</f>
        <v>Apprenant 595</v>
      </c>
      <c r="AR607" s="55" t="str">
        <f aca="false">IF(AND('Choix pédagogiques'!$C$4&lt;&gt;"?",'Choix pédagogiques'!$C$5&lt;&gt;"?",W607&lt;&gt;""),(W607-'Choix pédagogiques'!$C$4)/('Choix pédagogiques'!$C$5-'Choix pédagogiques'!$C$4),"")</f>
        <v/>
      </c>
      <c r="AS607" s="55" t="str">
        <f aca="false">IF(AND('Choix pédagogiques'!$C$4&lt;&gt;"?",'Choix pédagogiques'!$C$5&lt;&gt;"?",X607&lt;&gt;""),(X607-'Choix pédagogiques'!$C$4)/('Choix pédagogiques'!$C$5-'Choix pédagogiques'!$C$4),"")</f>
        <v/>
      </c>
      <c r="AT607" s="55" t="str">
        <f aca="false">IF(AND('Choix pédagogiques'!$C$4&lt;&gt;"?",'Choix pédagogiques'!$C$5&lt;&gt;"?",Y607&lt;&gt;""),(Y607-'Choix pédagogiques'!$C$4)/('Choix pédagogiques'!$C$5-'Choix pédagogiques'!$C$4),"")</f>
        <v/>
      </c>
      <c r="AU607" s="53" t="str">
        <f aca="false">IF($E607&lt;&gt;"",$E607,"")</f>
        <v/>
      </c>
      <c r="AV607" s="52" t="str">
        <f aca="false">IF($F607&lt;&gt;"",$F607,"")</f>
        <v>Apprenant 595 ou 595'</v>
      </c>
      <c r="AW607" s="55" t="str">
        <f aca="false">IF(AND('Choix pédagogiques'!$C$4&lt;&gt;"?",'Choix pédagogiques'!$C$5&lt;&gt;"?",AB607&lt;&gt;""),(AB607-'Choix pédagogiques'!$C$4)/('Choix pédagogiques'!$C$5-'Choix pédagogiques'!$C$4),"")</f>
        <v/>
      </c>
      <c r="AX607" s="55" t="str">
        <f aca="false">IF(AND('Choix pédagogiques'!$C$4&lt;&gt;"?",'Choix pédagogiques'!$C$5&lt;&gt;"?",AC607&lt;&gt;""),(AC607-'Choix pédagogiques'!$C$4)/('Choix pédagogiques'!$C$5-'Choix pédagogiques'!$C$4),"")</f>
        <v/>
      </c>
      <c r="AY607" s="55" t="str">
        <f aca="false">IF(AND('Choix pédagogiques'!$C$4&lt;&gt;"?",'Choix pédagogiques'!$C$5&lt;&gt;"?",AD607&lt;&gt;""),(AD607-'Choix pédagogiques'!$C$4)/('Choix pédagogiques'!$C$5-'Choix pédagogiques'!$C$4),"")</f>
        <v/>
      </c>
      <c r="AZ607" s="53" t="str">
        <f aca="false">IF($J607&lt;&gt;"",$J607,"")</f>
        <v/>
      </c>
      <c r="BA607" s="52" t="str">
        <f aca="false">IF($A607&lt;&gt;"",$A607,"")</f>
        <v>Apprenant 595</v>
      </c>
      <c r="BB607" s="55" t="str">
        <f aca="false">IF(AND($AR607&lt;&gt;"",$AS607&lt;&gt;""),$AS607-$AR607,"")</f>
        <v/>
      </c>
      <c r="BC607" s="55" t="str">
        <f aca="false">IF(AND($AR607&lt;&gt;"",$AT607&lt;&gt;""),$AT607-$AR607,"")</f>
        <v/>
      </c>
      <c r="BD607" s="55" t="str">
        <f aca="false">IF(AND($AS607&lt;&gt;"",$AT607&lt;&gt;""),$AT607-$AS607,"")</f>
        <v/>
      </c>
      <c r="BE607" s="53" t="str">
        <f aca="false">IF($E607&lt;&gt;"",$E607,"")</f>
        <v/>
      </c>
      <c r="BF607" s="52" t="str">
        <f aca="false">IF($F607&lt;&gt;"",$F607,"")</f>
        <v>Apprenant 595 ou 595'</v>
      </c>
      <c r="BG607" s="55" t="str">
        <f aca="false">IF(AND($AW607&lt;&gt;"",$AX607&lt;&gt;""),$AX607-$AW607,"")</f>
        <v/>
      </c>
      <c r="BH607" s="55" t="str">
        <f aca="false">IF(AND($AW607&lt;&gt;"",$AY607&lt;&gt;""),$AY607-$AW607,"")</f>
        <v/>
      </c>
      <c r="BI607" s="55" t="str">
        <f aca="false">IF(AND($AX607&lt;&gt;"",$AY607&lt;&gt;""),$AY607-$AX607,"")</f>
        <v/>
      </c>
      <c r="BJ607" s="53" t="str">
        <f aca="false">IF($J607&lt;&gt;"",$J607,"")</f>
        <v/>
      </c>
      <c r="BL607" s="52"/>
      <c r="BM607" s="52" t="str">
        <f aca="false">IF(OR(COUNT(B607:D1606)=0,AND('Choix pédagogiques'!$C$3&lt;&gt;1,'Choix pédagogiques'!$C$3&lt;&gt;2)),"",IF(AND(OR('Choix pédagogiques'!$C$3=1,'Choix pédagogiques'!$C$3=2),$B607&lt;&gt;"",$C607&lt;&gt;"",$D607&lt;&gt;""),1,0))</f>
        <v/>
      </c>
      <c r="BN607" s="52" t="str">
        <f aca="false">IF(OR(COUNT(G607:I1606)=0,AND('Choix pédagogiques'!$C$3&lt;&gt;1,'Choix pédagogiques'!$C$3&lt;&gt;2)),"",IF(AND(OR('Choix pédagogiques'!$C$3=1,'Choix pédagogiques'!$C$3=2),AND($G607&lt;&gt;"",$H607&lt;&gt;"",$I607&lt;&gt;"")),1,0))</f>
        <v/>
      </c>
      <c r="BO607" s="52" t="str">
        <f aca="false">IF(OR(COUNT(B607:D1606)=0,COUNT(G607:I1606)=0,'Choix pédagogiques'!C$3&lt;&gt;3),"",IF(AND('Choix pédagogiques'!$C$3=3,$B607&lt;&gt;"",$C607&lt;&gt;"",$D607&lt;&gt;"",$G607&lt;&gt;"",$H607&lt;&gt;"",$I607&lt;&gt;""),1,0))</f>
        <v/>
      </c>
      <c r="BR607" s="52" t="n">
        <v>250</v>
      </c>
      <c r="BS607" s="52" t="n">
        <v>1947</v>
      </c>
    </row>
    <row r="608" s="54" customFormat="true" ht="18" hidden="false" customHeight="true" outlineLevel="0" collapsed="false">
      <c r="A608" s="57" t="s">
        <v>1147</v>
      </c>
      <c r="B608" s="51"/>
      <c r="C608" s="51"/>
      <c r="D608" s="51"/>
      <c r="E608" s="51"/>
      <c r="F608" s="57" t="s">
        <v>1148</v>
      </c>
      <c r="G608" s="51"/>
      <c r="H608" s="51"/>
      <c r="I608" s="51"/>
      <c r="J608" s="51"/>
      <c r="K608" s="52" t="str">
        <f aca="false">IF($A608&lt;&gt;"",$A608,"")</f>
        <v>Apprenant 596</v>
      </c>
      <c r="L608" s="53" t="str">
        <f aca="false">IF(AND($B608&lt;&gt;"",$C608&lt;&gt;""),$C608-$B608,"")</f>
        <v/>
      </c>
      <c r="M608" s="53" t="str">
        <f aca="false">IF(AND($B608&lt;&gt;"",$D608&lt;&gt;""),$D608-$B608,"")</f>
        <v/>
      </c>
      <c r="N608" s="53" t="str">
        <f aca="false">IF(AND($C608&lt;&gt;"",$D608&lt;&gt;""),$D608-$C608,"")</f>
        <v/>
      </c>
      <c r="O608" s="53" t="str">
        <f aca="false">IF($E608&lt;&gt;"",$E608,"")</f>
        <v/>
      </c>
      <c r="P608" s="52" t="str">
        <f aca="false">IF($F608&lt;&gt;"",$F608,"")</f>
        <v>Apprenant 596 ou 596'</v>
      </c>
      <c r="Q608" s="53" t="str">
        <f aca="false">IF(AND($G608&lt;&gt;"",$H608&lt;&gt;""),$H608-$G608,"")</f>
        <v/>
      </c>
      <c r="R608" s="53" t="str">
        <f aca="false">IF(AND($G608&lt;&gt;"",$I608&lt;&gt;""),$I608-$G608,"")</f>
        <v/>
      </c>
      <c r="S608" s="53" t="str">
        <f aca="false">IF(AND($H608&lt;&gt;"",$I608&lt;&gt;""),$I608-$H608,"")</f>
        <v/>
      </c>
      <c r="T608" s="53" t="str">
        <f aca="false">IF($J608&lt;&gt;"",$J608,"")</f>
        <v/>
      </c>
      <c r="V608" s="52" t="str">
        <f aca="false">IF($A608&lt;&gt;"",$A608,"")</f>
        <v>Apprenant 596</v>
      </c>
      <c r="W608" s="53" t="str">
        <f aca="false">IF(AND(OR('Choix pédagogiques'!$C$3=1,'Choix pédagogiques'!$C$3=2),$BM608=1),B608,IF(AND('Choix pédagogiques'!$C$3=3,$BO608=1),B608,""))</f>
        <v/>
      </c>
      <c r="X608" s="53" t="str">
        <f aca="false">IF(AND(OR('Choix pédagogiques'!$C$3=1,'Choix pédagogiques'!$C$3=2),$BM608=1),C608,IF(AND('Choix pédagogiques'!$C$3=3,$BO608=1),C608,""))</f>
        <v/>
      </c>
      <c r="Y608" s="53" t="str">
        <f aca="false">IF(AND(OR('Choix pédagogiques'!$C$3=1,'Choix pédagogiques'!$C$3=2),$BM608=1),D608,IF(AND('Choix pédagogiques'!$C$3=3,$BO608=1),D608,""))</f>
        <v/>
      </c>
      <c r="Z608" s="53" t="str">
        <f aca="false">IF($E608&lt;&gt;"",$E608,"")</f>
        <v/>
      </c>
      <c r="AA608" s="52" t="str">
        <f aca="false">IF($F608&lt;&gt;"",$F608,"")</f>
        <v>Apprenant 596 ou 596'</v>
      </c>
      <c r="AB608" s="53" t="str">
        <f aca="false">IF(AND(OR('Choix pédagogiques'!$C$3=1,'Choix pédagogiques'!$C$3=2),$BN608=1),G608,IF(AND('Choix pédagogiques'!$C$3=3,$BO608=1),G608,""))</f>
        <v/>
      </c>
      <c r="AC608" s="53" t="str">
        <f aca="false">IF(AND(OR('Choix pédagogiques'!$C$3=1,'Choix pédagogiques'!$C$3=2),$BN608=1),H608,IF(AND('Choix pédagogiques'!$C$3=3,$BO608=1),H608,""))</f>
        <v/>
      </c>
      <c r="AD608" s="53" t="str">
        <f aca="false">IF(AND(OR('Choix pédagogiques'!$C$3=1,'Choix pédagogiques'!$C$3=2),$BN608=1),I608,IF(AND('Choix pédagogiques'!$C$3=3,$BO608=1),I608,""))</f>
        <v/>
      </c>
      <c r="AE608" s="53" t="str">
        <f aca="false">IF($J608&lt;&gt;"",$J608,"")</f>
        <v/>
      </c>
      <c r="AF608" s="52" t="str">
        <f aca="false">IF($A608&lt;&gt;"",$A608,"")</f>
        <v>Apprenant 596</v>
      </c>
      <c r="AG608" s="53" t="str">
        <f aca="false">IF(AND($W608&lt;&gt;"",$X608&lt;&gt;""),$X608-$W608,"")</f>
        <v/>
      </c>
      <c r="AH608" s="53" t="str">
        <f aca="false">IF(AND($W608&lt;&gt;"",$Y608&lt;&gt;""),$Y608-$W608,"")</f>
        <v/>
      </c>
      <c r="AI608" s="53" t="str">
        <f aca="false">IF(AND($X608&lt;&gt;"",$Y608&lt;&gt;""),$Y608-$X608,"")</f>
        <v/>
      </c>
      <c r="AJ608" s="53" t="str">
        <f aca="false">IF($E608&lt;&gt;"",$E608,"")</f>
        <v/>
      </c>
      <c r="AK608" s="52" t="str">
        <f aca="false">IF($F608&lt;&gt;"",$F608,"")</f>
        <v>Apprenant 596 ou 596'</v>
      </c>
      <c r="AL608" s="53" t="str">
        <f aca="false">IF(AND($AB608&lt;&gt;"",$AC608&lt;&gt;""),$AC608-$AB608,"")</f>
        <v/>
      </c>
      <c r="AM608" s="53" t="str">
        <f aca="false">IF(AND($AB608&lt;&gt;"",$AD608&lt;&gt;""),$AD608-$AB608,"")</f>
        <v/>
      </c>
      <c r="AN608" s="53" t="str">
        <f aca="false">IF(AND($AC608&lt;&gt;"",$AD608&lt;&gt;""),$AD608-$AC608,"")</f>
        <v/>
      </c>
      <c r="AO608" s="53" t="str">
        <f aca="false">IF($J608&lt;&gt;"",$J608,"")</f>
        <v/>
      </c>
      <c r="AQ608" s="52" t="str">
        <f aca="false">IF($A608&lt;&gt;"",$A608,"")</f>
        <v>Apprenant 596</v>
      </c>
      <c r="AR608" s="55" t="str">
        <f aca="false">IF(AND('Choix pédagogiques'!$C$4&lt;&gt;"?",'Choix pédagogiques'!$C$5&lt;&gt;"?",W608&lt;&gt;""),(W608-'Choix pédagogiques'!$C$4)/('Choix pédagogiques'!$C$5-'Choix pédagogiques'!$C$4),"")</f>
        <v/>
      </c>
      <c r="AS608" s="55" t="str">
        <f aca="false">IF(AND('Choix pédagogiques'!$C$4&lt;&gt;"?",'Choix pédagogiques'!$C$5&lt;&gt;"?",X608&lt;&gt;""),(X608-'Choix pédagogiques'!$C$4)/('Choix pédagogiques'!$C$5-'Choix pédagogiques'!$C$4),"")</f>
        <v/>
      </c>
      <c r="AT608" s="55" t="str">
        <f aca="false">IF(AND('Choix pédagogiques'!$C$4&lt;&gt;"?",'Choix pédagogiques'!$C$5&lt;&gt;"?",Y608&lt;&gt;""),(Y608-'Choix pédagogiques'!$C$4)/('Choix pédagogiques'!$C$5-'Choix pédagogiques'!$C$4),"")</f>
        <v/>
      </c>
      <c r="AU608" s="53" t="str">
        <f aca="false">IF($E608&lt;&gt;"",$E608,"")</f>
        <v/>
      </c>
      <c r="AV608" s="52" t="str">
        <f aca="false">IF($F608&lt;&gt;"",$F608,"")</f>
        <v>Apprenant 596 ou 596'</v>
      </c>
      <c r="AW608" s="55" t="str">
        <f aca="false">IF(AND('Choix pédagogiques'!$C$4&lt;&gt;"?",'Choix pédagogiques'!$C$5&lt;&gt;"?",AB608&lt;&gt;""),(AB608-'Choix pédagogiques'!$C$4)/('Choix pédagogiques'!$C$5-'Choix pédagogiques'!$C$4),"")</f>
        <v/>
      </c>
      <c r="AX608" s="55" t="str">
        <f aca="false">IF(AND('Choix pédagogiques'!$C$4&lt;&gt;"?",'Choix pédagogiques'!$C$5&lt;&gt;"?",AC608&lt;&gt;""),(AC608-'Choix pédagogiques'!$C$4)/('Choix pédagogiques'!$C$5-'Choix pédagogiques'!$C$4),"")</f>
        <v/>
      </c>
      <c r="AY608" s="55" t="str">
        <f aca="false">IF(AND('Choix pédagogiques'!$C$4&lt;&gt;"?",'Choix pédagogiques'!$C$5&lt;&gt;"?",AD608&lt;&gt;""),(AD608-'Choix pédagogiques'!$C$4)/('Choix pédagogiques'!$C$5-'Choix pédagogiques'!$C$4),"")</f>
        <v/>
      </c>
      <c r="AZ608" s="53" t="str">
        <f aca="false">IF($J608&lt;&gt;"",$J608,"")</f>
        <v/>
      </c>
      <c r="BA608" s="52" t="str">
        <f aca="false">IF($A608&lt;&gt;"",$A608,"")</f>
        <v>Apprenant 596</v>
      </c>
      <c r="BB608" s="55" t="str">
        <f aca="false">IF(AND($AR608&lt;&gt;"",$AS608&lt;&gt;""),$AS608-$AR608,"")</f>
        <v/>
      </c>
      <c r="BC608" s="55" t="str">
        <f aca="false">IF(AND($AR608&lt;&gt;"",$AT608&lt;&gt;""),$AT608-$AR608,"")</f>
        <v/>
      </c>
      <c r="BD608" s="55" t="str">
        <f aca="false">IF(AND($AS608&lt;&gt;"",$AT608&lt;&gt;""),$AT608-$AS608,"")</f>
        <v/>
      </c>
      <c r="BE608" s="53" t="str">
        <f aca="false">IF($E608&lt;&gt;"",$E608,"")</f>
        <v/>
      </c>
      <c r="BF608" s="52" t="str">
        <f aca="false">IF($F608&lt;&gt;"",$F608,"")</f>
        <v>Apprenant 596 ou 596'</v>
      </c>
      <c r="BG608" s="55" t="str">
        <f aca="false">IF(AND($AW608&lt;&gt;"",$AX608&lt;&gt;""),$AX608-$AW608,"")</f>
        <v/>
      </c>
      <c r="BH608" s="55" t="str">
        <f aca="false">IF(AND($AW608&lt;&gt;"",$AY608&lt;&gt;""),$AY608-$AW608,"")</f>
        <v/>
      </c>
      <c r="BI608" s="55" t="str">
        <f aca="false">IF(AND($AX608&lt;&gt;"",$AY608&lt;&gt;""),$AY608-$AX608,"")</f>
        <v/>
      </c>
      <c r="BJ608" s="53" t="str">
        <f aca="false">IF($J608&lt;&gt;"",$J608,"")</f>
        <v/>
      </c>
      <c r="BL608" s="52"/>
      <c r="BM608" s="52" t="str">
        <f aca="false">IF(OR(COUNT(B608:D1607)=0,AND('Choix pédagogiques'!$C$3&lt;&gt;1,'Choix pédagogiques'!$C$3&lt;&gt;2)),"",IF(AND(OR('Choix pédagogiques'!$C$3=1,'Choix pédagogiques'!$C$3=2),$B608&lt;&gt;"",$C608&lt;&gt;"",$D608&lt;&gt;""),1,0))</f>
        <v/>
      </c>
      <c r="BN608" s="52" t="str">
        <f aca="false">IF(OR(COUNT(G608:I1607)=0,AND('Choix pédagogiques'!$C$3&lt;&gt;1,'Choix pédagogiques'!$C$3&lt;&gt;2)),"",IF(AND(OR('Choix pédagogiques'!$C$3=1,'Choix pédagogiques'!$C$3=2),AND($G608&lt;&gt;"",$H608&lt;&gt;"",$I608&lt;&gt;"")),1,0))</f>
        <v/>
      </c>
      <c r="BO608" s="52" t="str">
        <f aca="false">IF(OR(COUNT(B608:D1607)=0,COUNT(G608:I1607)=0,'Choix pédagogiques'!C$3&lt;&gt;3),"",IF(AND('Choix pédagogiques'!$C$3=3,$B608&lt;&gt;"",$C608&lt;&gt;"",$D608&lt;&gt;"",$G608&lt;&gt;"",$H608&lt;&gt;"",$I608&lt;&gt;""),1,0))</f>
        <v/>
      </c>
      <c r="BR608" s="52" t="n">
        <v>82</v>
      </c>
      <c r="BS608" s="52" t="n">
        <v>1943</v>
      </c>
    </row>
    <row r="609" s="54" customFormat="true" ht="18" hidden="false" customHeight="true" outlineLevel="0" collapsed="false">
      <c r="A609" s="57" t="s">
        <v>1149</v>
      </c>
      <c r="B609" s="51"/>
      <c r="C609" s="51"/>
      <c r="D609" s="51"/>
      <c r="E609" s="51"/>
      <c r="F609" s="57" t="s">
        <v>1150</v>
      </c>
      <c r="G609" s="51"/>
      <c r="H609" s="51"/>
      <c r="I609" s="51"/>
      <c r="J609" s="51"/>
      <c r="K609" s="52" t="str">
        <f aca="false">IF($A609&lt;&gt;"",$A609,"")</f>
        <v>Apprenant 597</v>
      </c>
      <c r="L609" s="53" t="str">
        <f aca="false">IF(AND($B609&lt;&gt;"",$C609&lt;&gt;""),$C609-$B609,"")</f>
        <v/>
      </c>
      <c r="M609" s="53" t="str">
        <f aca="false">IF(AND($B609&lt;&gt;"",$D609&lt;&gt;""),$D609-$B609,"")</f>
        <v/>
      </c>
      <c r="N609" s="53" t="str">
        <f aca="false">IF(AND($C609&lt;&gt;"",$D609&lt;&gt;""),$D609-$C609,"")</f>
        <v/>
      </c>
      <c r="O609" s="53" t="str">
        <f aca="false">IF($E609&lt;&gt;"",$E609,"")</f>
        <v/>
      </c>
      <c r="P609" s="52" t="str">
        <f aca="false">IF($F609&lt;&gt;"",$F609,"")</f>
        <v>Apprenant 597 ou 597'</v>
      </c>
      <c r="Q609" s="53" t="str">
        <f aca="false">IF(AND($G609&lt;&gt;"",$H609&lt;&gt;""),$H609-$G609,"")</f>
        <v/>
      </c>
      <c r="R609" s="53" t="str">
        <f aca="false">IF(AND($G609&lt;&gt;"",$I609&lt;&gt;""),$I609-$G609,"")</f>
        <v/>
      </c>
      <c r="S609" s="53" t="str">
        <f aca="false">IF(AND($H609&lt;&gt;"",$I609&lt;&gt;""),$I609-$H609,"")</f>
        <v/>
      </c>
      <c r="T609" s="53" t="str">
        <f aca="false">IF($J609&lt;&gt;"",$J609,"")</f>
        <v/>
      </c>
      <c r="V609" s="52" t="str">
        <f aca="false">IF($A609&lt;&gt;"",$A609,"")</f>
        <v>Apprenant 597</v>
      </c>
      <c r="W609" s="53" t="str">
        <f aca="false">IF(AND(OR('Choix pédagogiques'!$C$3=1,'Choix pédagogiques'!$C$3=2),$BM609=1),B609,IF(AND('Choix pédagogiques'!$C$3=3,$BO609=1),B609,""))</f>
        <v/>
      </c>
      <c r="X609" s="53" t="str">
        <f aca="false">IF(AND(OR('Choix pédagogiques'!$C$3=1,'Choix pédagogiques'!$C$3=2),$BM609=1),C609,IF(AND('Choix pédagogiques'!$C$3=3,$BO609=1),C609,""))</f>
        <v/>
      </c>
      <c r="Y609" s="53" t="str">
        <f aca="false">IF(AND(OR('Choix pédagogiques'!$C$3=1,'Choix pédagogiques'!$C$3=2),$BM609=1),D609,IF(AND('Choix pédagogiques'!$C$3=3,$BO609=1),D609,""))</f>
        <v/>
      </c>
      <c r="Z609" s="53" t="str">
        <f aca="false">IF($E609&lt;&gt;"",$E609,"")</f>
        <v/>
      </c>
      <c r="AA609" s="52" t="str">
        <f aca="false">IF($F609&lt;&gt;"",$F609,"")</f>
        <v>Apprenant 597 ou 597'</v>
      </c>
      <c r="AB609" s="53" t="str">
        <f aca="false">IF(AND(OR('Choix pédagogiques'!$C$3=1,'Choix pédagogiques'!$C$3=2),$BN609=1),G609,IF(AND('Choix pédagogiques'!$C$3=3,$BO609=1),G609,""))</f>
        <v/>
      </c>
      <c r="AC609" s="53" t="str">
        <f aca="false">IF(AND(OR('Choix pédagogiques'!$C$3=1,'Choix pédagogiques'!$C$3=2),$BN609=1),H609,IF(AND('Choix pédagogiques'!$C$3=3,$BO609=1),H609,""))</f>
        <v/>
      </c>
      <c r="AD609" s="53" t="str">
        <f aca="false">IF(AND(OR('Choix pédagogiques'!$C$3=1,'Choix pédagogiques'!$C$3=2),$BN609=1),I609,IF(AND('Choix pédagogiques'!$C$3=3,$BO609=1),I609,""))</f>
        <v/>
      </c>
      <c r="AE609" s="53" t="str">
        <f aca="false">IF($J609&lt;&gt;"",$J609,"")</f>
        <v/>
      </c>
      <c r="AF609" s="52" t="str">
        <f aca="false">IF($A609&lt;&gt;"",$A609,"")</f>
        <v>Apprenant 597</v>
      </c>
      <c r="AG609" s="53" t="str">
        <f aca="false">IF(AND($W609&lt;&gt;"",$X609&lt;&gt;""),$X609-$W609,"")</f>
        <v/>
      </c>
      <c r="AH609" s="53" t="str">
        <f aca="false">IF(AND($W609&lt;&gt;"",$Y609&lt;&gt;""),$Y609-$W609,"")</f>
        <v/>
      </c>
      <c r="AI609" s="53" t="str">
        <f aca="false">IF(AND($X609&lt;&gt;"",$Y609&lt;&gt;""),$Y609-$X609,"")</f>
        <v/>
      </c>
      <c r="AJ609" s="53" t="str">
        <f aca="false">IF($E609&lt;&gt;"",$E609,"")</f>
        <v/>
      </c>
      <c r="AK609" s="52" t="str">
        <f aca="false">IF($F609&lt;&gt;"",$F609,"")</f>
        <v>Apprenant 597 ou 597'</v>
      </c>
      <c r="AL609" s="53" t="str">
        <f aca="false">IF(AND($AB609&lt;&gt;"",$AC609&lt;&gt;""),$AC609-$AB609,"")</f>
        <v/>
      </c>
      <c r="AM609" s="53" t="str">
        <f aca="false">IF(AND($AB609&lt;&gt;"",$AD609&lt;&gt;""),$AD609-$AB609,"")</f>
        <v/>
      </c>
      <c r="AN609" s="53" t="str">
        <f aca="false">IF(AND($AC609&lt;&gt;"",$AD609&lt;&gt;""),$AD609-$AC609,"")</f>
        <v/>
      </c>
      <c r="AO609" s="53" t="str">
        <f aca="false">IF($J609&lt;&gt;"",$J609,"")</f>
        <v/>
      </c>
      <c r="AQ609" s="52" t="str">
        <f aca="false">IF($A609&lt;&gt;"",$A609,"")</f>
        <v>Apprenant 597</v>
      </c>
      <c r="AR609" s="55" t="str">
        <f aca="false">IF(AND('Choix pédagogiques'!$C$4&lt;&gt;"?",'Choix pédagogiques'!$C$5&lt;&gt;"?",W609&lt;&gt;""),(W609-'Choix pédagogiques'!$C$4)/('Choix pédagogiques'!$C$5-'Choix pédagogiques'!$C$4),"")</f>
        <v/>
      </c>
      <c r="AS609" s="55" t="str">
        <f aca="false">IF(AND('Choix pédagogiques'!$C$4&lt;&gt;"?",'Choix pédagogiques'!$C$5&lt;&gt;"?",X609&lt;&gt;""),(X609-'Choix pédagogiques'!$C$4)/('Choix pédagogiques'!$C$5-'Choix pédagogiques'!$C$4),"")</f>
        <v/>
      </c>
      <c r="AT609" s="55" t="str">
        <f aca="false">IF(AND('Choix pédagogiques'!$C$4&lt;&gt;"?",'Choix pédagogiques'!$C$5&lt;&gt;"?",Y609&lt;&gt;""),(Y609-'Choix pédagogiques'!$C$4)/('Choix pédagogiques'!$C$5-'Choix pédagogiques'!$C$4),"")</f>
        <v/>
      </c>
      <c r="AU609" s="53" t="str">
        <f aca="false">IF($E609&lt;&gt;"",$E609,"")</f>
        <v/>
      </c>
      <c r="AV609" s="52" t="str">
        <f aca="false">IF($F609&lt;&gt;"",$F609,"")</f>
        <v>Apprenant 597 ou 597'</v>
      </c>
      <c r="AW609" s="55" t="str">
        <f aca="false">IF(AND('Choix pédagogiques'!$C$4&lt;&gt;"?",'Choix pédagogiques'!$C$5&lt;&gt;"?",AB609&lt;&gt;""),(AB609-'Choix pédagogiques'!$C$4)/('Choix pédagogiques'!$C$5-'Choix pédagogiques'!$C$4),"")</f>
        <v/>
      </c>
      <c r="AX609" s="55" t="str">
        <f aca="false">IF(AND('Choix pédagogiques'!$C$4&lt;&gt;"?",'Choix pédagogiques'!$C$5&lt;&gt;"?",AC609&lt;&gt;""),(AC609-'Choix pédagogiques'!$C$4)/('Choix pédagogiques'!$C$5-'Choix pédagogiques'!$C$4),"")</f>
        <v/>
      </c>
      <c r="AY609" s="55" t="str">
        <f aca="false">IF(AND('Choix pédagogiques'!$C$4&lt;&gt;"?",'Choix pédagogiques'!$C$5&lt;&gt;"?",AD609&lt;&gt;""),(AD609-'Choix pédagogiques'!$C$4)/('Choix pédagogiques'!$C$5-'Choix pédagogiques'!$C$4),"")</f>
        <v/>
      </c>
      <c r="AZ609" s="53" t="str">
        <f aca="false">IF($J609&lt;&gt;"",$J609,"")</f>
        <v/>
      </c>
      <c r="BA609" s="52" t="str">
        <f aca="false">IF($A609&lt;&gt;"",$A609,"")</f>
        <v>Apprenant 597</v>
      </c>
      <c r="BB609" s="55" t="str">
        <f aca="false">IF(AND($AR609&lt;&gt;"",$AS609&lt;&gt;""),$AS609-$AR609,"")</f>
        <v/>
      </c>
      <c r="BC609" s="55" t="str">
        <f aca="false">IF(AND($AR609&lt;&gt;"",$AT609&lt;&gt;""),$AT609-$AR609,"")</f>
        <v/>
      </c>
      <c r="BD609" s="55" t="str">
        <f aca="false">IF(AND($AS609&lt;&gt;"",$AT609&lt;&gt;""),$AT609-$AS609,"")</f>
        <v/>
      </c>
      <c r="BE609" s="53" t="str">
        <f aca="false">IF($E609&lt;&gt;"",$E609,"")</f>
        <v/>
      </c>
      <c r="BF609" s="52" t="str">
        <f aca="false">IF($F609&lt;&gt;"",$F609,"")</f>
        <v>Apprenant 597 ou 597'</v>
      </c>
      <c r="BG609" s="55" t="str">
        <f aca="false">IF(AND($AW609&lt;&gt;"",$AX609&lt;&gt;""),$AX609-$AW609,"")</f>
        <v/>
      </c>
      <c r="BH609" s="55" t="str">
        <f aca="false">IF(AND($AW609&lt;&gt;"",$AY609&lt;&gt;""),$AY609-$AW609,"")</f>
        <v/>
      </c>
      <c r="BI609" s="55" t="str">
        <f aca="false">IF(AND($AX609&lt;&gt;"",$AY609&lt;&gt;""),$AY609-$AX609,"")</f>
        <v/>
      </c>
      <c r="BJ609" s="53" t="str">
        <f aca="false">IF($J609&lt;&gt;"",$J609,"")</f>
        <v/>
      </c>
      <c r="BL609" s="52"/>
      <c r="BM609" s="52" t="str">
        <f aca="false">IF(OR(COUNT(B609:D1608)=0,AND('Choix pédagogiques'!$C$3&lt;&gt;1,'Choix pédagogiques'!$C$3&lt;&gt;2)),"",IF(AND(OR('Choix pédagogiques'!$C$3=1,'Choix pédagogiques'!$C$3=2),$B609&lt;&gt;"",$C609&lt;&gt;"",$D609&lt;&gt;""),1,0))</f>
        <v/>
      </c>
      <c r="BN609" s="52" t="str">
        <f aca="false">IF(OR(COUNT(G609:I1608)=0,AND('Choix pédagogiques'!$C$3&lt;&gt;1,'Choix pédagogiques'!$C$3&lt;&gt;2)),"",IF(AND(OR('Choix pédagogiques'!$C$3=1,'Choix pédagogiques'!$C$3=2),AND($G609&lt;&gt;"",$H609&lt;&gt;"",$I609&lt;&gt;"")),1,0))</f>
        <v/>
      </c>
      <c r="BO609" s="52" t="str">
        <f aca="false">IF(OR(COUNT(B609:D1608)=0,COUNT(G609:I1608)=0,'Choix pédagogiques'!C$3&lt;&gt;3),"",IF(AND('Choix pédagogiques'!$C$3=3,$B609&lt;&gt;"",$C609&lt;&gt;"",$D609&lt;&gt;"",$G609&lt;&gt;"",$H609&lt;&gt;"",$I609&lt;&gt;""),1,0))</f>
        <v/>
      </c>
      <c r="BR609" s="52" t="n">
        <v>119</v>
      </c>
      <c r="BS609" s="52" t="n">
        <v>1571</v>
      </c>
    </row>
    <row r="610" s="54" customFormat="true" ht="18" hidden="false" customHeight="true" outlineLevel="0" collapsed="false">
      <c r="A610" s="57" t="s">
        <v>1151</v>
      </c>
      <c r="B610" s="51"/>
      <c r="C610" s="51"/>
      <c r="D610" s="51"/>
      <c r="E610" s="51"/>
      <c r="F610" s="57" t="s">
        <v>1152</v>
      </c>
      <c r="G610" s="51"/>
      <c r="H610" s="51"/>
      <c r="I610" s="51"/>
      <c r="J610" s="51"/>
      <c r="K610" s="52" t="str">
        <f aca="false">IF($A610&lt;&gt;"",$A610,"")</f>
        <v>Apprenant 598</v>
      </c>
      <c r="L610" s="53" t="str">
        <f aca="false">IF(AND($B610&lt;&gt;"",$C610&lt;&gt;""),$C610-$B610,"")</f>
        <v/>
      </c>
      <c r="M610" s="53" t="str">
        <f aca="false">IF(AND($B610&lt;&gt;"",$D610&lt;&gt;""),$D610-$B610,"")</f>
        <v/>
      </c>
      <c r="N610" s="53" t="str">
        <f aca="false">IF(AND($C610&lt;&gt;"",$D610&lt;&gt;""),$D610-$C610,"")</f>
        <v/>
      </c>
      <c r="O610" s="53" t="str">
        <f aca="false">IF($E610&lt;&gt;"",$E610,"")</f>
        <v/>
      </c>
      <c r="P610" s="52" t="str">
        <f aca="false">IF($F610&lt;&gt;"",$F610,"")</f>
        <v>Apprenant 598 ou 598'</v>
      </c>
      <c r="Q610" s="53" t="str">
        <f aca="false">IF(AND($G610&lt;&gt;"",$H610&lt;&gt;""),$H610-$G610,"")</f>
        <v/>
      </c>
      <c r="R610" s="53" t="str">
        <f aca="false">IF(AND($G610&lt;&gt;"",$I610&lt;&gt;""),$I610-$G610,"")</f>
        <v/>
      </c>
      <c r="S610" s="53" t="str">
        <f aca="false">IF(AND($H610&lt;&gt;"",$I610&lt;&gt;""),$I610-$H610,"")</f>
        <v/>
      </c>
      <c r="T610" s="53" t="str">
        <f aca="false">IF($J610&lt;&gt;"",$J610,"")</f>
        <v/>
      </c>
      <c r="V610" s="52" t="str">
        <f aca="false">IF($A610&lt;&gt;"",$A610,"")</f>
        <v>Apprenant 598</v>
      </c>
      <c r="W610" s="53" t="str">
        <f aca="false">IF(AND(OR('Choix pédagogiques'!$C$3=1,'Choix pédagogiques'!$C$3=2),$BM610=1),B610,IF(AND('Choix pédagogiques'!$C$3=3,$BO610=1),B610,""))</f>
        <v/>
      </c>
      <c r="X610" s="53" t="str">
        <f aca="false">IF(AND(OR('Choix pédagogiques'!$C$3=1,'Choix pédagogiques'!$C$3=2),$BM610=1),C610,IF(AND('Choix pédagogiques'!$C$3=3,$BO610=1),C610,""))</f>
        <v/>
      </c>
      <c r="Y610" s="53" t="str">
        <f aca="false">IF(AND(OR('Choix pédagogiques'!$C$3=1,'Choix pédagogiques'!$C$3=2),$BM610=1),D610,IF(AND('Choix pédagogiques'!$C$3=3,$BO610=1),D610,""))</f>
        <v/>
      </c>
      <c r="Z610" s="53" t="str">
        <f aca="false">IF($E610&lt;&gt;"",$E610,"")</f>
        <v/>
      </c>
      <c r="AA610" s="52" t="str">
        <f aca="false">IF($F610&lt;&gt;"",$F610,"")</f>
        <v>Apprenant 598 ou 598'</v>
      </c>
      <c r="AB610" s="53" t="str">
        <f aca="false">IF(AND(OR('Choix pédagogiques'!$C$3=1,'Choix pédagogiques'!$C$3=2),$BN610=1),G610,IF(AND('Choix pédagogiques'!$C$3=3,$BO610=1),G610,""))</f>
        <v/>
      </c>
      <c r="AC610" s="53" t="str">
        <f aca="false">IF(AND(OR('Choix pédagogiques'!$C$3=1,'Choix pédagogiques'!$C$3=2),$BN610=1),H610,IF(AND('Choix pédagogiques'!$C$3=3,$BO610=1),H610,""))</f>
        <v/>
      </c>
      <c r="AD610" s="53" t="str">
        <f aca="false">IF(AND(OR('Choix pédagogiques'!$C$3=1,'Choix pédagogiques'!$C$3=2),$BN610=1),I610,IF(AND('Choix pédagogiques'!$C$3=3,$BO610=1),I610,""))</f>
        <v/>
      </c>
      <c r="AE610" s="53" t="str">
        <f aca="false">IF($J610&lt;&gt;"",$J610,"")</f>
        <v/>
      </c>
      <c r="AF610" s="52" t="str">
        <f aca="false">IF($A610&lt;&gt;"",$A610,"")</f>
        <v>Apprenant 598</v>
      </c>
      <c r="AG610" s="53" t="str">
        <f aca="false">IF(AND($W610&lt;&gt;"",$X610&lt;&gt;""),$X610-$W610,"")</f>
        <v/>
      </c>
      <c r="AH610" s="53" t="str">
        <f aca="false">IF(AND($W610&lt;&gt;"",$Y610&lt;&gt;""),$Y610-$W610,"")</f>
        <v/>
      </c>
      <c r="AI610" s="53" t="str">
        <f aca="false">IF(AND($X610&lt;&gt;"",$Y610&lt;&gt;""),$Y610-$X610,"")</f>
        <v/>
      </c>
      <c r="AJ610" s="53" t="str">
        <f aca="false">IF($E610&lt;&gt;"",$E610,"")</f>
        <v/>
      </c>
      <c r="AK610" s="52" t="str">
        <f aca="false">IF($F610&lt;&gt;"",$F610,"")</f>
        <v>Apprenant 598 ou 598'</v>
      </c>
      <c r="AL610" s="53" t="str">
        <f aca="false">IF(AND($AB610&lt;&gt;"",$AC610&lt;&gt;""),$AC610-$AB610,"")</f>
        <v/>
      </c>
      <c r="AM610" s="53" t="str">
        <f aca="false">IF(AND($AB610&lt;&gt;"",$AD610&lt;&gt;""),$AD610-$AB610,"")</f>
        <v/>
      </c>
      <c r="AN610" s="53" t="str">
        <f aca="false">IF(AND($AC610&lt;&gt;"",$AD610&lt;&gt;""),$AD610-$AC610,"")</f>
        <v/>
      </c>
      <c r="AO610" s="53" t="str">
        <f aca="false">IF($J610&lt;&gt;"",$J610,"")</f>
        <v/>
      </c>
      <c r="AQ610" s="52" t="str">
        <f aca="false">IF($A610&lt;&gt;"",$A610,"")</f>
        <v>Apprenant 598</v>
      </c>
      <c r="AR610" s="55" t="str">
        <f aca="false">IF(AND('Choix pédagogiques'!$C$4&lt;&gt;"?",'Choix pédagogiques'!$C$5&lt;&gt;"?",W610&lt;&gt;""),(W610-'Choix pédagogiques'!$C$4)/('Choix pédagogiques'!$C$5-'Choix pédagogiques'!$C$4),"")</f>
        <v/>
      </c>
      <c r="AS610" s="55" t="str">
        <f aca="false">IF(AND('Choix pédagogiques'!$C$4&lt;&gt;"?",'Choix pédagogiques'!$C$5&lt;&gt;"?",X610&lt;&gt;""),(X610-'Choix pédagogiques'!$C$4)/('Choix pédagogiques'!$C$5-'Choix pédagogiques'!$C$4),"")</f>
        <v/>
      </c>
      <c r="AT610" s="55" t="str">
        <f aca="false">IF(AND('Choix pédagogiques'!$C$4&lt;&gt;"?",'Choix pédagogiques'!$C$5&lt;&gt;"?",Y610&lt;&gt;""),(Y610-'Choix pédagogiques'!$C$4)/('Choix pédagogiques'!$C$5-'Choix pédagogiques'!$C$4),"")</f>
        <v/>
      </c>
      <c r="AU610" s="53" t="str">
        <f aca="false">IF($E610&lt;&gt;"",$E610,"")</f>
        <v/>
      </c>
      <c r="AV610" s="52" t="str">
        <f aca="false">IF($F610&lt;&gt;"",$F610,"")</f>
        <v>Apprenant 598 ou 598'</v>
      </c>
      <c r="AW610" s="55" t="str">
        <f aca="false">IF(AND('Choix pédagogiques'!$C$4&lt;&gt;"?",'Choix pédagogiques'!$C$5&lt;&gt;"?",AB610&lt;&gt;""),(AB610-'Choix pédagogiques'!$C$4)/('Choix pédagogiques'!$C$5-'Choix pédagogiques'!$C$4),"")</f>
        <v/>
      </c>
      <c r="AX610" s="55" t="str">
        <f aca="false">IF(AND('Choix pédagogiques'!$C$4&lt;&gt;"?",'Choix pédagogiques'!$C$5&lt;&gt;"?",AC610&lt;&gt;""),(AC610-'Choix pédagogiques'!$C$4)/('Choix pédagogiques'!$C$5-'Choix pédagogiques'!$C$4),"")</f>
        <v/>
      </c>
      <c r="AY610" s="55" t="str">
        <f aca="false">IF(AND('Choix pédagogiques'!$C$4&lt;&gt;"?",'Choix pédagogiques'!$C$5&lt;&gt;"?",AD610&lt;&gt;""),(AD610-'Choix pédagogiques'!$C$4)/('Choix pédagogiques'!$C$5-'Choix pédagogiques'!$C$4),"")</f>
        <v/>
      </c>
      <c r="AZ610" s="53" t="str">
        <f aca="false">IF($J610&lt;&gt;"",$J610,"")</f>
        <v/>
      </c>
      <c r="BA610" s="52" t="str">
        <f aca="false">IF($A610&lt;&gt;"",$A610,"")</f>
        <v>Apprenant 598</v>
      </c>
      <c r="BB610" s="55" t="str">
        <f aca="false">IF(AND($AR610&lt;&gt;"",$AS610&lt;&gt;""),$AS610-$AR610,"")</f>
        <v/>
      </c>
      <c r="BC610" s="55" t="str">
        <f aca="false">IF(AND($AR610&lt;&gt;"",$AT610&lt;&gt;""),$AT610-$AR610,"")</f>
        <v/>
      </c>
      <c r="BD610" s="55" t="str">
        <f aca="false">IF(AND($AS610&lt;&gt;"",$AT610&lt;&gt;""),$AT610-$AS610,"")</f>
        <v/>
      </c>
      <c r="BE610" s="53" t="str">
        <f aca="false">IF($E610&lt;&gt;"",$E610,"")</f>
        <v/>
      </c>
      <c r="BF610" s="52" t="str">
        <f aca="false">IF($F610&lt;&gt;"",$F610,"")</f>
        <v>Apprenant 598 ou 598'</v>
      </c>
      <c r="BG610" s="55" t="str">
        <f aca="false">IF(AND($AW610&lt;&gt;"",$AX610&lt;&gt;""),$AX610-$AW610,"")</f>
        <v/>
      </c>
      <c r="BH610" s="55" t="str">
        <f aca="false">IF(AND($AW610&lt;&gt;"",$AY610&lt;&gt;""),$AY610-$AW610,"")</f>
        <v/>
      </c>
      <c r="BI610" s="55" t="str">
        <f aca="false">IF(AND($AX610&lt;&gt;"",$AY610&lt;&gt;""),$AY610-$AX610,"")</f>
        <v/>
      </c>
      <c r="BJ610" s="53" t="str">
        <f aca="false">IF($J610&lt;&gt;"",$J610,"")</f>
        <v/>
      </c>
      <c r="BL610" s="52"/>
      <c r="BM610" s="52" t="str">
        <f aca="false">IF(OR(COUNT(B610:D1609)=0,AND('Choix pédagogiques'!$C$3&lt;&gt;1,'Choix pédagogiques'!$C$3&lt;&gt;2)),"",IF(AND(OR('Choix pédagogiques'!$C$3=1,'Choix pédagogiques'!$C$3=2),$B610&lt;&gt;"",$C610&lt;&gt;"",$D610&lt;&gt;""),1,0))</f>
        <v/>
      </c>
      <c r="BN610" s="52" t="str">
        <f aca="false">IF(OR(COUNT(G610:I1609)=0,AND('Choix pédagogiques'!$C$3&lt;&gt;1,'Choix pédagogiques'!$C$3&lt;&gt;2)),"",IF(AND(OR('Choix pédagogiques'!$C$3=1,'Choix pédagogiques'!$C$3=2),AND($G610&lt;&gt;"",$H610&lt;&gt;"",$I610&lt;&gt;"")),1,0))</f>
        <v/>
      </c>
      <c r="BO610" s="52" t="str">
        <f aca="false">IF(OR(COUNT(B610:D1609)=0,COUNT(G610:I1609)=0,'Choix pédagogiques'!C$3&lt;&gt;3),"",IF(AND('Choix pédagogiques'!$C$3=3,$B610&lt;&gt;"",$C610&lt;&gt;"",$D610&lt;&gt;"",$G610&lt;&gt;"",$H610&lt;&gt;"",$I610&lt;&gt;""),1,0))</f>
        <v/>
      </c>
      <c r="BR610" s="52" t="n">
        <v>945</v>
      </c>
      <c r="BS610" s="52" t="n">
        <v>1030</v>
      </c>
    </row>
    <row r="611" s="54" customFormat="true" ht="18" hidden="false" customHeight="true" outlineLevel="0" collapsed="false">
      <c r="A611" s="57" t="s">
        <v>1153</v>
      </c>
      <c r="B611" s="51"/>
      <c r="C611" s="51"/>
      <c r="D611" s="51"/>
      <c r="E611" s="51"/>
      <c r="F611" s="57" t="s">
        <v>1154</v>
      </c>
      <c r="G611" s="51"/>
      <c r="H611" s="51"/>
      <c r="I611" s="51"/>
      <c r="J611" s="51"/>
      <c r="K611" s="52" t="str">
        <f aca="false">IF($A611&lt;&gt;"",$A611,"")</f>
        <v>Apprenant 599</v>
      </c>
      <c r="L611" s="53" t="str">
        <f aca="false">IF(AND($B611&lt;&gt;"",$C611&lt;&gt;""),$C611-$B611,"")</f>
        <v/>
      </c>
      <c r="M611" s="53" t="str">
        <f aca="false">IF(AND($B611&lt;&gt;"",$D611&lt;&gt;""),$D611-$B611,"")</f>
        <v/>
      </c>
      <c r="N611" s="53" t="str">
        <f aca="false">IF(AND($C611&lt;&gt;"",$D611&lt;&gt;""),$D611-$C611,"")</f>
        <v/>
      </c>
      <c r="O611" s="53" t="str">
        <f aca="false">IF($E611&lt;&gt;"",$E611,"")</f>
        <v/>
      </c>
      <c r="P611" s="52" t="str">
        <f aca="false">IF($F611&lt;&gt;"",$F611,"")</f>
        <v>Apprenant 599 ou 599'</v>
      </c>
      <c r="Q611" s="53" t="str">
        <f aca="false">IF(AND($G611&lt;&gt;"",$H611&lt;&gt;""),$H611-$G611,"")</f>
        <v/>
      </c>
      <c r="R611" s="53" t="str">
        <f aca="false">IF(AND($G611&lt;&gt;"",$I611&lt;&gt;""),$I611-$G611,"")</f>
        <v/>
      </c>
      <c r="S611" s="53" t="str">
        <f aca="false">IF(AND($H611&lt;&gt;"",$I611&lt;&gt;""),$I611-$H611,"")</f>
        <v/>
      </c>
      <c r="T611" s="53" t="str">
        <f aca="false">IF($J611&lt;&gt;"",$J611,"")</f>
        <v/>
      </c>
      <c r="V611" s="52" t="str">
        <f aca="false">IF($A611&lt;&gt;"",$A611,"")</f>
        <v>Apprenant 599</v>
      </c>
      <c r="W611" s="53" t="str">
        <f aca="false">IF(AND(OR('Choix pédagogiques'!$C$3=1,'Choix pédagogiques'!$C$3=2),$BM611=1),B611,IF(AND('Choix pédagogiques'!$C$3=3,$BO611=1),B611,""))</f>
        <v/>
      </c>
      <c r="X611" s="53" t="str">
        <f aca="false">IF(AND(OR('Choix pédagogiques'!$C$3=1,'Choix pédagogiques'!$C$3=2),$BM611=1),C611,IF(AND('Choix pédagogiques'!$C$3=3,$BO611=1),C611,""))</f>
        <v/>
      </c>
      <c r="Y611" s="53" t="str">
        <f aca="false">IF(AND(OR('Choix pédagogiques'!$C$3=1,'Choix pédagogiques'!$C$3=2),$BM611=1),D611,IF(AND('Choix pédagogiques'!$C$3=3,$BO611=1),D611,""))</f>
        <v/>
      </c>
      <c r="Z611" s="53" t="str">
        <f aca="false">IF($E611&lt;&gt;"",$E611,"")</f>
        <v/>
      </c>
      <c r="AA611" s="52" t="str">
        <f aca="false">IF($F611&lt;&gt;"",$F611,"")</f>
        <v>Apprenant 599 ou 599'</v>
      </c>
      <c r="AB611" s="53" t="str">
        <f aca="false">IF(AND(OR('Choix pédagogiques'!$C$3=1,'Choix pédagogiques'!$C$3=2),$BN611=1),G611,IF(AND('Choix pédagogiques'!$C$3=3,$BO611=1),G611,""))</f>
        <v/>
      </c>
      <c r="AC611" s="53" t="str">
        <f aca="false">IF(AND(OR('Choix pédagogiques'!$C$3=1,'Choix pédagogiques'!$C$3=2),$BN611=1),H611,IF(AND('Choix pédagogiques'!$C$3=3,$BO611=1),H611,""))</f>
        <v/>
      </c>
      <c r="AD611" s="53" t="str">
        <f aca="false">IF(AND(OR('Choix pédagogiques'!$C$3=1,'Choix pédagogiques'!$C$3=2),$BN611=1),I611,IF(AND('Choix pédagogiques'!$C$3=3,$BO611=1),I611,""))</f>
        <v/>
      </c>
      <c r="AE611" s="53" t="str">
        <f aca="false">IF($J611&lt;&gt;"",$J611,"")</f>
        <v/>
      </c>
      <c r="AF611" s="52" t="str">
        <f aca="false">IF($A611&lt;&gt;"",$A611,"")</f>
        <v>Apprenant 599</v>
      </c>
      <c r="AG611" s="53" t="str">
        <f aca="false">IF(AND($W611&lt;&gt;"",$X611&lt;&gt;""),$X611-$W611,"")</f>
        <v/>
      </c>
      <c r="AH611" s="53" t="str">
        <f aca="false">IF(AND($W611&lt;&gt;"",$Y611&lt;&gt;""),$Y611-$W611,"")</f>
        <v/>
      </c>
      <c r="AI611" s="53" t="str">
        <f aca="false">IF(AND($X611&lt;&gt;"",$Y611&lt;&gt;""),$Y611-$X611,"")</f>
        <v/>
      </c>
      <c r="AJ611" s="53" t="str">
        <f aca="false">IF($E611&lt;&gt;"",$E611,"")</f>
        <v/>
      </c>
      <c r="AK611" s="52" t="str">
        <f aca="false">IF($F611&lt;&gt;"",$F611,"")</f>
        <v>Apprenant 599 ou 599'</v>
      </c>
      <c r="AL611" s="53" t="str">
        <f aca="false">IF(AND($AB611&lt;&gt;"",$AC611&lt;&gt;""),$AC611-$AB611,"")</f>
        <v/>
      </c>
      <c r="AM611" s="53" t="str">
        <f aca="false">IF(AND($AB611&lt;&gt;"",$AD611&lt;&gt;""),$AD611-$AB611,"")</f>
        <v/>
      </c>
      <c r="AN611" s="53" t="str">
        <f aca="false">IF(AND($AC611&lt;&gt;"",$AD611&lt;&gt;""),$AD611-$AC611,"")</f>
        <v/>
      </c>
      <c r="AO611" s="53" t="str">
        <f aca="false">IF($J611&lt;&gt;"",$J611,"")</f>
        <v/>
      </c>
      <c r="AQ611" s="52" t="str">
        <f aca="false">IF($A611&lt;&gt;"",$A611,"")</f>
        <v>Apprenant 599</v>
      </c>
      <c r="AR611" s="55" t="str">
        <f aca="false">IF(AND('Choix pédagogiques'!$C$4&lt;&gt;"?",'Choix pédagogiques'!$C$5&lt;&gt;"?",W611&lt;&gt;""),(W611-'Choix pédagogiques'!$C$4)/('Choix pédagogiques'!$C$5-'Choix pédagogiques'!$C$4),"")</f>
        <v/>
      </c>
      <c r="AS611" s="55" t="str">
        <f aca="false">IF(AND('Choix pédagogiques'!$C$4&lt;&gt;"?",'Choix pédagogiques'!$C$5&lt;&gt;"?",X611&lt;&gt;""),(X611-'Choix pédagogiques'!$C$4)/('Choix pédagogiques'!$C$5-'Choix pédagogiques'!$C$4),"")</f>
        <v/>
      </c>
      <c r="AT611" s="55" t="str">
        <f aca="false">IF(AND('Choix pédagogiques'!$C$4&lt;&gt;"?",'Choix pédagogiques'!$C$5&lt;&gt;"?",Y611&lt;&gt;""),(Y611-'Choix pédagogiques'!$C$4)/('Choix pédagogiques'!$C$5-'Choix pédagogiques'!$C$4),"")</f>
        <v/>
      </c>
      <c r="AU611" s="53" t="str">
        <f aca="false">IF($E611&lt;&gt;"",$E611,"")</f>
        <v/>
      </c>
      <c r="AV611" s="52" t="str">
        <f aca="false">IF($F611&lt;&gt;"",$F611,"")</f>
        <v>Apprenant 599 ou 599'</v>
      </c>
      <c r="AW611" s="55" t="str">
        <f aca="false">IF(AND('Choix pédagogiques'!$C$4&lt;&gt;"?",'Choix pédagogiques'!$C$5&lt;&gt;"?",AB611&lt;&gt;""),(AB611-'Choix pédagogiques'!$C$4)/('Choix pédagogiques'!$C$5-'Choix pédagogiques'!$C$4),"")</f>
        <v/>
      </c>
      <c r="AX611" s="55" t="str">
        <f aca="false">IF(AND('Choix pédagogiques'!$C$4&lt;&gt;"?",'Choix pédagogiques'!$C$5&lt;&gt;"?",AC611&lt;&gt;""),(AC611-'Choix pédagogiques'!$C$4)/('Choix pédagogiques'!$C$5-'Choix pédagogiques'!$C$4),"")</f>
        <v/>
      </c>
      <c r="AY611" s="55" t="str">
        <f aca="false">IF(AND('Choix pédagogiques'!$C$4&lt;&gt;"?",'Choix pédagogiques'!$C$5&lt;&gt;"?",AD611&lt;&gt;""),(AD611-'Choix pédagogiques'!$C$4)/('Choix pédagogiques'!$C$5-'Choix pédagogiques'!$C$4),"")</f>
        <v/>
      </c>
      <c r="AZ611" s="53" t="str">
        <f aca="false">IF($J611&lt;&gt;"",$J611,"")</f>
        <v/>
      </c>
      <c r="BA611" s="52" t="str">
        <f aca="false">IF($A611&lt;&gt;"",$A611,"")</f>
        <v>Apprenant 599</v>
      </c>
      <c r="BB611" s="55" t="str">
        <f aca="false">IF(AND($AR611&lt;&gt;"",$AS611&lt;&gt;""),$AS611-$AR611,"")</f>
        <v/>
      </c>
      <c r="BC611" s="55" t="str">
        <f aca="false">IF(AND($AR611&lt;&gt;"",$AT611&lt;&gt;""),$AT611-$AR611,"")</f>
        <v/>
      </c>
      <c r="BD611" s="55" t="str">
        <f aca="false">IF(AND($AS611&lt;&gt;"",$AT611&lt;&gt;""),$AT611-$AS611,"")</f>
        <v/>
      </c>
      <c r="BE611" s="53" t="str">
        <f aca="false">IF($E611&lt;&gt;"",$E611,"")</f>
        <v/>
      </c>
      <c r="BF611" s="52" t="str">
        <f aca="false">IF($F611&lt;&gt;"",$F611,"")</f>
        <v>Apprenant 599 ou 599'</v>
      </c>
      <c r="BG611" s="55" t="str">
        <f aca="false">IF(AND($AW611&lt;&gt;"",$AX611&lt;&gt;""),$AX611-$AW611,"")</f>
        <v/>
      </c>
      <c r="BH611" s="55" t="str">
        <f aca="false">IF(AND($AW611&lt;&gt;"",$AY611&lt;&gt;""),$AY611-$AW611,"")</f>
        <v/>
      </c>
      <c r="BI611" s="55" t="str">
        <f aca="false">IF(AND($AX611&lt;&gt;"",$AY611&lt;&gt;""),$AY611-$AX611,"")</f>
        <v/>
      </c>
      <c r="BJ611" s="53" t="str">
        <f aca="false">IF($J611&lt;&gt;"",$J611,"")</f>
        <v/>
      </c>
      <c r="BL611" s="52"/>
      <c r="BM611" s="52" t="str">
        <f aca="false">IF(OR(COUNT(B611:D1610)=0,AND('Choix pédagogiques'!$C$3&lt;&gt;1,'Choix pédagogiques'!$C$3&lt;&gt;2)),"",IF(AND(OR('Choix pédagogiques'!$C$3=1,'Choix pédagogiques'!$C$3=2),$B611&lt;&gt;"",$C611&lt;&gt;"",$D611&lt;&gt;""),1,0))</f>
        <v/>
      </c>
      <c r="BN611" s="52" t="str">
        <f aca="false">IF(OR(COUNT(G611:I1610)=0,AND('Choix pédagogiques'!$C$3&lt;&gt;1,'Choix pédagogiques'!$C$3&lt;&gt;2)),"",IF(AND(OR('Choix pédagogiques'!$C$3=1,'Choix pédagogiques'!$C$3=2),AND($G611&lt;&gt;"",$H611&lt;&gt;"",$I611&lt;&gt;"")),1,0))</f>
        <v/>
      </c>
      <c r="BO611" s="52" t="str">
        <f aca="false">IF(OR(COUNT(B611:D1610)=0,COUNT(G611:I1610)=0,'Choix pédagogiques'!C$3&lt;&gt;3),"",IF(AND('Choix pédagogiques'!$C$3=3,$B611&lt;&gt;"",$C611&lt;&gt;"",$D611&lt;&gt;"",$G611&lt;&gt;"",$H611&lt;&gt;"",$I611&lt;&gt;""),1,0))</f>
        <v/>
      </c>
      <c r="BR611" s="52" t="n">
        <v>2</v>
      </c>
      <c r="BS611" s="52" t="n">
        <v>1684</v>
      </c>
    </row>
    <row r="612" s="54" customFormat="true" ht="18" hidden="false" customHeight="true" outlineLevel="0" collapsed="false">
      <c r="A612" s="57" t="s">
        <v>1155</v>
      </c>
      <c r="B612" s="51"/>
      <c r="C612" s="51"/>
      <c r="D612" s="51"/>
      <c r="E612" s="51"/>
      <c r="F612" s="57" t="s">
        <v>1156</v>
      </c>
      <c r="G612" s="51"/>
      <c r="H612" s="51"/>
      <c r="I612" s="51"/>
      <c r="J612" s="51"/>
      <c r="K612" s="52" t="str">
        <f aca="false">IF($A612&lt;&gt;"",$A612,"")</f>
        <v>Apprenant 600</v>
      </c>
      <c r="L612" s="53" t="str">
        <f aca="false">IF(AND($B612&lt;&gt;"",$C612&lt;&gt;""),$C612-$B612,"")</f>
        <v/>
      </c>
      <c r="M612" s="53" t="str">
        <f aca="false">IF(AND($B612&lt;&gt;"",$D612&lt;&gt;""),$D612-$B612,"")</f>
        <v/>
      </c>
      <c r="N612" s="53" t="str">
        <f aca="false">IF(AND($C612&lt;&gt;"",$D612&lt;&gt;""),$D612-$C612,"")</f>
        <v/>
      </c>
      <c r="O612" s="53" t="str">
        <f aca="false">IF($E612&lt;&gt;"",$E612,"")</f>
        <v/>
      </c>
      <c r="P612" s="52" t="str">
        <f aca="false">IF($F612&lt;&gt;"",$F612,"")</f>
        <v>Apprenant 600 ou 600'</v>
      </c>
      <c r="Q612" s="53" t="str">
        <f aca="false">IF(AND($G612&lt;&gt;"",$H612&lt;&gt;""),$H612-$G612,"")</f>
        <v/>
      </c>
      <c r="R612" s="53" t="str">
        <f aca="false">IF(AND($G612&lt;&gt;"",$I612&lt;&gt;""),$I612-$G612,"")</f>
        <v/>
      </c>
      <c r="S612" s="53" t="str">
        <f aca="false">IF(AND($H612&lt;&gt;"",$I612&lt;&gt;""),$I612-$H612,"")</f>
        <v/>
      </c>
      <c r="T612" s="53" t="str">
        <f aca="false">IF($J612&lt;&gt;"",$J612,"")</f>
        <v/>
      </c>
      <c r="V612" s="52" t="str">
        <f aca="false">IF($A612&lt;&gt;"",$A612,"")</f>
        <v>Apprenant 600</v>
      </c>
      <c r="W612" s="53" t="str">
        <f aca="false">IF(AND(OR('Choix pédagogiques'!$C$3=1,'Choix pédagogiques'!$C$3=2),$BM612=1),B612,IF(AND('Choix pédagogiques'!$C$3=3,$BO612=1),B612,""))</f>
        <v/>
      </c>
      <c r="X612" s="53" t="str">
        <f aca="false">IF(AND(OR('Choix pédagogiques'!$C$3=1,'Choix pédagogiques'!$C$3=2),$BM612=1),C612,IF(AND('Choix pédagogiques'!$C$3=3,$BO612=1),C612,""))</f>
        <v/>
      </c>
      <c r="Y612" s="53" t="str">
        <f aca="false">IF(AND(OR('Choix pédagogiques'!$C$3=1,'Choix pédagogiques'!$C$3=2),$BM612=1),D612,IF(AND('Choix pédagogiques'!$C$3=3,$BO612=1),D612,""))</f>
        <v/>
      </c>
      <c r="Z612" s="53" t="str">
        <f aca="false">IF($E612&lt;&gt;"",$E612,"")</f>
        <v/>
      </c>
      <c r="AA612" s="52" t="str">
        <f aca="false">IF($F612&lt;&gt;"",$F612,"")</f>
        <v>Apprenant 600 ou 600'</v>
      </c>
      <c r="AB612" s="53" t="str">
        <f aca="false">IF(AND(OR('Choix pédagogiques'!$C$3=1,'Choix pédagogiques'!$C$3=2),$BN612=1),G612,IF(AND('Choix pédagogiques'!$C$3=3,$BO612=1),G612,""))</f>
        <v/>
      </c>
      <c r="AC612" s="53" t="str">
        <f aca="false">IF(AND(OR('Choix pédagogiques'!$C$3=1,'Choix pédagogiques'!$C$3=2),$BN612=1),H612,IF(AND('Choix pédagogiques'!$C$3=3,$BO612=1),H612,""))</f>
        <v/>
      </c>
      <c r="AD612" s="53" t="str">
        <f aca="false">IF(AND(OR('Choix pédagogiques'!$C$3=1,'Choix pédagogiques'!$C$3=2),$BN612=1),I612,IF(AND('Choix pédagogiques'!$C$3=3,$BO612=1),I612,""))</f>
        <v/>
      </c>
      <c r="AE612" s="53" t="str">
        <f aca="false">IF($J612&lt;&gt;"",$J612,"")</f>
        <v/>
      </c>
      <c r="AF612" s="52" t="str">
        <f aca="false">IF($A612&lt;&gt;"",$A612,"")</f>
        <v>Apprenant 600</v>
      </c>
      <c r="AG612" s="53" t="str">
        <f aca="false">IF(AND($W612&lt;&gt;"",$X612&lt;&gt;""),$X612-$W612,"")</f>
        <v/>
      </c>
      <c r="AH612" s="53" t="str">
        <f aca="false">IF(AND($W612&lt;&gt;"",$Y612&lt;&gt;""),$Y612-$W612,"")</f>
        <v/>
      </c>
      <c r="AI612" s="53" t="str">
        <f aca="false">IF(AND($X612&lt;&gt;"",$Y612&lt;&gt;""),$Y612-$X612,"")</f>
        <v/>
      </c>
      <c r="AJ612" s="53" t="str">
        <f aca="false">IF($E612&lt;&gt;"",$E612,"")</f>
        <v/>
      </c>
      <c r="AK612" s="52" t="str">
        <f aca="false">IF($F612&lt;&gt;"",$F612,"")</f>
        <v>Apprenant 600 ou 600'</v>
      </c>
      <c r="AL612" s="53" t="str">
        <f aca="false">IF(AND($AB612&lt;&gt;"",$AC612&lt;&gt;""),$AC612-$AB612,"")</f>
        <v/>
      </c>
      <c r="AM612" s="53" t="str">
        <f aca="false">IF(AND($AB612&lt;&gt;"",$AD612&lt;&gt;""),$AD612-$AB612,"")</f>
        <v/>
      </c>
      <c r="AN612" s="53" t="str">
        <f aca="false">IF(AND($AC612&lt;&gt;"",$AD612&lt;&gt;""),$AD612-$AC612,"")</f>
        <v/>
      </c>
      <c r="AO612" s="53" t="str">
        <f aca="false">IF($J612&lt;&gt;"",$J612,"")</f>
        <v/>
      </c>
      <c r="AQ612" s="52" t="str">
        <f aca="false">IF($A612&lt;&gt;"",$A612,"")</f>
        <v>Apprenant 600</v>
      </c>
      <c r="AR612" s="55" t="str">
        <f aca="false">IF(AND('Choix pédagogiques'!$C$4&lt;&gt;"?",'Choix pédagogiques'!$C$5&lt;&gt;"?",W612&lt;&gt;""),(W612-'Choix pédagogiques'!$C$4)/('Choix pédagogiques'!$C$5-'Choix pédagogiques'!$C$4),"")</f>
        <v/>
      </c>
      <c r="AS612" s="55" t="str">
        <f aca="false">IF(AND('Choix pédagogiques'!$C$4&lt;&gt;"?",'Choix pédagogiques'!$C$5&lt;&gt;"?",X612&lt;&gt;""),(X612-'Choix pédagogiques'!$C$4)/('Choix pédagogiques'!$C$5-'Choix pédagogiques'!$C$4),"")</f>
        <v/>
      </c>
      <c r="AT612" s="55" t="str">
        <f aca="false">IF(AND('Choix pédagogiques'!$C$4&lt;&gt;"?",'Choix pédagogiques'!$C$5&lt;&gt;"?",Y612&lt;&gt;""),(Y612-'Choix pédagogiques'!$C$4)/('Choix pédagogiques'!$C$5-'Choix pédagogiques'!$C$4),"")</f>
        <v/>
      </c>
      <c r="AU612" s="53" t="str">
        <f aca="false">IF($E612&lt;&gt;"",$E612,"")</f>
        <v/>
      </c>
      <c r="AV612" s="52" t="str">
        <f aca="false">IF($F612&lt;&gt;"",$F612,"")</f>
        <v>Apprenant 600 ou 600'</v>
      </c>
      <c r="AW612" s="55" t="str">
        <f aca="false">IF(AND('Choix pédagogiques'!$C$4&lt;&gt;"?",'Choix pédagogiques'!$C$5&lt;&gt;"?",AB612&lt;&gt;""),(AB612-'Choix pédagogiques'!$C$4)/('Choix pédagogiques'!$C$5-'Choix pédagogiques'!$C$4),"")</f>
        <v/>
      </c>
      <c r="AX612" s="55" t="str">
        <f aca="false">IF(AND('Choix pédagogiques'!$C$4&lt;&gt;"?",'Choix pédagogiques'!$C$5&lt;&gt;"?",AC612&lt;&gt;""),(AC612-'Choix pédagogiques'!$C$4)/('Choix pédagogiques'!$C$5-'Choix pédagogiques'!$C$4),"")</f>
        <v/>
      </c>
      <c r="AY612" s="55" t="str">
        <f aca="false">IF(AND('Choix pédagogiques'!$C$4&lt;&gt;"?",'Choix pédagogiques'!$C$5&lt;&gt;"?",AD612&lt;&gt;""),(AD612-'Choix pédagogiques'!$C$4)/('Choix pédagogiques'!$C$5-'Choix pédagogiques'!$C$4),"")</f>
        <v/>
      </c>
      <c r="AZ612" s="53" t="str">
        <f aca="false">IF($J612&lt;&gt;"",$J612,"")</f>
        <v/>
      </c>
      <c r="BA612" s="52" t="str">
        <f aca="false">IF($A612&lt;&gt;"",$A612,"")</f>
        <v>Apprenant 600</v>
      </c>
      <c r="BB612" s="55" t="str">
        <f aca="false">IF(AND($AR612&lt;&gt;"",$AS612&lt;&gt;""),$AS612-$AR612,"")</f>
        <v/>
      </c>
      <c r="BC612" s="55" t="str">
        <f aca="false">IF(AND($AR612&lt;&gt;"",$AT612&lt;&gt;""),$AT612-$AR612,"")</f>
        <v/>
      </c>
      <c r="BD612" s="55" t="str">
        <f aca="false">IF(AND($AS612&lt;&gt;"",$AT612&lt;&gt;""),$AT612-$AS612,"")</f>
        <v/>
      </c>
      <c r="BE612" s="53" t="str">
        <f aca="false">IF($E612&lt;&gt;"",$E612,"")</f>
        <v/>
      </c>
      <c r="BF612" s="52" t="str">
        <f aca="false">IF($F612&lt;&gt;"",$F612,"")</f>
        <v>Apprenant 600 ou 600'</v>
      </c>
      <c r="BG612" s="55" t="str">
        <f aca="false">IF(AND($AW612&lt;&gt;"",$AX612&lt;&gt;""),$AX612-$AW612,"")</f>
        <v/>
      </c>
      <c r="BH612" s="55" t="str">
        <f aca="false">IF(AND($AW612&lt;&gt;"",$AY612&lt;&gt;""),$AY612-$AW612,"")</f>
        <v/>
      </c>
      <c r="BI612" s="55" t="str">
        <f aca="false">IF(AND($AX612&lt;&gt;"",$AY612&lt;&gt;""),$AY612-$AX612,"")</f>
        <v/>
      </c>
      <c r="BJ612" s="53" t="str">
        <f aca="false">IF($J612&lt;&gt;"",$J612,"")</f>
        <v/>
      </c>
      <c r="BL612" s="52"/>
      <c r="BM612" s="52" t="str">
        <f aca="false">IF(OR(COUNT(B612:D1611)=0,AND('Choix pédagogiques'!$C$3&lt;&gt;1,'Choix pédagogiques'!$C$3&lt;&gt;2)),"",IF(AND(OR('Choix pédagogiques'!$C$3=1,'Choix pédagogiques'!$C$3=2),$B612&lt;&gt;"",$C612&lt;&gt;"",$D612&lt;&gt;""),1,0))</f>
        <v/>
      </c>
      <c r="BN612" s="52" t="str">
        <f aca="false">IF(OR(COUNT(G612:I1611)=0,AND('Choix pédagogiques'!$C$3&lt;&gt;1,'Choix pédagogiques'!$C$3&lt;&gt;2)),"",IF(AND(OR('Choix pédagogiques'!$C$3=1,'Choix pédagogiques'!$C$3=2),AND($G612&lt;&gt;"",$H612&lt;&gt;"",$I612&lt;&gt;"")),1,0))</f>
        <v/>
      </c>
      <c r="BO612" s="52" t="str">
        <f aca="false">IF(OR(COUNT(B612:D1611)=0,COUNT(G612:I1611)=0,'Choix pédagogiques'!C$3&lt;&gt;3),"",IF(AND('Choix pédagogiques'!$C$3=3,$B612&lt;&gt;"",$C612&lt;&gt;"",$D612&lt;&gt;"",$G612&lt;&gt;"",$H612&lt;&gt;"",$I612&lt;&gt;""),1,0))</f>
        <v/>
      </c>
      <c r="BR612" s="52" t="n">
        <v>465</v>
      </c>
      <c r="BS612" s="52" t="n">
        <v>1338</v>
      </c>
    </row>
    <row r="613" s="54" customFormat="true" ht="18" hidden="false" customHeight="true" outlineLevel="0" collapsed="false">
      <c r="A613" s="57" t="s">
        <v>1157</v>
      </c>
      <c r="B613" s="51"/>
      <c r="C613" s="51"/>
      <c r="D613" s="51"/>
      <c r="E613" s="51"/>
      <c r="F613" s="57" t="s">
        <v>1158</v>
      </c>
      <c r="G613" s="51"/>
      <c r="H613" s="51"/>
      <c r="I613" s="51"/>
      <c r="J613" s="51"/>
      <c r="K613" s="52" t="str">
        <f aca="false">IF($A613&lt;&gt;"",$A613,"")</f>
        <v>Apprenant 601</v>
      </c>
      <c r="L613" s="53" t="str">
        <f aca="false">IF(AND($B613&lt;&gt;"",$C613&lt;&gt;""),$C613-$B613,"")</f>
        <v/>
      </c>
      <c r="M613" s="53" t="str">
        <f aca="false">IF(AND($B613&lt;&gt;"",$D613&lt;&gt;""),$D613-$B613,"")</f>
        <v/>
      </c>
      <c r="N613" s="53" t="str">
        <f aca="false">IF(AND($C613&lt;&gt;"",$D613&lt;&gt;""),$D613-$C613,"")</f>
        <v/>
      </c>
      <c r="O613" s="53" t="str">
        <f aca="false">IF($E613&lt;&gt;"",$E613,"")</f>
        <v/>
      </c>
      <c r="P613" s="52" t="str">
        <f aca="false">IF($F613&lt;&gt;"",$F613,"")</f>
        <v>Apprenant 601 ou 601'</v>
      </c>
      <c r="Q613" s="53" t="str">
        <f aca="false">IF(AND($G613&lt;&gt;"",$H613&lt;&gt;""),$H613-$G613,"")</f>
        <v/>
      </c>
      <c r="R613" s="53" t="str">
        <f aca="false">IF(AND($G613&lt;&gt;"",$I613&lt;&gt;""),$I613-$G613,"")</f>
        <v/>
      </c>
      <c r="S613" s="53" t="str">
        <f aca="false">IF(AND($H613&lt;&gt;"",$I613&lt;&gt;""),$I613-$H613,"")</f>
        <v/>
      </c>
      <c r="T613" s="53" t="str">
        <f aca="false">IF($J613&lt;&gt;"",$J613,"")</f>
        <v/>
      </c>
      <c r="V613" s="52" t="str">
        <f aca="false">IF($A613&lt;&gt;"",$A613,"")</f>
        <v>Apprenant 601</v>
      </c>
      <c r="W613" s="53" t="str">
        <f aca="false">IF(AND(OR('Choix pédagogiques'!$C$3=1,'Choix pédagogiques'!$C$3=2),$BM613=1),B613,IF(AND('Choix pédagogiques'!$C$3=3,$BO613=1),B613,""))</f>
        <v/>
      </c>
      <c r="X613" s="53" t="str">
        <f aca="false">IF(AND(OR('Choix pédagogiques'!$C$3=1,'Choix pédagogiques'!$C$3=2),$BM613=1),C613,IF(AND('Choix pédagogiques'!$C$3=3,$BO613=1),C613,""))</f>
        <v/>
      </c>
      <c r="Y613" s="53" t="str">
        <f aca="false">IF(AND(OR('Choix pédagogiques'!$C$3=1,'Choix pédagogiques'!$C$3=2),$BM613=1),D613,IF(AND('Choix pédagogiques'!$C$3=3,$BO613=1),D613,""))</f>
        <v/>
      </c>
      <c r="Z613" s="53" t="str">
        <f aca="false">IF($E613&lt;&gt;"",$E613,"")</f>
        <v/>
      </c>
      <c r="AA613" s="52" t="str">
        <f aca="false">IF($F613&lt;&gt;"",$F613,"")</f>
        <v>Apprenant 601 ou 601'</v>
      </c>
      <c r="AB613" s="53" t="str">
        <f aca="false">IF(AND(OR('Choix pédagogiques'!$C$3=1,'Choix pédagogiques'!$C$3=2),$BN613=1),G613,IF(AND('Choix pédagogiques'!$C$3=3,$BO613=1),G613,""))</f>
        <v/>
      </c>
      <c r="AC613" s="53" t="str">
        <f aca="false">IF(AND(OR('Choix pédagogiques'!$C$3=1,'Choix pédagogiques'!$C$3=2),$BN613=1),H613,IF(AND('Choix pédagogiques'!$C$3=3,$BO613=1),H613,""))</f>
        <v/>
      </c>
      <c r="AD613" s="53" t="str">
        <f aca="false">IF(AND(OR('Choix pédagogiques'!$C$3=1,'Choix pédagogiques'!$C$3=2),$BN613=1),I613,IF(AND('Choix pédagogiques'!$C$3=3,$BO613=1),I613,""))</f>
        <v/>
      </c>
      <c r="AE613" s="53" t="str">
        <f aca="false">IF($J613&lt;&gt;"",$J613,"")</f>
        <v/>
      </c>
      <c r="AF613" s="52" t="str">
        <f aca="false">IF($A613&lt;&gt;"",$A613,"")</f>
        <v>Apprenant 601</v>
      </c>
      <c r="AG613" s="53" t="str">
        <f aca="false">IF(AND($W613&lt;&gt;"",$X613&lt;&gt;""),$X613-$W613,"")</f>
        <v/>
      </c>
      <c r="AH613" s="53" t="str">
        <f aca="false">IF(AND($W613&lt;&gt;"",$Y613&lt;&gt;""),$Y613-$W613,"")</f>
        <v/>
      </c>
      <c r="AI613" s="53" t="str">
        <f aca="false">IF(AND($X613&lt;&gt;"",$Y613&lt;&gt;""),$Y613-$X613,"")</f>
        <v/>
      </c>
      <c r="AJ613" s="53" t="str">
        <f aca="false">IF($E613&lt;&gt;"",$E613,"")</f>
        <v/>
      </c>
      <c r="AK613" s="52" t="str">
        <f aca="false">IF($F613&lt;&gt;"",$F613,"")</f>
        <v>Apprenant 601 ou 601'</v>
      </c>
      <c r="AL613" s="53" t="str">
        <f aca="false">IF(AND($AB613&lt;&gt;"",$AC613&lt;&gt;""),$AC613-$AB613,"")</f>
        <v/>
      </c>
      <c r="AM613" s="53" t="str">
        <f aca="false">IF(AND($AB613&lt;&gt;"",$AD613&lt;&gt;""),$AD613-$AB613,"")</f>
        <v/>
      </c>
      <c r="AN613" s="53" t="str">
        <f aca="false">IF(AND($AC613&lt;&gt;"",$AD613&lt;&gt;""),$AD613-$AC613,"")</f>
        <v/>
      </c>
      <c r="AO613" s="53" t="str">
        <f aca="false">IF($J613&lt;&gt;"",$J613,"")</f>
        <v/>
      </c>
      <c r="AQ613" s="52" t="str">
        <f aca="false">IF($A613&lt;&gt;"",$A613,"")</f>
        <v>Apprenant 601</v>
      </c>
      <c r="AR613" s="55" t="str">
        <f aca="false">IF(AND('Choix pédagogiques'!$C$4&lt;&gt;"?",'Choix pédagogiques'!$C$5&lt;&gt;"?",W613&lt;&gt;""),(W613-'Choix pédagogiques'!$C$4)/('Choix pédagogiques'!$C$5-'Choix pédagogiques'!$C$4),"")</f>
        <v/>
      </c>
      <c r="AS613" s="55" t="str">
        <f aca="false">IF(AND('Choix pédagogiques'!$C$4&lt;&gt;"?",'Choix pédagogiques'!$C$5&lt;&gt;"?",X613&lt;&gt;""),(X613-'Choix pédagogiques'!$C$4)/('Choix pédagogiques'!$C$5-'Choix pédagogiques'!$C$4),"")</f>
        <v/>
      </c>
      <c r="AT613" s="55" t="str">
        <f aca="false">IF(AND('Choix pédagogiques'!$C$4&lt;&gt;"?",'Choix pédagogiques'!$C$5&lt;&gt;"?",Y613&lt;&gt;""),(Y613-'Choix pédagogiques'!$C$4)/('Choix pédagogiques'!$C$5-'Choix pédagogiques'!$C$4),"")</f>
        <v/>
      </c>
      <c r="AU613" s="53" t="str">
        <f aca="false">IF($E613&lt;&gt;"",$E613,"")</f>
        <v/>
      </c>
      <c r="AV613" s="52" t="str">
        <f aca="false">IF($F613&lt;&gt;"",$F613,"")</f>
        <v>Apprenant 601 ou 601'</v>
      </c>
      <c r="AW613" s="55" t="str">
        <f aca="false">IF(AND('Choix pédagogiques'!$C$4&lt;&gt;"?",'Choix pédagogiques'!$C$5&lt;&gt;"?",AB613&lt;&gt;""),(AB613-'Choix pédagogiques'!$C$4)/('Choix pédagogiques'!$C$5-'Choix pédagogiques'!$C$4),"")</f>
        <v/>
      </c>
      <c r="AX613" s="55" t="str">
        <f aca="false">IF(AND('Choix pédagogiques'!$C$4&lt;&gt;"?",'Choix pédagogiques'!$C$5&lt;&gt;"?",AC613&lt;&gt;""),(AC613-'Choix pédagogiques'!$C$4)/('Choix pédagogiques'!$C$5-'Choix pédagogiques'!$C$4),"")</f>
        <v/>
      </c>
      <c r="AY613" s="55" t="str">
        <f aca="false">IF(AND('Choix pédagogiques'!$C$4&lt;&gt;"?",'Choix pédagogiques'!$C$5&lt;&gt;"?",AD613&lt;&gt;""),(AD613-'Choix pédagogiques'!$C$4)/('Choix pédagogiques'!$C$5-'Choix pédagogiques'!$C$4),"")</f>
        <v/>
      </c>
      <c r="AZ613" s="53" t="str">
        <f aca="false">IF($J613&lt;&gt;"",$J613,"")</f>
        <v/>
      </c>
      <c r="BA613" s="52" t="str">
        <f aca="false">IF($A613&lt;&gt;"",$A613,"")</f>
        <v>Apprenant 601</v>
      </c>
      <c r="BB613" s="55" t="str">
        <f aca="false">IF(AND($AR613&lt;&gt;"",$AS613&lt;&gt;""),$AS613-$AR613,"")</f>
        <v/>
      </c>
      <c r="BC613" s="55" t="str">
        <f aca="false">IF(AND($AR613&lt;&gt;"",$AT613&lt;&gt;""),$AT613-$AR613,"")</f>
        <v/>
      </c>
      <c r="BD613" s="55" t="str">
        <f aca="false">IF(AND($AS613&lt;&gt;"",$AT613&lt;&gt;""),$AT613-$AS613,"")</f>
        <v/>
      </c>
      <c r="BE613" s="53" t="str">
        <f aca="false">IF($E613&lt;&gt;"",$E613,"")</f>
        <v/>
      </c>
      <c r="BF613" s="52" t="str">
        <f aca="false">IF($F613&lt;&gt;"",$F613,"")</f>
        <v>Apprenant 601 ou 601'</v>
      </c>
      <c r="BG613" s="55" t="str">
        <f aca="false">IF(AND($AW613&lt;&gt;"",$AX613&lt;&gt;""),$AX613-$AW613,"")</f>
        <v/>
      </c>
      <c r="BH613" s="55" t="str">
        <f aca="false">IF(AND($AW613&lt;&gt;"",$AY613&lt;&gt;""),$AY613-$AW613,"")</f>
        <v/>
      </c>
      <c r="BI613" s="55" t="str">
        <f aca="false">IF(AND($AX613&lt;&gt;"",$AY613&lt;&gt;""),$AY613-$AX613,"")</f>
        <v/>
      </c>
      <c r="BJ613" s="53" t="str">
        <f aca="false">IF($J613&lt;&gt;"",$J613,"")</f>
        <v/>
      </c>
      <c r="BL613" s="52"/>
      <c r="BM613" s="52" t="str">
        <f aca="false">IF(OR(COUNT(B613:D1612)=0,AND('Choix pédagogiques'!$C$3&lt;&gt;1,'Choix pédagogiques'!$C$3&lt;&gt;2)),"",IF(AND(OR('Choix pédagogiques'!$C$3=1,'Choix pédagogiques'!$C$3=2),$B613&lt;&gt;"",$C613&lt;&gt;"",$D613&lt;&gt;""),1,0))</f>
        <v/>
      </c>
      <c r="BN613" s="52" t="str">
        <f aca="false">IF(OR(COUNT(G613:I1612)=0,AND('Choix pédagogiques'!$C$3&lt;&gt;1,'Choix pédagogiques'!$C$3&lt;&gt;2)),"",IF(AND(OR('Choix pédagogiques'!$C$3=1,'Choix pédagogiques'!$C$3=2),AND($G613&lt;&gt;"",$H613&lt;&gt;"",$I613&lt;&gt;"")),1,0))</f>
        <v/>
      </c>
      <c r="BO613" s="52" t="str">
        <f aca="false">IF(OR(COUNT(B613:D1612)=0,COUNT(G613:I1612)=0,'Choix pédagogiques'!C$3&lt;&gt;3),"",IF(AND('Choix pédagogiques'!$C$3=3,$B613&lt;&gt;"",$C613&lt;&gt;"",$D613&lt;&gt;"",$G613&lt;&gt;"",$H613&lt;&gt;"",$I613&lt;&gt;""),1,0))</f>
        <v/>
      </c>
      <c r="BR613" s="52" t="n">
        <v>257</v>
      </c>
      <c r="BS613" s="52" t="n">
        <v>1413</v>
      </c>
    </row>
    <row r="614" s="54" customFormat="true" ht="18" hidden="false" customHeight="true" outlineLevel="0" collapsed="false">
      <c r="A614" s="57" t="s">
        <v>1159</v>
      </c>
      <c r="B614" s="51"/>
      <c r="C614" s="51"/>
      <c r="D614" s="51"/>
      <c r="E614" s="51"/>
      <c r="F614" s="57" t="s">
        <v>1160</v>
      </c>
      <c r="G614" s="51"/>
      <c r="H614" s="51"/>
      <c r="I614" s="51"/>
      <c r="J614" s="51"/>
      <c r="K614" s="52" t="str">
        <f aca="false">IF($A614&lt;&gt;"",$A614,"")</f>
        <v>Apprenant 602</v>
      </c>
      <c r="L614" s="53" t="str">
        <f aca="false">IF(AND($B614&lt;&gt;"",$C614&lt;&gt;""),$C614-$B614,"")</f>
        <v/>
      </c>
      <c r="M614" s="53" t="str">
        <f aca="false">IF(AND($B614&lt;&gt;"",$D614&lt;&gt;""),$D614-$B614,"")</f>
        <v/>
      </c>
      <c r="N614" s="53" t="str">
        <f aca="false">IF(AND($C614&lt;&gt;"",$D614&lt;&gt;""),$D614-$C614,"")</f>
        <v/>
      </c>
      <c r="O614" s="53" t="str">
        <f aca="false">IF($E614&lt;&gt;"",$E614,"")</f>
        <v/>
      </c>
      <c r="P614" s="52" t="str">
        <f aca="false">IF($F614&lt;&gt;"",$F614,"")</f>
        <v>Apprenant 602 ou 602'</v>
      </c>
      <c r="Q614" s="53" t="str">
        <f aca="false">IF(AND($G614&lt;&gt;"",$H614&lt;&gt;""),$H614-$G614,"")</f>
        <v/>
      </c>
      <c r="R614" s="53" t="str">
        <f aca="false">IF(AND($G614&lt;&gt;"",$I614&lt;&gt;""),$I614-$G614,"")</f>
        <v/>
      </c>
      <c r="S614" s="53" t="str">
        <f aca="false">IF(AND($H614&lt;&gt;"",$I614&lt;&gt;""),$I614-$H614,"")</f>
        <v/>
      </c>
      <c r="T614" s="53" t="str">
        <f aca="false">IF($J614&lt;&gt;"",$J614,"")</f>
        <v/>
      </c>
      <c r="V614" s="52" t="str">
        <f aca="false">IF($A614&lt;&gt;"",$A614,"")</f>
        <v>Apprenant 602</v>
      </c>
      <c r="W614" s="53" t="str">
        <f aca="false">IF(AND(OR('Choix pédagogiques'!$C$3=1,'Choix pédagogiques'!$C$3=2),$BM614=1),B614,IF(AND('Choix pédagogiques'!$C$3=3,$BO614=1),B614,""))</f>
        <v/>
      </c>
      <c r="X614" s="53" t="str">
        <f aca="false">IF(AND(OR('Choix pédagogiques'!$C$3=1,'Choix pédagogiques'!$C$3=2),$BM614=1),C614,IF(AND('Choix pédagogiques'!$C$3=3,$BO614=1),C614,""))</f>
        <v/>
      </c>
      <c r="Y614" s="53" t="str">
        <f aca="false">IF(AND(OR('Choix pédagogiques'!$C$3=1,'Choix pédagogiques'!$C$3=2),$BM614=1),D614,IF(AND('Choix pédagogiques'!$C$3=3,$BO614=1),D614,""))</f>
        <v/>
      </c>
      <c r="Z614" s="53" t="str">
        <f aca="false">IF($E614&lt;&gt;"",$E614,"")</f>
        <v/>
      </c>
      <c r="AA614" s="52" t="str">
        <f aca="false">IF($F614&lt;&gt;"",$F614,"")</f>
        <v>Apprenant 602 ou 602'</v>
      </c>
      <c r="AB614" s="53" t="str">
        <f aca="false">IF(AND(OR('Choix pédagogiques'!$C$3=1,'Choix pédagogiques'!$C$3=2),$BN614=1),G614,IF(AND('Choix pédagogiques'!$C$3=3,$BO614=1),G614,""))</f>
        <v/>
      </c>
      <c r="AC614" s="53" t="str">
        <f aca="false">IF(AND(OR('Choix pédagogiques'!$C$3=1,'Choix pédagogiques'!$C$3=2),$BN614=1),H614,IF(AND('Choix pédagogiques'!$C$3=3,$BO614=1),H614,""))</f>
        <v/>
      </c>
      <c r="AD614" s="53" t="str">
        <f aca="false">IF(AND(OR('Choix pédagogiques'!$C$3=1,'Choix pédagogiques'!$C$3=2),$BN614=1),I614,IF(AND('Choix pédagogiques'!$C$3=3,$BO614=1),I614,""))</f>
        <v/>
      </c>
      <c r="AE614" s="53" t="str">
        <f aca="false">IF($J614&lt;&gt;"",$J614,"")</f>
        <v/>
      </c>
      <c r="AF614" s="52" t="str">
        <f aca="false">IF($A614&lt;&gt;"",$A614,"")</f>
        <v>Apprenant 602</v>
      </c>
      <c r="AG614" s="53" t="str">
        <f aca="false">IF(AND($W614&lt;&gt;"",$X614&lt;&gt;""),$X614-$W614,"")</f>
        <v/>
      </c>
      <c r="AH614" s="53" t="str">
        <f aca="false">IF(AND($W614&lt;&gt;"",$Y614&lt;&gt;""),$Y614-$W614,"")</f>
        <v/>
      </c>
      <c r="AI614" s="53" t="str">
        <f aca="false">IF(AND($X614&lt;&gt;"",$Y614&lt;&gt;""),$Y614-$X614,"")</f>
        <v/>
      </c>
      <c r="AJ614" s="53" t="str">
        <f aca="false">IF($E614&lt;&gt;"",$E614,"")</f>
        <v/>
      </c>
      <c r="AK614" s="52" t="str">
        <f aca="false">IF($F614&lt;&gt;"",$F614,"")</f>
        <v>Apprenant 602 ou 602'</v>
      </c>
      <c r="AL614" s="53" t="str">
        <f aca="false">IF(AND($AB614&lt;&gt;"",$AC614&lt;&gt;""),$AC614-$AB614,"")</f>
        <v/>
      </c>
      <c r="AM614" s="53" t="str">
        <f aca="false">IF(AND($AB614&lt;&gt;"",$AD614&lt;&gt;""),$AD614-$AB614,"")</f>
        <v/>
      </c>
      <c r="AN614" s="53" t="str">
        <f aca="false">IF(AND($AC614&lt;&gt;"",$AD614&lt;&gt;""),$AD614-$AC614,"")</f>
        <v/>
      </c>
      <c r="AO614" s="53" t="str">
        <f aca="false">IF($J614&lt;&gt;"",$J614,"")</f>
        <v/>
      </c>
      <c r="AQ614" s="52" t="str">
        <f aca="false">IF($A614&lt;&gt;"",$A614,"")</f>
        <v>Apprenant 602</v>
      </c>
      <c r="AR614" s="55" t="str">
        <f aca="false">IF(AND('Choix pédagogiques'!$C$4&lt;&gt;"?",'Choix pédagogiques'!$C$5&lt;&gt;"?",W614&lt;&gt;""),(W614-'Choix pédagogiques'!$C$4)/('Choix pédagogiques'!$C$5-'Choix pédagogiques'!$C$4),"")</f>
        <v/>
      </c>
      <c r="AS614" s="55" t="str">
        <f aca="false">IF(AND('Choix pédagogiques'!$C$4&lt;&gt;"?",'Choix pédagogiques'!$C$5&lt;&gt;"?",X614&lt;&gt;""),(X614-'Choix pédagogiques'!$C$4)/('Choix pédagogiques'!$C$5-'Choix pédagogiques'!$C$4),"")</f>
        <v/>
      </c>
      <c r="AT614" s="55" t="str">
        <f aca="false">IF(AND('Choix pédagogiques'!$C$4&lt;&gt;"?",'Choix pédagogiques'!$C$5&lt;&gt;"?",Y614&lt;&gt;""),(Y614-'Choix pédagogiques'!$C$4)/('Choix pédagogiques'!$C$5-'Choix pédagogiques'!$C$4),"")</f>
        <v/>
      </c>
      <c r="AU614" s="53" t="str">
        <f aca="false">IF($E614&lt;&gt;"",$E614,"")</f>
        <v/>
      </c>
      <c r="AV614" s="52" t="str">
        <f aca="false">IF($F614&lt;&gt;"",$F614,"")</f>
        <v>Apprenant 602 ou 602'</v>
      </c>
      <c r="AW614" s="55" t="str">
        <f aca="false">IF(AND('Choix pédagogiques'!$C$4&lt;&gt;"?",'Choix pédagogiques'!$C$5&lt;&gt;"?",AB614&lt;&gt;""),(AB614-'Choix pédagogiques'!$C$4)/('Choix pédagogiques'!$C$5-'Choix pédagogiques'!$C$4),"")</f>
        <v/>
      </c>
      <c r="AX614" s="55" t="str">
        <f aca="false">IF(AND('Choix pédagogiques'!$C$4&lt;&gt;"?",'Choix pédagogiques'!$C$5&lt;&gt;"?",AC614&lt;&gt;""),(AC614-'Choix pédagogiques'!$C$4)/('Choix pédagogiques'!$C$5-'Choix pédagogiques'!$C$4),"")</f>
        <v/>
      </c>
      <c r="AY614" s="55" t="str">
        <f aca="false">IF(AND('Choix pédagogiques'!$C$4&lt;&gt;"?",'Choix pédagogiques'!$C$5&lt;&gt;"?",AD614&lt;&gt;""),(AD614-'Choix pédagogiques'!$C$4)/('Choix pédagogiques'!$C$5-'Choix pédagogiques'!$C$4),"")</f>
        <v/>
      </c>
      <c r="AZ614" s="53" t="str">
        <f aca="false">IF($J614&lt;&gt;"",$J614,"")</f>
        <v/>
      </c>
      <c r="BA614" s="52" t="str">
        <f aca="false">IF($A614&lt;&gt;"",$A614,"")</f>
        <v>Apprenant 602</v>
      </c>
      <c r="BB614" s="55" t="str">
        <f aca="false">IF(AND($AR614&lt;&gt;"",$AS614&lt;&gt;""),$AS614-$AR614,"")</f>
        <v/>
      </c>
      <c r="BC614" s="55" t="str">
        <f aca="false">IF(AND($AR614&lt;&gt;"",$AT614&lt;&gt;""),$AT614-$AR614,"")</f>
        <v/>
      </c>
      <c r="BD614" s="55" t="str">
        <f aca="false">IF(AND($AS614&lt;&gt;"",$AT614&lt;&gt;""),$AT614-$AS614,"")</f>
        <v/>
      </c>
      <c r="BE614" s="53" t="str">
        <f aca="false">IF($E614&lt;&gt;"",$E614,"")</f>
        <v/>
      </c>
      <c r="BF614" s="52" t="str">
        <f aca="false">IF($F614&lt;&gt;"",$F614,"")</f>
        <v>Apprenant 602 ou 602'</v>
      </c>
      <c r="BG614" s="55" t="str">
        <f aca="false">IF(AND($AW614&lt;&gt;"",$AX614&lt;&gt;""),$AX614-$AW614,"")</f>
        <v/>
      </c>
      <c r="BH614" s="55" t="str">
        <f aca="false">IF(AND($AW614&lt;&gt;"",$AY614&lt;&gt;""),$AY614-$AW614,"")</f>
        <v/>
      </c>
      <c r="BI614" s="55" t="str">
        <f aca="false">IF(AND($AX614&lt;&gt;"",$AY614&lt;&gt;""),$AY614-$AX614,"")</f>
        <v/>
      </c>
      <c r="BJ614" s="53" t="str">
        <f aca="false">IF($J614&lt;&gt;"",$J614,"")</f>
        <v/>
      </c>
      <c r="BL614" s="52"/>
      <c r="BM614" s="52" t="str">
        <f aca="false">IF(OR(COUNT(B614:D1613)=0,AND('Choix pédagogiques'!$C$3&lt;&gt;1,'Choix pédagogiques'!$C$3&lt;&gt;2)),"",IF(AND(OR('Choix pédagogiques'!$C$3=1,'Choix pédagogiques'!$C$3=2),$B614&lt;&gt;"",$C614&lt;&gt;"",$D614&lt;&gt;""),1,0))</f>
        <v/>
      </c>
      <c r="BN614" s="52" t="str">
        <f aca="false">IF(OR(COUNT(G614:I1613)=0,AND('Choix pédagogiques'!$C$3&lt;&gt;1,'Choix pédagogiques'!$C$3&lt;&gt;2)),"",IF(AND(OR('Choix pédagogiques'!$C$3=1,'Choix pédagogiques'!$C$3=2),AND($G614&lt;&gt;"",$H614&lt;&gt;"",$I614&lt;&gt;"")),1,0))</f>
        <v/>
      </c>
      <c r="BO614" s="52" t="str">
        <f aca="false">IF(OR(COUNT(B614:D1613)=0,COUNT(G614:I1613)=0,'Choix pédagogiques'!C$3&lt;&gt;3),"",IF(AND('Choix pédagogiques'!$C$3=3,$B614&lt;&gt;"",$C614&lt;&gt;"",$D614&lt;&gt;"",$G614&lt;&gt;"",$H614&lt;&gt;"",$I614&lt;&gt;""),1,0))</f>
        <v/>
      </c>
      <c r="BR614" s="52" t="n">
        <v>460</v>
      </c>
      <c r="BS614" s="52" t="n">
        <v>1707</v>
      </c>
    </row>
    <row r="615" s="54" customFormat="true" ht="18" hidden="false" customHeight="true" outlineLevel="0" collapsed="false">
      <c r="A615" s="57" t="s">
        <v>1161</v>
      </c>
      <c r="B615" s="51"/>
      <c r="C615" s="51"/>
      <c r="D615" s="51"/>
      <c r="E615" s="51"/>
      <c r="F615" s="57" t="s">
        <v>1162</v>
      </c>
      <c r="G615" s="51"/>
      <c r="H615" s="51"/>
      <c r="I615" s="51"/>
      <c r="J615" s="51"/>
      <c r="K615" s="52" t="str">
        <f aca="false">IF($A615&lt;&gt;"",$A615,"")</f>
        <v>Apprenant 603</v>
      </c>
      <c r="L615" s="53" t="str">
        <f aca="false">IF(AND($B615&lt;&gt;"",$C615&lt;&gt;""),$C615-$B615,"")</f>
        <v/>
      </c>
      <c r="M615" s="53" t="str">
        <f aca="false">IF(AND($B615&lt;&gt;"",$D615&lt;&gt;""),$D615-$B615,"")</f>
        <v/>
      </c>
      <c r="N615" s="53" t="str">
        <f aca="false">IF(AND($C615&lt;&gt;"",$D615&lt;&gt;""),$D615-$C615,"")</f>
        <v/>
      </c>
      <c r="O615" s="53" t="str">
        <f aca="false">IF($E615&lt;&gt;"",$E615,"")</f>
        <v/>
      </c>
      <c r="P615" s="52" t="str">
        <f aca="false">IF($F615&lt;&gt;"",$F615,"")</f>
        <v>Apprenant 603 ou 603'</v>
      </c>
      <c r="Q615" s="53" t="str">
        <f aca="false">IF(AND($G615&lt;&gt;"",$H615&lt;&gt;""),$H615-$G615,"")</f>
        <v/>
      </c>
      <c r="R615" s="53" t="str">
        <f aca="false">IF(AND($G615&lt;&gt;"",$I615&lt;&gt;""),$I615-$G615,"")</f>
        <v/>
      </c>
      <c r="S615" s="53" t="str">
        <f aca="false">IF(AND($H615&lt;&gt;"",$I615&lt;&gt;""),$I615-$H615,"")</f>
        <v/>
      </c>
      <c r="T615" s="53" t="str">
        <f aca="false">IF($J615&lt;&gt;"",$J615,"")</f>
        <v/>
      </c>
      <c r="V615" s="52" t="str">
        <f aca="false">IF($A615&lt;&gt;"",$A615,"")</f>
        <v>Apprenant 603</v>
      </c>
      <c r="W615" s="53" t="str">
        <f aca="false">IF(AND(OR('Choix pédagogiques'!$C$3=1,'Choix pédagogiques'!$C$3=2),$BM615=1),B615,IF(AND('Choix pédagogiques'!$C$3=3,$BO615=1),B615,""))</f>
        <v/>
      </c>
      <c r="X615" s="53" t="str">
        <f aca="false">IF(AND(OR('Choix pédagogiques'!$C$3=1,'Choix pédagogiques'!$C$3=2),$BM615=1),C615,IF(AND('Choix pédagogiques'!$C$3=3,$BO615=1),C615,""))</f>
        <v/>
      </c>
      <c r="Y615" s="53" t="str">
        <f aca="false">IF(AND(OR('Choix pédagogiques'!$C$3=1,'Choix pédagogiques'!$C$3=2),$BM615=1),D615,IF(AND('Choix pédagogiques'!$C$3=3,$BO615=1),D615,""))</f>
        <v/>
      </c>
      <c r="Z615" s="53" t="str">
        <f aca="false">IF($E615&lt;&gt;"",$E615,"")</f>
        <v/>
      </c>
      <c r="AA615" s="52" t="str">
        <f aca="false">IF($F615&lt;&gt;"",$F615,"")</f>
        <v>Apprenant 603 ou 603'</v>
      </c>
      <c r="AB615" s="53" t="str">
        <f aca="false">IF(AND(OR('Choix pédagogiques'!$C$3=1,'Choix pédagogiques'!$C$3=2),$BN615=1),G615,IF(AND('Choix pédagogiques'!$C$3=3,$BO615=1),G615,""))</f>
        <v/>
      </c>
      <c r="AC615" s="53" t="str">
        <f aca="false">IF(AND(OR('Choix pédagogiques'!$C$3=1,'Choix pédagogiques'!$C$3=2),$BN615=1),H615,IF(AND('Choix pédagogiques'!$C$3=3,$BO615=1),H615,""))</f>
        <v/>
      </c>
      <c r="AD615" s="53" t="str">
        <f aca="false">IF(AND(OR('Choix pédagogiques'!$C$3=1,'Choix pédagogiques'!$C$3=2),$BN615=1),I615,IF(AND('Choix pédagogiques'!$C$3=3,$BO615=1),I615,""))</f>
        <v/>
      </c>
      <c r="AE615" s="53" t="str">
        <f aca="false">IF($J615&lt;&gt;"",$J615,"")</f>
        <v/>
      </c>
      <c r="AF615" s="52" t="str">
        <f aca="false">IF($A615&lt;&gt;"",$A615,"")</f>
        <v>Apprenant 603</v>
      </c>
      <c r="AG615" s="53" t="str">
        <f aca="false">IF(AND($W615&lt;&gt;"",$X615&lt;&gt;""),$X615-$W615,"")</f>
        <v/>
      </c>
      <c r="AH615" s="53" t="str">
        <f aca="false">IF(AND($W615&lt;&gt;"",$Y615&lt;&gt;""),$Y615-$W615,"")</f>
        <v/>
      </c>
      <c r="AI615" s="53" t="str">
        <f aca="false">IF(AND($X615&lt;&gt;"",$Y615&lt;&gt;""),$Y615-$X615,"")</f>
        <v/>
      </c>
      <c r="AJ615" s="53" t="str">
        <f aca="false">IF($E615&lt;&gt;"",$E615,"")</f>
        <v/>
      </c>
      <c r="AK615" s="52" t="str">
        <f aca="false">IF($F615&lt;&gt;"",$F615,"")</f>
        <v>Apprenant 603 ou 603'</v>
      </c>
      <c r="AL615" s="53" t="str">
        <f aca="false">IF(AND($AB615&lt;&gt;"",$AC615&lt;&gt;""),$AC615-$AB615,"")</f>
        <v/>
      </c>
      <c r="AM615" s="53" t="str">
        <f aca="false">IF(AND($AB615&lt;&gt;"",$AD615&lt;&gt;""),$AD615-$AB615,"")</f>
        <v/>
      </c>
      <c r="AN615" s="53" t="str">
        <f aca="false">IF(AND($AC615&lt;&gt;"",$AD615&lt;&gt;""),$AD615-$AC615,"")</f>
        <v/>
      </c>
      <c r="AO615" s="53" t="str">
        <f aca="false">IF($J615&lt;&gt;"",$J615,"")</f>
        <v/>
      </c>
      <c r="AQ615" s="52" t="str">
        <f aca="false">IF($A615&lt;&gt;"",$A615,"")</f>
        <v>Apprenant 603</v>
      </c>
      <c r="AR615" s="55" t="str">
        <f aca="false">IF(AND('Choix pédagogiques'!$C$4&lt;&gt;"?",'Choix pédagogiques'!$C$5&lt;&gt;"?",W615&lt;&gt;""),(W615-'Choix pédagogiques'!$C$4)/('Choix pédagogiques'!$C$5-'Choix pédagogiques'!$C$4),"")</f>
        <v/>
      </c>
      <c r="AS615" s="55" t="str">
        <f aca="false">IF(AND('Choix pédagogiques'!$C$4&lt;&gt;"?",'Choix pédagogiques'!$C$5&lt;&gt;"?",X615&lt;&gt;""),(X615-'Choix pédagogiques'!$C$4)/('Choix pédagogiques'!$C$5-'Choix pédagogiques'!$C$4),"")</f>
        <v/>
      </c>
      <c r="AT615" s="55" t="str">
        <f aca="false">IF(AND('Choix pédagogiques'!$C$4&lt;&gt;"?",'Choix pédagogiques'!$C$5&lt;&gt;"?",Y615&lt;&gt;""),(Y615-'Choix pédagogiques'!$C$4)/('Choix pédagogiques'!$C$5-'Choix pédagogiques'!$C$4),"")</f>
        <v/>
      </c>
      <c r="AU615" s="53" t="str">
        <f aca="false">IF($E615&lt;&gt;"",$E615,"")</f>
        <v/>
      </c>
      <c r="AV615" s="52" t="str">
        <f aca="false">IF($F615&lt;&gt;"",$F615,"")</f>
        <v>Apprenant 603 ou 603'</v>
      </c>
      <c r="AW615" s="55" t="str">
        <f aca="false">IF(AND('Choix pédagogiques'!$C$4&lt;&gt;"?",'Choix pédagogiques'!$C$5&lt;&gt;"?",AB615&lt;&gt;""),(AB615-'Choix pédagogiques'!$C$4)/('Choix pédagogiques'!$C$5-'Choix pédagogiques'!$C$4),"")</f>
        <v/>
      </c>
      <c r="AX615" s="55" t="str">
        <f aca="false">IF(AND('Choix pédagogiques'!$C$4&lt;&gt;"?",'Choix pédagogiques'!$C$5&lt;&gt;"?",AC615&lt;&gt;""),(AC615-'Choix pédagogiques'!$C$4)/('Choix pédagogiques'!$C$5-'Choix pédagogiques'!$C$4),"")</f>
        <v/>
      </c>
      <c r="AY615" s="55" t="str">
        <f aca="false">IF(AND('Choix pédagogiques'!$C$4&lt;&gt;"?",'Choix pédagogiques'!$C$5&lt;&gt;"?",AD615&lt;&gt;""),(AD615-'Choix pédagogiques'!$C$4)/('Choix pédagogiques'!$C$5-'Choix pédagogiques'!$C$4),"")</f>
        <v/>
      </c>
      <c r="AZ615" s="53" t="str">
        <f aca="false">IF($J615&lt;&gt;"",$J615,"")</f>
        <v/>
      </c>
      <c r="BA615" s="52" t="str">
        <f aca="false">IF($A615&lt;&gt;"",$A615,"")</f>
        <v>Apprenant 603</v>
      </c>
      <c r="BB615" s="55" t="str">
        <f aca="false">IF(AND($AR615&lt;&gt;"",$AS615&lt;&gt;""),$AS615-$AR615,"")</f>
        <v/>
      </c>
      <c r="BC615" s="55" t="str">
        <f aca="false">IF(AND($AR615&lt;&gt;"",$AT615&lt;&gt;""),$AT615-$AR615,"")</f>
        <v/>
      </c>
      <c r="BD615" s="55" t="str">
        <f aca="false">IF(AND($AS615&lt;&gt;"",$AT615&lt;&gt;""),$AT615-$AS615,"")</f>
        <v/>
      </c>
      <c r="BE615" s="53" t="str">
        <f aca="false">IF($E615&lt;&gt;"",$E615,"")</f>
        <v/>
      </c>
      <c r="BF615" s="52" t="str">
        <f aca="false">IF($F615&lt;&gt;"",$F615,"")</f>
        <v>Apprenant 603 ou 603'</v>
      </c>
      <c r="BG615" s="55" t="str">
        <f aca="false">IF(AND($AW615&lt;&gt;"",$AX615&lt;&gt;""),$AX615-$AW615,"")</f>
        <v/>
      </c>
      <c r="BH615" s="55" t="str">
        <f aca="false">IF(AND($AW615&lt;&gt;"",$AY615&lt;&gt;""),$AY615-$AW615,"")</f>
        <v/>
      </c>
      <c r="BI615" s="55" t="str">
        <f aca="false">IF(AND($AX615&lt;&gt;"",$AY615&lt;&gt;""),$AY615-$AX615,"")</f>
        <v/>
      </c>
      <c r="BJ615" s="53" t="str">
        <f aca="false">IF($J615&lt;&gt;"",$J615,"")</f>
        <v/>
      </c>
      <c r="BL615" s="52"/>
      <c r="BM615" s="52" t="str">
        <f aca="false">IF(OR(COUNT(B615:D1614)=0,AND('Choix pédagogiques'!$C$3&lt;&gt;1,'Choix pédagogiques'!$C$3&lt;&gt;2)),"",IF(AND(OR('Choix pédagogiques'!$C$3=1,'Choix pédagogiques'!$C$3=2),$B615&lt;&gt;"",$C615&lt;&gt;"",$D615&lt;&gt;""),1,0))</f>
        <v/>
      </c>
      <c r="BN615" s="52" t="str">
        <f aca="false">IF(OR(COUNT(G615:I1614)=0,AND('Choix pédagogiques'!$C$3&lt;&gt;1,'Choix pédagogiques'!$C$3&lt;&gt;2)),"",IF(AND(OR('Choix pédagogiques'!$C$3=1,'Choix pédagogiques'!$C$3=2),AND($G615&lt;&gt;"",$H615&lt;&gt;"",$I615&lt;&gt;"")),1,0))</f>
        <v/>
      </c>
      <c r="BO615" s="52" t="str">
        <f aca="false">IF(OR(COUNT(B615:D1614)=0,COUNT(G615:I1614)=0,'Choix pédagogiques'!C$3&lt;&gt;3),"",IF(AND('Choix pédagogiques'!$C$3=3,$B615&lt;&gt;"",$C615&lt;&gt;"",$D615&lt;&gt;"",$G615&lt;&gt;"",$H615&lt;&gt;"",$I615&lt;&gt;""),1,0))</f>
        <v/>
      </c>
      <c r="BR615" s="52" t="n">
        <v>995</v>
      </c>
      <c r="BS615" s="52" t="n">
        <v>1696</v>
      </c>
    </row>
    <row r="616" s="54" customFormat="true" ht="18" hidden="false" customHeight="true" outlineLevel="0" collapsed="false">
      <c r="A616" s="57" t="s">
        <v>1163</v>
      </c>
      <c r="B616" s="51"/>
      <c r="C616" s="51"/>
      <c r="D616" s="51"/>
      <c r="E616" s="51"/>
      <c r="F616" s="57" t="s">
        <v>1164</v>
      </c>
      <c r="G616" s="51"/>
      <c r="H616" s="51"/>
      <c r="I616" s="51"/>
      <c r="J616" s="51"/>
      <c r="K616" s="52" t="str">
        <f aca="false">IF($A616&lt;&gt;"",$A616,"")</f>
        <v>Apprenant 604</v>
      </c>
      <c r="L616" s="53" t="str">
        <f aca="false">IF(AND($B616&lt;&gt;"",$C616&lt;&gt;""),$C616-$B616,"")</f>
        <v/>
      </c>
      <c r="M616" s="53" t="str">
        <f aca="false">IF(AND($B616&lt;&gt;"",$D616&lt;&gt;""),$D616-$B616,"")</f>
        <v/>
      </c>
      <c r="N616" s="53" t="str">
        <f aca="false">IF(AND($C616&lt;&gt;"",$D616&lt;&gt;""),$D616-$C616,"")</f>
        <v/>
      </c>
      <c r="O616" s="53" t="str">
        <f aca="false">IF($E616&lt;&gt;"",$E616,"")</f>
        <v/>
      </c>
      <c r="P616" s="52" t="str">
        <f aca="false">IF($F616&lt;&gt;"",$F616,"")</f>
        <v>Apprenant 604 ou 604'</v>
      </c>
      <c r="Q616" s="53" t="str">
        <f aca="false">IF(AND($G616&lt;&gt;"",$H616&lt;&gt;""),$H616-$G616,"")</f>
        <v/>
      </c>
      <c r="R616" s="53" t="str">
        <f aca="false">IF(AND($G616&lt;&gt;"",$I616&lt;&gt;""),$I616-$G616,"")</f>
        <v/>
      </c>
      <c r="S616" s="53" t="str">
        <f aca="false">IF(AND($H616&lt;&gt;"",$I616&lt;&gt;""),$I616-$H616,"")</f>
        <v/>
      </c>
      <c r="T616" s="53" t="str">
        <f aca="false">IF($J616&lt;&gt;"",$J616,"")</f>
        <v/>
      </c>
      <c r="V616" s="52" t="str">
        <f aca="false">IF($A616&lt;&gt;"",$A616,"")</f>
        <v>Apprenant 604</v>
      </c>
      <c r="W616" s="53" t="str">
        <f aca="false">IF(AND(OR('Choix pédagogiques'!$C$3=1,'Choix pédagogiques'!$C$3=2),$BM616=1),B616,IF(AND('Choix pédagogiques'!$C$3=3,$BO616=1),B616,""))</f>
        <v/>
      </c>
      <c r="X616" s="53" t="str">
        <f aca="false">IF(AND(OR('Choix pédagogiques'!$C$3=1,'Choix pédagogiques'!$C$3=2),$BM616=1),C616,IF(AND('Choix pédagogiques'!$C$3=3,$BO616=1),C616,""))</f>
        <v/>
      </c>
      <c r="Y616" s="53" t="str">
        <f aca="false">IF(AND(OR('Choix pédagogiques'!$C$3=1,'Choix pédagogiques'!$C$3=2),$BM616=1),D616,IF(AND('Choix pédagogiques'!$C$3=3,$BO616=1),D616,""))</f>
        <v/>
      </c>
      <c r="Z616" s="53" t="str">
        <f aca="false">IF($E616&lt;&gt;"",$E616,"")</f>
        <v/>
      </c>
      <c r="AA616" s="52" t="str">
        <f aca="false">IF($F616&lt;&gt;"",$F616,"")</f>
        <v>Apprenant 604 ou 604'</v>
      </c>
      <c r="AB616" s="53" t="str">
        <f aca="false">IF(AND(OR('Choix pédagogiques'!$C$3=1,'Choix pédagogiques'!$C$3=2),$BN616=1),G616,IF(AND('Choix pédagogiques'!$C$3=3,$BO616=1),G616,""))</f>
        <v/>
      </c>
      <c r="AC616" s="53" t="str">
        <f aca="false">IF(AND(OR('Choix pédagogiques'!$C$3=1,'Choix pédagogiques'!$C$3=2),$BN616=1),H616,IF(AND('Choix pédagogiques'!$C$3=3,$BO616=1),H616,""))</f>
        <v/>
      </c>
      <c r="AD616" s="53" t="str">
        <f aca="false">IF(AND(OR('Choix pédagogiques'!$C$3=1,'Choix pédagogiques'!$C$3=2),$BN616=1),I616,IF(AND('Choix pédagogiques'!$C$3=3,$BO616=1),I616,""))</f>
        <v/>
      </c>
      <c r="AE616" s="53" t="str">
        <f aca="false">IF($J616&lt;&gt;"",$J616,"")</f>
        <v/>
      </c>
      <c r="AF616" s="52" t="str">
        <f aca="false">IF($A616&lt;&gt;"",$A616,"")</f>
        <v>Apprenant 604</v>
      </c>
      <c r="AG616" s="53" t="str">
        <f aca="false">IF(AND($W616&lt;&gt;"",$X616&lt;&gt;""),$X616-$W616,"")</f>
        <v/>
      </c>
      <c r="AH616" s="53" t="str">
        <f aca="false">IF(AND($W616&lt;&gt;"",$Y616&lt;&gt;""),$Y616-$W616,"")</f>
        <v/>
      </c>
      <c r="AI616" s="53" t="str">
        <f aca="false">IF(AND($X616&lt;&gt;"",$Y616&lt;&gt;""),$Y616-$X616,"")</f>
        <v/>
      </c>
      <c r="AJ616" s="53" t="str">
        <f aca="false">IF($E616&lt;&gt;"",$E616,"")</f>
        <v/>
      </c>
      <c r="AK616" s="52" t="str">
        <f aca="false">IF($F616&lt;&gt;"",$F616,"")</f>
        <v>Apprenant 604 ou 604'</v>
      </c>
      <c r="AL616" s="53" t="str">
        <f aca="false">IF(AND($AB616&lt;&gt;"",$AC616&lt;&gt;""),$AC616-$AB616,"")</f>
        <v/>
      </c>
      <c r="AM616" s="53" t="str">
        <f aca="false">IF(AND($AB616&lt;&gt;"",$AD616&lt;&gt;""),$AD616-$AB616,"")</f>
        <v/>
      </c>
      <c r="AN616" s="53" t="str">
        <f aca="false">IF(AND($AC616&lt;&gt;"",$AD616&lt;&gt;""),$AD616-$AC616,"")</f>
        <v/>
      </c>
      <c r="AO616" s="53" t="str">
        <f aca="false">IF($J616&lt;&gt;"",$J616,"")</f>
        <v/>
      </c>
      <c r="AQ616" s="52" t="str">
        <f aca="false">IF($A616&lt;&gt;"",$A616,"")</f>
        <v>Apprenant 604</v>
      </c>
      <c r="AR616" s="55" t="str">
        <f aca="false">IF(AND('Choix pédagogiques'!$C$4&lt;&gt;"?",'Choix pédagogiques'!$C$5&lt;&gt;"?",W616&lt;&gt;""),(W616-'Choix pédagogiques'!$C$4)/('Choix pédagogiques'!$C$5-'Choix pédagogiques'!$C$4),"")</f>
        <v/>
      </c>
      <c r="AS616" s="55" t="str">
        <f aca="false">IF(AND('Choix pédagogiques'!$C$4&lt;&gt;"?",'Choix pédagogiques'!$C$5&lt;&gt;"?",X616&lt;&gt;""),(X616-'Choix pédagogiques'!$C$4)/('Choix pédagogiques'!$C$5-'Choix pédagogiques'!$C$4),"")</f>
        <v/>
      </c>
      <c r="AT616" s="55" t="str">
        <f aca="false">IF(AND('Choix pédagogiques'!$C$4&lt;&gt;"?",'Choix pédagogiques'!$C$5&lt;&gt;"?",Y616&lt;&gt;""),(Y616-'Choix pédagogiques'!$C$4)/('Choix pédagogiques'!$C$5-'Choix pédagogiques'!$C$4),"")</f>
        <v/>
      </c>
      <c r="AU616" s="53" t="str">
        <f aca="false">IF($E616&lt;&gt;"",$E616,"")</f>
        <v/>
      </c>
      <c r="AV616" s="52" t="str">
        <f aca="false">IF($F616&lt;&gt;"",$F616,"")</f>
        <v>Apprenant 604 ou 604'</v>
      </c>
      <c r="AW616" s="55" t="str">
        <f aca="false">IF(AND('Choix pédagogiques'!$C$4&lt;&gt;"?",'Choix pédagogiques'!$C$5&lt;&gt;"?",AB616&lt;&gt;""),(AB616-'Choix pédagogiques'!$C$4)/('Choix pédagogiques'!$C$5-'Choix pédagogiques'!$C$4),"")</f>
        <v/>
      </c>
      <c r="AX616" s="55" t="str">
        <f aca="false">IF(AND('Choix pédagogiques'!$C$4&lt;&gt;"?",'Choix pédagogiques'!$C$5&lt;&gt;"?",AC616&lt;&gt;""),(AC616-'Choix pédagogiques'!$C$4)/('Choix pédagogiques'!$C$5-'Choix pédagogiques'!$C$4),"")</f>
        <v/>
      </c>
      <c r="AY616" s="55" t="str">
        <f aca="false">IF(AND('Choix pédagogiques'!$C$4&lt;&gt;"?",'Choix pédagogiques'!$C$5&lt;&gt;"?",AD616&lt;&gt;""),(AD616-'Choix pédagogiques'!$C$4)/('Choix pédagogiques'!$C$5-'Choix pédagogiques'!$C$4),"")</f>
        <v/>
      </c>
      <c r="AZ616" s="53" t="str">
        <f aca="false">IF($J616&lt;&gt;"",$J616,"")</f>
        <v/>
      </c>
      <c r="BA616" s="52" t="str">
        <f aca="false">IF($A616&lt;&gt;"",$A616,"")</f>
        <v>Apprenant 604</v>
      </c>
      <c r="BB616" s="55" t="str">
        <f aca="false">IF(AND($AR616&lt;&gt;"",$AS616&lt;&gt;""),$AS616-$AR616,"")</f>
        <v/>
      </c>
      <c r="BC616" s="55" t="str">
        <f aca="false">IF(AND($AR616&lt;&gt;"",$AT616&lt;&gt;""),$AT616-$AR616,"")</f>
        <v/>
      </c>
      <c r="BD616" s="55" t="str">
        <f aca="false">IF(AND($AS616&lt;&gt;"",$AT616&lt;&gt;""),$AT616-$AS616,"")</f>
        <v/>
      </c>
      <c r="BE616" s="53" t="str">
        <f aca="false">IF($E616&lt;&gt;"",$E616,"")</f>
        <v/>
      </c>
      <c r="BF616" s="52" t="str">
        <f aca="false">IF($F616&lt;&gt;"",$F616,"")</f>
        <v>Apprenant 604 ou 604'</v>
      </c>
      <c r="BG616" s="55" t="str">
        <f aca="false">IF(AND($AW616&lt;&gt;"",$AX616&lt;&gt;""),$AX616-$AW616,"")</f>
        <v/>
      </c>
      <c r="BH616" s="55" t="str">
        <f aca="false">IF(AND($AW616&lt;&gt;"",$AY616&lt;&gt;""),$AY616-$AW616,"")</f>
        <v/>
      </c>
      <c r="BI616" s="55" t="str">
        <f aca="false">IF(AND($AX616&lt;&gt;"",$AY616&lt;&gt;""),$AY616-$AX616,"")</f>
        <v/>
      </c>
      <c r="BJ616" s="53" t="str">
        <f aca="false">IF($J616&lt;&gt;"",$J616,"")</f>
        <v/>
      </c>
      <c r="BL616" s="52"/>
      <c r="BM616" s="52" t="str">
        <f aca="false">IF(OR(COUNT(B616:D1615)=0,AND('Choix pédagogiques'!$C$3&lt;&gt;1,'Choix pédagogiques'!$C$3&lt;&gt;2)),"",IF(AND(OR('Choix pédagogiques'!$C$3=1,'Choix pédagogiques'!$C$3=2),$B616&lt;&gt;"",$C616&lt;&gt;"",$D616&lt;&gt;""),1,0))</f>
        <v/>
      </c>
      <c r="BN616" s="52" t="str">
        <f aca="false">IF(OR(COUNT(G616:I1615)=0,AND('Choix pédagogiques'!$C$3&lt;&gt;1,'Choix pédagogiques'!$C$3&lt;&gt;2)),"",IF(AND(OR('Choix pédagogiques'!$C$3=1,'Choix pédagogiques'!$C$3=2),AND($G616&lt;&gt;"",$H616&lt;&gt;"",$I616&lt;&gt;"")),1,0))</f>
        <v/>
      </c>
      <c r="BO616" s="52" t="str">
        <f aca="false">IF(OR(COUNT(B616:D1615)=0,COUNT(G616:I1615)=0,'Choix pédagogiques'!C$3&lt;&gt;3),"",IF(AND('Choix pédagogiques'!$C$3=3,$B616&lt;&gt;"",$C616&lt;&gt;"",$D616&lt;&gt;"",$G616&lt;&gt;"",$H616&lt;&gt;"",$I616&lt;&gt;""),1,0))</f>
        <v/>
      </c>
      <c r="BR616" s="52" t="n">
        <v>898</v>
      </c>
      <c r="BS616" s="52" t="n">
        <v>1860</v>
      </c>
    </row>
    <row r="617" s="54" customFormat="true" ht="18" hidden="false" customHeight="true" outlineLevel="0" collapsed="false">
      <c r="A617" s="57" t="s">
        <v>1165</v>
      </c>
      <c r="B617" s="51"/>
      <c r="C617" s="51"/>
      <c r="D617" s="51"/>
      <c r="E617" s="51"/>
      <c r="F617" s="57" t="s">
        <v>1166</v>
      </c>
      <c r="G617" s="51"/>
      <c r="H617" s="51"/>
      <c r="I617" s="51"/>
      <c r="J617" s="51"/>
      <c r="K617" s="52" t="str">
        <f aca="false">IF($A617&lt;&gt;"",$A617,"")</f>
        <v>Apprenant 605</v>
      </c>
      <c r="L617" s="53" t="str">
        <f aca="false">IF(AND($B617&lt;&gt;"",$C617&lt;&gt;""),$C617-$B617,"")</f>
        <v/>
      </c>
      <c r="M617" s="53" t="str">
        <f aca="false">IF(AND($B617&lt;&gt;"",$D617&lt;&gt;""),$D617-$B617,"")</f>
        <v/>
      </c>
      <c r="N617" s="53" t="str">
        <f aca="false">IF(AND($C617&lt;&gt;"",$D617&lt;&gt;""),$D617-$C617,"")</f>
        <v/>
      </c>
      <c r="O617" s="53" t="str">
        <f aca="false">IF($E617&lt;&gt;"",$E617,"")</f>
        <v/>
      </c>
      <c r="P617" s="52" t="str">
        <f aca="false">IF($F617&lt;&gt;"",$F617,"")</f>
        <v>Apprenant 605 ou 605'</v>
      </c>
      <c r="Q617" s="53" t="str">
        <f aca="false">IF(AND($G617&lt;&gt;"",$H617&lt;&gt;""),$H617-$G617,"")</f>
        <v/>
      </c>
      <c r="R617" s="53" t="str">
        <f aca="false">IF(AND($G617&lt;&gt;"",$I617&lt;&gt;""),$I617-$G617,"")</f>
        <v/>
      </c>
      <c r="S617" s="53" t="str">
        <f aca="false">IF(AND($H617&lt;&gt;"",$I617&lt;&gt;""),$I617-$H617,"")</f>
        <v/>
      </c>
      <c r="T617" s="53" t="str">
        <f aca="false">IF($J617&lt;&gt;"",$J617,"")</f>
        <v/>
      </c>
      <c r="V617" s="52" t="str">
        <f aca="false">IF($A617&lt;&gt;"",$A617,"")</f>
        <v>Apprenant 605</v>
      </c>
      <c r="W617" s="53" t="str">
        <f aca="false">IF(AND(OR('Choix pédagogiques'!$C$3=1,'Choix pédagogiques'!$C$3=2),$BM617=1),B617,IF(AND('Choix pédagogiques'!$C$3=3,$BO617=1),B617,""))</f>
        <v/>
      </c>
      <c r="X617" s="53" t="str">
        <f aca="false">IF(AND(OR('Choix pédagogiques'!$C$3=1,'Choix pédagogiques'!$C$3=2),$BM617=1),C617,IF(AND('Choix pédagogiques'!$C$3=3,$BO617=1),C617,""))</f>
        <v/>
      </c>
      <c r="Y617" s="53" t="str">
        <f aca="false">IF(AND(OR('Choix pédagogiques'!$C$3=1,'Choix pédagogiques'!$C$3=2),$BM617=1),D617,IF(AND('Choix pédagogiques'!$C$3=3,$BO617=1),D617,""))</f>
        <v/>
      </c>
      <c r="Z617" s="53" t="str">
        <f aca="false">IF($E617&lt;&gt;"",$E617,"")</f>
        <v/>
      </c>
      <c r="AA617" s="52" t="str">
        <f aca="false">IF($F617&lt;&gt;"",$F617,"")</f>
        <v>Apprenant 605 ou 605'</v>
      </c>
      <c r="AB617" s="53" t="str">
        <f aca="false">IF(AND(OR('Choix pédagogiques'!$C$3=1,'Choix pédagogiques'!$C$3=2),$BN617=1),G617,IF(AND('Choix pédagogiques'!$C$3=3,$BO617=1),G617,""))</f>
        <v/>
      </c>
      <c r="AC617" s="53" t="str">
        <f aca="false">IF(AND(OR('Choix pédagogiques'!$C$3=1,'Choix pédagogiques'!$C$3=2),$BN617=1),H617,IF(AND('Choix pédagogiques'!$C$3=3,$BO617=1),H617,""))</f>
        <v/>
      </c>
      <c r="AD617" s="53" t="str">
        <f aca="false">IF(AND(OR('Choix pédagogiques'!$C$3=1,'Choix pédagogiques'!$C$3=2),$BN617=1),I617,IF(AND('Choix pédagogiques'!$C$3=3,$BO617=1),I617,""))</f>
        <v/>
      </c>
      <c r="AE617" s="53" t="str">
        <f aca="false">IF($J617&lt;&gt;"",$J617,"")</f>
        <v/>
      </c>
      <c r="AF617" s="52" t="str">
        <f aca="false">IF($A617&lt;&gt;"",$A617,"")</f>
        <v>Apprenant 605</v>
      </c>
      <c r="AG617" s="53" t="str">
        <f aca="false">IF(AND($W617&lt;&gt;"",$X617&lt;&gt;""),$X617-$W617,"")</f>
        <v/>
      </c>
      <c r="AH617" s="53" t="str">
        <f aca="false">IF(AND($W617&lt;&gt;"",$Y617&lt;&gt;""),$Y617-$W617,"")</f>
        <v/>
      </c>
      <c r="AI617" s="53" t="str">
        <f aca="false">IF(AND($X617&lt;&gt;"",$Y617&lt;&gt;""),$Y617-$X617,"")</f>
        <v/>
      </c>
      <c r="AJ617" s="53" t="str">
        <f aca="false">IF($E617&lt;&gt;"",$E617,"")</f>
        <v/>
      </c>
      <c r="AK617" s="52" t="str">
        <f aca="false">IF($F617&lt;&gt;"",$F617,"")</f>
        <v>Apprenant 605 ou 605'</v>
      </c>
      <c r="AL617" s="53" t="str">
        <f aca="false">IF(AND($AB617&lt;&gt;"",$AC617&lt;&gt;""),$AC617-$AB617,"")</f>
        <v/>
      </c>
      <c r="AM617" s="53" t="str">
        <f aca="false">IF(AND($AB617&lt;&gt;"",$AD617&lt;&gt;""),$AD617-$AB617,"")</f>
        <v/>
      </c>
      <c r="AN617" s="53" t="str">
        <f aca="false">IF(AND($AC617&lt;&gt;"",$AD617&lt;&gt;""),$AD617-$AC617,"")</f>
        <v/>
      </c>
      <c r="AO617" s="53" t="str">
        <f aca="false">IF($J617&lt;&gt;"",$J617,"")</f>
        <v/>
      </c>
      <c r="AQ617" s="52" t="str">
        <f aca="false">IF($A617&lt;&gt;"",$A617,"")</f>
        <v>Apprenant 605</v>
      </c>
      <c r="AR617" s="55" t="str">
        <f aca="false">IF(AND('Choix pédagogiques'!$C$4&lt;&gt;"?",'Choix pédagogiques'!$C$5&lt;&gt;"?",W617&lt;&gt;""),(W617-'Choix pédagogiques'!$C$4)/('Choix pédagogiques'!$C$5-'Choix pédagogiques'!$C$4),"")</f>
        <v/>
      </c>
      <c r="AS617" s="55" t="str">
        <f aca="false">IF(AND('Choix pédagogiques'!$C$4&lt;&gt;"?",'Choix pédagogiques'!$C$5&lt;&gt;"?",X617&lt;&gt;""),(X617-'Choix pédagogiques'!$C$4)/('Choix pédagogiques'!$C$5-'Choix pédagogiques'!$C$4),"")</f>
        <v/>
      </c>
      <c r="AT617" s="55" t="str">
        <f aca="false">IF(AND('Choix pédagogiques'!$C$4&lt;&gt;"?",'Choix pédagogiques'!$C$5&lt;&gt;"?",Y617&lt;&gt;""),(Y617-'Choix pédagogiques'!$C$4)/('Choix pédagogiques'!$C$5-'Choix pédagogiques'!$C$4),"")</f>
        <v/>
      </c>
      <c r="AU617" s="53" t="str">
        <f aca="false">IF($E617&lt;&gt;"",$E617,"")</f>
        <v/>
      </c>
      <c r="AV617" s="52" t="str">
        <f aca="false">IF($F617&lt;&gt;"",$F617,"")</f>
        <v>Apprenant 605 ou 605'</v>
      </c>
      <c r="AW617" s="55" t="str">
        <f aca="false">IF(AND('Choix pédagogiques'!$C$4&lt;&gt;"?",'Choix pédagogiques'!$C$5&lt;&gt;"?",AB617&lt;&gt;""),(AB617-'Choix pédagogiques'!$C$4)/('Choix pédagogiques'!$C$5-'Choix pédagogiques'!$C$4),"")</f>
        <v/>
      </c>
      <c r="AX617" s="55" t="str">
        <f aca="false">IF(AND('Choix pédagogiques'!$C$4&lt;&gt;"?",'Choix pédagogiques'!$C$5&lt;&gt;"?",AC617&lt;&gt;""),(AC617-'Choix pédagogiques'!$C$4)/('Choix pédagogiques'!$C$5-'Choix pédagogiques'!$C$4),"")</f>
        <v/>
      </c>
      <c r="AY617" s="55" t="str">
        <f aca="false">IF(AND('Choix pédagogiques'!$C$4&lt;&gt;"?",'Choix pédagogiques'!$C$5&lt;&gt;"?",AD617&lt;&gt;""),(AD617-'Choix pédagogiques'!$C$4)/('Choix pédagogiques'!$C$5-'Choix pédagogiques'!$C$4),"")</f>
        <v/>
      </c>
      <c r="AZ617" s="53" t="str">
        <f aca="false">IF($J617&lt;&gt;"",$J617,"")</f>
        <v/>
      </c>
      <c r="BA617" s="52" t="str">
        <f aca="false">IF($A617&lt;&gt;"",$A617,"")</f>
        <v>Apprenant 605</v>
      </c>
      <c r="BB617" s="55" t="str">
        <f aca="false">IF(AND($AR617&lt;&gt;"",$AS617&lt;&gt;""),$AS617-$AR617,"")</f>
        <v/>
      </c>
      <c r="BC617" s="55" t="str">
        <f aca="false">IF(AND($AR617&lt;&gt;"",$AT617&lt;&gt;""),$AT617-$AR617,"")</f>
        <v/>
      </c>
      <c r="BD617" s="55" t="str">
        <f aca="false">IF(AND($AS617&lt;&gt;"",$AT617&lt;&gt;""),$AT617-$AS617,"")</f>
        <v/>
      </c>
      <c r="BE617" s="53" t="str">
        <f aca="false">IF($E617&lt;&gt;"",$E617,"")</f>
        <v/>
      </c>
      <c r="BF617" s="52" t="str">
        <f aca="false">IF($F617&lt;&gt;"",$F617,"")</f>
        <v>Apprenant 605 ou 605'</v>
      </c>
      <c r="BG617" s="55" t="str">
        <f aca="false">IF(AND($AW617&lt;&gt;"",$AX617&lt;&gt;""),$AX617-$AW617,"")</f>
        <v/>
      </c>
      <c r="BH617" s="55" t="str">
        <f aca="false">IF(AND($AW617&lt;&gt;"",$AY617&lt;&gt;""),$AY617-$AW617,"")</f>
        <v/>
      </c>
      <c r="BI617" s="55" t="str">
        <f aca="false">IF(AND($AX617&lt;&gt;"",$AY617&lt;&gt;""),$AY617-$AX617,"")</f>
        <v/>
      </c>
      <c r="BJ617" s="53" t="str">
        <f aca="false">IF($J617&lt;&gt;"",$J617,"")</f>
        <v/>
      </c>
      <c r="BL617" s="52"/>
      <c r="BM617" s="52" t="str">
        <f aca="false">IF(OR(COUNT(B617:D1616)=0,AND('Choix pédagogiques'!$C$3&lt;&gt;1,'Choix pédagogiques'!$C$3&lt;&gt;2)),"",IF(AND(OR('Choix pédagogiques'!$C$3=1,'Choix pédagogiques'!$C$3=2),$B617&lt;&gt;"",$C617&lt;&gt;"",$D617&lt;&gt;""),1,0))</f>
        <v/>
      </c>
      <c r="BN617" s="52" t="str">
        <f aca="false">IF(OR(COUNT(G617:I1616)=0,AND('Choix pédagogiques'!$C$3&lt;&gt;1,'Choix pédagogiques'!$C$3&lt;&gt;2)),"",IF(AND(OR('Choix pédagogiques'!$C$3=1,'Choix pédagogiques'!$C$3=2),AND($G617&lt;&gt;"",$H617&lt;&gt;"",$I617&lt;&gt;"")),1,0))</f>
        <v/>
      </c>
      <c r="BO617" s="52" t="str">
        <f aca="false">IF(OR(COUNT(B617:D1616)=0,COUNT(G617:I1616)=0,'Choix pédagogiques'!C$3&lt;&gt;3),"",IF(AND('Choix pédagogiques'!$C$3=3,$B617&lt;&gt;"",$C617&lt;&gt;"",$D617&lt;&gt;"",$G617&lt;&gt;"",$H617&lt;&gt;"",$I617&lt;&gt;""),1,0))</f>
        <v/>
      </c>
      <c r="BR617" s="52" t="n">
        <v>580</v>
      </c>
      <c r="BS617" s="52" t="n">
        <v>1251</v>
      </c>
    </row>
    <row r="618" s="54" customFormat="true" ht="18" hidden="false" customHeight="true" outlineLevel="0" collapsed="false">
      <c r="A618" s="57" t="s">
        <v>1167</v>
      </c>
      <c r="B618" s="51"/>
      <c r="C618" s="51"/>
      <c r="D618" s="51"/>
      <c r="E618" s="51"/>
      <c r="F618" s="57" t="s">
        <v>1168</v>
      </c>
      <c r="G618" s="51"/>
      <c r="H618" s="51"/>
      <c r="I618" s="51"/>
      <c r="J618" s="51"/>
      <c r="K618" s="52" t="str">
        <f aca="false">IF($A618&lt;&gt;"",$A618,"")</f>
        <v>Apprenant 606</v>
      </c>
      <c r="L618" s="53" t="str">
        <f aca="false">IF(AND($B618&lt;&gt;"",$C618&lt;&gt;""),$C618-$B618,"")</f>
        <v/>
      </c>
      <c r="M618" s="53" t="str">
        <f aca="false">IF(AND($B618&lt;&gt;"",$D618&lt;&gt;""),$D618-$B618,"")</f>
        <v/>
      </c>
      <c r="N618" s="53" t="str">
        <f aca="false">IF(AND($C618&lt;&gt;"",$D618&lt;&gt;""),$D618-$C618,"")</f>
        <v/>
      </c>
      <c r="O618" s="53" t="str">
        <f aca="false">IF($E618&lt;&gt;"",$E618,"")</f>
        <v/>
      </c>
      <c r="P618" s="52" t="str">
        <f aca="false">IF($F618&lt;&gt;"",$F618,"")</f>
        <v>Apprenant 606 ou 606'</v>
      </c>
      <c r="Q618" s="53" t="str">
        <f aca="false">IF(AND($G618&lt;&gt;"",$H618&lt;&gt;""),$H618-$G618,"")</f>
        <v/>
      </c>
      <c r="R618" s="53" t="str">
        <f aca="false">IF(AND($G618&lt;&gt;"",$I618&lt;&gt;""),$I618-$G618,"")</f>
        <v/>
      </c>
      <c r="S618" s="53" t="str">
        <f aca="false">IF(AND($H618&lt;&gt;"",$I618&lt;&gt;""),$I618-$H618,"")</f>
        <v/>
      </c>
      <c r="T618" s="53" t="str">
        <f aca="false">IF($J618&lt;&gt;"",$J618,"")</f>
        <v/>
      </c>
      <c r="V618" s="52" t="str">
        <f aca="false">IF($A618&lt;&gt;"",$A618,"")</f>
        <v>Apprenant 606</v>
      </c>
      <c r="W618" s="53" t="str">
        <f aca="false">IF(AND(OR('Choix pédagogiques'!$C$3=1,'Choix pédagogiques'!$C$3=2),$BM618=1),B618,IF(AND('Choix pédagogiques'!$C$3=3,$BO618=1),B618,""))</f>
        <v/>
      </c>
      <c r="X618" s="53" t="str">
        <f aca="false">IF(AND(OR('Choix pédagogiques'!$C$3=1,'Choix pédagogiques'!$C$3=2),$BM618=1),C618,IF(AND('Choix pédagogiques'!$C$3=3,$BO618=1),C618,""))</f>
        <v/>
      </c>
      <c r="Y618" s="53" t="str">
        <f aca="false">IF(AND(OR('Choix pédagogiques'!$C$3=1,'Choix pédagogiques'!$C$3=2),$BM618=1),D618,IF(AND('Choix pédagogiques'!$C$3=3,$BO618=1),D618,""))</f>
        <v/>
      </c>
      <c r="Z618" s="53" t="str">
        <f aca="false">IF($E618&lt;&gt;"",$E618,"")</f>
        <v/>
      </c>
      <c r="AA618" s="52" t="str">
        <f aca="false">IF($F618&lt;&gt;"",$F618,"")</f>
        <v>Apprenant 606 ou 606'</v>
      </c>
      <c r="AB618" s="53" t="str">
        <f aca="false">IF(AND(OR('Choix pédagogiques'!$C$3=1,'Choix pédagogiques'!$C$3=2),$BN618=1),G618,IF(AND('Choix pédagogiques'!$C$3=3,$BO618=1),G618,""))</f>
        <v/>
      </c>
      <c r="AC618" s="53" t="str">
        <f aca="false">IF(AND(OR('Choix pédagogiques'!$C$3=1,'Choix pédagogiques'!$C$3=2),$BN618=1),H618,IF(AND('Choix pédagogiques'!$C$3=3,$BO618=1),H618,""))</f>
        <v/>
      </c>
      <c r="AD618" s="53" t="str">
        <f aca="false">IF(AND(OR('Choix pédagogiques'!$C$3=1,'Choix pédagogiques'!$C$3=2),$BN618=1),I618,IF(AND('Choix pédagogiques'!$C$3=3,$BO618=1),I618,""))</f>
        <v/>
      </c>
      <c r="AE618" s="53" t="str">
        <f aca="false">IF($J618&lt;&gt;"",$J618,"")</f>
        <v/>
      </c>
      <c r="AF618" s="52" t="str">
        <f aca="false">IF($A618&lt;&gt;"",$A618,"")</f>
        <v>Apprenant 606</v>
      </c>
      <c r="AG618" s="53" t="str">
        <f aca="false">IF(AND($W618&lt;&gt;"",$X618&lt;&gt;""),$X618-$W618,"")</f>
        <v/>
      </c>
      <c r="AH618" s="53" t="str">
        <f aca="false">IF(AND($W618&lt;&gt;"",$Y618&lt;&gt;""),$Y618-$W618,"")</f>
        <v/>
      </c>
      <c r="AI618" s="53" t="str">
        <f aca="false">IF(AND($X618&lt;&gt;"",$Y618&lt;&gt;""),$Y618-$X618,"")</f>
        <v/>
      </c>
      <c r="AJ618" s="53" t="str">
        <f aca="false">IF($E618&lt;&gt;"",$E618,"")</f>
        <v/>
      </c>
      <c r="AK618" s="52" t="str">
        <f aca="false">IF($F618&lt;&gt;"",$F618,"")</f>
        <v>Apprenant 606 ou 606'</v>
      </c>
      <c r="AL618" s="53" t="str">
        <f aca="false">IF(AND($AB618&lt;&gt;"",$AC618&lt;&gt;""),$AC618-$AB618,"")</f>
        <v/>
      </c>
      <c r="AM618" s="53" t="str">
        <f aca="false">IF(AND($AB618&lt;&gt;"",$AD618&lt;&gt;""),$AD618-$AB618,"")</f>
        <v/>
      </c>
      <c r="AN618" s="53" t="str">
        <f aca="false">IF(AND($AC618&lt;&gt;"",$AD618&lt;&gt;""),$AD618-$AC618,"")</f>
        <v/>
      </c>
      <c r="AO618" s="53" t="str">
        <f aca="false">IF($J618&lt;&gt;"",$J618,"")</f>
        <v/>
      </c>
      <c r="AQ618" s="52" t="str">
        <f aca="false">IF($A618&lt;&gt;"",$A618,"")</f>
        <v>Apprenant 606</v>
      </c>
      <c r="AR618" s="55" t="str">
        <f aca="false">IF(AND('Choix pédagogiques'!$C$4&lt;&gt;"?",'Choix pédagogiques'!$C$5&lt;&gt;"?",W618&lt;&gt;""),(W618-'Choix pédagogiques'!$C$4)/('Choix pédagogiques'!$C$5-'Choix pédagogiques'!$C$4),"")</f>
        <v/>
      </c>
      <c r="AS618" s="55" t="str">
        <f aca="false">IF(AND('Choix pédagogiques'!$C$4&lt;&gt;"?",'Choix pédagogiques'!$C$5&lt;&gt;"?",X618&lt;&gt;""),(X618-'Choix pédagogiques'!$C$4)/('Choix pédagogiques'!$C$5-'Choix pédagogiques'!$C$4),"")</f>
        <v/>
      </c>
      <c r="AT618" s="55" t="str">
        <f aca="false">IF(AND('Choix pédagogiques'!$C$4&lt;&gt;"?",'Choix pédagogiques'!$C$5&lt;&gt;"?",Y618&lt;&gt;""),(Y618-'Choix pédagogiques'!$C$4)/('Choix pédagogiques'!$C$5-'Choix pédagogiques'!$C$4),"")</f>
        <v/>
      </c>
      <c r="AU618" s="53" t="str">
        <f aca="false">IF($E618&lt;&gt;"",$E618,"")</f>
        <v/>
      </c>
      <c r="AV618" s="52" t="str">
        <f aca="false">IF($F618&lt;&gt;"",$F618,"")</f>
        <v>Apprenant 606 ou 606'</v>
      </c>
      <c r="AW618" s="55" t="str">
        <f aca="false">IF(AND('Choix pédagogiques'!$C$4&lt;&gt;"?",'Choix pédagogiques'!$C$5&lt;&gt;"?",AB618&lt;&gt;""),(AB618-'Choix pédagogiques'!$C$4)/('Choix pédagogiques'!$C$5-'Choix pédagogiques'!$C$4),"")</f>
        <v/>
      </c>
      <c r="AX618" s="55" t="str">
        <f aca="false">IF(AND('Choix pédagogiques'!$C$4&lt;&gt;"?",'Choix pédagogiques'!$C$5&lt;&gt;"?",AC618&lt;&gt;""),(AC618-'Choix pédagogiques'!$C$4)/('Choix pédagogiques'!$C$5-'Choix pédagogiques'!$C$4),"")</f>
        <v/>
      </c>
      <c r="AY618" s="55" t="str">
        <f aca="false">IF(AND('Choix pédagogiques'!$C$4&lt;&gt;"?",'Choix pédagogiques'!$C$5&lt;&gt;"?",AD618&lt;&gt;""),(AD618-'Choix pédagogiques'!$C$4)/('Choix pédagogiques'!$C$5-'Choix pédagogiques'!$C$4),"")</f>
        <v/>
      </c>
      <c r="AZ618" s="53" t="str">
        <f aca="false">IF($J618&lt;&gt;"",$J618,"")</f>
        <v/>
      </c>
      <c r="BA618" s="52" t="str">
        <f aca="false">IF($A618&lt;&gt;"",$A618,"")</f>
        <v>Apprenant 606</v>
      </c>
      <c r="BB618" s="55" t="str">
        <f aca="false">IF(AND($AR618&lt;&gt;"",$AS618&lt;&gt;""),$AS618-$AR618,"")</f>
        <v/>
      </c>
      <c r="BC618" s="55" t="str">
        <f aca="false">IF(AND($AR618&lt;&gt;"",$AT618&lt;&gt;""),$AT618-$AR618,"")</f>
        <v/>
      </c>
      <c r="BD618" s="55" t="str">
        <f aca="false">IF(AND($AS618&lt;&gt;"",$AT618&lt;&gt;""),$AT618-$AS618,"")</f>
        <v/>
      </c>
      <c r="BE618" s="53" t="str">
        <f aca="false">IF($E618&lt;&gt;"",$E618,"")</f>
        <v/>
      </c>
      <c r="BF618" s="52" t="str">
        <f aca="false">IF($F618&lt;&gt;"",$F618,"")</f>
        <v>Apprenant 606 ou 606'</v>
      </c>
      <c r="BG618" s="55" t="str">
        <f aca="false">IF(AND($AW618&lt;&gt;"",$AX618&lt;&gt;""),$AX618-$AW618,"")</f>
        <v/>
      </c>
      <c r="BH618" s="55" t="str">
        <f aca="false">IF(AND($AW618&lt;&gt;"",$AY618&lt;&gt;""),$AY618-$AW618,"")</f>
        <v/>
      </c>
      <c r="BI618" s="55" t="str">
        <f aca="false">IF(AND($AX618&lt;&gt;"",$AY618&lt;&gt;""),$AY618-$AX618,"")</f>
        <v/>
      </c>
      <c r="BJ618" s="53" t="str">
        <f aca="false">IF($J618&lt;&gt;"",$J618,"")</f>
        <v/>
      </c>
      <c r="BL618" s="52"/>
      <c r="BM618" s="52" t="str">
        <f aca="false">IF(OR(COUNT(B618:D1617)=0,AND('Choix pédagogiques'!$C$3&lt;&gt;1,'Choix pédagogiques'!$C$3&lt;&gt;2)),"",IF(AND(OR('Choix pédagogiques'!$C$3=1,'Choix pédagogiques'!$C$3=2),$B618&lt;&gt;"",$C618&lt;&gt;"",$D618&lt;&gt;""),1,0))</f>
        <v/>
      </c>
      <c r="BN618" s="52" t="str">
        <f aca="false">IF(OR(COUNT(G618:I1617)=0,AND('Choix pédagogiques'!$C$3&lt;&gt;1,'Choix pédagogiques'!$C$3&lt;&gt;2)),"",IF(AND(OR('Choix pédagogiques'!$C$3=1,'Choix pédagogiques'!$C$3=2),AND($G618&lt;&gt;"",$H618&lt;&gt;"",$I618&lt;&gt;"")),1,0))</f>
        <v/>
      </c>
      <c r="BO618" s="52" t="str">
        <f aca="false">IF(OR(COUNT(B618:D1617)=0,COUNT(G618:I1617)=0,'Choix pédagogiques'!C$3&lt;&gt;3),"",IF(AND('Choix pédagogiques'!$C$3=3,$B618&lt;&gt;"",$C618&lt;&gt;"",$D618&lt;&gt;"",$G618&lt;&gt;"",$H618&lt;&gt;"",$I618&lt;&gt;""),1,0))</f>
        <v/>
      </c>
      <c r="BR618" s="52" t="n">
        <v>970</v>
      </c>
      <c r="BS618" s="52" t="n">
        <v>1414</v>
      </c>
    </row>
    <row r="619" s="54" customFormat="true" ht="18" hidden="false" customHeight="true" outlineLevel="0" collapsed="false">
      <c r="A619" s="57" t="s">
        <v>1169</v>
      </c>
      <c r="B619" s="51"/>
      <c r="C619" s="51"/>
      <c r="D619" s="51"/>
      <c r="E619" s="51"/>
      <c r="F619" s="57" t="s">
        <v>1170</v>
      </c>
      <c r="G619" s="51"/>
      <c r="H619" s="51"/>
      <c r="I619" s="51"/>
      <c r="J619" s="51"/>
      <c r="K619" s="52" t="str">
        <f aca="false">IF($A619&lt;&gt;"",$A619,"")</f>
        <v>Apprenant 607</v>
      </c>
      <c r="L619" s="53" t="str">
        <f aca="false">IF(AND($B619&lt;&gt;"",$C619&lt;&gt;""),$C619-$B619,"")</f>
        <v/>
      </c>
      <c r="M619" s="53" t="str">
        <f aca="false">IF(AND($B619&lt;&gt;"",$D619&lt;&gt;""),$D619-$B619,"")</f>
        <v/>
      </c>
      <c r="N619" s="53" t="str">
        <f aca="false">IF(AND($C619&lt;&gt;"",$D619&lt;&gt;""),$D619-$C619,"")</f>
        <v/>
      </c>
      <c r="O619" s="53" t="str">
        <f aca="false">IF($E619&lt;&gt;"",$E619,"")</f>
        <v/>
      </c>
      <c r="P619" s="52" t="str">
        <f aca="false">IF($F619&lt;&gt;"",$F619,"")</f>
        <v>Apprenant 607 ou 607'</v>
      </c>
      <c r="Q619" s="53" t="str">
        <f aca="false">IF(AND($G619&lt;&gt;"",$H619&lt;&gt;""),$H619-$G619,"")</f>
        <v/>
      </c>
      <c r="R619" s="53" t="str">
        <f aca="false">IF(AND($G619&lt;&gt;"",$I619&lt;&gt;""),$I619-$G619,"")</f>
        <v/>
      </c>
      <c r="S619" s="53" t="str">
        <f aca="false">IF(AND($H619&lt;&gt;"",$I619&lt;&gt;""),$I619-$H619,"")</f>
        <v/>
      </c>
      <c r="T619" s="53" t="str">
        <f aca="false">IF($J619&lt;&gt;"",$J619,"")</f>
        <v/>
      </c>
      <c r="V619" s="52" t="str">
        <f aca="false">IF($A619&lt;&gt;"",$A619,"")</f>
        <v>Apprenant 607</v>
      </c>
      <c r="W619" s="53" t="str">
        <f aca="false">IF(AND(OR('Choix pédagogiques'!$C$3=1,'Choix pédagogiques'!$C$3=2),$BM619=1),B619,IF(AND('Choix pédagogiques'!$C$3=3,$BO619=1),B619,""))</f>
        <v/>
      </c>
      <c r="X619" s="53" t="str">
        <f aca="false">IF(AND(OR('Choix pédagogiques'!$C$3=1,'Choix pédagogiques'!$C$3=2),$BM619=1),C619,IF(AND('Choix pédagogiques'!$C$3=3,$BO619=1),C619,""))</f>
        <v/>
      </c>
      <c r="Y619" s="53" t="str">
        <f aca="false">IF(AND(OR('Choix pédagogiques'!$C$3=1,'Choix pédagogiques'!$C$3=2),$BM619=1),D619,IF(AND('Choix pédagogiques'!$C$3=3,$BO619=1),D619,""))</f>
        <v/>
      </c>
      <c r="Z619" s="53" t="str">
        <f aca="false">IF($E619&lt;&gt;"",$E619,"")</f>
        <v/>
      </c>
      <c r="AA619" s="52" t="str">
        <f aca="false">IF($F619&lt;&gt;"",$F619,"")</f>
        <v>Apprenant 607 ou 607'</v>
      </c>
      <c r="AB619" s="53" t="str">
        <f aca="false">IF(AND(OR('Choix pédagogiques'!$C$3=1,'Choix pédagogiques'!$C$3=2),$BN619=1),G619,IF(AND('Choix pédagogiques'!$C$3=3,$BO619=1),G619,""))</f>
        <v/>
      </c>
      <c r="AC619" s="53" t="str">
        <f aca="false">IF(AND(OR('Choix pédagogiques'!$C$3=1,'Choix pédagogiques'!$C$3=2),$BN619=1),H619,IF(AND('Choix pédagogiques'!$C$3=3,$BO619=1),H619,""))</f>
        <v/>
      </c>
      <c r="AD619" s="53" t="str">
        <f aca="false">IF(AND(OR('Choix pédagogiques'!$C$3=1,'Choix pédagogiques'!$C$3=2),$BN619=1),I619,IF(AND('Choix pédagogiques'!$C$3=3,$BO619=1),I619,""))</f>
        <v/>
      </c>
      <c r="AE619" s="53" t="str">
        <f aca="false">IF($J619&lt;&gt;"",$J619,"")</f>
        <v/>
      </c>
      <c r="AF619" s="52" t="str">
        <f aca="false">IF($A619&lt;&gt;"",$A619,"")</f>
        <v>Apprenant 607</v>
      </c>
      <c r="AG619" s="53" t="str">
        <f aca="false">IF(AND($W619&lt;&gt;"",$X619&lt;&gt;""),$X619-$W619,"")</f>
        <v/>
      </c>
      <c r="AH619" s="53" t="str">
        <f aca="false">IF(AND($W619&lt;&gt;"",$Y619&lt;&gt;""),$Y619-$W619,"")</f>
        <v/>
      </c>
      <c r="AI619" s="53" t="str">
        <f aca="false">IF(AND($X619&lt;&gt;"",$Y619&lt;&gt;""),$Y619-$X619,"")</f>
        <v/>
      </c>
      <c r="AJ619" s="53" t="str">
        <f aca="false">IF($E619&lt;&gt;"",$E619,"")</f>
        <v/>
      </c>
      <c r="AK619" s="52" t="str">
        <f aca="false">IF($F619&lt;&gt;"",$F619,"")</f>
        <v>Apprenant 607 ou 607'</v>
      </c>
      <c r="AL619" s="53" t="str">
        <f aca="false">IF(AND($AB619&lt;&gt;"",$AC619&lt;&gt;""),$AC619-$AB619,"")</f>
        <v/>
      </c>
      <c r="AM619" s="53" t="str">
        <f aca="false">IF(AND($AB619&lt;&gt;"",$AD619&lt;&gt;""),$AD619-$AB619,"")</f>
        <v/>
      </c>
      <c r="AN619" s="53" t="str">
        <f aca="false">IF(AND($AC619&lt;&gt;"",$AD619&lt;&gt;""),$AD619-$AC619,"")</f>
        <v/>
      </c>
      <c r="AO619" s="53" t="str">
        <f aca="false">IF($J619&lt;&gt;"",$J619,"")</f>
        <v/>
      </c>
      <c r="AQ619" s="52" t="str">
        <f aca="false">IF($A619&lt;&gt;"",$A619,"")</f>
        <v>Apprenant 607</v>
      </c>
      <c r="AR619" s="55" t="str">
        <f aca="false">IF(AND('Choix pédagogiques'!$C$4&lt;&gt;"?",'Choix pédagogiques'!$C$5&lt;&gt;"?",W619&lt;&gt;""),(W619-'Choix pédagogiques'!$C$4)/('Choix pédagogiques'!$C$5-'Choix pédagogiques'!$C$4),"")</f>
        <v/>
      </c>
      <c r="AS619" s="55" t="str">
        <f aca="false">IF(AND('Choix pédagogiques'!$C$4&lt;&gt;"?",'Choix pédagogiques'!$C$5&lt;&gt;"?",X619&lt;&gt;""),(X619-'Choix pédagogiques'!$C$4)/('Choix pédagogiques'!$C$5-'Choix pédagogiques'!$C$4),"")</f>
        <v/>
      </c>
      <c r="AT619" s="55" t="str">
        <f aca="false">IF(AND('Choix pédagogiques'!$C$4&lt;&gt;"?",'Choix pédagogiques'!$C$5&lt;&gt;"?",Y619&lt;&gt;""),(Y619-'Choix pédagogiques'!$C$4)/('Choix pédagogiques'!$C$5-'Choix pédagogiques'!$C$4),"")</f>
        <v/>
      </c>
      <c r="AU619" s="53" t="str">
        <f aca="false">IF($E619&lt;&gt;"",$E619,"")</f>
        <v/>
      </c>
      <c r="AV619" s="52" t="str">
        <f aca="false">IF($F619&lt;&gt;"",$F619,"")</f>
        <v>Apprenant 607 ou 607'</v>
      </c>
      <c r="AW619" s="55" t="str">
        <f aca="false">IF(AND('Choix pédagogiques'!$C$4&lt;&gt;"?",'Choix pédagogiques'!$C$5&lt;&gt;"?",AB619&lt;&gt;""),(AB619-'Choix pédagogiques'!$C$4)/('Choix pédagogiques'!$C$5-'Choix pédagogiques'!$C$4),"")</f>
        <v/>
      </c>
      <c r="AX619" s="55" t="str">
        <f aca="false">IF(AND('Choix pédagogiques'!$C$4&lt;&gt;"?",'Choix pédagogiques'!$C$5&lt;&gt;"?",AC619&lt;&gt;""),(AC619-'Choix pédagogiques'!$C$4)/('Choix pédagogiques'!$C$5-'Choix pédagogiques'!$C$4),"")</f>
        <v/>
      </c>
      <c r="AY619" s="55" t="str">
        <f aca="false">IF(AND('Choix pédagogiques'!$C$4&lt;&gt;"?",'Choix pédagogiques'!$C$5&lt;&gt;"?",AD619&lt;&gt;""),(AD619-'Choix pédagogiques'!$C$4)/('Choix pédagogiques'!$C$5-'Choix pédagogiques'!$C$4),"")</f>
        <v/>
      </c>
      <c r="AZ619" s="53" t="str">
        <f aca="false">IF($J619&lt;&gt;"",$J619,"")</f>
        <v/>
      </c>
      <c r="BA619" s="52" t="str">
        <f aca="false">IF($A619&lt;&gt;"",$A619,"")</f>
        <v>Apprenant 607</v>
      </c>
      <c r="BB619" s="55" t="str">
        <f aca="false">IF(AND($AR619&lt;&gt;"",$AS619&lt;&gt;""),$AS619-$AR619,"")</f>
        <v/>
      </c>
      <c r="BC619" s="55" t="str">
        <f aca="false">IF(AND($AR619&lt;&gt;"",$AT619&lt;&gt;""),$AT619-$AR619,"")</f>
        <v/>
      </c>
      <c r="BD619" s="55" t="str">
        <f aca="false">IF(AND($AS619&lt;&gt;"",$AT619&lt;&gt;""),$AT619-$AS619,"")</f>
        <v/>
      </c>
      <c r="BE619" s="53" t="str">
        <f aca="false">IF($E619&lt;&gt;"",$E619,"")</f>
        <v/>
      </c>
      <c r="BF619" s="52" t="str">
        <f aca="false">IF($F619&lt;&gt;"",$F619,"")</f>
        <v>Apprenant 607 ou 607'</v>
      </c>
      <c r="BG619" s="55" t="str">
        <f aca="false">IF(AND($AW619&lt;&gt;"",$AX619&lt;&gt;""),$AX619-$AW619,"")</f>
        <v/>
      </c>
      <c r="BH619" s="55" t="str">
        <f aca="false">IF(AND($AW619&lt;&gt;"",$AY619&lt;&gt;""),$AY619-$AW619,"")</f>
        <v/>
      </c>
      <c r="BI619" s="55" t="str">
        <f aca="false">IF(AND($AX619&lt;&gt;"",$AY619&lt;&gt;""),$AY619-$AX619,"")</f>
        <v/>
      </c>
      <c r="BJ619" s="53" t="str">
        <f aca="false">IF($J619&lt;&gt;"",$J619,"")</f>
        <v/>
      </c>
      <c r="BL619" s="52"/>
      <c r="BM619" s="52" t="str">
        <f aca="false">IF(OR(COUNT(B619:D1618)=0,AND('Choix pédagogiques'!$C$3&lt;&gt;1,'Choix pédagogiques'!$C$3&lt;&gt;2)),"",IF(AND(OR('Choix pédagogiques'!$C$3=1,'Choix pédagogiques'!$C$3=2),$B619&lt;&gt;"",$C619&lt;&gt;"",$D619&lt;&gt;""),1,0))</f>
        <v/>
      </c>
      <c r="BN619" s="52" t="str">
        <f aca="false">IF(OR(COUNT(G619:I1618)=0,AND('Choix pédagogiques'!$C$3&lt;&gt;1,'Choix pédagogiques'!$C$3&lt;&gt;2)),"",IF(AND(OR('Choix pédagogiques'!$C$3=1,'Choix pédagogiques'!$C$3=2),AND($G619&lt;&gt;"",$H619&lt;&gt;"",$I619&lt;&gt;"")),1,0))</f>
        <v/>
      </c>
      <c r="BO619" s="52" t="str">
        <f aca="false">IF(OR(COUNT(B619:D1618)=0,COUNT(G619:I1618)=0,'Choix pédagogiques'!C$3&lt;&gt;3),"",IF(AND('Choix pédagogiques'!$C$3=3,$B619&lt;&gt;"",$C619&lt;&gt;"",$D619&lt;&gt;"",$G619&lt;&gt;"",$H619&lt;&gt;"",$I619&lt;&gt;""),1,0))</f>
        <v/>
      </c>
      <c r="BR619" s="52" t="n">
        <v>369</v>
      </c>
      <c r="BS619" s="52" t="n">
        <v>1584</v>
      </c>
    </row>
    <row r="620" s="54" customFormat="true" ht="18" hidden="false" customHeight="true" outlineLevel="0" collapsed="false">
      <c r="A620" s="57" t="s">
        <v>1171</v>
      </c>
      <c r="B620" s="51"/>
      <c r="C620" s="51"/>
      <c r="D620" s="51"/>
      <c r="E620" s="51"/>
      <c r="F620" s="57" t="s">
        <v>1172</v>
      </c>
      <c r="G620" s="51"/>
      <c r="H620" s="51"/>
      <c r="I620" s="51"/>
      <c r="J620" s="51"/>
      <c r="K620" s="52" t="str">
        <f aca="false">IF($A620&lt;&gt;"",$A620,"")</f>
        <v>Apprenant 608</v>
      </c>
      <c r="L620" s="53" t="str">
        <f aca="false">IF(AND($B620&lt;&gt;"",$C620&lt;&gt;""),$C620-$B620,"")</f>
        <v/>
      </c>
      <c r="M620" s="53" t="str">
        <f aca="false">IF(AND($B620&lt;&gt;"",$D620&lt;&gt;""),$D620-$B620,"")</f>
        <v/>
      </c>
      <c r="N620" s="53" t="str">
        <f aca="false">IF(AND($C620&lt;&gt;"",$D620&lt;&gt;""),$D620-$C620,"")</f>
        <v/>
      </c>
      <c r="O620" s="53" t="str">
        <f aca="false">IF($E620&lt;&gt;"",$E620,"")</f>
        <v/>
      </c>
      <c r="P620" s="52" t="str">
        <f aca="false">IF($F620&lt;&gt;"",$F620,"")</f>
        <v>Apprenant 608 ou 608'</v>
      </c>
      <c r="Q620" s="53" t="str">
        <f aca="false">IF(AND($G620&lt;&gt;"",$H620&lt;&gt;""),$H620-$G620,"")</f>
        <v/>
      </c>
      <c r="R620" s="53" t="str">
        <f aca="false">IF(AND($G620&lt;&gt;"",$I620&lt;&gt;""),$I620-$G620,"")</f>
        <v/>
      </c>
      <c r="S620" s="53" t="str">
        <f aca="false">IF(AND($H620&lt;&gt;"",$I620&lt;&gt;""),$I620-$H620,"")</f>
        <v/>
      </c>
      <c r="T620" s="53" t="str">
        <f aca="false">IF($J620&lt;&gt;"",$J620,"")</f>
        <v/>
      </c>
      <c r="V620" s="52" t="str">
        <f aca="false">IF($A620&lt;&gt;"",$A620,"")</f>
        <v>Apprenant 608</v>
      </c>
      <c r="W620" s="53" t="str">
        <f aca="false">IF(AND(OR('Choix pédagogiques'!$C$3=1,'Choix pédagogiques'!$C$3=2),$BM620=1),B620,IF(AND('Choix pédagogiques'!$C$3=3,$BO620=1),B620,""))</f>
        <v/>
      </c>
      <c r="X620" s="53" t="str">
        <f aca="false">IF(AND(OR('Choix pédagogiques'!$C$3=1,'Choix pédagogiques'!$C$3=2),$BM620=1),C620,IF(AND('Choix pédagogiques'!$C$3=3,$BO620=1),C620,""))</f>
        <v/>
      </c>
      <c r="Y620" s="53" t="str">
        <f aca="false">IF(AND(OR('Choix pédagogiques'!$C$3=1,'Choix pédagogiques'!$C$3=2),$BM620=1),D620,IF(AND('Choix pédagogiques'!$C$3=3,$BO620=1),D620,""))</f>
        <v/>
      </c>
      <c r="Z620" s="53" t="str">
        <f aca="false">IF($E620&lt;&gt;"",$E620,"")</f>
        <v/>
      </c>
      <c r="AA620" s="52" t="str">
        <f aca="false">IF($F620&lt;&gt;"",$F620,"")</f>
        <v>Apprenant 608 ou 608'</v>
      </c>
      <c r="AB620" s="53" t="str">
        <f aca="false">IF(AND(OR('Choix pédagogiques'!$C$3=1,'Choix pédagogiques'!$C$3=2),$BN620=1),G620,IF(AND('Choix pédagogiques'!$C$3=3,$BO620=1),G620,""))</f>
        <v/>
      </c>
      <c r="AC620" s="53" t="str">
        <f aca="false">IF(AND(OR('Choix pédagogiques'!$C$3=1,'Choix pédagogiques'!$C$3=2),$BN620=1),H620,IF(AND('Choix pédagogiques'!$C$3=3,$BO620=1),H620,""))</f>
        <v/>
      </c>
      <c r="AD620" s="53" t="str">
        <f aca="false">IF(AND(OR('Choix pédagogiques'!$C$3=1,'Choix pédagogiques'!$C$3=2),$BN620=1),I620,IF(AND('Choix pédagogiques'!$C$3=3,$BO620=1),I620,""))</f>
        <v/>
      </c>
      <c r="AE620" s="53" t="str">
        <f aca="false">IF($J620&lt;&gt;"",$J620,"")</f>
        <v/>
      </c>
      <c r="AF620" s="52" t="str">
        <f aca="false">IF($A620&lt;&gt;"",$A620,"")</f>
        <v>Apprenant 608</v>
      </c>
      <c r="AG620" s="53" t="str">
        <f aca="false">IF(AND($W620&lt;&gt;"",$X620&lt;&gt;""),$X620-$W620,"")</f>
        <v/>
      </c>
      <c r="AH620" s="53" t="str">
        <f aca="false">IF(AND($W620&lt;&gt;"",$Y620&lt;&gt;""),$Y620-$W620,"")</f>
        <v/>
      </c>
      <c r="AI620" s="53" t="str">
        <f aca="false">IF(AND($X620&lt;&gt;"",$Y620&lt;&gt;""),$Y620-$X620,"")</f>
        <v/>
      </c>
      <c r="AJ620" s="53" t="str">
        <f aca="false">IF($E620&lt;&gt;"",$E620,"")</f>
        <v/>
      </c>
      <c r="AK620" s="52" t="str">
        <f aca="false">IF($F620&lt;&gt;"",$F620,"")</f>
        <v>Apprenant 608 ou 608'</v>
      </c>
      <c r="AL620" s="53" t="str">
        <f aca="false">IF(AND($AB620&lt;&gt;"",$AC620&lt;&gt;""),$AC620-$AB620,"")</f>
        <v/>
      </c>
      <c r="AM620" s="53" t="str">
        <f aca="false">IF(AND($AB620&lt;&gt;"",$AD620&lt;&gt;""),$AD620-$AB620,"")</f>
        <v/>
      </c>
      <c r="AN620" s="53" t="str">
        <f aca="false">IF(AND($AC620&lt;&gt;"",$AD620&lt;&gt;""),$AD620-$AC620,"")</f>
        <v/>
      </c>
      <c r="AO620" s="53" t="str">
        <f aca="false">IF($J620&lt;&gt;"",$J620,"")</f>
        <v/>
      </c>
      <c r="AQ620" s="52" t="str">
        <f aca="false">IF($A620&lt;&gt;"",$A620,"")</f>
        <v>Apprenant 608</v>
      </c>
      <c r="AR620" s="55" t="str">
        <f aca="false">IF(AND('Choix pédagogiques'!$C$4&lt;&gt;"?",'Choix pédagogiques'!$C$5&lt;&gt;"?",W620&lt;&gt;""),(W620-'Choix pédagogiques'!$C$4)/('Choix pédagogiques'!$C$5-'Choix pédagogiques'!$C$4),"")</f>
        <v/>
      </c>
      <c r="AS620" s="55" t="str">
        <f aca="false">IF(AND('Choix pédagogiques'!$C$4&lt;&gt;"?",'Choix pédagogiques'!$C$5&lt;&gt;"?",X620&lt;&gt;""),(X620-'Choix pédagogiques'!$C$4)/('Choix pédagogiques'!$C$5-'Choix pédagogiques'!$C$4),"")</f>
        <v/>
      </c>
      <c r="AT620" s="55" t="str">
        <f aca="false">IF(AND('Choix pédagogiques'!$C$4&lt;&gt;"?",'Choix pédagogiques'!$C$5&lt;&gt;"?",Y620&lt;&gt;""),(Y620-'Choix pédagogiques'!$C$4)/('Choix pédagogiques'!$C$5-'Choix pédagogiques'!$C$4),"")</f>
        <v/>
      </c>
      <c r="AU620" s="53" t="str">
        <f aca="false">IF($E620&lt;&gt;"",$E620,"")</f>
        <v/>
      </c>
      <c r="AV620" s="52" t="str">
        <f aca="false">IF($F620&lt;&gt;"",$F620,"")</f>
        <v>Apprenant 608 ou 608'</v>
      </c>
      <c r="AW620" s="55" t="str">
        <f aca="false">IF(AND('Choix pédagogiques'!$C$4&lt;&gt;"?",'Choix pédagogiques'!$C$5&lt;&gt;"?",AB620&lt;&gt;""),(AB620-'Choix pédagogiques'!$C$4)/('Choix pédagogiques'!$C$5-'Choix pédagogiques'!$C$4),"")</f>
        <v/>
      </c>
      <c r="AX620" s="55" t="str">
        <f aca="false">IF(AND('Choix pédagogiques'!$C$4&lt;&gt;"?",'Choix pédagogiques'!$C$5&lt;&gt;"?",AC620&lt;&gt;""),(AC620-'Choix pédagogiques'!$C$4)/('Choix pédagogiques'!$C$5-'Choix pédagogiques'!$C$4),"")</f>
        <v/>
      </c>
      <c r="AY620" s="55" t="str">
        <f aca="false">IF(AND('Choix pédagogiques'!$C$4&lt;&gt;"?",'Choix pédagogiques'!$C$5&lt;&gt;"?",AD620&lt;&gt;""),(AD620-'Choix pédagogiques'!$C$4)/('Choix pédagogiques'!$C$5-'Choix pédagogiques'!$C$4),"")</f>
        <v/>
      </c>
      <c r="AZ620" s="53" t="str">
        <f aca="false">IF($J620&lt;&gt;"",$J620,"")</f>
        <v/>
      </c>
      <c r="BA620" s="52" t="str">
        <f aca="false">IF($A620&lt;&gt;"",$A620,"")</f>
        <v>Apprenant 608</v>
      </c>
      <c r="BB620" s="55" t="str">
        <f aca="false">IF(AND($AR620&lt;&gt;"",$AS620&lt;&gt;""),$AS620-$AR620,"")</f>
        <v/>
      </c>
      <c r="BC620" s="55" t="str">
        <f aca="false">IF(AND($AR620&lt;&gt;"",$AT620&lt;&gt;""),$AT620-$AR620,"")</f>
        <v/>
      </c>
      <c r="BD620" s="55" t="str">
        <f aca="false">IF(AND($AS620&lt;&gt;"",$AT620&lt;&gt;""),$AT620-$AS620,"")</f>
        <v/>
      </c>
      <c r="BE620" s="53" t="str">
        <f aca="false">IF($E620&lt;&gt;"",$E620,"")</f>
        <v/>
      </c>
      <c r="BF620" s="52" t="str">
        <f aca="false">IF($F620&lt;&gt;"",$F620,"")</f>
        <v>Apprenant 608 ou 608'</v>
      </c>
      <c r="BG620" s="55" t="str">
        <f aca="false">IF(AND($AW620&lt;&gt;"",$AX620&lt;&gt;""),$AX620-$AW620,"")</f>
        <v/>
      </c>
      <c r="BH620" s="55" t="str">
        <f aca="false">IF(AND($AW620&lt;&gt;"",$AY620&lt;&gt;""),$AY620-$AW620,"")</f>
        <v/>
      </c>
      <c r="BI620" s="55" t="str">
        <f aca="false">IF(AND($AX620&lt;&gt;"",$AY620&lt;&gt;""),$AY620-$AX620,"")</f>
        <v/>
      </c>
      <c r="BJ620" s="53" t="str">
        <f aca="false">IF($J620&lt;&gt;"",$J620,"")</f>
        <v/>
      </c>
      <c r="BL620" s="52"/>
      <c r="BM620" s="52" t="str">
        <f aca="false">IF(OR(COUNT(B620:D1619)=0,AND('Choix pédagogiques'!$C$3&lt;&gt;1,'Choix pédagogiques'!$C$3&lt;&gt;2)),"",IF(AND(OR('Choix pédagogiques'!$C$3=1,'Choix pédagogiques'!$C$3=2),$B620&lt;&gt;"",$C620&lt;&gt;"",$D620&lt;&gt;""),1,0))</f>
        <v/>
      </c>
      <c r="BN620" s="52" t="str">
        <f aca="false">IF(OR(COUNT(G620:I1619)=0,AND('Choix pédagogiques'!$C$3&lt;&gt;1,'Choix pédagogiques'!$C$3&lt;&gt;2)),"",IF(AND(OR('Choix pédagogiques'!$C$3=1,'Choix pédagogiques'!$C$3=2),AND($G620&lt;&gt;"",$H620&lt;&gt;"",$I620&lt;&gt;"")),1,0))</f>
        <v/>
      </c>
      <c r="BO620" s="52" t="str">
        <f aca="false">IF(OR(COUNT(B620:D1619)=0,COUNT(G620:I1619)=0,'Choix pédagogiques'!C$3&lt;&gt;3),"",IF(AND('Choix pédagogiques'!$C$3=3,$B620&lt;&gt;"",$C620&lt;&gt;"",$D620&lt;&gt;"",$G620&lt;&gt;"",$H620&lt;&gt;"",$I620&lt;&gt;""),1,0))</f>
        <v/>
      </c>
      <c r="BR620" s="52" t="n">
        <v>791</v>
      </c>
      <c r="BS620" s="52" t="n">
        <v>1075</v>
      </c>
    </row>
    <row r="621" s="54" customFormat="true" ht="18" hidden="false" customHeight="true" outlineLevel="0" collapsed="false">
      <c r="A621" s="57" t="s">
        <v>1173</v>
      </c>
      <c r="B621" s="51"/>
      <c r="C621" s="51"/>
      <c r="D621" s="51"/>
      <c r="E621" s="51"/>
      <c r="F621" s="57" t="s">
        <v>1174</v>
      </c>
      <c r="G621" s="51"/>
      <c r="H621" s="51"/>
      <c r="I621" s="51"/>
      <c r="J621" s="51"/>
      <c r="K621" s="52" t="str">
        <f aca="false">IF($A621&lt;&gt;"",$A621,"")</f>
        <v>Apprenant 609</v>
      </c>
      <c r="L621" s="53" t="str">
        <f aca="false">IF(AND($B621&lt;&gt;"",$C621&lt;&gt;""),$C621-$B621,"")</f>
        <v/>
      </c>
      <c r="M621" s="53" t="str">
        <f aca="false">IF(AND($B621&lt;&gt;"",$D621&lt;&gt;""),$D621-$B621,"")</f>
        <v/>
      </c>
      <c r="N621" s="53" t="str">
        <f aca="false">IF(AND($C621&lt;&gt;"",$D621&lt;&gt;""),$D621-$C621,"")</f>
        <v/>
      </c>
      <c r="O621" s="53" t="str">
        <f aca="false">IF($E621&lt;&gt;"",$E621,"")</f>
        <v/>
      </c>
      <c r="P621" s="52" t="str">
        <f aca="false">IF($F621&lt;&gt;"",$F621,"")</f>
        <v>Apprenant 609 ou 609'</v>
      </c>
      <c r="Q621" s="53" t="str">
        <f aca="false">IF(AND($G621&lt;&gt;"",$H621&lt;&gt;""),$H621-$G621,"")</f>
        <v/>
      </c>
      <c r="R621" s="53" t="str">
        <f aca="false">IF(AND($G621&lt;&gt;"",$I621&lt;&gt;""),$I621-$G621,"")</f>
        <v/>
      </c>
      <c r="S621" s="53" t="str">
        <f aca="false">IF(AND($H621&lt;&gt;"",$I621&lt;&gt;""),$I621-$H621,"")</f>
        <v/>
      </c>
      <c r="T621" s="53" t="str">
        <f aca="false">IF($J621&lt;&gt;"",$J621,"")</f>
        <v/>
      </c>
      <c r="V621" s="52" t="str">
        <f aca="false">IF($A621&lt;&gt;"",$A621,"")</f>
        <v>Apprenant 609</v>
      </c>
      <c r="W621" s="53" t="str">
        <f aca="false">IF(AND(OR('Choix pédagogiques'!$C$3=1,'Choix pédagogiques'!$C$3=2),$BM621=1),B621,IF(AND('Choix pédagogiques'!$C$3=3,$BO621=1),B621,""))</f>
        <v/>
      </c>
      <c r="X621" s="53" t="str">
        <f aca="false">IF(AND(OR('Choix pédagogiques'!$C$3=1,'Choix pédagogiques'!$C$3=2),$BM621=1),C621,IF(AND('Choix pédagogiques'!$C$3=3,$BO621=1),C621,""))</f>
        <v/>
      </c>
      <c r="Y621" s="53" t="str">
        <f aca="false">IF(AND(OR('Choix pédagogiques'!$C$3=1,'Choix pédagogiques'!$C$3=2),$BM621=1),D621,IF(AND('Choix pédagogiques'!$C$3=3,$BO621=1),D621,""))</f>
        <v/>
      </c>
      <c r="Z621" s="53" t="str">
        <f aca="false">IF($E621&lt;&gt;"",$E621,"")</f>
        <v/>
      </c>
      <c r="AA621" s="52" t="str">
        <f aca="false">IF($F621&lt;&gt;"",$F621,"")</f>
        <v>Apprenant 609 ou 609'</v>
      </c>
      <c r="AB621" s="53" t="str">
        <f aca="false">IF(AND(OR('Choix pédagogiques'!$C$3=1,'Choix pédagogiques'!$C$3=2),$BN621=1),G621,IF(AND('Choix pédagogiques'!$C$3=3,$BO621=1),G621,""))</f>
        <v/>
      </c>
      <c r="AC621" s="53" t="str">
        <f aca="false">IF(AND(OR('Choix pédagogiques'!$C$3=1,'Choix pédagogiques'!$C$3=2),$BN621=1),H621,IF(AND('Choix pédagogiques'!$C$3=3,$BO621=1),H621,""))</f>
        <v/>
      </c>
      <c r="AD621" s="53" t="str">
        <f aca="false">IF(AND(OR('Choix pédagogiques'!$C$3=1,'Choix pédagogiques'!$C$3=2),$BN621=1),I621,IF(AND('Choix pédagogiques'!$C$3=3,$BO621=1),I621,""))</f>
        <v/>
      </c>
      <c r="AE621" s="53" t="str">
        <f aca="false">IF($J621&lt;&gt;"",$J621,"")</f>
        <v/>
      </c>
      <c r="AF621" s="52" t="str">
        <f aca="false">IF($A621&lt;&gt;"",$A621,"")</f>
        <v>Apprenant 609</v>
      </c>
      <c r="AG621" s="53" t="str">
        <f aca="false">IF(AND($W621&lt;&gt;"",$X621&lt;&gt;""),$X621-$W621,"")</f>
        <v/>
      </c>
      <c r="AH621" s="53" t="str">
        <f aca="false">IF(AND($W621&lt;&gt;"",$Y621&lt;&gt;""),$Y621-$W621,"")</f>
        <v/>
      </c>
      <c r="AI621" s="53" t="str">
        <f aca="false">IF(AND($X621&lt;&gt;"",$Y621&lt;&gt;""),$Y621-$X621,"")</f>
        <v/>
      </c>
      <c r="AJ621" s="53" t="str">
        <f aca="false">IF($E621&lt;&gt;"",$E621,"")</f>
        <v/>
      </c>
      <c r="AK621" s="52" t="str">
        <f aca="false">IF($F621&lt;&gt;"",$F621,"")</f>
        <v>Apprenant 609 ou 609'</v>
      </c>
      <c r="AL621" s="53" t="str">
        <f aca="false">IF(AND($AB621&lt;&gt;"",$AC621&lt;&gt;""),$AC621-$AB621,"")</f>
        <v/>
      </c>
      <c r="AM621" s="53" t="str">
        <f aca="false">IF(AND($AB621&lt;&gt;"",$AD621&lt;&gt;""),$AD621-$AB621,"")</f>
        <v/>
      </c>
      <c r="AN621" s="53" t="str">
        <f aca="false">IF(AND($AC621&lt;&gt;"",$AD621&lt;&gt;""),$AD621-$AC621,"")</f>
        <v/>
      </c>
      <c r="AO621" s="53" t="str">
        <f aca="false">IF($J621&lt;&gt;"",$J621,"")</f>
        <v/>
      </c>
      <c r="AQ621" s="52" t="str">
        <f aca="false">IF($A621&lt;&gt;"",$A621,"")</f>
        <v>Apprenant 609</v>
      </c>
      <c r="AR621" s="55" t="str">
        <f aca="false">IF(AND('Choix pédagogiques'!$C$4&lt;&gt;"?",'Choix pédagogiques'!$C$5&lt;&gt;"?",W621&lt;&gt;""),(W621-'Choix pédagogiques'!$C$4)/('Choix pédagogiques'!$C$5-'Choix pédagogiques'!$C$4),"")</f>
        <v/>
      </c>
      <c r="AS621" s="55" t="str">
        <f aca="false">IF(AND('Choix pédagogiques'!$C$4&lt;&gt;"?",'Choix pédagogiques'!$C$5&lt;&gt;"?",X621&lt;&gt;""),(X621-'Choix pédagogiques'!$C$4)/('Choix pédagogiques'!$C$5-'Choix pédagogiques'!$C$4),"")</f>
        <v/>
      </c>
      <c r="AT621" s="55" t="str">
        <f aca="false">IF(AND('Choix pédagogiques'!$C$4&lt;&gt;"?",'Choix pédagogiques'!$C$5&lt;&gt;"?",Y621&lt;&gt;""),(Y621-'Choix pédagogiques'!$C$4)/('Choix pédagogiques'!$C$5-'Choix pédagogiques'!$C$4),"")</f>
        <v/>
      </c>
      <c r="AU621" s="53" t="str">
        <f aca="false">IF($E621&lt;&gt;"",$E621,"")</f>
        <v/>
      </c>
      <c r="AV621" s="52" t="str">
        <f aca="false">IF($F621&lt;&gt;"",$F621,"")</f>
        <v>Apprenant 609 ou 609'</v>
      </c>
      <c r="AW621" s="55" t="str">
        <f aca="false">IF(AND('Choix pédagogiques'!$C$4&lt;&gt;"?",'Choix pédagogiques'!$C$5&lt;&gt;"?",AB621&lt;&gt;""),(AB621-'Choix pédagogiques'!$C$4)/('Choix pédagogiques'!$C$5-'Choix pédagogiques'!$C$4),"")</f>
        <v/>
      </c>
      <c r="AX621" s="55" t="str">
        <f aca="false">IF(AND('Choix pédagogiques'!$C$4&lt;&gt;"?",'Choix pédagogiques'!$C$5&lt;&gt;"?",AC621&lt;&gt;""),(AC621-'Choix pédagogiques'!$C$4)/('Choix pédagogiques'!$C$5-'Choix pédagogiques'!$C$4),"")</f>
        <v/>
      </c>
      <c r="AY621" s="55" t="str">
        <f aca="false">IF(AND('Choix pédagogiques'!$C$4&lt;&gt;"?",'Choix pédagogiques'!$C$5&lt;&gt;"?",AD621&lt;&gt;""),(AD621-'Choix pédagogiques'!$C$4)/('Choix pédagogiques'!$C$5-'Choix pédagogiques'!$C$4),"")</f>
        <v/>
      </c>
      <c r="AZ621" s="53" t="str">
        <f aca="false">IF($J621&lt;&gt;"",$J621,"")</f>
        <v/>
      </c>
      <c r="BA621" s="52" t="str">
        <f aca="false">IF($A621&lt;&gt;"",$A621,"")</f>
        <v>Apprenant 609</v>
      </c>
      <c r="BB621" s="55" t="str">
        <f aca="false">IF(AND($AR621&lt;&gt;"",$AS621&lt;&gt;""),$AS621-$AR621,"")</f>
        <v/>
      </c>
      <c r="BC621" s="55" t="str">
        <f aca="false">IF(AND($AR621&lt;&gt;"",$AT621&lt;&gt;""),$AT621-$AR621,"")</f>
        <v/>
      </c>
      <c r="BD621" s="55" t="str">
        <f aca="false">IF(AND($AS621&lt;&gt;"",$AT621&lt;&gt;""),$AT621-$AS621,"")</f>
        <v/>
      </c>
      <c r="BE621" s="53" t="str">
        <f aca="false">IF($E621&lt;&gt;"",$E621,"")</f>
        <v/>
      </c>
      <c r="BF621" s="52" t="str">
        <f aca="false">IF($F621&lt;&gt;"",$F621,"")</f>
        <v>Apprenant 609 ou 609'</v>
      </c>
      <c r="BG621" s="55" t="str">
        <f aca="false">IF(AND($AW621&lt;&gt;"",$AX621&lt;&gt;""),$AX621-$AW621,"")</f>
        <v/>
      </c>
      <c r="BH621" s="55" t="str">
        <f aca="false">IF(AND($AW621&lt;&gt;"",$AY621&lt;&gt;""),$AY621-$AW621,"")</f>
        <v/>
      </c>
      <c r="BI621" s="55" t="str">
        <f aca="false">IF(AND($AX621&lt;&gt;"",$AY621&lt;&gt;""),$AY621-$AX621,"")</f>
        <v/>
      </c>
      <c r="BJ621" s="53" t="str">
        <f aca="false">IF($J621&lt;&gt;"",$J621,"")</f>
        <v/>
      </c>
      <c r="BL621" s="52"/>
      <c r="BM621" s="52" t="str">
        <f aca="false">IF(OR(COUNT(B621:D1620)=0,AND('Choix pédagogiques'!$C$3&lt;&gt;1,'Choix pédagogiques'!$C$3&lt;&gt;2)),"",IF(AND(OR('Choix pédagogiques'!$C$3=1,'Choix pédagogiques'!$C$3=2),$B621&lt;&gt;"",$C621&lt;&gt;"",$D621&lt;&gt;""),1,0))</f>
        <v/>
      </c>
      <c r="BN621" s="52" t="str">
        <f aca="false">IF(OR(COUNT(G621:I1620)=0,AND('Choix pédagogiques'!$C$3&lt;&gt;1,'Choix pédagogiques'!$C$3&lt;&gt;2)),"",IF(AND(OR('Choix pédagogiques'!$C$3=1,'Choix pédagogiques'!$C$3=2),AND($G621&lt;&gt;"",$H621&lt;&gt;"",$I621&lt;&gt;"")),1,0))</f>
        <v/>
      </c>
      <c r="BO621" s="52" t="str">
        <f aca="false">IF(OR(COUNT(B621:D1620)=0,COUNT(G621:I1620)=0,'Choix pédagogiques'!C$3&lt;&gt;3),"",IF(AND('Choix pédagogiques'!$C$3=3,$B621&lt;&gt;"",$C621&lt;&gt;"",$D621&lt;&gt;"",$G621&lt;&gt;"",$H621&lt;&gt;"",$I621&lt;&gt;""),1,0))</f>
        <v/>
      </c>
      <c r="BR621" s="52" t="n">
        <v>320</v>
      </c>
      <c r="BS621" s="52" t="n">
        <v>1488</v>
      </c>
    </row>
    <row r="622" s="54" customFormat="true" ht="18" hidden="false" customHeight="true" outlineLevel="0" collapsed="false">
      <c r="A622" s="57" t="s">
        <v>1175</v>
      </c>
      <c r="B622" s="51"/>
      <c r="C622" s="51"/>
      <c r="D622" s="51"/>
      <c r="E622" s="51"/>
      <c r="F622" s="57" t="s">
        <v>1176</v>
      </c>
      <c r="G622" s="51"/>
      <c r="H622" s="51"/>
      <c r="I622" s="51"/>
      <c r="J622" s="51"/>
      <c r="K622" s="52" t="str">
        <f aca="false">IF($A622&lt;&gt;"",$A622,"")</f>
        <v>Apprenant 610</v>
      </c>
      <c r="L622" s="53" t="str">
        <f aca="false">IF(AND($B622&lt;&gt;"",$C622&lt;&gt;""),$C622-$B622,"")</f>
        <v/>
      </c>
      <c r="M622" s="53" t="str">
        <f aca="false">IF(AND($B622&lt;&gt;"",$D622&lt;&gt;""),$D622-$B622,"")</f>
        <v/>
      </c>
      <c r="N622" s="53" t="str">
        <f aca="false">IF(AND($C622&lt;&gt;"",$D622&lt;&gt;""),$D622-$C622,"")</f>
        <v/>
      </c>
      <c r="O622" s="53" t="str">
        <f aca="false">IF($E622&lt;&gt;"",$E622,"")</f>
        <v/>
      </c>
      <c r="P622" s="52" t="str">
        <f aca="false">IF($F622&lt;&gt;"",$F622,"")</f>
        <v>Apprenant 610 ou 610'</v>
      </c>
      <c r="Q622" s="53" t="str">
        <f aca="false">IF(AND($G622&lt;&gt;"",$H622&lt;&gt;""),$H622-$G622,"")</f>
        <v/>
      </c>
      <c r="R622" s="53" t="str">
        <f aca="false">IF(AND($G622&lt;&gt;"",$I622&lt;&gt;""),$I622-$G622,"")</f>
        <v/>
      </c>
      <c r="S622" s="53" t="str">
        <f aca="false">IF(AND($H622&lt;&gt;"",$I622&lt;&gt;""),$I622-$H622,"")</f>
        <v/>
      </c>
      <c r="T622" s="53" t="str">
        <f aca="false">IF($J622&lt;&gt;"",$J622,"")</f>
        <v/>
      </c>
      <c r="V622" s="52" t="str">
        <f aca="false">IF($A622&lt;&gt;"",$A622,"")</f>
        <v>Apprenant 610</v>
      </c>
      <c r="W622" s="53" t="str">
        <f aca="false">IF(AND(OR('Choix pédagogiques'!$C$3=1,'Choix pédagogiques'!$C$3=2),$BM622=1),B622,IF(AND('Choix pédagogiques'!$C$3=3,$BO622=1),B622,""))</f>
        <v/>
      </c>
      <c r="X622" s="53" t="str">
        <f aca="false">IF(AND(OR('Choix pédagogiques'!$C$3=1,'Choix pédagogiques'!$C$3=2),$BM622=1),C622,IF(AND('Choix pédagogiques'!$C$3=3,$BO622=1),C622,""))</f>
        <v/>
      </c>
      <c r="Y622" s="53" t="str">
        <f aca="false">IF(AND(OR('Choix pédagogiques'!$C$3=1,'Choix pédagogiques'!$C$3=2),$BM622=1),D622,IF(AND('Choix pédagogiques'!$C$3=3,$BO622=1),D622,""))</f>
        <v/>
      </c>
      <c r="Z622" s="53" t="str">
        <f aca="false">IF($E622&lt;&gt;"",$E622,"")</f>
        <v/>
      </c>
      <c r="AA622" s="52" t="str">
        <f aca="false">IF($F622&lt;&gt;"",$F622,"")</f>
        <v>Apprenant 610 ou 610'</v>
      </c>
      <c r="AB622" s="53" t="str">
        <f aca="false">IF(AND(OR('Choix pédagogiques'!$C$3=1,'Choix pédagogiques'!$C$3=2),$BN622=1),G622,IF(AND('Choix pédagogiques'!$C$3=3,$BO622=1),G622,""))</f>
        <v/>
      </c>
      <c r="AC622" s="53" t="str">
        <f aca="false">IF(AND(OR('Choix pédagogiques'!$C$3=1,'Choix pédagogiques'!$C$3=2),$BN622=1),H622,IF(AND('Choix pédagogiques'!$C$3=3,$BO622=1),H622,""))</f>
        <v/>
      </c>
      <c r="AD622" s="53" t="str">
        <f aca="false">IF(AND(OR('Choix pédagogiques'!$C$3=1,'Choix pédagogiques'!$C$3=2),$BN622=1),I622,IF(AND('Choix pédagogiques'!$C$3=3,$BO622=1),I622,""))</f>
        <v/>
      </c>
      <c r="AE622" s="53" t="str">
        <f aca="false">IF($J622&lt;&gt;"",$J622,"")</f>
        <v/>
      </c>
      <c r="AF622" s="52" t="str">
        <f aca="false">IF($A622&lt;&gt;"",$A622,"")</f>
        <v>Apprenant 610</v>
      </c>
      <c r="AG622" s="53" t="str">
        <f aca="false">IF(AND($W622&lt;&gt;"",$X622&lt;&gt;""),$X622-$W622,"")</f>
        <v/>
      </c>
      <c r="AH622" s="53" t="str">
        <f aca="false">IF(AND($W622&lt;&gt;"",$Y622&lt;&gt;""),$Y622-$W622,"")</f>
        <v/>
      </c>
      <c r="AI622" s="53" t="str">
        <f aca="false">IF(AND($X622&lt;&gt;"",$Y622&lt;&gt;""),$Y622-$X622,"")</f>
        <v/>
      </c>
      <c r="AJ622" s="53" t="str">
        <f aca="false">IF($E622&lt;&gt;"",$E622,"")</f>
        <v/>
      </c>
      <c r="AK622" s="52" t="str">
        <f aca="false">IF($F622&lt;&gt;"",$F622,"")</f>
        <v>Apprenant 610 ou 610'</v>
      </c>
      <c r="AL622" s="53" t="str">
        <f aca="false">IF(AND($AB622&lt;&gt;"",$AC622&lt;&gt;""),$AC622-$AB622,"")</f>
        <v/>
      </c>
      <c r="AM622" s="53" t="str">
        <f aca="false">IF(AND($AB622&lt;&gt;"",$AD622&lt;&gt;""),$AD622-$AB622,"")</f>
        <v/>
      </c>
      <c r="AN622" s="53" t="str">
        <f aca="false">IF(AND($AC622&lt;&gt;"",$AD622&lt;&gt;""),$AD622-$AC622,"")</f>
        <v/>
      </c>
      <c r="AO622" s="53" t="str">
        <f aca="false">IF($J622&lt;&gt;"",$J622,"")</f>
        <v/>
      </c>
      <c r="AQ622" s="52" t="str">
        <f aca="false">IF($A622&lt;&gt;"",$A622,"")</f>
        <v>Apprenant 610</v>
      </c>
      <c r="AR622" s="55" t="str">
        <f aca="false">IF(AND('Choix pédagogiques'!$C$4&lt;&gt;"?",'Choix pédagogiques'!$C$5&lt;&gt;"?",W622&lt;&gt;""),(W622-'Choix pédagogiques'!$C$4)/('Choix pédagogiques'!$C$5-'Choix pédagogiques'!$C$4),"")</f>
        <v/>
      </c>
      <c r="AS622" s="55" t="str">
        <f aca="false">IF(AND('Choix pédagogiques'!$C$4&lt;&gt;"?",'Choix pédagogiques'!$C$5&lt;&gt;"?",X622&lt;&gt;""),(X622-'Choix pédagogiques'!$C$4)/('Choix pédagogiques'!$C$5-'Choix pédagogiques'!$C$4),"")</f>
        <v/>
      </c>
      <c r="AT622" s="55" t="str">
        <f aca="false">IF(AND('Choix pédagogiques'!$C$4&lt;&gt;"?",'Choix pédagogiques'!$C$5&lt;&gt;"?",Y622&lt;&gt;""),(Y622-'Choix pédagogiques'!$C$4)/('Choix pédagogiques'!$C$5-'Choix pédagogiques'!$C$4),"")</f>
        <v/>
      </c>
      <c r="AU622" s="53" t="str">
        <f aca="false">IF($E622&lt;&gt;"",$E622,"")</f>
        <v/>
      </c>
      <c r="AV622" s="52" t="str">
        <f aca="false">IF($F622&lt;&gt;"",$F622,"")</f>
        <v>Apprenant 610 ou 610'</v>
      </c>
      <c r="AW622" s="55" t="str">
        <f aca="false">IF(AND('Choix pédagogiques'!$C$4&lt;&gt;"?",'Choix pédagogiques'!$C$5&lt;&gt;"?",AB622&lt;&gt;""),(AB622-'Choix pédagogiques'!$C$4)/('Choix pédagogiques'!$C$5-'Choix pédagogiques'!$C$4),"")</f>
        <v/>
      </c>
      <c r="AX622" s="55" t="str">
        <f aca="false">IF(AND('Choix pédagogiques'!$C$4&lt;&gt;"?",'Choix pédagogiques'!$C$5&lt;&gt;"?",AC622&lt;&gt;""),(AC622-'Choix pédagogiques'!$C$4)/('Choix pédagogiques'!$C$5-'Choix pédagogiques'!$C$4),"")</f>
        <v/>
      </c>
      <c r="AY622" s="55" t="str">
        <f aca="false">IF(AND('Choix pédagogiques'!$C$4&lt;&gt;"?",'Choix pédagogiques'!$C$5&lt;&gt;"?",AD622&lt;&gt;""),(AD622-'Choix pédagogiques'!$C$4)/('Choix pédagogiques'!$C$5-'Choix pédagogiques'!$C$4),"")</f>
        <v/>
      </c>
      <c r="AZ622" s="53" t="str">
        <f aca="false">IF($J622&lt;&gt;"",$J622,"")</f>
        <v/>
      </c>
      <c r="BA622" s="52" t="str">
        <f aca="false">IF($A622&lt;&gt;"",$A622,"")</f>
        <v>Apprenant 610</v>
      </c>
      <c r="BB622" s="55" t="str">
        <f aca="false">IF(AND($AR622&lt;&gt;"",$AS622&lt;&gt;""),$AS622-$AR622,"")</f>
        <v/>
      </c>
      <c r="BC622" s="55" t="str">
        <f aca="false">IF(AND($AR622&lt;&gt;"",$AT622&lt;&gt;""),$AT622-$AR622,"")</f>
        <v/>
      </c>
      <c r="BD622" s="55" t="str">
        <f aca="false">IF(AND($AS622&lt;&gt;"",$AT622&lt;&gt;""),$AT622-$AS622,"")</f>
        <v/>
      </c>
      <c r="BE622" s="53" t="str">
        <f aca="false">IF($E622&lt;&gt;"",$E622,"")</f>
        <v/>
      </c>
      <c r="BF622" s="52" t="str">
        <f aca="false">IF($F622&lt;&gt;"",$F622,"")</f>
        <v>Apprenant 610 ou 610'</v>
      </c>
      <c r="BG622" s="55" t="str">
        <f aca="false">IF(AND($AW622&lt;&gt;"",$AX622&lt;&gt;""),$AX622-$AW622,"")</f>
        <v/>
      </c>
      <c r="BH622" s="55" t="str">
        <f aca="false">IF(AND($AW622&lt;&gt;"",$AY622&lt;&gt;""),$AY622-$AW622,"")</f>
        <v/>
      </c>
      <c r="BI622" s="55" t="str">
        <f aca="false">IF(AND($AX622&lt;&gt;"",$AY622&lt;&gt;""),$AY622-$AX622,"")</f>
        <v/>
      </c>
      <c r="BJ622" s="53" t="str">
        <f aca="false">IF($J622&lt;&gt;"",$J622,"")</f>
        <v/>
      </c>
      <c r="BL622" s="52"/>
      <c r="BM622" s="52" t="str">
        <f aca="false">IF(OR(COUNT(B622:D1621)=0,AND('Choix pédagogiques'!$C$3&lt;&gt;1,'Choix pédagogiques'!$C$3&lt;&gt;2)),"",IF(AND(OR('Choix pédagogiques'!$C$3=1,'Choix pédagogiques'!$C$3=2),$B622&lt;&gt;"",$C622&lt;&gt;"",$D622&lt;&gt;""),1,0))</f>
        <v/>
      </c>
      <c r="BN622" s="52" t="str">
        <f aca="false">IF(OR(COUNT(G622:I1621)=0,AND('Choix pédagogiques'!$C$3&lt;&gt;1,'Choix pédagogiques'!$C$3&lt;&gt;2)),"",IF(AND(OR('Choix pédagogiques'!$C$3=1,'Choix pédagogiques'!$C$3=2),AND($G622&lt;&gt;"",$H622&lt;&gt;"",$I622&lt;&gt;"")),1,0))</f>
        <v/>
      </c>
      <c r="BO622" s="52" t="str">
        <f aca="false">IF(OR(COUNT(B622:D1621)=0,COUNT(G622:I1621)=0,'Choix pédagogiques'!C$3&lt;&gt;3),"",IF(AND('Choix pédagogiques'!$C$3=3,$B622&lt;&gt;"",$C622&lt;&gt;"",$D622&lt;&gt;"",$G622&lt;&gt;"",$H622&lt;&gt;"",$I622&lt;&gt;""),1,0))</f>
        <v/>
      </c>
      <c r="BR622" s="52" t="n">
        <v>299</v>
      </c>
      <c r="BS622" s="52" t="n">
        <v>1929</v>
      </c>
    </row>
    <row r="623" s="54" customFormat="true" ht="18" hidden="false" customHeight="true" outlineLevel="0" collapsed="false">
      <c r="A623" s="57" t="s">
        <v>1177</v>
      </c>
      <c r="B623" s="51"/>
      <c r="C623" s="51"/>
      <c r="D623" s="51"/>
      <c r="E623" s="51"/>
      <c r="F623" s="57" t="s">
        <v>1178</v>
      </c>
      <c r="G623" s="51"/>
      <c r="H623" s="51"/>
      <c r="I623" s="51"/>
      <c r="J623" s="51"/>
      <c r="K623" s="52" t="str">
        <f aca="false">IF($A623&lt;&gt;"",$A623,"")</f>
        <v>Apprenant 611</v>
      </c>
      <c r="L623" s="53" t="str">
        <f aca="false">IF(AND($B623&lt;&gt;"",$C623&lt;&gt;""),$C623-$B623,"")</f>
        <v/>
      </c>
      <c r="M623" s="53" t="str">
        <f aca="false">IF(AND($B623&lt;&gt;"",$D623&lt;&gt;""),$D623-$B623,"")</f>
        <v/>
      </c>
      <c r="N623" s="53" t="str">
        <f aca="false">IF(AND($C623&lt;&gt;"",$D623&lt;&gt;""),$D623-$C623,"")</f>
        <v/>
      </c>
      <c r="O623" s="53" t="str">
        <f aca="false">IF($E623&lt;&gt;"",$E623,"")</f>
        <v/>
      </c>
      <c r="P623" s="52" t="str">
        <f aca="false">IF($F623&lt;&gt;"",$F623,"")</f>
        <v>Apprenant 611 ou 611'</v>
      </c>
      <c r="Q623" s="53" t="str">
        <f aca="false">IF(AND($G623&lt;&gt;"",$H623&lt;&gt;""),$H623-$G623,"")</f>
        <v/>
      </c>
      <c r="R623" s="53" t="str">
        <f aca="false">IF(AND($G623&lt;&gt;"",$I623&lt;&gt;""),$I623-$G623,"")</f>
        <v/>
      </c>
      <c r="S623" s="53" t="str">
        <f aca="false">IF(AND($H623&lt;&gt;"",$I623&lt;&gt;""),$I623-$H623,"")</f>
        <v/>
      </c>
      <c r="T623" s="53" t="str">
        <f aca="false">IF($J623&lt;&gt;"",$J623,"")</f>
        <v/>
      </c>
      <c r="V623" s="52" t="str">
        <f aca="false">IF($A623&lt;&gt;"",$A623,"")</f>
        <v>Apprenant 611</v>
      </c>
      <c r="W623" s="53" t="str">
        <f aca="false">IF(AND(OR('Choix pédagogiques'!$C$3=1,'Choix pédagogiques'!$C$3=2),$BM623=1),B623,IF(AND('Choix pédagogiques'!$C$3=3,$BO623=1),B623,""))</f>
        <v/>
      </c>
      <c r="X623" s="53" t="str">
        <f aca="false">IF(AND(OR('Choix pédagogiques'!$C$3=1,'Choix pédagogiques'!$C$3=2),$BM623=1),C623,IF(AND('Choix pédagogiques'!$C$3=3,$BO623=1),C623,""))</f>
        <v/>
      </c>
      <c r="Y623" s="53" t="str">
        <f aca="false">IF(AND(OR('Choix pédagogiques'!$C$3=1,'Choix pédagogiques'!$C$3=2),$BM623=1),D623,IF(AND('Choix pédagogiques'!$C$3=3,$BO623=1),D623,""))</f>
        <v/>
      </c>
      <c r="Z623" s="53" t="str">
        <f aca="false">IF($E623&lt;&gt;"",$E623,"")</f>
        <v/>
      </c>
      <c r="AA623" s="52" t="str">
        <f aca="false">IF($F623&lt;&gt;"",$F623,"")</f>
        <v>Apprenant 611 ou 611'</v>
      </c>
      <c r="AB623" s="53" t="str">
        <f aca="false">IF(AND(OR('Choix pédagogiques'!$C$3=1,'Choix pédagogiques'!$C$3=2),$BN623=1),G623,IF(AND('Choix pédagogiques'!$C$3=3,$BO623=1),G623,""))</f>
        <v/>
      </c>
      <c r="AC623" s="53" t="str">
        <f aca="false">IF(AND(OR('Choix pédagogiques'!$C$3=1,'Choix pédagogiques'!$C$3=2),$BN623=1),H623,IF(AND('Choix pédagogiques'!$C$3=3,$BO623=1),H623,""))</f>
        <v/>
      </c>
      <c r="AD623" s="53" t="str">
        <f aca="false">IF(AND(OR('Choix pédagogiques'!$C$3=1,'Choix pédagogiques'!$C$3=2),$BN623=1),I623,IF(AND('Choix pédagogiques'!$C$3=3,$BO623=1),I623,""))</f>
        <v/>
      </c>
      <c r="AE623" s="53" t="str">
        <f aca="false">IF($J623&lt;&gt;"",$J623,"")</f>
        <v/>
      </c>
      <c r="AF623" s="52" t="str">
        <f aca="false">IF($A623&lt;&gt;"",$A623,"")</f>
        <v>Apprenant 611</v>
      </c>
      <c r="AG623" s="53" t="str">
        <f aca="false">IF(AND($W623&lt;&gt;"",$X623&lt;&gt;""),$X623-$W623,"")</f>
        <v/>
      </c>
      <c r="AH623" s="53" t="str">
        <f aca="false">IF(AND($W623&lt;&gt;"",$Y623&lt;&gt;""),$Y623-$W623,"")</f>
        <v/>
      </c>
      <c r="AI623" s="53" t="str">
        <f aca="false">IF(AND($X623&lt;&gt;"",$Y623&lt;&gt;""),$Y623-$X623,"")</f>
        <v/>
      </c>
      <c r="AJ623" s="53" t="str">
        <f aca="false">IF($E623&lt;&gt;"",$E623,"")</f>
        <v/>
      </c>
      <c r="AK623" s="52" t="str">
        <f aca="false">IF($F623&lt;&gt;"",$F623,"")</f>
        <v>Apprenant 611 ou 611'</v>
      </c>
      <c r="AL623" s="53" t="str">
        <f aca="false">IF(AND($AB623&lt;&gt;"",$AC623&lt;&gt;""),$AC623-$AB623,"")</f>
        <v/>
      </c>
      <c r="AM623" s="53" t="str">
        <f aca="false">IF(AND($AB623&lt;&gt;"",$AD623&lt;&gt;""),$AD623-$AB623,"")</f>
        <v/>
      </c>
      <c r="AN623" s="53" t="str">
        <f aca="false">IF(AND($AC623&lt;&gt;"",$AD623&lt;&gt;""),$AD623-$AC623,"")</f>
        <v/>
      </c>
      <c r="AO623" s="53" t="str">
        <f aca="false">IF($J623&lt;&gt;"",$J623,"")</f>
        <v/>
      </c>
      <c r="AQ623" s="52" t="str">
        <f aca="false">IF($A623&lt;&gt;"",$A623,"")</f>
        <v>Apprenant 611</v>
      </c>
      <c r="AR623" s="55" t="str">
        <f aca="false">IF(AND('Choix pédagogiques'!$C$4&lt;&gt;"?",'Choix pédagogiques'!$C$5&lt;&gt;"?",W623&lt;&gt;""),(W623-'Choix pédagogiques'!$C$4)/('Choix pédagogiques'!$C$5-'Choix pédagogiques'!$C$4),"")</f>
        <v/>
      </c>
      <c r="AS623" s="55" t="str">
        <f aca="false">IF(AND('Choix pédagogiques'!$C$4&lt;&gt;"?",'Choix pédagogiques'!$C$5&lt;&gt;"?",X623&lt;&gt;""),(X623-'Choix pédagogiques'!$C$4)/('Choix pédagogiques'!$C$5-'Choix pédagogiques'!$C$4),"")</f>
        <v/>
      </c>
      <c r="AT623" s="55" t="str">
        <f aca="false">IF(AND('Choix pédagogiques'!$C$4&lt;&gt;"?",'Choix pédagogiques'!$C$5&lt;&gt;"?",Y623&lt;&gt;""),(Y623-'Choix pédagogiques'!$C$4)/('Choix pédagogiques'!$C$5-'Choix pédagogiques'!$C$4),"")</f>
        <v/>
      </c>
      <c r="AU623" s="53" t="str">
        <f aca="false">IF($E623&lt;&gt;"",$E623,"")</f>
        <v/>
      </c>
      <c r="AV623" s="52" t="str">
        <f aca="false">IF($F623&lt;&gt;"",$F623,"")</f>
        <v>Apprenant 611 ou 611'</v>
      </c>
      <c r="AW623" s="55" t="str">
        <f aca="false">IF(AND('Choix pédagogiques'!$C$4&lt;&gt;"?",'Choix pédagogiques'!$C$5&lt;&gt;"?",AB623&lt;&gt;""),(AB623-'Choix pédagogiques'!$C$4)/('Choix pédagogiques'!$C$5-'Choix pédagogiques'!$C$4),"")</f>
        <v/>
      </c>
      <c r="AX623" s="55" t="str">
        <f aca="false">IF(AND('Choix pédagogiques'!$C$4&lt;&gt;"?",'Choix pédagogiques'!$C$5&lt;&gt;"?",AC623&lt;&gt;""),(AC623-'Choix pédagogiques'!$C$4)/('Choix pédagogiques'!$C$5-'Choix pédagogiques'!$C$4),"")</f>
        <v/>
      </c>
      <c r="AY623" s="55" t="str">
        <f aca="false">IF(AND('Choix pédagogiques'!$C$4&lt;&gt;"?",'Choix pédagogiques'!$C$5&lt;&gt;"?",AD623&lt;&gt;""),(AD623-'Choix pédagogiques'!$C$4)/('Choix pédagogiques'!$C$5-'Choix pédagogiques'!$C$4),"")</f>
        <v/>
      </c>
      <c r="AZ623" s="53" t="str">
        <f aca="false">IF($J623&lt;&gt;"",$J623,"")</f>
        <v/>
      </c>
      <c r="BA623" s="52" t="str">
        <f aca="false">IF($A623&lt;&gt;"",$A623,"")</f>
        <v>Apprenant 611</v>
      </c>
      <c r="BB623" s="55" t="str">
        <f aca="false">IF(AND($AR623&lt;&gt;"",$AS623&lt;&gt;""),$AS623-$AR623,"")</f>
        <v/>
      </c>
      <c r="BC623" s="55" t="str">
        <f aca="false">IF(AND($AR623&lt;&gt;"",$AT623&lt;&gt;""),$AT623-$AR623,"")</f>
        <v/>
      </c>
      <c r="BD623" s="55" t="str">
        <f aca="false">IF(AND($AS623&lt;&gt;"",$AT623&lt;&gt;""),$AT623-$AS623,"")</f>
        <v/>
      </c>
      <c r="BE623" s="53" t="str">
        <f aca="false">IF($E623&lt;&gt;"",$E623,"")</f>
        <v/>
      </c>
      <c r="BF623" s="52" t="str">
        <f aca="false">IF($F623&lt;&gt;"",$F623,"")</f>
        <v>Apprenant 611 ou 611'</v>
      </c>
      <c r="BG623" s="55" t="str">
        <f aca="false">IF(AND($AW623&lt;&gt;"",$AX623&lt;&gt;""),$AX623-$AW623,"")</f>
        <v/>
      </c>
      <c r="BH623" s="55" t="str">
        <f aca="false">IF(AND($AW623&lt;&gt;"",$AY623&lt;&gt;""),$AY623-$AW623,"")</f>
        <v/>
      </c>
      <c r="BI623" s="55" t="str">
        <f aca="false">IF(AND($AX623&lt;&gt;"",$AY623&lt;&gt;""),$AY623-$AX623,"")</f>
        <v/>
      </c>
      <c r="BJ623" s="53" t="str">
        <f aca="false">IF($J623&lt;&gt;"",$J623,"")</f>
        <v/>
      </c>
      <c r="BL623" s="52"/>
      <c r="BM623" s="52" t="str">
        <f aca="false">IF(OR(COUNT(B623:D1622)=0,AND('Choix pédagogiques'!$C$3&lt;&gt;1,'Choix pédagogiques'!$C$3&lt;&gt;2)),"",IF(AND(OR('Choix pédagogiques'!$C$3=1,'Choix pédagogiques'!$C$3=2),$B623&lt;&gt;"",$C623&lt;&gt;"",$D623&lt;&gt;""),1,0))</f>
        <v/>
      </c>
      <c r="BN623" s="52" t="str">
        <f aca="false">IF(OR(COUNT(G623:I1622)=0,AND('Choix pédagogiques'!$C$3&lt;&gt;1,'Choix pédagogiques'!$C$3&lt;&gt;2)),"",IF(AND(OR('Choix pédagogiques'!$C$3=1,'Choix pédagogiques'!$C$3=2),AND($G623&lt;&gt;"",$H623&lt;&gt;"",$I623&lt;&gt;"")),1,0))</f>
        <v/>
      </c>
      <c r="BO623" s="52" t="str">
        <f aca="false">IF(OR(COUNT(B623:D1622)=0,COUNT(G623:I1622)=0,'Choix pédagogiques'!C$3&lt;&gt;3),"",IF(AND('Choix pédagogiques'!$C$3=3,$B623&lt;&gt;"",$C623&lt;&gt;"",$D623&lt;&gt;"",$G623&lt;&gt;"",$H623&lt;&gt;"",$I623&lt;&gt;""),1,0))</f>
        <v/>
      </c>
      <c r="BR623" s="52" t="n">
        <v>67</v>
      </c>
      <c r="BS623" s="52" t="n">
        <v>1695</v>
      </c>
    </row>
    <row r="624" s="54" customFormat="true" ht="18" hidden="false" customHeight="true" outlineLevel="0" collapsed="false">
      <c r="A624" s="57" t="s">
        <v>1179</v>
      </c>
      <c r="B624" s="51"/>
      <c r="C624" s="51"/>
      <c r="D624" s="51"/>
      <c r="E624" s="51"/>
      <c r="F624" s="57" t="s">
        <v>1180</v>
      </c>
      <c r="G624" s="51"/>
      <c r="H624" s="51"/>
      <c r="I624" s="51"/>
      <c r="J624" s="51"/>
      <c r="K624" s="52" t="str">
        <f aca="false">IF($A624&lt;&gt;"",$A624,"")</f>
        <v>Apprenant 612</v>
      </c>
      <c r="L624" s="53" t="str">
        <f aca="false">IF(AND($B624&lt;&gt;"",$C624&lt;&gt;""),$C624-$B624,"")</f>
        <v/>
      </c>
      <c r="M624" s="53" t="str">
        <f aca="false">IF(AND($B624&lt;&gt;"",$D624&lt;&gt;""),$D624-$B624,"")</f>
        <v/>
      </c>
      <c r="N624" s="53" t="str">
        <f aca="false">IF(AND($C624&lt;&gt;"",$D624&lt;&gt;""),$D624-$C624,"")</f>
        <v/>
      </c>
      <c r="O624" s="53" t="str">
        <f aca="false">IF($E624&lt;&gt;"",$E624,"")</f>
        <v/>
      </c>
      <c r="P624" s="52" t="str">
        <f aca="false">IF($F624&lt;&gt;"",$F624,"")</f>
        <v>Apprenant 612 ou 612'</v>
      </c>
      <c r="Q624" s="53" t="str">
        <f aca="false">IF(AND($G624&lt;&gt;"",$H624&lt;&gt;""),$H624-$G624,"")</f>
        <v/>
      </c>
      <c r="R624" s="53" t="str">
        <f aca="false">IF(AND($G624&lt;&gt;"",$I624&lt;&gt;""),$I624-$G624,"")</f>
        <v/>
      </c>
      <c r="S624" s="53" t="str">
        <f aca="false">IF(AND($H624&lt;&gt;"",$I624&lt;&gt;""),$I624-$H624,"")</f>
        <v/>
      </c>
      <c r="T624" s="53" t="str">
        <f aca="false">IF($J624&lt;&gt;"",$J624,"")</f>
        <v/>
      </c>
      <c r="V624" s="52" t="str">
        <f aca="false">IF($A624&lt;&gt;"",$A624,"")</f>
        <v>Apprenant 612</v>
      </c>
      <c r="W624" s="53" t="str">
        <f aca="false">IF(AND(OR('Choix pédagogiques'!$C$3=1,'Choix pédagogiques'!$C$3=2),$BM624=1),B624,IF(AND('Choix pédagogiques'!$C$3=3,$BO624=1),B624,""))</f>
        <v/>
      </c>
      <c r="X624" s="53" t="str">
        <f aca="false">IF(AND(OR('Choix pédagogiques'!$C$3=1,'Choix pédagogiques'!$C$3=2),$BM624=1),C624,IF(AND('Choix pédagogiques'!$C$3=3,$BO624=1),C624,""))</f>
        <v/>
      </c>
      <c r="Y624" s="53" t="str">
        <f aca="false">IF(AND(OR('Choix pédagogiques'!$C$3=1,'Choix pédagogiques'!$C$3=2),$BM624=1),D624,IF(AND('Choix pédagogiques'!$C$3=3,$BO624=1),D624,""))</f>
        <v/>
      </c>
      <c r="Z624" s="53" t="str">
        <f aca="false">IF($E624&lt;&gt;"",$E624,"")</f>
        <v/>
      </c>
      <c r="AA624" s="52" t="str">
        <f aca="false">IF($F624&lt;&gt;"",$F624,"")</f>
        <v>Apprenant 612 ou 612'</v>
      </c>
      <c r="AB624" s="53" t="str">
        <f aca="false">IF(AND(OR('Choix pédagogiques'!$C$3=1,'Choix pédagogiques'!$C$3=2),$BN624=1),G624,IF(AND('Choix pédagogiques'!$C$3=3,$BO624=1),G624,""))</f>
        <v/>
      </c>
      <c r="AC624" s="53" t="str">
        <f aca="false">IF(AND(OR('Choix pédagogiques'!$C$3=1,'Choix pédagogiques'!$C$3=2),$BN624=1),H624,IF(AND('Choix pédagogiques'!$C$3=3,$BO624=1),H624,""))</f>
        <v/>
      </c>
      <c r="AD624" s="53" t="str">
        <f aca="false">IF(AND(OR('Choix pédagogiques'!$C$3=1,'Choix pédagogiques'!$C$3=2),$BN624=1),I624,IF(AND('Choix pédagogiques'!$C$3=3,$BO624=1),I624,""))</f>
        <v/>
      </c>
      <c r="AE624" s="53" t="str">
        <f aca="false">IF($J624&lt;&gt;"",$J624,"")</f>
        <v/>
      </c>
      <c r="AF624" s="52" t="str">
        <f aca="false">IF($A624&lt;&gt;"",$A624,"")</f>
        <v>Apprenant 612</v>
      </c>
      <c r="AG624" s="53" t="str">
        <f aca="false">IF(AND($W624&lt;&gt;"",$X624&lt;&gt;""),$X624-$W624,"")</f>
        <v/>
      </c>
      <c r="AH624" s="53" t="str">
        <f aca="false">IF(AND($W624&lt;&gt;"",$Y624&lt;&gt;""),$Y624-$W624,"")</f>
        <v/>
      </c>
      <c r="AI624" s="53" t="str">
        <f aca="false">IF(AND($X624&lt;&gt;"",$Y624&lt;&gt;""),$Y624-$X624,"")</f>
        <v/>
      </c>
      <c r="AJ624" s="53" t="str">
        <f aca="false">IF($E624&lt;&gt;"",$E624,"")</f>
        <v/>
      </c>
      <c r="AK624" s="52" t="str">
        <f aca="false">IF($F624&lt;&gt;"",$F624,"")</f>
        <v>Apprenant 612 ou 612'</v>
      </c>
      <c r="AL624" s="53" t="str">
        <f aca="false">IF(AND($AB624&lt;&gt;"",$AC624&lt;&gt;""),$AC624-$AB624,"")</f>
        <v/>
      </c>
      <c r="AM624" s="53" t="str">
        <f aca="false">IF(AND($AB624&lt;&gt;"",$AD624&lt;&gt;""),$AD624-$AB624,"")</f>
        <v/>
      </c>
      <c r="AN624" s="53" t="str">
        <f aca="false">IF(AND($AC624&lt;&gt;"",$AD624&lt;&gt;""),$AD624-$AC624,"")</f>
        <v/>
      </c>
      <c r="AO624" s="53" t="str">
        <f aca="false">IF($J624&lt;&gt;"",$J624,"")</f>
        <v/>
      </c>
      <c r="AQ624" s="52" t="str">
        <f aca="false">IF($A624&lt;&gt;"",$A624,"")</f>
        <v>Apprenant 612</v>
      </c>
      <c r="AR624" s="55" t="str">
        <f aca="false">IF(AND('Choix pédagogiques'!$C$4&lt;&gt;"?",'Choix pédagogiques'!$C$5&lt;&gt;"?",W624&lt;&gt;""),(W624-'Choix pédagogiques'!$C$4)/('Choix pédagogiques'!$C$5-'Choix pédagogiques'!$C$4),"")</f>
        <v/>
      </c>
      <c r="AS624" s="55" t="str">
        <f aca="false">IF(AND('Choix pédagogiques'!$C$4&lt;&gt;"?",'Choix pédagogiques'!$C$5&lt;&gt;"?",X624&lt;&gt;""),(X624-'Choix pédagogiques'!$C$4)/('Choix pédagogiques'!$C$5-'Choix pédagogiques'!$C$4),"")</f>
        <v/>
      </c>
      <c r="AT624" s="55" t="str">
        <f aca="false">IF(AND('Choix pédagogiques'!$C$4&lt;&gt;"?",'Choix pédagogiques'!$C$5&lt;&gt;"?",Y624&lt;&gt;""),(Y624-'Choix pédagogiques'!$C$4)/('Choix pédagogiques'!$C$5-'Choix pédagogiques'!$C$4),"")</f>
        <v/>
      </c>
      <c r="AU624" s="53" t="str">
        <f aca="false">IF($E624&lt;&gt;"",$E624,"")</f>
        <v/>
      </c>
      <c r="AV624" s="52" t="str">
        <f aca="false">IF($F624&lt;&gt;"",$F624,"")</f>
        <v>Apprenant 612 ou 612'</v>
      </c>
      <c r="AW624" s="55" t="str">
        <f aca="false">IF(AND('Choix pédagogiques'!$C$4&lt;&gt;"?",'Choix pédagogiques'!$C$5&lt;&gt;"?",AB624&lt;&gt;""),(AB624-'Choix pédagogiques'!$C$4)/('Choix pédagogiques'!$C$5-'Choix pédagogiques'!$C$4),"")</f>
        <v/>
      </c>
      <c r="AX624" s="55" t="str">
        <f aca="false">IF(AND('Choix pédagogiques'!$C$4&lt;&gt;"?",'Choix pédagogiques'!$C$5&lt;&gt;"?",AC624&lt;&gt;""),(AC624-'Choix pédagogiques'!$C$4)/('Choix pédagogiques'!$C$5-'Choix pédagogiques'!$C$4),"")</f>
        <v/>
      </c>
      <c r="AY624" s="55" t="str">
        <f aca="false">IF(AND('Choix pédagogiques'!$C$4&lt;&gt;"?",'Choix pédagogiques'!$C$5&lt;&gt;"?",AD624&lt;&gt;""),(AD624-'Choix pédagogiques'!$C$4)/('Choix pédagogiques'!$C$5-'Choix pédagogiques'!$C$4),"")</f>
        <v/>
      </c>
      <c r="AZ624" s="53" t="str">
        <f aca="false">IF($J624&lt;&gt;"",$J624,"")</f>
        <v/>
      </c>
      <c r="BA624" s="52" t="str">
        <f aca="false">IF($A624&lt;&gt;"",$A624,"")</f>
        <v>Apprenant 612</v>
      </c>
      <c r="BB624" s="55" t="str">
        <f aca="false">IF(AND($AR624&lt;&gt;"",$AS624&lt;&gt;""),$AS624-$AR624,"")</f>
        <v/>
      </c>
      <c r="BC624" s="55" t="str">
        <f aca="false">IF(AND($AR624&lt;&gt;"",$AT624&lt;&gt;""),$AT624-$AR624,"")</f>
        <v/>
      </c>
      <c r="BD624" s="55" t="str">
        <f aca="false">IF(AND($AS624&lt;&gt;"",$AT624&lt;&gt;""),$AT624-$AS624,"")</f>
        <v/>
      </c>
      <c r="BE624" s="53" t="str">
        <f aca="false">IF($E624&lt;&gt;"",$E624,"")</f>
        <v/>
      </c>
      <c r="BF624" s="52" t="str">
        <f aca="false">IF($F624&lt;&gt;"",$F624,"")</f>
        <v>Apprenant 612 ou 612'</v>
      </c>
      <c r="BG624" s="55" t="str">
        <f aca="false">IF(AND($AW624&lt;&gt;"",$AX624&lt;&gt;""),$AX624-$AW624,"")</f>
        <v/>
      </c>
      <c r="BH624" s="55" t="str">
        <f aca="false">IF(AND($AW624&lt;&gt;"",$AY624&lt;&gt;""),$AY624-$AW624,"")</f>
        <v/>
      </c>
      <c r="BI624" s="55" t="str">
        <f aca="false">IF(AND($AX624&lt;&gt;"",$AY624&lt;&gt;""),$AY624-$AX624,"")</f>
        <v/>
      </c>
      <c r="BJ624" s="53" t="str">
        <f aca="false">IF($J624&lt;&gt;"",$J624,"")</f>
        <v/>
      </c>
      <c r="BL624" s="52"/>
      <c r="BM624" s="52" t="str">
        <f aca="false">IF(OR(COUNT(B624:D1623)=0,AND('Choix pédagogiques'!$C$3&lt;&gt;1,'Choix pédagogiques'!$C$3&lt;&gt;2)),"",IF(AND(OR('Choix pédagogiques'!$C$3=1,'Choix pédagogiques'!$C$3=2),$B624&lt;&gt;"",$C624&lt;&gt;"",$D624&lt;&gt;""),1,0))</f>
        <v/>
      </c>
      <c r="BN624" s="52" t="str">
        <f aca="false">IF(OR(COUNT(G624:I1623)=0,AND('Choix pédagogiques'!$C$3&lt;&gt;1,'Choix pédagogiques'!$C$3&lt;&gt;2)),"",IF(AND(OR('Choix pédagogiques'!$C$3=1,'Choix pédagogiques'!$C$3=2),AND($G624&lt;&gt;"",$H624&lt;&gt;"",$I624&lt;&gt;"")),1,0))</f>
        <v/>
      </c>
      <c r="BO624" s="52" t="str">
        <f aca="false">IF(OR(COUNT(B624:D1623)=0,COUNT(G624:I1623)=0,'Choix pédagogiques'!C$3&lt;&gt;3),"",IF(AND('Choix pédagogiques'!$C$3=3,$B624&lt;&gt;"",$C624&lt;&gt;"",$D624&lt;&gt;"",$G624&lt;&gt;"",$H624&lt;&gt;"",$I624&lt;&gt;""),1,0))</f>
        <v/>
      </c>
      <c r="BR624" s="52" t="n">
        <v>324</v>
      </c>
      <c r="BS624" s="52" t="n">
        <v>1646</v>
      </c>
    </row>
    <row r="625" s="54" customFormat="true" ht="18" hidden="false" customHeight="true" outlineLevel="0" collapsed="false">
      <c r="A625" s="57" t="s">
        <v>1181</v>
      </c>
      <c r="B625" s="51"/>
      <c r="C625" s="51"/>
      <c r="D625" s="51"/>
      <c r="E625" s="51"/>
      <c r="F625" s="57" t="s">
        <v>1182</v>
      </c>
      <c r="G625" s="51"/>
      <c r="H625" s="51"/>
      <c r="I625" s="51"/>
      <c r="J625" s="51"/>
      <c r="K625" s="52" t="str">
        <f aca="false">IF($A625&lt;&gt;"",$A625,"")</f>
        <v>Apprenant 613</v>
      </c>
      <c r="L625" s="53" t="str">
        <f aca="false">IF(AND($B625&lt;&gt;"",$C625&lt;&gt;""),$C625-$B625,"")</f>
        <v/>
      </c>
      <c r="M625" s="53" t="str">
        <f aca="false">IF(AND($B625&lt;&gt;"",$D625&lt;&gt;""),$D625-$B625,"")</f>
        <v/>
      </c>
      <c r="N625" s="53" t="str">
        <f aca="false">IF(AND($C625&lt;&gt;"",$D625&lt;&gt;""),$D625-$C625,"")</f>
        <v/>
      </c>
      <c r="O625" s="53" t="str">
        <f aca="false">IF($E625&lt;&gt;"",$E625,"")</f>
        <v/>
      </c>
      <c r="P625" s="52" t="str">
        <f aca="false">IF($F625&lt;&gt;"",$F625,"")</f>
        <v>Apprenant 613 ou 613'</v>
      </c>
      <c r="Q625" s="53" t="str">
        <f aca="false">IF(AND($G625&lt;&gt;"",$H625&lt;&gt;""),$H625-$G625,"")</f>
        <v/>
      </c>
      <c r="R625" s="53" t="str">
        <f aca="false">IF(AND($G625&lt;&gt;"",$I625&lt;&gt;""),$I625-$G625,"")</f>
        <v/>
      </c>
      <c r="S625" s="53" t="str">
        <f aca="false">IF(AND($H625&lt;&gt;"",$I625&lt;&gt;""),$I625-$H625,"")</f>
        <v/>
      </c>
      <c r="T625" s="53" t="str">
        <f aca="false">IF($J625&lt;&gt;"",$J625,"")</f>
        <v/>
      </c>
      <c r="V625" s="52" t="str">
        <f aca="false">IF($A625&lt;&gt;"",$A625,"")</f>
        <v>Apprenant 613</v>
      </c>
      <c r="W625" s="53" t="str">
        <f aca="false">IF(AND(OR('Choix pédagogiques'!$C$3=1,'Choix pédagogiques'!$C$3=2),$BM625=1),B625,IF(AND('Choix pédagogiques'!$C$3=3,$BO625=1),B625,""))</f>
        <v/>
      </c>
      <c r="X625" s="53" t="str">
        <f aca="false">IF(AND(OR('Choix pédagogiques'!$C$3=1,'Choix pédagogiques'!$C$3=2),$BM625=1),C625,IF(AND('Choix pédagogiques'!$C$3=3,$BO625=1),C625,""))</f>
        <v/>
      </c>
      <c r="Y625" s="53" t="str">
        <f aca="false">IF(AND(OR('Choix pédagogiques'!$C$3=1,'Choix pédagogiques'!$C$3=2),$BM625=1),D625,IF(AND('Choix pédagogiques'!$C$3=3,$BO625=1),D625,""))</f>
        <v/>
      </c>
      <c r="Z625" s="53" t="str">
        <f aca="false">IF($E625&lt;&gt;"",$E625,"")</f>
        <v/>
      </c>
      <c r="AA625" s="52" t="str">
        <f aca="false">IF($F625&lt;&gt;"",$F625,"")</f>
        <v>Apprenant 613 ou 613'</v>
      </c>
      <c r="AB625" s="53" t="str">
        <f aca="false">IF(AND(OR('Choix pédagogiques'!$C$3=1,'Choix pédagogiques'!$C$3=2),$BN625=1),G625,IF(AND('Choix pédagogiques'!$C$3=3,$BO625=1),G625,""))</f>
        <v/>
      </c>
      <c r="AC625" s="53" t="str">
        <f aca="false">IF(AND(OR('Choix pédagogiques'!$C$3=1,'Choix pédagogiques'!$C$3=2),$BN625=1),H625,IF(AND('Choix pédagogiques'!$C$3=3,$BO625=1),H625,""))</f>
        <v/>
      </c>
      <c r="AD625" s="53" t="str">
        <f aca="false">IF(AND(OR('Choix pédagogiques'!$C$3=1,'Choix pédagogiques'!$C$3=2),$BN625=1),I625,IF(AND('Choix pédagogiques'!$C$3=3,$BO625=1),I625,""))</f>
        <v/>
      </c>
      <c r="AE625" s="53" t="str">
        <f aca="false">IF($J625&lt;&gt;"",$J625,"")</f>
        <v/>
      </c>
      <c r="AF625" s="52" t="str">
        <f aca="false">IF($A625&lt;&gt;"",$A625,"")</f>
        <v>Apprenant 613</v>
      </c>
      <c r="AG625" s="53" t="str">
        <f aca="false">IF(AND($W625&lt;&gt;"",$X625&lt;&gt;""),$X625-$W625,"")</f>
        <v/>
      </c>
      <c r="AH625" s="53" t="str">
        <f aca="false">IF(AND($W625&lt;&gt;"",$Y625&lt;&gt;""),$Y625-$W625,"")</f>
        <v/>
      </c>
      <c r="AI625" s="53" t="str">
        <f aca="false">IF(AND($X625&lt;&gt;"",$Y625&lt;&gt;""),$Y625-$X625,"")</f>
        <v/>
      </c>
      <c r="AJ625" s="53" t="str">
        <f aca="false">IF($E625&lt;&gt;"",$E625,"")</f>
        <v/>
      </c>
      <c r="AK625" s="52" t="str">
        <f aca="false">IF($F625&lt;&gt;"",$F625,"")</f>
        <v>Apprenant 613 ou 613'</v>
      </c>
      <c r="AL625" s="53" t="str">
        <f aca="false">IF(AND($AB625&lt;&gt;"",$AC625&lt;&gt;""),$AC625-$AB625,"")</f>
        <v/>
      </c>
      <c r="AM625" s="53" t="str">
        <f aca="false">IF(AND($AB625&lt;&gt;"",$AD625&lt;&gt;""),$AD625-$AB625,"")</f>
        <v/>
      </c>
      <c r="AN625" s="53" t="str">
        <f aca="false">IF(AND($AC625&lt;&gt;"",$AD625&lt;&gt;""),$AD625-$AC625,"")</f>
        <v/>
      </c>
      <c r="AO625" s="53" t="str">
        <f aca="false">IF($J625&lt;&gt;"",$J625,"")</f>
        <v/>
      </c>
      <c r="AQ625" s="52" t="str">
        <f aca="false">IF($A625&lt;&gt;"",$A625,"")</f>
        <v>Apprenant 613</v>
      </c>
      <c r="AR625" s="55" t="str">
        <f aca="false">IF(AND('Choix pédagogiques'!$C$4&lt;&gt;"?",'Choix pédagogiques'!$C$5&lt;&gt;"?",W625&lt;&gt;""),(W625-'Choix pédagogiques'!$C$4)/('Choix pédagogiques'!$C$5-'Choix pédagogiques'!$C$4),"")</f>
        <v/>
      </c>
      <c r="AS625" s="55" t="str">
        <f aca="false">IF(AND('Choix pédagogiques'!$C$4&lt;&gt;"?",'Choix pédagogiques'!$C$5&lt;&gt;"?",X625&lt;&gt;""),(X625-'Choix pédagogiques'!$C$4)/('Choix pédagogiques'!$C$5-'Choix pédagogiques'!$C$4),"")</f>
        <v/>
      </c>
      <c r="AT625" s="55" t="str">
        <f aca="false">IF(AND('Choix pédagogiques'!$C$4&lt;&gt;"?",'Choix pédagogiques'!$C$5&lt;&gt;"?",Y625&lt;&gt;""),(Y625-'Choix pédagogiques'!$C$4)/('Choix pédagogiques'!$C$5-'Choix pédagogiques'!$C$4),"")</f>
        <v/>
      </c>
      <c r="AU625" s="53" t="str">
        <f aca="false">IF($E625&lt;&gt;"",$E625,"")</f>
        <v/>
      </c>
      <c r="AV625" s="52" t="str">
        <f aca="false">IF($F625&lt;&gt;"",$F625,"")</f>
        <v>Apprenant 613 ou 613'</v>
      </c>
      <c r="AW625" s="55" t="str">
        <f aca="false">IF(AND('Choix pédagogiques'!$C$4&lt;&gt;"?",'Choix pédagogiques'!$C$5&lt;&gt;"?",AB625&lt;&gt;""),(AB625-'Choix pédagogiques'!$C$4)/('Choix pédagogiques'!$C$5-'Choix pédagogiques'!$C$4),"")</f>
        <v/>
      </c>
      <c r="AX625" s="55" t="str">
        <f aca="false">IF(AND('Choix pédagogiques'!$C$4&lt;&gt;"?",'Choix pédagogiques'!$C$5&lt;&gt;"?",AC625&lt;&gt;""),(AC625-'Choix pédagogiques'!$C$4)/('Choix pédagogiques'!$C$5-'Choix pédagogiques'!$C$4),"")</f>
        <v/>
      </c>
      <c r="AY625" s="55" t="str">
        <f aca="false">IF(AND('Choix pédagogiques'!$C$4&lt;&gt;"?",'Choix pédagogiques'!$C$5&lt;&gt;"?",AD625&lt;&gt;""),(AD625-'Choix pédagogiques'!$C$4)/('Choix pédagogiques'!$C$5-'Choix pédagogiques'!$C$4),"")</f>
        <v/>
      </c>
      <c r="AZ625" s="53" t="str">
        <f aca="false">IF($J625&lt;&gt;"",$J625,"")</f>
        <v/>
      </c>
      <c r="BA625" s="52" t="str">
        <f aca="false">IF($A625&lt;&gt;"",$A625,"")</f>
        <v>Apprenant 613</v>
      </c>
      <c r="BB625" s="55" t="str">
        <f aca="false">IF(AND($AR625&lt;&gt;"",$AS625&lt;&gt;""),$AS625-$AR625,"")</f>
        <v/>
      </c>
      <c r="BC625" s="55" t="str">
        <f aca="false">IF(AND($AR625&lt;&gt;"",$AT625&lt;&gt;""),$AT625-$AR625,"")</f>
        <v/>
      </c>
      <c r="BD625" s="55" t="str">
        <f aca="false">IF(AND($AS625&lt;&gt;"",$AT625&lt;&gt;""),$AT625-$AS625,"")</f>
        <v/>
      </c>
      <c r="BE625" s="53" t="str">
        <f aca="false">IF($E625&lt;&gt;"",$E625,"")</f>
        <v/>
      </c>
      <c r="BF625" s="52" t="str">
        <f aca="false">IF($F625&lt;&gt;"",$F625,"")</f>
        <v>Apprenant 613 ou 613'</v>
      </c>
      <c r="BG625" s="55" t="str">
        <f aca="false">IF(AND($AW625&lt;&gt;"",$AX625&lt;&gt;""),$AX625-$AW625,"")</f>
        <v/>
      </c>
      <c r="BH625" s="55" t="str">
        <f aca="false">IF(AND($AW625&lt;&gt;"",$AY625&lt;&gt;""),$AY625-$AW625,"")</f>
        <v/>
      </c>
      <c r="BI625" s="55" t="str">
        <f aca="false">IF(AND($AX625&lt;&gt;"",$AY625&lt;&gt;""),$AY625-$AX625,"")</f>
        <v/>
      </c>
      <c r="BJ625" s="53" t="str">
        <f aca="false">IF($J625&lt;&gt;"",$J625,"")</f>
        <v/>
      </c>
      <c r="BL625" s="52"/>
      <c r="BM625" s="52" t="str">
        <f aca="false">IF(OR(COUNT(B625:D1624)=0,AND('Choix pédagogiques'!$C$3&lt;&gt;1,'Choix pédagogiques'!$C$3&lt;&gt;2)),"",IF(AND(OR('Choix pédagogiques'!$C$3=1,'Choix pédagogiques'!$C$3=2),$B625&lt;&gt;"",$C625&lt;&gt;"",$D625&lt;&gt;""),1,0))</f>
        <v/>
      </c>
      <c r="BN625" s="52" t="str">
        <f aca="false">IF(OR(COUNT(G625:I1624)=0,AND('Choix pédagogiques'!$C$3&lt;&gt;1,'Choix pédagogiques'!$C$3&lt;&gt;2)),"",IF(AND(OR('Choix pédagogiques'!$C$3=1,'Choix pédagogiques'!$C$3=2),AND($G625&lt;&gt;"",$H625&lt;&gt;"",$I625&lt;&gt;"")),1,0))</f>
        <v/>
      </c>
      <c r="BO625" s="52" t="str">
        <f aca="false">IF(OR(COUNT(B625:D1624)=0,COUNT(G625:I1624)=0,'Choix pédagogiques'!C$3&lt;&gt;3),"",IF(AND('Choix pédagogiques'!$C$3=3,$B625&lt;&gt;"",$C625&lt;&gt;"",$D625&lt;&gt;"",$G625&lt;&gt;"",$H625&lt;&gt;"",$I625&lt;&gt;""),1,0))</f>
        <v/>
      </c>
      <c r="BR625" s="52" t="n">
        <v>14</v>
      </c>
      <c r="BS625" s="52" t="n">
        <v>1761</v>
      </c>
    </row>
    <row r="626" s="54" customFormat="true" ht="18" hidden="false" customHeight="true" outlineLevel="0" collapsed="false">
      <c r="A626" s="57" t="s">
        <v>1183</v>
      </c>
      <c r="B626" s="51"/>
      <c r="C626" s="51"/>
      <c r="D626" s="51"/>
      <c r="E626" s="51"/>
      <c r="F626" s="57" t="s">
        <v>1184</v>
      </c>
      <c r="G626" s="51"/>
      <c r="H626" s="51"/>
      <c r="I626" s="51"/>
      <c r="J626" s="51"/>
      <c r="K626" s="52" t="str">
        <f aca="false">IF($A626&lt;&gt;"",$A626,"")</f>
        <v>Apprenant 614</v>
      </c>
      <c r="L626" s="53" t="str">
        <f aca="false">IF(AND($B626&lt;&gt;"",$C626&lt;&gt;""),$C626-$B626,"")</f>
        <v/>
      </c>
      <c r="M626" s="53" t="str">
        <f aca="false">IF(AND($B626&lt;&gt;"",$D626&lt;&gt;""),$D626-$B626,"")</f>
        <v/>
      </c>
      <c r="N626" s="53" t="str">
        <f aca="false">IF(AND($C626&lt;&gt;"",$D626&lt;&gt;""),$D626-$C626,"")</f>
        <v/>
      </c>
      <c r="O626" s="53" t="str">
        <f aca="false">IF($E626&lt;&gt;"",$E626,"")</f>
        <v/>
      </c>
      <c r="P626" s="52" t="str">
        <f aca="false">IF($F626&lt;&gt;"",$F626,"")</f>
        <v>Apprenant 614 ou 614'</v>
      </c>
      <c r="Q626" s="53" t="str">
        <f aca="false">IF(AND($G626&lt;&gt;"",$H626&lt;&gt;""),$H626-$G626,"")</f>
        <v/>
      </c>
      <c r="R626" s="53" t="str">
        <f aca="false">IF(AND($G626&lt;&gt;"",$I626&lt;&gt;""),$I626-$G626,"")</f>
        <v/>
      </c>
      <c r="S626" s="53" t="str">
        <f aca="false">IF(AND($H626&lt;&gt;"",$I626&lt;&gt;""),$I626-$H626,"")</f>
        <v/>
      </c>
      <c r="T626" s="53" t="str">
        <f aca="false">IF($J626&lt;&gt;"",$J626,"")</f>
        <v/>
      </c>
      <c r="V626" s="52" t="str">
        <f aca="false">IF($A626&lt;&gt;"",$A626,"")</f>
        <v>Apprenant 614</v>
      </c>
      <c r="W626" s="53" t="str">
        <f aca="false">IF(AND(OR('Choix pédagogiques'!$C$3=1,'Choix pédagogiques'!$C$3=2),$BM626=1),B626,IF(AND('Choix pédagogiques'!$C$3=3,$BO626=1),B626,""))</f>
        <v/>
      </c>
      <c r="X626" s="53" t="str">
        <f aca="false">IF(AND(OR('Choix pédagogiques'!$C$3=1,'Choix pédagogiques'!$C$3=2),$BM626=1),C626,IF(AND('Choix pédagogiques'!$C$3=3,$BO626=1),C626,""))</f>
        <v/>
      </c>
      <c r="Y626" s="53" t="str">
        <f aca="false">IF(AND(OR('Choix pédagogiques'!$C$3=1,'Choix pédagogiques'!$C$3=2),$BM626=1),D626,IF(AND('Choix pédagogiques'!$C$3=3,$BO626=1),D626,""))</f>
        <v/>
      </c>
      <c r="Z626" s="53" t="str">
        <f aca="false">IF($E626&lt;&gt;"",$E626,"")</f>
        <v/>
      </c>
      <c r="AA626" s="52" t="str">
        <f aca="false">IF($F626&lt;&gt;"",$F626,"")</f>
        <v>Apprenant 614 ou 614'</v>
      </c>
      <c r="AB626" s="53" t="str">
        <f aca="false">IF(AND(OR('Choix pédagogiques'!$C$3=1,'Choix pédagogiques'!$C$3=2),$BN626=1),G626,IF(AND('Choix pédagogiques'!$C$3=3,$BO626=1),G626,""))</f>
        <v/>
      </c>
      <c r="AC626" s="53" t="str">
        <f aca="false">IF(AND(OR('Choix pédagogiques'!$C$3=1,'Choix pédagogiques'!$C$3=2),$BN626=1),H626,IF(AND('Choix pédagogiques'!$C$3=3,$BO626=1),H626,""))</f>
        <v/>
      </c>
      <c r="AD626" s="53" t="str">
        <f aca="false">IF(AND(OR('Choix pédagogiques'!$C$3=1,'Choix pédagogiques'!$C$3=2),$BN626=1),I626,IF(AND('Choix pédagogiques'!$C$3=3,$BO626=1),I626,""))</f>
        <v/>
      </c>
      <c r="AE626" s="53" t="str">
        <f aca="false">IF($J626&lt;&gt;"",$J626,"")</f>
        <v/>
      </c>
      <c r="AF626" s="52" t="str">
        <f aca="false">IF($A626&lt;&gt;"",$A626,"")</f>
        <v>Apprenant 614</v>
      </c>
      <c r="AG626" s="53" t="str">
        <f aca="false">IF(AND($W626&lt;&gt;"",$X626&lt;&gt;""),$X626-$W626,"")</f>
        <v/>
      </c>
      <c r="AH626" s="53" t="str">
        <f aca="false">IF(AND($W626&lt;&gt;"",$Y626&lt;&gt;""),$Y626-$W626,"")</f>
        <v/>
      </c>
      <c r="AI626" s="53" t="str">
        <f aca="false">IF(AND($X626&lt;&gt;"",$Y626&lt;&gt;""),$Y626-$X626,"")</f>
        <v/>
      </c>
      <c r="AJ626" s="53" t="str">
        <f aca="false">IF($E626&lt;&gt;"",$E626,"")</f>
        <v/>
      </c>
      <c r="AK626" s="52" t="str">
        <f aca="false">IF($F626&lt;&gt;"",$F626,"")</f>
        <v>Apprenant 614 ou 614'</v>
      </c>
      <c r="AL626" s="53" t="str">
        <f aca="false">IF(AND($AB626&lt;&gt;"",$AC626&lt;&gt;""),$AC626-$AB626,"")</f>
        <v/>
      </c>
      <c r="AM626" s="53" t="str">
        <f aca="false">IF(AND($AB626&lt;&gt;"",$AD626&lt;&gt;""),$AD626-$AB626,"")</f>
        <v/>
      </c>
      <c r="AN626" s="53" t="str">
        <f aca="false">IF(AND($AC626&lt;&gt;"",$AD626&lt;&gt;""),$AD626-$AC626,"")</f>
        <v/>
      </c>
      <c r="AO626" s="53" t="str">
        <f aca="false">IF($J626&lt;&gt;"",$J626,"")</f>
        <v/>
      </c>
      <c r="AQ626" s="52" t="str">
        <f aca="false">IF($A626&lt;&gt;"",$A626,"")</f>
        <v>Apprenant 614</v>
      </c>
      <c r="AR626" s="55" t="str">
        <f aca="false">IF(AND('Choix pédagogiques'!$C$4&lt;&gt;"?",'Choix pédagogiques'!$C$5&lt;&gt;"?",W626&lt;&gt;""),(W626-'Choix pédagogiques'!$C$4)/('Choix pédagogiques'!$C$5-'Choix pédagogiques'!$C$4),"")</f>
        <v/>
      </c>
      <c r="AS626" s="55" t="str">
        <f aca="false">IF(AND('Choix pédagogiques'!$C$4&lt;&gt;"?",'Choix pédagogiques'!$C$5&lt;&gt;"?",X626&lt;&gt;""),(X626-'Choix pédagogiques'!$C$4)/('Choix pédagogiques'!$C$5-'Choix pédagogiques'!$C$4),"")</f>
        <v/>
      </c>
      <c r="AT626" s="55" t="str">
        <f aca="false">IF(AND('Choix pédagogiques'!$C$4&lt;&gt;"?",'Choix pédagogiques'!$C$5&lt;&gt;"?",Y626&lt;&gt;""),(Y626-'Choix pédagogiques'!$C$4)/('Choix pédagogiques'!$C$5-'Choix pédagogiques'!$C$4),"")</f>
        <v/>
      </c>
      <c r="AU626" s="53" t="str">
        <f aca="false">IF($E626&lt;&gt;"",$E626,"")</f>
        <v/>
      </c>
      <c r="AV626" s="52" t="str">
        <f aca="false">IF($F626&lt;&gt;"",$F626,"")</f>
        <v>Apprenant 614 ou 614'</v>
      </c>
      <c r="AW626" s="55" t="str">
        <f aca="false">IF(AND('Choix pédagogiques'!$C$4&lt;&gt;"?",'Choix pédagogiques'!$C$5&lt;&gt;"?",AB626&lt;&gt;""),(AB626-'Choix pédagogiques'!$C$4)/('Choix pédagogiques'!$C$5-'Choix pédagogiques'!$C$4),"")</f>
        <v/>
      </c>
      <c r="AX626" s="55" t="str">
        <f aca="false">IF(AND('Choix pédagogiques'!$C$4&lt;&gt;"?",'Choix pédagogiques'!$C$5&lt;&gt;"?",AC626&lt;&gt;""),(AC626-'Choix pédagogiques'!$C$4)/('Choix pédagogiques'!$C$5-'Choix pédagogiques'!$C$4),"")</f>
        <v/>
      </c>
      <c r="AY626" s="55" t="str">
        <f aca="false">IF(AND('Choix pédagogiques'!$C$4&lt;&gt;"?",'Choix pédagogiques'!$C$5&lt;&gt;"?",AD626&lt;&gt;""),(AD626-'Choix pédagogiques'!$C$4)/('Choix pédagogiques'!$C$5-'Choix pédagogiques'!$C$4),"")</f>
        <v/>
      </c>
      <c r="AZ626" s="53" t="str">
        <f aca="false">IF($J626&lt;&gt;"",$J626,"")</f>
        <v/>
      </c>
      <c r="BA626" s="52" t="str">
        <f aca="false">IF($A626&lt;&gt;"",$A626,"")</f>
        <v>Apprenant 614</v>
      </c>
      <c r="BB626" s="55" t="str">
        <f aca="false">IF(AND($AR626&lt;&gt;"",$AS626&lt;&gt;""),$AS626-$AR626,"")</f>
        <v/>
      </c>
      <c r="BC626" s="55" t="str">
        <f aca="false">IF(AND($AR626&lt;&gt;"",$AT626&lt;&gt;""),$AT626-$AR626,"")</f>
        <v/>
      </c>
      <c r="BD626" s="55" t="str">
        <f aca="false">IF(AND($AS626&lt;&gt;"",$AT626&lt;&gt;""),$AT626-$AS626,"")</f>
        <v/>
      </c>
      <c r="BE626" s="53" t="str">
        <f aca="false">IF($E626&lt;&gt;"",$E626,"")</f>
        <v/>
      </c>
      <c r="BF626" s="52" t="str">
        <f aca="false">IF($F626&lt;&gt;"",$F626,"")</f>
        <v>Apprenant 614 ou 614'</v>
      </c>
      <c r="BG626" s="55" t="str">
        <f aca="false">IF(AND($AW626&lt;&gt;"",$AX626&lt;&gt;""),$AX626-$AW626,"")</f>
        <v/>
      </c>
      <c r="BH626" s="55" t="str">
        <f aca="false">IF(AND($AW626&lt;&gt;"",$AY626&lt;&gt;""),$AY626-$AW626,"")</f>
        <v/>
      </c>
      <c r="BI626" s="55" t="str">
        <f aca="false">IF(AND($AX626&lt;&gt;"",$AY626&lt;&gt;""),$AY626-$AX626,"")</f>
        <v/>
      </c>
      <c r="BJ626" s="53" t="str">
        <f aca="false">IF($J626&lt;&gt;"",$J626,"")</f>
        <v/>
      </c>
      <c r="BL626" s="52"/>
      <c r="BM626" s="52" t="str">
        <f aca="false">IF(OR(COUNT(B626:D1625)=0,AND('Choix pédagogiques'!$C$3&lt;&gt;1,'Choix pédagogiques'!$C$3&lt;&gt;2)),"",IF(AND(OR('Choix pédagogiques'!$C$3=1,'Choix pédagogiques'!$C$3=2),$B626&lt;&gt;"",$C626&lt;&gt;"",$D626&lt;&gt;""),1,0))</f>
        <v/>
      </c>
      <c r="BN626" s="52" t="str">
        <f aca="false">IF(OR(COUNT(G626:I1625)=0,AND('Choix pédagogiques'!$C$3&lt;&gt;1,'Choix pédagogiques'!$C$3&lt;&gt;2)),"",IF(AND(OR('Choix pédagogiques'!$C$3=1,'Choix pédagogiques'!$C$3=2),AND($G626&lt;&gt;"",$H626&lt;&gt;"",$I626&lt;&gt;"")),1,0))</f>
        <v/>
      </c>
      <c r="BO626" s="52" t="str">
        <f aca="false">IF(OR(COUNT(B626:D1625)=0,COUNT(G626:I1625)=0,'Choix pédagogiques'!C$3&lt;&gt;3),"",IF(AND('Choix pédagogiques'!$C$3=3,$B626&lt;&gt;"",$C626&lt;&gt;"",$D626&lt;&gt;"",$G626&lt;&gt;"",$H626&lt;&gt;"",$I626&lt;&gt;""),1,0))</f>
        <v/>
      </c>
      <c r="BR626" s="52" t="n">
        <v>766</v>
      </c>
      <c r="BS626" s="52" t="n">
        <v>1406</v>
      </c>
    </row>
    <row r="627" s="54" customFormat="true" ht="18" hidden="false" customHeight="true" outlineLevel="0" collapsed="false">
      <c r="A627" s="57" t="s">
        <v>1185</v>
      </c>
      <c r="B627" s="51"/>
      <c r="C627" s="51"/>
      <c r="D627" s="51"/>
      <c r="E627" s="51"/>
      <c r="F627" s="57" t="s">
        <v>1186</v>
      </c>
      <c r="G627" s="51"/>
      <c r="H627" s="51"/>
      <c r="I627" s="51"/>
      <c r="J627" s="51"/>
      <c r="K627" s="52" t="str">
        <f aca="false">IF($A627&lt;&gt;"",$A627,"")</f>
        <v>Apprenant 615</v>
      </c>
      <c r="L627" s="53" t="str">
        <f aca="false">IF(AND($B627&lt;&gt;"",$C627&lt;&gt;""),$C627-$B627,"")</f>
        <v/>
      </c>
      <c r="M627" s="53" t="str">
        <f aca="false">IF(AND($B627&lt;&gt;"",$D627&lt;&gt;""),$D627-$B627,"")</f>
        <v/>
      </c>
      <c r="N627" s="53" t="str">
        <f aca="false">IF(AND($C627&lt;&gt;"",$D627&lt;&gt;""),$D627-$C627,"")</f>
        <v/>
      </c>
      <c r="O627" s="53" t="str">
        <f aca="false">IF($E627&lt;&gt;"",$E627,"")</f>
        <v/>
      </c>
      <c r="P627" s="52" t="str">
        <f aca="false">IF($F627&lt;&gt;"",$F627,"")</f>
        <v>Apprenant 615 ou 615'</v>
      </c>
      <c r="Q627" s="53" t="str">
        <f aca="false">IF(AND($G627&lt;&gt;"",$H627&lt;&gt;""),$H627-$G627,"")</f>
        <v/>
      </c>
      <c r="R627" s="53" t="str">
        <f aca="false">IF(AND($G627&lt;&gt;"",$I627&lt;&gt;""),$I627-$G627,"")</f>
        <v/>
      </c>
      <c r="S627" s="53" t="str">
        <f aca="false">IF(AND($H627&lt;&gt;"",$I627&lt;&gt;""),$I627-$H627,"")</f>
        <v/>
      </c>
      <c r="T627" s="53" t="str">
        <f aca="false">IF($J627&lt;&gt;"",$J627,"")</f>
        <v/>
      </c>
      <c r="V627" s="52" t="str">
        <f aca="false">IF($A627&lt;&gt;"",$A627,"")</f>
        <v>Apprenant 615</v>
      </c>
      <c r="W627" s="53" t="str">
        <f aca="false">IF(AND(OR('Choix pédagogiques'!$C$3=1,'Choix pédagogiques'!$C$3=2),$BM627=1),B627,IF(AND('Choix pédagogiques'!$C$3=3,$BO627=1),B627,""))</f>
        <v/>
      </c>
      <c r="X627" s="53" t="str">
        <f aca="false">IF(AND(OR('Choix pédagogiques'!$C$3=1,'Choix pédagogiques'!$C$3=2),$BM627=1),C627,IF(AND('Choix pédagogiques'!$C$3=3,$BO627=1),C627,""))</f>
        <v/>
      </c>
      <c r="Y627" s="53" t="str">
        <f aca="false">IF(AND(OR('Choix pédagogiques'!$C$3=1,'Choix pédagogiques'!$C$3=2),$BM627=1),D627,IF(AND('Choix pédagogiques'!$C$3=3,$BO627=1),D627,""))</f>
        <v/>
      </c>
      <c r="Z627" s="53" t="str">
        <f aca="false">IF($E627&lt;&gt;"",$E627,"")</f>
        <v/>
      </c>
      <c r="AA627" s="52" t="str">
        <f aca="false">IF($F627&lt;&gt;"",$F627,"")</f>
        <v>Apprenant 615 ou 615'</v>
      </c>
      <c r="AB627" s="53" t="str">
        <f aca="false">IF(AND(OR('Choix pédagogiques'!$C$3=1,'Choix pédagogiques'!$C$3=2),$BN627=1),G627,IF(AND('Choix pédagogiques'!$C$3=3,$BO627=1),G627,""))</f>
        <v/>
      </c>
      <c r="AC627" s="53" t="str">
        <f aca="false">IF(AND(OR('Choix pédagogiques'!$C$3=1,'Choix pédagogiques'!$C$3=2),$BN627=1),H627,IF(AND('Choix pédagogiques'!$C$3=3,$BO627=1),H627,""))</f>
        <v/>
      </c>
      <c r="AD627" s="53" t="str">
        <f aca="false">IF(AND(OR('Choix pédagogiques'!$C$3=1,'Choix pédagogiques'!$C$3=2),$BN627=1),I627,IF(AND('Choix pédagogiques'!$C$3=3,$BO627=1),I627,""))</f>
        <v/>
      </c>
      <c r="AE627" s="53" t="str">
        <f aca="false">IF($J627&lt;&gt;"",$J627,"")</f>
        <v/>
      </c>
      <c r="AF627" s="52" t="str">
        <f aca="false">IF($A627&lt;&gt;"",$A627,"")</f>
        <v>Apprenant 615</v>
      </c>
      <c r="AG627" s="53" t="str">
        <f aca="false">IF(AND($W627&lt;&gt;"",$X627&lt;&gt;""),$X627-$W627,"")</f>
        <v/>
      </c>
      <c r="AH627" s="53" t="str">
        <f aca="false">IF(AND($W627&lt;&gt;"",$Y627&lt;&gt;""),$Y627-$W627,"")</f>
        <v/>
      </c>
      <c r="AI627" s="53" t="str">
        <f aca="false">IF(AND($X627&lt;&gt;"",$Y627&lt;&gt;""),$Y627-$X627,"")</f>
        <v/>
      </c>
      <c r="AJ627" s="53" t="str">
        <f aca="false">IF($E627&lt;&gt;"",$E627,"")</f>
        <v/>
      </c>
      <c r="AK627" s="52" t="str">
        <f aca="false">IF($F627&lt;&gt;"",$F627,"")</f>
        <v>Apprenant 615 ou 615'</v>
      </c>
      <c r="AL627" s="53" t="str">
        <f aca="false">IF(AND($AB627&lt;&gt;"",$AC627&lt;&gt;""),$AC627-$AB627,"")</f>
        <v/>
      </c>
      <c r="AM627" s="53" t="str">
        <f aca="false">IF(AND($AB627&lt;&gt;"",$AD627&lt;&gt;""),$AD627-$AB627,"")</f>
        <v/>
      </c>
      <c r="AN627" s="53" t="str">
        <f aca="false">IF(AND($AC627&lt;&gt;"",$AD627&lt;&gt;""),$AD627-$AC627,"")</f>
        <v/>
      </c>
      <c r="AO627" s="53" t="str">
        <f aca="false">IF($J627&lt;&gt;"",$J627,"")</f>
        <v/>
      </c>
      <c r="AQ627" s="52" t="str">
        <f aca="false">IF($A627&lt;&gt;"",$A627,"")</f>
        <v>Apprenant 615</v>
      </c>
      <c r="AR627" s="55" t="str">
        <f aca="false">IF(AND('Choix pédagogiques'!$C$4&lt;&gt;"?",'Choix pédagogiques'!$C$5&lt;&gt;"?",W627&lt;&gt;""),(W627-'Choix pédagogiques'!$C$4)/('Choix pédagogiques'!$C$5-'Choix pédagogiques'!$C$4),"")</f>
        <v/>
      </c>
      <c r="AS627" s="55" t="str">
        <f aca="false">IF(AND('Choix pédagogiques'!$C$4&lt;&gt;"?",'Choix pédagogiques'!$C$5&lt;&gt;"?",X627&lt;&gt;""),(X627-'Choix pédagogiques'!$C$4)/('Choix pédagogiques'!$C$5-'Choix pédagogiques'!$C$4),"")</f>
        <v/>
      </c>
      <c r="AT627" s="55" t="str">
        <f aca="false">IF(AND('Choix pédagogiques'!$C$4&lt;&gt;"?",'Choix pédagogiques'!$C$5&lt;&gt;"?",Y627&lt;&gt;""),(Y627-'Choix pédagogiques'!$C$4)/('Choix pédagogiques'!$C$5-'Choix pédagogiques'!$C$4),"")</f>
        <v/>
      </c>
      <c r="AU627" s="53" t="str">
        <f aca="false">IF($E627&lt;&gt;"",$E627,"")</f>
        <v/>
      </c>
      <c r="AV627" s="52" t="str">
        <f aca="false">IF($F627&lt;&gt;"",$F627,"")</f>
        <v>Apprenant 615 ou 615'</v>
      </c>
      <c r="AW627" s="55" t="str">
        <f aca="false">IF(AND('Choix pédagogiques'!$C$4&lt;&gt;"?",'Choix pédagogiques'!$C$5&lt;&gt;"?",AB627&lt;&gt;""),(AB627-'Choix pédagogiques'!$C$4)/('Choix pédagogiques'!$C$5-'Choix pédagogiques'!$C$4),"")</f>
        <v/>
      </c>
      <c r="AX627" s="55" t="str">
        <f aca="false">IF(AND('Choix pédagogiques'!$C$4&lt;&gt;"?",'Choix pédagogiques'!$C$5&lt;&gt;"?",AC627&lt;&gt;""),(AC627-'Choix pédagogiques'!$C$4)/('Choix pédagogiques'!$C$5-'Choix pédagogiques'!$C$4),"")</f>
        <v/>
      </c>
      <c r="AY627" s="55" t="str">
        <f aca="false">IF(AND('Choix pédagogiques'!$C$4&lt;&gt;"?",'Choix pédagogiques'!$C$5&lt;&gt;"?",AD627&lt;&gt;""),(AD627-'Choix pédagogiques'!$C$4)/('Choix pédagogiques'!$C$5-'Choix pédagogiques'!$C$4),"")</f>
        <v/>
      </c>
      <c r="AZ627" s="53" t="str">
        <f aca="false">IF($J627&lt;&gt;"",$J627,"")</f>
        <v/>
      </c>
      <c r="BA627" s="52" t="str">
        <f aca="false">IF($A627&lt;&gt;"",$A627,"")</f>
        <v>Apprenant 615</v>
      </c>
      <c r="BB627" s="55" t="str">
        <f aca="false">IF(AND($AR627&lt;&gt;"",$AS627&lt;&gt;""),$AS627-$AR627,"")</f>
        <v/>
      </c>
      <c r="BC627" s="55" t="str">
        <f aca="false">IF(AND($AR627&lt;&gt;"",$AT627&lt;&gt;""),$AT627-$AR627,"")</f>
        <v/>
      </c>
      <c r="BD627" s="55" t="str">
        <f aca="false">IF(AND($AS627&lt;&gt;"",$AT627&lt;&gt;""),$AT627-$AS627,"")</f>
        <v/>
      </c>
      <c r="BE627" s="53" t="str">
        <f aca="false">IF($E627&lt;&gt;"",$E627,"")</f>
        <v/>
      </c>
      <c r="BF627" s="52" t="str">
        <f aca="false">IF($F627&lt;&gt;"",$F627,"")</f>
        <v>Apprenant 615 ou 615'</v>
      </c>
      <c r="BG627" s="55" t="str">
        <f aca="false">IF(AND($AW627&lt;&gt;"",$AX627&lt;&gt;""),$AX627-$AW627,"")</f>
        <v/>
      </c>
      <c r="BH627" s="55" t="str">
        <f aca="false">IF(AND($AW627&lt;&gt;"",$AY627&lt;&gt;""),$AY627-$AW627,"")</f>
        <v/>
      </c>
      <c r="BI627" s="55" t="str">
        <f aca="false">IF(AND($AX627&lt;&gt;"",$AY627&lt;&gt;""),$AY627-$AX627,"")</f>
        <v/>
      </c>
      <c r="BJ627" s="53" t="str">
        <f aca="false">IF($J627&lt;&gt;"",$J627,"")</f>
        <v/>
      </c>
      <c r="BL627" s="52"/>
      <c r="BM627" s="52" t="str">
        <f aca="false">IF(OR(COUNT(B627:D1626)=0,AND('Choix pédagogiques'!$C$3&lt;&gt;1,'Choix pédagogiques'!$C$3&lt;&gt;2)),"",IF(AND(OR('Choix pédagogiques'!$C$3=1,'Choix pédagogiques'!$C$3=2),$B627&lt;&gt;"",$C627&lt;&gt;"",$D627&lt;&gt;""),1,0))</f>
        <v/>
      </c>
      <c r="BN627" s="52" t="str">
        <f aca="false">IF(OR(COUNT(G627:I1626)=0,AND('Choix pédagogiques'!$C$3&lt;&gt;1,'Choix pédagogiques'!$C$3&lt;&gt;2)),"",IF(AND(OR('Choix pédagogiques'!$C$3=1,'Choix pédagogiques'!$C$3=2),AND($G627&lt;&gt;"",$H627&lt;&gt;"",$I627&lt;&gt;"")),1,0))</f>
        <v/>
      </c>
      <c r="BO627" s="52" t="str">
        <f aca="false">IF(OR(COUNT(B627:D1626)=0,COUNT(G627:I1626)=0,'Choix pédagogiques'!C$3&lt;&gt;3),"",IF(AND('Choix pédagogiques'!$C$3=3,$B627&lt;&gt;"",$C627&lt;&gt;"",$D627&lt;&gt;"",$G627&lt;&gt;"",$H627&lt;&gt;"",$I627&lt;&gt;""),1,0))</f>
        <v/>
      </c>
      <c r="BR627" s="52" t="n">
        <v>288</v>
      </c>
      <c r="BS627" s="52" t="n">
        <v>1564</v>
      </c>
    </row>
    <row r="628" s="54" customFormat="true" ht="18" hidden="false" customHeight="true" outlineLevel="0" collapsed="false">
      <c r="A628" s="57" t="s">
        <v>1187</v>
      </c>
      <c r="B628" s="51"/>
      <c r="C628" s="51"/>
      <c r="D628" s="51"/>
      <c r="E628" s="51"/>
      <c r="F628" s="57" t="s">
        <v>1188</v>
      </c>
      <c r="G628" s="51"/>
      <c r="H628" s="51"/>
      <c r="I628" s="51"/>
      <c r="J628" s="51"/>
      <c r="K628" s="52" t="str">
        <f aca="false">IF($A628&lt;&gt;"",$A628,"")</f>
        <v>Apprenant 616</v>
      </c>
      <c r="L628" s="53" t="str">
        <f aca="false">IF(AND($B628&lt;&gt;"",$C628&lt;&gt;""),$C628-$B628,"")</f>
        <v/>
      </c>
      <c r="M628" s="53" t="str">
        <f aca="false">IF(AND($B628&lt;&gt;"",$D628&lt;&gt;""),$D628-$B628,"")</f>
        <v/>
      </c>
      <c r="N628" s="53" t="str">
        <f aca="false">IF(AND($C628&lt;&gt;"",$D628&lt;&gt;""),$D628-$C628,"")</f>
        <v/>
      </c>
      <c r="O628" s="53" t="str">
        <f aca="false">IF($E628&lt;&gt;"",$E628,"")</f>
        <v/>
      </c>
      <c r="P628" s="52" t="str">
        <f aca="false">IF($F628&lt;&gt;"",$F628,"")</f>
        <v>Apprenant 616 ou 616'</v>
      </c>
      <c r="Q628" s="53" t="str">
        <f aca="false">IF(AND($G628&lt;&gt;"",$H628&lt;&gt;""),$H628-$G628,"")</f>
        <v/>
      </c>
      <c r="R628" s="53" t="str">
        <f aca="false">IF(AND($G628&lt;&gt;"",$I628&lt;&gt;""),$I628-$G628,"")</f>
        <v/>
      </c>
      <c r="S628" s="53" t="str">
        <f aca="false">IF(AND($H628&lt;&gt;"",$I628&lt;&gt;""),$I628-$H628,"")</f>
        <v/>
      </c>
      <c r="T628" s="53" t="str">
        <f aca="false">IF($J628&lt;&gt;"",$J628,"")</f>
        <v/>
      </c>
      <c r="V628" s="52" t="str">
        <f aca="false">IF($A628&lt;&gt;"",$A628,"")</f>
        <v>Apprenant 616</v>
      </c>
      <c r="W628" s="53" t="str">
        <f aca="false">IF(AND(OR('Choix pédagogiques'!$C$3=1,'Choix pédagogiques'!$C$3=2),$BM628=1),B628,IF(AND('Choix pédagogiques'!$C$3=3,$BO628=1),B628,""))</f>
        <v/>
      </c>
      <c r="X628" s="53" t="str">
        <f aca="false">IF(AND(OR('Choix pédagogiques'!$C$3=1,'Choix pédagogiques'!$C$3=2),$BM628=1),C628,IF(AND('Choix pédagogiques'!$C$3=3,$BO628=1),C628,""))</f>
        <v/>
      </c>
      <c r="Y628" s="53" t="str">
        <f aca="false">IF(AND(OR('Choix pédagogiques'!$C$3=1,'Choix pédagogiques'!$C$3=2),$BM628=1),D628,IF(AND('Choix pédagogiques'!$C$3=3,$BO628=1),D628,""))</f>
        <v/>
      </c>
      <c r="Z628" s="53" t="str">
        <f aca="false">IF($E628&lt;&gt;"",$E628,"")</f>
        <v/>
      </c>
      <c r="AA628" s="52" t="str">
        <f aca="false">IF($F628&lt;&gt;"",$F628,"")</f>
        <v>Apprenant 616 ou 616'</v>
      </c>
      <c r="AB628" s="53" t="str">
        <f aca="false">IF(AND(OR('Choix pédagogiques'!$C$3=1,'Choix pédagogiques'!$C$3=2),$BN628=1),G628,IF(AND('Choix pédagogiques'!$C$3=3,$BO628=1),G628,""))</f>
        <v/>
      </c>
      <c r="AC628" s="53" t="str">
        <f aca="false">IF(AND(OR('Choix pédagogiques'!$C$3=1,'Choix pédagogiques'!$C$3=2),$BN628=1),H628,IF(AND('Choix pédagogiques'!$C$3=3,$BO628=1),H628,""))</f>
        <v/>
      </c>
      <c r="AD628" s="53" t="str">
        <f aca="false">IF(AND(OR('Choix pédagogiques'!$C$3=1,'Choix pédagogiques'!$C$3=2),$BN628=1),I628,IF(AND('Choix pédagogiques'!$C$3=3,$BO628=1),I628,""))</f>
        <v/>
      </c>
      <c r="AE628" s="53" t="str">
        <f aca="false">IF($J628&lt;&gt;"",$J628,"")</f>
        <v/>
      </c>
      <c r="AF628" s="52" t="str">
        <f aca="false">IF($A628&lt;&gt;"",$A628,"")</f>
        <v>Apprenant 616</v>
      </c>
      <c r="AG628" s="53" t="str">
        <f aca="false">IF(AND($W628&lt;&gt;"",$X628&lt;&gt;""),$X628-$W628,"")</f>
        <v/>
      </c>
      <c r="AH628" s="53" t="str">
        <f aca="false">IF(AND($W628&lt;&gt;"",$Y628&lt;&gt;""),$Y628-$W628,"")</f>
        <v/>
      </c>
      <c r="AI628" s="53" t="str">
        <f aca="false">IF(AND($X628&lt;&gt;"",$Y628&lt;&gt;""),$Y628-$X628,"")</f>
        <v/>
      </c>
      <c r="AJ628" s="53" t="str">
        <f aca="false">IF($E628&lt;&gt;"",$E628,"")</f>
        <v/>
      </c>
      <c r="AK628" s="52" t="str">
        <f aca="false">IF($F628&lt;&gt;"",$F628,"")</f>
        <v>Apprenant 616 ou 616'</v>
      </c>
      <c r="AL628" s="53" t="str">
        <f aca="false">IF(AND($AB628&lt;&gt;"",$AC628&lt;&gt;""),$AC628-$AB628,"")</f>
        <v/>
      </c>
      <c r="AM628" s="53" t="str">
        <f aca="false">IF(AND($AB628&lt;&gt;"",$AD628&lt;&gt;""),$AD628-$AB628,"")</f>
        <v/>
      </c>
      <c r="AN628" s="53" t="str">
        <f aca="false">IF(AND($AC628&lt;&gt;"",$AD628&lt;&gt;""),$AD628-$AC628,"")</f>
        <v/>
      </c>
      <c r="AO628" s="53" t="str">
        <f aca="false">IF($J628&lt;&gt;"",$J628,"")</f>
        <v/>
      </c>
      <c r="AQ628" s="52" t="str">
        <f aca="false">IF($A628&lt;&gt;"",$A628,"")</f>
        <v>Apprenant 616</v>
      </c>
      <c r="AR628" s="55" t="str">
        <f aca="false">IF(AND('Choix pédagogiques'!$C$4&lt;&gt;"?",'Choix pédagogiques'!$C$5&lt;&gt;"?",W628&lt;&gt;""),(W628-'Choix pédagogiques'!$C$4)/('Choix pédagogiques'!$C$5-'Choix pédagogiques'!$C$4),"")</f>
        <v/>
      </c>
      <c r="AS628" s="55" t="str">
        <f aca="false">IF(AND('Choix pédagogiques'!$C$4&lt;&gt;"?",'Choix pédagogiques'!$C$5&lt;&gt;"?",X628&lt;&gt;""),(X628-'Choix pédagogiques'!$C$4)/('Choix pédagogiques'!$C$5-'Choix pédagogiques'!$C$4),"")</f>
        <v/>
      </c>
      <c r="AT628" s="55" t="str">
        <f aca="false">IF(AND('Choix pédagogiques'!$C$4&lt;&gt;"?",'Choix pédagogiques'!$C$5&lt;&gt;"?",Y628&lt;&gt;""),(Y628-'Choix pédagogiques'!$C$4)/('Choix pédagogiques'!$C$5-'Choix pédagogiques'!$C$4),"")</f>
        <v/>
      </c>
      <c r="AU628" s="53" t="str">
        <f aca="false">IF($E628&lt;&gt;"",$E628,"")</f>
        <v/>
      </c>
      <c r="AV628" s="52" t="str">
        <f aca="false">IF($F628&lt;&gt;"",$F628,"")</f>
        <v>Apprenant 616 ou 616'</v>
      </c>
      <c r="AW628" s="55" t="str">
        <f aca="false">IF(AND('Choix pédagogiques'!$C$4&lt;&gt;"?",'Choix pédagogiques'!$C$5&lt;&gt;"?",AB628&lt;&gt;""),(AB628-'Choix pédagogiques'!$C$4)/('Choix pédagogiques'!$C$5-'Choix pédagogiques'!$C$4),"")</f>
        <v/>
      </c>
      <c r="AX628" s="55" t="str">
        <f aca="false">IF(AND('Choix pédagogiques'!$C$4&lt;&gt;"?",'Choix pédagogiques'!$C$5&lt;&gt;"?",AC628&lt;&gt;""),(AC628-'Choix pédagogiques'!$C$4)/('Choix pédagogiques'!$C$5-'Choix pédagogiques'!$C$4),"")</f>
        <v/>
      </c>
      <c r="AY628" s="55" t="str">
        <f aca="false">IF(AND('Choix pédagogiques'!$C$4&lt;&gt;"?",'Choix pédagogiques'!$C$5&lt;&gt;"?",AD628&lt;&gt;""),(AD628-'Choix pédagogiques'!$C$4)/('Choix pédagogiques'!$C$5-'Choix pédagogiques'!$C$4),"")</f>
        <v/>
      </c>
      <c r="AZ628" s="53" t="str">
        <f aca="false">IF($J628&lt;&gt;"",$J628,"")</f>
        <v/>
      </c>
      <c r="BA628" s="52" t="str">
        <f aca="false">IF($A628&lt;&gt;"",$A628,"")</f>
        <v>Apprenant 616</v>
      </c>
      <c r="BB628" s="55" t="str">
        <f aca="false">IF(AND($AR628&lt;&gt;"",$AS628&lt;&gt;""),$AS628-$AR628,"")</f>
        <v/>
      </c>
      <c r="BC628" s="55" t="str">
        <f aca="false">IF(AND($AR628&lt;&gt;"",$AT628&lt;&gt;""),$AT628-$AR628,"")</f>
        <v/>
      </c>
      <c r="BD628" s="55" t="str">
        <f aca="false">IF(AND($AS628&lt;&gt;"",$AT628&lt;&gt;""),$AT628-$AS628,"")</f>
        <v/>
      </c>
      <c r="BE628" s="53" t="str">
        <f aca="false">IF($E628&lt;&gt;"",$E628,"")</f>
        <v/>
      </c>
      <c r="BF628" s="52" t="str">
        <f aca="false">IF($F628&lt;&gt;"",$F628,"")</f>
        <v>Apprenant 616 ou 616'</v>
      </c>
      <c r="BG628" s="55" t="str">
        <f aca="false">IF(AND($AW628&lt;&gt;"",$AX628&lt;&gt;""),$AX628-$AW628,"")</f>
        <v/>
      </c>
      <c r="BH628" s="55" t="str">
        <f aca="false">IF(AND($AW628&lt;&gt;"",$AY628&lt;&gt;""),$AY628-$AW628,"")</f>
        <v/>
      </c>
      <c r="BI628" s="55" t="str">
        <f aca="false">IF(AND($AX628&lt;&gt;"",$AY628&lt;&gt;""),$AY628-$AX628,"")</f>
        <v/>
      </c>
      <c r="BJ628" s="53" t="str">
        <f aca="false">IF($J628&lt;&gt;"",$J628,"")</f>
        <v/>
      </c>
      <c r="BL628" s="52"/>
      <c r="BM628" s="52" t="str">
        <f aca="false">IF(OR(COUNT(B628:D1627)=0,AND('Choix pédagogiques'!$C$3&lt;&gt;1,'Choix pédagogiques'!$C$3&lt;&gt;2)),"",IF(AND(OR('Choix pédagogiques'!$C$3=1,'Choix pédagogiques'!$C$3=2),$B628&lt;&gt;"",$C628&lt;&gt;"",$D628&lt;&gt;""),1,0))</f>
        <v/>
      </c>
      <c r="BN628" s="52" t="str">
        <f aca="false">IF(OR(COUNT(G628:I1627)=0,AND('Choix pédagogiques'!$C$3&lt;&gt;1,'Choix pédagogiques'!$C$3&lt;&gt;2)),"",IF(AND(OR('Choix pédagogiques'!$C$3=1,'Choix pédagogiques'!$C$3=2),AND($G628&lt;&gt;"",$H628&lt;&gt;"",$I628&lt;&gt;"")),1,0))</f>
        <v/>
      </c>
      <c r="BO628" s="52" t="str">
        <f aca="false">IF(OR(COUNT(B628:D1627)=0,COUNT(G628:I1627)=0,'Choix pédagogiques'!C$3&lt;&gt;3),"",IF(AND('Choix pédagogiques'!$C$3=3,$B628&lt;&gt;"",$C628&lt;&gt;"",$D628&lt;&gt;"",$G628&lt;&gt;"",$H628&lt;&gt;"",$I628&lt;&gt;""),1,0))</f>
        <v/>
      </c>
      <c r="BR628" s="52" t="n">
        <v>975</v>
      </c>
      <c r="BS628" s="52" t="n">
        <v>1220</v>
      </c>
    </row>
    <row r="629" s="54" customFormat="true" ht="18" hidden="false" customHeight="true" outlineLevel="0" collapsed="false">
      <c r="A629" s="57" t="s">
        <v>1189</v>
      </c>
      <c r="B629" s="51"/>
      <c r="C629" s="51"/>
      <c r="D629" s="51"/>
      <c r="E629" s="51"/>
      <c r="F629" s="57" t="s">
        <v>1190</v>
      </c>
      <c r="G629" s="51"/>
      <c r="H629" s="51"/>
      <c r="I629" s="51"/>
      <c r="J629" s="51"/>
      <c r="K629" s="52" t="str">
        <f aca="false">IF($A629&lt;&gt;"",$A629,"")</f>
        <v>Apprenant 617</v>
      </c>
      <c r="L629" s="53" t="str">
        <f aca="false">IF(AND($B629&lt;&gt;"",$C629&lt;&gt;""),$C629-$B629,"")</f>
        <v/>
      </c>
      <c r="M629" s="53" t="str">
        <f aca="false">IF(AND($B629&lt;&gt;"",$D629&lt;&gt;""),$D629-$B629,"")</f>
        <v/>
      </c>
      <c r="N629" s="53" t="str">
        <f aca="false">IF(AND($C629&lt;&gt;"",$D629&lt;&gt;""),$D629-$C629,"")</f>
        <v/>
      </c>
      <c r="O629" s="53" t="str">
        <f aca="false">IF($E629&lt;&gt;"",$E629,"")</f>
        <v/>
      </c>
      <c r="P629" s="52" t="str">
        <f aca="false">IF($F629&lt;&gt;"",$F629,"")</f>
        <v>Apprenant 617 ou 617'</v>
      </c>
      <c r="Q629" s="53" t="str">
        <f aca="false">IF(AND($G629&lt;&gt;"",$H629&lt;&gt;""),$H629-$G629,"")</f>
        <v/>
      </c>
      <c r="R629" s="53" t="str">
        <f aca="false">IF(AND($G629&lt;&gt;"",$I629&lt;&gt;""),$I629-$G629,"")</f>
        <v/>
      </c>
      <c r="S629" s="53" t="str">
        <f aca="false">IF(AND($H629&lt;&gt;"",$I629&lt;&gt;""),$I629-$H629,"")</f>
        <v/>
      </c>
      <c r="T629" s="53" t="str">
        <f aca="false">IF($J629&lt;&gt;"",$J629,"")</f>
        <v/>
      </c>
      <c r="V629" s="52" t="str">
        <f aca="false">IF($A629&lt;&gt;"",$A629,"")</f>
        <v>Apprenant 617</v>
      </c>
      <c r="W629" s="53" t="str">
        <f aca="false">IF(AND(OR('Choix pédagogiques'!$C$3=1,'Choix pédagogiques'!$C$3=2),$BM629=1),B629,IF(AND('Choix pédagogiques'!$C$3=3,$BO629=1),B629,""))</f>
        <v/>
      </c>
      <c r="X629" s="53" t="str">
        <f aca="false">IF(AND(OR('Choix pédagogiques'!$C$3=1,'Choix pédagogiques'!$C$3=2),$BM629=1),C629,IF(AND('Choix pédagogiques'!$C$3=3,$BO629=1),C629,""))</f>
        <v/>
      </c>
      <c r="Y629" s="53" t="str">
        <f aca="false">IF(AND(OR('Choix pédagogiques'!$C$3=1,'Choix pédagogiques'!$C$3=2),$BM629=1),D629,IF(AND('Choix pédagogiques'!$C$3=3,$BO629=1),D629,""))</f>
        <v/>
      </c>
      <c r="Z629" s="53" t="str">
        <f aca="false">IF($E629&lt;&gt;"",$E629,"")</f>
        <v/>
      </c>
      <c r="AA629" s="52" t="str">
        <f aca="false">IF($F629&lt;&gt;"",$F629,"")</f>
        <v>Apprenant 617 ou 617'</v>
      </c>
      <c r="AB629" s="53" t="str">
        <f aca="false">IF(AND(OR('Choix pédagogiques'!$C$3=1,'Choix pédagogiques'!$C$3=2),$BN629=1),G629,IF(AND('Choix pédagogiques'!$C$3=3,$BO629=1),G629,""))</f>
        <v/>
      </c>
      <c r="AC629" s="53" t="str">
        <f aca="false">IF(AND(OR('Choix pédagogiques'!$C$3=1,'Choix pédagogiques'!$C$3=2),$BN629=1),H629,IF(AND('Choix pédagogiques'!$C$3=3,$BO629=1),H629,""))</f>
        <v/>
      </c>
      <c r="AD629" s="53" t="str">
        <f aca="false">IF(AND(OR('Choix pédagogiques'!$C$3=1,'Choix pédagogiques'!$C$3=2),$BN629=1),I629,IF(AND('Choix pédagogiques'!$C$3=3,$BO629=1),I629,""))</f>
        <v/>
      </c>
      <c r="AE629" s="53" t="str">
        <f aca="false">IF($J629&lt;&gt;"",$J629,"")</f>
        <v/>
      </c>
      <c r="AF629" s="52" t="str">
        <f aca="false">IF($A629&lt;&gt;"",$A629,"")</f>
        <v>Apprenant 617</v>
      </c>
      <c r="AG629" s="53" t="str">
        <f aca="false">IF(AND($W629&lt;&gt;"",$X629&lt;&gt;""),$X629-$W629,"")</f>
        <v/>
      </c>
      <c r="AH629" s="53" t="str">
        <f aca="false">IF(AND($W629&lt;&gt;"",$Y629&lt;&gt;""),$Y629-$W629,"")</f>
        <v/>
      </c>
      <c r="AI629" s="53" t="str">
        <f aca="false">IF(AND($X629&lt;&gt;"",$Y629&lt;&gt;""),$Y629-$X629,"")</f>
        <v/>
      </c>
      <c r="AJ629" s="53" t="str">
        <f aca="false">IF($E629&lt;&gt;"",$E629,"")</f>
        <v/>
      </c>
      <c r="AK629" s="52" t="str">
        <f aca="false">IF($F629&lt;&gt;"",$F629,"")</f>
        <v>Apprenant 617 ou 617'</v>
      </c>
      <c r="AL629" s="53" t="str">
        <f aca="false">IF(AND($AB629&lt;&gt;"",$AC629&lt;&gt;""),$AC629-$AB629,"")</f>
        <v/>
      </c>
      <c r="AM629" s="53" t="str">
        <f aca="false">IF(AND($AB629&lt;&gt;"",$AD629&lt;&gt;""),$AD629-$AB629,"")</f>
        <v/>
      </c>
      <c r="AN629" s="53" t="str">
        <f aca="false">IF(AND($AC629&lt;&gt;"",$AD629&lt;&gt;""),$AD629-$AC629,"")</f>
        <v/>
      </c>
      <c r="AO629" s="53" t="str">
        <f aca="false">IF($J629&lt;&gt;"",$J629,"")</f>
        <v/>
      </c>
      <c r="AQ629" s="52" t="str">
        <f aca="false">IF($A629&lt;&gt;"",$A629,"")</f>
        <v>Apprenant 617</v>
      </c>
      <c r="AR629" s="55" t="str">
        <f aca="false">IF(AND('Choix pédagogiques'!$C$4&lt;&gt;"?",'Choix pédagogiques'!$C$5&lt;&gt;"?",W629&lt;&gt;""),(W629-'Choix pédagogiques'!$C$4)/('Choix pédagogiques'!$C$5-'Choix pédagogiques'!$C$4),"")</f>
        <v/>
      </c>
      <c r="AS629" s="55" t="str">
        <f aca="false">IF(AND('Choix pédagogiques'!$C$4&lt;&gt;"?",'Choix pédagogiques'!$C$5&lt;&gt;"?",X629&lt;&gt;""),(X629-'Choix pédagogiques'!$C$4)/('Choix pédagogiques'!$C$5-'Choix pédagogiques'!$C$4),"")</f>
        <v/>
      </c>
      <c r="AT629" s="55" t="str">
        <f aca="false">IF(AND('Choix pédagogiques'!$C$4&lt;&gt;"?",'Choix pédagogiques'!$C$5&lt;&gt;"?",Y629&lt;&gt;""),(Y629-'Choix pédagogiques'!$C$4)/('Choix pédagogiques'!$C$5-'Choix pédagogiques'!$C$4),"")</f>
        <v/>
      </c>
      <c r="AU629" s="53" t="str">
        <f aca="false">IF($E629&lt;&gt;"",$E629,"")</f>
        <v/>
      </c>
      <c r="AV629" s="52" t="str">
        <f aca="false">IF($F629&lt;&gt;"",$F629,"")</f>
        <v>Apprenant 617 ou 617'</v>
      </c>
      <c r="AW629" s="55" t="str">
        <f aca="false">IF(AND('Choix pédagogiques'!$C$4&lt;&gt;"?",'Choix pédagogiques'!$C$5&lt;&gt;"?",AB629&lt;&gt;""),(AB629-'Choix pédagogiques'!$C$4)/('Choix pédagogiques'!$C$5-'Choix pédagogiques'!$C$4),"")</f>
        <v/>
      </c>
      <c r="AX629" s="55" t="str">
        <f aca="false">IF(AND('Choix pédagogiques'!$C$4&lt;&gt;"?",'Choix pédagogiques'!$C$5&lt;&gt;"?",AC629&lt;&gt;""),(AC629-'Choix pédagogiques'!$C$4)/('Choix pédagogiques'!$C$5-'Choix pédagogiques'!$C$4),"")</f>
        <v/>
      </c>
      <c r="AY629" s="55" t="str">
        <f aca="false">IF(AND('Choix pédagogiques'!$C$4&lt;&gt;"?",'Choix pédagogiques'!$C$5&lt;&gt;"?",AD629&lt;&gt;""),(AD629-'Choix pédagogiques'!$C$4)/('Choix pédagogiques'!$C$5-'Choix pédagogiques'!$C$4),"")</f>
        <v/>
      </c>
      <c r="AZ629" s="53" t="str">
        <f aca="false">IF($J629&lt;&gt;"",$J629,"")</f>
        <v/>
      </c>
      <c r="BA629" s="52" t="str">
        <f aca="false">IF($A629&lt;&gt;"",$A629,"")</f>
        <v>Apprenant 617</v>
      </c>
      <c r="BB629" s="55" t="str">
        <f aca="false">IF(AND($AR629&lt;&gt;"",$AS629&lt;&gt;""),$AS629-$AR629,"")</f>
        <v/>
      </c>
      <c r="BC629" s="55" t="str">
        <f aca="false">IF(AND($AR629&lt;&gt;"",$AT629&lt;&gt;""),$AT629-$AR629,"")</f>
        <v/>
      </c>
      <c r="BD629" s="55" t="str">
        <f aca="false">IF(AND($AS629&lt;&gt;"",$AT629&lt;&gt;""),$AT629-$AS629,"")</f>
        <v/>
      </c>
      <c r="BE629" s="53" t="str">
        <f aca="false">IF($E629&lt;&gt;"",$E629,"")</f>
        <v/>
      </c>
      <c r="BF629" s="52" t="str">
        <f aca="false">IF($F629&lt;&gt;"",$F629,"")</f>
        <v>Apprenant 617 ou 617'</v>
      </c>
      <c r="BG629" s="55" t="str">
        <f aca="false">IF(AND($AW629&lt;&gt;"",$AX629&lt;&gt;""),$AX629-$AW629,"")</f>
        <v/>
      </c>
      <c r="BH629" s="55" t="str">
        <f aca="false">IF(AND($AW629&lt;&gt;"",$AY629&lt;&gt;""),$AY629-$AW629,"")</f>
        <v/>
      </c>
      <c r="BI629" s="55" t="str">
        <f aca="false">IF(AND($AX629&lt;&gt;"",$AY629&lt;&gt;""),$AY629-$AX629,"")</f>
        <v/>
      </c>
      <c r="BJ629" s="53" t="str">
        <f aca="false">IF($J629&lt;&gt;"",$J629,"")</f>
        <v/>
      </c>
      <c r="BL629" s="52"/>
      <c r="BM629" s="52" t="str">
        <f aca="false">IF(OR(COUNT(B629:D1628)=0,AND('Choix pédagogiques'!$C$3&lt;&gt;1,'Choix pédagogiques'!$C$3&lt;&gt;2)),"",IF(AND(OR('Choix pédagogiques'!$C$3=1,'Choix pédagogiques'!$C$3=2),$B629&lt;&gt;"",$C629&lt;&gt;"",$D629&lt;&gt;""),1,0))</f>
        <v/>
      </c>
      <c r="BN629" s="52" t="str">
        <f aca="false">IF(OR(COUNT(G629:I1628)=0,AND('Choix pédagogiques'!$C$3&lt;&gt;1,'Choix pédagogiques'!$C$3&lt;&gt;2)),"",IF(AND(OR('Choix pédagogiques'!$C$3=1,'Choix pédagogiques'!$C$3=2),AND($G629&lt;&gt;"",$H629&lt;&gt;"",$I629&lt;&gt;"")),1,0))</f>
        <v/>
      </c>
      <c r="BO629" s="52" t="str">
        <f aca="false">IF(OR(COUNT(B629:D1628)=0,COUNT(G629:I1628)=0,'Choix pédagogiques'!C$3&lt;&gt;3),"",IF(AND('Choix pédagogiques'!$C$3=3,$B629&lt;&gt;"",$C629&lt;&gt;"",$D629&lt;&gt;"",$G629&lt;&gt;"",$H629&lt;&gt;"",$I629&lt;&gt;""),1,0))</f>
        <v/>
      </c>
      <c r="BR629" s="52" t="n">
        <v>657</v>
      </c>
      <c r="BS629" s="52" t="n">
        <v>1671</v>
      </c>
    </row>
    <row r="630" s="54" customFormat="true" ht="18" hidden="false" customHeight="true" outlineLevel="0" collapsed="false">
      <c r="A630" s="57" t="s">
        <v>1191</v>
      </c>
      <c r="B630" s="51"/>
      <c r="C630" s="51"/>
      <c r="D630" s="51"/>
      <c r="E630" s="51"/>
      <c r="F630" s="57" t="s">
        <v>1192</v>
      </c>
      <c r="G630" s="51"/>
      <c r="H630" s="51"/>
      <c r="I630" s="51"/>
      <c r="J630" s="51"/>
      <c r="K630" s="52" t="str">
        <f aca="false">IF($A630&lt;&gt;"",$A630,"")</f>
        <v>Apprenant 618</v>
      </c>
      <c r="L630" s="53" t="str">
        <f aca="false">IF(AND($B630&lt;&gt;"",$C630&lt;&gt;""),$C630-$B630,"")</f>
        <v/>
      </c>
      <c r="M630" s="53" t="str">
        <f aca="false">IF(AND($B630&lt;&gt;"",$D630&lt;&gt;""),$D630-$B630,"")</f>
        <v/>
      </c>
      <c r="N630" s="53" t="str">
        <f aca="false">IF(AND($C630&lt;&gt;"",$D630&lt;&gt;""),$D630-$C630,"")</f>
        <v/>
      </c>
      <c r="O630" s="53" t="str">
        <f aca="false">IF($E630&lt;&gt;"",$E630,"")</f>
        <v/>
      </c>
      <c r="P630" s="52" t="str">
        <f aca="false">IF($F630&lt;&gt;"",$F630,"")</f>
        <v>Apprenant 618 ou 618'</v>
      </c>
      <c r="Q630" s="53" t="str">
        <f aca="false">IF(AND($G630&lt;&gt;"",$H630&lt;&gt;""),$H630-$G630,"")</f>
        <v/>
      </c>
      <c r="R630" s="53" t="str">
        <f aca="false">IF(AND($G630&lt;&gt;"",$I630&lt;&gt;""),$I630-$G630,"")</f>
        <v/>
      </c>
      <c r="S630" s="53" t="str">
        <f aca="false">IF(AND($H630&lt;&gt;"",$I630&lt;&gt;""),$I630-$H630,"")</f>
        <v/>
      </c>
      <c r="T630" s="53" t="str">
        <f aca="false">IF($J630&lt;&gt;"",$J630,"")</f>
        <v/>
      </c>
      <c r="V630" s="52" t="str">
        <f aca="false">IF($A630&lt;&gt;"",$A630,"")</f>
        <v>Apprenant 618</v>
      </c>
      <c r="W630" s="53" t="str">
        <f aca="false">IF(AND(OR('Choix pédagogiques'!$C$3=1,'Choix pédagogiques'!$C$3=2),$BM630=1),B630,IF(AND('Choix pédagogiques'!$C$3=3,$BO630=1),B630,""))</f>
        <v/>
      </c>
      <c r="X630" s="53" t="str">
        <f aca="false">IF(AND(OR('Choix pédagogiques'!$C$3=1,'Choix pédagogiques'!$C$3=2),$BM630=1),C630,IF(AND('Choix pédagogiques'!$C$3=3,$BO630=1),C630,""))</f>
        <v/>
      </c>
      <c r="Y630" s="53" t="str">
        <f aca="false">IF(AND(OR('Choix pédagogiques'!$C$3=1,'Choix pédagogiques'!$C$3=2),$BM630=1),D630,IF(AND('Choix pédagogiques'!$C$3=3,$BO630=1),D630,""))</f>
        <v/>
      </c>
      <c r="Z630" s="53" t="str">
        <f aca="false">IF($E630&lt;&gt;"",$E630,"")</f>
        <v/>
      </c>
      <c r="AA630" s="52" t="str">
        <f aca="false">IF($F630&lt;&gt;"",$F630,"")</f>
        <v>Apprenant 618 ou 618'</v>
      </c>
      <c r="AB630" s="53" t="str">
        <f aca="false">IF(AND(OR('Choix pédagogiques'!$C$3=1,'Choix pédagogiques'!$C$3=2),$BN630=1),G630,IF(AND('Choix pédagogiques'!$C$3=3,$BO630=1),G630,""))</f>
        <v/>
      </c>
      <c r="AC630" s="53" t="str">
        <f aca="false">IF(AND(OR('Choix pédagogiques'!$C$3=1,'Choix pédagogiques'!$C$3=2),$BN630=1),H630,IF(AND('Choix pédagogiques'!$C$3=3,$BO630=1),H630,""))</f>
        <v/>
      </c>
      <c r="AD630" s="53" t="str">
        <f aca="false">IF(AND(OR('Choix pédagogiques'!$C$3=1,'Choix pédagogiques'!$C$3=2),$BN630=1),I630,IF(AND('Choix pédagogiques'!$C$3=3,$BO630=1),I630,""))</f>
        <v/>
      </c>
      <c r="AE630" s="53" t="str">
        <f aca="false">IF($J630&lt;&gt;"",$J630,"")</f>
        <v/>
      </c>
      <c r="AF630" s="52" t="str">
        <f aca="false">IF($A630&lt;&gt;"",$A630,"")</f>
        <v>Apprenant 618</v>
      </c>
      <c r="AG630" s="53" t="str">
        <f aca="false">IF(AND($W630&lt;&gt;"",$X630&lt;&gt;""),$X630-$W630,"")</f>
        <v/>
      </c>
      <c r="AH630" s="53" t="str">
        <f aca="false">IF(AND($W630&lt;&gt;"",$Y630&lt;&gt;""),$Y630-$W630,"")</f>
        <v/>
      </c>
      <c r="AI630" s="53" t="str">
        <f aca="false">IF(AND($X630&lt;&gt;"",$Y630&lt;&gt;""),$Y630-$X630,"")</f>
        <v/>
      </c>
      <c r="AJ630" s="53" t="str">
        <f aca="false">IF($E630&lt;&gt;"",$E630,"")</f>
        <v/>
      </c>
      <c r="AK630" s="52" t="str">
        <f aca="false">IF($F630&lt;&gt;"",$F630,"")</f>
        <v>Apprenant 618 ou 618'</v>
      </c>
      <c r="AL630" s="53" t="str">
        <f aca="false">IF(AND($AB630&lt;&gt;"",$AC630&lt;&gt;""),$AC630-$AB630,"")</f>
        <v/>
      </c>
      <c r="AM630" s="53" t="str">
        <f aca="false">IF(AND($AB630&lt;&gt;"",$AD630&lt;&gt;""),$AD630-$AB630,"")</f>
        <v/>
      </c>
      <c r="AN630" s="53" t="str">
        <f aca="false">IF(AND($AC630&lt;&gt;"",$AD630&lt;&gt;""),$AD630-$AC630,"")</f>
        <v/>
      </c>
      <c r="AO630" s="53" t="str">
        <f aca="false">IF($J630&lt;&gt;"",$J630,"")</f>
        <v/>
      </c>
      <c r="AQ630" s="52" t="str">
        <f aca="false">IF($A630&lt;&gt;"",$A630,"")</f>
        <v>Apprenant 618</v>
      </c>
      <c r="AR630" s="55" t="str">
        <f aca="false">IF(AND('Choix pédagogiques'!$C$4&lt;&gt;"?",'Choix pédagogiques'!$C$5&lt;&gt;"?",W630&lt;&gt;""),(W630-'Choix pédagogiques'!$C$4)/('Choix pédagogiques'!$C$5-'Choix pédagogiques'!$C$4),"")</f>
        <v/>
      </c>
      <c r="AS630" s="55" t="str">
        <f aca="false">IF(AND('Choix pédagogiques'!$C$4&lt;&gt;"?",'Choix pédagogiques'!$C$5&lt;&gt;"?",X630&lt;&gt;""),(X630-'Choix pédagogiques'!$C$4)/('Choix pédagogiques'!$C$5-'Choix pédagogiques'!$C$4),"")</f>
        <v/>
      </c>
      <c r="AT630" s="55" t="str">
        <f aca="false">IF(AND('Choix pédagogiques'!$C$4&lt;&gt;"?",'Choix pédagogiques'!$C$5&lt;&gt;"?",Y630&lt;&gt;""),(Y630-'Choix pédagogiques'!$C$4)/('Choix pédagogiques'!$C$5-'Choix pédagogiques'!$C$4),"")</f>
        <v/>
      </c>
      <c r="AU630" s="53" t="str">
        <f aca="false">IF($E630&lt;&gt;"",$E630,"")</f>
        <v/>
      </c>
      <c r="AV630" s="52" t="str">
        <f aca="false">IF($F630&lt;&gt;"",$F630,"")</f>
        <v>Apprenant 618 ou 618'</v>
      </c>
      <c r="AW630" s="55" t="str">
        <f aca="false">IF(AND('Choix pédagogiques'!$C$4&lt;&gt;"?",'Choix pédagogiques'!$C$5&lt;&gt;"?",AB630&lt;&gt;""),(AB630-'Choix pédagogiques'!$C$4)/('Choix pédagogiques'!$C$5-'Choix pédagogiques'!$C$4),"")</f>
        <v/>
      </c>
      <c r="AX630" s="55" t="str">
        <f aca="false">IF(AND('Choix pédagogiques'!$C$4&lt;&gt;"?",'Choix pédagogiques'!$C$5&lt;&gt;"?",AC630&lt;&gt;""),(AC630-'Choix pédagogiques'!$C$4)/('Choix pédagogiques'!$C$5-'Choix pédagogiques'!$C$4),"")</f>
        <v/>
      </c>
      <c r="AY630" s="55" t="str">
        <f aca="false">IF(AND('Choix pédagogiques'!$C$4&lt;&gt;"?",'Choix pédagogiques'!$C$5&lt;&gt;"?",AD630&lt;&gt;""),(AD630-'Choix pédagogiques'!$C$4)/('Choix pédagogiques'!$C$5-'Choix pédagogiques'!$C$4),"")</f>
        <v/>
      </c>
      <c r="AZ630" s="53" t="str">
        <f aca="false">IF($J630&lt;&gt;"",$J630,"")</f>
        <v/>
      </c>
      <c r="BA630" s="52" t="str">
        <f aca="false">IF($A630&lt;&gt;"",$A630,"")</f>
        <v>Apprenant 618</v>
      </c>
      <c r="BB630" s="55" t="str">
        <f aca="false">IF(AND($AR630&lt;&gt;"",$AS630&lt;&gt;""),$AS630-$AR630,"")</f>
        <v/>
      </c>
      <c r="BC630" s="55" t="str">
        <f aca="false">IF(AND($AR630&lt;&gt;"",$AT630&lt;&gt;""),$AT630-$AR630,"")</f>
        <v/>
      </c>
      <c r="BD630" s="55" t="str">
        <f aca="false">IF(AND($AS630&lt;&gt;"",$AT630&lt;&gt;""),$AT630-$AS630,"")</f>
        <v/>
      </c>
      <c r="BE630" s="53" t="str">
        <f aca="false">IF($E630&lt;&gt;"",$E630,"")</f>
        <v/>
      </c>
      <c r="BF630" s="52" t="str">
        <f aca="false">IF($F630&lt;&gt;"",$F630,"")</f>
        <v>Apprenant 618 ou 618'</v>
      </c>
      <c r="BG630" s="55" t="str">
        <f aca="false">IF(AND($AW630&lt;&gt;"",$AX630&lt;&gt;""),$AX630-$AW630,"")</f>
        <v/>
      </c>
      <c r="BH630" s="55" t="str">
        <f aca="false">IF(AND($AW630&lt;&gt;"",$AY630&lt;&gt;""),$AY630-$AW630,"")</f>
        <v/>
      </c>
      <c r="BI630" s="55" t="str">
        <f aca="false">IF(AND($AX630&lt;&gt;"",$AY630&lt;&gt;""),$AY630-$AX630,"")</f>
        <v/>
      </c>
      <c r="BJ630" s="53" t="str">
        <f aca="false">IF($J630&lt;&gt;"",$J630,"")</f>
        <v/>
      </c>
      <c r="BL630" s="52"/>
      <c r="BM630" s="52" t="str">
        <f aca="false">IF(OR(COUNT(B630:D1629)=0,AND('Choix pédagogiques'!$C$3&lt;&gt;1,'Choix pédagogiques'!$C$3&lt;&gt;2)),"",IF(AND(OR('Choix pédagogiques'!$C$3=1,'Choix pédagogiques'!$C$3=2),$B630&lt;&gt;"",$C630&lt;&gt;"",$D630&lt;&gt;""),1,0))</f>
        <v/>
      </c>
      <c r="BN630" s="52" t="str">
        <f aca="false">IF(OR(COUNT(G630:I1629)=0,AND('Choix pédagogiques'!$C$3&lt;&gt;1,'Choix pédagogiques'!$C$3&lt;&gt;2)),"",IF(AND(OR('Choix pédagogiques'!$C$3=1,'Choix pédagogiques'!$C$3=2),AND($G630&lt;&gt;"",$H630&lt;&gt;"",$I630&lt;&gt;"")),1,0))</f>
        <v/>
      </c>
      <c r="BO630" s="52" t="str">
        <f aca="false">IF(OR(COUNT(B630:D1629)=0,COUNT(G630:I1629)=0,'Choix pédagogiques'!C$3&lt;&gt;3),"",IF(AND('Choix pédagogiques'!$C$3=3,$B630&lt;&gt;"",$C630&lt;&gt;"",$D630&lt;&gt;"",$G630&lt;&gt;"",$H630&lt;&gt;"",$I630&lt;&gt;""),1,0))</f>
        <v/>
      </c>
      <c r="BR630" s="52" t="n">
        <v>427</v>
      </c>
      <c r="BS630" s="52" t="n">
        <v>1760</v>
      </c>
    </row>
    <row r="631" s="54" customFormat="true" ht="18" hidden="false" customHeight="true" outlineLevel="0" collapsed="false">
      <c r="A631" s="57" t="s">
        <v>1193</v>
      </c>
      <c r="B631" s="51"/>
      <c r="C631" s="51"/>
      <c r="D631" s="51"/>
      <c r="E631" s="51"/>
      <c r="F631" s="57" t="s">
        <v>1194</v>
      </c>
      <c r="G631" s="51"/>
      <c r="H631" s="51"/>
      <c r="I631" s="51"/>
      <c r="J631" s="51"/>
      <c r="K631" s="52" t="str">
        <f aca="false">IF($A631&lt;&gt;"",$A631,"")</f>
        <v>Apprenant 619</v>
      </c>
      <c r="L631" s="53" t="str">
        <f aca="false">IF(AND($B631&lt;&gt;"",$C631&lt;&gt;""),$C631-$B631,"")</f>
        <v/>
      </c>
      <c r="M631" s="53" t="str">
        <f aca="false">IF(AND($B631&lt;&gt;"",$D631&lt;&gt;""),$D631-$B631,"")</f>
        <v/>
      </c>
      <c r="N631" s="53" t="str">
        <f aca="false">IF(AND($C631&lt;&gt;"",$D631&lt;&gt;""),$D631-$C631,"")</f>
        <v/>
      </c>
      <c r="O631" s="53" t="str">
        <f aca="false">IF($E631&lt;&gt;"",$E631,"")</f>
        <v/>
      </c>
      <c r="P631" s="52" t="str">
        <f aca="false">IF($F631&lt;&gt;"",$F631,"")</f>
        <v>Apprenant 619 ou 619'</v>
      </c>
      <c r="Q631" s="53" t="str">
        <f aca="false">IF(AND($G631&lt;&gt;"",$H631&lt;&gt;""),$H631-$G631,"")</f>
        <v/>
      </c>
      <c r="R631" s="53" t="str">
        <f aca="false">IF(AND($G631&lt;&gt;"",$I631&lt;&gt;""),$I631-$G631,"")</f>
        <v/>
      </c>
      <c r="S631" s="53" t="str">
        <f aca="false">IF(AND($H631&lt;&gt;"",$I631&lt;&gt;""),$I631-$H631,"")</f>
        <v/>
      </c>
      <c r="T631" s="53" t="str">
        <f aca="false">IF($J631&lt;&gt;"",$J631,"")</f>
        <v/>
      </c>
      <c r="V631" s="52" t="str">
        <f aca="false">IF($A631&lt;&gt;"",$A631,"")</f>
        <v>Apprenant 619</v>
      </c>
      <c r="W631" s="53" t="str">
        <f aca="false">IF(AND(OR('Choix pédagogiques'!$C$3=1,'Choix pédagogiques'!$C$3=2),$BM631=1),B631,IF(AND('Choix pédagogiques'!$C$3=3,$BO631=1),B631,""))</f>
        <v/>
      </c>
      <c r="X631" s="53" t="str">
        <f aca="false">IF(AND(OR('Choix pédagogiques'!$C$3=1,'Choix pédagogiques'!$C$3=2),$BM631=1),C631,IF(AND('Choix pédagogiques'!$C$3=3,$BO631=1),C631,""))</f>
        <v/>
      </c>
      <c r="Y631" s="53" t="str">
        <f aca="false">IF(AND(OR('Choix pédagogiques'!$C$3=1,'Choix pédagogiques'!$C$3=2),$BM631=1),D631,IF(AND('Choix pédagogiques'!$C$3=3,$BO631=1),D631,""))</f>
        <v/>
      </c>
      <c r="Z631" s="53" t="str">
        <f aca="false">IF($E631&lt;&gt;"",$E631,"")</f>
        <v/>
      </c>
      <c r="AA631" s="52" t="str">
        <f aca="false">IF($F631&lt;&gt;"",$F631,"")</f>
        <v>Apprenant 619 ou 619'</v>
      </c>
      <c r="AB631" s="53" t="str">
        <f aca="false">IF(AND(OR('Choix pédagogiques'!$C$3=1,'Choix pédagogiques'!$C$3=2),$BN631=1),G631,IF(AND('Choix pédagogiques'!$C$3=3,$BO631=1),G631,""))</f>
        <v/>
      </c>
      <c r="AC631" s="53" t="str">
        <f aca="false">IF(AND(OR('Choix pédagogiques'!$C$3=1,'Choix pédagogiques'!$C$3=2),$BN631=1),H631,IF(AND('Choix pédagogiques'!$C$3=3,$BO631=1),H631,""))</f>
        <v/>
      </c>
      <c r="AD631" s="53" t="str">
        <f aca="false">IF(AND(OR('Choix pédagogiques'!$C$3=1,'Choix pédagogiques'!$C$3=2),$BN631=1),I631,IF(AND('Choix pédagogiques'!$C$3=3,$BO631=1),I631,""))</f>
        <v/>
      </c>
      <c r="AE631" s="53" t="str">
        <f aca="false">IF($J631&lt;&gt;"",$J631,"")</f>
        <v/>
      </c>
      <c r="AF631" s="52" t="str">
        <f aca="false">IF($A631&lt;&gt;"",$A631,"")</f>
        <v>Apprenant 619</v>
      </c>
      <c r="AG631" s="53" t="str">
        <f aca="false">IF(AND($W631&lt;&gt;"",$X631&lt;&gt;""),$X631-$W631,"")</f>
        <v/>
      </c>
      <c r="AH631" s="53" t="str">
        <f aca="false">IF(AND($W631&lt;&gt;"",$Y631&lt;&gt;""),$Y631-$W631,"")</f>
        <v/>
      </c>
      <c r="AI631" s="53" t="str">
        <f aca="false">IF(AND($X631&lt;&gt;"",$Y631&lt;&gt;""),$Y631-$X631,"")</f>
        <v/>
      </c>
      <c r="AJ631" s="53" t="str">
        <f aca="false">IF($E631&lt;&gt;"",$E631,"")</f>
        <v/>
      </c>
      <c r="AK631" s="52" t="str">
        <f aca="false">IF($F631&lt;&gt;"",$F631,"")</f>
        <v>Apprenant 619 ou 619'</v>
      </c>
      <c r="AL631" s="53" t="str">
        <f aca="false">IF(AND($AB631&lt;&gt;"",$AC631&lt;&gt;""),$AC631-$AB631,"")</f>
        <v/>
      </c>
      <c r="AM631" s="53" t="str">
        <f aca="false">IF(AND($AB631&lt;&gt;"",$AD631&lt;&gt;""),$AD631-$AB631,"")</f>
        <v/>
      </c>
      <c r="AN631" s="53" t="str">
        <f aca="false">IF(AND($AC631&lt;&gt;"",$AD631&lt;&gt;""),$AD631-$AC631,"")</f>
        <v/>
      </c>
      <c r="AO631" s="53" t="str">
        <f aca="false">IF($J631&lt;&gt;"",$J631,"")</f>
        <v/>
      </c>
      <c r="AQ631" s="52" t="str">
        <f aca="false">IF($A631&lt;&gt;"",$A631,"")</f>
        <v>Apprenant 619</v>
      </c>
      <c r="AR631" s="55" t="str">
        <f aca="false">IF(AND('Choix pédagogiques'!$C$4&lt;&gt;"?",'Choix pédagogiques'!$C$5&lt;&gt;"?",W631&lt;&gt;""),(W631-'Choix pédagogiques'!$C$4)/('Choix pédagogiques'!$C$5-'Choix pédagogiques'!$C$4),"")</f>
        <v/>
      </c>
      <c r="AS631" s="55" t="str">
        <f aca="false">IF(AND('Choix pédagogiques'!$C$4&lt;&gt;"?",'Choix pédagogiques'!$C$5&lt;&gt;"?",X631&lt;&gt;""),(X631-'Choix pédagogiques'!$C$4)/('Choix pédagogiques'!$C$5-'Choix pédagogiques'!$C$4),"")</f>
        <v/>
      </c>
      <c r="AT631" s="55" t="str">
        <f aca="false">IF(AND('Choix pédagogiques'!$C$4&lt;&gt;"?",'Choix pédagogiques'!$C$5&lt;&gt;"?",Y631&lt;&gt;""),(Y631-'Choix pédagogiques'!$C$4)/('Choix pédagogiques'!$C$5-'Choix pédagogiques'!$C$4),"")</f>
        <v/>
      </c>
      <c r="AU631" s="53" t="str">
        <f aca="false">IF($E631&lt;&gt;"",$E631,"")</f>
        <v/>
      </c>
      <c r="AV631" s="52" t="str">
        <f aca="false">IF($F631&lt;&gt;"",$F631,"")</f>
        <v>Apprenant 619 ou 619'</v>
      </c>
      <c r="AW631" s="55" t="str">
        <f aca="false">IF(AND('Choix pédagogiques'!$C$4&lt;&gt;"?",'Choix pédagogiques'!$C$5&lt;&gt;"?",AB631&lt;&gt;""),(AB631-'Choix pédagogiques'!$C$4)/('Choix pédagogiques'!$C$5-'Choix pédagogiques'!$C$4),"")</f>
        <v/>
      </c>
      <c r="AX631" s="55" t="str">
        <f aca="false">IF(AND('Choix pédagogiques'!$C$4&lt;&gt;"?",'Choix pédagogiques'!$C$5&lt;&gt;"?",AC631&lt;&gt;""),(AC631-'Choix pédagogiques'!$C$4)/('Choix pédagogiques'!$C$5-'Choix pédagogiques'!$C$4),"")</f>
        <v/>
      </c>
      <c r="AY631" s="55" t="str">
        <f aca="false">IF(AND('Choix pédagogiques'!$C$4&lt;&gt;"?",'Choix pédagogiques'!$C$5&lt;&gt;"?",AD631&lt;&gt;""),(AD631-'Choix pédagogiques'!$C$4)/('Choix pédagogiques'!$C$5-'Choix pédagogiques'!$C$4),"")</f>
        <v/>
      </c>
      <c r="AZ631" s="53" t="str">
        <f aca="false">IF($J631&lt;&gt;"",$J631,"")</f>
        <v/>
      </c>
      <c r="BA631" s="52" t="str">
        <f aca="false">IF($A631&lt;&gt;"",$A631,"")</f>
        <v>Apprenant 619</v>
      </c>
      <c r="BB631" s="55" t="str">
        <f aca="false">IF(AND($AR631&lt;&gt;"",$AS631&lt;&gt;""),$AS631-$AR631,"")</f>
        <v/>
      </c>
      <c r="BC631" s="55" t="str">
        <f aca="false">IF(AND($AR631&lt;&gt;"",$AT631&lt;&gt;""),$AT631-$AR631,"")</f>
        <v/>
      </c>
      <c r="BD631" s="55" t="str">
        <f aca="false">IF(AND($AS631&lt;&gt;"",$AT631&lt;&gt;""),$AT631-$AS631,"")</f>
        <v/>
      </c>
      <c r="BE631" s="53" t="str">
        <f aca="false">IF($E631&lt;&gt;"",$E631,"")</f>
        <v/>
      </c>
      <c r="BF631" s="52" t="str">
        <f aca="false">IF($F631&lt;&gt;"",$F631,"")</f>
        <v>Apprenant 619 ou 619'</v>
      </c>
      <c r="BG631" s="55" t="str">
        <f aca="false">IF(AND($AW631&lt;&gt;"",$AX631&lt;&gt;""),$AX631-$AW631,"")</f>
        <v/>
      </c>
      <c r="BH631" s="55" t="str">
        <f aca="false">IF(AND($AW631&lt;&gt;"",$AY631&lt;&gt;""),$AY631-$AW631,"")</f>
        <v/>
      </c>
      <c r="BI631" s="55" t="str">
        <f aca="false">IF(AND($AX631&lt;&gt;"",$AY631&lt;&gt;""),$AY631-$AX631,"")</f>
        <v/>
      </c>
      <c r="BJ631" s="53" t="str">
        <f aca="false">IF($J631&lt;&gt;"",$J631,"")</f>
        <v/>
      </c>
      <c r="BL631" s="52"/>
      <c r="BM631" s="52" t="str">
        <f aca="false">IF(OR(COUNT(B631:D1630)=0,AND('Choix pédagogiques'!$C$3&lt;&gt;1,'Choix pédagogiques'!$C$3&lt;&gt;2)),"",IF(AND(OR('Choix pédagogiques'!$C$3=1,'Choix pédagogiques'!$C$3=2),$B631&lt;&gt;"",$C631&lt;&gt;"",$D631&lt;&gt;""),1,0))</f>
        <v/>
      </c>
      <c r="BN631" s="52" t="str">
        <f aca="false">IF(OR(COUNT(G631:I1630)=0,AND('Choix pédagogiques'!$C$3&lt;&gt;1,'Choix pédagogiques'!$C$3&lt;&gt;2)),"",IF(AND(OR('Choix pédagogiques'!$C$3=1,'Choix pédagogiques'!$C$3=2),AND($G631&lt;&gt;"",$H631&lt;&gt;"",$I631&lt;&gt;"")),1,0))</f>
        <v/>
      </c>
      <c r="BO631" s="52" t="str">
        <f aca="false">IF(OR(COUNT(B631:D1630)=0,COUNT(G631:I1630)=0,'Choix pédagogiques'!C$3&lt;&gt;3),"",IF(AND('Choix pédagogiques'!$C$3=3,$B631&lt;&gt;"",$C631&lt;&gt;"",$D631&lt;&gt;"",$G631&lt;&gt;"",$H631&lt;&gt;"",$I631&lt;&gt;""),1,0))</f>
        <v/>
      </c>
      <c r="BR631" s="52" t="n">
        <v>677</v>
      </c>
      <c r="BS631" s="52" t="n">
        <v>1368</v>
      </c>
    </row>
    <row r="632" s="54" customFormat="true" ht="18" hidden="false" customHeight="true" outlineLevel="0" collapsed="false">
      <c r="A632" s="57" t="s">
        <v>1195</v>
      </c>
      <c r="B632" s="51"/>
      <c r="C632" s="51"/>
      <c r="D632" s="51"/>
      <c r="E632" s="51"/>
      <c r="F632" s="57" t="s">
        <v>1196</v>
      </c>
      <c r="G632" s="51"/>
      <c r="H632" s="51"/>
      <c r="I632" s="51"/>
      <c r="J632" s="51"/>
      <c r="K632" s="52" t="str">
        <f aca="false">IF($A632&lt;&gt;"",$A632,"")</f>
        <v>Apprenant 620</v>
      </c>
      <c r="L632" s="53" t="str">
        <f aca="false">IF(AND($B632&lt;&gt;"",$C632&lt;&gt;""),$C632-$B632,"")</f>
        <v/>
      </c>
      <c r="M632" s="53" t="str">
        <f aca="false">IF(AND($B632&lt;&gt;"",$D632&lt;&gt;""),$D632-$B632,"")</f>
        <v/>
      </c>
      <c r="N632" s="53" t="str">
        <f aca="false">IF(AND($C632&lt;&gt;"",$D632&lt;&gt;""),$D632-$C632,"")</f>
        <v/>
      </c>
      <c r="O632" s="53" t="str">
        <f aca="false">IF($E632&lt;&gt;"",$E632,"")</f>
        <v/>
      </c>
      <c r="P632" s="52" t="str">
        <f aca="false">IF($F632&lt;&gt;"",$F632,"")</f>
        <v>Apprenant 620 ou 620'</v>
      </c>
      <c r="Q632" s="53" t="str">
        <f aca="false">IF(AND($G632&lt;&gt;"",$H632&lt;&gt;""),$H632-$G632,"")</f>
        <v/>
      </c>
      <c r="R632" s="53" t="str">
        <f aca="false">IF(AND($G632&lt;&gt;"",$I632&lt;&gt;""),$I632-$G632,"")</f>
        <v/>
      </c>
      <c r="S632" s="53" t="str">
        <f aca="false">IF(AND($H632&lt;&gt;"",$I632&lt;&gt;""),$I632-$H632,"")</f>
        <v/>
      </c>
      <c r="T632" s="53" t="str">
        <f aca="false">IF($J632&lt;&gt;"",$J632,"")</f>
        <v/>
      </c>
      <c r="V632" s="52" t="str">
        <f aca="false">IF($A632&lt;&gt;"",$A632,"")</f>
        <v>Apprenant 620</v>
      </c>
      <c r="W632" s="53" t="str">
        <f aca="false">IF(AND(OR('Choix pédagogiques'!$C$3=1,'Choix pédagogiques'!$C$3=2),$BM632=1),B632,IF(AND('Choix pédagogiques'!$C$3=3,$BO632=1),B632,""))</f>
        <v/>
      </c>
      <c r="X632" s="53" t="str">
        <f aca="false">IF(AND(OR('Choix pédagogiques'!$C$3=1,'Choix pédagogiques'!$C$3=2),$BM632=1),C632,IF(AND('Choix pédagogiques'!$C$3=3,$BO632=1),C632,""))</f>
        <v/>
      </c>
      <c r="Y632" s="53" t="str">
        <f aca="false">IF(AND(OR('Choix pédagogiques'!$C$3=1,'Choix pédagogiques'!$C$3=2),$BM632=1),D632,IF(AND('Choix pédagogiques'!$C$3=3,$BO632=1),D632,""))</f>
        <v/>
      </c>
      <c r="Z632" s="53" t="str">
        <f aca="false">IF($E632&lt;&gt;"",$E632,"")</f>
        <v/>
      </c>
      <c r="AA632" s="52" t="str">
        <f aca="false">IF($F632&lt;&gt;"",$F632,"")</f>
        <v>Apprenant 620 ou 620'</v>
      </c>
      <c r="AB632" s="53" t="str">
        <f aca="false">IF(AND(OR('Choix pédagogiques'!$C$3=1,'Choix pédagogiques'!$C$3=2),$BN632=1),G632,IF(AND('Choix pédagogiques'!$C$3=3,$BO632=1),G632,""))</f>
        <v/>
      </c>
      <c r="AC632" s="53" t="str">
        <f aca="false">IF(AND(OR('Choix pédagogiques'!$C$3=1,'Choix pédagogiques'!$C$3=2),$BN632=1),H632,IF(AND('Choix pédagogiques'!$C$3=3,$BO632=1),H632,""))</f>
        <v/>
      </c>
      <c r="AD632" s="53" t="str">
        <f aca="false">IF(AND(OR('Choix pédagogiques'!$C$3=1,'Choix pédagogiques'!$C$3=2),$BN632=1),I632,IF(AND('Choix pédagogiques'!$C$3=3,$BO632=1),I632,""))</f>
        <v/>
      </c>
      <c r="AE632" s="53" t="str">
        <f aca="false">IF($J632&lt;&gt;"",$J632,"")</f>
        <v/>
      </c>
      <c r="AF632" s="52" t="str">
        <f aca="false">IF($A632&lt;&gt;"",$A632,"")</f>
        <v>Apprenant 620</v>
      </c>
      <c r="AG632" s="53" t="str">
        <f aca="false">IF(AND($W632&lt;&gt;"",$X632&lt;&gt;""),$X632-$W632,"")</f>
        <v/>
      </c>
      <c r="AH632" s="53" t="str">
        <f aca="false">IF(AND($W632&lt;&gt;"",$Y632&lt;&gt;""),$Y632-$W632,"")</f>
        <v/>
      </c>
      <c r="AI632" s="53" t="str">
        <f aca="false">IF(AND($X632&lt;&gt;"",$Y632&lt;&gt;""),$Y632-$X632,"")</f>
        <v/>
      </c>
      <c r="AJ632" s="53" t="str">
        <f aca="false">IF($E632&lt;&gt;"",$E632,"")</f>
        <v/>
      </c>
      <c r="AK632" s="52" t="str">
        <f aca="false">IF($F632&lt;&gt;"",$F632,"")</f>
        <v>Apprenant 620 ou 620'</v>
      </c>
      <c r="AL632" s="53" t="str">
        <f aca="false">IF(AND($AB632&lt;&gt;"",$AC632&lt;&gt;""),$AC632-$AB632,"")</f>
        <v/>
      </c>
      <c r="AM632" s="53" t="str">
        <f aca="false">IF(AND($AB632&lt;&gt;"",$AD632&lt;&gt;""),$AD632-$AB632,"")</f>
        <v/>
      </c>
      <c r="AN632" s="53" t="str">
        <f aca="false">IF(AND($AC632&lt;&gt;"",$AD632&lt;&gt;""),$AD632-$AC632,"")</f>
        <v/>
      </c>
      <c r="AO632" s="53" t="str">
        <f aca="false">IF($J632&lt;&gt;"",$J632,"")</f>
        <v/>
      </c>
      <c r="AQ632" s="52" t="str">
        <f aca="false">IF($A632&lt;&gt;"",$A632,"")</f>
        <v>Apprenant 620</v>
      </c>
      <c r="AR632" s="55" t="str">
        <f aca="false">IF(AND('Choix pédagogiques'!$C$4&lt;&gt;"?",'Choix pédagogiques'!$C$5&lt;&gt;"?",W632&lt;&gt;""),(W632-'Choix pédagogiques'!$C$4)/('Choix pédagogiques'!$C$5-'Choix pédagogiques'!$C$4),"")</f>
        <v/>
      </c>
      <c r="AS632" s="55" t="str">
        <f aca="false">IF(AND('Choix pédagogiques'!$C$4&lt;&gt;"?",'Choix pédagogiques'!$C$5&lt;&gt;"?",X632&lt;&gt;""),(X632-'Choix pédagogiques'!$C$4)/('Choix pédagogiques'!$C$5-'Choix pédagogiques'!$C$4),"")</f>
        <v/>
      </c>
      <c r="AT632" s="55" t="str">
        <f aca="false">IF(AND('Choix pédagogiques'!$C$4&lt;&gt;"?",'Choix pédagogiques'!$C$5&lt;&gt;"?",Y632&lt;&gt;""),(Y632-'Choix pédagogiques'!$C$4)/('Choix pédagogiques'!$C$5-'Choix pédagogiques'!$C$4),"")</f>
        <v/>
      </c>
      <c r="AU632" s="53" t="str">
        <f aca="false">IF($E632&lt;&gt;"",$E632,"")</f>
        <v/>
      </c>
      <c r="AV632" s="52" t="str">
        <f aca="false">IF($F632&lt;&gt;"",$F632,"")</f>
        <v>Apprenant 620 ou 620'</v>
      </c>
      <c r="AW632" s="55" t="str">
        <f aca="false">IF(AND('Choix pédagogiques'!$C$4&lt;&gt;"?",'Choix pédagogiques'!$C$5&lt;&gt;"?",AB632&lt;&gt;""),(AB632-'Choix pédagogiques'!$C$4)/('Choix pédagogiques'!$C$5-'Choix pédagogiques'!$C$4),"")</f>
        <v/>
      </c>
      <c r="AX632" s="55" t="str">
        <f aca="false">IF(AND('Choix pédagogiques'!$C$4&lt;&gt;"?",'Choix pédagogiques'!$C$5&lt;&gt;"?",AC632&lt;&gt;""),(AC632-'Choix pédagogiques'!$C$4)/('Choix pédagogiques'!$C$5-'Choix pédagogiques'!$C$4),"")</f>
        <v/>
      </c>
      <c r="AY632" s="55" t="str">
        <f aca="false">IF(AND('Choix pédagogiques'!$C$4&lt;&gt;"?",'Choix pédagogiques'!$C$5&lt;&gt;"?",AD632&lt;&gt;""),(AD632-'Choix pédagogiques'!$C$4)/('Choix pédagogiques'!$C$5-'Choix pédagogiques'!$C$4),"")</f>
        <v/>
      </c>
      <c r="AZ632" s="53" t="str">
        <f aca="false">IF($J632&lt;&gt;"",$J632,"")</f>
        <v/>
      </c>
      <c r="BA632" s="52" t="str">
        <f aca="false">IF($A632&lt;&gt;"",$A632,"")</f>
        <v>Apprenant 620</v>
      </c>
      <c r="BB632" s="55" t="str">
        <f aca="false">IF(AND($AR632&lt;&gt;"",$AS632&lt;&gt;""),$AS632-$AR632,"")</f>
        <v/>
      </c>
      <c r="BC632" s="55" t="str">
        <f aca="false">IF(AND($AR632&lt;&gt;"",$AT632&lt;&gt;""),$AT632-$AR632,"")</f>
        <v/>
      </c>
      <c r="BD632" s="55" t="str">
        <f aca="false">IF(AND($AS632&lt;&gt;"",$AT632&lt;&gt;""),$AT632-$AS632,"")</f>
        <v/>
      </c>
      <c r="BE632" s="53" t="str">
        <f aca="false">IF($E632&lt;&gt;"",$E632,"")</f>
        <v/>
      </c>
      <c r="BF632" s="52" t="str">
        <f aca="false">IF($F632&lt;&gt;"",$F632,"")</f>
        <v>Apprenant 620 ou 620'</v>
      </c>
      <c r="BG632" s="55" t="str">
        <f aca="false">IF(AND($AW632&lt;&gt;"",$AX632&lt;&gt;""),$AX632-$AW632,"")</f>
        <v/>
      </c>
      <c r="BH632" s="55" t="str">
        <f aca="false">IF(AND($AW632&lt;&gt;"",$AY632&lt;&gt;""),$AY632-$AW632,"")</f>
        <v/>
      </c>
      <c r="BI632" s="55" t="str">
        <f aca="false">IF(AND($AX632&lt;&gt;"",$AY632&lt;&gt;""),$AY632-$AX632,"")</f>
        <v/>
      </c>
      <c r="BJ632" s="53" t="str">
        <f aca="false">IF($J632&lt;&gt;"",$J632,"")</f>
        <v/>
      </c>
      <c r="BL632" s="52"/>
      <c r="BM632" s="52" t="str">
        <f aca="false">IF(OR(COUNT(B632:D1631)=0,AND('Choix pédagogiques'!$C$3&lt;&gt;1,'Choix pédagogiques'!$C$3&lt;&gt;2)),"",IF(AND(OR('Choix pédagogiques'!$C$3=1,'Choix pédagogiques'!$C$3=2),$B632&lt;&gt;"",$C632&lt;&gt;"",$D632&lt;&gt;""),1,0))</f>
        <v/>
      </c>
      <c r="BN632" s="52" t="str">
        <f aca="false">IF(OR(COUNT(G632:I1631)=0,AND('Choix pédagogiques'!$C$3&lt;&gt;1,'Choix pédagogiques'!$C$3&lt;&gt;2)),"",IF(AND(OR('Choix pédagogiques'!$C$3=1,'Choix pédagogiques'!$C$3=2),AND($G632&lt;&gt;"",$H632&lt;&gt;"",$I632&lt;&gt;"")),1,0))</f>
        <v/>
      </c>
      <c r="BO632" s="52" t="str">
        <f aca="false">IF(OR(COUNT(B632:D1631)=0,COUNT(G632:I1631)=0,'Choix pédagogiques'!C$3&lt;&gt;3),"",IF(AND('Choix pédagogiques'!$C$3=3,$B632&lt;&gt;"",$C632&lt;&gt;"",$D632&lt;&gt;"",$G632&lt;&gt;"",$H632&lt;&gt;"",$I632&lt;&gt;""),1,0))</f>
        <v/>
      </c>
      <c r="BR632" s="52" t="n">
        <v>785</v>
      </c>
      <c r="BS632" s="52" t="n">
        <v>1668</v>
      </c>
    </row>
    <row r="633" s="54" customFormat="true" ht="18" hidden="false" customHeight="true" outlineLevel="0" collapsed="false">
      <c r="A633" s="57" t="s">
        <v>1197</v>
      </c>
      <c r="B633" s="51"/>
      <c r="C633" s="51"/>
      <c r="D633" s="51"/>
      <c r="E633" s="51"/>
      <c r="F633" s="57" t="s">
        <v>1198</v>
      </c>
      <c r="G633" s="51"/>
      <c r="H633" s="51"/>
      <c r="I633" s="51"/>
      <c r="J633" s="51"/>
      <c r="K633" s="52" t="str">
        <f aca="false">IF($A633&lt;&gt;"",$A633,"")</f>
        <v>Apprenant 621</v>
      </c>
      <c r="L633" s="53" t="str">
        <f aca="false">IF(AND($B633&lt;&gt;"",$C633&lt;&gt;""),$C633-$B633,"")</f>
        <v/>
      </c>
      <c r="M633" s="53" t="str">
        <f aca="false">IF(AND($B633&lt;&gt;"",$D633&lt;&gt;""),$D633-$B633,"")</f>
        <v/>
      </c>
      <c r="N633" s="53" t="str">
        <f aca="false">IF(AND($C633&lt;&gt;"",$D633&lt;&gt;""),$D633-$C633,"")</f>
        <v/>
      </c>
      <c r="O633" s="53" t="str">
        <f aca="false">IF($E633&lt;&gt;"",$E633,"")</f>
        <v/>
      </c>
      <c r="P633" s="52" t="str">
        <f aca="false">IF($F633&lt;&gt;"",$F633,"")</f>
        <v>Apprenant 621 ou 621'</v>
      </c>
      <c r="Q633" s="53" t="str">
        <f aca="false">IF(AND($G633&lt;&gt;"",$H633&lt;&gt;""),$H633-$G633,"")</f>
        <v/>
      </c>
      <c r="R633" s="53" t="str">
        <f aca="false">IF(AND($G633&lt;&gt;"",$I633&lt;&gt;""),$I633-$G633,"")</f>
        <v/>
      </c>
      <c r="S633" s="53" t="str">
        <f aca="false">IF(AND($H633&lt;&gt;"",$I633&lt;&gt;""),$I633-$H633,"")</f>
        <v/>
      </c>
      <c r="T633" s="53" t="str">
        <f aca="false">IF($J633&lt;&gt;"",$J633,"")</f>
        <v/>
      </c>
      <c r="V633" s="52" t="str">
        <f aca="false">IF($A633&lt;&gt;"",$A633,"")</f>
        <v>Apprenant 621</v>
      </c>
      <c r="W633" s="53" t="str">
        <f aca="false">IF(AND(OR('Choix pédagogiques'!$C$3=1,'Choix pédagogiques'!$C$3=2),$BM633=1),B633,IF(AND('Choix pédagogiques'!$C$3=3,$BO633=1),B633,""))</f>
        <v/>
      </c>
      <c r="X633" s="53" t="str">
        <f aca="false">IF(AND(OR('Choix pédagogiques'!$C$3=1,'Choix pédagogiques'!$C$3=2),$BM633=1),C633,IF(AND('Choix pédagogiques'!$C$3=3,$BO633=1),C633,""))</f>
        <v/>
      </c>
      <c r="Y633" s="53" t="str">
        <f aca="false">IF(AND(OR('Choix pédagogiques'!$C$3=1,'Choix pédagogiques'!$C$3=2),$BM633=1),D633,IF(AND('Choix pédagogiques'!$C$3=3,$BO633=1),D633,""))</f>
        <v/>
      </c>
      <c r="Z633" s="53" t="str">
        <f aca="false">IF($E633&lt;&gt;"",$E633,"")</f>
        <v/>
      </c>
      <c r="AA633" s="52" t="str">
        <f aca="false">IF($F633&lt;&gt;"",$F633,"")</f>
        <v>Apprenant 621 ou 621'</v>
      </c>
      <c r="AB633" s="53" t="str">
        <f aca="false">IF(AND(OR('Choix pédagogiques'!$C$3=1,'Choix pédagogiques'!$C$3=2),$BN633=1),G633,IF(AND('Choix pédagogiques'!$C$3=3,$BO633=1),G633,""))</f>
        <v/>
      </c>
      <c r="AC633" s="53" t="str">
        <f aca="false">IF(AND(OR('Choix pédagogiques'!$C$3=1,'Choix pédagogiques'!$C$3=2),$BN633=1),H633,IF(AND('Choix pédagogiques'!$C$3=3,$BO633=1),H633,""))</f>
        <v/>
      </c>
      <c r="AD633" s="53" t="str">
        <f aca="false">IF(AND(OR('Choix pédagogiques'!$C$3=1,'Choix pédagogiques'!$C$3=2),$BN633=1),I633,IF(AND('Choix pédagogiques'!$C$3=3,$BO633=1),I633,""))</f>
        <v/>
      </c>
      <c r="AE633" s="53" t="str">
        <f aca="false">IF($J633&lt;&gt;"",$J633,"")</f>
        <v/>
      </c>
      <c r="AF633" s="52" t="str">
        <f aca="false">IF($A633&lt;&gt;"",$A633,"")</f>
        <v>Apprenant 621</v>
      </c>
      <c r="AG633" s="53" t="str">
        <f aca="false">IF(AND($W633&lt;&gt;"",$X633&lt;&gt;""),$X633-$W633,"")</f>
        <v/>
      </c>
      <c r="AH633" s="53" t="str">
        <f aca="false">IF(AND($W633&lt;&gt;"",$Y633&lt;&gt;""),$Y633-$W633,"")</f>
        <v/>
      </c>
      <c r="AI633" s="53" t="str">
        <f aca="false">IF(AND($X633&lt;&gt;"",$Y633&lt;&gt;""),$Y633-$X633,"")</f>
        <v/>
      </c>
      <c r="AJ633" s="53" t="str">
        <f aca="false">IF($E633&lt;&gt;"",$E633,"")</f>
        <v/>
      </c>
      <c r="AK633" s="52" t="str">
        <f aca="false">IF($F633&lt;&gt;"",$F633,"")</f>
        <v>Apprenant 621 ou 621'</v>
      </c>
      <c r="AL633" s="53" t="str">
        <f aca="false">IF(AND($AB633&lt;&gt;"",$AC633&lt;&gt;""),$AC633-$AB633,"")</f>
        <v/>
      </c>
      <c r="AM633" s="53" t="str">
        <f aca="false">IF(AND($AB633&lt;&gt;"",$AD633&lt;&gt;""),$AD633-$AB633,"")</f>
        <v/>
      </c>
      <c r="AN633" s="53" t="str">
        <f aca="false">IF(AND($AC633&lt;&gt;"",$AD633&lt;&gt;""),$AD633-$AC633,"")</f>
        <v/>
      </c>
      <c r="AO633" s="53" t="str">
        <f aca="false">IF($J633&lt;&gt;"",$J633,"")</f>
        <v/>
      </c>
      <c r="AQ633" s="52" t="str">
        <f aca="false">IF($A633&lt;&gt;"",$A633,"")</f>
        <v>Apprenant 621</v>
      </c>
      <c r="AR633" s="55" t="str">
        <f aca="false">IF(AND('Choix pédagogiques'!$C$4&lt;&gt;"?",'Choix pédagogiques'!$C$5&lt;&gt;"?",W633&lt;&gt;""),(W633-'Choix pédagogiques'!$C$4)/('Choix pédagogiques'!$C$5-'Choix pédagogiques'!$C$4),"")</f>
        <v/>
      </c>
      <c r="AS633" s="55" t="str">
        <f aca="false">IF(AND('Choix pédagogiques'!$C$4&lt;&gt;"?",'Choix pédagogiques'!$C$5&lt;&gt;"?",X633&lt;&gt;""),(X633-'Choix pédagogiques'!$C$4)/('Choix pédagogiques'!$C$5-'Choix pédagogiques'!$C$4),"")</f>
        <v/>
      </c>
      <c r="AT633" s="55" t="str">
        <f aca="false">IF(AND('Choix pédagogiques'!$C$4&lt;&gt;"?",'Choix pédagogiques'!$C$5&lt;&gt;"?",Y633&lt;&gt;""),(Y633-'Choix pédagogiques'!$C$4)/('Choix pédagogiques'!$C$5-'Choix pédagogiques'!$C$4),"")</f>
        <v/>
      </c>
      <c r="AU633" s="53" t="str">
        <f aca="false">IF($E633&lt;&gt;"",$E633,"")</f>
        <v/>
      </c>
      <c r="AV633" s="52" t="str">
        <f aca="false">IF($F633&lt;&gt;"",$F633,"")</f>
        <v>Apprenant 621 ou 621'</v>
      </c>
      <c r="AW633" s="55" t="str">
        <f aca="false">IF(AND('Choix pédagogiques'!$C$4&lt;&gt;"?",'Choix pédagogiques'!$C$5&lt;&gt;"?",AB633&lt;&gt;""),(AB633-'Choix pédagogiques'!$C$4)/('Choix pédagogiques'!$C$5-'Choix pédagogiques'!$C$4),"")</f>
        <v/>
      </c>
      <c r="AX633" s="55" t="str">
        <f aca="false">IF(AND('Choix pédagogiques'!$C$4&lt;&gt;"?",'Choix pédagogiques'!$C$5&lt;&gt;"?",AC633&lt;&gt;""),(AC633-'Choix pédagogiques'!$C$4)/('Choix pédagogiques'!$C$5-'Choix pédagogiques'!$C$4),"")</f>
        <v/>
      </c>
      <c r="AY633" s="55" t="str">
        <f aca="false">IF(AND('Choix pédagogiques'!$C$4&lt;&gt;"?",'Choix pédagogiques'!$C$5&lt;&gt;"?",AD633&lt;&gt;""),(AD633-'Choix pédagogiques'!$C$4)/('Choix pédagogiques'!$C$5-'Choix pédagogiques'!$C$4),"")</f>
        <v/>
      </c>
      <c r="AZ633" s="53" t="str">
        <f aca="false">IF($J633&lt;&gt;"",$J633,"")</f>
        <v/>
      </c>
      <c r="BA633" s="52" t="str">
        <f aca="false">IF($A633&lt;&gt;"",$A633,"")</f>
        <v>Apprenant 621</v>
      </c>
      <c r="BB633" s="55" t="str">
        <f aca="false">IF(AND($AR633&lt;&gt;"",$AS633&lt;&gt;""),$AS633-$AR633,"")</f>
        <v/>
      </c>
      <c r="BC633" s="55" t="str">
        <f aca="false">IF(AND($AR633&lt;&gt;"",$AT633&lt;&gt;""),$AT633-$AR633,"")</f>
        <v/>
      </c>
      <c r="BD633" s="55" t="str">
        <f aca="false">IF(AND($AS633&lt;&gt;"",$AT633&lt;&gt;""),$AT633-$AS633,"")</f>
        <v/>
      </c>
      <c r="BE633" s="53" t="str">
        <f aca="false">IF($E633&lt;&gt;"",$E633,"")</f>
        <v/>
      </c>
      <c r="BF633" s="52" t="str">
        <f aca="false">IF($F633&lt;&gt;"",$F633,"")</f>
        <v>Apprenant 621 ou 621'</v>
      </c>
      <c r="BG633" s="55" t="str">
        <f aca="false">IF(AND($AW633&lt;&gt;"",$AX633&lt;&gt;""),$AX633-$AW633,"")</f>
        <v/>
      </c>
      <c r="BH633" s="55" t="str">
        <f aca="false">IF(AND($AW633&lt;&gt;"",$AY633&lt;&gt;""),$AY633-$AW633,"")</f>
        <v/>
      </c>
      <c r="BI633" s="55" t="str">
        <f aca="false">IF(AND($AX633&lt;&gt;"",$AY633&lt;&gt;""),$AY633-$AX633,"")</f>
        <v/>
      </c>
      <c r="BJ633" s="53" t="str">
        <f aca="false">IF($J633&lt;&gt;"",$J633,"")</f>
        <v/>
      </c>
      <c r="BL633" s="52"/>
      <c r="BM633" s="52" t="str">
        <f aca="false">IF(OR(COUNT(B633:D1632)=0,AND('Choix pédagogiques'!$C$3&lt;&gt;1,'Choix pédagogiques'!$C$3&lt;&gt;2)),"",IF(AND(OR('Choix pédagogiques'!$C$3=1,'Choix pédagogiques'!$C$3=2),$B633&lt;&gt;"",$C633&lt;&gt;"",$D633&lt;&gt;""),1,0))</f>
        <v/>
      </c>
      <c r="BN633" s="52" t="str">
        <f aca="false">IF(OR(COUNT(G633:I1632)=0,AND('Choix pédagogiques'!$C$3&lt;&gt;1,'Choix pédagogiques'!$C$3&lt;&gt;2)),"",IF(AND(OR('Choix pédagogiques'!$C$3=1,'Choix pédagogiques'!$C$3=2),AND($G633&lt;&gt;"",$H633&lt;&gt;"",$I633&lt;&gt;"")),1,0))</f>
        <v/>
      </c>
      <c r="BO633" s="52" t="str">
        <f aca="false">IF(OR(COUNT(B633:D1632)=0,COUNT(G633:I1632)=0,'Choix pédagogiques'!C$3&lt;&gt;3),"",IF(AND('Choix pédagogiques'!$C$3=3,$B633&lt;&gt;"",$C633&lt;&gt;"",$D633&lt;&gt;"",$G633&lt;&gt;"",$H633&lt;&gt;"",$I633&lt;&gt;""),1,0))</f>
        <v/>
      </c>
      <c r="BR633" s="52" t="n">
        <v>318</v>
      </c>
      <c r="BS633" s="52" t="n">
        <v>1799</v>
      </c>
    </row>
    <row r="634" s="54" customFormat="true" ht="18" hidden="false" customHeight="true" outlineLevel="0" collapsed="false">
      <c r="A634" s="57" t="s">
        <v>1199</v>
      </c>
      <c r="B634" s="51"/>
      <c r="C634" s="51"/>
      <c r="D634" s="51"/>
      <c r="E634" s="51"/>
      <c r="F634" s="57" t="s">
        <v>1200</v>
      </c>
      <c r="G634" s="51"/>
      <c r="H634" s="51"/>
      <c r="I634" s="51"/>
      <c r="J634" s="51"/>
      <c r="K634" s="52" t="str">
        <f aca="false">IF($A634&lt;&gt;"",$A634,"")</f>
        <v>Apprenant 622</v>
      </c>
      <c r="L634" s="53" t="str">
        <f aca="false">IF(AND($B634&lt;&gt;"",$C634&lt;&gt;""),$C634-$B634,"")</f>
        <v/>
      </c>
      <c r="M634" s="53" t="str">
        <f aca="false">IF(AND($B634&lt;&gt;"",$D634&lt;&gt;""),$D634-$B634,"")</f>
        <v/>
      </c>
      <c r="N634" s="53" t="str">
        <f aca="false">IF(AND($C634&lt;&gt;"",$D634&lt;&gt;""),$D634-$C634,"")</f>
        <v/>
      </c>
      <c r="O634" s="53" t="str">
        <f aca="false">IF($E634&lt;&gt;"",$E634,"")</f>
        <v/>
      </c>
      <c r="P634" s="52" t="str">
        <f aca="false">IF($F634&lt;&gt;"",$F634,"")</f>
        <v>Apprenant 622 ou 622'</v>
      </c>
      <c r="Q634" s="53" t="str">
        <f aca="false">IF(AND($G634&lt;&gt;"",$H634&lt;&gt;""),$H634-$G634,"")</f>
        <v/>
      </c>
      <c r="R634" s="53" t="str">
        <f aca="false">IF(AND($G634&lt;&gt;"",$I634&lt;&gt;""),$I634-$G634,"")</f>
        <v/>
      </c>
      <c r="S634" s="53" t="str">
        <f aca="false">IF(AND($H634&lt;&gt;"",$I634&lt;&gt;""),$I634-$H634,"")</f>
        <v/>
      </c>
      <c r="T634" s="53" t="str">
        <f aca="false">IF($J634&lt;&gt;"",$J634,"")</f>
        <v/>
      </c>
      <c r="V634" s="52" t="str">
        <f aca="false">IF($A634&lt;&gt;"",$A634,"")</f>
        <v>Apprenant 622</v>
      </c>
      <c r="W634" s="53" t="str">
        <f aca="false">IF(AND(OR('Choix pédagogiques'!$C$3=1,'Choix pédagogiques'!$C$3=2),$BM634=1),B634,IF(AND('Choix pédagogiques'!$C$3=3,$BO634=1),B634,""))</f>
        <v/>
      </c>
      <c r="X634" s="53" t="str">
        <f aca="false">IF(AND(OR('Choix pédagogiques'!$C$3=1,'Choix pédagogiques'!$C$3=2),$BM634=1),C634,IF(AND('Choix pédagogiques'!$C$3=3,$BO634=1),C634,""))</f>
        <v/>
      </c>
      <c r="Y634" s="53" t="str">
        <f aca="false">IF(AND(OR('Choix pédagogiques'!$C$3=1,'Choix pédagogiques'!$C$3=2),$BM634=1),D634,IF(AND('Choix pédagogiques'!$C$3=3,$BO634=1),D634,""))</f>
        <v/>
      </c>
      <c r="Z634" s="53" t="str">
        <f aca="false">IF($E634&lt;&gt;"",$E634,"")</f>
        <v/>
      </c>
      <c r="AA634" s="52" t="str">
        <f aca="false">IF($F634&lt;&gt;"",$F634,"")</f>
        <v>Apprenant 622 ou 622'</v>
      </c>
      <c r="AB634" s="53" t="str">
        <f aca="false">IF(AND(OR('Choix pédagogiques'!$C$3=1,'Choix pédagogiques'!$C$3=2),$BN634=1),G634,IF(AND('Choix pédagogiques'!$C$3=3,$BO634=1),G634,""))</f>
        <v/>
      </c>
      <c r="AC634" s="53" t="str">
        <f aca="false">IF(AND(OR('Choix pédagogiques'!$C$3=1,'Choix pédagogiques'!$C$3=2),$BN634=1),H634,IF(AND('Choix pédagogiques'!$C$3=3,$BO634=1),H634,""))</f>
        <v/>
      </c>
      <c r="AD634" s="53" t="str">
        <f aca="false">IF(AND(OR('Choix pédagogiques'!$C$3=1,'Choix pédagogiques'!$C$3=2),$BN634=1),I634,IF(AND('Choix pédagogiques'!$C$3=3,$BO634=1),I634,""))</f>
        <v/>
      </c>
      <c r="AE634" s="53" t="str">
        <f aca="false">IF($J634&lt;&gt;"",$J634,"")</f>
        <v/>
      </c>
      <c r="AF634" s="52" t="str">
        <f aca="false">IF($A634&lt;&gt;"",$A634,"")</f>
        <v>Apprenant 622</v>
      </c>
      <c r="AG634" s="53" t="str">
        <f aca="false">IF(AND($W634&lt;&gt;"",$X634&lt;&gt;""),$X634-$W634,"")</f>
        <v/>
      </c>
      <c r="AH634" s="53" t="str">
        <f aca="false">IF(AND($W634&lt;&gt;"",$Y634&lt;&gt;""),$Y634-$W634,"")</f>
        <v/>
      </c>
      <c r="AI634" s="53" t="str">
        <f aca="false">IF(AND($X634&lt;&gt;"",$Y634&lt;&gt;""),$Y634-$X634,"")</f>
        <v/>
      </c>
      <c r="AJ634" s="53" t="str">
        <f aca="false">IF($E634&lt;&gt;"",$E634,"")</f>
        <v/>
      </c>
      <c r="AK634" s="52" t="str">
        <f aca="false">IF($F634&lt;&gt;"",$F634,"")</f>
        <v>Apprenant 622 ou 622'</v>
      </c>
      <c r="AL634" s="53" t="str">
        <f aca="false">IF(AND($AB634&lt;&gt;"",$AC634&lt;&gt;""),$AC634-$AB634,"")</f>
        <v/>
      </c>
      <c r="AM634" s="53" t="str">
        <f aca="false">IF(AND($AB634&lt;&gt;"",$AD634&lt;&gt;""),$AD634-$AB634,"")</f>
        <v/>
      </c>
      <c r="AN634" s="53" t="str">
        <f aca="false">IF(AND($AC634&lt;&gt;"",$AD634&lt;&gt;""),$AD634-$AC634,"")</f>
        <v/>
      </c>
      <c r="AO634" s="53" t="str">
        <f aca="false">IF($J634&lt;&gt;"",$J634,"")</f>
        <v/>
      </c>
      <c r="AQ634" s="52" t="str">
        <f aca="false">IF($A634&lt;&gt;"",$A634,"")</f>
        <v>Apprenant 622</v>
      </c>
      <c r="AR634" s="55" t="str">
        <f aca="false">IF(AND('Choix pédagogiques'!$C$4&lt;&gt;"?",'Choix pédagogiques'!$C$5&lt;&gt;"?",W634&lt;&gt;""),(W634-'Choix pédagogiques'!$C$4)/('Choix pédagogiques'!$C$5-'Choix pédagogiques'!$C$4),"")</f>
        <v/>
      </c>
      <c r="AS634" s="55" t="str">
        <f aca="false">IF(AND('Choix pédagogiques'!$C$4&lt;&gt;"?",'Choix pédagogiques'!$C$5&lt;&gt;"?",X634&lt;&gt;""),(X634-'Choix pédagogiques'!$C$4)/('Choix pédagogiques'!$C$5-'Choix pédagogiques'!$C$4),"")</f>
        <v/>
      </c>
      <c r="AT634" s="55" t="str">
        <f aca="false">IF(AND('Choix pédagogiques'!$C$4&lt;&gt;"?",'Choix pédagogiques'!$C$5&lt;&gt;"?",Y634&lt;&gt;""),(Y634-'Choix pédagogiques'!$C$4)/('Choix pédagogiques'!$C$5-'Choix pédagogiques'!$C$4),"")</f>
        <v/>
      </c>
      <c r="AU634" s="53" t="str">
        <f aca="false">IF($E634&lt;&gt;"",$E634,"")</f>
        <v/>
      </c>
      <c r="AV634" s="52" t="str">
        <f aca="false">IF($F634&lt;&gt;"",$F634,"")</f>
        <v>Apprenant 622 ou 622'</v>
      </c>
      <c r="AW634" s="55" t="str">
        <f aca="false">IF(AND('Choix pédagogiques'!$C$4&lt;&gt;"?",'Choix pédagogiques'!$C$5&lt;&gt;"?",AB634&lt;&gt;""),(AB634-'Choix pédagogiques'!$C$4)/('Choix pédagogiques'!$C$5-'Choix pédagogiques'!$C$4),"")</f>
        <v/>
      </c>
      <c r="AX634" s="55" t="str">
        <f aca="false">IF(AND('Choix pédagogiques'!$C$4&lt;&gt;"?",'Choix pédagogiques'!$C$5&lt;&gt;"?",AC634&lt;&gt;""),(AC634-'Choix pédagogiques'!$C$4)/('Choix pédagogiques'!$C$5-'Choix pédagogiques'!$C$4),"")</f>
        <v/>
      </c>
      <c r="AY634" s="55" t="str">
        <f aca="false">IF(AND('Choix pédagogiques'!$C$4&lt;&gt;"?",'Choix pédagogiques'!$C$5&lt;&gt;"?",AD634&lt;&gt;""),(AD634-'Choix pédagogiques'!$C$4)/('Choix pédagogiques'!$C$5-'Choix pédagogiques'!$C$4),"")</f>
        <v/>
      </c>
      <c r="AZ634" s="53" t="str">
        <f aca="false">IF($J634&lt;&gt;"",$J634,"")</f>
        <v/>
      </c>
      <c r="BA634" s="52" t="str">
        <f aca="false">IF($A634&lt;&gt;"",$A634,"")</f>
        <v>Apprenant 622</v>
      </c>
      <c r="BB634" s="55" t="str">
        <f aca="false">IF(AND($AR634&lt;&gt;"",$AS634&lt;&gt;""),$AS634-$AR634,"")</f>
        <v/>
      </c>
      <c r="BC634" s="55" t="str">
        <f aca="false">IF(AND($AR634&lt;&gt;"",$AT634&lt;&gt;""),$AT634-$AR634,"")</f>
        <v/>
      </c>
      <c r="BD634" s="55" t="str">
        <f aca="false">IF(AND($AS634&lt;&gt;"",$AT634&lt;&gt;""),$AT634-$AS634,"")</f>
        <v/>
      </c>
      <c r="BE634" s="53" t="str">
        <f aca="false">IF($E634&lt;&gt;"",$E634,"")</f>
        <v/>
      </c>
      <c r="BF634" s="52" t="str">
        <f aca="false">IF($F634&lt;&gt;"",$F634,"")</f>
        <v>Apprenant 622 ou 622'</v>
      </c>
      <c r="BG634" s="55" t="str">
        <f aca="false">IF(AND($AW634&lt;&gt;"",$AX634&lt;&gt;""),$AX634-$AW634,"")</f>
        <v/>
      </c>
      <c r="BH634" s="55" t="str">
        <f aca="false">IF(AND($AW634&lt;&gt;"",$AY634&lt;&gt;""),$AY634-$AW634,"")</f>
        <v/>
      </c>
      <c r="BI634" s="55" t="str">
        <f aca="false">IF(AND($AX634&lt;&gt;"",$AY634&lt;&gt;""),$AY634-$AX634,"")</f>
        <v/>
      </c>
      <c r="BJ634" s="53" t="str">
        <f aca="false">IF($J634&lt;&gt;"",$J634,"")</f>
        <v/>
      </c>
      <c r="BL634" s="52"/>
      <c r="BM634" s="52" t="str">
        <f aca="false">IF(OR(COUNT(B634:D1633)=0,AND('Choix pédagogiques'!$C$3&lt;&gt;1,'Choix pédagogiques'!$C$3&lt;&gt;2)),"",IF(AND(OR('Choix pédagogiques'!$C$3=1,'Choix pédagogiques'!$C$3=2),$B634&lt;&gt;"",$C634&lt;&gt;"",$D634&lt;&gt;""),1,0))</f>
        <v/>
      </c>
      <c r="BN634" s="52" t="str">
        <f aca="false">IF(OR(COUNT(G634:I1633)=0,AND('Choix pédagogiques'!$C$3&lt;&gt;1,'Choix pédagogiques'!$C$3&lt;&gt;2)),"",IF(AND(OR('Choix pédagogiques'!$C$3=1,'Choix pédagogiques'!$C$3=2),AND($G634&lt;&gt;"",$H634&lt;&gt;"",$I634&lt;&gt;"")),1,0))</f>
        <v/>
      </c>
      <c r="BO634" s="52" t="str">
        <f aca="false">IF(OR(COUNT(B634:D1633)=0,COUNT(G634:I1633)=0,'Choix pédagogiques'!C$3&lt;&gt;3),"",IF(AND('Choix pédagogiques'!$C$3=3,$B634&lt;&gt;"",$C634&lt;&gt;"",$D634&lt;&gt;"",$G634&lt;&gt;"",$H634&lt;&gt;"",$I634&lt;&gt;""),1,0))</f>
        <v/>
      </c>
      <c r="BR634" s="52" t="n">
        <v>775</v>
      </c>
      <c r="BS634" s="52" t="n">
        <v>1728</v>
      </c>
    </row>
    <row r="635" s="54" customFormat="true" ht="18" hidden="false" customHeight="true" outlineLevel="0" collapsed="false">
      <c r="A635" s="57" t="s">
        <v>1201</v>
      </c>
      <c r="B635" s="51"/>
      <c r="C635" s="51"/>
      <c r="D635" s="51"/>
      <c r="E635" s="51"/>
      <c r="F635" s="57" t="s">
        <v>1202</v>
      </c>
      <c r="G635" s="51"/>
      <c r="H635" s="51"/>
      <c r="I635" s="51"/>
      <c r="J635" s="51"/>
      <c r="K635" s="52" t="str">
        <f aca="false">IF($A635&lt;&gt;"",$A635,"")</f>
        <v>Apprenant 623</v>
      </c>
      <c r="L635" s="53" t="str">
        <f aca="false">IF(AND($B635&lt;&gt;"",$C635&lt;&gt;""),$C635-$B635,"")</f>
        <v/>
      </c>
      <c r="M635" s="53" t="str">
        <f aca="false">IF(AND($B635&lt;&gt;"",$D635&lt;&gt;""),$D635-$B635,"")</f>
        <v/>
      </c>
      <c r="N635" s="53" t="str">
        <f aca="false">IF(AND($C635&lt;&gt;"",$D635&lt;&gt;""),$D635-$C635,"")</f>
        <v/>
      </c>
      <c r="O635" s="53" t="str">
        <f aca="false">IF($E635&lt;&gt;"",$E635,"")</f>
        <v/>
      </c>
      <c r="P635" s="52" t="str">
        <f aca="false">IF($F635&lt;&gt;"",$F635,"")</f>
        <v>Apprenant 623 ou 623'</v>
      </c>
      <c r="Q635" s="53" t="str">
        <f aca="false">IF(AND($G635&lt;&gt;"",$H635&lt;&gt;""),$H635-$G635,"")</f>
        <v/>
      </c>
      <c r="R635" s="53" t="str">
        <f aca="false">IF(AND($G635&lt;&gt;"",$I635&lt;&gt;""),$I635-$G635,"")</f>
        <v/>
      </c>
      <c r="S635" s="53" t="str">
        <f aca="false">IF(AND($H635&lt;&gt;"",$I635&lt;&gt;""),$I635-$H635,"")</f>
        <v/>
      </c>
      <c r="T635" s="53" t="str">
        <f aca="false">IF($J635&lt;&gt;"",$J635,"")</f>
        <v/>
      </c>
      <c r="V635" s="52" t="str">
        <f aca="false">IF($A635&lt;&gt;"",$A635,"")</f>
        <v>Apprenant 623</v>
      </c>
      <c r="W635" s="53" t="str">
        <f aca="false">IF(AND(OR('Choix pédagogiques'!$C$3=1,'Choix pédagogiques'!$C$3=2),$BM635=1),B635,IF(AND('Choix pédagogiques'!$C$3=3,$BO635=1),B635,""))</f>
        <v/>
      </c>
      <c r="X635" s="53" t="str">
        <f aca="false">IF(AND(OR('Choix pédagogiques'!$C$3=1,'Choix pédagogiques'!$C$3=2),$BM635=1),C635,IF(AND('Choix pédagogiques'!$C$3=3,$BO635=1),C635,""))</f>
        <v/>
      </c>
      <c r="Y635" s="53" t="str">
        <f aca="false">IF(AND(OR('Choix pédagogiques'!$C$3=1,'Choix pédagogiques'!$C$3=2),$BM635=1),D635,IF(AND('Choix pédagogiques'!$C$3=3,$BO635=1),D635,""))</f>
        <v/>
      </c>
      <c r="Z635" s="53" t="str">
        <f aca="false">IF($E635&lt;&gt;"",$E635,"")</f>
        <v/>
      </c>
      <c r="AA635" s="52" t="str">
        <f aca="false">IF($F635&lt;&gt;"",$F635,"")</f>
        <v>Apprenant 623 ou 623'</v>
      </c>
      <c r="AB635" s="53" t="str">
        <f aca="false">IF(AND(OR('Choix pédagogiques'!$C$3=1,'Choix pédagogiques'!$C$3=2),$BN635=1),G635,IF(AND('Choix pédagogiques'!$C$3=3,$BO635=1),G635,""))</f>
        <v/>
      </c>
      <c r="AC635" s="53" t="str">
        <f aca="false">IF(AND(OR('Choix pédagogiques'!$C$3=1,'Choix pédagogiques'!$C$3=2),$BN635=1),H635,IF(AND('Choix pédagogiques'!$C$3=3,$BO635=1),H635,""))</f>
        <v/>
      </c>
      <c r="AD635" s="53" t="str">
        <f aca="false">IF(AND(OR('Choix pédagogiques'!$C$3=1,'Choix pédagogiques'!$C$3=2),$BN635=1),I635,IF(AND('Choix pédagogiques'!$C$3=3,$BO635=1),I635,""))</f>
        <v/>
      </c>
      <c r="AE635" s="53" t="str">
        <f aca="false">IF($J635&lt;&gt;"",$J635,"")</f>
        <v/>
      </c>
      <c r="AF635" s="52" t="str">
        <f aca="false">IF($A635&lt;&gt;"",$A635,"")</f>
        <v>Apprenant 623</v>
      </c>
      <c r="AG635" s="53" t="str">
        <f aca="false">IF(AND($W635&lt;&gt;"",$X635&lt;&gt;""),$X635-$W635,"")</f>
        <v/>
      </c>
      <c r="AH635" s="53" t="str">
        <f aca="false">IF(AND($W635&lt;&gt;"",$Y635&lt;&gt;""),$Y635-$W635,"")</f>
        <v/>
      </c>
      <c r="AI635" s="53" t="str">
        <f aca="false">IF(AND($X635&lt;&gt;"",$Y635&lt;&gt;""),$Y635-$X635,"")</f>
        <v/>
      </c>
      <c r="AJ635" s="53" t="str">
        <f aca="false">IF($E635&lt;&gt;"",$E635,"")</f>
        <v/>
      </c>
      <c r="AK635" s="52" t="str">
        <f aca="false">IF($F635&lt;&gt;"",$F635,"")</f>
        <v>Apprenant 623 ou 623'</v>
      </c>
      <c r="AL635" s="53" t="str">
        <f aca="false">IF(AND($AB635&lt;&gt;"",$AC635&lt;&gt;""),$AC635-$AB635,"")</f>
        <v/>
      </c>
      <c r="AM635" s="53" t="str">
        <f aca="false">IF(AND($AB635&lt;&gt;"",$AD635&lt;&gt;""),$AD635-$AB635,"")</f>
        <v/>
      </c>
      <c r="AN635" s="53" t="str">
        <f aca="false">IF(AND($AC635&lt;&gt;"",$AD635&lt;&gt;""),$AD635-$AC635,"")</f>
        <v/>
      </c>
      <c r="AO635" s="53" t="str">
        <f aca="false">IF($J635&lt;&gt;"",$J635,"")</f>
        <v/>
      </c>
      <c r="AQ635" s="52" t="str">
        <f aca="false">IF($A635&lt;&gt;"",$A635,"")</f>
        <v>Apprenant 623</v>
      </c>
      <c r="AR635" s="55" t="str">
        <f aca="false">IF(AND('Choix pédagogiques'!$C$4&lt;&gt;"?",'Choix pédagogiques'!$C$5&lt;&gt;"?",W635&lt;&gt;""),(W635-'Choix pédagogiques'!$C$4)/('Choix pédagogiques'!$C$5-'Choix pédagogiques'!$C$4),"")</f>
        <v/>
      </c>
      <c r="AS635" s="55" t="str">
        <f aca="false">IF(AND('Choix pédagogiques'!$C$4&lt;&gt;"?",'Choix pédagogiques'!$C$5&lt;&gt;"?",X635&lt;&gt;""),(X635-'Choix pédagogiques'!$C$4)/('Choix pédagogiques'!$C$5-'Choix pédagogiques'!$C$4),"")</f>
        <v/>
      </c>
      <c r="AT635" s="55" t="str">
        <f aca="false">IF(AND('Choix pédagogiques'!$C$4&lt;&gt;"?",'Choix pédagogiques'!$C$5&lt;&gt;"?",Y635&lt;&gt;""),(Y635-'Choix pédagogiques'!$C$4)/('Choix pédagogiques'!$C$5-'Choix pédagogiques'!$C$4),"")</f>
        <v/>
      </c>
      <c r="AU635" s="53" t="str">
        <f aca="false">IF($E635&lt;&gt;"",$E635,"")</f>
        <v/>
      </c>
      <c r="AV635" s="52" t="str">
        <f aca="false">IF($F635&lt;&gt;"",$F635,"")</f>
        <v>Apprenant 623 ou 623'</v>
      </c>
      <c r="AW635" s="55" t="str">
        <f aca="false">IF(AND('Choix pédagogiques'!$C$4&lt;&gt;"?",'Choix pédagogiques'!$C$5&lt;&gt;"?",AB635&lt;&gt;""),(AB635-'Choix pédagogiques'!$C$4)/('Choix pédagogiques'!$C$5-'Choix pédagogiques'!$C$4),"")</f>
        <v/>
      </c>
      <c r="AX635" s="55" t="str">
        <f aca="false">IF(AND('Choix pédagogiques'!$C$4&lt;&gt;"?",'Choix pédagogiques'!$C$5&lt;&gt;"?",AC635&lt;&gt;""),(AC635-'Choix pédagogiques'!$C$4)/('Choix pédagogiques'!$C$5-'Choix pédagogiques'!$C$4),"")</f>
        <v/>
      </c>
      <c r="AY635" s="55" t="str">
        <f aca="false">IF(AND('Choix pédagogiques'!$C$4&lt;&gt;"?",'Choix pédagogiques'!$C$5&lt;&gt;"?",AD635&lt;&gt;""),(AD635-'Choix pédagogiques'!$C$4)/('Choix pédagogiques'!$C$5-'Choix pédagogiques'!$C$4),"")</f>
        <v/>
      </c>
      <c r="AZ635" s="53" t="str">
        <f aca="false">IF($J635&lt;&gt;"",$J635,"")</f>
        <v/>
      </c>
      <c r="BA635" s="52" t="str">
        <f aca="false">IF($A635&lt;&gt;"",$A635,"")</f>
        <v>Apprenant 623</v>
      </c>
      <c r="BB635" s="55" t="str">
        <f aca="false">IF(AND($AR635&lt;&gt;"",$AS635&lt;&gt;""),$AS635-$AR635,"")</f>
        <v/>
      </c>
      <c r="BC635" s="55" t="str">
        <f aca="false">IF(AND($AR635&lt;&gt;"",$AT635&lt;&gt;""),$AT635-$AR635,"")</f>
        <v/>
      </c>
      <c r="BD635" s="55" t="str">
        <f aca="false">IF(AND($AS635&lt;&gt;"",$AT635&lt;&gt;""),$AT635-$AS635,"")</f>
        <v/>
      </c>
      <c r="BE635" s="53" t="str">
        <f aca="false">IF($E635&lt;&gt;"",$E635,"")</f>
        <v/>
      </c>
      <c r="BF635" s="52" t="str">
        <f aca="false">IF($F635&lt;&gt;"",$F635,"")</f>
        <v>Apprenant 623 ou 623'</v>
      </c>
      <c r="BG635" s="55" t="str">
        <f aca="false">IF(AND($AW635&lt;&gt;"",$AX635&lt;&gt;""),$AX635-$AW635,"")</f>
        <v/>
      </c>
      <c r="BH635" s="55" t="str">
        <f aca="false">IF(AND($AW635&lt;&gt;"",$AY635&lt;&gt;""),$AY635-$AW635,"")</f>
        <v/>
      </c>
      <c r="BI635" s="55" t="str">
        <f aca="false">IF(AND($AX635&lt;&gt;"",$AY635&lt;&gt;""),$AY635-$AX635,"")</f>
        <v/>
      </c>
      <c r="BJ635" s="53" t="str">
        <f aca="false">IF($J635&lt;&gt;"",$J635,"")</f>
        <v/>
      </c>
      <c r="BL635" s="52"/>
      <c r="BM635" s="52" t="str">
        <f aca="false">IF(OR(COUNT(B635:D1634)=0,AND('Choix pédagogiques'!$C$3&lt;&gt;1,'Choix pédagogiques'!$C$3&lt;&gt;2)),"",IF(AND(OR('Choix pédagogiques'!$C$3=1,'Choix pédagogiques'!$C$3=2),$B635&lt;&gt;"",$C635&lt;&gt;"",$D635&lt;&gt;""),1,0))</f>
        <v/>
      </c>
      <c r="BN635" s="52" t="str">
        <f aca="false">IF(OR(COUNT(G635:I1634)=0,AND('Choix pédagogiques'!$C$3&lt;&gt;1,'Choix pédagogiques'!$C$3&lt;&gt;2)),"",IF(AND(OR('Choix pédagogiques'!$C$3=1,'Choix pédagogiques'!$C$3=2),AND($G635&lt;&gt;"",$H635&lt;&gt;"",$I635&lt;&gt;"")),1,0))</f>
        <v/>
      </c>
      <c r="BO635" s="52" t="str">
        <f aca="false">IF(OR(COUNT(B635:D1634)=0,COUNT(G635:I1634)=0,'Choix pédagogiques'!C$3&lt;&gt;3),"",IF(AND('Choix pédagogiques'!$C$3=3,$B635&lt;&gt;"",$C635&lt;&gt;"",$D635&lt;&gt;"",$G635&lt;&gt;"",$H635&lt;&gt;"",$I635&lt;&gt;""),1,0))</f>
        <v/>
      </c>
      <c r="BR635" s="52" t="n">
        <v>466</v>
      </c>
      <c r="BS635" s="52" t="n">
        <v>1842</v>
      </c>
    </row>
    <row r="636" s="54" customFormat="true" ht="18" hidden="false" customHeight="true" outlineLevel="0" collapsed="false">
      <c r="A636" s="57" t="s">
        <v>1203</v>
      </c>
      <c r="B636" s="51"/>
      <c r="C636" s="51"/>
      <c r="D636" s="51"/>
      <c r="E636" s="51"/>
      <c r="F636" s="57" t="s">
        <v>1204</v>
      </c>
      <c r="G636" s="51"/>
      <c r="H636" s="51"/>
      <c r="I636" s="51"/>
      <c r="J636" s="51"/>
      <c r="K636" s="52" t="str">
        <f aca="false">IF($A636&lt;&gt;"",$A636,"")</f>
        <v>Apprenant 624</v>
      </c>
      <c r="L636" s="53" t="str">
        <f aca="false">IF(AND($B636&lt;&gt;"",$C636&lt;&gt;""),$C636-$B636,"")</f>
        <v/>
      </c>
      <c r="M636" s="53" t="str">
        <f aca="false">IF(AND($B636&lt;&gt;"",$D636&lt;&gt;""),$D636-$B636,"")</f>
        <v/>
      </c>
      <c r="N636" s="53" t="str">
        <f aca="false">IF(AND($C636&lt;&gt;"",$D636&lt;&gt;""),$D636-$C636,"")</f>
        <v/>
      </c>
      <c r="O636" s="53" t="str">
        <f aca="false">IF($E636&lt;&gt;"",$E636,"")</f>
        <v/>
      </c>
      <c r="P636" s="52" t="str">
        <f aca="false">IF($F636&lt;&gt;"",$F636,"")</f>
        <v>Apprenant 624 ou 624'</v>
      </c>
      <c r="Q636" s="53" t="str">
        <f aca="false">IF(AND($G636&lt;&gt;"",$H636&lt;&gt;""),$H636-$G636,"")</f>
        <v/>
      </c>
      <c r="R636" s="53" t="str">
        <f aca="false">IF(AND($G636&lt;&gt;"",$I636&lt;&gt;""),$I636-$G636,"")</f>
        <v/>
      </c>
      <c r="S636" s="53" t="str">
        <f aca="false">IF(AND($H636&lt;&gt;"",$I636&lt;&gt;""),$I636-$H636,"")</f>
        <v/>
      </c>
      <c r="T636" s="53" t="str">
        <f aca="false">IF($J636&lt;&gt;"",$J636,"")</f>
        <v/>
      </c>
      <c r="V636" s="52" t="str">
        <f aca="false">IF($A636&lt;&gt;"",$A636,"")</f>
        <v>Apprenant 624</v>
      </c>
      <c r="W636" s="53" t="str">
        <f aca="false">IF(AND(OR('Choix pédagogiques'!$C$3=1,'Choix pédagogiques'!$C$3=2),$BM636=1),B636,IF(AND('Choix pédagogiques'!$C$3=3,$BO636=1),B636,""))</f>
        <v/>
      </c>
      <c r="X636" s="53" t="str">
        <f aca="false">IF(AND(OR('Choix pédagogiques'!$C$3=1,'Choix pédagogiques'!$C$3=2),$BM636=1),C636,IF(AND('Choix pédagogiques'!$C$3=3,$BO636=1),C636,""))</f>
        <v/>
      </c>
      <c r="Y636" s="53" t="str">
        <f aca="false">IF(AND(OR('Choix pédagogiques'!$C$3=1,'Choix pédagogiques'!$C$3=2),$BM636=1),D636,IF(AND('Choix pédagogiques'!$C$3=3,$BO636=1),D636,""))</f>
        <v/>
      </c>
      <c r="Z636" s="53" t="str">
        <f aca="false">IF($E636&lt;&gt;"",$E636,"")</f>
        <v/>
      </c>
      <c r="AA636" s="52" t="str">
        <f aca="false">IF($F636&lt;&gt;"",$F636,"")</f>
        <v>Apprenant 624 ou 624'</v>
      </c>
      <c r="AB636" s="53" t="str">
        <f aca="false">IF(AND(OR('Choix pédagogiques'!$C$3=1,'Choix pédagogiques'!$C$3=2),$BN636=1),G636,IF(AND('Choix pédagogiques'!$C$3=3,$BO636=1),G636,""))</f>
        <v/>
      </c>
      <c r="AC636" s="53" t="str">
        <f aca="false">IF(AND(OR('Choix pédagogiques'!$C$3=1,'Choix pédagogiques'!$C$3=2),$BN636=1),H636,IF(AND('Choix pédagogiques'!$C$3=3,$BO636=1),H636,""))</f>
        <v/>
      </c>
      <c r="AD636" s="53" t="str">
        <f aca="false">IF(AND(OR('Choix pédagogiques'!$C$3=1,'Choix pédagogiques'!$C$3=2),$BN636=1),I636,IF(AND('Choix pédagogiques'!$C$3=3,$BO636=1),I636,""))</f>
        <v/>
      </c>
      <c r="AE636" s="53" t="str">
        <f aca="false">IF($J636&lt;&gt;"",$J636,"")</f>
        <v/>
      </c>
      <c r="AF636" s="52" t="str">
        <f aca="false">IF($A636&lt;&gt;"",$A636,"")</f>
        <v>Apprenant 624</v>
      </c>
      <c r="AG636" s="53" t="str">
        <f aca="false">IF(AND($W636&lt;&gt;"",$X636&lt;&gt;""),$X636-$W636,"")</f>
        <v/>
      </c>
      <c r="AH636" s="53" t="str">
        <f aca="false">IF(AND($W636&lt;&gt;"",$Y636&lt;&gt;""),$Y636-$W636,"")</f>
        <v/>
      </c>
      <c r="AI636" s="53" t="str">
        <f aca="false">IF(AND($X636&lt;&gt;"",$Y636&lt;&gt;""),$Y636-$X636,"")</f>
        <v/>
      </c>
      <c r="AJ636" s="53" t="str">
        <f aca="false">IF($E636&lt;&gt;"",$E636,"")</f>
        <v/>
      </c>
      <c r="AK636" s="52" t="str">
        <f aca="false">IF($F636&lt;&gt;"",$F636,"")</f>
        <v>Apprenant 624 ou 624'</v>
      </c>
      <c r="AL636" s="53" t="str">
        <f aca="false">IF(AND($AB636&lt;&gt;"",$AC636&lt;&gt;""),$AC636-$AB636,"")</f>
        <v/>
      </c>
      <c r="AM636" s="53" t="str">
        <f aca="false">IF(AND($AB636&lt;&gt;"",$AD636&lt;&gt;""),$AD636-$AB636,"")</f>
        <v/>
      </c>
      <c r="AN636" s="53" t="str">
        <f aca="false">IF(AND($AC636&lt;&gt;"",$AD636&lt;&gt;""),$AD636-$AC636,"")</f>
        <v/>
      </c>
      <c r="AO636" s="53" t="str">
        <f aca="false">IF($J636&lt;&gt;"",$J636,"")</f>
        <v/>
      </c>
      <c r="AQ636" s="52" t="str">
        <f aca="false">IF($A636&lt;&gt;"",$A636,"")</f>
        <v>Apprenant 624</v>
      </c>
      <c r="AR636" s="55" t="str">
        <f aca="false">IF(AND('Choix pédagogiques'!$C$4&lt;&gt;"?",'Choix pédagogiques'!$C$5&lt;&gt;"?",W636&lt;&gt;""),(W636-'Choix pédagogiques'!$C$4)/('Choix pédagogiques'!$C$5-'Choix pédagogiques'!$C$4),"")</f>
        <v/>
      </c>
      <c r="AS636" s="55" t="str">
        <f aca="false">IF(AND('Choix pédagogiques'!$C$4&lt;&gt;"?",'Choix pédagogiques'!$C$5&lt;&gt;"?",X636&lt;&gt;""),(X636-'Choix pédagogiques'!$C$4)/('Choix pédagogiques'!$C$5-'Choix pédagogiques'!$C$4),"")</f>
        <v/>
      </c>
      <c r="AT636" s="55" t="str">
        <f aca="false">IF(AND('Choix pédagogiques'!$C$4&lt;&gt;"?",'Choix pédagogiques'!$C$5&lt;&gt;"?",Y636&lt;&gt;""),(Y636-'Choix pédagogiques'!$C$4)/('Choix pédagogiques'!$C$5-'Choix pédagogiques'!$C$4),"")</f>
        <v/>
      </c>
      <c r="AU636" s="53" t="str">
        <f aca="false">IF($E636&lt;&gt;"",$E636,"")</f>
        <v/>
      </c>
      <c r="AV636" s="52" t="str">
        <f aca="false">IF($F636&lt;&gt;"",$F636,"")</f>
        <v>Apprenant 624 ou 624'</v>
      </c>
      <c r="AW636" s="55" t="str">
        <f aca="false">IF(AND('Choix pédagogiques'!$C$4&lt;&gt;"?",'Choix pédagogiques'!$C$5&lt;&gt;"?",AB636&lt;&gt;""),(AB636-'Choix pédagogiques'!$C$4)/('Choix pédagogiques'!$C$5-'Choix pédagogiques'!$C$4),"")</f>
        <v/>
      </c>
      <c r="AX636" s="55" t="str">
        <f aca="false">IF(AND('Choix pédagogiques'!$C$4&lt;&gt;"?",'Choix pédagogiques'!$C$5&lt;&gt;"?",AC636&lt;&gt;""),(AC636-'Choix pédagogiques'!$C$4)/('Choix pédagogiques'!$C$5-'Choix pédagogiques'!$C$4),"")</f>
        <v/>
      </c>
      <c r="AY636" s="55" t="str">
        <f aca="false">IF(AND('Choix pédagogiques'!$C$4&lt;&gt;"?",'Choix pédagogiques'!$C$5&lt;&gt;"?",AD636&lt;&gt;""),(AD636-'Choix pédagogiques'!$C$4)/('Choix pédagogiques'!$C$5-'Choix pédagogiques'!$C$4),"")</f>
        <v/>
      </c>
      <c r="AZ636" s="53" t="str">
        <f aca="false">IF($J636&lt;&gt;"",$J636,"")</f>
        <v/>
      </c>
      <c r="BA636" s="52" t="str">
        <f aca="false">IF($A636&lt;&gt;"",$A636,"")</f>
        <v>Apprenant 624</v>
      </c>
      <c r="BB636" s="55" t="str">
        <f aca="false">IF(AND($AR636&lt;&gt;"",$AS636&lt;&gt;""),$AS636-$AR636,"")</f>
        <v/>
      </c>
      <c r="BC636" s="55" t="str">
        <f aca="false">IF(AND($AR636&lt;&gt;"",$AT636&lt;&gt;""),$AT636-$AR636,"")</f>
        <v/>
      </c>
      <c r="BD636" s="55" t="str">
        <f aca="false">IF(AND($AS636&lt;&gt;"",$AT636&lt;&gt;""),$AT636-$AS636,"")</f>
        <v/>
      </c>
      <c r="BE636" s="53" t="str">
        <f aca="false">IF($E636&lt;&gt;"",$E636,"")</f>
        <v/>
      </c>
      <c r="BF636" s="52" t="str">
        <f aca="false">IF($F636&lt;&gt;"",$F636,"")</f>
        <v>Apprenant 624 ou 624'</v>
      </c>
      <c r="BG636" s="55" t="str">
        <f aca="false">IF(AND($AW636&lt;&gt;"",$AX636&lt;&gt;""),$AX636-$AW636,"")</f>
        <v/>
      </c>
      <c r="BH636" s="55" t="str">
        <f aca="false">IF(AND($AW636&lt;&gt;"",$AY636&lt;&gt;""),$AY636-$AW636,"")</f>
        <v/>
      </c>
      <c r="BI636" s="55" t="str">
        <f aca="false">IF(AND($AX636&lt;&gt;"",$AY636&lt;&gt;""),$AY636-$AX636,"")</f>
        <v/>
      </c>
      <c r="BJ636" s="53" t="str">
        <f aca="false">IF($J636&lt;&gt;"",$J636,"")</f>
        <v/>
      </c>
      <c r="BL636" s="52"/>
      <c r="BM636" s="52" t="str">
        <f aca="false">IF(OR(COUNT(B636:D1635)=0,AND('Choix pédagogiques'!$C$3&lt;&gt;1,'Choix pédagogiques'!$C$3&lt;&gt;2)),"",IF(AND(OR('Choix pédagogiques'!$C$3=1,'Choix pédagogiques'!$C$3=2),$B636&lt;&gt;"",$C636&lt;&gt;"",$D636&lt;&gt;""),1,0))</f>
        <v/>
      </c>
      <c r="BN636" s="52" t="str">
        <f aca="false">IF(OR(COUNT(G636:I1635)=0,AND('Choix pédagogiques'!$C$3&lt;&gt;1,'Choix pédagogiques'!$C$3&lt;&gt;2)),"",IF(AND(OR('Choix pédagogiques'!$C$3=1,'Choix pédagogiques'!$C$3=2),AND($G636&lt;&gt;"",$H636&lt;&gt;"",$I636&lt;&gt;"")),1,0))</f>
        <v/>
      </c>
      <c r="BO636" s="52" t="str">
        <f aca="false">IF(OR(COUNT(B636:D1635)=0,COUNT(G636:I1635)=0,'Choix pédagogiques'!C$3&lt;&gt;3),"",IF(AND('Choix pédagogiques'!$C$3=3,$B636&lt;&gt;"",$C636&lt;&gt;"",$D636&lt;&gt;"",$G636&lt;&gt;"",$H636&lt;&gt;"",$I636&lt;&gt;""),1,0))</f>
        <v/>
      </c>
      <c r="BR636" s="52" t="n">
        <v>939</v>
      </c>
      <c r="BS636" s="52" t="n">
        <v>1655</v>
      </c>
    </row>
    <row r="637" s="54" customFormat="true" ht="18" hidden="false" customHeight="true" outlineLevel="0" collapsed="false">
      <c r="A637" s="57" t="s">
        <v>1205</v>
      </c>
      <c r="B637" s="51"/>
      <c r="C637" s="51"/>
      <c r="D637" s="51"/>
      <c r="E637" s="51"/>
      <c r="F637" s="57" t="s">
        <v>1206</v>
      </c>
      <c r="G637" s="51"/>
      <c r="H637" s="51"/>
      <c r="I637" s="51"/>
      <c r="J637" s="51"/>
      <c r="K637" s="52" t="str">
        <f aca="false">IF($A637&lt;&gt;"",$A637,"")</f>
        <v>Apprenant 625</v>
      </c>
      <c r="L637" s="53" t="str">
        <f aca="false">IF(AND($B637&lt;&gt;"",$C637&lt;&gt;""),$C637-$B637,"")</f>
        <v/>
      </c>
      <c r="M637" s="53" t="str">
        <f aca="false">IF(AND($B637&lt;&gt;"",$D637&lt;&gt;""),$D637-$B637,"")</f>
        <v/>
      </c>
      <c r="N637" s="53" t="str">
        <f aca="false">IF(AND($C637&lt;&gt;"",$D637&lt;&gt;""),$D637-$C637,"")</f>
        <v/>
      </c>
      <c r="O637" s="53" t="str">
        <f aca="false">IF($E637&lt;&gt;"",$E637,"")</f>
        <v/>
      </c>
      <c r="P637" s="52" t="str">
        <f aca="false">IF($F637&lt;&gt;"",$F637,"")</f>
        <v>Apprenant 625 ou 625'</v>
      </c>
      <c r="Q637" s="53" t="str">
        <f aca="false">IF(AND($G637&lt;&gt;"",$H637&lt;&gt;""),$H637-$G637,"")</f>
        <v/>
      </c>
      <c r="R637" s="53" t="str">
        <f aca="false">IF(AND($G637&lt;&gt;"",$I637&lt;&gt;""),$I637-$G637,"")</f>
        <v/>
      </c>
      <c r="S637" s="53" t="str">
        <f aca="false">IF(AND($H637&lt;&gt;"",$I637&lt;&gt;""),$I637-$H637,"")</f>
        <v/>
      </c>
      <c r="T637" s="53" t="str">
        <f aca="false">IF($J637&lt;&gt;"",$J637,"")</f>
        <v/>
      </c>
      <c r="V637" s="52" t="str">
        <f aca="false">IF($A637&lt;&gt;"",$A637,"")</f>
        <v>Apprenant 625</v>
      </c>
      <c r="W637" s="53" t="str">
        <f aca="false">IF(AND(OR('Choix pédagogiques'!$C$3=1,'Choix pédagogiques'!$C$3=2),$BM637=1),B637,IF(AND('Choix pédagogiques'!$C$3=3,$BO637=1),B637,""))</f>
        <v/>
      </c>
      <c r="X637" s="53" t="str">
        <f aca="false">IF(AND(OR('Choix pédagogiques'!$C$3=1,'Choix pédagogiques'!$C$3=2),$BM637=1),C637,IF(AND('Choix pédagogiques'!$C$3=3,$BO637=1),C637,""))</f>
        <v/>
      </c>
      <c r="Y637" s="53" t="str">
        <f aca="false">IF(AND(OR('Choix pédagogiques'!$C$3=1,'Choix pédagogiques'!$C$3=2),$BM637=1),D637,IF(AND('Choix pédagogiques'!$C$3=3,$BO637=1),D637,""))</f>
        <v/>
      </c>
      <c r="Z637" s="53" t="str">
        <f aca="false">IF($E637&lt;&gt;"",$E637,"")</f>
        <v/>
      </c>
      <c r="AA637" s="52" t="str">
        <f aca="false">IF($F637&lt;&gt;"",$F637,"")</f>
        <v>Apprenant 625 ou 625'</v>
      </c>
      <c r="AB637" s="53" t="str">
        <f aca="false">IF(AND(OR('Choix pédagogiques'!$C$3=1,'Choix pédagogiques'!$C$3=2),$BN637=1),G637,IF(AND('Choix pédagogiques'!$C$3=3,$BO637=1),G637,""))</f>
        <v/>
      </c>
      <c r="AC637" s="53" t="str">
        <f aca="false">IF(AND(OR('Choix pédagogiques'!$C$3=1,'Choix pédagogiques'!$C$3=2),$BN637=1),H637,IF(AND('Choix pédagogiques'!$C$3=3,$BO637=1),H637,""))</f>
        <v/>
      </c>
      <c r="AD637" s="53" t="str">
        <f aca="false">IF(AND(OR('Choix pédagogiques'!$C$3=1,'Choix pédagogiques'!$C$3=2),$BN637=1),I637,IF(AND('Choix pédagogiques'!$C$3=3,$BO637=1),I637,""))</f>
        <v/>
      </c>
      <c r="AE637" s="53" t="str">
        <f aca="false">IF($J637&lt;&gt;"",$J637,"")</f>
        <v/>
      </c>
      <c r="AF637" s="52" t="str">
        <f aca="false">IF($A637&lt;&gt;"",$A637,"")</f>
        <v>Apprenant 625</v>
      </c>
      <c r="AG637" s="53" t="str">
        <f aca="false">IF(AND($W637&lt;&gt;"",$X637&lt;&gt;""),$X637-$W637,"")</f>
        <v/>
      </c>
      <c r="AH637" s="53" t="str">
        <f aca="false">IF(AND($W637&lt;&gt;"",$Y637&lt;&gt;""),$Y637-$W637,"")</f>
        <v/>
      </c>
      <c r="AI637" s="53" t="str">
        <f aca="false">IF(AND($X637&lt;&gt;"",$Y637&lt;&gt;""),$Y637-$X637,"")</f>
        <v/>
      </c>
      <c r="AJ637" s="53" t="str">
        <f aca="false">IF($E637&lt;&gt;"",$E637,"")</f>
        <v/>
      </c>
      <c r="AK637" s="52" t="str">
        <f aca="false">IF($F637&lt;&gt;"",$F637,"")</f>
        <v>Apprenant 625 ou 625'</v>
      </c>
      <c r="AL637" s="53" t="str">
        <f aca="false">IF(AND($AB637&lt;&gt;"",$AC637&lt;&gt;""),$AC637-$AB637,"")</f>
        <v/>
      </c>
      <c r="AM637" s="53" t="str">
        <f aca="false">IF(AND($AB637&lt;&gt;"",$AD637&lt;&gt;""),$AD637-$AB637,"")</f>
        <v/>
      </c>
      <c r="AN637" s="53" t="str">
        <f aca="false">IF(AND($AC637&lt;&gt;"",$AD637&lt;&gt;""),$AD637-$AC637,"")</f>
        <v/>
      </c>
      <c r="AO637" s="53" t="str">
        <f aca="false">IF($J637&lt;&gt;"",$J637,"")</f>
        <v/>
      </c>
      <c r="AQ637" s="52" t="str">
        <f aca="false">IF($A637&lt;&gt;"",$A637,"")</f>
        <v>Apprenant 625</v>
      </c>
      <c r="AR637" s="55" t="str">
        <f aca="false">IF(AND('Choix pédagogiques'!$C$4&lt;&gt;"?",'Choix pédagogiques'!$C$5&lt;&gt;"?",W637&lt;&gt;""),(W637-'Choix pédagogiques'!$C$4)/('Choix pédagogiques'!$C$5-'Choix pédagogiques'!$C$4),"")</f>
        <v/>
      </c>
      <c r="AS637" s="55" t="str">
        <f aca="false">IF(AND('Choix pédagogiques'!$C$4&lt;&gt;"?",'Choix pédagogiques'!$C$5&lt;&gt;"?",X637&lt;&gt;""),(X637-'Choix pédagogiques'!$C$4)/('Choix pédagogiques'!$C$5-'Choix pédagogiques'!$C$4),"")</f>
        <v/>
      </c>
      <c r="AT637" s="55" t="str">
        <f aca="false">IF(AND('Choix pédagogiques'!$C$4&lt;&gt;"?",'Choix pédagogiques'!$C$5&lt;&gt;"?",Y637&lt;&gt;""),(Y637-'Choix pédagogiques'!$C$4)/('Choix pédagogiques'!$C$5-'Choix pédagogiques'!$C$4),"")</f>
        <v/>
      </c>
      <c r="AU637" s="53" t="str">
        <f aca="false">IF($E637&lt;&gt;"",$E637,"")</f>
        <v/>
      </c>
      <c r="AV637" s="52" t="str">
        <f aca="false">IF($F637&lt;&gt;"",$F637,"")</f>
        <v>Apprenant 625 ou 625'</v>
      </c>
      <c r="AW637" s="55" t="str">
        <f aca="false">IF(AND('Choix pédagogiques'!$C$4&lt;&gt;"?",'Choix pédagogiques'!$C$5&lt;&gt;"?",AB637&lt;&gt;""),(AB637-'Choix pédagogiques'!$C$4)/('Choix pédagogiques'!$C$5-'Choix pédagogiques'!$C$4),"")</f>
        <v/>
      </c>
      <c r="AX637" s="55" t="str">
        <f aca="false">IF(AND('Choix pédagogiques'!$C$4&lt;&gt;"?",'Choix pédagogiques'!$C$5&lt;&gt;"?",AC637&lt;&gt;""),(AC637-'Choix pédagogiques'!$C$4)/('Choix pédagogiques'!$C$5-'Choix pédagogiques'!$C$4),"")</f>
        <v/>
      </c>
      <c r="AY637" s="55" t="str">
        <f aca="false">IF(AND('Choix pédagogiques'!$C$4&lt;&gt;"?",'Choix pédagogiques'!$C$5&lt;&gt;"?",AD637&lt;&gt;""),(AD637-'Choix pédagogiques'!$C$4)/('Choix pédagogiques'!$C$5-'Choix pédagogiques'!$C$4),"")</f>
        <v/>
      </c>
      <c r="AZ637" s="53" t="str">
        <f aca="false">IF($J637&lt;&gt;"",$J637,"")</f>
        <v/>
      </c>
      <c r="BA637" s="52" t="str">
        <f aca="false">IF($A637&lt;&gt;"",$A637,"")</f>
        <v>Apprenant 625</v>
      </c>
      <c r="BB637" s="55" t="str">
        <f aca="false">IF(AND($AR637&lt;&gt;"",$AS637&lt;&gt;""),$AS637-$AR637,"")</f>
        <v/>
      </c>
      <c r="BC637" s="55" t="str">
        <f aca="false">IF(AND($AR637&lt;&gt;"",$AT637&lt;&gt;""),$AT637-$AR637,"")</f>
        <v/>
      </c>
      <c r="BD637" s="55" t="str">
        <f aca="false">IF(AND($AS637&lt;&gt;"",$AT637&lt;&gt;""),$AT637-$AS637,"")</f>
        <v/>
      </c>
      <c r="BE637" s="53" t="str">
        <f aca="false">IF($E637&lt;&gt;"",$E637,"")</f>
        <v/>
      </c>
      <c r="BF637" s="52" t="str">
        <f aca="false">IF($F637&lt;&gt;"",$F637,"")</f>
        <v>Apprenant 625 ou 625'</v>
      </c>
      <c r="BG637" s="55" t="str">
        <f aca="false">IF(AND($AW637&lt;&gt;"",$AX637&lt;&gt;""),$AX637-$AW637,"")</f>
        <v/>
      </c>
      <c r="BH637" s="55" t="str">
        <f aca="false">IF(AND($AW637&lt;&gt;"",$AY637&lt;&gt;""),$AY637-$AW637,"")</f>
        <v/>
      </c>
      <c r="BI637" s="55" t="str">
        <f aca="false">IF(AND($AX637&lt;&gt;"",$AY637&lt;&gt;""),$AY637-$AX637,"")</f>
        <v/>
      </c>
      <c r="BJ637" s="53" t="str">
        <f aca="false">IF($J637&lt;&gt;"",$J637,"")</f>
        <v/>
      </c>
      <c r="BL637" s="52"/>
      <c r="BM637" s="52" t="str">
        <f aca="false">IF(OR(COUNT(B637:D1636)=0,AND('Choix pédagogiques'!$C$3&lt;&gt;1,'Choix pédagogiques'!$C$3&lt;&gt;2)),"",IF(AND(OR('Choix pédagogiques'!$C$3=1,'Choix pédagogiques'!$C$3=2),$B637&lt;&gt;"",$C637&lt;&gt;"",$D637&lt;&gt;""),1,0))</f>
        <v/>
      </c>
      <c r="BN637" s="52" t="str">
        <f aca="false">IF(OR(COUNT(G637:I1636)=0,AND('Choix pédagogiques'!$C$3&lt;&gt;1,'Choix pédagogiques'!$C$3&lt;&gt;2)),"",IF(AND(OR('Choix pédagogiques'!$C$3=1,'Choix pédagogiques'!$C$3=2),AND($G637&lt;&gt;"",$H637&lt;&gt;"",$I637&lt;&gt;"")),1,0))</f>
        <v/>
      </c>
      <c r="BO637" s="52" t="str">
        <f aca="false">IF(OR(COUNT(B637:D1636)=0,COUNT(G637:I1636)=0,'Choix pédagogiques'!C$3&lt;&gt;3),"",IF(AND('Choix pédagogiques'!$C$3=3,$B637&lt;&gt;"",$C637&lt;&gt;"",$D637&lt;&gt;"",$G637&lt;&gt;"",$H637&lt;&gt;"",$I637&lt;&gt;""),1,0))</f>
        <v/>
      </c>
      <c r="BR637" s="52" t="n">
        <v>391</v>
      </c>
      <c r="BS637" s="52" t="n">
        <v>1142</v>
      </c>
    </row>
    <row r="638" s="54" customFormat="true" ht="18" hidden="false" customHeight="true" outlineLevel="0" collapsed="false">
      <c r="A638" s="57" t="s">
        <v>1207</v>
      </c>
      <c r="B638" s="51"/>
      <c r="C638" s="51"/>
      <c r="D638" s="51"/>
      <c r="E638" s="51"/>
      <c r="F638" s="57" t="s">
        <v>1208</v>
      </c>
      <c r="G638" s="51"/>
      <c r="H638" s="51"/>
      <c r="I638" s="51"/>
      <c r="J638" s="51"/>
      <c r="K638" s="52" t="str">
        <f aca="false">IF($A638&lt;&gt;"",$A638,"")</f>
        <v>Apprenant 626</v>
      </c>
      <c r="L638" s="53" t="str">
        <f aca="false">IF(AND($B638&lt;&gt;"",$C638&lt;&gt;""),$C638-$B638,"")</f>
        <v/>
      </c>
      <c r="M638" s="53" t="str">
        <f aca="false">IF(AND($B638&lt;&gt;"",$D638&lt;&gt;""),$D638-$B638,"")</f>
        <v/>
      </c>
      <c r="N638" s="53" t="str">
        <f aca="false">IF(AND($C638&lt;&gt;"",$D638&lt;&gt;""),$D638-$C638,"")</f>
        <v/>
      </c>
      <c r="O638" s="53" t="str">
        <f aca="false">IF($E638&lt;&gt;"",$E638,"")</f>
        <v/>
      </c>
      <c r="P638" s="52" t="str">
        <f aca="false">IF($F638&lt;&gt;"",$F638,"")</f>
        <v>Apprenant 626 ou 626'</v>
      </c>
      <c r="Q638" s="53" t="str">
        <f aca="false">IF(AND($G638&lt;&gt;"",$H638&lt;&gt;""),$H638-$G638,"")</f>
        <v/>
      </c>
      <c r="R638" s="53" t="str">
        <f aca="false">IF(AND($G638&lt;&gt;"",$I638&lt;&gt;""),$I638-$G638,"")</f>
        <v/>
      </c>
      <c r="S638" s="53" t="str">
        <f aca="false">IF(AND($H638&lt;&gt;"",$I638&lt;&gt;""),$I638-$H638,"")</f>
        <v/>
      </c>
      <c r="T638" s="53" t="str">
        <f aca="false">IF($J638&lt;&gt;"",$J638,"")</f>
        <v/>
      </c>
      <c r="V638" s="52" t="str">
        <f aca="false">IF($A638&lt;&gt;"",$A638,"")</f>
        <v>Apprenant 626</v>
      </c>
      <c r="W638" s="53" t="str">
        <f aca="false">IF(AND(OR('Choix pédagogiques'!$C$3=1,'Choix pédagogiques'!$C$3=2),$BM638=1),B638,IF(AND('Choix pédagogiques'!$C$3=3,$BO638=1),B638,""))</f>
        <v/>
      </c>
      <c r="X638" s="53" t="str">
        <f aca="false">IF(AND(OR('Choix pédagogiques'!$C$3=1,'Choix pédagogiques'!$C$3=2),$BM638=1),C638,IF(AND('Choix pédagogiques'!$C$3=3,$BO638=1),C638,""))</f>
        <v/>
      </c>
      <c r="Y638" s="53" t="str">
        <f aca="false">IF(AND(OR('Choix pédagogiques'!$C$3=1,'Choix pédagogiques'!$C$3=2),$BM638=1),D638,IF(AND('Choix pédagogiques'!$C$3=3,$BO638=1),D638,""))</f>
        <v/>
      </c>
      <c r="Z638" s="53" t="str">
        <f aca="false">IF($E638&lt;&gt;"",$E638,"")</f>
        <v/>
      </c>
      <c r="AA638" s="52" t="str">
        <f aca="false">IF($F638&lt;&gt;"",$F638,"")</f>
        <v>Apprenant 626 ou 626'</v>
      </c>
      <c r="AB638" s="53" t="str">
        <f aca="false">IF(AND(OR('Choix pédagogiques'!$C$3=1,'Choix pédagogiques'!$C$3=2),$BN638=1),G638,IF(AND('Choix pédagogiques'!$C$3=3,$BO638=1),G638,""))</f>
        <v/>
      </c>
      <c r="AC638" s="53" t="str">
        <f aca="false">IF(AND(OR('Choix pédagogiques'!$C$3=1,'Choix pédagogiques'!$C$3=2),$BN638=1),H638,IF(AND('Choix pédagogiques'!$C$3=3,$BO638=1),H638,""))</f>
        <v/>
      </c>
      <c r="AD638" s="53" t="str">
        <f aca="false">IF(AND(OR('Choix pédagogiques'!$C$3=1,'Choix pédagogiques'!$C$3=2),$BN638=1),I638,IF(AND('Choix pédagogiques'!$C$3=3,$BO638=1),I638,""))</f>
        <v/>
      </c>
      <c r="AE638" s="53" t="str">
        <f aca="false">IF($J638&lt;&gt;"",$J638,"")</f>
        <v/>
      </c>
      <c r="AF638" s="52" t="str">
        <f aca="false">IF($A638&lt;&gt;"",$A638,"")</f>
        <v>Apprenant 626</v>
      </c>
      <c r="AG638" s="53" t="str">
        <f aca="false">IF(AND($W638&lt;&gt;"",$X638&lt;&gt;""),$X638-$W638,"")</f>
        <v/>
      </c>
      <c r="AH638" s="53" t="str">
        <f aca="false">IF(AND($W638&lt;&gt;"",$Y638&lt;&gt;""),$Y638-$W638,"")</f>
        <v/>
      </c>
      <c r="AI638" s="53" t="str">
        <f aca="false">IF(AND($X638&lt;&gt;"",$Y638&lt;&gt;""),$Y638-$X638,"")</f>
        <v/>
      </c>
      <c r="AJ638" s="53" t="str">
        <f aca="false">IF($E638&lt;&gt;"",$E638,"")</f>
        <v/>
      </c>
      <c r="AK638" s="52" t="str">
        <f aca="false">IF($F638&lt;&gt;"",$F638,"")</f>
        <v>Apprenant 626 ou 626'</v>
      </c>
      <c r="AL638" s="53" t="str">
        <f aca="false">IF(AND($AB638&lt;&gt;"",$AC638&lt;&gt;""),$AC638-$AB638,"")</f>
        <v/>
      </c>
      <c r="AM638" s="53" t="str">
        <f aca="false">IF(AND($AB638&lt;&gt;"",$AD638&lt;&gt;""),$AD638-$AB638,"")</f>
        <v/>
      </c>
      <c r="AN638" s="53" t="str">
        <f aca="false">IF(AND($AC638&lt;&gt;"",$AD638&lt;&gt;""),$AD638-$AC638,"")</f>
        <v/>
      </c>
      <c r="AO638" s="53" t="str">
        <f aca="false">IF($J638&lt;&gt;"",$J638,"")</f>
        <v/>
      </c>
      <c r="AQ638" s="52" t="str">
        <f aca="false">IF($A638&lt;&gt;"",$A638,"")</f>
        <v>Apprenant 626</v>
      </c>
      <c r="AR638" s="55" t="str">
        <f aca="false">IF(AND('Choix pédagogiques'!$C$4&lt;&gt;"?",'Choix pédagogiques'!$C$5&lt;&gt;"?",W638&lt;&gt;""),(W638-'Choix pédagogiques'!$C$4)/('Choix pédagogiques'!$C$5-'Choix pédagogiques'!$C$4),"")</f>
        <v/>
      </c>
      <c r="AS638" s="55" t="str">
        <f aca="false">IF(AND('Choix pédagogiques'!$C$4&lt;&gt;"?",'Choix pédagogiques'!$C$5&lt;&gt;"?",X638&lt;&gt;""),(X638-'Choix pédagogiques'!$C$4)/('Choix pédagogiques'!$C$5-'Choix pédagogiques'!$C$4),"")</f>
        <v/>
      </c>
      <c r="AT638" s="55" t="str">
        <f aca="false">IF(AND('Choix pédagogiques'!$C$4&lt;&gt;"?",'Choix pédagogiques'!$C$5&lt;&gt;"?",Y638&lt;&gt;""),(Y638-'Choix pédagogiques'!$C$4)/('Choix pédagogiques'!$C$5-'Choix pédagogiques'!$C$4),"")</f>
        <v/>
      </c>
      <c r="AU638" s="53" t="str">
        <f aca="false">IF($E638&lt;&gt;"",$E638,"")</f>
        <v/>
      </c>
      <c r="AV638" s="52" t="str">
        <f aca="false">IF($F638&lt;&gt;"",$F638,"")</f>
        <v>Apprenant 626 ou 626'</v>
      </c>
      <c r="AW638" s="55" t="str">
        <f aca="false">IF(AND('Choix pédagogiques'!$C$4&lt;&gt;"?",'Choix pédagogiques'!$C$5&lt;&gt;"?",AB638&lt;&gt;""),(AB638-'Choix pédagogiques'!$C$4)/('Choix pédagogiques'!$C$5-'Choix pédagogiques'!$C$4),"")</f>
        <v/>
      </c>
      <c r="AX638" s="55" t="str">
        <f aca="false">IF(AND('Choix pédagogiques'!$C$4&lt;&gt;"?",'Choix pédagogiques'!$C$5&lt;&gt;"?",AC638&lt;&gt;""),(AC638-'Choix pédagogiques'!$C$4)/('Choix pédagogiques'!$C$5-'Choix pédagogiques'!$C$4),"")</f>
        <v/>
      </c>
      <c r="AY638" s="55" t="str">
        <f aca="false">IF(AND('Choix pédagogiques'!$C$4&lt;&gt;"?",'Choix pédagogiques'!$C$5&lt;&gt;"?",AD638&lt;&gt;""),(AD638-'Choix pédagogiques'!$C$4)/('Choix pédagogiques'!$C$5-'Choix pédagogiques'!$C$4),"")</f>
        <v/>
      </c>
      <c r="AZ638" s="53" t="str">
        <f aca="false">IF($J638&lt;&gt;"",$J638,"")</f>
        <v/>
      </c>
      <c r="BA638" s="52" t="str">
        <f aca="false">IF($A638&lt;&gt;"",$A638,"")</f>
        <v>Apprenant 626</v>
      </c>
      <c r="BB638" s="55" t="str">
        <f aca="false">IF(AND($AR638&lt;&gt;"",$AS638&lt;&gt;""),$AS638-$AR638,"")</f>
        <v/>
      </c>
      <c r="BC638" s="55" t="str">
        <f aca="false">IF(AND($AR638&lt;&gt;"",$AT638&lt;&gt;""),$AT638-$AR638,"")</f>
        <v/>
      </c>
      <c r="BD638" s="55" t="str">
        <f aca="false">IF(AND($AS638&lt;&gt;"",$AT638&lt;&gt;""),$AT638-$AS638,"")</f>
        <v/>
      </c>
      <c r="BE638" s="53" t="str">
        <f aca="false">IF($E638&lt;&gt;"",$E638,"")</f>
        <v/>
      </c>
      <c r="BF638" s="52" t="str">
        <f aca="false">IF($F638&lt;&gt;"",$F638,"")</f>
        <v>Apprenant 626 ou 626'</v>
      </c>
      <c r="BG638" s="55" t="str">
        <f aca="false">IF(AND($AW638&lt;&gt;"",$AX638&lt;&gt;""),$AX638-$AW638,"")</f>
        <v/>
      </c>
      <c r="BH638" s="55" t="str">
        <f aca="false">IF(AND($AW638&lt;&gt;"",$AY638&lt;&gt;""),$AY638-$AW638,"")</f>
        <v/>
      </c>
      <c r="BI638" s="55" t="str">
        <f aca="false">IF(AND($AX638&lt;&gt;"",$AY638&lt;&gt;""),$AY638-$AX638,"")</f>
        <v/>
      </c>
      <c r="BJ638" s="53" t="str">
        <f aca="false">IF($J638&lt;&gt;"",$J638,"")</f>
        <v/>
      </c>
      <c r="BL638" s="52"/>
      <c r="BM638" s="52" t="str">
        <f aca="false">IF(OR(COUNT(B638:D1637)=0,AND('Choix pédagogiques'!$C$3&lt;&gt;1,'Choix pédagogiques'!$C$3&lt;&gt;2)),"",IF(AND(OR('Choix pédagogiques'!$C$3=1,'Choix pédagogiques'!$C$3=2),$B638&lt;&gt;"",$C638&lt;&gt;"",$D638&lt;&gt;""),1,0))</f>
        <v/>
      </c>
      <c r="BN638" s="52" t="str">
        <f aca="false">IF(OR(COUNT(G638:I1637)=0,AND('Choix pédagogiques'!$C$3&lt;&gt;1,'Choix pédagogiques'!$C$3&lt;&gt;2)),"",IF(AND(OR('Choix pédagogiques'!$C$3=1,'Choix pédagogiques'!$C$3=2),AND($G638&lt;&gt;"",$H638&lt;&gt;"",$I638&lt;&gt;"")),1,0))</f>
        <v/>
      </c>
      <c r="BO638" s="52" t="str">
        <f aca="false">IF(OR(COUNT(B638:D1637)=0,COUNT(G638:I1637)=0,'Choix pédagogiques'!C$3&lt;&gt;3),"",IF(AND('Choix pédagogiques'!$C$3=3,$B638&lt;&gt;"",$C638&lt;&gt;"",$D638&lt;&gt;"",$G638&lt;&gt;"",$H638&lt;&gt;"",$I638&lt;&gt;""),1,0))</f>
        <v/>
      </c>
      <c r="BR638" s="52" t="n">
        <v>623</v>
      </c>
      <c r="BS638" s="52" t="n">
        <v>1319</v>
      </c>
    </row>
    <row r="639" s="54" customFormat="true" ht="18" hidden="false" customHeight="true" outlineLevel="0" collapsed="false">
      <c r="A639" s="57" t="s">
        <v>1209</v>
      </c>
      <c r="B639" s="51"/>
      <c r="C639" s="51"/>
      <c r="D639" s="51"/>
      <c r="E639" s="51"/>
      <c r="F639" s="57" t="s">
        <v>1210</v>
      </c>
      <c r="G639" s="51"/>
      <c r="H639" s="51"/>
      <c r="I639" s="51"/>
      <c r="J639" s="51"/>
      <c r="K639" s="52" t="str">
        <f aca="false">IF($A639&lt;&gt;"",$A639,"")</f>
        <v>Apprenant 627</v>
      </c>
      <c r="L639" s="53" t="str">
        <f aca="false">IF(AND($B639&lt;&gt;"",$C639&lt;&gt;""),$C639-$B639,"")</f>
        <v/>
      </c>
      <c r="M639" s="53" t="str">
        <f aca="false">IF(AND($B639&lt;&gt;"",$D639&lt;&gt;""),$D639-$B639,"")</f>
        <v/>
      </c>
      <c r="N639" s="53" t="str">
        <f aca="false">IF(AND($C639&lt;&gt;"",$D639&lt;&gt;""),$D639-$C639,"")</f>
        <v/>
      </c>
      <c r="O639" s="53" t="str">
        <f aca="false">IF($E639&lt;&gt;"",$E639,"")</f>
        <v/>
      </c>
      <c r="P639" s="52" t="str">
        <f aca="false">IF($F639&lt;&gt;"",$F639,"")</f>
        <v>Apprenant 627 ou 627'</v>
      </c>
      <c r="Q639" s="53" t="str">
        <f aca="false">IF(AND($G639&lt;&gt;"",$H639&lt;&gt;""),$H639-$G639,"")</f>
        <v/>
      </c>
      <c r="R639" s="53" t="str">
        <f aca="false">IF(AND($G639&lt;&gt;"",$I639&lt;&gt;""),$I639-$G639,"")</f>
        <v/>
      </c>
      <c r="S639" s="53" t="str">
        <f aca="false">IF(AND($H639&lt;&gt;"",$I639&lt;&gt;""),$I639-$H639,"")</f>
        <v/>
      </c>
      <c r="T639" s="53" t="str">
        <f aca="false">IF($J639&lt;&gt;"",$J639,"")</f>
        <v/>
      </c>
      <c r="V639" s="52" t="str">
        <f aca="false">IF($A639&lt;&gt;"",$A639,"")</f>
        <v>Apprenant 627</v>
      </c>
      <c r="W639" s="53" t="str">
        <f aca="false">IF(AND(OR('Choix pédagogiques'!$C$3=1,'Choix pédagogiques'!$C$3=2),$BM639=1),B639,IF(AND('Choix pédagogiques'!$C$3=3,$BO639=1),B639,""))</f>
        <v/>
      </c>
      <c r="X639" s="53" t="str">
        <f aca="false">IF(AND(OR('Choix pédagogiques'!$C$3=1,'Choix pédagogiques'!$C$3=2),$BM639=1),C639,IF(AND('Choix pédagogiques'!$C$3=3,$BO639=1),C639,""))</f>
        <v/>
      </c>
      <c r="Y639" s="53" t="str">
        <f aca="false">IF(AND(OR('Choix pédagogiques'!$C$3=1,'Choix pédagogiques'!$C$3=2),$BM639=1),D639,IF(AND('Choix pédagogiques'!$C$3=3,$BO639=1),D639,""))</f>
        <v/>
      </c>
      <c r="Z639" s="53" t="str">
        <f aca="false">IF($E639&lt;&gt;"",$E639,"")</f>
        <v/>
      </c>
      <c r="AA639" s="52" t="str">
        <f aca="false">IF($F639&lt;&gt;"",$F639,"")</f>
        <v>Apprenant 627 ou 627'</v>
      </c>
      <c r="AB639" s="53" t="str">
        <f aca="false">IF(AND(OR('Choix pédagogiques'!$C$3=1,'Choix pédagogiques'!$C$3=2),$BN639=1),G639,IF(AND('Choix pédagogiques'!$C$3=3,$BO639=1),G639,""))</f>
        <v/>
      </c>
      <c r="AC639" s="53" t="str">
        <f aca="false">IF(AND(OR('Choix pédagogiques'!$C$3=1,'Choix pédagogiques'!$C$3=2),$BN639=1),H639,IF(AND('Choix pédagogiques'!$C$3=3,$BO639=1),H639,""))</f>
        <v/>
      </c>
      <c r="AD639" s="53" t="str">
        <f aca="false">IF(AND(OR('Choix pédagogiques'!$C$3=1,'Choix pédagogiques'!$C$3=2),$BN639=1),I639,IF(AND('Choix pédagogiques'!$C$3=3,$BO639=1),I639,""))</f>
        <v/>
      </c>
      <c r="AE639" s="53" t="str">
        <f aca="false">IF($J639&lt;&gt;"",$J639,"")</f>
        <v/>
      </c>
      <c r="AF639" s="52" t="str">
        <f aca="false">IF($A639&lt;&gt;"",$A639,"")</f>
        <v>Apprenant 627</v>
      </c>
      <c r="AG639" s="53" t="str">
        <f aca="false">IF(AND($W639&lt;&gt;"",$X639&lt;&gt;""),$X639-$W639,"")</f>
        <v/>
      </c>
      <c r="AH639" s="53" t="str">
        <f aca="false">IF(AND($W639&lt;&gt;"",$Y639&lt;&gt;""),$Y639-$W639,"")</f>
        <v/>
      </c>
      <c r="AI639" s="53" t="str">
        <f aca="false">IF(AND($X639&lt;&gt;"",$Y639&lt;&gt;""),$Y639-$X639,"")</f>
        <v/>
      </c>
      <c r="AJ639" s="53" t="str">
        <f aca="false">IF($E639&lt;&gt;"",$E639,"")</f>
        <v/>
      </c>
      <c r="AK639" s="52" t="str">
        <f aca="false">IF($F639&lt;&gt;"",$F639,"")</f>
        <v>Apprenant 627 ou 627'</v>
      </c>
      <c r="AL639" s="53" t="str">
        <f aca="false">IF(AND($AB639&lt;&gt;"",$AC639&lt;&gt;""),$AC639-$AB639,"")</f>
        <v/>
      </c>
      <c r="AM639" s="53" t="str">
        <f aca="false">IF(AND($AB639&lt;&gt;"",$AD639&lt;&gt;""),$AD639-$AB639,"")</f>
        <v/>
      </c>
      <c r="AN639" s="53" t="str">
        <f aca="false">IF(AND($AC639&lt;&gt;"",$AD639&lt;&gt;""),$AD639-$AC639,"")</f>
        <v/>
      </c>
      <c r="AO639" s="53" t="str">
        <f aca="false">IF($J639&lt;&gt;"",$J639,"")</f>
        <v/>
      </c>
      <c r="AQ639" s="52" t="str">
        <f aca="false">IF($A639&lt;&gt;"",$A639,"")</f>
        <v>Apprenant 627</v>
      </c>
      <c r="AR639" s="55" t="str">
        <f aca="false">IF(AND('Choix pédagogiques'!$C$4&lt;&gt;"?",'Choix pédagogiques'!$C$5&lt;&gt;"?",W639&lt;&gt;""),(W639-'Choix pédagogiques'!$C$4)/('Choix pédagogiques'!$C$5-'Choix pédagogiques'!$C$4),"")</f>
        <v/>
      </c>
      <c r="AS639" s="55" t="str">
        <f aca="false">IF(AND('Choix pédagogiques'!$C$4&lt;&gt;"?",'Choix pédagogiques'!$C$5&lt;&gt;"?",X639&lt;&gt;""),(X639-'Choix pédagogiques'!$C$4)/('Choix pédagogiques'!$C$5-'Choix pédagogiques'!$C$4),"")</f>
        <v/>
      </c>
      <c r="AT639" s="55" t="str">
        <f aca="false">IF(AND('Choix pédagogiques'!$C$4&lt;&gt;"?",'Choix pédagogiques'!$C$5&lt;&gt;"?",Y639&lt;&gt;""),(Y639-'Choix pédagogiques'!$C$4)/('Choix pédagogiques'!$C$5-'Choix pédagogiques'!$C$4),"")</f>
        <v/>
      </c>
      <c r="AU639" s="53" t="str">
        <f aca="false">IF($E639&lt;&gt;"",$E639,"")</f>
        <v/>
      </c>
      <c r="AV639" s="52" t="str">
        <f aca="false">IF($F639&lt;&gt;"",$F639,"")</f>
        <v>Apprenant 627 ou 627'</v>
      </c>
      <c r="AW639" s="55" t="str">
        <f aca="false">IF(AND('Choix pédagogiques'!$C$4&lt;&gt;"?",'Choix pédagogiques'!$C$5&lt;&gt;"?",AB639&lt;&gt;""),(AB639-'Choix pédagogiques'!$C$4)/('Choix pédagogiques'!$C$5-'Choix pédagogiques'!$C$4),"")</f>
        <v/>
      </c>
      <c r="AX639" s="55" t="str">
        <f aca="false">IF(AND('Choix pédagogiques'!$C$4&lt;&gt;"?",'Choix pédagogiques'!$C$5&lt;&gt;"?",AC639&lt;&gt;""),(AC639-'Choix pédagogiques'!$C$4)/('Choix pédagogiques'!$C$5-'Choix pédagogiques'!$C$4),"")</f>
        <v/>
      </c>
      <c r="AY639" s="55" t="str">
        <f aca="false">IF(AND('Choix pédagogiques'!$C$4&lt;&gt;"?",'Choix pédagogiques'!$C$5&lt;&gt;"?",AD639&lt;&gt;""),(AD639-'Choix pédagogiques'!$C$4)/('Choix pédagogiques'!$C$5-'Choix pédagogiques'!$C$4),"")</f>
        <v/>
      </c>
      <c r="AZ639" s="53" t="str">
        <f aca="false">IF($J639&lt;&gt;"",$J639,"")</f>
        <v/>
      </c>
      <c r="BA639" s="52" t="str">
        <f aca="false">IF($A639&lt;&gt;"",$A639,"")</f>
        <v>Apprenant 627</v>
      </c>
      <c r="BB639" s="55" t="str">
        <f aca="false">IF(AND($AR639&lt;&gt;"",$AS639&lt;&gt;""),$AS639-$AR639,"")</f>
        <v/>
      </c>
      <c r="BC639" s="55" t="str">
        <f aca="false">IF(AND($AR639&lt;&gt;"",$AT639&lt;&gt;""),$AT639-$AR639,"")</f>
        <v/>
      </c>
      <c r="BD639" s="55" t="str">
        <f aca="false">IF(AND($AS639&lt;&gt;"",$AT639&lt;&gt;""),$AT639-$AS639,"")</f>
        <v/>
      </c>
      <c r="BE639" s="53" t="str">
        <f aca="false">IF($E639&lt;&gt;"",$E639,"")</f>
        <v/>
      </c>
      <c r="BF639" s="52" t="str">
        <f aca="false">IF($F639&lt;&gt;"",$F639,"")</f>
        <v>Apprenant 627 ou 627'</v>
      </c>
      <c r="BG639" s="55" t="str">
        <f aca="false">IF(AND($AW639&lt;&gt;"",$AX639&lt;&gt;""),$AX639-$AW639,"")</f>
        <v/>
      </c>
      <c r="BH639" s="55" t="str">
        <f aca="false">IF(AND($AW639&lt;&gt;"",$AY639&lt;&gt;""),$AY639-$AW639,"")</f>
        <v/>
      </c>
      <c r="BI639" s="55" t="str">
        <f aca="false">IF(AND($AX639&lt;&gt;"",$AY639&lt;&gt;""),$AY639-$AX639,"")</f>
        <v/>
      </c>
      <c r="BJ639" s="53" t="str">
        <f aca="false">IF($J639&lt;&gt;"",$J639,"")</f>
        <v/>
      </c>
      <c r="BL639" s="52"/>
      <c r="BM639" s="52" t="str">
        <f aca="false">IF(OR(COUNT(B639:D1638)=0,AND('Choix pédagogiques'!$C$3&lt;&gt;1,'Choix pédagogiques'!$C$3&lt;&gt;2)),"",IF(AND(OR('Choix pédagogiques'!$C$3=1,'Choix pédagogiques'!$C$3=2),$B639&lt;&gt;"",$C639&lt;&gt;"",$D639&lt;&gt;""),1,0))</f>
        <v/>
      </c>
      <c r="BN639" s="52" t="str">
        <f aca="false">IF(OR(COUNT(G639:I1638)=0,AND('Choix pédagogiques'!$C$3&lt;&gt;1,'Choix pédagogiques'!$C$3&lt;&gt;2)),"",IF(AND(OR('Choix pédagogiques'!$C$3=1,'Choix pédagogiques'!$C$3=2),AND($G639&lt;&gt;"",$H639&lt;&gt;"",$I639&lt;&gt;"")),1,0))</f>
        <v/>
      </c>
      <c r="BO639" s="52" t="str">
        <f aca="false">IF(OR(COUNT(B639:D1638)=0,COUNT(G639:I1638)=0,'Choix pédagogiques'!C$3&lt;&gt;3),"",IF(AND('Choix pédagogiques'!$C$3=3,$B639&lt;&gt;"",$C639&lt;&gt;"",$D639&lt;&gt;"",$G639&lt;&gt;"",$H639&lt;&gt;"",$I639&lt;&gt;""),1,0))</f>
        <v/>
      </c>
      <c r="BR639" s="52" t="n">
        <v>362</v>
      </c>
      <c r="BS639" s="52" t="n">
        <v>1423</v>
      </c>
    </row>
    <row r="640" s="54" customFormat="true" ht="18" hidden="false" customHeight="true" outlineLevel="0" collapsed="false">
      <c r="A640" s="57" t="s">
        <v>1211</v>
      </c>
      <c r="B640" s="51"/>
      <c r="C640" s="51"/>
      <c r="D640" s="51"/>
      <c r="E640" s="51"/>
      <c r="F640" s="57" t="s">
        <v>1212</v>
      </c>
      <c r="G640" s="51"/>
      <c r="H640" s="51"/>
      <c r="I640" s="51"/>
      <c r="J640" s="51"/>
      <c r="K640" s="52" t="str">
        <f aca="false">IF($A640&lt;&gt;"",$A640,"")</f>
        <v>Apprenant 628</v>
      </c>
      <c r="L640" s="53" t="str">
        <f aca="false">IF(AND($B640&lt;&gt;"",$C640&lt;&gt;""),$C640-$B640,"")</f>
        <v/>
      </c>
      <c r="M640" s="53" t="str">
        <f aca="false">IF(AND($B640&lt;&gt;"",$D640&lt;&gt;""),$D640-$B640,"")</f>
        <v/>
      </c>
      <c r="N640" s="53" t="str">
        <f aca="false">IF(AND($C640&lt;&gt;"",$D640&lt;&gt;""),$D640-$C640,"")</f>
        <v/>
      </c>
      <c r="O640" s="53" t="str">
        <f aca="false">IF($E640&lt;&gt;"",$E640,"")</f>
        <v/>
      </c>
      <c r="P640" s="52" t="str">
        <f aca="false">IF($F640&lt;&gt;"",$F640,"")</f>
        <v>Apprenant 628 ou 628'</v>
      </c>
      <c r="Q640" s="53" t="str">
        <f aca="false">IF(AND($G640&lt;&gt;"",$H640&lt;&gt;""),$H640-$G640,"")</f>
        <v/>
      </c>
      <c r="R640" s="53" t="str">
        <f aca="false">IF(AND($G640&lt;&gt;"",$I640&lt;&gt;""),$I640-$G640,"")</f>
        <v/>
      </c>
      <c r="S640" s="53" t="str">
        <f aca="false">IF(AND($H640&lt;&gt;"",$I640&lt;&gt;""),$I640-$H640,"")</f>
        <v/>
      </c>
      <c r="T640" s="53" t="str">
        <f aca="false">IF($J640&lt;&gt;"",$J640,"")</f>
        <v/>
      </c>
      <c r="V640" s="52" t="str">
        <f aca="false">IF($A640&lt;&gt;"",$A640,"")</f>
        <v>Apprenant 628</v>
      </c>
      <c r="W640" s="53" t="str">
        <f aca="false">IF(AND(OR('Choix pédagogiques'!$C$3=1,'Choix pédagogiques'!$C$3=2),$BM640=1),B640,IF(AND('Choix pédagogiques'!$C$3=3,$BO640=1),B640,""))</f>
        <v/>
      </c>
      <c r="X640" s="53" t="str">
        <f aca="false">IF(AND(OR('Choix pédagogiques'!$C$3=1,'Choix pédagogiques'!$C$3=2),$BM640=1),C640,IF(AND('Choix pédagogiques'!$C$3=3,$BO640=1),C640,""))</f>
        <v/>
      </c>
      <c r="Y640" s="53" t="str">
        <f aca="false">IF(AND(OR('Choix pédagogiques'!$C$3=1,'Choix pédagogiques'!$C$3=2),$BM640=1),D640,IF(AND('Choix pédagogiques'!$C$3=3,$BO640=1),D640,""))</f>
        <v/>
      </c>
      <c r="Z640" s="53" t="str">
        <f aca="false">IF($E640&lt;&gt;"",$E640,"")</f>
        <v/>
      </c>
      <c r="AA640" s="52" t="str">
        <f aca="false">IF($F640&lt;&gt;"",$F640,"")</f>
        <v>Apprenant 628 ou 628'</v>
      </c>
      <c r="AB640" s="53" t="str">
        <f aca="false">IF(AND(OR('Choix pédagogiques'!$C$3=1,'Choix pédagogiques'!$C$3=2),$BN640=1),G640,IF(AND('Choix pédagogiques'!$C$3=3,$BO640=1),G640,""))</f>
        <v/>
      </c>
      <c r="AC640" s="53" t="str">
        <f aca="false">IF(AND(OR('Choix pédagogiques'!$C$3=1,'Choix pédagogiques'!$C$3=2),$BN640=1),H640,IF(AND('Choix pédagogiques'!$C$3=3,$BO640=1),H640,""))</f>
        <v/>
      </c>
      <c r="AD640" s="53" t="str">
        <f aca="false">IF(AND(OR('Choix pédagogiques'!$C$3=1,'Choix pédagogiques'!$C$3=2),$BN640=1),I640,IF(AND('Choix pédagogiques'!$C$3=3,$BO640=1),I640,""))</f>
        <v/>
      </c>
      <c r="AE640" s="53" t="str">
        <f aca="false">IF($J640&lt;&gt;"",$J640,"")</f>
        <v/>
      </c>
      <c r="AF640" s="52" t="str">
        <f aca="false">IF($A640&lt;&gt;"",$A640,"")</f>
        <v>Apprenant 628</v>
      </c>
      <c r="AG640" s="53" t="str">
        <f aca="false">IF(AND($W640&lt;&gt;"",$X640&lt;&gt;""),$X640-$W640,"")</f>
        <v/>
      </c>
      <c r="AH640" s="53" t="str">
        <f aca="false">IF(AND($W640&lt;&gt;"",$Y640&lt;&gt;""),$Y640-$W640,"")</f>
        <v/>
      </c>
      <c r="AI640" s="53" t="str">
        <f aca="false">IF(AND($X640&lt;&gt;"",$Y640&lt;&gt;""),$Y640-$X640,"")</f>
        <v/>
      </c>
      <c r="AJ640" s="53" t="str">
        <f aca="false">IF($E640&lt;&gt;"",$E640,"")</f>
        <v/>
      </c>
      <c r="AK640" s="52" t="str">
        <f aca="false">IF($F640&lt;&gt;"",$F640,"")</f>
        <v>Apprenant 628 ou 628'</v>
      </c>
      <c r="AL640" s="53" t="str">
        <f aca="false">IF(AND($AB640&lt;&gt;"",$AC640&lt;&gt;""),$AC640-$AB640,"")</f>
        <v/>
      </c>
      <c r="AM640" s="53" t="str">
        <f aca="false">IF(AND($AB640&lt;&gt;"",$AD640&lt;&gt;""),$AD640-$AB640,"")</f>
        <v/>
      </c>
      <c r="AN640" s="53" t="str">
        <f aca="false">IF(AND($AC640&lt;&gt;"",$AD640&lt;&gt;""),$AD640-$AC640,"")</f>
        <v/>
      </c>
      <c r="AO640" s="53" t="str">
        <f aca="false">IF($J640&lt;&gt;"",$J640,"")</f>
        <v/>
      </c>
      <c r="AQ640" s="52" t="str">
        <f aca="false">IF($A640&lt;&gt;"",$A640,"")</f>
        <v>Apprenant 628</v>
      </c>
      <c r="AR640" s="55" t="str">
        <f aca="false">IF(AND('Choix pédagogiques'!$C$4&lt;&gt;"?",'Choix pédagogiques'!$C$5&lt;&gt;"?",W640&lt;&gt;""),(W640-'Choix pédagogiques'!$C$4)/('Choix pédagogiques'!$C$5-'Choix pédagogiques'!$C$4),"")</f>
        <v/>
      </c>
      <c r="AS640" s="55" t="str">
        <f aca="false">IF(AND('Choix pédagogiques'!$C$4&lt;&gt;"?",'Choix pédagogiques'!$C$5&lt;&gt;"?",X640&lt;&gt;""),(X640-'Choix pédagogiques'!$C$4)/('Choix pédagogiques'!$C$5-'Choix pédagogiques'!$C$4),"")</f>
        <v/>
      </c>
      <c r="AT640" s="55" t="str">
        <f aca="false">IF(AND('Choix pédagogiques'!$C$4&lt;&gt;"?",'Choix pédagogiques'!$C$5&lt;&gt;"?",Y640&lt;&gt;""),(Y640-'Choix pédagogiques'!$C$4)/('Choix pédagogiques'!$C$5-'Choix pédagogiques'!$C$4),"")</f>
        <v/>
      </c>
      <c r="AU640" s="53" t="str">
        <f aca="false">IF($E640&lt;&gt;"",$E640,"")</f>
        <v/>
      </c>
      <c r="AV640" s="52" t="str">
        <f aca="false">IF($F640&lt;&gt;"",$F640,"")</f>
        <v>Apprenant 628 ou 628'</v>
      </c>
      <c r="AW640" s="55" t="str">
        <f aca="false">IF(AND('Choix pédagogiques'!$C$4&lt;&gt;"?",'Choix pédagogiques'!$C$5&lt;&gt;"?",AB640&lt;&gt;""),(AB640-'Choix pédagogiques'!$C$4)/('Choix pédagogiques'!$C$5-'Choix pédagogiques'!$C$4),"")</f>
        <v/>
      </c>
      <c r="AX640" s="55" t="str">
        <f aca="false">IF(AND('Choix pédagogiques'!$C$4&lt;&gt;"?",'Choix pédagogiques'!$C$5&lt;&gt;"?",AC640&lt;&gt;""),(AC640-'Choix pédagogiques'!$C$4)/('Choix pédagogiques'!$C$5-'Choix pédagogiques'!$C$4),"")</f>
        <v/>
      </c>
      <c r="AY640" s="55" t="str">
        <f aca="false">IF(AND('Choix pédagogiques'!$C$4&lt;&gt;"?",'Choix pédagogiques'!$C$5&lt;&gt;"?",AD640&lt;&gt;""),(AD640-'Choix pédagogiques'!$C$4)/('Choix pédagogiques'!$C$5-'Choix pédagogiques'!$C$4),"")</f>
        <v/>
      </c>
      <c r="AZ640" s="53" t="str">
        <f aca="false">IF($J640&lt;&gt;"",$J640,"")</f>
        <v/>
      </c>
      <c r="BA640" s="52" t="str">
        <f aca="false">IF($A640&lt;&gt;"",$A640,"")</f>
        <v>Apprenant 628</v>
      </c>
      <c r="BB640" s="55" t="str">
        <f aca="false">IF(AND($AR640&lt;&gt;"",$AS640&lt;&gt;""),$AS640-$AR640,"")</f>
        <v/>
      </c>
      <c r="BC640" s="55" t="str">
        <f aca="false">IF(AND($AR640&lt;&gt;"",$AT640&lt;&gt;""),$AT640-$AR640,"")</f>
        <v/>
      </c>
      <c r="BD640" s="55" t="str">
        <f aca="false">IF(AND($AS640&lt;&gt;"",$AT640&lt;&gt;""),$AT640-$AS640,"")</f>
        <v/>
      </c>
      <c r="BE640" s="53" t="str">
        <f aca="false">IF($E640&lt;&gt;"",$E640,"")</f>
        <v/>
      </c>
      <c r="BF640" s="52" t="str">
        <f aca="false">IF($F640&lt;&gt;"",$F640,"")</f>
        <v>Apprenant 628 ou 628'</v>
      </c>
      <c r="BG640" s="55" t="str">
        <f aca="false">IF(AND($AW640&lt;&gt;"",$AX640&lt;&gt;""),$AX640-$AW640,"")</f>
        <v/>
      </c>
      <c r="BH640" s="55" t="str">
        <f aca="false">IF(AND($AW640&lt;&gt;"",$AY640&lt;&gt;""),$AY640-$AW640,"")</f>
        <v/>
      </c>
      <c r="BI640" s="55" t="str">
        <f aca="false">IF(AND($AX640&lt;&gt;"",$AY640&lt;&gt;""),$AY640-$AX640,"")</f>
        <v/>
      </c>
      <c r="BJ640" s="53" t="str">
        <f aca="false">IF($J640&lt;&gt;"",$J640,"")</f>
        <v/>
      </c>
      <c r="BL640" s="52"/>
      <c r="BM640" s="52" t="str">
        <f aca="false">IF(OR(COUNT(B640:D1639)=0,AND('Choix pédagogiques'!$C$3&lt;&gt;1,'Choix pédagogiques'!$C$3&lt;&gt;2)),"",IF(AND(OR('Choix pédagogiques'!$C$3=1,'Choix pédagogiques'!$C$3=2),$B640&lt;&gt;"",$C640&lt;&gt;"",$D640&lt;&gt;""),1,0))</f>
        <v/>
      </c>
      <c r="BN640" s="52" t="str">
        <f aca="false">IF(OR(COUNT(G640:I1639)=0,AND('Choix pédagogiques'!$C$3&lt;&gt;1,'Choix pédagogiques'!$C$3&lt;&gt;2)),"",IF(AND(OR('Choix pédagogiques'!$C$3=1,'Choix pédagogiques'!$C$3=2),AND($G640&lt;&gt;"",$H640&lt;&gt;"",$I640&lt;&gt;"")),1,0))</f>
        <v/>
      </c>
      <c r="BO640" s="52" t="str">
        <f aca="false">IF(OR(COUNT(B640:D1639)=0,COUNT(G640:I1639)=0,'Choix pédagogiques'!C$3&lt;&gt;3),"",IF(AND('Choix pédagogiques'!$C$3=3,$B640&lt;&gt;"",$C640&lt;&gt;"",$D640&lt;&gt;"",$G640&lt;&gt;"",$H640&lt;&gt;"",$I640&lt;&gt;""),1,0))</f>
        <v/>
      </c>
      <c r="BR640" s="52" t="n">
        <v>875</v>
      </c>
      <c r="BS640" s="52" t="n">
        <v>1777</v>
      </c>
    </row>
    <row r="641" s="54" customFormat="true" ht="18" hidden="false" customHeight="true" outlineLevel="0" collapsed="false">
      <c r="A641" s="57" t="s">
        <v>1213</v>
      </c>
      <c r="B641" s="51"/>
      <c r="C641" s="51"/>
      <c r="D641" s="51"/>
      <c r="E641" s="51"/>
      <c r="F641" s="57" t="s">
        <v>1214</v>
      </c>
      <c r="G641" s="51"/>
      <c r="H641" s="51"/>
      <c r="I641" s="51"/>
      <c r="J641" s="51"/>
      <c r="K641" s="52" t="str">
        <f aca="false">IF($A641&lt;&gt;"",$A641,"")</f>
        <v>Apprenant 629</v>
      </c>
      <c r="L641" s="53" t="str">
        <f aca="false">IF(AND($B641&lt;&gt;"",$C641&lt;&gt;""),$C641-$B641,"")</f>
        <v/>
      </c>
      <c r="M641" s="53" t="str">
        <f aca="false">IF(AND($B641&lt;&gt;"",$D641&lt;&gt;""),$D641-$B641,"")</f>
        <v/>
      </c>
      <c r="N641" s="53" t="str">
        <f aca="false">IF(AND($C641&lt;&gt;"",$D641&lt;&gt;""),$D641-$C641,"")</f>
        <v/>
      </c>
      <c r="O641" s="53" t="str">
        <f aca="false">IF($E641&lt;&gt;"",$E641,"")</f>
        <v/>
      </c>
      <c r="P641" s="52" t="str">
        <f aca="false">IF($F641&lt;&gt;"",$F641,"")</f>
        <v>Apprenant 629 ou 629'</v>
      </c>
      <c r="Q641" s="53" t="str">
        <f aca="false">IF(AND($G641&lt;&gt;"",$H641&lt;&gt;""),$H641-$G641,"")</f>
        <v/>
      </c>
      <c r="R641" s="53" t="str">
        <f aca="false">IF(AND($G641&lt;&gt;"",$I641&lt;&gt;""),$I641-$G641,"")</f>
        <v/>
      </c>
      <c r="S641" s="53" t="str">
        <f aca="false">IF(AND($H641&lt;&gt;"",$I641&lt;&gt;""),$I641-$H641,"")</f>
        <v/>
      </c>
      <c r="T641" s="53" t="str">
        <f aca="false">IF($J641&lt;&gt;"",$J641,"")</f>
        <v/>
      </c>
      <c r="V641" s="52" t="str">
        <f aca="false">IF($A641&lt;&gt;"",$A641,"")</f>
        <v>Apprenant 629</v>
      </c>
      <c r="W641" s="53" t="str">
        <f aca="false">IF(AND(OR('Choix pédagogiques'!$C$3=1,'Choix pédagogiques'!$C$3=2),$BM641=1),B641,IF(AND('Choix pédagogiques'!$C$3=3,$BO641=1),B641,""))</f>
        <v/>
      </c>
      <c r="X641" s="53" t="str">
        <f aca="false">IF(AND(OR('Choix pédagogiques'!$C$3=1,'Choix pédagogiques'!$C$3=2),$BM641=1),C641,IF(AND('Choix pédagogiques'!$C$3=3,$BO641=1),C641,""))</f>
        <v/>
      </c>
      <c r="Y641" s="53" t="str">
        <f aca="false">IF(AND(OR('Choix pédagogiques'!$C$3=1,'Choix pédagogiques'!$C$3=2),$BM641=1),D641,IF(AND('Choix pédagogiques'!$C$3=3,$BO641=1),D641,""))</f>
        <v/>
      </c>
      <c r="Z641" s="53" t="str">
        <f aca="false">IF($E641&lt;&gt;"",$E641,"")</f>
        <v/>
      </c>
      <c r="AA641" s="52" t="str">
        <f aca="false">IF($F641&lt;&gt;"",$F641,"")</f>
        <v>Apprenant 629 ou 629'</v>
      </c>
      <c r="AB641" s="53" t="str">
        <f aca="false">IF(AND(OR('Choix pédagogiques'!$C$3=1,'Choix pédagogiques'!$C$3=2),$BN641=1),G641,IF(AND('Choix pédagogiques'!$C$3=3,$BO641=1),G641,""))</f>
        <v/>
      </c>
      <c r="AC641" s="53" t="str">
        <f aca="false">IF(AND(OR('Choix pédagogiques'!$C$3=1,'Choix pédagogiques'!$C$3=2),$BN641=1),H641,IF(AND('Choix pédagogiques'!$C$3=3,$BO641=1),H641,""))</f>
        <v/>
      </c>
      <c r="AD641" s="53" t="str">
        <f aca="false">IF(AND(OR('Choix pédagogiques'!$C$3=1,'Choix pédagogiques'!$C$3=2),$BN641=1),I641,IF(AND('Choix pédagogiques'!$C$3=3,$BO641=1),I641,""))</f>
        <v/>
      </c>
      <c r="AE641" s="53" t="str">
        <f aca="false">IF($J641&lt;&gt;"",$J641,"")</f>
        <v/>
      </c>
      <c r="AF641" s="52" t="str">
        <f aca="false">IF($A641&lt;&gt;"",$A641,"")</f>
        <v>Apprenant 629</v>
      </c>
      <c r="AG641" s="53" t="str">
        <f aca="false">IF(AND($W641&lt;&gt;"",$X641&lt;&gt;""),$X641-$W641,"")</f>
        <v/>
      </c>
      <c r="AH641" s="53" t="str">
        <f aca="false">IF(AND($W641&lt;&gt;"",$Y641&lt;&gt;""),$Y641-$W641,"")</f>
        <v/>
      </c>
      <c r="AI641" s="53" t="str">
        <f aca="false">IF(AND($X641&lt;&gt;"",$Y641&lt;&gt;""),$Y641-$X641,"")</f>
        <v/>
      </c>
      <c r="AJ641" s="53" t="str">
        <f aca="false">IF($E641&lt;&gt;"",$E641,"")</f>
        <v/>
      </c>
      <c r="AK641" s="52" t="str">
        <f aca="false">IF($F641&lt;&gt;"",$F641,"")</f>
        <v>Apprenant 629 ou 629'</v>
      </c>
      <c r="AL641" s="53" t="str">
        <f aca="false">IF(AND($AB641&lt;&gt;"",$AC641&lt;&gt;""),$AC641-$AB641,"")</f>
        <v/>
      </c>
      <c r="AM641" s="53" t="str">
        <f aca="false">IF(AND($AB641&lt;&gt;"",$AD641&lt;&gt;""),$AD641-$AB641,"")</f>
        <v/>
      </c>
      <c r="AN641" s="53" t="str">
        <f aca="false">IF(AND($AC641&lt;&gt;"",$AD641&lt;&gt;""),$AD641-$AC641,"")</f>
        <v/>
      </c>
      <c r="AO641" s="53" t="str">
        <f aca="false">IF($J641&lt;&gt;"",$J641,"")</f>
        <v/>
      </c>
      <c r="AQ641" s="52" t="str">
        <f aca="false">IF($A641&lt;&gt;"",$A641,"")</f>
        <v>Apprenant 629</v>
      </c>
      <c r="AR641" s="55" t="str">
        <f aca="false">IF(AND('Choix pédagogiques'!$C$4&lt;&gt;"?",'Choix pédagogiques'!$C$5&lt;&gt;"?",W641&lt;&gt;""),(W641-'Choix pédagogiques'!$C$4)/('Choix pédagogiques'!$C$5-'Choix pédagogiques'!$C$4),"")</f>
        <v/>
      </c>
      <c r="AS641" s="55" t="str">
        <f aca="false">IF(AND('Choix pédagogiques'!$C$4&lt;&gt;"?",'Choix pédagogiques'!$C$5&lt;&gt;"?",X641&lt;&gt;""),(X641-'Choix pédagogiques'!$C$4)/('Choix pédagogiques'!$C$5-'Choix pédagogiques'!$C$4),"")</f>
        <v/>
      </c>
      <c r="AT641" s="55" t="str">
        <f aca="false">IF(AND('Choix pédagogiques'!$C$4&lt;&gt;"?",'Choix pédagogiques'!$C$5&lt;&gt;"?",Y641&lt;&gt;""),(Y641-'Choix pédagogiques'!$C$4)/('Choix pédagogiques'!$C$5-'Choix pédagogiques'!$C$4),"")</f>
        <v/>
      </c>
      <c r="AU641" s="53" t="str">
        <f aca="false">IF($E641&lt;&gt;"",$E641,"")</f>
        <v/>
      </c>
      <c r="AV641" s="52" t="str">
        <f aca="false">IF($F641&lt;&gt;"",$F641,"")</f>
        <v>Apprenant 629 ou 629'</v>
      </c>
      <c r="AW641" s="55" t="str">
        <f aca="false">IF(AND('Choix pédagogiques'!$C$4&lt;&gt;"?",'Choix pédagogiques'!$C$5&lt;&gt;"?",AB641&lt;&gt;""),(AB641-'Choix pédagogiques'!$C$4)/('Choix pédagogiques'!$C$5-'Choix pédagogiques'!$C$4),"")</f>
        <v/>
      </c>
      <c r="AX641" s="55" t="str">
        <f aca="false">IF(AND('Choix pédagogiques'!$C$4&lt;&gt;"?",'Choix pédagogiques'!$C$5&lt;&gt;"?",AC641&lt;&gt;""),(AC641-'Choix pédagogiques'!$C$4)/('Choix pédagogiques'!$C$5-'Choix pédagogiques'!$C$4),"")</f>
        <v/>
      </c>
      <c r="AY641" s="55" t="str">
        <f aca="false">IF(AND('Choix pédagogiques'!$C$4&lt;&gt;"?",'Choix pédagogiques'!$C$5&lt;&gt;"?",AD641&lt;&gt;""),(AD641-'Choix pédagogiques'!$C$4)/('Choix pédagogiques'!$C$5-'Choix pédagogiques'!$C$4),"")</f>
        <v/>
      </c>
      <c r="AZ641" s="53" t="str">
        <f aca="false">IF($J641&lt;&gt;"",$J641,"")</f>
        <v/>
      </c>
      <c r="BA641" s="52" t="str">
        <f aca="false">IF($A641&lt;&gt;"",$A641,"")</f>
        <v>Apprenant 629</v>
      </c>
      <c r="BB641" s="55" t="str">
        <f aca="false">IF(AND($AR641&lt;&gt;"",$AS641&lt;&gt;""),$AS641-$AR641,"")</f>
        <v/>
      </c>
      <c r="BC641" s="55" t="str">
        <f aca="false">IF(AND($AR641&lt;&gt;"",$AT641&lt;&gt;""),$AT641-$AR641,"")</f>
        <v/>
      </c>
      <c r="BD641" s="55" t="str">
        <f aca="false">IF(AND($AS641&lt;&gt;"",$AT641&lt;&gt;""),$AT641-$AS641,"")</f>
        <v/>
      </c>
      <c r="BE641" s="53" t="str">
        <f aca="false">IF($E641&lt;&gt;"",$E641,"")</f>
        <v/>
      </c>
      <c r="BF641" s="52" t="str">
        <f aca="false">IF($F641&lt;&gt;"",$F641,"")</f>
        <v>Apprenant 629 ou 629'</v>
      </c>
      <c r="BG641" s="55" t="str">
        <f aca="false">IF(AND($AW641&lt;&gt;"",$AX641&lt;&gt;""),$AX641-$AW641,"")</f>
        <v/>
      </c>
      <c r="BH641" s="55" t="str">
        <f aca="false">IF(AND($AW641&lt;&gt;"",$AY641&lt;&gt;""),$AY641-$AW641,"")</f>
        <v/>
      </c>
      <c r="BI641" s="55" t="str">
        <f aca="false">IF(AND($AX641&lt;&gt;"",$AY641&lt;&gt;""),$AY641-$AX641,"")</f>
        <v/>
      </c>
      <c r="BJ641" s="53" t="str">
        <f aca="false">IF($J641&lt;&gt;"",$J641,"")</f>
        <v/>
      </c>
      <c r="BL641" s="52"/>
      <c r="BM641" s="52" t="str">
        <f aca="false">IF(OR(COUNT(B641:D1640)=0,AND('Choix pédagogiques'!$C$3&lt;&gt;1,'Choix pédagogiques'!$C$3&lt;&gt;2)),"",IF(AND(OR('Choix pédagogiques'!$C$3=1,'Choix pédagogiques'!$C$3=2),$B641&lt;&gt;"",$C641&lt;&gt;"",$D641&lt;&gt;""),1,0))</f>
        <v/>
      </c>
      <c r="BN641" s="52" t="str">
        <f aca="false">IF(OR(COUNT(G641:I1640)=0,AND('Choix pédagogiques'!$C$3&lt;&gt;1,'Choix pédagogiques'!$C$3&lt;&gt;2)),"",IF(AND(OR('Choix pédagogiques'!$C$3=1,'Choix pédagogiques'!$C$3=2),AND($G641&lt;&gt;"",$H641&lt;&gt;"",$I641&lt;&gt;"")),1,0))</f>
        <v/>
      </c>
      <c r="BO641" s="52" t="str">
        <f aca="false">IF(OR(COUNT(B641:D1640)=0,COUNT(G641:I1640)=0,'Choix pédagogiques'!C$3&lt;&gt;3),"",IF(AND('Choix pédagogiques'!$C$3=3,$B641&lt;&gt;"",$C641&lt;&gt;"",$D641&lt;&gt;"",$G641&lt;&gt;"",$H641&lt;&gt;"",$I641&lt;&gt;""),1,0))</f>
        <v/>
      </c>
      <c r="BR641" s="52" t="n">
        <v>114</v>
      </c>
      <c r="BS641" s="52" t="n">
        <v>1056</v>
      </c>
    </row>
    <row r="642" s="54" customFormat="true" ht="18" hidden="false" customHeight="true" outlineLevel="0" collapsed="false">
      <c r="A642" s="57" t="s">
        <v>1215</v>
      </c>
      <c r="B642" s="51"/>
      <c r="C642" s="51"/>
      <c r="D642" s="51"/>
      <c r="E642" s="51"/>
      <c r="F642" s="57" t="s">
        <v>1216</v>
      </c>
      <c r="G642" s="51"/>
      <c r="H642" s="51"/>
      <c r="I642" s="51"/>
      <c r="J642" s="51"/>
      <c r="K642" s="52" t="str">
        <f aca="false">IF($A642&lt;&gt;"",$A642,"")</f>
        <v>Apprenant 630</v>
      </c>
      <c r="L642" s="53" t="str">
        <f aca="false">IF(AND($B642&lt;&gt;"",$C642&lt;&gt;""),$C642-$B642,"")</f>
        <v/>
      </c>
      <c r="M642" s="53" t="str">
        <f aca="false">IF(AND($B642&lt;&gt;"",$D642&lt;&gt;""),$D642-$B642,"")</f>
        <v/>
      </c>
      <c r="N642" s="53" t="str">
        <f aca="false">IF(AND($C642&lt;&gt;"",$D642&lt;&gt;""),$D642-$C642,"")</f>
        <v/>
      </c>
      <c r="O642" s="53" t="str">
        <f aca="false">IF($E642&lt;&gt;"",$E642,"")</f>
        <v/>
      </c>
      <c r="P642" s="52" t="str">
        <f aca="false">IF($F642&lt;&gt;"",$F642,"")</f>
        <v>Apprenant 630 ou 630'</v>
      </c>
      <c r="Q642" s="53" t="str">
        <f aca="false">IF(AND($G642&lt;&gt;"",$H642&lt;&gt;""),$H642-$G642,"")</f>
        <v/>
      </c>
      <c r="R642" s="53" t="str">
        <f aca="false">IF(AND($G642&lt;&gt;"",$I642&lt;&gt;""),$I642-$G642,"")</f>
        <v/>
      </c>
      <c r="S642" s="53" t="str">
        <f aca="false">IF(AND($H642&lt;&gt;"",$I642&lt;&gt;""),$I642-$H642,"")</f>
        <v/>
      </c>
      <c r="T642" s="53" t="str">
        <f aca="false">IF($J642&lt;&gt;"",$J642,"")</f>
        <v/>
      </c>
      <c r="V642" s="52" t="str">
        <f aca="false">IF($A642&lt;&gt;"",$A642,"")</f>
        <v>Apprenant 630</v>
      </c>
      <c r="W642" s="53" t="str">
        <f aca="false">IF(AND(OR('Choix pédagogiques'!$C$3=1,'Choix pédagogiques'!$C$3=2),$BM642=1),B642,IF(AND('Choix pédagogiques'!$C$3=3,$BO642=1),B642,""))</f>
        <v/>
      </c>
      <c r="X642" s="53" t="str">
        <f aca="false">IF(AND(OR('Choix pédagogiques'!$C$3=1,'Choix pédagogiques'!$C$3=2),$BM642=1),C642,IF(AND('Choix pédagogiques'!$C$3=3,$BO642=1),C642,""))</f>
        <v/>
      </c>
      <c r="Y642" s="53" t="str">
        <f aca="false">IF(AND(OR('Choix pédagogiques'!$C$3=1,'Choix pédagogiques'!$C$3=2),$BM642=1),D642,IF(AND('Choix pédagogiques'!$C$3=3,$BO642=1),D642,""))</f>
        <v/>
      </c>
      <c r="Z642" s="53" t="str">
        <f aca="false">IF($E642&lt;&gt;"",$E642,"")</f>
        <v/>
      </c>
      <c r="AA642" s="52" t="str">
        <f aca="false">IF($F642&lt;&gt;"",$F642,"")</f>
        <v>Apprenant 630 ou 630'</v>
      </c>
      <c r="AB642" s="53" t="str">
        <f aca="false">IF(AND(OR('Choix pédagogiques'!$C$3=1,'Choix pédagogiques'!$C$3=2),$BN642=1),G642,IF(AND('Choix pédagogiques'!$C$3=3,$BO642=1),G642,""))</f>
        <v/>
      </c>
      <c r="AC642" s="53" t="str">
        <f aca="false">IF(AND(OR('Choix pédagogiques'!$C$3=1,'Choix pédagogiques'!$C$3=2),$BN642=1),H642,IF(AND('Choix pédagogiques'!$C$3=3,$BO642=1),H642,""))</f>
        <v/>
      </c>
      <c r="AD642" s="53" t="str">
        <f aca="false">IF(AND(OR('Choix pédagogiques'!$C$3=1,'Choix pédagogiques'!$C$3=2),$BN642=1),I642,IF(AND('Choix pédagogiques'!$C$3=3,$BO642=1),I642,""))</f>
        <v/>
      </c>
      <c r="AE642" s="53" t="str">
        <f aca="false">IF($J642&lt;&gt;"",$J642,"")</f>
        <v/>
      </c>
      <c r="AF642" s="52" t="str">
        <f aca="false">IF($A642&lt;&gt;"",$A642,"")</f>
        <v>Apprenant 630</v>
      </c>
      <c r="AG642" s="53" t="str">
        <f aca="false">IF(AND($W642&lt;&gt;"",$X642&lt;&gt;""),$X642-$W642,"")</f>
        <v/>
      </c>
      <c r="AH642" s="53" t="str">
        <f aca="false">IF(AND($W642&lt;&gt;"",$Y642&lt;&gt;""),$Y642-$W642,"")</f>
        <v/>
      </c>
      <c r="AI642" s="53" t="str">
        <f aca="false">IF(AND($X642&lt;&gt;"",$Y642&lt;&gt;""),$Y642-$X642,"")</f>
        <v/>
      </c>
      <c r="AJ642" s="53" t="str">
        <f aca="false">IF($E642&lt;&gt;"",$E642,"")</f>
        <v/>
      </c>
      <c r="AK642" s="52" t="str">
        <f aca="false">IF($F642&lt;&gt;"",$F642,"")</f>
        <v>Apprenant 630 ou 630'</v>
      </c>
      <c r="AL642" s="53" t="str">
        <f aca="false">IF(AND($AB642&lt;&gt;"",$AC642&lt;&gt;""),$AC642-$AB642,"")</f>
        <v/>
      </c>
      <c r="AM642" s="53" t="str">
        <f aca="false">IF(AND($AB642&lt;&gt;"",$AD642&lt;&gt;""),$AD642-$AB642,"")</f>
        <v/>
      </c>
      <c r="AN642" s="53" t="str">
        <f aca="false">IF(AND($AC642&lt;&gt;"",$AD642&lt;&gt;""),$AD642-$AC642,"")</f>
        <v/>
      </c>
      <c r="AO642" s="53" t="str">
        <f aca="false">IF($J642&lt;&gt;"",$J642,"")</f>
        <v/>
      </c>
      <c r="AQ642" s="52" t="str">
        <f aca="false">IF($A642&lt;&gt;"",$A642,"")</f>
        <v>Apprenant 630</v>
      </c>
      <c r="AR642" s="55" t="str">
        <f aca="false">IF(AND('Choix pédagogiques'!$C$4&lt;&gt;"?",'Choix pédagogiques'!$C$5&lt;&gt;"?",W642&lt;&gt;""),(W642-'Choix pédagogiques'!$C$4)/('Choix pédagogiques'!$C$5-'Choix pédagogiques'!$C$4),"")</f>
        <v/>
      </c>
      <c r="AS642" s="55" t="str">
        <f aca="false">IF(AND('Choix pédagogiques'!$C$4&lt;&gt;"?",'Choix pédagogiques'!$C$5&lt;&gt;"?",X642&lt;&gt;""),(X642-'Choix pédagogiques'!$C$4)/('Choix pédagogiques'!$C$5-'Choix pédagogiques'!$C$4),"")</f>
        <v/>
      </c>
      <c r="AT642" s="55" t="str">
        <f aca="false">IF(AND('Choix pédagogiques'!$C$4&lt;&gt;"?",'Choix pédagogiques'!$C$5&lt;&gt;"?",Y642&lt;&gt;""),(Y642-'Choix pédagogiques'!$C$4)/('Choix pédagogiques'!$C$5-'Choix pédagogiques'!$C$4),"")</f>
        <v/>
      </c>
      <c r="AU642" s="53" t="str">
        <f aca="false">IF($E642&lt;&gt;"",$E642,"")</f>
        <v/>
      </c>
      <c r="AV642" s="52" t="str">
        <f aca="false">IF($F642&lt;&gt;"",$F642,"")</f>
        <v>Apprenant 630 ou 630'</v>
      </c>
      <c r="AW642" s="55" t="str">
        <f aca="false">IF(AND('Choix pédagogiques'!$C$4&lt;&gt;"?",'Choix pédagogiques'!$C$5&lt;&gt;"?",AB642&lt;&gt;""),(AB642-'Choix pédagogiques'!$C$4)/('Choix pédagogiques'!$C$5-'Choix pédagogiques'!$C$4),"")</f>
        <v/>
      </c>
      <c r="AX642" s="55" t="str">
        <f aca="false">IF(AND('Choix pédagogiques'!$C$4&lt;&gt;"?",'Choix pédagogiques'!$C$5&lt;&gt;"?",AC642&lt;&gt;""),(AC642-'Choix pédagogiques'!$C$4)/('Choix pédagogiques'!$C$5-'Choix pédagogiques'!$C$4),"")</f>
        <v/>
      </c>
      <c r="AY642" s="55" t="str">
        <f aca="false">IF(AND('Choix pédagogiques'!$C$4&lt;&gt;"?",'Choix pédagogiques'!$C$5&lt;&gt;"?",AD642&lt;&gt;""),(AD642-'Choix pédagogiques'!$C$4)/('Choix pédagogiques'!$C$5-'Choix pédagogiques'!$C$4),"")</f>
        <v/>
      </c>
      <c r="AZ642" s="53" t="str">
        <f aca="false">IF($J642&lt;&gt;"",$J642,"")</f>
        <v/>
      </c>
      <c r="BA642" s="52" t="str">
        <f aca="false">IF($A642&lt;&gt;"",$A642,"")</f>
        <v>Apprenant 630</v>
      </c>
      <c r="BB642" s="55" t="str">
        <f aca="false">IF(AND($AR642&lt;&gt;"",$AS642&lt;&gt;""),$AS642-$AR642,"")</f>
        <v/>
      </c>
      <c r="BC642" s="55" t="str">
        <f aca="false">IF(AND($AR642&lt;&gt;"",$AT642&lt;&gt;""),$AT642-$AR642,"")</f>
        <v/>
      </c>
      <c r="BD642" s="55" t="str">
        <f aca="false">IF(AND($AS642&lt;&gt;"",$AT642&lt;&gt;""),$AT642-$AS642,"")</f>
        <v/>
      </c>
      <c r="BE642" s="53" t="str">
        <f aca="false">IF($E642&lt;&gt;"",$E642,"")</f>
        <v/>
      </c>
      <c r="BF642" s="52" t="str">
        <f aca="false">IF($F642&lt;&gt;"",$F642,"")</f>
        <v>Apprenant 630 ou 630'</v>
      </c>
      <c r="BG642" s="55" t="str">
        <f aca="false">IF(AND($AW642&lt;&gt;"",$AX642&lt;&gt;""),$AX642-$AW642,"")</f>
        <v/>
      </c>
      <c r="BH642" s="55" t="str">
        <f aca="false">IF(AND($AW642&lt;&gt;"",$AY642&lt;&gt;""),$AY642-$AW642,"")</f>
        <v/>
      </c>
      <c r="BI642" s="55" t="str">
        <f aca="false">IF(AND($AX642&lt;&gt;"",$AY642&lt;&gt;""),$AY642-$AX642,"")</f>
        <v/>
      </c>
      <c r="BJ642" s="53" t="str">
        <f aca="false">IF($J642&lt;&gt;"",$J642,"")</f>
        <v/>
      </c>
      <c r="BL642" s="52"/>
      <c r="BM642" s="52" t="str">
        <f aca="false">IF(OR(COUNT(B642:D1641)=0,AND('Choix pédagogiques'!$C$3&lt;&gt;1,'Choix pédagogiques'!$C$3&lt;&gt;2)),"",IF(AND(OR('Choix pédagogiques'!$C$3=1,'Choix pédagogiques'!$C$3=2),$B642&lt;&gt;"",$C642&lt;&gt;"",$D642&lt;&gt;""),1,0))</f>
        <v/>
      </c>
      <c r="BN642" s="52" t="str">
        <f aca="false">IF(OR(COUNT(G642:I1641)=0,AND('Choix pédagogiques'!$C$3&lt;&gt;1,'Choix pédagogiques'!$C$3&lt;&gt;2)),"",IF(AND(OR('Choix pédagogiques'!$C$3=1,'Choix pédagogiques'!$C$3=2),AND($G642&lt;&gt;"",$H642&lt;&gt;"",$I642&lt;&gt;"")),1,0))</f>
        <v/>
      </c>
      <c r="BO642" s="52" t="str">
        <f aca="false">IF(OR(COUNT(B642:D1641)=0,COUNT(G642:I1641)=0,'Choix pédagogiques'!C$3&lt;&gt;3),"",IF(AND('Choix pédagogiques'!$C$3=3,$B642&lt;&gt;"",$C642&lt;&gt;"",$D642&lt;&gt;"",$G642&lt;&gt;"",$H642&lt;&gt;"",$I642&lt;&gt;""),1,0))</f>
        <v/>
      </c>
      <c r="BR642" s="52" t="n">
        <v>994</v>
      </c>
      <c r="BS642" s="52" t="n">
        <v>1184</v>
      </c>
    </row>
    <row r="643" s="54" customFormat="true" ht="18" hidden="false" customHeight="true" outlineLevel="0" collapsed="false">
      <c r="A643" s="57" t="s">
        <v>1217</v>
      </c>
      <c r="B643" s="51"/>
      <c r="C643" s="51"/>
      <c r="D643" s="51"/>
      <c r="E643" s="51"/>
      <c r="F643" s="57" t="s">
        <v>1218</v>
      </c>
      <c r="G643" s="51"/>
      <c r="H643" s="51"/>
      <c r="I643" s="51"/>
      <c r="J643" s="51"/>
      <c r="K643" s="52" t="str">
        <f aca="false">IF($A643&lt;&gt;"",$A643,"")</f>
        <v>Apprenant 631</v>
      </c>
      <c r="L643" s="53" t="str">
        <f aca="false">IF(AND($B643&lt;&gt;"",$C643&lt;&gt;""),$C643-$B643,"")</f>
        <v/>
      </c>
      <c r="M643" s="53" t="str">
        <f aca="false">IF(AND($B643&lt;&gt;"",$D643&lt;&gt;""),$D643-$B643,"")</f>
        <v/>
      </c>
      <c r="N643" s="53" t="str">
        <f aca="false">IF(AND($C643&lt;&gt;"",$D643&lt;&gt;""),$D643-$C643,"")</f>
        <v/>
      </c>
      <c r="O643" s="53" t="str">
        <f aca="false">IF($E643&lt;&gt;"",$E643,"")</f>
        <v/>
      </c>
      <c r="P643" s="52" t="str">
        <f aca="false">IF($F643&lt;&gt;"",$F643,"")</f>
        <v>Apprenant 631 ou 631'</v>
      </c>
      <c r="Q643" s="53" t="str">
        <f aca="false">IF(AND($G643&lt;&gt;"",$H643&lt;&gt;""),$H643-$G643,"")</f>
        <v/>
      </c>
      <c r="R643" s="53" t="str">
        <f aca="false">IF(AND($G643&lt;&gt;"",$I643&lt;&gt;""),$I643-$G643,"")</f>
        <v/>
      </c>
      <c r="S643" s="53" t="str">
        <f aca="false">IF(AND($H643&lt;&gt;"",$I643&lt;&gt;""),$I643-$H643,"")</f>
        <v/>
      </c>
      <c r="T643" s="53" t="str">
        <f aca="false">IF($J643&lt;&gt;"",$J643,"")</f>
        <v/>
      </c>
      <c r="V643" s="52" t="str">
        <f aca="false">IF($A643&lt;&gt;"",$A643,"")</f>
        <v>Apprenant 631</v>
      </c>
      <c r="W643" s="53" t="str">
        <f aca="false">IF(AND(OR('Choix pédagogiques'!$C$3=1,'Choix pédagogiques'!$C$3=2),$BM643=1),B643,IF(AND('Choix pédagogiques'!$C$3=3,$BO643=1),B643,""))</f>
        <v/>
      </c>
      <c r="X643" s="53" t="str">
        <f aca="false">IF(AND(OR('Choix pédagogiques'!$C$3=1,'Choix pédagogiques'!$C$3=2),$BM643=1),C643,IF(AND('Choix pédagogiques'!$C$3=3,$BO643=1),C643,""))</f>
        <v/>
      </c>
      <c r="Y643" s="53" t="str">
        <f aca="false">IF(AND(OR('Choix pédagogiques'!$C$3=1,'Choix pédagogiques'!$C$3=2),$BM643=1),D643,IF(AND('Choix pédagogiques'!$C$3=3,$BO643=1),D643,""))</f>
        <v/>
      </c>
      <c r="Z643" s="53" t="str">
        <f aca="false">IF($E643&lt;&gt;"",$E643,"")</f>
        <v/>
      </c>
      <c r="AA643" s="52" t="str">
        <f aca="false">IF($F643&lt;&gt;"",$F643,"")</f>
        <v>Apprenant 631 ou 631'</v>
      </c>
      <c r="AB643" s="53" t="str">
        <f aca="false">IF(AND(OR('Choix pédagogiques'!$C$3=1,'Choix pédagogiques'!$C$3=2),$BN643=1),G643,IF(AND('Choix pédagogiques'!$C$3=3,$BO643=1),G643,""))</f>
        <v/>
      </c>
      <c r="AC643" s="53" t="str">
        <f aca="false">IF(AND(OR('Choix pédagogiques'!$C$3=1,'Choix pédagogiques'!$C$3=2),$BN643=1),H643,IF(AND('Choix pédagogiques'!$C$3=3,$BO643=1),H643,""))</f>
        <v/>
      </c>
      <c r="AD643" s="53" t="str">
        <f aca="false">IF(AND(OR('Choix pédagogiques'!$C$3=1,'Choix pédagogiques'!$C$3=2),$BN643=1),I643,IF(AND('Choix pédagogiques'!$C$3=3,$BO643=1),I643,""))</f>
        <v/>
      </c>
      <c r="AE643" s="53" t="str">
        <f aca="false">IF($J643&lt;&gt;"",$J643,"")</f>
        <v/>
      </c>
      <c r="AF643" s="52" t="str">
        <f aca="false">IF($A643&lt;&gt;"",$A643,"")</f>
        <v>Apprenant 631</v>
      </c>
      <c r="AG643" s="53" t="str">
        <f aca="false">IF(AND($W643&lt;&gt;"",$X643&lt;&gt;""),$X643-$W643,"")</f>
        <v/>
      </c>
      <c r="AH643" s="53" t="str">
        <f aca="false">IF(AND($W643&lt;&gt;"",$Y643&lt;&gt;""),$Y643-$W643,"")</f>
        <v/>
      </c>
      <c r="AI643" s="53" t="str">
        <f aca="false">IF(AND($X643&lt;&gt;"",$Y643&lt;&gt;""),$Y643-$X643,"")</f>
        <v/>
      </c>
      <c r="AJ643" s="53" t="str">
        <f aca="false">IF($E643&lt;&gt;"",$E643,"")</f>
        <v/>
      </c>
      <c r="AK643" s="52" t="str">
        <f aca="false">IF($F643&lt;&gt;"",$F643,"")</f>
        <v>Apprenant 631 ou 631'</v>
      </c>
      <c r="AL643" s="53" t="str">
        <f aca="false">IF(AND($AB643&lt;&gt;"",$AC643&lt;&gt;""),$AC643-$AB643,"")</f>
        <v/>
      </c>
      <c r="AM643" s="53" t="str">
        <f aca="false">IF(AND($AB643&lt;&gt;"",$AD643&lt;&gt;""),$AD643-$AB643,"")</f>
        <v/>
      </c>
      <c r="AN643" s="53" t="str">
        <f aca="false">IF(AND($AC643&lt;&gt;"",$AD643&lt;&gt;""),$AD643-$AC643,"")</f>
        <v/>
      </c>
      <c r="AO643" s="53" t="str">
        <f aca="false">IF($J643&lt;&gt;"",$J643,"")</f>
        <v/>
      </c>
      <c r="AQ643" s="52" t="str">
        <f aca="false">IF($A643&lt;&gt;"",$A643,"")</f>
        <v>Apprenant 631</v>
      </c>
      <c r="AR643" s="55" t="str">
        <f aca="false">IF(AND('Choix pédagogiques'!$C$4&lt;&gt;"?",'Choix pédagogiques'!$C$5&lt;&gt;"?",W643&lt;&gt;""),(W643-'Choix pédagogiques'!$C$4)/('Choix pédagogiques'!$C$5-'Choix pédagogiques'!$C$4),"")</f>
        <v/>
      </c>
      <c r="AS643" s="55" t="str">
        <f aca="false">IF(AND('Choix pédagogiques'!$C$4&lt;&gt;"?",'Choix pédagogiques'!$C$5&lt;&gt;"?",X643&lt;&gt;""),(X643-'Choix pédagogiques'!$C$4)/('Choix pédagogiques'!$C$5-'Choix pédagogiques'!$C$4),"")</f>
        <v/>
      </c>
      <c r="AT643" s="55" t="str">
        <f aca="false">IF(AND('Choix pédagogiques'!$C$4&lt;&gt;"?",'Choix pédagogiques'!$C$5&lt;&gt;"?",Y643&lt;&gt;""),(Y643-'Choix pédagogiques'!$C$4)/('Choix pédagogiques'!$C$5-'Choix pédagogiques'!$C$4),"")</f>
        <v/>
      </c>
      <c r="AU643" s="53" t="str">
        <f aca="false">IF($E643&lt;&gt;"",$E643,"")</f>
        <v/>
      </c>
      <c r="AV643" s="52" t="str">
        <f aca="false">IF($F643&lt;&gt;"",$F643,"")</f>
        <v>Apprenant 631 ou 631'</v>
      </c>
      <c r="AW643" s="55" t="str">
        <f aca="false">IF(AND('Choix pédagogiques'!$C$4&lt;&gt;"?",'Choix pédagogiques'!$C$5&lt;&gt;"?",AB643&lt;&gt;""),(AB643-'Choix pédagogiques'!$C$4)/('Choix pédagogiques'!$C$5-'Choix pédagogiques'!$C$4),"")</f>
        <v/>
      </c>
      <c r="AX643" s="55" t="str">
        <f aca="false">IF(AND('Choix pédagogiques'!$C$4&lt;&gt;"?",'Choix pédagogiques'!$C$5&lt;&gt;"?",AC643&lt;&gt;""),(AC643-'Choix pédagogiques'!$C$4)/('Choix pédagogiques'!$C$5-'Choix pédagogiques'!$C$4),"")</f>
        <v/>
      </c>
      <c r="AY643" s="55" t="str">
        <f aca="false">IF(AND('Choix pédagogiques'!$C$4&lt;&gt;"?",'Choix pédagogiques'!$C$5&lt;&gt;"?",AD643&lt;&gt;""),(AD643-'Choix pédagogiques'!$C$4)/('Choix pédagogiques'!$C$5-'Choix pédagogiques'!$C$4),"")</f>
        <v/>
      </c>
      <c r="AZ643" s="53" t="str">
        <f aca="false">IF($J643&lt;&gt;"",$J643,"")</f>
        <v/>
      </c>
      <c r="BA643" s="52" t="str">
        <f aca="false">IF($A643&lt;&gt;"",$A643,"")</f>
        <v>Apprenant 631</v>
      </c>
      <c r="BB643" s="55" t="str">
        <f aca="false">IF(AND($AR643&lt;&gt;"",$AS643&lt;&gt;""),$AS643-$AR643,"")</f>
        <v/>
      </c>
      <c r="BC643" s="55" t="str">
        <f aca="false">IF(AND($AR643&lt;&gt;"",$AT643&lt;&gt;""),$AT643-$AR643,"")</f>
        <v/>
      </c>
      <c r="BD643" s="55" t="str">
        <f aca="false">IF(AND($AS643&lt;&gt;"",$AT643&lt;&gt;""),$AT643-$AS643,"")</f>
        <v/>
      </c>
      <c r="BE643" s="53" t="str">
        <f aca="false">IF($E643&lt;&gt;"",$E643,"")</f>
        <v/>
      </c>
      <c r="BF643" s="52" t="str">
        <f aca="false">IF($F643&lt;&gt;"",$F643,"")</f>
        <v>Apprenant 631 ou 631'</v>
      </c>
      <c r="BG643" s="55" t="str">
        <f aca="false">IF(AND($AW643&lt;&gt;"",$AX643&lt;&gt;""),$AX643-$AW643,"")</f>
        <v/>
      </c>
      <c r="BH643" s="55" t="str">
        <f aca="false">IF(AND($AW643&lt;&gt;"",$AY643&lt;&gt;""),$AY643-$AW643,"")</f>
        <v/>
      </c>
      <c r="BI643" s="55" t="str">
        <f aca="false">IF(AND($AX643&lt;&gt;"",$AY643&lt;&gt;""),$AY643-$AX643,"")</f>
        <v/>
      </c>
      <c r="BJ643" s="53" t="str">
        <f aca="false">IF($J643&lt;&gt;"",$J643,"")</f>
        <v/>
      </c>
      <c r="BL643" s="52"/>
      <c r="BM643" s="52" t="str">
        <f aca="false">IF(OR(COUNT(B643:D1642)=0,AND('Choix pédagogiques'!$C$3&lt;&gt;1,'Choix pédagogiques'!$C$3&lt;&gt;2)),"",IF(AND(OR('Choix pédagogiques'!$C$3=1,'Choix pédagogiques'!$C$3=2),$B643&lt;&gt;"",$C643&lt;&gt;"",$D643&lt;&gt;""),1,0))</f>
        <v/>
      </c>
      <c r="BN643" s="52" t="str">
        <f aca="false">IF(OR(COUNT(G643:I1642)=0,AND('Choix pédagogiques'!$C$3&lt;&gt;1,'Choix pédagogiques'!$C$3&lt;&gt;2)),"",IF(AND(OR('Choix pédagogiques'!$C$3=1,'Choix pédagogiques'!$C$3=2),AND($G643&lt;&gt;"",$H643&lt;&gt;"",$I643&lt;&gt;"")),1,0))</f>
        <v/>
      </c>
      <c r="BO643" s="52" t="str">
        <f aca="false">IF(OR(COUNT(B643:D1642)=0,COUNT(G643:I1642)=0,'Choix pédagogiques'!C$3&lt;&gt;3),"",IF(AND('Choix pédagogiques'!$C$3=3,$B643&lt;&gt;"",$C643&lt;&gt;"",$D643&lt;&gt;"",$G643&lt;&gt;"",$H643&lt;&gt;"",$I643&lt;&gt;""),1,0))</f>
        <v/>
      </c>
      <c r="BR643" s="52" t="n">
        <v>930</v>
      </c>
      <c r="BS643" s="52" t="n">
        <v>1658</v>
      </c>
    </row>
    <row r="644" s="54" customFormat="true" ht="18" hidden="false" customHeight="true" outlineLevel="0" collapsed="false">
      <c r="A644" s="57" t="s">
        <v>1219</v>
      </c>
      <c r="B644" s="51"/>
      <c r="C644" s="51"/>
      <c r="D644" s="51"/>
      <c r="E644" s="51"/>
      <c r="F644" s="57" t="s">
        <v>1220</v>
      </c>
      <c r="G644" s="51"/>
      <c r="H644" s="51"/>
      <c r="I644" s="51"/>
      <c r="J644" s="51"/>
      <c r="K644" s="52" t="str">
        <f aca="false">IF($A644&lt;&gt;"",$A644,"")</f>
        <v>Apprenant 632</v>
      </c>
      <c r="L644" s="53" t="str">
        <f aca="false">IF(AND($B644&lt;&gt;"",$C644&lt;&gt;""),$C644-$B644,"")</f>
        <v/>
      </c>
      <c r="M644" s="53" t="str">
        <f aca="false">IF(AND($B644&lt;&gt;"",$D644&lt;&gt;""),$D644-$B644,"")</f>
        <v/>
      </c>
      <c r="N644" s="53" t="str">
        <f aca="false">IF(AND($C644&lt;&gt;"",$D644&lt;&gt;""),$D644-$C644,"")</f>
        <v/>
      </c>
      <c r="O644" s="53" t="str">
        <f aca="false">IF($E644&lt;&gt;"",$E644,"")</f>
        <v/>
      </c>
      <c r="P644" s="52" t="str">
        <f aca="false">IF($F644&lt;&gt;"",$F644,"")</f>
        <v>Apprenant 632 ou 632'</v>
      </c>
      <c r="Q644" s="53" t="str">
        <f aca="false">IF(AND($G644&lt;&gt;"",$H644&lt;&gt;""),$H644-$G644,"")</f>
        <v/>
      </c>
      <c r="R644" s="53" t="str">
        <f aca="false">IF(AND($G644&lt;&gt;"",$I644&lt;&gt;""),$I644-$G644,"")</f>
        <v/>
      </c>
      <c r="S644" s="53" t="str">
        <f aca="false">IF(AND($H644&lt;&gt;"",$I644&lt;&gt;""),$I644-$H644,"")</f>
        <v/>
      </c>
      <c r="T644" s="53" t="str">
        <f aca="false">IF($J644&lt;&gt;"",$J644,"")</f>
        <v/>
      </c>
      <c r="V644" s="52" t="str">
        <f aca="false">IF($A644&lt;&gt;"",$A644,"")</f>
        <v>Apprenant 632</v>
      </c>
      <c r="W644" s="53" t="str">
        <f aca="false">IF(AND(OR('Choix pédagogiques'!$C$3=1,'Choix pédagogiques'!$C$3=2),$BM644=1),B644,IF(AND('Choix pédagogiques'!$C$3=3,$BO644=1),B644,""))</f>
        <v/>
      </c>
      <c r="X644" s="53" t="str">
        <f aca="false">IF(AND(OR('Choix pédagogiques'!$C$3=1,'Choix pédagogiques'!$C$3=2),$BM644=1),C644,IF(AND('Choix pédagogiques'!$C$3=3,$BO644=1),C644,""))</f>
        <v/>
      </c>
      <c r="Y644" s="53" t="str">
        <f aca="false">IF(AND(OR('Choix pédagogiques'!$C$3=1,'Choix pédagogiques'!$C$3=2),$BM644=1),D644,IF(AND('Choix pédagogiques'!$C$3=3,$BO644=1),D644,""))</f>
        <v/>
      </c>
      <c r="Z644" s="53" t="str">
        <f aca="false">IF($E644&lt;&gt;"",$E644,"")</f>
        <v/>
      </c>
      <c r="AA644" s="52" t="str">
        <f aca="false">IF($F644&lt;&gt;"",$F644,"")</f>
        <v>Apprenant 632 ou 632'</v>
      </c>
      <c r="AB644" s="53" t="str">
        <f aca="false">IF(AND(OR('Choix pédagogiques'!$C$3=1,'Choix pédagogiques'!$C$3=2),$BN644=1),G644,IF(AND('Choix pédagogiques'!$C$3=3,$BO644=1),G644,""))</f>
        <v/>
      </c>
      <c r="AC644" s="53" t="str">
        <f aca="false">IF(AND(OR('Choix pédagogiques'!$C$3=1,'Choix pédagogiques'!$C$3=2),$BN644=1),H644,IF(AND('Choix pédagogiques'!$C$3=3,$BO644=1),H644,""))</f>
        <v/>
      </c>
      <c r="AD644" s="53" t="str">
        <f aca="false">IF(AND(OR('Choix pédagogiques'!$C$3=1,'Choix pédagogiques'!$C$3=2),$BN644=1),I644,IF(AND('Choix pédagogiques'!$C$3=3,$BO644=1),I644,""))</f>
        <v/>
      </c>
      <c r="AE644" s="53" t="str">
        <f aca="false">IF($J644&lt;&gt;"",$J644,"")</f>
        <v/>
      </c>
      <c r="AF644" s="52" t="str">
        <f aca="false">IF($A644&lt;&gt;"",$A644,"")</f>
        <v>Apprenant 632</v>
      </c>
      <c r="AG644" s="53" t="str">
        <f aca="false">IF(AND($W644&lt;&gt;"",$X644&lt;&gt;""),$X644-$W644,"")</f>
        <v/>
      </c>
      <c r="AH644" s="53" t="str">
        <f aca="false">IF(AND($W644&lt;&gt;"",$Y644&lt;&gt;""),$Y644-$W644,"")</f>
        <v/>
      </c>
      <c r="AI644" s="53" t="str">
        <f aca="false">IF(AND($X644&lt;&gt;"",$Y644&lt;&gt;""),$Y644-$X644,"")</f>
        <v/>
      </c>
      <c r="AJ644" s="53" t="str">
        <f aca="false">IF($E644&lt;&gt;"",$E644,"")</f>
        <v/>
      </c>
      <c r="AK644" s="52" t="str">
        <f aca="false">IF($F644&lt;&gt;"",$F644,"")</f>
        <v>Apprenant 632 ou 632'</v>
      </c>
      <c r="AL644" s="53" t="str">
        <f aca="false">IF(AND($AB644&lt;&gt;"",$AC644&lt;&gt;""),$AC644-$AB644,"")</f>
        <v/>
      </c>
      <c r="AM644" s="53" t="str">
        <f aca="false">IF(AND($AB644&lt;&gt;"",$AD644&lt;&gt;""),$AD644-$AB644,"")</f>
        <v/>
      </c>
      <c r="AN644" s="53" t="str">
        <f aca="false">IF(AND($AC644&lt;&gt;"",$AD644&lt;&gt;""),$AD644-$AC644,"")</f>
        <v/>
      </c>
      <c r="AO644" s="53" t="str">
        <f aca="false">IF($J644&lt;&gt;"",$J644,"")</f>
        <v/>
      </c>
      <c r="AQ644" s="52" t="str">
        <f aca="false">IF($A644&lt;&gt;"",$A644,"")</f>
        <v>Apprenant 632</v>
      </c>
      <c r="AR644" s="55" t="str">
        <f aca="false">IF(AND('Choix pédagogiques'!$C$4&lt;&gt;"?",'Choix pédagogiques'!$C$5&lt;&gt;"?",W644&lt;&gt;""),(W644-'Choix pédagogiques'!$C$4)/('Choix pédagogiques'!$C$5-'Choix pédagogiques'!$C$4),"")</f>
        <v/>
      </c>
      <c r="AS644" s="55" t="str">
        <f aca="false">IF(AND('Choix pédagogiques'!$C$4&lt;&gt;"?",'Choix pédagogiques'!$C$5&lt;&gt;"?",X644&lt;&gt;""),(X644-'Choix pédagogiques'!$C$4)/('Choix pédagogiques'!$C$5-'Choix pédagogiques'!$C$4),"")</f>
        <v/>
      </c>
      <c r="AT644" s="55" t="str">
        <f aca="false">IF(AND('Choix pédagogiques'!$C$4&lt;&gt;"?",'Choix pédagogiques'!$C$5&lt;&gt;"?",Y644&lt;&gt;""),(Y644-'Choix pédagogiques'!$C$4)/('Choix pédagogiques'!$C$5-'Choix pédagogiques'!$C$4),"")</f>
        <v/>
      </c>
      <c r="AU644" s="53" t="str">
        <f aca="false">IF($E644&lt;&gt;"",$E644,"")</f>
        <v/>
      </c>
      <c r="AV644" s="52" t="str">
        <f aca="false">IF($F644&lt;&gt;"",$F644,"")</f>
        <v>Apprenant 632 ou 632'</v>
      </c>
      <c r="AW644" s="55" t="str">
        <f aca="false">IF(AND('Choix pédagogiques'!$C$4&lt;&gt;"?",'Choix pédagogiques'!$C$5&lt;&gt;"?",AB644&lt;&gt;""),(AB644-'Choix pédagogiques'!$C$4)/('Choix pédagogiques'!$C$5-'Choix pédagogiques'!$C$4),"")</f>
        <v/>
      </c>
      <c r="AX644" s="55" t="str">
        <f aca="false">IF(AND('Choix pédagogiques'!$C$4&lt;&gt;"?",'Choix pédagogiques'!$C$5&lt;&gt;"?",AC644&lt;&gt;""),(AC644-'Choix pédagogiques'!$C$4)/('Choix pédagogiques'!$C$5-'Choix pédagogiques'!$C$4),"")</f>
        <v/>
      </c>
      <c r="AY644" s="55" t="str">
        <f aca="false">IF(AND('Choix pédagogiques'!$C$4&lt;&gt;"?",'Choix pédagogiques'!$C$5&lt;&gt;"?",AD644&lt;&gt;""),(AD644-'Choix pédagogiques'!$C$4)/('Choix pédagogiques'!$C$5-'Choix pédagogiques'!$C$4),"")</f>
        <v/>
      </c>
      <c r="AZ644" s="53" t="str">
        <f aca="false">IF($J644&lt;&gt;"",$J644,"")</f>
        <v/>
      </c>
      <c r="BA644" s="52" t="str">
        <f aca="false">IF($A644&lt;&gt;"",$A644,"")</f>
        <v>Apprenant 632</v>
      </c>
      <c r="BB644" s="55" t="str">
        <f aca="false">IF(AND($AR644&lt;&gt;"",$AS644&lt;&gt;""),$AS644-$AR644,"")</f>
        <v/>
      </c>
      <c r="BC644" s="55" t="str">
        <f aca="false">IF(AND($AR644&lt;&gt;"",$AT644&lt;&gt;""),$AT644-$AR644,"")</f>
        <v/>
      </c>
      <c r="BD644" s="55" t="str">
        <f aca="false">IF(AND($AS644&lt;&gt;"",$AT644&lt;&gt;""),$AT644-$AS644,"")</f>
        <v/>
      </c>
      <c r="BE644" s="53" t="str">
        <f aca="false">IF($E644&lt;&gt;"",$E644,"")</f>
        <v/>
      </c>
      <c r="BF644" s="52" t="str">
        <f aca="false">IF($F644&lt;&gt;"",$F644,"")</f>
        <v>Apprenant 632 ou 632'</v>
      </c>
      <c r="BG644" s="55" t="str">
        <f aca="false">IF(AND($AW644&lt;&gt;"",$AX644&lt;&gt;""),$AX644-$AW644,"")</f>
        <v/>
      </c>
      <c r="BH644" s="55" t="str">
        <f aca="false">IF(AND($AW644&lt;&gt;"",$AY644&lt;&gt;""),$AY644-$AW644,"")</f>
        <v/>
      </c>
      <c r="BI644" s="55" t="str">
        <f aca="false">IF(AND($AX644&lt;&gt;"",$AY644&lt;&gt;""),$AY644-$AX644,"")</f>
        <v/>
      </c>
      <c r="BJ644" s="53" t="str">
        <f aca="false">IF($J644&lt;&gt;"",$J644,"")</f>
        <v/>
      </c>
      <c r="BL644" s="52"/>
      <c r="BM644" s="52" t="str">
        <f aca="false">IF(OR(COUNT(B644:D1643)=0,AND('Choix pédagogiques'!$C$3&lt;&gt;1,'Choix pédagogiques'!$C$3&lt;&gt;2)),"",IF(AND(OR('Choix pédagogiques'!$C$3=1,'Choix pédagogiques'!$C$3=2),$B644&lt;&gt;"",$C644&lt;&gt;"",$D644&lt;&gt;""),1,0))</f>
        <v/>
      </c>
      <c r="BN644" s="52" t="str">
        <f aca="false">IF(OR(COUNT(G644:I1643)=0,AND('Choix pédagogiques'!$C$3&lt;&gt;1,'Choix pédagogiques'!$C$3&lt;&gt;2)),"",IF(AND(OR('Choix pédagogiques'!$C$3=1,'Choix pédagogiques'!$C$3=2),AND($G644&lt;&gt;"",$H644&lt;&gt;"",$I644&lt;&gt;"")),1,0))</f>
        <v/>
      </c>
      <c r="BO644" s="52" t="str">
        <f aca="false">IF(OR(COUNT(B644:D1643)=0,COUNT(G644:I1643)=0,'Choix pédagogiques'!C$3&lt;&gt;3),"",IF(AND('Choix pédagogiques'!$C$3=3,$B644&lt;&gt;"",$C644&lt;&gt;"",$D644&lt;&gt;"",$G644&lt;&gt;"",$H644&lt;&gt;"",$I644&lt;&gt;""),1,0))</f>
        <v/>
      </c>
      <c r="BR644" s="52" t="n">
        <v>538</v>
      </c>
      <c r="BS644" s="52" t="n">
        <v>1801</v>
      </c>
    </row>
    <row r="645" s="54" customFormat="true" ht="18" hidden="false" customHeight="true" outlineLevel="0" collapsed="false">
      <c r="A645" s="57" t="s">
        <v>1221</v>
      </c>
      <c r="B645" s="51"/>
      <c r="C645" s="51"/>
      <c r="D645" s="51"/>
      <c r="E645" s="51"/>
      <c r="F645" s="57" t="s">
        <v>1222</v>
      </c>
      <c r="G645" s="51"/>
      <c r="H645" s="51"/>
      <c r="I645" s="51"/>
      <c r="J645" s="51"/>
      <c r="K645" s="52" t="str">
        <f aca="false">IF($A645&lt;&gt;"",$A645,"")</f>
        <v>Apprenant 633</v>
      </c>
      <c r="L645" s="53" t="str">
        <f aca="false">IF(AND($B645&lt;&gt;"",$C645&lt;&gt;""),$C645-$B645,"")</f>
        <v/>
      </c>
      <c r="M645" s="53" t="str">
        <f aca="false">IF(AND($B645&lt;&gt;"",$D645&lt;&gt;""),$D645-$B645,"")</f>
        <v/>
      </c>
      <c r="N645" s="53" t="str">
        <f aca="false">IF(AND($C645&lt;&gt;"",$D645&lt;&gt;""),$D645-$C645,"")</f>
        <v/>
      </c>
      <c r="O645" s="53" t="str">
        <f aca="false">IF($E645&lt;&gt;"",$E645,"")</f>
        <v/>
      </c>
      <c r="P645" s="52" t="str">
        <f aca="false">IF($F645&lt;&gt;"",$F645,"")</f>
        <v>Apprenant 633 ou 633'</v>
      </c>
      <c r="Q645" s="53" t="str">
        <f aca="false">IF(AND($G645&lt;&gt;"",$H645&lt;&gt;""),$H645-$G645,"")</f>
        <v/>
      </c>
      <c r="R645" s="53" t="str">
        <f aca="false">IF(AND($G645&lt;&gt;"",$I645&lt;&gt;""),$I645-$G645,"")</f>
        <v/>
      </c>
      <c r="S645" s="53" t="str">
        <f aca="false">IF(AND($H645&lt;&gt;"",$I645&lt;&gt;""),$I645-$H645,"")</f>
        <v/>
      </c>
      <c r="T645" s="53" t="str">
        <f aca="false">IF($J645&lt;&gt;"",$J645,"")</f>
        <v/>
      </c>
      <c r="V645" s="52" t="str">
        <f aca="false">IF($A645&lt;&gt;"",$A645,"")</f>
        <v>Apprenant 633</v>
      </c>
      <c r="W645" s="53" t="str">
        <f aca="false">IF(AND(OR('Choix pédagogiques'!$C$3=1,'Choix pédagogiques'!$C$3=2),$BM645=1),B645,IF(AND('Choix pédagogiques'!$C$3=3,$BO645=1),B645,""))</f>
        <v/>
      </c>
      <c r="X645" s="53" t="str">
        <f aca="false">IF(AND(OR('Choix pédagogiques'!$C$3=1,'Choix pédagogiques'!$C$3=2),$BM645=1),C645,IF(AND('Choix pédagogiques'!$C$3=3,$BO645=1),C645,""))</f>
        <v/>
      </c>
      <c r="Y645" s="53" t="str">
        <f aca="false">IF(AND(OR('Choix pédagogiques'!$C$3=1,'Choix pédagogiques'!$C$3=2),$BM645=1),D645,IF(AND('Choix pédagogiques'!$C$3=3,$BO645=1),D645,""))</f>
        <v/>
      </c>
      <c r="Z645" s="53" t="str">
        <f aca="false">IF($E645&lt;&gt;"",$E645,"")</f>
        <v/>
      </c>
      <c r="AA645" s="52" t="str">
        <f aca="false">IF($F645&lt;&gt;"",$F645,"")</f>
        <v>Apprenant 633 ou 633'</v>
      </c>
      <c r="AB645" s="53" t="str">
        <f aca="false">IF(AND(OR('Choix pédagogiques'!$C$3=1,'Choix pédagogiques'!$C$3=2),$BN645=1),G645,IF(AND('Choix pédagogiques'!$C$3=3,$BO645=1),G645,""))</f>
        <v/>
      </c>
      <c r="AC645" s="53" t="str">
        <f aca="false">IF(AND(OR('Choix pédagogiques'!$C$3=1,'Choix pédagogiques'!$C$3=2),$BN645=1),H645,IF(AND('Choix pédagogiques'!$C$3=3,$BO645=1),H645,""))</f>
        <v/>
      </c>
      <c r="AD645" s="53" t="str">
        <f aca="false">IF(AND(OR('Choix pédagogiques'!$C$3=1,'Choix pédagogiques'!$C$3=2),$BN645=1),I645,IF(AND('Choix pédagogiques'!$C$3=3,$BO645=1),I645,""))</f>
        <v/>
      </c>
      <c r="AE645" s="53" t="str">
        <f aca="false">IF($J645&lt;&gt;"",$J645,"")</f>
        <v/>
      </c>
      <c r="AF645" s="52" t="str">
        <f aca="false">IF($A645&lt;&gt;"",$A645,"")</f>
        <v>Apprenant 633</v>
      </c>
      <c r="AG645" s="53" t="str">
        <f aca="false">IF(AND($W645&lt;&gt;"",$X645&lt;&gt;""),$X645-$W645,"")</f>
        <v/>
      </c>
      <c r="AH645" s="53" t="str">
        <f aca="false">IF(AND($W645&lt;&gt;"",$Y645&lt;&gt;""),$Y645-$W645,"")</f>
        <v/>
      </c>
      <c r="AI645" s="53" t="str">
        <f aca="false">IF(AND($X645&lt;&gt;"",$Y645&lt;&gt;""),$Y645-$X645,"")</f>
        <v/>
      </c>
      <c r="AJ645" s="53" t="str">
        <f aca="false">IF($E645&lt;&gt;"",$E645,"")</f>
        <v/>
      </c>
      <c r="AK645" s="52" t="str">
        <f aca="false">IF($F645&lt;&gt;"",$F645,"")</f>
        <v>Apprenant 633 ou 633'</v>
      </c>
      <c r="AL645" s="53" t="str">
        <f aca="false">IF(AND($AB645&lt;&gt;"",$AC645&lt;&gt;""),$AC645-$AB645,"")</f>
        <v/>
      </c>
      <c r="AM645" s="53" t="str">
        <f aca="false">IF(AND($AB645&lt;&gt;"",$AD645&lt;&gt;""),$AD645-$AB645,"")</f>
        <v/>
      </c>
      <c r="AN645" s="53" t="str">
        <f aca="false">IF(AND($AC645&lt;&gt;"",$AD645&lt;&gt;""),$AD645-$AC645,"")</f>
        <v/>
      </c>
      <c r="AO645" s="53" t="str">
        <f aca="false">IF($J645&lt;&gt;"",$J645,"")</f>
        <v/>
      </c>
      <c r="AQ645" s="52" t="str">
        <f aca="false">IF($A645&lt;&gt;"",$A645,"")</f>
        <v>Apprenant 633</v>
      </c>
      <c r="AR645" s="55" t="str">
        <f aca="false">IF(AND('Choix pédagogiques'!$C$4&lt;&gt;"?",'Choix pédagogiques'!$C$5&lt;&gt;"?",W645&lt;&gt;""),(W645-'Choix pédagogiques'!$C$4)/('Choix pédagogiques'!$C$5-'Choix pédagogiques'!$C$4),"")</f>
        <v/>
      </c>
      <c r="AS645" s="55" t="str">
        <f aca="false">IF(AND('Choix pédagogiques'!$C$4&lt;&gt;"?",'Choix pédagogiques'!$C$5&lt;&gt;"?",X645&lt;&gt;""),(X645-'Choix pédagogiques'!$C$4)/('Choix pédagogiques'!$C$5-'Choix pédagogiques'!$C$4),"")</f>
        <v/>
      </c>
      <c r="AT645" s="55" t="str">
        <f aca="false">IF(AND('Choix pédagogiques'!$C$4&lt;&gt;"?",'Choix pédagogiques'!$C$5&lt;&gt;"?",Y645&lt;&gt;""),(Y645-'Choix pédagogiques'!$C$4)/('Choix pédagogiques'!$C$5-'Choix pédagogiques'!$C$4),"")</f>
        <v/>
      </c>
      <c r="AU645" s="53" t="str">
        <f aca="false">IF($E645&lt;&gt;"",$E645,"")</f>
        <v/>
      </c>
      <c r="AV645" s="52" t="str">
        <f aca="false">IF($F645&lt;&gt;"",$F645,"")</f>
        <v>Apprenant 633 ou 633'</v>
      </c>
      <c r="AW645" s="55" t="str">
        <f aca="false">IF(AND('Choix pédagogiques'!$C$4&lt;&gt;"?",'Choix pédagogiques'!$C$5&lt;&gt;"?",AB645&lt;&gt;""),(AB645-'Choix pédagogiques'!$C$4)/('Choix pédagogiques'!$C$5-'Choix pédagogiques'!$C$4),"")</f>
        <v/>
      </c>
      <c r="AX645" s="55" t="str">
        <f aca="false">IF(AND('Choix pédagogiques'!$C$4&lt;&gt;"?",'Choix pédagogiques'!$C$5&lt;&gt;"?",AC645&lt;&gt;""),(AC645-'Choix pédagogiques'!$C$4)/('Choix pédagogiques'!$C$5-'Choix pédagogiques'!$C$4),"")</f>
        <v/>
      </c>
      <c r="AY645" s="55" t="str">
        <f aca="false">IF(AND('Choix pédagogiques'!$C$4&lt;&gt;"?",'Choix pédagogiques'!$C$5&lt;&gt;"?",AD645&lt;&gt;""),(AD645-'Choix pédagogiques'!$C$4)/('Choix pédagogiques'!$C$5-'Choix pédagogiques'!$C$4),"")</f>
        <v/>
      </c>
      <c r="AZ645" s="53" t="str">
        <f aca="false">IF($J645&lt;&gt;"",$J645,"")</f>
        <v/>
      </c>
      <c r="BA645" s="52" t="str">
        <f aca="false">IF($A645&lt;&gt;"",$A645,"")</f>
        <v>Apprenant 633</v>
      </c>
      <c r="BB645" s="55" t="str">
        <f aca="false">IF(AND($AR645&lt;&gt;"",$AS645&lt;&gt;""),$AS645-$AR645,"")</f>
        <v/>
      </c>
      <c r="BC645" s="55" t="str">
        <f aca="false">IF(AND($AR645&lt;&gt;"",$AT645&lt;&gt;""),$AT645-$AR645,"")</f>
        <v/>
      </c>
      <c r="BD645" s="55" t="str">
        <f aca="false">IF(AND($AS645&lt;&gt;"",$AT645&lt;&gt;""),$AT645-$AS645,"")</f>
        <v/>
      </c>
      <c r="BE645" s="53" t="str">
        <f aca="false">IF($E645&lt;&gt;"",$E645,"")</f>
        <v/>
      </c>
      <c r="BF645" s="52" t="str">
        <f aca="false">IF($F645&lt;&gt;"",$F645,"")</f>
        <v>Apprenant 633 ou 633'</v>
      </c>
      <c r="BG645" s="55" t="str">
        <f aca="false">IF(AND($AW645&lt;&gt;"",$AX645&lt;&gt;""),$AX645-$AW645,"")</f>
        <v/>
      </c>
      <c r="BH645" s="55" t="str">
        <f aca="false">IF(AND($AW645&lt;&gt;"",$AY645&lt;&gt;""),$AY645-$AW645,"")</f>
        <v/>
      </c>
      <c r="BI645" s="55" t="str">
        <f aca="false">IF(AND($AX645&lt;&gt;"",$AY645&lt;&gt;""),$AY645-$AX645,"")</f>
        <v/>
      </c>
      <c r="BJ645" s="53" t="str">
        <f aca="false">IF($J645&lt;&gt;"",$J645,"")</f>
        <v/>
      </c>
      <c r="BL645" s="52"/>
      <c r="BM645" s="52" t="str">
        <f aca="false">IF(OR(COUNT(B645:D1644)=0,AND('Choix pédagogiques'!$C$3&lt;&gt;1,'Choix pédagogiques'!$C$3&lt;&gt;2)),"",IF(AND(OR('Choix pédagogiques'!$C$3=1,'Choix pédagogiques'!$C$3=2),$B645&lt;&gt;"",$C645&lt;&gt;"",$D645&lt;&gt;""),1,0))</f>
        <v/>
      </c>
      <c r="BN645" s="52" t="str">
        <f aca="false">IF(OR(COUNT(G645:I1644)=0,AND('Choix pédagogiques'!$C$3&lt;&gt;1,'Choix pédagogiques'!$C$3&lt;&gt;2)),"",IF(AND(OR('Choix pédagogiques'!$C$3=1,'Choix pédagogiques'!$C$3=2),AND($G645&lt;&gt;"",$H645&lt;&gt;"",$I645&lt;&gt;"")),1,0))</f>
        <v/>
      </c>
      <c r="BO645" s="52" t="str">
        <f aca="false">IF(OR(COUNT(B645:D1644)=0,COUNT(G645:I1644)=0,'Choix pédagogiques'!C$3&lt;&gt;3),"",IF(AND('Choix pédagogiques'!$C$3=3,$B645&lt;&gt;"",$C645&lt;&gt;"",$D645&lt;&gt;"",$G645&lt;&gt;"",$H645&lt;&gt;"",$I645&lt;&gt;""),1,0))</f>
        <v/>
      </c>
      <c r="BR645" s="52" t="n">
        <v>281</v>
      </c>
      <c r="BS645" s="52" t="n">
        <v>1648</v>
      </c>
    </row>
    <row r="646" s="54" customFormat="true" ht="18" hidden="false" customHeight="true" outlineLevel="0" collapsed="false">
      <c r="A646" s="57" t="s">
        <v>1223</v>
      </c>
      <c r="B646" s="51"/>
      <c r="C646" s="51"/>
      <c r="D646" s="51"/>
      <c r="E646" s="51"/>
      <c r="F646" s="57" t="s">
        <v>1224</v>
      </c>
      <c r="G646" s="51"/>
      <c r="H646" s="51"/>
      <c r="I646" s="51"/>
      <c r="J646" s="51"/>
      <c r="K646" s="52" t="str">
        <f aca="false">IF($A646&lt;&gt;"",$A646,"")</f>
        <v>Apprenant 634</v>
      </c>
      <c r="L646" s="53" t="str">
        <f aca="false">IF(AND($B646&lt;&gt;"",$C646&lt;&gt;""),$C646-$B646,"")</f>
        <v/>
      </c>
      <c r="M646" s="53" t="str">
        <f aca="false">IF(AND($B646&lt;&gt;"",$D646&lt;&gt;""),$D646-$B646,"")</f>
        <v/>
      </c>
      <c r="N646" s="53" t="str">
        <f aca="false">IF(AND($C646&lt;&gt;"",$D646&lt;&gt;""),$D646-$C646,"")</f>
        <v/>
      </c>
      <c r="O646" s="53" t="str">
        <f aca="false">IF($E646&lt;&gt;"",$E646,"")</f>
        <v/>
      </c>
      <c r="P646" s="52" t="str">
        <f aca="false">IF($F646&lt;&gt;"",$F646,"")</f>
        <v>Apprenant 634 ou 634'</v>
      </c>
      <c r="Q646" s="53" t="str">
        <f aca="false">IF(AND($G646&lt;&gt;"",$H646&lt;&gt;""),$H646-$G646,"")</f>
        <v/>
      </c>
      <c r="R646" s="53" t="str">
        <f aca="false">IF(AND($G646&lt;&gt;"",$I646&lt;&gt;""),$I646-$G646,"")</f>
        <v/>
      </c>
      <c r="S646" s="53" t="str">
        <f aca="false">IF(AND($H646&lt;&gt;"",$I646&lt;&gt;""),$I646-$H646,"")</f>
        <v/>
      </c>
      <c r="T646" s="53" t="str">
        <f aca="false">IF($J646&lt;&gt;"",$J646,"")</f>
        <v/>
      </c>
      <c r="V646" s="52" t="str">
        <f aca="false">IF($A646&lt;&gt;"",$A646,"")</f>
        <v>Apprenant 634</v>
      </c>
      <c r="W646" s="53" t="str">
        <f aca="false">IF(AND(OR('Choix pédagogiques'!$C$3=1,'Choix pédagogiques'!$C$3=2),$BM646=1),B646,IF(AND('Choix pédagogiques'!$C$3=3,$BO646=1),B646,""))</f>
        <v/>
      </c>
      <c r="X646" s="53" t="str">
        <f aca="false">IF(AND(OR('Choix pédagogiques'!$C$3=1,'Choix pédagogiques'!$C$3=2),$BM646=1),C646,IF(AND('Choix pédagogiques'!$C$3=3,$BO646=1),C646,""))</f>
        <v/>
      </c>
      <c r="Y646" s="53" t="str">
        <f aca="false">IF(AND(OR('Choix pédagogiques'!$C$3=1,'Choix pédagogiques'!$C$3=2),$BM646=1),D646,IF(AND('Choix pédagogiques'!$C$3=3,$BO646=1),D646,""))</f>
        <v/>
      </c>
      <c r="Z646" s="53" t="str">
        <f aca="false">IF($E646&lt;&gt;"",$E646,"")</f>
        <v/>
      </c>
      <c r="AA646" s="52" t="str">
        <f aca="false">IF($F646&lt;&gt;"",$F646,"")</f>
        <v>Apprenant 634 ou 634'</v>
      </c>
      <c r="AB646" s="53" t="str">
        <f aca="false">IF(AND(OR('Choix pédagogiques'!$C$3=1,'Choix pédagogiques'!$C$3=2),$BN646=1),G646,IF(AND('Choix pédagogiques'!$C$3=3,$BO646=1),G646,""))</f>
        <v/>
      </c>
      <c r="AC646" s="53" t="str">
        <f aca="false">IF(AND(OR('Choix pédagogiques'!$C$3=1,'Choix pédagogiques'!$C$3=2),$BN646=1),H646,IF(AND('Choix pédagogiques'!$C$3=3,$BO646=1),H646,""))</f>
        <v/>
      </c>
      <c r="AD646" s="53" t="str">
        <f aca="false">IF(AND(OR('Choix pédagogiques'!$C$3=1,'Choix pédagogiques'!$C$3=2),$BN646=1),I646,IF(AND('Choix pédagogiques'!$C$3=3,$BO646=1),I646,""))</f>
        <v/>
      </c>
      <c r="AE646" s="53" t="str">
        <f aca="false">IF($J646&lt;&gt;"",$J646,"")</f>
        <v/>
      </c>
      <c r="AF646" s="52" t="str">
        <f aca="false">IF($A646&lt;&gt;"",$A646,"")</f>
        <v>Apprenant 634</v>
      </c>
      <c r="AG646" s="53" t="str">
        <f aca="false">IF(AND($W646&lt;&gt;"",$X646&lt;&gt;""),$X646-$W646,"")</f>
        <v/>
      </c>
      <c r="AH646" s="53" t="str">
        <f aca="false">IF(AND($W646&lt;&gt;"",$Y646&lt;&gt;""),$Y646-$W646,"")</f>
        <v/>
      </c>
      <c r="AI646" s="53" t="str">
        <f aca="false">IF(AND($X646&lt;&gt;"",$Y646&lt;&gt;""),$Y646-$X646,"")</f>
        <v/>
      </c>
      <c r="AJ646" s="53" t="str">
        <f aca="false">IF($E646&lt;&gt;"",$E646,"")</f>
        <v/>
      </c>
      <c r="AK646" s="52" t="str">
        <f aca="false">IF($F646&lt;&gt;"",$F646,"")</f>
        <v>Apprenant 634 ou 634'</v>
      </c>
      <c r="AL646" s="53" t="str">
        <f aca="false">IF(AND($AB646&lt;&gt;"",$AC646&lt;&gt;""),$AC646-$AB646,"")</f>
        <v/>
      </c>
      <c r="AM646" s="53" t="str">
        <f aca="false">IF(AND($AB646&lt;&gt;"",$AD646&lt;&gt;""),$AD646-$AB646,"")</f>
        <v/>
      </c>
      <c r="AN646" s="53" t="str">
        <f aca="false">IF(AND($AC646&lt;&gt;"",$AD646&lt;&gt;""),$AD646-$AC646,"")</f>
        <v/>
      </c>
      <c r="AO646" s="53" t="str">
        <f aca="false">IF($J646&lt;&gt;"",$J646,"")</f>
        <v/>
      </c>
      <c r="AQ646" s="52" t="str">
        <f aca="false">IF($A646&lt;&gt;"",$A646,"")</f>
        <v>Apprenant 634</v>
      </c>
      <c r="AR646" s="55" t="str">
        <f aca="false">IF(AND('Choix pédagogiques'!$C$4&lt;&gt;"?",'Choix pédagogiques'!$C$5&lt;&gt;"?",W646&lt;&gt;""),(W646-'Choix pédagogiques'!$C$4)/('Choix pédagogiques'!$C$5-'Choix pédagogiques'!$C$4),"")</f>
        <v/>
      </c>
      <c r="AS646" s="55" t="str">
        <f aca="false">IF(AND('Choix pédagogiques'!$C$4&lt;&gt;"?",'Choix pédagogiques'!$C$5&lt;&gt;"?",X646&lt;&gt;""),(X646-'Choix pédagogiques'!$C$4)/('Choix pédagogiques'!$C$5-'Choix pédagogiques'!$C$4),"")</f>
        <v/>
      </c>
      <c r="AT646" s="55" t="str">
        <f aca="false">IF(AND('Choix pédagogiques'!$C$4&lt;&gt;"?",'Choix pédagogiques'!$C$5&lt;&gt;"?",Y646&lt;&gt;""),(Y646-'Choix pédagogiques'!$C$4)/('Choix pédagogiques'!$C$5-'Choix pédagogiques'!$C$4),"")</f>
        <v/>
      </c>
      <c r="AU646" s="53" t="str">
        <f aca="false">IF($E646&lt;&gt;"",$E646,"")</f>
        <v/>
      </c>
      <c r="AV646" s="52" t="str">
        <f aca="false">IF($F646&lt;&gt;"",$F646,"")</f>
        <v>Apprenant 634 ou 634'</v>
      </c>
      <c r="AW646" s="55" t="str">
        <f aca="false">IF(AND('Choix pédagogiques'!$C$4&lt;&gt;"?",'Choix pédagogiques'!$C$5&lt;&gt;"?",AB646&lt;&gt;""),(AB646-'Choix pédagogiques'!$C$4)/('Choix pédagogiques'!$C$5-'Choix pédagogiques'!$C$4),"")</f>
        <v/>
      </c>
      <c r="AX646" s="55" t="str">
        <f aca="false">IF(AND('Choix pédagogiques'!$C$4&lt;&gt;"?",'Choix pédagogiques'!$C$5&lt;&gt;"?",AC646&lt;&gt;""),(AC646-'Choix pédagogiques'!$C$4)/('Choix pédagogiques'!$C$5-'Choix pédagogiques'!$C$4),"")</f>
        <v/>
      </c>
      <c r="AY646" s="55" t="str">
        <f aca="false">IF(AND('Choix pédagogiques'!$C$4&lt;&gt;"?",'Choix pédagogiques'!$C$5&lt;&gt;"?",AD646&lt;&gt;""),(AD646-'Choix pédagogiques'!$C$4)/('Choix pédagogiques'!$C$5-'Choix pédagogiques'!$C$4),"")</f>
        <v/>
      </c>
      <c r="AZ646" s="53" t="str">
        <f aca="false">IF($J646&lt;&gt;"",$J646,"")</f>
        <v/>
      </c>
      <c r="BA646" s="52" t="str">
        <f aca="false">IF($A646&lt;&gt;"",$A646,"")</f>
        <v>Apprenant 634</v>
      </c>
      <c r="BB646" s="55" t="str">
        <f aca="false">IF(AND($AR646&lt;&gt;"",$AS646&lt;&gt;""),$AS646-$AR646,"")</f>
        <v/>
      </c>
      <c r="BC646" s="55" t="str">
        <f aca="false">IF(AND($AR646&lt;&gt;"",$AT646&lt;&gt;""),$AT646-$AR646,"")</f>
        <v/>
      </c>
      <c r="BD646" s="55" t="str">
        <f aca="false">IF(AND($AS646&lt;&gt;"",$AT646&lt;&gt;""),$AT646-$AS646,"")</f>
        <v/>
      </c>
      <c r="BE646" s="53" t="str">
        <f aca="false">IF($E646&lt;&gt;"",$E646,"")</f>
        <v/>
      </c>
      <c r="BF646" s="52" t="str">
        <f aca="false">IF($F646&lt;&gt;"",$F646,"")</f>
        <v>Apprenant 634 ou 634'</v>
      </c>
      <c r="BG646" s="55" t="str">
        <f aca="false">IF(AND($AW646&lt;&gt;"",$AX646&lt;&gt;""),$AX646-$AW646,"")</f>
        <v/>
      </c>
      <c r="BH646" s="55" t="str">
        <f aca="false">IF(AND($AW646&lt;&gt;"",$AY646&lt;&gt;""),$AY646-$AW646,"")</f>
        <v/>
      </c>
      <c r="BI646" s="55" t="str">
        <f aca="false">IF(AND($AX646&lt;&gt;"",$AY646&lt;&gt;""),$AY646-$AX646,"")</f>
        <v/>
      </c>
      <c r="BJ646" s="53" t="str">
        <f aca="false">IF($J646&lt;&gt;"",$J646,"")</f>
        <v/>
      </c>
      <c r="BL646" s="52"/>
      <c r="BM646" s="52" t="str">
        <f aca="false">IF(OR(COUNT(B646:D1645)=0,AND('Choix pédagogiques'!$C$3&lt;&gt;1,'Choix pédagogiques'!$C$3&lt;&gt;2)),"",IF(AND(OR('Choix pédagogiques'!$C$3=1,'Choix pédagogiques'!$C$3=2),$B646&lt;&gt;"",$C646&lt;&gt;"",$D646&lt;&gt;""),1,0))</f>
        <v/>
      </c>
      <c r="BN646" s="52" t="str">
        <f aca="false">IF(OR(COUNT(G646:I1645)=0,AND('Choix pédagogiques'!$C$3&lt;&gt;1,'Choix pédagogiques'!$C$3&lt;&gt;2)),"",IF(AND(OR('Choix pédagogiques'!$C$3=1,'Choix pédagogiques'!$C$3=2),AND($G646&lt;&gt;"",$H646&lt;&gt;"",$I646&lt;&gt;"")),1,0))</f>
        <v/>
      </c>
      <c r="BO646" s="52" t="str">
        <f aca="false">IF(OR(COUNT(B646:D1645)=0,COUNT(G646:I1645)=0,'Choix pédagogiques'!C$3&lt;&gt;3),"",IF(AND('Choix pédagogiques'!$C$3=3,$B646&lt;&gt;"",$C646&lt;&gt;"",$D646&lt;&gt;"",$G646&lt;&gt;"",$H646&lt;&gt;"",$I646&lt;&gt;""),1,0))</f>
        <v/>
      </c>
      <c r="BR646" s="52" t="n">
        <v>736</v>
      </c>
      <c r="BS646" s="52" t="n">
        <v>1544</v>
      </c>
    </row>
    <row r="647" s="54" customFormat="true" ht="18" hidden="false" customHeight="true" outlineLevel="0" collapsed="false">
      <c r="A647" s="57" t="s">
        <v>1225</v>
      </c>
      <c r="B647" s="51"/>
      <c r="C647" s="51"/>
      <c r="D647" s="51"/>
      <c r="E647" s="51"/>
      <c r="F647" s="57" t="s">
        <v>1226</v>
      </c>
      <c r="G647" s="51"/>
      <c r="H647" s="51"/>
      <c r="I647" s="51"/>
      <c r="J647" s="51"/>
      <c r="K647" s="52" t="str">
        <f aca="false">IF($A647&lt;&gt;"",$A647,"")</f>
        <v>Apprenant 635</v>
      </c>
      <c r="L647" s="53" t="str">
        <f aca="false">IF(AND($B647&lt;&gt;"",$C647&lt;&gt;""),$C647-$B647,"")</f>
        <v/>
      </c>
      <c r="M647" s="53" t="str">
        <f aca="false">IF(AND($B647&lt;&gt;"",$D647&lt;&gt;""),$D647-$B647,"")</f>
        <v/>
      </c>
      <c r="N647" s="53" t="str">
        <f aca="false">IF(AND($C647&lt;&gt;"",$D647&lt;&gt;""),$D647-$C647,"")</f>
        <v/>
      </c>
      <c r="O647" s="53" t="str">
        <f aca="false">IF($E647&lt;&gt;"",$E647,"")</f>
        <v/>
      </c>
      <c r="P647" s="52" t="str">
        <f aca="false">IF($F647&lt;&gt;"",$F647,"")</f>
        <v>Apprenant 635 ou 635'</v>
      </c>
      <c r="Q647" s="53" t="str">
        <f aca="false">IF(AND($G647&lt;&gt;"",$H647&lt;&gt;""),$H647-$G647,"")</f>
        <v/>
      </c>
      <c r="R647" s="53" t="str">
        <f aca="false">IF(AND($G647&lt;&gt;"",$I647&lt;&gt;""),$I647-$G647,"")</f>
        <v/>
      </c>
      <c r="S647" s="53" t="str">
        <f aca="false">IF(AND($H647&lt;&gt;"",$I647&lt;&gt;""),$I647-$H647,"")</f>
        <v/>
      </c>
      <c r="T647" s="53" t="str">
        <f aca="false">IF($J647&lt;&gt;"",$J647,"")</f>
        <v/>
      </c>
      <c r="V647" s="52" t="str">
        <f aca="false">IF($A647&lt;&gt;"",$A647,"")</f>
        <v>Apprenant 635</v>
      </c>
      <c r="W647" s="53" t="str">
        <f aca="false">IF(AND(OR('Choix pédagogiques'!$C$3=1,'Choix pédagogiques'!$C$3=2),$BM647=1),B647,IF(AND('Choix pédagogiques'!$C$3=3,$BO647=1),B647,""))</f>
        <v/>
      </c>
      <c r="X647" s="53" t="str">
        <f aca="false">IF(AND(OR('Choix pédagogiques'!$C$3=1,'Choix pédagogiques'!$C$3=2),$BM647=1),C647,IF(AND('Choix pédagogiques'!$C$3=3,$BO647=1),C647,""))</f>
        <v/>
      </c>
      <c r="Y647" s="53" t="str">
        <f aca="false">IF(AND(OR('Choix pédagogiques'!$C$3=1,'Choix pédagogiques'!$C$3=2),$BM647=1),D647,IF(AND('Choix pédagogiques'!$C$3=3,$BO647=1),D647,""))</f>
        <v/>
      </c>
      <c r="Z647" s="53" t="str">
        <f aca="false">IF($E647&lt;&gt;"",$E647,"")</f>
        <v/>
      </c>
      <c r="AA647" s="52" t="str">
        <f aca="false">IF($F647&lt;&gt;"",$F647,"")</f>
        <v>Apprenant 635 ou 635'</v>
      </c>
      <c r="AB647" s="53" t="str">
        <f aca="false">IF(AND(OR('Choix pédagogiques'!$C$3=1,'Choix pédagogiques'!$C$3=2),$BN647=1),G647,IF(AND('Choix pédagogiques'!$C$3=3,$BO647=1),G647,""))</f>
        <v/>
      </c>
      <c r="AC647" s="53" t="str">
        <f aca="false">IF(AND(OR('Choix pédagogiques'!$C$3=1,'Choix pédagogiques'!$C$3=2),$BN647=1),H647,IF(AND('Choix pédagogiques'!$C$3=3,$BO647=1),H647,""))</f>
        <v/>
      </c>
      <c r="AD647" s="53" t="str">
        <f aca="false">IF(AND(OR('Choix pédagogiques'!$C$3=1,'Choix pédagogiques'!$C$3=2),$BN647=1),I647,IF(AND('Choix pédagogiques'!$C$3=3,$BO647=1),I647,""))</f>
        <v/>
      </c>
      <c r="AE647" s="53" t="str">
        <f aca="false">IF($J647&lt;&gt;"",$J647,"")</f>
        <v/>
      </c>
      <c r="AF647" s="52" t="str">
        <f aca="false">IF($A647&lt;&gt;"",$A647,"")</f>
        <v>Apprenant 635</v>
      </c>
      <c r="AG647" s="53" t="str">
        <f aca="false">IF(AND($W647&lt;&gt;"",$X647&lt;&gt;""),$X647-$W647,"")</f>
        <v/>
      </c>
      <c r="AH647" s="53" t="str">
        <f aca="false">IF(AND($W647&lt;&gt;"",$Y647&lt;&gt;""),$Y647-$W647,"")</f>
        <v/>
      </c>
      <c r="AI647" s="53" t="str">
        <f aca="false">IF(AND($X647&lt;&gt;"",$Y647&lt;&gt;""),$Y647-$X647,"")</f>
        <v/>
      </c>
      <c r="AJ647" s="53" t="str">
        <f aca="false">IF($E647&lt;&gt;"",$E647,"")</f>
        <v/>
      </c>
      <c r="AK647" s="52" t="str">
        <f aca="false">IF($F647&lt;&gt;"",$F647,"")</f>
        <v>Apprenant 635 ou 635'</v>
      </c>
      <c r="AL647" s="53" t="str">
        <f aca="false">IF(AND($AB647&lt;&gt;"",$AC647&lt;&gt;""),$AC647-$AB647,"")</f>
        <v/>
      </c>
      <c r="AM647" s="53" t="str">
        <f aca="false">IF(AND($AB647&lt;&gt;"",$AD647&lt;&gt;""),$AD647-$AB647,"")</f>
        <v/>
      </c>
      <c r="AN647" s="53" t="str">
        <f aca="false">IF(AND($AC647&lt;&gt;"",$AD647&lt;&gt;""),$AD647-$AC647,"")</f>
        <v/>
      </c>
      <c r="AO647" s="53" t="str">
        <f aca="false">IF($J647&lt;&gt;"",$J647,"")</f>
        <v/>
      </c>
      <c r="AQ647" s="52" t="str">
        <f aca="false">IF($A647&lt;&gt;"",$A647,"")</f>
        <v>Apprenant 635</v>
      </c>
      <c r="AR647" s="55" t="str">
        <f aca="false">IF(AND('Choix pédagogiques'!$C$4&lt;&gt;"?",'Choix pédagogiques'!$C$5&lt;&gt;"?",W647&lt;&gt;""),(W647-'Choix pédagogiques'!$C$4)/('Choix pédagogiques'!$C$5-'Choix pédagogiques'!$C$4),"")</f>
        <v/>
      </c>
      <c r="AS647" s="55" t="str">
        <f aca="false">IF(AND('Choix pédagogiques'!$C$4&lt;&gt;"?",'Choix pédagogiques'!$C$5&lt;&gt;"?",X647&lt;&gt;""),(X647-'Choix pédagogiques'!$C$4)/('Choix pédagogiques'!$C$5-'Choix pédagogiques'!$C$4),"")</f>
        <v/>
      </c>
      <c r="AT647" s="55" t="str">
        <f aca="false">IF(AND('Choix pédagogiques'!$C$4&lt;&gt;"?",'Choix pédagogiques'!$C$5&lt;&gt;"?",Y647&lt;&gt;""),(Y647-'Choix pédagogiques'!$C$4)/('Choix pédagogiques'!$C$5-'Choix pédagogiques'!$C$4),"")</f>
        <v/>
      </c>
      <c r="AU647" s="53" t="str">
        <f aca="false">IF($E647&lt;&gt;"",$E647,"")</f>
        <v/>
      </c>
      <c r="AV647" s="52" t="str">
        <f aca="false">IF($F647&lt;&gt;"",$F647,"")</f>
        <v>Apprenant 635 ou 635'</v>
      </c>
      <c r="AW647" s="55" t="str">
        <f aca="false">IF(AND('Choix pédagogiques'!$C$4&lt;&gt;"?",'Choix pédagogiques'!$C$5&lt;&gt;"?",AB647&lt;&gt;""),(AB647-'Choix pédagogiques'!$C$4)/('Choix pédagogiques'!$C$5-'Choix pédagogiques'!$C$4),"")</f>
        <v/>
      </c>
      <c r="AX647" s="55" t="str">
        <f aca="false">IF(AND('Choix pédagogiques'!$C$4&lt;&gt;"?",'Choix pédagogiques'!$C$5&lt;&gt;"?",AC647&lt;&gt;""),(AC647-'Choix pédagogiques'!$C$4)/('Choix pédagogiques'!$C$5-'Choix pédagogiques'!$C$4),"")</f>
        <v/>
      </c>
      <c r="AY647" s="55" t="str">
        <f aca="false">IF(AND('Choix pédagogiques'!$C$4&lt;&gt;"?",'Choix pédagogiques'!$C$5&lt;&gt;"?",AD647&lt;&gt;""),(AD647-'Choix pédagogiques'!$C$4)/('Choix pédagogiques'!$C$5-'Choix pédagogiques'!$C$4),"")</f>
        <v/>
      </c>
      <c r="AZ647" s="53" t="str">
        <f aca="false">IF($J647&lt;&gt;"",$J647,"")</f>
        <v/>
      </c>
      <c r="BA647" s="52" t="str">
        <f aca="false">IF($A647&lt;&gt;"",$A647,"")</f>
        <v>Apprenant 635</v>
      </c>
      <c r="BB647" s="55" t="str">
        <f aca="false">IF(AND($AR647&lt;&gt;"",$AS647&lt;&gt;""),$AS647-$AR647,"")</f>
        <v/>
      </c>
      <c r="BC647" s="55" t="str">
        <f aca="false">IF(AND($AR647&lt;&gt;"",$AT647&lt;&gt;""),$AT647-$AR647,"")</f>
        <v/>
      </c>
      <c r="BD647" s="55" t="str">
        <f aca="false">IF(AND($AS647&lt;&gt;"",$AT647&lt;&gt;""),$AT647-$AS647,"")</f>
        <v/>
      </c>
      <c r="BE647" s="53" t="str">
        <f aca="false">IF($E647&lt;&gt;"",$E647,"")</f>
        <v/>
      </c>
      <c r="BF647" s="52" t="str">
        <f aca="false">IF($F647&lt;&gt;"",$F647,"")</f>
        <v>Apprenant 635 ou 635'</v>
      </c>
      <c r="BG647" s="55" t="str">
        <f aca="false">IF(AND($AW647&lt;&gt;"",$AX647&lt;&gt;""),$AX647-$AW647,"")</f>
        <v/>
      </c>
      <c r="BH647" s="55" t="str">
        <f aca="false">IF(AND($AW647&lt;&gt;"",$AY647&lt;&gt;""),$AY647-$AW647,"")</f>
        <v/>
      </c>
      <c r="BI647" s="55" t="str">
        <f aca="false">IF(AND($AX647&lt;&gt;"",$AY647&lt;&gt;""),$AY647-$AX647,"")</f>
        <v/>
      </c>
      <c r="BJ647" s="53" t="str">
        <f aca="false">IF($J647&lt;&gt;"",$J647,"")</f>
        <v/>
      </c>
      <c r="BL647" s="52"/>
      <c r="BM647" s="52" t="str">
        <f aca="false">IF(OR(COUNT(B647:D1646)=0,AND('Choix pédagogiques'!$C$3&lt;&gt;1,'Choix pédagogiques'!$C$3&lt;&gt;2)),"",IF(AND(OR('Choix pédagogiques'!$C$3=1,'Choix pédagogiques'!$C$3=2),$B647&lt;&gt;"",$C647&lt;&gt;"",$D647&lt;&gt;""),1,0))</f>
        <v/>
      </c>
      <c r="BN647" s="52" t="str">
        <f aca="false">IF(OR(COUNT(G647:I1646)=0,AND('Choix pédagogiques'!$C$3&lt;&gt;1,'Choix pédagogiques'!$C$3&lt;&gt;2)),"",IF(AND(OR('Choix pédagogiques'!$C$3=1,'Choix pédagogiques'!$C$3=2),AND($G647&lt;&gt;"",$H647&lt;&gt;"",$I647&lt;&gt;"")),1,0))</f>
        <v/>
      </c>
      <c r="BO647" s="52" t="str">
        <f aca="false">IF(OR(COUNT(B647:D1646)=0,COUNT(G647:I1646)=0,'Choix pédagogiques'!C$3&lt;&gt;3),"",IF(AND('Choix pédagogiques'!$C$3=3,$B647&lt;&gt;"",$C647&lt;&gt;"",$D647&lt;&gt;"",$G647&lt;&gt;"",$H647&lt;&gt;"",$I647&lt;&gt;""),1,0))</f>
        <v/>
      </c>
      <c r="BR647" s="52" t="n">
        <v>779</v>
      </c>
      <c r="BS647" s="52" t="n">
        <v>1301</v>
      </c>
    </row>
    <row r="648" s="54" customFormat="true" ht="18" hidden="false" customHeight="true" outlineLevel="0" collapsed="false">
      <c r="A648" s="57" t="s">
        <v>1227</v>
      </c>
      <c r="B648" s="51"/>
      <c r="C648" s="51"/>
      <c r="D648" s="51"/>
      <c r="E648" s="51"/>
      <c r="F648" s="57" t="s">
        <v>1228</v>
      </c>
      <c r="G648" s="51"/>
      <c r="H648" s="51"/>
      <c r="I648" s="51"/>
      <c r="J648" s="51"/>
      <c r="K648" s="52" t="str">
        <f aca="false">IF($A648&lt;&gt;"",$A648,"")</f>
        <v>Apprenant 636</v>
      </c>
      <c r="L648" s="53" t="str">
        <f aca="false">IF(AND($B648&lt;&gt;"",$C648&lt;&gt;""),$C648-$B648,"")</f>
        <v/>
      </c>
      <c r="M648" s="53" t="str">
        <f aca="false">IF(AND($B648&lt;&gt;"",$D648&lt;&gt;""),$D648-$B648,"")</f>
        <v/>
      </c>
      <c r="N648" s="53" t="str">
        <f aca="false">IF(AND($C648&lt;&gt;"",$D648&lt;&gt;""),$D648-$C648,"")</f>
        <v/>
      </c>
      <c r="O648" s="53" t="str">
        <f aca="false">IF($E648&lt;&gt;"",$E648,"")</f>
        <v/>
      </c>
      <c r="P648" s="52" t="str">
        <f aca="false">IF($F648&lt;&gt;"",$F648,"")</f>
        <v>Apprenant 636 ou 636'</v>
      </c>
      <c r="Q648" s="53" t="str">
        <f aca="false">IF(AND($G648&lt;&gt;"",$H648&lt;&gt;""),$H648-$G648,"")</f>
        <v/>
      </c>
      <c r="R648" s="53" t="str">
        <f aca="false">IF(AND($G648&lt;&gt;"",$I648&lt;&gt;""),$I648-$G648,"")</f>
        <v/>
      </c>
      <c r="S648" s="53" t="str">
        <f aca="false">IF(AND($H648&lt;&gt;"",$I648&lt;&gt;""),$I648-$H648,"")</f>
        <v/>
      </c>
      <c r="T648" s="53" t="str">
        <f aca="false">IF($J648&lt;&gt;"",$J648,"")</f>
        <v/>
      </c>
      <c r="V648" s="52" t="str">
        <f aca="false">IF($A648&lt;&gt;"",$A648,"")</f>
        <v>Apprenant 636</v>
      </c>
      <c r="W648" s="53" t="str">
        <f aca="false">IF(AND(OR('Choix pédagogiques'!$C$3=1,'Choix pédagogiques'!$C$3=2),$BM648=1),B648,IF(AND('Choix pédagogiques'!$C$3=3,$BO648=1),B648,""))</f>
        <v/>
      </c>
      <c r="X648" s="53" t="str">
        <f aca="false">IF(AND(OR('Choix pédagogiques'!$C$3=1,'Choix pédagogiques'!$C$3=2),$BM648=1),C648,IF(AND('Choix pédagogiques'!$C$3=3,$BO648=1),C648,""))</f>
        <v/>
      </c>
      <c r="Y648" s="53" t="str">
        <f aca="false">IF(AND(OR('Choix pédagogiques'!$C$3=1,'Choix pédagogiques'!$C$3=2),$BM648=1),D648,IF(AND('Choix pédagogiques'!$C$3=3,$BO648=1),D648,""))</f>
        <v/>
      </c>
      <c r="Z648" s="53" t="str">
        <f aca="false">IF($E648&lt;&gt;"",$E648,"")</f>
        <v/>
      </c>
      <c r="AA648" s="52" t="str">
        <f aca="false">IF($F648&lt;&gt;"",$F648,"")</f>
        <v>Apprenant 636 ou 636'</v>
      </c>
      <c r="AB648" s="53" t="str">
        <f aca="false">IF(AND(OR('Choix pédagogiques'!$C$3=1,'Choix pédagogiques'!$C$3=2),$BN648=1),G648,IF(AND('Choix pédagogiques'!$C$3=3,$BO648=1),G648,""))</f>
        <v/>
      </c>
      <c r="AC648" s="53" t="str">
        <f aca="false">IF(AND(OR('Choix pédagogiques'!$C$3=1,'Choix pédagogiques'!$C$3=2),$BN648=1),H648,IF(AND('Choix pédagogiques'!$C$3=3,$BO648=1),H648,""))</f>
        <v/>
      </c>
      <c r="AD648" s="53" t="str">
        <f aca="false">IF(AND(OR('Choix pédagogiques'!$C$3=1,'Choix pédagogiques'!$C$3=2),$BN648=1),I648,IF(AND('Choix pédagogiques'!$C$3=3,$BO648=1),I648,""))</f>
        <v/>
      </c>
      <c r="AE648" s="53" t="str">
        <f aca="false">IF($J648&lt;&gt;"",$J648,"")</f>
        <v/>
      </c>
      <c r="AF648" s="52" t="str">
        <f aca="false">IF($A648&lt;&gt;"",$A648,"")</f>
        <v>Apprenant 636</v>
      </c>
      <c r="AG648" s="53" t="str">
        <f aca="false">IF(AND($W648&lt;&gt;"",$X648&lt;&gt;""),$X648-$W648,"")</f>
        <v/>
      </c>
      <c r="AH648" s="53" t="str">
        <f aca="false">IF(AND($W648&lt;&gt;"",$Y648&lt;&gt;""),$Y648-$W648,"")</f>
        <v/>
      </c>
      <c r="AI648" s="53" t="str">
        <f aca="false">IF(AND($X648&lt;&gt;"",$Y648&lt;&gt;""),$Y648-$X648,"")</f>
        <v/>
      </c>
      <c r="AJ648" s="53" t="str">
        <f aca="false">IF($E648&lt;&gt;"",$E648,"")</f>
        <v/>
      </c>
      <c r="AK648" s="52" t="str">
        <f aca="false">IF($F648&lt;&gt;"",$F648,"")</f>
        <v>Apprenant 636 ou 636'</v>
      </c>
      <c r="AL648" s="53" t="str">
        <f aca="false">IF(AND($AB648&lt;&gt;"",$AC648&lt;&gt;""),$AC648-$AB648,"")</f>
        <v/>
      </c>
      <c r="AM648" s="53" t="str">
        <f aca="false">IF(AND($AB648&lt;&gt;"",$AD648&lt;&gt;""),$AD648-$AB648,"")</f>
        <v/>
      </c>
      <c r="AN648" s="53" t="str">
        <f aca="false">IF(AND($AC648&lt;&gt;"",$AD648&lt;&gt;""),$AD648-$AC648,"")</f>
        <v/>
      </c>
      <c r="AO648" s="53" t="str">
        <f aca="false">IF($J648&lt;&gt;"",$J648,"")</f>
        <v/>
      </c>
      <c r="AQ648" s="52" t="str">
        <f aca="false">IF($A648&lt;&gt;"",$A648,"")</f>
        <v>Apprenant 636</v>
      </c>
      <c r="AR648" s="55" t="str">
        <f aca="false">IF(AND('Choix pédagogiques'!$C$4&lt;&gt;"?",'Choix pédagogiques'!$C$5&lt;&gt;"?",W648&lt;&gt;""),(W648-'Choix pédagogiques'!$C$4)/('Choix pédagogiques'!$C$5-'Choix pédagogiques'!$C$4),"")</f>
        <v/>
      </c>
      <c r="AS648" s="55" t="str">
        <f aca="false">IF(AND('Choix pédagogiques'!$C$4&lt;&gt;"?",'Choix pédagogiques'!$C$5&lt;&gt;"?",X648&lt;&gt;""),(X648-'Choix pédagogiques'!$C$4)/('Choix pédagogiques'!$C$5-'Choix pédagogiques'!$C$4),"")</f>
        <v/>
      </c>
      <c r="AT648" s="55" t="str">
        <f aca="false">IF(AND('Choix pédagogiques'!$C$4&lt;&gt;"?",'Choix pédagogiques'!$C$5&lt;&gt;"?",Y648&lt;&gt;""),(Y648-'Choix pédagogiques'!$C$4)/('Choix pédagogiques'!$C$5-'Choix pédagogiques'!$C$4),"")</f>
        <v/>
      </c>
      <c r="AU648" s="53" t="str">
        <f aca="false">IF($E648&lt;&gt;"",$E648,"")</f>
        <v/>
      </c>
      <c r="AV648" s="52" t="str">
        <f aca="false">IF($F648&lt;&gt;"",$F648,"")</f>
        <v>Apprenant 636 ou 636'</v>
      </c>
      <c r="AW648" s="55" t="str">
        <f aca="false">IF(AND('Choix pédagogiques'!$C$4&lt;&gt;"?",'Choix pédagogiques'!$C$5&lt;&gt;"?",AB648&lt;&gt;""),(AB648-'Choix pédagogiques'!$C$4)/('Choix pédagogiques'!$C$5-'Choix pédagogiques'!$C$4),"")</f>
        <v/>
      </c>
      <c r="AX648" s="55" t="str">
        <f aca="false">IF(AND('Choix pédagogiques'!$C$4&lt;&gt;"?",'Choix pédagogiques'!$C$5&lt;&gt;"?",AC648&lt;&gt;""),(AC648-'Choix pédagogiques'!$C$4)/('Choix pédagogiques'!$C$5-'Choix pédagogiques'!$C$4),"")</f>
        <v/>
      </c>
      <c r="AY648" s="55" t="str">
        <f aca="false">IF(AND('Choix pédagogiques'!$C$4&lt;&gt;"?",'Choix pédagogiques'!$C$5&lt;&gt;"?",AD648&lt;&gt;""),(AD648-'Choix pédagogiques'!$C$4)/('Choix pédagogiques'!$C$5-'Choix pédagogiques'!$C$4),"")</f>
        <v/>
      </c>
      <c r="AZ648" s="53" t="str">
        <f aca="false">IF($J648&lt;&gt;"",$J648,"")</f>
        <v/>
      </c>
      <c r="BA648" s="52" t="str">
        <f aca="false">IF($A648&lt;&gt;"",$A648,"")</f>
        <v>Apprenant 636</v>
      </c>
      <c r="BB648" s="55" t="str">
        <f aca="false">IF(AND($AR648&lt;&gt;"",$AS648&lt;&gt;""),$AS648-$AR648,"")</f>
        <v/>
      </c>
      <c r="BC648" s="55" t="str">
        <f aca="false">IF(AND($AR648&lt;&gt;"",$AT648&lt;&gt;""),$AT648-$AR648,"")</f>
        <v/>
      </c>
      <c r="BD648" s="55" t="str">
        <f aca="false">IF(AND($AS648&lt;&gt;"",$AT648&lt;&gt;""),$AT648-$AS648,"")</f>
        <v/>
      </c>
      <c r="BE648" s="53" t="str">
        <f aca="false">IF($E648&lt;&gt;"",$E648,"")</f>
        <v/>
      </c>
      <c r="BF648" s="52" t="str">
        <f aca="false">IF($F648&lt;&gt;"",$F648,"")</f>
        <v>Apprenant 636 ou 636'</v>
      </c>
      <c r="BG648" s="55" t="str">
        <f aca="false">IF(AND($AW648&lt;&gt;"",$AX648&lt;&gt;""),$AX648-$AW648,"")</f>
        <v/>
      </c>
      <c r="BH648" s="55" t="str">
        <f aca="false">IF(AND($AW648&lt;&gt;"",$AY648&lt;&gt;""),$AY648-$AW648,"")</f>
        <v/>
      </c>
      <c r="BI648" s="55" t="str">
        <f aca="false">IF(AND($AX648&lt;&gt;"",$AY648&lt;&gt;""),$AY648-$AX648,"")</f>
        <v/>
      </c>
      <c r="BJ648" s="53" t="str">
        <f aca="false">IF($J648&lt;&gt;"",$J648,"")</f>
        <v/>
      </c>
      <c r="BL648" s="52"/>
      <c r="BM648" s="52" t="str">
        <f aca="false">IF(OR(COUNT(B648:D1647)=0,AND('Choix pédagogiques'!$C$3&lt;&gt;1,'Choix pédagogiques'!$C$3&lt;&gt;2)),"",IF(AND(OR('Choix pédagogiques'!$C$3=1,'Choix pédagogiques'!$C$3=2),$B648&lt;&gt;"",$C648&lt;&gt;"",$D648&lt;&gt;""),1,0))</f>
        <v/>
      </c>
      <c r="BN648" s="52" t="str">
        <f aca="false">IF(OR(COUNT(G648:I1647)=0,AND('Choix pédagogiques'!$C$3&lt;&gt;1,'Choix pédagogiques'!$C$3&lt;&gt;2)),"",IF(AND(OR('Choix pédagogiques'!$C$3=1,'Choix pédagogiques'!$C$3=2),AND($G648&lt;&gt;"",$H648&lt;&gt;"",$I648&lt;&gt;"")),1,0))</f>
        <v/>
      </c>
      <c r="BO648" s="52" t="str">
        <f aca="false">IF(OR(COUNT(B648:D1647)=0,COUNT(G648:I1647)=0,'Choix pédagogiques'!C$3&lt;&gt;3),"",IF(AND('Choix pédagogiques'!$C$3=3,$B648&lt;&gt;"",$C648&lt;&gt;"",$D648&lt;&gt;"",$G648&lt;&gt;"",$H648&lt;&gt;"",$I648&lt;&gt;""),1,0))</f>
        <v/>
      </c>
      <c r="BR648" s="52" t="n">
        <v>767</v>
      </c>
      <c r="BS648" s="52" t="n">
        <v>1639</v>
      </c>
    </row>
    <row r="649" s="54" customFormat="true" ht="18" hidden="false" customHeight="true" outlineLevel="0" collapsed="false">
      <c r="A649" s="57" t="s">
        <v>1229</v>
      </c>
      <c r="B649" s="51"/>
      <c r="C649" s="51"/>
      <c r="D649" s="51"/>
      <c r="E649" s="51"/>
      <c r="F649" s="57" t="s">
        <v>1230</v>
      </c>
      <c r="G649" s="51"/>
      <c r="H649" s="51"/>
      <c r="I649" s="51"/>
      <c r="J649" s="51"/>
      <c r="K649" s="52" t="str">
        <f aca="false">IF($A649&lt;&gt;"",$A649,"")</f>
        <v>Apprenant 637</v>
      </c>
      <c r="L649" s="53" t="str">
        <f aca="false">IF(AND($B649&lt;&gt;"",$C649&lt;&gt;""),$C649-$B649,"")</f>
        <v/>
      </c>
      <c r="M649" s="53" t="str">
        <f aca="false">IF(AND($B649&lt;&gt;"",$D649&lt;&gt;""),$D649-$B649,"")</f>
        <v/>
      </c>
      <c r="N649" s="53" t="str">
        <f aca="false">IF(AND($C649&lt;&gt;"",$D649&lt;&gt;""),$D649-$C649,"")</f>
        <v/>
      </c>
      <c r="O649" s="53" t="str">
        <f aca="false">IF($E649&lt;&gt;"",$E649,"")</f>
        <v/>
      </c>
      <c r="P649" s="52" t="str">
        <f aca="false">IF($F649&lt;&gt;"",$F649,"")</f>
        <v>Apprenant 637 ou 637'</v>
      </c>
      <c r="Q649" s="53" t="str">
        <f aca="false">IF(AND($G649&lt;&gt;"",$H649&lt;&gt;""),$H649-$G649,"")</f>
        <v/>
      </c>
      <c r="R649" s="53" t="str">
        <f aca="false">IF(AND($G649&lt;&gt;"",$I649&lt;&gt;""),$I649-$G649,"")</f>
        <v/>
      </c>
      <c r="S649" s="53" t="str">
        <f aca="false">IF(AND($H649&lt;&gt;"",$I649&lt;&gt;""),$I649-$H649,"")</f>
        <v/>
      </c>
      <c r="T649" s="53" t="str">
        <f aca="false">IF($J649&lt;&gt;"",$J649,"")</f>
        <v/>
      </c>
      <c r="V649" s="52" t="str">
        <f aca="false">IF($A649&lt;&gt;"",$A649,"")</f>
        <v>Apprenant 637</v>
      </c>
      <c r="W649" s="53" t="str">
        <f aca="false">IF(AND(OR('Choix pédagogiques'!$C$3=1,'Choix pédagogiques'!$C$3=2),$BM649=1),B649,IF(AND('Choix pédagogiques'!$C$3=3,$BO649=1),B649,""))</f>
        <v/>
      </c>
      <c r="X649" s="53" t="str">
        <f aca="false">IF(AND(OR('Choix pédagogiques'!$C$3=1,'Choix pédagogiques'!$C$3=2),$BM649=1),C649,IF(AND('Choix pédagogiques'!$C$3=3,$BO649=1),C649,""))</f>
        <v/>
      </c>
      <c r="Y649" s="53" t="str">
        <f aca="false">IF(AND(OR('Choix pédagogiques'!$C$3=1,'Choix pédagogiques'!$C$3=2),$BM649=1),D649,IF(AND('Choix pédagogiques'!$C$3=3,$BO649=1),D649,""))</f>
        <v/>
      </c>
      <c r="Z649" s="53" t="str">
        <f aca="false">IF($E649&lt;&gt;"",$E649,"")</f>
        <v/>
      </c>
      <c r="AA649" s="52" t="str">
        <f aca="false">IF($F649&lt;&gt;"",$F649,"")</f>
        <v>Apprenant 637 ou 637'</v>
      </c>
      <c r="AB649" s="53" t="str">
        <f aca="false">IF(AND(OR('Choix pédagogiques'!$C$3=1,'Choix pédagogiques'!$C$3=2),$BN649=1),G649,IF(AND('Choix pédagogiques'!$C$3=3,$BO649=1),G649,""))</f>
        <v/>
      </c>
      <c r="AC649" s="53" t="str">
        <f aca="false">IF(AND(OR('Choix pédagogiques'!$C$3=1,'Choix pédagogiques'!$C$3=2),$BN649=1),H649,IF(AND('Choix pédagogiques'!$C$3=3,$BO649=1),H649,""))</f>
        <v/>
      </c>
      <c r="AD649" s="53" t="str">
        <f aca="false">IF(AND(OR('Choix pédagogiques'!$C$3=1,'Choix pédagogiques'!$C$3=2),$BN649=1),I649,IF(AND('Choix pédagogiques'!$C$3=3,$BO649=1),I649,""))</f>
        <v/>
      </c>
      <c r="AE649" s="53" t="str">
        <f aca="false">IF($J649&lt;&gt;"",$J649,"")</f>
        <v/>
      </c>
      <c r="AF649" s="52" t="str">
        <f aca="false">IF($A649&lt;&gt;"",$A649,"")</f>
        <v>Apprenant 637</v>
      </c>
      <c r="AG649" s="53" t="str">
        <f aca="false">IF(AND($W649&lt;&gt;"",$X649&lt;&gt;""),$X649-$W649,"")</f>
        <v/>
      </c>
      <c r="AH649" s="53" t="str">
        <f aca="false">IF(AND($W649&lt;&gt;"",$Y649&lt;&gt;""),$Y649-$W649,"")</f>
        <v/>
      </c>
      <c r="AI649" s="53" t="str">
        <f aca="false">IF(AND($X649&lt;&gt;"",$Y649&lt;&gt;""),$Y649-$X649,"")</f>
        <v/>
      </c>
      <c r="AJ649" s="53" t="str">
        <f aca="false">IF($E649&lt;&gt;"",$E649,"")</f>
        <v/>
      </c>
      <c r="AK649" s="52" t="str">
        <f aca="false">IF($F649&lt;&gt;"",$F649,"")</f>
        <v>Apprenant 637 ou 637'</v>
      </c>
      <c r="AL649" s="53" t="str">
        <f aca="false">IF(AND($AB649&lt;&gt;"",$AC649&lt;&gt;""),$AC649-$AB649,"")</f>
        <v/>
      </c>
      <c r="AM649" s="53" t="str">
        <f aca="false">IF(AND($AB649&lt;&gt;"",$AD649&lt;&gt;""),$AD649-$AB649,"")</f>
        <v/>
      </c>
      <c r="AN649" s="53" t="str">
        <f aca="false">IF(AND($AC649&lt;&gt;"",$AD649&lt;&gt;""),$AD649-$AC649,"")</f>
        <v/>
      </c>
      <c r="AO649" s="53" t="str">
        <f aca="false">IF($J649&lt;&gt;"",$J649,"")</f>
        <v/>
      </c>
      <c r="AQ649" s="52" t="str">
        <f aca="false">IF($A649&lt;&gt;"",$A649,"")</f>
        <v>Apprenant 637</v>
      </c>
      <c r="AR649" s="55" t="str">
        <f aca="false">IF(AND('Choix pédagogiques'!$C$4&lt;&gt;"?",'Choix pédagogiques'!$C$5&lt;&gt;"?",W649&lt;&gt;""),(W649-'Choix pédagogiques'!$C$4)/('Choix pédagogiques'!$C$5-'Choix pédagogiques'!$C$4),"")</f>
        <v/>
      </c>
      <c r="AS649" s="55" t="str">
        <f aca="false">IF(AND('Choix pédagogiques'!$C$4&lt;&gt;"?",'Choix pédagogiques'!$C$5&lt;&gt;"?",X649&lt;&gt;""),(X649-'Choix pédagogiques'!$C$4)/('Choix pédagogiques'!$C$5-'Choix pédagogiques'!$C$4),"")</f>
        <v/>
      </c>
      <c r="AT649" s="55" t="str">
        <f aca="false">IF(AND('Choix pédagogiques'!$C$4&lt;&gt;"?",'Choix pédagogiques'!$C$5&lt;&gt;"?",Y649&lt;&gt;""),(Y649-'Choix pédagogiques'!$C$4)/('Choix pédagogiques'!$C$5-'Choix pédagogiques'!$C$4),"")</f>
        <v/>
      </c>
      <c r="AU649" s="53" t="str">
        <f aca="false">IF($E649&lt;&gt;"",$E649,"")</f>
        <v/>
      </c>
      <c r="AV649" s="52" t="str">
        <f aca="false">IF($F649&lt;&gt;"",$F649,"")</f>
        <v>Apprenant 637 ou 637'</v>
      </c>
      <c r="AW649" s="55" t="str">
        <f aca="false">IF(AND('Choix pédagogiques'!$C$4&lt;&gt;"?",'Choix pédagogiques'!$C$5&lt;&gt;"?",AB649&lt;&gt;""),(AB649-'Choix pédagogiques'!$C$4)/('Choix pédagogiques'!$C$5-'Choix pédagogiques'!$C$4),"")</f>
        <v/>
      </c>
      <c r="AX649" s="55" t="str">
        <f aca="false">IF(AND('Choix pédagogiques'!$C$4&lt;&gt;"?",'Choix pédagogiques'!$C$5&lt;&gt;"?",AC649&lt;&gt;""),(AC649-'Choix pédagogiques'!$C$4)/('Choix pédagogiques'!$C$5-'Choix pédagogiques'!$C$4),"")</f>
        <v/>
      </c>
      <c r="AY649" s="55" t="str">
        <f aca="false">IF(AND('Choix pédagogiques'!$C$4&lt;&gt;"?",'Choix pédagogiques'!$C$5&lt;&gt;"?",AD649&lt;&gt;""),(AD649-'Choix pédagogiques'!$C$4)/('Choix pédagogiques'!$C$5-'Choix pédagogiques'!$C$4),"")</f>
        <v/>
      </c>
      <c r="AZ649" s="53" t="str">
        <f aca="false">IF($J649&lt;&gt;"",$J649,"")</f>
        <v/>
      </c>
      <c r="BA649" s="52" t="str">
        <f aca="false">IF($A649&lt;&gt;"",$A649,"")</f>
        <v>Apprenant 637</v>
      </c>
      <c r="BB649" s="55" t="str">
        <f aca="false">IF(AND($AR649&lt;&gt;"",$AS649&lt;&gt;""),$AS649-$AR649,"")</f>
        <v/>
      </c>
      <c r="BC649" s="55" t="str">
        <f aca="false">IF(AND($AR649&lt;&gt;"",$AT649&lt;&gt;""),$AT649-$AR649,"")</f>
        <v/>
      </c>
      <c r="BD649" s="55" t="str">
        <f aca="false">IF(AND($AS649&lt;&gt;"",$AT649&lt;&gt;""),$AT649-$AS649,"")</f>
        <v/>
      </c>
      <c r="BE649" s="53" t="str">
        <f aca="false">IF($E649&lt;&gt;"",$E649,"")</f>
        <v/>
      </c>
      <c r="BF649" s="52" t="str">
        <f aca="false">IF($F649&lt;&gt;"",$F649,"")</f>
        <v>Apprenant 637 ou 637'</v>
      </c>
      <c r="BG649" s="55" t="str">
        <f aca="false">IF(AND($AW649&lt;&gt;"",$AX649&lt;&gt;""),$AX649-$AW649,"")</f>
        <v/>
      </c>
      <c r="BH649" s="55" t="str">
        <f aca="false">IF(AND($AW649&lt;&gt;"",$AY649&lt;&gt;""),$AY649-$AW649,"")</f>
        <v/>
      </c>
      <c r="BI649" s="55" t="str">
        <f aca="false">IF(AND($AX649&lt;&gt;"",$AY649&lt;&gt;""),$AY649-$AX649,"")</f>
        <v/>
      </c>
      <c r="BJ649" s="53" t="str">
        <f aca="false">IF($J649&lt;&gt;"",$J649,"")</f>
        <v/>
      </c>
      <c r="BL649" s="52"/>
      <c r="BM649" s="52" t="str">
        <f aca="false">IF(OR(COUNT(B649:D1648)=0,AND('Choix pédagogiques'!$C$3&lt;&gt;1,'Choix pédagogiques'!$C$3&lt;&gt;2)),"",IF(AND(OR('Choix pédagogiques'!$C$3=1,'Choix pédagogiques'!$C$3=2),$B649&lt;&gt;"",$C649&lt;&gt;"",$D649&lt;&gt;""),1,0))</f>
        <v/>
      </c>
      <c r="BN649" s="52" t="str">
        <f aca="false">IF(OR(COUNT(G649:I1648)=0,AND('Choix pédagogiques'!$C$3&lt;&gt;1,'Choix pédagogiques'!$C$3&lt;&gt;2)),"",IF(AND(OR('Choix pédagogiques'!$C$3=1,'Choix pédagogiques'!$C$3=2),AND($G649&lt;&gt;"",$H649&lt;&gt;"",$I649&lt;&gt;"")),1,0))</f>
        <v/>
      </c>
      <c r="BO649" s="52" t="str">
        <f aca="false">IF(OR(COUNT(B649:D1648)=0,COUNT(G649:I1648)=0,'Choix pédagogiques'!C$3&lt;&gt;3),"",IF(AND('Choix pédagogiques'!$C$3=3,$B649&lt;&gt;"",$C649&lt;&gt;"",$D649&lt;&gt;"",$G649&lt;&gt;"",$H649&lt;&gt;"",$I649&lt;&gt;""),1,0))</f>
        <v/>
      </c>
      <c r="BR649" s="52" t="n">
        <v>786</v>
      </c>
      <c r="BS649" s="52" t="n">
        <v>1769</v>
      </c>
    </row>
    <row r="650" s="54" customFormat="true" ht="18" hidden="false" customHeight="true" outlineLevel="0" collapsed="false">
      <c r="A650" s="57" t="s">
        <v>1231</v>
      </c>
      <c r="B650" s="51"/>
      <c r="C650" s="51"/>
      <c r="D650" s="51"/>
      <c r="E650" s="51"/>
      <c r="F650" s="57" t="s">
        <v>1232</v>
      </c>
      <c r="G650" s="51"/>
      <c r="H650" s="51"/>
      <c r="I650" s="51"/>
      <c r="J650" s="51"/>
      <c r="K650" s="52" t="str">
        <f aca="false">IF($A650&lt;&gt;"",$A650,"")</f>
        <v>Apprenant 638</v>
      </c>
      <c r="L650" s="53" t="str">
        <f aca="false">IF(AND($B650&lt;&gt;"",$C650&lt;&gt;""),$C650-$B650,"")</f>
        <v/>
      </c>
      <c r="M650" s="53" t="str">
        <f aca="false">IF(AND($B650&lt;&gt;"",$D650&lt;&gt;""),$D650-$B650,"")</f>
        <v/>
      </c>
      <c r="N650" s="53" t="str">
        <f aca="false">IF(AND($C650&lt;&gt;"",$D650&lt;&gt;""),$D650-$C650,"")</f>
        <v/>
      </c>
      <c r="O650" s="53" t="str">
        <f aca="false">IF($E650&lt;&gt;"",$E650,"")</f>
        <v/>
      </c>
      <c r="P650" s="52" t="str">
        <f aca="false">IF($F650&lt;&gt;"",$F650,"")</f>
        <v>Apprenant 638 ou 638'</v>
      </c>
      <c r="Q650" s="53" t="str">
        <f aca="false">IF(AND($G650&lt;&gt;"",$H650&lt;&gt;""),$H650-$G650,"")</f>
        <v/>
      </c>
      <c r="R650" s="53" t="str">
        <f aca="false">IF(AND($G650&lt;&gt;"",$I650&lt;&gt;""),$I650-$G650,"")</f>
        <v/>
      </c>
      <c r="S650" s="53" t="str">
        <f aca="false">IF(AND($H650&lt;&gt;"",$I650&lt;&gt;""),$I650-$H650,"")</f>
        <v/>
      </c>
      <c r="T650" s="53" t="str">
        <f aca="false">IF($J650&lt;&gt;"",$J650,"")</f>
        <v/>
      </c>
      <c r="V650" s="52" t="str">
        <f aca="false">IF($A650&lt;&gt;"",$A650,"")</f>
        <v>Apprenant 638</v>
      </c>
      <c r="W650" s="53" t="str">
        <f aca="false">IF(AND(OR('Choix pédagogiques'!$C$3=1,'Choix pédagogiques'!$C$3=2),$BM650=1),B650,IF(AND('Choix pédagogiques'!$C$3=3,$BO650=1),B650,""))</f>
        <v/>
      </c>
      <c r="X650" s="53" t="str">
        <f aca="false">IF(AND(OR('Choix pédagogiques'!$C$3=1,'Choix pédagogiques'!$C$3=2),$BM650=1),C650,IF(AND('Choix pédagogiques'!$C$3=3,$BO650=1),C650,""))</f>
        <v/>
      </c>
      <c r="Y650" s="53" t="str">
        <f aca="false">IF(AND(OR('Choix pédagogiques'!$C$3=1,'Choix pédagogiques'!$C$3=2),$BM650=1),D650,IF(AND('Choix pédagogiques'!$C$3=3,$BO650=1),D650,""))</f>
        <v/>
      </c>
      <c r="Z650" s="53" t="str">
        <f aca="false">IF($E650&lt;&gt;"",$E650,"")</f>
        <v/>
      </c>
      <c r="AA650" s="52" t="str">
        <f aca="false">IF($F650&lt;&gt;"",$F650,"")</f>
        <v>Apprenant 638 ou 638'</v>
      </c>
      <c r="AB650" s="53" t="str">
        <f aca="false">IF(AND(OR('Choix pédagogiques'!$C$3=1,'Choix pédagogiques'!$C$3=2),$BN650=1),G650,IF(AND('Choix pédagogiques'!$C$3=3,$BO650=1),G650,""))</f>
        <v/>
      </c>
      <c r="AC650" s="53" t="str">
        <f aca="false">IF(AND(OR('Choix pédagogiques'!$C$3=1,'Choix pédagogiques'!$C$3=2),$BN650=1),H650,IF(AND('Choix pédagogiques'!$C$3=3,$BO650=1),H650,""))</f>
        <v/>
      </c>
      <c r="AD650" s="53" t="str">
        <f aca="false">IF(AND(OR('Choix pédagogiques'!$C$3=1,'Choix pédagogiques'!$C$3=2),$BN650=1),I650,IF(AND('Choix pédagogiques'!$C$3=3,$BO650=1),I650,""))</f>
        <v/>
      </c>
      <c r="AE650" s="53" t="str">
        <f aca="false">IF($J650&lt;&gt;"",$J650,"")</f>
        <v/>
      </c>
      <c r="AF650" s="52" t="str">
        <f aca="false">IF($A650&lt;&gt;"",$A650,"")</f>
        <v>Apprenant 638</v>
      </c>
      <c r="AG650" s="53" t="str">
        <f aca="false">IF(AND($W650&lt;&gt;"",$X650&lt;&gt;""),$X650-$W650,"")</f>
        <v/>
      </c>
      <c r="AH650" s="53" t="str">
        <f aca="false">IF(AND($W650&lt;&gt;"",$Y650&lt;&gt;""),$Y650-$W650,"")</f>
        <v/>
      </c>
      <c r="AI650" s="53" t="str">
        <f aca="false">IF(AND($X650&lt;&gt;"",$Y650&lt;&gt;""),$Y650-$X650,"")</f>
        <v/>
      </c>
      <c r="AJ650" s="53" t="str">
        <f aca="false">IF($E650&lt;&gt;"",$E650,"")</f>
        <v/>
      </c>
      <c r="AK650" s="52" t="str">
        <f aca="false">IF($F650&lt;&gt;"",$F650,"")</f>
        <v>Apprenant 638 ou 638'</v>
      </c>
      <c r="AL650" s="53" t="str">
        <f aca="false">IF(AND($AB650&lt;&gt;"",$AC650&lt;&gt;""),$AC650-$AB650,"")</f>
        <v/>
      </c>
      <c r="AM650" s="53" t="str">
        <f aca="false">IF(AND($AB650&lt;&gt;"",$AD650&lt;&gt;""),$AD650-$AB650,"")</f>
        <v/>
      </c>
      <c r="AN650" s="53" t="str">
        <f aca="false">IF(AND($AC650&lt;&gt;"",$AD650&lt;&gt;""),$AD650-$AC650,"")</f>
        <v/>
      </c>
      <c r="AO650" s="53" t="str">
        <f aca="false">IF($J650&lt;&gt;"",$J650,"")</f>
        <v/>
      </c>
      <c r="AQ650" s="52" t="str">
        <f aca="false">IF($A650&lt;&gt;"",$A650,"")</f>
        <v>Apprenant 638</v>
      </c>
      <c r="AR650" s="55" t="str">
        <f aca="false">IF(AND('Choix pédagogiques'!$C$4&lt;&gt;"?",'Choix pédagogiques'!$C$5&lt;&gt;"?",W650&lt;&gt;""),(W650-'Choix pédagogiques'!$C$4)/('Choix pédagogiques'!$C$5-'Choix pédagogiques'!$C$4),"")</f>
        <v/>
      </c>
      <c r="AS650" s="55" t="str">
        <f aca="false">IF(AND('Choix pédagogiques'!$C$4&lt;&gt;"?",'Choix pédagogiques'!$C$5&lt;&gt;"?",X650&lt;&gt;""),(X650-'Choix pédagogiques'!$C$4)/('Choix pédagogiques'!$C$5-'Choix pédagogiques'!$C$4),"")</f>
        <v/>
      </c>
      <c r="AT650" s="55" t="str">
        <f aca="false">IF(AND('Choix pédagogiques'!$C$4&lt;&gt;"?",'Choix pédagogiques'!$C$5&lt;&gt;"?",Y650&lt;&gt;""),(Y650-'Choix pédagogiques'!$C$4)/('Choix pédagogiques'!$C$5-'Choix pédagogiques'!$C$4),"")</f>
        <v/>
      </c>
      <c r="AU650" s="53" t="str">
        <f aca="false">IF($E650&lt;&gt;"",$E650,"")</f>
        <v/>
      </c>
      <c r="AV650" s="52" t="str">
        <f aca="false">IF($F650&lt;&gt;"",$F650,"")</f>
        <v>Apprenant 638 ou 638'</v>
      </c>
      <c r="AW650" s="55" t="str">
        <f aca="false">IF(AND('Choix pédagogiques'!$C$4&lt;&gt;"?",'Choix pédagogiques'!$C$5&lt;&gt;"?",AB650&lt;&gt;""),(AB650-'Choix pédagogiques'!$C$4)/('Choix pédagogiques'!$C$5-'Choix pédagogiques'!$C$4),"")</f>
        <v/>
      </c>
      <c r="AX650" s="55" t="str">
        <f aca="false">IF(AND('Choix pédagogiques'!$C$4&lt;&gt;"?",'Choix pédagogiques'!$C$5&lt;&gt;"?",AC650&lt;&gt;""),(AC650-'Choix pédagogiques'!$C$4)/('Choix pédagogiques'!$C$5-'Choix pédagogiques'!$C$4),"")</f>
        <v/>
      </c>
      <c r="AY650" s="55" t="str">
        <f aca="false">IF(AND('Choix pédagogiques'!$C$4&lt;&gt;"?",'Choix pédagogiques'!$C$5&lt;&gt;"?",AD650&lt;&gt;""),(AD650-'Choix pédagogiques'!$C$4)/('Choix pédagogiques'!$C$5-'Choix pédagogiques'!$C$4),"")</f>
        <v/>
      </c>
      <c r="AZ650" s="53" t="str">
        <f aca="false">IF($J650&lt;&gt;"",$J650,"")</f>
        <v/>
      </c>
      <c r="BA650" s="52" t="str">
        <f aca="false">IF($A650&lt;&gt;"",$A650,"")</f>
        <v>Apprenant 638</v>
      </c>
      <c r="BB650" s="55" t="str">
        <f aca="false">IF(AND($AR650&lt;&gt;"",$AS650&lt;&gt;""),$AS650-$AR650,"")</f>
        <v/>
      </c>
      <c r="BC650" s="55" t="str">
        <f aca="false">IF(AND($AR650&lt;&gt;"",$AT650&lt;&gt;""),$AT650-$AR650,"")</f>
        <v/>
      </c>
      <c r="BD650" s="55" t="str">
        <f aca="false">IF(AND($AS650&lt;&gt;"",$AT650&lt;&gt;""),$AT650-$AS650,"")</f>
        <v/>
      </c>
      <c r="BE650" s="53" t="str">
        <f aca="false">IF($E650&lt;&gt;"",$E650,"")</f>
        <v/>
      </c>
      <c r="BF650" s="52" t="str">
        <f aca="false">IF($F650&lt;&gt;"",$F650,"")</f>
        <v>Apprenant 638 ou 638'</v>
      </c>
      <c r="BG650" s="55" t="str">
        <f aca="false">IF(AND($AW650&lt;&gt;"",$AX650&lt;&gt;""),$AX650-$AW650,"")</f>
        <v/>
      </c>
      <c r="BH650" s="55" t="str">
        <f aca="false">IF(AND($AW650&lt;&gt;"",$AY650&lt;&gt;""),$AY650-$AW650,"")</f>
        <v/>
      </c>
      <c r="BI650" s="55" t="str">
        <f aca="false">IF(AND($AX650&lt;&gt;"",$AY650&lt;&gt;""),$AY650-$AX650,"")</f>
        <v/>
      </c>
      <c r="BJ650" s="53" t="str">
        <f aca="false">IF($J650&lt;&gt;"",$J650,"")</f>
        <v/>
      </c>
      <c r="BL650" s="52"/>
      <c r="BM650" s="52" t="str">
        <f aca="false">IF(OR(COUNT(B650:D1649)=0,AND('Choix pédagogiques'!$C$3&lt;&gt;1,'Choix pédagogiques'!$C$3&lt;&gt;2)),"",IF(AND(OR('Choix pédagogiques'!$C$3=1,'Choix pédagogiques'!$C$3=2),$B650&lt;&gt;"",$C650&lt;&gt;"",$D650&lt;&gt;""),1,0))</f>
        <v/>
      </c>
      <c r="BN650" s="52" t="str">
        <f aca="false">IF(OR(COUNT(G650:I1649)=0,AND('Choix pédagogiques'!$C$3&lt;&gt;1,'Choix pédagogiques'!$C$3&lt;&gt;2)),"",IF(AND(OR('Choix pédagogiques'!$C$3=1,'Choix pédagogiques'!$C$3=2),AND($G650&lt;&gt;"",$H650&lt;&gt;"",$I650&lt;&gt;"")),1,0))</f>
        <v/>
      </c>
      <c r="BO650" s="52" t="str">
        <f aca="false">IF(OR(COUNT(B650:D1649)=0,COUNT(G650:I1649)=0,'Choix pédagogiques'!C$3&lt;&gt;3),"",IF(AND('Choix pédagogiques'!$C$3=3,$B650&lt;&gt;"",$C650&lt;&gt;"",$D650&lt;&gt;"",$G650&lt;&gt;"",$H650&lt;&gt;"",$I650&lt;&gt;""),1,0))</f>
        <v/>
      </c>
      <c r="BR650" s="52" t="n">
        <v>377</v>
      </c>
      <c r="BS650" s="52" t="n">
        <v>1729</v>
      </c>
    </row>
    <row r="651" s="54" customFormat="true" ht="18" hidden="false" customHeight="true" outlineLevel="0" collapsed="false">
      <c r="A651" s="57" t="s">
        <v>1233</v>
      </c>
      <c r="B651" s="51"/>
      <c r="C651" s="51"/>
      <c r="D651" s="51"/>
      <c r="E651" s="51"/>
      <c r="F651" s="57" t="s">
        <v>1234</v>
      </c>
      <c r="G651" s="51"/>
      <c r="H651" s="51"/>
      <c r="I651" s="51"/>
      <c r="J651" s="51"/>
      <c r="K651" s="52" t="str">
        <f aca="false">IF($A651&lt;&gt;"",$A651,"")</f>
        <v>Apprenant 639</v>
      </c>
      <c r="L651" s="53" t="str">
        <f aca="false">IF(AND($B651&lt;&gt;"",$C651&lt;&gt;""),$C651-$B651,"")</f>
        <v/>
      </c>
      <c r="M651" s="53" t="str">
        <f aca="false">IF(AND($B651&lt;&gt;"",$D651&lt;&gt;""),$D651-$B651,"")</f>
        <v/>
      </c>
      <c r="N651" s="53" t="str">
        <f aca="false">IF(AND($C651&lt;&gt;"",$D651&lt;&gt;""),$D651-$C651,"")</f>
        <v/>
      </c>
      <c r="O651" s="53" t="str">
        <f aca="false">IF($E651&lt;&gt;"",$E651,"")</f>
        <v/>
      </c>
      <c r="P651" s="52" t="str">
        <f aca="false">IF($F651&lt;&gt;"",$F651,"")</f>
        <v>Apprenant 639 ou 639'</v>
      </c>
      <c r="Q651" s="53" t="str">
        <f aca="false">IF(AND($G651&lt;&gt;"",$H651&lt;&gt;""),$H651-$G651,"")</f>
        <v/>
      </c>
      <c r="R651" s="53" t="str">
        <f aca="false">IF(AND($G651&lt;&gt;"",$I651&lt;&gt;""),$I651-$G651,"")</f>
        <v/>
      </c>
      <c r="S651" s="53" t="str">
        <f aca="false">IF(AND($H651&lt;&gt;"",$I651&lt;&gt;""),$I651-$H651,"")</f>
        <v/>
      </c>
      <c r="T651" s="53" t="str">
        <f aca="false">IF($J651&lt;&gt;"",$J651,"")</f>
        <v/>
      </c>
      <c r="V651" s="52" t="str">
        <f aca="false">IF($A651&lt;&gt;"",$A651,"")</f>
        <v>Apprenant 639</v>
      </c>
      <c r="W651" s="53" t="str">
        <f aca="false">IF(AND(OR('Choix pédagogiques'!$C$3=1,'Choix pédagogiques'!$C$3=2),$BM651=1),B651,IF(AND('Choix pédagogiques'!$C$3=3,$BO651=1),B651,""))</f>
        <v/>
      </c>
      <c r="X651" s="53" t="str">
        <f aca="false">IF(AND(OR('Choix pédagogiques'!$C$3=1,'Choix pédagogiques'!$C$3=2),$BM651=1),C651,IF(AND('Choix pédagogiques'!$C$3=3,$BO651=1),C651,""))</f>
        <v/>
      </c>
      <c r="Y651" s="53" t="str">
        <f aca="false">IF(AND(OR('Choix pédagogiques'!$C$3=1,'Choix pédagogiques'!$C$3=2),$BM651=1),D651,IF(AND('Choix pédagogiques'!$C$3=3,$BO651=1),D651,""))</f>
        <v/>
      </c>
      <c r="Z651" s="53" t="str">
        <f aca="false">IF($E651&lt;&gt;"",$E651,"")</f>
        <v/>
      </c>
      <c r="AA651" s="52" t="str">
        <f aca="false">IF($F651&lt;&gt;"",$F651,"")</f>
        <v>Apprenant 639 ou 639'</v>
      </c>
      <c r="AB651" s="53" t="str">
        <f aca="false">IF(AND(OR('Choix pédagogiques'!$C$3=1,'Choix pédagogiques'!$C$3=2),$BN651=1),G651,IF(AND('Choix pédagogiques'!$C$3=3,$BO651=1),G651,""))</f>
        <v/>
      </c>
      <c r="AC651" s="53" t="str">
        <f aca="false">IF(AND(OR('Choix pédagogiques'!$C$3=1,'Choix pédagogiques'!$C$3=2),$BN651=1),H651,IF(AND('Choix pédagogiques'!$C$3=3,$BO651=1),H651,""))</f>
        <v/>
      </c>
      <c r="AD651" s="53" t="str">
        <f aca="false">IF(AND(OR('Choix pédagogiques'!$C$3=1,'Choix pédagogiques'!$C$3=2),$BN651=1),I651,IF(AND('Choix pédagogiques'!$C$3=3,$BO651=1),I651,""))</f>
        <v/>
      </c>
      <c r="AE651" s="53" t="str">
        <f aca="false">IF($J651&lt;&gt;"",$J651,"")</f>
        <v/>
      </c>
      <c r="AF651" s="52" t="str">
        <f aca="false">IF($A651&lt;&gt;"",$A651,"")</f>
        <v>Apprenant 639</v>
      </c>
      <c r="AG651" s="53" t="str">
        <f aca="false">IF(AND($W651&lt;&gt;"",$X651&lt;&gt;""),$X651-$W651,"")</f>
        <v/>
      </c>
      <c r="AH651" s="53" t="str">
        <f aca="false">IF(AND($W651&lt;&gt;"",$Y651&lt;&gt;""),$Y651-$W651,"")</f>
        <v/>
      </c>
      <c r="AI651" s="53" t="str">
        <f aca="false">IF(AND($X651&lt;&gt;"",$Y651&lt;&gt;""),$Y651-$X651,"")</f>
        <v/>
      </c>
      <c r="AJ651" s="53" t="str">
        <f aca="false">IF($E651&lt;&gt;"",$E651,"")</f>
        <v/>
      </c>
      <c r="AK651" s="52" t="str">
        <f aca="false">IF($F651&lt;&gt;"",$F651,"")</f>
        <v>Apprenant 639 ou 639'</v>
      </c>
      <c r="AL651" s="53" t="str">
        <f aca="false">IF(AND($AB651&lt;&gt;"",$AC651&lt;&gt;""),$AC651-$AB651,"")</f>
        <v/>
      </c>
      <c r="AM651" s="53" t="str">
        <f aca="false">IF(AND($AB651&lt;&gt;"",$AD651&lt;&gt;""),$AD651-$AB651,"")</f>
        <v/>
      </c>
      <c r="AN651" s="53" t="str">
        <f aca="false">IF(AND($AC651&lt;&gt;"",$AD651&lt;&gt;""),$AD651-$AC651,"")</f>
        <v/>
      </c>
      <c r="AO651" s="53" t="str">
        <f aca="false">IF($J651&lt;&gt;"",$J651,"")</f>
        <v/>
      </c>
      <c r="AQ651" s="52" t="str">
        <f aca="false">IF($A651&lt;&gt;"",$A651,"")</f>
        <v>Apprenant 639</v>
      </c>
      <c r="AR651" s="55" t="str">
        <f aca="false">IF(AND('Choix pédagogiques'!$C$4&lt;&gt;"?",'Choix pédagogiques'!$C$5&lt;&gt;"?",W651&lt;&gt;""),(W651-'Choix pédagogiques'!$C$4)/('Choix pédagogiques'!$C$5-'Choix pédagogiques'!$C$4),"")</f>
        <v/>
      </c>
      <c r="AS651" s="55" t="str">
        <f aca="false">IF(AND('Choix pédagogiques'!$C$4&lt;&gt;"?",'Choix pédagogiques'!$C$5&lt;&gt;"?",X651&lt;&gt;""),(X651-'Choix pédagogiques'!$C$4)/('Choix pédagogiques'!$C$5-'Choix pédagogiques'!$C$4),"")</f>
        <v/>
      </c>
      <c r="AT651" s="55" t="str">
        <f aca="false">IF(AND('Choix pédagogiques'!$C$4&lt;&gt;"?",'Choix pédagogiques'!$C$5&lt;&gt;"?",Y651&lt;&gt;""),(Y651-'Choix pédagogiques'!$C$4)/('Choix pédagogiques'!$C$5-'Choix pédagogiques'!$C$4),"")</f>
        <v/>
      </c>
      <c r="AU651" s="53" t="str">
        <f aca="false">IF($E651&lt;&gt;"",$E651,"")</f>
        <v/>
      </c>
      <c r="AV651" s="52" t="str">
        <f aca="false">IF($F651&lt;&gt;"",$F651,"")</f>
        <v>Apprenant 639 ou 639'</v>
      </c>
      <c r="AW651" s="55" t="str">
        <f aca="false">IF(AND('Choix pédagogiques'!$C$4&lt;&gt;"?",'Choix pédagogiques'!$C$5&lt;&gt;"?",AB651&lt;&gt;""),(AB651-'Choix pédagogiques'!$C$4)/('Choix pédagogiques'!$C$5-'Choix pédagogiques'!$C$4),"")</f>
        <v/>
      </c>
      <c r="AX651" s="55" t="str">
        <f aca="false">IF(AND('Choix pédagogiques'!$C$4&lt;&gt;"?",'Choix pédagogiques'!$C$5&lt;&gt;"?",AC651&lt;&gt;""),(AC651-'Choix pédagogiques'!$C$4)/('Choix pédagogiques'!$C$5-'Choix pédagogiques'!$C$4),"")</f>
        <v/>
      </c>
      <c r="AY651" s="55" t="str">
        <f aca="false">IF(AND('Choix pédagogiques'!$C$4&lt;&gt;"?",'Choix pédagogiques'!$C$5&lt;&gt;"?",AD651&lt;&gt;""),(AD651-'Choix pédagogiques'!$C$4)/('Choix pédagogiques'!$C$5-'Choix pédagogiques'!$C$4),"")</f>
        <v/>
      </c>
      <c r="AZ651" s="53" t="str">
        <f aca="false">IF($J651&lt;&gt;"",$J651,"")</f>
        <v/>
      </c>
      <c r="BA651" s="52" t="str">
        <f aca="false">IF($A651&lt;&gt;"",$A651,"")</f>
        <v>Apprenant 639</v>
      </c>
      <c r="BB651" s="55" t="str">
        <f aca="false">IF(AND($AR651&lt;&gt;"",$AS651&lt;&gt;""),$AS651-$AR651,"")</f>
        <v/>
      </c>
      <c r="BC651" s="55" t="str">
        <f aca="false">IF(AND($AR651&lt;&gt;"",$AT651&lt;&gt;""),$AT651-$AR651,"")</f>
        <v/>
      </c>
      <c r="BD651" s="55" t="str">
        <f aca="false">IF(AND($AS651&lt;&gt;"",$AT651&lt;&gt;""),$AT651-$AS651,"")</f>
        <v/>
      </c>
      <c r="BE651" s="53" t="str">
        <f aca="false">IF($E651&lt;&gt;"",$E651,"")</f>
        <v/>
      </c>
      <c r="BF651" s="52" t="str">
        <f aca="false">IF($F651&lt;&gt;"",$F651,"")</f>
        <v>Apprenant 639 ou 639'</v>
      </c>
      <c r="BG651" s="55" t="str">
        <f aca="false">IF(AND($AW651&lt;&gt;"",$AX651&lt;&gt;""),$AX651-$AW651,"")</f>
        <v/>
      </c>
      <c r="BH651" s="55" t="str">
        <f aca="false">IF(AND($AW651&lt;&gt;"",$AY651&lt;&gt;""),$AY651-$AW651,"")</f>
        <v/>
      </c>
      <c r="BI651" s="55" t="str">
        <f aca="false">IF(AND($AX651&lt;&gt;"",$AY651&lt;&gt;""),$AY651-$AX651,"")</f>
        <v/>
      </c>
      <c r="BJ651" s="53" t="str">
        <f aca="false">IF($J651&lt;&gt;"",$J651,"")</f>
        <v/>
      </c>
      <c r="BL651" s="52"/>
      <c r="BM651" s="52" t="str">
        <f aca="false">IF(OR(COUNT(B651:D1650)=0,AND('Choix pédagogiques'!$C$3&lt;&gt;1,'Choix pédagogiques'!$C$3&lt;&gt;2)),"",IF(AND(OR('Choix pédagogiques'!$C$3=1,'Choix pédagogiques'!$C$3=2),$B651&lt;&gt;"",$C651&lt;&gt;"",$D651&lt;&gt;""),1,0))</f>
        <v/>
      </c>
      <c r="BN651" s="52" t="str">
        <f aca="false">IF(OR(COUNT(G651:I1650)=0,AND('Choix pédagogiques'!$C$3&lt;&gt;1,'Choix pédagogiques'!$C$3&lt;&gt;2)),"",IF(AND(OR('Choix pédagogiques'!$C$3=1,'Choix pédagogiques'!$C$3=2),AND($G651&lt;&gt;"",$H651&lt;&gt;"",$I651&lt;&gt;"")),1,0))</f>
        <v/>
      </c>
      <c r="BO651" s="52" t="str">
        <f aca="false">IF(OR(COUNT(B651:D1650)=0,COUNT(G651:I1650)=0,'Choix pédagogiques'!C$3&lt;&gt;3),"",IF(AND('Choix pédagogiques'!$C$3=3,$B651&lt;&gt;"",$C651&lt;&gt;"",$D651&lt;&gt;"",$G651&lt;&gt;"",$H651&lt;&gt;"",$I651&lt;&gt;""),1,0))</f>
        <v/>
      </c>
      <c r="BR651" s="52" t="n">
        <v>56</v>
      </c>
      <c r="BS651" s="52" t="n">
        <v>1395</v>
      </c>
    </row>
    <row r="652" s="54" customFormat="true" ht="18" hidden="false" customHeight="true" outlineLevel="0" collapsed="false">
      <c r="A652" s="57" t="s">
        <v>1235</v>
      </c>
      <c r="B652" s="51"/>
      <c r="C652" s="51"/>
      <c r="D652" s="51"/>
      <c r="E652" s="51"/>
      <c r="F652" s="57" t="s">
        <v>1236</v>
      </c>
      <c r="G652" s="51"/>
      <c r="H652" s="51"/>
      <c r="I652" s="51"/>
      <c r="J652" s="51"/>
      <c r="K652" s="52" t="str">
        <f aca="false">IF($A652&lt;&gt;"",$A652,"")</f>
        <v>Apprenant 640</v>
      </c>
      <c r="L652" s="53" t="str">
        <f aca="false">IF(AND($B652&lt;&gt;"",$C652&lt;&gt;""),$C652-$B652,"")</f>
        <v/>
      </c>
      <c r="M652" s="53" t="str">
        <f aca="false">IF(AND($B652&lt;&gt;"",$D652&lt;&gt;""),$D652-$B652,"")</f>
        <v/>
      </c>
      <c r="N652" s="53" t="str">
        <f aca="false">IF(AND($C652&lt;&gt;"",$D652&lt;&gt;""),$D652-$C652,"")</f>
        <v/>
      </c>
      <c r="O652" s="53" t="str">
        <f aca="false">IF($E652&lt;&gt;"",$E652,"")</f>
        <v/>
      </c>
      <c r="P652" s="52" t="str">
        <f aca="false">IF($F652&lt;&gt;"",$F652,"")</f>
        <v>Apprenant 640 ou 640'</v>
      </c>
      <c r="Q652" s="53" t="str">
        <f aca="false">IF(AND($G652&lt;&gt;"",$H652&lt;&gt;""),$H652-$G652,"")</f>
        <v/>
      </c>
      <c r="R652" s="53" t="str">
        <f aca="false">IF(AND($G652&lt;&gt;"",$I652&lt;&gt;""),$I652-$G652,"")</f>
        <v/>
      </c>
      <c r="S652" s="53" t="str">
        <f aca="false">IF(AND($H652&lt;&gt;"",$I652&lt;&gt;""),$I652-$H652,"")</f>
        <v/>
      </c>
      <c r="T652" s="53" t="str">
        <f aca="false">IF($J652&lt;&gt;"",$J652,"")</f>
        <v/>
      </c>
      <c r="V652" s="52" t="str">
        <f aca="false">IF($A652&lt;&gt;"",$A652,"")</f>
        <v>Apprenant 640</v>
      </c>
      <c r="W652" s="53" t="str">
        <f aca="false">IF(AND(OR('Choix pédagogiques'!$C$3=1,'Choix pédagogiques'!$C$3=2),$BM652=1),B652,IF(AND('Choix pédagogiques'!$C$3=3,$BO652=1),B652,""))</f>
        <v/>
      </c>
      <c r="X652" s="53" t="str">
        <f aca="false">IF(AND(OR('Choix pédagogiques'!$C$3=1,'Choix pédagogiques'!$C$3=2),$BM652=1),C652,IF(AND('Choix pédagogiques'!$C$3=3,$BO652=1),C652,""))</f>
        <v/>
      </c>
      <c r="Y652" s="53" t="str">
        <f aca="false">IF(AND(OR('Choix pédagogiques'!$C$3=1,'Choix pédagogiques'!$C$3=2),$BM652=1),D652,IF(AND('Choix pédagogiques'!$C$3=3,$BO652=1),D652,""))</f>
        <v/>
      </c>
      <c r="Z652" s="53" t="str">
        <f aca="false">IF($E652&lt;&gt;"",$E652,"")</f>
        <v/>
      </c>
      <c r="AA652" s="52" t="str">
        <f aca="false">IF($F652&lt;&gt;"",$F652,"")</f>
        <v>Apprenant 640 ou 640'</v>
      </c>
      <c r="AB652" s="53" t="str">
        <f aca="false">IF(AND(OR('Choix pédagogiques'!$C$3=1,'Choix pédagogiques'!$C$3=2),$BN652=1),G652,IF(AND('Choix pédagogiques'!$C$3=3,$BO652=1),G652,""))</f>
        <v/>
      </c>
      <c r="AC652" s="53" t="str">
        <f aca="false">IF(AND(OR('Choix pédagogiques'!$C$3=1,'Choix pédagogiques'!$C$3=2),$BN652=1),H652,IF(AND('Choix pédagogiques'!$C$3=3,$BO652=1),H652,""))</f>
        <v/>
      </c>
      <c r="AD652" s="53" t="str">
        <f aca="false">IF(AND(OR('Choix pédagogiques'!$C$3=1,'Choix pédagogiques'!$C$3=2),$BN652=1),I652,IF(AND('Choix pédagogiques'!$C$3=3,$BO652=1),I652,""))</f>
        <v/>
      </c>
      <c r="AE652" s="53" t="str">
        <f aca="false">IF($J652&lt;&gt;"",$J652,"")</f>
        <v/>
      </c>
      <c r="AF652" s="52" t="str">
        <f aca="false">IF($A652&lt;&gt;"",$A652,"")</f>
        <v>Apprenant 640</v>
      </c>
      <c r="AG652" s="53" t="str">
        <f aca="false">IF(AND($W652&lt;&gt;"",$X652&lt;&gt;""),$X652-$W652,"")</f>
        <v/>
      </c>
      <c r="AH652" s="53" t="str">
        <f aca="false">IF(AND($W652&lt;&gt;"",$Y652&lt;&gt;""),$Y652-$W652,"")</f>
        <v/>
      </c>
      <c r="AI652" s="53" t="str">
        <f aca="false">IF(AND($X652&lt;&gt;"",$Y652&lt;&gt;""),$Y652-$X652,"")</f>
        <v/>
      </c>
      <c r="AJ652" s="53" t="str">
        <f aca="false">IF($E652&lt;&gt;"",$E652,"")</f>
        <v/>
      </c>
      <c r="AK652" s="52" t="str">
        <f aca="false">IF($F652&lt;&gt;"",$F652,"")</f>
        <v>Apprenant 640 ou 640'</v>
      </c>
      <c r="AL652" s="53" t="str">
        <f aca="false">IF(AND($AB652&lt;&gt;"",$AC652&lt;&gt;""),$AC652-$AB652,"")</f>
        <v/>
      </c>
      <c r="AM652" s="53" t="str">
        <f aca="false">IF(AND($AB652&lt;&gt;"",$AD652&lt;&gt;""),$AD652-$AB652,"")</f>
        <v/>
      </c>
      <c r="AN652" s="53" t="str">
        <f aca="false">IF(AND($AC652&lt;&gt;"",$AD652&lt;&gt;""),$AD652-$AC652,"")</f>
        <v/>
      </c>
      <c r="AO652" s="53" t="str">
        <f aca="false">IF($J652&lt;&gt;"",$J652,"")</f>
        <v/>
      </c>
      <c r="AQ652" s="52" t="str">
        <f aca="false">IF($A652&lt;&gt;"",$A652,"")</f>
        <v>Apprenant 640</v>
      </c>
      <c r="AR652" s="55" t="str">
        <f aca="false">IF(AND('Choix pédagogiques'!$C$4&lt;&gt;"?",'Choix pédagogiques'!$C$5&lt;&gt;"?",W652&lt;&gt;""),(W652-'Choix pédagogiques'!$C$4)/('Choix pédagogiques'!$C$5-'Choix pédagogiques'!$C$4),"")</f>
        <v/>
      </c>
      <c r="AS652" s="55" t="str">
        <f aca="false">IF(AND('Choix pédagogiques'!$C$4&lt;&gt;"?",'Choix pédagogiques'!$C$5&lt;&gt;"?",X652&lt;&gt;""),(X652-'Choix pédagogiques'!$C$4)/('Choix pédagogiques'!$C$5-'Choix pédagogiques'!$C$4),"")</f>
        <v/>
      </c>
      <c r="AT652" s="55" t="str">
        <f aca="false">IF(AND('Choix pédagogiques'!$C$4&lt;&gt;"?",'Choix pédagogiques'!$C$5&lt;&gt;"?",Y652&lt;&gt;""),(Y652-'Choix pédagogiques'!$C$4)/('Choix pédagogiques'!$C$5-'Choix pédagogiques'!$C$4),"")</f>
        <v/>
      </c>
      <c r="AU652" s="53" t="str">
        <f aca="false">IF($E652&lt;&gt;"",$E652,"")</f>
        <v/>
      </c>
      <c r="AV652" s="52" t="str">
        <f aca="false">IF($F652&lt;&gt;"",$F652,"")</f>
        <v>Apprenant 640 ou 640'</v>
      </c>
      <c r="AW652" s="55" t="str">
        <f aca="false">IF(AND('Choix pédagogiques'!$C$4&lt;&gt;"?",'Choix pédagogiques'!$C$5&lt;&gt;"?",AB652&lt;&gt;""),(AB652-'Choix pédagogiques'!$C$4)/('Choix pédagogiques'!$C$5-'Choix pédagogiques'!$C$4),"")</f>
        <v/>
      </c>
      <c r="AX652" s="55" t="str">
        <f aca="false">IF(AND('Choix pédagogiques'!$C$4&lt;&gt;"?",'Choix pédagogiques'!$C$5&lt;&gt;"?",AC652&lt;&gt;""),(AC652-'Choix pédagogiques'!$C$4)/('Choix pédagogiques'!$C$5-'Choix pédagogiques'!$C$4),"")</f>
        <v/>
      </c>
      <c r="AY652" s="55" t="str">
        <f aca="false">IF(AND('Choix pédagogiques'!$C$4&lt;&gt;"?",'Choix pédagogiques'!$C$5&lt;&gt;"?",AD652&lt;&gt;""),(AD652-'Choix pédagogiques'!$C$4)/('Choix pédagogiques'!$C$5-'Choix pédagogiques'!$C$4),"")</f>
        <v/>
      </c>
      <c r="AZ652" s="53" t="str">
        <f aca="false">IF($J652&lt;&gt;"",$J652,"")</f>
        <v/>
      </c>
      <c r="BA652" s="52" t="str">
        <f aca="false">IF($A652&lt;&gt;"",$A652,"")</f>
        <v>Apprenant 640</v>
      </c>
      <c r="BB652" s="55" t="str">
        <f aca="false">IF(AND($AR652&lt;&gt;"",$AS652&lt;&gt;""),$AS652-$AR652,"")</f>
        <v/>
      </c>
      <c r="BC652" s="55" t="str">
        <f aca="false">IF(AND($AR652&lt;&gt;"",$AT652&lt;&gt;""),$AT652-$AR652,"")</f>
        <v/>
      </c>
      <c r="BD652" s="55" t="str">
        <f aca="false">IF(AND($AS652&lt;&gt;"",$AT652&lt;&gt;""),$AT652-$AS652,"")</f>
        <v/>
      </c>
      <c r="BE652" s="53" t="str">
        <f aca="false">IF($E652&lt;&gt;"",$E652,"")</f>
        <v/>
      </c>
      <c r="BF652" s="52" t="str">
        <f aca="false">IF($F652&lt;&gt;"",$F652,"")</f>
        <v>Apprenant 640 ou 640'</v>
      </c>
      <c r="BG652" s="55" t="str">
        <f aca="false">IF(AND($AW652&lt;&gt;"",$AX652&lt;&gt;""),$AX652-$AW652,"")</f>
        <v/>
      </c>
      <c r="BH652" s="55" t="str">
        <f aca="false">IF(AND($AW652&lt;&gt;"",$AY652&lt;&gt;""),$AY652-$AW652,"")</f>
        <v/>
      </c>
      <c r="BI652" s="55" t="str">
        <f aca="false">IF(AND($AX652&lt;&gt;"",$AY652&lt;&gt;""),$AY652-$AX652,"")</f>
        <v/>
      </c>
      <c r="BJ652" s="53" t="str">
        <f aca="false">IF($J652&lt;&gt;"",$J652,"")</f>
        <v/>
      </c>
      <c r="BL652" s="52"/>
      <c r="BM652" s="52" t="str">
        <f aca="false">IF(OR(COUNT(B652:D1651)=0,AND('Choix pédagogiques'!$C$3&lt;&gt;1,'Choix pédagogiques'!$C$3&lt;&gt;2)),"",IF(AND(OR('Choix pédagogiques'!$C$3=1,'Choix pédagogiques'!$C$3=2),$B652&lt;&gt;"",$C652&lt;&gt;"",$D652&lt;&gt;""),1,0))</f>
        <v/>
      </c>
      <c r="BN652" s="52" t="str">
        <f aca="false">IF(OR(COUNT(G652:I1651)=0,AND('Choix pédagogiques'!$C$3&lt;&gt;1,'Choix pédagogiques'!$C$3&lt;&gt;2)),"",IF(AND(OR('Choix pédagogiques'!$C$3=1,'Choix pédagogiques'!$C$3=2),AND($G652&lt;&gt;"",$H652&lt;&gt;"",$I652&lt;&gt;"")),1,0))</f>
        <v/>
      </c>
      <c r="BO652" s="52" t="str">
        <f aca="false">IF(OR(COUNT(B652:D1651)=0,COUNT(G652:I1651)=0,'Choix pédagogiques'!C$3&lt;&gt;3),"",IF(AND('Choix pédagogiques'!$C$3=3,$B652&lt;&gt;"",$C652&lt;&gt;"",$D652&lt;&gt;"",$G652&lt;&gt;"",$H652&lt;&gt;"",$I652&lt;&gt;""),1,0))</f>
        <v/>
      </c>
      <c r="BR652" s="52" t="n">
        <v>419</v>
      </c>
      <c r="BS652" s="52" t="n">
        <v>1575</v>
      </c>
    </row>
    <row r="653" s="54" customFormat="true" ht="18" hidden="false" customHeight="true" outlineLevel="0" collapsed="false">
      <c r="A653" s="57" t="s">
        <v>1237</v>
      </c>
      <c r="B653" s="51"/>
      <c r="C653" s="51"/>
      <c r="D653" s="51"/>
      <c r="E653" s="51"/>
      <c r="F653" s="57" t="s">
        <v>1238</v>
      </c>
      <c r="G653" s="51"/>
      <c r="H653" s="51"/>
      <c r="I653" s="51"/>
      <c r="J653" s="51"/>
      <c r="K653" s="52" t="str">
        <f aca="false">IF($A653&lt;&gt;"",$A653,"")</f>
        <v>Apprenant 641</v>
      </c>
      <c r="L653" s="53" t="str">
        <f aca="false">IF(AND($B653&lt;&gt;"",$C653&lt;&gt;""),$C653-$B653,"")</f>
        <v/>
      </c>
      <c r="M653" s="53" t="str">
        <f aca="false">IF(AND($B653&lt;&gt;"",$D653&lt;&gt;""),$D653-$B653,"")</f>
        <v/>
      </c>
      <c r="N653" s="53" t="str">
        <f aca="false">IF(AND($C653&lt;&gt;"",$D653&lt;&gt;""),$D653-$C653,"")</f>
        <v/>
      </c>
      <c r="O653" s="53" t="str">
        <f aca="false">IF($E653&lt;&gt;"",$E653,"")</f>
        <v/>
      </c>
      <c r="P653" s="52" t="str">
        <f aca="false">IF($F653&lt;&gt;"",$F653,"")</f>
        <v>Apprenant 641 ou 641'</v>
      </c>
      <c r="Q653" s="53" t="str">
        <f aca="false">IF(AND($G653&lt;&gt;"",$H653&lt;&gt;""),$H653-$G653,"")</f>
        <v/>
      </c>
      <c r="R653" s="53" t="str">
        <f aca="false">IF(AND($G653&lt;&gt;"",$I653&lt;&gt;""),$I653-$G653,"")</f>
        <v/>
      </c>
      <c r="S653" s="53" t="str">
        <f aca="false">IF(AND($H653&lt;&gt;"",$I653&lt;&gt;""),$I653-$H653,"")</f>
        <v/>
      </c>
      <c r="T653" s="53" t="str">
        <f aca="false">IF($J653&lt;&gt;"",$J653,"")</f>
        <v/>
      </c>
      <c r="V653" s="52" t="str">
        <f aca="false">IF($A653&lt;&gt;"",$A653,"")</f>
        <v>Apprenant 641</v>
      </c>
      <c r="W653" s="53" t="str">
        <f aca="false">IF(AND(OR('Choix pédagogiques'!$C$3=1,'Choix pédagogiques'!$C$3=2),$BM653=1),B653,IF(AND('Choix pédagogiques'!$C$3=3,$BO653=1),B653,""))</f>
        <v/>
      </c>
      <c r="X653" s="53" t="str">
        <f aca="false">IF(AND(OR('Choix pédagogiques'!$C$3=1,'Choix pédagogiques'!$C$3=2),$BM653=1),C653,IF(AND('Choix pédagogiques'!$C$3=3,$BO653=1),C653,""))</f>
        <v/>
      </c>
      <c r="Y653" s="53" t="str">
        <f aca="false">IF(AND(OR('Choix pédagogiques'!$C$3=1,'Choix pédagogiques'!$C$3=2),$BM653=1),D653,IF(AND('Choix pédagogiques'!$C$3=3,$BO653=1),D653,""))</f>
        <v/>
      </c>
      <c r="Z653" s="53" t="str">
        <f aca="false">IF($E653&lt;&gt;"",$E653,"")</f>
        <v/>
      </c>
      <c r="AA653" s="52" t="str">
        <f aca="false">IF($F653&lt;&gt;"",$F653,"")</f>
        <v>Apprenant 641 ou 641'</v>
      </c>
      <c r="AB653" s="53" t="str">
        <f aca="false">IF(AND(OR('Choix pédagogiques'!$C$3=1,'Choix pédagogiques'!$C$3=2),$BN653=1),G653,IF(AND('Choix pédagogiques'!$C$3=3,$BO653=1),G653,""))</f>
        <v/>
      </c>
      <c r="AC653" s="53" t="str">
        <f aca="false">IF(AND(OR('Choix pédagogiques'!$C$3=1,'Choix pédagogiques'!$C$3=2),$BN653=1),H653,IF(AND('Choix pédagogiques'!$C$3=3,$BO653=1),H653,""))</f>
        <v/>
      </c>
      <c r="AD653" s="53" t="str">
        <f aca="false">IF(AND(OR('Choix pédagogiques'!$C$3=1,'Choix pédagogiques'!$C$3=2),$BN653=1),I653,IF(AND('Choix pédagogiques'!$C$3=3,$BO653=1),I653,""))</f>
        <v/>
      </c>
      <c r="AE653" s="53" t="str">
        <f aca="false">IF($J653&lt;&gt;"",$J653,"")</f>
        <v/>
      </c>
      <c r="AF653" s="52" t="str">
        <f aca="false">IF($A653&lt;&gt;"",$A653,"")</f>
        <v>Apprenant 641</v>
      </c>
      <c r="AG653" s="53" t="str">
        <f aca="false">IF(AND($W653&lt;&gt;"",$X653&lt;&gt;""),$X653-$W653,"")</f>
        <v/>
      </c>
      <c r="AH653" s="53" t="str">
        <f aca="false">IF(AND($W653&lt;&gt;"",$Y653&lt;&gt;""),$Y653-$W653,"")</f>
        <v/>
      </c>
      <c r="AI653" s="53" t="str">
        <f aca="false">IF(AND($X653&lt;&gt;"",$Y653&lt;&gt;""),$Y653-$X653,"")</f>
        <v/>
      </c>
      <c r="AJ653" s="53" t="str">
        <f aca="false">IF($E653&lt;&gt;"",$E653,"")</f>
        <v/>
      </c>
      <c r="AK653" s="52" t="str">
        <f aca="false">IF($F653&lt;&gt;"",$F653,"")</f>
        <v>Apprenant 641 ou 641'</v>
      </c>
      <c r="AL653" s="53" t="str">
        <f aca="false">IF(AND($AB653&lt;&gt;"",$AC653&lt;&gt;""),$AC653-$AB653,"")</f>
        <v/>
      </c>
      <c r="AM653" s="53" t="str">
        <f aca="false">IF(AND($AB653&lt;&gt;"",$AD653&lt;&gt;""),$AD653-$AB653,"")</f>
        <v/>
      </c>
      <c r="AN653" s="53" t="str">
        <f aca="false">IF(AND($AC653&lt;&gt;"",$AD653&lt;&gt;""),$AD653-$AC653,"")</f>
        <v/>
      </c>
      <c r="AO653" s="53" t="str">
        <f aca="false">IF($J653&lt;&gt;"",$J653,"")</f>
        <v/>
      </c>
      <c r="AQ653" s="52" t="str">
        <f aca="false">IF($A653&lt;&gt;"",$A653,"")</f>
        <v>Apprenant 641</v>
      </c>
      <c r="AR653" s="55" t="str">
        <f aca="false">IF(AND('Choix pédagogiques'!$C$4&lt;&gt;"?",'Choix pédagogiques'!$C$5&lt;&gt;"?",W653&lt;&gt;""),(W653-'Choix pédagogiques'!$C$4)/('Choix pédagogiques'!$C$5-'Choix pédagogiques'!$C$4),"")</f>
        <v/>
      </c>
      <c r="AS653" s="55" t="str">
        <f aca="false">IF(AND('Choix pédagogiques'!$C$4&lt;&gt;"?",'Choix pédagogiques'!$C$5&lt;&gt;"?",X653&lt;&gt;""),(X653-'Choix pédagogiques'!$C$4)/('Choix pédagogiques'!$C$5-'Choix pédagogiques'!$C$4),"")</f>
        <v/>
      </c>
      <c r="AT653" s="55" t="str">
        <f aca="false">IF(AND('Choix pédagogiques'!$C$4&lt;&gt;"?",'Choix pédagogiques'!$C$5&lt;&gt;"?",Y653&lt;&gt;""),(Y653-'Choix pédagogiques'!$C$4)/('Choix pédagogiques'!$C$5-'Choix pédagogiques'!$C$4),"")</f>
        <v/>
      </c>
      <c r="AU653" s="53" t="str">
        <f aca="false">IF($E653&lt;&gt;"",$E653,"")</f>
        <v/>
      </c>
      <c r="AV653" s="52" t="str">
        <f aca="false">IF($F653&lt;&gt;"",$F653,"")</f>
        <v>Apprenant 641 ou 641'</v>
      </c>
      <c r="AW653" s="55" t="str">
        <f aca="false">IF(AND('Choix pédagogiques'!$C$4&lt;&gt;"?",'Choix pédagogiques'!$C$5&lt;&gt;"?",AB653&lt;&gt;""),(AB653-'Choix pédagogiques'!$C$4)/('Choix pédagogiques'!$C$5-'Choix pédagogiques'!$C$4),"")</f>
        <v/>
      </c>
      <c r="AX653" s="55" t="str">
        <f aca="false">IF(AND('Choix pédagogiques'!$C$4&lt;&gt;"?",'Choix pédagogiques'!$C$5&lt;&gt;"?",AC653&lt;&gt;""),(AC653-'Choix pédagogiques'!$C$4)/('Choix pédagogiques'!$C$5-'Choix pédagogiques'!$C$4),"")</f>
        <v/>
      </c>
      <c r="AY653" s="55" t="str">
        <f aca="false">IF(AND('Choix pédagogiques'!$C$4&lt;&gt;"?",'Choix pédagogiques'!$C$5&lt;&gt;"?",AD653&lt;&gt;""),(AD653-'Choix pédagogiques'!$C$4)/('Choix pédagogiques'!$C$5-'Choix pédagogiques'!$C$4),"")</f>
        <v/>
      </c>
      <c r="AZ653" s="53" t="str">
        <f aca="false">IF($J653&lt;&gt;"",$J653,"")</f>
        <v/>
      </c>
      <c r="BA653" s="52" t="str">
        <f aca="false">IF($A653&lt;&gt;"",$A653,"")</f>
        <v>Apprenant 641</v>
      </c>
      <c r="BB653" s="55" t="str">
        <f aca="false">IF(AND($AR653&lt;&gt;"",$AS653&lt;&gt;""),$AS653-$AR653,"")</f>
        <v/>
      </c>
      <c r="BC653" s="55" t="str">
        <f aca="false">IF(AND($AR653&lt;&gt;"",$AT653&lt;&gt;""),$AT653-$AR653,"")</f>
        <v/>
      </c>
      <c r="BD653" s="55" t="str">
        <f aca="false">IF(AND($AS653&lt;&gt;"",$AT653&lt;&gt;""),$AT653-$AS653,"")</f>
        <v/>
      </c>
      <c r="BE653" s="53" t="str">
        <f aca="false">IF($E653&lt;&gt;"",$E653,"")</f>
        <v/>
      </c>
      <c r="BF653" s="52" t="str">
        <f aca="false">IF($F653&lt;&gt;"",$F653,"")</f>
        <v>Apprenant 641 ou 641'</v>
      </c>
      <c r="BG653" s="55" t="str">
        <f aca="false">IF(AND($AW653&lt;&gt;"",$AX653&lt;&gt;""),$AX653-$AW653,"")</f>
        <v/>
      </c>
      <c r="BH653" s="55" t="str">
        <f aca="false">IF(AND($AW653&lt;&gt;"",$AY653&lt;&gt;""),$AY653-$AW653,"")</f>
        <v/>
      </c>
      <c r="BI653" s="55" t="str">
        <f aca="false">IF(AND($AX653&lt;&gt;"",$AY653&lt;&gt;""),$AY653-$AX653,"")</f>
        <v/>
      </c>
      <c r="BJ653" s="53" t="str">
        <f aca="false">IF($J653&lt;&gt;"",$J653,"")</f>
        <v/>
      </c>
      <c r="BL653" s="52"/>
      <c r="BM653" s="52" t="str">
        <f aca="false">IF(OR(COUNT(B653:D1652)=0,AND('Choix pédagogiques'!$C$3&lt;&gt;1,'Choix pédagogiques'!$C$3&lt;&gt;2)),"",IF(AND(OR('Choix pédagogiques'!$C$3=1,'Choix pédagogiques'!$C$3=2),$B653&lt;&gt;"",$C653&lt;&gt;"",$D653&lt;&gt;""),1,0))</f>
        <v/>
      </c>
      <c r="BN653" s="52" t="str">
        <f aca="false">IF(OR(COUNT(G653:I1652)=0,AND('Choix pédagogiques'!$C$3&lt;&gt;1,'Choix pédagogiques'!$C$3&lt;&gt;2)),"",IF(AND(OR('Choix pédagogiques'!$C$3=1,'Choix pédagogiques'!$C$3=2),AND($G653&lt;&gt;"",$H653&lt;&gt;"",$I653&lt;&gt;"")),1,0))</f>
        <v/>
      </c>
      <c r="BO653" s="52" t="str">
        <f aca="false">IF(OR(COUNT(B653:D1652)=0,COUNT(G653:I1652)=0,'Choix pédagogiques'!C$3&lt;&gt;3),"",IF(AND('Choix pédagogiques'!$C$3=3,$B653&lt;&gt;"",$C653&lt;&gt;"",$D653&lt;&gt;"",$G653&lt;&gt;"",$H653&lt;&gt;"",$I653&lt;&gt;""),1,0))</f>
        <v/>
      </c>
      <c r="BR653" s="52" t="n">
        <v>184</v>
      </c>
      <c r="BS653" s="52" t="n">
        <v>1055</v>
      </c>
    </row>
    <row r="654" s="54" customFormat="true" ht="18" hidden="false" customHeight="true" outlineLevel="0" collapsed="false">
      <c r="A654" s="57" t="s">
        <v>1239</v>
      </c>
      <c r="B654" s="51"/>
      <c r="C654" s="51"/>
      <c r="D654" s="51"/>
      <c r="E654" s="51"/>
      <c r="F654" s="57" t="s">
        <v>1240</v>
      </c>
      <c r="G654" s="51"/>
      <c r="H654" s="51"/>
      <c r="I654" s="51"/>
      <c r="J654" s="51"/>
      <c r="K654" s="52" t="str">
        <f aca="false">IF($A654&lt;&gt;"",$A654,"")</f>
        <v>Apprenant 642</v>
      </c>
      <c r="L654" s="53" t="str">
        <f aca="false">IF(AND($B654&lt;&gt;"",$C654&lt;&gt;""),$C654-$B654,"")</f>
        <v/>
      </c>
      <c r="M654" s="53" t="str">
        <f aca="false">IF(AND($B654&lt;&gt;"",$D654&lt;&gt;""),$D654-$B654,"")</f>
        <v/>
      </c>
      <c r="N654" s="53" t="str">
        <f aca="false">IF(AND($C654&lt;&gt;"",$D654&lt;&gt;""),$D654-$C654,"")</f>
        <v/>
      </c>
      <c r="O654" s="53" t="str">
        <f aca="false">IF($E654&lt;&gt;"",$E654,"")</f>
        <v/>
      </c>
      <c r="P654" s="52" t="str">
        <f aca="false">IF($F654&lt;&gt;"",$F654,"")</f>
        <v>Apprenant 642 ou 642'</v>
      </c>
      <c r="Q654" s="53" t="str">
        <f aca="false">IF(AND($G654&lt;&gt;"",$H654&lt;&gt;""),$H654-$G654,"")</f>
        <v/>
      </c>
      <c r="R654" s="53" t="str">
        <f aca="false">IF(AND($G654&lt;&gt;"",$I654&lt;&gt;""),$I654-$G654,"")</f>
        <v/>
      </c>
      <c r="S654" s="53" t="str">
        <f aca="false">IF(AND($H654&lt;&gt;"",$I654&lt;&gt;""),$I654-$H654,"")</f>
        <v/>
      </c>
      <c r="T654" s="53" t="str">
        <f aca="false">IF($J654&lt;&gt;"",$J654,"")</f>
        <v/>
      </c>
      <c r="V654" s="52" t="str">
        <f aca="false">IF($A654&lt;&gt;"",$A654,"")</f>
        <v>Apprenant 642</v>
      </c>
      <c r="W654" s="53" t="str">
        <f aca="false">IF(AND(OR('Choix pédagogiques'!$C$3=1,'Choix pédagogiques'!$C$3=2),$BM654=1),B654,IF(AND('Choix pédagogiques'!$C$3=3,$BO654=1),B654,""))</f>
        <v/>
      </c>
      <c r="X654" s="53" t="str">
        <f aca="false">IF(AND(OR('Choix pédagogiques'!$C$3=1,'Choix pédagogiques'!$C$3=2),$BM654=1),C654,IF(AND('Choix pédagogiques'!$C$3=3,$BO654=1),C654,""))</f>
        <v/>
      </c>
      <c r="Y654" s="53" t="str">
        <f aca="false">IF(AND(OR('Choix pédagogiques'!$C$3=1,'Choix pédagogiques'!$C$3=2),$BM654=1),D654,IF(AND('Choix pédagogiques'!$C$3=3,$BO654=1),D654,""))</f>
        <v/>
      </c>
      <c r="Z654" s="53" t="str">
        <f aca="false">IF($E654&lt;&gt;"",$E654,"")</f>
        <v/>
      </c>
      <c r="AA654" s="52" t="str">
        <f aca="false">IF($F654&lt;&gt;"",$F654,"")</f>
        <v>Apprenant 642 ou 642'</v>
      </c>
      <c r="AB654" s="53" t="str">
        <f aca="false">IF(AND(OR('Choix pédagogiques'!$C$3=1,'Choix pédagogiques'!$C$3=2),$BN654=1),G654,IF(AND('Choix pédagogiques'!$C$3=3,$BO654=1),G654,""))</f>
        <v/>
      </c>
      <c r="AC654" s="53" t="str">
        <f aca="false">IF(AND(OR('Choix pédagogiques'!$C$3=1,'Choix pédagogiques'!$C$3=2),$BN654=1),H654,IF(AND('Choix pédagogiques'!$C$3=3,$BO654=1),H654,""))</f>
        <v/>
      </c>
      <c r="AD654" s="53" t="str">
        <f aca="false">IF(AND(OR('Choix pédagogiques'!$C$3=1,'Choix pédagogiques'!$C$3=2),$BN654=1),I654,IF(AND('Choix pédagogiques'!$C$3=3,$BO654=1),I654,""))</f>
        <v/>
      </c>
      <c r="AE654" s="53" t="str">
        <f aca="false">IF($J654&lt;&gt;"",$J654,"")</f>
        <v/>
      </c>
      <c r="AF654" s="52" t="str">
        <f aca="false">IF($A654&lt;&gt;"",$A654,"")</f>
        <v>Apprenant 642</v>
      </c>
      <c r="AG654" s="53" t="str">
        <f aca="false">IF(AND($W654&lt;&gt;"",$X654&lt;&gt;""),$X654-$W654,"")</f>
        <v/>
      </c>
      <c r="AH654" s="53" t="str">
        <f aca="false">IF(AND($W654&lt;&gt;"",$Y654&lt;&gt;""),$Y654-$W654,"")</f>
        <v/>
      </c>
      <c r="AI654" s="53" t="str">
        <f aca="false">IF(AND($X654&lt;&gt;"",$Y654&lt;&gt;""),$Y654-$X654,"")</f>
        <v/>
      </c>
      <c r="AJ654" s="53" t="str">
        <f aca="false">IF($E654&lt;&gt;"",$E654,"")</f>
        <v/>
      </c>
      <c r="AK654" s="52" t="str">
        <f aca="false">IF($F654&lt;&gt;"",$F654,"")</f>
        <v>Apprenant 642 ou 642'</v>
      </c>
      <c r="AL654" s="53" t="str">
        <f aca="false">IF(AND($AB654&lt;&gt;"",$AC654&lt;&gt;""),$AC654-$AB654,"")</f>
        <v/>
      </c>
      <c r="AM654" s="53" t="str">
        <f aca="false">IF(AND($AB654&lt;&gt;"",$AD654&lt;&gt;""),$AD654-$AB654,"")</f>
        <v/>
      </c>
      <c r="AN654" s="53" t="str">
        <f aca="false">IF(AND($AC654&lt;&gt;"",$AD654&lt;&gt;""),$AD654-$AC654,"")</f>
        <v/>
      </c>
      <c r="AO654" s="53" t="str">
        <f aca="false">IF($J654&lt;&gt;"",$J654,"")</f>
        <v/>
      </c>
      <c r="AQ654" s="52" t="str">
        <f aca="false">IF($A654&lt;&gt;"",$A654,"")</f>
        <v>Apprenant 642</v>
      </c>
      <c r="AR654" s="55" t="str">
        <f aca="false">IF(AND('Choix pédagogiques'!$C$4&lt;&gt;"?",'Choix pédagogiques'!$C$5&lt;&gt;"?",W654&lt;&gt;""),(W654-'Choix pédagogiques'!$C$4)/('Choix pédagogiques'!$C$5-'Choix pédagogiques'!$C$4),"")</f>
        <v/>
      </c>
      <c r="AS654" s="55" t="str">
        <f aca="false">IF(AND('Choix pédagogiques'!$C$4&lt;&gt;"?",'Choix pédagogiques'!$C$5&lt;&gt;"?",X654&lt;&gt;""),(X654-'Choix pédagogiques'!$C$4)/('Choix pédagogiques'!$C$5-'Choix pédagogiques'!$C$4),"")</f>
        <v/>
      </c>
      <c r="AT654" s="55" t="str">
        <f aca="false">IF(AND('Choix pédagogiques'!$C$4&lt;&gt;"?",'Choix pédagogiques'!$C$5&lt;&gt;"?",Y654&lt;&gt;""),(Y654-'Choix pédagogiques'!$C$4)/('Choix pédagogiques'!$C$5-'Choix pédagogiques'!$C$4),"")</f>
        <v/>
      </c>
      <c r="AU654" s="53" t="str">
        <f aca="false">IF($E654&lt;&gt;"",$E654,"")</f>
        <v/>
      </c>
      <c r="AV654" s="52" t="str">
        <f aca="false">IF($F654&lt;&gt;"",$F654,"")</f>
        <v>Apprenant 642 ou 642'</v>
      </c>
      <c r="AW654" s="55" t="str">
        <f aca="false">IF(AND('Choix pédagogiques'!$C$4&lt;&gt;"?",'Choix pédagogiques'!$C$5&lt;&gt;"?",AB654&lt;&gt;""),(AB654-'Choix pédagogiques'!$C$4)/('Choix pédagogiques'!$C$5-'Choix pédagogiques'!$C$4),"")</f>
        <v/>
      </c>
      <c r="AX654" s="55" t="str">
        <f aca="false">IF(AND('Choix pédagogiques'!$C$4&lt;&gt;"?",'Choix pédagogiques'!$C$5&lt;&gt;"?",AC654&lt;&gt;""),(AC654-'Choix pédagogiques'!$C$4)/('Choix pédagogiques'!$C$5-'Choix pédagogiques'!$C$4),"")</f>
        <v/>
      </c>
      <c r="AY654" s="55" t="str">
        <f aca="false">IF(AND('Choix pédagogiques'!$C$4&lt;&gt;"?",'Choix pédagogiques'!$C$5&lt;&gt;"?",AD654&lt;&gt;""),(AD654-'Choix pédagogiques'!$C$4)/('Choix pédagogiques'!$C$5-'Choix pédagogiques'!$C$4),"")</f>
        <v/>
      </c>
      <c r="AZ654" s="53" t="str">
        <f aca="false">IF($J654&lt;&gt;"",$J654,"")</f>
        <v/>
      </c>
      <c r="BA654" s="52" t="str">
        <f aca="false">IF($A654&lt;&gt;"",$A654,"")</f>
        <v>Apprenant 642</v>
      </c>
      <c r="BB654" s="55" t="str">
        <f aca="false">IF(AND($AR654&lt;&gt;"",$AS654&lt;&gt;""),$AS654-$AR654,"")</f>
        <v/>
      </c>
      <c r="BC654" s="55" t="str">
        <f aca="false">IF(AND($AR654&lt;&gt;"",$AT654&lt;&gt;""),$AT654-$AR654,"")</f>
        <v/>
      </c>
      <c r="BD654" s="55" t="str">
        <f aca="false">IF(AND($AS654&lt;&gt;"",$AT654&lt;&gt;""),$AT654-$AS654,"")</f>
        <v/>
      </c>
      <c r="BE654" s="53" t="str">
        <f aca="false">IF($E654&lt;&gt;"",$E654,"")</f>
        <v/>
      </c>
      <c r="BF654" s="52" t="str">
        <f aca="false">IF($F654&lt;&gt;"",$F654,"")</f>
        <v>Apprenant 642 ou 642'</v>
      </c>
      <c r="BG654" s="55" t="str">
        <f aca="false">IF(AND($AW654&lt;&gt;"",$AX654&lt;&gt;""),$AX654-$AW654,"")</f>
        <v/>
      </c>
      <c r="BH654" s="55" t="str">
        <f aca="false">IF(AND($AW654&lt;&gt;"",$AY654&lt;&gt;""),$AY654-$AW654,"")</f>
        <v/>
      </c>
      <c r="BI654" s="55" t="str">
        <f aca="false">IF(AND($AX654&lt;&gt;"",$AY654&lt;&gt;""),$AY654-$AX654,"")</f>
        <v/>
      </c>
      <c r="BJ654" s="53" t="str">
        <f aca="false">IF($J654&lt;&gt;"",$J654,"")</f>
        <v/>
      </c>
      <c r="BL654" s="52"/>
      <c r="BM654" s="52" t="str">
        <f aca="false">IF(OR(COUNT(B654:D1653)=0,AND('Choix pédagogiques'!$C$3&lt;&gt;1,'Choix pédagogiques'!$C$3&lt;&gt;2)),"",IF(AND(OR('Choix pédagogiques'!$C$3=1,'Choix pédagogiques'!$C$3=2),$B654&lt;&gt;"",$C654&lt;&gt;"",$D654&lt;&gt;""),1,0))</f>
        <v/>
      </c>
      <c r="BN654" s="52" t="str">
        <f aca="false">IF(OR(COUNT(G654:I1653)=0,AND('Choix pédagogiques'!$C$3&lt;&gt;1,'Choix pédagogiques'!$C$3&lt;&gt;2)),"",IF(AND(OR('Choix pédagogiques'!$C$3=1,'Choix pédagogiques'!$C$3=2),AND($G654&lt;&gt;"",$H654&lt;&gt;"",$I654&lt;&gt;"")),1,0))</f>
        <v/>
      </c>
      <c r="BO654" s="52" t="str">
        <f aca="false">IF(OR(COUNT(B654:D1653)=0,COUNT(G654:I1653)=0,'Choix pédagogiques'!C$3&lt;&gt;3),"",IF(AND('Choix pédagogiques'!$C$3=3,$B654&lt;&gt;"",$C654&lt;&gt;"",$D654&lt;&gt;"",$G654&lt;&gt;"",$H654&lt;&gt;"",$I654&lt;&gt;""),1,0))</f>
        <v/>
      </c>
      <c r="BR654" s="52" t="n">
        <v>375</v>
      </c>
      <c r="BS654" s="52" t="n">
        <v>1392</v>
      </c>
    </row>
    <row r="655" s="54" customFormat="true" ht="18" hidden="false" customHeight="true" outlineLevel="0" collapsed="false">
      <c r="A655" s="57" t="s">
        <v>1241</v>
      </c>
      <c r="B655" s="51"/>
      <c r="C655" s="51"/>
      <c r="D655" s="51"/>
      <c r="E655" s="51"/>
      <c r="F655" s="57" t="s">
        <v>1242</v>
      </c>
      <c r="G655" s="51"/>
      <c r="H655" s="51"/>
      <c r="I655" s="51"/>
      <c r="J655" s="51"/>
      <c r="K655" s="52" t="str">
        <f aca="false">IF($A655&lt;&gt;"",$A655,"")</f>
        <v>Apprenant 643</v>
      </c>
      <c r="L655" s="53" t="str">
        <f aca="false">IF(AND($B655&lt;&gt;"",$C655&lt;&gt;""),$C655-$B655,"")</f>
        <v/>
      </c>
      <c r="M655" s="53" t="str">
        <f aca="false">IF(AND($B655&lt;&gt;"",$D655&lt;&gt;""),$D655-$B655,"")</f>
        <v/>
      </c>
      <c r="N655" s="53" t="str">
        <f aca="false">IF(AND($C655&lt;&gt;"",$D655&lt;&gt;""),$D655-$C655,"")</f>
        <v/>
      </c>
      <c r="O655" s="53" t="str">
        <f aca="false">IF($E655&lt;&gt;"",$E655,"")</f>
        <v/>
      </c>
      <c r="P655" s="52" t="str">
        <f aca="false">IF($F655&lt;&gt;"",$F655,"")</f>
        <v>Apprenant 643 ou 643'</v>
      </c>
      <c r="Q655" s="53" t="str">
        <f aca="false">IF(AND($G655&lt;&gt;"",$H655&lt;&gt;""),$H655-$G655,"")</f>
        <v/>
      </c>
      <c r="R655" s="53" t="str">
        <f aca="false">IF(AND($G655&lt;&gt;"",$I655&lt;&gt;""),$I655-$G655,"")</f>
        <v/>
      </c>
      <c r="S655" s="53" t="str">
        <f aca="false">IF(AND($H655&lt;&gt;"",$I655&lt;&gt;""),$I655-$H655,"")</f>
        <v/>
      </c>
      <c r="T655" s="53" t="str">
        <f aca="false">IF($J655&lt;&gt;"",$J655,"")</f>
        <v/>
      </c>
      <c r="V655" s="52" t="str">
        <f aca="false">IF($A655&lt;&gt;"",$A655,"")</f>
        <v>Apprenant 643</v>
      </c>
      <c r="W655" s="53" t="str">
        <f aca="false">IF(AND(OR('Choix pédagogiques'!$C$3=1,'Choix pédagogiques'!$C$3=2),$BM655=1),B655,IF(AND('Choix pédagogiques'!$C$3=3,$BO655=1),B655,""))</f>
        <v/>
      </c>
      <c r="X655" s="53" t="str">
        <f aca="false">IF(AND(OR('Choix pédagogiques'!$C$3=1,'Choix pédagogiques'!$C$3=2),$BM655=1),C655,IF(AND('Choix pédagogiques'!$C$3=3,$BO655=1),C655,""))</f>
        <v/>
      </c>
      <c r="Y655" s="53" t="str">
        <f aca="false">IF(AND(OR('Choix pédagogiques'!$C$3=1,'Choix pédagogiques'!$C$3=2),$BM655=1),D655,IF(AND('Choix pédagogiques'!$C$3=3,$BO655=1),D655,""))</f>
        <v/>
      </c>
      <c r="Z655" s="53" t="str">
        <f aca="false">IF($E655&lt;&gt;"",$E655,"")</f>
        <v/>
      </c>
      <c r="AA655" s="52" t="str">
        <f aca="false">IF($F655&lt;&gt;"",$F655,"")</f>
        <v>Apprenant 643 ou 643'</v>
      </c>
      <c r="AB655" s="53" t="str">
        <f aca="false">IF(AND(OR('Choix pédagogiques'!$C$3=1,'Choix pédagogiques'!$C$3=2),$BN655=1),G655,IF(AND('Choix pédagogiques'!$C$3=3,$BO655=1),G655,""))</f>
        <v/>
      </c>
      <c r="AC655" s="53" t="str">
        <f aca="false">IF(AND(OR('Choix pédagogiques'!$C$3=1,'Choix pédagogiques'!$C$3=2),$BN655=1),H655,IF(AND('Choix pédagogiques'!$C$3=3,$BO655=1),H655,""))</f>
        <v/>
      </c>
      <c r="AD655" s="53" t="str">
        <f aca="false">IF(AND(OR('Choix pédagogiques'!$C$3=1,'Choix pédagogiques'!$C$3=2),$BN655=1),I655,IF(AND('Choix pédagogiques'!$C$3=3,$BO655=1),I655,""))</f>
        <v/>
      </c>
      <c r="AE655" s="53" t="str">
        <f aca="false">IF($J655&lt;&gt;"",$J655,"")</f>
        <v/>
      </c>
      <c r="AF655" s="52" t="str">
        <f aca="false">IF($A655&lt;&gt;"",$A655,"")</f>
        <v>Apprenant 643</v>
      </c>
      <c r="AG655" s="53" t="str">
        <f aca="false">IF(AND($W655&lt;&gt;"",$X655&lt;&gt;""),$X655-$W655,"")</f>
        <v/>
      </c>
      <c r="AH655" s="53" t="str">
        <f aca="false">IF(AND($W655&lt;&gt;"",$Y655&lt;&gt;""),$Y655-$W655,"")</f>
        <v/>
      </c>
      <c r="AI655" s="53" t="str">
        <f aca="false">IF(AND($X655&lt;&gt;"",$Y655&lt;&gt;""),$Y655-$X655,"")</f>
        <v/>
      </c>
      <c r="AJ655" s="53" t="str">
        <f aca="false">IF($E655&lt;&gt;"",$E655,"")</f>
        <v/>
      </c>
      <c r="AK655" s="52" t="str">
        <f aca="false">IF($F655&lt;&gt;"",$F655,"")</f>
        <v>Apprenant 643 ou 643'</v>
      </c>
      <c r="AL655" s="53" t="str">
        <f aca="false">IF(AND($AB655&lt;&gt;"",$AC655&lt;&gt;""),$AC655-$AB655,"")</f>
        <v/>
      </c>
      <c r="AM655" s="53" t="str">
        <f aca="false">IF(AND($AB655&lt;&gt;"",$AD655&lt;&gt;""),$AD655-$AB655,"")</f>
        <v/>
      </c>
      <c r="AN655" s="53" t="str">
        <f aca="false">IF(AND($AC655&lt;&gt;"",$AD655&lt;&gt;""),$AD655-$AC655,"")</f>
        <v/>
      </c>
      <c r="AO655" s="53" t="str">
        <f aca="false">IF($J655&lt;&gt;"",$J655,"")</f>
        <v/>
      </c>
      <c r="AQ655" s="52" t="str">
        <f aca="false">IF($A655&lt;&gt;"",$A655,"")</f>
        <v>Apprenant 643</v>
      </c>
      <c r="AR655" s="55" t="str">
        <f aca="false">IF(AND('Choix pédagogiques'!$C$4&lt;&gt;"?",'Choix pédagogiques'!$C$5&lt;&gt;"?",W655&lt;&gt;""),(W655-'Choix pédagogiques'!$C$4)/('Choix pédagogiques'!$C$5-'Choix pédagogiques'!$C$4),"")</f>
        <v/>
      </c>
      <c r="AS655" s="55" t="str">
        <f aca="false">IF(AND('Choix pédagogiques'!$C$4&lt;&gt;"?",'Choix pédagogiques'!$C$5&lt;&gt;"?",X655&lt;&gt;""),(X655-'Choix pédagogiques'!$C$4)/('Choix pédagogiques'!$C$5-'Choix pédagogiques'!$C$4),"")</f>
        <v/>
      </c>
      <c r="AT655" s="55" t="str">
        <f aca="false">IF(AND('Choix pédagogiques'!$C$4&lt;&gt;"?",'Choix pédagogiques'!$C$5&lt;&gt;"?",Y655&lt;&gt;""),(Y655-'Choix pédagogiques'!$C$4)/('Choix pédagogiques'!$C$5-'Choix pédagogiques'!$C$4),"")</f>
        <v/>
      </c>
      <c r="AU655" s="53" t="str">
        <f aca="false">IF($E655&lt;&gt;"",$E655,"")</f>
        <v/>
      </c>
      <c r="AV655" s="52" t="str">
        <f aca="false">IF($F655&lt;&gt;"",$F655,"")</f>
        <v>Apprenant 643 ou 643'</v>
      </c>
      <c r="AW655" s="55" t="str">
        <f aca="false">IF(AND('Choix pédagogiques'!$C$4&lt;&gt;"?",'Choix pédagogiques'!$C$5&lt;&gt;"?",AB655&lt;&gt;""),(AB655-'Choix pédagogiques'!$C$4)/('Choix pédagogiques'!$C$5-'Choix pédagogiques'!$C$4),"")</f>
        <v/>
      </c>
      <c r="AX655" s="55" t="str">
        <f aca="false">IF(AND('Choix pédagogiques'!$C$4&lt;&gt;"?",'Choix pédagogiques'!$C$5&lt;&gt;"?",AC655&lt;&gt;""),(AC655-'Choix pédagogiques'!$C$4)/('Choix pédagogiques'!$C$5-'Choix pédagogiques'!$C$4),"")</f>
        <v/>
      </c>
      <c r="AY655" s="55" t="str">
        <f aca="false">IF(AND('Choix pédagogiques'!$C$4&lt;&gt;"?",'Choix pédagogiques'!$C$5&lt;&gt;"?",AD655&lt;&gt;""),(AD655-'Choix pédagogiques'!$C$4)/('Choix pédagogiques'!$C$5-'Choix pédagogiques'!$C$4),"")</f>
        <v/>
      </c>
      <c r="AZ655" s="53" t="str">
        <f aca="false">IF($J655&lt;&gt;"",$J655,"")</f>
        <v/>
      </c>
      <c r="BA655" s="52" t="str">
        <f aca="false">IF($A655&lt;&gt;"",$A655,"")</f>
        <v>Apprenant 643</v>
      </c>
      <c r="BB655" s="55" t="str">
        <f aca="false">IF(AND($AR655&lt;&gt;"",$AS655&lt;&gt;""),$AS655-$AR655,"")</f>
        <v/>
      </c>
      <c r="BC655" s="55" t="str">
        <f aca="false">IF(AND($AR655&lt;&gt;"",$AT655&lt;&gt;""),$AT655-$AR655,"")</f>
        <v/>
      </c>
      <c r="BD655" s="55" t="str">
        <f aca="false">IF(AND($AS655&lt;&gt;"",$AT655&lt;&gt;""),$AT655-$AS655,"")</f>
        <v/>
      </c>
      <c r="BE655" s="53" t="str">
        <f aca="false">IF($E655&lt;&gt;"",$E655,"")</f>
        <v/>
      </c>
      <c r="BF655" s="52" t="str">
        <f aca="false">IF($F655&lt;&gt;"",$F655,"")</f>
        <v>Apprenant 643 ou 643'</v>
      </c>
      <c r="BG655" s="55" t="str">
        <f aca="false">IF(AND($AW655&lt;&gt;"",$AX655&lt;&gt;""),$AX655-$AW655,"")</f>
        <v/>
      </c>
      <c r="BH655" s="55" t="str">
        <f aca="false">IF(AND($AW655&lt;&gt;"",$AY655&lt;&gt;""),$AY655-$AW655,"")</f>
        <v/>
      </c>
      <c r="BI655" s="55" t="str">
        <f aca="false">IF(AND($AX655&lt;&gt;"",$AY655&lt;&gt;""),$AY655-$AX655,"")</f>
        <v/>
      </c>
      <c r="BJ655" s="53" t="str">
        <f aca="false">IF($J655&lt;&gt;"",$J655,"")</f>
        <v/>
      </c>
      <c r="BL655" s="52"/>
      <c r="BM655" s="52" t="str">
        <f aca="false">IF(OR(COUNT(B655:D1654)=0,AND('Choix pédagogiques'!$C$3&lt;&gt;1,'Choix pédagogiques'!$C$3&lt;&gt;2)),"",IF(AND(OR('Choix pédagogiques'!$C$3=1,'Choix pédagogiques'!$C$3=2),$B655&lt;&gt;"",$C655&lt;&gt;"",$D655&lt;&gt;""),1,0))</f>
        <v/>
      </c>
      <c r="BN655" s="52" t="str">
        <f aca="false">IF(OR(COUNT(G655:I1654)=0,AND('Choix pédagogiques'!$C$3&lt;&gt;1,'Choix pédagogiques'!$C$3&lt;&gt;2)),"",IF(AND(OR('Choix pédagogiques'!$C$3=1,'Choix pédagogiques'!$C$3=2),AND($G655&lt;&gt;"",$H655&lt;&gt;"",$I655&lt;&gt;"")),1,0))</f>
        <v/>
      </c>
      <c r="BO655" s="52" t="str">
        <f aca="false">IF(OR(COUNT(B655:D1654)=0,COUNT(G655:I1654)=0,'Choix pédagogiques'!C$3&lt;&gt;3),"",IF(AND('Choix pédagogiques'!$C$3=3,$B655&lt;&gt;"",$C655&lt;&gt;"",$D655&lt;&gt;"",$G655&lt;&gt;"",$H655&lt;&gt;"",$I655&lt;&gt;""),1,0))</f>
        <v/>
      </c>
      <c r="BR655" s="52" t="n">
        <v>316</v>
      </c>
      <c r="BS655" s="52" t="n">
        <v>1764</v>
      </c>
    </row>
    <row r="656" s="54" customFormat="true" ht="18" hidden="false" customHeight="true" outlineLevel="0" collapsed="false">
      <c r="A656" s="57" t="s">
        <v>1243</v>
      </c>
      <c r="B656" s="51"/>
      <c r="C656" s="51"/>
      <c r="D656" s="51"/>
      <c r="E656" s="51"/>
      <c r="F656" s="57" t="s">
        <v>1244</v>
      </c>
      <c r="G656" s="51"/>
      <c r="H656" s="51"/>
      <c r="I656" s="51"/>
      <c r="J656" s="51"/>
      <c r="K656" s="52" t="str">
        <f aca="false">IF($A656&lt;&gt;"",$A656,"")</f>
        <v>Apprenant 644</v>
      </c>
      <c r="L656" s="53" t="str">
        <f aca="false">IF(AND($B656&lt;&gt;"",$C656&lt;&gt;""),$C656-$B656,"")</f>
        <v/>
      </c>
      <c r="M656" s="53" t="str">
        <f aca="false">IF(AND($B656&lt;&gt;"",$D656&lt;&gt;""),$D656-$B656,"")</f>
        <v/>
      </c>
      <c r="N656" s="53" t="str">
        <f aca="false">IF(AND($C656&lt;&gt;"",$D656&lt;&gt;""),$D656-$C656,"")</f>
        <v/>
      </c>
      <c r="O656" s="53" t="str">
        <f aca="false">IF($E656&lt;&gt;"",$E656,"")</f>
        <v/>
      </c>
      <c r="P656" s="52" t="str">
        <f aca="false">IF($F656&lt;&gt;"",$F656,"")</f>
        <v>Apprenant 644 ou 644'</v>
      </c>
      <c r="Q656" s="53" t="str">
        <f aca="false">IF(AND($G656&lt;&gt;"",$H656&lt;&gt;""),$H656-$G656,"")</f>
        <v/>
      </c>
      <c r="R656" s="53" t="str">
        <f aca="false">IF(AND($G656&lt;&gt;"",$I656&lt;&gt;""),$I656-$G656,"")</f>
        <v/>
      </c>
      <c r="S656" s="53" t="str">
        <f aca="false">IF(AND($H656&lt;&gt;"",$I656&lt;&gt;""),$I656-$H656,"")</f>
        <v/>
      </c>
      <c r="T656" s="53" t="str">
        <f aca="false">IF($J656&lt;&gt;"",$J656,"")</f>
        <v/>
      </c>
      <c r="V656" s="52" t="str">
        <f aca="false">IF($A656&lt;&gt;"",$A656,"")</f>
        <v>Apprenant 644</v>
      </c>
      <c r="W656" s="53" t="str">
        <f aca="false">IF(AND(OR('Choix pédagogiques'!$C$3=1,'Choix pédagogiques'!$C$3=2),$BM656=1),B656,IF(AND('Choix pédagogiques'!$C$3=3,$BO656=1),B656,""))</f>
        <v/>
      </c>
      <c r="X656" s="53" t="str">
        <f aca="false">IF(AND(OR('Choix pédagogiques'!$C$3=1,'Choix pédagogiques'!$C$3=2),$BM656=1),C656,IF(AND('Choix pédagogiques'!$C$3=3,$BO656=1),C656,""))</f>
        <v/>
      </c>
      <c r="Y656" s="53" t="str">
        <f aca="false">IF(AND(OR('Choix pédagogiques'!$C$3=1,'Choix pédagogiques'!$C$3=2),$BM656=1),D656,IF(AND('Choix pédagogiques'!$C$3=3,$BO656=1),D656,""))</f>
        <v/>
      </c>
      <c r="Z656" s="53" t="str">
        <f aca="false">IF($E656&lt;&gt;"",$E656,"")</f>
        <v/>
      </c>
      <c r="AA656" s="52" t="str">
        <f aca="false">IF($F656&lt;&gt;"",$F656,"")</f>
        <v>Apprenant 644 ou 644'</v>
      </c>
      <c r="AB656" s="53" t="str">
        <f aca="false">IF(AND(OR('Choix pédagogiques'!$C$3=1,'Choix pédagogiques'!$C$3=2),$BN656=1),G656,IF(AND('Choix pédagogiques'!$C$3=3,$BO656=1),G656,""))</f>
        <v/>
      </c>
      <c r="AC656" s="53" t="str">
        <f aca="false">IF(AND(OR('Choix pédagogiques'!$C$3=1,'Choix pédagogiques'!$C$3=2),$BN656=1),H656,IF(AND('Choix pédagogiques'!$C$3=3,$BO656=1),H656,""))</f>
        <v/>
      </c>
      <c r="AD656" s="53" t="str">
        <f aca="false">IF(AND(OR('Choix pédagogiques'!$C$3=1,'Choix pédagogiques'!$C$3=2),$BN656=1),I656,IF(AND('Choix pédagogiques'!$C$3=3,$BO656=1),I656,""))</f>
        <v/>
      </c>
      <c r="AE656" s="53" t="str">
        <f aca="false">IF($J656&lt;&gt;"",$J656,"")</f>
        <v/>
      </c>
      <c r="AF656" s="52" t="str">
        <f aca="false">IF($A656&lt;&gt;"",$A656,"")</f>
        <v>Apprenant 644</v>
      </c>
      <c r="AG656" s="53" t="str">
        <f aca="false">IF(AND($W656&lt;&gt;"",$X656&lt;&gt;""),$X656-$W656,"")</f>
        <v/>
      </c>
      <c r="AH656" s="53" t="str">
        <f aca="false">IF(AND($W656&lt;&gt;"",$Y656&lt;&gt;""),$Y656-$W656,"")</f>
        <v/>
      </c>
      <c r="AI656" s="53" t="str">
        <f aca="false">IF(AND($X656&lt;&gt;"",$Y656&lt;&gt;""),$Y656-$X656,"")</f>
        <v/>
      </c>
      <c r="AJ656" s="53" t="str">
        <f aca="false">IF($E656&lt;&gt;"",$E656,"")</f>
        <v/>
      </c>
      <c r="AK656" s="52" t="str">
        <f aca="false">IF($F656&lt;&gt;"",$F656,"")</f>
        <v>Apprenant 644 ou 644'</v>
      </c>
      <c r="AL656" s="53" t="str">
        <f aca="false">IF(AND($AB656&lt;&gt;"",$AC656&lt;&gt;""),$AC656-$AB656,"")</f>
        <v/>
      </c>
      <c r="AM656" s="53" t="str">
        <f aca="false">IF(AND($AB656&lt;&gt;"",$AD656&lt;&gt;""),$AD656-$AB656,"")</f>
        <v/>
      </c>
      <c r="AN656" s="53" t="str">
        <f aca="false">IF(AND($AC656&lt;&gt;"",$AD656&lt;&gt;""),$AD656-$AC656,"")</f>
        <v/>
      </c>
      <c r="AO656" s="53" t="str">
        <f aca="false">IF($J656&lt;&gt;"",$J656,"")</f>
        <v/>
      </c>
      <c r="AQ656" s="52" t="str">
        <f aca="false">IF($A656&lt;&gt;"",$A656,"")</f>
        <v>Apprenant 644</v>
      </c>
      <c r="AR656" s="55" t="str">
        <f aca="false">IF(AND('Choix pédagogiques'!$C$4&lt;&gt;"?",'Choix pédagogiques'!$C$5&lt;&gt;"?",W656&lt;&gt;""),(W656-'Choix pédagogiques'!$C$4)/('Choix pédagogiques'!$C$5-'Choix pédagogiques'!$C$4),"")</f>
        <v/>
      </c>
      <c r="AS656" s="55" t="str">
        <f aca="false">IF(AND('Choix pédagogiques'!$C$4&lt;&gt;"?",'Choix pédagogiques'!$C$5&lt;&gt;"?",X656&lt;&gt;""),(X656-'Choix pédagogiques'!$C$4)/('Choix pédagogiques'!$C$5-'Choix pédagogiques'!$C$4),"")</f>
        <v/>
      </c>
      <c r="AT656" s="55" t="str">
        <f aca="false">IF(AND('Choix pédagogiques'!$C$4&lt;&gt;"?",'Choix pédagogiques'!$C$5&lt;&gt;"?",Y656&lt;&gt;""),(Y656-'Choix pédagogiques'!$C$4)/('Choix pédagogiques'!$C$5-'Choix pédagogiques'!$C$4),"")</f>
        <v/>
      </c>
      <c r="AU656" s="53" t="str">
        <f aca="false">IF($E656&lt;&gt;"",$E656,"")</f>
        <v/>
      </c>
      <c r="AV656" s="52" t="str">
        <f aca="false">IF($F656&lt;&gt;"",$F656,"")</f>
        <v>Apprenant 644 ou 644'</v>
      </c>
      <c r="AW656" s="55" t="str">
        <f aca="false">IF(AND('Choix pédagogiques'!$C$4&lt;&gt;"?",'Choix pédagogiques'!$C$5&lt;&gt;"?",AB656&lt;&gt;""),(AB656-'Choix pédagogiques'!$C$4)/('Choix pédagogiques'!$C$5-'Choix pédagogiques'!$C$4),"")</f>
        <v/>
      </c>
      <c r="AX656" s="55" t="str">
        <f aca="false">IF(AND('Choix pédagogiques'!$C$4&lt;&gt;"?",'Choix pédagogiques'!$C$5&lt;&gt;"?",AC656&lt;&gt;""),(AC656-'Choix pédagogiques'!$C$4)/('Choix pédagogiques'!$C$5-'Choix pédagogiques'!$C$4),"")</f>
        <v/>
      </c>
      <c r="AY656" s="55" t="str">
        <f aca="false">IF(AND('Choix pédagogiques'!$C$4&lt;&gt;"?",'Choix pédagogiques'!$C$5&lt;&gt;"?",AD656&lt;&gt;""),(AD656-'Choix pédagogiques'!$C$4)/('Choix pédagogiques'!$C$5-'Choix pédagogiques'!$C$4),"")</f>
        <v/>
      </c>
      <c r="AZ656" s="53" t="str">
        <f aca="false">IF($J656&lt;&gt;"",$J656,"")</f>
        <v/>
      </c>
      <c r="BA656" s="52" t="str">
        <f aca="false">IF($A656&lt;&gt;"",$A656,"")</f>
        <v>Apprenant 644</v>
      </c>
      <c r="BB656" s="55" t="str">
        <f aca="false">IF(AND($AR656&lt;&gt;"",$AS656&lt;&gt;""),$AS656-$AR656,"")</f>
        <v/>
      </c>
      <c r="BC656" s="55" t="str">
        <f aca="false">IF(AND($AR656&lt;&gt;"",$AT656&lt;&gt;""),$AT656-$AR656,"")</f>
        <v/>
      </c>
      <c r="BD656" s="55" t="str">
        <f aca="false">IF(AND($AS656&lt;&gt;"",$AT656&lt;&gt;""),$AT656-$AS656,"")</f>
        <v/>
      </c>
      <c r="BE656" s="53" t="str">
        <f aca="false">IF($E656&lt;&gt;"",$E656,"")</f>
        <v/>
      </c>
      <c r="BF656" s="52" t="str">
        <f aca="false">IF($F656&lt;&gt;"",$F656,"")</f>
        <v>Apprenant 644 ou 644'</v>
      </c>
      <c r="BG656" s="55" t="str">
        <f aca="false">IF(AND($AW656&lt;&gt;"",$AX656&lt;&gt;""),$AX656-$AW656,"")</f>
        <v/>
      </c>
      <c r="BH656" s="55" t="str">
        <f aca="false">IF(AND($AW656&lt;&gt;"",$AY656&lt;&gt;""),$AY656-$AW656,"")</f>
        <v/>
      </c>
      <c r="BI656" s="55" t="str">
        <f aca="false">IF(AND($AX656&lt;&gt;"",$AY656&lt;&gt;""),$AY656-$AX656,"")</f>
        <v/>
      </c>
      <c r="BJ656" s="53" t="str">
        <f aca="false">IF($J656&lt;&gt;"",$J656,"")</f>
        <v/>
      </c>
      <c r="BL656" s="52"/>
      <c r="BM656" s="52" t="str">
        <f aca="false">IF(OR(COUNT(B656:D1655)=0,AND('Choix pédagogiques'!$C$3&lt;&gt;1,'Choix pédagogiques'!$C$3&lt;&gt;2)),"",IF(AND(OR('Choix pédagogiques'!$C$3=1,'Choix pédagogiques'!$C$3=2),$B656&lt;&gt;"",$C656&lt;&gt;"",$D656&lt;&gt;""),1,0))</f>
        <v/>
      </c>
      <c r="BN656" s="52" t="str">
        <f aca="false">IF(OR(COUNT(G656:I1655)=0,AND('Choix pédagogiques'!$C$3&lt;&gt;1,'Choix pédagogiques'!$C$3&lt;&gt;2)),"",IF(AND(OR('Choix pédagogiques'!$C$3=1,'Choix pédagogiques'!$C$3=2),AND($G656&lt;&gt;"",$H656&lt;&gt;"",$I656&lt;&gt;"")),1,0))</f>
        <v/>
      </c>
      <c r="BO656" s="52" t="str">
        <f aca="false">IF(OR(COUNT(B656:D1655)=0,COUNT(G656:I1655)=0,'Choix pédagogiques'!C$3&lt;&gt;3),"",IF(AND('Choix pédagogiques'!$C$3=3,$B656&lt;&gt;"",$C656&lt;&gt;"",$D656&lt;&gt;"",$G656&lt;&gt;"",$H656&lt;&gt;"",$I656&lt;&gt;""),1,0))</f>
        <v/>
      </c>
      <c r="BR656" s="52" t="n">
        <v>381</v>
      </c>
      <c r="BS656" s="52" t="n">
        <v>1327</v>
      </c>
    </row>
    <row r="657" s="54" customFormat="true" ht="18" hidden="false" customHeight="true" outlineLevel="0" collapsed="false">
      <c r="A657" s="57" t="s">
        <v>1245</v>
      </c>
      <c r="B657" s="51"/>
      <c r="C657" s="51"/>
      <c r="D657" s="51"/>
      <c r="E657" s="51"/>
      <c r="F657" s="57" t="s">
        <v>1246</v>
      </c>
      <c r="G657" s="51"/>
      <c r="H657" s="51"/>
      <c r="I657" s="51"/>
      <c r="J657" s="51"/>
      <c r="K657" s="52" t="str">
        <f aca="false">IF($A657&lt;&gt;"",$A657,"")</f>
        <v>Apprenant 645</v>
      </c>
      <c r="L657" s="53" t="str">
        <f aca="false">IF(AND($B657&lt;&gt;"",$C657&lt;&gt;""),$C657-$B657,"")</f>
        <v/>
      </c>
      <c r="M657" s="53" t="str">
        <f aca="false">IF(AND($B657&lt;&gt;"",$D657&lt;&gt;""),$D657-$B657,"")</f>
        <v/>
      </c>
      <c r="N657" s="53" t="str">
        <f aca="false">IF(AND($C657&lt;&gt;"",$D657&lt;&gt;""),$D657-$C657,"")</f>
        <v/>
      </c>
      <c r="O657" s="53" t="str">
        <f aca="false">IF($E657&lt;&gt;"",$E657,"")</f>
        <v/>
      </c>
      <c r="P657" s="52" t="str">
        <f aca="false">IF($F657&lt;&gt;"",$F657,"")</f>
        <v>Apprenant 645 ou 645'</v>
      </c>
      <c r="Q657" s="53" t="str">
        <f aca="false">IF(AND($G657&lt;&gt;"",$H657&lt;&gt;""),$H657-$G657,"")</f>
        <v/>
      </c>
      <c r="R657" s="53" t="str">
        <f aca="false">IF(AND($G657&lt;&gt;"",$I657&lt;&gt;""),$I657-$G657,"")</f>
        <v/>
      </c>
      <c r="S657" s="53" t="str">
        <f aca="false">IF(AND($H657&lt;&gt;"",$I657&lt;&gt;""),$I657-$H657,"")</f>
        <v/>
      </c>
      <c r="T657" s="53" t="str">
        <f aca="false">IF($J657&lt;&gt;"",$J657,"")</f>
        <v/>
      </c>
      <c r="V657" s="52" t="str">
        <f aca="false">IF($A657&lt;&gt;"",$A657,"")</f>
        <v>Apprenant 645</v>
      </c>
      <c r="W657" s="53" t="str">
        <f aca="false">IF(AND(OR('Choix pédagogiques'!$C$3=1,'Choix pédagogiques'!$C$3=2),$BM657=1),B657,IF(AND('Choix pédagogiques'!$C$3=3,$BO657=1),B657,""))</f>
        <v/>
      </c>
      <c r="X657" s="53" t="str">
        <f aca="false">IF(AND(OR('Choix pédagogiques'!$C$3=1,'Choix pédagogiques'!$C$3=2),$BM657=1),C657,IF(AND('Choix pédagogiques'!$C$3=3,$BO657=1),C657,""))</f>
        <v/>
      </c>
      <c r="Y657" s="53" t="str">
        <f aca="false">IF(AND(OR('Choix pédagogiques'!$C$3=1,'Choix pédagogiques'!$C$3=2),$BM657=1),D657,IF(AND('Choix pédagogiques'!$C$3=3,$BO657=1),D657,""))</f>
        <v/>
      </c>
      <c r="Z657" s="53" t="str">
        <f aca="false">IF($E657&lt;&gt;"",$E657,"")</f>
        <v/>
      </c>
      <c r="AA657" s="52" t="str">
        <f aca="false">IF($F657&lt;&gt;"",$F657,"")</f>
        <v>Apprenant 645 ou 645'</v>
      </c>
      <c r="AB657" s="53" t="str">
        <f aca="false">IF(AND(OR('Choix pédagogiques'!$C$3=1,'Choix pédagogiques'!$C$3=2),$BN657=1),G657,IF(AND('Choix pédagogiques'!$C$3=3,$BO657=1),G657,""))</f>
        <v/>
      </c>
      <c r="AC657" s="53" t="str">
        <f aca="false">IF(AND(OR('Choix pédagogiques'!$C$3=1,'Choix pédagogiques'!$C$3=2),$BN657=1),H657,IF(AND('Choix pédagogiques'!$C$3=3,$BO657=1),H657,""))</f>
        <v/>
      </c>
      <c r="AD657" s="53" t="str">
        <f aca="false">IF(AND(OR('Choix pédagogiques'!$C$3=1,'Choix pédagogiques'!$C$3=2),$BN657=1),I657,IF(AND('Choix pédagogiques'!$C$3=3,$BO657=1),I657,""))</f>
        <v/>
      </c>
      <c r="AE657" s="53" t="str">
        <f aca="false">IF($J657&lt;&gt;"",$J657,"")</f>
        <v/>
      </c>
      <c r="AF657" s="52" t="str">
        <f aca="false">IF($A657&lt;&gt;"",$A657,"")</f>
        <v>Apprenant 645</v>
      </c>
      <c r="AG657" s="53" t="str">
        <f aca="false">IF(AND($W657&lt;&gt;"",$X657&lt;&gt;""),$X657-$W657,"")</f>
        <v/>
      </c>
      <c r="AH657" s="53" t="str">
        <f aca="false">IF(AND($W657&lt;&gt;"",$Y657&lt;&gt;""),$Y657-$W657,"")</f>
        <v/>
      </c>
      <c r="AI657" s="53" t="str">
        <f aca="false">IF(AND($X657&lt;&gt;"",$Y657&lt;&gt;""),$Y657-$X657,"")</f>
        <v/>
      </c>
      <c r="AJ657" s="53" t="str">
        <f aca="false">IF($E657&lt;&gt;"",$E657,"")</f>
        <v/>
      </c>
      <c r="AK657" s="52" t="str">
        <f aca="false">IF($F657&lt;&gt;"",$F657,"")</f>
        <v>Apprenant 645 ou 645'</v>
      </c>
      <c r="AL657" s="53" t="str">
        <f aca="false">IF(AND($AB657&lt;&gt;"",$AC657&lt;&gt;""),$AC657-$AB657,"")</f>
        <v/>
      </c>
      <c r="AM657" s="53" t="str">
        <f aca="false">IF(AND($AB657&lt;&gt;"",$AD657&lt;&gt;""),$AD657-$AB657,"")</f>
        <v/>
      </c>
      <c r="AN657" s="53" t="str">
        <f aca="false">IF(AND($AC657&lt;&gt;"",$AD657&lt;&gt;""),$AD657-$AC657,"")</f>
        <v/>
      </c>
      <c r="AO657" s="53" t="str">
        <f aca="false">IF($J657&lt;&gt;"",$J657,"")</f>
        <v/>
      </c>
      <c r="AQ657" s="52" t="str">
        <f aca="false">IF($A657&lt;&gt;"",$A657,"")</f>
        <v>Apprenant 645</v>
      </c>
      <c r="AR657" s="55" t="str">
        <f aca="false">IF(AND('Choix pédagogiques'!$C$4&lt;&gt;"?",'Choix pédagogiques'!$C$5&lt;&gt;"?",W657&lt;&gt;""),(W657-'Choix pédagogiques'!$C$4)/('Choix pédagogiques'!$C$5-'Choix pédagogiques'!$C$4),"")</f>
        <v/>
      </c>
      <c r="AS657" s="55" t="str">
        <f aca="false">IF(AND('Choix pédagogiques'!$C$4&lt;&gt;"?",'Choix pédagogiques'!$C$5&lt;&gt;"?",X657&lt;&gt;""),(X657-'Choix pédagogiques'!$C$4)/('Choix pédagogiques'!$C$5-'Choix pédagogiques'!$C$4),"")</f>
        <v/>
      </c>
      <c r="AT657" s="55" t="str">
        <f aca="false">IF(AND('Choix pédagogiques'!$C$4&lt;&gt;"?",'Choix pédagogiques'!$C$5&lt;&gt;"?",Y657&lt;&gt;""),(Y657-'Choix pédagogiques'!$C$4)/('Choix pédagogiques'!$C$5-'Choix pédagogiques'!$C$4),"")</f>
        <v/>
      </c>
      <c r="AU657" s="53" t="str">
        <f aca="false">IF($E657&lt;&gt;"",$E657,"")</f>
        <v/>
      </c>
      <c r="AV657" s="52" t="str">
        <f aca="false">IF($F657&lt;&gt;"",$F657,"")</f>
        <v>Apprenant 645 ou 645'</v>
      </c>
      <c r="AW657" s="55" t="str">
        <f aca="false">IF(AND('Choix pédagogiques'!$C$4&lt;&gt;"?",'Choix pédagogiques'!$C$5&lt;&gt;"?",AB657&lt;&gt;""),(AB657-'Choix pédagogiques'!$C$4)/('Choix pédagogiques'!$C$5-'Choix pédagogiques'!$C$4),"")</f>
        <v/>
      </c>
      <c r="AX657" s="55" t="str">
        <f aca="false">IF(AND('Choix pédagogiques'!$C$4&lt;&gt;"?",'Choix pédagogiques'!$C$5&lt;&gt;"?",AC657&lt;&gt;""),(AC657-'Choix pédagogiques'!$C$4)/('Choix pédagogiques'!$C$5-'Choix pédagogiques'!$C$4),"")</f>
        <v/>
      </c>
      <c r="AY657" s="55" t="str">
        <f aca="false">IF(AND('Choix pédagogiques'!$C$4&lt;&gt;"?",'Choix pédagogiques'!$C$5&lt;&gt;"?",AD657&lt;&gt;""),(AD657-'Choix pédagogiques'!$C$4)/('Choix pédagogiques'!$C$5-'Choix pédagogiques'!$C$4),"")</f>
        <v/>
      </c>
      <c r="AZ657" s="53" t="str">
        <f aca="false">IF($J657&lt;&gt;"",$J657,"")</f>
        <v/>
      </c>
      <c r="BA657" s="52" t="str">
        <f aca="false">IF($A657&lt;&gt;"",$A657,"")</f>
        <v>Apprenant 645</v>
      </c>
      <c r="BB657" s="55" t="str">
        <f aca="false">IF(AND($AR657&lt;&gt;"",$AS657&lt;&gt;""),$AS657-$AR657,"")</f>
        <v/>
      </c>
      <c r="BC657" s="55" t="str">
        <f aca="false">IF(AND($AR657&lt;&gt;"",$AT657&lt;&gt;""),$AT657-$AR657,"")</f>
        <v/>
      </c>
      <c r="BD657" s="55" t="str">
        <f aca="false">IF(AND($AS657&lt;&gt;"",$AT657&lt;&gt;""),$AT657-$AS657,"")</f>
        <v/>
      </c>
      <c r="BE657" s="53" t="str">
        <f aca="false">IF($E657&lt;&gt;"",$E657,"")</f>
        <v/>
      </c>
      <c r="BF657" s="52" t="str">
        <f aca="false">IF($F657&lt;&gt;"",$F657,"")</f>
        <v>Apprenant 645 ou 645'</v>
      </c>
      <c r="BG657" s="55" t="str">
        <f aca="false">IF(AND($AW657&lt;&gt;"",$AX657&lt;&gt;""),$AX657-$AW657,"")</f>
        <v/>
      </c>
      <c r="BH657" s="55" t="str">
        <f aca="false">IF(AND($AW657&lt;&gt;"",$AY657&lt;&gt;""),$AY657-$AW657,"")</f>
        <v/>
      </c>
      <c r="BI657" s="55" t="str">
        <f aca="false">IF(AND($AX657&lt;&gt;"",$AY657&lt;&gt;""),$AY657-$AX657,"")</f>
        <v/>
      </c>
      <c r="BJ657" s="53" t="str">
        <f aca="false">IF($J657&lt;&gt;"",$J657,"")</f>
        <v/>
      </c>
      <c r="BL657" s="52"/>
      <c r="BM657" s="52" t="str">
        <f aca="false">IF(OR(COUNT(B657:D1656)=0,AND('Choix pédagogiques'!$C$3&lt;&gt;1,'Choix pédagogiques'!$C$3&lt;&gt;2)),"",IF(AND(OR('Choix pédagogiques'!$C$3=1,'Choix pédagogiques'!$C$3=2),$B657&lt;&gt;"",$C657&lt;&gt;"",$D657&lt;&gt;""),1,0))</f>
        <v/>
      </c>
      <c r="BN657" s="52" t="str">
        <f aca="false">IF(OR(COUNT(G657:I1656)=0,AND('Choix pédagogiques'!$C$3&lt;&gt;1,'Choix pédagogiques'!$C$3&lt;&gt;2)),"",IF(AND(OR('Choix pédagogiques'!$C$3=1,'Choix pédagogiques'!$C$3=2),AND($G657&lt;&gt;"",$H657&lt;&gt;"",$I657&lt;&gt;"")),1,0))</f>
        <v/>
      </c>
      <c r="BO657" s="52" t="str">
        <f aca="false">IF(OR(COUNT(B657:D1656)=0,COUNT(G657:I1656)=0,'Choix pédagogiques'!C$3&lt;&gt;3),"",IF(AND('Choix pédagogiques'!$C$3=3,$B657&lt;&gt;"",$C657&lt;&gt;"",$D657&lt;&gt;"",$G657&lt;&gt;"",$H657&lt;&gt;"",$I657&lt;&gt;""),1,0))</f>
        <v/>
      </c>
      <c r="BR657" s="52" t="n">
        <v>373</v>
      </c>
      <c r="BS657" s="52" t="n">
        <v>1124</v>
      </c>
    </row>
    <row r="658" s="54" customFormat="true" ht="18" hidden="false" customHeight="true" outlineLevel="0" collapsed="false">
      <c r="A658" s="57" t="s">
        <v>1247</v>
      </c>
      <c r="B658" s="51"/>
      <c r="C658" s="51"/>
      <c r="D658" s="51"/>
      <c r="E658" s="51"/>
      <c r="F658" s="57" t="s">
        <v>1248</v>
      </c>
      <c r="G658" s="51"/>
      <c r="H658" s="51"/>
      <c r="I658" s="51"/>
      <c r="J658" s="51"/>
      <c r="K658" s="52" t="str">
        <f aca="false">IF($A658&lt;&gt;"",$A658,"")</f>
        <v>Apprenant 646</v>
      </c>
      <c r="L658" s="53" t="str">
        <f aca="false">IF(AND($B658&lt;&gt;"",$C658&lt;&gt;""),$C658-$B658,"")</f>
        <v/>
      </c>
      <c r="M658" s="53" t="str">
        <f aca="false">IF(AND($B658&lt;&gt;"",$D658&lt;&gt;""),$D658-$B658,"")</f>
        <v/>
      </c>
      <c r="N658" s="53" t="str">
        <f aca="false">IF(AND($C658&lt;&gt;"",$D658&lt;&gt;""),$D658-$C658,"")</f>
        <v/>
      </c>
      <c r="O658" s="53" t="str">
        <f aca="false">IF($E658&lt;&gt;"",$E658,"")</f>
        <v/>
      </c>
      <c r="P658" s="52" t="str">
        <f aca="false">IF($F658&lt;&gt;"",$F658,"")</f>
        <v>Apprenant 646 ou 646'</v>
      </c>
      <c r="Q658" s="53" t="str">
        <f aca="false">IF(AND($G658&lt;&gt;"",$H658&lt;&gt;""),$H658-$G658,"")</f>
        <v/>
      </c>
      <c r="R658" s="53" t="str">
        <f aca="false">IF(AND($G658&lt;&gt;"",$I658&lt;&gt;""),$I658-$G658,"")</f>
        <v/>
      </c>
      <c r="S658" s="53" t="str">
        <f aca="false">IF(AND($H658&lt;&gt;"",$I658&lt;&gt;""),$I658-$H658,"")</f>
        <v/>
      </c>
      <c r="T658" s="53" t="str">
        <f aca="false">IF($J658&lt;&gt;"",$J658,"")</f>
        <v/>
      </c>
      <c r="V658" s="52" t="str">
        <f aca="false">IF($A658&lt;&gt;"",$A658,"")</f>
        <v>Apprenant 646</v>
      </c>
      <c r="W658" s="53" t="str">
        <f aca="false">IF(AND(OR('Choix pédagogiques'!$C$3=1,'Choix pédagogiques'!$C$3=2),$BM658=1),B658,IF(AND('Choix pédagogiques'!$C$3=3,$BO658=1),B658,""))</f>
        <v/>
      </c>
      <c r="X658" s="53" t="str">
        <f aca="false">IF(AND(OR('Choix pédagogiques'!$C$3=1,'Choix pédagogiques'!$C$3=2),$BM658=1),C658,IF(AND('Choix pédagogiques'!$C$3=3,$BO658=1),C658,""))</f>
        <v/>
      </c>
      <c r="Y658" s="53" t="str">
        <f aca="false">IF(AND(OR('Choix pédagogiques'!$C$3=1,'Choix pédagogiques'!$C$3=2),$BM658=1),D658,IF(AND('Choix pédagogiques'!$C$3=3,$BO658=1),D658,""))</f>
        <v/>
      </c>
      <c r="Z658" s="53" t="str">
        <f aca="false">IF($E658&lt;&gt;"",$E658,"")</f>
        <v/>
      </c>
      <c r="AA658" s="52" t="str">
        <f aca="false">IF($F658&lt;&gt;"",$F658,"")</f>
        <v>Apprenant 646 ou 646'</v>
      </c>
      <c r="AB658" s="53" t="str">
        <f aca="false">IF(AND(OR('Choix pédagogiques'!$C$3=1,'Choix pédagogiques'!$C$3=2),$BN658=1),G658,IF(AND('Choix pédagogiques'!$C$3=3,$BO658=1),G658,""))</f>
        <v/>
      </c>
      <c r="AC658" s="53" t="str">
        <f aca="false">IF(AND(OR('Choix pédagogiques'!$C$3=1,'Choix pédagogiques'!$C$3=2),$BN658=1),H658,IF(AND('Choix pédagogiques'!$C$3=3,$BO658=1),H658,""))</f>
        <v/>
      </c>
      <c r="AD658" s="53" t="str">
        <f aca="false">IF(AND(OR('Choix pédagogiques'!$C$3=1,'Choix pédagogiques'!$C$3=2),$BN658=1),I658,IF(AND('Choix pédagogiques'!$C$3=3,$BO658=1),I658,""))</f>
        <v/>
      </c>
      <c r="AE658" s="53" t="str">
        <f aca="false">IF($J658&lt;&gt;"",$J658,"")</f>
        <v/>
      </c>
      <c r="AF658" s="52" t="str">
        <f aca="false">IF($A658&lt;&gt;"",$A658,"")</f>
        <v>Apprenant 646</v>
      </c>
      <c r="AG658" s="53" t="str">
        <f aca="false">IF(AND($W658&lt;&gt;"",$X658&lt;&gt;""),$X658-$W658,"")</f>
        <v/>
      </c>
      <c r="AH658" s="53" t="str">
        <f aca="false">IF(AND($W658&lt;&gt;"",$Y658&lt;&gt;""),$Y658-$W658,"")</f>
        <v/>
      </c>
      <c r="AI658" s="53" t="str">
        <f aca="false">IF(AND($X658&lt;&gt;"",$Y658&lt;&gt;""),$Y658-$X658,"")</f>
        <v/>
      </c>
      <c r="AJ658" s="53" t="str">
        <f aca="false">IF($E658&lt;&gt;"",$E658,"")</f>
        <v/>
      </c>
      <c r="AK658" s="52" t="str">
        <f aca="false">IF($F658&lt;&gt;"",$F658,"")</f>
        <v>Apprenant 646 ou 646'</v>
      </c>
      <c r="AL658" s="53" t="str">
        <f aca="false">IF(AND($AB658&lt;&gt;"",$AC658&lt;&gt;""),$AC658-$AB658,"")</f>
        <v/>
      </c>
      <c r="AM658" s="53" t="str">
        <f aca="false">IF(AND($AB658&lt;&gt;"",$AD658&lt;&gt;""),$AD658-$AB658,"")</f>
        <v/>
      </c>
      <c r="AN658" s="53" t="str">
        <f aca="false">IF(AND($AC658&lt;&gt;"",$AD658&lt;&gt;""),$AD658-$AC658,"")</f>
        <v/>
      </c>
      <c r="AO658" s="53" t="str">
        <f aca="false">IF($J658&lt;&gt;"",$J658,"")</f>
        <v/>
      </c>
      <c r="AQ658" s="52" t="str">
        <f aca="false">IF($A658&lt;&gt;"",$A658,"")</f>
        <v>Apprenant 646</v>
      </c>
      <c r="AR658" s="55" t="str">
        <f aca="false">IF(AND('Choix pédagogiques'!$C$4&lt;&gt;"?",'Choix pédagogiques'!$C$5&lt;&gt;"?",W658&lt;&gt;""),(W658-'Choix pédagogiques'!$C$4)/('Choix pédagogiques'!$C$5-'Choix pédagogiques'!$C$4),"")</f>
        <v/>
      </c>
      <c r="AS658" s="55" t="str">
        <f aca="false">IF(AND('Choix pédagogiques'!$C$4&lt;&gt;"?",'Choix pédagogiques'!$C$5&lt;&gt;"?",X658&lt;&gt;""),(X658-'Choix pédagogiques'!$C$4)/('Choix pédagogiques'!$C$5-'Choix pédagogiques'!$C$4),"")</f>
        <v/>
      </c>
      <c r="AT658" s="55" t="str">
        <f aca="false">IF(AND('Choix pédagogiques'!$C$4&lt;&gt;"?",'Choix pédagogiques'!$C$5&lt;&gt;"?",Y658&lt;&gt;""),(Y658-'Choix pédagogiques'!$C$4)/('Choix pédagogiques'!$C$5-'Choix pédagogiques'!$C$4),"")</f>
        <v/>
      </c>
      <c r="AU658" s="53" t="str">
        <f aca="false">IF($E658&lt;&gt;"",$E658,"")</f>
        <v/>
      </c>
      <c r="AV658" s="52" t="str">
        <f aca="false">IF($F658&lt;&gt;"",$F658,"")</f>
        <v>Apprenant 646 ou 646'</v>
      </c>
      <c r="AW658" s="55" t="str">
        <f aca="false">IF(AND('Choix pédagogiques'!$C$4&lt;&gt;"?",'Choix pédagogiques'!$C$5&lt;&gt;"?",AB658&lt;&gt;""),(AB658-'Choix pédagogiques'!$C$4)/('Choix pédagogiques'!$C$5-'Choix pédagogiques'!$C$4),"")</f>
        <v/>
      </c>
      <c r="AX658" s="55" t="str">
        <f aca="false">IF(AND('Choix pédagogiques'!$C$4&lt;&gt;"?",'Choix pédagogiques'!$C$5&lt;&gt;"?",AC658&lt;&gt;""),(AC658-'Choix pédagogiques'!$C$4)/('Choix pédagogiques'!$C$5-'Choix pédagogiques'!$C$4),"")</f>
        <v/>
      </c>
      <c r="AY658" s="55" t="str">
        <f aca="false">IF(AND('Choix pédagogiques'!$C$4&lt;&gt;"?",'Choix pédagogiques'!$C$5&lt;&gt;"?",AD658&lt;&gt;""),(AD658-'Choix pédagogiques'!$C$4)/('Choix pédagogiques'!$C$5-'Choix pédagogiques'!$C$4),"")</f>
        <v/>
      </c>
      <c r="AZ658" s="53" t="str">
        <f aca="false">IF($J658&lt;&gt;"",$J658,"")</f>
        <v/>
      </c>
      <c r="BA658" s="52" t="str">
        <f aca="false">IF($A658&lt;&gt;"",$A658,"")</f>
        <v>Apprenant 646</v>
      </c>
      <c r="BB658" s="55" t="str">
        <f aca="false">IF(AND($AR658&lt;&gt;"",$AS658&lt;&gt;""),$AS658-$AR658,"")</f>
        <v/>
      </c>
      <c r="BC658" s="55" t="str">
        <f aca="false">IF(AND($AR658&lt;&gt;"",$AT658&lt;&gt;""),$AT658-$AR658,"")</f>
        <v/>
      </c>
      <c r="BD658" s="55" t="str">
        <f aca="false">IF(AND($AS658&lt;&gt;"",$AT658&lt;&gt;""),$AT658-$AS658,"")</f>
        <v/>
      </c>
      <c r="BE658" s="53" t="str">
        <f aca="false">IF($E658&lt;&gt;"",$E658,"")</f>
        <v/>
      </c>
      <c r="BF658" s="52" t="str">
        <f aca="false">IF($F658&lt;&gt;"",$F658,"")</f>
        <v>Apprenant 646 ou 646'</v>
      </c>
      <c r="BG658" s="55" t="str">
        <f aca="false">IF(AND($AW658&lt;&gt;"",$AX658&lt;&gt;""),$AX658-$AW658,"")</f>
        <v/>
      </c>
      <c r="BH658" s="55" t="str">
        <f aca="false">IF(AND($AW658&lt;&gt;"",$AY658&lt;&gt;""),$AY658-$AW658,"")</f>
        <v/>
      </c>
      <c r="BI658" s="55" t="str">
        <f aca="false">IF(AND($AX658&lt;&gt;"",$AY658&lt;&gt;""),$AY658-$AX658,"")</f>
        <v/>
      </c>
      <c r="BJ658" s="53" t="str">
        <f aca="false">IF($J658&lt;&gt;"",$J658,"")</f>
        <v/>
      </c>
      <c r="BL658" s="52"/>
      <c r="BM658" s="52" t="str">
        <f aca="false">IF(OR(COUNT(B658:D1657)=0,AND('Choix pédagogiques'!$C$3&lt;&gt;1,'Choix pédagogiques'!$C$3&lt;&gt;2)),"",IF(AND(OR('Choix pédagogiques'!$C$3=1,'Choix pédagogiques'!$C$3=2),$B658&lt;&gt;"",$C658&lt;&gt;"",$D658&lt;&gt;""),1,0))</f>
        <v/>
      </c>
      <c r="BN658" s="52" t="str">
        <f aca="false">IF(OR(COUNT(G658:I1657)=0,AND('Choix pédagogiques'!$C$3&lt;&gt;1,'Choix pédagogiques'!$C$3&lt;&gt;2)),"",IF(AND(OR('Choix pédagogiques'!$C$3=1,'Choix pédagogiques'!$C$3=2),AND($G658&lt;&gt;"",$H658&lt;&gt;"",$I658&lt;&gt;"")),1,0))</f>
        <v/>
      </c>
      <c r="BO658" s="52" t="str">
        <f aca="false">IF(OR(COUNT(B658:D1657)=0,COUNT(G658:I1657)=0,'Choix pédagogiques'!C$3&lt;&gt;3),"",IF(AND('Choix pédagogiques'!$C$3=3,$B658&lt;&gt;"",$C658&lt;&gt;"",$D658&lt;&gt;"",$G658&lt;&gt;"",$H658&lt;&gt;"",$I658&lt;&gt;""),1,0))</f>
        <v/>
      </c>
      <c r="BR658" s="52" t="n">
        <v>959</v>
      </c>
      <c r="BS658" s="52" t="n">
        <v>1266</v>
      </c>
    </row>
    <row r="659" s="54" customFormat="true" ht="18" hidden="false" customHeight="true" outlineLevel="0" collapsed="false">
      <c r="A659" s="57" t="s">
        <v>1249</v>
      </c>
      <c r="B659" s="51"/>
      <c r="C659" s="51"/>
      <c r="D659" s="51"/>
      <c r="E659" s="51"/>
      <c r="F659" s="57" t="s">
        <v>1250</v>
      </c>
      <c r="G659" s="51"/>
      <c r="H659" s="51"/>
      <c r="I659" s="51"/>
      <c r="J659" s="51"/>
      <c r="K659" s="52" t="str">
        <f aca="false">IF($A659&lt;&gt;"",$A659,"")</f>
        <v>Apprenant 647</v>
      </c>
      <c r="L659" s="53" t="str">
        <f aca="false">IF(AND($B659&lt;&gt;"",$C659&lt;&gt;""),$C659-$B659,"")</f>
        <v/>
      </c>
      <c r="M659" s="53" t="str">
        <f aca="false">IF(AND($B659&lt;&gt;"",$D659&lt;&gt;""),$D659-$B659,"")</f>
        <v/>
      </c>
      <c r="N659" s="53" t="str">
        <f aca="false">IF(AND($C659&lt;&gt;"",$D659&lt;&gt;""),$D659-$C659,"")</f>
        <v/>
      </c>
      <c r="O659" s="53" t="str">
        <f aca="false">IF($E659&lt;&gt;"",$E659,"")</f>
        <v/>
      </c>
      <c r="P659" s="52" t="str">
        <f aca="false">IF($F659&lt;&gt;"",$F659,"")</f>
        <v>Apprenant 647 ou 647'</v>
      </c>
      <c r="Q659" s="53" t="str">
        <f aca="false">IF(AND($G659&lt;&gt;"",$H659&lt;&gt;""),$H659-$G659,"")</f>
        <v/>
      </c>
      <c r="R659" s="53" t="str">
        <f aca="false">IF(AND($G659&lt;&gt;"",$I659&lt;&gt;""),$I659-$G659,"")</f>
        <v/>
      </c>
      <c r="S659" s="53" t="str">
        <f aca="false">IF(AND($H659&lt;&gt;"",$I659&lt;&gt;""),$I659-$H659,"")</f>
        <v/>
      </c>
      <c r="T659" s="53" t="str">
        <f aca="false">IF($J659&lt;&gt;"",$J659,"")</f>
        <v/>
      </c>
      <c r="V659" s="52" t="str">
        <f aca="false">IF($A659&lt;&gt;"",$A659,"")</f>
        <v>Apprenant 647</v>
      </c>
      <c r="W659" s="53" t="str">
        <f aca="false">IF(AND(OR('Choix pédagogiques'!$C$3=1,'Choix pédagogiques'!$C$3=2),$BM659=1),B659,IF(AND('Choix pédagogiques'!$C$3=3,$BO659=1),B659,""))</f>
        <v/>
      </c>
      <c r="X659" s="53" t="str">
        <f aca="false">IF(AND(OR('Choix pédagogiques'!$C$3=1,'Choix pédagogiques'!$C$3=2),$BM659=1),C659,IF(AND('Choix pédagogiques'!$C$3=3,$BO659=1),C659,""))</f>
        <v/>
      </c>
      <c r="Y659" s="53" t="str">
        <f aca="false">IF(AND(OR('Choix pédagogiques'!$C$3=1,'Choix pédagogiques'!$C$3=2),$BM659=1),D659,IF(AND('Choix pédagogiques'!$C$3=3,$BO659=1),D659,""))</f>
        <v/>
      </c>
      <c r="Z659" s="53" t="str">
        <f aca="false">IF($E659&lt;&gt;"",$E659,"")</f>
        <v/>
      </c>
      <c r="AA659" s="52" t="str">
        <f aca="false">IF($F659&lt;&gt;"",$F659,"")</f>
        <v>Apprenant 647 ou 647'</v>
      </c>
      <c r="AB659" s="53" t="str">
        <f aca="false">IF(AND(OR('Choix pédagogiques'!$C$3=1,'Choix pédagogiques'!$C$3=2),$BN659=1),G659,IF(AND('Choix pédagogiques'!$C$3=3,$BO659=1),G659,""))</f>
        <v/>
      </c>
      <c r="AC659" s="53" t="str">
        <f aca="false">IF(AND(OR('Choix pédagogiques'!$C$3=1,'Choix pédagogiques'!$C$3=2),$BN659=1),H659,IF(AND('Choix pédagogiques'!$C$3=3,$BO659=1),H659,""))</f>
        <v/>
      </c>
      <c r="AD659" s="53" t="str">
        <f aca="false">IF(AND(OR('Choix pédagogiques'!$C$3=1,'Choix pédagogiques'!$C$3=2),$BN659=1),I659,IF(AND('Choix pédagogiques'!$C$3=3,$BO659=1),I659,""))</f>
        <v/>
      </c>
      <c r="AE659" s="53" t="str">
        <f aca="false">IF($J659&lt;&gt;"",$J659,"")</f>
        <v/>
      </c>
      <c r="AF659" s="52" t="str">
        <f aca="false">IF($A659&lt;&gt;"",$A659,"")</f>
        <v>Apprenant 647</v>
      </c>
      <c r="AG659" s="53" t="str">
        <f aca="false">IF(AND($W659&lt;&gt;"",$X659&lt;&gt;""),$X659-$W659,"")</f>
        <v/>
      </c>
      <c r="AH659" s="53" t="str">
        <f aca="false">IF(AND($W659&lt;&gt;"",$Y659&lt;&gt;""),$Y659-$W659,"")</f>
        <v/>
      </c>
      <c r="AI659" s="53" t="str">
        <f aca="false">IF(AND($X659&lt;&gt;"",$Y659&lt;&gt;""),$Y659-$X659,"")</f>
        <v/>
      </c>
      <c r="AJ659" s="53" t="str">
        <f aca="false">IF($E659&lt;&gt;"",$E659,"")</f>
        <v/>
      </c>
      <c r="AK659" s="52" t="str">
        <f aca="false">IF($F659&lt;&gt;"",$F659,"")</f>
        <v>Apprenant 647 ou 647'</v>
      </c>
      <c r="AL659" s="53" t="str">
        <f aca="false">IF(AND($AB659&lt;&gt;"",$AC659&lt;&gt;""),$AC659-$AB659,"")</f>
        <v/>
      </c>
      <c r="AM659" s="53" t="str">
        <f aca="false">IF(AND($AB659&lt;&gt;"",$AD659&lt;&gt;""),$AD659-$AB659,"")</f>
        <v/>
      </c>
      <c r="AN659" s="53" t="str">
        <f aca="false">IF(AND($AC659&lt;&gt;"",$AD659&lt;&gt;""),$AD659-$AC659,"")</f>
        <v/>
      </c>
      <c r="AO659" s="53" t="str">
        <f aca="false">IF($J659&lt;&gt;"",$J659,"")</f>
        <v/>
      </c>
      <c r="AQ659" s="52" t="str">
        <f aca="false">IF($A659&lt;&gt;"",$A659,"")</f>
        <v>Apprenant 647</v>
      </c>
      <c r="AR659" s="55" t="str">
        <f aca="false">IF(AND('Choix pédagogiques'!$C$4&lt;&gt;"?",'Choix pédagogiques'!$C$5&lt;&gt;"?",W659&lt;&gt;""),(W659-'Choix pédagogiques'!$C$4)/('Choix pédagogiques'!$C$5-'Choix pédagogiques'!$C$4),"")</f>
        <v/>
      </c>
      <c r="AS659" s="55" t="str">
        <f aca="false">IF(AND('Choix pédagogiques'!$C$4&lt;&gt;"?",'Choix pédagogiques'!$C$5&lt;&gt;"?",X659&lt;&gt;""),(X659-'Choix pédagogiques'!$C$4)/('Choix pédagogiques'!$C$5-'Choix pédagogiques'!$C$4),"")</f>
        <v/>
      </c>
      <c r="AT659" s="55" t="str">
        <f aca="false">IF(AND('Choix pédagogiques'!$C$4&lt;&gt;"?",'Choix pédagogiques'!$C$5&lt;&gt;"?",Y659&lt;&gt;""),(Y659-'Choix pédagogiques'!$C$4)/('Choix pédagogiques'!$C$5-'Choix pédagogiques'!$C$4),"")</f>
        <v/>
      </c>
      <c r="AU659" s="53" t="str">
        <f aca="false">IF($E659&lt;&gt;"",$E659,"")</f>
        <v/>
      </c>
      <c r="AV659" s="52" t="str">
        <f aca="false">IF($F659&lt;&gt;"",$F659,"")</f>
        <v>Apprenant 647 ou 647'</v>
      </c>
      <c r="AW659" s="55" t="str">
        <f aca="false">IF(AND('Choix pédagogiques'!$C$4&lt;&gt;"?",'Choix pédagogiques'!$C$5&lt;&gt;"?",AB659&lt;&gt;""),(AB659-'Choix pédagogiques'!$C$4)/('Choix pédagogiques'!$C$5-'Choix pédagogiques'!$C$4),"")</f>
        <v/>
      </c>
      <c r="AX659" s="55" t="str">
        <f aca="false">IF(AND('Choix pédagogiques'!$C$4&lt;&gt;"?",'Choix pédagogiques'!$C$5&lt;&gt;"?",AC659&lt;&gt;""),(AC659-'Choix pédagogiques'!$C$4)/('Choix pédagogiques'!$C$5-'Choix pédagogiques'!$C$4),"")</f>
        <v/>
      </c>
      <c r="AY659" s="55" t="str">
        <f aca="false">IF(AND('Choix pédagogiques'!$C$4&lt;&gt;"?",'Choix pédagogiques'!$C$5&lt;&gt;"?",AD659&lt;&gt;""),(AD659-'Choix pédagogiques'!$C$4)/('Choix pédagogiques'!$C$5-'Choix pédagogiques'!$C$4),"")</f>
        <v/>
      </c>
      <c r="AZ659" s="53" t="str">
        <f aca="false">IF($J659&lt;&gt;"",$J659,"")</f>
        <v/>
      </c>
      <c r="BA659" s="52" t="str">
        <f aca="false">IF($A659&lt;&gt;"",$A659,"")</f>
        <v>Apprenant 647</v>
      </c>
      <c r="BB659" s="55" t="str">
        <f aca="false">IF(AND($AR659&lt;&gt;"",$AS659&lt;&gt;""),$AS659-$AR659,"")</f>
        <v/>
      </c>
      <c r="BC659" s="55" t="str">
        <f aca="false">IF(AND($AR659&lt;&gt;"",$AT659&lt;&gt;""),$AT659-$AR659,"")</f>
        <v/>
      </c>
      <c r="BD659" s="55" t="str">
        <f aca="false">IF(AND($AS659&lt;&gt;"",$AT659&lt;&gt;""),$AT659-$AS659,"")</f>
        <v/>
      </c>
      <c r="BE659" s="53" t="str">
        <f aca="false">IF($E659&lt;&gt;"",$E659,"")</f>
        <v/>
      </c>
      <c r="BF659" s="52" t="str">
        <f aca="false">IF($F659&lt;&gt;"",$F659,"")</f>
        <v>Apprenant 647 ou 647'</v>
      </c>
      <c r="BG659" s="55" t="str">
        <f aca="false">IF(AND($AW659&lt;&gt;"",$AX659&lt;&gt;""),$AX659-$AW659,"")</f>
        <v/>
      </c>
      <c r="BH659" s="55" t="str">
        <f aca="false">IF(AND($AW659&lt;&gt;"",$AY659&lt;&gt;""),$AY659-$AW659,"")</f>
        <v/>
      </c>
      <c r="BI659" s="55" t="str">
        <f aca="false">IF(AND($AX659&lt;&gt;"",$AY659&lt;&gt;""),$AY659-$AX659,"")</f>
        <v/>
      </c>
      <c r="BJ659" s="53" t="str">
        <f aca="false">IF($J659&lt;&gt;"",$J659,"")</f>
        <v/>
      </c>
      <c r="BL659" s="52"/>
      <c r="BM659" s="52" t="str">
        <f aca="false">IF(OR(COUNT(B659:D1658)=0,AND('Choix pédagogiques'!$C$3&lt;&gt;1,'Choix pédagogiques'!$C$3&lt;&gt;2)),"",IF(AND(OR('Choix pédagogiques'!$C$3=1,'Choix pédagogiques'!$C$3=2),$B659&lt;&gt;"",$C659&lt;&gt;"",$D659&lt;&gt;""),1,0))</f>
        <v/>
      </c>
      <c r="BN659" s="52" t="str">
        <f aca="false">IF(OR(COUNT(G659:I1658)=0,AND('Choix pédagogiques'!$C$3&lt;&gt;1,'Choix pédagogiques'!$C$3&lt;&gt;2)),"",IF(AND(OR('Choix pédagogiques'!$C$3=1,'Choix pédagogiques'!$C$3=2),AND($G659&lt;&gt;"",$H659&lt;&gt;"",$I659&lt;&gt;"")),1,0))</f>
        <v/>
      </c>
      <c r="BO659" s="52" t="str">
        <f aca="false">IF(OR(COUNT(B659:D1658)=0,COUNT(G659:I1658)=0,'Choix pédagogiques'!C$3&lt;&gt;3),"",IF(AND('Choix pédagogiques'!$C$3=3,$B659&lt;&gt;"",$C659&lt;&gt;"",$D659&lt;&gt;"",$G659&lt;&gt;"",$H659&lt;&gt;"",$I659&lt;&gt;""),1,0))</f>
        <v/>
      </c>
      <c r="BR659" s="52" t="n">
        <v>695</v>
      </c>
      <c r="BS659" s="52" t="n">
        <v>1334</v>
      </c>
    </row>
    <row r="660" s="54" customFormat="true" ht="18" hidden="false" customHeight="true" outlineLevel="0" collapsed="false">
      <c r="A660" s="57" t="s">
        <v>1251</v>
      </c>
      <c r="B660" s="51"/>
      <c r="C660" s="51"/>
      <c r="D660" s="51"/>
      <c r="E660" s="51"/>
      <c r="F660" s="57" t="s">
        <v>1252</v>
      </c>
      <c r="G660" s="51"/>
      <c r="H660" s="51"/>
      <c r="I660" s="51"/>
      <c r="J660" s="51"/>
      <c r="K660" s="52" t="str">
        <f aca="false">IF($A660&lt;&gt;"",$A660,"")</f>
        <v>Apprenant 648</v>
      </c>
      <c r="L660" s="53" t="str">
        <f aca="false">IF(AND($B660&lt;&gt;"",$C660&lt;&gt;""),$C660-$B660,"")</f>
        <v/>
      </c>
      <c r="M660" s="53" t="str">
        <f aca="false">IF(AND($B660&lt;&gt;"",$D660&lt;&gt;""),$D660-$B660,"")</f>
        <v/>
      </c>
      <c r="N660" s="53" t="str">
        <f aca="false">IF(AND($C660&lt;&gt;"",$D660&lt;&gt;""),$D660-$C660,"")</f>
        <v/>
      </c>
      <c r="O660" s="53" t="str">
        <f aca="false">IF($E660&lt;&gt;"",$E660,"")</f>
        <v/>
      </c>
      <c r="P660" s="52" t="str">
        <f aca="false">IF($F660&lt;&gt;"",$F660,"")</f>
        <v>Apprenant 648 ou 648'</v>
      </c>
      <c r="Q660" s="53" t="str">
        <f aca="false">IF(AND($G660&lt;&gt;"",$H660&lt;&gt;""),$H660-$G660,"")</f>
        <v/>
      </c>
      <c r="R660" s="53" t="str">
        <f aca="false">IF(AND($G660&lt;&gt;"",$I660&lt;&gt;""),$I660-$G660,"")</f>
        <v/>
      </c>
      <c r="S660" s="53" t="str">
        <f aca="false">IF(AND($H660&lt;&gt;"",$I660&lt;&gt;""),$I660-$H660,"")</f>
        <v/>
      </c>
      <c r="T660" s="53" t="str">
        <f aca="false">IF($J660&lt;&gt;"",$J660,"")</f>
        <v/>
      </c>
      <c r="V660" s="52" t="str">
        <f aca="false">IF($A660&lt;&gt;"",$A660,"")</f>
        <v>Apprenant 648</v>
      </c>
      <c r="W660" s="53" t="str">
        <f aca="false">IF(AND(OR('Choix pédagogiques'!$C$3=1,'Choix pédagogiques'!$C$3=2),$BM660=1),B660,IF(AND('Choix pédagogiques'!$C$3=3,$BO660=1),B660,""))</f>
        <v/>
      </c>
      <c r="X660" s="53" t="str">
        <f aca="false">IF(AND(OR('Choix pédagogiques'!$C$3=1,'Choix pédagogiques'!$C$3=2),$BM660=1),C660,IF(AND('Choix pédagogiques'!$C$3=3,$BO660=1),C660,""))</f>
        <v/>
      </c>
      <c r="Y660" s="53" t="str">
        <f aca="false">IF(AND(OR('Choix pédagogiques'!$C$3=1,'Choix pédagogiques'!$C$3=2),$BM660=1),D660,IF(AND('Choix pédagogiques'!$C$3=3,$BO660=1),D660,""))</f>
        <v/>
      </c>
      <c r="Z660" s="53" t="str">
        <f aca="false">IF($E660&lt;&gt;"",$E660,"")</f>
        <v/>
      </c>
      <c r="AA660" s="52" t="str">
        <f aca="false">IF($F660&lt;&gt;"",$F660,"")</f>
        <v>Apprenant 648 ou 648'</v>
      </c>
      <c r="AB660" s="53" t="str">
        <f aca="false">IF(AND(OR('Choix pédagogiques'!$C$3=1,'Choix pédagogiques'!$C$3=2),$BN660=1),G660,IF(AND('Choix pédagogiques'!$C$3=3,$BO660=1),G660,""))</f>
        <v/>
      </c>
      <c r="AC660" s="53" t="str">
        <f aca="false">IF(AND(OR('Choix pédagogiques'!$C$3=1,'Choix pédagogiques'!$C$3=2),$BN660=1),H660,IF(AND('Choix pédagogiques'!$C$3=3,$BO660=1),H660,""))</f>
        <v/>
      </c>
      <c r="AD660" s="53" t="str">
        <f aca="false">IF(AND(OR('Choix pédagogiques'!$C$3=1,'Choix pédagogiques'!$C$3=2),$BN660=1),I660,IF(AND('Choix pédagogiques'!$C$3=3,$BO660=1),I660,""))</f>
        <v/>
      </c>
      <c r="AE660" s="53" t="str">
        <f aca="false">IF($J660&lt;&gt;"",$J660,"")</f>
        <v/>
      </c>
      <c r="AF660" s="52" t="str">
        <f aca="false">IF($A660&lt;&gt;"",$A660,"")</f>
        <v>Apprenant 648</v>
      </c>
      <c r="AG660" s="53" t="str">
        <f aca="false">IF(AND($W660&lt;&gt;"",$X660&lt;&gt;""),$X660-$W660,"")</f>
        <v/>
      </c>
      <c r="AH660" s="53" t="str">
        <f aca="false">IF(AND($W660&lt;&gt;"",$Y660&lt;&gt;""),$Y660-$W660,"")</f>
        <v/>
      </c>
      <c r="AI660" s="53" t="str">
        <f aca="false">IF(AND($X660&lt;&gt;"",$Y660&lt;&gt;""),$Y660-$X660,"")</f>
        <v/>
      </c>
      <c r="AJ660" s="53" t="str">
        <f aca="false">IF($E660&lt;&gt;"",$E660,"")</f>
        <v/>
      </c>
      <c r="AK660" s="52" t="str">
        <f aca="false">IF($F660&lt;&gt;"",$F660,"")</f>
        <v>Apprenant 648 ou 648'</v>
      </c>
      <c r="AL660" s="53" t="str">
        <f aca="false">IF(AND($AB660&lt;&gt;"",$AC660&lt;&gt;""),$AC660-$AB660,"")</f>
        <v/>
      </c>
      <c r="AM660" s="53" t="str">
        <f aca="false">IF(AND($AB660&lt;&gt;"",$AD660&lt;&gt;""),$AD660-$AB660,"")</f>
        <v/>
      </c>
      <c r="AN660" s="53" t="str">
        <f aca="false">IF(AND($AC660&lt;&gt;"",$AD660&lt;&gt;""),$AD660-$AC660,"")</f>
        <v/>
      </c>
      <c r="AO660" s="53" t="str">
        <f aca="false">IF($J660&lt;&gt;"",$J660,"")</f>
        <v/>
      </c>
      <c r="AQ660" s="52" t="str">
        <f aca="false">IF($A660&lt;&gt;"",$A660,"")</f>
        <v>Apprenant 648</v>
      </c>
      <c r="AR660" s="55" t="str">
        <f aca="false">IF(AND('Choix pédagogiques'!$C$4&lt;&gt;"?",'Choix pédagogiques'!$C$5&lt;&gt;"?",W660&lt;&gt;""),(W660-'Choix pédagogiques'!$C$4)/('Choix pédagogiques'!$C$5-'Choix pédagogiques'!$C$4),"")</f>
        <v/>
      </c>
      <c r="AS660" s="55" t="str">
        <f aca="false">IF(AND('Choix pédagogiques'!$C$4&lt;&gt;"?",'Choix pédagogiques'!$C$5&lt;&gt;"?",X660&lt;&gt;""),(X660-'Choix pédagogiques'!$C$4)/('Choix pédagogiques'!$C$5-'Choix pédagogiques'!$C$4),"")</f>
        <v/>
      </c>
      <c r="AT660" s="55" t="str">
        <f aca="false">IF(AND('Choix pédagogiques'!$C$4&lt;&gt;"?",'Choix pédagogiques'!$C$5&lt;&gt;"?",Y660&lt;&gt;""),(Y660-'Choix pédagogiques'!$C$4)/('Choix pédagogiques'!$C$5-'Choix pédagogiques'!$C$4),"")</f>
        <v/>
      </c>
      <c r="AU660" s="53" t="str">
        <f aca="false">IF($E660&lt;&gt;"",$E660,"")</f>
        <v/>
      </c>
      <c r="AV660" s="52" t="str">
        <f aca="false">IF($F660&lt;&gt;"",$F660,"")</f>
        <v>Apprenant 648 ou 648'</v>
      </c>
      <c r="AW660" s="55" t="str">
        <f aca="false">IF(AND('Choix pédagogiques'!$C$4&lt;&gt;"?",'Choix pédagogiques'!$C$5&lt;&gt;"?",AB660&lt;&gt;""),(AB660-'Choix pédagogiques'!$C$4)/('Choix pédagogiques'!$C$5-'Choix pédagogiques'!$C$4),"")</f>
        <v/>
      </c>
      <c r="AX660" s="55" t="str">
        <f aca="false">IF(AND('Choix pédagogiques'!$C$4&lt;&gt;"?",'Choix pédagogiques'!$C$5&lt;&gt;"?",AC660&lt;&gt;""),(AC660-'Choix pédagogiques'!$C$4)/('Choix pédagogiques'!$C$5-'Choix pédagogiques'!$C$4),"")</f>
        <v/>
      </c>
      <c r="AY660" s="55" t="str">
        <f aca="false">IF(AND('Choix pédagogiques'!$C$4&lt;&gt;"?",'Choix pédagogiques'!$C$5&lt;&gt;"?",AD660&lt;&gt;""),(AD660-'Choix pédagogiques'!$C$4)/('Choix pédagogiques'!$C$5-'Choix pédagogiques'!$C$4),"")</f>
        <v/>
      </c>
      <c r="AZ660" s="53" t="str">
        <f aca="false">IF($J660&lt;&gt;"",$J660,"")</f>
        <v/>
      </c>
      <c r="BA660" s="52" t="str">
        <f aca="false">IF($A660&lt;&gt;"",$A660,"")</f>
        <v>Apprenant 648</v>
      </c>
      <c r="BB660" s="55" t="str">
        <f aca="false">IF(AND($AR660&lt;&gt;"",$AS660&lt;&gt;""),$AS660-$AR660,"")</f>
        <v/>
      </c>
      <c r="BC660" s="55" t="str">
        <f aca="false">IF(AND($AR660&lt;&gt;"",$AT660&lt;&gt;""),$AT660-$AR660,"")</f>
        <v/>
      </c>
      <c r="BD660" s="55" t="str">
        <f aca="false">IF(AND($AS660&lt;&gt;"",$AT660&lt;&gt;""),$AT660-$AS660,"")</f>
        <v/>
      </c>
      <c r="BE660" s="53" t="str">
        <f aca="false">IF($E660&lt;&gt;"",$E660,"")</f>
        <v/>
      </c>
      <c r="BF660" s="52" t="str">
        <f aca="false">IF($F660&lt;&gt;"",$F660,"")</f>
        <v>Apprenant 648 ou 648'</v>
      </c>
      <c r="BG660" s="55" t="str">
        <f aca="false">IF(AND($AW660&lt;&gt;"",$AX660&lt;&gt;""),$AX660-$AW660,"")</f>
        <v/>
      </c>
      <c r="BH660" s="55" t="str">
        <f aca="false">IF(AND($AW660&lt;&gt;"",$AY660&lt;&gt;""),$AY660-$AW660,"")</f>
        <v/>
      </c>
      <c r="BI660" s="55" t="str">
        <f aca="false">IF(AND($AX660&lt;&gt;"",$AY660&lt;&gt;""),$AY660-$AX660,"")</f>
        <v/>
      </c>
      <c r="BJ660" s="53" t="str">
        <f aca="false">IF($J660&lt;&gt;"",$J660,"")</f>
        <v/>
      </c>
      <c r="BL660" s="52"/>
      <c r="BM660" s="52" t="str">
        <f aca="false">IF(OR(COUNT(B660:D1659)=0,AND('Choix pédagogiques'!$C$3&lt;&gt;1,'Choix pédagogiques'!$C$3&lt;&gt;2)),"",IF(AND(OR('Choix pédagogiques'!$C$3=1,'Choix pédagogiques'!$C$3=2),$B660&lt;&gt;"",$C660&lt;&gt;"",$D660&lt;&gt;""),1,0))</f>
        <v/>
      </c>
      <c r="BN660" s="52" t="str">
        <f aca="false">IF(OR(COUNT(G660:I1659)=0,AND('Choix pédagogiques'!$C$3&lt;&gt;1,'Choix pédagogiques'!$C$3&lt;&gt;2)),"",IF(AND(OR('Choix pédagogiques'!$C$3=1,'Choix pédagogiques'!$C$3=2),AND($G660&lt;&gt;"",$H660&lt;&gt;"",$I660&lt;&gt;"")),1,0))</f>
        <v/>
      </c>
      <c r="BO660" s="52" t="str">
        <f aca="false">IF(OR(COUNT(B660:D1659)=0,COUNT(G660:I1659)=0,'Choix pédagogiques'!C$3&lt;&gt;3),"",IF(AND('Choix pédagogiques'!$C$3=3,$B660&lt;&gt;"",$C660&lt;&gt;"",$D660&lt;&gt;"",$G660&lt;&gt;"",$H660&lt;&gt;"",$I660&lt;&gt;""),1,0))</f>
        <v/>
      </c>
      <c r="BR660" s="52" t="n">
        <v>653</v>
      </c>
      <c r="BS660" s="52" t="n">
        <v>1032</v>
      </c>
    </row>
    <row r="661" s="54" customFormat="true" ht="18" hidden="false" customHeight="true" outlineLevel="0" collapsed="false">
      <c r="A661" s="57" t="s">
        <v>1253</v>
      </c>
      <c r="B661" s="51"/>
      <c r="C661" s="51"/>
      <c r="D661" s="51"/>
      <c r="E661" s="51"/>
      <c r="F661" s="57" t="s">
        <v>1254</v>
      </c>
      <c r="G661" s="51"/>
      <c r="H661" s="51"/>
      <c r="I661" s="51"/>
      <c r="J661" s="51"/>
      <c r="K661" s="52" t="str">
        <f aca="false">IF($A661&lt;&gt;"",$A661,"")</f>
        <v>Apprenant 649</v>
      </c>
      <c r="L661" s="53" t="str">
        <f aca="false">IF(AND($B661&lt;&gt;"",$C661&lt;&gt;""),$C661-$B661,"")</f>
        <v/>
      </c>
      <c r="M661" s="53" t="str">
        <f aca="false">IF(AND($B661&lt;&gt;"",$D661&lt;&gt;""),$D661-$B661,"")</f>
        <v/>
      </c>
      <c r="N661" s="53" t="str">
        <f aca="false">IF(AND($C661&lt;&gt;"",$D661&lt;&gt;""),$D661-$C661,"")</f>
        <v/>
      </c>
      <c r="O661" s="53" t="str">
        <f aca="false">IF($E661&lt;&gt;"",$E661,"")</f>
        <v/>
      </c>
      <c r="P661" s="52" t="str">
        <f aca="false">IF($F661&lt;&gt;"",$F661,"")</f>
        <v>Apprenant 649 ou 649'</v>
      </c>
      <c r="Q661" s="53" t="str">
        <f aca="false">IF(AND($G661&lt;&gt;"",$H661&lt;&gt;""),$H661-$G661,"")</f>
        <v/>
      </c>
      <c r="R661" s="53" t="str">
        <f aca="false">IF(AND($G661&lt;&gt;"",$I661&lt;&gt;""),$I661-$G661,"")</f>
        <v/>
      </c>
      <c r="S661" s="53" t="str">
        <f aca="false">IF(AND($H661&lt;&gt;"",$I661&lt;&gt;""),$I661-$H661,"")</f>
        <v/>
      </c>
      <c r="T661" s="53" t="str">
        <f aca="false">IF($J661&lt;&gt;"",$J661,"")</f>
        <v/>
      </c>
      <c r="V661" s="52" t="str">
        <f aca="false">IF($A661&lt;&gt;"",$A661,"")</f>
        <v>Apprenant 649</v>
      </c>
      <c r="W661" s="53" t="str">
        <f aca="false">IF(AND(OR('Choix pédagogiques'!$C$3=1,'Choix pédagogiques'!$C$3=2),$BM661=1),B661,IF(AND('Choix pédagogiques'!$C$3=3,$BO661=1),B661,""))</f>
        <v/>
      </c>
      <c r="X661" s="53" t="str">
        <f aca="false">IF(AND(OR('Choix pédagogiques'!$C$3=1,'Choix pédagogiques'!$C$3=2),$BM661=1),C661,IF(AND('Choix pédagogiques'!$C$3=3,$BO661=1),C661,""))</f>
        <v/>
      </c>
      <c r="Y661" s="53" t="str">
        <f aca="false">IF(AND(OR('Choix pédagogiques'!$C$3=1,'Choix pédagogiques'!$C$3=2),$BM661=1),D661,IF(AND('Choix pédagogiques'!$C$3=3,$BO661=1),D661,""))</f>
        <v/>
      </c>
      <c r="Z661" s="53" t="str">
        <f aca="false">IF($E661&lt;&gt;"",$E661,"")</f>
        <v/>
      </c>
      <c r="AA661" s="52" t="str">
        <f aca="false">IF($F661&lt;&gt;"",$F661,"")</f>
        <v>Apprenant 649 ou 649'</v>
      </c>
      <c r="AB661" s="53" t="str">
        <f aca="false">IF(AND(OR('Choix pédagogiques'!$C$3=1,'Choix pédagogiques'!$C$3=2),$BN661=1),G661,IF(AND('Choix pédagogiques'!$C$3=3,$BO661=1),G661,""))</f>
        <v/>
      </c>
      <c r="AC661" s="53" t="str">
        <f aca="false">IF(AND(OR('Choix pédagogiques'!$C$3=1,'Choix pédagogiques'!$C$3=2),$BN661=1),H661,IF(AND('Choix pédagogiques'!$C$3=3,$BO661=1),H661,""))</f>
        <v/>
      </c>
      <c r="AD661" s="53" t="str">
        <f aca="false">IF(AND(OR('Choix pédagogiques'!$C$3=1,'Choix pédagogiques'!$C$3=2),$BN661=1),I661,IF(AND('Choix pédagogiques'!$C$3=3,$BO661=1),I661,""))</f>
        <v/>
      </c>
      <c r="AE661" s="53" t="str">
        <f aca="false">IF($J661&lt;&gt;"",$J661,"")</f>
        <v/>
      </c>
      <c r="AF661" s="52" t="str">
        <f aca="false">IF($A661&lt;&gt;"",$A661,"")</f>
        <v>Apprenant 649</v>
      </c>
      <c r="AG661" s="53" t="str">
        <f aca="false">IF(AND($W661&lt;&gt;"",$X661&lt;&gt;""),$X661-$W661,"")</f>
        <v/>
      </c>
      <c r="AH661" s="53" t="str">
        <f aca="false">IF(AND($W661&lt;&gt;"",$Y661&lt;&gt;""),$Y661-$W661,"")</f>
        <v/>
      </c>
      <c r="AI661" s="53" t="str">
        <f aca="false">IF(AND($X661&lt;&gt;"",$Y661&lt;&gt;""),$Y661-$X661,"")</f>
        <v/>
      </c>
      <c r="AJ661" s="53" t="str">
        <f aca="false">IF($E661&lt;&gt;"",$E661,"")</f>
        <v/>
      </c>
      <c r="AK661" s="52" t="str">
        <f aca="false">IF($F661&lt;&gt;"",$F661,"")</f>
        <v>Apprenant 649 ou 649'</v>
      </c>
      <c r="AL661" s="53" t="str">
        <f aca="false">IF(AND($AB661&lt;&gt;"",$AC661&lt;&gt;""),$AC661-$AB661,"")</f>
        <v/>
      </c>
      <c r="AM661" s="53" t="str">
        <f aca="false">IF(AND($AB661&lt;&gt;"",$AD661&lt;&gt;""),$AD661-$AB661,"")</f>
        <v/>
      </c>
      <c r="AN661" s="53" t="str">
        <f aca="false">IF(AND($AC661&lt;&gt;"",$AD661&lt;&gt;""),$AD661-$AC661,"")</f>
        <v/>
      </c>
      <c r="AO661" s="53" t="str">
        <f aca="false">IF($J661&lt;&gt;"",$J661,"")</f>
        <v/>
      </c>
      <c r="AQ661" s="52" t="str">
        <f aca="false">IF($A661&lt;&gt;"",$A661,"")</f>
        <v>Apprenant 649</v>
      </c>
      <c r="AR661" s="55" t="str">
        <f aca="false">IF(AND('Choix pédagogiques'!$C$4&lt;&gt;"?",'Choix pédagogiques'!$C$5&lt;&gt;"?",W661&lt;&gt;""),(W661-'Choix pédagogiques'!$C$4)/('Choix pédagogiques'!$C$5-'Choix pédagogiques'!$C$4),"")</f>
        <v/>
      </c>
      <c r="AS661" s="55" t="str">
        <f aca="false">IF(AND('Choix pédagogiques'!$C$4&lt;&gt;"?",'Choix pédagogiques'!$C$5&lt;&gt;"?",X661&lt;&gt;""),(X661-'Choix pédagogiques'!$C$4)/('Choix pédagogiques'!$C$5-'Choix pédagogiques'!$C$4),"")</f>
        <v/>
      </c>
      <c r="AT661" s="55" t="str">
        <f aca="false">IF(AND('Choix pédagogiques'!$C$4&lt;&gt;"?",'Choix pédagogiques'!$C$5&lt;&gt;"?",Y661&lt;&gt;""),(Y661-'Choix pédagogiques'!$C$4)/('Choix pédagogiques'!$C$5-'Choix pédagogiques'!$C$4),"")</f>
        <v/>
      </c>
      <c r="AU661" s="53" t="str">
        <f aca="false">IF($E661&lt;&gt;"",$E661,"")</f>
        <v/>
      </c>
      <c r="AV661" s="52" t="str">
        <f aca="false">IF($F661&lt;&gt;"",$F661,"")</f>
        <v>Apprenant 649 ou 649'</v>
      </c>
      <c r="AW661" s="55" t="str">
        <f aca="false">IF(AND('Choix pédagogiques'!$C$4&lt;&gt;"?",'Choix pédagogiques'!$C$5&lt;&gt;"?",AB661&lt;&gt;""),(AB661-'Choix pédagogiques'!$C$4)/('Choix pédagogiques'!$C$5-'Choix pédagogiques'!$C$4),"")</f>
        <v/>
      </c>
      <c r="AX661" s="55" t="str">
        <f aca="false">IF(AND('Choix pédagogiques'!$C$4&lt;&gt;"?",'Choix pédagogiques'!$C$5&lt;&gt;"?",AC661&lt;&gt;""),(AC661-'Choix pédagogiques'!$C$4)/('Choix pédagogiques'!$C$5-'Choix pédagogiques'!$C$4),"")</f>
        <v/>
      </c>
      <c r="AY661" s="55" t="str">
        <f aca="false">IF(AND('Choix pédagogiques'!$C$4&lt;&gt;"?",'Choix pédagogiques'!$C$5&lt;&gt;"?",AD661&lt;&gt;""),(AD661-'Choix pédagogiques'!$C$4)/('Choix pédagogiques'!$C$5-'Choix pédagogiques'!$C$4),"")</f>
        <v/>
      </c>
      <c r="AZ661" s="53" t="str">
        <f aca="false">IF($J661&lt;&gt;"",$J661,"")</f>
        <v/>
      </c>
      <c r="BA661" s="52" t="str">
        <f aca="false">IF($A661&lt;&gt;"",$A661,"")</f>
        <v>Apprenant 649</v>
      </c>
      <c r="BB661" s="55" t="str">
        <f aca="false">IF(AND($AR661&lt;&gt;"",$AS661&lt;&gt;""),$AS661-$AR661,"")</f>
        <v/>
      </c>
      <c r="BC661" s="55" t="str">
        <f aca="false">IF(AND($AR661&lt;&gt;"",$AT661&lt;&gt;""),$AT661-$AR661,"")</f>
        <v/>
      </c>
      <c r="BD661" s="55" t="str">
        <f aca="false">IF(AND($AS661&lt;&gt;"",$AT661&lt;&gt;""),$AT661-$AS661,"")</f>
        <v/>
      </c>
      <c r="BE661" s="53" t="str">
        <f aca="false">IF($E661&lt;&gt;"",$E661,"")</f>
        <v/>
      </c>
      <c r="BF661" s="52" t="str">
        <f aca="false">IF($F661&lt;&gt;"",$F661,"")</f>
        <v>Apprenant 649 ou 649'</v>
      </c>
      <c r="BG661" s="55" t="str">
        <f aca="false">IF(AND($AW661&lt;&gt;"",$AX661&lt;&gt;""),$AX661-$AW661,"")</f>
        <v/>
      </c>
      <c r="BH661" s="55" t="str">
        <f aca="false">IF(AND($AW661&lt;&gt;"",$AY661&lt;&gt;""),$AY661-$AW661,"")</f>
        <v/>
      </c>
      <c r="BI661" s="55" t="str">
        <f aca="false">IF(AND($AX661&lt;&gt;"",$AY661&lt;&gt;""),$AY661-$AX661,"")</f>
        <v/>
      </c>
      <c r="BJ661" s="53" t="str">
        <f aca="false">IF($J661&lt;&gt;"",$J661,"")</f>
        <v/>
      </c>
      <c r="BL661" s="52"/>
      <c r="BM661" s="52" t="str">
        <f aca="false">IF(OR(COUNT(B661:D1660)=0,AND('Choix pédagogiques'!$C$3&lt;&gt;1,'Choix pédagogiques'!$C$3&lt;&gt;2)),"",IF(AND(OR('Choix pédagogiques'!$C$3=1,'Choix pédagogiques'!$C$3=2),$B661&lt;&gt;"",$C661&lt;&gt;"",$D661&lt;&gt;""),1,0))</f>
        <v/>
      </c>
      <c r="BN661" s="52" t="str">
        <f aca="false">IF(OR(COUNT(G661:I1660)=0,AND('Choix pédagogiques'!$C$3&lt;&gt;1,'Choix pédagogiques'!$C$3&lt;&gt;2)),"",IF(AND(OR('Choix pédagogiques'!$C$3=1,'Choix pédagogiques'!$C$3=2),AND($G661&lt;&gt;"",$H661&lt;&gt;"",$I661&lt;&gt;"")),1,0))</f>
        <v/>
      </c>
      <c r="BO661" s="52" t="str">
        <f aca="false">IF(OR(COUNT(B661:D1660)=0,COUNT(G661:I1660)=0,'Choix pédagogiques'!C$3&lt;&gt;3),"",IF(AND('Choix pédagogiques'!$C$3=3,$B661&lt;&gt;"",$C661&lt;&gt;"",$D661&lt;&gt;"",$G661&lt;&gt;"",$H661&lt;&gt;"",$I661&lt;&gt;""),1,0))</f>
        <v/>
      </c>
      <c r="BR661" s="52" t="n">
        <v>368</v>
      </c>
      <c r="BS661" s="52" t="n">
        <v>1602</v>
      </c>
    </row>
    <row r="662" s="54" customFormat="true" ht="18" hidden="false" customHeight="true" outlineLevel="0" collapsed="false">
      <c r="A662" s="57" t="s">
        <v>1255</v>
      </c>
      <c r="B662" s="51"/>
      <c r="C662" s="51"/>
      <c r="D662" s="51"/>
      <c r="E662" s="51"/>
      <c r="F662" s="57" t="s">
        <v>1256</v>
      </c>
      <c r="G662" s="51"/>
      <c r="H662" s="51"/>
      <c r="I662" s="51"/>
      <c r="J662" s="51"/>
      <c r="K662" s="52" t="str">
        <f aca="false">IF($A662&lt;&gt;"",$A662,"")</f>
        <v>Apprenant 650</v>
      </c>
      <c r="L662" s="53" t="str">
        <f aca="false">IF(AND($B662&lt;&gt;"",$C662&lt;&gt;""),$C662-$B662,"")</f>
        <v/>
      </c>
      <c r="M662" s="53" t="str">
        <f aca="false">IF(AND($B662&lt;&gt;"",$D662&lt;&gt;""),$D662-$B662,"")</f>
        <v/>
      </c>
      <c r="N662" s="53" t="str">
        <f aca="false">IF(AND($C662&lt;&gt;"",$D662&lt;&gt;""),$D662-$C662,"")</f>
        <v/>
      </c>
      <c r="O662" s="53" t="str">
        <f aca="false">IF($E662&lt;&gt;"",$E662,"")</f>
        <v/>
      </c>
      <c r="P662" s="52" t="str">
        <f aca="false">IF($F662&lt;&gt;"",$F662,"")</f>
        <v>Apprenant 650 ou 650'</v>
      </c>
      <c r="Q662" s="53" t="str">
        <f aca="false">IF(AND($G662&lt;&gt;"",$H662&lt;&gt;""),$H662-$G662,"")</f>
        <v/>
      </c>
      <c r="R662" s="53" t="str">
        <f aca="false">IF(AND($G662&lt;&gt;"",$I662&lt;&gt;""),$I662-$G662,"")</f>
        <v/>
      </c>
      <c r="S662" s="53" t="str">
        <f aca="false">IF(AND($H662&lt;&gt;"",$I662&lt;&gt;""),$I662-$H662,"")</f>
        <v/>
      </c>
      <c r="T662" s="53" t="str">
        <f aca="false">IF($J662&lt;&gt;"",$J662,"")</f>
        <v/>
      </c>
      <c r="V662" s="52" t="str">
        <f aca="false">IF($A662&lt;&gt;"",$A662,"")</f>
        <v>Apprenant 650</v>
      </c>
      <c r="W662" s="53" t="str">
        <f aca="false">IF(AND(OR('Choix pédagogiques'!$C$3=1,'Choix pédagogiques'!$C$3=2),$BM662=1),B662,IF(AND('Choix pédagogiques'!$C$3=3,$BO662=1),B662,""))</f>
        <v/>
      </c>
      <c r="X662" s="53" t="str">
        <f aca="false">IF(AND(OR('Choix pédagogiques'!$C$3=1,'Choix pédagogiques'!$C$3=2),$BM662=1),C662,IF(AND('Choix pédagogiques'!$C$3=3,$BO662=1),C662,""))</f>
        <v/>
      </c>
      <c r="Y662" s="53" t="str">
        <f aca="false">IF(AND(OR('Choix pédagogiques'!$C$3=1,'Choix pédagogiques'!$C$3=2),$BM662=1),D662,IF(AND('Choix pédagogiques'!$C$3=3,$BO662=1),D662,""))</f>
        <v/>
      </c>
      <c r="Z662" s="53" t="str">
        <f aca="false">IF($E662&lt;&gt;"",$E662,"")</f>
        <v/>
      </c>
      <c r="AA662" s="52" t="str">
        <f aca="false">IF($F662&lt;&gt;"",$F662,"")</f>
        <v>Apprenant 650 ou 650'</v>
      </c>
      <c r="AB662" s="53" t="str">
        <f aca="false">IF(AND(OR('Choix pédagogiques'!$C$3=1,'Choix pédagogiques'!$C$3=2),$BN662=1),G662,IF(AND('Choix pédagogiques'!$C$3=3,$BO662=1),G662,""))</f>
        <v/>
      </c>
      <c r="AC662" s="53" t="str">
        <f aca="false">IF(AND(OR('Choix pédagogiques'!$C$3=1,'Choix pédagogiques'!$C$3=2),$BN662=1),H662,IF(AND('Choix pédagogiques'!$C$3=3,$BO662=1),H662,""))</f>
        <v/>
      </c>
      <c r="AD662" s="53" t="str">
        <f aca="false">IF(AND(OR('Choix pédagogiques'!$C$3=1,'Choix pédagogiques'!$C$3=2),$BN662=1),I662,IF(AND('Choix pédagogiques'!$C$3=3,$BO662=1),I662,""))</f>
        <v/>
      </c>
      <c r="AE662" s="53" t="str">
        <f aca="false">IF($J662&lt;&gt;"",$J662,"")</f>
        <v/>
      </c>
      <c r="AF662" s="52" t="str">
        <f aca="false">IF($A662&lt;&gt;"",$A662,"")</f>
        <v>Apprenant 650</v>
      </c>
      <c r="AG662" s="53" t="str">
        <f aca="false">IF(AND($W662&lt;&gt;"",$X662&lt;&gt;""),$X662-$W662,"")</f>
        <v/>
      </c>
      <c r="AH662" s="53" t="str">
        <f aca="false">IF(AND($W662&lt;&gt;"",$Y662&lt;&gt;""),$Y662-$W662,"")</f>
        <v/>
      </c>
      <c r="AI662" s="53" t="str">
        <f aca="false">IF(AND($X662&lt;&gt;"",$Y662&lt;&gt;""),$Y662-$X662,"")</f>
        <v/>
      </c>
      <c r="AJ662" s="53" t="str">
        <f aca="false">IF($E662&lt;&gt;"",$E662,"")</f>
        <v/>
      </c>
      <c r="AK662" s="52" t="str">
        <f aca="false">IF($F662&lt;&gt;"",$F662,"")</f>
        <v>Apprenant 650 ou 650'</v>
      </c>
      <c r="AL662" s="53" t="str">
        <f aca="false">IF(AND($AB662&lt;&gt;"",$AC662&lt;&gt;""),$AC662-$AB662,"")</f>
        <v/>
      </c>
      <c r="AM662" s="53" t="str">
        <f aca="false">IF(AND($AB662&lt;&gt;"",$AD662&lt;&gt;""),$AD662-$AB662,"")</f>
        <v/>
      </c>
      <c r="AN662" s="53" t="str">
        <f aca="false">IF(AND($AC662&lt;&gt;"",$AD662&lt;&gt;""),$AD662-$AC662,"")</f>
        <v/>
      </c>
      <c r="AO662" s="53" t="str">
        <f aca="false">IF($J662&lt;&gt;"",$J662,"")</f>
        <v/>
      </c>
      <c r="AQ662" s="52" t="str">
        <f aca="false">IF($A662&lt;&gt;"",$A662,"")</f>
        <v>Apprenant 650</v>
      </c>
      <c r="AR662" s="55" t="str">
        <f aca="false">IF(AND('Choix pédagogiques'!$C$4&lt;&gt;"?",'Choix pédagogiques'!$C$5&lt;&gt;"?",W662&lt;&gt;""),(W662-'Choix pédagogiques'!$C$4)/('Choix pédagogiques'!$C$5-'Choix pédagogiques'!$C$4),"")</f>
        <v/>
      </c>
      <c r="AS662" s="55" t="str">
        <f aca="false">IF(AND('Choix pédagogiques'!$C$4&lt;&gt;"?",'Choix pédagogiques'!$C$5&lt;&gt;"?",X662&lt;&gt;""),(X662-'Choix pédagogiques'!$C$4)/('Choix pédagogiques'!$C$5-'Choix pédagogiques'!$C$4),"")</f>
        <v/>
      </c>
      <c r="AT662" s="55" t="str">
        <f aca="false">IF(AND('Choix pédagogiques'!$C$4&lt;&gt;"?",'Choix pédagogiques'!$C$5&lt;&gt;"?",Y662&lt;&gt;""),(Y662-'Choix pédagogiques'!$C$4)/('Choix pédagogiques'!$C$5-'Choix pédagogiques'!$C$4),"")</f>
        <v/>
      </c>
      <c r="AU662" s="53" t="str">
        <f aca="false">IF($E662&lt;&gt;"",$E662,"")</f>
        <v/>
      </c>
      <c r="AV662" s="52" t="str">
        <f aca="false">IF($F662&lt;&gt;"",$F662,"")</f>
        <v>Apprenant 650 ou 650'</v>
      </c>
      <c r="AW662" s="55" t="str">
        <f aca="false">IF(AND('Choix pédagogiques'!$C$4&lt;&gt;"?",'Choix pédagogiques'!$C$5&lt;&gt;"?",AB662&lt;&gt;""),(AB662-'Choix pédagogiques'!$C$4)/('Choix pédagogiques'!$C$5-'Choix pédagogiques'!$C$4),"")</f>
        <v/>
      </c>
      <c r="AX662" s="55" t="str">
        <f aca="false">IF(AND('Choix pédagogiques'!$C$4&lt;&gt;"?",'Choix pédagogiques'!$C$5&lt;&gt;"?",AC662&lt;&gt;""),(AC662-'Choix pédagogiques'!$C$4)/('Choix pédagogiques'!$C$5-'Choix pédagogiques'!$C$4),"")</f>
        <v/>
      </c>
      <c r="AY662" s="55" t="str">
        <f aca="false">IF(AND('Choix pédagogiques'!$C$4&lt;&gt;"?",'Choix pédagogiques'!$C$5&lt;&gt;"?",AD662&lt;&gt;""),(AD662-'Choix pédagogiques'!$C$4)/('Choix pédagogiques'!$C$5-'Choix pédagogiques'!$C$4),"")</f>
        <v/>
      </c>
      <c r="AZ662" s="53" t="str">
        <f aca="false">IF($J662&lt;&gt;"",$J662,"")</f>
        <v/>
      </c>
      <c r="BA662" s="52" t="str">
        <f aca="false">IF($A662&lt;&gt;"",$A662,"")</f>
        <v>Apprenant 650</v>
      </c>
      <c r="BB662" s="55" t="str">
        <f aca="false">IF(AND($AR662&lt;&gt;"",$AS662&lt;&gt;""),$AS662-$AR662,"")</f>
        <v/>
      </c>
      <c r="BC662" s="55" t="str">
        <f aca="false">IF(AND($AR662&lt;&gt;"",$AT662&lt;&gt;""),$AT662-$AR662,"")</f>
        <v/>
      </c>
      <c r="BD662" s="55" t="str">
        <f aca="false">IF(AND($AS662&lt;&gt;"",$AT662&lt;&gt;""),$AT662-$AS662,"")</f>
        <v/>
      </c>
      <c r="BE662" s="53" t="str">
        <f aca="false">IF($E662&lt;&gt;"",$E662,"")</f>
        <v/>
      </c>
      <c r="BF662" s="52" t="str">
        <f aca="false">IF($F662&lt;&gt;"",$F662,"")</f>
        <v>Apprenant 650 ou 650'</v>
      </c>
      <c r="BG662" s="55" t="str">
        <f aca="false">IF(AND($AW662&lt;&gt;"",$AX662&lt;&gt;""),$AX662-$AW662,"")</f>
        <v/>
      </c>
      <c r="BH662" s="55" t="str">
        <f aca="false">IF(AND($AW662&lt;&gt;"",$AY662&lt;&gt;""),$AY662-$AW662,"")</f>
        <v/>
      </c>
      <c r="BI662" s="55" t="str">
        <f aca="false">IF(AND($AX662&lt;&gt;"",$AY662&lt;&gt;""),$AY662-$AX662,"")</f>
        <v/>
      </c>
      <c r="BJ662" s="53" t="str">
        <f aca="false">IF($J662&lt;&gt;"",$J662,"")</f>
        <v/>
      </c>
      <c r="BL662" s="52"/>
      <c r="BM662" s="52" t="str">
        <f aca="false">IF(OR(COUNT(B662:D1661)=0,AND('Choix pédagogiques'!$C$3&lt;&gt;1,'Choix pédagogiques'!$C$3&lt;&gt;2)),"",IF(AND(OR('Choix pédagogiques'!$C$3=1,'Choix pédagogiques'!$C$3=2),$B662&lt;&gt;"",$C662&lt;&gt;"",$D662&lt;&gt;""),1,0))</f>
        <v/>
      </c>
      <c r="BN662" s="52" t="str">
        <f aca="false">IF(OR(COUNT(G662:I1661)=0,AND('Choix pédagogiques'!$C$3&lt;&gt;1,'Choix pédagogiques'!$C$3&lt;&gt;2)),"",IF(AND(OR('Choix pédagogiques'!$C$3=1,'Choix pédagogiques'!$C$3=2),AND($G662&lt;&gt;"",$H662&lt;&gt;"",$I662&lt;&gt;"")),1,0))</f>
        <v/>
      </c>
      <c r="BO662" s="52" t="str">
        <f aca="false">IF(OR(COUNT(B662:D1661)=0,COUNT(G662:I1661)=0,'Choix pédagogiques'!C$3&lt;&gt;3),"",IF(AND('Choix pédagogiques'!$C$3=3,$B662&lt;&gt;"",$C662&lt;&gt;"",$D662&lt;&gt;"",$G662&lt;&gt;"",$H662&lt;&gt;"",$I662&lt;&gt;""),1,0))</f>
        <v/>
      </c>
      <c r="BR662" s="52" t="n">
        <v>731</v>
      </c>
      <c r="BS662" s="52" t="n">
        <v>1672</v>
      </c>
    </row>
    <row r="663" s="54" customFormat="true" ht="18" hidden="false" customHeight="true" outlineLevel="0" collapsed="false">
      <c r="A663" s="57" t="s">
        <v>1257</v>
      </c>
      <c r="B663" s="51"/>
      <c r="C663" s="51"/>
      <c r="D663" s="51"/>
      <c r="E663" s="51"/>
      <c r="F663" s="57" t="s">
        <v>1258</v>
      </c>
      <c r="G663" s="51"/>
      <c r="H663" s="51"/>
      <c r="I663" s="51"/>
      <c r="J663" s="51"/>
      <c r="K663" s="52" t="str">
        <f aca="false">IF($A663&lt;&gt;"",$A663,"")</f>
        <v>Apprenant 651</v>
      </c>
      <c r="L663" s="53" t="str">
        <f aca="false">IF(AND($B663&lt;&gt;"",$C663&lt;&gt;""),$C663-$B663,"")</f>
        <v/>
      </c>
      <c r="M663" s="53" t="str">
        <f aca="false">IF(AND($B663&lt;&gt;"",$D663&lt;&gt;""),$D663-$B663,"")</f>
        <v/>
      </c>
      <c r="N663" s="53" t="str">
        <f aca="false">IF(AND($C663&lt;&gt;"",$D663&lt;&gt;""),$D663-$C663,"")</f>
        <v/>
      </c>
      <c r="O663" s="53" t="str">
        <f aca="false">IF($E663&lt;&gt;"",$E663,"")</f>
        <v/>
      </c>
      <c r="P663" s="52" t="str">
        <f aca="false">IF($F663&lt;&gt;"",$F663,"")</f>
        <v>Apprenant 651 ou 651'</v>
      </c>
      <c r="Q663" s="53" t="str">
        <f aca="false">IF(AND($G663&lt;&gt;"",$H663&lt;&gt;""),$H663-$G663,"")</f>
        <v/>
      </c>
      <c r="R663" s="53" t="str">
        <f aca="false">IF(AND($G663&lt;&gt;"",$I663&lt;&gt;""),$I663-$G663,"")</f>
        <v/>
      </c>
      <c r="S663" s="53" t="str">
        <f aca="false">IF(AND($H663&lt;&gt;"",$I663&lt;&gt;""),$I663-$H663,"")</f>
        <v/>
      </c>
      <c r="T663" s="53" t="str">
        <f aca="false">IF($J663&lt;&gt;"",$J663,"")</f>
        <v/>
      </c>
      <c r="V663" s="52" t="str">
        <f aca="false">IF($A663&lt;&gt;"",$A663,"")</f>
        <v>Apprenant 651</v>
      </c>
      <c r="W663" s="53" t="str">
        <f aca="false">IF(AND(OR('Choix pédagogiques'!$C$3=1,'Choix pédagogiques'!$C$3=2),$BM663=1),B663,IF(AND('Choix pédagogiques'!$C$3=3,$BO663=1),B663,""))</f>
        <v/>
      </c>
      <c r="X663" s="53" t="str">
        <f aca="false">IF(AND(OR('Choix pédagogiques'!$C$3=1,'Choix pédagogiques'!$C$3=2),$BM663=1),C663,IF(AND('Choix pédagogiques'!$C$3=3,$BO663=1),C663,""))</f>
        <v/>
      </c>
      <c r="Y663" s="53" t="str">
        <f aca="false">IF(AND(OR('Choix pédagogiques'!$C$3=1,'Choix pédagogiques'!$C$3=2),$BM663=1),D663,IF(AND('Choix pédagogiques'!$C$3=3,$BO663=1),D663,""))</f>
        <v/>
      </c>
      <c r="Z663" s="53" t="str">
        <f aca="false">IF($E663&lt;&gt;"",$E663,"")</f>
        <v/>
      </c>
      <c r="AA663" s="52" t="str">
        <f aca="false">IF($F663&lt;&gt;"",$F663,"")</f>
        <v>Apprenant 651 ou 651'</v>
      </c>
      <c r="AB663" s="53" t="str">
        <f aca="false">IF(AND(OR('Choix pédagogiques'!$C$3=1,'Choix pédagogiques'!$C$3=2),$BN663=1),G663,IF(AND('Choix pédagogiques'!$C$3=3,$BO663=1),G663,""))</f>
        <v/>
      </c>
      <c r="AC663" s="53" t="str">
        <f aca="false">IF(AND(OR('Choix pédagogiques'!$C$3=1,'Choix pédagogiques'!$C$3=2),$BN663=1),H663,IF(AND('Choix pédagogiques'!$C$3=3,$BO663=1),H663,""))</f>
        <v/>
      </c>
      <c r="AD663" s="53" t="str">
        <f aca="false">IF(AND(OR('Choix pédagogiques'!$C$3=1,'Choix pédagogiques'!$C$3=2),$BN663=1),I663,IF(AND('Choix pédagogiques'!$C$3=3,$BO663=1),I663,""))</f>
        <v/>
      </c>
      <c r="AE663" s="53" t="str">
        <f aca="false">IF($J663&lt;&gt;"",$J663,"")</f>
        <v/>
      </c>
      <c r="AF663" s="52" t="str">
        <f aca="false">IF($A663&lt;&gt;"",$A663,"")</f>
        <v>Apprenant 651</v>
      </c>
      <c r="AG663" s="53" t="str">
        <f aca="false">IF(AND($W663&lt;&gt;"",$X663&lt;&gt;""),$X663-$W663,"")</f>
        <v/>
      </c>
      <c r="AH663" s="53" t="str">
        <f aca="false">IF(AND($W663&lt;&gt;"",$Y663&lt;&gt;""),$Y663-$W663,"")</f>
        <v/>
      </c>
      <c r="AI663" s="53" t="str">
        <f aca="false">IF(AND($X663&lt;&gt;"",$Y663&lt;&gt;""),$Y663-$X663,"")</f>
        <v/>
      </c>
      <c r="AJ663" s="53" t="str">
        <f aca="false">IF($E663&lt;&gt;"",$E663,"")</f>
        <v/>
      </c>
      <c r="AK663" s="52" t="str">
        <f aca="false">IF($F663&lt;&gt;"",$F663,"")</f>
        <v>Apprenant 651 ou 651'</v>
      </c>
      <c r="AL663" s="53" t="str">
        <f aca="false">IF(AND($AB663&lt;&gt;"",$AC663&lt;&gt;""),$AC663-$AB663,"")</f>
        <v/>
      </c>
      <c r="AM663" s="53" t="str">
        <f aca="false">IF(AND($AB663&lt;&gt;"",$AD663&lt;&gt;""),$AD663-$AB663,"")</f>
        <v/>
      </c>
      <c r="AN663" s="53" t="str">
        <f aca="false">IF(AND($AC663&lt;&gt;"",$AD663&lt;&gt;""),$AD663-$AC663,"")</f>
        <v/>
      </c>
      <c r="AO663" s="53" t="str">
        <f aca="false">IF($J663&lt;&gt;"",$J663,"")</f>
        <v/>
      </c>
      <c r="AQ663" s="52" t="str">
        <f aca="false">IF($A663&lt;&gt;"",$A663,"")</f>
        <v>Apprenant 651</v>
      </c>
      <c r="AR663" s="55" t="str">
        <f aca="false">IF(AND('Choix pédagogiques'!$C$4&lt;&gt;"?",'Choix pédagogiques'!$C$5&lt;&gt;"?",W663&lt;&gt;""),(W663-'Choix pédagogiques'!$C$4)/('Choix pédagogiques'!$C$5-'Choix pédagogiques'!$C$4),"")</f>
        <v/>
      </c>
      <c r="AS663" s="55" t="str">
        <f aca="false">IF(AND('Choix pédagogiques'!$C$4&lt;&gt;"?",'Choix pédagogiques'!$C$5&lt;&gt;"?",X663&lt;&gt;""),(X663-'Choix pédagogiques'!$C$4)/('Choix pédagogiques'!$C$5-'Choix pédagogiques'!$C$4),"")</f>
        <v/>
      </c>
      <c r="AT663" s="55" t="str">
        <f aca="false">IF(AND('Choix pédagogiques'!$C$4&lt;&gt;"?",'Choix pédagogiques'!$C$5&lt;&gt;"?",Y663&lt;&gt;""),(Y663-'Choix pédagogiques'!$C$4)/('Choix pédagogiques'!$C$5-'Choix pédagogiques'!$C$4),"")</f>
        <v/>
      </c>
      <c r="AU663" s="53" t="str">
        <f aca="false">IF($E663&lt;&gt;"",$E663,"")</f>
        <v/>
      </c>
      <c r="AV663" s="52" t="str">
        <f aca="false">IF($F663&lt;&gt;"",$F663,"")</f>
        <v>Apprenant 651 ou 651'</v>
      </c>
      <c r="AW663" s="55" t="str">
        <f aca="false">IF(AND('Choix pédagogiques'!$C$4&lt;&gt;"?",'Choix pédagogiques'!$C$5&lt;&gt;"?",AB663&lt;&gt;""),(AB663-'Choix pédagogiques'!$C$4)/('Choix pédagogiques'!$C$5-'Choix pédagogiques'!$C$4),"")</f>
        <v/>
      </c>
      <c r="AX663" s="55" t="str">
        <f aca="false">IF(AND('Choix pédagogiques'!$C$4&lt;&gt;"?",'Choix pédagogiques'!$C$5&lt;&gt;"?",AC663&lt;&gt;""),(AC663-'Choix pédagogiques'!$C$4)/('Choix pédagogiques'!$C$5-'Choix pédagogiques'!$C$4),"")</f>
        <v/>
      </c>
      <c r="AY663" s="55" t="str">
        <f aca="false">IF(AND('Choix pédagogiques'!$C$4&lt;&gt;"?",'Choix pédagogiques'!$C$5&lt;&gt;"?",AD663&lt;&gt;""),(AD663-'Choix pédagogiques'!$C$4)/('Choix pédagogiques'!$C$5-'Choix pédagogiques'!$C$4),"")</f>
        <v/>
      </c>
      <c r="AZ663" s="53" t="str">
        <f aca="false">IF($J663&lt;&gt;"",$J663,"")</f>
        <v/>
      </c>
      <c r="BA663" s="52" t="str">
        <f aca="false">IF($A663&lt;&gt;"",$A663,"")</f>
        <v>Apprenant 651</v>
      </c>
      <c r="BB663" s="55" t="str">
        <f aca="false">IF(AND($AR663&lt;&gt;"",$AS663&lt;&gt;""),$AS663-$AR663,"")</f>
        <v/>
      </c>
      <c r="BC663" s="55" t="str">
        <f aca="false">IF(AND($AR663&lt;&gt;"",$AT663&lt;&gt;""),$AT663-$AR663,"")</f>
        <v/>
      </c>
      <c r="BD663" s="55" t="str">
        <f aca="false">IF(AND($AS663&lt;&gt;"",$AT663&lt;&gt;""),$AT663-$AS663,"")</f>
        <v/>
      </c>
      <c r="BE663" s="53" t="str">
        <f aca="false">IF($E663&lt;&gt;"",$E663,"")</f>
        <v/>
      </c>
      <c r="BF663" s="52" t="str">
        <f aca="false">IF($F663&lt;&gt;"",$F663,"")</f>
        <v>Apprenant 651 ou 651'</v>
      </c>
      <c r="BG663" s="55" t="str">
        <f aca="false">IF(AND($AW663&lt;&gt;"",$AX663&lt;&gt;""),$AX663-$AW663,"")</f>
        <v/>
      </c>
      <c r="BH663" s="55" t="str">
        <f aca="false">IF(AND($AW663&lt;&gt;"",$AY663&lt;&gt;""),$AY663-$AW663,"")</f>
        <v/>
      </c>
      <c r="BI663" s="55" t="str">
        <f aca="false">IF(AND($AX663&lt;&gt;"",$AY663&lt;&gt;""),$AY663-$AX663,"")</f>
        <v/>
      </c>
      <c r="BJ663" s="53" t="str">
        <f aca="false">IF($J663&lt;&gt;"",$J663,"")</f>
        <v/>
      </c>
      <c r="BL663" s="52"/>
      <c r="BM663" s="52" t="str">
        <f aca="false">IF(OR(COUNT(B663:D1662)=0,AND('Choix pédagogiques'!$C$3&lt;&gt;1,'Choix pédagogiques'!$C$3&lt;&gt;2)),"",IF(AND(OR('Choix pédagogiques'!$C$3=1,'Choix pédagogiques'!$C$3=2),$B663&lt;&gt;"",$C663&lt;&gt;"",$D663&lt;&gt;""),1,0))</f>
        <v/>
      </c>
      <c r="BN663" s="52" t="str">
        <f aca="false">IF(OR(COUNT(G663:I1662)=0,AND('Choix pédagogiques'!$C$3&lt;&gt;1,'Choix pédagogiques'!$C$3&lt;&gt;2)),"",IF(AND(OR('Choix pédagogiques'!$C$3=1,'Choix pédagogiques'!$C$3=2),AND($G663&lt;&gt;"",$H663&lt;&gt;"",$I663&lt;&gt;"")),1,0))</f>
        <v/>
      </c>
      <c r="BO663" s="52" t="str">
        <f aca="false">IF(OR(COUNT(B663:D1662)=0,COUNT(G663:I1662)=0,'Choix pédagogiques'!C$3&lt;&gt;3),"",IF(AND('Choix pédagogiques'!$C$3=3,$B663&lt;&gt;"",$C663&lt;&gt;"",$D663&lt;&gt;"",$G663&lt;&gt;"",$H663&lt;&gt;"",$I663&lt;&gt;""),1,0))</f>
        <v/>
      </c>
      <c r="BR663" s="52" t="n">
        <v>815</v>
      </c>
      <c r="BS663" s="52" t="n">
        <v>1360</v>
      </c>
    </row>
    <row r="664" s="54" customFormat="true" ht="18" hidden="false" customHeight="true" outlineLevel="0" collapsed="false">
      <c r="A664" s="57" t="s">
        <v>1259</v>
      </c>
      <c r="B664" s="51"/>
      <c r="C664" s="51"/>
      <c r="D664" s="51"/>
      <c r="E664" s="51"/>
      <c r="F664" s="57" t="s">
        <v>1260</v>
      </c>
      <c r="G664" s="51"/>
      <c r="H664" s="51"/>
      <c r="I664" s="51"/>
      <c r="J664" s="51"/>
      <c r="K664" s="52" t="str">
        <f aca="false">IF($A664&lt;&gt;"",$A664,"")</f>
        <v>Apprenant 652</v>
      </c>
      <c r="L664" s="53" t="str">
        <f aca="false">IF(AND($B664&lt;&gt;"",$C664&lt;&gt;""),$C664-$B664,"")</f>
        <v/>
      </c>
      <c r="M664" s="53" t="str">
        <f aca="false">IF(AND($B664&lt;&gt;"",$D664&lt;&gt;""),$D664-$B664,"")</f>
        <v/>
      </c>
      <c r="N664" s="53" t="str">
        <f aca="false">IF(AND($C664&lt;&gt;"",$D664&lt;&gt;""),$D664-$C664,"")</f>
        <v/>
      </c>
      <c r="O664" s="53" t="str">
        <f aca="false">IF($E664&lt;&gt;"",$E664,"")</f>
        <v/>
      </c>
      <c r="P664" s="52" t="str">
        <f aca="false">IF($F664&lt;&gt;"",$F664,"")</f>
        <v>Apprenant 652 ou 652'</v>
      </c>
      <c r="Q664" s="53" t="str">
        <f aca="false">IF(AND($G664&lt;&gt;"",$H664&lt;&gt;""),$H664-$G664,"")</f>
        <v/>
      </c>
      <c r="R664" s="53" t="str">
        <f aca="false">IF(AND($G664&lt;&gt;"",$I664&lt;&gt;""),$I664-$G664,"")</f>
        <v/>
      </c>
      <c r="S664" s="53" t="str">
        <f aca="false">IF(AND($H664&lt;&gt;"",$I664&lt;&gt;""),$I664-$H664,"")</f>
        <v/>
      </c>
      <c r="T664" s="53" t="str">
        <f aca="false">IF($J664&lt;&gt;"",$J664,"")</f>
        <v/>
      </c>
      <c r="V664" s="52" t="str">
        <f aca="false">IF($A664&lt;&gt;"",$A664,"")</f>
        <v>Apprenant 652</v>
      </c>
      <c r="W664" s="53" t="str">
        <f aca="false">IF(AND(OR('Choix pédagogiques'!$C$3=1,'Choix pédagogiques'!$C$3=2),$BM664=1),B664,IF(AND('Choix pédagogiques'!$C$3=3,$BO664=1),B664,""))</f>
        <v/>
      </c>
      <c r="X664" s="53" t="str">
        <f aca="false">IF(AND(OR('Choix pédagogiques'!$C$3=1,'Choix pédagogiques'!$C$3=2),$BM664=1),C664,IF(AND('Choix pédagogiques'!$C$3=3,$BO664=1),C664,""))</f>
        <v/>
      </c>
      <c r="Y664" s="53" t="str">
        <f aca="false">IF(AND(OR('Choix pédagogiques'!$C$3=1,'Choix pédagogiques'!$C$3=2),$BM664=1),D664,IF(AND('Choix pédagogiques'!$C$3=3,$BO664=1),D664,""))</f>
        <v/>
      </c>
      <c r="Z664" s="53" t="str">
        <f aca="false">IF($E664&lt;&gt;"",$E664,"")</f>
        <v/>
      </c>
      <c r="AA664" s="52" t="str">
        <f aca="false">IF($F664&lt;&gt;"",$F664,"")</f>
        <v>Apprenant 652 ou 652'</v>
      </c>
      <c r="AB664" s="53" t="str">
        <f aca="false">IF(AND(OR('Choix pédagogiques'!$C$3=1,'Choix pédagogiques'!$C$3=2),$BN664=1),G664,IF(AND('Choix pédagogiques'!$C$3=3,$BO664=1),G664,""))</f>
        <v/>
      </c>
      <c r="AC664" s="53" t="str">
        <f aca="false">IF(AND(OR('Choix pédagogiques'!$C$3=1,'Choix pédagogiques'!$C$3=2),$BN664=1),H664,IF(AND('Choix pédagogiques'!$C$3=3,$BO664=1),H664,""))</f>
        <v/>
      </c>
      <c r="AD664" s="53" t="str">
        <f aca="false">IF(AND(OR('Choix pédagogiques'!$C$3=1,'Choix pédagogiques'!$C$3=2),$BN664=1),I664,IF(AND('Choix pédagogiques'!$C$3=3,$BO664=1),I664,""))</f>
        <v/>
      </c>
      <c r="AE664" s="53" t="str">
        <f aca="false">IF($J664&lt;&gt;"",$J664,"")</f>
        <v/>
      </c>
      <c r="AF664" s="52" t="str">
        <f aca="false">IF($A664&lt;&gt;"",$A664,"")</f>
        <v>Apprenant 652</v>
      </c>
      <c r="AG664" s="53" t="str">
        <f aca="false">IF(AND($W664&lt;&gt;"",$X664&lt;&gt;""),$X664-$W664,"")</f>
        <v/>
      </c>
      <c r="AH664" s="53" t="str">
        <f aca="false">IF(AND($W664&lt;&gt;"",$Y664&lt;&gt;""),$Y664-$W664,"")</f>
        <v/>
      </c>
      <c r="AI664" s="53" t="str">
        <f aca="false">IF(AND($X664&lt;&gt;"",$Y664&lt;&gt;""),$Y664-$X664,"")</f>
        <v/>
      </c>
      <c r="AJ664" s="53" t="str">
        <f aca="false">IF($E664&lt;&gt;"",$E664,"")</f>
        <v/>
      </c>
      <c r="AK664" s="52" t="str">
        <f aca="false">IF($F664&lt;&gt;"",$F664,"")</f>
        <v>Apprenant 652 ou 652'</v>
      </c>
      <c r="AL664" s="53" t="str">
        <f aca="false">IF(AND($AB664&lt;&gt;"",$AC664&lt;&gt;""),$AC664-$AB664,"")</f>
        <v/>
      </c>
      <c r="AM664" s="53" t="str">
        <f aca="false">IF(AND($AB664&lt;&gt;"",$AD664&lt;&gt;""),$AD664-$AB664,"")</f>
        <v/>
      </c>
      <c r="AN664" s="53" t="str">
        <f aca="false">IF(AND($AC664&lt;&gt;"",$AD664&lt;&gt;""),$AD664-$AC664,"")</f>
        <v/>
      </c>
      <c r="AO664" s="53" t="str">
        <f aca="false">IF($J664&lt;&gt;"",$J664,"")</f>
        <v/>
      </c>
      <c r="AQ664" s="52" t="str">
        <f aca="false">IF($A664&lt;&gt;"",$A664,"")</f>
        <v>Apprenant 652</v>
      </c>
      <c r="AR664" s="55" t="str">
        <f aca="false">IF(AND('Choix pédagogiques'!$C$4&lt;&gt;"?",'Choix pédagogiques'!$C$5&lt;&gt;"?",W664&lt;&gt;""),(W664-'Choix pédagogiques'!$C$4)/('Choix pédagogiques'!$C$5-'Choix pédagogiques'!$C$4),"")</f>
        <v/>
      </c>
      <c r="AS664" s="55" t="str">
        <f aca="false">IF(AND('Choix pédagogiques'!$C$4&lt;&gt;"?",'Choix pédagogiques'!$C$5&lt;&gt;"?",X664&lt;&gt;""),(X664-'Choix pédagogiques'!$C$4)/('Choix pédagogiques'!$C$5-'Choix pédagogiques'!$C$4),"")</f>
        <v/>
      </c>
      <c r="AT664" s="55" t="str">
        <f aca="false">IF(AND('Choix pédagogiques'!$C$4&lt;&gt;"?",'Choix pédagogiques'!$C$5&lt;&gt;"?",Y664&lt;&gt;""),(Y664-'Choix pédagogiques'!$C$4)/('Choix pédagogiques'!$C$5-'Choix pédagogiques'!$C$4),"")</f>
        <v/>
      </c>
      <c r="AU664" s="53" t="str">
        <f aca="false">IF($E664&lt;&gt;"",$E664,"")</f>
        <v/>
      </c>
      <c r="AV664" s="52" t="str">
        <f aca="false">IF($F664&lt;&gt;"",$F664,"")</f>
        <v>Apprenant 652 ou 652'</v>
      </c>
      <c r="AW664" s="55" t="str">
        <f aca="false">IF(AND('Choix pédagogiques'!$C$4&lt;&gt;"?",'Choix pédagogiques'!$C$5&lt;&gt;"?",AB664&lt;&gt;""),(AB664-'Choix pédagogiques'!$C$4)/('Choix pédagogiques'!$C$5-'Choix pédagogiques'!$C$4),"")</f>
        <v/>
      </c>
      <c r="AX664" s="55" t="str">
        <f aca="false">IF(AND('Choix pédagogiques'!$C$4&lt;&gt;"?",'Choix pédagogiques'!$C$5&lt;&gt;"?",AC664&lt;&gt;""),(AC664-'Choix pédagogiques'!$C$4)/('Choix pédagogiques'!$C$5-'Choix pédagogiques'!$C$4),"")</f>
        <v/>
      </c>
      <c r="AY664" s="55" t="str">
        <f aca="false">IF(AND('Choix pédagogiques'!$C$4&lt;&gt;"?",'Choix pédagogiques'!$C$5&lt;&gt;"?",AD664&lt;&gt;""),(AD664-'Choix pédagogiques'!$C$4)/('Choix pédagogiques'!$C$5-'Choix pédagogiques'!$C$4),"")</f>
        <v/>
      </c>
      <c r="AZ664" s="53" t="str">
        <f aca="false">IF($J664&lt;&gt;"",$J664,"")</f>
        <v/>
      </c>
      <c r="BA664" s="52" t="str">
        <f aca="false">IF($A664&lt;&gt;"",$A664,"")</f>
        <v>Apprenant 652</v>
      </c>
      <c r="BB664" s="55" t="str">
        <f aca="false">IF(AND($AR664&lt;&gt;"",$AS664&lt;&gt;""),$AS664-$AR664,"")</f>
        <v/>
      </c>
      <c r="BC664" s="55" t="str">
        <f aca="false">IF(AND($AR664&lt;&gt;"",$AT664&lt;&gt;""),$AT664-$AR664,"")</f>
        <v/>
      </c>
      <c r="BD664" s="55" t="str">
        <f aca="false">IF(AND($AS664&lt;&gt;"",$AT664&lt;&gt;""),$AT664-$AS664,"")</f>
        <v/>
      </c>
      <c r="BE664" s="53" t="str">
        <f aca="false">IF($E664&lt;&gt;"",$E664,"")</f>
        <v/>
      </c>
      <c r="BF664" s="52" t="str">
        <f aca="false">IF($F664&lt;&gt;"",$F664,"")</f>
        <v>Apprenant 652 ou 652'</v>
      </c>
      <c r="BG664" s="55" t="str">
        <f aca="false">IF(AND($AW664&lt;&gt;"",$AX664&lt;&gt;""),$AX664-$AW664,"")</f>
        <v/>
      </c>
      <c r="BH664" s="55" t="str">
        <f aca="false">IF(AND($AW664&lt;&gt;"",$AY664&lt;&gt;""),$AY664-$AW664,"")</f>
        <v/>
      </c>
      <c r="BI664" s="55" t="str">
        <f aca="false">IF(AND($AX664&lt;&gt;"",$AY664&lt;&gt;""),$AY664-$AX664,"")</f>
        <v/>
      </c>
      <c r="BJ664" s="53" t="str">
        <f aca="false">IF($J664&lt;&gt;"",$J664,"")</f>
        <v/>
      </c>
      <c r="BL664" s="52"/>
      <c r="BM664" s="52" t="str">
        <f aca="false">IF(OR(COUNT(B664:D1663)=0,AND('Choix pédagogiques'!$C$3&lt;&gt;1,'Choix pédagogiques'!$C$3&lt;&gt;2)),"",IF(AND(OR('Choix pédagogiques'!$C$3=1,'Choix pédagogiques'!$C$3=2),$B664&lt;&gt;"",$C664&lt;&gt;"",$D664&lt;&gt;""),1,0))</f>
        <v/>
      </c>
      <c r="BN664" s="52" t="str">
        <f aca="false">IF(OR(COUNT(G664:I1663)=0,AND('Choix pédagogiques'!$C$3&lt;&gt;1,'Choix pédagogiques'!$C$3&lt;&gt;2)),"",IF(AND(OR('Choix pédagogiques'!$C$3=1,'Choix pédagogiques'!$C$3=2),AND($G664&lt;&gt;"",$H664&lt;&gt;"",$I664&lt;&gt;"")),1,0))</f>
        <v/>
      </c>
      <c r="BO664" s="52" t="str">
        <f aca="false">IF(OR(COUNT(B664:D1663)=0,COUNT(G664:I1663)=0,'Choix pédagogiques'!C$3&lt;&gt;3),"",IF(AND('Choix pédagogiques'!$C$3=3,$B664&lt;&gt;"",$C664&lt;&gt;"",$D664&lt;&gt;"",$G664&lt;&gt;"",$H664&lt;&gt;"",$I664&lt;&gt;""),1,0))</f>
        <v/>
      </c>
      <c r="BR664" s="52" t="n">
        <v>909</v>
      </c>
      <c r="BS664" s="52" t="n">
        <v>1915</v>
      </c>
    </row>
    <row r="665" s="54" customFormat="true" ht="18" hidden="false" customHeight="true" outlineLevel="0" collapsed="false">
      <c r="A665" s="57" t="s">
        <v>1261</v>
      </c>
      <c r="B665" s="51"/>
      <c r="C665" s="51"/>
      <c r="D665" s="51"/>
      <c r="E665" s="51"/>
      <c r="F665" s="57" t="s">
        <v>1262</v>
      </c>
      <c r="G665" s="51"/>
      <c r="H665" s="51"/>
      <c r="I665" s="51"/>
      <c r="J665" s="51"/>
      <c r="K665" s="52" t="str">
        <f aca="false">IF($A665&lt;&gt;"",$A665,"")</f>
        <v>Apprenant 653</v>
      </c>
      <c r="L665" s="53" t="str">
        <f aca="false">IF(AND($B665&lt;&gt;"",$C665&lt;&gt;""),$C665-$B665,"")</f>
        <v/>
      </c>
      <c r="M665" s="53" t="str">
        <f aca="false">IF(AND($B665&lt;&gt;"",$D665&lt;&gt;""),$D665-$B665,"")</f>
        <v/>
      </c>
      <c r="N665" s="53" t="str">
        <f aca="false">IF(AND($C665&lt;&gt;"",$D665&lt;&gt;""),$D665-$C665,"")</f>
        <v/>
      </c>
      <c r="O665" s="53" t="str">
        <f aca="false">IF($E665&lt;&gt;"",$E665,"")</f>
        <v/>
      </c>
      <c r="P665" s="52" t="str">
        <f aca="false">IF($F665&lt;&gt;"",$F665,"")</f>
        <v>Apprenant 653 ou 653'</v>
      </c>
      <c r="Q665" s="53" t="str">
        <f aca="false">IF(AND($G665&lt;&gt;"",$H665&lt;&gt;""),$H665-$G665,"")</f>
        <v/>
      </c>
      <c r="R665" s="53" t="str">
        <f aca="false">IF(AND($G665&lt;&gt;"",$I665&lt;&gt;""),$I665-$G665,"")</f>
        <v/>
      </c>
      <c r="S665" s="53" t="str">
        <f aca="false">IF(AND($H665&lt;&gt;"",$I665&lt;&gt;""),$I665-$H665,"")</f>
        <v/>
      </c>
      <c r="T665" s="53" t="str">
        <f aca="false">IF($J665&lt;&gt;"",$J665,"")</f>
        <v/>
      </c>
      <c r="V665" s="52" t="str">
        <f aca="false">IF($A665&lt;&gt;"",$A665,"")</f>
        <v>Apprenant 653</v>
      </c>
      <c r="W665" s="53" t="str">
        <f aca="false">IF(AND(OR('Choix pédagogiques'!$C$3=1,'Choix pédagogiques'!$C$3=2),$BM665=1),B665,IF(AND('Choix pédagogiques'!$C$3=3,$BO665=1),B665,""))</f>
        <v/>
      </c>
      <c r="X665" s="53" t="str">
        <f aca="false">IF(AND(OR('Choix pédagogiques'!$C$3=1,'Choix pédagogiques'!$C$3=2),$BM665=1),C665,IF(AND('Choix pédagogiques'!$C$3=3,$BO665=1),C665,""))</f>
        <v/>
      </c>
      <c r="Y665" s="53" t="str">
        <f aca="false">IF(AND(OR('Choix pédagogiques'!$C$3=1,'Choix pédagogiques'!$C$3=2),$BM665=1),D665,IF(AND('Choix pédagogiques'!$C$3=3,$BO665=1),D665,""))</f>
        <v/>
      </c>
      <c r="Z665" s="53" t="str">
        <f aca="false">IF($E665&lt;&gt;"",$E665,"")</f>
        <v/>
      </c>
      <c r="AA665" s="52" t="str">
        <f aca="false">IF($F665&lt;&gt;"",$F665,"")</f>
        <v>Apprenant 653 ou 653'</v>
      </c>
      <c r="AB665" s="53" t="str">
        <f aca="false">IF(AND(OR('Choix pédagogiques'!$C$3=1,'Choix pédagogiques'!$C$3=2),$BN665=1),G665,IF(AND('Choix pédagogiques'!$C$3=3,$BO665=1),G665,""))</f>
        <v/>
      </c>
      <c r="AC665" s="53" t="str">
        <f aca="false">IF(AND(OR('Choix pédagogiques'!$C$3=1,'Choix pédagogiques'!$C$3=2),$BN665=1),H665,IF(AND('Choix pédagogiques'!$C$3=3,$BO665=1),H665,""))</f>
        <v/>
      </c>
      <c r="AD665" s="53" t="str">
        <f aca="false">IF(AND(OR('Choix pédagogiques'!$C$3=1,'Choix pédagogiques'!$C$3=2),$BN665=1),I665,IF(AND('Choix pédagogiques'!$C$3=3,$BO665=1),I665,""))</f>
        <v/>
      </c>
      <c r="AE665" s="53" t="str">
        <f aca="false">IF($J665&lt;&gt;"",$J665,"")</f>
        <v/>
      </c>
      <c r="AF665" s="52" t="str">
        <f aca="false">IF($A665&lt;&gt;"",$A665,"")</f>
        <v>Apprenant 653</v>
      </c>
      <c r="AG665" s="53" t="str">
        <f aca="false">IF(AND($W665&lt;&gt;"",$X665&lt;&gt;""),$X665-$W665,"")</f>
        <v/>
      </c>
      <c r="AH665" s="53" t="str">
        <f aca="false">IF(AND($W665&lt;&gt;"",$Y665&lt;&gt;""),$Y665-$W665,"")</f>
        <v/>
      </c>
      <c r="AI665" s="53" t="str">
        <f aca="false">IF(AND($X665&lt;&gt;"",$Y665&lt;&gt;""),$Y665-$X665,"")</f>
        <v/>
      </c>
      <c r="AJ665" s="53" t="str">
        <f aca="false">IF($E665&lt;&gt;"",$E665,"")</f>
        <v/>
      </c>
      <c r="AK665" s="52" t="str">
        <f aca="false">IF($F665&lt;&gt;"",$F665,"")</f>
        <v>Apprenant 653 ou 653'</v>
      </c>
      <c r="AL665" s="53" t="str">
        <f aca="false">IF(AND($AB665&lt;&gt;"",$AC665&lt;&gt;""),$AC665-$AB665,"")</f>
        <v/>
      </c>
      <c r="AM665" s="53" t="str">
        <f aca="false">IF(AND($AB665&lt;&gt;"",$AD665&lt;&gt;""),$AD665-$AB665,"")</f>
        <v/>
      </c>
      <c r="AN665" s="53" t="str">
        <f aca="false">IF(AND($AC665&lt;&gt;"",$AD665&lt;&gt;""),$AD665-$AC665,"")</f>
        <v/>
      </c>
      <c r="AO665" s="53" t="str">
        <f aca="false">IF($J665&lt;&gt;"",$J665,"")</f>
        <v/>
      </c>
      <c r="AQ665" s="52" t="str">
        <f aca="false">IF($A665&lt;&gt;"",$A665,"")</f>
        <v>Apprenant 653</v>
      </c>
      <c r="AR665" s="55" t="str">
        <f aca="false">IF(AND('Choix pédagogiques'!$C$4&lt;&gt;"?",'Choix pédagogiques'!$C$5&lt;&gt;"?",W665&lt;&gt;""),(W665-'Choix pédagogiques'!$C$4)/('Choix pédagogiques'!$C$5-'Choix pédagogiques'!$C$4),"")</f>
        <v/>
      </c>
      <c r="AS665" s="55" t="str">
        <f aca="false">IF(AND('Choix pédagogiques'!$C$4&lt;&gt;"?",'Choix pédagogiques'!$C$5&lt;&gt;"?",X665&lt;&gt;""),(X665-'Choix pédagogiques'!$C$4)/('Choix pédagogiques'!$C$5-'Choix pédagogiques'!$C$4),"")</f>
        <v/>
      </c>
      <c r="AT665" s="55" t="str">
        <f aca="false">IF(AND('Choix pédagogiques'!$C$4&lt;&gt;"?",'Choix pédagogiques'!$C$5&lt;&gt;"?",Y665&lt;&gt;""),(Y665-'Choix pédagogiques'!$C$4)/('Choix pédagogiques'!$C$5-'Choix pédagogiques'!$C$4),"")</f>
        <v/>
      </c>
      <c r="AU665" s="53" t="str">
        <f aca="false">IF($E665&lt;&gt;"",$E665,"")</f>
        <v/>
      </c>
      <c r="AV665" s="52" t="str">
        <f aca="false">IF($F665&lt;&gt;"",$F665,"")</f>
        <v>Apprenant 653 ou 653'</v>
      </c>
      <c r="AW665" s="55" t="str">
        <f aca="false">IF(AND('Choix pédagogiques'!$C$4&lt;&gt;"?",'Choix pédagogiques'!$C$5&lt;&gt;"?",AB665&lt;&gt;""),(AB665-'Choix pédagogiques'!$C$4)/('Choix pédagogiques'!$C$5-'Choix pédagogiques'!$C$4),"")</f>
        <v/>
      </c>
      <c r="AX665" s="55" t="str">
        <f aca="false">IF(AND('Choix pédagogiques'!$C$4&lt;&gt;"?",'Choix pédagogiques'!$C$5&lt;&gt;"?",AC665&lt;&gt;""),(AC665-'Choix pédagogiques'!$C$4)/('Choix pédagogiques'!$C$5-'Choix pédagogiques'!$C$4),"")</f>
        <v/>
      </c>
      <c r="AY665" s="55" t="str">
        <f aca="false">IF(AND('Choix pédagogiques'!$C$4&lt;&gt;"?",'Choix pédagogiques'!$C$5&lt;&gt;"?",AD665&lt;&gt;""),(AD665-'Choix pédagogiques'!$C$4)/('Choix pédagogiques'!$C$5-'Choix pédagogiques'!$C$4),"")</f>
        <v/>
      </c>
      <c r="AZ665" s="53" t="str">
        <f aca="false">IF($J665&lt;&gt;"",$J665,"")</f>
        <v/>
      </c>
      <c r="BA665" s="52" t="str">
        <f aca="false">IF($A665&lt;&gt;"",$A665,"")</f>
        <v>Apprenant 653</v>
      </c>
      <c r="BB665" s="55" t="str">
        <f aca="false">IF(AND($AR665&lt;&gt;"",$AS665&lt;&gt;""),$AS665-$AR665,"")</f>
        <v/>
      </c>
      <c r="BC665" s="55" t="str">
        <f aca="false">IF(AND($AR665&lt;&gt;"",$AT665&lt;&gt;""),$AT665-$AR665,"")</f>
        <v/>
      </c>
      <c r="BD665" s="55" t="str">
        <f aca="false">IF(AND($AS665&lt;&gt;"",$AT665&lt;&gt;""),$AT665-$AS665,"")</f>
        <v/>
      </c>
      <c r="BE665" s="53" t="str">
        <f aca="false">IF($E665&lt;&gt;"",$E665,"")</f>
        <v/>
      </c>
      <c r="BF665" s="52" t="str">
        <f aca="false">IF($F665&lt;&gt;"",$F665,"")</f>
        <v>Apprenant 653 ou 653'</v>
      </c>
      <c r="BG665" s="55" t="str">
        <f aca="false">IF(AND($AW665&lt;&gt;"",$AX665&lt;&gt;""),$AX665-$AW665,"")</f>
        <v/>
      </c>
      <c r="BH665" s="55" t="str">
        <f aca="false">IF(AND($AW665&lt;&gt;"",$AY665&lt;&gt;""),$AY665-$AW665,"")</f>
        <v/>
      </c>
      <c r="BI665" s="55" t="str">
        <f aca="false">IF(AND($AX665&lt;&gt;"",$AY665&lt;&gt;""),$AY665-$AX665,"")</f>
        <v/>
      </c>
      <c r="BJ665" s="53" t="str">
        <f aca="false">IF($J665&lt;&gt;"",$J665,"")</f>
        <v/>
      </c>
      <c r="BL665" s="52"/>
      <c r="BM665" s="52" t="str">
        <f aca="false">IF(OR(COUNT(B665:D1664)=0,AND('Choix pédagogiques'!$C$3&lt;&gt;1,'Choix pédagogiques'!$C$3&lt;&gt;2)),"",IF(AND(OR('Choix pédagogiques'!$C$3=1,'Choix pédagogiques'!$C$3=2),$B665&lt;&gt;"",$C665&lt;&gt;"",$D665&lt;&gt;""),1,0))</f>
        <v/>
      </c>
      <c r="BN665" s="52" t="str">
        <f aca="false">IF(OR(COUNT(G665:I1664)=0,AND('Choix pédagogiques'!$C$3&lt;&gt;1,'Choix pédagogiques'!$C$3&lt;&gt;2)),"",IF(AND(OR('Choix pédagogiques'!$C$3=1,'Choix pédagogiques'!$C$3=2),AND($G665&lt;&gt;"",$H665&lt;&gt;"",$I665&lt;&gt;"")),1,0))</f>
        <v/>
      </c>
      <c r="BO665" s="52" t="str">
        <f aca="false">IF(OR(COUNT(B665:D1664)=0,COUNT(G665:I1664)=0,'Choix pédagogiques'!C$3&lt;&gt;3),"",IF(AND('Choix pédagogiques'!$C$3=3,$B665&lt;&gt;"",$C665&lt;&gt;"",$D665&lt;&gt;"",$G665&lt;&gt;"",$H665&lt;&gt;"",$I665&lt;&gt;""),1,0))</f>
        <v/>
      </c>
      <c r="BR665" s="52" t="n">
        <v>149</v>
      </c>
      <c r="BS665" s="52" t="n">
        <v>1394</v>
      </c>
    </row>
    <row r="666" s="54" customFormat="true" ht="18" hidden="false" customHeight="true" outlineLevel="0" collapsed="false">
      <c r="A666" s="57" t="s">
        <v>1263</v>
      </c>
      <c r="B666" s="51"/>
      <c r="C666" s="51"/>
      <c r="D666" s="51"/>
      <c r="E666" s="51"/>
      <c r="F666" s="57" t="s">
        <v>1264</v>
      </c>
      <c r="G666" s="51"/>
      <c r="H666" s="51"/>
      <c r="I666" s="51"/>
      <c r="J666" s="51"/>
      <c r="K666" s="52" t="str">
        <f aca="false">IF($A666&lt;&gt;"",$A666,"")</f>
        <v>Apprenant 654</v>
      </c>
      <c r="L666" s="53" t="str">
        <f aca="false">IF(AND($B666&lt;&gt;"",$C666&lt;&gt;""),$C666-$B666,"")</f>
        <v/>
      </c>
      <c r="M666" s="53" t="str">
        <f aca="false">IF(AND($B666&lt;&gt;"",$D666&lt;&gt;""),$D666-$B666,"")</f>
        <v/>
      </c>
      <c r="N666" s="53" t="str">
        <f aca="false">IF(AND($C666&lt;&gt;"",$D666&lt;&gt;""),$D666-$C666,"")</f>
        <v/>
      </c>
      <c r="O666" s="53" t="str">
        <f aca="false">IF($E666&lt;&gt;"",$E666,"")</f>
        <v/>
      </c>
      <c r="P666" s="52" t="str">
        <f aca="false">IF($F666&lt;&gt;"",$F666,"")</f>
        <v>Apprenant 654 ou 654'</v>
      </c>
      <c r="Q666" s="53" t="str">
        <f aca="false">IF(AND($G666&lt;&gt;"",$H666&lt;&gt;""),$H666-$G666,"")</f>
        <v/>
      </c>
      <c r="R666" s="53" t="str">
        <f aca="false">IF(AND($G666&lt;&gt;"",$I666&lt;&gt;""),$I666-$G666,"")</f>
        <v/>
      </c>
      <c r="S666" s="53" t="str">
        <f aca="false">IF(AND($H666&lt;&gt;"",$I666&lt;&gt;""),$I666-$H666,"")</f>
        <v/>
      </c>
      <c r="T666" s="53" t="str">
        <f aca="false">IF($J666&lt;&gt;"",$J666,"")</f>
        <v/>
      </c>
      <c r="V666" s="52" t="str">
        <f aca="false">IF($A666&lt;&gt;"",$A666,"")</f>
        <v>Apprenant 654</v>
      </c>
      <c r="W666" s="53" t="str">
        <f aca="false">IF(AND(OR('Choix pédagogiques'!$C$3=1,'Choix pédagogiques'!$C$3=2),$BM666=1),B666,IF(AND('Choix pédagogiques'!$C$3=3,$BO666=1),B666,""))</f>
        <v/>
      </c>
      <c r="X666" s="53" t="str">
        <f aca="false">IF(AND(OR('Choix pédagogiques'!$C$3=1,'Choix pédagogiques'!$C$3=2),$BM666=1),C666,IF(AND('Choix pédagogiques'!$C$3=3,$BO666=1),C666,""))</f>
        <v/>
      </c>
      <c r="Y666" s="53" t="str">
        <f aca="false">IF(AND(OR('Choix pédagogiques'!$C$3=1,'Choix pédagogiques'!$C$3=2),$BM666=1),D666,IF(AND('Choix pédagogiques'!$C$3=3,$BO666=1),D666,""))</f>
        <v/>
      </c>
      <c r="Z666" s="53" t="str">
        <f aca="false">IF($E666&lt;&gt;"",$E666,"")</f>
        <v/>
      </c>
      <c r="AA666" s="52" t="str">
        <f aca="false">IF($F666&lt;&gt;"",$F666,"")</f>
        <v>Apprenant 654 ou 654'</v>
      </c>
      <c r="AB666" s="53" t="str">
        <f aca="false">IF(AND(OR('Choix pédagogiques'!$C$3=1,'Choix pédagogiques'!$C$3=2),$BN666=1),G666,IF(AND('Choix pédagogiques'!$C$3=3,$BO666=1),G666,""))</f>
        <v/>
      </c>
      <c r="AC666" s="53" t="str">
        <f aca="false">IF(AND(OR('Choix pédagogiques'!$C$3=1,'Choix pédagogiques'!$C$3=2),$BN666=1),H666,IF(AND('Choix pédagogiques'!$C$3=3,$BO666=1),H666,""))</f>
        <v/>
      </c>
      <c r="AD666" s="53" t="str">
        <f aca="false">IF(AND(OR('Choix pédagogiques'!$C$3=1,'Choix pédagogiques'!$C$3=2),$BN666=1),I666,IF(AND('Choix pédagogiques'!$C$3=3,$BO666=1),I666,""))</f>
        <v/>
      </c>
      <c r="AE666" s="53" t="str">
        <f aca="false">IF($J666&lt;&gt;"",$J666,"")</f>
        <v/>
      </c>
      <c r="AF666" s="52" t="str">
        <f aca="false">IF($A666&lt;&gt;"",$A666,"")</f>
        <v>Apprenant 654</v>
      </c>
      <c r="AG666" s="53" t="str">
        <f aca="false">IF(AND($W666&lt;&gt;"",$X666&lt;&gt;""),$X666-$W666,"")</f>
        <v/>
      </c>
      <c r="AH666" s="53" t="str">
        <f aca="false">IF(AND($W666&lt;&gt;"",$Y666&lt;&gt;""),$Y666-$W666,"")</f>
        <v/>
      </c>
      <c r="AI666" s="53" t="str">
        <f aca="false">IF(AND($X666&lt;&gt;"",$Y666&lt;&gt;""),$Y666-$X666,"")</f>
        <v/>
      </c>
      <c r="AJ666" s="53" t="str">
        <f aca="false">IF($E666&lt;&gt;"",$E666,"")</f>
        <v/>
      </c>
      <c r="AK666" s="52" t="str">
        <f aca="false">IF($F666&lt;&gt;"",$F666,"")</f>
        <v>Apprenant 654 ou 654'</v>
      </c>
      <c r="AL666" s="53" t="str">
        <f aca="false">IF(AND($AB666&lt;&gt;"",$AC666&lt;&gt;""),$AC666-$AB666,"")</f>
        <v/>
      </c>
      <c r="AM666" s="53" t="str">
        <f aca="false">IF(AND($AB666&lt;&gt;"",$AD666&lt;&gt;""),$AD666-$AB666,"")</f>
        <v/>
      </c>
      <c r="AN666" s="53" t="str">
        <f aca="false">IF(AND($AC666&lt;&gt;"",$AD666&lt;&gt;""),$AD666-$AC666,"")</f>
        <v/>
      </c>
      <c r="AO666" s="53" t="str">
        <f aca="false">IF($J666&lt;&gt;"",$J666,"")</f>
        <v/>
      </c>
      <c r="AQ666" s="52" t="str">
        <f aca="false">IF($A666&lt;&gt;"",$A666,"")</f>
        <v>Apprenant 654</v>
      </c>
      <c r="AR666" s="55" t="str">
        <f aca="false">IF(AND('Choix pédagogiques'!$C$4&lt;&gt;"?",'Choix pédagogiques'!$C$5&lt;&gt;"?",W666&lt;&gt;""),(W666-'Choix pédagogiques'!$C$4)/('Choix pédagogiques'!$C$5-'Choix pédagogiques'!$C$4),"")</f>
        <v/>
      </c>
      <c r="AS666" s="55" t="str">
        <f aca="false">IF(AND('Choix pédagogiques'!$C$4&lt;&gt;"?",'Choix pédagogiques'!$C$5&lt;&gt;"?",X666&lt;&gt;""),(X666-'Choix pédagogiques'!$C$4)/('Choix pédagogiques'!$C$5-'Choix pédagogiques'!$C$4),"")</f>
        <v/>
      </c>
      <c r="AT666" s="55" t="str">
        <f aca="false">IF(AND('Choix pédagogiques'!$C$4&lt;&gt;"?",'Choix pédagogiques'!$C$5&lt;&gt;"?",Y666&lt;&gt;""),(Y666-'Choix pédagogiques'!$C$4)/('Choix pédagogiques'!$C$5-'Choix pédagogiques'!$C$4),"")</f>
        <v/>
      </c>
      <c r="AU666" s="53" t="str">
        <f aca="false">IF($E666&lt;&gt;"",$E666,"")</f>
        <v/>
      </c>
      <c r="AV666" s="52" t="str">
        <f aca="false">IF($F666&lt;&gt;"",$F666,"")</f>
        <v>Apprenant 654 ou 654'</v>
      </c>
      <c r="AW666" s="55" t="str">
        <f aca="false">IF(AND('Choix pédagogiques'!$C$4&lt;&gt;"?",'Choix pédagogiques'!$C$5&lt;&gt;"?",AB666&lt;&gt;""),(AB666-'Choix pédagogiques'!$C$4)/('Choix pédagogiques'!$C$5-'Choix pédagogiques'!$C$4),"")</f>
        <v/>
      </c>
      <c r="AX666" s="55" t="str">
        <f aca="false">IF(AND('Choix pédagogiques'!$C$4&lt;&gt;"?",'Choix pédagogiques'!$C$5&lt;&gt;"?",AC666&lt;&gt;""),(AC666-'Choix pédagogiques'!$C$4)/('Choix pédagogiques'!$C$5-'Choix pédagogiques'!$C$4),"")</f>
        <v/>
      </c>
      <c r="AY666" s="55" t="str">
        <f aca="false">IF(AND('Choix pédagogiques'!$C$4&lt;&gt;"?",'Choix pédagogiques'!$C$5&lt;&gt;"?",AD666&lt;&gt;""),(AD666-'Choix pédagogiques'!$C$4)/('Choix pédagogiques'!$C$5-'Choix pédagogiques'!$C$4),"")</f>
        <v/>
      </c>
      <c r="AZ666" s="53" t="str">
        <f aca="false">IF($J666&lt;&gt;"",$J666,"")</f>
        <v/>
      </c>
      <c r="BA666" s="52" t="str">
        <f aca="false">IF($A666&lt;&gt;"",$A666,"")</f>
        <v>Apprenant 654</v>
      </c>
      <c r="BB666" s="55" t="str">
        <f aca="false">IF(AND($AR666&lt;&gt;"",$AS666&lt;&gt;""),$AS666-$AR666,"")</f>
        <v/>
      </c>
      <c r="BC666" s="55" t="str">
        <f aca="false">IF(AND($AR666&lt;&gt;"",$AT666&lt;&gt;""),$AT666-$AR666,"")</f>
        <v/>
      </c>
      <c r="BD666" s="55" t="str">
        <f aca="false">IF(AND($AS666&lt;&gt;"",$AT666&lt;&gt;""),$AT666-$AS666,"")</f>
        <v/>
      </c>
      <c r="BE666" s="53" t="str">
        <f aca="false">IF($E666&lt;&gt;"",$E666,"")</f>
        <v/>
      </c>
      <c r="BF666" s="52" t="str">
        <f aca="false">IF($F666&lt;&gt;"",$F666,"")</f>
        <v>Apprenant 654 ou 654'</v>
      </c>
      <c r="BG666" s="55" t="str">
        <f aca="false">IF(AND($AW666&lt;&gt;"",$AX666&lt;&gt;""),$AX666-$AW666,"")</f>
        <v/>
      </c>
      <c r="BH666" s="55" t="str">
        <f aca="false">IF(AND($AW666&lt;&gt;"",$AY666&lt;&gt;""),$AY666-$AW666,"")</f>
        <v/>
      </c>
      <c r="BI666" s="55" t="str">
        <f aca="false">IF(AND($AX666&lt;&gt;"",$AY666&lt;&gt;""),$AY666-$AX666,"")</f>
        <v/>
      </c>
      <c r="BJ666" s="53" t="str">
        <f aca="false">IF($J666&lt;&gt;"",$J666,"")</f>
        <v/>
      </c>
      <c r="BL666" s="52"/>
      <c r="BM666" s="52" t="str">
        <f aca="false">IF(OR(COUNT(B666:D1665)=0,AND('Choix pédagogiques'!$C$3&lt;&gt;1,'Choix pédagogiques'!$C$3&lt;&gt;2)),"",IF(AND(OR('Choix pédagogiques'!$C$3=1,'Choix pédagogiques'!$C$3=2),$B666&lt;&gt;"",$C666&lt;&gt;"",$D666&lt;&gt;""),1,0))</f>
        <v/>
      </c>
      <c r="BN666" s="52" t="str">
        <f aca="false">IF(OR(COUNT(G666:I1665)=0,AND('Choix pédagogiques'!$C$3&lt;&gt;1,'Choix pédagogiques'!$C$3&lt;&gt;2)),"",IF(AND(OR('Choix pédagogiques'!$C$3=1,'Choix pédagogiques'!$C$3=2),AND($G666&lt;&gt;"",$H666&lt;&gt;"",$I666&lt;&gt;"")),1,0))</f>
        <v/>
      </c>
      <c r="BO666" s="52" t="str">
        <f aca="false">IF(OR(COUNT(B666:D1665)=0,COUNT(G666:I1665)=0,'Choix pédagogiques'!C$3&lt;&gt;3),"",IF(AND('Choix pédagogiques'!$C$3=3,$B666&lt;&gt;"",$C666&lt;&gt;"",$D666&lt;&gt;"",$G666&lt;&gt;"",$H666&lt;&gt;"",$I666&lt;&gt;""),1,0))</f>
        <v/>
      </c>
      <c r="BR666" s="52" t="n">
        <v>52</v>
      </c>
      <c r="BS666" s="52" t="n">
        <v>1753</v>
      </c>
    </row>
    <row r="667" s="54" customFormat="true" ht="18" hidden="false" customHeight="true" outlineLevel="0" collapsed="false">
      <c r="A667" s="57" t="s">
        <v>1265</v>
      </c>
      <c r="B667" s="51"/>
      <c r="C667" s="51"/>
      <c r="D667" s="51"/>
      <c r="E667" s="51"/>
      <c r="F667" s="57" t="s">
        <v>1266</v>
      </c>
      <c r="G667" s="51"/>
      <c r="H667" s="51"/>
      <c r="I667" s="51"/>
      <c r="J667" s="51"/>
      <c r="K667" s="52" t="str">
        <f aca="false">IF($A667&lt;&gt;"",$A667,"")</f>
        <v>Apprenant 655</v>
      </c>
      <c r="L667" s="53" t="str">
        <f aca="false">IF(AND($B667&lt;&gt;"",$C667&lt;&gt;""),$C667-$B667,"")</f>
        <v/>
      </c>
      <c r="M667" s="53" t="str">
        <f aca="false">IF(AND($B667&lt;&gt;"",$D667&lt;&gt;""),$D667-$B667,"")</f>
        <v/>
      </c>
      <c r="N667" s="53" t="str">
        <f aca="false">IF(AND($C667&lt;&gt;"",$D667&lt;&gt;""),$D667-$C667,"")</f>
        <v/>
      </c>
      <c r="O667" s="53" t="str">
        <f aca="false">IF($E667&lt;&gt;"",$E667,"")</f>
        <v/>
      </c>
      <c r="P667" s="52" t="str">
        <f aca="false">IF($F667&lt;&gt;"",$F667,"")</f>
        <v>Apprenant 655 ou 655'</v>
      </c>
      <c r="Q667" s="53" t="str">
        <f aca="false">IF(AND($G667&lt;&gt;"",$H667&lt;&gt;""),$H667-$G667,"")</f>
        <v/>
      </c>
      <c r="R667" s="53" t="str">
        <f aca="false">IF(AND($G667&lt;&gt;"",$I667&lt;&gt;""),$I667-$G667,"")</f>
        <v/>
      </c>
      <c r="S667" s="53" t="str">
        <f aca="false">IF(AND($H667&lt;&gt;"",$I667&lt;&gt;""),$I667-$H667,"")</f>
        <v/>
      </c>
      <c r="T667" s="53" t="str">
        <f aca="false">IF($J667&lt;&gt;"",$J667,"")</f>
        <v/>
      </c>
      <c r="V667" s="52" t="str">
        <f aca="false">IF($A667&lt;&gt;"",$A667,"")</f>
        <v>Apprenant 655</v>
      </c>
      <c r="W667" s="53" t="str">
        <f aca="false">IF(AND(OR('Choix pédagogiques'!$C$3=1,'Choix pédagogiques'!$C$3=2),$BM667=1),B667,IF(AND('Choix pédagogiques'!$C$3=3,$BO667=1),B667,""))</f>
        <v/>
      </c>
      <c r="X667" s="53" t="str">
        <f aca="false">IF(AND(OR('Choix pédagogiques'!$C$3=1,'Choix pédagogiques'!$C$3=2),$BM667=1),C667,IF(AND('Choix pédagogiques'!$C$3=3,$BO667=1),C667,""))</f>
        <v/>
      </c>
      <c r="Y667" s="53" t="str">
        <f aca="false">IF(AND(OR('Choix pédagogiques'!$C$3=1,'Choix pédagogiques'!$C$3=2),$BM667=1),D667,IF(AND('Choix pédagogiques'!$C$3=3,$BO667=1),D667,""))</f>
        <v/>
      </c>
      <c r="Z667" s="53" t="str">
        <f aca="false">IF($E667&lt;&gt;"",$E667,"")</f>
        <v/>
      </c>
      <c r="AA667" s="52" t="str">
        <f aca="false">IF($F667&lt;&gt;"",$F667,"")</f>
        <v>Apprenant 655 ou 655'</v>
      </c>
      <c r="AB667" s="53" t="str">
        <f aca="false">IF(AND(OR('Choix pédagogiques'!$C$3=1,'Choix pédagogiques'!$C$3=2),$BN667=1),G667,IF(AND('Choix pédagogiques'!$C$3=3,$BO667=1),G667,""))</f>
        <v/>
      </c>
      <c r="AC667" s="53" t="str">
        <f aca="false">IF(AND(OR('Choix pédagogiques'!$C$3=1,'Choix pédagogiques'!$C$3=2),$BN667=1),H667,IF(AND('Choix pédagogiques'!$C$3=3,$BO667=1),H667,""))</f>
        <v/>
      </c>
      <c r="AD667" s="53" t="str">
        <f aca="false">IF(AND(OR('Choix pédagogiques'!$C$3=1,'Choix pédagogiques'!$C$3=2),$BN667=1),I667,IF(AND('Choix pédagogiques'!$C$3=3,$BO667=1),I667,""))</f>
        <v/>
      </c>
      <c r="AE667" s="53" t="str">
        <f aca="false">IF($J667&lt;&gt;"",$J667,"")</f>
        <v/>
      </c>
      <c r="AF667" s="52" t="str">
        <f aca="false">IF($A667&lt;&gt;"",$A667,"")</f>
        <v>Apprenant 655</v>
      </c>
      <c r="AG667" s="53" t="str">
        <f aca="false">IF(AND($W667&lt;&gt;"",$X667&lt;&gt;""),$X667-$W667,"")</f>
        <v/>
      </c>
      <c r="AH667" s="53" t="str">
        <f aca="false">IF(AND($W667&lt;&gt;"",$Y667&lt;&gt;""),$Y667-$W667,"")</f>
        <v/>
      </c>
      <c r="AI667" s="53" t="str">
        <f aca="false">IF(AND($X667&lt;&gt;"",$Y667&lt;&gt;""),$Y667-$X667,"")</f>
        <v/>
      </c>
      <c r="AJ667" s="53" t="str">
        <f aca="false">IF($E667&lt;&gt;"",$E667,"")</f>
        <v/>
      </c>
      <c r="AK667" s="52" t="str">
        <f aca="false">IF($F667&lt;&gt;"",$F667,"")</f>
        <v>Apprenant 655 ou 655'</v>
      </c>
      <c r="AL667" s="53" t="str">
        <f aca="false">IF(AND($AB667&lt;&gt;"",$AC667&lt;&gt;""),$AC667-$AB667,"")</f>
        <v/>
      </c>
      <c r="AM667" s="53" t="str">
        <f aca="false">IF(AND($AB667&lt;&gt;"",$AD667&lt;&gt;""),$AD667-$AB667,"")</f>
        <v/>
      </c>
      <c r="AN667" s="53" t="str">
        <f aca="false">IF(AND($AC667&lt;&gt;"",$AD667&lt;&gt;""),$AD667-$AC667,"")</f>
        <v/>
      </c>
      <c r="AO667" s="53" t="str">
        <f aca="false">IF($J667&lt;&gt;"",$J667,"")</f>
        <v/>
      </c>
      <c r="AQ667" s="52" t="str">
        <f aca="false">IF($A667&lt;&gt;"",$A667,"")</f>
        <v>Apprenant 655</v>
      </c>
      <c r="AR667" s="55" t="str">
        <f aca="false">IF(AND('Choix pédagogiques'!$C$4&lt;&gt;"?",'Choix pédagogiques'!$C$5&lt;&gt;"?",W667&lt;&gt;""),(W667-'Choix pédagogiques'!$C$4)/('Choix pédagogiques'!$C$5-'Choix pédagogiques'!$C$4),"")</f>
        <v/>
      </c>
      <c r="AS667" s="55" t="str">
        <f aca="false">IF(AND('Choix pédagogiques'!$C$4&lt;&gt;"?",'Choix pédagogiques'!$C$5&lt;&gt;"?",X667&lt;&gt;""),(X667-'Choix pédagogiques'!$C$4)/('Choix pédagogiques'!$C$5-'Choix pédagogiques'!$C$4),"")</f>
        <v/>
      </c>
      <c r="AT667" s="55" t="str">
        <f aca="false">IF(AND('Choix pédagogiques'!$C$4&lt;&gt;"?",'Choix pédagogiques'!$C$5&lt;&gt;"?",Y667&lt;&gt;""),(Y667-'Choix pédagogiques'!$C$4)/('Choix pédagogiques'!$C$5-'Choix pédagogiques'!$C$4),"")</f>
        <v/>
      </c>
      <c r="AU667" s="53" t="str">
        <f aca="false">IF($E667&lt;&gt;"",$E667,"")</f>
        <v/>
      </c>
      <c r="AV667" s="52" t="str">
        <f aca="false">IF($F667&lt;&gt;"",$F667,"")</f>
        <v>Apprenant 655 ou 655'</v>
      </c>
      <c r="AW667" s="55" t="str">
        <f aca="false">IF(AND('Choix pédagogiques'!$C$4&lt;&gt;"?",'Choix pédagogiques'!$C$5&lt;&gt;"?",AB667&lt;&gt;""),(AB667-'Choix pédagogiques'!$C$4)/('Choix pédagogiques'!$C$5-'Choix pédagogiques'!$C$4),"")</f>
        <v/>
      </c>
      <c r="AX667" s="55" t="str">
        <f aca="false">IF(AND('Choix pédagogiques'!$C$4&lt;&gt;"?",'Choix pédagogiques'!$C$5&lt;&gt;"?",AC667&lt;&gt;""),(AC667-'Choix pédagogiques'!$C$4)/('Choix pédagogiques'!$C$5-'Choix pédagogiques'!$C$4),"")</f>
        <v/>
      </c>
      <c r="AY667" s="55" t="str">
        <f aca="false">IF(AND('Choix pédagogiques'!$C$4&lt;&gt;"?",'Choix pédagogiques'!$C$5&lt;&gt;"?",AD667&lt;&gt;""),(AD667-'Choix pédagogiques'!$C$4)/('Choix pédagogiques'!$C$5-'Choix pédagogiques'!$C$4),"")</f>
        <v/>
      </c>
      <c r="AZ667" s="53" t="str">
        <f aca="false">IF($J667&lt;&gt;"",$J667,"")</f>
        <v/>
      </c>
      <c r="BA667" s="52" t="str">
        <f aca="false">IF($A667&lt;&gt;"",$A667,"")</f>
        <v>Apprenant 655</v>
      </c>
      <c r="BB667" s="55" t="str">
        <f aca="false">IF(AND($AR667&lt;&gt;"",$AS667&lt;&gt;""),$AS667-$AR667,"")</f>
        <v/>
      </c>
      <c r="BC667" s="55" t="str">
        <f aca="false">IF(AND($AR667&lt;&gt;"",$AT667&lt;&gt;""),$AT667-$AR667,"")</f>
        <v/>
      </c>
      <c r="BD667" s="55" t="str">
        <f aca="false">IF(AND($AS667&lt;&gt;"",$AT667&lt;&gt;""),$AT667-$AS667,"")</f>
        <v/>
      </c>
      <c r="BE667" s="53" t="str">
        <f aca="false">IF($E667&lt;&gt;"",$E667,"")</f>
        <v/>
      </c>
      <c r="BF667" s="52" t="str">
        <f aca="false">IF($F667&lt;&gt;"",$F667,"")</f>
        <v>Apprenant 655 ou 655'</v>
      </c>
      <c r="BG667" s="55" t="str">
        <f aca="false">IF(AND($AW667&lt;&gt;"",$AX667&lt;&gt;""),$AX667-$AW667,"")</f>
        <v/>
      </c>
      <c r="BH667" s="55" t="str">
        <f aca="false">IF(AND($AW667&lt;&gt;"",$AY667&lt;&gt;""),$AY667-$AW667,"")</f>
        <v/>
      </c>
      <c r="BI667" s="55" t="str">
        <f aca="false">IF(AND($AX667&lt;&gt;"",$AY667&lt;&gt;""),$AY667-$AX667,"")</f>
        <v/>
      </c>
      <c r="BJ667" s="53" t="str">
        <f aca="false">IF($J667&lt;&gt;"",$J667,"")</f>
        <v/>
      </c>
      <c r="BL667" s="52"/>
      <c r="BM667" s="52" t="str">
        <f aca="false">IF(OR(COUNT(B667:D1666)=0,AND('Choix pédagogiques'!$C$3&lt;&gt;1,'Choix pédagogiques'!$C$3&lt;&gt;2)),"",IF(AND(OR('Choix pédagogiques'!$C$3=1,'Choix pédagogiques'!$C$3=2),$B667&lt;&gt;"",$C667&lt;&gt;"",$D667&lt;&gt;""),1,0))</f>
        <v/>
      </c>
      <c r="BN667" s="52" t="str">
        <f aca="false">IF(OR(COUNT(G667:I1666)=0,AND('Choix pédagogiques'!$C$3&lt;&gt;1,'Choix pédagogiques'!$C$3&lt;&gt;2)),"",IF(AND(OR('Choix pédagogiques'!$C$3=1,'Choix pédagogiques'!$C$3=2),AND($G667&lt;&gt;"",$H667&lt;&gt;"",$I667&lt;&gt;"")),1,0))</f>
        <v/>
      </c>
      <c r="BO667" s="52" t="str">
        <f aca="false">IF(OR(COUNT(B667:D1666)=0,COUNT(G667:I1666)=0,'Choix pédagogiques'!C$3&lt;&gt;3),"",IF(AND('Choix pédagogiques'!$C$3=3,$B667&lt;&gt;"",$C667&lt;&gt;"",$D667&lt;&gt;"",$G667&lt;&gt;"",$H667&lt;&gt;"",$I667&lt;&gt;""),1,0))</f>
        <v/>
      </c>
      <c r="BR667" s="52" t="n">
        <v>15</v>
      </c>
      <c r="BS667" s="52" t="n">
        <v>1732</v>
      </c>
    </row>
    <row r="668" s="54" customFormat="true" ht="18" hidden="false" customHeight="true" outlineLevel="0" collapsed="false">
      <c r="A668" s="57" t="s">
        <v>1267</v>
      </c>
      <c r="B668" s="51"/>
      <c r="C668" s="51"/>
      <c r="D668" s="51"/>
      <c r="E668" s="51"/>
      <c r="F668" s="57" t="s">
        <v>1268</v>
      </c>
      <c r="G668" s="51"/>
      <c r="H668" s="51"/>
      <c r="I668" s="51"/>
      <c r="J668" s="51"/>
      <c r="K668" s="52" t="str">
        <f aca="false">IF($A668&lt;&gt;"",$A668,"")</f>
        <v>Apprenant 656</v>
      </c>
      <c r="L668" s="53" t="str">
        <f aca="false">IF(AND($B668&lt;&gt;"",$C668&lt;&gt;""),$C668-$B668,"")</f>
        <v/>
      </c>
      <c r="M668" s="53" t="str">
        <f aca="false">IF(AND($B668&lt;&gt;"",$D668&lt;&gt;""),$D668-$B668,"")</f>
        <v/>
      </c>
      <c r="N668" s="53" t="str">
        <f aca="false">IF(AND($C668&lt;&gt;"",$D668&lt;&gt;""),$D668-$C668,"")</f>
        <v/>
      </c>
      <c r="O668" s="53" t="str">
        <f aca="false">IF($E668&lt;&gt;"",$E668,"")</f>
        <v/>
      </c>
      <c r="P668" s="52" t="str">
        <f aca="false">IF($F668&lt;&gt;"",$F668,"")</f>
        <v>Apprenant 656 ou 656'</v>
      </c>
      <c r="Q668" s="53" t="str">
        <f aca="false">IF(AND($G668&lt;&gt;"",$H668&lt;&gt;""),$H668-$G668,"")</f>
        <v/>
      </c>
      <c r="R668" s="53" t="str">
        <f aca="false">IF(AND($G668&lt;&gt;"",$I668&lt;&gt;""),$I668-$G668,"")</f>
        <v/>
      </c>
      <c r="S668" s="53" t="str">
        <f aca="false">IF(AND($H668&lt;&gt;"",$I668&lt;&gt;""),$I668-$H668,"")</f>
        <v/>
      </c>
      <c r="T668" s="53" t="str">
        <f aca="false">IF($J668&lt;&gt;"",$J668,"")</f>
        <v/>
      </c>
      <c r="V668" s="52" t="str">
        <f aca="false">IF($A668&lt;&gt;"",$A668,"")</f>
        <v>Apprenant 656</v>
      </c>
      <c r="W668" s="53" t="str">
        <f aca="false">IF(AND(OR('Choix pédagogiques'!$C$3=1,'Choix pédagogiques'!$C$3=2),$BM668=1),B668,IF(AND('Choix pédagogiques'!$C$3=3,$BO668=1),B668,""))</f>
        <v/>
      </c>
      <c r="X668" s="53" t="str">
        <f aca="false">IF(AND(OR('Choix pédagogiques'!$C$3=1,'Choix pédagogiques'!$C$3=2),$BM668=1),C668,IF(AND('Choix pédagogiques'!$C$3=3,$BO668=1),C668,""))</f>
        <v/>
      </c>
      <c r="Y668" s="53" t="str">
        <f aca="false">IF(AND(OR('Choix pédagogiques'!$C$3=1,'Choix pédagogiques'!$C$3=2),$BM668=1),D668,IF(AND('Choix pédagogiques'!$C$3=3,$BO668=1),D668,""))</f>
        <v/>
      </c>
      <c r="Z668" s="53" t="str">
        <f aca="false">IF($E668&lt;&gt;"",$E668,"")</f>
        <v/>
      </c>
      <c r="AA668" s="52" t="str">
        <f aca="false">IF($F668&lt;&gt;"",$F668,"")</f>
        <v>Apprenant 656 ou 656'</v>
      </c>
      <c r="AB668" s="53" t="str">
        <f aca="false">IF(AND(OR('Choix pédagogiques'!$C$3=1,'Choix pédagogiques'!$C$3=2),$BN668=1),G668,IF(AND('Choix pédagogiques'!$C$3=3,$BO668=1),G668,""))</f>
        <v/>
      </c>
      <c r="AC668" s="53" t="str">
        <f aca="false">IF(AND(OR('Choix pédagogiques'!$C$3=1,'Choix pédagogiques'!$C$3=2),$BN668=1),H668,IF(AND('Choix pédagogiques'!$C$3=3,$BO668=1),H668,""))</f>
        <v/>
      </c>
      <c r="AD668" s="53" t="str">
        <f aca="false">IF(AND(OR('Choix pédagogiques'!$C$3=1,'Choix pédagogiques'!$C$3=2),$BN668=1),I668,IF(AND('Choix pédagogiques'!$C$3=3,$BO668=1),I668,""))</f>
        <v/>
      </c>
      <c r="AE668" s="53" t="str">
        <f aca="false">IF($J668&lt;&gt;"",$J668,"")</f>
        <v/>
      </c>
      <c r="AF668" s="52" t="str">
        <f aca="false">IF($A668&lt;&gt;"",$A668,"")</f>
        <v>Apprenant 656</v>
      </c>
      <c r="AG668" s="53" t="str">
        <f aca="false">IF(AND($W668&lt;&gt;"",$X668&lt;&gt;""),$X668-$W668,"")</f>
        <v/>
      </c>
      <c r="AH668" s="53" t="str">
        <f aca="false">IF(AND($W668&lt;&gt;"",$Y668&lt;&gt;""),$Y668-$W668,"")</f>
        <v/>
      </c>
      <c r="AI668" s="53" t="str">
        <f aca="false">IF(AND($X668&lt;&gt;"",$Y668&lt;&gt;""),$Y668-$X668,"")</f>
        <v/>
      </c>
      <c r="AJ668" s="53" t="str">
        <f aca="false">IF($E668&lt;&gt;"",$E668,"")</f>
        <v/>
      </c>
      <c r="AK668" s="52" t="str">
        <f aca="false">IF($F668&lt;&gt;"",$F668,"")</f>
        <v>Apprenant 656 ou 656'</v>
      </c>
      <c r="AL668" s="53" t="str">
        <f aca="false">IF(AND($AB668&lt;&gt;"",$AC668&lt;&gt;""),$AC668-$AB668,"")</f>
        <v/>
      </c>
      <c r="AM668" s="53" t="str">
        <f aca="false">IF(AND($AB668&lt;&gt;"",$AD668&lt;&gt;""),$AD668-$AB668,"")</f>
        <v/>
      </c>
      <c r="AN668" s="53" t="str">
        <f aca="false">IF(AND($AC668&lt;&gt;"",$AD668&lt;&gt;""),$AD668-$AC668,"")</f>
        <v/>
      </c>
      <c r="AO668" s="53" t="str">
        <f aca="false">IF($J668&lt;&gt;"",$J668,"")</f>
        <v/>
      </c>
      <c r="AQ668" s="52" t="str">
        <f aca="false">IF($A668&lt;&gt;"",$A668,"")</f>
        <v>Apprenant 656</v>
      </c>
      <c r="AR668" s="55" t="str">
        <f aca="false">IF(AND('Choix pédagogiques'!$C$4&lt;&gt;"?",'Choix pédagogiques'!$C$5&lt;&gt;"?",W668&lt;&gt;""),(W668-'Choix pédagogiques'!$C$4)/('Choix pédagogiques'!$C$5-'Choix pédagogiques'!$C$4),"")</f>
        <v/>
      </c>
      <c r="AS668" s="55" t="str">
        <f aca="false">IF(AND('Choix pédagogiques'!$C$4&lt;&gt;"?",'Choix pédagogiques'!$C$5&lt;&gt;"?",X668&lt;&gt;""),(X668-'Choix pédagogiques'!$C$4)/('Choix pédagogiques'!$C$5-'Choix pédagogiques'!$C$4),"")</f>
        <v/>
      </c>
      <c r="AT668" s="55" t="str">
        <f aca="false">IF(AND('Choix pédagogiques'!$C$4&lt;&gt;"?",'Choix pédagogiques'!$C$5&lt;&gt;"?",Y668&lt;&gt;""),(Y668-'Choix pédagogiques'!$C$4)/('Choix pédagogiques'!$C$5-'Choix pédagogiques'!$C$4),"")</f>
        <v/>
      </c>
      <c r="AU668" s="53" t="str">
        <f aca="false">IF($E668&lt;&gt;"",$E668,"")</f>
        <v/>
      </c>
      <c r="AV668" s="52" t="str">
        <f aca="false">IF($F668&lt;&gt;"",$F668,"")</f>
        <v>Apprenant 656 ou 656'</v>
      </c>
      <c r="AW668" s="55" t="str">
        <f aca="false">IF(AND('Choix pédagogiques'!$C$4&lt;&gt;"?",'Choix pédagogiques'!$C$5&lt;&gt;"?",AB668&lt;&gt;""),(AB668-'Choix pédagogiques'!$C$4)/('Choix pédagogiques'!$C$5-'Choix pédagogiques'!$C$4),"")</f>
        <v/>
      </c>
      <c r="AX668" s="55" t="str">
        <f aca="false">IF(AND('Choix pédagogiques'!$C$4&lt;&gt;"?",'Choix pédagogiques'!$C$5&lt;&gt;"?",AC668&lt;&gt;""),(AC668-'Choix pédagogiques'!$C$4)/('Choix pédagogiques'!$C$5-'Choix pédagogiques'!$C$4),"")</f>
        <v/>
      </c>
      <c r="AY668" s="55" t="str">
        <f aca="false">IF(AND('Choix pédagogiques'!$C$4&lt;&gt;"?",'Choix pédagogiques'!$C$5&lt;&gt;"?",AD668&lt;&gt;""),(AD668-'Choix pédagogiques'!$C$4)/('Choix pédagogiques'!$C$5-'Choix pédagogiques'!$C$4),"")</f>
        <v/>
      </c>
      <c r="AZ668" s="53" t="str">
        <f aca="false">IF($J668&lt;&gt;"",$J668,"")</f>
        <v/>
      </c>
      <c r="BA668" s="52" t="str">
        <f aca="false">IF($A668&lt;&gt;"",$A668,"")</f>
        <v>Apprenant 656</v>
      </c>
      <c r="BB668" s="55" t="str">
        <f aca="false">IF(AND($AR668&lt;&gt;"",$AS668&lt;&gt;""),$AS668-$AR668,"")</f>
        <v/>
      </c>
      <c r="BC668" s="55" t="str">
        <f aca="false">IF(AND($AR668&lt;&gt;"",$AT668&lt;&gt;""),$AT668-$AR668,"")</f>
        <v/>
      </c>
      <c r="BD668" s="55" t="str">
        <f aca="false">IF(AND($AS668&lt;&gt;"",$AT668&lt;&gt;""),$AT668-$AS668,"")</f>
        <v/>
      </c>
      <c r="BE668" s="53" t="str">
        <f aca="false">IF($E668&lt;&gt;"",$E668,"")</f>
        <v/>
      </c>
      <c r="BF668" s="52" t="str">
        <f aca="false">IF($F668&lt;&gt;"",$F668,"")</f>
        <v>Apprenant 656 ou 656'</v>
      </c>
      <c r="BG668" s="55" t="str">
        <f aca="false">IF(AND($AW668&lt;&gt;"",$AX668&lt;&gt;""),$AX668-$AW668,"")</f>
        <v/>
      </c>
      <c r="BH668" s="55" t="str">
        <f aca="false">IF(AND($AW668&lt;&gt;"",$AY668&lt;&gt;""),$AY668-$AW668,"")</f>
        <v/>
      </c>
      <c r="BI668" s="55" t="str">
        <f aca="false">IF(AND($AX668&lt;&gt;"",$AY668&lt;&gt;""),$AY668-$AX668,"")</f>
        <v/>
      </c>
      <c r="BJ668" s="53" t="str">
        <f aca="false">IF($J668&lt;&gt;"",$J668,"")</f>
        <v/>
      </c>
      <c r="BL668" s="52"/>
      <c r="BM668" s="52" t="str">
        <f aca="false">IF(OR(COUNT(B668:D1667)=0,AND('Choix pédagogiques'!$C$3&lt;&gt;1,'Choix pédagogiques'!$C$3&lt;&gt;2)),"",IF(AND(OR('Choix pédagogiques'!$C$3=1,'Choix pédagogiques'!$C$3=2),$B668&lt;&gt;"",$C668&lt;&gt;"",$D668&lt;&gt;""),1,0))</f>
        <v/>
      </c>
      <c r="BN668" s="52" t="str">
        <f aca="false">IF(OR(COUNT(G668:I1667)=0,AND('Choix pédagogiques'!$C$3&lt;&gt;1,'Choix pédagogiques'!$C$3&lt;&gt;2)),"",IF(AND(OR('Choix pédagogiques'!$C$3=1,'Choix pédagogiques'!$C$3=2),AND($G668&lt;&gt;"",$H668&lt;&gt;"",$I668&lt;&gt;"")),1,0))</f>
        <v/>
      </c>
      <c r="BO668" s="52" t="str">
        <f aca="false">IF(OR(COUNT(B668:D1667)=0,COUNT(G668:I1667)=0,'Choix pédagogiques'!C$3&lt;&gt;3),"",IF(AND('Choix pédagogiques'!$C$3=3,$B668&lt;&gt;"",$C668&lt;&gt;"",$D668&lt;&gt;"",$G668&lt;&gt;"",$H668&lt;&gt;"",$I668&lt;&gt;""),1,0))</f>
        <v/>
      </c>
      <c r="BR668" s="52" t="n">
        <v>996</v>
      </c>
      <c r="BS668" s="52" t="n">
        <v>1042</v>
      </c>
    </row>
    <row r="669" s="54" customFormat="true" ht="18" hidden="false" customHeight="true" outlineLevel="0" collapsed="false">
      <c r="A669" s="57" t="s">
        <v>1269</v>
      </c>
      <c r="B669" s="51"/>
      <c r="C669" s="51"/>
      <c r="D669" s="51"/>
      <c r="E669" s="51"/>
      <c r="F669" s="57" t="s">
        <v>1270</v>
      </c>
      <c r="G669" s="51"/>
      <c r="H669" s="51"/>
      <c r="I669" s="51"/>
      <c r="J669" s="51"/>
      <c r="K669" s="52" t="str">
        <f aca="false">IF($A669&lt;&gt;"",$A669,"")</f>
        <v>Apprenant 657</v>
      </c>
      <c r="L669" s="53" t="str">
        <f aca="false">IF(AND($B669&lt;&gt;"",$C669&lt;&gt;""),$C669-$B669,"")</f>
        <v/>
      </c>
      <c r="M669" s="53" t="str">
        <f aca="false">IF(AND($B669&lt;&gt;"",$D669&lt;&gt;""),$D669-$B669,"")</f>
        <v/>
      </c>
      <c r="N669" s="53" t="str">
        <f aca="false">IF(AND($C669&lt;&gt;"",$D669&lt;&gt;""),$D669-$C669,"")</f>
        <v/>
      </c>
      <c r="O669" s="53" t="str">
        <f aca="false">IF($E669&lt;&gt;"",$E669,"")</f>
        <v/>
      </c>
      <c r="P669" s="52" t="str">
        <f aca="false">IF($F669&lt;&gt;"",$F669,"")</f>
        <v>Apprenant 657 ou 657'</v>
      </c>
      <c r="Q669" s="53" t="str">
        <f aca="false">IF(AND($G669&lt;&gt;"",$H669&lt;&gt;""),$H669-$G669,"")</f>
        <v/>
      </c>
      <c r="R669" s="53" t="str">
        <f aca="false">IF(AND($G669&lt;&gt;"",$I669&lt;&gt;""),$I669-$G669,"")</f>
        <v/>
      </c>
      <c r="S669" s="53" t="str">
        <f aca="false">IF(AND($H669&lt;&gt;"",$I669&lt;&gt;""),$I669-$H669,"")</f>
        <v/>
      </c>
      <c r="T669" s="53" t="str">
        <f aca="false">IF($J669&lt;&gt;"",$J669,"")</f>
        <v/>
      </c>
      <c r="V669" s="52" t="str">
        <f aca="false">IF($A669&lt;&gt;"",$A669,"")</f>
        <v>Apprenant 657</v>
      </c>
      <c r="W669" s="53" t="str">
        <f aca="false">IF(AND(OR('Choix pédagogiques'!$C$3=1,'Choix pédagogiques'!$C$3=2),$BM669=1),B669,IF(AND('Choix pédagogiques'!$C$3=3,$BO669=1),B669,""))</f>
        <v/>
      </c>
      <c r="X669" s="53" t="str">
        <f aca="false">IF(AND(OR('Choix pédagogiques'!$C$3=1,'Choix pédagogiques'!$C$3=2),$BM669=1),C669,IF(AND('Choix pédagogiques'!$C$3=3,$BO669=1),C669,""))</f>
        <v/>
      </c>
      <c r="Y669" s="53" t="str">
        <f aca="false">IF(AND(OR('Choix pédagogiques'!$C$3=1,'Choix pédagogiques'!$C$3=2),$BM669=1),D669,IF(AND('Choix pédagogiques'!$C$3=3,$BO669=1),D669,""))</f>
        <v/>
      </c>
      <c r="Z669" s="53" t="str">
        <f aca="false">IF($E669&lt;&gt;"",$E669,"")</f>
        <v/>
      </c>
      <c r="AA669" s="52" t="str">
        <f aca="false">IF($F669&lt;&gt;"",$F669,"")</f>
        <v>Apprenant 657 ou 657'</v>
      </c>
      <c r="AB669" s="53" t="str">
        <f aca="false">IF(AND(OR('Choix pédagogiques'!$C$3=1,'Choix pédagogiques'!$C$3=2),$BN669=1),G669,IF(AND('Choix pédagogiques'!$C$3=3,$BO669=1),G669,""))</f>
        <v/>
      </c>
      <c r="AC669" s="53" t="str">
        <f aca="false">IF(AND(OR('Choix pédagogiques'!$C$3=1,'Choix pédagogiques'!$C$3=2),$BN669=1),H669,IF(AND('Choix pédagogiques'!$C$3=3,$BO669=1),H669,""))</f>
        <v/>
      </c>
      <c r="AD669" s="53" t="str">
        <f aca="false">IF(AND(OR('Choix pédagogiques'!$C$3=1,'Choix pédagogiques'!$C$3=2),$BN669=1),I669,IF(AND('Choix pédagogiques'!$C$3=3,$BO669=1),I669,""))</f>
        <v/>
      </c>
      <c r="AE669" s="53" t="str">
        <f aca="false">IF($J669&lt;&gt;"",$J669,"")</f>
        <v/>
      </c>
      <c r="AF669" s="52" t="str">
        <f aca="false">IF($A669&lt;&gt;"",$A669,"")</f>
        <v>Apprenant 657</v>
      </c>
      <c r="AG669" s="53" t="str">
        <f aca="false">IF(AND($W669&lt;&gt;"",$X669&lt;&gt;""),$X669-$W669,"")</f>
        <v/>
      </c>
      <c r="AH669" s="53" t="str">
        <f aca="false">IF(AND($W669&lt;&gt;"",$Y669&lt;&gt;""),$Y669-$W669,"")</f>
        <v/>
      </c>
      <c r="AI669" s="53" t="str">
        <f aca="false">IF(AND($X669&lt;&gt;"",$Y669&lt;&gt;""),$Y669-$X669,"")</f>
        <v/>
      </c>
      <c r="AJ669" s="53" t="str">
        <f aca="false">IF($E669&lt;&gt;"",$E669,"")</f>
        <v/>
      </c>
      <c r="AK669" s="52" t="str">
        <f aca="false">IF($F669&lt;&gt;"",$F669,"")</f>
        <v>Apprenant 657 ou 657'</v>
      </c>
      <c r="AL669" s="53" t="str">
        <f aca="false">IF(AND($AB669&lt;&gt;"",$AC669&lt;&gt;""),$AC669-$AB669,"")</f>
        <v/>
      </c>
      <c r="AM669" s="53" t="str">
        <f aca="false">IF(AND($AB669&lt;&gt;"",$AD669&lt;&gt;""),$AD669-$AB669,"")</f>
        <v/>
      </c>
      <c r="AN669" s="53" t="str">
        <f aca="false">IF(AND($AC669&lt;&gt;"",$AD669&lt;&gt;""),$AD669-$AC669,"")</f>
        <v/>
      </c>
      <c r="AO669" s="53" t="str">
        <f aca="false">IF($J669&lt;&gt;"",$J669,"")</f>
        <v/>
      </c>
      <c r="AQ669" s="52" t="str">
        <f aca="false">IF($A669&lt;&gt;"",$A669,"")</f>
        <v>Apprenant 657</v>
      </c>
      <c r="AR669" s="55" t="str">
        <f aca="false">IF(AND('Choix pédagogiques'!$C$4&lt;&gt;"?",'Choix pédagogiques'!$C$5&lt;&gt;"?",W669&lt;&gt;""),(W669-'Choix pédagogiques'!$C$4)/('Choix pédagogiques'!$C$5-'Choix pédagogiques'!$C$4),"")</f>
        <v/>
      </c>
      <c r="AS669" s="55" t="str">
        <f aca="false">IF(AND('Choix pédagogiques'!$C$4&lt;&gt;"?",'Choix pédagogiques'!$C$5&lt;&gt;"?",X669&lt;&gt;""),(X669-'Choix pédagogiques'!$C$4)/('Choix pédagogiques'!$C$5-'Choix pédagogiques'!$C$4),"")</f>
        <v/>
      </c>
      <c r="AT669" s="55" t="str">
        <f aca="false">IF(AND('Choix pédagogiques'!$C$4&lt;&gt;"?",'Choix pédagogiques'!$C$5&lt;&gt;"?",Y669&lt;&gt;""),(Y669-'Choix pédagogiques'!$C$4)/('Choix pédagogiques'!$C$5-'Choix pédagogiques'!$C$4),"")</f>
        <v/>
      </c>
      <c r="AU669" s="53" t="str">
        <f aca="false">IF($E669&lt;&gt;"",$E669,"")</f>
        <v/>
      </c>
      <c r="AV669" s="52" t="str">
        <f aca="false">IF($F669&lt;&gt;"",$F669,"")</f>
        <v>Apprenant 657 ou 657'</v>
      </c>
      <c r="AW669" s="55" t="str">
        <f aca="false">IF(AND('Choix pédagogiques'!$C$4&lt;&gt;"?",'Choix pédagogiques'!$C$5&lt;&gt;"?",AB669&lt;&gt;""),(AB669-'Choix pédagogiques'!$C$4)/('Choix pédagogiques'!$C$5-'Choix pédagogiques'!$C$4),"")</f>
        <v/>
      </c>
      <c r="AX669" s="55" t="str">
        <f aca="false">IF(AND('Choix pédagogiques'!$C$4&lt;&gt;"?",'Choix pédagogiques'!$C$5&lt;&gt;"?",AC669&lt;&gt;""),(AC669-'Choix pédagogiques'!$C$4)/('Choix pédagogiques'!$C$5-'Choix pédagogiques'!$C$4),"")</f>
        <v/>
      </c>
      <c r="AY669" s="55" t="str">
        <f aca="false">IF(AND('Choix pédagogiques'!$C$4&lt;&gt;"?",'Choix pédagogiques'!$C$5&lt;&gt;"?",AD669&lt;&gt;""),(AD669-'Choix pédagogiques'!$C$4)/('Choix pédagogiques'!$C$5-'Choix pédagogiques'!$C$4),"")</f>
        <v/>
      </c>
      <c r="AZ669" s="53" t="str">
        <f aca="false">IF($J669&lt;&gt;"",$J669,"")</f>
        <v/>
      </c>
      <c r="BA669" s="52" t="str">
        <f aca="false">IF($A669&lt;&gt;"",$A669,"")</f>
        <v>Apprenant 657</v>
      </c>
      <c r="BB669" s="55" t="str">
        <f aca="false">IF(AND($AR669&lt;&gt;"",$AS669&lt;&gt;""),$AS669-$AR669,"")</f>
        <v/>
      </c>
      <c r="BC669" s="55" t="str">
        <f aca="false">IF(AND($AR669&lt;&gt;"",$AT669&lt;&gt;""),$AT669-$AR669,"")</f>
        <v/>
      </c>
      <c r="BD669" s="55" t="str">
        <f aca="false">IF(AND($AS669&lt;&gt;"",$AT669&lt;&gt;""),$AT669-$AS669,"")</f>
        <v/>
      </c>
      <c r="BE669" s="53" t="str">
        <f aca="false">IF($E669&lt;&gt;"",$E669,"")</f>
        <v/>
      </c>
      <c r="BF669" s="52" t="str">
        <f aca="false">IF($F669&lt;&gt;"",$F669,"")</f>
        <v>Apprenant 657 ou 657'</v>
      </c>
      <c r="BG669" s="55" t="str">
        <f aca="false">IF(AND($AW669&lt;&gt;"",$AX669&lt;&gt;""),$AX669-$AW669,"")</f>
        <v/>
      </c>
      <c r="BH669" s="55" t="str">
        <f aca="false">IF(AND($AW669&lt;&gt;"",$AY669&lt;&gt;""),$AY669-$AW669,"")</f>
        <v/>
      </c>
      <c r="BI669" s="55" t="str">
        <f aca="false">IF(AND($AX669&lt;&gt;"",$AY669&lt;&gt;""),$AY669-$AX669,"")</f>
        <v/>
      </c>
      <c r="BJ669" s="53" t="str">
        <f aca="false">IF($J669&lt;&gt;"",$J669,"")</f>
        <v/>
      </c>
      <c r="BL669" s="52"/>
      <c r="BM669" s="52" t="str">
        <f aca="false">IF(OR(COUNT(B669:D1668)=0,AND('Choix pédagogiques'!$C$3&lt;&gt;1,'Choix pédagogiques'!$C$3&lt;&gt;2)),"",IF(AND(OR('Choix pédagogiques'!$C$3=1,'Choix pédagogiques'!$C$3=2),$B669&lt;&gt;"",$C669&lt;&gt;"",$D669&lt;&gt;""),1,0))</f>
        <v/>
      </c>
      <c r="BN669" s="52" t="str">
        <f aca="false">IF(OR(COUNT(G669:I1668)=0,AND('Choix pédagogiques'!$C$3&lt;&gt;1,'Choix pédagogiques'!$C$3&lt;&gt;2)),"",IF(AND(OR('Choix pédagogiques'!$C$3=1,'Choix pédagogiques'!$C$3=2),AND($G669&lt;&gt;"",$H669&lt;&gt;"",$I669&lt;&gt;"")),1,0))</f>
        <v/>
      </c>
      <c r="BO669" s="52" t="str">
        <f aca="false">IF(OR(COUNT(B669:D1668)=0,COUNT(G669:I1668)=0,'Choix pédagogiques'!C$3&lt;&gt;3),"",IF(AND('Choix pédagogiques'!$C$3=3,$B669&lt;&gt;"",$C669&lt;&gt;"",$D669&lt;&gt;"",$G669&lt;&gt;"",$H669&lt;&gt;"",$I669&lt;&gt;""),1,0))</f>
        <v/>
      </c>
      <c r="BR669" s="52" t="n">
        <v>918</v>
      </c>
      <c r="BS669" s="52" t="n">
        <v>1724</v>
      </c>
    </row>
    <row r="670" s="54" customFormat="true" ht="18" hidden="false" customHeight="true" outlineLevel="0" collapsed="false">
      <c r="A670" s="57" t="s">
        <v>1271</v>
      </c>
      <c r="B670" s="51"/>
      <c r="C670" s="51"/>
      <c r="D670" s="51"/>
      <c r="E670" s="51"/>
      <c r="F670" s="57" t="s">
        <v>1272</v>
      </c>
      <c r="G670" s="51"/>
      <c r="H670" s="51"/>
      <c r="I670" s="51"/>
      <c r="J670" s="51"/>
      <c r="K670" s="52" t="str">
        <f aca="false">IF($A670&lt;&gt;"",$A670,"")</f>
        <v>Apprenant 658</v>
      </c>
      <c r="L670" s="53" t="str">
        <f aca="false">IF(AND($B670&lt;&gt;"",$C670&lt;&gt;""),$C670-$B670,"")</f>
        <v/>
      </c>
      <c r="M670" s="53" t="str">
        <f aca="false">IF(AND($B670&lt;&gt;"",$D670&lt;&gt;""),$D670-$B670,"")</f>
        <v/>
      </c>
      <c r="N670" s="53" t="str">
        <f aca="false">IF(AND($C670&lt;&gt;"",$D670&lt;&gt;""),$D670-$C670,"")</f>
        <v/>
      </c>
      <c r="O670" s="53" t="str">
        <f aca="false">IF($E670&lt;&gt;"",$E670,"")</f>
        <v/>
      </c>
      <c r="P670" s="52" t="str">
        <f aca="false">IF($F670&lt;&gt;"",$F670,"")</f>
        <v>Apprenant 658 ou 658'</v>
      </c>
      <c r="Q670" s="53" t="str">
        <f aca="false">IF(AND($G670&lt;&gt;"",$H670&lt;&gt;""),$H670-$G670,"")</f>
        <v/>
      </c>
      <c r="R670" s="53" t="str">
        <f aca="false">IF(AND($G670&lt;&gt;"",$I670&lt;&gt;""),$I670-$G670,"")</f>
        <v/>
      </c>
      <c r="S670" s="53" t="str">
        <f aca="false">IF(AND($H670&lt;&gt;"",$I670&lt;&gt;""),$I670-$H670,"")</f>
        <v/>
      </c>
      <c r="T670" s="53" t="str">
        <f aca="false">IF($J670&lt;&gt;"",$J670,"")</f>
        <v/>
      </c>
      <c r="V670" s="52" t="str">
        <f aca="false">IF($A670&lt;&gt;"",$A670,"")</f>
        <v>Apprenant 658</v>
      </c>
      <c r="W670" s="53" t="str">
        <f aca="false">IF(AND(OR('Choix pédagogiques'!$C$3=1,'Choix pédagogiques'!$C$3=2),$BM670=1),B670,IF(AND('Choix pédagogiques'!$C$3=3,$BO670=1),B670,""))</f>
        <v/>
      </c>
      <c r="X670" s="53" t="str">
        <f aca="false">IF(AND(OR('Choix pédagogiques'!$C$3=1,'Choix pédagogiques'!$C$3=2),$BM670=1),C670,IF(AND('Choix pédagogiques'!$C$3=3,$BO670=1),C670,""))</f>
        <v/>
      </c>
      <c r="Y670" s="53" t="str">
        <f aca="false">IF(AND(OR('Choix pédagogiques'!$C$3=1,'Choix pédagogiques'!$C$3=2),$BM670=1),D670,IF(AND('Choix pédagogiques'!$C$3=3,$BO670=1),D670,""))</f>
        <v/>
      </c>
      <c r="Z670" s="53" t="str">
        <f aca="false">IF($E670&lt;&gt;"",$E670,"")</f>
        <v/>
      </c>
      <c r="AA670" s="52" t="str">
        <f aca="false">IF($F670&lt;&gt;"",$F670,"")</f>
        <v>Apprenant 658 ou 658'</v>
      </c>
      <c r="AB670" s="53" t="str">
        <f aca="false">IF(AND(OR('Choix pédagogiques'!$C$3=1,'Choix pédagogiques'!$C$3=2),$BN670=1),G670,IF(AND('Choix pédagogiques'!$C$3=3,$BO670=1),G670,""))</f>
        <v/>
      </c>
      <c r="AC670" s="53" t="str">
        <f aca="false">IF(AND(OR('Choix pédagogiques'!$C$3=1,'Choix pédagogiques'!$C$3=2),$BN670=1),H670,IF(AND('Choix pédagogiques'!$C$3=3,$BO670=1),H670,""))</f>
        <v/>
      </c>
      <c r="AD670" s="53" t="str">
        <f aca="false">IF(AND(OR('Choix pédagogiques'!$C$3=1,'Choix pédagogiques'!$C$3=2),$BN670=1),I670,IF(AND('Choix pédagogiques'!$C$3=3,$BO670=1),I670,""))</f>
        <v/>
      </c>
      <c r="AE670" s="53" t="str">
        <f aca="false">IF($J670&lt;&gt;"",$J670,"")</f>
        <v/>
      </c>
      <c r="AF670" s="52" t="str">
        <f aca="false">IF($A670&lt;&gt;"",$A670,"")</f>
        <v>Apprenant 658</v>
      </c>
      <c r="AG670" s="53" t="str">
        <f aca="false">IF(AND($W670&lt;&gt;"",$X670&lt;&gt;""),$X670-$W670,"")</f>
        <v/>
      </c>
      <c r="AH670" s="53" t="str">
        <f aca="false">IF(AND($W670&lt;&gt;"",$Y670&lt;&gt;""),$Y670-$W670,"")</f>
        <v/>
      </c>
      <c r="AI670" s="53" t="str">
        <f aca="false">IF(AND($X670&lt;&gt;"",$Y670&lt;&gt;""),$Y670-$X670,"")</f>
        <v/>
      </c>
      <c r="AJ670" s="53" t="str">
        <f aca="false">IF($E670&lt;&gt;"",$E670,"")</f>
        <v/>
      </c>
      <c r="AK670" s="52" t="str">
        <f aca="false">IF($F670&lt;&gt;"",$F670,"")</f>
        <v>Apprenant 658 ou 658'</v>
      </c>
      <c r="AL670" s="53" t="str">
        <f aca="false">IF(AND($AB670&lt;&gt;"",$AC670&lt;&gt;""),$AC670-$AB670,"")</f>
        <v/>
      </c>
      <c r="AM670" s="53" t="str">
        <f aca="false">IF(AND($AB670&lt;&gt;"",$AD670&lt;&gt;""),$AD670-$AB670,"")</f>
        <v/>
      </c>
      <c r="AN670" s="53" t="str">
        <f aca="false">IF(AND($AC670&lt;&gt;"",$AD670&lt;&gt;""),$AD670-$AC670,"")</f>
        <v/>
      </c>
      <c r="AO670" s="53" t="str">
        <f aca="false">IF($J670&lt;&gt;"",$J670,"")</f>
        <v/>
      </c>
      <c r="AQ670" s="52" t="str">
        <f aca="false">IF($A670&lt;&gt;"",$A670,"")</f>
        <v>Apprenant 658</v>
      </c>
      <c r="AR670" s="55" t="str">
        <f aca="false">IF(AND('Choix pédagogiques'!$C$4&lt;&gt;"?",'Choix pédagogiques'!$C$5&lt;&gt;"?",W670&lt;&gt;""),(W670-'Choix pédagogiques'!$C$4)/('Choix pédagogiques'!$C$5-'Choix pédagogiques'!$C$4),"")</f>
        <v/>
      </c>
      <c r="AS670" s="55" t="str">
        <f aca="false">IF(AND('Choix pédagogiques'!$C$4&lt;&gt;"?",'Choix pédagogiques'!$C$5&lt;&gt;"?",X670&lt;&gt;""),(X670-'Choix pédagogiques'!$C$4)/('Choix pédagogiques'!$C$5-'Choix pédagogiques'!$C$4),"")</f>
        <v/>
      </c>
      <c r="AT670" s="55" t="str">
        <f aca="false">IF(AND('Choix pédagogiques'!$C$4&lt;&gt;"?",'Choix pédagogiques'!$C$5&lt;&gt;"?",Y670&lt;&gt;""),(Y670-'Choix pédagogiques'!$C$4)/('Choix pédagogiques'!$C$5-'Choix pédagogiques'!$C$4),"")</f>
        <v/>
      </c>
      <c r="AU670" s="53" t="str">
        <f aca="false">IF($E670&lt;&gt;"",$E670,"")</f>
        <v/>
      </c>
      <c r="AV670" s="52" t="str">
        <f aca="false">IF($F670&lt;&gt;"",$F670,"")</f>
        <v>Apprenant 658 ou 658'</v>
      </c>
      <c r="AW670" s="55" t="str">
        <f aca="false">IF(AND('Choix pédagogiques'!$C$4&lt;&gt;"?",'Choix pédagogiques'!$C$5&lt;&gt;"?",AB670&lt;&gt;""),(AB670-'Choix pédagogiques'!$C$4)/('Choix pédagogiques'!$C$5-'Choix pédagogiques'!$C$4),"")</f>
        <v/>
      </c>
      <c r="AX670" s="55" t="str">
        <f aca="false">IF(AND('Choix pédagogiques'!$C$4&lt;&gt;"?",'Choix pédagogiques'!$C$5&lt;&gt;"?",AC670&lt;&gt;""),(AC670-'Choix pédagogiques'!$C$4)/('Choix pédagogiques'!$C$5-'Choix pédagogiques'!$C$4),"")</f>
        <v/>
      </c>
      <c r="AY670" s="55" t="str">
        <f aca="false">IF(AND('Choix pédagogiques'!$C$4&lt;&gt;"?",'Choix pédagogiques'!$C$5&lt;&gt;"?",AD670&lt;&gt;""),(AD670-'Choix pédagogiques'!$C$4)/('Choix pédagogiques'!$C$5-'Choix pédagogiques'!$C$4),"")</f>
        <v/>
      </c>
      <c r="AZ670" s="53" t="str">
        <f aca="false">IF($J670&lt;&gt;"",$J670,"")</f>
        <v/>
      </c>
      <c r="BA670" s="52" t="str">
        <f aca="false">IF($A670&lt;&gt;"",$A670,"")</f>
        <v>Apprenant 658</v>
      </c>
      <c r="BB670" s="55" t="str">
        <f aca="false">IF(AND($AR670&lt;&gt;"",$AS670&lt;&gt;""),$AS670-$AR670,"")</f>
        <v/>
      </c>
      <c r="BC670" s="55" t="str">
        <f aca="false">IF(AND($AR670&lt;&gt;"",$AT670&lt;&gt;""),$AT670-$AR670,"")</f>
        <v/>
      </c>
      <c r="BD670" s="55" t="str">
        <f aca="false">IF(AND($AS670&lt;&gt;"",$AT670&lt;&gt;""),$AT670-$AS670,"")</f>
        <v/>
      </c>
      <c r="BE670" s="53" t="str">
        <f aca="false">IF($E670&lt;&gt;"",$E670,"")</f>
        <v/>
      </c>
      <c r="BF670" s="52" t="str">
        <f aca="false">IF($F670&lt;&gt;"",$F670,"")</f>
        <v>Apprenant 658 ou 658'</v>
      </c>
      <c r="BG670" s="55" t="str">
        <f aca="false">IF(AND($AW670&lt;&gt;"",$AX670&lt;&gt;""),$AX670-$AW670,"")</f>
        <v/>
      </c>
      <c r="BH670" s="55" t="str">
        <f aca="false">IF(AND($AW670&lt;&gt;"",$AY670&lt;&gt;""),$AY670-$AW670,"")</f>
        <v/>
      </c>
      <c r="BI670" s="55" t="str">
        <f aca="false">IF(AND($AX670&lt;&gt;"",$AY670&lt;&gt;""),$AY670-$AX670,"")</f>
        <v/>
      </c>
      <c r="BJ670" s="53" t="str">
        <f aca="false">IF($J670&lt;&gt;"",$J670,"")</f>
        <v/>
      </c>
      <c r="BL670" s="52"/>
      <c r="BM670" s="52" t="str">
        <f aca="false">IF(OR(COUNT(B670:D1669)=0,AND('Choix pédagogiques'!$C$3&lt;&gt;1,'Choix pédagogiques'!$C$3&lt;&gt;2)),"",IF(AND(OR('Choix pédagogiques'!$C$3=1,'Choix pédagogiques'!$C$3=2),$B670&lt;&gt;"",$C670&lt;&gt;"",$D670&lt;&gt;""),1,0))</f>
        <v/>
      </c>
      <c r="BN670" s="52" t="str">
        <f aca="false">IF(OR(COUNT(G670:I1669)=0,AND('Choix pédagogiques'!$C$3&lt;&gt;1,'Choix pédagogiques'!$C$3&lt;&gt;2)),"",IF(AND(OR('Choix pédagogiques'!$C$3=1,'Choix pédagogiques'!$C$3=2),AND($G670&lt;&gt;"",$H670&lt;&gt;"",$I670&lt;&gt;"")),1,0))</f>
        <v/>
      </c>
      <c r="BO670" s="52" t="str">
        <f aca="false">IF(OR(COUNT(B670:D1669)=0,COUNT(G670:I1669)=0,'Choix pédagogiques'!C$3&lt;&gt;3),"",IF(AND('Choix pédagogiques'!$C$3=3,$B670&lt;&gt;"",$C670&lt;&gt;"",$D670&lt;&gt;"",$G670&lt;&gt;"",$H670&lt;&gt;"",$I670&lt;&gt;""),1,0))</f>
        <v/>
      </c>
      <c r="BR670" s="52" t="n">
        <v>750</v>
      </c>
      <c r="BS670" s="52" t="n">
        <v>1275</v>
      </c>
    </row>
    <row r="671" s="54" customFormat="true" ht="18" hidden="false" customHeight="true" outlineLevel="0" collapsed="false">
      <c r="A671" s="57" t="s">
        <v>1273</v>
      </c>
      <c r="B671" s="51"/>
      <c r="C671" s="51"/>
      <c r="D671" s="51"/>
      <c r="E671" s="51"/>
      <c r="F671" s="57" t="s">
        <v>1274</v>
      </c>
      <c r="G671" s="51"/>
      <c r="H671" s="51"/>
      <c r="I671" s="51"/>
      <c r="J671" s="51"/>
      <c r="K671" s="52" t="str">
        <f aca="false">IF($A671&lt;&gt;"",$A671,"")</f>
        <v>Apprenant 659</v>
      </c>
      <c r="L671" s="53" t="str">
        <f aca="false">IF(AND($B671&lt;&gt;"",$C671&lt;&gt;""),$C671-$B671,"")</f>
        <v/>
      </c>
      <c r="M671" s="53" t="str">
        <f aca="false">IF(AND($B671&lt;&gt;"",$D671&lt;&gt;""),$D671-$B671,"")</f>
        <v/>
      </c>
      <c r="N671" s="53" t="str">
        <f aca="false">IF(AND($C671&lt;&gt;"",$D671&lt;&gt;""),$D671-$C671,"")</f>
        <v/>
      </c>
      <c r="O671" s="53" t="str">
        <f aca="false">IF($E671&lt;&gt;"",$E671,"")</f>
        <v/>
      </c>
      <c r="P671" s="52" t="str">
        <f aca="false">IF($F671&lt;&gt;"",$F671,"")</f>
        <v>Apprenant 659 ou 659'</v>
      </c>
      <c r="Q671" s="53" t="str">
        <f aca="false">IF(AND($G671&lt;&gt;"",$H671&lt;&gt;""),$H671-$G671,"")</f>
        <v/>
      </c>
      <c r="R671" s="53" t="str">
        <f aca="false">IF(AND($G671&lt;&gt;"",$I671&lt;&gt;""),$I671-$G671,"")</f>
        <v/>
      </c>
      <c r="S671" s="53" t="str">
        <f aca="false">IF(AND($H671&lt;&gt;"",$I671&lt;&gt;""),$I671-$H671,"")</f>
        <v/>
      </c>
      <c r="T671" s="53" t="str">
        <f aca="false">IF($J671&lt;&gt;"",$J671,"")</f>
        <v/>
      </c>
      <c r="V671" s="52" t="str">
        <f aca="false">IF($A671&lt;&gt;"",$A671,"")</f>
        <v>Apprenant 659</v>
      </c>
      <c r="W671" s="53" t="str">
        <f aca="false">IF(AND(OR('Choix pédagogiques'!$C$3=1,'Choix pédagogiques'!$C$3=2),$BM671=1),B671,IF(AND('Choix pédagogiques'!$C$3=3,$BO671=1),B671,""))</f>
        <v/>
      </c>
      <c r="X671" s="53" t="str">
        <f aca="false">IF(AND(OR('Choix pédagogiques'!$C$3=1,'Choix pédagogiques'!$C$3=2),$BM671=1),C671,IF(AND('Choix pédagogiques'!$C$3=3,$BO671=1),C671,""))</f>
        <v/>
      </c>
      <c r="Y671" s="53" t="str">
        <f aca="false">IF(AND(OR('Choix pédagogiques'!$C$3=1,'Choix pédagogiques'!$C$3=2),$BM671=1),D671,IF(AND('Choix pédagogiques'!$C$3=3,$BO671=1),D671,""))</f>
        <v/>
      </c>
      <c r="Z671" s="53" t="str">
        <f aca="false">IF($E671&lt;&gt;"",$E671,"")</f>
        <v/>
      </c>
      <c r="AA671" s="52" t="str">
        <f aca="false">IF($F671&lt;&gt;"",$F671,"")</f>
        <v>Apprenant 659 ou 659'</v>
      </c>
      <c r="AB671" s="53" t="str">
        <f aca="false">IF(AND(OR('Choix pédagogiques'!$C$3=1,'Choix pédagogiques'!$C$3=2),$BN671=1),G671,IF(AND('Choix pédagogiques'!$C$3=3,$BO671=1),G671,""))</f>
        <v/>
      </c>
      <c r="AC671" s="53" t="str">
        <f aca="false">IF(AND(OR('Choix pédagogiques'!$C$3=1,'Choix pédagogiques'!$C$3=2),$BN671=1),H671,IF(AND('Choix pédagogiques'!$C$3=3,$BO671=1),H671,""))</f>
        <v/>
      </c>
      <c r="AD671" s="53" t="str">
        <f aca="false">IF(AND(OR('Choix pédagogiques'!$C$3=1,'Choix pédagogiques'!$C$3=2),$BN671=1),I671,IF(AND('Choix pédagogiques'!$C$3=3,$BO671=1),I671,""))</f>
        <v/>
      </c>
      <c r="AE671" s="53" t="str">
        <f aca="false">IF($J671&lt;&gt;"",$J671,"")</f>
        <v/>
      </c>
      <c r="AF671" s="52" t="str">
        <f aca="false">IF($A671&lt;&gt;"",$A671,"")</f>
        <v>Apprenant 659</v>
      </c>
      <c r="AG671" s="53" t="str">
        <f aca="false">IF(AND($W671&lt;&gt;"",$X671&lt;&gt;""),$X671-$W671,"")</f>
        <v/>
      </c>
      <c r="AH671" s="53" t="str">
        <f aca="false">IF(AND($W671&lt;&gt;"",$Y671&lt;&gt;""),$Y671-$W671,"")</f>
        <v/>
      </c>
      <c r="AI671" s="53" t="str">
        <f aca="false">IF(AND($X671&lt;&gt;"",$Y671&lt;&gt;""),$Y671-$X671,"")</f>
        <v/>
      </c>
      <c r="AJ671" s="53" t="str">
        <f aca="false">IF($E671&lt;&gt;"",$E671,"")</f>
        <v/>
      </c>
      <c r="AK671" s="52" t="str">
        <f aca="false">IF($F671&lt;&gt;"",$F671,"")</f>
        <v>Apprenant 659 ou 659'</v>
      </c>
      <c r="AL671" s="53" t="str">
        <f aca="false">IF(AND($AB671&lt;&gt;"",$AC671&lt;&gt;""),$AC671-$AB671,"")</f>
        <v/>
      </c>
      <c r="AM671" s="53" t="str">
        <f aca="false">IF(AND($AB671&lt;&gt;"",$AD671&lt;&gt;""),$AD671-$AB671,"")</f>
        <v/>
      </c>
      <c r="AN671" s="53" t="str">
        <f aca="false">IF(AND($AC671&lt;&gt;"",$AD671&lt;&gt;""),$AD671-$AC671,"")</f>
        <v/>
      </c>
      <c r="AO671" s="53" t="str">
        <f aca="false">IF($J671&lt;&gt;"",$J671,"")</f>
        <v/>
      </c>
      <c r="AQ671" s="52" t="str">
        <f aca="false">IF($A671&lt;&gt;"",$A671,"")</f>
        <v>Apprenant 659</v>
      </c>
      <c r="AR671" s="55" t="str">
        <f aca="false">IF(AND('Choix pédagogiques'!$C$4&lt;&gt;"?",'Choix pédagogiques'!$C$5&lt;&gt;"?",W671&lt;&gt;""),(W671-'Choix pédagogiques'!$C$4)/('Choix pédagogiques'!$C$5-'Choix pédagogiques'!$C$4),"")</f>
        <v/>
      </c>
      <c r="AS671" s="55" t="str">
        <f aca="false">IF(AND('Choix pédagogiques'!$C$4&lt;&gt;"?",'Choix pédagogiques'!$C$5&lt;&gt;"?",X671&lt;&gt;""),(X671-'Choix pédagogiques'!$C$4)/('Choix pédagogiques'!$C$5-'Choix pédagogiques'!$C$4),"")</f>
        <v/>
      </c>
      <c r="AT671" s="55" t="str">
        <f aca="false">IF(AND('Choix pédagogiques'!$C$4&lt;&gt;"?",'Choix pédagogiques'!$C$5&lt;&gt;"?",Y671&lt;&gt;""),(Y671-'Choix pédagogiques'!$C$4)/('Choix pédagogiques'!$C$5-'Choix pédagogiques'!$C$4),"")</f>
        <v/>
      </c>
      <c r="AU671" s="53" t="str">
        <f aca="false">IF($E671&lt;&gt;"",$E671,"")</f>
        <v/>
      </c>
      <c r="AV671" s="52" t="str">
        <f aca="false">IF($F671&lt;&gt;"",$F671,"")</f>
        <v>Apprenant 659 ou 659'</v>
      </c>
      <c r="AW671" s="55" t="str">
        <f aca="false">IF(AND('Choix pédagogiques'!$C$4&lt;&gt;"?",'Choix pédagogiques'!$C$5&lt;&gt;"?",AB671&lt;&gt;""),(AB671-'Choix pédagogiques'!$C$4)/('Choix pédagogiques'!$C$5-'Choix pédagogiques'!$C$4),"")</f>
        <v/>
      </c>
      <c r="AX671" s="55" t="str">
        <f aca="false">IF(AND('Choix pédagogiques'!$C$4&lt;&gt;"?",'Choix pédagogiques'!$C$5&lt;&gt;"?",AC671&lt;&gt;""),(AC671-'Choix pédagogiques'!$C$4)/('Choix pédagogiques'!$C$5-'Choix pédagogiques'!$C$4),"")</f>
        <v/>
      </c>
      <c r="AY671" s="55" t="str">
        <f aca="false">IF(AND('Choix pédagogiques'!$C$4&lt;&gt;"?",'Choix pédagogiques'!$C$5&lt;&gt;"?",AD671&lt;&gt;""),(AD671-'Choix pédagogiques'!$C$4)/('Choix pédagogiques'!$C$5-'Choix pédagogiques'!$C$4),"")</f>
        <v/>
      </c>
      <c r="AZ671" s="53" t="str">
        <f aca="false">IF($J671&lt;&gt;"",$J671,"")</f>
        <v/>
      </c>
      <c r="BA671" s="52" t="str">
        <f aca="false">IF($A671&lt;&gt;"",$A671,"")</f>
        <v>Apprenant 659</v>
      </c>
      <c r="BB671" s="55" t="str">
        <f aca="false">IF(AND($AR671&lt;&gt;"",$AS671&lt;&gt;""),$AS671-$AR671,"")</f>
        <v/>
      </c>
      <c r="BC671" s="55" t="str">
        <f aca="false">IF(AND($AR671&lt;&gt;"",$AT671&lt;&gt;""),$AT671-$AR671,"")</f>
        <v/>
      </c>
      <c r="BD671" s="55" t="str">
        <f aca="false">IF(AND($AS671&lt;&gt;"",$AT671&lt;&gt;""),$AT671-$AS671,"")</f>
        <v/>
      </c>
      <c r="BE671" s="53" t="str">
        <f aca="false">IF($E671&lt;&gt;"",$E671,"")</f>
        <v/>
      </c>
      <c r="BF671" s="52" t="str">
        <f aca="false">IF($F671&lt;&gt;"",$F671,"")</f>
        <v>Apprenant 659 ou 659'</v>
      </c>
      <c r="BG671" s="55" t="str">
        <f aca="false">IF(AND($AW671&lt;&gt;"",$AX671&lt;&gt;""),$AX671-$AW671,"")</f>
        <v/>
      </c>
      <c r="BH671" s="55" t="str">
        <f aca="false">IF(AND($AW671&lt;&gt;"",$AY671&lt;&gt;""),$AY671-$AW671,"")</f>
        <v/>
      </c>
      <c r="BI671" s="55" t="str">
        <f aca="false">IF(AND($AX671&lt;&gt;"",$AY671&lt;&gt;""),$AY671-$AX671,"")</f>
        <v/>
      </c>
      <c r="BJ671" s="53" t="str">
        <f aca="false">IF($J671&lt;&gt;"",$J671,"")</f>
        <v/>
      </c>
      <c r="BL671" s="52"/>
      <c r="BM671" s="52" t="str">
        <f aca="false">IF(OR(COUNT(B671:D1670)=0,AND('Choix pédagogiques'!$C$3&lt;&gt;1,'Choix pédagogiques'!$C$3&lt;&gt;2)),"",IF(AND(OR('Choix pédagogiques'!$C$3=1,'Choix pédagogiques'!$C$3=2),$B671&lt;&gt;"",$C671&lt;&gt;"",$D671&lt;&gt;""),1,0))</f>
        <v/>
      </c>
      <c r="BN671" s="52" t="str">
        <f aca="false">IF(OR(COUNT(G671:I1670)=0,AND('Choix pédagogiques'!$C$3&lt;&gt;1,'Choix pédagogiques'!$C$3&lt;&gt;2)),"",IF(AND(OR('Choix pédagogiques'!$C$3=1,'Choix pédagogiques'!$C$3=2),AND($G671&lt;&gt;"",$H671&lt;&gt;"",$I671&lt;&gt;"")),1,0))</f>
        <v/>
      </c>
      <c r="BO671" s="52" t="str">
        <f aca="false">IF(OR(COUNT(B671:D1670)=0,COUNT(G671:I1670)=0,'Choix pédagogiques'!C$3&lt;&gt;3),"",IF(AND('Choix pédagogiques'!$C$3=3,$B671&lt;&gt;"",$C671&lt;&gt;"",$D671&lt;&gt;"",$G671&lt;&gt;"",$H671&lt;&gt;"",$I671&lt;&gt;""),1,0))</f>
        <v/>
      </c>
      <c r="BR671" s="52" t="n">
        <v>48</v>
      </c>
      <c r="BS671" s="52" t="n">
        <v>1612</v>
      </c>
    </row>
    <row r="672" s="54" customFormat="true" ht="18" hidden="false" customHeight="true" outlineLevel="0" collapsed="false">
      <c r="A672" s="57" t="s">
        <v>1275</v>
      </c>
      <c r="B672" s="51"/>
      <c r="C672" s="51"/>
      <c r="D672" s="51"/>
      <c r="E672" s="51"/>
      <c r="F672" s="57" t="s">
        <v>1276</v>
      </c>
      <c r="G672" s="51"/>
      <c r="H672" s="51"/>
      <c r="I672" s="51"/>
      <c r="J672" s="51"/>
      <c r="K672" s="52" t="str">
        <f aca="false">IF($A672&lt;&gt;"",$A672,"")</f>
        <v>Apprenant 660</v>
      </c>
      <c r="L672" s="53" t="str">
        <f aca="false">IF(AND($B672&lt;&gt;"",$C672&lt;&gt;""),$C672-$B672,"")</f>
        <v/>
      </c>
      <c r="M672" s="53" t="str">
        <f aca="false">IF(AND($B672&lt;&gt;"",$D672&lt;&gt;""),$D672-$B672,"")</f>
        <v/>
      </c>
      <c r="N672" s="53" t="str">
        <f aca="false">IF(AND($C672&lt;&gt;"",$D672&lt;&gt;""),$D672-$C672,"")</f>
        <v/>
      </c>
      <c r="O672" s="53" t="str">
        <f aca="false">IF($E672&lt;&gt;"",$E672,"")</f>
        <v/>
      </c>
      <c r="P672" s="52" t="str">
        <f aca="false">IF($F672&lt;&gt;"",$F672,"")</f>
        <v>Apprenant 660 ou 660'</v>
      </c>
      <c r="Q672" s="53" t="str">
        <f aca="false">IF(AND($G672&lt;&gt;"",$H672&lt;&gt;""),$H672-$G672,"")</f>
        <v/>
      </c>
      <c r="R672" s="53" t="str">
        <f aca="false">IF(AND($G672&lt;&gt;"",$I672&lt;&gt;""),$I672-$G672,"")</f>
        <v/>
      </c>
      <c r="S672" s="53" t="str">
        <f aca="false">IF(AND($H672&lt;&gt;"",$I672&lt;&gt;""),$I672-$H672,"")</f>
        <v/>
      </c>
      <c r="T672" s="53" t="str">
        <f aca="false">IF($J672&lt;&gt;"",$J672,"")</f>
        <v/>
      </c>
      <c r="V672" s="52" t="str">
        <f aca="false">IF($A672&lt;&gt;"",$A672,"")</f>
        <v>Apprenant 660</v>
      </c>
      <c r="W672" s="53" t="str">
        <f aca="false">IF(AND(OR('Choix pédagogiques'!$C$3=1,'Choix pédagogiques'!$C$3=2),$BM672=1),B672,IF(AND('Choix pédagogiques'!$C$3=3,$BO672=1),B672,""))</f>
        <v/>
      </c>
      <c r="X672" s="53" t="str">
        <f aca="false">IF(AND(OR('Choix pédagogiques'!$C$3=1,'Choix pédagogiques'!$C$3=2),$BM672=1),C672,IF(AND('Choix pédagogiques'!$C$3=3,$BO672=1),C672,""))</f>
        <v/>
      </c>
      <c r="Y672" s="53" t="str">
        <f aca="false">IF(AND(OR('Choix pédagogiques'!$C$3=1,'Choix pédagogiques'!$C$3=2),$BM672=1),D672,IF(AND('Choix pédagogiques'!$C$3=3,$BO672=1),D672,""))</f>
        <v/>
      </c>
      <c r="Z672" s="53" t="str">
        <f aca="false">IF($E672&lt;&gt;"",$E672,"")</f>
        <v/>
      </c>
      <c r="AA672" s="52" t="str">
        <f aca="false">IF($F672&lt;&gt;"",$F672,"")</f>
        <v>Apprenant 660 ou 660'</v>
      </c>
      <c r="AB672" s="53" t="str">
        <f aca="false">IF(AND(OR('Choix pédagogiques'!$C$3=1,'Choix pédagogiques'!$C$3=2),$BN672=1),G672,IF(AND('Choix pédagogiques'!$C$3=3,$BO672=1),G672,""))</f>
        <v/>
      </c>
      <c r="AC672" s="53" t="str">
        <f aca="false">IF(AND(OR('Choix pédagogiques'!$C$3=1,'Choix pédagogiques'!$C$3=2),$BN672=1),H672,IF(AND('Choix pédagogiques'!$C$3=3,$BO672=1),H672,""))</f>
        <v/>
      </c>
      <c r="AD672" s="53" t="str">
        <f aca="false">IF(AND(OR('Choix pédagogiques'!$C$3=1,'Choix pédagogiques'!$C$3=2),$BN672=1),I672,IF(AND('Choix pédagogiques'!$C$3=3,$BO672=1),I672,""))</f>
        <v/>
      </c>
      <c r="AE672" s="53" t="str">
        <f aca="false">IF($J672&lt;&gt;"",$J672,"")</f>
        <v/>
      </c>
      <c r="AF672" s="52" t="str">
        <f aca="false">IF($A672&lt;&gt;"",$A672,"")</f>
        <v>Apprenant 660</v>
      </c>
      <c r="AG672" s="53" t="str">
        <f aca="false">IF(AND($W672&lt;&gt;"",$X672&lt;&gt;""),$X672-$W672,"")</f>
        <v/>
      </c>
      <c r="AH672" s="53" t="str">
        <f aca="false">IF(AND($W672&lt;&gt;"",$Y672&lt;&gt;""),$Y672-$W672,"")</f>
        <v/>
      </c>
      <c r="AI672" s="53" t="str">
        <f aca="false">IF(AND($X672&lt;&gt;"",$Y672&lt;&gt;""),$Y672-$X672,"")</f>
        <v/>
      </c>
      <c r="AJ672" s="53" t="str">
        <f aca="false">IF($E672&lt;&gt;"",$E672,"")</f>
        <v/>
      </c>
      <c r="AK672" s="52" t="str">
        <f aca="false">IF($F672&lt;&gt;"",$F672,"")</f>
        <v>Apprenant 660 ou 660'</v>
      </c>
      <c r="AL672" s="53" t="str">
        <f aca="false">IF(AND($AB672&lt;&gt;"",$AC672&lt;&gt;""),$AC672-$AB672,"")</f>
        <v/>
      </c>
      <c r="AM672" s="53" t="str">
        <f aca="false">IF(AND($AB672&lt;&gt;"",$AD672&lt;&gt;""),$AD672-$AB672,"")</f>
        <v/>
      </c>
      <c r="AN672" s="53" t="str">
        <f aca="false">IF(AND($AC672&lt;&gt;"",$AD672&lt;&gt;""),$AD672-$AC672,"")</f>
        <v/>
      </c>
      <c r="AO672" s="53" t="str">
        <f aca="false">IF($J672&lt;&gt;"",$J672,"")</f>
        <v/>
      </c>
      <c r="AQ672" s="52" t="str">
        <f aca="false">IF($A672&lt;&gt;"",$A672,"")</f>
        <v>Apprenant 660</v>
      </c>
      <c r="AR672" s="55" t="str">
        <f aca="false">IF(AND('Choix pédagogiques'!$C$4&lt;&gt;"?",'Choix pédagogiques'!$C$5&lt;&gt;"?",W672&lt;&gt;""),(W672-'Choix pédagogiques'!$C$4)/('Choix pédagogiques'!$C$5-'Choix pédagogiques'!$C$4),"")</f>
        <v/>
      </c>
      <c r="AS672" s="55" t="str">
        <f aca="false">IF(AND('Choix pédagogiques'!$C$4&lt;&gt;"?",'Choix pédagogiques'!$C$5&lt;&gt;"?",X672&lt;&gt;""),(X672-'Choix pédagogiques'!$C$4)/('Choix pédagogiques'!$C$5-'Choix pédagogiques'!$C$4),"")</f>
        <v/>
      </c>
      <c r="AT672" s="55" t="str">
        <f aca="false">IF(AND('Choix pédagogiques'!$C$4&lt;&gt;"?",'Choix pédagogiques'!$C$5&lt;&gt;"?",Y672&lt;&gt;""),(Y672-'Choix pédagogiques'!$C$4)/('Choix pédagogiques'!$C$5-'Choix pédagogiques'!$C$4),"")</f>
        <v/>
      </c>
      <c r="AU672" s="53" t="str">
        <f aca="false">IF($E672&lt;&gt;"",$E672,"")</f>
        <v/>
      </c>
      <c r="AV672" s="52" t="str">
        <f aca="false">IF($F672&lt;&gt;"",$F672,"")</f>
        <v>Apprenant 660 ou 660'</v>
      </c>
      <c r="AW672" s="55" t="str">
        <f aca="false">IF(AND('Choix pédagogiques'!$C$4&lt;&gt;"?",'Choix pédagogiques'!$C$5&lt;&gt;"?",AB672&lt;&gt;""),(AB672-'Choix pédagogiques'!$C$4)/('Choix pédagogiques'!$C$5-'Choix pédagogiques'!$C$4),"")</f>
        <v/>
      </c>
      <c r="AX672" s="55" t="str">
        <f aca="false">IF(AND('Choix pédagogiques'!$C$4&lt;&gt;"?",'Choix pédagogiques'!$C$5&lt;&gt;"?",AC672&lt;&gt;""),(AC672-'Choix pédagogiques'!$C$4)/('Choix pédagogiques'!$C$5-'Choix pédagogiques'!$C$4),"")</f>
        <v/>
      </c>
      <c r="AY672" s="55" t="str">
        <f aca="false">IF(AND('Choix pédagogiques'!$C$4&lt;&gt;"?",'Choix pédagogiques'!$C$5&lt;&gt;"?",AD672&lt;&gt;""),(AD672-'Choix pédagogiques'!$C$4)/('Choix pédagogiques'!$C$5-'Choix pédagogiques'!$C$4),"")</f>
        <v/>
      </c>
      <c r="AZ672" s="53" t="str">
        <f aca="false">IF($J672&lt;&gt;"",$J672,"")</f>
        <v/>
      </c>
      <c r="BA672" s="52" t="str">
        <f aca="false">IF($A672&lt;&gt;"",$A672,"")</f>
        <v>Apprenant 660</v>
      </c>
      <c r="BB672" s="55" t="str">
        <f aca="false">IF(AND($AR672&lt;&gt;"",$AS672&lt;&gt;""),$AS672-$AR672,"")</f>
        <v/>
      </c>
      <c r="BC672" s="55" t="str">
        <f aca="false">IF(AND($AR672&lt;&gt;"",$AT672&lt;&gt;""),$AT672-$AR672,"")</f>
        <v/>
      </c>
      <c r="BD672" s="55" t="str">
        <f aca="false">IF(AND($AS672&lt;&gt;"",$AT672&lt;&gt;""),$AT672-$AS672,"")</f>
        <v/>
      </c>
      <c r="BE672" s="53" t="str">
        <f aca="false">IF($E672&lt;&gt;"",$E672,"")</f>
        <v/>
      </c>
      <c r="BF672" s="52" t="str">
        <f aca="false">IF($F672&lt;&gt;"",$F672,"")</f>
        <v>Apprenant 660 ou 660'</v>
      </c>
      <c r="BG672" s="55" t="str">
        <f aca="false">IF(AND($AW672&lt;&gt;"",$AX672&lt;&gt;""),$AX672-$AW672,"")</f>
        <v/>
      </c>
      <c r="BH672" s="55" t="str">
        <f aca="false">IF(AND($AW672&lt;&gt;"",$AY672&lt;&gt;""),$AY672-$AW672,"")</f>
        <v/>
      </c>
      <c r="BI672" s="55" t="str">
        <f aca="false">IF(AND($AX672&lt;&gt;"",$AY672&lt;&gt;""),$AY672-$AX672,"")</f>
        <v/>
      </c>
      <c r="BJ672" s="53" t="str">
        <f aca="false">IF($J672&lt;&gt;"",$J672,"")</f>
        <v/>
      </c>
      <c r="BL672" s="52"/>
      <c r="BM672" s="52" t="str">
        <f aca="false">IF(OR(COUNT(B672:D1671)=0,AND('Choix pédagogiques'!$C$3&lt;&gt;1,'Choix pédagogiques'!$C$3&lt;&gt;2)),"",IF(AND(OR('Choix pédagogiques'!$C$3=1,'Choix pédagogiques'!$C$3=2),$B672&lt;&gt;"",$C672&lt;&gt;"",$D672&lt;&gt;""),1,0))</f>
        <v/>
      </c>
      <c r="BN672" s="52" t="str">
        <f aca="false">IF(OR(COUNT(G672:I1671)=0,AND('Choix pédagogiques'!$C$3&lt;&gt;1,'Choix pédagogiques'!$C$3&lt;&gt;2)),"",IF(AND(OR('Choix pédagogiques'!$C$3=1,'Choix pédagogiques'!$C$3=2),AND($G672&lt;&gt;"",$H672&lt;&gt;"",$I672&lt;&gt;"")),1,0))</f>
        <v/>
      </c>
      <c r="BO672" s="52" t="str">
        <f aca="false">IF(OR(COUNT(B672:D1671)=0,COUNT(G672:I1671)=0,'Choix pédagogiques'!C$3&lt;&gt;3),"",IF(AND('Choix pédagogiques'!$C$3=3,$B672&lt;&gt;"",$C672&lt;&gt;"",$D672&lt;&gt;"",$G672&lt;&gt;"",$H672&lt;&gt;"",$I672&lt;&gt;""),1,0))</f>
        <v/>
      </c>
      <c r="BR672" s="52" t="n">
        <v>510</v>
      </c>
      <c r="BS672" s="52" t="n">
        <v>1747</v>
      </c>
    </row>
    <row r="673" s="54" customFormat="true" ht="18" hidden="false" customHeight="true" outlineLevel="0" collapsed="false">
      <c r="A673" s="57" t="s">
        <v>1277</v>
      </c>
      <c r="B673" s="51"/>
      <c r="C673" s="51"/>
      <c r="D673" s="51"/>
      <c r="E673" s="51"/>
      <c r="F673" s="57" t="s">
        <v>1278</v>
      </c>
      <c r="G673" s="51"/>
      <c r="H673" s="51"/>
      <c r="I673" s="51"/>
      <c r="J673" s="51"/>
      <c r="K673" s="52" t="str">
        <f aca="false">IF($A673&lt;&gt;"",$A673,"")</f>
        <v>Apprenant 661</v>
      </c>
      <c r="L673" s="53" t="str">
        <f aca="false">IF(AND($B673&lt;&gt;"",$C673&lt;&gt;""),$C673-$B673,"")</f>
        <v/>
      </c>
      <c r="M673" s="53" t="str">
        <f aca="false">IF(AND($B673&lt;&gt;"",$D673&lt;&gt;""),$D673-$B673,"")</f>
        <v/>
      </c>
      <c r="N673" s="53" t="str">
        <f aca="false">IF(AND($C673&lt;&gt;"",$D673&lt;&gt;""),$D673-$C673,"")</f>
        <v/>
      </c>
      <c r="O673" s="53" t="str">
        <f aca="false">IF($E673&lt;&gt;"",$E673,"")</f>
        <v/>
      </c>
      <c r="P673" s="52" t="str">
        <f aca="false">IF($F673&lt;&gt;"",$F673,"")</f>
        <v>Apprenant 661 ou 661'</v>
      </c>
      <c r="Q673" s="53" t="str">
        <f aca="false">IF(AND($G673&lt;&gt;"",$H673&lt;&gt;""),$H673-$G673,"")</f>
        <v/>
      </c>
      <c r="R673" s="53" t="str">
        <f aca="false">IF(AND($G673&lt;&gt;"",$I673&lt;&gt;""),$I673-$G673,"")</f>
        <v/>
      </c>
      <c r="S673" s="53" t="str">
        <f aca="false">IF(AND($H673&lt;&gt;"",$I673&lt;&gt;""),$I673-$H673,"")</f>
        <v/>
      </c>
      <c r="T673" s="53" t="str">
        <f aca="false">IF($J673&lt;&gt;"",$J673,"")</f>
        <v/>
      </c>
      <c r="V673" s="52" t="str">
        <f aca="false">IF($A673&lt;&gt;"",$A673,"")</f>
        <v>Apprenant 661</v>
      </c>
      <c r="W673" s="53" t="str">
        <f aca="false">IF(AND(OR('Choix pédagogiques'!$C$3=1,'Choix pédagogiques'!$C$3=2),$BM673=1),B673,IF(AND('Choix pédagogiques'!$C$3=3,$BO673=1),B673,""))</f>
        <v/>
      </c>
      <c r="X673" s="53" t="str">
        <f aca="false">IF(AND(OR('Choix pédagogiques'!$C$3=1,'Choix pédagogiques'!$C$3=2),$BM673=1),C673,IF(AND('Choix pédagogiques'!$C$3=3,$BO673=1),C673,""))</f>
        <v/>
      </c>
      <c r="Y673" s="53" t="str">
        <f aca="false">IF(AND(OR('Choix pédagogiques'!$C$3=1,'Choix pédagogiques'!$C$3=2),$BM673=1),D673,IF(AND('Choix pédagogiques'!$C$3=3,$BO673=1),D673,""))</f>
        <v/>
      </c>
      <c r="Z673" s="53" t="str">
        <f aca="false">IF($E673&lt;&gt;"",$E673,"")</f>
        <v/>
      </c>
      <c r="AA673" s="52" t="str">
        <f aca="false">IF($F673&lt;&gt;"",$F673,"")</f>
        <v>Apprenant 661 ou 661'</v>
      </c>
      <c r="AB673" s="53" t="str">
        <f aca="false">IF(AND(OR('Choix pédagogiques'!$C$3=1,'Choix pédagogiques'!$C$3=2),$BN673=1),G673,IF(AND('Choix pédagogiques'!$C$3=3,$BO673=1),G673,""))</f>
        <v/>
      </c>
      <c r="AC673" s="53" t="str">
        <f aca="false">IF(AND(OR('Choix pédagogiques'!$C$3=1,'Choix pédagogiques'!$C$3=2),$BN673=1),H673,IF(AND('Choix pédagogiques'!$C$3=3,$BO673=1),H673,""))</f>
        <v/>
      </c>
      <c r="AD673" s="53" t="str">
        <f aca="false">IF(AND(OR('Choix pédagogiques'!$C$3=1,'Choix pédagogiques'!$C$3=2),$BN673=1),I673,IF(AND('Choix pédagogiques'!$C$3=3,$BO673=1),I673,""))</f>
        <v/>
      </c>
      <c r="AE673" s="53" t="str">
        <f aca="false">IF($J673&lt;&gt;"",$J673,"")</f>
        <v/>
      </c>
      <c r="AF673" s="52" t="str">
        <f aca="false">IF($A673&lt;&gt;"",$A673,"")</f>
        <v>Apprenant 661</v>
      </c>
      <c r="AG673" s="53" t="str">
        <f aca="false">IF(AND($W673&lt;&gt;"",$X673&lt;&gt;""),$X673-$W673,"")</f>
        <v/>
      </c>
      <c r="AH673" s="53" t="str">
        <f aca="false">IF(AND($W673&lt;&gt;"",$Y673&lt;&gt;""),$Y673-$W673,"")</f>
        <v/>
      </c>
      <c r="AI673" s="53" t="str">
        <f aca="false">IF(AND($X673&lt;&gt;"",$Y673&lt;&gt;""),$Y673-$X673,"")</f>
        <v/>
      </c>
      <c r="AJ673" s="53" t="str">
        <f aca="false">IF($E673&lt;&gt;"",$E673,"")</f>
        <v/>
      </c>
      <c r="AK673" s="52" t="str">
        <f aca="false">IF($F673&lt;&gt;"",$F673,"")</f>
        <v>Apprenant 661 ou 661'</v>
      </c>
      <c r="AL673" s="53" t="str">
        <f aca="false">IF(AND($AB673&lt;&gt;"",$AC673&lt;&gt;""),$AC673-$AB673,"")</f>
        <v/>
      </c>
      <c r="AM673" s="53" t="str">
        <f aca="false">IF(AND($AB673&lt;&gt;"",$AD673&lt;&gt;""),$AD673-$AB673,"")</f>
        <v/>
      </c>
      <c r="AN673" s="53" t="str">
        <f aca="false">IF(AND($AC673&lt;&gt;"",$AD673&lt;&gt;""),$AD673-$AC673,"")</f>
        <v/>
      </c>
      <c r="AO673" s="53" t="str">
        <f aca="false">IF($J673&lt;&gt;"",$J673,"")</f>
        <v/>
      </c>
      <c r="AQ673" s="52" t="str">
        <f aca="false">IF($A673&lt;&gt;"",$A673,"")</f>
        <v>Apprenant 661</v>
      </c>
      <c r="AR673" s="55" t="str">
        <f aca="false">IF(AND('Choix pédagogiques'!$C$4&lt;&gt;"?",'Choix pédagogiques'!$C$5&lt;&gt;"?",W673&lt;&gt;""),(W673-'Choix pédagogiques'!$C$4)/('Choix pédagogiques'!$C$5-'Choix pédagogiques'!$C$4),"")</f>
        <v/>
      </c>
      <c r="AS673" s="55" t="str">
        <f aca="false">IF(AND('Choix pédagogiques'!$C$4&lt;&gt;"?",'Choix pédagogiques'!$C$5&lt;&gt;"?",X673&lt;&gt;""),(X673-'Choix pédagogiques'!$C$4)/('Choix pédagogiques'!$C$5-'Choix pédagogiques'!$C$4),"")</f>
        <v/>
      </c>
      <c r="AT673" s="55" t="str">
        <f aca="false">IF(AND('Choix pédagogiques'!$C$4&lt;&gt;"?",'Choix pédagogiques'!$C$5&lt;&gt;"?",Y673&lt;&gt;""),(Y673-'Choix pédagogiques'!$C$4)/('Choix pédagogiques'!$C$5-'Choix pédagogiques'!$C$4),"")</f>
        <v/>
      </c>
      <c r="AU673" s="53" t="str">
        <f aca="false">IF($E673&lt;&gt;"",$E673,"")</f>
        <v/>
      </c>
      <c r="AV673" s="52" t="str">
        <f aca="false">IF($F673&lt;&gt;"",$F673,"")</f>
        <v>Apprenant 661 ou 661'</v>
      </c>
      <c r="AW673" s="55" t="str">
        <f aca="false">IF(AND('Choix pédagogiques'!$C$4&lt;&gt;"?",'Choix pédagogiques'!$C$5&lt;&gt;"?",AB673&lt;&gt;""),(AB673-'Choix pédagogiques'!$C$4)/('Choix pédagogiques'!$C$5-'Choix pédagogiques'!$C$4),"")</f>
        <v/>
      </c>
      <c r="AX673" s="55" t="str">
        <f aca="false">IF(AND('Choix pédagogiques'!$C$4&lt;&gt;"?",'Choix pédagogiques'!$C$5&lt;&gt;"?",AC673&lt;&gt;""),(AC673-'Choix pédagogiques'!$C$4)/('Choix pédagogiques'!$C$5-'Choix pédagogiques'!$C$4),"")</f>
        <v/>
      </c>
      <c r="AY673" s="55" t="str">
        <f aca="false">IF(AND('Choix pédagogiques'!$C$4&lt;&gt;"?",'Choix pédagogiques'!$C$5&lt;&gt;"?",AD673&lt;&gt;""),(AD673-'Choix pédagogiques'!$C$4)/('Choix pédagogiques'!$C$5-'Choix pédagogiques'!$C$4),"")</f>
        <v/>
      </c>
      <c r="AZ673" s="53" t="str">
        <f aca="false">IF($J673&lt;&gt;"",$J673,"")</f>
        <v/>
      </c>
      <c r="BA673" s="52" t="str">
        <f aca="false">IF($A673&lt;&gt;"",$A673,"")</f>
        <v>Apprenant 661</v>
      </c>
      <c r="BB673" s="55" t="str">
        <f aca="false">IF(AND($AR673&lt;&gt;"",$AS673&lt;&gt;""),$AS673-$AR673,"")</f>
        <v/>
      </c>
      <c r="BC673" s="55" t="str">
        <f aca="false">IF(AND($AR673&lt;&gt;"",$AT673&lt;&gt;""),$AT673-$AR673,"")</f>
        <v/>
      </c>
      <c r="BD673" s="55" t="str">
        <f aca="false">IF(AND($AS673&lt;&gt;"",$AT673&lt;&gt;""),$AT673-$AS673,"")</f>
        <v/>
      </c>
      <c r="BE673" s="53" t="str">
        <f aca="false">IF($E673&lt;&gt;"",$E673,"")</f>
        <v/>
      </c>
      <c r="BF673" s="52" t="str">
        <f aca="false">IF($F673&lt;&gt;"",$F673,"")</f>
        <v>Apprenant 661 ou 661'</v>
      </c>
      <c r="BG673" s="55" t="str">
        <f aca="false">IF(AND($AW673&lt;&gt;"",$AX673&lt;&gt;""),$AX673-$AW673,"")</f>
        <v/>
      </c>
      <c r="BH673" s="55" t="str">
        <f aca="false">IF(AND($AW673&lt;&gt;"",$AY673&lt;&gt;""),$AY673-$AW673,"")</f>
        <v/>
      </c>
      <c r="BI673" s="55" t="str">
        <f aca="false">IF(AND($AX673&lt;&gt;"",$AY673&lt;&gt;""),$AY673-$AX673,"")</f>
        <v/>
      </c>
      <c r="BJ673" s="53" t="str">
        <f aca="false">IF($J673&lt;&gt;"",$J673,"")</f>
        <v/>
      </c>
      <c r="BL673" s="52"/>
      <c r="BM673" s="52" t="str">
        <f aca="false">IF(OR(COUNT(B673:D1672)=0,AND('Choix pédagogiques'!$C$3&lt;&gt;1,'Choix pédagogiques'!$C$3&lt;&gt;2)),"",IF(AND(OR('Choix pédagogiques'!$C$3=1,'Choix pédagogiques'!$C$3=2),$B673&lt;&gt;"",$C673&lt;&gt;"",$D673&lt;&gt;""),1,0))</f>
        <v/>
      </c>
      <c r="BN673" s="52" t="str">
        <f aca="false">IF(OR(COUNT(G673:I1672)=0,AND('Choix pédagogiques'!$C$3&lt;&gt;1,'Choix pédagogiques'!$C$3&lt;&gt;2)),"",IF(AND(OR('Choix pédagogiques'!$C$3=1,'Choix pédagogiques'!$C$3=2),AND($G673&lt;&gt;"",$H673&lt;&gt;"",$I673&lt;&gt;"")),1,0))</f>
        <v/>
      </c>
      <c r="BO673" s="52" t="str">
        <f aca="false">IF(OR(COUNT(B673:D1672)=0,COUNT(G673:I1672)=0,'Choix pédagogiques'!C$3&lt;&gt;3),"",IF(AND('Choix pédagogiques'!$C$3=3,$B673&lt;&gt;"",$C673&lt;&gt;"",$D673&lt;&gt;"",$G673&lt;&gt;"",$H673&lt;&gt;"",$I673&lt;&gt;""),1,0))</f>
        <v/>
      </c>
      <c r="BR673" s="52" t="n">
        <v>788</v>
      </c>
      <c r="BS673" s="52" t="n">
        <v>1366</v>
      </c>
    </row>
    <row r="674" s="54" customFormat="true" ht="18" hidden="false" customHeight="true" outlineLevel="0" collapsed="false">
      <c r="A674" s="57" t="s">
        <v>1279</v>
      </c>
      <c r="B674" s="51"/>
      <c r="C674" s="51"/>
      <c r="D674" s="51"/>
      <c r="E674" s="51"/>
      <c r="F674" s="57" t="s">
        <v>1280</v>
      </c>
      <c r="G674" s="51"/>
      <c r="H674" s="51"/>
      <c r="I674" s="51"/>
      <c r="J674" s="51"/>
      <c r="K674" s="52" t="str">
        <f aca="false">IF($A674&lt;&gt;"",$A674,"")</f>
        <v>Apprenant 662</v>
      </c>
      <c r="L674" s="53" t="str">
        <f aca="false">IF(AND($B674&lt;&gt;"",$C674&lt;&gt;""),$C674-$B674,"")</f>
        <v/>
      </c>
      <c r="M674" s="53" t="str">
        <f aca="false">IF(AND($B674&lt;&gt;"",$D674&lt;&gt;""),$D674-$B674,"")</f>
        <v/>
      </c>
      <c r="N674" s="53" t="str">
        <f aca="false">IF(AND($C674&lt;&gt;"",$D674&lt;&gt;""),$D674-$C674,"")</f>
        <v/>
      </c>
      <c r="O674" s="53" t="str">
        <f aca="false">IF($E674&lt;&gt;"",$E674,"")</f>
        <v/>
      </c>
      <c r="P674" s="52" t="str">
        <f aca="false">IF($F674&lt;&gt;"",$F674,"")</f>
        <v>Apprenant 662 ou 662'</v>
      </c>
      <c r="Q674" s="53" t="str">
        <f aca="false">IF(AND($G674&lt;&gt;"",$H674&lt;&gt;""),$H674-$G674,"")</f>
        <v/>
      </c>
      <c r="R674" s="53" t="str">
        <f aca="false">IF(AND($G674&lt;&gt;"",$I674&lt;&gt;""),$I674-$G674,"")</f>
        <v/>
      </c>
      <c r="S674" s="53" t="str">
        <f aca="false">IF(AND($H674&lt;&gt;"",$I674&lt;&gt;""),$I674-$H674,"")</f>
        <v/>
      </c>
      <c r="T674" s="53" t="str">
        <f aca="false">IF($J674&lt;&gt;"",$J674,"")</f>
        <v/>
      </c>
      <c r="V674" s="52" t="str">
        <f aca="false">IF($A674&lt;&gt;"",$A674,"")</f>
        <v>Apprenant 662</v>
      </c>
      <c r="W674" s="53" t="str">
        <f aca="false">IF(AND(OR('Choix pédagogiques'!$C$3=1,'Choix pédagogiques'!$C$3=2),$BM674=1),B674,IF(AND('Choix pédagogiques'!$C$3=3,$BO674=1),B674,""))</f>
        <v/>
      </c>
      <c r="X674" s="53" t="str">
        <f aca="false">IF(AND(OR('Choix pédagogiques'!$C$3=1,'Choix pédagogiques'!$C$3=2),$BM674=1),C674,IF(AND('Choix pédagogiques'!$C$3=3,$BO674=1),C674,""))</f>
        <v/>
      </c>
      <c r="Y674" s="53" t="str">
        <f aca="false">IF(AND(OR('Choix pédagogiques'!$C$3=1,'Choix pédagogiques'!$C$3=2),$BM674=1),D674,IF(AND('Choix pédagogiques'!$C$3=3,$BO674=1),D674,""))</f>
        <v/>
      </c>
      <c r="Z674" s="53" t="str">
        <f aca="false">IF($E674&lt;&gt;"",$E674,"")</f>
        <v/>
      </c>
      <c r="AA674" s="52" t="str">
        <f aca="false">IF($F674&lt;&gt;"",$F674,"")</f>
        <v>Apprenant 662 ou 662'</v>
      </c>
      <c r="AB674" s="53" t="str">
        <f aca="false">IF(AND(OR('Choix pédagogiques'!$C$3=1,'Choix pédagogiques'!$C$3=2),$BN674=1),G674,IF(AND('Choix pédagogiques'!$C$3=3,$BO674=1),G674,""))</f>
        <v/>
      </c>
      <c r="AC674" s="53" t="str">
        <f aca="false">IF(AND(OR('Choix pédagogiques'!$C$3=1,'Choix pédagogiques'!$C$3=2),$BN674=1),H674,IF(AND('Choix pédagogiques'!$C$3=3,$BO674=1),H674,""))</f>
        <v/>
      </c>
      <c r="AD674" s="53" t="str">
        <f aca="false">IF(AND(OR('Choix pédagogiques'!$C$3=1,'Choix pédagogiques'!$C$3=2),$BN674=1),I674,IF(AND('Choix pédagogiques'!$C$3=3,$BO674=1),I674,""))</f>
        <v/>
      </c>
      <c r="AE674" s="53" t="str">
        <f aca="false">IF($J674&lt;&gt;"",$J674,"")</f>
        <v/>
      </c>
      <c r="AF674" s="52" t="str">
        <f aca="false">IF($A674&lt;&gt;"",$A674,"")</f>
        <v>Apprenant 662</v>
      </c>
      <c r="AG674" s="53" t="str">
        <f aca="false">IF(AND($W674&lt;&gt;"",$X674&lt;&gt;""),$X674-$W674,"")</f>
        <v/>
      </c>
      <c r="AH674" s="53" t="str">
        <f aca="false">IF(AND($W674&lt;&gt;"",$Y674&lt;&gt;""),$Y674-$W674,"")</f>
        <v/>
      </c>
      <c r="AI674" s="53" t="str">
        <f aca="false">IF(AND($X674&lt;&gt;"",$Y674&lt;&gt;""),$Y674-$X674,"")</f>
        <v/>
      </c>
      <c r="AJ674" s="53" t="str">
        <f aca="false">IF($E674&lt;&gt;"",$E674,"")</f>
        <v/>
      </c>
      <c r="AK674" s="52" t="str">
        <f aca="false">IF($F674&lt;&gt;"",$F674,"")</f>
        <v>Apprenant 662 ou 662'</v>
      </c>
      <c r="AL674" s="53" t="str">
        <f aca="false">IF(AND($AB674&lt;&gt;"",$AC674&lt;&gt;""),$AC674-$AB674,"")</f>
        <v/>
      </c>
      <c r="AM674" s="53" t="str">
        <f aca="false">IF(AND($AB674&lt;&gt;"",$AD674&lt;&gt;""),$AD674-$AB674,"")</f>
        <v/>
      </c>
      <c r="AN674" s="53" t="str">
        <f aca="false">IF(AND($AC674&lt;&gt;"",$AD674&lt;&gt;""),$AD674-$AC674,"")</f>
        <v/>
      </c>
      <c r="AO674" s="53" t="str">
        <f aca="false">IF($J674&lt;&gt;"",$J674,"")</f>
        <v/>
      </c>
      <c r="AQ674" s="52" t="str">
        <f aca="false">IF($A674&lt;&gt;"",$A674,"")</f>
        <v>Apprenant 662</v>
      </c>
      <c r="AR674" s="55" t="str">
        <f aca="false">IF(AND('Choix pédagogiques'!$C$4&lt;&gt;"?",'Choix pédagogiques'!$C$5&lt;&gt;"?",W674&lt;&gt;""),(W674-'Choix pédagogiques'!$C$4)/('Choix pédagogiques'!$C$5-'Choix pédagogiques'!$C$4),"")</f>
        <v/>
      </c>
      <c r="AS674" s="55" t="str">
        <f aca="false">IF(AND('Choix pédagogiques'!$C$4&lt;&gt;"?",'Choix pédagogiques'!$C$5&lt;&gt;"?",X674&lt;&gt;""),(X674-'Choix pédagogiques'!$C$4)/('Choix pédagogiques'!$C$5-'Choix pédagogiques'!$C$4),"")</f>
        <v/>
      </c>
      <c r="AT674" s="55" t="str">
        <f aca="false">IF(AND('Choix pédagogiques'!$C$4&lt;&gt;"?",'Choix pédagogiques'!$C$5&lt;&gt;"?",Y674&lt;&gt;""),(Y674-'Choix pédagogiques'!$C$4)/('Choix pédagogiques'!$C$5-'Choix pédagogiques'!$C$4),"")</f>
        <v/>
      </c>
      <c r="AU674" s="53" t="str">
        <f aca="false">IF($E674&lt;&gt;"",$E674,"")</f>
        <v/>
      </c>
      <c r="AV674" s="52" t="str">
        <f aca="false">IF($F674&lt;&gt;"",$F674,"")</f>
        <v>Apprenant 662 ou 662'</v>
      </c>
      <c r="AW674" s="55" t="str">
        <f aca="false">IF(AND('Choix pédagogiques'!$C$4&lt;&gt;"?",'Choix pédagogiques'!$C$5&lt;&gt;"?",AB674&lt;&gt;""),(AB674-'Choix pédagogiques'!$C$4)/('Choix pédagogiques'!$C$5-'Choix pédagogiques'!$C$4),"")</f>
        <v/>
      </c>
      <c r="AX674" s="55" t="str">
        <f aca="false">IF(AND('Choix pédagogiques'!$C$4&lt;&gt;"?",'Choix pédagogiques'!$C$5&lt;&gt;"?",AC674&lt;&gt;""),(AC674-'Choix pédagogiques'!$C$4)/('Choix pédagogiques'!$C$5-'Choix pédagogiques'!$C$4),"")</f>
        <v/>
      </c>
      <c r="AY674" s="55" t="str">
        <f aca="false">IF(AND('Choix pédagogiques'!$C$4&lt;&gt;"?",'Choix pédagogiques'!$C$5&lt;&gt;"?",AD674&lt;&gt;""),(AD674-'Choix pédagogiques'!$C$4)/('Choix pédagogiques'!$C$5-'Choix pédagogiques'!$C$4),"")</f>
        <v/>
      </c>
      <c r="AZ674" s="53" t="str">
        <f aca="false">IF($J674&lt;&gt;"",$J674,"")</f>
        <v/>
      </c>
      <c r="BA674" s="52" t="str">
        <f aca="false">IF($A674&lt;&gt;"",$A674,"")</f>
        <v>Apprenant 662</v>
      </c>
      <c r="BB674" s="55" t="str">
        <f aca="false">IF(AND($AR674&lt;&gt;"",$AS674&lt;&gt;""),$AS674-$AR674,"")</f>
        <v/>
      </c>
      <c r="BC674" s="55" t="str">
        <f aca="false">IF(AND($AR674&lt;&gt;"",$AT674&lt;&gt;""),$AT674-$AR674,"")</f>
        <v/>
      </c>
      <c r="BD674" s="55" t="str">
        <f aca="false">IF(AND($AS674&lt;&gt;"",$AT674&lt;&gt;""),$AT674-$AS674,"")</f>
        <v/>
      </c>
      <c r="BE674" s="53" t="str">
        <f aca="false">IF($E674&lt;&gt;"",$E674,"")</f>
        <v/>
      </c>
      <c r="BF674" s="52" t="str">
        <f aca="false">IF($F674&lt;&gt;"",$F674,"")</f>
        <v>Apprenant 662 ou 662'</v>
      </c>
      <c r="BG674" s="55" t="str">
        <f aca="false">IF(AND($AW674&lt;&gt;"",$AX674&lt;&gt;""),$AX674-$AW674,"")</f>
        <v/>
      </c>
      <c r="BH674" s="55" t="str">
        <f aca="false">IF(AND($AW674&lt;&gt;"",$AY674&lt;&gt;""),$AY674-$AW674,"")</f>
        <v/>
      </c>
      <c r="BI674" s="55" t="str">
        <f aca="false">IF(AND($AX674&lt;&gt;"",$AY674&lt;&gt;""),$AY674-$AX674,"")</f>
        <v/>
      </c>
      <c r="BJ674" s="53" t="str">
        <f aca="false">IF($J674&lt;&gt;"",$J674,"")</f>
        <v/>
      </c>
      <c r="BL674" s="52"/>
      <c r="BM674" s="52" t="str">
        <f aca="false">IF(OR(COUNT(B674:D1673)=0,AND('Choix pédagogiques'!$C$3&lt;&gt;1,'Choix pédagogiques'!$C$3&lt;&gt;2)),"",IF(AND(OR('Choix pédagogiques'!$C$3=1,'Choix pédagogiques'!$C$3=2),$B674&lt;&gt;"",$C674&lt;&gt;"",$D674&lt;&gt;""),1,0))</f>
        <v/>
      </c>
      <c r="BN674" s="52" t="str">
        <f aca="false">IF(OR(COUNT(G674:I1673)=0,AND('Choix pédagogiques'!$C$3&lt;&gt;1,'Choix pédagogiques'!$C$3&lt;&gt;2)),"",IF(AND(OR('Choix pédagogiques'!$C$3=1,'Choix pédagogiques'!$C$3=2),AND($G674&lt;&gt;"",$H674&lt;&gt;"",$I674&lt;&gt;"")),1,0))</f>
        <v/>
      </c>
      <c r="BO674" s="52" t="str">
        <f aca="false">IF(OR(COUNT(B674:D1673)=0,COUNT(G674:I1673)=0,'Choix pédagogiques'!C$3&lt;&gt;3),"",IF(AND('Choix pédagogiques'!$C$3=3,$B674&lt;&gt;"",$C674&lt;&gt;"",$D674&lt;&gt;"",$G674&lt;&gt;"",$H674&lt;&gt;"",$I674&lt;&gt;""),1,0))</f>
        <v/>
      </c>
      <c r="BR674" s="52" t="n">
        <v>87</v>
      </c>
      <c r="BS674" s="52" t="n">
        <v>1755</v>
      </c>
    </row>
    <row r="675" s="54" customFormat="true" ht="18" hidden="false" customHeight="true" outlineLevel="0" collapsed="false">
      <c r="A675" s="57" t="s">
        <v>1281</v>
      </c>
      <c r="B675" s="51"/>
      <c r="C675" s="51"/>
      <c r="D675" s="51"/>
      <c r="E675" s="51"/>
      <c r="F675" s="57" t="s">
        <v>1282</v>
      </c>
      <c r="G675" s="51"/>
      <c r="H675" s="51"/>
      <c r="I675" s="51"/>
      <c r="J675" s="51"/>
      <c r="K675" s="52" t="str">
        <f aca="false">IF($A675&lt;&gt;"",$A675,"")</f>
        <v>Apprenant 663</v>
      </c>
      <c r="L675" s="53" t="str">
        <f aca="false">IF(AND($B675&lt;&gt;"",$C675&lt;&gt;""),$C675-$B675,"")</f>
        <v/>
      </c>
      <c r="M675" s="53" t="str">
        <f aca="false">IF(AND($B675&lt;&gt;"",$D675&lt;&gt;""),$D675-$B675,"")</f>
        <v/>
      </c>
      <c r="N675" s="53" t="str">
        <f aca="false">IF(AND($C675&lt;&gt;"",$D675&lt;&gt;""),$D675-$C675,"")</f>
        <v/>
      </c>
      <c r="O675" s="53" t="str">
        <f aca="false">IF($E675&lt;&gt;"",$E675,"")</f>
        <v/>
      </c>
      <c r="P675" s="52" t="str">
        <f aca="false">IF($F675&lt;&gt;"",$F675,"")</f>
        <v>Apprenant 663 ou 663'</v>
      </c>
      <c r="Q675" s="53" t="str">
        <f aca="false">IF(AND($G675&lt;&gt;"",$H675&lt;&gt;""),$H675-$G675,"")</f>
        <v/>
      </c>
      <c r="R675" s="53" t="str">
        <f aca="false">IF(AND($G675&lt;&gt;"",$I675&lt;&gt;""),$I675-$G675,"")</f>
        <v/>
      </c>
      <c r="S675" s="53" t="str">
        <f aca="false">IF(AND($H675&lt;&gt;"",$I675&lt;&gt;""),$I675-$H675,"")</f>
        <v/>
      </c>
      <c r="T675" s="53" t="str">
        <f aca="false">IF($J675&lt;&gt;"",$J675,"")</f>
        <v/>
      </c>
      <c r="V675" s="52" t="str">
        <f aca="false">IF($A675&lt;&gt;"",$A675,"")</f>
        <v>Apprenant 663</v>
      </c>
      <c r="W675" s="53" t="str">
        <f aca="false">IF(AND(OR('Choix pédagogiques'!$C$3=1,'Choix pédagogiques'!$C$3=2),$BM675=1),B675,IF(AND('Choix pédagogiques'!$C$3=3,$BO675=1),B675,""))</f>
        <v/>
      </c>
      <c r="X675" s="53" t="str">
        <f aca="false">IF(AND(OR('Choix pédagogiques'!$C$3=1,'Choix pédagogiques'!$C$3=2),$BM675=1),C675,IF(AND('Choix pédagogiques'!$C$3=3,$BO675=1),C675,""))</f>
        <v/>
      </c>
      <c r="Y675" s="53" t="str">
        <f aca="false">IF(AND(OR('Choix pédagogiques'!$C$3=1,'Choix pédagogiques'!$C$3=2),$BM675=1),D675,IF(AND('Choix pédagogiques'!$C$3=3,$BO675=1),D675,""))</f>
        <v/>
      </c>
      <c r="Z675" s="53" t="str">
        <f aca="false">IF($E675&lt;&gt;"",$E675,"")</f>
        <v/>
      </c>
      <c r="AA675" s="52" t="str">
        <f aca="false">IF($F675&lt;&gt;"",$F675,"")</f>
        <v>Apprenant 663 ou 663'</v>
      </c>
      <c r="AB675" s="53" t="str">
        <f aca="false">IF(AND(OR('Choix pédagogiques'!$C$3=1,'Choix pédagogiques'!$C$3=2),$BN675=1),G675,IF(AND('Choix pédagogiques'!$C$3=3,$BO675=1),G675,""))</f>
        <v/>
      </c>
      <c r="AC675" s="53" t="str">
        <f aca="false">IF(AND(OR('Choix pédagogiques'!$C$3=1,'Choix pédagogiques'!$C$3=2),$BN675=1),H675,IF(AND('Choix pédagogiques'!$C$3=3,$BO675=1),H675,""))</f>
        <v/>
      </c>
      <c r="AD675" s="53" t="str">
        <f aca="false">IF(AND(OR('Choix pédagogiques'!$C$3=1,'Choix pédagogiques'!$C$3=2),$BN675=1),I675,IF(AND('Choix pédagogiques'!$C$3=3,$BO675=1),I675,""))</f>
        <v/>
      </c>
      <c r="AE675" s="53" t="str">
        <f aca="false">IF($J675&lt;&gt;"",$J675,"")</f>
        <v/>
      </c>
      <c r="AF675" s="52" t="str">
        <f aca="false">IF($A675&lt;&gt;"",$A675,"")</f>
        <v>Apprenant 663</v>
      </c>
      <c r="AG675" s="53" t="str">
        <f aca="false">IF(AND($W675&lt;&gt;"",$X675&lt;&gt;""),$X675-$W675,"")</f>
        <v/>
      </c>
      <c r="AH675" s="53" t="str">
        <f aca="false">IF(AND($W675&lt;&gt;"",$Y675&lt;&gt;""),$Y675-$W675,"")</f>
        <v/>
      </c>
      <c r="AI675" s="53" t="str">
        <f aca="false">IF(AND($X675&lt;&gt;"",$Y675&lt;&gt;""),$Y675-$X675,"")</f>
        <v/>
      </c>
      <c r="AJ675" s="53" t="str">
        <f aca="false">IF($E675&lt;&gt;"",$E675,"")</f>
        <v/>
      </c>
      <c r="AK675" s="52" t="str">
        <f aca="false">IF($F675&lt;&gt;"",$F675,"")</f>
        <v>Apprenant 663 ou 663'</v>
      </c>
      <c r="AL675" s="53" t="str">
        <f aca="false">IF(AND($AB675&lt;&gt;"",$AC675&lt;&gt;""),$AC675-$AB675,"")</f>
        <v/>
      </c>
      <c r="AM675" s="53" t="str">
        <f aca="false">IF(AND($AB675&lt;&gt;"",$AD675&lt;&gt;""),$AD675-$AB675,"")</f>
        <v/>
      </c>
      <c r="AN675" s="53" t="str">
        <f aca="false">IF(AND($AC675&lt;&gt;"",$AD675&lt;&gt;""),$AD675-$AC675,"")</f>
        <v/>
      </c>
      <c r="AO675" s="53" t="str">
        <f aca="false">IF($J675&lt;&gt;"",$J675,"")</f>
        <v/>
      </c>
      <c r="AQ675" s="52" t="str">
        <f aca="false">IF($A675&lt;&gt;"",$A675,"")</f>
        <v>Apprenant 663</v>
      </c>
      <c r="AR675" s="55" t="str">
        <f aca="false">IF(AND('Choix pédagogiques'!$C$4&lt;&gt;"?",'Choix pédagogiques'!$C$5&lt;&gt;"?",W675&lt;&gt;""),(W675-'Choix pédagogiques'!$C$4)/('Choix pédagogiques'!$C$5-'Choix pédagogiques'!$C$4),"")</f>
        <v/>
      </c>
      <c r="AS675" s="55" t="str">
        <f aca="false">IF(AND('Choix pédagogiques'!$C$4&lt;&gt;"?",'Choix pédagogiques'!$C$5&lt;&gt;"?",X675&lt;&gt;""),(X675-'Choix pédagogiques'!$C$4)/('Choix pédagogiques'!$C$5-'Choix pédagogiques'!$C$4),"")</f>
        <v/>
      </c>
      <c r="AT675" s="55" t="str">
        <f aca="false">IF(AND('Choix pédagogiques'!$C$4&lt;&gt;"?",'Choix pédagogiques'!$C$5&lt;&gt;"?",Y675&lt;&gt;""),(Y675-'Choix pédagogiques'!$C$4)/('Choix pédagogiques'!$C$5-'Choix pédagogiques'!$C$4),"")</f>
        <v/>
      </c>
      <c r="AU675" s="53" t="str">
        <f aca="false">IF($E675&lt;&gt;"",$E675,"")</f>
        <v/>
      </c>
      <c r="AV675" s="52" t="str">
        <f aca="false">IF($F675&lt;&gt;"",$F675,"")</f>
        <v>Apprenant 663 ou 663'</v>
      </c>
      <c r="AW675" s="55" t="str">
        <f aca="false">IF(AND('Choix pédagogiques'!$C$4&lt;&gt;"?",'Choix pédagogiques'!$C$5&lt;&gt;"?",AB675&lt;&gt;""),(AB675-'Choix pédagogiques'!$C$4)/('Choix pédagogiques'!$C$5-'Choix pédagogiques'!$C$4),"")</f>
        <v/>
      </c>
      <c r="AX675" s="55" t="str">
        <f aca="false">IF(AND('Choix pédagogiques'!$C$4&lt;&gt;"?",'Choix pédagogiques'!$C$5&lt;&gt;"?",AC675&lt;&gt;""),(AC675-'Choix pédagogiques'!$C$4)/('Choix pédagogiques'!$C$5-'Choix pédagogiques'!$C$4),"")</f>
        <v/>
      </c>
      <c r="AY675" s="55" t="str">
        <f aca="false">IF(AND('Choix pédagogiques'!$C$4&lt;&gt;"?",'Choix pédagogiques'!$C$5&lt;&gt;"?",AD675&lt;&gt;""),(AD675-'Choix pédagogiques'!$C$4)/('Choix pédagogiques'!$C$5-'Choix pédagogiques'!$C$4),"")</f>
        <v/>
      </c>
      <c r="AZ675" s="53" t="str">
        <f aca="false">IF($J675&lt;&gt;"",$J675,"")</f>
        <v/>
      </c>
      <c r="BA675" s="52" t="str">
        <f aca="false">IF($A675&lt;&gt;"",$A675,"")</f>
        <v>Apprenant 663</v>
      </c>
      <c r="BB675" s="55" t="str">
        <f aca="false">IF(AND($AR675&lt;&gt;"",$AS675&lt;&gt;""),$AS675-$AR675,"")</f>
        <v/>
      </c>
      <c r="BC675" s="55" t="str">
        <f aca="false">IF(AND($AR675&lt;&gt;"",$AT675&lt;&gt;""),$AT675-$AR675,"")</f>
        <v/>
      </c>
      <c r="BD675" s="55" t="str">
        <f aca="false">IF(AND($AS675&lt;&gt;"",$AT675&lt;&gt;""),$AT675-$AS675,"")</f>
        <v/>
      </c>
      <c r="BE675" s="53" t="str">
        <f aca="false">IF($E675&lt;&gt;"",$E675,"")</f>
        <v/>
      </c>
      <c r="BF675" s="52" t="str">
        <f aca="false">IF($F675&lt;&gt;"",$F675,"")</f>
        <v>Apprenant 663 ou 663'</v>
      </c>
      <c r="BG675" s="55" t="str">
        <f aca="false">IF(AND($AW675&lt;&gt;"",$AX675&lt;&gt;""),$AX675-$AW675,"")</f>
        <v/>
      </c>
      <c r="BH675" s="55" t="str">
        <f aca="false">IF(AND($AW675&lt;&gt;"",$AY675&lt;&gt;""),$AY675-$AW675,"")</f>
        <v/>
      </c>
      <c r="BI675" s="55" t="str">
        <f aca="false">IF(AND($AX675&lt;&gt;"",$AY675&lt;&gt;""),$AY675-$AX675,"")</f>
        <v/>
      </c>
      <c r="BJ675" s="53" t="str">
        <f aca="false">IF($J675&lt;&gt;"",$J675,"")</f>
        <v/>
      </c>
      <c r="BL675" s="52"/>
      <c r="BM675" s="52" t="str">
        <f aca="false">IF(OR(COUNT(B675:D1674)=0,AND('Choix pédagogiques'!$C$3&lt;&gt;1,'Choix pédagogiques'!$C$3&lt;&gt;2)),"",IF(AND(OR('Choix pédagogiques'!$C$3=1,'Choix pédagogiques'!$C$3=2),$B675&lt;&gt;"",$C675&lt;&gt;"",$D675&lt;&gt;""),1,0))</f>
        <v/>
      </c>
      <c r="BN675" s="52" t="str">
        <f aca="false">IF(OR(COUNT(G675:I1674)=0,AND('Choix pédagogiques'!$C$3&lt;&gt;1,'Choix pédagogiques'!$C$3&lt;&gt;2)),"",IF(AND(OR('Choix pédagogiques'!$C$3=1,'Choix pédagogiques'!$C$3=2),AND($G675&lt;&gt;"",$H675&lt;&gt;"",$I675&lt;&gt;"")),1,0))</f>
        <v/>
      </c>
      <c r="BO675" s="52" t="str">
        <f aca="false">IF(OR(COUNT(B675:D1674)=0,COUNT(G675:I1674)=0,'Choix pédagogiques'!C$3&lt;&gt;3),"",IF(AND('Choix pédagogiques'!$C$3=3,$B675&lt;&gt;"",$C675&lt;&gt;"",$D675&lt;&gt;"",$G675&lt;&gt;"",$H675&lt;&gt;"",$I675&lt;&gt;""),1,0))</f>
        <v/>
      </c>
      <c r="BR675" s="52" t="n">
        <v>782</v>
      </c>
      <c r="BS675" s="52" t="n">
        <v>1992</v>
      </c>
    </row>
    <row r="676" s="54" customFormat="true" ht="18" hidden="false" customHeight="true" outlineLevel="0" collapsed="false">
      <c r="A676" s="57" t="s">
        <v>1283</v>
      </c>
      <c r="B676" s="51"/>
      <c r="C676" s="51"/>
      <c r="D676" s="51"/>
      <c r="E676" s="51"/>
      <c r="F676" s="57" t="s">
        <v>1284</v>
      </c>
      <c r="G676" s="51"/>
      <c r="H676" s="51"/>
      <c r="I676" s="51"/>
      <c r="J676" s="51"/>
      <c r="K676" s="52" t="str">
        <f aca="false">IF($A676&lt;&gt;"",$A676,"")</f>
        <v>Apprenant 664</v>
      </c>
      <c r="L676" s="53" t="str">
        <f aca="false">IF(AND($B676&lt;&gt;"",$C676&lt;&gt;""),$C676-$B676,"")</f>
        <v/>
      </c>
      <c r="M676" s="53" t="str">
        <f aca="false">IF(AND($B676&lt;&gt;"",$D676&lt;&gt;""),$D676-$B676,"")</f>
        <v/>
      </c>
      <c r="N676" s="53" t="str">
        <f aca="false">IF(AND($C676&lt;&gt;"",$D676&lt;&gt;""),$D676-$C676,"")</f>
        <v/>
      </c>
      <c r="O676" s="53" t="str">
        <f aca="false">IF($E676&lt;&gt;"",$E676,"")</f>
        <v/>
      </c>
      <c r="P676" s="52" t="str">
        <f aca="false">IF($F676&lt;&gt;"",$F676,"")</f>
        <v>Apprenant 664 ou 664'</v>
      </c>
      <c r="Q676" s="53" t="str">
        <f aca="false">IF(AND($G676&lt;&gt;"",$H676&lt;&gt;""),$H676-$G676,"")</f>
        <v/>
      </c>
      <c r="R676" s="53" t="str">
        <f aca="false">IF(AND($G676&lt;&gt;"",$I676&lt;&gt;""),$I676-$G676,"")</f>
        <v/>
      </c>
      <c r="S676" s="53" t="str">
        <f aca="false">IF(AND($H676&lt;&gt;"",$I676&lt;&gt;""),$I676-$H676,"")</f>
        <v/>
      </c>
      <c r="T676" s="53" t="str">
        <f aca="false">IF($J676&lt;&gt;"",$J676,"")</f>
        <v/>
      </c>
      <c r="V676" s="52" t="str">
        <f aca="false">IF($A676&lt;&gt;"",$A676,"")</f>
        <v>Apprenant 664</v>
      </c>
      <c r="W676" s="53" t="str">
        <f aca="false">IF(AND(OR('Choix pédagogiques'!$C$3=1,'Choix pédagogiques'!$C$3=2),$BM676=1),B676,IF(AND('Choix pédagogiques'!$C$3=3,$BO676=1),B676,""))</f>
        <v/>
      </c>
      <c r="X676" s="53" t="str">
        <f aca="false">IF(AND(OR('Choix pédagogiques'!$C$3=1,'Choix pédagogiques'!$C$3=2),$BM676=1),C676,IF(AND('Choix pédagogiques'!$C$3=3,$BO676=1),C676,""))</f>
        <v/>
      </c>
      <c r="Y676" s="53" t="str">
        <f aca="false">IF(AND(OR('Choix pédagogiques'!$C$3=1,'Choix pédagogiques'!$C$3=2),$BM676=1),D676,IF(AND('Choix pédagogiques'!$C$3=3,$BO676=1),D676,""))</f>
        <v/>
      </c>
      <c r="Z676" s="53" t="str">
        <f aca="false">IF($E676&lt;&gt;"",$E676,"")</f>
        <v/>
      </c>
      <c r="AA676" s="52" t="str">
        <f aca="false">IF($F676&lt;&gt;"",$F676,"")</f>
        <v>Apprenant 664 ou 664'</v>
      </c>
      <c r="AB676" s="53" t="str">
        <f aca="false">IF(AND(OR('Choix pédagogiques'!$C$3=1,'Choix pédagogiques'!$C$3=2),$BN676=1),G676,IF(AND('Choix pédagogiques'!$C$3=3,$BO676=1),G676,""))</f>
        <v/>
      </c>
      <c r="AC676" s="53" t="str">
        <f aca="false">IF(AND(OR('Choix pédagogiques'!$C$3=1,'Choix pédagogiques'!$C$3=2),$BN676=1),H676,IF(AND('Choix pédagogiques'!$C$3=3,$BO676=1),H676,""))</f>
        <v/>
      </c>
      <c r="AD676" s="53" t="str">
        <f aca="false">IF(AND(OR('Choix pédagogiques'!$C$3=1,'Choix pédagogiques'!$C$3=2),$BN676=1),I676,IF(AND('Choix pédagogiques'!$C$3=3,$BO676=1),I676,""))</f>
        <v/>
      </c>
      <c r="AE676" s="53" t="str">
        <f aca="false">IF($J676&lt;&gt;"",$J676,"")</f>
        <v/>
      </c>
      <c r="AF676" s="52" t="str">
        <f aca="false">IF($A676&lt;&gt;"",$A676,"")</f>
        <v>Apprenant 664</v>
      </c>
      <c r="AG676" s="53" t="str">
        <f aca="false">IF(AND($W676&lt;&gt;"",$X676&lt;&gt;""),$X676-$W676,"")</f>
        <v/>
      </c>
      <c r="AH676" s="53" t="str">
        <f aca="false">IF(AND($W676&lt;&gt;"",$Y676&lt;&gt;""),$Y676-$W676,"")</f>
        <v/>
      </c>
      <c r="AI676" s="53" t="str">
        <f aca="false">IF(AND($X676&lt;&gt;"",$Y676&lt;&gt;""),$Y676-$X676,"")</f>
        <v/>
      </c>
      <c r="AJ676" s="53" t="str">
        <f aca="false">IF($E676&lt;&gt;"",$E676,"")</f>
        <v/>
      </c>
      <c r="AK676" s="52" t="str">
        <f aca="false">IF($F676&lt;&gt;"",$F676,"")</f>
        <v>Apprenant 664 ou 664'</v>
      </c>
      <c r="AL676" s="53" t="str">
        <f aca="false">IF(AND($AB676&lt;&gt;"",$AC676&lt;&gt;""),$AC676-$AB676,"")</f>
        <v/>
      </c>
      <c r="AM676" s="53" t="str">
        <f aca="false">IF(AND($AB676&lt;&gt;"",$AD676&lt;&gt;""),$AD676-$AB676,"")</f>
        <v/>
      </c>
      <c r="AN676" s="53" t="str">
        <f aca="false">IF(AND($AC676&lt;&gt;"",$AD676&lt;&gt;""),$AD676-$AC676,"")</f>
        <v/>
      </c>
      <c r="AO676" s="53" t="str">
        <f aca="false">IF($J676&lt;&gt;"",$J676,"")</f>
        <v/>
      </c>
      <c r="AQ676" s="52" t="str">
        <f aca="false">IF($A676&lt;&gt;"",$A676,"")</f>
        <v>Apprenant 664</v>
      </c>
      <c r="AR676" s="55" t="str">
        <f aca="false">IF(AND('Choix pédagogiques'!$C$4&lt;&gt;"?",'Choix pédagogiques'!$C$5&lt;&gt;"?",W676&lt;&gt;""),(W676-'Choix pédagogiques'!$C$4)/('Choix pédagogiques'!$C$5-'Choix pédagogiques'!$C$4),"")</f>
        <v/>
      </c>
      <c r="AS676" s="55" t="str">
        <f aca="false">IF(AND('Choix pédagogiques'!$C$4&lt;&gt;"?",'Choix pédagogiques'!$C$5&lt;&gt;"?",X676&lt;&gt;""),(X676-'Choix pédagogiques'!$C$4)/('Choix pédagogiques'!$C$5-'Choix pédagogiques'!$C$4),"")</f>
        <v/>
      </c>
      <c r="AT676" s="55" t="str">
        <f aca="false">IF(AND('Choix pédagogiques'!$C$4&lt;&gt;"?",'Choix pédagogiques'!$C$5&lt;&gt;"?",Y676&lt;&gt;""),(Y676-'Choix pédagogiques'!$C$4)/('Choix pédagogiques'!$C$5-'Choix pédagogiques'!$C$4),"")</f>
        <v/>
      </c>
      <c r="AU676" s="53" t="str">
        <f aca="false">IF($E676&lt;&gt;"",$E676,"")</f>
        <v/>
      </c>
      <c r="AV676" s="52" t="str">
        <f aca="false">IF($F676&lt;&gt;"",$F676,"")</f>
        <v>Apprenant 664 ou 664'</v>
      </c>
      <c r="AW676" s="55" t="str">
        <f aca="false">IF(AND('Choix pédagogiques'!$C$4&lt;&gt;"?",'Choix pédagogiques'!$C$5&lt;&gt;"?",AB676&lt;&gt;""),(AB676-'Choix pédagogiques'!$C$4)/('Choix pédagogiques'!$C$5-'Choix pédagogiques'!$C$4),"")</f>
        <v/>
      </c>
      <c r="AX676" s="55" t="str">
        <f aca="false">IF(AND('Choix pédagogiques'!$C$4&lt;&gt;"?",'Choix pédagogiques'!$C$5&lt;&gt;"?",AC676&lt;&gt;""),(AC676-'Choix pédagogiques'!$C$4)/('Choix pédagogiques'!$C$5-'Choix pédagogiques'!$C$4),"")</f>
        <v/>
      </c>
      <c r="AY676" s="55" t="str">
        <f aca="false">IF(AND('Choix pédagogiques'!$C$4&lt;&gt;"?",'Choix pédagogiques'!$C$5&lt;&gt;"?",AD676&lt;&gt;""),(AD676-'Choix pédagogiques'!$C$4)/('Choix pédagogiques'!$C$5-'Choix pédagogiques'!$C$4),"")</f>
        <v/>
      </c>
      <c r="AZ676" s="53" t="str">
        <f aca="false">IF($J676&lt;&gt;"",$J676,"")</f>
        <v/>
      </c>
      <c r="BA676" s="52" t="str">
        <f aca="false">IF($A676&lt;&gt;"",$A676,"")</f>
        <v>Apprenant 664</v>
      </c>
      <c r="BB676" s="55" t="str">
        <f aca="false">IF(AND($AR676&lt;&gt;"",$AS676&lt;&gt;""),$AS676-$AR676,"")</f>
        <v/>
      </c>
      <c r="BC676" s="55" t="str">
        <f aca="false">IF(AND($AR676&lt;&gt;"",$AT676&lt;&gt;""),$AT676-$AR676,"")</f>
        <v/>
      </c>
      <c r="BD676" s="55" t="str">
        <f aca="false">IF(AND($AS676&lt;&gt;"",$AT676&lt;&gt;""),$AT676-$AS676,"")</f>
        <v/>
      </c>
      <c r="BE676" s="53" t="str">
        <f aca="false">IF($E676&lt;&gt;"",$E676,"")</f>
        <v/>
      </c>
      <c r="BF676" s="52" t="str">
        <f aca="false">IF($F676&lt;&gt;"",$F676,"")</f>
        <v>Apprenant 664 ou 664'</v>
      </c>
      <c r="BG676" s="55" t="str">
        <f aca="false">IF(AND($AW676&lt;&gt;"",$AX676&lt;&gt;""),$AX676-$AW676,"")</f>
        <v/>
      </c>
      <c r="BH676" s="55" t="str">
        <f aca="false">IF(AND($AW676&lt;&gt;"",$AY676&lt;&gt;""),$AY676-$AW676,"")</f>
        <v/>
      </c>
      <c r="BI676" s="55" t="str">
        <f aca="false">IF(AND($AX676&lt;&gt;"",$AY676&lt;&gt;""),$AY676-$AX676,"")</f>
        <v/>
      </c>
      <c r="BJ676" s="53" t="str">
        <f aca="false">IF($J676&lt;&gt;"",$J676,"")</f>
        <v/>
      </c>
      <c r="BL676" s="52"/>
      <c r="BM676" s="52" t="str">
        <f aca="false">IF(OR(COUNT(B676:D1675)=0,AND('Choix pédagogiques'!$C$3&lt;&gt;1,'Choix pédagogiques'!$C$3&lt;&gt;2)),"",IF(AND(OR('Choix pédagogiques'!$C$3=1,'Choix pédagogiques'!$C$3=2),$B676&lt;&gt;"",$C676&lt;&gt;"",$D676&lt;&gt;""),1,0))</f>
        <v/>
      </c>
      <c r="BN676" s="52" t="str">
        <f aca="false">IF(OR(COUNT(G676:I1675)=0,AND('Choix pédagogiques'!$C$3&lt;&gt;1,'Choix pédagogiques'!$C$3&lt;&gt;2)),"",IF(AND(OR('Choix pédagogiques'!$C$3=1,'Choix pédagogiques'!$C$3=2),AND($G676&lt;&gt;"",$H676&lt;&gt;"",$I676&lt;&gt;"")),1,0))</f>
        <v/>
      </c>
      <c r="BO676" s="52" t="str">
        <f aca="false">IF(OR(COUNT(B676:D1675)=0,COUNT(G676:I1675)=0,'Choix pédagogiques'!C$3&lt;&gt;3),"",IF(AND('Choix pédagogiques'!$C$3=3,$B676&lt;&gt;"",$C676&lt;&gt;"",$D676&lt;&gt;"",$G676&lt;&gt;"",$H676&lt;&gt;"",$I676&lt;&gt;""),1,0))</f>
        <v/>
      </c>
      <c r="BR676" s="52" t="n">
        <v>774</v>
      </c>
      <c r="BS676" s="52" t="n">
        <v>1136</v>
      </c>
    </row>
    <row r="677" s="54" customFormat="true" ht="18" hidden="false" customHeight="true" outlineLevel="0" collapsed="false">
      <c r="A677" s="57" t="s">
        <v>1285</v>
      </c>
      <c r="B677" s="51"/>
      <c r="C677" s="51"/>
      <c r="D677" s="51"/>
      <c r="E677" s="51"/>
      <c r="F677" s="57" t="s">
        <v>1286</v>
      </c>
      <c r="G677" s="51"/>
      <c r="H677" s="51"/>
      <c r="I677" s="51"/>
      <c r="J677" s="51"/>
      <c r="K677" s="52" t="str">
        <f aca="false">IF($A677&lt;&gt;"",$A677,"")</f>
        <v>Apprenant 665</v>
      </c>
      <c r="L677" s="53" t="str">
        <f aca="false">IF(AND($B677&lt;&gt;"",$C677&lt;&gt;""),$C677-$B677,"")</f>
        <v/>
      </c>
      <c r="M677" s="53" t="str">
        <f aca="false">IF(AND($B677&lt;&gt;"",$D677&lt;&gt;""),$D677-$B677,"")</f>
        <v/>
      </c>
      <c r="N677" s="53" t="str">
        <f aca="false">IF(AND($C677&lt;&gt;"",$D677&lt;&gt;""),$D677-$C677,"")</f>
        <v/>
      </c>
      <c r="O677" s="53" t="str">
        <f aca="false">IF($E677&lt;&gt;"",$E677,"")</f>
        <v/>
      </c>
      <c r="P677" s="52" t="str">
        <f aca="false">IF($F677&lt;&gt;"",$F677,"")</f>
        <v>Apprenant 665 ou 665'</v>
      </c>
      <c r="Q677" s="53" t="str">
        <f aca="false">IF(AND($G677&lt;&gt;"",$H677&lt;&gt;""),$H677-$G677,"")</f>
        <v/>
      </c>
      <c r="R677" s="53" t="str">
        <f aca="false">IF(AND($G677&lt;&gt;"",$I677&lt;&gt;""),$I677-$G677,"")</f>
        <v/>
      </c>
      <c r="S677" s="53" t="str">
        <f aca="false">IF(AND($H677&lt;&gt;"",$I677&lt;&gt;""),$I677-$H677,"")</f>
        <v/>
      </c>
      <c r="T677" s="53" t="str">
        <f aca="false">IF($J677&lt;&gt;"",$J677,"")</f>
        <v/>
      </c>
      <c r="V677" s="52" t="str">
        <f aca="false">IF($A677&lt;&gt;"",$A677,"")</f>
        <v>Apprenant 665</v>
      </c>
      <c r="W677" s="53" t="str">
        <f aca="false">IF(AND(OR('Choix pédagogiques'!$C$3=1,'Choix pédagogiques'!$C$3=2),$BM677=1),B677,IF(AND('Choix pédagogiques'!$C$3=3,$BO677=1),B677,""))</f>
        <v/>
      </c>
      <c r="X677" s="53" t="str">
        <f aca="false">IF(AND(OR('Choix pédagogiques'!$C$3=1,'Choix pédagogiques'!$C$3=2),$BM677=1),C677,IF(AND('Choix pédagogiques'!$C$3=3,$BO677=1),C677,""))</f>
        <v/>
      </c>
      <c r="Y677" s="53" t="str">
        <f aca="false">IF(AND(OR('Choix pédagogiques'!$C$3=1,'Choix pédagogiques'!$C$3=2),$BM677=1),D677,IF(AND('Choix pédagogiques'!$C$3=3,$BO677=1),D677,""))</f>
        <v/>
      </c>
      <c r="Z677" s="53" t="str">
        <f aca="false">IF($E677&lt;&gt;"",$E677,"")</f>
        <v/>
      </c>
      <c r="AA677" s="52" t="str">
        <f aca="false">IF($F677&lt;&gt;"",$F677,"")</f>
        <v>Apprenant 665 ou 665'</v>
      </c>
      <c r="AB677" s="53" t="str">
        <f aca="false">IF(AND(OR('Choix pédagogiques'!$C$3=1,'Choix pédagogiques'!$C$3=2),$BN677=1),G677,IF(AND('Choix pédagogiques'!$C$3=3,$BO677=1),G677,""))</f>
        <v/>
      </c>
      <c r="AC677" s="53" t="str">
        <f aca="false">IF(AND(OR('Choix pédagogiques'!$C$3=1,'Choix pédagogiques'!$C$3=2),$BN677=1),H677,IF(AND('Choix pédagogiques'!$C$3=3,$BO677=1),H677,""))</f>
        <v/>
      </c>
      <c r="AD677" s="53" t="str">
        <f aca="false">IF(AND(OR('Choix pédagogiques'!$C$3=1,'Choix pédagogiques'!$C$3=2),$BN677=1),I677,IF(AND('Choix pédagogiques'!$C$3=3,$BO677=1),I677,""))</f>
        <v/>
      </c>
      <c r="AE677" s="53" t="str">
        <f aca="false">IF($J677&lt;&gt;"",$J677,"")</f>
        <v/>
      </c>
      <c r="AF677" s="52" t="str">
        <f aca="false">IF($A677&lt;&gt;"",$A677,"")</f>
        <v>Apprenant 665</v>
      </c>
      <c r="AG677" s="53" t="str">
        <f aca="false">IF(AND($W677&lt;&gt;"",$X677&lt;&gt;""),$X677-$W677,"")</f>
        <v/>
      </c>
      <c r="AH677" s="53" t="str">
        <f aca="false">IF(AND($W677&lt;&gt;"",$Y677&lt;&gt;""),$Y677-$W677,"")</f>
        <v/>
      </c>
      <c r="AI677" s="53" t="str">
        <f aca="false">IF(AND($X677&lt;&gt;"",$Y677&lt;&gt;""),$Y677-$X677,"")</f>
        <v/>
      </c>
      <c r="AJ677" s="53" t="str">
        <f aca="false">IF($E677&lt;&gt;"",$E677,"")</f>
        <v/>
      </c>
      <c r="AK677" s="52" t="str">
        <f aca="false">IF($F677&lt;&gt;"",$F677,"")</f>
        <v>Apprenant 665 ou 665'</v>
      </c>
      <c r="AL677" s="53" t="str">
        <f aca="false">IF(AND($AB677&lt;&gt;"",$AC677&lt;&gt;""),$AC677-$AB677,"")</f>
        <v/>
      </c>
      <c r="AM677" s="53" t="str">
        <f aca="false">IF(AND($AB677&lt;&gt;"",$AD677&lt;&gt;""),$AD677-$AB677,"")</f>
        <v/>
      </c>
      <c r="AN677" s="53" t="str">
        <f aca="false">IF(AND($AC677&lt;&gt;"",$AD677&lt;&gt;""),$AD677-$AC677,"")</f>
        <v/>
      </c>
      <c r="AO677" s="53" t="str">
        <f aca="false">IF($J677&lt;&gt;"",$J677,"")</f>
        <v/>
      </c>
      <c r="AQ677" s="52" t="str">
        <f aca="false">IF($A677&lt;&gt;"",$A677,"")</f>
        <v>Apprenant 665</v>
      </c>
      <c r="AR677" s="55" t="str">
        <f aca="false">IF(AND('Choix pédagogiques'!$C$4&lt;&gt;"?",'Choix pédagogiques'!$C$5&lt;&gt;"?",W677&lt;&gt;""),(W677-'Choix pédagogiques'!$C$4)/('Choix pédagogiques'!$C$5-'Choix pédagogiques'!$C$4),"")</f>
        <v/>
      </c>
      <c r="AS677" s="55" t="str">
        <f aca="false">IF(AND('Choix pédagogiques'!$C$4&lt;&gt;"?",'Choix pédagogiques'!$C$5&lt;&gt;"?",X677&lt;&gt;""),(X677-'Choix pédagogiques'!$C$4)/('Choix pédagogiques'!$C$5-'Choix pédagogiques'!$C$4),"")</f>
        <v/>
      </c>
      <c r="AT677" s="55" t="str">
        <f aca="false">IF(AND('Choix pédagogiques'!$C$4&lt;&gt;"?",'Choix pédagogiques'!$C$5&lt;&gt;"?",Y677&lt;&gt;""),(Y677-'Choix pédagogiques'!$C$4)/('Choix pédagogiques'!$C$5-'Choix pédagogiques'!$C$4),"")</f>
        <v/>
      </c>
      <c r="AU677" s="53" t="str">
        <f aca="false">IF($E677&lt;&gt;"",$E677,"")</f>
        <v/>
      </c>
      <c r="AV677" s="52" t="str">
        <f aca="false">IF($F677&lt;&gt;"",$F677,"")</f>
        <v>Apprenant 665 ou 665'</v>
      </c>
      <c r="AW677" s="55" t="str">
        <f aca="false">IF(AND('Choix pédagogiques'!$C$4&lt;&gt;"?",'Choix pédagogiques'!$C$5&lt;&gt;"?",AB677&lt;&gt;""),(AB677-'Choix pédagogiques'!$C$4)/('Choix pédagogiques'!$C$5-'Choix pédagogiques'!$C$4),"")</f>
        <v/>
      </c>
      <c r="AX677" s="55" t="str">
        <f aca="false">IF(AND('Choix pédagogiques'!$C$4&lt;&gt;"?",'Choix pédagogiques'!$C$5&lt;&gt;"?",AC677&lt;&gt;""),(AC677-'Choix pédagogiques'!$C$4)/('Choix pédagogiques'!$C$5-'Choix pédagogiques'!$C$4),"")</f>
        <v/>
      </c>
      <c r="AY677" s="55" t="str">
        <f aca="false">IF(AND('Choix pédagogiques'!$C$4&lt;&gt;"?",'Choix pédagogiques'!$C$5&lt;&gt;"?",AD677&lt;&gt;""),(AD677-'Choix pédagogiques'!$C$4)/('Choix pédagogiques'!$C$5-'Choix pédagogiques'!$C$4),"")</f>
        <v/>
      </c>
      <c r="AZ677" s="53" t="str">
        <f aca="false">IF($J677&lt;&gt;"",$J677,"")</f>
        <v/>
      </c>
      <c r="BA677" s="52" t="str">
        <f aca="false">IF($A677&lt;&gt;"",$A677,"")</f>
        <v>Apprenant 665</v>
      </c>
      <c r="BB677" s="55" t="str">
        <f aca="false">IF(AND($AR677&lt;&gt;"",$AS677&lt;&gt;""),$AS677-$AR677,"")</f>
        <v/>
      </c>
      <c r="BC677" s="55" t="str">
        <f aca="false">IF(AND($AR677&lt;&gt;"",$AT677&lt;&gt;""),$AT677-$AR677,"")</f>
        <v/>
      </c>
      <c r="BD677" s="55" t="str">
        <f aca="false">IF(AND($AS677&lt;&gt;"",$AT677&lt;&gt;""),$AT677-$AS677,"")</f>
        <v/>
      </c>
      <c r="BE677" s="53" t="str">
        <f aca="false">IF($E677&lt;&gt;"",$E677,"")</f>
        <v/>
      </c>
      <c r="BF677" s="52" t="str">
        <f aca="false">IF($F677&lt;&gt;"",$F677,"")</f>
        <v>Apprenant 665 ou 665'</v>
      </c>
      <c r="BG677" s="55" t="str">
        <f aca="false">IF(AND($AW677&lt;&gt;"",$AX677&lt;&gt;""),$AX677-$AW677,"")</f>
        <v/>
      </c>
      <c r="BH677" s="55" t="str">
        <f aca="false">IF(AND($AW677&lt;&gt;"",$AY677&lt;&gt;""),$AY677-$AW677,"")</f>
        <v/>
      </c>
      <c r="BI677" s="55" t="str">
        <f aca="false">IF(AND($AX677&lt;&gt;"",$AY677&lt;&gt;""),$AY677-$AX677,"")</f>
        <v/>
      </c>
      <c r="BJ677" s="53" t="str">
        <f aca="false">IF($J677&lt;&gt;"",$J677,"")</f>
        <v/>
      </c>
      <c r="BL677" s="52"/>
      <c r="BM677" s="52" t="str">
        <f aca="false">IF(OR(COUNT(B677:D1676)=0,AND('Choix pédagogiques'!$C$3&lt;&gt;1,'Choix pédagogiques'!$C$3&lt;&gt;2)),"",IF(AND(OR('Choix pédagogiques'!$C$3=1,'Choix pédagogiques'!$C$3=2),$B677&lt;&gt;"",$C677&lt;&gt;"",$D677&lt;&gt;""),1,0))</f>
        <v/>
      </c>
      <c r="BN677" s="52" t="str">
        <f aca="false">IF(OR(COUNT(G677:I1676)=0,AND('Choix pédagogiques'!$C$3&lt;&gt;1,'Choix pédagogiques'!$C$3&lt;&gt;2)),"",IF(AND(OR('Choix pédagogiques'!$C$3=1,'Choix pédagogiques'!$C$3=2),AND($G677&lt;&gt;"",$H677&lt;&gt;"",$I677&lt;&gt;"")),1,0))</f>
        <v/>
      </c>
      <c r="BO677" s="52" t="str">
        <f aca="false">IF(OR(COUNT(B677:D1676)=0,COUNT(G677:I1676)=0,'Choix pédagogiques'!C$3&lt;&gt;3),"",IF(AND('Choix pédagogiques'!$C$3=3,$B677&lt;&gt;"",$C677&lt;&gt;"",$D677&lt;&gt;"",$G677&lt;&gt;"",$H677&lt;&gt;"",$I677&lt;&gt;""),1,0))</f>
        <v/>
      </c>
      <c r="BR677" s="52" t="n">
        <v>532</v>
      </c>
      <c r="BS677" s="52" t="n">
        <v>1620</v>
      </c>
    </row>
    <row r="678" s="54" customFormat="true" ht="18" hidden="false" customHeight="true" outlineLevel="0" collapsed="false">
      <c r="A678" s="57" t="s">
        <v>1287</v>
      </c>
      <c r="B678" s="51"/>
      <c r="C678" s="51"/>
      <c r="D678" s="51"/>
      <c r="E678" s="51"/>
      <c r="F678" s="57" t="s">
        <v>1288</v>
      </c>
      <c r="G678" s="51"/>
      <c r="H678" s="51"/>
      <c r="I678" s="51"/>
      <c r="J678" s="51"/>
      <c r="K678" s="52" t="str">
        <f aca="false">IF($A678&lt;&gt;"",$A678,"")</f>
        <v>Apprenant 666</v>
      </c>
      <c r="L678" s="53" t="str">
        <f aca="false">IF(AND($B678&lt;&gt;"",$C678&lt;&gt;""),$C678-$B678,"")</f>
        <v/>
      </c>
      <c r="M678" s="53" t="str">
        <f aca="false">IF(AND($B678&lt;&gt;"",$D678&lt;&gt;""),$D678-$B678,"")</f>
        <v/>
      </c>
      <c r="N678" s="53" t="str">
        <f aca="false">IF(AND($C678&lt;&gt;"",$D678&lt;&gt;""),$D678-$C678,"")</f>
        <v/>
      </c>
      <c r="O678" s="53" t="str">
        <f aca="false">IF($E678&lt;&gt;"",$E678,"")</f>
        <v/>
      </c>
      <c r="P678" s="52" t="str">
        <f aca="false">IF($F678&lt;&gt;"",$F678,"")</f>
        <v>Apprenant 666 ou 666'</v>
      </c>
      <c r="Q678" s="53" t="str">
        <f aca="false">IF(AND($G678&lt;&gt;"",$H678&lt;&gt;""),$H678-$G678,"")</f>
        <v/>
      </c>
      <c r="R678" s="53" t="str">
        <f aca="false">IF(AND($G678&lt;&gt;"",$I678&lt;&gt;""),$I678-$G678,"")</f>
        <v/>
      </c>
      <c r="S678" s="53" t="str">
        <f aca="false">IF(AND($H678&lt;&gt;"",$I678&lt;&gt;""),$I678-$H678,"")</f>
        <v/>
      </c>
      <c r="T678" s="53" t="str">
        <f aca="false">IF($J678&lt;&gt;"",$J678,"")</f>
        <v/>
      </c>
      <c r="V678" s="52" t="str">
        <f aca="false">IF($A678&lt;&gt;"",$A678,"")</f>
        <v>Apprenant 666</v>
      </c>
      <c r="W678" s="53" t="str">
        <f aca="false">IF(AND(OR('Choix pédagogiques'!$C$3=1,'Choix pédagogiques'!$C$3=2),$BM678=1),B678,IF(AND('Choix pédagogiques'!$C$3=3,$BO678=1),B678,""))</f>
        <v/>
      </c>
      <c r="X678" s="53" t="str">
        <f aca="false">IF(AND(OR('Choix pédagogiques'!$C$3=1,'Choix pédagogiques'!$C$3=2),$BM678=1),C678,IF(AND('Choix pédagogiques'!$C$3=3,$BO678=1),C678,""))</f>
        <v/>
      </c>
      <c r="Y678" s="53" t="str">
        <f aca="false">IF(AND(OR('Choix pédagogiques'!$C$3=1,'Choix pédagogiques'!$C$3=2),$BM678=1),D678,IF(AND('Choix pédagogiques'!$C$3=3,$BO678=1),D678,""))</f>
        <v/>
      </c>
      <c r="Z678" s="53" t="str">
        <f aca="false">IF($E678&lt;&gt;"",$E678,"")</f>
        <v/>
      </c>
      <c r="AA678" s="52" t="str">
        <f aca="false">IF($F678&lt;&gt;"",$F678,"")</f>
        <v>Apprenant 666 ou 666'</v>
      </c>
      <c r="AB678" s="53" t="str">
        <f aca="false">IF(AND(OR('Choix pédagogiques'!$C$3=1,'Choix pédagogiques'!$C$3=2),$BN678=1),G678,IF(AND('Choix pédagogiques'!$C$3=3,$BO678=1),G678,""))</f>
        <v/>
      </c>
      <c r="AC678" s="53" t="str">
        <f aca="false">IF(AND(OR('Choix pédagogiques'!$C$3=1,'Choix pédagogiques'!$C$3=2),$BN678=1),H678,IF(AND('Choix pédagogiques'!$C$3=3,$BO678=1),H678,""))</f>
        <v/>
      </c>
      <c r="AD678" s="53" t="str">
        <f aca="false">IF(AND(OR('Choix pédagogiques'!$C$3=1,'Choix pédagogiques'!$C$3=2),$BN678=1),I678,IF(AND('Choix pédagogiques'!$C$3=3,$BO678=1),I678,""))</f>
        <v/>
      </c>
      <c r="AE678" s="53" t="str">
        <f aca="false">IF($J678&lt;&gt;"",$J678,"")</f>
        <v/>
      </c>
      <c r="AF678" s="52" t="str">
        <f aca="false">IF($A678&lt;&gt;"",$A678,"")</f>
        <v>Apprenant 666</v>
      </c>
      <c r="AG678" s="53" t="str">
        <f aca="false">IF(AND($W678&lt;&gt;"",$X678&lt;&gt;""),$X678-$W678,"")</f>
        <v/>
      </c>
      <c r="AH678" s="53" t="str">
        <f aca="false">IF(AND($W678&lt;&gt;"",$Y678&lt;&gt;""),$Y678-$W678,"")</f>
        <v/>
      </c>
      <c r="AI678" s="53" t="str">
        <f aca="false">IF(AND($X678&lt;&gt;"",$Y678&lt;&gt;""),$Y678-$X678,"")</f>
        <v/>
      </c>
      <c r="AJ678" s="53" t="str">
        <f aca="false">IF($E678&lt;&gt;"",$E678,"")</f>
        <v/>
      </c>
      <c r="AK678" s="52" t="str">
        <f aca="false">IF($F678&lt;&gt;"",$F678,"")</f>
        <v>Apprenant 666 ou 666'</v>
      </c>
      <c r="AL678" s="53" t="str">
        <f aca="false">IF(AND($AB678&lt;&gt;"",$AC678&lt;&gt;""),$AC678-$AB678,"")</f>
        <v/>
      </c>
      <c r="AM678" s="53" t="str">
        <f aca="false">IF(AND($AB678&lt;&gt;"",$AD678&lt;&gt;""),$AD678-$AB678,"")</f>
        <v/>
      </c>
      <c r="AN678" s="53" t="str">
        <f aca="false">IF(AND($AC678&lt;&gt;"",$AD678&lt;&gt;""),$AD678-$AC678,"")</f>
        <v/>
      </c>
      <c r="AO678" s="53" t="str">
        <f aca="false">IF($J678&lt;&gt;"",$J678,"")</f>
        <v/>
      </c>
      <c r="AQ678" s="52" t="str">
        <f aca="false">IF($A678&lt;&gt;"",$A678,"")</f>
        <v>Apprenant 666</v>
      </c>
      <c r="AR678" s="55" t="str">
        <f aca="false">IF(AND('Choix pédagogiques'!$C$4&lt;&gt;"?",'Choix pédagogiques'!$C$5&lt;&gt;"?",W678&lt;&gt;""),(W678-'Choix pédagogiques'!$C$4)/('Choix pédagogiques'!$C$5-'Choix pédagogiques'!$C$4),"")</f>
        <v/>
      </c>
      <c r="AS678" s="55" t="str">
        <f aca="false">IF(AND('Choix pédagogiques'!$C$4&lt;&gt;"?",'Choix pédagogiques'!$C$5&lt;&gt;"?",X678&lt;&gt;""),(X678-'Choix pédagogiques'!$C$4)/('Choix pédagogiques'!$C$5-'Choix pédagogiques'!$C$4),"")</f>
        <v/>
      </c>
      <c r="AT678" s="55" t="str">
        <f aca="false">IF(AND('Choix pédagogiques'!$C$4&lt;&gt;"?",'Choix pédagogiques'!$C$5&lt;&gt;"?",Y678&lt;&gt;""),(Y678-'Choix pédagogiques'!$C$4)/('Choix pédagogiques'!$C$5-'Choix pédagogiques'!$C$4),"")</f>
        <v/>
      </c>
      <c r="AU678" s="53" t="str">
        <f aca="false">IF($E678&lt;&gt;"",$E678,"")</f>
        <v/>
      </c>
      <c r="AV678" s="52" t="str">
        <f aca="false">IF($F678&lt;&gt;"",$F678,"")</f>
        <v>Apprenant 666 ou 666'</v>
      </c>
      <c r="AW678" s="55" t="str">
        <f aca="false">IF(AND('Choix pédagogiques'!$C$4&lt;&gt;"?",'Choix pédagogiques'!$C$5&lt;&gt;"?",AB678&lt;&gt;""),(AB678-'Choix pédagogiques'!$C$4)/('Choix pédagogiques'!$C$5-'Choix pédagogiques'!$C$4),"")</f>
        <v/>
      </c>
      <c r="AX678" s="55" t="str">
        <f aca="false">IF(AND('Choix pédagogiques'!$C$4&lt;&gt;"?",'Choix pédagogiques'!$C$5&lt;&gt;"?",AC678&lt;&gt;""),(AC678-'Choix pédagogiques'!$C$4)/('Choix pédagogiques'!$C$5-'Choix pédagogiques'!$C$4),"")</f>
        <v/>
      </c>
      <c r="AY678" s="55" t="str">
        <f aca="false">IF(AND('Choix pédagogiques'!$C$4&lt;&gt;"?",'Choix pédagogiques'!$C$5&lt;&gt;"?",AD678&lt;&gt;""),(AD678-'Choix pédagogiques'!$C$4)/('Choix pédagogiques'!$C$5-'Choix pédagogiques'!$C$4),"")</f>
        <v/>
      </c>
      <c r="AZ678" s="53" t="str">
        <f aca="false">IF($J678&lt;&gt;"",$J678,"")</f>
        <v/>
      </c>
      <c r="BA678" s="52" t="str">
        <f aca="false">IF($A678&lt;&gt;"",$A678,"")</f>
        <v>Apprenant 666</v>
      </c>
      <c r="BB678" s="55" t="str">
        <f aca="false">IF(AND($AR678&lt;&gt;"",$AS678&lt;&gt;""),$AS678-$AR678,"")</f>
        <v/>
      </c>
      <c r="BC678" s="55" t="str">
        <f aca="false">IF(AND($AR678&lt;&gt;"",$AT678&lt;&gt;""),$AT678-$AR678,"")</f>
        <v/>
      </c>
      <c r="BD678" s="55" t="str">
        <f aca="false">IF(AND($AS678&lt;&gt;"",$AT678&lt;&gt;""),$AT678-$AS678,"")</f>
        <v/>
      </c>
      <c r="BE678" s="53" t="str">
        <f aca="false">IF($E678&lt;&gt;"",$E678,"")</f>
        <v/>
      </c>
      <c r="BF678" s="52" t="str">
        <f aca="false">IF($F678&lt;&gt;"",$F678,"")</f>
        <v>Apprenant 666 ou 666'</v>
      </c>
      <c r="BG678" s="55" t="str">
        <f aca="false">IF(AND($AW678&lt;&gt;"",$AX678&lt;&gt;""),$AX678-$AW678,"")</f>
        <v/>
      </c>
      <c r="BH678" s="55" t="str">
        <f aca="false">IF(AND($AW678&lt;&gt;"",$AY678&lt;&gt;""),$AY678-$AW678,"")</f>
        <v/>
      </c>
      <c r="BI678" s="55" t="str">
        <f aca="false">IF(AND($AX678&lt;&gt;"",$AY678&lt;&gt;""),$AY678-$AX678,"")</f>
        <v/>
      </c>
      <c r="BJ678" s="53" t="str">
        <f aca="false">IF($J678&lt;&gt;"",$J678,"")</f>
        <v/>
      </c>
      <c r="BL678" s="52"/>
      <c r="BM678" s="52" t="str">
        <f aca="false">IF(OR(COUNT(B678:D1677)=0,AND('Choix pédagogiques'!$C$3&lt;&gt;1,'Choix pédagogiques'!$C$3&lt;&gt;2)),"",IF(AND(OR('Choix pédagogiques'!$C$3=1,'Choix pédagogiques'!$C$3=2),$B678&lt;&gt;"",$C678&lt;&gt;"",$D678&lt;&gt;""),1,0))</f>
        <v/>
      </c>
      <c r="BN678" s="52" t="str">
        <f aca="false">IF(OR(COUNT(G678:I1677)=0,AND('Choix pédagogiques'!$C$3&lt;&gt;1,'Choix pédagogiques'!$C$3&lt;&gt;2)),"",IF(AND(OR('Choix pédagogiques'!$C$3=1,'Choix pédagogiques'!$C$3=2),AND($G678&lt;&gt;"",$H678&lt;&gt;"",$I678&lt;&gt;"")),1,0))</f>
        <v/>
      </c>
      <c r="BO678" s="52" t="str">
        <f aca="false">IF(OR(COUNT(B678:D1677)=0,COUNT(G678:I1677)=0,'Choix pédagogiques'!C$3&lt;&gt;3),"",IF(AND('Choix pédagogiques'!$C$3=3,$B678&lt;&gt;"",$C678&lt;&gt;"",$D678&lt;&gt;"",$G678&lt;&gt;"",$H678&lt;&gt;"",$I678&lt;&gt;""),1,0))</f>
        <v/>
      </c>
      <c r="BR678" s="52" t="n">
        <v>450</v>
      </c>
      <c r="BS678" s="52" t="n">
        <v>1701</v>
      </c>
    </row>
    <row r="679" s="54" customFormat="true" ht="18" hidden="false" customHeight="true" outlineLevel="0" collapsed="false">
      <c r="A679" s="57" t="s">
        <v>1289</v>
      </c>
      <c r="B679" s="51"/>
      <c r="C679" s="51"/>
      <c r="D679" s="51"/>
      <c r="E679" s="51"/>
      <c r="F679" s="57" t="s">
        <v>1290</v>
      </c>
      <c r="G679" s="51"/>
      <c r="H679" s="51"/>
      <c r="I679" s="51"/>
      <c r="J679" s="51"/>
      <c r="K679" s="52" t="str">
        <f aca="false">IF($A679&lt;&gt;"",$A679,"")</f>
        <v>Apprenant 667</v>
      </c>
      <c r="L679" s="53" t="str">
        <f aca="false">IF(AND($B679&lt;&gt;"",$C679&lt;&gt;""),$C679-$B679,"")</f>
        <v/>
      </c>
      <c r="M679" s="53" t="str">
        <f aca="false">IF(AND($B679&lt;&gt;"",$D679&lt;&gt;""),$D679-$B679,"")</f>
        <v/>
      </c>
      <c r="N679" s="53" t="str">
        <f aca="false">IF(AND($C679&lt;&gt;"",$D679&lt;&gt;""),$D679-$C679,"")</f>
        <v/>
      </c>
      <c r="O679" s="53" t="str">
        <f aca="false">IF($E679&lt;&gt;"",$E679,"")</f>
        <v/>
      </c>
      <c r="P679" s="52" t="str">
        <f aca="false">IF($F679&lt;&gt;"",$F679,"")</f>
        <v>Apprenant 667 ou 667'</v>
      </c>
      <c r="Q679" s="53" t="str">
        <f aca="false">IF(AND($G679&lt;&gt;"",$H679&lt;&gt;""),$H679-$G679,"")</f>
        <v/>
      </c>
      <c r="R679" s="53" t="str">
        <f aca="false">IF(AND($G679&lt;&gt;"",$I679&lt;&gt;""),$I679-$G679,"")</f>
        <v/>
      </c>
      <c r="S679" s="53" t="str">
        <f aca="false">IF(AND($H679&lt;&gt;"",$I679&lt;&gt;""),$I679-$H679,"")</f>
        <v/>
      </c>
      <c r="T679" s="53" t="str">
        <f aca="false">IF($J679&lt;&gt;"",$J679,"")</f>
        <v/>
      </c>
      <c r="V679" s="52" t="str">
        <f aca="false">IF($A679&lt;&gt;"",$A679,"")</f>
        <v>Apprenant 667</v>
      </c>
      <c r="W679" s="53" t="str">
        <f aca="false">IF(AND(OR('Choix pédagogiques'!$C$3=1,'Choix pédagogiques'!$C$3=2),$BM679=1),B679,IF(AND('Choix pédagogiques'!$C$3=3,$BO679=1),B679,""))</f>
        <v/>
      </c>
      <c r="X679" s="53" t="str">
        <f aca="false">IF(AND(OR('Choix pédagogiques'!$C$3=1,'Choix pédagogiques'!$C$3=2),$BM679=1),C679,IF(AND('Choix pédagogiques'!$C$3=3,$BO679=1),C679,""))</f>
        <v/>
      </c>
      <c r="Y679" s="53" t="str">
        <f aca="false">IF(AND(OR('Choix pédagogiques'!$C$3=1,'Choix pédagogiques'!$C$3=2),$BM679=1),D679,IF(AND('Choix pédagogiques'!$C$3=3,$BO679=1),D679,""))</f>
        <v/>
      </c>
      <c r="Z679" s="53" t="str">
        <f aca="false">IF($E679&lt;&gt;"",$E679,"")</f>
        <v/>
      </c>
      <c r="AA679" s="52" t="str">
        <f aca="false">IF($F679&lt;&gt;"",$F679,"")</f>
        <v>Apprenant 667 ou 667'</v>
      </c>
      <c r="AB679" s="53" t="str">
        <f aca="false">IF(AND(OR('Choix pédagogiques'!$C$3=1,'Choix pédagogiques'!$C$3=2),$BN679=1),G679,IF(AND('Choix pédagogiques'!$C$3=3,$BO679=1),G679,""))</f>
        <v/>
      </c>
      <c r="AC679" s="53" t="str">
        <f aca="false">IF(AND(OR('Choix pédagogiques'!$C$3=1,'Choix pédagogiques'!$C$3=2),$BN679=1),H679,IF(AND('Choix pédagogiques'!$C$3=3,$BO679=1),H679,""))</f>
        <v/>
      </c>
      <c r="AD679" s="53" t="str">
        <f aca="false">IF(AND(OR('Choix pédagogiques'!$C$3=1,'Choix pédagogiques'!$C$3=2),$BN679=1),I679,IF(AND('Choix pédagogiques'!$C$3=3,$BO679=1),I679,""))</f>
        <v/>
      </c>
      <c r="AE679" s="53" t="str">
        <f aca="false">IF($J679&lt;&gt;"",$J679,"")</f>
        <v/>
      </c>
      <c r="AF679" s="52" t="str">
        <f aca="false">IF($A679&lt;&gt;"",$A679,"")</f>
        <v>Apprenant 667</v>
      </c>
      <c r="AG679" s="53" t="str">
        <f aca="false">IF(AND($W679&lt;&gt;"",$X679&lt;&gt;""),$X679-$W679,"")</f>
        <v/>
      </c>
      <c r="AH679" s="53" t="str">
        <f aca="false">IF(AND($W679&lt;&gt;"",$Y679&lt;&gt;""),$Y679-$W679,"")</f>
        <v/>
      </c>
      <c r="AI679" s="53" t="str">
        <f aca="false">IF(AND($X679&lt;&gt;"",$Y679&lt;&gt;""),$Y679-$X679,"")</f>
        <v/>
      </c>
      <c r="AJ679" s="53" t="str">
        <f aca="false">IF($E679&lt;&gt;"",$E679,"")</f>
        <v/>
      </c>
      <c r="AK679" s="52" t="str">
        <f aca="false">IF($F679&lt;&gt;"",$F679,"")</f>
        <v>Apprenant 667 ou 667'</v>
      </c>
      <c r="AL679" s="53" t="str">
        <f aca="false">IF(AND($AB679&lt;&gt;"",$AC679&lt;&gt;""),$AC679-$AB679,"")</f>
        <v/>
      </c>
      <c r="AM679" s="53" t="str">
        <f aca="false">IF(AND($AB679&lt;&gt;"",$AD679&lt;&gt;""),$AD679-$AB679,"")</f>
        <v/>
      </c>
      <c r="AN679" s="53" t="str">
        <f aca="false">IF(AND($AC679&lt;&gt;"",$AD679&lt;&gt;""),$AD679-$AC679,"")</f>
        <v/>
      </c>
      <c r="AO679" s="53" t="str">
        <f aca="false">IF($J679&lt;&gt;"",$J679,"")</f>
        <v/>
      </c>
      <c r="AQ679" s="52" t="str">
        <f aca="false">IF($A679&lt;&gt;"",$A679,"")</f>
        <v>Apprenant 667</v>
      </c>
      <c r="AR679" s="55" t="str">
        <f aca="false">IF(AND('Choix pédagogiques'!$C$4&lt;&gt;"?",'Choix pédagogiques'!$C$5&lt;&gt;"?",W679&lt;&gt;""),(W679-'Choix pédagogiques'!$C$4)/('Choix pédagogiques'!$C$5-'Choix pédagogiques'!$C$4),"")</f>
        <v/>
      </c>
      <c r="AS679" s="55" t="str">
        <f aca="false">IF(AND('Choix pédagogiques'!$C$4&lt;&gt;"?",'Choix pédagogiques'!$C$5&lt;&gt;"?",X679&lt;&gt;""),(X679-'Choix pédagogiques'!$C$4)/('Choix pédagogiques'!$C$5-'Choix pédagogiques'!$C$4),"")</f>
        <v/>
      </c>
      <c r="AT679" s="55" t="str">
        <f aca="false">IF(AND('Choix pédagogiques'!$C$4&lt;&gt;"?",'Choix pédagogiques'!$C$5&lt;&gt;"?",Y679&lt;&gt;""),(Y679-'Choix pédagogiques'!$C$4)/('Choix pédagogiques'!$C$5-'Choix pédagogiques'!$C$4),"")</f>
        <v/>
      </c>
      <c r="AU679" s="53" t="str">
        <f aca="false">IF($E679&lt;&gt;"",$E679,"")</f>
        <v/>
      </c>
      <c r="AV679" s="52" t="str">
        <f aca="false">IF($F679&lt;&gt;"",$F679,"")</f>
        <v>Apprenant 667 ou 667'</v>
      </c>
      <c r="AW679" s="55" t="str">
        <f aca="false">IF(AND('Choix pédagogiques'!$C$4&lt;&gt;"?",'Choix pédagogiques'!$C$5&lt;&gt;"?",AB679&lt;&gt;""),(AB679-'Choix pédagogiques'!$C$4)/('Choix pédagogiques'!$C$5-'Choix pédagogiques'!$C$4),"")</f>
        <v/>
      </c>
      <c r="AX679" s="55" t="str">
        <f aca="false">IF(AND('Choix pédagogiques'!$C$4&lt;&gt;"?",'Choix pédagogiques'!$C$5&lt;&gt;"?",AC679&lt;&gt;""),(AC679-'Choix pédagogiques'!$C$4)/('Choix pédagogiques'!$C$5-'Choix pédagogiques'!$C$4),"")</f>
        <v/>
      </c>
      <c r="AY679" s="55" t="str">
        <f aca="false">IF(AND('Choix pédagogiques'!$C$4&lt;&gt;"?",'Choix pédagogiques'!$C$5&lt;&gt;"?",AD679&lt;&gt;""),(AD679-'Choix pédagogiques'!$C$4)/('Choix pédagogiques'!$C$5-'Choix pédagogiques'!$C$4),"")</f>
        <v/>
      </c>
      <c r="AZ679" s="53" t="str">
        <f aca="false">IF($J679&lt;&gt;"",$J679,"")</f>
        <v/>
      </c>
      <c r="BA679" s="52" t="str">
        <f aca="false">IF($A679&lt;&gt;"",$A679,"")</f>
        <v>Apprenant 667</v>
      </c>
      <c r="BB679" s="55" t="str">
        <f aca="false">IF(AND($AR679&lt;&gt;"",$AS679&lt;&gt;""),$AS679-$AR679,"")</f>
        <v/>
      </c>
      <c r="BC679" s="55" t="str">
        <f aca="false">IF(AND($AR679&lt;&gt;"",$AT679&lt;&gt;""),$AT679-$AR679,"")</f>
        <v/>
      </c>
      <c r="BD679" s="55" t="str">
        <f aca="false">IF(AND($AS679&lt;&gt;"",$AT679&lt;&gt;""),$AT679-$AS679,"")</f>
        <v/>
      </c>
      <c r="BE679" s="53" t="str">
        <f aca="false">IF($E679&lt;&gt;"",$E679,"")</f>
        <v/>
      </c>
      <c r="BF679" s="52" t="str">
        <f aca="false">IF($F679&lt;&gt;"",$F679,"")</f>
        <v>Apprenant 667 ou 667'</v>
      </c>
      <c r="BG679" s="55" t="str">
        <f aca="false">IF(AND($AW679&lt;&gt;"",$AX679&lt;&gt;""),$AX679-$AW679,"")</f>
        <v/>
      </c>
      <c r="BH679" s="55" t="str">
        <f aca="false">IF(AND($AW679&lt;&gt;"",$AY679&lt;&gt;""),$AY679-$AW679,"")</f>
        <v/>
      </c>
      <c r="BI679" s="55" t="str">
        <f aca="false">IF(AND($AX679&lt;&gt;"",$AY679&lt;&gt;""),$AY679-$AX679,"")</f>
        <v/>
      </c>
      <c r="BJ679" s="53" t="str">
        <f aca="false">IF($J679&lt;&gt;"",$J679,"")</f>
        <v/>
      </c>
      <c r="BL679" s="52"/>
      <c r="BM679" s="52" t="str">
        <f aca="false">IF(OR(COUNT(B679:D1678)=0,AND('Choix pédagogiques'!$C$3&lt;&gt;1,'Choix pédagogiques'!$C$3&lt;&gt;2)),"",IF(AND(OR('Choix pédagogiques'!$C$3=1,'Choix pédagogiques'!$C$3=2),$B679&lt;&gt;"",$C679&lt;&gt;"",$D679&lt;&gt;""),1,0))</f>
        <v/>
      </c>
      <c r="BN679" s="52" t="str">
        <f aca="false">IF(OR(COUNT(G679:I1678)=0,AND('Choix pédagogiques'!$C$3&lt;&gt;1,'Choix pédagogiques'!$C$3&lt;&gt;2)),"",IF(AND(OR('Choix pédagogiques'!$C$3=1,'Choix pédagogiques'!$C$3=2),AND($G679&lt;&gt;"",$H679&lt;&gt;"",$I679&lt;&gt;"")),1,0))</f>
        <v/>
      </c>
      <c r="BO679" s="52" t="str">
        <f aca="false">IF(OR(COUNT(B679:D1678)=0,COUNT(G679:I1678)=0,'Choix pédagogiques'!C$3&lt;&gt;3),"",IF(AND('Choix pédagogiques'!$C$3=3,$B679&lt;&gt;"",$C679&lt;&gt;"",$D679&lt;&gt;"",$G679&lt;&gt;"",$H679&lt;&gt;"",$I679&lt;&gt;""),1,0))</f>
        <v/>
      </c>
      <c r="BR679" s="52" t="n">
        <v>194</v>
      </c>
      <c r="BS679" s="52" t="n">
        <v>1547</v>
      </c>
    </row>
    <row r="680" s="54" customFormat="true" ht="18" hidden="false" customHeight="true" outlineLevel="0" collapsed="false">
      <c r="A680" s="57" t="s">
        <v>1291</v>
      </c>
      <c r="B680" s="51"/>
      <c r="C680" s="51"/>
      <c r="D680" s="51"/>
      <c r="E680" s="51"/>
      <c r="F680" s="57" t="s">
        <v>1292</v>
      </c>
      <c r="G680" s="51"/>
      <c r="H680" s="51"/>
      <c r="I680" s="51"/>
      <c r="J680" s="51"/>
      <c r="K680" s="52" t="str">
        <f aca="false">IF($A680&lt;&gt;"",$A680,"")</f>
        <v>Apprenant 668</v>
      </c>
      <c r="L680" s="53" t="str">
        <f aca="false">IF(AND($B680&lt;&gt;"",$C680&lt;&gt;""),$C680-$B680,"")</f>
        <v/>
      </c>
      <c r="M680" s="53" t="str">
        <f aca="false">IF(AND($B680&lt;&gt;"",$D680&lt;&gt;""),$D680-$B680,"")</f>
        <v/>
      </c>
      <c r="N680" s="53" t="str">
        <f aca="false">IF(AND($C680&lt;&gt;"",$D680&lt;&gt;""),$D680-$C680,"")</f>
        <v/>
      </c>
      <c r="O680" s="53" t="str">
        <f aca="false">IF($E680&lt;&gt;"",$E680,"")</f>
        <v/>
      </c>
      <c r="P680" s="52" t="str">
        <f aca="false">IF($F680&lt;&gt;"",$F680,"")</f>
        <v>Apprenant 668 ou 668'</v>
      </c>
      <c r="Q680" s="53" t="str">
        <f aca="false">IF(AND($G680&lt;&gt;"",$H680&lt;&gt;""),$H680-$G680,"")</f>
        <v/>
      </c>
      <c r="R680" s="53" t="str">
        <f aca="false">IF(AND($G680&lt;&gt;"",$I680&lt;&gt;""),$I680-$G680,"")</f>
        <v/>
      </c>
      <c r="S680" s="53" t="str">
        <f aca="false">IF(AND($H680&lt;&gt;"",$I680&lt;&gt;""),$I680-$H680,"")</f>
        <v/>
      </c>
      <c r="T680" s="53" t="str">
        <f aca="false">IF($J680&lt;&gt;"",$J680,"")</f>
        <v/>
      </c>
      <c r="V680" s="52" t="str">
        <f aca="false">IF($A680&lt;&gt;"",$A680,"")</f>
        <v>Apprenant 668</v>
      </c>
      <c r="W680" s="53" t="str">
        <f aca="false">IF(AND(OR('Choix pédagogiques'!$C$3=1,'Choix pédagogiques'!$C$3=2),$BM680=1),B680,IF(AND('Choix pédagogiques'!$C$3=3,$BO680=1),B680,""))</f>
        <v/>
      </c>
      <c r="X680" s="53" t="str">
        <f aca="false">IF(AND(OR('Choix pédagogiques'!$C$3=1,'Choix pédagogiques'!$C$3=2),$BM680=1),C680,IF(AND('Choix pédagogiques'!$C$3=3,$BO680=1),C680,""))</f>
        <v/>
      </c>
      <c r="Y680" s="53" t="str">
        <f aca="false">IF(AND(OR('Choix pédagogiques'!$C$3=1,'Choix pédagogiques'!$C$3=2),$BM680=1),D680,IF(AND('Choix pédagogiques'!$C$3=3,$BO680=1),D680,""))</f>
        <v/>
      </c>
      <c r="Z680" s="53" t="str">
        <f aca="false">IF($E680&lt;&gt;"",$E680,"")</f>
        <v/>
      </c>
      <c r="AA680" s="52" t="str">
        <f aca="false">IF($F680&lt;&gt;"",$F680,"")</f>
        <v>Apprenant 668 ou 668'</v>
      </c>
      <c r="AB680" s="53" t="str">
        <f aca="false">IF(AND(OR('Choix pédagogiques'!$C$3=1,'Choix pédagogiques'!$C$3=2),$BN680=1),G680,IF(AND('Choix pédagogiques'!$C$3=3,$BO680=1),G680,""))</f>
        <v/>
      </c>
      <c r="AC680" s="53" t="str">
        <f aca="false">IF(AND(OR('Choix pédagogiques'!$C$3=1,'Choix pédagogiques'!$C$3=2),$BN680=1),H680,IF(AND('Choix pédagogiques'!$C$3=3,$BO680=1),H680,""))</f>
        <v/>
      </c>
      <c r="AD680" s="53" t="str">
        <f aca="false">IF(AND(OR('Choix pédagogiques'!$C$3=1,'Choix pédagogiques'!$C$3=2),$BN680=1),I680,IF(AND('Choix pédagogiques'!$C$3=3,$BO680=1),I680,""))</f>
        <v/>
      </c>
      <c r="AE680" s="53" t="str">
        <f aca="false">IF($J680&lt;&gt;"",$J680,"")</f>
        <v/>
      </c>
      <c r="AF680" s="52" t="str">
        <f aca="false">IF($A680&lt;&gt;"",$A680,"")</f>
        <v>Apprenant 668</v>
      </c>
      <c r="AG680" s="53" t="str">
        <f aca="false">IF(AND($W680&lt;&gt;"",$X680&lt;&gt;""),$X680-$W680,"")</f>
        <v/>
      </c>
      <c r="AH680" s="53" t="str">
        <f aca="false">IF(AND($W680&lt;&gt;"",$Y680&lt;&gt;""),$Y680-$W680,"")</f>
        <v/>
      </c>
      <c r="AI680" s="53" t="str">
        <f aca="false">IF(AND($X680&lt;&gt;"",$Y680&lt;&gt;""),$Y680-$X680,"")</f>
        <v/>
      </c>
      <c r="AJ680" s="53" t="str">
        <f aca="false">IF($E680&lt;&gt;"",$E680,"")</f>
        <v/>
      </c>
      <c r="AK680" s="52" t="str">
        <f aca="false">IF($F680&lt;&gt;"",$F680,"")</f>
        <v>Apprenant 668 ou 668'</v>
      </c>
      <c r="AL680" s="53" t="str">
        <f aca="false">IF(AND($AB680&lt;&gt;"",$AC680&lt;&gt;""),$AC680-$AB680,"")</f>
        <v/>
      </c>
      <c r="AM680" s="53" t="str">
        <f aca="false">IF(AND($AB680&lt;&gt;"",$AD680&lt;&gt;""),$AD680-$AB680,"")</f>
        <v/>
      </c>
      <c r="AN680" s="53" t="str">
        <f aca="false">IF(AND($AC680&lt;&gt;"",$AD680&lt;&gt;""),$AD680-$AC680,"")</f>
        <v/>
      </c>
      <c r="AO680" s="53" t="str">
        <f aca="false">IF($J680&lt;&gt;"",$J680,"")</f>
        <v/>
      </c>
      <c r="AQ680" s="52" t="str">
        <f aca="false">IF($A680&lt;&gt;"",$A680,"")</f>
        <v>Apprenant 668</v>
      </c>
      <c r="AR680" s="55" t="str">
        <f aca="false">IF(AND('Choix pédagogiques'!$C$4&lt;&gt;"?",'Choix pédagogiques'!$C$5&lt;&gt;"?",W680&lt;&gt;""),(W680-'Choix pédagogiques'!$C$4)/('Choix pédagogiques'!$C$5-'Choix pédagogiques'!$C$4),"")</f>
        <v/>
      </c>
      <c r="AS680" s="55" t="str">
        <f aca="false">IF(AND('Choix pédagogiques'!$C$4&lt;&gt;"?",'Choix pédagogiques'!$C$5&lt;&gt;"?",X680&lt;&gt;""),(X680-'Choix pédagogiques'!$C$4)/('Choix pédagogiques'!$C$5-'Choix pédagogiques'!$C$4),"")</f>
        <v/>
      </c>
      <c r="AT680" s="55" t="str">
        <f aca="false">IF(AND('Choix pédagogiques'!$C$4&lt;&gt;"?",'Choix pédagogiques'!$C$5&lt;&gt;"?",Y680&lt;&gt;""),(Y680-'Choix pédagogiques'!$C$4)/('Choix pédagogiques'!$C$5-'Choix pédagogiques'!$C$4),"")</f>
        <v/>
      </c>
      <c r="AU680" s="53" t="str">
        <f aca="false">IF($E680&lt;&gt;"",$E680,"")</f>
        <v/>
      </c>
      <c r="AV680" s="52" t="str">
        <f aca="false">IF($F680&lt;&gt;"",$F680,"")</f>
        <v>Apprenant 668 ou 668'</v>
      </c>
      <c r="AW680" s="55" t="str">
        <f aca="false">IF(AND('Choix pédagogiques'!$C$4&lt;&gt;"?",'Choix pédagogiques'!$C$5&lt;&gt;"?",AB680&lt;&gt;""),(AB680-'Choix pédagogiques'!$C$4)/('Choix pédagogiques'!$C$5-'Choix pédagogiques'!$C$4),"")</f>
        <v/>
      </c>
      <c r="AX680" s="55" t="str">
        <f aca="false">IF(AND('Choix pédagogiques'!$C$4&lt;&gt;"?",'Choix pédagogiques'!$C$5&lt;&gt;"?",AC680&lt;&gt;""),(AC680-'Choix pédagogiques'!$C$4)/('Choix pédagogiques'!$C$5-'Choix pédagogiques'!$C$4),"")</f>
        <v/>
      </c>
      <c r="AY680" s="55" t="str">
        <f aca="false">IF(AND('Choix pédagogiques'!$C$4&lt;&gt;"?",'Choix pédagogiques'!$C$5&lt;&gt;"?",AD680&lt;&gt;""),(AD680-'Choix pédagogiques'!$C$4)/('Choix pédagogiques'!$C$5-'Choix pédagogiques'!$C$4),"")</f>
        <v/>
      </c>
      <c r="AZ680" s="53" t="str">
        <f aca="false">IF($J680&lt;&gt;"",$J680,"")</f>
        <v/>
      </c>
      <c r="BA680" s="52" t="str">
        <f aca="false">IF($A680&lt;&gt;"",$A680,"")</f>
        <v>Apprenant 668</v>
      </c>
      <c r="BB680" s="55" t="str">
        <f aca="false">IF(AND($AR680&lt;&gt;"",$AS680&lt;&gt;""),$AS680-$AR680,"")</f>
        <v/>
      </c>
      <c r="BC680" s="55" t="str">
        <f aca="false">IF(AND($AR680&lt;&gt;"",$AT680&lt;&gt;""),$AT680-$AR680,"")</f>
        <v/>
      </c>
      <c r="BD680" s="55" t="str">
        <f aca="false">IF(AND($AS680&lt;&gt;"",$AT680&lt;&gt;""),$AT680-$AS680,"")</f>
        <v/>
      </c>
      <c r="BE680" s="53" t="str">
        <f aca="false">IF($E680&lt;&gt;"",$E680,"")</f>
        <v/>
      </c>
      <c r="BF680" s="52" t="str">
        <f aca="false">IF($F680&lt;&gt;"",$F680,"")</f>
        <v>Apprenant 668 ou 668'</v>
      </c>
      <c r="BG680" s="55" t="str">
        <f aca="false">IF(AND($AW680&lt;&gt;"",$AX680&lt;&gt;""),$AX680-$AW680,"")</f>
        <v/>
      </c>
      <c r="BH680" s="55" t="str">
        <f aca="false">IF(AND($AW680&lt;&gt;"",$AY680&lt;&gt;""),$AY680-$AW680,"")</f>
        <v/>
      </c>
      <c r="BI680" s="55" t="str">
        <f aca="false">IF(AND($AX680&lt;&gt;"",$AY680&lt;&gt;""),$AY680-$AX680,"")</f>
        <v/>
      </c>
      <c r="BJ680" s="53" t="str">
        <f aca="false">IF($J680&lt;&gt;"",$J680,"")</f>
        <v/>
      </c>
      <c r="BL680" s="52"/>
      <c r="BM680" s="52" t="str">
        <f aca="false">IF(OR(COUNT(B680:D1679)=0,AND('Choix pédagogiques'!$C$3&lt;&gt;1,'Choix pédagogiques'!$C$3&lt;&gt;2)),"",IF(AND(OR('Choix pédagogiques'!$C$3=1,'Choix pédagogiques'!$C$3=2),$B680&lt;&gt;"",$C680&lt;&gt;"",$D680&lt;&gt;""),1,0))</f>
        <v/>
      </c>
      <c r="BN680" s="52" t="str">
        <f aca="false">IF(OR(COUNT(G680:I1679)=0,AND('Choix pédagogiques'!$C$3&lt;&gt;1,'Choix pédagogiques'!$C$3&lt;&gt;2)),"",IF(AND(OR('Choix pédagogiques'!$C$3=1,'Choix pédagogiques'!$C$3=2),AND($G680&lt;&gt;"",$H680&lt;&gt;"",$I680&lt;&gt;"")),1,0))</f>
        <v/>
      </c>
      <c r="BO680" s="52" t="str">
        <f aca="false">IF(OR(COUNT(B680:D1679)=0,COUNT(G680:I1679)=0,'Choix pédagogiques'!C$3&lt;&gt;3),"",IF(AND('Choix pédagogiques'!$C$3=3,$B680&lt;&gt;"",$C680&lt;&gt;"",$D680&lt;&gt;"",$G680&lt;&gt;"",$H680&lt;&gt;"",$I680&lt;&gt;""),1,0))</f>
        <v/>
      </c>
      <c r="BR680" s="52" t="n">
        <v>592</v>
      </c>
      <c r="BS680" s="52" t="n">
        <v>1917</v>
      </c>
    </row>
    <row r="681" s="54" customFormat="true" ht="18" hidden="false" customHeight="true" outlineLevel="0" collapsed="false">
      <c r="A681" s="57" t="s">
        <v>1293</v>
      </c>
      <c r="B681" s="51"/>
      <c r="C681" s="51"/>
      <c r="D681" s="51"/>
      <c r="E681" s="51"/>
      <c r="F681" s="57" t="s">
        <v>1294</v>
      </c>
      <c r="G681" s="51"/>
      <c r="H681" s="51"/>
      <c r="I681" s="51"/>
      <c r="J681" s="51"/>
      <c r="K681" s="52" t="str">
        <f aca="false">IF($A681&lt;&gt;"",$A681,"")</f>
        <v>Apprenant 669</v>
      </c>
      <c r="L681" s="53" t="str">
        <f aca="false">IF(AND($B681&lt;&gt;"",$C681&lt;&gt;""),$C681-$B681,"")</f>
        <v/>
      </c>
      <c r="M681" s="53" t="str">
        <f aca="false">IF(AND($B681&lt;&gt;"",$D681&lt;&gt;""),$D681-$B681,"")</f>
        <v/>
      </c>
      <c r="N681" s="53" t="str">
        <f aca="false">IF(AND($C681&lt;&gt;"",$D681&lt;&gt;""),$D681-$C681,"")</f>
        <v/>
      </c>
      <c r="O681" s="53" t="str">
        <f aca="false">IF($E681&lt;&gt;"",$E681,"")</f>
        <v/>
      </c>
      <c r="P681" s="52" t="str">
        <f aca="false">IF($F681&lt;&gt;"",$F681,"")</f>
        <v>Apprenant 669 ou 669'</v>
      </c>
      <c r="Q681" s="53" t="str">
        <f aca="false">IF(AND($G681&lt;&gt;"",$H681&lt;&gt;""),$H681-$G681,"")</f>
        <v/>
      </c>
      <c r="R681" s="53" t="str">
        <f aca="false">IF(AND($G681&lt;&gt;"",$I681&lt;&gt;""),$I681-$G681,"")</f>
        <v/>
      </c>
      <c r="S681" s="53" t="str">
        <f aca="false">IF(AND($H681&lt;&gt;"",$I681&lt;&gt;""),$I681-$H681,"")</f>
        <v/>
      </c>
      <c r="T681" s="53" t="str">
        <f aca="false">IF($J681&lt;&gt;"",$J681,"")</f>
        <v/>
      </c>
      <c r="V681" s="52" t="str">
        <f aca="false">IF($A681&lt;&gt;"",$A681,"")</f>
        <v>Apprenant 669</v>
      </c>
      <c r="W681" s="53" t="str">
        <f aca="false">IF(AND(OR('Choix pédagogiques'!$C$3=1,'Choix pédagogiques'!$C$3=2),$BM681=1),B681,IF(AND('Choix pédagogiques'!$C$3=3,$BO681=1),B681,""))</f>
        <v/>
      </c>
      <c r="X681" s="53" t="str">
        <f aca="false">IF(AND(OR('Choix pédagogiques'!$C$3=1,'Choix pédagogiques'!$C$3=2),$BM681=1),C681,IF(AND('Choix pédagogiques'!$C$3=3,$BO681=1),C681,""))</f>
        <v/>
      </c>
      <c r="Y681" s="53" t="str">
        <f aca="false">IF(AND(OR('Choix pédagogiques'!$C$3=1,'Choix pédagogiques'!$C$3=2),$BM681=1),D681,IF(AND('Choix pédagogiques'!$C$3=3,$BO681=1),D681,""))</f>
        <v/>
      </c>
      <c r="Z681" s="53" t="str">
        <f aca="false">IF($E681&lt;&gt;"",$E681,"")</f>
        <v/>
      </c>
      <c r="AA681" s="52" t="str">
        <f aca="false">IF($F681&lt;&gt;"",$F681,"")</f>
        <v>Apprenant 669 ou 669'</v>
      </c>
      <c r="AB681" s="53" t="str">
        <f aca="false">IF(AND(OR('Choix pédagogiques'!$C$3=1,'Choix pédagogiques'!$C$3=2),$BN681=1),G681,IF(AND('Choix pédagogiques'!$C$3=3,$BO681=1),G681,""))</f>
        <v/>
      </c>
      <c r="AC681" s="53" t="str">
        <f aca="false">IF(AND(OR('Choix pédagogiques'!$C$3=1,'Choix pédagogiques'!$C$3=2),$BN681=1),H681,IF(AND('Choix pédagogiques'!$C$3=3,$BO681=1),H681,""))</f>
        <v/>
      </c>
      <c r="AD681" s="53" t="str">
        <f aca="false">IF(AND(OR('Choix pédagogiques'!$C$3=1,'Choix pédagogiques'!$C$3=2),$BN681=1),I681,IF(AND('Choix pédagogiques'!$C$3=3,$BO681=1),I681,""))</f>
        <v/>
      </c>
      <c r="AE681" s="53" t="str">
        <f aca="false">IF($J681&lt;&gt;"",$J681,"")</f>
        <v/>
      </c>
      <c r="AF681" s="52" t="str">
        <f aca="false">IF($A681&lt;&gt;"",$A681,"")</f>
        <v>Apprenant 669</v>
      </c>
      <c r="AG681" s="53" t="str">
        <f aca="false">IF(AND($W681&lt;&gt;"",$X681&lt;&gt;""),$X681-$W681,"")</f>
        <v/>
      </c>
      <c r="AH681" s="53" t="str">
        <f aca="false">IF(AND($W681&lt;&gt;"",$Y681&lt;&gt;""),$Y681-$W681,"")</f>
        <v/>
      </c>
      <c r="AI681" s="53" t="str">
        <f aca="false">IF(AND($X681&lt;&gt;"",$Y681&lt;&gt;""),$Y681-$X681,"")</f>
        <v/>
      </c>
      <c r="AJ681" s="53" t="str">
        <f aca="false">IF($E681&lt;&gt;"",$E681,"")</f>
        <v/>
      </c>
      <c r="AK681" s="52" t="str">
        <f aca="false">IF($F681&lt;&gt;"",$F681,"")</f>
        <v>Apprenant 669 ou 669'</v>
      </c>
      <c r="AL681" s="53" t="str">
        <f aca="false">IF(AND($AB681&lt;&gt;"",$AC681&lt;&gt;""),$AC681-$AB681,"")</f>
        <v/>
      </c>
      <c r="AM681" s="53" t="str">
        <f aca="false">IF(AND($AB681&lt;&gt;"",$AD681&lt;&gt;""),$AD681-$AB681,"")</f>
        <v/>
      </c>
      <c r="AN681" s="53" t="str">
        <f aca="false">IF(AND($AC681&lt;&gt;"",$AD681&lt;&gt;""),$AD681-$AC681,"")</f>
        <v/>
      </c>
      <c r="AO681" s="53" t="str">
        <f aca="false">IF($J681&lt;&gt;"",$J681,"")</f>
        <v/>
      </c>
      <c r="AQ681" s="52" t="str">
        <f aca="false">IF($A681&lt;&gt;"",$A681,"")</f>
        <v>Apprenant 669</v>
      </c>
      <c r="AR681" s="55" t="str">
        <f aca="false">IF(AND('Choix pédagogiques'!$C$4&lt;&gt;"?",'Choix pédagogiques'!$C$5&lt;&gt;"?",W681&lt;&gt;""),(W681-'Choix pédagogiques'!$C$4)/('Choix pédagogiques'!$C$5-'Choix pédagogiques'!$C$4),"")</f>
        <v/>
      </c>
      <c r="AS681" s="55" t="str">
        <f aca="false">IF(AND('Choix pédagogiques'!$C$4&lt;&gt;"?",'Choix pédagogiques'!$C$5&lt;&gt;"?",X681&lt;&gt;""),(X681-'Choix pédagogiques'!$C$4)/('Choix pédagogiques'!$C$5-'Choix pédagogiques'!$C$4),"")</f>
        <v/>
      </c>
      <c r="AT681" s="55" t="str">
        <f aca="false">IF(AND('Choix pédagogiques'!$C$4&lt;&gt;"?",'Choix pédagogiques'!$C$5&lt;&gt;"?",Y681&lt;&gt;""),(Y681-'Choix pédagogiques'!$C$4)/('Choix pédagogiques'!$C$5-'Choix pédagogiques'!$C$4),"")</f>
        <v/>
      </c>
      <c r="AU681" s="53" t="str">
        <f aca="false">IF($E681&lt;&gt;"",$E681,"")</f>
        <v/>
      </c>
      <c r="AV681" s="52" t="str">
        <f aca="false">IF($F681&lt;&gt;"",$F681,"")</f>
        <v>Apprenant 669 ou 669'</v>
      </c>
      <c r="AW681" s="55" t="str">
        <f aca="false">IF(AND('Choix pédagogiques'!$C$4&lt;&gt;"?",'Choix pédagogiques'!$C$5&lt;&gt;"?",AB681&lt;&gt;""),(AB681-'Choix pédagogiques'!$C$4)/('Choix pédagogiques'!$C$5-'Choix pédagogiques'!$C$4),"")</f>
        <v/>
      </c>
      <c r="AX681" s="55" t="str">
        <f aca="false">IF(AND('Choix pédagogiques'!$C$4&lt;&gt;"?",'Choix pédagogiques'!$C$5&lt;&gt;"?",AC681&lt;&gt;""),(AC681-'Choix pédagogiques'!$C$4)/('Choix pédagogiques'!$C$5-'Choix pédagogiques'!$C$4),"")</f>
        <v/>
      </c>
      <c r="AY681" s="55" t="str">
        <f aca="false">IF(AND('Choix pédagogiques'!$C$4&lt;&gt;"?",'Choix pédagogiques'!$C$5&lt;&gt;"?",AD681&lt;&gt;""),(AD681-'Choix pédagogiques'!$C$4)/('Choix pédagogiques'!$C$5-'Choix pédagogiques'!$C$4),"")</f>
        <v/>
      </c>
      <c r="AZ681" s="53" t="str">
        <f aca="false">IF($J681&lt;&gt;"",$J681,"")</f>
        <v/>
      </c>
      <c r="BA681" s="52" t="str">
        <f aca="false">IF($A681&lt;&gt;"",$A681,"")</f>
        <v>Apprenant 669</v>
      </c>
      <c r="BB681" s="55" t="str">
        <f aca="false">IF(AND($AR681&lt;&gt;"",$AS681&lt;&gt;""),$AS681-$AR681,"")</f>
        <v/>
      </c>
      <c r="BC681" s="55" t="str">
        <f aca="false">IF(AND($AR681&lt;&gt;"",$AT681&lt;&gt;""),$AT681-$AR681,"")</f>
        <v/>
      </c>
      <c r="BD681" s="55" t="str">
        <f aca="false">IF(AND($AS681&lt;&gt;"",$AT681&lt;&gt;""),$AT681-$AS681,"")</f>
        <v/>
      </c>
      <c r="BE681" s="53" t="str">
        <f aca="false">IF($E681&lt;&gt;"",$E681,"")</f>
        <v/>
      </c>
      <c r="BF681" s="52" t="str">
        <f aca="false">IF($F681&lt;&gt;"",$F681,"")</f>
        <v>Apprenant 669 ou 669'</v>
      </c>
      <c r="BG681" s="55" t="str">
        <f aca="false">IF(AND($AW681&lt;&gt;"",$AX681&lt;&gt;""),$AX681-$AW681,"")</f>
        <v/>
      </c>
      <c r="BH681" s="55" t="str">
        <f aca="false">IF(AND($AW681&lt;&gt;"",$AY681&lt;&gt;""),$AY681-$AW681,"")</f>
        <v/>
      </c>
      <c r="BI681" s="55" t="str">
        <f aca="false">IF(AND($AX681&lt;&gt;"",$AY681&lt;&gt;""),$AY681-$AX681,"")</f>
        <v/>
      </c>
      <c r="BJ681" s="53" t="str">
        <f aca="false">IF($J681&lt;&gt;"",$J681,"")</f>
        <v/>
      </c>
      <c r="BL681" s="52"/>
      <c r="BM681" s="52" t="str">
        <f aca="false">IF(OR(COUNT(B681:D1680)=0,AND('Choix pédagogiques'!$C$3&lt;&gt;1,'Choix pédagogiques'!$C$3&lt;&gt;2)),"",IF(AND(OR('Choix pédagogiques'!$C$3=1,'Choix pédagogiques'!$C$3=2),$B681&lt;&gt;"",$C681&lt;&gt;"",$D681&lt;&gt;""),1,0))</f>
        <v/>
      </c>
      <c r="BN681" s="52" t="str">
        <f aca="false">IF(OR(COUNT(G681:I1680)=0,AND('Choix pédagogiques'!$C$3&lt;&gt;1,'Choix pédagogiques'!$C$3&lt;&gt;2)),"",IF(AND(OR('Choix pédagogiques'!$C$3=1,'Choix pédagogiques'!$C$3=2),AND($G681&lt;&gt;"",$H681&lt;&gt;"",$I681&lt;&gt;"")),1,0))</f>
        <v/>
      </c>
      <c r="BO681" s="52" t="str">
        <f aca="false">IF(OR(COUNT(B681:D1680)=0,COUNT(G681:I1680)=0,'Choix pédagogiques'!C$3&lt;&gt;3),"",IF(AND('Choix pédagogiques'!$C$3=3,$B681&lt;&gt;"",$C681&lt;&gt;"",$D681&lt;&gt;"",$G681&lt;&gt;"",$H681&lt;&gt;"",$I681&lt;&gt;""),1,0))</f>
        <v/>
      </c>
      <c r="BR681" s="52" t="n">
        <v>352</v>
      </c>
      <c r="BS681" s="52" t="n">
        <v>1369</v>
      </c>
    </row>
    <row r="682" s="54" customFormat="true" ht="18" hidden="false" customHeight="true" outlineLevel="0" collapsed="false">
      <c r="A682" s="57" t="s">
        <v>1295</v>
      </c>
      <c r="B682" s="51"/>
      <c r="C682" s="51"/>
      <c r="D682" s="51"/>
      <c r="E682" s="51"/>
      <c r="F682" s="57" t="s">
        <v>1296</v>
      </c>
      <c r="G682" s="51"/>
      <c r="H682" s="51"/>
      <c r="I682" s="51"/>
      <c r="J682" s="51"/>
      <c r="K682" s="52" t="str">
        <f aca="false">IF($A682&lt;&gt;"",$A682,"")</f>
        <v>Apprenant 670</v>
      </c>
      <c r="L682" s="53" t="str">
        <f aca="false">IF(AND($B682&lt;&gt;"",$C682&lt;&gt;""),$C682-$B682,"")</f>
        <v/>
      </c>
      <c r="M682" s="53" t="str">
        <f aca="false">IF(AND($B682&lt;&gt;"",$D682&lt;&gt;""),$D682-$B682,"")</f>
        <v/>
      </c>
      <c r="N682" s="53" t="str">
        <f aca="false">IF(AND($C682&lt;&gt;"",$D682&lt;&gt;""),$D682-$C682,"")</f>
        <v/>
      </c>
      <c r="O682" s="53" t="str">
        <f aca="false">IF($E682&lt;&gt;"",$E682,"")</f>
        <v/>
      </c>
      <c r="P682" s="52" t="str">
        <f aca="false">IF($F682&lt;&gt;"",$F682,"")</f>
        <v>Apprenant 670 ou 670'</v>
      </c>
      <c r="Q682" s="53" t="str">
        <f aca="false">IF(AND($G682&lt;&gt;"",$H682&lt;&gt;""),$H682-$G682,"")</f>
        <v/>
      </c>
      <c r="R682" s="53" t="str">
        <f aca="false">IF(AND($G682&lt;&gt;"",$I682&lt;&gt;""),$I682-$G682,"")</f>
        <v/>
      </c>
      <c r="S682" s="53" t="str">
        <f aca="false">IF(AND($H682&lt;&gt;"",$I682&lt;&gt;""),$I682-$H682,"")</f>
        <v/>
      </c>
      <c r="T682" s="53" t="str">
        <f aca="false">IF($J682&lt;&gt;"",$J682,"")</f>
        <v/>
      </c>
      <c r="V682" s="52" t="str">
        <f aca="false">IF($A682&lt;&gt;"",$A682,"")</f>
        <v>Apprenant 670</v>
      </c>
      <c r="W682" s="53" t="str">
        <f aca="false">IF(AND(OR('Choix pédagogiques'!$C$3=1,'Choix pédagogiques'!$C$3=2),$BM682=1),B682,IF(AND('Choix pédagogiques'!$C$3=3,$BO682=1),B682,""))</f>
        <v/>
      </c>
      <c r="X682" s="53" t="str">
        <f aca="false">IF(AND(OR('Choix pédagogiques'!$C$3=1,'Choix pédagogiques'!$C$3=2),$BM682=1),C682,IF(AND('Choix pédagogiques'!$C$3=3,$BO682=1),C682,""))</f>
        <v/>
      </c>
      <c r="Y682" s="53" t="str">
        <f aca="false">IF(AND(OR('Choix pédagogiques'!$C$3=1,'Choix pédagogiques'!$C$3=2),$BM682=1),D682,IF(AND('Choix pédagogiques'!$C$3=3,$BO682=1),D682,""))</f>
        <v/>
      </c>
      <c r="Z682" s="53" t="str">
        <f aca="false">IF($E682&lt;&gt;"",$E682,"")</f>
        <v/>
      </c>
      <c r="AA682" s="52" t="str">
        <f aca="false">IF($F682&lt;&gt;"",$F682,"")</f>
        <v>Apprenant 670 ou 670'</v>
      </c>
      <c r="AB682" s="53" t="str">
        <f aca="false">IF(AND(OR('Choix pédagogiques'!$C$3=1,'Choix pédagogiques'!$C$3=2),$BN682=1),G682,IF(AND('Choix pédagogiques'!$C$3=3,$BO682=1),G682,""))</f>
        <v/>
      </c>
      <c r="AC682" s="53" t="str">
        <f aca="false">IF(AND(OR('Choix pédagogiques'!$C$3=1,'Choix pédagogiques'!$C$3=2),$BN682=1),H682,IF(AND('Choix pédagogiques'!$C$3=3,$BO682=1),H682,""))</f>
        <v/>
      </c>
      <c r="AD682" s="53" t="str">
        <f aca="false">IF(AND(OR('Choix pédagogiques'!$C$3=1,'Choix pédagogiques'!$C$3=2),$BN682=1),I682,IF(AND('Choix pédagogiques'!$C$3=3,$BO682=1),I682,""))</f>
        <v/>
      </c>
      <c r="AE682" s="53" t="str">
        <f aca="false">IF($J682&lt;&gt;"",$J682,"")</f>
        <v/>
      </c>
      <c r="AF682" s="52" t="str">
        <f aca="false">IF($A682&lt;&gt;"",$A682,"")</f>
        <v>Apprenant 670</v>
      </c>
      <c r="AG682" s="53" t="str">
        <f aca="false">IF(AND($W682&lt;&gt;"",$X682&lt;&gt;""),$X682-$W682,"")</f>
        <v/>
      </c>
      <c r="AH682" s="53" t="str">
        <f aca="false">IF(AND($W682&lt;&gt;"",$Y682&lt;&gt;""),$Y682-$W682,"")</f>
        <v/>
      </c>
      <c r="AI682" s="53" t="str">
        <f aca="false">IF(AND($X682&lt;&gt;"",$Y682&lt;&gt;""),$Y682-$X682,"")</f>
        <v/>
      </c>
      <c r="AJ682" s="53" t="str">
        <f aca="false">IF($E682&lt;&gt;"",$E682,"")</f>
        <v/>
      </c>
      <c r="AK682" s="52" t="str">
        <f aca="false">IF($F682&lt;&gt;"",$F682,"")</f>
        <v>Apprenant 670 ou 670'</v>
      </c>
      <c r="AL682" s="53" t="str">
        <f aca="false">IF(AND($AB682&lt;&gt;"",$AC682&lt;&gt;""),$AC682-$AB682,"")</f>
        <v/>
      </c>
      <c r="AM682" s="53" t="str">
        <f aca="false">IF(AND($AB682&lt;&gt;"",$AD682&lt;&gt;""),$AD682-$AB682,"")</f>
        <v/>
      </c>
      <c r="AN682" s="53" t="str">
        <f aca="false">IF(AND($AC682&lt;&gt;"",$AD682&lt;&gt;""),$AD682-$AC682,"")</f>
        <v/>
      </c>
      <c r="AO682" s="53" t="str">
        <f aca="false">IF($J682&lt;&gt;"",$J682,"")</f>
        <v/>
      </c>
      <c r="AQ682" s="52" t="str">
        <f aca="false">IF($A682&lt;&gt;"",$A682,"")</f>
        <v>Apprenant 670</v>
      </c>
      <c r="AR682" s="55" t="str">
        <f aca="false">IF(AND('Choix pédagogiques'!$C$4&lt;&gt;"?",'Choix pédagogiques'!$C$5&lt;&gt;"?",W682&lt;&gt;""),(W682-'Choix pédagogiques'!$C$4)/('Choix pédagogiques'!$C$5-'Choix pédagogiques'!$C$4),"")</f>
        <v/>
      </c>
      <c r="AS682" s="55" t="str">
        <f aca="false">IF(AND('Choix pédagogiques'!$C$4&lt;&gt;"?",'Choix pédagogiques'!$C$5&lt;&gt;"?",X682&lt;&gt;""),(X682-'Choix pédagogiques'!$C$4)/('Choix pédagogiques'!$C$5-'Choix pédagogiques'!$C$4),"")</f>
        <v/>
      </c>
      <c r="AT682" s="55" t="str">
        <f aca="false">IF(AND('Choix pédagogiques'!$C$4&lt;&gt;"?",'Choix pédagogiques'!$C$5&lt;&gt;"?",Y682&lt;&gt;""),(Y682-'Choix pédagogiques'!$C$4)/('Choix pédagogiques'!$C$5-'Choix pédagogiques'!$C$4),"")</f>
        <v/>
      </c>
      <c r="AU682" s="53" t="str">
        <f aca="false">IF($E682&lt;&gt;"",$E682,"")</f>
        <v/>
      </c>
      <c r="AV682" s="52" t="str">
        <f aca="false">IF($F682&lt;&gt;"",$F682,"")</f>
        <v>Apprenant 670 ou 670'</v>
      </c>
      <c r="AW682" s="55" t="str">
        <f aca="false">IF(AND('Choix pédagogiques'!$C$4&lt;&gt;"?",'Choix pédagogiques'!$C$5&lt;&gt;"?",AB682&lt;&gt;""),(AB682-'Choix pédagogiques'!$C$4)/('Choix pédagogiques'!$C$5-'Choix pédagogiques'!$C$4),"")</f>
        <v/>
      </c>
      <c r="AX682" s="55" t="str">
        <f aca="false">IF(AND('Choix pédagogiques'!$C$4&lt;&gt;"?",'Choix pédagogiques'!$C$5&lt;&gt;"?",AC682&lt;&gt;""),(AC682-'Choix pédagogiques'!$C$4)/('Choix pédagogiques'!$C$5-'Choix pédagogiques'!$C$4),"")</f>
        <v/>
      </c>
      <c r="AY682" s="55" t="str">
        <f aca="false">IF(AND('Choix pédagogiques'!$C$4&lt;&gt;"?",'Choix pédagogiques'!$C$5&lt;&gt;"?",AD682&lt;&gt;""),(AD682-'Choix pédagogiques'!$C$4)/('Choix pédagogiques'!$C$5-'Choix pédagogiques'!$C$4),"")</f>
        <v/>
      </c>
      <c r="AZ682" s="53" t="str">
        <f aca="false">IF($J682&lt;&gt;"",$J682,"")</f>
        <v/>
      </c>
      <c r="BA682" s="52" t="str">
        <f aca="false">IF($A682&lt;&gt;"",$A682,"")</f>
        <v>Apprenant 670</v>
      </c>
      <c r="BB682" s="55" t="str">
        <f aca="false">IF(AND($AR682&lt;&gt;"",$AS682&lt;&gt;""),$AS682-$AR682,"")</f>
        <v/>
      </c>
      <c r="BC682" s="55" t="str">
        <f aca="false">IF(AND($AR682&lt;&gt;"",$AT682&lt;&gt;""),$AT682-$AR682,"")</f>
        <v/>
      </c>
      <c r="BD682" s="55" t="str">
        <f aca="false">IF(AND($AS682&lt;&gt;"",$AT682&lt;&gt;""),$AT682-$AS682,"")</f>
        <v/>
      </c>
      <c r="BE682" s="53" t="str">
        <f aca="false">IF($E682&lt;&gt;"",$E682,"")</f>
        <v/>
      </c>
      <c r="BF682" s="52" t="str">
        <f aca="false">IF($F682&lt;&gt;"",$F682,"")</f>
        <v>Apprenant 670 ou 670'</v>
      </c>
      <c r="BG682" s="55" t="str">
        <f aca="false">IF(AND($AW682&lt;&gt;"",$AX682&lt;&gt;""),$AX682-$AW682,"")</f>
        <v/>
      </c>
      <c r="BH682" s="55" t="str">
        <f aca="false">IF(AND($AW682&lt;&gt;"",$AY682&lt;&gt;""),$AY682-$AW682,"")</f>
        <v/>
      </c>
      <c r="BI682" s="55" t="str">
        <f aca="false">IF(AND($AX682&lt;&gt;"",$AY682&lt;&gt;""),$AY682-$AX682,"")</f>
        <v/>
      </c>
      <c r="BJ682" s="53" t="str">
        <f aca="false">IF($J682&lt;&gt;"",$J682,"")</f>
        <v/>
      </c>
      <c r="BL682" s="52"/>
      <c r="BM682" s="52" t="str">
        <f aca="false">IF(OR(COUNT(B682:D1681)=0,AND('Choix pédagogiques'!$C$3&lt;&gt;1,'Choix pédagogiques'!$C$3&lt;&gt;2)),"",IF(AND(OR('Choix pédagogiques'!$C$3=1,'Choix pédagogiques'!$C$3=2),$B682&lt;&gt;"",$C682&lt;&gt;"",$D682&lt;&gt;""),1,0))</f>
        <v/>
      </c>
      <c r="BN682" s="52" t="str">
        <f aca="false">IF(OR(COUNT(G682:I1681)=0,AND('Choix pédagogiques'!$C$3&lt;&gt;1,'Choix pédagogiques'!$C$3&lt;&gt;2)),"",IF(AND(OR('Choix pédagogiques'!$C$3=1,'Choix pédagogiques'!$C$3=2),AND($G682&lt;&gt;"",$H682&lt;&gt;"",$I682&lt;&gt;"")),1,0))</f>
        <v/>
      </c>
      <c r="BO682" s="52" t="str">
        <f aca="false">IF(OR(COUNT(B682:D1681)=0,COUNT(G682:I1681)=0,'Choix pédagogiques'!C$3&lt;&gt;3),"",IF(AND('Choix pédagogiques'!$C$3=3,$B682&lt;&gt;"",$C682&lt;&gt;"",$D682&lt;&gt;"",$G682&lt;&gt;"",$H682&lt;&gt;"",$I682&lt;&gt;""),1,0))</f>
        <v/>
      </c>
      <c r="BR682" s="52" t="n">
        <v>850</v>
      </c>
      <c r="BS682" s="52" t="n">
        <v>1872</v>
      </c>
    </row>
    <row r="683" s="54" customFormat="true" ht="18" hidden="false" customHeight="true" outlineLevel="0" collapsed="false">
      <c r="A683" s="57" t="s">
        <v>1297</v>
      </c>
      <c r="B683" s="51"/>
      <c r="C683" s="51"/>
      <c r="D683" s="51"/>
      <c r="E683" s="51"/>
      <c r="F683" s="57" t="s">
        <v>1298</v>
      </c>
      <c r="G683" s="51"/>
      <c r="H683" s="51"/>
      <c r="I683" s="51"/>
      <c r="J683" s="51"/>
      <c r="K683" s="52" t="str">
        <f aca="false">IF($A683&lt;&gt;"",$A683,"")</f>
        <v>Apprenant 671</v>
      </c>
      <c r="L683" s="53" t="str">
        <f aca="false">IF(AND($B683&lt;&gt;"",$C683&lt;&gt;""),$C683-$B683,"")</f>
        <v/>
      </c>
      <c r="M683" s="53" t="str">
        <f aca="false">IF(AND($B683&lt;&gt;"",$D683&lt;&gt;""),$D683-$B683,"")</f>
        <v/>
      </c>
      <c r="N683" s="53" t="str">
        <f aca="false">IF(AND($C683&lt;&gt;"",$D683&lt;&gt;""),$D683-$C683,"")</f>
        <v/>
      </c>
      <c r="O683" s="53" t="str">
        <f aca="false">IF($E683&lt;&gt;"",$E683,"")</f>
        <v/>
      </c>
      <c r="P683" s="52" t="str">
        <f aca="false">IF($F683&lt;&gt;"",$F683,"")</f>
        <v>Apprenant 671 ou 671'</v>
      </c>
      <c r="Q683" s="53" t="str">
        <f aca="false">IF(AND($G683&lt;&gt;"",$H683&lt;&gt;""),$H683-$G683,"")</f>
        <v/>
      </c>
      <c r="R683" s="53" t="str">
        <f aca="false">IF(AND($G683&lt;&gt;"",$I683&lt;&gt;""),$I683-$G683,"")</f>
        <v/>
      </c>
      <c r="S683" s="53" t="str">
        <f aca="false">IF(AND($H683&lt;&gt;"",$I683&lt;&gt;""),$I683-$H683,"")</f>
        <v/>
      </c>
      <c r="T683" s="53" t="str">
        <f aca="false">IF($J683&lt;&gt;"",$J683,"")</f>
        <v/>
      </c>
      <c r="V683" s="52" t="str">
        <f aca="false">IF($A683&lt;&gt;"",$A683,"")</f>
        <v>Apprenant 671</v>
      </c>
      <c r="W683" s="53" t="str">
        <f aca="false">IF(AND(OR('Choix pédagogiques'!$C$3=1,'Choix pédagogiques'!$C$3=2),$BM683=1),B683,IF(AND('Choix pédagogiques'!$C$3=3,$BO683=1),B683,""))</f>
        <v/>
      </c>
      <c r="X683" s="53" t="str">
        <f aca="false">IF(AND(OR('Choix pédagogiques'!$C$3=1,'Choix pédagogiques'!$C$3=2),$BM683=1),C683,IF(AND('Choix pédagogiques'!$C$3=3,$BO683=1),C683,""))</f>
        <v/>
      </c>
      <c r="Y683" s="53" t="str">
        <f aca="false">IF(AND(OR('Choix pédagogiques'!$C$3=1,'Choix pédagogiques'!$C$3=2),$BM683=1),D683,IF(AND('Choix pédagogiques'!$C$3=3,$BO683=1),D683,""))</f>
        <v/>
      </c>
      <c r="Z683" s="53" t="str">
        <f aca="false">IF($E683&lt;&gt;"",$E683,"")</f>
        <v/>
      </c>
      <c r="AA683" s="52" t="str">
        <f aca="false">IF($F683&lt;&gt;"",$F683,"")</f>
        <v>Apprenant 671 ou 671'</v>
      </c>
      <c r="AB683" s="53" t="str">
        <f aca="false">IF(AND(OR('Choix pédagogiques'!$C$3=1,'Choix pédagogiques'!$C$3=2),$BN683=1),G683,IF(AND('Choix pédagogiques'!$C$3=3,$BO683=1),G683,""))</f>
        <v/>
      </c>
      <c r="AC683" s="53" t="str">
        <f aca="false">IF(AND(OR('Choix pédagogiques'!$C$3=1,'Choix pédagogiques'!$C$3=2),$BN683=1),H683,IF(AND('Choix pédagogiques'!$C$3=3,$BO683=1),H683,""))</f>
        <v/>
      </c>
      <c r="AD683" s="53" t="str">
        <f aca="false">IF(AND(OR('Choix pédagogiques'!$C$3=1,'Choix pédagogiques'!$C$3=2),$BN683=1),I683,IF(AND('Choix pédagogiques'!$C$3=3,$BO683=1),I683,""))</f>
        <v/>
      </c>
      <c r="AE683" s="53" t="str">
        <f aca="false">IF($J683&lt;&gt;"",$J683,"")</f>
        <v/>
      </c>
      <c r="AF683" s="52" t="str">
        <f aca="false">IF($A683&lt;&gt;"",$A683,"")</f>
        <v>Apprenant 671</v>
      </c>
      <c r="AG683" s="53" t="str">
        <f aca="false">IF(AND($W683&lt;&gt;"",$X683&lt;&gt;""),$X683-$W683,"")</f>
        <v/>
      </c>
      <c r="AH683" s="53" t="str">
        <f aca="false">IF(AND($W683&lt;&gt;"",$Y683&lt;&gt;""),$Y683-$W683,"")</f>
        <v/>
      </c>
      <c r="AI683" s="53" t="str">
        <f aca="false">IF(AND($X683&lt;&gt;"",$Y683&lt;&gt;""),$Y683-$X683,"")</f>
        <v/>
      </c>
      <c r="AJ683" s="53" t="str">
        <f aca="false">IF($E683&lt;&gt;"",$E683,"")</f>
        <v/>
      </c>
      <c r="AK683" s="52" t="str">
        <f aca="false">IF($F683&lt;&gt;"",$F683,"")</f>
        <v>Apprenant 671 ou 671'</v>
      </c>
      <c r="AL683" s="53" t="str">
        <f aca="false">IF(AND($AB683&lt;&gt;"",$AC683&lt;&gt;""),$AC683-$AB683,"")</f>
        <v/>
      </c>
      <c r="AM683" s="53" t="str">
        <f aca="false">IF(AND($AB683&lt;&gt;"",$AD683&lt;&gt;""),$AD683-$AB683,"")</f>
        <v/>
      </c>
      <c r="AN683" s="53" t="str">
        <f aca="false">IF(AND($AC683&lt;&gt;"",$AD683&lt;&gt;""),$AD683-$AC683,"")</f>
        <v/>
      </c>
      <c r="AO683" s="53" t="str">
        <f aca="false">IF($J683&lt;&gt;"",$J683,"")</f>
        <v/>
      </c>
      <c r="AQ683" s="52" t="str">
        <f aca="false">IF($A683&lt;&gt;"",$A683,"")</f>
        <v>Apprenant 671</v>
      </c>
      <c r="AR683" s="55" t="str">
        <f aca="false">IF(AND('Choix pédagogiques'!$C$4&lt;&gt;"?",'Choix pédagogiques'!$C$5&lt;&gt;"?",W683&lt;&gt;""),(W683-'Choix pédagogiques'!$C$4)/('Choix pédagogiques'!$C$5-'Choix pédagogiques'!$C$4),"")</f>
        <v/>
      </c>
      <c r="AS683" s="55" t="str">
        <f aca="false">IF(AND('Choix pédagogiques'!$C$4&lt;&gt;"?",'Choix pédagogiques'!$C$5&lt;&gt;"?",X683&lt;&gt;""),(X683-'Choix pédagogiques'!$C$4)/('Choix pédagogiques'!$C$5-'Choix pédagogiques'!$C$4),"")</f>
        <v/>
      </c>
      <c r="AT683" s="55" t="str">
        <f aca="false">IF(AND('Choix pédagogiques'!$C$4&lt;&gt;"?",'Choix pédagogiques'!$C$5&lt;&gt;"?",Y683&lt;&gt;""),(Y683-'Choix pédagogiques'!$C$4)/('Choix pédagogiques'!$C$5-'Choix pédagogiques'!$C$4),"")</f>
        <v/>
      </c>
      <c r="AU683" s="53" t="str">
        <f aca="false">IF($E683&lt;&gt;"",$E683,"")</f>
        <v/>
      </c>
      <c r="AV683" s="52" t="str">
        <f aca="false">IF($F683&lt;&gt;"",$F683,"")</f>
        <v>Apprenant 671 ou 671'</v>
      </c>
      <c r="AW683" s="55" t="str">
        <f aca="false">IF(AND('Choix pédagogiques'!$C$4&lt;&gt;"?",'Choix pédagogiques'!$C$5&lt;&gt;"?",AB683&lt;&gt;""),(AB683-'Choix pédagogiques'!$C$4)/('Choix pédagogiques'!$C$5-'Choix pédagogiques'!$C$4),"")</f>
        <v/>
      </c>
      <c r="AX683" s="55" t="str">
        <f aca="false">IF(AND('Choix pédagogiques'!$C$4&lt;&gt;"?",'Choix pédagogiques'!$C$5&lt;&gt;"?",AC683&lt;&gt;""),(AC683-'Choix pédagogiques'!$C$4)/('Choix pédagogiques'!$C$5-'Choix pédagogiques'!$C$4),"")</f>
        <v/>
      </c>
      <c r="AY683" s="55" t="str">
        <f aca="false">IF(AND('Choix pédagogiques'!$C$4&lt;&gt;"?",'Choix pédagogiques'!$C$5&lt;&gt;"?",AD683&lt;&gt;""),(AD683-'Choix pédagogiques'!$C$4)/('Choix pédagogiques'!$C$5-'Choix pédagogiques'!$C$4),"")</f>
        <v/>
      </c>
      <c r="AZ683" s="53" t="str">
        <f aca="false">IF($J683&lt;&gt;"",$J683,"")</f>
        <v/>
      </c>
      <c r="BA683" s="52" t="str">
        <f aca="false">IF($A683&lt;&gt;"",$A683,"")</f>
        <v>Apprenant 671</v>
      </c>
      <c r="BB683" s="55" t="str">
        <f aca="false">IF(AND($AR683&lt;&gt;"",$AS683&lt;&gt;""),$AS683-$AR683,"")</f>
        <v/>
      </c>
      <c r="BC683" s="55" t="str">
        <f aca="false">IF(AND($AR683&lt;&gt;"",$AT683&lt;&gt;""),$AT683-$AR683,"")</f>
        <v/>
      </c>
      <c r="BD683" s="55" t="str">
        <f aca="false">IF(AND($AS683&lt;&gt;"",$AT683&lt;&gt;""),$AT683-$AS683,"")</f>
        <v/>
      </c>
      <c r="BE683" s="53" t="str">
        <f aca="false">IF($E683&lt;&gt;"",$E683,"")</f>
        <v/>
      </c>
      <c r="BF683" s="52" t="str">
        <f aca="false">IF($F683&lt;&gt;"",$F683,"")</f>
        <v>Apprenant 671 ou 671'</v>
      </c>
      <c r="BG683" s="55" t="str">
        <f aca="false">IF(AND($AW683&lt;&gt;"",$AX683&lt;&gt;""),$AX683-$AW683,"")</f>
        <v/>
      </c>
      <c r="BH683" s="55" t="str">
        <f aca="false">IF(AND($AW683&lt;&gt;"",$AY683&lt;&gt;""),$AY683-$AW683,"")</f>
        <v/>
      </c>
      <c r="BI683" s="55" t="str">
        <f aca="false">IF(AND($AX683&lt;&gt;"",$AY683&lt;&gt;""),$AY683-$AX683,"")</f>
        <v/>
      </c>
      <c r="BJ683" s="53" t="str">
        <f aca="false">IF($J683&lt;&gt;"",$J683,"")</f>
        <v/>
      </c>
      <c r="BL683" s="52"/>
      <c r="BM683" s="52" t="str">
        <f aca="false">IF(OR(COUNT(B683:D1682)=0,AND('Choix pédagogiques'!$C$3&lt;&gt;1,'Choix pédagogiques'!$C$3&lt;&gt;2)),"",IF(AND(OR('Choix pédagogiques'!$C$3=1,'Choix pédagogiques'!$C$3=2),$B683&lt;&gt;"",$C683&lt;&gt;"",$D683&lt;&gt;""),1,0))</f>
        <v/>
      </c>
      <c r="BN683" s="52" t="str">
        <f aca="false">IF(OR(COUNT(G683:I1682)=0,AND('Choix pédagogiques'!$C$3&lt;&gt;1,'Choix pédagogiques'!$C$3&lt;&gt;2)),"",IF(AND(OR('Choix pédagogiques'!$C$3=1,'Choix pédagogiques'!$C$3=2),AND($G683&lt;&gt;"",$H683&lt;&gt;"",$I683&lt;&gt;"")),1,0))</f>
        <v/>
      </c>
      <c r="BO683" s="52" t="str">
        <f aca="false">IF(OR(COUNT(B683:D1682)=0,COUNT(G683:I1682)=0,'Choix pédagogiques'!C$3&lt;&gt;3),"",IF(AND('Choix pédagogiques'!$C$3=3,$B683&lt;&gt;"",$C683&lt;&gt;"",$D683&lt;&gt;"",$G683&lt;&gt;"",$H683&lt;&gt;"",$I683&lt;&gt;""),1,0))</f>
        <v/>
      </c>
      <c r="BR683" s="52" t="n">
        <v>614</v>
      </c>
      <c r="BS683" s="52" t="n">
        <v>1162</v>
      </c>
    </row>
    <row r="684" s="54" customFormat="true" ht="18" hidden="false" customHeight="true" outlineLevel="0" collapsed="false">
      <c r="A684" s="57" t="s">
        <v>1299</v>
      </c>
      <c r="B684" s="51"/>
      <c r="C684" s="51"/>
      <c r="D684" s="51"/>
      <c r="E684" s="51"/>
      <c r="F684" s="57" t="s">
        <v>1300</v>
      </c>
      <c r="G684" s="51"/>
      <c r="H684" s="51"/>
      <c r="I684" s="51"/>
      <c r="J684" s="51"/>
      <c r="K684" s="52" t="str">
        <f aca="false">IF($A684&lt;&gt;"",$A684,"")</f>
        <v>Apprenant 672</v>
      </c>
      <c r="L684" s="53" t="str">
        <f aca="false">IF(AND($B684&lt;&gt;"",$C684&lt;&gt;""),$C684-$B684,"")</f>
        <v/>
      </c>
      <c r="M684" s="53" t="str">
        <f aca="false">IF(AND($B684&lt;&gt;"",$D684&lt;&gt;""),$D684-$B684,"")</f>
        <v/>
      </c>
      <c r="N684" s="53" t="str">
        <f aca="false">IF(AND($C684&lt;&gt;"",$D684&lt;&gt;""),$D684-$C684,"")</f>
        <v/>
      </c>
      <c r="O684" s="53" t="str">
        <f aca="false">IF($E684&lt;&gt;"",$E684,"")</f>
        <v/>
      </c>
      <c r="P684" s="52" t="str">
        <f aca="false">IF($F684&lt;&gt;"",$F684,"")</f>
        <v>Apprenant 672 ou 672'</v>
      </c>
      <c r="Q684" s="53" t="str">
        <f aca="false">IF(AND($G684&lt;&gt;"",$H684&lt;&gt;""),$H684-$G684,"")</f>
        <v/>
      </c>
      <c r="R684" s="53" t="str">
        <f aca="false">IF(AND($G684&lt;&gt;"",$I684&lt;&gt;""),$I684-$G684,"")</f>
        <v/>
      </c>
      <c r="S684" s="53" t="str">
        <f aca="false">IF(AND($H684&lt;&gt;"",$I684&lt;&gt;""),$I684-$H684,"")</f>
        <v/>
      </c>
      <c r="T684" s="53" t="str">
        <f aca="false">IF($J684&lt;&gt;"",$J684,"")</f>
        <v/>
      </c>
      <c r="V684" s="52" t="str">
        <f aca="false">IF($A684&lt;&gt;"",$A684,"")</f>
        <v>Apprenant 672</v>
      </c>
      <c r="W684" s="53" t="str">
        <f aca="false">IF(AND(OR('Choix pédagogiques'!$C$3=1,'Choix pédagogiques'!$C$3=2),$BM684=1),B684,IF(AND('Choix pédagogiques'!$C$3=3,$BO684=1),B684,""))</f>
        <v/>
      </c>
      <c r="X684" s="53" t="str">
        <f aca="false">IF(AND(OR('Choix pédagogiques'!$C$3=1,'Choix pédagogiques'!$C$3=2),$BM684=1),C684,IF(AND('Choix pédagogiques'!$C$3=3,$BO684=1),C684,""))</f>
        <v/>
      </c>
      <c r="Y684" s="53" t="str">
        <f aca="false">IF(AND(OR('Choix pédagogiques'!$C$3=1,'Choix pédagogiques'!$C$3=2),$BM684=1),D684,IF(AND('Choix pédagogiques'!$C$3=3,$BO684=1),D684,""))</f>
        <v/>
      </c>
      <c r="Z684" s="53" t="str">
        <f aca="false">IF($E684&lt;&gt;"",$E684,"")</f>
        <v/>
      </c>
      <c r="AA684" s="52" t="str">
        <f aca="false">IF($F684&lt;&gt;"",$F684,"")</f>
        <v>Apprenant 672 ou 672'</v>
      </c>
      <c r="AB684" s="53" t="str">
        <f aca="false">IF(AND(OR('Choix pédagogiques'!$C$3=1,'Choix pédagogiques'!$C$3=2),$BN684=1),G684,IF(AND('Choix pédagogiques'!$C$3=3,$BO684=1),G684,""))</f>
        <v/>
      </c>
      <c r="AC684" s="53" t="str">
        <f aca="false">IF(AND(OR('Choix pédagogiques'!$C$3=1,'Choix pédagogiques'!$C$3=2),$BN684=1),H684,IF(AND('Choix pédagogiques'!$C$3=3,$BO684=1),H684,""))</f>
        <v/>
      </c>
      <c r="AD684" s="53" t="str">
        <f aca="false">IF(AND(OR('Choix pédagogiques'!$C$3=1,'Choix pédagogiques'!$C$3=2),$BN684=1),I684,IF(AND('Choix pédagogiques'!$C$3=3,$BO684=1),I684,""))</f>
        <v/>
      </c>
      <c r="AE684" s="53" t="str">
        <f aca="false">IF($J684&lt;&gt;"",$J684,"")</f>
        <v/>
      </c>
      <c r="AF684" s="52" t="str">
        <f aca="false">IF($A684&lt;&gt;"",$A684,"")</f>
        <v>Apprenant 672</v>
      </c>
      <c r="AG684" s="53" t="str">
        <f aca="false">IF(AND($W684&lt;&gt;"",$X684&lt;&gt;""),$X684-$W684,"")</f>
        <v/>
      </c>
      <c r="AH684" s="53" t="str">
        <f aca="false">IF(AND($W684&lt;&gt;"",$Y684&lt;&gt;""),$Y684-$W684,"")</f>
        <v/>
      </c>
      <c r="AI684" s="53" t="str">
        <f aca="false">IF(AND($X684&lt;&gt;"",$Y684&lt;&gt;""),$Y684-$X684,"")</f>
        <v/>
      </c>
      <c r="AJ684" s="53" t="str">
        <f aca="false">IF($E684&lt;&gt;"",$E684,"")</f>
        <v/>
      </c>
      <c r="AK684" s="52" t="str">
        <f aca="false">IF($F684&lt;&gt;"",$F684,"")</f>
        <v>Apprenant 672 ou 672'</v>
      </c>
      <c r="AL684" s="53" t="str">
        <f aca="false">IF(AND($AB684&lt;&gt;"",$AC684&lt;&gt;""),$AC684-$AB684,"")</f>
        <v/>
      </c>
      <c r="AM684" s="53" t="str">
        <f aca="false">IF(AND($AB684&lt;&gt;"",$AD684&lt;&gt;""),$AD684-$AB684,"")</f>
        <v/>
      </c>
      <c r="AN684" s="53" t="str">
        <f aca="false">IF(AND($AC684&lt;&gt;"",$AD684&lt;&gt;""),$AD684-$AC684,"")</f>
        <v/>
      </c>
      <c r="AO684" s="53" t="str">
        <f aca="false">IF($J684&lt;&gt;"",$J684,"")</f>
        <v/>
      </c>
      <c r="AQ684" s="52" t="str">
        <f aca="false">IF($A684&lt;&gt;"",$A684,"")</f>
        <v>Apprenant 672</v>
      </c>
      <c r="AR684" s="55" t="str">
        <f aca="false">IF(AND('Choix pédagogiques'!$C$4&lt;&gt;"?",'Choix pédagogiques'!$C$5&lt;&gt;"?",W684&lt;&gt;""),(W684-'Choix pédagogiques'!$C$4)/('Choix pédagogiques'!$C$5-'Choix pédagogiques'!$C$4),"")</f>
        <v/>
      </c>
      <c r="AS684" s="55" t="str">
        <f aca="false">IF(AND('Choix pédagogiques'!$C$4&lt;&gt;"?",'Choix pédagogiques'!$C$5&lt;&gt;"?",X684&lt;&gt;""),(X684-'Choix pédagogiques'!$C$4)/('Choix pédagogiques'!$C$5-'Choix pédagogiques'!$C$4),"")</f>
        <v/>
      </c>
      <c r="AT684" s="55" t="str">
        <f aca="false">IF(AND('Choix pédagogiques'!$C$4&lt;&gt;"?",'Choix pédagogiques'!$C$5&lt;&gt;"?",Y684&lt;&gt;""),(Y684-'Choix pédagogiques'!$C$4)/('Choix pédagogiques'!$C$5-'Choix pédagogiques'!$C$4),"")</f>
        <v/>
      </c>
      <c r="AU684" s="53" t="str">
        <f aca="false">IF($E684&lt;&gt;"",$E684,"")</f>
        <v/>
      </c>
      <c r="AV684" s="52" t="str">
        <f aca="false">IF($F684&lt;&gt;"",$F684,"")</f>
        <v>Apprenant 672 ou 672'</v>
      </c>
      <c r="AW684" s="55" t="str">
        <f aca="false">IF(AND('Choix pédagogiques'!$C$4&lt;&gt;"?",'Choix pédagogiques'!$C$5&lt;&gt;"?",AB684&lt;&gt;""),(AB684-'Choix pédagogiques'!$C$4)/('Choix pédagogiques'!$C$5-'Choix pédagogiques'!$C$4),"")</f>
        <v/>
      </c>
      <c r="AX684" s="55" t="str">
        <f aca="false">IF(AND('Choix pédagogiques'!$C$4&lt;&gt;"?",'Choix pédagogiques'!$C$5&lt;&gt;"?",AC684&lt;&gt;""),(AC684-'Choix pédagogiques'!$C$4)/('Choix pédagogiques'!$C$5-'Choix pédagogiques'!$C$4),"")</f>
        <v/>
      </c>
      <c r="AY684" s="55" t="str">
        <f aca="false">IF(AND('Choix pédagogiques'!$C$4&lt;&gt;"?",'Choix pédagogiques'!$C$5&lt;&gt;"?",AD684&lt;&gt;""),(AD684-'Choix pédagogiques'!$C$4)/('Choix pédagogiques'!$C$5-'Choix pédagogiques'!$C$4),"")</f>
        <v/>
      </c>
      <c r="AZ684" s="53" t="str">
        <f aca="false">IF($J684&lt;&gt;"",$J684,"")</f>
        <v/>
      </c>
      <c r="BA684" s="52" t="str">
        <f aca="false">IF($A684&lt;&gt;"",$A684,"")</f>
        <v>Apprenant 672</v>
      </c>
      <c r="BB684" s="55" t="str">
        <f aca="false">IF(AND($AR684&lt;&gt;"",$AS684&lt;&gt;""),$AS684-$AR684,"")</f>
        <v/>
      </c>
      <c r="BC684" s="55" t="str">
        <f aca="false">IF(AND($AR684&lt;&gt;"",$AT684&lt;&gt;""),$AT684-$AR684,"")</f>
        <v/>
      </c>
      <c r="BD684" s="55" t="str">
        <f aca="false">IF(AND($AS684&lt;&gt;"",$AT684&lt;&gt;""),$AT684-$AS684,"")</f>
        <v/>
      </c>
      <c r="BE684" s="53" t="str">
        <f aca="false">IF($E684&lt;&gt;"",$E684,"")</f>
        <v/>
      </c>
      <c r="BF684" s="52" t="str">
        <f aca="false">IF($F684&lt;&gt;"",$F684,"")</f>
        <v>Apprenant 672 ou 672'</v>
      </c>
      <c r="BG684" s="55" t="str">
        <f aca="false">IF(AND($AW684&lt;&gt;"",$AX684&lt;&gt;""),$AX684-$AW684,"")</f>
        <v/>
      </c>
      <c r="BH684" s="55" t="str">
        <f aca="false">IF(AND($AW684&lt;&gt;"",$AY684&lt;&gt;""),$AY684-$AW684,"")</f>
        <v/>
      </c>
      <c r="BI684" s="55" t="str">
        <f aca="false">IF(AND($AX684&lt;&gt;"",$AY684&lt;&gt;""),$AY684-$AX684,"")</f>
        <v/>
      </c>
      <c r="BJ684" s="53" t="str">
        <f aca="false">IF($J684&lt;&gt;"",$J684,"")</f>
        <v/>
      </c>
      <c r="BL684" s="52"/>
      <c r="BM684" s="52" t="str">
        <f aca="false">IF(OR(COUNT(B684:D1683)=0,AND('Choix pédagogiques'!$C$3&lt;&gt;1,'Choix pédagogiques'!$C$3&lt;&gt;2)),"",IF(AND(OR('Choix pédagogiques'!$C$3=1,'Choix pédagogiques'!$C$3=2),$B684&lt;&gt;"",$C684&lt;&gt;"",$D684&lt;&gt;""),1,0))</f>
        <v/>
      </c>
      <c r="BN684" s="52" t="str">
        <f aca="false">IF(OR(COUNT(G684:I1683)=0,AND('Choix pédagogiques'!$C$3&lt;&gt;1,'Choix pédagogiques'!$C$3&lt;&gt;2)),"",IF(AND(OR('Choix pédagogiques'!$C$3=1,'Choix pédagogiques'!$C$3=2),AND($G684&lt;&gt;"",$H684&lt;&gt;"",$I684&lt;&gt;"")),1,0))</f>
        <v/>
      </c>
      <c r="BO684" s="52" t="str">
        <f aca="false">IF(OR(COUNT(B684:D1683)=0,COUNT(G684:I1683)=0,'Choix pédagogiques'!C$3&lt;&gt;3),"",IF(AND('Choix pédagogiques'!$C$3=3,$B684&lt;&gt;"",$C684&lt;&gt;"",$D684&lt;&gt;"",$G684&lt;&gt;"",$H684&lt;&gt;"",$I684&lt;&gt;""),1,0))</f>
        <v/>
      </c>
      <c r="BR684" s="52" t="n">
        <v>647</v>
      </c>
      <c r="BS684" s="52" t="n">
        <v>1713</v>
      </c>
    </row>
    <row r="685" s="54" customFormat="true" ht="18" hidden="false" customHeight="true" outlineLevel="0" collapsed="false">
      <c r="A685" s="57" t="s">
        <v>1301</v>
      </c>
      <c r="B685" s="51"/>
      <c r="C685" s="51"/>
      <c r="D685" s="51"/>
      <c r="E685" s="51"/>
      <c r="F685" s="57" t="s">
        <v>1302</v>
      </c>
      <c r="G685" s="51"/>
      <c r="H685" s="51"/>
      <c r="I685" s="51"/>
      <c r="J685" s="51"/>
      <c r="K685" s="52" t="str">
        <f aca="false">IF($A685&lt;&gt;"",$A685,"")</f>
        <v>Apprenant 673</v>
      </c>
      <c r="L685" s="53" t="str">
        <f aca="false">IF(AND($B685&lt;&gt;"",$C685&lt;&gt;""),$C685-$B685,"")</f>
        <v/>
      </c>
      <c r="M685" s="53" t="str">
        <f aca="false">IF(AND($B685&lt;&gt;"",$D685&lt;&gt;""),$D685-$B685,"")</f>
        <v/>
      </c>
      <c r="N685" s="53" t="str">
        <f aca="false">IF(AND($C685&lt;&gt;"",$D685&lt;&gt;""),$D685-$C685,"")</f>
        <v/>
      </c>
      <c r="O685" s="53" t="str">
        <f aca="false">IF($E685&lt;&gt;"",$E685,"")</f>
        <v/>
      </c>
      <c r="P685" s="52" t="str">
        <f aca="false">IF($F685&lt;&gt;"",$F685,"")</f>
        <v>Apprenant 673 ou 673'</v>
      </c>
      <c r="Q685" s="53" t="str">
        <f aca="false">IF(AND($G685&lt;&gt;"",$H685&lt;&gt;""),$H685-$G685,"")</f>
        <v/>
      </c>
      <c r="R685" s="53" t="str">
        <f aca="false">IF(AND($G685&lt;&gt;"",$I685&lt;&gt;""),$I685-$G685,"")</f>
        <v/>
      </c>
      <c r="S685" s="53" t="str">
        <f aca="false">IF(AND($H685&lt;&gt;"",$I685&lt;&gt;""),$I685-$H685,"")</f>
        <v/>
      </c>
      <c r="T685" s="53" t="str">
        <f aca="false">IF($J685&lt;&gt;"",$J685,"")</f>
        <v/>
      </c>
      <c r="V685" s="52" t="str">
        <f aca="false">IF($A685&lt;&gt;"",$A685,"")</f>
        <v>Apprenant 673</v>
      </c>
      <c r="W685" s="53" t="str">
        <f aca="false">IF(AND(OR('Choix pédagogiques'!$C$3=1,'Choix pédagogiques'!$C$3=2),$BM685=1),B685,IF(AND('Choix pédagogiques'!$C$3=3,$BO685=1),B685,""))</f>
        <v/>
      </c>
      <c r="X685" s="53" t="str">
        <f aca="false">IF(AND(OR('Choix pédagogiques'!$C$3=1,'Choix pédagogiques'!$C$3=2),$BM685=1),C685,IF(AND('Choix pédagogiques'!$C$3=3,$BO685=1),C685,""))</f>
        <v/>
      </c>
      <c r="Y685" s="53" t="str">
        <f aca="false">IF(AND(OR('Choix pédagogiques'!$C$3=1,'Choix pédagogiques'!$C$3=2),$BM685=1),D685,IF(AND('Choix pédagogiques'!$C$3=3,$BO685=1),D685,""))</f>
        <v/>
      </c>
      <c r="Z685" s="53" t="str">
        <f aca="false">IF($E685&lt;&gt;"",$E685,"")</f>
        <v/>
      </c>
      <c r="AA685" s="52" t="str">
        <f aca="false">IF($F685&lt;&gt;"",$F685,"")</f>
        <v>Apprenant 673 ou 673'</v>
      </c>
      <c r="AB685" s="53" t="str">
        <f aca="false">IF(AND(OR('Choix pédagogiques'!$C$3=1,'Choix pédagogiques'!$C$3=2),$BN685=1),G685,IF(AND('Choix pédagogiques'!$C$3=3,$BO685=1),G685,""))</f>
        <v/>
      </c>
      <c r="AC685" s="53" t="str">
        <f aca="false">IF(AND(OR('Choix pédagogiques'!$C$3=1,'Choix pédagogiques'!$C$3=2),$BN685=1),H685,IF(AND('Choix pédagogiques'!$C$3=3,$BO685=1),H685,""))</f>
        <v/>
      </c>
      <c r="AD685" s="53" t="str">
        <f aca="false">IF(AND(OR('Choix pédagogiques'!$C$3=1,'Choix pédagogiques'!$C$3=2),$BN685=1),I685,IF(AND('Choix pédagogiques'!$C$3=3,$BO685=1),I685,""))</f>
        <v/>
      </c>
      <c r="AE685" s="53" t="str">
        <f aca="false">IF($J685&lt;&gt;"",$J685,"")</f>
        <v/>
      </c>
      <c r="AF685" s="52" t="str">
        <f aca="false">IF($A685&lt;&gt;"",$A685,"")</f>
        <v>Apprenant 673</v>
      </c>
      <c r="AG685" s="53" t="str">
        <f aca="false">IF(AND($W685&lt;&gt;"",$X685&lt;&gt;""),$X685-$W685,"")</f>
        <v/>
      </c>
      <c r="AH685" s="53" t="str">
        <f aca="false">IF(AND($W685&lt;&gt;"",$Y685&lt;&gt;""),$Y685-$W685,"")</f>
        <v/>
      </c>
      <c r="AI685" s="53" t="str">
        <f aca="false">IF(AND($X685&lt;&gt;"",$Y685&lt;&gt;""),$Y685-$X685,"")</f>
        <v/>
      </c>
      <c r="AJ685" s="53" t="str">
        <f aca="false">IF($E685&lt;&gt;"",$E685,"")</f>
        <v/>
      </c>
      <c r="AK685" s="52" t="str">
        <f aca="false">IF($F685&lt;&gt;"",$F685,"")</f>
        <v>Apprenant 673 ou 673'</v>
      </c>
      <c r="AL685" s="53" t="str">
        <f aca="false">IF(AND($AB685&lt;&gt;"",$AC685&lt;&gt;""),$AC685-$AB685,"")</f>
        <v/>
      </c>
      <c r="AM685" s="53" t="str">
        <f aca="false">IF(AND($AB685&lt;&gt;"",$AD685&lt;&gt;""),$AD685-$AB685,"")</f>
        <v/>
      </c>
      <c r="AN685" s="53" t="str">
        <f aca="false">IF(AND($AC685&lt;&gt;"",$AD685&lt;&gt;""),$AD685-$AC685,"")</f>
        <v/>
      </c>
      <c r="AO685" s="53" t="str">
        <f aca="false">IF($J685&lt;&gt;"",$J685,"")</f>
        <v/>
      </c>
      <c r="AQ685" s="52" t="str">
        <f aca="false">IF($A685&lt;&gt;"",$A685,"")</f>
        <v>Apprenant 673</v>
      </c>
      <c r="AR685" s="55" t="str">
        <f aca="false">IF(AND('Choix pédagogiques'!$C$4&lt;&gt;"?",'Choix pédagogiques'!$C$5&lt;&gt;"?",W685&lt;&gt;""),(W685-'Choix pédagogiques'!$C$4)/('Choix pédagogiques'!$C$5-'Choix pédagogiques'!$C$4),"")</f>
        <v/>
      </c>
      <c r="AS685" s="55" t="str">
        <f aca="false">IF(AND('Choix pédagogiques'!$C$4&lt;&gt;"?",'Choix pédagogiques'!$C$5&lt;&gt;"?",X685&lt;&gt;""),(X685-'Choix pédagogiques'!$C$4)/('Choix pédagogiques'!$C$5-'Choix pédagogiques'!$C$4),"")</f>
        <v/>
      </c>
      <c r="AT685" s="55" t="str">
        <f aca="false">IF(AND('Choix pédagogiques'!$C$4&lt;&gt;"?",'Choix pédagogiques'!$C$5&lt;&gt;"?",Y685&lt;&gt;""),(Y685-'Choix pédagogiques'!$C$4)/('Choix pédagogiques'!$C$5-'Choix pédagogiques'!$C$4),"")</f>
        <v/>
      </c>
      <c r="AU685" s="53" t="str">
        <f aca="false">IF($E685&lt;&gt;"",$E685,"")</f>
        <v/>
      </c>
      <c r="AV685" s="52" t="str">
        <f aca="false">IF($F685&lt;&gt;"",$F685,"")</f>
        <v>Apprenant 673 ou 673'</v>
      </c>
      <c r="AW685" s="55" t="str">
        <f aca="false">IF(AND('Choix pédagogiques'!$C$4&lt;&gt;"?",'Choix pédagogiques'!$C$5&lt;&gt;"?",AB685&lt;&gt;""),(AB685-'Choix pédagogiques'!$C$4)/('Choix pédagogiques'!$C$5-'Choix pédagogiques'!$C$4),"")</f>
        <v/>
      </c>
      <c r="AX685" s="55" t="str">
        <f aca="false">IF(AND('Choix pédagogiques'!$C$4&lt;&gt;"?",'Choix pédagogiques'!$C$5&lt;&gt;"?",AC685&lt;&gt;""),(AC685-'Choix pédagogiques'!$C$4)/('Choix pédagogiques'!$C$5-'Choix pédagogiques'!$C$4),"")</f>
        <v/>
      </c>
      <c r="AY685" s="55" t="str">
        <f aca="false">IF(AND('Choix pédagogiques'!$C$4&lt;&gt;"?",'Choix pédagogiques'!$C$5&lt;&gt;"?",AD685&lt;&gt;""),(AD685-'Choix pédagogiques'!$C$4)/('Choix pédagogiques'!$C$5-'Choix pédagogiques'!$C$4),"")</f>
        <v/>
      </c>
      <c r="AZ685" s="53" t="str">
        <f aca="false">IF($J685&lt;&gt;"",$J685,"")</f>
        <v/>
      </c>
      <c r="BA685" s="52" t="str">
        <f aca="false">IF($A685&lt;&gt;"",$A685,"")</f>
        <v>Apprenant 673</v>
      </c>
      <c r="BB685" s="55" t="str">
        <f aca="false">IF(AND($AR685&lt;&gt;"",$AS685&lt;&gt;""),$AS685-$AR685,"")</f>
        <v/>
      </c>
      <c r="BC685" s="55" t="str">
        <f aca="false">IF(AND($AR685&lt;&gt;"",$AT685&lt;&gt;""),$AT685-$AR685,"")</f>
        <v/>
      </c>
      <c r="BD685" s="55" t="str">
        <f aca="false">IF(AND($AS685&lt;&gt;"",$AT685&lt;&gt;""),$AT685-$AS685,"")</f>
        <v/>
      </c>
      <c r="BE685" s="53" t="str">
        <f aca="false">IF($E685&lt;&gt;"",$E685,"")</f>
        <v/>
      </c>
      <c r="BF685" s="52" t="str">
        <f aca="false">IF($F685&lt;&gt;"",$F685,"")</f>
        <v>Apprenant 673 ou 673'</v>
      </c>
      <c r="BG685" s="55" t="str">
        <f aca="false">IF(AND($AW685&lt;&gt;"",$AX685&lt;&gt;""),$AX685-$AW685,"")</f>
        <v/>
      </c>
      <c r="BH685" s="55" t="str">
        <f aca="false">IF(AND($AW685&lt;&gt;"",$AY685&lt;&gt;""),$AY685-$AW685,"")</f>
        <v/>
      </c>
      <c r="BI685" s="55" t="str">
        <f aca="false">IF(AND($AX685&lt;&gt;"",$AY685&lt;&gt;""),$AY685-$AX685,"")</f>
        <v/>
      </c>
      <c r="BJ685" s="53" t="str">
        <f aca="false">IF($J685&lt;&gt;"",$J685,"")</f>
        <v/>
      </c>
      <c r="BL685" s="52"/>
      <c r="BM685" s="52" t="str">
        <f aca="false">IF(OR(COUNT(B685:D1684)=0,AND('Choix pédagogiques'!$C$3&lt;&gt;1,'Choix pédagogiques'!$C$3&lt;&gt;2)),"",IF(AND(OR('Choix pédagogiques'!$C$3=1,'Choix pédagogiques'!$C$3=2),$B685&lt;&gt;"",$C685&lt;&gt;"",$D685&lt;&gt;""),1,0))</f>
        <v/>
      </c>
      <c r="BN685" s="52" t="str">
        <f aca="false">IF(OR(COUNT(G685:I1684)=0,AND('Choix pédagogiques'!$C$3&lt;&gt;1,'Choix pédagogiques'!$C$3&lt;&gt;2)),"",IF(AND(OR('Choix pédagogiques'!$C$3=1,'Choix pédagogiques'!$C$3=2),AND($G685&lt;&gt;"",$H685&lt;&gt;"",$I685&lt;&gt;"")),1,0))</f>
        <v/>
      </c>
      <c r="BO685" s="52" t="str">
        <f aca="false">IF(OR(COUNT(B685:D1684)=0,COUNT(G685:I1684)=0,'Choix pédagogiques'!C$3&lt;&gt;3),"",IF(AND('Choix pédagogiques'!$C$3=3,$B685&lt;&gt;"",$C685&lt;&gt;"",$D685&lt;&gt;"",$G685&lt;&gt;"",$H685&lt;&gt;"",$I685&lt;&gt;""),1,0))</f>
        <v/>
      </c>
      <c r="BR685" s="52" t="n">
        <v>578</v>
      </c>
      <c r="BS685" s="52" t="n">
        <v>1311</v>
      </c>
    </row>
    <row r="686" s="54" customFormat="true" ht="18" hidden="false" customHeight="true" outlineLevel="0" collapsed="false">
      <c r="A686" s="57" t="s">
        <v>1303</v>
      </c>
      <c r="B686" s="51"/>
      <c r="C686" s="51"/>
      <c r="D686" s="51"/>
      <c r="E686" s="51"/>
      <c r="F686" s="57" t="s">
        <v>1304</v>
      </c>
      <c r="G686" s="51"/>
      <c r="H686" s="51"/>
      <c r="I686" s="51"/>
      <c r="J686" s="51"/>
      <c r="K686" s="52" t="str">
        <f aca="false">IF($A686&lt;&gt;"",$A686,"")</f>
        <v>Apprenant 674</v>
      </c>
      <c r="L686" s="53" t="str">
        <f aca="false">IF(AND($B686&lt;&gt;"",$C686&lt;&gt;""),$C686-$B686,"")</f>
        <v/>
      </c>
      <c r="M686" s="53" t="str">
        <f aca="false">IF(AND($B686&lt;&gt;"",$D686&lt;&gt;""),$D686-$B686,"")</f>
        <v/>
      </c>
      <c r="N686" s="53" t="str">
        <f aca="false">IF(AND($C686&lt;&gt;"",$D686&lt;&gt;""),$D686-$C686,"")</f>
        <v/>
      </c>
      <c r="O686" s="53" t="str">
        <f aca="false">IF($E686&lt;&gt;"",$E686,"")</f>
        <v/>
      </c>
      <c r="P686" s="52" t="str">
        <f aca="false">IF($F686&lt;&gt;"",$F686,"")</f>
        <v>Apprenant 674 ou 674'</v>
      </c>
      <c r="Q686" s="53" t="str">
        <f aca="false">IF(AND($G686&lt;&gt;"",$H686&lt;&gt;""),$H686-$G686,"")</f>
        <v/>
      </c>
      <c r="R686" s="53" t="str">
        <f aca="false">IF(AND($G686&lt;&gt;"",$I686&lt;&gt;""),$I686-$G686,"")</f>
        <v/>
      </c>
      <c r="S686" s="53" t="str">
        <f aca="false">IF(AND($H686&lt;&gt;"",$I686&lt;&gt;""),$I686-$H686,"")</f>
        <v/>
      </c>
      <c r="T686" s="53" t="str">
        <f aca="false">IF($J686&lt;&gt;"",$J686,"")</f>
        <v/>
      </c>
      <c r="V686" s="52" t="str">
        <f aca="false">IF($A686&lt;&gt;"",$A686,"")</f>
        <v>Apprenant 674</v>
      </c>
      <c r="W686" s="53" t="str">
        <f aca="false">IF(AND(OR('Choix pédagogiques'!$C$3=1,'Choix pédagogiques'!$C$3=2),$BM686=1),B686,IF(AND('Choix pédagogiques'!$C$3=3,$BO686=1),B686,""))</f>
        <v/>
      </c>
      <c r="X686" s="53" t="str">
        <f aca="false">IF(AND(OR('Choix pédagogiques'!$C$3=1,'Choix pédagogiques'!$C$3=2),$BM686=1),C686,IF(AND('Choix pédagogiques'!$C$3=3,$BO686=1),C686,""))</f>
        <v/>
      </c>
      <c r="Y686" s="53" t="str">
        <f aca="false">IF(AND(OR('Choix pédagogiques'!$C$3=1,'Choix pédagogiques'!$C$3=2),$BM686=1),D686,IF(AND('Choix pédagogiques'!$C$3=3,$BO686=1),D686,""))</f>
        <v/>
      </c>
      <c r="Z686" s="53" t="str">
        <f aca="false">IF($E686&lt;&gt;"",$E686,"")</f>
        <v/>
      </c>
      <c r="AA686" s="52" t="str">
        <f aca="false">IF($F686&lt;&gt;"",$F686,"")</f>
        <v>Apprenant 674 ou 674'</v>
      </c>
      <c r="AB686" s="53" t="str">
        <f aca="false">IF(AND(OR('Choix pédagogiques'!$C$3=1,'Choix pédagogiques'!$C$3=2),$BN686=1),G686,IF(AND('Choix pédagogiques'!$C$3=3,$BO686=1),G686,""))</f>
        <v/>
      </c>
      <c r="AC686" s="53" t="str">
        <f aca="false">IF(AND(OR('Choix pédagogiques'!$C$3=1,'Choix pédagogiques'!$C$3=2),$BN686=1),H686,IF(AND('Choix pédagogiques'!$C$3=3,$BO686=1),H686,""))</f>
        <v/>
      </c>
      <c r="AD686" s="53" t="str">
        <f aca="false">IF(AND(OR('Choix pédagogiques'!$C$3=1,'Choix pédagogiques'!$C$3=2),$BN686=1),I686,IF(AND('Choix pédagogiques'!$C$3=3,$BO686=1),I686,""))</f>
        <v/>
      </c>
      <c r="AE686" s="53" t="str">
        <f aca="false">IF($J686&lt;&gt;"",$J686,"")</f>
        <v/>
      </c>
      <c r="AF686" s="52" t="str">
        <f aca="false">IF($A686&lt;&gt;"",$A686,"")</f>
        <v>Apprenant 674</v>
      </c>
      <c r="AG686" s="53" t="str">
        <f aca="false">IF(AND($W686&lt;&gt;"",$X686&lt;&gt;""),$X686-$W686,"")</f>
        <v/>
      </c>
      <c r="AH686" s="53" t="str">
        <f aca="false">IF(AND($W686&lt;&gt;"",$Y686&lt;&gt;""),$Y686-$W686,"")</f>
        <v/>
      </c>
      <c r="AI686" s="53" t="str">
        <f aca="false">IF(AND($X686&lt;&gt;"",$Y686&lt;&gt;""),$Y686-$X686,"")</f>
        <v/>
      </c>
      <c r="AJ686" s="53" t="str">
        <f aca="false">IF($E686&lt;&gt;"",$E686,"")</f>
        <v/>
      </c>
      <c r="AK686" s="52" t="str">
        <f aca="false">IF($F686&lt;&gt;"",$F686,"")</f>
        <v>Apprenant 674 ou 674'</v>
      </c>
      <c r="AL686" s="53" t="str">
        <f aca="false">IF(AND($AB686&lt;&gt;"",$AC686&lt;&gt;""),$AC686-$AB686,"")</f>
        <v/>
      </c>
      <c r="AM686" s="53" t="str">
        <f aca="false">IF(AND($AB686&lt;&gt;"",$AD686&lt;&gt;""),$AD686-$AB686,"")</f>
        <v/>
      </c>
      <c r="AN686" s="53" t="str">
        <f aca="false">IF(AND($AC686&lt;&gt;"",$AD686&lt;&gt;""),$AD686-$AC686,"")</f>
        <v/>
      </c>
      <c r="AO686" s="53" t="str">
        <f aca="false">IF($J686&lt;&gt;"",$J686,"")</f>
        <v/>
      </c>
      <c r="AQ686" s="52" t="str">
        <f aca="false">IF($A686&lt;&gt;"",$A686,"")</f>
        <v>Apprenant 674</v>
      </c>
      <c r="AR686" s="55" t="str">
        <f aca="false">IF(AND('Choix pédagogiques'!$C$4&lt;&gt;"?",'Choix pédagogiques'!$C$5&lt;&gt;"?",W686&lt;&gt;""),(W686-'Choix pédagogiques'!$C$4)/('Choix pédagogiques'!$C$5-'Choix pédagogiques'!$C$4),"")</f>
        <v/>
      </c>
      <c r="AS686" s="55" t="str">
        <f aca="false">IF(AND('Choix pédagogiques'!$C$4&lt;&gt;"?",'Choix pédagogiques'!$C$5&lt;&gt;"?",X686&lt;&gt;""),(X686-'Choix pédagogiques'!$C$4)/('Choix pédagogiques'!$C$5-'Choix pédagogiques'!$C$4),"")</f>
        <v/>
      </c>
      <c r="AT686" s="55" t="str">
        <f aca="false">IF(AND('Choix pédagogiques'!$C$4&lt;&gt;"?",'Choix pédagogiques'!$C$5&lt;&gt;"?",Y686&lt;&gt;""),(Y686-'Choix pédagogiques'!$C$4)/('Choix pédagogiques'!$C$5-'Choix pédagogiques'!$C$4),"")</f>
        <v/>
      </c>
      <c r="AU686" s="53" t="str">
        <f aca="false">IF($E686&lt;&gt;"",$E686,"")</f>
        <v/>
      </c>
      <c r="AV686" s="52" t="str">
        <f aca="false">IF($F686&lt;&gt;"",$F686,"")</f>
        <v>Apprenant 674 ou 674'</v>
      </c>
      <c r="AW686" s="55" t="str">
        <f aca="false">IF(AND('Choix pédagogiques'!$C$4&lt;&gt;"?",'Choix pédagogiques'!$C$5&lt;&gt;"?",AB686&lt;&gt;""),(AB686-'Choix pédagogiques'!$C$4)/('Choix pédagogiques'!$C$5-'Choix pédagogiques'!$C$4),"")</f>
        <v/>
      </c>
      <c r="AX686" s="55" t="str">
        <f aca="false">IF(AND('Choix pédagogiques'!$C$4&lt;&gt;"?",'Choix pédagogiques'!$C$5&lt;&gt;"?",AC686&lt;&gt;""),(AC686-'Choix pédagogiques'!$C$4)/('Choix pédagogiques'!$C$5-'Choix pédagogiques'!$C$4),"")</f>
        <v/>
      </c>
      <c r="AY686" s="55" t="str">
        <f aca="false">IF(AND('Choix pédagogiques'!$C$4&lt;&gt;"?",'Choix pédagogiques'!$C$5&lt;&gt;"?",AD686&lt;&gt;""),(AD686-'Choix pédagogiques'!$C$4)/('Choix pédagogiques'!$C$5-'Choix pédagogiques'!$C$4),"")</f>
        <v/>
      </c>
      <c r="AZ686" s="53" t="str">
        <f aca="false">IF($J686&lt;&gt;"",$J686,"")</f>
        <v/>
      </c>
      <c r="BA686" s="52" t="str">
        <f aca="false">IF($A686&lt;&gt;"",$A686,"")</f>
        <v>Apprenant 674</v>
      </c>
      <c r="BB686" s="55" t="str">
        <f aca="false">IF(AND($AR686&lt;&gt;"",$AS686&lt;&gt;""),$AS686-$AR686,"")</f>
        <v/>
      </c>
      <c r="BC686" s="55" t="str">
        <f aca="false">IF(AND($AR686&lt;&gt;"",$AT686&lt;&gt;""),$AT686-$AR686,"")</f>
        <v/>
      </c>
      <c r="BD686" s="55" t="str">
        <f aca="false">IF(AND($AS686&lt;&gt;"",$AT686&lt;&gt;""),$AT686-$AS686,"")</f>
        <v/>
      </c>
      <c r="BE686" s="53" t="str">
        <f aca="false">IF($E686&lt;&gt;"",$E686,"")</f>
        <v/>
      </c>
      <c r="BF686" s="52" t="str">
        <f aca="false">IF($F686&lt;&gt;"",$F686,"")</f>
        <v>Apprenant 674 ou 674'</v>
      </c>
      <c r="BG686" s="55" t="str">
        <f aca="false">IF(AND($AW686&lt;&gt;"",$AX686&lt;&gt;""),$AX686-$AW686,"")</f>
        <v/>
      </c>
      <c r="BH686" s="55" t="str">
        <f aca="false">IF(AND($AW686&lt;&gt;"",$AY686&lt;&gt;""),$AY686-$AW686,"")</f>
        <v/>
      </c>
      <c r="BI686" s="55" t="str">
        <f aca="false">IF(AND($AX686&lt;&gt;"",$AY686&lt;&gt;""),$AY686-$AX686,"")</f>
        <v/>
      </c>
      <c r="BJ686" s="53" t="str">
        <f aca="false">IF($J686&lt;&gt;"",$J686,"")</f>
        <v/>
      </c>
      <c r="BL686" s="52"/>
      <c r="BM686" s="52" t="str">
        <f aca="false">IF(OR(COUNT(B686:D1685)=0,AND('Choix pédagogiques'!$C$3&lt;&gt;1,'Choix pédagogiques'!$C$3&lt;&gt;2)),"",IF(AND(OR('Choix pédagogiques'!$C$3=1,'Choix pédagogiques'!$C$3=2),$B686&lt;&gt;"",$C686&lt;&gt;"",$D686&lt;&gt;""),1,0))</f>
        <v/>
      </c>
      <c r="BN686" s="52" t="str">
        <f aca="false">IF(OR(COUNT(G686:I1685)=0,AND('Choix pédagogiques'!$C$3&lt;&gt;1,'Choix pédagogiques'!$C$3&lt;&gt;2)),"",IF(AND(OR('Choix pédagogiques'!$C$3=1,'Choix pédagogiques'!$C$3=2),AND($G686&lt;&gt;"",$H686&lt;&gt;"",$I686&lt;&gt;"")),1,0))</f>
        <v/>
      </c>
      <c r="BO686" s="52" t="str">
        <f aca="false">IF(OR(COUNT(B686:D1685)=0,COUNT(G686:I1685)=0,'Choix pédagogiques'!C$3&lt;&gt;3),"",IF(AND('Choix pédagogiques'!$C$3=3,$B686&lt;&gt;"",$C686&lt;&gt;"",$D686&lt;&gt;"",$G686&lt;&gt;"",$H686&lt;&gt;"",$I686&lt;&gt;""),1,0))</f>
        <v/>
      </c>
      <c r="BR686" s="52" t="n">
        <v>232</v>
      </c>
      <c r="BS686" s="52" t="n">
        <v>1993</v>
      </c>
    </row>
    <row r="687" s="54" customFormat="true" ht="18" hidden="false" customHeight="true" outlineLevel="0" collapsed="false">
      <c r="A687" s="57" t="s">
        <v>1305</v>
      </c>
      <c r="B687" s="51"/>
      <c r="C687" s="51"/>
      <c r="D687" s="51"/>
      <c r="E687" s="51"/>
      <c r="F687" s="57" t="s">
        <v>1306</v>
      </c>
      <c r="G687" s="51"/>
      <c r="H687" s="51"/>
      <c r="I687" s="51"/>
      <c r="J687" s="51"/>
      <c r="K687" s="52" t="str">
        <f aca="false">IF($A687&lt;&gt;"",$A687,"")</f>
        <v>Apprenant 675</v>
      </c>
      <c r="L687" s="53" t="str">
        <f aca="false">IF(AND($B687&lt;&gt;"",$C687&lt;&gt;""),$C687-$B687,"")</f>
        <v/>
      </c>
      <c r="M687" s="53" t="str">
        <f aca="false">IF(AND($B687&lt;&gt;"",$D687&lt;&gt;""),$D687-$B687,"")</f>
        <v/>
      </c>
      <c r="N687" s="53" t="str">
        <f aca="false">IF(AND($C687&lt;&gt;"",$D687&lt;&gt;""),$D687-$C687,"")</f>
        <v/>
      </c>
      <c r="O687" s="53" t="str">
        <f aca="false">IF($E687&lt;&gt;"",$E687,"")</f>
        <v/>
      </c>
      <c r="P687" s="52" t="str">
        <f aca="false">IF($F687&lt;&gt;"",$F687,"")</f>
        <v>Apprenant 675 ou 675'</v>
      </c>
      <c r="Q687" s="53" t="str">
        <f aca="false">IF(AND($G687&lt;&gt;"",$H687&lt;&gt;""),$H687-$G687,"")</f>
        <v/>
      </c>
      <c r="R687" s="53" t="str">
        <f aca="false">IF(AND($G687&lt;&gt;"",$I687&lt;&gt;""),$I687-$G687,"")</f>
        <v/>
      </c>
      <c r="S687" s="53" t="str">
        <f aca="false">IF(AND($H687&lt;&gt;"",$I687&lt;&gt;""),$I687-$H687,"")</f>
        <v/>
      </c>
      <c r="T687" s="53" t="str">
        <f aca="false">IF($J687&lt;&gt;"",$J687,"")</f>
        <v/>
      </c>
      <c r="V687" s="52" t="str">
        <f aca="false">IF($A687&lt;&gt;"",$A687,"")</f>
        <v>Apprenant 675</v>
      </c>
      <c r="W687" s="53" t="str">
        <f aca="false">IF(AND(OR('Choix pédagogiques'!$C$3=1,'Choix pédagogiques'!$C$3=2),$BM687=1),B687,IF(AND('Choix pédagogiques'!$C$3=3,$BO687=1),B687,""))</f>
        <v/>
      </c>
      <c r="X687" s="53" t="str">
        <f aca="false">IF(AND(OR('Choix pédagogiques'!$C$3=1,'Choix pédagogiques'!$C$3=2),$BM687=1),C687,IF(AND('Choix pédagogiques'!$C$3=3,$BO687=1),C687,""))</f>
        <v/>
      </c>
      <c r="Y687" s="53" t="str">
        <f aca="false">IF(AND(OR('Choix pédagogiques'!$C$3=1,'Choix pédagogiques'!$C$3=2),$BM687=1),D687,IF(AND('Choix pédagogiques'!$C$3=3,$BO687=1),D687,""))</f>
        <v/>
      </c>
      <c r="Z687" s="53" t="str">
        <f aca="false">IF($E687&lt;&gt;"",$E687,"")</f>
        <v/>
      </c>
      <c r="AA687" s="52" t="str">
        <f aca="false">IF($F687&lt;&gt;"",$F687,"")</f>
        <v>Apprenant 675 ou 675'</v>
      </c>
      <c r="AB687" s="53" t="str">
        <f aca="false">IF(AND(OR('Choix pédagogiques'!$C$3=1,'Choix pédagogiques'!$C$3=2),$BN687=1),G687,IF(AND('Choix pédagogiques'!$C$3=3,$BO687=1),G687,""))</f>
        <v/>
      </c>
      <c r="AC687" s="53" t="str">
        <f aca="false">IF(AND(OR('Choix pédagogiques'!$C$3=1,'Choix pédagogiques'!$C$3=2),$BN687=1),H687,IF(AND('Choix pédagogiques'!$C$3=3,$BO687=1),H687,""))</f>
        <v/>
      </c>
      <c r="AD687" s="53" t="str">
        <f aca="false">IF(AND(OR('Choix pédagogiques'!$C$3=1,'Choix pédagogiques'!$C$3=2),$BN687=1),I687,IF(AND('Choix pédagogiques'!$C$3=3,$BO687=1),I687,""))</f>
        <v/>
      </c>
      <c r="AE687" s="53" t="str">
        <f aca="false">IF($J687&lt;&gt;"",$J687,"")</f>
        <v/>
      </c>
      <c r="AF687" s="52" t="str">
        <f aca="false">IF($A687&lt;&gt;"",$A687,"")</f>
        <v>Apprenant 675</v>
      </c>
      <c r="AG687" s="53" t="str">
        <f aca="false">IF(AND($W687&lt;&gt;"",$X687&lt;&gt;""),$X687-$W687,"")</f>
        <v/>
      </c>
      <c r="AH687" s="53" t="str">
        <f aca="false">IF(AND($W687&lt;&gt;"",$Y687&lt;&gt;""),$Y687-$W687,"")</f>
        <v/>
      </c>
      <c r="AI687" s="53" t="str">
        <f aca="false">IF(AND($X687&lt;&gt;"",$Y687&lt;&gt;""),$Y687-$X687,"")</f>
        <v/>
      </c>
      <c r="AJ687" s="53" t="str">
        <f aca="false">IF($E687&lt;&gt;"",$E687,"")</f>
        <v/>
      </c>
      <c r="AK687" s="52" t="str">
        <f aca="false">IF($F687&lt;&gt;"",$F687,"")</f>
        <v>Apprenant 675 ou 675'</v>
      </c>
      <c r="AL687" s="53" t="str">
        <f aca="false">IF(AND($AB687&lt;&gt;"",$AC687&lt;&gt;""),$AC687-$AB687,"")</f>
        <v/>
      </c>
      <c r="AM687" s="53" t="str">
        <f aca="false">IF(AND($AB687&lt;&gt;"",$AD687&lt;&gt;""),$AD687-$AB687,"")</f>
        <v/>
      </c>
      <c r="AN687" s="53" t="str">
        <f aca="false">IF(AND($AC687&lt;&gt;"",$AD687&lt;&gt;""),$AD687-$AC687,"")</f>
        <v/>
      </c>
      <c r="AO687" s="53" t="str">
        <f aca="false">IF($J687&lt;&gt;"",$J687,"")</f>
        <v/>
      </c>
      <c r="AQ687" s="52" t="str">
        <f aca="false">IF($A687&lt;&gt;"",$A687,"")</f>
        <v>Apprenant 675</v>
      </c>
      <c r="AR687" s="55" t="str">
        <f aca="false">IF(AND('Choix pédagogiques'!$C$4&lt;&gt;"?",'Choix pédagogiques'!$C$5&lt;&gt;"?",W687&lt;&gt;""),(W687-'Choix pédagogiques'!$C$4)/('Choix pédagogiques'!$C$5-'Choix pédagogiques'!$C$4),"")</f>
        <v/>
      </c>
      <c r="AS687" s="55" t="str">
        <f aca="false">IF(AND('Choix pédagogiques'!$C$4&lt;&gt;"?",'Choix pédagogiques'!$C$5&lt;&gt;"?",X687&lt;&gt;""),(X687-'Choix pédagogiques'!$C$4)/('Choix pédagogiques'!$C$5-'Choix pédagogiques'!$C$4),"")</f>
        <v/>
      </c>
      <c r="AT687" s="55" t="str">
        <f aca="false">IF(AND('Choix pédagogiques'!$C$4&lt;&gt;"?",'Choix pédagogiques'!$C$5&lt;&gt;"?",Y687&lt;&gt;""),(Y687-'Choix pédagogiques'!$C$4)/('Choix pédagogiques'!$C$5-'Choix pédagogiques'!$C$4),"")</f>
        <v/>
      </c>
      <c r="AU687" s="53" t="str">
        <f aca="false">IF($E687&lt;&gt;"",$E687,"")</f>
        <v/>
      </c>
      <c r="AV687" s="52" t="str">
        <f aca="false">IF($F687&lt;&gt;"",$F687,"")</f>
        <v>Apprenant 675 ou 675'</v>
      </c>
      <c r="AW687" s="55" t="str">
        <f aca="false">IF(AND('Choix pédagogiques'!$C$4&lt;&gt;"?",'Choix pédagogiques'!$C$5&lt;&gt;"?",AB687&lt;&gt;""),(AB687-'Choix pédagogiques'!$C$4)/('Choix pédagogiques'!$C$5-'Choix pédagogiques'!$C$4),"")</f>
        <v/>
      </c>
      <c r="AX687" s="55" t="str">
        <f aca="false">IF(AND('Choix pédagogiques'!$C$4&lt;&gt;"?",'Choix pédagogiques'!$C$5&lt;&gt;"?",AC687&lt;&gt;""),(AC687-'Choix pédagogiques'!$C$4)/('Choix pédagogiques'!$C$5-'Choix pédagogiques'!$C$4),"")</f>
        <v/>
      </c>
      <c r="AY687" s="55" t="str">
        <f aca="false">IF(AND('Choix pédagogiques'!$C$4&lt;&gt;"?",'Choix pédagogiques'!$C$5&lt;&gt;"?",AD687&lt;&gt;""),(AD687-'Choix pédagogiques'!$C$4)/('Choix pédagogiques'!$C$5-'Choix pédagogiques'!$C$4),"")</f>
        <v/>
      </c>
      <c r="AZ687" s="53" t="str">
        <f aca="false">IF($J687&lt;&gt;"",$J687,"")</f>
        <v/>
      </c>
      <c r="BA687" s="52" t="str">
        <f aca="false">IF($A687&lt;&gt;"",$A687,"")</f>
        <v>Apprenant 675</v>
      </c>
      <c r="BB687" s="55" t="str">
        <f aca="false">IF(AND($AR687&lt;&gt;"",$AS687&lt;&gt;""),$AS687-$AR687,"")</f>
        <v/>
      </c>
      <c r="BC687" s="55" t="str">
        <f aca="false">IF(AND($AR687&lt;&gt;"",$AT687&lt;&gt;""),$AT687-$AR687,"")</f>
        <v/>
      </c>
      <c r="BD687" s="55" t="str">
        <f aca="false">IF(AND($AS687&lt;&gt;"",$AT687&lt;&gt;""),$AT687-$AS687,"")</f>
        <v/>
      </c>
      <c r="BE687" s="53" t="str">
        <f aca="false">IF($E687&lt;&gt;"",$E687,"")</f>
        <v/>
      </c>
      <c r="BF687" s="52" t="str">
        <f aca="false">IF($F687&lt;&gt;"",$F687,"")</f>
        <v>Apprenant 675 ou 675'</v>
      </c>
      <c r="BG687" s="55" t="str">
        <f aca="false">IF(AND($AW687&lt;&gt;"",$AX687&lt;&gt;""),$AX687-$AW687,"")</f>
        <v/>
      </c>
      <c r="BH687" s="55" t="str">
        <f aca="false">IF(AND($AW687&lt;&gt;"",$AY687&lt;&gt;""),$AY687-$AW687,"")</f>
        <v/>
      </c>
      <c r="BI687" s="55" t="str">
        <f aca="false">IF(AND($AX687&lt;&gt;"",$AY687&lt;&gt;""),$AY687-$AX687,"")</f>
        <v/>
      </c>
      <c r="BJ687" s="53" t="str">
        <f aca="false">IF($J687&lt;&gt;"",$J687,"")</f>
        <v/>
      </c>
      <c r="BL687" s="52"/>
      <c r="BM687" s="52" t="str">
        <f aca="false">IF(OR(COUNT(B687:D1686)=0,AND('Choix pédagogiques'!$C$3&lt;&gt;1,'Choix pédagogiques'!$C$3&lt;&gt;2)),"",IF(AND(OR('Choix pédagogiques'!$C$3=1,'Choix pédagogiques'!$C$3=2),$B687&lt;&gt;"",$C687&lt;&gt;"",$D687&lt;&gt;""),1,0))</f>
        <v/>
      </c>
      <c r="BN687" s="52" t="str">
        <f aca="false">IF(OR(COUNT(G687:I1686)=0,AND('Choix pédagogiques'!$C$3&lt;&gt;1,'Choix pédagogiques'!$C$3&lt;&gt;2)),"",IF(AND(OR('Choix pédagogiques'!$C$3=1,'Choix pédagogiques'!$C$3=2),AND($G687&lt;&gt;"",$H687&lt;&gt;"",$I687&lt;&gt;"")),1,0))</f>
        <v/>
      </c>
      <c r="BO687" s="52" t="str">
        <f aca="false">IF(OR(COUNT(B687:D1686)=0,COUNT(G687:I1686)=0,'Choix pédagogiques'!C$3&lt;&gt;3),"",IF(AND('Choix pédagogiques'!$C$3=3,$B687&lt;&gt;"",$C687&lt;&gt;"",$D687&lt;&gt;"",$G687&lt;&gt;"",$H687&lt;&gt;"",$I687&lt;&gt;""),1,0))</f>
        <v/>
      </c>
      <c r="BR687" s="52" t="n">
        <v>122</v>
      </c>
      <c r="BS687" s="52" t="n">
        <v>1208</v>
      </c>
    </row>
    <row r="688" s="54" customFormat="true" ht="18" hidden="false" customHeight="true" outlineLevel="0" collapsed="false">
      <c r="A688" s="57" t="s">
        <v>1307</v>
      </c>
      <c r="B688" s="51"/>
      <c r="C688" s="51"/>
      <c r="D688" s="51"/>
      <c r="E688" s="51"/>
      <c r="F688" s="57" t="s">
        <v>1308</v>
      </c>
      <c r="G688" s="51"/>
      <c r="H688" s="51"/>
      <c r="I688" s="51"/>
      <c r="J688" s="51"/>
      <c r="K688" s="52" t="str">
        <f aca="false">IF($A688&lt;&gt;"",$A688,"")</f>
        <v>Apprenant 676</v>
      </c>
      <c r="L688" s="53" t="str">
        <f aca="false">IF(AND($B688&lt;&gt;"",$C688&lt;&gt;""),$C688-$B688,"")</f>
        <v/>
      </c>
      <c r="M688" s="53" t="str">
        <f aca="false">IF(AND($B688&lt;&gt;"",$D688&lt;&gt;""),$D688-$B688,"")</f>
        <v/>
      </c>
      <c r="N688" s="53" t="str">
        <f aca="false">IF(AND($C688&lt;&gt;"",$D688&lt;&gt;""),$D688-$C688,"")</f>
        <v/>
      </c>
      <c r="O688" s="53" t="str">
        <f aca="false">IF($E688&lt;&gt;"",$E688,"")</f>
        <v/>
      </c>
      <c r="P688" s="52" t="str">
        <f aca="false">IF($F688&lt;&gt;"",$F688,"")</f>
        <v>Apprenant 676 ou 676'</v>
      </c>
      <c r="Q688" s="53" t="str">
        <f aca="false">IF(AND($G688&lt;&gt;"",$H688&lt;&gt;""),$H688-$G688,"")</f>
        <v/>
      </c>
      <c r="R688" s="53" t="str">
        <f aca="false">IF(AND($G688&lt;&gt;"",$I688&lt;&gt;""),$I688-$G688,"")</f>
        <v/>
      </c>
      <c r="S688" s="53" t="str">
        <f aca="false">IF(AND($H688&lt;&gt;"",$I688&lt;&gt;""),$I688-$H688,"")</f>
        <v/>
      </c>
      <c r="T688" s="53" t="str">
        <f aca="false">IF($J688&lt;&gt;"",$J688,"")</f>
        <v/>
      </c>
      <c r="V688" s="52" t="str">
        <f aca="false">IF($A688&lt;&gt;"",$A688,"")</f>
        <v>Apprenant 676</v>
      </c>
      <c r="W688" s="53" t="str">
        <f aca="false">IF(AND(OR('Choix pédagogiques'!$C$3=1,'Choix pédagogiques'!$C$3=2),$BM688=1),B688,IF(AND('Choix pédagogiques'!$C$3=3,$BO688=1),B688,""))</f>
        <v/>
      </c>
      <c r="X688" s="53" t="str">
        <f aca="false">IF(AND(OR('Choix pédagogiques'!$C$3=1,'Choix pédagogiques'!$C$3=2),$BM688=1),C688,IF(AND('Choix pédagogiques'!$C$3=3,$BO688=1),C688,""))</f>
        <v/>
      </c>
      <c r="Y688" s="53" t="str">
        <f aca="false">IF(AND(OR('Choix pédagogiques'!$C$3=1,'Choix pédagogiques'!$C$3=2),$BM688=1),D688,IF(AND('Choix pédagogiques'!$C$3=3,$BO688=1),D688,""))</f>
        <v/>
      </c>
      <c r="Z688" s="53" t="str">
        <f aca="false">IF($E688&lt;&gt;"",$E688,"")</f>
        <v/>
      </c>
      <c r="AA688" s="52" t="str">
        <f aca="false">IF($F688&lt;&gt;"",$F688,"")</f>
        <v>Apprenant 676 ou 676'</v>
      </c>
      <c r="AB688" s="53" t="str">
        <f aca="false">IF(AND(OR('Choix pédagogiques'!$C$3=1,'Choix pédagogiques'!$C$3=2),$BN688=1),G688,IF(AND('Choix pédagogiques'!$C$3=3,$BO688=1),G688,""))</f>
        <v/>
      </c>
      <c r="AC688" s="53" t="str">
        <f aca="false">IF(AND(OR('Choix pédagogiques'!$C$3=1,'Choix pédagogiques'!$C$3=2),$BN688=1),H688,IF(AND('Choix pédagogiques'!$C$3=3,$BO688=1),H688,""))</f>
        <v/>
      </c>
      <c r="AD688" s="53" t="str">
        <f aca="false">IF(AND(OR('Choix pédagogiques'!$C$3=1,'Choix pédagogiques'!$C$3=2),$BN688=1),I688,IF(AND('Choix pédagogiques'!$C$3=3,$BO688=1),I688,""))</f>
        <v/>
      </c>
      <c r="AE688" s="53" t="str">
        <f aca="false">IF($J688&lt;&gt;"",$J688,"")</f>
        <v/>
      </c>
      <c r="AF688" s="52" t="str">
        <f aca="false">IF($A688&lt;&gt;"",$A688,"")</f>
        <v>Apprenant 676</v>
      </c>
      <c r="AG688" s="53" t="str">
        <f aca="false">IF(AND($W688&lt;&gt;"",$X688&lt;&gt;""),$X688-$W688,"")</f>
        <v/>
      </c>
      <c r="AH688" s="53" t="str">
        <f aca="false">IF(AND($W688&lt;&gt;"",$Y688&lt;&gt;""),$Y688-$W688,"")</f>
        <v/>
      </c>
      <c r="AI688" s="53" t="str">
        <f aca="false">IF(AND($X688&lt;&gt;"",$Y688&lt;&gt;""),$Y688-$X688,"")</f>
        <v/>
      </c>
      <c r="AJ688" s="53" t="str">
        <f aca="false">IF($E688&lt;&gt;"",$E688,"")</f>
        <v/>
      </c>
      <c r="AK688" s="52" t="str">
        <f aca="false">IF($F688&lt;&gt;"",$F688,"")</f>
        <v>Apprenant 676 ou 676'</v>
      </c>
      <c r="AL688" s="53" t="str">
        <f aca="false">IF(AND($AB688&lt;&gt;"",$AC688&lt;&gt;""),$AC688-$AB688,"")</f>
        <v/>
      </c>
      <c r="AM688" s="53" t="str">
        <f aca="false">IF(AND($AB688&lt;&gt;"",$AD688&lt;&gt;""),$AD688-$AB688,"")</f>
        <v/>
      </c>
      <c r="AN688" s="53" t="str">
        <f aca="false">IF(AND($AC688&lt;&gt;"",$AD688&lt;&gt;""),$AD688-$AC688,"")</f>
        <v/>
      </c>
      <c r="AO688" s="53" t="str">
        <f aca="false">IF($J688&lt;&gt;"",$J688,"")</f>
        <v/>
      </c>
      <c r="AQ688" s="52" t="str">
        <f aca="false">IF($A688&lt;&gt;"",$A688,"")</f>
        <v>Apprenant 676</v>
      </c>
      <c r="AR688" s="55" t="str">
        <f aca="false">IF(AND('Choix pédagogiques'!$C$4&lt;&gt;"?",'Choix pédagogiques'!$C$5&lt;&gt;"?",W688&lt;&gt;""),(W688-'Choix pédagogiques'!$C$4)/('Choix pédagogiques'!$C$5-'Choix pédagogiques'!$C$4),"")</f>
        <v/>
      </c>
      <c r="AS688" s="55" t="str">
        <f aca="false">IF(AND('Choix pédagogiques'!$C$4&lt;&gt;"?",'Choix pédagogiques'!$C$5&lt;&gt;"?",X688&lt;&gt;""),(X688-'Choix pédagogiques'!$C$4)/('Choix pédagogiques'!$C$5-'Choix pédagogiques'!$C$4),"")</f>
        <v/>
      </c>
      <c r="AT688" s="55" t="str">
        <f aca="false">IF(AND('Choix pédagogiques'!$C$4&lt;&gt;"?",'Choix pédagogiques'!$C$5&lt;&gt;"?",Y688&lt;&gt;""),(Y688-'Choix pédagogiques'!$C$4)/('Choix pédagogiques'!$C$5-'Choix pédagogiques'!$C$4),"")</f>
        <v/>
      </c>
      <c r="AU688" s="53" t="str">
        <f aca="false">IF($E688&lt;&gt;"",$E688,"")</f>
        <v/>
      </c>
      <c r="AV688" s="52" t="str">
        <f aca="false">IF($F688&lt;&gt;"",$F688,"")</f>
        <v>Apprenant 676 ou 676'</v>
      </c>
      <c r="AW688" s="55" t="str">
        <f aca="false">IF(AND('Choix pédagogiques'!$C$4&lt;&gt;"?",'Choix pédagogiques'!$C$5&lt;&gt;"?",AB688&lt;&gt;""),(AB688-'Choix pédagogiques'!$C$4)/('Choix pédagogiques'!$C$5-'Choix pédagogiques'!$C$4),"")</f>
        <v/>
      </c>
      <c r="AX688" s="55" t="str">
        <f aca="false">IF(AND('Choix pédagogiques'!$C$4&lt;&gt;"?",'Choix pédagogiques'!$C$5&lt;&gt;"?",AC688&lt;&gt;""),(AC688-'Choix pédagogiques'!$C$4)/('Choix pédagogiques'!$C$5-'Choix pédagogiques'!$C$4),"")</f>
        <v/>
      </c>
      <c r="AY688" s="55" t="str">
        <f aca="false">IF(AND('Choix pédagogiques'!$C$4&lt;&gt;"?",'Choix pédagogiques'!$C$5&lt;&gt;"?",AD688&lt;&gt;""),(AD688-'Choix pédagogiques'!$C$4)/('Choix pédagogiques'!$C$5-'Choix pédagogiques'!$C$4),"")</f>
        <v/>
      </c>
      <c r="AZ688" s="53" t="str">
        <f aca="false">IF($J688&lt;&gt;"",$J688,"")</f>
        <v/>
      </c>
      <c r="BA688" s="52" t="str">
        <f aca="false">IF($A688&lt;&gt;"",$A688,"")</f>
        <v>Apprenant 676</v>
      </c>
      <c r="BB688" s="55" t="str">
        <f aca="false">IF(AND($AR688&lt;&gt;"",$AS688&lt;&gt;""),$AS688-$AR688,"")</f>
        <v/>
      </c>
      <c r="BC688" s="55" t="str">
        <f aca="false">IF(AND($AR688&lt;&gt;"",$AT688&lt;&gt;""),$AT688-$AR688,"")</f>
        <v/>
      </c>
      <c r="BD688" s="55" t="str">
        <f aca="false">IF(AND($AS688&lt;&gt;"",$AT688&lt;&gt;""),$AT688-$AS688,"")</f>
        <v/>
      </c>
      <c r="BE688" s="53" t="str">
        <f aca="false">IF($E688&lt;&gt;"",$E688,"")</f>
        <v/>
      </c>
      <c r="BF688" s="52" t="str">
        <f aca="false">IF($F688&lt;&gt;"",$F688,"")</f>
        <v>Apprenant 676 ou 676'</v>
      </c>
      <c r="BG688" s="55" t="str">
        <f aca="false">IF(AND($AW688&lt;&gt;"",$AX688&lt;&gt;""),$AX688-$AW688,"")</f>
        <v/>
      </c>
      <c r="BH688" s="55" t="str">
        <f aca="false">IF(AND($AW688&lt;&gt;"",$AY688&lt;&gt;""),$AY688-$AW688,"")</f>
        <v/>
      </c>
      <c r="BI688" s="55" t="str">
        <f aca="false">IF(AND($AX688&lt;&gt;"",$AY688&lt;&gt;""),$AY688-$AX688,"")</f>
        <v/>
      </c>
      <c r="BJ688" s="53" t="str">
        <f aca="false">IF($J688&lt;&gt;"",$J688,"")</f>
        <v/>
      </c>
      <c r="BL688" s="52"/>
      <c r="BM688" s="52" t="str">
        <f aca="false">IF(OR(COUNT(B688:D1687)=0,AND('Choix pédagogiques'!$C$3&lt;&gt;1,'Choix pédagogiques'!$C$3&lt;&gt;2)),"",IF(AND(OR('Choix pédagogiques'!$C$3=1,'Choix pédagogiques'!$C$3=2),$B688&lt;&gt;"",$C688&lt;&gt;"",$D688&lt;&gt;""),1,0))</f>
        <v/>
      </c>
      <c r="BN688" s="52" t="str">
        <f aca="false">IF(OR(COUNT(G688:I1687)=0,AND('Choix pédagogiques'!$C$3&lt;&gt;1,'Choix pédagogiques'!$C$3&lt;&gt;2)),"",IF(AND(OR('Choix pédagogiques'!$C$3=1,'Choix pédagogiques'!$C$3=2),AND($G688&lt;&gt;"",$H688&lt;&gt;"",$I688&lt;&gt;"")),1,0))</f>
        <v/>
      </c>
      <c r="BO688" s="52" t="str">
        <f aca="false">IF(OR(COUNT(B688:D1687)=0,COUNT(G688:I1687)=0,'Choix pédagogiques'!C$3&lt;&gt;3),"",IF(AND('Choix pédagogiques'!$C$3=3,$B688&lt;&gt;"",$C688&lt;&gt;"",$D688&lt;&gt;"",$G688&lt;&gt;"",$H688&lt;&gt;"",$I688&lt;&gt;""),1,0))</f>
        <v/>
      </c>
      <c r="BR688" s="52" t="n">
        <v>708</v>
      </c>
      <c r="BS688" s="52" t="n">
        <v>1771</v>
      </c>
    </row>
    <row r="689" s="54" customFormat="true" ht="18" hidden="false" customHeight="true" outlineLevel="0" collapsed="false">
      <c r="A689" s="57" t="s">
        <v>1309</v>
      </c>
      <c r="B689" s="51"/>
      <c r="C689" s="51"/>
      <c r="D689" s="51"/>
      <c r="E689" s="51"/>
      <c r="F689" s="57" t="s">
        <v>1310</v>
      </c>
      <c r="G689" s="51"/>
      <c r="H689" s="51"/>
      <c r="I689" s="51"/>
      <c r="J689" s="51"/>
      <c r="K689" s="52" t="str">
        <f aca="false">IF($A689&lt;&gt;"",$A689,"")</f>
        <v>Apprenant 677</v>
      </c>
      <c r="L689" s="53" t="str">
        <f aca="false">IF(AND($B689&lt;&gt;"",$C689&lt;&gt;""),$C689-$B689,"")</f>
        <v/>
      </c>
      <c r="M689" s="53" t="str">
        <f aca="false">IF(AND($B689&lt;&gt;"",$D689&lt;&gt;""),$D689-$B689,"")</f>
        <v/>
      </c>
      <c r="N689" s="53" t="str">
        <f aca="false">IF(AND($C689&lt;&gt;"",$D689&lt;&gt;""),$D689-$C689,"")</f>
        <v/>
      </c>
      <c r="O689" s="53" t="str">
        <f aca="false">IF($E689&lt;&gt;"",$E689,"")</f>
        <v/>
      </c>
      <c r="P689" s="52" t="str">
        <f aca="false">IF($F689&lt;&gt;"",$F689,"")</f>
        <v>Apprenant 677 ou 677'</v>
      </c>
      <c r="Q689" s="53" t="str">
        <f aca="false">IF(AND($G689&lt;&gt;"",$H689&lt;&gt;""),$H689-$G689,"")</f>
        <v/>
      </c>
      <c r="R689" s="53" t="str">
        <f aca="false">IF(AND($G689&lt;&gt;"",$I689&lt;&gt;""),$I689-$G689,"")</f>
        <v/>
      </c>
      <c r="S689" s="53" t="str">
        <f aca="false">IF(AND($H689&lt;&gt;"",$I689&lt;&gt;""),$I689-$H689,"")</f>
        <v/>
      </c>
      <c r="T689" s="53" t="str">
        <f aca="false">IF($J689&lt;&gt;"",$J689,"")</f>
        <v/>
      </c>
      <c r="V689" s="52" t="str">
        <f aca="false">IF($A689&lt;&gt;"",$A689,"")</f>
        <v>Apprenant 677</v>
      </c>
      <c r="W689" s="53" t="str">
        <f aca="false">IF(AND(OR('Choix pédagogiques'!$C$3=1,'Choix pédagogiques'!$C$3=2),$BM689=1),B689,IF(AND('Choix pédagogiques'!$C$3=3,$BO689=1),B689,""))</f>
        <v/>
      </c>
      <c r="X689" s="53" t="str">
        <f aca="false">IF(AND(OR('Choix pédagogiques'!$C$3=1,'Choix pédagogiques'!$C$3=2),$BM689=1),C689,IF(AND('Choix pédagogiques'!$C$3=3,$BO689=1),C689,""))</f>
        <v/>
      </c>
      <c r="Y689" s="53" t="str">
        <f aca="false">IF(AND(OR('Choix pédagogiques'!$C$3=1,'Choix pédagogiques'!$C$3=2),$BM689=1),D689,IF(AND('Choix pédagogiques'!$C$3=3,$BO689=1),D689,""))</f>
        <v/>
      </c>
      <c r="Z689" s="53" t="str">
        <f aca="false">IF($E689&lt;&gt;"",$E689,"")</f>
        <v/>
      </c>
      <c r="AA689" s="52" t="str">
        <f aca="false">IF($F689&lt;&gt;"",$F689,"")</f>
        <v>Apprenant 677 ou 677'</v>
      </c>
      <c r="AB689" s="53" t="str">
        <f aca="false">IF(AND(OR('Choix pédagogiques'!$C$3=1,'Choix pédagogiques'!$C$3=2),$BN689=1),G689,IF(AND('Choix pédagogiques'!$C$3=3,$BO689=1),G689,""))</f>
        <v/>
      </c>
      <c r="AC689" s="53" t="str">
        <f aca="false">IF(AND(OR('Choix pédagogiques'!$C$3=1,'Choix pédagogiques'!$C$3=2),$BN689=1),H689,IF(AND('Choix pédagogiques'!$C$3=3,$BO689=1),H689,""))</f>
        <v/>
      </c>
      <c r="AD689" s="53" t="str">
        <f aca="false">IF(AND(OR('Choix pédagogiques'!$C$3=1,'Choix pédagogiques'!$C$3=2),$BN689=1),I689,IF(AND('Choix pédagogiques'!$C$3=3,$BO689=1),I689,""))</f>
        <v/>
      </c>
      <c r="AE689" s="53" t="str">
        <f aca="false">IF($J689&lt;&gt;"",$J689,"")</f>
        <v/>
      </c>
      <c r="AF689" s="52" t="str">
        <f aca="false">IF($A689&lt;&gt;"",$A689,"")</f>
        <v>Apprenant 677</v>
      </c>
      <c r="AG689" s="53" t="str">
        <f aca="false">IF(AND($W689&lt;&gt;"",$X689&lt;&gt;""),$X689-$W689,"")</f>
        <v/>
      </c>
      <c r="AH689" s="53" t="str">
        <f aca="false">IF(AND($W689&lt;&gt;"",$Y689&lt;&gt;""),$Y689-$W689,"")</f>
        <v/>
      </c>
      <c r="AI689" s="53" t="str">
        <f aca="false">IF(AND($X689&lt;&gt;"",$Y689&lt;&gt;""),$Y689-$X689,"")</f>
        <v/>
      </c>
      <c r="AJ689" s="53" t="str">
        <f aca="false">IF($E689&lt;&gt;"",$E689,"")</f>
        <v/>
      </c>
      <c r="AK689" s="52" t="str">
        <f aca="false">IF($F689&lt;&gt;"",$F689,"")</f>
        <v>Apprenant 677 ou 677'</v>
      </c>
      <c r="AL689" s="53" t="str">
        <f aca="false">IF(AND($AB689&lt;&gt;"",$AC689&lt;&gt;""),$AC689-$AB689,"")</f>
        <v/>
      </c>
      <c r="AM689" s="53" t="str">
        <f aca="false">IF(AND($AB689&lt;&gt;"",$AD689&lt;&gt;""),$AD689-$AB689,"")</f>
        <v/>
      </c>
      <c r="AN689" s="53" t="str">
        <f aca="false">IF(AND($AC689&lt;&gt;"",$AD689&lt;&gt;""),$AD689-$AC689,"")</f>
        <v/>
      </c>
      <c r="AO689" s="53" t="str">
        <f aca="false">IF($J689&lt;&gt;"",$J689,"")</f>
        <v/>
      </c>
      <c r="AQ689" s="52" t="str">
        <f aca="false">IF($A689&lt;&gt;"",$A689,"")</f>
        <v>Apprenant 677</v>
      </c>
      <c r="AR689" s="55" t="str">
        <f aca="false">IF(AND('Choix pédagogiques'!$C$4&lt;&gt;"?",'Choix pédagogiques'!$C$5&lt;&gt;"?",W689&lt;&gt;""),(W689-'Choix pédagogiques'!$C$4)/('Choix pédagogiques'!$C$5-'Choix pédagogiques'!$C$4),"")</f>
        <v/>
      </c>
      <c r="AS689" s="55" t="str">
        <f aca="false">IF(AND('Choix pédagogiques'!$C$4&lt;&gt;"?",'Choix pédagogiques'!$C$5&lt;&gt;"?",X689&lt;&gt;""),(X689-'Choix pédagogiques'!$C$4)/('Choix pédagogiques'!$C$5-'Choix pédagogiques'!$C$4),"")</f>
        <v/>
      </c>
      <c r="AT689" s="55" t="str">
        <f aca="false">IF(AND('Choix pédagogiques'!$C$4&lt;&gt;"?",'Choix pédagogiques'!$C$5&lt;&gt;"?",Y689&lt;&gt;""),(Y689-'Choix pédagogiques'!$C$4)/('Choix pédagogiques'!$C$5-'Choix pédagogiques'!$C$4),"")</f>
        <v/>
      </c>
      <c r="AU689" s="53" t="str">
        <f aca="false">IF($E689&lt;&gt;"",$E689,"")</f>
        <v/>
      </c>
      <c r="AV689" s="52" t="str">
        <f aca="false">IF($F689&lt;&gt;"",$F689,"")</f>
        <v>Apprenant 677 ou 677'</v>
      </c>
      <c r="AW689" s="55" t="str">
        <f aca="false">IF(AND('Choix pédagogiques'!$C$4&lt;&gt;"?",'Choix pédagogiques'!$C$5&lt;&gt;"?",AB689&lt;&gt;""),(AB689-'Choix pédagogiques'!$C$4)/('Choix pédagogiques'!$C$5-'Choix pédagogiques'!$C$4),"")</f>
        <v/>
      </c>
      <c r="AX689" s="55" t="str">
        <f aca="false">IF(AND('Choix pédagogiques'!$C$4&lt;&gt;"?",'Choix pédagogiques'!$C$5&lt;&gt;"?",AC689&lt;&gt;""),(AC689-'Choix pédagogiques'!$C$4)/('Choix pédagogiques'!$C$5-'Choix pédagogiques'!$C$4),"")</f>
        <v/>
      </c>
      <c r="AY689" s="55" t="str">
        <f aca="false">IF(AND('Choix pédagogiques'!$C$4&lt;&gt;"?",'Choix pédagogiques'!$C$5&lt;&gt;"?",AD689&lt;&gt;""),(AD689-'Choix pédagogiques'!$C$4)/('Choix pédagogiques'!$C$5-'Choix pédagogiques'!$C$4),"")</f>
        <v/>
      </c>
      <c r="AZ689" s="53" t="str">
        <f aca="false">IF($J689&lt;&gt;"",$J689,"")</f>
        <v/>
      </c>
      <c r="BA689" s="52" t="str">
        <f aca="false">IF($A689&lt;&gt;"",$A689,"")</f>
        <v>Apprenant 677</v>
      </c>
      <c r="BB689" s="55" t="str">
        <f aca="false">IF(AND($AR689&lt;&gt;"",$AS689&lt;&gt;""),$AS689-$AR689,"")</f>
        <v/>
      </c>
      <c r="BC689" s="55" t="str">
        <f aca="false">IF(AND($AR689&lt;&gt;"",$AT689&lt;&gt;""),$AT689-$AR689,"")</f>
        <v/>
      </c>
      <c r="BD689" s="55" t="str">
        <f aca="false">IF(AND($AS689&lt;&gt;"",$AT689&lt;&gt;""),$AT689-$AS689,"")</f>
        <v/>
      </c>
      <c r="BE689" s="53" t="str">
        <f aca="false">IF($E689&lt;&gt;"",$E689,"")</f>
        <v/>
      </c>
      <c r="BF689" s="52" t="str">
        <f aca="false">IF($F689&lt;&gt;"",$F689,"")</f>
        <v>Apprenant 677 ou 677'</v>
      </c>
      <c r="BG689" s="55" t="str">
        <f aca="false">IF(AND($AW689&lt;&gt;"",$AX689&lt;&gt;""),$AX689-$AW689,"")</f>
        <v/>
      </c>
      <c r="BH689" s="55" t="str">
        <f aca="false">IF(AND($AW689&lt;&gt;"",$AY689&lt;&gt;""),$AY689-$AW689,"")</f>
        <v/>
      </c>
      <c r="BI689" s="55" t="str">
        <f aca="false">IF(AND($AX689&lt;&gt;"",$AY689&lt;&gt;""),$AY689-$AX689,"")</f>
        <v/>
      </c>
      <c r="BJ689" s="53" t="str">
        <f aca="false">IF($J689&lt;&gt;"",$J689,"")</f>
        <v/>
      </c>
      <c r="BL689" s="52"/>
      <c r="BM689" s="52" t="str">
        <f aca="false">IF(OR(COUNT(B689:D1688)=0,AND('Choix pédagogiques'!$C$3&lt;&gt;1,'Choix pédagogiques'!$C$3&lt;&gt;2)),"",IF(AND(OR('Choix pédagogiques'!$C$3=1,'Choix pédagogiques'!$C$3=2),$B689&lt;&gt;"",$C689&lt;&gt;"",$D689&lt;&gt;""),1,0))</f>
        <v/>
      </c>
      <c r="BN689" s="52" t="str">
        <f aca="false">IF(OR(COUNT(G689:I1688)=0,AND('Choix pédagogiques'!$C$3&lt;&gt;1,'Choix pédagogiques'!$C$3&lt;&gt;2)),"",IF(AND(OR('Choix pédagogiques'!$C$3=1,'Choix pédagogiques'!$C$3=2),AND($G689&lt;&gt;"",$H689&lt;&gt;"",$I689&lt;&gt;"")),1,0))</f>
        <v/>
      </c>
      <c r="BO689" s="52" t="str">
        <f aca="false">IF(OR(COUNT(B689:D1688)=0,COUNT(G689:I1688)=0,'Choix pédagogiques'!C$3&lt;&gt;3),"",IF(AND('Choix pédagogiques'!$C$3=3,$B689&lt;&gt;"",$C689&lt;&gt;"",$D689&lt;&gt;"",$G689&lt;&gt;"",$H689&lt;&gt;"",$I689&lt;&gt;""),1,0))</f>
        <v/>
      </c>
      <c r="BR689" s="52" t="n">
        <v>4</v>
      </c>
      <c r="BS689" s="52" t="n">
        <v>1242</v>
      </c>
    </row>
    <row r="690" s="54" customFormat="true" ht="18" hidden="false" customHeight="true" outlineLevel="0" collapsed="false">
      <c r="A690" s="57" t="s">
        <v>1311</v>
      </c>
      <c r="B690" s="51"/>
      <c r="C690" s="51"/>
      <c r="D690" s="51"/>
      <c r="E690" s="51"/>
      <c r="F690" s="57" t="s">
        <v>1312</v>
      </c>
      <c r="G690" s="51"/>
      <c r="H690" s="51"/>
      <c r="I690" s="51"/>
      <c r="J690" s="51"/>
      <c r="K690" s="52" t="str">
        <f aca="false">IF($A690&lt;&gt;"",$A690,"")</f>
        <v>Apprenant 678</v>
      </c>
      <c r="L690" s="53" t="str">
        <f aca="false">IF(AND($B690&lt;&gt;"",$C690&lt;&gt;""),$C690-$B690,"")</f>
        <v/>
      </c>
      <c r="M690" s="53" t="str">
        <f aca="false">IF(AND($B690&lt;&gt;"",$D690&lt;&gt;""),$D690-$B690,"")</f>
        <v/>
      </c>
      <c r="N690" s="53" t="str">
        <f aca="false">IF(AND($C690&lt;&gt;"",$D690&lt;&gt;""),$D690-$C690,"")</f>
        <v/>
      </c>
      <c r="O690" s="53" t="str">
        <f aca="false">IF($E690&lt;&gt;"",$E690,"")</f>
        <v/>
      </c>
      <c r="P690" s="52" t="str">
        <f aca="false">IF($F690&lt;&gt;"",$F690,"")</f>
        <v>Apprenant 678 ou 678'</v>
      </c>
      <c r="Q690" s="53" t="str">
        <f aca="false">IF(AND($G690&lt;&gt;"",$H690&lt;&gt;""),$H690-$G690,"")</f>
        <v/>
      </c>
      <c r="R690" s="53" t="str">
        <f aca="false">IF(AND($G690&lt;&gt;"",$I690&lt;&gt;""),$I690-$G690,"")</f>
        <v/>
      </c>
      <c r="S690" s="53" t="str">
        <f aca="false">IF(AND($H690&lt;&gt;"",$I690&lt;&gt;""),$I690-$H690,"")</f>
        <v/>
      </c>
      <c r="T690" s="53" t="str">
        <f aca="false">IF($J690&lt;&gt;"",$J690,"")</f>
        <v/>
      </c>
      <c r="V690" s="52" t="str">
        <f aca="false">IF($A690&lt;&gt;"",$A690,"")</f>
        <v>Apprenant 678</v>
      </c>
      <c r="W690" s="53" t="str">
        <f aca="false">IF(AND(OR('Choix pédagogiques'!$C$3=1,'Choix pédagogiques'!$C$3=2),$BM690=1),B690,IF(AND('Choix pédagogiques'!$C$3=3,$BO690=1),B690,""))</f>
        <v/>
      </c>
      <c r="X690" s="53" t="str">
        <f aca="false">IF(AND(OR('Choix pédagogiques'!$C$3=1,'Choix pédagogiques'!$C$3=2),$BM690=1),C690,IF(AND('Choix pédagogiques'!$C$3=3,$BO690=1),C690,""))</f>
        <v/>
      </c>
      <c r="Y690" s="53" t="str">
        <f aca="false">IF(AND(OR('Choix pédagogiques'!$C$3=1,'Choix pédagogiques'!$C$3=2),$BM690=1),D690,IF(AND('Choix pédagogiques'!$C$3=3,$BO690=1),D690,""))</f>
        <v/>
      </c>
      <c r="Z690" s="53" t="str">
        <f aca="false">IF($E690&lt;&gt;"",$E690,"")</f>
        <v/>
      </c>
      <c r="AA690" s="52" t="str">
        <f aca="false">IF($F690&lt;&gt;"",$F690,"")</f>
        <v>Apprenant 678 ou 678'</v>
      </c>
      <c r="AB690" s="53" t="str">
        <f aca="false">IF(AND(OR('Choix pédagogiques'!$C$3=1,'Choix pédagogiques'!$C$3=2),$BN690=1),G690,IF(AND('Choix pédagogiques'!$C$3=3,$BO690=1),G690,""))</f>
        <v/>
      </c>
      <c r="AC690" s="53" t="str">
        <f aca="false">IF(AND(OR('Choix pédagogiques'!$C$3=1,'Choix pédagogiques'!$C$3=2),$BN690=1),H690,IF(AND('Choix pédagogiques'!$C$3=3,$BO690=1),H690,""))</f>
        <v/>
      </c>
      <c r="AD690" s="53" t="str">
        <f aca="false">IF(AND(OR('Choix pédagogiques'!$C$3=1,'Choix pédagogiques'!$C$3=2),$BN690=1),I690,IF(AND('Choix pédagogiques'!$C$3=3,$BO690=1),I690,""))</f>
        <v/>
      </c>
      <c r="AE690" s="53" t="str">
        <f aca="false">IF($J690&lt;&gt;"",$J690,"")</f>
        <v/>
      </c>
      <c r="AF690" s="52" t="str">
        <f aca="false">IF($A690&lt;&gt;"",$A690,"")</f>
        <v>Apprenant 678</v>
      </c>
      <c r="AG690" s="53" t="str">
        <f aca="false">IF(AND($W690&lt;&gt;"",$X690&lt;&gt;""),$X690-$W690,"")</f>
        <v/>
      </c>
      <c r="AH690" s="53" t="str">
        <f aca="false">IF(AND($W690&lt;&gt;"",$Y690&lt;&gt;""),$Y690-$W690,"")</f>
        <v/>
      </c>
      <c r="AI690" s="53" t="str">
        <f aca="false">IF(AND($X690&lt;&gt;"",$Y690&lt;&gt;""),$Y690-$X690,"")</f>
        <v/>
      </c>
      <c r="AJ690" s="53" t="str">
        <f aca="false">IF($E690&lt;&gt;"",$E690,"")</f>
        <v/>
      </c>
      <c r="AK690" s="52" t="str">
        <f aca="false">IF($F690&lt;&gt;"",$F690,"")</f>
        <v>Apprenant 678 ou 678'</v>
      </c>
      <c r="AL690" s="53" t="str">
        <f aca="false">IF(AND($AB690&lt;&gt;"",$AC690&lt;&gt;""),$AC690-$AB690,"")</f>
        <v/>
      </c>
      <c r="AM690" s="53" t="str">
        <f aca="false">IF(AND($AB690&lt;&gt;"",$AD690&lt;&gt;""),$AD690-$AB690,"")</f>
        <v/>
      </c>
      <c r="AN690" s="53" t="str">
        <f aca="false">IF(AND($AC690&lt;&gt;"",$AD690&lt;&gt;""),$AD690-$AC690,"")</f>
        <v/>
      </c>
      <c r="AO690" s="53" t="str">
        <f aca="false">IF($J690&lt;&gt;"",$J690,"")</f>
        <v/>
      </c>
      <c r="AQ690" s="52" t="str">
        <f aca="false">IF($A690&lt;&gt;"",$A690,"")</f>
        <v>Apprenant 678</v>
      </c>
      <c r="AR690" s="55" t="str">
        <f aca="false">IF(AND('Choix pédagogiques'!$C$4&lt;&gt;"?",'Choix pédagogiques'!$C$5&lt;&gt;"?",W690&lt;&gt;""),(W690-'Choix pédagogiques'!$C$4)/('Choix pédagogiques'!$C$5-'Choix pédagogiques'!$C$4),"")</f>
        <v/>
      </c>
      <c r="AS690" s="55" t="str">
        <f aca="false">IF(AND('Choix pédagogiques'!$C$4&lt;&gt;"?",'Choix pédagogiques'!$C$5&lt;&gt;"?",X690&lt;&gt;""),(X690-'Choix pédagogiques'!$C$4)/('Choix pédagogiques'!$C$5-'Choix pédagogiques'!$C$4),"")</f>
        <v/>
      </c>
      <c r="AT690" s="55" t="str">
        <f aca="false">IF(AND('Choix pédagogiques'!$C$4&lt;&gt;"?",'Choix pédagogiques'!$C$5&lt;&gt;"?",Y690&lt;&gt;""),(Y690-'Choix pédagogiques'!$C$4)/('Choix pédagogiques'!$C$5-'Choix pédagogiques'!$C$4),"")</f>
        <v/>
      </c>
      <c r="AU690" s="53" t="str">
        <f aca="false">IF($E690&lt;&gt;"",$E690,"")</f>
        <v/>
      </c>
      <c r="AV690" s="52" t="str">
        <f aca="false">IF($F690&lt;&gt;"",$F690,"")</f>
        <v>Apprenant 678 ou 678'</v>
      </c>
      <c r="AW690" s="55" t="str">
        <f aca="false">IF(AND('Choix pédagogiques'!$C$4&lt;&gt;"?",'Choix pédagogiques'!$C$5&lt;&gt;"?",AB690&lt;&gt;""),(AB690-'Choix pédagogiques'!$C$4)/('Choix pédagogiques'!$C$5-'Choix pédagogiques'!$C$4),"")</f>
        <v/>
      </c>
      <c r="AX690" s="55" t="str">
        <f aca="false">IF(AND('Choix pédagogiques'!$C$4&lt;&gt;"?",'Choix pédagogiques'!$C$5&lt;&gt;"?",AC690&lt;&gt;""),(AC690-'Choix pédagogiques'!$C$4)/('Choix pédagogiques'!$C$5-'Choix pédagogiques'!$C$4),"")</f>
        <v/>
      </c>
      <c r="AY690" s="55" t="str">
        <f aca="false">IF(AND('Choix pédagogiques'!$C$4&lt;&gt;"?",'Choix pédagogiques'!$C$5&lt;&gt;"?",AD690&lt;&gt;""),(AD690-'Choix pédagogiques'!$C$4)/('Choix pédagogiques'!$C$5-'Choix pédagogiques'!$C$4),"")</f>
        <v/>
      </c>
      <c r="AZ690" s="53" t="str">
        <f aca="false">IF($J690&lt;&gt;"",$J690,"")</f>
        <v/>
      </c>
      <c r="BA690" s="52" t="str">
        <f aca="false">IF($A690&lt;&gt;"",$A690,"")</f>
        <v>Apprenant 678</v>
      </c>
      <c r="BB690" s="55" t="str">
        <f aca="false">IF(AND($AR690&lt;&gt;"",$AS690&lt;&gt;""),$AS690-$AR690,"")</f>
        <v/>
      </c>
      <c r="BC690" s="55" t="str">
        <f aca="false">IF(AND($AR690&lt;&gt;"",$AT690&lt;&gt;""),$AT690-$AR690,"")</f>
        <v/>
      </c>
      <c r="BD690" s="55" t="str">
        <f aca="false">IF(AND($AS690&lt;&gt;"",$AT690&lt;&gt;""),$AT690-$AS690,"")</f>
        <v/>
      </c>
      <c r="BE690" s="53" t="str">
        <f aca="false">IF($E690&lt;&gt;"",$E690,"")</f>
        <v/>
      </c>
      <c r="BF690" s="52" t="str">
        <f aca="false">IF($F690&lt;&gt;"",$F690,"")</f>
        <v>Apprenant 678 ou 678'</v>
      </c>
      <c r="BG690" s="55" t="str">
        <f aca="false">IF(AND($AW690&lt;&gt;"",$AX690&lt;&gt;""),$AX690-$AW690,"")</f>
        <v/>
      </c>
      <c r="BH690" s="55" t="str">
        <f aca="false">IF(AND($AW690&lt;&gt;"",$AY690&lt;&gt;""),$AY690-$AW690,"")</f>
        <v/>
      </c>
      <c r="BI690" s="55" t="str">
        <f aca="false">IF(AND($AX690&lt;&gt;"",$AY690&lt;&gt;""),$AY690-$AX690,"")</f>
        <v/>
      </c>
      <c r="BJ690" s="53" t="str">
        <f aca="false">IF($J690&lt;&gt;"",$J690,"")</f>
        <v/>
      </c>
      <c r="BL690" s="52"/>
      <c r="BM690" s="52" t="str">
        <f aca="false">IF(OR(COUNT(B690:D1689)=0,AND('Choix pédagogiques'!$C$3&lt;&gt;1,'Choix pédagogiques'!$C$3&lt;&gt;2)),"",IF(AND(OR('Choix pédagogiques'!$C$3=1,'Choix pédagogiques'!$C$3=2),$B690&lt;&gt;"",$C690&lt;&gt;"",$D690&lt;&gt;""),1,0))</f>
        <v/>
      </c>
      <c r="BN690" s="52" t="str">
        <f aca="false">IF(OR(COUNT(G690:I1689)=0,AND('Choix pédagogiques'!$C$3&lt;&gt;1,'Choix pédagogiques'!$C$3&lt;&gt;2)),"",IF(AND(OR('Choix pédagogiques'!$C$3=1,'Choix pédagogiques'!$C$3=2),AND($G690&lt;&gt;"",$H690&lt;&gt;"",$I690&lt;&gt;"")),1,0))</f>
        <v/>
      </c>
      <c r="BO690" s="52" t="str">
        <f aca="false">IF(OR(COUNT(B690:D1689)=0,COUNT(G690:I1689)=0,'Choix pédagogiques'!C$3&lt;&gt;3),"",IF(AND('Choix pédagogiques'!$C$3=3,$B690&lt;&gt;"",$C690&lt;&gt;"",$D690&lt;&gt;"",$G690&lt;&gt;"",$H690&lt;&gt;"",$I690&lt;&gt;""),1,0))</f>
        <v/>
      </c>
      <c r="BR690" s="52" t="n">
        <v>354</v>
      </c>
      <c r="BS690" s="52" t="n">
        <v>1148</v>
      </c>
    </row>
    <row r="691" s="54" customFormat="true" ht="18" hidden="false" customHeight="true" outlineLevel="0" collapsed="false">
      <c r="A691" s="57" t="s">
        <v>1313</v>
      </c>
      <c r="B691" s="51"/>
      <c r="C691" s="51"/>
      <c r="D691" s="51"/>
      <c r="E691" s="51"/>
      <c r="F691" s="57" t="s">
        <v>1314</v>
      </c>
      <c r="G691" s="51"/>
      <c r="H691" s="51"/>
      <c r="I691" s="51"/>
      <c r="J691" s="51"/>
      <c r="K691" s="52" t="str">
        <f aca="false">IF($A691&lt;&gt;"",$A691,"")</f>
        <v>Apprenant 679</v>
      </c>
      <c r="L691" s="53" t="str">
        <f aca="false">IF(AND($B691&lt;&gt;"",$C691&lt;&gt;""),$C691-$B691,"")</f>
        <v/>
      </c>
      <c r="M691" s="53" t="str">
        <f aca="false">IF(AND($B691&lt;&gt;"",$D691&lt;&gt;""),$D691-$B691,"")</f>
        <v/>
      </c>
      <c r="N691" s="53" t="str">
        <f aca="false">IF(AND($C691&lt;&gt;"",$D691&lt;&gt;""),$D691-$C691,"")</f>
        <v/>
      </c>
      <c r="O691" s="53" t="str">
        <f aca="false">IF($E691&lt;&gt;"",$E691,"")</f>
        <v/>
      </c>
      <c r="P691" s="52" t="str">
        <f aca="false">IF($F691&lt;&gt;"",$F691,"")</f>
        <v>Apprenant 679 ou 679'</v>
      </c>
      <c r="Q691" s="53" t="str">
        <f aca="false">IF(AND($G691&lt;&gt;"",$H691&lt;&gt;""),$H691-$G691,"")</f>
        <v/>
      </c>
      <c r="R691" s="53" t="str">
        <f aca="false">IF(AND($G691&lt;&gt;"",$I691&lt;&gt;""),$I691-$G691,"")</f>
        <v/>
      </c>
      <c r="S691" s="53" t="str">
        <f aca="false">IF(AND($H691&lt;&gt;"",$I691&lt;&gt;""),$I691-$H691,"")</f>
        <v/>
      </c>
      <c r="T691" s="53" t="str">
        <f aca="false">IF($J691&lt;&gt;"",$J691,"")</f>
        <v/>
      </c>
      <c r="V691" s="52" t="str">
        <f aca="false">IF($A691&lt;&gt;"",$A691,"")</f>
        <v>Apprenant 679</v>
      </c>
      <c r="W691" s="53" t="str">
        <f aca="false">IF(AND(OR('Choix pédagogiques'!$C$3=1,'Choix pédagogiques'!$C$3=2),$BM691=1),B691,IF(AND('Choix pédagogiques'!$C$3=3,$BO691=1),B691,""))</f>
        <v/>
      </c>
      <c r="X691" s="53" t="str">
        <f aca="false">IF(AND(OR('Choix pédagogiques'!$C$3=1,'Choix pédagogiques'!$C$3=2),$BM691=1),C691,IF(AND('Choix pédagogiques'!$C$3=3,$BO691=1),C691,""))</f>
        <v/>
      </c>
      <c r="Y691" s="53" t="str">
        <f aca="false">IF(AND(OR('Choix pédagogiques'!$C$3=1,'Choix pédagogiques'!$C$3=2),$BM691=1),D691,IF(AND('Choix pédagogiques'!$C$3=3,$BO691=1),D691,""))</f>
        <v/>
      </c>
      <c r="Z691" s="53" t="str">
        <f aca="false">IF($E691&lt;&gt;"",$E691,"")</f>
        <v/>
      </c>
      <c r="AA691" s="52" t="str">
        <f aca="false">IF($F691&lt;&gt;"",$F691,"")</f>
        <v>Apprenant 679 ou 679'</v>
      </c>
      <c r="AB691" s="53" t="str">
        <f aca="false">IF(AND(OR('Choix pédagogiques'!$C$3=1,'Choix pédagogiques'!$C$3=2),$BN691=1),G691,IF(AND('Choix pédagogiques'!$C$3=3,$BO691=1),G691,""))</f>
        <v/>
      </c>
      <c r="AC691" s="53" t="str">
        <f aca="false">IF(AND(OR('Choix pédagogiques'!$C$3=1,'Choix pédagogiques'!$C$3=2),$BN691=1),H691,IF(AND('Choix pédagogiques'!$C$3=3,$BO691=1),H691,""))</f>
        <v/>
      </c>
      <c r="AD691" s="53" t="str">
        <f aca="false">IF(AND(OR('Choix pédagogiques'!$C$3=1,'Choix pédagogiques'!$C$3=2),$BN691=1),I691,IF(AND('Choix pédagogiques'!$C$3=3,$BO691=1),I691,""))</f>
        <v/>
      </c>
      <c r="AE691" s="53" t="str">
        <f aca="false">IF($J691&lt;&gt;"",$J691,"")</f>
        <v/>
      </c>
      <c r="AF691" s="52" t="str">
        <f aca="false">IF($A691&lt;&gt;"",$A691,"")</f>
        <v>Apprenant 679</v>
      </c>
      <c r="AG691" s="53" t="str">
        <f aca="false">IF(AND($W691&lt;&gt;"",$X691&lt;&gt;""),$X691-$W691,"")</f>
        <v/>
      </c>
      <c r="AH691" s="53" t="str">
        <f aca="false">IF(AND($W691&lt;&gt;"",$Y691&lt;&gt;""),$Y691-$W691,"")</f>
        <v/>
      </c>
      <c r="AI691" s="53" t="str">
        <f aca="false">IF(AND($X691&lt;&gt;"",$Y691&lt;&gt;""),$Y691-$X691,"")</f>
        <v/>
      </c>
      <c r="AJ691" s="53" t="str">
        <f aca="false">IF($E691&lt;&gt;"",$E691,"")</f>
        <v/>
      </c>
      <c r="AK691" s="52" t="str">
        <f aca="false">IF($F691&lt;&gt;"",$F691,"")</f>
        <v>Apprenant 679 ou 679'</v>
      </c>
      <c r="AL691" s="53" t="str">
        <f aca="false">IF(AND($AB691&lt;&gt;"",$AC691&lt;&gt;""),$AC691-$AB691,"")</f>
        <v/>
      </c>
      <c r="AM691" s="53" t="str">
        <f aca="false">IF(AND($AB691&lt;&gt;"",$AD691&lt;&gt;""),$AD691-$AB691,"")</f>
        <v/>
      </c>
      <c r="AN691" s="53" t="str">
        <f aca="false">IF(AND($AC691&lt;&gt;"",$AD691&lt;&gt;""),$AD691-$AC691,"")</f>
        <v/>
      </c>
      <c r="AO691" s="53" t="str">
        <f aca="false">IF($J691&lt;&gt;"",$J691,"")</f>
        <v/>
      </c>
      <c r="AQ691" s="52" t="str">
        <f aca="false">IF($A691&lt;&gt;"",$A691,"")</f>
        <v>Apprenant 679</v>
      </c>
      <c r="AR691" s="55" t="str">
        <f aca="false">IF(AND('Choix pédagogiques'!$C$4&lt;&gt;"?",'Choix pédagogiques'!$C$5&lt;&gt;"?",W691&lt;&gt;""),(W691-'Choix pédagogiques'!$C$4)/('Choix pédagogiques'!$C$5-'Choix pédagogiques'!$C$4),"")</f>
        <v/>
      </c>
      <c r="AS691" s="55" t="str">
        <f aca="false">IF(AND('Choix pédagogiques'!$C$4&lt;&gt;"?",'Choix pédagogiques'!$C$5&lt;&gt;"?",X691&lt;&gt;""),(X691-'Choix pédagogiques'!$C$4)/('Choix pédagogiques'!$C$5-'Choix pédagogiques'!$C$4),"")</f>
        <v/>
      </c>
      <c r="AT691" s="55" t="str">
        <f aca="false">IF(AND('Choix pédagogiques'!$C$4&lt;&gt;"?",'Choix pédagogiques'!$C$5&lt;&gt;"?",Y691&lt;&gt;""),(Y691-'Choix pédagogiques'!$C$4)/('Choix pédagogiques'!$C$5-'Choix pédagogiques'!$C$4),"")</f>
        <v/>
      </c>
      <c r="AU691" s="53" t="str">
        <f aca="false">IF($E691&lt;&gt;"",$E691,"")</f>
        <v/>
      </c>
      <c r="AV691" s="52" t="str">
        <f aca="false">IF($F691&lt;&gt;"",$F691,"")</f>
        <v>Apprenant 679 ou 679'</v>
      </c>
      <c r="AW691" s="55" t="str">
        <f aca="false">IF(AND('Choix pédagogiques'!$C$4&lt;&gt;"?",'Choix pédagogiques'!$C$5&lt;&gt;"?",AB691&lt;&gt;""),(AB691-'Choix pédagogiques'!$C$4)/('Choix pédagogiques'!$C$5-'Choix pédagogiques'!$C$4),"")</f>
        <v/>
      </c>
      <c r="AX691" s="55" t="str">
        <f aca="false">IF(AND('Choix pédagogiques'!$C$4&lt;&gt;"?",'Choix pédagogiques'!$C$5&lt;&gt;"?",AC691&lt;&gt;""),(AC691-'Choix pédagogiques'!$C$4)/('Choix pédagogiques'!$C$5-'Choix pédagogiques'!$C$4),"")</f>
        <v/>
      </c>
      <c r="AY691" s="55" t="str">
        <f aca="false">IF(AND('Choix pédagogiques'!$C$4&lt;&gt;"?",'Choix pédagogiques'!$C$5&lt;&gt;"?",AD691&lt;&gt;""),(AD691-'Choix pédagogiques'!$C$4)/('Choix pédagogiques'!$C$5-'Choix pédagogiques'!$C$4),"")</f>
        <v/>
      </c>
      <c r="AZ691" s="53" t="str">
        <f aca="false">IF($J691&lt;&gt;"",$J691,"")</f>
        <v/>
      </c>
      <c r="BA691" s="52" t="str">
        <f aca="false">IF($A691&lt;&gt;"",$A691,"")</f>
        <v>Apprenant 679</v>
      </c>
      <c r="BB691" s="55" t="str">
        <f aca="false">IF(AND($AR691&lt;&gt;"",$AS691&lt;&gt;""),$AS691-$AR691,"")</f>
        <v/>
      </c>
      <c r="BC691" s="55" t="str">
        <f aca="false">IF(AND($AR691&lt;&gt;"",$AT691&lt;&gt;""),$AT691-$AR691,"")</f>
        <v/>
      </c>
      <c r="BD691" s="55" t="str">
        <f aca="false">IF(AND($AS691&lt;&gt;"",$AT691&lt;&gt;""),$AT691-$AS691,"")</f>
        <v/>
      </c>
      <c r="BE691" s="53" t="str">
        <f aca="false">IF($E691&lt;&gt;"",$E691,"")</f>
        <v/>
      </c>
      <c r="BF691" s="52" t="str">
        <f aca="false">IF($F691&lt;&gt;"",$F691,"")</f>
        <v>Apprenant 679 ou 679'</v>
      </c>
      <c r="BG691" s="55" t="str">
        <f aca="false">IF(AND($AW691&lt;&gt;"",$AX691&lt;&gt;""),$AX691-$AW691,"")</f>
        <v/>
      </c>
      <c r="BH691" s="55" t="str">
        <f aca="false">IF(AND($AW691&lt;&gt;"",$AY691&lt;&gt;""),$AY691-$AW691,"")</f>
        <v/>
      </c>
      <c r="BI691" s="55" t="str">
        <f aca="false">IF(AND($AX691&lt;&gt;"",$AY691&lt;&gt;""),$AY691-$AX691,"")</f>
        <v/>
      </c>
      <c r="BJ691" s="53" t="str">
        <f aca="false">IF($J691&lt;&gt;"",$J691,"")</f>
        <v/>
      </c>
      <c r="BL691" s="52"/>
      <c r="BM691" s="52" t="str">
        <f aca="false">IF(OR(COUNT(B691:D1690)=0,AND('Choix pédagogiques'!$C$3&lt;&gt;1,'Choix pédagogiques'!$C$3&lt;&gt;2)),"",IF(AND(OR('Choix pédagogiques'!$C$3=1,'Choix pédagogiques'!$C$3=2),$B691&lt;&gt;"",$C691&lt;&gt;"",$D691&lt;&gt;""),1,0))</f>
        <v/>
      </c>
      <c r="BN691" s="52" t="str">
        <f aca="false">IF(OR(COUNT(G691:I1690)=0,AND('Choix pédagogiques'!$C$3&lt;&gt;1,'Choix pédagogiques'!$C$3&lt;&gt;2)),"",IF(AND(OR('Choix pédagogiques'!$C$3=1,'Choix pédagogiques'!$C$3=2),AND($G691&lt;&gt;"",$H691&lt;&gt;"",$I691&lt;&gt;"")),1,0))</f>
        <v/>
      </c>
      <c r="BO691" s="52" t="str">
        <f aca="false">IF(OR(COUNT(B691:D1690)=0,COUNT(G691:I1690)=0,'Choix pédagogiques'!C$3&lt;&gt;3),"",IF(AND('Choix pédagogiques'!$C$3=3,$B691&lt;&gt;"",$C691&lt;&gt;"",$D691&lt;&gt;"",$G691&lt;&gt;"",$H691&lt;&gt;"",$I691&lt;&gt;""),1,0))</f>
        <v/>
      </c>
      <c r="BR691" s="52" t="n">
        <v>423</v>
      </c>
      <c r="BS691" s="52" t="n">
        <v>1029</v>
      </c>
    </row>
    <row r="692" s="54" customFormat="true" ht="18" hidden="false" customHeight="true" outlineLevel="0" collapsed="false">
      <c r="A692" s="57" t="s">
        <v>1315</v>
      </c>
      <c r="B692" s="51"/>
      <c r="C692" s="51"/>
      <c r="D692" s="51"/>
      <c r="E692" s="51"/>
      <c r="F692" s="57" t="s">
        <v>1316</v>
      </c>
      <c r="G692" s="51"/>
      <c r="H692" s="51"/>
      <c r="I692" s="51"/>
      <c r="J692" s="51"/>
      <c r="K692" s="52" t="str">
        <f aca="false">IF($A692&lt;&gt;"",$A692,"")</f>
        <v>Apprenant 680</v>
      </c>
      <c r="L692" s="53" t="str">
        <f aca="false">IF(AND($B692&lt;&gt;"",$C692&lt;&gt;""),$C692-$B692,"")</f>
        <v/>
      </c>
      <c r="M692" s="53" t="str">
        <f aca="false">IF(AND($B692&lt;&gt;"",$D692&lt;&gt;""),$D692-$B692,"")</f>
        <v/>
      </c>
      <c r="N692" s="53" t="str">
        <f aca="false">IF(AND($C692&lt;&gt;"",$D692&lt;&gt;""),$D692-$C692,"")</f>
        <v/>
      </c>
      <c r="O692" s="53" t="str">
        <f aca="false">IF($E692&lt;&gt;"",$E692,"")</f>
        <v/>
      </c>
      <c r="P692" s="52" t="str">
        <f aca="false">IF($F692&lt;&gt;"",$F692,"")</f>
        <v>Apprenant 680 ou 680'</v>
      </c>
      <c r="Q692" s="53" t="str">
        <f aca="false">IF(AND($G692&lt;&gt;"",$H692&lt;&gt;""),$H692-$G692,"")</f>
        <v/>
      </c>
      <c r="R692" s="53" t="str">
        <f aca="false">IF(AND($G692&lt;&gt;"",$I692&lt;&gt;""),$I692-$G692,"")</f>
        <v/>
      </c>
      <c r="S692" s="53" t="str">
        <f aca="false">IF(AND($H692&lt;&gt;"",$I692&lt;&gt;""),$I692-$H692,"")</f>
        <v/>
      </c>
      <c r="T692" s="53" t="str">
        <f aca="false">IF($J692&lt;&gt;"",$J692,"")</f>
        <v/>
      </c>
      <c r="V692" s="52" t="str">
        <f aca="false">IF($A692&lt;&gt;"",$A692,"")</f>
        <v>Apprenant 680</v>
      </c>
      <c r="W692" s="53" t="str">
        <f aca="false">IF(AND(OR('Choix pédagogiques'!$C$3=1,'Choix pédagogiques'!$C$3=2),$BM692=1),B692,IF(AND('Choix pédagogiques'!$C$3=3,$BO692=1),B692,""))</f>
        <v/>
      </c>
      <c r="X692" s="53" t="str">
        <f aca="false">IF(AND(OR('Choix pédagogiques'!$C$3=1,'Choix pédagogiques'!$C$3=2),$BM692=1),C692,IF(AND('Choix pédagogiques'!$C$3=3,$BO692=1),C692,""))</f>
        <v/>
      </c>
      <c r="Y692" s="53" t="str">
        <f aca="false">IF(AND(OR('Choix pédagogiques'!$C$3=1,'Choix pédagogiques'!$C$3=2),$BM692=1),D692,IF(AND('Choix pédagogiques'!$C$3=3,$BO692=1),D692,""))</f>
        <v/>
      </c>
      <c r="Z692" s="53" t="str">
        <f aca="false">IF($E692&lt;&gt;"",$E692,"")</f>
        <v/>
      </c>
      <c r="AA692" s="52" t="str">
        <f aca="false">IF($F692&lt;&gt;"",$F692,"")</f>
        <v>Apprenant 680 ou 680'</v>
      </c>
      <c r="AB692" s="53" t="str">
        <f aca="false">IF(AND(OR('Choix pédagogiques'!$C$3=1,'Choix pédagogiques'!$C$3=2),$BN692=1),G692,IF(AND('Choix pédagogiques'!$C$3=3,$BO692=1),G692,""))</f>
        <v/>
      </c>
      <c r="AC692" s="53" t="str">
        <f aca="false">IF(AND(OR('Choix pédagogiques'!$C$3=1,'Choix pédagogiques'!$C$3=2),$BN692=1),H692,IF(AND('Choix pédagogiques'!$C$3=3,$BO692=1),H692,""))</f>
        <v/>
      </c>
      <c r="AD692" s="53" t="str">
        <f aca="false">IF(AND(OR('Choix pédagogiques'!$C$3=1,'Choix pédagogiques'!$C$3=2),$BN692=1),I692,IF(AND('Choix pédagogiques'!$C$3=3,$BO692=1),I692,""))</f>
        <v/>
      </c>
      <c r="AE692" s="53" t="str">
        <f aca="false">IF($J692&lt;&gt;"",$J692,"")</f>
        <v/>
      </c>
      <c r="AF692" s="52" t="str">
        <f aca="false">IF($A692&lt;&gt;"",$A692,"")</f>
        <v>Apprenant 680</v>
      </c>
      <c r="AG692" s="53" t="str">
        <f aca="false">IF(AND($W692&lt;&gt;"",$X692&lt;&gt;""),$X692-$W692,"")</f>
        <v/>
      </c>
      <c r="AH692" s="53" t="str">
        <f aca="false">IF(AND($W692&lt;&gt;"",$Y692&lt;&gt;""),$Y692-$W692,"")</f>
        <v/>
      </c>
      <c r="AI692" s="53" t="str">
        <f aca="false">IF(AND($X692&lt;&gt;"",$Y692&lt;&gt;""),$Y692-$X692,"")</f>
        <v/>
      </c>
      <c r="AJ692" s="53" t="str">
        <f aca="false">IF($E692&lt;&gt;"",$E692,"")</f>
        <v/>
      </c>
      <c r="AK692" s="52" t="str">
        <f aca="false">IF($F692&lt;&gt;"",$F692,"")</f>
        <v>Apprenant 680 ou 680'</v>
      </c>
      <c r="AL692" s="53" t="str">
        <f aca="false">IF(AND($AB692&lt;&gt;"",$AC692&lt;&gt;""),$AC692-$AB692,"")</f>
        <v/>
      </c>
      <c r="AM692" s="53" t="str">
        <f aca="false">IF(AND($AB692&lt;&gt;"",$AD692&lt;&gt;""),$AD692-$AB692,"")</f>
        <v/>
      </c>
      <c r="AN692" s="53" t="str">
        <f aca="false">IF(AND($AC692&lt;&gt;"",$AD692&lt;&gt;""),$AD692-$AC692,"")</f>
        <v/>
      </c>
      <c r="AO692" s="53" t="str">
        <f aca="false">IF($J692&lt;&gt;"",$J692,"")</f>
        <v/>
      </c>
      <c r="AQ692" s="52" t="str">
        <f aca="false">IF($A692&lt;&gt;"",$A692,"")</f>
        <v>Apprenant 680</v>
      </c>
      <c r="AR692" s="55" t="str">
        <f aca="false">IF(AND('Choix pédagogiques'!$C$4&lt;&gt;"?",'Choix pédagogiques'!$C$5&lt;&gt;"?",W692&lt;&gt;""),(W692-'Choix pédagogiques'!$C$4)/('Choix pédagogiques'!$C$5-'Choix pédagogiques'!$C$4),"")</f>
        <v/>
      </c>
      <c r="AS692" s="55" t="str">
        <f aca="false">IF(AND('Choix pédagogiques'!$C$4&lt;&gt;"?",'Choix pédagogiques'!$C$5&lt;&gt;"?",X692&lt;&gt;""),(X692-'Choix pédagogiques'!$C$4)/('Choix pédagogiques'!$C$5-'Choix pédagogiques'!$C$4),"")</f>
        <v/>
      </c>
      <c r="AT692" s="55" t="str">
        <f aca="false">IF(AND('Choix pédagogiques'!$C$4&lt;&gt;"?",'Choix pédagogiques'!$C$5&lt;&gt;"?",Y692&lt;&gt;""),(Y692-'Choix pédagogiques'!$C$4)/('Choix pédagogiques'!$C$5-'Choix pédagogiques'!$C$4),"")</f>
        <v/>
      </c>
      <c r="AU692" s="53" t="str">
        <f aca="false">IF($E692&lt;&gt;"",$E692,"")</f>
        <v/>
      </c>
      <c r="AV692" s="52" t="str">
        <f aca="false">IF($F692&lt;&gt;"",$F692,"")</f>
        <v>Apprenant 680 ou 680'</v>
      </c>
      <c r="AW692" s="55" t="str">
        <f aca="false">IF(AND('Choix pédagogiques'!$C$4&lt;&gt;"?",'Choix pédagogiques'!$C$5&lt;&gt;"?",AB692&lt;&gt;""),(AB692-'Choix pédagogiques'!$C$4)/('Choix pédagogiques'!$C$5-'Choix pédagogiques'!$C$4),"")</f>
        <v/>
      </c>
      <c r="AX692" s="55" t="str">
        <f aca="false">IF(AND('Choix pédagogiques'!$C$4&lt;&gt;"?",'Choix pédagogiques'!$C$5&lt;&gt;"?",AC692&lt;&gt;""),(AC692-'Choix pédagogiques'!$C$4)/('Choix pédagogiques'!$C$5-'Choix pédagogiques'!$C$4),"")</f>
        <v/>
      </c>
      <c r="AY692" s="55" t="str">
        <f aca="false">IF(AND('Choix pédagogiques'!$C$4&lt;&gt;"?",'Choix pédagogiques'!$C$5&lt;&gt;"?",AD692&lt;&gt;""),(AD692-'Choix pédagogiques'!$C$4)/('Choix pédagogiques'!$C$5-'Choix pédagogiques'!$C$4),"")</f>
        <v/>
      </c>
      <c r="AZ692" s="53" t="str">
        <f aca="false">IF($J692&lt;&gt;"",$J692,"")</f>
        <v/>
      </c>
      <c r="BA692" s="52" t="str">
        <f aca="false">IF($A692&lt;&gt;"",$A692,"")</f>
        <v>Apprenant 680</v>
      </c>
      <c r="BB692" s="55" t="str">
        <f aca="false">IF(AND($AR692&lt;&gt;"",$AS692&lt;&gt;""),$AS692-$AR692,"")</f>
        <v/>
      </c>
      <c r="BC692" s="55" t="str">
        <f aca="false">IF(AND($AR692&lt;&gt;"",$AT692&lt;&gt;""),$AT692-$AR692,"")</f>
        <v/>
      </c>
      <c r="BD692" s="55" t="str">
        <f aca="false">IF(AND($AS692&lt;&gt;"",$AT692&lt;&gt;""),$AT692-$AS692,"")</f>
        <v/>
      </c>
      <c r="BE692" s="53" t="str">
        <f aca="false">IF($E692&lt;&gt;"",$E692,"")</f>
        <v/>
      </c>
      <c r="BF692" s="52" t="str">
        <f aca="false">IF($F692&lt;&gt;"",$F692,"")</f>
        <v>Apprenant 680 ou 680'</v>
      </c>
      <c r="BG692" s="55" t="str">
        <f aca="false">IF(AND($AW692&lt;&gt;"",$AX692&lt;&gt;""),$AX692-$AW692,"")</f>
        <v/>
      </c>
      <c r="BH692" s="55" t="str">
        <f aca="false">IF(AND($AW692&lt;&gt;"",$AY692&lt;&gt;""),$AY692-$AW692,"")</f>
        <v/>
      </c>
      <c r="BI692" s="55" t="str">
        <f aca="false">IF(AND($AX692&lt;&gt;"",$AY692&lt;&gt;""),$AY692-$AX692,"")</f>
        <v/>
      </c>
      <c r="BJ692" s="53" t="str">
        <f aca="false">IF($J692&lt;&gt;"",$J692,"")</f>
        <v/>
      </c>
      <c r="BL692" s="52"/>
      <c r="BM692" s="52" t="str">
        <f aca="false">IF(OR(COUNT(B692:D1691)=0,AND('Choix pédagogiques'!$C$3&lt;&gt;1,'Choix pédagogiques'!$C$3&lt;&gt;2)),"",IF(AND(OR('Choix pédagogiques'!$C$3=1,'Choix pédagogiques'!$C$3=2),$B692&lt;&gt;"",$C692&lt;&gt;"",$D692&lt;&gt;""),1,0))</f>
        <v/>
      </c>
      <c r="BN692" s="52" t="str">
        <f aca="false">IF(OR(COUNT(G692:I1691)=0,AND('Choix pédagogiques'!$C$3&lt;&gt;1,'Choix pédagogiques'!$C$3&lt;&gt;2)),"",IF(AND(OR('Choix pédagogiques'!$C$3=1,'Choix pédagogiques'!$C$3=2),AND($G692&lt;&gt;"",$H692&lt;&gt;"",$I692&lt;&gt;"")),1,0))</f>
        <v/>
      </c>
      <c r="BO692" s="52" t="str">
        <f aca="false">IF(OR(COUNT(B692:D1691)=0,COUNT(G692:I1691)=0,'Choix pédagogiques'!C$3&lt;&gt;3),"",IF(AND('Choix pédagogiques'!$C$3=3,$B692&lt;&gt;"",$C692&lt;&gt;"",$D692&lt;&gt;"",$G692&lt;&gt;"",$H692&lt;&gt;"",$I692&lt;&gt;""),1,0))</f>
        <v/>
      </c>
      <c r="BR692" s="52" t="n">
        <v>912</v>
      </c>
      <c r="BS692" s="52" t="n">
        <v>1687</v>
      </c>
    </row>
    <row r="693" s="54" customFormat="true" ht="18" hidden="false" customHeight="true" outlineLevel="0" collapsed="false">
      <c r="A693" s="57" t="s">
        <v>1317</v>
      </c>
      <c r="B693" s="51"/>
      <c r="C693" s="51"/>
      <c r="D693" s="51"/>
      <c r="E693" s="51"/>
      <c r="F693" s="57" t="s">
        <v>1318</v>
      </c>
      <c r="G693" s="51"/>
      <c r="H693" s="51"/>
      <c r="I693" s="51"/>
      <c r="J693" s="51"/>
      <c r="K693" s="52" t="str">
        <f aca="false">IF($A693&lt;&gt;"",$A693,"")</f>
        <v>Apprenant 681</v>
      </c>
      <c r="L693" s="53" t="str">
        <f aca="false">IF(AND($B693&lt;&gt;"",$C693&lt;&gt;""),$C693-$B693,"")</f>
        <v/>
      </c>
      <c r="M693" s="53" t="str">
        <f aca="false">IF(AND($B693&lt;&gt;"",$D693&lt;&gt;""),$D693-$B693,"")</f>
        <v/>
      </c>
      <c r="N693" s="53" t="str">
        <f aca="false">IF(AND($C693&lt;&gt;"",$D693&lt;&gt;""),$D693-$C693,"")</f>
        <v/>
      </c>
      <c r="O693" s="53" t="str">
        <f aca="false">IF($E693&lt;&gt;"",$E693,"")</f>
        <v/>
      </c>
      <c r="P693" s="52" t="str">
        <f aca="false">IF($F693&lt;&gt;"",$F693,"")</f>
        <v>Apprenant 681 ou 681'</v>
      </c>
      <c r="Q693" s="53" t="str">
        <f aca="false">IF(AND($G693&lt;&gt;"",$H693&lt;&gt;""),$H693-$G693,"")</f>
        <v/>
      </c>
      <c r="R693" s="53" t="str">
        <f aca="false">IF(AND($G693&lt;&gt;"",$I693&lt;&gt;""),$I693-$G693,"")</f>
        <v/>
      </c>
      <c r="S693" s="53" t="str">
        <f aca="false">IF(AND($H693&lt;&gt;"",$I693&lt;&gt;""),$I693-$H693,"")</f>
        <v/>
      </c>
      <c r="T693" s="53" t="str">
        <f aca="false">IF($J693&lt;&gt;"",$J693,"")</f>
        <v/>
      </c>
      <c r="V693" s="52" t="str">
        <f aca="false">IF($A693&lt;&gt;"",$A693,"")</f>
        <v>Apprenant 681</v>
      </c>
      <c r="W693" s="53" t="str">
        <f aca="false">IF(AND(OR('Choix pédagogiques'!$C$3=1,'Choix pédagogiques'!$C$3=2),$BM693=1),B693,IF(AND('Choix pédagogiques'!$C$3=3,$BO693=1),B693,""))</f>
        <v/>
      </c>
      <c r="X693" s="53" t="str">
        <f aca="false">IF(AND(OR('Choix pédagogiques'!$C$3=1,'Choix pédagogiques'!$C$3=2),$BM693=1),C693,IF(AND('Choix pédagogiques'!$C$3=3,$BO693=1),C693,""))</f>
        <v/>
      </c>
      <c r="Y693" s="53" t="str">
        <f aca="false">IF(AND(OR('Choix pédagogiques'!$C$3=1,'Choix pédagogiques'!$C$3=2),$BM693=1),D693,IF(AND('Choix pédagogiques'!$C$3=3,$BO693=1),D693,""))</f>
        <v/>
      </c>
      <c r="Z693" s="53" t="str">
        <f aca="false">IF($E693&lt;&gt;"",$E693,"")</f>
        <v/>
      </c>
      <c r="AA693" s="52" t="str">
        <f aca="false">IF($F693&lt;&gt;"",$F693,"")</f>
        <v>Apprenant 681 ou 681'</v>
      </c>
      <c r="AB693" s="53" t="str">
        <f aca="false">IF(AND(OR('Choix pédagogiques'!$C$3=1,'Choix pédagogiques'!$C$3=2),$BN693=1),G693,IF(AND('Choix pédagogiques'!$C$3=3,$BO693=1),G693,""))</f>
        <v/>
      </c>
      <c r="AC693" s="53" t="str">
        <f aca="false">IF(AND(OR('Choix pédagogiques'!$C$3=1,'Choix pédagogiques'!$C$3=2),$BN693=1),H693,IF(AND('Choix pédagogiques'!$C$3=3,$BO693=1),H693,""))</f>
        <v/>
      </c>
      <c r="AD693" s="53" t="str">
        <f aca="false">IF(AND(OR('Choix pédagogiques'!$C$3=1,'Choix pédagogiques'!$C$3=2),$BN693=1),I693,IF(AND('Choix pédagogiques'!$C$3=3,$BO693=1),I693,""))</f>
        <v/>
      </c>
      <c r="AE693" s="53" t="str">
        <f aca="false">IF($J693&lt;&gt;"",$J693,"")</f>
        <v/>
      </c>
      <c r="AF693" s="52" t="str">
        <f aca="false">IF($A693&lt;&gt;"",$A693,"")</f>
        <v>Apprenant 681</v>
      </c>
      <c r="AG693" s="53" t="str">
        <f aca="false">IF(AND($W693&lt;&gt;"",$X693&lt;&gt;""),$X693-$W693,"")</f>
        <v/>
      </c>
      <c r="AH693" s="53" t="str">
        <f aca="false">IF(AND($W693&lt;&gt;"",$Y693&lt;&gt;""),$Y693-$W693,"")</f>
        <v/>
      </c>
      <c r="AI693" s="53" t="str">
        <f aca="false">IF(AND($X693&lt;&gt;"",$Y693&lt;&gt;""),$Y693-$X693,"")</f>
        <v/>
      </c>
      <c r="AJ693" s="53" t="str">
        <f aca="false">IF($E693&lt;&gt;"",$E693,"")</f>
        <v/>
      </c>
      <c r="AK693" s="52" t="str">
        <f aca="false">IF($F693&lt;&gt;"",$F693,"")</f>
        <v>Apprenant 681 ou 681'</v>
      </c>
      <c r="AL693" s="53" t="str">
        <f aca="false">IF(AND($AB693&lt;&gt;"",$AC693&lt;&gt;""),$AC693-$AB693,"")</f>
        <v/>
      </c>
      <c r="AM693" s="53" t="str">
        <f aca="false">IF(AND($AB693&lt;&gt;"",$AD693&lt;&gt;""),$AD693-$AB693,"")</f>
        <v/>
      </c>
      <c r="AN693" s="53" t="str">
        <f aca="false">IF(AND($AC693&lt;&gt;"",$AD693&lt;&gt;""),$AD693-$AC693,"")</f>
        <v/>
      </c>
      <c r="AO693" s="53" t="str">
        <f aca="false">IF($J693&lt;&gt;"",$J693,"")</f>
        <v/>
      </c>
      <c r="AQ693" s="52" t="str">
        <f aca="false">IF($A693&lt;&gt;"",$A693,"")</f>
        <v>Apprenant 681</v>
      </c>
      <c r="AR693" s="55" t="str">
        <f aca="false">IF(AND('Choix pédagogiques'!$C$4&lt;&gt;"?",'Choix pédagogiques'!$C$5&lt;&gt;"?",W693&lt;&gt;""),(W693-'Choix pédagogiques'!$C$4)/('Choix pédagogiques'!$C$5-'Choix pédagogiques'!$C$4),"")</f>
        <v/>
      </c>
      <c r="AS693" s="55" t="str">
        <f aca="false">IF(AND('Choix pédagogiques'!$C$4&lt;&gt;"?",'Choix pédagogiques'!$C$5&lt;&gt;"?",X693&lt;&gt;""),(X693-'Choix pédagogiques'!$C$4)/('Choix pédagogiques'!$C$5-'Choix pédagogiques'!$C$4),"")</f>
        <v/>
      </c>
      <c r="AT693" s="55" t="str">
        <f aca="false">IF(AND('Choix pédagogiques'!$C$4&lt;&gt;"?",'Choix pédagogiques'!$C$5&lt;&gt;"?",Y693&lt;&gt;""),(Y693-'Choix pédagogiques'!$C$4)/('Choix pédagogiques'!$C$5-'Choix pédagogiques'!$C$4),"")</f>
        <v/>
      </c>
      <c r="AU693" s="53" t="str">
        <f aca="false">IF($E693&lt;&gt;"",$E693,"")</f>
        <v/>
      </c>
      <c r="AV693" s="52" t="str">
        <f aca="false">IF($F693&lt;&gt;"",$F693,"")</f>
        <v>Apprenant 681 ou 681'</v>
      </c>
      <c r="AW693" s="55" t="str">
        <f aca="false">IF(AND('Choix pédagogiques'!$C$4&lt;&gt;"?",'Choix pédagogiques'!$C$5&lt;&gt;"?",AB693&lt;&gt;""),(AB693-'Choix pédagogiques'!$C$4)/('Choix pédagogiques'!$C$5-'Choix pédagogiques'!$C$4),"")</f>
        <v/>
      </c>
      <c r="AX693" s="55" t="str">
        <f aca="false">IF(AND('Choix pédagogiques'!$C$4&lt;&gt;"?",'Choix pédagogiques'!$C$5&lt;&gt;"?",AC693&lt;&gt;""),(AC693-'Choix pédagogiques'!$C$4)/('Choix pédagogiques'!$C$5-'Choix pédagogiques'!$C$4),"")</f>
        <v/>
      </c>
      <c r="AY693" s="55" t="str">
        <f aca="false">IF(AND('Choix pédagogiques'!$C$4&lt;&gt;"?",'Choix pédagogiques'!$C$5&lt;&gt;"?",AD693&lt;&gt;""),(AD693-'Choix pédagogiques'!$C$4)/('Choix pédagogiques'!$C$5-'Choix pédagogiques'!$C$4),"")</f>
        <v/>
      </c>
      <c r="AZ693" s="53" t="str">
        <f aca="false">IF($J693&lt;&gt;"",$J693,"")</f>
        <v/>
      </c>
      <c r="BA693" s="52" t="str">
        <f aca="false">IF($A693&lt;&gt;"",$A693,"")</f>
        <v>Apprenant 681</v>
      </c>
      <c r="BB693" s="55" t="str">
        <f aca="false">IF(AND($AR693&lt;&gt;"",$AS693&lt;&gt;""),$AS693-$AR693,"")</f>
        <v/>
      </c>
      <c r="BC693" s="55" t="str">
        <f aca="false">IF(AND($AR693&lt;&gt;"",$AT693&lt;&gt;""),$AT693-$AR693,"")</f>
        <v/>
      </c>
      <c r="BD693" s="55" t="str">
        <f aca="false">IF(AND($AS693&lt;&gt;"",$AT693&lt;&gt;""),$AT693-$AS693,"")</f>
        <v/>
      </c>
      <c r="BE693" s="53" t="str">
        <f aca="false">IF($E693&lt;&gt;"",$E693,"")</f>
        <v/>
      </c>
      <c r="BF693" s="52" t="str">
        <f aca="false">IF($F693&lt;&gt;"",$F693,"")</f>
        <v>Apprenant 681 ou 681'</v>
      </c>
      <c r="BG693" s="55" t="str">
        <f aca="false">IF(AND($AW693&lt;&gt;"",$AX693&lt;&gt;""),$AX693-$AW693,"")</f>
        <v/>
      </c>
      <c r="BH693" s="55" t="str">
        <f aca="false">IF(AND($AW693&lt;&gt;"",$AY693&lt;&gt;""),$AY693-$AW693,"")</f>
        <v/>
      </c>
      <c r="BI693" s="55" t="str">
        <f aca="false">IF(AND($AX693&lt;&gt;"",$AY693&lt;&gt;""),$AY693-$AX693,"")</f>
        <v/>
      </c>
      <c r="BJ693" s="53" t="str">
        <f aca="false">IF($J693&lt;&gt;"",$J693,"")</f>
        <v/>
      </c>
      <c r="BL693" s="52"/>
      <c r="BM693" s="52" t="str">
        <f aca="false">IF(OR(COUNT(B693:D1692)=0,AND('Choix pédagogiques'!$C$3&lt;&gt;1,'Choix pédagogiques'!$C$3&lt;&gt;2)),"",IF(AND(OR('Choix pédagogiques'!$C$3=1,'Choix pédagogiques'!$C$3=2),$B693&lt;&gt;"",$C693&lt;&gt;"",$D693&lt;&gt;""),1,0))</f>
        <v/>
      </c>
      <c r="BN693" s="52" t="str">
        <f aca="false">IF(OR(COUNT(G693:I1692)=0,AND('Choix pédagogiques'!$C$3&lt;&gt;1,'Choix pédagogiques'!$C$3&lt;&gt;2)),"",IF(AND(OR('Choix pédagogiques'!$C$3=1,'Choix pédagogiques'!$C$3=2),AND($G693&lt;&gt;"",$H693&lt;&gt;"",$I693&lt;&gt;"")),1,0))</f>
        <v/>
      </c>
      <c r="BO693" s="52" t="str">
        <f aca="false">IF(OR(COUNT(B693:D1692)=0,COUNT(G693:I1692)=0,'Choix pédagogiques'!C$3&lt;&gt;3),"",IF(AND('Choix pédagogiques'!$C$3=3,$B693&lt;&gt;"",$C693&lt;&gt;"",$D693&lt;&gt;"",$G693&lt;&gt;"",$H693&lt;&gt;"",$I693&lt;&gt;""),1,0))</f>
        <v/>
      </c>
      <c r="BR693" s="52" t="n">
        <v>710</v>
      </c>
      <c r="BS693" s="52" t="n">
        <v>1389</v>
      </c>
    </row>
    <row r="694" s="54" customFormat="true" ht="18" hidden="false" customHeight="true" outlineLevel="0" collapsed="false">
      <c r="A694" s="57" t="s">
        <v>1319</v>
      </c>
      <c r="B694" s="51"/>
      <c r="C694" s="51"/>
      <c r="D694" s="51"/>
      <c r="E694" s="51"/>
      <c r="F694" s="57" t="s">
        <v>1320</v>
      </c>
      <c r="G694" s="51"/>
      <c r="H694" s="51"/>
      <c r="I694" s="51"/>
      <c r="J694" s="51"/>
      <c r="K694" s="52" t="str">
        <f aca="false">IF($A694&lt;&gt;"",$A694,"")</f>
        <v>Apprenant 682</v>
      </c>
      <c r="L694" s="53" t="str">
        <f aca="false">IF(AND($B694&lt;&gt;"",$C694&lt;&gt;""),$C694-$B694,"")</f>
        <v/>
      </c>
      <c r="M694" s="53" t="str">
        <f aca="false">IF(AND($B694&lt;&gt;"",$D694&lt;&gt;""),$D694-$B694,"")</f>
        <v/>
      </c>
      <c r="N694" s="53" t="str">
        <f aca="false">IF(AND($C694&lt;&gt;"",$D694&lt;&gt;""),$D694-$C694,"")</f>
        <v/>
      </c>
      <c r="O694" s="53" t="str">
        <f aca="false">IF($E694&lt;&gt;"",$E694,"")</f>
        <v/>
      </c>
      <c r="P694" s="52" t="str">
        <f aca="false">IF($F694&lt;&gt;"",$F694,"")</f>
        <v>Apprenant 682 ou 682'</v>
      </c>
      <c r="Q694" s="53" t="str">
        <f aca="false">IF(AND($G694&lt;&gt;"",$H694&lt;&gt;""),$H694-$G694,"")</f>
        <v/>
      </c>
      <c r="R694" s="53" t="str">
        <f aca="false">IF(AND($G694&lt;&gt;"",$I694&lt;&gt;""),$I694-$G694,"")</f>
        <v/>
      </c>
      <c r="S694" s="53" t="str">
        <f aca="false">IF(AND($H694&lt;&gt;"",$I694&lt;&gt;""),$I694-$H694,"")</f>
        <v/>
      </c>
      <c r="T694" s="53" t="str">
        <f aca="false">IF($J694&lt;&gt;"",$J694,"")</f>
        <v/>
      </c>
      <c r="V694" s="52" t="str">
        <f aca="false">IF($A694&lt;&gt;"",$A694,"")</f>
        <v>Apprenant 682</v>
      </c>
      <c r="W694" s="53" t="str">
        <f aca="false">IF(AND(OR('Choix pédagogiques'!$C$3=1,'Choix pédagogiques'!$C$3=2),$BM694=1),B694,IF(AND('Choix pédagogiques'!$C$3=3,$BO694=1),B694,""))</f>
        <v/>
      </c>
      <c r="X694" s="53" t="str">
        <f aca="false">IF(AND(OR('Choix pédagogiques'!$C$3=1,'Choix pédagogiques'!$C$3=2),$BM694=1),C694,IF(AND('Choix pédagogiques'!$C$3=3,$BO694=1),C694,""))</f>
        <v/>
      </c>
      <c r="Y694" s="53" t="str">
        <f aca="false">IF(AND(OR('Choix pédagogiques'!$C$3=1,'Choix pédagogiques'!$C$3=2),$BM694=1),D694,IF(AND('Choix pédagogiques'!$C$3=3,$BO694=1),D694,""))</f>
        <v/>
      </c>
      <c r="Z694" s="53" t="str">
        <f aca="false">IF($E694&lt;&gt;"",$E694,"")</f>
        <v/>
      </c>
      <c r="AA694" s="52" t="str">
        <f aca="false">IF($F694&lt;&gt;"",$F694,"")</f>
        <v>Apprenant 682 ou 682'</v>
      </c>
      <c r="AB694" s="53" t="str">
        <f aca="false">IF(AND(OR('Choix pédagogiques'!$C$3=1,'Choix pédagogiques'!$C$3=2),$BN694=1),G694,IF(AND('Choix pédagogiques'!$C$3=3,$BO694=1),G694,""))</f>
        <v/>
      </c>
      <c r="AC694" s="53" t="str">
        <f aca="false">IF(AND(OR('Choix pédagogiques'!$C$3=1,'Choix pédagogiques'!$C$3=2),$BN694=1),H694,IF(AND('Choix pédagogiques'!$C$3=3,$BO694=1),H694,""))</f>
        <v/>
      </c>
      <c r="AD694" s="53" t="str">
        <f aca="false">IF(AND(OR('Choix pédagogiques'!$C$3=1,'Choix pédagogiques'!$C$3=2),$BN694=1),I694,IF(AND('Choix pédagogiques'!$C$3=3,$BO694=1),I694,""))</f>
        <v/>
      </c>
      <c r="AE694" s="53" t="str">
        <f aca="false">IF($J694&lt;&gt;"",$J694,"")</f>
        <v/>
      </c>
      <c r="AF694" s="52" t="str">
        <f aca="false">IF($A694&lt;&gt;"",$A694,"")</f>
        <v>Apprenant 682</v>
      </c>
      <c r="AG694" s="53" t="str">
        <f aca="false">IF(AND($W694&lt;&gt;"",$X694&lt;&gt;""),$X694-$W694,"")</f>
        <v/>
      </c>
      <c r="AH694" s="53" t="str">
        <f aca="false">IF(AND($W694&lt;&gt;"",$Y694&lt;&gt;""),$Y694-$W694,"")</f>
        <v/>
      </c>
      <c r="AI694" s="53" t="str">
        <f aca="false">IF(AND($X694&lt;&gt;"",$Y694&lt;&gt;""),$Y694-$X694,"")</f>
        <v/>
      </c>
      <c r="AJ694" s="53" t="str">
        <f aca="false">IF($E694&lt;&gt;"",$E694,"")</f>
        <v/>
      </c>
      <c r="AK694" s="52" t="str">
        <f aca="false">IF($F694&lt;&gt;"",$F694,"")</f>
        <v>Apprenant 682 ou 682'</v>
      </c>
      <c r="AL694" s="53" t="str">
        <f aca="false">IF(AND($AB694&lt;&gt;"",$AC694&lt;&gt;""),$AC694-$AB694,"")</f>
        <v/>
      </c>
      <c r="AM694" s="53" t="str">
        <f aca="false">IF(AND($AB694&lt;&gt;"",$AD694&lt;&gt;""),$AD694-$AB694,"")</f>
        <v/>
      </c>
      <c r="AN694" s="53" t="str">
        <f aca="false">IF(AND($AC694&lt;&gt;"",$AD694&lt;&gt;""),$AD694-$AC694,"")</f>
        <v/>
      </c>
      <c r="AO694" s="53" t="str">
        <f aca="false">IF($J694&lt;&gt;"",$J694,"")</f>
        <v/>
      </c>
      <c r="AQ694" s="52" t="str">
        <f aca="false">IF($A694&lt;&gt;"",$A694,"")</f>
        <v>Apprenant 682</v>
      </c>
      <c r="AR694" s="55" t="str">
        <f aca="false">IF(AND('Choix pédagogiques'!$C$4&lt;&gt;"?",'Choix pédagogiques'!$C$5&lt;&gt;"?",W694&lt;&gt;""),(W694-'Choix pédagogiques'!$C$4)/('Choix pédagogiques'!$C$5-'Choix pédagogiques'!$C$4),"")</f>
        <v/>
      </c>
      <c r="AS694" s="55" t="str">
        <f aca="false">IF(AND('Choix pédagogiques'!$C$4&lt;&gt;"?",'Choix pédagogiques'!$C$5&lt;&gt;"?",X694&lt;&gt;""),(X694-'Choix pédagogiques'!$C$4)/('Choix pédagogiques'!$C$5-'Choix pédagogiques'!$C$4),"")</f>
        <v/>
      </c>
      <c r="AT694" s="55" t="str">
        <f aca="false">IF(AND('Choix pédagogiques'!$C$4&lt;&gt;"?",'Choix pédagogiques'!$C$5&lt;&gt;"?",Y694&lt;&gt;""),(Y694-'Choix pédagogiques'!$C$4)/('Choix pédagogiques'!$C$5-'Choix pédagogiques'!$C$4),"")</f>
        <v/>
      </c>
      <c r="AU694" s="53" t="str">
        <f aca="false">IF($E694&lt;&gt;"",$E694,"")</f>
        <v/>
      </c>
      <c r="AV694" s="52" t="str">
        <f aca="false">IF($F694&lt;&gt;"",$F694,"")</f>
        <v>Apprenant 682 ou 682'</v>
      </c>
      <c r="AW694" s="55" t="str">
        <f aca="false">IF(AND('Choix pédagogiques'!$C$4&lt;&gt;"?",'Choix pédagogiques'!$C$5&lt;&gt;"?",AB694&lt;&gt;""),(AB694-'Choix pédagogiques'!$C$4)/('Choix pédagogiques'!$C$5-'Choix pédagogiques'!$C$4),"")</f>
        <v/>
      </c>
      <c r="AX694" s="55" t="str">
        <f aca="false">IF(AND('Choix pédagogiques'!$C$4&lt;&gt;"?",'Choix pédagogiques'!$C$5&lt;&gt;"?",AC694&lt;&gt;""),(AC694-'Choix pédagogiques'!$C$4)/('Choix pédagogiques'!$C$5-'Choix pédagogiques'!$C$4),"")</f>
        <v/>
      </c>
      <c r="AY694" s="55" t="str">
        <f aca="false">IF(AND('Choix pédagogiques'!$C$4&lt;&gt;"?",'Choix pédagogiques'!$C$5&lt;&gt;"?",AD694&lt;&gt;""),(AD694-'Choix pédagogiques'!$C$4)/('Choix pédagogiques'!$C$5-'Choix pédagogiques'!$C$4),"")</f>
        <v/>
      </c>
      <c r="AZ694" s="53" t="str">
        <f aca="false">IF($J694&lt;&gt;"",$J694,"")</f>
        <v/>
      </c>
      <c r="BA694" s="52" t="str">
        <f aca="false">IF($A694&lt;&gt;"",$A694,"")</f>
        <v>Apprenant 682</v>
      </c>
      <c r="BB694" s="55" t="str">
        <f aca="false">IF(AND($AR694&lt;&gt;"",$AS694&lt;&gt;""),$AS694-$AR694,"")</f>
        <v/>
      </c>
      <c r="BC694" s="55" t="str">
        <f aca="false">IF(AND($AR694&lt;&gt;"",$AT694&lt;&gt;""),$AT694-$AR694,"")</f>
        <v/>
      </c>
      <c r="BD694" s="55" t="str">
        <f aca="false">IF(AND($AS694&lt;&gt;"",$AT694&lt;&gt;""),$AT694-$AS694,"")</f>
        <v/>
      </c>
      <c r="BE694" s="53" t="str">
        <f aca="false">IF($E694&lt;&gt;"",$E694,"")</f>
        <v/>
      </c>
      <c r="BF694" s="52" t="str">
        <f aca="false">IF($F694&lt;&gt;"",$F694,"")</f>
        <v>Apprenant 682 ou 682'</v>
      </c>
      <c r="BG694" s="55" t="str">
        <f aca="false">IF(AND($AW694&lt;&gt;"",$AX694&lt;&gt;""),$AX694-$AW694,"")</f>
        <v/>
      </c>
      <c r="BH694" s="55" t="str">
        <f aca="false">IF(AND($AW694&lt;&gt;"",$AY694&lt;&gt;""),$AY694-$AW694,"")</f>
        <v/>
      </c>
      <c r="BI694" s="55" t="str">
        <f aca="false">IF(AND($AX694&lt;&gt;"",$AY694&lt;&gt;""),$AY694-$AX694,"")</f>
        <v/>
      </c>
      <c r="BJ694" s="53" t="str">
        <f aca="false">IF($J694&lt;&gt;"",$J694,"")</f>
        <v/>
      </c>
      <c r="BL694" s="52"/>
      <c r="BM694" s="52" t="str">
        <f aca="false">IF(OR(COUNT(B694:D1693)=0,AND('Choix pédagogiques'!$C$3&lt;&gt;1,'Choix pédagogiques'!$C$3&lt;&gt;2)),"",IF(AND(OR('Choix pédagogiques'!$C$3=1,'Choix pédagogiques'!$C$3=2),$B694&lt;&gt;"",$C694&lt;&gt;"",$D694&lt;&gt;""),1,0))</f>
        <v/>
      </c>
      <c r="BN694" s="52" t="str">
        <f aca="false">IF(OR(COUNT(G694:I1693)=0,AND('Choix pédagogiques'!$C$3&lt;&gt;1,'Choix pédagogiques'!$C$3&lt;&gt;2)),"",IF(AND(OR('Choix pédagogiques'!$C$3=1,'Choix pédagogiques'!$C$3=2),AND($G694&lt;&gt;"",$H694&lt;&gt;"",$I694&lt;&gt;"")),1,0))</f>
        <v/>
      </c>
      <c r="BO694" s="52" t="str">
        <f aca="false">IF(OR(COUNT(B694:D1693)=0,COUNT(G694:I1693)=0,'Choix pédagogiques'!C$3&lt;&gt;3),"",IF(AND('Choix pédagogiques'!$C$3=3,$B694&lt;&gt;"",$C694&lt;&gt;"",$D694&lt;&gt;"",$G694&lt;&gt;"",$H694&lt;&gt;"",$I694&lt;&gt;""),1,0))</f>
        <v/>
      </c>
      <c r="BR694" s="52" t="n">
        <v>733</v>
      </c>
      <c r="BS694" s="52" t="n">
        <v>1228</v>
      </c>
    </row>
    <row r="695" s="54" customFormat="true" ht="18" hidden="false" customHeight="true" outlineLevel="0" collapsed="false">
      <c r="A695" s="57" t="s">
        <v>1321</v>
      </c>
      <c r="B695" s="51"/>
      <c r="C695" s="51"/>
      <c r="D695" s="51"/>
      <c r="E695" s="51"/>
      <c r="F695" s="57" t="s">
        <v>1322</v>
      </c>
      <c r="G695" s="51"/>
      <c r="H695" s="51"/>
      <c r="I695" s="51"/>
      <c r="J695" s="51"/>
      <c r="K695" s="52" t="str">
        <f aca="false">IF($A695&lt;&gt;"",$A695,"")</f>
        <v>Apprenant 683</v>
      </c>
      <c r="L695" s="53" t="str">
        <f aca="false">IF(AND($B695&lt;&gt;"",$C695&lt;&gt;""),$C695-$B695,"")</f>
        <v/>
      </c>
      <c r="M695" s="53" t="str">
        <f aca="false">IF(AND($B695&lt;&gt;"",$D695&lt;&gt;""),$D695-$B695,"")</f>
        <v/>
      </c>
      <c r="N695" s="53" t="str">
        <f aca="false">IF(AND($C695&lt;&gt;"",$D695&lt;&gt;""),$D695-$C695,"")</f>
        <v/>
      </c>
      <c r="O695" s="53" t="str">
        <f aca="false">IF($E695&lt;&gt;"",$E695,"")</f>
        <v/>
      </c>
      <c r="P695" s="52" t="str">
        <f aca="false">IF($F695&lt;&gt;"",$F695,"")</f>
        <v>Apprenant 683 ou 683'</v>
      </c>
      <c r="Q695" s="53" t="str">
        <f aca="false">IF(AND($G695&lt;&gt;"",$H695&lt;&gt;""),$H695-$G695,"")</f>
        <v/>
      </c>
      <c r="R695" s="53" t="str">
        <f aca="false">IF(AND($G695&lt;&gt;"",$I695&lt;&gt;""),$I695-$G695,"")</f>
        <v/>
      </c>
      <c r="S695" s="53" t="str">
        <f aca="false">IF(AND($H695&lt;&gt;"",$I695&lt;&gt;""),$I695-$H695,"")</f>
        <v/>
      </c>
      <c r="T695" s="53" t="str">
        <f aca="false">IF($J695&lt;&gt;"",$J695,"")</f>
        <v/>
      </c>
      <c r="V695" s="52" t="str">
        <f aca="false">IF($A695&lt;&gt;"",$A695,"")</f>
        <v>Apprenant 683</v>
      </c>
      <c r="W695" s="53" t="str">
        <f aca="false">IF(AND(OR('Choix pédagogiques'!$C$3=1,'Choix pédagogiques'!$C$3=2),$BM695=1),B695,IF(AND('Choix pédagogiques'!$C$3=3,$BO695=1),B695,""))</f>
        <v/>
      </c>
      <c r="X695" s="53" t="str">
        <f aca="false">IF(AND(OR('Choix pédagogiques'!$C$3=1,'Choix pédagogiques'!$C$3=2),$BM695=1),C695,IF(AND('Choix pédagogiques'!$C$3=3,$BO695=1),C695,""))</f>
        <v/>
      </c>
      <c r="Y695" s="53" t="str">
        <f aca="false">IF(AND(OR('Choix pédagogiques'!$C$3=1,'Choix pédagogiques'!$C$3=2),$BM695=1),D695,IF(AND('Choix pédagogiques'!$C$3=3,$BO695=1),D695,""))</f>
        <v/>
      </c>
      <c r="Z695" s="53" t="str">
        <f aca="false">IF($E695&lt;&gt;"",$E695,"")</f>
        <v/>
      </c>
      <c r="AA695" s="52" t="str">
        <f aca="false">IF($F695&lt;&gt;"",$F695,"")</f>
        <v>Apprenant 683 ou 683'</v>
      </c>
      <c r="AB695" s="53" t="str">
        <f aca="false">IF(AND(OR('Choix pédagogiques'!$C$3=1,'Choix pédagogiques'!$C$3=2),$BN695=1),G695,IF(AND('Choix pédagogiques'!$C$3=3,$BO695=1),G695,""))</f>
        <v/>
      </c>
      <c r="AC695" s="53" t="str">
        <f aca="false">IF(AND(OR('Choix pédagogiques'!$C$3=1,'Choix pédagogiques'!$C$3=2),$BN695=1),H695,IF(AND('Choix pédagogiques'!$C$3=3,$BO695=1),H695,""))</f>
        <v/>
      </c>
      <c r="AD695" s="53" t="str">
        <f aca="false">IF(AND(OR('Choix pédagogiques'!$C$3=1,'Choix pédagogiques'!$C$3=2),$BN695=1),I695,IF(AND('Choix pédagogiques'!$C$3=3,$BO695=1),I695,""))</f>
        <v/>
      </c>
      <c r="AE695" s="53" t="str">
        <f aca="false">IF($J695&lt;&gt;"",$J695,"")</f>
        <v/>
      </c>
      <c r="AF695" s="52" t="str">
        <f aca="false">IF($A695&lt;&gt;"",$A695,"")</f>
        <v>Apprenant 683</v>
      </c>
      <c r="AG695" s="53" t="str">
        <f aca="false">IF(AND($W695&lt;&gt;"",$X695&lt;&gt;""),$X695-$W695,"")</f>
        <v/>
      </c>
      <c r="AH695" s="53" t="str">
        <f aca="false">IF(AND($W695&lt;&gt;"",$Y695&lt;&gt;""),$Y695-$W695,"")</f>
        <v/>
      </c>
      <c r="AI695" s="53" t="str">
        <f aca="false">IF(AND($X695&lt;&gt;"",$Y695&lt;&gt;""),$Y695-$X695,"")</f>
        <v/>
      </c>
      <c r="AJ695" s="53" t="str">
        <f aca="false">IF($E695&lt;&gt;"",$E695,"")</f>
        <v/>
      </c>
      <c r="AK695" s="52" t="str">
        <f aca="false">IF($F695&lt;&gt;"",$F695,"")</f>
        <v>Apprenant 683 ou 683'</v>
      </c>
      <c r="AL695" s="53" t="str">
        <f aca="false">IF(AND($AB695&lt;&gt;"",$AC695&lt;&gt;""),$AC695-$AB695,"")</f>
        <v/>
      </c>
      <c r="AM695" s="53" t="str">
        <f aca="false">IF(AND($AB695&lt;&gt;"",$AD695&lt;&gt;""),$AD695-$AB695,"")</f>
        <v/>
      </c>
      <c r="AN695" s="53" t="str">
        <f aca="false">IF(AND($AC695&lt;&gt;"",$AD695&lt;&gt;""),$AD695-$AC695,"")</f>
        <v/>
      </c>
      <c r="AO695" s="53" t="str">
        <f aca="false">IF($J695&lt;&gt;"",$J695,"")</f>
        <v/>
      </c>
      <c r="AQ695" s="52" t="str">
        <f aca="false">IF($A695&lt;&gt;"",$A695,"")</f>
        <v>Apprenant 683</v>
      </c>
      <c r="AR695" s="55" t="str">
        <f aca="false">IF(AND('Choix pédagogiques'!$C$4&lt;&gt;"?",'Choix pédagogiques'!$C$5&lt;&gt;"?",W695&lt;&gt;""),(W695-'Choix pédagogiques'!$C$4)/('Choix pédagogiques'!$C$5-'Choix pédagogiques'!$C$4),"")</f>
        <v/>
      </c>
      <c r="AS695" s="55" t="str">
        <f aca="false">IF(AND('Choix pédagogiques'!$C$4&lt;&gt;"?",'Choix pédagogiques'!$C$5&lt;&gt;"?",X695&lt;&gt;""),(X695-'Choix pédagogiques'!$C$4)/('Choix pédagogiques'!$C$5-'Choix pédagogiques'!$C$4),"")</f>
        <v/>
      </c>
      <c r="AT695" s="55" t="str">
        <f aca="false">IF(AND('Choix pédagogiques'!$C$4&lt;&gt;"?",'Choix pédagogiques'!$C$5&lt;&gt;"?",Y695&lt;&gt;""),(Y695-'Choix pédagogiques'!$C$4)/('Choix pédagogiques'!$C$5-'Choix pédagogiques'!$C$4),"")</f>
        <v/>
      </c>
      <c r="AU695" s="53" t="str">
        <f aca="false">IF($E695&lt;&gt;"",$E695,"")</f>
        <v/>
      </c>
      <c r="AV695" s="52" t="str">
        <f aca="false">IF($F695&lt;&gt;"",$F695,"")</f>
        <v>Apprenant 683 ou 683'</v>
      </c>
      <c r="AW695" s="55" t="str">
        <f aca="false">IF(AND('Choix pédagogiques'!$C$4&lt;&gt;"?",'Choix pédagogiques'!$C$5&lt;&gt;"?",AB695&lt;&gt;""),(AB695-'Choix pédagogiques'!$C$4)/('Choix pédagogiques'!$C$5-'Choix pédagogiques'!$C$4),"")</f>
        <v/>
      </c>
      <c r="AX695" s="55" t="str">
        <f aca="false">IF(AND('Choix pédagogiques'!$C$4&lt;&gt;"?",'Choix pédagogiques'!$C$5&lt;&gt;"?",AC695&lt;&gt;""),(AC695-'Choix pédagogiques'!$C$4)/('Choix pédagogiques'!$C$5-'Choix pédagogiques'!$C$4),"")</f>
        <v/>
      </c>
      <c r="AY695" s="55" t="str">
        <f aca="false">IF(AND('Choix pédagogiques'!$C$4&lt;&gt;"?",'Choix pédagogiques'!$C$5&lt;&gt;"?",AD695&lt;&gt;""),(AD695-'Choix pédagogiques'!$C$4)/('Choix pédagogiques'!$C$5-'Choix pédagogiques'!$C$4),"")</f>
        <v/>
      </c>
      <c r="AZ695" s="53" t="str">
        <f aca="false">IF($J695&lt;&gt;"",$J695,"")</f>
        <v/>
      </c>
      <c r="BA695" s="52" t="str">
        <f aca="false">IF($A695&lt;&gt;"",$A695,"")</f>
        <v>Apprenant 683</v>
      </c>
      <c r="BB695" s="55" t="str">
        <f aca="false">IF(AND($AR695&lt;&gt;"",$AS695&lt;&gt;""),$AS695-$AR695,"")</f>
        <v/>
      </c>
      <c r="BC695" s="55" t="str">
        <f aca="false">IF(AND($AR695&lt;&gt;"",$AT695&lt;&gt;""),$AT695-$AR695,"")</f>
        <v/>
      </c>
      <c r="BD695" s="55" t="str">
        <f aca="false">IF(AND($AS695&lt;&gt;"",$AT695&lt;&gt;""),$AT695-$AS695,"")</f>
        <v/>
      </c>
      <c r="BE695" s="53" t="str">
        <f aca="false">IF($E695&lt;&gt;"",$E695,"")</f>
        <v/>
      </c>
      <c r="BF695" s="52" t="str">
        <f aca="false">IF($F695&lt;&gt;"",$F695,"")</f>
        <v>Apprenant 683 ou 683'</v>
      </c>
      <c r="BG695" s="55" t="str">
        <f aca="false">IF(AND($AW695&lt;&gt;"",$AX695&lt;&gt;""),$AX695-$AW695,"")</f>
        <v/>
      </c>
      <c r="BH695" s="55" t="str">
        <f aca="false">IF(AND($AW695&lt;&gt;"",$AY695&lt;&gt;""),$AY695-$AW695,"")</f>
        <v/>
      </c>
      <c r="BI695" s="55" t="str">
        <f aca="false">IF(AND($AX695&lt;&gt;"",$AY695&lt;&gt;""),$AY695-$AX695,"")</f>
        <v/>
      </c>
      <c r="BJ695" s="53" t="str">
        <f aca="false">IF($J695&lt;&gt;"",$J695,"")</f>
        <v/>
      </c>
      <c r="BL695" s="52"/>
      <c r="BM695" s="52" t="str">
        <f aca="false">IF(OR(COUNT(B695:D1694)=0,AND('Choix pédagogiques'!$C$3&lt;&gt;1,'Choix pédagogiques'!$C$3&lt;&gt;2)),"",IF(AND(OR('Choix pédagogiques'!$C$3=1,'Choix pédagogiques'!$C$3=2),$B695&lt;&gt;"",$C695&lt;&gt;"",$D695&lt;&gt;""),1,0))</f>
        <v/>
      </c>
      <c r="BN695" s="52" t="str">
        <f aca="false">IF(OR(COUNT(G695:I1694)=0,AND('Choix pédagogiques'!$C$3&lt;&gt;1,'Choix pédagogiques'!$C$3&lt;&gt;2)),"",IF(AND(OR('Choix pédagogiques'!$C$3=1,'Choix pédagogiques'!$C$3=2),AND($G695&lt;&gt;"",$H695&lt;&gt;"",$I695&lt;&gt;"")),1,0))</f>
        <v/>
      </c>
      <c r="BO695" s="52" t="str">
        <f aca="false">IF(OR(COUNT(B695:D1694)=0,COUNT(G695:I1694)=0,'Choix pédagogiques'!C$3&lt;&gt;3),"",IF(AND('Choix pédagogiques'!$C$3=3,$B695&lt;&gt;"",$C695&lt;&gt;"",$D695&lt;&gt;"",$G695&lt;&gt;"",$H695&lt;&gt;"",$I695&lt;&gt;""),1,0))</f>
        <v/>
      </c>
      <c r="BR695" s="52" t="n">
        <v>951</v>
      </c>
      <c r="BS695" s="52" t="n">
        <v>1616</v>
      </c>
    </row>
    <row r="696" s="54" customFormat="true" ht="18" hidden="false" customHeight="true" outlineLevel="0" collapsed="false">
      <c r="A696" s="57" t="s">
        <v>1323</v>
      </c>
      <c r="B696" s="51"/>
      <c r="C696" s="51"/>
      <c r="D696" s="51"/>
      <c r="E696" s="51"/>
      <c r="F696" s="57" t="s">
        <v>1324</v>
      </c>
      <c r="G696" s="51"/>
      <c r="H696" s="51"/>
      <c r="I696" s="51"/>
      <c r="J696" s="51"/>
      <c r="K696" s="52" t="str">
        <f aca="false">IF($A696&lt;&gt;"",$A696,"")</f>
        <v>Apprenant 684</v>
      </c>
      <c r="L696" s="53" t="str">
        <f aca="false">IF(AND($B696&lt;&gt;"",$C696&lt;&gt;""),$C696-$B696,"")</f>
        <v/>
      </c>
      <c r="M696" s="53" t="str">
        <f aca="false">IF(AND($B696&lt;&gt;"",$D696&lt;&gt;""),$D696-$B696,"")</f>
        <v/>
      </c>
      <c r="N696" s="53" t="str">
        <f aca="false">IF(AND($C696&lt;&gt;"",$D696&lt;&gt;""),$D696-$C696,"")</f>
        <v/>
      </c>
      <c r="O696" s="53" t="str">
        <f aca="false">IF($E696&lt;&gt;"",$E696,"")</f>
        <v/>
      </c>
      <c r="P696" s="52" t="str">
        <f aca="false">IF($F696&lt;&gt;"",$F696,"")</f>
        <v>Apprenant 684 ou 684'</v>
      </c>
      <c r="Q696" s="53" t="str">
        <f aca="false">IF(AND($G696&lt;&gt;"",$H696&lt;&gt;""),$H696-$G696,"")</f>
        <v/>
      </c>
      <c r="R696" s="53" t="str">
        <f aca="false">IF(AND($G696&lt;&gt;"",$I696&lt;&gt;""),$I696-$G696,"")</f>
        <v/>
      </c>
      <c r="S696" s="53" t="str">
        <f aca="false">IF(AND($H696&lt;&gt;"",$I696&lt;&gt;""),$I696-$H696,"")</f>
        <v/>
      </c>
      <c r="T696" s="53" t="str">
        <f aca="false">IF($J696&lt;&gt;"",$J696,"")</f>
        <v/>
      </c>
      <c r="V696" s="52" t="str">
        <f aca="false">IF($A696&lt;&gt;"",$A696,"")</f>
        <v>Apprenant 684</v>
      </c>
      <c r="W696" s="53" t="str">
        <f aca="false">IF(AND(OR('Choix pédagogiques'!$C$3=1,'Choix pédagogiques'!$C$3=2),$BM696=1),B696,IF(AND('Choix pédagogiques'!$C$3=3,$BO696=1),B696,""))</f>
        <v/>
      </c>
      <c r="X696" s="53" t="str">
        <f aca="false">IF(AND(OR('Choix pédagogiques'!$C$3=1,'Choix pédagogiques'!$C$3=2),$BM696=1),C696,IF(AND('Choix pédagogiques'!$C$3=3,$BO696=1),C696,""))</f>
        <v/>
      </c>
      <c r="Y696" s="53" t="str">
        <f aca="false">IF(AND(OR('Choix pédagogiques'!$C$3=1,'Choix pédagogiques'!$C$3=2),$BM696=1),D696,IF(AND('Choix pédagogiques'!$C$3=3,$BO696=1),D696,""))</f>
        <v/>
      </c>
      <c r="Z696" s="53" t="str">
        <f aca="false">IF($E696&lt;&gt;"",$E696,"")</f>
        <v/>
      </c>
      <c r="AA696" s="52" t="str">
        <f aca="false">IF($F696&lt;&gt;"",$F696,"")</f>
        <v>Apprenant 684 ou 684'</v>
      </c>
      <c r="AB696" s="53" t="str">
        <f aca="false">IF(AND(OR('Choix pédagogiques'!$C$3=1,'Choix pédagogiques'!$C$3=2),$BN696=1),G696,IF(AND('Choix pédagogiques'!$C$3=3,$BO696=1),G696,""))</f>
        <v/>
      </c>
      <c r="AC696" s="53" t="str">
        <f aca="false">IF(AND(OR('Choix pédagogiques'!$C$3=1,'Choix pédagogiques'!$C$3=2),$BN696=1),H696,IF(AND('Choix pédagogiques'!$C$3=3,$BO696=1),H696,""))</f>
        <v/>
      </c>
      <c r="AD696" s="53" t="str">
        <f aca="false">IF(AND(OR('Choix pédagogiques'!$C$3=1,'Choix pédagogiques'!$C$3=2),$BN696=1),I696,IF(AND('Choix pédagogiques'!$C$3=3,$BO696=1),I696,""))</f>
        <v/>
      </c>
      <c r="AE696" s="53" t="str">
        <f aca="false">IF($J696&lt;&gt;"",$J696,"")</f>
        <v/>
      </c>
      <c r="AF696" s="52" t="str">
        <f aca="false">IF($A696&lt;&gt;"",$A696,"")</f>
        <v>Apprenant 684</v>
      </c>
      <c r="AG696" s="53" t="str">
        <f aca="false">IF(AND($W696&lt;&gt;"",$X696&lt;&gt;""),$X696-$W696,"")</f>
        <v/>
      </c>
      <c r="AH696" s="53" t="str">
        <f aca="false">IF(AND($W696&lt;&gt;"",$Y696&lt;&gt;""),$Y696-$W696,"")</f>
        <v/>
      </c>
      <c r="AI696" s="53" t="str">
        <f aca="false">IF(AND($X696&lt;&gt;"",$Y696&lt;&gt;""),$Y696-$X696,"")</f>
        <v/>
      </c>
      <c r="AJ696" s="53" t="str">
        <f aca="false">IF($E696&lt;&gt;"",$E696,"")</f>
        <v/>
      </c>
      <c r="AK696" s="52" t="str">
        <f aca="false">IF($F696&lt;&gt;"",$F696,"")</f>
        <v>Apprenant 684 ou 684'</v>
      </c>
      <c r="AL696" s="53" t="str">
        <f aca="false">IF(AND($AB696&lt;&gt;"",$AC696&lt;&gt;""),$AC696-$AB696,"")</f>
        <v/>
      </c>
      <c r="AM696" s="53" t="str">
        <f aca="false">IF(AND($AB696&lt;&gt;"",$AD696&lt;&gt;""),$AD696-$AB696,"")</f>
        <v/>
      </c>
      <c r="AN696" s="53" t="str">
        <f aca="false">IF(AND($AC696&lt;&gt;"",$AD696&lt;&gt;""),$AD696-$AC696,"")</f>
        <v/>
      </c>
      <c r="AO696" s="53" t="str">
        <f aca="false">IF($J696&lt;&gt;"",$J696,"")</f>
        <v/>
      </c>
      <c r="AQ696" s="52" t="str">
        <f aca="false">IF($A696&lt;&gt;"",$A696,"")</f>
        <v>Apprenant 684</v>
      </c>
      <c r="AR696" s="55" t="str">
        <f aca="false">IF(AND('Choix pédagogiques'!$C$4&lt;&gt;"?",'Choix pédagogiques'!$C$5&lt;&gt;"?",W696&lt;&gt;""),(W696-'Choix pédagogiques'!$C$4)/('Choix pédagogiques'!$C$5-'Choix pédagogiques'!$C$4),"")</f>
        <v/>
      </c>
      <c r="AS696" s="55" t="str">
        <f aca="false">IF(AND('Choix pédagogiques'!$C$4&lt;&gt;"?",'Choix pédagogiques'!$C$5&lt;&gt;"?",X696&lt;&gt;""),(X696-'Choix pédagogiques'!$C$4)/('Choix pédagogiques'!$C$5-'Choix pédagogiques'!$C$4),"")</f>
        <v/>
      </c>
      <c r="AT696" s="55" t="str">
        <f aca="false">IF(AND('Choix pédagogiques'!$C$4&lt;&gt;"?",'Choix pédagogiques'!$C$5&lt;&gt;"?",Y696&lt;&gt;""),(Y696-'Choix pédagogiques'!$C$4)/('Choix pédagogiques'!$C$5-'Choix pédagogiques'!$C$4),"")</f>
        <v/>
      </c>
      <c r="AU696" s="53" t="str">
        <f aca="false">IF($E696&lt;&gt;"",$E696,"")</f>
        <v/>
      </c>
      <c r="AV696" s="52" t="str">
        <f aca="false">IF($F696&lt;&gt;"",$F696,"")</f>
        <v>Apprenant 684 ou 684'</v>
      </c>
      <c r="AW696" s="55" t="str">
        <f aca="false">IF(AND('Choix pédagogiques'!$C$4&lt;&gt;"?",'Choix pédagogiques'!$C$5&lt;&gt;"?",AB696&lt;&gt;""),(AB696-'Choix pédagogiques'!$C$4)/('Choix pédagogiques'!$C$5-'Choix pédagogiques'!$C$4),"")</f>
        <v/>
      </c>
      <c r="AX696" s="55" t="str">
        <f aca="false">IF(AND('Choix pédagogiques'!$C$4&lt;&gt;"?",'Choix pédagogiques'!$C$5&lt;&gt;"?",AC696&lt;&gt;""),(AC696-'Choix pédagogiques'!$C$4)/('Choix pédagogiques'!$C$5-'Choix pédagogiques'!$C$4),"")</f>
        <v/>
      </c>
      <c r="AY696" s="55" t="str">
        <f aca="false">IF(AND('Choix pédagogiques'!$C$4&lt;&gt;"?",'Choix pédagogiques'!$C$5&lt;&gt;"?",AD696&lt;&gt;""),(AD696-'Choix pédagogiques'!$C$4)/('Choix pédagogiques'!$C$5-'Choix pédagogiques'!$C$4),"")</f>
        <v/>
      </c>
      <c r="AZ696" s="53" t="str">
        <f aca="false">IF($J696&lt;&gt;"",$J696,"")</f>
        <v/>
      </c>
      <c r="BA696" s="52" t="str">
        <f aca="false">IF($A696&lt;&gt;"",$A696,"")</f>
        <v>Apprenant 684</v>
      </c>
      <c r="BB696" s="55" t="str">
        <f aca="false">IF(AND($AR696&lt;&gt;"",$AS696&lt;&gt;""),$AS696-$AR696,"")</f>
        <v/>
      </c>
      <c r="BC696" s="55" t="str">
        <f aca="false">IF(AND($AR696&lt;&gt;"",$AT696&lt;&gt;""),$AT696-$AR696,"")</f>
        <v/>
      </c>
      <c r="BD696" s="55" t="str">
        <f aca="false">IF(AND($AS696&lt;&gt;"",$AT696&lt;&gt;""),$AT696-$AS696,"")</f>
        <v/>
      </c>
      <c r="BE696" s="53" t="str">
        <f aca="false">IF($E696&lt;&gt;"",$E696,"")</f>
        <v/>
      </c>
      <c r="BF696" s="52" t="str">
        <f aca="false">IF($F696&lt;&gt;"",$F696,"")</f>
        <v>Apprenant 684 ou 684'</v>
      </c>
      <c r="BG696" s="55" t="str">
        <f aca="false">IF(AND($AW696&lt;&gt;"",$AX696&lt;&gt;""),$AX696-$AW696,"")</f>
        <v/>
      </c>
      <c r="BH696" s="55" t="str">
        <f aca="false">IF(AND($AW696&lt;&gt;"",$AY696&lt;&gt;""),$AY696-$AW696,"")</f>
        <v/>
      </c>
      <c r="BI696" s="55" t="str">
        <f aca="false">IF(AND($AX696&lt;&gt;"",$AY696&lt;&gt;""),$AY696-$AX696,"")</f>
        <v/>
      </c>
      <c r="BJ696" s="53" t="str">
        <f aca="false">IF($J696&lt;&gt;"",$J696,"")</f>
        <v/>
      </c>
      <c r="BL696" s="52"/>
      <c r="BM696" s="52" t="str">
        <f aca="false">IF(OR(COUNT(B696:D1695)=0,AND('Choix pédagogiques'!$C$3&lt;&gt;1,'Choix pédagogiques'!$C$3&lt;&gt;2)),"",IF(AND(OR('Choix pédagogiques'!$C$3=1,'Choix pédagogiques'!$C$3=2),$B696&lt;&gt;"",$C696&lt;&gt;"",$D696&lt;&gt;""),1,0))</f>
        <v/>
      </c>
      <c r="BN696" s="52" t="str">
        <f aca="false">IF(OR(COUNT(G696:I1695)=0,AND('Choix pédagogiques'!$C$3&lt;&gt;1,'Choix pédagogiques'!$C$3&lt;&gt;2)),"",IF(AND(OR('Choix pédagogiques'!$C$3=1,'Choix pédagogiques'!$C$3=2),AND($G696&lt;&gt;"",$H696&lt;&gt;"",$I696&lt;&gt;"")),1,0))</f>
        <v/>
      </c>
      <c r="BO696" s="52" t="str">
        <f aca="false">IF(OR(COUNT(B696:D1695)=0,COUNT(G696:I1695)=0,'Choix pédagogiques'!C$3&lt;&gt;3),"",IF(AND('Choix pédagogiques'!$C$3=3,$B696&lt;&gt;"",$C696&lt;&gt;"",$D696&lt;&gt;"",$G696&lt;&gt;"",$H696&lt;&gt;"",$I696&lt;&gt;""),1,0))</f>
        <v/>
      </c>
      <c r="BR696" s="52" t="n">
        <v>33</v>
      </c>
      <c r="BS696" s="52" t="n">
        <v>1618</v>
      </c>
    </row>
    <row r="697" s="54" customFormat="true" ht="18" hidden="false" customHeight="true" outlineLevel="0" collapsed="false">
      <c r="A697" s="57" t="s">
        <v>1325</v>
      </c>
      <c r="B697" s="51"/>
      <c r="C697" s="51"/>
      <c r="D697" s="51"/>
      <c r="E697" s="51"/>
      <c r="F697" s="57" t="s">
        <v>1326</v>
      </c>
      <c r="G697" s="51"/>
      <c r="H697" s="51"/>
      <c r="I697" s="51"/>
      <c r="J697" s="51"/>
      <c r="K697" s="52" t="str">
        <f aca="false">IF($A697&lt;&gt;"",$A697,"")</f>
        <v>Apprenant 685</v>
      </c>
      <c r="L697" s="53" t="str">
        <f aca="false">IF(AND($B697&lt;&gt;"",$C697&lt;&gt;""),$C697-$B697,"")</f>
        <v/>
      </c>
      <c r="M697" s="53" t="str">
        <f aca="false">IF(AND($B697&lt;&gt;"",$D697&lt;&gt;""),$D697-$B697,"")</f>
        <v/>
      </c>
      <c r="N697" s="53" t="str">
        <f aca="false">IF(AND($C697&lt;&gt;"",$D697&lt;&gt;""),$D697-$C697,"")</f>
        <v/>
      </c>
      <c r="O697" s="53" t="str">
        <f aca="false">IF($E697&lt;&gt;"",$E697,"")</f>
        <v/>
      </c>
      <c r="P697" s="52" t="str">
        <f aca="false">IF($F697&lt;&gt;"",$F697,"")</f>
        <v>Apprenant 685 ou 685'</v>
      </c>
      <c r="Q697" s="53" t="str">
        <f aca="false">IF(AND($G697&lt;&gt;"",$H697&lt;&gt;""),$H697-$G697,"")</f>
        <v/>
      </c>
      <c r="R697" s="53" t="str">
        <f aca="false">IF(AND($G697&lt;&gt;"",$I697&lt;&gt;""),$I697-$G697,"")</f>
        <v/>
      </c>
      <c r="S697" s="53" t="str">
        <f aca="false">IF(AND($H697&lt;&gt;"",$I697&lt;&gt;""),$I697-$H697,"")</f>
        <v/>
      </c>
      <c r="T697" s="53" t="str">
        <f aca="false">IF($J697&lt;&gt;"",$J697,"")</f>
        <v/>
      </c>
      <c r="V697" s="52" t="str">
        <f aca="false">IF($A697&lt;&gt;"",$A697,"")</f>
        <v>Apprenant 685</v>
      </c>
      <c r="W697" s="53" t="str">
        <f aca="false">IF(AND(OR('Choix pédagogiques'!$C$3=1,'Choix pédagogiques'!$C$3=2),$BM697=1),B697,IF(AND('Choix pédagogiques'!$C$3=3,$BO697=1),B697,""))</f>
        <v/>
      </c>
      <c r="X697" s="53" t="str">
        <f aca="false">IF(AND(OR('Choix pédagogiques'!$C$3=1,'Choix pédagogiques'!$C$3=2),$BM697=1),C697,IF(AND('Choix pédagogiques'!$C$3=3,$BO697=1),C697,""))</f>
        <v/>
      </c>
      <c r="Y697" s="53" t="str">
        <f aca="false">IF(AND(OR('Choix pédagogiques'!$C$3=1,'Choix pédagogiques'!$C$3=2),$BM697=1),D697,IF(AND('Choix pédagogiques'!$C$3=3,$BO697=1),D697,""))</f>
        <v/>
      </c>
      <c r="Z697" s="53" t="str">
        <f aca="false">IF($E697&lt;&gt;"",$E697,"")</f>
        <v/>
      </c>
      <c r="AA697" s="52" t="str">
        <f aca="false">IF($F697&lt;&gt;"",$F697,"")</f>
        <v>Apprenant 685 ou 685'</v>
      </c>
      <c r="AB697" s="53" t="str">
        <f aca="false">IF(AND(OR('Choix pédagogiques'!$C$3=1,'Choix pédagogiques'!$C$3=2),$BN697=1),G697,IF(AND('Choix pédagogiques'!$C$3=3,$BO697=1),G697,""))</f>
        <v/>
      </c>
      <c r="AC697" s="53" t="str">
        <f aca="false">IF(AND(OR('Choix pédagogiques'!$C$3=1,'Choix pédagogiques'!$C$3=2),$BN697=1),H697,IF(AND('Choix pédagogiques'!$C$3=3,$BO697=1),H697,""))</f>
        <v/>
      </c>
      <c r="AD697" s="53" t="str">
        <f aca="false">IF(AND(OR('Choix pédagogiques'!$C$3=1,'Choix pédagogiques'!$C$3=2),$BN697=1),I697,IF(AND('Choix pédagogiques'!$C$3=3,$BO697=1),I697,""))</f>
        <v/>
      </c>
      <c r="AE697" s="53" t="str">
        <f aca="false">IF($J697&lt;&gt;"",$J697,"")</f>
        <v/>
      </c>
      <c r="AF697" s="52" t="str">
        <f aca="false">IF($A697&lt;&gt;"",$A697,"")</f>
        <v>Apprenant 685</v>
      </c>
      <c r="AG697" s="53" t="str">
        <f aca="false">IF(AND($W697&lt;&gt;"",$X697&lt;&gt;""),$X697-$W697,"")</f>
        <v/>
      </c>
      <c r="AH697" s="53" t="str">
        <f aca="false">IF(AND($W697&lt;&gt;"",$Y697&lt;&gt;""),$Y697-$W697,"")</f>
        <v/>
      </c>
      <c r="AI697" s="53" t="str">
        <f aca="false">IF(AND($X697&lt;&gt;"",$Y697&lt;&gt;""),$Y697-$X697,"")</f>
        <v/>
      </c>
      <c r="AJ697" s="53" t="str">
        <f aca="false">IF($E697&lt;&gt;"",$E697,"")</f>
        <v/>
      </c>
      <c r="AK697" s="52" t="str">
        <f aca="false">IF($F697&lt;&gt;"",$F697,"")</f>
        <v>Apprenant 685 ou 685'</v>
      </c>
      <c r="AL697" s="53" t="str">
        <f aca="false">IF(AND($AB697&lt;&gt;"",$AC697&lt;&gt;""),$AC697-$AB697,"")</f>
        <v/>
      </c>
      <c r="AM697" s="53" t="str">
        <f aca="false">IF(AND($AB697&lt;&gt;"",$AD697&lt;&gt;""),$AD697-$AB697,"")</f>
        <v/>
      </c>
      <c r="AN697" s="53" t="str">
        <f aca="false">IF(AND($AC697&lt;&gt;"",$AD697&lt;&gt;""),$AD697-$AC697,"")</f>
        <v/>
      </c>
      <c r="AO697" s="53" t="str">
        <f aca="false">IF($J697&lt;&gt;"",$J697,"")</f>
        <v/>
      </c>
      <c r="AQ697" s="52" t="str">
        <f aca="false">IF($A697&lt;&gt;"",$A697,"")</f>
        <v>Apprenant 685</v>
      </c>
      <c r="AR697" s="55" t="str">
        <f aca="false">IF(AND('Choix pédagogiques'!$C$4&lt;&gt;"?",'Choix pédagogiques'!$C$5&lt;&gt;"?",W697&lt;&gt;""),(W697-'Choix pédagogiques'!$C$4)/('Choix pédagogiques'!$C$5-'Choix pédagogiques'!$C$4),"")</f>
        <v/>
      </c>
      <c r="AS697" s="55" t="str">
        <f aca="false">IF(AND('Choix pédagogiques'!$C$4&lt;&gt;"?",'Choix pédagogiques'!$C$5&lt;&gt;"?",X697&lt;&gt;""),(X697-'Choix pédagogiques'!$C$4)/('Choix pédagogiques'!$C$5-'Choix pédagogiques'!$C$4),"")</f>
        <v/>
      </c>
      <c r="AT697" s="55" t="str">
        <f aca="false">IF(AND('Choix pédagogiques'!$C$4&lt;&gt;"?",'Choix pédagogiques'!$C$5&lt;&gt;"?",Y697&lt;&gt;""),(Y697-'Choix pédagogiques'!$C$4)/('Choix pédagogiques'!$C$5-'Choix pédagogiques'!$C$4),"")</f>
        <v/>
      </c>
      <c r="AU697" s="53" t="str">
        <f aca="false">IF($E697&lt;&gt;"",$E697,"")</f>
        <v/>
      </c>
      <c r="AV697" s="52" t="str">
        <f aca="false">IF($F697&lt;&gt;"",$F697,"")</f>
        <v>Apprenant 685 ou 685'</v>
      </c>
      <c r="AW697" s="55" t="str">
        <f aca="false">IF(AND('Choix pédagogiques'!$C$4&lt;&gt;"?",'Choix pédagogiques'!$C$5&lt;&gt;"?",AB697&lt;&gt;""),(AB697-'Choix pédagogiques'!$C$4)/('Choix pédagogiques'!$C$5-'Choix pédagogiques'!$C$4),"")</f>
        <v/>
      </c>
      <c r="AX697" s="55" t="str">
        <f aca="false">IF(AND('Choix pédagogiques'!$C$4&lt;&gt;"?",'Choix pédagogiques'!$C$5&lt;&gt;"?",AC697&lt;&gt;""),(AC697-'Choix pédagogiques'!$C$4)/('Choix pédagogiques'!$C$5-'Choix pédagogiques'!$C$4),"")</f>
        <v/>
      </c>
      <c r="AY697" s="55" t="str">
        <f aca="false">IF(AND('Choix pédagogiques'!$C$4&lt;&gt;"?",'Choix pédagogiques'!$C$5&lt;&gt;"?",AD697&lt;&gt;""),(AD697-'Choix pédagogiques'!$C$4)/('Choix pédagogiques'!$C$5-'Choix pédagogiques'!$C$4),"")</f>
        <v/>
      </c>
      <c r="AZ697" s="53" t="str">
        <f aca="false">IF($J697&lt;&gt;"",$J697,"")</f>
        <v/>
      </c>
      <c r="BA697" s="52" t="str">
        <f aca="false">IF($A697&lt;&gt;"",$A697,"")</f>
        <v>Apprenant 685</v>
      </c>
      <c r="BB697" s="55" t="str">
        <f aca="false">IF(AND($AR697&lt;&gt;"",$AS697&lt;&gt;""),$AS697-$AR697,"")</f>
        <v/>
      </c>
      <c r="BC697" s="55" t="str">
        <f aca="false">IF(AND($AR697&lt;&gt;"",$AT697&lt;&gt;""),$AT697-$AR697,"")</f>
        <v/>
      </c>
      <c r="BD697" s="55" t="str">
        <f aca="false">IF(AND($AS697&lt;&gt;"",$AT697&lt;&gt;""),$AT697-$AS697,"")</f>
        <v/>
      </c>
      <c r="BE697" s="53" t="str">
        <f aca="false">IF($E697&lt;&gt;"",$E697,"")</f>
        <v/>
      </c>
      <c r="BF697" s="52" t="str">
        <f aca="false">IF($F697&lt;&gt;"",$F697,"")</f>
        <v>Apprenant 685 ou 685'</v>
      </c>
      <c r="BG697" s="55" t="str">
        <f aca="false">IF(AND($AW697&lt;&gt;"",$AX697&lt;&gt;""),$AX697-$AW697,"")</f>
        <v/>
      </c>
      <c r="BH697" s="55" t="str">
        <f aca="false">IF(AND($AW697&lt;&gt;"",$AY697&lt;&gt;""),$AY697-$AW697,"")</f>
        <v/>
      </c>
      <c r="BI697" s="55" t="str">
        <f aca="false">IF(AND($AX697&lt;&gt;"",$AY697&lt;&gt;""),$AY697-$AX697,"")</f>
        <v/>
      </c>
      <c r="BJ697" s="53" t="str">
        <f aca="false">IF($J697&lt;&gt;"",$J697,"")</f>
        <v/>
      </c>
      <c r="BL697" s="52"/>
      <c r="BM697" s="52" t="str">
        <f aca="false">IF(OR(COUNT(B697:D1696)=0,AND('Choix pédagogiques'!$C$3&lt;&gt;1,'Choix pédagogiques'!$C$3&lt;&gt;2)),"",IF(AND(OR('Choix pédagogiques'!$C$3=1,'Choix pédagogiques'!$C$3=2),$B697&lt;&gt;"",$C697&lt;&gt;"",$D697&lt;&gt;""),1,0))</f>
        <v/>
      </c>
      <c r="BN697" s="52" t="str">
        <f aca="false">IF(OR(COUNT(G697:I1696)=0,AND('Choix pédagogiques'!$C$3&lt;&gt;1,'Choix pédagogiques'!$C$3&lt;&gt;2)),"",IF(AND(OR('Choix pédagogiques'!$C$3=1,'Choix pédagogiques'!$C$3=2),AND($G697&lt;&gt;"",$H697&lt;&gt;"",$I697&lt;&gt;"")),1,0))</f>
        <v/>
      </c>
      <c r="BO697" s="52" t="str">
        <f aca="false">IF(OR(COUNT(B697:D1696)=0,COUNT(G697:I1696)=0,'Choix pédagogiques'!C$3&lt;&gt;3),"",IF(AND('Choix pédagogiques'!$C$3=3,$B697&lt;&gt;"",$C697&lt;&gt;"",$D697&lt;&gt;"",$G697&lt;&gt;"",$H697&lt;&gt;"",$I697&lt;&gt;""),1,0))</f>
        <v/>
      </c>
      <c r="BR697" s="52" t="n">
        <v>156</v>
      </c>
      <c r="BS697" s="52" t="n">
        <v>1462</v>
      </c>
    </row>
    <row r="698" s="54" customFormat="true" ht="18" hidden="false" customHeight="true" outlineLevel="0" collapsed="false">
      <c r="A698" s="57" t="s">
        <v>1327</v>
      </c>
      <c r="B698" s="51"/>
      <c r="C698" s="51"/>
      <c r="D698" s="51"/>
      <c r="E698" s="51"/>
      <c r="F698" s="57" t="s">
        <v>1328</v>
      </c>
      <c r="G698" s="51"/>
      <c r="H698" s="51"/>
      <c r="I698" s="51"/>
      <c r="J698" s="51"/>
      <c r="K698" s="52" t="str">
        <f aca="false">IF($A698&lt;&gt;"",$A698,"")</f>
        <v>Apprenant 686</v>
      </c>
      <c r="L698" s="53" t="str">
        <f aca="false">IF(AND($B698&lt;&gt;"",$C698&lt;&gt;""),$C698-$B698,"")</f>
        <v/>
      </c>
      <c r="M698" s="53" t="str">
        <f aca="false">IF(AND($B698&lt;&gt;"",$D698&lt;&gt;""),$D698-$B698,"")</f>
        <v/>
      </c>
      <c r="N698" s="53" t="str">
        <f aca="false">IF(AND($C698&lt;&gt;"",$D698&lt;&gt;""),$D698-$C698,"")</f>
        <v/>
      </c>
      <c r="O698" s="53" t="str">
        <f aca="false">IF($E698&lt;&gt;"",$E698,"")</f>
        <v/>
      </c>
      <c r="P698" s="52" t="str">
        <f aca="false">IF($F698&lt;&gt;"",$F698,"")</f>
        <v>Apprenant 686 ou 686'</v>
      </c>
      <c r="Q698" s="53" t="str">
        <f aca="false">IF(AND($G698&lt;&gt;"",$H698&lt;&gt;""),$H698-$G698,"")</f>
        <v/>
      </c>
      <c r="R698" s="53" t="str">
        <f aca="false">IF(AND($G698&lt;&gt;"",$I698&lt;&gt;""),$I698-$G698,"")</f>
        <v/>
      </c>
      <c r="S698" s="53" t="str">
        <f aca="false">IF(AND($H698&lt;&gt;"",$I698&lt;&gt;""),$I698-$H698,"")</f>
        <v/>
      </c>
      <c r="T698" s="53" t="str">
        <f aca="false">IF($J698&lt;&gt;"",$J698,"")</f>
        <v/>
      </c>
      <c r="V698" s="52" t="str">
        <f aca="false">IF($A698&lt;&gt;"",$A698,"")</f>
        <v>Apprenant 686</v>
      </c>
      <c r="W698" s="53" t="str">
        <f aca="false">IF(AND(OR('Choix pédagogiques'!$C$3=1,'Choix pédagogiques'!$C$3=2),$BM698=1),B698,IF(AND('Choix pédagogiques'!$C$3=3,$BO698=1),B698,""))</f>
        <v/>
      </c>
      <c r="X698" s="53" t="str">
        <f aca="false">IF(AND(OR('Choix pédagogiques'!$C$3=1,'Choix pédagogiques'!$C$3=2),$BM698=1),C698,IF(AND('Choix pédagogiques'!$C$3=3,$BO698=1),C698,""))</f>
        <v/>
      </c>
      <c r="Y698" s="53" t="str">
        <f aca="false">IF(AND(OR('Choix pédagogiques'!$C$3=1,'Choix pédagogiques'!$C$3=2),$BM698=1),D698,IF(AND('Choix pédagogiques'!$C$3=3,$BO698=1),D698,""))</f>
        <v/>
      </c>
      <c r="Z698" s="53" t="str">
        <f aca="false">IF($E698&lt;&gt;"",$E698,"")</f>
        <v/>
      </c>
      <c r="AA698" s="52" t="str">
        <f aca="false">IF($F698&lt;&gt;"",$F698,"")</f>
        <v>Apprenant 686 ou 686'</v>
      </c>
      <c r="AB698" s="53" t="str">
        <f aca="false">IF(AND(OR('Choix pédagogiques'!$C$3=1,'Choix pédagogiques'!$C$3=2),$BN698=1),G698,IF(AND('Choix pédagogiques'!$C$3=3,$BO698=1),G698,""))</f>
        <v/>
      </c>
      <c r="AC698" s="53" t="str">
        <f aca="false">IF(AND(OR('Choix pédagogiques'!$C$3=1,'Choix pédagogiques'!$C$3=2),$BN698=1),H698,IF(AND('Choix pédagogiques'!$C$3=3,$BO698=1),H698,""))</f>
        <v/>
      </c>
      <c r="AD698" s="53" t="str">
        <f aca="false">IF(AND(OR('Choix pédagogiques'!$C$3=1,'Choix pédagogiques'!$C$3=2),$BN698=1),I698,IF(AND('Choix pédagogiques'!$C$3=3,$BO698=1),I698,""))</f>
        <v/>
      </c>
      <c r="AE698" s="53" t="str">
        <f aca="false">IF($J698&lt;&gt;"",$J698,"")</f>
        <v/>
      </c>
      <c r="AF698" s="52" t="str">
        <f aca="false">IF($A698&lt;&gt;"",$A698,"")</f>
        <v>Apprenant 686</v>
      </c>
      <c r="AG698" s="53" t="str">
        <f aca="false">IF(AND($W698&lt;&gt;"",$X698&lt;&gt;""),$X698-$W698,"")</f>
        <v/>
      </c>
      <c r="AH698" s="53" t="str">
        <f aca="false">IF(AND($W698&lt;&gt;"",$Y698&lt;&gt;""),$Y698-$W698,"")</f>
        <v/>
      </c>
      <c r="AI698" s="53" t="str">
        <f aca="false">IF(AND($X698&lt;&gt;"",$Y698&lt;&gt;""),$Y698-$X698,"")</f>
        <v/>
      </c>
      <c r="AJ698" s="53" t="str">
        <f aca="false">IF($E698&lt;&gt;"",$E698,"")</f>
        <v/>
      </c>
      <c r="AK698" s="52" t="str">
        <f aca="false">IF($F698&lt;&gt;"",$F698,"")</f>
        <v>Apprenant 686 ou 686'</v>
      </c>
      <c r="AL698" s="53" t="str">
        <f aca="false">IF(AND($AB698&lt;&gt;"",$AC698&lt;&gt;""),$AC698-$AB698,"")</f>
        <v/>
      </c>
      <c r="AM698" s="53" t="str">
        <f aca="false">IF(AND($AB698&lt;&gt;"",$AD698&lt;&gt;""),$AD698-$AB698,"")</f>
        <v/>
      </c>
      <c r="AN698" s="53" t="str">
        <f aca="false">IF(AND($AC698&lt;&gt;"",$AD698&lt;&gt;""),$AD698-$AC698,"")</f>
        <v/>
      </c>
      <c r="AO698" s="53" t="str">
        <f aca="false">IF($J698&lt;&gt;"",$J698,"")</f>
        <v/>
      </c>
      <c r="AQ698" s="52" t="str">
        <f aca="false">IF($A698&lt;&gt;"",$A698,"")</f>
        <v>Apprenant 686</v>
      </c>
      <c r="AR698" s="55" t="str">
        <f aca="false">IF(AND('Choix pédagogiques'!$C$4&lt;&gt;"?",'Choix pédagogiques'!$C$5&lt;&gt;"?",W698&lt;&gt;""),(W698-'Choix pédagogiques'!$C$4)/('Choix pédagogiques'!$C$5-'Choix pédagogiques'!$C$4),"")</f>
        <v/>
      </c>
      <c r="AS698" s="55" t="str">
        <f aca="false">IF(AND('Choix pédagogiques'!$C$4&lt;&gt;"?",'Choix pédagogiques'!$C$5&lt;&gt;"?",X698&lt;&gt;""),(X698-'Choix pédagogiques'!$C$4)/('Choix pédagogiques'!$C$5-'Choix pédagogiques'!$C$4),"")</f>
        <v/>
      </c>
      <c r="AT698" s="55" t="str">
        <f aca="false">IF(AND('Choix pédagogiques'!$C$4&lt;&gt;"?",'Choix pédagogiques'!$C$5&lt;&gt;"?",Y698&lt;&gt;""),(Y698-'Choix pédagogiques'!$C$4)/('Choix pédagogiques'!$C$5-'Choix pédagogiques'!$C$4),"")</f>
        <v/>
      </c>
      <c r="AU698" s="53" t="str">
        <f aca="false">IF($E698&lt;&gt;"",$E698,"")</f>
        <v/>
      </c>
      <c r="AV698" s="52" t="str">
        <f aca="false">IF($F698&lt;&gt;"",$F698,"")</f>
        <v>Apprenant 686 ou 686'</v>
      </c>
      <c r="AW698" s="55" t="str">
        <f aca="false">IF(AND('Choix pédagogiques'!$C$4&lt;&gt;"?",'Choix pédagogiques'!$C$5&lt;&gt;"?",AB698&lt;&gt;""),(AB698-'Choix pédagogiques'!$C$4)/('Choix pédagogiques'!$C$5-'Choix pédagogiques'!$C$4),"")</f>
        <v/>
      </c>
      <c r="AX698" s="55" t="str">
        <f aca="false">IF(AND('Choix pédagogiques'!$C$4&lt;&gt;"?",'Choix pédagogiques'!$C$5&lt;&gt;"?",AC698&lt;&gt;""),(AC698-'Choix pédagogiques'!$C$4)/('Choix pédagogiques'!$C$5-'Choix pédagogiques'!$C$4),"")</f>
        <v/>
      </c>
      <c r="AY698" s="55" t="str">
        <f aca="false">IF(AND('Choix pédagogiques'!$C$4&lt;&gt;"?",'Choix pédagogiques'!$C$5&lt;&gt;"?",AD698&lt;&gt;""),(AD698-'Choix pédagogiques'!$C$4)/('Choix pédagogiques'!$C$5-'Choix pédagogiques'!$C$4),"")</f>
        <v/>
      </c>
      <c r="AZ698" s="53" t="str">
        <f aca="false">IF($J698&lt;&gt;"",$J698,"")</f>
        <v/>
      </c>
      <c r="BA698" s="52" t="str">
        <f aca="false">IF($A698&lt;&gt;"",$A698,"")</f>
        <v>Apprenant 686</v>
      </c>
      <c r="BB698" s="55" t="str">
        <f aca="false">IF(AND($AR698&lt;&gt;"",$AS698&lt;&gt;""),$AS698-$AR698,"")</f>
        <v/>
      </c>
      <c r="BC698" s="55" t="str">
        <f aca="false">IF(AND($AR698&lt;&gt;"",$AT698&lt;&gt;""),$AT698-$AR698,"")</f>
        <v/>
      </c>
      <c r="BD698" s="55" t="str">
        <f aca="false">IF(AND($AS698&lt;&gt;"",$AT698&lt;&gt;""),$AT698-$AS698,"")</f>
        <v/>
      </c>
      <c r="BE698" s="53" t="str">
        <f aca="false">IF($E698&lt;&gt;"",$E698,"")</f>
        <v/>
      </c>
      <c r="BF698" s="52" t="str">
        <f aca="false">IF($F698&lt;&gt;"",$F698,"")</f>
        <v>Apprenant 686 ou 686'</v>
      </c>
      <c r="BG698" s="55" t="str">
        <f aca="false">IF(AND($AW698&lt;&gt;"",$AX698&lt;&gt;""),$AX698-$AW698,"")</f>
        <v/>
      </c>
      <c r="BH698" s="55" t="str">
        <f aca="false">IF(AND($AW698&lt;&gt;"",$AY698&lt;&gt;""),$AY698-$AW698,"")</f>
        <v/>
      </c>
      <c r="BI698" s="55" t="str">
        <f aca="false">IF(AND($AX698&lt;&gt;"",$AY698&lt;&gt;""),$AY698-$AX698,"")</f>
        <v/>
      </c>
      <c r="BJ698" s="53" t="str">
        <f aca="false">IF($J698&lt;&gt;"",$J698,"")</f>
        <v/>
      </c>
      <c r="BL698" s="52"/>
      <c r="BM698" s="52" t="str">
        <f aca="false">IF(OR(COUNT(B698:D1697)=0,AND('Choix pédagogiques'!$C$3&lt;&gt;1,'Choix pédagogiques'!$C$3&lt;&gt;2)),"",IF(AND(OR('Choix pédagogiques'!$C$3=1,'Choix pédagogiques'!$C$3=2),$B698&lt;&gt;"",$C698&lt;&gt;"",$D698&lt;&gt;""),1,0))</f>
        <v/>
      </c>
      <c r="BN698" s="52" t="str">
        <f aca="false">IF(OR(COUNT(G698:I1697)=0,AND('Choix pédagogiques'!$C$3&lt;&gt;1,'Choix pédagogiques'!$C$3&lt;&gt;2)),"",IF(AND(OR('Choix pédagogiques'!$C$3=1,'Choix pédagogiques'!$C$3=2),AND($G698&lt;&gt;"",$H698&lt;&gt;"",$I698&lt;&gt;"")),1,0))</f>
        <v/>
      </c>
      <c r="BO698" s="52" t="str">
        <f aca="false">IF(OR(COUNT(B698:D1697)=0,COUNT(G698:I1697)=0,'Choix pédagogiques'!C$3&lt;&gt;3),"",IF(AND('Choix pédagogiques'!$C$3=3,$B698&lt;&gt;"",$C698&lt;&gt;"",$D698&lt;&gt;"",$G698&lt;&gt;"",$H698&lt;&gt;"",$I698&lt;&gt;""),1,0))</f>
        <v/>
      </c>
      <c r="BR698" s="52" t="n">
        <v>950</v>
      </c>
      <c r="BS698" s="52" t="n">
        <v>1854</v>
      </c>
    </row>
    <row r="699" s="54" customFormat="true" ht="18" hidden="false" customHeight="true" outlineLevel="0" collapsed="false">
      <c r="A699" s="57" t="s">
        <v>1329</v>
      </c>
      <c r="B699" s="51"/>
      <c r="C699" s="51"/>
      <c r="D699" s="51"/>
      <c r="E699" s="51"/>
      <c r="F699" s="57" t="s">
        <v>1330</v>
      </c>
      <c r="G699" s="51"/>
      <c r="H699" s="51"/>
      <c r="I699" s="51"/>
      <c r="J699" s="51"/>
      <c r="K699" s="52" t="str">
        <f aca="false">IF($A699&lt;&gt;"",$A699,"")</f>
        <v>Apprenant 687</v>
      </c>
      <c r="L699" s="53" t="str">
        <f aca="false">IF(AND($B699&lt;&gt;"",$C699&lt;&gt;""),$C699-$B699,"")</f>
        <v/>
      </c>
      <c r="M699" s="53" t="str">
        <f aca="false">IF(AND($B699&lt;&gt;"",$D699&lt;&gt;""),$D699-$B699,"")</f>
        <v/>
      </c>
      <c r="N699" s="53" t="str">
        <f aca="false">IF(AND($C699&lt;&gt;"",$D699&lt;&gt;""),$D699-$C699,"")</f>
        <v/>
      </c>
      <c r="O699" s="53" t="str">
        <f aca="false">IF($E699&lt;&gt;"",$E699,"")</f>
        <v/>
      </c>
      <c r="P699" s="52" t="str">
        <f aca="false">IF($F699&lt;&gt;"",$F699,"")</f>
        <v>Apprenant 687 ou 687'</v>
      </c>
      <c r="Q699" s="53" t="str">
        <f aca="false">IF(AND($G699&lt;&gt;"",$H699&lt;&gt;""),$H699-$G699,"")</f>
        <v/>
      </c>
      <c r="R699" s="53" t="str">
        <f aca="false">IF(AND($G699&lt;&gt;"",$I699&lt;&gt;""),$I699-$G699,"")</f>
        <v/>
      </c>
      <c r="S699" s="53" t="str">
        <f aca="false">IF(AND($H699&lt;&gt;"",$I699&lt;&gt;""),$I699-$H699,"")</f>
        <v/>
      </c>
      <c r="T699" s="53" t="str">
        <f aca="false">IF($J699&lt;&gt;"",$J699,"")</f>
        <v/>
      </c>
      <c r="V699" s="52" t="str">
        <f aca="false">IF($A699&lt;&gt;"",$A699,"")</f>
        <v>Apprenant 687</v>
      </c>
      <c r="W699" s="53" t="str">
        <f aca="false">IF(AND(OR('Choix pédagogiques'!$C$3=1,'Choix pédagogiques'!$C$3=2),$BM699=1),B699,IF(AND('Choix pédagogiques'!$C$3=3,$BO699=1),B699,""))</f>
        <v/>
      </c>
      <c r="X699" s="53" t="str">
        <f aca="false">IF(AND(OR('Choix pédagogiques'!$C$3=1,'Choix pédagogiques'!$C$3=2),$BM699=1),C699,IF(AND('Choix pédagogiques'!$C$3=3,$BO699=1),C699,""))</f>
        <v/>
      </c>
      <c r="Y699" s="53" t="str">
        <f aca="false">IF(AND(OR('Choix pédagogiques'!$C$3=1,'Choix pédagogiques'!$C$3=2),$BM699=1),D699,IF(AND('Choix pédagogiques'!$C$3=3,$BO699=1),D699,""))</f>
        <v/>
      </c>
      <c r="Z699" s="53" t="str">
        <f aca="false">IF($E699&lt;&gt;"",$E699,"")</f>
        <v/>
      </c>
      <c r="AA699" s="52" t="str">
        <f aca="false">IF($F699&lt;&gt;"",$F699,"")</f>
        <v>Apprenant 687 ou 687'</v>
      </c>
      <c r="AB699" s="53" t="str">
        <f aca="false">IF(AND(OR('Choix pédagogiques'!$C$3=1,'Choix pédagogiques'!$C$3=2),$BN699=1),G699,IF(AND('Choix pédagogiques'!$C$3=3,$BO699=1),G699,""))</f>
        <v/>
      </c>
      <c r="AC699" s="53" t="str">
        <f aca="false">IF(AND(OR('Choix pédagogiques'!$C$3=1,'Choix pédagogiques'!$C$3=2),$BN699=1),H699,IF(AND('Choix pédagogiques'!$C$3=3,$BO699=1),H699,""))</f>
        <v/>
      </c>
      <c r="AD699" s="53" t="str">
        <f aca="false">IF(AND(OR('Choix pédagogiques'!$C$3=1,'Choix pédagogiques'!$C$3=2),$BN699=1),I699,IF(AND('Choix pédagogiques'!$C$3=3,$BO699=1),I699,""))</f>
        <v/>
      </c>
      <c r="AE699" s="53" t="str">
        <f aca="false">IF($J699&lt;&gt;"",$J699,"")</f>
        <v/>
      </c>
      <c r="AF699" s="52" t="str">
        <f aca="false">IF($A699&lt;&gt;"",$A699,"")</f>
        <v>Apprenant 687</v>
      </c>
      <c r="AG699" s="53" t="str">
        <f aca="false">IF(AND($W699&lt;&gt;"",$X699&lt;&gt;""),$X699-$W699,"")</f>
        <v/>
      </c>
      <c r="AH699" s="53" t="str">
        <f aca="false">IF(AND($W699&lt;&gt;"",$Y699&lt;&gt;""),$Y699-$W699,"")</f>
        <v/>
      </c>
      <c r="AI699" s="53" t="str">
        <f aca="false">IF(AND($X699&lt;&gt;"",$Y699&lt;&gt;""),$Y699-$X699,"")</f>
        <v/>
      </c>
      <c r="AJ699" s="53" t="str">
        <f aca="false">IF($E699&lt;&gt;"",$E699,"")</f>
        <v/>
      </c>
      <c r="AK699" s="52" t="str">
        <f aca="false">IF($F699&lt;&gt;"",$F699,"")</f>
        <v>Apprenant 687 ou 687'</v>
      </c>
      <c r="AL699" s="53" t="str">
        <f aca="false">IF(AND($AB699&lt;&gt;"",$AC699&lt;&gt;""),$AC699-$AB699,"")</f>
        <v/>
      </c>
      <c r="AM699" s="53" t="str">
        <f aca="false">IF(AND($AB699&lt;&gt;"",$AD699&lt;&gt;""),$AD699-$AB699,"")</f>
        <v/>
      </c>
      <c r="AN699" s="53" t="str">
        <f aca="false">IF(AND($AC699&lt;&gt;"",$AD699&lt;&gt;""),$AD699-$AC699,"")</f>
        <v/>
      </c>
      <c r="AO699" s="53" t="str">
        <f aca="false">IF($J699&lt;&gt;"",$J699,"")</f>
        <v/>
      </c>
      <c r="AQ699" s="52" t="str">
        <f aca="false">IF($A699&lt;&gt;"",$A699,"")</f>
        <v>Apprenant 687</v>
      </c>
      <c r="AR699" s="55" t="str">
        <f aca="false">IF(AND('Choix pédagogiques'!$C$4&lt;&gt;"?",'Choix pédagogiques'!$C$5&lt;&gt;"?",W699&lt;&gt;""),(W699-'Choix pédagogiques'!$C$4)/('Choix pédagogiques'!$C$5-'Choix pédagogiques'!$C$4),"")</f>
        <v/>
      </c>
      <c r="AS699" s="55" t="str">
        <f aca="false">IF(AND('Choix pédagogiques'!$C$4&lt;&gt;"?",'Choix pédagogiques'!$C$5&lt;&gt;"?",X699&lt;&gt;""),(X699-'Choix pédagogiques'!$C$4)/('Choix pédagogiques'!$C$5-'Choix pédagogiques'!$C$4),"")</f>
        <v/>
      </c>
      <c r="AT699" s="55" t="str">
        <f aca="false">IF(AND('Choix pédagogiques'!$C$4&lt;&gt;"?",'Choix pédagogiques'!$C$5&lt;&gt;"?",Y699&lt;&gt;""),(Y699-'Choix pédagogiques'!$C$4)/('Choix pédagogiques'!$C$5-'Choix pédagogiques'!$C$4),"")</f>
        <v/>
      </c>
      <c r="AU699" s="53" t="str">
        <f aca="false">IF($E699&lt;&gt;"",$E699,"")</f>
        <v/>
      </c>
      <c r="AV699" s="52" t="str">
        <f aca="false">IF($F699&lt;&gt;"",$F699,"")</f>
        <v>Apprenant 687 ou 687'</v>
      </c>
      <c r="AW699" s="55" t="str">
        <f aca="false">IF(AND('Choix pédagogiques'!$C$4&lt;&gt;"?",'Choix pédagogiques'!$C$5&lt;&gt;"?",AB699&lt;&gt;""),(AB699-'Choix pédagogiques'!$C$4)/('Choix pédagogiques'!$C$5-'Choix pédagogiques'!$C$4),"")</f>
        <v/>
      </c>
      <c r="AX699" s="55" t="str">
        <f aca="false">IF(AND('Choix pédagogiques'!$C$4&lt;&gt;"?",'Choix pédagogiques'!$C$5&lt;&gt;"?",AC699&lt;&gt;""),(AC699-'Choix pédagogiques'!$C$4)/('Choix pédagogiques'!$C$5-'Choix pédagogiques'!$C$4),"")</f>
        <v/>
      </c>
      <c r="AY699" s="55" t="str">
        <f aca="false">IF(AND('Choix pédagogiques'!$C$4&lt;&gt;"?",'Choix pédagogiques'!$C$5&lt;&gt;"?",AD699&lt;&gt;""),(AD699-'Choix pédagogiques'!$C$4)/('Choix pédagogiques'!$C$5-'Choix pédagogiques'!$C$4),"")</f>
        <v/>
      </c>
      <c r="AZ699" s="53" t="str">
        <f aca="false">IF($J699&lt;&gt;"",$J699,"")</f>
        <v/>
      </c>
      <c r="BA699" s="52" t="str">
        <f aca="false">IF($A699&lt;&gt;"",$A699,"")</f>
        <v>Apprenant 687</v>
      </c>
      <c r="BB699" s="55" t="str">
        <f aca="false">IF(AND($AR699&lt;&gt;"",$AS699&lt;&gt;""),$AS699-$AR699,"")</f>
        <v/>
      </c>
      <c r="BC699" s="55" t="str">
        <f aca="false">IF(AND($AR699&lt;&gt;"",$AT699&lt;&gt;""),$AT699-$AR699,"")</f>
        <v/>
      </c>
      <c r="BD699" s="55" t="str">
        <f aca="false">IF(AND($AS699&lt;&gt;"",$AT699&lt;&gt;""),$AT699-$AS699,"")</f>
        <v/>
      </c>
      <c r="BE699" s="53" t="str">
        <f aca="false">IF($E699&lt;&gt;"",$E699,"")</f>
        <v/>
      </c>
      <c r="BF699" s="52" t="str">
        <f aca="false">IF($F699&lt;&gt;"",$F699,"")</f>
        <v>Apprenant 687 ou 687'</v>
      </c>
      <c r="BG699" s="55" t="str">
        <f aca="false">IF(AND($AW699&lt;&gt;"",$AX699&lt;&gt;""),$AX699-$AW699,"")</f>
        <v/>
      </c>
      <c r="BH699" s="55" t="str">
        <f aca="false">IF(AND($AW699&lt;&gt;"",$AY699&lt;&gt;""),$AY699-$AW699,"")</f>
        <v/>
      </c>
      <c r="BI699" s="55" t="str">
        <f aca="false">IF(AND($AX699&lt;&gt;"",$AY699&lt;&gt;""),$AY699-$AX699,"")</f>
        <v/>
      </c>
      <c r="BJ699" s="53" t="str">
        <f aca="false">IF($J699&lt;&gt;"",$J699,"")</f>
        <v/>
      </c>
      <c r="BL699" s="52"/>
      <c r="BM699" s="52" t="str">
        <f aca="false">IF(OR(COUNT(B699:D1698)=0,AND('Choix pédagogiques'!$C$3&lt;&gt;1,'Choix pédagogiques'!$C$3&lt;&gt;2)),"",IF(AND(OR('Choix pédagogiques'!$C$3=1,'Choix pédagogiques'!$C$3=2),$B699&lt;&gt;"",$C699&lt;&gt;"",$D699&lt;&gt;""),1,0))</f>
        <v/>
      </c>
      <c r="BN699" s="52" t="str">
        <f aca="false">IF(OR(COUNT(G699:I1698)=0,AND('Choix pédagogiques'!$C$3&lt;&gt;1,'Choix pédagogiques'!$C$3&lt;&gt;2)),"",IF(AND(OR('Choix pédagogiques'!$C$3=1,'Choix pédagogiques'!$C$3=2),AND($G699&lt;&gt;"",$H699&lt;&gt;"",$I699&lt;&gt;"")),1,0))</f>
        <v/>
      </c>
      <c r="BO699" s="52" t="str">
        <f aca="false">IF(OR(COUNT(B699:D1698)=0,COUNT(G699:I1698)=0,'Choix pédagogiques'!C$3&lt;&gt;3),"",IF(AND('Choix pédagogiques'!$C$3=3,$B699&lt;&gt;"",$C699&lt;&gt;"",$D699&lt;&gt;"",$G699&lt;&gt;"",$H699&lt;&gt;"",$I699&lt;&gt;""),1,0))</f>
        <v/>
      </c>
      <c r="BR699" s="52" t="n">
        <v>31</v>
      </c>
      <c r="BS699" s="52" t="n">
        <v>1431</v>
      </c>
    </row>
    <row r="700" s="54" customFormat="true" ht="18" hidden="false" customHeight="true" outlineLevel="0" collapsed="false">
      <c r="A700" s="57" t="s">
        <v>1331</v>
      </c>
      <c r="B700" s="51"/>
      <c r="C700" s="51"/>
      <c r="D700" s="51"/>
      <c r="E700" s="51"/>
      <c r="F700" s="57" t="s">
        <v>1332</v>
      </c>
      <c r="G700" s="51"/>
      <c r="H700" s="51"/>
      <c r="I700" s="51"/>
      <c r="J700" s="51"/>
      <c r="K700" s="52" t="str">
        <f aca="false">IF($A700&lt;&gt;"",$A700,"")</f>
        <v>Apprenant 688</v>
      </c>
      <c r="L700" s="53" t="str">
        <f aca="false">IF(AND($B700&lt;&gt;"",$C700&lt;&gt;""),$C700-$B700,"")</f>
        <v/>
      </c>
      <c r="M700" s="53" t="str">
        <f aca="false">IF(AND($B700&lt;&gt;"",$D700&lt;&gt;""),$D700-$B700,"")</f>
        <v/>
      </c>
      <c r="N700" s="53" t="str">
        <f aca="false">IF(AND($C700&lt;&gt;"",$D700&lt;&gt;""),$D700-$C700,"")</f>
        <v/>
      </c>
      <c r="O700" s="53" t="str">
        <f aca="false">IF($E700&lt;&gt;"",$E700,"")</f>
        <v/>
      </c>
      <c r="P700" s="52" t="str">
        <f aca="false">IF($F700&lt;&gt;"",$F700,"")</f>
        <v>Apprenant 688 ou 688'</v>
      </c>
      <c r="Q700" s="53" t="str">
        <f aca="false">IF(AND($G700&lt;&gt;"",$H700&lt;&gt;""),$H700-$G700,"")</f>
        <v/>
      </c>
      <c r="R700" s="53" t="str">
        <f aca="false">IF(AND($G700&lt;&gt;"",$I700&lt;&gt;""),$I700-$G700,"")</f>
        <v/>
      </c>
      <c r="S700" s="53" t="str">
        <f aca="false">IF(AND($H700&lt;&gt;"",$I700&lt;&gt;""),$I700-$H700,"")</f>
        <v/>
      </c>
      <c r="T700" s="53" t="str">
        <f aca="false">IF($J700&lt;&gt;"",$J700,"")</f>
        <v/>
      </c>
      <c r="V700" s="52" t="str">
        <f aca="false">IF($A700&lt;&gt;"",$A700,"")</f>
        <v>Apprenant 688</v>
      </c>
      <c r="W700" s="53" t="str">
        <f aca="false">IF(AND(OR('Choix pédagogiques'!$C$3=1,'Choix pédagogiques'!$C$3=2),$BM700=1),B700,IF(AND('Choix pédagogiques'!$C$3=3,$BO700=1),B700,""))</f>
        <v/>
      </c>
      <c r="X700" s="53" t="str">
        <f aca="false">IF(AND(OR('Choix pédagogiques'!$C$3=1,'Choix pédagogiques'!$C$3=2),$BM700=1),C700,IF(AND('Choix pédagogiques'!$C$3=3,$BO700=1),C700,""))</f>
        <v/>
      </c>
      <c r="Y700" s="53" t="str">
        <f aca="false">IF(AND(OR('Choix pédagogiques'!$C$3=1,'Choix pédagogiques'!$C$3=2),$BM700=1),D700,IF(AND('Choix pédagogiques'!$C$3=3,$BO700=1),D700,""))</f>
        <v/>
      </c>
      <c r="Z700" s="53" t="str">
        <f aca="false">IF($E700&lt;&gt;"",$E700,"")</f>
        <v/>
      </c>
      <c r="AA700" s="52" t="str">
        <f aca="false">IF($F700&lt;&gt;"",$F700,"")</f>
        <v>Apprenant 688 ou 688'</v>
      </c>
      <c r="AB700" s="53" t="str">
        <f aca="false">IF(AND(OR('Choix pédagogiques'!$C$3=1,'Choix pédagogiques'!$C$3=2),$BN700=1),G700,IF(AND('Choix pédagogiques'!$C$3=3,$BO700=1),G700,""))</f>
        <v/>
      </c>
      <c r="AC700" s="53" t="str">
        <f aca="false">IF(AND(OR('Choix pédagogiques'!$C$3=1,'Choix pédagogiques'!$C$3=2),$BN700=1),H700,IF(AND('Choix pédagogiques'!$C$3=3,$BO700=1),H700,""))</f>
        <v/>
      </c>
      <c r="AD700" s="53" t="str">
        <f aca="false">IF(AND(OR('Choix pédagogiques'!$C$3=1,'Choix pédagogiques'!$C$3=2),$BN700=1),I700,IF(AND('Choix pédagogiques'!$C$3=3,$BO700=1),I700,""))</f>
        <v/>
      </c>
      <c r="AE700" s="53" t="str">
        <f aca="false">IF($J700&lt;&gt;"",$J700,"")</f>
        <v/>
      </c>
      <c r="AF700" s="52" t="str">
        <f aca="false">IF($A700&lt;&gt;"",$A700,"")</f>
        <v>Apprenant 688</v>
      </c>
      <c r="AG700" s="53" t="str">
        <f aca="false">IF(AND($W700&lt;&gt;"",$X700&lt;&gt;""),$X700-$W700,"")</f>
        <v/>
      </c>
      <c r="AH700" s="53" t="str">
        <f aca="false">IF(AND($W700&lt;&gt;"",$Y700&lt;&gt;""),$Y700-$W700,"")</f>
        <v/>
      </c>
      <c r="AI700" s="53" t="str">
        <f aca="false">IF(AND($X700&lt;&gt;"",$Y700&lt;&gt;""),$Y700-$X700,"")</f>
        <v/>
      </c>
      <c r="AJ700" s="53" t="str">
        <f aca="false">IF($E700&lt;&gt;"",$E700,"")</f>
        <v/>
      </c>
      <c r="AK700" s="52" t="str">
        <f aca="false">IF($F700&lt;&gt;"",$F700,"")</f>
        <v>Apprenant 688 ou 688'</v>
      </c>
      <c r="AL700" s="53" t="str">
        <f aca="false">IF(AND($AB700&lt;&gt;"",$AC700&lt;&gt;""),$AC700-$AB700,"")</f>
        <v/>
      </c>
      <c r="AM700" s="53" t="str">
        <f aca="false">IF(AND($AB700&lt;&gt;"",$AD700&lt;&gt;""),$AD700-$AB700,"")</f>
        <v/>
      </c>
      <c r="AN700" s="53" t="str">
        <f aca="false">IF(AND($AC700&lt;&gt;"",$AD700&lt;&gt;""),$AD700-$AC700,"")</f>
        <v/>
      </c>
      <c r="AO700" s="53" t="str">
        <f aca="false">IF($J700&lt;&gt;"",$J700,"")</f>
        <v/>
      </c>
      <c r="AQ700" s="52" t="str">
        <f aca="false">IF($A700&lt;&gt;"",$A700,"")</f>
        <v>Apprenant 688</v>
      </c>
      <c r="AR700" s="55" t="str">
        <f aca="false">IF(AND('Choix pédagogiques'!$C$4&lt;&gt;"?",'Choix pédagogiques'!$C$5&lt;&gt;"?",W700&lt;&gt;""),(W700-'Choix pédagogiques'!$C$4)/('Choix pédagogiques'!$C$5-'Choix pédagogiques'!$C$4),"")</f>
        <v/>
      </c>
      <c r="AS700" s="55" t="str">
        <f aca="false">IF(AND('Choix pédagogiques'!$C$4&lt;&gt;"?",'Choix pédagogiques'!$C$5&lt;&gt;"?",X700&lt;&gt;""),(X700-'Choix pédagogiques'!$C$4)/('Choix pédagogiques'!$C$5-'Choix pédagogiques'!$C$4),"")</f>
        <v/>
      </c>
      <c r="AT700" s="55" t="str">
        <f aca="false">IF(AND('Choix pédagogiques'!$C$4&lt;&gt;"?",'Choix pédagogiques'!$C$5&lt;&gt;"?",Y700&lt;&gt;""),(Y700-'Choix pédagogiques'!$C$4)/('Choix pédagogiques'!$C$5-'Choix pédagogiques'!$C$4),"")</f>
        <v/>
      </c>
      <c r="AU700" s="53" t="str">
        <f aca="false">IF($E700&lt;&gt;"",$E700,"")</f>
        <v/>
      </c>
      <c r="AV700" s="52" t="str">
        <f aca="false">IF($F700&lt;&gt;"",$F700,"")</f>
        <v>Apprenant 688 ou 688'</v>
      </c>
      <c r="AW700" s="55" t="str">
        <f aca="false">IF(AND('Choix pédagogiques'!$C$4&lt;&gt;"?",'Choix pédagogiques'!$C$5&lt;&gt;"?",AB700&lt;&gt;""),(AB700-'Choix pédagogiques'!$C$4)/('Choix pédagogiques'!$C$5-'Choix pédagogiques'!$C$4),"")</f>
        <v/>
      </c>
      <c r="AX700" s="55" t="str">
        <f aca="false">IF(AND('Choix pédagogiques'!$C$4&lt;&gt;"?",'Choix pédagogiques'!$C$5&lt;&gt;"?",AC700&lt;&gt;""),(AC700-'Choix pédagogiques'!$C$4)/('Choix pédagogiques'!$C$5-'Choix pédagogiques'!$C$4),"")</f>
        <v/>
      </c>
      <c r="AY700" s="55" t="str">
        <f aca="false">IF(AND('Choix pédagogiques'!$C$4&lt;&gt;"?",'Choix pédagogiques'!$C$5&lt;&gt;"?",AD700&lt;&gt;""),(AD700-'Choix pédagogiques'!$C$4)/('Choix pédagogiques'!$C$5-'Choix pédagogiques'!$C$4),"")</f>
        <v/>
      </c>
      <c r="AZ700" s="53" t="str">
        <f aca="false">IF($J700&lt;&gt;"",$J700,"")</f>
        <v/>
      </c>
      <c r="BA700" s="52" t="str">
        <f aca="false">IF($A700&lt;&gt;"",$A700,"")</f>
        <v>Apprenant 688</v>
      </c>
      <c r="BB700" s="55" t="str">
        <f aca="false">IF(AND($AR700&lt;&gt;"",$AS700&lt;&gt;""),$AS700-$AR700,"")</f>
        <v/>
      </c>
      <c r="BC700" s="55" t="str">
        <f aca="false">IF(AND($AR700&lt;&gt;"",$AT700&lt;&gt;""),$AT700-$AR700,"")</f>
        <v/>
      </c>
      <c r="BD700" s="55" t="str">
        <f aca="false">IF(AND($AS700&lt;&gt;"",$AT700&lt;&gt;""),$AT700-$AS700,"")</f>
        <v/>
      </c>
      <c r="BE700" s="53" t="str">
        <f aca="false">IF($E700&lt;&gt;"",$E700,"")</f>
        <v/>
      </c>
      <c r="BF700" s="52" t="str">
        <f aca="false">IF($F700&lt;&gt;"",$F700,"")</f>
        <v>Apprenant 688 ou 688'</v>
      </c>
      <c r="BG700" s="55" t="str">
        <f aca="false">IF(AND($AW700&lt;&gt;"",$AX700&lt;&gt;""),$AX700-$AW700,"")</f>
        <v/>
      </c>
      <c r="BH700" s="55" t="str">
        <f aca="false">IF(AND($AW700&lt;&gt;"",$AY700&lt;&gt;""),$AY700-$AW700,"")</f>
        <v/>
      </c>
      <c r="BI700" s="55" t="str">
        <f aca="false">IF(AND($AX700&lt;&gt;"",$AY700&lt;&gt;""),$AY700-$AX700,"")</f>
        <v/>
      </c>
      <c r="BJ700" s="53" t="str">
        <f aca="false">IF($J700&lt;&gt;"",$J700,"")</f>
        <v/>
      </c>
      <c r="BL700" s="52"/>
      <c r="BM700" s="52" t="str">
        <f aca="false">IF(OR(COUNT(B700:D1699)=0,AND('Choix pédagogiques'!$C$3&lt;&gt;1,'Choix pédagogiques'!$C$3&lt;&gt;2)),"",IF(AND(OR('Choix pédagogiques'!$C$3=1,'Choix pédagogiques'!$C$3=2),$B700&lt;&gt;"",$C700&lt;&gt;"",$D700&lt;&gt;""),1,0))</f>
        <v/>
      </c>
      <c r="BN700" s="52" t="str">
        <f aca="false">IF(OR(COUNT(G700:I1699)=0,AND('Choix pédagogiques'!$C$3&lt;&gt;1,'Choix pédagogiques'!$C$3&lt;&gt;2)),"",IF(AND(OR('Choix pédagogiques'!$C$3=1,'Choix pédagogiques'!$C$3=2),AND($G700&lt;&gt;"",$H700&lt;&gt;"",$I700&lt;&gt;"")),1,0))</f>
        <v/>
      </c>
      <c r="BO700" s="52" t="str">
        <f aca="false">IF(OR(COUNT(B700:D1699)=0,COUNT(G700:I1699)=0,'Choix pédagogiques'!C$3&lt;&gt;3),"",IF(AND('Choix pédagogiques'!$C$3=3,$B700&lt;&gt;"",$C700&lt;&gt;"",$D700&lt;&gt;"",$G700&lt;&gt;"",$H700&lt;&gt;"",$I700&lt;&gt;""),1,0))</f>
        <v/>
      </c>
      <c r="BR700" s="52" t="n">
        <v>11</v>
      </c>
      <c r="BS700" s="52" t="n">
        <v>1862</v>
      </c>
    </row>
    <row r="701" s="54" customFormat="true" ht="18" hidden="false" customHeight="true" outlineLevel="0" collapsed="false">
      <c r="A701" s="57" t="s">
        <v>1333</v>
      </c>
      <c r="B701" s="51"/>
      <c r="C701" s="51"/>
      <c r="D701" s="51"/>
      <c r="E701" s="51"/>
      <c r="F701" s="57" t="s">
        <v>1334</v>
      </c>
      <c r="G701" s="51"/>
      <c r="H701" s="51"/>
      <c r="I701" s="51"/>
      <c r="J701" s="51"/>
      <c r="K701" s="52" t="str">
        <f aca="false">IF($A701&lt;&gt;"",$A701,"")</f>
        <v>Apprenant 689</v>
      </c>
      <c r="L701" s="53" t="str">
        <f aca="false">IF(AND($B701&lt;&gt;"",$C701&lt;&gt;""),$C701-$B701,"")</f>
        <v/>
      </c>
      <c r="M701" s="53" t="str">
        <f aca="false">IF(AND($B701&lt;&gt;"",$D701&lt;&gt;""),$D701-$B701,"")</f>
        <v/>
      </c>
      <c r="N701" s="53" t="str">
        <f aca="false">IF(AND($C701&lt;&gt;"",$D701&lt;&gt;""),$D701-$C701,"")</f>
        <v/>
      </c>
      <c r="O701" s="53" t="str">
        <f aca="false">IF($E701&lt;&gt;"",$E701,"")</f>
        <v/>
      </c>
      <c r="P701" s="52" t="str">
        <f aca="false">IF($F701&lt;&gt;"",$F701,"")</f>
        <v>Apprenant 689 ou 689'</v>
      </c>
      <c r="Q701" s="53" t="str">
        <f aca="false">IF(AND($G701&lt;&gt;"",$H701&lt;&gt;""),$H701-$G701,"")</f>
        <v/>
      </c>
      <c r="R701" s="53" t="str">
        <f aca="false">IF(AND($G701&lt;&gt;"",$I701&lt;&gt;""),$I701-$G701,"")</f>
        <v/>
      </c>
      <c r="S701" s="53" t="str">
        <f aca="false">IF(AND($H701&lt;&gt;"",$I701&lt;&gt;""),$I701-$H701,"")</f>
        <v/>
      </c>
      <c r="T701" s="53" t="str">
        <f aca="false">IF($J701&lt;&gt;"",$J701,"")</f>
        <v/>
      </c>
      <c r="V701" s="52" t="str">
        <f aca="false">IF($A701&lt;&gt;"",$A701,"")</f>
        <v>Apprenant 689</v>
      </c>
      <c r="W701" s="53" t="str">
        <f aca="false">IF(AND(OR('Choix pédagogiques'!$C$3=1,'Choix pédagogiques'!$C$3=2),$BM701=1),B701,IF(AND('Choix pédagogiques'!$C$3=3,$BO701=1),B701,""))</f>
        <v/>
      </c>
      <c r="X701" s="53" t="str">
        <f aca="false">IF(AND(OR('Choix pédagogiques'!$C$3=1,'Choix pédagogiques'!$C$3=2),$BM701=1),C701,IF(AND('Choix pédagogiques'!$C$3=3,$BO701=1),C701,""))</f>
        <v/>
      </c>
      <c r="Y701" s="53" t="str">
        <f aca="false">IF(AND(OR('Choix pédagogiques'!$C$3=1,'Choix pédagogiques'!$C$3=2),$BM701=1),D701,IF(AND('Choix pédagogiques'!$C$3=3,$BO701=1),D701,""))</f>
        <v/>
      </c>
      <c r="Z701" s="53" t="str">
        <f aca="false">IF($E701&lt;&gt;"",$E701,"")</f>
        <v/>
      </c>
      <c r="AA701" s="52" t="str">
        <f aca="false">IF($F701&lt;&gt;"",$F701,"")</f>
        <v>Apprenant 689 ou 689'</v>
      </c>
      <c r="AB701" s="53" t="str">
        <f aca="false">IF(AND(OR('Choix pédagogiques'!$C$3=1,'Choix pédagogiques'!$C$3=2),$BN701=1),G701,IF(AND('Choix pédagogiques'!$C$3=3,$BO701=1),G701,""))</f>
        <v/>
      </c>
      <c r="AC701" s="53" t="str">
        <f aca="false">IF(AND(OR('Choix pédagogiques'!$C$3=1,'Choix pédagogiques'!$C$3=2),$BN701=1),H701,IF(AND('Choix pédagogiques'!$C$3=3,$BO701=1),H701,""))</f>
        <v/>
      </c>
      <c r="AD701" s="53" t="str">
        <f aca="false">IF(AND(OR('Choix pédagogiques'!$C$3=1,'Choix pédagogiques'!$C$3=2),$BN701=1),I701,IF(AND('Choix pédagogiques'!$C$3=3,$BO701=1),I701,""))</f>
        <v/>
      </c>
      <c r="AE701" s="53" t="str">
        <f aca="false">IF($J701&lt;&gt;"",$J701,"")</f>
        <v/>
      </c>
      <c r="AF701" s="52" t="str">
        <f aca="false">IF($A701&lt;&gt;"",$A701,"")</f>
        <v>Apprenant 689</v>
      </c>
      <c r="AG701" s="53" t="str">
        <f aca="false">IF(AND($W701&lt;&gt;"",$X701&lt;&gt;""),$X701-$W701,"")</f>
        <v/>
      </c>
      <c r="AH701" s="53" t="str">
        <f aca="false">IF(AND($W701&lt;&gt;"",$Y701&lt;&gt;""),$Y701-$W701,"")</f>
        <v/>
      </c>
      <c r="AI701" s="53" t="str">
        <f aca="false">IF(AND($X701&lt;&gt;"",$Y701&lt;&gt;""),$Y701-$X701,"")</f>
        <v/>
      </c>
      <c r="AJ701" s="53" t="str">
        <f aca="false">IF($E701&lt;&gt;"",$E701,"")</f>
        <v/>
      </c>
      <c r="AK701" s="52" t="str">
        <f aca="false">IF($F701&lt;&gt;"",$F701,"")</f>
        <v>Apprenant 689 ou 689'</v>
      </c>
      <c r="AL701" s="53" t="str">
        <f aca="false">IF(AND($AB701&lt;&gt;"",$AC701&lt;&gt;""),$AC701-$AB701,"")</f>
        <v/>
      </c>
      <c r="AM701" s="53" t="str">
        <f aca="false">IF(AND($AB701&lt;&gt;"",$AD701&lt;&gt;""),$AD701-$AB701,"")</f>
        <v/>
      </c>
      <c r="AN701" s="53" t="str">
        <f aca="false">IF(AND($AC701&lt;&gt;"",$AD701&lt;&gt;""),$AD701-$AC701,"")</f>
        <v/>
      </c>
      <c r="AO701" s="53" t="str">
        <f aca="false">IF($J701&lt;&gt;"",$J701,"")</f>
        <v/>
      </c>
      <c r="AQ701" s="52" t="str">
        <f aca="false">IF($A701&lt;&gt;"",$A701,"")</f>
        <v>Apprenant 689</v>
      </c>
      <c r="AR701" s="55" t="str">
        <f aca="false">IF(AND('Choix pédagogiques'!$C$4&lt;&gt;"?",'Choix pédagogiques'!$C$5&lt;&gt;"?",W701&lt;&gt;""),(W701-'Choix pédagogiques'!$C$4)/('Choix pédagogiques'!$C$5-'Choix pédagogiques'!$C$4),"")</f>
        <v/>
      </c>
      <c r="AS701" s="55" t="str">
        <f aca="false">IF(AND('Choix pédagogiques'!$C$4&lt;&gt;"?",'Choix pédagogiques'!$C$5&lt;&gt;"?",X701&lt;&gt;""),(X701-'Choix pédagogiques'!$C$4)/('Choix pédagogiques'!$C$5-'Choix pédagogiques'!$C$4),"")</f>
        <v/>
      </c>
      <c r="AT701" s="55" t="str">
        <f aca="false">IF(AND('Choix pédagogiques'!$C$4&lt;&gt;"?",'Choix pédagogiques'!$C$5&lt;&gt;"?",Y701&lt;&gt;""),(Y701-'Choix pédagogiques'!$C$4)/('Choix pédagogiques'!$C$5-'Choix pédagogiques'!$C$4),"")</f>
        <v/>
      </c>
      <c r="AU701" s="53" t="str">
        <f aca="false">IF($E701&lt;&gt;"",$E701,"")</f>
        <v/>
      </c>
      <c r="AV701" s="52" t="str">
        <f aca="false">IF($F701&lt;&gt;"",$F701,"")</f>
        <v>Apprenant 689 ou 689'</v>
      </c>
      <c r="AW701" s="55" t="str">
        <f aca="false">IF(AND('Choix pédagogiques'!$C$4&lt;&gt;"?",'Choix pédagogiques'!$C$5&lt;&gt;"?",AB701&lt;&gt;""),(AB701-'Choix pédagogiques'!$C$4)/('Choix pédagogiques'!$C$5-'Choix pédagogiques'!$C$4),"")</f>
        <v/>
      </c>
      <c r="AX701" s="55" t="str">
        <f aca="false">IF(AND('Choix pédagogiques'!$C$4&lt;&gt;"?",'Choix pédagogiques'!$C$5&lt;&gt;"?",AC701&lt;&gt;""),(AC701-'Choix pédagogiques'!$C$4)/('Choix pédagogiques'!$C$5-'Choix pédagogiques'!$C$4),"")</f>
        <v/>
      </c>
      <c r="AY701" s="55" t="str">
        <f aca="false">IF(AND('Choix pédagogiques'!$C$4&lt;&gt;"?",'Choix pédagogiques'!$C$5&lt;&gt;"?",AD701&lt;&gt;""),(AD701-'Choix pédagogiques'!$C$4)/('Choix pédagogiques'!$C$5-'Choix pédagogiques'!$C$4),"")</f>
        <v/>
      </c>
      <c r="AZ701" s="53" t="str">
        <f aca="false">IF($J701&lt;&gt;"",$J701,"")</f>
        <v/>
      </c>
      <c r="BA701" s="52" t="str">
        <f aca="false">IF($A701&lt;&gt;"",$A701,"")</f>
        <v>Apprenant 689</v>
      </c>
      <c r="BB701" s="55" t="str">
        <f aca="false">IF(AND($AR701&lt;&gt;"",$AS701&lt;&gt;""),$AS701-$AR701,"")</f>
        <v/>
      </c>
      <c r="BC701" s="55" t="str">
        <f aca="false">IF(AND($AR701&lt;&gt;"",$AT701&lt;&gt;""),$AT701-$AR701,"")</f>
        <v/>
      </c>
      <c r="BD701" s="55" t="str">
        <f aca="false">IF(AND($AS701&lt;&gt;"",$AT701&lt;&gt;""),$AT701-$AS701,"")</f>
        <v/>
      </c>
      <c r="BE701" s="53" t="str">
        <f aca="false">IF($E701&lt;&gt;"",$E701,"")</f>
        <v/>
      </c>
      <c r="BF701" s="52" t="str">
        <f aca="false">IF($F701&lt;&gt;"",$F701,"")</f>
        <v>Apprenant 689 ou 689'</v>
      </c>
      <c r="BG701" s="55" t="str">
        <f aca="false">IF(AND($AW701&lt;&gt;"",$AX701&lt;&gt;""),$AX701-$AW701,"")</f>
        <v/>
      </c>
      <c r="BH701" s="55" t="str">
        <f aca="false">IF(AND($AW701&lt;&gt;"",$AY701&lt;&gt;""),$AY701-$AW701,"")</f>
        <v/>
      </c>
      <c r="BI701" s="55" t="str">
        <f aca="false">IF(AND($AX701&lt;&gt;"",$AY701&lt;&gt;""),$AY701-$AX701,"")</f>
        <v/>
      </c>
      <c r="BJ701" s="53" t="str">
        <f aca="false">IF($J701&lt;&gt;"",$J701,"")</f>
        <v/>
      </c>
      <c r="BL701" s="52"/>
      <c r="BM701" s="52" t="str">
        <f aca="false">IF(OR(COUNT(B701:D1700)=0,AND('Choix pédagogiques'!$C$3&lt;&gt;1,'Choix pédagogiques'!$C$3&lt;&gt;2)),"",IF(AND(OR('Choix pédagogiques'!$C$3=1,'Choix pédagogiques'!$C$3=2),$B701&lt;&gt;"",$C701&lt;&gt;"",$D701&lt;&gt;""),1,0))</f>
        <v/>
      </c>
      <c r="BN701" s="52" t="str">
        <f aca="false">IF(OR(COUNT(G701:I1700)=0,AND('Choix pédagogiques'!$C$3&lt;&gt;1,'Choix pédagogiques'!$C$3&lt;&gt;2)),"",IF(AND(OR('Choix pédagogiques'!$C$3=1,'Choix pédagogiques'!$C$3=2),AND($G701&lt;&gt;"",$H701&lt;&gt;"",$I701&lt;&gt;"")),1,0))</f>
        <v/>
      </c>
      <c r="BO701" s="52" t="str">
        <f aca="false">IF(OR(COUNT(B701:D1700)=0,COUNT(G701:I1700)=0,'Choix pédagogiques'!C$3&lt;&gt;3),"",IF(AND('Choix pédagogiques'!$C$3=3,$B701&lt;&gt;"",$C701&lt;&gt;"",$D701&lt;&gt;"",$G701&lt;&gt;"",$H701&lt;&gt;"",$I701&lt;&gt;""),1,0))</f>
        <v/>
      </c>
      <c r="BR701" s="52" t="n">
        <v>486</v>
      </c>
      <c r="BS701" s="52" t="n">
        <v>1898</v>
      </c>
    </row>
    <row r="702" s="54" customFormat="true" ht="18" hidden="false" customHeight="true" outlineLevel="0" collapsed="false">
      <c r="A702" s="57" t="s">
        <v>1335</v>
      </c>
      <c r="B702" s="51"/>
      <c r="C702" s="51"/>
      <c r="D702" s="51"/>
      <c r="E702" s="51"/>
      <c r="F702" s="57" t="s">
        <v>1336</v>
      </c>
      <c r="G702" s="51"/>
      <c r="H702" s="51"/>
      <c r="I702" s="51"/>
      <c r="J702" s="51"/>
      <c r="K702" s="52" t="str">
        <f aca="false">IF($A702&lt;&gt;"",$A702,"")</f>
        <v>Apprenant 690</v>
      </c>
      <c r="L702" s="53" t="str">
        <f aca="false">IF(AND($B702&lt;&gt;"",$C702&lt;&gt;""),$C702-$B702,"")</f>
        <v/>
      </c>
      <c r="M702" s="53" t="str">
        <f aca="false">IF(AND($B702&lt;&gt;"",$D702&lt;&gt;""),$D702-$B702,"")</f>
        <v/>
      </c>
      <c r="N702" s="53" t="str">
        <f aca="false">IF(AND($C702&lt;&gt;"",$D702&lt;&gt;""),$D702-$C702,"")</f>
        <v/>
      </c>
      <c r="O702" s="53" t="str">
        <f aca="false">IF($E702&lt;&gt;"",$E702,"")</f>
        <v/>
      </c>
      <c r="P702" s="52" t="str">
        <f aca="false">IF($F702&lt;&gt;"",$F702,"")</f>
        <v>Apprenant 690 ou 690'</v>
      </c>
      <c r="Q702" s="53" t="str">
        <f aca="false">IF(AND($G702&lt;&gt;"",$H702&lt;&gt;""),$H702-$G702,"")</f>
        <v/>
      </c>
      <c r="R702" s="53" t="str">
        <f aca="false">IF(AND($G702&lt;&gt;"",$I702&lt;&gt;""),$I702-$G702,"")</f>
        <v/>
      </c>
      <c r="S702" s="53" t="str">
        <f aca="false">IF(AND($H702&lt;&gt;"",$I702&lt;&gt;""),$I702-$H702,"")</f>
        <v/>
      </c>
      <c r="T702" s="53" t="str">
        <f aca="false">IF($J702&lt;&gt;"",$J702,"")</f>
        <v/>
      </c>
      <c r="V702" s="52" t="str">
        <f aca="false">IF($A702&lt;&gt;"",$A702,"")</f>
        <v>Apprenant 690</v>
      </c>
      <c r="W702" s="53" t="str">
        <f aca="false">IF(AND(OR('Choix pédagogiques'!$C$3=1,'Choix pédagogiques'!$C$3=2),$BM702=1),B702,IF(AND('Choix pédagogiques'!$C$3=3,$BO702=1),B702,""))</f>
        <v/>
      </c>
      <c r="X702" s="53" t="str">
        <f aca="false">IF(AND(OR('Choix pédagogiques'!$C$3=1,'Choix pédagogiques'!$C$3=2),$BM702=1),C702,IF(AND('Choix pédagogiques'!$C$3=3,$BO702=1),C702,""))</f>
        <v/>
      </c>
      <c r="Y702" s="53" t="str">
        <f aca="false">IF(AND(OR('Choix pédagogiques'!$C$3=1,'Choix pédagogiques'!$C$3=2),$BM702=1),D702,IF(AND('Choix pédagogiques'!$C$3=3,$BO702=1),D702,""))</f>
        <v/>
      </c>
      <c r="Z702" s="53" t="str">
        <f aca="false">IF($E702&lt;&gt;"",$E702,"")</f>
        <v/>
      </c>
      <c r="AA702" s="52" t="str">
        <f aca="false">IF($F702&lt;&gt;"",$F702,"")</f>
        <v>Apprenant 690 ou 690'</v>
      </c>
      <c r="AB702" s="53" t="str">
        <f aca="false">IF(AND(OR('Choix pédagogiques'!$C$3=1,'Choix pédagogiques'!$C$3=2),$BN702=1),G702,IF(AND('Choix pédagogiques'!$C$3=3,$BO702=1),G702,""))</f>
        <v/>
      </c>
      <c r="AC702" s="53" t="str">
        <f aca="false">IF(AND(OR('Choix pédagogiques'!$C$3=1,'Choix pédagogiques'!$C$3=2),$BN702=1),H702,IF(AND('Choix pédagogiques'!$C$3=3,$BO702=1),H702,""))</f>
        <v/>
      </c>
      <c r="AD702" s="53" t="str">
        <f aca="false">IF(AND(OR('Choix pédagogiques'!$C$3=1,'Choix pédagogiques'!$C$3=2),$BN702=1),I702,IF(AND('Choix pédagogiques'!$C$3=3,$BO702=1),I702,""))</f>
        <v/>
      </c>
      <c r="AE702" s="53" t="str">
        <f aca="false">IF($J702&lt;&gt;"",$J702,"")</f>
        <v/>
      </c>
      <c r="AF702" s="52" t="str">
        <f aca="false">IF($A702&lt;&gt;"",$A702,"")</f>
        <v>Apprenant 690</v>
      </c>
      <c r="AG702" s="53" t="str">
        <f aca="false">IF(AND($W702&lt;&gt;"",$X702&lt;&gt;""),$X702-$W702,"")</f>
        <v/>
      </c>
      <c r="AH702" s="53" t="str">
        <f aca="false">IF(AND($W702&lt;&gt;"",$Y702&lt;&gt;""),$Y702-$W702,"")</f>
        <v/>
      </c>
      <c r="AI702" s="53" t="str">
        <f aca="false">IF(AND($X702&lt;&gt;"",$Y702&lt;&gt;""),$Y702-$X702,"")</f>
        <v/>
      </c>
      <c r="AJ702" s="53" t="str">
        <f aca="false">IF($E702&lt;&gt;"",$E702,"")</f>
        <v/>
      </c>
      <c r="AK702" s="52" t="str">
        <f aca="false">IF($F702&lt;&gt;"",$F702,"")</f>
        <v>Apprenant 690 ou 690'</v>
      </c>
      <c r="AL702" s="53" t="str">
        <f aca="false">IF(AND($AB702&lt;&gt;"",$AC702&lt;&gt;""),$AC702-$AB702,"")</f>
        <v/>
      </c>
      <c r="AM702" s="53" t="str">
        <f aca="false">IF(AND($AB702&lt;&gt;"",$AD702&lt;&gt;""),$AD702-$AB702,"")</f>
        <v/>
      </c>
      <c r="AN702" s="53" t="str">
        <f aca="false">IF(AND($AC702&lt;&gt;"",$AD702&lt;&gt;""),$AD702-$AC702,"")</f>
        <v/>
      </c>
      <c r="AO702" s="53" t="str">
        <f aca="false">IF($J702&lt;&gt;"",$J702,"")</f>
        <v/>
      </c>
      <c r="AQ702" s="52" t="str">
        <f aca="false">IF($A702&lt;&gt;"",$A702,"")</f>
        <v>Apprenant 690</v>
      </c>
      <c r="AR702" s="55" t="str">
        <f aca="false">IF(AND('Choix pédagogiques'!$C$4&lt;&gt;"?",'Choix pédagogiques'!$C$5&lt;&gt;"?",W702&lt;&gt;""),(W702-'Choix pédagogiques'!$C$4)/('Choix pédagogiques'!$C$5-'Choix pédagogiques'!$C$4),"")</f>
        <v/>
      </c>
      <c r="AS702" s="55" t="str">
        <f aca="false">IF(AND('Choix pédagogiques'!$C$4&lt;&gt;"?",'Choix pédagogiques'!$C$5&lt;&gt;"?",X702&lt;&gt;""),(X702-'Choix pédagogiques'!$C$4)/('Choix pédagogiques'!$C$5-'Choix pédagogiques'!$C$4),"")</f>
        <v/>
      </c>
      <c r="AT702" s="55" t="str">
        <f aca="false">IF(AND('Choix pédagogiques'!$C$4&lt;&gt;"?",'Choix pédagogiques'!$C$5&lt;&gt;"?",Y702&lt;&gt;""),(Y702-'Choix pédagogiques'!$C$4)/('Choix pédagogiques'!$C$5-'Choix pédagogiques'!$C$4),"")</f>
        <v/>
      </c>
      <c r="AU702" s="53" t="str">
        <f aca="false">IF($E702&lt;&gt;"",$E702,"")</f>
        <v/>
      </c>
      <c r="AV702" s="52" t="str">
        <f aca="false">IF($F702&lt;&gt;"",$F702,"")</f>
        <v>Apprenant 690 ou 690'</v>
      </c>
      <c r="AW702" s="55" t="str">
        <f aca="false">IF(AND('Choix pédagogiques'!$C$4&lt;&gt;"?",'Choix pédagogiques'!$C$5&lt;&gt;"?",AB702&lt;&gt;""),(AB702-'Choix pédagogiques'!$C$4)/('Choix pédagogiques'!$C$5-'Choix pédagogiques'!$C$4),"")</f>
        <v/>
      </c>
      <c r="AX702" s="55" t="str">
        <f aca="false">IF(AND('Choix pédagogiques'!$C$4&lt;&gt;"?",'Choix pédagogiques'!$C$5&lt;&gt;"?",AC702&lt;&gt;""),(AC702-'Choix pédagogiques'!$C$4)/('Choix pédagogiques'!$C$5-'Choix pédagogiques'!$C$4),"")</f>
        <v/>
      </c>
      <c r="AY702" s="55" t="str">
        <f aca="false">IF(AND('Choix pédagogiques'!$C$4&lt;&gt;"?",'Choix pédagogiques'!$C$5&lt;&gt;"?",AD702&lt;&gt;""),(AD702-'Choix pédagogiques'!$C$4)/('Choix pédagogiques'!$C$5-'Choix pédagogiques'!$C$4),"")</f>
        <v/>
      </c>
      <c r="AZ702" s="53" t="str">
        <f aca="false">IF($J702&lt;&gt;"",$J702,"")</f>
        <v/>
      </c>
      <c r="BA702" s="52" t="str">
        <f aca="false">IF($A702&lt;&gt;"",$A702,"")</f>
        <v>Apprenant 690</v>
      </c>
      <c r="BB702" s="55" t="str">
        <f aca="false">IF(AND($AR702&lt;&gt;"",$AS702&lt;&gt;""),$AS702-$AR702,"")</f>
        <v/>
      </c>
      <c r="BC702" s="55" t="str">
        <f aca="false">IF(AND($AR702&lt;&gt;"",$AT702&lt;&gt;""),$AT702-$AR702,"")</f>
        <v/>
      </c>
      <c r="BD702" s="55" t="str">
        <f aca="false">IF(AND($AS702&lt;&gt;"",$AT702&lt;&gt;""),$AT702-$AS702,"")</f>
        <v/>
      </c>
      <c r="BE702" s="53" t="str">
        <f aca="false">IF($E702&lt;&gt;"",$E702,"")</f>
        <v/>
      </c>
      <c r="BF702" s="52" t="str">
        <f aca="false">IF($F702&lt;&gt;"",$F702,"")</f>
        <v>Apprenant 690 ou 690'</v>
      </c>
      <c r="BG702" s="55" t="str">
        <f aca="false">IF(AND($AW702&lt;&gt;"",$AX702&lt;&gt;""),$AX702-$AW702,"")</f>
        <v/>
      </c>
      <c r="BH702" s="55" t="str">
        <f aca="false">IF(AND($AW702&lt;&gt;"",$AY702&lt;&gt;""),$AY702-$AW702,"")</f>
        <v/>
      </c>
      <c r="BI702" s="55" t="str">
        <f aca="false">IF(AND($AX702&lt;&gt;"",$AY702&lt;&gt;""),$AY702-$AX702,"")</f>
        <v/>
      </c>
      <c r="BJ702" s="53" t="str">
        <f aca="false">IF($J702&lt;&gt;"",$J702,"")</f>
        <v/>
      </c>
      <c r="BL702" s="52"/>
      <c r="BM702" s="52" t="str">
        <f aca="false">IF(OR(COUNT(B702:D1701)=0,AND('Choix pédagogiques'!$C$3&lt;&gt;1,'Choix pédagogiques'!$C$3&lt;&gt;2)),"",IF(AND(OR('Choix pédagogiques'!$C$3=1,'Choix pédagogiques'!$C$3=2),$B702&lt;&gt;"",$C702&lt;&gt;"",$D702&lt;&gt;""),1,0))</f>
        <v/>
      </c>
      <c r="BN702" s="52" t="str">
        <f aca="false">IF(OR(COUNT(G702:I1701)=0,AND('Choix pédagogiques'!$C$3&lt;&gt;1,'Choix pédagogiques'!$C$3&lt;&gt;2)),"",IF(AND(OR('Choix pédagogiques'!$C$3=1,'Choix pédagogiques'!$C$3=2),AND($G702&lt;&gt;"",$H702&lt;&gt;"",$I702&lt;&gt;"")),1,0))</f>
        <v/>
      </c>
      <c r="BO702" s="52" t="str">
        <f aca="false">IF(OR(COUNT(B702:D1701)=0,COUNT(G702:I1701)=0,'Choix pédagogiques'!C$3&lt;&gt;3),"",IF(AND('Choix pédagogiques'!$C$3=3,$B702&lt;&gt;"",$C702&lt;&gt;"",$D702&lt;&gt;"",$G702&lt;&gt;"",$H702&lt;&gt;"",$I702&lt;&gt;""),1,0))</f>
        <v/>
      </c>
      <c r="BR702" s="52" t="n">
        <v>19</v>
      </c>
      <c r="BS702" s="52" t="n">
        <v>1312</v>
      </c>
    </row>
    <row r="703" s="54" customFormat="true" ht="18" hidden="false" customHeight="true" outlineLevel="0" collapsed="false">
      <c r="A703" s="57" t="s">
        <v>1337</v>
      </c>
      <c r="B703" s="51"/>
      <c r="C703" s="51"/>
      <c r="D703" s="51"/>
      <c r="E703" s="51"/>
      <c r="F703" s="57" t="s">
        <v>1338</v>
      </c>
      <c r="G703" s="51"/>
      <c r="H703" s="51"/>
      <c r="I703" s="51"/>
      <c r="J703" s="51"/>
      <c r="K703" s="52" t="str">
        <f aca="false">IF($A703&lt;&gt;"",$A703,"")</f>
        <v>Apprenant 691</v>
      </c>
      <c r="L703" s="53" t="str">
        <f aca="false">IF(AND($B703&lt;&gt;"",$C703&lt;&gt;""),$C703-$B703,"")</f>
        <v/>
      </c>
      <c r="M703" s="53" t="str">
        <f aca="false">IF(AND($B703&lt;&gt;"",$D703&lt;&gt;""),$D703-$B703,"")</f>
        <v/>
      </c>
      <c r="N703" s="53" t="str">
        <f aca="false">IF(AND($C703&lt;&gt;"",$D703&lt;&gt;""),$D703-$C703,"")</f>
        <v/>
      </c>
      <c r="O703" s="53" t="str">
        <f aca="false">IF($E703&lt;&gt;"",$E703,"")</f>
        <v/>
      </c>
      <c r="P703" s="52" t="str">
        <f aca="false">IF($F703&lt;&gt;"",$F703,"")</f>
        <v>Apprenant 691 ou 691'</v>
      </c>
      <c r="Q703" s="53" t="str">
        <f aca="false">IF(AND($G703&lt;&gt;"",$H703&lt;&gt;""),$H703-$G703,"")</f>
        <v/>
      </c>
      <c r="R703" s="53" t="str">
        <f aca="false">IF(AND($G703&lt;&gt;"",$I703&lt;&gt;""),$I703-$G703,"")</f>
        <v/>
      </c>
      <c r="S703" s="53" t="str">
        <f aca="false">IF(AND($H703&lt;&gt;"",$I703&lt;&gt;""),$I703-$H703,"")</f>
        <v/>
      </c>
      <c r="T703" s="53" t="str">
        <f aca="false">IF($J703&lt;&gt;"",$J703,"")</f>
        <v/>
      </c>
      <c r="V703" s="52" t="str">
        <f aca="false">IF($A703&lt;&gt;"",$A703,"")</f>
        <v>Apprenant 691</v>
      </c>
      <c r="W703" s="53" t="str">
        <f aca="false">IF(AND(OR('Choix pédagogiques'!$C$3=1,'Choix pédagogiques'!$C$3=2),$BM703=1),B703,IF(AND('Choix pédagogiques'!$C$3=3,$BO703=1),B703,""))</f>
        <v/>
      </c>
      <c r="X703" s="53" t="str">
        <f aca="false">IF(AND(OR('Choix pédagogiques'!$C$3=1,'Choix pédagogiques'!$C$3=2),$BM703=1),C703,IF(AND('Choix pédagogiques'!$C$3=3,$BO703=1),C703,""))</f>
        <v/>
      </c>
      <c r="Y703" s="53" t="str">
        <f aca="false">IF(AND(OR('Choix pédagogiques'!$C$3=1,'Choix pédagogiques'!$C$3=2),$BM703=1),D703,IF(AND('Choix pédagogiques'!$C$3=3,$BO703=1),D703,""))</f>
        <v/>
      </c>
      <c r="Z703" s="53" t="str">
        <f aca="false">IF($E703&lt;&gt;"",$E703,"")</f>
        <v/>
      </c>
      <c r="AA703" s="52" t="str">
        <f aca="false">IF($F703&lt;&gt;"",$F703,"")</f>
        <v>Apprenant 691 ou 691'</v>
      </c>
      <c r="AB703" s="53" t="str">
        <f aca="false">IF(AND(OR('Choix pédagogiques'!$C$3=1,'Choix pédagogiques'!$C$3=2),$BN703=1),G703,IF(AND('Choix pédagogiques'!$C$3=3,$BO703=1),G703,""))</f>
        <v/>
      </c>
      <c r="AC703" s="53" t="str">
        <f aca="false">IF(AND(OR('Choix pédagogiques'!$C$3=1,'Choix pédagogiques'!$C$3=2),$BN703=1),H703,IF(AND('Choix pédagogiques'!$C$3=3,$BO703=1),H703,""))</f>
        <v/>
      </c>
      <c r="AD703" s="53" t="str">
        <f aca="false">IF(AND(OR('Choix pédagogiques'!$C$3=1,'Choix pédagogiques'!$C$3=2),$BN703=1),I703,IF(AND('Choix pédagogiques'!$C$3=3,$BO703=1),I703,""))</f>
        <v/>
      </c>
      <c r="AE703" s="53" t="str">
        <f aca="false">IF($J703&lt;&gt;"",$J703,"")</f>
        <v/>
      </c>
      <c r="AF703" s="52" t="str">
        <f aca="false">IF($A703&lt;&gt;"",$A703,"")</f>
        <v>Apprenant 691</v>
      </c>
      <c r="AG703" s="53" t="str">
        <f aca="false">IF(AND($W703&lt;&gt;"",$X703&lt;&gt;""),$X703-$W703,"")</f>
        <v/>
      </c>
      <c r="AH703" s="53" t="str">
        <f aca="false">IF(AND($W703&lt;&gt;"",$Y703&lt;&gt;""),$Y703-$W703,"")</f>
        <v/>
      </c>
      <c r="AI703" s="53" t="str">
        <f aca="false">IF(AND($X703&lt;&gt;"",$Y703&lt;&gt;""),$Y703-$X703,"")</f>
        <v/>
      </c>
      <c r="AJ703" s="53" t="str">
        <f aca="false">IF($E703&lt;&gt;"",$E703,"")</f>
        <v/>
      </c>
      <c r="AK703" s="52" t="str">
        <f aca="false">IF($F703&lt;&gt;"",$F703,"")</f>
        <v>Apprenant 691 ou 691'</v>
      </c>
      <c r="AL703" s="53" t="str">
        <f aca="false">IF(AND($AB703&lt;&gt;"",$AC703&lt;&gt;""),$AC703-$AB703,"")</f>
        <v/>
      </c>
      <c r="AM703" s="53" t="str">
        <f aca="false">IF(AND($AB703&lt;&gt;"",$AD703&lt;&gt;""),$AD703-$AB703,"")</f>
        <v/>
      </c>
      <c r="AN703" s="53" t="str">
        <f aca="false">IF(AND($AC703&lt;&gt;"",$AD703&lt;&gt;""),$AD703-$AC703,"")</f>
        <v/>
      </c>
      <c r="AO703" s="53" t="str">
        <f aca="false">IF($J703&lt;&gt;"",$J703,"")</f>
        <v/>
      </c>
      <c r="AQ703" s="52" t="str">
        <f aca="false">IF($A703&lt;&gt;"",$A703,"")</f>
        <v>Apprenant 691</v>
      </c>
      <c r="AR703" s="55" t="str">
        <f aca="false">IF(AND('Choix pédagogiques'!$C$4&lt;&gt;"?",'Choix pédagogiques'!$C$5&lt;&gt;"?",W703&lt;&gt;""),(W703-'Choix pédagogiques'!$C$4)/('Choix pédagogiques'!$C$5-'Choix pédagogiques'!$C$4),"")</f>
        <v/>
      </c>
      <c r="AS703" s="55" t="str">
        <f aca="false">IF(AND('Choix pédagogiques'!$C$4&lt;&gt;"?",'Choix pédagogiques'!$C$5&lt;&gt;"?",X703&lt;&gt;""),(X703-'Choix pédagogiques'!$C$4)/('Choix pédagogiques'!$C$5-'Choix pédagogiques'!$C$4),"")</f>
        <v/>
      </c>
      <c r="AT703" s="55" t="str">
        <f aca="false">IF(AND('Choix pédagogiques'!$C$4&lt;&gt;"?",'Choix pédagogiques'!$C$5&lt;&gt;"?",Y703&lt;&gt;""),(Y703-'Choix pédagogiques'!$C$4)/('Choix pédagogiques'!$C$5-'Choix pédagogiques'!$C$4),"")</f>
        <v/>
      </c>
      <c r="AU703" s="53" t="str">
        <f aca="false">IF($E703&lt;&gt;"",$E703,"")</f>
        <v/>
      </c>
      <c r="AV703" s="52" t="str">
        <f aca="false">IF($F703&lt;&gt;"",$F703,"")</f>
        <v>Apprenant 691 ou 691'</v>
      </c>
      <c r="AW703" s="55" t="str">
        <f aca="false">IF(AND('Choix pédagogiques'!$C$4&lt;&gt;"?",'Choix pédagogiques'!$C$5&lt;&gt;"?",AB703&lt;&gt;""),(AB703-'Choix pédagogiques'!$C$4)/('Choix pédagogiques'!$C$5-'Choix pédagogiques'!$C$4),"")</f>
        <v/>
      </c>
      <c r="AX703" s="55" t="str">
        <f aca="false">IF(AND('Choix pédagogiques'!$C$4&lt;&gt;"?",'Choix pédagogiques'!$C$5&lt;&gt;"?",AC703&lt;&gt;""),(AC703-'Choix pédagogiques'!$C$4)/('Choix pédagogiques'!$C$5-'Choix pédagogiques'!$C$4),"")</f>
        <v/>
      </c>
      <c r="AY703" s="55" t="str">
        <f aca="false">IF(AND('Choix pédagogiques'!$C$4&lt;&gt;"?",'Choix pédagogiques'!$C$5&lt;&gt;"?",AD703&lt;&gt;""),(AD703-'Choix pédagogiques'!$C$4)/('Choix pédagogiques'!$C$5-'Choix pédagogiques'!$C$4),"")</f>
        <v/>
      </c>
      <c r="AZ703" s="53" t="str">
        <f aca="false">IF($J703&lt;&gt;"",$J703,"")</f>
        <v/>
      </c>
      <c r="BA703" s="52" t="str">
        <f aca="false">IF($A703&lt;&gt;"",$A703,"")</f>
        <v>Apprenant 691</v>
      </c>
      <c r="BB703" s="55" t="str">
        <f aca="false">IF(AND($AR703&lt;&gt;"",$AS703&lt;&gt;""),$AS703-$AR703,"")</f>
        <v/>
      </c>
      <c r="BC703" s="55" t="str">
        <f aca="false">IF(AND($AR703&lt;&gt;"",$AT703&lt;&gt;""),$AT703-$AR703,"")</f>
        <v/>
      </c>
      <c r="BD703" s="55" t="str">
        <f aca="false">IF(AND($AS703&lt;&gt;"",$AT703&lt;&gt;""),$AT703-$AS703,"")</f>
        <v/>
      </c>
      <c r="BE703" s="53" t="str">
        <f aca="false">IF($E703&lt;&gt;"",$E703,"")</f>
        <v/>
      </c>
      <c r="BF703" s="52" t="str">
        <f aca="false">IF($F703&lt;&gt;"",$F703,"")</f>
        <v>Apprenant 691 ou 691'</v>
      </c>
      <c r="BG703" s="55" t="str">
        <f aca="false">IF(AND($AW703&lt;&gt;"",$AX703&lt;&gt;""),$AX703-$AW703,"")</f>
        <v/>
      </c>
      <c r="BH703" s="55" t="str">
        <f aca="false">IF(AND($AW703&lt;&gt;"",$AY703&lt;&gt;""),$AY703-$AW703,"")</f>
        <v/>
      </c>
      <c r="BI703" s="55" t="str">
        <f aca="false">IF(AND($AX703&lt;&gt;"",$AY703&lt;&gt;""),$AY703-$AX703,"")</f>
        <v/>
      </c>
      <c r="BJ703" s="53" t="str">
        <f aca="false">IF($J703&lt;&gt;"",$J703,"")</f>
        <v/>
      </c>
      <c r="BL703" s="52"/>
      <c r="BM703" s="52" t="str">
        <f aca="false">IF(OR(COUNT(B703:D1702)=0,AND('Choix pédagogiques'!$C$3&lt;&gt;1,'Choix pédagogiques'!$C$3&lt;&gt;2)),"",IF(AND(OR('Choix pédagogiques'!$C$3=1,'Choix pédagogiques'!$C$3=2),$B703&lt;&gt;"",$C703&lt;&gt;"",$D703&lt;&gt;""),1,0))</f>
        <v/>
      </c>
      <c r="BN703" s="52" t="str">
        <f aca="false">IF(OR(COUNT(G703:I1702)=0,AND('Choix pédagogiques'!$C$3&lt;&gt;1,'Choix pédagogiques'!$C$3&lt;&gt;2)),"",IF(AND(OR('Choix pédagogiques'!$C$3=1,'Choix pédagogiques'!$C$3=2),AND($G703&lt;&gt;"",$H703&lt;&gt;"",$I703&lt;&gt;"")),1,0))</f>
        <v/>
      </c>
      <c r="BO703" s="52" t="str">
        <f aca="false">IF(OR(COUNT(B703:D1702)=0,COUNT(G703:I1702)=0,'Choix pédagogiques'!C$3&lt;&gt;3),"",IF(AND('Choix pédagogiques'!$C$3=3,$B703&lt;&gt;"",$C703&lt;&gt;"",$D703&lt;&gt;"",$G703&lt;&gt;"",$H703&lt;&gt;"",$I703&lt;&gt;""),1,0))</f>
        <v/>
      </c>
      <c r="BR703" s="52" t="n">
        <v>454</v>
      </c>
      <c r="BS703" s="52" t="n">
        <v>1090</v>
      </c>
    </row>
    <row r="704" s="54" customFormat="true" ht="18" hidden="false" customHeight="true" outlineLevel="0" collapsed="false">
      <c r="A704" s="57" t="s">
        <v>1339</v>
      </c>
      <c r="B704" s="51"/>
      <c r="C704" s="51"/>
      <c r="D704" s="51"/>
      <c r="E704" s="51"/>
      <c r="F704" s="57" t="s">
        <v>1340</v>
      </c>
      <c r="G704" s="51"/>
      <c r="H704" s="51"/>
      <c r="I704" s="51"/>
      <c r="J704" s="51"/>
      <c r="K704" s="52" t="str">
        <f aca="false">IF($A704&lt;&gt;"",$A704,"")</f>
        <v>Apprenant 692</v>
      </c>
      <c r="L704" s="53" t="str">
        <f aca="false">IF(AND($B704&lt;&gt;"",$C704&lt;&gt;""),$C704-$B704,"")</f>
        <v/>
      </c>
      <c r="M704" s="53" t="str">
        <f aca="false">IF(AND($B704&lt;&gt;"",$D704&lt;&gt;""),$D704-$B704,"")</f>
        <v/>
      </c>
      <c r="N704" s="53" t="str">
        <f aca="false">IF(AND($C704&lt;&gt;"",$D704&lt;&gt;""),$D704-$C704,"")</f>
        <v/>
      </c>
      <c r="O704" s="53" t="str">
        <f aca="false">IF($E704&lt;&gt;"",$E704,"")</f>
        <v/>
      </c>
      <c r="P704" s="52" t="str">
        <f aca="false">IF($F704&lt;&gt;"",$F704,"")</f>
        <v>Apprenant 692 ou 692'</v>
      </c>
      <c r="Q704" s="53" t="str">
        <f aca="false">IF(AND($G704&lt;&gt;"",$H704&lt;&gt;""),$H704-$G704,"")</f>
        <v/>
      </c>
      <c r="R704" s="53" t="str">
        <f aca="false">IF(AND($G704&lt;&gt;"",$I704&lt;&gt;""),$I704-$G704,"")</f>
        <v/>
      </c>
      <c r="S704" s="53" t="str">
        <f aca="false">IF(AND($H704&lt;&gt;"",$I704&lt;&gt;""),$I704-$H704,"")</f>
        <v/>
      </c>
      <c r="T704" s="53" t="str">
        <f aca="false">IF($J704&lt;&gt;"",$J704,"")</f>
        <v/>
      </c>
      <c r="V704" s="52" t="str">
        <f aca="false">IF($A704&lt;&gt;"",$A704,"")</f>
        <v>Apprenant 692</v>
      </c>
      <c r="W704" s="53" t="str">
        <f aca="false">IF(AND(OR('Choix pédagogiques'!$C$3=1,'Choix pédagogiques'!$C$3=2),$BM704=1),B704,IF(AND('Choix pédagogiques'!$C$3=3,$BO704=1),B704,""))</f>
        <v/>
      </c>
      <c r="X704" s="53" t="str">
        <f aca="false">IF(AND(OR('Choix pédagogiques'!$C$3=1,'Choix pédagogiques'!$C$3=2),$BM704=1),C704,IF(AND('Choix pédagogiques'!$C$3=3,$BO704=1),C704,""))</f>
        <v/>
      </c>
      <c r="Y704" s="53" t="str">
        <f aca="false">IF(AND(OR('Choix pédagogiques'!$C$3=1,'Choix pédagogiques'!$C$3=2),$BM704=1),D704,IF(AND('Choix pédagogiques'!$C$3=3,$BO704=1),D704,""))</f>
        <v/>
      </c>
      <c r="Z704" s="53" t="str">
        <f aca="false">IF($E704&lt;&gt;"",$E704,"")</f>
        <v/>
      </c>
      <c r="AA704" s="52" t="str">
        <f aca="false">IF($F704&lt;&gt;"",$F704,"")</f>
        <v>Apprenant 692 ou 692'</v>
      </c>
      <c r="AB704" s="53" t="str">
        <f aca="false">IF(AND(OR('Choix pédagogiques'!$C$3=1,'Choix pédagogiques'!$C$3=2),$BN704=1),G704,IF(AND('Choix pédagogiques'!$C$3=3,$BO704=1),G704,""))</f>
        <v/>
      </c>
      <c r="AC704" s="53" t="str">
        <f aca="false">IF(AND(OR('Choix pédagogiques'!$C$3=1,'Choix pédagogiques'!$C$3=2),$BN704=1),H704,IF(AND('Choix pédagogiques'!$C$3=3,$BO704=1),H704,""))</f>
        <v/>
      </c>
      <c r="AD704" s="53" t="str">
        <f aca="false">IF(AND(OR('Choix pédagogiques'!$C$3=1,'Choix pédagogiques'!$C$3=2),$BN704=1),I704,IF(AND('Choix pédagogiques'!$C$3=3,$BO704=1),I704,""))</f>
        <v/>
      </c>
      <c r="AE704" s="53" t="str">
        <f aca="false">IF($J704&lt;&gt;"",$J704,"")</f>
        <v/>
      </c>
      <c r="AF704" s="52" t="str">
        <f aca="false">IF($A704&lt;&gt;"",$A704,"")</f>
        <v>Apprenant 692</v>
      </c>
      <c r="AG704" s="53" t="str">
        <f aca="false">IF(AND($W704&lt;&gt;"",$X704&lt;&gt;""),$X704-$W704,"")</f>
        <v/>
      </c>
      <c r="AH704" s="53" t="str">
        <f aca="false">IF(AND($W704&lt;&gt;"",$Y704&lt;&gt;""),$Y704-$W704,"")</f>
        <v/>
      </c>
      <c r="AI704" s="53" t="str">
        <f aca="false">IF(AND($X704&lt;&gt;"",$Y704&lt;&gt;""),$Y704-$X704,"")</f>
        <v/>
      </c>
      <c r="AJ704" s="53" t="str">
        <f aca="false">IF($E704&lt;&gt;"",$E704,"")</f>
        <v/>
      </c>
      <c r="AK704" s="52" t="str">
        <f aca="false">IF($F704&lt;&gt;"",$F704,"")</f>
        <v>Apprenant 692 ou 692'</v>
      </c>
      <c r="AL704" s="53" t="str">
        <f aca="false">IF(AND($AB704&lt;&gt;"",$AC704&lt;&gt;""),$AC704-$AB704,"")</f>
        <v/>
      </c>
      <c r="AM704" s="53" t="str">
        <f aca="false">IF(AND($AB704&lt;&gt;"",$AD704&lt;&gt;""),$AD704-$AB704,"")</f>
        <v/>
      </c>
      <c r="AN704" s="53" t="str">
        <f aca="false">IF(AND($AC704&lt;&gt;"",$AD704&lt;&gt;""),$AD704-$AC704,"")</f>
        <v/>
      </c>
      <c r="AO704" s="53" t="str">
        <f aca="false">IF($J704&lt;&gt;"",$J704,"")</f>
        <v/>
      </c>
      <c r="AQ704" s="52" t="str">
        <f aca="false">IF($A704&lt;&gt;"",$A704,"")</f>
        <v>Apprenant 692</v>
      </c>
      <c r="AR704" s="55" t="str">
        <f aca="false">IF(AND('Choix pédagogiques'!$C$4&lt;&gt;"?",'Choix pédagogiques'!$C$5&lt;&gt;"?",W704&lt;&gt;""),(W704-'Choix pédagogiques'!$C$4)/('Choix pédagogiques'!$C$5-'Choix pédagogiques'!$C$4),"")</f>
        <v/>
      </c>
      <c r="AS704" s="55" t="str">
        <f aca="false">IF(AND('Choix pédagogiques'!$C$4&lt;&gt;"?",'Choix pédagogiques'!$C$5&lt;&gt;"?",X704&lt;&gt;""),(X704-'Choix pédagogiques'!$C$4)/('Choix pédagogiques'!$C$5-'Choix pédagogiques'!$C$4),"")</f>
        <v/>
      </c>
      <c r="AT704" s="55" t="str">
        <f aca="false">IF(AND('Choix pédagogiques'!$C$4&lt;&gt;"?",'Choix pédagogiques'!$C$5&lt;&gt;"?",Y704&lt;&gt;""),(Y704-'Choix pédagogiques'!$C$4)/('Choix pédagogiques'!$C$5-'Choix pédagogiques'!$C$4),"")</f>
        <v/>
      </c>
      <c r="AU704" s="53" t="str">
        <f aca="false">IF($E704&lt;&gt;"",$E704,"")</f>
        <v/>
      </c>
      <c r="AV704" s="52" t="str">
        <f aca="false">IF($F704&lt;&gt;"",$F704,"")</f>
        <v>Apprenant 692 ou 692'</v>
      </c>
      <c r="AW704" s="55" t="str">
        <f aca="false">IF(AND('Choix pédagogiques'!$C$4&lt;&gt;"?",'Choix pédagogiques'!$C$5&lt;&gt;"?",AB704&lt;&gt;""),(AB704-'Choix pédagogiques'!$C$4)/('Choix pédagogiques'!$C$5-'Choix pédagogiques'!$C$4),"")</f>
        <v/>
      </c>
      <c r="AX704" s="55" t="str">
        <f aca="false">IF(AND('Choix pédagogiques'!$C$4&lt;&gt;"?",'Choix pédagogiques'!$C$5&lt;&gt;"?",AC704&lt;&gt;""),(AC704-'Choix pédagogiques'!$C$4)/('Choix pédagogiques'!$C$5-'Choix pédagogiques'!$C$4),"")</f>
        <v/>
      </c>
      <c r="AY704" s="55" t="str">
        <f aca="false">IF(AND('Choix pédagogiques'!$C$4&lt;&gt;"?",'Choix pédagogiques'!$C$5&lt;&gt;"?",AD704&lt;&gt;""),(AD704-'Choix pédagogiques'!$C$4)/('Choix pédagogiques'!$C$5-'Choix pédagogiques'!$C$4),"")</f>
        <v/>
      </c>
      <c r="AZ704" s="53" t="str">
        <f aca="false">IF($J704&lt;&gt;"",$J704,"")</f>
        <v/>
      </c>
      <c r="BA704" s="52" t="str">
        <f aca="false">IF($A704&lt;&gt;"",$A704,"")</f>
        <v>Apprenant 692</v>
      </c>
      <c r="BB704" s="55" t="str">
        <f aca="false">IF(AND($AR704&lt;&gt;"",$AS704&lt;&gt;""),$AS704-$AR704,"")</f>
        <v/>
      </c>
      <c r="BC704" s="55" t="str">
        <f aca="false">IF(AND($AR704&lt;&gt;"",$AT704&lt;&gt;""),$AT704-$AR704,"")</f>
        <v/>
      </c>
      <c r="BD704" s="55" t="str">
        <f aca="false">IF(AND($AS704&lt;&gt;"",$AT704&lt;&gt;""),$AT704-$AS704,"")</f>
        <v/>
      </c>
      <c r="BE704" s="53" t="str">
        <f aca="false">IF($E704&lt;&gt;"",$E704,"")</f>
        <v/>
      </c>
      <c r="BF704" s="52" t="str">
        <f aca="false">IF($F704&lt;&gt;"",$F704,"")</f>
        <v>Apprenant 692 ou 692'</v>
      </c>
      <c r="BG704" s="55" t="str">
        <f aca="false">IF(AND($AW704&lt;&gt;"",$AX704&lt;&gt;""),$AX704-$AW704,"")</f>
        <v/>
      </c>
      <c r="BH704" s="55" t="str">
        <f aca="false">IF(AND($AW704&lt;&gt;"",$AY704&lt;&gt;""),$AY704-$AW704,"")</f>
        <v/>
      </c>
      <c r="BI704" s="55" t="str">
        <f aca="false">IF(AND($AX704&lt;&gt;"",$AY704&lt;&gt;""),$AY704-$AX704,"")</f>
        <v/>
      </c>
      <c r="BJ704" s="53" t="str">
        <f aca="false">IF($J704&lt;&gt;"",$J704,"")</f>
        <v/>
      </c>
      <c r="BL704" s="52"/>
      <c r="BM704" s="52" t="str">
        <f aca="false">IF(OR(COUNT(B704:D1703)=0,AND('Choix pédagogiques'!$C$3&lt;&gt;1,'Choix pédagogiques'!$C$3&lt;&gt;2)),"",IF(AND(OR('Choix pédagogiques'!$C$3=1,'Choix pédagogiques'!$C$3=2),$B704&lt;&gt;"",$C704&lt;&gt;"",$D704&lt;&gt;""),1,0))</f>
        <v/>
      </c>
      <c r="BN704" s="52" t="str">
        <f aca="false">IF(OR(COUNT(G704:I1703)=0,AND('Choix pédagogiques'!$C$3&lt;&gt;1,'Choix pédagogiques'!$C$3&lt;&gt;2)),"",IF(AND(OR('Choix pédagogiques'!$C$3=1,'Choix pédagogiques'!$C$3=2),AND($G704&lt;&gt;"",$H704&lt;&gt;"",$I704&lt;&gt;"")),1,0))</f>
        <v/>
      </c>
      <c r="BO704" s="52" t="str">
        <f aca="false">IF(OR(COUNT(B704:D1703)=0,COUNT(G704:I1703)=0,'Choix pédagogiques'!C$3&lt;&gt;3),"",IF(AND('Choix pédagogiques'!$C$3=3,$B704&lt;&gt;"",$C704&lt;&gt;"",$D704&lt;&gt;"",$G704&lt;&gt;"",$H704&lt;&gt;"",$I704&lt;&gt;""),1,0))</f>
        <v/>
      </c>
      <c r="BR704" s="52" t="n">
        <v>824</v>
      </c>
      <c r="BS704" s="52" t="n">
        <v>1203</v>
      </c>
    </row>
    <row r="705" s="54" customFormat="true" ht="18" hidden="false" customHeight="true" outlineLevel="0" collapsed="false">
      <c r="A705" s="57" t="s">
        <v>1341</v>
      </c>
      <c r="B705" s="51"/>
      <c r="C705" s="51"/>
      <c r="D705" s="51"/>
      <c r="E705" s="51"/>
      <c r="F705" s="57" t="s">
        <v>1342</v>
      </c>
      <c r="G705" s="51"/>
      <c r="H705" s="51"/>
      <c r="I705" s="51"/>
      <c r="J705" s="51"/>
      <c r="K705" s="52" t="str">
        <f aca="false">IF($A705&lt;&gt;"",$A705,"")</f>
        <v>Apprenant 693</v>
      </c>
      <c r="L705" s="53" t="str">
        <f aca="false">IF(AND($B705&lt;&gt;"",$C705&lt;&gt;""),$C705-$B705,"")</f>
        <v/>
      </c>
      <c r="M705" s="53" t="str">
        <f aca="false">IF(AND($B705&lt;&gt;"",$D705&lt;&gt;""),$D705-$B705,"")</f>
        <v/>
      </c>
      <c r="N705" s="53" t="str">
        <f aca="false">IF(AND($C705&lt;&gt;"",$D705&lt;&gt;""),$D705-$C705,"")</f>
        <v/>
      </c>
      <c r="O705" s="53" t="str">
        <f aca="false">IF($E705&lt;&gt;"",$E705,"")</f>
        <v/>
      </c>
      <c r="P705" s="52" t="str">
        <f aca="false">IF($F705&lt;&gt;"",$F705,"")</f>
        <v>Apprenant 693 ou 693'</v>
      </c>
      <c r="Q705" s="53" t="str">
        <f aca="false">IF(AND($G705&lt;&gt;"",$H705&lt;&gt;""),$H705-$G705,"")</f>
        <v/>
      </c>
      <c r="R705" s="53" t="str">
        <f aca="false">IF(AND($G705&lt;&gt;"",$I705&lt;&gt;""),$I705-$G705,"")</f>
        <v/>
      </c>
      <c r="S705" s="53" t="str">
        <f aca="false">IF(AND($H705&lt;&gt;"",$I705&lt;&gt;""),$I705-$H705,"")</f>
        <v/>
      </c>
      <c r="T705" s="53" t="str">
        <f aca="false">IF($J705&lt;&gt;"",$J705,"")</f>
        <v/>
      </c>
      <c r="V705" s="52" t="str">
        <f aca="false">IF($A705&lt;&gt;"",$A705,"")</f>
        <v>Apprenant 693</v>
      </c>
      <c r="W705" s="53" t="str">
        <f aca="false">IF(AND(OR('Choix pédagogiques'!$C$3=1,'Choix pédagogiques'!$C$3=2),$BM705=1),B705,IF(AND('Choix pédagogiques'!$C$3=3,$BO705=1),B705,""))</f>
        <v/>
      </c>
      <c r="X705" s="53" t="str">
        <f aca="false">IF(AND(OR('Choix pédagogiques'!$C$3=1,'Choix pédagogiques'!$C$3=2),$BM705=1),C705,IF(AND('Choix pédagogiques'!$C$3=3,$BO705=1),C705,""))</f>
        <v/>
      </c>
      <c r="Y705" s="53" t="str">
        <f aca="false">IF(AND(OR('Choix pédagogiques'!$C$3=1,'Choix pédagogiques'!$C$3=2),$BM705=1),D705,IF(AND('Choix pédagogiques'!$C$3=3,$BO705=1),D705,""))</f>
        <v/>
      </c>
      <c r="Z705" s="53" t="str">
        <f aca="false">IF($E705&lt;&gt;"",$E705,"")</f>
        <v/>
      </c>
      <c r="AA705" s="52" t="str">
        <f aca="false">IF($F705&lt;&gt;"",$F705,"")</f>
        <v>Apprenant 693 ou 693'</v>
      </c>
      <c r="AB705" s="53" t="str">
        <f aca="false">IF(AND(OR('Choix pédagogiques'!$C$3=1,'Choix pédagogiques'!$C$3=2),$BN705=1),G705,IF(AND('Choix pédagogiques'!$C$3=3,$BO705=1),G705,""))</f>
        <v/>
      </c>
      <c r="AC705" s="53" t="str">
        <f aca="false">IF(AND(OR('Choix pédagogiques'!$C$3=1,'Choix pédagogiques'!$C$3=2),$BN705=1),H705,IF(AND('Choix pédagogiques'!$C$3=3,$BO705=1),H705,""))</f>
        <v/>
      </c>
      <c r="AD705" s="53" t="str">
        <f aca="false">IF(AND(OR('Choix pédagogiques'!$C$3=1,'Choix pédagogiques'!$C$3=2),$BN705=1),I705,IF(AND('Choix pédagogiques'!$C$3=3,$BO705=1),I705,""))</f>
        <v/>
      </c>
      <c r="AE705" s="53" t="str">
        <f aca="false">IF($J705&lt;&gt;"",$J705,"")</f>
        <v/>
      </c>
      <c r="AF705" s="52" t="str">
        <f aca="false">IF($A705&lt;&gt;"",$A705,"")</f>
        <v>Apprenant 693</v>
      </c>
      <c r="AG705" s="53" t="str">
        <f aca="false">IF(AND($W705&lt;&gt;"",$X705&lt;&gt;""),$X705-$W705,"")</f>
        <v/>
      </c>
      <c r="AH705" s="53" t="str">
        <f aca="false">IF(AND($W705&lt;&gt;"",$Y705&lt;&gt;""),$Y705-$W705,"")</f>
        <v/>
      </c>
      <c r="AI705" s="53" t="str">
        <f aca="false">IF(AND($X705&lt;&gt;"",$Y705&lt;&gt;""),$Y705-$X705,"")</f>
        <v/>
      </c>
      <c r="AJ705" s="53" t="str">
        <f aca="false">IF($E705&lt;&gt;"",$E705,"")</f>
        <v/>
      </c>
      <c r="AK705" s="52" t="str">
        <f aca="false">IF($F705&lt;&gt;"",$F705,"")</f>
        <v>Apprenant 693 ou 693'</v>
      </c>
      <c r="AL705" s="53" t="str">
        <f aca="false">IF(AND($AB705&lt;&gt;"",$AC705&lt;&gt;""),$AC705-$AB705,"")</f>
        <v/>
      </c>
      <c r="AM705" s="53" t="str">
        <f aca="false">IF(AND($AB705&lt;&gt;"",$AD705&lt;&gt;""),$AD705-$AB705,"")</f>
        <v/>
      </c>
      <c r="AN705" s="53" t="str">
        <f aca="false">IF(AND($AC705&lt;&gt;"",$AD705&lt;&gt;""),$AD705-$AC705,"")</f>
        <v/>
      </c>
      <c r="AO705" s="53" t="str">
        <f aca="false">IF($J705&lt;&gt;"",$J705,"")</f>
        <v/>
      </c>
      <c r="AQ705" s="52" t="str">
        <f aca="false">IF($A705&lt;&gt;"",$A705,"")</f>
        <v>Apprenant 693</v>
      </c>
      <c r="AR705" s="55" t="str">
        <f aca="false">IF(AND('Choix pédagogiques'!$C$4&lt;&gt;"?",'Choix pédagogiques'!$C$5&lt;&gt;"?",W705&lt;&gt;""),(W705-'Choix pédagogiques'!$C$4)/('Choix pédagogiques'!$C$5-'Choix pédagogiques'!$C$4),"")</f>
        <v/>
      </c>
      <c r="AS705" s="55" t="str">
        <f aca="false">IF(AND('Choix pédagogiques'!$C$4&lt;&gt;"?",'Choix pédagogiques'!$C$5&lt;&gt;"?",X705&lt;&gt;""),(X705-'Choix pédagogiques'!$C$4)/('Choix pédagogiques'!$C$5-'Choix pédagogiques'!$C$4),"")</f>
        <v/>
      </c>
      <c r="AT705" s="55" t="str">
        <f aca="false">IF(AND('Choix pédagogiques'!$C$4&lt;&gt;"?",'Choix pédagogiques'!$C$5&lt;&gt;"?",Y705&lt;&gt;""),(Y705-'Choix pédagogiques'!$C$4)/('Choix pédagogiques'!$C$5-'Choix pédagogiques'!$C$4),"")</f>
        <v/>
      </c>
      <c r="AU705" s="53" t="str">
        <f aca="false">IF($E705&lt;&gt;"",$E705,"")</f>
        <v/>
      </c>
      <c r="AV705" s="52" t="str">
        <f aca="false">IF($F705&lt;&gt;"",$F705,"")</f>
        <v>Apprenant 693 ou 693'</v>
      </c>
      <c r="AW705" s="55" t="str">
        <f aca="false">IF(AND('Choix pédagogiques'!$C$4&lt;&gt;"?",'Choix pédagogiques'!$C$5&lt;&gt;"?",AB705&lt;&gt;""),(AB705-'Choix pédagogiques'!$C$4)/('Choix pédagogiques'!$C$5-'Choix pédagogiques'!$C$4),"")</f>
        <v/>
      </c>
      <c r="AX705" s="55" t="str">
        <f aca="false">IF(AND('Choix pédagogiques'!$C$4&lt;&gt;"?",'Choix pédagogiques'!$C$5&lt;&gt;"?",AC705&lt;&gt;""),(AC705-'Choix pédagogiques'!$C$4)/('Choix pédagogiques'!$C$5-'Choix pédagogiques'!$C$4),"")</f>
        <v/>
      </c>
      <c r="AY705" s="55" t="str">
        <f aca="false">IF(AND('Choix pédagogiques'!$C$4&lt;&gt;"?",'Choix pédagogiques'!$C$5&lt;&gt;"?",AD705&lt;&gt;""),(AD705-'Choix pédagogiques'!$C$4)/('Choix pédagogiques'!$C$5-'Choix pédagogiques'!$C$4),"")</f>
        <v/>
      </c>
      <c r="AZ705" s="53" t="str">
        <f aca="false">IF($J705&lt;&gt;"",$J705,"")</f>
        <v/>
      </c>
      <c r="BA705" s="52" t="str">
        <f aca="false">IF($A705&lt;&gt;"",$A705,"")</f>
        <v>Apprenant 693</v>
      </c>
      <c r="BB705" s="55" t="str">
        <f aca="false">IF(AND($AR705&lt;&gt;"",$AS705&lt;&gt;""),$AS705-$AR705,"")</f>
        <v/>
      </c>
      <c r="BC705" s="55" t="str">
        <f aca="false">IF(AND($AR705&lt;&gt;"",$AT705&lt;&gt;""),$AT705-$AR705,"")</f>
        <v/>
      </c>
      <c r="BD705" s="55" t="str">
        <f aca="false">IF(AND($AS705&lt;&gt;"",$AT705&lt;&gt;""),$AT705-$AS705,"")</f>
        <v/>
      </c>
      <c r="BE705" s="53" t="str">
        <f aca="false">IF($E705&lt;&gt;"",$E705,"")</f>
        <v/>
      </c>
      <c r="BF705" s="52" t="str">
        <f aca="false">IF($F705&lt;&gt;"",$F705,"")</f>
        <v>Apprenant 693 ou 693'</v>
      </c>
      <c r="BG705" s="55" t="str">
        <f aca="false">IF(AND($AW705&lt;&gt;"",$AX705&lt;&gt;""),$AX705-$AW705,"")</f>
        <v/>
      </c>
      <c r="BH705" s="55" t="str">
        <f aca="false">IF(AND($AW705&lt;&gt;"",$AY705&lt;&gt;""),$AY705-$AW705,"")</f>
        <v/>
      </c>
      <c r="BI705" s="55" t="str">
        <f aca="false">IF(AND($AX705&lt;&gt;"",$AY705&lt;&gt;""),$AY705-$AX705,"")</f>
        <v/>
      </c>
      <c r="BJ705" s="53" t="str">
        <f aca="false">IF($J705&lt;&gt;"",$J705,"")</f>
        <v/>
      </c>
      <c r="BL705" s="52"/>
      <c r="BM705" s="52" t="str">
        <f aca="false">IF(OR(COUNT(B705:D1704)=0,AND('Choix pédagogiques'!$C$3&lt;&gt;1,'Choix pédagogiques'!$C$3&lt;&gt;2)),"",IF(AND(OR('Choix pédagogiques'!$C$3=1,'Choix pédagogiques'!$C$3=2),$B705&lt;&gt;"",$C705&lt;&gt;"",$D705&lt;&gt;""),1,0))</f>
        <v/>
      </c>
      <c r="BN705" s="52" t="str">
        <f aca="false">IF(OR(COUNT(G705:I1704)=0,AND('Choix pédagogiques'!$C$3&lt;&gt;1,'Choix pédagogiques'!$C$3&lt;&gt;2)),"",IF(AND(OR('Choix pédagogiques'!$C$3=1,'Choix pédagogiques'!$C$3=2),AND($G705&lt;&gt;"",$H705&lt;&gt;"",$I705&lt;&gt;"")),1,0))</f>
        <v/>
      </c>
      <c r="BO705" s="52" t="str">
        <f aca="false">IF(OR(COUNT(B705:D1704)=0,COUNT(G705:I1704)=0,'Choix pédagogiques'!C$3&lt;&gt;3),"",IF(AND('Choix pédagogiques'!$C$3=3,$B705&lt;&gt;"",$C705&lt;&gt;"",$D705&lt;&gt;"",$G705&lt;&gt;"",$H705&lt;&gt;"",$I705&lt;&gt;""),1,0))</f>
        <v/>
      </c>
      <c r="BR705" s="52" t="n">
        <v>866</v>
      </c>
      <c r="BS705" s="52" t="n">
        <v>1174</v>
      </c>
    </row>
    <row r="706" s="54" customFormat="true" ht="18" hidden="false" customHeight="true" outlineLevel="0" collapsed="false">
      <c r="A706" s="57" t="s">
        <v>1343</v>
      </c>
      <c r="B706" s="51"/>
      <c r="C706" s="51"/>
      <c r="D706" s="51"/>
      <c r="E706" s="51"/>
      <c r="F706" s="57" t="s">
        <v>1344</v>
      </c>
      <c r="G706" s="51"/>
      <c r="H706" s="51"/>
      <c r="I706" s="51"/>
      <c r="J706" s="51"/>
      <c r="K706" s="52" t="str">
        <f aca="false">IF($A706&lt;&gt;"",$A706,"")</f>
        <v>Apprenant 694</v>
      </c>
      <c r="L706" s="53" t="str">
        <f aca="false">IF(AND($B706&lt;&gt;"",$C706&lt;&gt;""),$C706-$B706,"")</f>
        <v/>
      </c>
      <c r="M706" s="53" t="str">
        <f aca="false">IF(AND($B706&lt;&gt;"",$D706&lt;&gt;""),$D706-$B706,"")</f>
        <v/>
      </c>
      <c r="N706" s="53" t="str">
        <f aca="false">IF(AND($C706&lt;&gt;"",$D706&lt;&gt;""),$D706-$C706,"")</f>
        <v/>
      </c>
      <c r="O706" s="53" t="str">
        <f aca="false">IF($E706&lt;&gt;"",$E706,"")</f>
        <v/>
      </c>
      <c r="P706" s="52" t="str">
        <f aca="false">IF($F706&lt;&gt;"",$F706,"")</f>
        <v>Apprenant 694 ou 694'</v>
      </c>
      <c r="Q706" s="53" t="str">
        <f aca="false">IF(AND($G706&lt;&gt;"",$H706&lt;&gt;""),$H706-$G706,"")</f>
        <v/>
      </c>
      <c r="R706" s="53" t="str">
        <f aca="false">IF(AND($G706&lt;&gt;"",$I706&lt;&gt;""),$I706-$G706,"")</f>
        <v/>
      </c>
      <c r="S706" s="53" t="str">
        <f aca="false">IF(AND($H706&lt;&gt;"",$I706&lt;&gt;""),$I706-$H706,"")</f>
        <v/>
      </c>
      <c r="T706" s="53" t="str">
        <f aca="false">IF($J706&lt;&gt;"",$J706,"")</f>
        <v/>
      </c>
      <c r="V706" s="52" t="str">
        <f aca="false">IF($A706&lt;&gt;"",$A706,"")</f>
        <v>Apprenant 694</v>
      </c>
      <c r="W706" s="53" t="str">
        <f aca="false">IF(AND(OR('Choix pédagogiques'!$C$3=1,'Choix pédagogiques'!$C$3=2),$BM706=1),B706,IF(AND('Choix pédagogiques'!$C$3=3,$BO706=1),B706,""))</f>
        <v/>
      </c>
      <c r="X706" s="53" t="str">
        <f aca="false">IF(AND(OR('Choix pédagogiques'!$C$3=1,'Choix pédagogiques'!$C$3=2),$BM706=1),C706,IF(AND('Choix pédagogiques'!$C$3=3,$BO706=1),C706,""))</f>
        <v/>
      </c>
      <c r="Y706" s="53" t="str">
        <f aca="false">IF(AND(OR('Choix pédagogiques'!$C$3=1,'Choix pédagogiques'!$C$3=2),$BM706=1),D706,IF(AND('Choix pédagogiques'!$C$3=3,$BO706=1),D706,""))</f>
        <v/>
      </c>
      <c r="Z706" s="53" t="str">
        <f aca="false">IF($E706&lt;&gt;"",$E706,"")</f>
        <v/>
      </c>
      <c r="AA706" s="52" t="str">
        <f aca="false">IF($F706&lt;&gt;"",$F706,"")</f>
        <v>Apprenant 694 ou 694'</v>
      </c>
      <c r="AB706" s="53" t="str">
        <f aca="false">IF(AND(OR('Choix pédagogiques'!$C$3=1,'Choix pédagogiques'!$C$3=2),$BN706=1),G706,IF(AND('Choix pédagogiques'!$C$3=3,$BO706=1),G706,""))</f>
        <v/>
      </c>
      <c r="AC706" s="53" t="str">
        <f aca="false">IF(AND(OR('Choix pédagogiques'!$C$3=1,'Choix pédagogiques'!$C$3=2),$BN706=1),H706,IF(AND('Choix pédagogiques'!$C$3=3,$BO706=1),H706,""))</f>
        <v/>
      </c>
      <c r="AD706" s="53" t="str">
        <f aca="false">IF(AND(OR('Choix pédagogiques'!$C$3=1,'Choix pédagogiques'!$C$3=2),$BN706=1),I706,IF(AND('Choix pédagogiques'!$C$3=3,$BO706=1),I706,""))</f>
        <v/>
      </c>
      <c r="AE706" s="53" t="str">
        <f aca="false">IF($J706&lt;&gt;"",$J706,"")</f>
        <v/>
      </c>
      <c r="AF706" s="52" t="str">
        <f aca="false">IF($A706&lt;&gt;"",$A706,"")</f>
        <v>Apprenant 694</v>
      </c>
      <c r="AG706" s="53" t="str">
        <f aca="false">IF(AND($W706&lt;&gt;"",$X706&lt;&gt;""),$X706-$W706,"")</f>
        <v/>
      </c>
      <c r="AH706" s="53" t="str">
        <f aca="false">IF(AND($W706&lt;&gt;"",$Y706&lt;&gt;""),$Y706-$W706,"")</f>
        <v/>
      </c>
      <c r="AI706" s="53" t="str">
        <f aca="false">IF(AND($X706&lt;&gt;"",$Y706&lt;&gt;""),$Y706-$X706,"")</f>
        <v/>
      </c>
      <c r="AJ706" s="53" t="str">
        <f aca="false">IF($E706&lt;&gt;"",$E706,"")</f>
        <v/>
      </c>
      <c r="AK706" s="52" t="str">
        <f aca="false">IF($F706&lt;&gt;"",$F706,"")</f>
        <v>Apprenant 694 ou 694'</v>
      </c>
      <c r="AL706" s="53" t="str">
        <f aca="false">IF(AND($AB706&lt;&gt;"",$AC706&lt;&gt;""),$AC706-$AB706,"")</f>
        <v/>
      </c>
      <c r="AM706" s="53" t="str">
        <f aca="false">IF(AND($AB706&lt;&gt;"",$AD706&lt;&gt;""),$AD706-$AB706,"")</f>
        <v/>
      </c>
      <c r="AN706" s="53" t="str">
        <f aca="false">IF(AND($AC706&lt;&gt;"",$AD706&lt;&gt;""),$AD706-$AC706,"")</f>
        <v/>
      </c>
      <c r="AO706" s="53" t="str">
        <f aca="false">IF($J706&lt;&gt;"",$J706,"")</f>
        <v/>
      </c>
      <c r="AQ706" s="52" t="str">
        <f aca="false">IF($A706&lt;&gt;"",$A706,"")</f>
        <v>Apprenant 694</v>
      </c>
      <c r="AR706" s="55" t="str">
        <f aca="false">IF(AND('Choix pédagogiques'!$C$4&lt;&gt;"?",'Choix pédagogiques'!$C$5&lt;&gt;"?",W706&lt;&gt;""),(W706-'Choix pédagogiques'!$C$4)/('Choix pédagogiques'!$C$5-'Choix pédagogiques'!$C$4),"")</f>
        <v/>
      </c>
      <c r="AS706" s="55" t="str">
        <f aca="false">IF(AND('Choix pédagogiques'!$C$4&lt;&gt;"?",'Choix pédagogiques'!$C$5&lt;&gt;"?",X706&lt;&gt;""),(X706-'Choix pédagogiques'!$C$4)/('Choix pédagogiques'!$C$5-'Choix pédagogiques'!$C$4),"")</f>
        <v/>
      </c>
      <c r="AT706" s="55" t="str">
        <f aca="false">IF(AND('Choix pédagogiques'!$C$4&lt;&gt;"?",'Choix pédagogiques'!$C$5&lt;&gt;"?",Y706&lt;&gt;""),(Y706-'Choix pédagogiques'!$C$4)/('Choix pédagogiques'!$C$5-'Choix pédagogiques'!$C$4),"")</f>
        <v/>
      </c>
      <c r="AU706" s="53" t="str">
        <f aca="false">IF($E706&lt;&gt;"",$E706,"")</f>
        <v/>
      </c>
      <c r="AV706" s="52" t="str">
        <f aca="false">IF($F706&lt;&gt;"",$F706,"")</f>
        <v>Apprenant 694 ou 694'</v>
      </c>
      <c r="AW706" s="55" t="str">
        <f aca="false">IF(AND('Choix pédagogiques'!$C$4&lt;&gt;"?",'Choix pédagogiques'!$C$5&lt;&gt;"?",AB706&lt;&gt;""),(AB706-'Choix pédagogiques'!$C$4)/('Choix pédagogiques'!$C$5-'Choix pédagogiques'!$C$4),"")</f>
        <v/>
      </c>
      <c r="AX706" s="55" t="str">
        <f aca="false">IF(AND('Choix pédagogiques'!$C$4&lt;&gt;"?",'Choix pédagogiques'!$C$5&lt;&gt;"?",AC706&lt;&gt;""),(AC706-'Choix pédagogiques'!$C$4)/('Choix pédagogiques'!$C$5-'Choix pédagogiques'!$C$4),"")</f>
        <v/>
      </c>
      <c r="AY706" s="55" t="str">
        <f aca="false">IF(AND('Choix pédagogiques'!$C$4&lt;&gt;"?",'Choix pédagogiques'!$C$5&lt;&gt;"?",AD706&lt;&gt;""),(AD706-'Choix pédagogiques'!$C$4)/('Choix pédagogiques'!$C$5-'Choix pédagogiques'!$C$4),"")</f>
        <v/>
      </c>
      <c r="AZ706" s="53" t="str">
        <f aca="false">IF($J706&lt;&gt;"",$J706,"")</f>
        <v/>
      </c>
      <c r="BA706" s="52" t="str">
        <f aca="false">IF($A706&lt;&gt;"",$A706,"")</f>
        <v>Apprenant 694</v>
      </c>
      <c r="BB706" s="55" t="str">
        <f aca="false">IF(AND($AR706&lt;&gt;"",$AS706&lt;&gt;""),$AS706-$AR706,"")</f>
        <v/>
      </c>
      <c r="BC706" s="55" t="str">
        <f aca="false">IF(AND($AR706&lt;&gt;"",$AT706&lt;&gt;""),$AT706-$AR706,"")</f>
        <v/>
      </c>
      <c r="BD706" s="55" t="str">
        <f aca="false">IF(AND($AS706&lt;&gt;"",$AT706&lt;&gt;""),$AT706-$AS706,"")</f>
        <v/>
      </c>
      <c r="BE706" s="53" t="str">
        <f aca="false">IF($E706&lt;&gt;"",$E706,"")</f>
        <v/>
      </c>
      <c r="BF706" s="52" t="str">
        <f aca="false">IF($F706&lt;&gt;"",$F706,"")</f>
        <v>Apprenant 694 ou 694'</v>
      </c>
      <c r="BG706" s="55" t="str">
        <f aca="false">IF(AND($AW706&lt;&gt;"",$AX706&lt;&gt;""),$AX706-$AW706,"")</f>
        <v/>
      </c>
      <c r="BH706" s="55" t="str">
        <f aca="false">IF(AND($AW706&lt;&gt;"",$AY706&lt;&gt;""),$AY706-$AW706,"")</f>
        <v/>
      </c>
      <c r="BI706" s="55" t="str">
        <f aca="false">IF(AND($AX706&lt;&gt;"",$AY706&lt;&gt;""),$AY706-$AX706,"")</f>
        <v/>
      </c>
      <c r="BJ706" s="53" t="str">
        <f aca="false">IF($J706&lt;&gt;"",$J706,"")</f>
        <v/>
      </c>
      <c r="BL706" s="52"/>
      <c r="BM706" s="52" t="str">
        <f aca="false">IF(OR(COUNT(B706:D1705)=0,AND('Choix pédagogiques'!$C$3&lt;&gt;1,'Choix pédagogiques'!$C$3&lt;&gt;2)),"",IF(AND(OR('Choix pédagogiques'!$C$3=1,'Choix pédagogiques'!$C$3=2),$B706&lt;&gt;"",$C706&lt;&gt;"",$D706&lt;&gt;""),1,0))</f>
        <v/>
      </c>
      <c r="BN706" s="52" t="str">
        <f aca="false">IF(OR(COUNT(G706:I1705)=0,AND('Choix pédagogiques'!$C$3&lt;&gt;1,'Choix pédagogiques'!$C$3&lt;&gt;2)),"",IF(AND(OR('Choix pédagogiques'!$C$3=1,'Choix pédagogiques'!$C$3=2),AND($G706&lt;&gt;"",$H706&lt;&gt;"",$I706&lt;&gt;"")),1,0))</f>
        <v/>
      </c>
      <c r="BO706" s="52" t="str">
        <f aca="false">IF(OR(COUNT(B706:D1705)=0,COUNT(G706:I1705)=0,'Choix pédagogiques'!C$3&lt;&gt;3),"",IF(AND('Choix pédagogiques'!$C$3=3,$B706&lt;&gt;"",$C706&lt;&gt;"",$D706&lt;&gt;"",$G706&lt;&gt;"",$H706&lt;&gt;"",$I706&lt;&gt;""),1,0))</f>
        <v/>
      </c>
      <c r="BR706" s="52" t="n">
        <v>687</v>
      </c>
      <c r="BS706" s="52" t="n">
        <v>1049</v>
      </c>
    </row>
    <row r="707" s="54" customFormat="true" ht="18" hidden="false" customHeight="true" outlineLevel="0" collapsed="false">
      <c r="A707" s="57" t="s">
        <v>1345</v>
      </c>
      <c r="B707" s="51"/>
      <c r="C707" s="51"/>
      <c r="D707" s="51"/>
      <c r="E707" s="51"/>
      <c r="F707" s="57" t="s">
        <v>1346</v>
      </c>
      <c r="G707" s="51"/>
      <c r="H707" s="51"/>
      <c r="I707" s="51"/>
      <c r="J707" s="51"/>
      <c r="K707" s="52" t="str">
        <f aca="false">IF($A707&lt;&gt;"",$A707,"")</f>
        <v>Apprenant 695</v>
      </c>
      <c r="L707" s="53" t="str">
        <f aca="false">IF(AND($B707&lt;&gt;"",$C707&lt;&gt;""),$C707-$B707,"")</f>
        <v/>
      </c>
      <c r="M707" s="53" t="str">
        <f aca="false">IF(AND($B707&lt;&gt;"",$D707&lt;&gt;""),$D707-$B707,"")</f>
        <v/>
      </c>
      <c r="N707" s="53" t="str">
        <f aca="false">IF(AND($C707&lt;&gt;"",$D707&lt;&gt;""),$D707-$C707,"")</f>
        <v/>
      </c>
      <c r="O707" s="53" t="str">
        <f aca="false">IF($E707&lt;&gt;"",$E707,"")</f>
        <v/>
      </c>
      <c r="P707" s="52" t="str">
        <f aca="false">IF($F707&lt;&gt;"",$F707,"")</f>
        <v>Apprenant 695 ou 695'</v>
      </c>
      <c r="Q707" s="53" t="str">
        <f aca="false">IF(AND($G707&lt;&gt;"",$H707&lt;&gt;""),$H707-$G707,"")</f>
        <v/>
      </c>
      <c r="R707" s="53" t="str">
        <f aca="false">IF(AND($G707&lt;&gt;"",$I707&lt;&gt;""),$I707-$G707,"")</f>
        <v/>
      </c>
      <c r="S707" s="53" t="str">
        <f aca="false">IF(AND($H707&lt;&gt;"",$I707&lt;&gt;""),$I707-$H707,"")</f>
        <v/>
      </c>
      <c r="T707" s="53" t="str">
        <f aca="false">IF($J707&lt;&gt;"",$J707,"")</f>
        <v/>
      </c>
      <c r="V707" s="52" t="str">
        <f aca="false">IF($A707&lt;&gt;"",$A707,"")</f>
        <v>Apprenant 695</v>
      </c>
      <c r="W707" s="53" t="str">
        <f aca="false">IF(AND(OR('Choix pédagogiques'!$C$3=1,'Choix pédagogiques'!$C$3=2),$BM707=1),B707,IF(AND('Choix pédagogiques'!$C$3=3,$BO707=1),B707,""))</f>
        <v/>
      </c>
      <c r="X707" s="53" t="str">
        <f aca="false">IF(AND(OR('Choix pédagogiques'!$C$3=1,'Choix pédagogiques'!$C$3=2),$BM707=1),C707,IF(AND('Choix pédagogiques'!$C$3=3,$BO707=1),C707,""))</f>
        <v/>
      </c>
      <c r="Y707" s="53" t="str">
        <f aca="false">IF(AND(OR('Choix pédagogiques'!$C$3=1,'Choix pédagogiques'!$C$3=2),$BM707=1),D707,IF(AND('Choix pédagogiques'!$C$3=3,$BO707=1),D707,""))</f>
        <v/>
      </c>
      <c r="Z707" s="53" t="str">
        <f aca="false">IF($E707&lt;&gt;"",$E707,"")</f>
        <v/>
      </c>
      <c r="AA707" s="52" t="str">
        <f aca="false">IF($F707&lt;&gt;"",$F707,"")</f>
        <v>Apprenant 695 ou 695'</v>
      </c>
      <c r="AB707" s="53" t="str">
        <f aca="false">IF(AND(OR('Choix pédagogiques'!$C$3=1,'Choix pédagogiques'!$C$3=2),$BN707=1),G707,IF(AND('Choix pédagogiques'!$C$3=3,$BO707=1),G707,""))</f>
        <v/>
      </c>
      <c r="AC707" s="53" t="str">
        <f aca="false">IF(AND(OR('Choix pédagogiques'!$C$3=1,'Choix pédagogiques'!$C$3=2),$BN707=1),H707,IF(AND('Choix pédagogiques'!$C$3=3,$BO707=1),H707,""))</f>
        <v/>
      </c>
      <c r="AD707" s="53" t="str">
        <f aca="false">IF(AND(OR('Choix pédagogiques'!$C$3=1,'Choix pédagogiques'!$C$3=2),$BN707=1),I707,IF(AND('Choix pédagogiques'!$C$3=3,$BO707=1),I707,""))</f>
        <v/>
      </c>
      <c r="AE707" s="53" t="str">
        <f aca="false">IF($J707&lt;&gt;"",$J707,"")</f>
        <v/>
      </c>
      <c r="AF707" s="52" t="str">
        <f aca="false">IF($A707&lt;&gt;"",$A707,"")</f>
        <v>Apprenant 695</v>
      </c>
      <c r="AG707" s="53" t="str">
        <f aca="false">IF(AND($W707&lt;&gt;"",$X707&lt;&gt;""),$X707-$W707,"")</f>
        <v/>
      </c>
      <c r="AH707" s="53" t="str">
        <f aca="false">IF(AND($W707&lt;&gt;"",$Y707&lt;&gt;""),$Y707-$W707,"")</f>
        <v/>
      </c>
      <c r="AI707" s="53" t="str">
        <f aca="false">IF(AND($X707&lt;&gt;"",$Y707&lt;&gt;""),$Y707-$X707,"")</f>
        <v/>
      </c>
      <c r="AJ707" s="53" t="str">
        <f aca="false">IF($E707&lt;&gt;"",$E707,"")</f>
        <v/>
      </c>
      <c r="AK707" s="52" t="str">
        <f aca="false">IF($F707&lt;&gt;"",$F707,"")</f>
        <v>Apprenant 695 ou 695'</v>
      </c>
      <c r="AL707" s="53" t="str">
        <f aca="false">IF(AND($AB707&lt;&gt;"",$AC707&lt;&gt;""),$AC707-$AB707,"")</f>
        <v/>
      </c>
      <c r="AM707" s="53" t="str">
        <f aca="false">IF(AND($AB707&lt;&gt;"",$AD707&lt;&gt;""),$AD707-$AB707,"")</f>
        <v/>
      </c>
      <c r="AN707" s="53" t="str">
        <f aca="false">IF(AND($AC707&lt;&gt;"",$AD707&lt;&gt;""),$AD707-$AC707,"")</f>
        <v/>
      </c>
      <c r="AO707" s="53" t="str">
        <f aca="false">IF($J707&lt;&gt;"",$J707,"")</f>
        <v/>
      </c>
      <c r="AQ707" s="52" t="str">
        <f aca="false">IF($A707&lt;&gt;"",$A707,"")</f>
        <v>Apprenant 695</v>
      </c>
      <c r="AR707" s="55" t="str">
        <f aca="false">IF(AND('Choix pédagogiques'!$C$4&lt;&gt;"?",'Choix pédagogiques'!$C$5&lt;&gt;"?",W707&lt;&gt;""),(W707-'Choix pédagogiques'!$C$4)/('Choix pédagogiques'!$C$5-'Choix pédagogiques'!$C$4),"")</f>
        <v/>
      </c>
      <c r="AS707" s="55" t="str">
        <f aca="false">IF(AND('Choix pédagogiques'!$C$4&lt;&gt;"?",'Choix pédagogiques'!$C$5&lt;&gt;"?",X707&lt;&gt;""),(X707-'Choix pédagogiques'!$C$4)/('Choix pédagogiques'!$C$5-'Choix pédagogiques'!$C$4),"")</f>
        <v/>
      </c>
      <c r="AT707" s="55" t="str">
        <f aca="false">IF(AND('Choix pédagogiques'!$C$4&lt;&gt;"?",'Choix pédagogiques'!$C$5&lt;&gt;"?",Y707&lt;&gt;""),(Y707-'Choix pédagogiques'!$C$4)/('Choix pédagogiques'!$C$5-'Choix pédagogiques'!$C$4),"")</f>
        <v/>
      </c>
      <c r="AU707" s="53" t="str">
        <f aca="false">IF($E707&lt;&gt;"",$E707,"")</f>
        <v/>
      </c>
      <c r="AV707" s="52" t="str">
        <f aca="false">IF($F707&lt;&gt;"",$F707,"")</f>
        <v>Apprenant 695 ou 695'</v>
      </c>
      <c r="AW707" s="55" t="str">
        <f aca="false">IF(AND('Choix pédagogiques'!$C$4&lt;&gt;"?",'Choix pédagogiques'!$C$5&lt;&gt;"?",AB707&lt;&gt;""),(AB707-'Choix pédagogiques'!$C$4)/('Choix pédagogiques'!$C$5-'Choix pédagogiques'!$C$4),"")</f>
        <v/>
      </c>
      <c r="AX707" s="55" t="str">
        <f aca="false">IF(AND('Choix pédagogiques'!$C$4&lt;&gt;"?",'Choix pédagogiques'!$C$5&lt;&gt;"?",AC707&lt;&gt;""),(AC707-'Choix pédagogiques'!$C$4)/('Choix pédagogiques'!$C$5-'Choix pédagogiques'!$C$4),"")</f>
        <v/>
      </c>
      <c r="AY707" s="55" t="str">
        <f aca="false">IF(AND('Choix pédagogiques'!$C$4&lt;&gt;"?",'Choix pédagogiques'!$C$5&lt;&gt;"?",AD707&lt;&gt;""),(AD707-'Choix pédagogiques'!$C$4)/('Choix pédagogiques'!$C$5-'Choix pédagogiques'!$C$4),"")</f>
        <v/>
      </c>
      <c r="AZ707" s="53" t="str">
        <f aca="false">IF($J707&lt;&gt;"",$J707,"")</f>
        <v/>
      </c>
      <c r="BA707" s="52" t="str">
        <f aca="false">IF($A707&lt;&gt;"",$A707,"")</f>
        <v>Apprenant 695</v>
      </c>
      <c r="BB707" s="55" t="str">
        <f aca="false">IF(AND($AR707&lt;&gt;"",$AS707&lt;&gt;""),$AS707-$AR707,"")</f>
        <v/>
      </c>
      <c r="BC707" s="55" t="str">
        <f aca="false">IF(AND($AR707&lt;&gt;"",$AT707&lt;&gt;""),$AT707-$AR707,"")</f>
        <v/>
      </c>
      <c r="BD707" s="55" t="str">
        <f aca="false">IF(AND($AS707&lt;&gt;"",$AT707&lt;&gt;""),$AT707-$AS707,"")</f>
        <v/>
      </c>
      <c r="BE707" s="53" t="str">
        <f aca="false">IF($E707&lt;&gt;"",$E707,"")</f>
        <v/>
      </c>
      <c r="BF707" s="52" t="str">
        <f aca="false">IF($F707&lt;&gt;"",$F707,"")</f>
        <v>Apprenant 695 ou 695'</v>
      </c>
      <c r="BG707" s="55" t="str">
        <f aca="false">IF(AND($AW707&lt;&gt;"",$AX707&lt;&gt;""),$AX707-$AW707,"")</f>
        <v/>
      </c>
      <c r="BH707" s="55" t="str">
        <f aca="false">IF(AND($AW707&lt;&gt;"",$AY707&lt;&gt;""),$AY707-$AW707,"")</f>
        <v/>
      </c>
      <c r="BI707" s="55" t="str">
        <f aca="false">IF(AND($AX707&lt;&gt;"",$AY707&lt;&gt;""),$AY707-$AX707,"")</f>
        <v/>
      </c>
      <c r="BJ707" s="53" t="str">
        <f aca="false">IF($J707&lt;&gt;"",$J707,"")</f>
        <v/>
      </c>
      <c r="BL707" s="52"/>
      <c r="BM707" s="52" t="str">
        <f aca="false">IF(OR(COUNT(B707:D1706)=0,AND('Choix pédagogiques'!$C$3&lt;&gt;1,'Choix pédagogiques'!$C$3&lt;&gt;2)),"",IF(AND(OR('Choix pédagogiques'!$C$3=1,'Choix pédagogiques'!$C$3=2),$B707&lt;&gt;"",$C707&lt;&gt;"",$D707&lt;&gt;""),1,0))</f>
        <v/>
      </c>
      <c r="BN707" s="52" t="str">
        <f aca="false">IF(OR(COUNT(G707:I1706)=0,AND('Choix pédagogiques'!$C$3&lt;&gt;1,'Choix pédagogiques'!$C$3&lt;&gt;2)),"",IF(AND(OR('Choix pédagogiques'!$C$3=1,'Choix pédagogiques'!$C$3=2),AND($G707&lt;&gt;"",$H707&lt;&gt;"",$I707&lt;&gt;"")),1,0))</f>
        <v/>
      </c>
      <c r="BO707" s="52" t="str">
        <f aca="false">IF(OR(COUNT(B707:D1706)=0,COUNT(G707:I1706)=0,'Choix pédagogiques'!C$3&lt;&gt;3),"",IF(AND('Choix pédagogiques'!$C$3=3,$B707&lt;&gt;"",$C707&lt;&gt;"",$D707&lt;&gt;"",$G707&lt;&gt;"",$H707&lt;&gt;"",$I707&lt;&gt;""),1,0))</f>
        <v/>
      </c>
      <c r="BR707" s="52" t="n">
        <v>895</v>
      </c>
      <c r="BS707" s="52" t="n">
        <v>1762</v>
      </c>
    </row>
    <row r="708" s="54" customFormat="true" ht="18" hidden="false" customHeight="true" outlineLevel="0" collapsed="false">
      <c r="A708" s="57" t="s">
        <v>1347</v>
      </c>
      <c r="B708" s="51"/>
      <c r="C708" s="51"/>
      <c r="D708" s="51"/>
      <c r="E708" s="51"/>
      <c r="F708" s="57" t="s">
        <v>1348</v>
      </c>
      <c r="G708" s="51"/>
      <c r="H708" s="51"/>
      <c r="I708" s="51"/>
      <c r="J708" s="51"/>
      <c r="K708" s="52" t="str">
        <f aca="false">IF($A708&lt;&gt;"",$A708,"")</f>
        <v>Apprenant 696</v>
      </c>
      <c r="L708" s="53" t="str">
        <f aca="false">IF(AND($B708&lt;&gt;"",$C708&lt;&gt;""),$C708-$B708,"")</f>
        <v/>
      </c>
      <c r="M708" s="53" t="str">
        <f aca="false">IF(AND($B708&lt;&gt;"",$D708&lt;&gt;""),$D708-$B708,"")</f>
        <v/>
      </c>
      <c r="N708" s="53" t="str">
        <f aca="false">IF(AND($C708&lt;&gt;"",$D708&lt;&gt;""),$D708-$C708,"")</f>
        <v/>
      </c>
      <c r="O708" s="53" t="str">
        <f aca="false">IF($E708&lt;&gt;"",$E708,"")</f>
        <v/>
      </c>
      <c r="P708" s="52" t="str">
        <f aca="false">IF($F708&lt;&gt;"",$F708,"")</f>
        <v>Apprenant 696 ou 696'</v>
      </c>
      <c r="Q708" s="53" t="str">
        <f aca="false">IF(AND($G708&lt;&gt;"",$H708&lt;&gt;""),$H708-$G708,"")</f>
        <v/>
      </c>
      <c r="R708" s="53" t="str">
        <f aca="false">IF(AND($G708&lt;&gt;"",$I708&lt;&gt;""),$I708-$G708,"")</f>
        <v/>
      </c>
      <c r="S708" s="53" t="str">
        <f aca="false">IF(AND($H708&lt;&gt;"",$I708&lt;&gt;""),$I708-$H708,"")</f>
        <v/>
      </c>
      <c r="T708" s="53" t="str">
        <f aca="false">IF($J708&lt;&gt;"",$J708,"")</f>
        <v/>
      </c>
      <c r="V708" s="52" t="str">
        <f aca="false">IF($A708&lt;&gt;"",$A708,"")</f>
        <v>Apprenant 696</v>
      </c>
      <c r="W708" s="53" t="str">
        <f aca="false">IF(AND(OR('Choix pédagogiques'!$C$3=1,'Choix pédagogiques'!$C$3=2),$BM708=1),B708,IF(AND('Choix pédagogiques'!$C$3=3,$BO708=1),B708,""))</f>
        <v/>
      </c>
      <c r="X708" s="53" t="str">
        <f aca="false">IF(AND(OR('Choix pédagogiques'!$C$3=1,'Choix pédagogiques'!$C$3=2),$BM708=1),C708,IF(AND('Choix pédagogiques'!$C$3=3,$BO708=1),C708,""))</f>
        <v/>
      </c>
      <c r="Y708" s="53" t="str">
        <f aca="false">IF(AND(OR('Choix pédagogiques'!$C$3=1,'Choix pédagogiques'!$C$3=2),$BM708=1),D708,IF(AND('Choix pédagogiques'!$C$3=3,$BO708=1),D708,""))</f>
        <v/>
      </c>
      <c r="Z708" s="53" t="str">
        <f aca="false">IF($E708&lt;&gt;"",$E708,"")</f>
        <v/>
      </c>
      <c r="AA708" s="52" t="str">
        <f aca="false">IF($F708&lt;&gt;"",$F708,"")</f>
        <v>Apprenant 696 ou 696'</v>
      </c>
      <c r="AB708" s="53" t="str">
        <f aca="false">IF(AND(OR('Choix pédagogiques'!$C$3=1,'Choix pédagogiques'!$C$3=2),$BN708=1),G708,IF(AND('Choix pédagogiques'!$C$3=3,$BO708=1),G708,""))</f>
        <v/>
      </c>
      <c r="AC708" s="53" t="str">
        <f aca="false">IF(AND(OR('Choix pédagogiques'!$C$3=1,'Choix pédagogiques'!$C$3=2),$BN708=1),H708,IF(AND('Choix pédagogiques'!$C$3=3,$BO708=1),H708,""))</f>
        <v/>
      </c>
      <c r="AD708" s="53" t="str">
        <f aca="false">IF(AND(OR('Choix pédagogiques'!$C$3=1,'Choix pédagogiques'!$C$3=2),$BN708=1),I708,IF(AND('Choix pédagogiques'!$C$3=3,$BO708=1),I708,""))</f>
        <v/>
      </c>
      <c r="AE708" s="53" t="str">
        <f aca="false">IF($J708&lt;&gt;"",$J708,"")</f>
        <v/>
      </c>
      <c r="AF708" s="52" t="str">
        <f aca="false">IF($A708&lt;&gt;"",$A708,"")</f>
        <v>Apprenant 696</v>
      </c>
      <c r="AG708" s="53" t="str">
        <f aca="false">IF(AND($W708&lt;&gt;"",$X708&lt;&gt;""),$X708-$W708,"")</f>
        <v/>
      </c>
      <c r="AH708" s="53" t="str">
        <f aca="false">IF(AND($W708&lt;&gt;"",$Y708&lt;&gt;""),$Y708-$W708,"")</f>
        <v/>
      </c>
      <c r="AI708" s="53" t="str">
        <f aca="false">IF(AND($X708&lt;&gt;"",$Y708&lt;&gt;""),$Y708-$X708,"")</f>
        <v/>
      </c>
      <c r="AJ708" s="53" t="str">
        <f aca="false">IF($E708&lt;&gt;"",$E708,"")</f>
        <v/>
      </c>
      <c r="AK708" s="52" t="str">
        <f aca="false">IF($F708&lt;&gt;"",$F708,"")</f>
        <v>Apprenant 696 ou 696'</v>
      </c>
      <c r="AL708" s="53" t="str">
        <f aca="false">IF(AND($AB708&lt;&gt;"",$AC708&lt;&gt;""),$AC708-$AB708,"")</f>
        <v/>
      </c>
      <c r="AM708" s="53" t="str">
        <f aca="false">IF(AND($AB708&lt;&gt;"",$AD708&lt;&gt;""),$AD708-$AB708,"")</f>
        <v/>
      </c>
      <c r="AN708" s="53" t="str">
        <f aca="false">IF(AND($AC708&lt;&gt;"",$AD708&lt;&gt;""),$AD708-$AC708,"")</f>
        <v/>
      </c>
      <c r="AO708" s="53" t="str">
        <f aca="false">IF($J708&lt;&gt;"",$J708,"")</f>
        <v/>
      </c>
      <c r="AQ708" s="52" t="str">
        <f aca="false">IF($A708&lt;&gt;"",$A708,"")</f>
        <v>Apprenant 696</v>
      </c>
      <c r="AR708" s="55" t="str">
        <f aca="false">IF(AND('Choix pédagogiques'!$C$4&lt;&gt;"?",'Choix pédagogiques'!$C$5&lt;&gt;"?",W708&lt;&gt;""),(W708-'Choix pédagogiques'!$C$4)/('Choix pédagogiques'!$C$5-'Choix pédagogiques'!$C$4),"")</f>
        <v/>
      </c>
      <c r="AS708" s="55" t="str">
        <f aca="false">IF(AND('Choix pédagogiques'!$C$4&lt;&gt;"?",'Choix pédagogiques'!$C$5&lt;&gt;"?",X708&lt;&gt;""),(X708-'Choix pédagogiques'!$C$4)/('Choix pédagogiques'!$C$5-'Choix pédagogiques'!$C$4),"")</f>
        <v/>
      </c>
      <c r="AT708" s="55" t="str">
        <f aca="false">IF(AND('Choix pédagogiques'!$C$4&lt;&gt;"?",'Choix pédagogiques'!$C$5&lt;&gt;"?",Y708&lt;&gt;""),(Y708-'Choix pédagogiques'!$C$4)/('Choix pédagogiques'!$C$5-'Choix pédagogiques'!$C$4),"")</f>
        <v/>
      </c>
      <c r="AU708" s="53" t="str">
        <f aca="false">IF($E708&lt;&gt;"",$E708,"")</f>
        <v/>
      </c>
      <c r="AV708" s="52" t="str">
        <f aca="false">IF($F708&lt;&gt;"",$F708,"")</f>
        <v>Apprenant 696 ou 696'</v>
      </c>
      <c r="AW708" s="55" t="str">
        <f aca="false">IF(AND('Choix pédagogiques'!$C$4&lt;&gt;"?",'Choix pédagogiques'!$C$5&lt;&gt;"?",AB708&lt;&gt;""),(AB708-'Choix pédagogiques'!$C$4)/('Choix pédagogiques'!$C$5-'Choix pédagogiques'!$C$4),"")</f>
        <v/>
      </c>
      <c r="AX708" s="55" t="str">
        <f aca="false">IF(AND('Choix pédagogiques'!$C$4&lt;&gt;"?",'Choix pédagogiques'!$C$5&lt;&gt;"?",AC708&lt;&gt;""),(AC708-'Choix pédagogiques'!$C$4)/('Choix pédagogiques'!$C$5-'Choix pédagogiques'!$C$4),"")</f>
        <v/>
      </c>
      <c r="AY708" s="55" t="str">
        <f aca="false">IF(AND('Choix pédagogiques'!$C$4&lt;&gt;"?",'Choix pédagogiques'!$C$5&lt;&gt;"?",AD708&lt;&gt;""),(AD708-'Choix pédagogiques'!$C$4)/('Choix pédagogiques'!$C$5-'Choix pédagogiques'!$C$4),"")</f>
        <v/>
      </c>
      <c r="AZ708" s="53" t="str">
        <f aca="false">IF($J708&lt;&gt;"",$J708,"")</f>
        <v/>
      </c>
      <c r="BA708" s="52" t="str">
        <f aca="false">IF($A708&lt;&gt;"",$A708,"")</f>
        <v>Apprenant 696</v>
      </c>
      <c r="BB708" s="55" t="str">
        <f aca="false">IF(AND($AR708&lt;&gt;"",$AS708&lt;&gt;""),$AS708-$AR708,"")</f>
        <v/>
      </c>
      <c r="BC708" s="55" t="str">
        <f aca="false">IF(AND($AR708&lt;&gt;"",$AT708&lt;&gt;""),$AT708-$AR708,"")</f>
        <v/>
      </c>
      <c r="BD708" s="55" t="str">
        <f aca="false">IF(AND($AS708&lt;&gt;"",$AT708&lt;&gt;""),$AT708-$AS708,"")</f>
        <v/>
      </c>
      <c r="BE708" s="53" t="str">
        <f aca="false">IF($E708&lt;&gt;"",$E708,"")</f>
        <v/>
      </c>
      <c r="BF708" s="52" t="str">
        <f aca="false">IF($F708&lt;&gt;"",$F708,"")</f>
        <v>Apprenant 696 ou 696'</v>
      </c>
      <c r="BG708" s="55" t="str">
        <f aca="false">IF(AND($AW708&lt;&gt;"",$AX708&lt;&gt;""),$AX708-$AW708,"")</f>
        <v/>
      </c>
      <c r="BH708" s="55" t="str">
        <f aca="false">IF(AND($AW708&lt;&gt;"",$AY708&lt;&gt;""),$AY708-$AW708,"")</f>
        <v/>
      </c>
      <c r="BI708" s="55" t="str">
        <f aca="false">IF(AND($AX708&lt;&gt;"",$AY708&lt;&gt;""),$AY708-$AX708,"")</f>
        <v/>
      </c>
      <c r="BJ708" s="53" t="str">
        <f aca="false">IF($J708&lt;&gt;"",$J708,"")</f>
        <v/>
      </c>
      <c r="BL708" s="52"/>
      <c r="BM708" s="52" t="str">
        <f aca="false">IF(OR(COUNT(B708:D1707)=0,AND('Choix pédagogiques'!$C$3&lt;&gt;1,'Choix pédagogiques'!$C$3&lt;&gt;2)),"",IF(AND(OR('Choix pédagogiques'!$C$3=1,'Choix pédagogiques'!$C$3=2),$B708&lt;&gt;"",$C708&lt;&gt;"",$D708&lt;&gt;""),1,0))</f>
        <v/>
      </c>
      <c r="BN708" s="52" t="str">
        <f aca="false">IF(OR(COUNT(G708:I1707)=0,AND('Choix pédagogiques'!$C$3&lt;&gt;1,'Choix pédagogiques'!$C$3&lt;&gt;2)),"",IF(AND(OR('Choix pédagogiques'!$C$3=1,'Choix pédagogiques'!$C$3=2),AND($G708&lt;&gt;"",$H708&lt;&gt;"",$I708&lt;&gt;"")),1,0))</f>
        <v/>
      </c>
      <c r="BO708" s="52" t="str">
        <f aca="false">IF(OR(COUNT(B708:D1707)=0,COUNT(G708:I1707)=0,'Choix pédagogiques'!C$3&lt;&gt;3),"",IF(AND('Choix pédagogiques'!$C$3=3,$B708&lt;&gt;"",$C708&lt;&gt;"",$D708&lt;&gt;"",$G708&lt;&gt;"",$H708&lt;&gt;"",$I708&lt;&gt;""),1,0))</f>
        <v/>
      </c>
      <c r="BR708" s="52" t="n">
        <v>954</v>
      </c>
      <c r="BS708" s="52" t="n">
        <v>1381</v>
      </c>
    </row>
    <row r="709" s="54" customFormat="true" ht="18" hidden="false" customHeight="true" outlineLevel="0" collapsed="false">
      <c r="A709" s="57" t="s">
        <v>1349</v>
      </c>
      <c r="B709" s="51"/>
      <c r="C709" s="51"/>
      <c r="D709" s="51"/>
      <c r="E709" s="51"/>
      <c r="F709" s="57" t="s">
        <v>1350</v>
      </c>
      <c r="G709" s="51"/>
      <c r="H709" s="51"/>
      <c r="I709" s="51"/>
      <c r="J709" s="51"/>
      <c r="K709" s="52" t="str">
        <f aca="false">IF($A709&lt;&gt;"",$A709,"")</f>
        <v>Apprenant 697</v>
      </c>
      <c r="L709" s="53" t="str">
        <f aca="false">IF(AND($B709&lt;&gt;"",$C709&lt;&gt;""),$C709-$B709,"")</f>
        <v/>
      </c>
      <c r="M709" s="53" t="str">
        <f aca="false">IF(AND($B709&lt;&gt;"",$D709&lt;&gt;""),$D709-$B709,"")</f>
        <v/>
      </c>
      <c r="N709" s="53" t="str">
        <f aca="false">IF(AND($C709&lt;&gt;"",$D709&lt;&gt;""),$D709-$C709,"")</f>
        <v/>
      </c>
      <c r="O709" s="53" t="str">
        <f aca="false">IF($E709&lt;&gt;"",$E709,"")</f>
        <v/>
      </c>
      <c r="P709" s="52" t="str">
        <f aca="false">IF($F709&lt;&gt;"",$F709,"")</f>
        <v>Apprenant 697 ou 697'</v>
      </c>
      <c r="Q709" s="53" t="str">
        <f aca="false">IF(AND($G709&lt;&gt;"",$H709&lt;&gt;""),$H709-$G709,"")</f>
        <v/>
      </c>
      <c r="R709" s="53" t="str">
        <f aca="false">IF(AND($G709&lt;&gt;"",$I709&lt;&gt;""),$I709-$G709,"")</f>
        <v/>
      </c>
      <c r="S709" s="53" t="str">
        <f aca="false">IF(AND($H709&lt;&gt;"",$I709&lt;&gt;""),$I709-$H709,"")</f>
        <v/>
      </c>
      <c r="T709" s="53" t="str">
        <f aca="false">IF($J709&lt;&gt;"",$J709,"")</f>
        <v/>
      </c>
      <c r="V709" s="52" t="str">
        <f aca="false">IF($A709&lt;&gt;"",$A709,"")</f>
        <v>Apprenant 697</v>
      </c>
      <c r="W709" s="53" t="str">
        <f aca="false">IF(AND(OR('Choix pédagogiques'!$C$3=1,'Choix pédagogiques'!$C$3=2),$BM709=1),B709,IF(AND('Choix pédagogiques'!$C$3=3,$BO709=1),B709,""))</f>
        <v/>
      </c>
      <c r="X709" s="53" t="str">
        <f aca="false">IF(AND(OR('Choix pédagogiques'!$C$3=1,'Choix pédagogiques'!$C$3=2),$BM709=1),C709,IF(AND('Choix pédagogiques'!$C$3=3,$BO709=1),C709,""))</f>
        <v/>
      </c>
      <c r="Y709" s="53" t="str">
        <f aca="false">IF(AND(OR('Choix pédagogiques'!$C$3=1,'Choix pédagogiques'!$C$3=2),$BM709=1),D709,IF(AND('Choix pédagogiques'!$C$3=3,$BO709=1),D709,""))</f>
        <v/>
      </c>
      <c r="Z709" s="53" t="str">
        <f aca="false">IF($E709&lt;&gt;"",$E709,"")</f>
        <v/>
      </c>
      <c r="AA709" s="52" t="str">
        <f aca="false">IF($F709&lt;&gt;"",$F709,"")</f>
        <v>Apprenant 697 ou 697'</v>
      </c>
      <c r="AB709" s="53" t="str">
        <f aca="false">IF(AND(OR('Choix pédagogiques'!$C$3=1,'Choix pédagogiques'!$C$3=2),$BN709=1),G709,IF(AND('Choix pédagogiques'!$C$3=3,$BO709=1),G709,""))</f>
        <v/>
      </c>
      <c r="AC709" s="53" t="str">
        <f aca="false">IF(AND(OR('Choix pédagogiques'!$C$3=1,'Choix pédagogiques'!$C$3=2),$BN709=1),H709,IF(AND('Choix pédagogiques'!$C$3=3,$BO709=1),H709,""))</f>
        <v/>
      </c>
      <c r="AD709" s="53" t="str">
        <f aca="false">IF(AND(OR('Choix pédagogiques'!$C$3=1,'Choix pédagogiques'!$C$3=2),$BN709=1),I709,IF(AND('Choix pédagogiques'!$C$3=3,$BO709=1),I709,""))</f>
        <v/>
      </c>
      <c r="AE709" s="53" t="str">
        <f aca="false">IF($J709&lt;&gt;"",$J709,"")</f>
        <v/>
      </c>
      <c r="AF709" s="52" t="str">
        <f aca="false">IF($A709&lt;&gt;"",$A709,"")</f>
        <v>Apprenant 697</v>
      </c>
      <c r="AG709" s="53" t="str">
        <f aca="false">IF(AND($W709&lt;&gt;"",$X709&lt;&gt;""),$X709-$W709,"")</f>
        <v/>
      </c>
      <c r="AH709" s="53" t="str">
        <f aca="false">IF(AND($W709&lt;&gt;"",$Y709&lt;&gt;""),$Y709-$W709,"")</f>
        <v/>
      </c>
      <c r="AI709" s="53" t="str">
        <f aca="false">IF(AND($X709&lt;&gt;"",$Y709&lt;&gt;""),$Y709-$X709,"")</f>
        <v/>
      </c>
      <c r="AJ709" s="53" t="str">
        <f aca="false">IF($E709&lt;&gt;"",$E709,"")</f>
        <v/>
      </c>
      <c r="AK709" s="52" t="str">
        <f aca="false">IF($F709&lt;&gt;"",$F709,"")</f>
        <v>Apprenant 697 ou 697'</v>
      </c>
      <c r="AL709" s="53" t="str">
        <f aca="false">IF(AND($AB709&lt;&gt;"",$AC709&lt;&gt;""),$AC709-$AB709,"")</f>
        <v/>
      </c>
      <c r="AM709" s="53" t="str">
        <f aca="false">IF(AND($AB709&lt;&gt;"",$AD709&lt;&gt;""),$AD709-$AB709,"")</f>
        <v/>
      </c>
      <c r="AN709" s="53" t="str">
        <f aca="false">IF(AND($AC709&lt;&gt;"",$AD709&lt;&gt;""),$AD709-$AC709,"")</f>
        <v/>
      </c>
      <c r="AO709" s="53" t="str">
        <f aca="false">IF($J709&lt;&gt;"",$J709,"")</f>
        <v/>
      </c>
      <c r="AQ709" s="52" t="str">
        <f aca="false">IF($A709&lt;&gt;"",$A709,"")</f>
        <v>Apprenant 697</v>
      </c>
      <c r="AR709" s="55" t="str">
        <f aca="false">IF(AND('Choix pédagogiques'!$C$4&lt;&gt;"?",'Choix pédagogiques'!$C$5&lt;&gt;"?",W709&lt;&gt;""),(W709-'Choix pédagogiques'!$C$4)/('Choix pédagogiques'!$C$5-'Choix pédagogiques'!$C$4),"")</f>
        <v/>
      </c>
      <c r="AS709" s="55" t="str">
        <f aca="false">IF(AND('Choix pédagogiques'!$C$4&lt;&gt;"?",'Choix pédagogiques'!$C$5&lt;&gt;"?",X709&lt;&gt;""),(X709-'Choix pédagogiques'!$C$4)/('Choix pédagogiques'!$C$5-'Choix pédagogiques'!$C$4),"")</f>
        <v/>
      </c>
      <c r="AT709" s="55" t="str">
        <f aca="false">IF(AND('Choix pédagogiques'!$C$4&lt;&gt;"?",'Choix pédagogiques'!$C$5&lt;&gt;"?",Y709&lt;&gt;""),(Y709-'Choix pédagogiques'!$C$4)/('Choix pédagogiques'!$C$5-'Choix pédagogiques'!$C$4),"")</f>
        <v/>
      </c>
      <c r="AU709" s="53" t="str">
        <f aca="false">IF($E709&lt;&gt;"",$E709,"")</f>
        <v/>
      </c>
      <c r="AV709" s="52" t="str">
        <f aca="false">IF($F709&lt;&gt;"",$F709,"")</f>
        <v>Apprenant 697 ou 697'</v>
      </c>
      <c r="AW709" s="55" t="str">
        <f aca="false">IF(AND('Choix pédagogiques'!$C$4&lt;&gt;"?",'Choix pédagogiques'!$C$5&lt;&gt;"?",AB709&lt;&gt;""),(AB709-'Choix pédagogiques'!$C$4)/('Choix pédagogiques'!$C$5-'Choix pédagogiques'!$C$4),"")</f>
        <v/>
      </c>
      <c r="AX709" s="55" t="str">
        <f aca="false">IF(AND('Choix pédagogiques'!$C$4&lt;&gt;"?",'Choix pédagogiques'!$C$5&lt;&gt;"?",AC709&lt;&gt;""),(AC709-'Choix pédagogiques'!$C$4)/('Choix pédagogiques'!$C$5-'Choix pédagogiques'!$C$4),"")</f>
        <v/>
      </c>
      <c r="AY709" s="55" t="str">
        <f aca="false">IF(AND('Choix pédagogiques'!$C$4&lt;&gt;"?",'Choix pédagogiques'!$C$5&lt;&gt;"?",AD709&lt;&gt;""),(AD709-'Choix pédagogiques'!$C$4)/('Choix pédagogiques'!$C$5-'Choix pédagogiques'!$C$4),"")</f>
        <v/>
      </c>
      <c r="AZ709" s="53" t="str">
        <f aca="false">IF($J709&lt;&gt;"",$J709,"")</f>
        <v/>
      </c>
      <c r="BA709" s="52" t="str">
        <f aca="false">IF($A709&lt;&gt;"",$A709,"")</f>
        <v>Apprenant 697</v>
      </c>
      <c r="BB709" s="55" t="str">
        <f aca="false">IF(AND($AR709&lt;&gt;"",$AS709&lt;&gt;""),$AS709-$AR709,"")</f>
        <v/>
      </c>
      <c r="BC709" s="55" t="str">
        <f aca="false">IF(AND($AR709&lt;&gt;"",$AT709&lt;&gt;""),$AT709-$AR709,"")</f>
        <v/>
      </c>
      <c r="BD709" s="55" t="str">
        <f aca="false">IF(AND($AS709&lt;&gt;"",$AT709&lt;&gt;""),$AT709-$AS709,"")</f>
        <v/>
      </c>
      <c r="BE709" s="53" t="str">
        <f aca="false">IF($E709&lt;&gt;"",$E709,"")</f>
        <v/>
      </c>
      <c r="BF709" s="52" t="str">
        <f aca="false">IF($F709&lt;&gt;"",$F709,"")</f>
        <v>Apprenant 697 ou 697'</v>
      </c>
      <c r="BG709" s="55" t="str">
        <f aca="false">IF(AND($AW709&lt;&gt;"",$AX709&lt;&gt;""),$AX709-$AW709,"")</f>
        <v/>
      </c>
      <c r="BH709" s="55" t="str">
        <f aca="false">IF(AND($AW709&lt;&gt;"",$AY709&lt;&gt;""),$AY709-$AW709,"")</f>
        <v/>
      </c>
      <c r="BI709" s="55" t="str">
        <f aca="false">IF(AND($AX709&lt;&gt;"",$AY709&lt;&gt;""),$AY709-$AX709,"")</f>
        <v/>
      </c>
      <c r="BJ709" s="53" t="str">
        <f aca="false">IF($J709&lt;&gt;"",$J709,"")</f>
        <v/>
      </c>
      <c r="BL709" s="52"/>
      <c r="BM709" s="52" t="str">
        <f aca="false">IF(OR(COUNT(B709:D1708)=0,AND('Choix pédagogiques'!$C$3&lt;&gt;1,'Choix pédagogiques'!$C$3&lt;&gt;2)),"",IF(AND(OR('Choix pédagogiques'!$C$3=1,'Choix pédagogiques'!$C$3=2),$B709&lt;&gt;"",$C709&lt;&gt;"",$D709&lt;&gt;""),1,0))</f>
        <v/>
      </c>
      <c r="BN709" s="52" t="str">
        <f aca="false">IF(OR(COUNT(G709:I1708)=0,AND('Choix pédagogiques'!$C$3&lt;&gt;1,'Choix pédagogiques'!$C$3&lt;&gt;2)),"",IF(AND(OR('Choix pédagogiques'!$C$3=1,'Choix pédagogiques'!$C$3=2),AND($G709&lt;&gt;"",$H709&lt;&gt;"",$I709&lt;&gt;"")),1,0))</f>
        <v/>
      </c>
      <c r="BO709" s="52" t="str">
        <f aca="false">IF(OR(COUNT(B709:D1708)=0,COUNT(G709:I1708)=0,'Choix pédagogiques'!C$3&lt;&gt;3),"",IF(AND('Choix pédagogiques'!$C$3=3,$B709&lt;&gt;"",$C709&lt;&gt;"",$D709&lt;&gt;"",$G709&lt;&gt;"",$H709&lt;&gt;"",$I709&lt;&gt;""),1,0))</f>
        <v/>
      </c>
      <c r="BR709" s="52" t="n">
        <v>439</v>
      </c>
      <c r="BS709" s="52" t="n">
        <v>1902</v>
      </c>
    </row>
    <row r="710" s="54" customFormat="true" ht="18" hidden="false" customHeight="true" outlineLevel="0" collapsed="false">
      <c r="A710" s="57" t="s">
        <v>1351</v>
      </c>
      <c r="B710" s="51"/>
      <c r="C710" s="51"/>
      <c r="D710" s="51"/>
      <c r="E710" s="51"/>
      <c r="F710" s="57" t="s">
        <v>1352</v>
      </c>
      <c r="G710" s="51"/>
      <c r="H710" s="51"/>
      <c r="I710" s="51"/>
      <c r="J710" s="51"/>
      <c r="K710" s="52" t="str">
        <f aca="false">IF($A710&lt;&gt;"",$A710,"")</f>
        <v>Apprenant 698</v>
      </c>
      <c r="L710" s="53" t="str">
        <f aca="false">IF(AND($B710&lt;&gt;"",$C710&lt;&gt;""),$C710-$B710,"")</f>
        <v/>
      </c>
      <c r="M710" s="53" t="str">
        <f aca="false">IF(AND($B710&lt;&gt;"",$D710&lt;&gt;""),$D710-$B710,"")</f>
        <v/>
      </c>
      <c r="N710" s="53" t="str">
        <f aca="false">IF(AND($C710&lt;&gt;"",$D710&lt;&gt;""),$D710-$C710,"")</f>
        <v/>
      </c>
      <c r="O710" s="53" t="str">
        <f aca="false">IF($E710&lt;&gt;"",$E710,"")</f>
        <v/>
      </c>
      <c r="P710" s="52" t="str">
        <f aca="false">IF($F710&lt;&gt;"",$F710,"")</f>
        <v>Apprenant 698 ou 698'</v>
      </c>
      <c r="Q710" s="53" t="str">
        <f aca="false">IF(AND($G710&lt;&gt;"",$H710&lt;&gt;""),$H710-$G710,"")</f>
        <v/>
      </c>
      <c r="R710" s="53" t="str">
        <f aca="false">IF(AND($G710&lt;&gt;"",$I710&lt;&gt;""),$I710-$G710,"")</f>
        <v/>
      </c>
      <c r="S710" s="53" t="str">
        <f aca="false">IF(AND($H710&lt;&gt;"",$I710&lt;&gt;""),$I710-$H710,"")</f>
        <v/>
      </c>
      <c r="T710" s="53" t="str">
        <f aca="false">IF($J710&lt;&gt;"",$J710,"")</f>
        <v/>
      </c>
      <c r="V710" s="52" t="str">
        <f aca="false">IF($A710&lt;&gt;"",$A710,"")</f>
        <v>Apprenant 698</v>
      </c>
      <c r="W710" s="53" t="str">
        <f aca="false">IF(AND(OR('Choix pédagogiques'!$C$3=1,'Choix pédagogiques'!$C$3=2),$BM710=1),B710,IF(AND('Choix pédagogiques'!$C$3=3,$BO710=1),B710,""))</f>
        <v/>
      </c>
      <c r="X710" s="53" t="str">
        <f aca="false">IF(AND(OR('Choix pédagogiques'!$C$3=1,'Choix pédagogiques'!$C$3=2),$BM710=1),C710,IF(AND('Choix pédagogiques'!$C$3=3,$BO710=1),C710,""))</f>
        <v/>
      </c>
      <c r="Y710" s="53" t="str">
        <f aca="false">IF(AND(OR('Choix pédagogiques'!$C$3=1,'Choix pédagogiques'!$C$3=2),$BM710=1),D710,IF(AND('Choix pédagogiques'!$C$3=3,$BO710=1),D710,""))</f>
        <v/>
      </c>
      <c r="Z710" s="53" t="str">
        <f aca="false">IF($E710&lt;&gt;"",$E710,"")</f>
        <v/>
      </c>
      <c r="AA710" s="52" t="str">
        <f aca="false">IF($F710&lt;&gt;"",$F710,"")</f>
        <v>Apprenant 698 ou 698'</v>
      </c>
      <c r="AB710" s="53" t="str">
        <f aca="false">IF(AND(OR('Choix pédagogiques'!$C$3=1,'Choix pédagogiques'!$C$3=2),$BN710=1),G710,IF(AND('Choix pédagogiques'!$C$3=3,$BO710=1),G710,""))</f>
        <v/>
      </c>
      <c r="AC710" s="53" t="str">
        <f aca="false">IF(AND(OR('Choix pédagogiques'!$C$3=1,'Choix pédagogiques'!$C$3=2),$BN710=1),H710,IF(AND('Choix pédagogiques'!$C$3=3,$BO710=1),H710,""))</f>
        <v/>
      </c>
      <c r="AD710" s="53" t="str">
        <f aca="false">IF(AND(OR('Choix pédagogiques'!$C$3=1,'Choix pédagogiques'!$C$3=2),$BN710=1),I710,IF(AND('Choix pédagogiques'!$C$3=3,$BO710=1),I710,""))</f>
        <v/>
      </c>
      <c r="AE710" s="53" t="str">
        <f aca="false">IF($J710&lt;&gt;"",$J710,"")</f>
        <v/>
      </c>
      <c r="AF710" s="52" t="str">
        <f aca="false">IF($A710&lt;&gt;"",$A710,"")</f>
        <v>Apprenant 698</v>
      </c>
      <c r="AG710" s="53" t="str">
        <f aca="false">IF(AND($W710&lt;&gt;"",$X710&lt;&gt;""),$X710-$W710,"")</f>
        <v/>
      </c>
      <c r="AH710" s="53" t="str">
        <f aca="false">IF(AND($W710&lt;&gt;"",$Y710&lt;&gt;""),$Y710-$W710,"")</f>
        <v/>
      </c>
      <c r="AI710" s="53" t="str">
        <f aca="false">IF(AND($X710&lt;&gt;"",$Y710&lt;&gt;""),$Y710-$X710,"")</f>
        <v/>
      </c>
      <c r="AJ710" s="53" t="str">
        <f aca="false">IF($E710&lt;&gt;"",$E710,"")</f>
        <v/>
      </c>
      <c r="AK710" s="52" t="str">
        <f aca="false">IF($F710&lt;&gt;"",$F710,"")</f>
        <v>Apprenant 698 ou 698'</v>
      </c>
      <c r="AL710" s="53" t="str">
        <f aca="false">IF(AND($AB710&lt;&gt;"",$AC710&lt;&gt;""),$AC710-$AB710,"")</f>
        <v/>
      </c>
      <c r="AM710" s="53" t="str">
        <f aca="false">IF(AND($AB710&lt;&gt;"",$AD710&lt;&gt;""),$AD710-$AB710,"")</f>
        <v/>
      </c>
      <c r="AN710" s="53" t="str">
        <f aca="false">IF(AND($AC710&lt;&gt;"",$AD710&lt;&gt;""),$AD710-$AC710,"")</f>
        <v/>
      </c>
      <c r="AO710" s="53" t="str">
        <f aca="false">IF($J710&lt;&gt;"",$J710,"")</f>
        <v/>
      </c>
      <c r="AQ710" s="52" t="str">
        <f aca="false">IF($A710&lt;&gt;"",$A710,"")</f>
        <v>Apprenant 698</v>
      </c>
      <c r="AR710" s="55" t="str">
        <f aca="false">IF(AND('Choix pédagogiques'!$C$4&lt;&gt;"?",'Choix pédagogiques'!$C$5&lt;&gt;"?",W710&lt;&gt;""),(W710-'Choix pédagogiques'!$C$4)/('Choix pédagogiques'!$C$5-'Choix pédagogiques'!$C$4),"")</f>
        <v/>
      </c>
      <c r="AS710" s="55" t="str">
        <f aca="false">IF(AND('Choix pédagogiques'!$C$4&lt;&gt;"?",'Choix pédagogiques'!$C$5&lt;&gt;"?",X710&lt;&gt;""),(X710-'Choix pédagogiques'!$C$4)/('Choix pédagogiques'!$C$5-'Choix pédagogiques'!$C$4),"")</f>
        <v/>
      </c>
      <c r="AT710" s="55" t="str">
        <f aca="false">IF(AND('Choix pédagogiques'!$C$4&lt;&gt;"?",'Choix pédagogiques'!$C$5&lt;&gt;"?",Y710&lt;&gt;""),(Y710-'Choix pédagogiques'!$C$4)/('Choix pédagogiques'!$C$5-'Choix pédagogiques'!$C$4),"")</f>
        <v/>
      </c>
      <c r="AU710" s="53" t="str">
        <f aca="false">IF($E710&lt;&gt;"",$E710,"")</f>
        <v/>
      </c>
      <c r="AV710" s="52" t="str">
        <f aca="false">IF($F710&lt;&gt;"",$F710,"")</f>
        <v>Apprenant 698 ou 698'</v>
      </c>
      <c r="AW710" s="55" t="str">
        <f aca="false">IF(AND('Choix pédagogiques'!$C$4&lt;&gt;"?",'Choix pédagogiques'!$C$5&lt;&gt;"?",AB710&lt;&gt;""),(AB710-'Choix pédagogiques'!$C$4)/('Choix pédagogiques'!$C$5-'Choix pédagogiques'!$C$4),"")</f>
        <v/>
      </c>
      <c r="AX710" s="55" t="str">
        <f aca="false">IF(AND('Choix pédagogiques'!$C$4&lt;&gt;"?",'Choix pédagogiques'!$C$5&lt;&gt;"?",AC710&lt;&gt;""),(AC710-'Choix pédagogiques'!$C$4)/('Choix pédagogiques'!$C$5-'Choix pédagogiques'!$C$4),"")</f>
        <v/>
      </c>
      <c r="AY710" s="55" t="str">
        <f aca="false">IF(AND('Choix pédagogiques'!$C$4&lt;&gt;"?",'Choix pédagogiques'!$C$5&lt;&gt;"?",AD710&lt;&gt;""),(AD710-'Choix pédagogiques'!$C$4)/('Choix pédagogiques'!$C$5-'Choix pédagogiques'!$C$4),"")</f>
        <v/>
      </c>
      <c r="AZ710" s="53" t="str">
        <f aca="false">IF($J710&lt;&gt;"",$J710,"")</f>
        <v/>
      </c>
      <c r="BA710" s="52" t="str">
        <f aca="false">IF($A710&lt;&gt;"",$A710,"")</f>
        <v>Apprenant 698</v>
      </c>
      <c r="BB710" s="55" t="str">
        <f aca="false">IF(AND($AR710&lt;&gt;"",$AS710&lt;&gt;""),$AS710-$AR710,"")</f>
        <v/>
      </c>
      <c r="BC710" s="55" t="str">
        <f aca="false">IF(AND($AR710&lt;&gt;"",$AT710&lt;&gt;""),$AT710-$AR710,"")</f>
        <v/>
      </c>
      <c r="BD710" s="55" t="str">
        <f aca="false">IF(AND($AS710&lt;&gt;"",$AT710&lt;&gt;""),$AT710-$AS710,"")</f>
        <v/>
      </c>
      <c r="BE710" s="53" t="str">
        <f aca="false">IF($E710&lt;&gt;"",$E710,"")</f>
        <v/>
      </c>
      <c r="BF710" s="52" t="str">
        <f aca="false">IF($F710&lt;&gt;"",$F710,"")</f>
        <v>Apprenant 698 ou 698'</v>
      </c>
      <c r="BG710" s="55" t="str">
        <f aca="false">IF(AND($AW710&lt;&gt;"",$AX710&lt;&gt;""),$AX710-$AW710,"")</f>
        <v/>
      </c>
      <c r="BH710" s="55" t="str">
        <f aca="false">IF(AND($AW710&lt;&gt;"",$AY710&lt;&gt;""),$AY710-$AW710,"")</f>
        <v/>
      </c>
      <c r="BI710" s="55" t="str">
        <f aca="false">IF(AND($AX710&lt;&gt;"",$AY710&lt;&gt;""),$AY710-$AX710,"")</f>
        <v/>
      </c>
      <c r="BJ710" s="53" t="str">
        <f aca="false">IF($J710&lt;&gt;"",$J710,"")</f>
        <v/>
      </c>
      <c r="BL710" s="52"/>
      <c r="BM710" s="52" t="str">
        <f aca="false">IF(OR(COUNT(B710:D1709)=0,AND('Choix pédagogiques'!$C$3&lt;&gt;1,'Choix pédagogiques'!$C$3&lt;&gt;2)),"",IF(AND(OR('Choix pédagogiques'!$C$3=1,'Choix pédagogiques'!$C$3=2),$B710&lt;&gt;"",$C710&lt;&gt;"",$D710&lt;&gt;""),1,0))</f>
        <v/>
      </c>
      <c r="BN710" s="52" t="str">
        <f aca="false">IF(OR(COUNT(G710:I1709)=0,AND('Choix pédagogiques'!$C$3&lt;&gt;1,'Choix pédagogiques'!$C$3&lt;&gt;2)),"",IF(AND(OR('Choix pédagogiques'!$C$3=1,'Choix pédagogiques'!$C$3=2),AND($G710&lt;&gt;"",$H710&lt;&gt;"",$I710&lt;&gt;"")),1,0))</f>
        <v/>
      </c>
      <c r="BO710" s="52" t="str">
        <f aca="false">IF(OR(COUNT(B710:D1709)=0,COUNT(G710:I1709)=0,'Choix pédagogiques'!C$3&lt;&gt;3),"",IF(AND('Choix pédagogiques'!$C$3=3,$B710&lt;&gt;"",$C710&lt;&gt;"",$D710&lt;&gt;"",$G710&lt;&gt;"",$H710&lt;&gt;"",$I710&lt;&gt;""),1,0))</f>
        <v/>
      </c>
      <c r="BR710" s="52" t="n">
        <v>698</v>
      </c>
      <c r="BS710" s="52" t="n">
        <v>1407</v>
      </c>
    </row>
    <row r="711" s="54" customFormat="true" ht="18" hidden="false" customHeight="true" outlineLevel="0" collapsed="false">
      <c r="A711" s="57" t="s">
        <v>1353</v>
      </c>
      <c r="B711" s="51"/>
      <c r="C711" s="51"/>
      <c r="D711" s="51"/>
      <c r="E711" s="51"/>
      <c r="F711" s="57" t="s">
        <v>1354</v>
      </c>
      <c r="G711" s="51"/>
      <c r="H711" s="51"/>
      <c r="I711" s="51"/>
      <c r="J711" s="51"/>
      <c r="K711" s="52" t="str">
        <f aca="false">IF($A711&lt;&gt;"",$A711,"")</f>
        <v>Apprenant 699</v>
      </c>
      <c r="L711" s="53" t="str">
        <f aca="false">IF(AND($B711&lt;&gt;"",$C711&lt;&gt;""),$C711-$B711,"")</f>
        <v/>
      </c>
      <c r="M711" s="53" t="str">
        <f aca="false">IF(AND($B711&lt;&gt;"",$D711&lt;&gt;""),$D711-$B711,"")</f>
        <v/>
      </c>
      <c r="N711" s="53" t="str">
        <f aca="false">IF(AND($C711&lt;&gt;"",$D711&lt;&gt;""),$D711-$C711,"")</f>
        <v/>
      </c>
      <c r="O711" s="53" t="str">
        <f aca="false">IF($E711&lt;&gt;"",$E711,"")</f>
        <v/>
      </c>
      <c r="P711" s="52" t="str">
        <f aca="false">IF($F711&lt;&gt;"",$F711,"")</f>
        <v>Apprenant 699 ou 699'</v>
      </c>
      <c r="Q711" s="53" t="str">
        <f aca="false">IF(AND($G711&lt;&gt;"",$H711&lt;&gt;""),$H711-$G711,"")</f>
        <v/>
      </c>
      <c r="R711" s="53" t="str">
        <f aca="false">IF(AND($G711&lt;&gt;"",$I711&lt;&gt;""),$I711-$G711,"")</f>
        <v/>
      </c>
      <c r="S711" s="53" t="str">
        <f aca="false">IF(AND($H711&lt;&gt;"",$I711&lt;&gt;""),$I711-$H711,"")</f>
        <v/>
      </c>
      <c r="T711" s="53" t="str">
        <f aca="false">IF($J711&lt;&gt;"",$J711,"")</f>
        <v/>
      </c>
      <c r="V711" s="52" t="str">
        <f aca="false">IF($A711&lt;&gt;"",$A711,"")</f>
        <v>Apprenant 699</v>
      </c>
      <c r="W711" s="53" t="str">
        <f aca="false">IF(AND(OR('Choix pédagogiques'!$C$3=1,'Choix pédagogiques'!$C$3=2),$BM711=1),B711,IF(AND('Choix pédagogiques'!$C$3=3,$BO711=1),B711,""))</f>
        <v/>
      </c>
      <c r="X711" s="53" t="str">
        <f aca="false">IF(AND(OR('Choix pédagogiques'!$C$3=1,'Choix pédagogiques'!$C$3=2),$BM711=1),C711,IF(AND('Choix pédagogiques'!$C$3=3,$BO711=1),C711,""))</f>
        <v/>
      </c>
      <c r="Y711" s="53" t="str">
        <f aca="false">IF(AND(OR('Choix pédagogiques'!$C$3=1,'Choix pédagogiques'!$C$3=2),$BM711=1),D711,IF(AND('Choix pédagogiques'!$C$3=3,$BO711=1),D711,""))</f>
        <v/>
      </c>
      <c r="Z711" s="53" t="str">
        <f aca="false">IF($E711&lt;&gt;"",$E711,"")</f>
        <v/>
      </c>
      <c r="AA711" s="52" t="str">
        <f aca="false">IF($F711&lt;&gt;"",$F711,"")</f>
        <v>Apprenant 699 ou 699'</v>
      </c>
      <c r="AB711" s="53" t="str">
        <f aca="false">IF(AND(OR('Choix pédagogiques'!$C$3=1,'Choix pédagogiques'!$C$3=2),$BN711=1),G711,IF(AND('Choix pédagogiques'!$C$3=3,$BO711=1),G711,""))</f>
        <v/>
      </c>
      <c r="AC711" s="53" t="str">
        <f aca="false">IF(AND(OR('Choix pédagogiques'!$C$3=1,'Choix pédagogiques'!$C$3=2),$BN711=1),H711,IF(AND('Choix pédagogiques'!$C$3=3,$BO711=1),H711,""))</f>
        <v/>
      </c>
      <c r="AD711" s="53" t="str">
        <f aca="false">IF(AND(OR('Choix pédagogiques'!$C$3=1,'Choix pédagogiques'!$C$3=2),$BN711=1),I711,IF(AND('Choix pédagogiques'!$C$3=3,$BO711=1),I711,""))</f>
        <v/>
      </c>
      <c r="AE711" s="53" t="str">
        <f aca="false">IF($J711&lt;&gt;"",$J711,"")</f>
        <v/>
      </c>
      <c r="AF711" s="52" t="str">
        <f aca="false">IF($A711&lt;&gt;"",$A711,"")</f>
        <v>Apprenant 699</v>
      </c>
      <c r="AG711" s="53" t="str">
        <f aca="false">IF(AND($W711&lt;&gt;"",$X711&lt;&gt;""),$X711-$W711,"")</f>
        <v/>
      </c>
      <c r="AH711" s="53" t="str">
        <f aca="false">IF(AND($W711&lt;&gt;"",$Y711&lt;&gt;""),$Y711-$W711,"")</f>
        <v/>
      </c>
      <c r="AI711" s="53" t="str">
        <f aca="false">IF(AND($X711&lt;&gt;"",$Y711&lt;&gt;""),$Y711-$X711,"")</f>
        <v/>
      </c>
      <c r="AJ711" s="53" t="str">
        <f aca="false">IF($E711&lt;&gt;"",$E711,"")</f>
        <v/>
      </c>
      <c r="AK711" s="52" t="str">
        <f aca="false">IF($F711&lt;&gt;"",$F711,"")</f>
        <v>Apprenant 699 ou 699'</v>
      </c>
      <c r="AL711" s="53" t="str">
        <f aca="false">IF(AND($AB711&lt;&gt;"",$AC711&lt;&gt;""),$AC711-$AB711,"")</f>
        <v/>
      </c>
      <c r="AM711" s="53" t="str">
        <f aca="false">IF(AND($AB711&lt;&gt;"",$AD711&lt;&gt;""),$AD711-$AB711,"")</f>
        <v/>
      </c>
      <c r="AN711" s="53" t="str">
        <f aca="false">IF(AND($AC711&lt;&gt;"",$AD711&lt;&gt;""),$AD711-$AC711,"")</f>
        <v/>
      </c>
      <c r="AO711" s="53" t="str">
        <f aca="false">IF($J711&lt;&gt;"",$J711,"")</f>
        <v/>
      </c>
      <c r="AQ711" s="52" t="str">
        <f aca="false">IF($A711&lt;&gt;"",$A711,"")</f>
        <v>Apprenant 699</v>
      </c>
      <c r="AR711" s="55" t="str">
        <f aca="false">IF(AND('Choix pédagogiques'!$C$4&lt;&gt;"?",'Choix pédagogiques'!$C$5&lt;&gt;"?",W711&lt;&gt;""),(W711-'Choix pédagogiques'!$C$4)/('Choix pédagogiques'!$C$5-'Choix pédagogiques'!$C$4),"")</f>
        <v/>
      </c>
      <c r="AS711" s="55" t="str">
        <f aca="false">IF(AND('Choix pédagogiques'!$C$4&lt;&gt;"?",'Choix pédagogiques'!$C$5&lt;&gt;"?",X711&lt;&gt;""),(X711-'Choix pédagogiques'!$C$4)/('Choix pédagogiques'!$C$5-'Choix pédagogiques'!$C$4),"")</f>
        <v/>
      </c>
      <c r="AT711" s="55" t="str">
        <f aca="false">IF(AND('Choix pédagogiques'!$C$4&lt;&gt;"?",'Choix pédagogiques'!$C$5&lt;&gt;"?",Y711&lt;&gt;""),(Y711-'Choix pédagogiques'!$C$4)/('Choix pédagogiques'!$C$5-'Choix pédagogiques'!$C$4),"")</f>
        <v/>
      </c>
      <c r="AU711" s="53" t="str">
        <f aca="false">IF($E711&lt;&gt;"",$E711,"")</f>
        <v/>
      </c>
      <c r="AV711" s="52" t="str">
        <f aca="false">IF($F711&lt;&gt;"",$F711,"")</f>
        <v>Apprenant 699 ou 699'</v>
      </c>
      <c r="AW711" s="55" t="str">
        <f aca="false">IF(AND('Choix pédagogiques'!$C$4&lt;&gt;"?",'Choix pédagogiques'!$C$5&lt;&gt;"?",AB711&lt;&gt;""),(AB711-'Choix pédagogiques'!$C$4)/('Choix pédagogiques'!$C$5-'Choix pédagogiques'!$C$4),"")</f>
        <v/>
      </c>
      <c r="AX711" s="55" t="str">
        <f aca="false">IF(AND('Choix pédagogiques'!$C$4&lt;&gt;"?",'Choix pédagogiques'!$C$5&lt;&gt;"?",AC711&lt;&gt;""),(AC711-'Choix pédagogiques'!$C$4)/('Choix pédagogiques'!$C$5-'Choix pédagogiques'!$C$4),"")</f>
        <v/>
      </c>
      <c r="AY711" s="55" t="str">
        <f aca="false">IF(AND('Choix pédagogiques'!$C$4&lt;&gt;"?",'Choix pédagogiques'!$C$5&lt;&gt;"?",AD711&lt;&gt;""),(AD711-'Choix pédagogiques'!$C$4)/('Choix pédagogiques'!$C$5-'Choix pédagogiques'!$C$4),"")</f>
        <v/>
      </c>
      <c r="AZ711" s="53" t="str">
        <f aca="false">IF($J711&lt;&gt;"",$J711,"")</f>
        <v/>
      </c>
      <c r="BA711" s="52" t="str">
        <f aca="false">IF($A711&lt;&gt;"",$A711,"")</f>
        <v>Apprenant 699</v>
      </c>
      <c r="BB711" s="55" t="str">
        <f aca="false">IF(AND($AR711&lt;&gt;"",$AS711&lt;&gt;""),$AS711-$AR711,"")</f>
        <v/>
      </c>
      <c r="BC711" s="55" t="str">
        <f aca="false">IF(AND($AR711&lt;&gt;"",$AT711&lt;&gt;""),$AT711-$AR711,"")</f>
        <v/>
      </c>
      <c r="BD711" s="55" t="str">
        <f aca="false">IF(AND($AS711&lt;&gt;"",$AT711&lt;&gt;""),$AT711-$AS711,"")</f>
        <v/>
      </c>
      <c r="BE711" s="53" t="str">
        <f aca="false">IF($E711&lt;&gt;"",$E711,"")</f>
        <v/>
      </c>
      <c r="BF711" s="52" t="str">
        <f aca="false">IF($F711&lt;&gt;"",$F711,"")</f>
        <v>Apprenant 699 ou 699'</v>
      </c>
      <c r="BG711" s="55" t="str">
        <f aca="false">IF(AND($AW711&lt;&gt;"",$AX711&lt;&gt;""),$AX711-$AW711,"")</f>
        <v/>
      </c>
      <c r="BH711" s="55" t="str">
        <f aca="false">IF(AND($AW711&lt;&gt;"",$AY711&lt;&gt;""),$AY711-$AW711,"")</f>
        <v/>
      </c>
      <c r="BI711" s="55" t="str">
        <f aca="false">IF(AND($AX711&lt;&gt;"",$AY711&lt;&gt;""),$AY711-$AX711,"")</f>
        <v/>
      </c>
      <c r="BJ711" s="53" t="str">
        <f aca="false">IF($J711&lt;&gt;"",$J711,"")</f>
        <v/>
      </c>
      <c r="BL711" s="52"/>
      <c r="BM711" s="52" t="str">
        <f aca="false">IF(OR(COUNT(B711:D1710)=0,AND('Choix pédagogiques'!$C$3&lt;&gt;1,'Choix pédagogiques'!$C$3&lt;&gt;2)),"",IF(AND(OR('Choix pédagogiques'!$C$3=1,'Choix pédagogiques'!$C$3=2),$B711&lt;&gt;"",$C711&lt;&gt;"",$D711&lt;&gt;""),1,0))</f>
        <v/>
      </c>
      <c r="BN711" s="52" t="str">
        <f aca="false">IF(OR(COUNT(G711:I1710)=0,AND('Choix pédagogiques'!$C$3&lt;&gt;1,'Choix pédagogiques'!$C$3&lt;&gt;2)),"",IF(AND(OR('Choix pédagogiques'!$C$3=1,'Choix pédagogiques'!$C$3=2),AND($G711&lt;&gt;"",$H711&lt;&gt;"",$I711&lt;&gt;"")),1,0))</f>
        <v/>
      </c>
      <c r="BO711" s="52" t="str">
        <f aca="false">IF(OR(COUNT(B711:D1710)=0,COUNT(G711:I1710)=0,'Choix pédagogiques'!C$3&lt;&gt;3),"",IF(AND('Choix pédagogiques'!$C$3=3,$B711&lt;&gt;"",$C711&lt;&gt;"",$D711&lt;&gt;"",$G711&lt;&gt;"",$H711&lt;&gt;"",$I711&lt;&gt;""),1,0))</f>
        <v/>
      </c>
      <c r="BR711" s="52" t="n">
        <v>221</v>
      </c>
      <c r="BS711" s="52" t="n">
        <v>1680</v>
      </c>
    </row>
    <row r="712" s="54" customFormat="true" ht="18" hidden="false" customHeight="true" outlineLevel="0" collapsed="false">
      <c r="A712" s="57" t="s">
        <v>1355</v>
      </c>
      <c r="B712" s="51"/>
      <c r="C712" s="51"/>
      <c r="D712" s="51"/>
      <c r="E712" s="51"/>
      <c r="F712" s="57" t="s">
        <v>1356</v>
      </c>
      <c r="G712" s="51"/>
      <c r="H712" s="51"/>
      <c r="I712" s="51"/>
      <c r="J712" s="51"/>
      <c r="K712" s="52" t="str">
        <f aca="false">IF($A712&lt;&gt;"",$A712,"")</f>
        <v>Apprenant 700</v>
      </c>
      <c r="L712" s="53" t="str">
        <f aca="false">IF(AND($B712&lt;&gt;"",$C712&lt;&gt;""),$C712-$B712,"")</f>
        <v/>
      </c>
      <c r="M712" s="53" t="str">
        <f aca="false">IF(AND($B712&lt;&gt;"",$D712&lt;&gt;""),$D712-$B712,"")</f>
        <v/>
      </c>
      <c r="N712" s="53" t="str">
        <f aca="false">IF(AND($C712&lt;&gt;"",$D712&lt;&gt;""),$D712-$C712,"")</f>
        <v/>
      </c>
      <c r="O712" s="53" t="str">
        <f aca="false">IF($E712&lt;&gt;"",$E712,"")</f>
        <v/>
      </c>
      <c r="P712" s="52" t="str">
        <f aca="false">IF($F712&lt;&gt;"",$F712,"")</f>
        <v>Apprenant 700 ou 700'</v>
      </c>
      <c r="Q712" s="53" t="str">
        <f aca="false">IF(AND($G712&lt;&gt;"",$H712&lt;&gt;""),$H712-$G712,"")</f>
        <v/>
      </c>
      <c r="R712" s="53" t="str">
        <f aca="false">IF(AND($G712&lt;&gt;"",$I712&lt;&gt;""),$I712-$G712,"")</f>
        <v/>
      </c>
      <c r="S712" s="53" t="str">
        <f aca="false">IF(AND($H712&lt;&gt;"",$I712&lt;&gt;""),$I712-$H712,"")</f>
        <v/>
      </c>
      <c r="T712" s="53" t="str">
        <f aca="false">IF($J712&lt;&gt;"",$J712,"")</f>
        <v/>
      </c>
      <c r="V712" s="52" t="str">
        <f aca="false">IF($A712&lt;&gt;"",$A712,"")</f>
        <v>Apprenant 700</v>
      </c>
      <c r="W712" s="53" t="str">
        <f aca="false">IF(AND(OR('Choix pédagogiques'!$C$3=1,'Choix pédagogiques'!$C$3=2),$BM712=1),B712,IF(AND('Choix pédagogiques'!$C$3=3,$BO712=1),B712,""))</f>
        <v/>
      </c>
      <c r="X712" s="53" t="str">
        <f aca="false">IF(AND(OR('Choix pédagogiques'!$C$3=1,'Choix pédagogiques'!$C$3=2),$BM712=1),C712,IF(AND('Choix pédagogiques'!$C$3=3,$BO712=1),C712,""))</f>
        <v/>
      </c>
      <c r="Y712" s="53" t="str">
        <f aca="false">IF(AND(OR('Choix pédagogiques'!$C$3=1,'Choix pédagogiques'!$C$3=2),$BM712=1),D712,IF(AND('Choix pédagogiques'!$C$3=3,$BO712=1),D712,""))</f>
        <v/>
      </c>
      <c r="Z712" s="53" t="str">
        <f aca="false">IF($E712&lt;&gt;"",$E712,"")</f>
        <v/>
      </c>
      <c r="AA712" s="52" t="str">
        <f aca="false">IF($F712&lt;&gt;"",$F712,"")</f>
        <v>Apprenant 700 ou 700'</v>
      </c>
      <c r="AB712" s="53" t="str">
        <f aca="false">IF(AND(OR('Choix pédagogiques'!$C$3=1,'Choix pédagogiques'!$C$3=2),$BN712=1),G712,IF(AND('Choix pédagogiques'!$C$3=3,$BO712=1),G712,""))</f>
        <v/>
      </c>
      <c r="AC712" s="53" t="str">
        <f aca="false">IF(AND(OR('Choix pédagogiques'!$C$3=1,'Choix pédagogiques'!$C$3=2),$BN712=1),H712,IF(AND('Choix pédagogiques'!$C$3=3,$BO712=1),H712,""))</f>
        <v/>
      </c>
      <c r="AD712" s="53" t="str">
        <f aca="false">IF(AND(OR('Choix pédagogiques'!$C$3=1,'Choix pédagogiques'!$C$3=2),$BN712=1),I712,IF(AND('Choix pédagogiques'!$C$3=3,$BO712=1),I712,""))</f>
        <v/>
      </c>
      <c r="AE712" s="53" t="str">
        <f aca="false">IF($J712&lt;&gt;"",$J712,"")</f>
        <v/>
      </c>
      <c r="AF712" s="52" t="str">
        <f aca="false">IF($A712&lt;&gt;"",$A712,"")</f>
        <v>Apprenant 700</v>
      </c>
      <c r="AG712" s="53" t="str">
        <f aca="false">IF(AND($W712&lt;&gt;"",$X712&lt;&gt;""),$X712-$W712,"")</f>
        <v/>
      </c>
      <c r="AH712" s="53" t="str">
        <f aca="false">IF(AND($W712&lt;&gt;"",$Y712&lt;&gt;""),$Y712-$W712,"")</f>
        <v/>
      </c>
      <c r="AI712" s="53" t="str">
        <f aca="false">IF(AND($X712&lt;&gt;"",$Y712&lt;&gt;""),$Y712-$X712,"")</f>
        <v/>
      </c>
      <c r="AJ712" s="53" t="str">
        <f aca="false">IF($E712&lt;&gt;"",$E712,"")</f>
        <v/>
      </c>
      <c r="AK712" s="52" t="str">
        <f aca="false">IF($F712&lt;&gt;"",$F712,"")</f>
        <v>Apprenant 700 ou 700'</v>
      </c>
      <c r="AL712" s="53" t="str">
        <f aca="false">IF(AND($AB712&lt;&gt;"",$AC712&lt;&gt;""),$AC712-$AB712,"")</f>
        <v/>
      </c>
      <c r="AM712" s="53" t="str">
        <f aca="false">IF(AND($AB712&lt;&gt;"",$AD712&lt;&gt;""),$AD712-$AB712,"")</f>
        <v/>
      </c>
      <c r="AN712" s="53" t="str">
        <f aca="false">IF(AND($AC712&lt;&gt;"",$AD712&lt;&gt;""),$AD712-$AC712,"")</f>
        <v/>
      </c>
      <c r="AO712" s="53" t="str">
        <f aca="false">IF($J712&lt;&gt;"",$J712,"")</f>
        <v/>
      </c>
      <c r="AQ712" s="52" t="str">
        <f aca="false">IF($A712&lt;&gt;"",$A712,"")</f>
        <v>Apprenant 700</v>
      </c>
      <c r="AR712" s="55" t="str">
        <f aca="false">IF(AND('Choix pédagogiques'!$C$4&lt;&gt;"?",'Choix pédagogiques'!$C$5&lt;&gt;"?",W712&lt;&gt;""),(W712-'Choix pédagogiques'!$C$4)/('Choix pédagogiques'!$C$5-'Choix pédagogiques'!$C$4),"")</f>
        <v/>
      </c>
      <c r="AS712" s="55" t="str">
        <f aca="false">IF(AND('Choix pédagogiques'!$C$4&lt;&gt;"?",'Choix pédagogiques'!$C$5&lt;&gt;"?",X712&lt;&gt;""),(X712-'Choix pédagogiques'!$C$4)/('Choix pédagogiques'!$C$5-'Choix pédagogiques'!$C$4),"")</f>
        <v/>
      </c>
      <c r="AT712" s="55" t="str">
        <f aca="false">IF(AND('Choix pédagogiques'!$C$4&lt;&gt;"?",'Choix pédagogiques'!$C$5&lt;&gt;"?",Y712&lt;&gt;""),(Y712-'Choix pédagogiques'!$C$4)/('Choix pédagogiques'!$C$5-'Choix pédagogiques'!$C$4),"")</f>
        <v/>
      </c>
      <c r="AU712" s="53" t="str">
        <f aca="false">IF($E712&lt;&gt;"",$E712,"")</f>
        <v/>
      </c>
      <c r="AV712" s="52" t="str">
        <f aca="false">IF($F712&lt;&gt;"",$F712,"")</f>
        <v>Apprenant 700 ou 700'</v>
      </c>
      <c r="AW712" s="55" t="str">
        <f aca="false">IF(AND('Choix pédagogiques'!$C$4&lt;&gt;"?",'Choix pédagogiques'!$C$5&lt;&gt;"?",AB712&lt;&gt;""),(AB712-'Choix pédagogiques'!$C$4)/('Choix pédagogiques'!$C$5-'Choix pédagogiques'!$C$4),"")</f>
        <v/>
      </c>
      <c r="AX712" s="55" t="str">
        <f aca="false">IF(AND('Choix pédagogiques'!$C$4&lt;&gt;"?",'Choix pédagogiques'!$C$5&lt;&gt;"?",AC712&lt;&gt;""),(AC712-'Choix pédagogiques'!$C$4)/('Choix pédagogiques'!$C$5-'Choix pédagogiques'!$C$4),"")</f>
        <v/>
      </c>
      <c r="AY712" s="55" t="str">
        <f aca="false">IF(AND('Choix pédagogiques'!$C$4&lt;&gt;"?",'Choix pédagogiques'!$C$5&lt;&gt;"?",AD712&lt;&gt;""),(AD712-'Choix pédagogiques'!$C$4)/('Choix pédagogiques'!$C$5-'Choix pédagogiques'!$C$4),"")</f>
        <v/>
      </c>
      <c r="AZ712" s="53" t="str">
        <f aca="false">IF($J712&lt;&gt;"",$J712,"")</f>
        <v/>
      </c>
      <c r="BA712" s="52" t="str">
        <f aca="false">IF($A712&lt;&gt;"",$A712,"")</f>
        <v>Apprenant 700</v>
      </c>
      <c r="BB712" s="55" t="str">
        <f aca="false">IF(AND($AR712&lt;&gt;"",$AS712&lt;&gt;""),$AS712-$AR712,"")</f>
        <v/>
      </c>
      <c r="BC712" s="55" t="str">
        <f aca="false">IF(AND($AR712&lt;&gt;"",$AT712&lt;&gt;""),$AT712-$AR712,"")</f>
        <v/>
      </c>
      <c r="BD712" s="55" t="str">
        <f aca="false">IF(AND($AS712&lt;&gt;"",$AT712&lt;&gt;""),$AT712-$AS712,"")</f>
        <v/>
      </c>
      <c r="BE712" s="53" t="str">
        <f aca="false">IF($E712&lt;&gt;"",$E712,"")</f>
        <v/>
      </c>
      <c r="BF712" s="52" t="str">
        <f aca="false">IF($F712&lt;&gt;"",$F712,"")</f>
        <v>Apprenant 700 ou 700'</v>
      </c>
      <c r="BG712" s="55" t="str">
        <f aca="false">IF(AND($AW712&lt;&gt;"",$AX712&lt;&gt;""),$AX712-$AW712,"")</f>
        <v/>
      </c>
      <c r="BH712" s="55" t="str">
        <f aca="false">IF(AND($AW712&lt;&gt;"",$AY712&lt;&gt;""),$AY712-$AW712,"")</f>
        <v/>
      </c>
      <c r="BI712" s="55" t="str">
        <f aca="false">IF(AND($AX712&lt;&gt;"",$AY712&lt;&gt;""),$AY712-$AX712,"")</f>
        <v/>
      </c>
      <c r="BJ712" s="53" t="str">
        <f aca="false">IF($J712&lt;&gt;"",$J712,"")</f>
        <v/>
      </c>
      <c r="BL712" s="52"/>
      <c r="BM712" s="52" t="str">
        <f aca="false">IF(OR(COUNT(B712:D1711)=0,AND('Choix pédagogiques'!$C$3&lt;&gt;1,'Choix pédagogiques'!$C$3&lt;&gt;2)),"",IF(AND(OR('Choix pédagogiques'!$C$3=1,'Choix pédagogiques'!$C$3=2),$B712&lt;&gt;"",$C712&lt;&gt;"",$D712&lt;&gt;""),1,0))</f>
        <v/>
      </c>
      <c r="BN712" s="52" t="str">
        <f aca="false">IF(OR(COUNT(G712:I1711)=0,AND('Choix pédagogiques'!$C$3&lt;&gt;1,'Choix pédagogiques'!$C$3&lt;&gt;2)),"",IF(AND(OR('Choix pédagogiques'!$C$3=1,'Choix pédagogiques'!$C$3=2),AND($G712&lt;&gt;"",$H712&lt;&gt;"",$I712&lt;&gt;"")),1,0))</f>
        <v/>
      </c>
      <c r="BO712" s="52" t="str">
        <f aca="false">IF(OR(COUNT(B712:D1711)=0,COUNT(G712:I1711)=0,'Choix pédagogiques'!C$3&lt;&gt;3),"",IF(AND('Choix pédagogiques'!$C$3=3,$B712&lt;&gt;"",$C712&lt;&gt;"",$D712&lt;&gt;"",$G712&lt;&gt;"",$H712&lt;&gt;"",$I712&lt;&gt;""),1,0))</f>
        <v/>
      </c>
      <c r="BR712" s="52" t="n">
        <v>411</v>
      </c>
      <c r="BS712" s="52" t="n">
        <v>1930</v>
      </c>
    </row>
    <row r="713" s="54" customFormat="true" ht="18" hidden="false" customHeight="true" outlineLevel="0" collapsed="false">
      <c r="A713" s="57" t="s">
        <v>1357</v>
      </c>
      <c r="B713" s="51"/>
      <c r="C713" s="51"/>
      <c r="D713" s="51"/>
      <c r="E713" s="51"/>
      <c r="F713" s="57" t="s">
        <v>1358</v>
      </c>
      <c r="G713" s="51"/>
      <c r="H713" s="51"/>
      <c r="I713" s="51"/>
      <c r="J713" s="51"/>
      <c r="K713" s="52" t="str">
        <f aca="false">IF($A713&lt;&gt;"",$A713,"")</f>
        <v>Apprenant 701</v>
      </c>
      <c r="L713" s="53" t="str">
        <f aca="false">IF(AND($B713&lt;&gt;"",$C713&lt;&gt;""),$C713-$B713,"")</f>
        <v/>
      </c>
      <c r="M713" s="53" t="str">
        <f aca="false">IF(AND($B713&lt;&gt;"",$D713&lt;&gt;""),$D713-$B713,"")</f>
        <v/>
      </c>
      <c r="N713" s="53" t="str">
        <f aca="false">IF(AND($C713&lt;&gt;"",$D713&lt;&gt;""),$D713-$C713,"")</f>
        <v/>
      </c>
      <c r="O713" s="53" t="str">
        <f aca="false">IF($E713&lt;&gt;"",$E713,"")</f>
        <v/>
      </c>
      <c r="P713" s="52" t="str">
        <f aca="false">IF($F713&lt;&gt;"",$F713,"")</f>
        <v>Apprenant 701 ou 701'</v>
      </c>
      <c r="Q713" s="53" t="str">
        <f aca="false">IF(AND($G713&lt;&gt;"",$H713&lt;&gt;""),$H713-$G713,"")</f>
        <v/>
      </c>
      <c r="R713" s="53" t="str">
        <f aca="false">IF(AND($G713&lt;&gt;"",$I713&lt;&gt;""),$I713-$G713,"")</f>
        <v/>
      </c>
      <c r="S713" s="53" t="str">
        <f aca="false">IF(AND($H713&lt;&gt;"",$I713&lt;&gt;""),$I713-$H713,"")</f>
        <v/>
      </c>
      <c r="T713" s="53" t="str">
        <f aca="false">IF($J713&lt;&gt;"",$J713,"")</f>
        <v/>
      </c>
      <c r="V713" s="52" t="str">
        <f aca="false">IF($A713&lt;&gt;"",$A713,"")</f>
        <v>Apprenant 701</v>
      </c>
      <c r="W713" s="53" t="str">
        <f aca="false">IF(AND(OR('Choix pédagogiques'!$C$3=1,'Choix pédagogiques'!$C$3=2),$BM713=1),B713,IF(AND('Choix pédagogiques'!$C$3=3,$BO713=1),B713,""))</f>
        <v/>
      </c>
      <c r="X713" s="53" t="str">
        <f aca="false">IF(AND(OR('Choix pédagogiques'!$C$3=1,'Choix pédagogiques'!$C$3=2),$BM713=1),C713,IF(AND('Choix pédagogiques'!$C$3=3,$BO713=1),C713,""))</f>
        <v/>
      </c>
      <c r="Y713" s="53" t="str">
        <f aca="false">IF(AND(OR('Choix pédagogiques'!$C$3=1,'Choix pédagogiques'!$C$3=2),$BM713=1),D713,IF(AND('Choix pédagogiques'!$C$3=3,$BO713=1),D713,""))</f>
        <v/>
      </c>
      <c r="Z713" s="53" t="str">
        <f aca="false">IF($E713&lt;&gt;"",$E713,"")</f>
        <v/>
      </c>
      <c r="AA713" s="52" t="str">
        <f aca="false">IF($F713&lt;&gt;"",$F713,"")</f>
        <v>Apprenant 701 ou 701'</v>
      </c>
      <c r="AB713" s="53" t="str">
        <f aca="false">IF(AND(OR('Choix pédagogiques'!$C$3=1,'Choix pédagogiques'!$C$3=2),$BN713=1),G713,IF(AND('Choix pédagogiques'!$C$3=3,$BO713=1),G713,""))</f>
        <v/>
      </c>
      <c r="AC713" s="53" t="str">
        <f aca="false">IF(AND(OR('Choix pédagogiques'!$C$3=1,'Choix pédagogiques'!$C$3=2),$BN713=1),H713,IF(AND('Choix pédagogiques'!$C$3=3,$BO713=1),H713,""))</f>
        <v/>
      </c>
      <c r="AD713" s="53" t="str">
        <f aca="false">IF(AND(OR('Choix pédagogiques'!$C$3=1,'Choix pédagogiques'!$C$3=2),$BN713=1),I713,IF(AND('Choix pédagogiques'!$C$3=3,$BO713=1),I713,""))</f>
        <v/>
      </c>
      <c r="AE713" s="53" t="str">
        <f aca="false">IF($J713&lt;&gt;"",$J713,"")</f>
        <v/>
      </c>
      <c r="AF713" s="52" t="str">
        <f aca="false">IF($A713&lt;&gt;"",$A713,"")</f>
        <v>Apprenant 701</v>
      </c>
      <c r="AG713" s="53" t="str">
        <f aca="false">IF(AND($W713&lt;&gt;"",$X713&lt;&gt;""),$X713-$W713,"")</f>
        <v/>
      </c>
      <c r="AH713" s="53" t="str">
        <f aca="false">IF(AND($W713&lt;&gt;"",$Y713&lt;&gt;""),$Y713-$W713,"")</f>
        <v/>
      </c>
      <c r="AI713" s="53" t="str">
        <f aca="false">IF(AND($X713&lt;&gt;"",$Y713&lt;&gt;""),$Y713-$X713,"")</f>
        <v/>
      </c>
      <c r="AJ713" s="53" t="str">
        <f aca="false">IF($E713&lt;&gt;"",$E713,"")</f>
        <v/>
      </c>
      <c r="AK713" s="52" t="str">
        <f aca="false">IF($F713&lt;&gt;"",$F713,"")</f>
        <v>Apprenant 701 ou 701'</v>
      </c>
      <c r="AL713" s="53" t="str">
        <f aca="false">IF(AND($AB713&lt;&gt;"",$AC713&lt;&gt;""),$AC713-$AB713,"")</f>
        <v/>
      </c>
      <c r="AM713" s="53" t="str">
        <f aca="false">IF(AND($AB713&lt;&gt;"",$AD713&lt;&gt;""),$AD713-$AB713,"")</f>
        <v/>
      </c>
      <c r="AN713" s="53" t="str">
        <f aca="false">IF(AND($AC713&lt;&gt;"",$AD713&lt;&gt;""),$AD713-$AC713,"")</f>
        <v/>
      </c>
      <c r="AO713" s="53" t="str">
        <f aca="false">IF($J713&lt;&gt;"",$J713,"")</f>
        <v/>
      </c>
      <c r="AQ713" s="52" t="str">
        <f aca="false">IF($A713&lt;&gt;"",$A713,"")</f>
        <v>Apprenant 701</v>
      </c>
      <c r="AR713" s="55" t="str">
        <f aca="false">IF(AND('Choix pédagogiques'!$C$4&lt;&gt;"?",'Choix pédagogiques'!$C$5&lt;&gt;"?",W713&lt;&gt;""),(W713-'Choix pédagogiques'!$C$4)/('Choix pédagogiques'!$C$5-'Choix pédagogiques'!$C$4),"")</f>
        <v/>
      </c>
      <c r="AS713" s="55" t="str">
        <f aca="false">IF(AND('Choix pédagogiques'!$C$4&lt;&gt;"?",'Choix pédagogiques'!$C$5&lt;&gt;"?",X713&lt;&gt;""),(X713-'Choix pédagogiques'!$C$4)/('Choix pédagogiques'!$C$5-'Choix pédagogiques'!$C$4),"")</f>
        <v/>
      </c>
      <c r="AT713" s="55" t="str">
        <f aca="false">IF(AND('Choix pédagogiques'!$C$4&lt;&gt;"?",'Choix pédagogiques'!$C$5&lt;&gt;"?",Y713&lt;&gt;""),(Y713-'Choix pédagogiques'!$C$4)/('Choix pédagogiques'!$C$5-'Choix pédagogiques'!$C$4),"")</f>
        <v/>
      </c>
      <c r="AU713" s="53" t="str">
        <f aca="false">IF($E713&lt;&gt;"",$E713,"")</f>
        <v/>
      </c>
      <c r="AV713" s="52" t="str">
        <f aca="false">IF($F713&lt;&gt;"",$F713,"")</f>
        <v>Apprenant 701 ou 701'</v>
      </c>
      <c r="AW713" s="55" t="str">
        <f aca="false">IF(AND('Choix pédagogiques'!$C$4&lt;&gt;"?",'Choix pédagogiques'!$C$5&lt;&gt;"?",AB713&lt;&gt;""),(AB713-'Choix pédagogiques'!$C$4)/('Choix pédagogiques'!$C$5-'Choix pédagogiques'!$C$4),"")</f>
        <v/>
      </c>
      <c r="AX713" s="55" t="str">
        <f aca="false">IF(AND('Choix pédagogiques'!$C$4&lt;&gt;"?",'Choix pédagogiques'!$C$5&lt;&gt;"?",AC713&lt;&gt;""),(AC713-'Choix pédagogiques'!$C$4)/('Choix pédagogiques'!$C$5-'Choix pédagogiques'!$C$4),"")</f>
        <v/>
      </c>
      <c r="AY713" s="55" t="str">
        <f aca="false">IF(AND('Choix pédagogiques'!$C$4&lt;&gt;"?",'Choix pédagogiques'!$C$5&lt;&gt;"?",AD713&lt;&gt;""),(AD713-'Choix pédagogiques'!$C$4)/('Choix pédagogiques'!$C$5-'Choix pédagogiques'!$C$4),"")</f>
        <v/>
      </c>
      <c r="AZ713" s="53" t="str">
        <f aca="false">IF($J713&lt;&gt;"",$J713,"")</f>
        <v/>
      </c>
      <c r="BA713" s="52" t="str">
        <f aca="false">IF($A713&lt;&gt;"",$A713,"")</f>
        <v>Apprenant 701</v>
      </c>
      <c r="BB713" s="55" t="str">
        <f aca="false">IF(AND($AR713&lt;&gt;"",$AS713&lt;&gt;""),$AS713-$AR713,"")</f>
        <v/>
      </c>
      <c r="BC713" s="55" t="str">
        <f aca="false">IF(AND($AR713&lt;&gt;"",$AT713&lt;&gt;""),$AT713-$AR713,"")</f>
        <v/>
      </c>
      <c r="BD713" s="55" t="str">
        <f aca="false">IF(AND($AS713&lt;&gt;"",$AT713&lt;&gt;""),$AT713-$AS713,"")</f>
        <v/>
      </c>
      <c r="BE713" s="53" t="str">
        <f aca="false">IF($E713&lt;&gt;"",$E713,"")</f>
        <v/>
      </c>
      <c r="BF713" s="52" t="str">
        <f aca="false">IF($F713&lt;&gt;"",$F713,"")</f>
        <v>Apprenant 701 ou 701'</v>
      </c>
      <c r="BG713" s="55" t="str">
        <f aca="false">IF(AND($AW713&lt;&gt;"",$AX713&lt;&gt;""),$AX713-$AW713,"")</f>
        <v/>
      </c>
      <c r="BH713" s="55" t="str">
        <f aca="false">IF(AND($AW713&lt;&gt;"",$AY713&lt;&gt;""),$AY713-$AW713,"")</f>
        <v/>
      </c>
      <c r="BI713" s="55" t="str">
        <f aca="false">IF(AND($AX713&lt;&gt;"",$AY713&lt;&gt;""),$AY713-$AX713,"")</f>
        <v/>
      </c>
      <c r="BJ713" s="53" t="str">
        <f aca="false">IF($J713&lt;&gt;"",$J713,"")</f>
        <v/>
      </c>
      <c r="BL713" s="52"/>
      <c r="BM713" s="52" t="str">
        <f aca="false">IF(OR(COUNT(B713:D1712)=0,AND('Choix pédagogiques'!$C$3&lt;&gt;1,'Choix pédagogiques'!$C$3&lt;&gt;2)),"",IF(AND(OR('Choix pédagogiques'!$C$3=1,'Choix pédagogiques'!$C$3=2),$B713&lt;&gt;"",$C713&lt;&gt;"",$D713&lt;&gt;""),1,0))</f>
        <v/>
      </c>
      <c r="BN713" s="52" t="str">
        <f aca="false">IF(OR(COUNT(G713:I1712)=0,AND('Choix pédagogiques'!$C$3&lt;&gt;1,'Choix pédagogiques'!$C$3&lt;&gt;2)),"",IF(AND(OR('Choix pédagogiques'!$C$3=1,'Choix pédagogiques'!$C$3=2),AND($G713&lt;&gt;"",$H713&lt;&gt;"",$I713&lt;&gt;"")),1,0))</f>
        <v/>
      </c>
      <c r="BO713" s="52" t="str">
        <f aca="false">IF(OR(COUNT(B713:D1712)=0,COUNT(G713:I1712)=0,'Choix pédagogiques'!C$3&lt;&gt;3),"",IF(AND('Choix pédagogiques'!$C$3=3,$B713&lt;&gt;"",$C713&lt;&gt;"",$D713&lt;&gt;"",$G713&lt;&gt;"",$H713&lt;&gt;"",$I713&lt;&gt;""),1,0))</f>
        <v/>
      </c>
      <c r="BR713" s="52" t="n">
        <v>413</v>
      </c>
      <c r="BS713" s="52" t="n">
        <v>1818</v>
      </c>
    </row>
    <row r="714" s="54" customFormat="true" ht="18" hidden="false" customHeight="true" outlineLevel="0" collapsed="false">
      <c r="A714" s="57" t="s">
        <v>1359</v>
      </c>
      <c r="B714" s="51"/>
      <c r="C714" s="51"/>
      <c r="D714" s="51"/>
      <c r="E714" s="51"/>
      <c r="F714" s="57" t="s">
        <v>1360</v>
      </c>
      <c r="G714" s="51"/>
      <c r="H714" s="51"/>
      <c r="I714" s="51"/>
      <c r="J714" s="51"/>
      <c r="K714" s="52" t="str">
        <f aca="false">IF($A714&lt;&gt;"",$A714,"")</f>
        <v>Apprenant 702</v>
      </c>
      <c r="L714" s="53" t="str">
        <f aca="false">IF(AND($B714&lt;&gt;"",$C714&lt;&gt;""),$C714-$B714,"")</f>
        <v/>
      </c>
      <c r="M714" s="53" t="str">
        <f aca="false">IF(AND($B714&lt;&gt;"",$D714&lt;&gt;""),$D714-$B714,"")</f>
        <v/>
      </c>
      <c r="N714" s="53" t="str">
        <f aca="false">IF(AND($C714&lt;&gt;"",$D714&lt;&gt;""),$D714-$C714,"")</f>
        <v/>
      </c>
      <c r="O714" s="53" t="str">
        <f aca="false">IF($E714&lt;&gt;"",$E714,"")</f>
        <v/>
      </c>
      <c r="P714" s="52" t="str">
        <f aca="false">IF($F714&lt;&gt;"",$F714,"")</f>
        <v>Apprenant 702 ou 702'</v>
      </c>
      <c r="Q714" s="53" t="str">
        <f aca="false">IF(AND($G714&lt;&gt;"",$H714&lt;&gt;""),$H714-$G714,"")</f>
        <v/>
      </c>
      <c r="R714" s="53" t="str">
        <f aca="false">IF(AND($G714&lt;&gt;"",$I714&lt;&gt;""),$I714-$G714,"")</f>
        <v/>
      </c>
      <c r="S714" s="53" t="str">
        <f aca="false">IF(AND($H714&lt;&gt;"",$I714&lt;&gt;""),$I714-$H714,"")</f>
        <v/>
      </c>
      <c r="T714" s="53" t="str">
        <f aca="false">IF($J714&lt;&gt;"",$J714,"")</f>
        <v/>
      </c>
      <c r="V714" s="52" t="str">
        <f aca="false">IF($A714&lt;&gt;"",$A714,"")</f>
        <v>Apprenant 702</v>
      </c>
      <c r="W714" s="53" t="str">
        <f aca="false">IF(AND(OR('Choix pédagogiques'!$C$3=1,'Choix pédagogiques'!$C$3=2),$BM714=1),B714,IF(AND('Choix pédagogiques'!$C$3=3,$BO714=1),B714,""))</f>
        <v/>
      </c>
      <c r="X714" s="53" t="str">
        <f aca="false">IF(AND(OR('Choix pédagogiques'!$C$3=1,'Choix pédagogiques'!$C$3=2),$BM714=1),C714,IF(AND('Choix pédagogiques'!$C$3=3,$BO714=1),C714,""))</f>
        <v/>
      </c>
      <c r="Y714" s="53" t="str">
        <f aca="false">IF(AND(OR('Choix pédagogiques'!$C$3=1,'Choix pédagogiques'!$C$3=2),$BM714=1),D714,IF(AND('Choix pédagogiques'!$C$3=3,$BO714=1),D714,""))</f>
        <v/>
      </c>
      <c r="Z714" s="53" t="str">
        <f aca="false">IF($E714&lt;&gt;"",$E714,"")</f>
        <v/>
      </c>
      <c r="AA714" s="52" t="str">
        <f aca="false">IF($F714&lt;&gt;"",$F714,"")</f>
        <v>Apprenant 702 ou 702'</v>
      </c>
      <c r="AB714" s="53" t="str">
        <f aca="false">IF(AND(OR('Choix pédagogiques'!$C$3=1,'Choix pédagogiques'!$C$3=2),$BN714=1),G714,IF(AND('Choix pédagogiques'!$C$3=3,$BO714=1),G714,""))</f>
        <v/>
      </c>
      <c r="AC714" s="53" t="str">
        <f aca="false">IF(AND(OR('Choix pédagogiques'!$C$3=1,'Choix pédagogiques'!$C$3=2),$BN714=1),H714,IF(AND('Choix pédagogiques'!$C$3=3,$BO714=1),H714,""))</f>
        <v/>
      </c>
      <c r="AD714" s="53" t="str">
        <f aca="false">IF(AND(OR('Choix pédagogiques'!$C$3=1,'Choix pédagogiques'!$C$3=2),$BN714=1),I714,IF(AND('Choix pédagogiques'!$C$3=3,$BO714=1),I714,""))</f>
        <v/>
      </c>
      <c r="AE714" s="53" t="str">
        <f aca="false">IF($J714&lt;&gt;"",$J714,"")</f>
        <v/>
      </c>
      <c r="AF714" s="52" t="str">
        <f aca="false">IF($A714&lt;&gt;"",$A714,"")</f>
        <v>Apprenant 702</v>
      </c>
      <c r="AG714" s="53" t="str">
        <f aca="false">IF(AND($W714&lt;&gt;"",$X714&lt;&gt;""),$X714-$W714,"")</f>
        <v/>
      </c>
      <c r="AH714" s="53" t="str">
        <f aca="false">IF(AND($W714&lt;&gt;"",$Y714&lt;&gt;""),$Y714-$W714,"")</f>
        <v/>
      </c>
      <c r="AI714" s="53" t="str">
        <f aca="false">IF(AND($X714&lt;&gt;"",$Y714&lt;&gt;""),$Y714-$X714,"")</f>
        <v/>
      </c>
      <c r="AJ714" s="53" t="str">
        <f aca="false">IF($E714&lt;&gt;"",$E714,"")</f>
        <v/>
      </c>
      <c r="AK714" s="52" t="str">
        <f aca="false">IF($F714&lt;&gt;"",$F714,"")</f>
        <v>Apprenant 702 ou 702'</v>
      </c>
      <c r="AL714" s="53" t="str">
        <f aca="false">IF(AND($AB714&lt;&gt;"",$AC714&lt;&gt;""),$AC714-$AB714,"")</f>
        <v/>
      </c>
      <c r="AM714" s="53" t="str">
        <f aca="false">IF(AND($AB714&lt;&gt;"",$AD714&lt;&gt;""),$AD714-$AB714,"")</f>
        <v/>
      </c>
      <c r="AN714" s="53" t="str">
        <f aca="false">IF(AND($AC714&lt;&gt;"",$AD714&lt;&gt;""),$AD714-$AC714,"")</f>
        <v/>
      </c>
      <c r="AO714" s="53" t="str">
        <f aca="false">IF($J714&lt;&gt;"",$J714,"")</f>
        <v/>
      </c>
      <c r="AQ714" s="52" t="str">
        <f aca="false">IF($A714&lt;&gt;"",$A714,"")</f>
        <v>Apprenant 702</v>
      </c>
      <c r="AR714" s="55" t="str">
        <f aca="false">IF(AND('Choix pédagogiques'!$C$4&lt;&gt;"?",'Choix pédagogiques'!$C$5&lt;&gt;"?",W714&lt;&gt;""),(W714-'Choix pédagogiques'!$C$4)/('Choix pédagogiques'!$C$5-'Choix pédagogiques'!$C$4),"")</f>
        <v/>
      </c>
      <c r="AS714" s="55" t="str">
        <f aca="false">IF(AND('Choix pédagogiques'!$C$4&lt;&gt;"?",'Choix pédagogiques'!$C$5&lt;&gt;"?",X714&lt;&gt;""),(X714-'Choix pédagogiques'!$C$4)/('Choix pédagogiques'!$C$5-'Choix pédagogiques'!$C$4),"")</f>
        <v/>
      </c>
      <c r="AT714" s="55" t="str">
        <f aca="false">IF(AND('Choix pédagogiques'!$C$4&lt;&gt;"?",'Choix pédagogiques'!$C$5&lt;&gt;"?",Y714&lt;&gt;""),(Y714-'Choix pédagogiques'!$C$4)/('Choix pédagogiques'!$C$5-'Choix pédagogiques'!$C$4),"")</f>
        <v/>
      </c>
      <c r="AU714" s="53" t="str">
        <f aca="false">IF($E714&lt;&gt;"",$E714,"")</f>
        <v/>
      </c>
      <c r="AV714" s="52" t="str">
        <f aca="false">IF($F714&lt;&gt;"",$F714,"")</f>
        <v>Apprenant 702 ou 702'</v>
      </c>
      <c r="AW714" s="55" t="str">
        <f aca="false">IF(AND('Choix pédagogiques'!$C$4&lt;&gt;"?",'Choix pédagogiques'!$C$5&lt;&gt;"?",AB714&lt;&gt;""),(AB714-'Choix pédagogiques'!$C$4)/('Choix pédagogiques'!$C$5-'Choix pédagogiques'!$C$4),"")</f>
        <v/>
      </c>
      <c r="AX714" s="55" t="str">
        <f aca="false">IF(AND('Choix pédagogiques'!$C$4&lt;&gt;"?",'Choix pédagogiques'!$C$5&lt;&gt;"?",AC714&lt;&gt;""),(AC714-'Choix pédagogiques'!$C$4)/('Choix pédagogiques'!$C$5-'Choix pédagogiques'!$C$4),"")</f>
        <v/>
      </c>
      <c r="AY714" s="55" t="str">
        <f aca="false">IF(AND('Choix pédagogiques'!$C$4&lt;&gt;"?",'Choix pédagogiques'!$C$5&lt;&gt;"?",AD714&lt;&gt;""),(AD714-'Choix pédagogiques'!$C$4)/('Choix pédagogiques'!$C$5-'Choix pédagogiques'!$C$4),"")</f>
        <v/>
      </c>
      <c r="AZ714" s="53" t="str">
        <f aca="false">IF($J714&lt;&gt;"",$J714,"")</f>
        <v/>
      </c>
      <c r="BA714" s="52" t="str">
        <f aca="false">IF($A714&lt;&gt;"",$A714,"")</f>
        <v>Apprenant 702</v>
      </c>
      <c r="BB714" s="55" t="str">
        <f aca="false">IF(AND($AR714&lt;&gt;"",$AS714&lt;&gt;""),$AS714-$AR714,"")</f>
        <v/>
      </c>
      <c r="BC714" s="55" t="str">
        <f aca="false">IF(AND($AR714&lt;&gt;"",$AT714&lt;&gt;""),$AT714-$AR714,"")</f>
        <v/>
      </c>
      <c r="BD714" s="55" t="str">
        <f aca="false">IF(AND($AS714&lt;&gt;"",$AT714&lt;&gt;""),$AT714-$AS714,"")</f>
        <v/>
      </c>
      <c r="BE714" s="53" t="str">
        <f aca="false">IF($E714&lt;&gt;"",$E714,"")</f>
        <v/>
      </c>
      <c r="BF714" s="52" t="str">
        <f aca="false">IF($F714&lt;&gt;"",$F714,"")</f>
        <v>Apprenant 702 ou 702'</v>
      </c>
      <c r="BG714" s="55" t="str">
        <f aca="false">IF(AND($AW714&lt;&gt;"",$AX714&lt;&gt;""),$AX714-$AW714,"")</f>
        <v/>
      </c>
      <c r="BH714" s="55" t="str">
        <f aca="false">IF(AND($AW714&lt;&gt;"",$AY714&lt;&gt;""),$AY714-$AW714,"")</f>
        <v/>
      </c>
      <c r="BI714" s="55" t="str">
        <f aca="false">IF(AND($AX714&lt;&gt;"",$AY714&lt;&gt;""),$AY714-$AX714,"")</f>
        <v/>
      </c>
      <c r="BJ714" s="53" t="str">
        <f aca="false">IF($J714&lt;&gt;"",$J714,"")</f>
        <v/>
      </c>
      <c r="BL714" s="52"/>
      <c r="BM714" s="52" t="str">
        <f aca="false">IF(OR(COUNT(B714:D1713)=0,AND('Choix pédagogiques'!$C$3&lt;&gt;1,'Choix pédagogiques'!$C$3&lt;&gt;2)),"",IF(AND(OR('Choix pédagogiques'!$C$3=1,'Choix pédagogiques'!$C$3=2),$B714&lt;&gt;"",$C714&lt;&gt;"",$D714&lt;&gt;""),1,0))</f>
        <v/>
      </c>
      <c r="BN714" s="52" t="str">
        <f aca="false">IF(OR(COUNT(G714:I1713)=0,AND('Choix pédagogiques'!$C$3&lt;&gt;1,'Choix pédagogiques'!$C$3&lt;&gt;2)),"",IF(AND(OR('Choix pédagogiques'!$C$3=1,'Choix pédagogiques'!$C$3=2),AND($G714&lt;&gt;"",$H714&lt;&gt;"",$I714&lt;&gt;"")),1,0))</f>
        <v/>
      </c>
      <c r="BO714" s="52" t="str">
        <f aca="false">IF(OR(COUNT(B714:D1713)=0,COUNT(G714:I1713)=0,'Choix pédagogiques'!C$3&lt;&gt;3),"",IF(AND('Choix pédagogiques'!$C$3=3,$B714&lt;&gt;"",$C714&lt;&gt;"",$D714&lt;&gt;"",$G714&lt;&gt;"",$H714&lt;&gt;"",$I714&lt;&gt;""),1,0))</f>
        <v/>
      </c>
      <c r="BR714" s="52" t="n">
        <v>507</v>
      </c>
      <c r="BS714" s="52" t="n">
        <v>1566</v>
      </c>
    </row>
    <row r="715" s="54" customFormat="true" ht="18" hidden="false" customHeight="true" outlineLevel="0" collapsed="false">
      <c r="A715" s="57" t="s">
        <v>1361</v>
      </c>
      <c r="B715" s="51"/>
      <c r="C715" s="51"/>
      <c r="D715" s="51"/>
      <c r="E715" s="51"/>
      <c r="F715" s="57" t="s">
        <v>1362</v>
      </c>
      <c r="G715" s="51"/>
      <c r="H715" s="51"/>
      <c r="I715" s="51"/>
      <c r="J715" s="51"/>
      <c r="K715" s="52" t="str">
        <f aca="false">IF($A715&lt;&gt;"",$A715,"")</f>
        <v>Apprenant 703</v>
      </c>
      <c r="L715" s="53" t="str">
        <f aca="false">IF(AND($B715&lt;&gt;"",$C715&lt;&gt;""),$C715-$B715,"")</f>
        <v/>
      </c>
      <c r="M715" s="53" t="str">
        <f aca="false">IF(AND($B715&lt;&gt;"",$D715&lt;&gt;""),$D715-$B715,"")</f>
        <v/>
      </c>
      <c r="N715" s="53" t="str">
        <f aca="false">IF(AND($C715&lt;&gt;"",$D715&lt;&gt;""),$D715-$C715,"")</f>
        <v/>
      </c>
      <c r="O715" s="53" t="str">
        <f aca="false">IF($E715&lt;&gt;"",$E715,"")</f>
        <v/>
      </c>
      <c r="P715" s="52" t="str">
        <f aca="false">IF($F715&lt;&gt;"",$F715,"")</f>
        <v>Apprenant 703 ou 703'</v>
      </c>
      <c r="Q715" s="53" t="str">
        <f aca="false">IF(AND($G715&lt;&gt;"",$H715&lt;&gt;""),$H715-$G715,"")</f>
        <v/>
      </c>
      <c r="R715" s="53" t="str">
        <f aca="false">IF(AND($G715&lt;&gt;"",$I715&lt;&gt;""),$I715-$G715,"")</f>
        <v/>
      </c>
      <c r="S715" s="53" t="str">
        <f aca="false">IF(AND($H715&lt;&gt;"",$I715&lt;&gt;""),$I715-$H715,"")</f>
        <v/>
      </c>
      <c r="T715" s="53" t="str">
        <f aca="false">IF($J715&lt;&gt;"",$J715,"")</f>
        <v/>
      </c>
      <c r="V715" s="52" t="str">
        <f aca="false">IF($A715&lt;&gt;"",$A715,"")</f>
        <v>Apprenant 703</v>
      </c>
      <c r="W715" s="53" t="str">
        <f aca="false">IF(AND(OR('Choix pédagogiques'!$C$3=1,'Choix pédagogiques'!$C$3=2),$BM715=1),B715,IF(AND('Choix pédagogiques'!$C$3=3,$BO715=1),B715,""))</f>
        <v/>
      </c>
      <c r="X715" s="53" t="str">
        <f aca="false">IF(AND(OR('Choix pédagogiques'!$C$3=1,'Choix pédagogiques'!$C$3=2),$BM715=1),C715,IF(AND('Choix pédagogiques'!$C$3=3,$BO715=1),C715,""))</f>
        <v/>
      </c>
      <c r="Y715" s="53" t="str">
        <f aca="false">IF(AND(OR('Choix pédagogiques'!$C$3=1,'Choix pédagogiques'!$C$3=2),$BM715=1),D715,IF(AND('Choix pédagogiques'!$C$3=3,$BO715=1),D715,""))</f>
        <v/>
      </c>
      <c r="Z715" s="53" t="str">
        <f aca="false">IF($E715&lt;&gt;"",$E715,"")</f>
        <v/>
      </c>
      <c r="AA715" s="52" t="str">
        <f aca="false">IF($F715&lt;&gt;"",$F715,"")</f>
        <v>Apprenant 703 ou 703'</v>
      </c>
      <c r="AB715" s="53" t="str">
        <f aca="false">IF(AND(OR('Choix pédagogiques'!$C$3=1,'Choix pédagogiques'!$C$3=2),$BN715=1),G715,IF(AND('Choix pédagogiques'!$C$3=3,$BO715=1),G715,""))</f>
        <v/>
      </c>
      <c r="AC715" s="53" t="str">
        <f aca="false">IF(AND(OR('Choix pédagogiques'!$C$3=1,'Choix pédagogiques'!$C$3=2),$BN715=1),H715,IF(AND('Choix pédagogiques'!$C$3=3,$BO715=1),H715,""))</f>
        <v/>
      </c>
      <c r="AD715" s="53" t="str">
        <f aca="false">IF(AND(OR('Choix pédagogiques'!$C$3=1,'Choix pédagogiques'!$C$3=2),$BN715=1),I715,IF(AND('Choix pédagogiques'!$C$3=3,$BO715=1),I715,""))</f>
        <v/>
      </c>
      <c r="AE715" s="53" t="str">
        <f aca="false">IF($J715&lt;&gt;"",$J715,"")</f>
        <v/>
      </c>
      <c r="AF715" s="52" t="str">
        <f aca="false">IF($A715&lt;&gt;"",$A715,"")</f>
        <v>Apprenant 703</v>
      </c>
      <c r="AG715" s="53" t="str">
        <f aca="false">IF(AND($W715&lt;&gt;"",$X715&lt;&gt;""),$X715-$W715,"")</f>
        <v/>
      </c>
      <c r="AH715" s="53" t="str">
        <f aca="false">IF(AND($W715&lt;&gt;"",$Y715&lt;&gt;""),$Y715-$W715,"")</f>
        <v/>
      </c>
      <c r="AI715" s="53" t="str">
        <f aca="false">IF(AND($X715&lt;&gt;"",$Y715&lt;&gt;""),$Y715-$X715,"")</f>
        <v/>
      </c>
      <c r="AJ715" s="53" t="str">
        <f aca="false">IF($E715&lt;&gt;"",$E715,"")</f>
        <v/>
      </c>
      <c r="AK715" s="52" t="str">
        <f aca="false">IF($F715&lt;&gt;"",$F715,"")</f>
        <v>Apprenant 703 ou 703'</v>
      </c>
      <c r="AL715" s="53" t="str">
        <f aca="false">IF(AND($AB715&lt;&gt;"",$AC715&lt;&gt;""),$AC715-$AB715,"")</f>
        <v/>
      </c>
      <c r="AM715" s="53" t="str">
        <f aca="false">IF(AND($AB715&lt;&gt;"",$AD715&lt;&gt;""),$AD715-$AB715,"")</f>
        <v/>
      </c>
      <c r="AN715" s="53" t="str">
        <f aca="false">IF(AND($AC715&lt;&gt;"",$AD715&lt;&gt;""),$AD715-$AC715,"")</f>
        <v/>
      </c>
      <c r="AO715" s="53" t="str">
        <f aca="false">IF($J715&lt;&gt;"",$J715,"")</f>
        <v/>
      </c>
      <c r="AQ715" s="52" t="str">
        <f aca="false">IF($A715&lt;&gt;"",$A715,"")</f>
        <v>Apprenant 703</v>
      </c>
      <c r="AR715" s="55" t="str">
        <f aca="false">IF(AND('Choix pédagogiques'!$C$4&lt;&gt;"?",'Choix pédagogiques'!$C$5&lt;&gt;"?",W715&lt;&gt;""),(W715-'Choix pédagogiques'!$C$4)/('Choix pédagogiques'!$C$5-'Choix pédagogiques'!$C$4),"")</f>
        <v/>
      </c>
      <c r="AS715" s="55" t="str">
        <f aca="false">IF(AND('Choix pédagogiques'!$C$4&lt;&gt;"?",'Choix pédagogiques'!$C$5&lt;&gt;"?",X715&lt;&gt;""),(X715-'Choix pédagogiques'!$C$4)/('Choix pédagogiques'!$C$5-'Choix pédagogiques'!$C$4),"")</f>
        <v/>
      </c>
      <c r="AT715" s="55" t="str">
        <f aca="false">IF(AND('Choix pédagogiques'!$C$4&lt;&gt;"?",'Choix pédagogiques'!$C$5&lt;&gt;"?",Y715&lt;&gt;""),(Y715-'Choix pédagogiques'!$C$4)/('Choix pédagogiques'!$C$5-'Choix pédagogiques'!$C$4),"")</f>
        <v/>
      </c>
      <c r="AU715" s="53" t="str">
        <f aca="false">IF($E715&lt;&gt;"",$E715,"")</f>
        <v/>
      </c>
      <c r="AV715" s="52" t="str">
        <f aca="false">IF($F715&lt;&gt;"",$F715,"")</f>
        <v>Apprenant 703 ou 703'</v>
      </c>
      <c r="AW715" s="55" t="str">
        <f aca="false">IF(AND('Choix pédagogiques'!$C$4&lt;&gt;"?",'Choix pédagogiques'!$C$5&lt;&gt;"?",AB715&lt;&gt;""),(AB715-'Choix pédagogiques'!$C$4)/('Choix pédagogiques'!$C$5-'Choix pédagogiques'!$C$4),"")</f>
        <v/>
      </c>
      <c r="AX715" s="55" t="str">
        <f aca="false">IF(AND('Choix pédagogiques'!$C$4&lt;&gt;"?",'Choix pédagogiques'!$C$5&lt;&gt;"?",AC715&lt;&gt;""),(AC715-'Choix pédagogiques'!$C$4)/('Choix pédagogiques'!$C$5-'Choix pédagogiques'!$C$4),"")</f>
        <v/>
      </c>
      <c r="AY715" s="55" t="str">
        <f aca="false">IF(AND('Choix pédagogiques'!$C$4&lt;&gt;"?",'Choix pédagogiques'!$C$5&lt;&gt;"?",AD715&lt;&gt;""),(AD715-'Choix pédagogiques'!$C$4)/('Choix pédagogiques'!$C$5-'Choix pédagogiques'!$C$4),"")</f>
        <v/>
      </c>
      <c r="AZ715" s="53" t="str">
        <f aca="false">IF($J715&lt;&gt;"",$J715,"")</f>
        <v/>
      </c>
      <c r="BA715" s="52" t="str">
        <f aca="false">IF($A715&lt;&gt;"",$A715,"")</f>
        <v>Apprenant 703</v>
      </c>
      <c r="BB715" s="55" t="str">
        <f aca="false">IF(AND($AR715&lt;&gt;"",$AS715&lt;&gt;""),$AS715-$AR715,"")</f>
        <v/>
      </c>
      <c r="BC715" s="55" t="str">
        <f aca="false">IF(AND($AR715&lt;&gt;"",$AT715&lt;&gt;""),$AT715-$AR715,"")</f>
        <v/>
      </c>
      <c r="BD715" s="55" t="str">
        <f aca="false">IF(AND($AS715&lt;&gt;"",$AT715&lt;&gt;""),$AT715-$AS715,"")</f>
        <v/>
      </c>
      <c r="BE715" s="53" t="str">
        <f aca="false">IF($E715&lt;&gt;"",$E715,"")</f>
        <v/>
      </c>
      <c r="BF715" s="52" t="str">
        <f aca="false">IF($F715&lt;&gt;"",$F715,"")</f>
        <v>Apprenant 703 ou 703'</v>
      </c>
      <c r="BG715" s="55" t="str">
        <f aca="false">IF(AND($AW715&lt;&gt;"",$AX715&lt;&gt;""),$AX715-$AW715,"")</f>
        <v/>
      </c>
      <c r="BH715" s="55" t="str">
        <f aca="false">IF(AND($AW715&lt;&gt;"",$AY715&lt;&gt;""),$AY715-$AW715,"")</f>
        <v/>
      </c>
      <c r="BI715" s="55" t="str">
        <f aca="false">IF(AND($AX715&lt;&gt;"",$AY715&lt;&gt;""),$AY715-$AX715,"")</f>
        <v/>
      </c>
      <c r="BJ715" s="53" t="str">
        <f aca="false">IF($J715&lt;&gt;"",$J715,"")</f>
        <v/>
      </c>
      <c r="BL715" s="52"/>
      <c r="BM715" s="52" t="str">
        <f aca="false">IF(OR(COUNT(B715:D1714)=0,AND('Choix pédagogiques'!$C$3&lt;&gt;1,'Choix pédagogiques'!$C$3&lt;&gt;2)),"",IF(AND(OR('Choix pédagogiques'!$C$3=1,'Choix pédagogiques'!$C$3=2),$B715&lt;&gt;"",$C715&lt;&gt;"",$D715&lt;&gt;""),1,0))</f>
        <v/>
      </c>
      <c r="BN715" s="52" t="str">
        <f aca="false">IF(OR(COUNT(G715:I1714)=0,AND('Choix pédagogiques'!$C$3&lt;&gt;1,'Choix pédagogiques'!$C$3&lt;&gt;2)),"",IF(AND(OR('Choix pédagogiques'!$C$3=1,'Choix pédagogiques'!$C$3=2),AND($G715&lt;&gt;"",$H715&lt;&gt;"",$I715&lt;&gt;"")),1,0))</f>
        <v/>
      </c>
      <c r="BO715" s="52" t="str">
        <f aca="false">IF(OR(COUNT(B715:D1714)=0,COUNT(G715:I1714)=0,'Choix pédagogiques'!C$3&lt;&gt;3),"",IF(AND('Choix pédagogiques'!$C$3=3,$B715&lt;&gt;"",$C715&lt;&gt;"",$D715&lt;&gt;"",$G715&lt;&gt;"",$H715&lt;&gt;"",$I715&lt;&gt;""),1,0))</f>
        <v/>
      </c>
      <c r="BR715" s="52" t="n">
        <v>812</v>
      </c>
      <c r="BS715" s="52" t="n">
        <v>1907</v>
      </c>
    </row>
    <row r="716" s="54" customFormat="true" ht="18" hidden="false" customHeight="true" outlineLevel="0" collapsed="false">
      <c r="A716" s="57" t="s">
        <v>1363</v>
      </c>
      <c r="B716" s="51"/>
      <c r="C716" s="51"/>
      <c r="D716" s="51"/>
      <c r="E716" s="51"/>
      <c r="F716" s="57" t="s">
        <v>1364</v>
      </c>
      <c r="G716" s="51"/>
      <c r="H716" s="51"/>
      <c r="I716" s="51"/>
      <c r="J716" s="51"/>
      <c r="K716" s="52" t="str">
        <f aca="false">IF($A716&lt;&gt;"",$A716,"")</f>
        <v>Apprenant 704</v>
      </c>
      <c r="L716" s="53" t="str">
        <f aca="false">IF(AND($B716&lt;&gt;"",$C716&lt;&gt;""),$C716-$B716,"")</f>
        <v/>
      </c>
      <c r="M716" s="53" t="str">
        <f aca="false">IF(AND($B716&lt;&gt;"",$D716&lt;&gt;""),$D716-$B716,"")</f>
        <v/>
      </c>
      <c r="N716" s="53" t="str">
        <f aca="false">IF(AND($C716&lt;&gt;"",$D716&lt;&gt;""),$D716-$C716,"")</f>
        <v/>
      </c>
      <c r="O716" s="53" t="str">
        <f aca="false">IF($E716&lt;&gt;"",$E716,"")</f>
        <v/>
      </c>
      <c r="P716" s="52" t="str">
        <f aca="false">IF($F716&lt;&gt;"",$F716,"")</f>
        <v>Apprenant 704 ou 704'</v>
      </c>
      <c r="Q716" s="53" t="str">
        <f aca="false">IF(AND($G716&lt;&gt;"",$H716&lt;&gt;""),$H716-$G716,"")</f>
        <v/>
      </c>
      <c r="R716" s="53" t="str">
        <f aca="false">IF(AND($G716&lt;&gt;"",$I716&lt;&gt;""),$I716-$G716,"")</f>
        <v/>
      </c>
      <c r="S716" s="53" t="str">
        <f aca="false">IF(AND($H716&lt;&gt;"",$I716&lt;&gt;""),$I716-$H716,"")</f>
        <v/>
      </c>
      <c r="T716" s="53" t="str">
        <f aca="false">IF($J716&lt;&gt;"",$J716,"")</f>
        <v/>
      </c>
      <c r="V716" s="52" t="str">
        <f aca="false">IF($A716&lt;&gt;"",$A716,"")</f>
        <v>Apprenant 704</v>
      </c>
      <c r="W716" s="53" t="str">
        <f aca="false">IF(AND(OR('Choix pédagogiques'!$C$3=1,'Choix pédagogiques'!$C$3=2),$BM716=1),B716,IF(AND('Choix pédagogiques'!$C$3=3,$BO716=1),B716,""))</f>
        <v/>
      </c>
      <c r="X716" s="53" t="str">
        <f aca="false">IF(AND(OR('Choix pédagogiques'!$C$3=1,'Choix pédagogiques'!$C$3=2),$BM716=1),C716,IF(AND('Choix pédagogiques'!$C$3=3,$BO716=1),C716,""))</f>
        <v/>
      </c>
      <c r="Y716" s="53" t="str">
        <f aca="false">IF(AND(OR('Choix pédagogiques'!$C$3=1,'Choix pédagogiques'!$C$3=2),$BM716=1),D716,IF(AND('Choix pédagogiques'!$C$3=3,$BO716=1),D716,""))</f>
        <v/>
      </c>
      <c r="Z716" s="53" t="str">
        <f aca="false">IF($E716&lt;&gt;"",$E716,"")</f>
        <v/>
      </c>
      <c r="AA716" s="52" t="str">
        <f aca="false">IF($F716&lt;&gt;"",$F716,"")</f>
        <v>Apprenant 704 ou 704'</v>
      </c>
      <c r="AB716" s="53" t="str">
        <f aca="false">IF(AND(OR('Choix pédagogiques'!$C$3=1,'Choix pédagogiques'!$C$3=2),$BN716=1),G716,IF(AND('Choix pédagogiques'!$C$3=3,$BO716=1),G716,""))</f>
        <v/>
      </c>
      <c r="AC716" s="53" t="str">
        <f aca="false">IF(AND(OR('Choix pédagogiques'!$C$3=1,'Choix pédagogiques'!$C$3=2),$BN716=1),H716,IF(AND('Choix pédagogiques'!$C$3=3,$BO716=1),H716,""))</f>
        <v/>
      </c>
      <c r="AD716" s="53" t="str">
        <f aca="false">IF(AND(OR('Choix pédagogiques'!$C$3=1,'Choix pédagogiques'!$C$3=2),$BN716=1),I716,IF(AND('Choix pédagogiques'!$C$3=3,$BO716=1),I716,""))</f>
        <v/>
      </c>
      <c r="AE716" s="53" t="str">
        <f aca="false">IF($J716&lt;&gt;"",$J716,"")</f>
        <v/>
      </c>
      <c r="AF716" s="52" t="str">
        <f aca="false">IF($A716&lt;&gt;"",$A716,"")</f>
        <v>Apprenant 704</v>
      </c>
      <c r="AG716" s="53" t="str">
        <f aca="false">IF(AND($W716&lt;&gt;"",$X716&lt;&gt;""),$X716-$W716,"")</f>
        <v/>
      </c>
      <c r="AH716" s="53" t="str">
        <f aca="false">IF(AND($W716&lt;&gt;"",$Y716&lt;&gt;""),$Y716-$W716,"")</f>
        <v/>
      </c>
      <c r="AI716" s="53" t="str">
        <f aca="false">IF(AND($X716&lt;&gt;"",$Y716&lt;&gt;""),$Y716-$X716,"")</f>
        <v/>
      </c>
      <c r="AJ716" s="53" t="str">
        <f aca="false">IF($E716&lt;&gt;"",$E716,"")</f>
        <v/>
      </c>
      <c r="AK716" s="52" t="str">
        <f aca="false">IF($F716&lt;&gt;"",$F716,"")</f>
        <v>Apprenant 704 ou 704'</v>
      </c>
      <c r="AL716" s="53" t="str">
        <f aca="false">IF(AND($AB716&lt;&gt;"",$AC716&lt;&gt;""),$AC716-$AB716,"")</f>
        <v/>
      </c>
      <c r="AM716" s="53" t="str">
        <f aca="false">IF(AND($AB716&lt;&gt;"",$AD716&lt;&gt;""),$AD716-$AB716,"")</f>
        <v/>
      </c>
      <c r="AN716" s="53" t="str">
        <f aca="false">IF(AND($AC716&lt;&gt;"",$AD716&lt;&gt;""),$AD716-$AC716,"")</f>
        <v/>
      </c>
      <c r="AO716" s="53" t="str">
        <f aca="false">IF($J716&lt;&gt;"",$J716,"")</f>
        <v/>
      </c>
      <c r="AQ716" s="52" t="str">
        <f aca="false">IF($A716&lt;&gt;"",$A716,"")</f>
        <v>Apprenant 704</v>
      </c>
      <c r="AR716" s="55" t="str">
        <f aca="false">IF(AND('Choix pédagogiques'!$C$4&lt;&gt;"?",'Choix pédagogiques'!$C$5&lt;&gt;"?",W716&lt;&gt;""),(W716-'Choix pédagogiques'!$C$4)/('Choix pédagogiques'!$C$5-'Choix pédagogiques'!$C$4),"")</f>
        <v/>
      </c>
      <c r="AS716" s="55" t="str">
        <f aca="false">IF(AND('Choix pédagogiques'!$C$4&lt;&gt;"?",'Choix pédagogiques'!$C$5&lt;&gt;"?",X716&lt;&gt;""),(X716-'Choix pédagogiques'!$C$4)/('Choix pédagogiques'!$C$5-'Choix pédagogiques'!$C$4),"")</f>
        <v/>
      </c>
      <c r="AT716" s="55" t="str">
        <f aca="false">IF(AND('Choix pédagogiques'!$C$4&lt;&gt;"?",'Choix pédagogiques'!$C$5&lt;&gt;"?",Y716&lt;&gt;""),(Y716-'Choix pédagogiques'!$C$4)/('Choix pédagogiques'!$C$5-'Choix pédagogiques'!$C$4),"")</f>
        <v/>
      </c>
      <c r="AU716" s="53" t="str">
        <f aca="false">IF($E716&lt;&gt;"",$E716,"")</f>
        <v/>
      </c>
      <c r="AV716" s="52" t="str">
        <f aca="false">IF($F716&lt;&gt;"",$F716,"")</f>
        <v>Apprenant 704 ou 704'</v>
      </c>
      <c r="AW716" s="55" t="str">
        <f aca="false">IF(AND('Choix pédagogiques'!$C$4&lt;&gt;"?",'Choix pédagogiques'!$C$5&lt;&gt;"?",AB716&lt;&gt;""),(AB716-'Choix pédagogiques'!$C$4)/('Choix pédagogiques'!$C$5-'Choix pédagogiques'!$C$4),"")</f>
        <v/>
      </c>
      <c r="AX716" s="55" t="str">
        <f aca="false">IF(AND('Choix pédagogiques'!$C$4&lt;&gt;"?",'Choix pédagogiques'!$C$5&lt;&gt;"?",AC716&lt;&gt;""),(AC716-'Choix pédagogiques'!$C$4)/('Choix pédagogiques'!$C$5-'Choix pédagogiques'!$C$4),"")</f>
        <v/>
      </c>
      <c r="AY716" s="55" t="str">
        <f aca="false">IF(AND('Choix pédagogiques'!$C$4&lt;&gt;"?",'Choix pédagogiques'!$C$5&lt;&gt;"?",AD716&lt;&gt;""),(AD716-'Choix pédagogiques'!$C$4)/('Choix pédagogiques'!$C$5-'Choix pédagogiques'!$C$4),"")</f>
        <v/>
      </c>
      <c r="AZ716" s="53" t="str">
        <f aca="false">IF($J716&lt;&gt;"",$J716,"")</f>
        <v/>
      </c>
      <c r="BA716" s="52" t="str">
        <f aca="false">IF($A716&lt;&gt;"",$A716,"")</f>
        <v>Apprenant 704</v>
      </c>
      <c r="BB716" s="55" t="str">
        <f aca="false">IF(AND($AR716&lt;&gt;"",$AS716&lt;&gt;""),$AS716-$AR716,"")</f>
        <v/>
      </c>
      <c r="BC716" s="55" t="str">
        <f aca="false">IF(AND($AR716&lt;&gt;"",$AT716&lt;&gt;""),$AT716-$AR716,"")</f>
        <v/>
      </c>
      <c r="BD716" s="55" t="str">
        <f aca="false">IF(AND($AS716&lt;&gt;"",$AT716&lt;&gt;""),$AT716-$AS716,"")</f>
        <v/>
      </c>
      <c r="BE716" s="53" t="str">
        <f aca="false">IF($E716&lt;&gt;"",$E716,"")</f>
        <v/>
      </c>
      <c r="BF716" s="52" t="str">
        <f aca="false">IF($F716&lt;&gt;"",$F716,"")</f>
        <v>Apprenant 704 ou 704'</v>
      </c>
      <c r="BG716" s="55" t="str">
        <f aca="false">IF(AND($AW716&lt;&gt;"",$AX716&lt;&gt;""),$AX716-$AW716,"")</f>
        <v/>
      </c>
      <c r="BH716" s="55" t="str">
        <f aca="false">IF(AND($AW716&lt;&gt;"",$AY716&lt;&gt;""),$AY716-$AW716,"")</f>
        <v/>
      </c>
      <c r="BI716" s="55" t="str">
        <f aca="false">IF(AND($AX716&lt;&gt;"",$AY716&lt;&gt;""),$AY716-$AX716,"")</f>
        <v/>
      </c>
      <c r="BJ716" s="53" t="str">
        <f aca="false">IF($J716&lt;&gt;"",$J716,"")</f>
        <v/>
      </c>
      <c r="BL716" s="52"/>
      <c r="BM716" s="52" t="str">
        <f aca="false">IF(OR(COUNT(B716:D1715)=0,AND('Choix pédagogiques'!$C$3&lt;&gt;1,'Choix pédagogiques'!$C$3&lt;&gt;2)),"",IF(AND(OR('Choix pédagogiques'!$C$3=1,'Choix pédagogiques'!$C$3=2),$B716&lt;&gt;"",$C716&lt;&gt;"",$D716&lt;&gt;""),1,0))</f>
        <v/>
      </c>
      <c r="BN716" s="52" t="str">
        <f aca="false">IF(OR(COUNT(G716:I1715)=0,AND('Choix pédagogiques'!$C$3&lt;&gt;1,'Choix pédagogiques'!$C$3&lt;&gt;2)),"",IF(AND(OR('Choix pédagogiques'!$C$3=1,'Choix pédagogiques'!$C$3=2),AND($G716&lt;&gt;"",$H716&lt;&gt;"",$I716&lt;&gt;"")),1,0))</f>
        <v/>
      </c>
      <c r="BO716" s="52" t="str">
        <f aca="false">IF(OR(COUNT(B716:D1715)=0,COUNT(G716:I1715)=0,'Choix pédagogiques'!C$3&lt;&gt;3),"",IF(AND('Choix pédagogiques'!$C$3=3,$B716&lt;&gt;"",$C716&lt;&gt;"",$D716&lt;&gt;"",$G716&lt;&gt;"",$H716&lt;&gt;"",$I716&lt;&gt;""),1,0))</f>
        <v/>
      </c>
      <c r="BR716" s="52" t="n">
        <v>201</v>
      </c>
      <c r="BS716" s="52" t="n">
        <v>1965</v>
      </c>
    </row>
    <row r="717" s="54" customFormat="true" ht="18" hidden="false" customHeight="true" outlineLevel="0" collapsed="false">
      <c r="A717" s="57" t="s">
        <v>1365</v>
      </c>
      <c r="B717" s="51"/>
      <c r="C717" s="51"/>
      <c r="D717" s="51"/>
      <c r="E717" s="51"/>
      <c r="F717" s="57" t="s">
        <v>1366</v>
      </c>
      <c r="G717" s="51"/>
      <c r="H717" s="51"/>
      <c r="I717" s="51"/>
      <c r="J717" s="51"/>
      <c r="K717" s="52" t="str">
        <f aca="false">IF($A717&lt;&gt;"",$A717,"")</f>
        <v>Apprenant 705</v>
      </c>
      <c r="L717" s="53" t="str">
        <f aca="false">IF(AND($B717&lt;&gt;"",$C717&lt;&gt;""),$C717-$B717,"")</f>
        <v/>
      </c>
      <c r="M717" s="53" t="str">
        <f aca="false">IF(AND($B717&lt;&gt;"",$D717&lt;&gt;""),$D717-$B717,"")</f>
        <v/>
      </c>
      <c r="N717" s="53" t="str">
        <f aca="false">IF(AND($C717&lt;&gt;"",$D717&lt;&gt;""),$D717-$C717,"")</f>
        <v/>
      </c>
      <c r="O717" s="53" t="str">
        <f aca="false">IF($E717&lt;&gt;"",$E717,"")</f>
        <v/>
      </c>
      <c r="P717" s="52" t="str">
        <f aca="false">IF($F717&lt;&gt;"",$F717,"")</f>
        <v>Apprenant 705 ou 705'</v>
      </c>
      <c r="Q717" s="53" t="str">
        <f aca="false">IF(AND($G717&lt;&gt;"",$H717&lt;&gt;""),$H717-$G717,"")</f>
        <v/>
      </c>
      <c r="R717" s="53" t="str">
        <f aca="false">IF(AND($G717&lt;&gt;"",$I717&lt;&gt;""),$I717-$G717,"")</f>
        <v/>
      </c>
      <c r="S717" s="53" t="str">
        <f aca="false">IF(AND($H717&lt;&gt;"",$I717&lt;&gt;""),$I717-$H717,"")</f>
        <v/>
      </c>
      <c r="T717" s="53" t="str">
        <f aca="false">IF($J717&lt;&gt;"",$J717,"")</f>
        <v/>
      </c>
      <c r="V717" s="52" t="str">
        <f aca="false">IF($A717&lt;&gt;"",$A717,"")</f>
        <v>Apprenant 705</v>
      </c>
      <c r="W717" s="53" t="str">
        <f aca="false">IF(AND(OR('Choix pédagogiques'!$C$3=1,'Choix pédagogiques'!$C$3=2),$BM717=1),B717,IF(AND('Choix pédagogiques'!$C$3=3,$BO717=1),B717,""))</f>
        <v/>
      </c>
      <c r="X717" s="53" t="str">
        <f aca="false">IF(AND(OR('Choix pédagogiques'!$C$3=1,'Choix pédagogiques'!$C$3=2),$BM717=1),C717,IF(AND('Choix pédagogiques'!$C$3=3,$BO717=1),C717,""))</f>
        <v/>
      </c>
      <c r="Y717" s="53" t="str">
        <f aca="false">IF(AND(OR('Choix pédagogiques'!$C$3=1,'Choix pédagogiques'!$C$3=2),$BM717=1),D717,IF(AND('Choix pédagogiques'!$C$3=3,$BO717=1),D717,""))</f>
        <v/>
      </c>
      <c r="Z717" s="53" t="str">
        <f aca="false">IF($E717&lt;&gt;"",$E717,"")</f>
        <v/>
      </c>
      <c r="AA717" s="52" t="str">
        <f aca="false">IF($F717&lt;&gt;"",$F717,"")</f>
        <v>Apprenant 705 ou 705'</v>
      </c>
      <c r="AB717" s="53" t="str">
        <f aca="false">IF(AND(OR('Choix pédagogiques'!$C$3=1,'Choix pédagogiques'!$C$3=2),$BN717=1),G717,IF(AND('Choix pédagogiques'!$C$3=3,$BO717=1),G717,""))</f>
        <v/>
      </c>
      <c r="AC717" s="53" t="str">
        <f aca="false">IF(AND(OR('Choix pédagogiques'!$C$3=1,'Choix pédagogiques'!$C$3=2),$BN717=1),H717,IF(AND('Choix pédagogiques'!$C$3=3,$BO717=1),H717,""))</f>
        <v/>
      </c>
      <c r="AD717" s="53" t="str">
        <f aca="false">IF(AND(OR('Choix pédagogiques'!$C$3=1,'Choix pédagogiques'!$C$3=2),$BN717=1),I717,IF(AND('Choix pédagogiques'!$C$3=3,$BO717=1),I717,""))</f>
        <v/>
      </c>
      <c r="AE717" s="53" t="str">
        <f aca="false">IF($J717&lt;&gt;"",$J717,"")</f>
        <v/>
      </c>
      <c r="AF717" s="52" t="str">
        <f aca="false">IF($A717&lt;&gt;"",$A717,"")</f>
        <v>Apprenant 705</v>
      </c>
      <c r="AG717" s="53" t="str">
        <f aca="false">IF(AND($W717&lt;&gt;"",$X717&lt;&gt;""),$X717-$W717,"")</f>
        <v/>
      </c>
      <c r="AH717" s="53" t="str">
        <f aca="false">IF(AND($W717&lt;&gt;"",$Y717&lt;&gt;""),$Y717-$W717,"")</f>
        <v/>
      </c>
      <c r="AI717" s="53" t="str">
        <f aca="false">IF(AND($X717&lt;&gt;"",$Y717&lt;&gt;""),$Y717-$X717,"")</f>
        <v/>
      </c>
      <c r="AJ717" s="53" t="str">
        <f aca="false">IF($E717&lt;&gt;"",$E717,"")</f>
        <v/>
      </c>
      <c r="AK717" s="52" t="str">
        <f aca="false">IF($F717&lt;&gt;"",$F717,"")</f>
        <v>Apprenant 705 ou 705'</v>
      </c>
      <c r="AL717" s="53" t="str">
        <f aca="false">IF(AND($AB717&lt;&gt;"",$AC717&lt;&gt;""),$AC717-$AB717,"")</f>
        <v/>
      </c>
      <c r="AM717" s="53" t="str">
        <f aca="false">IF(AND($AB717&lt;&gt;"",$AD717&lt;&gt;""),$AD717-$AB717,"")</f>
        <v/>
      </c>
      <c r="AN717" s="53" t="str">
        <f aca="false">IF(AND($AC717&lt;&gt;"",$AD717&lt;&gt;""),$AD717-$AC717,"")</f>
        <v/>
      </c>
      <c r="AO717" s="53" t="str">
        <f aca="false">IF($J717&lt;&gt;"",$J717,"")</f>
        <v/>
      </c>
      <c r="AQ717" s="52" t="str">
        <f aca="false">IF($A717&lt;&gt;"",$A717,"")</f>
        <v>Apprenant 705</v>
      </c>
      <c r="AR717" s="55" t="str">
        <f aca="false">IF(AND('Choix pédagogiques'!$C$4&lt;&gt;"?",'Choix pédagogiques'!$C$5&lt;&gt;"?",W717&lt;&gt;""),(W717-'Choix pédagogiques'!$C$4)/('Choix pédagogiques'!$C$5-'Choix pédagogiques'!$C$4),"")</f>
        <v/>
      </c>
      <c r="AS717" s="55" t="str">
        <f aca="false">IF(AND('Choix pédagogiques'!$C$4&lt;&gt;"?",'Choix pédagogiques'!$C$5&lt;&gt;"?",X717&lt;&gt;""),(X717-'Choix pédagogiques'!$C$4)/('Choix pédagogiques'!$C$5-'Choix pédagogiques'!$C$4),"")</f>
        <v/>
      </c>
      <c r="AT717" s="55" t="str">
        <f aca="false">IF(AND('Choix pédagogiques'!$C$4&lt;&gt;"?",'Choix pédagogiques'!$C$5&lt;&gt;"?",Y717&lt;&gt;""),(Y717-'Choix pédagogiques'!$C$4)/('Choix pédagogiques'!$C$5-'Choix pédagogiques'!$C$4),"")</f>
        <v/>
      </c>
      <c r="AU717" s="53" t="str">
        <f aca="false">IF($E717&lt;&gt;"",$E717,"")</f>
        <v/>
      </c>
      <c r="AV717" s="52" t="str">
        <f aca="false">IF($F717&lt;&gt;"",$F717,"")</f>
        <v>Apprenant 705 ou 705'</v>
      </c>
      <c r="AW717" s="55" t="str">
        <f aca="false">IF(AND('Choix pédagogiques'!$C$4&lt;&gt;"?",'Choix pédagogiques'!$C$5&lt;&gt;"?",AB717&lt;&gt;""),(AB717-'Choix pédagogiques'!$C$4)/('Choix pédagogiques'!$C$5-'Choix pédagogiques'!$C$4),"")</f>
        <v/>
      </c>
      <c r="AX717" s="55" t="str">
        <f aca="false">IF(AND('Choix pédagogiques'!$C$4&lt;&gt;"?",'Choix pédagogiques'!$C$5&lt;&gt;"?",AC717&lt;&gt;""),(AC717-'Choix pédagogiques'!$C$4)/('Choix pédagogiques'!$C$5-'Choix pédagogiques'!$C$4),"")</f>
        <v/>
      </c>
      <c r="AY717" s="55" t="str">
        <f aca="false">IF(AND('Choix pédagogiques'!$C$4&lt;&gt;"?",'Choix pédagogiques'!$C$5&lt;&gt;"?",AD717&lt;&gt;""),(AD717-'Choix pédagogiques'!$C$4)/('Choix pédagogiques'!$C$5-'Choix pédagogiques'!$C$4),"")</f>
        <v/>
      </c>
      <c r="AZ717" s="53" t="str">
        <f aca="false">IF($J717&lt;&gt;"",$J717,"")</f>
        <v/>
      </c>
      <c r="BA717" s="52" t="str">
        <f aca="false">IF($A717&lt;&gt;"",$A717,"")</f>
        <v>Apprenant 705</v>
      </c>
      <c r="BB717" s="55" t="str">
        <f aca="false">IF(AND($AR717&lt;&gt;"",$AS717&lt;&gt;""),$AS717-$AR717,"")</f>
        <v/>
      </c>
      <c r="BC717" s="55" t="str">
        <f aca="false">IF(AND($AR717&lt;&gt;"",$AT717&lt;&gt;""),$AT717-$AR717,"")</f>
        <v/>
      </c>
      <c r="BD717" s="55" t="str">
        <f aca="false">IF(AND($AS717&lt;&gt;"",$AT717&lt;&gt;""),$AT717-$AS717,"")</f>
        <v/>
      </c>
      <c r="BE717" s="53" t="str">
        <f aca="false">IF($E717&lt;&gt;"",$E717,"")</f>
        <v/>
      </c>
      <c r="BF717" s="52" t="str">
        <f aca="false">IF($F717&lt;&gt;"",$F717,"")</f>
        <v>Apprenant 705 ou 705'</v>
      </c>
      <c r="BG717" s="55" t="str">
        <f aca="false">IF(AND($AW717&lt;&gt;"",$AX717&lt;&gt;""),$AX717-$AW717,"")</f>
        <v/>
      </c>
      <c r="BH717" s="55" t="str">
        <f aca="false">IF(AND($AW717&lt;&gt;"",$AY717&lt;&gt;""),$AY717-$AW717,"")</f>
        <v/>
      </c>
      <c r="BI717" s="55" t="str">
        <f aca="false">IF(AND($AX717&lt;&gt;"",$AY717&lt;&gt;""),$AY717-$AX717,"")</f>
        <v/>
      </c>
      <c r="BJ717" s="53" t="str">
        <f aca="false">IF($J717&lt;&gt;"",$J717,"")</f>
        <v/>
      </c>
      <c r="BL717" s="52"/>
      <c r="BM717" s="52" t="str">
        <f aca="false">IF(OR(COUNT(B717:D1716)=0,AND('Choix pédagogiques'!$C$3&lt;&gt;1,'Choix pédagogiques'!$C$3&lt;&gt;2)),"",IF(AND(OR('Choix pédagogiques'!$C$3=1,'Choix pédagogiques'!$C$3=2),$B717&lt;&gt;"",$C717&lt;&gt;"",$D717&lt;&gt;""),1,0))</f>
        <v/>
      </c>
      <c r="BN717" s="52" t="str">
        <f aca="false">IF(OR(COUNT(G717:I1716)=0,AND('Choix pédagogiques'!$C$3&lt;&gt;1,'Choix pédagogiques'!$C$3&lt;&gt;2)),"",IF(AND(OR('Choix pédagogiques'!$C$3=1,'Choix pédagogiques'!$C$3=2),AND($G717&lt;&gt;"",$H717&lt;&gt;"",$I717&lt;&gt;"")),1,0))</f>
        <v/>
      </c>
      <c r="BO717" s="52" t="str">
        <f aca="false">IF(OR(COUNT(B717:D1716)=0,COUNT(G717:I1716)=0,'Choix pédagogiques'!C$3&lt;&gt;3),"",IF(AND('Choix pédagogiques'!$C$3=3,$B717&lt;&gt;"",$C717&lt;&gt;"",$D717&lt;&gt;"",$G717&lt;&gt;"",$H717&lt;&gt;"",$I717&lt;&gt;""),1,0))</f>
        <v/>
      </c>
      <c r="BR717" s="52" t="n">
        <v>678</v>
      </c>
      <c r="BS717" s="52" t="n">
        <v>1481</v>
      </c>
    </row>
    <row r="718" s="54" customFormat="true" ht="18" hidden="false" customHeight="true" outlineLevel="0" collapsed="false">
      <c r="A718" s="57" t="s">
        <v>1367</v>
      </c>
      <c r="B718" s="51"/>
      <c r="C718" s="51"/>
      <c r="D718" s="51"/>
      <c r="E718" s="51"/>
      <c r="F718" s="57" t="s">
        <v>1368</v>
      </c>
      <c r="G718" s="51"/>
      <c r="H718" s="51"/>
      <c r="I718" s="51"/>
      <c r="J718" s="51"/>
      <c r="K718" s="52" t="str">
        <f aca="false">IF($A718&lt;&gt;"",$A718,"")</f>
        <v>Apprenant 706</v>
      </c>
      <c r="L718" s="53" t="str">
        <f aca="false">IF(AND($B718&lt;&gt;"",$C718&lt;&gt;""),$C718-$B718,"")</f>
        <v/>
      </c>
      <c r="M718" s="53" t="str">
        <f aca="false">IF(AND($B718&lt;&gt;"",$D718&lt;&gt;""),$D718-$B718,"")</f>
        <v/>
      </c>
      <c r="N718" s="53" t="str">
        <f aca="false">IF(AND($C718&lt;&gt;"",$D718&lt;&gt;""),$D718-$C718,"")</f>
        <v/>
      </c>
      <c r="O718" s="53" t="str">
        <f aca="false">IF($E718&lt;&gt;"",$E718,"")</f>
        <v/>
      </c>
      <c r="P718" s="52" t="str">
        <f aca="false">IF($F718&lt;&gt;"",$F718,"")</f>
        <v>Apprenant 706 ou 706'</v>
      </c>
      <c r="Q718" s="53" t="str">
        <f aca="false">IF(AND($G718&lt;&gt;"",$H718&lt;&gt;""),$H718-$G718,"")</f>
        <v/>
      </c>
      <c r="R718" s="53" t="str">
        <f aca="false">IF(AND($G718&lt;&gt;"",$I718&lt;&gt;""),$I718-$G718,"")</f>
        <v/>
      </c>
      <c r="S718" s="53" t="str">
        <f aca="false">IF(AND($H718&lt;&gt;"",$I718&lt;&gt;""),$I718-$H718,"")</f>
        <v/>
      </c>
      <c r="T718" s="53" t="str">
        <f aca="false">IF($J718&lt;&gt;"",$J718,"")</f>
        <v/>
      </c>
      <c r="V718" s="52" t="str">
        <f aca="false">IF($A718&lt;&gt;"",$A718,"")</f>
        <v>Apprenant 706</v>
      </c>
      <c r="W718" s="53" t="str">
        <f aca="false">IF(AND(OR('Choix pédagogiques'!$C$3=1,'Choix pédagogiques'!$C$3=2),$BM718=1),B718,IF(AND('Choix pédagogiques'!$C$3=3,$BO718=1),B718,""))</f>
        <v/>
      </c>
      <c r="X718" s="53" t="str">
        <f aca="false">IF(AND(OR('Choix pédagogiques'!$C$3=1,'Choix pédagogiques'!$C$3=2),$BM718=1),C718,IF(AND('Choix pédagogiques'!$C$3=3,$BO718=1),C718,""))</f>
        <v/>
      </c>
      <c r="Y718" s="53" t="str">
        <f aca="false">IF(AND(OR('Choix pédagogiques'!$C$3=1,'Choix pédagogiques'!$C$3=2),$BM718=1),D718,IF(AND('Choix pédagogiques'!$C$3=3,$BO718=1),D718,""))</f>
        <v/>
      </c>
      <c r="Z718" s="53" t="str">
        <f aca="false">IF($E718&lt;&gt;"",$E718,"")</f>
        <v/>
      </c>
      <c r="AA718" s="52" t="str">
        <f aca="false">IF($F718&lt;&gt;"",$F718,"")</f>
        <v>Apprenant 706 ou 706'</v>
      </c>
      <c r="AB718" s="53" t="str">
        <f aca="false">IF(AND(OR('Choix pédagogiques'!$C$3=1,'Choix pédagogiques'!$C$3=2),$BN718=1),G718,IF(AND('Choix pédagogiques'!$C$3=3,$BO718=1),G718,""))</f>
        <v/>
      </c>
      <c r="AC718" s="53" t="str">
        <f aca="false">IF(AND(OR('Choix pédagogiques'!$C$3=1,'Choix pédagogiques'!$C$3=2),$BN718=1),H718,IF(AND('Choix pédagogiques'!$C$3=3,$BO718=1),H718,""))</f>
        <v/>
      </c>
      <c r="AD718" s="53" t="str">
        <f aca="false">IF(AND(OR('Choix pédagogiques'!$C$3=1,'Choix pédagogiques'!$C$3=2),$BN718=1),I718,IF(AND('Choix pédagogiques'!$C$3=3,$BO718=1),I718,""))</f>
        <v/>
      </c>
      <c r="AE718" s="53" t="str">
        <f aca="false">IF($J718&lt;&gt;"",$J718,"")</f>
        <v/>
      </c>
      <c r="AF718" s="52" t="str">
        <f aca="false">IF($A718&lt;&gt;"",$A718,"")</f>
        <v>Apprenant 706</v>
      </c>
      <c r="AG718" s="53" t="str">
        <f aca="false">IF(AND($W718&lt;&gt;"",$X718&lt;&gt;""),$X718-$W718,"")</f>
        <v/>
      </c>
      <c r="AH718" s="53" t="str">
        <f aca="false">IF(AND($W718&lt;&gt;"",$Y718&lt;&gt;""),$Y718-$W718,"")</f>
        <v/>
      </c>
      <c r="AI718" s="53" t="str">
        <f aca="false">IF(AND($X718&lt;&gt;"",$Y718&lt;&gt;""),$Y718-$X718,"")</f>
        <v/>
      </c>
      <c r="AJ718" s="53" t="str">
        <f aca="false">IF($E718&lt;&gt;"",$E718,"")</f>
        <v/>
      </c>
      <c r="AK718" s="52" t="str">
        <f aca="false">IF($F718&lt;&gt;"",$F718,"")</f>
        <v>Apprenant 706 ou 706'</v>
      </c>
      <c r="AL718" s="53" t="str">
        <f aca="false">IF(AND($AB718&lt;&gt;"",$AC718&lt;&gt;""),$AC718-$AB718,"")</f>
        <v/>
      </c>
      <c r="AM718" s="53" t="str">
        <f aca="false">IF(AND($AB718&lt;&gt;"",$AD718&lt;&gt;""),$AD718-$AB718,"")</f>
        <v/>
      </c>
      <c r="AN718" s="53" t="str">
        <f aca="false">IF(AND($AC718&lt;&gt;"",$AD718&lt;&gt;""),$AD718-$AC718,"")</f>
        <v/>
      </c>
      <c r="AO718" s="53" t="str">
        <f aca="false">IF($J718&lt;&gt;"",$J718,"")</f>
        <v/>
      </c>
      <c r="AQ718" s="52" t="str">
        <f aca="false">IF($A718&lt;&gt;"",$A718,"")</f>
        <v>Apprenant 706</v>
      </c>
      <c r="AR718" s="55" t="str">
        <f aca="false">IF(AND('Choix pédagogiques'!$C$4&lt;&gt;"?",'Choix pédagogiques'!$C$5&lt;&gt;"?",W718&lt;&gt;""),(W718-'Choix pédagogiques'!$C$4)/('Choix pédagogiques'!$C$5-'Choix pédagogiques'!$C$4),"")</f>
        <v/>
      </c>
      <c r="AS718" s="55" t="str">
        <f aca="false">IF(AND('Choix pédagogiques'!$C$4&lt;&gt;"?",'Choix pédagogiques'!$C$5&lt;&gt;"?",X718&lt;&gt;""),(X718-'Choix pédagogiques'!$C$4)/('Choix pédagogiques'!$C$5-'Choix pédagogiques'!$C$4),"")</f>
        <v/>
      </c>
      <c r="AT718" s="55" t="str">
        <f aca="false">IF(AND('Choix pédagogiques'!$C$4&lt;&gt;"?",'Choix pédagogiques'!$C$5&lt;&gt;"?",Y718&lt;&gt;""),(Y718-'Choix pédagogiques'!$C$4)/('Choix pédagogiques'!$C$5-'Choix pédagogiques'!$C$4),"")</f>
        <v/>
      </c>
      <c r="AU718" s="53" t="str">
        <f aca="false">IF($E718&lt;&gt;"",$E718,"")</f>
        <v/>
      </c>
      <c r="AV718" s="52" t="str">
        <f aca="false">IF($F718&lt;&gt;"",$F718,"")</f>
        <v>Apprenant 706 ou 706'</v>
      </c>
      <c r="AW718" s="55" t="str">
        <f aca="false">IF(AND('Choix pédagogiques'!$C$4&lt;&gt;"?",'Choix pédagogiques'!$C$5&lt;&gt;"?",AB718&lt;&gt;""),(AB718-'Choix pédagogiques'!$C$4)/('Choix pédagogiques'!$C$5-'Choix pédagogiques'!$C$4),"")</f>
        <v/>
      </c>
      <c r="AX718" s="55" t="str">
        <f aca="false">IF(AND('Choix pédagogiques'!$C$4&lt;&gt;"?",'Choix pédagogiques'!$C$5&lt;&gt;"?",AC718&lt;&gt;""),(AC718-'Choix pédagogiques'!$C$4)/('Choix pédagogiques'!$C$5-'Choix pédagogiques'!$C$4),"")</f>
        <v/>
      </c>
      <c r="AY718" s="55" t="str">
        <f aca="false">IF(AND('Choix pédagogiques'!$C$4&lt;&gt;"?",'Choix pédagogiques'!$C$5&lt;&gt;"?",AD718&lt;&gt;""),(AD718-'Choix pédagogiques'!$C$4)/('Choix pédagogiques'!$C$5-'Choix pédagogiques'!$C$4),"")</f>
        <v/>
      </c>
      <c r="AZ718" s="53" t="str">
        <f aca="false">IF($J718&lt;&gt;"",$J718,"")</f>
        <v/>
      </c>
      <c r="BA718" s="52" t="str">
        <f aca="false">IF($A718&lt;&gt;"",$A718,"")</f>
        <v>Apprenant 706</v>
      </c>
      <c r="BB718" s="55" t="str">
        <f aca="false">IF(AND($AR718&lt;&gt;"",$AS718&lt;&gt;""),$AS718-$AR718,"")</f>
        <v/>
      </c>
      <c r="BC718" s="55" t="str">
        <f aca="false">IF(AND($AR718&lt;&gt;"",$AT718&lt;&gt;""),$AT718-$AR718,"")</f>
        <v/>
      </c>
      <c r="BD718" s="55" t="str">
        <f aca="false">IF(AND($AS718&lt;&gt;"",$AT718&lt;&gt;""),$AT718-$AS718,"")</f>
        <v/>
      </c>
      <c r="BE718" s="53" t="str">
        <f aca="false">IF($E718&lt;&gt;"",$E718,"")</f>
        <v/>
      </c>
      <c r="BF718" s="52" t="str">
        <f aca="false">IF($F718&lt;&gt;"",$F718,"")</f>
        <v>Apprenant 706 ou 706'</v>
      </c>
      <c r="BG718" s="55" t="str">
        <f aca="false">IF(AND($AW718&lt;&gt;"",$AX718&lt;&gt;""),$AX718-$AW718,"")</f>
        <v/>
      </c>
      <c r="BH718" s="55" t="str">
        <f aca="false">IF(AND($AW718&lt;&gt;"",$AY718&lt;&gt;""),$AY718-$AW718,"")</f>
        <v/>
      </c>
      <c r="BI718" s="55" t="str">
        <f aca="false">IF(AND($AX718&lt;&gt;"",$AY718&lt;&gt;""),$AY718-$AX718,"")</f>
        <v/>
      </c>
      <c r="BJ718" s="53" t="str">
        <f aca="false">IF($J718&lt;&gt;"",$J718,"")</f>
        <v/>
      </c>
      <c r="BL718" s="52"/>
      <c r="BM718" s="52" t="str">
        <f aca="false">IF(OR(COUNT(B718:D1717)=0,AND('Choix pédagogiques'!$C$3&lt;&gt;1,'Choix pédagogiques'!$C$3&lt;&gt;2)),"",IF(AND(OR('Choix pédagogiques'!$C$3=1,'Choix pédagogiques'!$C$3=2),$B718&lt;&gt;"",$C718&lt;&gt;"",$D718&lt;&gt;""),1,0))</f>
        <v/>
      </c>
      <c r="BN718" s="52" t="str">
        <f aca="false">IF(OR(COUNT(G718:I1717)=0,AND('Choix pédagogiques'!$C$3&lt;&gt;1,'Choix pédagogiques'!$C$3&lt;&gt;2)),"",IF(AND(OR('Choix pédagogiques'!$C$3=1,'Choix pédagogiques'!$C$3=2),AND($G718&lt;&gt;"",$H718&lt;&gt;"",$I718&lt;&gt;"")),1,0))</f>
        <v/>
      </c>
      <c r="BO718" s="52" t="str">
        <f aca="false">IF(OR(COUNT(B718:D1717)=0,COUNT(G718:I1717)=0,'Choix pédagogiques'!C$3&lt;&gt;3),"",IF(AND('Choix pédagogiques'!$C$3=3,$B718&lt;&gt;"",$C718&lt;&gt;"",$D718&lt;&gt;"",$G718&lt;&gt;"",$H718&lt;&gt;"",$I718&lt;&gt;""),1,0))</f>
        <v/>
      </c>
      <c r="BR718" s="52" t="n">
        <v>7</v>
      </c>
      <c r="BS718" s="52" t="n">
        <v>1647</v>
      </c>
    </row>
    <row r="719" s="54" customFormat="true" ht="18" hidden="false" customHeight="true" outlineLevel="0" collapsed="false">
      <c r="A719" s="57" t="s">
        <v>1369</v>
      </c>
      <c r="B719" s="51"/>
      <c r="C719" s="51"/>
      <c r="D719" s="51"/>
      <c r="E719" s="51"/>
      <c r="F719" s="57" t="s">
        <v>1370</v>
      </c>
      <c r="G719" s="51"/>
      <c r="H719" s="51"/>
      <c r="I719" s="51"/>
      <c r="J719" s="51"/>
      <c r="K719" s="52" t="str">
        <f aca="false">IF($A719&lt;&gt;"",$A719,"")</f>
        <v>Apprenant 707</v>
      </c>
      <c r="L719" s="53" t="str">
        <f aca="false">IF(AND($B719&lt;&gt;"",$C719&lt;&gt;""),$C719-$B719,"")</f>
        <v/>
      </c>
      <c r="M719" s="53" t="str">
        <f aca="false">IF(AND($B719&lt;&gt;"",$D719&lt;&gt;""),$D719-$B719,"")</f>
        <v/>
      </c>
      <c r="N719" s="53" t="str">
        <f aca="false">IF(AND($C719&lt;&gt;"",$D719&lt;&gt;""),$D719-$C719,"")</f>
        <v/>
      </c>
      <c r="O719" s="53" t="str">
        <f aca="false">IF($E719&lt;&gt;"",$E719,"")</f>
        <v/>
      </c>
      <c r="P719" s="52" t="str">
        <f aca="false">IF($F719&lt;&gt;"",$F719,"")</f>
        <v>Apprenant 707 ou 707'</v>
      </c>
      <c r="Q719" s="53" t="str">
        <f aca="false">IF(AND($G719&lt;&gt;"",$H719&lt;&gt;""),$H719-$G719,"")</f>
        <v/>
      </c>
      <c r="R719" s="53" t="str">
        <f aca="false">IF(AND($G719&lt;&gt;"",$I719&lt;&gt;""),$I719-$G719,"")</f>
        <v/>
      </c>
      <c r="S719" s="53" t="str">
        <f aca="false">IF(AND($H719&lt;&gt;"",$I719&lt;&gt;""),$I719-$H719,"")</f>
        <v/>
      </c>
      <c r="T719" s="53" t="str">
        <f aca="false">IF($J719&lt;&gt;"",$J719,"")</f>
        <v/>
      </c>
      <c r="V719" s="52" t="str">
        <f aca="false">IF($A719&lt;&gt;"",$A719,"")</f>
        <v>Apprenant 707</v>
      </c>
      <c r="W719" s="53" t="str">
        <f aca="false">IF(AND(OR('Choix pédagogiques'!$C$3=1,'Choix pédagogiques'!$C$3=2),$BM719=1),B719,IF(AND('Choix pédagogiques'!$C$3=3,$BO719=1),B719,""))</f>
        <v/>
      </c>
      <c r="X719" s="53" t="str">
        <f aca="false">IF(AND(OR('Choix pédagogiques'!$C$3=1,'Choix pédagogiques'!$C$3=2),$BM719=1),C719,IF(AND('Choix pédagogiques'!$C$3=3,$BO719=1),C719,""))</f>
        <v/>
      </c>
      <c r="Y719" s="53" t="str">
        <f aca="false">IF(AND(OR('Choix pédagogiques'!$C$3=1,'Choix pédagogiques'!$C$3=2),$BM719=1),D719,IF(AND('Choix pédagogiques'!$C$3=3,$BO719=1),D719,""))</f>
        <v/>
      </c>
      <c r="Z719" s="53" t="str">
        <f aca="false">IF($E719&lt;&gt;"",$E719,"")</f>
        <v/>
      </c>
      <c r="AA719" s="52" t="str">
        <f aca="false">IF($F719&lt;&gt;"",$F719,"")</f>
        <v>Apprenant 707 ou 707'</v>
      </c>
      <c r="AB719" s="53" t="str">
        <f aca="false">IF(AND(OR('Choix pédagogiques'!$C$3=1,'Choix pédagogiques'!$C$3=2),$BN719=1),G719,IF(AND('Choix pédagogiques'!$C$3=3,$BO719=1),G719,""))</f>
        <v/>
      </c>
      <c r="AC719" s="53" t="str">
        <f aca="false">IF(AND(OR('Choix pédagogiques'!$C$3=1,'Choix pédagogiques'!$C$3=2),$BN719=1),H719,IF(AND('Choix pédagogiques'!$C$3=3,$BO719=1),H719,""))</f>
        <v/>
      </c>
      <c r="AD719" s="53" t="str">
        <f aca="false">IF(AND(OR('Choix pédagogiques'!$C$3=1,'Choix pédagogiques'!$C$3=2),$BN719=1),I719,IF(AND('Choix pédagogiques'!$C$3=3,$BO719=1),I719,""))</f>
        <v/>
      </c>
      <c r="AE719" s="53" t="str">
        <f aca="false">IF($J719&lt;&gt;"",$J719,"")</f>
        <v/>
      </c>
      <c r="AF719" s="52" t="str">
        <f aca="false">IF($A719&lt;&gt;"",$A719,"")</f>
        <v>Apprenant 707</v>
      </c>
      <c r="AG719" s="53" t="str">
        <f aca="false">IF(AND($W719&lt;&gt;"",$X719&lt;&gt;""),$X719-$W719,"")</f>
        <v/>
      </c>
      <c r="AH719" s="53" t="str">
        <f aca="false">IF(AND($W719&lt;&gt;"",$Y719&lt;&gt;""),$Y719-$W719,"")</f>
        <v/>
      </c>
      <c r="AI719" s="53" t="str">
        <f aca="false">IF(AND($X719&lt;&gt;"",$Y719&lt;&gt;""),$Y719-$X719,"")</f>
        <v/>
      </c>
      <c r="AJ719" s="53" t="str">
        <f aca="false">IF($E719&lt;&gt;"",$E719,"")</f>
        <v/>
      </c>
      <c r="AK719" s="52" t="str">
        <f aca="false">IF($F719&lt;&gt;"",$F719,"")</f>
        <v>Apprenant 707 ou 707'</v>
      </c>
      <c r="AL719" s="53" t="str">
        <f aca="false">IF(AND($AB719&lt;&gt;"",$AC719&lt;&gt;""),$AC719-$AB719,"")</f>
        <v/>
      </c>
      <c r="AM719" s="53" t="str">
        <f aca="false">IF(AND($AB719&lt;&gt;"",$AD719&lt;&gt;""),$AD719-$AB719,"")</f>
        <v/>
      </c>
      <c r="AN719" s="53" t="str">
        <f aca="false">IF(AND($AC719&lt;&gt;"",$AD719&lt;&gt;""),$AD719-$AC719,"")</f>
        <v/>
      </c>
      <c r="AO719" s="53" t="str">
        <f aca="false">IF($J719&lt;&gt;"",$J719,"")</f>
        <v/>
      </c>
      <c r="AQ719" s="52" t="str">
        <f aca="false">IF($A719&lt;&gt;"",$A719,"")</f>
        <v>Apprenant 707</v>
      </c>
      <c r="AR719" s="55" t="str">
        <f aca="false">IF(AND('Choix pédagogiques'!$C$4&lt;&gt;"?",'Choix pédagogiques'!$C$5&lt;&gt;"?",W719&lt;&gt;""),(W719-'Choix pédagogiques'!$C$4)/('Choix pédagogiques'!$C$5-'Choix pédagogiques'!$C$4),"")</f>
        <v/>
      </c>
      <c r="AS719" s="55" t="str">
        <f aca="false">IF(AND('Choix pédagogiques'!$C$4&lt;&gt;"?",'Choix pédagogiques'!$C$5&lt;&gt;"?",X719&lt;&gt;""),(X719-'Choix pédagogiques'!$C$4)/('Choix pédagogiques'!$C$5-'Choix pédagogiques'!$C$4),"")</f>
        <v/>
      </c>
      <c r="AT719" s="55" t="str">
        <f aca="false">IF(AND('Choix pédagogiques'!$C$4&lt;&gt;"?",'Choix pédagogiques'!$C$5&lt;&gt;"?",Y719&lt;&gt;""),(Y719-'Choix pédagogiques'!$C$4)/('Choix pédagogiques'!$C$5-'Choix pédagogiques'!$C$4),"")</f>
        <v/>
      </c>
      <c r="AU719" s="53" t="str">
        <f aca="false">IF($E719&lt;&gt;"",$E719,"")</f>
        <v/>
      </c>
      <c r="AV719" s="52" t="str">
        <f aca="false">IF($F719&lt;&gt;"",$F719,"")</f>
        <v>Apprenant 707 ou 707'</v>
      </c>
      <c r="AW719" s="55" t="str">
        <f aca="false">IF(AND('Choix pédagogiques'!$C$4&lt;&gt;"?",'Choix pédagogiques'!$C$5&lt;&gt;"?",AB719&lt;&gt;""),(AB719-'Choix pédagogiques'!$C$4)/('Choix pédagogiques'!$C$5-'Choix pédagogiques'!$C$4),"")</f>
        <v/>
      </c>
      <c r="AX719" s="55" t="str">
        <f aca="false">IF(AND('Choix pédagogiques'!$C$4&lt;&gt;"?",'Choix pédagogiques'!$C$5&lt;&gt;"?",AC719&lt;&gt;""),(AC719-'Choix pédagogiques'!$C$4)/('Choix pédagogiques'!$C$5-'Choix pédagogiques'!$C$4),"")</f>
        <v/>
      </c>
      <c r="AY719" s="55" t="str">
        <f aca="false">IF(AND('Choix pédagogiques'!$C$4&lt;&gt;"?",'Choix pédagogiques'!$C$5&lt;&gt;"?",AD719&lt;&gt;""),(AD719-'Choix pédagogiques'!$C$4)/('Choix pédagogiques'!$C$5-'Choix pédagogiques'!$C$4),"")</f>
        <v/>
      </c>
      <c r="AZ719" s="53" t="str">
        <f aca="false">IF($J719&lt;&gt;"",$J719,"")</f>
        <v/>
      </c>
      <c r="BA719" s="52" t="str">
        <f aca="false">IF($A719&lt;&gt;"",$A719,"")</f>
        <v>Apprenant 707</v>
      </c>
      <c r="BB719" s="55" t="str">
        <f aca="false">IF(AND($AR719&lt;&gt;"",$AS719&lt;&gt;""),$AS719-$AR719,"")</f>
        <v/>
      </c>
      <c r="BC719" s="55" t="str">
        <f aca="false">IF(AND($AR719&lt;&gt;"",$AT719&lt;&gt;""),$AT719-$AR719,"")</f>
        <v/>
      </c>
      <c r="BD719" s="55" t="str">
        <f aca="false">IF(AND($AS719&lt;&gt;"",$AT719&lt;&gt;""),$AT719-$AS719,"")</f>
        <v/>
      </c>
      <c r="BE719" s="53" t="str">
        <f aca="false">IF($E719&lt;&gt;"",$E719,"")</f>
        <v/>
      </c>
      <c r="BF719" s="52" t="str">
        <f aca="false">IF($F719&lt;&gt;"",$F719,"")</f>
        <v>Apprenant 707 ou 707'</v>
      </c>
      <c r="BG719" s="55" t="str">
        <f aca="false">IF(AND($AW719&lt;&gt;"",$AX719&lt;&gt;""),$AX719-$AW719,"")</f>
        <v/>
      </c>
      <c r="BH719" s="55" t="str">
        <f aca="false">IF(AND($AW719&lt;&gt;"",$AY719&lt;&gt;""),$AY719-$AW719,"")</f>
        <v/>
      </c>
      <c r="BI719" s="55" t="str">
        <f aca="false">IF(AND($AX719&lt;&gt;"",$AY719&lt;&gt;""),$AY719-$AX719,"")</f>
        <v/>
      </c>
      <c r="BJ719" s="53" t="str">
        <f aca="false">IF($J719&lt;&gt;"",$J719,"")</f>
        <v/>
      </c>
      <c r="BL719" s="52"/>
      <c r="BM719" s="52" t="str">
        <f aca="false">IF(OR(COUNT(B719:D1718)=0,AND('Choix pédagogiques'!$C$3&lt;&gt;1,'Choix pédagogiques'!$C$3&lt;&gt;2)),"",IF(AND(OR('Choix pédagogiques'!$C$3=1,'Choix pédagogiques'!$C$3=2),$B719&lt;&gt;"",$C719&lt;&gt;"",$D719&lt;&gt;""),1,0))</f>
        <v/>
      </c>
      <c r="BN719" s="52" t="str">
        <f aca="false">IF(OR(COUNT(G719:I1718)=0,AND('Choix pédagogiques'!$C$3&lt;&gt;1,'Choix pédagogiques'!$C$3&lt;&gt;2)),"",IF(AND(OR('Choix pédagogiques'!$C$3=1,'Choix pédagogiques'!$C$3=2),AND($G719&lt;&gt;"",$H719&lt;&gt;"",$I719&lt;&gt;"")),1,0))</f>
        <v/>
      </c>
      <c r="BO719" s="52" t="str">
        <f aca="false">IF(OR(COUNT(B719:D1718)=0,COUNT(G719:I1718)=0,'Choix pédagogiques'!C$3&lt;&gt;3),"",IF(AND('Choix pédagogiques'!$C$3=3,$B719&lt;&gt;"",$C719&lt;&gt;"",$D719&lt;&gt;"",$G719&lt;&gt;"",$H719&lt;&gt;"",$I719&lt;&gt;""),1,0))</f>
        <v/>
      </c>
      <c r="BR719" s="52" t="n">
        <v>892</v>
      </c>
      <c r="BS719" s="52" t="n">
        <v>1260</v>
      </c>
    </row>
    <row r="720" s="54" customFormat="true" ht="18" hidden="false" customHeight="true" outlineLevel="0" collapsed="false">
      <c r="A720" s="57" t="s">
        <v>1371</v>
      </c>
      <c r="B720" s="51"/>
      <c r="C720" s="51"/>
      <c r="D720" s="51"/>
      <c r="E720" s="51"/>
      <c r="F720" s="57" t="s">
        <v>1372</v>
      </c>
      <c r="G720" s="51"/>
      <c r="H720" s="51"/>
      <c r="I720" s="51"/>
      <c r="J720" s="51"/>
      <c r="K720" s="52" t="str">
        <f aca="false">IF($A720&lt;&gt;"",$A720,"")</f>
        <v>Apprenant 708</v>
      </c>
      <c r="L720" s="53" t="str">
        <f aca="false">IF(AND($B720&lt;&gt;"",$C720&lt;&gt;""),$C720-$B720,"")</f>
        <v/>
      </c>
      <c r="M720" s="53" t="str">
        <f aca="false">IF(AND($B720&lt;&gt;"",$D720&lt;&gt;""),$D720-$B720,"")</f>
        <v/>
      </c>
      <c r="N720" s="53" t="str">
        <f aca="false">IF(AND($C720&lt;&gt;"",$D720&lt;&gt;""),$D720-$C720,"")</f>
        <v/>
      </c>
      <c r="O720" s="53" t="str">
        <f aca="false">IF($E720&lt;&gt;"",$E720,"")</f>
        <v/>
      </c>
      <c r="P720" s="52" t="str">
        <f aca="false">IF($F720&lt;&gt;"",$F720,"")</f>
        <v>Apprenant 708 ou 708'</v>
      </c>
      <c r="Q720" s="53" t="str">
        <f aca="false">IF(AND($G720&lt;&gt;"",$H720&lt;&gt;""),$H720-$G720,"")</f>
        <v/>
      </c>
      <c r="R720" s="53" t="str">
        <f aca="false">IF(AND($G720&lt;&gt;"",$I720&lt;&gt;""),$I720-$G720,"")</f>
        <v/>
      </c>
      <c r="S720" s="53" t="str">
        <f aca="false">IF(AND($H720&lt;&gt;"",$I720&lt;&gt;""),$I720-$H720,"")</f>
        <v/>
      </c>
      <c r="T720" s="53" t="str">
        <f aca="false">IF($J720&lt;&gt;"",$J720,"")</f>
        <v/>
      </c>
      <c r="V720" s="52" t="str">
        <f aca="false">IF($A720&lt;&gt;"",$A720,"")</f>
        <v>Apprenant 708</v>
      </c>
      <c r="W720" s="53" t="str">
        <f aca="false">IF(AND(OR('Choix pédagogiques'!$C$3=1,'Choix pédagogiques'!$C$3=2),$BM720=1),B720,IF(AND('Choix pédagogiques'!$C$3=3,$BO720=1),B720,""))</f>
        <v/>
      </c>
      <c r="X720" s="53" t="str">
        <f aca="false">IF(AND(OR('Choix pédagogiques'!$C$3=1,'Choix pédagogiques'!$C$3=2),$BM720=1),C720,IF(AND('Choix pédagogiques'!$C$3=3,$BO720=1),C720,""))</f>
        <v/>
      </c>
      <c r="Y720" s="53" t="str">
        <f aca="false">IF(AND(OR('Choix pédagogiques'!$C$3=1,'Choix pédagogiques'!$C$3=2),$BM720=1),D720,IF(AND('Choix pédagogiques'!$C$3=3,$BO720=1),D720,""))</f>
        <v/>
      </c>
      <c r="Z720" s="53" t="str">
        <f aca="false">IF($E720&lt;&gt;"",$E720,"")</f>
        <v/>
      </c>
      <c r="AA720" s="52" t="str">
        <f aca="false">IF($F720&lt;&gt;"",$F720,"")</f>
        <v>Apprenant 708 ou 708'</v>
      </c>
      <c r="AB720" s="53" t="str">
        <f aca="false">IF(AND(OR('Choix pédagogiques'!$C$3=1,'Choix pédagogiques'!$C$3=2),$BN720=1),G720,IF(AND('Choix pédagogiques'!$C$3=3,$BO720=1),G720,""))</f>
        <v/>
      </c>
      <c r="AC720" s="53" t="str">
        <f aca="false">IF(AND(OR('Choix pédagogiques'!$C$3=1,'Choix pédagogiques'!$C$3=2),$BN720=1),H720,IF(AND('Choix pédagogiques'!$C$3=3,$BO720=1),H720,""))</f>
        <v/>
      </c>
      <c r="AD720" s="53" t="str">
        <f aca="false">IF(AND(OR('Choix pédagogiques'!$C$3=1,'Choix pédagogiques'!$C$3=2),$BN720=1),I720,IF(AND('Choix pédagogiques'!$C$3=3,$BO720=1),I720,""))</f>
        <v/>
      </c>
      <c r="AE720" s="53" t="str">
        <f aca="false">IF($J720&lt;&gt;"",$J720,"")</f>
        <v/>
      </c>
      <c r="AF720" s="52" t="str">
        <f aca="false">IF($A720&lt;&gt;"",$A720,"")</f>
        <v>Apprenant 708</v>
      </c>
      <c r="AG720" s="53" t="str">
        <f aca="false">IF(AND($W720&lt;&gt;"",$X720&lt;&gt;""),$X720-$W720,"")</f>
        <v/>
      </c>
      <c r="AH720" s="53" t="str">
        <f aca="false">IF(AND($W720&lt;&gt;"",$Y720&lt;&gt;""),$Y720-$W720,"")</f>
        <v/>
      </c>
      <c r="AI720" s="53" t="str">
        <f aca="false">IF(AND($X720&lt;&gt;"",$Y720&lt;&gt;""),$Y720-$X720,"")</f>
        <v/>
      </c>
      <c r="AJ720" s="53" t="str">
        <f aca="false">IF($E720&lt;&gt;"",$E720,"")</f>
        <v/>
      </c>
      <c r="AK720" s="52" t="str">
        <f aca="false">IF($F720&lt;&gt;"",$F720,"")</f>
        <v>Apprenant 708 ou 708'</v>
      </c>
      <c r="AL720" s="53" t="str">
        <f aca="false">IF(AND($AB720&lt;&gt;"",$AC720&lt;&gt;""),$AC720-$AB720,"")</f>
        <v/>
      </c>
      <c r="AM720" s="53" t="str">
        <f aca="false">IF(AND($AB720&lt;&gt;"",$AD720&lt;&gt;""),$AD720-$AB720,"")</f>
        <v/>
      </c>
      <c r="AN720" s="53" t="str">
        <f aca="false">IF(AND($AC720&lt;&gt;"",$AD720&lt;&gt;""),$AD720-$AC720,"")</f>
        <v/>
      </c>
      <c r="AO720" s="53" t="str">
        <f aca="false">IF($J720&lt;&gt;"",$J720,"")</f>
        <v/>
      </c>
      <c r="AQ720" s="52" t="str">
        <f aca="false">IF($A720&lt;&gt;"",$A720,"")</f>
        <v>Apprenant 708</v>
      </c>
      <c r="AR720" s="55" t="str">
        <f aca="false">IF(AND('Choix pédagogiques'!$C$4&lt;&gt;"?",'Choix pédagogiques'!$C$5&lt;&gt;"?",W720&lt;&gt;""),(W720-'Choix pédagogiques'!$C$4)/('Choix pédagogiques'!$C$5-'Choix pédagogiques'!$C$4),"")</f>
        <v/>
      </c>
      <c r="AS720" s="55" t="str">
        <f aca="false">IF(AND('Choix pédagogiques'!$C$4&lt;&gt;"?",'Choix pédagogiques'!$C$5&lt;&gt;"?",X720&lt;&gt;""),(X720-'Choix pédagogiques'!$C$4)/('Choix pédagogiques'!$C$5-'Choix pédagogiques'!$C$4),"")</f>
        <v/>
      </c>
      <c r="AT720" s="55" t="str">
        <f aca="false">IF(AND('Choix pédagogiques'!$C$4&lt;&gt;"?",'Choix pédagogiques'!$C$5&lt;&gt;"?",Y720&lt;&gt;""),(Y720-'Choix pédagogiques'!$C$4)/('Choix pédagogiques'!$C$5-'Choix pédagogiques'!$C$4),"")</f>
        <v/>
      </c>
      <c r="AU720" s="53" t="str">
        <f aca="false">IF($E720&lt;&gt;"",$E720,"")</f>
        <v/>
      </c>
      <c r="AV720" s="52" t="str">
        <f aca="false">IF($F720&lt;&gt;"",$F720,"")</f>
        <v>Apprenant 708 ou 708'</v>
      </c>
      <c r="AW720" s="55" t="str">
        <f aca="false">IF(AND('Choix pédagogiques'!$C$4&lt;&gt;"?",'Choix pédagogiques'!$C$5&lt;&gt;"?",AB720&lt;&gt;""),(AB720-'Choix pédagogiques'!$C$4)/('Choix pédagogiques'!$C$5-'Choix pédagogiques'!$C$4),"")</f>
        <v/>
      </c>
      <c r="AX720" s="55" t="str">
        <f aca="false">IF(AND('Choix pédagogiques'!$C$4&lt;&gt;"?",'Choix pédagogiques'!$C$5&lt;&gt;"?",AC720&lt;&gt;""),(AC720-'Choix pédagogiques'!$C$4)/('Choix pédagogiques'!$C$5-'Choix pédagogiques'!$C$4),"")</f>
        <v/>
      </c>
      <c r="AY720" s="55" t="str">
        <f aca="false">IF(AND('Choix pédagogiques'!$C$4&lt;&gt;"?",'Choix pédagogiques'!$C$5&lt;&gt;"?",AD720&lt;&gt;""),(AD720-'Choix pédagogiques'!$C$4)/('Choix pédagogiques'!$C$5-'Choix pédagogiques'!$C$4),"")</f>
        <v/>
      </c>
      <c r="AZ720" s="53" t="str">
        <f aca="false">IF($J720&lt;&gt;"",$J720,"")</f>
        <v/>
      </c>
      <c r="BA720" s="52" t="str">
        <f aca="false">IF($A720&lt;&gt;"",$A720,"")</f>
        <v>Apprenant 708</v>
      </c>
      <c r="BB720" s="55" t="str">
        <f aca="false">IF(AND($AR720&lt;&gt;"",$AS720&lt;&gt;""),$AS720-$AR720,"")</f>
        <v/>
      </c>
      <c r="BC720" s="55" t="str">
        <f aca="false">IF(AND($AR720&lt;&gt;"",$AT720&lt;&gt;""),$AT720-$AR720,"")</f>
        <v/>
      </c>
      <c r="BD720" s="55" t="str">
        <f aca="false">IF(AND($AS720&lt;&gt;"",$AT720&lt;&gt;""),$AT720-$AS720,"")</f>
        <v/>
      </c>
      <c r="BE720" s="53" t="str">
        <f aca="false">IF($E720&lt;&gt;"",$E720,"")</f>
        <v/>
      </c>
      <c r="BF720" s="52" t="str">
        <f aca="false">IF($F720&lt;&gt;"",$F720,"")</f>
        <v>Apprenant 708 ou 708'</v>
      </c>
      <c r="BG720" s="55" t="str">
        <f aca="false">IF(AND($AW720&lt;&gt;"",$AX720&lt;&gt;""),$AX720-$AW720,"")</f>
        <v/>
      </c>
      <c r="BH720" s="55" t="str">
        <f aca="false">IF(AND($AW720&lt;&gt;"",$AY720&lt;&gt;""),$AY720-$AW720,"")</f>
        <v/>
      </c>
      <c r="BI720" s="55" t="str">
        <f aca="false">IF(AND($AX720&lt;&gt;"",$AY720&lt;&gt;""),$AY720-$AX720,"")</f>
        <v/>
      </c>
      <c r="BJ720" s="53" t="str">
        <f aca="false">IF($J720&lt;&gt;"",$J720,"")</f>
        <v/>
      </c>
      <c r="BL720" s="52"/>
      <c r="BM720" s="52" t="str">
        <f aca="false">IF(OR(COUNT(B720:D1719)=0,AND('Choix pédagogiques'!$C$3&lt;&gt;1,'Choix pédagogiques'!$C$3&lt;&gt;2)),"",IF(AND(OR('Choix pédagogiques'!$C$3=1,'Choix pédagogiques'!$C$3=2),$B720&lt;&gt;"",$C720&lt;&gt;"",$D720&lt;&gt;""),1,0))</f>
        <v/>
      </c>
      <c r="BN720" s="52" t="str">
        <f aca="false">IF(OR(COUNT(G720:I1719)=0,AND('Choix pédagogiques'!$C$3&lt;&gt;1,'Choix pédagogiques'!$C$3&lt;&gt;2)),"",IF(AND(OR('Choix pédagogiques'!$C$3=1,'Choix pédagogiques'!$C$3=2),AND($G720&lt;&gt;"",$H720&lt;&gt;"",$I720&lt;&gt;"")),1,0))</f>
        <v/>
      </c>
      <c r="BO720" s="52" t="str">
        <f aca="false">IF(OR(COUNT(B720:D1719)=0,COUNT(G720:I1719)=0,'Choix pédagogiques'!C$3&lt;&gt;3),"",IF(AND('Choix pédagogiques'!$C$3=3,$B720&lt;&gt;"",$C720&lt;&gt;"",$D720&lt;&gt;"",$G720&lt;&gt;"",$H720&lt;&gt;"",$I720&lt;&gt;""),1,0))</f>
        <v/>
      </c>
      <c r="BR720" s="52" t="n">
        <v>203</v>
      </c>
      <c r="BS720" s="52" t="n">
        <v>1256</v>
      </c>
    </row>
    <row r="721" s="54" customFormat="true" ht="18" hidden="false" customHeight="true" outlineLevel="0" collapsed="false">
      <c r="A721" s="57" t="s">
        <v>1373</v>
      </c>
      <c r="B721" s="51"/>
      <c r="C721" s="51"/>
      <c r="D721" s="51"/>
      <c r="E721" s="51"/>
      <c r="F721" s="57" t="s">
        <v>1374</v>
      </c>
      <c r="G721" s="51"/>
      <c r="H721" s="51"/>
      <c r="I721" s="51"/>
      <c r="J721" s="51"/>
      <c r="K721" s="52" t="str">
        <f aca="false">IF($A721&lt;&gt;"",$A721,"")</f>
        <v>Apprenant 709</v>
      </c>
      <c r="L721" s="53" t="str">
        <f aca="false">IF(AND($B721&lt;&gt;"",$C721&lt;&gt;""),$C721-$B721,"")</f>
        <v/>
      </c>
      <c r="M721" s="53" t="str">
        <f aca="false">IF(AND($B721&lt;&gt;"",$D721&lt;&gt;""),$D721-$B721,"")</f>
        <v/>
      </c>
      <c r="N721" s="53" t="str">
        <f aca="false">IF(AND($C721&lt;&gt;"",$D721&lt;&gt;""),$D721-$C721,"")</f>
        <v/>
      </c>
      <c r="O721" s="53" t="str">
        <f aca="false">IF($E721&lt;&gt;"",$E721,"")</f>
        <v/>
      </c>
      <c r="P721" s="52" t="str">
        <f aca="false">IF($F721&lt;&gt;"",$F721,"")</f>
        <v>Apprenant 709 ou 709'</v>
      </c>
      <c r="Q721" s="53" t="str">
        <f aca="false">IF(AND($G721&lt;&gt;"",$H721&lt;&gt;""),$H721-$G721,"")</f>
        <v/>
      </c>
      <c r="R721" s="53" t="str">
        <f aca="false">IF(AND($G721&lt;&gt;"",$I721&lt;&gt;""),$I721-$G721,"")</f>
        <v/>
      </c>
      <c r="S721" s="53" t="str">
        <f aca="false">IF(AND($H721&lt;&gt;"",$I721&lt;&gt;""),$I721-$H721,"")</f>
        <v/>
      </c>
      <c r="T721" s="53" t="str">
        <f aca="false">IF($J721&lt;&gt;"",$J721,"")</f>
        <v/>
      </c>
      <c r="V721" s="52" t="str">
        <f aca="false">IF($A721&lt;&gt;"",$A721,"")</f>
        <v>Apprenant 709</v>
      </c>
      <c r="W721" s="53" t="str">
        <f aca="false">IF(AND(OR('Choix pédagogiques'!$C$3=1,'Choix pédagogiques'!$C$3=2),$BM721=1),B721,IF(AND('Choix pédagogiques'!$C$3=3,$BO721=1),B721,""))</f>
        <v/>
      </c>
      <c r="X721" s="53" t="str">
        <f aca="false">IF(AND(OR('Choix pédagogiques'!$C$3=1,'Choix pédagogiques'!$C$3=2),$BM721=1),C721,IF(AND('Choix pédagogiques'!$C$3=3,$BO721=1),C721,""))</f>
        <v/>
      </c>
      <c r="Y721" s="53" t="str">
        <f aca="false">IF(AND(OR('Choix pédagogiques'!$C$3=1,'Choix pédagogiques'!$C$3=2),$BM721=1),D721,IF(AND('Choix pédagogiques'!$C$3=3,$BO721=1),D721,""))</f>
        <v/>
      </c>
      <c r="Z721" s="53" t="str">
        <f aca="false">IF($E721&lt;&gt;"",$E721,"")</f>
        <v/>
      </c>
      <c r="AA721" s="52" t="str">
        <f aca="false">IF($F721&lt;&gt;"",$F721,"")</f>
        <v>Apprenant 709 ou 709'</v>
      </c>
      <c r="AB721" s="53" t="str">
        <f aca="false">IF(AND(OR('Choix pédagogiques'!$C$3=1,'Choix pédagogiques'!$C$3=2),$BN721=1),G721,IF(AND('Choix pédagogiques'!$C$3=3,$BO721=1),G721,""))</f>
        <v/>
      </c>
      <c r="AC721" s="53" t="str">
        <f aca="false">IF(AND(OR('Choix pédagogiques'!$C$3=1,'Choix pédagogiques'!$C$3=2),$BN721=1),H721,IF(AND('Choix pédagogiques'!$C$3=3,$BO721=1),H721,""))</f>
        <v/>
      </c>
      <c r="AD721" s="53" t="str">
        <f aca="false">IF(AND(OR('Choix pédagogiques'!$C$3=1,'Choix pédagogiques'!$C$3=2),$BN721=1),I721,IF(AND('Choix pédagogiques'!$C$3=3,$BO721=1),I721,""))</f>
        <v/>
      </c>
      <c r="AE721" s="53" t="str">
        <f aca="false">IF($J721&lt;&gt;"",$J721,"")</f>
        <v/>
      </c>
      <c r="AF721" s="52" t="str">
        <f aca="false">IF($A721&lt;&gt;"",$A721,"")</f>
        <v>Apprenant 709</v>
      </c>
      <c r="AG721" s="53" t="str">
        <f aca="false">IF(AND($W721&lt;&gt;"",$X721&lt;&gt;""),$X721-$W721,"")</f>
        <v/>
      </c>
      <c r="AH721" s="53" t="str">
        <f aca="false">IF(AND($W721&lt;&gt;"",$Y721&lt;&gt;""),$Y721-$W721,"")</f>
        <v/>
      </c>
      <c r="AI721" s="53" t="str">
        <f aca="false">IF(AND($X721&lt;&gt;"",$Y721&lt;&gt;""),$Y721-$X721,"")</f>
        <v/>
      </c>
      <c r="AJ721" s="53" t="str">
        <f aca="false">IF($E721&lt;&gt;"",$E721,"")</f>
        <v/>
      </c>
      <c r="AK721" s="52" t="str">
        <f aca="false">IF($F721&lt;&gt;"",$F721,"")</f>
        <v>Apprenant 709 ou 709'</v>
      </c>
      <c r="AL721" s="53" t="str">
        <f aca="false">IF(AND($AB721&lt;&gt;"",$AC721&lt;&gt;""),$AC721-$AB721,"")</f>
        <v/>
      </c>
      <c r="AM721" s="53" t="str">
        <f aca="false">IF(AND($AB721&lt;&gt;"",$AD721&lt;&gt;""),$AD721-$AB721,"")</f>
        <v/>
      </c>
      <c r="AN721" s="53" t="str">
        <f aca="false">IF(AND($AC721&lt;&gt;"",$AD721&lt;&gt;""),$AD721-$AC721,"")</f>
        <v/>
      </c>
      <c r="AO721" s="53" t="str">
        <f aca="false">IF($J721&lt;&gt;"",$J721,"")</f>
        <v/>
      </c>
      <c r="AQ721" s="52" t="str">
        <f aca="false">IF($A721&lt;&gt;"",$A721,"")</f>
        <v>Apprenant 709</v>
      </c>
      <c r="AR721" s="55" t="str">
        <f aca="false">IF(AND('Choix pédagogiques'!$C$4&lt;&gt;"?",'Choix pédagogiques'!$C$5&lt;&gt;"?",W721&lt;&gt;""),(W721-'Choix pédagogiques'!$C$4)/('Choix pédagogiques'!$C$5-'Choix pédagogiques'!$C$4),"")</f>
        <v/>
      </c>
      <c r="AS721" s="55" t="str">
        <f aca="false">IF(AND('Choix pédagogiques'!$C$4&lt;&gt;"?",'Choix pédagogiques'!$C$5&lt;&gt;"?",X721&lt;&gt;""),(X721-'Choix pédagogiques'!$C$4)/('Choix pédagogiques'!$C$5-'Choix pédagogiques'!$C$4),"")</f>
        <v/>
      </c>
      <c r="AT721" s="55" t="str">
        <f aca="false">IF(AND('Choix pédagogiques'!$C$4&lt;&gt;"?",'Choix pédagogiques'!$C$5&lt;&gt;"?",Y721&lt;&gt;""),(Y721-'Choix pédagogiques'!$C$4)/('Choix pédagogiques'!$C$5-'Choix pédagogiques'!$C$4),"")</f>
        <v/>
      </c>
      <c r="AU721" s="53" t="str">
        <f aca="false">IF($E721&lt;&gt;"",$E721,"")</f>
        <v/>
      </c>
      <c r="AV721" s="52" t="str">
        <f aca="false">IF($F721&lt;&gt;"",$F721,"")</f>
        <v>Apprenant 709 ou 709'</v>
      </c>
      <c r="AW721" s="55" t="str">
        <f aca="false">IF(AND('Choix pédagogiques'!$C$4&lt;&gt;"?",'Choix pédagogiques'!$C$5&lt;&gt;"?",AB721&lt;&gt;""),(AB721-'Choix pédagogiques'!$C$4)/('Choix pédagogiques'!$C$5-'Choix pédagogiques'!$C$4),"")</f>
        <v/>
      </c>
      <c r="AX721" s="55" t="str">
        <f aca="false">IF(AND('Choix pédagogiques'!$C$4&lt;&gt;"?",'Choix pédagogiques'!$C$5&lt;&gt;"?",AC721&lt;&gt;""),(AC721-'Choix pédagogiques'!$C$4)/('Choix pédagogiques'!$C$5-'Choix pédagogiques'!$C$4),"")</f>
        <v/>
      </c>
      <c r="AY721" s="55" t="str">
        <f aca="false">IF(AND('Choix pédagogiques'!$C$4&lt;&gt;"?",'Choix pédagogiques'!$C$5&lt;&gt;"?",AD721&lt;&gt;""),(AD721-'Choix pédagogiques'!$C$4)/('Choix pédagogiques'!$C$5-'Choix pédagogiques'!$C$4),"")</f>
        <v/>
      </c>
      <c r="AZ721" s="53" t="str">
        <f aca="false">IF($J721&lt;&gt;"",$J721,"")</f>
        <v/>
      </c>
      <c r="BA721" s="52" t="str">
        <f aca="false">IF($A721&lt;&gt;"",$A721,"")</f>
        <v>Apprenant 709</v>
      </c>
      <c r="BB721" s="55" t="str">
        <f aca="false">IF(AND($AR721&lt;&gt;"",$AS721&lt;&gt;""),$AS721-$AR721,"")</f>
        <v/>
      </c>
      <c r="BC721" s="55" t="str">
        <f aca="false">IF(AND($AR721&lt;&gt;"",$AT721&lt;&gt;""),$AT721-$AR721,"")</f>
        <v/>
      </c>
      <c r="BD721" s="55" t="str">
        <f aca="false">IF(AND($AS721&lt;&gt;"",$AT721&lt;&gt;""),$AT721-$AS721,"")</f>
        <v/>
      </c>
      <c r="BE721" s="53" t="str">
        <f aca="false">IF($E721&lt;&gt;"",$E721,"")</f>
        <v/>
      </c>
      <c r="BF721" s="52" t="str">
        <f aca="false">IF($F721&lt;&gt;"",$F721,"")</f>
        <v>Apprenant 709 ou 709'</v>
      </c>
      <c r="BG721" s="55" t="str">
        <f aca="false">IF(AND($AW721&lt;&gt;"",$AX721&lt;&gt;""),$AX721-$AW721,"")</f>
        <v/>
      </c>
      <c r="BH721" s="55" t="str">
        <f aca="false">IF(AND($AW721&lt;&gt;"",$AY721&lt;&gt;""),$AY721-$AW721,"")</f>
        <v/>
      </c>
      <c r="BI721" s="55" t="str">
        <f aca="false">IF(AND($AX721&lt;&gt;"",$AY721&lt;&gt;""),$AY721-$AX721,"")</f>
        <v/>
      </c>
      <c r="BJ721" s="53" t="str">
        <f aca="false">IF($J721&lt;&gt;"",$J721,"")</f>
        <v/>
      </c>
      <c r="BL721" s="52"/>
      <c r="BM721" s="52" t="str">
        <f aca="false">IF(OR(COUNT(B721:D1720)=0,AND('Choix pédagogiques'!$C$3&lt;&gt;1,'Choix pédagogiques'!$C$3&lt;&gt;2)),"",IF(AND(OR('Choix pédagogiques'!$C$3=1,'Choix pédagogiques'!$C$3=2),$B721&lt;&gt;"",$C721&lt;&gt;"",$D721&lt;&gt;""),1,0))</f>
        <v/>
      </c>
      <c r="BN721" s="52" t="str">
        <f aca="false">IF(OR(COUNT(G721:I1720)=0,AND('Choix pédagogiques'!$C$3&lt;&gt;1,'Choix pédagogiques'!$C$3&lt;&gt;2)),"",IF(AND(OR('Choix pédagogiques'!$C$3=1,'Choix pédagogiques'!$C$3=2),AND($G721&lt;&gt;"",$H721&lt;&gt;"",$I721&lt;&gt;"")),1,0))</f>
        <v/>
      </c>
      <c r="BO721" s="52" t="str">
        <f aca="false">IF(OR(COUNT(B721:D1720)=0,COUNT(G721:I1720)=0,'Choix pédagogiques'!C$3&lt;&gt;3),"",IF(AND('Choix pédagogiques'!$C$3=3,$B721&lt;&gt;"",$C721&lt;&gt;"",$D721&lt;&gt;"",$G721&lt;&gt;"",$H721&lt;&gt;"",$I721&lt;&gt;""),1,0))</f>
        <v/>
      </c>
      <c r="BR721" s="52" t="n">
        <v>816</v>
      </c>
      <c r="BS721" s="52" t="n">
        <v>1892</v>
      </c>
    </row>
    <row r="722" s="54" customFormat="true" ht="18" hidden="false" customHeight="true" outlineLevel="0" collapsed="false">
      <c r="A722" s="57" t="s">
        <v>1375</v>
      </c>
      <c r="B722" s="51"/>
      <c r="C722" s="51"/>
      <c r="D722" s="51"/>
      <c r="E722" s="51"/>
      <c r="F722" s="57" t="s">
        <v>1376</v>
      </c>
      <c r="G722" s="51"/>
      <c r="H722" s="51"/>
      <c r="I722" s="51"/>
      <c r="J722" s="51"/>
      <c r="K722" s="52" t="str">
        <f aca="false">IF($A722&lt;&gt;"",$A722,"")</f>
        <v>Apprenant 710</v>
      </c>
      <c r="L722" s="53" t="str">
        <f aca="false">IF(AND($B722&lt;&gt;"",$C722&lt;&gt;""),$C722-$B722,"")</f>
        <v/>
      </c>
      <c r="M722" s="53" t="str">
        <f aca="false">IF(AND($B722&lt;&gt;"",$D722&lt;&gt;""),$D722-$B722,"")</f>
        <v/>
      </c>
      <c r="N722" s="53" t="str">
        <f aca="false">IF(AND($C722&lt;&gt;"",$D722&lt;&gt;""),$D722-$C722,"")</f>
        <v/>
      </c>
      <c r="O722" s="53" t="str">
        <f aca="false">IF($E722&lt;&gt;"",$E722,"")</f>
        <v/>
      </c>
      <c r="P722" s="52" t="str">
        <f aca="false">IF($F722&lt;&gt;"",$F722,"")</f>
        <v>Apprenant 710 ou 710'</v>
      </c>
      <c r="Q722" s="53" t="str">
        <f aca="false">IF(AND($G722&lt;&gt;"",$H722&lt;&gt;""),$H722-$G722,"")</f>
        <v/>
      </c>
      <c r="R722" s="53" t="str">
        <f aca="false">IF(AND($G722&lt;&gt;"",$I722&lt;&gt;""),$I722-$G722,"")</f>
        <v/>
      </c>
      <c r="S722" s="53" t="str">
        <f aca="false">IF(AND($H722&lt;&gt;"",$I722&lt;&gt;""),$I722-$H722,"")</f>
        <v/>
      </c>
      <c r="T722" s="53" t="str">
        <f aca="false">IF($J722&lt;&gt;"",$J722,"")</f>
        <v/>
      </c>
      <c r="V722" s="52" t="str">
        <f aca="false">IF($A722&lt;&gt;"",$A722,"")</f>
        <v>Apprenant 710</v>
      </c>
      <c r="W722" s="53" t="str">
        <f aca="false">IF(AND(OR('Choix pédagogiques'!$C$3=1,'Choix pédagogiques'!$C$3=2),$BM722=1),B722,IF(AND('Choix pédagogiques'!$C$3=3,$BO722=1),B722,""))</f>
        <v/>
      </c>
      <c r="X722" s="53" t="str">
        <f aca="false">IF(AND(OR('Choix pédagogiques'!$C$3=1,'Choix pédagogiques'!$C$3=2),$BM722=1),C722,IF(AND('Choix pédagogiques'!$C$3=3,$BO722=1),C722,""))</f>
        <v/>
      </c>
      <c r="Y722" s="53" t="str">
        <f aca="false">IF(AND(OR('Choix pédagogiques'!$C$3=1,'Choix pédagogiques'!$C$3=2),$BM722=1),D722,IF(AND('Choix pédagogiques'!$C$3=3,$BO722=1),D722,""))</f>
        <v/>
      </c>
      <c r="Z722" s="53" t="str">
        <f aca="false">IF($E722&lt;&gt;"",$E722,"")</f>
        <v/>
      </c>
      <c r="AA722" s="52" t="str">
        <f aca="false">IF($F722&lt;&gt;"",$F722,"")</f>
        <v>Apprenant 710 ou 710'</v>
      </c>
      <c r="AB722" s="53" t="str">
        <f aca="false">IF(AND(OR('Choix pédagogiques'!$C$3=1,'Choix pédagogiques'!$C$3=2),$BN722=1),G722,IF(AND('Choix pédagogiques'!$C$3=3,$BO722=1),G722,""))</f>
        <v/>
      </c>
      <c r="AC722" s="53" t="str">
        <f aca="false">IF(AND(OR('Choix pédagogiques'!$C$3=1,'Choix pédagogiques'!$C$3=2),$BN722=1),H722,IF(AND('Choix pédagogiques'!$C$3=3,$BO722=1),H722,""))</f>
        <v/>
      </c>
      <c r="AD722" s="53" t="str">
        <f aca="false">IF(AND(OR('Choix pédagogiques'!$C$3=1,'Choix pédagogiques'!$C$3=2),$BN722=1),I722,IF(AND('Choix pédagogiques'!$C$3=3,$BO722=1),I722,""))</f>
        <v/>
      </c>
      <c r="AE722" s="53" t="str">
        <f aca="false">IF($J722&lt;&gt;"",$J722,"")</f>
        <v/>
      </c>
      <c r="AF722" s="52" t="str">
        <f aca="false">IF($A722&lt;&gt;"",$A722,"")</f>
        <v>Apprenant 710</v>
      </c>
      <c r="AG722" s="53" t="str">
        <f aca="false">IF(AND($W722&lt;&gt;"",$X722&lt;&gt;""),$X722-$W722,"")</f>
        <v/>
      </c>
      <c r="AH722" s="53" t="str">
        <f aca="false">IF(AND($W722&lt;&gt;"",$Y722&lt;&gt;""),$Y722-$W722,"")</f>
        <v/>
      </c>
      <c r="AI722" s="53" t="str">
        <f aca="false">IF(AND($X722&lt;&gt;"",$Y722&lt;&gt;""),$Y722-$X722,"")</f>
        <v/>
      </c>
      <c r="AJ722" s="53" t="str">
        <f aca="false">IF($E722&lt;&gt;"",$E722,"")</f>
        <v/>
      </c>
      <c r="AK722" s="52" t="str">
        <f aca="false">IF($F722&lt;&gt;"",$F722,"")</f>
        <v>Apprenant 710 ou 710'</v>
      </c>
      <c r="AL722" s="53" t="str">
        <f aca="false">IF(AND($AB722&lt;&gt;"",$AC722&lt;&gt;""),$AC722-$AB722,"")</f>
        <v/>
      </c>
      <c r="AM722" s="53" t="str">
        <f aca="false">IF(AND($AB722&lt;&gt;"",$AD722&lt;&gt;""),$AD722-$AB722,"")</f>
        <v/>
      </c>
      <c r="AN722" s="53" t="str">
        <f aca="false">IF(AND($AC722&lt;&gt;"",$AD722&lt;&gt;""),$AD722-$AC722,"")</f>
        <v/>
      </c>
      <c r="AO722" s="53" t="str">
        <f aca="false">IF($J722&lt;&gt;"",$J722,"")</f>
        <v/>
      </c>
      <c r="AQ722" s="52" t="str">
        <f aca="false">IF($A722&lt;&gt;"",$A722,"")</f>
        <v>Apprenant 710</v>
      </c>
      <c r="AR722" s="55" t="str">
        <f aca="false">IF(AND('Choix pédagogiques'!$C$4&lt;&gt;"?",'Choix pédagogiques'!$C$5&lt;&gt;"?",W722&lt;&gt;""),(W722-'Choix pédagogiques'!$C$4)/('Choix pédagogiques'!$C$5-'Choix pédagogiques'!$C$4),"")</f>
        <v/>
      </c>
      <c r="AS722" s="55" t="str">
        <f aca="false">IF(AND('Choix pédagogiques'!$C$4&lt;&gt;"?",'Choix pédagogiques'!$C$5&lt;&gt;"?",X722&lt;&gt;""),(X722-'Choix pédagogiques'!$C$4)/('Choix pédagogiques'!$C$5-'Choix pédagogiques'!$C$4),"")</f>
        <v/>
      </c>
      <c r="AT722" s="55" t="str">
        <f aca="false">IF(AND('Choix pédagogiques'!$C$4&lt;&gt;"?",'Choix pédagogiques'!$C$5&lt;&gt;"?",Y722&lt;&gt;""),(Y722-'Choix pédagogiques'!$C$4)/('Choix pédagogiques'!$C$5-'Choix pédagogiques'!$C$4),"")</f>
        <v/>
      </c>
      <c r="AU722" s="53" t="str">
        <f aca="false">IF($E722&lt;&gt;"",$E722,"")</f>
        <v/>
      </c>
      <c r="AV722" s="52" t="str">
        <f aca="false">IF($F722&lt;&gt;"",$F722,"")</f>
        <v>Apprenant 710 ou 710'</v>
      </c>
      <c r="AW722" s="55" t="str">
        <f aca="false">IF(AND('Choix pédagogiques'!$C$4&lt;&gt;"?",'Choix pédagogiques'!$C$5&lt;&gt;"?",AB722&lt;&gt;""),(AB722-'Choix pédagogiques'!$C$4)/('Choix pédagogiques'!$C$5-'Choix pédagogiques'!$C$4),"")</f>
        <v/>
      </c>
      <c r="AX722" s="55" t="str">
        <f aca="false">IF(AND('Choix pédagogiques'!$C$4&lt;&gt;"?",'Choix pédagogiques'!$C$5&lt;&gt;"?",AC722&lt;&gt;""),(AC722-'Choix pédagogiques'!$C$4)/('Choix pédagogiques'!$C$5-'Choix pédagogiques'!$C$4),"")</f>
        <v/>
      </c>
      <c r="AY722" s="55" t="str">
        <f aca="false">IF(AND('Choix pédagogiques'!$C$4&lt;&gt;"?",'Choix pédagogiques'!$C$5&lt;&gt;"?",AD722&lt;&gt;""),(AD722-'Choix pédagogiques'!$C$4)/('Choix pédagogiques'!$C$5-'Choix pédagogiques'!$C$4),"")</f>
        <v/>
      </c>
      <c r="AZ722" s="53" t="str">
        <f aca="false">IF($J722&lt;&gt;"",$J722,"")</f>
        <v/>
      </c>
      <c r="BA722" s="52" t="str">
        <f aca="false">IF($A722&lt;&gt;"",$A722,"")</f>
        <v>Apprenant 710</v>
      </c>
      <c r="BB722" s="55" t="str">
        <f aca="false">IF(AND($AR722&lt;&gt;"",$AS722&lt;&gt;""),$AS722-$AR722,"")</f>
        <v/>
      </c>
      <c r="BC722" s="55" t="str">
        <f aca="false">IF(AND($AR722&lt;&gt;"",$AT722&lt;&gt;""),$AT722-$AR722,"")</f>
        <v/>
      </c>
      <c r="BD722" s="55" t="str">
        <f aca="false">IF(AND($AS722&lt;&gt;"",$AT722&lt;&gt;""),$AT722-$AS722,"")</f>
        <v/>
      </c>
      <c r="BE722" s="53" t="str">
        <f aca="false">IF($E722&lt;&gt;"",$E722,"")</f>
        <v/>
      </c>
      <c r="BF722" s="52" t="str">
        <f aca="false">IF($F722&lt;&gt;"",$F722,"")</f>
        <v>Apprenant 710 ou 710'</v>
      </c>
      <c r="BG722" s="55" t="str">
        <f aca="false">IF(AND($AW722&lt;&gt;"",$AX722&lt;&gt;""),$AX722-$AW722,"")</f>
        <v/>
      </c>
      <c r="BH722" s="55" t="str">
        <f aca="false">IF(AND($AW722&lt;&gt;"",$AY722&lt;&gt;""),$AY722-$AW722,"")</f>
        <v/>
      </c>
      <c r="BI722" s="55" t="str">
        <f aca="false">IF(AND($AX722&lt;&gt;"",$AY722&lt;&gt;""),$AY722-$AX722,"")</f>
        <v/>
      </c>
      <c r="BJ722" s="53" t="str">
        <f aca="false">IF($J722&lt;&gt;"",$J722,"")</f>
        <v/>
      </c>
      <c r="BL722" s="52"/>
      <c r="BM722" s="52" t="str">
        <f aca="false">IF(OR(COUNT(B722:D1721)=0,AND('Choix pédagogiques'!$C$3&lt;&gt;1,'Choix pédagogiques'!$C$3&lt;&gt;2)),"",IF(AND(OR('Choix pédagogiques'!$C$3=1,'Choix pédagogiques'!$C$3=2),$B722&lt;&gt;"",$C722&lt;&gt;"",$D722&lt;&gt;""),1,0))</f>
        <v/>
      </c>
      <c r="BN722" s="52" t="str">
        <f aca="false">IF(OR(COUNT(G722:I1721)=0,AND('Choix pédagogiques'!$C$3&lt;&gt;1,'Choix pédagogiques'!$C$3&lt;&gt;2)),"",IF(AND(OR('Choix pédagogiques'!$C$3=1,'Choix pédagogiques'!$C$3=2),AND($G722&lt;&gt;"",$H722&lt;&gt;"",$I722&lt;&gt;"")),1,0))</f>
        <v/>
      </c>
      <c r="BO722" s="52" t="str">
        <f aca="false">IF(OR(COUNT(B722:D1721)=0,COUNT(G722:I1721)=0,'Choix pédagogiques'!C$3&lt;&gt;3),"",IF(AND('Choix pédagogiques'!$C$3=3,$B722&lt;&gt;"",$C722&lt;&gt;"",$D722&lt;&gt;"",$G722&lt;&gt;"",$H722&lt;&gt;"",$I722&lt;&gt;""),1,0))</f>
        <v/>
      </c>
      <c r="BR722" s="52" t="n">
        <v>312</v>
      </c>
      <c r="BS722" s="52" t="n">
        <v>1997</v>
      </c>
    </row>
    <row r="723" s="54" customFormat="true" ht="18" hidden="false" customHeight="true" outlineLevel="0" collapsed="false">
      <c r="A723" s="57" t="s">
        <v>1377</v>
      </c>
      <c r="B723" s="51"/>
      <c r="C723" s="51"/>
      <c r="D723" s="51"/>
      <c r="E723" s="51"/>
      <c r="F723" s="57" t="s">
        <v>1378</v>
      </c>
      <c r="G723" s="51"/>
      <c r="H723" s="51"/>
      <c r="I723" s="51"/>
      <c r="J723" s="51"/>
      <c r="K723" s="52" t="str">
        <f aca="false">IF($A723&lt;&gt;"",$A723,"")</f>
        <v>Apprenant 711</v>
      </c>
      <c r="L723" s="53" t="str">
        <f aca="false">IF(AND($B723&lt;&gt;"",$C723&lt;&gt;""),$C723-$B723,"")</f>
        <v/>
      </c>
      <c r="M723" s="53" t="str">
        <f aca="false">IF(AND($B723&lt;&gt;"",$D723&lt;&gt;""),$D723-$B723,"")</f>
        <v/>
      </c>
      <c r="N723" s="53" t="str">
        <f aca="false">IF(AND($C723&lt;&gt;"",$D723&lt;&gt;""),$D723-$C723,"")</f>
        <v/>
      </c>
      <c r="O723" s="53" t="str">
        <f aca="false">IF($E723&lt;&gt;"",$E723,"")</f>
        <v/>
      </c>
      <c r="P723" s="52" t="str">
        <f aca="false">IF($F723&lt;&gt;"",$F723,"")</f>
        <v>Apprenant 711 ou 711'</v>
      </c>
      <c r="Q723" s="53" t="str">
        <f aca="false">IF(AND($G723&lt;&gt;"",$H723&lt;&gt;""),$H723-$G723,"")</f>
        <v/>
      </c>
      <c r="R723" s="53" t="str">
        <f aca="false">IF(AND($G723&lt;&gt;"",$I723&lt;&gt;""),$I723-$G723,"")</f>
        <v/>
      </c>
      <c r="S723" s="53" t="str">
        <f aca="false">IF(AND($H723&lt;&gt;"",$I723&lt;&gt;""),$I723-$H723,"")</f>
        <v/>
      </c>
      <c r="T723" s="53" t="str">
        <f aca="false">IF($J723&lt;&gt;"",$J723,"")</f>
        <v/>
      </c>
      <c r="V723" s="52" t="str">
        <f aca="false">IF($A723&lt;&gt;"",$A723,"")</f>
        <v>Apprenant 711</v>
      </c>
      <c r="W723" s="53" t="str">
        <f aca="false">IF(AND(OR('Choix pédagogiques'!$C$3=1,'Choix pédagogiques'!$C$3=2),$BM723=1),B723,IF(AND('Choix pédagogiques'!$C$3=3,$BO723=1),B723,""))</f>
        <v/>
      </c>
      <c r="X723" s="53" t="str">
        <f aca="false">IF(AND(OR('Choix pédagogiques'!$C$3=1,'Choix pédagogiques'!$C$3=2),$BM723=1),C723,IF(AND('Choix pédagogiques'!$C$3=3,$BO723=1),C723,""))</f>
        <v/>
      </c>
      <c r="Y723" s="53" t="str">
        <f aca="false">IF(AND(OR('Choix pédagogiques'!$C$3=1,'Choix pédagogiques'!$C$3=2),$BM723=1),D723,IF(AND('Choix pédagogiques'!$C$3=3,$BO723=1),D723,""))</f>
        <v/>
      </c>
      <c r="Z723" s="53" t="str">
        <f aca="false">IF($E723&lt;&gt;"",$E723,"")</f>
        <v/>
      </c>
      <c r="AA723" s="52" t="str">
        <f aca="false">IF($F723&lt;&gt;"",$F723,"")</f>
        <v>Apprenant 711 ou 711'</v>
      </c>
      <c r="AB723" s="53" t="str">
        <f aca="false">IF(AND(OR('Choix pédagogiques'!$C$3=1,'Choix pédagogiques'!$C$3=2),$BN723=1),G723,IF(AND('Choix pédagogiques'!$C$3=3,$BO723=1),G723,""))</f>
        <v/>
      </c>
      <c r="AC723" s="53" t="str">
        <f aca="false">IF(AND(OR('Choix pédagogiques'!$C$3=1,'Choix pédagogiques'!$C$3=2),$BN723=1),H723,IF(AND('Choix pédagogiques'!$C$3=3,$BO723=1),H723,""))</f>
        <v/>
      </c>
      <c r="AD723" s="53" t="str">
        <f aca="false">IF(AND(OR('Choix pédagogiques'!$C$3=1,'Choix pédagogiques'!$C$3=2),$BN723=1),I723,IF(AND('Choix pédagogiques'!$C$3=3,$BO723=1),I723,""))</f>
        <v/>
      </c>
      <c r="AE723" s="53" t="str">
        <f aca="false">IF($J723&lt;&gt;"",$J723,"")</f>
        <v/>
      </c>
      <c r="AF723" s="52" t="str">
        <f aca="false">IF($A723&lt;&gt;"",$A723,"")</f>
        <v>Apprenant 711</v>
      </c>
      <c r="AG723" s="53" t="str">
        <f aca="false">IF(AND($W723&lt;&gt;"",$X723&lt;&gt;""),$X723-$W723,"")</f>
        <v/>
      </c>
      <c r="AH723" s="53" t="str">
        <f aca="false">IF(AND($W723&lt;&gt;"",$Y723&lt;&gt;""),$Y723-$W723,"")</f>
        <v/>
      </c>
      <c r="AI723" s="53" t="str">
        <f aca="false">IF(AND($X723&lt;&gt;"",$Y723&lt;&gt;""),$Y723-$X723,"")</f>
        <v/>
      </c>
      <c r="AJ723" s="53" t="str">
        <f aca="false">IF($E723&lt;&gt;"",$E723,"")</f>
        <v/>
      </c>
      <c r="AK723" s="52" t="str">
        <f aca="false">IF($F723&lt;&gt;"",$F723,"")</f>
        <v>Apprenant 711 ou 711'</v>
      </c>
      <c r="AL723" s="53" t="str">
        <f aca="false">IF(AND($AB723&lt;&gt;"",$AC723&lt;&gt;""),$AC723-$AB723,"")</f>
        <v/>
      </c>
      <c r="AM723" s="53" t="str">
        <f aca="false">IF(AND($AB723&lt;&gt;"",$AD723&lt;&gt;""),$AD723-$AB723,"")</f>
        <v/>
      </c>
      <c r="AN723" s="53" t="str">
        <f aca="false">IF(AND($AC723&lt;&gt;"",$AD723&lt;&gt;""),$AD723-$AC723,"")</f>
        <v/>
      </c>
      <c r="AO723" s="53" t="str">
        <f aca="false">IF($J723&lt;&gt;"",$J723,"")</f>
        <v/>
      </c>
      <c r="AQ723" s="52" t="str">
        <f aca="false">IF($A723&lt;&gt;"",$A723,"")</f>
        <v>Apprenant 711</v>
      </c>
      <c r="AR723" s="55" t="str">
        <f aca="false">IF(AND('Choix pédagogiques'!$C$4&lt;&gt;"?",'Choix pédagogiques'!$C$5&lt;&gt;"?",W723&lt;&gt;""),(W723-'Choix pédagogiques'!$C$4)/('Choix pédagogiques'!$C$5-'Choix pédagogiques'!$C$4),"")</f>
        <v/>
      </c>
      <c r="AS723" s="55" t="str">
        <f aca="false">IF(AND('Choix pédagogiques'!$C$4&lt;&gt;"?",'Choix pédagogiques'!$C$5&lt;&gt;"?",X723&lt;&gt;""),(X723-'Choix pédagogiques'!$C$4)/('Choix pédagogiques'!$C$5-'Choix pédagogiques'!$C$4),"")</f>
        <v/>
      </c>
      <c r="AT723" s="55" t="str">
        <f aca="false">IF(AND('Choix pédagogiques'!$C$4&lt;&gt;"?",'Choix pédagogiques'!$C$5&lt;&gt;"?",Y723&lt;&gt;""),(Y723-'Choix pédagogiques'!$C$4)/('Choix pédagogiques'!$C$5-'Choix pédagogiques'!$C$4),"")</f>
        <v/>
      </c>
      <c r="AU723" s="53" t="str">
        <f aca="false">IF($E723&lt;&gt;"",$E723,"")</f>
        <v/>
      </c>
      <c r="AV723" s="52" t="str">
        <f aca="false">IF($F723&lt;&gt;"",$F723,"")</f>
        <v>Apprenant 711 ou 711'</v>
      </c>
      <c r="AW723" s="55" t="str">
        <f aca="false">IF(AND('Choix pédagogiques'!$C$4&lt;&gt;"?",'Choix pédagogiques'!$C$5&lt;&gt;"?",AB723&lt;&gt;""),(AB723-'Choix pédagogiques'!$C$4)/('Choix pédagogiques'!$C$5-'Choix pédagogiques'!$C$4),"")</f>
        <v/>
      </c>
      <c r="AX723" s="55" t="str">
        <f aca="false">IF(AND('Choix pédagogiques'!$C$4&lt;&gt;"?",'Choix pédagogiques'!$C$5&lt;&gt;"?",AC723&lt;&gt;""),(AC723-'Choix pédagogiques'!$C$4)/('Choix pédagogiques'!$C$5-'Choix pédagogiques'!$C$4),"")</f>
        <v/>
      </c>
      <c r="AY723" s="55" t="str">
        <f aca="false">IF(AND('Choix pédagogiques'!$C$4&lt;&gt;"?",'Choix pédagogiques'!$C$5&lt;&gt;"?",AD723&lt;&gt;""),(AD723-'Choix pédagogiques'!$C$4)/('Choix pédagogiques'!$C$5-'Choix pédagogiques'!$C$4),"")</f>
        <v/>
      </c>
      <c r="AZ723" s="53" t="str">
        <f aca="false">IF($J723&lt;&gt;"",$J723,"")</f>
        <v/>
      </c>
      <c r="BA723" s="52" t="str">
        <f aca="false">IF($A723&lt;&gt;"",$A723,"")</f>
        <v>Apprenant 711</v>
      </c>
      <c r="BB723" s="55" t="str">
        <f aca="false">IF(AND($AR723&lt;&gt;"",$AS723&lt;&gt;""),$AS723-$AR723,"")</f>
        <v/>
      </c>
      <c r="BC723" s="55" t="str">
        <f aca="false">IF(AND($AR723&lt;&gt;"",$AT723&lt;&gt;""),$AT723-$AR723,"")</f>
        <v/>
      </c>
      <c r="BD723" s="55" t="str">
        <f aca="false">IF(AND($AS723&lt;&gt;"",$AT723&lt;&gt;""),$AT723-$AS723,"")</f>
        <v/>
      </c>
      <c r="BE723" s="53" t="str">
        <f aca="false">IF($E723&lt;&gt;"",$E723,"")</f>
        <v/>
      </c>
      <c r="BF723" s="52" t="str">
        <f aca="false">IF($F723&lt;&gt;"",$F723,"")</f>
        <v>Apprenant 711 ou 711'</v>
      </c>
      <c r="BG723" s="55" t="str">
        <f aca="false">IF(AND($AW723&lt;&gt;"",$AX723&lt;&gt;""),$AX723-$AW723,"")</f>
        <v/>
      </c>
      <c r="BH723" s="55" t="str">
        <f aca="false">IF(AND($AW723&lt;&gt;"",$AY723&lt;&gt;""),$AY723-$AW723,"")</f>
        <v/>
      </c>
      <c r="BI723" s="55" t="str">
        <f aca="false">IF(AND($AX723&lt;&gt;"",$AY723&lt;&gt;""),$AY723-$AX723,"")</f>
        <v/>
      </c>
      <c r="BJ723" s="53" t="str">
        <f aca="false">IF($J723&lt;&gt;"",$J723,"")</f>
        <v/>
      </c>
      <c r="BL723" s="52"/>
      <c r="BM723" s="52" t="str">
        <f aca="false">IF(OR(COUNT(B723:D1722)=0,AND('Choix pédagogiques'!$C$3&lt;&gt;1,'Choix pédagogiques'!$C$3&lt;&gt;2)),"",IF(AND(OR('Choix pédagogiques'!$C$3=1,'Choix pédagogiques'!$C$3=2),$B723&lt;&gt;"",$C723&lt;&gt;"",$D723&lt;&gt;""),1,0))</f>
        <v/>
      </c>
      <c r="BN723" s="52" t="str">
        <f aca="false">IF(OR(COUNT(G723:I1722)=0,AND('Choix pédagogiques'!$C$3&lt;&gt;1,'Choix pédagogiques'!$C$3&lt;&gt;2)),"",IF(AND(OR('Choix pédagogiques'!$C$3=1,'Choix pédagogiques'!$C$3=2),AND($G723&lt;&gt;"",$H723&lt;&gt;"",$I723&lt;&gt;"")),1,0))</f>
        <v/>
      </c>
      <c r="BO723" s="52" t="str">
        <f aca="false">IF(OR(COUNT(B723:D1722)=0,COUNT(G723:I1722)=0,'Choix pédagogiques'!C$3&lt;&gt;3),"",IF(AND('Choix pédagogiques'!$C$3=3,$B723&lt;&gt;"",$C723&lt;&gt;"",$D723&lt;&gt;"",$G723&lt;&gt;"",$H723&lt;&gt;"",$I723&lt;&gt;""),1,0))</f>
        <v/>
      </c>
      <c r="BR723" s="52" t="n">
        <v>971</v>
      </c>
      <c r="BS723" s="52" t="n">
        <v>1659</v>
      </c>
    </row>
    <row r="724" s="54" customFormat="true" ht="18" hidden="false" customHeight="true" outlineLevel="0" collapsed="false">
      <c r="A724" s="57" t="s">
        <v>1379</v>
      </c>
      <c r="B724" s="51"/>
      <c r="C724" s="51"/>
      <c r="D724" s="51"/>
      <c r="E724" s="51"/>
      <c r="F724" s="57" t="s">
        <v>1380</v>
      </c>
      <c r="G724" s="51"/>
      <c r="H724" s="51"/>
      <c r="I724" s="51"/>
      <c r="J724" s="51"/>
      <c r="K724" s="52" t="str">
        <f aca="false">IF($A724&lt;&gt;"",$A724,"")</f>
        <v>Apprenant 712</v>
      </c>
      <c r="L724" s="53" t="str">
        <f aca="false">IF(AND($B724&lt;&gt;"",$C724&lt;&gt;""),$C724-$B724,"")</f>
        <v/>
      </c>
      <c r="M724" s="53" t="str">
        <f aca="false">IF(AND($B724&lt;&gt;"",$D724&lt;&gt;""),$D724-$B724,"")</f>
        <v/>
      </c>
      <c r="N724" s="53" t="str">
        <f aca="false">IF(AND($C724&lt;&gt;"",$D724&lt;&gt;""),$D724-$C724,"")</f>
        <v/>
      </c>
      <c r="O724" s="53" t="str">
        <f aca="false">IF($E724&lt;&gt;"",$E724,"")</f>
        <v/>
      </c>
      <c r="P724" s="52" t="str">
        <f aca="false">IF($F724&lt;&gt;"",$F724,"")</f>
        <v>Apprenant 712 ou 712'</v>
      </c>
      <c r="Q724" s="53" t="str">
        <f aca="false">IF(AND($G724&lt;&gt;"",$H724&lt;&gt;""),$H724-$G724,"")</f>
        <v/>
      </c>
      <c r="R724" s="53" t="str">
        <f aca="false">IF(AND($G724&lt;&gt;"",$I724&lt;&gt;""),$I724-$G724,"")</f>
        <v/>
      </c>
      <c r="S724" s="53" t="str">
        <f aca="false">IF(AND($H724&lt;&gt;"",$I724&lt;&gt;""),$I724-$H724,"")</f>
        <v/>
      </c>
      <c r="T724" s="53" t="str">
        <f aca="false">IF($J724&lt;&gt;"",$J724,"")</f>
        <v/>
      </c>
      <c r="V724" s="52" t="str">
        <f aca="false">IF($A724&lt;&gt;"",$A724,"")</f>
        <v>Apprenant 712</v>
      </c>
      <c r="W724" s="53" t="str">
        <f aca="false">IF(AND(OR('Choix pédagogiques'!$C$3=1,'Choix pédagogiques'!$C$3=2),$BM724=1),B724,IF(AND('Choix pédagogiques'!$C$3=3,$BO724=1),B724,""))</f>
        <v/>
      </c>
      <c r="X724" s="53" t="str">
        <f aca="false">IF(AND(OR('Choix pédagogiques'!$C$3=1,'Choix pédagogiques'!$C$3=2),$BM724=1),C724,IF(AND('Choix pédagogiques'!$C$3=3,$BO724=1),C724,""))</f>
        <v/>
      </c>
      <c r="Y724" s="53" t="str">
        <f aca="false">IF(AND(OR('Choix pédagogiques'!$C$3=1,'Choix pédagogiques'!$C$3=2),$BM724=1),D724,IF(AND('Choix pédagogiques'!$C$3=3,$BO724=1),D724,""))</f>
        <v/>
      </c>
      <c r="Z724" s="53" t="str">
        <f aca="false">IF($E724&lt;&gt;"",$E724,"")</f>
        <v/>
      </c>
      <c r="AA724" s="52" t="str">
        <f aca="false">IF($F724&lt;&gt;"",$F724,"")</f>
        <v>Apprenant 712 ou 712'</v>
      </c>
      <c r="AB724" s="53" t="str">
        <f aca="false">IF(AND(OR('Choix pédagogiques'!$C$3=1,'Choix pédagogiques'!$C$3=2),$BN724=1),G724,IF(AND('Choix pédagogiques'!$C$3=3,$BO724=1),G724,""))</f>
        <v/>
      </c>
      <c r="AC724" s="53" t="str">
        <f aca="false">IF(AND(OR('Choix pédagogiques'!$C$3=1,'Choix pédagogiques'!$C$3=2),$BN724=1),H724,IF(AND('Choix pédagogiques'!$C$3=3,$BO724=1),H724,""))</f>
        <v/>
      </c>
      <c r="AD724" s="53" t="str">
        <f aca="false">IF(AND(OR('Choix pédagogiques'!$C$3=1,'Choix pédagogiques'!$C$3=2),$BN724=1),I724,IF(AND('Choix pédagogiques'!$C$3=3,$BO724=1),I724,""))</f>
        <v/>
      </c>
      <c r="AE724" s="53" t="str">
        <f aca="false">IF($J724&lt;&gt;"",$J724,"")</f>
        <v/>
      </c>
      <c r="AF724" s="52" t="str">
        <f aca="false">IF($A724&lt;&gt;"",$A724,"")</f>
        <v>Apprenant 712</v>
      </c>
      <c r="AG724" s="53" t="str">
        <f aca="false">IF(AND($W724&lt;&gt;"",$X724&lt;&gt;""),$X724-$W724,"")</f>
        <v/>
      </c>
      <c r="AH724" s="53" t="str">
        <f aca="false">IF(AND($W724&lt;&gt;"",$Y724&lt;&gt;""),$Y724-$W724,"")</f>
        <v/>
      </c>
      <c r="AI724" s="53" t="str">
        <f aca="false">IF(AND($X724&lt;&gt;"",$Y724&lt;&gt;""),$Y724-$X724,"")</f>
        <v/>
      </c>
      <c r="AJ724" s="53" t="str">
        <f aca="false">IF($E724&lt;&gt;"",$E724,"")</f>
        <v/>
      </c>
      <c r="AK724" s="52" t="str">
        <f aca="false">IF($F724&lt;&gt;"",$F724,"")</f>
        <v>Apprenant 712 ou 712'</v>
      </c>
      <c r="AL724" s="53" t="str">
        <f aca="false">IF(AND($AB724&lt;&gt;"",$AC724&lt;&gt;""),$AC724-$AB724,"")</f>
        <v/>
      </c>
      <c r="AM724" s="53" t="str">
        <f aca="false">IF(AND($AB724&lt;&gt;"",$AD724&lt;&gt;""),$AD724-$AB724,"")</f>
        <v/>
      </c>
      <c r="AN724" s="53" t="str">
        <f aca="false">IF(AND($AC724&lt;&gt;"",$AD724&lt;&gt;""),$AD724-$AC724,"")</f>
        <v/>
      </c>
      <c r="AO724" s="53" t="str">
        <f aca="false">IF($J724&lt;&gt;"",$J724,"")</f>
        <v/>
      </c>
      <c r="AQ724" s="52" t="str">
        <f aca="false">IF($A724&lt;&gt;"",$A724,"")</f>
        <v>Apprenant 712</v>
      </c>
      <c r="AR724" s="55" t="str">
        <f aca="false">IF(AND('Choix pédagogiques'!$C$4&lt;&gt;"?",'Choix pédagogiques'!$C$5&lt;&gt;"?",W724&lt;&gt;""),(W724-'Choix pédagogiques'!$C$4)/('Choix pédagogiques'!$C$5-'Choix pédagogiques'!$C$4),"")</f>
        <v/>
      </c>
      <c r="AS724" s="55" t="str">
        <f aca="false">IF(AND('Choix pédagogiques'!$C$4&lt;&gt;"?",'Choix pédagogiques'!$C$5&lt;&gt;"?",X724&lt;&gt;""),(X724-'Choix pédagogiques'!$C$4)/('Choix pédagogiques'!$C$5-'Choix pédagogiques'!$C$4),"")</f>
        <v/>
      </c>
      <c r="AT724" s="55" t="str">
        <f aca="false">IF(AND('Choix pédagogiques'!$C$4&lt;&gt;"?",'Choix pédagogiques'!$C$5&lt;&gt;"?",Y724&lt;&gt;""),(Y724-'Choix pédagogiques'!$C$4)/('Choix pédagogiques'!$C$5-'Choix pédagogiques'!$C$4),"")</f>
        <v/>
      </c>
      <c r="AU724" s="53" t="str">
        <f aca="false">IF($E724&lt;&gt;"",$E724,"")</f>
        <v/>
      </c>
      <c r="AV724" s="52" t="str">
        <f aca="false">IF($F724&lt;&gt;"",$F724,"")</f>
        <v>Apprenant 712 ou 712'</v>
      </c>
      <c r="AW724" s="55" t="str">
        <f aca="false">IF(AND('Choix pédagogiques'!$C$4&lt;&gt;"?",'Choix pédagogiques'!$C$5&lt;&gt;"?",AB724&lt;&gt;""),(AB724-'Choix pédagogiques'!$C$4)/('Choix pédagogiques'!$C$5-'Choix pédagogiques'!$C$4),"")</f>
        <v/>
      </c>
      <c r="AX724" s="55" t="str">
        <f aca="false">IF(AND('Choix pédagogiques'!$C$4&lt;&gt;"?",'Choix pédagogiques'!$C$5&lt;&gt;"?",AC724&lt;&gt;""),(AC724-'Choix pédagogiques'!$C$4)/('Choix pédagogiques'!$C$5-'Choix pédagogiques'!$C$4),"")</f>
        <v/>
      </c>
      <c r="AY724" s="55" t="str">
        <f aca="false">IF(AND('Choix pédagogiques'!$C$4&lt;&gt;"?",'Choix pédagogiques'!$C$5&lt;&gt;"?",AD724&lt;&gt;""),(AD724-'Choix pédagogiques'!$C$4)/('Choix pédagogiques'!$C$5-'Choix pédagogiques'!$C$4),"")</f>
        <v/>
      </c>
      <c r="AZ724" s="53" t="str">
        <f aca="false">IF($J724&lt;&gt;"",$J724,"")</f>
        <v/>
      </c>
      <c r="BA724" s="52" t="str">
        <f aca="false">IF($A724&lt;&gt;"",$A724,"")</f>
        <v>Apprenant 712</v>
      </c>
      <c r="BB724" s="55" t="str">
        <f aca="false">IF(AND($AR724&lt;&gt;"",$AS724&lt;&gt;""),$AS724-$AR724,"")</f>
        <v/>
      </c>
      <c r="BC724" s="55" t="str">
        <f aca="false">IF(AND($AR724&lt;&gt;"",$AT724&lt;&gt;""),$AT724-$AR724,"")</f>
        <v/>
      </c>
      <c r="BD724" s="55" t="str">
        <f aca="false">IF(AND($AS724&lt;&gt;"",$AT724&lt;&gt;""),$AT724-$AS724,"")</f>
        <v/>
      </c>
      <c r="BE724" s="53" t="str">
        <f aca="false">IF($E724&lt;&gt;"",$E724,"")</f>
        <v/>
      </c>
      <c r="BF724" s="52" t="str">
        <f aca="false">IF($F724&lt;&gt;"",$F724,"")</f>
        <v>Apprenant 712 ou 712'</v>
      </c>
      <c r="BG724" s="55" t="str">
        <f aca="false">IF(AND($AW724&lt;&gt;"",$AX724&lt;&gt;""),$AX724-$AW724,"")</f>
        <v/>
      </c>
      <c r="BH724" s="55" t="str">
        <f aca="false">IF(AND($AW724&lt;&gt;"",$AY724&lt;&gt;""),$AY724-$AW724,"")</f>
        <v/>
      </c>
      <c r="BI724" s="55" t="str">
        <f aca="false">IF(AND($AX724&lt;&gt;"",$AY724&lt;&gt;""),$AY724-$AX724,"")</f>
        <v/>
      </c>
      <c r="BJ724" s="53" t="str">
        <f aca="false">IF($J724&lt;&gt;"",$J724,"")</f>
        <v/>
      </c>
      <c r="BL724" s="52"/>
      <c r="BM724" s="52" t="str">
        <f aca="false">IF(OR(COUNT(B724:D1723)=0,AND('Choix pédagogiques'!$C$3&lt;&gt;1,'Choix pédagogiques'!$C$3&lt;&gt;2)),"",IF(AND(OR('Choix pédagogiques'!$C$3=1,'Choix pédagogiques'!$C$3=2),$B724&lt;&gt;"",$C724&lt;&gt;"",$D724&lt;&gt;""),1,0))</f>
        <v/>
      </c>
      <c r="BN724" s="52" t="str">
        <f aca="false">IF(OR(COUNT(G724:I1723)=0,AND('Choix pédagogiques'!$C$3&lt;&gt;1,'Choix pédagogiques'!$C$3&lt;&gt;2)),"",IF(AND(OR('Choix pédagogiques'!$C$3=1,'Choix pédagogiques'!$C$3=2),AND($G724&lt;&gt;"",$H724&lt;&gt;"",$I724&lt;&gt;"")),1,0))</f>
        <v/>
      </c>
      <c r="BO724" s="52" t="str">
        <f aca="false">IF(OR(COUNT(B724:D1723)=0,COUNT(G724:I1723)=0,'Choix pédagogiques'!C$3&lt;&gt;3),"",IF(AND('Choix pédagogiques'!$C$3=3,$B724&lt;&gt;"",$C724&lt;&gt;"",$D724&lt;&gt;"",$G724&lt;&gt;"",$H724&lt;&gt;"",$I724&lt;&gt;""),1,0))</f>
        <v/>
      </c>
      <c r="BR724" s="52" t="n">
        <v>327</v>
      </c>
      <c r="BS724" s="52" t="n">
        <v>1120</v>
      </c>
    </row>
    <row r="725" s="54" customFormat="true" ht="18" hidden="false" customHeight="true" outlineLevel="0" collapsed="false">
      <c r="A725" s="57" t="s">
        <v>1381</v>
      </c>
      <c r="B725" s="51"/>
      <c r="C725" s="51"/>
      <c r="D725" s="51"/>
      <c r="E725" s="51"/>
      <c r="F725" s="57" t="s">
        <v>1382</v>
      </c>
      <c r="G725" s="51"/>
      <c r="H725" s="51"/>
      <c r="I725" s="51"/>
      <c r="J725" s="51"/>
      <c r="K725" s="52" t="str">
        <f aca="false">IF($A725&lt;&gt;"",$A725,"")</f>
        <v>Apprenant 713</v>
      </c>
      <c r="L725" s="53" t="str">
        <f aca="false">IF(AND($B725&lt;&gt;"",$C725&lt;&gt;""),$C725-$B725,"")</f>
        <v/>
      </c>
      <c r="M725" s="53" t="str">
        <f aca="false">IF(AND($B725&lt;&gt;"",$D725&lt;&gt;""),$D725-$B725,"")</f>
        <v/>
      </c>
      <c r="N725" s="53" t="str">
        <f aca="false">IF(AND($C725&lt;&gt;"",$D725&lt;&gt;""),$D725-$C725,"")</f>
        <v/>
      </c>
      <c r="O725" s="53" t="str">
        <f aca="false">IF($E725&lt;&gt;"",$E725,"")</f>
        <v/>
      </c>
      <c r="P725" s="52" t="str">
        <f aca="false">IF($F725&lt;&gt;"",$F725,"")</f>
        <v>Apprenant 713 ou 713'</v>
      </c>
      <c r="Q725" s="53" t="str">
        <f aca="false">IF(AND($G725&lt;&gt;"",$H725&lt;&gt;""),$H725-$G725,"")</f>
        <v/>
      </c>
      <c r="R725" s="53" t="str">
        <f aca="false">IF(AND($G725&lt;&gt;"",$I725&lt;&gt;""),$I725-$G725,"")</f>
        <v/>
      </c>
      <c r="S725" s="53" t="str">
        <f aca="false">IF(AND($H725&lt;&gt;"",$I725&lt;&gt;""),$I725-$H725,"")</f>
        <v/>
      </c>
      <c r="T725" s="53" t="str">
        <f aca="false">IF($J725&lt;&gt;"",$J725,"")</f>
        <v/>
      </c>
      <c r="V725" s="52" t="str">
        <f aca="false">IF($A725&lt;&gt;"",$A725,"")</f>
        <v>Apprenant 713</v>
      </c>
      <c r="W725" s="53" t="str">
        <f aca="false">IF(AND(OR('Choix pédagogiques'!$C$3=1,'Choix pédagogiques'!$C$3=2),$BM725=1),B725,IF(AND('Choix pédagogiques'!$C$3=3,$BO725=1),B725,""))</f>
        <v/>
      </c>
      <c r="X725" s="53" t="str">
        <f aca="false">IF(AND(OR('Choix pédagogiques'!$C$3=1,'Choix pédagogiques'!$C$3=2),$BM725=1),C725,IF(AND('Choix pédagogiques'!$C$3=3,$BO725=1),C725,""))</f>
        <v/>
      </c>
      <c r="Y725" s="53" t="str">
        <f aca="false">IF(AND(OR('Choix pédagogiques'!$C$3=1,'Choix pédagogiques'!$C$3=2),$BM725=1),D725,IF(AND('Choix pédagogiques'!$C$3=3,$BO725=1),D725,""))</f>
        <v/>
      </c>
      <c r="Z725" s="53" t="str">
        <f aca="false">IF($E725&lt;&gt;"",$E725,"")</f>
        <v/>
      </c>
      <c r="AA725" s="52" t="str">
        <f aca="false">IF($F725&lt;&gt;"",$F725,"")</f>
        <v>Apprenant 713 ou 713'</v>
      </c>
      <c r="AB725" s="53" t="str">
        <f aca="false">IF(AND(OR('Choix pédagogiques'!$C$3=1,'Choix pédagogiques'!$C$3=2),$BN725=1),G725,IF(AND('Choix pédagogiques'!$C$3=3,$BO725=1),G725,""))</f>
        <v/>
      </c>
      <c r="AC725" s="53" t="str">
        <f aca="false">IF(AND(OR('Choix pédagogiques'!$C$3=1,'Choix pédagogiques'!$C$3=2),$BN725=1),H725,IF(AND('Choix pédagogiques'!$C$3=3,$BO725=1),H725,""))</f>
        <v/>
      </c>
      <c r="AD725" s="53" t="str">
        <f aca="false">IF(AND(OR('Choix pédagogiques'!$C$3=1,'Choix pédagogiques'!$C$3=2),$BN725=1),I725,IF(AND('Choix pédagogiques'!$C$3=3,$BO725=1),I725,""))</f>
        <v/>
      </c>
      <c r="AE725" s="53" t="str">
        <f aca="false">IF($J725&lt;&gt;"",$J725,"")</f>
        <v/>
      </c>
      <c r="AF725" s="52" t="str">
        <f aca="false">IF($A725&lt;&gt;"",$A725,"")</f>
        <v>Apprenant 713</v>
      </c>
      <c r="AG725" s="53" t="str">
        <f aca="false">IF(AND($W725&lt;&gt;"",$X725&lt;&gt;""),$X725-$W725,"")</f>
        <v/>
      </c>
      <c r="AH725" s="53" t="str">
        <f aca="false">IF(AND($W725&lt;&gt;"",$Y725&lt;&gt;""),$Y725-$W725,"")</f>
        <v/>
      </c>
      <c r="AI725" s="53" t="str">
        <f aca="false">IF(AND($X725&lt;&gt;"",$Y725&lt;&gt;""),$Y725-$X725,"")</f>
        <v/>
      </c>
      <c r="AJ725" s="53" t="str">
        <f aca="false">IF($E725&lt;&gt;"",$E725,"")</f>
        <v/>
      </c>
      <c r="AK725" s="52" t="str">
        <f aca="false">IF($F725&lt;&gt;"",$F725,"")</f>
        <v>Apprenant 713 ou 713'</v>
      </c>
      <c r="AL725" s="53" t="str">
        <f aca="false">IF(AND($AB725&lt;&gt;"",$AC725&lt;&gt;""),$AC725-$AB725,"")</f>
        <v/>
      </c>
      <c r="AM725" s="53" t="str">
        <f aca="false">IF(AND($AB725&lt;&gt;"",$AD725&lt;&gt;""),$AD725-$AB725,"")</f>
        <v/>
      </c>
      <c r="AN725" s="53" t="str">
        <f aca="false">IF(AND($AC725&lt;&gt;"",$AD725&lt;&gt;""),$AD725-$AC725,"")</f>
        <v/>
      </c>
      <c r="AO725" s="53" t="str">
        <f aca="false">IF($J725&lt;&gt;"",$J725,"")</f>
        <v/>
      </c>
      <c r="AQ725" s="52" t="str">
        <f aca="false">IF($A725&lt;&gt;"",$A725,"")</f>
        <v>Apprenant 713</v>
      </c>
      <c r="AR725" s="55" t="str">
        <f aca="false">IF(AND('Choix pédagogiques'!$C$4&lt;&gt;"?",'Choix pédagogiques'!$C$5&lt;&gt;"?",W725&lt;&gt;""),(W725-'Choix pédagogiques'!$C$4)/('Choix pédagogiques'!$C$5-'Choix pédagogiques'!$C$4),"")</f>
        <v/>
      </c>
      <c r="AS725" s="55" t="str">
        <f aca="false">IF(AND('Choix pédagogiques'!$C$4&lt;&gt;"?",'Choix pédagogiques'!$C$5&lt;&gt;"?",X725&lt;&gt;""),(X725-'Choix pédagogiques'!$C$4)/('Choix pédagogiques'!$C$5-'Choix pédagogiques'!$C$4),"")</f>
        <v/>
      </c>
      <c r="AT725" s="55" t="str">
        <f aca="false">IF(AND('Choix pédagogiques'!$C$4&lt;&gt;"?",'Choix pédagogiques'!$C$5&lt;&gt;"?",Y725&lt;&gt;""),(Y725-'Choix pédagogiques'!$C$4)/('Choix pédagogiques'!$C$5-'Choix pédagogiques'!$C$4),"")</f>
        <v/>
      </c>
      <c r="AU725" s="53" t="str">
        <f aca="false">IF($E725&lt;&gt;"",$E725,"")</f>
        <v/>
      </c>
      <c r="AV725" s="52" t="str">
        <f aca="false">IF($F725&lt;&gt;"",$F725,"")</f>
        <v>Apprenant 713 ou 713'</v>
      </c>
      <c r="AW725" s="55" t="str">
        <f aca="false">IF(AND('Choix pédagogiques'!$C$4&lt;&gt;"?",'Choix pédagogiques'!$C$5&lt;&gt;"?",AB725&lt;&gt;""),(AB725-'Choix pédagogiques'!$C$4)/('Choix pédagogiques'!$C$5-'Choix pédagogiques'!$C$4),"")</f>
        <v/>
      </c>
      <c r="AX725" s="55" t="str">
        <f aca="false">IF(AND('Choix pédagogiques'!$C$4&lt;&gt;"?",'Choix pédagogiques'!$C$5&lt;&gt;"?",AC725&lt;&gt;""),(AC725-'Choix pédagogiques'!$C$4)/('Choix pédagogiques'!$C$5-'Choix pédagogiques'!$C$4),"")</f>
        <v/>
      </c>
      <c r="AY725" s="55" t="str">
        <f aca="false">IF(AND('Choix pédagogiques'!$C$4&lt;&gt;"?",'Choix pédagogiques'!$C$5&lt;&gt;"?",AD725&lt;&gt;""),(AD725-'Choix pédagogiques'!$C$4)/('Choix pédagogiques'!$C$5-'Choix pédagogiques'!$C$4),"")</f>
        <v/>
      </c>
      <c r="AZ725" s="53" t="str">
        <f aca="false">IF($J725&lt;&gt;"",$J725,"")</f>
        <v/>
      </c>
      <c r="BA725" s="52" t="str">
        <f aca="false">IF($A725&lt;&gt;"",$A725,"")</f>
        <v>Apprenant 713</v>
      </c>
      <c r="BB725" s="55" t="str">
        <f aca="false">IF(AND($AR725&lt;&gt;"",$AS725&lt;&gt;""),$AS725-$AR725,"")</f>
        <v/>
      </c>
      <c r="BC725" s="55" t="str">
        <f aca="false">IF(AND($AR725&lt;&gt;"",$AT725&lt;&gt;""),$AT725-$AR725,"")</f>
        <v/>
      </c>
      <c r="BD725" s="55" t="str">
        <f aca="false">IF(AND($AS725&lt;&gt;"",$AT725&lt;&gt;""),$AT725-$AS725,"")</f>
        <v/>
      </c>
      <c r="BE725" s="53" t="str">
        <f aca="false">IF($E725&lt;&gt;"",$E725,"")</f>
        <v/>
      </c>
      <c r="BF725" s="52" t="str">
        <f aca="false">IF($F725&lt;&gt;"",$F725,"")</f>
        <v>Apprenant 713 ou 713'</v>
      </c>
      <c r="BG725" s="55" t="str">
        <f aca="false">IF(AND($AW725&lt;&gt;"",$AX725&lt;&gt;""),$AX725-$AW725,"")</f>
        <v/>
      </c>
      <c r="BH725" s="55" t="str">
        <f aca="false">IF(AND($AW725&lt;&gt;"",$AY725&lt;&gt;""),$AY725-$AW725,"")</f>
        <v/>
      </c>
      <c r="BI725" s="55" t="str">
        <f aca="false">IF(AND($AX725&lt;&gt;"",$AY725&lt;&gt;""),$AY725-$AX725,"")</f>
        <v/>
      </c>
      <c r="BJ725" s="53" t="str">
        <f aca="false">IF($J725&lt;&gt;"",$J725,"")</f>
        <v/>
      </c>
      <c r="BL725" s="52"/>
      <c r="BM725" s="52" t="str">
        <f aca="false">IF(OR(COUNT(B725:D1724)=0,AND('Choix pédagogiques'!$C$3&lt;&gt;1,'Choix pédagogiques'!$C$3&lt;&gt;2)),"",IF(AND(OR('Choix pédagogiques'!$C$3=1,'Choix pédagogiques'!$C$3=2),$B725&lt;&gt;"",$C725&lt;&gt;"",$D725&lt;&gt;""),1,0))</f>
        <v/>
      </c>
      <c r="BN725" s="52" t="str">
        <f aca="false">IF(OR(COUNT(G725:I1724)=0,AND('Choix pédagogiques'!$C$3&lt;&gt;1,'Choix pédagogiques'!$C$3&lt;&gt;2)),"",IF(AND(OR('Choix pédagogiques'!$C$3=1,'Choix pédagogiques'!$C$3=2),AND($G725&lt;&gt;"",$H725&lt;&gt;"",$I725&lt;&gt;"")),1,0))</f>
        <v/>
      </c>
      <c r="BO725" s="52" t="str">
        <f aca="false">IF(OR(COUNT(B725:D1724)=0,COUNT(G725:I1724)=0,'Choix pédagogiques'!C$3&lt;&gt;3),"",IF(AND('Choix pédagogiques'!$C$3=3,$B725&lt;&gt;"",$C725&lt;&gt;"",$D725&lt;&gt;"",$G725&lt;&gt;"",$H725&lt;&gt;"",$I725&lt;&gt;""),1,0))</f>
        <v/>
      </c>
      <c r="BR725" s="52" t="n">
        <v>527</v>
      </c>
      <c r="BS725" s="52" t="n">
        <v>1247</v>
      </c>
    </row>
    <row r="726" s="54" customFormat="true" ht="18" hidden="false" customHeight="true" outlineLevel="0" collapsed="false">
      <c r="A726" s="57" t="s">
        <v>1383</v>
      </c>
      <c r="B726" s="51"/>
      <c r="C726" s="51"/>
      <c r="D726" s="51"/>
      <c r="E726" s="51"/>
      <c r="F726" s="57" t="s">
        <v>1384</v>
      </c>
      <c r="G726" s="51"/>
      <c r="H726" s="51"/>
      <c r="I726" s="51"/>
      <c r="J726" s="51"/>
      <c r="K726" s="52" t="str">
        <f aca="false">IF($A726&lt;&gt;"",$A726,"")</f>
        <v>Apprenant 714</v>
      </c>
      <c r="L726" s="53" t="str">
        <f aca="false">IF(AND($B726&lt;&gt;"",$C726&lt;&gt;""),$C726-$B726,"")</f>
        <v/>
      </c>
      <c r="M726" s="53" t="str">
        <f aca="false">IF(AND($B726&lt;&gt;"",$D726&lt;&gt;""),$D726-$B726,"")</f>
        <v/>
      </c>
      <c r="N726" s="53" t="str">
        <f aca="false">IF(AND($C726&lt;&gt;"",$D726&lt;&gt;""),$D726-$C726,"")</f>
        <v/>
      </c>
      <c r="O726" s="53" t="str">
        <f aca="false">IF($E726&lt;&gt;"",$E726,"")</f>
        <v/>
      </c>
      <c r="P726" s="52" t="str">
        <f aca="false">IF($F726&lt;&gt;"",$F726,"")</f>
        <v>Apprenant 714 ou 714'</v>
      </c>
      <c r="Q726" s="53" t="str">
        <f aca="false">IF(AND($G726&lt;&gt;"",$H726&lt;&gt;""),$H726-$G726,"")</f>
        <v/>
      </c>
      <c r="R726" s="53" t="str">
        <f aca="false">IF(AND($G726&lt;&gt;"",$I726&lt;&gt;""),$I726-$G726,"")</f>
        <v/>
      </c>
      <c r="S726" s="53" t="str">
        <f aca="false">IF(AND($H726&lt;&gt;"",$I726&lt;&gt;""),$I726-$H726,"")</f>
        <v/>
      </c>
      <c r="T726" s="53" t="str">
        <f aca="false">IF($J726&lt;&gt;"",$J726,"")</f>
        <v/>
      </c>
      <c r="V726" s="52" t="str">
        <f aca="false">IF($A726&lt;&gt;"",$A726,"")</f>
        <v>Apprenant 714</v>
      </c>
      <c r="W726" s="53" t="str">
        <f aca="false">IF(AND(OR('Choix pédagogiques'!$C$3=1,'Choix pédagogiques'!$C$3=2),$BM726=1),B726,IF(AND('Choix pédagogiques'!$C$3=3,$BO726=1),B726,""))</f>
        <v/>
      </c>
      <c r="X726" s="53" t="str">
        <f aca="false">IF(AND(OR('Choix pédagogiques'!$C$3=1,'Choix pédagogiques'!$C$3=2),$BM726=1),C726,IF(AND('Choix pédagogiques'!$C$3=3,$BO726=1),C726,""))</f>
        <v/>
      </c>
      <c r="Y726" s="53" t="str">
        <f aca="false">IF(AND(OR('Choix pédagogiques'!$C$3=1,'Choix pédagogiques'!$C$3=2),$BM726=1),D726,IF(AND('Choix pédagogiques'!$C$3=3,$BO726=1),D726,""))</f>
        <v/>
      </c>
      <c r="Z726" s="53" t="str">
        <f aca="false">IF($E726&lt;&gt;"",$E726,"")</f>
        <v/>
      </c>
      <c r="AA726" s="52" t="str">
        <f aca="false">IF($F726&lt;&gt;"",$F726,"")</f>
        <v>Apprenant 714 ou 714'</v>
      </c>
      <c r="AB726" s="53" t="str">
        <f aca="false">IF(AND(OR('Choix pédagogiques'!$C$3=1,'Choix pédagogiques'!$C$3=2),$BN726=1),G726,IF(AND('Choix pédagogiques'!$C$3=3,$BO726=1),G726,""))</f>
        <v/>
      </c>
      <c r="AC726" s="53" t="str">
        <f aca="false">IF(AND(OR('Choix pédagogiques'!$C$3=1,'Choix pédagogiques'!$C$3=2),$BN726=1),H726,IF(AND('Choix pédagogiques'!$C$3=3,$BO726=1),H726,""))</f>
        <v/>
      </c>
      <c r="AD726" s="53" t="str">
        <f aca="false">IF(AND(OR('Choix pédagogiques'!$C$3=1,'Choix pédagogiques'!$C$3=2),$BN726=1),I726,IF(AND('Choix pédagogiques'!$C$3=3,$BO726=1),I726,""))</f>
        <v/>
      </c>
      <c r="AE726" s="53" t="str">
        <f aca="false">IF($J726&lt;&gt;"",$J726,"")</f>
        <v/>
      </c>
      <c r="AF726" s="52" t="str">
        <f aca="false">IF($A726&lt;&gt;"",$A726,"")</f>
        <v>Apprenant 714</v>
      </c>
      <c r="AG726" s="53" t="str">
        <f aca="false">IF(AND($W726&lt;&gt;"",$X726&lt;&gt;""),$X726-$W726,"")</f>
        <v/>
      </c>
      <c r="AH726" s="53" t="str">
        <f aca="false">IF(AND($W726&lt;&gt;"",$Y726&lt;&gt;""),$Y726-$W726,"")</f>
        <v/>
      </c>
      <c r="AI726" s="53" t="str">
        <f aca="false">IF(AND($X726&lt;&gt;"",$Y726&lt;&gt;""),$Y726-$X726,"")</f>
        <v/>
      </c>
      <c r="AJ726" s="53" t="str">
        <f aca="false">IF($E726&lt;&gt;"",$E726,"")</f>
        <v/>
      </c>
      <c r="AK726" s="52" t="str">
        <f aca="false">IF($F726&lt;&gt;"",$F726,"")</f>
        <v>Apprenant 714 ou 714'</v>
      </c>
      <c r="AL726" s="53" t="str">
        <f aca="false">IF(AND($AB726&lt;&gt;"",$AC726&lt;&gt;""),$AC726-$AB726,"")</f>
        <v/>
      </c>
      <c r="AM726" s="53" t="str">
        <f aca="false">IF(AND($AB726&lt;&gt;"",$AD726&lt;&gt;""),$AD726-$AB726,"")</f>
        <v/>
      </c>
      <c r="AN726" s="53" t="str">
        <f aca="false">IF(AND($AC726&lt;&gt;"",$AD726&lt;&gt;""),$AD726-$AC726,"")</f>
        <v/>
      </c>
      <c r="AO726" s="53" t="str">
        <f aca="false">IF($J726&lt;&gt;"",$J726,"")</f>
        <v/>
      </c>
      <c r="AQ726" s="52" t="str">
        <f aca="false">IF($A726&lt;&gt;"",$A726,"")</f>
        <v>Apprenant 714</v>
      </c>
      <c r="AR726" s="55" t="str">
        <f aca="false">IF(AND('Choix pédagogiques'!$C$4&lt;&gt;"?",'Choix pédagogiques'!$C$5&lt;&gt;"?",W726&lt;&gt;""),(W726-'Choix pédagogiques'!$C$4)/('Choix pédagogiques'!$C$5-'Choix pédagogiques'!$C$4),"")</f>
        <v/>
      </c>
      <c r="AS726" s="55" t="str">
        <f aca="false">IF(AND('Choix pédagogiques'!$C$4&lt;&gt;"?",'Choix pédagogiques'!$C$5&lt;&gt;"?",X726&lt;&gt;""),(X726-'Choix pédagogiques'!$C$4)/('Choix pédagogiques'!$C$5-'Choix pédagogiques'!$C$4),"")</f>
        <v/>
      </c>
      <c r="AT726" s="55" t="str">
        <f aca="false">IF(AND('Choix pédagogiques'!$C$4&lt;&gt;"?",'Choix pédagogiques'!$C$5&lt;&gt;"?",Y726&lt;&gt;""),(Y726-'Choix pédagogiques'!$C$4)/('Choix pédagogiques'!$C$5-'Choix pédagogiques'!$C$4),"")</f>
        <v/>
      </c>
      <c r="AU726" s="53" t="str">
        <f aca="false">IF($E726&lt;&gt;"",$E726,"")</f>
        <v/>
      </c>
      <c r="AV726" s="52" t="str">
        <f aca="false">IF($F726&lt;&gt;"",$F726,"")</f>
        <v>Apprenant 714 ou 714'</v>
      </c>
      <c r="AW726" s="55" t="str">
        <f aca="false">IF(AND('Choix pédagogiques'!$C$4&lt;&gt;"?",'Choix pédagogiques'!$C$5&lt;&gt;"?",AB726&lt;&gt;""),(AB726-'Choix pédagogiques'!$C$4)/('Choix pédagogiques'!$C$5-'Choix pédagogiques'!$C$4),"")</f>
        <v/>
      </c>
      <c r="AX726" s="55" t="str">
        <f aca="false">IF(AND('Choix pédagogiques'!$C$4&lt;&gt;"?",'Choix pédagogiques'!$C$5&lt;&gt;"?",AC726&lt;&gt;""),(AC726-'Choix pédagogiques'!$C$4)/('Choix pédagogiques'!$C$5-'Choix pédagogiques'!$C$4),"")</f>
        <v/>
      </c>
      <c r="AY726" s="55" t="str">
        <f aca="false">IF(AND('Choix pédagogiques'!$C$4&lt;&gt;"?",'Choix pédagogiques'!$C$5&lt;&gt;"?",AD726&lt;&gt;""),(AD726-'Choix pédagogiques'!$C$4)/('Choix pédagogiques'!$C$5-'Choix pédagogiques'!$C$4),"")</f>
        <v/>
      </c>
      <c r="AZ726" s="53" t="str">
        <f aca="false">IF($J726&lt;&gt;"",$J726,"")</f>
        <v/>
      </c>
      <c r="BA726" s="52" t="str">
        <f aca="false">IF($A726&lt;&gt;"",$A726,"")</f>
        <v>Apprenant 714</v>
      </c>
      <c r="BB726" s="55" t="str">
        <f aca="false">IF(AND($AR726&lt;&gt;"",$AS726&lt;&gt;""),$AS726-$AR726,"")</f>
        <v/>
      </c>
      <c r="BC726" s="55" t="str">
        <f aca="false">IF(AND($AR726&lt;&gt;"",$AT726&lt;&gt;""),$AT726-$AR726,"")</f>
        <v/>
      </c>
      <c r="BD726" s="55" t="str">
        <f aca="false">IF(AND($AS726&lt;&gt;"",$AT726&lt;&gt;""),$AT726-$AS726,"")</f>
        <v/>
      </c>
      <c r="BE726" s="53" t="str">
        <f aca="false">IF($E726&lt;&gt;"",$E726,"")</f>
        <v/>
      </c>
      <c r="BF726" s="52" t="str">
        <f aca="false">IF($F726&lt;&gt;"",$F726,"")</f>
        <v>Apprenant 714 ou 714'</v>
      </c>
      <c r="BG726" s="55" t="str">
        <f aca="false">IF(AND($AW726&lt;&gt;"",$AX726&lt;&gt;""),$AX726-$AW726,"")</f>
        <v/>
      </c>
      <c r="BH726" s="55" t="str">
        <f aca="false">IF(AND($AW726&lt;&gt;"",$AY726&lt;&gt;""),$AY726-$AW726,"")</f>
        <v/>
      </c>
      <c r="BI726" s="55" t="str">
        <f aca="false">IF(AND($AX726&lt;&gt;"",$AY726&lt;&gt;""),$AY726-$AX726,"")</f>
        <v/>
      </c>
      <c r="BJ726" s="53" t="str">
        <f aca="false">IF($J726&lt;&gt;"",$J726,"")</f>
        <v/>
      </c>
      <c r="BL726" s="52"/>
      <c r="BM726" s="52" t="str">
        <f aca="false">IF(OR(COUNT(B726:D1725)=0,AND('Choix pédagogiques'!$C$3&lt;&gt;1,'Choix pédagogiques'!$C$3&lt;&gt;2)),"",IF(AND(OR('Choix pédagogiques'!$C$3=1,'Choix pédagogiques'!$C$3=2),$B726&lt;&gt;"",$C726&lt;&gt;"",$D726&lt;&gt;""),1,0))</f>
        <v/>
      </c>
      <c r="BN726" s="52" t="str">
        <f aca="false">IF(OR(COUNT(G726:I1725)=0,AND('Choix pédagogiques'!$C$3&lt;&gt;1,'Choix pédagogiques'!$C$3&lt;&gt;2)),"",IF(AND(OR('Choix pédagogiques'!$C$3=1,'Choix pédagogiques'!$C$3=2),AND($G726&lt;&gt;"",$H726&lt;&gt;"",$I726&lt;&gt;"")),1,0))</f>
        <v/>
      </c>
      <c r="BO726" s="52" t="str">
        <f aca="false">IF(OR(COUNT(B726:D1725)=0,COUNT(G726:I1725)=0,'Choix pédagogiques'!C$3&lt;&gt;3),"",IF(AND('Choix pédagogiques'!$C$3=3,$B726&lt;&gt;"",$C726&lt;&gt;"",$D726&lt;&gt;"",$G726&lt;&gt;"",$H726&lt;&gt;"",$I726&lt;&gt;""),1,0))</f>
        <v/>
      </c>
      <c r="BR726" s="52" t="n">
        <v>702</v>
      </c>
      <c r="BS726" s="52" t="n">
        <v>1746</v>
      </c>
    </row>
    <row r="727" s="54" customFormat="true" ht="18" hidden="false" customHeight="true" outlineLevel="0" collapsed="false">
      <c r="A727" s="57" t="s">
        <v>1385</v>
      </c>
      <c r="B727" s="51"/>
      <c r="C727" s="51"/>
      <c r="D727" s="51"/>
      <c r="E727" s="51"/>
      <c r="F727" s="57" t="s">
        <v>1386</v>
      </c>
      <c r="G727" s="51"/>
      <c r="H727" s="51"/>
      <c r="I727" s="51"/>
      <c r="J727" s="51"/>
      <c r="K727" s="52" t="str">
        <f aca="false">IF($A727&lt;&gt;"",$A727,"")</f>
        <v>Apprenant 715</v>
      </c>
      <c r="L727" s="53" t="str">
        <f aca="false">IF(AND($B727&lt;&gt;"",$C727&lt;&gt;""),$C727-$B727,"")</f>
        <v/>
      </c>
      <c r="M727" s="53" t="str">
        <f aca="false">IF(AND($B727&lt;&gt;"",$D727&lt;&gt;""),$D727-$B727,"")</f>
        <v/>
      </c>
      <c r="N727" s="53" t="str">
        <f aca="false">IF(AND($C727&lt;&gt;"",$D727&lt;&gt;""),$D727-$C727,"")</f>
        <v/>
      </c>
      <c r="O727" s="53" t="str">
        <f aca="false">IF($E727&lt;&gt;"",$E727,"")</f>
        <v/>
      </c>
      <c r="P727" s="52" t="str">
        <f aca="false">IF($F727&lt;&gt;"",$F727,"")</f>
        <v>Apprenant 715 ou 715'</v>
      </c>
      <c r="Q727" s="53" t="str">
        <f aca="false">IF(AND($G727&lt;&gt;"",$H727&lt;&gt;""),$H727-$G727,"")</f>
        <v/>
      </c>
      <c r="R727" s="53" t="str">
        <f aca="false">IF(AND($G727&lt;&gt;"",$I727&lt;&gt;""),$I727-$G727,"")</f>
        <v/>
      </c>
      <c r="S727" s="53" t="str">
        <f aca="false">IF(AND($H727&lt;&gt;"",$I727&lt;&gt;""),$I727-$H727,"")</f>
        <v/>
      </c>
      <c r="T727" s="53" t="str">
        <f aca="false">IF($J727&lt;&gt;"",$J727,"")</f>
        <v/>
      </c>
      <c r="V727" s="52" t="str">
        <f aca="false">IF($A727&lt;&gt;"",$A727,"")</f>
        <v>Apprenant 715</v>
      </c>
      <c r="W727" s="53" t="str">
        <f aca="false">IF(AND(OR('Choix pédagogiques'!$C$3=1,'Choix pédagogiques'!$C$3=2),$BM727=1),B727,IF(AND('Choix pédagogiques'!$C$3=3,$BO727=1),B727,""))</f>
        <v/>
      </c>
      <c r="X727" s="53" t="str">
        <f aca="false">IF(AND(OR('Choix pédagogiques'!$C$3=1,'Choix pédagogiques'!$C$3=2),$BM727=1),C727,IF(AND('Choix pédagogiques'!$C$3=3,$BO727=1),C727,""))</f>
        <v/>
      </c>
      <c r="Y727" s="53" t="str">
        <f aca="false">IF(AND(OR('Choix pédagogiques'!$C$3=1,'Choix pédagogiques'!$C$3=2),$BM727=1),D727,IF(AND('Choix pédagogiques'!$C$3=3,$BO727=1),D727,""))</f>
        <v/>
      </c>
      <c r="Z727" s="53" t="str">
        <f aca="false">IF($E727&lt;&gt;"",$E727,"")</f>
        <v/>
      </c>
      <c r="AA727" s="52" t="str">
        <f aca="false">IF($F727&lt;&gt;"",$F727,"")</f>
        <v>Apprenant 715 ou 715'</v>
      </c>
      <c r="AB727" s="53" t="str">
        <f aca="false">IF(AND(OR('Choix pédagogiques'!$C$3=1,'Choix pédagogiques'!$C$3=2),$BN727=1),G727,IF(AND('Choix pédagogiques'!$C$3=3,$BO727=1),G727,""))</f>
        <v/>
      </c>
      <c r="AC727" s="53" t="str">
        <f aca="false">IF(AND(OR('Choix pédagogiques'!$C$3=1,'Choix pédagogiques'!$C$3=2),$BN727=1),H727,IF(AND('Choix pédagogiques'!$C$3=3,$BO727=1),H727,""))</f>
        <v/>
      </c>
      <c r="AD727" s="53" t="str">
        <f aca="false">IF(AND(OR('Choix pédagogiques'!$C$3=1,'Choix pédagogiques'!$C$3=2),$BN727=1),I727,IF(AND('Choix pédagogiques'!$C$3=3,$BO727=1),I727,""))</f>
        <v/>
      </c>
      <c r="AE727" s="53" t="str">
        <f aca="false">IF($J727&lt;&gt;"",$J727,"")</f>
        <v/>
      </c>
      <c r="AF727" s="52" t="str">
        <f aca="false">IF($A727&lt;&gt;"",$A727,"")</f>
        <v>Apprenant 715</v>
      </c>
      <c r="AG727" s="53" t="str">
        <f aca="false">IF(AND($W727&lt;&gt;"",$X727&lt;&gt;""),$X727-$W727,"")</f>
        <v/>
      </c>
      <c r="AH727" s="53" t="str">
        <f aca="false">IF(AND($W727&lt;&gt;"",$Y727&lt;&gt;""),$Y727-$W727,"")</f>
        <v/>
      </c>
      <c r="AI727" s="53" t="str">
        <f aca="false">IF(AND($X727&lt;&gt;"",$Y727&lt;&gt;""),$Y727-$X727,"")</f>
        <v/>
      </c>
      <c r="AJ727" s="53" t="str">
        <f aca="false">IF($E727&lt;&gt;"",$E727,"")</f>
        <v/>
      </c>
      <c r="AK727" s="52" t="str">
        <f aca="false">IF($F727&lt;&gt;"",$F727,"")</f>
        <v>Apprenant 715 ou 715'</v>
      </c>
      <c r="AL727" s="53" t="str">
        <f aca="false">IF(AND($AB727&lt;&gt;"",$AC727&lt;&gt;""),$AC727-$AB727,"")</f>
        <v/>
      </c>
      <c r="AM727" s="53" t="str">
        <f aca="false">IF(AND($AB727&lt;&gt;"",$AD727&lt;&gt;""),$AD727-$AB727,"")</f>
        <v/>
      </c>
      <c r="AN727" s="53" t="str">
        <f aca="false">IF(AND($AC727&lt;&gt;"",$AD727&lt;&gt;""),$AD727-$AC727,"")</f>
        <v/>
      </c>
      <c r="AO727" s="53" t="str">
        <f aca="false">IF($J727&lt;&gt;"",$J727,"")</f>
        <v/>
      </c>
      <c r="AQ727" s="52" t="str">
        <f aca="false">IF($A727&lt;&gt;"",$A727,"")</f>
        <v>Apprenant 715</v>
      </c>
      <c r="AR727" s="55" t="str">
        <f aca="false">IF(AND('Choix pédagogiques'!$C$4&lt;&gt;"?",'Choix pédagogiques'!$C$5&lt;&gt;"?",W727&lt;&gt;""),(W727-'Choix pédagogiques'!$C$4)/('Choix pédagogiques'!$C$5-'Choix pédagogiques'!$C$4),"")</f>
        <v/>
      </c>
      <c r="AS727" s="55" t="str">
        <f aca="false">IF(AND('Choix pédagogiques'!$C$4&lt;&gt;"?",'Choix pédagogiques'!$C$5&lt;&gt;"?",X727&lt;&gt;""),(X727-'Choix pédagogiques'!$C$4)/('Choix pédagogiques'!$C$5-'Choix pédagogiques'!$C$4),"")</f>
        <v/>
      </c>
      <c r="AT727" s="55" t="str">
        <f aca="false">IF(AND('Choix pédagogiques'!$C$4&lt;&gt;"?",'Choix pédagogiques'!$C$5&lt;&gt;"?",Y727&lt;&gt;""),(Y727-'Choix pédagogiques'!$C$4)/('Choix pédagogiques'!$C$5-'Choix pédagogiques'!$C$4),"")</f>
        <v/>
      </c>
      <c r="AU727" s="53" t="str">
        <f aca="false">IF($E727&lt;&gt;"",$E727,"")</f>
        <v/>
      </c>
      <c r="AV727" s="52" t="str">
        <f aca="false">IF($F727&lt;&gt;"",$F727,"")</f>
        <v>Apprenant 715 ou 715'</v>
      </c>
      <c r="AW727" s="55" t="str">
        <f aca="false">IF(AND('Choix pédagogiques'!$C$4&lt;&gt;"?",'Choix pédagogiques'!$C$5&lt;&gt;"?",AB727&lt;&gt;""),(AB727-'Choix pédagogiques'!$C$4)/('Choix pédagogiques'!$C$5-'Choix pédagogiques'!$C$4),"")</f>
        <v/>
      </c>
      <c r="AX727" s="55" t="str">
        <f aca="false">IF(AND('Choix pédagogiques'!$C$4&lt;&gt;"?",'Choix pédagogiques'!$C$5&lt;&gt;"?",AC727&lt;&gt;""),(AC727-'Choix pédagogiques'!$C$4)/('Choix pédagogiques'!$C$5-'Choix pédagogiques'!$C$4),"")</f>
        <v/>
      </c>
      <c r="AY727" s="55" t="str">
        <f aca="false">IF(AND('Choix pédagogiques'!$C$4&lt;&gt;"?",'Choix pédagogiques'!$C$5&lt;&gt;"?",AD727&lt;&gt;""),(AD727-'Choix pédagogiques'!$C$4)/('Choix pédagogiques'!$C$5-'Choix pédagogiques'!$C$4),"")</f>
        <v/>
      </c>
      <c r="AZ727" s="53" t="str">
        <f aca="false">IF($J727&lt;&gt;"",$J727,"")</f>
        <v/>
      </c>
      <c r="BA727" s="52" t="str">
        <f aca="false">IF($A727&lt;&gt;"",$A727,"")</f>
        <v>Apprenant 715</v>
      </c>
      <c r="BB727" s="55" t="str">
        <f aca="false">IF(AND($AR727&lt;&gt;"",$AS727&lt;&gt;""),$AS727-$AR727,"")</f>
        <v/>
      </c>
      <c r="BC727" s="55" t="str">
        <f aca="false">IF(AND($AR727&lt;&gt;"",$AT727&lt;&gt;""),$AT727-$AR727,"")</f>
        <v/>
      </c>
      <c r="BD727" s="55" t="str">
        <f aca="false">IF(AND($AS727&lt;&gt;"",$AT727&lt;&gt;""),$AT727-$AS727,"")</f>
        <v/>
      </c>
      <c r="BE727" s="53" t="str">
        <f aca="false">IF($E727&lt;&gt;"",$E727,"")</f>
        <v/>
      </c>
      <c r="BF727" s="52" t="str">
        <f aca="false">IF($F727&lt;&gt;"",$F727,"")</f>
        <v>Apprenant 715 ou 715'</v>
      </c>
      <c r="BG727" s="55" t="str">
        <f aca="false">IF(AND($AW727&lt;&gt;"",$AX727&lt;&gt;""),$AX727-$AW727,"")</f>
        <v/>
      </c>
      <c r="BH727" s="55" t="str">
        <f aca="false">IF(AND($AW727&lt;&gt;"",$AY727&lt;&gt;""),$AY727-$AW727,"")</f>
        <v/>
      </c>
      <c r="BI727" s="55" t="str">
        <f aca="false">IF(AND($AX727&lt;&gt;"",$AY727&lt;&gt;""),$AY727-$AX727,"")</f>
        <v/>
      </c>
      <c r="BJ727" s="53" t="str">
        <f aca="false">IF($J727&lt;&gt;"",$J727,"")</f>
        <v/>
      </c>
      <c r="BL727" s="52"/>
      <c r="BM727" s="52" t="str">
        <f aca="false">IF(OR(COUNT(B727:D1726)=0,AND('Choix pédagogiques'!$C$3&lt;&gt;1,'Choix pédagogiques'!$C$3&lt;&gt;2)),"",IF(AND(OR('Choix pédagogiques'!$C$3=1,'Choix pédagogiques'!$C$3=2),$B727&lt;&gt;"",$C727&lt;&gt;"",$D727&lt;&gt;""),1,0))</f>
        <v/>
      </c>
      <c r="BN727" s="52" t="str">
        <f aca="false">IF(OR(COUNT(G727:I1726)=0,AND('Choix pédagogiques'!$C$3&lt;&gt;1,'Choix pédagogiques'!$C$3&lt;&gt;2)),"",IF(AND(OR('Choix pédagogiques'!$C$3=1,'Choix pédagogiques'!$C$3=2),AND($G727&lt;&gt;"",$H727&lt;&gt;"",$I727&lt;&gt;"")),1,0))</f>
        <v/>
      </c>
      <c r="BO727" s="52" t="str">
        <f aca="false">IF(OR(COUNT(B727:D1726)=0,COUNT(G727:I1726)=0,'Choix pédagogiques'!C$3&lt;&gt;3),"",IF(AND('Choix pédagogiques'!$C$3=3,$B727&lt;&gt;"",$C727&lt;&gt;"",$D727&lt;&gt;"",$G727&lt;&gt;"",$H727&lt;&gt;"",$I727&lt;&gt;""),1,0))</f>
        <v/>
      </c>
      <c r="BR727" s="52" t="n">
        <v>170</v>
      </c>
      <c r="BS727" s="52" t="n">
        <v>1240</v>
      </c>
    </row>
    <row r="728" s="54" customFormat="true" ht="18" hidden="false" customHeight="true" outlineLevel="0" collapsed="false">
      <c r="A728" s="57" t="s">
        <v>1387</v>
      </c>
      <c r="B728" s="51"/>
      <c r="C728" s="51"/>
      <c r="D728" s="51"/>
      <c r="E728" s="51"/>
      <c r="F728" s="57" t="s">
        <v>1388</v>
      </c>
      <c r="G728" s="51"/>
      <c r="H728" s="51"/>
      <c r="I728" s="51"/>
      <c r="J728" s="51"/>
      <c r="K728" s="52" t="str">
        <f aca="false">IF($A728&lt;&gt;"",$A728,"")</f>
        <v>Apprenant 716</v>
      </c>
      <c r="L728" s="53" t="str">
        <f aca="false">IF(AND($B728&lt;&gt;"",$C728&lt;&gt;""),$C728-$B728,"")</f>
        <v/>
      </c>
      <c r="M728" s="53" t="str">
        <f aca="false">IF(AND($B728&lt;&gt;"",$D728&lt;&gt;""),$D728-$B728,"")</f>
        <v/>
      </c>
      <c r="N728" s="53" t="str">
        <f aca="false">IF(AND($C728&lt;&gt;"",$D728&lt;&gt;""),$D728-$C728,"")</f>
        <v/>
      </c>
      <c r="O728" s="53" t="str">
        <f aca="false">IF($E728&lt;&gt;"",$E728,"")</f>
        <v/>
      </c>
      <c r="P728" s="52" t="str">
        <f aca="false">IF($F728&lt;&gt;"",$F728,"")</f>
        <v>Apprenant 716 ou 716'</v>
      </c>
      <c r="Q728" s="53" t="str">
        <f aca="false">IF(AND($G728&lt;&gt;"",$H728&lt;&gt;""),$H728-$G728,"")</f>
        <v/>
      </c>
      <c r="R728" s="53" t="str">
        <f aca="false">IF(AND($G728&lt;&gt;"",$I728&lt;&gt;""),$I728-$G728,"")</f>
        <v/>
      </c>
      <c r="S728" s="53" t="str">
        <f aca="false">IF(AND($H728&lt;&gt;"",$I728&lt;&gt;""),$I728-$H728,"")</f>
        <v/>
      </c>
      <c r="T728" s="53" t="str">
        <f aca="false">IF($J728&lt;&gt;"",$J728,"")</f>
        <v/>
      </c>
      <c r="V728" s="52" t="str">
        <f aca="false">IF($A728&lt;&gt;"",$A728,"")</f>
        <v>Apprenant 716</v>
      </c>
      <c r="W728" s="53" t="str">
        <f aca="false">IF(AND(OR('Choix pédagogiques'!$C$3=1,'Choix pédagogiques'!$C$3=2),$BM728=1),B728,IF(AND('Choix pédagogiques'!$C$3=3,$BO728=1),B728,""))</f>
        <v/>
      </c>
      <c r="X728" s="53" t="str">
        <f aca="false">IF(AND(OR('Choix pédagogiques'!$C$3=1,'Choix pédagogiques'!$C$3=2),$BM728=1),C728,IF(AND('Choix pédagogiques'!$C$3=3,$BO728=1),C728,""))</f>
        <v/>
      </c>
      <c r="Y728" s="53" t="str">
        <f aca="false">IF(AND(OR('Choix pédagogiques'!$C$3=1,'Choix pédagogiques'!$C$3=2),$BM728=1),D728,IF(AND('Choix pédagogiques'!$C$3=3,$BO728=1),D728,""))</f>
        <v/>
      </c>
      <c r="Z728" s="53" t="str">
        <f aca="false">IF($E728&lt;&gt;"",$E728,"")</f>
        <v/>
      </c>
      <c r="AA728" s="52" t="str">
        <f aca="false">IF($F728&lt;&gt;"",$F728,"")</f>
        <v>Apprenant 716 ou 716'</v>
      </c>
      <c r="AB728" s="53" t="str">
        <f aca="false">IF(AND(OR('Choix pédagogiques'!$C$3=1,'Choix pédagogiques'!$C$3=2),$BN728=1),G728,IF(AND('Choix pédagogiques'!$C$3=3,$BO728=1),G728,""))</f>
        <v/>
      </c>
      <c r="AC728" s="53" t="str">
        <f aca="false">IF(AND(OR('Choix pédagogiques'!$C$3=1,'Choix pédagogiques'!$C$3=2),$BN728=1),H728,IF(AND('Choix pédagogiques'!$C$3=3,$BO728=1),H728,""))</f>
        <v/>
      </c>
      <c r="AD728" s="53" t="str">
        <f aca="false">IF(AND(OR('Choix pédagogiques'!$C$3=1,'Choix pédagogiques'!$C$3=2),$BN728=1),I728,IF(AND('Choix pédagogiques'!$C$3=3,$BO728=1),I728,""))</f>
        <v/>
      </c>
      <c r="AE728" s="53" t="str">
        <f aca="false">IF($J728&lt;&gt;"",$J728,"")</f>
        <v/>
      </c>
      <c r="AF728" s="52" t="str">
        <f aca="false">IF($A728&lt;&gt;"",$A728,"")</f>
        <v>Apprenant 716</v>
      </c>
      <c r="AG728" s="53" t="str">
        <f aca="false">IF(AND($W728&lt;&gt;"",$X728&lt;&gt;""),$X728-$W728,"")</f>
        <v/>
      </c>
      <c r="AH728" s="53" t="str">
        <f aca="false">IF(AND($W728&lt;&gt;"",$Y728&lt;&gt;""),$Y728-$W728,"")</f>
        <v/>
      </c>
      <c r="AI728" s="53" t="str">
        <f aca="false">IF(AND($X728&lt;&gt;"",$Y728&lt;&gt;""),$Y728-$X728,"")</f>
        <v/>
      </c>
      <c r="AJ728" s="53" t="str">
        <f aca="false">IF($E728&lt;&gt;"",$E728,"")</f>
        <v/>
      </c>
      <c r="AK728" s="52" t="str">
        <f aca="false">IF($F728&lt;&gt;"",$F728,"")</f>
        <v>Apprenant 716 ou 716'</v>
      </c>
      <c r="AL728" s="53" t="str">
        <f aca="false">IF(AND($AB728&lt;&gt;"",$AC728&lt;&gt;""),$AC728-$AB728,"")</f>
        <v/>
      </c>
      <c r="AM728" s="53" t="str">
        <f aca="false">IF(AND($AB728&lt;&gt;"",$AD728&lt;&gt;""),$AD728-$AB728,"")</f>
        <v/>
      </c>
      <c r="AN728" s="53" t="str">
        <f aca="false">IF(AND($AC728&lt;&gt;"",$AD728&lt;&gt;""),$AD728-$AC728,"")</f>
        <v/>
      </c>
      <c r="AO728" s="53" t="str">
        <f aca="false">IF($J728&lt;&gt;"",$J728,"")</f>
        <v/>
      </c>
      <c r="AQ728" s="52" t="str">
        <f aca="false">IF($A728&lt;&gt;"",$A728,"")</f>
        <v>Apprenant 716</v>
      </c>
      <c r="AR728" s="55" t="str">
        <f aca="false">IF(AND('Choix pédagogiques'!$C$4&lt;&gt;"?",'Choix pédagogiques'!$C$5&lt;&gt;"?",W728&lt;&gt;""),(W728-'Choix pédagogiques'!$C$4)/('Choix pédagogiques'!$C$5-'Choix pédagogiques'!$C$4),"")</f>
        <v/>
      </c>
      <c r="AS728" s="55" t="str">
        <f aca="false">IF(AND('Choix pédagogiques'!$C$4&lt;&gt;"?",'Choix pédagogiques'!$C$5&lt;&gt;"?",X728&lt;&gt;""),(X728-'Choix pédagogiques'!$C$4)/('Choix pédagogiques'!$C$5-'Choix pédagogiques'!$C$4),"")</f>
        <v/>
      </c>
      <c r="AT728" s="55" t="str">
        <f aca="false">IF(AND('Choix pédagogiques'!$C$4&lt;&gt;"?",'Choix pédagogiques'!$C$5&lt;&gt;"?",Y728&lt;&gt;""),(Y728-'Choix pédagogiques'!$C$4)/('Choix pédagogiques'!$C$5-'Choix pédagogiques'!$C$4),"")</f>
        <v/>
      </c>
      <c r="AU728" s="53" t="str">
        <f aca="false">IF($E728&lt;&gt;"",$E728,"")</f>
        <v/>
      </c>
      <c r="AV728" s="52" t="str">
        <f aca="false">IF($F728&lt;&gt;"",$F728,"")</f>
        <v>Apprenant 716 ou 716'</v>
      </c>
      <c r="AW728" s="55" t="str">
        <f aca="false">IF(AND('Choix pédagogiques'!$C$4&lt;&gt;"?",'Choix pédagogiques'!$C$5&lt;&gt;"?",AB728&lt;&gt;""),(AB728-'Choix pédagogiques'!$C$4)/('Choix pédagogiques'!$C$5-'Choix pédagogiques'!$C$4),"")</f>
        <v/>
      </c>
      <c r="AX728" s="55" t="str">
        <f aca="false">IF(AND('Choix pédagogiques'!$C$4&lt;&gt;"?",'Choix pédagogiques'!$C$5&lt;&gt;"?",AC728&lt;&gt;""),(AC728-'Choix pédagogiques'!$C$4)/('Choix pédagogiques'!$C$5-'Choix pédagogiques'!$C$4),"")</f>
        <v/>
      </c>
      <c r="AY728" s="55" t="str">
        <f aca="false">IF(AND('Choix pédagogiques'!$C$4&lt;&gt;"?",'Choix pédagogiques'!$C$5&lt;&gt;"?",AD728&lt;&gt;""),(AD728-'Choix pédagogiques'!$C$4)/('Choix pédagogiques'!$C$5-'Choix pédagogiques'!$C$4),"")</f>
        <v/>
      </c>
      <c r="AZ728" s="53" t="str">
        <f aca="false">IF($J728&lt;&gt;"",$J728,"")</f>
        <v/>
      </c>
      <c r="BA728" s="52" t="str">
        <f aca="false">IF($A728&lt;&gt;"",$A728,"")</f>
        <v>Apprenant 716</v>
      </c>
      <c r="BB728" s="55" t="str">
        <f aca="false">IF(AND($AR728&lt;&gt;"",$AS728&lt;&gt;""),$AS728-$AR728,"")</f>
        <v/>
      </c>
      <c r="BC728" s="55" t="str">
        <f aca="false">IF(AND($AR728&lt;&gt;"",$AT728&lt;&gt;""),$AT728-$AR728,"")</f>
        <v/>
      </c>
      <c r="BD728" s="55" t="str">
        <f aca="false">IF(AND($AS728&lt;&gt;"",$AT728&lt;&gt;""),$AT728-$AS728,"")</f>
        <v/>
      </c>
      <c r="BE728" s="53" t="str">
        <f aca="false">IF($E728&lt;&gt;"",$E728,"")</f>
        <v/>
      </c>
      <c r="BF728" s="52" t="str">
        <f aca="false">IF($F728&lt;&gt;"",$F728,"")</f>
        <v>Apprenant 716 ou 716'</v>
      </c>
      <c r="BG728" s="55" t="str">
        <f aca="false">IF(AND($AW728&lt;&gt;"",$AX728&lt;&gt;""),$AX728-$AW728,"")</f>
        <v/>
      </c>
      <c r="BH728" s="55" t="str">
        <f aca="false">IF(AND($AW728&lt;&gt;"",$AY728&lt;&gt;""),$AY728-$AW728,"")</f>
        <v/>
      </c>
      <c r="BI728" s="55" t="str">
        <f aca="false">IF(AND($AX728&lt;&gt;"",$AY728&lt;&gt;""),$AY728-$AX728,"")</f>
        <v/>
      </c>
      <c r="BJ728" s="53" t="str">
        <f aca="false">IF($J728&lt;&gt;"",$J728,"")</f>
        <v/>
      </c>
      <c r="BL728" s="52"/>
      <c r="BM728" s="52" t="str">
        <f aca="false">IF(OR(COUNT(B728:D1727)=0,AND('Choix pédagogiques'!$C$3&lt;&gt;1,'Choix pédagogiques'!$C$3&lt;&gt;2)),"",IF(AND(OR('Choix pédagogiques'!$C$3=1,'Choix pédagogiques'!$C$3=2),$B728&lt;&gt;"",$C728&lt;&gt;"",$D728&lt;&gt;""),1,0))</f>
        <v/>
      </c>
      <c r="BN728" s="52" t="str">
        <f aca="false">IF(OR(COUNT(G728:I1727)=0,AND('Choix pédagogiques'!$C$3&lt;&gt;1,'Choix pédagogiques'!$C$3&lt;&gt;2)),"",IF(AND(OR('Choix pédagogiques'!$C$3=1,'Choix pédagogiques'!$C$3=2),AND($G728&lt;&gt;"",$H728&lt;&gt;"",$I728&lt;&gt;"")),1,0))</f>
        <v/>
      </c>
      <c r="BO728" s="52" t="str">
        <f aca="false">IF(OR(COUNT(B728:D1727)=0,COUNT(G728:I1727)=0,'Choix pédagogiques'!C$3&lt;&gt;3),"",IF(AND('Choix pédagogiques'!$C$3=3,$B728&lt;&gt;"",$C728&lt;&gt;"",$D728&lt;&gt;"",$G728&lt;&gt;"",$H728&lt;&gt;"",$I728&lt;&gt;""),1,0))</f>
        <v/>
      </c>
      <c r="BR728" s="52" t="n">
        <v>89</v>
      </c>
      <c r="BS728" s="52" t="n">
        <v>1300</v>
      </c>
    </row>
    <row r="729" s="54" customFormat="true" ht="18" hidden="false" customHeight="true" outlineLevel="0" collapsed="false">
      <c r="A729" s="57" t="s">
        <v>1389</v>
      </c>
      <c r="B729" s="51"/>
      <c r="C729" s="51"/>
      <c r="D729" s="51"/>
      <c r="E729" s="51"/>
      <c r="F729" s="57" t="s">
        <v>1390</v>
      </c>
      <c r="G729" s="51"/>
      <c r="H729" s="51"/>
      <c r="I729" s="51"/>
      <c r="J729" s="51"/>
      <c r="K729" s="52" t="str">
        <f aca="false">IF($A729&lt;&gt;"",$A729,"")</f>
        <v>Apprenant 717</v>
      </c>
      <c r="L729" s="53" t="str">
        <f aca="false">IF(AND($B729&lt;&gt;"",$C729&lt;&gt;""),$C729-$B729,"")</f>
        <v/>
      </c>
      <c r="M729" s="53" t="str">
        <f aca="false">IF(AND($B729&lt;&gt;"",$D729&lt;&gt;""),$D729-$B729,"")</f>
        <v/>
      </c>
      <c r="N729" s="53" t="str">
        <f aca="false">IF(AND($C729&lt;&gt;"",$D729&lt;&gt;""),$D729-$C729,"")</f>
        <v/>
      </c>
      <c r="O729" s="53" t="str">
        <f aca="false">IF($E729&lt;&gt;"",$E729,"")</f>
        <v/>
      </c>
      <c r="P729" s="52" t="str">
        <f aca="false">IF($F729&lt;&gt;"",$F729,"")</f>
        <v>Apprenant 717 ou 717'</v>
      </c>
      <c r="Q729" s="53" t="str">
        <f aca="false">IF(AND($G729&lt;&gt;"",$H729&lt;&gt;""),$H729-$G729,"")</f>
        <v/>
      </c>
      <c r="R729" s="53" t="str">
        <f aca="false">IF(AND($G729&lt;&gt;"",$I729&lt;&gt;""),$I729-$G729,"")</f>
        <v/>
      </c>
      <c r="S729" s="53" t="str">
        <f aca="false">IF(AND($H729&lt;&gt;"",$I729&lt;&gt;""),$I729-$H729,"")</f>
        <v/>
      </c>
      <c r="T729" s="53" t="str">
        <f aca="false">IF($J729&lt;&gt;"",$J729,"")</f>
        <v/>
      </c>
      <c r="V729" s="52" t="str">
        <f aca="false">IF($A729&lt;&gt;"",$A729,"")</f>
        <v>Apprenant 717</v>
      </c>
      <c r="W729" s="53" t="str">
        <f aca="false">IF(AND(OR('Choix pédagogiques'!$C$3=1,'Choix pédagogiques'!$C$3=2),$BM729=1),B729,IF(AND('Choix pédagogiques'!$C$3=3,$BO729=1),B729,""))</f>
        <v/>
      </c>
      <c r="X729" s="53" t="str">
        <f aca="false">IF(AND(OR('Choix pédagogiques'!$C$3=1,'Choix pédagogiques'!$C$3=2),$BM729=1),C729,IF(AND('Choix pédagogiques'!$C$3=3,$BO729=1),C729,""))</f>
        <v/>
      </c>
      <c r="Y729" s="53" t="str">
        <f aca="false">IF(AND(OR('Choix pédagogiques'!$C$3=1,'Choix pédagogiques'!$C$3=2),$BM729=1),D729,IF(AND('Choix pédagogiques'!$C$3=3,$BO729=1),D729,""))</f>
        <v/>
      </c>
      <c r="Z729" s="53" t="str">
        <f aca="false">IF($E729&lt;&gt;"",$E729,"")</f>
        <v/>
      </c>
      <c r="AA729" s="52" t="str">
        <f aca="false">IF($F729&lt;&gt;"",$F729,"")</f>
        <v>Apprenant 717 ou 717'</v>
      </c>
      <c r="AB729" s="53" t="str">
        <f aca="false">IF(AND(OR('Choix pédagogiques'!$C$3=1,'Choix pédagogiques'!$C$3=2),$BN729=1),G729,IF(AND('Choix pédagogiques'!$C$3=3,$BO729=1),G729,""))</f>
        <v/>
      </c>
      <c r="AC729" s="53" t="str">
        <f aca="false">IF(AND(OR('Choix pédagogiques'!$C$3=1,'Choix pédagogiques'!$C$3=2),$BN729=1),H729,IF(AND('Choix pédagogiques'!$C$3=3,$BO729=1),H729,""))</f>
        <v/>
      </c>
      <c r="AD729" s="53" t="str">
        <f aca="false">IF(AND(OR('Choix pédagogiques'!$C$3=1,'Choix pédagogiques'!$C$3=2),$BN729=1),I729,IF(AND('Choix pédagogiques'!$C$3=3,$BO729=1),I729,""))</f>
        <v/>
      </c>
      <c r="AE729" s="53" t="str">
        <f aca="false">IF($J729&lt;&gt;"",$J729,"")</f>
        <v/>
      </c>
      <c r="AF729" s="52" t="str">
        <f aca="false">IF($A729&lt;&gt;"",$A729,"")</f>
        <v>Apprenant 717</v>
      </c>
      <c r="AG729" s="53" t="str">
        <f aca="false">IF(AND($W729&lt;&gt;"",$X729&lt;&gt;""),$X729-$W729,"")</f>
        <v/>
      </c>
      <c r="AH729" s="53" t="str">
        <f aca="false">IF(AND($W729&lt;&gt;"",$Y729&lt;&gt;""),$Y729-$W729,"")</f>
        <v/>
      </c>
      <c r="AI729" s="53" t="str">
        <f aca="false">IF(AND($X729&lt;&gt;"",$Y729&lt;&gt;""),$Y729-$X729,"")</f>
        <v/>
      </c>
      <c r="AJ729" s="53" t="str">
        <f aca="false">IF($E729&lt;&gt;"",$E729,"")</f>
        <v/>
      </c>
      <c r="AK729" s="52" t="str">
        <f aca="false">IF($F729&lt;&gt;"",$F729,"")</f>
        <v>Apprenant 717 ou 717'</v>
      </c>
      <c r="AL729" s="53" t="str">
        <f aca="false">IF(AND($AB729&lt;&gt;"",$AC729&lt;&gt;""),$AC729-$AB729,"")</f>
        <v/>
      </c>
      <c r="AM729" s="53" t="str">
        <f aca="false">IF(AND($AB729&lt;&gt;"",$AD729&lt;&gt;""),$AD729-$AB729,"")</f>
        <v/>
      </c>
      <c r="AN729" s="53" t="str">
        <f aca="false">IF(AND($AC729&lt;&gt;"",$AD729&lt;&gt;""),$AD729-$AC729,"")</f>
        <v/>
      </c>
      <c r="AO729" s="53" t="str">
        <f aca="false">IF($J729&lt;&gt;"",$J729,"")</f>
        <v/>
      </c>
      <c r="AQ729" s="52" t="str">
        <f aca="false">IF($A729&lt;&gt;"",$A729,"")</f>
        <v>Apprenant 717</v>
      </c>
      <c r="AR729" s="55" t="str">
        <f aca="false">IF(AND('Choix pédagogiques'!$C$4&lt;&gt;"?",'Choix pédagogiques'!$C$5&lt;&gt;"?",W729&lt;&gt;""),(W729-'Choix pédagogiques'!$C$4)/('Choix pédagogiques'!$C$5-'Choix pédagogiques'!$C$4),"")</f>
        <v/>
      </c>
      <c r="AS729" s="55" t="str">
        <f aca="false">IF(AND('Choix pédagogiques'!$C$4&lt;&gt;"?",'Choix pédagogiques'!$C$5&lt;&gt;"?",X729&lt;&gt;""),(X729-'Choix pédagogiques'!$C$4)/('Choix pédagogiques'!$C$5-'Choix pédagogiques'!$C$4),"")</f>
        <v/>
      </c>
      <c r="AT729" s="55" t="str">
        <f aca="false">IF(AND('Choix pédagogiques'!$C$4&lt;&gt;"?",'Choix pédagogiques'!$C$5&lt;&gt;"?",Y729&lt;&gt;""),(Y729-'Choix pédagogiques'!$C$4)/('Choix pédagogiques'!$C$5-'Choix pédagogiques'!$C$4),"")</f>
        <v/>
      </c>
      <c r="AU729" s="53" t="str">
        <f aca="false">IF($E729&lt;&gt;"",$E729,"")</f>
        <v/>
      </c>
      <c r="AV729" s="52" t="str">
        <f aca="false">IF($F729&lt;&gt;"",$F729,"")</f>
        <v>Apprenant 717 ou 717'</v>
      </c>
      <c r="AW729" s="55" t="str">
        <f aca="false">IF(AND('Choix pédagogiques'!$C$4&lt;&gt;"?",'Choix pédagogiques'!$C$5&lt;&gt;"?",AB729&lt;&gt;""),(AB729-'Choix pédagogiques'!$C$4)/('Choix pédagogiques'!$C$5-'Choix pédagogiques'!$C$4),"")</f>
        <v/>
      </c>
      <c r="AX729" s="55" t="str">
        <f aca="false">IF(AND('Choix pédagogiques'!$C$4&lt;&gt;"?",'Choix pédagogiques'!$C$5&lt;&gt;"?",AC729&lt;&gt;""),(AC729-'Choix pédagogiques'!$C$4)/('Choix pédagogiques'!$C$5-'Choix pédagogiques'!$C$4),"")</f>
        <v/>
      </c>
      <c r="AY729" s="55" t="str">
        <f aca="false">IF(AND('Choix pédagogiques'!$C$4&lt;&gt;"?",'Choix pédagogiques'!$C$5&lt;&gt;"?",AD729&lt;&gt;""),(AD729-'Choix pédagogiques'!$C$4)/('Choix pédagogiques'!$C$5-'Choix pédagogiques'!$C$4),"")</f>
        <v/>
      </c>
      <c r="AZ729" s="53" t="str">
        <f aca="false">IF($J729&lt;&gt;"",$J729,"")</f>
        <v/>
      </c>
      <c r="BA729" s="52" t="str">
        <f aca="false">IF($A729&lt;&gt;"",$A729,"")</f>
        <v>Apprenant 717</v>
      </c>
      <c r="BB729" s="55" t="str">
        <f aca="false">IF(AND($AR729&lt;&gt;"",$AS729&lt;&gt;""),$AS729-$AR729,"")</f>
        <v/>
      </c>
      <c r="BC729" s="55" t="str">
        <f aca="false">IF(AND($AR729&lt;&gt;"",$AT729&lt;&gt;""),$AT729-$AR729,"")</f>
        <v/>
      </c>
      <c r="BD729" s="55" t="str">
        <f aca="false">IF(AND($AS729&lt;&gt;"",$AT729&lt;&gt;""),$AT729-$AS729,"")</f>
        <v/>
      </c>
      <c r="BE729" s="53" t="str">
        <f aca="false">IF($E729&lt;&gt;"",$E729,"")</f>
        <v/>
      </c>
      <c r="BF729" s="52" t="str">
        <f aca="false">IF($F729&lt;&gt;"",$F729,"")</f>
        <v>Apprenant 717 ou 717'</v>
      </c>
      <c r="BG729" s="55" t="str">
        <f aca="false">IF(AND($AW729&lt;&gt;"",$AX729&lt;&gt;""),$AX729-$AW729,"")</f>
        <v/>
      </c>
      <c r="BH729" s="55" t="str">
        <f aca="false">IF(AND($AW729&lt;&gt;"",$AY729&lt;&gt;""),$AY729-$AW729,"")</f>
        <v/>
      </c>
      <c r="BI729" s="55" t="str">
        <f aca="false">IF(AND($AX729&lt;&gt;"",$AY729&lt;&gt;""),$AY729-$AX729,"")</f>
        <v/>
      </c>
      <c r="BJ729" s="53" t="str">
        <f aca="false">IF($J729&lt;&gt;"",$J729,"")</f>
        <v/>
      </c>
      <c r="BL729" s="52"/>
      <c r="BM729" s="52" t="str">
        <f aca="false">IF(OR(COUNT(B729:D1728)=0,AND('Choix pédagogiques'!$C$3&lt;&gt;1,'Choix pédagogiques'!$C$3&lt;&gt;2)),"",IF(AND(OR('Choix pédagogiques'!$C$3=1,'Choix pédagogiques'!$C$3=2),$B729&lt;&gt;"",$C729&lt;&gt;"",$D729&lt;&gt;""),1,0))</f>
        <v/>
      </c>
      <c r="BN729" s="52" t="str">
        <f aca="false">IF(OR(COUNT(G729:I1728)=0,AND('Choix pédagogiques'!$C$3&lt;&gt;1,'Choix pédagogiques'!$C$3&lt;&gt;2)),"",IF(AND(OR('Choix pédagogiques'!$C$3=1,'Choix pédagogiques'!$C$3=2),AND($G729&lt;&gt;"",$H729&lt;&gt;"",$I729&lt;&gt;"")),1,0))</f>
        <v/>
      </c>
      <c r="BO729" s="52" t="str">
        <f aca="false">IF(OR(COUNT(B729:D1728)=0,COUNT(G729:I1728)=0,'Choix pédagogiques'!C$3&lt;&gt;3),"",IF(AND('Choix pédagogiques'!$C$3=3,$B729&lt;&gt;"",$C729&lt;&gt;"",$D729&lt;&gt;"",$G729&lt;&gt;"",$H729&lt;&gt;"",$I729&lt;&gt;""),1,0))</f>
        <v/>
      </c>
      <c r="BR729" s="52" t="n">
        <v>738</v>
      </c>
      <c r="BS729" s="52" t="n">
        <v>1359</v>
      </c>
    </row>
    <row r="730" s="54" customFormat="true" ht="18" hidden="false" customHeight="true" outlineLevel="0" collapsed="false">
      <c r="A730" s="57" t="s">
        <v>1391</v>
      </c>
      <c r="B730" s="51"/>
      <c r="C730" s="51"/>
      <c r="D730" s="51"/>
      <c r="E730" s="51"/>
      <c r="F730" s="57" t="s">
        <v>1392</v>
      </c>
      <c r="G730" s="51"/>
      <c r="H730" s="51"/>
      <c r="I730" s="51"/>
      <c r="J730" s="51"/>
      <c r="K730" s="52" t="str">
        <f aca="false">IF($A730&lt;&gt;"",$A730,"")</f>
        <v>Apprenant 718</v>
      </c>
      <c r="L730" s="53" t="str">
        <f aca="false">IF(AND($B730&lt;&gt;"",$C730&lt;&gt;""),$C730-$B730,"")</f>
        <v/>
      </c>
      <c r="M730" s="53" t="str">
        <f aca="false">IF(AND($B730&lt;&gt;"",$D730&lt;&gt;""),$D730-$B730,"")</f>
        <v/>
      </c>
      <c r="N730" s="53" t="str">
        <f aca="false">IF(AND($C730&lt;&gt;"",$D730&lt;&gt;""),$D730-$C730,"")</f>
        <v/>
      </c>
      <c r="O730" s="53" t="str">
        <f aca="false">IF($E730&lt;&gt;"",$E730,"")</f>
        <v/>
      </c>
      <c r="P730" s="52" t="str">
        <f aca="false">IF($F730&lt;&gt;"",$F730,"")</f>
        <v>Apprenant 718 ou 718'</v>
      </c>
      <c r="Q730" s="53" t="str">
        <f aca="false">IF(AND($G730&lt;&gt;"",$H730&lt;&gt;""),$H730-$G730,"")</f>
        <v/>
      </c>
      <c r="R730" s="53" t="str">
        <f aca="false">IF(AND($G730&lt;&gt;"",$I730&lt;&gt;""),$I730-$G730,"")</f>
        <v/>
      </c>
      <c r="S730" s="53" t="str">
        <f aca="false">IF(AND($H730&lt;&gt;"",$I730&lt;&gt;""),$I730-$H730,"")</f>
        <v/>
      </c>
      <c r="T730" s="53" t="str">
        <f aca="false">IF($J730&lt;&gt;"",$J730,"")</f>
        <v/>
      </c>
      <c r="V730" s="52" t="str">
        <f aca="false">IF($A730&lt;&gt;"",$A730,"")</f>
        <v>Apprenant 718</v>
      </c>
      <c r="W730" s="53" t="str">
        <f aca="false">IF(AND(OR('Choix pédagogiques'!$C$3=1,'Choix pédagogiques'!$C$3=2),$BM730=1),B730,IF(AND('Choix pédagogiques'!$C$3=3,$BO730=1),B730,""))</f>
        <v/>
      </c>
      <c r="X730" s="53" t="str">
        <f aca="false">IF(AND(OR('Choix pédagogiques'!$C$3=1,'Choix pédagogiques'!$C$3=2),$BM730=1),C730,IF(AND('Choix pédagogiques'!$C$3=3,$BO730=1),C730,""))</f>
        <v/>
      </c>
      <c r="Y730" s="53" t="str">
        <f aca="false">IF(AND(OR('Choix pédagogiques'!$C$3=1,'Choix pédagogiques'!$C$3=2),$BM730=1),D730,IF(AND('Choix pédagogiques'!$C$3=3,$BO730=1),D730,""))</f>
        <v/>
      </c>
      <c r="Z730" s="53" t="str">
        <f aca="false">IF($E730&lt;&gt;"",$E730,"")</f>
        <v/>
      </c>
      <c r="AA730" s="52" t="str">
        <f aca="false">IF($F730&lt;&gt;"",$F730,"")</f>
        <v>Apprenant 718 ou 718'</v>
      </c>
      <c r="AB730" s="53" t="str">
        <f aca="false">IF(AND(OR('Choix pédagogiques'!$C$3=1,'Choix pédagogiques'!$C$3=2),$BN730=1),G730,IF(AND('Choix pédagogiques'!$C$3=3,$BO730=1),G730,""))</f>
        <v/>
      </c>
      <c r="AC730" s="53" t="str">
        <f aca="false">IF(AND(OR('Choix pédagogiques'!$C$3=1,'Choix pédagogiques'!$C$3=2),$BN730=1),H730,IF(AND('Choix pédagogiques'!$C$3=3,$BO730=1),H730,""))</f>
        <v/>
      </c>
      <c r="AD730" s="53" t="str">
        <f aca="false">IF(AND(OR('Choix pédagogiques'!$C$3=1,'Choix pédagogiques'!$C$3=2),$BN730=1),I730,IF(AND('Choix pédagogiques'!$C$3=3,$BO730=1),I730,""))</f>
        <v/>
      </c>
      <c r="AE730" s="53" t="str">
        <f aca="false">IF($J730&lt;&gt;"",$J730,"")</f>
        <v/>
      </c>
      <c r="AF730" s="52" t="str">
        <f aca="false">IF($A730&lt;&gt;"",$A730,"")</f>
        <v>Apprenant 718</v>
      </c>
      <c r="AG730" s="53" t="str">
        <f aca="false">IF(AND($W730&lt;&gt;"",$X730&lt;&gt;""),$X730-$W730,"")</f>
        <v/>
      </c>
      <c r="AH730" s="53" t="str">
        <f aca="false">IF(AND($W730&lt;&gt;"",$Y730&lt;&gt;""),$Y730-$W730,"")</f>
        <v/>
      </c>
      <c r="AI730" s="53" t="str">
        <f aca="false">IF(AND($X730&lt;&gt;"",$Y730&lt;&gt;""),$Y730-$X730,"")</f>
        <v/>
      </c>
      <c r="AJ730" s="53" t="str">
        <f aca="false">IF($E730&lt;&gt;"",$E730,"")</f>
        <v/>
      </c>
      <c r="AK730" s="52" t="str">
        <f aca="false">IF($F730&lt;&gt;"",$F730,"")</f>
        <v>Apprenant 718 ou 718'</v>
      </c>
      <c r="AL730" s="53" t="str">
        <f aca="false">IF(AND($AB730&lt;&gt;"",$AC730&lt;&gt;""),$AC730-$AB730,"")</f>
        <v/>
      </c>
      <c r="AM730" s="53" t="str">
        <f aca="false">IF(AND($AB730&lt;&gt;"",$AD730&lt;&gt;""),$AD730-$AB730,"")</f>
        <v/>
      </c>
      <c r="AN730" s="53" t="str">
        <f aca="false">IF(AND($AC730&lt;&gt;"",$AD730&lt;&gt;""),$AD730-$AC730,"")</f>
        <v/>
      </c>
      <c r="AO730" s="53" t="str">
        <f aca="false">IF($J730&lt;&gt;"",$J730,"")</f>
        <v/>
      </c>
      <c r="AQ730" s="52" t="str">
        <f aca="false">IF($A730&lt;&gt;"",$A730,"")</f>
        <v>Apprenant 718</v>
      </c>
      <c r="AR730" s="55" t="str">
        <f aca="false">IF(AND('Choix pédagogiques'!$C$4&lt;&gt;"?",'Choix pédagogiques'!$C$5&lt;&gt;"?",W730&lt;&gt;""),(W730-'Choix pédagogiques'!$C$4)/('Choix pédagogiques'!$C$5-'Choix pédagogiques'!$C$4),"")</f>
        <v/>
      </c>
      <c r="AS730" s="55" t="str">
        <f aca="false">IF(AND('Choix pédagogiques'!$C$4&lt;&gt;"?",'Choix pédagogiques'!$C$5&lt;&gt;"?",X730&lt;&gt;""),(X730-'Choix pédagogiques'!$C$4)/('Choix pédagogiques'!$C$5-'Choix pédagogiques'!$C$4),"")</f>
        <v/>
      </c>
      <c r="AT730" s="55" t="str">
        <f aca="false">IF(AND('Choix pédagogiques'!$C$4&lt;&gt;"?",'Choix pédagogiques'!$C$5&lt;&gt;"?",Y730&lt;&gt;""),(Y730-'Choix pédagogiques'!$C$4)/('Choix pédagogiques'!$C$5-'Choix pédagogiques'!$C$4),"")</f>
        <v/>
      </c>
      <c r="AU730" s="53" t="str">
        <f aca="false">IF($E730&lt;&gt;"",$E730,"")</f>
        <v/>
      </c>
      <c r="AV730" s="52" t="str">
        <f aca="false">IF($F730&lt;&gt;"",$F730,"")</f>
        <v>Apprenant 718 ou 718'</v>
      </c>
      <c r="AW730" s="55" t="str">
        <f aca="false">IF(AND('Choix pédagogiques'!$C$4&lt;&gt;"?",'Choix pédagogiques'!$C$5&lt;&gt;"?",AB730&lt;&gt;""),(AB730-'Choix pédagogiques'!$C$4)/('Choix pédagogiques'!$C$5-'Choix pédagogiques'!$C$4),"")</f>
        <v/>
      </c>
      <c r="AX730" s="55" t="str">
        <f aca="false">IF(AND('Choix pédagogiques'!$C$4&lt;&gt;"?",'Choix pédagogiques'!$C$5&lt;&gt;"?",AC730&lt;&gt;""),(AC730-'Choix pédagogiques'!$C$4)/('Choix pédagogiques'!$C$5-'Choix pédagogiques'!$C$4),"")</f>
        <v/>
      </c>
      <c r="AY730" s="55" t="str">
        <f aca="false">IF(AND('Choix pédagogiques'!$C$4&lt;&gt;"?",'Choix pédagogiques'!$C$5&lt;&gt;"?",AD730&lt;&gt;""),(AD730-'Choix pédagogiques'!$C$4)/('Choix pédagogiques'!$C$5-'Choix pédagogiques'!$C$4),"")</f>
        <v/>
      </c>
      <c r="AZ730" s="53" t="str">
        <f aca="false">IF($J730&lt;&gt;"",$J730,"")</f>
        <v/>
      </c>
      <c r="BA730" s="52" t="str">
        <f aca="false">IF($A730&lt;&gt;"",$A730,"")</f>
        <v>Apprenant 718</v>
      </c>
      <c r="BB730" s="55" t="str">
        <f aca="false">IF(AND($AR730&lt;&gt;"",$AS730&lt;&gt;""),$AS730-$AR730,"")</f>
        <v/>
      </c>
      <c r="BC730" s="55" t="str">
        <f aca="false">IF(AND($AR730&lt;&gt;"",$AT730&lt;&gt;""),$AT730-$AR730,"")</f>
        <v/>
      </c>
      <c r="BD730" s="55" t="str">
        <f aca="false">IF(AND($AS730&lt;&gt;"",$AT730&lt;&gt;""),$AT730-$AS730,"")</f>
        <v/>
      </c>
      <c r="BE730" s="53" t="str">
        <f aca="false">IF($E730&lt;&gt;"",$E730,"")</f>
        <v/>
      </c>
      <c r="BF730" s="52" t="str">
        <f aca="false">IF($F730&lt;&gt;"",$F730,"")</f>
        <v>Apprenant 718 ou 718'</v>
      </c>
      <c r="BG730" s="55" t="str">
        <f aca="false">IF(AND($AW730&lt;&gt;"",$AX730&lt;&gt;""),$AX730-$AW730,"")</f>
        <v/>
      </c>
      <c r="BH730" s="55" t="str">
        <f aca="false">IF(AND($AW730&lt;&gt;"",$AY730&lt;&gt;""),$AY730-$AW730,"")</f>
        <v/>
      </c>
      <c r="BI730" s="55" t="str">
        <f aca="false">IF(AND($AX730&lt;&gt;"",$AY730&lt;&gt;""),$AY730-$AX730,"")</f>
        <v/>
      </c>
      <c r="BJ730" s="53" t="str">
        <f aca="false">IF($J730&lt;&gt;"",$J730,"")</f>
        <v/>
      </c>
      <c r="BL730" s="52"/>
      <c r="BM730" s="52" t="str">
        <f aca="false">IF(OR(COUNT(B730:D1729)=0,AND('Choix pédagogiques'!$C$3&lt;&gt;1,'Choix pédagogiques'!$C$3&lt;&gt;2)),"",IF(AND(OR('Choix pédagogiques'!$C$3=1,'Choix pédagogiques'!$C$3=2),$B730&lt;&gt;"",$C730&lt;&gt;"",$D730&lt;&gt;""),1,0))</f>
        <v/>
      </c>
      <c r="BN730" s="52" t="str">
        <f aca="false">IF(OR(COUNT(G730:I1729)=0,AND('Choix pédagogiques'!$C$3&lt;&gt;1,'Choix pédagogiques'!$C$3&lt;&gt;2)),"",IF(AND(OR('Choix pédagogiques'!$C$3=1,'Choix pédagogiques'!$C$3=2),AND($G730&lt;&gt;"",$H730&lt;&gt;"",$I730&lt;&gt;"")),1,0))</f>
        <v/>
      </c>
      <c r="BO730" s="52" t="str">
        <f aca="false">IF(OR(COUNT(B730:D1729)=0,COUNT(G730:I1729)=0,'Choix pédagogiques'!C$3&lt;&gt;3),"",IF(AND('Choix pédagogiques'!$C$3=3,$B730&lt;&gt;"",$C730&lt;&gt;"",$D730&lt;&gt;"",$G730&lt;&gt;"",$H730&lt;&gt;"",$I730&lt;&gt;""),1,0))</f>
        <v/>
      </c>
      <c r="BR730" s="52" t="n">
        <v>648</v>
      </c>
      <c r="BS730" s="52" t="n">
        <v>1077</v>
      </c>
    </row>
    <row r="731" s="54" customFormat="true" ht="18" hidden="false" customHeight="true" outlineLevel="0" collapsed="false">
      <c r="A731" s="57" t="s">
        <v>1393</v>
      </c>
      <c r="B731" s="51"/>
      <c r="C731" s="51"/>
      <c r="D731" s="51"/>
      <c r="E731" s="51"/>
      <c r="F731" s="57" t="s">
        <v>1394</v>
      </c>
      <c r="G731" s="51"/>
      <c r="H731" s="51"/>
      <c r="I731" s="51"/>
      <c r="J731" s="51"/>
      <c r="K731" s="52" t="str">
        <f aca="false">IF($A731&lt;&gt;"",$A731,"")</f>
        <v>Apprenant 719</v>
      </c>
      <c r="L731" s="53" t="str">
        <f aca="false">IF(AND($B731&lt;&gt;"",$C731&lt;&gt;""),$C731-$B731,"")</f>
        <v/>
      </c>
      <c r="M731" s="53" t="str">
        <f aca="false">IF(AND($B731&lt;&gt;"",$D731&lt;&gt;""),$D731-$B731,"")</f>
        <v/>
      </c>
      <c r="N731" s="53" t="str">
        <f aca="false">IF(AND($C731&lt;&gt;"",$D731&lt;&gt;""),$D731-$C731,"")</f>
        <v/>
      </c>
      <c r="O731" s="53" t="str">
        <f aca="false">IF($E731&lt;&gt;"",$E731,"")</f>
        <v/>
      </c>
      <c r="P731" s="52" t="str">
        <f aca="false">IF($F731&lt;&gt;"",$F731,"")</f>
        <v>Apprenant 719 ou 719'</v>
      </c>
      <c r="Q731" s="53" t="str">
        <f aca="false">IF(AND($G731&lt;&gt;"",$H731&lt;&gt;""),$H731-$G731,"")</f>
        <v/>
      </c>
      <c r="R731" s="53" t="str">
        <f aca="false">IF(AND($G731&lt;&gt;"",$I731&lt;&gt;""),$I731-$G731,"")</f>
        <v/>
      </c>
      <c r="S731" s="53" t="str">
        <f aca="false">IF(AND($H731&lt;&gt;"",$I731&lt;&gt;""),$I731-$H731,"")</f>
        <v/>
      </c>
      <c r="T731" s="53" t="str">
        <f aca="false">IF($J731&lt;&gt;"",$J731,"")</f>
        <v/>
      </c>
      <c r="V731" s="52" t="str">
        <f aca="false">IF($A731&lt;&gt;"",$A731,"")</f>
        <v>Apprenant 719</v>
      </c>
      <c r="W731" s="53" t="str">
        <f aca="false">IF(AND(OR('Choix pédagogiques'!$C$3=1,'Choix pédagogiques'!$C$3=2),$BM731=1),B731,IF(AND('Choix pédagogiques'!$C$3=3,$BO731=1),B731,""))</f>
        <v/>
      </c>
      <c r="X731" s="53" t="str">
        <f aca="false">IF(AND(OR('Choix pédagogiques'!$C$3=1,'Choix pédagogiques'!$C$3=2),$BM731=1),C731,IF(AND('Choix pédagogiques'!$C$3=3,$BO731=1),C731,""))</f>
        <v/>
      </c>
      <c r="Y731" s="53" t="str">
        <f aca="false">IF(AND(OR('Choix pédagogiques'!$C$3=1,'Choix pédagogiques'!$C$3=2),$BM731=1),D731,IF(AND('Choix pédagogiques'!$C$3=3,$BO731=1),D731,""))</f>
        <v/>
      </c>
      <c r="Z731" s="53" t="str">
        <f aca="false">IF($E731&lt;&gt;"",$E731,"")</f>
        <v/>
      </c>
      <c r="AA731" s="52" t="str">
        <f aca="false">IF($F731&lt;&gt;"",$F731,"")</f>
        <v>Apprenant 719 ou 719'</v>
      </c>
      <c r="AB731" s="53" t="str">
        <f aca="false">IF(AND(OR('Choix pédagogiques'!$C$3=1,'Choix pédagogiques'!$C$3=2),$BN731=1),G731,IF(AND('Choix pédagogiques'!$C$3=3,$BO731=1),G731,""))</f>
        <v/>
      </c>
      <c r="AC731" s="53" t="str">
        <f aca="false">IF(AND(OR('Choix pédagogiques'!$C$3=1,'Choix pédagogiques'!$C$3=2),$BN731=1),H731,IF(AND('Choix pédagogiques'!$C$3=3,$BO731=1),H731,""))</f>
        <v/>
      </c>
      <c r="AD731" s="53" t="str">
        <f aca="false">IF(AND(OR('Choix pédagogiques'!$C$3=1,'Choix pédagogiques'!$C$3=2),$BN731=1),I731,IF(AND('Choix pédagogiques'!$C$3=3,$BO731=1),I731,""))</f>
        <v/>
      </c>
      <c r="AE731" s="53" t="str">
        <f aca="false">IF($J731&lt;&gt;"",$J731,"")</f>
        <v/>
      </c>
      <c r="AF731" s="52" t="str">
        <f aca="false">IF($A731&lt;&gt;"",$A731,"")</f>
        <v>Apprenant 719</v>
      </c>
      <c r="AG731" s="53" t="str">
        <f aca="false">IF(AND($W731&lt;&gt;"",$X731&lt;&gt;""),$X731-$W731,"")</f>
        <v/>
      </c>
      <c r="AH731" s="53" t="str">
        <f aca="false">IF(AND($W731&lt;&gt;"",$Y731&lt;&gt;""),$Y731-$W731,"")</f>
        <v/>
      </c>
      <c r="AI731" s="53" t="str">
        <f aca="false">IF(AND($X731&lt;&gt;"",$Y731&lt;&gt;""),$Y731-$X731,"")</f>
        <v/>
      </c>
      <c r="AJ731" s="53" t="str">
        <f aca="false">IF($E731&lt;&gt;"",$E731,"")</f>
        <v/>
      </c>
      <c r="AK731" s="52" t="str">
        <f aca="false">IF($F731&lt;&gt;"",$F731,"")</f>
        <v>Apprenant 719 ou 719'</v>
      </c>
      <c r="AL731" s="53" t="str">
        <f aca="false">IF(AND($AB731&lt;&gt;"",$AC731&lt;&gt;""),$AC731-$AB731,"")</f>
        <v/>
      </c>
      <c r="AM731" s="53" t="str">
        <f aca="false">IF(AND($AB731&lt;&gt;"",$AD731&lt;&gt;""),$AD731-$AB731,"")</f>
        <v/>
      </c>
      <c r="AN731" s="53" t="str">
        <f aca="false">IF(AND($AC731&lt;&gt;"",$AD731&lt;&gt;""),$AD731-$AC731,"")</f>
        <v/>
      </c>
      <c r="AO731" s="53" t="str">
        <f aca="false">IF($J731&lt;&gt;"",$J731,"")</f>
        <v/>
      </c>
      <c r="AQ731" s="52" t="str">
        <f aca="false">IF($A731&lt;&gt;"",$A731,"")</f>
        <v>Apprenant 719</v>
      </c>
      <c r="AR731" s="55" t="str">
        <f aca="false">IF(AND('Choix pédagogiques'!$C$4&lt;&gt;"?",'Choix pédagogiques'!$C$5&lt;&gt;"?",W731&lt;&gt;""),(W731-'Choix pédagogiques'!$C$4)/('Choix pédagogiques'!$C$5-'Choix pédagogiques'!$C$4),"")</f>
        <v/>
      </c>
      <c r="AS731" s="55" t="str">
        <f aca="false">IF(AND('Choix pédagogiques'!$C$4&lt;&gt;"?",'Choix pédagogiques'!$C$5&lt;&gt;"?",X731&lt;&gt;""),(X731-'Choix pédagogiques'!$C$4)/('Choix pédagogiques'!$C$5-'Choix pédagogiques'!$C$4),"")</f>
        <v/>
      </c>
      <c r="AT731" s="55" t="str">
        <f aca="false">IF(AND('Choix pédagogiques'!$C$4&lt;&gt;"?",'Choix pédagogiques'!$C$5&lt;&gt;"?",Y731&lt;&gt;""),(Y731-'Choix pédagogiques'!$C$4)/('Choix pédagogiques'!$C$5-'Choix pédagogiques'!$C$4),"")</f>
        <v/>
      </c>
      <c r="AU731" s="53" t="str">
        <f aca="false">IF($E731&lt;&gt;"",$E731,"")</f>
        <v/>
      </c>
      <c r="AV731" s="52" t="str">
        <f aca="false">IF($F731&lt;&gt;"",$F731,"")</f>
        <v>Apprenant 719 ou 719'</v>
      </c>
      <c r="AW731" s="55" t="str">
        <f aca="false">IF(AND('Choix pédagogiques'!$C$4&lt;&gt;"?",'Choix pédagogiques'!$C$5&lt;&gt;"?",AB731&lt;&gt;""),(AB731-'Choix pédagogiques'!$C$4)/('Choix pédagogiques'!$C$5-'Choix pédagogiques'!$C$4),"")</f>
        <v/>
      </c>
      <c r="AX731" s="55" t="str">
        <f aca="false">IF(AND('Choix pédagogiques'!$C$4&lt;&gt;"?",'Choix pédagogiques'!$C$5&lt;&gt;"?",AC731&lt;&gt;""),(AC731-'Choix pédagogiques'!$C$4)/('Choix pédagogiques'!$C$5-'Choix pédagogiques'!$C$4),"")</f>
        <v/>
      </c>
      <c r="AY731" s="55" t="str">
        <f aca="false">IF(AND('Choix pédagogiques'!$C$4&lt;&gt;"?",'Choix pédagogiques'!$C$5&lt;&gt;"?",AD731&lt;&gt;""),(AD731-'Choix pédagogiques'!$C$4)/('Choix pédagogiques'!$C$5-'Choix pédagogiques'!$C$4),"")</f>
        <v/>
      </c>
      <c r="AZ731" s="53" t="str">
        <f aca="false">IF($J731&lt;&gt;"",$J731,"")</f>
        <v/>
      </c>
      <c r="BA731" s="52" t="str">
        <f aca="false">IF($A731&lt;&gt;"",$A731,"")</f>
        <v>Apprenant 719</v>
      </c>
      <c r="BB731" s="55" t="str">
        <f aca="false">IF(AND($AR731&lt;&gt;"",$AS731&lt;&gt;""),$AS731-$AR731,"")</f>
        <v/>
      </c>
      <c r="BC731" s="55" t="str">
        <f aca="false">IF(AND($AR731&lt;&gt;"",$AT731&lt;&gt;""),$AT731-$AR731,"")</f>
        <v/>
      </c>
      <c r="BD731" s="55" t="str">
        <f aca="false">IF(AND($AS731&lt;&gt;"",$AT731&lt;&gt;""),$AT731-$AS731,"")</f>
        <v/>
      </c>
      <c r="BE731" s="53" t="str">
        <f aca="false">IF($E731&lt;&gt;"",$E731,"")</f>
        <v/>
      </c>
      <c r="BF731" s="52" t="str">
        <f aca="false">IF($F731&lt;&gt;"",$F731,"")</f>
        <v>Apprenant 719 ou 719'</v>
      </c>
      <c r="BG731" s="55" t="str">
        <f aca="false">IF(AND($AW731&lt;&gt;"",$AX731&lt;&gt;""),$AX731-$AW731,"")</f>
        <v/>
      </c>
      <c r="BH731" s="55" t="str">
        <f aca="false">IF(AND($AW731&lt;&gt;"",$AY731&lt;&gt;""),$AY731-$AW731,"")</f>
        <v/>
      </c>
      <c r="BI731" s="55" t="str">
        <f aca="false">IF(AND($AX731&lt;&gt;"",$AY731&lt;&gt;""),$AY731-$AX731,"")</f>
        <v/>
      </c>
      <c r="BJ731" s="53" t="str">
        <f aca="false">IF($J731&lt;&gt;"",$J731,"")</f>
        <v/>
      </c>
      <c r="BL731" s="52"/>
      <c r="BM731" s="52" t="str">
        <f aca="false">IF(OR(COUNT(B731:D1730)=0,AND('Choix pédagogiques'!$C$3&lt;&gt;1,'Choix pédagogiques'!$C$3&lt;&gt;2)),"",IF(AND(OR('Choix pédagogiques'!$C$3=1,'Choix pédagogiques'!$C$3=2),$B731&lt;&gt;"",$C731&lt;&gt;"",$D731&lt;&gt;""),1,0))</f>
        <v/>
      </c>
      <c r="BN731" s="52" t="str">
        <f aca="false">IF(OR(COUNT(G731:I1730)=0,AND('Choix pédagogiques'!$C$3&lt;&gt;1,'Choix pédagogiques'!$C$3&lt;&gt;2)),"",IF(AND(OR('Choix pédagogiques'!$C$3=1,'Choix pédagogiques'!$C$3=2),AND($G731&lt;&gt;"",$H731&lt;&gt;"",$I731&lt;&gt;"")),1,0))</f>
        <v/>
      </c>
      <c r="BO731" s="52" t="str">
        <f aca="false">IF(OR(COUNT(B731:D1730)=0,COUNT(G731:I1730)=0,'Choix pédagogiques'!C$3&lt;&gt;3),"",IF(AND('Choix pédagogiques'!$C$3=3,$B731&lt;&gt;"",$C731&lt;&gt;"",$D731&lt;&gt;"",$G731&lt;&gt;"",$H731&lt;&gt;"",$I731&lt;&gt;""),1,0))</f>
        <v/>
      </c>
      <c r="BR731" s="52" t="n">
        <v>928</v>
      </c>
      <c r="BS731" s="52" t="n">
        <v>1567</v>
      </c>
    </row>
    <row r="732" s="54" customFormat="true" ht="18" hidden="false" customHeight="true" outlineLevel="0" collapsed="false">
      <c r="A732" s="57" t="s">
        <v>1395</v>
      </c>
      <c r="B732" s="51"/>
      <c r="C732" s="51"/>
      <c r="D732" s="51"/>
      <c r="E732" s="51"/>
      <c r="F732" s="57" t="s">
        <v>1396</v>
      </c>
      <c r="G732" s="51"/>
      <c r="H732" s="51"/>
      <c r="I732" s="51"/>
      <c r="J732" s="51"/>
      <c r="K732" s="52" t="str">
        <f aca="false">IF($A732&lt;&gt;"",$A732,"")</f>
        <v>Apprenant 720</v>
      </c>
      <c r="L732" s="53" t="str">
        <f aca="false">IF(AND($B732&lt;&gt;"",$C732&lt;&gt;""),$C732-$B732,"")</f>
        <v/>
      </c>
      <c r="M732" s="53" t="str">
        <f aca="false">IF(AND($B732&lt;&gt;"",$D732&lt;&gt;""),$D732-$B732,"")</f>
        <v/>
      </c>
      <c r="N732" s="53" t="str">
        <f aca="false">IF(AND($C732&lt;&gt;"",$D732&lt;&gt;""),$D732-$C732,"")</f>
        <v/>
      </c>
      <c r="O732" s="53" t="str">
        <f aca="false">IF($E732&lt;&gt;"",$E732,"")</f>
        <v/>
      </c>
      <c r="P732" s="52" t="str">
        <f aca="false">IF($F732&lt;&gt;"",$F732,"")</f>
        <v>Apprenant 720 ou 720'</v>
      </c>
      <c r="Q732" s="53" t="str">
        <f aca="false">IF(AND($G732&lt;&gt;"",$H732&lt;&gt;""),$H732-$G732,"")</f>
        <v/>
      </c>
      <c r="R732" s="53" t="str">
        <f aca="false">IF(AND($G732&lt;&gt;"",$I732&lt;&gt;""),$I732-$G732,"")</f>
        <v/>
      </c>
      <c r="S732" s="53" t="str">
        <f aca="false">IF(AND($H732&lt;&gt;"",$I732&lt;&gt;""),$I732-$H732,"")</f>
        <v/>
      </c>
      <c r="T732" s="53" t="str">
        <f aca="false">IF($J732&lt;&gt;"",$J732,"")</f>
        <v/>
      </c>
      <c r="V732" s="52" t="str">
        <f aca="false">IF($A732&lt;&gt;"",$A732,"")</f>
        <v>Apprenant 720</v>
      </c>
      <c r="W732" s="53" t="str">
        <f aca="false">IF(AND(OR('Choix pédagogiques'!$C$3=1,'Choix pédagogiques'!$C$3=2),$BM732=1),B732,IF(AND('Choix pédagogiques'!$C$3=3,$BO732=1),B732,""))</f>
        <v/>
      </c>
      <c r="X732" s="53" t="str">
        <f aca="false">IF(AND(OR('Choix pédagogiques'!$C$3=1,'Choix pédagogiques'!$C$3=2),$BM732=1),C732,IF(AND('Choix pédagogiques'!$C$3=3,$BO732=1),C732,""))</f>
        <v/>
      </c>
      <c r="Y732" s="53" t="str">
        <f aca="false">IF(AND(OR('Choix pédagogiques'!$C$3=1,'Choix pédagogiques'!$C$3=2),$BM732=1),D732,IF(AND('Choix pédagogiques'!$C$3=3,$BO732=1),D732,""))</f>
        <v/>
      </c>
      <c r="Z732" s="53" t="str">
        <f aca="false">IF($E732&lt;&gt;"",$E732,"")</f>
        <v/>
      </c>
      <c r="AA732" s="52" t="str">
        <f aca="false">IF($F732&lt;&gt;"",$F732,"")</f>
        <v>Apprenant 720 ou 720'</v>
      </c>
      <c r="AB732" s="53" t="str">
        <f aca="false">IF(AND(OR('Choix pédagogiques'!$C$3=1,'Choix pédagogiques'!$C$3=2),$BN732=1),G732,IF(AND('Choix pédagogiques'!$C$3=3,$BO732=1),G732,""))</f>
        <v/>
      </c>
      <c r="AC732" s="53" t="str">
        <f aca="false">IF(AND(OR('Choix pédagogiques'!$C$3=1,'Choix pédagogiques'!$C$3=2),$BN732=1),H732,IF(AND('Choix pédagogiques'!$C$3=3,$BO732=1),H732,""))</f>
        <v/>
      </c>
      <c r="AD732" s="53" t="str">
        <f aca="false">IF(AND(OR('Choix pédagogiques'!$C$3=1,'Choix pédagogiques'!$C$3=2),$BN732=1),I732,IF(AND('Choix pédagogiques'!$C$3=3,$BO732=1),I732,""))</f>
        <v/>
      </c>
      <c r="AE732" s="53" t="str">
        <f aca="false">IF($J732&lt;&gt;"",$J732,"")</f>
        <v/>
      </c>
      <c r="AF732" s="52" t="str">
        <f aca="false">IF($A732&lt;&gt;"",$A732,"")</f>
        <v>Apprenant 720</v>
      </c>
      <c r="AG732" s="53" t="str">
        <f aca="false">IF(AND($W732&lt;&gt;"",$X732&lt;&gt;""),$X732-$W732,"")</f>
        <v/>
      </c>
      <c r="AH732" s="53" t="str">
        <f aca="false">IF(AND($W732&lt;&gt;"",$Y732&lt;&gt;""),$Y732-$W732,"")</f>
        <v/>
      </c>
      <c r="AI732" s="53" t="str">
        <f aca="false">IF(AND($X732&lt;&gt;"",$Y732&lt;&gt;""),$Y732-$X732,"")</f>
        <v/>
      </c>
      <c r="AJ732" s="53" t="str">
        <f aca="false">IF($E732&lt;&gt;"",$E732,"")</f>
        <v/>
      </c>
      <c r="AK732" s="52" t="str">
        <f aca="false">IF($F732&lt;&gt;"",$F732,"")</f>
        <v>Apprenant 720 ou 720'</v>
      </c>
      <c r="AL732" s="53" t="str">
        <f aca="false">IF(AND($AB732&lt;&gt;"",$AC732&lt;&gt;""),$AC732-$AB732,"")</f>
        <v/>
      </c>
      <c r="AM732" s="53" t="str">
        <f aca="false">IF(AND($AB732&lt;&gt;"",$AD732&lt;&gt;""),$AD732-$AB732,"")</f>
        <v/>
      </c>
      <c r="AN732" s="53" t="str">
        <f aca="false">IF(AND($AC732&lt;&gt;"",$AD732&lt;&gt;""),$AD732-$AC732,"")</f>
        <v/>
      </c>
      <c r="AO732" s="53" t="str">
        <f aca="false">IF($J732&lt;&gt;"",$J732,"")</f>
        <v/>
      </c>
      <c r="AQ732" s="52" t="str">
        <f aca="false">IF($A732&lt;&gt;"",$A732,"")</f>
        <v>Apprenant 720</v>
      </c>
      <c r="AR732" s="55" t="str">
        <f aca="false">IF(AND('Choix pédagogiques'!$C$4&lt;&gt;"?",'Choix pédagogiques'!$C$5&lt;&gt;"?",W732&lt;&gt;""),(W732-'Choix pédagogiques'!$C$4)/('Choix pédagogiques'!$C$5-'Choix pédagogiques'!$C$4),"")</f>
        <v/>
      </c>
      <c r="AS732" s="55" t="str">
        <f aca="false">IF(AND('Choix pédagogiques'!$C$4&lt;&gt;"?",'Choix pédagogiques'!$C$5&lt;&gt;"?",X732&lt;&gt;""),(X732-'Choix pédagogiques'!$C$4)/('Choix pédagogiques'!$C$5-'Choix pédagogiques'!$C$4),"")</f>
        <v/>
      </c>
      <c r="AT732" s="55" t="str">
        <f aca="false">IF(AND('Choix pédagogiques'!$C$4&lt;&gt;"?",'Choix pédagogiques'!$C$5&lt;&gt;"?",Y732&lt;&gt;""),(Y732-'Choix pédagogiques'!$C$4)/('Choix pédagogiques'!$C$5-'Choix pédagogiques'!$C$4),"")</f>
        <v/>
      </c>
      <c r="AU732" s="53" t="str">
        <f aca="false">IF($E732&lt;&gt;"",$E732,"")</f>
        <v/>
      </c>
      <c r="AV732" s="52" t="str">
        <f aca="false">IF($F732&lt;&gt;"",$F732,"")</f>
        <v>Apprenant 720 ou 720'</v>
      </c>
      <c r="AW732" s="55" t="str">
        <f aca="false">IF(AND('Choix pédagogiques'!$C$4&lt;&gt;"?",'Choix pédagogiques'!$C$5&lt;&gt;"?",AB732&lt;&gt;""),(AB732-'Choix pédagogiques'!$C$4)/('Choix pédagogiques'!$C$5-'Choix pédagogiques'!$C$4),"")</f>
        <v/>
      </c>
      <c r="AX732" s="55" t="str">
        <f aca="false">IF(AND('Choix pédagogiques'!$C$4&lt;&gt;"?",'Choix pédagogiques'!$C$5&lt;&gt;"?",AC732&lt;&gt;""),(AC732-'Choix pédagogiques'!$C$4)/('Choix pédagogiques'!$C$5-'Choix pédagogiques'!$C$4),"")</f>
        <v/>
      </c>
      <c r="AY732" s="55" t="str">
        <f aca="false">IF(AND('Choix pédagogiques'!$C$4&lt;&gt;"?",'Choix pédagogiques'!$C$5&lt;&gt;"?",AD732&lt;&gt;""),(AD732-'Choix pédagogiques'!$C$4)/('Choix pédagogiques'!$C$5-'Choix pédagogiques'!$C$4),"")</f>
        <v/>
      </c>
      <c r="AZ732" s="53" t="str">
        <f aca="false">IF($J732&lt;&gt;"",$J732,"")</f>
        <v/>
      </c>
      <c r="BA732" s="52" t="str">
        <f aca="false">IF($A732&lt;&gt;"",$A732,"")</f>
        <v>Apprenant 720</v>
      </c>
      <c r="BB732" s="55" t="str">
        <f aca="false">IF(AND($AR732&lt;&gt;"",$AS732&lt;&gt;""),$AS732-$AR732,"")</f>
        <v/>
      </c>
      <c r="BC732" s="55" t="str">
        <f aca="false">IF(AND($AR732&lt;&gt;"",$AT732&lt;&gt;""),$AT732-$AR732,"")</f>
        <v/>
      </c>
      <c r="BD732" s="55" t="str">
        <f aca="false">IF(AND($AS732&lt;&gt;"",$AT732&lt;&gt;""),$AT732-$AS732,"")</f>
        <v/>
      </c>
      <c r="BE732" s="53" t="str">
        <f aca="false">IF($E732&lt;&gt;"",$E732,"")</f>
        <v/>
      </c>
      <c r="BF732" s="52" t="str">
        <f aca="false">IF($F732&lt;&gt;"",$F732,"")</f>
        <v>Apprenant 720 ou 720'</v>
      </c>
      <c r="BG732" s="55" t="str">
        <f aca="false">IF(AND($AW732&lt;&gt;"",$AX732&lt;&gt;""),$AX732-$AW732,"")</f>
        <v/>
      </c>
      <c r="BH732" s="55" t="str">
        <f aca="false">IF(AND($AW732&lt;&gt;"",$AY732&lt;&gt;""),$AY732-$AW732,"")</f>
        <v/>
      </c>
      <c r="BI732" s="55" t="str">
        <f aca="false">IF(AND($AX732&lt;&gt;"",$AY732&lt;&gt;""),$AY732-$AX732,"")</f>
        <v/>
      </c>
      <c r="BJ732" s="53" t="str">
        <f aca="false">IF($J732&lt;&gt;"",$J732,"")</f>
        <v/>
      </c>
      <c r="BL732" s="52"/>
      <c r="BM732" s="52" t="str">
        <f aca="false">IF(OR(COUNT(B732:D1731)=0,AND('Choix pédagogiques'!$C$3&lt;&gt;1,'Choix pédagogiques'!$C$3&lt;&gt;2)),"",IF(AND(OR('Choix pédagogiques'!$C$3=1,'Choix pédagogiques'!$C$3=2),$B732&lt;&gt;"",$C732&lt;&gt;"",$D732&lt;&gt;""),1,0))</f>
        <v/>
      </c>
      <c r="BN732" s="52" t="str">
        <f aca="false">IF(OR(COUNT(G732:I1731)=0,AND('Choix pédagogiques'!$C$3&lt;&gt;1,'Choix pédagogiques'!$C$3&lt;&gt;2)),"",IF(AND(OR('Choix pédagogiques'!$C$3=1,'Choix pédagogiques'!$C$3=2),AND($G732&lt;&gt;"",$H732&lt;&gt;"",$I732&lt;&gt;"")),1,0))</f>
        <v/>
      </c>
      <c r="BO732" s="52" t="str">
        <f aca="false">IF(OR(COUNT(B732:D1731)=0,COUNT(G732:I1731)=0,'Choix pédagogiques'!C$3&lt;&gt;3),"",IF(AND('Choix pédagogiques'!$C$3=3,$B732&lt;&gt;"",$C732&lt;&gt;"",$D732&lt;&gt;"",$G732&lt;&gt;"",$H732&lt;&gt;"",$I732&lt;&gt;""),1,0))</f>
        <v/>
      </c>
      <c r="BR732" s="52" t="n">
        <v>371</v>
      </c>
      <c r="BS732" s="52" t="n">
        <v>1252</v>
      </c>
    </row>
    <row r="733" s="54" customFormat="true" ht="18" hidden="false" customHeight="true" outlineLevel="0" collapsed="false">
      <c r="A733" s="57" t="s">
        <v>1397</v>
      </c>
      <c r="B733" s="51"/>
      <c r="C733" s="51"/>
      <c r="D733" s="51"/>
      <c r="E733" s="51"/>
      <c r="F733" s="57" t="s">
        <v>1398</v>
      </c>
      <c r="G733" s="51"/>
      <c r="H733" s="51"/>
      <c r="I733" s="51"/>
      <c r="J733" s="51"/>
      <c r="K733" s="52" t="str">
        <f aca="false">IF($A733&lt;&gt;"",$A733,"")</f>
        <v>Apprenant 721</v>
      </c>
      <c r="L733" s="53" t="str">
        <f aca="false">IF(AND($B733&lt;&gt;"",$C733&lt;&gt;""),$C733-$B733,"")</f>
        <v/>
      </c>
      <c r="M733" s="53" t="str">
        <f aca="false">IF(AND($B733&lt;&gt;"",$D733&lt;&gt;""),$D733-$B733,"")</f>
        <v/>
      </c>
      <c r="N733" s="53" t="str">
        <f aca="false">IF(AND($C733&lt;&gt;"",$D733&lt;&gt;""),$D733-$C733,"")</f>
        <v/>
      </c>
      <c r="O733" s="53" t="str">
        <f aca="false">IF($E733&lt;&gt;"",$E733,"")</f>
        <v/>
      </c>
      <c r="P733" s="52" t="str">
        <f aca="false">IF($F733&lt;&gt;"",$F733,"")</f>
        <v>Apprenant 721 ou 721'</v>
      </c>
      <c r="Q733" s="53" t="str">
        <f aca="false">IF(AND($G733&lt;&gt;"",$H733&lt;&gt;""),$H733-$G733,"")</f>
        <v/>
      </c>
      <c r="R733" s="53" t="str">
        <f aca="false">IF(AND($G733&lt;&gt;"",$I733&lt;&gt;""),$I733-$G733,"")</f>
        <v/>
      </c>
      <c r="S733" s="53" t="str">
        <f aca="false">IF(AND($H733&lt;&gt;"",$I733&lt;&gt;""),$I733-$H733,"")</f>
        <v/>
      </c>
      <c r="T733" s="53" t="str">
        <f aca="false">IF($J733&lt;&gt;"",$J733,"")</f>
        <v/>
      </c>
      <c r="V733" s="52" t="str">
        <f aca="false">IF($A733&lt;&gt;"",$A733,"")</f>
        <v>Apprenant 721</v>
      </c>
      <c r="W733" s="53" t="str">
        <f aca="false">IF(AND(OR('Choix pédagogiques'!$C$3=1,'Choix pédagogiques'!$C$3=2),$BM733=1),B733,IF(AND('Choix pédagogiques'!$C$3=3,$BO733=1),B733,""))</f>
        <v/>
      </c>
      <c r="X733" s="53" t="str">
        <f aca="false">IF(AND(OR('Choix pédagogiques'!$C$3=1,'Choix pédagogiques'!$C$3=2),$BM733=1),C733,IF(AND('Choix pédagogiques'!$C$3=3,$BO733=1),C733,""))</f>
        <v/>
      </c>
      <c r="Y733" s="53" t="str">
        <f aca="false">IF(AND(OR('Choix pédagogiques'!$C$3=1,'Choix pédagogiques'!$C$3=2),$BM733=1),D733,IF(AND('Choix pédagogiques'!$C$3=3,$BO733=1),D733,""))</f>
        <v/>
      </c>
      <c r="Z733" s="53" t="str">
        <f aca="false">IF($E733&lt;&gt;"",$E733,"")</f>
        <v/>
      </c>
      <c r="AA733" s="52" t="str">
        <f aca="false">IF($F733&lt;&gt;"",$F733,"")</f>
        <v>Apprenant 721 ou 721'</v>
      </c>
      <c r="AB733" s="53" t="str">
        <f aca="false">IF(AND(OR('Choix pédagogiques'!$C$3=1,'Choix pédagogiques'!$C$3=2),$BN733=1),G733,IF(AND('Choix pédagogiques'!$C$3=3,$BO733=1),G733,""))</f>
        <v/>
      </c>
      <c r="AC733" s="53" t="str">
        <f aca="false">IF(AND(OR('Choix pédagogiques'!$C$3=1,'Choix pédagogiques'!$C$3=2),$BN733=1),H733,IF(AND('Choix pédagogiques'!$C$3=3,$BO733=1),H733,""))</f>
        <v/>
      </c>
      <c r="AD733" s="53" t="str">
        <f aca="false">IF(AND(OR('Choix pédagogiques'!$C$3=1,'Choix pédagogiques'!$C$3=2),$BN733=1),I733,IF(AND('Choix pédagogiques'!$C$3=3,$BO733=1),I733,""))</f>
        <v/>
      </c>
      <c r="AE733" s="53" t="str">
        <f aca="false">IF($J733&lt;&gt;"",$J733,"")</f>
        <v/>
      </c>
      <c r="AF733" s="52" t="str">
        <f aca="false">IF($A733&lt;&gt;"",$A733,"")</f>
        <v>Apprenant 721</v>
      </c>
      <c r="AG733" s="53" t="str">
        <f aca="false">IF(AND($W733&lt;&gt;"",$X733&lt;&gt;""),$X733-$W733,"")</f>
        <v/>
      </c>
      <c r="AH733" s="53" t="str">
        <f aca="false">IF(AND($W733&lt;&gt;"",$Y733&lt;&gt;""),$Y733-$W733,"")</f>
        <v/>
      </c>
      <c r="AI733" s="53" t="str">
        <f aca="false">IF(AND($X733&lt;&gt;"",$Y733&lt;&gt;""),$Y733-$X733,"")</f>
        <v/>
      </c>
      <c r="AJ733" s="53" t="str">
        <f aca="false">IF($E733&lt;&gt;"",$E733,"")</f>
        <v/>
      </c>
      <c r="AK733" s="52" t="str">
        <f aca="false">IF($F733&lt;&gt;"",$F733,"")</f>
        <v>Apprenant 721 ou 721'</v>
      </c>
      <c r="AL733" s="53" t="str">
        <f aca="false">IF(AND($AB733&lt;&gt;"",$AC733&lt;&gt;""),$AC733-$AB733,"")</f>
        <v/>
      </c>
      <c r="AM733" s="53" t="str">
        <f aca="false">IF(AND($AB733&lt;&gt;"",$AD733&lt;&gt;""),$AD733-$AB733,"")</f>
        <v/>
      </c>
      <c r="AN733" s="53" t="str">
        <f aca="false">IF(AND($AC733&lt;&gt;"",$AD733&lt;&gt;""),$AD733-$AC733,"")</f>
        <v/>
      </c>
      <c r="AO733" s="53" t="str">
        <f aca="false">IF($J733&lt;&gt;"",$J733,"")</f>
        <v/>
      </c>
      <c r="AQ733" s="52" t="str">
        <f aca="false">IF($A733&lt;&gt;"",$A733,"")</f>
        <v>Apprenant 721</v>
      </c>
      <c r="AR733" s="55" t="str">
        <f aca="false">IF(AND('Choix pédagogiques'!$C$4&lt;&gt;"?",'Choix pédagogiques'!$C$5&lt;&gt;"?",W733&lt;&gt;""),(W733-'Choix pédagogiques'!$C$4)/('Choix pédagogiques'!$C$5-'Choix pédagogiques'!$C$4),"")</f>
        <v/>
      </c>
      <c r="AS733" s="55" t="str">
        <f aca="false">IF(AND('Choix pédagogiques'!$C$4&lt;&gt;"?",'Choix pédagogiques'!$C$5&lt;&gt;"?",X733&lt;&gt;""),(X733-'Choix pédagogiques'!$C$4)/('Choix pédagogiques'!$C$5-'Choix pédagogiques'!$C$4),"")</f>
        <v/>
      </c>
      <c r="AT733" s="55" t="str">
        <f aca="false">IF(AND('Choix pédagogiques'!$C$4&lt;&gt;"?",'Choix pédagogiques'!$C$5&lt;&gt;"?",Y733&lt;&gt;""),(Y733-'Choix pédagogiques'!$C$4)/('Choix pédagogiques'!$C$5-'Choix pédagogiques'!$C$4),"")</f>
        <v/>
      </c>
      <c r="AU733" s="53" t="str">
        <f aca="false">IF($E733&lt;&gt;"",$E733,"")</f>
        <v/>
      </c>
      <c r="AV733" s="52" t="str">
        <f aca="false">IF($F733&lt;&gt;"",$F733,"")</f>
        <v>Apprenant 721 ou 721'</v>
      </c>
      <c r="AW733" s="55" t="str">
        <f aca="false">IF(AND('Choix pédagogiques'!$C$4&lt;&gt;"?",'Choix pédagogiques'!$C$5&lt;&gt;"?",AB733&lt;&gt;""),(AB733-'Choix pédagogiques'!$C$4)/('Choix pédagogiques'!$C$5-'Choix pédagogiques'!$C$4),"")</f>
        <v/>
      </c>
      <c r="AX733" s="55" t="str">
        <f aca="false">IF(AND('Choix pédagogiques'!$C$4&lt;&gt;"?",'Choix pédagogiques'!$C$5&lt;&gt;"?",AC733&lt;&gt;""),(AC733-'Choix pédagogiques'!$C$4)/('Choix pédagogiques'!$C$5-'Choix pédagogiques'!$C$4),"")</f>
        <v/>
      </c>
      <c r="AY733" s="55" t="str">
        <f aca="false">IF(AND('Choix pédagogiques'!$C$4&lt;&gt;"?",'Choix pédagogiques'!$C$5&lt;&gt;"?",AD733&lt;&gt;""),(AD733-'Choix pédagogiques'!$C$4)/('Choix pédagogiques'!$C$5-'Choix pédagogiques'!$C$4),"")</f>
        <v/>
      </c>
      <c r="AZ733" s="53" t="str">
        <f aca="false">IF($J733&lt;&gt;"",$J733,"")</f>
        <v/>
      </c>
      <c r="BA733" s="52" t="str">
        <f aca="false">IF($A733&lt;&gt;"",$A733,"")</f>
        <v>Apprenant 721</v>
      </c>
      <c r="BB733" s="55" t="str">
        <f aca="false">IF(AND($AR733&lt;&gt;"",$AS733&lt;&gt;""),$AS733-$AR733,"")</f>
        <v/>
      </c>
      <c r="BC733" s="55" t="str">
        <f aca="false">IF(AND($AR733&lt;&gt;"",$AT733&lt;&gt;""),$AT733-$AR733,"")</f>
        <v/>
      </c>
      <c r="BD733" s="55" t="str">
        <f aca="false">IF(AND($AS733&lt;&gt;"",$AT733&lt;&gt;""),$AT733-$AS733,"")</f>
        <v/>
      </c>
      <c r="BE733" s="53" t="str">
        <f aca="false">IF($E733&lt;&gt;"",$E733,"")</f>
        <v/>
      </c>
      <c r="BF733" s="52" t="str">
        <f aca="false">IF($F733&lt;&gt;"",$F733,"")</f>
        <v>Apprenant 721 ou 721'</v>
      </c>
      <c r="BG733" s="55" t="str">
        <f aca="false">IF(AND($AW733&lt;&gt;"",$AX733&lt;&gt;""),$AX733-$AW733,"")</f>
        <v/>
      </c>
      <c r="BH733" s="55" t="str">
        <f aca="false">IF(AND($AW733&lt;&gt;"",$AY733&lt;&gt;""),$AY733-$AW733,"")</f>
        <v/>
      </c>
      <c r="BI733" s="55" t="str">
        <f aca="false">IF(AND($AX733&lt;&gt;"",$AY733&lt;&gt;""),$AY733-$AX733,"")</f>
        <v/>
      </c>
      <c r="BJ733" s="53" t="str">
        <f aca="false">IF($J733&lt;&gt;"",$J733,"")</f>
        <v/>
      </c>
      <c r="BL733" s="52"/>
      <c r="BM733" s="52" t="str">
        <f aca="false">IF(OR(COUNT(B733:D1732)=0,AND('Choix pédagogiques'!$C$3&lt;&gt;1,'Choix pédagogiques'!$C$3&lt;&gt;2)),"",IF(AND(OR('Choix pédagogiques'!$C$3=1,'Choix pédagogiques'!$C$3=2),$B733&lt;&gt;"",$C733&lt;&gt;"",$D733&lt;&gt;""),1,0))</f>
        <v/>
      </c>
      <c r="BN733" s="52" t="str">
        <f aca="false">IF(OR(COUNT(G733:I1732)=0,AND('Choix pédagogiques'!$C$3&lt;&gt;1,'Choix pédagogiques'!$C$3&lt;&gt;2)),"",IF(AND(OR('Choix pédagogiques'!$C$3=1,'Choix pédagogiques'!$C$3=2),AND($G733&lt;&gt;"",$H733&lt;&gt;"",$I733&lt;&gt;"")),1,0))</f>
        <v/>
      </c>
      <c r="BO733" s="52" t="str">
        <f aca="false">IF(OR(COUNT(B733:D1732)=0,COUNT(G733:I1732)=0,'Choix pédagogiques'!C$3&lt;&gt;3),"",IF(AND('Choix pédagogiques'!$C$3=3,$B733&lt;&gt;"",$C733&lt;&gt;"",$D733&lt;&gt;"",$G733&lt;&gt;"",$H733&lt;&gt;"",$I733&lt;&gt;""),1,0))</f>
        <v/>
      </c>
      <c r="BR733" s="52" t="n">
        <v>20</v>
      </c>
      <c r="BS733" s="52" t="n">
        <v>1233</v>
      </c>
    </row>
    <row r="734" s="54" customFormat="true" ht="18" hidden="false" customHeight="true" outlineLevel="0" collapsed="false">
      <c r="A734" s="57" t="s">
        <v>1399</v>
      </c>
      <c r="B734" s="51"/>
      <c r="C734" s="51"/>
      <c r="D734" s="51"/>
      <c r="E734" s="51"/>
      <c r="F734" s="57" t="s">
        <v>1400</v>
      </c>
      <c r="G734" s="51"/>
      <c r="H734" s="51"/>
      <c r="I734" s="51"/>
      <c r="J734" s="51"/>
      <c r="K734" s="52" t="str">
        <f aca="false">IF($A734&lt;&gt;"",$A734,"")</f>
        <v>Apprenant 722</v>
      </c>
      <c r="L734" s="53" t="str">
        <f aca="false">IF(AND($B734&lt;&gt;"",$C734&lt;&gt;""),$C734-$B734,"")</f>
        <v/>
      </c>
      <c r="M734" s="53" t="str">
        <f aca="false">IF(AND($B734&lt;&gt;"",$D734&lt;&gt;""),$D734-$B734,"")</f>
        <v/>
      </c>
      <c r="N734" s="53" t="str">
        <f aca="false">IF(AND($C734&lt;&gt;"",$D734&lt;&gt;""),$D734-$C734,"")</f>
        <v/>
      </c>
      <c r="O734" s="53" t="str">
        <f aca="false">IF($E734&lt;&gt;"",$E734,"")</f>
        <v/>
      </c>
      <c r="P734" s="52" t="str">
        <f aca="false">IF($F734&lt;&gt;"",$F734,"")</f>
        <v>Apprenant 722 ou 722'</v>
      </c>
      <c r="Q734" s="53" t="str">
        <f aca="false">IF(AND($G734&lt;&gt;"",$H734&lt;&gt;""),$H734-$G734,"")</f>
        <v/>
      </c>
      <c r="R734" s="53" t="str">
        <f aca="false">IF(AND($G734&lt;&gt;"",$I734&lt;&gt;""),$I734-$G734,"")</f>
        <v/>
      </c>
      <c r="S734" s="53" t="str">
        <f aca="false">IF(AND($H734&lt;&gt;"",$I734&lt;&gt;""),$I734-$H734,"")</f>
        <v/>
      </c>
      <c r="T734" s="53" t="str">
        <f aca="false">IF($J734&lt;&gt;"",$J734,"")</f>
        <v/>
      </c>
      <c r="V734" s="52" t="str">
        <f aca="false">IF($A734&lt;&gt;"",$A734,"")</f>
        <v>Apprenant 722</v>
      </c>
      <c r="W734" s="53" t="str">
        <f aca="false">IF(AND(OR('Choix pédagogiques'!$C$3=1,'Choix pédagogiques'!$C$3=2),$BM734=1),B734,IF(AND('Choix pédagogiques'!$C$3=3,$BO734=1),B734,""))</f>
        <v/>
      </c>
      <c r="X734" s="53" t="str">
        <f aca="false">IF(AND(OR('Choix pédagogiques'!$C$3=1,'Choix pédagogiques'!$C$3=2),$BM734=1),C734,IF(AND('Choix pédagogiques'!$C$3=3,$BO734=1),C734,""))</f>
        <v/>
      </c>
      <c r="Y734" s="53" t="str">
        <f aca="false">IF(AND(OR('Choix pédagogiques'!$C$3=1,'Choix pédagogiques'!$C$3=2),$BM734=1),D734,IF(AND('Choix pédagogiques'!$C$3=3,$BO734=1),D734,""))</f>
        <v/>
      </c>
      <c r="Z734" s="53" t="str">
        <f aca="false">IF($E734&lt;&gt;"",$E734,"")</f>
        <v/>
      </c>
      <c r="AA734" s="52" t="str">
        <f aca="false">IF($F734&lt;&gt;"",$F734,"")</f>
        <v>Apprenant 722 ou 722'</v>
      </c>
      <c r="AB734" s="53" t="str">
        <f aca="false">IF(AND(OR('Choix pédagogiques'!$C$3=1,'Choix pédagogiques'!$C$3=2),$BN734=1),G734,IF(AND('Choix pédagogiques'!$C$3=3,$BO734=1),G734,""))</f>
        <v/>
      </c>
      <c r="AC734" s="53" t="str">
        <f aca="false">IF(AND(OR('Choix pédagogiques'!$C$3=1,'Choix pédagogiques'!$C$3=2),$BN734=1),H734,IF(AND('Choix pédagogiques'!$C$3=3,$BO734=1),H734,""))</f>
        <v/>
      </c>
      <c r="AD734" s="53" t="str">
        <f aca="false">IF(AND(OR('Choix pédagogiques'!$C$3=1,'Choix pédagogiques'!$C$3=2),$BN734=1),I734,IF(AND('Choix pédagogiques'!$C$3=3,$BO734=1),I734,""))</f>
        <v/>
      </c>
      <c r="AE734" s="53" t="str">
        <f aca="false">IF($J734&lt;&gt;"",$J734,"")</f>
        <v/>
      </c>
      <c r="AF734" s="52" t="str">
        <f aca="false">IF($A734&lt;&gt;"",$A734,"")</f>
        <v>Apprenant 722</v>
      </c>
      <c r="AG734" s="53" t="str">
        <f aca="false">IF(AND($W734&lt;&gt;"",$X734&lt;&gt;""),$X734-$W734,"")</f>
        <v/>
      </c>
      <c r="AH734" s="53" t="str">
        <f aca="false">IF(AND($W734&lt;&gt;"",$Y734&lt;&gt;""),$Y734-$W734,"")</f>
        <v/>
      </c>
      <c r="AI734" s="53" t="str">
        <f aca="false">IF(AND($X734&lt;&gt;"",$Y734&lt;&gt;""),$Y734-$X734,"")</f>
        <v/>
      </c>
      <c r="AJ734" s="53" t="str">
        <f aca="false">IF($E734&lt;&gt;"",$E734,"")</f>
        <v/>
      </c>
      <c r="AK734" s="52" t="str">
        <f aca="false">IF($F734&lt;&gt;"",$F734,"")</f>
        <v>Apprenant 722 ou 722'</v>
      </c>
      <c r="AL734" s="53" t="str">
        <f aca="false">IF(AND($AB734&lt;&gt;"",$AC734&lt;&gt;""),$AC734-$AB734,"")</f>
        <v/>
      </c>
      <c r="AM734" s="53" t="str">
        <f aca="false">IF(AND($AB734&lt;&gt;"",$AD734&lt;&gt;""),$AD734-$AB734,"")</f>
        <v/>
      </c>
      <c r="AN734" s="53" t="str">
        <f aca="false">IF(AND($AC734&lt;&gt;"",$AD734&lt;&gt;""),$AD734-$AC734,"")</f>
        <v/>
      </c>
      <c r="AO734" s="53" t="str">
        <f aca="false">IF($J734&lt;&gt;"",$J734,"")</f>
        <v/>
      </c>
      <c r="AQ734" s="52" t="str">
        <f aca="false">IF($A734&lt;&gt;"",$A734,"")</f>
        <v>Apprenant 722</v>
      </c>
      <c r="AR734" s="55" t="str">
        <f aca="false">IF(AND('Choix pédagogiques'!$C$4&lt;&gt;"?",'Choix pédagogiques'!$C$5&lt;&gt;"?",W734&lt;&gt;""),(W734-'Choix pédagogiques'!$C$4)/('Choix pédagogiques'!$C$5-'Choix pédagogiques'!$C$4),"")</f>
        <v/>
      </c>
      <c r="AS734" s="55" t="str">
        <f aca="false">IF(AND('Choix pédagogiques'!$C$4&lt;&gt;"?",'Choix pédagogiques'!$C$5&lt;&gt;"?",X734&lt;&gt;""),(X734-'Choix pédagogiques'!$C$4)/('Choix pédagogiques'!$C$5-'Choix pédagogiques'!$C$4),"")</f>
        <v/>
      </c>
      <c r="AT734" s="55" t="str">
        <f aca="false">IF(AND('Choix pédagogiques'!$C$4&lt;&gt;"?",'Choix pédagogiques'!$C$5&lt;&gt;"?",Y734&lt;&gt;""),(Y734-'Choix pédagogiques'!$C$4)/('Choix pédagogiques'!$C$5-'Choix pédagogiques'!$C$4),"")</f>
        <v/>
      </c>
      <c r="AU734" s="53" t="str">
        <f aca="false">IF($E734&lt;&gt;"",$E734,"")</f>
        <v/>
      </c>
      <c r="AV734" s="52" t="str">
        <f aca="false">IF($F734&lt;&gt;"",$F734,"")</f>
        <v>Apprenant 722 ou 722'</v>
      </c>
      <c r="AW734" s="55" t="str">
        <f aca="false">IF(AND('Choix pédagogiques'!$C$4&lt;&gt;"?",'Choix pédagogiques'!$C$5&lt;&gt;"?",AB734&lt;&gt;""),(AB734-'Choix pédagogiques'!$C$4)/('Choix pédagogiques'!$C$5-'Choix pédagogiques'!$C$4),"")</f>
        <v/>
      </c>
      <c r="AX734" s="55" t="str">
        <f aca="false">IF(AND('Choix pédagogiques'!$C$4&lt;&gt;"?",'Choix pédagogiques'!$C$5&lt;&gt;"?",AC734&lt;&gt;""),(AC734-'Choix pédagogiques'!$C$4)/('Choix pédagogiques'!$C$5-'Choix pédagogiques'!$C$4),"")</f>
        <v/>
      </c>
      <c r="AY734" s="55" t="str">
        <f aca="false">IF(AND('Choix pédagogiques'!$C$4&lt;&gt;"?",'Choix pédagogiques'!$C$5&lt;&gt;"?",AD734&lt;&gt;""),(AD734-'Choix pédagogiques'!$C$4)/('Choix pédagogiques'!$C$5-'Choix pédagogiques'!$C$4),"")</f>
        <v/>
      </c>
      <c r="AZ734" s="53" t="str">
        <f aca="false">IF($J734&lt;&gt;"",$J734,"")</f>
        <v/>
      </c>
      <c r="BA734" s="52" t="str">
        <f aca="false">IF($A734&lt;&gt;"",$A734,"")</f>
        <v>Apprenant 722</v>
      </c>
      <c r="BB734" s="55" t="str">
        <f aca="false">IF(AND($AR734&lt;&gt;"",$AS734&lt;&gt;""),$AS734-$AR734,"")</f>
        <v/>
      </c>
      <c r="BC734" s="55" t="str">
        <f aca="false">IF(AND($AR734&lt;&gt;"",$AT734&lt;&gt;""),$AT734-$AR734,"")</f>
        <v/>
      </c>
      <c r="BD734" s="55" t="str">
        <f aca="false">IF(AND($AS734&lt;&gt;"",$AT734&lt;&gt;""),$AT734-$AS734,"")</f>
        <v/>
      </c>
      <c r="BE734" s="53" t="str">
        <f aca="false">IF($E734&lt;&gt;"",$E734,"")</f>
        <v/>
      </c>
      <c r="BF734" s="52" t="str">
        <f aca="false">IF($F734&lt;&gt;"",$F734,"")</f>
        <v>Apprenant 722 ou 722'</v>
      </c>
      <c r="BG734" s="55" t="str">
        <f aca="false">IF(AND($AW734&lt;&gt;"",$AX734&lt;&gt;""),$AX734-$AW734,"")</f>
        <v/>
      </c>
      <c r="BH734" s="55" t="str">
        <f aca="false">IF(AND($AW734&lt;&gt;"",$AY734&lt;&gt;""),$AY734-$AW734,"")</f>
        <v/>
      </c>
      <c r="BI734" s="55" t="str">
        <f aca="false">IF(AND($AX734&lt;&gt;"",$AY734&lt;&gt;""),$AY734-$AX734,"")</f>
        <v/>
      </c>
      <c r="BJ734" s="53" t="str">
        <f aca="false">IF($J734&lt;&gt;"",$J734,"")</f>
        <v/>
      </c>
      <c r="BL734" s="52"/>
      <c r="BM734" s="52" t="str">
        <f aca="false">IF(OR(COUNT(B734:D1733)=0,AND('Choix pédagogiques'!$C$3&lt;&gt;1,'Choix pédagogiques'!$C$3&lt;&gt;2)),"",IF(AND(OR('Choix pédagogiques'!$C$3=1,'Choix pédagogiques'!$C$3=2),$B734&lt;&gt;"",$C734&lt;&gt;"",$D734&lt;&gt;""),1,0))</f>
        <v/>
      </c>
      <c r="BN734" s="52" t="str">
        <f aca="false">IF(OR(COUNT(G734:I1733)=0,AND('Choix pédagogiques'!$C$3&lt;&gt;1,'Choix pédagogiques'!$C$3&lt;&gt;2)),"",IF(AND(OR('Choix pédagogiques'!$C$3=1,'Choix pédagogiques'!$C$3=2),AND($G734&lt;&gt;"",$H734&lt;&gt;"",$I734&lt;&gt;"")),1,0))</f>
        <v/>
      </c>
      <c r="BO734" s="52" t="str">
        <f aca="false">IF(OR(COUNT(B734:D1733)=0,COUNT(G734:I1733)=0,'Choix pédagogiques'!C$3&lt;&gt;3),"",IF(AND('Choix pédagogiques'!$C$3=3,$B734&lt;&gt;"",$C734&lt;&gt;"",$D734&lt;&gt;"",$G734&lt;&gt;"",$H734&lt;&gt;"",$I734&lt;&gt;""),1,0))</f>
        <v/>
      </c>
      <c r="BR734" s="52" t="n">
        <v>965</v>
      </c>
      <c r="BS734" s="52" t="n">
        <v>1706</v>
      </c>
    </row>
    <row r="735" s="54" customFormat="true" ht="18" hidden="false" customHeight="true" outlineLevel="0" collapsed="false">
      <c r="A735" s="57" t="s">
        <v>1401</v>
      </c>
      <c r="B735" s="51"/>
      <c r="C735" s="51"/>
      <c r="D735" s="51"/>
      <c r="E735" s="51"/>
      <c r="F735" s="57" t="s">
        <v>1402</v>
      </c>
      <c r="G735" s="51"/>
      <c r="H735" s="51"/>
      <c r="I735" s="51"/>
      <c r="J735" s="51"/>
      <c r="K735" s="52" t="str">
        <f aca="false">IF($A735&lt;&gt;"",$A735,"")</f>
        <v>Apprenant 723</v>
      </c>
      <c r="L735" s="53" t="str">
        <f aca="false">IF(AND($B735&lt;&gt;"",$C735&lt;&gt;""),$C735-$B735,"")</f>
        <v/>
      </c>
      <c r="M735" s="53" t="str">
        <f aca="false">IF(AND($B735&lt;&gt;"",$D735&lt;&gt;""),$D735-$B735,"")</f>
        <v/>
      </c>
      <c r="N735" s="53" t="str">
        <f aca="false">IF(AND($C735&lt;&gt;"",$D735&lt;&gt;""),$D735-$C735,"")</f>
        <v/>
      </c>
      <c r="O735" s="53" t="str">
        <f aca="false">IF($E735&lt;&gt;"",$E735,"")</f>
        <v/>
      </c>
      <c r="P735" s="52" t="str">
        <f aca="false">IF($F735&lt;&gt;"",$F735,"")</f>
        <v>Apprenant 723 ou 723'</v>
      </c>
      <c r="Q735" s="53" t="str">
        <f aca="false">IF(AND($G735&lt;&gt;"",$H735&lt;&gt;""),$H735-$G735,"")</f>
        <v/>
      </c>
      <c r="R735" s="53" t="str">
        <f aca="false">IF(AND($G735&lt;&gt;"",$I735&lt;&gt;""),$I735-$G735,"")</f>
        <v/>
      </c>
      <c r="S735" s="53" t="str">
        <f aca="false">IF(AND($H735&lt;&gt;"",$I735&lt;&gt;""),$I735-$H735,"")</f>
        <v/>
      </c>
      <c r="T735" s="53" t="str">
        <f aca="false">IF($J735&lt;&gt;"",$J735,"")</f>
        <v/>
      </c>
      <c r="V735" s="52" t="str">
        <f aca="false">IF($A735&lt;&gt;"",$A735,"")</f>
        <v>Apprenant 723</v>
      </c>
      <c r="W735" s="53" t="str">
        <f aca="false">IF(AND(OR('Choix pédagogiques'!$C$3=1,'Choix pédagogiques'!$C$3=2),$BM735=1),B735,IF(AND('Choix pédagogiques'!$C$3=3,$BO735=1),B735,""))</f>
        <v/>
      </c>
      <c r="X735" s="53" t="str">
        <f aca="false">IF(AND(OR('Choix pédagogiques'!$C$3=1,'Choix pédagogiques'!$C$3=2),$BM735=1),C735,IF(AND('Choix pédagogiques'!$C$3=3,$BO735=1),C735,""))</f>
        <v/>
      </c>
      <c r="Y735" s="53" t="str">
        <f aca="false">IF(AND(OR('Choix pédagogiques'!$C$3=1,'Choix pédagogiques'!$C$3=2),$BM735=1),D735,IF(AND('Choix pédagogiques'!$C$3=3,$BO735=1),D735,""))</f>
        <v/>
      </c>
      <c r="Z735" s="53" t="str">
        <f aca="false">IF($E735&lt;&gt;"",$E735,"")</f>
        <v/>
      </c>
      <c r="AA735" s="52" t="str">
        <f aca="false">IF($F735&lt;&gt;"",$F735,"")</f>
        <v>Apprenant 723 ou 723'</v>
      </c>
      <c r="AB735" s="53" t="str">
        <f aca="false">IF(AND(OR('Choix pédagogiques'!$C$3=1,'Choix pédagogiques'!$C$3=2),$BN735=1),G735,IF(AND('Choix pédagogiques'!$C$3=3,$BO735=1),G735,""))</f>
        <v/>
      </c>
      <c r="AC735" s="53" t="str">
        <f aca="false">IF(AND(OR('Choix pédagogiques'!$C$3=1,'Choix pédagogiques'!$C$3=2),$BN735=1),H735,IF(AND('Choix pédagogiques'!$C$3=3,$BO735=1),H735,""))</f>
        <v/>
      </c>
      <c r="AD735" s="53" t="str">
        <f aca="false">IF(AND(OR('Choix pédagogiques'!$C$3=1,'Choix pédagogiques'!$C$3=2),$BN735=1),I735,IF(AND('Choix pédagogiques'!$C$3=3,$BO735=1),I735,""))</f>
        <v/>
      </c>
      <c r="AE735" s="53" t="str">
        <f aca="false">IF($J735&lt;&gt;"",$J735,"")</f>
        <v/>
      </c>
      <c r="AF735" s="52" t="str">
        <f aca="false">IF($A735&lt;&gt;"",$A735,"")</f>
        <v>Apprenant 723</v>
      </c>
      <c r="AG735" s="53" t="str">
        <f aca="false">IF(AND($W735&lt;&gt;"",$X735&lt;&gt;""),$X735-$W735,"")</f>
        <v/>
      </c>
      <c r="AH735" s="53" t="str">
        <f aca="false">IF(AND($W735&lt;&gt;"",$Y735&lt;&gt;""),$Y735-$W735,"")</f>
        <v/>
      </c>
      <c r="AI735" s="53" t="str">
        <f aca="false">IF(AND($X735&lt;&gt;"",$Y735&lt;&gt;""),$Y735-$X735,"")</f>
        <v/>
      </c>
      <c r="AJ735" s="53" t="str">
        <f aca="false">IF($E735&lt;&gt;"",$E735,"")</f>
        <v/>
      </c>
      <c r="AK735" s="52" t="str">
        <f aca="false">IF($F735&lt;&gt;"",$F735,"")</f>
        <v>Apprenant 723 ou 723'</v>
      </c>
      <c r="AL735" s="53" t="str">
        <f aca="false">IF(AND($AB735&lt;&gt;"",$AC735&lt;&gt;""),$AC735-$AB735,"")</f>
        <v/>
      </c>
      <c r="AM735" s="53" t="str">
        <f aca="false">IF(AND($AB735&lt;&gt;"",$AD735&lt;&gt;""),$AD735-$AB735,"")</f>
        <v/>
      </c>
      <c r="AN735" s="53" t="str">
        <f aca="false">IF(AND($AC735&lt;&gt;"",$AD735&lt;&gt;""),$AD735-$AC735,"")</f>
        <v/>
      </c>
      <c r="AO735" s="53" t="str">
        <f aca="false">IF($J735&lt;&gt;"",$J735,"")</f>
        <v/>
      </c>
      <c r="AQ735" s="52" t="str">
        <f aca="false">IF($A735&lt;&gt;"",$A735,"")</f>
        <v>Apprenant 723</v>
      </c>
      <c r="AR735" s="55" t="str">
        <f aca="false">IF(AND('Choix pédagogiques'!$C$4&lt;&gt;"?",'Choix pédagogiques'!$C$5&lt;&gt;"?",W735&lt;&gt;""),(W735-'Choix pédagogiques'!$C$4)/('Choix pédagogiques'!$C$5-'Choix pédagogiques'!$C$4),"")</f>
        <v/>
      </c>
      <c r="AS735" s="55" t="str">
        <f aca="false">IF(AND('Choix pédagogiques'!$C$4&lt;&gt;"?",'Choix pédagogiques'!$C$5&lt;&gt;"?",X735&lt;&gt;""),(X735-'Choix pédagogiques'!$C$4)/('Choix pédagogiques'!$C$5-'Choix pédagogiques'!$C$4),"")</f>
        <v/>
      </c>
      <c r="AT735" s="55" t="str">
        <f aca="false">IF(AND('Choix pédagogiques'!$C$4&lt;&gt;"?",'Choix pédagogiques'!$C$5&lt;&gt;"?",Y735&lt;&gt;""),(Y735-'Choix pédagogiques'!$C$4)/('Choix pédagogiques'!$C$5-'Choix pédagogiques'!$C$4),"")</f>
        <v/>
      </c>
      <c r="AU735" s="53" t="str">
        <f aca="false">IF($E735&lt;&gt;"",$E735,"")</f>
        <v/>
      </c>
      <c r="AV735" s="52" t="str">
        <f aca="false">IF($F735&lt;&gt;"",$F735,"")</f>
        <v>Apprenant 723 ou 723'</v>
      </c>
      <c r="AW735" s="55" t="str">
        <f aca="false">IF(AND('Choix pédagogiques'!$C$4&lt;&gt;"?",'Choix pédagogiques'!$C$5&lt;&gt;"?",AB735&lt;&gt;""),(AB735-'Choix pédagogiques'!$C$4)/('Choix pédagogiques'!$C$5-'Choix pédagogiques'!$C$4),"")</f>
        <v/>
      </c>
      <c r="AX735" s="55" t="str">
        <f aca="false">IF(AND('Choix pédagogiques'!$C$4&lt;&gt;"?",'Choix pédagogiques'!$C$5&lt;&gt;"?",AC735&lt;&gt;""),(AC735-'Choix pédagogiques'!$C$4)/('Choix pédagogiques'!$C$5-'Choix pédagogiques'!$C$4),"")</f>
        <v/>
      </c>
      <c r="AY735" s="55" t="str">
        <f aca="false">IF(AND('Choix pédagogiques'!$C$4&lt;&gt;"?",'Choix pédagogiques'!$C$5&lt;&gt;"?",AD735&lt;&gt;""),(AD735-'Choix pédagogiques'!$C$4)/('Choix pédagogiques'!$C$5-'Choix pédagogiques'!$C$4),"")</f>
        <v/>
      </c>
      <c r="AZ735" s="53" t="str">
        <f aca="false">IF($J735&lt;&gt;"",$J735,"")</f>
        <v/>
      </c>
      <c r="BA735" s="52" t="str">
        <f aca="false">IF($A735&lt;&gt;"",$A735,"")</f>
        <v>Apprenant 723</v>
      </c>
      <c r="BB735" s="55" t="str">
        <f aca="false">IF(AND($AR735&lt;&gt;"",$AS735&lt;&gt;""),$AS735-$AR735,"")</f>
        <v/>
      </c>
      <c r="BC735" s="55" t="str">
        <f aca="false">IF(AND($AR735&lt;&gt;"",$AT735&lt;&gt;""),$AT735-$AR735,"")</f>
        <v/>
      </c>
      <c r="BD735" s="55" t="str">
        <f aca="false">IF(AND($AS735&lt;&gt;"",$AT735&lt;&gt;""),$AT735-$AS735,"")</f>
        <v/>
      </c>
      <c r="BE735" s="53" t="str">
        <f aca="false">IF($E735&lt;&gt;"",$E735,"")</f>
        <v/>
      </c>
      <c r="BF735" s="52" t="str">
        <f aca="false">IF($F735&lt;&gt;"",$F735,"")</f>
        <v>Apprenant 723 ou 723'</v>
      </c>
      <c r="BG735" s="55" t="str">
        <f aca="false">IF(AND($AW735&lt;&gt;"",$AX735&lt;&gt;""),$AX735-$AW735,"")</f>
        <v/>
      </c>
      <c r="BH735" s="55" t="str">
        <f aca="false">IF(AND($AW735&lt;&gt;"",$AY735&lt;&gt;""),$AY735-$AW735,"")</f>
        <v/>
      </c>
      <c r="BI735" s="55" t="str">
        <f aca="false">IF(AND($AX735&lt;&gt;"",$AY735&lt;&gt;""),$AY735-$AX735,"")</f>
        <v/>
      </c>
      <c r="BJ735" s="53" t="str">
        <f aca="false">IF($J735&lt;&gt;"",$J735,"")</f>
        <v/>
      </c>
      <c r="BL735" s="52"/>
      <c r="BM735" s="52" t="str">
        <f aca="false">IF(OR(COUNT(B735:D1734)=0,AND('Choix pédagogiques'!$C$3&lt;&gt;1,'Choix pédagogiques'!$C$3&lt;&gt;2)),"",IF(AND(OR('Choix pédagogiques'!$C$3=1,'Choix pédagogiques'!$C$3=2),$B735&lt;&gt;"",$C735&lt;&gt;"",$D735&lt;&gt;""),1,0))</f>
        <v/>
      </c>
      <c r="BN735" s="52" t="str">
        <f aca="false">IF(OR(COUNT(G735:I1734)=0,AND('Choix pédagogiques'!$C$3&lt;&gt;1,'Choix pédagogiques'!$C$3&lt;&gt;2)),"",IF(AND(OR('Choix pédagogiques'!$C$3=1,'Choix pédagogiques'!$C$3=2),AND($G735&lt;&gt;"",$H735&lt;&gt;"",$I735&lt;&gt;"")),1,0))</f>
        <v/>
      </c>
      <c r="BO735" s="52" t="str">
        <f aca="false">IF(OR(COUNT(B735:D1734)=0,COUNT(G735:I1734)=0,'Choix pédagogiques'!C$3&lt;&gt;3),"",IF(AND('Choix pédagogiques'!$C$3=3,$B735&lt;&gt;"",$C735&lt;&gt;"",$D735&lt;&gt;"",$G735&lt;&gt;"",$H735&lt;&gt;"",$I735&lt;&gt;""),1,0))</f>
        <v/>
      </c>
      <c r="BR735" s="52" t="n">
        <v>717</v>
      </c>
      <c r="BS735" s="52" t="n">
        <v>1569</v>
      </c>
    </row>
    <row r="736" s="54" customFormat="true" ht="18" hidden="false" customHeight="true" outlineLevel="0" collapsed="false">
      <c r="A736" s="57" t="s">
        <v>1403</v>
      </c>
      <c r="B736" s="51"/>
      <c r="C736" s="51"/>
      <c r="D736" s="51"/>
      <c r="E736" s="51"/>
      <c r="F736" s="57" t="s">
        <v>1404</v>
      </c>
      <c r="G736" s="51"/>
      <c r="H736" s="51"/>
      <c r="I736" s="51"/>
      <c r="J736" s="51"/>
      <c r="K736" s="52" t="str">
        <f aca="false">IF($A736&lt;&gt;"",$A736,"")</f>
        <v>Apprenant 724</v>
      </c>
      <c r="L736" s="53" t="str">
        <f aca="false">IF(AND($B736&lt;&gt;"",$C736&lt;&gt;""),$C736-$B736,"")</f>
        <v/>
      </c>
      <c r="M736" s="53" t="str">
        <f aca="false">IF(AND($B736&lt;&gt;"",$D736&lt;&gt;""),$D736-$B736,"")</f>
        <v/>
      </c>
      <c r="N736" s="53" t="str">
        <f aca="false">IF(AND($C736&lt;&gt;"",$D736&lt;&gt;""),$D736-$C736,"")</f>
        <v/>
      </c>
      <c r="O736" s="53" t="str">
        <f aca="false">IF($E736&lt;&gt;"",$E736,"")</f>
        <v/>
      </c>
      <c r="P736" s="52" t="str">
        <f aca="false">IF($F736&lt;&gt;"",$F736,"")</f>
        <v>Apprenant 724 ou 724'</v>
      </c>
      <c r="Q736" s="53" t="str">
        <f aca="false">IF(AND($G736&lt;&gt;"",$H736&lt;&gt;""),$H736-$G736,"")</f>
        <v/>
      </c>
      <c r="R736" s="53" t="str">
        <f aca="false">IF(AND($G736&lt;&gt;"",$I736&lt;&gt;""),$I736-$G736,"")</f>
        <v/>
      </c>
      <c r="S736" s="53" t="str">
        <f aca="false">IF(AND($H736&lt;&gt;"",$I736&lt;&gt;""),$I736-$H736,"")</f>
        <v/>
      </c>
      <c r="T736" s="53" t="str">
        <f aca="false">IF($J736&lt;&gt;"",$J736,"")</f>
        <v/>
      </c>
      <c r="V736" s="52" t="str">
        <f aca="false">IF($A736&lt;&gt;"",$A736,"")</f>
        <v>Apprenant 724</v>
      </c>
      <c r="W736" s="53" t="str">
        <f aca="false">IF(AND(OR('Choix pédagogiques'!$C$3=1,'Choix pédagogiques'!$C$3=2),$BM736=1),B736,IF(AND('Choix pédagogiques'!$C$3=3,$BO736=1),B736,""))</f>
        <v/>
      </c>
      <c r="X736" s="53" t="str">
        <f aca="false">IF(AND(OR('Choix pédagogiques'!$C$3=1,'Choix pédagogiques'!$C$3=2),$BM736=1),C736,IF(AND('Choix pédagogiques'!$C$3=3,$BO736=1),C736,""))</f>
        <v/>
      </c>
      <c r="Y736" s="53" t="str">
        <f aca="false">IF(AND(OR('Choix pédagogiques'!$C$3=1,'Choix pédagogiques'!$C$3=2),$BM736=1),D736,IF(AND('Choix pédagogiques'!$C$3=3,$BO736=1),D736,""))</f>
        <v/>
      </c>
      <c r="Z736" s="53" t="str">
        <f aca="false">IF($E736&lt;&gt;"",$E736,"")</f>
        <v/>
      </c>
      <c r="AA736" s="52" t="str">
        <f aca="false">IF($F736&lt;&gt;"",$F736,"")</f>
        <v>Apprenant 724 ou 724'</v>
      </c>
      <c r="AB736" s="53" t="str">
        <f aca="false">IF(AND(OR('Choix pédagogiques'!$C$3=1,'Choix pédagogiques'!$C$3=2),$BN736=1),G736,IF(AND('Choix pédagogiques'!$C$3=3,$BO736=1),G736,""))</f>
        <v/>
      </c>
      <c r="AC736" s="53" t="str">
        <f aca="false">IF(AND(OR('Choix pédagogiques'!$C$3=1,'Choix pédagogiques'!$C$3=2),$BN736=1),H736,IF(AND('Choix pédagogiques'!$C$3=3,$BO736=1),H736,""))</f>
        <v/>
      </c>
      <c r="AD736" s="53" t="str">
        <f aca="false">IF(AND(OR('Choix pédagogiques'!$C$3=1,'Choix pédagogiques'!$C$3=2),$BN736=1),I736,IF(AND('Choix pédagogiques'!$C$3=3,$BO736=1),I736,""))</f>
        <v/>
      </c>
      <c r="AE736" s="53" t="str">
        <f aca="false">IF($J736&lt;&gt;"",$J736,"")</f>
        <v/>
      </c>
      <c r="AF736" s="52" t="str">
        <f aca="false">IF($A736&lt;&gt;"",$A736,"")</f>
        <v>Apprenant 724</v>
      </c>
      <c r="AG736" s="53" t="str">
        <f aca="false">IF(AND($W736&lt;&gt;"",$X736&lt;&gt;""),$X736-$W736,"")</f>
        <v/>
      </c>
      <c r="AH736" s="53" t="str">
        <f aca="false">IF(AND($W736&lt;&gt;"",$Y736&lt;&gt;""),$Y736-$W736,"")</f>
        <v/>
      </c>
      <c r="AI736" s="53" t="str">
        <f aca="false">IF(AND($X736&lt;&gt;"",$Y736&lt;&gt;""),$Y736-$X736,"")</f>
        <v/>
      </c>
      <c r="AJ736" s="53" t="str">
        <f aca="false">IF($E736&lt;&gt;"",$E736,"")</f>
        <v/>
      </c>
      <c r="AK736" s="52" t="str">
        <f aca="false">IF($F736&lt;&gt;"",$F736,"")</f>
        <v>Apprenant 724 ou 724'</v>
      </c>
      <c r="AL736" s="53" t="str">
        <f aca="false">IF(AND($AB736&lt;&gt;"",$AC736&lt;&gt;""),$AC736-$AB736,"")</f>
        <v/>
      </c>
      <c r="AM736" s="53" t="str">
        <f aca="false">IF(AND($AB736&lt;&gt;"",$AD736&lt;&gt;""),$AD736-$AB736,"")</f>
        <v/>
      </c>
      <c r="AN736" s="53" t="str">
        <f aca="false">IF(AND($AC736&lt;&gt;"",$AD736&lt;&gt;""),$AD736-$AC736,"")</f>
        <v/>
      </c>
      <c r="AO736" s="53" t="str">
        <f aca="false">IF($J736&lt;&gt;"",$J736,"")</f>
        <v/>
      </c>
      <c r="AQ736" s="52" t="str">
        <f aca="false">IF($A736&lt;&gt;"",$A736,"")</f>
        <v>Apprenant 724</v>
      </c>
      <c r="AR736" s="55" t="str">
        <f aca="false">IF(AND('Choix pédagogiques'!$C$4&lt;&gt;"?",'Choix pédagogiques'!$C$5&lt;&gt;"?",W736&lt;&gt;""),(W736-'Choix pédagogiques'!$C$4)/('Choix pédagogiques'!$C$5-'Choix pédagogiques'!$C$4),"")</f>
        <v/>
      </c>
      <c r="AS736" s="55" t="str">
        <f aca="false">IF(AND('Choix pédagogiques'!$C$4&lt;&gt;"?",'Choix pédagogiques'!$C$5&lt;&gt;"?",X736&lt;&gt;""),(X736-'Choix pédagogiques'!$C$4)/('Choix pédagogiques'!$C$5-'Choix pédagogiques'!$C$4),"")</f>
        <v/>
      </c>
      <c r="AT736" s="55" t="str">
        <f aca="false">IF(AND('Choix pédagogiques'!$C$4&lt;&gt;"?",'Choix pédagogiques'!$C$5&lt;&gt;"?",Y736&lt;&gt;""),(Y736-'Choix pédagogiques'!$C$4)/('Choix pédagogiques'!$C$5-'Choix pédagogiques'!$C$4),"")</f>
        <v/>
      </c>
      <c r="AU736" s="53" t="str">
        <f aca="false">IF($E736&lt;&gt;"",$E736,"")</f>
        <v/>
      </c>
      <c r="AV736" s="52" t="str">
        <f aca="false">IF($F736&lt;&gt;"",$F736,"")</f>
        <v>Apprenant 724 ou 724'</v>
      </c>
      <c r="AW736" s="55" t="str">
        <f aca="false">IF(AND('Choix pédagogiques'!$C$4&lt;&gt;"?",'Choix pédagogiques'!$C$5&lt;&gt;"?",AB736&lt;&gt;""),(AB736-'Choix pédagogiques'!$C$4)/('Choix pédagogiques'!$C$5-'Choix pédagogiques'!$C$4),"")</f>
        <v/>
      </c>
      <c r="AX736" s="55" t="str">
        <f aca="false">IF(AND('Choix pédagogiques'!$C$4&lt;&gt;"?",'Choix pédagogiques'!$C$5&lt;&gt;"?",AC736&lt;&gt;""),(AC736-'Choix pédagogiques'!$C$4)/('Choix pédagogiques'!$C$5-'Choix pédagogiques'!$C$4),"")</f>
        <v/>
      </c>
      <c r="AY736" s="55" t="str">
        <f aca="false">IF(AND('Choix pédagogiques'!$C$4&lt;&gt;"?",'Choix pédagogiques'!$C$5&lt;&gt;"?",AD736&lt;&gt;""),(AD736-'Choix pédagogiques'!$C$4)/('Choix pédagogiques'!$C$5-'Choix pédagogiques'!$C$4),"")</f>
        <v/>
      </c>
      <c r="AZ736" s="53" t="str">
        <f aca="false">IF($J736&lt;&gt;"",$J736,"")</f>
        <v/>
      </c>
      <c r="BA736" s="52" t="str">
        <f aca="false">IF($A736&lt;&gt;"",$A736,"")</f>
        <v>Apprenant 724</v>
      </c>
      <c r="BB736" s="55" t="str">
        <f aca="false">IF(AND($AR736&lt;&gt;"",$AS736&lt;&gt;""),$AS736-$AR736,"")</f>
        <v/>
      </c>
      <c r="BC736" s="55" t="str">
        <f aca="false">IF(AND($AR736&lt;&gt;"",$AT736&lt;&gt;""),$AT736-$AR736,"")</f>
        <v/>
      </c>
      <c r="BD736" s="55" t="str">
        <f aca="false">IF(AND($AS736&lt;&gt;"",$AT736&lt;&gt;""),$AT736-$AS736,"")</f>
        <v/>
      </c>
      <c r="BE736" s="53" t="str">
        <f aca="false">IF($E736&lt;&gt;"",$E736,"")</f>
        <v/>
      </c>
      <c r="BF736" s="52" t="str">
        <f aca="false">IF($F736&lt;&gt;"",$F736,"")</f>
        <v>Apprenant 724 ou 724'</v>
      </c>
      <c r="BG736" s="55" t="str">
        <f aca="false">IF(AND($AW736&lt;&gt;"",$AX736&lt;&gt;""),$AX736-$AW736,"")</f>
        <v/>
      </c>
      <c r="BH736" s="55" t="str">
        <f aca="false">IF(AND($AW736&lt;&gt;"",$AY736&lt;&gt;""),$AY736-$AW736,"")</f>
        <v/>
      </c>
      <c r="BI736" s="55" t="str">
        <f aca="false">IF(AND($AX736&lt;&gt;"",$AY736&lt;&gt;""),$AY736-$AX736,"")</f>
        <v/>
      </c>
      <c r="BJ736" s="53" t="str">
        <f aca="false">IF($J736&lt;&gt;"",$J736,"")</f>
        <v/>
      </c>
      <c r="BL736" s="52"/>
      <c r="BM736" s="52" t="str">
        <f aca="false">IF(OR(COUNT(B736:D1735)=0,AND('Choix pédagogiques'!$C$3&lt;&gt;1,'Choix pédagogiques'!$C$3&lt;&gt;2)),"",IF(AND(OR('Choix pédagogiques'!$C$3=1,'Choix pédagogiques'!$C$3=2),$B736&lt;&gt;"",$C736&lt;&gt;"",$D736&lt;&gt;""),1,0))</f>
        <v/>
      </c>
      <c r="BN736" s="52" t="str">
        <f aca="false">IF(OR(COUNT(G736:I1735)=0,AND('Choix pédagogiques'!$C$3&lt;&gt;1,'Choix pédagogiques'!$C$3&lt;&gt;2)),"",IF(AND(OR('Choix pédagogiques'!$C$3=1,'Choix pédagogiques'!$C$3=2),AND($G736&lt;&gt;"",$H736&lt;&gt;"",$I736&lt;&gt;"")),1,0))</f>
        <v/>
      </c>
      <c r="BO736" s="52" t="str">
        <f aca="false">IF(OR(COUNT(B736:D1735)=0,COUNT(G736:I1735)=0,'Choix pédagogiques'!C$3&lt;&gt;3),"",IF(AND('Choix pédagogiques'!$C$3=3,$B736&lt;&gt;"",$C736&lt;&gt;"",$D736&lt;&gt;"",$G736&lt;&gt;"",$H736&lt;&gt;"",$I736&lt;&gt;""),1,0))</f>
        <v/>
      </c>
      <c r="BR736" s="52" t="n">
        <v>919</v>
      </c>
      <c r="BS736" s="52" t="n">
        <v>1496</v>
      </c>
    </row>
    <row r="737" s="54" customFormat="true" ht="18" hidden="false" customHeight="true" outlineLevel="0" collapsed="false">
      <c r="A737" s="57" t="s">
        <v>1405</v>
      </c>
      <c r="B737" s="51"/>
      <c r="C737" s="51"/>
      <c r="D737" s="51"/>
      <c r="E737" s="51"/>
      <c r="F737" s="57" t="s">
        <v>1406</v>
      </c>
      <c r="G737" s="51"/>
      <c r="H737" s="51"/>
      <c r="I737" s="51"/>
      <c r="J737" s="51"/>
      <c r="K737" s="52" t="str">
        <f aca="false">IF($A737&lt;&gt;"",$A737,"")</f>
        <v>Apprenant 725</v>
      </c>
      <c r="L737" s="53" t="str">
        <f aca="false">IF(AND($B737&lt;&gt;"",$C737&lt;&gt;""),$C737-$B737,"")</f>
        <v/>
      </c>
      <c r="M737" s="53" t="str">
        <f aca="false">IF(AND($B737&lt;&gt;"",$D737&lt;&gt;""),$D737-$B737,"")</f>
        <v/>
      </c>
      <c r="N737" s="53" t="str">
        <f aca="false">IF(AND($C737&lt;&gt;"",$D737&lt;&gt;""),$D737-$C737,"")</f>
        <v/>
      </c>
      <c r="O737" s="53" t="str">
        <f aca="false">IF($E737&lt;&gt;"",$E737,"")</f>
        <v/>
      </c>
      <c r="P737" s="52" t="str">
        <f aca="false">IF($F737&lt;&gt;"",$F737,"")</f>
        <v>Apprenant 725 ou 725'</v>
      </c>
      <c r="Q737" s="53" t="str">
        <f aca="false">IF(AND($G737&lt;&gt;"",$H737&lt;&gt;""),$H737-$G737,"")</f>
        <v/>
      </c>
      <c r="R737" s="53" t="str">
        <f aca="false">IF(AND($G737&lt;&gt;"",$I737&lt;&gt;""),$I737-$G737,"")</f>
        <v/>
      </c>
      <c r="S737" s="53" t="str">
        <f aca="false">IF(AND($H737&lt;&gt;"",$I737&lt;&gt;""),$I737-$H737,"")</f>
        <v/>
      </c>
      <c r="T737" s="53" t="str">
        <f aca="false">IF($J737&lt;&gt;"",$J737,"")</f>
        <v/>
      </c>
      <c r="V737" s="52" t="str">
        <f aca="false">IF($A737&lt;&gt;"",$A737,"")</f>
        <v>Apprenant 725</v>
      </c>
      <c r="W737" s="53" t="str">
        <f aca="false">IF(AND(OR('Choix pédagogiques'!$C$3=1,'Choix pédagogiques'!$C$3=2),$BM737=1),B737,IF(AND('Choix pédagogiques'!$C$3=3,$BO737=1),B737,""))</f>
        <v/>
      </c>
      <c r="X737" s="53" t="str">
        <f aca="false">IF(AND(OR('Choix pédagogiques'!$C$3=1,'Choix pédagogiques'!$C$3=2),$BM737=1),C737,IF(AND('Choix pédagogiques'!$C$3=3,$BO737=1),C737,""))</f>
        <v/>
      </c>
      <c r="Y737" s="53" t="str">
        <f aca="false">IF(AND(OR('Choix pédagogiques'!$C$3=1,'Choix pédagogiques'!$C$3=2),$BM737=1),D737,IF(AND('Choix pédagogiques'!$C$3=3,$BO737=1),D737,""))</f>
        <v/>
      </c>
      <c r="Z737" s="53" t="str">
        <f aca="false">IF($E737&lt;&gt;"",$E737,"")</f>
        <v/>
      </c>
      <c r="AA737" s="52" t="str">
        <f aca="false">IF($F737&lt;&gt;"",$F737,"")</f>
        <v>Apprenant 725 ou 725'</v>
      </c>
      <c r="AB737" s="53" t="str">
        <f aca="false">IF(AND(OR('Choix pédagogiques'!$C$3=1,'Choix pédagogiques'!$C$3=2),$BN737=1),G737,IF(AND('Choix pédagogiques'!$C$3=3,$BO737=1),G737,""))</f>
        <v/>
      </c>
      <c r="AC737" s="53" t="str">
        <f aca="false">IF(AND(OR('Choix pédagogiques'!$C$3=1,'Choix pédagogiques'!$C$3=2),$BN737=1),H737,IF(AND('Choix pédagogiques'!$C$3=3,$BO737=1),H737,""))</f>
        <v/>
      </c>
      <c r="AD737" s="53" t="str">
        <f aca="false">IF(AND(OR('Choix pédagogiques'!$C$3=1,'Choix pédagogiques'!$C$3=2),$BN737=1),I737,IF(AND('Choix pédagogiques'!$C$3=3,$BO737=1),I737,""))</f>
        <v/>
      </c>
      <c r="AE737" s="53" t="str">
        <f aca="false">IF($J737&lt;&gt;"",$J737,"")</f>
        <v/>
      </c>
      <c r="AF737" s="52" t="str">
        <f aca="false">IF($A737&lt;&gt;"",$A737,"")</f>
        <v>Apprenant 725</v>
      </c>
      <c r="AG737" s="53" t="str">
        <f aca="false">IF(AND($W737&lt;&gt;"",$X737&lt;&gt;""),$X737-$W737,"")</f>
        <v/>
      </c>
      <c r="AH737" s="53" t="str">
        <f aca="false">IF(AND($W737&lt;&gt;"",$Y737&lt;&gt;""),$Y737-$W737,"")</f>
        <v/>
      </c>
      <c r="AI737" s="53" t="str">
        <f aca="false">IF(AND($X737&lt;&gt;"",$Y737&lt;&gt;""),$Y737-$X737,"")</f>
        <v/>
      </c>
      <c r="AJ737" s="53" t="str">
        <f aca="false">IF($E737&lt;&gt;"",$E737,"")</f>
        <v/>
      </c>
      <c r="AK737" s="52" t="str">
        <f aca="false">IF($F737&lt;&gt;"",$F737,"")</f>
        <v>Apprenant 725 ou 725'</v>
      </c>
      <c r="AL737" s="53" t="str">
        <f aca="false">IF(AND($AB737&lt;&gt;"",$AC737&lt;&gt;""),$AC737-$AB737,"")</f>
        <v/>
      </c>
      <c r="AM737" s="53" t="str">
        <f aca="false">IF(AND($AB737&lt;&gt;"",$AD737&lt;&gt;""),$AD737-$AB737,"")</f>
        <v/>
      </c>
      <c r="AN737" s="53" t="str">
        <f aca="false">IF(AND($AC737&lt;&gt;"",$AD737&lt;&gt;""),$AD737-$AC737,"")</f>
        <v/>
      </c>
      <c r="AO737" s="53" t="str">
        <f aca="false">IF($J737&lt;&gt;"",$J737,"")</f>
        <v/>
      </c>
      <c r="AQ737" s="52" t="str">
        <f aca="false">IF($A737&lt;&gt;"",$A737,"")</f>
        <v>Apprenant 725</v>
      </c>
      <c r="AR737" s="55" t="str">
        <f aca="false">IF(AND('Choix pédagogiques'!$C$4&lt;&gt;"?",'Choix pédagogiques'!$C$5&lt;&gt;"?",W737&lt;&gt;""),(W737-'Choix pédagogiques'!$C$4)/('Choix pédagogiques'!$C$5-'Choix pédagogiques'!$C$4),"")</f>
        <v/>
      </c>
      <c r="AS737" s="55" t="str">
        <f aca="false">IF(AND('Choix pédagogiques'!$C$4&lt;&gt;"?",'Choix pédagogiques'!$C$5&lt;&gt;"?",X737&lt;&gt;""),(X737-'Choix pédagogiques'!$C$4)/('Choix pédagogiques'!$C$5-'Choix pédagogiques'!$C$4),"")</f>
        <v/>
      </c>
      <c r="AT737" s="55" t="str">
        <f aca="false">IF(AND('Choix pédagogiques'!$C$4&lt;&gt;"?",'Choix pédagogiques'!$C$5&lt;&gt;"?",Y737&lt;&gt;""),(Y737-'Choix pédagogiques'!$C$4)/('Choix pédagogiques'!$C$5-'Choix pédagogiques'!$C$4),"")</f>
        <v/>
      </c>
      <c r="AU737" s="53" t="str">
        <f aca="false">IF($E737&lt;&gt;"",$E737,"")</f>
        <v/>
      </c>
      <c r="AV737" s="52" t="str">
        <f aca="false">IF($F737&lt;&gt;"",$F737,"")</f>
        <v>Apprenant 725 ou 725'</v>
      </c>
      <c r="AW737" s="55" t="str">
        <f aca="false">IF(AND('Choix pédagogiques'!$C$4&lt;&gt;"?",'Choix pédagogiques'!$C$5&lt;&gt;"?",AB737&lt;&gt;""),(AB737-'Choix pédagogiques'!$C$4)/('Choix pédagogiques'!$C$5-'Choix pédagogiques'!$C$4),"")</f>
        <v/>
      </c>
      <c r="AX737" s="55" t="str">
        <f aca="false">IF(AND('Choix pédagogiques'!$C$4&lt;&gt;"?",'Choix pédagogiques'!$C$5&lt;&gt;"?",AC737&lt;&gt;""),(AC737-'Choix pédagogiques'!$C$4)/('Choix pédagogiques'!$C$5-'Choix pédagogiques'!$C$4),"")</f>
        <v/>
      </c>
      <c r="AY737" s="55" t="str">
        <f aca="false">IF(AND('Choix pédagogiques'!$C$4&lt;&gt;"?",'Choix pédagogiques'!$C$5&lt;&gt;"?",AD737&lt;&gt;""),(AD737-'Choix pédagogiques'!$C$4)/('Choix pédagogiques'!$C$5-'Choix pédagogiques'!$C$4),"")</f>
        <v/>
      </c>
      <c r="AZ737" s="53" t="str">
        <f aca="false">IF($J737&lt;&gt;"",$J737,"")</f>
        <v/>
      </c>
      <c r="BA737" s="52" t="str">
        <f aca="false">IF($A737&lt;&gt;"",$A737,"")</f>
        <v>Apprenant 725</v>
      </c>
      <c r="BB737" s="55" t="str">
        <f aca="false">IF(AND($AR737&lt;&gt;"",$AS737&lt;&gt;""),$AS737-$AR737,"")</f>
        <v/>
      </c>
      <c r="BC737" s="55" t="str">
        <f aca="false">IF(AND($AR737&lt;&gt;"",$AT737&lt;&gt;""),$AT737-$AR737,"")</f>
        <v/>
      </c>
      <c r="BD737" s="55" t="str">
        <f aca="false">IF(AND($AS737&lt;&gt;"",$AT737&lt;&gt;""),$AT737-$AS737,"")</f>
        <v/>
      </c>
      <c r="BE737" s="53" t="str">
        <f aca="false">IF($E737&lt;&gt;"",$E737,"")</f>
        <v/>
      </c>
      <c r="BF737" s="52" t="str">
        <f aca="false">IF($F737&lt;&gt;"",$F737,"")</f>
        <v>Apprenant 725 ou 725'</v>
      </c>
      <c r="BG737" s="55" t="str">
        <f aca="false">IF(AND($AW737&lt;&gt;"",$AX737&lt;&gt;""),$AX737-$AW737,"")</f>
        <v/>
      </c>
      <c r="BH737" s="55" t="str">
        <f aca="false">IF(AND($AW737&lt;&gt;"",$AY737&lt;&gt;""),$AY737-$AW737,"")</f>
        <v/>
      </c>
      <c r="BI737" s="55" t="str">
        <f aca="false">IF(AND($AX737&lt;&gt;"",$AY737&lt;&gt;""),$AY737-$AX737,"")</f>
        <v/>
      </c>
      <c r="BJ737" s="53" t="str">
        <f aca="false">IF($J737&lt;&gt;"",$J737,"")</f>
        <v/>
      </c>
      <c r="BL737" s="52"/>
      <c r="BM737" s="52" t="str">
        <f aca="false">IF(OR(COUNT(B737:D1736)=0,AND('Choix pédagogiques'!$C$3&lt;&gt;1,'Choix pédagogiques'!$C$3&lt;&gt;2)),"",IF(AND(OR('Choix pédagogiques'!$C$3=1,'Choix pédagogiques'!$C$3=2),$B737&lt;&gt;"",$C737&lt;&gt;"",$D737&lt;&gt;""),1,0))</f>
        <v/>
      </c>
      <c r="BN737" s="52" t="str">
        <f aca="false">IF(OR(COUNT(G737:I1736)=0,AND('Choix pédagogiques'!$C$3&lt;&gt;1,'Choix pédagogiques'!$C$3&lt;&gt;2)),"",IF(AND(OR('Choix pédagogiques'!$C$3=1,'Choix pédagogiques'!$C$3=2),AND($G737&lt;&gt;"",$H737&lt;&gt;"",$I737&lt;&gt;"")),1,0))</f>
        <v/>
      </c>
      <c r="BO737" s="52" t="str">
        <f aca="false">IF(OR(COUNT(B737:D1736)=0,COUNT(G737:I1736)=0,'Choix pédagogiques'!C$3&lt;&gt;3),"",IF(AND('Choix pédagogiques'!$C$3=3,$B737&lt;&gt;"",$C737&lt;&gt;"",$D737&lt;&gt;"",$G737&lt;&gt;"",$H737&lt;&gt;"",$I737&lt;&gt;""),1,0))</f>
        <v/>
      </c>
      <c r="BR737" s="52" t="n">
        <v>534</v>
      </c>
      <c r="BS737" s="52" t="n">
        <v>1383</v>
      </c>
    </row>
    <row r="738" s="54" customFormat="true" ht="18" hidden="false" customHeight="true" outlineLevel="0" collapsed="false">
      <c r="A738" s="57" t="s">
        <v>1407</v>
      </c>
      <c r="B738" s="51"/>
      <c r="C738" s="51"/>
      <c r="D738" s="51"/>
      <c r="E738" s="51"/>
      <c r="F738" s="57" t="s">
        <v>1408</v>
      </c>
      <c r="G738" s="51"/>
      <c r="H738" s="51"/>
      <c r="I738" s="51"/>
      <c r="J738" s="51"/>
      <c r="K738" s="52" t="str">
        <f aca="false">IF($A738&lt;&gt;"",$A738,"")</f>
        <v>Apprenant 726</v>
      </c>
      <c r="L738" s="53" t="str">
        <f aca="false">IF(AND($B738&lt;&gt;"",$C738&lt;&gt;""),$C738-$B738,"")</f>
        <v/>
      </c>
      <c r="M738" s="53" t="str">
        <f aca="false">IF(AND($B738&lt;&gt;"",$D738&lt;&gt;""),$D738-$B738,"")</f>
        <v/>
      </c>
      <c r="N738" s="53" t="str">
        <f aca="false">IF(AND($C738&lt;&gt;"",$D738&lt;&gt;""),$D738-$C738,"")</f>
        <v/>
      </c>
      <c r="O738" s="53" t="str">
        <f aca="false">IF($E738&lt;&gt;"",$E738,"")</f>
        <v/>
      </c>
      <c r="P738" s="52" t="str">
        <f aca="false">IF($F738&lt;&gt;"",$F738,"")</f>
        <v>Apprenant 726 ou 726'</v>
      </c>
      <c r="Q738" s="53" t="str">
        <f aca="false">IF(AND($G738&lt;&gt;"",$H738&lt;&gt;""),$H738-$G738,"")</f>
        <v/>
      </c>
      <c r="R738" s="53" t="str">
        <f aca="false">IF(AND($G738&lt;&gt;"",$I738&lt;&gt;""),$I738-$G738,"")</f>
        <v/>
      </c>
      <c r="S738" s="53" t="str">
        <f aca="false">IF(AND($H738&lt;&gt;"",$I738&lt;&gt;""),$I738-$H738,"")</f>
        <v/>
      </c>
      <c r="T738" s="53" t="str">
        <f aca="false">IF($J738&lt;&gt;"",$J738,"")</f>
        <v/>
      </c>
      <c r="V738" s="52" t="str">
        <f aca="false">IF($A738&lt;&gt;"",$A738,"")</f>
        <v>Apprenant 726</v>
      </c>
      <c r="W738" s="53" t="str">
        <f aca="false">IF(AND(OR('Choix pédagogiques'!$C$3=1,'Choix pédagogiques'!$C$3=2),$BM738=1),B738,IF(AND('Choix pédagogiques'!$C$3=3,$BO738=1),B738,""))</f>
        <v/>
      </c>
      <c r="X738" s="53" t="str">
        <f aca="false">IF(AND(OR('Choix pédagogiques'!$C$3=1,'Choix pédagogiques'!$C$3=2),$BM738=1),C738,IF(AND('Choix pédagogiques'!$C$3=3,$BO738=1),C738,""))</f>
        <v/>
      </c>
      <c r="Y738" s="53" t="str">
        <f aca="false">IF(AND(OR('Choix pédagogiques'!$C$3=1,'Choix pédagogiques'!$C$3=2),$BM738=1),D738,IF(AND('Choix pédagogiques'!$C$3=3,$BO738=1),D738,""))</f>
        <v/>
      </c>
      <c r="Z738" s="53" t="str">
        <f aca="false">IF($E738&lt;&gt;"",$E738,"")</f>
        <v/>
      </c>
      <c r="AA738" s="52" t="str">
        <f aca="false">IF($F738&lt;&gt;"",$F738,"")</f>
        <v>Apprenant 726 ou 726'</v>
      </c>
      <c r="AB738" s="53" t="str">
        <f aca="false">IF(AND(OR('Choix pédagogiques'!$C$3=1,'Choix pédagogiques'!$C$3=2),$BN738=1),G738,IF(AND('Choix pédagogiques'!$C$3=3,$BO738=1),G738,""))</f>
        <v/>
      </c>
      <c r="AC738" s="53" t="str">
        <f aca="false">IF(AND(OR('Choix pédagogiques'!$C$3=1,'Choix pédagogiques'!$C$3=2),$BN738=1),H738,IF(AND('Choix pédagogiques'!$C$3=3,$BO738=1),H738,""))</f>
        <v/>
      </c>
      <c r="AD738" s="53" t="str">
        <f aca="false">IF(AND(OR('Choix pédagogiques'!$C$3=1,'Choix pédagogiques'!$C$3=2),$BN738=1),I738,IF(AND('Choix pédagogiques'!$C$3=3,$BO738=1),I738,""))</f>
        <v/>
      </c>
      <c r="AE738" s="53" t="str">
        <f aca="false">IF($J738&lt;&gt;"",$J738,"")</f>
        <v/>
      </c>
      <c r="AF738" s="52" t="str">
        <f aca="false">IF($A738&lt;&gt;"",$A738,"")</f>
        <v>Apprenant 726</v>
      </c>
      <c r="AG738" s="53" t="str">
        <f aca="false">IF(AND($W738&lt;&gt;"",$X738&lt;&gt;""),$X738-$W738,"")</f>
        <v/>
      </c>
      <c r="AH738" s="53" t="str">
        <f aca="false">IF(AND($W738&lt;&gt;"",$Y738&lt;&gt;""),$Y738-$W738,"")</f>
        <v/>
      </c>
      <c r="AI738" s="53" t="str">
        <f aca="false">IF(AND($X738&lt;&gt;"",$Y738&lt;&gt;""),$Y738-$X738,"")</f>
        <v/>
      </c>
      <c r="AJ738" s="53" t="str">
        <f aca="false">IF($E738&lt;&gt;"",$E738,"")</f>
        <v/>
      </c>
      <c r="AK738" s="52" t="str">
        <f aca="false">IF($F738&lt;&gt;"",$F738,"")</f>
        <v>Apprenant 726 ou 726'</v>
      </c>
      <c r="AL738" s="53" t="str">
        <f aca="false">IF(AND($AB738&lt;&gt;"",$AC738&lt;&gt;""),$AC738-$AB738,"")</f>
        <v/>
      </c>
      <c r="AM738" s="53" t="str">
        <f aca="false">IF(AND($AB738&lt;&gt;"",$AD738&lt;&gt;""),$AD738-$AB738,"")</f>
        <v/>
      </c>
      <c r="AN738" s="53" t="str">
        <f aca="false">IF(AND($AC738&lt;&gt;"",$AD738&lt;&gt;""),$AD738-$AC738,"")</f>
        <v/>
      </c>
      <c r="AO738" s="53" t="str">
        <f aca="false">IF($J738&lt;&gt;"",$J738,"")</f>
        <v/>
      </c>
      <c r="AQ738" s="52" t="str">
        <f aca="false">IF($A738&lt;&gt;"",$A738,"")</f>
        <v>Apprenant 726</v>
      </c>
      <c r="AR738" s="55" t="str">
        <f aca="false">IF(AND('Choix pédagogiques'!$C$4&lt;&gt;"?",'Choix pédagogiques'!$C$5&lt;&gt;"?",W738&lt;&gt;""),(W738-'Choix pédagogiques'!$C$4)/('Choix pédagogiques'!$C$5-'Choix pédagogiques'!$C$4),"")</f>
        <v/>
      </c>
      <c r="AS738" s="55" t="str">
        <f aca="false">IF(AND('Choix pédagogiques'!$C$4&lt;&gt;"?",'Choix pédagogiques'!$C$5&lt;&gt;"?",X738&lt;&gt;""),(X738-'Choix pédagogiques'!$C$4)/('Choix pédagogiques'!$C$5-'Choix pédagogiques'!$C$4),"")</f>
        <v/>
      </c>
      <c r="AT738" s="55" t="str">
        <f aca="false">IF(AND('Choix pédagogiques'!$C$4&lt;&gt;"?",'Choix pédagogiques'!$C$5&lt;&gt;"?",Y738&lt;&gt;""),(Y738-'Choix pédagogiques'!$C$4)/('Choix pédagogiques'!$C$5-'Choix pédagogiques'!$C$4),"")</f>
        <v/>
      </c>
      <c r="AU738" s="53" t="str">
        <f aca="false">IF($E738&lt;&gt;"",$E738,"")</f>
        <v/>
      </c>
      <c r="AV738" s="52" t="str">
        <f aca="false">IF($F738&lt;&gt;"",$F738,"")</f>
        <v>Apprenant 726 ou 726'</v>
      </c>
      <c r="AW738" s="55" t="str">
        <f aca="false">IF(AND('Choix pédagogiques'!$C$4&lt;&gt;"?",'Choix pédagogiques'!$C$5&lt;&gt;"?",AB738&lt;&gt;""),(AB738-'Choix pédagogiques'!$C$4)/('Choix pédagogiques'!$C$5-'Choix pédagogiques'!$C$4),"")</f>
        <v/>
      </c>
      <c r="AX738" s="55" t="str">
        <f aca="false">IF(AND('Choix pédagogiques'!$C$4&lt;&gt;"?",'Choix pédagogiques'!$C$5&lt;&gt;"?",AC738&lt;&gt;""),(AC738-'Choix pédagogiques'!$C$4)/('Choix pédagogiques'!$C$5-'Choix pédagogiques'!$C$4),"")</f>
        <v/>
      </c>
      <c r="AY738" s="55" t="str">
        <f aca="false">IF(AND('Choix pédagogiques'!$C$4&lt;&gt;"?",'Choix pédagogiques'!$C$5&lt;&gt;"?",AD738&lt;&gt;""),(AD738-'Choix pédagogiques'!$C$4)/('Choix pédagogiques'!$C$5-'Choix pédagogiques'!$C$4),"")</f>
        <v/>
      </c>
      <c r="AZ738" s="53" t="str">
        <f aca="false">IF($J738&lt;&gt;"",$J738,"")</f>
        <v/>
      </c>
      <c r="BA738" s="52" t="str">
        <f aca="false">IF($A738&lt;&gt;"",$A738,"")</f>
        <v>Apprenant 726</v>
      </c>
      <c r="BB738" s="55" t="str">
        <f aca="false">IF(AND($AR738&lt;&gt;"",$AS738&lt;&gt;""),$AS738-$AR738,"")</f>
        <v/>
      </c>
      <c r="BC738" s="55" t="str">
        <f aca="false">IF(AND($AR738&lt;&gt;"",$AT738&lt;&gt;""),$AT738-$AR738,"")</f>
        <v/>
      </c>
      <c r="BD738" s="55" t="str">
        <f aca="false">IF(AND($AS738&lt;&gt;"",$AT738&lt;&gt;""),$AT738-$AS738,"")</f>
        <v/>
      </c>
      <c r="BE738" s="53" t="str">
        <f aca="false">IF($E738&lt;&gt;"",$E738,"")</f>
        <v/>
      </c>
      <c r="BF738" s="52" t="str">
        <f aca="false">IF($F738&lt;&gt;"",$F738,"")</f>
        <v>Apprenant 726 ou 726'</v>
      </c>
      <c r="BG738" s="55" t="str">
        <f aca="false">IF(AND($AW738&lt;&gt;"",$AX738&lt;&gt;""),$AX738-$AW738,"")</f>
        <v/>
      </c>
      <c r="BH738" s="55" t="str">
        <f aca="false">IF(AND($AW738&lt;&gt;"",$AY738&lt;&gt;""),$AY738-$AW738,"")</f>
        <v/>
      </c>
      <c r="BI738" s="55" t="str">
        <f aca="false">IF(AND($AX738&lt;&gt;"",$AY738&lt;&gt;""),$AY738-$AX738,"")</f>
        <v/>
      </c>
      <c r="BJ738" s="53" t="str">
        <f aca="false">IF($J738&lt;&gt;"",$J738,"")</f>
        <v/>
      </c>
      <c r="BL738" s="52"/>
      <c r="BM738" s="52" t="str">
        <f aca="false">IF(OR(COUNT(B738:D1737)=0,AND('Choix pédagogiques'!$C$3&lt;&gt;1,'Choix pédagogiques'!$C$3&lt;&gt;2)),"",IF(AND(OR('Choix pédagogiques'!$C$3=1,'Choix pédagogiques'!$C$3=2),$B738&lt;&gt;"",$C738&lt;&gt;"",$D738&lt;&gt;""),1,0))</f>
        <v/>
      </c>
      <c r="BN738" s="52" t="str">
        <f aca="false">IF(OR(COUNT(G738:I1737)=0,AND('Choix pédagogiques'!$C$3&lt;&gt;1,'Choix pédagogiques'!$C$3&lt;&gt;2)),"",IF(AND(OR('Choix pédagogiques'!$C$3=1,'Choix pédagogiques'!$C$3=2),AND($G738&lt;&gt;"",$H738&lt;&gt;"",$I738&lt;&gt;"")),1,0))</f>
        <v/>
      </c>
      <c r="BO738" s="52" t="str">
        <f aca="false">IF(OR(COUNT(B738:D1737)=0,COUNT(G738:I1737)=0,'Choix pédagogiques'!C$3&lt;&gt;3),"",IF(AND('Choix pédagogiques'!$C$3=3,$B738&lt;&gt;"",$C738&lt;&gt;"",$D738&lt;&gt;"",$G738&lt;&gt;"",$H738&lt;&gt;"",$I738&lt;&gt;""),1,0))</f>
        <v/>
      </c>
      <c r="BR738" s="52" t="n">
        <v>659</v>
      </c>
      <c r="BS738" s="52" t="n">
        <v>1832</v>
      </c>
    </row>
    <row r="739" s="54" customFormat="true" ht="18" hidden="false" customHeight="true" outlineLevel="0" collapsed="false">
      <c r="A739" s="57" t="s">
        <v>1409</v>
      </c>
      <c r="B739" s="51"/>
      <c r="C739" s="51"/>
      <c r="D739" s="51"/>
      <c r="E739" s="51"/>
      <c r="F739" s="57" t="s">
        <v>1410</v>
      </c>
      <c r="G739" s="51"/>
      <c r="H739" s="51"/>
      <c r="I739" s="51"/>
      <c r="J739" s="51"/>
      <c r="K739" s="52" t="str">
        <f aca="false">IF($A739&lt;&gt;"",$A739,"")</f>
        <v>Apprenant 727</v>
      </c>
      <c r="L739" s="53" t="str">
        <f aca="false">IF(AND($B739&lt;&gt;"",$C739&lt;&gt;""),$C739-$B739,"")</f>
        <v/>
      </c>
      <c r="M739" s="53" t="str">
        <f aca="false">IF(AND($B739&lt;&gt;"",$D739&lt;&gt;""),$D739-$B739,"")</f>
        <v/>
      </c>
      <c r="N739" s="53" t="str">
        <f aca="false">IF(AND($C739&lt;&gt;"",$D739&lt;&gt;""),$D739-$C739,"")</f>
        <v/>
      </c>
      <c r="O739" s="53" t="str">
        <f aca="false">IF($E739&lt;&gt;"",$E739,"")</f>
        <v/>
      </c>
      <c r="P739" s="52" t="str">
        <f aca="false">IF($F739&lt;&gt;"",$F739,"")</f>
        <v>Apprenant 727 ou 727'</v>
      </c>
      <c r="Q739" s="53" t="str">
        <f aca="false">IF(AND($G739&lt;&gt;"",$H739&lt;&gt;""),$H739-$G739,"")</f>
        <v/>
      </c>
      <c r="R739" s="53" t="str">
        <f aca="false">IF(AND($G739&lt;&gt;"",$I739&lt;&gt;""),$I739-$G739,"")</f>
        <v/>
      </c>
      <c r="S739" s="53" t="str">
        <f aca="false">IF(AND($H739&lt;&gt;"",$I739&lt;&gt;""),$I739-$H739,"")</f>
        <v/>
      </c>
      <c r="T739" s="53" t="str">
        <f aca="false">IF($J739&lt;&gt;"",$J739,"")</f>
        <v/>
      </c>
      <c r="V739" s="52" t="str">
        <f aca="false">IF($A739&lt;&gt;"",$A739,"")</f>
        <v>Apprenant 727</v>
      </c>
      <c r="W739" s="53" t="str">
        <f aca="false">IF(AND(OR('Choix pédagogiques'!$C$3=1,'Choix pédagogiques'!$C$3=2),$BM739=1),B739,IF(AND('Choix pédagogiques'!$C$3=3,$BO739=1),B739,""))</f>
        <v/>
      </c>
      <c r="X739" s="53" t="str">
        <f aca="false">IF(AND(OR('Choix pédagogiques'!$C$3=1,'Choix pédagogiques'!$C$3=2),$BM739=1),C739,IF(AND('Choix pédagogiques'!$C$3=3,$BO739=1),C739,""))</f>
        <v/>
      </c>
      <c r="Y739" s="53" t="str">
        <f aca="false">IF(AND(OR('Choix pédagogiques'!$C$3=1,'Choix pédagogiques'!$C$3=2),$BM739=1),D739,IF(AND('Choix pédagogiques'!$C$3=3,$BO739=1),D739,""))</f>
        <v/>
      </c>
      <c r="Z739" s="53" t="str">
        <f aca="false">IF($E739&lt;&gt;"",$E739,"")</f>
        <v/>
      </c>
      <c r="AA739" s="52" t="str">
        <f aca="false">IF($F739&lt;&gt;"",$F739,"")</f>
        <v>Apprenant 727 ou 727'</v>
      </c>
      <c r="AB739" s="53" t="str">
        <f aca="false">IF(AND(OR('Choix pédagogiques'!$C$3=1,'Choix pédagogiques'!$C$3=2),$BN739=1),G739,IF(AND('Choix pédagogiques'!$C$3=3,$BO739=1),G739,""))</f>
        <v/>
      </c>
      <c r="AC739" s="53" t="str">
        <f aca="false">IF(AND(OR('Choix pédagogiques'!$C$3=1,'Choix pédagogiques'!$C$3=2),$BN739=1),H739,IF(AND('Choix pédagogiques'!$C$3=3,$BO739=1),H739,""))</f>
        <v/>
      </c>
      <c r="AD739" s="53" t="str">
        <f aca="false">IF(AND(OR('Choix pédagogiques'!$C$3=1,'Choix pédagogiques'!$C$3=2),$BN739=1),I739,IF(AND('Choix pédagogiques'!$C$3=3,$BO739=1),I739,""))</f>
        <v/>
      </c>
      <c r="AE739" s="53" t="str">
        <f aca="false">IF($J739&lt;&gt;"",$J739,"")</f>
        <v/>
      </c>
      <c r="AF739" s="52" t="str">
        <f aca="false">IF($A739&lt;&gt;"",$A739,"")</f>
        <v>Apprenant 727</v>
      </c>
      <c r="AG739" s="53" t="str">
        <f aca="false">IF(AND($W739&lt;&gt;"",$X739&lt;&gt;""),$X739-$W739,"")</f>
        <v/>
      </c>
      <c r="AH739" s="53" t="str">
        <f aca="false">IF(AND($W739&lt;&gt;"",$Y739&lt;&gt;""),$Y739-$W739,"")</f>
        <v/>
      </c>
      <c r="AI739" s="53" t="str">
        <f aca="false">IF(AND($X739&lt;&gt;"",$Y739&lt;&gt;""),$Y739-$X739,"")</f>
        <v/>
      </c>
      <c r="AJ739" s="53" t="str">
        <f aca="false">IF($E739&lt;&gt;"",$E739,"")</f>
        <v/>
      </c>
      <c r="AK739" s="52" t="str">
        <f aca="false">IF($F739&lt;&gt;"",$F739,"")</f>
        <v>Apprenant 727 ou 727'</v>
      </c>
      <c r="AL739" s="53" t="str">
        <f aca="false">IF(AND($AB739&lt;&gt;"",$AC739&lt;&gt;""),$AC739-$AB739,"")</f>
        <v/>
      </c>
      <c r="AM739" s="53" t="str">
        <f aca="false">IF(AND($AB739&lt;&gt;"",$AD739&lt;&gt;""),$AD739-$AB739,"")</f>
        <v/>
      </c>
      <c r="AN739" s="53" t="str">
        <f aca="false">IF(AND($AC739&lt;&gt;"",$AD739&lt;&gt;""),$AD739-$AC739,"")</f>
        <v/>
      </c>
      <c r="AO739" s="53" t="str">
        <f aca="false">IF($J739&lt;&gt;"",$J739,"")</f>
        <v/>
      </c>
      <c r="AQ739" s="52" t="str">
        <f aca="false">IF($A739&lt;&gt;"",$A739,"")</f>
        <v>Apprenant 727</v>
      </c>
      <c r="AR739" s="55" t="str">
        <f aca="false">IF(AND('Choix pédagogiques'!$C$4&lt;&gt;"?",'Choix pédagogiques'!$C$5&lt;&gt;"?",W739&lt;&gt;""),(W739-'Choix pédagogiques'!$C$4)/('Choix pédagogiques'!$C$5-'Choix pédagogiques'!$C$4),"")</f>
        <v/>
      </c>
      <c r="AS739" s="55" t="str">
        <f aca="false">IF(AND('Choix pédagogiques'!$C$4&lt;&gt;"?",'Choix pédagogiques'!$C$5&lt;&gt;"?",X739&lt;&gt;""),(X739-'Choix pédagogiques'!$C$4)/('Choix pédagogiques'!$C$5-'Choix pédagogiques'!$C$4),"")</f>
        <v/>
      </c>
      <c r="AT739" s="55" t="str">
        <f aca="false">IF(AND('Choix pédagogiques'!$C$4&lt;&gt;"?",'Choix pédagogiques'!$C$5&lt;&gt;"?",Y739&lt;&gt;""),(Y739-'Choix pédagogiques'!$C$4)/('Choix pédagogiques'!$C$5-'Choix pédagogiques'!$C$4),"")</f>
        <v/>
      </c>
      <c r="AU739" s="53" t="str">
        <f aca="false">IF($E739&lt;&gt;"",$E739,"")</f>
        <v/>
      </c>
      <c r="AV739" s="52" t="str">
        <f aca="false">IF($F739&lt;&gt;"",$F739,"")</f>
        <v>Apprenant 727 ou 727'</v>
      </c>
      <c r="AW739" s="55" t="str">
        <f aca="false">IF(AND('Choix pédagogiques'!$C$4&lt;&gt;"?",'Choix pédagogiques'!$C$5&lt;&gt;"?",AB739&lt;&gt;""),(AB739-'Choix pédagogiques'!$C$4)/('Choix pédagogiques'!$C$5-'Choix pédagogiques'!$C$4),"")</f>
        <v/>
      </c>
      <c r="AX739" s="55" t="str">
        <f aca="false">IF(AND('Choix pédagogiques'!$C$4&lt;&gt;"?",'Choix pédagogiques'!$C$5&lt;&gt;"?",AC739&lt;&gt;""),(AC739-'Choix pédagogiques'!$C$4)/('Choix pédagogiques'!$C$5-'Choix pédagogiques'!$C$4),"")</f>
        <v/>
      </c>
      <c r="AY739" s="55" t="str">
        <f aca="false">IF(AND('Choix pédagogiques'!$C$4&lt;&gt;"?",'Choix pédagogiques'!$C$5&lt;&gt;"?",AD739&lt;&gt;""),(AD739-'Choix pédagogiques'!$C$4)/('Choix pédagogiques'!$C$5-'Choix pédagogiques'!$C$4),"")</f>
        <v/>
      </c>
      <c r="AZ739" s="53" t="str">
        <f aca="false">IF($J739&lt;&gt;"",$J739,"")</f>
        <v/>
      </c>
      <c r="BA739" s="52" t="str">
        <f aca="false">IF($A739&lt;&gt;"",$A739,"")</f>
        <v>Apprenant 727</v>
      </c>
      <c r="BB739" s="55" t="str">
        <f aca="false">IF(AND($AR739&lt;&gt;"",$AS739&lt;&gt;""),$AS739-$AR739,"")</f>
        <v/>
      </c>
      <c r="BC739" s="55" t="str">
        <f aca="false">IF(AND($AR739&lt;&gt;"",$AT739&lt;&gt;""),$AT739-$AR739,"")</f>
        <v/>
      </c>
      <c r="BD739" s="55" t="str">
        <f aca="false">IF(AND($AS739&lt;&gt;"",$AT739&lt;&gt;""),$AT739-$AS739,"")</f>
        <v/>
      </c>
      <c r="BE739" s="53" t="str">
        <f aca="false">IF($E739&lt;&gt;"",$E739,"")</f>
        <v/>
      </c>
      <c r="BF739" s="52" t="str">
        <f aca="false">IF($F739&lt;&gt;"",$F739,"")</f>
        <v>Apprenant 727 ou 727'</v>
      </c>
      <c r="BG739" s="55" t="str">
        <f aca="false">IF(AND($AW739&lt;&gt;"",$AX739&lt;&gt;""),$AX739-$AW739,"")</f>
        <v/>
      </c>
      <c r="BH739" s="55" t="str">
        <f aca="false">IF(AND($AW739&lt;&gt;"",$AY739&lt;&gt;""),$AY739-$AW739,"")</f>
        <v/>
      </c>
      <c r="BI739" s="55" t="str">
        <f aca="false">IF(AND($AX739&lt;&gt;"",$AY739&lt;&gt;""),$AY739-$AX739,"")</f>
        <v/>
      </c>
      <c r="BJ739" s="53" t="str">
        <f aca="false">IF($J739&lt;&gt;"",$J739,"")</f>
        <v/>
      </c>
      <c r="BL739" s="52"/>
      <c r="BM739" s="52" t="str">
        <f aca="false">IF(OR(COUNT(B739:D1738)=0,AND('Choix pédagogiques'!$C$3&lt;&gt;1,'Choix pédagogiques'!$C$3&lt;&gt;2)),"",IF(AND(OR('Choix pédagogiques'!$C$3=1,'Choix pédagogiques'!$C$3=2),$B739&lt;&gt;"",$C739&lt;&gt;"",$D739&lt;&gt;""),1,0))</f>
        <v/>
      </c>
      <c r="BN739" s="52" t="str">
        <f aca="false">IF(OR(COUNT(G739:I1738)=0,AND('Choix pédagogiques'!$C$3&lt;&gt;1,'Choix pédagogiques'!$C$3&lt;&gt;2)),"",IF(AND(OR('Choix pédagogiques'!$C$3=1,'Choix pédagogiques'!$C$3=2),AND($G739&lt;&gt;"",$H739&lt;&gt;"",$I739&lt;&gt;"")),1,0))</f>
        <v/>
      </c>
      <c r="BO739" s="52" t="str">
        <f aca="false">IF(OR(COUNT(B739:D1738)=0,COUNT(G739:I1738)=0,'Choix pédagogiques'!C$3&lt;&gt;3),"",IF(AND('Choix pédagogiques'!$C$3=3,$B739&lt;&gt;"",$C739&lt;&gt;"",$D739&lt;&gt;"",$G739&lt;&gt;"",$H739&lt;&gt;"",$I739&lt;&gt;""),1,0))</f>
        <v/>
      </c>
      <c r="BR739" s="52" t="n">
        <v>325</v>
      </c>
      <c r="BS739" s="52" t="n">
        <v>1906</v>
      </c>
    </row>
    <row r="740" s="54" customFormat="true" ht="18" hidden="false" customHeight="true" outlineLevel="0" collapsed="false">
      <c r="A740" s="57" t="s">
        <v>1411</v>
      </c>
      <c r="B740" s="51"/>
      <c r="C740" s="51"/>
      <c r="D740" s="51"/>
      <c r="E740" s="51"/>
      <c r="F740" s="57" t="s">
        <v>1412</v>
      </c>
      <c r="G740" s="51"/>
      <c r="H740" s="51"/>
      <c r="I740" s="51"/>
      <c r="J740" s="51"/>
      <c r="K740" s="52" t="str">
        <f aca="false">IF($A740&lt;&gt;"",$A740,"")</f>
        <v>Apprenant 728</v>
      </c>
      <c r="L740" s="53" t="str">
        <f aca="false">IF(AND($B740&lt;&gt;"",$C740&lt;&gt;""),$C740-$B740,"")</f>
        <v/>
      </c>
      <c r="M740" s="53" t="str">
        <f aca="false">IF(AND($B740&lt;&gt;"",$D740&lt;&gt;""),$D740-$B740,"")</f>
        <v/>
      </c>
      <c r="N740" s="53" t="str">
        <f aca="false">IF(AND($C740&lt;&gt;"",$D740&lt;&gt;""),$D740-$C740,"")</f>
        <v/>
      </c>
      <c r="O740" s="53" t="str">
        <f aca="false">IF($E740&lt;&gt;"",$E740,"")</f>
        <v/>
      </c>
      <c r="P740" s="52" t="str">
        <f aca="false">IF($F740&lt;&gt;"",$F740,"")</f>
        <v>Apprenant 728 ou 728'</v>
      </c>
      <c r="Q740" s="53" t="str">
        <f aca="false">IF(AND($G740&lt;&gt;"",$H740&lt;&gt;""),$H740-$G740,"")</f>
        <v/>
      </c>
      <c r="R740" s="53" t="str">
        <f aca="false">IF(AND($G740&lt;&gt;"",$I740&lt;&gt;""),$I740-$G740,"")</f>
        <v/>
      </c>
      <c r="S740" s="53" t="str">
        <f aca="false">IF(AND($H740&lt;&gt;"",$I740&lt;&gt;""),$I740-$H740,"")</f>
        <v/>
      </c>
      <c r="T740" s="53" t="str">
        <f aca="false">IF($J740&lt;&gt;"",$J740,"")</f>
        <v/>
      </c>
      <c r="V740" s="52" t="str">
        <f aca="false">IF($A740&lt;&gt;"",$A740,"")</f>
        <v>Apprenant 728</v>
      </c>
      <c r="W740" s="53" t="str">
        <f aca="false">IF(AND(OR('Choix pédagogiques'!$C$3=1,'Choix pédagogiques'!$C$3=2),$BM740=1),B740,IF(AND('Choix pédagogiques'!$C$3=3,$BO740=1),B740,""))</f>
        <v/>
      </c>
      <c r="X740" s="53" t="str">
        <f aca="false">IF(AND(OR('Choix pédagogiques'!$C$3=1,'Choix pédagogiques'!$C$3=2),$BM740=1),C740,IF(AND('Choix pédagogiques'!$C$3=3,$BO740=1),C740,""))</f>
        <v/>
      </c>
      <c r="Y740" s="53" t="str">
        <f aca="false">IF(AND(OR('Choix pédagogiques'!$C$3=1,'Choix pédagogiques'!$C$3=2),$BM740=1),D740,IF(AND('Choix pédagogiques'!$C$3=3,$BO740=1),D740,""))</f>
        <v/>
      </c>
      <c r="Z740" s="53" t="str">
        <f aca="false">IF($E740&lt;&gt;"",$E740,"")</f>
        <v/>
      </c>
      <c r="AA740" s="52" t="str">
        <f aca="false">IF($F740&lt;&gt;"",$F740,"")</f>
        <v>Apprenant 728 ou 728'</v>
      </c>
      <c r="AB740" s="53" t="str">
        <f aca="false">IF(AND(OR('Choix pédagogiques'!$C$3=1,'Choix pédagogiques'!$C$3=2),$BN740=1),G740,IF(AND('Choix pédagogiques'!$C$3=3,$BO740=1),G740,""))</f>
        <v/>
      </c>
      <c r="AC740" s="53" t="str">
        <f aca="false">IF(AND(OR('Choix pédagogiques'!$C$3=1,'Choix pédagogiques'!$C$3=2),$BN740=1),H740,IF(AND('Choix pédagogiques'!$C$3=3,$BO740=1),H740,""))</f>
        <v/>
      </c>
      <c r="AD740" s="53" t="str">
        <f aca="false">IF(AND(OR('Choix pédagogiques'!$C$3=1,'Choix pédagogiques'!$C$3=2),$BN740=1),I740,IF(AND('Choix pédagogiques'!$C$3=3,$BO740=1),I740,""))</f>
        <v/>
      </c>
      <c r="AE740" s="53" t="str">
        <f aca="false">IF($J740&lt;&gt;"",$J740,"")</f>
        <v/>
      </c>
      <c r="AF740" s="52" t="str">
        <f aca="false">IF($A740&lt;&gt;"",$A740,"")</f>
        <v>Apprenant 728</v>
      </c>
      <c r="AG740" s="53" t="str">
        <f aca="false">IF(AND($W740&lt;&gt;"",$X740&lt;&gt;""),$X740-$W740,"")</f>
        <v/>
      </c>
      <c r="AH740" s="53" t="str">
        <f aca="false">IF(AND($W740&lt;&gt;"",$Y740&lt;&gt;""),$Y740-$W740,"")</f>
        <v/>
      </c>
      <c r="AI740" s="53" t="str">
        <f aca="false">IF(AND($X740&lt;&gt;"",$Y740&lt;&gt;""),$Y740-$X740,"")</f>
        <v/>
      </c>
      <c r="AJ740" s="53" t="str">
        <f aca="false">IF($E740&lt;&gt;"",$E740,"")</f>
        <v/>
      </c>
      <c r="AK740" s="52" t="str">
        <f aca="false">IF($F740&lt;&gt;"",$F740,"")</f>
        <v>Apprenant 728 ou 728'</v>
      </c>
      <c r="AL740" s="53" t="str">
        <f aca="false">IF(AND($AB740&lt;&gt;"",$AC740&lt;&gt;""),$AC740-$AB740,"")</f>
        <v/>
      </c>
      <c r="AM740" s="53" t="str">
        <f aca="false">IF(AND($AB740&lt;&gt;"",$AD740&lt;&gt;""),$AD740-$AB740,"")</f>
        <v/>
      </c>
      <c r="AN740" s="53" t="str">
        <f aca="false">IF(AND($AC740&lt;&gt;"",$AD740&lt;&gt;""),$AD740-$AC740,"")</f>
        <v/>
      </c>
      <c r="AO740" s="53" t="str">
        <f aca="false">IF($J740&lt;&gt;"",$J740,"")</f>
        <v/>
      </c>
      <c r="AQ740" s="52" t="str">
        <f aca="false">IF($A740&lt;&gt;"",$A740,"")</f>
        <v>Apprenant 728</v>
      </c>
      <c r="AR740" s="55" t="str">
        <f aca="false">IF(AND('Choix pédagogiques'!$C$4&lt;&gt;"?",'Choix pédagogiques'!$C$5&lt;&gt;"?",W740&lt;&gt;""),(W740-'Choix pédagogiques'!$C$4)/('Choix pédagogiques'!$C$5-'Choix pédagogiques'!$C$4),"")</f>
        <v/>
      </c>
      <c r="AS740" s="55" t="str">
        <f aca="false">IF(AND('Choix pédagogiques'!$C$4&lt;&gt;"?",'Choix pédagogiques'!$C$5&lt;&gt;"?",X740&lt;&gt;""),(X740-'Choix pédagogiques'!$C$4)/('Choix pédagogiques'!$C$5-'Choix pédagogiques'!$C$4),"")</f>
        <v/>
      </c>
      <c r="AT740" s="55" t="str">
        <f aca="false">IF(AND('Choix pédagogiques'!$C$4&lt;&gt;"?",'Choix pédagogiques'!$C$5&lt;&gt;"?",Y740&lt;&gt;""),(Y740-'Choix pédagogiques'!$C$4)/('Choix pédagogiques'!$C$5-'Choix pédagogiques'!$C$4),"")</f>
        <v/>
      </c>
      <c r="AU740" s="53" t="str">
        <f aca="false">IF($E740&lt;&gt;"",$E740,"")</f>
        <v/>
      </c>
      <c r="AV740" s="52" t="str">
        <f aca="false">IF($F740&lt;&gt;"",$F740,"")</f>
        <v>Apprenant 728 ou 728'</v>
      </c>
      <c r="AW740" s="55" t="str">
        <f aca="false">IF(AND('Choix pédagogiques'!$C$4&lt;&gt;"?",'Choix pédagogiques'!$C$5&lt;&gt;"?",AB740&lt;&gt;""),(AB740-'Choix pédagogiques'!$C$4)/('Choix pédagogiques'!$C$5-'Choix pédagogiques'!$C$4),"")</f>
        <v/>
      </c>
      <c r="AX740" s="55" t="str">
        <f aca="false">IF(AND('Choix pédagogiques'!$C$4&lt;&gt;"?",'Choix pédagogiques'!$C$5&lt;&gt;"?",AC740&lt;&gt;""),(AC740-'Choix pédagogiques'!$C$4)/('Choix pédagogiques'!$C$5-'Choix pédagogiques'!$C$4),"")</f>
        <v/>
      </c>
      <c r="AY740" s="55" t="str">
        <f aca="false">IF(AND('Choix pédagogiques'!$C$4&lt;&gt;"?",'Choix pédagogiques'!$C$5&lt;&gt;"?",AD740&lt;&gt;""),(AD740-'Choix pédagogiques'!$C$4)/('Choix pédagogiques'!$C$5-'Choix pédagogiques'!$C$4),"")</f>
        <v/>
      </c>
      <c r="AZ740" s="53" t="str">
        <f aca="false">IF($J740&lt;&gt;"",$J740,"")</f>
        <v/>
      </c>
      <c r="BA740" s="52" t="str">
        <f aca="false">IF($A740&lt;&gt;"",$A740,"")</f>
        <v>Apprenant 728</v>
      </c>
      <c r="BB740" s="55" t="str">
        <f aca="false">IF(AND($AR740&lt;&gt;"",$AS740&lt;&gt;""),$AS740-$AR740,"")</f>
        <v/>
      </c>
      <c r="BC740" s="55" t="str">
        <f aca="false">IF(AND($AR740&lt;&gt;"",$AT740&lt;&gt;""),$AT740-$AR740,"")</f>
        <v/>
      </c>
      <c r="BD740" s="55" t="str">
        <f aca="false">IF(AND($AS740&lt;&gt;"",$AT740&lt;&gt;""),$AT740-$AS740,"")</f>
        <v/>
      </c>
      <c r="BE740" s="53" t="str">
        <f aca="false">IF($E740&lt;&gt;"",$E740,"")</f>
        <v/>
      </c>
      <c r="BF740" s="52" t="str">
        <f aca="false">IF($F740&lt;&gt;"",$F740,"")</f>
        <v>Apprenant 728 ou 728'</v>
      </c>
      <c r="BG740" s="55" t="str">
        <f aca="false">IF(AND($AW740&lt;&gt;"",$AX740&lt;&gt;""),$AX740-$AW740,"")</f>
        <v/>
      </c>
      <c r="BH740" s="55" t="str">
        <f aca="false">IF(AND($AW740&lt;&gt;"",$AY740&lt;&gt;""),$AY740-$AW740,"")</f>
        <v/>
      </c>
      <c r="BI740" s="55" t="str">
        <f aca="false">IF(AND($AX740&lt;&gt;"",$AY740&lt;&gt;""),$AY740-$AX740,"")</f>
        <v/>
      </c>
      <c r="BJ740" s="53" t="str">
        <f aca="false">IF($J740&lt;&gt;"",$J740,"")</f>
        <v/>
      </c>
      <c r="BL740" s="52"/>
      <c r="BM740" s="52" t="str">
        <f aca="false">IF(OR(COUNT(B740:D1739)=0,AND('Choix pédagogiques'!$C$3&lt;&gt;1,'Choix pédagogiques'!$C$3&lt;&gt;2)),"",IF(AND(OR('Choix pédagogiques'!$C$3=1,'Choix pédagogiques'!$C$3=2),$B740&lt;&gt;"",$C740&lt;&gt;"",$D740&lt;&gt;""),1,0))</f>
        <v/>
      </c>
      <c r="BN740" s="52" t="str">
        <f aca="false">IF(OR(COUNT(G740:I1739)=0,AND('Choix pédagogiques'!$C$3&lt;&gt;1,'Choix pédagogiques'!$C$3&lt;&gt;2)),"",IF(AND(OR('Choix pédagogiques'!$C$3=1,'Choix pédagogiques'!$C$3=2),AND($G740&lt;&gt;"",$H740&lt;&gt;"",$I740&lt;&gt;"")),1,0))</f>
        <v/>
      </c>
      <c r="BO740" s="52" t="str">
        <f aca="false">IF(OR(COUNT(B740:D1739)=0,COUNT(G740:I1739)=0,'Choix pédagogiques'!C$3&lt;&gt;3),"",IF(AND('Choix pédagogiques'!$C$3=3,$B740&lt;&gt;"",$C740&lt;&gt;"",$D740&lt;&gt;"",$G740&lt;&gt;"",$H740&lt;&gt;"",$I740&lt;&gt;""),1,0))</f>
        <v/>
      </c>
      <c r="BR740" s="52" t="n">
        <v>936</v>
      </c>
      <c r="BS740" s="52" t="n">
        <v>1278</v>
      </c>
    </row>
    <row r="741" s="54" customFormat="true" ht="18" hidden="false" customHeight="true" outlineLevel="0" collapsed="false">
      <c r="A741" s="57" t="s">
        <v>1413</v>
      </c>
      <c r="B741" s="51"/>
      <c r="C741" s="51"/>
      <c r="D741" s="51"/>
      <c r="E741" s="51"/>
      <c r="F741" s="57" t="s">
        <v>1414</v>
      </c>
      <c r="G741" s="51"/>
      <c r="H741" s="51"/>
      <c r="I741" s="51"/>
      <c r="J741" s="51"/>
      <c r="K741" s="52" t="str">
        <f aca="false">IF($A741&lt;&gt;"",$A741,"")</f>
        <v>Apprenant 729</v>
      </c>
      <c r="L741" s="53" t="str">
        <f aca="false">IF(AND($B741&lt;&gt;"",$C741&lt;&gt;""),$C741-$B741,"")</f>
        <v/>
      </c>
      <c r="M741" s="53" t="str">
        <f aca="false">IF(AND($B741&lt;&gt;"",$D741&lt;&gt;""),$D741-$B741,"")</f>
        <v/>
      </c>
      <c r="N741" s="53" t="str">
        <f aca="false">IF(AND($C741&lt;&gt;"",$D741&lt;&gt;""),$D741-$C741,"")</f>
        <v/>
      </c>
      <c r="O741" s="53" t="str">
        <f aca="false">IF($E741&lt;&gt;"",$E741,"")</f>
        <v/>
      </c>
      <c r="P741" s="52" t="str">
        <f aca="false">IF($F741&lt;&gt;"",$F741,"")</f>
        <v>Apprenant 729 ou 729'</v>
      </c>
      <c r="Q741" s="53" t="str">
        <f aca="false">IF(AND($G741&lt;&gt;"",$H741&lt;&gt;""),$H741-$G741,"")</f>
        <v/>
      </c>
      <c r="R741" s="53" t="str">
        <f aca="false">IF(AND($G741&lt;&gt;"",$I741&lt;&gt;""),$I741-$G741,"")</f>
        <v/>
      </c>
      <c r="S741" s="53" t="str">
        <f aca="false">IF(AND($H741&lt;&gt;"",$I741&lt;&gt;""),$I741-$H741,"")</f>
        <v/>
      </c>
      <c r="T741" s="53" t="str">
        <f aca="false">IF($J741&lt;&gt;"",$J741,"")</f>
        <v/>
      </c>
      <c r="V741" s="52" t="str">
        <f aca="false">IF($A741&lt;&gt;"",$A741,"")</f>
        <v>Apprenant 729</v>
      </c>
      <c r="W741" s="53" t="str">
        <f aca="false">IF(AND(OR('Choix pédagogiques'!$C$3=1,'Choix pédagogiques'!$C$3=2),$BM741=1),B741,IF(AND('Choix pédagogiques'!$C$3=3,$BO741=1),B741,""))</f>
        <v/>
      </c>
      <c r="X741" s="53" t="str">
        <f aca="false">IF(AND(OR('Choix pédagogiques'!$C$3=1,'Choix pédagogiques'!$C$3=2),$BM741=1),C741,IF(AND('Choix pédagogiques'!$C$3=3,$BO741=1),C741,""))</f>
        <v/>
      </c>
      <c r="Y741" s="53" t="str">
        <f aca="false">IF(AND(OR('Choix pédagogiques'!$C$3=1,'Choix pédagogiques'!$C$3=2),$BM741=1),D741,IF(AND('Choix pédagogiques'!$C$3=3,$BO741=1),D741,""))</f>
        <v/>
      </c>
      <c r="Z741" s="53" t="str">
        <f aca="false">IF($E741&lt;&gt;"",$E741,"")</f>
        <v/>
      </c>
      <c r="AA741" s="52" t="str">
        <f aca="false">IF($F741&lt;&gt;"",$F741,"")</f>
        <v>Apprenant 729 ou 729'</v>
      </c>
      <c r="AB741" s="53" t="str">
        <f aca="false">IF(AND(OR('Choix pédagogiques'!$C$3=1,'Choix pédagogiques'!$C$3=2),$BN741=1),G741,IF(AND('Choix pédagogiques'!$C$3=3,$BO741=1),G741,""))</f>
        <v/>
      </c>
      <c r="AC741" s="53" t="str">
        <f aca="false">IF(AND(OR('Choix pédagogiques'!$C$3=1,'Choix pédagogiques'!$C$3=2),$BN741=1),H741,IF(AND('Choix pédagogiques'!$C$3=3,$BO741=1),H741,""))</f>
        <v/>
      </c>
      <c r="AD741" s="53" t="str">
        <f aca="false">IF(AND(OR('Choix pédagogiques'!$C$3=1,'Choix pédagogiques'!$C$3=2),$BN741=1),I741,IF(AND('Choix pédagogiques'!$C$3=3,$BO741=1),I741,""))</f>
        <v/>
      </c>
      <c r="AE741" s="53" t="str">
        <f aca="false">IF($J741&lt;&gt;"",$J741,"")</f>
        <v/>
      </c>
      <c r="AF741" s="52" t="str">
        <f aca="false">IF($A741&lt;&gt;"",$A741,"")</f>
        <v>Apprenant 729</v>
      </c>
      <c r="AG741" s="53" t="str">
        <f aca="false">IF(AND($W741&lt;&gt;"",$X741&lt;&gt;""),$X741-$W741,"")</f>
        <v/>
      </c>
      <c r="AH741" s="53" t="str">
        <f aca="false">IF(AND($W741&lt;&gt;"",$Y741&lt;&gt;""),$Y741-$W741,"")</f>
        <v/>
      </c>
      <c r="AI741" s="53" t="str">
        <f aca="false">IF(AND($X741&lt;&gt;"",$Y741&lt;&gt;""),$Y741-$X741,"")</f>
        <v/>
      </c>
      <c r="AJ741" s="53" t="str">
        <f aca="false">IF($E741&lt;&gt;"",$E741,"")</f>
        <v/>
      </c>
      <c r="AK741" s="52" t="str">
        <f aca="false">IF($F741&lt;&gt;"",$F741,"")</f>
        <v>Apprenant 729 ou 729'</v>
      </c>
      <c r="AL741" s="53" t="str">
        <f aca="false">IF(AND($AB741&lt;&gt;"",$AC741&lt;&gt;""),$AC741-$AB741,"")</f>
        <v/>
      </c>
      <c r="AM741" s="53" t="str">
        <f aca="false">IF(AND($AB741&lt;&gt;"",$AD741&lt;&gt;""),$AD741-$AB741,"")</f>
        <v/>
      </c>
      <c r="AN741" s="53" t="str">
        <f aca="false">IF(AND($AC741&lt;&gt;"",$AD741&lt;&gt;""),$AD741-$AC741,"")</f>
        <v/>
      </c>
      <c r="AO741" s="53" t="str">
        <f aca="false">IF($J741&lt;&gt;"",$J741,"")</f>
        <v/>
      </c>
      <c r="AQ741" s="52" t="str">
        <f aca="false">IF($A741&lt;&gt;"",$A741,"")</f>
        <v>Apprenant 729</v>
      </c>
      <c r="AR741" s="55" t="str">
        <f aca="false">IF(AND('Choix pédagogiques'!$C$4&lt;&gt;"?",'Choix pédagogiques'!$C$5&lt;&gt;"?",W741&lt;&gt;""),(W741-'Choix pédagogiques'!$C$4)/('Choix pédagogiques'!$C$5-'Choix pédagogiques'!$C$4),"")</f>
        <v/>
      </c>
      <c r="AS741" s="55" t="str">
        <f aca="false">IF(AND('Choix pédagogiques'!$C$4&lt;&gt;"?",'Choix pédagogiques'!$C$5&lt;&gt;"?",X741&lt;&gt;""),(X741-'Choix pédagogiques'!$C$4)/('Choix pédagogiques'!$C$5-'Choix pédagogiques'!$C$4),"")</f>
        <v/>
      </c>
      <c r="AT741" s="55" t="str">
        <f aca="false">IF(AND('Choix pédagogiques'!$C$4&lt;&gt;"?",'Choix pédagogiques'!$C$5&lt;&gt;"?",Y741&lt;&gt;""),(Y741-'Choix pédagogiques'!$C$4)/('Choix pédagogiques'!$C$5-'Choix pédagogiques'!$C$4),"")</f>
        <v/>
      </c>
      <c r="AU741" s="53" t="str">
        <f aca="false">IF($E741&lt;&gt;"",$E741,"")</f>
        <v/>
      </c>
      <c r="AV741" s="52" t="str">
        <f aca="false">IF($F741&lt;&gt;"",$F741,"")</f>
        <v>Apprenant 729 ou 729'</v>
      </c>
      <c r="AW741" s="55" t="str">
        <f aca="false">IF(AND('Choix pédagogiques'!$C$4&lt;&gt;"?",'Choix pédagogiques'!$C$5&lt;&gt;"?",AB741&lt;&gt;""),(AB741-'Choix pédagogiques'!$C$4)/('Choix pédagogiques'!$C$5-'Choix pédagogiques'!$C$4),"")</f>
        <v/>
      </c>
      <c r="AX741" s="55" t="str">
        <f aca="false">IF(AND('Choix pédagogiques'!$C$4&lt;&gt;"?",'Choix pédagogiques'!$C$5&lt;&gt;"?",AC741&lt;&gt;""),(AC741-'Choix pédagogiques'!$C$4)/('Choix pédagogiques'!$C$5-'Choix pédagogiques'!$C$4),"")</f>
        <v/>
      </c>
      <c r="AY741" s="55" t="str">
        <f aca="false">IF(AND('Choix pédagogiques'!$C$4&lt;&gt;"?",'Choix pédagogiques'!$C$5&lt;&gt;"?",AD741&lt;&gt;""),(AD741-'Choix pédagogiques'!$C$4)/('Choix pédagogiques'!$C$5-'Choix pédagogiques'!$C$4),"")</f>
        <v/>
      </c>
      <c r="AZ741" s="53" t="str">
        <f aca="false">IF($J741&lt;&gt;"",$J741,"")</f>
        <v/>
      </c>
      <c r="BA741" s="52" t="str">
        <f aca="false">IF($A741&lt;&gt;"",$A741,"")</f>
        <v>Apprenant 729</v>
      </c>
      <c r="BB741" s="55" t="str">
        <f aca="false">IF(AND($AR741&lt;&gt;"",$AS741&lt;&gt;""),$AS741-$AR741,"")</f>
        <v/>
      </c>
      <c r="BC741" s="55" t="str">
        <f aca="false">IF(AND($AR741&lt;&gt;"",$AT741&lt;&gt;""),$AT741-$AR741,"")</f>
        <v/>
      </c>
      <c r="BD741" s="55" t="str">
        <f aca="false">IF(AND($AS741&lt;&gt;"",$AT741&lt;&gt;""),$AT741-$AS741,"")</f>
        <v/>
      </c>
      <c r="BE741" s="53" t="str">
        <f aca="false">IF($E741&lt;&gt;"",$E741,"")</f>
        <v/>
      </c>
      <c r="BF741" s="52" t="str">
        <f aca="false">IF($F741&lt;&gt;"",$F741,"")</f>
        <v>Apprenant 729 ou 729'</v>
      </c>
      <c r="BG741" s="55" t="str">
        <f aca="false">IF(AND($AW741&lt;&gt;"",$AX741&lt;&gt;""),$AX741-$AW741,"")</f>
        <v/>
      </c>
      <c r="BH741" s="55" t="str">
        <f aca="false">IF(AND($AW741&lt;&gt;"",$AY741&lt;&gt;""),$AY741-$AW741,"")</f>
        <v/>
      </c>
      <c r="BI741" s="55" t="str">
        <f aca="false">IF(AND($AX741&lt;&gt;"",$AY741&lt;&gt;""),$AY741-$AX741,"")</f>
        <v/>
      </c>
      <c r="BJ741" s="53" t="str">
        <f aca="false">IF($J741&lt;&gt;"",$J741,"")</f>
        <v/>
      </c>
      <c r="BL741" s="52"/>
      <c r="BM741" s="52" t="str">
        <f aca="false">IF(OR(COUNT(B741:D1740)=0,AND('Choix pédagogiques'!$C$3&lt;&gt;1,'Choix pédagogiques'!$C$3&lt;&gt;2)),"",IF(AND(OR('Choix pédagogiques'!$C$3=1,'Choix pédagogiques'!$C$3=2),$B741&lt;&gt;"",$C741&lt;&gt;"",$D741&lt;&gt;""),1,0))</f>
        <v/>
      </c>
      <c r="BN741" s="52" t="str">
        <f aca="false">IF(OR(COUNT(G741:I1740)=0,AND('Choix pédagogiques'!$C$3&lt;&gt;1,'Choix pédagogiques'!$C$3&lt;&gt;2)),"",IF(AND(OR('Choix pédagogiques'!$C$3=1,'Choix pédagogiques'!$C$3=2),AND($G741&lt;&gt;"",$H741&lt;&gt;"",$I741&lt;&gt;"")),1,0))</f>
        <v/>
      </c>
      <c r="BO741" s="52" t="str">
        <f aca="false">IF(OR(COUNT(B741:D1740)=0,COUNT(G741:I1740)=0,'Choix pédagogiques'!C$3&lt;&gt;3),"",IF(AND('Choix pédagogiques'!$C$3=3,$B741&lt;&gt;"",$C741&lt;&gt;"",$D741&lt;&gt;"",$G741&lt;&gt;"",$H741&lt;&gt;"",$I741&lt;&gt;""),1,0))</f>
        <v/>
      </c>
      <c r="BR741" s="52" t="n">
        <v>600</v>
      </c>
      <c r="BS741" s="52" t="n">
        <v>1827</v>
      </c>
    </row>
    <row r="742" s="54" customFormat="true" ht="18" hidden="false" customHeight="true" outlineLevel="0" collapsed="false">
      <c r="A742" s="57" t="s">
        <v>1415</v>
      </c>
      <c r="B742" s="51"/>
      <c r="C742" s="51"/>
      <c r="D742" s="51"/>
      <c r="E742" s="51"/>
      <c r="F742" s="57" t="s">
        <v>1416</v>
      </c>
      <c r="G742" s="51"/>
      <c r="H742" s="51"/>
      <c r="I742" s="51"/>
      <c r="J742" s="51"/>
      <c r="K742" s="52" t="str">
        <f aca="false">IF($A742&lt;&gt;"",$A742,"")</f>
        <v>Apprenant 730</v>
      </c>
      <c r="L742" s="53" t="str">
        <f aca="false">IF(AND($B742&lt;&gt;"",$C742&lt;&gt;""),$C742-$B742,"")</f>
        <v/>
      </c>
      <c r="M742" s="53" t="str">
        <f aca="false">IF(AND($B742&lt;&gt;"",$D742&lt;&gt;""),$D742-$B742,"")</f>
        <v/>
      </c>
      <c r="N742" s="53" t="str">
        <f aca="false">IF(AND($C742&lt;&gt;"",$D742&lt;&gt;""),$D742-$C742,"")</f>
        <v/>
      </c>
      <c r="O742" s="53" t="str">
        <f aca="false">IF($E742&lt;&gt;"",$E742,"")</f>
        <v/>
      </c>
      <c r="P742" s="52" t="str">
        <f aca="false">IF($F742&lt;&gt;"",$F742,"")</f>
        <v>Apprenant 730 ou 730'</v>
      </c>
      <c r="Q742" s="53" t="str">
        <f aca="false">IF(AND($G742&lt;&gt;"",$H742&lt;&gt;""),$H742-$G742,"")</f>
        <v/>
      </c>
      <c r="R742" s="53" t="str">
        <f aca="false">IF(AND($G742&lt;&gt;"",$I742&lt;&gt;""),$I742-$G742,"")</f>
        <v/>
      </c>
      <c r="S742" s="53" t="str">
        <f aca="false">IF(AND($H742&lt;&gt;"",$I742&lt;&gt;""),$I742-$H742,"")</f>
        <v/>
      </c>
      <c r="T742" s="53" t="str">
        <f aca="false">IF($J742&lt;&gt;"",$J742,"")</f>
        <v/>
      </c>
      <c r="V742" s="52" t="str">
        <f aca="false">IF($A742&lt;&gt;"",$A742,"")</f>
        <v>Apprenant 730</v>
      </c>
      <c r="W742" s="53" t="str">
        <f aca="false">IF(AND(OR('Choix pédagogiques'!$C$3=1,'Choix pédagogiques'!$C$3=2),$BM742=1),B742,IF(AND('Choix pédagogiques'!$C$3=3,$BO742=1),B742,""))</f>
        <v/>
      </c>
      <c r="X742" s="53" t="str">
        <f aca="false">IF(AND(OR('Choix pédagogiques'!$C$3=1,'Choix pédagogiques'!$C$3=2),$BM742=1),C742,IF(AND('Choix pédagogiques'!$C$3=3,$BO742=1),C742,""))</f>
        <v/>
      </c>
      <c r="Y742" s="53" t="str">
        <f aca="false">IF(AND(OR('Choix pédagogiques'!$C$3=1,'Choix pédagogiques'!$C$3=2),$BM742=1),D742,IF(AND('Choix pédagogiques'!$C$3=3,$BO742=1),D742,""))</f>
        <v/>
      </c>
      <c r="Z742" s="53" t="str">
        <f aca="false">IF($E742&lt;&gt;"",$E742,"")</f>
        <v/>
      </c>
      <c r="AA742" s="52" t="str">
        <f aca="false">IF($F742&lt;&gt;"",$F742,"")</f>
        <v>Apprenant 730 ou 730'</v>
      </c>
      <c r="AB742" s="53" t="str">
        <f aca="false">IF(AND(OR('Choix pédagogiques'!$C$3=1,'Choix pédagogiques'!$C$3=2),$BN742=1),G742,IF(AND('Choix pédagogiques'!$C$3=3,$BO742=1),G742,""))</f>
        <v/>
      </c>
      <c r="AC742" s="53" t="str">
        <f aca="false">IF(AND(OR('Choix pédagogiques'!$C$3=1,'Choix pédagogiques'!$C$3=2),$BN742=1),H742,IF(AND('Choix pédagogiques'!$C$3=3,$BO742=1),H742,""))</f>
        <v/>
      </c>
      <c r="AD742" s="53" t="str">
        <f aca="false">IF(AND(OR('Choix pédagogiques'!$C$3=1,'Choix pédagogiques'!$C$3=2),$BN742=1),I742,IF(AND('Choix pédagogiques'!$C$3=3,$BO742=1),I742,""))</f>
        <v/>
      </c>
      <c r="AE742" s="53" t="str">
        <f aca="false">IF($J742&lt;&gt;"",$J742,"")</f>
        <v/>
      </c>
      <c r="AF742" s="52" t="str">
        <f aca="false">IF($A742&lt;&gt;"",$A742,"")</f>
        <v>Apprenant 730</v>
      </c>
      <c r="AG742" s="53" t="str">
        <f aca="false">IF(AND($W742&lt;&gt;"",$X742&lt;&gt;""),$X742-$W742,"")</f>
        <v/>
      </c>
      <c r="AH742" s="53" t="str">
        <f aca="false">IF(AND($W742&lt;&gt;"",$Y742&lt;&gt;""),$Y742-$W742,"")</f>
        <v/>
      </c>
      <c r="AI742" s="53" t="str">
        <f aca="false">IF(AND($X742&lt;&gt;"",$Y742&lt;&gt;""),$Y742-$X742,"")</f>
        <v/>
      </c>
      <c r="AJ742" s="53" t="str">
        <f aca="false">IF($E742&lt;&gt;"",$E742,"")</f>
        <v/>
      </c>
      <c r="AK742" s="52" t="str">
        <f aca="false">IF($F742&lt;&gt;"",$F742,"")</f>
        <v>Apprenant 730 ou 730'</v>
      </c>
      <c r="AL742" s="53" t="str">
        <f aca="false">IF(AND($AB742&lt;&gt;"",$AC742&lt;&gt;""),$AC742-$AB742,"")</f>
        <v/>
      </c>
      <c r="AM742" s="53" t="str">
        <f aca="false">IF(AND($AB742&lt;&gt;"",$AD742&lt;&gt;""),$AD742-$AB742,"")</f>
        <v/>
      </c>
      <c r="AN742" s="53" t="str">
        <f aca="false">IF(AND($AC742&lt;&gt;"",$AD742&lt;&gt;""),$AD742-$AC742,"")</f>
        <v/>
      </c>
      <c r="AO742" s="53" t="str">
        <f aca="false">IF($J742&lt;&gt;"",$J742,"")</f>
        <v/>
      </c>
      <c r="AQ742" s="52" t="str">
        <f aca="false">IF($A742&lt;&gt;"",$A742,"")</f>
        <v>Apprenant 730</v>
      </c>
      <c r="AR742" s="55" t="str">
        <f aca="false">IF(AND('Choix pédagogiques'!$C$4&lt;&gt;"?",'Choix pédagogiques'!$C$5&lt;&gt;"?",W742&lt;&gt;""),(W742-'Choix pédagogiques'!$C$4)/('Choix pédagogiques'!$C$5-'Choix pédagogiques'!$C$4),"")</f>
        <v/>
      </c>
      <c r="AS742" s="55" t="str">
        <f aca="false">IF(AND('Choix pédagogiques'!$C$4&lt;&gt;"?",'Choix pédagogiques'!$C$5&lt;&gt;"?",X742&lt;&gt;""),(X742-'Choix pédagogiques'!$C$4)/('Choix pédagogiques'!$C$5-'Choix pédagogiques'!$C$4),"")</f>
        <v/>
      </c>
      <c r="AT742" s="55" t="str">
        <f aca="false">IF(AND('Choix pédagogiques'!$C$4&lt;&gt;"?",'Choix pédagogiques'!$C$5&lt;&gt;"?",Y742&lt;&gt;""),(Y742-'Choix pédagogiques'!$C$4)/('Choix pédagogiques'!$C$5-'Choix pédagogiques'!$C$4),"")</f>
        <v/>
      </c>
      <c r="AU742" s="53" t="str">
        <f aca="false">IF($E742&lt;&gt;"",$E742,"")</f>
        <v/>
      </c>
      <c r="AV742" s="52" t="str">
        <f aca="false">IF($F742&lt;&gt;"",$F742,"")</f>
        <v>Apprenant 730 ou 730'</v>
      </c>
      <c r="AW742" s="55" t="str">
        <f aca="false">IF(AND('Choix pédagogiques'!$C$4&lt;&gt;"?",'Choix pédagogiques'!$C$5&lt;&gt;"?",AB742&lt;&gt;""),(AB742-'Choix pédagogiques'!$C$4)/('Choix pédagogiques'!$C$5-'Choix pédagogiques'!$C$4),"")</f>
        <v/>
      </c>
      <c r="AX742" s="55" t="str">
        <f aca="false">IF(AND('Choix pédagogiques'!$C$4&lt;&gt;"?",'Choix pédagogiques'!$C$5&lt;&gt;"?",AC742&lt;&gt;""),(AC742-'Choix pédagogiques'!$C$4)/('Choix pédagogiques'!$C$5-'Choix pédagogiques'!$C$4),"")</f>
        <v/>
      </c>
      <c r="AY742" s="55" t="str">
        <f aca="false">IF(AND('Choix pédagogiques'!$C$4&lt;&gt;"?",'Choix pédagogiques'!$C$5&lt;&gt;"?",AD742&lt;&gt;""),(AD742-'Choix pédagogiques'!$C$4)/('Choix pédagogiques'!$C$5-'Choix pédagogiques'!$C$4),"")</f>
        <v/>
      </c>
      <c r="AZ742" s="53" t="str">
        <f aca="false">IF($J742&lt;&gt;"",$J742,"")</f>
        <v/>
      </c>
      <c r="BA742" s="52" t="str">
        <f aca="false">IF($A742&lt;&gt;"",$A742,"")</f>
        <v>Apprenant 730</v>
      </c>
      <c r="BB742" s="55" t="str">
        <f aca="false">IF(AND($AR742&lt;&gt;"",$AS742&lt;&gt;""),$AS742-$AR742,"")</f>
        <v/>
      </c>
      <c r="BC742" s="55" t="str">
        <f aca="false">IF(AND($AR742&lt;&gt;"",$AT742&lt;&gt;""),$AT742-$AR742,"")</f>
        <v/>
      </c>
      <c r="BD742" s="55" t="str">
        <f aca="false">IF(AND($AS742&lt;&gt;"",$AT742&lt;&gt;""),$AT742-$AS742,"")</f>
        <v/>
      </c>
      <c r="BE742" s="53" t="str">
        <f aca="false">IF($E742&lt;&gt;"",$E742,"")</f>
        <v/>
      </c>
      <c r="BF742" s="52" t="str">
        <f aca="false">IF($F742&lt;&gt;"",$F742,"")</f>
        <v>Apprenant 730 ou 730'</v>
      </c>
      <c r="BG742" s="55" t="str">
        <f aca="false">IF(AND($AW742&lt;&gt;"",$AX742&lt;&gt;""),$AX742-$AW742,"")</f>
        <v/>
      </c>
      <c r="BH742" s="55" t="str">
        <f aca="false">IF(AND($AW742&lt;&gt;"",$AY742&lt;&gt;""),$AY742-$AW742,"")</f>
        <v/>
      </c>
      <c r="BI742" s="55" t="str">
        <f aca="false">IF(AND($AX742&lt;&gt;"",$AY742&lt;&gt;""),$AY742-$AX742,"")</f>
        <v/>
      </c>
      <c r="BJ742" s="53" t="str">
        <f aca="false">IF($J742&lt;&gt;"",$J742,"")</f>
        <v/>
      </c>
      <c r="BL742" s="52"/>
      <c r="BM742" s="52" t="str">
        <f aca="false">IF(OR(COUNT(B742:D1741)=0,AND('Choix pédagogiques'!$C$3&lt;&gt;1,'Choix pédagogiques'!$C$3&lt;&gt;2)),"",IF(AND(OR('Choix pédagogiques'!$C$3=1,'Choix pédagogiques'!$C$3=2),$B742&lt;&gt;"",$C742&lt;&gt;"",$D742&lt;&gt;""),1,0))</f>
        <v/>
      </c>
      <c r="BN742" s="52" t="str">
        <f aca="false">IF(OR(COUNT(G742:I1741)=0,AND('Choix pédagogiques'!$C$3&lt;&gt;1,'Choix pédagogiques'!$C$3&lt;&gt;2)),"",IF(AND(OR('Choix pédagogiques'!$C$3=1,'Choix pédagogiques'!$C$3=2),AND($G742&lt;&gt;"",$H742&lt;&gt;"",$I742&lt;&gt;"")),1,0))</f>
        <v/>
      </c>
      <c r="BO742" s="52" t="str">
        <f aca="false">IF(OR(COUNT(B742:D1741)=0,COUNT(G742:I1741)=0,'Choix pédagogiques'!C$3&lt;&gt;3),"",IF(AND('Choix pédagogiques'!$C$3=3,$B742&lt;&gt;"",$C742&lt;&gt;"",$D742&lt;&gt;"",$G742&lt;&gt;"",$H742&lt;&gt;"",$I742&lt;&gt;""),1,0))</f>
        <v/>
      </c>
      <c r="BR742" s="52" t="n">
        <v>436</v>
      </c>
      <c r="BS742" s="52" t="n">
        <v>1874</v>
      </c>
    </row>
    <row r="743" s="54" customFormat="true" ht="18" hidden="false" customHeight="true" outlineLevel="0" collapsed="false">
      <c r="A743" s="57" t="s">
        <v>1417</v>
      </c>
      <c r="B743" s="51"/>
      <c r="C743" s="51"/>
      <c r="D743" s="51"/>
      <c r="E743" s="51"/>
      <c r="F743" s="57" t="s">
        <v>1418</v>
      </c>
      <c r="G743" s="51"/>
      <c r="H743" s="51"/>
      <c r="I743" s="51"/>
      <c r="J743" s="51"/>
      <c r="K743" s="52" t="str">
        <f aca="false">IF($A743&lt;&gt;"",$A743,"")</f>
        <v>Apprenant 731</v>
      </c>
      <c r="L743" s="53" t="str">
        <f aca="false">IF(AND($B743&lt;&gt;"",$C743&lt;&gt;""),$C743-$B743,"")</f>
        <v/>
      </c>
      <c r="M743" s="53" t="str">
        <f aca="false">IF(AND($B743&lt;&gt;"",$D743&lt;&gt;""),$D743-$B743,"")</f>
        <v/>
      </c>
      <c r="N743" s="53" t="str">
        <f aca="false">IF(AND($C743&lt;&gt;"",$D743&lt;&gt;""),$D743-$C743,"")</f>
        <v/>
      </c>
      <c r="O743" s="53" t="str">
        <f aca="false">IF($E743&lt;&gt;"",$E743,"")</f>
        <v/>
      </c>
      <c r="P743" s="52" t="str">
        <f aca="false">IF($F743&lt;&gt;"",$F743,"")</f>
        <v>Apprenant 731 ou 731'</v>
      </c>
      <c r="Q743" s="53" t="str">
        <f aca="false">IF(AND($G743&lt;&gt;"",$H743&lt;&gt;""),$H743-$G743,"")</f>
        <v/>
      </c>
      <c r="R743" s="53" t="str">
        <f aca="false">IF(AND($G743&lt;&gt;"",$I743&lt;&gt;""),$I743-$G743,"")</f>
        <v/>
      </c>
      <c r="S743" s="53" t="str">
        <f aca="false">IF(AND($H743&lt;&gt;"",$I743&lt;&gt;""),$I743-$H743,"")</f>
        <v/>
      </c>
      <c r="T743" s="53" t="str">
        <f aca="false">IF($J743&lt;&gt;"",$J743,"")</f>
        <v/>
      </c>
      <c r="V743" s="52" t="str">
        <f aca="false">IF($A743&lt;&gt;"",$A743,"")</f>
        <v>Apprenant 731</v>
      </c>
      <c r="W743" s="53" t="str">
        <f aca="false">IF(AND(OR('Choix pédagogiques'!$C$3=1,'Choix pédagogiques'!$C$3=2),$BM743=1),B743,IF(AND('Choix pédagogiques'!$C$3=3,$BO743=1),B743,""))</f>
        <v/>
      </c>
      <c r="X743" s="53" t="str">
        <f aca="false">IF(AND(OR('Choix pédagogiques'!$C$3=1,'Choix pédagogiques'!$C$3=2),$BM743=1),C743,IF(AND('Choix pédagogiques'!$C$3=3,$BO743=1),C743,""))</f>
        <v/>
      </c>
      <c r="Y743" s="53" t="str">
        <f aca="false">IF(AND(OR('Choix pédagogiques'!$C$3=1,'Choix pédagogiques'!$C$3=2),$BM743=1),D743,IF(AND('Choix pédagogiques'!$C$3=3,$BO743=1),D743,""))</f>
        <v/>
      </c>
      <c r="Z743" s="53" t="str">
        <f aca="false">IF($E743&lt;&gt;"",$E743,"")</f>
        <v/>
      </c>
      <c r="AA743" s="52" t="str">
        <f aca="false">IF($F743&lt;&gt;"",$F743,"")</f>
        <v>Apprenant 731 ou 731'</v>
      </c>
      <c r="AB743" s="53" t="str">
        <f aca="false">IF(AND(OR('Choix pédagogiques'!$C$3=1,'Choix pédagogiques'!$C$3=2),$BN743=1),G743,IF(AND('Choix pédagogiques'!$C$3=3,$BO743=1),G743,""))</f>
        <v/>
      </c>
      <c r="AC743" s="53" t="str">
        <f aca="false">IF(AND(OR('Choix pédagogiques'!$C$3=1,'Choix pédagogiques'!$C$3=2),$BN743=1),H743,IF(AND('Choix pédagogiques'!$C$3=3,$BO743=1),H743,""))</f>
        <v/>
      </c>
      <c r="AD743" s="53" t="str">
        <f aca="false">IF(AND(OR('Choix pédagogiques'!$C$3=1,'Choix pédagogiques'!$C$3=2),$BN743=1),I743,IF(AND('Choix pédagogiques'!$C$3=3,$BO743=1),I743,""))</f>
        <v/>
      </c>
      <c r="AE743" s="53" t="str">
        <f aca="false">IF($J743&lt;&gt;"",$J743,"")</f>
        <v/>
      </c>
      <c r="AF743" s="52" t="str">
        <f aca="false">IF($A743&lt;&gt;"",$A743,"")</f>
        <v>Apprenant 731</v>
      </c>
      <c r="AG743" s="53" t="str">
        <f aca="false">IF(AND($W743&lt;&gt;"",$X743&lt;&gt;""),$X743-$W743,"")</f>
        <v/>
      </c>
      <c r="AH743" s="53" t="str">
        <f aca="false">IF(AND($W743&lt;&gt;"",$Y743&lt;&gt;""),$Y743-$W743,"")</f>
        <v/>
      </c>
      <c r="AI743" s="53" t="str">
        <f aca="false">IF(AND($X743&lt;&gt;"",$Y743&lt;&gt;""),$Y743-$X743,"")</f>
        <v/>
      </c>
      <c r="AJ743" s="53" t="str">
        <f aca="false">IF($E743&lt;&gt;"",$E743,"")</f>
        <v/>
      </c>
      <c r="AK743" s="52" t="str">
        <f aca="false">IF($F743&lt;&gt;"",$F743,"")</f>
        <v>Apprenant 731 ou 731'</v>
      </c>
      <c r="AL743" s="53" t="str">
        <f aca="false">IF(AND($AB743&lt;&gt;"",$AC743&lt;&gt;""),$AC743-$AB743,"")</f>
        <v/>
      </c>
      <c r="AM743" s="53" t="str">
        <f aca="false">IF(AND($AB743&lt;&gt;"",$AD743&lt;&gt;""),$AD743-$AB743,"")</f>
        <v/>
      </c>
      <c r="AN743" s="53" t="str">
        <f aca="false">IF(AND($AC743&lt;&gt;"",$AD743&lt;&gt;""),$AD743-$AC743,"")</f>
        <v/>
      </c>
      <c r="AO743" s="53" t="str">
        <f aca="false">IF($J743&lt;&gt;"",$J743,"")</f>
        <v/>
      </c>
      <c r="AQ743" s="52" t="str">
        <f aca="false">IF($A743&lt;&gt;"",$A743,"")</f>
        <v>Apprenant 731</v>
      </c>
      <c r="AR743" s="55" t="str">
        <f aca="false">IF(AND('Choix pédagogiques'!$C$4&lt;&gt;"?",'Choix pédagogiques'!$C$5&lt;&gt;"?",W743&lt;&gt;""),(W743-'Choix pédagogiques'!$C$4)/('Choix pédagogiques'!$C$5-'Choix pédagogiques'!$C$4),"")</f>
        <v/>
      </c>
      <c r="AS743" s="55" t="str">
        <f aca="false">IF(AND('Choix pédagogiques'!$C$4&lt;&gt;"?",'Choix pédagogiques'!$C$5&lt;&gt;"?",X743&lt;&gt;""),(X743-'Choix pédagogiques'!$C$4)/('Choix pédagogiques'!$C$5-'Choix pédagogiques'!$C$4),"")</f>
        <v/>
      </c>
      <c r="AT743" s="55" t="str">
        <f aca="false">IF(AND('Choix pédagogiques'!$C$4&lt;&gt;"?",'Choix pédagogiques'!$C$5&lt;&gt;"?",Y743&lt;&gt;""),(Y743-'Choix pédagogiques'!$C$4)/('Choix pédagogiques'!$C$5-'Choix pédagogiques'!$C$4),"")</f>
        <v/>
      </c>
      <c r="AU743" s="53" t="str">
        <f aca="false">IF($E743&lt;&gt;"",$E743,"")</f>
        <v/>
      </c>
      <c r="AV743" s="52" t="str">
        <f aca="false">IF($F743&lt;&gt;"",$F743,"")</f>
        <v>Apprenant 731 ou 731'</v>
      </c>
      <c r="AW743" s="55" t="str">
        <f aca="false">IF(AND('Choix pédagogiques'!$C$4&lt;&gt;"?",'Choix pédagogiques'!$C$5&lt;&gt;"?",AB743&lt;&gt;""),(AB743-'Choix pédagogiques'!$C$4)/('Choix pédagogiques'!$C$5-'Choix pédagogiques'!$C$4),"")</f>
        <v/>
      </c>
      <c r="AX743" s="55" t="str">
        <f aca="false">IF(AND('Choix pédagogiques'!$C$4&lt;&gt;"?",'Choix pédagogiques'!$C$5&lt;&gt;"?",AC743&lt;&gt;""),(AC743-'Choix pédagogiques'!$C$4)/('Choix pédagogiques'!$C$5-'Choix pédagogiques'!$C$4),"")</f>
        <v/>
      </c>
      <c r="AY743" s="55" t="str">
        <f aca="false">IF(AND('Choix pédagogiques'!$C$4&lt;&gt;"?",'Choix pédagogiques'!$C$5&lt;&gt;"?",AD743&lt;&gt;""),(AD743-'Choix pédagogiques'!$C$4)/('Choix pédagogiques'!$C$5-'Choix pédagogiques'!$C$4),"")</f>
        <v/>
      </c>
      <c r="AZ743" s="53" t="str">
        <f aca="false">IF($J743&lt;&gt;"",$J743,"")</f>
        <v/>
      </c>
      <c r="BA743" s="52" t="str">
        <f aca="false">IF($A743&lt;&gt;"",$A743,"")</f>
        <v>Apprenant 731</v>
      </c>
      <c r="BB743" s="55" t="str">
        <f aca="false">IF(AND($AR743&lt;&gt;"",$AS743&lt;&gt;""),$AS743-$AR743,"")</f>
        <v/>
      </c>
      <c r="BC743" s="55" t="str">
        <f aca="false">IF(AND($AR743&lt;&gt;"",$AT743&lt;&gt;""),$AT743-$AR743,"")</f>
        <v/>
      </c>
      <c r="BD743" s="55" t="str">
        <f aca="false">IF(AND($AS743&lt;&gt;"",$AT743&lt;&gt;""),$AT743-$AS743,"")</f>
        <v/>
      </c>
      <c r="BE743" s="53" t="str">
        <f aca="false">IF($E743&lt;&gt;"",$E743,"")</f>
        <v/>
      </c>
      <c r="BF743" s="52" t="str">
        <f aca="false">IF($F743&lt;&gt;"",$F743,"")</f>
        <v>Apprenant 731 ou 731'</v>
      </c>
      <c r="BG743" s="55" t="str">
        <f aca="false">IF(AND($AW743&lt;&gt;"",$AX743&lt;&gt;""),$AX743-$AW743,"")</f>
        <v/>
      </c>
      <c r="BH743" s="55" t="str">
        <f aca="false">IF(AND($AW743&lt;&gt;"",$AY743&lt;&gt;""),$AY743-$AW743,"")</f>
        <v/>
      </c>
      <c r="BI743" s="55" t="str">
        <f aca="false">IF(AND($AX743&lt;&gt;"",$AY743&lt;&gt;""),$AY743-$AX743,"")</f>
        <v/>
      </c>
      <c r="BJ743" s="53" t="str">
        <f aca="false">IF($J743&lt;&gt;"",$J743,"")</f>
        <v/>
      </c>
      <c r="BL743" s="52"/>
      <c r="BM743" s="52" t="str">
        <f aca="false">IF(OR(COUNT(B743:D1742)=0,AND('Choix pédagogiques'!$C$3&lt;&gt;1,'Choix pédagogiques'!$C$3&lt;&gt;2)),"",IF(AND(OR('Choix pédagogiques'!$C$3=1,'Choix pédagogiques'!$C$3=2),$B743&lt;&gt;"",$C743&lt;&gt;"",$D743&lt;&gt;""),1,0))</f>
        <v/>
      </c>
      <c r="BN743" s="52" t="str">
        <f aca="false">IF(OR(COUNT(G743:I1742)=0,AND('Choix pédagogiques'!$C$3&lt;&gt;1,'Choix pédagogiques'!$C$3&lt;&gt;2)),"",IF(AND(OR('Choix pédagogiques'!$C$3=1,'Choix pédagogiques'!$C$3=2),AND($G743&lt;&gt;"",$H743&lt;&gt;"",$I743&lt;&gt;"")),1,0))</f>
        <v/>
      </c>
      <c r="BO743" s="52" t="str">
        <f aca="false">IF(OR(COUNT(B743:D1742)=0,COUNT(G743:I1742)=0,'Choix pédagogiques'!C$3&lt;&gt;3),"",IF(AND('Choix pédagogiques'!$C$3=3,$B743&lt;&gt;"",$C743&lt;&gt;"",$D743&lt;&gt;"",$G743&lt;&gt;"",$H743&lt;&gt;"",$I743&lt;&gt;""),1,0))</f>
        <v/>
      </c>
      <c r="BR743" s="52" t="n">
        <v>697</v>
      </c>
      <c r="BS743" s="52" t="n">
        <v>1563</v>
      </c>
    </row>
    <row r="744" s="54" customFormat="true" ht="18" hidden="false" customHeight="true" outlineLevel="0" collapsed="false">
      <c r="A744" s="57" t="s">
        <v>1419</v>
      </c>
      <c r="B744" s="51"/>
      <c r="C744" s="51"/>
      <c r="D744" s="51"/>
      <c r="E744" s="51"/>
      <c r="F744" s="57" t="s">
        <v>1420</v>
      </c>
      <c r="G744" s="51"/>
      <c r="H744" s="51"/>
      <c r="I744" s="51"/>
      <c r="J744" s="51"/>
      <c r="K744" s="52" t="str">
        <f aca="false">IF($A744&lt;&gt;"",$A744,"")</f>
        <v>Apprenant 732</v>
      </c>
      <c r="L744" s="53" t="str">
        <f aca="false">IF(AND($B744&lt;&gt;"",$C744&lt;&gt;""),$C744-$B744,"")</f>
        <v/>
      </c>
      <c r="M744" s="53" t="str">
        <f aca="false">IF(AND($B744&lt;&gt;"",$D744&lt;&gt;""),$D744-$B744,"")</f>
        <v/>
      </c>
      <c r="N744" s="53" t="str">
        <f aca="false">IF(AND($C744&lt;&gt;"",$D744&lt;&gt;""),$D744-$C744,"")</f>
        <v/>
      </c>
      <c r="O744" s="53" t="str">
        <f aca="false">IF($E744&lt;&gt;"",$E744,"")</f>
        <v/>
      </c>
      <c r="P744" s="52" t="str">
        <f aca="false">IF($F744&lt;&gt;"",$F744,"")</f>
        <v>Apprenant 732 ou 732'</v>
      </c>
      <c r="Q744" s="53" t="str">
        <f aca="false">IF(AND($G744&lt;&gt;"",$H744&lt;&gt;""),$H744-$G744,"")</f>
        <v/>
      </c>
      <c r="R744" s="53" t="str">
        <f aca="false">IF(AND($G744&lt;&gt;"",$I744&lt;&gt;""),$I744-$G744,"")</f>
        <v/>
      </c>
      <c r="S744" s="53" t="str">
        <f aca="false">IF(AND($H744&lt;&gt;"",$I744&lt;&gt;""),$I744-$H744,"")</f>
        <v/>
      </c>
      <c r="T744" s="53" t="str">
        <f aca="false">IF($J744&lt;&gt;"",$J744,"")</f>
        <v/>
      </c>
      <c r="V744" s="52" t="str">
        <f aca="false">IF($A744&lt;&gt;"",$A744,"")</f>
        <v>Apprenant 732</v>
      </c>
      <c r="W744" s="53" t="str">
        <f aca="false">IF(AND(OR('Choix pédagogiques'!$C$3=1,'Choix pédagogiques'!$C$3=2),$BM744=1),B744,IF(AND('Choix pédagogiques'!$C$3=3,$BO744=1),B744,""))</f>
        <v/>
      </c>
      <c r="X744" s="53" t="str">
        <f aca="false">IF(AND(OR('Choix pédagogiques'!$C$3=1,'Choix pédagogiques'!$C$3=2),$BM744=1),C744,IF(AND('Choix pédagogiques'!$C$3=3,$BO744=1),C744,""))</f>
        <v/>
      </c>
      <c r="Y744" s="53" t="str">
        <f aca="false">IF(AND(OR('Choix pédagogiques'!$C$3=1,'Choix pédagogiques'!$C$3=2),$BM744=1),D744,IF(AND('Choix pédagogiques'!$C$3=3,$BO744=1),D744,""))</f>
        <v/>
      </c>
      <c r="Z744" s="53" t="str">
        <f aca="false">IF($E744&lt;&gt;"",$E744,"")</f>
        <v/>
      </c>
      <c r="AA744" s="52" t="str">
        <f aca="false">IF($F744&lt;&gt;"",$F744,"")</f>
        <v>Apprenant 732 ou 732'</v>
      </c>
      <c r="AB744" s="53" t="str">
        <f aca="false">IF(AND(OR('Choix pédagogiques'!$C$3=1,'Choix pédagogiques'!$C$3=2),$BN744=1),G744,IF(AND('Choix pédagogiques'!$C$3=3,$BO744=1),G744,""))</f>
        <v/>
      </c>
      <c r="AC744" s="53" t="str">
        <f aca="false">IF(AND(OR('Choix pédagogiques'!$C$3=1,'Choix pédagogiques'!$C$3=2),$BN744=1),H744,IF(AND('Choix pédagogiques'!$C$3=3,$BO744=1),H744,""))</f>
        <v/>
      </c>
      <c r="AD744" s="53" t="str">
        <f aca="false">IF(AND(OR('Choix pédagogiques'!$C$3=1,'Choix pédagogiques'!$C$3=2),$BN744=1),I744,IF(AND('Choix pédagogiques'!$C$3=3,$BO744=1),I744,""))</f>
        <v/>
      </c>
      <c r="AE744" s="53" t="str">
        <f aca="false">IF($J744&lt;&gt;"",$J744,"")</f>
        <v/>
      </c>
      <c r="AF744" s="52" t="str">
        <f aca="false">IF($A744&lt;&gt;"",$A744,"")</f>
        <v>Apprenant 732</v>
      </c>
      <c r="AG744" s="53" t="str">
        <f aca="false">IF(AND($W744&lt;&gt;"",$X744&lt;&gt;""),$X744-$W744,"")</f>
        <v/>
      </c>
      <c r="AH744" s="53" t="str">
        <f aca="false">IF(AND($W744&lt;&gt;"",$Y744&lt;&gt;""),$Y744-$W744,"")</f>
        <v/>
      </c>
      <c r="AI744" s="53" t="str">
        <f aca="false">IF(AND($X744&lt;&gt;"",$Y744&lt;&gt;""),$Y744-$X744,"")</f>
        <v/>
      </c>
      <c r="AJ744" s="53" t="str">
        <f aca="false">IF($E744&lt;&gt;"",$E744,"")</f>
        <v/>
      </c>
      <c r="AK744" s="52" t="str">
        <f aca="false">IF($F744&lt;&gt;"",$F744,"")</f>
        <v>Apprenant 732 ou 732'</v>
      </c>
      <c r="AL744" s="53" t="str">
        <f aca="false">IF(AND($AB744&lt;&gt;"",$AC744&lt;&gt;""),$AC744-$AB744,"")</f>
        <v/>
      </c>
      <c r="AM744" s="53" t="str">
        <f aca="false">IF(AND($AB744&lt;&gt;"",$AD744&lt;&gt;""),$AD744-$AB744,"")</f>
        <v/>
      </c>
      <c r="AN744" s="53" t="str">
        <f aca="false">IF(AND($AC744&lt;&gt;"",$AD744&lt;&gt;""),$AD744-$AC744,"")</f>
        <v/>
      </c>
      <c r="AO744" s="53" t="str">
        <f aca="false">IF($J744&lt;&gt;"",$J744,"")</f>
        <v/>
      </c>
      <c r="AQ744" s="52" t="str">
        <f aca="false">IF($A744&lt;&gt;"",$A744,"")</f>
        <v>Apprenant 732</v>
      </c>
      <c r="AR744" s="55" t="str">
        <f aca="false">IF(AND('Choix pédagogiques'!$C$4&lt;&gt;"?",'Choix pédagogiques'!$C$5&lt;&gt;"?",W744&lt;&gt;""),(W744-'Choix pédagogiques'!$C$4)/('Choix pédagogiques'!$C$5-'Choix pédagogiques'!$C$4),"")</f>
        <v/>
      </c>
      <c r="AS744" s="55" t="str">
        <f aca="false">IF(AND('Choix pédagogiques'!$C$4&lt;&gt;"?",'Choix pédagogiques'!$C$5&lt;&gt;"?",X744&lt;&gt;""),(X744-'Choix pédagogiques'!$C$4)/('Choix pédagogiques'!$C$5-'Choix pédagogiques'!$C$4),"")</f>
        <v/>
      </c>
      <c r="AT744" s="55" t="str">
        <f aca="false">IF(AND('Choix pédagogiques'!$C$4&lt;&gt;"?",'Choix pédagogiques'!$C$5&lt;&gt;"?",Y744&lt;&gt;""),(Y744-'Choix pédagogiques'!$C$4)/('Choix pédagogiques'!$C$5-'Choix pédagogiques'!$C$4),"")</f>
        <v/>
      </c>
      <c r="AU744" s="53" t="str">
        <f aca="false">IF($E744&lt;&gt;"",$E744,"")</f>
        <v/>
      </c>
      <c r="AV744" s="52" t="str">
        <f aca="false">IF($F744&lt;&gt;"",$F744,"")</f>
        <v>Apprenant 732 ou 732'</v>
      </c>
      <c r="AW744" s="55" t="str">
        <f aca="false">IF(AND('Choix pédagogiques'!$C$4&lt;&gt;"?",'Choix pédagogiques'!$C$5&lt;&gt;"?",AB744&lt;&gt;""),(AB744-'Choix pédagogiques'!$C$4)/('Choix pédagogiques'!$C$5-'Choix pédagogiques'!$C$4),"")</f>
        <v/>
      </c>
      <c r="AX744" s="55" t="str">
        <f aca="false">IF(AND('Choix pédagogiques'!$C$4&lt;&gt;"?",'Choix pédagogiques'!$C$5&lt;&gt;"?",AC744&lt;&gt;""),(AC744-'Choix pédagogiques'!$C$4)/('Choix pédagogiques'!$C$5-'Choix pédagogiques'!$C$4),"")</f>
        <v/>
      </c>
      <c r="AY744" s="55" t="str">
        <f aca="false">IF(AND('Choix pédagogiques'!$C$4&lt;&gt;"?",'Choix pédagogiques'!$C$5&lt;&gt;"?",AD744&lt;&gt;""),(AD744-'Choix pédagogiques'!$C$4)/('Choix pédagogiques'!$C$5-'Choix pédagogiques'!$C$4),"")</f>
        <v/>
      </c>
      <c r="AZ744" s="53" t="str">
        <f aca="false">IF($J744&lt;&gt;"",$J744,"")</f>
        <v/>
      </c>
      <c r="BA744" s="52" t="str">
        <f aca="false">IF($A744&lt;&gt;"",$A744,"")</f>
        <v>Apprenant 732</v>
      </c>
      <c r="BB744" s="55" t="str">
        <f aca="false">IF(AND($AR744&lt;&gt;"",$AS744&lt;&gt;""),$AS744-$AR744,"")</f>
        <v/>
      </c>
      <c r="BC744" s="55" t="str">
        <f aca="false">IF(AND($AR744&lt;&gt;"",$AT744&lt;&gt;""),$AT744-$AR744,"")</f>
        <v/>
      </c>
      <c r="BD744" s="55" t="str">
        <f aca="false">IF(AND($AS744&lt;&gt;"",$AT744&lt;&gt;""),$AT744-$AS744,"")</f>
        <v/>
      </c>
      <c r="BE744" s="53" t="str">
        <f aca="false">IF($E744&lt;&gt;"",$E744,"")</f>
        <v/>
      </c>
      <c r="BF744" s="52" t="str">
        <f aca="false">IF($F744&lt;&gt;"",$F744,"")</f>
        <v>Apprenant 732 ou 732'</v>
      </c>
      <c r="BG744" s="55" t="str">
        <f aca="false">IF(AND($AW744&lt;&gt;"",$AX744&lt;&gt;""),$AX744-$AW744,"")</f>
        <v/>
      </c>
      <c r="BH744" s="55" t="str">
        <f aca="false">IF(AND($AW744&lt;&gt;"",$AY744&lt;&gt;""),$AY744-$AW744,"")</f>
        <v/>
      </c>
      <c r="BI744" s="55" t="str">
        <f aca="false">IF(AND($AX744&lt;&gt;"",$AY744&lt;&gt;""),$AY744-$AX744,"")</f>
        <v/>
      </c>
      <c r="BJ744" s="53" t="str">
        <f aca="false">IF($J744&lt;&gt;"",$J744,"")</f>
        <v/>
      </c>
      <c r="BL744" s="52"/>
      <c r="BM744" s="52" t="str">
        <f aca="false">IF(OR(COUNT(B744:D1743)=0,AND('Choix pédagogiques'!$C$3&lt;&gt;1,'Choix pédagogiques'!$C$3&lt;&gt;2)),"",IF(AND(OR('Choix pédagogiques'!$C$3=1,'Choix pédagogiques'!$C$3=2),$B744&lt;&gt;"",$C744&lt;&gt;"",$D744&lt;&gt;""),1,0))</f>
        <v/>
      </c>
      <c r="BN744" s="52" t="str">
        <f aca="false">IF(OR(COUNT(G744:I1743)=0,AND('Choix pédagogiques'!$C$3&lt;&gt;1,'Choix pédagogiques'!$C$3&lt;&gt;2)),"",IF(AND(OR('Choix pédagogiques'!$C$3=1,'Choix pédagogiques'!$C$3=2),AND($G744&lt;&gt;"",$H744&lt;&gt;"",$I744&lt;&gt;"")),1,0))</f>
        <v/>
      </c>
      <c r="BO744" s="52" t="str">
        <f aca="false">IF(OR(COUNT(B744:D1743)=0,COUNT(G744:I1743)=0,'Choix pédagogiques'!C$3&lt;&gt;3),"",IF(AND('Choix pédagogiques'!$C$3=3,$B744&lt;&gt;"",$C744&lt;&gt;"",$D744&lt;&gt;"",$G744&lt;&gt;"",$H744&lt;&gt;"",$I744&lt;&gt;""),1,0))</f>
        <v/>
      </c>
      <c r="BR744" s="52" t="n">
        <v>267</v>
      </c>
      <c r="BS744" s="52" t="n">
        <v>1050</v>
      </c>
    </row>
    <row r="745" s="54" customFormat="true" ht="18" hidden="false" customHeight="true" outlineLevel="0" collapsed="false">
      <c r="A745" s="57" t="s">
        <v>1421</v>
      </c>
      <c r="B745" s="51"/>
      <c r="C745" s="51"/>
      <c r="D745" s="51"/>
      <c r="E745" s="51"/>
      <c r="F745" s="57" t="s">
        <v>1422</v>
      </c>
      <c r="G745" s="51"/>
      <c r="H745" s="51"/>
      <c r="I745" s="51"/>
      <c r="J745" s="51"/>
      <c r="K745" s="52" t="str">
        <f aca="false">IF($A745&lt;&gt;"",$A745,"")</f>
        <v>Apprenant 733</v>
      </c>
      <c r="L745" s="53" t="str">
        <f aca="false">IF(AND($B745&lt;&gt;"",$C745&lt;&gt;""),$C745-$B745,"")</f>
        <v/>
      </c>
      <c r="M745" s="53" t="str">
        <f aca="false">IF(AND($B745&lt;&gt;"",$D745&lt;&gt;""),$D745-$B745,"")</f>
        <v/>
      </c>
      <c r="N745" s="53" t="str">
        <f aca="false">IF(AND($C745&lt;&gt;"",$D745&lt;&gt;""),$D745-$C745,"")</f>
        <v/>
      </c>
      <c r="O745" s="53" t="str">
        <f aca="false">IF($E745&lt;&gt;"",$E745,"")</f>
        <v/>
      </c>
      <c r="P745" s="52" t="str">
        <f aca="false">IF($F745&lt;&gt;"",$F745,"")</f>
        <v>Apprenant 733 ou 733'</v>
      </c>
      <c r="Q745" s="53" t="str">
        <f aca="false">IF(AND($G745&lt;&gt;"",$H745&lt;&gt;""),$H745-$G745,"")</f>
        <v/>
      </c>
      <c r="R745" s="53" t="str">
        <f aca="false">IF(AND($G745&lt;&gt;"",$I745&lt;&gt;""),$I745-$G745,"")</f>
        <v/>
      </c>
      <c r="S745" s="53" t="str">
        <f aca="false">IF(AND($H745&lt;&gt;"",$I745&lt;&gt;""),$I745-$H745,"")</f>
        <v/>
      </c>
      <c r="T745" s="53" t="str">
        <f aca="false">IF($J745&lt;&gt;"",$J745,"")</f>
        <v/>
      </c>
      <c r="V745" s="52" t="str">
        <f aca="false">IF($A745&lt;&gt;"",$A745,"")</f>
        <v>Apprenant 733</v>
      </c>
      <c r="W745" s="53" t="str">
        <f aca="false">IF(AND(OR('Choix pédagogiques'!$C$3=1,'Choix pédagogiques'!$C$3=2),$BM745=1),B745,IF(AND('Choix pédagogiques'!$C$3=3,$BO745=1),B745,""))</f>
        <v/>
      </c>
      <c r="X745" s="53" t="str">
        <f aca="false">IF(AND(OR('Choix pédagogiques'!$C$3=1,'Choix pédagogiques'!$C$3=2),$BM745=1),C745,IF(AND('Choix pédagogiques'!$C$3=3,$BO745=1),C745,""))</f>
        <v/>
      </c>
      <c r="Y745" s="53" t="str">
        <f aca="false">IF(AND(OR('Choix pédagogiques'!$C$3=1,'Choix pédagogiques'!$C$3=2),$BM745=1),D745,IF(AND('Choix pédagogiques'!$C$3=3,$BO745=1),D745,""))</f>
        <v/>
      </c>
      <c r="Z745" s="53" t="str">
        <f aca="false">IF($E745&lt;&gt;"",$E745,"")</f>
        <v/>
      </c>
      <c r="AA745" s="52" t="str">
        <f aca="false">IF($F745&lt;&gt;"",$F745,"")</f>
        <v>Apprenant 733 ou 733'</v>
      </c>
      <c r="AB745" s="53" t="str">
        <f aca="false">IF(AND(OR('Choix pédagogiques'!$C$3=1,'Choix pédagogiques'!$C$3=2),$BN745=1),G745,IF(AND('Choix pédagogiques'!$C$3=3,$BO745=1),G745,""))</f>
        <v/>
      </c>
      <c r="AC745" s="53" t="str">
        <f aca="false">IF(AND(OR('Choix pédagogiques'!$C$3=1,'Choix pédagogiques'!$C$3=2),$BN745=1),H745,IF(AND('Choix pédagogiques'!$C$3=3,$BO745=1),H745,""))</f>
        <v/>
      </c>
      <c r="AD745" s="53" t="str">
        <f aca="false">IF(AND(OR('Choix pédagogiques'!$C$3=1,'Choix pédagogiques'!$C$3=2),$BN745=1),I745,IF(AND('Choix pédagogiques'!$C$3=3,$BO745=1),I745,""))</f>
        <v/>
      </c>
      <c r="AE745" s="53" t="str">
        <f aca="false">IF($J745&lt;&gt;"",$J745,"")</f>
        <v/>
      </c>
      <c r="AF745" s="52" t="str">
        <f aca="false">IF($A745&lt;&gt;"",$A745,"")</f>
        <v>Apprenant 733</v>
      </c>
      <c r="AG745" s="53" t="str">
        <f aca="false">IF(AND($W745&lt;&gt;"",$X745&lt;&gt;""),$X745-$W745,"")</f>
        <v/>
      </c>
      <c r="AH745" s="53" t="str">
        <f aca="false">IF(AND($W745&lt;&gt;"",$Y745&lt;&gt;""),$Y745-$W745,"")</f>
        <v/>
      </c>
      <c r="AI745" s="53" t="str">
        <f aca="false">IF(AND($X745&lt;&gt;"",$Y745&lt;&gt;""),$Y745-$X745,"")</f>
        <v/>
      </c>
      <c r="AJ745" s="53" t="str">
        <f aca="false">IF($E745&lt;&gt;"",$E745,"")</f>
        <v/>
      </c>
      <c r="AK745" s="52" t="str">
        <f aca="false">IF($F745&lt;&gt;"",$F745,"")</f>
        <v>Apprenant 733 ou 733'</v>
      </c>
      <c r="AL745" s="53" t="str">
        <f aca="false">IF(AND($AB745&lt;&gt;"",$AC745&lt;&gt;""),$AC745-$AB745,"")</f>
        <v/>
      </c>
      <c r="AM745" s="53" t="str">
        <f aca="false">IF(AND($AB745&lt;&gt;"",$AD745&lt;&gt;""),$AD745-$AB745,"")</f>
        <v/>
      </c>
      <c r="AN745" s="53" t="str">
        <f aca="false">IF(AND($AC745&lt;&gt;"",$AD745&lt;&gt;""),$AD745-$AC745,"")</f>
        <v/>
      </c>
      <c r="AO745" s="53" t="str">
        <f aca="false">IF($J745&lt;&gt;"",$J745,"")</f>
        <v/>
      </c>
      <c r="AQ745" s="52" t="str">
        <f aca="false">IF($A745&lt;&gt;"",$A745,"")</f>
        <v>Apprenant 733</v>
      </c>
      <c r="AR745" s="55" t="str">
        <f aca="false">IF(AND('Choix pédagogiques'!$C$4&lt;&gt;"?",'Choix pédagogiques'!$C$5&lt;&gt;"?",W745&lt;&gt;""),(W745-'Choix pédagogiques'!$C$4)/('Choix pédagogiques'!$C$5-'Choix pédagogiques'!$C$4),"")</f>
        <v/>
      </c>
      <c r="AS745" s="55" t="str">
        <f aca="false">IF(AND('Choix pédagogiques'!$C$4&lt;&gt;"?",'Choix pédagogiques'!$C$5&lt;&gt;"?",X745&lt;&gt;""),(X745-'Choix pédagogiques'!$C$4)/('Choix pédagogiques'!$C$5-'Choix pédagogiques'!$C$4),"")</f>
        <v/>
      </c>
      <c r="AT745" s="55" t="str">
        <f aca="false">IF(AND('Choix pédagogiques'!$C$4&lt;&gt;"?",'Choix pédagogiques'!$C$5&lt;&gt;"?",Y745&lt;&gt;""),(Y745-'Choix pédagogiques'!$C$4)/('Choix pédagogiques'!$C$5-'Choix pédagogiques'!$C$4),"")</f>
        <v/>
      </c>
      <c r="AU745" s="53" t="str">
        <f aca="false">IF($E745&lt;&gt;"",$E745,"")</f>
        <v/>
      </c>
      <c r="AV745" s="52" t="str">
        <f aca="false">IF($F745&lt;&gt;"",$F745,"")</f>
        <v>Apprenant 733 ou 733'</v>
      </c>
      <c r="AW745" s="55" t="str">
        <f aca="false">IF(AND('Choix pédagogiques'!$C$4&lt;&gt;"?",'Choix pédagogiques'!$C$5&lt;&gt;"?",AB745&lt;&gt;""),(AB745-'Choix pédagogiques'!$C$4)/('Choix pédagogiques'!$C$5-'Choix pédagogiques'!$C$4),"")</f>
        <v/>
      </c>
      <c r="AX745" s="55" t="str">
        <f aca="false">IF(AND('Choix pédagogiques'!$C$4&lt;&gt;"?",'Choix pédagogiques'!$C$5&lt;&gt;"?",AC745&lt;&gt;""),(AC745-'Choix pédagogiques'!$C$4)/('Choix pédagogiques'!$C$5-'Choix pédagogiques'!$C$4),"")</f>
        <v/>
      </c>
      <c r="AY745" s="55" t="str">
        <f aca="false">IF(AND('Choix pédagogiques'!$C$4&lt;&gt;"?",'Choix pédagogiques'!$C$5&lt;&gt;"?",AD745&lt;&gt;""),(AD745-'Choix pédagogiques'!$C$4)/('Choix pédagogiques'!$C$5-'Choix pédagogiques'!$C$4),"")</f>
        <v/>
      </c>
      <c r="AZ745" s="53" t="str">
        <f aca="false">IF($J745&lt;&gt;"",$J745,"")</f>
        <v/>
      </c>
      <c r="BA745" s="52" t="str">
        <f aca="false">IF($A745&lt;&gt;"",$A745,"")</f>
        <v>Apprenant 733</v>
      </c>
      <c r="BB745" s="55" t="str">
        <f aca="false">IF(AND($AR745&lt;&gt;"",$AS745&lt;&gt;""),$AS745-$AR745,"")</f>
        <v/>
      </c>
      <c r="BC745" s="55" t="str">
        <f aca="false">IF(AND($AR745&lt;&gt;"",$AT745&lt;&gt;""),$AT745-$AR745,"")</f>
        <v/>
      </c>
      <c r="BD745" s="55" t="str">
        <f aca="false">IF(AND($AS745&lt;&gt;"",$AT745&lt;&gt;""),$AT745-$AS745,"")</f>
        <v/>
      </c>
      <c r="BE745" s="53" t="str">
        <f aca="false">IF($E745&lt;&gt;"",$E745,"")</f>
        <v/>
      </c>
      <c r="BF745" s="52" t="str">
        <f aca="false">IF($F745&lt;&gt;"",$F745,"")</f>
        <v>Apprenant 733 ou 733'</v>
      </c>
      <c r="BG745" s="55" t="str">
        <f aca="false">IF(AND($AW745&lt;&gt;"",$AX745&lt;&gt;""),$AX745-$AW745,"")</f>
        <v/>
      </c>
      <c r="BH745" s="55" t="str">
        <f aca="false">IF(AND($AW745&lt;&gt;"",$AY745&lt;&gt;""),$AY745-$AW745,"")</f>
        <v/>
      </c>
      <c r="BI745" s="55" t="str">
        <f aca="false">IF(AND($AX745&lt;&gt;"",$AY745&lt;&gt;""),$AY745-$AX745,"")</f>
        <v/>
      </c>
      <c r="BJ745" s="53" t="str">
        <f aca="false">IF($J745&lt;&gt;"",$J745,"")</f>
        <v/>
      </c>
      <c r="BL745" s="52"/>
      <c r="BM745" s="52" t="str">
        <f aca="false">IF(OR(COUNT(B745:D1744)=0,AND('Choix pédagogiques'!$C$3&lt;&gt;1,'Choix pédagogiques'!$C$3&lt;&gt;2)),"",IF(AND(OR('Choix pédagogiques'!$C$3=1,'Choix pédagogiques'!$C$3=2),$B745&lt;&gt;"",$C745&lt;&gt;"",$D745&lt;&gt;""),1,0))</f>
        <v/>
      </c>
      <c r="BN745" s="52" t="str">
        <f aca="false">IF(OR(COUNT(G745:I1744)=0,AND('Choix pédagogiques'!$C$3&lt;&gt;1,'Choix pédagogiques'!$C$3&lt;&gt;2)),"",IF(AND(OR('Choix pédagogiques'!$C$3=1,'Choix pédagogiques'!$C$3=2),AND($G745&lt;&gt;"",$H745&lt;&gt;"",$I745&lt;&gt;"")),1,0))</f>
        <v/>
      </c>
      <c r="BO745" s="52" t="str">
        <f aca="false">IF(OR(COUNT(B745:D1744)=0,COUNT(G745:I1744)=0,'Choix pédagogiques'!C$3&lt;&gt;3),"",IF(AND('Choix pédagogiques'!$C$3=3,$B745&lt;&gt;"",$C745&lt;&gt;"",$D745&lt;&gt;"",$G745&lt;&gt;"",$H745&lt;&gt;"",$I745&lt;&gt;""),1,0))</f>
        <v/>
      </c>
      <c r="BR745" s="52" t="n">
        <v>586</v>
      </c>
      <c r="BS745" s="52" t="n">
        <v>1291</v>
      </c>
    </row>
    <row r="746" s="54" customFormat="true" ht="18" hidden="false" customHeight="true" outlineLevel="0" collapsed="false">
      <c r="A746" s="57" t="s">
        <v>1423</v>
      </c>
      <c r="B746" s="51"/>
      <c r="C746" s="51"/>
      <c r="D746" s="51"/>
      <c r="E746" s="51"/>
      <c r="F746" s="57" t="s">
        <v>1424</v>
      </c>
      <c r="G746" s="51"/>
      <c r="H746" s="51"/>
      <c r="I746" s="51"/>
      <c r="J746" s="51"/>
      <c r="K746" s="52" t="str">
        <f aca="false">IF($A746&lt;&gt;"",$A746,"")</f>
        <v>Apprenant 734</v>
      </c>
      <c r="L746" s="53" t="str">
        <f aca="false">IF(AND($B746&lt;&gt;"",$C746&lt;&gt;""),$C746-$B746,"")</f>
        <v/>
      </c>
      <c r="M746" s="53" t="str">
        <f aca="false">IF(AND($B746&lt;&gt;"",$D746&lt;&gt;""),$D746-$B746,"")</f>
        <v/>
      </c>
      <c r="N746" s="53" t="str">
        <f aca="false">IF(AND($C746&lt;&gt;"",$D746&lt;&gt;""),$D746-$C746,"")</f>
        <v/>
      </c>
      <c r="O746" s="53" t="str">
        <f aca="false">IF($E746&lt;&gt;"",$E746,"")</f>
        <v/>
      </c>
      <c r="P746" s="52" t="str">
        <f aca="false">IF($F746&lt;&gt;"",$F746,"")</f>
        <v>Apprenant 734 ou 734'</v>
      </c>
      <c r="Q746" s="53" t="str">
        <f aca="false">IF(AND($G746&lt;&gt;"",$H746&lt;&gt;""),$H746-$G746,"")</f>
        <v/>
      </c>
      <c r="R746" s="53" t="str">
        <f aca="false">IF(AND($G746&lt;&gt;"",$I746&lt;&gt;""),$I746-$G746,"")</f>
        <v/>
      </c>
      <c r="S746" s="53" t="str">
        <f aca="false">IF(AND($H746&lt;&gt;"",$I746&lt;&gt;""),$I746-$H746,"")</f>
        <v/>
      </c>
      <c r="T746" s="53" t="str">
        <f aca="false">IF($J746&lt;&gt;"",$J746,"")</f>
        <v/>
      </c>
      <c r="V746" s="52" t="str">
        <f aca="false">IF($A746&lt;&gt;"",$A746,"")</f>
        <v>Apprenant 734</v>
      </c>
      <c r="W746" s="53" t="str">
        <f aca="false">IF(AND(OR('Choix pédagogiques'!$C$3=1,'Choix pédagogiques'!$C$3=2),$BM746=1),B746,IF(AND('Choix pédagogiques'!$C$3=3,$BO746=1),B746,""))</f>
        <v/>
      </c>
      <c r="X746" s="53" t="str">
        <f aca="false">IF(AND(OR('Choix pédagogiques'!$C$3=1,'Choix pédagogiques'!$C$3=2),$BM746=1),C746,IF(AND('Choix pédagogiques'!$C$3=3,$BO746=1),C746,""))</f>
        <v/>
      </c>
      <c r="Y746" s="53" t="str">
        <f aca="false">IF(AND(OR('Choix pédagogiques'!$C$3=1,'Choix pédagogiques'!$C$3=2),$BM746=1),D746,IF(AND('Choix pédagogiques'!$C$3=3,$BO746=1),D746,""))</f>
        <v/>
      </c>
      <c r="Z746" s="53" t="str">
        <f aca="false">IF($E746&lt;&gt;"",$E746,"")</f>
        <v/>
      </c>
      <c r="AA746" s="52" t="str">
        <f aca="false">IF($F746&lt;&gt;"",$F746,"")</f>
        <v>Apprenant 734 ou 734'</v>
      </c>
      <c r="AB746" s="53" t="str">
        <f aca="false">IF(AND(OR('Choix pédagogiques'!$C$3=1,'Choix pédagogiques'!$C$3=2),$BN746=1),G746,IF(AND('Choix pédagogiques'!$C$3=3,$BO746=1),G746,""))</f>
        <v/>
      </c>
      <c r="AC746" s="53" t="str">
        <f aca="false">IF(AND(OR('Choix pédagogiques'!$C$3=1,'Choix pédagogiques'!$C$3=2),$BN746=1),H746,IF(AND('Choix pédagogiques'!$C$3=3,$BO746=1),H746,""))</f>
        <v/>
      </c>
      <c r="AD746" s="53" t="str">
        <f aca="false">IF(AND(OR('Choix pédagogiques'!$C$3=1,'Choix pédagogiques'!$C$3=2),$BN746=1),I746,IF(AND('Choix pédagogiques'!$C$3=3,$BO746=1),I746,""))</f>
        <v/>
      </c>
      <c r="AE746" s="53" t="str">
        <f aca="false">IF($J746&lt;&gt;"",$J746,"")</f>
        <v/>
      </c>
      <c r="AF746" s="52" t="str">
        <f aca="false">IF($A746&lt;&gt;"",$A746,"")</f>
        <v>Apprenant 734</v>
      </c>
      <c r="AG746" s="53" t="str">
        <f aca="false">IF(AND($W746&lt;&gt;"",$X746&lt;&gt;""),$X746-$W746,"")</f>
        <v/>
      </c>
      <c r="AH746" s="53" t="str">
        <f aca="false">IF(AND($W746&lt;&gt;"",$Y746&lt;&gt;""),$Y746-$W746,"")</f>
        <v/>
      </c>
      <c r="AI746" s="53" t="str">
        <f aca="false">IF(AND($X746&lt;&gt;"",$Y746&lt;&gt;""),$Y746-$X746,"")</f>
        <v/>
      </c>
      <c r="AJ746" s="53" t="str">
        <f aca="false">IF($E746&lt;&gt;"",$E746,"")</f>
        <v/>
      </c>
      <c r="AK746" s="52" t="str">
        <f aca="false">IF($F746&lt;&gt;"",$F746,"")</f>
        <v>Apprenant 734 ou 734'</v>
      </c>
      <c r="AL746" s="53" t="str">
        <f aca="false">IF(AND($AB746&lt;&gt;"",$AC746&lt;&gt;""),$AC746-$AB746,"")</f>
        <v/>
      </c>
      <c r="AM746" s="53" t="str">
        <f aca="false">IF(AND($AB746&lt;&gt;"",$AD746&lt;&gt;""),$AD746-$AB746,"")</f>
        <v/>
      </c>
      <c r="AN746" s="53" t="str">
        <f aca="false">IF(AND($AC746&lt;&gt;"",$AD746&lt;&gt;""),$AD746-$AC746,"")</f>
        <v/>
      </c>
      <c r="AO746" s="53" t="str">
        <f aca="false">IF($J746&lt;&gt;"",$J746,"")</f>
        <v/>
      </c>
      <c r="AQ746" s="52" t="str">
        <f aca="false">IF($A746&lt;&gt;"",$A746,"")</f>
        <v>Apprenant 734</v>
      </c>
      <c r="AR746" s="55" t="str">
        <f aca="false">IF(AND('Choix pédagogiques'!$C$4&lt;&gt;"?",'Choix pédagogiques'!$C$5&lt;&gt;"?",W746&lt;&gt;""),(W746-'Choix pédagogiques'!$C$4)/('Choix pédagogiques'!$C$5-'Choix pédagogiques'!$C$4),"")</f>
        <v/>
      </c>
      <c r="AS746" s="55" t="str">
        <f aca="false">IF(AND('Choix pédagogiques'!$C$4&lt;&gt;"?",'Choix pédagogiques'!$C$5&lt;&gt;"?",X746&lt;&gt;""),(X746-'Choix pédagogiques'!$C$4)/('Choix pédagogiques'!$C$5-'Choix pédagogiques'!$C$4),"")</f>
        <v/>
      </c>
      <c r="AT746" s="55" t="str">
        <f aca="false">IF(AND('Choix pédagogiques'!$C$4&lt;&gt;"?",'Choix pédagogiques'!$C$5&lt;&gt;"?",Y746&lt;&gt;""),(Y746-'Choix pédagogiques'!$C$4)/('Choix pédagogiques'!$C$5-'Choix pédagogiques'!$C$4),"")</f>
        <v/>
      </c>
      <c r="AU746" s="53" t="str">
        <f aca="false">IF($E746&lt;&gt;"",$E746,"")</f>
        <v/>
      </c>
      <c r="AV746" s="52" t="str">
        <f aca="false">IF($F746&lt;&gt;"",$F746,"")</f>
        <v>Apprenant 734 ou 734'</v>
      </c>
      <c r="AW746" s="55" t="str">
        <f aca="false">IF(AND('Choix pédagogiques'!$C$4&lt;&gt;"?",'Choix pédagogiques'!$C$5&lt;&gt;"?",AB746&lt;&gt;""),(AB746-'Choix pédagogiques'!$C$4)/('Choix pédagogiques'!$C$5-'Choix pédagogiques'!$C$4),"")</f>
        <v/>
      </c>
      <c r="AX746" s="55" t="str">
        <f aca="false">IF(AND('Choix pédagogiques'!$C$4&lt;&gt;"?",'Choix pédagogiques'!$C$5&lt;&gt;"?",AC746&lt;&gt;""),(AC746-'Choix pédagogiques'!$C$4)/('Choix pédagogiques'!$C$5-'Choix pédagogiques'!$C$4),"")</f>
        <v/>
      </c>
      <c r="AY746" s="55" t="str">
        <f aca="false">IF(AND('Choix pédagogiques'!$C$4&lt;&gt;"?",'Choix pédagogiques'!$C$5&lt;&gt;"?",AD746&lt;&gt;""),(AD746-'Choix pédagogiques'!$C$4)/('Choix pédagogiques'!$C$5-'Choix pédagogiques'!$C$4),"")</f>
        <v/>
      </c>
      <c r="AZ746" s="53" t="str">
        <f aca="false">IF($J746&lt;&gt;"",$J746,"")</f>
        <v/>
      </c>
      <c r="BA746" s="52" t="str">
        <f aca="false">IF($A746&lt;&gt;"",$A746,"")</f>
        <v>Apprenant 734</v>
      </c>
      <c r="BB746" s="55" t="str">
        <f aca="false">IF(AND($AR746&lt;&gt;"",$AS746&lt;&gt;""),$AS746-$AR746,"")</f>
        <v/>
      </c>
      <c r="BC746" s="55" t="str">
        <f aca="false">IF(AND($AR746&lt;&gt;"",$AT746&lt;&gt;""),$AT746-$AR746,"")</f>
        <v/>
      </c>
      <c r="BD746" s="55" t="str">
        <f aca="false">IF(AND($AS746&lt;&gt;"",$AT746&lt;&gt;""),$AT746-$AS746,"")</f>
        <v/>
      </c>
      <c r="BE746" s="53" t="str">
        <f aca="false">IF($E746&lt;&gt;"",$E746,"")</f>
        <v/>
      </c>
      <c r="BF746" s="52" t="str">
        <f aca="false">IF($F746&lt;&gt;"",$F746,"")</f>
        <v>Apprenant 734 ou 734'</v>
      </c>
      <c r="BG746" s="55" t="str">
        <f aca="false">IF(AND($AW746&lt;&gt;"",$AX746&lt;&gt;""),$AX746-$AW746,"")</f>
        <v/>
      </c>
      <c r="BH746" s="55" t="str">
        <f aca="false">IF(AND($AW746&lt;&gt;"",$AY746&lt;&gt;""),$AY746-$AW746,"")</f>
        <v/>
      </c>
      <c r="BI746" s="55" t="str">
        <f aca="false">IF(AND($AX746&lt;&gt;"",$AY746&lt;&gt;""),$AY746-$AX746,"")</f>
        <v/>
      </c>
      <c r="BJ746" s="53" t="str">
        <f aca="false">IF($J746&lt;&gt;"",$J746,"")</f>
        <v/>
      </c>
      <c r="BL746" s="52"/>
      <c r="BM746" s="52" t="str">
        <f aca="false">IF(OR(COUNT(B746:D1745)=0,AND('Choix pédagogiques'!$C$3&lt;&gt;1,'Choix pédagogiques'!$C$3&lt;&gt;2)),"",IF(AND(OR('Choix pédagogiques'!$C$3=1,'Choix pédagogiques'!$C$3=2),$B746&lt;&gt;"",$C746&lt;&gt;"",$D746&lt;&gt;""),1,0))</f>
        <v/>
      </c>
      <c r="BN746" s="52" t="str">
        <f aca="false">IF(OR(COUNT(G746:I1745)=0,AND('Choix pédagogiques'!$C$3&lt;&gt;1,'Choix pédagogiques'!$C$3&lt;&gt;2)),"",IF(AND(OR('Choix pédagogiques'!$C$3=1,'Choix pédagogiques'!$C$3=2),AND($G746&lt;&gt;"",$H746&lt;&gt;"",$I746&lt;&gt;"")),1,0))</f>
        <v/>
      </c>
      <c r="BO746" s="52" t="str">
        <f aca="false">IF(OR(COUNT(B746:D1745)=0,COUNT(G746:I1745)=0,'Choix pédagogiques'!C$3&lt;&gt;3),"",IF(AND('Choix pédagogiques'!$C$3=3,$B746&lt;&gt;"",$C746&lt;&gt;"",$D746&lt;&gt;"",$G746&lt;&gt;"",$H746&lt;&gt;"",$I746&lt;&gt;""),1,0))</f>
        <v/>
      </c>
      <c r="BR746" s="52" t="n">
        <v>403</v>
      </c>
      <c r="BS746" s="52" t="n">
        <v>1781</v>
      </c>
    </row>
    <row r="747" s="54" customFormat="true" ht="18" hidden="false" customHeight="true" outlineLevel="0" collapsed="false">
      <c r="A747" s="57" t="s">
        <v>1425</v>
      </c>
      <c r="B747" s="51"/>
      <c r="C747" s="51"/>
      <c r="D747" s="51"/>
      <c r="E747" s="51"/>
      <c r="F747" s="57" t="s">
        <v>1426</v>
      </c>
      <c r="G747" s="51"/>
      <c r="H747" s="51"/>
      <c r="I747" s="51"/>
      <c r="J747" s="51"/>
      <c r="K747" s="52" t="str">
        <f aca="false">IF($A747&lt;&gt;"",$A747,"")</f>
        <v>Apprenant 735</v>
      </c>
      <c r="L747" s="53" t="str">
        <f aca="false">IF(AND($B747&lt;&gt;"",$C747&lt;&gt;""),$C747-$B747,"")</f>
        <v/>
      </c>
      <c r="M747" s="53" t="str">
        <f aca="false">IF(AND($B747&lt;&gt;"",$D747&lt;&gt;""),$D747-$B747,"")</f>
        <v/>
      </c>
      <c r="N747" s="53" t="str">
        <f aca="false">IF(AND($C747&lt;&gt;"",$D747&lt;&gt;""),$D747-$C747,"")</f>
        <v/>
      </c>
      <c r="O747" s="53" t="str">
        <f aca="false">IF($E747&lt;&gt;"",$E747,"")</f>
        <v/>
      </c>
      <c r="P747" s="52" t="str">
        <f aca="false">IF($F747&lt;&gt;"",$F747,"")</f>
        <v>Apprenant 735 ou 735'</v>
      </c>
      <c r="Q747" s="53" t="str">
        <f aca="false">IF(AND($G747&lt;&gt;"",$H747&lt;&gt;""),$H747-$G747,"")</f>
        <v/>
      </c>
      <c r="R747" s="53" t="str">
        <f aca="false">IF(AND($G747&lt;&gt;"",$I747&lt;&gt;""),$I747-$G747,"")</f>
        <v/>
      </c>
      <c r="S747" s="53" t="str">
        <f aca="false">IF(AND($H747&lt;&gt;"",$I747&lt;&gt;""),$I747-$H747,"")</f>
        <v/>
      </c>
      <c r="T747" s="53" t="str">
        <f aca="false">IF($J747&lt;&gt;"",$J747,"")</f>
        <v/>
      </c>
      <c r="V747" s="52" t="str">
        <f aca="false">IF($A747&lt;&gt;"",$A747,"")</f>
        <v>Apprenant 735</v>
      </c>
      <c r="W747" s="53" t="str">
        <f aca="false">IF(AND(OR('Choix pédagogiques'!$C$3=1,'Choix pédagogiques'!$C$3=2),$BM747=1),B747,IF(AND('Choix pédagogiques'!$C$3=3,$BO747=1),B747,""))</f>
        <v/>
      </c>
      <c r="X747" s="53" t="str">
        <f aca="false">IF(AND(OR('Choix pédagogiques'!$C$3=1,'Choix pédagogiques'!$C$3=2),$BM747=1),C747,IF(AND('Choix pédagogiques'!$C$3=3,$BO747=1),C747,""))</f>
        <v/>
      </c>
      <c r="Y747" s="53" t="str">
        <f aca="false">IF(AND(OR('Choix pédagogiques'!$C$3=1,'Choix pédagogiques'!$C$3=2),$BM747=1),D747,IF(AND('Choix pédagogiques'!$C$3=3,$BO747=1),D747,""))</f>
        <v/>
      </c>
      <c r="Z747" s="53" t="str">
        <f aca="false">IF($E747&lt;&gt;"",$E747,"")</f>
        <v/>
      </c>
      <c r="AA747" s="52" t="str">
        <f aca="false">IF($F747&lt;&gt;"",$F747,"")</f>
        <v>Apprenant 735 ou 735'</v>
      </c>
      <c r="AB747" s="53" t="str">
        <f aca="false">IF(AND(OR('Choix pédagogiques'!$C$3=1,'Choix pédagogiques'!$C$3=2),$BN747=1),G747,IF(AND('Choix pédagogiques'!$C$3=3,$BO747=1),G747,""))</f>
        <v/>
      </c>
      <c r="AC747" s="53" t="str">
        <f aca="false">IF(AND(OR('Choix pédagogiques'!$C$3=1,'Choix pédagogiques'!$C$3=2),$BN747=1),H747,IF(AND('Choix pédagogiques'!$C$3=3,$BO747=1),H747,""))</f>
        <v/>
      </c>
      <c r="AD747" s="53" t="str">
        <f aca="false">IF(AND(OR('Choix pédagogiques'!$C$3=1,'Choix pédagogiques'!$C$3=2),$BN747=1),I747,IF(AND('Choix pédagogiques'!$C$3=3,$BO747=1),I747,""))</f>
        <v/>
      </c>
      <c r="AE747" s="53" t="str">
        <f aca="false">IF($J747&lt;&gt;"",$J747,"")</f>
        <v/>
      </c>
      <c r="AF747" s="52" t="str">
        <f aca="false">IF($A747&lt;&gt;"",$A747,"")</f>
        <v>Apprenant 735</v>
      </c>
      <c r="AG747" s="53" t="str">
        <f aca="false">IF(AND($W747&lt;&gt;"",$X747&lt;&gt;""),$X747-$W747,"")</f>
        <v/>
      </c>
      <c r="AH747" s="53" t="str">
        <f aca="false">IF(AND($W747&lt;&gt;"",$Y747&lt;&gt;""),$Y747-$W747,"")</f>
        <v/>
      </c>
      <c r="AI747" s="53" t="str">
        <f aca="false">IF(AND($X747&lt;&gt;"",$Y747&lt;&gt;""),$Y747-$X747,"")</f>
        <v/>
      </c>
      <c r="AJ747" s="53" t="str">
        <f aca="false">IF($E747&lt;&gt;"",$E747,"")</f>
        <v/>
      </c>
      <c r="AK747" s="52" t="str">
        <f aca="false">IF($F747&lt;&gt;"",$F747,"")</f>
        <v>Apprenant 735 ou 735'</v>
      </c>
      <c r="AL747" s="53" t="str">
        <f aca="false">IF(AND($AB747&lt;&gt;"",$AC747&lt;&gt;""),$AC747-$AB747,"")</f>
        <v/>
      </c>
      <c r="AM747" s="53" t="str">
        <f aca="false">IF(AND($AB747&lt;&gt;"",$AD747&lt;&gt;""),$AD747-$AB747,"")</f>
        <v/>
      </c>
      <c r="AN747" s="53" t="str">
        <f aca="false">IF(AND($AC747&lt;&gt;"",$AD747&lt;&gt;""),$AD747-$AC747,"")</f>
        <v/>
      </c>
      <c r="AO747" s="53" t="str">
        <f aca="false">IF($J747&lt;&gt;"",$J747,"")</f>
        <v/>
      </c>
      <c r="AQ747" s="52" t="str">
        <f aca="false">IF($A747&lt;&gt;"",$A747,"")</f>
        <v>Apprenant 735</v>
      </c>
      <c r="AR747" s="55" t="str">
        <f aca="false">IF(AND('Choix pédagogiques'!$C$4&lt;&gt;"?",'Choix pédagogiques'!$C$5&lt;&gt;"?",W747&lt;&gt;""),(W747-'Choix pédagogiques'!$C$4)/('Choix pédagogiques'!$C$5-'Choix pédagogiques'!$C$4),"")</f>
        <v/>
      </c>
      <c r="AS747" s="55" t="str">
        <f aca="false">IF(AND('Choix pédagogiques'!$C$4&lt;&gt;"?",'Choix pédagogiques'!$C$5&lt;&gt;"?",X747&lt;&gt;""),(X747-'Choix pédagogiques'!$C$4)/('Choix pédagogiques'!$C$5-'Choix pédagogiques'!$C$4),"")</f>
        <v/>
      </c>
      <c r="AT747" s="55" t="str">
        <f aca="false">IF(AND('Choix pédagogiques'!$C$4&lt;&gt;"?",'Choix pédagogiques'!$C$5&lt;&gt;"?",Y747&lt;&gt;""),(Y747-'Choix pédagogiques'!$C$4)/('Choix pédagogiques'!$C$5-'Choix pédagogiques'!$C$4),"")</f>
        <v/>
      </c>
      <c r="AU747" s="53" t="str">
        <f aca="false">IF($E747&lt;&gt;"",$E747,"")</f>
        <v/>
      </c>
      <c r="AV747" s="52" t="str">
        <f aca="false">IF($F747&lt;&gt;"",$F747,"")</f>
        <v>Apprenant 735 ou 735'</v>
      </c>
      <c r="AW747" s="55" t="str">
        <f aca="false">IF(AND('Choix pédagogiques'!$C$4&lt;&gt;"?",'Choix pédagogiques'!$C$5&lt;&gt;"?",AB747&lt;&gt;""),(AB747-'Choix pédagogiques'!$C$4)/('Choix pédagogiques'!$C$5-'Choix pédagogiques'!$C$4),"")</f>
        <v/>
      </c>
      <c r="AX747" s="55" t="str">
        <f aca="false">IF(AND('Choix pédagogiques'!$C$4&lt;&gt;"?",'Choix pédagogiques'!$C$5&lt;&gt;"?",AC747&lt;&gt;""),(AC747-'Choix pédagogiques'!$C$4)/('Choix pédagogiques'!$C$5-'Choix pédagogiques'!$C$4),"")</f>
        <v/>
      </c>
      <c r="AY747" s="55" t="str">
        <f aca="false">IF(AND('Choix pédagogiques'!$C$4&lt;&gt;"?",'Choix pédagogiques'!$C$5&lt;&gt;"?",AD747&lt;&gt;""),(AD747-'Choix pédagogiques'!$C$4)/('Choix pédagogiques'!$C$5-'Choix pédagogiques'!$C$4),"")</f>
        <v/>
      </c>
      <c r="AZ747" s="53" t="str">
        <f aca="false">IF($J747&lt;&gt;"",$J747,"")</f>
        <v/>
      </c>
      <c r="BA747" s="52" t="str">
        <f aca="false">IF($A747&lt;&gt;"",$A747,"")</f>
        <v>Apprenant 735</v>
      </c>
      <c r="BB747" s="55" t="str">
        <f aca="false">IF(AND($AR747&lt;&gt;"",$AS747&lt;&gt;""),$AS747-$AR747,"")</f>
        <v/>
      </c>
      <c r="BC747" s="55" t="str">
        <f aca="false">IF(AND($AR747&lt;&gt;"",$AT747&lt;&gt;""),$AT747-$AR747,"")</f>
        <v/>
      </c>
      <c r="BD747" s="55" t="str">
        <f aca="false">IF(AND($AS747&lt;&gt;"",$AT747&lt;&gt;""),$AT747-$AS747,"")</f>
        <v/>
      </c>
      <c r="BE747" s="53" t="str">
        <f aca="false">IF($E747&lt;&gt;"",$E747,"")</f>
        <v/>
      </c>
      <c r="BF747" s="52" t="str">
        <f aca="false">IF($F747&lt;&gt;"",$F747,"")</f>
        <v>Apprenant 735 ou 735'</v>
      </c>
      <c r="BG747" s="55" t="str">
        <f aca="false">IF(AND($AW747&lt;&gt;"",$AX747&lt;&gt;""),$AX747-$AW747,"")</f>
        <v/>
      </c>
      <c r="BH747" s="55" t="str">
        <f aca="false">IF(AND($AW747&lt;&gt;"",$AY747&lt;&gt;""),$AY747-$AW747,"")</f>
        <v/>
      </c>
      <c r="BI747" s="55" t="str">
        <f aca="false">IF(AND($AX747&lt;&gt;"",$AY747&lt;&gt;""),$AY747-$AX747,"")</f>
        <v/>
      </c>
      <c r="BJ747" s="53" t="str">
        <f aca="false">IF($J747&lt;&gt;"",$J747,"")</f>
        <v/>
      </c>
      <c r="BL747" s="52"/>
      <c r="BM747" s="52" t="str">
        <f aca="false">IF(OR(COUNT(B747:D1746)=0,AND('Choix pédagogiques'!$C$3&lt;&gt;1,'Choix pédagogiques'!$C$3&lt;&gt;2)),"",IF(AND(OR('Choix pédagogiques'!$C$3=1,'Choix pédagogiques'!$C$3=2),$B747&lt;&gt;"",$C747&lt;&gt;"",$D747&lt;&gt;""),1,0))</f>
        <v/>
      </c>
      <c r="BN747" s="52" t="str">
        <f aca="false">IF(OR(COUNT(G747:I1746)=0,AND('Choix pédagogiques'!$C$3&lt;&gt;1,'Choix pédagogiques'!$C$3&lt;&gt;2)),"",IF(AND(OR('Choix pédagogiques'!$C$3=1,'Choix pédagogiques'!$C$3=2),AND($G747&lt;&gt;"",$H747&lt;&gt;"",$I747&lt;&gt;"")),1,0))</f>
        <v/>
      </c>
      <c r="BO747" s="52" t="str">
        <f aca="false">IF(OR(COUNT(B747:D1746)=0,COUNT(G747:I1746)=0,'Choix pédagogiques'!C$3&lt;&gt;3),"",IF(AND('Choix pédagogiques'!$C$3=3,$B747&lt;&gt;"",$C747&lt;&gt;"",$D747&lt;&gt;"",$G747&lt;&gt;"",$H747&lt;&gt;"",$I747&lt;&gt;""),1,0))</f>
        <v/>
      </c>
      <c r="BR747" s="52" t="n">
        <v>529</v>
      </c>
      <c r="BS747" s="52" t="n">
        <v>1912</v>
      </c>
    </row>
    <row r="748" s="54" customFormat="true" ht="18" hidden="false" customHeight="true" outlineLevel="0" collapsed="false">
      <c r="A748" s="57" t="s">
        <v>1427</v>
      </c>
      <c r="B748" s="51"/>
      <c r="C748" s="51"/>
      <c r="D748" s="51"/>
      <c r="E748" s="51"/>
      <c r="F748" s="57" t="s">
        <v>1428</v>
      </c>
      <c r="G748" s="51"/>
      <c r="H748" s="51"/>
      <c r="I748" s="51"/>
      <c r="J748" s="51"/>
      <c r="K748" s="52" t="str">
        <f aca="false">IF($A748&lt;&gt;"",$A748,"")</f>
        <v>Apprenant 736</v>
      </c>
      <c r="L748" s="53" t="str">
        <f aca="false">IF(AND($B748&lt;&gt;"",$C748&lt;&gt;""),$C748-$B748,"")</f>
        <v/>
      </c>
      <c r="M748" s="53" t="str">
        <f aca="false">IF(AND($B748&lt;&gt;"",$D748&lt;&gt;""),$D748-$B748,"")</f>
        <v/>
      </c>
      <c r="N748" s="53" t="str">
        <f aca="false">IF(AND($C748&lt;&gt;"",$D748&lt;&gt;""),$D748-$C748,"")</f>
        <v/>
      </c>
      <c r="O748" s="53" t="str">
        <f aca="false">IF($E748&lt;&gt;"",$E748,"")</f>
        <v/>
      </c>
      <c r="P748" s="52" t="str">
        <f aca="false">IF($F748&lt;&gt;"",$F748,"")</f>
        <v>Apprenant 736 ou 736'</v>
      </c>
      <c r="Q748" s="53" t="str">
        <f aca="false">IF(AND($G748&lt;&gt;"",$H748&lt;&gt;""),$H748-$G748,"")</f>
        <v/>
      </c>
      <c r="R748" s="53" t="str">
        <f aca="false">IF(AND($G748&lt;&gt;"",$I748&lt;&gt;""),$I748-$G748,"")</f>
        <v/>
      </c>
      <c r="S748" s="53" t="str">
        <f aca="false">IF(AND($H748&lt;&gt;"",$I748&lt;&gt;""),$I748-$H748,"")</f>
        <v/>
      </c>
      <c r="T748" s="53" t="str">
        <f aca="false">IF($J748&lt;&gt;"",$J748,"")</f>
        <v/>
      </c>
      <c r="V748" s="52" t="str">
        <f aca="false">IF($A748&lt;&gt;"",$A748,"")</f>
        <v>Apprenant 736</v>
      </c>
      <c r="W748" s="53" t="str">
        <f aca="false">IF(AND(OR('Choix pédagogiques'!$C$3=1,'Choix pédagogiques'!$C$3=2),$BM748=1),B748,IF(AND('Choix pédagogiques'!$C$3=3,$BO748=1),B748,""))</f>
        <v/>
      </c>
      <c r="X748" s="53" t="str">
        <f aca="false">IF(AND(OR('Choix pédagogiques'!$C$3=1,'Choix pédagogiques'!$C$3=2),$BM748=1),C748,IF(AND('Choix pédagogiques'!$C$3=3,$BO748=1),C748,""))</f>
        <v/>
      </c>
      <c r="Y748" s="53" t="str">
        <f aca="false">IF(AND(OR('Choix pédagogiques'!$C$3=1,'Choix pédagogiques'!$C$3=2),$BM748=1),D748,IF(AND('Choix pédagogiques'!$C$3=3,$BO748=1),D748,""))</f>
        <v/>
      </c>
      <c r="Z748" s="53" t="str">
        <f aca="false">IF($E748&lt;&gt;"",$E748,"")</f>
        <v/>
      </c>
      <c r="AA748" s="52" t="str">
        <f aca="false">IF($F748&lt;&gt;"",$F748,"")</f>
        <v>Apprenant 736 ou 736'</v>
      </c>
      <c r="AB748" s="53" t="str">
        <f aca="false">IF(AND(OR('Choix pédagogiques'!$C$3=1,'Choix pédagogiques'!$C$3=2),$BN748=1),G748,IF(AND('Choix pédagogiques'!$C$3=3,$BO748=1),G748,""))</f>
        <v/>
      </c>
      <c r="AC748" s="53" t="str">
        <f aca="false">IF(AND(OR('Choix pédagogiques'!$C$3=1,'Choix pédagogiques'!$C$3=2),$BN748=1),H748,IF(AND('Choix pédagogiques'!$C$3=3,$BO748=1),H748,""))</f>
        <v/>
      </c>
      <c r="AD748" s="53" t="str">
        <f aca="false">IF(AND(OR('Choix pédagogiques'!$C$3=1,'Choix pédagogiques'!$C$3=2),$BN748=1),I748,IF(AND('Choix pédagogiques'!$C$3=3,$BO748=1),I748,""))</f>
        <v/>
      </c>
      <c r="AE748" s="53" t="str">
        <f aca="false">IF($J748&lt;&gt;"",$J748,"")</f>
        <v/>
      </c>
      <c r="AF748" s="52" t="str">
        <f aca="false">IF($A748&lt;&gt;"",$A748,"")</f>
        <v>Apprenant 736</v>
      </c>
      <c r="AG748" s="53" t="str">
        <f aca="false">IF(AND($W748&lt;&gt;"",$X748&lt;&gt;""),$X748-$W748,"")</f>
        <v/>
      </c>
      <c r="AH748" s="53" t="str">
        <f aca="false">IF(AND($W748&lt;&gt;"",$Y748&lt;&gt;""),$Y748-$W748,"")</f>
        <v/>
      </c>
      <c r="AI748" s="53" t="str">
        <f aca="false">IF(AND($X748&lt;&gt;"",$Y748&lt;&gt;""),$Y748-$X748,"")</f>
        <v/>
      </c>
      <c r="AJ748" s="53" t="str">
        <f aca="false">IF($E748&lt;&gt;"",$E748,"")</f>
        <v/>
      </c>
      <c r="AK748" s="52" t="str">
        <f aca="false">IF($F748&lt;&gt;"",$F748,"")</f>
        <v>Apprenant 736 ou 736'</v>
      </c>
      <c r="AL748" s="53" t="str">
        <f aca="false">IF(AND($AB748&lt;&gt;"",$AC748&lt;&gt;""),$AC748-$AB748,"")</f>
        <v/>
      </c>
      <c r="AM748" s="53" t="str">
        <f aca="false">IF(AND($AB748&lt;&gt;"",$AD748&lt;&gt;""),$AD748-$AB748,"")</f>
        <v/>
      </c>
      <c r="AN748" s="53" t="str">
        <f aca="false">IF(AND($AC748&lt;&gt;"",$AD748&lt;&gt;""),$AD748-$AC748,"")</f>
        <v/>
      </c>
      <c r="AO748" s="53" t="str">
        <f aca="false">IF($J748&lt;&gt;"",$J748,"")</f>
        <v/>
      </c>
      <c r="AQ748" s="52" t="str">
        <f aca="false">IF($A748&lt;&gt;"",$A748,"")</f>
        <v>Apprenant 736</v>
      </c>
      <c r="AR748" s="55" t="str">
        <f aca="false">IF(AND('Choix pédagogiques'!$C$4&lt;&gt;"?",'Choix pédagogiques'!$C$5&lt;&gt;"?",W748&lt;&gt;""),(W748-'Choix pédagogiques'!$C$4)/('Choix pédagogiques'!$C$5-'Choix pédagogiques'!$C$4),"")</f>
        <v/>
      </c>
      <c r="AS748" s="55" t="str">
        <f aca="false">IF(AND('Choix pédagogiques'!$C$4&lt;&gt;"?",'Choix pédagogiques'!$C$5&lt;&gt;"?",X748&lt;&gt;""),(X748-'Choix pédagogiques'!$C$4)/('Choix pédagogiques'!$C$5-'Choix pédagogiques'!$C$4),"")</f>
        <v/>
      </c>
      <c r="AT748" s="55" t="str">
        <f aca="false">IF(AND('Choix pédagogiques'!$C$4&lt;&gt;"?",'Choix pédagogiques'!$C$5&lt;&gt;"?",Y748&lt;&gt;""),(Y748-'Choix pédagogiques'!$C$4)/('Choix pédagogiques'!$C$5-'Choix pédagogiques'!$C$4),"")</f>
        <v/>
      </c>
      <c r="AU748" s="53" t="str">
        <f aca="false">IF($E748&lt;&gt;"",$E748,"")</f>
        <v/>
      </c>
      <c r="AV748" s="52" t="str">
        <f aca="false">IF($F748&lt;&gt;"",$F748,"")</f>
        <v>Apprenant 736 ou 736'</v>
      </c>
      <c r="AW748" s="55" t="str">
        <f aca="false">IF(AND('Choix pédagogiques'!$C$4&lt;&gt;"?",'Choix pédagogiques'!$C$5&lt;&gt;"?",AB748&lt;&gt;""),(AB748-'Choix pédagogiques'!$C$4)/('Choix pédagogiques'!$C$5-'Choix pédagogiques'!$C$4),"")</f>
        <v/>
      </c>
      <c r="AX748" s="55" t="str">
        <f aca="false">IF(AND('Choix pédagogiques'!$C$4&lt;&gt;"?",'Choix pédagogiques'!$C$5&lt;&gt;"?",AC748&lt;&gt;""),(AC748-'Choix pédagogiques'!$C$4)/('Choix pédagogiques'!$C$5-'Choix pédagogiques'!$C$4),"")</f>
        <v/>
      </c>
      <c r="AY748" s="55" t="str">
        <f aca="false">IF(AND('Choix pédagogiques'!$C$4&lt;&gt;"?",'Choix pédagogiques'!$C$5&lt;&gt;"?",AD748&lt;&gt;""),(AD748-'Choix pédagogiques'!$C$4)/('Choix pédagogiques'!$C$5-'Choix pédagogiques'!$C$4),"")</f>
        <v/>
      </c>
      <c r="AZ748" s="53" t="str">
        <f aca="false">IF($J748&lt;&gt;"",$J748,"")</f>
        <v/>
      </c>
      <c r="BA748" s="52" t="str">
        <f aca="false">IF($A748&lt;&gt;"",$A748,"")</f>
        <v>Apprenant 736</v>
      </c>
      <c r="BB748" s="55" t="str">
        <f aca="false">IF(AND($AR748&lt;&gt;"",$AS748&lt;&gt;""),$AS748-$AR748,"")</f>
        <v/>
      </c>
      <c r="BC748" s="55" t="str">
        <f aca="false">IF(AND($AR748&lt;&gt;"",$AT748&lt;&gt;""),$AT748-$AR748,"")</f>
        <v/>
      </c>
      <c r="BD748" s="55" t="str">
        <f aca="false">IF(AND($AS748&lt;&gt;"",$AT748&lt;&gt;""),$AT748-$AS748,"")</f>
        <v/>
      </c>
      <c r="BE748" s="53" t="str">
        <f aca="false">IF($E748&lt;&gt;"",$E748,"")</f>
        <v/>
      </c>
      <c r="BF748" s="52" t="str">
        <f aca="false">IF($F748&lt;&gt;"",$F748,"")</f>
        <v>Apprenant 736 ou 736'</v>
      </c>
      <c r="BG748" s="55" t="str">
        <f aca="false">IF(AND($AW748&lt;&gt;"",$AX748&lt;&gt;""),$AX748-$AW748,"")</f>
        <v/>
      </c>
      <c r="BH748" s="55" t="str">
        <f aca="false">IF(AND($AW748&lt;&gt;"",$AY748&lt;&gt;""),$AY748-$AW748,"")</f>
        <v/>
      </c>
      <c r="BI748" s="55" t="str">
        <f aca="false">IF(AND($AX748&lt;&gt;"",$AY748&lt;&gt;""),$AY748-$AX748,"")</f>
        <v/>
      </c>
      <c r="BJ748" s="53" t="str">
        <f aca="false">IF($J748&lt;&gt;"",$J748,"")</f>
        <v/>
      </c>
      <c r="BL748" s="52"/>
      <c r="BM748" s="52" t="str">
        <f aca="false">IF(OR(COUNT(B748:D1747)=0,AND('Choix pédagogiques'!$C$3&lt;&gt;1,'Choix pédagogiques'!$C$3&lt;&gt;2)),"",IF(AND(OR('Choix pédagogiques'!$C$3=1,'Choix pédagogiques'!$C$3=2),$B748&lt;&gt;"",$C748&lt;&gt;"",$D748&lt;&gt;""),1,0))</f>
        <v/>
      </c>
      <c r="BN748" s="52" t="str">
        <f aca="false">IF(OR(COUNT(G748:I1747)=0,AND('Choix pédagogiques'!$C$3&lt;&gt;1,'Choix pédagogiques'!$C$3&lt;&gt;2)),"",IF(AND(OR('Choix pédagogiques'!$C$3=1,'Choix pédagogiques'!$C$3=2),AND($G748&lt;&gt;"",$H748&lt;&gt;"",$I748&lt;&gt;"")),1,0))</f>
        <v/>
      </c>
      <c r="BO748" s="52" t="str">
        <f aca="false">IF(OR(COUNT(B748:D1747)=0,COUNT(G748:I1747)=0,'Choix pédagogiques'!C$3&lt;&gt;3),"",IF(AND('Choix pédagogiques'!$C$3=3,$B748&lt;&gt;"",$C748&lt;&gt;"",$D748&lt;&gt;"",$G748&lt;&gt;"",$H748&lt;&gt;"",$I748&lt;&gt;""),1,0))</f>
        <v/>
      </c>
      <c r="BR748" s="52" t="n">
        <v>53</v>
      </c>
      <c r="BS748" s="52" t="n">
        <v>1190</v>
      </c>
    </row>
    <row r="749" s="54" customFormat="true" ht="18" hidden="false" customHeight="true" outlineLevel="0" collapsed="false">
      <c r="A749" s="57" t="s">
        <v>1429</v>
      </c>
      <c r="B749" s="51"/>
      <c r="C749" s="51"/>
      <c r="D749" s="51"/>
      <c r="E749" s="51"/>
      <c r="F749" s="57" t="s">
        <v>1430</v>
      </c>
      <c r="G749" s="51"/>
      <c r="H749" s="51"/>
      <c r="I749" s="51"/>
      <c r="J749" s="51"/>
      <c r="K749" s="52" t="str">
        <f aca="false">IF($A749&lt;&gt;"",$A749,"")</f>
        <v>Apprenant 737</v>
      </c>
      <c r="L749" s="53" t="str">
        <f aca="false">IF(AND($B749&lt;&gt;"",$C749&lt;&gt;""),$C749-$B749,"")</f>
        <v/>
      </c>
      <c r="M749" s="53" t="str">
        <f aca="false">IF(AND($B749&lt;&gt;"",$D749&lt;&gt;""),$D749-$B749,"")</f>
        <v/>
      </c>
      <c r="N749" s="53" t="str">
        <f aca="false">IF(AND($C749&lt;&gt;"",$D749&lt;&gt;""),$D749-$C749,"")</f>
        <v/>
      </c>
      <c r="O749" s="53" t="str">
        <f aca="false">IF($E749&lt;&gt;"",$E749,"")</f>
        <v/>
      </c>
      <c r="P749" s="52" t="str">
        <f aca="false">IF($F749&lt;&gt;"",$F749,"")</f>
        <v>Apprenant 737 ou 737'</v>
      </c>
      <c r="Q749" s="53" t="str">
        <f aca="false">IF(AND($G749&lt;&gt;"",$H749&lt;&gt;""),$H749-$G749,"")</f>
        <v/>
      </c>
      <c r="R749" s="53" t="str">
        <f aca="false">IF(AND($G749&lt;&gt;"",$I749&lt;&gt;""),$I749-$G749,"")</f>
        <v/>
      </c>
      <c r="S749" s="53" t="str">
        <f aca="false">IF(AND($H749&lt;&gt;"",$I749&lt;&gt;""),$I749-$H749,"")</f>
        <v/>
      </c>
      <c r="T749" s="53" t="str">
        <f aca="false">IF($J749&lt;&gt;"",$J749,"")</f>
        <v/>
      </c>
      <c r="V749" s="52" t="str">
        <f aca="false">IF($A749&lt;&gt;"",$A749,"")</f>
        <v>Apprenant 737</v>
      </c>
      <c r="W749" s="53" t="str">
        <f aca="false">IF(AND(OR('Choix pédagogiques'!$C$3=1,'Choix pédagogiques'!$C$3=2),$BM749=1),B749,IF(AND('Choix pédagogiques'!$C$3=3,$BO749=1),B749,""))</f>
        <v/>
      </c>
      <c r="X749" s="53" t="str">
        <f aca="false">IF(AND(OR('Choix pédagogiques'!$C$3=1,'Choix pédagogiques'!$C$3=2),$BM749=1),C749,IF(AND('Choix pédagogiques'!$C$3=3,$BO749=1),C749,""))</f>
        <v/>
      </c>
      <c r="Y749" s="53" t="str">
        <f aca="false">IF(AND(OR('Choix pédagogiques'!$C$3=1,'Choix pédagogiques'!$C$3=2),$BM749=1),D749,IF(AND('Choix pédagogiques'!$C$3=3,$BO749=1),D749,""))</f>
        <v/>
      </c>
      <c r="Z749" s="53" t="str">
        <f aca="false">IF($E749&lt;&gt;"",$E749,"")</f>
        <v/>
      </c>
      <c r="AA749" s="52" t="str">
        <f aca="false">IF($F749&lt;&gt;"",$F749,"")</f>
        <v>Apprenant 737 ou 737'</v>
      </c>
      <c r="AB749" s="53" t="str">
        <f aca="false">IF(AND(OR('Choix pédagogiques'!$C$3=1,'Choix pédagogiques'!$C$3=2),$BN749=1),G749,IF(AND('Choix pédagogiques'!$C$3=3,$BO749=1),G749,""))</f>
        <v/>
      </c>
      <c r="AC749" s="53" t="str">
        <f aca="false">IF(AND(OR('Choix pédagogiques'!$C$3=1,'Choix pédagogiques'!$C$3=2),$BN749=1),H749,IF(AND('Choix pédagogiques'!$C$3=3,$BO749=1),H749,""))</f>
        <v/>
      </c>
      <c r="AD749" s="53" t="str">
        <f aca="false">IF(AND(OR('Choix pédagogiques'!$C$3=1,'Choix pédagogiques'!$C$3=2),$BN749=1),I749,IF(AND('Choix pédagogiques'!$C$3=3,$BO749=1),I749,""))</f>
        <v/>
      </c>
      <c r="AE749" s="53" t="str">
        <f aca="false">IF($J749&lt;&gt;"",$J749,"")</f>
        <v/>
      </c>
      <c r="AF749" s="52" t="str">
        <f aca="false">IF($A749&lt;&gt;"",$A749,"")</f>
        <v>Apprenant 737</v>
      </c>
      <c r="AG749" s="53" t="str">
        <f aca="false">IF(AND($W749&lt;&gt;"",$X749&lt;&gt;""),$X749-$W749,"")</f>
        <v/>
      </c>
      <c r="AH749" s="53" t="str">
        <f aca="false">IF(AND($W749&lt;&gt;"",$Y749&lt;&gt;""),$Y749-$W749,"")</f>
        <v/>
      </c>
      <c r="AI749" s="53" t="str">
        <f aca="false">IF(AND($X749&lt;&gt;"",$Y749&lt;&gt;""),$Y749-$X749,"")</f>
        <v/>
      </c>
      <c r="AJ749" s="53" t="str">
        <f aca="false">IF($E749&lt;&gt;"",$E749,"")</f>
        <v/>
      </c>
      <c r="AK749" s="52" t="str">
        <f aca="false">IF($F749&lt;&gt;"",$F749,"")</f>
        <v>Apprenant 737 ou 737'</v>
      </c>
      <c r="AL749" s="53" t="str">
        <f aca="false">IF(AND($AB749&lt;&gt;"",$AC749&lt;&gt;""),$AC749-$AB749,"")</f>
        <v/>
      </c>
      <c r="AM749" s="53" t="str">
        <f aca="false">IF(AND($AB749&lt;&gt;"",$AD749&lt;&gt;""),$AD749-$AB749,"")</f>
        <v/>
      </c>
      <c r="AN749" s="53" t="str">
        <f aca="false">IF(AND($AC749&lt;&gt;"",$AD749&lt;&gt;""),$AD749-$AC749,"")</f>
        <v/>
      </c>
      <c r="AO749" s="53" t="str">
        <f aca="false">IF($J749&lt;&gt;"",$J749,"")</f>
        <v/>
      </c>
      <c r="AQ749" s="52" t="str">
        <f aca="false">IF($A749&lt;&gt;"",$A749,"")</f>
        <v>Apprenant 737</v>
      </c>
      <c r="AR749" s="55" t="str">
        <f aca="false">IF(AND('Choix pédagogiques'!$C$4&lt;&gt;"?",'Choix pédagogiques'!$C$5&lt;&gt;"?",W749&lt;&gt;""),(W749-'Choix pédagogiques'!$C$4)/('Choix pédagogiques'!$C$5-'Choix pédagogiques'!$C$4),"")</f>
        <v/>
      </c>
      <c r="AS749" s="55" t="str">
        <f aca="false">IF(AND('Choix pédagogiques'!$C$4&lt;&gt;"?",'Choix pédagogiques'!$C$5&lt;&gt;"?",X749&lt;&gt;""),(X749-'Choix pédagogiques'!$C$4)/('Choix pédagogiques'!$C$5-'Choix pédagogiques'!$C$4),"")</f>
        <v/>
      </c>
      <c r="AT749" s="55" t="str">
        <f aca="false">IF(AND('Choix pédagogiques'!$C$4&lt;&gt;"?",'Choix pédagogiques'!$C$5&lt;&gt;"?",Y749&lt;&gt;""),(Y749-'Choix pédagogiques'!$C$4)/('Choix pédagogiques'!$C$5-'Choix pédagogiques'!$C$4),"")</f>
        <v/>
      </c>
      <c r="AU749" s="53" t="str">
        <f aca="false">IF($E749&lt;&gt;"",$E749,"")</f>
        <v/>
      </c>
      <c r="AV749" s="52" t="str">
        <f aca="false">IF($F749&lt;&gt;"",$F749,"")</f>
        <v>Apprenant 737 ou 737'</v>
      </c>
      <c r="AW749" s="55" t="str">
        <f aca="false">IF(AND('Choix pédagogiques'!$C$4&lt;&gt;"?",'Choix pédagogiques'!$C$5&lt;&gt;"?",AB749&lt;&gt;""),(AB749-'Choix pédagogiques'!$C$4)/('Choix pédagogiques'!$C$5-'Choix pédagogiques'!$C$4),"")</f>
        <v/>
      </c>
      <c r="AX749" s="55" t="str">
        <f aca="false">IF(AND('Choix pédagogiques'!$C$4&lt;&gt;"?",'Choix pédagogiques'!$C$5&lt;&gt;"?",AC749&lt;&gt;""),(AC749-'Choix pédagogiques'!$C$4)/('Choix pédagogiques'!$C$5-'Choix pédagogiques'!$C$4),"")</f>
        <v/>
      </c>
      <c r="AY749" s="55" t="str">
        <f aca="false">IF(AND('Choix pédagogiques'!$C$4&lt;&gt;"?",'Choix pédagogiques'!$C$5&lt;&gt;"?",AD749&lt;&gt;""),(AD749-'Choix pédagogiques'!$C$4)/('Choix pédagogiques'!$C$5-'Choix pédagogiques'!$C$4),"")</f>
        <v/>
      </c>
      <c r="AZ749" s="53" t="str">
        <f aca="false">IF($J749&lt;&gt;"",$J749,"")</f>
        <v/>
      </c>
      <c r="BA749" s="52" t="str">
        <f aca="false">IF($A749&lt;&gt;"",$A749,"")</f>
        <v>Apprenant 737</v>
      </c>
      <c r="BB749" s="55" t="str">
        <f aca="false">IF(AND($AR749&lt;&gt;"",$AS749&lt;&gt;""),$AS749-$AR749,"")</f>
        <v/>
      </c>
      <c r="BC749" s="55" t="str">
        <f aca="false">IF(AND($AR749&lt;&gt;"",$AT749&lt;&gt;""),$AT749-$AR749,"")</f>
        <v/>
      </c>
      <c r="BD749" s="55" t="str">
        <f aca="false">IF(AND($AS749&lt;&gt;"",$AT749&lt;&gt;""),$AT749-$AS749,"")</f>
        <v/>
      </c>
      <c r="BE749" s="53" t="str">
        <f aca="false">IF($E749&lt;&gt;"",$E749,"")</f>
        <v/>
      </c>
      <c r="BF749" s="52" t="str">
        <f aca="false">IF($F749&lt;&gt;"",$F749,"")</f>
        <v>Apprenant 737 ou 737'</v>
      </c>
      <c r="BG749" s="55" t="str">
        <f aca="false">IF(AND($AW749&lt;&gt;"",$AX749&lt;&gt;""),$AX749-$AW749,"")</f>
        <v/>
      </c>
      <c r="BH749" s="55" t="str">
        <f aca="false">IF(AND($AW749&lt;&gt;"",$AY749&lt;&gt;""),$AY749-$AW749,"")</f>
        <v/>
      </c>
      <c r="BI749" s="55" t="str">
        <f aca="false">IF(AND($AX749&lt;&gt;"",$AY749&lt;&gt;""),$AY749-$AX749,"")</f>
        <v/>
      </c>
      <c r="BJ749" s="53" t="str">
        <f aca="false">IF($J749&lt;&gt;"",$J749,"")</f>
        <v/>
      </c>
      <c r="BL749" s="52"/>
      <c r="BM749" s="52" t="str">
        <f aca="false">IF(OR(COUNT(B749:D1748)=0,AND('Choix pédagogiques'!$C$3&lt;&gt;1,'Choix pédagogiques'!$C$3&lt;&gt;2)),"",IF(AND(OR('Choix pédagogiques'!$C$3=1,'Choix pédagogiques'!$C$3=2),$B749&lt;&gt;"",$C749&lt;&gt;"",$D749&lt;&gt;""),1,0))</f>
        <v/>
      </c>
      <c r="BN749" s="52" t="str">
        <f aca="false">IF(OR(COUNT(G749:I1748)=0,AND('Choix pédagogiques'!$C$3&lt;&gt;1,'Choix pédagogiques'!$C$3&lt;&gt;2)),"",IF(AND(OR('Choix pédagogiques'!$C$3=1,'Choix pédagogiques'!$C$3=2),AND($G749&lt;&gt;"",$H749&lt;&gt;"",$I749&lt;&gt;"")),1,0))</f>
        <v/>
      </c>
      <c r="BO749" s="52" t="str">
        <f aca="false">IF(OR(COUNT(B749:D1748)=0,COUNT(G749:I1748)=0,'Choix pédagogiques'!C$3&lt;&gt;3),"",IF(AND('Choix pédagogiques'!$C$3=3,$B749&lt;&gt;"",$C749&lt;&gt;"",$D749&lt;&gt;"",$G749&lt;&gt;"",$H749&lt;&gt;"",$I749&lt;&gt;""),1,0))</f>
        <v/>
      </c>
      <c r="BR749" s="52" t="n">
        <v>886</v>
      </c>
      <c r="BS749" s="52" t="n">
        <v>1491</v>
      </c>
    </row>
    <row r="750" s="54" customFormat="true" ht="18" hidden="false" customHeight="true" outlineLevel="0" collapsed="false">
      <c r="A750" s="57" t="s">
        <v>1431</v>
      </c>
      <c r="B750" s="51"/>
      <c r="C750" s="51"/>
      <c r="D750" s="51"/>
      <c r="E750" s="51"/>
      <c r="F750" s="57" t="s">
        <v>1432</v>
      </c>
      <c r="G750" s="51"/>
      <c r="H750" s="51"/>
      <c r="I750" s="51"/>
      <c r="J750" s="51"/>
      <c r="K750" s="52" t="str">
        <f aca="false">IF($A750&lt;&gt;"",$A750,"")</f>
        <v>Apprenant 738</v>
      </c>
      <c r="L750" s="53" t="str">
        <f aca="false">IF(AND($B750&lt;&gt;"",$C750&lt;&gt;""),$C750-$B750,"")</f>
        <v/>
      </c>
      <c r="M750" s="53" t="str">
        <f aca="false">IF(AND($B750&lt;&gt;"",$D750&lt;&gt;""),$D750-$B750,"")</f>
        <v/>
      </c>
      <c r="N750" s="53" t="str">
        <f aca="false">IF(AND($C750&lt;&gt;"",$D750&lt;&gt;""),$D750-$C750,"")</f>
        <v/>
      </c>
      <c r="O750" s="53" t="str">
        <f aca="false">IF($E750&lt;&gt;"",$E750,"")</f>
        <v/>
      </c>
      <c r="P750" s="52" t="str">
        <f aca="false">IF($F750&lt;&gt;"",$F750,"")</f>
        <v>Apprenant 738 ou 738'</v>
      </c>
      <c r="Q750" s="53" t="str">
        <f aca="false">IF(AND($G750&lt;&gt;"",$H750&lt;&gt;""),$H750-$G750,"")</f>
        <v/>
      </c>
      <c r="R750" s="53" t="str">
        <f aca="false">IF(AND($G750&lt;&gt;"",$I750&lt;&gt;""),$I750-$G750,"")</f>
        <v/>
      </c>
      <c r="S750" s="53" t="str">
        <f aca="false">IF(AND($H750&lt;&gt;"",$I750&lt;&gt;""),$I750-$H750,"")</f>
        <v/>
      </c>
      <c r="T750" s="53" t="str">
        <f aca="false">IF($J750&lt;&gt;"",$J750,"")</f>
        <v/>
      </c>
      <c r="V750" s="52" t="str">
        <f aca="false">IF($A750&lt;&gt;"",$A750,"")</f>
        <v>Apprenant 738</v>
      </c>
      <c r="W750" s="53" t="str">
        <f aca="false">IF(AND(OR('Choix pédagogiques'!$C$3=1,'Choix pédagogiques'!$C$3=2),$BM750=1),B750,IF(AND('Choix pédagogiques'!$C$3=3,$BO750=1),B750,""))</f>
        <v/>
      </c>
      <c r="X750" s="53" t="str">
        <f aca="false">IF(AND(OR('Choix pédagogiques'!$C$3=1,'Choix pédagogiques'!$C$3=2),$BM750=1),C750,IF(AND('Choix pédagogiques'!$C$3=3,$BO750=1),C750,""))</f>
        <v/>
      </c>
      <c r="Y750" s="53" t="str">
        <f aca="false">IF(AND(OR('Choix pédagogiques'!$C$3=1,'Choix pédagogiques'!$C$3=2),$BM750=1),D750,IF(AND('Choix pédagogiques'!$C$3=3,$BO750=1),D750,""))</f>
        <v/>
      </c>
      <c r="Z750" s="53" t="str">
        <f aca="false">IF($E750&lt;&gt;"",$E750,"")</f>
        <v/>
      </c>
      <c r="AA750" s="52" t="str">
        <f aca="false">IF($F750&lt;&gt;"",$F750,"")</f>
        <v>Apprenant 738 ou 738'</v>
      </c>
      <c r="AB750" s="53" t="str">
        <f aca="false">IF(AND(OR('Choix pédagogiques'!$C$3=1,'Choix pédagogiques'!$C$3=2),$BN750=1),G750,IF(AND('Choix pédagogiques'!$C$3=3,$BO750=1),G750,""))</f>
        <v/>
      </c>
      <c r="AC750" s="53" t="str">
        <f aca="false">IF(AND(OR('Choix pédagogiques'!$C$3=1,'Choix pédagogiques'!$C$3=2),$BN750=1),H750,IF(AND('Choix pédagogiques'!$C$3=3,$BO750=1),H750,""))</f>
        <v/>
      </c>
      <c r="AD750" s="53" t="str">
        <f aca="false">IF(AND(OR('Choix pédagogiques'!$C$3=1,'Choix pédagogiques'!$C$3=2),$BN750=1),I750,IF(AND('Choix pédagogiques'!$C$3=3,$BO750=1),I750,""))</f>
        <v/>
      </c>
      <c r="AE750" s="53" t="str">
        <f aca="false">IF($J750&lt;&gt;"",$J750,"")</f>
        <v/>
      </c>
      <c r="AF750" s="52" t="str">
        <f aca="false">IF($A750&lt;&gt;"",$A750,"")</f>
        <v>Apprenant 738</v>
      </c>
      <c r="AG750" s="53" t="str">
        <f aca="false">IF(AND($W750&lt;&gt;"",$X750&lt;&gt;""),$X750-$W750,"")</f>
        <v/>
      </c>
      <c r="AH750" s="53" t="str">
        <f aca="false">IF(AND($W750&lt;&gt;"",$Y750&lt;&gt;""),$Y750-$W750,"")</f>
        <v/>
      </c>
      <c r="AI750" s="53" t="str">
        <f aca="false">IF(AND($X750&lt;&gt;"",$Y750&lt;&gt;""),$Y750-$X750,"")</f>
        <v/>
      </c>
      <c r="AJ750" s="53" t="str">
        <f aca="false">IF($E750&lt;&gt;"",$E750,"")</f>
        <v/>
      </c>
      <c r="AK750" s="52" t="str">
        <f aca="false">IF($F750&lt;&gt;"",$F750,"")</f>
        <v>Apprenant 738 ou 738'</v>
      </c>
      <c r="AL750" s="53" t="str">
        <f aca="false">IF(AND($AB750&lt;&gt;"",$AC750&lt;&gt;""),$AC750-$AB750,"")</f>
        <v/>
      </c>
      <c r="AM750" s="53" t="str">
        <f aca="false">IF(AND($AB750&lt;&gt;"",$AD750&lt;&gt;""),$AD750-$AB750,"")</f>
        <v/>
      </c>
      <c r="AN750" s="53" t="str">
        <f aca="false">IF(AND($AC750&lt;&gt;"",$AD750&lt;&gt;""),$AD750-$AC750,"")</f>
        <v/>
      </c>
      <c r="AO750" s="53" t="str">
        <f aca="false">IF($J750&lt;&gt;"",$J750,"")</f>
        <v/>
      </c>
      <c r="AQ750" s="52" t="str">
        <f aca="false">IF($A750&lt;&gt;"",$A750,"")</f>
        <v>Apprenant 738</v>
      </c>
      <c r="AR750" s="55" t="str">
        <f aca="false">IF(AND('Choix pédagogiques'!$C$4&lt;&gt;"?",'Choix pédagogiques'!$C$5&lt;&gt;"?",W750&lt;&gt;""),(W750-'Choix pédagogiques'!$C$4)/('Choix pédagogiques'!$C$5-'Choix pédagogiques'!$C$4),"")</f>
        <v/>
      </c>
      <c r="AS750" s="55" t="str">
        <f aca="false">IF(AND('Choix pédagogiques'!$C$4&lt;&gt;"?",'Choix pédagogiques'!$C$5&lt;&gt;"?",X750&lt;&gt;""),(X750-'Choix pédagogiques'!$C$4)/('Choix pédagogiques'!$C$5-'Choix pédagogiques'!$C$4),"")</f>
        <v/>
      </c>
      <c r="AT750" s="55" t="str">
        <f aca="false">IF(AND('Choix pédagogiques'!$C$4&lt;&gt;"?",'Choix pédagogiques'!$C$5&lt;&gt;"?",Y750&lt;&gt;""),(Y750-'Choix pédagogiques'!$C$4)/('Choix pédagogiques'!$C$5-'Choix pédagogiques'!$C$4),"")</f>
        <v/>
      </c>
      <c r="AU750" s="53" t="str">
        <f aca="false">IF($E750&lt;&gt;"",$E750,"")</f>
        <v/>
      </c>
      <c r="AV750" s="52" t="str">
        <f aca="false">IF($F750&lt;&gt;"",$F750,"")</f>
        <v>Apprenant 738 ou 738'</v>
      </c>
      <c r="AW750" s="55" t="str">
        <f aca="false">IF(AND('Choix pédagogiques'!$C$4&lt;&gt;"?",'Choix pédagogiques'!$C$5&lt;&gt;"?",AB750&lt;&gt;""),(AB750-'Choix pédagogiques'!$C$4)/('Choix pédagogiques'!$C$5-'Choix pédagogiques'!$C$4),"")</f>
        <v/>
      </c>
      <c r="AX750" s="55" t="str">
        <f aca="false">IF(AND('Choix pédagogiques'!$C$4&lt;&gt;"?",'Choix pédagogiques'!$C$5&lt;&gt;"?",AC750&lt;&gt;""),(AC750-'Choix pédagogiques'!$C$4)/('Choix pédagogiques'!$C$5-'Choix pédagogiques'!$C$4),"")</f>
        <v/>
      </c>
      <c r="AY750" s="55" t="str">
        <f aca="false">IF(AND('Choix pédagogiques'!$C$4&lt;&gt;"?",'Choix pédagogiques'!$C$5&lt;&gt;"?",AD750&lt;&gt;""),(AD750-'Choix pédagogiques'!$C$4)/('Choix pédagogiques'!$C$5-'Choix pédagogiques'!$C$4),"")</f>
        <v/>
      </c>
      <c r="AZ750" s="53" t="str">
        <f aca="false">IF($J750&lt;&gt;"",$J750,"")</f>
        <v/>
      </c>
      <c r="BA750" s="52" t="str">
        <f aca="false">IF($A750&lt;&gt;"",$A750,"")</f>
        <v>Apprenant 738</v>
      </c>
      <c r="BB750" s="55" t="str">
        <f aca="false">IF(AND($AR750&lt;&gt;"",$AS750&lt;&gt;""),$AS750-$AR750,"")</f>
        <v/>
      </c>
      <c r="BC750" s="55" t="str">
        <f aca="false">IF(AND($AR750&lt;&gt;"",$AT750&lt;&gt;""),$AT750-$AR750,"")</f>
        <v/>
      </c>
      <c r="BD750" s="55" t="str">
        <f aca="false">IF(AND($AS750&lt;&gt;"",$AT750&lt;&gt;""),$AT750-$AS750,"")</f>
        <v/>
      </c>
      <c r="BE750" s="53" t="str">
        <f aca="false">IF($E750&lt;&gt;"",$E750,"")</f>
        <v/>
      </c>
      <c r="BF750" s="52" t="str">
        <f aca="false">IF($F750&lt;&gt;"",$F750,"")</f>
        <v>Apprenant 738 ou 738'</v>
      </c>
      <c r="BG750" s="55" t="str">
        <f aca="false">IF(AND($AW750&lt;&gt;"",$AX750&lt;&gt;""),$AX750-$AW750,"")</f>
        <v/>
      </c>
      <c r="BH750" s="55" t="str">
        <f aca="false">IF(AND($AW750&lt;&gt;"",$AY750&lt;&gt;""),$AY750-$AW750,"")</f>
        <v/>
      </c>
      <c r="BI750" s="55" t="str">
        <f aca="false">IF(AND($AX750&lt;&gt;"",$AY750&lt;&gt;""),$AY750-$AX750,"")</f>
        <v/>
      </c>
      <c r="BJ750" s="53" t="str">
        <f aca="false">IF($J750&lt;&gt;"",$J750,"")</f>
        <v/>
      </c>
      <c r="BL750" s="52"/>
      <c r="BM750" s="52" t="str">
        <f aca="false">IF(OR(COUNT(B750:D1749)=0,AND('Choix pédagogiques'!$C$3&lt;&gt;1,'Choix pédagogiques'!$C$3&lt;&gt;2)),"",IF(AND(OR('Choix pédagogiques'!$C$3=1,'Choix pédagogiques'!$C$3=2),$B750&lt;&gt;"",$C750&lt;&gt;"",$D750&lt;&gt;""),1,0))</f>
        <v/>
      </c>
      <c r="BN750" s="52" t="str">
        <f aca="false">IF(OR(COUNT(G750:I1749)=0,AND('Choix pédagogiques'!$C$3&lt;&gt;1,'Choix pédagogiques'!$C$3&lt;&gt;2)),"",IF(AND(OR('Choix pédagogiques'!$C$3=1,'Choix pédagogiques'!$C$3=2),AND($G750&lt;&gt;"",$H750&lt;&gt;"",$I750&lt;&gt;"")),1,0))</f>
        <v/>
      </c>
      <c r="BO750" s="52" t="str">
        <f aca="false">IF(OR(COUNT(B750:D1749)=0,COUNT(G750:I1749)=0,'Choix pédagogiques'!C$3&lt;&gt;3),"",IF(AND('Choix pédagogiques'!$C$3=3,$B750&lt;&gt;"",$C750&lt;&gt;"",$D750&lt;&gt;"",$G750&lt;&gt;"",$H750&lt;&gt;"",$I750&lt;&gt;""),1,0))</f>
        <v/>
      </c>
      <c r="BR750" s="52" t="n">
        <v>304</v>
      </c>
      <c r="BS750" s="52" t="n">
        <v>1372</v>
      </c>
    </row>
    <row r="751" s="54" customFormat="true" ht="18" hidden="false" customHeight="true" outlineLevel="0" collapsed="false">
      <c r="A751" s="57" t="s">
        <v>1433</v>
      </c>
      <c r="B751" s="51"/>
      <c r="C751" s="51"/>
      <c r="D751" s="51"/>
      <c r="E751" s="51"/>
      <c r="F751" s="57" t="s">
        <v>1434</v>
      </c>
      <c r="G751" s="51"/>
      <c r="H751" s="51"/>
      <c r="I751" s="51"/>
      <c r="J751" s="51"/>
      <c r="K751" s="52" t="str">
        <f aca="false">IF($A751&lt;&gt;"",$A751,"")</f>
        <v>Apprenant 739</v>
      </c>
      <c r="L751" s="53" t="str">
        <f aca="false">IF(AND($B751&lt;&gt;"",$C751&lt;&gt;""),$C751-$B751,"")</f>
        <v/>
      </c>
      <c r="M751" s="53" t="str">
        <f aca="false">IF(AND($B751&lt;&gt;"",$D751&lt;&gt;""),$D751-$B751,"")</f>
        <v/>
      </c>
      <c r="N751" s="53" t="str">
        <f aca="false">IF(AND($C751&lt;&gt;"",$D751&lt;&gt;""),$D751-$C751,"")</f>
        <v/>
      </c>
      <c r="O751" s="53" t="str">
        <f aca="false">IF($E751&lt;&gt;"",$E751,"")</f>
        <v/>
      </c>
      <c r="P751" s="52" t="str">
        <f aca="false">IF($F751&lt;&gt;"",$F751,"")</f>
        <v>Apprenant 739 ou 739'</v>
      </c>
      <c r="Q751" s="53" t="str">
        <f aca="false">IF(AND($G751&lt;&gt;"",$H751&lt;&gt;""),$H751-$G751,"")</f>
        <v/>
      </c>
      <c r="R751" s="53" t="str">
        <f aca="false">IF(AND($G751&lt;&gt;"",$I751&lt;&gt;""),$I751-$G751,"")</f>
        <v/>
      </c>
      <c r="S751" s="53" t="str">
        <f aca="false">IF(AND($H751&lt;&gt;"",$I751&lt;&gt;""),$I751-$H751,"")</f>
        <v/>
      </c>
      <c r="T751" s="53" t="str">
        <f aca="false">IF($J751&lt;&gt;"",$J751,"")</f>
        <v/>
      </c>
      <c r="V751" s="52" t="str">
        <f aca="false">IF($A751&lt;&gt;"",$A751,"")</f>
        <v>Apprenant 739</v>
      </c>
      <c r="W751" s="53" t="str">
        <f aca="false">IF(AND(OR('Choix pédagogiques'!$C$3=1,'Choix pédagogiques'!$C$3=2),$BM751=1),B751,IF(AND('Choix pédagogiques'!$C$3=3,$BO751=1),B751,""))</f>
        <v/>
      </c>
      <c r="X751" s="53" t="str">
        <f aca="false">IF(AND(OR('Choix pédagogiques'!$C$3=1,'Choix pédagogiques'!$C$3=2),$BM751=1),C751,IF(AND('Choix pédagogiques'!$C$3=3,$BO751=1),C751,""))</f>
        <v/>
      </c>
      <c r="Y751" s="53" t="str">
        <f aca="false">IF(AND(OR('Choix pédagogiques'!$C$3=1,'Choix pédagogiques'!$C$3=2),$BM751=1),D751,IF(AND('Choix pédagogiques'!$C$3=3,$BO751=1),D751,""))</f>
        <v/>
      </c>
      <c r="Z751" s="53" t="str">
        <f aca="false">IF($E751&lt;&gt;"",$E751,"")</f>
        <v/>
      </c>
      <c r="AA751" s="52" t="str">
        <f aca="false">IF($F751&lt;&gt;"",$F751,"")</f>
        <v>Apprenant 739 ou 739'</v>
      </c>
      <c r="AB751" s="53" t="str">
        <f aca="false">IF(AND(OR('Choix pédagogiques'!$C$3=1,'Choix pédagogiques'!$C$3=2),$BN751=1),G751,IF(AND('Choix pédagogiques'!$C$3=3,$BO751=1),G751,""))</f>
        <v/>
      </c>
      <c r="AC751" s="53" t="str">
        <f aca="false">IF(AND(OR('Choix pédagogiques'!$C$3=1,'Choix pédagogiques'!$C$3=2),$BN751=1),H751,IF(AND('Choix pédagogiques'!$C$3=3,$BO751=1),H751,""))</f>
        <v/>
      </c>
      <c r="AD751" s="53" t="str">
        <f aca="false">IF(AND(OR('Choix pédagogiques'!$C$3=1,'Choix pédagogiques'!$C$3=2),$BN751=1),I751,IF(AND('Choix pédagogiques'!$C$3=3,$BO751=1),I751,""))</f>
        <v/>
      </c>
      <c r="AE751" s="53" t="str">
        <f aca="false">IF($J751&lt;&gt;"",$J751,"")</f>
        <v/>
      </c>
      <c r="AF751" s="52" t="str">
        <f aca="false">IF($A751&lt;&gt;"",$A751,"")</f>
        <v>Apprenant 739</v>
      </c>
      <c r="AG751" s="53" t="str">
        <f aca="false">IF(AND($W751&lt;&gt;"",$X751&lt;&gt;""),$X751-$W751,"")</f>
        <v/>
      </c>
      <c r="AH751" s="53" t="str">
        <f aca="false">IF(AND($W751&lt;&gt;"",$Y751&lt;&gt;""),$Y751-$W751,"")</f>
        <v/>
      </c>
      <c r="AI751" s="53" t="str">
        <f aca="false">IF(AND($X751&lt;&gt;"",$Y751&lt;&gt;""),$Y751-$X751,"")</f>
        <v/>
      </c>
      <c r="AJ751" s="53" t="str">
        <f aca="false">IF($E751&lt;&gt;"",$E751,"")</f>
        <v/>
      </c>
      <c r="AK751" s="52" t="str">
        <f aca="false">IF($F751&lt;&gt;"",$F751,"")</f>
        <v>Apprenant 739 ou 739'</v>
      </c>
      <c r="AL751" s="53" t="str">
        <f aca="false">IF(AND($AB751&lt;&gt;"",$AC751&lt;&gt;""),$AC751-$AB751,"")</f>
        <v/>
      </c>
      <c r="AM751" s="53" t="str">
        <f aca="false">IF(AND($AB751&lt;&gt;"",$AD751&lt;&gt;""),$AD751-$AB751,"")</f>
        <v/>
      </c>
      <c r="AN751" s="53" t="str">
        <f aca="false">IF(AND($AC751&lt;&gt;"",$AD751&lt;&gt;""),$AD751-$AC751,"")</f>
        <v/>
      </c>
      <c r="AO751" s="53" t="str">
        <f aca="false">IF($J751&lt;&gt;"",$J751,"")</f>
        <v/>
      </c>
      <c r="AQ751" s="52" t="str">
        <f aca="false">IF($A751&lt;&gt;"",$A751,"")</f>
        <v>Apprenant 739</v>
      </c>
      <c r="AR751" s="55" t="str">
        <f aca="false">IF(AND('Choix pédagogiques'!$C$4&lt;&gt;"?",'Choix pédagogiques'!$C$5&lt;&gt;"?",W751&lt;&gt;""),(W751-'Choix pédagogiques'!$C$4)/('Choix pédagogiques'!$C$5-'Choix pédagogiques'!$C$4),"")</f>
        <v/>
      </c>
      <c r="AS751" s="55" t="str">
        <f aca="false">IF(AND('Choix pédagogiques'!$C$4&lt;&gt;"?",'Choix pédagogiques'!$C$5&lt;&gt;"?",X751&lt;&gt;""),(X751-'Choix pédagogiques'!$C$4)/('Choix pédagogiques'!$C$5-'Choix pédagogiques'!$C$4),"")</f>
        <v/>
      </c>
      <c r="AT751" s="55" t="str">
        <f aca="false">IF(AND('Choix pédagogiques'!$C$4&lt;&gt;"?",'Choix pédagogiques'!$C$5&lt;&gt;"?",Y751&lt;&gt;""),(Y751-'Choix pédagogiques'!$C$4)/('Choix pédagogiques'!$C$5-'Choix pédagogiques'!$C$4),"")</f>
        <v/>
      </c>
      <c r="AU751" s="53" t="str">
        <f aca="false">IF($E751&lt;&gt;"",$E751,"")</f>
        <v/>
      </c>
      <c r="AV751" s="52" t="str">
        <f aca="false">IF($F751&lt;&gt;"",$F751,"")</f>
        <v>Apprenant 739 ou 739'</v>
      </c>
      <c r="AW751" s="55" t="str">
        <f aca="false">IF(AND('Choix pédagogiques'!$C$4&lt;&gt;"?",'Choix pédagogiques'!$C$5&lt;&gt;"?",AB751&lt;&gt;""),(AB751-'Choix pédagogiques'!$C$4)/('Choix pédagogiques'!$C$5-'Choix pédagogiques'!$C$4),"")</f>
        <v/>
      </c>
      <c r="AX751" s="55" t="str">
        <f aca="false">IF(AND('Choix pédagogiques'!$C$4&lt;&gt;"?",'Choix pédagogiques'!$C$5&lt;&gt;"?",AC751&lt;&gt;""),(AC751-'Choix pédagogiques'!$C$4)/('Choix pédagogiques'!$C$5-'Choix pédagogiques'!$C$4),"")</f>
        <v/>
      </c>
      <c r="AY751" s="55" t="str">
        <f aca="false">IF(AND('Choix pédagogiques'!$C$4&lt;&gt;"?",'Choix pédagogiques'!$C$5&lt;&gt;"?",AD751&lt;&gt;""),(AD751-'Choix pédagogiques'!$C$4)/('Choix pédagogiques'!$C$5-'Choix pédagogiques'!$C$4),"")</f>
        <v/>
      </c>
      <c r="AZ751" s="53" t="str">
        <f aca="false">IF($J751&lt;&gt;"",$J751,"")</f>
        <v/>
      </c>
      <c r="BA751" s="52" t="str">
        <f aca="false">IF($A751&lt;&gt;"",$A751,"")</f>
        <v>Apprenant 739</v>
      </c>
      <c r="BB751" s="55" t="str">
        <f aca="false">IF(AND($AR751&lt;&gt;"",$AS751&lt;&gt;""),$AS751-$AR751,"")</f>
        <v/>
      </c>
      <c r="BC751" s="55" t="str">
        <f aca="false">IF(AND($AR751&lt;&gt;"",$AT751&lt;&gt;""),$AT751-$AR751,"")</f>
        <v/>
      </c>
      <c r="BD751" s="55" t="str">
        <f aca="false">IF(AND($AS751&lt;&gt;"",$AT751&lt;&gt;""),$AT751-$AS751,"")</f>
        <v/>
      </c>
      <c r="BE751" s="53" t="str">
        <f aca="false">IF($E751&lt;&gt;"",$E751,"")</f>
        <v/>
      </c>
      <c r="BF751" s="52" t="str">
        <f aca="false">IF($F751&lt;&gt;"",$F751,"")</f>
        <v>Apprenant 739 ou 739'</v>
      </c>
      <c r="BG751" s="55" t="str">
        <f aca="false">IF(AND($AW751&lt;&gt;"",$AX751&lt;&gt;""),$AX751-$AW751,"")</f>
        <v/>
      </c>
      <c r="BH751" s="55" t="str">
        <f aca="false">IF(AND($AW751&lt;&gt;"",$AY751&lt;&gt;""),$AY751-$AW751,"")</f>
        <v/>
      </c>
      <c r="BI751" s="55" t="str">
        <f aca="false">IF(AND($AX751&lt;&gt;"",$AY751&lt;&gt;""),$AY751-$AX751,"")</f>
        <v/>
      </c>
      <c r="BJ751" s="53" t="str">
        <f aca="false">IF($J751&lt;&gt;"",$J751,"")</f>
        <v/>
      </c>
      <c r="BL751" s="52"/>
      <c r="BM751" s="52" t="str">
        <f aca="false">IF(OR(COUNT(B751:D1750)=0,AND('Choix pédagogiques'!$C$3&lt;&gt;1,'Choix pédagogiques'!$C$3&lt;&gt;2)),"",IF(AND(OR('Choix pédagogiques'!$C$3=1,'Choix pédagogiques'!$C$3=2),$B751&lt;&gt;"",$C751&lt;&gt;"",$D751&lt;&gt;""),1,0))</f>
        <v/>
      </c>
      <c r="BN751" s="52" t="str">
        <f aca="false">IF(OR(COUNT(G751:I1750)=0,AND('Choix pédagogiques'!$C$3&lt;&gt;1,'Choix pédagogiques'!$C$3&lt;&gt;2)),"",IF(AND(OR('Choix pédagogiques'!$C$3=1,'Choix pédagogiques'!$C$3=2),AND($G751&lt;&gt;"",$H751&lt;&gt;"",$I751&lt;&gt;"")),1,0))</f>
        <v/>
      </c>
      <c r="BO751" s="52" t="str">
        <f aca="false">IF(OR(COUNT(B751:D1750)=0,COUNT(G751:I1750)=0,'Choix pédagogiques'!C$3&lt;&gt;3),"",IF(AND('Choix pédagogiques'!$C$3=3,$B751&lt;&gt;"",$C751&lt;&gt;"",$D751&lt;&gt;"",$G751&lt;&gt;"",$H751&lt;&gt;"",$I751&lt;&gt;""),1,0))</f>
        <v/>
      </c>
      <c r="BR751" s="52" t="n">
        <v>234</v>
      </c>
      <c r="BS751" s="52" t="n">
        <v>1959</v>
      </c>
    </row>
    <row r="752" s="54" customFormat="true" ht="18" hidden="false" customHeight="true" outlineLevel="0" collapsed="false">
      <c r="A752" s="57" t="s">
        <v>1435</v>
      </c>
      <c r="B752" s="51"/>
      <c r="C752" s="51"/>
      <c r="D752" s="51"/>
      <c r="E752" s="51"/>
      <c r="F752" s="57" t="s">
        <v>1436</v>
      </c>
      <c r="G752" s="51"/>
      <c r="H752" s="51"/>
      <c r="I752" s="51"/>
      <c r="J752" s="51"/>
      <c r="K752" s="52" t="str">
        <f aca="false">IF($A752&lt;&gt;"",$A752,"")</f>
        <v>Apprenant 740</v>
      </c>
      <c r="L752" s="53" t="str">
        <f aca="false">IF(AND($B752&lt;&gt;"",$C752&lt;&gt;""),$C752-$B752,"")</f>
        <v/>
      </c>
      <c r="M752" s="53" t="str">
        <f aca="false">IF(AND($B752&lt;&gt;"",$D752&lt;&gt;""),$D752-$B752,"")</f>
        <v/>
      </c>
      <c r="N752" s="53" t="str">
        <f aca="false">IF(AND($C752&lt;&gt;"",$D752&lt;&gt;""),$D752-$C752,"")</f>
        <v/>
      </c>
      <c r="O752" s="53" t="str">
        <f aca="false">IF($E752&lt;&gt;"",$E752,"")</f>
        <v/>
      </c>
      <c r="P752" s="52" t="str">
        <f aca="false">IF($F752&lt;&gt;"",$F752,"")</f>
        <v>Apprenant 740 ou 740'</v>
      </c>
      <c r="Q752" s="53" t="str">
        <f aca="false">IF(AND($G752&lt;&gt;"",$H752&lt;&gt;""),$H752-$G752,"")</f>
        <v/>
      </c>
      <c r="R752" s="53" t="str">
        <f aca="false">IF(AND($G752&lt;&gt;"",$I752&lt;&gt;""),$I752-$G752,"")</f>
        <v/>
      </c>
      <c r="S752" s="53" t="str">
        <f aca="false">IF(AND($H752&lt;&gt;"",$I752&lt;&gt;""),$I752-$H752,"")</f>
        <v/>
      </c>
      <c r="T752" s="53" t="str">
        <f aca="false">IF($J752&lt;&gt;"",$J752,"")</f>
        <v/>
      </c>
      <c r="V752" s="52" t="str">
        <f aca="false">IF($A752&lt;&gt;"",$A752,"")</f>
        <v>Apprenant 740</v>
      </c>
      <c r="W752" s="53" t="str">
        <f aca="false">IF(AND(OR('Choix pédagogiques'!$C$3=1,'Choix pédagogiques'!$C$3=2),$BM752=1),B752,IF(AND('Choix pédagogiques'!$C$3=3,$BO752=1),B752,""))</f>
        <v/>
      </c>
      <c r="X752" s="53" t="str">
        <f aca="false">IF(AND(OR('Choix pédagogiques'!$C$3=1,'Choix pédagogiques'!$C$3=2),$BM752=1),C752,IF(AND('Choix pédagogiques'!$C$3=3,$BO752=1),C752,""))</f>
        <v/>
      </c>
      <c r="Y752" s="53" t="str">
        <f aca="false">IF(AND(OR('Choix pédagogiques'!$C$3=1,'Choix pédagogiques'!$C$3=2),$BM752=1),D752,IF(AND('Choix pédagogiques'!$C$3=3,$BO752=1),D752,""))</f>
        <v/>
      </c>
      <c r="Z752" s="53" t="str">
        <f aca="false">IF($E752&lt;&gt;"",$E752,"")</f>
        <v/>
      </c>
      <c r="AA752" s="52" t="str">
        <f aca="false">IF($F752&lt;&gt;"",$F752,"")</f>
        <v>Apprenant 740 ou 740'</v>
      </c>
      <c r="AB752" s="53" t="str">
        <f aca="false">IF(AND(OR('Choix pédagogiques'!$C$3=1,'Choix pédagogiques'!$C$3=2),$BN752=1),G752,IF(AND('Choix pédagogiques'!$C$3=3,$BO752=1),G752,""))</f>
        <v/>
      </c>
      <c r="AC752" s="53" t="str">
        <f aca="false">IF(AND(OR('Choix pédagogiques'!$C$3=1,'Choix pédagogiques'!$C$3=2),$BN752=1),H752,IF(AND('Choix pédagogiques'!$C$3=3,$BO752=1),H752,""))</f>
        <v/>
      </c>
      <c r="AD752" s="53" t="str">
        <f aca="false">IF(AND(OR('Choix pédagogiques'!$C$3=1,'Choix pédagogiques'!$C$3=2),$BN752=1),I752,IF(AND('Choix pédagogiques'!$C$3=3,$BO752=1),I752,""))</f>
        <v/>
      </c>
      <c r="AE752" s="53" t="str">
        <f aca="false">IF($J752&lt;&gt;"",$J752,"")</f>
        <v/>
      </c>
      <c r="AF752" s="52" t="str">
        <f aca="false">IF($A752&lt;&gt;"",$A752,"")</f>
        <v>Apprenant 740</v>
      </c>
      <c r="AG752" s="53" t="str">
        <f aca="false">IF(AND($W752&lt;&gt;"",$X752&lt;&gt;""),$X752-$W752,"")</f>
        <v/>
      </c>
      <c r="AH752" s="53" t="str">
        <f aca="false">IF(AND($W752&lt;&gt;"",$Y752&lt;&gt;""),$Y752-$W752,"")</f>
        <v/>
      </c>
      <c r="AI752" s="53" t="str">
        <f aca="false">IF(AND($X752&lt;&gt;"",$Y752&lt;&gt;""),$Y752-$X752,"")</f>
        <v/>
      </c>
      <c r="AJ752" s="53" t="str">
        <f aca="false">IF($E752&lt;&gt;"",$E752,"")</f>
        <v/>
      </c>
      <c r="AK752" s="52" t="str">
        <f aca="false">IF($F752&lt;&gt;"",$F752,"")</f>
        <v>Apprenant 740 ou 740'</v>
      </c>
      <c r="AL752" s="53" t="str">
        <f aca="false">IF(AND($AB752&lt;&gt;"",$AC752&lt;&gt;""),$AC752-$AB752,"")</f>
        <v/>
      </c>
      <c r="AM752" s="53" t="str">
        <f aca="false">IF(AND($AB752&lt;&gt;"",$AD752&lt;&gt;""),$AD752-$AB752,"")</f>
        <v/>
      </c>
      <c r="AN752" s="53" t="str">
        <f aca="false">IF(AND($AC752&lt;&gt;"",$AD752&lt;&gt;""),$AD752-$AC752,"")</f>
        <v/>
      </c>
      <c r="AO752" s="53" t="str">
        <f aca="false">IF($J752&lt;&gt;"",$J752,"")</f>
        <v/>
      </c>
      <c r="AQ752" s="52" t="str">
        <f aca="false">IF($A752&lt;&gt;"",$A752,"")</f>
        <v>Apprenant 740</v>
      </c>
      <c r="AR752" s="55" t="str">
        <f aca="false">IF(AND('Choix pédagogiques'!$C$4&lt;&gt;"?",'Choix pédagogiques'!$C$5&lt;&gt;"?",W752&lt;&gt;""),(W752-'Choix pédagogiques'!$C$4)/('Choix pédagogiques'!$C$5-'Choix pédagogiques'!$C$4),"")</f>
        <v/>
      </c>
      <c r="AS752" s="55" t="str">
        <f aca="false">IF(AND('Choix pédagogiques'!$C$4&lt;&gt;"?",'Choix pédagogiques'!$C$5&lt;&gt;"?",X752&lt;&gt;""),(X752-'Choix pédagogiques'!$C$4)/('Choix pédagogiques'!$C$5-'Choix pédagogiques'!$C$4),"")</f>
        <v/>
      </c>
      <c r="AT752" s="55" t="str">
        <f aca="false">IF(AND('Choix pédagogiques'!$C$4&lt;&gt;"?",'Choix pédagogiques'!$C$5&lt;&gt;"?",Y752&lt;&gt;""),(Y752-'Choix pédagogiques'!$C$4)/('Choix pédagogiques'!$C$5-'Choix pédagogiques'!$C$4),"")</f>
        <v/>
      </c>
      <c r="AU752" s="53" t="str">
        <f aca="false">IF($E752&lt;&gt;"",$E752,"")</f>
        <v/>
      </c>
      <c r="AV752" s="52" t="str">
        <f aca="false">IF($F752&lt;&gt;"",$F752,"")</f>
        <v>Apprenant 740 ou 740'</v>
      </c>
      <c r="AW752" s="55" t="str">
        <f aca="false">IF(AND('Choix pédagogiques'!$C$4&lt;&gt;"?",'Choix pédagogiques'!$C$5&lt;&gt;"?",AB752&lt;&gt;""),(AB752-'Choix pédagogiques'!$C$4)/('Choix pédagogiques'!$C$5-'Choix pédagogiques'!$C$4),"")</f>
        <v/>
      </c>
      <c r="AX752" s="55" t="str">
        <f aca="false">IF(AND('Choix pédagogiques'!$C$4&lt;&gt;"?",'Choix pédagogiques'!$C$5&lt;&gt;"?",AC752&lt;&gt;""),(AC752-'Choix pédagogiques'!$C$4)/('Choix pédagogiques'!$C$5-'Choix pédagogiques'!$C$4),"")</f>
        <v/>
      </c>
      <c r="AY752" s="55" t="str">
        <f aca="false">IF(AND('Choix pédagogiques'!$C$4&lt;&gt;"?",'Choix pédagogiques'!$C$5&lt;&gt;"?",AD752&lt;&gt;""),(AD752-'Choix pédagogiques'!$C$4)/('Choix pédagogiques'!$C$5-'Choix pédagogiques'!$C$4),"")</f>
        <v/>
      </c>
      <c r="AZ752" s="53" t="str">
        <f aca="false">IF($J752&lt;&gt;"",$J752,"")</f>
        <v/>
      </c>
      <c r="BA752" s="52" t="str">
        <f aca="false">IF($A752&lt;&gt;"",$A752,"")</f>
        <v>Apprenant 740</v>
      </c>
      <c r="BB752" s="55" t="str">
        <f aca="false">IF(AND($AR752&lt;&gt;"",$AS752&lt;&gt;""),$AS752-$AR752,"")</f>
        <v/>
      </c>
      <c r="BC752" s="55" t="str">
        <f aca="false">IF(AND($AR752&lt;&gt;"",$AT752&lt;&gt;""),$AT752-$AR752,"")</f>
        <v/>
      </c>
      <c r="BD752" s="55" t="str">
        <f aca="false">IF(AND($AS752&lt;&gt;"",$AT752&lt;&gt;""),$AT752-$AS752,"")</f>
        <v/>
      </c>
      <c r="BE752" s="53" t="str">
        <f aca="false">IF($E752&lt;&gt;"",$E752,"")</f>
        <v/>
      </c>
      <c r="BF752" s="52" t="str">
        <f aca="false">IF($F752&lt;&gt;"",$F752,"")</f>
        <v>Apprenant 740 ou 740'</v>
      </c>
      <c r="BG752" s="55" t="str">
        <f aca="false">IF(AND($AW752&lt;&gt;"",$AX752&lt;&gt;""),$AX752-$AW752,"")</f>
        <v/>
      </c>
      <c r="BH752" s="55" t="str">
        <f aca="false">IF(AND($AW752&lt;&gt;"",$AY752&lt;&gt;""),$AY752-$AW752,"")</f>
        <v/>
      </c>
      <c r="BI752" s="55" t="str">
        <f aca="false">IF(AND($AX752&lt;&gt;"",$AY752&lt;&gt;""),$AY752-$AX752,"")</f>
        <v/>
      </c>
      <c r="BJ752" s="53" t="str">
        <f aca="false">IF($J752&lt;&gt;"",$J752,"")</f>
        <v/>
      </c>
      <c r="BL752" s="52"/>
      <c r="BM752" s="52" t="str">
        <f aca="false">IF(OR(COUNT(B752:D1751)=0,AND('Choix pédagogiques'!$C$3&lt;&gt;1,'Choix pédagogiques'!$C$3&lt;&gt;2)),"",IF(AND(OR('Choix pédagogiques'!$C$3=1,'Choix pédagogiques'!$C$3=2),$B752&lt;&gt;"",$C752&lt;&gt;"",$D752&lt;&gt;""),1,0))</f>
        <v/>
      </c>
      <c r="BN752" s="52" t="str">
        <f aca="false">IF(OR(COUNT(G752:I1751)=0,AND('Choix pédagogiques'!$C$3&lt;&gt;1,'Choix pédagogiques'!$C$3&lt;&gt;2)),"",IF(AND(OR('Choix pédagogiques'!$C$3=1,'Choix pédagogiques'!$C$3=2),AND($G752&lt;&gt;"",$H752&lt;&gt;"",$I752&lt;&gt;"")),1,0))</f>
        <v/>
      </c>
      <c r="BO752" s="52" t="str">
        <f aca="false">IF(OR(COUNT(B752:D1751)=0,COUNT(G752:I1751)=0,'Choix pédagogiques'!C$3&lt;&gt;3),"",IF(AND('Choix pédagogiques'!$C$3=3,$B752&lt;&gt;"",$C752&lt;&gt;"",$D752&lt;&gt;"",$G752&lt;&gt;"",$H752&lt;&gt;"",$I752&lt;&gt;""),1,0))</f>
        <v/>
      </c>
      <c r="BR752" s="52" t="n">
        <v>541</v>
      </c>
      <c r="BS752" s="52" t="n">
        <v>1878</v>
      </c>
    </row>
    <row r="753" s="54" customFormat="true" ht="18" hidden="false" customHeight="true" outlineLevel="0" collapsed="false">
      <c r="A753" s="57" t="s">
        <v>1437</v>
      </c>
      <c r="B753" s="51"/>
      <c r="C753" s="51"/>
      <c r="D753" s="51"/>
      <c r="E753" s="51"/>
      <c r="F753" s="57" t="s">
        <v>1438</v>
      </c>
      <c r="G753" s="51"/>
      <c r="H753" s="51"/>
      <c r="I753" s="51"/>
      <c r="J753" s="51"/>
      <c r="K753" s="52" t="str">
        <f aca="false">IF($A753&lt;&gt;"",$A753,"")</f>
        <v>Apprenant 741</v>
      </c>
      <c r="L753" s="53" t="str">
        <f aca="false">IF(AND($B753&lt;&gt;"",$C753&lt;&gt;""),$C753-$B753,"")</f>
        <v/>
      </c>
      <c r="M753" s="53" t="str">
        <f aca="false">IF(AND($B753&lt;&gt;"",$D753&lt;&gt;""),$D753-$B753,"")</f>
        <v/>
      </c>
      <c r="N753" s="53" t="str">
        <f aca="false">IF(AND($C753&lt;&gt;"",$D753&lt;&gt;""),$D753-$C753,"")</f>
        <v/>
      </c>
      <c r="O753" s="53" t="str">
        <f aca="false">IF($E753&lt;&gt;"",$E753,"")</f>
        <v/>
      </c>
      <c r="P753" s="52" t="str">
        <f aca="false">IF($F753&lt;&gt;"",$F753,"")</f>
        <v>Apprenant 741 ou 741'</v>
      </c>
      <c r="Q753" s="53" t="str">
        <f aca="false">IF(AND($G753&lt;&gt;"",$H753&lt;&gt;""),$H753-$G753,"")</f>
        <v/>
      </c>
      <c r="R753" s="53" t="str">
        <f aca="false">IF(AND($G753&lt;&gt;"",$I753&lt;&gt;""),$I753-$G753,"")</f>
        <v/>
      </c>
      <c r="S753" s="53" t="str">
        <f aca="false">IF(AND($H753&lt;&gt;"",$I753&lt;&gt;""),$I753-$H753,"")</f>
        <v/>
      </c>
      <c r="T753" s="53" t="str">
        <f aca="false">IF($J753&lt;&gt;"",$J753,"")</f>
        <v/>
      </c>
      <c r="V753" s="52" t="str">
        <f aca="false">IF($A753&lt;&gt;"",$A753,"")</f>
        <v>Apprenant 741</v>
      </c>
      <c r="W753" s="53" t="str">
        <f aca="false">IF(AND(OR('Choix pédagogiques'!$C$3=1,'Choix pédagogiques'!$C$3=2),$BM753=1),B753,IF(AND('Choix pédagogiques'!$C$3=3,$BO753=1),B753,""))</f>
        <v/>
      </c>
      <c r="X753" s="53" t="str">
        <f aca="false">IF(AND(OR('Choix pédagogiques'!$C$3=1,'Choix pédagogiques'!$C$3=2),$BM753=1),C753,IF(AND('Choix pédagogiques'!$C$3=3,$BO753=1),C753,""))</f>
        <v/>
      </c>
      <c r="Y753" s="53" t="str">
        <f aca="false">IF(AND(OR('Choix pédagogiques'!$C$3=1,'Choix pédagogiques'!$C$3=2),$BM753=1),D753,IF(AND('Choix pédagogiques'!$C$3=3,$BO753=1),D753,""))</f>
        <v/>
      </c>
      <c r="Z753" s="53" t="str">
        <f aca="false">IF($E753&lt;&gt;"",$E753,"")</f>
        <v/>
      </c>
      <c r="AA753" s="52" t="str">
        <f aca="false">IF($F753&lt;&gt;"",$F753,"")</f>
        <v>Apprenant 741 ou 741'</v>
      </c>
      <c r="AB753" s="53" t="str">
        <f aca="false">IF(AND(OR('Choix pédagogiques'!$C$3=1,'Choix pédagogiques'!$C$3=2),$BN753=1),G753,IF(AND('Choix pédagogiques'!$C$3=3,$BO753=1),G753,""))</f>
        <v/>
      </c>
      <c r="AC753" s="53" t="str">
        <f aca="false">IF(AND(OR('Choix pédagogiques'!$C$3=1,'Choix pédagogiques'!$C$3=2),$BN753=1),H753,IF(AND('Choix pédagogiques'!$C$3=3,$BO753=1),H753,""))</f>
        <v/>
      </c>
      <c r="AD753" s="53" t="str">
        <f aca="false">IF(AND(OR('Choix pédagogiques'!$C$3=1,'Choix pédagogiques'!$C$3=2),$BN753=1),I753,IF(AND('Choix pédagogiques'!$C$3=3,$BO753=1),I753,""))</f>
        <v/>
      </c>
      <c r="AE753" s="53" t="str">
        <f aca="false">IF($J753&lt;&gt;"",$J753,"")</f>
        <v/>
      </c>
      <c r="AF753" s="52" t="str">
        <f aca="false">IF($A753&lt;&gt;"",$A753,"")</f>
        <v>Apprenant 741</v>
      </c>
      <c r="AG753" s="53" t="str">
        <f aca="false">IF(AND($W753&lt;&gt;"",$X753&lt;&gt;""),$X753-$W753,"")</f>
        <v/>
      </c>
      <c r="AH753" s="53" t="str">
        <f aca="false">IF(AND($W753&lt;&gt;"",$Y753&lt;&gt;""),$Y753-$W753,"")</f>
        <v/>
      </c>
      <c r="AI753" s="53" t="str">
        <f aca="false">IF(AND($X753&lt;&gt;"",$Y753&lt;&gt;""),$Y753-$X753,"")</f>
        <v/>
      </c>
      <c r="AJ753" s="53" t="str">
        <f aca="false">IF($E753&lt;&gt;"",$E753,"")</f>
        <v/>
      </c>
      <c r="AK753" s="52" t="str">
        <f aca="false">IF($F753&lt;&gt;"",$F753,"")</f>
        <v>Apprenant 741 ou 741'</v>
      </c>
      <c r="AL753" s="53" t="str">
        <f aca="false">IF(AND($AB753&lt;&gt;"",$AC753&lt;&gt;""),$AC753-$AB753,"")</f>
        <v/>
      </c>
      <c r="AM753" s="53" t="str">
        <f aca="false">IF(AND($AB753&lt;&gt;"",$AD753&lt;&gt;""),$AD753-$AB753,"")</f>
        <v/>
      </c>
      <c r="AN753" s="53" t="str">
        <f aca="false">IF(AND($AC753&lt;&gt;"",$AD753&lt;&gt;""),$AD753-$AC753,"")</f>
        <v/>
      </c>
      <c r="AO753" s="53" t="str">
        <f aca="false">IF($J753&lt;&gt;"",$J753,"")</f>
        <v/>
      </c>
      <c r="AQ753" s="52" t="str">
        <f aca="false">IF($A753&lt;&gt;"",$A753,"")</f>
        <v>Apprenant 741</v>
      </c>
      <c r="AR753" s="55" t="str">
        <f aca="false">IF(AND('Choix pédagogiques'!$C$4&lt;&gt;"?",'Choix pédagogiques'!$C$5&lt;&gt;"?",W753&lt;&gt;""),(W753-'Choix pédagogiques'!$C$4)/('Choix pédagogiques'!$C$5-'Choix pédagogiques'!$C$4),"")</f>
        <v/>
      </c>
      <c r="AS753" s="55" t="str">
        <f aca="false">IF(AND('Choix pédagogiques'!$C$4&lt;&gt;"?",'Choix pédagogiques'!$C$5&lt;&gt;"?",X753&lt;&gt;""),(X753-'Choix pédagogiques'!$C$4)/('Choix pédagogiques'!$C$5-'Choix pédagogiques'!$C$4),"")</f>
        <v/>
      </c>
      <c r="AT753" s="55" t="str">
        <f aca="false">IF(AND('Choix pédagogiques'!$C$4&lt;&gt;"?",'Choix pédagogiques'!$C$5&lt;&gt;"?",Y753&lt;&gt;""),(Y753-'Choix pédagogiques'!$C$4)/('Choix pédagogiques'!$C$5-'Choix pédagogiques'!$C$4),"")</f>
        <v/>
      </c>
      <c r="AU753" s="53" t="str">
        <f aca="false">IF($E753&lt;&gt;"",$E753,"")</f>
        <v/>
      </c>
      <c r="AV753" s="52" t="str">
        <f aca="false">IF($F753&lt;&gt;"",$F753,"")</f>
        <v>Apprenant 741 ou 741'</v>
      </c>
      <c r="AW753" s="55" t="str">
        <f aca="false">IF(AND('Choix pédagogiques'!$C$4&lt;&gt;"?",'Choix pédagogiques'!$C$5&lt;&gt;"?",AB753&lt;&gt;""),(AB753-'Choix pédagogiques'!$C$4)/('Choix pédagogiques'!$C$5-'Choix pédagogiques'!$C$4),"")</f>
        <v/>
      </c>
      <c r="AX753" s="55" t="str">
        <f aca="false">IF(AND('Choix pédagogiques'!$C$4&lt;&gt;"?",'Choix pédagogiques'!$C$5&lt;&gt;"?",AC753&lt;&gt;""),(AC753-'Choix pédagogiques'!$C$4)/('Choix pédagogiques'!$C$5-'Choix pédagogiques'!$C$4),"")</f>
        <v/>
      </c>
      <c r="AY753" s="55" t="str">
        <f aca="false">IF(AND('Choix pédagogiques'!$C$4&lt;&gt;"?",'Choix pédagogiques'!$C$5&lt;&gt;"?",AD753&lt;&gt;""),(AD753-'Choix pédagogiques'!$C$4)/('Choix pédagogiques'!$C$5-'Choix pédagogiques'!$C$4),"")</f>
        <v/>
      </c>
      <c r="AZ753" s="53" t="str">
        <f aca="false">IF($J753&lt;&gt;"",$J753,"")</f>
        <v/>
      </c>
      <c r="BA753" s="52" t="str">
        <f aca="false">IF($A753&lt;&gt;"",$A753,"")</f>
        <v>Apprenant 741</v>
      </c>
      <c r="BB753" s="55" t="str">
        <f aca="false">IF(AND($AR753&lt;&gt;"",$AS753&lt;&gt;""),$AS753-$AR753,"")</f>
        <v/>
      </c>
      <c r="BC753" s="55" t="str">
        <f aca="false">IF(AND($AR753&lt;&gt;"",$AT753&lt;&gt;""),$AT753-$AR753,"")</f>
        <v/>
      </c>
      <c r="BD753" s="55" t="str">
        <f aca="false">IF(AND($AS753&lt;&gt;"",$AT753&lt;&gt;""),$AT753-$AS753,"")</f>
        <v/>
      </c>
      <c r="BE753" s="53" t="str">
        <f aca="false">IF($E753&lt;&gt;"",$E753,"")</f>
        <v/>
      </c>
      <c r="BF753" s="52" t="str">
        <f aca="false">IF($F753&lt;&gt;"",$F753,"")</f>
        <v>Apprenant 741 ou 741'</v>
      </c>
      <c r="BG753" s="55" t="str">
        <f aca="false">IF(AND($AW753&lt;&gt;"",$AX753&lt;&gt;""),$AX753-$AW753,"")</f>
        <v/>
      </c>
      <c r="BH753" s="55" t="str">
        <f aca="false">IF(AND($AW753&lt;&gt;"",$AY753&lt;&gt;""),$AY753-$AW753,"")</f>
        <v/>
      </c>
      <c r="BI753" s="55" t="str">
        <f aca="false">IF(AND($AX753&lt;&gt;"",$AY753&lt;&gt;""),$AY753-$AX753,"")</f>
        <v/>
      </c>
      <c r="BJ753" s="53" t="str">
        <f aca="false">IF($J753&lt;&gt;"",$J753,"")</f>
        <v/>
      </c>
      <c r="BL753" s="52"/>
      <c r="BM753" s="52" t="str">
        <f aca="false">IF(OR(COUNT(B753:D1752)=0,AND('Choix pédagogiques'!$C$3&lt;&gt;1,'Choix pédagogiques'!$C$3&lt;&gt;2)),"",IF(AND(OR('Choix pédagogiques'!$C$3=1,'Choix pédagogiques'!$C$3=2),$B753&lt;&gt;"",$C753&lt;&gt;"",$D753&lt;&gt;""),1,0))</f>
        <v/>
      </c>
      <c r="BN753" s="52" t="str">
        <f aca="false">IF(OR(COUNT(G753:I1752)=0,AND('Choix pédagogiques'!$C$3&lt;&gt;1,'Choix pédagogiques'!$C$3&lt;&gt;2)),"",IF(AND(OR('Choix pédagogiques'!$C$3=1,'Choix pédagogiques'!$C$3=2),AND($G753&lt;&gt;"",$H753&lt;&gt;"",$I753&lt;&gt;"")),1,0))</f>
        <v/>
      </c>
      <c r="BO753" s="52" t="str">
        <f aca="false">IF(OR(COUNT(B753:D1752)=0,COUNT(G753:I1752)=0,'Choix pédagogiques'!C$3&lt;&gt;3),"",IF(AND('Choix pédagogiques'!$C$3=3,$B753&lt;&gt;"",$C753&lt;&gt;"",$D753&lt;&gt;"",$G753&lt;&gt;"",$H753&lt;&gt;"",$I753&lt;&gt;""),1,0))</f>
        <v/>
      </c>
      <c r="BR753" s="52" t="n">
        <v>651</v>
      </c>
      <c r="BS753" s="52" t="n">
        <v>1587</v>
      </c>
    </row>
    <row r="754" s="54" customFormat="true" ht="18" hidden="false" customHeight="true" outlineLevel="0" collapsed="false">
      <c r="A754" s="57" t="s">
        <v>1439</v>
      </c>
      <c r="B754" s="51"/>
      <c r="C754" s="51"/>
      <c r="D754" s="51"/>
      <c r="E754" s="51"/>
      <c r="F754" s="57" t="s">
        <v>1440</v>
      </c>
      <c r="G754" s="51"/>
      <c r="H754" s="51"/>
      <c r="I754" s="51"/>
      <c r="J754" s="51"/>
      <c r="K754" s="52" t="str">
        <f aca="false">IF($A754&lt;&gt;"",$A754,"")</f>
        <v>Apprenant 742</v>
      </c>
      <c r="L754" s="53" t="str">
        <f aca="false">IF(AND($B754&lt;&gt;"",$C754&lt;&gt;""),$C754-$B754,"")</f>
        <v/>
      </c>
      <c r="M754" s="53" t="str">
        <f aca="false">IF(AND($B754&lt;&gt;"",$D754&lt;&gt;""),$D754-$B754,"")</f>
        <v/>
      </c>
      <c r="N754" s="53" t="str">
        <f aca="false">IF(AND($C754&lt;&gt;"",$D754&lt;&gt;""),$D754-$C754,"")</f>
        <v/>
      </c>
      <c r="O754" s="53" t="str">
        <f aca="false">IF($E754&lt;&gt;"",$E754,"")</f>
        <v/>
      </c>
      <c r="P754" s="52" t="str">
        <f aca="false">IF($F754&lt;&gt;"",$F754,"")</f>
        <v>Apprenant 742 ou 742'</v>
      </c>
      <c r="Q754" s="53" t="str">
        <f aca="false">IF(AND($G754&lt;&gt;"",$H754&lt;&gt;""),$H754-$G754,"")</f>
        <v/>
      </c>
      <c r="R754" s="53" t="str">
        <f aca="false">IF(AND($G754&lt;&gt;"",$I754&lt;&gt;""),$I754-$G754,"")</f>
        <v/>
      </c>
      <c r="S754" s="53" t="str">
        <f aca="false">IF(AND($H754&lt;&gt;"",$I754&lt;&gt;""),$I754-$H754,"")</f>
        <v/>
      </c>
      <c r="T754" s="53" t="str">
        <f aca="false">IF($J754&lt;&gt;"",$J754,"")</f>
        <v/>
      </c>
      <c r="V754" s="52" t="str">
        <f aca="false">IF($A754&lt;&gt;"",$A754,"")</f>
        <v>Apprenant 742</v>
      </c>
      <c r="W754" s="53" t="str">
        <f aca="false">IF(AND(OR('Choix pédagogiques'!$C$3=1,'Choix pédagogiques'!$C$3=2),$BM754=1),B754,IF(AND('Choix pédagogiques'!$C$3=3,$BO754=1),B754,""))</f>
        <v/>
      </c>
      <c r="X754" s="53" t="str">
        <f aca="false">IF(AND(OR('Choix pédagogiques'!$C$3=1,'Choix pédagogiques'!$C$3=2),$BM754=1),C754,IF(AND('Choix pédagogiques'!$C$3=3,$BO754=1),C754,""))</f>
        <v/>
      </c>
      <c r="Y754" s="53" t="str">
        <f aca="false">IF(AND(OR('Choix pédagogiques'!$C$3=1,'Choix pédagogiques'!$C$3=2),$BM754=1),D754,IF(AND('Choix pédagogiques'!$C$3=3,$BO754=1),D754,""))</f>
        <v/>
      </c>
      <c r="Z754" s="53" t="str">
        <f aca="false">IF($E754&lt;&gt;"",$E754,"")</f>
        <v/>
      </c>
      <c r="AA754" s="52" t="str">
        <f aca="false">IF($F754&lt;&gt;"",$F754,"")</f>
        <v>Apprenant 742 ou 742'</v>
      </c>
      <c r="AB754" s="53" t="str">
        <f aca="false">IF(AND(OR('Choix pédagogiques'!$C$3=1,'Choix pédagogiques'!$C$3=2),$BN754=1),G754,IF(AND('Choix pédagogiques'!$C$3=3,$BO754=1),G754,""))</f>
        <v/>
      </c>
      <c r="AC754" s="53" t="str">
        <f aca="false">IF(AND(OR('Choix pédagogiques'!$C$3=1,'Choix pédagogiques'!$C$3=2),$BN754=1),H754,IF(AND('Choix pédagogiques'!$C$3=3,$BO754=1),H754,""))</f>
        <v/>
      </c>
      <c r="AD754" s="53" t="str">
        <f aca="false">IF(AND(OR('Choix pédagogiques'!$C$3=1,'Choix pédagogiques'!$C$3=2),$BN754=1),I754,IF(AND('Choix pédagogiques'!$C$3=3,$BO754=1),I754,""))</f>
        <v/>
      </c>
      <c r="AE754" s="53" t="str">
        <f aca="false">IF($J754&lt;&gt;"",$J754,"")</f>
        <v/>
      </c>
      <c r="AF754" s="52" t="str">
        <f aca="false">IF($A754&lt;&gt;"",$A754,"")</f>
        <v>Apprenant 742</v>
      </c>
      <c r="AG754" s="53" t="str">
        <f aca="false">IF(AND($W754&lt;&gt;"",$X754&lt;&gt;""),$X754-$W754,"")</f>
        <v/>
      </c>
      <c r="AH754" s="53" t="str">
        <f aca="false">IF(AND($W754&lt;&gt;"",$Y754&lt;&gt;""),$Y754-$W754,"")</f>
        <v/>
      </c>
      <c r="AI754" s="53" t="str">
        <f aca="false">IF(AND($X754&lt;&gt;"",$Y754&lt;&gt;""),$Y754-$X754,"")</f>
        <v/>
      </c>
      <c r="AJ754" s="53" t="str">
        <f aca="false">IF($E754&lt;&gt;"",$E754,"")</f>
        <v/>
      </c>
      <c r="AK754" s="52" t="str">
        <f aca="false">IF($F754&lt;&gt;"",$F754,"")</f>
        <v>Apprenant 742 ou 742'</v>
      </c>
      <c r="AL754" s="53" t="str">
        <f aca="false">IF(AND($AB754&lt;&gt;"",$AC754&lt;&gt;""),$AC754-$AB754,"")</f>
        <v/>
      </c>
      <c r="AM754" s="53" t="str">
        <f aca="false">IF(AND($AB754&lt;&gt;"",$AD754&lt;&gt;""),$AD754-$AB754,"")</f>
        <v/>
      </c>
      <c r="AN754" s="53" t="str">
        <f aca="false">IF(AND($AC754&lt;&gt;"",$AD754&lt;&gt;""),$AD754-$AC754,"")</f>
        <v/>
      </c>
      <c r="AO754" s="53" t="str">
        <f aca="false">IF($J754&lt;&gt;"",$J754,"")</f>
        <v/>
      </c>
      <c r="AQ754" s="52" t="str">
        <f aca="false">IF($A754&lt;&gt;"",$A754,"")</f>
        <v>Apprenant 742</v>
      </c>
      <c r="AR754" s="55" t="str">
        <f aca="false">IF(AND('Choix pédagogiques'!$C$4&lt;&gt;"?",'Choix pédagogiques'!$C$5&lt;&gt;"?",W754&lt;&gt;""),(W754-'Choix pédagogiques'!$C$4)/('Choix pédagogiques'!$C$5-'Choix pédagogiques'!$C$4),"")</f>
        <v/>
      </c>
      <c r="AS754" s="55" t="str">
        <f aca="false">IF(AND('Choix pédagogiques'!$C$4&lt;&gt;"?",'Choix pédagogiques'!$C$5&lt;&gt;"?",X754&lt;&gt;""),(X754-'Choix pédagogiques'!$C$4)/('Choix pédagogiques'!$C$5-'Choix pédagogiques'!$C$4),"")</f>
        <v/>
      </c>
      <c r="AT754" s="55" t="str">
        <f aca="false">IF(AND('Choix pédagogiques'!$C$4&lt;&gt;"?",'Choix pédagogiques'!$C$5&lt;&gt;"?",Y754&lt;&gt;""),(Y754-'Choix pédagogiques'!$C$4)/('Choix pédagogiques'!$C$5-'Choix pédagogiques'!$C$4),"")</f>
        <v/>
      </c>
      <c r="AU754" s="53" t="str">
        <f aca="false">IF($E754&lt;&gt;"",$E754,"")</f>
        <v/>
      </c>
      <c r="AV754" s="52" t="str">
        <f aca="false">IF($F754&lt;&gt;"",$F754,"")</f>
        <v>Apprenant 742 ou 742'</v>
      </c>
      <c r="AW754" s="55" t="str">
        <f aca="false">IF(AND('Choix pédagogiques'!$C$4&lt;&gt;"?",'Choix pédagogiques'!$C$5&lt;&gt;"?",AB754&lt;&gt;""),(AB754-'Choix pédagogiques'!$C$4)/('Choix pédagogiques'!$C$5-'Choix pédagogiques'!$C$4),"")</f>
        <v/>
      </c>
      <c r="AX754" s="55" t="str">
        <f aca="false">IF(AND('Choix pédagogiques'!$C$4&lt;&gt;"?",'Choix pédagogiques'!$C$5&lt;&gt;"?",AC754&lt;&gt;""),(AC754-'Choix pédagogiques'!$C$4)/('Choix pédagogiques'!$C$5-'Choix pédagogiques'!$C$4),"")</f>
        <v/>
      </c>
      <c r="AY754" s="55" t="str">
        <f aca="false">IF(AND('Choix pédagogiques'!$C$4&lt;&gt;"?",'Choix pédagogiques'!$C$5&lt;&gt;"?",AD754&lt;&gt;""),(AD754-'Choix pédagogiques'!$C$4)/('Choix pédagogiques'!$C$5-'Choix pédagogiques'!$C$4),"")</f>
        <v/>
      </c>
      <c r="AZ754" s="53" t="str">
        <f aca="false">IF($J754&lt;&gt;"",$J754,"")</f>
        <v/>
      </c>
      <c r="BA754" s="52" t="str">
        <f aca="false">IF($A754&lt;&gt;"",$A754,"")</f>
        <v>Apprenant 742</v>
      </c>
      <c r="BB754" s="55" t="str">
        <f aca="false">IF(AND($AR754&lt;&gt;"",$AS754&lt;&gt;""),$AS754-$AR754,"")</f>
        <v/>
      </c>
      <c r="BC754" s="55" t="str">
        <f aca="false">IF(AND($AR754&lt;&gt;"",$AT754&lt;&gt;""),$AT754-$AR754,"")</f>
        <v/>
      </c>
      <c r="BD754" s="55" t="str">
        <f aca="false">IF(AND($AS754&lt;&gt;"",$AT754&lt;&gt;""),$AT754-$AS754,"")</f>
        <v/>
      </c>
      <c r="BE754" s="53" t="str">
        <f aca="false">IF($E754&lt;&gt;"",$E754,"")</f>
        <v/>
      </c>
      <c r="BF754" s="52" t="str">
        <f aca="false">IF($F754&lt;&gt;"",$F754,"")</f>
        <v>Apprenant 742 ou 742'</v>
      </c>
      <c r="BG754" s="55" t="str">
        <f aca="false">IF(AND($AW754&lt;&gt;"",$AX754&lt;&gt;""),$AX754-$AW754,"")</f>
        <v/>
      </c>
      <c r="BH754" s="55" t="str">
        <f aca="false">IF(AND($AW754&lt;&gt;"",$AY754&lt;&gt;""),$AY754-$AW754,"")</f>
        <v/>
      </c>
      <c r="BI754" s="55" t="str">
        <f aca="false">IF(AND($AX754&lt;&gt;"",$AY754&lt;&gt;""),$AY754-$AX754,"")</f>
        <v/>
      </c>
      <c r="BJ754" s="53" t="str">
        <f aca="false">IF($J754&lt;&gt;"",$J754,"")</f>
        <v/>
      </c>
      <c r="BL754" s="52"/>
      <c r="BM754" s="52" t="str">
        <f aca="false">IF(OR(COUNT(B754:D1753)=0,AND('Choix pédagogiques'!$C$3&lt;&gt;1,'Choix pédagogiques'!$C$3&lt;&gt;2)),"",IF(AND(OR('Choix pédagogiques'!$C$3=1,'Choix pédagogiques'!$C$3=2),$B754&lt;&gt;"",$C754&lt;&gt;"",$D754&lt;&gt;""),1,0))</f>
        <v/>
      </c>
      <c r="BN754" s="52" t="str">
        <f aca="false">IF(OR(COUNT(G754:I1753)=0,AND('Choix pédagogiques'!$C$3&lt;&gt;1,'Choix pédagogiques'!$C$3&lt;&gt;2)),"",IF(AND(OR('Choix pédagogiques'!$C$3=1,'Choix pédagogiques'!$C$3=2),AND($G754&lt;&gt;"",$H754&lt;&gt;"",$I754&lt;&gt;"")),1,0))</f>
        <v/>
      </c>
      <c r="BO754" s="52" t="str">
        <f aca="false">IF(OR(COUNT(B754:D1753)=0,COUNT(G754:I1753)=0,'Choix pédagogiques'!C$3&lt;&gt;3),"",IF(AND('Choix pédagogiques'!$C$3=3,$B754&lt;&gt;"",$C754&lt;&gt;"",$D754&lt;&gt;"",$G754&lt;&gt;"",$H754&lt;&gt;"",$I754&lt;&gt;""),1,0))</f>
        <v/>
      </c>
      <c r="BR754" s="52" t="n">
        <v>475</v>
      </c>
      <c r="BS754" s="52" t="n">
        <v>1776</v>
      </c>
    </row>
    <row r="755" s="54" customFormat="true" ht="18" hidden="false" customHeight="true" outlineLevel="0" collapsed="false">
      <c r="A755" s="57" t="s">
        <v>1441</v>
      </c>
      <c r="B755" s="51"/>
      <c r="C755" s="51"/>
      <c r="D755" s="51"/>
      <c r="E755" s="51"/>
      <c r="F755" s="57" t="s">
        <v>1442</v>
      </c>
      <c r="G755" s="51"/>
      <c r="H755" s="51"/>
      <c r="I755" s="51"/>
      <c r="J755" s="51"/>
      <c r="K755" s="52" t="str">
        <f aca="false">IF($A755&lt;&gt;"",$A755,"")</f>
        <v>Apprenant 743</v>
      </c>
      <c r="L755" s="53" t="str">
        <f aca="false">IF(AND($B755&lt;&gt;"",$C755&lt;&gt;""),$C755-$B755,"")</f>
        <v/>
      </c>
      <c r="M755" s="53" t="str">
        <f aca="false">IF(AND($B755&lt;&gt;"",$D755&lt;&gt;""),$D755-$B755,"")</f>
        <v/>
      </c>
      <c r="N755" s="53" t="str">
        <f aca="false">IF(AND($C755&lt;&gt;"",$D755&lt;&gt;""),$D755-$C755,"")</f>
        <v/>
      </c>
      <c r="O755" s="53" t="str">
        <f aca="false">IF($E755&lt;&gt;"",$E755,"")</f>
        <v/>
      </c>
      <c r="P755" s="52" t="str">
        <f aca="false">IF($F755&lt;&gt;"",$F755,"")</f>
        <v>Apprenant 743 ou 743'</v>
      </c>
      <c r="Q755" s="53" t="str">
        <f aca="false">IF(AND($G755&lt;&gt;"",$H755&lt;&gt;""),$H755-$G755,"")</f>
        <v/>
      </c>
      <c r="R755" s="53" t="str">
        <f aca="false">IF(AND($G755&lt;&gt;"",$I755&lt;&gt;""),$I755-$G755,"")</f>
        <v/>
      </c>
      <c r="S755" s="53" t="str">
        <f aca="false">IF(AND($H755&lt;&gt;"",$I755&lt;&gt;""),$I755-$H755,"")</f>
        <v/>
      </c>
      <c r="T755" s="53" t="str">
        <f aca="false">IF($J755&lt;&gt;"",$J755,"")</f>
        <v/>
      </c>
      <c r="V755" s="52" t="str">
        <f aca="false">IF($A755&lt;&gt;"",$A755,"")</f>
        <v>Apprenant 743</v>
      </c>
      <c r="W755" s="53" t="str">
        <f aca="false">IF(AND(OR('Choix pédagogiques'!$C$3=1,'Choix pédagogiques'!$C$3=2),$BM755=1),B755,IF(AND('Choix pédagogiques'!$C$3=3,$BO755=1),B755,""))</f>
        <v/>
      </c>
      <c r="X755" s="53" t="str">
        <f aca="false">IF(AND(OR('Choix pédagogiques'!$C$3=1,'Choix pédagogiques'!$C$3=2),$BM755=1),C755,IF(AND('Choix pédagogiques'!$C$3=3,$BO755=1),C755,""))</f>
        <v/>
      </c>
      <c r="Y755" s="53" t="str">
        <f aca="false">IF(AND(OR('Choix pédagogiques'!$C$3=1,'Choix pédagogiques'!$C$3=2),$BM755=1),D755,IF(AND('Choix pédagogiques'!$C$3=3,$BO755=1),D755,""))</f>
        <v/>
      </c>
      <c r="Z755" s="53" t="str">
        <f aca="false">IF($E755&lt;&gt;"",$E755,"")</f>
        <v/>
      </c>
      <c r="AA755" s="52" t="str">
        <f aca="false">IF($F755&lt;&gt;"",$F755,"")</f>
        <v>Apprenant 743 ou 743'</v>
      </c>
      <c r="AB755" s="53" t="str">
        <f aca="false">IF(AND(OR('Choix pédagogiques'!$C$3=1,'Choix pédagogiques'!$C$3=2),$BN755=1),G755,IF(AND('Choix pédagogiques'!$C$3=3,$BO755=1),G755,""))</f>
        <v/>
      </c>
      <c r="AC755" s="53" t="str">
        <f aca="false">IF(AND(OR('Choix pédagogiques'!$C$3=1,'Choix pédagogiques'!$C$3=2),$BN755=1),H755,IF(AND('Choix pédagogiques'!$C$3=3,$BO755=1),H755,""))</f>
        <v/>
      </c>
      <c r="AD755" s="53" t="str">
        <f aca="false">IF(AND(OR('Choix pédagogiques'!$C$3=1,'Choix pédagogiques'!$C$3=2),$BN755=1),I755,IF(AND('Choix pédagogiques'!$C$3=3,$BO755=1),I755,""))</f>
        <v/>
      </c>
      <c r="AE755" s="53" t="str">
        <f aca="false">IF($J755&lt;&gt;"",$J755,"")</f>
        <v/>
      </c>
      <c r="AF755" s="52" t="str">
        <f aca="false">IF($A755&lt;&gt;"",$A755,"")</f>
        <v>Apprenant 743</v>
      </c>
      <c r="AG755" s="53" t="str">
        <f aca="false">IF(AND($W755&lt;&gt;"",$X755&lt;&gt;""),$X755-$W755,"")</f>
        <v/>
      </c>
      <c r="AH755" s="53" t="str">
        <f aca="false">IF(AND($W755&lt;&gt;"",$Y755&lt;&gt;""),$Y755-$W755,"")</f>
        <v/>
      </c>
      <c r="AI755" s="53" t="str">
        <f aca="false">IF(AND($X755&lt;&gt;"",$Y755&lt;&gt;""),$Y755-$X755,"")</f>
        <v/>
      </c>
      <c r="AJ755" s="53" t="str">
        <f aca="false">IF($E755&lt;&gt;"",$E755,"")</f>
        <v/>
      </c>
      <c r="AK755" s="52" t="str">
        <f aca="false">IF($F755&lt;&gt;"",$F755,"")</f>
        <v>Apprenant 743 ou 743'</v>
      </c>
      <c r="AL755" s="53" t="str">
        <f aca="false">IF(AND($AB755&lt;&gt;"",$AC755&lt;&gt;""),$AC755-$AB755,"")</f>
        <v/>
      </c>
      <c r="AM755" s="53" t="str">
        <f aca="false">IF(AND($AB755&lt;&gt;"",$AD755&lt;&gt;""),$AD755-$AB755,"")</f>
        <v/>
      </c>
      <c r="AN755" s="53" t="str">
        <f aca="false">IF(AND($AC755&lt;&gt;"",$AD755&lt;&gt;""),$AD755-$AC755,"")</f>
        <v/>
      </c>
      <c r="AO755" s="53" t="str">
        <f aca="false">IF($J755&lt;&gt;"",$J755,"")</f>
        <v/>
      </c>
      <c r="AQ755" s="52" t="str">
        <f aca="false">IF($A755&lt;&gt;"",$A755,"")</f>
        <v>Apprenant 743</v>
      </c>
      <c r="AR755" s="55" t="str">
        <f aca="false">IF(AND('Choix pédagogiques'!$C$4&lt;&gt;"?",'Choix pédagogiques'!$C$5&lt;&gt;"?",W755&lt;&gt;""),(W755-'Choix pédagogiques'!$C$4)/('Choix pédagogiques'!$C$5-'Choix pédagogiques'!$C$4),"")</f>
        <v/>
      </c>
      <c r="AS755" s="55" t="str">
        <f aca="false">IF(AND('Choix pédagogiques'!$C$4&lt;&gt;"?",'Choix pédagogiques'!$C$5&lt;&gt;"?",X755&lt;&gt;""),(X755-'Choix pédagogiques'!$C$4)/('Choix pédagogiques'!$C$5-'Choix pédagogiques'!$C$4),"")</f>
        <v/>
      </c>
      <c r="AT755" s="55" t="str">
        <f aca="false">IF(AND('Choix pédagogiques'!$C$4&lt;&gt;"?",'Choix pédagogiques'!$C$5&lt;&gt;"?",Y755&lt;&gt;""),(Y755-'Choix pédagogiques'!$C$4)/('Choix pédagogiques'!$C$5-'Choix pédagogiques'!$C$4),"")</f>
        <v/>
      </c>
      <c r="AU755" s="53" t="str">
        <f aca="false">IF($E755&lt;&gt;"",$E755,"")</f>
        <v/>
      </c>
      <c r="AV755" s="52" t="str">
        <f aca="false">IF($F755&lt;&gt;"",$F755,"")</f>
        <v>Apprenant 743 ou 743'</v>
      </c>
      <c r="AW755" s="55" t="str">
        <f aca="false">IF(AND('Choix pédagogiques'!$C$4&lt;&gt;"?",'Choix pédagogiques'!$C$5&lt;&gt;"?",AB755&lt;&gt;""),(AB755-'Choix pédagogiques'!$C$4)/('Choix pédagogiques'!$C$5-'Choix pédagogiques'!$C$4),"")</f>
        <v/>
      </c>
      <c r="AX755" s="55" t="str">
        <f aca="false">IF(AND('Choix pédagogiques'!$C$4&lt;&gt;"?",'Choix pédagogiques'!$C$5&lt;&gt;"?",AC755&lt;&gt;""),(AC755-'Choix pédagogiques'!$C$4)/('Choix pédagogiques'!$C$5-'Choix pédagogiques'!$C$4),"")</f>
        <v/>
      </c>
      <c r="AY755" s="55" t="str">
        <f aca="false">IF(AND('Choix pédagogiques'!$C$4&lt;&gt;"?",'Choix pédagogiques'!$C$5&lt;&gt;"?",AD755&lt;&gt;""),(AD755-'Choix pédagogiques'!$C$4)/('Choix pédagogiques'!$C$5-'Choix pédagogiques'!$C$4),"")</f>
        <v/>
      </c>
      <c r="AZ755" s="53" t="str">
        <f aca="false">IF($J755&lt;&gt;"",$J755,"")</f>
        <v/>
      </c>
      <c r="BA755" s="52" t="str">
        <f aca="false">IF($A755&lt;&gt;"",$A755,"")</f>
        <v>Apprenant 743</v>
      </c>
      <c r="BB755" s="55" t="str">
        <f aca="false">IF(AND($AR755&lt;&gt;"",$AS755&lt;&gt;""),$AS755-$AR755,"")</f>
        <v/>
      </c>
      <c r="BC755" s="55" t="str">
        <f aca="false">IF(AND($AR755&lt;&gt;"",$AT755&lt;&gt;""),$AT755-$AR755,"")</f>
        <v/>
      </c>
      <c r="BD755" s="55" t="str">
        <f aca="false">IF(AND($AS755&lt;&gt;"",$AT755&lt;&gt;""),$AT755-$AS755,"")</f>
        <v/>
      </c>
      <c r="BE755" s="53" t="str">
        <f aca="false">IF($E755&lt;&gt;"",$E755,"")</f>
        <v/>
      </c>
      <c r="BF755" s="52" t="str">
        <f aca="false">IF($F755&lt;&gt;"",$F755,"")</f>
        <v>Apprenant 743 ou 743'</v>
      </c>
      <c r="BG755" s="55" t="str">
        <f aca="false">IF(AND($AW755&lt;&gt;"",$AX755&lt;&gt;""),$AX755-$AW755,"")</f>
        <v/>
      </c>
      <c r="BH755" s="55" t="str">
        <f aca="false">IF(AND($AW755&lt;&gt;"",$AY755&lt;&gt;""),$AY755-$AW755,"")</f>
        <v/>
      </c>
      <c r="BI755" s="55" t="str">
        <f aca="false">IF(AND($AX755&lt;&gt;"",$AY755&lt;&gt;""),$AY755-$AX755,"")</f>
        <v/>
      </c>
      <c r="BJ755" s="53" t="str">
        <f aca="false">IF($J755&lt;&gt;"",$J755,"")</f>
        <v/>
      </c>
      <c r="BL755" s="52"/>
      <c r="BM755" s="52" t="str">
        <f aca="false">IF(OR(COUNT(B755:D1754)=0,AND('Choix pédagogiques'!$C$3&lt;&gt;1,'Choix pédagogiques'!$C$3&lt;&gt;2)),"",IF(AND(OR('Choix pédagogiques'!$C$3=1,'Choix pédagogiques'!$C$3=2),$B755&lt;&gt;"",$C755&lt;&gt;"",$D755&lt;&gt;""),1,0))</f>
        <v/>
      </c>
      <c r="BN755" s="52" t="str">
        <f aca="false">IF(OR(COUNT(G755:I1754)=0,AND('Choix pédagogiques'!$C$3&lt;&gt;1,'Choix pédagogiques'!$C$3&lt;&gt;2)),"",IF(AND(OR('Choix pédagogiques'!$C$3=1,'Choix pédagogiques'!$C$3=2),AND($G755&lt;&gt;"",$H755&lt;&gt;"",$I755&lt;&gt;"")),1,0))</f>
        <v/>
      </c>
      <c r="BO755" s="52" t="str">
        <f aca="false">IF(OR(COUNT(B755:D1754)=0,COUNT(G755:I1754)=0,'Choix pédagogiques'!C$3&lt;&gt;3),"",IF(AND('Choix pédagogiques'!$C$3=3,$B755&lt;&gt;"",$C755&lt;&gt;"",$D755&lt;&gt;"",$G755&lt;&gt;"",$H755&lt;&gt;"",$I755&lt;&gt;""),1,0))</f>
        <v/>
      </c>
      <c r="BR755" s="52" t="n">
        <v>118</v>
      </c>
      <c r="BS755" s="52" t="n">
        <v>1147</v>
      </c>
    </row>
    <row r="756" s="54" customFormat="true" ht="18" hidden="false" customHeight="true" outlineLevel="0" collapsed="false">
      <c r="A756" s="57" t="s">
        <v>1443</v>
      </c>
      <c r="B756" s="51"/>
      <c r="C756" s="51"/>
      <c r="D756" s="51"/>
      <c r="E756" s="51"/>
      <c r="F756" s="57" t="s">
        <v>1444</v>
      </c>
      <c r="G756" s="51"/>
      <c r="H756" s="51"/>
      <c r="I756" s="51"/>
      <c r="J756" s="51"/>
      <c r="K756" s="52" t="str">
        <f aca="false">IF($A756&lt;&gt;"",$A756,"")</f>
        <v>Apprenant 744</v>
      </c>
      <c r="L756" s="53" t="str">
        <f aca="false">IF(AND($B756&lt;&gt;"",$C756&lt;&gt;""),$C756-$B756,"")</f>
        <v/>
      </c>
      <c r="M756" s="53" t="str">
        <f aca="false">IF(AND($B756&lt;&gt;"",$D756&lt;&gt;""),$D756-$B756,"")</f>
        <v/>
      </c>
      <c r="N756" s="53" t="str">
        <f aca="false">IF(AND($C756&lt;&gt;"",$D756&lt;&gt;""),$D756-$C756,"")</f>
        <v/>
      </c>
      <c r="O756" s="53" t="str">
        <f aca="false">IF($E756&lt;&gt;"",$E756,"")</f>
        <v/>
      </c>
      <c r="P756" s="52" t="str">
        <f aca="false">IF($F756&lt;&gt;"",$F756,"")</f>
        <v>Apprenant 744 ou 744'</v>
      </c>
      <c r="Q756" s="53" t="str">
        <f aca="false">IF(AND($G756&lt;&gt;"",$H756&lt;&gt;""),$H756-$G756,"")</f>
        <v/>
      </c>
      <c r="R756" s="53" t="str">
        <f aca="false">IF(AND($G756&lt;&gt;"",$I756&lt;&gt;""),$I756-$G756,"")</f>
        <v/>
      </c>
      <c r="S756" s="53" t="str">
        <f aca="false">IF(AND($H756&lt;&gt;"",$I756&lt;&gt;""),$I756-$H756,"")</f>
        <v/>
      </c>
      <c r="T756" s="53" t="str">
        <f aca="false">IF($J756&lt;&gt;"",$J756,"")</f>
        <v/>
      </c>
      <c r="V756" s="52" t="str">
        <f aca="false">IF($A756&lt;&gt;"",$A756,"")</f>
        <v>Apprenant 744</v>
      </c>
      <c r="W756" s="53" t="str">
        <f aca="false">IF(AND(OR('Choix pédagogiques'!$C$3=1,'Choix pédagogiques'!$C$3=2),$BM756=1),B756,IF(AND('Choix pédagogiques'!$C$3=3,$BO756=1),B756,""))</f>
        <v/>
      </c>
      <c r="X756" s="53" t="str">
        <f aca="false">IF(AND(OR('Choix pédagogiques'!$C$3=1,'Choix pédagogiques'!$C$3=2),$BM756=1),C756,IF(AND('Choix pédagogiques'!$C$3=3,$BO756=1),C756,""))</f>
        <v/>
      </c>
      <c r="Y756" s="53" t="str">
        <f aca="false">IF(AND(OR('Choix pédagogiques'!$C$3=1,'Choix pédagogiques'!$C$3=2),$BM756=1),D756,IF(AND('Choix pédagogiques'!$C$3=3,$BO756=1),D756,""))</f>
        <v/>
      </c>
      <c r="Z756" s="53" t="str">
        <f aca="false">IF($E756&lt;&gt;"",$E756,"")</f>
        <v/>
      </c>
      <c r="AA756" s="52" t="str">
        <f aca="false">IF($F756&lt;&gt;"",$F756,"")</f>
        <v>Apprenant 744 ou 744'</v>
      </c>
      <c r="AB756" s="53" t="str">
        <f aca="false">IF(AND(OR('Choix pédagogiques'!$C$3=1,'Choix pédagogiques'!$C$3=2),$BN756=1),G756,IF(AND('Choix pédagogiques'!$C$3=3,$BO756=1),G756,""))</f>
        <v/>
      </c>
      <c r="AC756" s="53" t="str">
        <f aca="false">IF(AND(OR('Choix pédagogiques'!$C$3=1,'Choix pédagogiques'!$C$3=2),$BN756=1),H756,IF(AND('Choix pédagogiques'!$C$3=3,$BO756=1),H756,""))</f>
        <v/>
      </c>
      <c r="AD756" s="53" t="str">
        <f aca="false">IF(AND(OR('Choix pédagogiques'!$C$3=1,'Choix pédagogiques'!$C$3=2),$BN756=1),I756,IF(AND('Choix pédagogiques'!$C$3=3,$BO756=1),I756,""))</f>
        <v/>
      </c>
      <c r="AE756" s="53" t="str">
        <f aca="false">IF($J756&lt;&gt;"",$J756,"")</f>
        <v/>
      </c>
      <c r="AF756" s="52" t="str">
        <f aca="false">IF($A756&lt;&gt;"",$A756,"")</f>
        <v>Apprenant 744</v>
      </c>
      <c r="AG756" s="53" t="str">
        <f aca="false">IF(AND($W756&lt;&gt;"",$X756&lt;&gt;""),$X756-$W756,"")</f>
        <v/>
      </c>
      <c r="AH756" s="53" t="str">
        <f aca="false">IF(AND($W756&lt;&gt;"",$Y756&lt;&gt;""),$Y756-$W756,"")</f>
        <v/>
      </c>
      <c r="AI756" s="53" t="str">
        <f aca="false">IF(AND($X756&lt;&gt;"",$Y756&lt;&gt;""),$Y756-$X756,"")</f>
        <v/>
      </c>
      <c r="AJ756" s="53" t="str">
        <f aca="false">IF($E756&lt;&gt;"",$E756,"")</f>
        <v/>
      </c>
      <c r="AK756" s="52" t="str">
        <f aca="false">IF($F756&lt;&gt;"",$F756,"")</f>
        <v>Apprenant 744 ou 744'</v>
      </c>
      <c r="AL756" s="53" t="str">
        <f aca="false">IF(AND($AB756&lt;&gt;"",$AC756&lt;&gt;""),$AC756-$AB756,"")</f>
        <v/>
      </c>
      <c r="AM756" s="53" t="str">
        <f aca="false">IF(AND($AB756&lt;&gt;"",$AD756&lt;&gt;""),$AD756-$AB756,"")</f>
        <v/>
      </c>
      <c r="AN756" s="53" t="str">
        <f aca="false">IF(AND($AC756&lt;&gt;"",$AD756&lt;&gt;""),$AD756-$AC756,"")</f>
        <v/>
      </c>
      <c r="AO756" s="53" t="str">
        <f aca="false">IF($J756&lt;&gt;"",$J756,"")</f>
        <v/>
      </c>
      <c r="AQ756" s="52" t="str">
        <f aca="false">IF($A756&lt;&gt;"",$A756,"")</f>
        <v>Apprenant 744</v>
      </c>
      <c r="AR756" s="55" t="str">
        <f aca="false">IF(AND('Choix pédagogiques'!$C$4&lt;&gt;"?",'Choix pédagogiques'!$C$5&lt;&gt;"?",W756&lt;&gt;""),(W756-'Choix pédagogiques'!$C$4)/('Choix pédagogiques'!$C$5-'Choix pédagogiques'!$C$4),"")</f>
        <v/>
      </c>
      <c r="AS756" s="55" t="str">
        <f aca="false">IF(AND('Choix pédagogiques'!$C$4&lt;&gt;"?",'Choix pédagogiques'!$C$5&lt;&gt;"?",X756&lt;&gt;""),(X756-'Choix pédagogiques'!$C$4)/('Choix pédagogiques'!$C$5-'Choix pédagogiques'!$C$4),"")</f>
        <v/>
      </c>
      <c r="AT756" s="55" t="str">
        <f aca="false">IF(AND('Choix pédagogiques'!$C$4&lt;&gt;"?",'Choix pédagogiques'!$C$5&lt;&gt;"?",Y756&lt;&gt;""),(Y756-'Choix pédagogiques'!$C$4)/('Choix pédagogiques'!$C$5-'Choix pédagogiques'!$C$4),"")</f>
        <v/>
      </c>
      <c r="AU756" s="53" t="str">
        <f aca="false">IF($E756&lt;&gt;"",$E756,"")</f>
        <v/>
      </c>
      <c r="AV756" s="52" t="str">
        <f aca="false">IF($F756&lt;&gt;"",$F756,"")</f>
        <v>Apprenant 744 ou 744'</v>
      </c>
      <c r="AW756" s="55" t="str">
        <f aca="false">IF(AND('Choix pédagogiques'!$C$4&lt;&gt;"?",'Choix pédagogiques'!$C$5&lt;&gt;"?",AB756&lt;&gt;""),(AB756-'Choix pédagogiques'!$C$4)/('Choix pédagogiques'!$C$5-'Choix pédagogiques'!$C$4),"")</f>
        <v/>
      </c>
      <c r="AX756" s="55" t="str">
        <f aca="false">IF(AND('Choix pédagogiques'!$C$4&lt;&gt;"?",'Choix pédagogiques'!$C$5&lt;&gt;"?",AC756&lt;&gt;""),(AC756-'Choix pédagogiques'!$C$4)/('Choix pédagogiques'!$C$5-'Choix pédagogiques'!$C$4),"")</f>
        <v/>
      </c>
      <c r="AY756" s="55" t="str">
        <f aca="false">IF(AND('Choix pédagogiques'!$C$4&lt;&gt;"?",'Choix pédagogiques'!$C$5&lt;&gt;"?",AD756&lt;&gt;""),(AD756-'Choix pédagogiques'!$C$4)/('Choix pédagogiques'!$C$5-'Choix pédagogiques'!$C$4),"")</f>
        <v/>
      </c>
      <c r="AZ756" s="53" t="str">
        <f aca="false">IF($J756&lt;&gt;"",$J756,"")</f>
        <v/>
      </c>
      <c r="BA756" s="52" t="str">
        <f aca="false">IF($A756&lt;&gt;"",$A756,"")</f>
        <v>Apprenant 744</v>
      </c>
      <c r="BB756" s="55" t="str">
        <f aca="false">IF(AND($AR756&lt;&gt;"",$AS756&lt;&gt;""),$AS756-$AR756,"")</f>
        <v/>
      </c>
      <c r="BC756" s="55" t="str">
        <f aca="false">IF(AND($AR756&lt;&gt;"",$AT756&lt;&gt;""),$AT756-$AR756,"")</f>
        <v/>
      </c>
      <c r="BD756" s="55" t="str">
        <f aca="false">IF(AND($AS756&lt;&gt;"",$AT756&lt;&gt;""),$AT756-$AS756,"")</f>
        <v/>
      </c>
      <c r="BE756" s="53" t="str">
        <f aca="false">IF($E756&lt;&gt;"",$E756,"")</f>
        <v/>
      </c>
      <c r="BF756" s="52" t="str">
        <f aca="false">IF($F756&lt;&gt;"",$F756,"")</f>
        <v>Apprenant 744 ou 744'</v>
      </c>
      <c r="BG756" s="55" t="str">
        <f aca="false">IF(AND($AW756&lt;&gt;"",$AX756&lt;&gt;""),$AX756-$AW756,"")</f>
        <v/>
      </c>
      <c r="BH756" s="55" t="str">
        <f aca="false">IF(AND($AW756&lt;&gt;"",$AY756&lt;&gt;""),$AY756-$AW756,"")</f>
        <v/>
      </c>
      <c r="BI756" s="55" t="str">
        <f aca="false">IF(AND($AX756&lt;&gt;"",$AY756&lt;&gt;""),$AY756-$AX756,"")</f>
        <v/>
      </c>
      <c r="BJ756" s="53" t="str">
        <f aca="false">IF($J756&lt;&gt;"",$J756,"")</f>
        <v/>
      </c>
      <c r="BL756" s="52"/>
      <c r="BM756" s="52" t="str">
        <f aca="false">IF(OR(COUNT(B756:D1755)=0,AND('Choix pédagogiques'!$C$3&lt;&gt;1,'Choix pédagogiques'!$C$3&lt;&gt;2)),"",IF(AND(OR('Choix pédagogiques'!$C$3=1,'Choix pédagogiques'!$C$3=2),$B756&lt;&gt;"",$C756&lt;&gt;"",$D756&lt;&gt;""),1,0))</f>
        <v/>
      </c>
      <c r="BN756" s="52" t="str">
        <f aca="false">IF(OR(COUNT(G756:I1755)=0,AND('Choix pédagogiques'!$C$3&lt;&gt;1,'Choix pédagogiques'!$C$3&lt;&gt;2)),"",IF(AND(OR('Choix pédagogiques'!$C$3=1,'Choix pédagogiques'!$C$3=2),AND($G756&lt;&gt;"",$H756&lt;&gt;"",$I756&lt;&gt;"")),1,0))</f>
        <v/>
      </c>
      <c r="BO756" s="52" t="str">
        <f aca="false">IF(OR(COUNT(B756:D1755)=0,COUNT(G756:I1755)=0,'Choix pédagogiques'!C$3&lt;&gt;3),"",IF(AND('Choix pédagogiques'!$C$3=3,$B756&lt;&gt;"",$C756&lt;&gt;"",$D756&lt;&gt;"",$G756&lt;&gt;"",$H756&lt;&gt;"",$I756&lt;&gt;""),1,0))</f>
        <v/>
      </c>
      <c r="BR756" s="52" t="n">
        <v>626</v>
      </c>
      <c r="BS756" s="52" t="n">
        <v>1572</v>
      </c>
    </row>
    <row r="757" s="54" customFormat="true" ht="18" hidden="false" customHeight="true" outlineLevel="0" collapsed="false">
      <c r="A757" s="57" t="s">
        <v>1445</v>
      </c>
      <c r="B757" s="51"/>
      <c r="C757" s="51"/>
      <c r="D757" s="51"/>
      <c r="E757" s="51"/>
      <c r="F757" s="57" t="s">
        <v>1446</v>
      </c>
      <c r="G757" s="51"/>
      <c r="H757" s="51"/>
      <c r="I757" s="51"/>
      <c r="J757" s="51"/>
      <c r="K757" s="52" t="str">
        <f aca="false">IF($A757&lt;&gt;"",$A757,"")</f>
        <v>Apprenant 745</v>
      </c>
      <c r="L757" s="53" t="str">
        <f aca="false">IF(AND($B757&lt;&gt;"",$C757&lt;&gt;""),$C757-$B757,"")</f>
        <v/>
      </c>
      <c r="M757" s="53" t="str">
        <f aca="false">IF(AND($B757&lt;&gt;"",$D757&lt;&gt;""),$D757-$B757,"")</f>
        <v/>
      </c>
      <c r="N757" s="53" t="str">
        <f aca="false">IF(AND($C757&lt;&gt;"",$D757&lt;&gt;""),$D757-$C757,"")</f>
        <v/>
      </c>
      <c r="O757" s="53" t="str">
        <f aca="false">IF($E757&lt;&gt;"",$E757,"")</f>
        <v/>
      </c>
      <c r="P757" s="52" t="str">
        <f aca="false">IF($F757&lt;&gt;"",$F757,"")</f>
        <v>Apprenant 745 ou 745'</v>
      </c>
      <c r="Q757" s="53" t="str">
        <f aca="false">IF(AND($G757&lt;&gt;"",$H757&lt;&gt;""),$H757-$G757,"")</f>
        <v/>
      </c>
      <c r="R757" s="53" t="str">
        <f aca="false">IF(AND($G757&lt;&gt;"",$I757&lt;&gt;""),$I757-$G757,"")</f>
        <v/>
      </c>
      <c r="S757" s="53" t="str">
        <f aca="false">IF(AND($H757&lt;&gt;"",$I757&lt;&gt;""),$I757-$H757,"")</f>
        <v/>
      </c>
      <c r="T757" s="53" t="str">
        <f aca="false">IF($J757&lt;&gt;"",$J757,"")</f>
        <v/>
      </c>
      <c r="V757" s="52" t="str">
        <f aca="false">IF($A757&lt;&gt;"",$A757,"")</f>
        <v>Apprenant 745</v>
      </c>
      <c r="W757" s="53" t="str">
        <f aca="false">IF(AND(OR('Choix pédagogiques'!$C$3=1,'Choix pédagogiques'!$C$3=2),$BM757=1),B757,IF(AND('Choix pédagogiques'!$C$3=3,$BO757=1),B757,""))</f>
        <v/>
      </c>
      <c r="X757" s="53" t="str">
        <f aca="false">IF(AND(OR('Choix pédagogiques'!$C$3=1,'Choix pédagogiques'!$C$3=2),$BM757=1),C757,IF(AND('Choix pédagogiques'!$C$3=3,$BO757=1),C757,""))</f>
        <v/>
      </c>
      <c r="Y757" s="53" t="str">
        <f aca="false">IF(AND(OR('Choix pédagogiques'!$C$3=1,'Choix pédagogiques'!$C$3=2),$BM757=1),D757,IF(AND('Choix pédagogiques'!$C$3=3,$BO757=1),D757,""))</f>
        <v/>
      </c>
      <c r="Z757" s="53" t="str">
        <f aca="false">IF($E757&lt;&gt;"",$E757,"")</f>
        <v/>
      </c>
      <c r="AA757" s="52" t="str">
        <f aca="false">IF($F757&lt;&gt;"",$F757,"")</f>
        <v>Apprenant 745 ou 745'</v>
      </c>
      <c r="AB757" s="53" t="str">
        <f aca="false">IF(AND(OR('Choix pédagogiques'!$C$3=1,'Choix pédagogiques'!$C$3=2),$BN757=1),G757,IF(AND('Choix pédagogiques'!$C$3=3,$BO757=1),G757,""))</f>
        <v/>
      </c>
      <c r="AC757" s="53" t="str">
        <f aca="false">IF(AND(OR('Choix pédagogiques'!$C$3=1,'Choix pédagogiques'!$C$3=2),$BN757=1),H757,IF(AND('Choix pédagogiques'!$C$3=3,$BO757=1),H757,""))</f>
        <v/>
      </c>
      <c r="AD757" s="53" t="str">
        <f aca="false">IF(AND(OR('Choix pédagogiques'!$C$3=1,'Choix pédagogiques'!$C$3=2),$BN757=1),I757,IF(AND('Choix pédagogiques'!$C$3=3,$BO757=1),I757,""))</f>
        <v/>
      </c>
      <c r="AE757" s="53" t="str">
        <f aca="false">IF($J757&lt;&gt;"",$J757,"")</f>
        <v/>
      </c>
      <c r="AF757" s="52" t="str">
        <f aca="false">IF($A757&lt;&gt;"",$A757,"")</f>
        <v>Apprenant 745</v>
      </c>
      <c r="AG757" s="53" t="str">
        <f aca="false">IF(AND($W757&lt;&gt;"",$X757&lt;&gt;""),$X757-$W757,"")</f>
        <v/>
      </c>
      <c r="AH757" s="53" t="str">
        <f aca="false">IF(AND($W757&lt;&gt;"",$Y757&lt;&gt;""),$Y757-$W757,"")</f>
        <v/>
      </c>
      <c r="AI757" s="53" t="str">
        <f aca="false">IF(AND($X757&lt;&gt;"",$Y757&lt;&gt;""),$Y757-$X757,"")</f>
        <v/>
      </c>
      <c r="AJ757" s="53" t="str">
        <f aca="false">IF($E757&lt;&gt;"",$E757,"")</f>
        <v/>
      </c>
      <c r="AK757" s="52" t="str">
        <f aca="false">IF($F757&lt;&gt;"",$F757,"")</f>
        <v>Apprenant 745 ou 745'</v>
      </c>
      <c r="AL757" s="53" t="str">
        <f aca="false">IF(AND($AB757&lt;&gt;"",$AC757&lt;&gt;""),$AC757-$AB757,"")</f>
        <v/>
      </c>
      <c r="AM757" s="53" t="str">
        <f aca="false">IF(AND($AB757&lt;&gt;"",$AD757&lt;&gt;""),$AD757-$AB757,"")</f>
        <v/>
      </c>
      <c r="AN757" s="53" t="str">
        <f aca="false">IF(AND($AC757&lt;&gt;"",$AD757&lt;&gt;""),$AD757-$AC757,"")</f>
        <v/>
      </c>
      <c r="AO757" s="53" t="str">
        <f aca="false">IF($J757&lt;&gt;"",$J757,"")</f>
        <v/>
      </c>
      <c r="AQ757" s="52" t="str">
        <f aca="false">IF($A757&lt;&gt;"",$A757,"")</f>
        <v>Apprenant 745</v>
      </c>
      <c r="AR757" s="55" t="str">
        <f aca="false">IF(AND('Choix pédagogiques'!$C$4&lt;&gt;"?",'Choix pédagogiques'!$C$5&lt;&gt;"?",W757&lt;&gt;""),(W757-'Choix pédagogiques'!$C$4)/('Choix pédagogiques'!$C$5-'Choix pédagogiques'!$C$4),"")</f>
        <v/>
      </c>
      <c r="AS757" s="55" t="str">
        <f aca="false">IF(AND('Choix pédagogiques'!$C$4&lt;&gt;"?",'Choix pédagogiques'!$C$5&lt;&gt;"?",X757&lt;&gt;""),(X757-'Choix pédagogiques'!$C$4)/('Choix pédagogiques'!$C$5-'Choix pédagogiques'!$C$4),"")</f>
        <v/>
      </c>
      <c r="AT757" s="55" t="str">
        <f aca="false">IF(AND('Choix pédagogiques'!$C$4&lt;&gt;"?",'Choix pédagogiques'!$C$5&lt;&gt;"?",Y757&lt;&gt;""),(Y757-'Choix pédagogiques'!$C$4)/('Choix pédagogiques'!$C$5-'Choix pédagogiques'!$C$4),"")</f>
        <v/>
      </c>
      <c r="AU757" s="53" t="str">
        <f aca="false">IF($E757&lt;&gt;"",$E757,"")</f>
        <v/>
      </c>
      <c r="AV757" s="52" t="str">
        <f aca="false">IF($F757&lt;&gt;"",$F757,"")</f>
        <v>Apprenant 745 ou 745'</v>
      </c>
      <c r="AW757" s="55" t="str">
        <f aca="false">IF(AND('Choix pédagogiques'!$C$4&lt;&gt;"?",'Choix pédagogiques'!$C$5&lt;&gt;"?",AB757&lt;&gt;""),(AB757-'Choix pédagogiques'!$C$4)/('Choix pédagogiques'!$C$5-'Choix pédagogiques'!$C$4),"")</f>
        <v/>
      </c>
      <c r="AX757" s="55" t="str">
        <f aca="false">IF(AND('Choix pédagogiques'!$C$4&lt;&gt;"?",'Choix pédagogiques'!$C$5&lt;&gt;"?",AC757&lt;&gt;""),(AC757-'Choix pédagogiques'!$C$4)/('Choix pédagogiques'!$C$5-'Choix pédagogiques'!$C$4),"")</f>
        <v/>
      </c>
      <c r="AY757" s="55" t="str">
        <f aca="false">IF(AND('Choix pédagogiques'!$C$4&lt;&gt;"?",'Choix pédagogiques'!$C$5&lt;&gt;"?",AD757&lt;&gt;""),(AD757-'Choix pédagogiques'!$C$4)/('Choix pédagogiques'!$C$5-'Choix pédagogiques'!$C$4),"")</f>
        <v/>
      </c>
      <c r="AZ757" s="53" t="str">
        <f aca="false">IF($J757&lt;&gt;"",$J757,"")</f>
        <v/>
      </c>
      <c r="BA757" s="52" t="str">
        <f aca="false">IF($A757&lt;&gt;"",$A757,"")</f>
        <v>Apprenant 745</v>
      </c>
      <c r="BB757" s="55" t="str">
        <f aca="false">IF(AND($AR757&lt;&gt;"",$AS757&lt;&gt;""),$AS757-$AR757,"")</f>
        <v/>
      </c>
      <c r="BC757" s="55" t="str">
        <f aca="false">IF(AND($AR757&lt;&gt;"",$AT757&lt;&gt;""),$AT757-$AR757,"")</f>
        <v/>
      </c>
      <c r="BD757" s="55" t="str">
        <f aca="false">IF(AND($AS757&lt;&gt;"",$AT757&lt;&gt;""),$AT757-$AS757,"")</f>
        <v/>
      </c>
      <c r="BE757" s="53" t="str">
        <f aca="false">IF($E757&lt;&gt;"",$E757,"")</f>
        <v/>
      </c>
      <c r="BF757" s="52" t="str">
        <f aca="false">IF($F757&lt;&gt;"",$F757,"")</f>
        <v>Apprenant 745 ou 745'</v>
      </c>
      <c r="BG757" s="55" t="str">
        <f aca="false">IF(AND($AW757&lt;&gt;"",$AX757&lt;&gt;""),$AX757-$AW757,"")</f>
        <v/>
      </c>
      <c r="BH757" s="55" t="str">
        <f aca="false">IF(AND($AW757&lt;&gt;"",$AY757&lt;&gt;""),$AY757-$AW757,"")</f>
        <v/>
      </c>
      <c r="BI757" s="55" t="str">
        <f aca="false">IF(AND($AX757&lt;&gt;"",$AY757&lt;&gt;""),$AY757-$AX757,"")</f>
        <v/>
      </c>
      <c r="BJ757" s="53" t="str">
        <f aca="false">IF($J757&lt;&gt;"",$J757,"")</f>
        <v/>
      </c>
      <c r="BL757" s="52"/>
      <c r="BM757" s="52" t="str">
        <f aca="false">IF(OR(COUNT(B757:D1756)=0,AND('Choix pédagogiques'!$C$3&lt;&gt;1,'Choix pédagogiques'!$C$3&lt;&gt;2)),"",IF(AND(OR('Choix pédagogiques'!$C$3=1,'Choix pédagogiques'!$C$3=2),$B757&lt;&gt;"",$C757&lt;&gt;"",$D757&lt;&gt;""),1,0))</f>
        <v/>
      </c>
      <c r="BN757" s="52" t="str">
        <f aca="false">IF(OR(COUNT(G757:I1756)=0,AND('Choix pédagogiques'!$C$3&lt;&gt;1,'Choix pédagogiques'!$C$3&lt;&gt;2)),"",IF(AND(OR('Choix pédagogiques'!$C$3=1,'Choix pédagogiques'!$C$3=2),AND($G757&lt;&gt;"",$H757&lt;&gt;"",$I757&lt;&gt;"")),1,0))</f>
        <v/>
      </c>
      <c r="BO757" s="52" t="str">
        <f aca="false">IF(OR(COUNT(B757:D1756)=0,COUNT(G757:I1756)=0,'Choix pédagogiques'!C$3&lt;&gt;3),"",IF(AND('Choix pédagogiques'!$C$3=3,$B757&lt;&gt;"",$C757&lt;&gt;"",$D757&lt;&gt;"",$G757&lt;&gt;"",$H757&lt;&gt;"",$I757&lt;&gt;""),1,0))</f>
        <v/>
      </c>
      <c r="BR757" s="52" t="n">
        <v>40</v>
      </c>
      <c r="BS757" s="52" t="n">
        <v>1976</v>
      </c>
    </row>
    <row r="758" s="54" customFormat="true" ht="18" hidden="false" customHeight="true" outlineLevel="0" collapsed="false">
      <c r="A758" s="57" t="s">
        <v>1447</v>
      </c>
      <c r="B758" s="51"/>
      <c r="C758" s="51"/>
      <c r="D758" s="51"/>
      <c r="E758" s="51"/>
      <c r="F758" s="57" t="s">
        <v>1448</v>
      </c>
      <c r="G758" s="51"/>
      <c r="H758" s="51"/>
      <c r="I758" s="51"/>
      <c r="J758" s="51"/>
      <c r="K758" s="52" t="str">
        <f aca="false">IF($A758&lt;&gt;"",$A758,"")</f>
        <v>Apprenant 746</v>
      </c>
      <c r="L758" s="53" t="str">
        <f aca="false">IF(AND($B758&lt;&gt;"",$C758&lt;&gt;""),$C758-$B758,"")</f>
        <v/>
      </c>
      <c r="M758" s="53" t="str">
        <f aca="false">IF(AND($B758&lt;&gt;"",$D758&lt;&gt;""),$D758-$B758,"")</f>
        <v/>
      </c>
      <c r="N758" s="53" t="str">
        <f aca="false">IF(AND($C758&lt;&gt;"",$D758&lt;&gt;""),$D758-$C758,"")</f>
        <v/>
      </c>
      <c r="O758" s="53" t="str">
        <f aca="false">IF($E758&lt;&gt;"",$E758,"")</f>
        <v/>
      </c>
      <c r="P758" s="52" t="str">
        <f aca="false">IF($F758&lt;&gt;"",$F758,"")</f>
        <v>Apprenant 746 ou 746'</v>
      </c>
      <c r="Q758" s="53" t="str">
        <f aca="false">IF(AND($G758&lt;&gt;"",$H758&lt;&gt;""),$H758-$G758,"")</f>
        <v/>
      </c>
      <c r="R758" s="53" t="str">
        <f aca="false">IF(AND($G758&lt;&gt;"",$I758&lt;&gt;""),$I758-$G758,"")</f>
        <v/>
      </c>
      <c r="S758" s="53" t="str">
        <f aca="false">IF(AND($H758&lt;&gt;"",$I758&lt;&gt;""),$I758-$H758,"")</f>
        <v/>
      </c>
      <c r="T758" s="53" t="str">
        <f aca="false">IF($J758&lt;&gt;"",$J758,"")</f>
        <v/>
      </c>
      <c r="V758" s="52" t="str">
        <f aca="false">IF($A758&lt;&gt;"",$A758,"")</f>
        <v>Apprenant 746</v>
      </c>
      <c r="W758" s="53" t="str">
        <f aca="false">IF(AND(OR('Choix pédagogiques'!$C$3=1,'Choix pédagogiques'!$C$3=2),$BM758=1),B758,IF(AND('Choix pédagogiques'!$C$3=3,$BO758=1),B758,""))</f>
        <v/>
      </c>
      <c r="X758" s="53" t="str">
        <f aca="false">IF(AND(OR('Choix pédagogiques'!$C$3=1,'Choix pédagogiques'!$C$3=2),$BM758=1),C758,IF(AND('Choix pédagogiques'!$C$3=3,$BO758=1),C758,""))</f>
        <v/>
      </c>
      <c r="Y758" s="53" t="str">
        <f aca="false">IF(AND(OR('Choix pédagogiques'!$C$3=1,'Choix pédagogiques'!$C$3=2),$BM758=1),D758,IF(AND('Choix pédagogiques'!$C$3=3,$BO758=1),D758,""))</f>
        <v/>
      </c>
      <c r="Z758" s="53" t="str">
        <f aca="false">IF($E758&lt;&gt;"",$E758,"")</f>
        <v/>
      </c>
      <c r="AA758" s="52" t="str">
        <f aca="false">IF($F758&lt;&gt;"",$F758,"")</f>
        <v>Apprenant 746 ou 746'</v>
      </c>
      <c r="AB758" s="53" t="str">
        <f aca="false">IF(AND(OR('Choix pédagogiques'!$C$3=1,'Choix pédagogiques'!$C$3=2),$BN758=1),G758,IF(AND('Choix pédagogiques'!$C$3=3,$BO758=1),G758,""))</f>
        <v/>
      </c>
      <c r="AC758" s="53" t="str">
        <f aca="false">IF(AND(OR('Choix pédagogiques'!$C$3=1,'Choix pédagogiques'!$C$3=2),$BN758=1),H758,IF(AND('Choix pédagogiques'!$C$3=3,$BO758=1),H758,""))</f>
        <v/>
      </c>
      <c r="AD758" s="53" t="str">
        <f aca="false">IF(AND(OR('Choix pédagogiques'!$C$3=1,'Choix pédagogiques'!$C$3=2),$BN758=1),I758,IF(AND('Choix pédagogiques'!$C$3=3,$BO758=1),I758,""))</f>
        <v/>
      </c>
      <c r="AE758" s="53" t="str">
        <f aca="false">IF($J758&lt;&gt;"",$J758,"")</f>
        <v/>
      </c>
      <c r="AF758" s="52" t="str">
        <f aca="false">IF($A758&lt;&gt;"",$A758,"")</f>
        <v>Apprenant 746</v>
      </c>
      <c r="AG758" s="53" t="str">
        <f aca="false">IF(AND($W758&lt;&gt;"",$X758&lt;&gt;""),$X758-$W758,"")</f>
        <v/>
      </c>
      <c r="AH758" s="53" t="str">
        <f aca="false">IF(AND($W758&lt;&gt;"",$Y758&lt;&gt;""),$Y758-$W758,"")</f>
        <v/>
      </c>
      <c r="AI758" s="53" t="str">
        <f aca="false">IF(AND($X758&lt;&gt;"",$Y758&lt;&gt;""),$Y758-$X758,"")</f>
        <v/>
      </c>
      <c r="AJ758" s="53" t="str">
        <f aca="false">IF($E758&lt;&gt;"",$E758,"")</f>
        <v/>
      </c>
      <c r="AK758" s="52" t="str">
        <f aca="false">IF($F758&lt;&gt;"",$F758,"")</f>
        <v>Apprenant 746 ou 746'</v>
      </c>
      <c r="AL758" s="53" t="str">
        <f aca="false">IF(AND($AB758&lt;&gt;"",$AC758&lt;&gt;""),$AC758-$AB758,"")</f>
        <v/>
      </c>
      <c r="AM758" s="53" t="str">
        <f aca="false">IF(AND($AB758&lt;&gt;"",$AD758&lt;&gt;""),$AD758-$AB758,"")</f>
        <v/>
      </c>
      <c r="AN758" s="53" t="str">
        <f aca="false">IF(AND($AC758&lt;&gt;"",$AD758&lt;&gt;""),$AD758-$AC758,"")</f>
        <v/>
      </c>
      <c r="AO758" s="53" t="str">
        <f aca="false">IF($J758&lt;&gt;"",$J758,"")</f>
        <v/>
      </c>
      <c r="AQ758" s="52" t="str">
        <f aca="false">IF($A758&lt;&gt;"",$A758,"")</f>
        <v>Apprenant 746</v>
      </c>
      <c r="AR758" s="55" t="str">
        <f aca="false">IF(AND('Choix pédagogiques'!$C$4&lt;&gt;"?",'Choix pédagogiques'!$C$5&lt;&gt;"?",W758&lt;&gt;""),(W758-'Choix pédagogiques'!$C$4)/('Choix pédagogiques'!$C$5-'Choix pédagogiques'!$C$4),"")</f>
        <v/>
      </c>
      <c r="AS758" s="55" t="str">
        <f aca="false">IF(AND('Choix pédagogiques'!$C$4&lt;&gt;"?",'Choix pédagogiques'!$C$5&lt;&gt;"?",X758&lt;&gt;""),(X758-'Choix pédagogiques'!$C$4)/('Choix pédagogiques'!$C$5-'Choix pédagogiques'!$C$4),"")</f>
        <v/>
      </c>
      <c r="AT758" s="55" t="str">
        <f aca="false">IF(AND('Choix pédagogiques'!$C$4&lt;&gt;"?",'Choix pédagogiques'!$C$5&lt;&gt;"?",Y758&lt;&gt;""),(Y758-'Choix pédagogiques'!$C$4)/('Choix pédagogiques'!$C$5-'Choix pédagogiques'!$C$4),"")</f>
        <v/>
      </c>
      <c r="AU758" s="53" t="str">
        <f aca="false">IF($E758&lt;&gt;"",$E758,"")</f>
        <v/>
      </c>
      <c r="AV758" s="52" t="str">
        <f aca="false">IF($F758&lt;&gt;"",$F758,"")</f>
        <v>Apprenant 746 ou 746'</v>
      </c>
      <c r="AW758" s="55" t="str">
        <f aca="false">IF(AND('Choix pédagogiques'!$C$4&lt;&gt;"?",'Choix pédagogiques'!$C$5&lt;&gt;"?",AB758&lt;&gt;""),(AB758-'Choix pédagogiques'!$C$4)/('Choix pédagogiques'!$C$5-'Choix pédagogiques'!$C$4),"")</f>
        <v/>
      </c>
      <c r="AX758" s="55" t="str">
        <f aca="false">IF(AND('Choix pédagogiques'!$C$4&lt;&gt;"?",'Choix pédagogiques'!$C$5&lt;&gt;"?",AC758&lt;&gt;""),(AC758-'Choix pédagogiques'!$C$4)/('Choix pédagogiques'!$C$5-'Choix pédagogiques'!$C$4),"")</f>
        <v/>
      </c>
      <c r="AY758" s="55" t="str">
        <f aca="false">IF(AND('Choix pédagogiques'!$C$4&lt;&gt;"?",'Choix pédagogiques'!$C$5&lt;&gt;"?",AD758&lt;&gt;""),(AD758-'Choix pédagogiques'!$C$4)/('Choix pédagogiques'!$C$5-'Choix pédagogiques'!$C$4),"")</f>
        <v/>
      </c>
      <c r="AZ758" s="53" t="str">
        <f aca="false">IF($J758&lt;&gt;"",$J758,"")</f>
        <v/>
      </c>
      <c r="BA758" s="52" t="str">
        <f aca="false">IF($A758&lt;&gt;"",$A758,"")</f>
        <v>Apprenant 746</v>
      </c>
      <c r="BB758" s="55" t="str">
        <f aca="false">IF(AND($AR758&lt;&gt;"",$AS758&lt;&gt;""),$AS758-$AR758,"")</f>
        <v/>
      </c>
      <c r="BC758" s="55" t="str">
        <f aca="false">IF(AND($AR758&lt;&gt;"",$AT758&lt;&gt;""),$AT758-$AR758,"")</f>
        <v/>
      </c>
      <c r="BD758" s="55" t="str">
        <f aca="false">IF(AND($AS758&lt;&gt;"",$AT758&lt;&gt;""),$AT758-$AS758,"")</f>
        <v/>
      </c>
      <c r="BE758" s="53" t="str">
        <f aca="false">IF($E758&lt;&gt;"",$E758,"")</f>
        <v/>
      </c>
      <c r="BF758" s="52" t="str">
        <f aca="false">IF($F758&lt;&gt;"",$F758,"")</f>
        <v>Apprenant 746 ou 746'</v>
      </c>
      <c r="BG758" s="55" t="str">
        <f aca="false">IF(AND($AW758&lt;&gt;"",$AX758&lt;&gt;""),$AX758-$AW758,"")</f>
        <v/>
      </c>
      <c r="BH758" s="55" t="str">
        <f aca="false">IF(AND($AW758&lt;&gt;"",$AY758&lt;&gt;""),$AY758-$AW758,"")</f>
        <v/>
      </c>
      <c r="BI758" s="55" t="str">
        <f aca="false">IF(AND($AX758&lt;&gt;"",$AY758&lt;&gt;""),$AY758-$AX758,"")</f>
        <v/>
      </c>
      <c r="BJ758" s="53" t="str">
        <f aca="false">IF($J758&lt;&gt;"",$J758,"")</f>
        <v/>
      </c>
      <c r="BL758" s="52"/>
      <c r="BM758" s="52" t="str">
        <f aca="false">IF(OR(COUNT(B758:D1757)=0,AND('Choix pédagogiques'!$C$3&lt;&gt;1,'Choix pédagogiques'!$C$3&lt;&gt;2)),"",IF(AND(OR('Choix pédagogiques'!$C$3=1,'Choix pédagogiques'!$C$3=2),$B758&lt;&gt;"",$C758&lt;&gt;"",$D758&lt;&gt;""),1,0))</f>
        <v/>
      </c>
      <c r="BN758" s="52" t="str">
        <f aca="false">IF(OR(COUNT(G758:I1757)=0,AND('Choix pédagogiques'!$C$3&lt;&gt;1,'Choix pédagogiques'!$C$3&lt;&gt;2)),"",IF(AND(OR('Choix pédagogiques'!$C$3=1,'Choix pédagogiques'!$C$3=2),AND($G758&lt;&gt;"",$H758&lt;&gt;"",$I758&lt;&gt;"")),1,0))</f>
        <v/>
      </c>
      <c r="BO758" s="52" t="str">
        <f aca="false">IF(OR(COUNT(B758:D1757)=0,COUNT(G758:I1757)=0,'Choix pédagogiques'!C$3&lt;&gt;3),"",IF(AND('Choix pédagogiques'!$C$3=3,$B758&lt;&gt;"",$C758&lt;&gt;"",$D758&lt;&gt;"",$G758&lt;&gt;"",$H758&lt;&gt;"",$I758&lt;&gt;""),1,0))</f>
        <v/>
      </c>
      <c r="BR758" s="52" t="n">
        <v>310</v>
      </c>
      <c r="BS758" s="52" t="n">
        <v>1436</v>
      </c>
    </row>
    <row r="759" s="54" customFormat="true" ht="18" hidden="false" customHeight="true" outlineLevel="0" collapsed="false">
      <c r="A759" s="57" t="s">
        <v>1449</v>
      </c>
      <c r="B759" s="51"/>
      <c r="C759" s="51"/>
      <c r="D759" s="51"/>
      <c r="E759" s="51"/>
      <c r="F759" s="57" t="s">
        <v>1450</v>
      </c>
      <c r="G759" s="51"/>
      <c r="H759" s="51"/>
      <c r="I759" s="51"/>
      <c r="J759" s="51"/>
      <c r="K759" s="52" t="str">
        <f aca="false">IF($A759&lt;&gt;"",$A759,"")</f>
        <v>Apprenant 747</v>
      </c>
      <c r="L759" s="53" t="str">
        <f aca="false">IF(AND($B759&lt;&gt;"",$C759&lt;&gt;""),$C759-$B759,"")</f>
        <v/>
      </c>
      <c r="M759" s="53" t="str">
        <f aca="false">IF(AND($B759&lt;&gt;"",$D759&lt;&gt;""),$D759-$B759,"")</f>
        <v/>
      </c>
      <c r="N759" s="53" t="str">
        <f aca="false">IF(AND($C759&lt;&gt;"",$D759&lt;&gt;""),$D759-$C759,"")</f>
        <v/>
      </c>
      <c r="O759" s="53" t="str">
        <f aca="false">IF($E759&lt;&gt;"",$E759,"")</f>
        <v/>
      </c>
      <c r="P759" s="52" t="str">
        <f aca="false">IF($F759&lt;&gt;"",$F759,"")</f>
        <v>Apprenant 747 ou 747'</v>
      </c>
      <c r="Q759" s="53" t="str">
        <f aca="false">IF(AND($G759&lt;&gt;"",$H759&lt;&gt;""),$H759-$G759,"")</f>
        <v/>
      </c>
      <c r="R759" s="53" t="str">
        <f aca="false">IF(AND($G759&lt;&gt;"",$I759&lt;&gt;""),$I759-$G759,"")</f>
        <v/>
      </c>
      <c r="S759" s="53" t="str">
        <f aca="false">IF(AND($H759&lt;&gt;"",$I759&lt;&gt;""),$I759-$H759,"")</f>
        <v/>
      </c>
      <c r="T759" s="53" t="str">
        <f aca="false">IF($J759&lt;&gt;"",$J759,"")</f>
        <v/>
      </c>
      <c r="V759" s="52" t="str">
        <f aca="false">IF($A759&lt;&gt;"",$A759,"")</f>
        <v>Apprenant 747</v>
      </c>
      <c r="W759" s="53" t="str">
        <f aca="false">IF(AND(OR('Choix pédagogiques'!$C$3=1,'Choix pédagogiques'!$C$3=2),$BM759=1),B759,IF(AND('Choix pédagogiques'!$C$3=3,$BO759=1),B759,""))</f>
        <v/>
      </c>
      <c r="X759" s="53" t="str">
        <f aca="false">IF(AND(OR('Choix pédagogiques'!$C$3=1,'Choix pédagogiques'!$C$3=2),$BM759=1),C759,IF(AND('Choix pédagogiques'!$C$3=3,$BO759=1),C759,""))</f>
        <v/>
      </c>
      <c r="Y759" s="53" t="str">
        <f aca="false">IF(AND(OR('Choix pédagogiques'!$C$3=1,'Choix pédagogiques'!$C$3=2),$BM759=1),D759,IF(AND('Choix pédagogiques'!$C$3=3,$BO759=1),D759,""))</f>
        <v/>
      </c>
      <c r="Z759" s="53" t="str">
        <f aca="false">IF($E759&lt;&gt;"",$E759,"")</f>
        <v/>
      </c>
      <c r="AA759" s="52" t="str">
        <f aca="false">IF($F759&lt;&gt;"",$F759,"")</f>
        <v>Apprenant 747 ou 747'</v>
      </c>
      <c r="AB759" s="53" t="str">
        <f aca="false">IF(AND(OR('Choix pédagogiques'!$C$3=1,'Choix pédagogiques'!$C$3=2),$BN759=1),G759,IF(AND('Choix pédagogiques'!$C$3=3,$BO759=1),G759,""))</f>
        <v/>
      </c>
      <c r="AC759" s="53" t="str">
        <f aca="false">IF(AND(OR('Choix pédagogiques'!$C$3=1,'Choix pédagogiques'!$C$3=2),$BN759=1),H759,IF(AND('Choix pédagogiques'!$C$3=3,$BO759=1),H759,""))</f>
        <v/>
      </c>
      <c r="AD759" s="53" t="str">
        <f aca="false">IF(AND(OR('Choix pédagogiques'!$C$3=1,'Choix pédagogiques'!$C$3=2),$BN759=1),I759,IF(AND('Choix pédagogiques'!$C$3=3,$BO759=1),I759,""))</f>
        <v/>
      </c>
      <c r="AE759" s="53" t="str">
        <f aca="false">IF($J759&lt;&gt;"",$J759,"")</f>
        <v/>
      </c>
      <c r="AF759" s="52" t="str">
        <f aca="false">IF($A759&lt;&gt;"",$A759,"")</f>
        <v>Apprenant 747</v>
      </c>
      <c r="AG759" s="53" t="str">
        <f aca="false">IF(AND($W759&lt;&gt;"",$X759&lt;&gt;""),$X759-$W759,"")</f>
        <v/>
      </c>
      <c r="AH759" s="53" t="str">
        <f aca="false">IF(AND($W759&lt;&gt;"",$Y759&lt;&gt;""),$Y759-$W759,"")</f>
        <v/>
      </c>
      <c r="AI759" s="53" t="str">
        <f aca="false">IF(AND($X759&lt;&gt;"",$Y759&lt;&gt;""),$Y759-$X759,"")</f>
        <v/>
      </c>
      <c r="AJ759" s="53" t="str">
        <f aca="false">IF($E759&lt;&gt;"",$E759,"")</f>
        <v/>
      </c>
      <c r="AK759" s="52" t="str">
        <f aca="false">IF($F759&lt;&gt;"",$F759,"")</f>
        <v>Apprenant 747 ou 747'</v>
      </c>
      <c r="AL759" s="53" t="str">
        <f aca="false">IF(AND($AB759&lt;&gt;"",$AC759&lt;&gt;""),$AC759-$AB759,"")</f>
        <v/>
      </c>
      <c r="AM759" s="53" t="str">
        <f aca="false">IF(AND($AB759&lt;&gt;"",$AD759&lt;&gt;""),$AD759-$AB759,"")</f>
        <v/>
      </c>
      <c r="AN759" s="53" t="str">
        <f aca="false">IF(AND($AC759&lt;&gt;"",$AD759&lt;&gt;""),$AD759-$AC759,"")</f>
        <v/>
      </c>
      <c r="AO759" s="53" t="str">
        <f aca="false">IF($J759&lt;&gt;"",$J759,"")</f>
        <v/>
      </c>
      <c r="AQ759" s="52" t="str">
        <f aca="false">IF($A759&lt;&gt;"",$A759,"")</f>
        <v>Apprenant 747</v>
      </c>
      <c r="AR759" s="55" t="str">
        <f aca="false">IF(AND('Choix pédagogiques'!$C$4&lt;&gt;"?",'Choix pédagogiques'!$C$5&lt;&gt;"?",W759&lt;&gt;""),(W759-'Choix pédagogiques'!$C$4)/('Choix pédagogiques'!$C$5-'Choix pédagogiques'!$C$4),"")</f>
        <v/>
      </c>
      <c r="AS759" s="55" t="str">
        <f aca="false">IF(AND('Choix pédagogiques'!$C$4&lt;&gt;"?",'Choix pédagogiques'!$C$5&lt;&gt;"?",X759&lt;&gt;""),(X759-'Choix pédagogiques'!$C$4)/('Choix pédagogiques'!$C$5-'Choix pédagogiques'!$C$4),"")</f>
        <v/>
      </c>
      <c r="AT759" s="55" t="str">
        <f aca="false">IF(AND('Choix pédagogiques'!$C$4&lt;&gt;"?",'Choix pédagogiques'!$C$5&lt;&gt;"?",Y759&lt;&gt;""),(Y759-'Choix pédagogiques'!$C$4)/('Choix pédagogiques'!$C$5-'Choix pédagogiques'!$C$4),"")</f>
        <v/>
      </c>
      <c r="AU759" s="53" t="str">
        <f aca="false">IF($E759&lt;&gt;"",$E759,"")</f>
        <v/>
      </c>
      <c r="AV759" s="52" t="str">
        <f aca="false">IF($F759&lt;&gt;"",$F759,"")</f>
        <v>Apprenant 747 ou 747'</v>
      </c>
      <c r="AW759" s="55" t="str">
        <f aca="false">IF(AND('Choix pédagogiques'!$C$4&lt;&gt;"?",'Choix pédagogiques'!$C$5&lt;&gt;"?",AB759&lt;&gt;""),(AB759-'Choix pédagogiques'!$C$4)/('Choix pédagogiques'!$C$5-'Choix pédagogiques'!$C$4),"")</f>
        <v/>
      </c>
      <c r="AX759" s="55" t="str">
        <f aca="false">IF(AND('Choix pédagogiques'!$C$4&lt;&gt;"?",'Choix pédagogiques'!$C$5&lt;&gt;"?",AC759&lt;&gt;""),(AC759-'Choix pédagogiques'!$C$4)/('Choix pédagogiques'!$C$5-'Choix pédagogiques'!$C$4),"")</f>
        <v/>
      </c>
      <c r="AY759" s="55" t="str">
        <f aca="false">IF(AND('Choix pédagogiques'!$C$4&lt;&gt;"?",'Choix pédagogiques'!$C$5&lt;&gt;"?",AD759&lt;&gt;""),(AD759-'Choix pédagogiques'!$C$4)/('Choix pédagogiques'!$C$5-'Choix pédagogiques'!$C$4),"")</f>
        <v/>
      </c>
      <c r="AZ759" s="53" t="str">
        <f aca="false">IF($J759&lt;&gt;"",$J759,"")</f>
        <v/>
      </c>
      <c r="BA759" s="52" t="str">
        <f aca="false">IF($A759&lt;&gt;"",$A759,"")</f>
        <v>Apprenant 747</v>
      </c>
      <c r="BB759" s="55" t="str">
        <f aca="false">IF(AND($AR759&lt;&gt;"",$AS759&lt;&gt;""),$AS759-$AR759,"")</f>
        <v/>
      </c>
      <c r="BC759" s="55" t="str">
        <f aca="false">IF(AND($AR759&lt;&gt;"",$AT759&lt;&gt;""),$AT759-$AR759,"")</f>
        <v/>
      </c>
      <c r="BD759" s="55" t="str">
        <f aca="false">IF(AND($AS759&lt;&gt;"",$AT759&lt;&gt;""),$AT759-$AS759,"")</f>
        <v/>
      </c>
      <c r="BE759" s="53" t="str">
        <f aca="false">IF($E759&lt;&gt;"",$E759,"")</f>
        <v/>
      </c>
      <c r="BF759" s="52" t="str">
        <f aca="false">IF($F759&lt;&gt;"",$F759,"")</f>
        <v>Apprenant 747 ou 747'</v>
      </c>
      <c r="BG759" s="55" t="str">
        <f aca="false">IF(AND($AW759&lt;&gt;"",$AX759&lt;&gt;""),$AX759-$AW759,"")</f>
        <v/>
      </c>
      <c r="BH759" s="55" t="str">
        <f aca="false">IF(AND($AW759&lt;&gt;"",$AY759&lt;&gt;""),$AY759-$AW759,"")</f>
        <v/>
      </c>
      <c r="BI759" s="55" t="str">
        <f aca="false">IF(AND($AX759&lt;&gt;"",$AY759&lt;&gt;""),$AY759-$AX759,"")</f>
        <v/>
      </c>
      <c r="BJ759" s="53" t="str">
        <f aca="false">IF($J759&lt;&gt;"",$J759,"")</f>
        <v/>
      </c>
      <c r="BL759" s="52"/>
      <c r="BM759" s="52" t="str">
        <f aca="false">IF(OR(COUNT(B759:D1758)=0,AND('Choix pédagogiques'!$C$3&lt;&gt;1,'Choix pédagogiques'!$C$3&lt;&gt;2)),"",IF(AND(OR('Choix pédagogiques'!$C$3=1,'Choix pédagogiques'!$C$3=2),$B759&lt;&gt;"",$C759&lt;&gt;"",$D759&lt;&gt;""),1,0))</f>
        <v/>
      </c>
      <c r="BN759" s="52" t="str">
        <f aca="false">IF(OR(COUNT(G759:I1758)=0,AND('Choix pédagogiques'!$C$3&lt;&gt;1,'Choix pédagogiques'!$C$3&lt;&gt;2)),"",IF(AND(OR('Choix pédagogiques'!$C$3=1,'Choix pédagogiques'!$C$3=2),AND($G759&lt;&gt;"",$H759&lt;&gt;"",$I759&lt;&gt;"")),1,0))</f>
        <v/>
      </c>
      <c r="BO759" s="52" t="str">
        <f aca="false">IF(OR(COUNT(B759:D1758)=0,COUNT(G759:I1758)=0,'Choix pédagogiques'!C$3&lt;&gt;3),"",IF(AND('Choix pédagogiques'!$C$3=3,$B759&lt;&gt;"",$C759&lt;&gt;"",$D759&lt;&gt;"",$G759&lt;&gt;"",$H759&lt;&gt;"",$I759&lt;&gt;""),1,0))</f>
        <v/>
      </c>
      <c r="BR759" s="52" t="n">
        <v>660</v>
      </c>
      <c r="BS759" s="52" t="n">
        <v>1628</v>
      </c>
    </row>
    <row r="760" s="54" customFormat="true" ht="18" hidden="false" customHeight="true" outlineLevel="0" collapsed="false">
      <c r="A760" s="57" t="s">
        <v>1451</v>
      </c>
      <c r="B760" s="51"/>
      <c r="C760" s="51"/>
      <c r="D760" s="51"/>
      <c r="E760" s="51"/>
      <c r="F760" s="57" t="s">
        <v>1452</v>
      </c>
      <c r="G760" s="51"/>
      <c r="H760" s="51"/>
      <c r="I760" s="51"/>
      <c r="J760" s="51"/>
      <c r="K760" s="52" t="str">
        <f aca="false">IF($A760&lt;&gt;"",$A760,"")</f>
        <v>Apprenant 748</v>
      </c>
      <c r="L760" s="53" t="str">
        <f aca="false">IF(AND($B760&lt;&gt;"",$C760&lt;&gt;""),$C760-$B760,"")</f>
        <v/>
      </c>
      <c r="M760" s="53" t="str">
        <f aca="false">IF(AND($B760&lt;&gt;"",$D760&lt;&gt;""),$D760-$B760,"")</f>
        <v/>
      </c>
      <c r="N760" s="53" t="str">
        <f aca="false">IF(AND($C760&lt;&gt;"",$D760&lt;&gt;""),$D760-$C760,"")</f>
        <v/>
      </c>
      <c r="O760" s="53" t="str">
        <f aca="false">IF($E760&lt;&gt;"",$E760,"")</f>
        <v/>
      </c>
      <c r="P760" s="52" t="str">
        <f aca="false">IF($F760&lt;&gt;"",$F760,"")</f>
        <v>Apprenant 748 ou 748'</v>
      </c>
      <c r="Q760" s="53" t="str">
        <f aca="false">IF(AND($G760&lt;&gt;"",$H760&lt;&gt;""),$H760-$G760,"")</f>
        <v/>
      </c>
      <c r="R760" s="53" t="str">
        <f aca="false">IF(AND($G760&lt;&gt;"",$I760&lt;&gt;""),$I760-$G760,"")</f>
        <v/>
      </c>
      <c r="S760" s="53" t="str">
        <f aca="false">IF(AND($H760&lt;&gt;"",$I760&lt;&gt;""),$I760-$H760,"")</f>
        <v/>
      </c>
      <c r="T760" s="53" t="str">
        <f aca="false">IF($J760&lt;&gt;"",$J760,"")</f>
        <v/>
      </c>
      <c r="V760" s="52" t="str">
        <f aca="false">IF($A760&lt;&gt;"",$A760,"")</f>
        <v>Apprenant 748</v>
      </c>
      <c r="W760" s="53" t="str">
        <f aca="false">IF(AND(OR('Choix pédagogiques'!$C$3=1,'Choix pédagogiques'!$C$3=2),$BM760=1),B760,IF(AND('Choix pédagogiques'!$C$3=3,$BO760=1),B760,""))</f>
        <v/>
      </c>
      <c r="X760" s="53" t="str">
        <f aca="false">IF(AND(OR('Choix pédagogiques'!$C$3=1,'Choix pédagogiques'!$C$3=2),$BM760=1),C760,IF(AND('Choix pédagogiques'!$C$3=3,$BO760=1),C760,""))</f>
        <v/>
      </c>
      <c r="Y760" s="53" t="str">
        <f aca="false">IF(AND(OR('Choix pédagogiques'!$C$3=1,'Choix pédagogiques'!$C$3=2),$BM760=1),D760,IF(AND('Choix pédagogiques'!$C$3=3,$BO760=1),D760,""))</f>
        <v/>
      </c>
      <c r="Z760" s="53" t="str">
        <f aca="false">IF($E760&lt;&gt;"",$E760,"")</f>
        <v/>
      </c>
      <c r="AA760" s="52" t="str">
        <f aca="false">IF($F760&lt;&gt;"",$F760,"")</f>
        <v>Apprenant 748 ou 748'</v>
      </c>
      <c r="AB760" s="53" t="str">
        <f aca="false">IF(AND(OR('Choix pédagogiques'!$C$3=1,'Choix pédagogiques'!$C$3=2),$BN760=1),G760,IF(AND('Choix pédagogiques'!$C$3=3,$BO760=1),G760,""))</f>
        <v/>
      </c>
      <c r="AC760" s="53" t="str">
        <f aca="false">IF(AND(OR('Choix pédagogiques'!$C$3=1,'Choix pédagogiques'!$C$3=2),$BN760=1),H760,IF(AND('Choix pédagogiques'!$C$3=3,$BO760=1),H760,""))</f>
        <v/>
      </c>
      <c r="AD760" s="53" t="str">
        <f aca="false">IF(AND(OR('Choix pédagogiques'!$C$3=1,'Choix pédagogiques'!$C$3=2),$BN760=1),I760,IF(AND('Choix pédagogiques'!$C$3=3,$BO760=1),I760,""))</f>
        <v/>
      </c>
      <c r="AE760" s="53" t="str">
        <f aca="false">IF($J760&lt;&gt;"",$J760,"")</f>
        <v/>
      </c>
      <c r="AF760" s="52" t="str">
        <f aca="false">IF($A760&lt;&gt;"",$A760,"")</f>
        <v>Apprenant 748</v>
      </c>
      <c r="AG760" s="53" t="str">
        <f aca="false">IF(AND($W760&lt;&gt;"",$X760&lt;&gt;""),$X760-$W760,"")</f>
        <v/>
      </c>
      <c r="AH760" s="53" t="str">
        <f aca="false">IF(AND($W760&lt;&gt;"",$Y760&lt;&gt;""),$Y760-$W760,"")</f>
        <v/>
      </c>
      <c r="AI760" s="53" t="str">
        <f aca="false">IF(AND($X760&lt;&gt;"",$Y760&lt;&gt;""),$Y760-$X760,"")</f>
        <v/>
      </c>
      <c r="AJ760" s="53" t="str">
        <f aca="false">IF($E760&lt;&gt;"",$E760,"")</f>
        <v/>
      </c>
      <c r="AK760" s="52" t="str">
        <f aca="false">IF($F760&lt;&gt;"",$F760,"")</f>
        <v>Apprenant 748 ou 748'</v>
      </c>
      <c r="AL760" s="53" t="str">
        <f aca="false">IF(AND($AB760&lt;&gt;"",$AC760&lt;&gt;""),$AC760-$AB760,"")</f>
        <v/>
      </c>
      <c r="AM760" s="53" t="str">
        <f aca="false">IF(AND($AB760&lt;&gt;"",$AD760&lt;&gt;""),$AD760-$AB760,"")</f>
        <v/>
      </c>
      <c r="AN760" s="53" t="str">
        <f aca="false">IF(AND($AC760&lt;&gt;"",$AD760&lt;&gt;""),$AD760-$AC760,"")</f>
        <v/>
      </c>
      <c r="AO760" s="53" t="str">
        <f aca="false">IF($J760&lt;&gt;"",$J760,"")</f>
        <v/>
      </c>
      <c r="AQ760" s="52" t="str">
        <f aca="false">IF($A760&lt;&gt;"",$A760,"")</f>
        <v>Apprenant 748</v>
      </c>
      <c r="AR760" s="55" t="str">
        <f aca="false">IF(AND('Choix pédagogiques'!$C$4&lt;&gt;"?",'Choix pédagogiques'!$C$5&lt;&gt;"?",W760&lt;&gt;""),(W760-'Choix pédagogiques'!$C$4)/('Choix pédagogiques'!$C$5-'Choix pédagogiques'!$C$4),"")</f>
        <v/>
      </c>
      <c r="AS760" s="55" t="str">
        <f aca="false">IF(AND('Choix pédagogiques'!$C$4&lt;&gt;"?",'Choix pédagogiques'!$C$5&lt;&gt;"?",X760&lt;&gt;""),(X760-'Choix pédagogiques'!$C$4)/('Choix pédagogiques'!$C$5-'Choix pédagogiques'!$C$4),"")</f>
        <v/>
      </c>
      <c r="AT760" s="55" t="str">
        <f aca="false">IF(AND('Choix pédagogiques'!$C$4&lt;&gt;"?",'Choix pédagogiques'!$C$5&lt;&gt;"?",Y760&lt;&gt;""),(Y760-'Choix pédagogiques'!$C$4)/('Choix pédagogiques'!$C$5-'Choix pédagogiques'!$C$4),"")</f>
        <v/>
      </c>
      <c r="AU760" s="53" t="str">
        <f aca="false">IF($E760&lt;&gt;"",$E760,"")</f>
        <v/>
      </c>
      <c r="AV760" s="52" t="str">
        <f aca="false">IF($F760&lt;&gt;"",$F760,"")</f>
        <v>Apprenant 748 ou 748'</v>
      </c>
      <c r="AW760" s="55" t="str">
        <f aca="false">IF(AND('Choix pédagogiques'!$C$4&lt;&gt;"?",'Choix pédagogiques'!$C$5&lt;&gt;"?",AB760&lt;&gt;""),(AB760-'Choix pédagogiques'!$C$4)/('Choix pédagogiques'!$C$5-'Choix pédagogiques'!$C$4),"")</f>
        <v/>
      </c>
      <c r="AX760" s="55" t="str">
        <f aca="false">IF(AND('Choix pédagogiques'!$C$4&lt;&gt;"?",'Choix pédagogiques'!$C$5&lt;&gt;"?",AC760&lt;&gt;""),(AC760-'Choix pédagogiques'!$C$4)/('Choix pédagogiques'!$C$5-'Choix pédagogiques'!$C$4),"")</f>
        <v/>
      </c>
      <c r="AY760" s="55" t="str">
        <f aca="false">IF(AND('Choix pédagogiques'!$C$4&lt;&gt;"?",'Choix pédagogiques'!$C$5&lt;&gt;"?",AD760&lt;&gt;""),(AD760-'Choix pédagogiques'!$C$4)/('Choix pédagogiques'!$C$5-'Choix pédagogiques'!$C$4),"")</f>
        <v/>
      </c>
      <c r="AZ760" s="53" t="str">
        <f aca="false">IF($J760&lt;&gt;"",$J760,"")</f>
        <v/>
      </c>
      <c r="BA760" s="52" t="str">
        <f aca="false">IF($A760&lt;&gt;"",$A760,"")</f>
        <v>Apprenant 748</v>
      </c>
      <c r="BB760" s="55" t="str">
        <f aca="false">IF(AND($AR760&lt;&gt;"",$AS760&lt;&gt;""),$AS760-$AR760,"")</f>
        <v/>
      </c>
      <c r="BC760" s="55" t="str">
        <f aca="false">IF(AND($AR760&lt;&gt;"",$AT760&lt;&gt;""),$AT760-$AR760,"")</f>
        <v/>
      </c>
      <c r="BD760" s="55" t="str">
        <f aca="false">IF(AND($AS760&lt;&gt;"",$AT760&lt;&gt;""),$AT760-$AS760,"")</f>
        <v/>
      </c>
      <c r="BE760" s="53" t="str">
        <f aca="false">IF($E760&lt;&gt;"",$E760,"")</f>
        <v/>
      </c>
      <c r="BF760" s="52" t="str">
        <f aca="false">IF($F760&lt;&gt;"",$F760,"")</f>
        <v>Apprenant 748 ou 748'</v>
      </c>
      <c r="BG760" s="55" t="str">
        <f aca="false">IF(AND($AW760&lt;&gt;"",$AX760&lt;&gt;""),$AX760-$AW760,"")</f>
        <v/>
      </c>
      <c r="BH760" s="55" t="str">
        <f aca="false">IF(AND($AW760&lt;&gt;"",$AY760&lt;&gt;""),$AY760-$AW760,"")</f>
        <v/>
      </c>
      <c r="BI760" s="55" t="str">
        <f aca="false">IF(AND($AX760&lt;&gt;"",$AY760&lt;&gt;""),$AY760-$AX760,"")</f>
        <v/>
      </c>
      <c r="BJ760" s="53" t="str">
        <f aca="false">IF($J760&lt;&gt;"",$J760,"")</f>
        <v/>
      </c>
      <c r="BL760" s="52"/>
      <c r="BM760" s="52" t="str">
        <f aca="false">IF(OR(COUNT(B760:D1759)=0,AND('Choix pédagogiques'!$C$3&lt;&gt;1,'Choix pédagogiques'!$C$3&lt;&gt;2)),"",IF(AND(OR('Choix pédagogiques'!$C$3=1,'Choix pédagogiques'!$C$3=2),$B760&lt;&gt;"",$C760&lt;&gt;"",$D760&lt;&gt;""),1,0))</f>
        <v/>
      </c>
      <c r="BN760" s="52" t="str">
        <f aca="false">IF(OR(COUNT(G760:I1759)=0,AND('Choix pédagogiques'!$C$3&lt;&gt;1,'Choix pédagogiques'!$C$3&lt;&gt;2)),"",IF(AND(OR('Choix pédagogiques'!$C$3=1,'Choix pédagogiques'!$C$3=2),AND($G760&lt;&gt;"",$H760&lt;&gt;"",$I760&lt;&gt;"")),1,0))</f>
        <v/>
      </c>
      <c r="BO760" s="52" t="str">
        <f aca="false">IF(OR(COUNT(B760:D1759)=0,COUNT(G760:I1759)=0,'Choix pédagogiques'!C$3&lt;&gt;3),"",IF(AND('Choix pédagogiques'!$C$3=3,$B760&lt;&gt;"",$C760&lt;&gt;"",$D760&lt;&gt;"",$G760&lt;&gt;"",$H760&lt;&gt;"",$I760&lt;&gt;""),1,0))</f>
        <v/>
      </c>
      <c r="BR760" s="52" t="n">
        <v>179</v>
      </c>
      <c r="BS760" s="52" t="n">
        <v>1594</v>
      </c>
    </row>
    <row r="761" s="54" customFormat="true" ht="18" hidden="false" customHeight="true" outlineLevel="0" collapsed="false">
      <c r="A761" s="57" t="s">
        <v>1453</v>
      </c>
      <c r="B761" s="51"/>
      <c r="C761" s="51"/>
      <c r="D761" s="51"/>
      <c r="E761" s="51"/>
      <c r="F761" s="57" t="s">
        <v>1454</v>
      </c>
      <c r="G761" s="51"/>
      <c r="H761" s="51"/>
      <c r="I761" s="51"/>
      <c r="J761" s="51"/>
      <c r="K761" s="52" t="str">
        <f aca="false">IF($A761&lt;&gt;"",$A761,"")</f>
        <v>Apprenant 749</v>
      </c>
      <c r="L761" s="53" t="str">
        <f aca="false">IF(AND($B761&lt;&gt;"",$C761&lt;&gt;""),$C761-$B761,"")</f>
        <v/>
      </c>
      <c r="M761" s="53" t="str">
        <f aca="false">IF(AND($B761&lt;&gt;"",$D761&lt;&gt;""),$D761-$B761,"")</f>
        <v/>
      </c>
      <c r="N761" s="53" t="str">
        <f aca="false">IF(AND($C761&lt;&gt;"",$D761&lt;&gt;""),$D761-$C761,"")</f>
        <v/>
      </c>
      <c r="O761" s="53" t="str">
        <f aca="false">IF($E761&lt;&gt;"",$E761,"")</f>
        <v/>
      </c>
      <c r="P761" s="52" t="str">
        <f aca="false">IF($F761&lt;&gt;"",$F761,"")</f>
        <v>Apprenant 749 ou 749'</v>
      </c>
      <c r="Q761" s="53" t="str">
        <f aca="false">IF(AND($G761&lt;&gt;"",$H761&lt;&gt;""),$H761-$G761,"")</f>
        <v/>
      </c>
      <c r="R761" s="53" t="str">
        <f aca="false">IF(AND($G761&lt;&gt;"",$I761&lt;&gt;""),$I761-$G761,"")</f>
        <v/>
      </c>
      <c r="S761" s="53" t="str">
        <f aca="false">IF(AND($H761&lt;&gt;"",$I761&lt;&gt;""),$I761-$H761,"")</f>
        <v/>
      </c>
      <c r="T761" s="53" t="str">
        <f aca="false">IF($J761&lt;&gt;"",$J761,"")</f>
        <v/>
      </c>
      <c r="V761" s="52" t="str">
        <f aca="false">IF($A761&lt;&gt;"",$A761,"")</f>
        <v>Apprenant 749</v>
      </c>
      <c r="W761" s="53" t="str">
        <f aca="false">IF(AND(OR('Choix pédagogiques'!$C$3=1,'Choix pédagogiques'!$C$3=2),$BM761=1),B761,IF(AND('Choix pédagogiques'!$C$3=3,$BO761=1),B761,""))</f>
        <v/>
      </c>
      <c r="X761" s="53" t="str">
        <f aca="false">IF(AND(OR('Choix pédagogiques'!$C$3=1,'Choix pédagogiques'!$C$3=2),$BM761=1),C761,IF(AND('Choix pédagogiques'!$C$3=3,$BO761=1),C761,""))</f>
        <v/>
      </c>
      <c r="Y761" s="53" t="str">
        <f aca="false">IF(AND(OR('Choix pédagogiques'!$C$3=1,'Choix pédagogiques'!$C$3=2),$BM761=1),D761,IF(AND('Choix pédagogiques'!$C$3=3,$BO761=1),D761,""))</f>
        <v/>
      </c>
      <c r="Z761" s="53" t="str">
        <f aca="false">IF($E761&lt;&gt;"",$E761,"")</f>
        <v/>
      </c>
      <c r="AA761" s="52" t="str">
        <f aca="false">IF($F761&lt;&gt;"",$F761,"")</f>
        <v>Apprenant 749 ou 749'</v>
      </c>
      <c r="AB761" s="53" t="str">
        <f aca="false">IF(AND(OR('Choix pédagogiques'!$C$3=1,'Choix pédagogiques'!$C$3=2),$BN761=1),G761,IF(AND('Choix pédagogiques'!$C$3=3,$BO761=1),G761,""))</f>
        <v/>
      </c>
      <c r="AC761" s="53" t="str">
        <f aca="false">IF(AND(OR('Choix pédagogiques'!$C$3=1,'Choix pédagogiques'!$C$3=2),$BN761=1),H761,IF(AND('Choix pédagogiques'!$C$3=3,$BO761=1),H761,""))</f>
        <v/>
      </c>
      <c r="AD761" s="53" t="str">
        <f aca="false">IF(AND(OR('Choix pédagogiques'!$C$3=1,'Choix pédagogiques'!$C$3=2),$BN761=1),I761,IF(AND('Choix pédagogiques'!$C$3=3,$BO761=1),I761,""))</f>
        <v/>
      </c>
      <c r="AE761" s="53" t="str">
        <f aca="false">IF($J761&lt;&gt;"",$J761,"")</f>
        <v/>
      </c>
      <c r="AF761" s="52" t="str">
        <f aca="false">IF($A761&lt;&gt;"",$A761,"")</f>
        <v>Apprenant 749</v>
      </c>
      <c r="AG761" s="53" t="str">
        <f aca="false">IF(AND($W761&lt;&gt;"",$X761&lt;&gt;""),$X761-$W761,"")</f>
        <v/>
      </c>
      <c r="AH761" s="53" t="str">
        <f aca="false">IF(AND($W761&lt;&gt;"",$Y761&lt;&gt;""),$Y761-$W761,"")</f>
        <v/>
      </c>
      <c r="AI761" s="53" t="str">
        <f aca="false">IF(AND($X761&lt;&gt;"",$Y761&lt;&gt;""),$Y761-$X761,"")</f>
        <v/>
      </c>
      <c r="AJ761" s="53" t="str">
        <f aca="false">IF($E761&lt;&gt;"",$E761,"")</f>
        <v/>
      </c>
      <c r="AK761" s="52" t="str">
        <f aca="false">IF($F761&lt;&gt;"",$F761,"")</f>
        <v>Apprenant 749 ou 749'</v>
      </c>
      <c r="AL761" s="53" t="str">
        <f aca="false">IF(AND($AB761&lt;&gt;"",$AC761&lt;&gt;""),$AC761-$AB761,"")</f>
        <v/>
      </c>
      <c r="AM761" s="53" t="str">
        <f aca="false">IF(AND($AB761&lt;&gt;"",$AD761&lt;&gt;""),$AD761-$AB761,"")</f>
        <v/>
      </c>
      <c r="AN761" s="53" t="str">
        <f aca="false">IF(AND($AC761&lt;&gt;"",$AD761&lt;&gt;""),$AD761-$AC761,"")</f>
        <v/>
      </c>
      <c r="AO761" s="53" t="str">
        <f aca="false">IF($J761&lt;&gt;"",$J761,"")</f>
        <v/>
      </c>
      <c r="AQ761" s="52" t="str">
        <f aca="false">IF($A761&lt;&gt;"",$A761,"")</f>
        <v>Apprenant 749</v>
      </c>
      <c r="AR761" s="55" t="str">
        <f aca="false">IF(AND('Choix pédagogiques'!$C$4&lt;&gt;"?",'Choix pédagogiques'!$C$5&lt;&gt;"?",W761&lt;&gt;""),(W761-'Choix pédagogiques'!$C$4)/('Choix pédagogiques'!$C$5-'Choix pédagogiques'!$C$4),"")</f>
        <v/>
      </c>
      <c r="AS761" s="55" t="str">
        <f aca="false">IF(AND('Choix pédagogiques'!$C$4&lt;&gt;"?",'Choix pédagogiques'!$C$5&lt;&gt;"?",X761&lt;&gt;""),(X761-'Choix pédagogiques'!$C$4)/('Choix pédagogiques'!$C$5-'Choix pédagogiques'!$C$4),"")</f>
        <v/>
      </c>
      <c r="AT761" s="55" t="str">
        <f aca="false">IF(AND('Choix pédagogiques'!$C$4&lt;&gt;"?",'Choix pédagogiques'!$C$5&lt;&gt;"?",Y761&lt;&gt;""),(Y761-'Choix pédagogiques'!$C$4)/('Choix pédagogiques'!$C$5-'Choix pédagogiques'!$C$4),"")</f>
        <v/>
      </c>
      <c r="AU761" s="53" t="str">
        <f aca="false">IF($E761&lt;&gt;"",$E761,"")</f>
        <v/>
      </c>
      <c r="AV761" s="52" t="str">
        <f aca="false">IF($F761&lt;&gt;"",$F761,"")</f>
        <v>Apprenant 749 ou 749'</v>
      </c>
      <c r="AW761" s="55" t="str">
        <f aca="false">IF(AND('Choix pédagogiques'!$C$4&lt;&gt;"?",'Choix pédagogiques'!$C$5&lt;&gt;"?",AB761&lt;&gt;""),(AB761-'Choix pédagogiques'!$C$4)/('Choix pédagogiques'!$C$5-'Choix pédagogiques'!$C$4),"")</f>
        <v/>
      </c>
      <c r="AX761" s="55" t="str">
        <f aca="false">IF(AND('Choix pédagogiques'!$C$4&lt;&gt;"?",'Choix pédagogiques'!$C$5&lt;&gt;"?",AC761&lt;&gt;""),(AC761-'Choix pédagogiques'!$C$4)/('Choix pédagogiques'!$C$5-'Choix pédagogiques'!$C$4),"")</f>
        <v/>
      </c>
      <c r="AY761" s="55" t="str">
        <f aca="false">IF(AND('Choix pédagogiques'!$C$4&lt;&gt;"?",'Choix pédagogiques'!$C$5&lt;&gt;"?",AD761&lt;&gt;""),(AD761-'Choix pédagogiques'!$C$4)/('Choix pédagogiques'!$C$5-'Choix pédagogiques'!$C$4),"")</f>
        <v/>
      </c>
      <c r="AZ761" s="53" t="str">
        <f aca="false">IF($J761&lt;&gt;"",$J761,"")</f>
        <v/>
      </c>
      <c r="BA761" s="52" t="str">
        <f aca="false">IF($A761&lt;&gt;"",$A761,"")</f>
        <v>Apprenant 749</v>
      </c>
      <c r="BB761" s="55" t="str">
        <f aca="false">IF(AND($AR761&lt;&gt;"",$AS761&lt;&gt;""),$AS761-$AR761,"")</f>
        <v/>
      </c>
      <c r="BC761" s="55" t="str">
        <f aca="false">IF(AND($AR761&lt;&gt;"",$AT761&lt;&gt;""),$AT761-$AR761,"")</f>
        <v/>
      </c>
      <c r="BD761" s="55" t="str">
        <f aca="false">IF(AND($AS761&lt;&gt;"",$AT761&lt;&gt;""),$AT761-$AS761,"")</f>
        <v/>
      </c>
      <c r="BE761" s="53" t="str">
        <f aca="false">IF($E761&lt;&gt;"",$E761,"")</f>
        <v/>
      </c>
      <c r="BF761" s="52" t="str">
        <f aca="false">IF($F761&lt;&gt;"",$F761,"")</f>
        <v>Apprenant 749 ou 749'</v>
      </c>
      <c r="BG761" s="55" t="str">
        <f aca="false">IF(AND($AW761&lt;&gt;"",$AX761&lt;&gt;""),$AX761-$AW761,"")</f>
        <v/>
      </c>
      <c r="BH761" s="55" t="str">
        <f aca="false">IF(AND($AW761&lt;&gt;"",$AY761&lt;&gt;""),$AY761-$AW761,"")</f>
        <v/>
      </c>
      <c r="BI761" s="55" t="str">
        <f aca="false">IF(AND($AX761&lt;&gt;"",$AY761&lt;&gt;""),$AY761-$AX761,"")</f>
        <v/>
      </c>
      <c r="BJ761" s="53" t="str">
        <f aca="false">IF($J761&lt;&gt;"",$J761,"")</f>
        <v/>
      </c>
      <c r="BL761" s="52"/>
      <c r="BM761" s="52" t="str">
        <f aca="false">IF(OR(COUNT(B761:D1760)=0,AND('Choix pédagogiques'!$C$3&lt;&gt;1,'Choix pédagogiques'!$C$3&lt;&gt;2)),"",IF(AND(OR('Choix pédagogiques'!$C$3=1,'Choix pédagogiques'!$C$3=2),$B761&lt;&gt;"",$C761&lt;&gt;"",$D761&lt;&gt;""),1,0))</f>
        <v/>
      </c>
      <c r="BN761" s="52" t="str">
        <f aca="false">IF(OR(COUNT(G761:I1760)=0,AND('Choix pédagogiques'!$C$3&lt;&gt;1,'Choix pédagogiques'!$C$3&lt;&gt;2)),"",IF(AND(OR('Choix pédagogiques'!$C$3=1,'Choix pédagogiques'!$C$3=2),AND($G761&lt;&gt;"",$H761&lt;&gt;"",$I761&lt;&gt;"")),1,0))</f>
        <v/>
      </c>
      <c r="BO761" s="52" t="str">
        <f aca="false">IF(OR(COUNT(B761:D1760)=0,COUNT(G761:I1760)=0,'Choix pédagogiques'!C$3&lt;&gt;3),"",IF(AND('Choix pédagogiques'!$C$3=3,$B761&lt;&gt;"",$C761&lt;&gt;"",$D761&lt;&gt;"",$G761&lt;&gt;"",$H761&lt;&gt;"",$I761&lt;&gt;""),1,0))</f>
        <v/>
      </c>
      <c r="BR761" s="52" t="n">
        <v>941</v>
      </c>
      <c r="BS761" s="52" t="n">
        <v>1446</v>
      </c>
    </row>
    <row r="762" s="54" customFormat="true" ht="18" hidden="false" customHeight="true" outlineLevel="0" collapsed="false">
      <c r="A762" s="57" t="s">
        <v>1455</v>
      </c>
      <c r="B762" s="51"/>
      <c r="C762" s="51"/>
      <c r="D762" s="51"/>
      <c r="E762" s="51"/>
      <c r="F762" s="57" t="s">
        <v>1456</v>
      </c>
      <c r="G762" s="51"/>
      <c r="H762" s="51"/>
      <c r="I762" s="51"/>
      <c r="J762" s="51"/>
      <c r="K762" s="52" t="str">
        <f aca="false">IF($A762&lt;&gt;"",$A762,"")</f>
        <v>Apprenant 750</v>
      </c>
      <c r="L762" s="53" t="str">
        <f aca="false">IF(AND($B762&lt;&gt;"",$C762&lt;&gt;""),$C762-$B762,"")</f>
        <v/>
      </c>
      <c r="M762" s="53" t="str">
        <f aca="false">IF(AND($B762&lt;&gt;"",$D762&lt;&gt;""),$D762-$B762,"")</f>
        <v/>
      </c>
      <c r="N762" s="53" t="str">
        <f aca="false">IF(AND($C762&lt;&gt;"",$D762&lt;&gt;""),$D762-$C762,"")</f>
        <v/>
      </c>
      <c r="O762" s="53" t="str">
        <f aca="false">IF($E762&lt;&gt;"",$E762,"")</f>
        <v/>
      </c>
      <c r="P762" s="52" t="str">
        <f aca="false">IF($F762&lt;&gt;"",$F762,"")</f>
        <v>Apprenant 750 ou 750'</v>
      </c>
      <c r="Q762" s="53" t="str">
        <f aca="false">IF(AND($G762&lt;&gt;"",$H762&lt;&gt;""),$H762-$G762,"")</f>
        <v/>
      </c>
      <c r="R762" s="53" t="str">
        <f aca="false">IF(AND($G762&lt;&gt;"",$I762&lt;&gt;""),$I762-$G762,"")</f>
        <v/>
      </c>
      <c r="S762" s="53" t="str">
        <f aca="false">IF(AND($H762&lt;&gt;"",$I762&lt;&gt;""),$I762-$H762,"")</f>
        <v/>
      </c>
      <c r="T762" s="53" t="str">
        <f aca="false">IF($J762&lt;&gt;"",$J762,"")</f>
        <v/>
      </c>
      <c r="V762" s="52" t="str">
        <f aca="false">IF($A762&lt;&gt;"",$A762,"")</f>
        <v>Apprenant 750</v>
      </c>
      <c r="W762" s="53" t="str">
        <f aca="false">IF(AND(OR('Choix pédagogiques'!$C$3=1,'Choix pédagogiques'!$C$3=2),$BM762=1),B762,IF(AND('Choix pédagogiques'!$C$3=3,$BO762=1),B762,""))</f>
        <v/>
      </c>
      <c r="X762" s="53" t="str">
        <f aca="false">IF(AND(OR('Choix pédagogiques'!$C$3=1,'Choix pédagogiques'!$C$3=2),$BM762=1),C762,IF(AND('Choix pédagogiques'!$C$3=3,$BO762=1),C762,""))</f>
        <v/>
      </c>
      <c r="Y762" s="53" t="str">
        <f aca="false">IF(AND(OR('Choix pédagogiques'!$C$3=1,'Choix pédagogiques'!$C$3=2),$BM762=1),D762,IF(AND('Choix pédagogiques'!$C$3=3,$BO762=1),D762,""))</f>
        <v/>
      </c>
      <c r="Z762" s="53" t="str">
        <f aca="false">IF($E762&lt;&gt;"",$E762,"")</f>
        <v/>
      </c>
      <c r="AA762" s="52" t="str">
        <f aca="false">IF($F762&lt;&gt;"",$F762,"")</f>
        <v>Apprenant 750 ou 750'</v>
      </c>
      <c r="AB762" s="53" t="str">
        <f aca="false">IF(AND(OR('Choix pédagogiques'!$C$3=1,'Choix pédagogiques'!$C$3=2),$BN762=1),G762,IF(AND('Choix pédagogiques'!$C$3=3,$BO762=1),G762,""))</f>
        <v/>
      </c>
      <c r="AC762" s="53" t="str">
        <f aca="false">IF(AND(OR('Choix pédagogiques'!$C$3=1,'Choix pédagogiques'!$C$3=2),$BN762=1),H762,IF(AND('Choix pédagogiques'!$C$3=3,$BO762=1),H762,""))</f>
        <v/>
      </c>
      <c r="AD762" s="53" t="str">
        <f aca="false">IF(AND(OR('Choix pédagogiques'!$C$3=1,'Choix pédagogiques'!$C$3=2),$BN762=1),I762,IF(AND('Choix pédagogiques'!$C$3=3,$BO762=1),I762,""))</f>
        <v/>
      </c>
      <c r="AE762" s="53" t="str">
        <f aca="false">IF($J762&lt;&gt;"",$J762,"")</f>
        <v/>
      </c>
      <c r="AF762" s="52" t="str">
        <f aca="false">IF($A762&lt;&gt;"",$A762,"")</f>
        <v>Apprenant 750</v>
      </c>
      <c r="AG762" s="53" t="str">
        <f aca="false">IF(AND($W762&lt;&gt;"",$X762&lt;&gt;""),$X762-$W762,"")</f>
        <v/>
      </c>
      <c r="AH762" s="53" t="str">
        <f aca="false">IF(AND($W762&lt;&gt;"",$Y762&lt;&gt;""),$Y762-$W762,"")</f>
        <v/>
      </c>
      <c r="AI762" s="53" t="str">
        <f aca="false">IF(AND($X762&lt;&gt;"",$Y762&lt;&gt;""),$Y762-$X762,"")</f>
        <v/>
      </c>
      <c r="AJ762" s="53" t="str">
        <f aca="false">IF($E762&lt;&gt;"",$E762,"")</f>
        <v/>
      </c>
      <c r="AK762" s="52" t="str">
        <f aca="false">IF($F762&lt;&gt;"",$F762,"")</f>
        <v>Apprenant 750 ou 750'</v>
      </c>
      <c r="AL762" s="53" t="str">
        <f aca="false">IF(AND($AB762&lt;&gt;"",$AC762&lt;&gt;""),$AC762-$AB762,"")</f>
        <v/>
      </c>
      <c r="AM762" s="53" t="str">
        <f aca="false">IF(AND($AB762&lt;&gt;"",$AD762&lt;&gt;""),$AD762-$AB762,"")</f>
        <v/>
      </c>
      <c r="AN762" s="53" t="str">
        <f aca="false">IF(AND($AC762&lt;&gt;"",$AD762&lt;&gt;""),$AD762-$AC762,"")</f>
        <v/>
      </c>
      <c r="AO762" s="53" t="str">
        <f aca="false">IF($J762&lt;&gt;"",$J762,"")</f>
        <v/>
      </c>
      <c r="AQ762" s="52" t="str">
        <f aca="false">IF($A762&lt;&gt;"",$A762,"")</f>
        <v>Apprenant 750</v>
      </c>
      <c r="AR762" s="55" t="str">
        <f aca="false">IF(AND('Choix pédagogiques'!$C$4&lt;&gt;"?",'Choix pédagogiques'!$C$5&lt;&gt;"?",W762&lt;&gt;""),(W762-'Choix pédagogiques'!$C$4)/('Choix pédagogiques'!$C$5-'Choix pédagogiques'!$C$4),"")</f>
        <v/>
      </c>
      <c r="AS762" s="55" t="str">
        <f aca="false">IF(AND('Choix pédagogiques'!$C$4&lt;&gt;"?",'Choix pédagogiques'!$C$5&lt;&gt;"?",X762&lt;&gt;""),(X762-'Choix pédagogiques'!$C$4)/('Choix pédagogiques'!$C$5-'Choix pédagogiques'!$C$4),"")</f>
        <v/>
      </c>
      <c r="AT762" s="55" t="str">
        <f aca="false">IF(AND('Choix pédagogiques'!$C$4&lt;&gt;"?",'Choix pédagogiques'!$C$5&lt;&gt;"?",Y762&lt;&gt;""),(Y762-'Choix pédagogiques'!$C$4)/('Choix pédagogiques'!$C$5-'Choix pédagogiques'!$C$4),"")</f>
        <v/>
      </c>
      <c r="AU762" s="53" t="str">
        <f aca="false">IF($E762&lt;&gt;"",$E762,"")</f>
        <v/>
      </c>
      <c r="AV762" s="52" t="str">
        <f aca="false">IF($F762&lt;&gt;"",$F762,"")</f>
        <v>Apprenant 750 ou 750'</v>
      </c>
      <c r="AW762" s="55" t="str">
        <f aca="false">IF(AND('Choix pédagogiques'!$C$4&lt;&gt;"?",'Choix pédagogiques'!$C$5&lt;&gt;"?",AB762&lt;&gt;""),(AB762-'Choix pédagogiques'!$C$4)/('Choix pédagogiques'!$C$5-'Choix pédagogiques'!$C$4),"")</f>
        <v/>
      </c>
      <c r="AX762" s="55" t="str">
        <f aca="false">IF(AND('Choix pédagogiques'!$C$4&lt;&gt;"?",'Choix pédagogiques'!$C$5&lt;&gt;"?",AC762&lt;&gt;""),(AC762-'Choix pédagogiques'!$C$4)/('Choix pédagogiques'!$C$5-'Choix pédagogiques'!$C$4),"")</f>
        <v/>
      </c>
      <c r="AY762" s="55" t="str">
        <f aca="false">IF(AND('Choix pédagogiques'!$C$4&lt;&gt;"?",'Choix pédagogiques'!$C$5&lt;&gt;"?",AD762&lt;&gt;""),(AD762-'Choix pédagogiques'!$C$4)/('Choix pédagogiques'!$C$5-'Choix pédagogiques'!$C$4),"")</f>
        <v/>
      </c>
      <c r="AZ762" s="53" t="str">
        <f aca="false">IF($J762&lt;&gt;"",$J762,"")</f>
        <v/>
      </c>
      <c r="BA762" s="52" t="str">
        <f aca="false">IF($A762&lt;&gt;"",$A762,"")</f>
        <v>Apprenant 750</v>
      </c>
      <c r="BB762" s="55" t="str">
        <f aca="false">IF(AND($AR762&lt;&gt;"",$AS762&lt;&gt;""),$AS762-$AR762,"")</f>
        <v/>
      </c>
      <c r="BC762" s="55" t="str">
        <f aca="false">IF(AND($AR762&lt;&gt;"",$AT762&lt;&gt;""),$AT762-$AR762,"")</f>
        <v/>
      </c>
      <c r="BD762" s="55" t="str">
        <f aca="false">IF(AND($AS762&lt;&gt;"",$AT762&lt;&gt;""),$AT762-$AS762,"")</f>
        <v/>
      </c>
      <c r="BE762" s="53" t="str">
        <f aca="false">IF($E762&lt;&gt;"",$E762,"")</f>
        <v/>
      </c>
      <c r="BF762" s="52" t="str">
        <f aca="false">IF($F762&lt;&gt;"",$F762,"")</f>
        <v>Apprenant 750 ou 750'</v>
      </c>
      <c r="BG762" s="55" t="str">
        <f aca="false">IF(AND($AW762&lt;&gt;"",$AX762&lt;&gt;""),$AX762-$AW762,"")</f>
        <v/>
      </c>
      <c r="BH762" s="55" t="str">
        <f aca="false">IF(AND($AW762&lt;&gt;"",$AY762&lt;&gt;""),$AY762-$AW762,"")</f>
        <v/>
      </c>
      <c r="BI762" s="55" t="str">
        <f aca="false">IF(AND($AX762&lt;&gt;"",$AY762&lt;&gt;""),$AY762-$AX762,"")</f>
        <v/>
      </c>
      <c r="BJ762" s="53" t="str">
        <f aca="false">IF($J762&lt;&gt;"",$J762,"")</f>
        <v/>
      </c>
      <c r="BL762" s="52"/>
      <c r="BM762" s="52" t="str">
        <f aca="false">IF(OR(COUNT(B762:D1761)=0,AND('Choix pédagogiques'!$C$3&lt;&gt;1,'Choix pédagogiques'!$C$3&lt;&gt;2)),"",IF(AND(OR('Choix pédagogiques'!$C$3=1,'Choix pédagogiques'!$C$3=2),$B762&lt;&gt;"",$C762&lt;&gt;"",$D762&lt;&gt;""),1,0))</f>
        <v/>
      </c>
      <c r="BN762" s="52" t="str">
        <f aca="false">IF(OR(COUNT(G762:I1761)=0,AND('Choix pédagogiques'!$C$3&lt;&gt;1,'Choix pédagogiques'!$C$3&lt;&gt;2)),"",IF(AND(OR('Choix pédagogiques'!$C$3=1,'Choix pédagogiques'!$C$3=2),AND($G762&lt;&gt;"",$H762&lt;&gt;"",$I762&lt;&gt;"")),1,0))</f>
        <v/>
      </c>
      <c r="BO762" s="52" t="str">
        <f aca="false">IF(OR(COUNT(B762:D1761)=0,COUNT(G762:I1761)=0,'Choix pédagogiques'!C$3&lt;&gt;3),"",IF(AND('Choix pédagogiques'!$C$3=3,$B762&lt;&gt;"",$C762&lt;&gt;"",$D762&lt;&gt;"",$G762&lt;&gt;"",$H762&lt;&gt;"",$I762&lt;&gt;""),1,0))</f>
        <v/>
      </c>
      <c r="BR762" s="52" t="n">
        <v>428</v>
      </c>
      <c r="BS762" s="52" t="n">
        <v>1683</v>
      </c>
    </row>
    <row r="763" s="54" customFormat="true" ht="18" hidden="false" customHeight="true" outlineLevel="0" collapsed="false">
      <c r="A763" s="57" t="s">
        <v>1457</v>
      </c>
      <c r="B763" s="51"/>
      <c r="C763" s="51"/>
      <c r="D763" s="51"/>
      <c r="E763" s="51"/>
      <c r="F763" s="57" t="s">
        <v>1458</v>
      </c>
      <c r="G763" s="51"/>
      <c r="H763" s="51"/>
      <c r="I763" s="51"/>
      <c r="J763" s="51"/>
      <c r="K763" s="52" t="str">
        <f aca="false">IF($A763&lt;&gt;"",$A763,"")</f>
        <v>Apprenant 751</v>
      </c>
      <c r="L763" s="53" t="str">
        <f aca="false">IF(AND($B763&lt;&gt;"",$C763&lt;&gt;""),$C763-$B763,"")</f>
        <v/>
      </c>
      <c r="M763" s="53" t="str">
        <f aca="false">IF(AND($B763&lt;&gt;"",$D763&lt;&gt;""),$D763-$B763,"")</f>
        <v/>
      </c>
      <c r="N763" s="53" t="str">
        <f aca="false">IF(AND($C763&lt;&gt;"",$D763&lt;&gt;""),$D763-$C763,"")</f>
        <v/>
      </c>
      <c r="O763" s="53" t="str">
        <f aca="false">IF($E763&lt;&gt;"",$E763,"")</f>
        <v/>
      </c>
      <c r="P763" s="52" t="str">
        <f aca="false">IF($F763&lt;&gt;"",$F763,"")</f>
        <v>Apprenant 751 ou 751'</v>
      </c>
      <c r="Q763" s="53" t="str">
        <f aca="false">IF(AND($G763&lt;&gt;"",$H763&lt;&gt;""),$H763-$G763,"")</f>
        <v/>
      </c>
      <c r="R763" s="53" t="str">
        <f aca="false">IF(AND($G763&lt;&gt;"",$I763&lt;&gt;""),$I763-$G763,"")</f>
        <v/>
      </c>
      <c r="S763" s="53" t="str">
        <f aca="false">IF(AND($H763&lt;&gt;"",$I763&lt;&gt;""),$I763-$H763,"")</f>
        <v/>
      </c>
      <c r="T763" s="53" t="str">
        <f aca="false">IF($J763&lt;&gt;"",$J763,"")</f>
        <v/>
      </c>
      <c r="V763" s="52" t="str">
        <f aca="false">IF($A763&lt;&gt;"",$A763,"")</f>
        <v>Apprenant 751</v>
      </c>
      <c r="W763" s="53" t="str">
        <f aca="false">IF(AND(OR('Choix pédagogiques'!$C$3=1,'Choix pédagogiques'!$C$3=2),$BM763=1),B763,IF(AND('Choix pédagogiques'!$C$3=3,$BO763=1),B763,""))</f>
        <v/>
      </c>
      <c r="X763" s="53" t="str">
        <f aca="false">IF(AND(OR('Choix pédagogiques'!$C$3=1,'Choix pédagogiques'!$C$3=2),$BM763=1),C763,IF(AND('Choix pédagogiques'!$C$3=3,$BO763=1),C763,""))</f>
        <v/>
      </c>
      <c r="Y763" s="53" t="str">
        <f aca="false">IF(AND(OR('Choix pédagogiques'!$C$3=1,'Choix pédagogiques'!$C$3=2),$BM763=1),D763,IF(AND('Choix pédagogiques'!$C$3=3,$BO763=1),D763,""))</f>
        <v/>
      </c>
      <c r="Z763" s="53" t="str">
        <f aca="false">IF($E763&lt;&gt;"",$E763,"")</f>
        <v/>
      </c>
      <c r="AA763" s="52" t="str">
        <f aca="false">IF($F763&lt;&gt;"",$F763,"")</f>
        <v>Apprenant 751 ou 751'</v>
      </c>
      <c r="AB763" s="53" t="str">
        <f aca="false">IF(AND(OR('Choix pédagogiques'!$C$3=1,'Choix pédagogiques'!$C$3=2),$BN763=1),G763,IF(AND('Choix pédagogiques'!$C$3=3,$BO763=1),G763,""))</f>
        <v/>
      </c>
      <c r="AC763" s="53" t="str">
        <f aca="false">IF(AND(OR('Choix pédagogiques'!$C$3=1,'Choix pédagogiques'!$C$3=2),$BN763=1),H763,IF(AND('Choix pédagogiques'!$C$3=3,$BO763=1),H763,""))</f>
        <v/>
      </c>
      <c r="AD763" s="53" t="str">
        <f aca="false">IF(AND(OR('Choix pédagogiques'!$C$3=1,'Choix pédagogiques'!$C$3=2),$BN763=1),I763,IF(AND('Choix pédagogiques'!$C$3=3,$BO763=1),I763,""))</f>
        <v/>
      </c>
      <c r="AE763" s="53" t="str">
        <f aca="false">IF($J763&lt;&gt;"",$J763,"")</f>
        <v/>
      </c>
      <c r="AF763" s="52" t="str">
        <f aca="false">IF($A763&lt;&gt;"",$A763,"")</f>
        <v>Apprenant 751</v>
      </c>
      <c r="AG763" s="53" t="str">
        <f aca="false">IF(AND($W763&lt;&gt;"",$X763&lt;&gt;""),$X763-$W763,"")</f>
        <v/>
      </c>
      <c r="AH763" s="53" t="str">
        <f aca="false">IF(AND($W763&lt;&gt;"",$Y763&lt;&gt;""),$Y763-$W763,"")</f>
        <v/>
      </c>
      <c r="AI763" s="53" t="str">
        <f aca="false">IF(AND($X763&lt;&gt;"",$Y763&lt;&gt;""),$Y763-$X763,"")</f>
        <v/>
      </c>
      <c r="AJ763" s="53" t="str">
        <f aca="false">IF($E763&lt;&gt;"",$E763,"")</f>
        <v/>
      </c>
      <c r="AK763" s="52" t="str">
        <f aca="false">IF($F763&lt;&gt;"",$F763,"")</f>
        <v>Apprenant 751 ou 751'</v>
      </c>
      <c r="AL763" s="53" t="str">
        <f aca="false">IF(AND($AB763&lt;&gt;"",$AC763&lt;&gt;""),$AC763-$AB763,"")</f>
        <v/>
      </c>
      <c r="AM763" s="53" t="str">
        <f aca="false">IF(AND($AB763&lt;&gt;"",$AD763&lt;&gt;""),$AD763-$AB763,"")</f>
        <v/>
      </c>
      <c r="AN763" s="53" t="str">
        <f aca="false">IF(AND($AC763&lt;&gt;"",$AD763&lt;&gt;""),$AD763-$AC763,"")</f>
        <v/>
      </c>
      <c r="AO763" s="53" t="str">
        <f aca="false">IF($J763&lt;&gt;"",$J763,"")</f>
        <v/>
      </c>
      <c r="AQ763" s="52" t="str">
        <f aca="false">IF($A763&lt;&gt;"",$A763,"")</f>
        <v>Apprenant 751</v>
      </c>
      <c r="AR763" s="55" t="str">
        <f aca="false">IF(AND('Choix pédagogiques'!$C$4&lt;&gt;"?",'Choix pédagogiques'!$C$5&lt;&gt;"?",W763&lt;&gt;""),(W763-'Choix pédagogiques'!$C$4)/('Choix pédagogiques'!$C$5-'Choix pédagogiques'!$C$4),"")</f>
        <v/>
      </c>
      <c r="AS763" s="55" t="str">
        <f aca="false">IF(AND('Choix pédagogiques'!$C$4&lt;&gt;"?",'Choix pédagogiques'!$C$5&lt;&gt;"?",X763&lt;&gt;""),(X763-'Choix pédagogiques'!$C$4)/('Choix pédagogiques'!$C$5-'Choix pédagogiques'!$C$4),"")</f>
        <v/>
      </c>
      <c r="AT763" s="55" t="str">
        <f aca="false">IF(AND('Choix pédagogiques'!$C$4&lt;&gt;"?",'Choix pédagogiques'!$C$5&lt;&gt;"?",Y763&lt;&gt;""),(Y763-'Choix pédagogiques'!$C$4)/('Choix pédagogiques'!$C$5-'Choix pédagogiques'!$C$4),"")</f>
        <v/>
      </c>
      <c r="AU763" s="53" t="str">
        <f aca="false">IF($E763&lt;&gt;"",$E763,"")</f>
        <v/>
      </c>
      <c r="AV763" s="52" t="str">
        <f aca="false">IF($F763&lt;&gt;"",$F763,"")</f>
        <v>Apprenant 751 ou 751'</v>
      </c>
      <c r="AW763" s="55" t="str">
        <f aca="false">IF(AND('Choix pédagogiques'!$C$4&lt;&gt;"?",'Choix pédagogiques'!$C$5&lt;&gt;"?",AB763&lt;&gt;""),(AB763-'Choix pédagogiques'!$C$4)/('Choix pédagogiques'!$C$5-'Choix pédagogiques'!$C$4),"")</f>
        <v/>
      </c>
      <c r="AX763" s="55" t="str">
        <f aca="false">IF(AND('Choix pédagogiques'!$C$4&lt;&gt;"?",'Choix pédagogiques'!$C$5&lt;&gt;"?",AC763&lt;&gt;""),(AC763-'Choix pédagogiques'!$C$4)/('Choix pédagogiques'!$C$5-'Choix pédagogiques'!$C$4),"")</f>
        <v/>
      </c>
      <c r="AY763" s="55" t="str">
        <f aca="false">IF(AND('Choix pédagogiques'!$C$4&lt;&gt;"?",'Choix pédagogiques'!$C$5&lt;&gt;"?",AD763&lt;&gt;""),(AD763-'Choix pédagogiques'!$C$4)/('Choix pédagogiques'!$C$5-'Choix pédagogiques'!$C$4),"")</f>
        <v/>
      </c>
      <c r="AZ763" s="53" t="str">
        <f aca="false">IF($J763&lt;&gt;"",$J763,"")</f>
        <v/>
      </c>
      <c r="BA763" s="52" t="str">
        <f aca="false">IF($A763&lt;&gt;"",$A763,"")</f>
        <v>Apprenant 751</v>
      </c>
      <c r="BB763" s="55" t="str">
        <f aca="false">IF(AND($AR763&lt;&gt;"",$AS763&lt;&gt;""),$AS763-$AR763,"")</f>
        <v/>
      </c>
      <c r="BC763" s="55" t="str">
        <f aca="false">IF(AND($AR763&lt;&gt;"",$AT763&lt;&gt;""),$AT763-$AR763,"")</f>
        <v/>
      </c>
      <c r="BD763" s="55" t="str">
        <f aca="false">IF(AND($AS763&lt;&gt;"",$AT763&lt;&gt;""),$AT763-$AS763,"")</f>
        <v/>
      </c>
      <c r="BE763" s="53" t="str">
        <f aca="false">IF($E763&lt;&gt;"",$E763,"")</f>
        <v/>
      </c>
      <c r="BF763" s="52" t="str">
        <f aca="false">IF($F763&lt;&gt;"",$F763,"")</f>
        <v>Apprenant 751 ou 751'</v>
      </c>
      <c r="BG763" s="55" t="str">
        <f aca="false">IF(AND($AW763&lt;&gt;"",$AX763&lt;&gt;""),$AX763-$AW763,"")</f>
        <v/>
      </c>
      <c r="BH763" s="55" t="str">
        <f aca="false">IF(AND($AW763&lt;&gt;"",$AY763&lt;&gt;""),$AY763-$AW763,"")</f>
        <v/>
      </c>
      <c r="BI763" s="55" t="str">
        <f aca="false">IF(AND($AX763&lt;&gt;"",$AY763&lt;&gt;""),$AY763-$AX763,"")</f>
        <v/>
      </c>
      <c r="BJ763" s="53" t="str">
        <f aca="false">IF($J763&lt;&gt;"",$J763,"")</f>
        <v/>
      </c>
      <c r="BL763" s="52"/>
      <c r="BM763" s="52" t="str">
        <f aca="false">IF(OR(COUNT(B763:D1762)=0,AND('Choix pédagogiques'!$C$3&lt;&gt;1,'Choix pédagogiques'!$C$3&lt;&gt;2)),"",IF(AND(OR('Choix pédagogiques'!$C$3=1,'Choix pédagogiques'!$C$3=2),$B763&lt;&gt;"",$C763&lt;&gt;"",$D763&lt;&gt;""),1,0))</f>
        <v/>
      </c>
      <c r="BN763" s="52" t="str">
        <f aca="false">IF(OR(COUNT(G763:I1762)=0,AND('Choix pédagogiques'!$C$3&lt;&gt;1,'Choix pédagogiques'!$C$3&lt;&gt;2)),"",IF(AND(OR('Choix pédagogiques'!$C$3=1,'Choix pédagogiques'!$C$3=2),AND($G763&lt;&gt;"",$H763&lt;&gt;"",$I763&lt;&gt;"")),1,0))</f>
        <v/>
      </c>
      <c r="BO763" s="52" t="str">
        <f aca="false">IF(OR(COUNT(B763:D1762)=0,COUNT(G763:I1762)=0,'Choix pédagogiques'!C$3&lt;&gt;3),"",IF(AND('Choix pédagogiques'!$C$3=3,$B763&lt;&gt;"",$C763&lt;&gt;"",$D763&lt;&gt;"",$G763&lt;&gt;"",$H763&lt;&gt;"",$I763&lt;&gt;""),1,0))</f>
        <v/>
      </c>
      <c r="BR763" s="52" t="n">
        <v>303</v>
      </c>
      <c r="BS763" s="52" t="n">
        <v>1607</v>
      </c>
    </row>
    <row r="764" s="54" customFormat="true" ht="18" hidden="false" customHeight="true" outlineLevel="0" collapsed="false">
      <c r="A764" s="57" t="s">
        <v>1459</v>
      </c>
      <c r="B764" s="51"/>
      <c r="C764" s="51"/>
      <c r="D764" s="51"/>
      <c r="E764" s="51"/>
      <c r="F764" s="57" t="s">
        <v>1460</v>
      </c>
      <c r="G764" s="51"/>
      <c r="H764" s="51"/>
      <c r="I764" s="51"/>
      <c r="J764" s="51"/>
      <c r="K764" s="52" t="str">
        <f aca="false">IF($A764&lt;&gt;"",$A764,"")</f>
        <v>Apprenant 752</v>
      </c>
      <c r="L764" s="53" t="str">
        <f aca="false">IF(AND($B764&lt;&gt;"",$C764&lt;&gt;""),$C764-$B764,"")</f>
        <v/>
      </c>
      <c r="M764" s="53" t="str">
        <f aca="false">IF(AND($B764&lt;&gt;"",$D764&lt;&gt;""),$D764-$B764,"")</f>
        <v/>
      </c>
      <c r="N764" s="53" t="str">
        <f aca="false">IF(AND($C764&lt;&gt;"",$D764&lt;&gt;""),$D764-$C764,"")</f>
        <v/>
      </c>
      <c r="O764" s="53" t="str">
        <f aca="false">IF($E764&lt;&gt;"",$E764,"")</f>
        <v/>
      </c>
      <c r="P764" s="52" t="str">
        <f aca="false">IF($F764&lt;&gt;"",$F764,"")</f>
        <v>Apprenant 752 ou 752'</v>
      </c>
      <c r="Q764" s="53" t="str">
        <f aca="false">IF(AND($G764&lt;&gt;"",$H764&lt;&gt;""),$H764-$G764,"")</f>
        <v/>
      </c>
      <c r="R764" s="53" t="str">
        <f aca="false">IF(AND($G764&lt;&gt;"",$I764&lt;&gt;""),$I764-$G764,"")</f>
        <v/>
      </c>
      <c r="S764" s="53" t="str">
        <f aca="false">IF(AND($H764&lt;&gt;"",$I764&lt;&gt;""),$I764-$H764,"")</f>
        <v/>
      </c>
      <c r="T764" s="53" t="str">
        <f aca="false">IF($J764&lt;&gt;"",$J764,"")</f>
        <v/>
      </c>
      <c r="V764" s="52" t="str">
        <f aca="false">IF($A764&lt;&gt;"",$A764,"")</f>
        <v>Apprenant 752</v>
      </c>
      <c r="W764" s="53" t="str">
        <f aca="false">IF(AND(OR('Choix pédagogiques'!$C$3=1,'Choix pédagogiques'!$C$3=2),$BM764=1),B764,IF(AND('Choix pédagogiques'!$C$3=3,$BO764=1),B764,""))</f>
        <v/>
      </c>
      <c r="X764" s="53" t="str">
        <f aca="false">IF(AND(OR('Choix pédagogiques'!$C$3=1,'Choix pédagogiques'!$C$3=2),$BM764=1),C764,IF(AND('Choix pédagogiques'!$C$3=3,$BO764=1),C764,""))</f>
        <v/>
      </c>
      <c r="Y764" s="53" t="str">
        <f aca="false">IF(AND(OR('Choix pédagogiques'!$C$3=1,'Choix pédagogiques'!$C$3=2),$BM764=1),D764,IF(AND('Choix pédagogiques'!$C$3=3,$BO764=1),D764,""))</f>
        <v/>
      </c>
      <c r="Z764" s="53" t="str">
        <f aca="false">IF($E764&lt;&gt;"",$E764,"")</f>
        <v/>
      </c>
      <c r="AA764" s="52" t="str">
        <f aca="false">IF($F764&lt;&gt;"",$F764,"")</f>
        <v>Apprenant 752 ou 752'</v>
      </c>
      <c r="AB764" s="53" t="str">
        <f aca="false">IF(AND(OR('Choix pédagogiques'!$C$3=1,'Choix pédagogiques'!$C$3=2),$BN764=1),G764,IF(AND('Choix pédagogiques'!$C$3=3,$BO764=1),G764,""))</f>
        <v/>
      </c>
      <c r="AC764" s="53" t="str">
        <f aca="false">IF(AND(OR('Choix pédagogiques'!$C$3=1,'Choix pédagogiques'!$C$3=2),$BN764=1),H764,IF(AND('Choix pédagogiques'!$C$3=3,$BO764=1),H764,""))</f>
        <v/>
      </c>
      <c r="AD764" s="53" t="str">
        <f aca="false">IF(AND(OR('Choix pédagogiques'!$C$3=1,'Choix pédagogiques'!$C$3=2),$BN764=1),I764,IF(AND('Choix pédagogiques'!$C$3=3,$BO764=1),I764,""))</f>
        <v/>
      </c>
      <c r="AE764" s="53" t="str">
        <f aca="false">IF($J764&lt;&gt;"",$J764,"")</f>
        <v/>
      </c>
      <c r="AF764" s="52" t="str">
        <f aca="false">IF($A764&lt;&gt;"",$A764,"")</f>
        <v>Apprenant 752</v>
      </c>
      <c r="AG764" s="53" t="str">
        <f aca="false">IF(AND($W764&lt;&gt;"",$X764&lt;&gt;""),$X764-$W764,"")</f>
        <v/>
      </c>
      <c r="AH764" s="53" t="str">
        <f aca="false">IF(AND($W764&lt;&gt;"",$Y764&lt;&gt;""),$Y764-$W764,"")</f>
        <v/>
      </c>
      <c r="AI764" s="53" t="str">
        <f aca="false">IF(AND($X764&lt;&gt;"",$Y764&lt;&gt;""),$Y764-$X764,"")</f>
        <v/>
      </c>
      <c r="AJ764" s="53" t="str">
        <f aca="false">IF($E764&lt;&gt;"",$E764,"")</f>
        <v/>
      </c>
      <c r="AK764" s="52" t="str">
        <f aca="false">IF($F764&lt;&gt;"",$F764,"")</f>
        <v>Apprenant 752 ou 752'</v>
      </c>
      <c r="AL764" s="53" t="str">
        <f aca="false">IF(AND($AB764&lt;&gt;"",$AC764&lt;&gt;""),$AC764-$AB764,"")</f>
        <v/>
      </c>
      <c r="AM764" s="53" t="str">
        <f aca="false">IF(AND($AB764&lt;&gt;"",$AD764&lt;&gt;""),$AD764-$AB764,"")</f>
        <v/>
      </c>
      <c r="AN764" s="53" t="str">
        <f aca="false">IF(AND($AC764&lt;&gt;"",$AD764&lt;&gt;""),$AD764-$AC764,"")</f>
        <v/>
      </c>
      <c r="AO764" s="53" t="str">
        <f aca="false">IF($J764&lt;&gt;"",$J764,"")</f>
        <v/>
      </c>
      <c r="AQ764" s="52" t="str">
        <f aca="false">IF($A764&lt;&gt;"",$A764,"")</f>
        <v>Apprenant 752</v>
      </c>
      <c r="AR764" s="55" t="str">
        <f aca="false">IF(AND('Choix pédagogiques'!$C$4&lt;&gt;"?",'Choix pédagogiques'!$C$5&lt;&gt;"?",W764&lt;&gt;""),(W764-'Choix pédagogiques'!$C$4)/('Choix pédagogiques'!$C$5-'Choix pédagogiques'!$C$4),"")</f>
        <v/>
      </c>
      <c r="AS764" s="55" t="str">
        <f aca="false">IF(AND('Choix pédagogiques'!$C$4&lt;&gt;"?",'Choix pédagogiques'!$C$5&lt;&gt;"?",X764&lt;&gt;""),(X764-'Choix pédagogiques'!$C$4)/('Choix pédagogiques'!$C$5-'Choix pédagogiques'!$C$4),"")</f>
        <v/>
      </c>
      <c r="AT764" s="55" t="str">
        <f aca="false">IF(AND('Choix pédagogiques'!$C$4&lt;&gt;"?",'Choix pédagogiques'!$C$5&lt;&gt;"?",Y764&lt;&gt;""),(Y764-'Choix pédagogiques'!$C$4)/('Choix pédagogiques'!$C$5-'Choix pédagogiques'!$C$4),"")</f>
        <v/>
      </c>
      <c r="AU764" s="53" t="str">
        <f aca="false">IF($E764&lt;&gt;"",$E764,"")</f>
        <v/>
      </c>
      <c r="AV764" s="52" t="str">
        <f aca="false">IF($F764&lt;&gt;"",$F764,"")</f>
        <v>Apprenant 752 ou 752'</v>
      </c>
      <c r="AW764" s="55" t="str">
        <f aca="false">IF(AND('Choix pédagogiques'!$C$4&lt;&gt;"?",'Choix pédagogiques'!$C$5&lt;&gt;"?",AB764&lt;&gt;""),(AB764-'Choix pédagogiques'!$C$4)/('Choix pédagogiques'!$C$5-'Choix pédagogiques'!$C$4),"")</f>
        <v/>
      </c>
      <c r="AX764" s="55" t="str">
        <f aca="false">IF(AND('Choix pédagogiques'!$C$4&lt;&gt;"?",'Choix pédagogiques'!$C$5&lt;&gt;"?",AC764&lt;&gt;""),(AC764-'Choix pédagogiques'!$C$4)/('Choix pédagogiques'!$C$5-'Choix pédagogiques'!$C$4),"")</f>
        <v/>
      </c>
      <c r="AY764" s="55" t="str">
        <f aca="false">IF(AND('Choix pédagogiques'!$C$4&lt;&gt;"?",'Choix pédagogiques'!$C$5&lt;&gt;"?",AD764&lt;&gt;""),(AD764-'Choix pédagogiques'!$C$4)/('Choix pédagogiques'!$C$5-'Choix pédagogiques'!$C$4),"")</f>
        <v/>
      </c>
      <c r="AZ764" s="53" t="str">
        <f aca="false">IF($J764&lt;&gt;"",$J764,"")</f>
        <v/>
      </c>
      <c r="BA764" s="52" t="str">
        <f aca="false">IF($A764&lt;&gt;"",$A764,"")</f>
        <v>Apprenant 752</v>
      </c>
      <c r="BB764" s="55" t="str">
        <f aca="false">IF(AND($AR764&lt;&gt;"",$AS764&lt;&gt;""),$AS764-$AR764,"")</f>
        <v/>
      </c>
      <c r="BC764" s="55" t="str">
        <f aca="false">IF(AND($AR764&lt;&gt;"",$AT764&lt;&gt;""),$AT764-$AR764,"")</f>
        <v/>
      </c>
      <c r="BD764" s="55" t="str">
        <f aca="false">IF(AND($AS764&lt;&gt;"",$AT764&lt;&gt;""),$AT764-$AS764,"")</f>
        <v/>
      </c>
      <c r="BE764" s="53" t="str">
        <f aca="false">IF($E764&lt;&gt;"",$E764,"")</f>
        <v/>
      </c>
      <c r="BF764" s="52" t="str">
        <f aca="false">IF($F764&lt;&gt;"",$F764,"")</f>
        <v>Apprenant 752 ou 752'</v>
      </c>
      <c r="BG764" s="55" t="str">
        <f aca="false">IF(AND($AW764&lt;&gt;"",$AX764&lt;&gt;""),$AX764-$AW764,"")</f>
        <v/>
      </c>
      <c r="BH764" s="55" t="str">
        <f aca="false">IF(AND($AW764&lt;&gt;"",$AY764&lt;&gt;""),$AY764-$AW764,"")</f>
        <v/>
      </c>
      <c r="BI764" s="55" t="str">
        <f aca="false">IF(AND($AX764&lt;&gt;"",$AY764&lt;&gt;""),$AY764-$AX764,"")</f>
        <v/>
      </c>
      <c r="BJ764" s="53" t="str">
        <f aca="false">IF($J764&lt;&gt;"",$J764,"")</f>
        <v/>
      </c>
      <c r="BL764" s="52"/>
      <c r="BM764" s="52" t="str">
        <f aca="false">IF(OR(COUNT(B764:D1763)=0,AND('Choix pédagogiques'!$C$3&lt;&gt;1,'Choix pédagogiques'!$C$3&lt;&gt;2)),"",IF(AND(OR('Choix pédagogiques'!$C$3=1,'Choix pédagogiques'!$C$3=2),$B764&lt;&gt;"",$C764&lt;&gt;"",$D764&lt;&gt;""),1,0))</f>
        <v/>
      </c>
      <c r="BN764" s="52" t="str">
        <f aca="false">IF(OR(COUNT(G764:I1763)=0,AND('Choix pédagogiques'!$C$3&lt;&gt;1,'Choix pédagogiques'!$C$3&lt;&gt;2)),"",IF(AND(OR('Choix pédagogiques'!$C$3=1,'Choix pédagogiques'!$C$3=2),AND($G764&lt;&gt;"",$H764&lt;&gt;"",$I764&lt;&gt;"")),1,0))</f>
        <v/>
      </c>
      <c r="BO764" s="52" t="str">
        <f aca="false">IF(OR(COUNT(B764:D1763)=0,COUNT(G764:I1763)=0,'Choix pédagogiques'!C$3&lt;&gt;3),"",IF(AND('Choix pédagogiques'!$C$3=3,$B764&lt;&gt;"",$C764&lt;&gt;"",$D764&lt;&gt;"",$G764&lt;&gt;"",$H764&lt;&gt;"",$I764&lt;&gt;""),1,0))</f>
        <v/>
      </c>
      <c r="BR764" s="52" t="n">
        <v>286</v>
      </c>
      <c r="BS764" s="52" t="n">
        <v>1234</v>
      </c>
    </row>
    <row r="765" s="54" customFormat="true" ht="18" hidden="false" customHeight="true" outlineLevel="0" collapsed="false">
      <c r="A765" s="57" t="s">
        <v>1461</v>
      </c>
      <c r="B765" s="51"/>
      <c r="C765" s="51"/>
      <c r="D765" s="51"/>
      <c r="E765" s="51"/>
      <c r="F765" s="57" t="s">
        <v>1462</v>
      </c>
      <c r="G765" s="51"/>
      <c r="H765" s="51"/>
      <c r="I765" s="51"/>
      <c r="J765" s="51"/>
      <c r="K765" s="52" t="str">
        <f aca="false">IF($A765&lt;&gt;"",$A765,"")</f>
        <v>Apprenant 753</v>
      </c>
      <c r="L765" s="53" t="str">
        <f aca="false">IF(AND($B765&lt;&gt;"",$C765&lt;&gt;""),$C765-$B765,"")</f>
        <v/>
      </c>
      <c r="M765" s="53" t="str">
        <f aca="false">IF(AND($B765&lt;&gt;"",$D765&lt;&gt;""),$D765-$B765,"")</f>
        <v/>
      </c>
      <c r="N765" s="53" t="str">
        <f aca="false">IF(AND($C765&lt;&gt;"",$D765&lt;&gt;""),$D765-$C765,"")</f>
        <v/>
      </c>
      <c r="O765" s="53" t="str">
        <f aca="false">IF($E765&lt;&gt;"",$E765,"")</f>
        <v/>
      </c>
      <c r="P765" s="52" t="str">
        <f aca="false">IF($F765&lt;&gt;"",$F765,"")</f>
        <v>Apprenant 753 ou 753'</v>
      </c>
      <c r="Q765" s="53" t="str">
        <f aca="false">IF(AND($G765&lt;&gt;"",$H765&lt;&gt;""),$H765-$G765,"")</f>
        <v/>
      </c>
      <c r="R765" s="53" t="str">
        <f aca="false">IF(AND($G765&lt;&gt;"",$I765&lt;&gt;""),$I765-$G765,"")</f>
        <v/>
      </c>
      <c r="S765" s="53" t="str">
        <f aca="false">IF(AND($H765&lt;&gt;"",$I765&lt;&gt;""),$I765-$H765,"")</f>
        <v/>
      </c>
      <c r="T765" s="53" t="str">
        <f aca="false">IF($J765&lt;&gt;"",$J765,"")</f>
        <v/>
      </c>
      <c r="V765" s="52" t="str">
        <f aca="false">IF($A765&lt;&gt;"",$A765,"")</f>
        <v>Apprenant 753</v>
      </c>
      <c r="W765" s="53" t="str">
        <f aca="false">IF(AND(OR('Choix pédagogiques'!$C$3=1,'Choix pédagogiques'!$C$3=2),$BM765=1),B765,IF(AND('Choix pédagogiques'!$C$3=3,$BO765=1),B765,""))</f>
        <v/>
      </c>
      <c r="X765" s="53" t="str">
        <f aca="false">IF(AND(OR('Choix pédagogiques'!$C$3=1,'Choix pédagogiques'!$C$3=2),$BM765=1),C765,IF(AND('Choix pédagogiques'!$C$3=3,$BO765=1),C765,""))</f>
        <v/>
      </c>
      <c r="Y765" s="53" t="str">
        <f aca="false">IF(AND(OR('Choix pédagogiques'!$C$3=1,'Choix pédagogiques'!$C$3=2),$BM765=1),D765,IF(AND('Choix pédagogiques'!$C$3=3,$BO765=1),D765,""))</f>
        <v/>
      </c>
      <c r="Z765" s="53" t="str">
        <f aca="false">IF($E765&lt;&gt;"",$E765,"")</f>
        <v/>
      </c>
      <c r="AA765" s="52" t="str">
        <f aca="false">IF($F765&lt;&gt;"",$F765,"")</f>
        <v>Apprenant 753 ou 753'</v>
      </c>
      <c r="AB765" s="53" t="str">
        <f aca="false">IF(AND(OR('Choix pédagogiques'!$C$3=1,'Choix pédagogiques'!$C$3=2),$BN765=1),G765,IF(AND('Choix pédagogiques'!$C$3=3,$BO765=1),G765,""))</f>
        <v/>
      </c>
      <c r="AC765" s="53" t="str">
        <f aca="false">IF(AND(OR('Choix pédagogiques'!$C$3=1,'Choix pédagogiques'!$C$3=2),$BN765=1),H765,IF(AND('Choix pédagogiques'!$C$3=3,$BO765=1),H765,""))</f>
        <v/>
      </c>
      <c r="AD765" s="53" t="str">
        <f aca="false">IF(AND(OR('Choix pédagogiques'!$C$3=1,'Choix pédagogiques'!$C$3=2),$BN765=1),I765,IF(AND('Choix pédagogiques'!$C$3=3,$BO765=1),I765,""))</f>
        <v/>
      </c>
      <c r="AE765" s="53" t="str">
        <f aca="false">IF($J765&lt;&gt;"",$J765,"")</f>
        <v/>
      </c>
      <c r="AF765" s="52" t="str">
        <f aca="false">IF($A765&lt;&gt;"",$A765,"")</f>
        <v>Apprenant 753</v>
      </c>
      <c r="AG765" s="53" t="str">
        <f aca="false">IF(AND($W765&lt;&gt;"",$X765&lt;&gt;""),$X765-$W765,"")</f>
        <v/>
      </c>
      <c r="AH765" s="53" t="str">
        <f aca="false">IF(AND($W765&lt;&gt;"",$Y765&lt;&gt;""),$Y765-$W765,"")</f>
        <v/>
      </c>
      <c r="AI765" s="53" t="str">
        <f aca="false">IF(AND($X765&lt;&gt;"",$Y765&lt;&gt;""),$Y765-$X765,"")</f>
        <v/>
      </c>
      <c r="AJ765" s="53" t="str">
        <f aca="false">IF($E765&lt;&gt;"",$E765,"")</f>
        <v/>
      </c>
      <c r="AK765" s="52" t="str">
        <f aca="false">IF($F765&lt;&gt;"",$F765,"")</f>
        <v>Apprenant 753 ou 753'</v>
      </c>
      <c r="AL765" s="53" t="str">
        <f aca="false">IF(AND($AB765&lt;&gt;"",$AC765&lt;&gt;""),$AC765-$AB765,"")</f>
        <v/>
      </c>
      <c r="AM765" s="53" t="str">
        <f aca="false">IF(AND($AB765&lt;&gt;"",$AD765&lt;&gt;""),$AD765-$AB765,"")</f>
        <v/>
      </c>
      <c r="AN765" s="53" t="str">
        <f aca="false">IF(AND($AC765&lt;&gt;"",$AD765&lt;&gt;""),$AD765-$AC765,"")</f>
        <v/>
      </c>
      <c r="AO765" s="53" t="str">
        <f aca="false">IF($J765&lt;&gt;"",$J765,"")</f>
        <v/>
      </c>
      <c r="AQ765" s="52" t="str">
        <f aca="false">IF($A765&lt;&gt;"",$A765,"")</f>
        <v>Apprenant 753</v>
      </c>
      <c r="AR765" s="55" t="str">
        <f aca="false">IF(AND('Choix pédagogiques'!$C$4&lt;&gt;"?",'Choix pédagogiques'!$C$5&lt;&gt;"?",W765&lt;&gt;""),(W765-'Choix pédagogiques'!$C$4)/('Choix pédagogiques'!$C$5-'Choix pédagogiques'!$C$4),"")</f>
        <v/>
      </c>
      <c r="AS765" s="55" t="str">
        <f aca="false">IF(AND('Choix pédagogiques'!$C$4&lt;&gt;"?",'Choix pédagogiques'!$C$5&lt;&gt;"?",X765&lt;&gt;""),(X765-'Choix pédagogiques'!$C$4)/('Choix pédagogiques'!$C$5-'Choix pédagogiques'!$C$4),"")</f>
        <v/>
      </c>
      <c r="AT765" s="55" t="str">
        <f aca="false">IF(AND('Choix pédagogiques'!$C$4&lt;&gt;"?",'Choix pédagogiques'!$C$5&lt;&gt;"?",Y765&lt;&gt;""),(Y765-'Choix pédagogiques'!$C$4)/('Choix pédagogiques'!$C$5-'Choix pédagogiques'!$C$4),"")</f>
        <v/>
      </c>
      <c r="AU765" s="53" t="str">
        <f aca="false">IF($E765&lt;&gt;"",$E765,"")</f>
        <v/>
      </c>
      <c r="AV765" s="52" t="str">
        <f aca="false">IF($F765&lt;&gt;"",$F765,"")</f>
        <v>Apprenant 753 ou 753'</v>
      </c>
      <c r="AW765" s="55" t="str">
        <f aca="false">IF(AND('Choix pédagogiques'!$C$4&lt;&gt;"?",'Choix pédagogiques'!$C$5&lt;&gt;"?",AB765&lt;&gt;""),(AB765-'Choix pédagogiques'!$C$4)/('Choix pédagogiques'!$C$5-'Choix pédagogiques'!$C$4),"")</f>
        <v/>
      </c>
      <c r="AX765" s="55" t="str">
        <f aca="false">IF(AND('Choix pédagogiques'!$C$4&lt;&gt;"?",'Choix pédagogiques'!$C$5&lt;&gt;"?",AC765&lt;&gt;""),(AC765-'Choix pédagogiques'!$C$4)/('Choix pédagogiques'!$C$5-'Choix pédagogiques'!$C$4),"")</f>
        <v/>
      </c>
      <c r="AY765" s="55" t="str">
        <f aca="false">IF(AND('Choix pédagogiques'!$C$4&lt;&gt;"?",'Choix pédagogiques'!$C$5&lt;&gt;"?",AD765&lt;&gt;""),(AD765-'Choix pédagogiques'!$C$4)/('Choix pédagogiques'!$C$5-'Choix pédagogiques'!$C$4),"")</f>
        <v/>
      </c>
      <c r="AZ765" s="53" t="str">
        <f aca="false">IF($J765&lt;&gt;"",$J765,"")</f>
        <v/>
      </c>
      <c r="BA765" s="52" t="str">
        <f aca="false">IF($A765&lt;&gt;"",$A765,"")</f>
        <v>Apprenant 753</v>
      </c>
      <c r="BB765" s="55" t="str">
        <f aca="false">IF(AND($AR765&lt;&gt;"",$AS765&lt;&gt;""),$AS765-$AR765,"")</f>
        <v/>
      </c>
      <c r="BC765" s="55" t="str">
        <f aca="false">IF(AND($AR765&lt;&gt;"",$AT765&lt;&gt;""),$AT765-$AR765,"")</f>
        <v/>
      </c>
      <c r="BD765" s="55" t="str">
        <f aca="false">IF(AND($AS765&lt;&gt;"",$AT765&lt;&gt;""),$AT765-$AS765,"")</f>
        <v/>
      </c>
      <c r="BE765" s="53" t="str">
        <f aca="false">IF($E765&lt;&gt;"",$E765,"")</f>
        <v/>
      </c>
      <c r="BF765" s="52" t="str">
        <f aca="false">IF($F765&lt;&gt;"",$F765,"")</f>
        <v>Apprenant 753 ou 753'</v>
      </c>
      <c r="BG765" s="55" t="str">
        <f aca="false">IF(AND($AW765&lt;&gt;"",$AX765&lt;&gt;""),$AX765-$AW765,"")</f>
        <v/>
      </c>
      <c r="BH765" s="55" t="str">
        <f aca="false">IF(AND($AW765&lt;&gt;"",$AY765&lt;&gt;""),$AY765-$AW765,"")</f>
        <v/>
      </c>
      <c r="BI765" s="55" t="str">
        <f aca="false">IF(AND($AX765&lt;&gt;"",$AY765&lt;&gt;""),$AY765-$AX765,"")</f>
        <v/>
      </c>
      <c r="BJ765" s="53" t="str">
        <f aca="false">IF($J765&lt;&gt;"",$J765,"")</f>
        <v/>
      </c>
      <c r="BL765" s="52"/>
      <c r="BM765" s="52" t="str">
        <f aca="false">IF(OR(COUNT(B765:D1764)=0,AND('Choix pédagogiques'!$C$3&lt;&gt;1,'Choix pédagogiques'!$C$3&lt;&gt;2)),"",IF(AND(OR('Choix pédagogiques'!$C$3=1,'Choix pédagogiques'!$C$3=2),$B765&lt;&gt;"",$C765&lt;&gt;"",$D765&lt;&gt;""),1,0))</f>
        <v/>
      </c>
      <c r="BN765" s="52" t="str">
        <f aca="false">IF(OR(COUNT(G765:I1764)=0,AND('Choix pédagogiques'!$C$3&lt;&gt;1,'Choix pédagogiques'!$C$3&lt;&gt;2)),"",IF(AND(OR('Choix pédagogiques'!$C$3=1,'Choix pédagogiques'!$C$3=2),AND($G765&lt;&gt;"",$H765&lt;&gt;"",$I765&lt;&gt;"")),1,0))</f>
        <v/>
      </c>
      <c r="BO765" s="52" t="str">
        <f aca="false">IF(OR(COUNT(B765:D1764)=0,COUNT(G765:I1764)=0,'Choix pédagogiques'!C$3&lt;&gt;3),"",IF(AND('Choix pédagogiques'!$C$3=3,$B765&lt;&gt;"",$C765&lt;&gt;"",$D765&lt;&gt;"",$G765&lt;&gt;"",$H765&lt;&gt;"",$I765&lt;&gt;""),1,0))</f>
        <v/>
      </c>
      <c r="BR765" s="52" t="n">
        <v>847</v>
      </c>
      <c r="BS765" s="52" t="n">
        <v>1290</v>
      </c>
    </row>
    <row r="766" s="54" customFormat="true" ht="18" hidden="false" customHeight="true" outlineLevel="0" collapsed="false">
      <c r="A766" s="57" t="s">
        <v>1463</v>
      </c>
      <c r="B766" s="51"/>
      <c r="C766" s="51"/>
      <c r="D766" s="51"/>
      <c r="E766" s="51"/>
      <c r="F766" s="57" t="s">
        <v>1464</v>
      </c>
      <c r="G766" s="51"/>
      <c r="H766" s="51"/>
      <c r="I766" s="51"/>
      <c r="J766" s="51"/>
      <c r="K766" s="52" t="str">
        <f aca="false">IF($A766&lt;&gt;"",$A766,"")</f>
        <v>Apprenant 754</v>
      </c>
      <c r="L766" s="53" t="str">
        <f aca="false">IF(AND($B766&lt;&gt;"",$C766&lt;&gt;""),$C766-$B766,"")</f>
        <v/>
      </c>
      <c r="M766" s="53" t="str">
        <f aca="false">IF(AND($B766&lt;&gt;"",$D766&lt;&gt;""),$D766-$B766,"")</f>
        <v/>
      </c>
      <c r="N766" s="53" t="str">
        <f aca="false">IF(AND($C766&lt;&gt;"",$D766&lt;&gt;""),$D766-$C766,"")</f>
        <v/>
      </c>
      <c r="O766" s="53" t="str">
        <f aca="false">IF($E766&lt;&gt;"",$E766,"")</f>
        <v/>
      </c>
      <c r="P766" s="52" t="str">
        <f aca="false">IF($F766&lt;&gt;"",$F766,"")</f>
        <v>Apprenant 754 ou 754'</v>
      </c>
      <c r="Q766" s="53" t="str">
        <f aca="false">IF(AND($G766&lt;&gt;"",$H766&lt;&gt;""),$H766-$G766,"")</f>
        <v/>
      </c>
      <c r="R766" s="53" t="str">
        <f aca="false">IF(AND($G766&lt;&gt;"",$I766&lt;&gt;""),$I766-$G766,"")</f>
        <v/>
      </c>
      <c r="S766" s="53" t="str">
        <f aca="false">IF(AND($H766&lt;&gt;"",$I766&lt;&gt;""),$I766-$H766,"")</f>
        <v/>
      </c>
      <c r="T766" s="53" t="str">
        <f aca="false">IF($J766&lt;&gt;"",$J766,"")</f>
        <v/>
      </c>
      <c r="V766" s="52" t="str">
        <f aca="false">IF($A766&lt;&gt;"",$A766,"")</f>
        <v>Apprenant 754</v>
      </c>
      <c r="W766" s="53" t="str">
        <f aca="false">IF(AND(OR('Choix pédagogiques'!$C$3=1,'Choix pédagogiques'!$C$3=2),$BM766=1),B766,IF(AND('Choix pédagogiques'!$C$3=3,$BO766=1),B766,""))</f>
        <v/>
      </c>
      <c r="X766" s="53" t="str">
        <f aca="false">IF(AND(OR('Choix pédagogiques'!$C$3=1,'Choix pédagogiques'!$C$3=2),$BM766=1),C766,IF(AND('Choix pédagogiques'!$C$3=3,$BO766=1),C766,""))</f>
        <v/>
      </c>
      <c r="Y766" s="53" t="str">
        <f aca="false">IF(AND(OR('Choix pédagogiques'!$C$3=1,'Choix pédagogiques'!$C$3=2),$BM766=1),D766,IF(AND('Choix pédagogiques'!$C$3=3,$BO766=1),D766,""))</f>
        <v/>
      </c>
      <c r="Z766" s="53" t="str">
        <f aca="false">IF($E766&lt;&gt;"",$E766,"")</f>
        <v/>
      </c>
      <c r="AA766" s="52" t="str">
        <f aca="false">IF($F766&lt;&gt;"",$F766,"")</f>
        <v>Apprenant 754 ou 754'</v>
      </c>
      <c r="AB766" s="53" t="str">
        <f aca="false">IF(AND(OR('Choix pédagogiques'!$C$3=1,'Choix pédagogiques'!$C$3=2),$BN766=1),G766,IF(AND('Choix pédagogiques'!$C$3=3,$BO766=1),G766,""))</f>
        <v/>
      </c>
      <c r="AC766" s="53" t="str">
        <f aca="false">IF(AND(OR('Choix pédagogiques'!$C$3=1,'Choix pédagogiques'!$C$3=2),$BN766=1),H766,IF(AND('Choix pédagogiques'!$C$3=3,$BO766=1),H766,""))</f>
        <v/>
      </c>
      <c r="AD766" s="53" t="str">
        <f aca="false">IF(AND(OR('Choix pédagogiques'!$C$3=1,'Choix pédagogiques'!$C$3=2),$BN766=1),I766,IF(AND('Choix pédagogiques'!$C$3=3,$BO766=1),I766,""))</f>
        <v/>
      </c>
      <c r="AE766" s="53" t="str">
        <f aca="false">IF($J766&lt;&gt;"",$J766,"")</f>
        <v/>
      </c>
      <c r="AF766" s="52" t="str">
        <f aca="false">IF($A766&lt;&gt;"",$A766,"")</f>
        <v>Apprenant 754</v>
      </c>
      <c r="AG766" s="53" t="str">
        <f aca="false">IF(AND($W766&lt;&gt;"",$X766&lt;&gt;""),$X766-$W766,"")</f>
        <v/>
      </c>
      <c r="AH766" s="53" t="str">
        <f aca="false">IF(AND($W766&lt;&gt;"",$Y766&lt;&gt;""),$Y766-$W766,"")</f>
        <v/>
      </c>
      <c r="AI766" s="53" t="str">
        <f aca="false">IF(AND($X766&lt;&gt;"",$Y766&lt;&gt;""),$Y766-$X766,"")</f>
        <v/>
      </c>
      <c r="AJ766" s="53" t="str">
        <f aca="false">IF($E766&lt;&gt;"",$E766,"")</f>
        <v/>
      </c>
      <c r="AK766" s="52" t="str">
        <f aca="false">IF($F766&lt;&gt;"",$F766,"")</f>
        <v>Apprenant 754 ou 754'</v>
      </c>
      <c r="AL766" s="53" t="str">
        <f aca="false">IF(AND($AB766&lt;&gt;"",$AC766&lt;&gt;""),$AC766-$AB766,"")</f>
        <v/>
      </c>
      <c r="AM766" s="53" t="str">
        <f aca="false">IF(AND($AB766&lt;&gt;"",$AD766&lt;&gt;""),$AD766-$AB766,"")</f>
        <v/>
      </c>
      <c r="AN766" s="53" t="str">
        <f aca="false">IF(AND($AC766&lt;&gt;"",$AD766&lt;&gt;""),$AD766-$AC766,"")</f>
        <v/>
      </c>
      <c r="AO766" s="53" t="str">
        <f aca="false">IF($J766&lt;&gt;"",$J766,"")</f>
        <v/>
      </c>
      <c r="AQ766" s="52" t="str">
        <f aca="false">IF($A766&lt;&gt;"",$A766,"")</f>
        <v>Apprenant 754</v>
      </c>
      <c r="AR766" s="55" t="str">
        <f aca="false">IF(AND('Choix pédagogiques'!$C$4&lt;&gt;"?",'Choix pédagogiques'!$C$5&lt;&gt;"?",W766&lt;&gt;""),(W766-'Choix pédagogiques'!$C$4)/('Choix pédagogiques'!$C$5-'Choix pédagogiques'!$C$4),"")</f>
        <v/>
      </c>
      <c r="AS766" s="55" t="str">
        <f aca="false">IF(AND('Choix pédagogiques'!$C$4&lt;&gt;"?",'Choix pédagogiques'!$C$5&lt;&gt;"?",X766&lt;&gt;""),(X766-'Choix pédagogiques'!$C$4)/('Choix pédagogiques'!$C$5-'Choix pédagogiques'!$C$4),"")</f>
        <v/>
      </c>
      <c r="AT766" s="55" t="str">
        <f aca="false">IF(AND('Choix pédagogiques'!$C$4&lt;&gt;"?",'Choix pédagogiques'!$C$5&lt;&gt;"?",Y766&lt;&gt;""),(Y766-'Choix pédagogiques'!$C$4)/('Choix pédagogiques'!$C$5-'Choix pédagogiques'!$C$4),"")</f>
        <v/>
      </c>
      <c r="AU766" s="53" t="str">
        <f aca="false">IF($E766&lt;&gt;"",$E766,"")</f>
        <v/>
      </c>
      <c r="AV766" s="52" t="str">
        <f aca="false">IF($F766&lt;&gt;"",$F766,"")</f>
        <v>Apprenant 754 ou 754'</v>
      </c>
      <c r="AW766" s="55" t="str">
        <f aca="false">IF(AND('Choix pédagogiques'!$C$4&lt;&gt;"?",'Choix pédagogiques'!$C$5&lt;&gt;"?",AB766&lt;&gt;""),(AB766-'Choix pédagogiques'!$C$4)/('Choix pédagogiques'!$C$5-'Choix pédagogiques'!$C$4),"")</f>
        <v/>
      </c>
      <c r="AX766" s="55" t="str">
        <f aca="false">IF(AND('Choix pédagogiques'!$C$4&lt;&gt;"?",'Choix pédagogiques'!$C$5&lt;&gt;"?",AC766&lt;&gt;""),(AC766-'Choix pédagogiques'!$C$4)/('Choix pédagogiques'!$C$5-'Choix pédagogiques'!$C$4),"")</f>
        <v/>
      </c>
      <c r="AY766" s="55" t="str">
        <f aca="false">IF(AND('Choix pédagogiques'!$C$4&lt;&gt;"?",'Choix pédagogiques'!$C$5&lt;&gt;"?",AD766&lt;&gt;""),(AD766-'Choix pédagogiques'!$C$4)/('Choix pédagogiques'!$C$5-'Choix pédagogiques'!$C$4),"")</f>
        <v/>
      </c>
      <c r="AZ766" s="53" t="str">
        <f aca="false">IF($J766&lt;&gt;"",$J766,"")</f>
        <v/>
      </c>
      <c r="BA766" s="52" t="str">
        <f aca="false">IF($A766&lt;&gt;"",$A766,"")</f>
        <v>Apprenant 754</v>
      </c>
      <c r="BB766" s="55" t="str">
        <f aca="false">IF(AND($AR766&lt;&gt;"",$AS766&lt;&gt;""),$AS766-$AR766,"")</f>
        <v/>
      </c>
      <c r="BC766" s="55" t="str">
        <f aca="false">IF(AND($AR766&lt;&gt;"",$AT766&lt;&gt;""),$AT766-$AR766,"")</f>
        <v/>
      </c>
      <c r="BD766" s="55" t="str">
        <f aca="false">IF(AND($AS766&lt;&gt;"",$AT766&lt;&gt;""),$AT766-$AS766,"")</f>
        <v/>
      </c>
      <c r="BE766" s="53" t="str">
        <f aca="false">IF($E766&lt;&gt;"",$E766,"")</f>
        <v/>
      </c>
      <c r="BF766" s="52" t="str">
        <f aca="false">IF($F766&lt;&gt;"",$F766,"")</f>
        <v>Apprenant 754 ou 754'</v>
      </c>
      <c r="BG766" s="55" t="str">
        <f aca="false">IF(AND($AW766&lt;&gt;"",$AX766&lt;&gt;""),$AX766-$AW766,"")</f>
        <v/>
      </c>
      <c r="BH766" s="55" t="str">
        <f aca="false">IF(AND($AW766&lt;&gt;"",$AY766&lt;&gt;""),$AY766-$AW766,"")</f>
        <v/>
      </c>
      <c r="BI766" s="55" t="str">
        <f aca="false">IF(AND($AX766&lt;&gt;"",$AY766&lt;&gt;""),$AY766-$AX766,"")</f>
        <v/>
      </c>
      <c r="BJ766" s="53" t="str">
        <f aca="false">IF($J766&lt;&gt;"",$J766,"")</f>
        <v/>
      </c>
      <c r="BL766" s="52"/>
      <c r="BM766" s="52" t="str">
        <f aca="false">IF(OR(COUNT(B766:D1765)=0,AND('Choix pédagogiques'!$C$3&lt;&gt;1,'Choix pédagogiques'!$C$3&lt;&gt;2)),"",IF(AND(OR('Choix pédagogiques'!$C$3=1,'Choix pédagogiques'!$C$3=2),$B766&lt;&gt;"",$C766&lt;&gt;"",$D766&lt;&gt;""),1,0))</f>
        <v/>
      </c>
      <c r="BN766" s="52" t="str">
        <f aca="false">IF(OR(COUNT(G766:I1765)=0,AND('Choix pédagogiques'!$C$3&lt;&gt;1,'Choix pédagogiques'!$C$3&lt;&gt;2)),"",IF(AND(OR('Choix pédagogiques'!$C$3=1,'Choix pédagogiques'!$C$3=2),AND($G766&lt;&gt;"",$H766&lt;&gt;"",$I766&lt;&gt;"")),1,0))</f>
        <v/>
      </c>
      <c r="BO766" s="52" t="str">
        <f aca="false">IF(OR(COUNT(B766:D1765)=0,COUNT(G766:I1765)=0,'Choix pédagogiques'!C$3&lt;&gt;3),"",IF(AND('Choix pédagogiques'!$C$3=3,$B766&lt;&gt;"",$C766&lt;&gt;"",$D766&lt;&gt;"",$G766&lt;&gt;"",$H766&lt;&gt;"",$I766&lt;&gt;""),1,0))</f>
        <v/>
      </c>
      <c r="BR766" s="52" t="n">
        <v>858</v>
      </c>
      <c r="BS766" s="52" t="n">
        <v>1810</v>
      </c>
    </row>
    <row r="767" s="54" customFormat="true" ht="18" hidden="false" customHeight="true" outlineLevel="0" collapsed="false">
      <c r="A767" s="57" t="s">
        <v>1465</v>
      </c>
      <c r="B767" s="51"/>
      <c r="C767" s="51"/>
      <c r="D767" s="51"/>
      <c r="E767" s="51"/>
      <c r="F767" s="57" t="s">
        <v>1466</v>
      </c>
      <c r="G767" s="51"/>
      <c r="H767" s="51"/>
      <c r="I767" s="51"/>
      <c r="J767" s="51"/>
      <c r="K767" s="52" t="str">
        <f aca="false">IF($A767&lt;&gt;"",$A767,"")</f>
        <v>Apprenant 755</v>
      </c>
      <c r="L767" s="53" t="str">
        <f aca="false">IF(AND($B767&lt;&gt;"",$C767&lt;&gt;""),$C767-$B767,"")</f>
        <v/>
      </c>
      <c r="M767" s="53" t="str">
        <f aca="false">IF(AND($B767&lt;&gt;"",$D767&lt;&gt;""),$D767-$B767,"")</f>
        <v/>
      </c>
      <c r="N767" s="53" t="str">
        <f aca="false">IF(AND($C767&lt;&gt;"",$D767&lt;&gt;""),$D767-$C767,"")</f>
        <v/>
      </c>
      <c r="O767" s="53" t="str">
        <f aca="false">IF($E767&lt;&gt;"",$E767,"")</f>
        <v/>
      </c>
      <c r="P767" s="52" t="str">
        <f aca="false">IF($F767&lt;&gt;"",$F767,"")</f>
        <v>Apprenant 755 ou 755'</v>
      </c>
      <c r="Q767" s="53" t="str">
        <f aca="false">IF(AND($G767&lt;&gt;"",$H767&lt;&gt;""),$H767-$G767,"")</f>
        <v/>
      </c>
      <c r="R767" s="53" t="str">
        <f aca="false">IF(AND($G767&lt;&gt;"",$I767&lt;&gt;""),$I767-$G767,"")</f>
        <v/>
      </c>
      <c r="S767" s="53" t="str">
        <f aca="false">IF(AND($H767&lt;&gt;"",$I767&lt;&gt;""),$I767-$H767,"")</f>
        <v/>
      </c>
      <c r="T767" s="53" t="str">
        <f aca="false">IF($J767&lt;&gt;"",$J767,"")</f>
        <v/>
      </c>
      <c r="V767" s="52" t="str">
        <f aca="false">IF($A767&lt;&gt;"",$A767,"")</f>
        <v>Apprenant 755</v>
      </c>
      <c r="W767" s="53" t="str">
        <f aca="false">IF(AND(OR('Choix pédagogiques'!$C$3=1,'Choix pédagogiques'!$C$3=2),$BM767=1),B767,IF(AND('Choix pédagogiques'!$C$3=3,$BO767=1),B767,""))</f>
        <v/>
      </c>
      <c r="X767" s="53" t="str">
        <f aca="false">IF(AND(OR('Choix pédagogiques'!$C$3=1,'Choix pédagogiques'!$C$3=2),$BM767=1),C767,IF(AND('Choix pédagogiques'!$C$3=3,$BO767=1),C767,""))</f>
        <v/>
      </c>
      <c r="Y767" s="53" t="str">
        <f aca="false">IF(AND(OR('Choix pédagogiques'!$C$3=1,'Choix pédagogiques'!$C$3=2),$BM767=1),D767,IF(AND('Choix pédagogiques'!$C$3=3,$BO767=1),D767,""))</f>
        <v/>
      </c>
      <c r="Z767" s="53" t="str">
        <f aca="false">IF($E767&lt;&gt;"",$E767,"")</f>
        <v/>
      </c>
      <c r="AA767" s="52" t="str">
        <f aca="false">IF($F767&lt;&gt;"",$F767,"")</f>
        <v>Apprenant 755 ou 755'</v>
      </c>
      <c r="AB767" s="53" t="str">
        <f aca="false">IF(AND(OR('Choix pédagogiques'!$C$3=1,'Choix pédagogiques'!$C$3=2),$BN767=1),G767,IF(AND('Choix pédagogiques'!$C$3=3,$BO767=1),G767,""))</f>
        <v/>
      </c>
      <c r="AC767" s="53" t="str">
        <f aca="false">IF(AND(OR('Choix pédagogiques'!$C$3=1,'Choix pédagogiques'!$C$3=2),$BN767=1),H767,IF(AND('Choix pédagogiques'!$C$3=3,$BO767=1),H767,""))</f>
        <v/>
      </c>
      <c r="AD767" s="53" t="str">
        <f aca="false">IF(AND(OR('Choix pédagogiques'!$C$3=1,'Choix pédagogiques'!$C$3=2),$BN767=1),I767,IF(AND('Choix pédagogiques'!$C$3=3,$BO767=1),I767,""))</f>
        <v/>
      </c>
      <c r="AE767" s="53" t="str">
        <f aca="false">IF($J767&lt;&gt;"",$J767,"")</f>
        <v/>
      </c>
      <c r="AF767" s="52" t="str">
        <f aca="false">IF($A767&lt;&gt;"",$A767,"")</f>
        <v>Apprenant 755</v>
      </c>
      <c r="AG767" s="53" t="str">
        <f aca="false">IF(AND($W767&lt;&gt;"",$X767&lt;&gt;""),$X767-$W767,"")</f>
        <v/>
      </c>
      <c r="AH767" s="53" t="str">
        <f aca="false">IF(AND($W767&lt;&gt;"",$Y767&lt;&gt;""),$Y767-$W767,"")</f>
        <v/>
      </c>
      <c r="AI767" s="53" t="str">
        <f aca="false">IF(AND($X767&lt;&gt;"",$Y767&lt;&gt;""),$Y767-$X767,"")</f>
        <v/>
      </c>
      <c r="AJ767" s="53" t="str">
        <f aca="false">IF($E767&lt;&gt;"",$E767,"")</f>
        <v/>
      </c>
      <c r="AK767" s="52" t="str">
        <f aca="false">IF($F767&lt;&gt;"",$F767,"")</f>
        <v>Apprenant 755 ou 755'</v>
      </c>
      <c r="AL767" s="53" t="str">
        <f aca="false">IF(AND($AB767&lt;&gt;"",$AC767&lt;&gt;""),$AC767-$AB767,"")</f>
        <v/>
      </c>
      <c r="AM767" s="53" t="str">
        <f aca="false">IF(AND($AB767&lt;&gt;"",$AD767&lt;&gt;""),$AD767-$AB767,"")</f>
        <v/>
      </c>
      <c r="AN767" s="53" t="str">
        <f aca="false">IF(AND($AC767&lt;&gt;"",$AD767&lt;&gt;""),$AD767-$AC767,"")</f>
        <v/>
      </c>
      <c r="AO767" s="53" t="str">
        <f aca="false">IF($J767&lt;&gt;"",$J767,"")</f>
        <v/>
      </c>
      <c r="AQ767" s="52" t="str">
        <f aca="false">IF($A767&lt;&gt;"",$A767,"")</f>
        <v>Apprenant 755</v>
      </c>
      <c r="AR767" s="55" t="str">
        <f aca="false">IF(AND('Choix pédagogiques'!$C$4&lt;&gt;"?",'Choix pédagogiques'!$C$5&lt;&gt;"?",W767&lt;&gt;""),(W767-'Choix pédagogiques'!$C$4)/('Choix pédagogiques'!$C$5-'Choix pédagogiques'!$C$4),"")</f>
        <v/>
      </c>
      <c r="AS767" s="55" t="str">
        <f aca="false">IF(AND('Choix pédagogiques'!$C$4&lt;&gt;"?",'Choix pédagogiques'!$C$5&lt;&gt;"?",X767&lt;&gt;""),(X767-'Choix pédagogiques'!$C$4)/('Choix pédagogiques'!$C$5-'Choix pédagogiques'!$C$4),"")</f>
        <v/>
      </c>
      <c r="AT767" s="55" t="str">
        <f aca="false">IF(AND('Choix pédagogiques'!$C$4&lt;&gt;"?",'Choix pédagogiques'!$C$5&lt;&gt;"?",Y767&lt;&gt;""),(Y767-'Choix pédagogiques'!$C$4)/('Choix pédagogiques'!$C$5-'Choix pédagogiques'!$C$4),"")</f>
        <v/>
      </c>
      <c r="AU767" s="53" t="str">
        <f aca="false">IF($E767&lt;&gt;"",$E767,"")</f>
        <v/>
      </c>
      <c r="AV767" s="52" t="str">
        <f aca="false">IF($F767&lt;&gt;"",$F767,"")</f>
        <v>Apprenant 755 ou 755'</v>
      </c>
      <c r="AW767" s="55" t="str">
        <f aca="false">IF(AND('Choix pédagogiques'!$C$4&lt;&gt;"?",'Choix pédagogiques'!$C$5&lt;&gt;"?",AB767&lt;&gt;""),(AB767-'Choix pédagogiques'!$C$4)/('Choix pédagogiques'!$C$5-'Choix pédagogiques'!$C$4),"")</f>
        <v/>
      </c>
      <c r="AX767" s="55" t="str">
        <f aca="false">IF(AND('Choix pédagogiques'!$C$4&lt;&gt;"?",'Choix pédagogiques'!$C$5&lt;&gt;"?",AC767&lt;&gt;""),(AC767-'Choix pédagogiques'!$C$4)/('Choix pédagogiques'!$C$5-'Choix pédagogiques'!$C$4),"")</f>
        <v/>
      </c>
      <c r="AY767" s="55" t="str">
        <f aca="false">IF(AND('Choix pédagogiques'!$C$4&lt;&gt;"?",'Choix pédagogiques'!$C$5&lt;&gt;"?",AD767&lt;&gt;""),(AD767-'Choix pédagogiques'!$C$4)/('Choix pédagogiques'!$C$5-'Choix pédagogiques'!$C$4),"")</f>
        <v/>
      </c>
      <c r="AZ767" s="53" t="str">
        <f aca="false">IF($J767&lt;&gt;"",$J767,"")</f>
        <v/>
      </c>
      <c r="BA767" s="52" t="str">
        <f aca="false">IF($A767&lt;&gt;"",$A767,"")</f>
        <v>Apprenant 755</v>
      </c>
      <c r="BB767" s="55" t="str">
        <f aca="false">IF(AND($AR767&lt;&gt;"",$AS767&lt;&gt;""),$AS767-$AR767,"")</f>
        <v/>
      </c>
      <c r="BC767" s="55" t="str">
        <f aca="false">IF(AND($AR767&lt;&gt;"",$AT767&lt;&gt;""),$AT767-$AR767,"")</f>
        <v/>
      </c>
      <c r="BD767" s="55" t="str">
        <f aca="false">IF(AND($AS767&lt;&gt;"",$AT767&lt;&gt;""),$AT767-$AS767,"")</f>
        <v/>
      </c>
      <c r="BE767" s="53" t="str">
        <f aca="false">IF($E767&lt;&gt;"",$E767,"")</f>
        <v/>
      </c>
      <c r="BF767" s="52" t="str">
        <f aca="false">IF($F767&lt;&gt;"",$F767,"")</f>
        <v>Apprenant 755 ou 755'</v>
      </c>
      <c r="BG767" s="55" t="str">
        <f aca="false">IF(AND($AW767&lt;&gt;"",$AX767&lt;&gt;""),$AX767-$AW767,"")</f>
        <v/>
      </c>
      <c r="BH767" s="55" t="str">
        <f aca="false">IF(AND($AW767&lt;&gt;"",$AY767&lt;&gt;""),$AY767-$AW767,"")</f>
        <v/>
      </c>
      <c r="BI767" s="55" t="str">
        <f aca="false">IF(AND($AX767&lt;&gt;"",$AY767&lt;&gt;""),$AY767-$AX767,"")</f>
        <v/>
      </c>
      <c r="BJ767" s="53" t="str">
        <f aca="false">IF($J767&lt;&gt;"",$J767,"")</f>
        <v/>
      </c>
      <c r="BL767" s="52"/>
      <c r="BM767" s="52" t="str">
        <f aca="false">IF(OR(COUNT(B767:D1766)=0,AND('Choix pédagogiques'!$C$3&lt;&gt;1,'Choix pédagogiques'!$C$3&lt;&gt;2)),"",IF(AND(OR('Choix pédagogiques'!$C$3=1,'Choix pédagogiques'!$C$3=2),$B767&lt;&gt;"",$C767&lt;&gt;"",$D767&lt;&gt;""),1,0))</f>
        <v/>
      </c>
      <c r="BN767" s="52" t="str">
        <f aca="false">IF(OR(COUNT(G767:I1766)=0,AND('Choix pédagogiques'!$C$3&lt;&gt;1,'Choix pédagogiques'!$C$3&lt;&gt;2)),"",IF(AND(OR('Choix pédagogiques'!$C$3=1,'Choix pédagogiques'!$C$3=2),AND($G767&lt;&gt;"",$H767&lt;&gt;"",$I767&lt;&gt;"")),1,0))</f>
        <v/>
      </c>
      <c r="BO767" s="52" t="str">
        <f aca="false">IF(OR(COUNT(B767:D1766)=0,COUNT(G767:I1766)=0,'Choix pédagogiques'!C$3&lt;&gt;3),"",IF(AND('Choix pédagogiques'!$C$3=3,$B767&lt;&gt;"",$C767&lt;&gt;"",$D767&lt;&gt;"",$G767&lt;&gt;"",$H767&lt;&gt;"",$I767&lt;&gt;""),1,0))</f>
        <v/>
      </c>
      <c r="BR767" s="52" t="n">
        <v>111</v>
      </c>
      <c r="BS767" s="52" t="n">
        <v>1931</v>
      </c>
    </row>
    <row r="768" s="54" customFormat="true" ht="18" hidden="false" customHeight="true" outlineLevel="0" collapsed="false">
      <c r="A768" s="57" t="s">
        <v>1467</v>
      </c>
      <c r="B768" s="51"/>
      <c r="C768" s="51"/>
      <c r="D768" s="51"/>
      <c r="E768" s="51"/>
      <c r="F768" s="57" t="s">
        <v>1468</v>
      </c>
      <c r="G768" s="51"/>
      <c r="H768" s="51"/>
      <c r="I768" s="51"/>
      <c r="J768" s="51"/>
      <c r="K768" s="52" t="str">
        <f aca="false">IF($A768&lt;&gt;"",$A768,"")</f>
        <v>Apprenant 756</v>
      </c>
      <c r="L768" s="53" t="str">
        <f aca="false">IF(AND($B768&lt;&gt;"",$C768&lt;&gt;""),$C768-$B768,"")</f>
        <v/>
      </c>
      <c r="M768" s="53" t="str">
        <f aca="false">IF(AND($B768&lt;&gt;"",$D768&lt;&gt;""),$D768-$B768,"")</f>
        <v/>
      </c>
      <c r="N768" s="53" t="str">
        <f aca="false">IF(AND($C768&lt;&gt;"",$D768&lt;&gt;""),$D768-$C768,"")</f>
        <v/>
      </c>
      <c r="O768" s="53" t="str">
        <f aca="false">IF($E768&lt;&gt;"",$E768,"")</f>
        <v/>
      </c>
      <c r="P768" s="52" t="str">
        <f aca="false">IF($F768&lt;&gt;"",$F768,"")</f>
        <v>Apprenant 756 ou 756'</v>
      </c>
      <c r="Q768" s="53" t="str">
        <f aca="false">IF(AND($G768&lt;&gt;"",$H768&lt;&gt;""),$H768-$G768,"")</f>
        <v/>
      </c>
      <c r="R768" s="53" t="str">
        <f aca="false">IF(AND($G768&lt;&gt;"",$I768&lt;&gt;""),$I768-$G768,"")</f>
        <v/>
      </c>
      <c r="S768" s="53" t="str">
        <f aca="false">IF(AND($H768&lt;&gt;"",$I768&lt;&gt;""),$I768-$H768,"")</f>
        <v/>
      </c>
      <c r="T768" s="53" t="str">
        <f aca="false">IF($J768&lt;&gt;"",$J768,"")</f>
        <v/>
      </c>
      <c r="V768" s="52" t="str">
        <f aca="false">IF($A768&lt;&gt;"",$A768,"")</f>
        <v>Apprenant 756</v>
      </c>
      <c r="W768" s="53" t="str">
        <f aca="false">IF(AND(OR('Choix pédagogiques'!$C$3=1,'Choix pédagogiques'!$C$3=2),$BM768=1),B768,IF(AND('Choix pédagogiques'!$C$3=3,$BO768=1),B768,""))</f>
        <v/>
      </c>
      <c r="X768" s="53" t="str">
        <f aca="false">IF(AND(OR('Choix pédagogiques'!$C$3=1,'Choix pédagogiques'!$C$3=2),$BM768=1),C768,IF(AND('Choix pédagogiques'!$C$3=3,$BO768=1),C768,""))</f>
        <v/>
      </c>
      <c r="Y768" s="53" t="str">
        <f aca="false">IF(AND(OR('Choix pédagogiques'!$C$3=1,'Choix pédagogiques'!$C$3=2),$BM768=1),D768,IF(AND('Choix pédagogiques'!$C$3=3,$BO768=1),D768,""))</f>
        <v/>
      </c>
      <c r="Z768" s="53" t="str">
        <f aca="false">IF($E768&lt;&gt;"",$E768,"")</f>
        <v/>
      </c>
      <c r="AA768" s="52" t="str">
        <f aca="false">IF($F768&lt;&gt;"",$F768,"")</f>
        <v>Apprenant 756 ou 756'</v>
      </c>
      <c r="AB768" s="53" t="str">
        <f aca="false">IF(AND(OR('Choix pédagogiques'!$C$3=1,'Choix pédagogiques'!$C$3=2),$BN768=1),G768,IF(AND('Choix pédagogiques'!$C$3=3,$BO768=1),G768,""))</f>
        <v/>
      </c>
      <c r="AC768" s="53" t="str">
        <f aca="false">IF(AND(OR('Choix pédagogiques'!$C$3=1,'Choix pédagogiques'!$C$3=2),$BN768=1),H768,IF(AND('Choix pédagogiques'!$C$3=3,$BO768=1),H768,""))</f>
        <v/>
      </c>
      <c r="AD768" s="53" t="str">
        <f aca="false">IF(AND(OR('Choix pédagogiques'!$C$3=1,'Choix pédagogiques'!$C$3=2),$BN768=1),I768,IF(AND('Choix pédagogiques'!$C$3=3,$BO768=1),I768,""))</f>
        <v/>
      </c>
      <c r="AE768" s="53" t="str">
        <f aca="false">IF($J768&lt;&gt;"",$J768,"")</f>
        <v/>
      </c>
      <c r="AF768" s="52" t="str">
        <f aca="false">IF($A768&lt;&gt;"",$A768,"")</f>
        <v>Apprenant 756</v>
      </c>
      <c r="AG768" s="53" t="str">
        <f aca="false">IF(AND($W768&lt;&gt;"",$X768&lt;&gt;""),$X768-$W768,"")</f>
        <v/>
      </c>
      <c r="AH768" s="53" t="str">
        <f aca="false">IF(AND($W768&lt;&gt;"",$Y768&lt;&gt;""),$Y768-$W768,"")</f>
        <v/>
      </c>
      <c r="AI768" s="53" t="str">
        <f aca="false">IF(AND($X768&lt;&gt;"",$Y768&lt;&gt;""),$Y768-$X768,"")</f>
        <v/>
      </c>
      <c r="AJ768" s="53" t="str">
        <f aca="false">IF($E768&lt;&gt;"",$E768,"")</f>
        <v/>
      </c>
      <c r="AK768" s="52" t="str">
        <f aca="false">IF($F768&lt;&gt;"",$F768,"")</f>
        <v>Apprenant 756 ou 756'</v>
      </c>
      <c r="AL768" s="53" t="str">
        <f aca="false">IF(AND($AB768&lt;&gt;"",$AC768&lt;&gt;""),$AC768-$AB768,"")</f>
        <v/>
      </c>
      <c r="AM768" s="53" t="str">
        <f aca="false">IF(AND($AB768&lt;&gt;"",$AD768&lt;&gt;""),$AD768-$AB768,"")</f>
        <v/>
      </c>
      <c r="AN768" s="53" t="str">
        <f aca="false">IF(AND($AC768&lt;&gt;"",$AD768&lt;&gt;""),$AD768-$AC768,"")</f>
        <v/>
      </c>
      <c r="AO768" s="53" t="str">
        <f aca="false">IF($J768&lt;&gt;"",$J768,"")</f>
        <v/>
      </c>
      <c r="AQ768" s="52" t="str">
        <f aca="false">IF($A768&lt;&gt;"",$A768,"")</f>
        <v>Apprenant 756</v>
      </c>
      <c r="AR768" s="55" t="str">
        <f aca="false">IF(AND('Choix pédagogiques'!$C$4&lt;&gt;"?",'Choix pédagogiques'!$C$5&lt;&gt;"?",W768&lt;&gt;""),(W768-'Choix pédagogiques'!$C$4)/('Choix pédagogiques'!$C$5-'Choix pédagogiques'!$C$4),"")</f>
        <v/>
      </c>
      <c r="AS768" s="55" t="str">
        <f aca="false">IF(AND('Choix pédagogiques'!$C$4&lt;&gt;"?",'Choix pédagogiques'!$C$5&lt;&gt;"?",X768&lt;&gt;""),(X768-'Choix pédagogiques'!$C$4)/('Choix pédagogiques'!$C$5-'Choix pédagogiques'!$C$4),"")</f>
        <v/>
      </c>
      <c r="AT768" s="55" t="str">
        <f aca="false">IF(AND('Choix pédagogiques'!$C$4&lt;&gt;"?",'Choix pédagogiques'!$C$5&lt;&gt;"?",Y768&lt;&gt;""),(Y768-'Choix pédagogiques'!$C$4)/('Choix pédagogiques'!$C$5-'Choix pédagogiques'!$C$4),"")</f>
        <v/>
      </c>
      <c r="AU768" s="53" t="str">
        <f aca="false">IF($E768&lt;&gt;"",$E768,"")</f>
        <v/>
      </c>
      <c r="AV768" s="52" t="str">
        <f aca="false">IF($F768&lt;&gt;"",$F768,"")</f>
        <v>Apprenant 756 ou 756'</v>
      </c>
      <c r="AW768" s="55" t="str">
        <f aca="false">IF(AND('Choix pédagogiques'!$C$4&lt;&gt;"?",'Choix pédagogiques'!$C$5&lt;&gt;"?",AB768&lt;&gt;""),(AB768-'Choix pédagogiques'!$C$4)/('Choix pédagogiques'!$C$5-'Choix pédagogiques'!$C$4),"")</f>
        <v/>
      </c>
      <c r="AX768" s="55" t="str">
        <f aca="false">IF(AND('Choix pédagogiques'!$C$4&lt;&gt;"?",'Choix pédagogiques'!$C$5&lt;&gt;"?",AC768&lt;&gt;""),(AC768-'Choix pédagogiques'!$C$4)/('Choix pédagogiques'!$C$5-'Choix pédagogiques'!$C$4),"")</f>
        <v/>
      </c>
      <c r="AY768" s="55" t="str">
        <f aca="false">IF(AND('Choix pédagogiques'!$C$4&lt;&gt;"?",'Choix pédagogiques'!$C$5&lt;&gt;"?",AD768&lt;&gt;""),(AD768-'Choix pédagogiques'!$C$4)/('Choix pédagogiques'!$C$5-'Choix pédagogiques'!$C$4),"")</f>
        <v/>
      </c>
      <c r="AZ768" s="53" t="str">
        <f aca="false">IF($J768&lt;&gt;"",$J768,"")</f>
        <v/>
      </c>
      <c r="BA768" s="52" t="str">
        <f aca="false">IF($A768&lt;&gt;"",$A768,"")</f>
        <v>Apprenant 756</v>
      </c>
      <c r="BB768" s="55" t="str">
        <f aca="false">IF(AND($AR768&lt;&gt;"",$AS768&lt;&gt;""),$AS768-$AR768,"")</f>
        <v/>
      </c>
      <c r="BC768" s="55" t="str">
        <f aca="false">IF(AND($AR768&lt;&gt;"",$AT768&lt;&gt;""),$AT768-$AR768,"")</f>
        <v/>
      </c>
      <c r="BD768" s="55" t="str">
        <f aca="false">IF(AND($AS768&lt;&gt;"",$AT768&lt;&gt;""),$AT768-$AS768,"")</f>
        <v/>
      </c>
      <c r="BE768" s="53" t="str">
        <f aca="false">IF($E768&lt;&gt;"",$E768,"")</f>
        <v/>
      </c>
      <c r="BF768" s="52" t="str">
        <f aca="false">IF($F768&lt;&gt;"",$F768,"")</f>
        <v>Apprenant 756 ou 756'</v>
      </c>
      <c r="BG768" s="55" t="str">
        <f aca="false">IF(AND($AW768&lt;&gt;"",$AX768&lt;&gt;""),$AX768-$AW768,"")</f>
        <v/>
      </c>
      <c r="BH768" s="55" t="str">
        <f aca="false">IF(AND($AW768&lt;&gt;"",$AY768&lt;&gt;""),$AY768-$AW768,"")</f>
        <v/>
      </c>
      <c r="BI768" s="55" t="str">
        <f aca="false">IF(AND($AX768&lt;&gt;"",$AY768&lt;&gt;""),$AY768-$AX768,"")</f>
        <v/>
      </c>
      <c r="BJ768" s="53" t="str">
        <f aca="false">IF($J768&lt;&gt;"",$J768,"")</f>
        <v/>
      </c>
      <c r="BL768" s="52"/>
      <c r="BM768" s="52" t="str">
        <f aca="false">IF(OR(COUNT(B768:D1767)=0,AND('Choix pédagogiques'!$C$3&lt;&gt;1,'Choix pédagogiques'!$C$3&lt;&gt;2)),"",IF(AND(OR('Choix pédagogiques'!$C$3=1,'Choix pédagogiques'!$C$3=2),$B768&lt;&gt;"",$C768&lt;&gt;"",$D768&lt;&gt;""),1,0))</f>
        <v/>
      </c>
      <c r="BN768" s="52" t="str">
        <f aca="false">IF(OR(COUNT(G768:I1767)=0,AND('Choix pédagogiques'!$C$3&lt;&gt;1,'Choix pédagogiques'!$C$3&lt;&gt;2)),"",IF(AND(OR('Choix pédagogiques'!$C$3=1,'Choix pédagogiques'!$C$3=2),AND($G768&lt;&gt;"",$H768&lt;&gt;"",$I768&lt;&gt;"")),1,0))</f>
        <v/>
      </c>
      <c r="BO768" s="52" t="str">
        <f aca="false">IF(OR(COUNT(B768:D1767)=0,COUNT(G768:I1767)=0,'Choix pédagogiques'!C$3&lt;&gt;3),"",IF(AND('Choix pédagogiques'!$C$3=3,$B768&lt;&gt;"",$C768&lt;&gt;"",$D768&lt;&gt;"",$G768&lt;&gt;"",$H768&lt;&gt;"",$I768&lt;&gt;""),1,0))</f>
        <v/>
      </c>
      <c r="BR768" s="52" t="n">
        <v>550</v>
      </c>
      <c r="BS768" s="52" t="n">
        <v>1151</v>
      </c>
    </row>
    <row r="769" s="54" customFormat="true" ht="18" hidden="false" customHeight="true" outlineLevel="0" collapsed="false">
      <c r="A769" s="57" t="s">
        <v>1469</v>
      </c>
      <c r="B769" s="51"/>
      <c r="C769" s="51"/>
      <c r="D769" s="51"/>
      <c r="E769" s="51"/>
      <c r="F769" s="57" t="s">
        <v>1470</v>
      </c>
      <c r="G769" s="51"/>
      <c r="H769" s="51"/>
      <c r="I769" s="51"/>
      <c r="J769" s="51"/>
      <c r="K769" s="52" t="str">
        <f aca="false">IF($A769&lt;&gt;"",$A769,"")</f>
        <v>Apprenant 757</v>
      </c>
      <c r="L769" s="53" t="str">
        <f aca="false">IF(AND($B769&lt;&gt;"",$C769&lt;&gt;""),$C769-$B769,"")</f>
        <v/>
      </c>
      <c r="M769" s="53" t="str">
        <f aca="false">IF(AND($B769&lt;&gt;"",$D769&lt;&gt;""),$D769-$B769,"")</f>
        <v/>
      </c>
      <c r="N769" s="53" t="str">
        <f aca="false">IF(AND($C769&lt;&gt;"",$D769&lt;&gt;""),$D769-$C769,"")</f>
        <v/>
      </c>
      <c r="O769" s="53" t="str">
        <f aca="false">IF($E769&lt;&gt;"",$E769,"")</f>
        <v/>
      </c>
      <c r="P769" s="52" t="str">
        <f aca="false">IF($F769&lt;&gt;"",$F769,"")</f>
        <v>Apprenant 757 ou 757'</v>
      </c>
      <c r="Q769" s="53" t="str">
        <f aca="false">IF(AND($G769&lt;&gt;"",$H769&lt;&gt;""),$H769-$G769,"")</f>
        <v/>
      </c>
      <c r="R769" s="53" t="str">
        <f aca="false">IF(AND($G769&lt;&gt;"",$I769&lt;&gt;""),$I769-$G769,"")</f>
        <v/>
      </c>
      <c r="S769" s="53" t="str">
        <f aca="false">IF(AND($H769&lt;&gt;"",$I769&lt;&gt;""),$I769-$H769,"")</f>
        <v/>
      </c>
      <c r="T769" s="53" t="str">
        <f aca="false">IF($J769&lt;&gt;"",$J769,"")</f>
        <v/>
      </c>
      <c r="V769" s="52" t="str">
        <f aca="false">IF($A769&lt;&gt;"",$A769,"")</f>
        <v>Apprenant 757</v>
      </c>
      <c r="W769" s="53" t="str">
        <f aca="false">IF(AND(OR('Choix pédagogiques'!$C$3=1,'Choix pédagogiques'!$C$3=2),$BM769=1),B769,IF(AND('Choix pédagogiques'!$C$3=3,$BO769=1),B769,""))</f>
        <v/>
      </c>
      <c r="X769" s="53" t="str">
        <f aca="false">IF(AND(OR('Choix pédagogiques'!$C$3=1,'Choix pédagogiques'!$C$3=2),$BM769=1),C769,IF(AND('Choix pédagogiques'!$C$3=3,$BO769=1),C769,""))</f>
        <v/>
      </c>
      <c r="Y769" s="53" t="str">
        <f aca="false">IF(AND(OR('Choix pédagogiques'!$C$3=1,'Choix pédagogiques'!$C$3=2),$BM769=1),D769,IF(AND('Choix pédagogiques'!$C$3=3,$BO769=1),D769,""))</f>
        <v/>
      </c>
      <c r="Z769" s="53" t="str">
        <f aca="false">IF($E769&lt;&gt;"",$E769,"")</f>
        <v/>
      </c>
      <c r="AA769" s="52" t="str">
        <f aca="false">IF($F769&lt;&gt;"",$F769,"")</f>
        <v>Apprenant 757 ou 757'</v>
      </c>
      <c r="AB769" s="53" t="str">
        <f aca="false">IF(AND(OR('Choix pédagogiques'!$C$3=1,'Choix pédagogiques'!$C$3=2),$BN769=1),G769,IF(AND('Choix pédagogiques'!$C$3=3,$BO769=1),G769,""))</f>
        <v/>
      </c>
      <c r="AC769" s="53" t="str">
        <f aca="false">IF(AND(OR('Choix pédagogiques'!$C$3=1,'Choix pédagogiques'!$C$3=2),$BN769=1),H769,IF(AND('Choix pédagogiques'!$C$3=3,$BO769=1),H769,""))</f>
        <v/>
      </c>
      <c r="AD769" s="53" t="str">
        <f aca="false">IF(AND(OR('Choix pédagogiques'!$C$3=1,'Choix pédagogiques'!$C$3=2),$BN769=1),I769,IF(AND('Choix pédagogiques'!$C$3=3,$BO769=1),I769,""))</f>
        <v/>
      </c>
      <c r="AE769" s="53" t="str">
        <f aca="false">IF($J769&lt;&gt;"",$J769,"")</f>
        <v/>
      </c>
      <c r="AF769" s="52" t="str">
        <f aca="false">IF($A769&lt;&gt;"",$A769,"")</f>
        <v>Apprenant 757</v>
      </c>
      <c r="AG769" s="53" t="str">
        <f aca="false">IF(AND($W769&lt;&gt;"",$X769&lt;&gt;""),$X769-$W769,"")</f>
        <v/>
      </c>
      <c r="AH769" s="53" t="str">
        <f aca="false">IF(AND($W769&lt;&gt;"",$Y769&lt;&gt;""),$Y769-$W769,"")</f>
        <v/>
      </c>
      <c r="AI769" s="53" t="str">
        <f aca="false">IF(AND($X769&lt;&gt;"",$Y769&lt;&gt;""),$Y769-$X769,"")</f>
        <v/>
      </c>
      <c r="AJ769" s="53" t="str">
        <f aca="false">IF($E769&lt;&gt;"",$E769,"")</f>
        <v/>
      </c>
      <c r="AK769" s="52" t="str">
        <f aca="false">IF($F769&lt;&gt;"",$F769,"")</f>
        <v>Apprenant 757 ou 757'</v>
      </c>
      <c r="AL769" s="53" t="str">
        <f aca="false">IF(AND($AB769&lt;&gt;"",$AC769&lt;&gt;""),$AC769-$AB769,"")</f>
        <v/>
      </c>
      <c r="AM769" s="53" t="str">
        <f aca="false">IF(AND($AB769&lt;&gt;"",$AD769&lt;&gt;""),$AD769-$AB769,"")</f>
        <v/>
      </c>
      <c r="AN769" s="53" t="str">
        <f aca="false">IF(AND($AC769&lt;&gt;"",$AD769&lt;&gt;""),$AD769-$AC769,"")</f>
        <v/>
      </c>
      <c r="AO769" s="53" t="str">
        <f aca="false">IF($J769&lt;&gt;"",$J769,"")</f>
        <v/>
      </c>
      <c r="AQ769" s="52" t="str">
        <f aca="false">IF($A769&lt;&gt;"",$A769,"")</f>
        <v>Apprenant 757</v>
      </c>
      <c r="AR769" s="55" t="str">
        <f aca="false">IF(AND('Choix pédagogiques'!$C$4&lt;&gt;"?",'Choix pédagogiques'!$C$5&lt;&gt;"?",W769&lt;&gt;""),(W769-'Choix pédagogiques'!$C$4)/('Choix pédagogiques'!$C$5-'Choix pédagogiques'!$C$4),"")</f>
        <v/>
      </c>
      <c r="AS769" s="55" t="str">
        <f aca="false">IF(AND('Choix pédagogiques'!$C$4&lt;&gt;"?",'Choix pédagogiques'!$C$5&lt;&gt;"?",X769&lt;&gt;""),(X769-'Choix pédagogiques'!$C$4)/('Choix pédagogiques'!$C$5-'Choix pédagogiques'!$C$4),"")</f>
        <v/>
      </c>
      <c r="AT769" s="55" t="str">
        <f aca="false">IF(AND('Choix pédagogiques'!$C$4&lt;&gt;"?",'Choix pédagogiques'!$C$5&lt;&gt;"?",Y769&lt;&gt;""),(Y769-'Choix pédagogiques'!$C$4)/('Choix pédagogiques'!$C$5-'Choix pédagogiques'!$C$4),"")</f>
        <v/>
      </c>
      <c r="AU769" s="53" t="str">
        <f aca="false">IF($E769&lt;&gt;"",$E769,"")</f>
        <v/>
      </c>
      <c r="AV769" s="52" t="str">
        <f aca="false">IF($F769&lt;&gt;"",$F769,"")</f>
        <v>Apprenant 757 ou 757'</v>
      </c>
      <c r="AW769" s="55" t="str">
        <f aca="false">IF(AND('Choix pédagogiques'!$C$4&lt;&gt;"?",'Choix pédagogiques'!$C$5&lt;&gt;"?",AB769&lt;&gt;""),(AB769-'Choix pédagogiques'!$C$4)/('Choix pédagogiques'!$C$5-'Choix pédagogiques'!$C$4),"")</f>
        <v/>
      </c>
      <c r="AX769" s="55" t="str">
        <f aca="false">IF(AND('Choix pédagogiques'!$C$4&lt;&gt;"?",'Choix pédagogiques'!$C$5&lt;&gt;"?",AC769&lt;&gt;""),(AC769-'Choix pédagogiques'!$C$4)/('Choix pédagogiques'!$C$5-'Choix pédagogiques'!$C$4),"")</f>
        <v/>
      </c>
      <c r="AY769" s="55" t="str">
        <f aca="false">IF(AND('Choix pédagogiques'!$C$4&lt;&gt;"?",'Choix pédagogiques'!$C$5&lt;&gt;"?",AD769&lt;&gt;""),(AD769-'Choix pédagogiques'!$C$4)/('Choix pédagogiques'!$C$5-'Choix pédagogiques'!$C$4),"")</f>
        <v/>
      </c>
      <c r="AZ769" s="53" t="str">
        <f aca="false">IF($J769&lt;&gt;"",$J769,"")</f>
        <v/>
      </c>
      <c r="BA769" s="52" t="str">
        <f aca="false">IF($A769&lt;&gt;"",$A769,"")</f>
        <v>Apprenant 757</v>
      </c>
      <c r="BB769" s="55" t="str">
        <f aca="false">IF(AND($AR769&lt;&gt;"",$AS769&lt;&gt;""),$AS769-$AR769,"")</f>
        <v/>
      </c>
      <c r="BC769" s="55" t="str">
        <f aca="false">IF(AND($AR769&lt;&gt;"",$AT769&lt;&gt;""),$AT769-$AR769,"")</f>
        <v/>
      </c>
      <c r="BD769" s="55" t="str">
        <f aca="false">IF(AND($AS769&lt;&gt;"",$AT769&lt;&gt;""),$AT769-$AS769,"")</f>
        <v/>
      </c>
      <c r="BE769" s="53" t="str">
        <f aca="false">IF($E769&lt;&gt;"",$E769,"")</f>
        <v/>
      </c>
      <c r="BF769" s="52" t="str">
        <f aca="false">IF($F769&lt;&gt;"",$F769,"")</f>
        <v>Apprenant 757 ou 757'</v>
      </c>
      <c r="BG769" s="55" t="str">
        <f aca="false">IF(AND($AW769&lt;&gt;"",$AX769&lt;&gt;""),$AX769-$AW769,"")</f>
        <v/>
      </c>
      <c r="BH769" s="55" t="str">
        <f aca="false">IF(AND($AW769&lt;&gt;"",$AY769&lt;&gt;""),$AY769-$AW769,"")</f>
        <v/>
      </c>
      <c r="BI769" s="55" t="str">
        <f aca="false">IF(AND($AX769&lt;&gt;"",$AY769&lt;&gt;""),$AY769-$AX769,"")</f>
        <v/>
      </c>
      <c r="BJ769" s="53" t="str">
        <f aca="false">IF($J769&lt;&gt;"",$J769,"")</f>
        <v/>
      </c>
      <c r="BL769" s="52"/>
      <c r="BM769" s="52" t="str">
        <f aca="false">IF(OR(COUNT(B769:D1768)=0,AND('Choix pédagogiques'!$C$3&lt;&gt;1,'Choix pédagogiques'!$C$3&lt;&gt;2)),"",IF(AND(OR('Choix pédagogiques'!$C$3=1,'Choix pédagogiques'!$C$3=2),$B769&lt;&gt;"",$C769&lt;&gt;"",$D769&lt;&gt;""),1,0))</f>
        <v/>
      </c>
      <c r="BN769" s="52" t="str">
        <f aca="false">IF(OR(COUNT(G769:I1768)=0,AND('Choix pédagogiques'!$C$3&lt;&gt;1,'Choix pédagogiques'!$C$3&lt;&gt;2)),"",IF(AND(OR('Choix pédagogiques'!$C$3=1,'Choix pédagogiques'!$C$3=2),AND($G769&lt;&gt;"",$H769&lt;&gt;"",$I769&lt;&gt;"")),1,0))</f>
        <v/>
      </c>
      <c r="BO769" s="52" t="str">
        <f aca="false">IF(OR(COUNT(B769:D1768)=0,COUNT(G769:I1768)=0,'Choix pédagogiques'!C$3&lt;&gt;3),"",IF(AND('Choix pédagogiques'!$C$3=3,$B769&lt;&gt;"",$C769&lt;&gt;"",$D769&lt;&gt;"",$G769&lt;&gt;"",$H769&lt;&gt;"",$I769&lt;&gt;""),1,0))</f>
        <v/>
      </c>
      <c r="BR769" s="52" t="n">
        <v>18</v>
      </c>
      <c r="BS769" s="52" t="n">
        <v>1225</v>
      </c>
    </row>
    <row r="770" s="54" customFormat="true" ht="18" hidden="false" customHeight="true" outlineLevel="0" collapsed="false">
      <c r="A770" s="57" t="s">
        <v>1471</v>
      </c>
      <c r="B770" s="51"/>
      <c r="C770" s="51"/>
      <c r="D770" s="51"/>
      <c r="E770" s="51"/>
      <c r="F770" s="57" t="s">
        <v>1472</v>
      </c>
      <c r="G770" s="51"/>
      <c r="H770" s="51"/>
      <c r="I770" s="51"/>
      <c r="J770" s="51"/>
      <c r="K770" s="52" t="str">
        <f aca="false">IF($A770&lt;&gt;"",$A770,"")</f>
        <v>Apprenant 758</v>
      </c>
      <c r="L770" s="53" t="str">
        <f aca="false">IF(AND($B770&lt;&gt;"",$C770&lt;&gt;""),$C770-$B770,"")</f>
        <v/>
      </c>
      <c r="M770" s="53" t="str">
        <f aca="false">IF(AND($B770&lt;&gt;"",$D770&lt;&gt;""),$D770-$B770,"")</f>
        <v/>
      </c>
      <c r="N770" s="53" t="str">
        <f aca="false">IF(AND($C770&lt;&gt;"",$D770&lt;&gt;""),$D770-$C770,"")</f>
        <v/>
      </c>
      <c r="O770" s="53" t="str">
        <f aca="false">IF($E770&lt;&gt;"",$E770,"")</f>
        <v/>
      </c>
      <c r="P770" s="52" t="str">
        <f aca="false">IF($F770&lt;&gt;"",$F770,"")</f>
        <v>Apprenant 758 ou 758'</v>
      </c>
      <c r="Q770" s="53" t="str">
        <f aca="false">IF(AND($G770&lt;&gt;"",$H770&lt;&gt;""),$H770-$G770,"")</f>
        <v/>
      </c>
      <c r="R770" s="53" t="str">
        <f aca="false">IF(AND($G770&lt;&gt;"",$I770&lt;&gt;""),$I770-$G770,"")</f>
        <v/>
      </c>
      <c r="S770" s="53" t="str">
        <f aca="false">IF(AND($H770&lt;&gt;"",$I770&lt;&gt;""),$I770-$H770,"")</f>
        <v/>
      </c>
      <c r="T770" s="53" t="str">
        <f aca="false">IF($J770&lt;&gt;"",$J770,"")</f>
        <v/>
      </c>
      <c r="V770" s="52" t="str">
        <f aca="false">IF($A770&lt;&gt;"",$A770,"")</f>
        <v>Apprenant 758</v>
      </c>
      <c r="W770" s="53" t="str">
        <f aca="false">IF(AND(OR('Choix pédagogiques'!$C$3=1,'Choix pédagogiques'!$C$3=2),$BM770=1),B770,IF(AND('Choix pédagogiques'!$C$3=3,$BO770=1),B770,""))</f>
        <v/>
      </c>
      <c r="X770" s="53" t="str">
        <f aca="false">IF(AND(OR('Choix pédagogiques'!$C$3=1,'Choix pédagogiques'!$C$3=2),$BM770=1),C770,IF(AND('Choix pédagogiques'!$C$3=3,$BO770=1),C770,""))</f>
        <v/>
      </c>
      <c r="Y770" s="53" t="str">
        <f aca="false">IF(AND(OR('Choix pédagogiques'!$C$3=1,'Choix pédagogiques'!$C$3=2),$BM770=1),D770,IF(AND('Choix pédagogiques'!$C$3=3,$BO770=1),D770,""))</f>
        <v/>
      </c>
      <c r="Z770" s="53" t="str">
        <f aca="false">IF($E770&lt;&gt;"",$E770,"")</f>
        <v/>
      </c>
      <c r="AA770" s="52" t="str">
        <f aca="false">IF($F770&lt;&gt;"",$F770,"")</f>
        <v>Apprenant 758 ou 758'</v>
      </c>
      <c r="AB770" s="53" t="str">
        <f aca="false">IF(AND(OR('Choix pédagogiques'!$C$3=1,'Choix pédagogiques'!$C$3=2),$BN770=1),G770,IF(AND('Choix pédagogiques'!$C$3=3,$BO770=1),G770,""))</f>
        <v/>
      </c>
      <c r="AC770" s="53" t="str">
        <f aca="false">IF(AND(OR('Choix pédagogiques'!$C$3=1,'Choix pédagogiques'!$C$3=2),$BN770=1),H770,IF(AND('Choix pédagogiques'!$C$3=3,$BO770=1),H770,""))</f>
        <v/>
      </c>
      <c r="AD770" s="53" t="str">
        <f aca="false">IF(AND(OR('Choix pédagogiques'!$C$3=1,'Choix pédagogiques'!$C$3=2),$BN770=1),I770,IF(AND('Choix pédagogiques'!$C$3=3,$BO770=1),I770,""))</f>
        <v/>
      </c>
      <c r="AE770" s="53" t="str">
        <f aca="false">IF($J770&lt;&gt;"",$J770,"")</f>
        <v/>
      </c>
      <c r="AF770" s="52" t="str">
        <f aca="false">IF($A770&lt;&gt;"",$A770,"")</f>
        <v>Apprenant 758</v>
      </c>
      <c r="AG770" s="53" t="str">
        <f aca="false">IF(AND($W770&lt;&gt;"",$X770&lt;&gt;""),$X770-$W770,"")</f>
        <v/>
      </c>
      <c r="AH770" s="53" t="str">
        <f aca="false">IF(AND($W770&lt;&gt;"",$Y770&lt;&gt;""),$Y770-$W770,"")</f>
        <v/>
      </c>
      <c r="AI770" s="53" t="str">
        <f aca="false">IF(AND($X770&lt;&gt;"",$Y770&lt;&gt;""),$Y770-$X770,"")</f>
        <v/>
      </c>
      <c r="AJ770" s="53" t="str">
        <f aca="false">IF($E770&lt;&gt;"",$E770,"")</f>
        <v/>
      </c>
      <c r="AK770" s="52" t="str">
        <f aca="false">IF($F770&lt;&gt;"",$F770,"")</f>
        <v>Apprenant 758 ou 758'</v>
      </c>
      <c r="AL770" s="53" t="str">
        <f aca="false">IF(AND($AB770&lt;&gt;"",$AC770&lt;&gt;""),$AC770-$AB770,"")</f>
        <v/>
      </c>
      <c r="AM770" s="53" t="str">
        <f aca="false">IF(AND($AB770&lt;&gt;"",$AD770&lt;&gt;""),$AD770-$AB770,"")</f>
        <v/>
      </c>
      <c r="AN770" s="53" t="str">
        <f aca="false">IF(AND($AC770&lt;&gt;"",$AD770&lt;&gt;""),$AD770-$AC770,"")</f>
        <v/>
      </c>
      <c r="AO770" s="53" t="str">
        <f aca="false">IF($J770&lt;&gt;"",$J770,"")</f>
        <v/>
      </c>
      <c r="AQ770" s="52" t="str">
        <f aca="false">IF($A770&lt;&gt;"",$A770,"")</f>
        <v>Apprenant 758</v>
      </c>
      <c r="AR770" s="55" t="str">
        <f aca="false">IF(AND('Choix pédagogiques'!$C$4&lt;&gt;"?",'Choix pédagogiques'!$C$5&lt;&gt;"?",W770&lt;&gt;""),(W770-'Choix pédagogiques'!$C$4)/('Choix pédagogiques'!$C$5-'Choix pédagogiques'!$C$4),"")</f>
        <v/>
      </c>
      <c r="AS770" s="55" t="str">
        <f aca="false">IF(AND('Choix pédagogiques'!$C$4&lt;&gt;"?",'Choix pédagogiques'!$C$5&lt;&gt;"?",X770&lt;&gt;""),(X770-'Choix pédagogiques'!$C$4)/('Choix pédagogiques'!$C$5-'Choix pédagogiques'!$C$4),"")</f>
        <v/>
      </c>
      <c r="AT770" s="55" t="str">
        <f aca="false">IF(AND('Choix pédagogiques'!$C$4&lt;&gt;"?",'Choix pédagogiques'!$C$5&lt;&gt;"?",Y770&lt;&gt;""),(Y770-'Choix pédagogiques'!$C$4)/('Choix pédagogiques'!$C$5-'Choix pédagogiques'!$C$4),"")</f>
        <v/>
      </c>
      <c r="AU770" s="53" t="str">
        <f aca="false">IF($E770&lt;&gt;"",$E770,"")</f>
        <v/>
      </c>
      <c r="AV770" s="52" t="str">
        <f aca="false">IF($F770&lt;&gt;"",$F770,"")</f>
        <v>Apprenant 758 ou 758'</v>
      </c>
      <c r="AW770" s="55" t="str">
        <f aca="false">IF(AND('Choix pédagogiques'!$C$4&lt;&gt;"?",'Choix pédagogiques'!$C$5&lt;&gt;"?",AB770&lt;&gt;""),(AB770-'Choix pédagogiques'!$C$4)/('Choix pédagogiques'!$C$5-'Choix pédagogiques'!$C$4),"")</f>
        <v/>
      </c>
      <c r="AX770" s="55" t="str">
        <f aca="false">IF(AND('Choix pédagogiques'!$C$4&lt;&gt;"?",'Choix pédagogiques'!$C$5&lt;&gt;"?",AC770&lt;&gt;""),(AC770-'Choix pédagogiques'!$C$4)/('Choix pédagogiques'!$C$5-'Choix pédagogiques'!$C$4),"")</f>
        <v/>
      </c>
      <c r="AY770" s="55" t="str">
        <f aca="false">IF(AND('Choix pédagogiques'!$C$4&lt;&gt;"?",'Choix pédagogiques'!$C$5&lt;&gt;"?",AD770&lt;&gt;""),(AD770-'Choix pédagogiques'!$C$4)/('Choix pédagogiques'!$C$5-'Choix pédagogiques'!$C$4),"")</f>
        <v/>
      </c>
      <c r="AZ770" s="53" t="str">
        <f aca="false">IF($J770&lt;&gt;"",$J770,"")</f>
        <v/>
      </c>
      <c r="BA770" s="52" t="str">
        <f aca="false">IF($A770&lt;&gt;"",$A770,"")</f>
        <v>Apprenant 758</v>
      </c>
      <c r="BB770" s="55" t="str">
        <f aca="false">IF(AND($AR770&lt;&gt;"",$AS770&lt;&gt;""),$AS770-$AR770,"")</f>
        <v/>
      </c>
      <c r="BC770" s="55" t="str">
        <f aca="false">IF(AND($AR770&lt;&gt;"",$AT770&lt;&gt;""),$AT770-$AR770,"")</f>
        <v/>
      </c>
      <c r="BD770" s="55" t="str">
        <f aca="false">IF(AND($AS770&lt;&gt;"",$AT770&lt;&gt;""),$AT770-$AS770,"")</f>
        <v/>
      </c>
      <c r="BE770" s="53" t="str">
        <f aca="false">IF($E770&lt;&gt;"",$E770,"")</f>
        <v/>
      </c>
      <c r="BF770" s="52" t="str">
        <f aca="false">IF($F770&lt;&gt;"",$F770,"")</f>
        <v>Apprenant 758 ou 758'</v>
      </c>
      <c r="BG770" s="55" t="str">
        <f aca="false">IF(AND($AW770&lt;&gt;"",$AX770&lt;&gt;""),$AX770-$AW770,"")</f>
        <v/>
      </c>
      <c r="BH770" s="55" t="str">
        <f aca="false">IF(AND($AW770&lt;&gt;"",$AY770&lt;&gt;""),$AY770-$AW770,"")</f>
        <v/>
      </c>
      <c r="BI770" s="55" t="str">
        <f aca="false">IF(AND($AX770&lt;&gt;"",$AY770&lt;&gt;""),$AY770-$AX770,"")</f>
        <v/>
      </c>
      <c r="BJ770" s="53" t="str">
        <f aca="false">IF($J770&lt;&gt;"",$J770,"")</f>
        <v/>
      </c>
      <c r="BL770" s="52"/>
      <c r="BM770" s="52" t="str">
        <f aca="false">IF(OR(COUNT(B770:D1769)=0,AND('Choix pédagogiques'!$C$3&lt;&gt;1,'Choix pédagogiques'!$C$3&lt;&gt;2)),"",IF(AND(OR('Choix pédagogiques'!$C$3=1,'Choix pédagogiques'!$C$3=2),$B770&lt;&gt;"",$C770&lt;&gt;"",$D770&lt;&gt;""),1,0))</f>
        <v/>
      </c>
      <c r="BN770" s="52" t="str">
        <f aca="false">IF(OR(COUNT(G770:I1769)=0,AND('Choix pédagogiques'!$C$3&lt;&gt;1,'Choix pédagogiques'!$C$3&lt;&gt;2)),"",IF(AND(OR('Choix pédagogiques'!$C$3=1,'Choix pédagogiques'!$C$3=2),AND($G770&lt;&gt;"",$H770&lt;&gt;"",$I770&lt;&gt;"")),1,0))</f>
        <v/>
      </c>
      <c r="BO770" s="52" t="str">
        <f aca="false">IF(OR(COUNT(B770:D1769)=0,COUNT(G770:I1769)=0,'Choix pédagogiques'!C$3&lt;&gt;3),"",IF(AND('Choix pédagogiques'!$C$3=3,$B770&lt;&gt;"",$C770&lt;&gt;"",$D770&lt;&gt;"",$G770&lt;&gt;"",$H770&lt;&gt;"",$I770&lt;&gt;""),1,0))</f>
        <v/>
      </c>
      <c r="BR770" s="52" t="n">
        <v>535</v>
      </c>
      <c r="BS770" s="52" t="n">
        <v>1490</v>
      </c>
    </row>
    <row r="771" s="54" customFormat="true" ht="18" hidden="false" customHeight="true" outlineLevel="0" collapsed="false">
      <c r="A771" s="57" t="s">
        <v>1473</v>
      </c>
      <c r="B771" s="51"/>
      <c r="C771" s="51"/>
      <c r="D771" s="51"/>
      <c r="E771" s="51"/>
      <c r="F771" s="57" t="s">
        <v>1474</v>
      </c>
      <c r="G771" s="51"/>
      <c r="H771" s="51"/>
      <c r="I771" s="51"/>
      <c r="J771" s="51"/>
      <c r="K771" s="52" t="str">
        <f aca="false">IF($A771&lt;&gt;"",$A771,"")</f>
        <v>Apprenant 759</v>
      </c>
      <c r="L771" s="53" t="str">
        <f aca="false">IF(AND($B771&lt;&gt;"",$C771&lt;&gt;""),$C771-$B771,"")</f>
        <v/>
      </c>
      <c r="M771" s="53" t="str">
        <f aca="false">IF(AND($B771&lt;&gt;"",$D771&lt;&gt;""),$D771-$B771,"")</f>
        <v/>
      </c>
      <c r="N771" s="53" t="str">
        <f aca="false">IF(AND($C771&lt;&gt;"",$D771&lt;&gt;""),$D771-$C771,"")</f>
        <v/>
      </c>
      <c r="O771" s="53" t="str">
        <f aca="false">IF($E771&lt;&gt;"",$E771,"")</f>
        <v/>
      </c>
      <c r="P771" s="52" t="str">
        <f aca="false">IF($F771&lt;&gt;"",$F771,"")</f>
        <v>Apprenant 759 ou 759'</v>
      </c>
      <c r="Q771" s="53" t="str">
        <f aca="false">IF(AND($G771&lt;&gt;"",$H771&lt;&gt;""),$H771-$G771,"")</f>
        <v/>
      </c>
      <c r="R771" s="53" t="str">
        <f aca="false">IF(AND($G771&lt;&gt;"",$I771&lt;&gt;""),$I771-$G771,"")</f>
        <v/>
      </c>
      <c r="S771" s="53" t="str">
        <f aca="false">IF(AND($H771&lt;&gt;"",$I771&lt;&gt;""),$I771-$H771,"")</f>
        <v/>
      </c>
      <c r="T771" s="53" t="str">
        <f aca="false">IF($J771&lt;&gt;"",$J771,"")</f>
        <v/>
      </c>
      <c r="V771" s="52" t="str">
        <f aca="false">IF($A771&lt;&gt;"",$A771,"")</f>
        <v>Apprenant 759</v>
      </c>
      <c r="W771" s="53" t="str">
        <f aca="false">IF(AND(OR('Choix pédagogiques'!$C$3=1,'Choix pédagogiques'!$C$3=2),$BM771=1),B771,IF(AND('Choix pédagogiques'!$C$3=3,$BO771=1),B771,""))</f>
        <v/>
      </c>
      <c r="X771" s="53" t="str">
        <f aca="false">IF(AND(OR('Choix pédagogiques'!$C$3=1,'Choix pédagogiques'!$C$3=2),$BM771=1),C771,IF(AND('Choix pédagogiques'!$C$3=3,$BO771=1),C771,""))</f>
        <v/>
      </c>
      <c r="Y771" s="53" t="str">
        <f aca="false">IF(AND(OR('Choix pédagogiques'!$C$3=1,'Choix pédagogiques'!$C$3=2),$BM771=1),D771,IF(AND('Choix pédagogiques'!$C$3=3,$BO771=1),D771,""))</f>
        <v/>
      </c>
      <c r="Z771" s="53" t="str">
        <f aca="false">IF($E771&lt;&gt;"",$E771,"")</f>
        <v/>
      </c>
      <c r="AA771" s="52" t="str">
        <f aca="false">IF($F771&lt;&gt;"",$F771,"")</f>
        <v>Apprenant 759 ou 759'</v>
      </c>
      <c r="AB771" s="53" t="str">
        <f aca="false">IF(AND(OR('Choix pédagogiques'!$C$3=1,'Choix pédagogiques'!$C$3=2),$BN771=1),G771,IF(AND('Choix pédagogiques'!$C$3=3,$BO771=1),G771,""))</f>
        <v/>
      </c>
      <c r="AC771" s="53" t="str">
        <f aca="false">IF(AND(OR('Choix pédagogiques'!$C$3=1,'Choix pédagogiques'!$C$3=2),$BN771=1),H771,IF(AND('Choix pédagogiques'!$C$3=3,$BO771=1),H771,""))</f>
        <v/>
      </c>
      <c r="AD771" s="53" t="str">
        <f aca="false">IF(AND(OR('Choix pédagogiques'!$C$3=1,'Choix pédagogiques'!$C$3=2),$BN771=1),I771,IF(AND('Choix pédagogiques'!$C$3=3,$BO771=1),I771,""))</f>
        <v/>
      </c>
      <c r="AE771" s="53" t="str">
        <f aca="false">IF($J771&lt;&gt;"",$J771,"")</f>
        <v/>
      </c>
      <c r="AF771" s="52" t="str">
        <f aca="false">IF($A771&lt;&gt;"",$A771,"")</f>
        <v>Apprenant 759</v>
      </c>
      <c r="AG771" s="53" t="str">
        <f aca="false">IF(AND($W771&lt;&gt;"",$X771&lt;&gt;""),$X771-$W771,"")</f>
        <v/>
      </c>
      <c r="AH771" s="53" t="str">
        <f aca="false">IF(AND($W771&lt;&gt;"",$Y771&lt;&gt;""),$Y771-$W771,"")</f>
        <v/>
      </c>
      <c r="AI771" s="53" t="str">
        <f aca="false">IF(AND($X771&lt;&gt;"",$Y771&lt;&gt;""),$Y771-$X771,"")</f>
        <v/>
      </c>
      <c r="AJ771" s="53" t="str">
        <f aca="false">IF($E771&lt;&gt;"",$E771,"")</f>
        <v/>
      </c>
      <c r="AK771" s="52" t="str">
        <f aca="false">IF($F771&lt;&gt;"",$F771,"")</f>
        <v>Apprenant 759 ou 759'</v>
      </c>
      <c r="AL771" s="53" t="str">
        <f aca="false">IF(AND($AB771&lt;&gt;"",$AC771&lt;&gt;""),$AC771-$AB771,"")</f>
        <v/>
      </c>
      <c r="AM771" s="53" t="str">
        <f aca="false">IF(AND($AB771&lt;&gt;"",$AD771&lt;&gt;""),$AD771-$AB771,"")</f>
        <v/>
      </c>
      <c r="AN771" s="53" t="str">
        <f aca="false">IF(AND($AC771&lt;&gt;"",$AD771&lt;&gt;""),$AD771-$AC771,"")</f>
        <v/>
      </c>
      <c r="AO771" s="53" t="str">
        <f aca="false">IF($J771&lt;&gt;"",$J771,"")</f>
        <v/>
      </c>
      <c r="AQ771" s="52" t="str">
        <f aca="false">IF($A771&lt;&gt;"",$A771,"")</f>
        <v>Apprenant 759</v>
      </c>
      <c r="AR771" s="55" t="str">
        <f aca="false">IF(AND('Choix pédagogiques'!$C$4&lt;&gt;"?",'Choix pédagogiques'!$C$5&lt;&gt;"?",W771&lt;&gt;""),(W771-'Choix pédagogiques'!$C$4)/('Choix pédagogiques'!$C$5-'Choix pédagogiques'!$C$4),"")</f>
        <v/>
      </c>
      <c r="AS771" s="55" t="str">
        <f aca="false">IF(AND('Choix pédagogiques'!$C$4&lt;&gt;"?",'Choix pédagogiques'!$C$5&lt;&gt;"?",X771&lt;&gt;""),(X771-'Choix pédagogiques'!$C$4)/('Choix pédagogiques'!$C$5-'Choix pédagogiques'!$C$4),"")</f>
        <v/>
      </c>
      <c r="AT771" s="55" t="str">
        <f aca="false">IF(AND('Choix pédagogiques'!$C$4&lt;&gt;"?",'Choix pédagogiques'!$C$5&lt;&gt;"?",Y771&lt;&gt;""),(Y771-'Choix pédagogiques'!$C$4)/('Choix pédagogiques'!$C$5-'Choix pédagogiques'!$C$4),"")</f>
        <v/>
      </c>
      <c r="AU771" s="53" t="str">
        <f aca="false">IF($E771&lt;&gt;"",$E771,"")</f>
        <v/>
      </c>
      <c r="AV771" s="52" t="str">
        <f aca="false">IF($F771&lt;&gt;"",$F771,"")</f>
        <v>Apprenant 759 ou 759'</v>
      </c>
      <c r="AW771" s="55" t="str">
        <f aca="false">IF(AND('Choix pédagogiques'!$C$4&lt;&gt;"?",'Choix pédagogiques'!$C$5&lt;&gt;"?",AB771&lt;&gt;""),(AB771-'Choix pédagogiques'!$C$4)/('Choix pédagogiques'!$C$5-'Choix pédagogiques'!$C$4),"")</f>
        <v/>
      </c>
      <c r="AX771" s="55" t="str">
        <f aca="false">IF(AND('Choix pédagogiques'!$C$4&lt;&gt;"?",'Choix pédagogiques'!$C$5&lt;&gt;"?",AC771&lt;&gt;""),(AC771-'Choix pédagogiques'!$C$4)/('Choix pédagogiques'!$C$5-'Choix pédagogiques'!$C$4),"")</f>
        <v/>
      </c>
      <c r="AY771" s="55" t="str">
        <f aca="false">IF(AND('Choix pédagogiques'!$C$4&lt;&gt;"?",'Choix pédagogiques'!$C$5&lt;&gt;"?",AD771&lt;&gt;""),(AD771-'Choix pédagogiques'!$C$4)/('Choix pédagogiques'!$C$5-'Choix pédagogiques'!$C$4),"")</f>
        <v/>
      </c>
      <c r="AZ771" s="53" t="str">
        <f aca="false">IF($J771&lt;&gt;"",$J771,"")</f>
        <v/>
      </c>
      <c r="BA771" s="52" t="str">
        <f aca="false">IF($A771&lt;&gt;"",$A771,"")</f>
        <v>Apprenant 759</v>
      </c>
      <c r="BB771" s="55" t="str">
        <f aca="false">IF(AND($AR771&lt;&gt;"",$AS771&lt;&gt;""),$AS771-$AR771,"")</f>
        <v/>
      </c>
      <c r="BC771" s="55" t="str">
        <f aca="false">IF(AND($AR771&lt;&gt;"",$AT771&lt;&gt;""),$AT771-$AR771,"")</f>
        <v/>
      </c>
      <c r="BD771" s="55" t="str">
        <f aca="false">IF(AND($AS771&lt;&gt;"",$AT771&lt;&gt;""),$AT771-$AS771,"")</f>
        <v/>
      </c>
      <c r="BE771" s="53" t="str">
        <f aca="false">IF($E771&lt;&gt;"",$E771,"")</f>
        <v/>
      </c>
      <c r="BF771" s="52" t="str">
        <f aca="false">IF($F771&lt;&gt;"",$F771,"")</f>
        <v>Apprenant 759 ou 759'</v>
      </c>
      <c r="BG771" s="55" t="str">
        <f aca="false">IF(AND($AW771&lt;&gt;"",$AX771&lt;&gt;""),$AX771-$AW771,"")</f>
        <v/>
      </c>
      <c r="BH771" s="55" t="str">
        <f aca="false">IF(AND($AW771&lt;&gt;"",$AY771&lt;&gt;""),$AY771-$AW771,"")</f>
        <v/>
      </c>
      <c r="BI771" s="55" t="str">
        <f aca="false">IF(AND($AX771&lt;&gt;"",$AY771&lt;&gt;""),$AY771-$AX771,"")</f>
        <v/>
      </c>
      <c r="BJ771" s="53" t="str">
        <f aca="false">IF($J771&lt;&gt;"",$J771,"")</f>
        <v/>
      </c>
      <c r="BL771" s="52"/>
      <c r="BM771" s="52" t="str">
        <f aca="false">IF(OR(COUNT(B771:D1770)=0,AND('Choix pédagogiques'!$C$3&lt;&gt;1,'Choix pédagogiques'!$C$3&lt;&gt;2)),"",IF(AND(OR('Choix pédagogiques'!$C$3=1,'Choix pédagogiques'!$C$3=2),$B771&lt;&gt;"",$C771&lt;&gt;"",$D771&lt;&gt;""),1,0))</f>
        <v/>
      </c>
      <c r="BN771" s="52" t="str">
        <f aca="false">IF(OR(COUNT(G771:I1770)=0,AND('Choix pédagogiques'!$C$3&lt;&gt;1,'Choix pédagogiques'!$C$3&lt;&gt;2)),"",IF(AND(OR('Choix pédagogiques'!$C$3=1,'Choix pédagogiques'!$C$3=2),AND($G771&lt;&gt;"",$H771&lt;&gt;"",$I771&lt;&gt;"")),1,0))</f>
        <v/>
      </c>
      <c r="BO771" s="52" t="str">
        <f aca="false">IF(OR(COUNT(B771:D1770)=0,COUNT(G771:I1770)=0,'Choix pédagogiques'!C$3&lt;&gt;3),"",IF(AND('Choix pédagogiques'!$C$3=3,$B771&lt;&gt;"",$C771&lt;&gt;"",$D771&lt;&gt;"",$G771&lt;&gt;"",$H771&lt;&gt;"",$I771&lt;&gt;""),1,0))</f>
        <v/>
      </c>
      <c r="BR771" s="52" t="n">
        <v>923</v>
      </c>
      <c r="BS771" s="52" t="n">
        <v>1261</v>
      </c>
    </row>
    <row r="772" s="54" customFormat="true" ht="18" hidden="false" customHeight="true" outlineLevel="0" collapsed="false">
      <c r="A772" s="57" t="s">
        <v>1475</v>
      </c>
      <c r="B772" s="51"/>
      <c r="C772" s="51"/>
      <c r="D772" s="51"/>
      <c r="E772" s="51"/>
      <c r="F772" s="57" t="s">
        <v>1476</v>
      </c>
      <c r="G772" s="51"/>
      <c r="H772" s="51"/>
      <c r="I772" s="51"/>
      <c r="J772" s="51"/>
      <c r="K772" s="52" t="str">
        <f aca="false">IF($A772&lt;&gt;"",$A772,"")</f>
        <v>Apprenant 760</v>
      </c>
      <c r="L772" s="53" t="str">
        <f aca="false">IF(AND($B772&lt;&gt;"",$C772&lt;&gt;""),$C772-$B772,"")</f>
        <v/>
      </c>
      <c r="M772" s="53" t="str">
        <f aca="false">IF(AND($B772&lt;&gt;"",$D772&lt;&gt;""),$D772-$B772,"")</f>
        <v/>
      </c>
      <c r="N772" s="53" t="str">
        <f aca="false">IF(AND($C772&lt;&gt;"",$D772&lt;&gt;""),$D772-$C772,"")</f>
        <v/>
      </c>
      <c r="O772" s="53" t="str">
        <f aca="false">IF($E772&lt;&gt;"",$E772,"")</f>
        <v/>
      </c>
      <c r="P772" s="52" t="str">
        <f aca="false">IF($F772&lt;&gt;"",$F772,"")</f>
        <v>Apprenant 760 ou 760'</v>
      </c>
      <c r="Q772" s="53" t="str">
        <f aca="false">IF(AND($G772&lt;&gt;"",$H772&lt;&gt;""),$H772-$G772,"")</f>
        <v/>
      </c>
      <c r="R772" s="53" t="str">
        <f aca="false">IF(AND($G772&lt;&gt;"",$I772&lt;&gt;""),$I772-$G772,"")</f>
        <v/>
      </c>
      <c r="S772" s="53" t="str">
        <f aca="false">IF(AND($H772&lt;&gt;"",$I772&lt;&gt;""),$I772-$H772,"")</f>
        <v/>
      </c>
      <c r="T772" s="53" t="str">
        <f aca="false">IF($J772&lt;&gt;"",$J772,"")</f>
        <v/>
      </c>
      <c r="V772" s="52" t="str">
        <f aca="false">IF($A772&lt;&gt;"",$A772,"")</f>
        <v>Apprenant 760</v>
      </c>
      <c r="W772" s="53" t="str">
        <f aca="false">IF(AND(OR('Choix pédagogiques'!$C$3=1,'Choix pédagogiques'!$C$3=2),$BM772=1),B772,IF(AND('Choix pédagogiques'!$C$3=3,$BO772=1),B772,""))</f>
        <v/>
      </c>
      <c r="X772" s="53" t="str">
        <f aca="false">IF(AND(OR('Choix pédagogiques'!$C$3=1,'Choix pédagogiques'!$C$3=2),$BM772=1),C772,IF(AND('Choix pédagogiques'!$C$3=3,$BO772=1),C772,""))</f>
        <v/>
      </c>
      <c r="Y772" s="53" t="str">
        <f aca="false">IF(AND(OR('Choix pédagogiques'!$C$3=1,'Choix pédagogiques'!$C$3=2),$BM772=1),D772,IF(AND('Choix pédagogiques'!$C$3=3,$BO772=1),D772,""))</f>
        <v/>
      </c>
      <c r="Z772" s="53" t="str">
        <f aca="false">IF($E772&lt;&gt;"",$E772,"")</f>
        <v/>
      </c>
      <c r="AA772" s="52" t="str">
        <f aca="false">IF($F772&lt;&gt;"",$F772,"")</f>
        <v>Apprenant 760 ou 760'</v>
      </c>
      <c r="AB772" s="53" t="str">
        <f aca="false">IF(AND(OR('Choix pédagogiques'!$C$3=1,'Choix pédagogiques'!$C$3=2),$BN772=1),G772,IF(AND('Choix pédagogiques'!$C$3=3,$BO772=1),G772,""))</f>
        <v/>
      </c>
      <c r="AC772" s="53" t="str">
        <f aca="false">IF(AND(OR('Choix pédagogiques'!$C$3=1,'Choix pédagogiques'!$C$3=2),$BN772=1),H772,IF(AND('Choix pédagogiques'!$C$3=3,$BO772=1),H772,""))</f>
        <v/>
      </c>
      <c r="AD772" s="53" t="str">
        <f aca="false">IF(AND(OR('Choix pédagogiques'!$C$3=1,'Choix pédagogiques'!$C$3=2),$BN772=1),I772,IF(AND('Choix pédagogiques'!$C$3=3,$BO772=1),I772,""))</f>
        <v/>
      </c>
      <c r="AE772" s="53" t="str">
        <f aca="false">IF($J772&lt;&gt;"",$J772,"")</f>
        <v/>
      </c>
      <c r="AF772" s="52" t="str">
        <f aca="false">IF($A772&lt;&gt;"",$A772,"")</f>
        <v>Apprenant 760</v>
      </c>
      <c r="AG772" s="53" t="str">
        <f aca="false">IF(AND($W772&lt;&gt;"",$X772&lt;&gt;""),$X772-$W772,"")</f>
        <v/>
      </c>
      <c r="AH772" s="53" t="str">
        <f aca="false">IF(AND($W772&lt;&gt;"",$Y772&lt;&gt;""),$Y772-$W772,"")</f>
        <v/>
      </c>
      <c r="AI772" s="53" t="str">
        <f aca="false">IF(AND($X772&lt;&gt;"",$Y772&lt;&gt;""),$Y772-$X772,"")</f>
        <v/>
      </c>
      <c r="AJ772" s="53" t="str">
        <f aca="false">IF($E772&lt;&gt;"",$E772,"")</f>
        <v/>
      </c>
      <c r="AK772" s="52" t="str">
        <f aca="false">IF($F772&lt;&gt;"",$F772,"")</f>
        <v>Apprenant 760 ou 760'</v>
      </c>
      <c r="AL772" s="53" t="str">
        <f aca="false">IF(AND($AB772&lt;&gt;"",$AC772&lt;&gt;""),$AC772-$AB772,"")</f>
        <v/>
      </c>
      <c r="AM772" s="53" t="str">
        <f aca="false">IF(AND($AB772&lt;&gt;"",$AD772&lt;&gt;""),$AD772-$AB772,"")</f>
        <v/>
      </c>
      <c r="AN772" s="53" t="str">
        <f aca="false">IF(AND($AC772&lt;&gt;"",$AD772&lt;&gt;""),$AD772-$AC772,"")</f>
        <v/>
      </c>
      <c r="AO772" s="53" t="str">
        <f aca="false">IF($J772&lt;&gt;"",$J772,"")</f>
        <v/>
      </c>
      <c r="AQ772" s="52" t="str">
        <f aca="false">IF($A772&lt;&gt;"",$A772,"")</f>
        <v>Apprenant 760</v>
      </c>
      <c r="AR772" s="55" t="str">
        <f aca="false">IF(AND('Choix pédagogiques'!$C$4&lt;&gt;"?",'Choix pédagogiques'!$C$5&lt;&gt;"?",W772&lt;&gt;""),(W772-'Choix pédagogiques'!$C$4)/('Choix pédagogiques'!$C$5-'Choix pédagogiques'!$C$4),"")</f>
        <v/>
      </c>
      <c r="AS772" s="55" t="str">
        <f aca="false">IF(AND('Choix pédagogiques'!$C$4&lt;&gt;"?",'Choix pédagogiques'!$C$5&lt;&gt;"?",X772&lt;&gt;""),(X772-'Choix pédagogiques'!$C$4)/('Choix pédagogiques'!$C$5-'Choix pédagogiques'!$C$4),"")</f>
        <v/>
      </c>
      <c r="AT772" s="55" t="str">
        <f aca="false">IF(AND('Choix pédagogiques'!$C$4&lt;&gt;"?",'Choix pédagogiques'!$C$5&lt;&gt;"?",Y772&lt;&gt;""),(Y772-'Choix pédagogiques'!$C$4)/('Choix pédagogiques'!$C$5-'Choix pédagogiques'!$C$4),"")</f>
        <v/>
      </c>
      <c r="AU772" s="53" t="str">
        <f aca="false">IF($E772&lt;&gt;"",$E772,"")</f>
        <v/>
      </c>
      <c r="AV772" s="52" t="str">
        <f aca="false">IF($F772&lt;&gt;"",$F772,"")</f>
        <v>Apprenant 760 ou 760'</v>
      </c>
      <c r="AW772" s="55" t="str">
        <f aca="false">IF(AND('Choix pédagogiques'!$C$4&lt;&gt;"?",'Choix pédagogiques'!$C$5&lt;&gt;"?",AB772&lt;&gt;""),(AB772-'Choix pédagogiques'!$C$4)/('Choix pédagogiques'!$C$5-'Choix pédagogiques'!$C$4),"")</f>
        <v/>
      </c>
      <c r="AX772" s="55" t="str">
        <f aca="false">IF(AND('Choix pédagogiques'!$C$4&lt;&gt;"?",'Choix pédagogiques'!$C$5&lt;&gt;"?",AC772&lt;&gt;""),(AC772-'Choix pédagogiques'!$C$4)/('Choix pédagogiques'!$C$5-'Choix pédagogiques'!$C$4),"")</f>
        <v/>
      </c>
      <c r="AY772" s="55" t="str">
        <f aca="false">IF(AND('Choix pédagogiques'!$C$4&lt;&gt;"?",'Choix pédagogiques'!$C$5&lt;&gt;"?",AD772&lt;&gt;""),(AD772-'Choix pédagogiques'!$C$4)/('Choix pédagogiques'!$C$5-'Choix pédagogiques'!$C$4),"")</f>
        <v/>
      </c>
      <c r="AZ772" s="53" t="str">
        <f aca="false">IF($J772&lt;&gt;"",$J772,"")</f>
        <v/>
      </c>
      <c r="BA772" s="52" t="str">
        <f aca="false">IF($A772&lt;&gt;"",$A772,"")</f>
        <v>Apprenant 760</v>
      </c>
      <c r="BB772" s="55" t="str">
        <f aca="false">IF(AND($AR772&lt;&gt;"",$AS772&lt;&gt;""),$AS772-$AR772,"")</f>
        <v/>
      </c>
      <c r="BC772" s="55" t="str">
        <f aca="false">IF(AND($AR772&lt;&gt;"",$AT772&lt;&gt;""),$AT772-$AR772,"")</f>
        <v/>
      </c>
      <c r="BD772" s="55" t="str">
        <f aca="false">IF(AND($AS772&lt;&gt;"",$AT772&lt;&gt;""),$AT772-$AS772,"")</f>
        <v/>
      </c>
      <c r="BE772" s="53" t="str">
        <f aca="false">IF($E772&lt;&gt;"",$E772,"")</f>
        <v/>
      </c>
      <c r="BF772" s="52" t="str">
        <f aca="false">IF($F772&lt;&gt;"",$F772,"")</f>
        <v>Apprenant 760 ou 760'</v>
      </c>
      <c r="BG772" s="55" t="str">
        <f aca="false">IF(AND($AW772&lt;&gt;"",$AX772&lt;&gt;""),$AX772-$AW772,"")</f>
        <v/>
      </c>
      <c r="BH772" s="55" t="str">
        <f aca="false">IF(AND($AW772&lt;&gt;"",$AY772&lt;&gt;""),$AY772-$AW772,"")</f>
        <v/>
      </c>
      <c r="BI772" s="55" t="str">
        <f aca="false">IF(AND($AX772&lt;&gt;"",$AY772&lt;&gt;""),$AY772-$AX772,"")</f>
        <v/>
      </c>
      <c r="BJ772" s="53" t="str">
        <f aca="false">IF($J772&lt;&gt;"",$J772,"")</f>
        <v/>
      </c>
      <c r="BL772" s="52"/>
      <c r="BM772" s="52" t="str">
        <f aca="false">IF(OR(COUNT(B772:D1771)=0,AND('Choix pédagogiques'!$C$3&lt;&gt;1,'Choix pédagogiques'!$C$3&lt;&gt;2)),"",IF(AND(OR('Choix pédagogiques'!$C$3=1,'Choix pédagogiques'!$C$3=2),$B772&lt;&gt;"",$C772&lt;&gt;"",$D772&lt;&gt;""),1,0))</f>
        <v/>
      </c>
      <c r="BN772" s="52" t="str">
        <f aca="false">IF(OR(COUNT(G772:I1771)=0,AND('Choix pédagogiques'!$C$3&lt;&gt;1,'Choix pédagogiques'!$C$3&lt;&gt;2)),"",IF(AND(OR('Choix pédagogiques'!$C$3=1,'Choix pédagogiques'!$C$3=2),AND($G772&lt;&gt;"",$H772&lt;&gt;"",$I772&lt;&gt;"")),1,0))</f>
        <v/>
      </c>
      <c r="BO772" s="52" t="str">
        <f aca="false">IF(OR(COUNT(B772:D1771)=0,COUNT(G772:I1771)=0,'Choix pédagogiques'!C$3&lt;&gt;3),"",IF(AND('Choix pédagogiques'!$C$3=3,$B772&lt;&gt;"",$C772&lt;&gt;"",$D772&lt;&gt;"",$G772&lt;&gt;"",$H772&lt;&gt;"",$I772&lt;&gt;""),1,0))</f>
        <v/>
      </c>
      <c r="BR772" s="52" t="n">
        <v>696</v>
      </c>
      <c r="BS772" s="52" t="n">
        <v>1991</v>
      </c>
    </row>
    <row r="773" s="54" customFormat="true" ht="18" hidden="false" customHeight="true" outlineLevel="0" collapsed="false">
      <c r="A773" s="57" t="s">
        <v>1477</v>
      </c>
      <c r="B773" s="51"/>
      <c r="C773" s="51"/>
      <c r="D773" s="51"/>
      <c r="E773" s="51"/>
      <c r="F773" s="57" t="s">
        <v>1478</v>
      </c>
      <c r="G773" s="51"/>
      <c r="H773" s="51"/>
      <c r="I773" s="51"/>
      <c r="J773" s="51"/>
      <c r="K773" s="52" t="str">
        <f aca="false">IF($A773&lt;&gt;"",$A773,"")</f>
        <v>Apprenant 761</v>
      </c>
      <c r="L773" s="53" t="str">
        <f aca="false">IF(AND($B773&lt;&gt;"",$C773&lt;&gt;""),$C773-$B773,"")</f>
        <v/>
      </c>
      <c r="M773" s="53" t="str">
        <f aca="false">IF(AND($B773&lt;&gt;"",$D773&lt;&gt;""),$D773-$B773,"")</f>
        <v/>
      </c>
      <c r="N773" s="53" t="str">
        <f aca="false">IF(AND($C773&lt;&gt;"",$D773&lt;&gt;""),$D773-$C773,"")</f>
        <v/>
      </c>
      <c r="O773" s="53" t="str">
        <f aca="false">IF($E773&lt;&gt;"",$E773,"")</f>
        <v/>
      </c>
      <c r="P773" s="52" t="str">
        <f aca="false">IF($F773&lt;&gt;"",$F773,"")</f>
        <v>Apprenant 761 ou 761'</v>
      </c>
      <c r="Q773" s="53" t="str">
        <f aca="false">IF(AND($G773&lt;&gt;"",$H773&lt;&gt;""),$H773-$G773,"")</f>
        <v/>
      </c>
      <c r="R773" s="53" t="str">
        <f aca="false">IF(AND($G773&lt;&gt;"",$I773&lt;&gt;""),$I773-$G773,"")</f>
        <v/>
      </c>
      <c r="S773" s="53" t="str">
        <f aca="false">IF(AND($H773&lt;&gt;"",$I773&lt;&gt;""),$I773-$H773,"")</f>
        <v/>
      </c>
      <c r="T773" s="53" t="str">
        <f aca="false">IF($J773&lt;&gt;"",$J773,"")</f>
        <v/>
      </c>
      <c r="V773" s="52" t="str">
        <f aca="false">IF($A773&lt;&gt;"",$A773,"")</f>
        <v>Apprenant 761</v>
      </c>
      <c r="W773" s="53" t="str">
        <f aca="false">IF(AND(OR('Choix pédagogiques'!$C$3=1,'Choix pédagogiques'!$C$3=2),$BM773=1),B773,IF(AND('Choix pédagogiques'!$C$3=3,$BO773=1),B773,""))</f>
        <v/>
      </c>
      <c r="X773" s="53" t="str">
        <f aca="false">IF(AND(OR('Choix pédagogiques'!$C$3=1,'Choix pédagogiques'!$C$3=2),$BM773=1),C773,IF(AND('Choix pédagogiques'!$C$3=3,$BO773=1),C773,""))</f>
        <v/>
      </c>
      <c r="Y773" s="53" t="str">
        <f aca="false">IF(AND(OR('Choix pédagogiques'!$C$3=1,'Choix pédagogiques'!$C$3=2),$BM773=1),D773,IF(AND('Choix pédagogiques'!$C$3=3,$BO773=1),D773,""))</f>
        <v/>
      </c>
      <c r="Z773" s="53" t="str">
        <f aca="false">IF($E773&lt;&gt;"",$E773,"")</f>
        <v/>
      </c>
      <c r="AA773" s="52" t="str">
        <f aca="false">IF($F773&lt;&gt;"",$F773,"")</f>
        <v>Apprenant 761 ou 761'</v>
      </c>
      <c r="AB773" s="53" t="str">
        <f aca="false">IF(AND(OR('Choix pédagogiques'!$C$3=1,'Choix pédagogiques'!$C$3=2),$BN773=1),G773,IF(AND('Choix pédagogiques'!$C$3=3,$BO773=1),G773,""))</f>
        <v/>
      </c>
      <c r="AC773" s="53" t="str">
        <f aca="false">IF(AND(OR('Choix pédagogiques'!$C$3=1,'Choix pédagogiques'!$C$3=2),$BN773=1),H773,IF(AND('Choix pédagogiques'!$C$3=3,$BO773=1),H773,""))</f>
        <v/>
      </c>
      <c r="AD773" s="53" t="str">
        <f aca="false">IF(AND(OR('Choix pédagogiques'!$C$3=1,'Choix pédagogiques'!$C$3=2),$BN773=1),I773,IF(AND('Choix pédagogiques'!$C$3=3,$BO773=1),I773,""))</f>
        <v/>
      </c>
      <c r="AE773" s="53" t="str">
        <f aca="false">IF($J773&lt;&gt;"",$J773,"")</f>
        <v/>
      </c>
      <c r="AF773" s="52" t="str">
        <f aca="false">IF($A773&lt;&gt;"",$A773,"")</f>
        <v>Apprenant 761</v>
      </c>
      <c r="AG773" s="53" t="str">
        <f aca="false">IF(AND($W773&lt;&gt;"",$X773&lt;&gt;""),$X773-$W773,"")</f>
        <v/>
      </c>
      <c r="AH773" s="53" t="str">
        <f aca="false">IF(AND($W773&lt;&gt;"",$Y773&lt;&gt;""),$Y773-$W773,"")</f>
        <v/>
      </c>
      <c r="AI773" s="53" t="str">
        <f aca="false">IF(AND($X773&lt;&gt;"",$Y773&lt;&gt;""),$Y773-$X773,"")</f>
        <v/>
      </c>
      <c r="AJ773" s="53" t="str">
        <f aca="false">IF($E773&lt;&gt;"",$E773,"")</f>
        <v/>
      </c>
      <c r="AK773" s="52" t="str">
        <f aca="false">IF($F773&lt;&gt;"",$F773,"")</f>
        <v>Apprenant 761 ou 761'</v>
      </c>
      <c r="AL773" s="53" t="str">
        <f aca="false">IF(AND($AB773&lt;&gt;"",$AC773&lt;&gt;""),$AC773-$AB773,"")</f>
        <v/>
      </c>
      <c r="AM773" s="53" t="str">
        <f aca="false">IF(AND($AB773&lt;&gt;"",$AD773&lt;&gt;""),$AD773-$AB773,"")</f>
        <v/>
      </c>
      <c r="AN773" s="53" t="str">
        <f aca="false">IF(AND($AC773&lt;&gt;"",$AD773&lt;&gt;""),$AD773-$AC773,"")</f>
        <v/>
      </c>
      <c r="AO773" s="53" t="str">
        <f aca="false">IF($J773&lt;&gt;"",$J773,"")</f>
        <v/>
      </c>
      <c r="AQ773" s="52" t="str">
        <f aca="false">IF($A773&lt;&gt;"",$A773,"")</f>
        <v>Apprenant 761</v>
      </c>
      <c r="AR773" s="55" t="str">
        <f aca="false">IF(AND('Choix pédagogiques'!$C$4&lt;&gt;"?",'Choix pédagogiques'!$C$5&lt;&gt;"?",W773&lt;&gt;""),(W773-'Choix pédagogiques'!$C$4)/('Choix pédagogiques'!$C$5-'Choix pédagogiques'!$C$4),"")</f>
        <v/>
      </c>
      <c r="AS773" s="55" t="str">
        <f aca="false">IF(AND('Choix pédagogiques'!$C$4&lt;&gt;"?",'Choix pédagogiques'!$C$5&lt;&gt;"?",X773&lt;&gt;""),(X773-'Choix pédagogiques'!$C$4)/('Choix pédagogiques'!$C$5-'Choix pédagogiques'!$C$4),"")</f>
        <v/>
      </c>
      <c r="AT773" s="55" t="str">
        <f aca="false">IF(AND('Choix pédagogiques'!$C$4&lt;&gt;"?",'Choix pédagogiques'!$C$5&lt;&gt;"?",Y773&lt;&gt;""),(Y773-'Choix pédagogiques'!$C$4)/('Choix pédagogiques'!$C$5-'Choix pédagogiques'!$C$4),"")</f>
        <v/>
      </c>
      <c r="AU773" s="53" t="str">
        <f aca="false">IF($E773&lt;&gt;"",$E773,"")</f>
        <v/>
      </c>
      <c r="AV773" s="52" t="str">
        <f aca="false">IF($F773&lt;&gt;"",$F773,"")</f>
        <v>Apprenant 761 ou 761'</v>
      </c>
      <c r="AW773" s="55" t="str">
        <f aca="false">IF(AND('Choix pédagogiques'!$C$4&lt;&gt;"?",'Choix pédagogiques'!$C$5&lt;&gt;"?",AB773&lt;&gt;""),(AB773-'Choix pédagogiques'!$C$4)/('Choix pédagogiques'!$C$5-'Choix pédagogiques'!$C$4),"")</f>
        <v/>
      </c>
      <c r="AX773" s="55" t="str">
        <f aca="false">IF(AND('Choix pédagogiques'!$C$4&lt;&gt;"?",'Choix pédagogiques'!$C$5&lt;&gt;"?",AC773&lt;&gt;""),(AC773-'Choix pédagogiques'!$C$4)/('Choix pédagogiques'!$C$5-'Choix pédagogiques'!$C$4),"")</f>
        <v/>
      </c>
      <c r="AY773" s="55" t="str">
        <f aca="false">IF(AND('Choix pédagogiques'!$C$4&lt;&gt;"?",'Choix pédagogiques'!$C$5&lt;&gt;"?",AD773&lt;&gt;""),(AD773-'Choix pédagogiques'!$C$4)/('Choix pédagogiques'!$C$5-'Choix pédagogiques'!$C$4),"")</f>
        <v/>
      </c>
      <c r="AZ773" s="53" t="str">
        <f aca="false">IF($J773&lt;&gt;"",$J773,"")</f>
        <v/>
      </c>
      <c r="BA773" s="52" t="str">
        <f aca="false">IF($A773&lt;&gt;"",$A773,"")</f>
        <v>Apprenant 761</v>
      </c>
      <c r="BB773" s="55" t="str">
        <f aca="false">IF(AND($AR773&lt;&gt;"",$AS773&lt;&gt;""),$AS773-$AR773,"")</f>
        <v/>
      </c>
      <c r="BC773" s="55" t="str">
        <f aca="false">IF(AND($AR773&lt;&gt;"",$AT773&lt;&gt;""),$AT773-$AR773,"")</f>
        <v/>
      </c>
      <c r="BD773" s="55" t="str">
        <f aca="false">IF(AND($AS773&lt;&gt;"",$AT773&lt;&gt;""),$AT773-$AS773,"")</f>
        <v/>
      </c>
      <c r="BE773" s="53" t="str">
        <f aca="false">IF($E773&lt;&gt;"",$E773,"")</f>
        <v/>
      </c>
      <c r="BF773" s="52" t="str">
        <f aca="false">IF($F773&lt;&gt;"",$F773,"")</f>
        <v>Apprenant 761 ou 761'</v>
      </c>
      <c r="BG773" s="55" t="str">
        <f aca="false">IF(AND($AW773&lt;&gt;"",$AX773&lt;&gt;""),$AX773-$AW773,"")</f>
        <v/>
      </c>
      <c r="BH773" s="55" t="str">
        <f aca="false">IF(AND($AW773&lt;&gt;"",$AY773&lt;&gt;""),$AY773-$AW773,"")</f>
        <v/>
      </c>
      <c r="BI773" s="55" t="str">
        <f aca="false">IF(AND($AX773&lt;&gt;"",$AY773&lt;&gt;""),$AY773-$AX773,"")</f>
        <v/>
      </c>
      <c r="BJ773" s="53" t="str">
        <f aca="false">IF($J773&lt;&gt;"",$J773,"")</f>
        <v/>
      </c>
      <c r="BL773" s="52"/>
      <c r="BM773" s="52" t="str">
        <f aca="false">IF(OR(COUNT(B773:D1772)=0,AND('Choix pédagogiques'!$C$3&lt;&gt;1,'Choix pédagogiques'!$C$3&lt;&gt;2)),"",IF(AND(OR('Choix pédagogiques'!$C$3=1,'Choix pédagogiques'!$C$3=2),$B773&lt;&gt;"",$C773&lt;&gt;"",$D773&lt;&gt;""),1,0))</f>
        <v/>
      </c>
      <c r="BN773" s="52" t="str">
        <f aca="false">IF(OR(COUNT(G773:I1772)=0,AND('Choix pédagogiques'!$C$3&lt;&gt;1,'Choix pédagogiques'!$C$3&lt;&gt;2)),"",IF(AND(OR('Choix pédagogiques'!$C$3=1,'Choix pédagogiques'!$C$3=2),AND($G773&lt;&gt;"",$H773&lt;&gt;"",$I773&lt;&gt;"")),1,0))</f>
        <v/>
      </c>
      <c r="BO773" s="52" t="str">
        <f aca="false">IF(OR(COUNT(B773:D1772)=0,COUNT(G773:I1772)=0,'Choix pédagogiques'!C$3&lt;&gt;3),"",IF(AND('Choix pédagogiques'!$C$3=3,$B773&lt;&gt;"",$C773&lt;&gt;"",$D773&lt;&gt;"",$G773&lt;&gt;"",$H773&lt;&gt;"",$I773&lt;&gt;""),1,0))</f>
        <v/>
      </c>
      <c r="BR773" s="52" t="n">
        <v>230</v>
      </c>
      <c r="BS773" s="52" t="n">
        <v>1037</v>
      </c>
    </row>
    <row r="774" s="54" customFormat="true" ht="18" hidden="false" customHeight="true" outlineLevel="0" collapsed="false">
      <c r="A774" s="57" t="s">
        <v>1479</v>
      </c>
      <c r="B774" s="51"/>
      <c r="C774" s="51"/>
      <c r="D774" s="51"/>
      <c r="E774" s="51"/>
      <c r="F774" s="57" t="s">
        <v>1480</v>
      </c>
      <c r="G774" s="51"/>
      <c r="H774" s="51"/>
      <c r="I774" s="51"/>
      <c r="J774" s="51"/>
      <c r="K774" s="52" t="str">
        <f aca="false">IF($A774&lt;&gt;"",$A774,"")</f>
        <v>Apprenant 762</v>
      </c>
      <c r="L774" s="53" t="str">
        <f aca="false">IF(AND($B774&lt;&gt;"",$C774&lt;&gt;""),$C774-$B774,"")</f>
        <v/>
      </c>
      <c r="M774" s="53" t="str">
        <f aca="false">IF(AND($B774&lt;&gt;"",$D774&lt;&gt;""),$D774-$B774,"")</f>
        <v/>
      </c>
      <c r="N774" s="53" t="str">
        <f aca="false">IF(AND($C774&lt;&gt;"",$D774&lt;&gt;""),$D774-$C774,"")</f>
        <v/>
      </c>
      <c r="O774" s="53" t="str">
        <f aca="false">IF($E774&lt;&gt;"",$E774,"")</f>
        <v/>
      </c>
      <c r="P774" s="52" t="str">
        <f aca="false">IF($F774&lt;&gt;"",$F774,"")</f>
        <v>Apprenant 762 ou 762'</v>
      </c>
      <c r="Q774" s="53" t="str">
        <f aca="false">IF(AND($G774&lt;&gt;"",$H774&lt;&gt;""),$H774-$G774,"")</f>
        <v/>
      </c>
      <c r="R774" s="53" t="str">
        <f aca="false">IF(AND($G774&lt;&gt;"",$I774&lt;&gt;""),$I774-$G774,"")</f>
        <v/>
      </c>
      <c r="S774" s="53" t="str">
        <f aca="false">IF(AND($H774&lt;&gt;"",$I774&lt;&gt;""),$I774-$H774,"")</f>
        <v/>
      </c>
      <c r="T774" s="53" t="str">
        <f aca="false">IF($J774&lt;&gt;"",$J774,"")</f>
        <v/>
      </c>
      <c r="V774" s="52" t="str">
        <f aca="false">IF($A774&lt;&gt;"",$A774,"")</f>
        <v>Apprenant 762</v>
      </c>
      <c r="W774" s="53" t="str">
        <f aca="false">IF(AND(OR('Choix pédagogiques'!$C$3=1,'Choix pédagogiques'!$C$3=2),$BM774=1),B774,IF(AND('Choix pédagogiques'!$C$3=3,$BO774=1),B774,""))</f>
        <v/>
      </c>
      <c r="X774" s="53" t="str">
        <f aca="false">IF(AND(OR('Choix pédagogiques'!$C$3=1,'Choix pédagogiques'!$C$3=2),$BM774=1),C774,IF(AND('Choix pédagogiques'!$C$3=3,$BO774=1),C774,""))</f>
        <v/>
      </c>
      <c r="Y774" s="53" t="str">
        <f aca="false">IF(AND(OR('Choix pédagogiques'!$C$3=1,'Choix pédagogiques'!$C$3=2),$BM774=1),D774,IF(AND('Choix pédagogiques'!$C$3=3,$BO774=1),D774,""))</f>
        <v/>
      </c>
      <c r="Z774" s="53" t="str">
        <f aca="false">IF($E774&lt;&gt;"",$E774,"")</f>
        <v/>
      </c>
      <c r="AA774" s="52" t="str">
        <f aca="false">IF($F774&lt;&gt;"",$F774,"")</f>
        <v>Apprenant 762 ou 762'</v>
      </c>
      <c r="AB774" s="53" t="str">
        <f aca="false">IF(AND(OR('Choix pédagogiques'!$C$3=1,'Choix pédagogiques'!$C$3=2),$BN774=1),G774,IF(AND('Choix pédagogiques'!$C$3=3,$BO774=1),G774,""))</f>
        <v/>
      </c>
      <c r="AC774" s="53" t="str">
        <f aca="false">IF(AND(OR('Choix pédagogiques'!$C$3=1,'Choix pédagogiques'!$C$3=2),$BN774=1),H774,IF(AND('Choix pédagogiques'!$C$3=3,$BO774=1),H774,""))</f>
        <v/>
      </c>
      <c r="AD774" s="53" t="str">
        <f aca="false">IF(AND(OR('Choix pédagogiques'!$C$3=1,'Choix pédagogiques'!$C$3=2),$BN774=1),I774,IF(AND('Choix pédagogiques'!$C$3=3,$BO774=1),I774,""))</f>
        <v/>
      </c>
      <c r="AE774" s="53" t="str">
        <f aca="false">IF($J774&lt;&gt;"",$J774,"")</f>
        <v/>
      </c>
      <c r="AF774" s="52" t="str">
        <f aca="false">IF($A774&lt;&gt;"",$A774,"")</f>
        <v>Apprenant 762</v>
      </c>
      <c r="AG774" s="53" t="str">
        <f aca="false">IF(AND($W774&lt;&gt;"",$X774&lt;&gt;""),$X774-$W774,"")</f>
        <v/>
      </c>
      <c r="AH774" s="53" t="str">
        <f aca="false">IF(AND($W774&lt;&gt;"",$Y774&lt;&gt;""),$Y774-$W774,"")</f>
        <v/>
      </c>
      <c r="AI774" s="53" t="str">
        <f aca="false">IF(AND($X774&lt;&gt;"",$Y774&lt;&gt;""),$Y774-$X774,"")</f>
        <v/>
      </c>
      <c r="AJ774" s="53" t="str">
        <f aca="false">IF($E774&lt;&gt;"",$E774,"")</f>
        <v/>
      </c>
      <c r="AK774" s="52" t="str">
        <f aca="false">IF($F774&lt;&gt;"",$F774,"")</f>
        <v>Apprenant 762 ou 762'</v>
      </c>
      <c r="AL774" s="53" t="str">
        <f aca="false">IF(AND($AB774&lt;&gt;"",$AC774&lt;&gt;""),$AC774-$AB774,"")</f>
        <v/>
      </c>
      <c r="AM774" s="53" t="str">
        <f aca="false">IF(AND($AB774&lt;&gt;"",$AD774&lt;&gt;""),$AD774-$AB774,"")</f>
        <v/>
      </c>
      <c r="AN774" s="53" t="str">
        <f aca="false">IF(AND($AC774&lt;&gt;"",$AD774&lt;&gt;""),$AD774-$AC774,"")</f>
        <v/>
      </c>
      <c r="AO774" s="53" t="str">
        <f aca="false">IF($J774&lt;&gt;"",$J774,"")</f>
        <v/>
      </c>
      <c r="AQ774" s="52" t="str">
        <f aca="false">IF($A774&lt;&gt;"",$A774,"")</f>
        <v>Apprenant 762</v>
      </c>
      <c r="AR774" s="55" t="str">
        <f aca="false">IF(AND('Choix pédagogiques'!$C$4&lt;&gt;"?",'Choix pédagogiques'!$C$5&lt;&gt;"?",W774&lt;&gt;""),(W774-'Choix pédagogiques'!$C$4)/('Choix pédagogiques'!$C$5-'Choix pédagogiques'!$C$4),"")</f>
        <v/>
      </c>
      <c r="AS774" s="55" t="str">
        <f aca="false">IF(AND('Choix pédagogiques'!$C$4&lt;&gt;"?",'Choix pédagogiques'!$C$5&lt;&gt;"?",X774&lt;&gt;""),(X774-'Choix pédagogiques'!$C$4)/('Choix pédagogiques'!$C$5-'Choix pédagogiques'!$C$4),"")</f>
        <v/>
      </c>
      <c r="AT774" s="55" t="str">
        <f aca="false">IF(AND('Choix pédagogiques'!$C$4&lt;&gt;"?",'Choix pédagogiques'!$C$5&lt;&gt;"?",Y774&lt;&gt;""),(Y774-'Choix pédagogiques'!$C$4)/('Choix pédagogiques'!$C$5-'Choix pédagogiques'!$C$4),"")</f>
        <v/>
      </c>
      <c r="AU774" s="53" t="str">
        <f aca="false">IF($E774&lt;&gt;"",$E774,"")</f>
        <v/>
      </c>
      <c r="AV774" s="52" t="str">
        <f aca="false">IF($F774&lt;&gt;"",$F774,"")</f>
        <v>Apprenant 762 ou 762'</v>
      </c>
      <c r="AW774" s="55" t="str">
        <f aca="false">IF(AND('Choix pédagogiques'!$C$4&lt;&gt;"?",'Choix pédagogiques'!$C$5&lt;&gt;"?",AB774&lt;&gt;""),(AB774-'Choix pédagogiques'!$C$4)/('Choix pédagogiques'!$C$5-'Choix pédagogiques'!$C$4),"")</f>
        <v/>
      </c>
      <c r="AX774" s="55" t="str">
        <f aca="false">IF(AND('Choix pédagogiques'!$C$4&lt;&gt;"?",'Choix pédagogiques'!$C$5&lt;&gt;"?",AC774&lt;&gt;""),(AC774-'Choix pédagogiques'!$C$4)/('Choix pédagogiques'!$C$5-'Choix pédagogiques'!$C$4),"")</f>
        <v/>
      </c>
      <c r="AY774" s="55" t="str">
        <f aca="false">IF(AND('Choix pédagogiques'!$C$4&lt;&gt;"?",'Choix pédagogiques'!$C$5&lt;&gt;"?",AD774&lt;&gt;""),(AD774-'Choix pédagogiques'!$C$4)/('Choix pédagogiques'!$C$5-'Choix pédagogiques'!$C$4),"")</f>
        <v/>
      </c>
      <c r="AZ774" s="53" t="str">
        <f aca="false">IF($J774&lt;&gt;"",$J774,"")</f>
        <v/>
      </c>
      <c r="BA774" s="52" t="str">
        <f aca="false">IF($A774&lt;&gt;"",$A774,"")</f>
        <v>Apprenant 762</v>
      </c>
      <c r="BB774" s="55" t="str">
        <f aca="false">IF(AND($AR774&lt;&gt;"",$AS774&lt;&gt;""),$AS774-$AR774,"")</f>
        <v/>
      </c>
      <c r="BC774" s="55" t="str">
        <f aca="false">IF(AND($AR774&lt;&gt;"",$AT774&lt;&gt;""),$AT774-$AR774,"")</f>
        <v/>
      </c>
      <c r="BD774" s="55" t="str">
        <f aca="false">IF(AND($AS774&lt;&gt;"",$AT774&lt;&gt;""),$AT774-$AS774,"")</f>
        <v/>
      </c>
      <c r="BE774" s="53" t="str">
        <f aca="false">IF($E774&lt;&gt;"",$E774,"")</f>
        <v/>
      </c>
      <c r="BF774" s="52" t="str">
        <f aca="false">IF($F774&lt;&gt;"",$F774,"")</f>
        <v>Apprenant 762 ou 762'</v>
      </c>
      <c r="BG774" s="55" t="str">
        <f aca="false">IF(AND($AW774&lt;&gt;"",$AX774&lt;&gt;""),$AX774-$AW774,"")</f>
        <v/>
      </c>
      <c r="BH774" s="55" t="str">
        <f aca="false">IF(AND($AW774&lt;&gt;"",$AY774&lt;&gt;""),$AY774-$AW774,"")</f>
        <v/>
      </c>
      <c r="BI774" s="55" t="str">
        <f aca="false">IF(AND($AX774&lt;&gt;"",$AY774&lt;&gt;""),$AY774-$AX774,"")</f>
        <v/>
      </c>
      <c r="BJ774" s="53" t="str">
        <f aca="false">IF($J774&lt;&gt;"",$J774,"")</f>
        <v/>
      </c>
      <c r="BL774" s="52"/>
      <c r="BM774" s="52" t="str">
        <f aca="false">IF(OR(COUNT(B774:D1773)=0,AND('Choix pédagogiques'!$C$3&lt;&gt;1,'Choix pédagogiques'!$C$3&lt;&gt;2)),"",IF(AND(OR('Choix pédagogiques'!$C$3=1,'Choix pédagogiques'!$C$3=2),$B774&lt;&gt;"",$C774&lt;&gt;"",$D774&lt;&gt;""),1,0))</f>
        <v/>
      </c>
      <c r="BN774" s="52" t="str">
        <f aca="false">IF(OR(COUNT(G774:I1773)=0,AND('Choix pédagogiques'!$C$3&lt;&gt;1,'Choix pédagogiques'!$C$3&lt;&gt;2)),"",IF(AND(OR('Choix pédagogiques'!$C$3=1,'Choix pédagogiques'!$C$3=2),AND($G774&lt;&gt;"",$H774&lt;&gt;"",$I774&lt;&gt;"")),1,0))</f>
        <v/>
      </c>
      <c r="BO774" s="52" t="str">
        <f aca="false">IF(OR(COUNT(B774:D1773)=0,COUNT(G774:I1773)=0,'Choix pédagogiques'!C$3&lt;&gt;3),"",IF(AND('Choix pédagogiques'!$C$3=3,$B774&lt;&gt;"",$C774&lt;&gt;"",$D774&lt;&gt;"",$G774&lt;&gt;"",$H774&lt;&gt;"",$I774&lt;&gt;""),1,0))</f>
        <v/>
      </c>
      <c r="BR774" s="52" t="n">
        <v>830</v>
      </c>
      <c r="BS774" s="52" t="n">
        <v>1072</v>
      </c>
    </row>
    <row r="775" s="54" customFormat="true" ht="18" hidden="false" customHeight="true" outlineLevel="0" collapsed="false">
      <c r="A775" s="57" t="s">
        <v>1481</v>
      </c>
      <c r="B775" s="51"/>
      <c r="C775" s="51"/>
      <c r="D775" s="51"/>
      <c r="E775" s="51"/>
      <c r="F775" s="57" t="s">
        <v>1482</v>
      </c>
      <c r="G775" s="51"/>
      <c r="H775" s="51"/>
      <c r="I775" s="51"/>
      <c r="J775" s="51"/>
      <c r="K775" s="52" t="str">
        <f aca="false">IF($A775&lt;&gt;"",$A775,"")</f>
        <v>Apprenant 763</v>
      </c>
      <c r="L775" s="53" t="str">
        <f aca="false">IF(AND($B775&lt;&gt;"",$C775&lt;&gt;""),$C775-$B775,"")</f>
        <v/>
      </c>
      <c r="M775" s="53" t="str">
        <f aca="false">IF(AND($B775&lt;&gt;"",$D775&lt;&gt;""),$D775-$B775,"")</f>
        <v/>
      </c>
      <c r="N775" s="53" t="str">
        <f aca="false">IF(AND($C775&lt;&gt;"",$D775&lt;&gt;""),$D775-$C775,"")</f>
        <v/>
      </c>
      <c r="O775" s="53" t="str">
        <f aca="false">IF($E775&lt;&gt;"",$E775,"")</f>
        <v/>
      </c>
      <c r="P775" s="52" t="str">
        <f aca="false">IF($F775&lt;&gt;"",$F775,"")</f>
        <v>Apprenant 763 ou 763'</v>
      </c>
      <c r="Q775" s="53" t="str">
        <f aca="false">IF(AND($G775&lt;&gt;"",$H775&lt;&gt;""),$H775-$G775,"")</f>
        <v/>
      </c>
      <c r="R775" s="53" t="str">
        <f aca="false">IF(AND($G775&lt;&gt;"",$I775&lt;&gt;""),$I775-$G775,"")</f>
        <v/>
      </c>
      <c r="S775" s="53" t="str">
        <f aca="false">IF(AND($H775&lt;&gt;"",$I775&lt;&gt;""),$I775-$H775,"")</f>
        <v/>
      </c>
      <c r="T775" s="53" t="str">
        <f aca="false">IF($J775&lt;&gt;"",$J775,"")</f>
        <v/>
      </c>
      <c r="V775" s="52" t="str">
        <f aca="false">IF($A775&lt;&gt;"",$A775,"")</f>
        <v>Apprenant 763</v>
      </c>
      <c r="W775" s="53" t="str">
        <f aca="false">IF(AND(OR('Choix pédagogiques'!$C$3=1,'Choix pédagogiques'!$C$3=2),$BM775=1),B775,IF(AND('Choix pédagogiques'!$C$3=3,$BO775=1),B775,""))</f>
        <v/>
      </c>
      <c r="X775" s="53" t="str">
        <f aca="false">IF(AND(OR('Choix pédagogiques'!$C$3=1,'Choix pédagogiques'!$C$3=2),$BM775=1),C775,IF(AND('Choix pédagogiques'!$C$3=3,$BO775=1),C775,""))</f>
        <v/>
      </c>
      <c r="Y775" s="53" t="str">
        <f aca="false">IF(AND(OR('Choix pédagogiques'!$C$3=1,'Choix pédagogiques'!$C$3=2),$BM775=1),D775,IF(AND('Choix pédagogiques'!$C$3=3,$BO775=1),D775,""))</f>
        <v/>
      </c>
      <c r="Z775" s="53" t="str">
        <f aca="false">IF($E775&lt;&gt;"",$E775,"")</f>
        <v/>
      </c>
      <c r="AA775" s="52" t="str">
        <f aca="false">IF($F775&lt;&gt;"",$F775,"")</f>
        <v>Apprenant 763 ou 763'</v>
      </c>
      <c r="AB775" s="53" t="str">
        <f aca="false">IF(AND(OR('Choix pédagogiques'!$C$3=1,'Choix pédagogiques'!$C$3=2),$BN775=1),G775,IF(AND('Choix pédagogiques'!$C$3=3,$BO775=1),G775,""))</f>
        <v/>
      </c>
      <c r="AC775" s="53" t="str">
        <f aca="false">IF(AND(OR('Choix pédagogiques'!$C$3=1,'Choix pédagogiques'!$C$3=2),$BN775=1),H775,IF(AND('Choix pédagogiques'!$C$3=3,$BO775=1),H775,""))</f>
        <v/>
      </c>
      <c r="AD775" s="53" t="str">
        <f aca="false">IF(AND(OR('Choix pédagogiques'!$C$3=1,'Choix pédagogiques'!$C$3=2),$BN775=1),I775,IF(AND('Choix pédagogiques'!$C$3=3,$BO775=1),I775,""))</f>
        <v/>
      </c>
      <c r="AE775" s="53" t="str">
        <f aca="false">IF($J775&lt;&gt;"",$J775,"")</f>
        <v/>
      </c>
      <c r="AF775" s="52" t="str">
        <f aca="false">IF($A775&lt;&gt;"",$A775,"")</f>
        <v>Apprenant 763</v>
      </c>
      <c r="AG775" s="53" t="str">
        <f aca="false">IF(AND($W775&lt;&gt;"",$X775&lt;&gt;""),$X775-$W775,"")</f>
        <v/>
      </c>
      <c r="AH775" s="53" t="str">
        <f aca="false">IF(AND($W775&lt;&gt;"",$Y775&lt;&gt;""),$Y775-$W775,"")</f>
        <v/>
      </c>
      <c r="AI775" s="53" t="str">
        <f aca="false">IF(AND($X775&lt;&gt;"",$Y775&lt;&gt;""),$Y775-$X775,"")</f>
        <v/>
      </c>
      <c r="AJ775" s="53" t="str">
        <f aca="false">IF($E775&lt;&gt;"",$E775,"")</f>
        <v/>
      </c>
      <c r="AK775" s="52" t="str">
        <f aca="false">IF($F775&lt;&gt;"",$F775,"")</f>
        <v>Apprenant 763 ou 763'</v>
      </c>
      <c r="AL775" s="53" t="str">
        <f aca="false">IF(AND($AB775&lt;&gt;"",$AC775&lt;&gt;""),$AC775-$AB775,"")</f>
        <v/>
      </c>
      <c r="AM775" s="53" t="str">
        <f aca="false">IF(AND($AB775&lt;&gt;"",$AD775&lt;&gt;""),$AD775-$AB775,"")</f>
        <v/>
      </c>
      <c r="AN775" s="53" t="str">
        <f aca="false">IF(AND($AC775&lt;&gt;"",$AD775&lt;&gt;""),$AD775-$AC775,"")</f>
        <v/>
      </c>
      <c r="AO775" s="53" t="str">
        <f aca="false">IF($J775&lt;&gt;"",$J775,"")</f>
        <v/>
      </c>
      <c r="AQ775" s="52" t="str">
        <f aca="false">IF($A775&lt;&gt;"",$A775,"")</f>
        <v>Apprenant 763</v>
      </c>
      <c r="AR775" s="55" t="str">
        <f aca="false">IF(AND('Choix pédagogiques'!$C$4&lt;&gt;"?",'Choix pédagogiques'!$C$5&lt;&gt;"?",W775&lt;&gt;""),(W775-'Choix pédagogiques'!$C$4)/('Choix pédagogiques'!$C$5-'Choix pédagogiques'!$C$4),"")</f>
        <v/>
      </c>
      <c r="AS775" s="55" t="str">
        <f aca="false">IF(AND('Choix pédagogiques'!$C$4&lt;&gt;"?",'Choix pédagogiques'!$C$5&lt;&gt;"?",X775&lt;&gt;""),(X775-'Choix pédagogiques'!$C$4)/('Choix pédagogiques'!$C$5-'Choix pédagogiques'!$C$4),"")</f>
        <v/>
      </c>
      <c r="AT775" s="55" t="str">
        <f aca="false">IF(AND('Choix pédagogiques'!$C$4&lt;&gt;"?",'Choix pédagogiques'!$C$5&lt;&gt;"?",Y775&lt;&gt;""),(Y775-'Choix pédagogiques'!$C$4)/('Choix pédagogiques'!$C$5-'Choix pédagogiques'!$C$4),"")</f>
        <v/>
      </c>
      <c r="AU775" s="53" t="str">
        <f aca="false">IF($E775&lt;&gt;"",$E775,"")</f>
        <v/>
      </c>
      <c r="AV775" s="52" t="str">
        <f aca="false">IF($F775&lt;&gt;"",$F775,"")</f>
        <v>Apprenant 763 ou 763'</v>
      </c>
      <c r="AW775" s="55" t="str">
        <f aca="false">IF(AND('Choix pédagogiques'!$C$4&lt;&gt;"?",'Choix pédagogiques'!$C$5&lt;&gt;"?",AB775&lt;&gt;""),(AB775-'Choix pédagogiques'!$C$4)/('Choix pédagogiques'!$C$5-'Choix pédagogiques'!$C$4),"")</f>
        <v/>
      </c>
      <c r="AX775" s="55" t="str">
        <f aca="false">IF(AND('Choix pédagogiques'!$C$4&lt;&gt;"?",'Choix pédagogiques'!$C$5&lt;&gt;"?",AC775&lt;&gt;""),(AC775-'Choix pédagogiques'!$C$4)/('Choix pédagogiques'!$C$5-'Choix pédagogiques'!$C$4),"")</f>
        <v/>
      </c>
      <c r="AY775" s="55" t="str">
        <f aca="false">IF(AND('Choix pédagogiques'!$C$4&lt;&gt;"?",'Choix pédagogiques'!$C$5&lt;&gt;"?",AD775&lt;&gt;""),(AD775-'Choix pédagogiques'!$C$4)/('Choix pédagogiques'!$C$5-'Choix pédagogiques'!$C$4),"")</f>
        <v/>
      </c>
      <c r="AZ775" s="53" t="str">
        <f aca="false">IF($J775&lt;&gt;"",$J775,"")</f>
        <v/>
      </c>
      <c r="BA775" s="52" t="str">
        <f aca="false">IF($A775&lt;&gt;"",$A775,"")</f>
        <v>Apprenant 763</v>
      </c>
      <c r="BB775" s="55" t="str">
        <f aca="false">IF(AND($AR775&lt;&gt;"",$AS775&lt;&gt;""),$AS775-$AR775,"")</f>
        <v/>
      </c>
      <c r="BC775" s="55" t="str">
        <f aca="false">IF(AND($AR775&lt;&gt;"",$AT775&lt;&gt;""),$AT775-$AR775,"")</f>
        <v/>
      </c>
      <c r="BD775" s="55" t="str">
        <f aca="false">IF(AND($AS775&lt;&gt;"",$AT775&lt;&gt;""),$AT775-$AS775,"")</f>
        <v/>
      </c>
      <c r="BE775" s="53" t="str">
        <f aca="false">IF($E775&lt;&gt;"",$E775,"")</f>
        <v/>
      </c>
      <c r="BF775" s="52" t="str">
        <f aca="false">IF($F775&lt;&gt;"",$F775,"")</f>
        <v>Apprenant 763 ou 763'</v>
      </c>
      <c r="BG775" s="55" t="str">
        <f aca="false">IF(AND($AW775&lt;&gt;"",$AX775&lt;&gt;""),$AX775-$AW775,"")</f>
        <v/>
      </c>
      <c r="BH775" s="55" t="str">
        <f aca="false">IF(AND($AW775&lt;&gt;"",$AY775&lt;&gt;""),$AY775-$AW775,"")</f>
        <v/>
      </c>
      <c r="BI775" s="55" t="str">
        <f aca="false">IF(AND($AX775&lt;&gt;"",$AY775&lt;&gt;""),$AY775-$AX775,"")</f>
        <v/>
      </c>
      <c r="BJ775" s="53" t="str">
        <f aca="false">IF($J775&lt;&gt;"",$J775,"")</f>
        <v/>
      </c>
      <c r="BL775" s="52"/>
      <c r="BM775" s="52" t="str">
        <f aca="false">IF(OR(COUNT(B775:D1774)=0,AND('Choix pédagogiques'!$C$3&lt;&gt;1,'Choix pédagogiques'!$C$3&lt;&gt;2)),"",IF(AND(OR('Choix pédagogiques'!$C$3=1,'Choix pédagogiques'!$C$3=2),$B775&lt;&gt;"",$C775&lt;&gt;"",$D775&lt;&gt;""),1,0))</f>
        <v/>
      </c>
      <c r="BN775" s="52" t="str">
        <f aca="false">IF(OR(COUNT(G775:I1774)=0,AND('Choix pédagogiques'!$C$3&lt;&gt;1,'Choix pédagogiques'!$C$3&lt;&gt;2)),"",IF(AND(OR('Choix pédagogiques'!$C$3=1,'Choix pédagogiques'!$C$3=2),AND($G775&lt;&gt;"",$H775&lt;&gt;"",$I775&lt;&gt;"")),1,0))</f>
        <v/>
      </c>
      <c r="BO775" s="52" t="str">
        <f aca="false">IF(OR(COUNT(B775:D1774)=0,COUNT(G775:I1774)=0,'Choix pédagogiques'!C$3&lt;&gt;3),"",IF(AND('Choix pédagogiques'!$C$3=3,$B775&lt;&gt;"",$C775&lt;&gt;"",$D775&lt;&gt;"",$G775&lt;&gt;"",$H775&lt;&gt;"",$I775&lt;&gt;""),1,0))</f>
        <v/>
      </c>
      <c r="BR775" s="52" t="n">
        <v>855</v>
      </c>
      <c r="BS775" s="52" t="n">
        <v>1681</v>
      </c>
    </row>
    <row r="776" s="54" customFormat="true" ht="18" hidden="false" customHeight="true" outlineLevel="0" collapsed="false">
      <c r="A776" s="57" t="s">
        <v>1483</v>
      </c>
      <c r="B776" s="51"/>
      <c r="C776" s="51"/>
      <c r="D776" s="51"/>
      <c r="E776" s="51"/>
      <c r="F776" s="57" t="s">
        <v>1484</v>
      </c>
      <c r="G776" s="51"/>
      <c r="H776" s="51"/>
      <c r="I776" s="51"/>
      <c r="J776" s="51"/>
      <c r="K776" s="52" t="str">
        <f aca="false">IF($A776&lt;&gt;"",$A776,"")</f>
        <v>Apprenant 764</v>
      </c>
      <c r="L776" s="53" t="str">
        <f aca="false">IF(AND($B776&lt;&gt;"",$C776&lt;&gt;""),$C776-$B776,"")</f>
        <v/>
      </c>
      <c r="M776" s="53" t="str">
        <f aca="false">IF(AND($B776&lt;&gt;"",$D776&lt;&gt;""),$D776-$B776,"")</f>
        <v/>
      </c>
      <c r="N776" s="53" t="str">
        <f aca="false">IF(AND($C776&lt;&gt;"",$D776&lt;&gt;""),$D776-$C776,"")</f>
        <v/>
      </c>
      <c r="O776" s="53" t="str">
        <f aca="false">IF($E776&lt;&gt;"",$E776,"")</f>
        <v/>
      </c>
      <c r="P776" s="52" t="str">
        <f aca="false">IF($F776&lt;&gt;"",$F776,"")</f>
        <v>Apprenant 764 ou 764'</v>
      </c>
      <c r="Q776" s="53" t="str">
        <f aca="false">IF(AND($G776&lt;&gt;"",$H776&lt;&gt;""),$H776-$G776,"")</f>
        <v/>
      </c>
      <c r="R776" s="53" t="str">
        <f aca="false">IF(AND($G776&lt;&gt;"",$I776&lt;&gt;""),$I776-$G776,"")</f>
        <v/>
      </c>
      <c r="S776" s="53" t="str">
        <f aca="false">IF(AND($H776&lt;&gt;"",$I776&lt;&gt;""),$I776-$H776,"")</f>
        <v/>
      </c>
      <c r="T776" s="53" t="str">
        <f aca="false">IF($J776&lt;&gt;"",$J776,"")</f>
        <v/>
      </c>
      <c r="V776" s="52" t="str">
        <f aca="false">IF($A776&lt;&gt;"",$A776,"")</f>
        <v>Apprenant 764</v>
      </c>
      <c r="W776" s="53" t="str">
        <f aca="false">IF(AND(OR('Choix pédagogiques'!$C$3=1,'Choix pédagogiques'!$C$3=2),$BM776=1),B776,IF(AND('Choix pédagogiques'!$C$3=3,$BO776=1),B776,""))</f>
        <v/>
      </c>
      <c r="X776" s="53" t="str">
        <f aca="false">IF(AND(OR('Choix pédagogiques'!$C$3=1,'Choix pédagogiques'!$C$3=2),$BM776=1),C776,IF(AND('Choix pédagogiques'!$C$3=3,$BO776=1),C776,""))</f>
        <v/>
      </c>
      <c r="Y776" s="53" t="str">
        <f aca="false">IF(AND(OR('Choix pédagogiques'!$C$3=1,'Choix pédagogiques'!$C$3=2),$BM776=1),D776,IF(AND('Choix pédagogiques'!$C$3=3,$BO776=1),D776,""))</f>
        <v/>
      </c>
      <c r="Z776" s="53" t="str">
        <f aca="false">IF($E776&lt;&gt;"",$E776,"")</f>
        <v/>
      </c>
      <c r="AA776" s="52" t="str">
        <f aca="false">IF($F776&lt;&gt;"",$F776,"")</f>
        <v>Apprenant 764 ou 764'</v>
      </c>
      <c r="AB776" s="53" t="str">
        <f aca="false">IF(AND(OR('Choix pédagogiques'!$C$3=1,'Choix pédagogiques'!$C$3=2),$BN776=1),G776,IF(AND('Choix pédagogiques'!$C$3=3,$BO776=1),G776,""))</f>
        <v/>
      </c>
      <c r="AC776" s="53" t="str">
        <f aca="false">IF(AND(OR('Choix pédagogiques'!$C$3=1,'Choix pédagogiques'!$C$3=2),$BN776=1),H776,IF(AND('Choix pédagogiques'!$C$3=3,$BO776=1),H776,""))</f>
        <v/>
      </c>
      <c r="AD776" s="53" t="str">
        <f aca="false">IF(AND(OR('Choix pédagogiques'!$C$3=1,'Choix pédagogiques'!$C$3=2),$BN776=1),I776,IF(AND('Choix pédagogiques'!$C$3=3,$BO776=1),I776,""))</f>
        <v/>
      </c>
      <c r="AE776" s="53" t="str">
        <f aca="false">IF($J776&lt;&gt;"",$J776,"")</f>
        <v/>
      </c>
      <c r="AF776" s="52" t="str">
        <f aca="false">IF($A776&lt;&gt;"",$A776,"")</f>
        <v>Apprenant 764</v>
      </c>
      <c r="AG776" s="53" t="str">
        <f aca="false">IF(AND($W776&lt;&gt;"",$X776&lt;&gt;""),$X776-$W776,"")</f>
        <v/>
      </c>
      <c r="AH776" s="53" t="str">
        <f aca="false">IF(AND($W776&lt;&gt;"",$Y776&lt;&gt;""),$Y776-$W776,"")</f>
        <v/>
      </c>
      <c r="AI776" s="53" t="str">
        <f aca="false">IF(AND($X776&lt;&gt;"",$Y776&lt;&gt;""),$Y776-$X776,"")</f>
        <v/>
      </c>
      <c r="AJ776" s="53" t="str">
        <f aca="false">IF($E776&lt;&gt;"",$E776,"")</f>
        <v/>
      </c>
      <c r="AK776" s="52" t="str">
        <f aca="false">IF($F776&lt;&gt;"",$F776,"")</f>
        <v>Apprenant 764 ou 764'</v>
      </c>
      <c r="AL776" s="53" t="str">
        <f aca="false">IF(AND($AB776&lt;&gt;"",$AC776&lt;&gt;""),$AC776-$AB776,"")</f>
        <v/>
      </c>
      <c r="AM776" s="53" t="str">
        <f aca="false">IF(AND($AB776&lt;&gt;"",$AD776&lt;&gt;""),$AD776-$AB776,"")</f>
        <v/>
      </c>
      <c r="AN776" s="53" t="str">
        <f aca="false">IF(AND($AC776&lt;&gt;"",$AD776&lt;&gt;""),$AD776-$AC776,"")</f>
        <v/>
      </c>
      <c r="AO776" s="53" t="str">
        <f aca="false">IF($J776&lt;&gt;"",$J776,"")</f>
        <v/>
      </c>
      <c r="AQ776" s="52" t="str">
        <f aca="false">IF($A776&lt;&gt;"",$A776,"")</f>
        <v>Apprenant 764</v>
      </c>
      <c r="AR776" s="55" t="str">
        <f aca="false">IF(AND('Choix pédagogiques'!$C$4&lt;&gt;"?",'Choix pédagogiques'!$C$5&lt;&gt;"?",W776&lt;&gt;""),(W776-'Choix pédagogiques'!$C$4)/('Choix pédagogiques'!$C$5-'Choix pédagogiques'!$C$4),"")</f>
        <v/>
      </c>
      <c r="AS776" s="55" t="str">
        <f aca="false">IF(AND('Choix pédagogiques'!$C$4&lt;&gt;"?",'Choix pédagogiques'!$C$5&lt;&gt;"?",X776&lt;&gt;""),(X776-'Choix pédagogiques'!$C$4)/('Choix pédagogiques'!$C$5-'Choix pédagogiques'!$C$4),"")</f>
        <v/>
      </c>
      <c r="AT776" s="55" t="str">
        <f aca="false">IF(AND('Choix pédagogiques'!$C$4&lt;&gt;"?",'Choix pédagogiques'!$C$5&lt;&gt;"?",Y776&lt;&gt;""),(Y776-'Choix pédagogiques'!$C$4)/('Choix pédagogiques'!$C$5-'Choix pédagogiques'!$C$4),"")</f>
        <v/>
      </c>
      <c r="AU776" s="53" t="str">
        <f aca="false">IF($E776&lt;&gt;"",$E776,"")</f>
        <v/>
      </c>
      <c r="AV776" s="52" t="str">
        <f aca="false">IF($F776&lt;&gt;"",$F776,"")</f>
        <v>Apprenant 764 ou 764'</v>
      </c>
      <c r="AW776" s="55" t="str">
        <f aca="false">IF(AND('Choix pédagogiques'!$C$4&lt;&gt;"?",'Choix pédagogiques'!$C$5&lt;&gt;"?",AB776&lt;&gt;""),(AB776-'Choix pédagogiques'!$C$4)/('Choix pédagogiques'!$C$5-'Choix pédagogiques'!$C$4),"")</f>
        <v/>
      </c>
      <c r="AX776" s="55" t="str">
        <f aca="false">IF(AND('Choix pédagogiques'!$C$4&lt;&gt;"?",'Choix pédagogiques'!$C$5&lt;&gt;"?",AC776&lt;&gt;""),(AC776-'Choix pédagogiques'!$C$4)/('Choix pédagogiques'!$C$5-'Choix pédagogiques'!$C$4),"")</f>
        <v/>
      </c>
      <c r="AY776" s="55" t="str">
        <f aca="false">IF(AND('Choix pédagogiques'!$C$4&lt;&gt;"?",'Choix pédagogiques'!$C$5&lt;&gt;"?",AD776&lt;&gt;""),(AD776-'Choix pédagogiques'!$C$4)/('Choix pédagogiques'!$C$5-'Choix pédagogiques'!$C$4),"")</f>
        <v/>
      </c>
      <c r="AZ776" s="53" t="str">
        <f aca="false">IF($J776&lt;&gt;"",$J776,"")</f>
        <v/>
      </c>
      <c r="BA776" s="52" t="str">
        <f aca="false">IF($A776&lt;&gt;"",$A776,"")</f>
        <v>Apprenant 764</v>
      </c>
      <c r="BB776" s="55" t="str">
        <f aca="false">IF(AND($AR776&lt;&gt;"",$AS776&lt;&gt;""),$AS776-$AR776,"")</f>
        <v/>
      </c>
      <c r="BC776" s="55" t="str">
        <f aca="false">IF(AND($AR776&lt;&gt;"",$AT776&lt;&gt;""),$AT776-$AR776,"")</f>
        <v/>
      </c>
      <c r="BD776" s="55" t="str">
        <f aca="false">IF(AND($AS776&lt;&gt;"",$AT776&lt;&gt;""),$AT776-$AS776,"")</f>
        <v/>
      </c>
      <c r="BE776" s="53" t="str">
        <f aca="false">IF($E776&lt;&gt;"",$E776,"")</f>
        <v/>
      </c>
      <c r="BF776" s="52" t="str">
        <f aca="false">IF($F776&lt;&gt;"",$F776,"")</f>
        <v>Apprenant 764 ou 764'</v>
      </c>
      <c r="BG776" s="55" t="str">
        <f aca="false">IF(AND($AW776&lt;&gt;"",$AX776&lt;&gt;""),$AX776-$AW776,"")</f>
        <v/>
      </c>
      <c r="BH776" s="55" t="str">
        <f aca="false">IF(AND($AW776&lt;&gt;"",$AY776&lt;&gt;""),$AY776-$AW776,"")</f>
        <v/>
      </c>
      <c r="BI776" s="55" t="str">
        <f aca="false">IF(AND($AX776&lt;&gt;"",$AY776&lt;&gt;""),$AY776-$AX776,"")</f>
        <v/>
      </c>
      <c r="BJ776" s="53" t="str">
        <f aca="false">IF($J776&lt;&gt;"",$J776,"")</f>
        <v/>
      </c>
      <c r="BL776" s="52"/>
      <c r="BM776" s="52" t="str">
        <f aca="false">IF(OR(COUNT(B776:D1775)=0,AND('Choix pédagogiques'!$C$3&lt;&gt;1,'Choix pédagogiques'!$C$3&lt;&gt;2)),"",IF(AND(OR('Choix pédagogiques'!$C$3=1,'Choix pédagogiques'!$C$3=2),$B776&lt;&gt;"",$C776&lt;&gt;"",$D776&lt;&gt;""),1,0))</f>
        <v/>
      </c>
      <c r="BN776" s="52" t="str">
        <f aca="false">IF(OR(COUNT(G776:I1775)=0,AND('Choix pédagogiques'!$C$3&lt;&gt;1,'Choix pédagogiques'!$C$3&lt;&gt;2)),"",IF(AND(OR('Choix pédagogiques'!$C$3=1,'Choix pédagogiques'!$C$3=2),AND($G776&lt;&gt;"",$H776&lt;&gt;"",$I776&lt;&gt;"")),1,0))</f>
        <v/>
      </c>
      <c r="BO776" s="52" t="str">
        <f aca="false">IF(OR(COUNT(B776:D1775)=0,COUNT(G776:I1775)=0,'Choix pédagogiques'!C$3&lt;&gt;3),"",IF(AND('Choix pédagogiques'!$C$3=3,$B776&lt;&gt;"",$C776&lt;&gt;"",$D776&lt;&gt;"",$G776&lt;&gt;"",$H776&lt;&gt;"",$I776&lt;&gt;""),1,0))</f>
        <v/>
      </c>
      <c r="BR776" s="52" t="n">
        <v>639</v>
      </c>
      <c r="BS776" s="52" t="n">
        <v>1498</v>
      </c>
    </row>
    <row r="777" s="54" customFormat="true" ht="18" hidden="false" customHeight="true" outlineLevel="0" collapsed="false">
      <c r="A777" s="57" t="s">
        <v>1485</v>
      </c>
      <c r="B777" s="51"/>
      <c r="C777" s="51"/>
      <c r="D777" s="51"/>
      <c r="E777" s="51"/>
      <c r="F777" s="57" t="s">
        <v>1486</v>
      </c>
      <c r="G777" s="51"/>
      <c r="H777" s="51"/>
      <c r="I777" s="51"/>
      <c r="J777" s="51"/>
      <c r="K777" s="52" t="str">
        <f aca="false">IF($A777&lt;&gt;"",$A777,"")</f>
        <v>Apprenant 765</v>
      </c>
      <c r="L777" s="53" t="str">
        <f aca="false">IF(AND($B777&lt;&gt;"",$C777&lt;&gt;""),$C777-$B777,"")</f>
        <v/>
      </c>
      <c r="M777" s="53" t="str">
        <f aca="false">IF(AND($B777&lt;&gt;"",$D777&lt;&gt;""),$D777-$B777,"")</f>
        <v/>
      </c>
      <c r="N777" s="53" t="str">
        <f aca="false">IF(AND($C777&lt;&gt;"",$D777&lt;&gt;""),$D777-$C777,"")</f>
        <v/>
      </c>
      <c r="O777" s="53" t="str">
        <f aca="false">IF($E777&lt;&gt;"",$E777,"")</f>
        <v/>
      </c>
      <c r="P777" s="52" t="str">
        <f aca="false">IF($F777&lt;&gt;"",$F777,"")</f>
        <v>Apprenant 765 ou 765'</v>
      </c>
      <c r="Q777" s="53" t="str">
        <f aca="false">IF(AND($G777&lt;&gt;"",$H777&lt;&gt;""),$H777-$G777,"")</f>
        <v/>
      </c>
      <c r="R777" s="53" t="str">
        <f aca="false">IF(AND($G777&lt;&gt;"",$I777&lt;&gt;""),$I777-$G777,"")</f>
        <v/>
      </c>
      <c r="S777" s="53" t="str">
        <f aca="false">IF(AND($H777&lt;&gt;"",$I777&lt;&gt;""),$I777-$H777,"")</f>
        <v/>
      </c>
      <c r="T777" s="53" t="str">
        <f aca="false">IF($J777&lt;&gt;"",$J777,"")</f>
        <v/>
      </c>
      <c r="V777" s="52" t="str">
        <f aca="false">IF($A777&lt;&gt;"",$A777,"")</f>
        <v>Apprenant 765</v>
      </c>
      <c r="W777" s="53" t="str">
        <f aca="false">IF(AND(OR('Choix pédagogiques'!$C$3=1,'Choix pédagogiques'!$C$3=2),$BM777=1),B777,IF(AND('Choix pédagogiques'!$C$3=3,$BO777=1),B777,""))</f>
        <v/>
      </c>
      <c r="X777" s="53" t="str">
        <f aca="false">IF(AND(OR('Choix pédagogiques'!$C$3=1,'Choix pédagogiques'!$C$3=2),$BM777=1),C777,IF(AND('Choix pédagogiques'!$C$3=3,$BO777=1),C777,""))</f>
        <v/>
      </c>
      <c r="Y777" s="53" t="str">
        <f aca="false">IF(AND(OR('Choix pédagogiques'!$C$3=1,'Choix pédagogiques'!$C$3=2),$BM777=1),D777,IF(AND('Choix pédagogiques'!$C$3=3,$BO777=1),D777,""))</f>
        <v/>
      </c>
      <c r="Z777" s="53" t="str">
        <f aca="false">IF($E777&lt;&gt;"",$E777,"")</f>
        <v/>
      </c>
      <c r="AA777" s="52" t="str">
        <f aca="false">IF($F777&lt;&gt;"",$F777,"")</f>
        <v>Apprenant 765 ou 765'</v>
      </c>
      <c r="AB777" s="53" t="str">
        <f aca="false">IF(AND(OR('Choix pédagogiques'!$C$3=1,'Choix pédagogiques'!$C$3=2),$BN777=1),G777,IF(AND('Choix pédagogiques'!$C$3=3,$BO777=1),G777,""))</f>
        <v/>
      </c>
      <c r="AC777" s="53" t="str">
        <f aca="false">IF(AND(OR('Choix pédagogiques'!$C$3=1,'Choix pédagogiques'!$C$3=2),$BN777=1),H777,IF(AND('Choix pédagogiques'!$C$3=3,$BO777=1),H777,""))</f>
        <v/>
      </c>
      <c r="AD777" s="53" t="str">
        <f aca="false">IF(AND(OR('Choix pédagogiques'!$C$3=1,'Choix pédagogiques'!$C$3=2),$BN777=1),I777,IF(AND('Choix pédagogiques'!$C$3=3,$BO777=1),I777,""))</f>
        <v/>
      </c>
      <c r="AE777" s="53" t="str">
        <f aca="false">IF($J777&lt;&gt;"",$J777,"")</f>
        <v/>
      </c>
      <c r="AF777" s="52" t="str">
        <f aca="false">IF($A777&lt;&gt;"",$A777,"")</f>
        <v>Apprenant 765</v>
      </c>
      <c r="AG777" s="53" t="str">
        <f aca="false">IF(AND($W777&lt;&gt;"",$X777&lt;&gt;""),$X777-$W777,"")</f>
        <v/>
      </c>
      <c r="AH777" s="53" t="str">
        <f aca="false">IF(AND($W777&lt;&gt;"",$Y777&lt;&gt;""),$Y777-$W777,"")</f>
        <v/>
      </c>
      <c r="AI777" s="53" t="str">
        <f aca="false">IF(AND($X777&lt;&gt;"",$Y777&lt;&gt;""),$Y777-$X777,"")</f>
        <v/>
      </c>
      <c r="AJ777" s="53" t="str">
        <f aca="false">IF($E777&lt;&gt;"",$E777,"")</f>
        <v/>
      </c>
      <c r="AK777" s="52" t="str">
        <f aca="false">IF($F777&lt;&gt;"",$F777,"")</f>
        <v>Apprenant 765 ou 765'</v>
      </c>
      <c r="AL777" s="53" t="str">
        <f aca="false">IF(AND($AB777&lt;&gt;"",$AC777&lt;&gt;""),$AC777-$AB777,"")</f>
        <v/>
      </c>
      <c r="AM777" s="53" t="str">
        <f aca="false">IF(AND($AB777&lt;&gt;"",$AD777&lt;&gt;""),$AD777-$AB777,"")</f>
        <v/>
      </c>
      <c r="AN777" s="53" t="str">
        <f aca="false">IF(AND($AC777&lt;&gt;"",$AD777&lt;&gt;""),$AD777-$AC777,"")</f>
        <v/>
      </c>
      <c r="AO777" s="53" t="str">
        <f aca="false">IF($J777&lt;&gt;"",$J777,"")</f>
        <v/>
      </c>
      <c r="AQ777" s="52" t="str">
        <f aca="false">IF($A777&lt;&gt;"",$A777,"")</f>
        <v>Apprenant 765</v>
      </c>
      <c r="AR777" s="55" t="str">
        <f aca="false">IF(AND('Choix pédagogiques'!$C$4&lt;&gt;"?",'Choix pédagogiques'!$C$5&lt;&gt;"?",W777&lt;&gt;""),(W777-'Choix pédagogiques'!$C$4)/('Choix pédagogiques'!$C$5-'Choix pédagogiques'!$C$4),"")</f>
        <v/>
      </c>
      <c r="AS777" s="55" t="str">
        <f aca="false">IF(AND('Choix pédagogiques'!$C$4&lt;&gt;"?",'Choix pédagogiques'!$C$5&lt;&gt;"?",X777&lt;&gt;""),(X777-'Choix pédagogiques'!$C$4)/('Choix pédagogiques'!$C$5-'Choix pédagogiques'!$C$4),"")</f>
        <v/>
      </c>
      <c r="AT777" s="55" t="str">
        <f aca="false">IF(AND('Choix pédagogiques'!$C$4&lt;&gt;"?",'Choix pédagogiques'!$C$5&lt;&gt;"?",Y777&lt;&gt;""),(Y777-'Choix pédagogiques'!$C$4)/('Choix pédagogiques'!$C$5-'Choix pédagogiques'!$C$4),"")</f>
        <v/>
      </c>
      <c r="AU777" s="53" t="str">
        <f aca="false">IF($E777&lt;&gt;"",$E777,"")</f>
        <v/>
      </c>
      <c r="AV777" s="52" t="str">
        <f aca="false">IF($F777&lt;&gt;"",$F777,"")</f>
        <v>Apprenant 765 ou 765'</v>
      </c>
      <c r="AW777" s="55" t="str">
        <f aca="false">IF(AND('Choix pédagogiques'!$C$4&lt;&gt;"?",'Choix pédagogiques'!$C$5&lt;&gt;"?",AB777&lt;&gt;""),(AB777-'Choix pédagogiques'!$C$4)/('Choix pédagogiques'!$C$5-'Choix pédagogiques'!$C$4),"")</f>
        <v/>
      </c>
      <c r="AX777" s="55" t="str">
        <f aca="false">IF(AND('Choix pédagogiques'!$C$4&lt;&gt;"?",'Choix pédagogiques'!$C$5&lt;&gt;"?",AC777&lt;&gt;""),(AC777-'Choix pédagogiques'!$C$4)/('Choix pédagogiques'!$C$5-'Choix pédagogiques'!$C$4),"")</f>
        <v/>
      </c>
      <c r="AY777" s="55" t="str">
        <f aca="false">IF(AND('Choix pédagogiques'!$C$4&lt;&gt;"?",'Choix pédagogiques'!$C$5&lt;&gt;"?",AD777&lt;&gt;""),(AD777-'Choix pédagogiques'!$C$4)/('Choix pédagogiques'!$C$5-'Choix pédagogiques'!$C$4),"")</f>
        <v/>
      </c>
      <c r="AZ777" s="53" t="str">
        <f aca="false">IF($J777&lt;&gt;"",$J777,"")</f>
        <v/>
      </c>
      <c r="BA777" s="52" t="str">
        <f aca="false">IF($A777&lt;&gt;"",$A777,"")</f>
        <v>Apprenant 765</v>
      </c>
      <c r="BB777" s="55" t="str">
        <f aca="false">IF(AND($AR777&lt;&gt;"",$AS777&lt;&gt;""),$AS777-$AR777,"")</f>
        <v/>
      </c>
      <c r="BC777" s="55" t="str">
        <f aca="false">IF(AND($AR777&lt;&gt;"",$AT777&lt;&gt;""),$AT777-$AR777,"")</f>
        <v/>
      </c>
      <c r="BD777" s="55" t="str">
        <f aca="false">IF(AND($AS777&lt;&gt;"",$AT777&lt;&gt;""),$AT777-$AS777,"")</f>
        <v/>
      </c>
      <c r="BE777" s="53" t="str">
        <f aca="false">IF($E777&lt;&gt;"",$E777,"")</f>
        <v/>
      </c>
      <c r="BF777" s="52" t="str">
        <f aca="false">IF($F777&lt;&gt;"",$F777,"")</f>
        <v>Apprenant 765 ou 765'</v>
      </c>
      <c r="BG777" s="55" t="str">
        <f aca="false">IF(AND($AW777&lt;&gt;"",$AX777&lt;&gt;""),$AX777-$AW777,"")</f>
        <v/>
      </c>
      <c r="BH777" s="55" t="str">
        <f aca="false">IF(AND($AW777&lt;&gt;"",$AY777&lt;&gt;""),$AY777-$AW777,"")</f>
        <v/>
      </c>
      <c r="BI777" s="55" t="str">
        <f aca="false">IF(AND($AX777&lt;&gt;"",$AY777&lt;&gt;""),$AY777-$AX777,"")</f>
        <v/>
      </c>
      <c r="BJ777" s="53" t="str">
        <f aca="false">IF($J777&lt;&gt;"",$J777,"")</f>
        <v/>
      </c>
      <c r="BL777" s="52"/>
      <c r="BM777" s="52" t="str">
        <f aca="false">IF(OR(COUNT(B777:D1776)=0,AND('Choix pédagogiques'!$C$3&lt;&gt;1,'Choix pédagogiques'!$C$3&lt;&gt;2)),"",IF(AND(OR('Choix pédagogiques'!$C$3=1,'Choix pédagogiques'!$C$3=2),$B777&lt;&gt;"",$C777&lt;&gt;"",$D777&lt;&gt;""),1,0))</f>
        <v/>
      </c>
      <c r="BN777" s="52" t="str">
        <f aca="false">IF(OR(COUNT(G777:I1776)=0,AND('Choix pédagogiques'!$C$3&lt;&gt;1,'Choix pédagogiques'!$C$3&lt;&gt;2)),"",IF(AND(OR('Choix pédagogiques'!$C$3=1,'Choix pédagogiques'!$C$3=2),AND($G777&lt;&gt;"",$H777&lt;&gt;"",$I777&lt;&gt;"")),1,0))</f>
        <v/>
      </c>
      <c r="BO777" s="52" t="str">
        <f aca="false">IF(OR(COUNT(B777:D1776)=0,COUNT(G777:I1776)=0,'Choix pédagogiques'!C$3&lt;&gt;3),"",IF(AND('Choix pédagogiques'!$C$3=3,$B777&lt;&gt;"",$C777&lt;&gt;"",$D777&lt;&gt;"",$G777&lt;&gt;"",$H777&lt;&gt;"",$I777&lt;&gt;""),1,0))</f>
        <v/>
      </c>
      <c r="BR777" s="52" t="n">
        <v>953</v>
      </c>
      <c r="BS777" s="52" t="n">
        <v>1253</v>
      </c>
    </row>
    <row r="778" s="54" customFormat="true" ht="18" hidden="false" customHeight="true" outlineLevel="0" collapsed="false">
      <c r="A778" s="57" t="s">
        <v>1487</v>
      </c>
      <c r="B778" s="51"/>
      <c r="C778" s="51"/>
      <c r="D778" s="51"/>
      <c r="E778" s="51"/>
      <c r="F778" s="57" t="s">
        <v>1488</v>
      </c>
      <c r="G778" s="51"/>
      <c r="H778" s="51"/>
      <c r="I778" s="51"/>
      <c r="J778" s="51"/>
      <c r="K778" s="52" t="str">
        <f aca="false">IF($A778&lt;&gt;"",$A778,"")</f>
        <v>Apprenant 766</v>
      </c>
      <c r="L778" s="53" t="str">
        <f aca="false">IF(AND($B778&lt;&gt;"",$C778&lt;&gt;""),$C778-$B778,"")</f>
        <v/>
      </c>
      <c r="M778" s="53" t="str">
        <f aca="false">IF(AND($B778&lt;&gt;"",$D778&lt;&gt;""),$D778-$B778,"")</f>
        <v/>
      </c>
      <c r="N778" s="53" t="str">
        <f aca="false">IF(AND($C778&lt;&gt;"",$D778&lt;&gt;""),$D778-$C778,"")</f>
        <v/>
      </c>
      <c r="O778" s="53" t="str">
        <f aca="false">IF($E778&lt;&gt;"",$E778,"")</f>
        <v/>
      </c>
      <c r="P778" s="52" t="str">
        <f aca="false">IF($F778&lt;&gt;"",$F778,"")</f>
        <v>Apprenant 766 ou 766'</v>
      </c>
      <c r="Q778" s="53" t="str">
        <f aca="false">IF(AND($G778&lt;&gt;"",$H778&lt;&gt;""),$H778-$G778,"")</f>
        <v/>
      </c>
      <c r="R778" s="53" t="str">
        <f aca="false">IF(AND($G778&lt;&gt;"",$I778&lt;&gt;""),$I778-$G778,"")</f>
        <v/>
      </c>
      <c r="S778" s="53" t="str">
        <f aca="false">IF(AND($H778&lt;&gt;"",$I778&lt;&gt;""),$I778-$H778,"")</f>
        <v/>
      </c>
      <c r="T778" s="53" t="str">
        <f aca="false">IF($J778&lt;&gt;"",$J778,"")</f>
        <v/>
      </c>
      <c r="V778" s="52" t="str">
        <f aca="false">IF($A778&lt;&gt;"",$A778,"")</f>
        <v>Apprenant 766</v>
      </c>
      <c r="W778" s="53" t="str">
        <f aca="false">IF(AND(OR('Choix pédagogiques'!$C$3=1,'Choix pédagogiques'!$C$3=2),$BM778=1),B778,IF(AND('Choix pédagogiques'!$C$3=3,$BO778=1),B778,""))</f>
        <v/>
      </c>
      <c r="X778" s="53" t="str">
        <f aca="false">IF(AND(OR('Choix pédagogiques'!$C$3=1,'Choix pédagogiques'!$C$3=2),$BM778=1),C778,IF(AND('Choix pédagogiques'!$C$3=3,$BO778=1),C778,""))</f>
        <v/>
      </c>
      <c r="Y778" s="53" t="str">
        <f aca="false">IF(AND(OR('Choix pédagogiques'!$C$3=1,'Choix pédagogiques'!$C$3=2),$BM778=1),D778,IF(AND('Choix pédagogiques'!$C$3=3,$BO778=1),D778,""))</f>
        <v/>
      </c>
      <c r="Z778" s="53" t="str">
        <f aca="false">IF($E778&lt;&gt;"",$E778,"")</f>
        <v/>
      </c>
      <c r="AA778" s="52" t="str">
        <f aca="false">IF($F778&lt;&gt;"",$F778,"")</f>
        <v>Apprenant 766 ou 766'</v>
      </c>
      <c r="AB778" s="53" t="str">
        <f aca="false">IF(AND(OR('Choix pédagogiques'!$C$3=1,'Choix pédagogiques'!$C$3=2),$BN778=1),G778,IF(AND('Choix pédagogiques'!$C$3=3,$BO778=1),G778,""))</f>
        <v/>
      </c>
      <c r="AC778" s="53" t="str">
        <f aca="false">IF(AND(OR('Choix pédagogiques'!$C$3=1,'Choix pédagogiques'!$C$3=2),$BN778=1),H778,IF(AND('Choix pédagogiques'!$C$3=3,$BO778=1),H778,""))</f>
        <v/>
      </c>
      <c r="AD778" s="53" t="str">
        <f aca="false">IF(AND(OR('Choix pédagogiques'!$C$3=1,'Choix pédagogiques'!$C$3=2),$BN778=1),I778,IF(AND('Choix pédagogiques'!$C$3=3,$BO778=1),I778,""))</f>
        <v/>
      </c>
      <c r="AE778" s="53" t="str">
        <f aca="false">IF($J778&lt;&gt;"",$J778,"")</f>
        <v/>
      </c>
      <c r="AF778" s="52" t="str">
        <f aca="false">IF($A778&lt;&gt;"",$A778,"")</f>
        <v>Apprenant 766</v>
      </c>
      <c r="AG778" s="53" t="str">
        <f aca="false">IF(AND($W778&lt;&gt;"",$X778&lt;&gt;""),$X778-$W778,"")</f>
        <v/>
      </c>
      <c r="AH778" s="53" t="str">
        <f aca="false">IF(AND($W778&lt;&gt;"",$Y778&lt;&gt;""),$Y778-$W778,"")</f>
        <v/>
      </c>
      <c r="AI778" s="53" t="str">
        <f aca="false">IF(AND($X778&lt;&gt;"",$Y778&lt;&gt;""),$Y778-$X778,"")</f>
        <v/>
      </c>
      <c r="AJ778" s="53" t="str">
        <f aca="false">IF($E778&lt;&gt;"",$E778,"")</f>
        <v/>
      </c>
      <c r="AK778" s="52" t="str">
        <f aca="false">IF($F778&lt;&gt;"",$F778,"")</f>
        <v>Apprenant 766 ou 766'</v>
      </c>
      <c r="AL778" s="53" t="str">
        <f aca="false">IF(AND($AB778&lt;&gt;"",$AC778&lt;&gt;""),$AC778-$AB778,"")</f>
        <v/>
      </c>
      <c r="AM778" s="53" t="str">
        <f aca="false">IF(AND($AB778&lt;&gt;"",$AD778&lt;&gt;""),$AD778-$AB778,"")</f>
        <v/>
      </c>
      <c r="AN778" s="53" t="str">
        <f aca="false">IF(AND($AC778&lt;&gt;"",$AD778&lt;&gt;""),$AD778-$AC778,"")</f>
        <v/>
      </c>
      <c r="AO778" s="53" t="str">
        <f aca="false">IF($J778&lt;&gt;"",$J778,"")</f>
        <v/>
      </c>
      <c r="AQ778" s="52" t="str">
        <f aca="false">IF($A778&lt;&gt;"",$A778,"")</f>
        <v>Apprenant 766</v>
      </c>
      <c r="AR778" s="55" t="str">
        <f aca="false">IF(AND('Choix pédagogiques'!$C$4&lt;&gt;"?",'Choix pédagogiques'!$C$5&lt;&gt;"?",W778&lt;&gt;""),(W778-'Choix pédagogiques'!$C$4)/('Choix pédagogiques'!$C$5-'Choix pédagogiques'!$C$4),"")</f>
        <v/>
      </c>
      <c r="AS778" s="55" t="str">
        <f aca="false">IF(AND('Choix pédagogiques'!$C$4&lt;&gt;"?",'Choix pédagogiques'!$C$5&lt;&gt;"?",X778&lt;&gt;""),(X778-'Choix pédagogiques'!$C$4)/('Choix pédagogiques'!$C$5-'Choix pédagogiques'!$C$4),"")</f>
        <v/>
      </c>
      <c r="AT778" s="55" t="str">
        <f aca="false">IF(AND('Choix pédagogiques'!$C$4&lt;&gt;"?",'Choix pédagogiques'!$C$5&lt;&gt;"?",Y778&lt;&gt;""),(Y778-'Choix pédagogiques'!$C$4)/('Choix pédagogiques'!$C$5-'Choix pédagogiques'!$C$4),"")</f>
        <v/>
      </c>
      <c r="AU778" s="53" t="str">
        <f aca="false">IF($E778&lt;&gt;"",$E778,"")</f>
        <v/>
      </c>
      <c r="AV778" s="52" t="str">
        <f aca="false">IF($F778&lt;&gt;"",$F778,"")</f>
        <v>Apprenant 766 ou 766'</v>
      </c>
      <c r="AW778" s="55" t="str">
        <f aca="false">IF(AND('Choix pédagogiques'!$C$4&lt;&gt;"?",'Choix pédagogiques'!$C$5&lt;&gt;"?",AB778&lt;&gt;""),(AB778-'Choix pédagogiques'!$C$4)/('Choix pédagogiques'!$C$5-'Choix pédagogiques'!$C$4),"")</f>
        <v/>
      </c>
      <c r="AX778" s="55" t="str">
        <f aca="false">IF(AND('Choix pédagogiques'!$C$4&lt;&gt;"?",'Choix pédagogiques'!$C$5&lt;&gt;"?",AC778&lt;&gt;""),(AC778-'Choix pédagogiques'!$C$4)/('Choix pédagogiques'!$C$5-'Choix pédagogiques'!$C$4),"")</f>
        <v/>
      </c>
      <c r="AY778" s="55" t="str">
        <f aca="false">IF(AND('Choix pédagogiques'!$C$4&lt;&gt;"?",'Choix pédagogiques'!$C$5&lt;&gt;"?",AD778&lt;&gt;""),(AD778-'Choix pédagogiques'!$C$4)/('Choix pédagogiques'!$C$5-'Choix pédagogiques'!$C$4),"")</f>
        <v/>
      </c>
      <c r="AZ778" s="53" t="str">
        <f aca="false">IF($J778&lt;&gt;"",$J778,"")</f>
        <v/>
      </c>
      <c r="BA778" s="52" t="str">
        <f aca="false">IF($A778&lt;&gt;"",$A778,"")</f>
        <v>Apprenant 766</v>
      </c>
      <c r="BB778" s="55" t="str">
        <f aca="false">IF(AND($AR778&lt;&gt;"",$AS778&lt;&gt;""),$AS778-$AR778,"")</f>
        <v/>
      </c>
      <c r="BC778" s="55" t="str">
        <f aca="false">IF(AND($AR778&lt;&gt;"",$AT778&lt;&gt;""),$AT778-$AR778,"")</f>
        <v/>
      </c>
      <c r="BD778" s="55" t="str">
        <f aca="false">IF(AND($AS778&lt;&gt;"",$AT778&lt;&gt;""),$AT778-$AS778,"")</f>
        <v/>
      </c>
      <c r="BE778" s="53" t="str">
        <f aca="false">IF($E778&lt;&gt;"",$E778,"")</f>
        <v/>
      </c>
      <c r="BF778" s="52" t="str">
        <f aca="false">IF($F778&lt;&gt;"",$F778,"")</f>
        <v>Apprenant 766 ou 766'</v>
      </c>
      <c r="BG778" s="55" t="str">
        <f aca="false">IF(AND($AW778&lt;&gt;"",$AX778&lt;&gt;""),$AX778-$AW778,"")</f>
        <v/>
      </c>
      <c r="BH778" s="55" t="str">
        <f aca="false">IF(AND($AW778&lt;&gt;"",$AY778&lt;&gt;""),$AY778-$AW778,"")</f>
        <v/>
      </c>
      <c r="BI778" s="55" t="str">
        <f aca="false">IF(AND($AX778&lt;&gt;"",$AY778&lt;&gt;""),$AY778-$AX778,"")</f>
        <v/>
      </c>
      <c r="BJ778" s="53" t="str">
        <f aca="false">IF($J778&lt;&gt;"",$J778,"")</f>
        <v/>
      </c>
      <c r="BL778" s="52"/>
      <c r="BM778" s="52" t="str">
        <f aca="false">IF(OR(COUNT(B778:D1777)=0,AND('Choix pédagogiques'!$C$3&lt;&gt;1,'Choix pédagogiques'!$C$3&lt;&gt;2)),"",IF(AND(OR('Choix pédagogiques'!$C$3=1,'Choix pédagogiques'!$C$3=2),$B778&lt;&gt;"",$C778&lt;&gt;"",$D778&lt;&gt;""),1,0))</f>
        <v/>
      </c>
      <c r="BN778" s="52" t="str">
        <f aca="false">IF(OR(COUNT(G778:I1777)=0,AND('Choix pédagogiques'!$C$3&lt;&gt;1,'Choix pédagogiques'!$C$3&lt;&gt;2)),"",IF(AND(OR('Choix pédagogiques'!$C$3=1,'Choix pédagogiques'!$C$3=2),AND($G778&lt;&gt;"",$H778&lt;&gt;"",$I778&lt;&gt;"")),1,0))</f>
        <v/>
      </c>
      <c r="BO778" s="52" t="str">
        <f aca="false">IF(OR(COUNT(B778:D1777)=0,COUNT(G778:I1777)=0,'Choix pédagogiques'!C$3&lt;&gt;3),"",IF(AND('Choix pédagogiques'!$C$3=3,$B778&lt;&gt;"",$C778&lt;&gt;"",$D778&lt;&gt;"",$G778&lt;&gt;"",$H778&lt;&gt;"",$I778&lt;&gt;""),1,0))</f>
        <v/>
      </c>
      <c r="BR778" s="52" t="n">
        <v>306</v>
      </c>
      <c r="BS778" s="52" t="n">
        <v>1885</v>
      </c>
    </row>
    <row r="779" s="54" customFormat="true" ht="18" hidden="false" customHeight="true" outlineLevel="0" collapsed="false">
      <c r="A779" s="57" t="s">
        <v>1489</v>
      </c>
      <c r="B779" s="51"/>
      <c r="C779" s="51"/>
      <c r="D779" s="51"/>
      <c r="E779" s="51"/>
      <c r="F779" s="57" t="s">
        <v>1490</v>
      </c>
      <c r="G779" s="51"/>
      <c r="H779" s="51"/>
      <c r="I779" s="51"/>
      <c r="J779" s="51"/>
      <c r="K779" s="52" t="str">
        <f aca="false">IF($A779&lt;&gt;"",$A779,"")</f>
        <v>Apprenant 767</v>
      </c>
      <c r="L779" s="53" t="str">
        <f aca="false">IF(AND($B779&lt;&gt;"",$C779&lt;&gt;""),$C779-$B779,"")</f>
        <v/>
      </c>
      <c r="M779" s="53" t="str">
        <f aca="false">IF(AND($B779&lt;&gt;"",$D779&lt;&gt;""),$D779-$B779,"")</f>
        <v/>
      </c>
      <c r="N779" s="53" t="str">
        <f aca="false">IF(AND($C779&lt;&gt;"",$D779&lt;&gt;""),$D779-$C779,"")</f>
        <v/>
      </c>
      <c r="O779" s="53" t="str">
        <f aca="false">IF($E779&lt;&gt;"",$E779,"")</f>
        <v/>
      </c>
      <c r="P779" s="52" t="str">
        <f aca="false">IF($F779&lt;&gt;"",$F779,"")</f>
        <v>Apprenant 767 ou 767'</v>
      </c>
      <c r="Q779" s="53" t="str">
        <f aca="false">IF(AND($G779&lt;&gt;"",$H779&lt;&gt;""),$H779-$G779,"")</f>
        <v/>
      </c>
      <c r="R779" s="53" t="str">
        <f aca="false">IF(AND($G779&lt;&gt;"",$I779&lt;&gt;""),$I779-$G779,"")</f>
        <v/>
      </c>
      <c r="S779" s="53" t="str">
        <f aca="false">IF(AND($H779&lt;&gt;"",$I779&lt;&gt;""),$I779-$H779,"")</f>
        <v/>
      </c>
      <c r="T779" s="53" t="str">
        <f aca="false">IF($J779&lt;&gt;"",$J779,"")</f>
        <v/>
      </c>
      <c r="V779" s="52" t="str">
        <f aca="false">IF($A779&lt;&gt;"",$A779,"")</f>
        <v>Apprenant 767</v>
      </c>
      <c r="W779" s="53" t="str">
        <f aca="false">IF(AND(OR('Choix pédagogiques'!$C$3=1,'Choix pédagogiques'!$C$3=2),$BM779=1),B779,IF(AND('Choix pédagogiques'!$C$3=3,$BO779=1),B779,""))</f>
        <v/>
      </c>
      <c r="X779" s="53" t="str">
        <f aca="false">IF(AND(OR('Choix pédagogiques'!$C$3=1,'Choix pédagogiques'!$C$3=2),$BM779=1),C779,IF(AND('Choix pédagogiques'!$C$3=3,$BO779=1),C779,""))</f>
        <v/>
      </c>
      <c r="Y779" s="53" t="str">
        <f aca="false">IF(AND(OR('Choix pédagogiques'!$C$3=1,'Choix pédagogiques'!$C$3=2),$BM779=1),D779,IF(AND('Choix pédagogiques'!$C$3=3,$BO779=1),D779,""))</f>
        <v/>
      </c>
      <c r="Z779" s="53" t="str">
        <f aca="false">IF($E779&lt;&gt;"",$E779,"")</f>
        <v/>
      </c>
      <c r="AA779" s="52" t="str">
        <f aca="false">IF($F779&lt;&gt;"",$F779,"")</f>
        <v>Apprenant 767 ou 767'</v>
      </c>
      <c r="AB779" s="53" t="str">
        <f aca="false">IF(AND(OR('Choix pédagogiques'!$C$3=1,'Choix pédagogiques'!$C$3=2),$BN779=1),G779,IF(AND('Choix pédagogiques'!$C$3=3,$BO779=1),G779,""))</f>
        <v/>
      </c>
      <c r="AC779" s="53" t="str">
        <f aca="false">IF(AND(OR('Choix pédagogiques'!$C$3=1,'Choix pédagogiques'!$C$3=2),$BN779=1),H779,IF(AND('Choix pédagogiques'!$C$3=3,$BO779=1),H779,""))</f>
        <v/>
      </c>
      <c r="AD779" s="53" t="str">
        <f aca="false">IF(AND(OR('Choix pédagogiques'!$C$3=1,'Choix pédagogiques'!$C$3=2),$BN779=1),I779,IF(AND('Choix pédagogiques'!$C$3=3,$BO779=1),I779,""))</f>
        <v/>
      </c>
      <c r="AE779" s="53" t="str">
        <f aca="false">IF($J779&lt;&gt;"",$J779,"")</f>
        <v/>
      </c>
      <c r="AF779" s="52" t="str">
        <f aca="false">IF($A779&lt;&gt;"",$A779,"")</f>
        <v>Apprenant 767</v>
      </c>
      <c r="AG779" s="53" t="str">
        <f aca="false">IF(AND($W779&lt;&gt;"",$X779&lt;&gt;""),$X779-$W779,"")</f>
        <v/>
      </c>
      <c r="AH779" s="53" t="str">
        <f aca="false">IF(AND($W779&lt;&gt;"",$Y779&lt;&gt;""),$Y779-$W779,"")</f>
        <v/>
      </c>
      <c r="AI779" s="53" t="str">
        <f aca="false">IF(AND($X779&lt;&gt;"",$Y779&lt;&gt;""),$Y779-$X779,"")</f>
        <v/>
      </c>
      <c r="AJ779" s="53" t="str">
        <f aca="false">IF($E779&lt;&gt;"",$E779,"")</f>
        <v/>
      </c>
      <c r="AK779" s="52" t="str">
        <f aca="false">IF($F779&lt;&gt;"",$F779,"")</f>
        <v>Apprenant 767 ou 767'</v>
      </c>
      <c r="AL779" s="53" t="str">
        <f aca="false">IF(AND($AB779&lt;&gt;"",$AC779&lt;&gt;""),$AC779-$AB779,"")</f>
        <v/>
      </c>
      <c r="AM779" s="53" t="str">
        <f aca="false">IF(AND($AB779&lt;&gt;"",$AD779&lt;&gt;""),$AD779-$AB779,"")</f>
        <v/>
      </c>
      <c r="AN779" s="53" t="str">
        <f aca="false">IF(AND($AC779&lt;&gt;"",$AD779&lt;&gt;""),$AD779-$AC779,"")</f>
        <v/>
      </c>
      <c r="AO779" s="53" t="str">
        <f aca="false">IF($J779&lt;&gt;"",$J779,"")</f>
        <v/>
      </c>
      <c r="AQ779" s="52" t="str">
        <f aca="false">IF($A779&lt;&gt;"",$A779,"")</f>
        <v>Apprenant 767</v>
      </c>
      <c r="AR779" s="55" t="str">
        <f aca="false">IF(AND('Choix pédagogiques'!$C$4&lt;&gt;"?",'Choix pédagogiques'!$C$5&lt;&gt;"?",W779&lt;&gt;""),(W779-'Choix pédagogiques'!$C$4)/('Choix pédagogiques'!$C$5-'Choix pédagogiques'!$C$4),"")</f>
        <v/>
      </c>
      <c r="AS779" s="55" t="str">
        <f aca="false">IF(AND('Choix pédagogiques'!$C$4&lt;&gt;"?",'Choix pédagogiques'!$C$5&lt;&gt;"?",X779&lt;&gt;""),(X779-'Choix pédagogiques'!$C$4)/('Choix pédagogiques'!$C$5-'Choix pédagogiques'!$C$4),"")</f>
        <v/>
      </c>
      <c r="AT779" s="55" t="str">
        <f aca="false">IF(AND('Choix pédagogiques'!$C$4&lt;&gt;"?",'Choix pédagogiques'!$C$5&lt;&gt;"?",Y779&lt;&gt;""),(Y779-'Choix pédagogiques'!$C$4)/('Choix pédagogiques'!$C$5-'Choix pédagogiques'!$C$4),"")</f>
        <v/>
      </c>
      <c r="AU779" s="53" t="str">
        <f aca="false">IF($E779&lt;&gt;"",$E779,"")</f>
        <v/>
      </c>
      <c r="AV779" s="52" t="str">
        <f aca="false">IF($F779&lt;&gt;"",$F779,"")</f>
        <v>Apprenant 767 ou 767'</v>
      </c>
      <c r="AW779" s="55" t="str">
        <f aca="false">IF(AND('Choix pédagogiques'!$C$4&lt;&gt;"?",'Choix pédagogiques'!$C$5&lt;&gt;"?",AB779&lt;&gt;""),(AB779-'Choix pédagogiques'!$C$4)/('Choix pédagogiques'!$C$5-'Choix pédagogiques'!$C$4),"")</f>
        <v/>
      </c>
      <c r="AX779" s="55" t="str">
        <f aca="false">IF(AND('Choix pédagogiques'!$C$4&lt;&gt;"?",'Choix pédagogiques'!$C$5&lt;&gt;"?",AC779&lt;&gt;""),(AC779-'Choix pédagogiques'!$C$4)/('Choix pédagogiques'!$C$5-'Choix pédagogiques'!$C$4),"")</f>
        <v/>
      </c>
      <c r="AY779" s="55" t="str">
        <f aca="false">IF(AND('Choix pédagogiques'!$C$4&lt;&gt;"?",'Choix pédagogiques'!$C$5&lt;&gt;"?",AD779&lt;&gt;""),(AD779-'Choix pédagogiques'!$C$4)/('Choix pédagogiques'!$C$5-'Choix pédagogiques'!$C$4),"")</f>
        <v/>
      </c>
      <c r="AZ779" s="53" t="str">
        <f aca="false">IF($J779&lt;&gt;"",$J779,"")</f>
        <v/>
      </c>
      <c r="BA779" s="52" t="str">
        <f aca="false">IF($A779&lt;&gt;"",$A779,"")</f>
        <v>Apprenant 767</v>
      </c>
      <c r="BB779" s="55" t="str">
        <f aca="false">IF(AND($AR779&lt;&gt;"",$AS779&lt;&gt;""),$AS779-$AR779,"")</f>
        <v/>
      </c>
      <c r="BC779" s="55" t="str">
        <f aca="false">IF(AND($AR779&lt;&gt;"",$AT779&lt;&gt;""),$AT779-$AR779,"")</f>
        <v/>
      </c>
      <c r="BD779" s="55" t="str">
        <f aca="false">IF(AND($AS779&lt;&gt;"",$AT779&lt;&gt;""),$AT779-$AS779,"")</f>
        <v/>
      </c>
      <c r="BE779" s="53" t="str">
        <f aca="false">IF($E779&lt;&gt;"",$E779,"")</f>
        <v/>
      </c>
      <c r="BF779" s="52" t="str">
        <f aca="false">IF($F779&lt;&gt;"",$F779,"")</f>
        <v>Apprenant 767 ou 767'</v>
      </c>
      <c r="BG779" s="55" t="str">
        <f aca="false">IF(AND($AW779&lt;&gt;"",$AX779&lt;&gt;""),$AX779-$AW779,"")</f>
        <v/>
      </c>
      <c r="BH779" s="55" t="str">
        <f aca="false">IF(AND($AW779&lt;&gt;"",$AY779&lt;&gt;""),$AY779-$AW779,"")</f>
        <v/>
      </c>
      <c r="BI779" s="55" t="str">
        <f aca="false">IF(AND($AX779&lt;&gt;"",$AY779&lt;&gt;""),$AY779-$AX779,"")</f>
        <v/>
      </c>
      <c r="BJ779" s="53" t="str">
        <f aca="false">IF($J779&lt;&gt;"",$J779,"")</f>
        <v/>
      </c>
      <c r="BL779" s="52"/>
      <c r="BM779" s="52" t="str">
        <f aca="false">IF(OR(COUNT(B779:D1778)=0,AND('Choix pédagogiques'!$C$3&lt;&gt;1,'Choix pédagogiques'!$C$3&lt;&gt;2)),"",IF(AND(OR('Choix pédagogiques'!$C$3=1,'Choix pédagogiques'!$C$3=2),$B779&lt;&gt;"",$C779&lt;&gt;"",$D779&lt;&gt;""),1,0))</f>
        <v/>
      </c>
      <c r="BN779" s="52" t="str">
        <f aca="false">IF(OR(COUNT(G779:I1778)=0,AND('Choix pédagogiques'!$C$3&lt;&gt;1,'Choix pédagogiques'!$C$3&lt;&gt;2)),"",IF(AND(OR('Choix pédagogiques'!$C$3=1,'Choix pédagogiques'!$C$3=2),AND($G779&lt;&gt;"",$H779&lt;&gt;"",$I779&lt;&gt;"")),1,0))</f>
        <v/>
      </c>
      <c r="BO779" s="52" t="str">
        <f aca="false">IF(OR(COUNT(B779:D1778)=0,COUNT(G779:I1778)=0,'Choix pédagogiques'!C$3&lt;&gt;3),"",IF(AND('Choix pédagogiques'!$C$3=3,$B779&lt;&gt;"",$C779&lt;&gt;"",$D779&lt;&gt;"",$G779&lt;&gt;"",$H779&lt;&gt;"",$I779&lt;&gt;""),1,0))</f>
        <v/>
      </c>
      <c r="BR779" s="52" t="n">
        <v>799</v>
      </c>
      <c r="BS779" s="52" t="n">
        <v>1759</v>
      </c>
    </row>
    <row r="780" s="54" customFormat="true" ht="18" hidden="false" customHeight="true" outlineLevel="0" collapsed="false">
      <c r="A780" s="57" t="s">
        <v>1491</v>
      </c>
      <c r="B780" s="51"/>
      <c r="C780" s="51"/>
      <c r="D780" s="51"/>
      <c r="E780" s="51"/>
      <c r="F780" s="57" t="s">
        <v>1492</v>
      </c>
      <c r="G780" s="51"/>
      <c r="H780" s="51"/>
      <c r="I780" s="51"/>
      <c r="J780" s="51"/>
      <c r="K780" s="52" t="str">
        <f aca="false">IF($A780&lt;&gt;"",$A780,"")</f>
        <v>Apprenant 768</v>
      </c>
      <c r="L780" s="53" t="str">
        <f aca="false">IF(AND($B780&lt;&gt;"",$C780&lt;&gt;""),$C780-$B780,"")</f>
        <v/>
      </c>
      <c r="M780" s="53" t="str">
        <f aca="false">IF(AND($B780&lt;&gt;"",$D780&lt;&gt;""),$D780-$B780,"")</f>
        <v/>
      </c>
      <c r="N780" s="53" t="str">
        <f aca="false">IF(AND($C780&lt;&gt;"",$D780&lt;&gt;""),$D780-$C780,"")</f>
        <v/>
      </c>
      <c r="O780" s="53" t="str">
        <f aca="false">IF($E780&lt;&gt;"",$E780,"")</f>
        <v/>
      </c>
      <c r="P780" s="52" t="str">
        <f aca="false">IF($F780&lt;&gt;"",$F780,"")</f>
        <v>Apprenant 768 ou 768'</v>
      </c>
      <c r="Q780" s="53" t="str">
        <f aca="false">IF(AND($G780&lt;&gt;"",$H780&lt;&gt;""),$H780-$G780,"")</f>
        <v/>
      </c>
      <c r="R780" s="53" t="str">
        <f aca="false">IF(AND($G780&lt;&gt;"",$I780&lt;&gt;""),$I780-$G780,"")</f>
        <v/>
      </c>
      <c r="S780" s="53" t="str">
        <f aca="false">IF(AND($H780&lt;&gt;"",$I780&lt;&gt;""),$I780-$H780,"")</f>
        <v/>
      </c>
      <c r="T780" s="53" t="str">
        <f aca="false">IF($J780&lt;&gt;"",$J780,"")</f>
        <v/>
      </c>
      <c r="V780" s="52" t="str">
        <f aca="false">IF($A780&lt;&gt;"",$A780,"")</f>
        <v>Apprenant 768</v>
      </c>
      <c r="W780" s="53" t="str">
        <f aca="false">IF(AND(OR('Choix pédagogiques'!$C$3=1,'Choix pédagogiques'!$C$3=2),$BM780=1),B780,IF(AND('Choix pédagogiques'!$C$3=3,$BO780=1),B780,""))</f>
        <v/>
      </c>
      <c r="X780" s="53" t="str">
        <f aca="false">IF(AND(OR('Choix pédagogiques'!$C$3=1,'Choix pédagogiques'!$C$3=2),$BM780=1),C780,IF(AND('Choix pédagogiques'!$C$3=3,$BO780=1),C780,""))</f>
        <v/>
      </c>
      <c r="Y780" s="53" t="str">
        <f aca="false">IF(AND(OR('Choix pédagogiques'!$C$3=1,'Choix pédagogiques'!$C$3=2),$BM780=1),D780,IF(AND('Choix pédagogiques'!$C$3=3,$BO780=1),D780,""))</f>
        <v/>
      </c>
      <c r="Z780" s="53" t="str">
        <f aca="false">IF($E780&lt;&gt;"",$E780,"")</f>
        <v/>
      </c>
      <c r="AA780" s="52" t="str">
        <f aca="false">IF($F780&lt;&gt;"",$F780,"")</f>
        <v>Apprenant 768 ou 768'</v>
      </c>
      <c r="AB780" s="53" t="str">
        <f aca="false">IF(AND(OR('Choix pédagogiques'!$C$3=1,'Choix pédagogiques'!$C$3=2),$BN780=1),G780,IF(AND('Choix pédagogiques'!$C$3=3,$BO780=1),G780,""))</f>
        <v/>
      </c>
      <c r="AC780" s="53" t="str">
        <f aca="false">IF(AND(OR('Choix pédagogiques'!$C$3=1,'Choix pédagogiques'!$C$3=2),$BN780=1),H780,IF(AND('Choix pédagogiques'!$C$3=3,$BO780=1),H780,""))</f>
        <v/>
      </c>
      <c r="AD780" s="53" t="str">
        <f aca="false">IF(AND(OR('Choix pédagogiques'!$C$3=1,'Choix pédagogiques'!$C$3=2),$BN780=1),I780,IF(AND('Choix pédagogiques'!$C$3=3,$BO780=1),I780,""))</f>
        <v/>
      </c>
      <c r="AE780" s="53" t="str">
        <f aca="false">IF($J780&lt;&gt;"",$J780,"")</f>
        <v/>
      </c>
      <c r="AF780" s="52" t="str">
        <f aca="false">IF($A780&lt;&gt;"",$A780,"")</f>
        <v>Apprenant 768</v>
      </c>
      <c r="AG780" s="53" t="str">
        <f aca="false">IF(AND($W780&lt;&gt;"",$X780&lt;&gt;""),$X780-$W780,"")</f>
        <v/>
      </c>
      <c r="AH780" s="53" t="str">
        <f aca="false">IF(AND($W780&lt;&gt;"",$Y780&lt;&gt;""),$Y780-$W780,"")</f>
        <v/>
      </c>
      <c r="AI780" s="53" t="str">
        <f aca="false">IF(AND($X780&lt;&gt;"",$Y780&lt;&gt;""),$Y780-$X780,"")</f>
        <v/>
      </c>
      <c r="AJ780" s="53" t="str">
        <f aca="false">IF($E780&lt;&gt;"",$E780,"")</f>
        <v/>
      </c>
      <c r="AK780" s="52" t="str">
        <f aca="false">IF($F780&lt;&gt;"",$F780,"")</f>
        <v>Apprenant 768 ou 768'</v>
      </c>
      <c r="AL780" s="53" t="str">
        <f aca="false">IF(AND($AB780&lt;&gt;"",$AC780&lt;&gt;""),$AC780-$AB780,"")</f>
        <v/>
      </c>
      <c r="AM780" s="53" t="str">
        <f aca="false">IF(AND($AB780&lt;&gt;"",$AD780&lt;&gt;""),$AD780-$AB780,"")</f>
        <v/>
      </c>
      <c r="AN780" s="53" t="str">
        <f aca="false">IF(AND($AC780&lt;&gt;"",$AD780&lt;&gt;""),$AD780-$AC780,"")</f>
        <v/>
      </c>
      <c r="AO780" s="53" t="str">
        <f aca="false">IF($J780&lt;&gt;"",$J780,"")</f>
        <v/>
      </c>
      <c r="AQ780" s="52" t="str">
        <f aca="false">IF($A780&lt;&gt;"",$A780,"")</f>
        <v>Apprenant 768</v>
      </c>
      <c r="AR780" s="55" t="str">
        <f aca="false">IF(AND('Choix pédagogiques'!$C$4&lt;&gt;"?",'Choix pédagogiques'!$C$5&lt;&gt;"?",W780&lt;&gt;""),(W780-'Choix pédagogiques'!$C$4)/('Choix pédagogiques'!$C$5-'Choix pédagogiques'!$C$4),"")</f>
        <v/>
      </c>
      <c r="AS780" s="55" t="str">
        <f aca="false">IF(AND('Choix pédagogiques'!$C$4&lt;&gt;"?",'Choix pédagogiques'!$C$5&lt;&gt;"?",X780&lt;&gt;""),(X780-'Choix pédagogiques'!$C$4)/('Choix pédagogiques'!$C$5-'Choix pédagogiques'!$C$4),"")</f>
        <v/>
      </c>
      <c r="AT780" s="55" t="str">
        <f aca="false">IF(AND('Choix pédagogiques'!$C$4&lt;&gt;"?",'Choix pédagogiques'!$C$5&lt;&gt;"?",Y780&lt;&gt;""),(Y780-'Choix pédagogiques'!$C$4)/('Choix pédagogiques'!$C$5-'Choix pédagogiques'!$C$4),"")</f>
        <v/>
      </c>
      <c r="AU780" s="53" t="str">
        <f aca="false">IF($E780&lt;&gt;"",$E780,"")</f>
        <v/>
      </c>
      <c r="AV780" s="52" t="str">
        <f aca="false">IF($F780&lt;&gt;"",$F780,"")</f>
        <v>Apprenant 768 ou 768'</v>
      </c>
      <c r="AW780" s="55" t="str">
        <f aca="false">IF(AND('Choix pédagogiques'!$C$4&lt;&gt;"?",'Choix pédagogiques'!$C$5&lt;&gt;"?",AB780&lt;&gt;""),(AB780-'Choix pédagogiques'!$C$4)/('Choix pédagogiques'!$C$5-'Choix pédagogiques'!$C$4),"")</f>
        <v/>
      </c>
      <c r="AX780" s="55" t="str">
        <f aca="false">IF(AND('Choix pédagogiques'!$C$4&lt;&gt;"?",'Choix pédagogiques'!$C$5&lt;&gt;"?",AC780&lt;&gt;""),(AC780-'Choix pédagogiques'!$C$4)/('Choix pédagogiques'!$C$5-'Choix pédagogiques'!$C$4),"")</f>
        <v/>
      </c>
      <c r="AY780" s="55" t="str">
        <f aca="false">IF(AND('Choix pédagogiques'!$C$4&lt;&gt;"?",'Choix pédagogiques'!$C$5&lt;&gt;"?",AD780&lt;&gt;""),(AD780-'Choix pédagogiques'!$C$4)/('Choix pédagogiques'!$C$5-'Choix pédagogiques'!$C$4),"")</f>
        <v/>
      </c>
      <c r="AZ780" s="53" t="str">
        <f aca="false">IF($J780&lt;&gt;"",$J780,"")</f>
        <v/>
      </c>
      <c r="BA780" s="52" t="str">
        <f aca="false">IF($A780&lt;&gt;"",$A780,"")</f>
        <v>Apprenant 768</v>
      </c>
      <c r="BB780" s="55" t="str">
        <f aca="false">IF(AND($AR780&lt;&gt;"",$AS780&lt;&gt;""),$AS780-$AR780,"")</f>
        <v/>
      </c>
      <c r="BC780" s="55" t="str">
        <f aca="false">IF(AND($AR780&lt;&gt;"",$AT780&lt;&gt;""),$AT780-$AR780,"")</f>
        <v/>
      </c>
      <c r="BD780" s="55" t="str">
        <f aca="false">IF(AND($AS780&lt;&gt;"",$AT780&lt;&gt;""),$AT780-$AS780,"")</f>
        <v/>
      </c>
      <c r="BE780" s="53" t="str">
        <f aca="false">IF($E780&lt;&gt;"",$E780,"")</f>
        <v/>
      </c>
      <c r="BF780" s="52" t="str">
        <f aca="false">IF($F780&lt;&gt;"",$F780,"")</f>
        <v>Apprenant 768 ou 768'</v>
      </c>
      <c r="BG780" s="55" t="str">
        <f aca="false">IF(AND($AW780&lt;&gt;"",$AX780&lt;&gt;""),$AX780-$AW780,"")</f>
        <v/>
      </c>
      <c r="BH780" s="55" t="str">
        <f aca="false">IF(AND($AW780&lt;&gt;"",$AY780&lt;&gt;""),$AY780-$AW780,"")</f>
        <v/>
      </c>
      <c r="BI780" s="55" t="str">
        <f aca="false">IF(AND($AX780&lt;&gt;"",$AY780&lt;&gt;""),$AY780-$AX780,"")</f>
        <v/>
      </c>
      <c r="BJ780" s="53" t="str">
        <f aca="false">IF($J780&lt;&gt;"",$J780,"")</f>
        <v/>
      </c>
      <c r="BL780" s="52"/>
      <c r="BM780" s="52" t="str">
        <f aca="false">IF(OR(COUNT(B780:D1779)=0,AND('Choix pédagogiques'!$C$3&lt;&gt;1,'Choix pédagogiques'!$C$3&lt;&gt;2)),"",IF(AND(OR('Choix pédagogiques'!$C$3=1,'Choix pédagogiques'!$C$3=2),$B780&lt;&gt;"",$C780&lt;&gt;"",$D780&lt;&gt;""),1,0))</f>
        <v/>
      </c>
      <c r="BN780" s="52" t="str">
        <f aca="false">IF(OR(COUNT(G780:I1779)=0,AND('Choix pédagogiques'!$C$3&lt;&gt;1,'Choix pédagogiques'!$C$3&lt;&gt;2)),"",IF(AND(OR('Choix pédagogiques'!$C$3=1,'Choix pédagogiques'!$C$3=2),AND($G780&lt;&gt;"",$H780&lt;&gt;"",$I780&lt;&gt;"")),1,0))</f>
        <v/>
      </c>
      <c r="BO780" s="52" t="str">
        <f aca="false">IF(OR(COUNT(B780:D1779)=0,COUNT(G780:I1779)=0,'Choix pédagogiques'!C$3&lt;&gt;3),"",IF(AND('Choix pédagogiques'!$C$3=3,$B780&lt;&gt;"",$C780&lt;&gt;"",$D780&lt;&gt;"",$G780&lt;&gt;"",$H780&lt;&gt;"",$I780&lt;&gt;""),1,0))</f>
        <v/>
      </c>
      <c r="BR780" s="52" t="n">
        <v>646</v>
      </c>
      <c r="BS780" s="52" t="n">
        <v>1557</v>
      </c>
    </row>
    <row r="781" s="54" customFormat="true" ht="18" hidden="false" customHeight="true" outlineLevel="0" collapsed="false">
      <c r="A781" s="57" t="s">
        <v>1493</v>
      </c>
      <c r="B781" s="51"/>
      <c r="C781" s="51"/>
      <c r="D781" s="51"/>
      <c r="E781" s="51"/>
      <c r="F781" s="57" t="s">
        <v>1494</v>
      </c>
      <c r="G781" s="51"/>
      <c r="H781" s="51"/>
      <c r="I781" s="51"/>
      <c r="J781" s="51"/>
      <c r="K781" s="52" t="str">
        <f aca="false">IF($A781&lt;&gt;"",$A781,"")</f>
        <v>Apprenant 769</v>
      </c>
      <c r="L781" s="53" t="str">
        <f aca="false">IF(AND($B781&lt;&gt;"",$C781&lt;&gt;""),$C781-$B781,"")</f>
        <v/>
      </c>
      <c r="M781" s="53" t="str">
        <f aca="false">IF(AND($B781&lt;&gt;"",$D781&lt;&gt;""),$D781-$B781,"")</f>
        <v/>
      </c>
      <c r="N781" s="53" t="str">
        <f aca="false">IF(AND($C781&lt;&gt;"",$D781&lt;&gt;""),$D781-$C781,"")</f>
        <v/>
      </c>
      <c r="O781" s="53" t="str">
        <f aca="false">IF($E781&lt;&gt;"",$E781,"")</f>
        <v/>
      </c>
      <c r="P781" s="52" t="str">
        <f aca="false">IF($F781&lt;&gt;"",$F781,"")</f>
        <v>Apprenant 769 ou 769'</v>
      </c>
      <c r="Q781" s="53" t="str">
        <f aca="false">IF(AND($G781&lt;&gt;"",$H781&lt;&gt;""),$H781-$G781,"")</f>
        <v/>
      </c>
      <c r="R781" s="53" t="str">
        <f aca="false">IF(AND($G781&lt;&gt;"",$I781&lt;&gt;""),$I781-$G781,"")</f>
        <v/>
      </c>
      <c r="S781" s="53" t="str">
        <f aca="false">IF(AND($H781&lt;&gt;"",$I781&lt;&gt;""),$I781-$H781,"")</f>
        <v/>
      </c>
      <c r="T781" s="53" t="str">
        <f aca="false">IF($J781&lt;&gt;"",$J781,"")</f>
        <v/>
      </c>
      <c r="V781" s="52" t="str">
        <f aca="false">IF($A781&lt;&gt;"",$A781,"")</f>
        <v>Apprenant 769</v>
      </c>
      <c r="W781" s="53" t="str">
        <f aca="false">IF(AND(OR('Choix pédagogiques'!$C$3=1,'Choix pédagogiques'!$C$3=2),$BM781=1),B781,IF(AND('Choix pédagogiques'!$C$3=3,$BO781=1),B781,""))</f>
        <v/>
      </c>
      <c r="X781" s="53" t="str">
        <f aca="false">IF(AND(OR('Choix pédagogiques'!$C$3=1,'Choix pédagogiques'!$C$3=2),$BM781=1),C781,IF(AND('Choix pédagogiques'!$C$3=3,$BO781=1),C781,""))</f>
        <v/>
      </c>
      <c r="Y781" s="53" t="str">
        <f aca="false">IF(AND(OR('Choix pédagogiques'!$C$3=1,'Choix pédagogiques'!$C$3=2),$BM781=1),D781,IF(AND('Choix pédagogiques'!$C$3=3,$BO781=1),D781,""))</f>
        <v/>
      </c>
      <c r="Z781" s="53" t="str">
        <f aca="false">IF($E781&lt;&gt;"",$E781,"")</f>
        <v/>
      </c>
      <c r="AA781" s="52" t="str">
        <f aca="false">IF($F781&lt;&gt;"",$F781,"")</f>
        <v>Apprenant 769 ou 769'</v>
      </c>
      <c r="AB781" s="53" t="str">
        <f aca="false">IF(AND(OR('Choix pédagogiques'!$C$3=1,'Choix pédagogiques'!$C$3=2),$BN781=1),G781,IF(AND('Choix pédagogiques'!$C$3=3,$BO781=1),G781,""))</f>
        <v/>
      </c>
      <c r="AC781" s="53" t="str">
        <f aca="false">IF(AND(OR('Choix pédagogiques'!$C$3=1,'Choix pédagogiques'!$C$3=2),$BN781=1),H781,IF(AND('Choix pédagogiques'!$C$3=3,$BO781=1),H781,""))</f>
        <v/>
      </c>
      <c r="AD781" s="53" t="str">
        <f aca="false">IF(AND(OR('Choix pédagogiques'!$C$3=1,'Choix pédagogiques'!$C$3=2),$BN781=1),I781,IF(AND('Choix pédagogiques'!$C$3=3,$BO781=1),I781,""))</f>
        <v/>
      </c>
      <c r="AE781" s="53" t="str">
        <f aca="false">IF($J781&lt;&gt;"",$J781,"")</f>
        <v/>
      </c>
      <c r="AF781" s="52" t="str">
        <f aca="false">IF($A781&lt;&gt;"",$A781,"")</f>
        <v>Apprenant 769</v>
      </c>
      <c r="AG781" s="53" t="str">
        <f aca="false">IF(AND($W781&lt;&gt;"",$X781&lt;&gt;""),$X781-$W781,"")</f>
        <v/>
      </c>
      <c r="AH781" s="53" t="str">
        <f aca="false">IF(AND($W781&lt;&gt;"",$Y781&lt;&gt;""),$Y781-$W781,"")</f>
        <v/>
      </c>
      <c r="AI781" s="53" t="str">
        <f aca="false">IF(AND($X781&lt;&gt;"",$Y781&lt;&gt;""),$Y781-$X781,"")</f>
        <v/>
      </c>
      <c r="AJ781" s="53" t="str">
        <f aca="false">IF($E781&lt;&gt;"",$E781,"")</f>
        <v/>
      </c>
      <c r="AK781" s="52" t="str">
        <f aca="false">IF($F781&lt;&gt;"",$F781,"")</f>
        <v>Apprenant 769 ou 769'</v>
      </c>
      <c r="AL781" s="53" t="str">
        <f aca="false">IF(AND($AB781&lt;&gt;"",$AC781&lt;&gt;""),$AC781-$AB781,"")</f>
        <v/>
      </c>
      <c r="AM781" s="53" t="str">
        <f aca="false">IF(AND($AB781&lt;&gt;"",$AD781&lt;&gt;""),$AD781-$AB781,"")</f>
        <v/>
      </c>
      <c r="AN781" s="53" t="str">
        <f aca="false">IF(AND($AC781&lt;&gt;"",$AD781&lt;&gt;""),$AD781-$AC781,"")</f>
        <v/>
      </c>
      <c r="AO781" s="53" t="str">
        <f aca="false">IF($J781&lt;&gt;"",$J781,"")</f>
        <v/>
      </c>
      <c r="AQ781" s="52" t="str">
        <f aca="false">IF($A781&lt;&gt;"",$A781,"")</f>
        <v>Apprenant 769</v>
      </c>
      <c r="AR781" s="55" t="str">
        <f aca="false">IF(AND('Choix pédagogiques'!$C$4&lt;&gt;"?",'Choix pédagogiques'!$C$5&lt;&gt;"?",W781&lt;&gt;""),(W781-'Choix pédagogiques'!$C$4)/('Choix pédagogiques'!$C$5-'Choix pédagogiques'!$C$4),"")</f>
        <v/>
      </c>
      <c r="AS781" s="55" t="str">
        <f aca="false">IF(AND('Choix pédagogiques'!$C$4&lt;&gt;"?",'Choix pédagogiques'!$C$5&lt;&gt;"?",X781&lt;&gt;""),(X781-'Choix pédagogiques'!$C$4)/('Choix pédagogiques'!$C$5-'Choix pédagogiques'!$C$4),"")</f>
        <v/>
      </c>
      <c r="AT781" s="55" t="str">
        <f aca="false">IF(AND('Choix pédagogiques'!$C$4&lt;&gt;"?",'Choix pédagogiques'!$C$5&lt;&gt;"?",Y781&lt;&gt;""),(Y781-'Choix pédagogiques'!$C$4)/('Choix pédagogiques'!$C$5-'Choix pédagogiques'!$C$4),"")</f>
        <v/>
      </c>
      <c r="AU781" s="53" t="str">
        <f aca="false">IF($E781&lt;&gt;"",$E781,"")</f>
        <v/>
      </c>
      <c r="AV781" s="52" t="str">
        <f aca="false">IF($F781&lt;&gt;"",$F781,"")</f>
        <v>Apprenant 769 ou 769'</v>
      </c>
      <c r="AW781" s="55" t="str">
        <f aca="false">IF(AND('Choix pédagogiques'!$C$4&lt;&gt;"?",'Choix pédagogiques'!$C$5&lt;&gt;"?",AB781&lt;&gt;""),(AB781-'Choix pédagogiques'!$C$4)/('Choix pédagogiques'!$C$5-'Choix pédagogiques'!$C$4),"")</f>
        <v/>
      </c>
      <c r="AX781" s="55" t="str">
        <f aca="false">IF(AND('Choix pédagogiques'!$C$4&lt;&gt;"?",'Choix pédagogiques'!$C$5&lt;&gt;"?",AC781&lt;&gt;""),(AC781-'Choix pédagogiques'!$C$4)/('Choix pédagogiques'!$C$5-'Choix pédagogiques'!$C$4),"")</f>
        <v/>
      </c>
      <c r="AY781" s="55" t="str">
        <f aca="false">IF(AND('Choix pédagogiques'!$C$4&lt;&gt;"?",'Choix pédagogiques'!$C$5&lt;&gt;"?",AD781&lt;&gt;""),(AD781-'Choix pédagogiques'!$C$4)/('Choix pédagogiques'!$C$5-'Choix pédagogiques'!$C$4),"")</f>
        <v/>
      </c>
      <c r="AZ781" s="53" t="str">
        <f aca="false">IF($J781&lt;&gt;"",$J781,"")</f>
        <v/>
      </c>
      <c r="BA781" s="52" t="str">
        <f aca="false">IF($A781&lt;&gt;"",$A781,"")</f>
        <v>Apprenant 769</v>
      </c>
      <c r="BB781" s="55" t="str">
        <f aca="false">IF(AND($AR781&lt;&gt;"",$AS781&lt;&gt;""),$AS781-$AR781,"")</f>
        <v/>
      </c>
      <c r="BC781" s="55" t="str">
        <f aca="false">IF(AND($AR781&lt;&gt;"",$AT781&lt;&gt;""),$AT781-$AR781,"")</f>
        <v/>
      </c>
      <c r="BD781" s="55" t="str">
        <f aca="false">IF(AND($AS781&lt;&gt;"",$AT781&lt;&gt;""),$AT781-$AS781,"")</f>
        <v/>
      </c>
      <c r="BE781" s="53" t="str">
        <f aca="false">IF($E781&lt;&gt;"",$E781,"")</f>
        <v/>
      </c>
      <c r="BF781" s="52" t="str">
        <f aca="false">IF($F781&lt;&gt;"",$F781,"")</f>
        <v>Apprenant 769 ou 769'</v>
      </c>
      <c r="BG781" s="55" t="str">
        <f aca="false">IF(AND($AW781&lt;&gt;"",$AX781&lt;&gt;""),$AX781-$AW781,"")</f>
        <v/>
      </c>
      <c r="BH781" s="55" t="str">
        <f aca="false">IF(AND($AW781&lt;&gt;"",$AY781&lt;&gt;""),$AY781-$AW781,"")</f>
        <v/>
      </c>
      <c r="BI781" s="55" t="str">
        <f aca="false">IF(AND($AX781&lt;&gt;"",$AY781&lt;&gt;""),$AY781-$AX781,"")</f>
        <v/>
      </c>
      <c r="BJ781" s="53" t="str">
        <f aca="false">IF($J781&lt;&gt;"",$J781,"")</f>
        <v/>
      </c>
      <c r="BL781" s="52"/>
      <c r="BM781" s="52" t="str">
        <f aca="false">IF(OR(COUNT(B781:D1780)=0,AND('Choix pédagogiques'!$C$3&lt;&gt;1,'Choix pédagogiques'!$C$3&lt;&gt;2)),"",IF(AND(OR('Choix pédagogiques'!$C$3=1,'Choix pédagogiques'!$C$3=2),$B781&lt;&gt;"",$C781&lt;&gt;"",$D781&lt;&gt;""),1,0))</f>
        <v/>
      </c>
      <c r="BN781" s="52" t="str">
        <f aca="false">IF(OR(COUNT(G781:I1780)=0,AND('Choix pédagogiques'!$C$3&lt;&gt;1,'Choix pédagogiques'!$C$3&lt;&gt;2)),"",IF(AND(OR('Choix pédagogiques'!$C$3=1,'Choix pédagogiques'!$C$3=2),AND($G781&lt;&gt;"",$H781&lt;&gt;"",$I781&lt;&gt;"")),1,0))</f>
        <v/>
      </c>
      <c r="BO781" s="52" t="str">
        <f aca="false">IF(OR(COUNT(B781:D1780)=0,COUNT(G781:I1780)=0,'Choix pédagogiques'!C$3&lt;&gt;3),"",IF(AND('Choix pédagogiques'!$C$3=3,$B781&lt;&gt;"",$C781&lt;&gt;"",$D781&lt;&gt;"",$G781&lt;&gt;"",$H781&lt;&gt;"",$I781&lt;&gt;""),1,0))</f>
        <v/>
      </c>
      <c r="BR781" s="52" t="n">
        <v>51</v>
      </c>
      <c r="BS781" s="52" t="n">
        <v>1140</v>
      </c>
    </row>
    <row r="782" s="54" customFormat="true" ht="18" hidden="false" customHeight="true" outlineLevel="0" collapsed="false">
      <c r="A782" s="57" t="s">
        <v>1495</v>
      </c>
      <c r="B782" s="51"/>
      <c r="C782" s="51"/>
      <c r="D782" s="51"/>
      <c r="E782" s="51"/>
      <c r="F782" s="57" t="s">
        <v>1496</v>
      </c>
      <c r="G782" s="51"/>
      <c r="H782" s="51"/>
      <c r="I782" s="51"/>
      <c r="J782" s="51"/>
      <c r="K782" s="52" t="str">
        <f aca="false">IF($A782&lt;&gt;"",$A782,"")</f>
        <v>Apprenant 770</v>
      </c>
      <c r="L782" s="53" t="str">
        <f aca="false">IF(AND($B782&lt;&gt;"",$C782&lt;&gt;""),$C782-$B782,"")</f>
        <v/>
      </c>
      <c r="M782" s="53" t="str">
        <f aca="false">IF(AND($B782&lt;&gt;"",$D782&lt;&gt;""),$D782-$B782,"")</f>
        <v/>
      </c>
      <c r="N782" s="53" t="str">
        <f aca="false">IF(AND($C782&lt;&gt;"",$D782&lt;&gt;""),$D782-$C782,"")</f>
        <v/>
      </c>
      <c r="O782" s="53" t="str">
        <f aca="false">IF($E782&lt;&gt;"",$E782,"")</f>
        <v/>
      </c>
      <c r="P782" s="52" t="str">
        <f aca="false">IF($F782&lt;&gt;"",$F782,"")</f>
        <v>Apprenant 770 ou 770'</v>
      </c>
      <c r="Q782" s="53" t="str">
        <f aca="false">IF(AND($G782&lt;&gt;"",$H782&lt;&gt;""),$H782-$G782,"")</f>
        <v/>
      </c>
      <c r="R782" s="53" t="str">
        <f aca="false">IF(AND($G782&lt;&gt;"",$I782&lt;&gt;""),$I782-$G782,"")</f>
        <v/>
      </c>
      <c r="S782" s="53" t="str">
        <f aca="false">IF(AND($H782&lt;&gt;"",$I782&lt;&gt;""),$I782-$H782,"")</f>
        <v/>
      </c>
      <c r="T782" s="53" t="str">
        <f aca="false">IF($J782&lt;&gt;"",$J782,"")</f>
        <v/>
      </c>
      <c r="V782" s="52" t="str">
        <f aca="false">IF($A782&lt;&gt;"",$A782,"")</f>
        <v>Apprenant 770</v>
      </c>
      <c r="W782" s="53" t="str">
        <f aca="false">IF(AND(OR('Choix pédagogiques'!$C$3=1,'Choix pédagogiques'!$C$3=2),$BM782=1),B782,IF(AND('Choix pédagogiques'!$C$3=3,$BO782=1),B782,""))</f>
        <v/>
      </c>
      <c r="X782" s="53" t="str">
        <f aca="false">IF(AND(OR('Choix pédagogiques'!$C$3=1,'Choix pédagogiques'!$C$3=2),$BM782=1),C782,IF(AND('Choix pédagogiques'!$C$3=3,$BO782=1),C782,""))</f>
        <v/>
      </c>
      <c r="Y782" s="53" t="str">
        <f aca="false">IF(AND(OR('Choix pédagogiques'!$C$3=1,'Choix pédagogiques'!$C$3=2),$BM782=1),D782,IF(AND('Choix pédagogiques'!$C$3=3,$BO782=1),D782,""))</f>
        <v/>
      </c>
      <c r="Z782" s="53" t="str">
        <f aca="false">IF($E782&lt;&gt;"",$E782,"")</f>
        <v/>
      </c>
      <c r="AA782" s="52" t="str">
        <f aca="false">IF($F782&lt;&gt;"",$F782,"")</f>
        <v>Apprenant 770 ou 770'</v>
      </c>
      <c r="AB782" s="53" t="str">
        <f aca="false">IF(AND(OR('Choix pédagogiques'!$C$3=1,'Choix pédagogiques'!$C$3=2),$BN782=1),G782,IF(AND('Choix pédagogiques'!$C$3=3,$BO782=1),G782,""))</f>
        <v/>
      </c>
      <c r="AC782" s="53" t="str">
        <f aca="false">IF(AND(OR('Choix pédagogiques'!$C$3=1,'Choix pédagogiques'!$C$3=2),$BN782=1),H782,IF(AND('Choix pédagogiques'!$C$3=3,$BO782=1),H782,""))</f>
        <v/>
      </c>
      <c r="AD782" s="53" t="str">
        <f aca="false">IF(AND(OR('Choix pédagogiques'!$C$3=1,'Choix pédagogiques'!$C$3=2),$BN782=1),I782,IF(AND('Choix pédagogiques'!$C$3=3,$BO782=1),I782,""))</f>
        <v/>
      </c>
      <c r="AE782" s="53" t="str">
        <f aca="false">IF($J782&lt;&gt;"",$J782,"")</f>
        <v/>
      </c>
      <c r="AF782" s="52" t="str">
        <f aca="false">IF($A782&lt;&gt;"",$A782,"")</f>
        <v>Apprenant 770</v>
      </c>
      <c r="AG782" s="53" t="str">
        <f aca="false">IF(AND($W782&lt;&gt;"",$X782&lt;&gt;""),$X782-$W782,"")</f>
        <v/>
      </c>
      <c r="AH782" s="53" t="str">
        <f aca="false">IF(AND($W782&lt;&gt;"",$Y782&lt;&gt;""),$Y782-$W782,"")</f>
        <v/>
      </c>
      <c r="AI782" s="53" t="str">
        <f aca="false">IF(AND($X782&lt;&gt;"",$Y782&lt;&gt;""),$Y782-$X782,"")</f>
        <v/>
      </c>
      <c r="AJ782" s="53" t="str">
        <f aca="false">IF($E782&lt;&gt;"",$E782,"")</f>
        <v/>
      </c>
      <c r="AK782" s="52" t="str">
        <f aca="false">IF($F782&lt;&gt;"",$F782,"")</f>
        <v>Apprenant 770 ou 770'</v>
      </c>
      <c r="AL782" s="53" t="str">
        <f aca="false">IF(AND($AB782&lt;&gt;"",$AC782&lt;&gt;""),$AC782-$AB782,"")</f>
        <v/>
      </c>
      <c r="AM782" s="53" t="str">
        <f aca="false">IF(AND($AB782&lt;&gt;"",$AD782&lt;&gt;""),$AD782-$AB782,"")</f>
        <v/>
      </c>
      <c r="AN782" s="53" t="str">
        <f aca="false">IF(AND($AC782&lt;&gt;"",$AD782&lt;&gt;""),$AD782-$AC782,"")</f>
        <v/>
      </c>
      <c r="AO782" s="53" t="str">
        <f aca="false">IF($J782&lt;&gt;"",$J782,"")</f>
        <v/>
      </c>
      <c r="AQ782" s="52" t="str">
        <f aca="false">IF($A782&lt;&gt;"",$A782,"")</f>
        <v>Apprenant 770</v>
      </c>
      <c r="AR782" s="55" t="str">
        <f aca="false">IF(AND('Choix pédagogiques'!$C$4&lt;&gt;"?",'Choix pédagogiques'!$C$5&lt;&gt;"?",W782&lt;&gt;""),(W782-'Choix pédagogiques'!$C$4)/('Choix pédagogiques'!$C$5-'Choix pédagogiques'!$C$4),"")</f>
        <v/>
      </c>
      <c r="AS782" s="55" t="str">
        <f aca="false">IF(AND('Choix pédagogiques'!$C$4&lt;&gt;"?",'Choix pédagogiques'!$C$5&lt;&gt;"?",X782&lt;&gt;""),(X782-'Choix pédagogiques'!$C$4)/('Choix pédagogiques'!$C$5-'Choix pédagogiques'!$C$4),"")</f>
        <v/>
      </c>
      <c r="AT782" s="55" t="str">
        <f aca="false">IF(AND('Choix pédagogiques'!$C$4&lt;&gt;"?",'Choix pédagogiques'!$C$5&lt;&gt;"?",Y782&lt;&gt;""),(Y782-'Choix pédagogiques'!$C$4)/('Choix pédagogiques'!$C$5-'Choix pédagogiques'!$C$4),"")</f>
        <v/>
      </c>
      <c r="AU782" s="53" t="str">
        <f aca="false">IF($E782&lt;&gt;"",$E782,"")</f>
        <v/>
      </c>
      <c r="AV782" s="52" t="str">
        <f aca="false">IF($F782&lt;&gt;"",$F782,"")</f>
        <v>Apprenant 770 ou 770'</v>
      </c>
      <c r="AW782" s="55" t="str">
        <f aca="false">IF(AND('Choix pédagogiques'!$C$4&lt;&gt;"?",'Choix pédagogiques'!$C$5&lt;&gt;"?",AB782&lt;&gt;""),(AB782-'Choix pédagogiques'!$C$4)/('Choix pédagogiques'!$C$5-'Choix pédagogiques'!$C$4),"")</f>
        <v/>
      </c>
      <c r="AX782" s="55" t="str">
        <f aca="false">IF(AND('Choix pédagogiques'!$C$4&lt;&gt;"?",'Choix pédagogiques'!$C$5&lt;&gt;"?",AC782&lt;&gt;""),(AC782-'Choix pédagogiques'!$C$4)/('Choix pédagogiques'!$C$5-'Choix pédagogiques'!$C$4),"")</f>
        <v/>
      </c>
      <c r="AY782" s="55" t="str">
        <f aca="false">IF(AND('Choix pédagogiques'!$C$4&lt;&gt;"?",'Choix pédagogiques'!$C$5&lt;&gt;"?",AD782&lt;&gt;""),(AD782-'Choix pédagogiques'!$C$4)/('Choix pédagogiques'!$C$5-'Choix pédagogiques'!$C$4),"")</f>
        <v/>
      </c>
      <c r="AZ782" s="53" t="str">
        <f aca="false">IF($J782&lt;&gt;"",$J782,"")</f>
        <v/>
      </c>
      <c r="BA782" s="52" t="str">
        <f aca="false">IF($A782&lt;&gt;"",$A782,"")</f>
        <v>Apprenant 770</v>
      </c>
      <c r="BB782" s="55" t="str">
        <f aca="false">IF(AND($AR782&lt;&gt;"",$AS782&lt;&gt;""),$AS782-$AR782,"")</f>
        <v/>
      </c>
      <c r="BC782" s="55" t="str">
        <f aca="false">IF(AND($AR782&lt;&gt;"",$AT782&lt;&gt;""),$AT782-$AR782,"")</f>
        <v/>
      </c>
      <c r="BD782" s="55" t="str">
        <f aca="false">IF(AND($AS782&lt;&gt;"",$AT782&lt;&gt;""),$AT782-$AS782,"")</f>
        <v/>
      </c>
      <c r="BE782" s="53" t="str">
        <f aca="false">IF($E782&lt;&gt;"",$E782,"")</f>
        <v/>
      </c>
      <c r="BF782" s="52" t="str">
        <f aca="false">IF($F782&lt;&gt;"",$F782,"")</f>
        <v>Apprenant 770 ou 770'</v>
      </c>
      <c r="BG782" s="55" t="str">
        <f aca="false">IF(AND($AW782&lt;&gt;"",$AX782&lt;&gt;""),$AX782-$AW782,"")</f>
        <v/>
      </c>
      <c r="BH782" s="55" t="str">
        <f aca="false">IF(AND($AW782&lt;&gt;"",$AY782&lt;&gt;""),$AY782-$AW782,"")</f>
        <v/>
      </c>
      <c r="BI782" s="55" t="str">
        <f aca="false">IF(AND($AX782&lt;&gt;"",$AY782&lt;&gt;""),$AY782-$AX782,"")</f>
        <v/>
      </c>
      <c r="BJ782" s="53" t="str">
        <f aca="false">IF($J782&lt;&gt;"",$J782,"")</f>
        <v/>
      </c>
      <c r="BL782" s="52"/>
      <c r="BM782" s="52" t="str">
        <f aca="false">IF(OR(COUNT(B782:D1781)=0,AND('Choix pédagogiques'!$C$3&lt;&gt;1,'Choix pédagogiques'!$C$3&lt;&gt;2)),"",IF(AND(OR('Choix pédagogiques'!$C$3=1,'Choix pédagogiques'!$C$3=2),$B782&lt;&gt;"",$C782&lt;&gt;"",$D782&lt;&gt;""),1,0))</f>
        <v/>
      </c>
      <c r="BN782" s="52" t="str">
        <f aca="false">IF(OR(COUNT(G782:I1781)=0,AND('Choix pédagogiques'!$C$3&lt;&gt;1,'Choix pédagogiques'!$C$3&lt;&gt;2)),"",IF(AND(OR('Choix pédagogiques'!$C$3=1,'Choix pédagogiques'!$C$3=2),AND($G782&lt;&gt;"",$H782&lt;&gt;"",$I782&lt;&gt;"")),1,0))</f>
        <v/>
      </c>
      <c r="BO782" s="52" t="str">
        <f aca="false">IF(OR(COUNT(B782:D1781)=0,COUNT(G782:I1781)=0,'Choix pédagogiques'!C$3&lt;&gt;3),"",IF(AND('Choix pédagogiques'!$C$3=3,$B782&lt;&gt;"",$C782&lt;&gt;"",$D782&lt;&gt;"",$G782&lt;&gt;"",$H782&lt;&gt;"",$I782&lt;&gt;""),1,0))</f>
        <v/>
      </c>
      <c r="BR782" s="52" t="n">
        <v>920</v>
      </c>
      <c r="BS782" s="52" t="n">
        <v>1492</v>
      </c>
    </row>
    <row r="783" s="54" customFormat="true" ht="18" hidden="false" customHeight="true" outlineLevel="0" collapsed="false">
      <c r="A783" s="57" t="s">
        <v>1497</v>
      </c>
      <c r="B783" s="51"/>
      <c r="C783" s="51"/>
      <c r="D783" s="51"/>
      <c r="E783" s="51"/>
      <c r="F783" s="57" t="s">
        <v>1498</v>
      </c>
      <c r="G783" s="51"/>
      <c r="H783" s="51"/>
      <c r="I783" s="51"/>
      <c r="J783" s="51"/>
      <c r="K783" s="52" t="str">
        <f aca="false">IF($A783&lt;&gt;"",$A783,"")</f>
        <v>Apprenant 771</v>
      </c>
      <c r="L783" s="53" t="str">
        <f aca="false">IF(AND($B783&lt;&gt;"",$C783&lt;&gt;""),$C783-$B783,"")</f>
        <v/>
      </c>
      <c r="M783" s="53" t="str">
        <f aca="false">IF(AND($B783&lt;&gt;"",$D783&lt;&gt;""),$D783-$B783,"")</f>
        <v/>
      </c>
      <c r="N783" s="53" t="str">
        <f aca="false">IF(AND($C783&lt;&gt;"",$D783&lt;&gt;""),$D783-$C783,"")</f>
        <v/>
      </c>
      <c r="O783" s="53" t="str">
        <f aca="false">IF($E783&lt;&gt;"",$E783,"")</f>
        <v/>
      </c>
      <c r="P783" s="52" t="str">
        <f aca="false">IF($F783&lt;&gt;"",$F783,"")</f>
        <v>Apprenant 771 ou 771'</v>
      </c>
      <c r="Q783" s="53" t="str">
        <f aca="false">IF(AND($G783&lt;&gt;"",$H783&lt;&gt;""),$H783-$G783,"")</f>
        <v/>
      </c>
      <c r="R783" s="53" t="str">
        <f aca="false">IF(AND($G783&lt;&gt;"",$I783&lt;&gt;""),$I783-$G783,"")</f>
        <v/>
      </c>
      <c r="S783" s="53" t="str">
        <f aca="false">IF(AND($H783&lt;&gt;"",$I783&lt;&gt;""),$I783-$H783,"")</f>
        <v/>
      </c>
      <c r="T783" s="53" t="str">
        <f aca="false">IF($J783&lt;&gt;"",$J783,"")</f>
        <v/>
      </c>
      <c r="V783" s="52" t="str">
        <f aca="false">IF($A783&lt;&gt;"",$A783,"")</f>
        <v>Apprenant 771</v>
      </c>
      <c r="W783" s="53" t="str">
        <f aca="false">IF(AND(OR('Choix pédagogiques'!$C$3=1,'Choix pédagogiques'!$C$3=2),$BM783=1),B783,IF(AND('Choix pédagogiques'!$C$3=3,$BO783=1),B783,""))</f>
        <v/>
      </c>
      <c r="X783" s="53" t="str">
        <f aca="false">IF(AND(OR('Choix pédagogiques'!$C$3=1,'Choix pédagogiques'!$C$3=2),$BM783=1),C783,IF(AND('Choix pédagogiques'!$C$3=3,$BO783=1),C783,""))</f>
        <v/>
      </c>
      <c r="Y783" s="53" t="str">
        <f aca="false">IF(AND(OR('Choix pédagogiques'!$C$3=1,'Choix pédagogiques'!$C$3=2),$BM783=1),D783,IF(AND('Choix pédagogiques'!$C$3=3,$BO783=1),D783,""))</f>
        <v/>
      </c>
      <c r="Z783" s="53" t="str">
        <f aca="false">IF($E783&lt;&gt;"",$E783,"")</f>
        <v/>
      </c>
      <c r="AA783" s="52" t="str">
        <f aca="false">IF($F783&lt;&gt;"",$F783,"")</f>
        <v>Apprenant 771 ou 771'</v>
      </c>
      <c r="AB783" s="53" t="str">
        <f aca="false">IF(AND(OR('Choix pédagogiques'!$C$3=1,'Choix pédagogiques'!$C$3=2),$BN783=1),G783,IF(AND('Choix pédagogiques'!$C$3=3,$BO783=1),G783,""))</f>
        <v/>
      </c>
      <c r="AC783" s="53" t="str">
        <f aca="false">IF(AND(OR('Choix pédagogiques'!$C$3=1,'Choix pédagogiques'!$C$3=2),$BN783=1),H783,IF(AND('Choix pédagogiques'!$C$3=3,$BO783=1),H783,""))</f>
        <v/>
      </c>
      <c r="AD783" s="53" t="str">
        <f aca="false">IF(AND(OR('Choix pédagogiques'!$C$3=1,'Choix pédagogiques'!$C$3=2),$BN783=1),I783,IF(AND('Choix pédagogiques'!$C$3=3,$BO783=1),I783,""))</f>
        <v/>
      </c>
      <c r="AE783" s="53" t="str">
        <f aca="false">IF($J783&lt;&gt;"",$J783,"")</f>
        <v/>
      </c>
      <c r="AF783" s="52" t="str">
        <f aca="false">IF($A783&lt;&gt;"",$A783,"")</f>
        <v>Apprenant 771</v>
      </c>
      <c r="AG783" s="53" t="str">
        <f aca="false">IF(AND($W783&lt;&gt;"",$X783&lt;&gt;""),$X783-$W783,"")</f>
        <v/>
      </c>
      <c r="AH783" s="53" t="str">
        <f aca="false">IF(AND($W783&lt;&gt;"",$Y783&lt;&gt;""),$Y783-$W783,"")</f>
        <v/>
      </c>
      <c r="AI783" s="53" t="str">
        <f aca="false">IF(AND($X783&lt;&gt;"",$Y783&lt;&gt;""),$Y783-$X783,"")</f>
        <v/>
      </c>
      <c r="AJ783" s="53" t="str">
        <f aca="false">IF($E783&lt;&gt;"",$E783,"")</f>
        <v/>
      </c>
      <c r="AK783" s="52" t="str">
        <f aca="false">IF($F783&lt;&gt;"",$F783,"")</f>
        <v>Apprenant 771 ou 771'</v>
      </c>
      <c r="AL783" s="53" t="str">
        <f aca="false">IF(AND($AB783&lt;&gt;"",$AC783&lt;&gt;""),$AC783-$AB783,"")</f>
        <v/>
      </c>
      <c r="AM783" s="53" t="str">
        <f aca="false">IF(AND($AB783&lt;&gt;"",$AD783&lt;&gt;""),$AD783-$AB783,"")</f>
        <v/>
      </c>
      <c r="AN783" s="53" t="str">
        <f aca="false">IF(AND($AC783&lt;&gt;"",$AD783&lt;&gt;""),$AD783-$AC783,"")</f>
        <v/>
      </c>
      <c r="AO783" s="53" t="str">
        <f aca="false">IF($J783&lt;&gt;"",$J783,"")</f>
        <v/>
      </c>
      <c r="AQ783" s="52" t="str">
        <f aca="false">IF($A783&lt;&gt;"",$A783,"")</f>
        <v>Apprenant 771</v>
      </c>
      <c r="AR783" s="55" t="str">
        <f aca="false">IF(AND('Choix pédagogiques'!$C$4&lt;&gt;"?",'Choix pédagogiques'!$C$5&lt;&gt;"?",W783&lt;&gt;""),(W783-'Choix pédagogiques'!$C$4)/('Choix pédagogiques'!$C$5-'Choix pédagogiques'!$C$4),"")</f>
        <v/>
      </c>
      <c r="AS783" s="55" t="str">
        <f aca="false">IF(AND('Choix pédagogiques'!$C$4&lt;&gt;"?",'Choix pédagogiques'!$C$5&lt;&gt;"?",X783&lt;&gt;""),(X783-'Choix pédagogiques'!$C$4)/('Choix pédagogiques'!$C$5-'Choix pédagogiques'!$C$4),"")</f>
        <v/>
      </c>
      <c r="AT783" s="55" t="str">
        <f aca="false">IF(AND('Choix pédagogiques'!$C$4&lt;&gt;"?",'Choix pédagogiques'!$C$5&lt;&gt;"?",Y783&lt;&gt;""),(Y783-'Choix pédagogiques'!$C$4)/('Choix pédagogiques'!$C$5-'Choix pédagogiques'!$C$4),"")</f>
        <v/>
      </c>
      <c r="AU783" s="53" t="str">
        <f aca="false">IF($E783&lt;&gt;"",$E783,"")</f>
        <v/>
      </c>
      <c r="AV783" s="52" t="str">
        <f aca="false">IF($F783&lt;&gt;"",$F783,"")</f>
        <v>Apprenant 771 ou 771'</v>
      </c>
      <c r="AW783" s="55" t="str">
        <f aca="false">IF(AND('Choix pédagogiques'!$C$4&lt;&gt;"?",'Choix pédagogiques'!$C$5&lt;&gt;"?",AB783&lt;&gt;""),(AB783-'Choix pédagogiques'!$C$4)/('Choix pédagogiques'!$C$5-'Choix pédagogiques'!$C$4),"")</f>
        <v/>
      </c>
      <c r="AX783" s="55" t="str">
        <f aca="false">IF(AND('Choix pédagogiques'!$C$4&lt;&gt;"?",'Choix pédagogiques'!$C$5&lt;&gt;"?",AC783&lt;&gt;""),(AC783-'Choix pédagogiques'!$C$4)/('Choix pédagogiques'!$C$5-'Choix pédagogiques'!$C$4),"")</f>
        <v/>
      </c>
      <c r="AY783" s="55" t="str">
        <f aca="false">IF(AND('Choix pédagogiques'!$C$4&lt;&gt;"?",'Choix pédagogiques'!$C$5&lt;&gt;"?",AD783&lt;&gt;""),(AD783-'Choix pédagogiques'!$C$4)/('Choix pédagogiques'!$C$5-'Choix pédagogiques'!$C$4),"")</f>
        <v/>
      </c>
      <c r="AZ783" s="53" t="str">
        <f aca="false">IF($J783&lt;&gt;"",$J783,"")</f>
        <v/>
      </c>
      <c r="BA783" s="52" t="str">
        <f aca="false">IF($A783&lt;&gt;"",$A783,"")</f>
        <v>Apprenant 771</v>
      </c>
      <c r="BB783" s="55" t="str">
        <f aca="false">IF(AND($AR783&lt;&gt;"",$AS783&lt;&gt;""),$AS783-$AR783,"")</f>
        <v/>
      </c>
      <c r="BC783" s="55" t="str">
        <f aca="false">IF(AND($AR783&lt;&gt;"",$AT783&lt;&gt;""),$AT783-$AR783,"")</f>
        <v/>
      </c>
      <c r="BD783" s="55" t="str">
        <f aca="false">IF(AND($AS783&lt;&gt;"",$AT783&lt;&gt;""),$AT783-$AS783,"")</f>
        <v/>
      </c>
      <c r="BE783" s="53" t="str">
        <f aca="false">IF($E783&lt;&gt;"",$E783,"")</f>
        <v/>
      </c>
      <c r="BF783" s="52" t="str">
        <f aca="false">IF($F783&lt;&gt;"",$F783,"")</f>
        <v>Apprenant 771 ou 771'</v>
      </c>
      <c r="BG783" s="55" t="str">
        <f aca="false">IF(AND($AW783&lt;&gt;"",$AX783&lt;&gt;""),$AX783-$AW783,"")</f>
        <v/>
      </c>
      <c r="BH783" s="55" t="str">
        <f aca="false">IF(AND($AW783&lt;&gt;"",$AY783&lt;&gt;""),$AY783-$AW783,"")</f>
        <v/>
      </c>
      <c r="BI783" s="55" t="str">
        <f aca="false">IF(AND($AX783&lt;&gt;"",$AY783&lt;&gt;""),$AY783-$AX783,"")</f>
        <v/>
      </c>
      <c r="BJ783" s="53" t="str">
        <f aca="false">IF($J783&lt;&gt;"",$J783,"")</f>
        <v/>
      </c>
      <c r="BL783" s="52"/>
      <c r="BM783" s="52" t="str">
        <f aca="false">IF(OR(COUNT(B783:D1782)=0,AND('Choix pédagogiques'!$C$3&lt;&gt;1,'Choix pédagogiques'!$C$3&lt;&gt;2)),"",IF(AND(OR('Choix pédagogiques'!$C$3=1,'Choix pédagogiques'!$C$3=2),$B783&lt;&gt;"",$C783&lt;&gt;"",$D783&lt;&gt;""),1,0))</f>
        <v/>
      </c>
      <c r="BN783" s="52" t="str">
        <f aca="false">IF(OR(COUNT(G783:I1782)=0,AND('Choix pédagogiques'!$C$3&lt;&gt;1,'Choix pédagogiques'!$C$3&lt;&gt;2)),"",IF(AND(OR('Choix pédagogiques'!$C$3=1,'Choix pédagogiques'!$C$3=2),AND($G783&lt;&gt;"",$H783&lt;&gt;"",$I783&lt;&gt;"")),1,0))</f>
        <v/>
      </c>
      <c r="BO783" s="52" t="str">
        <f aca="false">IF(OR(COUNT(B783:D1782)=0,COUNT(G783:I1782)=0,'Choix pédagogiques'!C$3&lt;&gt;3),"",IF(AND('Choix pédagogiques'!$C$3=3,$B783&lt;&gt;"",$C783&lt;&gt;"",$D783&lt;&gt;"",$G783&lt;&gt;"",$H783&lt;&gt;"",$I783&lt;&gt;""),1,0))</f>
        <v/>
      </c>
      <c r="BR783" s="52" t="n">
        <v>940</v>
      </c>
      <c r="BS783" s="52" t="n">
        <v>1816</v>
      </c>
    </row>
    <row r="784" s="54" customFormat="true" ht="18" hidden="false" customHeight="true" outlineLevel="0" collapsed="false">
      <c r="A784" s="57" t="s">
        <v>1499</v>
      </c>
      <c r="B784" s="51"/>
      <c r="C784" s="51"/>
      <c r="D784" s="51"/>
      <c r="E784" s="51"/>
      <c r="F784" s="57" t="s">
        <v>1500</v>
      </c>
      <c r="G784" s="51"/>
      <c r="H784" s="51"/>
      <c r="I784" s="51"/>
      <c r="J784" s="51"/>
      <c r="K784" s="52" t="str">
        <f aca="false">IF($A784&lt;&gt;"",$A784,"")</f>
        <v>Apprenant 772</v>
      </c>
      <c r="L784" s="53" t="str">
        <f aca="false">IF(AND($B784&lt;&gt;"",$C784&lt;&gt;""),$C784-$B784,"")</f>
        <v/>
      </c>
      <c r="M784" s="53" t="str">
        <f aca="false">IF(AND($B784&lt;&gt;"",$D784&lt;&gt;""),$D784-$B784,"")</f>
        <v/>
      </c>
      <c r="N784" s="53" t="str">
        <f aca="false">IF(AND($C784&lt;&gt;"",$D784&lt;&gt;""),$D784-$C784,"")</f>
        <v/>
      </c>
      <c r="O784" s="53" t="str">
        <f aca="false">IF($E784&lt;&gt;"",$E784,"")</f>
        <v/>
      </c>
      <c r="P784" s="52" t="str">
        <f aca="false">IF($F784&lt;&gt;"",$F784,"")</f>
        <v>Apprenant 772 ou 772'</v>
      </c>
      <c r="Q784" s="53" t="str">
        <f aca="false">IF(AND($G784&lt;&gt;"",$H784&lt;&gt;""),$H784-$G784,"")</f>
        <v/>
      </c>
      <c r="R784" s="53" t="str">
        <f aca="false">IF(AND($G784&lt;&gt;"",$I784&lt;&gt;""),$I784-$G784,"")</f>
        <v/>
      </c>
      <c r="S784" s="53" t="str">
        <f aca="false">IF(AND($H784&lt;&gt;"",$I784&lt;&gt;""),$I784-$H784,"")</f>
        <v/>
      </c>
      <c r="T784" s="53" t="str">
        <f aca="false">IF($J784&lt;&gt;"",$J784,"")</f>
        <v/>
      </c>
      <c r="V784" s="52" t="str">
        <f aca="false">IF($A784&lt;&gt;"",$A784,"")</f>
        <v>Apprenant 772</v>
      </c>
      <c r="W784" s="53" t="str">
        <f aca="false">IF(AND(OR('Choix pédagogiques'!$C$3=1,'Choix pédagogiques'!$C$3=2),$BM784=1),B784,IF(AND('Choix pédagogiques'!$C$3=3,$BO784=1),B784,""))</f>
        <v/>
      </c>
      <c r="X784" s="53" t="str">
        <f aca="false">IF(AND(OR('Choix pédagogiques'!$C$3=1,'Choix pédagogiques'!$C$3=2),$BM784=1),C784,IF(AND('Choix pédagogiques'!$C$3=3,$BO784=1),C784,""))</f>
        <v/>
      </c>
      <c r="Y784" s="53" t="str">
        <f aca="false">IF(AND(OR('Choix pédagogiques'!$C$3=1,'Choix pédagogiques'!$C$3=2),$BM784=1),D784,IF(AND('Choix pédagogiques'!$C$3=3,$BO784=1),D784,""))</f>
        <v/>
      </c>
      <c r="Z784" s="53" t="str">
        <f aca="false">IF($E784&lt;&gt;"",$E784,"")</f>
        <v/>
      </c>
      <c r="AA784" s="52" t="str">
        <f aca="false">IF($F784&lt;&gt;"",$F784,"")</f>
        <v>Apprenant 772 ou 772'</v>
      </c>
      <c r="AB784" s="53" t="str">
        <f aca="false">IF(AND(OR('Choix pédagogiques'!$C$3=1,'Choix pédagogiques'!$C$3=2),$BN784=1),G784,IF(AND('Choix pédagogiques'!$C$3=3,$BO784=1),G784,""))</f>
        <v/>
      </c>
      <c r="AC784" s="53" t="str">
        <f aca="false">IF(AND(OR('Choix pédagogiques'!$C$3=1,'Choix pédagogiques'!$C$3=2),$BN784=1),H784,IF(AND('Choix pédagogiques'!$C$3=3,$BO784=1),H784,""))</f>
        <v/>
      </c>
      <c r="AD784" s="53" t="str">
        <f aca="false">IF(AND(OR('Choix pédagogiques'!$C$3=1,'Choix pédagogiques'!$C$3=2),$BN784=1),I784,IF(AND('Choix pédagogiques'!$C$3=3,$BO784=1),I784,""))</f>
        <v/>
      </c>
      <c r="AE784" s="53" t="str">
        <f aca="false">IF($J784&lt;&gt;"",$J784,"")</f>
        <v/>
      </c>
      <c r="AF784" s="52" t="str">
        <f aca="false">IF($A784&lt;&gt;"",$A784,"")</f>
        <v>Apprenant 772</v>
      </c>
      <c r="AG784" s="53" t="str">
        <f aca="false">IF(AND($W784&lt;&gt;"",$X784&lt;&gt;""),$X784-$W784,"")</f>
        <v/>
      </c>
      <c r="AH784" s="53" t="str">
        <f aca="false">IF(AND($W784&lt;&gt;"",$Y784&lt;&gt;""),$Y784-$W784,"")</f>
        <v/>
      </c>
      <c r="AI784" s="53" t="str">
        <f aca="false">IF(AND($X784&lt;&gt;"",$Y784&lt;&gt;""),$Y784-$X784,"")</f>
        <v/>
      </c>
      <c r="AJ784" s="53" t="str">
        <f aca="false">IF($E784&lt;&gt;"",$E784,"")</f>
        <v/>
      </c>
      <c r="AK784" s="52" t="str">
        <f aca="false">IF($F784&lt;&gt;"",$F784,"")</f>
        <v>Apprenant 772 ou 772'</v>
      </c>
      <c r="AL784" s="53" t="str">
        <f aca="false">IF(AND($AB784&lt;&gt;"",$AC784&lt;&gt;""),$AC784-$AB784,"")</f>
        <v/>
      </c>
      <c r="AM784" s="53" t="str">
        <f aca="false">IF(AND($AB784&lt;&gt;"",$AD784&lt;&gt;""),$AD784-$AB784,"")</f>
        <v/>
      </c>
      <c r="AN784" s="53" t="str">
        <f aca="false">IF(AND($AC784&lt;&gt;"",$AD784&lt;&gt;""),$AD784-$AC784,"")</f>
        <v/>
      </c>
      <c r="AO784" s="53" t="str">
        <f aca="false">IF($J784&lt;&gt;"",$J784,"")</f>
        <v/>
      </c>
      <c r="AQ784" s="52" t="str">
        <f aca="false">IF($A784&lt;&gt;"",$A784,"")</f>
        <v>Apprenant 772</v>
      </c>
      <c r="AR784" s="55" t="str">
        <f aca="false">IF(AND('Choix pédagogiques'!$C$4&lt;&gt;"?",'Choix pédagogiques'!$C$5&lt;&gt;"?",W784&lt;&gt;""),(W784-'Choix pédagogiques'!$C$4)/('Choix pédagogiques'!$C$5-'Choix pédagogiques'!$C$4),"")</f>
        <v/>
      </c>
      <c r="AS784" s="55" t="str">
        <f aca="false">IF(AND('Choix pédagogiques'!$C$4&lt;&gt;"?",'Choix pédagogiques'!$C$5&lt;&gt;"?",X784&lt;&gt;""),(X784-'Choix pédagogiques'!$C$4)/('Choix pédagogiques'!$C$5-'Choix pédagogiques'!$C$4),"")</f>
        <v/>
      </c>
      <c r="AT784" s="55" t="str">
        <f aca="false">IF(AND('Choix pédagogiques'!$C$4&lt;&gt;"?",'Choix pédagogiques'!$C$5&lt;&gt;"?",Y784&lt;&gt;""),(Y784-'Choix pédagogiques'!$C$4)/('Choix pédagogiques'!$C$5-'Choix pédagogiques'!$C$4),"")</f>
        <v/>
      </c>
      <c r="AU784" s="53" t="str">
        <f aca="false">IF($E784&lt;&gt;"",$E784,"")</f>
        <v/>
      </c>
      <c r="AV784" s="52" t="str">
        <f aca="false">IF($F784&lt;&gt;"",$F784,"")</f>
        <v>Apprenant 772 ou 772'</v>
      </c>
      <c r="AW784" s="55" t="str">
        <f aca="false">IF(AND('Choix pédagogiques'!$C$4&lt;&gt;"?",'Choix pédagogiques'!$C$5&lt;&gt;"?",AB784&lt;&gt;""),(AB784-'Choix pédagogiques'!$C$4)/('Choix pédagogiques'!$C$5-'Choix pédagogiques'!$C$4),"")</f>
        <v/>
      </c>
      <c r="AX784" s="55" t="str">
        <f aca="false">IF(AND('Choix pédagogiques'!$C$4&lt;&gt;"?",'Choix pédagogiques'!$C$5&lt;&gt;"?",AC784&lt;&gt;""),(AC784-'Choix pédagogiques'!$C$4)/('Choix pédagogiques'!$C$5-'Choix pédagogiques'!$C$4),"")</f>
        <v/>
      </c>
      <c r="AY784" s="55" t="str">
        <f aca="false">IF(AND('Choix pédagogiques'!$C$4&lt;&gt;"?",'Choix pédagogiques'!$C$5&lt;&gt;"?",AD784&lt;&gt;""),(AD784-'Choix pédagogiques'!$C$4)/('Choix pédagogiques'!$C$5-'Choix pédagogiques'!$C$4),"")</f>
        <v/>
      </c>
      <c r="AZ784" s="53" t="str">
        <f aca="false">IF($J784&lt;&gt;"",$J784,"")</f>
        <v/>
      </c>
      <c r="BA784" s="52" t="str">
        <f aca="false">IF($A784&lt;&gt;"",$A784,"")</f>
        <v>Apprenant 772</v>
      </c>
      <c r="BB784" s="55" t="str">
        <f aca="false">IF(AND($AR784&lt;&gt;"",$AS784&lt;&gt;""),$AS784-$AR784,"")</f>
        <v/>
      </c>
      <c r="BC784" s="55" t="str">
        <f aca="false">IF(AND($AR784&lt;&gt;"",$AT784&lt;&gt;""),$AT784-$AR784,"")</f>
        <v/>
      </c>
      <c r="BD784" s="55" t="str">
        <f aca="false">IF(AND($AS784&lt;&gt;"",$AT784&lt;&gt;""),$AT784-$AS784,"")</f>
        <v/>
      </c>
      <c r="BE784" s="53" t="str">
        <f aca="false">IF($E784&lt;&gt;"",$E784,"")</f>
        <v/>
      </c>
      <c r="BF784" s="52" t="str">
        <f aca="false">IF($F784&lt;&gt;"",$F784,"")</f>
        <v>Apprenant 772 ou 772'</v>
      </c>
      <c r="BG784" s="55" t="str">
        <f aca="false">IF(AND($AW784&lt;&gt;"",$AX784&lt;&gt;""),$AX784-$AW784,"")</f>
        <v/>
      </c>
      <c r="BH784" s="55" t="str">
        <f aca="false">IF(AND($AW784&lt;&gt;"",$AY784&lt;&gt;""),$AY784-$AW784,"")</f>
        <v/>
      </c>
      <c r="BI784" s="55" t="str">
        <f aca="false">IF(AND($AX784&lt;&gt;"",$AY784&lt;&gt;""),$AY784-$AX784,"")</f>
        <v/>
      </c>
      <c r="BJ784" s="53" t="str">
        <f aca="false">IF($J784&lt;&gt;"",$J784,"")</f>
        <v/>
      </c>
      <c r="BL784" s="52"/>
      <c r="BM784" s="52" t="str">
        <f aca="false">IF(OR(COUNT(B784:D1783)=0,AND('Choix pédagogiques'!$C$3&lt;&gt;1,'Choix pédagogiques'!$C$3&lt;&gt;2)),"",IF(AND(OR('Choix pédagogiques'!$C$3=1,'Choix pédagogiques'!$C$3=2),$B784&lt;&gt;"",$C784&lt;&gt;"",$D784&lt;&gt;""),1,0))</f>
        <v/>
      </c>
      <c r="BN784" s="52" t="str">
        <f aca="false">IF(OR(COUNT(G784:I1783)=0,AND('Choix pédagogiques'!$C$3&lt;&gt;1,'Choix pédagogiques'!$C$3&lt;&gt;2)),"",IF(AND(OR('Choix pédagogiques'!$C$3=1,'Choix pédagogiques'!$C$3=2),AND($G784&lt;&gt;"",$H784&lt;&gt;"",$I784&lt;&gt;"")),1,0))</f>
        <v/>
      </c>
      <c r="BO784" s="52" t="str">
        <f aca="false">IF(OR(COUNT(B784:D1783)=0,COUNT(G784:I1783)=0,'Choix pédagogiques'!C$3&lt;&gt;3),"",IF(AND('Choix pédagogiques'!$C$3=3,$B784&lt;&gt;"",$C784&lt;&gt;"",$D784&lt;&gt;"",$G784&lt;&gt;"",$H784&lt;&gt;"",$I784&lt;&gt;""),1,0))</f>
        <v/>
      </c>
      <c r="BR784" s="52" t="n">
        <v>177</v>
      </c>
      <c r="BS784" s="52" t="n">
        <v>1297</v>
      </c>
    </row>
    <row r="785" s="54" customFormat="true" ht="18" hidden="false" customHeight="true" outlineLevel="0" collapsed="false">
      <c r="A785" s="57" t="s">
        <v>1501</v>
      </c>
      <c r="B785" s="51"/>
      <c r="C785" s="51"/>
      <c r="D785" s="51"/>
      <c r="E785" s="51"/>
      <c r="F785" s="57" t="s">
        <v>1502</v>
      </c>
      <c r="G785" s="51"/>
      <c r="H785" s="51"/>
      <c r="I785" s="51"/>
      <c r="J785" s="51"/>
      <c r="K785" s="52" t="str">
        <f aca="false">IF($A785&lt;&gt;"",$A785,"")</f>
        <v>Apprenant 773</v>
      </c>
      <c r="L785" s="53" t="str">
        <f aca="false">IF(AND($B785&lt;&gt;"",$C785&lt;&gt;""),$C785-$B785,"")</f>
        <v/>
      </c>
      <c r="M785" s="53" t="str">
        <f aca="false">IF(AND($B785&lt;&gt;"",$D785&lt;&gt;""),$D785-$B785,"")</f>
        <v/>
      </c>
      <c r="N785" s="53" t="str">
        <f aca="false">IF(AND($C785&lt;&gt;"",$D785&lt;&gt;""),$D785-$C785,"")</f>
        <v/>
      </c>
      <c r="O785" s="53" t="str">
        <f aca="false">IF($E785&lt;&gt;"",$E785,"")</f>
        <v/>
      </c>
      <c r="P785" s="52" t="str">
        <f aca="false">IF($F785&lt;&gt;"",$F785,"")</f>
        <v>Apprenant 773 ou 773'</v>
      </c>
      <c r="Q785" s="53" t="str">
        <f aca="false">IF(AND($G785&lt;&gt;"",$H785&lt;&gt;""),$H785-$G785,"")</f>
        <v/>
      </c>
      <c r="R785" s="53" t="str">
        <f aca="false">IF(AND($G785&lt;&gt;"",$I785&lt;&gt;""),$I785-$G785,"")</f>
        <v/>
      </c>
      <c r="S785" s="53" t="str">
        <f aca="false">IF(AND($H785&lt;&gt;"",$I785&lt;&gt;""),$I785-$H785,"")</f>
        <v/>
      </c>
      <c r="T785" s="53" t="str">
        <f aca="false">IF($J785&lt;&gt;"",$J785,"")</f>
        <v/>
      </c>
      <c r="V785" s="52" t="str">
        <f aca="false">IF($A785&lt;&gt;"",$A785,"")</f>
        <v>Apprenant 773</v>
      </c>
      <c r="W785" s="53" t="str">
        <f aca="false">IF(AND(OR('Choix pédagogiques'!$C$3=1,'Choix pédagogiques'!$C$3=2),$BM785=1),B785,IF(AND('Choix pédagogiques'!$C$3=3,$BO785=1),B785,""))</f>
        <v/>
      </c>
      <c r="X785" s="53" t="str">
        <f aca="false">IF(AND(OR('Choix pédagogiques'!$C$3=1,'Choix pédagogiques'!$C$3=2),$BM785=1),C785,IF(AND('Choix pédagogiques'!$C$3=3,$BO785=1),C785,""))</f>
        <v/>
      </c>
      <c r="Y785" s="53" t="str">
        <f aca="false">IF(AND(OR('Choix pédagogiques'!$C$3=1,'Choix pédagogiques'!$C$3=2),$BM785=1),D785,IF(AND('Choix pédagogiques'!$C$3=3,$BO785=1),D785,""))</f>
        <v/>
      </c>
      <c r="Z785" s="53" t="str">
        <f aca="false">IF($E785&lt;&gt;"",$E785,"")</f>
        <v/>
      </c>
      <c r="AA785" s="52" t="str">
        <f aca="false">IF($F785&lt;&gt;"",$F785,"")</f>
        <v>Apprenant 773 ou 773'</v>
      </c>
      <c r="AB785" s="53" t="str">
        <f aca="false">IF(AND(OR('Choix pédagogiques'!$C$3=1,'Choix pédagogiques'!$C$3=2),$BN785=1),G785,IF(AND('Choix pédagogiques'!$C$3=3,$BO785=1),G785,""))</f>
        <v/>
      </c>
      <c r="AC785" s="53" t="str">
        <f aca="false">IF(AND(OR('Choix pédagogiques'!$C$3=1,'Choix pédagogiques'!$C$3=2),$BN785=1),H785,IF(AND('Choix pédagogiques'!$C$3=3,$BO785=1),H785,""))</f>
        <v/>
      </c>
      <c r="AD785" s="53" t="str">
        <f aca="false">IF(AND(OR('Choix pédagogiques'!$C$3=1,'Choix pédagogiques'!$C$3=2),$BN785=1),I785,IF(AND('Choix pédagogiques'!$C$3=3,$BO785=1),I785,""))</f>
        <v/>
      </c>
      <c r="AE785" s="53" t="str">
        <f aca="false">IF($J785&lt;&gt;"",$J785,"")</f>
        <v/>
      </c>
      <c r="AF785" s="52" t="str">
        <f aca="false">IF($A785&lt;&gt;"",$A785,"")</f>
        <v>Apprenant 773</v>
      </c>
      <c r="AG785" s="53" t="str">
        <f aca="false">IF(AND($W785&lt;&gt;"",$X785&lt;&gt;""),$X785-$W785,"")</f>
        <v/>
      </c>
      <c r="AH785" s="53" t="str">
        <f aca="false">IF(AND($W785&lt;&gt;"",$Y785&lt;&gt;""),$Y785-$W785,"")</f>
        <v/>
      </c>
      <c r="AI785" s="53" t="str">
        <f aca="false">IF(AND($X785&lt;&gt;"",$Y785&lt;&gt;""),$Y785-$X785,"")</f>
        <v/>
      </c>
      <c r="AJ785" s="53" t="str">
        <f aca="false">IF($E785&lt;&gt;"",$E785,"")</f>
        <v/>
      </c>
      <c r="AK785" s="52" t="str">
        <f aca="false">IF($F785&lt;&gt;"",$F785,"")</f>
        <v>Apprenant 773 ou 773'</v>
      </c>
      <c r="AL785" s="53" t="str">
        <f aca="false">IF(AND($AB785&lt;&gt;"",$AC785&lt;&gt;""),$AC785-$AB785,"")</f>
        <v/>
      </c>
      <c r="AM785" s="53" t="str">
        <f aca="false">IF(AND($AB785&lt;&gt;"",$AD785&lt;&gt;""),$AD785-$AB785,"")</f>
        <v/>
      </c>
      <c r="AN785" s="53" t="str">
        <f aca="false">IF(AND($AC785&lt;&gt;"",$AD785&lt;&gt;""),$AD785-$AC785,"")</f>
        <v/>
      </c>
      <c r="AO785" s="53" t="str">
        <f aca="false">IF($J785&lt;&gt;"",$J785,"")</f>
        <v/>
      </c>
      <c r="AQ785" s="52" t="str">
        <f aca="false">IF($A785&lt;&gt;"",$A785,"")</f>
        <v>Apprenant 773</v>
      </c>
      <c r="AR785" s="55" t="str">
        <f aca="false">IF(AND('Choix pédagogiques'!$C$4&lt;&gt;"?",'Choix pédagogiques'!$C$5&lt;&gt;"?",W785&lt;&gt;""),(W785-'Choix pédagogiques'!$C$4)/('Choix pédagogiques'!$C$5-'Choix pédagogiques'!$C$4),"")</f>
        <v/>
      </c>
      <c r="AS785" s="55" t="str">
        <f aca="false">IF(AND('Choix pédagogiques'!$C$4&lt;&gt;"?",'Choix pédagogiques'!$C$5&lt;&gt;"?",X785&lt;&gt;""),(X785-'Choix pédagogiques'!$C$4)/('Choix pédagogiques'!$C$5-'Choix pédagogiques'!$C$4),"")</f>
        <v/>
      </c>
      <c r="AT785" s="55" t="str">
        <f aca="false">IF(AND('Choix pédagogiques'!$C$4&lt;&gt;"?",'Choix pédagogiques'!$C$5&lt;&gt;"?",Y785&lt;&gt;""),(Y785-'Choix pédagogiques'!$C$4)/('Choix pédagogiques'!$C$5-'Choix pédagogiques'!$C$4),"")</f>
        <v/>
      </c>
      <c r="AU785" s="53" t="str">
        <f aca="false">IF($E785&lt;&gt;"",$E785,"")</f>
        <v/>
      </c>
      <c r="AV785" s="52" t="str">
        <f aca="false">IF($F785&lt;&gt;"",$F785,"")</f>
        <v>Apprenant 773 ou 773'</v>
      </c>
      <c r="AW785" s="55" t="str">
        <f aca="false">IF(AND('Choix pédagogiques'!$C$4&lt;&gt;"?",'Choix pédagogiques'!$C$5&lt;&gt;"?",AB785&lt;&gt;""),(AB785-'Choix pédagogiques'!$C$4)/('Choix pédagogiques'!$C$5-'Choix pédagogiques'!$C$4),"")</f>
        <v/>
      </c>
      <c r="AX785" s="55" t="str">
        <f aca="false">IF(AND('Choix pédagogiques'!$C$4&lt;&gt;"?",'Choix pédagogiques'!$C$5&lt;&gt;"?",AC785&lt;&gt;""),(AC785-'Choix pédagogiques'!$C$4)/('Choix pédagogiques'!$C$5-'Choix pédagogiques'!$C$4),"")</f>
        <v/>
      </c>
      <c r="AY785" s="55" t="str">
        <f aca="false">IF(AND('Choix pédagogiques'!$C$4&lt;&gt;"?",'Choix pédagogiques'!$C$5&lt;&gt;"?",AD785&lt;&gt;""),(AD785-'Choix pédagogiques'!$C$4)/('Choix pédagogiques'!$C$5-'Choix pédagogiques'!$C$4),"")</f>
        <v/>
      </c>
      <c r="AZ785" s="53" t="str">
        <f aca="false">IF($J785&lt;&gt;"",$J785,"")</f>
        <v/>
      </c>
      <c r="BA785" s="52" t="str">
        <f aca="false">IF($A785&lt;&gt;"",$A785,"")</f>
        <v>Apprenant 773</v>
      </c>
      <c r="BB785" s="55" t="str">
        <f aca="false">IF(AND($AR785&lt;&gt;"",$AS785&lt;&gt;""),$AS785-$AR785,"")</f>
        <v/>
      </c>
      <c r="BC785" s="55" t="str">
        <f aca="false">IF(AND($AR785&lt;&gt;"",$AT785&lt;&gt;""),$AT785-$AR785,"")</f>
        <v/>
      </c>
      <c r="BD785" s="55" t="str">
        <f aca="false">IF(AND($AS785&lt;&gt;"",$AT785&lt;&gt;""),$AT785-$AS785,"")</f>
        <v/>
      </c>
      <c r="BE785" s="53" t="str">
        <f aca="false">IF($E785&lt;&gt;"",$E785,"")</f>
        <v/>
      </c>
      <c r="BF785" s="52" t="str">
        <f aca="false">IF($F785&lt;&gt;"",$F785,"")</f>
        <v>Apprenant 773 ou 773'</v>
      </c>
      <c r="BG785" s="55" t="str">
        <f aca="false">IF(AND($AW785&lt;&gt;"",$AX785&lt;&gt;""),$AX785-$AW785,"")</f>
        <v/>
      </c>
      <c r="BH785" s="55" t="str">
        <f aca="false">IF(AND($AW785&lt;&gt;"",$AY785&lt;&gt;""),$AY785-$AW785,"")</f>
        <v/>
      </c>
      <c r="BI785" s="55" t="str">
        <f aca="false">IF(AND($AX785&lt;&gt;"",$AY785&lt;&gt;""),$AY785-$AX785,"")</f>
        <v/>
      </c>
      <c r="BJ785" s="53" t="str">
        <f aca="false">IF($J785&lt;&gt;"",$J785,"")</f>
        <v/>
      </c>
      <c r="BL785" s="52"/>
      <c r="BM785" s="52" t="str">
        <f aca="false">IF(OR(COUNT(B785:D1784)=0,AND('Choix pédagogiques'!$C$3&lt;&gt;1,'Choix pédagogiques'!$C$3&lt;&gt;2)),"",IF(AND(OR('Choix pédagogiques'!$C$3=1,'Choix pédagogiques'!$C$3=2),$B785&lt;&gt;"",$C785&lt;&gt;"",$D785&lt;&gt;""),1,0))</f>
        <v/>
      </c>
      <c r="BN785" s="52" t="str">
        <f aca="false">IF(OR(COUNT(G785:I1784)=0,AND('Choix pédagogiques'!$C$3&lt;&gt;1,'Choix pédagogiques'!$C$3&lt;&gt;2)),"",IF(AND(OR('Choix pédagogiques'!$C$3=1,'Choix pédagogiques'!$C$3=2),AND($G785&lt;&gt;"",$H785&lt;&gt;"",$I785&lt;&gt;"")),1,0))</f>
        <v/>
      </c>
      <c r="BO785" s="52" t="str">
        <f aca="false">IF(OR(COUNT(B785:D1784)=0,COUNT(G785:I1784)=0,'Choix pédagogiques'!C$3&lt;&gt;3),"",IF(AND('Choix pédagogiques'!$C$3=3,$B785&lt;&gt;"",$C785&lt;&gt;"",$D785&lt;&gt;"",$G785&lt;&gt;"",$H785&lt;&gt;"",$I785&lt;&gt;""),1,0))</f>
        <v/>
      </c>
      <c r="BR785" s="52" t="n">
        <v>159</v>
      </c>
      <c r="BS785" s="52" t="n">
        <v>1768</v>
      </c>
    </row>
    <row r="786" s="54" customFormat="true" ht="18" hidden="false" customHeight="true" outlineLevel="0" collapsed="false">
      <c r="A786" s="57" t="s">
        <v>1503</v>
      </c>
      <c r="B786" s="51"/>
      <c r="C786" s="51"/>
      <c r="D786" s="51"/>
      <c r="E786" s="51"/>
      <c r="F786" s="57" t="s">
        <v>1504</v>
      </c>
      <c r="G786" s="51"/>
      <c r="H786" s="51"/>
      <c r="I786" s="51"/>
      <c r="J786" s="51"/>
      <c r="K786" s="52" t="str">
        <f aca="false">IF($A786&lt;&gt;"",$A786,"")</f>
        <v>Apprenant 774</v>
      </c>
      <c r="L786" s="53" t="str">
        <f aca="false">IF(AND($B786&lt;&gt;"",$C786&lt;&gt;""),$C786-$B786,"")</f>
        <v/>
      </c>
      <c r="M786" s="53" t="str">
        <f aca="false">IF(AND($B786&lt;&gt;"",$D786&lt;&gt;""),$D786-$B786,"")</f>
        <v/>
      </c>
      <c r="N786" s="53" t="str">
        <f aca="false">IF(AND($C786&lt;&gt;"",$D786&lt;&gt;""),$D786-$C786,"")</f>
        <v/>
      </c>
      <c r="O786" s="53" t="str">
        <f aca="false">IF($E786&lt;&gt;"",$E786,"")</f>
        <v/>
      </c>
      <c r="P786" s="52" t="str">
        <f aca="false">IF($F786&lt;&gt;"",$F786,"")</f>
        <v>Apprenant 774 ou 774'</v>
      </c>
      <c r="Q786" s="53" t="str">
        <f aca="false">IF(AND($G786&lt;&gt;"",$H786&lt;&gt;""),$H786-$G786,"")</f>
        <v/>
      </c>
      <c r="R786" s="53" t="str">
        <f aca="false">IF(AND($G786&lt;&gt;"",$I786&lt;&gt;""),$I786-$G786,"")</f>
        <v/>
      </c>
      <c r="S786" s="53" t="str">
        <f aca="false">IF(AND($H786&lt;&gt;"",$I786&lt;&gt;""),$I786-$H786,"")</f>
        <v/>
      </c>
      <c r="T786" s="53" t="str">
        <f aca="false">IF($J786&lt;&gt;"",$J786,"")</f>
        <v/>
      </c>
      <c r="V786" s="52" t="str">
        <f aca="false">IF($A786&lt;&gt;"",$A786,"")</f>
        <v>Apprenant 774</v>
      </c>
      <c r="W786" s="53" t="str">
        <f aca="false">IF(AND(OR('Choix pédagogiques'!$C$3=1,'Choix pédagogiques'!$C$3=2),$BM786=1),B786,IF(AND('Choix pédagogiques'!$C$3=3,$BO786=1),B786,""))</f>
        <v/>
      </c>
      <c r="X786" s="53" t="str">
        <f aca="false">IF(AND(OR('Choix pédagogiques'!$C$3=1,'Choix pédagogiques'!$C$3=2),$BM786=1),C786,IF(AND('Choix pédagogiques'!$C$3=3,$BO786=1),C786,""))</f>
        <v/>
      </c>
      <c r="Y786" s="53" t="str">
        <f aca="false">IF(AND(OR('Choix pédagogiques'!$C$3=1,'Choix pédagogiques'!$C$3=2),$BM786=1),D786,IF(AND('Choix pédagogiques'!$C$3=3,$BO786=1),D786,""))</f>
        <v/>
      </c>
      <c r="Z786" s="53" t="str">
        <f aca="false">IF($E786&lt;&gt;"",$E786,"")</f>
        <v/>
      </c>
      <c r="AA786" s="52" t="str">
        <f aca="false">IF($F786&lt;&gt;"",$F786,"")</f>
        <v>Apprenant 774 ou 774'</v>
      </c>
      <c r="AB786" s="53" t="str">
        <f aca="false">IF(AND(OR('Choix pédagogiques'!$C$3=1,'Choix pédagogiques'!$C$3=2),$BN786=1),G786,IF(AND('Choix pédagogiques'!$C$3=3,$BO786=1),G786,""))</f>
        <v/>
      </c>
      <c r="AC786" s="53" t="str">
        <f aca="false">IF(AND(OR('Choix pédagogiques'!$C$3=1,'Choix pédagogiques'!$C$3=2),$BN786=1),H786,IF(AND('Choix pédagogiques'!$C$3=3,$BO786=1),H786,""))</f>
        <v/>
      </c>
      <c r="AD786" s="53" t="str">
        <f aca="false">IF(AND(OR('Choix pédagogiques'!$C$3=1,'Choix pédagogiques'!$C$3=2),$BN786=1),I786,IF(AND('Choix pédagogiques'!$C$3=3,$BO786=1),I786,""))</f>
        <v/>
      </c>
      <c r="AE786" s="53" t="str">
        <f aca="false">IF($J786&lt;&gt;"",$J786,"")</f>
        <v/>
      </c>
      <c r="AF786" s="52" t="str">
        <f aca="false">IF($A786&lt;&gt;"",$A786,"")</f>
        <v>Apprenant 774</v>
      </c>
      <c r="AG786" s="53" t="str">
        <f aca="false">IF(AND($W786&lt;&gt;"",$X786&lt;&gt;""),$X786-$W786,"")</f>
        <v/>
      </c>
      <c r="AH786" s="53" t="str">
        <f aca="false">IF(AND($W786&lt;&gt;"",$Y786&lt;&gt;""),$Y786-$W786,"")</f>
        <v/>
      </c>
      <c r="AI786" s="53" t="str">
        <f aca="false">IF(AND($X786&lt;&gt;"",$Y786&lt;&gt;""),$Y786-$X786,"")</f>
        <v/>
      </c>
      <c r="AJ786" s="53" t="str">
        <f aca="false">IF($E786&lt;&gt;"",$E786,"")</f>
        <v/>
      </c>
      <c r="AK786" s="52" t="str">
        <f aca="false">IF($F786&lt;&gt;"",$F786,"")</f>
        <v>Apprenant 774 ou 774'</v>
      </c>
      <c r="AL786" s="53" t="str">
        <f aca="false">IF(AND($AB786&lt;&gt;"",$AC786&lt;&gt;""),$AC786-$AB786,"")</f>
        <v/>
      </c>
      <c r="AM786" s="53" t="str">
        <f aca="false">IF(AND($AB786&lt;&gt;"",$AD786&lt;&gt;""),$AD786-$AB786,"")</f>
        <v/>
      </c>
      <c r="AN786" s="53" t="str">
        <f aca="false">IF(AND($AC786&lt;&gt;"",$AD786&lt;&gt;""),$AD786-$AC786,"")</f>
        <v/>
      </c>
      <c r="AO786" s="53" t="str">
        <f aca="false">IF($J786&lt;&gt;"",$J786,"")</f>
        <v/>
      </c>
      <c r="AQ786" s="52" t="str">
        <f aca="false">IF($A786&lt;&gt;"",$A786,"")</f>
        <v>Apprenant 774</v>
      </c>
      <c r="AR786" s="55" t="str">
        <f aca="false">IF(AND('Choix pédagogiques'!$C$4&lt;&gt;"?",'Choix pédagogiques'!$C$5&lt;&gt;"?",W786&lt;&gt;""),(W786-'Choix pédagogiques'!$C$4)/('Choix pédagogiques'!$C$5-'Choix pédagogiques'!$C$4),"")</f>
        <v/>
      </c>
      <c r="AS786" s="55" t="str">
        <f aca="false">IF(AND('Choix pédagogiques'!$C$4&lt;&gt;"?",'Choix pédagogiques'!$C$5&lt;&gt;"?",X786&lt;&gt;""),(X786-'Choix pédagogiques'!$C$4)/('Choix pédagogiques'!$C$5-'Choix pédagogiques'!$C$4),"")</f>
        <v/>
      </c>
      <c r="AT786" s="55" t="str">
        <f aca="false">IF(AND('Choix pédagogiques'!$C$4&lt;&gt;"?",'Choix pédagogiques'!$C$5&lt;&gt;"?",Y786&lt;&gt;""),(Y786-'Choix pédagogiques'!$C$4)/('Choix pédagogiques'!$C$5-'Choix pédagogiques'!$C$4),"")</f>
        <v/>
      </c>
      <c r="AU786" s="53" t="str">
        <f aca="false">IF($E786&lt;&gt;"",$E786,"")</f>
        <v/>
      </c>
      <c r="AV786" s="52" t="str">
        <f aca="false">IF($F786&lt;&gt;"",$F786,"")</f>
        <v>Apprenant 774 ou 774'</v>
      </c>
      <c r="AW786" s="55" t="str">
        <f aca="false">IF(AND('Choix pédagogiques'!$C$4&lt;&gt;"?",'Choix pédagogiques'!$C$5&lt;&gt;"?",AB786&lt;&gt;""),(AB786-'Choix pédagogiques'!$C$4)/('Choix pédagogiques'!$C$5-'Choix pédagogiques'!$C$4),"")</f>
        <v/>
      </c>
      <c r="AX786" s="55" t="str">
        <f aca="false">IF(AND('Choix pédagogiques'!$C$4&lt;&gt;"?",'Choix pédagogiques'!$C$5&lt;&gt;"?",AC786&lt;&gt;""),(AC786-'Choix pédagogiques'!$C$4)/('Choix pédagogiques'!$C$5-'Choix pédagogiques'!$C$4),"")</f>
        <v/>
      </c>
      <c r="AY786" s="55" t="str">
        <f aca="false">IF(AND('Choix pédagogiques'!$C$4&lt;&gt;"?",'Choix pédagogiques'!$C$5&lt;&gt;"?",AD786&lt;&gt;""),(AD786-'Choix pédagogiques'!$C$4)/('Choix pédagogiques'!$C$5-'Choix pédagogiques'!$C$4),"")</f>
        <v/>
      </c>
      <c r="AZ786" s="53" t="str">
        <f aca="false">IF($J786&lt;&gt;"",$J786,"")</f>
        <v/>
      </c>
      <c r="BA786" s="52" t="str">
        <f aca="false">IF($A786&lt;&gt;"",$A786,"")</f>
        <v>Apprenant 774</v>
      </c>
      <c r="BB786" s="55" t="str">
        <f aca="false">IF(AND($AR786&lt;&gt;"",$AS786&lt;&gt;""),$AS786-$AR786,"")</f>
        <v/>
      </c>
      <c r="BC786" s="55" t="str">
        <f aca="false">IF(AND($AR786&lt;&gt;"",$AT786&lt;&gt;""),$AT786-$AR786,"")</f>
        <v/>
      </c>
      <c r="BD786" s="55" t="str">
        <f aca="false">IF(AND($AS786&lt;&gt;"",$AT786&lt;&gt;""),$AT786-$AS786,"")</f>
        <v/>
      </c>
      <c r="BE786" s="53" t="str">
        <f aca="false">IF($E786&lt;&gt;"",$E786,"")</f>
        <v/>
      </c>
      <c r="BF786" s="52" t="str">
        <f aca="false">IF($F786&lt;&gt;"",$F786,"")</f>
        <v>Apprenant 774 ou 774'</v>
      </c>
      <c r="BG786" s="55" t="str">
        <f aca="false">IF(AND($AW786&lt;&gt;"",$AX786&lt;&gt;""),$AX786-$AW786,"")</f>
        <v/>
      </c>
      <c r="BH786" s="55" t="str">
        <f aca="false">IF(AND($AW786&lt;&gt;"",$AY786&lt;&gt;""),$AY786-$AW786,"")</f>
        <v/>
      </c>
      <c r="BI786" s="55" t="str">
        <f aca="false">IF(AND($AX786&lt;&gt;"",$AY786&lt;&gt;""),$AY786-$AX786,"")</f>
        <v/>
      </c>
      <c r="BJ786" s="53" t="str">
        <f aca="false">IF($J786&lt;&gt;"",$J786,"")</f>
        <v/>
      </c>
      <c r="BL786" s="52"/>
      <c r="BM786" s="52" t="str">
        <f aca="false">IF(OR(COUNT(B786:D1785)=0,AND('Choix pédagogiques'!$C$3&lt;&gt;1,'Choix pédagogiques'!$C$3&lt;&gt;2)),"",IF(AND(OR('Choix pédagogiques'!$C$3=1,'Choix pédagogiques'!$C$3=2),$B786&lt;&gt;"",$C786&lt;&gt;"",$D786&lt;&gt;""),1,0))</f>
        <v/>
      </c>
      <c r="BN786" s="52" t="str">
        <f aca="false">IF(OR(COUNT(G786:I1785)=0,AND('Choix pédagogiques'!$C$3&lt;&gt;1,'Choix pédagogiques'!$C$3&lt;&gt;2)),"",IF(AND(OR('Choix pédagogiques'!$C$3=1,'Choix pédagogiques'!$C$3=2),AND($G786&lt;&gt;"",$H786&lt;&gt;"",$I786&lt;&gt;"")),1,0))</f>
        <v/>
      </c>
      <c r="BO786" s="52" t="str">
        <f aca="false">IF(OR(COUNT(B786:D1785)=0,COUNT(G786:I1785)=0,'Choix pédagogiques'!C$3&lt;&gt;3),"",IF(AND('Choix pédagogiques'!$C$3=3,$B786&lt;&gt;"",$C786&lt;&gt;"",$D786&lt;&gt;"",$G786&lt;&gt;"",$H786&lt;&gt;"",$I786&lt;&gt;""),1,0))</f>
        <v/>
      </c>
      <c r="BR786" s="52" t="n">
        <v>668</v>
      </c>
      <c r="BS786" s="52" t="n">
        <v>1645</v>
      </c>
    </row>
    <row r="787" s="54" customFormat="true" ht="18" hidden="false" customHeight="true" outlineLevel="0" collapsed="false">
      <c r="A787" s="57" t="s">
        <v>1505</v>
      </c>
      <c r="B787" s="51"/>
      <c r="C787" s="51"/>
      <c r="D787" s="51"/>
      <c r="E787" s="51"/>
      <c r="F787" s="57" t="s">
        <v>1506</v>
      </c>
      <c r="G787" s="51"/>
      <c r="H787" s="51"/>
      <c r="I787" s="51"/>
      <c r="J787" s="51"/>
      <c r="K787" s="52" t="str">
        <f aca="false">IF($A787&lt;&gt;"",$A787,"")</f>
        <v>Apprenant 775</v>
      </c>
      <c r="L787" s="53" t="str">
        <f aca="false">IF(AND($B787&lt;&gt;"",$C787&lt;&gt;""),$C787-$B787,"")</f>
        <v/>
      </c>
      <c r="M787" s="53" t="str">
        <f aca="false">IF(AND($B787&lt;&gt;"",$D787&lt;&gt;""),$D787-$B787,"")</f>
        <v/>
      </c>
      <c r="N787" s="53" t="str">
        <f aca="false">IF(AND($C787&lt;&gt;"",$D787&lt;&gt;""),$D787-$C787,"")</f>
        <v/>
      </c>
      <c r="O787" s="53" t="str">
        <f aca="false">IF($E787&lt;&gt;"",$E787,"")</f>
        <v/>
      </c>
      <c r="P787" s="52" t="str">
        <f aca="false">IF($F787&lt;&gt;"",$F787,"")</f>
        <v>Apprenant 775 ou 775'</v>
      </c>
      <c r="Q787" s="53" t="str">
        <f aca="false">IF(AND($G787&lt;&gt;"",$H787&lt;&gt;""),$H787-$G787,"")</f>
        <v/>
      </c>
      <c r="R787" s="53" t="str">
        <f aca="false">IF(AND($G787&lt;&gt;"",$I787&lt;&gt;""),$I787-$G787,"")</f>
        <v/>
      </c>
      <c r="S787" s="53" t="str">
        <f aca="false">IF(AND($H787&lt;&gt;"",$I787&lt;&gt;""),$I787-$H787,"")</f>
        <v/>
      </c>
      <c r="T787" s="53" t="str">
        <f aca="false">IF($J787&lt;&gt;"",$J787,"")</f>
        <v/>
      </c>
      <c r="V787" s="52" t="str">
        <f aca="false">IF($A787&lt;&gt;"",$A787,"")</f>
        <v>Apprenant 775</v>
      </c>
      <c r="W787" s="53" t="str">
        <f aca="false">IF(AND(OR('Choix pédagogiques'!$C$3=1,'Choix pédagogiques'!$C$3=2),$BM787=1),B787,IF(AND('Choix pédagogiques'!$C$3=3,$BO787=1),B787,""))</f>
        <v/>
      </c>
      <c r="X787" s="53" t="str">
        <f aca="false">IF(AND(OR('Choix pédagogiques'!$C$3=1,'Choix pédagogiques'!$C$3=2),$BM787=1),C787,IF(AND('Choix pédagogiques'!$C$3=3,$BO787=1),C787,""))</f>
        <v/>
      </c>
      <c r="Y787" s="53" t="str">
        <f aca="false">IF(AND(OR('Choix pédagogiques'!$C$3=1,'Choix pédagogiques'!$C$3=2),$BM787=1),D787,IF(AND('Choix pédagogiques'!$C$3=3,$BO787=1),D787,""))</f>
        <v/>
      </c>
      <c r="Z787" s="53" t="str">
        <f aca="false">IF($E787&lt;&gt;"",$E787,"")</f>
        <v/>
      </c>
      <c r="AA787" s="52" t="str">
        <f aca="false">IF($F787&lt;&gt;"",$F787,"")</f>
        <v>Apprenant 775 ou 775'</v>
      </c>
      <c r="AB787" s="53" t="str">
        <f aca="false">IF(AND(OR('Choix pédagogiques'!$C$3=1,'Choix pédagogiques'!$C$3=2),$BN787=1),G787,IF(AND('Choix pédagogiques'!$C$3=3,$BO787=1),G787,""))</f>
        <v/>
      </c>
      <c r="AC787" s="53" t="str">
        <f aca="false">IF(AND(OR('Choix pédagogiques'!$C$3=1,'Choix pédagogiques'!$C$3=2),$BN787=1),H787,IF(AND('Choix pédagogiques'!$C$3=3,$BO787=1),H787,""))</f>
        <v/>
      </c>
      <c r="AD787" s="53" t="str">
        <f aca="false">IF(AND(OR('Choix pédagogiques'!$C$3=1,'Choix pédagogiques'!$C$3=2),$BN787=1),I787,IF(AND('Choix pédagogiques'!$C$3=3,$BO787=1),I787,""))</f>
        <v/>
      </c>
      <c r="AE787" s="53" t="str">
        <f aca="false">IF($J787&lt;&gt;"",$J787,"")</f>
        <v/>
      </c>
      <c r="AF787" s="52" t="str">
        <f aca="false">IF($A787&lt;&gt;"",$A787,"")</f>
        <v>Apprenant 775</v>
      </c>
      <c r="AG787" s="53" t="str">
        <f aca="false">IF(AND($W787&lt;&gt;"",$X787&lt;&gt;""),$X787-$W787,"")</f>
        <v/>
      </c>
      <c r="AH787" s="53" t="str">
        <f aca="false">IF(AND($W787&lt;&gt;"",$Y787&lt;&gt;""),$Y787-$W787,"")</f>
        <v/>
      </c>
      <c r="AI787" s="53" t="str">
        <f aca="false">IF(AND($X787&lt;&gt;"",$Y787&lt;&gt;""),$Y787-$X787,"")</f>
        <v/>
      </c>
      <c r="AJ787" s="53" t="str">
        <f aca="false">IF($E787&lt;&gt;"",$E787,"")</f>
        <v/>
      </c>
      <c r="AK787" s="52" t="str">
        <f aca="false">IF($F787&lt;&gt;"",$F787,"")</f>
        <v>Apprenant 775 ou 775'</v>
      </c>
      <c r="AL787" s="53" t="str">
        <f aca="false">IF(AND($AB787&lt;&gt;"",$AC787&lt;&gt;""),$AC787-$AB787,"")</f>
        <v/>
      </c>
      <c r="AM787" s="53" t="str">
        <f aca="false">IF(AND($AB787&lt;&gt;"",$AD787&lt;&gt;""),$AD787-$AB787,"")</f>
        <v/>
      </c>
      <c r="AN787" s="53" t="str">
        <f aca="false">IF(AND($AC787&lt;&gt;"",$AD787&lt;&gt;""),$AD787-$AC787,"")</f>
        <v/>
      </c>
      <c r="AO787" s="53" t="str">
        <f aca="false">IF($J787&lt;&gt;"",$J787,"")</f>
        <v/>
      </c>
      <c r="AQ787" s="52" t="str">
        <f aca="false">IF($A787&lt;&gt;"",$A787,"")</f>
        <v>Apprenant 775</v>
      </c>
      <c r="AR787" s="55" t="str">
        <f aca="false">IF(AND('Choix pédagogiques'!$C$4&lt;&gt;"?",'Choix pédagogiques'!$C$5&lt;&gt;"?",W787&lt;&gt;""),(W787-'Choix pédagogiques'!$C$4)/('Choix pédagogiques'!$C$5-'Choix pédagogiques'!$C$4),"")</f>
        <v/>
      </c>
      <c r="AS787" s="55" t="str">
        <f aca="false">IF(AND('Choix pédagogiques'!$C$4&lt;&gt;"?",'Choix pédagogiques'!$C$5&lt;&gt;"?",X787&lt;&gt;""),(X787-'Choix pédagogiques'!$C$4)/('Choix pédagogiques'!$C$5-'Choix pédagogiques'!$C$4),"")</f>
        <v/>
      </c>
      <c r="AT787" s="55" t="str">
        <f aca="false">IF(AND('Choix pédagogiques'!$C$4&lt;&gt;"?",'Choix pédagogiques'!$C$5&lt;&gt;"?",Y787&lt;&gt;""),(Y787-'Choix pédagogiques'!$C$4)/('Choix pédagogiques'!$C$5-'Choix pédagogiques'!$C$4),"")</f>
        <v/>
      </c>
      <c r="AU787" s="53" t="str">
        <f aca="false">IF($E787&lt;&gt;"",$E787,"")</f>
        <v/>
      </c>
      <c r="AV787" s="52" t="str">
        <f aca="false">IF($F787&lt;&gt;"",$F787,"")</f>
        <v>Apprenant 775 ou 775'</v>
      </c>
      <c r="AW787" s="55" t="str">
        <f aca="false">IF(AND('Choix pédagogiques'!$C$4&lt;&gt;"?",'Choix pédagogiques'!$C$5&lt;&gt;"?",AB787&lt;&gt;""),(AB787-'Choix pédagogiques'!$C$4)/('Choix pédagogiques'!$C$5-'Choix pédagogiques'!$C$4),"")</f>
        <v/>
      </c>
      <c r="AX787" s="55" t="str">
        <f aca="false">IF(AND('Choix pédagogiques'!$C$4&lt;&gt;"?",'Choix pédagogiques'!$C$5&lt;&gt;"?",AC787&lt;&gt;""),(AC787-'Choix pédagogiques'!$C$4)/('Choix pédagogiques'!$C$5-'Choix pédagogiques'!$C$4),"")</f>
        <v/>
      </c>
      <c r="AY787" s="55" t="str">
        <f aca="false">IF(AND('Choix pédagogiques'!$C$4&lt;&gt;"?",'Choix pédagogiques'!$C$5&lt;&gt;"?",AD787&lt;&gt;""),(AD787-'Choix pédagogiques'!$C$4)/('Choix pédagogiques'!$C$5-'Choix pédagogiques'!$C$4),"")</f>
        <v/>
      </c>
      <c r="AZ787" s="53" t="str">
        <f aca="false">IF($J787&lt;&gt;"",$J787,"")</f>
        <v/>
      </c>
      <c r="BA787" s="52" t="str">
        <f aca="false">IF($A787&lt;&gt;"",$A787,"")</f>
        <v>Apprenant 775</v>
      </c>
      <c r="BB787" s="55" t="str">
        <f aca="false">IF(AND($AR787&lt;&gt;"",$AS787&lt;&gt;""),$AS787-$AR787,"")</f>
        <v/>
      </c>
      <c r="BC787" s="55" t="str">
        <f aca="false">IF(AND($AR787&lt;&gt;"",$AT787&lt;&gt;""),$AT787-$AR787,"")</f>
        <v/>
      </c>
      <c r="BD787" s="55" t="str">
        <f aca="false">IF(AND($AS787&lt;&gt;"",$AT787&lt;&gt;""),$AT787-$AS787,"")</f>
        <v/>
      </c>
      <c r="BE787" s="53" t="str">
        <f aca="false">IF($E787&lt;&gt;"",$E787,"")</f>
        <v/>
      </c>
      <c r="BF787" s="52" t="str">
        <f aca="false">IF($F787&lt;&gt;"",$F787,"")</f>
        <v>Apprenant 775 ou 775'</v>
      </c>
      <c r="BG787" s="55" t="str">
        <f aca="false">IF(AND($AW787&lt;&gt;"",$AX787&lt;&gt;""),$AX787-$AW787,"")</f>
        <v/>
      </c>
      <c r="BH787" s="55" t="str">
        <f aca="false">IF(AND($AW787&lt;&gt;"",$AY787&lt;&gt;""),$AY787-$AW787,"")</f>
        <v/>
      </c>
      <c r="BI787" s="55" t="str">
        <f aca="false">IF(AND($AX787&lt;&gt;"",$AY787&lt;&gt;""),$AY787-$AX787,"")</f>
        <v/>
      </c>
      <c r="BJ787" s="53" t="str">
        <f aca="false">IF($J787&lt;&gt;"",$J787,"")</f>
        <v/>
      </c>
      <c r="BL787" s="52"/>
      <c r="BM787" s="52" t="str">
        <f aca="false">IF(OR(COUNT(B787:D1786)=0,AND('Choix pédagogiques'!$C$3&lt;&gt;1,'Choix pédagogiques'!$C$3&lt;&gt;2)),"",IF(AND(OR('Choix pédagogiques'!$C$3=1,'Choix pédagogiques'!$C$3=2),$B787&lt;&gt;"",$C787&lt;&gt;"",$D787&lt;&gt;""),1,0))</f>
        <v/>
      </c>
      <c r="BN787" s="52" t="str">
        <f aca="false">IF(OR(COUNT(G787:I1786)=0,AND('Choix pédagogiques'!$C$3&lt;&gt;1,'Choix pédagogiques'!$C$3&lt;&gt;2)),"",IF(AND(OR('Choix pédagogiques'!$C$3=1,'Choix pédagogiques'!$C$3=2),AND($G787&lt;&gt;"",$H787&lt;&gt;"",$I787&lt;&gt;"")),1,0))</f>
        <v/>
      </c>
      <c r="BO787" s="52" t="str">
        <f aca="false">IF(OR(COUNT(B787:D1786)=0,COUNT(G787:I1786)=0,'Choix pédagogiques'!C$3&lt;&gt;3),"",IF(AND('Choix pédagogiques'!$C$3=3,$B787&lt;&gt;"",$C787&lt;&gt;"",$D787&lt;&gt;"",$G787&lt;&gt;"",$H787&lt;&gt;"",$I787&lt;&gt;""),1,0))</f>
        <v/>
      </c>
      <c r="BR787" s="52" t="n">
        <v>155</v>
      </c>
      <c r="BS787" s="52" t="n">
        <v>1715</v>
      </c>
    </row>
    <row r="788" s="54" customFormat="true" ht="18" hidden="false" customHeight="true" outlineLevel="0" collapsed="false">
      <c r="A788" s="57" t="s">
        <v>1507</v>
      </c>
      <c r="B788" s="51"/>
      <c r="C788" s="51"/>
      <c r="D788" s="51"/>
      <c r="E788" s="51"/>
      <c r="F788" s="57" t="s">
        <v>1508</v>
      </c>
      <c r="G788" s="51"/>
      <c r="H788" s="51"/>
      <c r="I788" s="51"/>
      <c r="J788" s="51"/>
      <c r="K788" s="52" t="str">
        <f aca="false">IF($A788&lt;&gt;"",$A788,"")</f>
        <v>Apprenant 776</v>
      </c>
      <c r="L788" s="53" t="str">
        <f aca="false">IF(AND($B788&lt;&gt;"",$C788&lt;&gt;""),$C788-$B788,"")</f>
        <v/>
      </c>
      <c r="M788" s="53" t="str">
        <f aca="false">IF(AND($B788&lt;&gt;"",$D788&lt;&gt;""),$D788-$B788,"")</f>
        <v/>
      </c>
      <c r="N788" s="53" t="str">
        <f aca="false">IF(AND($C788&lt;&gt;"",$D788&lt;&gt;""),$D788-$C788,"")</f>
        <v/>
      </c>
      <c r="O788" s="53" t="str">
        <f aca="false">IF($E788&lt;&gt;"",$E788,"")</f>
        <v/>
      </c>
      <c r="P788" s="52" t="str">
        <f aca="false">IF($F788&lt;&gt;"",$F788,"")</f>
        <v>Apprenant 776 ou 776'</v>
      </c>
      <c r="Q788" s="53" t="str">
        <f aca="false">IF(AND($G788&lt;&gt;"",$H788&lt;&gt;""),$H788-$G788,"")</f>
        <v/>
      </c>
      <c r="R788" s="53" t="str">
        <f aca="false">IF(AND($G788&lt;&gt;"",$I788&lt;&gt;""),$I788-$G788,"")</f>
        <v/>
      </c>
      <c r="S788" s="53" t="str">
        <f aca="false">IF(AND($H788&lt;&gt;"",$I788&lt;&gt;""),$I788-$H788,"")</f>
        <v/>
      </c>
      <c r="T788" s="53" t="str">
        <f aca="false">IF($J788&lt;&gt;"",$J788,"")</f>
        <v/>
      </c>
      <c r="V788" s="52" t="str">
        <f aca="false">IF($A788&lt;&gt;"",$A788,"")</f>
        <v>Apprenant 776</v>
      </c>
      <c r="W788" s="53" t="str">
        <f aca="false">IF(AND(OR('Choix pédagogiques'!$C$3=1,'Choix pédagogiques'!$C$3=2),$BM788=1),B788,IF(AND('Choix pédagogiques'!$C$3=3,$BO788=1),B788,""))</f>
        <v/>
      </c>
      <c r="X788" s="53" t="str">
        <f aca="false">IF(AND(OR('Choix pédagogiques'!$C$3=1,'Choix pédagogiques'!$C$3=2),$BM788=1),C788,IF(AND('Choix pédagogiques'!$C$3=3,$BO788=1),C788,""))</f>
        <v/>
      </c>
      <c r="Y788" s="53" t="str">
        <f aca="false">IF(AND(OR('Choix pédagogiques'!$C$3=1,'Choix pédagogiques'!$C$3=2),$BM788=1),D788,IF(AND('Choix pédagogiques'!$C$3=3,$BO788=1),D788,""))</f>
        <v/>
      </c>
      <c r="Z788" s="53" t="str">
        <f aca="false">IF($E788&lt;&gt;"",$E788,"")</f>
        <v/>
      </c>
      <c r="AA788" s="52" t="str">
        <f aca="false">IF($F788&lt;&gt;"",$F788,"")</f>
        <v>Apprenant 776 ou 776'</v>
      </c>
      <c r="AB788" s="53" t="str">
        <f aca="false">IF(AND(OR('Choix pédagogiques'!$C$3=1,'Choix pédagogiques'!$C$3=2),$BN788=1),G788,IF(AND('Choix pédagogiques'!$C$3=3,$BO788=1),G788,""))</f>
        <v/>
      </c>
      <c r="AC788" s="53" t="str">
        <f aca="false">IF(AND(OR('Choix pédagogiques'!$C$3=1,'Choix pédagogiques'!$C$3=2),$BN788=1),H788,IF(AND('Choix pédagogiques'!$C$3=3,$BO788=1),H788,""))</f>
        <v/>
      </c>
      <c r="AD788" s="53" t="str">
        <f aca="false">IF(AND(OR('Choix pédagogiques'!$C$3=1,'Choix pédagogiques'!$C$3=2),$BN788=1),I788,IF(AND('Choix pédagogiques'!$C$3=3,$BO788=1),I788,""))</f>
        <v/>
      </c>
      <c r="AE788" s="53" t="str">
        <f aca="false">IF($J788&lt;&gt;"",$J788,"")</f>
        <v/>
      </c>
      <c r="AF788" s="52" t="str">
        <f aca="false">IF($A788&lt;&gt;"",$A788,"")</f>
        <v>Apprenant 776</v>
      </c>
      <c r="AG788" s="53" t="str">
        <f aca="false">IF(AND($W788&lt;&gt;"",$X788&lt;&gt;""),$X788-$W788,"")</f>
        <v/>
      </c>
      <c r="AH788" s="53" t="str">
        <f aca="false">IF(AND($W788&lt;&gt;"",$Y788&lt;&gt;""),$Y788-$W788,"")</f>
        <v/>
      </c>
      <c r="AI788" s="53" t="str">
        <f aca="false">IF(AND($X788&lt;&gt;"",$Y788&lt;&gt;""),$Y788-$X788,"")</f>
        <v/>
      </c>
      <c r="AJ788" s="53" t="str">
        <f aca="false">IF($E788&lt;&gt;"",$E788,"")</f>
        <v/>
      </c>
      <c r="AK788" s="52" t="str">
        <f aca="false">IF($F788&lt;&gt;"",$F788,"")</f>
        <v>Apprenant 776 ou 776'</v>
      </c>
      <c r="AL788" s="53" t="str">
        <f aca="false">IF(AND($AB788&lt;&gt;"",$AC788&lt;&gt;""),$AC788-$AB788,"")</f>
        <v/>
      </c>
      <c r="AM788" s="53" t="str">
        <f aca="false">IF(AND($AB788&lt;&gt;"",$AD788&lt;&gt;""),$AD788-$AB788,"")</f>
        <v/>
      </c>
      <c r="AN788" s="53" t="str">
        <f aca="false">IF(AND($AC788&lt;&gt;"",$AD788&lt;&gt;""),$AD788-$AC788,"")</f>
        <v/>
      </c>
      <c r="AO788" s="53" t="str">
        <f aca="false">IF($J788&lt;&gt;"",$J788,"")</f>
        <v/>
      </c>
      <c r="AQ788" s="52" t="str">
        <f aca="false">IF($A788&lt;&gt;"",$A788,"")</f>
        <v>Apprenant 776</v>
      </c>
      <c r="AR788" s="55" t="str">
        <f aca="false">IF(AND('Choix pédagogiques'!$C$4&lt;&gt;"?",'Choix pédagogiques'!$C$5&lt;&gt;"?",W788&lt;&gt;""),(W788-'Choix pédagogiques'!$C$4)/('Choix pédagogiques'!$C$5-'Choix pédagogiques'!$C$4),"")</f>
        <v/>
      </c>
      <c r="AS788" s="55" t="str">
        <f aca="false">IF(AND('Choix pédagogiques'!$C$4&lt;&gt;"?",'Choix pédagogiques'!$C$5&lt;&gt;"?",X788&lt;&gt;""),(X788-'Choix pédagogiques'!$C$4)/('Choix pédagogiques'!$C$5-'Choix pédagogiques'!$C$4),"")</f>
        <v/>
      </c>
      <c r="AT788" s="55" t="str">
        <f aca="false">IF(AND('Choix pédagogiques'!$C$4&lt;&gt;"?",'Choix pédagogiques'!$C$5&lt;&gt;"?",Y788&lt;&gt;""),(Y788-'Choix pédagogiques'!$C$4)/('Choix pédagogiques'!$C$5-'Choix pédagogiques'!$C$4),"")</f>
        <v/>
      </c>
      <c r="AU788" s="53" t="str">
        <f aca="false">IF($E788&lt;&gt;"",$E788,"")</f>
        <v/>
      </c>
      <c r="AV788" s="52" t="str">
        <f aca="false">IF($F788&lt;&gt;"",$F788,"")</f>
        <v>Apprenant 776 ou 776'</v>
      </c>
      <c r="AW788" s="55" t="str">
        <f aca="false">IF(AND('Choix pédagogiques'!$C$4&lt;&gt;"?",'Choix pédagogiques'!$C$5&lt;&gt;"?",AB788&lt;&gt;""),(AB788-'Choix pédagogiques'!$C$4)/('Choix pédagogiques'!$C$5-'Choix pédagogiques'!$C$4),"")</f>
        <v/>
      </c>
      <c r="AX788" s="55" t="str">
        <f aca="false">IF(AND('Choix pédagogiques'!$C$4&lt;&gt;"?",'Choix pédagogiques'!$C$5&lt;&gt;"?",AC788&lt;&gt;""),(AC788-'Choix pédagogiques'!$C$4)/('Choix pédagogiques'!$C$5-'Choix pédagogiques'!$C$4),"")</f>
        <v/>
      </c>
      <c r="AY788" s="55" t="str">
        <f aca="false">IF(AND('Choix pédagogiques'!$C$4&lt;&gt;"?",'Choix pédagogiques'!$C$5&lt;&gt;"?",AD788&lt;&gt;""),(AD788-'Choix pédagogiques'!$C$4)/('Choix pédagogiques'!$C$5-'Choix pédagogiques'!$C$4),"")</f>
        <v/>
      </c>
      <c r="AZ788" s="53" t="str">
        <f aca="false">IF($J788&lt;&gt;"",$J788,"")</f>
        <v/>
      </c>
      <c r="BA788" s="52" t="str">
        <f aca="false">IF($A788&lt;&gt;"",$A788,"")</f>
        <v>Apprenant 776</v>
      </c>
      <c r="BB788" s="55" t="str">
        <f aca="false">IF(AND($AR788&lt;&gt;"",$AS788&lt;&gt;""),$AS788-$AR788,"")</f>
        <v/>
      </c>
      <c r="BC788" s="55" t="str">
        <f aca="false">IF(AND($AR788&lt;&gt;"",$AT788&lt;&gt;""),$AT788-$AR788,"")</f>
        <v/>
      </c>
      <c r="BD788" s="55" t="str">
        <f aca="false">IF(AND($AS788&lt;&gt;"",$AT788&lt;&gt;""),$AT788-$AS788,"")</f>
        <v/>
      </c>
      <c r="BE788" s="53" t="str">
        <f aca="false">IF($E788&lt;&gt;"",$E788,"")</f>
        <v/>
      </c>
      <c r="BF788" s="52" t="str">
        <f aca="false">IF($F788&lt;&gt;"",$F788,"")</f>
        <v>Apprenant 776 ou 776'</v>
      </c>
      <c r="BG788" s="55" t="str">
        <f aca="false">IF(AND($AW788&lt;&gt;"",$AX788&lt;&gt;""),$AX788-$AW788,"")</f>
        <v/>
      </c>
      <c r="BH788" s="55" t="str">
        <f aca="false">IF(AND($AW788&lt;&gt;"",$AY788&lt;&gt;""),$AY788-$AW788,"")</f>
        <v/>
      </c>
      <c r="BI788" s="55" t="str">
        <f aca="false">IF(AND($AX788&lt;&gt;"",$AY788&lt;&gt;""),$AY788-$AX788,"")</f>
        <v/>
      </c>
      <c r="BJ788" s="53" t="str">
        <f aca="false">IF($J788&lt;&gt;"",$J788,"")</f>
        <v/>
      </c>
      <c r="BL788" s="52"/>
      <c r="BM788" s="52" t="str">
        <f aca="false">IF(OR(COUNT(B788:D1787)=0,AND('Choix pédagogiques'!$C$3&lt;&gt;1,'Choix pédagogiques'!$C$3&lt;&gt;2)),"",IF(AND(OR('Choix pédagogiques'!$C$3=1,'Choix pédagogiques'!$C$3=2),$B788&lt;&gt;"",$C788&lt;&gt;"",$D788&lt;&gt;""),1,0))</f>
        <v/>
      </c>
      <c r="BN788" s="52" t="str">
        <f aca="false">IF(OR(COUNT(G788:I1787)=0,AND('Choix pédagogiques'!$C$3&lt;&gt;1,'Choix pédagogiques'!$C$3&lt;&gt;2)),"",IF(AND(OR('Choix pédagogiques'!$C$3=1,'Choix pédagogiques'!$C$3=2),AND($G788&lt;&gt;"",$H788&lt;&gt;"",$I788&lt;&gt;"")),1,0))</f>
        <v/>
      </c>
      <c r="BO788" s="52" t="str">
        <f aca="false">IF(OR(COUNT(B788:D1787)=0,COUNT(G788:I1787)=0,'Choix pédagogiques'!C$3&lt;&gt;3),"",IF(AND('Choix pédagogiques'!$C$3=3,$B788&lt;&gt;"",$C788&lt;&gt;"",$D788&lt;&gt;"",$G788&lt;&gt;"",$H788&lt;&gt;"",$I788&lt;&gt;""),1,0))</f>
        <v/>
      </c>
      <c r="BR788" s="52" t="n">
        <v>21</v>
      </c>
      <c r="BS788" s="52" t="n">
        <v>1828</v>
      </c>
    </row>
    <row r="789" s="54" customFormat="true" ht="18" hidden="false" customHeight="true" outlineLevel="0" collapsed="false">
      <c r="A789" s="57" t="s">
        <v>1509</v>
      </c>
      <c r="B789" s="51"/>
      <c r="C789" s="51"/>
      <c r="D789" s="51"/>
      <c r="E789" s="51"/>
      <c r="F789" s="57" t="s">
        <v>1510</v>
      </c>
      <c r="G789" s="51"/>
      <c r="H789" s="51"/>
      <c r="I789" s="51"/>
      <c r="J789" s="51"/>
      <c r="K789" s="52" t="str">
        <f aca="false">IF($A789&lt;&gt;"",$A789,"")</f>
        <v>Apprenant 777</v>
      </c>
      <c r="L789" s="53" t="str">
        <f aca="false">IF(AND($B789&lt;&gt;"",$C789&lt;&gt;""),$C789-$B789,"")</f>
        <v/>
      </c>
      <c r="M789" s="53" t="str">
        <f aca="false">IF(AND($B789&lt;&gt;"",$D789&lt;&gt;""),$D789-$B789,"")</f>
        <v/>
      </c>
      <c r="N789" s="53" t="str">
        <f aca="false">IF(AND($C789&lt;&gt;"",$D789&lt;&gt;""),$D789-$C789,"")</f>
        <v/>
      </c>
      <c r="O789" s="53" t="str">
        <f aca="false">IF($E789&lt;&gt;"",$E789,"")</f>
        <v/>
      </c>
      <c r="P789" s="52" t="str">
        <f aca="false">IF($F789&lt;&gt;"",$F789,"")</f>
        <v>Apprenant 777 ou 777'</v>
      </c>
      <c r="Q789" s="53" t="str">
        <f aca="false">IF(AND($G789&lt;&gt;"",$H789&lt;&gt;""),$H789-$G789,"")</f>
        <v/>
      </c>
      <c r="R789" s="53" t="str">
        <f aca="false">IF(AND($G789&lt;&gt;"",$I789&lt;&gt;""),$I789-$G789,"")</f>
        <v/>
      </c>
      <c r="S789" s="53" t="str">
        <f aca="false">IF(AND($H789&lt;&gt;"",$I789&lt;&gt;""),$I789-$H789,"")</f>
        <v/>
      </c>
      <c r="T789" s="53" t="str">
        <f aca="false">IF($J789&lt;&gt;"",$J789,"")</f>
        <v/>
      </c>
      <c r="V789" s="52" t="str">
        <f aca="false">IF($A789&lt;&gt;"",$A789,"")</f>
        <v>Apprenant 777</v>
      </c>
      <c r="W789" s="53" t="str">
        <f aca="false">IF(AND(OR('Choix pédagogiques'!$C$3=1,'Choix pédagogiques'!$C$3=2),$BM789=1),B789,IF(AND('Choix pédagogiques'!$C$3=3,$BO789=1),B789,""))</f>
        <v/>
      </c>
      <c r="X789" s="53" t="str">
        <f aca="false">IF(AND(OR('Choix pédagogiques'!$C$3=1,'Choix pédagogiques'!$C$3=2),$BM789=1),C789,IF(AND('Choix pédagogiques'!$C$3=3,$BO789=1),C789,""))</f>
        <v/>
      </c>
      <c r="Y789" s="53" t="str">
        <f aca="false">IF(AND(OR('Choix pédagogiques'!$C$3=1,'Choix pédagogiques'!$C$3=2),$BM789=1),D789,IF(AND('Choix pédagogiques'!$C$3=3,$BO789=1),D789,""))</f>
        <v/>
      </c>
      <c r="Z789" s="53" t="str">
        <f aca="false">IF($E789&lt;&gt;"",$E789,"")</f>
        <v/>
      </c>
      <c r="AA789" s="52" t="str">
        <f aca="false">IF($F789&lt;&gt;"",$F789,"")</f>
        <v>Apprenant 777 ou 777'</v>
      </c>
      <c r="AB789" s="53" t="str">
        <f aca="false">IF(AND(OR('Choix pédagogiques'!$C$3=1,'Choix pédagogiques'!$C$3=2),$BN789=1),G789,IF(AND('Choix pédagogiques'!$C$3=3,$BO789=1),G789,""))</f>
        <v/>
      </c>
      <c r="AC789" s="53" t="str">
        <f aca="false">IF(AND(OR('Choix pédagogiques'!$C$3=1,'Choix pédagogiques'!$C$3=2),$BN789=1),H789,IF(AND('Choix pédagogiques'!$C$3=3,$BO789=1),H789,""))</f>
        <v/>
      </c>
      <c r="AD789" s="53" t="str">
        <f aca="false">IF(AND(OR('Choix pédagogiques'!$C$3=1,'Choix pédagogiques'!$C$3=2),$BN789=1),I789,IF(AND('Choix pédagogiques'!$C$3=3,$BO789=1),I789,""))</f>
        <v/>
      </c>
      <c r="AE789" s="53" t="str">
        <f aca="false">IF($J789&lt;&gt;"",$J789,"")</f>
        <v/>
      </c>
      <c r="AF789" s="52" t="str">
        <f aca="false">IF($A789&lt;&gt;"",$A789,"")</f>
        <v>Apprenant 777</v>
      </c>
      <c r="AG789" s="53" t="str">
        <f aca="false">IF(AND($W789&lt;&gt;"",$X789&lt;&gt;""),$X789-$W789,"")</f>
        <v/>
      </c>
      <c r="AH789" s="53" t="str">
        <f aca="false">IF(AND($W789&lt;&gt;"",$Y789&lt;&gt;""),$Y789-$W789,"")</f>
        <v/>
      </c>
      <c r="AI789" s="53" t="str">
        <f aca="false">IF(AND($X789&lt;&gt;"",$Y789&lt;&gt;""),$Y789-$X789,"")</f>
        <v/>
      </c>
      <c r="AJ789" s="53" t="str">
        <f aca="false">IF($E789&lt;&gt;"",$E789,"")</f>
        <v/>
      </c>
      <c r="AK789" s="52" t="str">
        <f aca="false">IF($F789&lt;&gt;"",$F789,"")</f>
        <v>Apprenant 777 ou 777'</v>
      </c>
      <c r="AL789" s="53" t="str">
        <f aca="false">IF(AND($AB789&lt;&gt;"",$AC789&lt;&gt;""),$AC789-$AB789,"")</f>
        <v/>
      </c>
      <c r="AM789" s="53" t="str">
        <f aca="false">IF(AND($AB789&lt;&gt;"",$AD789&lt;&gt;""),$AD789-$AB789,"")</f>
        <v/>
      </c>
      <c r="AN789" s="53" t="str">
        <f aca="false">IF(AND($AC789&lt;&gt;"",$AD789&lt;&gt;""),$AD789-$AC789,"")</f>
        <v/>
      </c>
      <c r="AO789" s="53" t="str">
        <f aca="false">IF($J789&lt;&gt;"",$J789,"")</f>
        <v/>
      </c>
      <c r="AQ789" s="52" t="str">
        <f aca="false">IF($A789&lt;&gt;"",$A789,"")</f>
        <v>Apprenant 777</v>
      </c>
      <c r="AR789" s="55" t="str">
        <f aca="false">IF(AND('Choix pédagogiques'!$C$4&lt;&gt;"?",'Choix pédagogiques'!$C$5&lt;&gt;"?",W789&lt;&gt;""),(W789-'Choix pédagogiques'!$C$4)/('Choix pédagogiques'!$C$5-'Choix pédagogiques'!$C$4),"")</f>
        <v/>
      </c>
      <c r="AS789" s="55" t="str">
        <f aca="false">IF(AND('Choix pédagogiques'!$C$4&lt;&gt;"?",'Choix pédagogiques'!$C$5&lt;&gt;"?",X789&lt;&gt;""),(X789-'Choix pédagogiques'!$C$4)/('Choix pédagogiques'!$C$5-'Choix pédagogiques'!$C$4),"")</f>
        <v/>
      </c>
      <c r="AT789" s="55" t="str">
        <f aca="false">IF(AND('Choix pédagogiques'!$C$4&lt;&gt;"?",'Choix pédagogiques'!$C$5&lt;&gt;"?",Y789&lt;&gt;""),(Y789-'Choix pédagogiques'!$C$4)/('Choix pédagogiques'!$C$5-'Choix pédagogiques'!$C$4),"")</f>
        <v/>
      </c>
      <c r="AU789" s="53" t="str">
        <f aca="false">IF($E789&lt;&gt;"",$E789,"")</f>
        <v/>
      </c>
      <c r="AV789" s="52" t="str">
        <f aca="false">IF($F789&lt;&gt;"",$F789,"")</f>
        <v>Apprenant 777 ou 777'</v>
      </c>
      <c r="AW789" s="55" t="str">
        <f aca="false">IF(AND('Choix pédagogiques'!$C$4&lt;&gt;"?",'Choix pédagogiques'!$C$5&lt;&gt;"?",AB789&lt;&gt;""),(AB789-'Choix pédagogiques'!$C$4)/('Choix pédagogiques'!$C$5-'Choix pédagogiques'!$C$4),"")</f>
        <v/>
      </c>
      <c r="AX789" s="55" t="str">
        <f aca="false">IF(AND('Choix pédagogiques'!$C$4&lt;&gt;"?",'Choix pédagogiques'!$C$5&lt;&gt;"?",AC789&lt;&gt;""),(AC789-'Choix pédagogiques'!$C$4)/('Choix pédagogiques'!$C$5-'Choix pédagogiques'!$C$4),"")</f>
        <v/>
      </c>
      <c r="AY789" s="55" t="str">
        <f aca="false">IF(AND('Choix pédagogiques'!$C$4&lt;&gt;"?",'Choix pédagogiques'!$C$5&lt;&gt;"?",AD789&lt;&gt;""),(AD789-'Choix pédagogiques'!$C$4)/('Choix pédagogiques'!$C$5-'Choix pédagogiques'!$C$4),"")</f>
        <v/>
      </c>
      <c r="AZ789" s="53" t="str">
        <f aca="false">IF($J789&lt;&gt;"",$J789,"")</f>
        <v/>
      </c>
      <c r="BA789" s="52" t="str">
        <f aca="false">IF($A789&lt;&gt;"",$A789,"")</f>
        <v>Apprenant 777</v>
      </c>
      <c r="BB789" s="55" t="str">
        <f aca="false">IF(AND($AR789&lt;&gt;"",$AS789&lt;&gt;""),$AS789-$AR789,"")</f>
        <v/>
      </c>
      <c r="BC789" s="55" t="str">
        <f aca="false">IF(AND($AR789&lt;&gt;"",$AT789&lt;&gt;""),$AT789-$AR789,"")</f>
        <v/>
      </c>
      <c r="BD789" s="55" t="str">
        <f aca="false">IF(AND($AS789&lt;&gt;"",$AT789&lt;&gt;""),$AT789-$AS789,"")</f>
        <v/>
      </c>
      <c r="BE789" s="53" t="str">
        <f aca="false">IF($E789&lt;&gt;"",$E789,"")</f>
        <v/>
      </c>
      <c r="BF789" s="52" t="str">
        <f aca="false">IF($F789&lt;&gt;"",$F789,"")</f>
        <v>Apprenant 777 ou 777'</v>
      </c>
      <c r="BG789" s="55" t="str">
        <f aca="false">IF(AND($AW789&lt;&gt;"",$AX789&lt;&gt;""),$AX789-$AW789,"")</f>
        <v/>
      </c>
      <c r="BH789" s="55" t="str">
        <f aca="false">IF(AND($AW789&lt;&gt;"",$AY789&lt;&gt;""),$AY789-$AW789,"")</f>
        <v/>
      </c>
      <c r="BI789" s="55" t="str">
        <f aca="false">IF(AND($AX789&lt;&gt;"",$AY789&lt;&gt;""),$AY789-$AX789,"")</f>
        <v/>
      </c>
      <c r="BJ789" s="53" t="str">
        <f aca="false">IF($J789&lt;&gt;"",$J789,"")</f>
        <v/>
      </c>
      <c r="BL789" s="52"/>
      <c r="BM789" s="52" t="str">
        <f aca="false">IF(OR(COUNT(B789:D1788)=0,AND('Choix pédagogiques'!$C$3&lt;&gt;1,'Choix pédagogiques'!$C$3&lt;&gt;2)),"",IF(AND(OR('Choix pédagogiques'!$C$3=1,'Choix pédagogiques'!$C$3=2),$B789&lt;&gt;"",$C789&lt;&gt;"",$D789&lt;&gt;""),1,0))</f>
        <v/>
      </c>
      <c r="BN789" s="52" t="str">
        <f aca="false">IF(OR(COUNT(G789:I1788)=0,AND('Choix pédagogiques'!$C$3&lt;&gt;1,'Choix pédagogiques'!$C$3&lt;&gt;2)),"",IF(AND(OR('Choix pédagogiques'!$C$3=1,'Choix pédagogiques'!$C$3=2),AND($G789&lt;&gt;"",$H789&lt;&gt;"",$I789&lt;&gt;"")),1,0))</f>
        <v/>
      </c>
      <c r="BO789" s="52" t="str">
        <f aca="false">IF(OR(COUNT(B789:D1788)=0,COUNT(G789:I1788)=0,'Choix pédagogiques'!C$3&lt;&gt;3),"",IF(AND('Choix pédagogiques'!$C$3=3,$B789&lt;&gt;"",$C789&lt;&gt;"",$D789&lt;&gt;"",$G789&lt;&gt;"",$H789&lt;&gt;"",$I789&lt;&gt;""),1,0))</f>
        <v/>
      </c>
      <c r="BR789" s="52" t="n">
        <v>665</v>
      </c>
      <c r="BS789" s="52" t="n">
        <v>1551</v>
      </c>
    </row>
    <row r="790" s="54" customFormat="true" ht="18" hidden="false" customHeight="true" outlineLevel="0" collapsed="false">
      <c r="A790" s="57" t="s">
        <v>1511</v>
      </c>
      <c r="B790" s="51"/>
      <c r="C790" s="51"/>
      <c r="D790" s="51"/>
      <c r="E790" s="51"/>
      <c r="F790" s="57" t="s">
        <v>1512</v>
      </c>
      <c r="G790" s="51"/>
      <c r="H790" s="51"/>
      <c r="I790" s="51"/>
      <c r="J790" s="51"/>
      <c r="K790" s="52" t="str">
        <f aca="false">IF($A790&lt;&gt;"",$A790,"")</f>
        <v>Apprenant 778</v>
      </c>
      <c r="L790" s="53" t="str">
        <f aca="false">IF(AND($B790&lt;&gt;"",$C790&lt;&gt;""),$C790-$B790,"")</f>
        <v/>
      </c>
      <c r="M790" s="53" t="str">
        <f aca="false">IF(AND($B790&lt;&gt;"",$D790&lt;&gt;""),$D790-$B790,"")</f>
        <v/>
      </c>
      <c r="N790" s="53" t="str">
        <f aca="false">IF(AND($C790&lt;&gt;"",$D790&lt;&gt;""),$D790-$C790,"")</f>
        <v/>
      </c>
      <c r="O790" s="53" t="str">
        <f aca="false">IF($E790&lt;&gt;"",$E790,"")</f>
        <v/>
      </c>
      <c r="P790" s="52" t="str">
        <f aca="false">IF($F790&lt;&gt;"",$F790,"")</f>
        <v>Apprenant 778 ou 778'</v>
      </c>
      <c r="Q790" s="53" t="str">
        <f aca="false">IF(AND($G790&lt;&gt;"",$H790&lt;&gt;""),$H790-$G790,"")</f>
        <v/>
      </c>
      <c r="R790" s="53" t="str">
        <f aca="false">IF(AND($G790&lt;&gt;"",$I790&lt;&gt;""),$I790-$G790,"")</f>
        <v/>
      </c>
      <c r="S790" s="53" t="str">
        <f aca="false">IF(AND($H790&lt;&gt;"",$I790&lt;&gt;""),$I790-$H790,"")</f>
        <v/>
      </c>
      <c r="T790" s="53" t="str">
        <f aca="false">IF($J790&lt;&gt;"",$J790,"")</f>
        <v/>
      </c>
      <c r="V790" s="52" t="str">
        <f aca="false">IF($A790&lt;&gt;"",$A790,"")</f>
        <v>Apprenant 778</v>
      </c>
      <c r="W790" s="53" t="str">
        <f aca="false">IF(AND(OR('Choix pédagogiques'!$C$3=1,'Choix pédagogiques'!$C$3=2),$BM790=1),B790,IF(AND('Choix pédagogiques'!$C$3=3,$BO790=1),B790,""))</f>
        <v/>
      </c>
      <c r="X790" s="53" t="str">
        <f aca="false">IF(AND(OR('Choix pédagogiques'!$C$3=1,'Choix pédagogiques'!$C$3=2),$BM790=1),C790,IF(AND('Choix pédagogiques'!$C$3=3,$BO790=1),C790,""))</f>
        <v/>
      </c>
      <c r="Y790" s="53" t="str">
        <f aca="false">IF(AND(OR('Choix pédagogiques'!$C$3=1,'Choix pédagogiques'!$C$3=2),$BM790=1),D790,IF(AND('Choix pédagogiques'!$C$3=3,$BO790=1),D790,""))</f>
        <v/>
      </c>
      <c r="Z790" s="53" t="str">
        <f aca="false">IF($E790&lt;&gt;"",$E790,"")</f>
        <v/>
      </c>
      <c r="AA790" s="52" t="str">
        <f aca="false">IF($F790&lt;&gt;"",$F790,"")</f>
        <v>Apprenant 778 ou 778'</v>
      </c>
      <c r="AB790" s="53" t="str">
        <f aca="false">IF(AND(OR('Choix pédagogiques'!$C$3=1,'Choix pédagogiques'!$C$3=2),$BN790=1),G790,IF(AND('Choix pédagogiques'!$C$3=3,$BO790=1),G790,""))</f>
        <v/>
      </c>
      <c r="AC790" s="53" t="str">
        <f aca="false">IF(AND(OR('Choix pédagogiques'!$C$3=1,'Choix pédagogiques'!$C$3=2),$BN790=1),H790,IF(AND('Choix pédagogiques'!$C$3=3,$BO790=1),H790,""))</f>
        <v/>
      </c>
      <c r="AD790" s="53" t="str">
        <f aca="false">IF(AND(OR('Choix pédagogiques'!$C$3=1,'Choix pédagogiques'!$C$3=2),$BN790=1),I790,IF(AND('Choix pédagogiques'!$C$3=3,$BO790=1),I790,""))</f>
        <v/>
      </c>
      <c r="AE790" s="53" t="str">
        <f aca="false">IF($J790&lt;&gt;"",$J790,"")</f>
        <v/>
      </c>
      <c r="AF790" s="52" t="str">
        <f aca="false">IF($A790&lt;&gt;"",$A790,"")</f>
        <v>Apprenant 778</v>
      </c>
      <c r="AG790" s="53" t="str">
        <f aca="false">IF(AND($W790&lt;&gt;"",$X790&lt;&gt;""),$X790-$W790,"")</f>
        <v/>
      </c>
      <c r="AH790" s="53" t="str">
        <f aca="false">IF(AND($W790&lt;&gt;"",$Y790&lt;&gt;""),$Y790-$W790,"")</f>
        <v/>
      </c>
      <c r="AI790" s="53" t="str">
        <f aca="false">IF(AND($X790&lt;&gt;"",$Y790&lt;&gt;""),$Y790-$X790,"")</f>
        <v/>
      </c>
      <c r="AJ790" s="53" t="str">
        <f aca="false">IF($E790&lt;&gt;"",$E790,"")</f>
        <v/>
      </c>
      <c r="AK790" s="52" t="str">
        <f aca="false">IF($F790&lt;&gt;"",$F790,"")</f>
        <v>Apprenant 778 ou 778'</v>
      </c>
      <c r="AL790" s="53" t="str">
        <f aca="false">IF(AND($AB790&lt;&gt;"",$AC790&lt;&gt;""),$AC790-$AB790,"")</f>
        <v/>
      </c>
      <c r="AM790" s="53" t="str">
        <f aca="false">IF(AND($AB790&lt;&gt;"",$AD790&lt;&gt;""),$AD790-$AB790,"")</f>
        <v/>
      </c>
      <c r="AN790" s="53" t="str">
        <f aca="false">IF(AND($AC790&lt;&gt;"",$AD790&lt;&gt;""),$AD790-$AC790,"")</f>
        <v/>
      </c>
      <c r="AO790" s="53" t="str">
        <f aca="false">IF($J790&lt;&gt;"",$J790,"")</f>
        <v/>
      </c>
      <c r="AQ790" s="52" t="str">
        <f aca="false">IF($A790&lt;&gt;"",$A790,"")</f>
        <v>Apprenant 778</v>
      </c>
      <c r="AR790" s="55" t="str">
        <f aca="false">IF(AND('Choix pédagogiques'!$C$4&lt;&gt;"?",'Choix pédagogiques'!$C$5&lt;&gt;"?",W790&lt;&gt;""),(W790-'Choix pédagogiques'!$C$4)/('Choix pédagogiques'!$C$5-'Choix pédagogiques'!$C$4),"")</f>
        <v/>
      </c>
      <c r="AS790" s="55" t="str">
        <f aca="false">IF(AND('Choix pédagogiques'!$C$4&lt;&gt;"?",'Choix pédagogiques'!$C$5&lt;&gt;"?",X790&lt;&gt;""),(X790-'Choix pédagogiques'!$C$4)/('Choix pédagogiques'!$C$5-'Choix pédagogiques'!$C$4),"")</f>
        <v/>
      </c>
      <c r="AT790" s="55" t="str">
        <f aca="false">IF(AND('Choix pédagogiques'!$C$4&lt;&gt;"?",'Choix pédagogiques'!$C$5&lt;&gt;"?",Y790&lt;&gt;""),(Y790-'Choix pédagogiques'!$C$4)/('Choix pédagogiques'!$C$5-'Choix pédagogiques'!$C$4),"")</f>
        <v/>
      </c>
      <c r="AU790" s="53" t="str">
        <f aca="false">IF($E790&lt;&gt;"",$E790,"")</f>
        <v/>
      </c>
      <c r="AV790" s="52" t="str">
        <f aca="false">IF($F790&lt;&gt;"",$F790,"")</f>
        <v>Apprenant 778 ou 778'</v>
      </c>
      <c r="AW790" s="55" t="str">
        <f aca="false">IF(AND('Choix pédagogiques'!$C$4&lt;&gt;"?",'Choix pédagogiques'!$C$5&lt;&gt;"?",AB790&lt;&gt;""),(AB790-'Choix pédagogiques'!$C$4)/('Choix pédagogiques'!$C$5-'Choix pédagogiques'!$C$4),"")</f>
        <v/>
      </c>
      <c r="AX790" s="55" t="str">
        <f aca="false">IF(AND('Choix pédagogiques'!$C$4&lt;&gt;"?",'Choix pédagogiques'!$C$5&lt;&gt;"?",AC790&lt;&gt;""),(AC790-'Choix pédagogiques'!$C$4)/('Choix pédagogiques'!$C$5-'Choix pédagogiques'!$C$4),"")</f>
        <v/>
      </c>
      <c r="AY790" s="55" t="str">
        <f aca="false">IF(AND('Choix pédagogiques'!$C$4&lt;&gt;"?",'Choix pédagogiques'!$C$5&lt;&gt;"?",AD790&lt;&gt;""),(AD790-'Choix pédagogiques'!$C$4)/('Choix pédagogiques'!$C$5-'Choix pédagogiques'!$C$4),"")</f>
        <v/>
      </c>
      <c r="AZ790" s="53" t="str">
        <f aca="false">IF($J790&lt;&gt;"",$J790,"")</f>
        <v/>
      </c>
      <c r="BA790" s="52" t="str">
        <f aca="false">IF($A790&lt;&gt;"",$A790,"")</f>
        <v>Apprenant 778</v>
      </c>
      <c r="BB790" s="55" t="str">
        <f aca="false">IF(AND($AR790&lt;&gt;"",$AS790&lt;&gt;""),$AS790-$AR790,"")</f>
        <v/>
      </c>
      <c r="BC790" s="55" t="str">
        <f aca="false">IF(AND($AR790&lt;&gt;"",$AT790&lt;&gt;""),$AT790-$AR790,"")</f>
        <v/>
      </c>
      <c r="BD790" s="55" t="str">
        <f aca="false">IF(AND($AS790&lt;&gt;"",$AT790&lt;&gt;""),$AT790-$AS790,"")</f>
        <v/>
      </c>
      <c r="BE790" s="53" t="str">
        <f aca="false">IF($E790&lt;&gt;"",$E790,"")</f>
        <v/>
      </c>
      <c r="BF790" s="52" t="str">
        <f aca="false">IF($F790&lt;&gt;"",$F790,"")</f>
        <v>Apprenant 778 ou 778'</v>
      </c>
      <c r="BG790" s="55" t="str">
        <f aca="false">IF(AND($AW790&lt;&gt;"",$AX790&lt;&gt;""),$AX790-$AW790,"")</f>
        <v/>
      </c>
      <c r="BH790" s="55" t="str">
        <f aca="false">IF(AND($AW790&lt;&gt;"",$AY790&lt;&gt;""),$AY790-$AW790,"")</f>
        <v/>
      </c>
      <c r="BI790" s="55" t="str">
        <f aca="false">IF(AND($AX790&lt;&gt;"",$AY790&lt;&gt;""),$AY790-$AX790,"")</f>
        <v/>
      </c>
      <c r="BJ790" s="53" t="str">
        <f aca="false">IF($J790&lt;&gt;"",$J790,"")</f>
        <v/>
      </c>
      <c r="BL790" s="52"/>
      <c r="BM790" s="52" t="str">
        <f aca="false">IF(OR(COUNT(B790:D1789)=0,AND('Choix pédagogiques'!$C$3&lt;&gt;1,'Choix pédagogiques'!$C$3&lt;&gt;2)),"",IF(AND(OR('Choix pédagogiques'!$C$3=1,'Choix pédagogiques'!$C$3=2),$B790&lt;&gt;"",$C790&lt;&gt;"",$D790&lt;&gt;""),1,0))</f>
        <v/>
      </c>
      <c r="BN790" s="52" t="str">
        <f aca="false">IF(OR(COUNT(G790:I1789)=0,AND('Choix pédagogiques'!$C$3&lt;&gt;1,'Choix pédagogiques'!$C$3&lt;&gt;2)),"",IF(AND(OR('Choix pédagogiques'!$C$3=1,'Choix pédagogiques'!$C$3=2),AND($G790&lt;&gt;"",$H790&lt;&gt;"",$I790&lt;&gt;"")),1,0))</f>
        <v/>
      </c>
      <c r="BO790" s="52" t="str">
        <f aca="false">IF(OR(COUNT(B790:D1789)=0,COUNT(G790:I1789)=0,'Choix pédagogiques'!C$3&lt;&gt;3),"",IF(AND('Choix pédagogiques'!$C$3=3,$B790&lt;&gt;"",$C790&lt;&gt;"",$D790&lt;&gt;"",$G790&lt;&gt;"",$H790&lt;&gt;"",$I790&lt;&gt;""),1,0))</f>
        <v/>
      </c>
      <c r="BR790" s="52" t="n">
        <v>117</v>
      </c>
      <c r="BS790" s="52" t="n">
        <v>1545</v>
      </c>
    </row>
    <row r="791" s="54" customFormat="true" ht="18" hidden="false" customHeight="true" outlineLevel="0" collapsed="false">
      <c r="A791" s="57" t="s">
        <v>1513</v>
      </c>
      <c r="B791" s="51"/>
      <c r="C791" s="51"/>
      <c r="D791" s="51"/>
      <c r="E791" s="51"/>
      <c r="F791" s="57" t="s">
        <v>1514</v>
      </c>
      <c r="G791" s="51"/>
      <c r="H791" s="51"/>
      <c r="I791" s="51"/>
      <c r="J791" s="51"/>
      <c r="K791" s="52" t="str">
        <f aca="false">IF($A791&lt;&gt;"",$A791,"")</f>
        <v>Apprenant 779</v>
      </c>
      <c r="L791" s="53" t="str">
        <f aca="false">IF(AND($B791&lt;&gt;"",$C791&lt;&gt;""),$C791-$B791,"")</f>
        <v/>
      </c>
      <c r="M791" s="53" t="str">
        <f aca="false">IF(AND($B791&lt;&gt;"",$D791&lt;&gt;""),$D791-$B791,"")</f>
        <v/>
      </c>
      <c r="N791" s="53" t="str">
        <f aca="false">IF(AND($C791&lt;&gt;"",$D791&lt;&gt;""),$D791-$C791,"")</f>
        <v/>
      </c>
      <c r="O791" s="53" t="str">
        <f aca="false">IF($E791&lt;&gt;"",$E791,"")</f>
        <v/>
      </c>
      <c r="P791" s="52" t="str">
        <f aca="false">IF($F791&lt;&gt;"",$F791,"")</f>
        <v>Apprenant 779 ou 779'</v>
      </c>
      <c r="Q791" s="53" t="str">
        <f aca="false">IF(AND($G791&lt;&gt;"",$H791&lt;&gt;""),$H791-$G791,"")</f>
        <v/>
      </c>
      <c r="R791" s="53" t="str">
        <f aca="false">IF(AND($G791&lt;&gt;"",$I791&lt;&gt;""),$I791-$G791,"")</f>
        <v/>
      </c>
      <c r="S791" s="53" t="str">
        <f aca="false">IF(AND($H791&lt;&gt;"",$I791&lt;&gt;""),$I791-$H791,"")</f>
        <v/>
      </c>
      <c r="T791" s="53" t="str">
        <f aca="false">IF($J791&lt;&gt;"",$J791,"")</f>
        <v/>
      </c>
      <c r="V791" s="52" t="str">
        <f aca="false">IF($A791&lt;&gt;"",$A791,"")</f>
        <v>Apprenant 779</v>
      </c>
      <c r="W791" s="53" t="str">
        <f aca="false">IF(AND(OR('Choix pédagogiques'!$C$3=1,'Choix pédagogiques'!$C$3=2),$BM791=1),B791,IF(AND('Choix pédagogiques'!$C$3=3,$BO791=1),B791,""))</f>
        <v/>
      </c>
      <c r="X791" s="53" t="str">
        <f aca="false">IF(AND(OR('Choix pédagogiques'!$C$3=1,'Choix pédagogiques'!$C$3=2),$BM791=1),C791,IF(AND('Choix pédagogiques'!$C$3=3,$BO791=1),C791,""))</f>
        <v/>
      </c>
      <c r="Y791" s="53" t="str">
        <f aca="false">IF(AND(OR('Choix pédagogiques'!$C$3=1,'Choix pédagogiques'!$C$3=2),$BM791=1),D791,IF(AND('Choix pédagogiques'!$C$3=3,$BO791=1),D791,""))</f>
        <v/>
      </c>
      <c r="Z791" s="53" t="str">
        <f aca="false">IF($E791&lt;&gt;"",$E791,"")</f>
        <v/>
      </c>
      <c r="AA791" s="52" t="str">
        <f aca="false">IF($F791&lt;&gt;"",$F791,"")</f>
        <v>Apprenant 779 ou 779'</v>
      </c>
      <c r="AB791" s="53" t="str">
        <f aca="false">IF(AND(OR('Choix pédagogiques'!$C$3=1,'Choix pédagogiques'!$C$3=2),$BN791=1),G791,IF(AND('Choix pédagogiques'!$C$3=3,$BO791=1),G791,""))</f>
        <v/>
      </c>
      <c r="AC791" s="53" t="str">
        <f aca="false">IF(AND(OR('Choix pédagogiques'!$C$3=1,'Choix pédagogiques'!$C$3=2),$BN791=1),H791,IF(AND('Choix pédagogiques'!$C$3=3,$BO791=1),H791,""))</f>
        <v/>
      </c>
      <c r="AD791" s="53" t="str">
        <f aca="false">IF(AND(OR('Choix pédagogiques'!$C$3=1,'Choix pédagogiques'!$C$3=2),$BN791=1),I791,IF(AND('Choix pédagogiques'!$C$3=3,$BO791=1),I791,""))</f>
        <v/>
      </c>
      <c r="AE791" s="53" t="str">
        <f aca="false">IF($J791&lt;&gt;"",$J791,"")</f>
        <v/>
      </c>
      <c r="AF791" s="52" t="str">
        <f aca="false">IF($A791&lt;&gt;"",$A791,"")</f>
        <v>Apprenant 779</v>
      </c>
      <c r="AG791" s="53" t="str">
        <f aca="false">IF(AND($W791&lt;&gt;"",$X791&lt;&gt;""),$X791-$W791,"")</f>
        <v/>
      </c>
      <c r="AH791" s="53" t="str">
        <f aca="false">IF(AND($W791&lt;&gt;"",$Y791&lt;&gt;""),$Y791-$W791,"")</f>
        <v/>
      </c>
      <c r="AI791" s="53" t="str">
        <f aca="false">IF(AND($X791&lt;&gt;"",$Y791&lt;&gt;""),$Y791-$X791,"")</f>
        <v/>
      </c>
      <c r="AJ791" s="53" t="str">
        <f aca="false">IF($E791&lt;&gt;"",$E791,"")</f>
        <v/>
      </c>
      <c r="AK791" s="52" t="str">
        <f aca="false">IF($F791&lt;&gt;"",$F791,"")</f>
        <v>Apprenant 779 ou 779'</v>
      </c>
      <c r="AL791" s="53" t="str">
        <f aca="false">IF(AND($AB791&lt;&gt;"",$AC791&lt;&gt;""),$AC791-$AB791,"")</f>
        <v/>
      </c>
      <c r="AM791" s="53" t="str">
        <f aca="false">IF(AND($AB791&lt;&gt;"",$AD791&lt;&gt;""),$AD791-$AB791,"")</f>
        <v/>
      </c>
      <c r="AN791" s="53" t="str">
        <f aca="false">IF(AND($AC791&lt;&gt;"",$AD791&lt;&gt;""),$AD791-$AC791,"")</f>
        <v/>
      </c>
      <c r="AO791" s="53" t="str">
        <f aca="false">IF($J791&lt;&gt;"",$J791,"")</f>
        <v/>
      </c>
      <c r="AQ791" s="52" t="str">
        <f aca="false">IF($A791&lt;&gt;"",$A791,"")</f>
        <v>Apprenant 779</v>
      </c>
      <c r="AR791" s="55" t="str">
        <f aca="false">IF(AND('Choix pédagogiques'!$C$4&lt;&gt;"?",'Choix pédagogiques'!$C$5&lt;&gt;"?",W791&lt;&gt;""),(W791-'Choix pédagogiques'!$C$4)/('Choix pédagogiques'!$C$5-'Choix pédagogiques'!$C$4),"")</f>
        <v/>
      </c>
      <c r="AS791" s="55" t="str">
        <f aca="false">IF(AND('Choix pédagogiques'!$C$4&lt;&gt;"?",'Choix pédagogiques'!$C$5&lt;&gt;"?",X791&lt;&gt;""),(X791-'Choix pédagogiques'!$C$4)/('Choix pédagogiques'!$C$5-'Choix pédagogiques'!$C$4),"")</f>
        <v/>
      </c>
      <c r="AT791" s="55" t="str">
        <f aca="false">IF(AND('Choix pédagogiques'!$C$4&lt;&gt;"?",'Choix pédagogiques'!$C$5&lt;&gt;"?",Y791&lt;&gt;""),(Y791-'Choix pédagogiques'!$C$4)/('Choix pédagogiques'!$C$5-'Choix pédagogiques'!$C$4),"")</f>
        <v/>
      </c>
      <c r="AU791" s="53" t="str">
        <f aca="false">IF($E791&lt;&gt;"",$E791,"")</f>
        <v/>
      </c>
      <c r="AV791" s="52" t="str">
        <f aca="false">IF($F791&lt;&gt;"",$F791,"")</f>
        <v>Apprenant 779 ou 779'</v>
      </c>
      <c r="AW791" s="55" t="str">
        <f aca="false">IF(AND('Choix pédagogiques'!$C$4&lt;&gt;"?",'Choix pédagogiques'!$C$5&lt;&gt;"?",AB791&lt;&gt;""),(AB791-'Choix pédagogiques'!$C$4)/('Choix pédagogiques'!$C$5-'Choix pédagogiques'!$C$4),"")</f>
        <v/>
      </c>
      <c r="AX791" s="55" t="str">
        <f aca="false">IF(AND('Choix pédagogiques'!$C$4&lt;&gt;"?",'Choix pédagogiques'!$C$5&lt;&gt;"?",AC791&lt;&gt;""),(AC791-'Choix pédagogiques'!$C$4)/('Choix pédagogiques'!$C$5-'Choix pédagogiques'!$C$4),"")</f>
        <v/>
      </c>
      <c r="AY791" s="55" t="str">
        <f aca="false">IF(AND('Choix pédagogiques'!$C$4&lt;&gt;"?",'Choix pédagogiques'!$C$5&lt;&gt;"?",AD791&lt;&gt;""),(AD791-'Choix pédagogiques'!$C$4)/('Choix pédagogiques'!$C$5-'Choix pédagogiques'!$C$4),"")</f>
        <v/>
      </c>
      <c r="AZ791" s="53" t="str">
        <f aca="false">IF($J791&lt;&gt;"",$J791,"")</f>
        <v/>
      </c>
      <c r="BA791" s="52" t="str">
        <f aca="false">IF($A791&lt;&gt;"",$A791,"")</f>
        <v>Apprenant 779</v>
      </c>
      <c r="BB791" s="55" t="str">
        <f aca="false">IF(AND($AR791&lt;&gt;"",$AS791&lt;&gt;""),$AS791-$AR791,"")</f>
        <v/>
      </c>
      <c r="BC791" s="55" t="str">
        <f aca="false">IF(AND($AR791&lt;&gt;"",$AT791&lt;&gt;""),$AT791-$AR791,"")</f>
        <v/>
      </c>
      <c r="BD791" s="55" t="str">
        <f aca="false">IF(AND($AS791&lt;&gt;"",$AT791&lt;&gt;""),$AT791-$AS791,"")</f>
        <v/>
      </c>
      <c r="BE791" s="53" t="str">
        <f aca="false">IF($E791&lt;&gt;"",$E791,"")</f>
        <v/>
      </c>
      <c r="BF791" s="52" t="str">
        <f aca="false">IF($F791&lt;&gt;"",$F791,"")</f>
        <v>Apprenant 779 ou 779'</v>
      </c>
      <c r="BG791" s="55" t="str">
        <f aca="false">IF(AND($AW791&lt;&gt;"",$AX791&lt;&gt;""),$AX791-$AW791,"")</f>
        <v/>
      </c>
      <c r="BH791" s="55" t="str">
        <f aca="false">IF(AND($AW791&lt;&gt;"",$AY791&lt;&gt;""),$AY791-$AW791,"")</f>
        <v/>
      </c>
      <c r="BI791" s="55" t="str">
        <f aca="false">IF(AND($AX791&lt;&gt;"",$AY791&lt;&gt;""),$AY791-$AX791,"")</f>
        <v/>
      </c>
      <c r="BJ791" s="53" t="str">
        <f aca="false">IF($J791&lt;&gt;"",$J791,"")</f>
        <v/>
      </c>
      <c r="BL791" s="52"/>
      <c r="BM791" s="52" t="str">
        <f aca="false">IF(OR(COUNT(B791:D1790)=0,AND('Choix pédagogiques'!$C$3&lt;&gt;1,'Choix pédagogiques'!$C$3&lt;&gt;2)),"",IF(AND(OR('Choix pédagogiques'!$C$3=1,'Choix pédagogiques'!$C$3=2),$B791&lt;&gt;"",$C791&lt;&gt;"",$D791&lt;&gt;""),1,0))</f>
        <v/>
      </c>
      <c r="BN791" s="52" t="str">
        <f aca="false">IF(OR(COUNT(G791:I1790)=0,AND('Choix pédagogiques'!$C$3&lt;&gt;1,'Choix pédagogiques'!$C$3&lt;&gt;2)),"",IF(AND(OR('Choix pédagogiques'!$C$3=1,'Choix pédagogiques'!$C$3=2),AND($G791&lt;&gt;"",$H791&lt;&gt;"",$I791&lt;&gt;"")),1,0))</f>
        <v/>
      </c>
      <c r="BO791" s="52" t="str">
        <f aca="false">IF(OR(COUNT(B791:D1790)=0,COUNT(G791:I1790)=0,'Choix pédagogiques'!C$3&lt;&gt;3),"",IF(AND('Choix pédagogiques'!$C$3=3,$B791&lt;&gt;"",$C791&lt;&gt;"",$D791&lt;&gt;"",$G791&lt;&gt;"",$H791&lt;&gt;"",$I791&lt;&gt;""),1,0))</f>
        <v/>
      </c>
      <c r="BR791" s="52" t="n">
        <v>589</v>
      </c>
      <c r="BS791" s="52" t="n">
        <v>1085</v>
      </c>
    </row>
    <row r="792" s="54" customFormat="true" ht="18" hidden="false" customHeight="true" outlineLevel="0" collapsed="false">
      <c r="A792" s="57" t="s">
        <v>1515</v>
      </c>
      <c r="B792" s="51"/>
      <c r="C792" s="51"/>
      <c r="D792" s="51"/>
      <c r="E792" s="51"/>
      <c r="F792" s="57" t="s">
        <v>1516</v>
      </c>
      <c r="G792" s="51"/>
      <c r="H792" s="51"/>
      <c r="I792" s="51"/>
      <c r="J792" s="51"/>
      <c r="K792" s="52" t="str">
        <f aca="false">IF($A792&lt;&gt;"",$A792,"")</f>
        <v>Apprenant 780</v>
      </c>
      <c r="L792" s="53" t="str">
        <f aca="false">IF(AND($B792&lt;&gt;"",$C792&lt;&gt;""),$C792-$B792,"")</f>
        <v/>
      </c>
      <c r="M792" s="53" t="str">
        <f aca="false">IF(AND($B792&lt;&gt;"",$D792&lt;&gt;""),$D792-$B792,"")</f>
        <v/>
      </c>
      <c r="N792" s="53" t="str">
        <f aca="false">IF(AND($C792&lt;&gt;"",$D792&lt;&gt;""),$D792-$C792,"")</f>
        <v/>
      </c>
      <c r="O792" s="53" t="str">
        <f aca="false">IF($E792&lt;&gt;"",$E792,"")</f>
        <v/>
      </c>
      <c r="P792" s="52" t="str">
        <f aca="false">IF($F792&lt;&gt;"",$F792,"")</f>
        <v>Apprenant 780 ou 780'</v>
      </c>
      <c r="Q792" s="53" t="str">
        <f aca="false">IF(AND($G792&lt;&gt;"",$H792&lt;&gt;""),$H792-$G792,"")</f>
        <v/>
      </c>
      <c r="R792" s="53" t="str">
        <f aca="false">IF(AND($G792&lt;&gt;"",$I792&lt;&gt;""),$I792-$G792,"")</f>
        <v/>
      </c>
      <c r="S792" s="53" t="str">
        <f aca="false">IF(AND($H792&lt;&gt;"",$I792&lt;&gt;""),$I792-$H792,"")</f>
        <v/>
      </c>
      <c r="T792" s="53" t="str">
        <f aca="false">IF($J792&lt;&gt;"",$J792,"")</f>
        <v/>
      </c>
      <c r="V792" s="52" t="str">
        <f aca="false">IF($A792&lt;&gt;"",$A792,"")</f>
        <v>Apprenant 780</v>
      </c>
      <c r="W792" s="53" t="str">
        <f aca="false">IF(AND(OR('Choix pédagogiques'!$C$3=1,'Choix pédagogiques'!$C$3=2),$BM792=1),B792,IF(AND('Choix pédagogiques'!$C$3=3,$BO792=1),B792,""))</f>
        <v/>
      </c>
      <c r="X792" s="53" t="str">
        <f aca="false">IF(AND(OR('Choix pédagogiques'!$C$3=1,'Choix pédagogiques'!$C$3=2),$BM792=1),C792,IF(AND('Choix pédagogiques'!$C$3=3,$BO792=1),C792,""))</f>
        <v/>
      </c>
      <c r="Y792" s="53" t="str">
        <f aca="false">IF(AND(OR('Choix pédagogiques'!$C$3=1,'Choix pédagogiques'!$C$3=2),$BM792=1),D792,IF(AND('Choix pédagogiques'!$C$3=3,$BO792=1),D792,""))</f>
        <v/>
      </c>
      <c r="Z792" s="53" t="str">
        <f aca="false">IF($E792&lt;&gt;"",$E792,"")</f>
        <v/>
      </c>
      <c r="AA792" s="52" t="str">
        <f aca="false">IF($F792&lt;&gt;"",$F792,"")</f>
        <v>Apprenant 780 ou 780'</v>
      </c>
      <c r="AB792" s="53" t="str">
        <f aca="false">IF(AND(OR('Choix pédagogiques'!$C$3=1,'Choix pédagogiques'!$C$3=2),$BN792=1),G792,IF(AND('Choix pédagogiques'!$C$3=3,$BO792=1),G792,""))</f>
        <v/>
      </c>
      <c r="AC792" s="53" t="str">
        <f aca="false">IF(AND(OR('Choix pédagogiques'!$C$3=1,'Choix pédagogiques'!$C$3=2),$BN792=1),H792,IF(AND('Choix pédagogiques'!$C$3=3,$BO792=1),H792,""))</f>
        <v/>
      </c>
      <c r="AD792" s="53" t="str">
        <f aca="false">IF(AND(OR('Choix pédagogiques'!$C$3=1,'Choix pédagogiques'!$C$3=2),$BN792=1),I792,IF(AND('Choix pédagogiques'!$C$3=3,$BO792=1),I792,""))</f>
        <v/>
      </c>
      <c r="AE792" s="53" t="str">
        <f aca="false">IF($J792&lt;&gt;"",$J792,"")</f>
        <v/>
      </c>
      <c r="AF792" s="52" t="str">
        <f aca="false">IF($A792&lt;&gt;"",$A792,"")</f>
        <v>Apprenant 780</v>
      </c>
      <c r="AG792" s="53" t="str">
        <f aca="false">IF(AND($W792&lt;&gt;"",$X792&lt;&gt;""),$X792-$W792,"")</f>
        <v/>
      </c>
      <c r="AH792" s="53" t="str">
        <f aca="false">IF(AND($W792&lt;&gt;"",$Y792&lt;&gt;""),$Y792-$W792,"")</f>
        <v/>
      </c>
      <c r="AI792" s="53" t="str">
        <f aca="false">IF(AND($X792&lt;&gt;"",$Y792&lt;&gt;""),$Y792-$X792,"")</f>
        <v/>
      </c>
      <c r="AJ792" s="53" t="str">
        <f aca="false">IF($E792&lt;&gt;"",$E792,"")</f>
        <v/>
      </c>
      <c r="AK792" s="52" t="str">
        <f aca="false">IF($F792&lt;&gt;"",$F792,"")</f>
        <v>Apprenant 780 ou 780'</v>
      </c>
      <c r="AL792" s="53" t="str">
        <f aca="false">IF(AND($AB792&lt;&gt;"",$AC792&lt;&gt;""),$AC792-$AB792,"")</f>
        <v/>
      </c>
      <c r="AM792" s="53" t="str">
        <f aca="false">IF(AND($AB792&lt;&gt;"",$AD792&lt;&gt;""),$AD792-$AB792,"")</f>
        <v/>
      </c>
      <c r="AN792" s="53" t="str">
        <f aca="false">IF(AND($AC792&lt;&gt;"",$AD792&lt;&gt;""),$AD792-$AC792,"")</f>
        <v/>
      </c>
      <c r="AO792" s="53" t="str">
        <f aca="false">IF($J792&lt;&gt;"",$J792,"")</f>
        <v/>
      </c>
      <c r="AQ792" s="52" t="str">
        <f aca="false">IF($A792&lt;&gt;"",$A792,"")</f>
        <v>Apprenant 780</v>
      </c>
      <c r="AR792" s="55" t="str">
        <f aca="false">IF(AND('Choix pédagogiques'!$C$4&lt;&gt;"?",'Choix pédagogiques'!$C$5&lt;&gt;"?",W792&lt;&gt;""),(W792-'Choix pédagogiques'!$C$4)/('Choix pédagogiques'!$C$5-'Choix pédagogiques'!$C$4),"")</f>
        <v/>
      </c>
      <c r="AS792" s="55" t="str">
        <f aca="false">IF(AND('Choix pédagogiques'!$C$4&lt;&gt;"?",'Choix pédagogiques'!$C$5&lt;&gt;"?",X792&lt;&gt;""),(X792-'Choix pédagogiques'!$C$4)/('Choix pédagogiques'!$C$5-'Choix pédagogiques'!$C$4),"")</f>
        <v/>
      </c>
      <c r="AT792" s="55" t="str">
        <f aca="false">IF(AND('Choix pédagogiques'!$C$4&lt;&gt;"?",'Choix pédagogiques'!$C$5&lt;&gt;"?",Y792&lt;&gt;""),(Y792-'Choix pédagogiques'!$C$4)/('Choix pédagogiques'!$C$5-'Choix pédagogiques'!$C$4),"")</f>
        <v/>
      </c>
      <c r="AU792" s="53" t="str">
        <f aca="false">IF($E792&lt;&gt;"",$E792,"")</f>
        <v/>
      </c>
      <c r="AV792" s="52" t="str">
        <f aca="false">IF($F792&lt;&gt;"",$F792,"")</f>
        <v>Apprenant 780 ou 780'</v>
      </c>
      <c r="AW792" s="55" t="str">
        <f aca="false">IF(AND('Choix pédagogiques'!$C$4&lt;&gt;"?",'Choix pédagogiques'!$C$5&lt;&gt;"?",AB792&lt;&gt;""),(AB792-'Choix pédagogiques'!$C$4)/('Choix pédagogiques'!$C$5-'Choix pédagogiques'!$C$4),"")</f>
        <v/>
      </c>
      <c r="AX792" s="55" t="str">
        <f aca="false">IF(AND('Choix pédagogiques'!$C$4&lt;&gt;"?",'Choix pédagogiques'!$C$5&lt;&gt;"?",AC792&lt;&gt;""),(AC792-'Choix pédagogiques'!$C$4)/('Choix pédagogiques'!$C$5-'Choix pédagogiques'!$C$4),"")</f>
        <v/>
      </c>
      <c r="AY792" s="55" t="str">
        <f aca="false">IF(AND('Choix pédagogiques'!$C$4&lt;&gt;"?",'Choix pédagogiques'!$C$5&lt;&gt;"?",AD792&lt;&gt;""),(AD792-'Choix pédagogiques'!$C$4)/('Choix pédagogiques'!$C$5-'Choix pédagogiques'!$C$4),"")</f>
        <v/>
      </c>
      <c r="AZ792" s="53" t="str">
        <f aca="false">IF($J792&lt;&gt;"",$J792,"")</f>
        <v/>
      </c>
      <c r="BA792" s="52" t="str">
        <f aca="false">IF($A792&lt;&gt;"",$A792,"")</f>
        <v>Apprenant 780</v>
      </c>
      <c r="BB792" s="55" t="str">
        <f aca="false">IF(AND($AR792&lt;&gt;"",$AS792&lt;&gt;""),$AS792-$AR792,"")</f>
        <v/>
      </c>
      <c r="BC792" s="55" t="str">
        <f aca="false">IF(AND($AR792&lt;&gt;"",$AT792&lt;&gt;""),$AT792-$AR792,"")</f>
        <v/>
      </c>
      <c r="BD792" s="55" t="str">
        <f aca="false">IF(AND($AS792&lt;&gt;"",$AT792&lt;&gt;""),$AT792-$AS792,"")</f>
        <v/>
      </c>
      <c r="BE792" s="53" t="str">
        <f aca="false">IF($E792&lt;&gt;"",$E792,"")</f>
        <v/>
      </c>
      <c r="BF792" s="52" t="str">
        <f aca="false">IF($F792&lt;&gt;"",$F792,"")</f>
        <v>Apprenant 780 ou 780'</v>
      </c>
      <c r="BG792" s="55" t="str">
        <f aca="false">IF(AND($AW792&lt;&gt;"",$AX792&lt;&gt;""),$AX792-$AW792,"")</f>
        <v/>
      </c>
      <c r="BH792" s="55" t="str">
        <f aca="false">IF(AND($AW792&lt;&gt;"",$AY792&lt;&gt;""),$AY792-$AW792,"")</f>
        <v/>
      </c>
      <c r="BI792" s="55" t="str">
        <f aca="false">IF(AND($AX792&lt;&gt;"",$AY792&lt;&gt;""),$AY792-$AX792,"")</f>
        <v/>
      </c>
      <c r="BJ792" s="53" t="str">
        <f aca="false">IF($J792&lt;&gt;"",$J792,"")</f>
        <v/>
      </c>
      <c r="BL792" s="52"/>
      <c r="BM792" s="52" t="str">
        <f aca="false">IF(OR(COUNT(B792:D1791)=0,AND('Choix pédagogiques'!$C$3&lt;&gt;1,'Choix pédagogiques'!$C$3&lt;&gt;2)),"",IF(AND(OR('Choix pédagogiques'!$C$3=1,'Choix pédagogiques'!$C$3=2),$B792&lt;&gt;"",$C792&lt;&gt;"",$D792&lt;&gt;""),1,0))</f>
        <v/>
      </c>
      <c r="BN792" s="52" t="str">
        <f aca="false">IF(OR(COUNT(G792:I1791)=0,AND('Choix pédagogiques'!$C$3&lt;&gt;1,'Choix pédagogiques'!$C$3&lt;&gt;2)),"",IF(AND(OR('Choix pédagogiques'!$C$3=1,'Choix pédagogiques'!$C$3=2),AND($G792&lt;&gt;"",$H792&lt;&gt;"",$I792&lt;&gt;"")),1,0))</f>
        <v/>
      </c>
      <c r="BO792" s="52" t="str">
        <f aca="false">IF(OR(COUNT(B792:D1791)=0,COUNT(G792:I1791)=0,'Choix pédagogiques'!C$3&lt;&gt;3),"",IF(AND('Choix pédagogiques'!$C$3=3,$B792&lt;&gt;"",$C792&lt;&gt;"",$D792&lt;&gt;"",$G792&lt;&gt;"",$H792&lt;&gt;"",$I792&lt;&gt;""),1,0))</f>
        <v/>
      </c>
      <c r="BR792" s="52" t="n">
        <v>746</v>
      </c>
      <c r="BS792" s="52" t="n">
        <v>1702</v>
      </c>
    </row>
    <row r="793" s="54" customFormat="true" ht="18" hidden="false" customHeight="true" outlineLevel="0" collapsed="false">
      <c r="A793" s="57" t="s">
        <v>1517</v>
      </c>
      <c r="B793" s="51"/>
      <c r="C793" s="51"/>
      <c r="D793" s="51"/>
      <c r="E793" s="51"/>
      <c r="F793" s="57" t="s">
        <v>1518</v>
      </c>
      <c r="G793" s="51"/>
      <c r="H793" s="51"/>
      <c r="I793" s="51"/>
      <c r="J793" s="51"/>
      <c r="K793" s="52" t="str">
        <f aca="false">IF($A793&lt;&gt;"",$A793,"")</f>
        <v>Apprenant 781</v>
      </c>
      <c r="L793" s="53" t="str">
        <f aca="false">IF(AND($B793&lt;&gt;"",$C793&lt;&gt;""),$C793-$B793,"")</f>
        <v/>
      </c>
      <c r="M793" s="53" t="str">
        <f aca="false">IF(AND($B793&lt;&gt;"",$D793&lt;&gt;""),$D793-$B793,"")</f>
        <v/>
      </c>
      <c r="N793" s="53" t="str">
        <f aca="false">IF(AND($C793&lt;&gt;"",$D793&lt;&gt;""),$D793-$C793,"")</f>
        <v/>
      </c>
      <c r="O793" s="53" t="str">
        <f aca="false">IF($E793&lt;&gt;"",$E793,"")</f>
        <v/>
      </c>
      <c r="P793" s="52" t="str">
        <f aca="false">IF($F793&lt;&gt;"",$F793,"")</f>
        <v>Apprenant 781 ou 781'</v>
      </c>
      <c r="Q793" s="53" t="str">
        <f aca="false">IF(AND($G793&lt;&gt;"",$H793&lt;&gt;""),$H793-$G793,"")</f>
        <v/>
      </c>
      <c r="R793" s="53" t="str">
        <f aca="false">IF(AND($G793&lt;&gt;"",$I793&lt;&gt;""),$I793-$G793,"")</f>
        <v/>
      </c>
      <c r="S793" s="53" t="str">
        <f aca="false">IF(AND($H793&lt;&gt;"",$I793&lt;&gt;""),$I793-$H793,"")</f>
        <v/>
      </c>
      <c r="T793" s="53" t="str">
        <f aca="false">IF($J793&lt;&gt;"",$J793,"")</f>
        <v/>
      </c>
      <c r="V793" s="52" t="str">
        <f aca="false">IF($A793&lt;&gt;"",$A793,"")</f>
        <v>Apprenant 781</v>
      </c>
      <c r="W793" s="53" t="str">
        <f aca="false">IF(AND(OR('Choix pédagogiques'!$C$3=1,'Choix pédagogiques'!$C$3=2),$BM793=1),B793,IF(AND('Choix pédagogiques'!$C$3=3,$BO793=1),B793,""))</f>
        <v/>
      </c>
      <c r="X793" s="53" t="str">
        <f aca="false">IF(AND(OR('Choix pédagogiques'!$C$3=1,'Choix pédagogiques'!$C$3=2),$BM793=1),C793,IF(AND('Choix pédagogiques'!$C$3=3,$BO793=1),C793,""))</f>
        <v/>
      </c>
      <c r="Y793" s="53" t="str">
        <f aca="false">IF(AND(OR('Choix pédagogiques'!$C$3=1,'Choix pédagogiques'!$C$3=2),$BM793=1),D793,IF(AND('Choix pédagogiques'!$C$3=3,$BO793=1),D793,""))</f>
        <v/>
      </c>
      <c r="Z793" s="53" t="str">
        <f aca="false">IF($E793&lt;&gt;"",$E793,"")</f>
        <v/>
      </c>
      <c r="AA793" s="52" t="str">
        <f aca="false">IF($F793&lt;&gt;"",$F793,"")</f>
        <v>Apprenant 781 ou 781'</v>
      </c>
      <c r="AB793" s="53" t="str">
        <f aca="false">IF(AND(OR('Choix pédagogiques'!$C$3=1,'Choix pédagogiques'!$C$3=2),$BN793=1),G793,IF(AND('Choix pédagogiques'!$C$3=3,$BO793=1),G793,""))</f>
        <v/>
      </c>
      <c r="AC793" s="53" t="str">
        <f aca="false">IF(AND(OR('Choix pédagogiques'!$C$3=1,'Choix pédagogiques'!$C$3=2),$BN793=1),H793,IF(AND('Choix pédagogiques'!$C$3=3,$BO793=1),H793,""))</f>
        <v/>
      </c>
      <c r="AD793" s="53" t="str">
        <f aca="false">IF(AND(OR('Choix pédagogiques'!$C$3=1,'Choix pédagogiques'!$C$3=2),$BN793=1),I793,IF(AND('Choix pédagogiques'!$C$3=3,$BO793=1),I793,""))</f>
        <v/>
      </c>
      <c r="AE793" s="53" t="str">
        <f aca="false">IF($J793&lt;&gt;"",$J793,"")</f>
        <v/>
      </c>
      <c r="AF793" s="52" t="str">
        <f aca="false">IF($A793&lt;&gt;"",$A793,"")</f>
        <v>Apprenant 781</v>
      </c>
      <c r="AG793" s="53" t="str">
        <f aca="false">IF(AND($W793&lt;&gt;"",$X793&lt;&gt;""),$X793-$W793,"")</f>
        <v/>
      </c>
      <c r="AH793" s="53" t="str">
        <f aca="false">IF(AND($W793&lt;&gt;"",$Y793&lt;&gt;""),$Y793-$W793,"")</f>
        <v/>
      </c>
      <c r="AI793" s="53" t="str">
        <f aca="false">IF(AND($X793&lt;&gt;"",$Y793&lt;&gt;""),$Y793-$X793,"")</f>
        <v/>
      </c>
      <c r="AJ793" s="53" t="str">
        <f aca="false">IF($E793&lt;&gt;"",$E793,"")</f>
        <v/>
      </c>
      <c r="AK793" s="52" t="str">
        <f aca="false">IF($F793&lt;&gt;"",$F793,"")</f>
        <v>Apprenant 781 ou 781'</v>
      </c>
      <c r="AL793" s="53" t="str">
        <f aca="false">IF(AND($AB793&lt;&gt;"",$AC793&lt;&gt;""),$AC793-$AB793,"")</f>
        <v/>
      </c>
      <c r="AM793" s="53" t="str">
        <f aca="false">IF(AND($AB793&lt;&gt;"",$AD793&lt;&gt;""),$AD793-$AB793,"")</f>
        <v/>
      </c>
      <c r="AN793" s="53" t="str">
        <f aca="false">IF(AND($AC793&lt;&gt;"",$AD793&lt;&gt;""),$AD793-$AC793,"")</f>
        <v/>
      </c>
      <c r="AO793" s="53" t="str">
        <f aca="false">IF($J793&lt;&gt;"",$J793,"")</f>
        <v/>
      </c>
      <c r="AQ793" s="52" t="str">
        <f aca="false">IF($A793&lt;&gt;"",$A793,"")</f>
        <v>Apprenant 781</v>
      </c>
      <c r="AR793" s="55" t="str">
        <f aca="false">IF(AND('Choix pédagogiques'!$C$4&lt;&gt;"?",'Choix pédagogiques'!$C$5&lt;&gt;"?",W793&lt;&gt;""),(W793-'Choix pédagogiques'!$C$4)/('Choix pédagogiques'!$C$5-'Choix pédagogiques'!$C$4),"")</f>
        <v/>
      </c>
      <c r="AS793" s="55" t="str">
        <f aca="false">IF(AND('Choix pédagogiques'!$C$4&lt;&gt;"?",'Choix pédagogiques'!$C$5&lt;&gt;"?",X793&lt;&gt;""),(X793-'Choix pédagogiques'!$C$4)/('Choix pédagogiques'!$C$5-'Choix pédagogiques'!$C$4),"")</f>
        <v/>
      </c>
      <c r="AT793" s="55" t="str">
        <f aca="false">IF(AND('Choix pédagogiques'!$C$4&lt;&gt;"?",'Choix pédagogiques'!$C$5&lt;&gt;"?",Y793&lt;&gt;""),(Y793-'Choix pédagogiques'!$C$4)/('Choix pédagogiques'!$C$5-'Choix pédagogiques'!$C$4),"")</f>
        <v/>
      </c>
      <c r="AU793" s="53" t="str">
        <f aca="false">IF($E793&lt;&gt;"",$E793,"")</f>
        <v/>
      </c>
      <c r="AV793" s="52" t="str">
        <f aca="false">IF($F793&lt;&gt;"",$F793,"")</f>
        <v>Apprenant 781 ou 781'</v>
      </c>
      <c r="AW793" s="55" t="str">
        <f aca="false">IF(AND('Choix pédagogiques'!$C$4&lt;&gt;"?",'Choix pédagogiques'!$C$5&lt;&gt;"?",AB793&lt;&gt;""),(AB793-'Choix pédagogiques'!$C$4)/('Choix pédagogiques'!$C$5-'Choix pédagogiques'!$C$4),"")</f>
        <v/>
      </c>
      <c r="AX793" s="55" t="str">
        <f aca="false">IF(AND('Choix pédagogiques'!$C$4&lt;&gt;"?",'Choix pédagogiques'!$C$5&lt;&gt;"?",AC793&lt;&gt;""),(AC793-'Choix pédagogiques'!$C$4)/('Choix pédagogiques'!$C$5-'Choix pédagogiques'!$C$4),"")</f>
        <v/>
      </c>
      <c r="AY793" s="55" t="str">
        <f aca="false">IF(AND('Choix pédagogiques'!$C$4&lt;&gt;"?",'Choix pédagogiques'!$C$5&lt;&gt;"?",AD793&lt;&gt;""),(AD793-'Choix pédagogiques'!$C$4)/('Choix pédagogiques'!$C$5-'Choix pédagogiques'!$C$4),"")</f>
        <v/>
      </c>
      <c r="AZ793" s="53" t="str">
        <f aca="false">IF($J793&lt;&gt;"",$J793,"")</f>
        <v/>
      </c>
      <c r="BA793" s="52" t="str">
        <f aca="false">IF($A793&lt;&gt;"",$A793,"")</f>
        <v>Apprenant 781</v>
      </c>
      <c r="BB793" s="55" t="str">
        <f aca="false">IF(AND($AR793&lt;&gt;"",$AS793&lt;&gt;""),$AS793-$AR793,"")</f>
        <v/>
      </c>
      <c r="BC793" s="55" t="str">
        <f aca="false">IF(AND($AR793&lt;&gt;"",$AT793&lt;&gt;""),$AT793-$AR793,"")</f>
        <v/>
      </c>
      <c r="BD793" s="55" t="str">
        <f aca="false">IF(AND($AS793&lt;&gt;"",$AT793&lt;&gt;""),$AT793-$AS793,"")</f>
        <v/>
      </c>
      <c r="BE793" s="53" t="str">
        <f aca="false">IF($E793&lt;&gt;"",$E793,"")</f>
        <v/>
      </c>
      <c r="BF793" s="52" t="str">
        <f aca="false">IF($F793&lt;&gt;"",$F793,"")</f>
        <v>Apprenant 781 ou 781'</v>
      </c>
      <c r="BG793" s="55" t="str">
        <f aca="false">IF(AND($AW793&lt;&gt;"",$AX793&lt;&gt;""),$AX793-$AW793,"")</f>
        <v/>
      </c>
      <c r="BH793" s="55" t="str">
        <f aca="false">IF(AND($AW793&lt;&gt;"",$AY793&lt;&gt;""),$AY793-$AW793,"")</f>
        <v/>
      </c>
      <c r="BI793" s="55" t="str">
        <f aca="false">IF(AND($AX793&lt;&gt;"",$AY793&lt;&gt;""),$AY793-$AX793,"")</f>
        <v/>
      </c>
      <c r="BJ793" s="53" t="str">
        <f aca="false">IF($J793&lt;&gt;"",$J793,"")</f>
        <v/>
      </c>
      <c r="BL793" s="52"/>
      <c r="BM793" s="52" t="str">
        <f aca="false">IF(OR(COUNT(B793:D1792)=0,AND('Choix pédagogiques'!$C$3&lt;&gt;1,'Choix pédagogiques'!$C$3&lt;&gt;2)),"",IF(AND(OR('Choix pédagogiques'!$C$3=1,'Choix pédagogiques'!$C$3=2),$B793&lt;&gt;"",$C793&lt;&gt;"",$D793&lt;&gt;""),1,0))</f>
        <v/>
      </c>
      <c r="BN793" s="52" t="str">
        <f aca="false">IF(OR(COUNT(G793:I1792)=0,AND('Choix pédagogiques'!$C$3&lt;&gt;1,'Choix pédagogiques'!$C$3&lt;&gt;2)),"",IF(AND(OR('Choix pédagogiques'!$C$3=1,'Choix pédagogiques'!$C$3=2),AND($G793&lt;&gt;"",$H793&lt;&gt;"",$I793&lt;&gt;"")),1,0))</f>
        <v/>
      </c>
      <c r="BO793" s="52" t="str">
        <f aca="false">IF(OR(COUNT(B793:D1792)=0,COUNT(G793:I1792)=0,'Choix pédagogiques'!C$3&lt;&gt;3),"",IF(AND('Choix pédagogiques'!$C$3=3,$B793&lt;&gt;"",$C793&lt;&gt;"",$D793&lt;&gt;"",$G793&lt;&gt;"",$H793&lt;&gt;"",$I793&lt;&gt;""),1,0))</f>
        <v/>
      </c>
      <c r="BR793" s="52" t="n">
        <v>8</v>
      </c>
      <c r="BS793" s="52" t="n">
        <v>1061</v>
      </c>
    </row>
    <row r="794" s="54" customFormat="true" ht="18" hidden="false" customHeight="true" outlineLevel="0" collapsed="false">
      <c r="A794" s="57" t="s">
        <v>1519</v>
      </c>
      <c r="B794" s="51"/>
      <c r="C794" s="51"/>
      <c r="D794" s="51"/>
      <c r="E794" s="51"/>
      <c r="F794" s="57" t="s">
        <v>1520</v>
      </c>
      <c r="G794" s="51"/>
      <c r="H794" s="51"/>
      <c r="I794" s="51"/>
      <c r="J794" s="51"/>
      <c r="K794" s="52" t="str">
        <f aca="false">IF($A794&lt;&gt;"",$A794,"")</f>
        <v>Apprenant 782</v>
      </c>
      <c r="L794" s="53" t="str">
        <f aca="false">IF(AND($B794&lt;&gt;"",$C794&lt;&gt;""),$C794-$B794,"")</f>
        <v/>
      </c>
      <c r="M794" s="53" t="str">
        <f aca="false">IF(AND($B794&lt;&gt;"",$D794&lt;&gt;""),$D794-$B794,"")</f>
        <v/>
      </c>
      <c r="N794" s="53" t="str">
        <f aca="false">IF(AND($C794&lt;&gt;"",$D794&lt;&gt;""),$D794-$C794,"")</f>
        <v/>
      </c>
      <c r="O794" s="53" t="str">
        <f aca="false">IF($E794&lt;&gt;"",$E794,"")</f>
        <v/>
      </c>
      <c r="P794" s="52" t="str">
        <f aca="false">IF($F794&lt;&gt;"",$F794,"")</f>
        <v>Apprenant 782 ou 782'</v>
      </c>
      <c r="Q794" s="53" t="str">
        <f aca="false">IF(AND($G794&lt;&gt;"",$H794&lt;&gt;""),$H794-$G794,"")</f>
        <v/>
      </c>
      <c r="R794" s="53" t="str">
        <f aca="false">IF(AND($G794&lt;&gt;"",$I794&lt;&gt;""),$I794-$G794,"")</f>
        <v/>
      </c>
      <c r="S794" s="53" t="str">
        <f aca="false">IF(AND($H794&lt;&gt;"",$I794&lt;&gt;""),$I794-$H794,"")</f>
        <v/>
      </c>
      <c r="T794" s="53" t="str">
        <f aca="false">IF($J794&lt;&gt;"",$J794,"")</f>
        <v/>
      </c>
      <c r="V794" s="52" t="str">
        <f aca="false">IF($A794&lt;&gt;"",$A794,"")</f>
        <v>Apprenant 782</v>
      </c>
      <c r="W794" s="53" t="str">
        <f aca="false">IF(AND(OR('Choix pédagogiques'!$C$3=1,'Choix pédagogiques'!$C$3=2),$BM794=1),B794,IF(AND('Choix pédagogiques'!$C$3=3,$BO794=1),B794,""))</f>
        <v/>
      </c>
      <c r="X794" s="53" t="str">
        <f aca="false">IF(AND(OR('Choix pédagogiques'!$C$3=1,'Choix pédagogiques'!$C$3=2),$BM794=1),C794,IF(AND('Choix pédagogiques'!$C$3=3,$BO794=1),C794,""))</f>
        <v/>
      </c>
      <c r="Y794" s="53" t="str">
        <f aca="false">IF(AND(OR('Choix pédagogiques'!$C$3=1,'Choix pédagogiques'!$C$3=2),$BM794=1),D794,IF(AND('Choix pédagogiques'!$C$3=3,$BO794=1),D794,""))</f>
        <v/>
      </c>
      <c r="Z794" s="53" t="str">
        <f aca="false">IF($E794&lt;&gt;"",$E794,"")</f>
        <v/>
      </c>
      <c r="AA794" s="52" t="str">
        <f aca="false">IF($F794&lt;&gt;"",$F794,"")</f>
        <v>Apprenant 782 ou 782'</v>
      </c>
      <c r="AB794" s="53" t="str">
        <f aca="false">IF(AND(OR('Choix pédagogiques'!$C$3=1,'Choix pédagogiques'!$C$3=2),$BN794=1),G794,IF(AND('Choix pédagogiques'!$C$3=3,$BO794=1),G794,""))</f>
        <v/>
      </c>
      <c r="AC794" s="53" t="str">
        <f aca="false">IF(AND(OR('Choix pédagogiques'!$C$3=1,'Choix pédagogiques'!$C$3=2),$BN794=1),H794,IF(AND('Choix pédagogiques'!$C$3=3,$BO794=1),H794,""))</f>
        <v/>
      </c>
      <c r="AD794" s="53" t="str">
        <f aca="false">IF(AND(OR('Choix pédagogiques'!$C$3=1,'Choix pédagogiques'!$C$3=2),$BN794=1),I794,IF(AND('Choix pédagogiques'!$C$3=3,$BO794=1),I794,""))</f>
        <v/>
      </c>
      <c r="AE794" s="53" t="str">
        <f aca="false">IF($J794&lt;&gt;"",$J794,"")</f>
        <v/>
      </c>
      <c r="AF794" s="52" t="str">
        <f aca="false">IF($A794&lt;&gt;"",$A794,"")</f>
        <v>Apprenant 782</v>
      </c>
      <c r="AG794" s="53" t="str">
        <f aca="false">IF(AND($W794&lt;&gt;"",$X794&lt;&gt;""),$X794-$W794,"")</f>
        <v/>
      </c>
      <c r="AH794" s="53" t="str">
        <f aca="false">IF(AND($W794&lt;&gt;"",$Y794&lt;&gt;""),$Y794-$W794,"")</f>
        <v/>
      </c>
      <c r="AI794" s="53" t="str">
        <f aca="false">IF(AND($X794&lt;&gt;"",$Y794&lt;&gt;""),$Y794-$X794,"")</f>
        <v/>
      </c>
      <c r="AJ794" s="53" t="str">
        <f aca="false">IF($E794&lt;&gt;"",$E794,"")</f>
        <v/>
      </c>
      <c r="AK794" s="52" t="str">
        <f aca="false">IF($F794&lt;&gt;"",$F794,"")</f>
        <v>Apprenant 782 ou 782'</v>
      </c>
      <c r="AL794" s="53" t="str">
        <f aca="false">IF(AND($AB794&lt;&gt;"",$AC794&lt;&gt;""),$AC794-$AB794,"")</f>
        <v/>
      </c>
      <c r="AM794" s="53" t="str">
        <f aca="false">IF(AND($AB794&lt;&gt;"",$AD794&lt;&gt;""),$AD794-$AB794,"")</f>
        <v/>
      </c>
      <c r="AN794" s="53" t="str">
        <f aca="false">IF(AND($AC794&lt;&gt;"",$AD794&lt;&gt;""),$AD794-$AC794,"")</f>
        <v/>
      </c>
      <c r="AO794" s="53" t="str">
        <f aca="false">IF($J794&lt;&gt;"",$J794,"")</f>
        <v/>
      </c>
      <c r="AQ794" s="52" t="str">
        <f aca="false">IF($A794&lt;&gt;"",$A794,"")</f>
        <v>Apprenant 782</v>
      </c>
      <c r="AR794" s="55" t="str">
        <f aca="false">IF(AND('Choix pédagogiques'!$C$4&lt;&gt;"?",'Choix pédagogiques'!$C$5&lt;&gt;"?",W794&lt;&gt;""),(W794-'Choix pédagogiques'!$C$4)/('Choix pédagogiques'!$C$5-'Choix pédagogiques'!$C$4),"")</f>
        <v/>
      </c>
      <c r="AS794" s="55" t="str">
        <f aca="false">IF(AND('Choix pédagogiques'!$C$4&lt;&gt;"?",'Choix pédagogiques'!$C$5&lt;&gt;"?",X794&lt;&gt;""),(X794-'Choix pédagogiques'!$C$4)/('Choix pédagogiques'!$C$5-'Choix pédagogiques'!$C$4),"")</f>
        <v/>
      </c>
      <c r="AT794" s="55" t="str">
        <f aca="false">IF(AND('Choix pédagogiques'!$C$4&lt;&gt;"?",'Choix pédagogiques'!$C$5&lt;&gt;"?",Y794&lt;&gt;""),(Y794-'Choix pédagogiques'!$C$4)/('Choix pédagogiques'!$C$5-'Choix pédagogiques'!$C$4),"")</f>
        <v/>
      </c>
      <c r="AU794" s="53" t="str">
        <f aca="false">IF($E794&lt;&gt;"",$E794,"")</f>
        <v/>
      </c>
      <c r="AV794" s="52" t="str">
        <f aca="false">IF($F794&lt;&gt;"",$F794,"")</f>
        <v>Apprenant 782 ou 782'</v>
      </c>
      <c r="AW794" s="55" t="str">
        <f aca="false">IF(AND('Choix pédagogiques'!$C$4&lt;&gt;"?",'Choix pédagogiques'!$C$5&lt;&gt;"?",AB794&lt;&gt;""),(AB794-'Choix pédagogiques'!$C$4)/('Choix pédagogiques'!$C$5-'Choix pédagogiques'!$C$4),"")</f>
        <v/>
      </c>
      <c r="AX794" s="55" t="str">
        <f aca="false">IF(AND('Choix pédagogiques'!$C$4&lt;&gt;"?",'Choix pédagogiques'!$C$5&lt;&gt;"?",AC794&lt;&gt;""),(AC794-'Choix pédagogiques'!$C$4)/('Choix pédagogiques'!$C$5-'Choix pédagogiques'!$C$4),"")</f>
        <v/>
      </c>
      <c r="AY794" s="55" t="str">
        <f aca="false">IF(AND('Choix pédagogiques'!$C$4&lt;&gt;"?",'Choix pédagogiques'!$C$5&lt;&gt;"?",AD794&lt;&gt;""),(AD794-'Choix pédagogiques'!$C$4)/('Choix pédagogiques'!$C$5-'Choix pédagogiques'!$C$4),"")</f>
        <v/>
      </c>
      <c r="AZ794" s="53" t="str">
        <f aca="false">IF($J794&lt;&gt;"",$J794,"")</f>
        <v/>
      </c>
      <c r="BA794" s="52" t="str">
        <f aca="false">IF($A794&lt;&gt;"",$A794,"")</f>
        <v>Apprenant 782</v>
      </c>
      <c r="BB794" s="55" t="str">
        <f aca="false">IF(AND($AR794&lt;&gt;"",$AS794&lt;&gt;""),$AS794-$AR794,"")</f>
        <v/>
      </c>
      <c r="BC794" s="55" t="str">
        <f aca="false">IF(AND($AR794&lt;&gt;"",$AT794&lt;&gt;""),$AT794-$AR794,"")</f>
        <v/>
      </c>
      <c r="BD794" s="55" t="str">
        <f aca="false">IF(AND($AS794&lt;&gt;"",$AT794&lt;&gt;""),$AT794-$AS794,"")</f>
        <v/>
      </c>
      <c r="BE794" s="53" t="str">
        <f aca="false">IF($E794&lt;&gt;"",$E794,"")</f>
        <v/>
      </c>
      <c r="BF794" s="52" t="str">
        <f aca="false">IF($F794&lt;&gt;"",$F794,"")</f>
        <v>Apprenant 782 ou 782'</v>
      </c>
      <c r="BG794" s="55" t="str">
        <f aca="false">IF(AND($AW794&lt;&gt;"",$AX794&lt;&gt;""),$AX794-$AW794,"")</f>
        <v/>
      </c>
      <c r="BH794" s="55" t="str">
        <f aca="false">IF(AND($AW794&lt;&gt;"",$AY794&lt;&gt;""),$AY794-$AW794,"")</f>
        <v/>
      </c>
      <c r="BI794" s="55" t="str">
        <f aca="false">IF(AND($AX794&lt;&gt;"",$AY794&lt;&gt;""),$AY794-$AX794,"")</f>
        <v/>
      </c>
      <c r="BJ794" s="53" t="str">
        <f aca="false">IF($J794&lt;&gt;"",$J794,"")</f>
        <v/>
      </c>
      <c r="BL794" s="52"/>
      <c r="BM794" s="52" t="str">
        <f aca="false">IF(OR(COUNT(B794:D1793)=0,AND('Choix pédagogiques'!$C$3&lt;&gt;1,'Choix pédagogiques'!$C$3&lt;&gt;2)),"",IF(AND(OR('Choix pédagogiques'!$C$3=1,'Choix pédagogiques'!$C$3=2),$B794&lt;&gt;"",$C794&lt;&gt;"",$D794&lt;&gt;""),1,0))</f>
        <v/>
      </c>
      <c r="BN794" s="52" t="str">
        <f aca="false">IF(OR(COUNT(G794:I1793)=0,AND('Choix pédagogiques'!$C$3&lt;&gt;1,'Choix pédagogiques'!$C$3&lt;&gt;2)),"",IF(AND(OR('Choix pédagogiques'!$C$3=1,'Choix pédagogiques'!$C$3=2),AND($G794&lt;&gt;"",$H794&lt;&gt;"",$I794&lt;&gt;"")),1,0))</f>
        <v/>
      </c>
      <c r="BO794" s="52" t="str">
        <f aca="false">IF(OR(COUNT(B794:D1793)=0,COUNT(G794:I1793)=0,'Choix pédagogiques'!C$3&lt;&gt;3),"",IF(AND('Choix pédagogiques'!$C$3=3,$B794&lt;&gt;"",$C794&lt;&gt;"",$D794&lt;&gt;"",$G794&lt;&gt;"",$H794&lt;&gt;"",$I794&lt;&gt;""),1,0))</f>
        <v/>
      </c>
      <c r="BR794" s="52" t="n">
        <v>726</v>
      </c>
      <c r="BS794" s="52" t="n">
        <v>1743</v>
      </c>
    </row>
    <row r="795" s="54" customFormat="true" ht="18" hidden="false" customHeight="true" outlineLevel="0" collapsed="false">
      <c r="A795" s="57" t="s">
        <v>1521</v>
      </c>
      <c r="B795" s="51"/>
      <c r="C795" s="51"/>
      <c r="D795" s="51"/>
      <c r="E795" s="51"/>
      <c r="F795" s="57" t="s">
        <v>1522</v>
      </c>
      <c r="G795" s="51"/>
      <c r="H795" s="51"/>
      <c r="I795" s="51"/>
      <c r="J795" s="51"/>
      <c r="K795" s="52" t="str">
        <f aca="false">IF($A795&lt;&gt;"",$A795,"")</f>
        <v>Apprenant 783</v>
      </c>
      <c r="L795" s="53" t="str">
        <f aca="false">IF(AND($B795&lt;&gt;"",$C795&lt;&gt;""),$C795-$B795,"")</f>
        <v/>
      </c>
      <c r="M795" s="53" t="str">
        <f aca="false">IF(AND($B795&lt;&gt;"",$D795&lt;&gt;""),$D795-$B795,"")</f>
        <v/>
      </c>
      <c r="N795" s="53" t="str">
        <f aca="false">IF(AND($C795&lt;&gt;"",$D795&lt;&gt;""),$D795-$C795,"")</f>
        <v/>
      </c>
      <c r="O795" s="53" t="str">
        <f aca="false">IF($E795&lt;&gt;"",$E795,"")</f>
        <v/>
      </c>
      <c r="P795" s="52" t="str">
        <f aca="false">IF($F795&lt;&gt;"",$F795,"")</f>
        <v>Apprenant 783 ou 783'</v>
      </c>
      <c r="Q795" s="53" t="str">
        <f aca="false">IF(AND($G795&lt;&gt;"",$H795&lt;&gt;""),$H795-$G795,"")</f>
        <v/>
      </c>
      <c r="R795" s="53" t="str">
        <f aca="false">IF(AND($G795&lt;&gt;"",$I795&lt;&gt;""),$I795-$G795,"")</f>
        <v/>
      </c>
      <c r="S795" s="53" t="str">
        <f aca="false">IF(AND($H795&lt;&gt;"",$I795&lt;&gt;""),$I795-$H795,"")</f>
        <v/>
      </c>
      <c r="T795" s="53" t="str">
        <f aca="false">IF($J795&lt;&gt;"",$J795,"")</f>
        <v/>
      </c>
      <c r="V795" s="52" t="str">
        <f aca="false">IF($A795&lt;&gt;"",$A795,"")</f>
        <v>Apprenant 783</v>
      </c>
      <c r="W795" s="53" t="str">
        <f aca="false">IF(AND(OR('Choix pédagogiques'!$C$3=1,'Choix pédagogiques'!$C$3=2),$BM795=1),B795,IF(AND('Choix pédagogiques'!$C$3=3,$BO795=1),B795,""))</f>
        <v/>
      </c>
      <c r="X795" s="53" t="str">
        <f aca="false">IF(AND(OR('Choix pédagogiques'!$C$3=1,'Choix pédagogiques'!$C$3=2),$BM795=1),C795,IF(AND('Choix pédagogiques'!$C$3=3,$BO795=1),C795,""))</f>
        <v/>
      </c>
      <c r="Y795" s="53" t="str">
        <f aca="false">IF(AND(OR('Choix pédagogiques'!$C$3=1,'Choix pédagogiques'!$C$3=2),$BM795=1),D795,IF(AND('Choix pédagogiques'!$C$3=3,$BO795=1),D795,""))</f>
        <v/>
      </c>
      <c r="Z795" s="53" t="str">
        <f aca="false">IF($E795&lt;&gt;"",$E795,"")</f>
        <v/>
      </c>
      <c r="AA795" s="52" t="str">
        <f aca="false">IF($F795&lt;&gt;"",$F795,"")</f>
        <v>Apprenant 783 ou 783'</v>
      </c>
      <c r="AB795" s="53" t="str">
        <f aca="false">IF(AND(OR('Choix pédagogiques'!$C$3=1,'Choix pédagogiques'!$C$3=2),$BN795=1),G795,IF(AND('Choix pédagogiques'!$C$3=3,$BO795=1),G795,""))</f>
        <v/>
      </c>
      <c r="AC795" s="53" t="str">
        <f aca="false">IF(AND(OR('Choix pédagogiques'!$C$3=1,'Choix pédagogiques'!$C$3=2),$BN795=1),H795,IF(AND('Choix pédagogiques'!$C$3=3,$BO795=1),H795,""))</f>
        <v/>
      </c>
      <c r="AD795" s="53" t="str">
        <f aca="false">IF(AND(OR('Choix pédagogiques'!$C$3=1,'Choix pédagogiques'!$C$3=2),$BN795=1),I795,IF(AND('Choix pédagogiques'!$C$3=3,$BO795=1),I795,""))</f>
        <v/>
      </c>
      <c r="AE795" s="53" t="str">
        <f aca="false">IF($J795&lt;&gt;"",$J795,"")</f>
        <v/>
      </c>
      <c r="AF795" s="52" t="str">
        <f aca="false">IF($A795&lt;&gt;"",$A795,"")</f>
        <v>Apprenant 783</v>
      </c>
      <c r="AG795" s="53" t="str">
        <f aca="false">IF(AND($W795&lt;&gt;"",$X795&lt;&gt;""),$X795-$W795,"")</f>
        <v/>
      </c>
      <c r="AH795" s="53" t="str">
        <f aca="false">IF(AND($W795&lt;&gt;"",$Y795&lt;&gt;""),$Y795-$W795,"")</f>
        <v/>
      </c>
      <c r="AI795" s="53" t="str">
        <f aca="false">IF(AND($X795&lt;&gt;"",$Y795&lt;&gt;""),$Y795-$X795,"")</f>
        <v/>
      </c>
      <c r="AJ795" s="53" t="str">
        <f aca="false">IF($E795&lt;&gt;"",$E795,"")</f>
        <v/>
      </c>
      <c r="AK795" s="52" t="str">
        <f aca="false">IF($F795&lt;&gt;"",$F795,"")</f>
        <v>Apprenant 783 ou 783'</v>
      </c>
      <c r="AL795" s="53" t="str">
        <f aca="false">IF(AND($AB795&lt;&gt;"",$AC795&lt;&gt;""),$AC795-$AB795,"")</f>
        <v/>
      </c>
      <c r="AM795" s="53" t="str">
        <f aca="false">IF(AND($AB795&lt;&gt;"",$AD795&lt;&gt;""),$AD795-$AB795,"")</f>
        <v/>
      </c>
      <c r="AN795" s="53" t="str">
        <f aca="false">IF(AND($AC795&lt;&gt;"",$AD795&lt;&gt;""),$AD795-$AC795,"")</f>
        <v/>
      </c>
      <c r="AO795" s="53" t="str">
        <f aca="false">IF($J795&lt;&gt;"",$J795,"")</f>
        <v/>
      </c>
      <c r="AQ795" s="52" t="str">
        <f aca="false">IF($A795&lt;&gt;"",$A795,"")</f>
        <v>Apprenant 783</v>
      </c>
      <c r="AR795" s="55" t="str">
        <f aca="false">IF(AND('Choix pédagogiques'!$C$4&lt;&gt;"?",'Choix pédagogiques'!$C$5&lt;&gt;"?",W795&lt;&gt;""),(W795-'Choix pédagogiques'!$C$4)/('Choix pédagogiques'!$C$5-'Choix pédagogiques'!$C$4),"")</f>
        <v/>
      </c>
      <c r="AS795" s="55" t="str">
        <f aca="false">IF(AND('Choix pédagogiques'!$C$4&lt;&gt;"?",'Choix pédagogiques'!$C$5&lt;&gt;"?",X795&lt;&gt;""),(X795-'Choix pédagogiques'!$C$4)/('Choix pédagogiques'!$C$5-'Choix pédagogiques'!$C$4),"")</f>
        <v/>
      </c>
      <c r="AT795" s="55" t="str">
        <f aca="false">IF(AND('Choix pédagogiques'!$C$4&lt;&gt;"?",'Choix pédagogiques'!$C$5&lt;&gt;"?",Y795&lt;&gt;""),(Y795-'Choix pédagogiques'!$C$4)/('Choix pédagogiques'!$C$5-'Choix pédagogiques'!$C$4),"")</f>
        <v/>
      </c>
      <c r="AU795" s="53" t="str">
        <f aca="false">IF($E795&lt;&gt;"",$E795,"")</f>
        <v/>
      </c>
      <c r="AV795" s="52" t="str">
        <f aca="false">IF($F795&lt;&gt;"",$F795,"")</f>
        <v>Apprenant 783 ou 783'</v>
      </c>
      <c r="AW795" s="55" t="str">
        <f aca="false">IF(AND('Choix pédagogiques'!$C$4&lt;&gt;"?",'Choix pédagogiques'!$C$5&lt;&gt;"?",AB795&lt;&gt;""),(AB795-'Choix pédagogiques'!$C$4)/('Choix pédagogiques'!$C$5-'Choix pédagogiques'!$C$4),"")</f>
        <v/>
      </c>
      <c r="AX795" s="55" t="str">
        <f aca="false">IF(AND('Choix pédagogiques'!$C$4&lt;&gt;"?",'Choix pédagogiques'!$C$5&lt;&gt;"?",AC795&lt;&gt;""),(AC795-'Choix pédagogiques'!$C$4)/('Choix pédagogiques'!$C$5-'Choix pédagogiques'!$C$4),"")</f>
        <v/>
      </c>
      <c r="AY795" s="55" t="str">
        <f aca="false">IF(AND('Choix pédagogiques'!$C$4&lt;&gt;"?",'Choix pédagogiques'!$C$5&lt;&gt;"?",AD795&lt;&gt;""),(AD795-'Choix pédagogiques'!$C$4)/('Choix pédagogiques'!$C$5-'Choix pédagogiques'!$C$4),"")</f>
        <v/>
      </c>
      <c r="AZ795" s="53" t="str">
        <f aca="false">IF($J795&lt;&gt;"",$J795,"")</f>
        <v/>
      </c>
      <c r="BA795" s="52" t="str">
        <f aca="false">IF($A795&lt;&gt;"",$A795,"")</f>
        <v>Apprenant 783</v>
      </c>
      <c r="BB795" s="55" t="str">
        <f aca="false">IF(AND($AR795&lt;&gt;"",$AS795&lt;&gt;""),$AS795-$AR795,"")</f>
        <v/>
      </c>
      <c r="BC795" s="55" t="str">
        <f aca="false">IF(AND($AR795&lt;&gt;"",$AT795&lt;&gt;""),$AT795-$AR795,"")</f>
        <v/>
      </c>
      <c r="BD795" s="55" t="str">
        <f aca="false">IF(AND($AS795&lt;&gt;"",$AT795&lt;&gt;""),$AT795-$AS795,"")</f>
        <v/>
      </c>
      <c r="BE795" s="53" t="str">
        <f aca="false">IF($E795&lt;&gt;"",$E795,"")</f>
        <v/>
      </c>
      <c r="BF795" s="52" t="str">
        <f aca="false">IF($F795&lt;&gt;"",$F795,"")</f>
        <v>Apprenant 783 ou 783'</v>
      </c>
      <c r="BG795" s="55" t="str">
        <f aca="false">IF(AND($AW795&lt;&gt;"",$AX795&lt;&gt;""),$AX795-$AW795,"")</f>
        <v/>
      </c>
      <c r="BH795" s="55" t="str">
        <f aca="false">IF(AND($AW795&lt;&gt;"",$AY795&lt;&gt;""),$AY795-$AW795,"")</f>
        <v/>
      </c>
      <c r="BI795" s="55" t="str">
        <f aca="false">IF(AND($AX795&lt;&gt;"",$AY795&lt;&gt;""),$AY795-$AX795,"")</f>
        <v/>
      </c>
      <c r="BJ795" s="53" t="str">
        <f aca="false">IF($J795&lt;&gt;"",$J795,"")</f>
        <v/>
      </c>
      <c r="BL795" s="52"/>
      <c r="BM795" s="52" t="str">
        <f aca="false">IF(OR(COUNT(B795:D1794)=0,AND('Choix pédagogiques'!$C$3&lt;&gt;1,'Choix pédagogiques'!$C$3&lt;&gt;2)),"",IF(AND(OR('Choix pédagogiques'!$C$3=1,'Choix pédagogiques'!$C$3=2),$B795&lt;&gt;"",$C795&lt;&gt;"",$D795&lt;&gt;""),1,0))</f>
        <v/>
      </c>
      <c r="BN795" s="52" t="str">
        <f aca="false">IF(OR(COUNT(G795:I1794)=0,AND('Choix pédagogiques'!$C$3&lt;&gt;1,'Choix pédagogiques'!$C$3&lt;&gt;2)),"",IF(AND(OR('Choix pédagogiques'!$C$3=1,'Choix pédagogiques'!$C$3=2),AND($G795&lt;&gt;"",$H795&lt;&gt;"",$I795&lt;&gt;"")),1,0))</f>
        <v/>
      </c>
      <c r="BO795" s="52" t="str">
        <f aca="false">IF(OR(COUNT(B795:D1794)=0,COUNT(G795:I1794)=0,'Choix pédagogiques'!C$3&lt;&gt;3),"",IF(AND('Choix pédagogiques'!$C$3=3,$B795&lt;&gt;"",$C795&lt;&gt;"",$D795&lt;&gt;"",$G795&lt;&gt;"",$H795&lt;&gt;"",$I795&lt;&gt;""),1,0))</f>
        <v/>
      </c>
      <c r="BR795" s="52" t="n">
        <v>834</v>
      </c>
      <c r="BS795" s="52" t="n">
        <v>1232</v>
      </c>
    </row>
    <row r="796" s="54" customFormat="true" ht="18" hidden="false" customHeight="true" outlineLevel="0" collapsed="false">
      <c r="A796" s="57" t="s">
        <v>1523</v>
      </c>
      <c r="B796" s="51"/>
      <c r="C796" s="51"/>
      <c r="D796" s="51"/>
      <c r="E796" s="51"/>
      <c r="F796" s="57" t="s">
        <v>1524</v>
      </c>
      <c r="G796" s="51"/>
      <c r="H796" s="51"/>
      <c r="I796" s="51"/>
      <c r="J796" s="51"/>
      <c r="K796" s="52" t="str">
        <f aca="false">IF($A796&lt;&gt;"",$A796,"")</f>
        <v>Apprenant 784</v>
      </c>
      <c r="L796" s="53" t="str">
        <f aca="false">IF(AND($B796&lt;&gt;"",$C796&lt;&gt;""),$C796-$B796,"")</f>
        <v/>
      </c>
      <c r="M796" s="53" t="str">
        <f aca="false">IF(AND($B796&lt;&gt;"",$D796&lt;&gt;""),$D796-$B796,"")</f>
        <v/>
      </c>
      <c r="N796" s="53" t="str">
        <f aca="false">IF(AND($C796&lt;&gt;"",$D796&lt;&gt;""),$D796-$C796,"")</f>
        <v/>
      </c>
      <c r="O796" s="53" t="str">
        <f aca="false">IF($E796&lt;&gt;"",$E796,"")</f>
        <v/>
      </c>
      <c r="P796" s="52" t="str">
        <f aca="false">IF($F796&lt;&gt;"",$F796,"")</f>
        <v>Apprenant 784 ou 784'</v>
      </c>
      <c r="Q796" s="53" t="str">
        <f aca="false">IF(AND($G796&lt;&gt;"",$H796&lt;&gt;""),$H796-$G796,"")</f>
        <v/>
      </c>
      <c r="R796" s="53" t="str">
        <f aca="false">IF(AND($G796&lt;&gt;"",$I796&lt;&gt;""),$I796-$G796,"")</f>
        <v/>
      </c>
      <c r="S796" s="53" t="str">
        <f aca="false">IF(AND($H796&lt;&gt;"",$I796&lt;&gt;""),$I796-$H796,"")</f>
        <v/>
      </c>
      <c r="T796" s="53" t="str">
        <f aca="false">IF($J796&lt;&gt;"",$J796,"")</f>
        <v/>
      </c>
      <c r="V796" s="52" t="str">
        <f aca="false">IF($A796&lt;&gt;"",$A796,"")</f>
        <v>Apprenant 784</v>
      </c>
      <c r="W796" s="53" t="str">
        <f aca="false">IF(AND(OR('Choix pédagogiques'!$C$3=1,'Choix pédagogiques'!$C$3=2),$BM796=1),B796,IF(AND('Choix pédagogiques'!$C$3=3,$BO796=1),B796,""))</f>
        <v/>
      </c>
      <c r="X796" s="53" t="str">
        <f aca="false">IF(AND(OR('Choix pédagogiques'!$C$3=1,'Choix pédagogiques'!$C$3=2),$BM796=1),C796,IF(AND('Choix pédagogiques'!$C$3=3,$BO796=1),C796,""))</f>
        <v/>
      </c>
      <c r="Y796" s="53" t="str">
        <f aca="false">IF(AND(OR('Choix pédagogiques'!$C$3=1,'Choix pédagogiques'!$C$3=2),$BM796=1),D796,IF(AND('Choix pédagogiques'!$C$3=3,$BO796=1),D796,""))</f>
        <v/>
      </c>
      <c r="Z796" s="53" t="str">
        <f aca="false">IF($E796&lt;&gt;"",$E796,"")</f>
        <v/>
      </c>
      <c r="AA796" s="52" t="str">
        <f aca="false">IF($F796&lt;&gt;"",$F796,"")</f>
        <v>Apprenant 784 ou 784'</v>
      </c>
      <c r="AB796" s="53" t="str">
        <f aca="false">IF(AND(OR('Choix pédagogiques'!$C$3=1,'Choix pédagogiques'!$C$3=2),$BN796=1),G796,IF(AND('Choix pédagogiques'!$C$3=3,$BO796=1),G796,""))</f>
        <v/>
      </c>
      <c r="AC796" s="53" t="str">
        <f aca="false">IF(AND(OR('Choix pédagogiques'!$C$3=1,'Choix pédagogiques'!$C$3=2),$BN796=1),H796,IF(AND('Choix pédagogiques'!$C$3=3,$BO796=1),H796,""))</f>
        <v/>
      </c>
      <c r="AD796" s="53" t="str">
        <f aca="false">IF(AND(OR('Choix pédagogiques'!$C$3=1,'Choix pédagogiques'!$C$3=2),$BN796=1),I796,IF(AND('Choix pédagogiques'!$C$3=3,$BO796=1),I796,""))</f>
        <v/>
      </c>
      <c r="AE796" s="53" t="str">
        <f aca="false">IF($J796&lt;&gt;"",$J796,"")</f>
        <v/>
      </c>
      <c r="AF796" s="52" t="str">
        <f aca="false">IF($A796&lt;&gt;"",$A796,"")</f>
        <v>Apprenant 784</v>
      </c>
      <c r="AG796" s="53" t="str">
        <f aca="false">IF(AND($W796&lt;&gt;"",$X796&lt;&gt;""),$X796-$W796,"")</f>
        <v/>
      </c>
      <c r="AH796" s="53" t="str">
        <f aca="false">IF(AND($W796&lt;&gt;"",$Y796&lt;&gt;""),$Y796-$W796,"")</f>
        <v/>
      </c>
      <c r="AI796" s="53" t="str">
        <f aca="false">IF(AND($X796&lt;&gt;"",$Y796&lt;&gt;""),$Y796-$X796,"")</f>
        <v/>
      </c>
      <c r="AJ796" s="53" t="str">
        <f aca="false">IF($E796&lt;&gt;"",$E796,"")</f>
        <v/>
      </c>
      <c r="AK796" s="52" t="str">
        <f aca="false">IF($F796&lt;&gt;"",$F796,"")</f>
        <v>Apprenant 784 ou 784'</v>
      </c>
      <c r="AL796" s="53" t="str">
        <f aca="false">IF(AND($AB796&lt;&gt;"",$AC796&lt;&gt;""),$AC796-$AB796,"")</f>
        <v/>
      </c>
      <c r="AM796" s="53" t="str">
        <f aca="false">IF(AND($AB796&lt;&gt;"",$AD796&lt;&gt;""),$AD796-$AB796,"")</f>
        <v/>
      </c>
      <c r="AN796" s="53" t="str">
        <f aca="false">IF(AND($AC796&lt;&gt;"",$AD796&lt;&gt;""),$AD796-$AC796,"")</f>
        <v/>
      </c>
      <c r="AO796" s="53" t="str">
        <f aca="false">IF($J796&lt;&gt;"",$J796,"")</f>
        <v/>
      </c>
      <c r="AQ796" s="52" t="str">
        <f aca="false">IF($A796&lt;&gt;"",$A796,"")</f>
        <v>Apprenant 784</v>
      </c>
      <c r="AR796" s="55" t="str">
        <f aca="false">IF(AND('Choix pédagogiques'!$C$4&lt;&gt;"?",'Choix pédagogiques'!$C$5&lt;&gt;"?",W796&lt;&gt;""),(W796-'Choix pédagogiques'!$C$4)/('Choix pédagogiques'!$C$5-'Choix pédagogiques'!$C$4),"")</f>
        <v/>
      </c>
      <c r="AS796" s="55" t="str">
        <f aca="false">IF(AND('Choix pédagogiques'!$C$4&lt;&gt;"?",'Choix pédagogiques'!$C$5&lt;&gt;"?",X796&lt;&gt;""),(X796-'Choix pédagogiques'!$C$4)/('Choix pédagogiques'!$C$5-'Choix pédagogiques'!$C$4),"")</f>
        <v/>
      </c>
      <c r="AT796" s="55" t="str">
        <f aca="false">IF(AND('Choix pédagogiques'!$C$4&lt;&gt;"?",'Choix pédagogiques'!$C$5&lt;&gt;"?",Y796&lt;&gt;""),(Y796-'Choix pédagogiques'!$C$4)/('Choix pédagogiques'!$C$5-'Choix pédagogiques'!$C$4),"")</f>
        <v/>
      </c>
      <c r="AU796" s="53" t="str">
        <f aca="false">IF($E796&lt;&gt;"",$E796,"")</f>
        <v/>
      </c>
      <c r="AV796" s="52" t="str">
        <f aca="false">IF($F796&lt;&gt;"",$F796,"")</f>
        <v>Apprenant 784 ou 784'</v>
      </c>
      <c r="AW796" s="55" t="str">
        <f aca="false">IF(AND('Choix pédagogiques'!$C$4&lt;&gt;"?",'Choix pédagogiques'!$C$5&lt;&gt;"?",AB796&lt;&gt;""),(AB796-'Choix pédagogiques'!$C$4)/('Choix pédagogiques'!$C$5-'Choix pédagogiques'!$C$4),"")</f>
        <v/>
      </c>
      <c r="AX796" s="55" t="str">
        <f aca="false">IF(AND('Choix pédagogiques'!$C$4&lt;&gt;"?",'Choix pédagogiques'!$C$5&lt;&gt;"?",AC796&lt;&gt;""),(AC796-'Choix pédagogiques'!$C$4)/('Choix pédagogiques'!$C$5-'Choix pédagogiques'!$C$4),"")</f>
        <v/>
      </c>
      <c r="AY796" s="55" t="str">
        <f aca="false">IF(AND('Choix pédagogiques'!$C$4&lt;&gt;"?",'Choix pédagogiques'!$C$5&lt;&gt;"?",AD796&lt;&gt;""),(AD796-'Choix pédagogiques'!$C$4)/('Choix pédagogiques'!$C$5-'Choix pédagogiques'!$C$4),"")</f>
        <v/>
      </c>
      <c r="AZ796" s="53" t="str">
        <f aca="false">IF($J796&lt;&gt;"",$J796,"")</f>
        <v/>
      </c>
      <c r="BA796" s="52" t="str">
        <f aca="false">IF($A796&lt;&gt;"",$A796,"")</f>
        <v>Apprenant 784</v>
      </c>
      <c r="BB796" s="55" t="str">
        <f aca="false">IF(AND($AR796&lt;&gt;"",$AS796&lt;&gt;""),$AS796-$AR796,"")</f>
        <v/>
      </c>
      <c r="BC796" s="55" t="str">
        <f aca="false">IF(AND($AR796&lt;&gt;"",$AT796&lt;&gt;""),$AT796-$AR796,"")</f>
        <v/>
      </c>
      <c r="BD796" s="55" t="str">
        <f aca="false">IF(AND($AS796&lt;&gt;"",$AT796&lt;&gt;""),$AT796-$AS796,"")</f>
        <v/>
      </c>
      <c r="BE796" s="53" t="str">
        <f aca="false">IF($E796&lt;&gt;"",$E796,"")</f>
        <v/>
      </c>
      <c r="BF796" s="52" t="str">
        <f aca="false">IF($F796&lt;&gt;"",$F796,"")</f>
        <v>Apprenant 784 ou 784'</v>
      </c>
      <c r="BG796" s="55" t="str">
        <f aca="false">IF(AND($AW796&lt;&gt;"",$AX796&lt;&gt;""),$AX796-$AW796,"")</f>
        <v/>
      </c>
      <c r="BH796" s="55" t="str">
        <f aca="false">IF(AND($AW796&lt;&gt;"",$AY796&lt;&gt;""),$AY796-$AW796,"")</f>
        <v/>
      </c>
      <c r="BI796" s="55" t="str">
        <f aca="false">IF(AND($AX796&lt;&gt;"",$AY796&lt;&gt;""),$AY796-$AX796,"")</f>
        <v/>
      </c>
      <c r="BJ796" s="53" t="str">
        <f aca="false">IF($J796&lt;&gt;"",$J796,"")</f>
        <v/>
      </c>
      <c r="BL796" s="52"/>
      <c r="BM796" s="52" t="str">
        <f aca="false">IF(OR(COUNT(B796:D1795)=0,AND('Choix pédagogiques'!$C$3&lt;&gt;1,'Choix pédagogiques'!$C$3&lt;&gt;2)),"",IF(AND(OR('Choix pédagogiques'!$C$3=1,'Choix pédagogiques'!$C$3=2),$B796&lt;&gt;"",$C796&lt;&gt;"",$D796&lt;&gt;""),1,0))</f>
        <v/>
      </c>
      <c r="BN796" s="52" t="str">
        <f aca="false">IF(OR(COUNT(G796:I1795)=0,AND('Choix pédagogiques'!$C$3&lt;&gt;1,'Choix pédagogiques'!$C$3&lt;&gt;2)),"",IF(AND(OR('Choix pédagogiques'!$C$3=1,'Choix pédagogiques'!$C$3=2),AND($G796&lt;&gt;"",$H796&lt;&gt;"",$I796&lt;&gt;"")),1,0))</f>
        <v/>
      </c>
      <c r="BO796" s="52" t="str">
        <f aca="false">IF(OR(COUNT(B796:D1795)=0,COUNT(G796:I1795)=0,'Choix pédagogiques'!C$3&lt;&gt;3),"",IF(AND('Choix pédagogiques'!$C$3=3,$B796&lt;&gt;"",$C796&lt;&gt;"",$D796&lt;&gt;"",$G796&lt;&gt;"",$H796&lt;&gt;"",$I796&lt;&gt;""),1,0))</f>
        <v/>
      </c>
      <c r="BR796" s="52" t="n">
        <v>709</v>
      </c>
      <c r="BS796" s="52" t="n">
        <v>1239</v>
      </c>
    </row>
    <row r="797" s="54" customFormat="true" ht="18" hidden="false" customHeight="true" outlineLevel="0" collapsed="false">
      <c r="A797" s="57" t="s">
        <v>1525</v>
      </c>
      <c r="B797" s="51"/>
      <c r="C797" s="51"/>
      <c r="D797" s="51"/>
      <c r="E797" s="51"/>
      <c r="F797" s="57" t="s">
        <v>1526</v>
      </c>
      <c r="G797" s="51"/>
      <c r="H797" s="51"/>
      <c r="I797" s="51"/>
      <c r="J797" s="51"/>
      <c r="K797" s="52" t="str">
        <f aca="false">IF($A797&lt;&gt;"",$A797,"")</f>
        <v>Apprenant 785</v>
      </c>
      <c r="L797" s="53" t="str">
        <f aca="false">IF(AND($B797&lt;&gt;"",$C797&lt;&gt;""),$C797-$B797,"")</f>
        <v/>
      </c>
      <c r="M797" s="53" t="str">
        <f aca="false">IF(AND($B797&lt;&gt;"",$D797&lt;&gt;""),$D797-$B797,"")</f>
        <v/>
      </c>
      <c r="N797" s="53" t="str">
        <f aca="false">IF(AND($C797&lt;&gt;"",$D797&lt;&gt;""),$D797-$C797,"")</f>
        <v/>
      </c>
      <c r="O797" s="53" t="str">
        <f aca="false">IF($E797&lt;&gt;"",$E797,"")</f>
        <v/>
      </c>
      <c r="P797" s="52" t="str">
        <f aca="false">IF($F797&lt;&gt;"",$F797,"")</f>
        <v>Apprenant 785 ou 785'</v>
      </c>
      <c r="Q797" s="53" t="str">
        <f aca="false">IF(AND($G797&lt;&gt;"",$H797&lt;&gt;""),$H797-$G797,"")</f>
        <v/>
      </c>
      <c r="R797" s="53" t="str">
        <f aca="false">IF(AND($G797&lt;&gt;"",$I797&lt;&gt;""),$I797-$G797,"")</f>
        <v/>
      </c>
      <c r="S797" s="53" t="str">
        <f aca="false">IF(AND($H797&lt;&gt;"",$I797&lt;&gt;""),$I797-$H797,"")</f>
        <v/>
      </c>
      <c r="T797" s="53" t="str">
        <f aca="false">IF($J797&lt;&gt;"",$J797,"")</f>
        <v/>
      </c>
      <c r="V797" s="52" t="str">
        <f aca="false">IF($A797&lt;&gt;"",$A797,"")</f>
        <v>Apprenant 785</v>
      </c>
      <c r="W797" s="53" t="str">
        <f aca="false">IF(AND(OR('Choix pédagogiques'!$C$3=1,'Choix pédagogiques'!$C$3=2),$BM797=1),B797,IF(AND('Choix pédagogiques'!$C$3=3,$BO797=1),B797,""))</f>
        <v/>
      </c>
      <c r="X797" s="53" t="str">
        <f aca="false">IF(AND(OR('Choix pédagogiques'!$C$3=1,'Choix pédagogiques'!$C$3=2),$BM797=1),C797,IF(AND('Choix pédagogiques'!$C$3=3,$BO797=1),C797,""))</f>
        <v/>
      </c>
      <c r="Y797" s="53" t="str">
        <f aca="false">IF(AND(OR('Choix pédagogiques'!$C$3=1,'Choix pédagogiques'!$C$3=2),$BM797=1),D797,IF(AND('Choix pédagogiques'!$C$3=3,$BO797=1),D797,""))</f>
        <v/>
      </c>
      <c r="Z797" s="53" t="str">
        <f aca="false">IF($E797&lt;&gt;"",$E797,"")</f>
        <v/>
      </c>
      <c r="AA797" s="52" t="str">
        <f aca="false">IF($F797&lt;&gt;"",$F797,"")</f>
        <v>Apprenant 785 ou 785'</v>
      </c>
      <c r="AB797" s="53" t="str">
        <f aca="false">IF(AND(OR('Choix pédagogiques'!$C$3=1,'Choix pédagogiques'!$C$3=2),$BN797=1),G797,IF(AND('Choix pédagogiques'!$C$3=3,$BO797=1),G797,""))</f>
        <v/>
      </c>
      <c r="AC797" s="53" t="str">
        <f aca="false">IF(AND(OR('Choix pédagogiques'!$C$3=1,'Choix pédagogiques'!$C$3=2),$BN797=1),H797,IF(AND('Choix pédagogiques'!$C$3=3,$BO797=1),H797,""))</f>
        <v/>
      </c>
      <c r="AD797" s="53" t="str">
        <f aca="false">IF(AND(OR('Choix pédagogiques'!$C$3=1,'Choix pédagogiques'!$C$3=2),$BN797=1),I797,IF(AND('Choix pédagogiques'!$C$3=3,$BO797=1),I797,""))</f>
        <v/>
      </c>
      <c r="AE797" s="53" t="str">
        <f aca="false">IF($J797&lt;&gt;"",$J797,"")</f>
        <v/>
      </c>
      <c r="AF797" s="52" t="str">
        <f aca="false">IF($A797&lt;&gt;"",$A797,"")</f>
        <v>Apprenant 785</v>
      </c>
      <c r="AG797" s="53" t="str">
        <f aca="false">IF(AND($W797&lt;&gt;"",$X797&lt;&gt;""),$X797-$W797,"")</f>
        <v/>
      </c>
      <c r="AH797" s="53" t="str">
        <f aca="false">IF(AND($W797&lt;&gt;"",$Y797&lt;&gt;""),$Y797-$W797,"")</f>
        <v/>
      </c>
      <c r="AI797" s="53" t="str">
        <f aca="false">IF(AND($X797&lt;&gt;"",$Y797&lt;&gt;""),$Y797-$X797,"")</f>
        <v/>
      </c>
      <c r="AJ797" s="53" t="str">
        <f aca="false">IF($E797&lt;&gt;"",$E797,"")</f>
        <v/>
      </c>
      <c r="AK797" s="52" t="str">
        <f aca="false">IF($F797&lt;&gt;"",$F797,"")</f>
        <v>Apprenant 785 ou 785'</v>
      </c>
      <c r="AL797" s="53" t="str">
        <f aca="false">IF(AND($AB797&lt;&gt;"",$AC797&lt;&gt;""),$AC797-$AB797,"")</f>
        <v/>
      </c>
      <c r="AM797" s="53" t="str">
        <f aca="false">IF(AND($AB797&lt;&gt;"",$AD797&lt;&gt;""),$AD797-$AB797,"")</f>
        <v/>
      </c>
      <c r="AN797" s="53" t="str">
        <f aca="false">IF(AND($AC797&lt;&gt;"",$AD797&lt;&gt;""),$AD797-$AC797,"")</f>
        <v/>
      </c>
      <c r="AO797" s="53" t="str">
        <f aca="false">IF($J797&lt;&gt;"",$J797,"")</f>
        <v/>
      </c>
      <c r="AQ797" s="52" t="str">
        <f aca="false">IF($A797&lt;&gt;"",$A797,"")</f>
        <v>Apprenant 785</v>
      </c>
      <c r="AR797" s="55" t="str">
        <f aca="false">IF(AND('Choix pédagogiques'!$C$4&lt;&gt;"?",'Choix pédagogiques'!$C$5&lt;&gt;"?",W797&lt;&gt;""),(W797-'Choix pédagogiques'!$C$4)/('Choix pédagogiques'!$C$5-'Choix pédagogiques'!$C$4),"")</f>
        <v/>
      </c>
      <c r="AS797" s="55" t="str">
        <f aca="false">IF(AND('Choix pédagogiques'!$C$4&lt;&gt;"?",'Choix pédagogiques'!$C$5&lt;&gt;"?",X797&lt;&gt;""),(X797-'Choix pédagogiques'!$C$4)/('Choix pédagogiques'!$C$5-'Choix pédagogiques'!$C$4),"")</f>
        <v/>
      </c>
      <c r="AT797" s="55" t="str">
        <f aca="false">IF(AND('Choix pédagogiques'!$C$4&lt;&gt;"?",'Choix pédagogiques'!$C$5&lt;&gt;"?",Y797&lt;&gt;""),(Y797-'Choix pédagogiques'!$C$4)/('Choix pédagogiques'!$C$5-'Choix pédagogiques'!$C$4),"")</f>
        <v/>
      </c>
      <c r="AU797" s="53" t="str">
        <f aca="false">IF($E797&lt;&gt;"",$E797,"")</f>
        <v/>
      </c>
      <c r="AV797" s="52" t="str">
        <f aca="false">IF($F797&lt;&gt;"",$F797,"")</f>
        <v>Apprenant 785 ou 785'</v>
      </c>
      <c r="AW797" s="55" t="str">
        <f aca="false">IF(AND('Choix pédagogiques'!$C$4&lt;&gt;"?",'Choix pédagogiques'!$C$5&lt;&gt;"?",AB797&lt;&gt;""),(AB797-'Choix pédagogiques'!$C$4)/('Choix pédagogiques'!$C$5-'Choix pédagogiques'!$C$4),"")</f>
        <v/>
      </c>
      <c r="AX797" s="55" t="str">
        <f aca="false">IF(AND('Choix pédagogiques'!$C$4&lt;&gt;"?",'Choix pédagogiques'!$C$5&lt;&gt;"?",AC797&lt;&gt;""),(AC797-'Choix pédagogiques'!$C$4)/('Choix pédagogiques'!$C$5-'Choix pédagogiques'!$C$4),"")</f>
        <v/>
      </c>
      <c r="AY797" s="55" t="str">
        <f aca="false">IF(AND('Choix pédagogiques'!$C$4&lt;&gt;"?",'Choix pédagogiques'!$C$5&lt;&gt;"?",AD797&lt;&gt;""),(AD797-'Choix pédagogiques'!$C$4)/('Choix pédagogiques'!$C$5-'Choix pédagogiques'!$C$4),"")</f>
        <v/>
      </c>
      <c r="AZ797" s="53" t="str">
        <f aca="false">IF($J797&lt;&gt;"",$J797,"")</f>
        <v/>
      </c>
      <c r="BA797" s="52" t="str">
        <f aca="false">IF($A797&lt;&gt;"",$A797,"")</f>
        <v>Apprenant 785</v>
      </c>
      <c r="BB797" s="55" t="str">
        <f aca="false">IF(AND($AR797&lt;&gt;"",$AS797&lt;&gt;""),$AS797-$AR797,"")</f>
        <v/>
      </c>
      <c r="BC797" s="55" t="str">
        <f aca="false">IF(AND($AR797&lt;&gt;"",$AT797&lt;&gt;""),$AT797-$AR797,"")</f>
        <v/>
      </c>
      <c r="BD797" s="55" t="str">
        <f aca="false">IF(AND($AS797&lt;&gt;"",$AT797&lt;&gt;""),$AT797-$AS797,"")</f>
        <v/>
      </c>
      <c r="BE797" s="53" t="str">
        <f aca="false">IF($E797&lt;&gt;"",$E797,"")</f>
        <v/>
      </c>
      <c r="BF797" s="52" t="str">
        <f aca="false">IF($F797&lt;&gt;"",$F797,"")</f>
        <v>Apprenant 785 ou 785'</v>
      </c>
      <c r="BG797" s="55" t="str">
        <f aca="false">IF(AND($AW797&lt;&gt;"",$AX797&lt;&gt;""),$AX797-$AW797,"")</f>
        <v/>
      </c>
      <c r="BH797" s="55" t="str">
        <f aca="false">IF(AND($AW797&lt;&gt;"",$AY797&lt;&gt;""),$AY797-$AW797,"")</f>
        <v/>
      </c>
      <c r="BI797" s="55" t="str">
        <f aca="false">IF(AND($AX797&lt;&gt;"",$AY797&lt;&gt;""),$AY797-$AX797,"")</f>
        <v/>
      </c>
      <c r="BJ797" s="53" t="str">
        <f aca="false">IF($J797&lt;&gt;"",$J797,"")</f>
        <v/>
      </c>
      <c r="BL797" s="52"/>
      <c r="BM797" s="52" t="str">
        <f aca="false">IF(OR(COUNT(B797:D1796)=0,AND('Choix pédagogiques'!$C$3&lt;&gt;1,'Choix pédagogiques'!$C$3&lt;&gt;2)),"",IF(AND(OR('Choix pédagogiques'!$C$3=1,'Choix pédagogiques'!$C$3=2),$B797&lt;&gt;"",$C797&lt;&gt;"",$D797&lt;&gt;""),1,0))</f>
        <v/>
      </c>
      <c r="BN797" s="52" t="str">
        <f aca="false">IF(OR(COUNT(G797:I1796)=0,AND('Choix pédagogiques'!$C$3&lt;&gt;1,'Choix pédagogiques'!$C$3&lt;&gt;2)),"",IF(AND(OR('Choix pédagogiques'!$C$3=1,'Choix pédagogiques'!$C$3=2),AND($G797&lt;&gt;"",$H797&lt;&gt;"",$I797&lt;&gt;"")),1,0))</f>
        <v/>
      </c>
      <c r="BO797" s="52" t="str">
        <f aca="false">IF(OR(COUNT(B797:D1796)=0,COUNT(G797:I1796)=0,'Choix pédagogiques'!C$3&lt;&gt;3),"",IF(AND('Choix pédagogiques'!$C$3=3,$B797&lt;&gt;"",$C797&lt;&gt;"",$D797&lt;&gt;"",$G797&lt;&gt;"",$H797&lt;&gt;"",$I797&lt;&gt;""),1,0))</f>
        <v/>
      </c>
      <c r="BR797" s="52" t="n">
        <v>139</v>
      </c>
      <c r="BS797" s="52" t="n">
        <v>1074</v>
      </c>
    </row>
    <row r="798" s="54" customFormat="true" ht="18" hidden="false" customHeight="true" outlineLevel="0" collapsed="false">
      <c r="A798" s="57" t="s">
        <v>1527</v>
      </c>
      <c r="B798" s="51"/>
      <c r="C798" s="51"/>
      <c r="D798" s="51"/>
      <c r="E798" s="51"/>
      <c r="F798" s="57" t="s">
        <v>1528</v>
      </c>
      <c r="G798" s="51"/>
      <c r="H798" s="51"/>
      <c r="I798" s="51"/>
      <c r="J798" s="51"/>
      <c r="K798" s="52" t="str">
        <f aca="false">IF($A798&lt;&gt;"",$A798,"")</f>
        <v>Apprenant 786</v>
      </c>
      <c r="L798" s="53" t="str">
        <f aca="false">IF(AND($B798&lt;&gt;"",$C798&lt;&gt;""),$C798-$B798,"")</f>
        <v/>
      </c>
      <c r="M798" s="53" t="str">
        <f aca="false">IF(AND($B798&lt;&gt;"",$D798&lt;&gt;""),$D798-$B798,"")</f>
        <v/>
      </c>
      <c r="N798" s="53" t="str">
        <f aca="false">IF(AND($C798&lt;&gt;"",$D798&lt;&gt;""),$D798-$C798,"")</f>
        <v/>
      </c>
      <c r="O798" s="53" t="str">
        <f aca="false">IF($E798&lt;&gt;"",$E798,"")</f>
        <v/>
      </c>
      <c r="P798" s="52" t="str">
        <f aca="false">IF($F798&lt;&gt;"",$F798,"")</f>
        <v>Apprenant 786 ou 786'</v>
      </c>
      <c r="Q798" s="53" t="str">
        <f aca="false">IF(AND($G798&lt;&gt;"",$H798&lt;&gt;""),$H798-$G798,"")</f>
        <v/>
      </c>
      <c r="R798" s="53" t="str">
        <f aca="false">IF(AND($G798&lt;&gt;"",$I798&lt;&gt;""),$I798-$G798,"")</f>
        <v/>
      </c>
      <c r="S798" s="53" t="str">
        <f aca="false">IF(AND($H798&lt;&gt;"",$I798&lt;&gt;""),$I798-$H798,"")</f>
        <v/>
      </c>
      <c r="T798" s="53" t="str">
        <f aca="false">IF($J798&lt;&gt;"",$J798,"")</f>
        <v/>
      </c>
      <c r="V798" s="52" t="str">
        <f aca="false">IF($A798&lt;&gt;"",$A798,"")</f>
        <v>Apprenant 786</v>
      </c>
      <c r="W798" s="53" t="str">
        <f aca="false">IF(AND(OR('Choix pédagogiques'!$C$3=1,'Choix pédagogiques'!$C$3=2),$BM798=1),B798,IF(AND('Choix pédagogiques'!$C$3=3,$BO798=1),B798,""))</f>
        <v/>
      </c>
      <c r="X798" s="53" t="str">
        <f aca="false">IF(AND(OR('Choix pédagogiques'!$C$3=1,'Choix pédagogiques'!$C$3=2),$BM798=1),C798,IF(AND('Choix pédagogiques'!$C$3=3,$BO798=1),C798,""))</f>
        <v/>
      </c>
      <c r="Y798" s="53" t="str">
        <f aca="false">IF(AND(OR('Choix pédagogiques'!$C$3=1,'Choix pédagogiques'!$C$3=2),$BM798=1),D798,IF(AND('Choix pédagogiques'!$C$3=3,$BO798=1),D798,""))</f>
        <v/>
      </c>
      <c r="Z798" s="53" t="str">
        <f aca="false">IF($E798&lt;&gt;"",$E798,"")</f>
        <v/>
      </c>
      <c r="AA798" s="52" t="str">
        <f aca="false">IF($F798&lt;&gt;"",$F798,"")</f>
        <v>Apprenant 786 ou 786'</v>
      </c>
      <c r="AB798" s="53" t="str">
        <f aca="false">IF(AND(OR('Choix pédagogiques'!$C$3=1,'Choix pédagogiques'!$C$3=2),$BN798=1),G798,IF(AND('Choix pédagogiques'!$C$3=3,$BO798=1),G798,""))</f>
        <v/>
      </c>
      <c r="AC798" s="53" t="str">
        <f aca="false">IF(AND(OR('Choix pédagogiques'!$C$3=1,'Choix pédagogiques'!$C$3=2),$BN798=1),H798,IF(AND('Choix pédagogiques'!$C$3=3,$BO798=1),H798,""))</f>
        <v/>
      </c>
      <c r="AD798" s="53" t="str">
        <f aca="false">IF(AND(OR('Choix pédagogiques'!$C$3=1,'Choix pédagogiques'!$C$3=2),$BN798=1),I798,IF(AND('Choix pédagogiques'!$C$3=3,$BO798=1),I798,""))</f>
        <v/>
      </c>
      <c r="AE798" s="53" t="str">
        <f aca="false">IF($J798&lt;&gt;"",$J798,"")</f>
        <v/>
      </c>
      <c r="AF798" s="52" t="str">
        <f aca="false">IF($A798&lt;&gt;"",$A798,"")</f>
        <v>Apprenant 786</v>
      </c>
      <c r="AG798" s="53" t="str">
        <f aca="false">IF(AND($W798&lt;&gt;"",$X798&lt;&gt;""),$X798-$W798,"")</f>
        <v/>
      </c>
      <c r="AH798" s="53" t="str">
        <f aca="false">IF(AND($W798&lt;&gt;"",$Y798&lt;&gt;""),$Y798-$W798,"")</f>
        <v/>
      </c>
      <c r="AI798" s="53" t="str">
        <f aca="false">IF(AND($X798&lt;&gt;"",$Y798&lt;&gt;""),$Y798-$X798,"")</f>
        <v/>
      </c>
      <c r="AJ798" s="53" t="str">
        <f aca="false">IF($E798&lt;&gt;"",$E798,"")</f>
        <v/>
      </c>
      <c r="AK798" s="52" t="str">
        <f aca="false">IF($F798&lt;&gt;"",$F798,"")</f>
        <v>Apprenant 786 ou 786'</v>
      </c>
      <c r="AL798" s="53" t="str">
        <f aca="false">IF(AND($AB798&lt;&gt;"",$AC798&lt;&gt;""),$AC798-$AB798,"")</f>
        <v/>
      </c>
      <c r="AM798" s="53" t="str">
        <f aca="false">IF(AND($AB798&lt;&gt;"",$AD798&lt;&gt;""),$AD798-$AB798,"")</f>
        <v/>
      </c>
      <c r="AN798" s="53" t="str">
        <f aca="false">IF(AND($AC798&lt;&gt;"",$AD798&lt;&gt;""),$AD798-$AC798,"")</f>
        <v/>
      </c>
      <c r="AO798" s="53" t="str">
        <f aca="false">IF($J798&lt;&gt;"",$J798,"")</f>
        <v/>
      </c>
      <c r="AQ798" s="52" t="str">
        <f aca="false">IF($A798&lt;&gt;"",$A798,"")</f>
        <v>Apprenant 786</v>
      </c>
      <c r="AR798" s="55" t="str">
        <f aca="false">IF(AND('Choix pédagogiques'!$C$4&lt;&gt;"?",'Choix pédagogiques'!$C$5&lt;&gt;"?",W798&lt;&gt;""),(W798-'Choix pédagogiques'!$C$4)/('Choix pédagogiques'!$C$5-'Choix pédagogiques'!$C$4),"")</f>
        <v/>
      </c>
      <c r="AS798" s="55" t="str">
        <f aca="false">IF(AND('Choix pédagogiques'!$C$4&lt;&gt;"?",'Choix pédagogiques'!$C$5&lt;&gt;"?",X798&lt;&gt;""),(X798-'Choix pédagogiques'!$C$4)/('Choix pédagogiques'!$C$5-'Choix pédagogiques'!$C$4),"")</f>
        <v/>
      </c>
      <c r="AT798" s="55" t="str">
        <f aca="false">IF(AND('Choix pédagogiques'!$C$4&lt;&gt;"?",'Choix pédagogiques'!$C$5&lt;&gt;"?",Y798&lt;&gt;""),(Y798-'Choix pédagogiques'!$C$4)/('Choix pédagogiques'!$C$5-'Choix pédagogiques'!$C$4),"")</f>
        <v/>
      </c>
      <c r="AU798" s="53" t="str">
        <f aca="false">IF($E798&lt;&gt;"",$E798,"")</f>
        <v/>
      </c>
      <c r="AV798" s="52" t="str">
        <f aca="false">IF($F798&lt;&gt;"",$F798,"")</f>
        <v>Apprenant 786 ou 786'</v>
      </c>
      <c r="AW798" s="55" t="str">
        <f aca="false">IF(AND('Choix pédagogiques'!$C$4&lt;&gt;"?",'Choix pédagogiques'!$C$5&lt;&gt;"?",AB798&lt;&gt;""),(AB798-'Choix pédagogiques'!$C$4)/('Choix pédagogiques'!$C$5-'Choix pédagogiques'!$C$4),"")</f>
        <v/>
      </c>
      <c r="AX798" s="55" t="str">
        <f aca="false">IF(AND('Choix pédagogiques'!$C$4&lt;&gt;"?",'Choix pédagogiques'!$C$5&lt;&gt;"?",AC798&lt;&gt;""),(AC798-'Choix pédagogiques'!$C$4)/('Choix pédagogiques'!$C$5-'Choix pédagogiques'!$C$4),"")</f>
        <v/>
      </c>
      <c r="AY798" s="55" t="str">
        <f aca="false">IF(AND('Choix pédagogiques'!$C$4&lt;&gt;"?",'Choix pédagogiques'!$C$5&lt;&gt;"?",AD798&lt;&gt;""),(AD798-'Choix pédagogiques'!$C$4)/('Choix pédagogiques'!$C$5-'Choix pédagogiques'!$C$4),"")</f>
        <v/>
      </c>
      <c r="AZ798" s="53" t="str">
        <f aca="false">IF($J798&lt;&gt;"",$J798,"")</f>
        <v/>
      </c>
      <c r="BA798" s="52" t="str">
        <f aca="false">IF($A798&lt;&gt;"",$A798,"")</f>
        <v>Apprenant 786</v>
      </c>
      <c r="BB798" s="55" t="str">
        <f aca="false">IF(AND($AR798&lt;&gt;"",$AS798&lt;&gt;""),$AS798-$AR798,"")</f>
        <v/>
      </c>
      <c r="BC798" s="55" t="str">
        <f aca="false">IF(AND($AR798&lt;&gt;"",$AT798&lt;&gt;""),$AT798-$AR798,"")</f>
        <v/>
      </c>
      <c r="BD798" s="55" t="str">
        <f aca="false">IF(AND($AS798&lt;&gt;"",$AT798&lt;&gt;""),$AT798-$AS798,"")</f>
        <v/>
      </c>
      <c r="BE798" s="53" t="str">
        <f aca="false">IF($E798&lt;&gt;"",$E798,"")</f>
        <v/>
      </c>
      <c r="BF798" s="52" t="str">
        <f aca="false">IF($F798&lt;&gt;"",$F798,"")</f>
        <v>Apprenant 786 ou 786'</v>
      </c>
      <c r="BG798" s="55" t="str">
        <f aca="false">IF(AND($AW798&lt;&gt;"",$AX798&lt;&gt;""),$AX798-$AW798,"")</f>
        <v/>
      </c>
      <c r="BH798" s="55" t="str">
        <f aca="false">IF(AND($AW798&lt;&gt;"",$AY798&lt;&gt;""),$AY798-$AW798,"")</f>
        <v/>
      </c>
      <c r="BI798" s="55" t="str">
        <f aca="false">IF(AND($AX798&lt;&gt;"",$AY798&lt;&gt;""),$AY798-$AX798,"")</f>
        <v/>
      </c>
      <c r="BJ798" s="53" t="str">
        <f aca="false">IF($J798&lt;&gt;"",$J798,"")</f>
        <v/>
      </c>
      <c r="BL798" s="52"/>
      <c r="BM798" s="52" t="str">
        <f aca="false">IF(OR(COUNT(B798:D1797)=0,AND('Choix pédagogiques'!$C$3&lt;&gt;1,'Choix pédagogiques'!$C$3&lt;&gt;2)),"",IF(AND(OR('Choix pédagogiques'!$C$3=1,'Choix pédagogiques'!$C$3=2),$B798&lt;&gt;"",$C798&lt;&gt;"",$D798&lt;&gt;""),1,0))</f>
        <v/>
      </c>
      <c r="BN798" s="52" t="str">
        <f aca="false">IF(OR(COUNT(G798:I1797)=0,AND('Choix pédagogiques'!$C$3&lt;&gt;1,'Choix pédagogiques'!$C$3&lt;&gt;2)),"",IF(AND(OR('Choix pédagogiques'!$C$3=1,'Choix pédagogiques'!$C$3=2),AND($G798&lt;&gt;"",$H798&lt;&gt;"",$I798&lt;&gt;"")),1,0))</f>
        <v/>
      </c>
      <c r="BO798" s="52" t="str">
        <f aca="false">IF(OR(COUNT(B798:D1797)=0,COUNT(G798:I1797)=0,'Choix pédagogiques'!C$3&lt;&gt;3),"",IF(AND('Choix pédagogiques'!$C$3=3,$B798&lt;&gt;"",$C798&lt;&gt;"",$D798&lt;&gt;"",$G798&lt;&gt;"",$H798&lt;&gt;"",$I798&lt;&gt;""),1,0))</f>
        <v/>
      </c>
      <c r="BR798" s="52" t="n">
        <v>64</v>
      </c>
      <c r="BS798" s="52" t="n">
        <v>1425</v>
      </c>
    </row>
    <row r="799" s="54" customFormat="true" ht="18" hidden="false" customHeight="true" outlineLevel="0" collapsed="false">
      <c r="A799" s="57" t="s">
        <v>1529</v>
      </c>
      <c r="B799" s="51"/>
      <c r="C799" s="51"/>
      <c r="D799" s="51"/>
      <c r="E799" s="51"/>
      <c r="F799" s="57" t="s">
        <v>1530</v>
      </c>
      <c r="G799" s="51"/>
      <c r="H799" s="51"/>
      <c r="I799" s="51"/>
      <c r="J799" s="51"/>
      <c r="K799" s="52" t="str">
        <f aca="false">IF($A799&lt;&gt;"",$A799,"")</f>
        <v>Apprenant 787</v>
      </c>
      <c r="L799" s="53" t="str">
        <f aca="false">IF(AND($B799&lt;&gt;"",$C799&lt;&gt;""),$C799-$B799,"")</f>
        <v/>
      </c>
      <c r="M799" s="53" t="str">
        <f aca="false">IF(AND($B799&lt;&gt;"",$D799&lt;&gt;""),$D799-$B799,"")</f>
        <v/>
      </c>
      <c r="N799" s="53" t="str">
        <f aca="false">IF(AND($C799&lt;&gt;"",$D799&lt;&gt;""),$D799-$C799,"")</f>
        <v/>
      </c>
      <c r="O799" s="53" t="str">
        <f aca="false">IF($E799&lt;&gt;"",$E799,"")</f>
        <v/>
      </c>
      <c r="P799" s="52" t="str">
        <f aca="false">IF($F799&lt;&gt;"",$F799,"")</f>
        <v>Apprenant 787 ou 787'</v>
      </c>
      <c r="Q799" s="53" t="str">
        <f aca="false">IF(AND($G799&lt;&gt;"",$H799&lt;&gt;""),$H799-$G799,"")</f>
        <v/>
      </c>
      <c r="R799" s="53" t="str">
        <f aca="false">IF(AND($G799&lt;&gt;"",$I799&lt;&gt;""),$I799-$G799,"")</f>
        <v/>
      </c>
      <c r="S799" s="53" t="str">
        <f aca="false">IF(AND($H799&lt;&gt;"",$I799&lt;&gt;""),$I799-$H799,"")</f>
        <v/>
      </c>
      <c r="T799" s="53" t="str">
        <f aca="false">IF($J799&lt;&gt;"",$J799,"")</f>
        <v/>
      </c>
      <c r="V799" s="52" t="str">
        <f aca="false">IF($A799&lt;&gt;"",$A799,"")</f>
        <v>Apprenant 787</v>
      </c>
      <c r="W799" s="53" t="str">
        <f aca="false">IF(AND(OR('Choix pédagogiques'!$C$3=1,'Choix pédagogiques'!$C$3=2),$BM799=1),B799,IF(AND('Choix pédagogiques'!$C$3=3,$BO799=1),B799,""))</f>
        <v/>
      </c>
      <c r="X799" s="53" t="str">
        <f aca="false">IF(AND(OR('Choix pédagogiques'!$C$3=1,'Choix pédagogiques'!$C$3=2),$BM799=1),C799,IF(AND('Choix pédagogiques'!$C$3=3,$BO799=1),C799,""))</f>
        <v/>
      </c>
      <c r="Y799" s="53" t="str">
        <f aca="false">IF(AND(OR('Choix pédagogiques'!$C$3=1,'Choix pédagogiques'!$C$3=2),$BM799=1),D799,IF(AND('Choix pédagogiques'!$C$3=3,$BO799=1),D799,""))</f>
        <v/>
      </c>
      <c r="Z799" s="53" t="str">
        <f aca="false">IF($E799&lt;&gt;"",$E799,"")</f>
        <v/>
      </c>
      <c r="AA799" s="52" t="str">
        <f aca="false">IF($F799&lt;&gt;"",$F799,"")</f>
        <v>Apprenant 787 ou 787'</v>
      </c>
      <c r="AB799" s="53" t="str">
        <f aca="false">IF(AND(OR('Choix pédagogiques'!$C$3=1,'Choix pédagogiques'!$C$3=2),$BN799=1),G799,IF(AND('Choix pédagogiques'!$C$3=3,$BO799=1),G799,""))</f>
        <v/>
      </c>
      <c r="AC799" s="53" t="str">
        <f aca="false">IF(AND(OR('Choix pédagogiques'!$C$3=1,'Choix pédagogiques'!$C$3=2),$BN799=1),H799,IF(AND('Choix pédagogiques'!$C$3=3,$BO799=1),H799,""))</f>
        <v/>
      </c>
      <c r="AD799" s="53" t="str">
        <f aca="false">IF(AND(OR('Choix pédagogiques'!$C$3=1,'Choix pédagogiques'!$C$3=2),$BN799=1),I799,IF(AND('Choix pédagogiques'!$C$3=3,$BO799=1),I799,""))</f>
        <v/>
      </c>
      <c r="AE799" s="53" t="str">
        <f aca="false">IF($J799&lt;&gt;"",$J799,"")</f>
        <v/>
      </c>
      <c r="AF799" s="52" t="str">
        <f aca="false">IF($A799&lt;&gt;"",$A799,"")</f>
        <v>Apprenant 787</v>
      </c>
      <c r="AG799" s="53" t="str">
        <f aca="false">IF(AND($W799&lt;&gt;"",$X799&lt;&gt;""),$X799-$W799,"")</f>
        <v/>
      </c>
      <c r="AH799" s="53" t="str">
        <f aca="false">IF(AND($W799&lt;&gt;"",$Y799&lt;&gt;""),$Y799-$W799,"")</f>
        <v/>
      </c>
      <c r="AI799" s="53" t="str">
        <f aca="false">IF(AND($X799&lt;&gt;"",$Y799&lt;&gt;""),$Y799-$X799,"")</f>
        <v/>
      </c>
      <c r="AJ799" s="53" t="str">
        <f aca="false">IF($E799&lt;&gt;"",$E799,"")</f>
        <v/>
      </c>
      <c r="AK799" s="52" t="str">
        <f aca="false">IF($F799&lt;&gt;"",$F799,"")</f>
        <v>Apprenant 787 ou 787'</v>
      </c>
      <c r="AL799" s="53" t="str">
        <f aca="false">IF(AND($AB799&lt;&gt;"",$AC799&lt;&gt;""),$AC799-$AB799,"")</f>
        <v/>
      </c>
      <c r="AM799" s="53" t="str">
        <f aca="false">IF(AND($AB799&lt;&gt;"",$AD799&lt;&gt;""),$AD799-$AB799,"")</f>
        <v/>
      </c>
      <c r="AN799" s="53" t="str">
        <f aca="false">IF(AND($AC799&lt;&gt;"",$AD799&lt;&gt;""),$AD799-$AC799,"")</f>
        <v/>
      </c>
      <c r="AO799" s="53" t="str">
        <f aca="false">IF($J799&lt;&gt;"",$J799,"")</f>
        <v/>
      </c>
      <c r="AQ799" s="52" t="str">
        <f aca="false">IF($A799&lt;&gt;"",$A799,"")</f>
        <v>Apprenant 787</v>
      </c>
      <c r="AR799" s="55" t="str">
        <f aca="false">IF(AND('Choix pédagogiques'!$C$4&lt;&gt;"?",'Choix pédagogiques'!$C$5&lt;&gt;"?",W799&lt;&gt;""),(W799-'Choix pédagogiques'!$C$4)/('Choix pédagogiques'!$C$5-'Choix pédagogiques'!$C$4),"")</f>
        <v/>
      </c>
      <c r="AS799" s="55" t="str">
        <f aca="false">IF(AND('Choix pédagogiques'!$C$4&lt;&gt;"?",'Choix pédagogiques'!$C$5&lt;&gt;"?",X799&lt;&gt;""),(X799-'Choix pédagogiques'!$C$4)/('Choix pédagogiques'!$C$5-'Choix pédagogiques'!$C$4),"")</f>
        <v/>
      </c>
      <c r="AT799" s="55" t="str">
        <f aca="false">IF(AND('Choix pédagogiques'!$C$4&lt;&gt;"?",'Choix pédagogiques'!$C$5&lt;&gt;"?",Y799&lt;&gt;""),(Y799-'Choix pédagogiques'!$C$4)/('Choix pédagogiques'!$C$5-'Choix pédagogiques'!$C$4),"")</f>
        <v/>
      </c>
      <c r="AU799" s="53" t="str">
        <f aca="false">IF($E799&lt;&gt;"",$E799,"")</f>
        <v/>
      </c>
      <c r="AV799" s="52" t="str">
        <f aca="false">IF($F799&lt;&gt;"",$F799,"")</f>
        <v>Apprenant 787 ou 787'</v>
      </c>
      <c r="AW799" s="55" t="str">
        <f aca="false">IF(AND('Choix pédagogiques'!$C$4&lt;&gt;"?",'Choix pédagogiques'!$C$5&lt;&gt;"?",AB799&lt;&gt;""),(AB799-'Choix pédagogiques'!$C$4)/('Choix pédagogiques'!$C$5-'Choix pédagogiques'!$C$4),"")</f>
        <v/>
      </c>
      <c r="AX799" s="55" t="str">
        <f aca="false">IF(AND('Choix pédagogiques'!$C$4&lt;&gt;"?",'Choix pédagogiques'!$C$5&lt;&gt;"?",AC799&lt;&gt;""),(AC799-'Choix pédagogiques'!$C$4)/('Choix pédagogiques'!$C$5-'Choix pédagogiques'!$C$4),"")</f>
        <v/>
      </c>
      <c r="AY799" s="55" t="str">
        <f aca="false">IF(AND('Choix pédagogiques'!$C$4&lt;&gt;"?",'Choix pédagogiques'!$C$5&lt;&gt;"?",AD799&lt;&gt;""),(AD799-'Choix pédagogiques'!$C$4)/('Choix pédagogiques'!$C$5-'Choix pédagogiques'!$C$4),"")</f>
        <v/>
      </c>
      <c r="AZ799" s="53" t="str">
        <f aca="false">IF($J799&lt;&gt;"",$J799,"")</f>
        <v/>
      </c>
      <c r="BA799" s="52" t="str">
        <f aca="false">IF($A799&lt;&gt;"",$A799,"")</f>
        <v>Apprenant 787</v>
      </c>
      <c r="BB799" s="55" t="str">
        <f aca="false">IF(AND($AR799&lt;&gt;"",$AS799&lt;&gt;""),$AS799-$AR799,"")</f>
        <v/>
      </c>
      <c r="BC799" s="55" t="str">
        <f aca="false">IF(AND($AR799&lt;&gt;"",$AT799&lt;&gt;""),$AT799-$AR799,"")</f>
        <v/>
      </c>
      <c r="BD799" s="55" t="str">
        <f aca="false">IF(AND($AS799&lt;&gt;"",$AT799&lt;&gt;""),$AT799-$AS799,"")</f>
        <v/>
      </c>
      <c r="BE799" s="53" t="str">
        <f aca="false">IF($E799&lt;&gt;"",$E799,"")</f>
        <v/>
      </c>
      <c r="BF799" s="52" t="str">
        <f aca="false">IF($F799&lt;&gt;"",$F799,"")</f>
        <v>Apprenant 787 ou 787'</v>
      </c>
      <c r="BG799" s="55" t="str">
        <f aca="false">IF(AND($AW799&lt;&gt;"",$AX799&lt;&gt;""),$AX799-$AW799,"")</f>
        <v/>
      </c>
      <c r="BH799" s="55" t="str">
        <f aca="false">IF(AND($AW799&lt;&gt;"",$AY799&lt;&gt;""),$AY799-$AW799,"")</f>
        <v/>
      </c>
      <c r="BI799" s="55" t="str">
        <f aca="false">IF(AND($AX799&lt;&gt;"",$AY799&lt;&gt;""),$AY799-$AX799,"")</f>
        <v/>
      </c>
      <c r="BJ799" s="53" t="str">
        <f aca="false">IF($J799&lt;&gt;"",$J799,"")</f>
        <v/>
      </c>
      <c r="BL799" s="52"/>
      <c r="BM799" s="52" t="str">
        <f aca="false">IF(OR(COUNT(B799:D1798)=0,AND('Choix pédagogiques'!$C$3&lt;&gt;1,'Choix pédagogiques'!$C$3&lt;&gt;2)),"",IF(AND(OR('Choix pédagogiques'!$C$3=1,'Choix pédagogiques'!$C$3=2),$B799&lt;&gt;"",$C799&lt;&gt;"",$D799&lt;&gt;""),1,0))</f>
        <v/>
      </c>
      <c r="BN799" s="52" t="str">
        <f aca="false">IF(OR(COUNT(G799:I1798)=0,AND('Choix pédagogiques'!$C$3&lt;&gt;1,'Choix pédagogiques'!$C$3&lt;&gt;2)),"",IF(AND(OR('Choix pédagogiques'!$C$3=1,'Choix pédagogiques'!$C$3=2),AND($G799&lt;&gt;"",$H799&lt;&gt;"",$I799&lt;&gt;"")),1,0))</f>
        <v/>
      </c>
      <c r="BO799" s="52" t="str">
        <f aca="false">IF(OR(COUNT(B799:D1798)=0,COUNT(G799:I1798)=0,'Choix pédagogiques'!C$3&lt;&gt;3),"",IF(AND('Choix pédagogiques'!$C$3=3,$B799&lt;&gt;"",$C799&lt;&gt;"",$D799&lt;&gt;"",$G799&lt;&gt;"",$H799&lt;&gt;"",$I799&lt;&gt;""),1,0))</f>
        <v/>
      </c>
      <c r="BR799" s="52" t="n">
        <v>162</v>
      </c>
      <c r="BS799" s="52" t="n">
        <v>1721</v>
      </c>
    </row>
    <row r="800" s="54" customFormat="true" ht="18" hidden="false" customHeight="true" outlineLevel="0" collapsed="false">
      <c r="A800" s="57" t="s">
        <v>1531</v>
      </c>
      <c r="B800" s="51"/>
      <c r="C800" s="51"/>
      <c r="D800" s="51"/>
      <c r="E800" s="51"/>
      <c r="F800" s="57" t="s">
        <v>1532</v>
      </c>
      <c r="G800" s="51"/>
      <c r="H800" s="51"/>
      <c r="I800" s="51"/>
      <c r="J800" s="51"/>
      <c r="K800" s="52" t="str">
        <f aca="false">IF($A800&lt;&gt;"",$A800,"")</f>
        <v>Apprenant 788</v>
      </c>
      <c r="L800" s="53" t="str">
        <f aca="false">IF(AND($B800&lt;&gt;"",$C800&lt;&gt;""),$C800-$B800,"")</f>
        <v/>
      </c>
      <c r="M800" s="53" t="str">
        <f aca="false">IF(AND($B800&lt;&gt;"",$D800&lt;&gt;""),$D800-$B800,"")</f>
        <v/>
      </c>
      <c r="N800" s="53" t="str">
        <f aca="false">IF(AND($C800&lt;&gt;"",$D800&lt;&gt;""),$D800-$C800,"")</f>
        <v/>
      </c>
      <c r="O800" s="53" t="str">
        <f aca="false">IF($E800&lt;&gt;"",$E800,"")</f>
        <v/>
      </c>
      <c r="P800" s="52" t="str">
        <f aca="false">IF($F800&lt;&gt;"",$F800,"")</f>
        <v>Apprenant 788 ou 788'</v>
      </c>
      <c r="Q800" s="53" t="str">
        <f aca="false">IF(AND($G800&lt;&gt;"",$H800&lt;&gt;""),$H800-$G800,"")</f>
        <v/>
      </c>
      <c r="R800" s="53" t="str">
        <f aca="false">IF(AND($G800&lt;&gt;"",$I800&lt;&gt;""),$I800-$G800,"")</f>
        <v/>
      </c>
      <c r="S800" s="53" t="str">
        <f aca="false">IF(AND($H800&lt;&gt;"",$I800&lt;&gt;""),$I800-$H800,"")</f>
        <v/>
      </c>
      <c r="T800" s="53" t="str">
        <f aca="false">IF($J800&lt;&gt;"",$J800,"")</f>
        <v/>
      </c>
      <c r="V800" s="52" t="str">
        <f aca="false">IF($A800&lt;&gt;"",$A800,"")</f>
        <v>Apprenant 788</v>
      </c>
      <c r="W800" s="53" t="str">
        <f aca="false">IF(AND(OR('Choix pédagogiques'!$C$3=1,'Choix pédagogiques'!$C$3=2),$BM800=1),B800,IF(AND('Choix pédagogiques'!$C$3=3,$BO800=1),B800,""))</f>
        <v/>
      </c>
      <c r="X800" s="53" t="str">
        <f aca="false">IF(AND(OR('Choix pédagogiques'!$C$3=1,'Choix pédagogiques'!$C$3=2),$BM800=1),C800,IF(AND('Choix pédagogiques'!$C$3=3,$BO800=1),C800,""))</f>
        <v/>
      </c>
      <c r="Y800" s="53" t="str">
        <f aca="false">IF(AND(OR('Choix pédagogiques'!$C$3=1,'Choix pédagogiques'!$C$3=2),$BM800=1),D800,IF(AND('Choix pédagogiques'!$C$3=3,$BO800=1),D800,""))</f>
        <v/>
      </c>
      <c r="Z800" s="53" t="str">
        <f aca="false">IF($E800&lt;&gt;"",$E800,"")</f>
        <v/>
      </c>
      <c r="AA800" s="52" t="str">
        <f aca="false">IF($F800&lt;&gt;"",$F800,"")</f>
        <v>Apprenant 788 ou 788'</v>
      </c>
      <c r="AB800" s="53" t="str">
        <f aca="false">IF(AND(OR('Choix pédagogiques'!$C$3=1,'Choix pédagogiques'!$C$3=2),$BN800=1),G800,IF(AND('Choix pédagogiques'!$C$3=3,$BO800=1),G800,""))</f>
        <v/>
      </c>
      <c r="AC800" s="53" t="str">
        <f aca="false">IF(AND(OR('Choix pédagogiques'!$C$3=1,'Choix pédagogiques'!$C$3=2),$BN800=1),H800,IF(AND('Choix pédagogiques'!$C$3=3,$BO800=1),H800,""))</f>
        <v/>
      </c>
      <c r="AD800" s="53" t="str">
        <f aca="false">IF(AND(OR('Choix pédagogiques'!$C$3=1,'Choix pédagogiques'!$C$3=2),$BN800=1),I800,IF(AND('Choix pédagogiques'!$C$3=3,$BO800=1),I800,""))</f>
        <v/>
      </c>
      <c r="AE800" s="53" t="str">
        <f aca="false">IF($J800&lt;&gt;"",$J800,"")</f>
        <v/>
      </c>
      <c r="AF800" s="52" t="str">
        <f aca="false">IF($A800&lt;&gt;"",$A800,"")</f>
        <v>Apprenant 788</v>
      </c>
      <c r="AG800" s="53" t="str">
        <f aca="false">IF(AND($W800&lt;&gt;"",$X800&lt;&gt;""),$X800-$W800,"")</f>
        <v/>
      </c>
      <c r="AH800" s="53" t="str">
        <f aca="false">IF(AND($W800&lt;&gt;"",$Y800&lt;&gt;""),$Y800-$W800,"")</f>
        <v/>
      </c>
      <c r="AI800" s="53" t="str">
        <f aca="false">IF(AND($X800&lt;&gt;"",$Y800&lt;&gt;""),$Y800-$X800,"")</f>
        <v/>
      </c>
      <c r="AJ800" s="53" t="str">
        <f aca="false">IF($E800&lt;&gt;"",$E800,"")</f>
        <v/>
      </c>
      <c r="AK800" s="52" t="str">
        <f aca="false">IF($F800&lt;&gt;"",$F800,"")</f>
        <v>Apprenant 788 ou 788'</v>
      </c>
      <c r="AL800" s="53" t="str">
        <f aca="false">IF(AND($AB800&lt;&gt;"",$AC800&lt;&gt;""),$AC800-$AB800,"")</f>
        <v/>
      </c>
      <c r="AM800" s="53" t="str">
        <f aca="false">IF(AND($AB800&lt;&gt;"",$AD800&lt;&gt;""),$AD800-$AB800,"")</f>
        <v/>
      </c>
      <c r="AN800" s="53" t="str">
        <f aca="false">IF(AND($AC800&lt;&gt;"",$AD800&lt;&gt;""),$AD800-$AC800,"")</f>
        <v/>
      </c>
      <c r="AO800" s="53" t="str">
        <f aca="false">IF($J800&lt;&gt;"",$J800,"")</f>
        <v/>
      </c>
      <c r="AQ800" s="52" t="str">
        <f aca="false">IF($A800&lt;&gt;"",$A800,"")</f>
        <v>Apprenant 788</v>
      </c>
      <c r="AR800" s="55" t="str">
        <f aca="false">IF(AND('Choix pédagogiques'!$C$4&lt;&gt;"?",'Choix pédagogiques'!$C$5&lt;&gt;"?",W800&lt;&gt;""),(W800-'Choix pédagogiques'!$C$4)/('Choix pédagogiques'!$C$5-'Choix pédagogiques'!$C$4),"")</f>
        <v/>
      </c>
      <c r="AS800" s="55" t="str">
        <f aca="false">IF(AND('Choix pédagogiques'!$C$4&lt;&gt;"?",'Choix pédagogiques'!$C$5&lt;&gt;"?",X800&lt;&gt;""),(X800-'Choix pédagogiques'!$C$4)/('Choix pédagogiques'!$C$5-'Choix pédagogiques'!$C$4),"")</f>
        <v/>
      </c>
      <c r="AT800" s="55" t="str">
        <f aca="false">IF(AND('Choix pédagogiques'!$C$4&lt;&gt;"?",'Choix pédagogiques'!$C$5&lt;&gt;"?",Y800&lt;&gt;""),(Y800-'Choix pédagogiques'!$C$4)/('Choix pédagogiques'!$C$5-'Choix pédagogiques'!$C$4),"")</f>
        <v/>
      </c>
      <c r="AU800" s="53" t="str">
        <f aca="false">IF($E800&lt;&gt;"",$E800,"")</f>
        <v/>
      </c>
      <c r="AV800" s="52" t="str">
        <f aca="false">IF($F800&lt;&gt;"",$F800,"")</f>
        <v>Apprenant 788 ou 788'</v>
      </c>
      <c r="AW800" s="55" t="str">
        <f aca="false">IF(AND('Choix pédagogiques'!$C$4&lt;&gt;"?",'Choix pédagogiques'!$C$5&lt;&gt;"?",AB800&lt;&gt;""),(AB800-'Choix pédagogiques'!$C$4)/('Choix pédagogiques'!$C$5-'Choix pédagogiques'!$C$4),"")</f>
        <v/>
      </c>
      <c r="AX800" s="55" t="str">
        <f aca="false">IF(AND('Choix pédagogiques'!$C$4&lt;&gt;"?",'Choix pédagogiques'!$C$5&lt;&gt;"?",AC800&lt;&gt;""),(AC800-'Choix pédagogiques'!$C$4)/('Choix pédagogiques'!$C$5-'Choix pédagogiques'!$C$4),"")</f>
        <v/>
      </c>
      <c r="AY800" s="55" t="str">
        <f aca="false">IF(AND('Choix pédagogiques'!$C$4&lt;&gt;"?",'Choix pédagogiques'!$C$5&lt;&gt;"?",AD800&lt;&gt;""),(AD800-'Choix pédagogiques'!$C$4)/('Choix pédagogiques'!$C$5-'Choix pédagogiques'!$C$4),"")</f>
        <v/>
      </c>
      <c r="AZ800" s="53" t="str">
        <f aca="false">IF($J800&lt;&gt;"",$J800,"")</f>
        <v/>
      </c>
      <c r="BA800" s="52" t="str">
        <f aca="false">IF($A800&lt;&gt;"",$A800,"")</f>
        <v>Apprenant 788</v>
      </c>
      <c r="BB800" s="55" t="str">
        <f aca="false">IF(AND($AR800&lt;&gt;"",$AS800&lt;&gt;""),$AS800-$AR800,"")</f>
        <v/>
      </c>
      <c r="BC800" s="55" t="str">
        <f aca="false">IF(AND($AR800&lt;&gt;"",$AT800&lt;&gt;""),$AT800-$AR800,"")</f>
        <v/>
      </c>
      <c r="BD800" s="55" t="str">
        <f aca="false">IF(AND($AS800&lt;&gt;"",$AT800&lt;&gt;""),$AT800-$AS800,"")</f>
        <v/>
      </c>
      <c r="BE800" s="53" t="str">
        <f aca="false">IF($E800&lt;&gt;"",$E800,"")</f>
        <v/>
      </c>
      <c r="BF800" s="52" t="str">
        <f aca="false">IF($F800&lt;&gt;"",$F800,"")</f>
        <v>Apprenant 788 ou 788'</v>
      </c>
      <c r="BG800" s="55" t="str">
        <f aca="false">IF(AND($AW800&lt;&gt;"",$AX800&lt;&gt;""),$AX800-$AW800,"")</f>
        <v/>
      </c>
      <c r="BH800" s="55" t="str">
        <f aca="false">IF(AND($AW800&lt;&gt;"",$AY800&lt;&gt;""),$AY800-$AW800,"")</f>
        <v/>
      </c>
      <c r="BI800" s="55" t="str">
        <f aca="false">IF(AND($AX800&lt;&gt;"",$AY800&lt;&gt;""),$AY800-$AX800,"")</f>
        <v/>
      </c>
      <c r="BJ800" s="53" t="str">
        <f aca="false">IF($J800&lt;&gt;"",$J800,"")</f>
        <v/>
      </c>
      <c r="BL800" s="52"/>
      <c r="BM800" s="52" t="str">
        <f aca="false">IF(OR(COUNT(B800:D1799)=0,AND('Choix pédagogiques'!$C$3&lt;&gt;1,'Choix pédagogiques'!$C$3&lt;&gt;2)),"",IF(AND(OR('Choix pédagogiques'!$C$3=1,'Choix pédagogiques'!$C$3=2),$B800&lt;&gt;"",$C800&lt;&gt;"",$D800&lt;&gt;""),1,0))</f>
        <v/>
      </c>
      <c r="BN800" s="52" t="str">
        <f aca="false">IF(OR(COUNT(G800:I1799)=0,AND('Choix pédagogiques'!$C$3&lt;&gt;1,'Choix pédagogiques'!$C$3&lt;&gt;2)),"",IF(AND(OR('Choix pédagogiques'!$C$3=1,'Choix pédagogiques'!$C$3=2),AND($G800&lt;&gt;"",$H800&lt;&gt;"",$I800&lt;&gt;"")),1,0))</f>
        <v/>
      </c>
      <c r="BO800" s="52" t="str">
        <f aca="false">IF(OR(COUNT(B800:D1799)=0,COUNT(G800:I1799)=0,'Choix pédagogiques'!C$3&lt;&gt;3),"",IF(AND('Choix pédagogiques'!$C$3=3,$B800&lt;&gt;"",$C800&lt;&gt;"",$D800&lt;&gt;"",$G800&lt;&gt;"",$H800&lt;&gt;"",$I800&lt;&gt;""),1,0))</f>
        <v/>
      </c>
      <c r="BR800" s="52" t="n">
        <v>386</v>
      </c>
      <c r="BS800" s="52" t="n">
        <v>1377</v>
      </c>
    </row>
    <row r="801" s="54" customFormat="true" ht="18" hidden="false" customHeight="true" outlineLevel="0" collapsed="false">
      <c r="A801" s="57" t="s">
        <v>1533</v>
      </c>
      <c r="B801" s="51"/>
      <c r="C801" s="51"/>
      <c r="D801" s="51"/>
      <c r="E801" s="51"/>
      <c r="F801" s="57" t="s">
        <v>1534</v>
      </c>
      <c r="G801" s="51"/>
      <c r="H801" s="51"/>
      <c r="I801" s="51"/>
      <c r="J801" s="51"/>
      <c r="K801" s="52" t="str">
        <f aca="false">IF($A801&lt;&gt;"",$A801,"")</f>
        <v>Apprenant 789</v>
      </c>
      <c r="L801" s="53" t="str">
        <f aca="false">IF(AND($B801&lt;&gt;"",$C801&lt;&gt;""),$C801-$B801,"")</f>
        <v/>
      </c>
      <c r="M801" s="53" t="str">
        <f aca="false">IF(AND($B801&lt;&gt;"",$D801&lt;&gt;""),$D801-$B801,"")</f>
        <v/>
      </c>
      <c r="N801" s="53" t="str">
        <f aca="false">IF(AND($C801&lt;&gt;"",$D801&lt;&gt;""),$D801-$C801,"")</f>
        <v/>
      </c>
      <c r="O801" s="53" t="str">
        <f aca="false">IF($E801&lt;&gt;"",$E801,"")</f>
        <v/>
      </c>
      <c r="P801" s="52" t="str">
        <f aca="false">IF($F801&lt;&gt;"",$F801,"")</f>
        <v>Apprenant 789 ou 789'</v>
      </c>
      <c r="Q801" s="53" t="str">
        <f aca="false">IF(AND($G801&lt;&gt;"",$H801&lt;&gt;""),$H801-$G801,"")</f>
        <v/>
      </c>
      <c r="R801" s="53" t="str">
        <f aca="false">IF(AND($G801&lt;&gt;"",$I801&lt;&gt;""),$I801-$G801,"")</f>
        <v/>
      </c>
      <c r="S801" s="53" t="str">
        <f aca="false">IF(AND($H801&lt;&gt;"",$I801&lt;&gt;""),$I801-$H801,"")</f>
        <v/>
      </c>
      <c r="T801" s="53" t="str">
        <f aca="false">IF($J801&lt;&gt;"",$J801,"")</f>
        <v/>
      </c>
      <c r="V801" s="52" t="str">
        <f aca="false">IF($A801&lt;&gt;"",$A801,"")</f>
        <v>Apprenant 789</v>
      </c>
      <c r="W801" s="53" t="str">
        <f aca="false">IF(AND(OR('Choix pédagogiques'!$C$3=1,'Choix pédagogiques'!$C$3=2),$BM801=1),B801,IF(AND('Choix pédagogiques'!$C$3=3,$BO801=1),B801,""))</f>
        <v/>
      </c>
      <c r="X801" s="53" t="str">
        <f aca="false">IF(AND(OR('Choix pédagogiques'!$C$3=1,'Choix pédagogiques'!$C$3=2),$BM801=1),C801,IF(AND('Choix pédagogiques'!$C$3=3,$BO801=1),C801,""))</f>
        <v/>
      </c>
      <c r="Y801" s="53" t="str">
        <f aca="false">IF(AND(OR('Choix pédagogiques'!$C$3=1,'Choix pédagogiques'!$C$3=2),$BM801=1),D801,IF(AND('Choix pédagogiques'!$C$3=3,$BO801=1),D801,""))</f>
        <v/>
      </c>
      <c r="Z801" s="53" t="str">
        <f aca="false">IF($E801&lt;&gt;"",$E801,"")</f>
        <v/>
      </c>
      <c r="AA801" s="52" t="str">
        <f aca="false">IF($F801&lt;&gt;"",$F801,"")</f>
        <v>Apprenant 789 ou 789'</v>
      </c>
      <c r="AB801" s="53" t="str">
        <f aca="false">IF(AND(OR('Choix pédagogiques'!$C$3=1,'Choix pédagogiques'!$C$3=2),$BN801=1),G801,IF(AND('Choix pédagogiques'!$C$3=3,$BO801=1),G801,""))</f>
        <v/>
      </c>
      <c r="AC801" s="53" t="str">
        <f aca="false">IF(AND(OR('Choix pédagogiques'!$C$3=1,'Choix pédagogiques'!$C$3=2),$BN801=1),H801,IF(AND('Choix pédagogiques'!$C$3=3,$BO801=1),H801,""))</f>
        <v/>
      </c>
      <c r="AD801" s="53" t="str">
        <f aca="false">IF(AND(OR('Choix pédagogiques'!$C$3=1,'Choix pédagogiques'!$C$3=2),$BN801=1),I801,IF(AND('Choix pédagogiques'!$C$3=3,$BO801=1),I801,""))</f>
        <v/>
      </c>
      <c r="AE801" s="53" t="str">
        <f aca="false">IF($J801&lt;&gt;"",$J801,"")</f>
        <v/>
      </c>
      <c r="AF801" s="52" t="str">
        <f aca="false">IF($A801&lt;&gt;"",$A801,"")</f>
        <v>Apprenant 789</v>
      </c>
      <c r="AG801" s="53" t="str">
        <f aca="false">IF(AND($W801&lt;&gt;"",$X801&lt;&gt;""),$X801-$W801,"")</f>
        <v/>
      </c>
      <c r="AH801" s="53" t="str">
        <f aca="false">IF(AND($W801&lt;&gt;"",$Y801&lt;&gt;""),$Y801-$W801,"")</f>
        <v/>
      </c>
      <c r="AI801" s="53" t="str">
        <f aca="false">IF(AND($X801&lt;&gt;"",$Y801&lt;&gt;""),$Y801-$X801,"")</f>
        <v/>
      </c>
      <c r="AJ801" s="53" t="str">
        <f aca="false">IF($E801&lt;&gt;"",$E801,"")</f>
        <v/>
      </c>
      <c r="AK801" s="52" t="str">
        <f aca="false">IF($F801&lt;&gt;"",$F801,"")</f>
        <v>Apprenant 789 ou 789'</v>
      </c>
      <c r="AL801" s="53" t="str">
        <f aca="false">IF(AND($AB801&lt;&gt;"",$AC801&lt;&gt;""),$AC801-$AB801,"")</f>
        <v/>
      </c>
      <c r="AM801" s="53" t="str">
        <f aca="false">IF(AND($AB801&lt;&gt;"",$AD801&lt;&gt;""),$AD801-$AB801,"")</f>
        <v/>
      </c>
      <c r="AN801" s="53" t="str">
        <f aca="false">IF(AND($AC801&lt;&gt;"",$AD801&lt;&gt;""),$AD801-$AC801,"")</f>
        <v/>
      </c>
      <c r="AO801" s="53" t="str">
        <f aca="false">IF($J801&lt;&gt;"",$J801,"")</f>
        <v/>
      </c>
      <c r="AQ801" s="52" t="str">
        <f aca="false">IF($A801&lt;&gt;"",$A801,"")</f>
        <v>Apprenant 789</v>
      </c>
      <c r="AR801" s="55" t="str">
        <f aca="false">IF(AND('Choix pédagogiques'!$C$4&lt;&gt;"?",'Choix pédagogiques'!$C$5&lt;&gt;"?",W801&lt;&gt;""),(W801-'Choix pédagogiques'!$C$4)/('Choix pédagogiques'!$C$5-'Choix pédagogiques'!$C$4),"")</f>
        <v/>
      </c>
      <c r="AS801" s="55" t="str">
        <f aca="false">IF(AND('Choix pédagogiques'!$C$4&lt;&gt;"?",'Choix pédagogiques'!$C$5&lt;&gt;"?",X801&lt;&gt;""),(X801-'Choix pédagogiques'!$C$4)/('Choix pédagogiques'!$C$5-'Choix pédagogiques'!$C$4),"")</f>
        <v/>
      </c>
      <c r="AT801" s="55" t="str">
        <f aca="false">IF(AND('Choix pédagogiques'!$C$4&lt;&gt;"?",'Choix pédagogiques'!$C$5&lt;&gt;"?",Y801&lt;&gt;""),(Y801-'Choix pédagogiques'!$C$4)/('Choix pédagogiques'!$C$5-'Choix pédagogiques'!$C$4),"")</f>
        <v/>
      </c>
      <c r="AU801" s="53" t="str">
        <f aca="false">IF($E801&lt;&gt;"",$E801,"")</f>
        <v/>
      </c>
      <c r="AV801" s="52" t="str">
        <f aca="false">IF($F801&lt;&gt;"",$F801,"")</f>
        <v>Apprenant 789 ou 789'</v>
      </c>
      <c r="AW801" s="55" t="str">
        <f aca="false">IF(AND('Choix pédagogiques'!$C$4&lt;&gt;"?",'Choix pédagogiques'!$C$5&lt;&gt;"?",AB801&lt;&gt;""),(AB801-'Choix pédagogiques'!$C$4)/('Choix pédagogiques'!$C$5-'Choix pédagogiques'!$C$4),"")</f>
        <v/>
      </c>
      <c r="AX801" s="55" t="str">
        <f aca="false">IF(AND('Choix pédagogiques'!$C$4&lt;&gt;"?",'Choix pédagogiques'!$C$5&lt;&gt;"?",AC801&lt;&gt;""),(AC801-'Choix pédagogiques'!$C$4)/('Choix pédagogiques'!$C$5-'Choix pédagogiques'!$C$4),"")</f>
        <v/>
      </c>
      <c r="AY801" s="55" t="str">
        <f aca="false">IF(AND('Choix pédagogiques'!$C$4&lt;&gt;"?",'Choix pédagogiques'!$C$5&lt;&gt;"?",AD801&lt;&gt;""),(AD801-'Choix pédagogiques'!$C$4)/('Choix pédagogiques'!$C$5-'Choix pédagogiques'!$C$4),"")</f>
        <v/>
      </c>
      <c r="AZ801" s="53" t="str">
        <f aca="false">IF($J801&lt;&gt;"",$J801,"")</f>
        <v/>
      </c>
      <c r="BA801" s="52" t="str">
        <f aca="false">IF($A801&lt;&gt;"",$A801,"")</f>
        <v>Apprenant 789</v>
      </c>
      <c r="BB801" s="55" t="str">
        <f aca="false">IF(AND($AR801&lt;&gt;"",$AS801&lt;&gt;""),$AS801-$AR801,"")</f>
        <v/>
      </c>
      <c r="BC801" s="55" t="str">
        <f aca="false">IF(AND($AR801&lt;&gt;"",$AT801&lt;&gt;""),$AT801-$AR801,"")</f>
        <v/>
      </c>
      <c r="BD801" s="55" t="str">
        <f aca="false">IF(AND($AS801&lt;&gt;"",$AT801&lt;&gt;""),$AT801-$AS801,"")</f>
        <v/>
      </c>
      <c r="BE801" s="53" t="str">
        <f aca="false">IF($E801&lt;&gt;"",$E801,"")</f>
        <v/>
      </c>
      <c r="BF801" s="52" t="str">
        <f aca="false">IF($F801&lt;&gt;"",$F801,"")</f>
        <v>Apprenant 789 ou 789'</v>
      </c>
      <c r="BG801" s="55" t="str">
        <f aca="false">IF(AND($AW801&lt;&gt;"",$AX801&lt;&gt;""),$AX801-$AW801,"")</f>
        <v/>
      </c>
      <c r="BH801" s="55" t="str">
        <f aca="false">IF(AND($AW801&lt;&gt;"",$AY801&lt;&gt;""),$AY801-$AW801,"")</f>
        <v/>
      </c>
      <c r="BI801" s="55" t="str">
        <f aca="false">IF(AND($AX801&lt;&gt;"",$AY801&lt;&gt;""),$AY801-$AX801,"")</f>
        <v/>
      </c>
      <c r="BJ801" s="53" t="str">
        <f aca="false">IF($J801&lt;&gt;"",$J801,"")</f>
        <v/>
      </c>
      <c r="BL801" s="52"/>
      <c r="BM801" s="52" t="str">
        <f aca="false">IF(OR(COUNT(B801:D1800)=0,AND('Choix pédagogiques'!$C$3&lt;&gt;1,'Choix pédagogiques'!$C$3&lt;&gt;2)),"",IF(AND(OR('Choix pédagogiques'!$C$3=1,'Choix pédagogiques'!$C$3=2),$B801&lt;&gt;"",$C801&lt;&gt;"",$D801&lt;&gt;""),1,0))</f>
        <v/>
      </c>
      <c r="BN801" s="52" t="str">
        <f aca="false">IF(OR(COUNT(G801:I1800)=0,AND('Choix pédagogiques'!$C$3&lt;&gt;1,'Choix pédagogiques'!$C$3&lt;&gt;2)),"",IF(AND(OR('Choix pédagogiques'!$C$3=1,'Choix pédagogiques'!$C$3=2),AND($G801&lt;&gt;"",$H801&lt;&gt;"",$I801&lt;&gt;"")),1,0))</f>
        <v/>
      </c>
      <c r="BO801" s="52" t="str">
        <f aca="false">IF(OR(COUNT(B801:D1800)=0,COUNT(G801:I1800)=0,'Choix pédagogiques'!C$3&lt;&gt;3),"",IF(AND('Choix pédagogiques'!$C$3=3,$B801&lt;&gt;"",$C801&lt;&gt;"",$D801&lt;&gt;"",$G801&lt;&gt;"",$H801&lt;&gt;"",$I801&lt;&gt;""),1,0))</f>
        <v/>
      </c>
      <c r="BR801" s="52" t="n">
        <v>123</v>
      </c>
      <c r="BS801" s="52" t="n">
        <v>1111</v>
      </c>
    </row>
    <row r="802" s="54" customFormat="true" ht="18" hidden="false" customHeight="true" outlineLevel="0" collapsed="false">
      <c r="A802" s="57" t="s">
        <v>1535</v>
      </c>
      <c r="B802" s="51"/>
      <c r="C802" s="51"/>
      <c r="D802" s="51"/>
      <c r="E802" s="51"/>
      <c r="F802" s="57" t="s">
        <v>1536</v>
      </c>
      <c r="G802" s="51"/>
      <c r="H802" s="51"/>
      <c r="I802" s="51"/>
      <c r="J802" s="51"/>
      <c r="K802" s="52" t="str">
        <f aca="false">IF($A802&lt;&gt;"",$A802,"")</f>
        <v>Apprenant 790</v>
      </c>
      <c r="L802" s="53" t="str">
        <f aca="false">IF(AND($B802&lt;&gt;"",$C802&lt;&gt;""),$C802-$B802,"")</f>
        <v/>
      </c>
      <c r="M802" s="53" t="str">
        <f aca="false">IF(AND($B802&lt;&gt;"",$D802&lt;&gt;""),$D802-$B802,"")</f>
        <v/>
      </c>
      <c r="N802" s="53" t="str">
        <f aca="false">IF(AND($C802&lt;&gt;"",$D802&lt;&gt;""),$D802-$C802,"")</f>
        <v/>
      </c>
      <c r="O802" s="53" t="str">
        <f aca="false">IF($E802&lt;&gt;"",$E802,"")</f>
        <v/>
      </c>
      <c r="P802" s="52" t="str">
        <f aca="false">IF($F802&lt;&gt;"",$F802,"")</f>
        <v>Apprenant 790 ou 790'</v>
      </c>
      <c r="Q802" s="53" t="str">
        <f aca="false">IF(AND($G802&lt;&gt;"",$H802&lt;&gt;""),$H802-$G802,"")</f>
        <v/>
      </c>
      <c r="R802" s="53" t="str">
        <f aca="false">IF(AND($G802&lt;&gt;"",$I802&lt;&gt;""),$I802-$G802,"")</f>
        <v/>
      </c>
      <c r="S802" s="53" t="str">
        <f aca="false">IF(AND($H802&lt;&gt;"",$I802&lt;&gt;""),$I802-$H802,"")</f>
        <v/>
      </c>
      <c r="T802" s="53" t="str">
        <f aca="false">IF($J802&lt;&gt;"",$J802,"")</f>
        <v/>
      </c>
      <c r="V802" s="52" t="str">
        <f aca="false">IF($A802&lt;&gt;"",$A802,"")</f>
        <v>Apprenant 790</v>
      </c>
      <c r="W802" s="53" t="str">
        <f aca="false">IF(AND(OR('Choix pédagogiques'!$C$3=1,'Choix pédagogiques'!$C$3=2),$BM802=1),B802,IF(AND('Choix pédagogiques'!$C$3=3,$BO802=1),B802,""))</f>
        <v/>
      </c>
      <c r="X802" s="53" t="str">
        <f aca="false">IF(AND(OR('Choix pédagogiques'!$C$3=1,'Choix pédagogiques'!$C$3=2),$BM802=1),C802,IF(AND('Choix pédagogiques'!$C$3=3,$BO802=1),C802,""))</f>
        <v/>
      </c>
      <c r="Y802" s="53" t="str">
        <f aca="false">IF(AND(OR('Choix pédagogiques'!$C$3=1,'Choix pédagogiques'!$C$3=2),$BM802=1),D802,IF(AND('Choix pédagogiques'!$C$3=3,$BO802=1),D802,""))</f>
        <v/>
      </c>
      <c r="Z802" s="53" t="str">
        <f aca="false">IF($E802&lt;&gt;"",$E802,"")</f>
        <v/>
      </c>
      <c r="AA802" s="52" t="str">
        <f aca="false">IF($F802&lt;&gt;"",$F802,"")</f>
        <v>Apprenant 790 ou 790'</v>
      </c>
      <c r="AB802" s="53" t="str">
        <f aca="false">IF(AND(OR('Choix pédagogiques'!$C$3=1,'Choix pédagogiques'!$C$3=2),$BN802=1),G802,IF(AND('Choix pédagogiques'!$C$3=3,$BO802=1),G802,""))</f>
        <v/>
      </c>
      <c r="AC802" s="53" t="str">
        <f aca="false">IF(AND(OR('Choix pédagogiques'!$C$3=1,'Choix pédagogiques'!$C$3=2),$BN802=1),H802,IF(AND('Choix pédagogiques'!$C$3=3,$BO802=1),H802,""))</f>
        <v/>
      </c>
      <c r="AD802" s="53" t="str">
        <f aca="false">IF(AND(OR('Choix pédagogiques'!$C$3=1,'Choix pédagogiques'!$C$3=2),$BN802=1),I802,IF(AND('Choix pédagogiques'!$C$3=3,$BO802=1),I802,""))</f>
        <v/>
      </c>
      <c r="AE802" s="53" t="str">
        <f aca="false">IF($J802&lt;&gt;"",$J802,"")</f>
        <v/>
      </c>
      <c r="AF802" s="52" t="str">
        <f aca="false">IF($A802&lt;&gt;"",$A802,"")</f>
        <v>Apprenant 790</v>
      </c>
      <c r="AG802" s="53" t="str">
        <f aca="false">IF(AND($W802&lt;&gt;"",$X802&lt;&gt;""),$X802-$W802,"")</f>
        <v/>
      </c>
      <c r="AH802" s="53" t="str">
        <f aca="false">IF(AND($W802&lt;&gt;"",$Y802&lt;&gt;""),$Y802-$W802,"")</f>
        <v/>
      </c>
      <c r="AI802" s="53" t="str">
        <f aca="false">IF(AND($X802&lt;&gt;"",$Y802&lt;&gt;""),$Y802-$X802,"")</f>
        <v/>
      </c>
      <c r="AJ802" s="53" t="str">
        <f aca="false">IF($E802&lt;&gt;"",$E802,"")</f>
        <v/>
      </c>
      <c r="AK802" s="52" t="str">
        <f aca="false">IF($F802&lt;&gt;"",$F802,"")</f>
        <v>Apprenant 790 ou 790'</v>
      </c>
      <c r="AL802" s="53" t="str">
        <f aca="false">IF(AND($AB802&lt;&gt;"",$AC802&lt;&gt;""),$AC802-$AB802,"")</f>
        <v/>
      </c>
      <c r="AM802" s="53" t="str">
        <f aca="false">IF(AND($AB802&lt;&gt;"",$AD802&lt;&gt;""),$AD802-$AB802,"")</f>
        <v/>
      </c>
      <c r="AN802" s="53" t="str">
        <f aca="false">IF(AND($AC802&lt;&gt;"",$AD802&lt;&gt;""),$AD802-$AC802,"")</f>
        <v/>
      </c>
      <c r="AO802" s="53" t="str">
        <f aca="false">IF($J802&lt;&gt;"",$J802,"")</f>
        <v/>
      </c>
      <c r="AQ802" s="52" t="str">
        <f aca="false">IF($A802&lt;&gt;"",$A802,"")</f>
        <v>Apprenant 790</v>
      </c>
      <c r="AR802" s="55" t="str">
        <f aca="false">IF(AND('Choix pédagogiques'!$C$4&lt;&gt;"?",'Choix pédagogiques'!$C$5&lt;&gt;"?",W802&lt;&gt;""),(W802-'Choix pédagogiques'!$C$4)/('Choix pédagogiques'!$C$5-'Choix pédagogiques'!$C$4),"")</f>
        <v/>
      </c>
      <c r="AS802" s="55" t="str">
        <f aca="false">IF(AND('Choix pédagogiques'!$C$4&lt;&gt;"?",'Choix pédagogiques'!$C$5&lt;&gt;"?",X802&lt;&gt;""),(X802-'Choix pédagogiques'!$C$4)/('Choix pédagogiques'!$C$5-'Choix pédagogiques'!$C$4),"")</f>
        <v/>
      </c>
      <c r="AT802" s="55" t="str">
        <f aca="false">IF(AND('Choix pédagogiques'!$C$4&lt;&gt;"?",'Choix pédagogiques'!$C$5&lt;&gt;"?",Y802&lt;&gt;""),(Y802-'Choix pédagogiques'!$C$4)/('Choix pédagogiques'!$C$5-'Choix pédagogiques'!$C$4),"")</f>
        <v/>
      </c>
      <c r="AU802" s="53" t="str">
        <f aca="false">IF($E802&lt;&gt;"",$E802,"")</f>
        <v/>
      </c>
      <c r="AV802" s="52" t="str">
        <f aca="false">IF($F802&lt;&gt;"",$F802,"")</f>
        <v>Apprenant 790 ou 790'</v>
      </c>
      <c r="AW802" s="55" t="str">
        <f aca="false">IF(AND('Choix pédagogiques'!$C$4&lt;&gt;"?",'Choix pédagogiques'!$C$5&lt;&gt;"?",AB802&lt;&gt;""),(AB802-'Choix pédagogiques'!$C$4)/('Choix pédagogiques'!$C$5-'Choix pédagogiques'!$C$4),"")</f>
        <v/>
      </c>
      <c r="AX802" s="55" t="str">
        <f aca="false">IF(AND('Choix pédagogiques'!$C$4&lt;&gt;"?",'Choix pédagogiques'!$C$5&lt;&gt;"?",AC802&lt;&gt;""),(AC802-'Choix pédagogiques'!$C$4)/('Choix pédagogiques'!$C$5-'Choix pédagogiques'!$C$4),"")</f>
        <v/>
      </c>
      <c r="AY802" s="55" t="str">
        <f aca="false">IF(AND('Choix pédagogiques'!$C$4&lt;&gt;"?",'Choix pédagogiques'!$C$5&lt;&gt;"?",AD802&lt;&gt;""),(AD802-'Choix pédagogiques'!$C$4)/('Choix pédagogiques'!$C$5-'Choix pédagogiques'!$C$4),"")</f>
        <v/>
      </c>
      <c r="AZ802" s="53" t="str">
        <f aca="false">IF($J802&lt;&gt;"",$J802,"")</f>
        <v/>
      </c>
      <c r="BA802" s="52" t="str">
        <f aca="false">IF($A802&lt;&gt;"",$A802,"")</f>
        <v>Apprenant 790</v>
      </c>
      <c r="BB802" s="55" t="str">
        <f aca="false">IF(AND($AR802&lt;&gt;"",$AS802&lt;&gt;""),$AS802-$AR802,"")</f>
        <v/>
      </c>
      <c r="BC802" s="55" t="str">
        <f aca="false">IF(AND($AR802&lt;&gt;"",$AT802&lt;&gt;""),$AT802-$AR802,"")</f>
        <v/>
      </c>
      <c r="BD802" s="55" t="str">
        <f aca="false">IF(AND($AS802&lt;&gt;"",$AT802&lt;&gt;""),$AT802-$AS802,"")</f>
        <v/>
      </c>
      <c r="BE802" s="53" t="str">
        <f aca="false">IF($E802&lt;&gt;"",$E802,"")</f>
        <v/>
      </c>
      <c r="BF802" s="52" t="str">
        <f aca="false">IF($F802&lt;&gt;"",$F802,"")</f>
        <v>Apprenant 790 ou 790'</v>
      </c>
      <c r="BG802" s="55" t="str">
        <f aca="false">IF(AND($AW802&lt;&gt;"",$AX802&lt;&gt;""),$AX802-$AW802,"")</f>
        <v/>
      </c>
      <c r="BH802" s="55" t="str">
        <f aca="false">IF(AND($AW802&lt;&gt;"",$AY802&lt;&gt;""),$AY802-$AW802,"")</f>
        <v/>
      </c>
      <c r="BI802" s="55" t="str">
        <f aca="false">IF(AND($AX802&lt;&gt;"",$AY802&lt;&gt;""),$AY802-$AX802,"")</f>
        <v/>
      </c>
      <c r="BJ802" s="53" t="str">
        <f aca="false">IF($J802&lt;&gt;"",$J802,"")</f>
        <v/>
      </c>
      <c r="BL802" s="52"/>
      <c r="BM802" s="52" t="str">
        <f aca="false">IF(OR(COUNT(B802:D1801)=0,AND('Choix pédagogiques'!$C$3&lt;&gt;1,'Choix pédagogiques'!$C$3&lt;&gt;2)),"",IF(AND(OR('Choix pédagogiques'!$C$3=1,'Choix pédagogiques'!$C$3=2),$B802&lt;&gt;"",$C802&lt;&gt;"",$D802&lt;&gt;""),1,0))</f>
        <v/>
      </c>
      <c r="BN802" s="52" t="str">
        <f aca="false">IF(OR(COUNT(G802:I1801)=0,AND('Choix pédagogiques'!$C$3&lt;&gt;1,'Choix pédagogiques'!$C$3&lt;&gt;2)),"",IF(AND(OR('Choix pédagogiques'!$C$3=1,'Choix pédagogiques'!$C$3=2),AND($G802&lt;&gt;"",$H802&lt;&gt;"",$I802&lt;&gt;"")),1,0))</f>
        <v/>
      </c>
      <c r="BO802" s="52" t="str">
        <f aca="false">IF(OR(COUNT(B802:D1801)=0,COUNT(G802:I1801)=0,'Choix pédagogiques'!C$3&lt;&gt;3),"",IF(AND('Choix pédagogiques'!$C$3=3,$B802&lt;&gt;"",$C802&lt;&gt;"",$D802&lt;&gt;"",$G802&lt;&gt;"",$H802&lt;&gt;"",$I802&lt;&gt;""),1,0))</f>
        <v/>
      </c>
      <c r="BR802" s="52" t="n">
        <v>342</v>
      </c>
      <c r="BS802" s="52" t="n">
        <v>1200</v>
      </c>
    </row>
    <row r="803" s="54" customFormat="true" ht="18" hidden="false" customHeight="true" outlineLevel="0" collapsed="false">
      <c r="A803" s="57" t="s">
        <v>1537</v>
      </c>
      <c r="B803" s="51"/>
      <c r="C803" s="51"/>
      <c r="D803" s="51"/>
      <c r="E803" s="51"/>
      <c r="F803" s="57" t="s">
        <v>1538</v>
      </c>
      <c r="G803" s="51"/>
      <c r="H803" s="51"/>
      <c r="I803" s="51"/>
      <c r="J803" s="51"/>
      <c r="K803" s="52" t="str">
        <f aca="false">IF($A803&lt;&gt;"",$A803,"")</f>
        <v>Apprenant 791</v>
      </c>
      <c r="L803" s="53" t="str">
        <f aca="false">IF(AND($B803&lt;&gt;"",$C803&lt;&gt;""),$C803-$B803,"")</f>
        <v/>
      </c>
      <c r="M803" s="53" t="str">
        <f aca="false">IF(AND($B803&lt;&gt;"",$D803&lt;&gt;""),$D803-$B803,"")</f>
        <v/>
      </c>
      <c r="N803" s="53" t="str">
        <f aca="false">IF(AND($C803&lt;&gt;"",$D803&lt;&gt;""),$D803-$C803,"")</f>
        <v/>
      </c>
      <c r="O803" s="53" t="str">
        <f aca="false">IF($E803&lt;&gt;"",$E803,"")</f>
        <v/>
      </c>
      <c r="P803" s="52" t="str">
        <f aca="false">IF($F803&lt;&gt;"",$F803,"")</f>
        <v>Apprenant 791 ou 791'</v>
      </c>
      <c r="Q803" s="53" t="str">
        <f aca="false">IF(AND($G803&lt;&gt;"",$H803&lt;&gt;""),$H803-$G803,"")</f>
        <v/>
      </c>
      <c r="R803" s="53" t="str">
        <f aca="false">IF(AND($G803&lt;&gt;"",$I803&lt;&gt;""),$I803-$G803,"")</f>
        <v/>
      </c>
      <c r="S803" s="53" t="str">
        <f aca="false">IF(AND($H803&lt;&gt;"",$I803&lt;&gt;""),$I803-$H803,"")</f>
        <v/>
      </c>
      <c r="T803" s="53" t="str">
        <f aca="false">IF($J803&lt;&gt;"",$J803,"")</f>
        <v/>
      </c>
      <c r="V803" s="52" t="str">
        <f aca="false">IF($A803&lt;&gt;"",$A803,"")</f>
        <v>Apprenant 791</v>
      </c>
      <c r="W803" s="53" t="str">
        <f aca="false">IF(AND(OR('Choix pédagogiques'!$C$3=1,'Choix pédagogiques'!$C$3=2),$BM803=1),B803,IF(AND('Choix pédagogiques'!$C$3=3,$BO803=1),B803,""))</f>
        <v/>
      </c>
      <c r="X803" s="53" t="str">
        <f aca="false">IF(AND(OR('Choix pédagogiques'!$C$3=1,'Choix pédagogiques'!$C$3=2),$BM803=1),C803,IF(AND('Choix pédagogiques'!$C$3=3,$BO803=1),C803,""))</f>
        <v/>
      </c>
      <c r="Y803" s="53" t="str">
        <f aca="false">IF(AND(OR('Choix pédagogiques'!$C$3=1,'Choix pédagogiques'!$C$3=2),$BM803=1),D803,IF(AND('Choix pédagogiques'!$C$3=3,$BO803=1),D803,""))</f>
        <v/>
      </c>
      <c r="Z803" s="53" t="str">
        <f aca="false">IF($E803&lt;&gt;"",$E803,"")</f>
        <v/>
      </c>
      <c r="AA803" s="52" t="str">
        <f aca="false">IF($F803&lt;&gt;"",$F803,"")</f>
        <v>Apprenant 791 ou 791'</v>
      </c>
      <c r="AB803" s="53" t="str">
        <f aca="false">IF(AND(OR('Choix pédagogiques'!$C$3=1,'Choix pédagogiques'!$C$3=2),$BN803=1),G803,IF(AND('Choix pédagogiques'!$C$3=3,$BO803=1),G803,""))</f>
        <v/>
      </c>
      <c r="AC803" s="53" t="str">
        <f aca="false">IF(AND(OR('Choix pédagogiques'!$C$3=1,'Choix pédagogiques'!$C$3=2),$BN803=1),H803,IF(AND('Choix pédagogiques'!$C$3=3,$BO803=1),H803,""))</f>
        <v/>
      </c>
      <c r="AD803" s="53" t="str">
        <f aca="false">IF(AND(OR('Choix pédagogiques'!$C$3=1,'Choix pédagogiques'!$C$3=2),$BN803=1),I803,IF(AND('Choix pédagogiques'!$C$3=3,$BO803=1),I803,""))</f>
        <v/>
      </c>
      <c r="AE803" s="53" t="str">
        <f aca="false">IF($J803&lt;&gt;"",$J803,"")</f>
        <v/>
      </c>
      <c r="AF803" s="52" t="str">
        <f aca="false">IF($A803&lt;&gt;"",$A803,"")</f>
        <v>Apprenant 791</v>
      </c>
      <c r="AG803" s="53" t="str">
        <f aca="false">IF(AND($W803&lt;&gt;"",$X803&lt;&gt;""),$X803-$W803,"")</f>
        <v/>
      </c>
      <c r="AH803" s="53" t="str">
        <f aca="false">IF(AND($W803&lt;&gt;"",$Y803&lt;&gt;""),$Y803-$W803,"")</f>
        <v/>
      </c>
      <c r="AI803" s="53" t="str">
        <f aca="false">IF(AND($X803&lt;&gt;"",$Y803&lt;&gt;""),$Y803-$X803,"")</f>
        <v/>
      </c>
      <c r="AJ803" s="53" t="str">
        <f aca="false">IF($E803&lt;&gt;"",$E803,"")</f>
        <v/>
      </c>
      <c r="AK803" s="52" t="str">
        <f aca="false">IF($F803&lt;&gt;"",$F803,"")</f>
        <v>Apprenant 791 ou 791'</v>
      </c>
      <c r="AL803" s="53" t="str">
        <f aca="false">IF(AND($AB803&lt;&gt;"",$AC803&lt;&gt;""),$AC803-$AB803,"")</f>
        <v/>
      </c>
      <c r="AM803" s="53" t="str">
        <f aca="false">IF(AND($AB803&lt;&gt;"",$AD803&lt;&gt;""),$AD803-$AB803,"")</f>
        <v/>
      </c>
      <c r="AN803" s="53" t="str">
        <f aca="false">IF(AND($AC803&lt;&gt;"",$AD803&lt;&gt;""),$AD803-$AC803,"")</f>
        <v/>
      </c>
      <c r="AO803" s="53" t="str">
        <f aca="false">IF($J803&lt;&gt;"",$J803,"")</f>
        <v/>
      </c>
      <c r="AQ803" s="52" t="str">
        <f aca="false">IF($A803&lt;&gt;"",$A803,"")</f>
        <v>Apprenant 791</v>
      </c>
      <c r="AR803" s="55" t="str">
        <f aca="false">IF(AND('Choix pédagogiques'!$C$4&lt;&gt;"?",'Choix pédagogiques'!$C$5&lt;&gt;"?",W803&lt;&gt;""),(W803-'Choix pédagogiques'!$C$4)/('Choix pédagogiques'!$C$5-'Choix pédagogiques'!$C$4),"")</f>
        <v/>
      </c>
      <c r="AS803" s="55" t="str">
        <f aca="false">IF(AND('Choix pédagogiques'!$C$4&lt;&gt;"?",'Choix pédagogiques'!$C$5&lt;&gt;"?",X803&lt;&gt;""),(X803-'Choix pédagogiques'!$C$4)/('Choix pédagogiques'!$C$5-'Choix pédagogiques'!$C$4),"")</f>
        <v/>
      </c>
      <c r="AT803" s="55" t="str">
        <f aca="false">IF(AND('Choix pédagogiques'!$C$4&lt;&gt;"?",'Choix pédagogiques'!$C$5&lt;&gt;"?",Y803&lt;&gt;""),(Y803-'Choix pédagogiques'!$C$4)/('Choix pédagogiques'!$C$5-'Choix pédagogiques'!$C$4),"")</f>
        <v/>
      </c>
      <c r="AU803" s="53" t="str">
        <f aca="false">IF($E803&lt;&gt;"",$E803,"")</f>
        <v/>
      </c>
      <c r="AV803" s="52" t="str">
        <f aca="false">IF($F803&lt;&gt;"",$F803,"")</f>
        <v>Apprenant 791 ou 791'</v>
      </c>
      <c r="AW803" s="55" t="str">
        <f aca="false">IF(AND('Choix pédagogiques'!$C$4&lt;&gt;"?",'Choix pédagogiques'!$C$5&lt;&gt;"?",AB803&lt;&gt;""),(AB803-'Choix pédagogiques'!$C$4)/('Choix pédagogiques'!$C$5-'Choix pédagogiques'!$C$4),"")</f>
        <v/>
      </c>
      <c r="AX803" s="55" t="str">
        <f aca="false">IF(AND('Choix pédagogiques'!$C$4&lt;&gt;"?",'Choix pédagogiques'!$C$5&lt;&gt;"?",AC803&lt;&gt;""),(AC803-'Choix pédagogiques'!$C$4)/('Choix pédagogiques'!$C$5-'Choix pédagogiques'!$C$4),"")</f>
        <v/>
      </c>
      <c r="AY803" s="55" t="str">
        <f aca="false">IF(AND('Choix pédagogiques'!$C$4&lt;&gt;"?",'Choix pédagogiques'!$C$5&lt;&gt;"?",AD803&lt;&gt;""),(AD803-'Choix pédagogiques'!$C$4)/('Choix pédagogiques'!$C$5-'Choix pédagogiques'!$C$4),"")</f>
        <v/>
      </c>
      <c r="AZ803" s="53" t="str">
        <f aca="false">IF($J803&lt;&gt;"",$J803,"")</f>
        <v/>
      </c>
      <c r="BA803" s="52" t="str">
        <f aca="false">IF($A803&lt;&gt;"",$A803,"")</f>
        <v>Apprenant 791</v>
      </c>
      <c r="BB803" s="55" t="str">
        <f aca="false">IF(AND($AR803&lt;&gt;"",$AS803&lt;&gt;""),$AS803-$AR803,"")</f>
        <v/>
      </c>
      <c r="BC803" s="55" t="str">
        <f aca="false">IF(AND($AR803&lt;&gt;"",$AT803&lt;&gt;""),$AT803-$AR803,"")</f>
        <v/>
      </c>
      <c r="BD803" s="55" t="str">
        <f aca="false">IF(AND($AS803&lt;&gt;"",$AT803&lt;&gt;""),$AT803-$AS803,"")</f>
        <v/>
      </c>
      <c r="BE803" s="53" t="str">
        <f aca="false">IF($E803&lt;&gt;"",$E803,"")</f>
        <v/>
      </c>
      <c r="BF803" s="52" t="str">
        <f aca="false">IF($F803&lt;&gt;"",$F803,"")</f>
        <v>Apprenant 791 ou 791'</v>
      </c>
      <c r="BG803" s="55" t="str">
        <f aca="false">IF(AND($AW803&lt;&gt;"",$AX803&lt;&gt;""),$AX803-$AW803,"")</f>
        <v/>
      </c>
      <c r="BH803" s="55" t="str">
        <f aca="false">IF(AND($AW803&lt;&gt;"",$AY803&lt;&gt;""),$AY803-$AW803,"")</f>
        <v/>
      </c>
      <c r="BI803" s="55" t="str">
        <f aca="false">IF(AND($AX803&lt;&gt;"",$AY803&lt;&gt;""),$AY803-$AX803,"")</f>
        <v/>
      </c>
      <c r="BJ803" s="53" t="str">
        <f aca="false">IF($J803&lt;&gt;"",$J803,"")</f>
        <v/>
      </c>
      <c r="BL803" s="52"/>
      <c r="BM803" s="52" t="str">
        <f aca="false">IF(OR(COUNT(B803:D1802)=0,AND('Choix pédagogiques'!$C$3&lt;&gt;1,'Choix pédagogiques'!$C$3&lt;&gt;2)),"",IF(AND(OR('Choix pédagogiques'!$C$3=1,'Choix pédagogiques'!$C$3=2),$B803&lt;&gt;"",$C803&lt;&gt;"",$D803&lt;&gt;""),1,0))</f>
        <v/>
      </c>
      <c r="BN803" s="52" t="str">
        <f aca="false">IF(OR(COUNT(G803:I1802)=0,AND('Choix pédagogiques'!$C$3&lt;&gt;1,'Choix pédagogiques'!$C$3&lt;&gt;2)),"",IF(AND(OR('Choix pédagogiques'!$C$3=1,'Choix pédagogiques'!$C$3=2),AND($G803&lt;&gt;"",$H803&lt;&gt;"",$I803&lt;&gt;"")),1,0))</f>
        <v/>
      </c>
      <c r="BO803" s="52" t="str">
        <f aca="false">IF(OR(COUNT(B803:D1802)=0,COUNT(G803:I1802)=0,'Choix pédagogiques'!C$3&lt;&gt;3),"",IF(AND('Choix pédagogiques'!$C$3=3,$B803&lt;&gt;"",$C803&lt;&gt;"",$D803&lt;&gt;"",$G803&lt;&gt;"",$H803&lt;&gt;"",$I803&lt;&gt;""),1,0))</f>
        <v/>
      </c>
      <c r="BR803" s="52" t="n">
        <v>388</v>
      </c>
      <c r="BS803" s="52" t="n">
        <v>1138</v>
      </c>
    </row>
    <row r="804" s="54" customFormat="true" ht="18" hidden="false" customHeight="true" outlineLevel="0" collapsed="false">
      <c r="A804" s="57" t="s">
        <v>1539</v>
      </c>
      <c r="B804" s="51"/>
      <c r="C804" s="51"/>
      <c r="D804" s="51"/>
      <c r="E804" s="51"/>
      <c r="F804" s="57" t="s">
        <v>1540</v>
      </c>
      <c r="G804" s="51"/>
      <c r="H804" s="51"/>
      <c r="I804" s="51"/>
      <c r="J804" s="51"/>
      <c r="K804" s="52" t="str">
        <f aca="false">IF($A804&lt;&gt;"",$A804,"")</f>
        <v>Apprenant 792</v>
      </c>
      <c r="L804" s="53" t="str">
        <f aca="false">IF(AND($B804&lt;&gt;"",$C804&lt;&gt;""),$C804-$B804,"")</f>
        <v/>
      </c>
      <c r="M804" s="53" t="str">
        <f aca="false">IF(AND($B804&lt;&gt;"",$D804&lt;&gt;""),$D804-$B804,"")</f>
        <v/>
      </c>
      <c r="N804" s="53" t="str">
        <f aca="false">IF(AND($C804&lt;&gt;"",$D804&lt;&gt;""),$D804-$C804,"")</f>
        <v/>
      </c>
      <c r="O804" s="53" t="str">
        <f aca="false">IF($E804&lt;&gt;"",$E804,"")</f>
        <v/>
      </c>
      <c r="P804" s="52" t="str">
        <f aca="false">IF($F804&lt;&gt;"",$F804,"")</f>
        <v>Apprenant 792 ou 792'</v>
      </c>
      <c r="Q804" s="53" t="str">
        <f aca="false">IF(AND($G804&lt;&gt;"",$H804&lt;&gt;""),$H804-$G804,"")</f>
        <v/>
      </c>
      <c r="R804" s="53" t="str">
        <f aca="false">IF(AND($G804&lt;&gt;"",$I804&lt;&gt;""),$I804-$G804,"")</f>
        <v/>
      </c>
      <c r="S804" s="53" t="str">
        <f aca="false">IF(AND($H804&lt;&gt;"",$I804&lt;&gt;""),$I804-$H804,"")</f>
        <v/>
      </c>
      <c r="T804" s="53" t="str">
        <f aca="false">IF($J804&lt;&gt;"",$J804,"")</f>
        <v/>
      </c>
      <c r="V804" s="52" t="str">
        <f aca="false">IF($A804&lt;&gt;"",$A804,"")</f>
        <v>Apprenant 792</v>
      </c>
      <c r="W804" s="53" t="str">
        <f aca="false">IF(AND(OR('Choix pédagogiques'!$C$3=1,'Choix pédagogiques'!$C$3=2),$BM804=1),B804,IF(AND('Choix pédagogiques'!$C$3=3,$BO804=1),B804,""))</f>
        <v/>
      </c>
      <c r="X804" s="53" t="str">
        <f aca="false">IF(AND(OR('Choix pédagogiques'!$C$3=1,'Choix pédagogiques'!$C$3=2),$BM804=1),C804,IF(AND('Choix pédagogiques'!$C$3=3,$BO804=1),C804,""))</f>
        <v/>
      </c>
      <c r="Y804" s="53" t="str">
        <f aca="false">IF(AND(OR('Choix pédagogiques'!$C$3=1,'Choix pédagogiques'!$C$3=2),$BM804=1),D804,IF(AND('Choix pédagogiques'!$C$3=3,$BO804=1),D804,""))</f>
        <v/>
      </c>
      <c r="Z804" s="53" t="str">
        <f aca="false">IF($E804&lt;&gt;"",$E804,"")</f>
        <v/>
      </c>
      <c r="AA804" s="52" t="str">
        <f aca="false">IF($F804&lt;&gt;"",$F804,"")</f>
        <v>Apprenant 792 ou 792'</v>
      </c>
      <c r="AB804" s="53" t="str">
        <f aca="false">IF(AND(OR('Choix pédagogiques'!$C$3=1,'Choix pédagogiques'!$C$3=2),$BN804=1),G804,IF(AND('Choix pédagogiques'!$C$3=3,$BO804=1),G804,""))</f>
        <v/>
      </c>
      <c r="AC804" s="53" t="str">
        <f aca="false">IF(AND(OR('Choix pédagogiques'!$C$3=1,'Choix pédagogiques'!$C$3=2),$BN804=1),H804,IF(AND('Choix pédagogiques'!$C$3=3,$BO804=1),H804,""))</f>
        <v/>
      </c>
      <c r="AD804" s="53" t="str">
        <f aca="false">IF(AND(OR('Choix pédagogiques'!$C$3=1,'Choix pédagogiques'!$C$3=2),$BN804=1),I804,IF(AND('Choix pédagogiques'!$C$3=3,$BO804=1),I804,""))</f>
        <v/>
      </c>
      <c r="AE804" s="53" t="str">
        <f aca="false">IF($J804&lt;&gt;"",$J804,"")</f>
        <v/>
      </c>
      <c r="AF804" s="52" t="str">
        <f aca="false">IF($A804&lt;&gt;"",$A804,"")</f>
        <v>Apprenant 792</v>
      </c>
      <c r="AG804" s="53" t="str">
        <f aca="false">IF(AND($W804&lt;&gt;"",$X804&lt;&gt;""),$X804-$W804,"")</f>
        <v/>
      </c>
      <c r="AH804" s="53" t="str">
        <f aca="false">IF(AND($W804&lt;&gt;"",$Y804&lt;&gt;""),$Y804-$W804,"")</f>
        <v/>
      </c>
      <c r="AI804" s="53" t="str">
        <f aca="false">IF(AND($X804&lt;&gt;"",$Y804&lt;&gt;""),$Y804-$X804,"")</f>
        <v/>
      </c>
      <c r="AJ804" s="53" t="str">
        <f aca="false">IF($E804&lt;&gt;"",$E804,"")</f>
        <v/>
      </c>
      <c r="AK804" s="52" t="str">
        <f aca="false">IF($F804&lt;&gt;"",$F804,"")</f>
        <v>Apprenant 792 ou 792'</v>
      </c>
      <c r="AL804" s="53" t="str">
        <f aca="false">IF(AND($AB804&lt;&gt;"",$AC804&lt;&gt;""),$AC804-$AB804,"")</f>
        <v/>
      </c>
      <c r="AM804" s="53" t="str">
        <f aca="false">IF(AND($AB804&lt;&gt;"",$AD804&lt;&gt;""),$AD804-$AB804,"")</f>
        <v/>
      </c>
      <c r="AN804" s="53" t="str">
        <f aca="false">IF(AND($AC804&lt;&gt;"",$AD804&lt;&gt;""),$AD804-$AC804,"")</f>
        <v/>
      </c>
      <c r="AO804" s="53" t="str">
        <f aca="false">IF($J804&lt;&gt;"",$J804,"")</f>
        <v/>
      </c>
      <c r="AQ804" s="52" t="str">
        <f aca="false">IF($A804&lt;&gt;"",$A804,"")</f>
        <v>Apprenant 792</v>
      </c>
      <c r="AR804" s="55" t="str">
        <f aca="false">IF(AND('Choix pédagogiques'!$C$4&lt;&gt;"?",'Choix pédagogiques'!$C$5&lt;&gt;"?",W804&lt;&gt;""),(W804-'Choix pédagogiques'!$C$4)/('Choix pédagogiques'!$C$5-'Choix pédagogiques'!$C$4),"")</f>
        <v/>
      </c>
      <c r="AS804" s="55" t="str">
        <f aca="false">IF(AND('Choix pédagogiques'!$C$4&lt;&gt;"?",'Choix pédagogiques'!$C$5&lt;&gt;"?",X804&lt;&gt;""),(X804-'Choix pédagogiques'!$C$4)/('Choix pédagogiques'!$C$5-'Choix pédagogiques'!$C$4),"")</f>
        <v/>
      </c>
      <c r="AT804" s="55" t="str">
        <f aca="false">IF(AND('Choix pédagogiques'!$C$4&lt;&gt;"?",'Choix pédagogiques'!$C$5&lt;&gt;"?",Y804&lt;&gt;""),(Y804-'Choix pédagogiques'!$C$4)/('Choix pédagogiques'!$C$5-'Choix pédagogiques'!$C$4),"")</f>
        <v/>
      </c>
      <c r="AU804" s="53" t="str">
        <f aca="false">IF($E804&lt;&gt;"",$E804,"")</f>
        <v/>
      </c>
      <c r="AV804" s="52" t="str">
        <f aca="false">IF($F804&lt;&gt;"",$F804,"")</f>
        <v>Apprenant 792 ou 792'</v>
      </c>
      <c r="AW804" s="55" t="str">
        <f aca="false">IF(AND('Choix pédagogiques'!$C$4&lt;&gt;"?",'Choix pédagogiques'!$C$5&lt;&gt;"?",AB804&lt;&gt;""),(AB804-'Choix pédagogiques'!$C$4)/('Choix pédagogiques'!$C$5-'Choix pédagogiques'!$C$4),"")</f>
        <v/>
      </c>
      <c r="AX804" s="55" t="str">
        <f aca="false">IF(AND('Choix pédagogiques'!$C$4&lt;&gt;"?",'Choix pédagogiques'!$C$5&lt;&gt;"?",AC804&lt;&gt;""),(AC804-'Choix pédagogiques'!$C$4)/('Choix pédagogiques'!$C$5-'Choix pédagogiques'!$C$4),"")</f>
        <v/>
      </c>
      <c r="AY804" s="55" t="str">
        <f aca="false">IF(AND('Choix pédagogiques'!$C$4&lt;&gt;"?",'Choix pédagogiques'!$C$5&lt;&gt;"?",AD804&lt;&gt;""),(AD804-'Choix pédagogiques'!$C$4)/('Choix pédagogiques'!$C$5-'Choix pédagogiques'!$C$4),"")</f>
        <v/>
      </c>
      <c r="AZ804" s="53" t="str">
        <f aca="false">IF($J804&lt;&gt;"",$J804,"")</f>
        <v/>
      </c>
      <c r="BA804" s="52" t="str">
        <f aca="false">IF($A804&lt;&gt;"",$A804,"")</f>
        <v>Apprenant 792</v>
      </c>
      <c r="BB804" s="55" t="str">
        <f aca="false">IF(AND($AR804&lt;&gt;"",$AS804&lt;&gt;""),$AS804-$AR804,"")</f>
        <v/>
      </c>
      <c r="BC804" s="55" t="str">
        <f aca="false">IF(AND($AR804&lt;&gt;"",$AT804&lt;&gt;""),$AT804-$AR804,"")</f>
        <v/>
      </c>
      <c r="BD804" s="55" t="str">
        <f aca="false">IF(AND($AS804&lt;&gt;"",$AT804&lt;&gt;""),$AT804-$AS804,"")</f>
        <v/>
      </c>
      <c r="BE804" s="53" t="str">
        <f aca="false">IF($E804&lt;&gt;"",$E804,"")</f>
        <v/>
      </c>
      <c r="BF804" s="52" t="str">
        <f aca="false">IF($F804&lt;&gt;"",$F804,"")</f>
        <v>Apprenant 792 ou 792'</v>
      </c>
      <c r="BG804" s="55" t="str">
        <f aca="false">IF(AND($AW804&lt;&gt;"",$AX804&lt;&gt;""),$AX804-$AW804,"")</f>
        <v/>
      </c>
      <c r="BH804" s="55" t="str">
        <f aca="false">IF(AND($AW804&lt;&gt;"",$AY804&lt;&gt;""),$AY804-$AW804,"")</f>
        <v/>
      </c>
      <c r="BI804" s="55" t="str">
        <f aca="false">IF(AND($AX804&lt;&gt;"",$AY804&lt;&gt;""),$AY804-$AX804,"")</f>
        <v/>
      </c>
      <c r="BJ804" s="53" t="str">
        <f aca="false">IF($J804&lt;&gt;"",$J804,"")</f>
        <v/>
      </c>
      <c r="BL804" s="52"/>
      <c r="BM804" s="52" t="str">
        <f aca="false">IF(OR(COUNT(B804:D1803)=0,AND('Choix pédagogiques'!$C$3&lt;&gt;1,'Choix pédagogiques'!$C$3&lt;&gt;2)),"",IF(AND(OR('Choix pédagogiques'!$C$3=1,'Choix pédagogiques'!$C$3=2),$B804&lt;&gt;"",$C804&lt;&gt;"",$D804&lt;&gt;""),1,0))</f>
        <v/>
      </c>
      <c r="BN804" s="52" t="str">
        <f aca="false">IF(OR(COUNT(G804:I1803)=0,AND('Choix pédagogiques'!$C$3&lt;&gt;1,'Choix pédagogiques'!$C$3&lt;&gt;2)),"",IF(AND(OR('Choix pédagogiques'!$C$3=1,'Choix pédagogiques'!$C$3=2),AND($G804&lt;&gt;"",$H804&lt;&gt;"",$I804&lt;&gt;"")),1,0))</f>
        <v/>
      </c>
      <c r="BO804" s="52" t="str">
        <f aca="false">IF(OR(COUNT(B804:D1803)=0,COUNT(G804:I1803)=0,'Choix pédagogiques'!C$3&lt;&gt;3),"",IF(AND('Choix pédagogiques'!$C$3=3,$B804&lt;&gt;"",$C804&lt;&gt;"",$D804&lt;&gt;"",$G804&lt;&gt;"",$H804&lt;&gt;"",$I804&lt;&gt;""),1,0))</f>
        <v/>
      </c>
      <c r="BR804" s="52" t="n">
        <v>914</v>
      </c>
      <c r="BS804" s="52" t="n">
        <v>1001</v>
      </c>
    </row>
    <row r="805" s="54" customFormat="true" ht="18" hidden="false" customHeight="true" outlineLevel="0" collapsed="false">
      <c r="A805" s="57" t="s">
        <v>1541</v>
      </c>
      <c r="B805" s="51"/>
      <c r="C805" s="51"/>
      <c r="D805" s="51"/>
      <c r="E805" s="51"/>
      <c r="F805" s="57" t="s">
        <v>1542</v>
      </c>
      <c r="G805" s="51"/>
      <c r="H805" s="51"/>
      <c r="I805" s="51"/>
      <c r="J805" s="51"/>
      <c r="K805" s="52" t="str">
        <f aca="false">IF($A805&lt;&gt;"",$A805,"")</f>
        <v>Apprenant 793</v>
      </c>
      <c r="L805" s="53" t="str">
        <f aca="false">IF(AND($B805&lt;&gt;"",$C805&lt;&gt;""),$C805-$B805,"")</f>
        <v/>
      </c>
      <c r="M805" s="53" t="str">
        <f aca="false">IF(AND($B805&lt;&gt;"",$D805&lt;&gt;""),$D805-$B805,"")</f>
        <v/>
      </c>
      <c r="N805" s="53" t="str">
        <f aca="false">IF(AND($C805&lt;&gt;"",$D805&lt;&gt;""),$D805-$C805,"")</f>
        <v/>
      </c>
      <c r="O805" s="53" t="str">
        <f aca="false">IF($E805&lt;&gt;"",$E805,"")</f>
        <v/>
      </c>
      <c r="P805" s="52" t="str">
        <f aca="false">IF($F805&lt;&gt;"",$F805,"")</f>
        <v>Apprenant 793 ou 793'</v>
      </c>
      <c r="Q805" s="53" t="str">
        <f aca="false">IF(AND($G805&lt;&gt;"",$H805&lt;&gt;""),$H805-$G805,"")</f>
        <v/>
      </c>
      <c r="R805" s="53" t="str">
        <f aca="false">IF(AND($G805&lt;&gt;"",$I805&lt;&gt;""),$I805-$G805,"")</f>
        <v/>
      </c>
      <c r="S805" s="53" t="str">
        <f aca="false">IF(AND($H805&lt;&gt;"",$I805&lt;&gt;""),$I805-$H805,"")</f>
        <v/>
      </c>
      <c r="T805" s="53" t="str">
        <f aca="false">IF($J805&lt;&gt;"",$J805,"")</f>
        <v/>
      </c>
      <c r="V805" s="52" t="str">
        <f aca="false">IF($A805&lt;&gt;"",$A805,"")</f>
        <v>Apprenant 793</v>
      </c>
      <c r="W805" s="53" t="str">
        <f aca="false">IF(AND(OR('Choix pédagogiques'!$C$3=1,'Choix pédagogiques'!$C$3=2),$BM805=1),B805,IF(AND('Choix pédagogiques'!$C$3=3,$BO805=1),B805,""))</f>
        <v/>
      </c>
      <c r="X805" s="53" t="str">
        <f aca="false">IF(AND(OR('Choix pédagogiques'!$C$3=1,'Choix pédagogiques'!$C$3=2),$BM805=1),C805,IF(AND('Choix pédagogiques'!$C$3=3,$BO805=1),C805,""))</f>
        <v/>
      </c>
      <c r="Y805" s="53" t="str">
        <f aca="false">IF(AND(OR('Choix pédagogiques'!$C$3=1,'Choix pédagogiques'!$C$3=2),$BM805=1),D805,IF(AND('Choix pédagogiques'!$C$3=3,$BO805=1),D805,""))</f>
        <v/>
      </c>
      <c r="Z805" s="53" t="str">
        <f aca="false">IF($E805&lt;&gt;"",$E805,"")</f>
        <v/>
      </c>
      <c r="AA805" s="52" t="str">
        <f aca="false">IF($F805&lt;&gt;"",$F805,"")</f>
        <v>Apprenant 793 ou 793'</v>
      </c>
      <c r="AB805" s="53" t="str">
        <f aca="false">IF(AND(OR('Choix pédagogiques'!$C$3=1,'Choix pédagogiques'!$C$3=2),$BN805=1),G805,IF(AND('Choix pédagogiques'!$C$3=3,$BO805=1),G805,""))</f>
        <v/>
      </c>
      <c r="AC805" s="53" t="str">
        <f aca="false">IF(AND(OR('Choix pédagogiques'!$C$3=1,'Choix pédagogiques'!$C$3=2),$BN805=1),H805,IF(AND('Choix pédagogiques'!$C$3=3,$BO805=1),H805,""))</f>
        <v/>
      </c>
      <c r="AD805" s="53" t="str">
        <f aca="false">IF(AND(OR('Choix pédagogiques'!$C$3=1,'Choix pédagogiques'!$C$3=2),$BN805=1),I805,IF(AND('Choix pédagogiques'!$C$3=3,$BO805=1),I805,""))</f>
        <v/>
      </c>
      <c r="AE805" s="53" t="str">
        <f aca="false">IF($J805&lt;&gt;"",$J805,"")</f>
        <v/>
      </c>
      <c r="AF805" s="52" t="str">
        <f aca="false">IF($A805&lt;&gt;"",$A805,"")</f>
        <v>Apprenant 793</v>
      </c>
      <c r="AG805" s="53" t="str">
        <f aca="false">IF(AND($W805&lt;&gt;"",$X805&lt;&gt;""),$X805-$W805,"")</f>
        <v/>
      </c>
      <c r="AH805" s="53" t="str">
        <f aca="false">IF(AND($W805&lt;&gt;"",$Y805&lt;&gt;""),$Y805-$W805,"")</f>
        <v/>
      </c>
      <c r="AI805" s="53" t="str">
        <f aca="false">IF(AND($X805&lt;&gt;"",$Y805&lt;&gt;""),$Y805-$X805,"")</f>
        <v/>
      </c>
      <c r="AJ805" s="53" t="str">
        <f aca="false">IF($E805&lt;&gt;"",$E805,"")</f>
        <v/>
      </c>
      <c r="AK805" s="52" t="str">
        <f aca="false">IF($F805&lt;&gt;"",$F805,"")</f>
        <v>Apprenant 793 ou 793'</v>
      </c>
      <c r="AL805" s="53" t="str">
        <f aca="false">IF(AND($AB805&lt;&gt;"",$AC805&lt;&gt;""),$AC805-$AB805,"")</f>
        <v/>
      </c>
      <c r="AM805" s="53" t="str">
        <f aca="false">IF(AND($AB805&lt;&gt;"",$AD805&lt;&gt;""),$AD805-$AB805,"")</f>
        <v/>
      </c>
      <c r="AN805" s="53" t="str">
        <f aca="false">IF(AND($AC805&lt;&gt;"",$AD805&lt;&gt;""),$AD805-$AC805,"")</f>
        <v/>
      </c>
      <c r="AO805" s="53" t="str">
        <f aca="false">IF($J805&lt;&gt;"",$J805,"")</f>
        <v/>
      </c>
      <c r="AQ805" s="52" t="str">
        <f aca="false">IF($A805&lt;&gt;"",$A805,"")</f>
        <v>Apprenant 793</v>
      </c>
      <c r="AR805" s="55" t="str">
        <f aca="false">IF(AND('Choix pédagogiques'!$C$4&lt;&gt;"?",'Choix pédagogiques'!$C$5&lt;&gt;"?",W805&lt;&gt;""),(W805-'Choix pédagogiques'!$C$4)/('Choix pédagogiques'!$C$5-'Choix pédagogiques'!$C$4),"")</f>
        <v/>
      </c>
      <c r="AS805" s="55" t="str">
        <f aca="false">IF(AND('Choix pédagogiques'!$C$4&lt;&gt;"?",'Choix pédagogiques'!$C$5&lt;&gt;"?",X805&lt;&gt;""),(X805-'Choix pédagogiques'!$C$4)/('Choix pédagogiques'!$C$5-'Choix pédagogiques'!$C$4),"")</f>
        <v/>
      </c>
      <c r="AT805" s="55" t="str">
        <f aca="false">IF(AND('Choix pédagogiques'!$C$4&lt;&gt;"?",'Choix pédagogiques'!$C$5&lt;&gt;"?",Y805&lt;&gt;""),(Y805-'Choix pédagogiques'!$C$4)/('Choix pédagogiques'!$C$5-'Choix pédagogiques'!$C$4),"")</f>
        <v/>
      </c>
      <c r="AU805" s="53" t="str">
        <f aca="false">IF($E805&lt;&gt;"",$E805,"")</f>
        <v/>
      </c>
      <c r="AV805" s="52" t="str">
        <f aca="false">IF($F805&lt;&gt;"",$F805,"")</f>
        <v>Apprenant 793 ou 793'</v>
      </c>
      <c r="AW805" s="55" t="str">
        <f aca="false">IF(AND('Choix pédagogiques'!$C$4&lt;&gt;"?",'Choix pédagogiques'!$C$5&lt;&gt;"?",AB805&lt;&gt;""),(AB805-'Choix pédagogiques'!$C$4)/('Choix pédagogiques'!$C$5-'Choix pédagogiques'!$C$4),"")</f>
        <v/>
      </c>
      <c r="AX805" s="55" t="str">
        <f aca="false">IF(AND('Choix pédagogiques'!$C$4&lt;&gt;"?",'Choix pédagogiques'!$C$5&lt;&gt;"?",AC805&lt;&gt;""),(AC805-'Choix pédagogiques'!$C$4)/('Choix pédagogiques'!$C$5-'Choix pédagogiques'!$C$4),"")</f>
        <v/>
      </c>
      <c r="AY805" s="55" t="str">
        <f aca="false">IF(AND('Choix pédagogiques'!$C$4&lt;&gt;"?",'Choix pédagogiques'!$C$5&lt;&gt;"?",AD805&lt;&gt;""),(AD805-'Choix pédagogiques'!$C$4)/('Choix pédagogiques'!$C$5-'Choix pédagogiques'!$C$4),"")</f>
        <v/>
      </c>
      <c r="AZ805" s="53" t="str">
        <f aca="false">IF($J805&lt;&gt;"",$J805,"")</f>
        <v/>
      </c>
      <c r="BA805" s="52" t="str">
        <f aca="false">IF($A805&lt;&gt;"",$A805,"")</f>
        <v>Apprenant 793</v>
      </c>
      <c r="BB805" s="55" t="str">
        <f aca="false">IF(AND($AR805&lt;&gt;"",$AS805&lt;&gt;""),$AS805-$AR805,"")</f>
        <v/>
      </c>
      <c r="BC805" s="55" t="str">
        <f aca="false">IF(AND($AR805&lt;&gt;"",$AT805&lt;&gt;""),$AT805-$AR805,"")</f>
        <v/>
      </c>
      <c r="BD805" s="55" t="str">
        <f aca="false">IF(AND($AS805&lt;&gt;"",$AT805&lt;&gt;""),$AT805-$AS805,"")</f>
        <v/>
      </c>
      <c r="BE805" s="53" t="str">
        <f aca="false">IF($E805&lt;&gt;"",$E805,"")</f>
        <v/>
      </c>
      <c r="BF805" s="52" t="str">
        <f aca="false">IF($F805&lt;&gt;"",$F805,"")</f>
        <v>Apprenant 793 ou 793'</v>
      </c>
      <c r="BG805" s="55" t="str">
        <f aca="false">IF(AND($AW805&lt;&gt;"",$AX805&lt;&gt;""),$AX805-$AW805,"")</f>
        <v/>
      </c>
      <c r="BH805" s="55" t="str">
        <f aca="false">IF(AND($AW805&lt;&gt;"",$AY805&lt;&gt;""),$AY805-$AW805,"")</f>
        <v/>
      </c>
      <c r="BI805" s="55" t="str">
        <f aca="false">IF(AND($AX805&lt;&gt;"",$AY805&lt;&gt;""),$AY805-$AX805,"")</f>
        <v/>
      </c>
      <c r="BJ805" s="53" t="str">
        <f aca="false">IF($J805&lt;&gt;"",$J805,"")</f>
        <v/>
      </c>
      <c r="BL805" s="52"/>
      <c r="BM805" s="52" t="str">
        <f aca="false">IF(OR(COUNT(B805:D1804)=0,AND('Choix pédagogiques'!$C$3&lt;&gt;1,'Choix pédagogiques'!$C$3&lt;&gt;2)),"",IF(AND(OR('Choix pédagogiques'!$C$3=1,'Choix pédagogiques'!$C$3=2),$B805&lt;&gt;"",$C805&lt;&gt;"",$D805&lt;&gt;""),1,0))</f>
        <v/>
      </c>
      <c r="BN805" s="52" t="str">
        <f aca="false">IF(OR(COUNT(G805:I1804)=0,AND('Choix pédagogiques'!$C$3&lt;&gt;1,'Choix pédagogiques'!$C$3&lt;&gt;2)),"",IF(AND(OR('Choix pédagogiques'!$C$3=1,'Choix pédagogiques'!$C$3=2),AND($G805&lt;&gt;"",$H805&lt;&gt;"",$I805&lt;&gt;"")),1,0))</f>
        <v/>
      </c>
      <c r="BO805" s="52" t="str">
        <f aca="false">IF(OR(COUNT(B805:D1804)=0,COUNT(G805:I1804)=0,'Choix pédagogiques'!C$3&lt;&gt;3),"",IF(AND('Choix pédagogiques'!$C$3=3,$B805&lt;&gt;"",$C805&lt;&gt;"",$D805&lt;&gt;"",$G805&lt;&gt;"",$H805&lt;&gt;"",$I805&lt;&gt;""),1,0))</f>
        <v/>
      </c>
      <c r="BR805" s="52" t="n">
        <v>367</v>
      </c>
      <c r="BS805" s="52" t="n">
        <v>1236</v>
      </c>
    </row>
    <row r="806" s="54" customFormat="true" ht="18" hidden="false" customHeight="true" outlineLevel="0" collapsed="false">
      <c r="A806" s="57" t="s">
        <v>1543</v>
      </c>
      <c r="B806" s="51"/>
      <c r="C806" s="51"/>
      <c r="D806" s="51"/>
      <c r="E806" s="51"/>
      <c r="F806" s="57" t="s">
        <v>1544</v>
      </c>
      <c r="G806" s="51"/>
      <c r="H806" s="51"/>
      <c r="I806" s="51"/>
      <c r="J806" s="51"/>
      <c r="K806" s="52" t="str">
        <f aca="false">IF($A806&lt;&gt;"",$A806,"")</f>
        <v>Apprenant 794</v>
      </c>
      <c r="L806" s="53" t="str">
        <f aca="false">IF(AND($B806&lt;&gt;"",$C806&lt;&gt;""),$C806-$B806,"")</f>
        <v/>
      </c>
      <c r="M806" s="53" t="str">
        <f aca="false">IF(AND($B806&lt;&gt;"",$D806&lt;&gt;""),$D806-$B806,"")</f>
        <v/>
      </c>
      <c r="N806" s="53" t="str">
        <f aca="false">IF(AND($C806&lt;&gt;"",$D806&lt;&gt;""),$D806-$C806,"")</f>
        <v/>
      </c>
      <c r="O806" s="53" t="str">
        <f aca="false">IF($E806&lt;&gt;"",$E806,"")</f>
        <v/>
      </c>
      <c r="P806" s="52" t="str">
        <f aca="false">IF($F806&lt;&gt;"",$F806,"")</f>
        <v>Apprenant 794 ou 794'</v>
      </c>
      <c r="Q806" s="53" t="str">
        <f aca="false">IF(AND($G806&lt;&gt;"",$H806&lt;&gt;""),$H806-$G806,"")</f>
        <v/>
      </c>
      <c r="R806" s="53" t="str">
        <f aca="false">IF(AND($G806&lt;&gt;"",$I806&lt;&gt;""),$I806-$G806,"")</f>
        <v/>
      </c>
      <c r="S806" s="53" t="str">
        <f aca="false">IF(AND($H806&lt;&gt;"",$I806&lt;&gt;""),$I806-$H806,"")</f>
        <v/>
      </c>
      <c r="T806" s="53" t="str">
        <f aca="false">IF($J806&lt;&gt;"",$J806,"")</f>
        <v/>
      </c>
      <c r="V806" s="52" t="str">
        <f aca="false">IF($A806&lt;&gt;"",$A806,"")</f>
        <v>Apprenant 794</v>
      </c>
      <c r="W806" s="53" t="str">
        <f aca="false">IF(AND(OR('Choix pédagogiques'!$C$3=1,'Choix pédagogiques'!$C$3=2),$BM806=1),B806,IF(AND('Choix pédagogiques'!$C$3=3,$BO806=1),B806,""))</f>
        <v/>
      </c>
      <c r="X806" s="53" t="str">
        <f aca="false">IF(AND(OR('Choix pédagogiques'!$C$3=1,'Choix pédagogiques'!$C$3=2),$BM806=1),C806,IF(AND('Choix pédagogiques'!$C$3=3,$BO806=1),C806,""))</f>
        <v/>
      </c>
      <c r="Y806" s="53" t="str">
        <f aca="false">IF(AND(OR('Choix pédagogiques'!$C$3=1,'Choix pédagogiques'!$C$3=2),$BM806=1),D806,IF(AND('Choix pédagogiques'!$C$3=3,$BO806=1),D806,""))</f>
        <v/>
      </c>
      <c r="Z806" s="53" t="str">
        <f aca="false">IF($E806&lt;&gt;"",$E806,"")</f>
        <v/>
      </c>
      <c r="AA806" s="52" t="str">
        <f aca="false">IF($F806&lt;&gt;"",$F806,"")</f>
        <v>Apprenant 794 ou 794'</v>
      </c>
      <c r="AB806" s="53" t="str">
        <f aca="false">IF(AND(OR('Choix pédagogiques'!$C$3=1,'Choix pédagogiques'!$C$3=2),$BN806=1),G806,IF(AND('Choix pédagogiques'!$C$3=3,$BO806=1),G806,""))</f>
        <v/>
      </c>
      <c r="AC806" s="53" t="str">
        <f aca="false">IF(AND(OR('Choix pédagogiques'!$C$3=1,'Choix pédagogiques'!$C$3=2),$BN806=1),H806,IF(AND('Choix pédagogiques'!$C$3=3,$BO806=1),H806,""))</f>
        <v/>
      </c>
      <c r="AD806" s="53" t="str">
        <f aca="false">IF(AND(OR('Choix pédagogiques'!$C$3=1,'Choix pédagogiques'!$C$3=2),$BN806=1),I806,IF(AND('Choix pédagogiques'!$C$3=3,$BO806=1),I806,""))</f>
        <v/>
      </c>
      <c r="AE806" s="53" t="str">
        <f aca="false">IF($J806&lt;&gt;"",$J806,"")</f>
        <v/>
      </c>
      <c r="AF806" s="52" t="str">
        <f aca="false">IF($A806&lt;&gt;"",$A806,"")</f>
        <v>Apprenant 794</v>
      </c>
      <c r="AG806" s="53" t="str">
        <f aca="false">IF(AND($W806&lt;&gt;"",$X806&lt;&gt;""),$X806-$W806,"")</f>
        <v/>
      </c>
      <c r="AH806" s="53" t="str">
        <f aca="false">IF(AND($W806&lt;&gt;"",$Y806&lt;&gt;""),$Y806-$W806,"")</f>
        <v/>
      </c>
      <c r="AI806" s="53" t="str">
        <f aca="false">IF(AND($X806&lt;&gt;"",$Y806&lt;&gt;""),$Y806-$X806,"")</f>
        <v/>
      </c>
      <c r="AJ806" s="53" t="str">
        <f aca="false">IF($E806&lt;&gt;"",$E806,"")</f>
        <v/>
      </c>
      <c r="AK806" s="52" t="str">
        <f aca="false">IF($F806&lt;&gt;"",$F806,"")</f>
        <v>Apprenant 794 ou 794'</v>
      </c>
      <c r="AL806" s="53" t="str">
        <f aca="false">IF(AND($AB806&lt;&gt;"",$AC806&lt;&gt;""),$AC806-$AB806,"")</f>
        <v/>
      </c>
      <c r="AM806" s="53" t="str">
        <f aca="false">IF(AND($AB806&lt;&gt;"",$AD806&lt;&gt;""),$AD806-$AB806,"")</f>
        <v/>
      </c>
      <c r="AN806" s="53" t="str">
        <f aca="false">IF(AND($AC806&lt;&gt;"",$AD806&lt;&gt;""),$AD806-$AC806,"")</f>
        <v/>
      </c>
      <c r="AO806" s="53" t="str">
        <f aca="false">IF($J806&lt;&gt;"",$J806,"")</f>
        <v/>
      </c>
      <c r="AQ806" s="52" t="str">
        <f aca="false">IF($A806&lt;&gt;"",$A806,"")</f>
        <v>Apprenant 794</v>
      </c>
      <c r="AR806" s="55" t="str">
        <f aca="false">IF(AND('Choix pédagogiques'!$C$4&lt;&gt;"?",'Choix pédagogiques'!$C$5&lt;&gt;"?",W806&lt;&gt;""),(W806-'Choix pédagogiques'!$C$4)/('Choix pédagogiques'!$C$5-'Choix pédagogiques'!$C$4),"")</f>
        <v/>
      </c>
      <c r="AS806" s="55" t="str">
        <f aca="false">IF(AND('Choix pédagogiques'!$C$4&lt;&gt;"?",'Choix pédagogiques'!$C$5&lt;&gt;"?",X806&lt;&gt;""),(X806-'Choix pédagogiques'!$C$4)/('Choix pédagogiques'!$C$5-'Choix pédagogiques'!$C$4),"")</f>
        <v/>
      </c>
      <c r="AT806" s="55" t="str">
        <f aca="false">IF(AND('Choix pédagogiques'!$C$4&lt;&gt;"?",'Choix pédagogiques'!$C$5&lt;&gt;"?",Y806&lt;&gt;""),(Y806-'Choix pédagogiques'!$C$4)/('Choix pédagogiques'!$C$5-'Choix pédagogiques'!$C$4),"")</f>
        <v/>
      </c>
      <c r="AU806" s="53" t="str">
        <f aca="false">IF($E806&lt;&gt;"",$E806,"")</f>
        <v/>
      </c>
      <c r="AV806" s="52" t="str">
        <f aca="false">IF($F806&lt;&gt;"",$F806,"")</f>
        <v>Apprenant 794 ou 794'</v>
      </c>
      <c r="AW806" s="55" t="str">
        <f aca="false">IF(AND('Choix pédagogiques'!$C$4&lt;&gt;"?",'Choix pédagogiques'!$C$5&lt;&gt;"?",AB806&lt;&gt;""),(AB806-'Choix pédagogiques'!$C$4)/('Choix pédagogiques'!$C$5-'Choix pédagogiques'!$C$4),"")</f>
        <v/>
      </c>
      <c r="AX806" s="55" t="str">
        <f aca="false">IF(AND('Choix pédagogiques'!$C$4&lt;&gt;"?",'Choix pédagogiques'!$C$5&lt;&gt;"?",AC806&lt;&gt;""),(AC806-'Choix pédagogiques'!$C$4)/('Choix pédagogiques'!$C$5-'Choix pédagogiques'!$C$4),"")</f>
        <v/>
      </c>
      <c r="AY806" s="55" t="str">
        <f aca="false">IF(AND('Choix pédagogiques'!$C$4&lt;&gt;"?",'Choix pédagogiques'!$C$5&lt;&gt;"?",AD806&lt;&gt;""),(AD806-'Choix pédagogiques'!$C$4)/('Choix pédagogiques'!$C$5-'Choix pédagogiques'!$C$4),"")</f>
        <v/>
      </c>
      <c r="AZ806" s="53" t="str">
        <f aca="false">IF($J806&lt;&gt;"",$J806,"")</f>
        <v/>
      </c>
      <c r="BA806" s="52" t="str">
        <f aca="false">IF($A806&lt;&gt;"",$A806,"")</f>
        <v>Apprenant 794</v>
      </c>
      <c r="BB806" s="55" t="str">
        <f aca="false">IF(AND($AR806&lt;&gt;"",$AS806&lt;&gt;""),$AS806-$AR806,"")</f>
        <v/>
      </c>
      <c r="BC806" s="55" t="str">
        <f aca="false">IF(AND($AR806&lt;&gt;"",$AT806&lt;&gt;""),$AT806-$AR806,"")</f>
        <v/>
      </c>
      <c r="BD806" s="55" t="str">
        <f aca="false">IF(AND($AS806&lt;&gt;"",$AT806&lt;&gt;""),$AT806-$AS806,"")</f>
        <v/>
      </c>
      <c r="BE806" s="53" t="str">
        <f aca="false">IF($E806&lt;&gt;"",$E806,"")</f>
        <v/>
      </c>
      <c r="BF806" s="52" t="str">
        <f aca="false">IF($F806&lt;&gt;"",$F806,"")</f>
        <v>Apprenant 794 ou 794'</v>
      </c>
      <c r="BG806" s="55" t="str">
        <f aca="false">IF(AND($AW806&lt;&gt;"",$AX806&lt;&gt;""),$AX806-$AW806,"")</f>
        <v/>
      </c>
      <c r="BH806" s="55" t="str">
        <f aca="false">IF(AND($AW806&lt;&gt;"",$AY806&lt;&gt;""),$AY806-$AW806,"")</f>
        <v/>
      </c>
      <c r="BI806" s="55" t="str">
        <f aca="false">IF(AND($AX806&lt;&gt;"",$AY806&lt;&gt;""),$AY806-$AX806,"")</f>
        <v/>
      </c>
      <c r="BJ806" s="53" t="str">
        <f aca="false">IF($J806&lt;&gt;"",$J806,"")</f>
        <v/>
      </c>
      <c r="BL806" s="52"/>
      <c r="BM806" s="52" t="str">
        <f aca="false">IF(OR(COUNT(B806:D1805)=0,AND('Choix pédagogiques'!$C$3&lt;&gt;1,'Choix pédagogiques'!$C$3&lt;&gt;2)),"",IF(AND(OR('Choix pédagogiques'!$C$3=1,'Choix pédagogiques'!$C$3=2),$B806&lt;&gt;"",$C806&lt;&gt;"",$D806&lt;&gt;""),1,0))</f>
        <v/>
      </c>
      <c r="BN806" s="52" t="str">
        <f aca="false">IF(OR(COUNT(G806:I1805)=0,AND('Choix pédagogiques'!$C$3&lt;&gt;1,'Choix pédagogiques'!$C$3&lt;&gt;2)),"",IF(AND(OR('Choix pédagogiques'!$C$3=1,'Choix pédagogiques'!$C$3=2),AND($G806&lt;&gt;"",$H806&lt;&gt;"",$I806&lt;&gt;"")),1,0))</f>
        <v/>
      </c>
      <c r="BO806" s="52" t="str">
        <f aca="false">IF(OR(COUNT(B806:D1805)=0,COUNT(G806:I1805)=0,'Choix pédagogiques'!C$3&lt;&gt;3),"",IF(AND('Choix pédagogiques'!$C$3=3,$B806&lt;&gt;"",$C806&lt;&gt;"",$D806&lt;&gt;"",$G806&lt;&gt;"",$H806&lt;&gt;"",$I806&lt;&gt;""),1,0))</f>
        <v/>
      </c>
      <c r="BR806" s="52" t="n">
        <v>5</v>
      </c>
      <c r="BS806" s="52" t="n">
        <v>1756</v>
      </c>
    </row>
    <row r="807" s="54" customFormat="true" ht="18" hidden="false" customHeight="true" outlineLevel="0" collapsed="false">
      <c r="A807" s="57" t="s">
        <v>1545</v>
      </c>
      <c r="B807" s="51"/>
      <c r="C807" s="51"/>
      <c r="D807" s="51"/>
      <c r="E807" s="51"/>
      <c r="F807" s="57" t="s">
        <v>1546</v>
      </c>
      <c r="G807" s="51"/>
      <c r="H807" s="51"/>
      <c r="I807" s="51"/>
      <c r="J807" s="51"/>
      <c r="K807" s="52" t="str">
        <f aca="false">IF($A807&lt;&gt;"",$A807,"")</f>
        <v>Apprenant 795</v>
      </c>
      <c r="L807" s="53" t="str">
        <f aca="false">IF(AND($B807&lt;&gt;"",$C807&lt;&gt;""),$C807-$B807,"")</f>
        <v/>
      </c>
      <c r="M807" s="53" t="str">
        <f aca="false">IF(AND($B807&lt;&gt;"",$D807&lt;&gt;""),$D807-$B807,"")</f>
        <v/>
      </c>
      <c r="N807" s="53" t="str">
        <f aca="false">IF(AND($C807&lt;&gt;"",$D807&lt;&gt;""),$D807-$C807,"")</f>
        <v/>
      </c>
      <c r="O807" s="53" t="str">
        <f aca="false">IF($E807&lt;&gt;"",$E807,"")</f>
        <v/>
      </c>
      <c r="P807" s="52" t="str">
        <f aca="false">IF($F807&lt;&gt;"",$F807,"")</f>
        <v>Apprenant 795 ou 795'</v>
      </c>
      <c r="Q807" s="53" t="str">
        <f aca="false">IF(AND($G807&lt;&gt;"",$H807&lt;&gt;""),$H807-$G807,"")</f>
        <v/>
      </c>
      <c r="R807" s="53" t="str">
        <f aca="false">IF(AND($G807&lt;&gt;"",$I807&lt;&gt;""),$I807-$G807,"")</f>
        <v/>
      </c>
      <c r="S807" s="53" t="str">
        <f aca="false">IF(AND($H807&lt;&gt;"",$I807&lt;&gt;""),$I807-$H807,"")</f>
        <v/>
      </c>
      <c r="T807" s="53" t="str">
        <f aca="false">IF($J807&lt;&gt;"",$J807,"")</f>
        <v/>
      </c>
      <c r="V807" s="52" t="str">
        <f aca="false">IF($A807&lt;&gt;"",$A807,"")</f>
        <v>Apprenant 795</v>
      </c>
      <c r="W807" s="53" t="str">
        <f aca="false">IF(AND(OR('Choix pédagogiques'!$C$3=1,'Choix pédagogiques'!$C$3=2),$BM807=1),B807,IF(AND('Choix pédagogiques'!$C$3=3,$BO807=1),B807,""))</f>
        <v/>
      </c>
      <c r="X807" s="53" t="str">
        <f aca="false">IF(AND(OR('Choix pédagogiques'!$C$3=1,'Choix pédagogiques'!$C$3=2),$BM807=1),C807,IF(AND('Choix pédagogiques'!$C$3=3,$BO807=1),C807,""))</f>
        <v/>
      </c>
      <c r="Y807" s="53" t="str">
        <f aca="false">IF(AND(OR('Choix pédagogiques'!$C$3=1,'Choix pédagogiques'!$C$3=2),$BM807=1),D807,IF(AND('Choix pédagogiques'!$C$3=3,$BO807=1),D807,""))</f>
        <v/>
      </c>
      <c r="Z807" s="53" t="str">
        <f aca="false">IF($E807&lt;&gt;"",$E807,"")</f>
        <v/>
      </c>
      <c r="AA807" s="52" t="str">
        <f aca="false">IF($F807&lt;&gt;"",$F807,"")</f>
        <v>Apprenant 795 ou 795'</v>
      </c>
      <c r="AB807" s="53" t="str">
        <f aca="false">IF(AND(OR('Choix pédagogiques'!$C$3=1,'Choix pédagogiques'!$C$3=2),$BN807=1),G807,IF(AND('Choix pédagogiques'!$C$3=3,$BO807=1),G807,""))</f>
        <v/>
      </c>
      <c r="AC807" s="53" t="str">
        <f aca="false">IF(AND(OR('Choix pédagogiques'!$C$3=1,'Choix pédagogiques'!$C$3=2),$BN807=1),H807,IF(AND('Choix pédagogiques'!$C$3=3,$BO807=1),H807,""))</f>
        <v/>
      </c>
      <c r="AD807" s="53" t="str">
        <f aca="false">IF(AND(OR('Choix pédagogiques'!$C$3=1,'Choix pédagogiques'!$C$3=2),$BN807=1),I807,IF(AND('Choix pédagogiques'!$C$3=3,$BO807=1),I807,""))</f>
        <v/>
      </c>
      <c r="AE807" s="53" t="str">
        <f aca="false">IF($J807&lt;&gt;"",$J807,"")</f>
        <v/>
      </c>
      <c r="AF807" s="52" t="str">
        <f aca="false">IF($A807&lt;&gt;"",$A807,"")</f>
        <v>Apprenant 795</v>
      </c>
      <c r="AG807" s="53" t="str">
        <f aca="false">IF(AND($W807&lt;&gt;"",$X807&lt;&gt;""),$X807-$W807,"")</f>
        <v/>
      </c>
      <c r="AH807" s="53" t="str">
        <f aca="false">IF(AND($W807&lt;&gt;"",$Y807&lt;&gt;""),$Y807-$W807,"")</f>
        <v/>
      </c>
      <c r="AI807" s="53" t="str">
        <f aca="false">IF(AND($X807&lt;&gt;"",$Y807&lt;&gt;""),$Y807-$X807,"")</f>
        <v/>
      </c>
      <c r="AJ807" s="53" t="str">
        <f aca="false">IF($E807&lt;&gt;"",$E807,"")</f>
        <v/>
      </c>
      <c r="AK807" s="52" t="str">
        <f aca="false">IF($F807&lt;&gt;"",$F807,"")</f>
        <v>Apprenant 795 ou 795'</v>
      </c>
      <c r="AL807" s="53" t="str">
        <f aca="false">IF(AND($AB807&lt;&gt;"",$AC807&lt;&gt;""),$AC807-$AB807,"")</f>
        <v/>
      </c>
      <c r="AM807" s="53" t="str">
        <f aca="false">IF(AND($AB807&lt;&gt;"",$AD807&lt;&gt;""),$AD807-$AB807,"")</f>
        <v/>
      </c>
      <c r="AN807" s="53" t="str">
        <f aca="false">IF(AND($AC807&lt;&gt;"",$AD807&lt;&gt;""),$AD807-$AC807,"")</f>
        <v/>
      </c>
      <c r="AO807" s="53" t="str">
        <f aca="false">IF($J807&lt;&gt;"",$J807,"")</f>
        <v/>
      </c>
      <c r="AQ807" s="52" t="str">
        <f aca="false">IF($A807&lt;&gt;"",$A807,"")</f>
        <v>Apprenant 795</v>
      </c>
      <c r="AR807" s="55" t="str">
        <f aca="false">IF(AND('Choix pédagogiques'!$C$4&lt;&gt;"?",'Choix pédagogiques'!$C$5&lt;&gt;"?",W807&lt;&gt;""),(W807-'Choix pédagogiques'!$C$4)/('Choix pédagogiques'!$C$5-'Choix pédagogiques'!$C$4),"")</f>
        <v/>
      </c>
      <c r="AS807" s="55" t="str">
        <f aca="false">IF(AND('Choix pédagogiques'!$C$4&lt;&gt;"?",'Choix pédagogiques'!$C$5&lt;&gt;"?",X807&lt;&gt;""),(X807-'Choix pédagogiques'!$C$4)/('Choix pédagogiques'!$C$5-'Choix pédagogiques'!$C$4),"")</f>
        <v/>
      </c>
      <c r="AT807" s="55" t="str">
        <f aca="false">IF(AND('Choix pédagogiques'!$C$4&lt;&gt;"?",'Choix pédagogiques'!$C$5&lt;&gt;"?",Y807&lt;&gt;""),(Y807-'Choix pédagogiques'!$C$4)/('Choix pédagogiques'!$C$5-'Choix pédagogiques'!$C$4),"")</f>
        <v/>
      </c>
      <c r="AU807" s="53" t="str">
        <f aca="false">IF($E807&lt;&gt;"",$E807,"")</f>
        <v/>
      </c>
      <c r="AV807" s="52" t="str">
        <f aca="false">IF($F807&lt;&gt;"",$F807,"")</f>
        <v>Apprenant 795 ou 795'</v>
      </c>
      <c r="AW807" s="55" t="str">
        <f aca="false">IF(AND('Choix pédagogiques'!$C$4&lt;&gt;"?",'Choix pédagogiques'!$C$5&lt;&gt;"?",AB807&lt;&gt;""),(AB807-'Choix pédagogiques'!$C$4)/('Choix pédagogiques'!$C$5-'Choix pédagogiques'!$C$4),"")</f>
        <v/>
      </c>
      <c r="AX807" s="55" t="str">
        <f aca="false">IF(AND('Choix pédagogiques'!$C$4&lt;&gt;"?",'Choix pédagogiques'!$C$5&lt;&gt;"?",AC807&lt;&gt;""),(AC807-'Choix pédagogiques'!$C$4)/('Choix pédagogiques'!$C$5-'Choix pédagogiques'!$C$4),"")</f>
        <v/>
      </c>
      <c r="AY807" s="55" t="str">
        <f aca="false">IF(AND('Choix pédagogiques'!$C$4&lt;&gt;"?",'Choix pédagogiques'!$C$5&lt;&gt;"?",AD807&lt;&gt;""),(AD807-'Choix pédagogiques'!$C$4)/('Choix pédagogiques'!$C$5-'Choix pédagogiques'!$C$4),"")</f>
        <v/>
      </c>
      <c r="AZ807" s="53" t="str">
        <f aca="false">IF($J807&lt;&gt;"",$J807,"")</f>
        <v/>
      </c>
      <c r="BA807" s="52" t="str">
        <f aca="false">IF($A807&lt;&gt;"",$A807,"")</f>
        <v>Apprenant 795</v>
      </c>
      <c r="BB807" s="55" t="str">
        <f aca="false">IF(AND($AR807&lt;&gt;"",$AS807&lt;&gt;""),$AS807-$AR807,"")</f>
        <v/>
      </c>
      <c r="BC807" s="55" t="str">
        <f aca="false">IF(AND($AR807&lt;&gt;"",$AT807&lt;&gt;""),$AT807-$AR807,"")</f>
        <v/>
      </c>
      <c r="BD807" s="55" t="str">
        <f aca="false">IF(AND($AS807&lt;&gt;"",$AT807&lt;&gt;""),$AT807-$AS807,"")</f>
        <v/>
      </c>
      <c r="BE807" s="53" t="str">
        <f aca="false">IF($E807&lt;&gt;"",$E807,"")</f>
        <v/>
      </c>
      <c r="BF807" s="52" t="str">
        <f aca="false">IF($F807&lt;&gt;"",$F807,"")</f>
        <v>Apprenant 795 ou 795'</v>
      </c>
      <c r="BG807" s="55" t="str">
        <f aca="false">IF(AND($AW807&lt;&gt;"",$AX807&lt;&gt;""),$AX807-$AW807,"")</f>
        <v/>
      </c>
      <c r="BH807" s="55" t="str">
        <f aca="false">IF(AND($AW807&lt;&gt;"",$AY807&lt;&gt;""),$AY807-$AW807,"")</f>
        <v/>
      </c>
      <c r="BI807" s="55" t="str">
        <f aca="false">IF(AND($AX807&lt;&gt;"",$AY807&lt;&gt;""),$AY807-$AX807,"")</f>
        <v/>
      </c>
      <c r="BJ807" s="53" t="str">
        <f aca="false">IF($J807&lt;&gt;"",$J807,"")</f>
        <v/>
      </c>
      <c r="BL807" s="52"/>
      <c r="BM807" s="52" t="str">
        <f aca="false">IF(OR(COUNT(B807:D1806)=0,AND('Choix pédagogiques'!$C$3&lt;&gt;1,'Choix pédagogiques'!$C$3&lt;&gt;2)),"",IF(AND(OR('Choix pédagogiques'!$C$3=1,'Choix pédagogiques'!$C$3=2),$B807&lt;&gt;"",$C807&lt;&gt;"",$D807&lt;&gt;""),1,0))</f>
        <v/>
      </c>
      <c r="BN807" s="52" t="str">
        <f aca="false">IF(OR(COUNT(G807:I1806)=0,AND('Choix pédagogiques'!$C$3&lt;&gt;1,'Choix pédagogiques'!$C$3&lt;&gt;2)),"",IF(AND(OR('Choix pédagogiques'!$C$3=1,'Choix pédagogiques'!$C$3=2),AND($G807&lt;&gt;"",$H807&lt;&gt;"",$I807&lt;&gt;"")),1,0))</f>
        <v/>
      </c>
      <c r="BO807" s="52" t="str">
        <f aca="false">IF(OR(COUNT(B807:D1806)=0,COUNT(G807:I1806)=0,'Choix pédagogiques'!C$3&lt;&gt;3),"",IF(AND('Choix pédagogiques'!$C$3=3,$B807&lt;&gt;"",$C807&lt;&gt;"",$D807&lt;&gt;"",$G807&lt;&gt;"",$H807&lt;&gt;"",$I807&lt;&gt;""),1,0))</f>
        <v/>
      </c>
      <c r="BR807" s="52" t="n">
        <v>228</v>
      </c>
      <c r="BS807" s="52" t="n">
        <v>1181</v>
      </c>
    </row>
    <row r="808" s="54" customFormat="true" ht="18" hidden="false" customHeight="true" outlineLevel="0" collapsed="false">
      <c r="A808" s="57" t="s">
        <v>1547</v>
      </c>
      <c r="B808" s="51"/>
      <c r="C808" s="51"/>
      <c r="D808" s="51"/>
      <c r="E808" s="51"/>
      <c r="F808" s="57" t="s">
        <v>1548</v>
      </c>
      <c r="G808" s="51"/>
      <c r="H808" s="51"/>
      <c r="I808" s="51"/>
      <c r="J808" s="51"/>
      <c r="K808" s="52" t="str">
        <f aca="false">IF($A808&lt;&gt;"",$A808,"")</f>
        <v>Apprenant 796</v>
      </c>
      <c r="L808" s="53" t="str">
        <f aca="false">IF(AND($B808&lt;&gt;"",$C808&lt;&gt;""),$C808-$B808,"")</f>
        <v/>
      </c>
      <c r="M808" s="53" t="str">
        <f aca="false">IF(AND($B808&lt;&gt;"",$D808&lt;&gt;""),$D808-$B808,"")</f>
        <v/>
      </c>
      <c r="N808" s="53" t="str">
        <f aca="false">IF(AND($C808&lt;&gt;"",$D808&lt;&gt;""),$D808-$C808,"")</f>
        <v/>
      </c>
      <c r="O808" s="53" t="str">
        <f aca="false">IF($E808&lt;&gt;"",$E808,"")</f>
        <v/>
      </c>
      <c r="P808" s="52" t="str">
        <f aca="false">IF($F808&lt;&gt;"",$F808,"")</f>
        <v>Apprenant 796 ou 796'</v>
      </c>
      <c r="Q808" s="53" t="str">
        <f aca="false">IF(AND($G808&lt;&gt;"",$H808&lt;&gt;""),$H808-$G808,"")</f>
        <v/>
      </c>
      <c r="R808" s="53" t="str">
        <f aca="false">IF(AND($G808&lt;&gt;"",$I808&lt;&gt;""),$I808-$G808,"")</f>
        <v/>
      </c>
      <c r="S808" s="53" t="str">
        <f aca="false">IF(AND($H808&lt;&gt;"",$I808&lt;&gt;""),$I808-$H808,"")</f>
        <v/>
      </c>
      <c r="T808" s="53" t="str">
        <f aca="false">IF($J808&lt;&gt;"",$J808,"")</f>
        <v/>
      </c>
      <c r="V808" s="52" t="str">
        <f aca="false">IF($A808&lt;&gt;"",$A808,"")</f>
        <v>Apprenant 796</v>
      </c>
      <c r="W808" s="53" t="str">
        <f aca="false">IF(AND(OR('Choix pédagogiques'!$C$3=1,'Choix pédagogiques'!$C$3=2),$BM808=1),B808,IF(AND('Choix pédagogiques'!$C$3=3,$BO808=1),B808,""))</f>
        <v/>
      </c>
      <c r="X808" s="53" t="str">
        <f aca="false">IF(AND(OR('Choix pédagogiques'!$C$3=1,'Choix pédagogiques'!$C$3=2),$BM808=1),C808,IF(AND('Choix pédagogiques'!$C$3=3,$BO808=1),C808,""))</f>
        <v/>
      </c>
      <c r="Y808" s="53" t="str">
        <f aca="false">IF(AND(OR('Choix pédagogiques'!$C$3=1,'Choix pédagogiques'!$C$3=2),$BM808=1),D808,IF(AND('Choix pédagogiques'!$C$3=3,$BO808=1),D808,""))</f>
        <v/>
      </c>
      <c r="Z808" s="53" t="str">
        <f aca="false">IF($E808&lt;&gt;"",$E808,"")</f>
        <v/>
      </c>
      <c r="AA808" s="52" t="str">
        <f aca="false">IF($F808&lt;&gt;"",$F808,"")</f>
        <v>Apprenant 796 ou 796'</v>
      </c>
      <c r="AB808" s="53" t="str">
        <f aca="false">IF(AND(OR('Choix pédagogiques'!$C$3=1,'Choix pédagogiques'!$C$3=2),$BN808=1),G808,IF(AND('Choix pédagogiques'!$C$3=3,$BO808=1),G808,""))</f>
        <v/>
      </c>
      <c r="AC808" s="53" t="str">
        <f aca="false">IF(AND(OR('Choix pédagogiques'!$C$3=1,'Choix pédagogiques'!$C$3=2),$BN808=1),H808,IF(AND('Choix pédagogiques'!$C$3=3,$BO808=1),H808,""))</f>
        <v/>
      </c>
      <c r="AD808" s="53" t="str">
        <f aca="false">IF(AND(OR('Choix pédagogiques'!$C$3=1,'Choix pédagogiques'!$C$3=2),$BN808=1),I808,IF(AND('Choix pédagogiques'!$C$3=3,$BO808=1),I808,""))</f>
        <v/>
      </c>
      <c r="AE808" s="53" t="str">
        <f aca="false">IF($J808&lt;&gt;"",$J808,"")</f>
        <v/>
      </c>
      <c r="AF808" s="52" t="str">
        <f aca="false">IF($A808&lt;&gt;"",$A808,"")</f>
        <v>Apprenant 796</v>
      </c>
      <c r="AG808" s="53" t="str">
        <f aca="false">IF(AND($W808&lt;&gt;"",$X808&lt;&gt;""),$X808-$W808,"")</f>
        <v/>
      </c>
      <c r="AH808" s="53" t="str">
        <f aca="false">IF(AND($W808&lt;&gt;"",$Y808&lt;&gt;""),$Y808-$W808,"")</f>
        <v/>
      </c>
      <c r="AI808" s="53" t="str">
        <f aca="false">IF(AND($X808&lt;&gt;"",$Y808&lt;&gt;""),$Y808-$X808,"")</f>
        <v/>
      </c>
      <c r="AJ808" s="53" t="str">
        <f aca="false">IF($E808&lt;&gt;"",$E808,"")</f>
        <v/>
      </c>
      <c r="AK808" s="52" t="str">
        <f aca="false">IF($F808&lt;&gt;"",$F808,"")</f>
        <v>Apprenant 796 ou 796'</v>
      </c>
      <c r="AL808" s="53" t="str">
        <f aca="false">IF(AND($AB808&lt;&gt;"",$AC808&lt;&gt;""),$AC808-$AB808,"")</f>
        <v/>
      </c>
      <c r="AM808" s="53" t="str">
        <f aca="false">IF(AND($AB808&lt;&gt;"",$AD808&lt;&gt;""),$AD808-$AB808,"")</f>
        <v/>
      </c>
      <c r="AN808" s="53" t="str">
        <f aca="false">IF(AND($AC808&lt;&gt;"",$AD808&lt;&gt;""),$AD808-$AC808,"")</f>
        <v/>
      </c>
      <c r="AO808" s="53" t="str">
        <f aca="false">IF($J808&lt;&gt;"",$J808,"")</f>
        <v/>
      </c>
      <c r="AQ808" s="52" t="str">
        <f aca="false">IF($A808&lt;&gt;"",$A808,"")</f>
        <v>Apprenant 796</v>
      </c>
      <c r="AR808" s="55" t="str">
        <f aca="false">IF(AND('Choix pédagogiques'!$C$4&lt;&gt;"?",'Choix pédagogiques'!$C$5&lt;&gt;"?",W808&lt;&gt;""),(W808-'Choix pédagogiques'!$C$4)/('Choix pédagogiques'!$C$5-'Choix pédagogiques'!$C$4),"")</f>
        <v/>
      </c>
      <c r="AS808" s="55" t="str">
        <f aca="false">IF(AND('Choix pédagogiques'!$C$4&lt;&gt;"?",'Choix pédagogiques'!$C$5&lt;&gt;"?",X808&lt;&gt;""),(X808-'Choix pédagogiques'!$C$4)/('Choix pédagogiques'!$C$5-'Choix pédagogiques'!$C$4),"")</f>
        <v/>
      </c>
      <c r="AT808" s="55" t="str">
        <f aca="false">IF(AND('Choix pédagogiques'!$C$4&lt;&gt;"?",'Choix pédagogiques'!$C$5&lt;&gt;"?",Y808&lt;&gt;""),(Y808-'Choix pédagogiques'!$C$4)/('Choix pédagogiques'!$C$5-'Choix pédagogiques'!$C$4),"")</f>
        <v/>
      </c>
      <c r="AU808" s="53" t="str">
        <f aca="false">IF($E808&lt;&gt;"",$E808,"")</f>
        <v/>
      </c>
      <c r="AV808" s="52" t="str">
        <f aca="false">IF($F808&lt;&gt;"",$F808,"")</f>
        <v>Apprenant 796 ou 796'</v>
      </c>
      <c r="AW808" s="55" t="str">
        <f aca="false">IF(AND('Choix pédagogiques'!$C$4&lt;&gt;"?",'Choix pédagogiques'!$C$5&lt;&gt;"?",AB808&lt;&gt;""),(AB808-'Choix pédagogiques'!$C$4)/('Choix pédagogiques'!$C$5-'Choix pédagogiques'!$C$4),"")</f>
        <v/>
      </c>
      <c r="AX808" s="55" t="str">
        <f aca="false">IF(AND('Choix pédagogiques'!$C$4&lt;&gt;"?",'Choix pédagogiques'!$C$5&lt;&gt;"?",AC808&lt;&gt;""),(AC808-'Choix pédagogiques'!$C$4)/('Choix pédagogiques'!$C$5-'Choix pédagogiques'!$C$4),"")</f>
        <v/>
      </c>
      <c r="AY808" s="55" t="str">
        <f aca="false">IF(AND('Choix pédagogiques'!$C$4&lt;&gt;"?",'Choix pédagogiques'!$C$5&lt;&gt;"?",AD808&lt;&gt;""),(AD808-'Choix pédagogiques'!$C$4)/('Choix pédagogiques'!$C$5-'Choix pédagogiques'!$C$4),"")</f>
        <v/>
      </c>
      <c r="AZ808" s="53" t="str">
        <f aca="false">IF($J808&lt;&gt;"",$J808,"")</f>
        <v/>
      </c>
      <c r="BA808" s="52" t="str">
        <f aca="false">IF($A808&lt;&gt;"",$A808,"")</f>
        <v>Apprenant 796</v>
      </c>
      <c r="BB808" s="55" t="str">
        <f aca="false">IF(AND($AR808&lt;&gt;"",$AS808&lt;&gt;""),$AS808-$AR808,"")</f>
        <v/>
      </c>
      <c r="BC808" s="55" t="str">
        <f aca="false">IF(AND($AR808&lt;&gt;"",$AT808&lt;&gt;""),$AT808-$AR808,"")</f>
        <v/>
      </c>
      <c r="BD808" s="55" t="str">
        <f aca="false">IF(AND($AS808&lt;&gt;"",$AT808&lt;&gt;""),$AT808-$AS808,"")</f>
        <v/>
      </c>
      <c r="BE808" s="53" t="str">
        <f aca="false">IF($E808&lt;&gt;"",$E808,"")</f>
        <v/>
      </c>
      <c r="BF808" s="52" t="str">
        <f aca="false">IF($F808&lt;&gt;"",$F808,"")</f>
        <v>Apprenant 796 ou 796'</v>
      </c>
      <c r="BG808" s="55" t="str">
        <f aca="false">IF(AND($AW808&lt;&gt;"",$AX808&lt;&gt;""),$AX808-$AW808,"")</f>
        <v/>
      </c>
      <c r="BH808" s="55" t="str">
        <f aca="false">IF(AND($AW808&lt;&gt;"",$AY808&lt;&gt;""),$AY808-$AW808,"")</f>
        <v/>
      </c>
      <c r="BI808" s="55" t="str">
        <f aca="false">IF(AND($AX808&lt;&gt;"",$AY808&lt;&gt;""),$AY808-$AX808,"")</f>
        <v/>
      </c>
      <c r="BJ808" s="53" t="str">
        <f aca="false">IF($J808&lt;&gt;"",$J808,"")</f>
        <v/>
      </c>
      <c r="BL808" s="52"/>
      <c r="BM808" s="52" t="str">
        <f aca="false">IF(OR(COUNT(B808:D1807)=0,AND('Choix pédagogiques'!$C$3&lt;&gt;1,'Choix pédagogiques'!$C$3&lt;&gt;2)),"",IF(AND(OR('Choix pédagogiques'!$C$3=1,'Choix pédagogiques'!$C$3=2),$B808&lt;&gt;"",$C808&lt;&gt;"",$D808&lt;&gt;""),1,0))</f>
        <v/>
      </c>
      <c r="BN808" s="52" t="str">
        <f aca="false">IF(OR(COUNT(G808:I1807)=0,AND('Choix pédagogiques'!$C$3&lt;&gt;1,'Choix pédagogiques'!$C$3&lt;&gt;2)),"",IF(AND(OR('Choix pédagogiques'!$C$3=1,'Choix pédagogiques'!$C$3=2),AND($G808&lt;&gt;"",$H808&lt;&gt;"",$I808&lt;&gt;"")),1,0))</f>
        <v/>
      </c>
      <c r="BO808" s="52" t="str">
        <f aca="false">IF(OR(COUNT(B808:D1807)=0,COUNT(G808:I1807)=0,'Choix pédagogiques'!C$3&lt;&gt;3),"",IF(AND('Choix pédagogiques'!$C$3=3,$B808&lt;&gt;"",$C808&lt;&gt;"",$D808&lt;&gt;"",$G808&lt;&gt;"",$H808&lt;&gt;"",$I808&lt;&gt;""),1,0))</f>
        <v/>
      </c>
      <c r="BR808" s="52" t="n">
        <v>629</v>
      </c>
      <c r="BS808" s="52" t="n">
        <v>1092</v>
      </c>
    </row>
    <row r="809" s="54" customFormat="true" ht="18" hidden="false" customHeight="true" outlineLevel="0" collapsed="false">
      <c r="A809" s="57" t="s">
        <v>1549</v>
      </c>
      <c r="B809" s="51"/>
      <c r="C809" s="51"/>
      <c r="D809" s="51"/>
      <c r="E809" s="51"/>
      <c r="F809" s="57" t="s">
        <v>1550</v>
      </c>
      <c r="G809" s="51"/>
      <c r="H809" s="51"/>
      <c r="I809" s="51"/>
      <c r="J809" s="51"/>
      <c r="K809" s="52" t="str">
        <f aca="false">IF($A809&lt;&gt;"",$A809,"")</f>
        <v>Apprenant 797</v>
      </c>
      <c r="L809" s="53" t="str">
        <f aca="false">IF(AND($B809&lt;&gt;"",$C809&lt;&gt;""),$C809-$B809,"")</f>
        <v/>
      </c>
      <c r="M809" s="53" t="str">
        <f aca="false">IF(AND($B809&lt;&gt;"",$D809&lt;&gt;""),$D809-$B809,"")</f>
        <v/>
      </c>
      <c r="N809" s="53" t="str">
        <f aca="false">IF(AND($C809&lt;&gt;"",$D809&lt;&gt;""),$D809-$C809,"")</f>
        <v/>
      </c>
      <c r="O809" s="53" t="str">
        <f aca="false">IF($E809&lt;&gt;"",$E809,"")</f>
        <v/>
      </c>
      <c r="P809" s="52" t="str">
        <f aca="false">IF($F809&lt;&gt;"",$F809,"")</f>
        <v>Apprenant 797 ou 797'</v>
      </c>
      <c r="Q809" s="53" t="str">
        <f aca="false">IF(AND($G809&lt;&gt;"",$H809&lt;&gt;""),$H809-$G809,"")</f>
        <v/>
      </c>
      <c r="R809" s="53" t="str">
        <f aca="false">IF(AND($G809&lt;&gt;"",$I809&lt;&gt;""),$I809-$G809,"")</f>
        <v/>
      </c>
      <c r="S809" s="53" t="str">
        <f aca="false">IF(AND($H809&lt;&gt;"",$I809&lt;&gt;""),$I809-$H809,"")</f>
        <v/>
      </c>
      <c r="T809" s="53" t="str">
        <f aca="false">IF($J809&lt;&gt;"",$J809,"")</f>
        <v/>
      </c>
      <c r="V809" s="52" t="str">
        <f aca="false">IF($A809&lt;&gt;"",$A809,"")</f>
        <v>Apprenant 797</v>
      </c>
      <c r="W809" s="53" t="str">
        <f aca="false">IF(AND(OR('Choix pédagogiques'!$C$3=1,'Choix pédagogiques'!$C$3=2),$BM809=1),B809,IF(AND('Choix pédagogiques'!$C$3=3,$BO809=1),B809,""))</f>
        <v/>
      </c>
      <c r="X809" s="53" t="str">
        <f aca="false">IF(AND(OR('Choix pédagogiques'!$C$3=1,'Choix pédagogiques'!$C$3=2),$BM809=1),C809,IF(AND('Choix pédagogiques'!$C$3=3,$BO809=1),C809,""))</f>
        <v/>
      </c>
      <c r="Y809" s="53" t="str">
        <f aca="false">IF(AND(OR('Choix pédagogiques'!$C$3=1,'Choix pédagogiques'!$C$3=2),$BM809=1),D809,IF(AND('Choix pédagogiques'!$C$3=3,$BO809=1),D809,""))</f>
        <v/>
      </c>
      <c r="Z809" s="53" t="str">
        <f aca="false">IF($E809&lt;&gt;"",$E809,"")</f>
        <v/>
      </c>
      <c r="AA809" s="52" t="str">
        <f aca="false">IF($F809&lt;&gt;"",$F809,"")</f>
        <v>Apprenant 797 ou 797'</v>
      </c>
      <c r="AB809" s="53" t="str">
        <f aca="false">IF(AND(OR('Choix pédagogiques'!$C$3=1,'Choix pédagogiques'!$C$3=2),$BN809=1),G809,IF(AND('Choix pédagogiques'!$C$3=3,$BO809=1),G809,""))</f>
        <v/>
      </c>
      <c r="AC809" s="53" t="str">
        <f aca="false">IF(AND(OR('Choix pédagogiques'!$C$3=1,'Choix pédagogiques'!$C$3=2),$BN809=1),H809,IF(AND('Choix pédagogiques'!$C$3=3,$BO809=1),H809,""))</f>
        <v/>
      </c>
      <c r="AD809" s="53" t="str">
        <f aca="false">IF(AND(OR('Choix pédagogiques'!$C$3=1,'Choix pédagogiques'!$C$3=2),$BN809=1),I809,IF(AND('Choix pédagogiques'!$C$3=3,$BO809=1),I809,""))</f>
        <v/>
      </c>
      <c r="AE809" s="53" t="str">
        <f aca="false">IF($J809&lt;&gt;"",$J809,"")</f>
        <v/>
      </c>
      <c r="AF809" s="52" t="str">
        <f aca="false">IF($A809&lt;&gt;"",$A809,"")</f>
        <v>Apprenant 797</v>
      </c>
      <c r="AG809" s="53" t="str">
        <f aca="false">IF(AND($W809&lt;&gt;"",$X809&lt;&gt;""),$X809-$W809,"")</f>
        <v/>
      </c>
      <c r="AH809" s="53" t="str">
        <f aca="false">IF(AND($W809&lt;&gt;"",$Y809&lt;&gt;""),$Y809-$W809,"")</f>
        <v/>
      </c>
      <c r="AI809" s="53" t="str">
        <f aca="false">IF(AND($X809&lt;&gt;"",$Y809&lt;&gt;""),$Y809-$X809,"")</f>
        <v/>
      </c>
      <c r="AJ809" s="53" t="str">
        <f aca="false">IF($E809&lt;&gt;"",$E809,"")</f>
        <v/>
      </c>
      <c r="AK809" s="52" t="str">
        <f aca="false">IF($F809&lt;&gt;"",$F809,"")</f>
        <v>Apprenant 797 ou 797'</v>
      </c>
      <c r="AL809" s="53" t="str">
        <f aca="false">IF(AND($AB809&lt;&gt;"",$AC809&lt;&gt;""),$AC809-$AB809,"")</f>
        <v/>
      </c>
      <c r="AM809" s="53" t="str">
        <f aca="false">IF(AND($AB809&lt;&gt;"",$AD809&lt;&gt;""),$AD809-$AB809,"")</f>
        <v/>
      </c>
      <c r="AN809" s="53" t="str">
        <f aca="false">IF(AND($AC809&lt;&gt;"",$AD809&lt;&gt;""),$AD809-$AC809,"")</f>
        <v/>
      </c>
      <c r="AO809" s="53" t="str">
        <f aca="false">IF($J809&lt;&gt;"",$J809,"")</f>
        <v/>
      </c>
      <c r="AQ809" s="52" t="str">
        <f aca="false">IF($A809&lt;&gt;"",$A809,"")</f>
        <v>Apprenant 797</v>
      </c>
      <c r="AR809" s="55" t="str">
        <f aca="false">IF(AND('Choix pédagogiques'!$C$4&lt;&gt;"?",'Choix pédagogiques'!$C$5&lt;&gt;"?",W809&lt;&gt;""),(W809-'Choix pédagogiques'!$C$4)/('Choix pédagogiques'!$C$5-'Choix pédagogiques'!$C$4),"")</f>
        <v/>
      </c>
      <c r="AS809" s="55" t="str">
        <f aca="false">IF(AND('Choix pédagogiques'!$C$4&lt;&gt;"?",'Choix pédagogiques'!$C$5&lt;&gt;"?",X809&lt;&gt;""),(X809-'Choix pédagogiques'!$C$4)/('Choix pédagogiques'!$C$5-'Choix pédagogiques'!$C$4),"")</f>
        <v/>
      </c>
      <c r="AT809" s="55" t="str">
        <f aca="false">IF(AND('Choix pédagogiques'!$C$4&lt;&gt;"?",'Choix pédagogiques'!$C$5&lt;&gt;"?",Y809&lt;&gt;""),(Y809-'Choix pédagogiques'!$C$4)/('Choix pédagogiques'!$C$5-'Choix pédagogiques'!$C$4),"")</f>
        <v/>
      </c>
      <c r="AU809" s="53" t="str">
        <f aca="false">IF($E809&lt;&gt;"",$E809,"")</f>
        <v/>
      </c>
      <c r="AV809" s="52" t="str">
        <f aca="false">IF($F809&lt;&gt;"",$F809,"")</f>
        <v>Apprenant 797 ou 797'</v>
      </c>
      <c r="AW809" s="55" t="str">
        <f aca="false">IF(AND('Choix pédagogiques'!$C$4&lt;&gt;"?",'Choix pédagogiques'!$C$5&lt;&gt;"?",AB809&lt;&gt;""),(AB809-'Choix pédagogiques'!$C$4)/('Choix pédagogiques'!$C$5-'Choix pédagogiques'!$C$4),"")</f>
        <v/>
      </c>
      <c r="AX809" s="55" t="str">
        <f aca="false">IF(AND('Choix pédagogiques'!$C$4&lt;&gt;"?",'Choix pédagogiques'!$C$5&lt;&gt;"?",AC809&lt;&gt;""),(AC809-'Choix pédagogiques'!$C$4)/('Choix pédagogiques'!$C$5-'Choix pédagogiques'!$C$4),"")</f>
        <v/>
      </c>
      <c r="AY809" s="55" t="str">
        <f aca="false">IF(AND('Choix pédagogiques'!$C$4&lt;&gt;"?",'Choix pédagogiques'!$C$5&lt;&gt;"?",AD809&lt;&gt;""),(AD809-'Choix pédagogiques'!$C$4)/('Choix pédagogiques'!$C$5-'Choix pédagogiques'!$C$4),"")</f>
        <v/>
      </c>
      <c r="AZ809" s="53" t="str">
        <f aca="false">IF($J809&lt;&gt;"",$J809,"")</f>
        <v/>
      </c>
      <c r="BA809" s="52" t="str">
        <f aca="false">IF($A809&lt;&gt;"",$A809,"")</f>
        <v>Apprenant 797</v>
      </c>
      <c r="BB809" s="55" t="str">
        <f aca="false">IF(AND($AR809&lt;&gt;"",$AS809&lt;&gt;""),$AS809-$AR809,"")</f>
        <v/>
      </c>
      <c r="BC809" s="55" t="str">
        <f aca="false">IF(AND($AR809&lt;&gt;"",$AT809&lt;&gt;""),$AT809-$AR809,"")</f>
        <v/>
      </c>
      <c r="BD809" s="55" t="str">
        <f aca="false">IF(AND($AS809&lt;&gt;"",$AT809&lt;&gt;""),$AT809-$AS809,"")</f>
        <v/>
      </c>
      <c r="BE809" s="53" t="str">
        <f aca="false">IF($E809&lt;&gt;"",$E809,"")</f>
        <v/>
      </c>
      <c r="BF809" s="52" t="str">
        <f aca="false">IF($F809&lt;&gt;"",$F809,"")</f>
        <v>Apprenant 797 ou 797'</v>
      </c>
      <c r="BG809" s="55" t="str">
        <f aca="false">IF(AND($AW809&lt;&gt;"",$AX809&lt;&gt;""),$AX809-$AW809,"")</f>
        <v/>
      </c>
      <c r="BH809" s="55" t="str">
        <f aca="false">IF(AND($AW809&lt;&gt;"",$AY809&lt;&gt;""),$AY809-$AW809,"")</f>
        <v/>
      </c>
      <c r="BI809" s="55" t="str">
        <f aca="false">IF(AND($AX809&lt;&gt;"",$AY809&lt;&gt;""),$AY809-$AX809,"")</f>
        <v/>
      </c>
      <c r="BJ809" s="53" t="str">
        <f aca="false">IF($J809&lt;&gt;"",$J809,"")</f>
        <v/>
      </c>
      <c r="BL809" s="52"/>
      <c r="BM809" s="52" t="str">
        <f aca="false">IF(OR(COUNT(B809:D1808)=0,AND('Choix pédagogiques'!$C$3&lt;&gt;1,'Choix pédagogiques'!$C$3&lt;&gt;2)),"",IF(AND(OR('Choix pédagogiques'!$C$3=1,'Choix pédagogiques'!$C$3=2),$B809&lt;&gt;"",$C809&lt;&gt;"",$D809&lt;&gt;""),1,0))</f>
        <v/>
      </c>
      <c r="BN809" s="52" t="str">
        <f aca="false">IF(OR(COUNT(G809:I1808)=0,AND('Choix pédagogiques'!$C$3&lt;&gt;1,'Choix pédagogiques'!$C$3&lt;&gt;2)),"",IF(AND(OR('Choix pédagogiques'!$C$3=1,'Choix pédagogiques'!$C$3=2),AND($G809&lt;&gt;"",$H809&lt;&gt;"",$I809&lt;&gt;"")),1,0))</f>
        <v/>
      </c>
      <c r="BO809" s="52" t="str">
        <f aca="false">IF(OR(COUNT(B809:D1808)=0,COUNT(G809:I1808)=0,'Choix pédagogiques'!C$3&lt;&gt;3),"",IF(AND('Choix pédagogiques'!$C$3=3,$B809&lt;&gt;"",$C809&lt;&gt;"",$D809&lt;&gt;"",$G809&lt;&gt;"",$H809&lt;&gt;"",$I809&lt;&gt;""),1,0))</f>
        <v/>
      </c>
      <c r="BR809" s="52" t="n">
        <v>778</v>
      </c>
      <c r="BS809" s="52" t="n">
        <v>1853</v>
      </c>
    </row>
    <row r="810" s="54" customFormat="true" ht="18" hidden="false" customHeight="true" outlineLevel="0" collapsed="false">
      <c r="A810" s="57" t="s">
        <v>1551</v>
      </c>
      <c r="B810" s="51"/>
      <c r="C810" s="51"/>
      <c r="D810" s="51"/>
      <c r="E810" s="51"/>
      <c r="F810" s="57" t="s">
        <v>1552</v>
      </c>
      <c r="G810" s="51"/>
      <c r="H810" s="51"/>
      <c r="I810" s="51"/>
      <c r="J810" s="51"/>
      <c r="K810" s="52" t="str">
        <f aca="false">IF($A810&lt;&gt;"",$A810,"")</f>
        <v>Apprenant 798</v>
      </c>
      <c r="L810" s="53" t="str">
        <f aca="false">IF(AND($B810&lt;&gt;"",$C810&lt;&gt;""),$C810-$B810,"")</f>
        <v/>
      </c>
      <c r="M810" s="53" t="str">
        <f aca="false">IF(AND($B810&lt;&gt;"",$D810&lt;&gt;""),$D810-$B810,"")</f>
        <v/>
      </c>
      <c r="N810" s="53" t="str">
        <f aca="false">IF(AND($C810&lt;&gt;"",$D810&lt;&gt;""),$D810-$C810,"")</f>
        <v/>
      </c>
      <c r="O810" s="53" t="str">
        <f aca="false">IF($E810&lt;&gt;"",$E810,"")</f>
        <v/>
      </c>
      <c r="P810" s="52" t="str">
        <f aca="false">IF($F810&lt;&gt;"",$F810,"")</f>
        <v>Apprenant 798 ou 798'</v>
      </c>
      <c r="Q810" s="53" t="str">
        <f aca="false">IF(AND($G810&lt;&gt;"",$H810&lt;&gt;""),$H810-$G810,"")</f>
        <v/>
      </c>
      <c r="R810" s="53" t="str">
        <f aca="false">IF(AND($G810&lt;&gt;"",$I810&lt;&gt;""),$I810-$G810,"")</f>
        <v/>
      </c>
      <c r="S810" s="53" t="str">
        <f aca="false">IF(AND($H810&lt;&gt;"",$I810&lt;&gt;""),$I810-$H810,"")</f>
        <v/>
      </c>
      <c r="T810" s="53" t="str">
        <f aca="false">IF($J810&lt;&gt;"",$J810,"")</f>
        <v/>
      </c>
      <c r="V810" s="52" t="str">
        <f aca="false">IF($A810&lt;&gt;"",$A810,"")</f>
        <v>Apprenant 798</v>
      </c>
      <c r="W810" s="53" t="str">
        <f aca="false">IF(AND(OR('Choix pédagogiques'!$C$3=1,'Choix pédagogiques'!$C$3=2),$BM810=1),B810,IF(AND('Choix pédagogiques'!$C$3=3,$BO810=1),B810,""))</f>
        <v/>
      </c>
      <c r="X810" s="53" t="str">
        <f aca="false">IF(AND(OR('Choix pédagogiques'!$C$3=1,'Choix pédagogiques'!$C$3=2),$BM810=1),C810,IF(AND('Choix pédagogiques'!$C$3=3,$BO810=1),C810,""))</f>
        <v/>
      </c>
      <c r="Y810" s="53" t="str">
        <f aca="false">IF(AND(OR('Choix pédagogiques'!$C$3=1,'Choix pédagogiques'!$C$3=2),$BM810=1),D810,IF(AND('Choix pédagogiques'!$C$3=3,$BO810=1),D810,""))</f>
        <v/>
      </c>
      <c r="Z810" s="53" t="str">
        <f aca="false">IF($E810&lt;&gt;"",$E810,"")</f>
        <v/>
      </c>
      <c r="AA810" s="52" t="str">
        <f aca="false">IF($F810&lt;&gt;"",$F810,"")</f>
        <v>Apprenant 798 ou 798'</v>
      </c>
      <c r="AB810" s="53" t="str">
        <f aca="false">IF(AND(OR('Choix pédagogiques'!$C$3=1,'Choix pédagogiques'!$C$3=2),$BN810=1),G810,IF(AND('Choix pédagogiques'!$C$3=3,$BO810=1),G810,""))</f>
        <v/>
      </c>
      <c r="AC810" s="53" t="str">
        <f aca="false">IF(AND(OR('Choix pédagogiques'!$C$3=1,'Choix pédagogiques'!$C$3=2),$BN810=1),H810,IF(AND('Choix pédagogiques'!$C$3=3,$BO810=1),H810,""))</f>
        <v/>
      </c>
      <c r="AD810" s="53" t="str">
        <f aca="false">IF(AND(OR('Choix pédagogiques'!$C$3=1,'Choix pédagogiques'!$C$3=2),$BN810=1),I810,IF(AND('Choix pédagogiques'!$C$3=3,$BO810=1),I810,""))</f>
        <v/>
      </c>
      <c r="AE810" s="53" t="str">
        <f aca="false">IF($J810&lt;&gt;"",$J810,"")</f>
        <v/>
      </c>
      <c r="AF810" s="52" t="str">
        <f aca="false">IF($A810&lt;&gt;"",$A810,"")</f>
        <v>Apprenant 798</v>
      </c>
      <c r="AG810" s="53" t="str">
        <f aca="false">IF(AND($W810&lt;&gt;"",$X810&lt;&gt;""),$X810-$W810,"")</f>
        <v/>
      </c>
      <c r="AH810" s="53" t="str">
        <f aca="false">IF(AND($W810&lt;&gt;"",$Y810&lt;&gt;""),$Y810-$W810,"")</f>
        <v/>
      </c>
      <c r="AI810" s="53" t="str">
        <f aca="false">IF(AND($X810&lt;&gt;"",$Y810&lt;&gt;""),$Y810-$X810,"")</f>
        <v/>
      </c>
      <c r="AJ810" s="53" t="str">
        <f aca="false">IF($E810&lt;&gt;"",$E810,"")</f>
        <v/>
      </c>
      <c r="AK810" s="52" t="str">
        <f aca="false">IF($F810&lt;&gt;"",$F810,"")</f>
        <v>Apprenant 798 ou 798'</v>
      </c>
      <c r="AL810" s="53" t="str">
        <f aca="false">IF(AND($AB810&lt;&gt;"",$AC810&lt;&gt;""),$AC810-$AB810,"")</f>
        <v/>
      </c>
      <c r="AM810" s="53" t="str">
        <f aca="false">IF(AND($AB810&lt;&gt;"",$AD810&lt;&gt;""),$AD810-$AB810,"")</f>
        <v/>
      </c>
      <c r="AN810" s="53" t="str">
        <f aca="false">IF(AND($AC810&lt;&gt;"",$AD810&lt;&gt;""),$AD810-$AC810,"")</f>
        <v/>
      </c>
      <c r="AO810" s="53" t="str">
        <f aca="false">IF($J810&lt;&gt;"",$J810,"")</f>
        <v/>
      </c>
      <c r="AQ810" s="52" t="str">
        <f aca="false">IF($A810&lt;&gt;"",$A810,"")</f>
        <v>Apprenant 798</v>
      </c>
      <c r="AR810" s="55" t="str">
        <f aca="false">IF(AND('Choix pédagogiques'!$C$4&lt;&gt;"?",'Choix pédagogiques'!$C$5&lt;&gt;"?",W810&lt;&gt;""),(W810-'Choix pédagogiques'!$C$4)/('Choix pédagogiques'!$C$5-'Choix pédagogiques'!$C$4),"")</f>
        <v/>
      </c>
      <c r="AS810" s="55" t="str">
        <f aca="false">IF(AND('Choix pédagogiques'!$C$4&lt;&gt;"?",'Choix pédagogiques'!$C$5&lt;&gt;"?",X810&lt;&gt;""),(X810-'Choix pédagogiques'!$C$4)/('Choix pédagogiques'!$C$5-'Choix pédagogiques'!$C$4),"")</f>
        <v/>
      </c>
      <c r="AT810" s="55" t="str">
        <f aca="false">IF(AND('Choix pédagogiques'!$C$4&lt;&gt;"?",'Choix pédagogiques'!$C$5&lt;&gt;"?",Y810&lt;&gt;""),(Y810-'Choix pédagogiques'!$C$4)/('Choix pédagogiques'!$C$5-'Choix pédagogiques'!$C$4),"")</f>
        <v/>
      </c>
      <c r="AU810" s="53" t="str">
        <f aca="false">IF($E810&lt;&gt;"",$E810,"")</f>
        <v/>
      </c>
      <c r="AV810" s="52" t="str">
        <f aca="false">IF($F810&lt;&gt;"",$F810,"")</f>
        <v>Apprenant 798 ou 798'</v>
      </c>
      <c r="AW810" s="55" t="str">
        <f aca="false">IF(AND('Choix pédagogiques'!$C$4&lt;&gt;"?",'Choix pédagogiques'!$C$5&lt;&gt;"?",AB810&lt;&gt;""),(AB810-'Choix pédagogiques'!$C$4)/('Choix pédagogiques'!$C$5-'Choix pédagogiques'!$C$4),"")</f>
        <v/>
      </c>
      <c r="AX810" s="55" t="str">
        <f aca="false">IF(AND('Choix pédagogiques'!$C$4&lt;&gt;"?",'Choix pédagogiques'!$C$5&lt;&gt;"?",AC810&lt;&gt;""),(AC810-'Choix pédagogiques'!$C$4)/('Choix pédagogiques'!$C$5-'Choix pédagogiques'!$C$4),"")</f>
        <v/>
      </c>
      <c r="AY810" s="55" t="str">
        <f aca="false">IF(AND('Choix pédagogiques'!$C$4&lt;&gt;"?",'Choix pédagogiques'!$C$5&lt;&gt;"?",AD810&lt;&gt;""),(AD810-'Choix pédagogiques'!$C$4)/('Choix pédagogiques'!$C$5-'Choix pédagogiques'!$C$4),"")</f>
        <v/>
      </c>
      <c r="AZ810" s="53" t="str">
        <f aca="false">IF($J810&lt;&gt;"",$J810,"")</f>
        <v/>
      </c>
      <c r="BA810" s="52" t="str">
        <f aca="false">IF($A810&lt;&gt;"",$A810,"")</f>
        <v>Apprenant 798</v>
      </c>
      <c r="BB810" s="55" t="str">
        <f aca="false">IF(AND($AR810&lt;&gt;"",$AS810&lt;&gt;""),$AS810-$AR810,"")</f>
        <v/>
      </c>
      <c r="BC810" s="55" t="str">
        <f aca="false">IF(AND($AR810&lt;&gt;"",$AT810&lt;&gt;""),$AT810-$AR810,"")</f>
        <v/>
      </c>
      <c r="BD810" s="55" t="str">
        <f aca="false">IF(AND($AS810&lt;&gt;"",$AT810&lt;&gt;""),$AT810-$AS810,"")</f>
        <v/>
      </c>
      <c r="BE810" s="53" t="str">
        <f aca="false">IF($E810&lt;&gt;"",$E810,"")</f>
        <v/>
      </c>
      <c r="BF810" s="52" t="str">
        <f aca="false">IF($F810&lt;&gt;"",$F810,"")</f>
        <v>Apprenant 798 ou 798'</v>
      </c>
      <c r="BG810" s="55" t="str">
        <f aca="false">IF(AND($AW810&lt;&gt;"",$AX810&lt;&gt;""),$AX810-$AW810,"")</f>
        <v/>
      </c>
      <c r="BH810" s="55" t="str">
        <f aca="false">IF(AND($AW810&lt;&gt;"",$AY810&lt;&gt;""),$AY810-$AW810,"")</f>
        <v/>
      </c>
      <c r="BI810" s="55" t="str">
        <f aca="false">IF(AND($AX810&lt;&gt;"",$AY810&lt;&gt;""),$AY810-$AX810,"")</f>
        <v/>
      </c>
      <c r="BJ810" s="53" t="str">
        <f aca="false">IF($J810&lt;&gt;"",$J810,"")</f>
        <v/>
      </c>
      <c r="BL810" s="52"/>
      <c r="BM810" s="52" t="str">
        <f aca="false">IF(OR(COUNT(B810:D1809)=0,AND('Choix pédagogiques'!$C$3&lt;&gt;1,'Choix pédagogiques'!$C$3&lt;&gt;2)),"",IF(AND(OR('Choix pédagogiques'!$C$3=1,'Choix pédagogiques'!$C$3=2),$B810&lt;&gt;"",$C810&lt;&gt;"",$D810&lt;&gt;""),1,0))</f>
        <v/>
      </c>
      <c r="BN810" s="52" t="str">
        <f aca="false">IF(OR(COUNT(G810:I1809)=0,AND('Choix pédagogiques'!$C$3&lt;&gt;1,'Choix pédagogiques'!$C$3&lt;&gt;2)),"",IF(AND(OR('Choix pédagogiques'!$C$3=1,'Choix pédagogiques'!$C$3=2),AND($G810&lt;&gt;"",$H810&lt;&gt;"",$I810&lt;&gt;"")),1,0))</f>
        <v/>
      </c>
      <c r="BO810" s="52" t="str">
        <f aca="false">IF(OR(COUNT(B810:D1809)=0,COUNT(G810:I1809)=0,'Choix pédagogiques'!C$3&lt;&gt;3),"",IF(AND('Choix pédagogiques'!$C$3=3,$B810&lt;&gt;"",$C810&lt;&gt;"",$D810&lt;&gt;"",$G810&lt;&gt;"",$H810&lt;&gt;"",$I810&lt;&gt;""),1,0))</f>
        <v/>
      </c>
      <c r="BR810" s="52" t="n">
        <v>113</v>
      </c>
      <c r="BS810" s="52" t="n">
        <v>1010</v>
      </c>
    </row>
    <row r="811" s="54" customFormat="true" ht="18" hidden="false" customHeight="true" outlineLevel="0" collapsed="false">
      <c r="A811" s="57" t="s">
        <v>1553</v>
      </c>
      <c r="B811" s="51"/>
      <c r="C811" s="51"/>
      <c r="D811" s="51"/>
      <c r="E811" s="51"/>
      <c r="F811" s="57" t="s">
        <v>1554</v>
      </c>
      <c r="G811" s="51"/>
      <c r="H811" s="51"/>
      <c r="I811" s="51"/>
      <c r="J811" s="51"/>
      <c r="K811" s="52" t="str">
        <f aca="false">IF($A811&lt;&gt;"",$A811,"")</f>
        <v>Apprenant 799</v>
      </c>
      <c r="L811" s="53" t="str">
        <f aca="false">IF(AND($B811&lt;&gt;"",$C811&lt;&gt;""),$C811-$B811,"")</f>
        <v/>
      </c>
      <c r="M811" s="53" t="str">
        <f aca="false">IF(AND($B811&lt;&gt;"",$D811&lt;&gt;""),$D811-$B811,"")</f>
        <v/>
      </c>
      <c r="N811" s="53" t="str">
        <f aca="false">IF(AND($C811&lt;&gt;"",$D811&lt;&gt;""),$D811-$C811,"")</f>
        <v/>
      </c>
      <c r="O811" s="53" t="str">
        <f aca="false">IF($E811&lt;&gt;"",$E811,"")</f>
        <v/>
      </c>
      <c r="P811" s="52" t="str">
        <f aca="false">IF($F811&lt;&gt;"",$F811,"")</f>
        <v>Apprenant 799 ou 799'</v>
      </c>
      <c r="Q811" s="53" t="str">
        <f aca="false">IF(AND($G811&lt;&gt;"",$H811&lt;&gt;""),$H811-$G811,"")</f>
        <v/>
      </c>
      <c r="R811" s="53" t="str">
        <f aca="false">IF(AND($G811&lt;&gt;"",$I811&lt;&gt;""),$I811-$G811,"")</f>
        <v/>
      </c>
      <c r="S811" s="53" t="str">
        <f aca="false">IF(AND($H811&lt;&gt;"",$I811&lt;&gt;""),$I811-$H811,"")</f>
        <v/>
      </c>
      <c r="T811" s="53" t="str">
        <f aca="false">IF($J811&lt;&gt;"",$J811,"")</f>
        <v/>
      </c>
      <c r="V811" s="52" t="str">
        <f aca="false">IF($A811&lt;&gt;"",$A811,"")</f>
        <v>Apprenant 799</v>
      </c>
      <c r="W811" s="53" t="str">
        <f aca="false">IF(AND(OR('Choix pédagogiques'!$C$3=1,'Choix pédagogiques'!$C$3=2),$BM811=1),B811,IF(AND('Choix pédagogiques'!$C$3=3,$BO811=1),B811,""))</f>
        <v/>
      </c>
      <c r="X811" s="53" t="str">
        <f aca="false">IF(AND(OR('Choix pédagogiques'!$C$3=1,'Choix pédagogiques'!$C$3=2),$BM811=1),C811,IF(AND('Choix pédagogiques'!$C$3=3,$BO811=1),C811,""))</f>
        <v/>
      </c>
      <c r="Y811" s="53" t="str">
        <f aca="false">IF(AND(OR('Choix pédagogiques'!$C$3=1,'Choix pédagogiques'!$C$3=2),$BM811=1),D811,IF(AND('Choix pédagogiques'!$C$3=3,$BO811=1),D811,""))</f>
        <v/>
      </c>
      <c r="Z811" s="53" t="str">
        <f aca="false">IF($E811&lt;&gt;"",$E811,"")</f>
        <v/>
      </c>
      <c r="AA811" s="52" t="str">
        <f aca="false">IF($F811&lt;&gt;"",$F811,"")</f>
        <v>Apprenant 799 ou 799'</v>
      </c>
      <c r="AB811" s="53" t="str">
        <f aca="false">IF(AND(OR('Choix pédagogiques'!$C$3=1,'Choix pédagogiques'!$C$3=2),$BN811=1),G811,IF(AND('Choix pédagogiques'!$C$3=3,$BO811=1),G811,""))</f>
        <v/>
      </c>
      <c r="AC811" s="53" t="str">
        <f aca="false">IF(AND(OR('Choix pédagogiques'!$C$3=1,'Choix pédagogiques'!$C$3=2),$BN811=1),H811,IF(AND('Choix pédagogiques'!$C$3=3,$BO811=1),H811,""))</f>
        <v/>
      </c>
      <c r="AD811" s="53" t="str">
        <f aca="false">IF(AND(OR('Choix pédagogiques'!$C$3=1,'Choix pédagogiques'!$C$3=2),$BN811=1),I811,IF(AND('Choix pédagogiques'!$C$3=3,$BO811=1),I811,""))</f>
        <v/>
      </c>
      <c r="AE811" s="53" t="str">
        <f aca="false">IF($J811&lt;&gt;"",$J811,"")</f>
        <v/>
      </c>
      <c r="AF811" s="52" t="str">
        <f aca="false">IF($A811&lt;&gt;"",$A811,"")</f>
        <v>Apprenant 799</v>
      </c>
      <c r="AG811" s="53" t="str">
        <f aca="false">IF(AND($W811&lt;&gt;"",$X811&lt;&gt;""),$X811-$W811,"")</f>
        <v/>
      </c>
      <c r="AH811" s="53" t="str">
        <f aca="false">IF(AND($W811&lt;&gt;"",$Y811&lt;&gt;""),$Y811-$W811,"")</f>
        <v/>
      </c>
      <c r="AI811" s="53" t="str">
        <f aca="false">IF(AND($X811&lt;&gt;"",$Y811&lt;&gt;""),$Y811-$X811,"")</f>
        <v/>
      </c>
      <c r="AJ811" s="53" t="str">
        <f aca="false">IF($E811&lt;&gt;"",$E811,"")</f>
        <v/>
      </c>
      <c r="AK811" s="52" t="str">
        <f aca="false">IF($F811&lt;&gt;"",$F811,"")</f>
        <v>Apprenant 799 ou 799'</v>
      </c>
      <c r="AL811" s="53" t="str">
        <f aca="false">IF(AND($AB811&lt;&gt;"",$AC811&lt;&gt;""),$AC811-$AB811,"")</f>
        <v/>
      </c>
      <c r="AM811" s="53" t="str">
        <f aca="false">IF(AND($AB811&lt;&gt;"",$AD811&lt;&gt;""),$AD811-$AB811,"")</f>
        <v/>
      </c>
      <c r="AN811" s="53" t="str">
        <f aca="false">IF(AND($AC811&lt;&gt;"",$AD811&lt;&gt;""),$AD811-$AC811,"")</f>
        <v/>
      </c>
      <c r="AO811" s="53" t="str">
        <f aca="false">IF($J811&lt;&gt;"",$J811,"")</f>
        <v/>
      </c>
      <c r="AQ811" s="52" t="str">
        <f aca="false">IF($A811&lt;&gt;"",$A811,"")</f>
        <v>Apprenant 799</v>
      </c>
      <c r="AR811" s="55" t="str">
        <f aca="false">IF(AND('Choix pédagogiques'!$C$4&lt;&gt;"?",'Choix pédagogiques'!$C$5&lt;&gt;"?",W811&lt;&gt;""),(W811-'Choix pédagogiques'!$C$4)/('Choix pédagogiques'!$C$5-'Choix pédagogiques'!$C$4),"")</f>
        <v/>
      </c>
      <c r="AS811" s="55" t="str">
        <f aca="false">IF(AND('Choix pédagogiques'!$C$4&lt;&gt;"?",'Choix pédagogiques'!$C$5&lt;&gt;"?",X811&lt;&gt;""),(X811-'Choix pédagogiques'!$C$4)/('Choix pédagogiques'!$C$5-'Choix pédagogiques'!$C$4),"")</f>
        <v/>
      </c>
      <c r="AT811" s="55" t="str">
        <f aca="false">IF(AND('Choix pédagogiques'!$C$4&lt;&gt;"?",'Choix pédagogiques'!$C$5&lt;&gt;"?",Y811&lt;&gt;""),(Y811-'Choix pédagogiques'!$C$4)/('Choix pédagogiques'!$C$5-'Choix pédagogiques'!$C$4),"")</f>
        <v/>
      </c>
      <c r="AU811" s="53" t="str">
        <f aca="false">IF($E811&lt;&gt;"",$E811,"")</f>
        <v/>
      </c>
      <c r="AV811" s="52" t="str">
        <f aca="false">IF($F811&lt;&gt;"",$F811,"")</f>
        <v>Apprenant 799 ou 799'</v>
      </c>
      <c r="AW811" s="55" t="str">
        <f aca="false">IF(AND('Choix pédagogiques'!$C$4&lt;&gt;"?",'Choix pédagogiques'!$C$5&lt;&gt;"?",AB811&lt;&gt;""),(AB811-'Choix pédagogiques'!$C$4)/('Choix pédagogiques'!$C$5-'Choix pédagogiques'!$C$4),"")</f>
        <v/>
      </c>
      <c r="AX811" s="55" t="str">
        <f aca="false">IF(AND('Choix pédagogiques'!$C$4&lt;&gt;"?",'Choix pédagogiques'!$C$5&lt;&gt;"?",AC811&lt;&gt;""),(AC811-'Choix pédagogiques'!$C$4)/('Choix pédagogiques'!$C$5-'Choix pédagogiques'!$C$4),"")</f>
        <v/>
      </c>
      <c r="AY811" s="55" t="str">
        <f aca="false">IF(AND('Choix pédagogiques'!$C$4&lt;&gt;"?",'Choix pédagogiques'!$C$5&lt;&gt;"?",AD811&lt;&gt;""),(AD811-'Choix pédagogiques'!$C$4)/('Choix pédagogiques'!$C$5-'Choix pédagogiques'!$C$4),"")</f>
        <v/>
      </c>
      <c r="AZ811" s="53" t="str">
        <f aca="false">IF($J811&lt;&gt;"",$J811,"")</f>
        <v/>
      </c>
      <c r="BA811" s="52" t="str">
        <f aca="false">IF($A811&lt;&gt;"",$A811,"")</f>
        <v>Apprenant 799</v>
      </c>
      <c r="BB811" s="55" t="str">
        <f aca="false">IF(AND($AR811&lt;&gt;"",$AS811&lt;&gt;""),$AS811-$AR811,"")</f>
        <v/>
      </c>
      <c r="BC811" s="55" t="str">
        <f aca="false">IF(AND($AR811&lt;&gt;"",$AT811&lt;&gt;""),$AT811-$AR811,"")</f>
        <v/>
      </c>
      <c r="BD811" s="55" t="str">
        <f aca="false">IF(AND($AS811&lt;&gt;"",$AT811&lt;&gt;""),$AT811-$AS811,"")</f>
        <v/>
      </c>
      <c r="BE811" s="53" t="str">
        <f aca="false">IF($E811&lt;&gt;"",$E811,"")</f>
        <v/>
      </c>
      <c r="BF811" s="52" t="str">
        <f aca="false">IF($F811&lt;&gt;"",$F811,"")</f>
        <v>Apprenant 799 ou 799'</v>
      </c>
      <c r="BG811" s="55" t="str">
        <f aca="false">IF(AND($AW811&lt;&gt;"",$AX811&lt;&gt;""),$AX811-$AW811,"")</f>
        <v/>
      </c>
      <c r="BH811" s="55" t="str">
        <f aca="false">IF(AND($AW811&lt;&gt;"",$AY811&lt;&gt;""),$AY811-$AW811,"")</f>
        <v/>
      </c>
      <c r="BI811" s="55" t="str">
        <f aca="false">IF(AND($AX811&lt;&gt;"",$AY811&lt;&gt;""),$AY811-$AX811,"")</f>
        <v/>
      </c>
      <c r="BJ811" s="53" t="str">
        <f aca="false">IF($J811&lt;&gt;"",$J811,"")</f>
        <v/>
      </c>
      <c r="BL811" s="52"/>
      <c r="BM811" s="52" t="str">
        <f aca="false">IF(OR(COUNT(B811:D1810)=0,AND('Choix pédagogiques'!$C$3&lt;&gt;1,'Choix pédagogiques'!$C$3&lt;&gt;2)),"",IF(AND(OR('Choix pédagogiques'!$C$3=1,'Choix pédagogiques'!$C$3=2),$B811&lt;&gt;"",$C811&lt;&gt;"",$D811&lt;&gt;""),1,0))</f>
        <v/>
      </c>
      <c r="BN811" s="52" t="str">
        <f aca="false">IF(OR(COUNT(G811:I1810)=0,AND('Choix pédagogiques'!$C$3&lt;&gt;1,'Choix pédagogiques'!$C$3&lt;&gt;2)),"",IF(AND(OR('Choix pédagogiques'!$C$3=1,'Choix pédagogiques'!$C$3=2),AND($G811&lt;&gt;"",$H811&lt;&gt;"",$I811&lt;&gt;"")),1,0))</f>
        <v/>
      </c>
      <c r="BO811" s="52" t="str">
        <f aca="false">IF(OR(COUNT(B811:D1810)=0,COUNT(G811:I1810)=0,'Choix pédagogiques'!C$3&lt;&gt;3),"",IF(AND('Choix pédagogiques'!$C$3=3,$B811&lt;&gt;"",$C811&lt;&gt;"",$D811&lt;&gt;"",$G811&lt;&gt;"",$H811&lt;&gt;"",$I811&lt;&gt;""),1,0))</f>
        <v/>
      </c>
      <c r="BR811" s="52" t="n">
        <v>338</v>
      </c>
      <c r="BS811" s="52" t="n">
        <v>1420</v>
      </c>
    </row>
    <row r="812" s="54" customFormat="true" ht="18" hidden="false" customHeight="true" outlineLevel="0" collapsed="false">
      <c r="A812" s="57" t="s">
        <v>1555</v>
      </c>
      <c r="B812" s="51"/>
      <c r="C812" s="51"/>
      <c r="D812" s="51"/>
      <c r="E812" s="51"/>
      <c r="F812" s="57" t="s">
        <v>1556</v>
      </c>
      <c r="G812" s="51"/>
      <c r="H812" s="51"/>
      <c r="I812" s="51"/>
      <c r="J812" s="51"/>
      <c r="K812" s="52" t="str">
        <f aca="false">IF($A812&lt;&gt;"",$A812,"")</f>
        <v>Apprenant 800</v>
      </c>
      <c r="L812" s="53" t="str">
        <f aca="false">IF(AND($B812&lt;&gt;"",$C812&lt;&gt;""),$C812-$B812,"")</f>
        <v/>
      </c>
      <c r="M812" s="53" t="str">
        <f aca="false">IF(AND($B812&lt;&gt;"",$D812&lt;&gt;""),$D812-$B812,"")</f>
        <v/>
      </c>
      <c r="N812" s="53" t="str">
        <f aca="false">IF(AND($C812&lt;&gt;"",$D812&lt;&gt;""),$D812-$C812,"")</f>
        <v/>
      </c>
      <c r="O812" s="53" t="str">
        <f aca="false">IF($E812&lt;&gt;"",$E812,"")</f>
        <v/>
      </c>
      <c r="P812" s="52" t="str">
        <f aca="false">IF($F812&lt;&gt;"",$F812,"")</f>
        <v>Apprenant 800 ou 800'</v>
      </c>
      <c r="Q812" s="53" t="str">
        <f aca="false">IF(AND($G812&lt;&gt;"",$H812&lt;&gt;""),$H812-$G812,"")</f>
        <v/>
      </c>
      <c r="R812" s="53" t="str">
        <f aca="false">IF(AND($G812&lt;&gt;"",$I812&lt;&gt;""),$I812-$G812,"")</f>
        <v/>
      </c>
      <c r="S812" s="53" t="str">
        <f aca="false">IF(AND($H812&lt;&gt;"",$I812&lt;&gt;""),$I812-$H812,"")</f>
        <v/>
      </c>
      <c r="T812" s="53" t="str">
        <f aca="false">IF($J812&lt;&gt;"",$J812,"")</f>
        <v/>
      </c>
      <c r="V812" s="52" t="str">
        <f aca="false">IF($A812&lt;&gt;"",$A812,"")</f>
        <v>Apprenant 800</v>
      </c>
      <c r="W812" s="53" t="str">
        <f aca="false">IF(AND(OR('Choix pédagogiques'!$C$3=1,'Choix pédagogiques'!$C$3=2),$BM812=1),B812,IF(AND('Choix pédagogiques'!$C$3=3,$BO812=1),B812,""))</f>
        <v/>
      </c>
      <c r="X812" s="53" t="str">
        <f aca="false">IF(AND(OR('Choix pédagogiques'!$C$3=1,'Choix pédagogiques'!$C$3=2),$BM812=1),C812,IF(AND('Choix pédagogiques'!$C$3=3,$BO812=1),C812,""))</f>
        <v/>
      </c>
      <c r="Y812" s="53" t="str">
        <f aca="false">IF(AND(OR('Choix pédagogiques'!$C$3=1,'Choix pédagogiques'!$C$3=2),$BM812=1),D812,IF(AND('Choix pédagogiques'!$C$3=3,$BO812=1),D812,""))</f>
        <v/>
      </c>
      <c r="Z812" s="53" t="str">
        <f aca="false">IF($E812&lt;&gt;"",$E812,"")</f>
        <v/>
      </c>
      <c r="AA812" s="52" t="str">
        <f aca="false">IF($F812&lt;&gt;"",$F812,"")</f>
        <v>Apprenant 800 ou 800'</v>
      </c>
      <c r="AB812" s="53" t="str">
        <f aca="false">IF(AND(OR('Choix pédagogiques'!$C$3=1,'Choix pédagogiques'!$C$3=2),$BN812=1),G812,IF(AND('Choix pédagogiques'!$C$3=3,$BO812=1),G812,""))</f>
        <v/>
      </c>
      <c r="AC812" s="53" t="str">
        <f aca="false">IF(AND(OR('Choix pédagogiques'!$C$3=1,'Choix pédagogiques'!$C$3=2),$BN812=1),H812,IF(AND('Choix pédagogiques'!$C$3=3,$BO812=1),H812,""))</f>
        <v/>
      </c>
      <c r="AD812" s="53" t="str">
        <f aca="false">IF(AND(OR('Choix pédagogiques'!$C$3=1,'Choix pédagogiques'!$C$3=2),$BN812=1),I812,IF(AND('Choix pédagogiques'!$C$3=3,$BO812=1),I812,""))</f>
        <v/>
      </c>
      <c r="AE812" s="53" t="str">
        <f aca="false">IF($J812&lt;&gt;"",$J812,"")</f>
        <v/>
      </c>
      <c r="AF812" s="52" t="str">
        <f aca="false">IF($A812&lt;&gt;"",$A812,"")</f>
        <v>Apprenant 800</v>
      </c>
      <c r="AG812" s="53" t="str">
        <f aca="false">IF(AND($W812&lt;&gt;"",$X812&lt;&gt;""),$X812-$W812,"")</f>
        <v/>
      </c>
      <c r="AH812" s="53" t="str">
        <f aca="false">IF(AND($W812&lt;&gt;"",$Y812&lt;&gt;""),$Y812-$W812,"")</f>
        <v/>
      </c>
      <c r="AI812" s="53" t="str">
        <f aca="false">IF(AND($X812&lt;&gt;"",$Y812&lt;&gt;""),$Y812-$X812,"")</f>
        <v/>
      </c>
      <c r="AJ812" s="53" t="str">
        <f aca="false">IF($E812&lt;&gt;"",$E812,"")</f>
        <v/>
      </c>
      <c r="AK812" s="52" t="str">
        <f aca="false">IF($F812&lt;&gt;"",$F812,"")</f>
        <v>Apprenant 800 ou 800'</v>
      </c>
      <c r="AL812" s="53" t="str">
        <f aca="false">IF(AND($AB812&lt;&gt;"",$AC812&lt;&gt;""),$AC812-$AB812,"")</f>
        <v/>
      </c>
      <c r="AM812" s="53" t="str">
        <f aca="false">IF(AND($AB812&lt;&gt;"",$AD812&lt;&gt;""),$AD812-$AB812,"")</f>
        <v/>
      </c>
      <c r="AN812" s="53" t="str">
        <f aca="false">IF(AND($AC812&lt;&gt;"",$AD812&lt;&gt;""),$AD812-$AC812,"")</f>
        <v/>
      </c>
      <c r="AO812" s="53" t="str">
        <f aca="false">IF($J812&lt;&gt;"",$J812,"")</f>
        <v/>
      </c>
      <c r="AQ812" s="52" t="str">
        <f aca="false">IF($A812&lt;&gt;"",$A812,"")</f>
        <v>Apprenant 800</v>
      </c>
      <c r="AR812" s="55" t="str">
        <f aca="false">IF(AND('Choix pédagogiques'!$C$4&lt;&gt;"?",'Choix pédagogiques'!$C$5&lt;&gt;"?",W812&lt;&gt;""),(W812-'Choix pédagogiques'!$C$4)/('Choix pédagogiques'!$C$5-'Choix pédagogiques'!$C$4),"")</f>
        <v/>
      </c>
      <c r="AS812" s="55" t="str">
        <f aca="false">IF(AND('Choix pédagogiques'!$C$4&lt;&gt;"?",'Choix pédagogiques'!$C$5&lt;&gt;"?",X812&lt;&gt;""),(X812-'Choix pédagogiques'!$C$4)/('Choix pédagogiques'!$C$5-'Choix pédagogiques'!$C$4),"")</f>
        <v/>
      </c>
      <c r="AT812" s="55" t="str">
        <f aca="false">IF(AND('Choix pédagogiques'!$C$4&lt;&gt;"?",'Choix pédagogiques'!$C$5&lt;&gt;"?",Y812&lt;&gt;""),(Y812-'Choix pédagogiques'!$C$4)/('Choix pédagogiques'!$C$5-'Choix pédagogiques'!$C$4),"")</f>
        <v/>
      </c>
      <c r="AU812" s="53" t="str">
        <f aca="false">IF($E812&lt;&gt;"",$E812,"")</f>
        <v/>
      </c>
      <c r="AV812" s="52" t="str">
        <f aca="false">IF($F812&lt;&gt;"",$F812,"")</f>
        <v>Apprenant 800 ou 800'</v>
      </c>
      <c r="AW812" s="55" t="str">
        <f aca="false">IF(AND('Choix pédagogiques'!$C$4&lt;&gt;"?",'Choix pédagogiques'!$C$5&lt;&gt;"?",AB812&lt;&gt;""),(AB812-'Choix pédagogiques'!$C$4)/('Choix pédagogiques'!$C$5-'Choix pédagogiques'!$C$4),"")</f>
        <v/>
      </c>
      <c r="AX812" s="55" t="str">
        <f aca="false">IF(AND('Choix pédagogiques'!$C$4&lt;&gt;"?",'Choix pédagogiques'!$C$5&lt;&gt;"?",AC812&lt;&gt;""),(AC812-'Choix pédagogiques'!$C$4)/('Choix pédagogiques'!$C$5-'Choix pédagogiques'!$C$4),"")</f>
        <v/>
      </c>
      <c r="AY812" s="55" t="str">
        <f aca="false">IF(AND('Choix pédagogiques'!$C$4&lt;&gt;"?",'Choix pédagogiques'!$C$5&lt;&gt;"?",AD812&lt;&gt;""),(AD812-'Choix pédagogiques'!$C$4)/('Choix pédagogiques'!$C$5-'Choix pédagogiques'!$C$4),"")</f>
        <v/>
      </c>
      <c r="AZ812" s="53" t="str">
        <f aca="false">IF($J812&lt;&gt;"",$J812,"")</f>
        <v/>
      </c>
      <c r="BA812" s="52" t="str">
        <f aca="false">IF($A812&lt;&gt;"",$A812,"")</f>
        <v>Apprenant 800</v>
      </c>
      <c r="BB812" s="55" t="str">
        <f aca="false">IF(AND($AR812&lt;&gt;"",$AS812&lt;&gt;""),$AS812-$AR812,"")</f>
        <v/>
      </c>
      <c r="BC812" s="55" t="str">
        <f aca="false">IF(AND($AR812&lt;&gt;"",$AT812&lt;&gt;""),$AT812-$AR812,"")</f>
        <v/>
      </c>
      <c r="BD812" s="55" t="str">
        <f aca="false">IF(AND($AS812&lt;&gt;"",$AT812&lt;&gt;""),$AT812-$AS812,"")</f>
        <v/>
      </c>
      <c r="BE812" s="53" t="str">
        <f aca="false">IF($E812&lt;&gt;"",$E812,"")</f>
        <v/>
      </c>
      <c r="BF812" s="52" t="str">
        <f aca="false">IF($F812&lt;&gt;"",$F812,"")</f>
        <v>Apprenant 800 ou 800'</v>
      </c>
      <c r="BG812" s="55" t="str">
        <f aca="false">IF(AND($AW812&lt;&gt;"",$AX812&lt;&gt;""),$AX812-$AW812,"")</f>
        <v/>
      </c>
      <c r="BH812" s="55" t="str">
        <f aca="false">IF(AND($AW812&lt;&gt;"",$AY812&lt;&gt;""),$AY812-$AW812,"")</f>
        <v/>
      </c>
      <c r="BI812" s="55" t="str">
        <f aca="false">IF(AND($AX812&lt;&gt;"",$AY812&lt;&gt;""),$AY812-$AX812,"")</f>
        <v/>
      </c>
      <c r="BJ812" s="53" t="str">
        <f aca="false">IF($J812&lt;&gt;"",$J812,"")</f>
        <v/>
      </c>
      <c r="BL812" s="52"/>
      <c r="BM812" s="52" t="str">
        <f aca="false">IF(OR(COUNT(B812:D1811)=0,AND('Choix pédagogiques'!$C$3&lt;&gt;1,'Choix pédagogiques'!$C$3&lt;&gt;2)),"",IF(AND(OR('Choix pédagogiques'!$C$3=1,'Choix pédagogiques'!$C$3=2),$B812&lt;&gt;"",$C812&lt;&gt;"",$D812&lt;&gt;""),1,0))</f>
        <v/>
      </c>
      <c r="BN812" s="52" t="str">
        <f aca="false">IF(OR(COUNT(G812:I1811)=0,AND('Choix pédagogiques'!$C$3&lt;&gt;1,'Choix pédagogiques'!$C$3&lt;&gt;2)),"",IF(AND(OR('Choix pédagogiques'!$C$3=1,'Choix pédagogiques'!$C$3=2),AND($G812&lt;&gt;"",$H812&lt;&gt;"",$I812&lt;&gt;"")),1,0))</f>
        <v/>
      </c>
      <c r="BO812" s="52" t="str">
        <f aca="false">IF(OR(COUNT(B812:D1811)=0,COUNT(G812:I1811)=0,'Choix pédagogiques'!C$3&lt;&gt;3),"",IF(AND('Choix pédagogiques'!$C$3=3,$B812&lt;&gt;"",$C812&lt;&gt;"",$D812&lt;&gt;"",$G812&lt;&gt;"",$H812&lt;&gt;"",$I812&lt;&gt;""),1,0))</f>
        <v/>
      </c>
      <c r="BR812" s="52" t="n">
        <v>706</v>
      </c>
      <c r="BS812" s="52" t="n">
        <v>1441</v>
      </c>
    </row>
    <row r="813" s="54" customFormat="true" ht="18" hidden="false" customHeight="true" outlineLevel="0" collapsed="false">
      <c r="A813" s="57" t="s">
        <v>1557</v>
      </c>
      <c r="B813" s="51"/>
      <c r="C813" s="51"/>
      <c r="D813" s="51"/>
      <c r="E813" s="51"/>
      <c r="F813" s="57" t="s">
        <v>1558</v>
      </c>
      <c r="G813" s="51"/>
      <c r="H813" s="51"/>
      <c r="I813" s="51"/>
      <c r="J813" s="51"/>
      <c r="K813" s="52" t="str">
        <f aca="false">IF($A813&lt;&gt;"",$A813,"")</f>
        <v>Apprenant 801</v>
      </c>
      <c r="L813" s="53" t="str">
        <f aca="false">IF(AND($B813&lt;&gt;"",$C813&lt;&gt;""),$C813-$B813,"")</f>
        <v/>
      </c>
      <c r="M813" s="53" t="str">
        <f aca="false">IF(AND($B813&lt;&gt;"",$D813&lt;&gt;""),$D813-$B813,"")</f>
        <v/>
      </c>
      <c r="N813" s="53" t="str">
        <f aca="false">IF(AND($C813&lt;&gt;"",$D813&lt;&gt;""),$D813-$C813,"")</f>
        <v/>
      </c>
      <c r="O813" s="53" t="str">
        <f aca="false">IF($E813&lt;&gt;"",$E813,"")</f>
        <v/>
      </c>
      <c r="P813" s="52" t="str">
        <f aca="false">IF($F813&lt;&gt;"",$F813,"")</f>
        <v>Apprenant 801 ou 801'</v>
      </c>
      <c r="Q813" s="53" t="str">
        <f aca="false">IF(AND($G813&lt;&gt;"",$H813&lt;&gt;""),$H813-$G813,"")</f>
        <v/>
      </c>
      <c r="R813" s="53" t="str">
        <f aca="false">IF(AND($G813&lt;&gt;"",$I813&lt;&gt;""),$I813-$G813,"")</f>
        <v/>
      </c>
      <c r="S813" s="53" t="str">
        <f aca="false">IF(AND($H813&lt;&gt;"",$I813&lt;&gt;""),$I813-$H813,"")</f>
        <v/>
      </c>
      <c r="T813" s="53" t="str">
        <f aca="false">IF($J813&lt;&gt;"",$J813,"")</f>
        <v/>
      </c>
      <c r="V813" s="52" t="str">
        <f aca="false">IF($A813&lt;&gt;"",$A813,"")</f>
        <v>Apprenant 801</v>
      </c>
      <c r="W813" s="53" t="str">
        <f aca="false">IF(AND(OR('Choix pédagogiques'!$C$3=1,'Choix pédagogiques'!$C$3=2),$BM813=1),B813,IF(AND('Choix pédagogiques'!$C$3=3,$BO813=1),B813,""))</f>
        <v/>
      </c>
      <c r="X813" s="53" t="str">
        <f aca="false">IF(AND(OR('Choix pédagogiques'!$C$3=1,'Choix pédagogiques'!$C$3=2),$BM813=1),C813,IF(AND('Choix pédagogiques'!$C$3=3,$BO813=1),C813,""))</f>
        <v/>
      </c>
      <c r="Y813" s="53" t="str">
        <f aca="false">IF(AND(OR('Choix pédagogiques'!$C$3=1,'Choix pédagogiques'!$C$3=2),$BM813=1),D813,IF(AND('Choix pédagogiques'!$C$3=3,$BO813=1),D813,""))</f>
        <v/>
      </c>
      <c r="Z813" s="53" t="str">
        <f aca="false">IF($E813&lt;&gt;"",$E813,"")</f>
        <v/>
      </c>
      <c r="AA813" s="52" t="str">
        <f aca="false">IF($F813&lt;&gt;"",$F813,"")</f>
        <v>Apprenant 801 ou 801'</v>
      </c>
      <c r="AB813" s="53" t="str">
        <f aca="false">IF(AND(OR('Choix pédagogiques'!$C$3=1,'Choix pédagogiques'!$C$3=2),$BN813=1),G813,IF(AND('Choix pédagogiques'!$C$3=3,$BO813=1),G813,""))</f>
        <v/>
      </c>
      <c r="AC813" s="53" t="str">
        <f aca="false">IF(AND(OR('Choix pédagogiques'!$C$3=1,'Choix pédagogiques'!$C$3=2),$BN813=1),H813,IF(AND('Choix pédagogiques'!$C$3=3,$BO813=1),H813,""))</f>
        <v/>
      </c>
      <c r="AD813" s="53" t="str">
        <f aca="false">IF(AND(OR('Choix pédagogiques'!$C$3=1,'Choix pédagogiques'!$C$3=2),$BN813=1),I813,IF(AND('Choix pédagogiques'!$C$3=3,$BO813=1),I813,""))</f>
        <v/>
      </c>
      <c r="AE813" s="53" t="str">
        <f aca="false">IF($J813&lt;&gt;"",$J813,"")</f>
        <v/>
      </c>
      <c r="AF813" s="52" t="str">
        <f aca="false">IF($A813&lt;&gt;"",$A813,"")</f>
        <v>Apprenant 801</v>
      </c>
      <c r="AG813" s="53" t="str">
        <f aca="false">IF(AND($W813&lt;&gt;"",$X813&lt;&gt;""),$X813-$W813,"")</f>
        <v/>
      </c>
      <c r="AH813" s="53" t="str">
        <f aca="false">IF(AND($W813&lt;&gt;"",$Y813&lt;&gt;""),$Y813-$W813,"")</f>
        <v/>
      </c>
      <c r="AI813" s="53" t="str">
        <f aca="false">IF(AND($X813&lt;&gt;"",$Y813&lt;&gt;""),$Y813-$X813,"")</f>
        <v/>
      </c>
      <c r="AJ813" s="53" t="str">
        <f aca="false">IF($E813&lt;&gt;"",$E813,"")</f>
        <v/>
      </c>
      <c r="AK813" s="52" t="str">
        <f aca="false">IF($F813&lt;&gt;"",$F813,"")</f>
        <v>Apprenant 801 ou 801'</v>
      </c>
      <c r="AL813" s="53" t="str">
        <f aca="false">IF(AND($AB813&lt;&gt;"",$AC813&lt;&gt;""),$AC813-$AB813,"")</f>
        <v/>
      </c>
      <c r="AM813" s="53" t="str">
        <f aca="false">IF(AND($AB813&lt;&gt;"",$AD813&lt;&gt;""),$AD813-$AB813,"")</f>
        <v/>
      </c>
      <c r="AN813" s="53" t="str">
        <f aca="false">IF(AND($AC813&lt;&gt;"",$AD813&lt;&gt;""),$AD813-$AC813,"")</f>
        <v/>
      </c>
      <c r="AO813" s="53" t="str">
        <f aca="false">IF($J813&lt;&gt;"",$J813,"")</f>
        <v/>
      </c>
      <c r="AQ813" s="52" t="str">
        <f aca="false">IF($A813&lt;&gt;"",$A813,"")</f>
        <v>Apprenant 801</v>
      </c>
      <c r="AR813" s="55" t="str">
        <f aca="false">IF(AND('Choix pédagogiques'!$C$4&lt;&gt;"?",'Choix pédagogiques'!$C$5&lt;&gt;"?",W813&lt;&gt;""),(W813-'Choix pédagogiques'!$C$4)/('Choix pédagogiques'!$C$5-'Choix pédagogiques'!$C$4),"")</f>
        <v/>
      </c>
      <c r="AS813" s="55" t="str">
        <f aca="false">IF(AND('Choix pédagogiques'!$C$4&lt;&gt;"?",'Choix pédagogiques'!$C$5&lt;&gt;"?",X813&lt;&gt;""),(X813-'Choix pédagogiques'!$C$4)/('Choix pédagogiques'!$C$5-'Choix pédagogiques'!$C$4),"")</f>
        <v/>
      </c>
      <c r="AT813" s="55" t="str">
        <f aca="false">IF(AND('Choix pédagogiques'!$C$4&lt;&gt;"?",'Choix pédagogiques'!$C$5&lt;&gt;"?",Y813&lt;&gt;""),(Y813-'Choix pédagogiques'!$C$4)/('Choix pédagogiques'!$C$5-'Choix pédagogiques'!$C$4),"")</f>
        <v/>
      </c>
      <c r="AU813" s="53" t="str">
        <f aca="false">IF($E813&lt;&gt;"",$E813,"")</f>
        <v/>
      </c>
      <c r="AV813" s="52" t="str">
        <f aca="false">IF($F813&lt;&gt;"",$F813,"")</f>
        <v>Apprenant 801 ou 801'</v>
      </c>
      <c r="AW813" s="55" t="str">
        <f aca="false">IF(AND('Choix pédagogiques'!$C$4&lt;&gt;"?",'Choix pédagogiques'!$C$5&lt;&gt;"?",AB813&lt;&gt;""),(AB813-'Choix pédagogiques'!$C$4)/('Choix pédagogiques'!$C$5-'Choix pédagogiques'!$C$4),"")</f>
        <v/>
      </c>
      <c r="AX813" s="55" t="str">
        <f aca="false">IF(AND('Choix pédagogiques'!$C$4&lt;&gt;"?",'Choix pédagogiques'!$C$5&lt;&gt;"?",AC813&lt;&gt;""),(AC813-'Choix pédagogiques'!$C$4)/('Choix pédagogiques'!$C$5-'Choix pédagogiques'!$C$4),"")</f>
        <v/>
      </c>
      <c r="AY813" s="55" t="str">
        <f aca="false">IF(AND('Choix pédagogiques'!$C$4&lt;&gt;"?",'Choix pédagogiques'!$C$5&lt;&gt;"?",AD813&lt;&gt;""),(AD813-'Choix pédagogiques'!$C$4)/('Choix pédagogiques'!$C$5-'Choix pédagogiques'!$C$4),"")</f>
        <v/>
      </c>
      <c r="AZ813" s="53" t="str">
        <f aca="false">IF($J813&lt;&gt;"",$J813,"")</f>
        <v/>
      </c>
      <c r="BA813" s="52" t="str">
        <f aca="false">IF($A813&lt;&gt;"",$A813,"")</f>
        <v>Apprenant 801</v>
      </c>
      <c r="BB813" s="55" t="str">
        <f aca="false">IF(AND($AR813&lt;&gt;"",$AS813&lt;&gt;""),$AS813-$AR813,"")</f>
        <v/>
      </c>
      <c r="BC813" s="55" t="str">
        <f aca="false">IF(AND($AR813&lt;&gt;"",$AT813&lt;&gt;""),$AT813-$AR813,"")</f>
        <v/>
      </c>
      <c r="BD813" s="55" t="str">
        <f aca="false">IF(AND($AS813&lt;&gt;"",$AT813&lt;&gt;""),$AT813-$AS813,"")</f>
        <v/>
      </c>
      <c r="BE813" s="53" t="str">
        <f aca="false">IF($E813&lt;&gt;"",$E813,"")</f>
        <v/>
      </c>
      <c r="BF813" s="52" t="str">
        <f aca="false">IF($F813&lt;&gt;"",$F813,"")</f>
        <v>Apprenant 801 ou 801'</v>
      </c>
      <c r="BG813" s="55" t="str">
        <f aca="false">IF(AND($AW813&lt;&gt;"",$AX813&lt;&gt;""),$AX813-$AW813,"")</f>
        <v/>
      </c>
      <c r="BH813" s="55" t="str">
        <f aca="false">IF(AND($AW813&lt;&gt;"",$AY813&lt;&gt;""),$AY813-$AW813,"")</f>
        <v/>
      </c>
      <c r="BI813" s="55" t="str">
        <f aca="false">IF(AND($AX813&lt;&gt;"",$AY813&lt;&gt;""),$AY813-$AX813,"")</f>
        <v/>
      </c>
      <c r="BJ813" s="53" t="str">
        <f aca="false">IF($J813&lt;&gt;"",$J813,"")</f>
        <v/>
      </c>
      <c r="BL813" s="52"/>
      <c r="BM813" s="52" t="str">
        <f aca="false">IF(OR(COUNT(B813:D1812)=0,AND('Choix pédagogiques'!$C$3&lt;&gt;1,'Choix pédagogiques'!$C$3&lt;&gt;2)),"",IF(AND(OR('Choix pédagogiques'!$C$3=1,'Choix pédagogiques'!$C$3=2),$B813&lt;&gt;"",$C813&lt;&gt;"",$D813&lt;&gt;""),1,0))</f>
        <v/>
      </c>
      <c r="BN813" s="52" t="str">
        <f aca="false">IF(OR(COUNT(G813:I1812)=0,AND('Choix pédagogiques'!$C$3&lt;&gt;1,'Choix pédagogiques'!$C$3&lt;&gt;2)),"",IF(AND(OR('Choix pédagogiques'!$C$3=1,'Choix pédagogiques'!$C$3=2),AND($G813&lt;&gt;"",$H813&lt;&gt;"",$I813&lt;&gt;"")),1,0))</f>
        <v/>
      </c>
      <c r="BO813" s="52" t="str">
        <f aca="false">IF(OR(COUNT(B813:D1812)=0,COUNT(G813:I1812)=0,'Choix pédagogiques'!C$3&lt;&gt;3),"",IF(AND('Choix pédagogiques'!$C$3=3,$B813&lt;&gt;"",$C813&lt;&gt;"",$D813&lt;&gt;"",$G813&lt;&gt;"",$H813&lt;&gt;"",$I813&lt;&gt;""),1,0))</f>
        <v/>
      </c>
      <c r="BR813" s="52" t="n">
        <v>84</v>
      </c>
      <c r="BS813" s="52" t="n">
        <v>1134</v>
      </c>
    </row>
    <row r="814" s="54" customFormat="true" ht="18" hidden="false" customHeight="true" outlineLevel="0" collapsed="false">
      <c r="A814" s="57" t="s">
        <v>1559</v>
      </c>
      <c r="B814" s="51"/>
      <c r="C814" s="51"/>
      <c r="D814" s="51"/>
      <c r="E814" s="51"/>
      <c r="F814" s="57" t="s">
        <v>1560</v>
      </c>
      <c r="G814" s="51"/>
      <c r="H814" s="51"/>
      <c r="I814" s="51"/>
      <c r="J814" s="51"/>
      <c r="K814" s="52" t="str">
        <f aca="false">IF($A814&lt;&gt;"",$A814,"")</f>
        <v>Apprenant 802</v>
      </c>
      <c r="L814" s="53" t="str">
        <f aca="false">IF(AND($B814&lt;&gt;"",$C814&lt;&gt;""),$C814-$B814,"")</f>
        <v/>
      </c>
      <c r="M814" s="53" t="str">
        <f aca="false">IF(AND($B814&lt;&gt;"",$D814&lt;&gt;""),$D814-$B814,"")</f>
        <v/>
      </c>
      <c r="N814" s="53" t="str">
        <f aca="false">IF(AND($C814&lt;&gt;"",$D814&lt;&gt;""),$D814-$C814,"")</f>
        <v/>
      </c>
      <c r="O814" s="53" t="str">
        <f aca="false">IF($E814&lt;&gt;"",$E814,"")</f>
        <v/>
      </c>
      <c r="P814" s="52" t="str">
        <f aca="false">IF($F814&lt;&gt;"",$F814,"")</f>
        <v>Apprenant 802 ou 802'</v>
      </c>
      <c r="Q814" s="53" t="str">
        <f aca="false">IF(AND($G814&lt;&gt;"",$H814&lt;&gt;""),$H814-$G814,"")</f>
        <v/>
      </c>
      <c r="R814" s="53" t="str">
        <f aca="false">IF(AND($G814&lt;&gt;"",$I814&lt;&gt;""),$I814-$G814,"")</f>
        <v/>
      </c>
      <c r="S814" s="53" t="str">
        <f aca="false">IF(AND($H814&lt;&gt;"",$I814&lt;&gt;""),$I814-$H814,"")</f>
        <v/>
      </c>
      <c r="T814" s="53" t="str">
        <f aca="false">IF($J814&lt;&gt;"",$J814,"")</f>
        <v/>
      </c>
      <c r="V814" s="52" t="str">
        <f aca="false">IF($A814&lt;&gt;"",$A814,"")</f>
        <v>Apprenant 802</v>
      </c>
      <c r="W814" s="53" t="str">
        <f aca="false">IF(AND(OR('Choix pédagogiques'!$C$3=1,'Choix pédagogiques'!$C$3=2),$BM814=1),B814,IF(AND('Choix pédagogiques'!$C$3=3,$BO814=1),B814,""))</f>
        <v/>
      </c>
      <c r="X814" s="53" t="str">
        <f aca="false">IF(AND(OR('Choix pédagogiques'!$C$3=1,'Choix pédagogiques'!$C$3=2),$BM814=1),C814,IF(AND('Choix pédagogiques'!$C$3=3,$BO814=1),C814,""))</f>
        <v/>
      </c>
      <c r="Y814" s="53" t="str">
        <f aca="false">IF(AND(OR('Choix pédagogiques'!$C$3=1,'Choix pédagogiques'!$C$3=2),$BM814=1),D814,IF(AND('Choix pédagogiques'!$C$3=3,$BO814=1),D814,""))</f>
        <v/>
      </c>
      <c r="Z814" s="53" t="str">
        <f aca="false">IF($E814&lt;&gt;"",$E814,"")</f>
        <v/>
      </c>
      <c r="AA814" s="52" t="str">
        <f aca="false">IF($F814&lt;&gt;"",$F814,"")</f>
        <v>Apprenant 802 ou 802'</v>
      </c>
      <c r="AB814" s="53" t="str">
        <f aca="false">IF(AND(OR('Choix pédagogiques'!$C$3=1,'Choix pédagogiques'!$C$3=2),$BN814=1),G814,IF(AND('Choix pédagogiques'!$C$3=3,$BO814=1),G814,""))</f>
        <v/>
      </c>
      <c r="AC814" s="53" t="str">
        <f aca="false">IF(AND(OR('Choix pédagogiques'!$C$3=1,'Choix pédagogiques'!$C$3=2),$BN814=1),H814,IF(AND('Choix pédagogiques'!$C$3=3,$BO814=1),H814,""))</f>
        <v/>
      </c>
      <c r="AD814" s="53" t="str">
        <f aca="false">IF(AND(OR('Choix pédagogiques'!$C$3=1,'Choix pédagogiques'!$C$3=2),$BN814=1),I814,IF(AND('Choix pédagogiques'!$C$3=3,$BO814=1),I814,""))</f>
        <v/>
      </c>
      <c r="AE814" s="53" t="str">
        <f aca="false">IF($J814&lt;&gt;"",$J814,"")</f>
        <v/>
      </c>
      <c r="AF814" s="52" t="str">
        <f aca="false">IF($A814&lt;&gt;"",$A814,"")</f>
        <v>Apprenant 802</v>
      </c>
      <c r="AG814" s="53" t="str">
        <f aca="false">IF(AND($W814&lt;&gt;"",$X814&lt;&gt;""),$X814-$W814,"")</f>
        <v/>
      </c>
      <c r="AH814" s="53" t="str">
        <f aca="false">IF(AND($W814&lt;&gt;"",$Y814&lt;&gt;""),$Y814-$W814,"")</f>
        <v/>
      </c>
      <c r="AI814" s="53" t="str">
        <f aca="false">IF(AND($X814&lt;&gt;"",$Y814&lt;&gt;""),$Y814-$X814,"")</f>
        <v/>
      </c>
      <c r="AJ814" s="53" t="str">
        <f aca="false">IF($E814&lt;&gt;"",$E814,"")</f>
        <v/>
      </c>
      <c r="AK814" s="52" t="str">
        <f aca="false">IF($F814&lt;&gt;"",$F814,"")</f>
        <v>Apprenant 802 ou 802'</v>
      </c>
      <c r="AL814" s="53" t="str">
        <f aca="false">IF(AND($AB814&lt;&gt;"",$AC814&lt;&gt;""),$AC814-$AB814,"")</f>
        <v/>
      </c>
      <c r="AM814" s="53" t="str">
        <f aca="false">IF(AND($AB814&lt;&gt;"",$AD814&lt;&gt;""),$AD814-$AB814,"")</f>
        <v/>
      </c>
      <c r="AN814" s="53" t="str">
        <f aca="false">IF(AND($AC814&lt;&gt;"",$AD814&lt;&gt;""),$AD814-$AC814,"")</f>
        <v/>
      </c>
      <c r="AO814" s="53" t="str">
        <f aca="false">IF($J814&lt;&gt;"",$J814,"")</f>
        <v/>
      </c>
      <c r="AQ814" s="52" t="str">
        <f aca="false">IF($A814&lt;&gt;"",$A814,"")</f>
        <v>Apprenant 802</v>
      </c>
      <c r="AR814" s="55" t="str">
        <f aca="false">IF(AND('Choix pédagogiques'!$C$4&lt;&gt;"?",'Choix pédagogiques'!$C$5&lt;&gt;"?",W814&lt;&gt;""),(W814-'Choix pédagogiques'!$C$4)/('Choix pédagogiques'!$C$5-'Choix pédagogiques'!$C$4),"")</f>
        <v/>
      </c>
      <c r="AS814" s="55" t="str">
        <f aca="false">IF(AND('Choix pédagogiques'!$C$4&lt;&gt;"?",'Choix pédagogiques'!$C$5&lt;&gt;"?",X814&lt;&gt;""),(X814-'Choix pédagogiques'!$C$4)/('Choix pédagogiques'!$C$5-'Choix pédagogiques'!$C$4),"")</f>
        <v/>
      </c>
      <c r="AT814" s="55" t="str">
        <f aca="false">IF(AND('Choix pédagogiques'!$C$4&lt;&gt;"?",'Choix pédagogiques'!$C$5&lt;&gt;"?",Y814&lt;&gt;""),(Y814-'Choix pédagogiques'!$C$4)/('Choix pédagogiques'!$C$5-'Choix pédagogiques'!$C$4),"")</f>
        <v/>
      </c>
      <c r="AU814" s="53" t="str">
        <f aca="false">IF($E814&lt;&gt;"",$E814,"")</f>
        <v/>
      </c>
      <c r="AV814" s="52" t="str">
        <f aca="false">IF($F814&lt;&gt;"",$F814,"")</f>
        <v>Apprenant 802 ou 802'</v>
      </c>
      <c r="AW814" s="55" t="str">
        <f aca="false">IF(AND('Choix pédagogiques'!$C$4&lt;&gt;"?",'Choix pédagogiques'!$C$5&lt;&gt;"?",AB814&lt;&gt;""),(AB814-'Choix pédagogiques'!$C$4)/('Choix pédagogiques'!$C$5-'Choix pédagogiques'!$C$4),"")</f>
        <v/>
      </c>
      <c r="AX814" s="55" t="str">
        <f aca="false">IF(AND('Choix pédagogiques'!$C$4&lt;&gt;"?",'Choix pédagogiques'!$C$5&lt;&gt;"?",AC814&lt;&gt;""),(AC814-'Choix pédagogiques'!$C$4)/('Choix pédagogiques'!$C$5-'Choix pédagogiques'!$C$4),"")</f>
        <v/>
      </c>
      <c r="AY814" s="55" t="str">
        <f aca="false">IF(AND('Choix pédagogiques'!$C$4&lt;&gt;"?",'Choix pédagogiques'!$C$5&lt;&gt;"?",AD814&lt;&gt;""),(AD814-'Choix pédagogiques'!$C$4)/('Choix pédagogiques'!$C$5-'Choix pédagogiques'!$C$4),"")</f>
        <v/>
      </c>
      <c r="AZ814" s="53" t="str">
        <f aca="false">IF($J814&lt;&gt;"",$J814,"")</f>
        <v/>
      </c>
      <c r="BA814" s="52" t="str">
        <f aca="false">IF($A814&lt;&gt;"",$A814,"")</f>
        <v>Apprenant 802</v>
      </c>
      <c r="BB814" s="55" t="str">
        <f aca="false">IF(AND($AR814&lt;&gt;"",$AS814&lt;&gt;""),$AS814-$AR814,"")</f>
        <v/>
      </c>
      <c r="BC814" s="55" t="str">
        <f aca="false">IF(AND($AR814&lt;&gt;"",$AT814&lt;&gt;""),$AT814-$AR814,"")</f>
        <v/>
      </c>
      <c r="BD814" s="55" t="str">
        <f aca="false">IF(AND($AS814&lt;&gt;"",$AT814&lt;&gt;""),$AT814-$AS814,"")</f>
        <v/>
      </c>
      <c r="BE814" s="53" t="str">
        <f aca="false">IF($E814&lt;&gt;"",$E814,"")</f>
        <v/>
      </c>
      <c r="BF814" s="52" t="str">
        <f aca="false">IF($F814&lt;&gt;"",$F814,"")</f>
        <v>Apprenant 802 ou 802'</v>
      </c>
      <c r="BG814" s="55" t="str">
        <f aca="false">IF(AND($AW814&lt;&gt;"",$AX814&lt;&gt;""),$AX814-$AW814,"")</f>
        <v/>
      </c>
      <c r="BH814" s="55" t="str">
        <f aca="false">IF(AND($AW814&lt;&gt;"",$AY814&lt;&gt;""),$AY814-$AW814,"")</f>
        <v/>
      </c>
      <c r="BI814" s="55" t="str">
        <f aca="false">IF(AND($AX814&lt;&gt;"",$AY814&lt;&gt;""),$AY814-$AX814,"")</f>
        <v/>
      </c>
      <c r="BJ814" s="53" t="str">
        <f aca="false">IF($J814&lt;&gt;"",$J814,"")</f>
        <v/>
      </c>
      <c r="BL814" s="52"/>
      <c r="BM814" s="52" t="str">
        <f aca="false">IF(OR(COUNT(B814:D1813)=0,AND('Choix pédagogiques'!$C$3&lt;&gt;1,'Choix pédagogiques'!$C$3&lt;&gt;2)),"",IF(AND(OR('Choix pédagogiques'!$C$3=1,'Choix pédagogiques'!$C$3=2),$B814&lt;&gt;"",$C814&lt;&gt;"",$D814&lt;&gt;""),1,0))</f>
        <v/>
      </c>
      <c r="BN814" s="52" t="str">
        <f aca="false">IF(OR(COUNT(G814:I1813)=0,AND('Choix pédagogiques'!$C$3&lt;&gt;1,'Choix pédagogiques'!$C$3&lt;&gt;2)),"",IF(AND(OR('Choix pédagogiques'!$C$3=1,'Choix pédagogiques'!$C$3=2),AND($G814&lt;&gt;"",$H814&lt;&gt;"",$I814&lt;&gt;"")),1,0))</f>
        <v/>
      </c>
      <c r="BO814" s="52" t="str">
        <f aca="false">IF(OR(COUNT(B814:D1813)=0,COUNT(G814:I1813)=0,'Choix pédagogiques'!C$3&lt;&gt;3),"",IF(AND('Choix pédagogiques'!$C$3=3,$B814&lt;&gt;"",$C814&lt;&gt;"",$D814&lt;&gt;"",$G814&lt;&gt;"",$H814&lt;&gt;"",$I814&lt;&gt;""),1,0))</f>
        <v/>
      </c>
      <c r="BR814" s="52" t="n">
        <v>247</v>
      </c>
      <c r="BS814" s="52" t="n">
        <v>1619</v>
      </c>
    </row>
    <row r="815" s="54" customFormat="true" ht="18" hidden="false" customHeight="true" outlineLevel="0" collapsed="false">
      <c r="A815" s="57" t="s">
        <v>1561</v>
      </c>
      <c r="B815" s="51"/>
      <c r="C815" s="51"/>
      <c r="D815" s="51"/>
      <c r="E815" s="51"/>
      <c r="F815" s="57" t="s">
        <v>1562</v>
      </c>
      <c r="G815" s="51"/>
      <c r="H815" s="51"/>
      <c r="I815" s="51"/>
      <c r="J815" s="51"/>
      <c r="K815" s="52" t="str">
        <f aca="false">IF($A815&lt;&gt;"",$A815,"")</f>
        <v>Apprenant 803</v>
      </c>
      <c r="L815" s="53" t="str">
        <f aca="false">IF(AND($B815&lt;&gt;"",$C815&lt;&gt;""),$C815-$B815,"")</f>
        <v/>
      </c>
      <c r="M815" s="53" t="str">
        <f aca="false">IF(AND($B815&lt;&gt;"",$D815&lt;&gt;""),$D815-$B815,"")</f>
        <v/>
      </c>
      <c r="N815" s="53" t="str">
        <f aca="false">IF(AND($C815&lt;&gt;"",$D815&lt;&gt;""),$D815-$C815,"")</f>
        <v/>
      </c>
      <c r="O815" s="53" t="str">
        <f aca="false">IF($E815&lt;&gt;"",$E815,"")</f>
        <v/>
      </c>
      <c r="P815" s="52" t="str">
        <f aca="false">IF($F815&lt;&gt;"",$F815,"")</f>
        <v>Apprenant 803 ou 803'</v>
      </c>
      <c r="Q815" s="53" t="str">
        <f aca="false">IF(AND($G815&lt;&gt;"",$H815&lt;&gt;""),$H815-$G815,"")</f>
        <v/>
      </c>
      <c r="R815" s="53" t="str">
        <f aca="false">IF(AND($G815&lt;&gt;"",$I815&lt;&gt;""),$I815-$G815,"")</f>
        <v/>
      </c>
      <c r="S815" s="53" t="str">
        <f aca="false">IF(AND($H815&lt;&gt;"",$I815&lt;&gt;""),$I815-$H815,"")</f>
        <v/>
      </c>
      <c r="T815" s="53" t="str">
        <f aca="false">IF($J815&lt;&gt;"",$J815,"")</f>
        <v/>
      </c>
      <c r="V815" s="52" t="str">
        <f aca="false">IF($A815&lt;&gt;"",$A815,"")</f>
        <v>Apprenant 803</v>
      </c>
      <c r="W815" s="53" t="str">
        <f aca="false">IF(AND(OR('Choix pédagogiques'!$C$3=1,'Choix pédagogiques'!$C$3=2),$BM815=1),B815,IF(AND('Choix pédagogiques'!$C$3=3,$BO815=1),B815,""))</f>
        <v/>
      </c>
      <c r="X815" s="53" t="str">
        <f aca="false">IF(AND(OR('Choix pédagogiques'!$C$3=1,'Choix pédagogiques'!$C$3=2),$BM815=1),C815,IF(AND('Choix pédagogiques'!$C$3=3,$BO815=1),C815,""))</f>
        <v/>
      </c>
      <c r="Y815" s="53" t="str">
        <f aca="false">IF(AND(OR('Choix pédagogiques'!$C$3=1,'Choix pédagogiques'!$C$3=2),$BM815=1),D815,IF(AND('Choix pédagogiques'!$C$3=3,$BO815=1),D815,""))</f>
        <v/>
      </c>
      <c r="Z815" s="53" t="str">
        <f aca="false">IF($E815&lt;&gt;"",$E815,"")</f>
        <v/>
      </c>
      <c r="AA815" s="52" t="str">
        <f aca="false">IF($F815&lt;&gt;"",$F815,"")</f>
        <v>Apprenant 803 ou 803'</v>
      </c>
      <c r="AB815" s="53" t="str">
        <f aca="false">IF(AND(OR('Choix pédagogiques'!$C$3=1,'Choix pédagogiques'!$C$3=2),$BN815=1),G815,IF(AND('Choix pédagogiques'!$C$3=3,$BO815=1),G815,""))</f>
        <v/>
      </c>
      <c r="AC815" s="53" t="str">
        <f aca="false">IF(AND(OR('Choix pédagogiques'!$C$3=1,'Choix pédagogiques'!$C$3=2),$BN815=1),H815,IF(AND('Choix pédagogiques'!$C$3=3,$BO815=1),H815,""))</f>
        <v/>
      </c>
      <c r="AD815" s="53" t="str">
        <f aca="false">IF(AND(OR('Choix pédagogiques'!$C$3=1,'Choix pédagogiques'!$C$3=2),$BN815=1),I815,IF(AND('Choix pédagogiques'!$C$3=3,$BO815=1),I815,""))</f>
        <v/>
      </c>
      <c r="AE815" s="53" t="str">
        <f aca="false">IF($J815&lt;&gt;"",$J815,"")</f>
        <v/>
      </c>
      <c r="AF815" s="52" t="str">
        <f aca="false">IF($A815&lt;&gt;"",$A815,"")</f>
        <v>Apprenant 803</v>
      </c>
      <c r="AG815" s="53" t="str">
        <f aca="false">IF(AND($W815&lt;&gt;"",$X815&lt;&gt;""),$X815-$W815,"")</f>
        <v/>
      </c>
      <c r="AH815" s="53" t="str">
        <f aca="false">IF(AND($W815&lt;&gt;"",$Y815&lt;&gt;""),$Y815-$W815,"")</f>
        <v/>
      </c>
      <c r="AI815" s="53" t="str">
        <f aca="false">IF(AND($X815&lt;&gt;"",$Y815&lt;&gt;""),$Y815-$X815,"")</f>
        <v/>
      </c>
      <c r="AJ815" s="53" t="str">
        <f aca="false">IF($E815&lt;&gt;"",$E815,"")</f>
        <v/>
      </c>
      <c r="AK815" s="52" t="str">
        <f aca="false">IF($F815&lt;&gt;"",$F815,"")</f>
        <v>Apprenant 803 ou 803'</v>
      </c>
      <c r="AL815" s="53" t="str">
        <f aca="false">IF(AND($AB815&lt;&gt;"",$AC815&lt;&gt;""),$AC815-$AB815,"")</f>
        <v/>
      </c>
      <c r="AM815" s="53" t="str">
        <f aca="false">IF(AND($AB815&lt;&gt;"",$AD815&lt;&gt;""),$AD815-$AB815,"")</f>
        <v/>
      </c>
      <c r="AN815" s="53" t="str">
        <f aca="false">IF(AND($AC815&lt;&gt;"",$AD815&lt;&gt;""),$AD815-$AC815,"")</f>
        <v/>
      </c>
      <c r="AO815" s="53" t="str">
        <f aca="false">IF($J815&lt;&gt;"",$J815,"")</f>
        <v/>
      </c>
      <c r="AQ815" s="52" t="str">
        <f aca="false">IF($A815&lt;&gt;"",$A815,"")</f>
        <v>Apprenant 803</v>
      </c>
      <c r="AR815" s="55" t="str">
        <f aca="false">IF(AND('Choix pédagogiques'!$C$4&lt;&gt;"?",'Choix pédagogiques'!$C$5&lt;&gt;"?",W815&lt;&gt;""),(W815-'Choix pédagogiques'!$C$4)/('Choix pédagogiques'!$C$5-'Choix pédagogiques'!$C$4),"")</f>
        <v/>
      </c>
      <c r="AS815" s="55" t="str">
        <f aca="false">IF(AND('Choix pédagogiques'!$C$4&lt;&gt;"?",'Choix pédagogiques'!$C$5&lt;&gt;"?",X815&lt;&gt;""),(X815-'Choix pédagogiques'!$C$4)/('Choix pédagogiques'!$C$5-'Choix pédagogiques'!$C$4),"")</f>
        <v/>
      </c>
      <c r="AT815" s="55" t="str">
        <f aca="false">IF(AND('Choix pédagogiques'!$C$4&lt;&gt;"?",'Choix pédagogiques'!$C$5&lt;&gt;"?",Y815&lt;&gt;""),(Y815-'Choix pédagogiques'!$C$4)/('Choix pédagogiques'!$C$5-'Choix pédagogiques'!$C$4),"")</f>
        <v/>
      </c>
      <c r="AU815" s="53" t="str">
        <f aca="false">IF($E815&lt;&gt;"",$E815,"")</f>
        <v/>
      </c>
      <c r="AV815" s="52" t="str">
        <f aca="false">IF($F815&lt;&gt;"",$F815,"")</f>
        <v>Apprenant 803 ou 803'</v>
      </c>
      <c r="AW815" s="55" t="str">
        <f aca="false">IF(AND('Choix pédagogiques'!$C$4&lt;&gt;"?",'Choix pédagogiques'!$C$5&lt;&gt;"?",AB815&lt;&gt;""),(AB815-'Choix pédagogiques'!$C$4)/('Choix pédagogiques'!$C$5-'Choix pédagogiques'!$C$4),"")</f>
        <v/>
      </c>
      <c r="AX815" s="55" t="str">
        <f aca="false">IF(AND('Choix pédagogiques'!$C$4&lt;&gt;"?",'Choix pédagogiques'!$C$5&lt;&gt;"?",AC815&lt;&gt;""),(AC815-'Choix pédagogiques'!$C$4)/('Choix pédagogiques'!$C$5-'Choix pédagogiques'!$C$4),"")</f>
        <v/>
      </c>
      <c r="AY815" s="55" t="str">
        <f aca="false">IF(AND('Choix pédagogiques'!$C$4&lt;&gt;"?",'Choix pédagogiques'!$C$5&lt;&gt;"?",AD815&lt;&gt;""),(AD815-'Choix pédagogiques'!$C$4)/('Choix pédagogiques'!$C$5-'Choix pédagogiques'!$C$4),"")</f>
        <v/>
      </c>
      <c r="AZ815" s="53" t="str">
        <f aca="false">IF($J815&lt;&gt;"",$J815,"")</f>
        <v/>
      </c>
      <c r="BA815" s="52" t="str">
        <f aca="false">IF($A815&lt;&gt;"",$A815,"")</f>
        <v>Apprenant 803</v>
      </c>
      <c r="BB815" s="55" t="str">
        <f aca="false">IF(AND($AR815&lt;&gt;"",$AS815&lt;&gt;""),$AS815-$AR815,"")</f>
        <v/>
      </c>
      <c r="BC815" s="55" t="str">
        <f aca="false">IF(AND($AR815&lt;&gt;"",$AT815&lt;&gt;""),$AT815-$AR815,"")</f>
        <v/>
      </c>
      <c r="BD815" s="55" t="str">
        <f aca="false">IF(AND($AS815&lt;&gt;"",$AT815&lt;&gt;""),$AT815-$AS815,"")</f>
        <v/>
      </c>
      <c r="BE815" s="53" t="str">
        <f aca="false">IF($E815&lt;&gt;"",$E815,"")</f>
        <v/>
      </c>
      <c r="BF815" s="52" t="str">
        <f aca="false">IF($F815&lt;&gt;"",$F815,"")</f>
        <v>Apprenant 803 ou 803'</v>
      </c>
      <c r="BG815" s="55" t="str">
        <f aca="false">IF(AND($AW815&lt;&gt;"",$AX815&lt;&gt;""),$AX815-$AW815,"")</f>
        <v/>
      </c>
      <c r="BH815" s="55" t="str">
        <f aca="false">IF(AND($AW815&lt;&gt;"",$AY815&lt;&gt;""),$AY815-$AW815,"")</f>
        <v/>
      </c>
      <c r="BI815" s="55" t="str">
        <f aca="false">IF(AND($AX815&lt;&gt;"",$AY815&lt;&gt;""),$AY815-$AX815,"")</f>
        <v/>
      </c>
      <c r="BJ815" s="53" t="str">
        <f aca="false">IF($J815&lt;&gt;"",$J815,"")</f>
        <v/>
      </c>
      <c r="BL815" s="52"/>
      <c r="BM815" s="52" t="str">
        <f aca="false">IF(OR(COUNT(B815:D1814)=0,AND('Choix pédagogiques'!$C$3&lt;&gt;1,'Choix pédagogiques'!$C$3&lt;&gt;2)),"",IF(AND(OR('Choix pédagogiques'!$C$3=1,'Choix pédagogiques'!$C$3=2),$B815&lt;&gt;"",$C815&lt;&gt;"",$D815&lt;&gt;""),1,0))</f>
        <v/>
      </c>
      <c r="BN815" s="52" t="str">
        <f aca="false">IF(OR(COUNT(G815:I1814)=0,AND('Choix pédagogiques'!$C$3&lt;&gt;1,'Choix pédagogiques'!$C$3&lt;&gt;2)),"",IF(AND(OR('Choix pédagogiques'!$C$3=1,'Choix pédagogiques'!$C$3=2),AND($G815&lt;&gt;"",$H815&lt;&gt;"",$I815&lt;&gt;"")),1,0))</f>
        <v/>
      </c>
      <c r="BO815" s="52" t="str">
        <f aca="false">IF(OR(COUNT(B815:D1814)=0,COUNT(G815:I1814)=0,'Choix pédagogiques'!C$3&lt;&gt;3),"",IF(AND('Choix pédagogiques'!$C$3=3,$B815&lt;&gt;"",$C815&lt;&gt;"",$D815&lt;&gt;"",$G815&lt;&gt;"",$H815&lt;&gt;"",$I815&lt;&gt;""),1,0))</f>
        <v/>
      </c>
      <c r="BR815" s="52" t="n">
        <v>266</v>
      </c>
      <c r="BS815" s="52" t="n">
        <v>2000</v>
      </c>
    </row>
    <row r="816" s="54" customFormat="true" ht="18" hidden="false" customHeight="true" outlineLevel="0" collapsed="false">
      <c r="A816" s="57" t="s">
        <v>1563</v>
      </c>
      <c r="B816" s="51"/>
      <c r="C816" s="51"/>
      <c r="D816" s="51"/>
      <c r="E816" s="51"/>
      <c r="F816" s="57" t="s">
        <v>1564</v>
      </c>
      <c r="G816" s="51"/>
      <c r="H816" s="51"/>
      <c r="I816" s="51"/>
      <c r="J816" s="51"/>
      <c r="K816" s="52" t="str">
        <f aca="false">IF($A816&lt;&gt;"",$A816,"")</f>
        <v>Apprenant 804</v>
      </c>
      <c r="L816" s="53" t="str">
        <f aca="false">IF(AND($B816&lt;&gt;"",$C816&lt;&gt;""),$C816-$B816,"")</f>
        <v/>
      </c>
      <c r="M816" s="53" t="str">
        <f aca="false">IF(AND($B816&lt;&gt;"",$D816&lt;&gt;""),$D816-$B816,"")</f>
        <v/>
      </c>
      <c r="N816" s="53" t="str">
        <f aca="false">IF(AND($C816&lt;&gt;"",$D816&lt;&gt;""),$D816-$C816,"")</f>
        <v/>
      </c>
      <c r="O816" s="53" t="str">
        <f aca="false">IF($E816&lt;&gt;"",$E816,"")</f>
        <v/>
      </c>
      <c r="P816" s="52" t="str">
        <f aca="false">IF($F816&lt;&gt;"",$F816,"")</f>
        <v>Apprenant 804 ou 804'</v>
      </c>
      <c r="Q816" s="53" t="str">
        <f aca="false">IF(AND($G816&lt;&gt;"",$H816&lt;&gt;""),$H816-$G816,"")</f>
        <v/>
      </c>
      <c r="R816" s="53" t="str">
        <f aca="false">IF(AND($G816&lt;&gt;"",$I816&lt;&gt;""),$I816-$G816,"")</f>
        <v/>
      </c>
      <c r="S816" s="53" t="str">
        <f aca="false">IF(AND($H816&lt;&gt;"",$I816&lt;&gt;""),$I816-$H816,"")</f>
        <v/>
      </c>
      <c r="T816" s="53" t="str">
        <f aca="false">IF($J816&lt;&gt;"",$J816,"")</f>
        <v/>
      </c>
      <c r="V816" s="52" t="str">
        <f aca="false">IF($A816&lt;&gt;"",$A816,"")</f>
        <v>Apprenant 804</v>
      </c>
      <c r="W816" s="53" t="str">
        <f aca="false">IF(AND(OR('Choix pédagogiques'!$C$3=1,'Choix pédagogiques'!$C$3=2),$BM816=1),B816,IF(AND('Choix pédagogiques'!$C$3=3,$BO816=1),B816,""))</f>
        <v/>
      </c>
      <c r="X816" s="53" t="str">
        <f aca="false">IF(AND(OR('Choix pédagogiques'!$C$3=1,'Choix pédagogiques'!$C$3=2),$BM816=1),C816,IF(AND('Choix pédagogiques'!$C$3=3,$BO816=1),C816,""))</f>
        <v/>
      </c>
      <c r="Y816" s="53" t="str">
        <f aca="false">IF(AND(OR('Choix pédagogiques'!$C$3=1,'Choix pédagogiques'!$C$3=2),$BM816=1),D816,IF(AND('Choix pédagogiques'!$C$3=3,$BO816=1),D816,""))</f>
        <v/>
      </c>
      <c r="Z816" s="53" t="str">
        <f aca="false">IF($E816&lt;&gt;"",$E816,"")</f>
        <v/>
      </c>
      <c r="AA816" s="52" t="str">
        <f aca="false">IF($F816&lt;&gt;"",$F816,"")</f>
        <v>Apprenant 804 ou 804'</v>
      </c>
      <c r="AB816" s="53" t="str">
        <f aca="false">IF(AND(OR('Choix pédagogiques'!$C$3=1,'Choix pédagogiques'!$C$3=2),$BN816=1),G816,IF(AND('Choix pédagogiques'!$C$3=3,$BO816=1),G816,""))</f>
        <v/>
      </c>
      <c r="AC816" s="53" t="str">
        <f aca="false">IF(AND(OR('Choix pédagogiques'!$C$3=1,'Choix pédagogiques'!$C$3=2),$BN816=1),H816,IF(AND('Choix pédagogiques'!$C$3=3,$BO816=1),H816,""))</f>
        <v/>
      </c>
      <c r="AD816" s="53" t="str">
        <f aca="false">IF(AND(OR('Choix pédagogiques'!$C$3=1,'Choix pédagogiques'!$C$3=2),$BN816=1),I816,IF(AND('Choix pédagogiques'!$C$3=3,$BO816=1),I816,""))</f>
        <v/>
      </c>
      <c r="AE816" s="53" t="str">
        <f aca="false">IF($J816&lt;&gt;"",$J816,"")</f>
        <v/>
      </c>
      <c r="AF816" s="52" t="str">
        <f aca="false">IF($A816&lt;&gt;"",$A816,"")</f>
        <v>Apprenant 804</v>
      </c>
      <c r="AG816" s="53" t="str">
        <f aca="false">IF(AND($W816&lt;&gt;"",$X816&lt;&gt;""),$X816-$W816,"")</f>
        <v/>
      </c>
      <c r="AH816" s="53" t="str">
        <f aca="false">IF(AND($W816&lt;&gt;"",$Y816&lt;&gt;""),$Y816-$W816,"")</f>
        <v/>
      </c>
      <c r="AI816" s="53" t="str">
        <f aca="false">IF(AND($X816&lt;&gt;"",$Y816&lt;&gt;""),$Y816-$X816,"")</f>
        <v/>
      </c>
      <c r="AJ816" s="53" t="str">
        <f aca="false">IF($E816&lt;&gt;"",$E816,"")</f>
        <v/>
      </c>
      <c r="AK816" s="52" t="str">
        <f aca="false">IF($F816&lt;&gt;"",$F816,"")</f>
        <v>Apprenant 804 ou 804'</v>
      </c>
      <c r="AL816" s="53" t="str">
        <f aca="false">IF(AND($AB816&lt;&gt;"",$AC816&lt;&gt;""),$AC816-$AB816,"")</f>
        <v/>
      </c>
      <c r="AM816" s="53" t="str">
        <f aca="false">IF(AND($AB816&lt;&gt;"",$AD816&lt;&gt;""),$AD816-$AB816,"")</f>
        <v/>
      </c>
      <c r="AN816" s="53" t="str">
        <f aca="false">IF(AND($AC816&lt;&gt;"",$AD816&lt;&gt;""),$AD816-$AC816,"")</f>
        <v/>
      </c>
      <c r="AO816" s="53" t="str">
        <f aca="false">IF($J816&lt;&gt;"",$J816,"")</f>
        <v/>
      </c>
      <c r="AQ816" s="52" t="str">
        <f aca="false">IF($A816&lt;&gt;"",$A816,"")</f>
        <v>Apprenant 804</v>
      </c>
      <c r="AR816" s="55" t="str">
        <f aca="false">IF(AND('Choix pédagogiques'!$C$4&lt;&gt;"?",'Choix pédagogiques'!$C$5&lt;&gt;"?",W816&lt;&gt;""),(W816-'Choix pédagogiques'!$C$4)/('Choix pédagogiques'!$C$5-'Choix pédagogiques'!$C$4),"")</f>
        <v/>
      </c>
      <c r="AS816" s="55" t="str">
        <f aca="false">IF(AND('Choix pédagogiques'!$C$4&lt;&gt;"?",'Choix pédagogiques'!$C$5&lt;&gt;"?",X816&lt;&gt;""),(X816-'Choix pédagogiques'!$C$4)/('Choix pédagogiques'!$C$5-'Choix pédagogiques'!$C$4),"")</f>
        <v/>
      </c>
      <c r="AT816" s="55" t="str">
        <f aca="false">IF(AND('Choix pédagogiques'!$C$4&lt;&gt;"?",'Choix pédagogiques'!$C$5&lt;&gt;"?",Y816&lt;&gt;""),(Y816-'Choix pédagogiques'!$C$4)/('Choix pédagogiques'!$C$5-'Choix pédagogiques'!$C$4),"")</f>
        <v/>
      </c>
      <c r="AU816" s="53" t="str">
        <f aca="false">IF($E816&lt;&gt;"",$E816,"")</f>
        <v/>
      </c>
      <c r="AV816" s="52" t="str">
        <f aca="false">IF($F816&lt;&gt;"",$F816,"")</f>
        <v>Apprenant 804 ou 804'</v>
      </c>
      <c r="AW816" s="55" t="str">
        <f aca="false">IF(AND('Choix pédagogiques'!$C$4&lt;&gt;"?",'Choix pédagogiques'!$C$5&lt;&gt;"?",AB816&lt;&gt;""),(AB816-'Choix pédagogiques'!$C$4)/('Choix pédagogiques'!$C$5-'Choix pédagogiques'!$C$4),"")</f>
        <v/>
      </c>
      <c r="AX816" s="55" t="str">
        <f aca="false">IF(AND('Choix pédagogiques'!$C$4&lt;&gt;"?",'Choix pédagogiques'!$C$5&lt;&gt;"?",AC816&lt;&gt;""),(AC816-'Choix pédagogiques'!$C$4)/('Choix pédagogiques'!$C$5-'Choix pédagogiques'!$C$4),"")</f>
        <v/>
      </c>
      <c r="AY816" s="55" t="str">
        <f aca="false">IF(AND('Choix pédagogiques'!$C$4&lt;&gt;"?",'Choix pédagogiques'!$C$5&lt;&gt;"?",AD816&lt;&gt;""),(AD816-'Choix pédagogiques'!$C$4)/('Choix pédagogiques'!$C$5-'Choix pédagogiques'!$C$4),"")</f>
        <v/>
      </c>
      <c r="AZ816" s="53" t="str">
        <f aca="false">IF($J816&lt;&gt;"",$J816,"")</f>
        <v/>
      </c>
      <c r="BA816" s="52" t="str">
        <f aca="false">IF($A816&lt;&gt;"",$A816,"")</f>
        <v>Apprenant 804</v>
      </c>
      <c r="BB816" s="55" t="str">
        <f aca="false">IF(AND($AR816&lt;&gt;"",$AS816&lt;&gt;""),$AS816-$AR816,"")</f>
        <v/>
      </c>
      <c r="BC816" s="55" t="str">
        <f aca="false">IF(AND($AR816&lt;&gt;"",$AT816&lt;&gt;""),$AT816-$AR816,"")</f>
        <v/>
      </c>
      <c r="BD816" s="55" t="str">
        <f aca="false">IF(AND($AS816&lt;&gt;"",$AT816&lt;&gt;""),$AT816-$AS816,"")</f>
        <v/>
      </c>
      <c r="BE816" s="53" t="str">
        <f aca="false">IF($E816&lt;&gt;"",$E816,"")</f>
        <v/>
      </c>
      <c r="BF816" s="52" t="str">
        <f aca="false">IF($F816&lt;&gt;"",$F816,"")</f>
        <v>Apprenant 804 ou 804'</v>
      </c>
      <c r="BG816" s="55" t="str">
        <f aca="false">IF(AND($AW816&lt;&gt;"",$AX816&lt;&gt;""),$AX816-$AW816,"")</f>
        <v/>
      </c>
      <c r="BH816" s="55" t="str">
        <f aca="false">IF(AND($AW816&lt;&gt;"",$AY816&lt;&gt;""),$AY816-$AW816,"")</f>
        <v/>
      </c>
      <c r="BI816" s="55" t="str">
        <f aca="false">IF(AND($AX816&lt;&gt;"",$AY816&lt;&gt;""),$AY816-$AX816,"")</f>
        <v/>
      </c>
      <c r="BJ816" s="53" t="str">
        <f aca="false">IF($J816&lt;&gt;"",$J816,"")</f>
        <v/>
      </c>
      <c r="BL816" s="52"/>
      <c r="BM816" s="52" t="str">
        <f aca="false">IF(OR(COUNT(B816:D1815)=0,AND('Choix pédagogiques'!$C$3&lt;&gt;1,'Choix pédagogiques'!$C$3&lt;&gt;2)),"",IF(AND(OR('Choix pédagogiques'!$C$3=1,'Choix pédagogiques'!$C$3=2),$B816&lt;&gt;"",$C816&lt;&gt;"",$D816&lt;&gt;""),1,0))</f>
        <v/>
      </c>
      <c r="BN816" s="52" t="str">
        <f aca="false">IF(OR(COUNT(G816:I1815)=0,AND('Choix pédagogiques'!$C$3&lt;&gt;1,'Choix pédagogiques'!$C$3&lt;&gt;2)),"",IF(AND(OR('Choix pédagogiques'!$C$3=1,'Choix pédagogiques'!$C$3=2),AND($G816&lt;&gt;"",$H816&lt;&gt;"",$I816&lt;&gt;"")),1,0))</f>
        <v/>
      </c>
      <c r="BO816" s="52" t="str">
        <f aca="false">IF(OR(COUNT(B816:D1815)=0,COUNT(G816:I1815)=0,'Choix pédagogiques'!C$3&lt;&gt;3),"",IF(AND('Choix pédagogiques'!$C$3=3,$B816&lt;&gt;"",$C816&lt;&gt;"",$D816&lt;&gt;"",$G816&lt;&gt;"",$H816&lt;&gt;"",$I816&lt;&gt;""),1,0))</f>
        <v/>
      </c>
      <c r="BR816" s="52" t="n">
        <v>263</v>
      </c>
      <c r="BS816" s="52" t="n">
        <v>1170</v>
      </c>
    </row>
    <row r="817" s="54" customFormat="true" ht="18" hidden="false" customHeight="true" outlineLevel="0" collapsed="false">
      <c r="A817" s="57" t="s">
        <v>1565</v>
      </c>
      <c r="B817" s="51"/>
      <c r="C817" s="51"/>
      <c r="D817" s="51"/>
      <c r="E817" s="51"/>
      <c r="F817" s="57" t="s">
        <v>1566</v>
      </c>
      <c r="G817" s="51"/>
      <c r="H817" s="51"/>
      <c r="I817" s="51"/>
      <c r="J817" s="51"/>
      <c r="K817" s="52" t="str">
        <f aca="false">IF($A817&lt;&gt;"",$A817,"")</f>
        <v>Apprenant 805</v>
      </c>
      <c r="L817" s="53" t="str">
        <f aca="false">IF(AND($B817&lt;&gt;"",$C817&lt;&gt;""),$C817-$B817,"")</f>
        <v/>
      </c>
      <c r="M817" s="53" t="str">
        <f aca="false">IF(AND($B817&lt;&gt;"",$D817&lt;&gt;""),$D817-$B817,"")</f>
        <v/>
      </c>
      <c r="N817" s="53" t="str">
        <f aca="false">IF(AND($C817&lt;&gt;"",$D817&lt;&gt;""),$D817-$C817,"")</f>
        <v/>
      </c>
      <c r="O817" s="53" t="str">
        <f aca="false">IF($E817&lt;&gt;"",$E817,"")</f>
        <v/>
      </c>
      <c r="P817" s="52" t="str">
        <f aca="false">IF($F817&lt;&gt;"",$F817,"")</f>
        <v>Apprenant 805 ou 805'</v>
      </c>
      <c r="Q817" s="53" t="str">
        <f aca="false">IF(AND($G817&lt;&gt;"",$H817&lt;&gt;""),$H817-$G817,"")</f>
        <v/>
      </c>
      <c r="R817" s="53" t="str">
        <f aca="false">IF(AND($G817&lt;&gt;"",$I817&lt;&gt;""),$I817-$G817,"")</f>
        <v/>
      </c>
      <c r="S817" s="53" t="str">
        <f aca="false">IF(AND($H817&lt;&gt;"",$I817&lt;&gt;""),$I817-$H817,"")</f>
        <v/>
      </c>
      <c r="T817" s="53" t="str">
        <f aca="false">IF($J817&lt;&gt;"",$J817,"")</f>
        <v/>
      </c>
      <c r="V817" s="52" t="str">
        <f aca="false">IF($A817&lt;&gt;"",$A817,"")</f>
        <v>Apprenant 805</v>
      </c>
      <c r="W817" s="53" t="str">
        <f aca="false">IF(AND(OR('Choix pédagogiques'!$C$3=1,'Choix pédagogiques'!$C$3=2),$BM817=1),B817,IF(AND('Choix pédagogiques'!$C$3=3,$BO817=1),B817,""))</f>
        <v/>
      </c>
      <c r="X817" s="53" t="str">
        <f aca="false">IF(AND(OR('Choix pédagogiques'!$C$3=1,'Choix pédagogiques'!$C$3=2),$BM817=1),C817,IF(AND('Choix pédagogiques'!$C$3=3,$BO817=1),C817,""))</f>
        <v/>
      </c>
      <c r="Y817" s="53" t="str">
        <f aca="false">IF(AND(OR('Choix pédagogiques'!$C$3=1,'Choix pédagogiques'!$C$3=2),$BM817=1),D817,IF(AND('Choix pédagogiques'!$C$3=3,$BO817=1),D817,""))</f>
        <v/>
      </c>
      <c r="Z817" s="53" t="str">
        <f aca="false">IF($E817&lt;&gt;"",$E817,"")</f>
        <v/>
      </c>
      <c r="AA817" s="52" t="str">
        <f aca="false">IF($F817&lt;&gt;"",$F817,"")</f>
        <v>Apprenant 805 ou 805'</v>
      </c>
      <c r="AB817" s="53" t="str">
        <f aca="false">IF(AND(OR('Choix pédagogiques'!$C$3=1,'Choix pédagogiques'!$C$3=2),$BN817=1),G817,IF(AND('Choix pédagogiques'!$C$3=3,$BO817=1),G817,""))</f>
        <v/>
      </c>
      <c r="AC817" s="53" t="str">
        <f aca="false">IF(AND(OR('Choix pédagogiques'!$C$3=1,'Choix pédagogiques'!$C$3=2),$BN817=1),H817,IF(AND('Choix pédagogiques'!$C$3=3,$BO817=1),H817,""))</f>
        <v/>
      </c>
      <c r="AD817" s="53" t="str">
        <f aca="false">IF(AND(OR('Choix pédagogiques'!$C$3=1,'Choix pédagogiques'!$C$3=2),$BN817=1),I817,IF(AND('Choix pédagogiques'!$C$3=3,$BO817=1),I817,""))</f>
        <v/>
      </c>
      <c r="AE817" s="53" t="str">
        <f aca="false">IF($J817&lt;&gt;"",$J817,"")</f>
        <v/>
      </c>
      <c r="AF817" s="52" t="str">
        <f aca="false">IF($A817&lt;&gt;"",$A817,"")</f>
        <v>Apprenant 805</v>
      </c>
      <c r="AG817" s="53" t="str">
        <f aca="false">IF(AND($W817&lt;&gt;"",$X817&lt;&gt;""),$X817-$W817,"")</f>
        <v/>
      </c>
      <c r="AH817" s="53" t="str">
        <f aca="false">IF(AND($W817&lt;&gt;"",$Y817&lt;&gt;""),$Y817-$W817,"")</f>
        <v/>
      </c>
      <c r="AI817" s="53" t="str">
        <f aca="false">IF(AND($X817&lt;&gt;"",$Y817&lt;&gt;""),$Y817-$X817,"")</f>
        <v/>
      </c>
      <c r="AJ817" s="53" t="str">
        <f aca="false">IF($E817&lt;&gt;"",$E817,"")</f>
        <v/>
      </c>
      <c r="AK817" s="52" t="str">
        <f aca="false">IF($F817&lt;&gt;"",$F817,"")</f>
        <v>Apprenant 805 ou 805'</v>
      </c>
      <c r="AL817" s="53" t="str">
        <f aca="false">IF(AND($AB817&lt;&gt;"",$AC817&lt;&gt;""),$AC817-$AB817,"")</f>
        <v/>
      </c>
      <c r="AM817" s="53" t="str">
        <f aca="false">IF(AND($AB817&lt;&gt;"",$AD817&lt;&gt;""),$AD817-$AB817,"")</f>
        <v/>
      </c>
      <c r="AN817" s="53" t="str">
        <f aca="false">IF(AND($AC817&lt;&gt;"",$AD817&lt;&gt;""),$AD817-$AC817,"")</f>
        <v/>
      </c>
      <c r="AO817" s="53" t="str">
        <f aca="false">IF($J817&lt;&gt;"",$J817,"")</f>
        <v/>
      </c>
      <c r="AQ817" s="52" t="str">
        <f aca="false">IF($A817&lt;&gt;"",$A817,"")</f>
        <v>Apprenant 805</v>
      </c>
      <c r="AR817" s="55" t="str">
        <f aca="false">IF(AND('Choix pédagogiques'!$C$4&lt;&gt;"?",'Choix pédagogiques'!$C$5&lt;&gt;"?",W817&lt;&gt;""),(W817-'Choix pédagogiques'!$C$4)/('Choix pédagogiques'!$C$5-'Choix pédagogiques'!$C$4),"")</f>
        <v/>
      </c>
      <c r="AS817" s="55" t="str">
        <f aca="false">IF(AND('Choix pédagogiques'!$C$4&lt;&gt;"?",'Choix pédagogiques'!$C$5&lt;&gt;"?",X817&lt;&gt;""),(X817-'Choix pédagogiques'!$C$4)/('Choix pédagogiques'!$C$5-'Choix pédagogiques'!$C$4),"")</f>
        <v/>
      </c>
      <c r="AT817" s="55" t="str">
        <f aca="false">IF(AND('Choix pédagogiques'!$C$4&lt;&gt;"?",'Choix pédagogiques'!$C$5&lt;&gt;"?",Y817&lt;&gt;""),(Y817-'Choix pédagogiques'!$C$4)/('Choix pédagogiques'!$C$5-'Choix pédagogiques'!$C$4),"")</f>
        <v/>
      </c>
      <c r="AU817" s="53" t="str">
        <f aca="false">IF($E817&lt;&gt;"",$E817,"")</f>
        <v/>
      </c>
      <c r="AV817" s="52" t="str">
        <f aca="false">IF($F817&lt;&gt;"",$F817,"")</f>
        <v>Apprenant 805 ou 805'</v>
      </c>
      <c r="AW817" s="55" t="str">
        <f aca="false">IF(AND('Choix pédagogiques'!$C$4&lt;&gt;"?",'Choix pédagogiques'!$C$5&lt;&gt;"?",AB817&lt;&gt;""),(AB817-'Choix pédagogiques'!$C$4)/('Choix pédagogiques'!$C$5-'Choix pédagogiques'!$C$4),"")</f>
        <v/>
      </c>
      <c r="AX817" s="55" t="str">
        <f aca="false">IF(AND('Choix pédagogiques'!$C$4&lt;&gt;"?",'Choix pédagogiques'!$C$5&lt;&gt;"?",AC817&lt;&gt;""),(AC817-'Choix pédagogiques'!$C$4)/('Choix pédagogiques'!$C$5-'Choix pédagogiques'!$C$4),"")</f>
        <v/>
      </c>
      <c r="AY817" s="55" t="str">
        <f aca="false">IF(AND('Choix pédagogiques'!$C$4&lt;&gt;"?",'Choix pédagogiques'!$C$5&lt;&gt;"?",AD817&lt;&gt;""),(AD817-'Choix pédagogiques'!$C$4)/('Choix pédagogiques'!$C$5-'Choix pédagogiques'!$C$4),"")</f>
        <v/>
      </c>
      <c r="AZ817" s="53" t="str">
        <f aca="false">IF($J817&lt;&gt;"",$J817,"")</f>
        <v/>
      </c>
      <c r="BA817" s="52" t="str">
        <f aca="false">IF($A817&lt;&gt;"",$A817,"")</f>
        <v>Apprenant 805</v>
      </c>
      <c r="BB817" s="55" t="str">
        <f aca="false">IF(AND($AR817&lt;&gt;"",$AS817&lt;&gt;""),$AS817-$AR817,"")</f>
        <v/>
      </c>
      <c r="BC817" s="55" t="str">
        <f aca="false">IF(AND($AR817&lt;&gt;"",$AT817&lt;&gt;""),$AT817-$AR817,"")</f>
        <v/>
      </c>
      <c r="BD817" s="55" t="str">
        <f aca="false">IF(AND($AS817&lt;&gt;"",$AT817&lt;&gt;""),$AT817-$AS817,"")</f>
        <v/>
      </c>
      <c r="BE817" s="53" t="str">
        <f aca="false">IF($E817&lt;&gt;"",$E817,"")</f>
        <v/>
      </c>
      <c r="BF817" s="52" t="str">
        <f aca="false">IF($F817&lt;&gt;"",$F817,"")</f>
        <v>Apprenant 805 ou 805'</v>
      </c>
      <c r="BG817" s="55" t="str">
        <f aca="false">IF(AND($AW817&lt;&gt;"",$AX817&lt;&gt;""),$AX817-$AW817,"")</f>
        <v/>
      </c>
      <c r="BH817" s="55" t="str">
        <f aca="false">IF(AND($AW817&lt;&gt;"",$AY817&lt;&gt;""),$AY817-$AW817,"")</f>
        <v/>
      </c>
      <c r="BI817" s="55" t="str">
        <f aca="false">IF(AND($AX817&lt;&gt;"",$AY817&lt;&gt;""),$AY817-$AX817,"")</f>
        <v/>
      </c>
      <c r="BJ817" s="53" t="str">
        <f aca="false">IF($J817&lt;&gt;"",$J817,"")</f>
        <v/>
      </c>
      <c r="BL817" s="52"/>
      <c r="BM817" s="52" t="str">
        <f aca="false">IF(OR(COUNT(B817:D1816)=0,AND('Choix pédagogiques'!$C$3&lt;&gt;1,'Choix pédagogiques'!$C$3&lt;&gt;2)),"",IF(AND(OR('Choix pédagogiques'!$C$3=1,'Choix pédagogiques'!$C$3=2),$B817&lt;&gt;"",$C817&lt;&gt;"",$D817&lt;&gt;""),1,0))</f>
        <v/>
      </c>
      <c r="BN817" s="52" t="str">
        <f aca="false">IF(OR(COUNT(G817:I1816)=0,AND('Choix pédagogiques'!$C$3&lt;&gt;1,'Choix pédagogiques'!$C$3&lt;&gt;2)),"",IF(AND(OR('Choix pédagogiques'!$C$3=1,'Choix pédagogiques'!$C$3=2),AND($G817&lt;&gt;"",$H817&lt;&gt;"",$I817&lt;&gt;"")),1,0))</f>
        <v/>
      </c>
      <c r="BO817" s="52" t="str">
        <f aca="false">IF(OR(COUNT(B817:D1816)=0,COUNT(G817:I1816)=0,'Choix pédagogiques'!C$3&lt;&gt;3),"",IF(AND('Choix pédagogiques'!$C$3=3,$B817&lt;&gt;"",$C817&lt;&gt;"",$D817&lt;&gt;"",$G817&lt;&gt;"",$H817&lt;&gt;"",$I817&lt;&gt;""),1,0))</f>
        <v/>
      </c>
      <c r="BR817" s="52" t="n">
        <v>190</v>
      </c>
      <c r="BS817" s="52" t="n">
        <v>1663</v>
      </c>
    </row>
    <row r="818" s="54" customFormat="true" ht="18" hidden="false" customHeight="true" outlineLevel="0" collapsed="false">
      <c r="A818" s="57" t="s">
        <v>1567</v>
      </c>
      <c r="B818" s="51"/>
      <c r="C818" s="51"/>
      <c r="D818" s="51"/>
      <c r="E818" s="51"/>
      <c r="F818" s="57" t="s">
        <v>1568</v>
      </c>
      <c r="G818" s="51"/>
      <c r="H818" s="51"/>
      <c r="I818" s="51"/>
      <c r="J818" s="51"/>
      <c r="K818" s="52" t="str">
        <f aca="false">IF($A818&lt;&gt;"",$A818,"")</f>
        <v>Apprenant 806</v>
      </c>
      <c r="L818" s="53" t="str">
        <f aca="false">IF(AND($B818&lt;&gt;"",$C818&lt;&gt;""),$C818-$B818,"")</f>
        <v/>
      </c>
      <c r="M818" s="53" t="str">
        <f aca="false">IF(AND($B818&lt;&gt;"",$D818&lt;&gt;""),$D818-$B818,"")</f>
        <v/>
      </c>
      <c r="N818" s="53" t="str">
        <f aca="false">IF(AND($C818&lt;&gt;"",$D818&lt;&gt;""),$D818-$C818,"")</f>
        <v/>
      </c>
      <c r="O818" s="53" t="str">
        <f aca="false">IF($E818&lt;&gt;"",$E818,"")</f>
        <v/>
      </c>
      <c r="P818" s="52" t="str">
        <f aca="false">IF($F818&lt;&gt;"",$F818,"")</f>
        <v>Apprenant 806 ou 806'</v>
      </c>
      <c r="Q818" s="53" t="str">
        <f aca="false">IF(AND($G818&lt;&gt;"",$H818&lt;&gt;""),$H818-$G818,"")</f>
        <v/>
      </c>
      <c r="R818" s="53" t="str">
        <f aca="false">IF(AND($G818&lt;&gt;"",$I818&lt;&gt;""),$I818-$G818,"")</f>
        <v/>
      </c>
      <c r="S818" s="53" t="str">
        <f aca="false">IF(AND($H818&lt;&gt;"",$I818&lt;&gt;""),$I818-$H818,"")</f>
        <v/>
      </c>
      <c r="T818" s="53" t="str">
        <f aca="false">IF($J818&lt;&gt;"",$J818,"")</f>
        <v/>
      </c>
      <c r="V818" s="52" t="str">
        <f aca="false">IF($A818&lt;&gt;"",$A818,"")</f>
        <v>Apprenant 806</v>
      </c>
      <c r="W818" s="53" t="str">
        <f aca="false">IF(AND(OR('Choix pédagogiques'!$C$3=1,'Choix pédagogiques'!$C$3=2),$BM818=1),B818,IF(AND('Choix pédagogiques'!$C$3=3,$BO818=1),B818,""))</f>
        <v/>
      </c>
      <c r="X818" s="53" t="str">
        <f aca="false">IF(AND(OR('Choix pédagogiques'!$C$3=1,'Choix pédagogiques'!$C$3=2),$BM818=1),C818,IF(AND('Choix pédagogiques'!$C$3=3,$BO818=1),C818,""))</f>
        <v/>
      </c>
      <c r="Y818" s="53" t="str">
        <f aca="false">IF(AND(OR('Choix pédagogiques'!$C$3=1,'Choix pédagogiques'!$C$3=2),$BM818=1),D818,IF(AND('Choix pédagogiques'!$C$3=3,$BO818=1),D818,""))</f>
        <v/>
      </c>
      <c r="Z818" s="53" t="str">
        <f aca="false">IF($E818&lt;&gt;"",$E818,"")</f>
        <v/>
      </c>
      <c r="AA818" s="52" t="str">
        <f aca="false">IF($F818&lt;&gt;"",$F818,"")</f>
        <v>Apprenant 806 ou 806'</v>
      </c>
      <c r="AB818" s="53" t="str">
        <f aca="false">IF(AND(OR('Choix pédagogiques'!$C$3=1,'Choix pédagogiques'!$C$3=2),$BN818=1),G818,IF(AND('Choix pédagogiques'!$C$3=3,$BO818=1),G818,""))</f>
        <v/>
      </c>
      <c r="AC818" s="53" t="str">
        <f aca="false">IF(AND(OR('Choix pédagogiques'!$C$3=1,'Choix pédagogiques'!$C$3=2),$BN818=1),H818,IF(AND('Choix pédagogiques'!$C$3=3,$BO818=1),H818,""))</f>
        <v/>
      </c>
      <c r="AD818" s="53" t="str">
        <f aca="false">IF(AND(OR('Choix pédagogiques'!$C$3=1,'Choix pédagogiques'!$C$3=2),$BN818=1),I818,IF(AND('Choix pédagogiques'!$C$3=3,$BO818=1),I818,""))</f>
        <v/>
      </c>
      <c r="AE818" s="53" t="str">
        <f aca="false">IF($J818&lt;&gt;"",$J818,"")</f>
        <v/>
      </c>
      <c r="AF818" s="52" t="str">
        <f aca="false">IF($A818&lt;&gt;"",$A818,"")</f>
        <v>Apprenant 806</v>
      </c>
      <c r="AG818" s="53" t="str">
        <f aca="false">IF(AND($W818&lt;&gt;"",$X818&lt;&gt;""),$X818-$W818,"")</f>
        <v/>
      </c>
      <c r="AH818" s="53" t="str">
        <f aca="false">IF(AND($W818&lt;&gt;"",$Y818&lt;&gt;""),$Y818-$W818,"")</f>
        <v/>
      </c>
      <c r="AI818" s="53" t="str">
        <f aca="false">IF(AND($X818&lt;&gt;"",$Y818&lt;&gt;""),$Y818-$X818,"")</f>
        <v/>
      </c>
      <c r="AJ818" s="53" t="str">
        <f aca="false">IF($E818&lt;&gt;"",$E818,"")</f>
        <v/>
      </c>
      <c r="AK818" s="52" t="str">
        <f aca="false">IF($F818&lt;&gt;"",$F818,"")</f>
        <v>Apprenant 806 ou 806'</v>
      </c>
      <c r="AL818" s="53" t="str">
        <f aca="false">IF(AND($AB818&lt;&gt;"",$AC818&lt;&gt;""),$AC818-$AB818,"")</f>
        <v/>
      </c>
      <c r="AM818" s="53" t="str">
        <f aca="false">IF(AND($AB818&lt;&gt;"",$AD818&lt;&gt;""),$AD818-$AB818,"")</f>
        <v/>
      </c>
      <c r="AN818" s="53" t="str">
        <f aca="false">IF(AND($AC818&lt;&gt;"",$AD818&lt;&gt;""),$AD818-$AC818,"")</f>
        <v/>
      </c>
      <c r="AO818" s="53" t="str">
        <f aca="false">IF($J818&lt;&gt;"",$J818,"")</f>
        <v/>
      </c>
      <c r="AQ818" s="52" t="str">
        <f aca="false">IF($A818&lt;&gt;"",$A818,"")</f>
        <v>Apprenant 806</v>
      </c>
      <c r="AR818" s="55" t="str">
        <f aca="false">IF(AND('Choix pédagogiques'!$C$4&lt;&gt;"?",'Choix pédagogiques'!$C$5&lt;&gt;"?",W818&lt;&gt;""),(W818-'Choix pédagogiques'!$C$4)/('Choix pédagogiques'!$C$5-'Choix pédagogiques'!$C$4),"")</f>
        <v/>
      </c>
      <c r="AS818" s="55" t="str">
        <f aca="false">IF(AND('Choix pédagogiques'!$C$4&lt;&gt;"?",'Choix pédagogiques'!$C$5&lt;&gt;"?",X818&lt;&gt;""),(X818-'Choix pédagogiques'!$C$4)/('Choix pédagogiques'!$C$5-'Choix pédagogiques'!$C$4),"")</f>
        <v/>
      </c>
      <c r="AT818" s="55" t="str">
        <f aca="false">IF(AND('Choix pédagogiques'!$C$4&lt;&gt;"?",'Choix pédagogiques'!$C$5&lt;&gt;"?",Y818&lt;&gt;""),(Y818-'Choix pédagogiques'!$C$4)/('Choix pédagogiques'!$C$5-'Choix pédagogiques'!$C$4),"")</f>
        <v/>
      </c>
      <c r="AU818" s="53" t="str">
        <f aca="false">IF($E818&lt;&gt;"",$E818,"")</f>
        <v/>
      </c>
      <c r="AV818" s="52" t="str">
        <f aca="false">IF($F818&lt;&gt;"",$F818,"")</f>
        <v>Apprenant 806 ou 806'</v>
      </c>
      <c r="AW818" s="55" t="str">
        <f aca="false">IF(AND('Choix pédagogiques'!$C$4&lt;&gt;"?",'Choix pédagogiques'!$C$5&lt;&gt;"?",AB818&lt;&gt;""),(AB818-'Choix pédagogiques'!$C$4)/('Choix pédagogiques'!$C$5-'Choix pédagogiques'!$C$4),"")</f>
        <v/>
      </c>
      <c r="AX818" s="55" t="str">
        <f aca="false">IF(AND('Choix pédagogiques'!$C$4&lt;&gt;"?",'Choix pédagogiques'!$C$5&lt;&gt;"?",AC818&lt;&gt;""),(AC818-'Choix pédagogiques'!$C$4)/('Choix pédagogiques'!$C$5-'Choix pédagogiques'!$C$4),"")</f>
        <v/>
      </c>
      <c r="AY818" s="55" t="str">
        <f aca="false">IF(AND('Choix pédagogiques'!$C$4&lt;&gt;"?",'Choix pédagogiques'!$C$5&lt;&gt;"?",AD818&lt;&gt;""),(AD818-'Choix pédagogiques'!$C$4)/('Choix pédagogiques'!$C$5-'Choix pédagogiques'!$C$4),"")</f>
        <v/>
      </c>
      <c r="AZ818" s="53" t="str">
        <f aca="false">IF($J818&lt;&gt;"",$J818,"")</f>
        <v/>
      </c>
      <c r="BA818" s="52" t="str">
        <f aca="false">IF($A818&lt;&gt;"",$A818,"")</f>
        <v>Apprenant 806</v>
      </c>
      <c r="BB818" s="55" t="str">
        <f aca="false">IF(AND($AR818&lt;&gt;"",$AS818&lt;&gt;""),$AS818-$AR818,"")</f>
        <v/>
      </c>
      <c r="BC818" s="55" t="str">
        <f aca="false">IF(AND($AR818&lt;&gt;"",$AT818&lt;&gt;""),$AT818-$AR818,"")</f>
        <v/>
      </c>
      <c r="BD818" s="55" t="str">
        <f aca="false">IF(AND($AS818&lt;&gt;"",$AT818&lt;&gt;""),$AT818-$AS818,"")</f>
        <v/>
      </c>
      <c r="BE818" s="53" t="str">
        <f aca="false">IF($E818&lt;&gt;"",$E818,"")</f>
        <v/>
      </c>
      <c r="BF818" s="52" t="str">
        <f aca="false">IF($F818&lt;&gt;"",$F818,"")</f>
        <v>Apprenant 806 ou 806'</v>
      </c>
      <c r="BG818" s="55" t="str">
        <f aca="false">IF(AND($AW818&lt;&gt;"",$AX818&lt;&gt;""),$AX818-$AW818,"")</f>
        <v/>
      </c>
      <c r="BH818" s="55" t="str">
        <f aca="false">IF(AND($AW818&lt;&gt;"",$AY818&lt;&gt;""),$AY818-$AW818,"")</f>
        <v/>
      </c>
      <c r="BI818" s="55" t="str">
        <f aca="false">IF(AND($AX818&lt;&gt;"",$AY818&lt;&gt;""),$AY818-$AX818,"")</f>
        <v/>
      </c>
      <c r="BJ818" s="53" t="str">
        <f aca="false">IF($J818&lt;&gt;"",$J818,"")</f>
        <v/>
      </c>
      <c r="BL818" s="52"/>
      <c r="BM818" s="52" t="str">
        <f aca="false">IF(OR(COUNT(B818:D1817)=0,AND('Choix pédagogiques'!$C$3&lt;&gt;1,'Choix pédagogiques'!$C$3&lt;&gt;2)),"",IF(AND(OR('Choix pédagogiques'!$C$3=1,'Choix pédagogiques'!$C$3=2),$B818&lt;&gt;"",$C818&lt;&gt;"",$D818&lt;&gt;""),1,0))</f>
        <v/>
      </c>
      <c r="BN818" s="52" t="str">
        <f aca="false">IF(OR(COUNT(G818:I1817)=0,AND('Choix pédagogiques'!$C$3&lt;&gt;1,'Choix pédagogiques'!$C$3&lt;&gt;2)),"",IF(AND(OR('Choix pédagogiques'!$C$3=1,'Choix pédagogiques'!$C$3=2),AND($G818&lt;&gt;"",$H818&lt;&gt;"",$I818&lt;&gt;"")),1,0))</f>
        <v/>
      </c>
      <c r="BO818" s="52" t="str">
        <f aca="false">IF(OR(COUNT(B818:D1817)=0,COUNT(G818:I1817)=0,'Choix pédagogiques'!C$3&lt;&gt;3),"",IF(AND('Choix pédagogiques'!$C$3=3,$B818&lt;&gt;"",$C818&lt;&gt;"",$D818&lt;&gt;"",$G818&lt;&gt;"",$H818&lt;&gt;"",$I818&lt;&gt;""),1,0))</f>
        <v/>
      </c>
      <c r="BR818" s="52" t="n">
        <v>900</v>
      </c>
      <c r="BS818" s="52" t="n">
        <v>1379</v>
      </c>
    </row>
    <row r="819" s="54" customFormat="true" ht="18" hidden="false" customHeight="true" outlineLevel="0" collapsed="false">
      <c r="A819" s="57" t="s">
        <v>1569</v>
      </c>
      <c r="B819" s="51"/>
      <c r="C819" s="51"/>
      <c r="D819" s="51"/>
      <c r="E819" s="51"/>
      <c r="F819" s="57" t="s">
        <v>1570</v>
      </c>
      <c r="G819" s="51"/>
      <c r="H819" s="51"/>
      <c r="I819" s="51"/>
      <c r="J819" s="51"/>
      <c r="K819" s="52" t="str">
        <f aca="false">IF($A819&lt;&gt;"",$A819,"")</f>
        <v>Apprenant 807</v>
      </c>
      <c r="L819" s="53" t="str">
        <f aca="false">IF(AND($B819&lt;&gt;"",$C819&lt;&gt;""),$C819-$B819,"")</f>
        <v/>
      </c>
      <c r="M819" s="53" t="str">
        <f aca="false">IF(AND($B819&lt;&gt;"",$D819&lt;&gt;""),$D819-$B819,"")</f>
        <v/>
      </c>
      <c r="N819" s="53" t="str">
        <f aca="false">IF(AND($C819&lt;&gt;"",$D819&lt;&gt;""),$D819-$C819,"")</f>
        <v/>
      </c>
      <c r="O819" s="53" t="str">
        <f aca="false">IF($E819&lt;&gt;"",$E819,"")</f>
        <v/>
      </c>
      <c r="P819" s="52" t="str">
        <f aca="false">IF($F819&lt;&gt;"",$F819,"")</f>
        <v>Apprenant 807 ou 807'</v>
      </c>
      <c r="Q819" s="53" t="str">
        <f aca="false">IF(AND($G819&lt;&gt;"",$H819&lt;&gt;""),$H819-$G819,"")</f>
        <v/>
      </c>
      <c r="R819" s="53" t="str">
        <f aca="false">IF(AND($G819&lt;&gt;"",$I819&lt;&gt;""),$I819-$G819,"")</f>
        <v/>
      </c>
      <c r="S819" s="53" t="str">
        <f aca="false">IF(AND($H819&lt;&gt;"",$I819&lt;&gt;""),$I819-$H819,"")</f>
        <v/>
      </c>
      <c r="T819" s="53" t="str">
        <f aca="false">IF($J819&lt;&gt;"",$J819,"")</f>
        <v/>
      </c>
      <c r="V819" s="52" t="str">
        <f aca="false">IF($A819&lt;&gt;"",$A819,"")</f>
        <v>Apprenant 807</v>
      </c>
      <c r="W819" s="53" t="str">
        <f aca="false">IF(AND(OR('Choix pédagogiques'!$C$3=1,'Choix pédagogiques'!$C$3=2),$BM819=1),B819,IF(AND('Choix pédagogiques'!$C$3=3,$BO819=1),B819,""))</f>
        <v/>
      </c>
      <c r="X819" s="53" t="str">
        <f aca="false">IF(AND(OR('Choix pédagogiques'!$C$3=1,'Choix pédagogiques'!$C$3=2),$BM819=1),C819,IF(AND('Choix pédagogiques'!$C$3=3,$BO819=1),C819,""))</f>
        <v/>
      </c>
      <c r="Y819" s="53" t="str">
        <f aca="false">IF(AND(OR('Choix pédagogiques'!$C$3=1,'Choix pédagogiques'!$C$3=2),$BM819=1),D819,IF(AND('Choix pédagogiques'!$C$3=3,$BO819=1),D819,""))</f>
        <v/>
      </c>
      <c r="Z819" s="53" t="str">
        <f aca="false">IF($E819&lt;&gt;"",$E819,"")</f>
        <v/>
      </c>
      <c r="AA819" s="52" t="str">
        <f aca="false">IF($F819&lt;&gt;"",$F819,"")</f>
        <v>Apprenant 807 ou 807'</v>
      </c>
      <c r="AB819" s="53" t="str">
        <f aca="false">IF(AND(OR('Choix pédagogiques'!$C$3=1,'Choix pédagogiques'!$C$3=2),$BN819=1),G819,IF(AND('Choix pédagogiques'!$C$3=3,$BO819=1),G819,""))</f>
        <v/>
      </c>
      <c r="AC819" s="53" t="str">
        <f aca="false">IF(AND(OR('Choix pédagogiques'!$C$3=1,'Choix pédagogiques'!$C$3=2),$BN819=1),H819,IF(AND('Choix pédagogiques'!$C$3=3,$BO819=1),H819,""))</f>
        <v/>
      </c>
      <c r="AD819" s="53" t="str">
        <f aca="false">IF(AND(OR('Choix pédagogiques'!$C$3=1,'Choix pédagogiques'!$C$3=2),$BN819=1),I819,IF(AND('Choix pédagogiques'!$C$3=3,$BO819=1),I819,""))</f>
        <v/>
      </c>
      <c r="AE819" s="53" t="str">
        <f aca="false">IF($J819&lt;&gt;"",$J819,"")</f>
        <v/>
      </c>
      <c r="AF819" s="52" t="str">
        <f aca="false">IF($A819&lt;&gt;"",$A819,"")</f>
        <v>Apprenant 807</v>
      </c>
      <c r="AG819" s="53" t="str">
        <f aca="false">IF(AND($W819&lt;&gt;"",$X819&lt;&gt;""),$X819-$W819,"")</f>
        <v/>
      </c>
      <c r="AH819" s="53" t="str">
        <f aca="false">IF(AND($W819&lt;&gt;"",$Y819&lt;&gt;""),$Y819-$W819,"")</f>
        <v/>
      </c>
      <c r="AI819" s="53" t="str">
        <f aca="false">IF(AND($X819&lt;&gt;"",$Y819&lt;&gt;""),$Y819-$X819,"")</f>
        <v/>
      </c>
      <c r="AJ819" s="53" t="str">
        <f aca="false">IF($E819&lt;&gt;"",$E819,"")</f>
        <v/>
      </c>
      <c r="AK819" s="52" t="str">
        <f aca="false">IF($F819&lt;&gt;"",$F819,"")</f>
        <v>Apprenant 807 ou 807'</v>
      </c>
      <c r="AL819" s="53" t="str">
        <f aca="false">IF(AND($AB819&lt;&gt;"",$AC819&lt;&gt;""),$AC819-$AB819,"")</f>
        <v/>
      </c>
      <c r="AM819" s="53" t="str">
        <f aca="false">IF(AND($AB819&lt;&gt;"",$AD819&lt;&gt;""),$AD819-$AB819,"")</f>
        <v/>
      </c>
      <c r="AN819" s="53" t="str">
        <f aca="false">IF(AND($AC819&lt;&gt;"",$AD819&lt;&gt;""),$AD819-$AC819,"")</f>
        <v/>
      </c>
      <c r="AO819" s="53" t="str">
        <f aca="false">IF($J819&lt;&gt;"",$J819,"")</f>
        <v/>
      </c>
      <c r="AQ819" s="52" t="str">
        <f aca="false">IF($A819&lt;&gt;"",$A819,"")</f>
        <v>Apprenant 807</v>
      </c>
      <c r="AR819" s="55" t="str">
        <f aca="false">IF(AND('Choix pédagogiques'!$C$4&lt;&gt;"?",'Choix pédagogiques'!$C$5&lt;&gt;"?",W819&lt;&gt;""),(W819-'Choix pédagogiques'!$C$4)/('Choix pédagogiques'!$C$5-'Choix pédagogiques'!$C$4),"")</f>
        <v/>
      </c>
      <c r="AS819" s="55" t="str">
        <f aca="false">IF(AND('Choix pédagogiques'!$C$4&lt;&gt;"?",'Choix pédagogiques'!$C$5&lt;&gt;"?",X819&lt;&gt;""),(X819-'Choix pédagogiques'!$C$4)/('Choix pédagogiques'!$C$5-'Choix pédagogiques'!$C$4),"")</f>
        <v/>
      </c>
      <c r="AT819" s="55" t="str">
        <f aca="false">IF(AND('Choix pédagogiques'!$C$4&lt;&gt;"?",'Choix pédagogiques'!$C$5&lt;&gt;"?",Y819&lt;&gt;""),(Y819-'Choix pédagogiques'!$C$4)/('Choix pédagogiques'!$C$5-'Choix pédagogiques'!$C$4),"")</f>
        <v/>
      </c>
      <c r="AU819" s="53" t="str">
        <f aca="false">IF($E819&lt;&gt;"",$E819,"")</f>
        <v/>
      </c>
      <c r="AV819" s="52" t="str">
        <f aca="false">IF($F819&lt;&gt;"",$F819,"")</f>
        <v>Apprenant 807 ou 807'</v>
      </c>
      <c r="AW819" s="55" t="str">
        <f aca="false">IF(AND('Choix pédagogiques'!$C$4&lt;&gt;"?",'Choix pédagogiques'!$C$5&lt;&gt;"?",AB819&lt;&gt;""),(AB819-'Choix pédagogiques'!$C$4)/('Choix pédagogiques'!$C$5-'Choix pédagogiques'!$C$4),"")</f>
        <v/>
      </c>
      <c r="AX819" s="55" t="str">
        <f aca="false">IF(AND('Choix pédagogiques'!$C$4&lt;&gt;"?",'Choix pédagogiques'!$C$5&lt;&gt;"?",AC819&lt;&gt;""),(AC819-'Choix pédagogiques'!$C$4)/('Choix pédagogiques'!$C$5-'Choix pédagogiques'!$C$4),"")</f>
        <v/>
      </c>
      <c r="AY819" s="55" t="str">
        <f aca="false">IF(AND('Choix pédagogiques'!$C$4&lt;&gt;"?",'Choix pédagogiques'!$C$5&lt;&gt;"?",AD819&lt;&gt;""),(AD819-'Choix pédagogiques'!$C$4)/('Choix pédagogiques'!$C$5-'Choix pédagogiques'!$C$4),"")</f>
        <v/>
      </c>
      <c r="AZ819" s="53" t="str">
        <f aca="false">IF($J819&lt;&gt;"",$J819,"")</f>
        <v/>
      </c>
      <c r="BA819" s="52" t="str">
        <f aca="false">IF($A819&lt;&gt;"",$A819,"")</f>
        <v>Apprenant 807</v>
      </c>
      <c r="BB819" s="55" t="str">
        <f aca="false">IF(AND($AR819&lt;&gt;"",$AS819&lt;&gt;""),$AS819-$AR819,"")</f>
        <v/>
      </c>
      <c r="BC819" s="55" t="str">
        <f aca="false">IF(AND($AR819&lt;&gt;"",$AT819&lt;&gt;""),$AT819-$AR819,"")</f>
        <v/>
      </c>
      <c r="BD819" s="55" t="str">
        <f aca="false">IF(AND($AS819&lt;&gt;"",$AT819&lt;&gt;""),$AT819-$AS819,"")</f>
        <v/>
      </c>
      <c r="BE819" s="53" t="str">
        <f aca="false">IF($E819&lt;&gt;"",$E819,"")</f>
        <v/>
      </c>
      <c r="BF819" s="52" t="str">
        <f aca="false">IF($F819&lt;&gt;"",$F819,"")</f>
        <v>Apprenant 807 ou 807'</v>
      </c>
      <c r="BG819" s="55" t="str">
        <f aca="false">IF(AND($AW819&lt;&gt;"",$AX819&lt;&gt;""),$AX819-$AW819,"")</f>
        <v/>
      </c>
      <c r="BH819" s="55" t="str">
        <f aca="false">IF(AND($AW819&lt;&gt;"",$AY819&lt;&gt;""),$AY819-$AW819,"")</f>
        <v/>
      </c>
      <c r="BI819" s="55" t="str">
        <f aca="false">IF(AND($AX819&lt;&gt;"",$AY819&lt;&gt;""),$AY819-$AX819,"")</f>
        <v/>
      </c>
      <c r="BJ819" s="53" t="str">
        <f aca="false">IF($J819&lt;&gt;"",$J819,"")</f>
        <v/>
      </c>
      <c r="BL819" s="52"/>
      <c r="BM819" s="52" t="str">
        <f aca="false">IF(OR(COUNT(B819:D1818)=0,AND('Choix pédagogiques'!$C$3&lt;&gt;1,'Choix pédagogiques'!$C$3&lt;&gt;2)),"",IF(AND(OR('Choix pédagogiques'!$C$3=1,'Choix pédagogiques'!$C$3=2),$B819&lt;&gt;"",$C819&lt;&gt;"",$D819&lt;&gt;""),1,0))</f>
        <v/>
      </c>
      <c r="BN819" s="52" t="str">
        <f aca="false">IF(OR(COUNT(G819:I1818)=0,AND('Choix pédagogiques'!$C$3&lt;&gt;1,'Choix pédagogiques'!$C$3&lt;&gt;2)),"",IF(AND(OR('Choix pédagogiques'!$C$3=1,'Choix pédagogiques'!$C$3=2),AND($G819&lt;&gt;"",$H819&lt;&gt;"",$I819&lt;&gt;"")),1,0))</f>
        <v/>
      </c>
      <c r="BO819" s="52" t="str">
        <f aca="false">IF(OR(COUNT(B819:D1818)=0,COUNT(G819:I1818)=0,'Choix pédagogiques'!C$3&lt;&gt;3),"",IF(AND('Choix pédagogiques'!$C$3=3,$B819&lt;&gt;"",$C819&lt;&gt;"",$D819&lt;&gt;"",$G819&lt;&gt;"",$H819&lt;&gt;"",$I819&lt;&gt;""),1,0))</f>
        <v/>
      </c>
      <c r="BR819" s="52" t="n">
        <v>769</v>
      </c>
      <c r="BS819" s="52" t="n">
        <v>1805</v>
      </c>
    </row>
    <row r="820" s="54" customFormat="true" ht="18" hidden="false" customHeight="true" outlineLevel="0" collapsed="false">
      <c r="A820" s="57" t="s">
        <v>1571</v>
      </c>
      <c r="B820" s="51"/>
      <c r="C820" s="51"/>
      <c r="D820" s="51"/>
      <c r="E820" s="51"/>
      <c r="F820" s="57" t="s">
        <v>1572</v>
      </c>
      <c r="G820" s="51"/>
      <c r="H820" s="51"/>
      <c r="I820" s="51"/>
      <c r="J820" s="51"/>
      <c r="K820" s="52" t="str">
        <f aca="false">IF($A820&lt;&gt;"",$A820,"")</f>
        <v>Apprenant 808</v>
      </c>
      <c r="L820" s="53" t="str">
        <f aca="false">IF(AND($B820&lt;&gt;"",$C820&lt;&gt;""),$C820-$B820,"")</f>
        <v/>
      </c>
      <c r="M820" s="53" t="str">
        <f aca="false">IF(AND($B820&lt;&gt;"",$D820&lt;&gt;""),$D820-$B820,"")</f>
        <v/>
      </c>
      <c r="N820" s="53" t="str">
        <f aca="false">IF(AND($C820&lt;&gt;"",$D820&lt;&gt;""),$D820-$C820,"")</f>
        <v/>
      </c>
      <c r="O820" s="53" t="str">
        <f aca="false">IF($E820&lt;&gt;"",$E820,"")</f>
        <v/>
      </c>
      <c r="P820" s="52" t="str">
        <f aca="false">IF($F820&lt;&gt;"",$F820,"")</f>
        <v>Apprenant 808 ou 808'</v>
      </c>
      <c r="Q820" s="53" t="str">
        <f aca="false">IF(AND($G820&lt;&gt;"",$H820&lt;&gt;""),$H820-$G820,"")</f>
        <v/>
      </c>
      <c r="R820" s="53" t="str">
        <f aca="false">IF(AND($G820&lt;&gt;"",$I820&lt;&gt;""),$I820-$G820,"")</f>
        <v/>
      </c>
      <c r="S820" s="53" t="str">
        <f aca="false">IF(AND($H820&lt;&gt;"",$I820&lt;&gt;""),$I820-$H820,"")</f>
        <v/>
      </c>
      <c r="T820" s="53" t="str">
        <f aca="false">IF($J820&lt;&gt;"",$J820,"")</f>
        <v/>
      </c>
      <c r="V820" s="52" t="str">
        <f aca="false">IF($A820&lt;&gt;"",$A820,"")</f>
        <v>Apprenant 808</v>
      </c>
      <c r="W820" s="53" t="str">
        <f aca="false">IF(AND(OR('Choix pédagogiques'!$C$3=1,'Choix pédagogiques'!$C$3=2),$BM820=1),B820,IF(AND('Choix pédagogiques'!$C$3=3,$BO820=1),B820,""))</f>
        <v/>
      </c>
      <c r="X820" s="53" t="str">
        <f aca="false">IF(AND(OR('Choix pédagogiques'!$C$3=1,'Choix pédagogiques'!$C$3=2),$BM820=1),C820,IF(AND('Choix pédagogiques'!$C$3=3,$BO820=1),C820,""))</f>
        <v/>
      </c>
      <c r="Y820" s="53" t="str">
        <f aca="false">IF(AND(OR('Choix pédagogiques'!$C$3=1,'Choix pédagogiques'!$C$3=2),$BM820=1),D820,IF(AND('Choix pédagogiques'!$C$3=3,$BO820=1),D820,""))</f>
        <v/>
      </c>
      <c r="Z820" s="53" t="str">
        <f aca="false">IF($E820&lt;&gt;"",$E820,"")</f>
        <v/>
      </c>
      <c r="AA820" s="52" t="str">
        <f aca="false">IF($F820&lt;&gt;"",$F820,"")</f>
        <v>Apprenant 808 ou 808'</v>
      </c>
      <c r="AB820" s="53" t="str">
        <f aca="false">IF(AND(OR('Choix pédagogiques'!$C$3=1,'Choix pédagogiques'!$C$3=2),$BN820=1),G820,IF(AND('Choix pédagogiques'!$C$3=3,$BO820=1),G820,""))</f>
        <v/>
      </c>
      <c r="AC820" s="53" t="str">
        <f aca="false">IF(AND(OR('Choix pédagogiques'!$C$3=1,'Choix pédagogiques'!$C$3=2),$BN820=1),H820,IF(AND('Choix pédagogiques'!$C$3=3,$BO820=1),H820,""))</f>
        <v/>
      </c>
      <c r="AD820" s="53" t="str">
        <f aca="false">IF(AND(OR('Choix pédagogiques'!$C$3=1,'Choix pédagogiques'!$C$3=2),$BN820=1),I820,IF(AND('Choix pédagogiques'!$C$3=3,$BO820=1),I820,""))</f>
        <v/>
      </c>
      <c r="AE820" s="53" t="str">
        <f aca="false">IF($J820&lt;&gt;"",$J820,"")</f>
        <v/>
      </c>
      <c r="AF820" s="52" t="str">
        <f aca="false">IF($A820&lt;&gt;"",$A820,"")</f>
        <v>Apprenant 808</v>
      </c>
      <c r="AG820" s="53" t="str">
        <f aca="false">IF(AND($W820&lt;&gt;"",$X820&lt;&gt;""),$X820-$W820,"")</f>
        <v/>
      </c>
      <c r="AH820" s="53" t="str">
        <f aca="false">IF(AND($W820&lt;&gt;"",$Y820&lt;&gt;""),$Y820-$W820,"")</f>
        <v/>
      </c>
      <c r="AI820" s="53" t="str">
        <f aca="false">IF(AND($X820&lt;&gt;"",$Y820&lt;&gt;""),$Y820-$X820,"")</f>
        <v/>
      </c>
      <c r="AJ820" s="53" t="str">
        <f aca="false">IF($E820&lt;&gt;"",$E820,"")</f>
        <v/>
      </c>
      <c r="AK820" s="52" t="str">
        <f aca="false">IF($F820&lt;&gt;"",$F820,"")</f>
        <v>Apprenant 808 ou 808'</v>
      </c>
      <c r="AL820" s="53" t="str">
        <f aca="false">IF(AND($AB820&lt;&gt;"",$AC820&lt;&gt;""),$AC820-$AB820,"")</f>
        <v/>
      </c>
      <c r="AM820" s="53" t="str">
        <f aca="false">IF(AND($AB820&lt;&gt;"",$AD820&lt;&gt;""),$AD820-$AB820,"")</f>
        <v/>
      </c>
      <c r="AN820" s="53" t="str">
        <f aca="false">IF(AND($AC820&lt;&gt;"",$AD820&lt;&gt;""),$AD820-$AC820,"")</f>
        <v/>
      </c>
      <c r="AO820" s="53" t="str">
        <f aca="false">IF($J820&lt;&gt;"",$J820,"")</f>
        <v/>
      </c>
      <c r="AQ820" s="52" t="str">
        <f aca="false">IF($A820&lt;&gt;"",$A820,"")</f>
        <v>Apprenant 808</v>
      </c>
      <c r="AR820" s="55" t="str">
        <f aca="false">IF(AND('Choix pédagogiques'!$C$4&lt;&gt;"?",'Choix pédagogiques'!$C$5&lt;&gt;"?",W820&lt;&gt;""),(W820-'Choix pédagogiques'!$C$4)/('Choix pédagogiques'!$C$5-'Choix pédagogiques'!$C$4),"")</f>
        <v/>
      </c>
      <c r="AS820" s="55" t="str">
        <f aca="false">IF(AND('Choix pédagogiques'!$C$4&lt;&gt;"?",'Choix pédagogiques'!$C$5&lt;&gt;"?",X820&lt;&gt;""),(X820-'Choix pédagogiques'!$C$4)/('Choix pédagogiques'!$C$5-'Choix pédagogiques'!$C$4),"")</f>
        <v/>
      </c>
      <c r="AT820" s="55" t="str">
        <f aca="false">IF(AND('Choix pédagogiques'!$C$4&lt;&gt;"?",'Choix pédagogiques'!$C$5&lt;&gt;"?",Y820&lt;&gt;""),(Y820-'Choix pédagogiques'!$C$4)/('Choix pédagogiques'!$C$5-'Choix pédagogiques'!$C$4),"")</f>
        <v/>
      </c>
      <c r="AU820" s="53" t="str">
        <f aca="false">IF($E820&lt;&gt;"",$E820,"")</f>
        <v/>
      </c>
      <c r="AV820" s="52" t="str">
        <f aca="false">IF($F820&lt;&gt;"",$F820,"")</f>
        <v>Apprenant 808 ou 808'</v>
      </c>
      <c r="AW820" s="55" t="str">
        <f aca="false">IF(AND('Choix pédagogiques'!$C$4&lt;&gt;"?",'Choix pédagogiques'!$C$5&lt;&gt;"?",AB820&lt;&gt;""),(AB820-'Choix pédagogiques'!$C$4)/('Choix pédagogiques'!$C$5-'Choix pédagogiques'!$C$4),"")</f>
        <v/>
      </c>
      <c r="AX820" s="55" t="str">
        <f aca="false">IF(AND('Choix pédagogiques'!$C$4&lt;&gt;"?",'Choix pédagogiques'!$C$5&lt;&gt;"?",AC820&lt;&gt;""),(AC820-'Choix pédagogiques'!$C$4)/('Choix pédagogiques'!$C$5-'Choix pédagogiques'!$C$4),"")</f>
        <v/>
      </c>
      <c r="AY820" s="55" t="str">
        <f aca="false">IF(AND('Choix pédagogiques'!$C$4&lt;&gt;"?",'Choix pédagogiques'!$C$5&lt;&gt;"?",AD820&lt;&gt;""),(AD820-'Choix pédagogiques'!$C$4)/('Choix pédagogiques'!$C$5-'Choix pédagogiques'!$C$4),"")</f>
        <v/>
      </c>
      <c r="AZ820" s="53" t="str">
        <f aca="false">IF($J820&lt;&gt;"",$J820,"")</f>
        <v/>
      </c>
      <c r="BA820" s="52" t="str">
        <f aca="false">IF($A820&lt;&gt;"",$A820,"")</f>
        <v>Apprenant 808</v>
      </c>
      <c r="BB820" s="55" t="str">
        <f aca="false">IF(AND($AR820&lt;&gt;"",$AS820&lt;&gt;""),$AS820-$AR820,"")</f>
        <v/>
      </c>
      <c r="BC820" s="55" t="str">
        <f aca="false">IF(AND($AR820&lt;&gt;"",$AT820&lt;&gt;""),$AT820-$AR820,"")</f>
        <v/>
      </c>
      <c r="BD820" s="55" t="str">
        <f aca="false">IF(AND($AS820&lt;&gt;"",$AT820&lt;&gt;""),$AT820-$AS820,"")</f>
        <v/>
      </c>
      <c r="BE820" s="53" t="str">
        <f aca="false">IF($E820&lt;&gt;"",$E820,"")</f>
        <v/>
      </c>
      <c r="BF820" s="52" t="str">
        <f aca="false">IF($F820&lt;&gt;"",$F820,"")</f>
        <v>Apprenant 808 ou 808'</v>
      </c>
      <c r="BG820" s="55" t="str">
        <f aca="false">IF(AND($AW820&lt;&gt;"",$AX820&lt;&gt;""),$AX820-$AW820,"")</f>
        <v/>
      </c>
      <c r="BH820" s="55" t="str">
        <f aca="false">IF(AND($AW820&lt;&gt;"",$AY820&lt;&gt;""),$AY820-$AW820,"")</f>
        <v/>
      </c>
      <c r="BI820" s="55" t="str">
        <f aca="false">IF(AND($AX820&lt;&gt;"",$AY820&lt;&gt;""),$AY820-$AX820,"")</f>
        <v/>
      </c>
      <c r="BJ820" s="53" t="str">
        <f aca="false">IF($J820&lt;&gt;"",$J820,"")</f>
        <v/>
      </c>
      <c r="BL820" s="52"/>
      <c r="BM820" s="52" t="str">
        <f aca="false">IF(OR(COUNT(B820:D1819)=0,AND('Choix pédagogiques'!$C$3&lt;&gt;1,'Choix pédagogiques'!$C$3&lt;&gt;2)),"",IF(AND(OR('Choix pédagogiques'!$C$3=1,'Choix pédagogiques'!$C$3=2),$B820&lt;&gt;"",$C820&lt;&gt;"",$D820&lt;&gt;""),1,0))</f>
        <v/>
      </c>
      <c r="BN820" s="52" t="str">
        <f aca="false">IF(OR(COUNT(G820:I1819)=0,AND('Choix pédagogiques'!$C$3&lt;&gt;1,'Choix pédagogiques'!$C$3&lt;&gt;2)),"",IF(AND(OR('Choix pédagogiques'!$C$3=1,'Choix pédagogiques'!$C$3=2),AND($G820&lt;&gt;"",$H820&lt;&gt;"",$I820&lt;&gt;"")),1,0))</f>
        <v/>
      </c>
      <c r="BO820" s="52" t="str">
        <f aca="false">IF(OR(COUNT(B820:D1819)=0,COUNT(G820:I1819)=0,'Choix pédagogiques'!C$3&lt;&gt;3),"",IF(AND('Choix pédagogiques'!$C$3=3,$B820&lt;&gt;"",$C820&lt;&gt;"",$D820&lt;&gt;"",$G820&lt;&gt;"",$H820&lt;&gt;"",$I820&lt;&gt;""),1,0))</f>
        <v/>
      </c>
      <c r="BR820" s="52" t="n">
        <v>880</v>
      </c>
      <c r="BS820" s="52" t="n">
        <v>1697</v>
      </c>
    </row>
    <row r="821" s="54" customFormat="true" ht="18" hidden="false" customHeight="true" outlineLevel="0" collapsed="false">
      <c r="A821" s="57" t="s">
        <v>1573</v>
      </c>
      <c r="B821" s="51"/>
      <c r="C821" s="51"/>
      <c r="D821" s="51"/>
      <c r="E821" s="51"/>
      <c r="F821" s="57" t="s">
        <v>1574</v>
      </c>
      <c r="G821" s="51"/>
      <c r="H821" s="51"/>
      <c r="I821" s="51"/>
      <c r="J821" s="51"/>
      <c r="K821" s="52" t="str">
        <f aca="false">IF($A821&lt;&gt;"",$A821,"")</f>
        <v>Apprenant 809</v>
      </c>
      <c r="L821" s="53" t="str">
        <f aca="false">IF(AND($B821&lt;&gt;"",$C821&lt;&gt;""),$C821-$B821,"")</f>
        <v/>
      </c>
      <c r="M821" s="53" t="str">
        <f aca="false">IF(AND($B821&lt;&gt;"",$D821&lt;&gt;""),$D821-$B821,"")</f>
        <v/>
      </c>
      <c r="N821" s="53" t="str">
        <f aca="false">IF(AND($C821&lt;&gt;"",$D821&lt;&gt;""),$D821-$C821,"")</f>
        <v/>
      </c>
      <c r="O821" s="53" t="str">
        <f aca="false">IF($E821&lt;&gt;"",$E821,"")</f>
        <v/>
      </c>
      <c r="P821" s="52" t="str">
        <f aca="false">IF($F821&lt;&gt;"",$F821,"")</f>
        <v>Apprenant 809 ou 809'</v>
      </c>
      <c r="Q821" s="53" t="str">
        <f aca="false">IF(AND($G821&lt;&gt;"",$H821&lt;&gt;""),$H821-$G821,"")</f>
        <v/>
      </c>
      <c r="R821" s="53" t="str">
        <f aca="false">IF(AND($G821&lt;&gt;"",$I821&lt;&gt;""),$I821-$G821,"")</f>
        <v/>
      </c>
      <c r="S821" s="53" t="str">
        <f aca="false">IF(AND($H821&lt;&gt;"",$I821&lt;&gt;""),$I821-$H821,"")</f>
        <v/>
      </c>
      <c r="T821" s="53" t="str">
        <f aca="false">IF($J821&lt;&gt;"",$J821,"")</f>
        <v/>
      </c>
      <c r="V821" s="52" t="str">
        <f aca="false">IF($A821&lt;&gt;"",$A821,"")</f>
        <v>Apprenant 809</v>
      </c>
      <c r="W821" s="53" t="str">
        <f aca="false">IF(AND(OR('Choix pédagogiques'!$C$3=1,'Choix pédagogiques'!$C$3=2),$BM821=1),B821,IF(AND('Choix pédagogiques'!$C$3=3,$BO821=1),B821,""))</f>
        <v/>
      </c>
      <c r="X821" s="53" t="str">
        <f aca="false">IF(AND(OR('Choix pédagogiques'!$C$3=1,'Choix pédagogiques'!$C$3=2),$BM821=1),C821,IF(AND('Choix pédagogiques'!$C$3=3,$BO821=1),C821,""))</f>
        <v/>
      </c>
      <c r="Y821" s="53" t="str">
        <f aca="false">IF(AND(OR('Choix pédagogiques'!$C$3=1,'Choix pédagogiques'!$C$3=2),$BM821=1),D821,IF(AND('Choix pédagogiques'!$C$3=3,$BO821=1),D821,""))</f>
        <v/>
      </c>
      <c r="Z821" s="53" t="str">
        <f aca="false">IF($E821&lt;&gt;"",$E821,"")</f>
        <v/>
      </c>
      <c r="AA821" s="52" t="str">
        <f aca="false">IF($F821&lt;&gt;"",$F821,"")</f>
        <v>Apprenant 809 ou 809'</v>
      </c>
      <c r="AB821" s="53" t="str">
        <f aca="false">IF(AND(OR('Choix pédagogiques'!$C$3=1,'Choix pédagogiques'!$C$3=2),$BN821=1),G821,IF(AND('Choix pédagogiques'!$C$3=3,$BO821=1),G821,""))</f>
        <v/>
      </c>
      <c r="AC821" s="53" t="str">
        <f aca="false">IF(AND(OR('Choix pédagogiques'!$C$3=1,'Choix pédagogiques'!$C$3=2),$BN821=1),H821,IF(AND('Choix pédagogiques'!$C$3=3,$BO821=1),H821,""))</f>
        <v/>
      </c>
      <c r="AD821" s="53" t="str">
        <f aca="false">IF(AND(OR('Choix pédagogiques'!$C$3=1,'Choix pédagogiques'!$C$3=2),$BN821=1),I821,IF(AND('Choix pédagogiques'!$C$3=3,$BO821=1),I821,""))</f>
        <v/>
      </c>
      <c r="AE821" s="53" t="str">
        <f aca="false">IF($J821&lt;&gt;"",$J821,"")</f>
        <v/>
      </c>
      <c r="AF821" s="52" t="str">
        <f aca="false">IF($A821&lt;&gt;"",$A821,"")</f>
        <v>Apprenant 809</v>
      </c>
      <c r="AG821" s="53" t="str">
        <f aca="false">IF(AND($W821&lt;&gt;"",$X821&lt;&gt;""),$X821-$W821,"")</f>
        <v/>
      </c>
      <c r="AH821" s="53" t="str">
        <f aca="false">IF(AND($W821&lt;&gt;"",$Y821&lt;&gt;""),$Y821-$W821,"")</f>
        <v/>
      </c>
      <c r="AI821" s="53" t="str">
        <f aca="false">IF(AND($X821&lt;&gt;"",$Y821&lt;&gt;""),$Y821-$X821,"")</f>
        <v/>
      </c>
      <c r="AJ821" s="53" t="str">
        <f aca="false">IF($E821&lt;&gt;"",$E821,"")</f>
        <v/>
      </c>
      <c r="AK821" s="52" t="str">
        <f aca="false">IF($F821&lt;&gt;"",$F821,"")</f>
        <v>Apprenant 809 ou 809'</v>
      </c>
      <c r="AL821" s="53" t="str">
        <f aca="false">IF(AND($AB821&lt;&gt;"",$AC821&lt;&gt;""),$AC821-$AB821,"")</f>
        <v/>
      </c>
      <c r="AM821" s="53" t="str">
        <f aca="false">IF(AND($AB821&lt;&gt;"",$AD821&lt;&gt;""),$AD821-$AB821,"")</f>
        <v/>
      </c>
      <c r="AN821" s="53" t="str">
        <f aca="false">IF(AND($AC821&lt;&gt;"",$AD821&lt;&gt;""),$AD821-$AC821,"")</f>
        <v/>
      </c>
      <c r="AO821" s="53" t="str">
        <f aca="false">IF($J821&lt;&gt;"",$J821,"")</f>
        <v/>
      </c>
      <c r="AQ821" s="52" t="str">
        <f aca="false">IF($A821&lt;&gt;"",$A821,"")</f>
        <v>Apprenant 809</v>
      </c>
      <c r="AR821" s="55" t="str">
        <f aca="false">IF(AND('Choix pédagogiques'!$C$4&lt;&gt;"?",'Choix pédagogiques'!$C$5&lt;&gt;"?",W821&lt;&gt;""),(W821-'Choix pédagogiques'!$C$4)/('Choix pédagogiques'!$C$5-'Choix pédagogiques'!$C$4),"")</f>
        <v/>
      </c>
      <c r="AS821" s="55" t="str">
        <f aca="false">IF(AND('Choix pédagogiques'!$C$4&lt;&gt;"?",'Choix pédagogiques'!$C$5&lt;&gt;"?",X821&lt;&gt;""),(X821-'Choix pédagogiques'!$C$4)/('Choix pédagogiques'!$C$5-'Choix pédagogiques'!$C$4),"")</f>
        <v/>
      </c>
      <c r="AT821" s="55" t="str">
        <f aca="false">IF(AND('Choix pédagogiques'!$C$4&lt;&gt;"?",'Choix pédagogiques'!$C$5&lt;&gt;"?",Y821&lt;&gt;""),(Y821-'Choix pédagogiques'!$C$4)/('Choix pédagogiques'!$C$5-'Choix pédagogiques'!$C$4),"")</f>
        <v/>
      </c>
      <c r="AU821" s="53" t="str">
        <f aca="false">IF($E821&lt;&gt;"",$E821,"")</f>
        <v/>
      </c>
      <c r="AV821" s="52" t="str">
        <f aca="false">IF($F821&lt;&gt;"",$F821,"")</f>
        <v>Apprenant 809 ou 809'</v>
      </c>
      <c r="AW821" s="55" t="str">
        <f aca="false">IF(AND('Choix pédagogiques'!$C$4&lt;&gt;"?",'Choix pédagogiques'!$C$5&lt;&gt;"?",AB821&lt;&gt;""),(AB821-'Choix pédagogiques'!$C$4)/('Choix pédagogiques'!$C$5-'Choix pédagogiques'!$C$4),"")</f>
        <v/>
      </c>
      <c r="AX821" s="55" t="str">
        <f aca="false">IF(AND('Choix pédagogiques'!$C$4&lt;&gt;"?",'Choix pédagogiques'!$C$5&lt;&gt;"?",AC821&lt;&gt;""),(AC821-'Choix pédagogiques'!$C$4)/('Choix pédagogiques'!$C$5-'Choix pédagogiques'!$C$4),"")</f>
        <v/>
      </c>
      <c r="AY821" s="55" t="str">
        <f aca="false">IF(AND('Choix pédagogiques'!$C$4&lt;&gt;"?",'Choix pédagogiques'!$C$5&lt;&gt;"?",AD821&lt;&gt;""),(AD821-'Choix pédagogiques'!$C$4)/('Choix pédagogiques'!$C$5-'Choix pédagogiques'!$C$4),"")</f>
        <v/>
      </c>
      <c r="AZ821" s="53" t="str">
        <f aca="false">IF($J821&lt;&gt;"",$J821,"")</f>
        <v/>
      </c>
      <c r="BA821" s="52" t="str">
        <f aca="false">IF($A821&lt;&gt;"",$A821,"")</f>
        <v>Apprenant 809</v>
      </c>
      <c r="BB821" s="55" t="str">
        <f aca="false">IF(AND($AR821&lt;&gt;"",$AS821&lt;&gt;""),$AS821-$AR821,"")</f>
        <v/>
      </c>
      <c r="BC821" s="55" t="str">
        <f aca="false">IF(AND($AR821&lt;&gt;"",$AT821&lt;&gt;""),$AT821-$AR821,"")</f>
        <v/>
      </c>
      <c r="BD821" s="55" t="str">
        <f aca="false">IF(AND($AS821&lt;&gt;"",$AT821&lt;&gt;""),$AT821-$AS821,"")</f>
        <v/>
      </c>
      <c r="BE821" s="53" t="str">
        <f aca="false">IF($E821&lt;&gt;"",$E821,"")</f>
        <v/>
      </c>
      <c r="BF821" s="52" t="str">
        <f aca="false">IF($F821&lt;&gt;"",$F821,"")</f>
        <v>Apprenant 809 ou 809'</v>
      </c>
      <c r="BG821" s="55" t="str">
        <f aca="false">IF(AND($AW821&lt;&gt;"",$AX821&lt;&gt;""),$AX821-$AW821,"")</f>
        <v/>
      </c>
      <c r="BH821" s="55" t="str">
        <f aca="false">IF(AND($AW821&lt;&gt;"",$AY821&lt;&gt;""),$AY821-$AW821,"")</f>
        <v/>
      </c>
      <c r="BI821" s="55" t="str">
        <f aca="false">IF(AND($AX821&lt;&gt;"",$AY821&lt;&gt;""),$AY821-$AX821,"")</f>
        <v/>
      </c>
      <c r="BJ821" s="53" t="str">
        <f aca="false">IF($J821&lt;&gt;"",$J821,"")</f>
        <v/>
      </c>
      <c r="BL821" s="52"/>
      <c r="BM821" s="52" t="str">
        <f aca="false">IF(OR(COUNT(B821:D1820)=0,AND('Choix pédagogiques'!$C$3&lt;&gt;1,'Choix pédagogiques'!$C$3&lt;&gt;2)),"",IF(AND(OR('Choix pédagogiques'!$C$3=1,'Choix pédagogiques'!$C$3=2),$B821&lt;&gt;"",$C821&lt;&gt;"",$D821&lt;&gt;""),1,0))</f>
        <v/>
      </c>
      <c r="BN821" s="52" t="str">
        <f aca="false">IF(OR(COUNT(G821:I1820)=0,AND('Choix pédagogiques'!$C$3&lt;&gt;1,'Choix pédagogiques'!$C$3&lt;&gt;2)),"",IF(AND(OR('Choix pédagogiques'!$C$3=1,'Choix pédagogiques'!$C$3=2),AND($G821&lt;&gt;"",$H821&lt;&gt;"",$I821&lt;&gt;"")),1,0))</f>
        <v/>
      </c>
      <c r="BO821" s="52" t="str">
        <f aca="false">IF(OR(COUNT(B821:D1820)=0,COUNT(G821:I1820)=0,'Choix pédagogiques'!C$3&lt;&gt;3),"",IF(AND('Choix pédagogiques'!$C$3=3,$B821&lt;&gt;"",$C821&lt;&gt;"",$D821&lt;&gt;"",$G821&lt;&gt;"",$H821&lt;&gt;"",$I821&lt;&gt;""),1,0))</f>
        <v/>
      </c>
      <c r="BR821" s="52" t="n">
        <v>511</v>
      </c>
      <c r="BS821" s="52" t="n">
        <v>1470</v>
      </c>
    </row>
    <row r="822" s="54" customFormat="true" ht="18" hidden="false" customHeight="true" outlineLevel="0" collapsed="false">
      <c r="A822" s="57" t="s">
        <v>1575</v>
      </c>
      <c r="B822" s="51"/>
      <c r="C822" s="51"/>
      <c r="D822" s="51"/>
      <c r="E822" s="51"/>
      <c r="F822" s="57" t="s">
        <v>1576</v>
      </c>
      <c r="G822" s="51"/>
      <c r="H822" s="51"/>
      <c r="I822" s="51"/>
      <c r="J822" s="51"/>
      <c r="K822" s="52" t="str">
        <f aca="false">IF($A822&lt;&gt;"",$A822,"")</f>
        <v>Apprenant 810</v>
      </c>
      <c r="L822" s="53" t="str">
        <f aca="false">IF(AND($B822&lt;&gt;"",$C822&lt;&gt;""),$C822-$B822,"")</f>
        <v/>
      </c>
      <c r="M822" s="53" t="str">
        <f aca="false">IF(AND($B822&lt;&gt;"",$D822&lt;&gt;""),$D822-$B822,"")</f>
        <v/>
      </c>
      <c r="N822" s="53" t="str">
        <f aca="false">IF(AND($C822&lt;&gt;"",$D822&lt;&gt;""),$D822-$C822,"")</f>
        <v/>
      </c>
      <c r="O822" s="53" t="str">
        <f aca="false">IF($E822&lt;&gt;"",$E822,"")</f>
        <v/>
      </c>
      <c r="P822" s="52" t="str">
        <f aca="false">IF($F822&lt;&gt;"",$F822,"")</f>
        <v>Apprenant 810 ou 810'</v>
      </c>
      <c r="Q822" s="53" t="str">
        <f aca="false">IF(AND($G822&lt;&gt;"",$H822&lt;&gt;""),$H822-$G822,"")</f>
        <v/>
      </c>
      <c r="R822" s="53" t="str">
        <f aca="false">IF(AND($G822&lt;&gt;"",$I822&lt;&gt;""),$I822-$G822,"")</f>
        <v/>
      </c>
      <c r="S822" s="53" t="str">
        <f aca="false">IF(AND($H822&lt;&gt;"",$I822&lt;&gt;""),$I822-$H822,"")</f>
        <v/>
      </c>
      <c r="T822" s="53" t="str">
        <f aca="false">IF($J822&lt;&gt;"",$J822,"")</f>
        <v/>
      </c>
      <c r="V822" s="52" t="str">
        <f aca="false">IF($A822&lt;&gt;"",$A822,"")</f>
        <v>Apprenant 810</v>
      </c>
      <c r="W822" s="53" t="str">
        <f aca="false">IF(AND(OR('Choix pédagogiques'!$C$3=1,'Choix pédagogiques'!$C$3=2),$BM822=1),B822,IF(AND('Choix pédagogiques'!$C$3=3,$BO822=1),B822,""))</f>
        <v/>
      </c>
      <c r="X822" s="53" t="str">
        <f aca="false">IF(AND(OR('Choix pédagogiques'!$C$3=1,'Choix pédagogiques'!$C$3=2),$BM822=1),C822,IF(AND('Choix pédagogiques'!$C$3=3,$BO822=1),C822,""))</f>
        <v/>
      </c>
      <c r="Y822" s="53" t="str">
        <f aca="false">IF(AND(OR('Choix pédagogiques'!$C$3=1,'Choix pédagogiques'!$C$3=2),$BM822=1),D822,IF(AND('Choix pédagogiques'!$C$3=3,$BO822=1),D822,""))</f>
        <v/>
      </c>
      <c r="Z822" s="53" t="str">
        <f aca="false">IF($E822&lt;&gt;"",$E822,"")</f>
        <v/>
      </c>
      <c r="AA822" s="52" t="str">
        <f aca="false">IF($F822&lt;&gt;"",$F822,"")</f>
        <v>Apprenant 810 ou 810'</v>
      </c>
      <c r="AB822" s="53" t="str">
        <f aca="false">IF(AND(OR('Choix pédagogiques'!$C$3=1,'Choix pédagogiques'!$C$3=2),$BN822=1),G822,IF(AND('Choix pédagogiques'!$C$3=3,$BO822=1),G822,""))</f>
        <v/>
      </c>
      <c r="AC822" s="53" t="str">
        <f aca="false">IF(AND(OR('Choix pédagogiques'!$C$3=1,'Choix pédagogiques'!$C$3=2),$BN822=1),H822,IF(AND('Choix pédagogiques'!$C$3=3,$BO822=1),H822,""))</f>
        <v/>
      </c>
      <c r="AD822" s="53" t="str">
        <f aca="false">IF(AND(OR('Choix pédagogiques'!$C$3=1,'Choix pédagogiques'!$C$3=2),$BN822=1),I822,IF(AND('Choix pédagogiques'!$C$3=3,$BO822=1),I822,""))</f>
        <v/>
      </c>
      <c r="AE822" s="53" t="str">
        <f aca="false">IF($J822&lt;&gt;"",$J822,"")</f>
        <v/>
      </c>
      <c r="AF822" s="52" t="str">
        <f aca="false">IF($A822&lt;&gt;"",$A822,"")</f>
        <v>Apprenant 810</v>
      </c>
      <c r="AG822" s="53" t="str">
        <f aca="false">IF(AND($W822&lt;&gt;"",$X822&lt;&gt;""),$X822-$W822,"")</f>
        <v/>
      </c>
      <c r="AH822" s="53" t="str">
        <f aca="false">IF(AND($W822&lt;&gt;"",$Y822&lt;&gt;""),$Y822-$W822,"")</f>
        <v/>
      </c>
      <c r="AI822" s="53" t="str">
        <f aca="false">IF(AND($X822&lt;&gt;"",$Y822&lt;&gt;""),$Y822-$X822,"")</f>
        <v/>
      </c>
      <c r="AJ822" s="53" t="str">
        <f aca="false">IF($E822&lt;&gt;"",$E822,"")</f>
        <v/>
      </c>
      <c r="AK822" s="52" t="str">
        <f aca="false">IF($F822&lt;&gt;"",$F822,"")</f>
        <v>Apprenant 810 ou 810'</v>
      </c>
      <c r="AL822" s="53" t="str">
        <f aca="false">IF(AND($AB822&lt;&gt;"",$AC822&lt;&gt;""),$AC822-$AB822,"")</f>
        <v/>
      </c>
      <c r="AM822" s="53" t="str">
        <f aca="false">IF(AND($AB822&lt;&gt;"",$AD822&lt;&gt;""),$AD822-$AB822,"")</f>
        <v/>
      </c>
      <c r="AN822" s="53" t="str">
        <f aca="false">IF(AND($AC822&lt;&gt;"",$AD822&lt;&gt;""),$AD822-$AC822,"")</f>
        <v/>
      </c>
      <c r="AO822" s="53" t="str">
        <f aca="false">IF($J822&lt;&gt;"",$J822,"")</f>
        <v/>
      </c>
      <c r="AQ822" s="52" t="str">
        <f aca="false">IF($A822&lt;&gt;"",$A822,"")</f>
        <v>Apprenant 810</v>
      </c>
      <c r="AR822" s="55" t="str">
        <f aca="false">IF(AND('Choix pédagogiques'!$C$4&lt;&gt;"?",'Choix pédagogiques'!$C$5&lt;&gt;"?",W822&lt;&gt;""),(W822-'Choix pédagogiques'!$C$4)/('Choix pédagogiques'!$C$5-'Choix pédagogiques'!$C$4),"")</f>
        <v/>
      </c>
      <c r="AS822" s="55" t="str">
        <f aca="false">IF(AND('Choix pédagogiques'!$C$4&lt;&gt;"?",'Choix pédagogiques'!$C$5&lt;&gt;"?",X822&lt;&gt;""),(X822-'Choix pédagogiques'!$C$4)/('Choix pédagogiques'!$C$5-'Choix pédagogiques'!$C$4),"")</f>
        <v/>
      </c>
      <c r="AT822" s="55" t="str">
        <f aca="false">IF(AND('Choix pédagogiques'!$C$4&lt;&gt;"?",'Choix pédagogiques'!$C$5&lt;&gt;"?",Y822&lt;&gt;""),(Y822-'Choix pédagogiques'!$C$4)/('Choix pédagogiques'!$C$5-'Choix pédagogiques'!$C$4),"")</f>
        <v/>
      </c>
      <c r="AU822" s="53" t="str">
        <f aca="false">IF($E822&lt;&gt;"",$E822,"")</f>
        <v/>
      </c>
      <c r="AV822" s="52" t="str">
        <f aca="false">IF($F822&lt;&gt;"",$F822,"")</f>
        <v>Apprenant 810 ou 810'</v>
      </c>
      <c r="AW822" s="55" t="str">
        <f aca="false">IF(AND('Choix pédagogiques'!$C$4&lt;&gt;"?",'Choix pédagogiques'!$C$5&lt;&gt;"?",AB822&lt;&gt;""),(AB822-'Choix pédagogiques'!$C$4)/('Choix pédagogiques'!$C$5-'Choix pédagogiques'!$C$4),"")</f>
        <v/>
      </c>
      <c r="AX822" s="55" t="str">
        <f aca="false">IF(AND('Choix pédagogiques'!$C$4&lt;&gt;"?",'Choix pédagogiques'!$C$5&lt;&gt;"?",AC822&lt;&gt;""),(AC822-'Choix pédagogiques'!$C$4)/('Choix pédagogiques'!$C$5-'Choix pédagogiques'!$C$4),"")</f>
        <v/>
      </c>
      <c r="AY822" s="55" t="str">
        <f aca="false">IF(AND('Choix pédagogiques'!$C$4&lt;&gt;"?",'Choix pédagogiques'!$C$5&lt;&gt;"?",AD822&lt;&gt;""),(AD822-'Choix pédagogiques'!$C$4)/('Choix pédagogiques'!$C$5-'Choix pédagogiques'!$C$4),"")</f>
        <v/>
      </c>
      <c r="AZ822" s="53" t="str">
        <f aca="false">IF($J822&lt;&gt;"",$J822,"")</f>
        <v/>
      </c>
      <c r="BA822" s="52" t="str">
        <f aca="false">IF($A822&lt;&gt;"",$A822,"")</f>
        <v>Apprenant 810</v>
      </c>
      <c r="BB822" s="55" t="str">
        <f aca="false">IF(AND($AR822&lt;&gt;"",$AS822&lt;&gt;""),$AS822-$AR822,"")</f>
        <v/>
      </c>
      <c r="BC822" s="55" t="str">
        <f aca="false">IF(AND($AR822&lt;&gt;"",$AT822&lt;&gt;""),$AT822-$AR822,"")</f>
        <v/>
      </c>
      <c r="BD822" s="55" t="str">
        <f aca="false">IF(AND($AS822&lt;&gt;"",$AT822&lt;&gt;""),$AT822-$AS822,"")</f>
        <v/>
      </c>
      <c r="BE822" s="53" t="str">
        <f aca="false">IF($E822&lt;&gt;"",$E822,"")</f>
        <v/>
      </c>
      <c r="BF822" s="52" t="str">
        <f aca="false">IF($F822&lt;&gt;"",$F822,"")</f>
        <v>Apprenant 810 ou 810'</v>
      </c>
      <c r="BG822" s="55" t="str">
        <f aca="false">IF(AND($AW822&lt;&gt;"",$AX822&lt;&gt;""),$AX822-$AW822,"")</f>
        <v/>
      </c>
      <c r="BH822" s="55" t="str">
        <f aca="false">IF(AND($AW822&lt;&gt;"",$AY822&lt;&gt;""),$AY822-$AW822,"")</f>
        <v/>
      </c>
      <c r="BI822" s="55" t="str">
        <f aca="false">IF(AND($AX822&lt;&gt;"",$AY822&lt;&gt;""),$AY822-$AX822,"")</f>
        <v/>
      </c>
      <c r="BJ822" s="53" t="str">
        <f aca="false">IF($J822&lt;&gt;"",$J822,"")</f>
        <v/>
      </c>
      <c r="BL822" s="52"/>
      <c r="BM822" s="52" t="str">
        <f aca="false">IF(OR(COUNT(B822:D1821)=0,AND('Choix pédagogiques'!$C$3&lt;&gt;1,'Choix pédagogiques'!$C$3&lt;&gt;2)),"",IF(AND(OR('Choix pédagogiques'!$C$3=1,'Choix pédagogiques'!$C$3=2),$B822&lt;&gt;"",$C822&lt;&gt;"",$D822&lt;&gt;""),1,0))</f>
        <v/>
      </c>
      <c r="BN822" s="52" t="str">
        <f aca="false">IF(OR(COUNT(G822:I1821)=0,AND('Choix pédagogiques'!$C$3&lt;&gt;1,'Choix pédagogiques'!$C$3&lt;&gt;2)),"",IF(AND(OR('Choix pédagogiques'!$C$3=1,'Choix pédagogiques'!$C$3=2),AND($G822&lt;&gt;"",$H822&lt;&gt;"",$I822&lt;&gt;"")),1,0))</f>
        <v/>
      </c>
      <c r="BO822" s="52" t="str">
        <f aca="false">IF(OR(COUNT(B822:D1821)=0,COUNT(G822:I1821)=0,'Choix pédagogiques'!C$3&lt;&gt;3),"",IF(AND('Choix pédagogiques'!$C$3=3,$B822&lt;&gt;"",$C822&lt;&gt;"",$D822&lt;&gt;"",$G822&lt;&gt;"",$H822&lt;&gt;"",$I822&lt;&gt;""),1,0))</f>
        <v/>
      </c>
      <c r="BR822" s="52" t="n">
        <v>217</v>
      </c>
      <c r="BS822" s="52" t="n">
        <v>1127</v>
      </c>
    </row>
    <row r="823" s="54" customFormat="true" ht="18" hidden="false" customHeight="true" outlineLevel="0" collapsed="false">
      <c r="A823" s="57" t="s">
        <v>1577</v>
      </c>
      <c r="B823" s="51"/>
      <c r="C823" s="51"/>
      <c r="D823" s="51"/>
      <c r="E823" s="51"/>
      <c r="F823" s="57" t="s">
        <v>1578</v>
      </c>
      <c r="G823" s="51"/>
      <c r="H823" s="51"/>
      <c r="I823" s="51"/>
      <c r="J823" s="51"/>
      <c r="K823" s="52" t="str">
        <f aca="false">IF($A823&lt;&gt;"",$A823,"")</f>
        <v>Apprenant 811</v>
      </c>
      <c r="L823" s="53" t="str">
        <f aca="false">IF(AND($B823&lt;&gt;"",$C823&lt;&gt;""),$C823-$B823,"")</f>
        <v/>
      </c>
      <c r="M823" s="53" t="str">
        <f aca="false">IF(AND($B823&lt;&gt;"",$D823&lt;&gt;""),$D823-$B823,"")</f>
        <v/>
      </c>
      <c r="N823" s="53" t="str">
        <f aca="false">IF(AND($C823&lt;&gt;"",$D823&lt;&gt;""),$D823-$C823,"")</f>
        <v/>
      </c>
      <c r="O823" s="53" t="str">
        <f aca="false">IF($E823&lt;&gt;"",$E823,"")</f>
        <v/>
      </c>
      <c r="P823" s="52" t="str">
        <f aca="false">IF($F823&lt;&gt;"",$F823,"")</f>
        <v>Apprenant 811 ou 811'</v>
      </c>
      <c r="Q823" s="53" t="str">
        <f aca="false">IF(AND($G823&lt;&gt;"",$H823&lt;&gt;""),$H823-$G823,"")</f>
        <v/>
      </c>
      <c r="R823" s="53" t="str">
        <f aca="false">IF(AND($G823&lt;&gt;"",$I823&lt;&gt;""),$I823-$G823,"")</f>
        <v/>
      </c>
      <c r="S823" s="53" t="str">
        <f aca="false">IF(AND($H823&lt;&gt;"",$I823&lt;&gt;""),$I823-$H823,"")</f>
        <v/>
      </c>
      <c r="T823" s="53" t="str">
        <f aca="false">IF($J823&lt;&gt;"",$J823,"")</f>
        <v/>
      </c>
      <c r="V823" s="52" t="str">
        <f aca="false">IF($A823&lt;&gt;"",$A823,"")</f>
        <v>Apprenant 811</v>
      </c>
      <c r="W823" s="53" t="str">
        <f aca="false">IF(AND(OR('Choix pédagogiques'!$C$3=1,'Choix pédagogiques'!$C$3=2),$BM823=1),B823,IF(AND('Choix pédagogiques'!$C$3=3,$BO823=1),B823,""))</f>
        <v/>
      </c>
      <c r="X823" s="53" t="str">
        <f aca="false">IF(AND(OR('Choix pédagogiques'!$C$3=1,'Choix pédagogiques'!$C$3=2),$BM823=1),C823,IF(AND('Choix pédagogiques'!$C$3=3,$BO823=1),C823,""))</f>
        <v/>
      </c>
      <c r="Y823" s="53" t="str">
        <f aca="false">IF(AND(OR('Choix pédagogiques'!$C$3=1,'Choix pédagogiques'!$C$3=2),$BM823=1),D823,IF(AND('Choix pédagogiques'!$C$3=3,$BO823=1),D823,""))</f>
        <v/>
      </c>
      <c r="Z823" s="53" t="str">
        <f aca="false">IF($E823&lt;&gt;"",$E823,"")</f>
        <v/>
      </c>
      <c r="AA823" s="52" t="str">
        <f aca="false">IF($F823&lt;&gt;"",$F823,"")</f>
        <v>Apprenant 811 ou 811'</v>
      </c>
      <c r="AB823" s="53" t="str">
        <f aca="false">IF(AND(OR('Choix pédagogiques'!$C$3=1,'Choix pédagogiques'!$C$3=2),$BN823=1),G823,IF(AND('Choix pédagogiques'!$C$3=3,$BO823=1),G823,""))</f>
        <v/>
      </c>
      <c r="AC823" s="53" t="str">
        <f aca="false">IF(AND(OR('Choix pédagogiques'!$C$3=1,'Choix pédagogiques'!$C$3=2),$BN823=1),H823,IF(AND('Choix pédagogiques'!$C$3=3,$BO823=1),H823,""))</f>
        <v/>
      </c>
      <c r="AD823" s="53" t="str">
        <f aca="false">IF(AND(OR('Choix pédagogiques'!$C$3=1,'Choix pédagogiques'!$C$3=2),$BN823=1),I823,IF(AND('Choix pédagogiques'!$C$3=3,$BO823=1),I823,""))</f>
        <v/>
      </c>
      <c r="AE823" s="53" t="str">
        <f aca="false">IF($J823&lt;&gt;"",$J823,"")</f>
        <v/>
      </c>
      <c r="AF823" s="52" t="str">
        <f aca="false">IF($A823&lt;&gt;"",$A823,"")</f>
        <v>Apprenant 811</v>
      </c>
      <c r="AG823" s="53" t="str">
        <f aca="false">IF(AND($W823&lt;&gt;"",$X823&lt;&gt;""),$X823-$W823,"")</f>
        <v/>
      </c>
      <c r="AH823" s="53" t="str">
        <f aca="false">IF(AND($W823&lt;&gt;"",$Y823&lt;&gt;""),$Y823-$W823,"")</f>
        <v/>
      </c>
      <c r="AI823" s="53" t="str">
        <f aca="false">IF(AND($X823&lt;&gt;"",$Y823&lt;&gt;""),$Y823-$X823,"")</f>
        <v/>
      </c>
      <c r="AJ823" s="53" t="str">
        <f aca="false">IF($E823&lt;&gt;"",$E823,"")</f>
        <v/>
      </c>
      <c r="AK823" s="52" t="str">
        <f aca="false">IF($F823&lt;&gt;"",$F823,"")</f>
        <v>Apprenant 811 ou 811'</v>
      </c>
      <c r="AL823" s="53" t="str">
        <f aca="false">IF(AND($AB823&lt;&gt;"",$AC823&lt;&gt;""),$AC823-$AB823,"")</f>
        <v/>
      </c>
      <c r="AM823" s="53" t="str">
        <f aca="false">IF(AND($AB823&lt;&gt;"",$AD823&lt;&gt;""),$AD823-$AB823,"")</f>
        <v/>
      </c>
      <c r="AN823" s="53" t="str">
        <f aca="false">IF(AND($AC823&lt;&gt;"",$AD823&lt;&gt;""),$AD823-$AC823,"")</f>
        <v/>
      </c>
      <c r="AO823" s="53" t="str">
        <f aca="false">IF($J823&lt;&gt;"",$J823,"")</f>
        <v/>
      </c>
      <c r="AQ823" s="52" t="str">
        <f aca="false">IF($A823&lt;&gt;"",$A823,"")</f>
        <v>Apprenant 811</v>
      </c>
      <c r="AR823" s="55" t="str">
        <f aca="false">IF(AND('Choix pédagogiques'!$C$4&lt;&gt;"?",'Choix pédagogiques'!$C$5&lt;&gt;"?",W823&lt;&gt;""),(W823-'Choix pédagogiques'!$C$4)/('Choix pédagogiques'!$C$5-'Choix pédagogiques'!$C$4),"")</f>
        <v/>
      </c>
      <c r="AS823" s="55" t="str">
        <f aca="false">IF(AND('Choix pédagogiques'!$C$4&lt;&gt;"?",'Choix pédagogiques'!$C$5&lt;&gt;"?",X823&lt;&gt;""),(X823-'Choix pédagogiques'!$C$4)/('Choix pédagogiques'!$C$5-'Choix pédagogiques'!$C$4),"")</f>
        <v/>
      </c>
      <c r="AT823" s="55" t="str">
        <f aca="false">IF(AND('Choix pédagogiques'!$C$4&lt;&gt;"?",'Choix pédagogiques'!$C$5&lt;&gt;"?",Y823&lt;&gt;""),(Y823-'Choix pédagogiques'!$C$4)/('Choix pédagogiques'!$C$5-'Choix pédagogiques'!$C$4),"")</f>
        <v/>
      </c>
      <c r="AU823" s="53" t="str">
        <f aca="false">IF($E823&lt;&gt;"",$E823,"")</f>
        <v/>
      </c>
      <c r="AV823" s="52" t="str">
        <f aca="false">IF($F823&lt;&gt;"",$F823,"")</f>
        <v>Apprenant 811 ou 811'</v>
      </c>
      <c r="AW823" s="55" t="str">
        <f aca="false">IF(AND('Choix pédagogiques'!$C$4&lt;&gt;"?",'Choix pédagogiques'!$C$5&lt;&gt;"?",AB823&lt;&gt;""),(AB823-'Choix pédagogiques'!$C$4)/('Choix pédagogiques'!$C$5-'Choix pédagogiques'!$C$4),"")</f>
        <v/>
      </c>
      <c r="AX823" s="55" t="str">
        <f aca="false">IF(AND('Choix pédagogiques'!$C$4&lt;&gt;"?",'Choix pédagogiques'!$C$5&lt;&gt;"?",AC823&lt;&gt;""),(AC823-'Choix pédagogiques'!$C$4)/('Choix pédagogiques'!$C$5-'Choix pédagogiques'!$C$4),"")</f>
        <v/>
      </c>
      <c r="AY823" s="55" t="str">
        <f aca="false">IF(AND('Choix pédagogiques'!$C$4&lt;&gt;"?",'Choix pédagogiques'!$C$5&lt;&gt;"?",AD823&lt;&gt;""),(AD823-'Choix pédagogiques'!$C$4)/('Choix pédagogiques'!$C$5-'Choix pédagogiques'!$C$4),"")</f>
        <v/>
      </c>
      <c r="AZ823" s="53" t="str">
        <f aca="false">IF($J823&lt;&gt;"",$J823,"")</f>
        <v/>
      </c>
      <c r="BA823" s="52" t="str">
        <f aca="false">IF($A823&lt;&gt;"",$A823,"")</f>
        <v>Apprenant 811</v>
      </c>
      <c r="BB823" s="55" t="str">
        <f aca="false">IF(AND($AR823&lt;&gt;"",$AS823&lt;&gt;""),$AS823-$AR823,"")</f>
        <v/>
      </c>
      <c r="BC823" s="55" t="str">
        <f aca="false">IF(AND($AR823&lt;&gt;"",$AT823&lt;&gt;""),$AT823-$AR823,"")</f>
        <v/>
      </c>
      <c r="BD823" s="55" t="str">
        <f aca="false">IF(AND($AS823&lt;&gt;"",$AT823&lt;&gt;""),$AT823-$AS823,"")</f>
        <v/>
      </c>
      <c r="BE823" s="53" t="str">
        <f aca="false">IF($E823&lt;&gt;"",$E823,"")</f>
        <v/>
      </c>
      <c r="BF823" s="52" t="str">
        <f aca="false">IF($F823&lt;&gt;"",$F823,"")</f>
        <v>Apprenant 811 ou 811'</v>
      </c>
      <c r="BG823" s="55" t="str">
        <f aca="false">IF(AND($AW823&lt;&gt;"",$AX823&lt;&gt;""),$AX823-$AW823,"")</f>
        <v/>
      </c>
      <c r="BH823" s="55" t="str">
        <f aca="false">IF(AND($AW823&lt;&gt;"",$AY823&lt;&gt;""),$AY823-$AW823,"")</f>
        <v/>
      </c>
      <c r="BI823" s="55" t="str">
        <f aca="false">IF(AND($AX823&lt;&gt;"",$AY823&lt;&gt;""),$AY823-$AX823,"")</f>
        <v/>
      </c>
      <c r="BJ823" s="53" t="str">
        <f aca="false">IF($J823&lt;&gt;"",$J823,"")</f>
        <v/>
      </c>
      <c r="BL823" s="52"/>
      <c r="BM823" s="52" t="str">
        <f aca="false">IF(OR(COUNT(B823:D1822)=0,AND('Choix pédagogiques'!$C$3&lt;&gt;1,'Choix pédagogiques'!$C$3&lt;&gt;2)),"",IF(AND(OR('Choix pédagogiques'!$C$3=1,'Choix pédagogiques'!$C$3=2),$B823&lt;&gt;"",$C823&lt;&gt;"",$D823&lt;&gt;""),1,0))</f>
        <v/>
      </c>
      <c r="BN823" s="52" t="str">
        <f aca="false">IF(OR(COUNT(G823:I1822)=0,AND('Choix pédagogiques'!$C$3&lt;&gt;1,'Choix pédagogiques'!$C$3&lt;&gt;2)),"",IF(AND(OR('Choix pédagogiques'!$C$3=1,'Choix pédagogiques'!$C$3=2),AND($G823&lt;&gt;"",$H823&lt;&gt;"",$I823&lt;&gt;"")),1,0))</f>
        <v/>
      </c>
      <c r="BO823" s="52" t="str">
        <f aca="false">IF(OR(COUNT(B823:D1822)=0,COUNT(G823:I1822)=0,'Choix pédagogiques'!C$3&lt;&gt;3),"",IF(AND('Choix pédagogiques'!$C$3=3,$B823&lt;&gt;"",$C823&lt;&gt;"",$D823&lt;&gt;"",$G823&lt;&gt;"",$H823&lt;&gt;"",$I823&lt;&gt;""),1,0))</f>
        <v/>
      </c>
      <c r="BR823" s="52" t="n">
        <v>989</v>
      </c>
      <c r="BS823" s="52" t="n">
        <v>1797</v>
      </c>
    </row>
    <row r="824" s="54" customFormat="true" ht="18" hidden="false" customHeight="true" outlineLevel="0" collapsed="false">
      <c r="A824" s="57" t="s">
        <v>1579</v>
      </c>
      <c r="B824" s="51"/>
      <c r="C824" s="51"/>
      <c r="D824" s="51"/>
      <c r="E824" s="51"/>
      <c r="F824" s="57" t="s">
        <v>1580</v>
      </c>
      <c r="G824" s="51"/>
      <c r="H824" s="51"/>
      <c r="I824" s="51"/>
      <c r="J824" s="51"/>
      <c r="K824" s="52" t="str">
        <f aca="false">IF($A824&lt;&gt;"",$A824,"")</f>
        <v>Apprenant 812</v>
      </c>
      <c r="L824" s="53" t="str">
        <f aca="false">IF(AND($B824&lt;&gt;"",$C824&lt;&gt;""),$C824-$B824,"")</f>
        <v/>
      </c>
      <c r="M824" s="53" t="str">
        <f aca="false">IF(AND($B824&lt;&gt;"",$D824&lt;&gt;""),$D824-$B824,"")</f>
        <v/>
      </c>
      <c r="N824" s="53" t="str">
        <f aca="false">IF(AND($C824&lt;&gt;"",$D824&lt;&gt;""),$D824-$C824,"")</f>
        <v/>
      </c>
      <c r="O824" s="53" t="str">
        <f aca="false">IF($E824&lt;&gt;"",$E824,"")</f>
        <v/>
      </c>
      <c r="P824" s="52" t="str">
        <f aca="false">IF($F824&lt;&gt;"",$F824,"")</f>
        <v>Apprenant 812 ou 812'</v>
      </c>
      <c r="Q824" s="53" t="str">
        <f aca="false">IF(AND($G824&lt;&gt;"",$H824&lt;&gt;""),$H824-$G824,"")</f>
        <v/>
      </c>
      <c r="R824" s="53" t="str">
        <f aca="false">IF(AND($G824&lt;&gt;"",$I824&lt;&gt;""),$I824-$G824,"")</f>
        <v/>
      </c>
      <c r="S824" s="53" t="str">
        <f aca="false">IF(AND($H824&lt;&gt;"",$I824&lt;&gt;""),$I824-$H824,"")</f>
        <v/>
      </c>
      <c r="T824" s="53" t="str">
        <f aca="false">IF($J824&lt;&gt;"",$J824,"")</f>
        <v/>
      </c>
      <c r="V824" s="52" t="str">
        <f aca="false">IF($A824&lt;&gt;"",$A824,"")</f>
        <v>Apprenant 812</v>
      </c>
      <c r="W824" s="53" t="str">
        <f aca="false">IF(AND(OR('Choix pédagogiques'!$C$3=1,'Choix pédagogiques'!$C$3=2),$BM824=1),B824,IF(AND('Choix pédagogiques'!$C$3=3,$BO824=1),B824,""))</f>
        <v/>
      </c>
      <c r="X824" s="53" t="str">
        <f aca="false">IF(AND(OR('Choix pédagogiques'!$C$3=1,'Choix pédagogiques'!$C$3=2),$BM824=1),C824,IF(AND('Choix pédagogiques'!$C$3=3,$BO824=1),C824,""))</f>
        <v/>
      </c>
      <c r="Y824" s="53" t="str">
        <f aca="false">IF(AND(OR('Choix pédagogiques'!$C$3=1,'Choix pédagogiques'!$C$3=2),$BM824=1),D824,IF(AND('Choix pédagogiques'!$C$3=3,$BO824=1),D824,""))</f>
        <v/>
      </c>
      <c r="Z824" s="53" t="str">
        <f aca="false">IF($E824&lt;&gt;"",$E824,"")</f>
        <v/>
      </c>
      <c r="AA824" s="52" t="str">
        <f aca="false">IF($F824&lt;&gt;"",$F824,"")</f>
        <v>Apprenant 812 ou 812'</v>
      </c>
      <c r="AB824" s="53" t="str">
        <f aca="false">IF(AND(OR('Choix pédagogiques'!$C$3=1,'Choix pédagogiques'!$C$3=2),$BN824=1),G824,IF(AND('Choix pédagogiques'!$C$3=3,$BO824=1),G824,""))</f>
        <v/>
      </c>
      <c r="AC824" s="53" t="str">
        <f aca="false">IF(AND(OR('Choix pédagogiques'!$C$3=1,'Choix pédagogiques'!$C$3=2),$BN824=1),H824,IF(AND('Choix pédagogiques'!$C$3=3,$BO824=1),H824,""))</f>
        <v/>
      </c>
      <c r="AD824" s="53" t="str">
        <f aca="false">IF(AND(OR('Choix pédagogiques'!$C$3=1,'Choix pédagogiques'!$C$3=2),$BN824=1),I824,IF(AND('Choix pédagogiques'!$C$3=3,$BO824=1),I824,""))</f>
        <v/>
      </c>
      <c r="AE824" s="53" t="str">
        <f aca="false">IF($J824&lt;&gt;"",$J824,"")</f>
        <v/>
      </c>
      <c r="AF824" s="52" t="str">
        <f aca="false">IF($A824&lt;&gt;"",$A824,"")</f>
        <v>Apprenant 812</v>
      </c>
      <c r="AG824" s="53" t="str">
        <f aca="false">IF(AND($W824&lt;&gt;"",$X824&lt;&gt;""),$X824-$W824,"")</f>
        <v/>
      </c>
      <c r="AH824" s="53" t="str">
        <f aca="false">IF(AND($W824&lt;&gt;"",$Y824&lt;&gt;""),$Y824-$W824,"")</f>
        <v/>
      </c>
      <c r="AI824" s="53" t="str">
        <f aca="false">IF(AND($X824&lt;&gt;"",$Y824&lt;&gt;""),$Y824-$X824,"")</f>
        <v/>
      </c>
      <c r="AJ824" s="53" t="str">
        <f aca="false">IF($E824&lt;&gt;"",$E824,"")</f>
        <v/>
      </c>
      <c r="AK824" s="52" t="str">
        <f aca="false">IF($F824&lt;&gt;"",$F824,"")</f>
        <v>Apprenant 812 ou 812'</v>
      </c>
      <c r="AL824" s="53" t="str">
        <f aca="false">IF(AND($AB824&lt;&gt;"",$AC824&lt;&gt;""),$AC824-$AB824,"")</f>
        <v/>
      </c>
      <c r="AM824" s="53" t="str">
        <f aca="false">IF(AND($AB824&lt;&gt;"",$AD824&lt;&gt;""),$AD824-$AB824,"")</f>
        <v/>
      </c>
      <c r="AN824" s="53" t="str">
        <f aca="false">IF(AND($AC824&lt;&gt;"",$AD824&lt;&gt;""),$AD824-$AC824,"")</f>
        <v/>
      </c>
      <c r="AO824" s="53" t="str">
        <f aca="false">IF($J824&lt;&gt;"",$J824,"")</f>
        <v/>
      </c>
      <c r="AQ824" s="52" t="str">
        <f aca="false">IF($A824&lt;&gt;"",$A824,"")</f>
        <v>Apprenant 812</v>
      </c>
      <c r="AR824" s="55" t="str">
        <f aca="false">IF(AND('Choix pédagogiques'!$C$4&lt;&gt;"?",'Choix pédagogiques'!$C$5&lt;&gt;"?",W824&lt;&gt;""),(W824-'Choix pédagogiques'!$C$4)/('Choix pédagogiques'!$C$5-'Choix pédagogiques'!$C$4),"")</f>
        <v/>
      </c>
      <c r="AS824" s="55" t="str">
        <f aca="false">IF(AND('Choix pédagogiques'!$C$4&lt;&gt;"?",'Choix pédagogiques'!$C$5&lt;&gt;"?",X824&lt;&gt;""),(X824-'Choix pédagogiques'!$C$4)/('Choix pédagogiques'!$C$5-'Choix pédagogiques'!$C$4),"")</f>
        <v/>
      </c>
      <c r="AT824" s="55" t="str">
        <f aca="false">IF(AND('Choix pédagogiques'!$C$4&lt;&gt;"?",'Choix pédagogiques'!$C$5&lt;&gt;"?",Y824&lt;&gt;""),(Y824-'Choix pédagogiques'!$C$4)/('Choix pédagogiques'!$C$5-'Choix pédagogiques'!$C$4),"")</f>
        <v/>
      </c>
      <c r="AU824" s="53" t="str">
        <f aca="false">IF($E824&lt;&gt;"",$E824,"")</f>
        <v/>
      </c>
      <c r="AV824" s="52" t="str">
        <f aca="false">IF($F824&lt;&gt;"",$F824,"")</f>
        <v>Apprenant 812 ou 812'</v>
      </c>
      <c r="AW824" s="55" t="str">
        <f aca="false">IF(AND('Choix pédagogiques'!$C$4&lt;&gt;"?",'Choix pédagogiques'!$C$5&lt;&gt;"?",AB824&lt;&gt;""),(AB824-'Choix pédagogiques'!$C$4)/('Choix pédagogiques'!$C$5-'Choix pédagogiques'!$C$4),"")</f>
        <v/>
      </c>
      <c r="AX824" s="55" t="str">
        <f aca="false">IF(AND('Choix pédagogiques'!$C$4&lt;&gt;"?",'Choix pédagogiques'!$C$5&lt;&gt;"?",AC824&lt;&gt;""),(AC824-'Choix pédagogiques'!$C$4)/('Choix pédagogiques'!$C$5-'Choix pédagogiques'!$C$4),"")</f>
        <v/>
      </c>
      <c r="AY824" s="55" t="str">
        <f aca="false">IF(AND('Choix pédagogiques'!$C$4&lt;&gt;"?",'Choix pédagogiques'!$C$5&lt;&gt;"?",AD824&lt;&gt;""),(AD824-'Choix pédagogiques'!$C$4)/('Choix pédagogiques'!$C$5-'Choix pédagogiques'!$C$4),"")</f>
        <v/>
      </c>
      <c r="AZ824" s="53" t="str">
        <f aca="false">IF($J824&lt;&gt;"",$J824,"")</f>
        <v/>
      </c>
      <c r="BA824" s="52" t="str">
        <f aca="false">IF($A824&lt;&gt;"",$A824,"")</f>
        <v>Apprenant 812</v>
      </c>
      <c r="BB824" s="55" t="str">
        <f aca="false">IF(AND($AR824&lt;&gt;"",$AS824&lt;&gt;""),$AS824-$AR824,"")</f>
        <v/>
      </c>
      <c r="BC824" s="55" t="str">
        <f aca="false">IF(AND($AR824&lt;&gt;"",$AT824&lt;&gt;""),$AT824-$AR824,"")</f>
        <v/>
      </c>
      <c r="BD824" s="55" t="str">
        <f aca="false">IF(AND($AS824&lt;&gt;"",$AT824&lt;&gt;""),$AT824-$AS824,"")</f>
        <v/>
      </c>
      <c r="BE824" s="53" t="str">
        <f aca="false">IF($E824&lt;&gt;"",$E824,"")</f>
        <v/>
      </c>
      <c r="BF824" s="52" t="str">
        <f aca="false">IF($F824&lt;&gt;"",$F824,"")</f>
        <v>Apprenant 812 ou 812'</v>
      </c>
      <c r="BG824" s="55" t="str">
        <f aca="false">IF(AND($AW824&lt;&gt;"",$AX824&lt;&gt;""),$AX824-$AW824,"")</f>
        <v/>
      </c>
      <c r="BH824" s="55" t="str">
        <f aca="false">IF(AND($AW824&lt;&gt;"",$AY824&lt;&gt;""),$AY824-$AW824,"")</f>
        <v/>
      </c>
      <c r="BI824" s="55" t="str">
        <f aca="false">IF(AND($AX824&lt;&gt;"",$AY824&lt;&gt;""),$AY824-$AX824,"")</f>
        <v/>
      </c>
      <c r="BJ824" s="53" t="str">
        <f aca="false">IF($J824&lt;&gt;"",$J824,"")</f>
        <v/>
      </c>
      <c r="BL824" s="52"/>
      <c r="BM824" s="52" t="str">
        <f aca="false">IF(OR(COUNT(B824:D1823)=0,AND('Choix pédagogiques'!$C$3&lt;&gt;1,'Choix pédagogiques'!$C$3&lt;&gt;2)),"",IF(AND(OR('Choix pédagogiques'!$C$3=1,'Choix pédagogiques'!$C$3=2),$B824&lt;&gt;"",$C824&lt;&gt;"",$D824&lt;&gt;""),1,0))</f>
        <v/>
      </c>
      <c r="BN824" s="52" t="str">
        <f aca="false">IF(OR(COUNT(G824:I1823)=0,AND('Choix pédagogiques'!$C$3&lt;&gt;1,'Choix pédagogiques'!$C$3&lt;&gt;2)),"",IF(AND(OR('Choix pédagogiques'!$C$3=1,'Choix pédagogiques'!$C$3=2),AND($G824&lt;&gt;"",$H824&lt;&gt;"",$I824&lt;&gt;"")),1,0))</f>
        <v/>
      </c>
      <c r="BO824" s="52" t="str">
        <f aca="false">IF(OR(COUNT(B824:D1823)=0,COUNT(G824:I1823)=0,'Choix pédagogiques'!C$3&lt;&gt;3),"",IF(AND('Choix pédagogiques'!$C$3=3,$B824&lt;&gt;"",$C824&lt;&gt;"",$D824&lt;&gt;"",$G824&lt;&gt;"",$H824&lt;&gt;"",$I824&lt;&gt;""),1,0))</f>
        <v/>
      </c>
      <c r="BR824" s="52" t="n">
        <v>3</v>
      </c>
      <c r="BS824" s="52" t="n">
        <v>1494</v>
      </c>
    </row>
    <row r="825" s="54" customFormat="true" ht="18" hidden="false" customHeight="true" outlineLevel="0" collapsed="false">
      <c r="A825" s="57" t="s">
        <v>1581</v>
      </c>
      <c r="B825" s="51"/>
      <c r="C825" s="51"/>
      <c r="D825" s="51"/>
      <c r="E825" s="51"/>
      <c r="F825" s="57" t="s">
        <v>1582</v>
      </c>
      <c r="G825" s="51"/>
      <c r="H825" s="51"/>
      <c r="I825" s="51"/>
      <c r="J825" s="51"/>
      <c r="K825" s="52" t="str">
        <f aca="false">IF($A825&lt;&gt;"",$A825,"")</f>
        <v>Apprenant 813</v>
      </c>
      <c r="L825" s="53" t="str">
        <f aca="false">IF(AND($B825&lt;&gt;"",$C825&lt;&gt;""),$C825-$B825,"")</f>
        <v/>
      </c>
      <c r="M825" s="53" t="str">
        <f aca="false">IF(AND($B825&lt;&gt;"",$D825&lt;&gt;""),$D825-$B825,"")</f>
        <v/>
      </c>
      <c r="N825" s="53" t="str">
        <f aca="false">IF(AND($C825&lt;&gt;"",$D825&lt;&gt;""),$D825-$C825,"")</f>
        <v/>
      </c>
      <c r="O825" s="53" t="str">
        <f aca="false">IF($E825&lt;&gt;"",$E825,"")</f>
        <v/>
      </c>
      <c r="P825" s="52" t="str">
        <f aca="false">IF($F825&lt;&gt;"",$F825,"")</f>
        <v>Apprenant 813 ou 813'</v>
      </c>
      <c r="Q825" s="53" t="str">
        <f aca="false">IF(AND($G825&lt;&gt;"",$H825&lt;&gt;""),$H825-$G825,"")</f>
        <v/>
      </c>
      <c r="R825" s="53" t="str">
        <f aca="false">IF(AND($G825&lt;&gt;"",$I825&lt;&gt;""),$I825-$G825,"")</f>
        <v/>
      </c>
      <c r="S825" s="53" t="str">
        <f aca="false">IF(AND($H825&lt;&gt;"",$I825&lt;&gt;""),$I825-$H825,"")</f>
        <v/>
      </c>
      <c r="T825" s="53" t="str">
        <f aca="false">IF($J825&lt;&gt;"",$J825,"")</f>
        <v/>
      </c>
      <c r="V825" s="52" t="str">
        <f aca="false">IF($A825&lt;&gt;"",$A825,"")</f>
        <v>Apprenant 813</v>
      </c>
      <c r="W825" s="53" t="str">
        <f aca="false">IF(AND(OR('Choix pédagogiques'!$C$3=1,'Choix pédagogiques'!$C$3=2),$BM825=1),B825,IF(AND('Choix pédagogiques'!$C$3=3,$BO825=1),B825,""))</f>
        <v/>
      </c>
      <c r="X825" s="53" t="str">
        <f aca="false">IF(AND(OR('Choix pédagogiques'!$C$3=1,'Choix pédagogiques'!$C$3=2),$BM825=1),C825,IF(AND('Choix pédagogiques'!$C$3=3,$BO825=1),C825,""))</f>
        <v/>
      </c>
      <c r="Y825" s="53" t="str">
        <f aca="false">IF(AND(OR('Choix pédagogiques'!$C$3=1,'Choix pédagogiques'!$C$3=2),$BM825=1),D825,IF(AND('Choix pédagogiques'!$C$3=3,$BO825=1),D825,""))</f>
        <v/>
      </c>
      <c r="Z825" s="53" t="str">
        <f aca="false">IF($E825&lt;&gt;"",$E825,"")</f>
        <v/>
      </c>
      <c r="AA825" s="52" t="str">
        <f aca="false">IF($F825&lt;&gt;"",$F825,"")</f>
        <v>Apprenant 813 ou 813'</v>
      </c>
      <c r="AB825" s="53" t="str">
        <f aca="false">IF(AND(OR('Choix pédagogiques'!$C$3=1,'Choix pédagogiques'!$C$3=2),$BN825=1),G825,IF(AND('Choix pédagogiques'!$C$3=3,$BO825=1),G825,""))</f>
        <v/>
      </c>
      <c r="AC825" s="53" t="str">
        <f aca="false">IF(AND(OR('Choix pédagogiques'!$C$3=1,'Choix pédagogiques'!$C$3=2),$BN825=1),H825,IF(AND('Choix pédagogiques'!$C$3=3,$BO825=1),H825,""))</f>
        <v/>
      </c>
      <c r="AD825" s="53" t="str">
        <f aca="false">IF(AND(OR('Choix pédagogiques'!$C$3=1,'Choix pédagogiques'!$C$3=2),$BN825=1),I825,IF(AND('Choix pédagogiques'!$C$3=3,$BO825=1),I825,""))</f>
        <v/>
      </c>
      <c r="AE825" s="53" t="str">
        <f aca="false">IF($J825&lt;&gt;"",$J825,"")</f>
        <v/>
      </c>
      <c r="AF825" s="52" t="str">
        <f aca="false">IF($A825&lt;&gt;"",$A825,"")</f>
        <v>Apprenant 813</v>
      </c>
      <c r="AG825" s="53" t="str">
        <f aca="false">IF(AND($W825&lt;&gt;"",$X825&lt;&gt;""),$X825-$W825,"")</f>
        <v/>
      </c>
      <c r="AH825" s="53" t="str">
        <f aca="false">IF(AND($W825&lt;&gt;"",$Y825&lt;&gt;""),$Y825-$W825,"")</f>
        <v/>
      </c>
      <c r="AI825" s="53" t="str">
        <f aca="false">IF(AND($X825&lt;&gt;"",$Y825&lt;&gt;""),$Y825-$X825,"")</f>
        <v/>
      </c>
      <c r="AJ825" s="53" t="str">
        <f aca="false">IF($E825&lt;&gt;"",$E825,"")</f>
        <v/>
      </c>
      <c r="AK825" s="52" t="str">
        <f aca="false">IF($F825&lt;&gt;"",$F825,"")</f>
        <v>Apprenant 813 ou 813'</v>
      </c>
      <c r="AL825" s="53" t="str">
        <f aca="false">IF(AND($AB825&lt;&gt;"",$AC825&lt;&gt;""),$AC825-$AB825,"")</f>
        <v/>
      </c>
      <c r="AM825" s="53" t="str">
        <f aca="false">IF(AND($AB825&lt;&gt;"",$AD825&lt;&gt;""),$AD825-$AB825,"")</f>
        <v/>
      </c>
      <c r="AN825" s="53" t="str">
        <f aca="false">IF(AND($AC825&lt;&gt;"",$AD825&lt;&gt;""),$AD825-$AC825,"")</f>
        <v/>
      </c>
      <c r="AO825" s="53" t="str">
        <f aca="false">IF($J825&lt;&gt;"",$J825,"")</f>
        <v/>
      </c>
      <c r="AQ825" s="52" t="str">
        <f aca="false">IF($A825&lt;&gt;"",$A825,"")</f>
        <v>Apprenant 813</v>
      </c>
      <c r="AR825" s="55" t="str">
        <f aca="false">IF(AND('Choix pédagogiques'!$C$4&lt;&gt;"?",'Choix pédagogiques'!$C$5&lt;&gt;"?",W825&lt;&gt;""),(W825-'Choix pédagogiques'!$C$4)/('Choix pédagogiques'!$C$5-'Choix pédagogiques'!$C$4),"")</f>
        <v/>
      </c>
      <c r="AS825" s="55" t="str">
        <f aca="false">IF(AND('Choix pédagogiques'!$C$4&lt;&gt;"?",'Choix pédagogiques'!$C$5&lt;&gt;"?",X825&lt;&gt;""),(X825-'Choix pédagogiques'!$C$4)/('Choix pédagogiques'!$C$5-'Choix pédagogiques'!$C$4),"")</f>
        <v/>
      </c>
      <c r="AT825" s="55" t="str">
        <f aca="false">IF(AND('Choix pédagogiques'!$C$4&lt;&gt;"?",'Choix pédagogiques'!$C$5&lt;&gt;"?",Y825&lt;&gt;""),(Y825-'Choix pédagogiques'!$C$4)/('Choix pédagogiques'!$C$5-'Choix pédagogiques'!$C$4),"")</f>
        <v/>
      </c>
      <c r="AU825" s="53" t="str">
        <f aca="false">IF($E825&lt;&gt;"",$E825,"")</f>
        <v/>
      </c>
      <c r="AV825" s="52" t="str">
        <f aca="false">IF($F825&lt;&gt;"",$F825,"")</f>
        <v>Apprenant 813 ou 813'</v>
      </c>
      <c r="AW825" s="55" t="str">
        <f aca="false">IF(AND('Choix pédagogiques'!$C$4&lt;&gt;"?",'Choix pédagogiques'!$C$5&lt;&gt;"?",AB825&lt;&gt;""),(AB825-'Choix pédagogiques'!$C$4)/('Choix pédagogiques'!$C$5-'Choix pédagogiques'!$C$4),"")</f>
        <v/>
      </c>
      <c r="AX825" s="55" t="str">
        <f aca="false">IF(AND('Choix pédagogiques'!$C$4&lt;&gt;"?",'Choix pédagogiques'!$C$5&lt;&gt;"?",AC825&lt;&gt;""),(AC825-'Choix pédagogiques'!$C$4)/('Choix pédagogiques'!$C$5-'Choix pédagogiques'!$C$4),"")</f>
        <v/>
      </c>
      <c r="AY825" s="55" t="str">
        <f aca="false">IF(AND('Choix pédagogiques'!$C$4&lt;&gt;"?",'Choix pédagogiques'!$C$5&lt;&gt;"?",AD825&lt;&gt;""),(AD825-'Choix pédagogiques'!$C$4)/('Choix pédagogiques'!$C$5-'Choix pédagogiques'!$C$4),"")</f>
        <v/>
      </c>
      <c r="AZ825" s="53" t="str">
        <f aca="false">IF($J825&lt;&gt;"",$J825,"")</f>
        <v/>
      </c>
      <c r="BA825" s="52" t="str">
        <f aca="false">IF($A825&lt;&gt;"",$A825,"")</f>
        <v>Apprenant 813</v>
      </c>
      <c r="BB825" s="55" t="str">
        <f aca="false">IF(AND($AR825&lt;&gt;"",$AS825&lt;&gt;""),$AS825-$AR825,"")</f>
        <v/>
      </c>
      <c r="BC825" s="55" t="str">
        <f aca="false">IF(AND($AR825&lt;&gt;"",$AT825&lt;&gt;""),$AT825-$AR825,"")</f>
        <v/>
      </c>
      <c r="BD825" s="55" t="str">
        <f aca="false">IF(AND($AS825&lt;&gt;"",$AT825&lt;&gt;""),$AT825-$AS825,"")</f>
        <v/>
      </c>
      <c r="BE825" s="53" t="str">
        <f aca="false">IF($E825&lt;&gt;"",$E825,"")</f>
        <v/>
      </c>
      <c r="BF825" s="52" t="str">
        <f aca="false">IF($F825&lt;&gt;"",$F825,"")</f>
        <v>Apprenant 813 ou 813'</v>
      </c>
      <c r="BG825" s="55" t="str">
        <f aca="false">IF(AND($AW825&lt;&gt;"",$AX825&lt;&gt;""),$AX825-$AW825,"")</f>
        <v/>
      </c>
      <c r="BH825" s="55" t="str">
        <f aca="false">IF(AND($AW825&lt;&gt;"",$AY825&lt;&gt;""),$AY825-$AW825,"")</f>
        <v/>
      </c>
      <c r="BI825" s="55" t="str">
        <f aca="false">IF(AND($AX825&lt;&gt;"",$AY825&lt;&gt;""),$AY825-$AX825,"")</f>
        <v/>
      </c>
      <c r="BJ825" s="53" t="str">
        <f aca="false">IF($J825&lt;&gt;"",$J825,"")</f>
        <v/>
      </c>
      <c r="BL825" s="52"/>
      <c r="BM825" s="52" t="str">
        <f aca="false">IF(OR(COUNT(B825:D1824)=0,AND('Choix pédagogiques'!$C$3&lt;&gt;1,'Choix pédagogiques'!$C$3&lt;&gt;2)),"",IF(AND(OR('Choix pédagogiques'!$C$3=1,'Choix pédagogiques'!$C$3=2),$B825&lt;&gt;"",$C825&lt;&gt;"",$D825&lt;&gt;""),1,0))</f>
        <v/>
      </c>
      <c r="BN825" s="52" t="str">
        <f aca="false">IF(OR(COUNT(G825:I1824)=0,AND('Choix pédagogiques'!$C$3&lt;&gt;1,'Choix pédagogiques'!$C$3&lt;&gt;2)),"",IF(AND(OR('Choix pédagogiques'!$C$3=1,'Choix pédagogiques'!$C$3=2),AND($G825&lt;&gt;"",$H825&lt;&gt;"",$I825&lt;&gt;"")),1,0))</f>
        <v/>
      </c>
      <c r="BO825" s="52" t="str">
        <f aca="false">IF(OR(COUNT(B825:D1824)=0,COUNT(G825:I1824)=0,'Choix pédagogiques'!C$3&lt;&gt;3),"",IF(AND('Choix pédagogiques'!$C$3=3,$B825&lt;&gt;"",$C825&lt;&gt;"",$D825&lt;&gt;"",$G825&lt;&gt;"",$H825&lt;&gt;"",$I825&lt;&gt;""),1,0))</f>
        <v/>
      </c>
      <c r="BR825" s="52" t="n">
        <v>911</v>
      </c>
      <c r="BS825" s="52" t="n">
        <v>1398</v>
      </c>
    </row>
    <row r="826" s="54" customFormat="true" ht="18" hidden="false" customHeight="true" outlineLevel="0" collapsed="false">
      <c r="A826" s="57" t="s">
        <v>1583</v>
      </c>
      <c r="B826" s="51"/>
      <c r="C826" s="51"/>
      <c r="D826" s="51"/>
      <c r="E826" s="51"/>
      <c r="F826" s="57" t="s">
        <v>1584</v>
      </c>
      <c r="G826" s="51"/>
      <c r="H826" s="51"/>
      <c r="I826" s="51"/>
      <c r="J826" s="51"/>
      <c r="K826" s="52" t="str">
        <f aca="false">IF($A826&lt;&gt;"",$A826,"")</f>
        <v>Apprenant 814</v>
      </c>
      <c r="L826" s="53" t="str">
        <f aca="false">IF(AND($B826&lt;&gt;"",$C826&lt;&gt;""),$C826-$B826,"")</f>
        <v/>
      </c>
      <c r="M826" s="53" t="str">
        <f aca="false">IF(AND($B826&lt;&gt;"",$D826&lt;&gt;""),$D826-$B826,"")</f>
        <v/>
      </c>
      <c r="N826" s="53" t="str">
        <f aca="false">IF(AND($C826&lt;&gt;"",$D826&lt;&gt;""),$D826-$C826,"")</f>
        <v/>
      </c>
      <c r="O826" s="53" t="str">
        <f aca="false">IF($E826&lt;&gt;"",$E826,"")</f>
        <v/>
      </c>
      <c r="P826" s="52" t="str">
        <f aca="false">IF($F826&lt;&gt;"",$F826,"")</f>
        <v>Apprenant 814 ou 814'</v>
      </c>
      <c r="Q826" s="53" t="str">
        <f aca="false">IF(AND($G826&lt;&gt;"",$H826&lt;&gt;""),$H826-$G826,"")</f>
        <v/>
      </c>
      <c r="R826" s="53" t="str">
        <f aca="false">IF(AND($G826&lt;&gt;"",$I826&lt;&gt;""),$I826-$G826,"")</f>
        <v/>
      </c>
      <c r="S826" s="53" t="str">
        <f aca="false">IF(AND($H826&lt;&gt;"",$I826&lt;&gt;""),$I826-$H826,"")</f>
        <v/>
      </c>
      <c r="T826" s="53" t="str">
        <f aca="false">IF($J826&lt;&gt;"",$J826,"")</f>
        <v/>
      </c>
      <c r="V826" s="52" t="str">
        <f aca="false">IF($A826&lt;&gt;"",$A826,"")</f>
        <v>Apprenant 814</v>
      </c>
      <c r="W826" s="53" t="str">
        <f aca="false">IF(AND(OR('Choix pédagogiques'!$C$3=1,'Choix pédagogiques'!$C$3=2),$BM826=1),B826,IF(AND('Choix pédagogiques'!$C$3=3,$BO826=1),B826,""))</f>
        <v/>
      </c>
      <c r="X826" s="53" t="str">
        <f aca="false">IF(AND(OR('Choix pédagogiques'!$C$3=1,'Choix pédagogiques'!$C$3=2),$BM826=1),C826,IF(AND('Choix pédagogiques'!$C$3=3,$BO826=1),C826,""))</f>
        <v/>
      </c>
      <c r="Y826" s="53" t="str">
        <f aca="false">IF(AND(OR('Choix pédagogiques'!$C$3=1,'Choix pédagogiques'!$C$3=2),$BM826=1),D826,IF(AND('Choix pédagogiques'!$C$3=3,$BO826=1),D826,""))</f>
        <v/>
      </c>
      <c r="Z826" s="53" t="str">
        <f aca="false">IF($E826&lt;&gt;"",$E826,"")</f>
        <v/>
      </c>
      <c r="AA826" s="52" t="str">
        <f aca="false">IF($F826&lt;&gt;"",$F826,"")</f>
        <v>Apprenant 814 ou 814'</v>
      </c>
      <c r="AB826" s="53" t="str">
        <f aca="false">IF(AND(OR('Choix pédagogiques'!$C$3=1,'Choix pédagogiques'!$C$3=2),$BN826=1),G826,IF(AND('Choix pédagogiques'!$C$3=3,$BO826=1),G826,""))</f>
        <v/>
      </c>
      <c r="AC826" s="53" t="str">
        <f aca="false">IF(AND(OR('Choix pédagogiques'!$C$3=1,'Choix pédagogiques'!$C$3=2),$BN826=1),H826,IF(AND('Choix pédagogiques'!$C$3=3,$BO826=1),H826,""))</f>
        <v/>
      </c>
      <c r="AD826" s="53" t="str">
        <f aca="false">IF(AND(OR('Choix pédagogiques'!$C$3=1,'Choix pédagogiques'!$C$3=2),$BN826=1),I826,IF(AND('Choix pédagogiques'!$C$3=3,$BO826=1),I826,""))</f>
        <v/>
      </c>
      <c r="AE826" s="53" t="str">
        <f aca="false">IF($J826&lt;&gt;"",$J826,"")</f>
        <v/>
      </c>
      <c r="AF826" s="52" t="str">
        <f aca="false">IF($A826&lt;&gt;"",$A826,"")</f>
        <v>Apprenant 814</v>
      </c>
      <c r="AG826" s="53" t="str">
        <f aca="false">IF(AND($W826&lt;&gt;"",$X826&lt;&gt;""),$X826-$W826,"")</f>
        <v/>
      </c>
      <c r="AH826" s="53" t="str">
        <f aca="false">IF(AND($W826&lt;&gt;"",$Y826&lt;&gt;""),$Y826-$W826,"")</f>
        <v/>
      </c>
      <c r="AI826" s="53" t="str">
        <f aca="false">IF(AND($X826&lt;&gt;"",$Y826&lt;&gt;""),$Y826-$X826,"")</f>
        <v/>
      </c>
      <c r="AJ826" s="53" t="str">
        <f aca="false">IF($E826&lt;&gt;"",$E826,"")</f>
        <v/>
      </c>
      <c r="AK826" s="52" t="str">
        <f aca="false">IF($F826&lt;&gt;"",$F826,"")</f>
        <v>Apprenant 814 ou 814'</v>
      </c>
      <c r="AL826" s="53" t="str">
        <f aca="false">IF(AND($AB826&lt;&gt;"",$AC826&lt;&gt;""),$AC826-$AB826,"")</f>
        <v/>
      </c>
      <c r="AM826" s="53" t="str">
        <f aca="false">IF(AND($AB826&lt;&gt;"",$AD826&lt;&gt;""),$AD826-$AB826,"")</f>
        <v/>
      </c>
      <c r="AN826" s="53" t="str">
        <f aca="false">IF(AND($AC826&lt;&gt;"",$AD826&lt;&gt;""),$AD826-$AC826,"")</f>
        <v/>
      </c>
      <c r="AO826" s="53" t="str">
        <f aca="false">IF($J826&lt;&gt;"",$J826,"")</f>
        <v/>
      </c>
      <c r="AQ826" s="52" t="str">
        <f aca="false">IF($A826&lt;&gt;"",$A826,"")</f>
        <v>Apprenant 814</v>
      </c>
      <c r="AR826" s="55" t="str">
        <f aca="false">IF(AND('Choix pédagogiques'!$C$4&lt;&gt;"?",'Choix pédagogiques'!$C$5&lt;&gt;"?",W826&lt;&gt;""),(W826-'Choix pédagogiques'!$C$4)/('Choix pédagogiques'!$C$5-'Choix pédagogiques'!$C$4),"")</f>
        <v/>
      </c>
      <c r="AS826" s="55" t="str">
        <f aca="false">IF(AND('Choix pédagogiques'!$C$4&lt;&gt;"?",'Choix pédagogiques'!$C$5&lt;&gt;"?",X826&lt;&gt;""),(X826-'Choix pédagogiques'!$C$4)/('Choix pédagogiques'!$C$5-'Choix pédagogiques'!$C$4),"")</f>
        <v/>
      </c>
      <c r="AT826" s="55" t="str">
        <f aca="false">IF(AND('Choix pédagogiques'!$C$4&lt;&gt;"?",'Choix pédagogiques'!$C$5&lt;&gt;"?",Y826&lt;&gt;""),(Y826-'Choix pédagogiques'!$C$4)/('Choix pédagogiques'!$C$5-'Choix pédagogiques'!$C$4),"")</f>
        <v/>
      </c>
      <c r="AU826" s="53" t="str">
        <f aca="false">IF($E826&lt;&gt;"",$E826,"")</f>
        <v/>
      </c>
      <c r="AV826" s="52" t="str">
        <f aca="false">IF($F826&lt;&gt;"",$F826,"")</f>
        <v>Apprenant 814 ou 814'</v>
      </c>
      <c r="AW826" s="55" t="str">
        <f aca="false">IF(AND('Choix pédagogiques'!$C$4&lt;&gt;"?",'Choix pédagogiques'!$C$5&lt;&gt;"?",AB826&lt;&gt;""),(AB826-'Choix pédagogiques'!$C$4)/('Choix pédagogiques'!$C$5-'Choix pédagogiques'!$C$4),"")</f>
        <v/>
      </c>
      <c r="AX826" s="55" t="str">
        <f aca="false">IF(AND('Choix pédagogiques'!$C$4&lt;&gt;"?",'Choix pédagogiques'!$C$5&lt;&gt;"?",AC826&lt;&gt;""),(AC826-'Choix pédagogiques'!$C$4)/('Choix pédagogiques'!$C$5-'Choix pédagogiques'!$C$4),"")</f>
        <v/>
      </c>
      <c r="AY826" s="55" t="str">
        <f aca="false">IF(AND('Choix pédagogiques'!$C$4&lt;&gt;"?",'Choix pédagogiques'!$C$5&lt;&gt;"?",AD826&lt;&gt;""),(AD826-'Choix pédagogiques'!$C$4)/('Choix pédagogiques'!$C$5-'Choix pédagogiques'!$C$4),"")</f>
        <v/>
      </c>
      <c r="AZ826" s="53" t="str">
        <f aca="false">IF($J826&lt;&gt;"",$J826,"")</f>
        <v/>
      </c>
      <c r="BA826" s="52" t="str">
        <f aca="false">IF($A826&lt;&gt;"",$A826,"")</f>
        <v>Apprenant 814</v>
      </c>
      <c r="BB826" s="55" t="str">
        <f aca="false">IF(AND($AR826&lt;&gt;"",$AS826&lt;&gt;""),$AS826-$AR826,"")</f>
        <v/>
      </c>
      <c r="BC826" s="55" t="str">
        <f aca="false">IF(AND($AR826&lt;&gt;"",$AT826&lt;&gt;""),$AT826-$AR826,"")</f>
        <v/>
      </c>
      <c r="BD826" s="55" t="str">
        <f aca="false">IF(AND($AS826&lt;&gt;"",$AT826&lt;&gt;""),$AT826-$AS826,"")</f>
        <v/>
      </c>
      <c r="BE826" s="53" t="str">
        <f aca="false">IF($E826&lt;&gt;"",$E826,"")</f>
        <v/>
      </c>
      <c r="BF826" s="52" t="str">
        <f aca="false">IF($F826&lt;&gt;"",$F826,"")</f>
        <v>Apprenant 814 ou 814'</v>
      </c>
      <c r="BG826" s="55" t="str">
        <f aca="false">IF(AND($AW826&lt;&gt;"",$AX826&lt;&gt;""),$AX826-$AW826,"")</f>
        <v/>
      </c>
      <c r="BH826" s="55" t="str">
        <f aca="false">IF(AND($AW826&lt;&gt;"",$AY826&lt;&gt;""),$AY826-$AW826,"")</f>
        <v/>
      </c>
      <c r="BI826" s="55" t="str">
        <f aca="false">IF(AND($AX826&lt;&gt;"",$AY826&lt;&gt;""),$AY826-$AX826,"")</f>
        <v/>
      </c>
      <c r="BJ826" s="53" t="str">
        <f aca="false">IF($J826&lt;&gt;"",$J826,"")</f>
        <v/>
      </c>
      <c r="BL826" s="52"/>
      <c r="BM826" s="52" t="str">
        <f aca="false">IF(OR(COUNT(B826:D1825)=0,AND('Choix pédagogiques'!$C$3&lt;&gt;1,'Choix pédagogiques'!$C$3&lt;&gt;2)),"",IF(AND(OR('Choix pédagogiques'!$C$3=1,'Choix pédagogiques'!$C$3=2),$B826&lt;&gt;"",$C826&lt;&gt;"",$D826&lt;&gt;""),1,0))</f>
        <v/>
      </c>
      <c r="BN826" s="52" t="str">
        <f aca="false">IF(OR(COUNT(G826:I1825)=0,AND('Choix pédagogiques'!$C$3&lt;&gt;1,'Choix pédagogiques'!$C$3&lt;&gt;2)),"",IF(AND(OR('Choix pédagogiques'!$C$3=1,'Choix pédagogiques'!$C$3=2),AND($G826&lt;&gt;"",$H826&lt;&gt;"",$I826&lt;&gt;"")),1,0))</f>
        <v/>
      </c>
      <c r="BO826" s="52" t="str">
        <f aca="false">IF(OR(COUNT(B826:D1825)=0,COUNT(G826:I1825)=0,'Choix pédagogiques'!C$3&lt;&gt;3),"",IF(AND('Choix pédagogiques'!$C$3=3,$B826&lt;&gt;"",$C826&lt;&gt;"",$D826&lt;&gt;"",$G826&lt;&gt;"",$H826&lt;&gt;"",$I826&lt;&gt;""),1,0))</f>
        <v/>
      </c>
      <c r="BR826" s="52" t="n">
        <v>199</v>
      </c>
      <c r="BS826" s="52" t="n">
        <v>1578</v>
      </c>
    </row>
    <row r="827" s="54" customFormat="true" ht="18" hidden="false" customHeight="true" outlineLevel="0" collapsed="false">
      <c r="A827" s="57" t="s">
        <v>1585</v>
      </c>
      <c r="B827" s="51"/>
      <c r="C827" s="51"/>
      <c r="D827" s="51"/>
      <c r="E827" s="51"/>
      <c r="F827" s="57" t="s">
        <v>1586</v>
      </c>
      <c r="G827" s="51"/>
      <c r="H827" s="51"/>
      <c r="I827" s="51"/>
      <c r="J827" s="51"/>
      <c r="K827" s="52" t="str">
        <f aca="false">IF($A827&lt;&gt;"",$A827,"")</f>
        <v>Apprenant 815</v>
      </c>
      <c r="L827" s="53" t="str">
        <f aca="false">IF(AND($B827&lt;&gt;"",$C827&lt;&gt;""),$C827-$B827,"")</f>
        <v/>
      </c>
      <c r="M827" s="53" t="str">
        <f aca="false">IF(AND($B827&lt;&gt;"",$D827&lt;&gt;""),$D827-$B827,"")</f>
        <v/>
      </c>
      <c r="N827" s="53" t="str">
        <f aca="false">IF(AND($C827&lt;&gt;"",$D827&lt;&gt;""),$D827-$C827,"")</f>
        <v/>
      </c>
      <c r="O827" s="53" t="str">
        <f aca="false">IF($E827&lt;&gt;"",$E827,"")</f>
        <v/>
      </c>
      <c r="P827" s="52" t="str">
        <f aca="false">IF($F827&lt;&gt;"",$F827,"")</f>
        <v>Apprenant 815 ou 815'</v>
      </c>
      <c r="Q827" s="53" t="str">
        <f aca="false">IF(AND($G827&lt;&gt;"",$H827&lt;&gt;""),$H827-$G827,"")</f>
        <v/>
      </c>
      <c r="R827" s="53" t="str">
        <f aca="false">IF(AND($G827&lt;&gt;"",$I827&lt;&gt;""),$I827-$G827,"")</f>
        <v/>
      </c>
      <c r="S827" s="53" t="str">
        <f aca="false">IF(AND($H827&lt;&gt;"",$I827&lt;&gt;""),$I827-$H827,"")</f>
        <v/>
      </c>
      <c r="T827" s="53" t="str">
        <f aca="false">IF($J827&lt;&gt;"",$J827,"")</f>
        <v/>
      </c>
      <c r="V827" s="52" t="str">
        <f aca="false">IF($A827&lt;&gt;"",$A827,"")</f>
        <v>Apprenant 815</v>
      </c>
      <c r="W827" s="53" t="str">
        <f aca="false">IF(AND(OR('Choix pédagogiques'!$C$3=1,'Choix pédagogiques'!$C$3=2),$BM827=1),B827,IF(AND('Choix pédagogiques'!$C$3=3,$BO827=1),B827,""))</f>
        <v/>
      </c>
      <c r="X827" s="53" t="str">
        <f aca="false">IF(AND(OR('Choix pédagogiques'!$C$3=1,'Choix pédagogiques'!$C$3=2),$BM827=1),C827,IF(AND('Choix pédagogiques'!$C$3=3,$BO827=1),C827,""))</f>
        <v/>
      </c>
      <c r="Y827" s="53" t="str">
        <f aca="false">IF(AND(OR('Choix pédagogiques'!$C$3=1,'Choix pédagogiques'!$C$3=2),$BM827=1),D827,IF(AND('Choix pédagogiques'!$C$3=3,$BO827=1),D827,""))</f>
        <v/>
      </c>
      <c r="Z827" s="53" t="str">
        <f aca="false">IF($E827&lt;&gt;"",$E827,"")</f>
        <v/>
      </c>
      <c r="AA827" s="52" t="str">
        <f aca="false">IF($F827&lt;&gt;"",$F827,"")</f>
        <v>Apprenant 815 ou 815'</v>
      </c>
      <c r="AB827" s="53" t="str">
        <f aca="false">IF(AND(OR('Choix pédagogiques'!$C$3=1,'Choix pédagogiques'!$C$3=2),$BN827=1),G827,IF(AND('Choix pédagogiques'!$C$3=3,$BO827=1),G827,""))</f>
        <v/>
      </c>
      <c r="AC827" s="53" t="str">
        <f aca="false">IF(AND(OR('Choix pédagogiques'!$C$3=1,'Choix pédagogiques'!$C$3=2),$BN827=1),H827,IF(AND('Choix pédagogiques'!$C$3=3,$BO827=1),H827,""))</f>
        <v/>
      </c>
      <c r="AD827" s="53" t="str">
        <f aca="false">IF(AND(OR('Choix pédagogiques'!$C$3=1,'Choix pédagogiques'!$C$3=2),$BN827=1),I827,IF(AND('Choix pédagogiques'!$C$3=3,$BO827=1),I827,""))</f>
        <v/>
      </c>
      <c r="AE827" s="53" t="str">
        <f aca="false">IF($J827&lt;&gt;"",$J827,"")</f>
        <v/>
      </c>
      <c r="AF827" s="52" t="str">
        <f aca="false">IF($A827&lt;&gt;"",$A827,"")</f>
        <v>Apprenant 815</v>
      </c>
      <c r="AG827" s="53" t="str">
        <f aca="false">IF(AND($W827&lt;&gt;"",$X827&lt;&gt;""),$X827-$W827,"")</f>
        <v/>
      </c>
      <c r="AH827" s="53" t="str">
        <f aca="false">IF(AND($W827&lt;&gt;"",$Y827&lt;&gt;""),$Y827-$W827,"")</f>
        <v/>
      </c>
      <c r="AI827" s="53" t="str">
        <f aca="false">IF(AND($X827&lt;&gt;"",$Y827&lt;&gt;""),$Y827-$X827,"")</f>
        <v/>
      </c>
      <c r="AJ827" s="53" t="str">
        <f aca="false">IF($E827&lt;&gt;"",$E827,"")</f>
        <v/>
      </c>
      <c r="AK827" s="52" t="str">
        <f aca="false">IF($F827&lt;&gt;"",$F827,"")</f>
        <v>Apprenant 815 ou 815'</v>
      </c>
      <c r="AL827" s="53" t="str">
        <f aca="false">IF(AND($AB827&lt;&gt;"",$AC827&lt;&gt;""),$AC827-$AB827,"")</f>
        <v/>
      </c>
      <c r="AM827" s="53" t="str">
        <f aca="false">IF(AND($AB827&lt;&gt;"",$AD827&lt;&gt;""),$AD827-$AB827,"")</f>
        <v/>
      </c>
      <c r="AN827" s="53" t="str">
        <f aca="false">IF(AND($AC827&lt;&gt;"",$AD827&lt;&gt;""),$AD827-$AC827,"")</f>
        <v/>
      </c>
      <c r="AO827" s="53" t="str">
        <f aca="false">IF($J827&lt;&gt;"",$J827,"")</f>
        <v/>
      </c>
      <c r="AQ827" s="52" t="str">
        <f aca="false">IF($A827&lt;&gt;"",$A827,"")</f>
        <v>Apprenant 815</v>
      </c>
      <c r="AR827" s="55" t="str">
        <f aca="false">IF(AND('Choix pédagogiques'!$C$4&lt;&gt;"?",'Choix pédagogiques'!$C$5&lt;&gt;"?",W827&lt;&gt;""),(W827-'Choix pédagogiques'!$C$4)/('Choix pédagogiques'!$C$5-'Choix pédagogiques'!$C$4),"")</f>
        <v/>
      </c>
      <c r="AS827" s="55" t="str">
        <f aca="false">IF(AND('Choix pédagogiques'!$C$4&lt;&gt;"?",'Choix pédagogiques'!$C$5&lt;&gt;"?",X827&lt;&gt;""),(X827-'Choix pédagogiques'!$C$4)/('Choix pédagogiques'!$C$5-'Choix pédagogiques'!$C$4),"")</f>
        <v/>
      </c>
      <c r="AT827" s="55" t="str">
        <f aca="false">IF(AND('Choix pédagogiques'!$C$4&lt;&gt;"?",'Choix pédagogiques'!$C$5&lt;&gt;"?",Y827&lt;&gt;""),(Y827-'Choix pédagogiques'!$C$4)/('Choix pédagogiques'!$C$5-'Choix pédagogiques'!$C$4),"")</f>
        <v/>
      </c>
      <c r="AU827" s="53" t="str">
        <f aca="false">IF($E827&lt;&gt;"",$E827,"")</f>
        <v/>
      </c>
      <c r="AV827" s="52" t="str">
        <f aca="false">IF($F827&lt;&gt;"",$F827,"")</f>
        <v>Apprenant 815 ou 815'</v>
      </c>
      <c r="AW827" s="55" t="str">
        <f aca="false">IF(AND('Choix pédagogiques'!$C$4&lt;&gt;"?",'Choix pédagogiques'!$C$5&lt;&gt;"?",AB827&lt;&gt;""),(AB827-'Choix pédagogiques'!$C$4)/('Choix pédagogiques'!$C$5-'Choix pédagogiques'!$C$4),"")</f>
        <v/>
      </c>
      <c r="AX827" s="55" t="str">
        <f aca="false">IF(AND('Choix pédagogiques'!$C$4&lt;&gt;"?",'Choix pédagogiques'!$C$5&lt;&gt;"?",AC827&lt;&gt;""),(AC827-'Choix pédagogiques'!$C$4)/('Choix pédagogiques'!$C$5-'Choix pédagogiques'!$C$4),"")</f>
        <v/>
      </c>
      <c r="AY827" s="55" t="str">
        <f aca="false">IF(AND('Choix pédagogiques'!$C$4&lt;&gt;"?",'Choix pédagogiques'!$C$5&lt;&gt;"?",AD827&lt;&gt;""),(AD827-'Choix pédagogiques'!$C$4)/('Choix pédagogiques'!$C$5-'Choix pédagogiques'!$C$4),"")</f>
        <v/>
      </c>
      <c r="AZ827" s="53" t="str">
        <f aca="false">IF($J827&lt;&gt;"",$J827,"")</f>
        <v/>
      </c>
      <c r="BA827" s="52" t="str">
        <f aca="false">IF($A827&lt;&gt;"",$A827,"")</f>
        <v>Apprenant 815</v>
      </c>
      <c r="BB827" s="55" t="str">
        <f aca="false">IF(AND($AR827&lt;&gt;"",$AS827&lt;&gt;""),$AS827-$AR827,"")</f>
        <v/>
      </c>
      <c r="BC827" s="55" t="str">
        <f aca="false">IF(AND($AR827&lt;&gt;"",$AT827&lt;&gt;""),$AT827-$AR827,"")</f>
        <v/>
      </c>
      <c r="BD827" s="55" t="str">
        <f aca="false">IF(AND($AS827&lt;&gt;"",$AT827&lt;&gt;""),$AT827-$AS827,"")</f>
        <v/>
      </c>
      <c r="BE827" s="53" t="str">
        <f aca="false">IF($E827&lt;&gt;"",$E827,"")</f>
        <v/>
      </c>
      <c r="BF827" s="52" t="str">
        <f aca="false">IF($F827&lt;&gt;"",$F827,"")</f>
        <v>Apprenant 815 ou 815'</v>
      </c>
      <c r="BG827" s="55" t="str">
        <f aca="false">IF(AND($AW827&lt;&gt;"",$AX827&lt;&gt;""),$AX827-$AW827,"")</f>
        <v/>
      </c>
      <c r="BH827" s="55" t="str">
        <f aca="false">IF(AND($AW827&lt;&gt;"",$AY827&lt;&gt;""),$AY827-$AW827,"")</f>
        <v/>
      </c>
      <c r="BI827" s="55" t="str">
        <f aca="false">IF(AND($AX827&lt;&gt;"",$AY827&lt;&gt;""),$AY827-$AX827,"")</f>
        <v/>
      </c>
      <c r="BJ827" s="53" t="str">
        <f aca="false">IF($J827&lt;&gt;"",$J827,"")</f>
        <v/>
      </c>
      <c r="BL827" s="52"/>
      <c r="BM827" s="52" t="str">
        <f aca="false">IF(OR(COUNT(B827:D1826)=0,AND('Choix pédagogiques'!$C$3&lt;&gt;1,'Choix pédagogiques'!$C$3&lt;&gt;2)),"",IF(AND(OR('Choix pédagogiques'!$C$3=1,'Choix pédagogiques'!$C$3=2),$B827&lt;&gt;"",$C827&lt;&gt;"",$D827&lt;&gt;""),1,0))</f>
        <v/>
      </c>
      <c r="BN827" s="52" t="str">
        <f aca="false">IF(OR(COUNT(G827:I1826)=0,AND('Choix pédagogiques'!$C$3&lt;&gt;1,'Choix pédagogiques'!$C$3&lt;&gt;2)),"",IF(AND(OR('Choix pédagogiques'!$C$3=1,'Choix pédagogiques'!$C$3=2),AND($G827&lt;&gt;"",$H827&lt;&gt;"",$I827&lt;&gt;"")),1,0))</f>
        <v/>
      </c>
      <c r="BO827" s="52" t="str">
        <f aca="false">IF(OR(COUNT(B827:D1826)=0,COUNT(G827:I1826)=0,'Choix pédagogiques'!C$3&lt;&gt;3),"",IF(AND('Choix pédagogiques'!$C$3=3,$B827&lt;&gt;"",$C827&lt;&gt;"",$D827&lt;&gt;"",$G827&lt;&gt;"",$H827&lt;&gt;"",$I827&lt;&gt;""),1,0))</f>
        <v/>
      </c>
      <c r="BR827" s="52" t="n">
        <v>395</v>
      </c>
      <c r="BS827" s="52" t="n">
        <v>1665</v>
      </c>
    </row>
    <row r="828" s="54" customFormat="true" ht="18" hidden="false" customHeight="true" outlineLevel="0" collapsed="false">
      <c r="A828" s="57" t="s">
        <v>1587</v>
      </c>
      <c r="B828" s="51"/>
      <c r="C828" s="51"/>
      <c r="D828" s="51"/>
      <c r="E828" s="51"/>
      <c r="F828" s="57" t="s">
        <v>1588</v>
      </c>
      <c r="G828" s="51"/>
      <c r="H828" s="51"/>
      <c r="I828" s="51"/>
      <c r="J828" s="51"/>
      <c r="K828" s="52" t="str">
        <f aca="false">IF($A828&lt;&gt;"",$A828,"")</f>
        <v>Apprenant 816</v>
      </c>
      <c r="L828" s="53" t="str">
        <f aca="false">IF(AND($B828&lt;&gt;"",$C828&lt;&gt;""),$C828-$B828,"")</f>
        <v/>
      </c>
      <c r="M828" s="53" t="str">
        <f aca="false">IF(AND($B828&lt;&gt;"",$D828&lt;&gt;""),$D828-$B828,"")</f>
        <v/>
      </c>
      <c r="N828" s="53" t="str">
        <f aca="false">IF(AND($C828&lt;&gt;"",$D828&lt;&gt;""),$D828-$C828,"")</f>
        <v/>
      </c>
      <c r="O828" s="53" t="str">
        <f aca="false">IF($E828&lt;&gt;"",$E828,"")</f>
        <v/>
      </c>
      <c r="P828" s="52" t="str">
        <f aca="false">IF($F828&lt;&gt;"",$F828,"")</f>
        <v>Apprenant 816 ou 816'</v>
      </c>
      <c r="Q828" s="53" t="str">
        <f aca="false">IF(AND($G828&lt;&gt;"",$H828&lt;&gt;""),$H828-$G828,"")</f>
        <v/>
      </c>
      <c r="R828" s="53" t="str">
        <f aca="false">IF(AND($G828&lt;&gt;"",$I828&lt;&gt;""),$I828-$G828,"")</f>
        <v/>
      </c>
      <c r="S828" s="53" t="str">
        <f aca="false">IF(AND($H828&lt;&gt;"",$I828&lt;&gt;""),$I828-$H828,"")</f>
        <v/>
      </c>
      <c r="T828" s="53" t="str">
        <f aca="false">IF($J828&lt;&gt;"",$J828,"")</f>
        <v/>
      </c>
      <c r="V828" s="52" t="str">
        <f aca="false">IF($A828&lt;&gt;"",$A828,"")</f>
        <v>Apprenant 816</v>
      </c>
      <c r="W828" s="53" t="str">
        <f aca="false">IF(AND(OR('Choix pédagogiques'!$C$3=1,'Choix pédagogiques'!$C$3=2),$BM828=1),B828,IF(AND('Choix pédagogiques'!$C$3=3,$BO828=1),B828,""))</f>
        <v/>
      </c>
      <c r="X828" s="53" t="str">
        <f aca="false">IF(AND(OR('Choix pédagogiques'!$C$3=1,'Choix pédagogiques'!$C$3=2),$BM828=1),C828,IF(AND('Choix pédagogiques'!$C$3=3,$BO828=1),C828,""))</f>
        <v/>
      </c>
      <c r="Y828" s="53" t="str">
        <f aca="false">IF(AND(OR('Choix pédagogiques'!$C$3=1,'Choix pédagogiques'!$C$3=2),$BM828=1),D828,IF(AND('Choix pédagogiques'!$C$3=3,$BO828=1),D828,""))</f>
        <v/>
      </c>
      <c r="Z828" s="53" t="str">
        <f aca="false">IF($E828&lt;&gt;"",$E828,"")</f>
        <v/>
      </c>
      <c r="AA828" s="52" t="str">
        <f aca="false">IF($F828&lt;&gt;"",$F828,"")</f>
        <v>Apprenant 816 ou 816'</v>
      </c>
      <c r="AB828" s="53" t="str">
        <f aca="false">IF(AND(OR('Choix pédagogiques'!$C$3=1,'Choix pédagogiques'!$C$3=2),$BN828=1),G828,IF(AND('Choix pédagogiques'!$C$3=3,$BO828=1),G828,""))</f>
        <v/>
      </c>
      <c r="AC828" s="53" t="str">
        <f aca="false">IF(AND(OR('Choix pédagogiques'!$C$3=1,'Choix pédagogiques'!$C$3=2),$BN828=1),H828,IF(AND('Choix pédagogiques'!$C$3=3,$BO828=1),H828,""))</f>
        <v/>
      </c>
      <c r="AD828" s="53" t="str">
        <f aca="false">IF(AND(OR('Choix pédagogiques'!$C$3=1,'Choix pédagogiques'!$C$3=2),$BN828=1),I828,IF(AND('Choix pédagogiques'!$C$3=3,$BO828=1),I828,""))</f>
        <v/>
      </c>
      <c r="AE828" s="53" t="str">
        <f aca="false">IF($J828&lt;&gt;"",$J828,"")</f>
        <v/>
      </c>
      <c r="AF828" s="52" t="str">
        <f aca="false">IF($A828&lt;&gt;"",$A828,"")</f>
        <v>Apprenant 816</v>
      </c>
      <c r="AG828" s="53" t="str">
        <f aca="false">IF(AND($W828&lt;&gt;"",$X828&lt;&gt;""),$X828-$W828,"")</f>
        <v/>
      </c>
      <c r="AH828" s="53" t="str">
        <f aca="false">IF(AND($W828&lt;&gt;"",$Y828&lt;&gt;""),$Y828-$W828,"")</f>
        <v/>
      </c>
      <c r="AI828" s="53" t="str">
        <f aca="false">IF(AND($X828&lt;&gt;"",$Y828&lt;&gt;""),$Y828-$X828,"")</f>
        <v/>
      </c>
      <c r="AJ828" s="53" t="str">
        <f aca="false">IF($E828&lt;&gt;"",$E828,"")</f>
        <v/>
      </c>
      <c r="AK828" s="52" t="str">
        <f aca="false">IF($F828&lt;&gt;"",$F828,"")</f>
        <v>Apprenant 816 ou 816'</v>
      </c>
      <c r="AL828" s="53" t="str">
        <f aca="false">IF(AND($AB828&lt;&gt;"",$AC828&lt;&gt;""),$AC828-$AB828,"")</f>
        <v/>
      </c>
      <c r="AM828" s="53" t="str">
        <f aca="false">IF(AND($AB828&lt;&gt;"",$AD828&lt;&gt;""),$AD828-$AB828,"")</f>
        <v/>
      </c>
      <c r="AN828" s="53" t="str">
        <f aca="false">IF(AND($AC828&lt;&gt;"",$AD828&lt;&gt;""),$AD828-$AC828,"")</f>
        <v/>
      </c>
      <c r="AO828" s="53" t="str">
        <f aca="false">IF($J828&lt;&gt;"",$J828,"")</f>
        <v/>
      </c>
      <c r="AQ828" s="52" t="str">
        <f aca="false">IF($A828&lt;&gt;"",$A828,"")</f>
        <v>Apprenant 816</v>
      </c>
      <c r="AR828" s="55" t="str">
        <f aca="false">IF(AND('Choix pédagogiques'!$C$4&lt;&gt;"?",'Choix pédagogiques'!$C$5&lt;&gt;"?",W828&lt;&gt;""),(W828-'Choix pédagogiques'!$C$4)/('Choix pédagogiques'!$C$5-'Choix pédagogiques'!$C$4),"")</f>
        <v/>
      </c>
      <c r="AS828" s="55" t="str">
        <f aca="false">IF(AND('Choix pédagogiques'!$C$4&lt;&gt;"?",'Choix pédagogiques'!$C$5&lt;&gt;"?",X828&lt;&gt;""),(X828-'Choix pédagogiques'!$C$4)/('Choix pédagogiques'!$C$5-'Choix pédagogiques'!$C$4),"")</f>
        <v/>
      </c>
      <c r="AT828" s="55" t="str">
        <f aca="false">IF(AND('Choix pédagogiques'!$C$4&lt;&gt;"?",'Choix pédagogiques'!$C$5&lt;&gt;"?",Y828&lt;&gt;""),(Y828-'Choix pédagogiques'!$C$4)/('Choix pédagogiques'!$C$5-'Choix pédagogiques'!$C$4),"")</f>
        <v/>
      </c>
      <c r="AU828" s="53" t="str">
        <f aca="false">IF($E828&lt;&gt;"",$E828,"")</f>
        <v/>
      </c>
      <c r="AV828" s="52" t="str">
        <f aca="false">IF($F828&lt;&gt;"",$F828,"")</f>
        <v>Apprenant 816 ou 816'</v>
      </c>
      <c r="AW828" s="55" t="str">
        <f aca="false">IF(AND('Choix pédagogiques'!$C$4&lt;&gt;"?",'Choix pédagogiques'!$C$5&lt;&gt;"?",AB828&lt;&gt;""),(AB828-'Choix pédagogiques'!$C$4)/('Choix pédagogiques'!$C$5-'Choix pédagogiques'!$C$4),"")</f>
        <v/>
      </c>
      <c r="AX828" s="55" t="str">
        <f aca="false">IF(AND('Choix pédagogiques'!$C$4&lt;&gt;"?",'Choix pédagogiques'!$C$5&lt;&gt;"?",AC828&lt;&gt;""),(AC828-'Choix pédagogiques'!$C$4)/('Choix pédagogiques'!$C$5-'Choix pédagogiques'!$C$4),"")</f>
        <v/>
      </c>
      <c r="AY828" s="55" t="str">
        <f aca="false">IF(AND('Choix pédagogiques'!$C$4&lt;&gt;"?",'Choix pédagogiques'!$C$5&lt;&gt;"?",AD828&lt;&gt;""),(AD828-'Choix pédagogiques'!$C$4)/('Choix pédagogiques'!$C$5-'Choix pédagogiques'!$C$4),"")</f>
        <v/>
      </c>
      <c r="AZ828" s="53" t="str">
        <f aca="false">IF($J828&lt;&gt;"",$J828,"")</f>
        <v/>
      </c>
      <c r="BA828" s="52" t="str">
        <f aca="false">IF($A828&lt;&gt;"",$A828,"")</f>
        <v>Apprenant 816</v>
      </c>
      <c r="BB828" s="55" t="str">
        <f aca="false">IF(AND($AR828&lt;&gt;"",$AS828&lt;&gt;""),$AS828-$AR828,"")</f>
        <v/>
      </c>
      <c r="BC828" s="55" t="str">
        <f aca="false">IF(AND($AR828&lt;&gt;"",$AT828&lt;&gt;""),$AT828-$AR828,"")</f>
        <v/>
      </c>
      <c r="BD828" s="55" t="str">
        <f aca="false">IF(AND($AS828&lt;&gt;"",$AT828&lt;&gt;""),$AT828-$AS828,"")</f>
        <v/>
      </c>
      <c r="BE828" s="53" t="str">
        <f aca="false">IF($E828&lt;&gt;"",$E828,"")</f>
        <v/>
      </c>
      <c r="BF828" s="52" t="str">
        <f aca="false">IF($F828&lt;&gt;"",$F828,"")</f>
        <v>Apprenant 816 ou 816'</v>
      </c>
      <c r="BG828" s="55" t="str">
        <f aca="false">IF(AND($AW828&lt;&gt;"",$AX828&lt;&gt;""),$AX828-$AW828,"")</f>
        <v/>
      </c>
      <c r="BH828" s="55" t="str">
        <f aca="false">IF(AND($AW828&lt;&gt;"",$AY828&lt;&gt;""),$AY828-$AW828,"")</f>
        <v/>
      </c>
      <c r="BI828" s="55" t="str">
        <f aca="false">IF(AND($AX828&lt;&gt;"",$AY828&lt;&gt;""),$AY828-$AX828,"")</f>
        <v/>
      </c>
      <c r="BJ828" s="53" t="str">
        <f aca="false">IF($J828&lt;&gt;"",$J828,"")</f>
        <v/>
      </c>
      <c r="BL828" s="52"/>
      <c r="BM828" s="52" t="str">
        <f aca="false">IF(OR(COUNT(B828:D1827)=0,AND('Choix pédagogiques'!$C$3&lt;&gt;1,'Choix pédagogiques'!$C$3&lt;&gt;2)),"",IF(AND(OR('Choix pédagogiques'!$C$3=1,'Choix pédagogiques'!$C$3=2),$B828&lt;&gt;"",$C828&lt;&gt;"",$D828&lt;&gt;""),1,0))</f>
        <v/>
      </c>
      <c r="BN828" s="52" t="str">
        <f aca="false">IF(OR(COUNT(G828:I1827)=0,AND('Choix pédagogiques'!$C$3&lt;&gt;1,'Choix pédagogiques'!$C$3&lt;&gt;2)),"",IF(AND(OR('Choix pédagogiques'!$C$3=1,'Choix pédagogiques'!$C$3=2),AND($G828&lt;&gt;"",$H828&lt;&gt;"",$I828&lt;&gt;"")),1,0))</f>
        <v/>
      </c>
      <c r="BO828" s="52" t="str">
        <f aca="false">IF(OR(COUNT(B828:D1827)=0,COUNT(G828:I1827)=0,'Choix pédagogiques'!C$3&lt;&gt;3),"",IF(AND('Choix pédagogiques'!$C$3=3,$B828&lt;&gt;"",$C828&lt;&gt;"",$D828&lt;&gt;"",$G828&lt;&gt;"",$H828&lt;&gt;"",$I828&lt;&gt;""),1,0))</f>
        <v/>
      </c>
      <c r="BR828" s="52" t="n">
        <v>355</v>
      </c>
      <c r="BS828" s="52" t="n">
        <v>1478</v>
      </c>
    </row>
    <row r="829" s="54" customFormat="true" ht="18" hidden="false" customHeight="true" outlineLevel="0" collapsed="false">
      <c r="A829" s="57" t="s">
        <v>1589</v>
      </c>
      <c r="B829" s="51"/>
      <c r="C829" s="51"/>
      <c r="D829" s="51"/>
      <c r="E829" s="51"/>
      <c r="F829" s="57" t="s">
        <v>1590</v>
      </c>
      <c r="G829" s="51"/>
      <c r="H829" s="51"/>
      <c r="I829" s="51"/>
      <c r="J829" s="51"/>
      <c r="K829" s="52" t="str">
        <f aca="false">IF($A829&lt;&gt;"",$A829,"")</f>
        <v>Apprenant 817</v>
      </c>
      <c r="L829" s="53" t="str">
        <f aca="false">IF(AND($B829&lt;&gt;"",$C829&lt;&gt;""),$C829-$B829,"")</f>
        <v/>
      </c>
      <c r="M829" s="53" t="str">
        <f aca="false">IF(AND($B829&lt;&gt;"",$D829&lt;&gt;""),$D829-$B829,"")</f>
        <v/>
      </c>
      <c r="N829" s="53" t="str">
        <f aca="false">IF(AND($C829&lt;&gt;"",$D829&lt;&gt;""),$D829-$C829,"")</f>
        <v/>
      </c>
      <c r="O829" s="53" t="str">
        <f aca="false">IF($E829&lt;&gt;"",$E829,"")</f>
        <v/>
      </c>
      <c r="P829" s="52" t="str">
        <f aca="false">IF($F829&lt;&gt;"",$F829,"")</f>
        <v>Apprenant 817 ou 817'</v>
      </c>
      <c r="Q829" s="53" t="str">
        <f aca="false">IF(AND($G829&lt;&gt;"",$H829&lt;&gt;""),$H829-$G829,"")</f>
        <v/>
      </c>
      <c r="R829" s="53" t="str">
        <f aca="false">IF(AND($G829&lt;&gt;"",$I829&lt;&gt;""),$I829-$G829,"")</f>
        <v/>
      </c>
      <c r="S829" s="53" t="str">
        <f aca="false">IF(AND($H829&lt;&gt;"",$I829&lt;&gt;""),$I829-$H829,"")</f>
        <v/>
      </c>
      <c r="T829" s="53" t="str">
        <f aca="false">IF($J829&lt;&gt;"",$J829,"")</f>
        <v/>
      </c>
      <c r="V829" s="52" t="str">
        <f aca="false">IF($A829&lt;&gt;"",$A829,"")</f>
        <v>Apprenant 817</v>
      </c>
      <c r="W829" s="53" t="str">
        <f aca="false">IF(AND(OR('Choix pédagogiques'!$C$3=1,'Choix pédagogiques'!$C$3=2),$BM829=1),B829,IF(AND('Choix pédagogiques'!$C$3=3,$BO829=1),B829,""))</f>
        <v/>
      </c>
      <c r="X829" s="53" t="str">
        <f aca="false">IF(AND(OR('Choix pédagogiques'!$C$3=1,'Choix pédagogiques'!$C$3=2),$BM829=1),C829,IF(AND('Choix pédagogiques'!$C$3=3,$BO829=1),C829,""))</f>
        <v/>
      </c>
      <c r="Y829" s="53" t="str">
        <f aca="false">IF(AND(OR('Choix pédagogiques'!$C$3=1,'Choix pédagogiques'!$C$3=2),$BM829=1),D829,IF(AND('Choix pédagogiques'!$C$3=3,$BO829=1),D829,""))</f>
        <v/>
      </c>
      <c r="Z829" s="53" t="str">
        <f aca="false">IF($E829&lt;&gt;"",$E829,"")</f>
        <v/>
      </c>
      <c r="AA829" s="52" t="str">
        <f aca="false">IF($F829&lt;&gt;"",$F829,"")</f>
        <v>Apprenant 817 ou 817'</v>
      </c>
      <c r="AB829" s="53" t="str">
        <f aca="false">IF(AND(OR('Choix pédagogiques'!$C$3=1,'Choix pédagogiques'!$C$3=2),$BN829=1),G829,IF(AND('Choix pédagogiques'!$C$3=3,$BO829=1),G829,""))</f>
        <v/>
      </c>
      <c r="AC829" s="53" t="str">
        <f aca="false">IF(AND(OR('Choix pédagogiques'!$C$3=1,'Choix pédagogiques'!$C$3=2),$BN829=1),H829,IF(AND('Choix pédagogiques'!$C$3=3,$BO829=1),H829,""))</f>
        <v/>
      </c>
      <c r="AD829" s="53" t="str">
        <f aca="false">IF(AND(OR('Choix pédagogiques'!$C$3=1,'Choix pédagogiques'!$C$3=2),$BN829=1),I829,IF(AND('Choix pédagogiques'!$C$3=3,$BO829=1),I829,""))</f>
        <v/>
      </c>
      <c r="AE829" s="53" t="str">
        <f aca="false">IF($J829&lt;&gt;"",$J829,"")</f>
        <v/>
      </c>
      <c r="AF829" s="52" t="str">
        <f aca="false">IF($A829&lt;&gt;"",$A829,"")</f>
        <v>Apprenant 817</v>
      </c>
      <c r="AG829" s="53" t="str">
        <f aca="false">IF(AND($W829&lt;&gt;"",$X829&lt;&gt;""),$X829-$W829,"")</f>
        <v/>
      </c>
      <c r="AH829" s="53" t="str">
        <f aca="false">IF(AND($W829&lt;&gt;"",$Y829&lt;&gt;""),$Y829-$W829,"")</f>
        <v/>
      </c>
      <c r="AI829" s="53" t="str">
        <f aca="false">IF(AND($X829&lt;&gt;"",$Y829&lt;&gt;""),$Y829-$X829,"")</f>
        <v/>
      </c>
      <c r="AJ829" s="53" t="str">
        <f aca="false">IF($E829&lt;&gt;"",$E829,"")</f>
        <v/>
      </c>
      <c r="AK829" s="52" t="str">
        <f aca="false">IF($F829&lt;&gt;"",$F829,"")</f>
        <v>Apprenant 817 ou 817'</v>
      </c>
      <c r="AL829" s="53" t="str">
        <f aca="false">IF(AND($AB829&lt;&gt;"",$AC829&lt;&gt;""),$AC829-$AB829,"")</f>
        <v/>
      </c>
      <c r="AM829" s="53" t="str">
        <f aca="false">IF(AND($AB829&lt;&gt;"",$AD829&lt;&gt;""),$AD829-$AB829,"")</f>
        <v/>
      </c>
      <c r="AN829" s="53" t="str">
        <f aca="false">IF(AND($AC829&lt;&gt;"",$AD829&lt;&gt;""),$AD829-$AC829,"")</f>
        <v/>
      </c>
      <c r="AO829" s="53" t="str">
        <f aca="false">IF($J829&lt;&gt;"",$J829,"")</f>
        <v/>
      </c>
      <c r="AQ829" s="52" t="str">
        <f aca="false">IF($A829&lt;&gt;"",$A829,"")</f>
        <v>Apprenant 817</v>
      </c>
      <c r="AR829" s="55" t="str">
        <f aca="false">IF(AND('Choix pédagogiques'!$C$4&lt;&gt;"?",'Choix pédagogiques'!$C$5&lt;&gt;"?",W829&lt;&gt;""),(W829-'Choix pédagogiques'!$C$4)/('Choix pédagogiques'!$C$5-'Choix pédagogiques'!$C$4),"")</f>
        <v/>
      </c>
      <c r="AS829" s="55" t="str">
        <f aca="false">IF(AND('Choix pédagogiques'!$C$4&lt;&gt;"?",'Choix pédagogiques'!$C$5&lt;&gt;"?",X829&lt;&gt;""),(X829-'Choix pédagogiques'!$C$4)/('Choix pédagogiques'!$C$5-'Choix pédagogiques'!$C$4),"")</f>
        <v/>
      </c>
      <c r="AT829" s="55" t="str">
        <f aca="false">IF(AND('Choix pédagogiques'!$C$4&lt;&gt;"?",'Choix pédagogiques'!$C$5&lt;&gt;"?",Y829&lt;&gt;""),(Y829-'Choix pédagogiques'!$C$4)/('Choix pédagogiques'!$C$5-'Choix pédagogiques'!$C$4),"")</f>
        <v/>
      </c>
      <c r="AU829" s="53" t="str">
        <f aca="false">IF($E829&lt;&gt;"",$E829,"")</f>
        <v/>
      </c>
      <c r="AV829" s="52" t="str">
        <f aca="false">IF($F829&lt;&gt;"",$F829,"")</f>
        <v>Apprenant 817 ou 817'</v>
      </c>
      <c r="AW829" s="55" t="str">
        <f aca="false">IF(AND('Choix pédagogiques'!$C$4&lt;&gt;"?",'Choix pédagogiques'!$C$5&lt;&gt;"?",AB829&lt;&gt;""),(AB829-'Choix pédagogiques'!$C$4)/('Choix pédagogiques'!$C$5-'Choix pédagogiques'!$C$4),"")</f>
        <v/>
      </c>
      <c r="AX829" s="55" t="str">
        <f aca="false">IF(AND('Choix pédagogiques'!$C$4&lt;&gt;"?",'Choix pédagogiques'!$C$5&lt;&gt;"?",AC829&lt;&gt;""),(AC829-'Choix pédagogiques'!$C$4)/('Choix pédagogiques'!$C$5-'Choix pédagogiques'!$C$4),"")</f>
        <v/>
      </c>
      <c r="AY829" s="55" t="str">
        <f aca="false">IF(AND('Choix pédagogiques'!$C$4&lt;&gt;"?",'Choix pédagogiques'!$C$5&lt;&gt;"?",AD829&lt;&gt;""),(AD829-'Choix pédagogiques'!$C$4)/('Choix pédagogiques'!$C$5-'Choix pédagogiques'!$C$4),"")</f>
        <v/>
      </c>
      <c r="AZ829" s="53" t="str">
        <f aca="false">IF($J829&lt;&gt;"",$J829,"")</f>
        <v/>
      </c>
      <c r="BA829" s="52" t="str">
        <f aca="false">IF($A829&lt;&gt;"",$A829,"")</f>
        <v>Apprenant 817</v>
      </c>
      <c r="BB829" s="55" t="str">
        <f aca="false">IF(AND($AR829&lt;&gt;"",$AS829&lt;&gt;""),$AS829-$AR829,"")</f>
        <v/>
      </c>
      <c r="BC829" s="55" t="str">
        <f aca="false">IF(AND($AR829&lt;&gt;"",$AT829&lt;&gt;""),$AT829-$AR829,"")</f>
        <v/>
      </c>
      <c r="BD829" s="55" t="str">
        <f aca="false">IF(AND($AS829&lt;&gt;"",$AT829&lt;&gt;""),$AT829-$AS829,"")</f>
        <v/>
      </c>
      <c r="BE829" s="53" t="str">
        <f aca="false">IF($E829&lt;&gt;"",$E829,"")</f>
        <v/>
      </c>
      <c r="BF829" s="52" t="str">
        <f aca="false">IF($F829&lt;&gt;"",$F829,"")</f>
        <v>Apprenant 817 ou 817'</v>
      </c>
      <c r="BG829" s="55" t="str">
        <f aca="false">IF(AND($AW829&lt;&gt;"",$AX829&lt;&gt;""),$AX829-$AW829,"")</f>
        <v/>
      </c>
      <c r="BH829" s="55" t="str">
        <f aca="false">IF(AND($AW829&lt;&gt;"",$AY829&lt;&gt;""),$AY829-$AW829,"")</f>
        <v/>
      </c>
      <c r="BI829" s="55" t="str">
        <f aca="false">IF(AND($AX829&lt;&gt;"",$AY829&lt;&gt;""),$AY829-$AX829,"")</f>
        <v/>
      </c>
      <c r="BJ829" s="53" t="str">
        <f aca="false">IF($J829&lt;&gt;"",$J829,"")</f>
        <v/>
      </c>
      <c r="BL829" s="52"/>
      <c r="BM829" s="52" t="str">
        <f aca="false">IF(OR(COUNT(B829:D1828)=0,AND('Choix pédagogiques'!$C$3&lt;&gt;1,'Choix pédagogiques'!$C$3&lt;&gt;2)),"",IF(AND(OR('Choix pédagogiques'!$C$3=1,'Choix pédagogiques'!$C$3=2),$B829&lt;&gt;"",$C829&lt;&gt;"",$D829&lt;&gt;""),1,0))</f>
        <v/>
      </c>
      <c r="BN829" s="52" t="str">
        <f aca="false">IF(OR(COUNT(G829:I1828)=0,AND('Choix pédagogiques'!$C$3&lt;&gt;1,'Choix pédagogiques'!$C$3&lt;&gt;2)),"",IF(AND(OR('Choix pédagogiques'!$C$3=1,'Choix pédagogiques'!$C$3=2),AND($G829&lt;&gt;"",$H829&lt;&gt;"",$I829&lt;&gt;"")),1,0))</f>
        <v/>
      </c>
      <c r="BO829" s="52" t="str">
        <f aca="false">IF(OR(COUNT(B829:D1828)=0,COUNT(G829:I1828)=0,'Choix pédagogiques'!C$3&lt;&gt;3),"",IF(AND('Choix pédagogiques'!$C$3=3,$B829&lt;&gt;"",$C829&lt;&gt;"",$D829&lt;&gt;"",$G829&lt;&gt;"",$H829&lt;&gt;"",$I829&lt;&gt;""),1,0))</f>
        <v/>
      </c>
      <c r="BR829" s="52" t="n">
        <v>374</v>
      </c>
      <c r="BS829" s="52" t="n">
        <v>1822</v>
      </c>
    </row>
    <row r="830" s="54" customFormat="true" ht="18" hidden="false" customHeight="true" outlineLevel="0" collapsed="false">
      <c r="A830" s="57" t="s">
        <v>1591</v>
      </c>
      <c r="B830" s="51"/>
      <c r="C830" s="51"/>
      <c r="D830" s="51"/>
      <c r="E830" s="51"/>
      <c r="F830" s="57" t="s">
        <v>1592</v>
      </c>
      <c r="G830" s="51"/>
      <c r="H830" s="51"/>
      <c r="I830" s="51"/>
      <c r="J830" s="51"/>
      <c r="K830" s="52" t="str">
        <f aca="false">IF($A830&lt;&gt;"",$A830,"")</f>
        <v>Apprenant 818</v>
      </c>
      <c r="L830" s="53" t="str">
        <f aca="false">IF(AND($B830&lt;&gt;"",$C830&lt;&gt;""),$C830-$B830,"")</f>
        <v/>
      </c>
      <c r="M830" s="53" t="str">
        <f aca="false">IF(AND($B830&lt;&gt;"",$D830&lt;&gt;""),$D830-$B830,"")</f>
        <v/>
      </c>
      <c r="N830" s="53" t="str">
        <f aca="false">IF(AND($C830&lt;&gt;"",$D830&lt;&gt;""),$D830-$C830,"")</f>
        <v/>
      </c>
      <c r="O830" s="53" t="str">
        <f aca="false">IF($E830&lt;&gt;"",$E830,"")</f>
        <v/>
      </c>
      <c r="P830" s="52" t="str">
        <f aca="false">IF($F830&lt;&gt;"",$F830,"")</f>
        <v>Apprenant 818 ou 818'</v>
      </c>
      <c r="Q830" s="53" t="str">
        <f aca="false">IF(AND($G830&lt;&gt;"",$H830&lt;&gt;""),$H830-$G830,"")</f>
        <v/>
      </c>
      <c r="R830" s="53" t="str">
        <f aca="false">IF(AND($G830&lt;&gt;"",$I830&lt;&gt;""),$I830-$G830,"")</f>
        <v/>
      </c>
      <c r="S830" s="53" t="str">
        <f aca="false">IF(AND($H830&lt;&gt;"",$I830&lt;&gt;""),$I830-$H830,"")</f>
        <v/>
      </c>
      <c r="T830" s="53" t="str">
        <f aca="false">IF($J830&lt;&gt;"",$J830,"")</f>
        <v/>
      </c>
      <c r="V830" s="52" t="str">
        <f aca="false">IF($A830&lt;&gt;"",$A830,"")</f>
        <v>Apprenant 818</v>
      </c>
      <c r="W830" s="53" t="str">
        <f aca="false">IF(AND(OR('Choix pédagogiques'!$C$3=1,'Choix pédagogiques'!$C$3=2),$BM830=1),B830,IF(AND('Choix pédagogiques'!$C$3=3,$BO830=1),B830,""))</f>
        <v/>
      </c>
      <c r="X830" s="53" t="str">
        <f aca="false">IF(AND(OR('Choix pédagogiques'!$C$3=1,'Choix pédagogiques'!$C$3=2),$BM830=1),C830,IF(AND('Choix pédagogiques'!$C$3=3,$BO830=1),C830,""))</f>
        <v/>
      </c>
      <c r="Y830" s="53" t="str">
        <f aca="false">IF(AND(OR('Choix pédagogiques'!$C$3=1,'Choix pédagogiques'!$C$3=2),$BM830=1),D830,IF(AND('Choix pédagogiques'!$C$3=3,$BO830=1),D830,""))</f>
        <v/>
      </c>
      <c r="Z830" s="53" t="str">
        <f aca="false">IF($E830&lt;&gt;"",$E830,"")</f>
        <v/>
      </c>
      <c r="AA830" s="52" t="str">
        <f aca="false">IF($F830&lt;&gt;"",$F830,"")</f>
        <v>Apprenant 818 ou 818'</v>
      </c>
      <c r="AB830" s="53" t="str">
        <f aca="false">IF(AND(OR('Choix pédagogiques'!$C$3=1,'Choix pédagogiques'!$C$3=2),$BN830=1),G830,IF(AND('Choix pédagogiques'!$C$3=3,$BO830=1),G830,""))</f>
        <v/>
      </c>
      <c r="AC830" s="53" t="str">
        <f aca="false">IF(AND(OR('Choix pédagogiques'!$C$3=1,'Choix pédagogiques'!$C$3=2),$BN830=1),H830,IF(AND('Choix pédagogiques'!$C$3=3,$BO830=1),H830,""))</f>
        <v/>
      </c>
      <c r="AD830" s="53" t="str">
        <f aca="false">IF(AND(OR('Choix pédagogiques'!$C$3=1,'Choix pédagogiques'!$C$3=2),$BN830=1),I830,IF(AND('Choix pédagogiques'!$C$3=3,$BO830=1),I830,""))</f>
        <v/>
      </c>
      <c r="AE830" s="53" t="str">
        <f aca="false">IF($J830&lt;&gt;"",$J830,"")</f>
        <v/>
      </c>
      <c r="AF830" s="52" t="str">
        <f aca="false">IF($A830&lt;&gt;"",$A830,"")</f>
        <v>Apprenant 818</v>
      </c>
      <c r="AG830" s="53" t="str">
        <f aca="false">IF(AND($W830&lt;&gt;"",$X830&lt;&gt;""),$X830-$W830,"")</f>
        <v/>
      </c>
      <c r="AH830" s="53" t="str">
        <f aca="false">IF(AND($W830&lt;&gt;"",$Y830&lt;&gt;""),$Y830-$W830,"")</f>
        <v/>
      </c>
      <c r="AI830" s="53" t="str">
        <f aca="false">IF(AND($X830&lt;&gt;"",$Y830&lt;&gt;""),$Y830-$X830,"")</f>
        <v/>
      </c>
      <c r="AJ830" s="53" t="str">
        <f aca="false">IF($E830&lt;&gt;"",$E830,"")</f>
        <v/>
      </c>
      <c r="AK830" s="52" t="str">
        <f aca="false">IF($F830&lt;&gt;"",$F830,"")</f>
        <v>Apprenant 818 ou 818'</v>
      </c>
      <c r="AL830" s="53" t="str">
        <f aca="false">IF(AND($AB830&lt;&gt;"",$AC830&lt;&gt;""),$AC830-$AB830,"")</f>
        <v/>
      </c>
      <c r="AM830" s="53" t="str">
        <f aca="false">IF(AND($AB830&lt;&gt;"",$AD830&lt;&gt;""),$AD830-$AB830,"")</f>
        <v/>
      </c>
      <c r="AN830" s="53" t="str">
        <f aca="false">IF(AND($AC830&lt;&gt;"",$AD830&lt;&gt;""),$AD830-$AC830,"")</f>
        <v/>
      </c>
      <c r="AO830" s="53" t="str">
        <f aca="false">IF($J830&lt;&gt;"",$J830,"")</f>
        <v/>
      </c>
      <c r="AQ830" s="52" t="str">
        <f aca="false">IF($A830&lt;&gt;"",$A830,"")</f>
        <v>Apprenant 818</v>
      </c>
      <c r="AR830" s="55" t="str">
        <f aca="false">IF(AND('Choix pédagogiques'!$C$4&lt;&gt;"?",'Choix pédagogiques'!$C$5&lt;&gt;"?",W830&lt;&gt;""),(W830-'Choix pédagogiques'!$C$4)/('Choix pédagogiques'!$C$5-'Choix pédagogiques'!$C$4),"")</f>
        <v/>
      </c>
      <c r="AS830" s="55" t="str">
        <f aca="false">IF(AND('Choix pédagogiques'!$C$4&lt;&gt;"?",'Choix pédagogiques'!$C$5&lt;&gt;"?",X830&lt;&gt;""),(X830-'Choix pédagogiques'!$C$4)/('Choix pédagogiques'!$C$5-'Choix pédagogiques'!$C$4),"")</f>
        <v/>
      </c>
      <c r="AT830" s="55" t="str">
        <f aca="false">IF(AND('Choix pédagogiques'!$C$4&lt;&gt;"?",'Choix pédagogiques'!$C$5&lt;&gt;"?",Y830&lt;&gt;""),(Y830-'Choix pédagogiques'!$C$4)/('Choix pédagogiques'!$C$5-'Choix pédagogiques'!$C$4),"")</f>
        <v/>
      </c>
      <c r="AU830" s="53" t="str">
        <f aca="false">IF($E830&lt;&gt;"",$E830,"")</f>
        <v/>
      </c>
      <c r="AV830" s="52" t="str">
        <f aca="false">IF($F830&lt;&gt;"",$F830,"")</f>
        <v>Apprenant 818 ou 818'</v>
      </c>
      <c r="AW830" s="55" t="str">
        <f aca="false">IF(AND('Choix pédagogiques'!$C$4&lt;&gt;"?",'Choix pédagogiques'!$C$5&lt;&gt;"?",AB830&lt;&gt;""),(AB830-'Choix pédagogiques'!$C$4)/('Choix pédagogiques'!$C$5-'Choix pédagogiques'!$C$4),"")</f>
        <v/>
      </c>
      <c r="AX830" s="55" t="str">
        <f aca="false">IF(AND('Choix pédagogiques'!$C$4&lt;&gt;"?",'Choix pédagogiques'!$C$5&lt;&gt;"?",AC830&lt;&gt;""),(AC830-'Choix pédagogiques'!$C$4)/('Choix pédagogiques'!$C$5-'Choix pédagogiques'!$C$4),"")</f>
        <v/>
      </c>
      <c r="AY830" s="55" t="str">
        <f aca="false">IF(AND('Choix pédagogiques'!$C$4&lt;&gt;"?",'Choix pédagogiques'!$C$5&lt;&gt;"?",AD830&lt;&gt;""),(AD830-'Choix pédagogiques'!$C$4)/('Choix pédagogiques'!$C$5-'Choix pédagogiques'!$C$4),"")</f>
        <v/>
      </c>
      <c r="AZ830" s="53" t="str">
        <f aca="false">IF($J830&lt;&gt;"",$J830,"")</f>
        <v/>
      </c>
      <c r="BA830" s="52" t="str">
        <f aca="false">IF($A830&lt;&gt;"",$A830,"")</f>
        <v>Apprenant 818</v>
      </c>
      <c r="BB830" s="55" t="str">
        <f aca="false">IF(AND($AR830&lt;&gt;"",$AS830&lt;&gt;""),$AS830-$AR830,"")</f>
        <v/>
      </c>
      <c r="BC830" s="55" t="str">
        <f aca="false">IF(AND($AR830&lt;&gt;"",$AT830&lt;&gt;""),$AT830-$AR830,"")</f>
        <v/>
      </c>
      <c r="BD830" s="55" t="str">
        <f aca="false">IF(AND($AS830&lt;&gt;"",$AT830&lt;&gt;""),$AT830-$AS830,"")</f>
        <v/>
      </c>
      <c r="BE830" s="53" t="str">
        <f aca="false">IF($E830&lt;&gt;"",$E830,"")</f>
        <v/>
      </c>
      <c r="BF830" s="52" t="str">
        <f aca="false">IF($F830&lt;&gt;"",$F830,"")</f>
        <v>Apprenant 818 ou 818'</v>
      </c>
      <c r="BG830" s="55" t="str">
        <f aca="false">IF(AND($AW830&lt;&gt;"",$AX830&lt;&gt;""),$AX830-$AW830,"")</f>
        <v/>
      </c>
      <c r="BH830" s="55" t="str">
        <f aca="false">IF(AND($AW830&lt;&gt;"",$AY830&lt;&gt;""),$AY830-$AW830,"")</f>
        <v/>
      </c>
      <c r="BI830" s="55" t="str">
        <f aca="false">IF(AND($AX830&lt;&gt;"",$AY830&lt;&gt;""),$AY830-$AX830,"")</f>
        <v/>
      </c>
      <c r="BJ830" s="53" t="str">
        <f aca="false">IF($J830&lt;&gt;"",$J830,"")</f>
        <v/>
      </c>
      <c r="BL830" s="52"/>
      <c r="BM830" s="52" t="str">
        <f aca="false">IF(OR(COUNT(B830:D1829)=0,AND('Choix pédagogiques'!$C$3&lt;&gt;1,'Choix pédagogiques'!$C$3&lt;&gt;2)),"",IF(AND(OR('Choix pédagogiques'!$C$3=1,'Choix pédagogiques'!$C$3=2),$B830&lt;&gt;"",$C830&lt;&gt;"",$D830&lt;&gt;""),1,0))</f>
        <v/>
      </c>
      <c r="BN830" s="52" t="str">
        <f aca="false">IF(OR(COUNT(G830:I1829)=0,AND('Choix pédagogiques'!$C$3&lt;&gt;1,'Choix pédagogiques'!$C$3&lt;&gt;2)),"",IF(AND(OR('Choix pédagogiques'!$C$3=1,'Choix pédagogiques'!$C$3=2),AND($G830&lt;&gt;"",$H830&lt;&gt;"",$I830&lt;&gt;"")),1,0))</f>
        <v/>
      </c>
      <c r="BO830" s="52" t="str">
        <f aca="false">IF(OR(COUNT(B830:D1829)=0,COUNT(G830:I1829)=0,'Choix pédagogiques'!C$3&lt;&gt;3),"",IF(AND('Choix pédagogiques'!$C$3=3,$B830&lt;&gt;"",$C830&lt;&gt;"",$D830&lt;&gt;"",$G830&lt;&gt;"",$H830&lt;&gt;"",$I830&lt;&gt;""),1,0))</f>
        <v/>
      </c>
      <c r="BR830" s="52" t="n">
        <v>656</v>
      </c>
      <c r="BS830" s="52" t="n">
        <v>1288</v>
      </c>
    </row>
    <row r="831" s="54" customFormat="true" ht="18" hidden="false" customHeight="true" outlineLevel="0" collapsed="false">
      <c r="A831" s="57" t="s">
        <v>1593</v>
      </c>
      <c r="B831" s="51"/>
      <c r="C831" s="51"/>
      <c r="D831" s="51"/>
      <c r="E831" s="51"/>
      <c r="F831" s="57" t="s">
        <v>1594</v>
      </c>
      <c r="G831" s="51"/>
      <c r="H831" s="51"/>
      <c r="I831" s="51"/>
      <c r="J831" s="51"/>
      <c r="K831" s="52" t="str">
        <f aca="false">IF($A831&lt;&gt;"",$A831,"")</f>
        <v>Apprenant 819</v>
      </c>
      <c r="L831" s="53" t="str">
        <f aca="false">IF(AND($B831&lt;&gt;"",$C831&lt;&gt;""),$C831-$B831,"")</f>
        <v/>
      </c>
      <c r="M831" s="53" t="str">
        <f aca="false">IF(AND($B831&lt;&gt;"",$D831&lt;&gt;""),$D831-$B831,"")</f>
        <v/>
      </c>
      <c r="N831" s="53" t="str">
        <f aca="false">IF(AND($C831&lt;&gt;"",$D831&lt;&gt;""),$D831-$C831,"")</f>
        <v/>
      </c>
      <c r="O831" s="53" t="str">
        <f aca="false">IF($E831&lt;&gt;"",$E831,"")</f>
        <v/>
      </c>
      <c r="P831" s="52" t="str">
        <f aca="false">IF($F831&lt;&gt;"",$F831,"")</f>
        <v>Apprenant 819 ou 819'</v>
      </c>
      <c r="Q831" s="53" t="str">
        <f aca="false">IF(AND($G831&lt;&gt;"",$H831&lt;&gt;""),$H831-$G831,"")</f>
        <v/>
      </c>
      <c r="R831" s="53" t="str">
        <f aca="false">IF(AND($G831&lt;&gt;"",$I831&lt;&gt;""),$I831-$G831,"")</f>
        <v/>
      </c>
      <c r="S831" s="53" t="str">
        <f aca="false">IF(AND($H831&lt;&gt;"",$I831&lt;&gt;""),$I831-$H831,"")</f>
        <v/>
      </c>
      <c r="T831" s="53" t="str">
        <f aca="false">IF($J831&lt;&gt;"",$J831,"")</f>
        <v/>
      </c>
      <c r="V831" s="52" t="str">
        <f aca="false">IF($A831&lt;&gt;"",$A831,"")</f>
        <v>Apprenant 819</v>
      </c>
      <c r="W831" s="53" t="str">
        <f aca="false">IF(AND(OR('Choix pédagogiques'!$C$3=1,'Choix pédagogiques'!$C$3=2),$BM831=1),B831,IF(AND('Choix pédagogiques'!$C$3=3,$BO831=1),B831,""))</f>
        <v/>
      </c>
      <c r="X831" s="53" t="str">
        <f aca="false">IF(AND(OR('Choix pédagogiques'!$C$3=1,'Choix pédagogiques'!$C$3=2),$BM831=1),C831,IF(AND('Choix pédagogiques'!$C$3=3,$BO831=1),C831,""))</f>
        <v/>
      </c>
      <c r="Y831" s="53" t="str">
        <f aca="false">IF(AND(OR('Choix pédagogiques'!$C$3=1,'Choix pédagogiques'!$C$3=2),$BM831=1),D831,IF(AND('Choix pédagogiques'!$C$3=3,$BO831=1),D831,""))</f>
        <v/>
      </c>
      <c r="Z831" s="53" t="str">
        <f aca="false">IF($E831&lt;&gt;"",$E831,"")</f>
        <v/>
      </c>
      <c r="AA831" s="52" t="str">
        <f aca="false">IF($F831&lt;&gt;"",$F831,"")</f>
        <v>Apprenant 819 ou 819'</v>
      </c>
      <c r="AB831" s="53" t="str">
        <f aca="false">IF(AND(OR('Choix pédagogiques'!$C$3=1,'Choix pédagogiques'!$C$3=2),$BN831=1),G831,IF(AND('Choix pédagogiques'!$C$3=3,$BO831=1),G831,""))</f>
        <v/>
      </c>
      <c r="AC831" s="53" t="str">
        <f aca="false">IF(AND(OR('Choix pédagogiques'!$C$3=1,'Choix pédagogiques'!$C$3=2),$BN831=1),H831,IF(AND('Choix pédagogiques'!$C$3=3,$BO831=1),H831,""))</f>
        <v/>
      </c>
      <c r="AD831" s="53" t="str">
        <f aca="false">IF(AND(OR('Choix pédagogiques'!$C$3=1,'Choix pédagogiques'!$C$3=2),$BN831=1),I831,IF(AND('Choix pédagogiques'!$C$3=3,$BO831=1),I831,""))</f>
        <v/>
      </c>
      <c r="AE831" s="53" t="str">
        <f aca="false">IF($J831&lt;&gt;"",$J831,"")</f>
        <v/>
      </c>
      <c r="AF831" s="52" t="str">
        <f aca="false">IF($A831&lt;&gt;"",$A831,"")</f>
        <v>Apprenant 819</v>
      </c>
      <c r="AG831" s="53" t="str">
        <f aca="false">IF(AND($W831&lt;&gt;"",$X831&lt;&gt;""),$X831-$W831,"")</f>
        <v/>
      </c>
      <c r="AH831" s="53" t="str">
        <f aca="false">IF(AND($W831&lt;&gt;"",$Y831&lt;&gt;""),$Y831-$W831,"")</f>
        <v/>
      </c>
      <c r="AI831" s="53" t="str">
        <f aca="false">IF(AND($X831&lt;&gt;"",$Y831&lt;&gt;""),$Y831-$X831,"")</f>
        <v/>
      </c>
      <c r="AJ831" s="53" t="str">
        <f aca="false">IF($E831&lt;&gt;"",$E831,"")</f>
        <v/>
      </c>
      <c r="AK831" s="52" t="str">
        <f aca="false">IF($F831&lt;&gt;"",$F831,"")</f>
        <v>Apprenant 819 ou 819'</v>
      </c>
      <c r="AL831" s="53" t="str">
        <f aca="false">IF(AND($AB831&lt;&gt;"",$AC831&lt;&gt;""),$AC831-$AB831,"")</f>
        <v/>
      </c>
      <c r="AM831" s="53" t="str">
        <f aca="false">IF(AND($AB831&lt;&gt;"",$AD831&lt;&gt;""),$AD831-$AB831,"")</f>
        <v/>
      </c>
      <c r="AN831" s="53" t="str">
        <f aca="false">IF(AND($AC831&lt;&gt;"",$AD831&lt;&gt;""),$AD831-$AC831,"")</f>
        <v/>
      </c>
      <c r="AO831" s="53" t="str">
        <f aca="false">IF($J831&lt;&gt;"",$J831,"")</f>
        <v/>
      </c>
      <c r="AQ831" s="52" t="str">
        <f aca="false">IF($A831&lt;&gt;"",$A831,"")</f>
        <v>Apprenant 819</v>
      </c>
      <c r="AR831" s="55" t="str">
        <f aca="false">IF(AND('Choix pédagogiques'!$C$4&lt;&gt;"?",'Choix pédagogiques'!$C$5&lt;&gt;"?",W831&lt;&gt;""),(W831-'Choix pédagogiques'!$C$4)/('Choix pédagogiques'!$C$5-'Choix pédagogiques'!$C$4),"")</f>
        <v/>
      </c>
      <c r="AS831" s="55" t="str">
        <f aca="false">IF(AND('Choix pédagogiques'!$C$4&lt;&gt;"?",'Choix pédagogiques'!$C$5&lt;&gt;"?",X831&lt;&gt;""),(X831-'Choix pédagogiques'!$C$4)/('Choix pédagogiques'!$C$5-'Choix pédagogiques'!$C$4),"")</f>
        <v/>
      </c>
      <c r="AT831" s="55" t="str">
        <f aca="false">IF(AND('Choix pédagogiques'!$C$4&lt;&gt;"?",'Choix pédagogiques'!$C$5&lt;&gt;"?",Y831&lt;&gt;""),(Y831-'Choix pédagogiques'!$C$4)/('Choix pédagogiques'!$C$5-'Choix pédagogiques'!$C$4),"")</f>
        <v/>
      </c>
      <c r="AU831" s="53" t="str">
        <f aca="false">IF($E831&lt;&gt;"",$E831,"")</f>
        <v/>
      </c>
      <c r="AV831" s="52" t="str">
        <f aca="false">IF($F831&lt;&gt;"",$F831,"")</f>
        <v>Apprenant 819 ou 819'</v>
      </c>
      <c r="AW831" s="55" t="str">
        <f aca="false">IF(AND('Choix pédagogiques'!$C$4&lt;&gt;"?",'Choix pédagogiques'!$C$5&lt;&gt;"?",AB831&lt;&gt;""),(AB831-'Choix pédagogiques'!$C$4)/('Choix pédagogiques'!$C$5-'Choix pédagogiques'!$C$4),"")</f>
        <v/>
      </c>
      <c r="AX831" s="55" t="str">
        <f aca="false">IF(AND('Choix pédagogiques'!$C$4&lt;&gt;"?",'Choix pédagogiques'!$C$5&lt;&gt;"?",AC831&lt;&gt;""),(AC831-'Choix pédagogiques'!$C$4)/('Choix pédagogiques'!$C$5-'Choix pédagogiques'!$C$4),"")</f>
        <v/>
      </c>
      <c r="AY831" s="55" t="str">
        <f aca="false">IF(AND('Choix pédagogiques'!$C$4&lt;&gt;"?",'Choix pédagogiques'!$C$5&lt;&gt;"?",AD831&lt;&gt;""),(AD831-'Choix pédagogiques'!$C$4)/('Choix pédagogiques'!$C$5-'Choix pédagogiques'!$C$4),"")</f>
        <v/>
      </c>
      <c r="AZ831" s="53" t="str">
        <f aca="false">IF($J831&lt;&gt;"",$J831,"")</f>
        <v/>
      </c>
      <c r="BA831" s="52" t="str">
        <f aca="false">IF($A831&lt;&gt;"",$A831,"")</f>
        <v>Apprenant 819</v>
      </c>
      <c r="BB831" s="55" t="str">
        <f aca="false">IF(AND($AR831&lt;&gt;"",$AS831&lt;&gt;""),$AS831-$AR831,"")</f>
        <v/>
      </c>
      <c r="BC831" s="55" t="str">
        <f aca="false">IF(AND($AR831&lt;&gt;"",$AT831&lt;&gt;""),$AT831-$AR831,"")</f>
        <v/>
      </c>
      <c r="BD831" s="55" t="str">
        <f aca="false">IF(AND($AS831&lt;&gt;"",$AT831&lt;&gt;""),$AT831-$AS831,"")</f>
        <v/>
      </c>
      <c r="BE831" s="53" t="str">
        <f aca="false">IF($E831&lt;&gt;"",$E831,"")</f>
        <v/>
      </c>
      <c r="BF831" s="52" t="str">
        <f aca="false">IF($F831&lt;&gt;"",$F831,"")</f>
        <v>Apprenant 819 ou 819'</v>
      </c>
      <c r="BG831" s="55" t="str">
        <f aca="false">IF(AND($AW831&lt;&gt;"",$AX831&lt;&gt;""),$AX831-$AW831,"")</f>
        <v/>
      </c>
      <c r="BH831" s="55" t="str">
        <f aca="false">IF(AND($AW831&lt;&gt;"",$AY831&lt;&gt;""),$AY831-$AW831,"")</f>
        <v/>
      </c>
      <c r="BI831" s="55" t="str">
        <f aca="false">IF(AND($AX831&lt;&gt;"",$AY831&lt;&gt;""),$AY831-$AX831,"")</f>
        <v/>
      </c>
      <c r="BJ831" s="53" t="str">
        <f aca="false">IF($J831&lt;&gt;"",$J831,"")</f>
        <v/>
      </c>
      <c r="BL831" s="52"/>
      <c r="BM831" s="52" t="str">
        <f aca="false">IF(OR(COUNT(B831:D1830)=0,AND('Choix pédagogiques'!$C$3&lt;&gt;1,'Choix pédagogiques'!$C$3&lt;&gt;2)),"",IF(AND(OR('Choix pédagogiques'!$C$3=1,'Choix pédagogiques'!$C$3=2),$B831&lt;&gt;"",$C831&lt;&gt;"",$D831&lt;&gt;""),1,0))</f>
        <v/>
      </c>
      <c r="BN831" s="52" t="str">
        <f aca="false">IF(OR(COUNT(G831:I1830)=0,AND('Choix pédagogiques'!$C$3&lt;&gt;1,'Choix pédagogiques'!$C$3&lt;&gt;2)),"",IF(AND(OR('Choix pédagogiques'!$C$3=1,'Choix pédagogiques'!$C$3=2),AND($G831&lt;&gt;"",$H831&lt;&gt;"",$I831&lt;&gt;"")),1,0))</f>
        <v/>
      </c>
      <c r="BO831" s="52" t="str">
        <f aca="false">IF(OR(COUNT(B831:D1830)=0,COUNT(G831:I1830)=0,'Choix pédagogiques'!C$3&lt;&gt;3),"",IF(AND('Choix pédagogiques'!$C$3=3,$B831&lt;&gt;"",$C831&lt;&gt;"",$D831&lt;&gt;"",$G831&lt;&gt;"",$H831&lt;&gt;"",$I831&lt;&gt;""),1,0))</f>
        <v/>
      </c>
      <c r="BR831" s="52" t="n">
        <v>862</v>
      </c>
      <c r="BS831" s="52" t="n">
        <v>1135</v>
      </c>
    </row>
    <row r="832" s="54" customFormat="true" ht="18" hidden="false" customHeight="true" outlineLevel="0" collapsed="false">
      <c r="A832" s="57" t="s">
        <v>1595</v>
      </c>
      <c r="B832" s="51"/>
      <c r="C832" s="51"/>
      <c r="D832" s="51"/>
      <c r="E832" s="51"/>
      <c r="F832" s="57" t="s">
        <v>1596</v>
      </c>
      <c r="G832" s="51"/>
      <c r="H832" s="51"/>
      <c r="I832" s="51"/>
      <c r="J832" s="51"/>
      <c r="K832" s="52" t="str">
        <f aca="false">IF($A832&lt;&gt;"",$A832,"")</f>
        <v>Apprenant 820</v>
      </c>
      <c r="L832" s="53" t="str">
        <f aca="false">IF(AND($B832&lt;&gt;"",$C832&lt;&gt;""),$C832-$B832,"")</f>
        <v/>
      </c>
      <c r="M832" s="53" t="str">
        <f aca="false">IF(AND($B832&lt;&gt;"",$D832&lt;&gt;""),$D832-$B832,"")</f>
        <v/>
      </c>
      <c r="N832" s="53" t="str">
        <f aca="false">IF(AND($C832&lt;&gt;"",$D832&lt;&gt;""),$D832-$C832,"")</f>
        <v/>
      </c>
      <c r="O832" s="53" t="str">
        <f aca="false">IF($E832&lt;&gt;"",$E832,"")</f>
        <v/>
      </c>
      <c r="P832" s="52" t="str">
        <f aca="false">IF($F832&lt;&gt;"",$F832,"")</f>
        <v>Apprenant 820 ou 820'</v>
      </c>
      <c r="Q832" s="53" t="str">
        <f aca="false">IF(AND($G832&lt;&gt;"",$H832&lt;&gt;""),$H832-$G832,"")</f>
        <v/>
      </c>
      <c r="R832" s="53" t="str">
        <f aca="false">IF(AND($G832&lt;&gt;"",$I832&lt;&gt;""),$I832-$G832,"")</f>
        <v/>
      </c>
      <c r="S832" s="53" t="str">
        <f aca="false">IF(AND($H832&lt;&gt;"",$I832&lt;&gt;""),$I832-$H832,"")</f>
        <v/>
      </c>
      <c r="T832" s="53" t="str">
        <f aca="false">IF($J832&lt;&gt;"",$J832,"")</f>
        <v/>
      </c>
      <c r="V832" s="52" t="str">
        <f aca="false">IF($A832&lt;&gt;"",$A832,"")</f>
        <v>Apprenant 820</v>
      </c>
      <c r="W832" s="53" t="str">
        <f aca="false">IF(AND(OR('Choix pédagogiques'!$C$3=1,'Choix pédagogiques'!$C$3=2),$BM832=1),B832,IF(AND('Choix pédagogiques'!$C$3=3,$BO832=1),B832,""))</f>
        <v/>
      </c>
      <c r="X832" s="53" t="str">
        <f aca="false">IF(AND(OR('Choix pédagogiques'!$C$3=1,'Choix pédagogiques'!$C$3=2),$BM832=1),C832,IF(AND('Choix pédagogiques'!$C$3=3,$BO832=1),C832,""))</f>
        <v/>
      </c>
      <c r="Y832" s="53" t="str">
        <f aca="false">IF(AND(OR('Choix pédagogiques'!$C$3=1,'Choix pédagogiques'!$C$3=2),$BM832=1),D832,IF(AND('Choix pédagogiques'!$C$3=3,$BO832=1),D832,""))</f>
        <v/>
      </c>
      <c r="Z832" s="53" t="str">
        <f aca="false">IF($E832&lt;&gt;"",$E832,"")</f>
        <v/>
      </c>
      <c r="AA832" s="52" t="str">
        <f aca="false">IF($F832&lt;&gt;"",$F832,"")</f>
        <v>Apprenant 820 ou 820'</v>
      </c>
      <c r="AB832" s="53" t="str">
        <f aca="false">IF(AND(OR('Choix pédagogiques'!$C$3=1,'Choix pédagogiques'!$C$3=2),$BN832=1),G832,IF(AND('Choix pédagogiques'!$C$3=3,$BO832=1),G832,""))</f>
        <v/>
      </c>
      <c r="AC832" s="53" t="str">
        <f aca="false">IF(AND(OR('Choix pédagogiques'!$C$3=1,'Choix pédagogiques'!$C$3=2),$BN832=1),H832,IF(AND('Choix pédagogiques'!$C$3=3,$BO832=1),H832,""))</f>
        <v/>
      </c>
      <c r="AD832" s="53" t="str">
        <f aca="false">IF(AND(OR('Choix pédagogiques'!$C$3=1,'Choix pédagogiques'!$C$3=2),$BN832=1),I832,IF(AND('Choix pédagogiques'!$C$3=3,$BO832=1),I832,""))</f>
        <v/>
      </c>
      <c r="AE832" s="53" t="str">
        <f aca="false">IF($J832&lt;&gt;"",$J832,"")</f>
        <v/>
      </c>
      <c r="AF832" s="52" t="str">
        <f aca="false">IF($A832&lt;&gt;"",$A832,"")</f>
        <v>Apprenant 820</v>
      </c>
      <c r="AG832" s="53" t="str">
        <f aca="false">IF(AND($W832&lt;&gt;"",$X832&lt;&gt;""),$X832-$W832,"")</f>
        <v/>
      </c>
      <c r="AH832" s="53" t="str">
        <f aca="false">IF(AND($W832&lt;&gt;"",$Y832&lt;&gt;""),$Y832-$W832,"")</f>
        <v/>
      </c>
      <c r="AI832" s="53" t="str">
        <f aca="false">IF(AND($X832&lt;&gt;"",$Y832&lt;&gt;""),$Y832-$X832,"")</f>
        <v/>
      </c>
      <c r="AJ832" s="53" t="str">
        <f aca="false">IF($E832&lt;&gt;"",$E832,"")</f>
        <v/>
      </c>
      <c r="AK832" s="52" t="str">
        <f aca="false">IF($F832&lt;&gt;"",$F832,"")</f>
        <v>Apprenant 820 ou 820'</v>
      </c>
      <c r="AL832" s="53" t="str">
        <f aca="false">IF(AND($AB832&lt;&gt;"",$AC832&lt;&gt;""),$AC832-$AB832,"")</f>
        <v/>
      </c>
      <c r="AM832" s="53" t="str">
        <f aca="false">IF(AND($AB832&lt;&gt;"",$AD832&lt;&gt;""),$AD832-$AB832,"")</f>
        <v/>
      </c>
      <c r="AN832" s="53" t="str">
        <f aca="false">IF(AND($AC832&lt;&gt;"",$AD832&lt;&gt;""),$AD832-$AC832,"")</f>
        <v/>
      </c>
      <c r="AO832" s="53" t="str">
        <f aca="false">IF($J832&lt;&gt;"",$J832,"")</f>
        <v/>
      </c>
      <c r="AQ832" s="52" t="str">
        <f aca="false">IF($A832&lt;&gt;"",$A832,"")</f>
        <v>Apprenant 820</v>
      </c>
      <c r="AR832" s="55" t="str">
        <f aca="false">IF(AND('Choix pédagogiques'!$C$4&lt;&gt;"?",'Choix pédagogiques'!$C$5&lt;&gt;"?",W832&lt;&gt;""),(W832-'Choix pédagogiques'!$C$4)/('Choix pédagogiques'!$C$5-'Choix pédagogiques'!$C$4),"")</f>
        <v/>
      </c>
      <c r="AS832" s="55" t="str">
        <f aca="false">IF(AND('Choix pédagogiques'!$C$4&lt;&gt;"?",'Choix pédagogiques'!$C$5&lt;&gt;"?",X832&lt;&gt;""),(X832-'Choix pédagogiques'!$C$4)/('Choix pédagogiques'!$C$5-'Choix pédagogiques'!$C$4),"")</f>
        <v/>
      </c>
      <c r="AT832" s="55" t="str">
        <f aca="false">IF(AND('Choix pédagogiques'!$C$4&lt;&gt;"?",'Choix pédagogiques'!$C$5&lt;&gt;"?",Y832&lt;&gt;""),(Y832-'Choix pédagogiques'!$C$4)/('Choix pédagogiques'!$C$5-'Choix pédagogiques'!$C$4),"")</f>
        <v/>
      </c>
      <c r="AU832" s="53" t="str">
        <f aca="false">IF($E832&lt;&gt;"",$E832,"")</f>
        <v/>
      </c>
      <c r="AV832" s="52" t="str">
        <f aca="false">IF($F832&lt;&gt;"",$F832,"")</f>
        <v>Apprenant 820 ou 820'</v>
      </c>
      <c r="AW832" s="55" t="str">
        <f aca="false">IF(AND('Choix pédagogiques'!$C$4&lt;&gt;"?",'Choix pédagogiques'!$C$5&lt;&gt;"?",AB832&lt;&gt;""),(AB832-'Choix pédagogiques'!$C$4)/('Choix pédagogiques'!$C$5-'Choix pédagogiques'!$C$4),"")</f>
        <v/>
      </c>
      <c r="AX832" s="55" t="str">
        <f aca="false">IF(AND('Choix pédagogiques'!$C$4&lt;&gt;"?",'Choix pédagogiques'!$C$5&lt;&gt;"?",AC832&lt;&gt;""),(AC832-'Choix pédagogiques'!$C$4)/('Choix pédagogiques'!$C$5-'Choix pédagogiques'!$C$4),"")</f>
        <v/>
      </c>
      <c r="AY832" s="55" t="str">
        <f aca="false">IF(AND('Choix pédagogiques'!$C$4&lt;&gt;"?",'Choix pédagogiques'!$C$5&lt;&gt;"?",AD832&lt;&gt;""),(AD832-'Choix pédagogiques'!$C$4)/('Choix pédagogiques'!$C$5-'Choix pédagogiques'!$C$4),"")</f>
        <v/>
      </c>
      <c r="AZ832" s="53" t="str">
        <f aca="false">IF($J832&lt;&gt;"",$J832,"")</f>
        <v/>
      </c>
      <c r="BA832" s="52" t="str">
        <f aca="false">IF($A832&lt;&gt;"",$A832,"")</f>
        <v>Apprenant 820</v>
      </c>
      <c r="BB832" s="55" t="str">
        <f aca="false">IF(AND($AR832&lt;&gt;"",$AS832&lt;&gt;""),$AS832-$AR832,"")</f>
        <v/>
      </c>
      <c r="BC832" s="55" t="str">
        <f aca="false">IF(AND($AR832&lt;&gt;"",$AT832&lt;&gt;""),$AT832-$AR832,"")</f>
        <v/>
      </c>
      <c r="BD832" s="55" t="str">
        <f aca="false">IF(AND($AS832&lt;&gt;"",$AT832&lt;&gt;""),$AT832-$AS832,"")</f>
        <v/>
      </c>
      <c r="BE832" s="53" t="str">
        <f aca="false">IF($E832&lt;&gt;"",$E832,"")</f>
        <v/>
      </c>
      <c r="BF832" s="52" t="str">
        <f aca="false">IF($F832&lt;&gt;"",$F832,"")</f>
        <v>Apprenant 820 ou 820'</v>
      </c>
      <c r="BG832" s="55" t="str">
        <f aca="false">IF(AND($AW832&lt;&gt;"",$AX832&lt;&gt;""),$AX832-$AW832,"")</f>
        <v/>
      </c>
      <c r="BH832" s="55" t="str">
        <f aca="false">IF(AND($AW832&lt;&gt;"",$AY832&lt;&gt;""),$AY832-$AW832,"")</f>
        <v/>
      </c>
      <c r="BI832" s="55" t="str">
        <f aca="false">IF(AND($AX832&lt;&gt;"",$AY832&lt;&gt;""),$AY832-$AX832,"")</f>
        <v/>
      </c>
      <c r="BJ832" s="53" t="str">
        <f aca="false">IF($J832&lt;&gt;"",$J832,"")</f>
        <v/>
      </c>
      <c r="BL832" s="52"/>
      <c r="BM832" s="52" t="str">
        <f aca="false">IF(OR(COUNT(B832:D1831)=0,AND('Choix pédagogiques'!$C$3&lt;&gt;1,'Choix pédagogiques'!$C$3&lt;&gt;2)),"",IF(AND(OR('Choix pédagogiques'!$C$3=1,'Choix pédagogiques'!$C$3=2),$B832&lt;&gt;"",$C832&lt;&gt;"",$D832&lt;&gt;""),1,0))</f>
        <v/>
      </c>
      <c r="BN832" s="52" t="str">
        <f aca="false">IF(OR(COUNT(G832:I1831)=0,AND('Choix pédagogiques'!$C$3&lt;&gt;1,'Choix pédagogiques'!$C$3&lt;&gt;2)),"",IF(AND(OR('Choix pédagogiques'!$C$3=1,'Choix pédagogiques'!$C$3=2),AND($G832&lt;&gt;"",$H832&lt;&gt;"",$I832&lt;&gt;"")),1,0))</f>
        <v/>
      </c>
      <c r="BO832" s="52" t="str">
        <f aca="false">IF(OR(COUNT(B832:D1831)=0,COUNT(G832:I1831)=0,'Choix pédagogiques'!C$3&lt;&gt;3),"",IF(AND('Choix pédagogiques'!$C$3=3,$B832&lt;&gt;"",$C832&lt;&gt;"",$D832&lt;&gt;"",$G832&lt;&gt;"",$H832&lt;&gt;"",$I832&lt;&gt;""),1,0))</f>
        <v/>
      </c>
      <c r="BR832" s="52" t="n">
        <v>508</v>
      </c>
      <c r="BS832" s="52" t="n">
        <v>1562</v>
      </c>
    </row>
    <row r="833" s="54" customFormat="true" ht="18" hidden="false" customHeight="true" outlineLevel="0" collapsed="false">
      <c r="A833" s="57" t="s">
        <v>1597</v>
      </c>
      <c r="B833" s="51"/>
      <c r="C833" s="51"/>
      <c r="D833" s="51"/>
      <c r="E833" s="51"/>
      <c r="F833" s="57" t="s">
        <v>1598</v>
      </c>
      <c r="G833" s="51"/>
      <c r="H833" s="51"/>
      <c r="I833" s="51"/>
      <c r="J833" s="51"/>
      <c r="K833" s="52" t="str">
        <f aca="false">IF($A833&lt;&gt;"",$A833,"")</f>
        <v>Apprenant 821</v>
      </c>
      <c r="L833" s="53" t="str">
        <f aca="false">IF(AND($B833&lt;&gt;"",$C833&lt;&gt;""),$C833-$B833,"")</f>
        <v/>
      </c>
      <c r="M833" s="53" t="str">
        <f aca="false">IF(AND($B833&lt;&gt;"",$D833&lt;&gt;""),$D833-$B833,"")</f>
        <v/>
      </c>
      <c r="N833" s="53" t="str">
        <f aca="false">IF(AND($C833&lt;&gt;"",$D833&lt;&gt;""),$D833-$C833,"")</f>
        <v/>
      </c>
      <c r="O833" s="53" t="str">
        <f aca="false">IF($E833&lt;&gt;"",$E833,"")</f>
        <v/>
      </c>
      <c r="P833" s="52" t="str">
        <f aca="false">IF($F833&lt;&gt;"",$F833,"")</f>
        <v>Apprenant 821 ou 821'</v>
      </c>
      <c r="Q833" s="53" t="str">
        <f aca="false">IF(AND($G833&lt;&gt;"",$H833&lt;&gt;""),$H833-$G833,"")</f>
        <v/>
      </c>
      <c r="R833" s="53" t="str">
        <f aca="false">IF(AND($G833&lt;&gt;"",$I833&lt;&gt;""),$I833-$G833,"")</f>
        <v/>
      </c>
      <c r="S833" s="53" t="str">
        <f aca="false">IF(AND($H833&lt;&gt;"",$I833&lt;&gt;""),$I833-$H833,"")</f>
        <v/>
      </c>
      <c r="T833" s="53" t="str">
        <f aca="false">IF($J833&lt;&gt;"",$J833,"")</f>
        <v/>
      </c>
      <c r="V833" s="52" t="str">
        <f aca="false">IF($A833&lt;&gt;"",$A833,"")</f>
        <v>Apprenant 821</v>
      </c>
      <c r="W833" s="53" t="str">
        <f aca="false">IF(AND(OR('Choix pédagogiques'!$C$3=1,'Choix pédagogiques'!$C$3=2),$BM833=1),B833,IF(AND('Choix pédagogiques'!$C$3=3,$BO833=1),B833,""))</f>
        <v/>
      </c>
      <c r="X833" s="53" t="str">
        <f aca="false">IF(AND(OR('Choix pédagogiques'!$C$3=1,'Choix pédagogiques'!$C$3=2),$BM833=1),C833,IF(AND('Choix pédagogiques'!$C$3=3,$BO833=1),C833,""))</f>
        <v/>
      </c>
      <c r="Y833" s="53" t="str">
        <f aca="false">IF(AND(OR('Choix pédagogiques'!$C$3=1,'Choix pédagogiques'!$C$3=2),$BM833=1),D833,IF(AND('Choix pédagogiques'!$C$3=3,$BO833=1),D833,""))</f>
        <v/>
      </c>
      <c r="Z833" s="53" t="str">
        <f aca="false">IF($E833&lt;&gt;"",$E833,"")</f>
        <v/>
      </c>
      <c r="AA833" s="52" t="str">
        <f aca="false">IF($F833&lt;&gt;"",$F833,"")</f>
        <v>Apprenant 821 ou 821'</v>
      </c>
      <c r="AB833" s="53" t="str">
        <f aca="false">IF(AND(OR('Choix pédagogiques'!$C$3=1,'Choix pédagogiques'!$C$3=2),$BN833=1),G833,IF(AND('Choix pédagogiques'!$C$3=3,$BO833=1),G833,""))</f>
        <v/>
      </c>
      <c r="AC833" s="53" t="str">
        <f aca="false">IF(AND(OR('Choix pédagogiques'!$C$3=1,'Choix pédagogiques'!$C$3=2),$BN833=1),H833,IF(AND('Choix pédagogiques'!$C$3=3,$BO833=1),H833,""))</f>
        <v/>
      </c>
      <c r="AD833" s="53" t="str">
        <f aca="false">IF(AND(OR('Choix pédagogiques'!$C$3=1,'Choix pédagogiques'!$C$3=2),$BN833=1),I833,IF(AND('Choix pédagogiques'!$C$3=3,$BO833=1),I833,""))</f>
        <v/>
      </c>
      <c r="AE833" s="53" t="str">
        <f aca="false">IF($J833&lt;&gt;"",$J833,"")</f>
        <v/>
      </c>
      <c r="AF833" s="52" t="str">
        <f aca="false">IF($A833&lt;&gt;"",$A833,"")</f>
        <v>Apprenant 821</v>
      </c>
      <c r="AG833" s="53" t="str">
        <f aca="false">IF(AND($W833&lt;&gt;"",$X833&lt;&gt;""),$X833-$W833,"")</f>
        <v/>
      </c>
      <c r="AH833" s="53" t="str">
        <f aca="false">IF(AND($W833&lt;&gt;"",$Y833&lt;&gt;""),$Y833-$W833,"")</f>
        <v/>
      </c>
      <c r="AI833" s="53" t="str">
        <f aca="false">IF(AND($X833&lt;&gt;"",$Y833&lt;&gt;""),$Y833-$X833,"")</f>
        <v/>
      </c>
      <c r="AJ833" s="53" t="str">
        <f aca="false">IF($E833&lt;&gt;"",$E833,"")</f>
        <v/>
      </c>
      <c r="AK833" s="52" t="str">
        <f aca="false">IF($F833&lt;&gt;"",$F833,"")</f>
        <v>Apprenant 821 ou 821'</v>
      </c>
      <c r="AL833" s="53" t="str">
        <f aca="false">IF(AND($AB833&lt;&gt;"",$AC833&lt;&gt;""),$AC833-$AB833,"")</f>
        <v/>
      </c>
      <c r="AM833" s="53" t="str">
        <f aca="false">IF(AND($AB833&lt;&gt;"",$AD833&lt;&gt;""),$AD833-$AB833,"")</f>
        <v/>
      </c>
      <c r="AN833" s="53" t="str">
        <f aca="false">IF(AND($AC833&lt;&gt;"",$AD833&lt;&gt;""),$AD833-$AC833,"")</f>
        <v/>
      </c>
      <c r="AO833" s="53" t="str">
        <f aca="false">IF($J833&lt;&gt;"",$J833,"")</f>
        <v/>
      </c>
      <c r="AQ833" s="52" t="str">
        <f aca="false">IF($A833&lt;&gt;"",$A833,"")</f>
        <v>Apprenant 821</v>
      </c>
      <c r="AR833" s="55" t="str">
        <f aca="false">IF(AND('Choix pédagogiques'!$C$4&lt;&gt;"?",'Choix pédagogiques'!$C$5&lt;&gt;"?",W833&lt;&gt;""),(W833-'Choix pédagogiques'!$C$4)/('Choix pédagogiques'!$C$5-'Choix pédagogiques'!$C$4),"")</f>
        <v/>
      </c>
      <c r="AS833" s="55" t="str">
        <f aca="false">IF(AND('Choix pédagogiques'!$C$4&lt;&gt;"?",'Choix pédagogiques'!$C$5&lt;&gt;"?",X833&lt;&gt;""),(X833-'Choix pédagogiques'!$C$4)/('Choix pédagogiques'!$C$5-'Choix pédagogiques'!$C$4),"")</f>
        <v/>
      </c>
      <c r="AT833" s="55" t="str">
        <f aca="false">IF(AND('Choix pédagogiques'!$C$4&lt;&gt;"?",'Choix pédagogiques'!$C$5&lt;&gt;"?",Y833&lt;&gt;""),(Y833-'Choix pédagogiques'!$C$4)/('Choix pédagogiques'!$C$5-'Choix pédagogiques'!$C$4),"")</f>
        <v/>
      </c>
      <c r="AU833" s="53" t="str">
        <f aca="false">IF($E833&lt;&gt;"",$E833,"")</f>
        <v/>
      </c>
      <c r="AV833" s="52" t="str">
        <f aca="false">IF($F833&lt;&gt;"",$F833,"")</f>
        <v>Apprenant 821 ou 821'</v>
      </c>
      <c r="AW833" s="55" t="str">
        <f aca="false">IF(AND('Choix pédagogiques'!$C$4&lt;&gt;"?",'Choix pédagogiques'!$C$5&lt;&gt;"?",AB833&lt;&gt;""),(AB833-'Choix pédagogiques'!$C$4)/('Choix pédagogiques'!$C$5-'Choix pédagogiques'!$C$4),"")</f>
        <v/>
      </c>
      <c r="AX833" s="55" t="str">
        <f aca="false">IF(AND('Choix pédagogiques'!$C$4&lt;&gt;"?",'Choix pédagogiques'!$C$5&lt;&gt;"?",AC833&lt;&gt;""),(AC833-'Choix pédagogiques'!$C$4)/('Choix pédagogiques'!$C$5-'Choix pédagogiques'!$C$4),"")</f>
        <v/>
      </c>
      <c r="AY833" s="55" t="str">
        <f aca="false">IF(AND('Choix pédagogiques'!$C$4&lt;&gt;"?",'Choix pédagogiques'!$C$5&lt;&gt;"?",AD833&lt;&gt;""),(AD833-'Choix pédagogiques'!$C$4)/('Choix pédagogiques'!$C$5-'Choix pédagogiques'!$C$4),"")</f>
        <v/>
      </c>
      <c r="AZ833" s="53" t="str">
        <f aca="false">IF($J833&lt;&gt;"",$J833,"")</f>
        <v/>
      </c>
      <c r="BA833" s="52" t="str">
        <f aca="false">IF($A833&lt;&gt;"",$A833,"")</f>
        <v>Apprenant 821</v>
      </c>
      <c r="BB833" s="55" t="str">
        <f aca="false">IF(AND($AR833&lt;&gt;"",$AS833&lt;&gt;""),$AS833-$AR833,"")</f>
        <v/>
      </c>
      <c r="BC833" s="55" t="str">
        <f aca="false">IF(AND($AR833&lt;&gt;"",$AT833&lt;&gt;""),$AT833-$AR833,"")</f>
        <v/>
      </c>
      <c r="BD833" s="55" t="str">
        <f aca="false">IF(AND($AS833&lt;&gt;"",$AT833&lt;&gt;""),$AT833-$AS833,"")</f>
        <v/>
      </c>
      <c r="BE833" s="53" t="str">
        <f aca="false">IF($E833&lt;&gt;"",$E833,"")</f>
        <v/>
      </c>
      <c r="BF833" s="52" t="str">
        <f aca="false">IF($F833&lt;&gt;"",$F833,"")</f>
        <v>Apprenant 821 ou 821'</v>
      </c>
      <c r="BG833" s="55" t="str">
        <f aca="false">IF(AND($AW833&lt;&gt;"",$AX833&lt;&gt;""),$AX833-$AW833,"")</f>
        <v/>
      </c>
      <c r="BH833" s="55" t="str">
        <f aca="false">IF(AND($AW833&lt;&gt;"",$AY833&lt;&gt;""),$AY833-$AW833,"")</f>
        <v/>
      </c>
      <c r="BI833" s="55" t="str">
        <f aca="false">IF(AND($AX833&lt;&gt;"",$AY833&lt;&gt;""),$AY833-$AX833,"")</f>
        <v/>
      </c>
      <c r="BJ833" s="53" t="str">
        <f aca="false">IF($J833&lt;&gt;"",$J833,"")</f>
        <v/>
      </c>
      <c r="BL833" s="52"/>
      <c r="BM833" s="52" t="str">
        <f aca="false">IF(OR(COUNT(B833:D1832)=0,AND('Choix pédagogiques'!$C$3&lt;&gt;1,'Choix pédagogiques'!$C$3&lt;&gt;2)),"",IF(AND(OR('Choix pédagogiques'!$C$3=1,'Choix pédagogiques'!$C$3=2),$B833&lt;&gt;"",$C833&lt;&gt;"",$D833&lt;&gt;""),1,0))</f>
        <v/>
      </c>
      <c r="BN833" s="52" t="str">
        <f aca="false">IF(OR(COUNT(G833:I1832)=0,AND('Choix pédagogiques'!$C$3&lt;&gt;1,'Choix pédagogiques'!$C$3&lt;&gt;2)),"",IF(AND(OR('Choix pédagogiques'!$C$3=1,'Choix pédagogiques'!$C$3=2),AND($G833&lt;&gt;"",$H833&lt;&gt;"",$I833&lt;&gt;"")),1,0))</f>
        <v/>
      </c>
      <c r="BO833" s="52" t="str">
        <f aca="false">IF(OR(COUNT(B833:D1832)=0,COUNT(G833:I1832)=0,'Choix pédagogiques'!C$3&lt;&gt;3),"",IF(AND('Choix pédagogiques'!$C$3=3,$B833&lt;&gt;"",$C833&lt;&gt;"",$D833&lt;&gt;"",$G833&lt;&gt;"",$H833&lt;&gt;"",$I833&lt;&gt;""),1,0))</f>
        <v/>
      </c>
      <c r="BR833" s="52" t="n">
        <v>888</v>
      </c>
      <c r="BS833" s="52" t="n">
        <v>1186</v>
      </c>
    </row>
    <row r="834" s="54" customFormat="true" ht="18" hidden="false" customHeight="true" outlineLevel="0" collapsed="false">
      <c r="A834" s="57" t="s">
        <v>1599</v>
      </c>
      <c r="B834" s="51"/>
      <c r="C834" s="51"/>
      <c r="D834" s="51"/>
      <c r="E834" s="51"/>
      <c r="F834" s="57" t="s">
        <v>1600</v>
      </c>
      <c r="G834" s="51"/>
      <c r="H834" s="51"/>
      <c r="I834" s="51"/>
      <c r="J834" s="51"/>
      <c r="K834" s="52" t="str">
        <f aca="false">IF($A834&lt;&gt;"",$A834,"")</f>
        <v>Apprenant 822</v>
      </c>
      <c r="L834" s="53" t="str">
        <f aca="false">IF(AND($B834&lt;&gt;"",$C834&lt;&gt;""),$C834-$B834,"")</f>
        <v/>
      </c>
      <c r="M834" s="53" t="str">
        <f aca="false">IF(AND($B834&lt;&gt;"",$D834&lt;&gt;""),$D834-$B834,"")</f>
        <v/>
      </c>
      <c r="N834" s="53" t="str">
        <f aca="false">IF(AND($C834&lt;&gt;"",$D834&lt;&gt;""),$D834-$C834,"")</f>
        <v/>
      </c>
      <c r="O834" s="53" t="str">
        <f aca="false">IF($E834&lt;&gt;"",$E834,"")</f>
        <v/>
      </c>
      <c r="P834" s="52" t="str">
        <f aca="false">IF($F834&lt;&gt;"",$F834,"")</f>
        <v>Apprenant 822 ou 822'</v>
      </c>
      <c r="Q834" s="53" t="str">
        <f aca="false">IF(AND($G834&lt;&gt;"",$H834&lt;&gt;""),$H834-$G834,"")</f>
        <v/>
      </c>
      <c r="R834" s="53" t="str">
        <f aca="false">IF(AND($G834&lt;&gt;"",$I834&lt;&gt;""),$I834-$G834,"")</f>
        <v/>
      </c>
      <c r="S834" s="53" t="str">
        <f aca="false">IF(AND($H834&lt;&gt;"",$I834&lt;&gt;""),$I834-$H834,"")</f>
        <v/>
      </c>
      <c r="T834" s="53" t="str">
        <f aca="false">IF($J834&lt;&gt;"",$J834,"")</f>
        <v/>
      </c>
      <c r="V834" s="52" t="str">
        <f aca="false">IF($A834&lt;&gt;"",$A834,"")</f>
        <v>Apprenant 822</v>
      </c>
      <c r="W834" s="53" t="str">
        <f aca="false">IF(AND(OR('Choix pédagogiques'!$C$3=1,'Choix pédagogiques'!$C$3=2),$BM834=1),B834,IF(AND('Choix pédagogiques'!$C$3=3,$BO834=1),B834,""))</f>
        <v/>
      </c>
      <c r="X834" s="53" t="str">
        <f aca="false">IF(AND(OR('Choix pédagogiques'!$C$3=1,'Choix pédagogiques'!$C$3=2),$BM834=1),C834,IF(AND('Choix pédagogiques'!$C$3=3,$BO834=1),C834,""))</f>
        <v/>
      </c>
      <c r="Y834" s="53" t="str">
        <f aca="false">IF(AND(OR('Choix pédagogiques'!$C$3=1,'Choix pédagogiques'!$C$3=2),$BM834=1),D834,IF(AND('Choix pédagogiques'!$C$3=3,$BO834=1),D834,""))</f>
        <v/>
      </c>
      <c r="Z834" s="53" t="str">
        <f aca="false">IF($E834&lt;&gt;"",$E834,"")</f>
        <v/>
      </c>
      <c r="AA834" s="52" t="str">
        <f aca="false">IF($F834&lt;&gt;"",$F834,"")</f>
        <v>Apprenant 822 ou 822'</v>
      </c>
      <c r="AB834" s="53" t="str">
        <f aca="false">IF(AND(OR('Choix pédagogiques'!$C$3=1,'Choix pédagogiques'!$C$3=2),$BN834=1),G834,IF(AND('Choix pédagogiques'!$C$3=3,$BO834=1),G834,""))</f>
        <v/>
      </c>
      <c r="AC834" s="53" t="str">
        <f aca="false">IF(AND(OR('Choix pédagogiques'!$C$3=1,'Choix pédagogiques'!$C$3=2),$BN834=1),H834,IF(AND('Choix pédagogiques'!$C$3=3,$BO834=1),H834,""))</f>
        <v/>
      </c>
      <c r="AD834" s="53" t="str">
        <f aca="false">IF(AND(OR('Choix pédagogiques'!$C$3=1,'Choix pédagogiques'!$C$3=2),$BN834=1),I834,IF(AND('Choix pédagogiques'!$C$3=3,$BO834=1),I834,""))</f>
        <v/>
      </c>
      <c r="AE834" s="53" t="str">
        <f aca="false">IF($J834&lt;&gt;"",$J834,"")</f>
        <v/>
      </c>
      <c r="AF834" s="52" t="str">
        <f aca="false">IF($A834&lt;&gt;"",$A834,"")</f>
        <v>Apprenant 822</v>
      </c>
      <c r="AG834" s="53" t="str">
        <f aca="false">IF(AND($W834&lt;&gt;"",$X834&lt;&gt;""),$X834-$W834,"")</f>
        <v/>
      </c>
      <c r="AH834" s="53" t="str">
        <f aca="false">IF(AND($W834&lt;&gt;"",$Y834&lt;&gt;""),$Y834-$W834,"")</f>
        <v/>
      </c>
      <c r="AI834" s="53" t="str">
        <f aca="false">IF(AND($X834&lt;&gt;"",$Y834&lt;&gt;""),$Y834-$X834,"")</f>
        <v/>
      </c>
      <c r="AJ834" s="53" t="str">
        <f aca="false">IF($E834&lt;&gt;"",$E834,"")</f>
        <v/>
      </c>
      <c r="AK834" s="52" t="str">
        <f aca="false">IF($F834&lt;&gt;"",$F834,"")</f>
        <v>Apprenant 822 ou 822'</v>
      </c>
      <c r="AL834" s="53" t="str">
        <f aca="false">IF(AND($AB834&lt;&gt;"",$AC834&lt;&gt;""),$AC834-$AB834,"")</f>
        <v/>
      </c>
      <c r="AM834" s="53" t="str">
        <f aca="false">IF(AND($AB834&lt;&gt;"",$AD834&lt;&gt;""),$AD834-$AB834,"")</f>
        <v/>
      </c>
      <c r="AN834" s="53" t="str">
        <f aca="false">IF(AND($AC834&lt;&gt;"",$AD834&lt;&gt;""),$AD834-$AC834,"")</f>
        <v/>
      </c>
      <c r="AO834" s="53" t="str">
        <f aca="false">IF($J834&lt;&gt;"",$J834,"")</f>
        <v/>
      </c>
      <c r="AQ834" s="52" t="str">
        <f aca="false">IF($A834&lt;&gt;"",$A834,"")</f>
        <v>Apprenant 822</v>
      </c>
      <c r="AR834" s="55" t="str">
        <f aca="false">IF(AND('Choix pédagogiques'!$C$4&lt;&gt;"?",'Choix pédagogiques'!$C$5&lt;&gt;"?",W834&lt;&gt;""),(W834-'Choix pédagogiques'!$C$4)/('Choix pédagogiques'!$C$5-'Choix pédagogiques'!$C$4),"")</f>
        <v/>
      </c>
      <c r="AS834" s="55" t="str">
        <f aca="false">IF(AND('Choix pédagogiques'!$C$4&lt;&gt;"?",'Choix pédagogiques'!$C$5&lt;&gt;"?",X834&lt;&gt;""),(X834-'Choix pédagogiques'!$C$4)/('Choix pédagogiques'!$C$5-'Choix pédagogiques'!$C$4),"")</f>
        <v/>
      </c>
      <c r="AT834" s="55" t="str">
        <f aca="false">IF(AND('Choix pédagogiques'!$C$4&lt;&gt;"?",'Choix pédagogiques'!$C$5&lt;&gt;"?",Y834&lt;&gt;""),(Y834-'Choix pédagogiques'!$C$4)/('Choix pédagogiques'!$C$5-'Choix pédagogiques'!$C$4),"")</f>
        <v/>
      </c>
      <c r="AU834" s="53" t="str">
        <f aca="false">IF($E834&lt;&gt;"",$E834,"")</f>
        <v/>
      </c>
      <c r="AV834" s="52" t="str">
        <f aca="false">IF($F834&lt;&gt;"",$F834,"")</f>
        <v>Apprenant 822 ou 822'</v>
      </c>
      <c r="AW834" s="55" t="str">
        <f aca="false">IF(AND('Choix pédagogiques'!$C$4&lt;&gt;"?",'Choix pédagogiques'!$C$5&lt;&gt;"?",AB834&lt;&gt;""),(AB834-'Choix pédagogiques'!$C$4)/('Choix pédagogiques'!$C$5-'Choix pédagogiques'!$C$4),"")</f>
        <v/>
      </c>
      <c r="AX834" s="55" t="str">
        <f aca="false">IF(AND('Choix pédagogiques'!$C$4&lt;&gt;"?",'Choix pédagogiques'!$C$5&lt;&gt;"?",AC834&lt;&gt;""),(AC834-'Choix pédagogiques'!$C$4)/('Choix pédagogiques'!$C$5-'Choix pédagogiques'!$C$4),"")</f>
        <v/>
      </c>
      <c r="AY834" s="55" t="str">
        <f aca="false">IF(AND('Choix pédagogiques'!$C$4&lt;&gt;"?",'Choix pédagogiques'!$C$5&lt;&gt;"?",AD834&lt;&gt;""),(AD834-'Choix pédagogiques'!$C$4)/('Choix pédagogiques'!$C$5-'Choix pédagogiques'!$C$4),"")</f>
        <v/>
      </c>
      <c r="AZ834" s="53" t="str">
        <f aca="false">IF($J834&lt;&gt;"",$J834,"")</f>
        <v/>
      </c>
      <c r="BA834" s="52" t="str">
        <f aca="false">IF($A834&lt;&gt;"",$A834,"")</f>
        <v>Apprenant 822</v>
      </c>
      <c r="BB834" s="55" t="str">
        <f aca="false">IF(AND($AR834&lt;&gt;"",$AS834&lt;&gt;""),$AS834-$AR834,"")</f>
        <v/>
      </c>
      <c r="BC834" s="55" t="str">
        <f aca="false">IF(AND($AR834&lt;&gt;"",$AT834&lt;&gt;""),$AT834-$AR834,"")</f>
        <v/>
      </c>
      <c r="BD834" s="55" t="str">
        <f aca="false">IF(AND($AS834&lt;&gt;"",$AT834&lt;&gt;""),$AT834-$AS834,"")</f>
        <v/>
      </c>
      <c r="BE834" s="53" t="str">
        <f aca="false">IF($E834&lt;&gt;"",$E834,"")</f>
        <v/>
      </c>
      <c r="BF834" s="52" t="str">
        <f aca="false">IF($F834&lt;&gt;"",$F834,"")</f>
        <v>Apprenant 822 ou 822'</v>
      </c>
      <c r="BG834" s="55" t="str">
        <f aca="false">IF(AND($AW834&lt;&gt;"",$AX834&lt;&gt;""),$AX834-$AW834,"")</f>
        <v/>
      </c>
      <c r="BH834" s="55" t="str">
        <f aca="false">IF(AND($AW834&lt;&gt;"",$AY834&lt;&gt;""),$AY834-$AW834,"")</f>
        <v/>
      </c>
      <c r="BI834" s="55" t="str">
        <f aca="false">IF(AND($AX834&lt;&gt;"",$AY834&lt;&gt;""),$AY834-$AX834,"")</f>
        <v/>
      </c>
      <c r="BJ834" s="53" t="str">
        <f aca="false">IF($J834&lt;&gt;"",$J834,"")</f>
        <v/>
      </c>
      <c r="BL834" s="52"/>
      <c r="BM834" s="52" t="str">
        <f aca="false">IF(OR(COUNT(B834:D1833)=0,AND('Choix pédagogiques'!$C$3&lt;&gt;1,'Choix pédagogiques'!$C$3&lt;&gt;2)),"",IF(AND(OR('Choix pédagogiques'!$C$3=1,'Choix pédagogiques'!$C$3=2),$B834&lt;&gt;"",$C834&lt;&gt;"",$D834&lt;&gt;""),1,0))</f>
        <v/>
      </c>
      <c r="BN834" s="52" t="str">
        <f aca="false">IF(OR(COUNT(G834:I1833)=0,AND('Choix pédagogiques'!$C$3&lt;&gt;1,'Choix pédagogiques'!$C$3&lt;&gt;2)),"",IF(AND(OR('Choix pédagogiques'!$C$3=1,'Choix pédagogiques'!$C$3=2),AND($G834&lt;&gt;"",$H834&lt;&gt;"",$I834&lt;&gt;"")),1,0))</f>
        <v/>
      </c>
      <c r="BO834" s="52" t="str">
        <f aca="false">IF(OR(COUNT(B834:D1833)=0,COUNT(G834:I1833)=0,'Choix pédagogiques'!C$3&lt;&gt;3),"",IF(AND('Choix pédagogiques'!$C$3=3,$B834&lt;&gt;"",$C834&lt;&gt;"",$D834&lt;&gt;"",$G834&lt;&gt;"",$H834&lt;&gt;"",$I834&lt;&gt;""),1,0))</f>
        <v/>
      </c>
      <c r="BR834" s="52" t="n">
        <v>167</v>
      </c>
      <c r="BS834" s="52" t="n">
        <v>1981</v>
      </c>
    </row>
    <row r="835" s="54" customFormat="true" ht="18" hidden="false" customHeight="true" outlineLevel="0" collapsed="false">
      <c r="A835" s="57" t="s">
        <v>1601</v>
      </c>
      <c r="B835" s="51"/>
      <c r="C835" s="51"/>
      <c r="D835" s="51"/>
      <c r="E835" s="51"/>
      <c r="F835" s="57" t="s">
        <v>1602</v>
      </c>
      <c r="G835" s="51"/>
      <c r="H835" s="51"/>
      <c r="I835" s="51"/>
      <c r="J835" s="51"/>
      <c r="K835" s="52" t="str">
        <f aca="false">IF($A835&lt;&gt;"",$A835,"")</f>
        <v>Apprenant 823</v>
      </c>
      <c r="L835" s="53" t="str">
        <f aca="false">IF(AND($B835&lt;&gt;"",$C835&lt;&gt;""),$C835-$B835,"")</f>
        <v/>
      </c>
      <c r="M835" s="53" t="str">
        <f aca="false">IF(AND($B835&lt;&gt;"",$D835&lt;&gt;""),$D835-$B835,"")</f>
        <v/>
      </c>
      <c r="N835" s="53" t="str">
        <f aca="false">IF(AND($C835&lt;&gt;"",$D835&lt;&gt;""),$D835-$C835,"")</f>
        <v/>
      </c>
      <c r="O835" s="53" t="str">
        <f aca="false">IF($E835&lt;&gt;"",$E835,"")</f>
        <v/>
      </c>
      <c r="P835" s="52" t="str">
        <f aca="false">IF($F835&lt;&gt;"",$F835,"")</f>
        <v>Apprenant 823 ou 823'</v>
      </c>
      <c r="Q835" s="53" t="str">
        <f aca="false">IF(AND($G835&lt;&gt;"",$H835&lt;&gt;""),$H835-$G835,"")</f>
        <v/>
      </c>
      <c r="R835" s="53" t="str">
        <f aca="false">IF(AND($G835&lt;&gt;"",$I835&lt;&gt;""),$I835-$G835,"")</f>
        <v/>
      </c>
      <c r="S835" s="53" t="str">
        <f aca="false">IF(AND($H835&lt;&gt;"",$I835&lt;&gt;""),$I835-$H835,"")</f>
        <v/>
      </c>
      <c r="T835" s="53" t="str">
        <f aca="false">IF($J835&lt;&gt;"",$J835,"")</f>
        <v/>
      </c>
      <c r="V835" s="52" t="str">
        <f aca="false">IF($A835&lt;&gt;"",$A835,"")</f>
        <v>Apprenant 823</v>
      </c>
      <c r="W835" s="53" t="str">
        <f aca="false">IF(AND(OR('Choix pédagogiques'!$C$3=1,'Choix pédagogiques'!$C$3=2),$BM835=1),B835,IF(AND('Choix pédagogiques'!$C$3=3,$BO835=1),B835,""))</f>
        <v/>
      </c>
      <c r="X835" s="53" t="str">
        <f aca="false">IF(AND(OR('Choix pédagogiques'!$C$3=1,'Choix pédagogiques'!$C$3=2),$BM835=1),C835,IF(AND('Choix pédagogiques'!$C$3=3,$BO835=1),C835,""))</f>
        <v/>
      </c>
      <c r="Y835" s="53" t="str">
        <f aca="false">IF(AND(OR('Choix pédagogiques'!$C$3=1,'Choix pédagogiques'!$C$3=2),$BM835=1),D835,IF(AND('Choix pédagogiques'!$C$3=3,$BO835=1),D835,""))</f>
        <v/>
      </c>
      <c r="Z835" s="53" t="str">
        <f aca="false">IF($E835&lt;&gt;"",$E835,"")</f>
        <v/>
      </c>
      <c r="AA835" s="52" t="str">
        <f aca="false">IF($F835&lt;&gt;"",$F835,"")</f>
        <v>Apprenant 823 ou 823'</v>
      </c>
      <c r="AB835" s="53" t="str">
        <f aca="false">IF(AND(OR('Choix pédagogiques'!$C$3=1,'Choix pédagogiques'!$C$3=2),$BN835=1),G835,IF(AND('Choix pédagogiques'!$C$3=3,$BO835=1),G835,""))</f>
        <v/>
      </c>
      <c r="AC835" s="53" t="str">
        <f aca="false">IF(AND(OR('Choix pédagogiques'!$C$3=1,'Choix pédagogiques'!$C$3=2),$BN835=1),H835,IF(AND('Choix pédagogiques'!$C$3=3,$BO835=1),H835,""))</f>
        <v/>
      </c>
      <c r="AD835" s="53" t="str">
        <f aca="false">IF(AND(OR('Choix pédagogiques'!$C$3=1,'Choix pédagogiques'!$C$3=2),$BN835=1),I835,IF(AND('Choix pédagogiques'!$C$3=3,$BO835=1),I835,""))</f>
        <v/>
      </c>
      <c r="AE835" s="53" t="str">
        <f aca="false">IF($J835&lt;&gt;"",$J835,"")</f>
        <v/>
      </c>
      <c r="AF835" s="52" t="str">
        <f aca="false">IF($A835&lt;&gt;"",$A835,"")</f>
        <v>Apprenant 823</v>
      </c>
      <c r="AG835" s="53" t="str">
        <f aca="false">IF(AND($W835&lt;&gt;"",$X835&lt;&gt;""),$X835-$W835,"")</f>
        <v/>
      </c>
      <c r="AH835" s="53" t="str">
        <f aca="false">IF(AND($W835&lt;&gt;"",$Y835&lt;&gt;""),$Y835-$W835,"")</f>
        <v/>
      </c>
      <c r="AI835" s="53" t="str">
        <f aca="false">IF(AND($X835&lt;&gt;"",$Y835&lt;&gt;""),$Y835-$X835,"")</f>
        <v/>
      </c>
      <c r="AJ835" s="53" t="str">
        <f aca="false">IF($E835&lt;&gt;"",$E835,"")</f>
        <v/>
      </c>
      <c r="AK835" s="52" t="str">
        <f aca="false">IF($F835&lt;&gt;"",$F835,"")</f>
        <v>Apprenant 823 ou 823'</v>
      </c>
      <c r="AL835" s="53" t="str">
        <f aca="false">IF(AND($AB835&lt;&gt;"",$AC835&lt;&gt;""),$AC835-$AB835,"")</f>
        <v/>
      </c>
      <c r="AM835" s="53" t="str">
        <f aca="false">IF(AND($AB835&lt;&gt;"",$AD835&lt;&gt;""),$AD835-$AB835,"")</f>
        <v/>
      </c>
      <c r="AN835" s="53" t="str">
        <f aca="false">IF(AND($AC835&lt;&gt;"",$AD835&lt;&gt;""),$AD835-$AC835,"")</f>
        <v/>
      </c>
      <c r="AO835" s="53" t="str">
        <f aca="false">IF($J835&lt;&gt;"",$J835,"")</f>
        <v/>
      </c>
      <c r="AQ835" s="52" t="str">
        <f aca="false">IF($A835&lt;&gt;"",$A835,"")</f>
        <v>Apprenant 823</v>
      </c>
      <c r="AR835" s="55" t="str">
        <f aca="false">IF(AND('Choix pédagogiques'!$C$4&lt;&gt;"?",'Choix pédagogiques'!$C$5&lt;&gt;"?",W835&lt;&gt;""),(W835-'Choix pédagogiques'!$C$4)/('Choix pédagogiques'!$C$5-'Choix pédagogiques'!$C$4),"")</f>
        <v/>
      </c>
      <c r="AS835" s="55" t="str">
        <f aca="false">IF(AND('Choix pédagogiques'!$C$4&lt;&gt;"?",'Choix pédagogiques'!$C$5&lt;&gt;"?",X835&lt;&gt;""),(X835-'Choix pédagogiques'!$C$4)/('Choix pédagogiques'!$C$5-'Choix pédagogiques'!$C$4),"")</f>
        <v/>
      </c>
      <c r="AT835" s="55" t="str">
        <f aca="false">IF(AND('Choix pédagogiques'!$C$4&lt;&gt;"?",'Choix pédagogiques'!$C$5&lt;&gt;"?",Y835&lt;&gt;""),(Y835-'Choix pédagogiques'!$C$4)/('Choix pédagogiques'!$C$5-'Choix pédagogiques'!$C$4),"")</f>
        <v/>
      </c>
      <c r="AU835" s="53" t="str">
        <f aca="false">IF($E835&lt;&gt;"",$E835,"")</f>
        <v/>
      </c>
      <c r="AV835" s="52" t="str">
        <f aca="false">IF($F835&lt;&gt;"",$F835,"")</f>
        <v>Apprenant 823 ou 823'</v>
      </c>
      <c r="AW835" s="55" t="str">
        <f aca="false">IF(AND('Choix pédagogiques'!$C$4&lt;&gt;"?",'Choix pédagogiques'!$C$5&lt;&gt;"?",AB835&lt;&gt;""),(AB835-'Choix pédagogiques'!$C$4)/('Choix pédagogiques'!$C$5-'Choix pédagogiques'!$C$4),"")</f>
        <v/>
      </c>
      <c r="AX835" s="55" t="str">
        <f aca="false">IF(AND('Choix pédagogiques'!$C$4&lt;&gt;"?",'Choix pédagogiques'!$C$5&lt;&gt;"?",AC835&lt;&gt;""),(AC835-'Choix pédagogiques'!$C$4)/('Choix pédagogiques'!$C$5-'Choix pédagogiques'!$C$4),"")</f>
        <v/>
      </c>
      <c r="AY835" s="55" t="str">
        <f aca="false">IF(AND('Choix pédagogiques'!$C$4&lt;&gt;"?",'Choix pédagogiques'!$C$5&lt;&gt;"?",AD835&lt;&gt;""),(AD835-'Choix pédagogiques'!$C$4)/('Choix pédagogiques'!$C$5-'Choix pédagogiques'!$C$4),"")</f>
        <v/>
      </c>
      <c r="AZ835" s="53" t="str">
        <f aca="false">IF($J835&lt;&gt;"",$J835,"")</f>
        <v/>
      </c>
      <c r="BA835" s="52" t="str">
        <f aca="false">IF($A835&lt;&gt;"",$A835,"")</f>
        <v>Apprenant 823</v>
      </c>
      <c r="BB835" s="55" t="str">
        <f aca="false">IF(AND($AR835&lt;&gt;"",$AS835&lt;&gt;""),$AS835-$AR835,"")</f>
        <v/>
      </c>
      <c r="BC835" s="55" t="str">
        <f aca="false">IF(AND($AR835&lt;&gt;"",$AT835&lt;&gt;""),$AT835-$AR835,"")</f>
        <v/>
      </c>
      <c r="BD835" s="55" t="str">
        <f aca="false">IF(AND($AS835&lt;&gt;"",$AT835&lt;&gt;""),$AT835-$AS835,"")</f>
        <v/>
      </c>
      <c r="BE835" s="53" t="str">
        <f aca="false">IF($E835&lt;&gt;"",$E835,"")</f>
        <v/>
      </c>
      <c r="BF835" s="52" t="str">
        <f aca="false">IF($F835&lt;&gt;"",$F835,"")</f>
        <v>Apprenant 823 ou 823'</v>
      </c>
      <c r="BG835" s="55" t="str">
        <f aca="false">IF(AND($AW835&lt;&gt;"",$AX835&lt;&gt;""),$AX835-$AW835,"")</f>
        <v/>
      </c>
      <c r="BH835" s="55" t="str">
        <f aca="false">IF(AND($AW835&lt;&gt;"",$AY835&lt;&gt;""),$AY835-$AW835,"")</f>
        <v/>
      </c>
      <c r="BI835" s="55" t="str">
        <f aca="false">IF(AND($AX835&lt;&gt;"",$AY835&lt;&gt;""),$AY835-$AX835,"")</f>
        <v/>
      </c>
      <c r="BJ835" s="53" t="str">
        <f aca="false">IF($J835&lt;&gt;"",$J835,"")</f>
        <v/>
      </c>
      <c r="BL835" s="52"/>
      <c r="BM835" s="52" t="str">
        <f aca="false">IF(OR(COUNT(B835:D1834)=0,AND('Choix pédagogiques'!$C$3&lt;&gt;1,'Choix pédagogiques'!$C$3&lt;&gt;2)),"",IF(AND(OR('Choix pédagogiques'!$C$3=1,'Choix pédagogiques'!$C$3=2),$B835&lt;&gt;"",$C835&lt;&gt;"",$D835&lt;&gt;""),1,0))</f>
        <v/>
      </c>
      <c r="BN835" s="52" t="str">
        <f aca="false">IF(OR(COUNT(G835:I1834)=0,AND('Choix pédagogiques'!$C$3&lt;&gt;1,'Choix pédagogiques'!$C$3&lt;&gt;2)),"",IF(AND(OR('Choix pédagogiques'!$C$3=1,'Choix pédagogiques'!$C$3=2),AND($G835&lt;&gt;"",$H835&lt;&gt;"",$I835&lt;&gt;"")),1,0))</f>
        <v/>
      </c>
      <c r="BO835" s="52" t="str">
        <f aca="false">IF(OR(COUNT(B835:D1834)=0,COUNT(G835:I1834)=0,'Choix pédagogiques'!C$3&lt;&gt;3),"",IF(AND('Choix pédagogiques'!$C$3=3,$B835&lt;&gt;"",$C835&lt;&gt;"",$D835&lt;&gt;"",$G835&lt;&gt;"",$H835&lt;&gt;"",$I835&lt;&gt;""),1,0))</f>
        <v/>
      </c>
      <c r="BR835" s="52" t="n">
        <v>611</v>
      </c>
      <c r="BS835" s="52" t="n">
        <v>1635</v>
      </c>
    </row>
    <row r="836" s="54" customFormat="true" ht="18" hidden="false" customHeight="true" outlineLevel="0" collapsed="false">
      <c r="A836" s="57" t="s">
        <v>1603</v>
      </c>
      <c r="B836" s="51"/>
      <c r="C836" s="51"/>
      <c r="D836" s="51"/>
      <c r="E836" s="51"/>
      <c r="F836" s="57" t="s">
        <v>1604</v>
      </c>
      <c r="G836" s="51"/>
      <c r="H836" s="51"/>
      <c r="I836" s="51"/>
      <c r="J836" s="51"/>
      <c r="K836" s="52" t="str">
        <f aca="false">IF($A836&lt;&gt;"",$A836,"")</f>
        <v>Apprenant 824</v>
      </c>
      <c r="L836" s="53" t="str">
        <f aca="false">IF(AND($B836&lt;&gt;"",$C836&lt;&gt;""),$C836-$B836,"")</f>
        <v/>
      </c>
      <c r="M836" s="53" t="str">
        <f aca="false">IF(AND($B836&lt;&gt;"",$D836&lt;&gt;""),$D836-$B836,"")</f>
        <v/>
      </c>
      <c r="N836" s="53" t="str">
        <f aca="false">IF(AND($C836&lt;&gt;"",$D836&lt;&gt;""),$D836-$C836,"")</f>
        <v/>
      </c>
      <c r="O836" s="53" t="str">
        <f aca="false">IF($E836&lt;&gt;"",$E836,"")</f>
        <v/>
      </c>
      <c r="P836" s="52" t="str">
        <f aca="false">IF($F836&lt;&gt;"",$F836,"")</f>
        <v>Apprenant 824 ou 824'</v>
      </c>
      <c r="Q836" s="53" t="str">
        <f aca="false">IF(AND($G836&lt;&gt;"",$H836&lt;&gt;""),$H836-$G836,"")</f>
        <v/>
      </c>
      <c r="R836" s="53" t="str">
        <f aca="false">IF(AND($G836&lt;&gt;"",$I836&lt;&gt;""),$I836-$G836,"")</f>
        <v/>
      </c>
      <c r="S836" s="53" t="str">
        <f aca="false">IF(AND($H836&lt;&gt;"",$I836&lt;&gt;""),$I836-$H836,"")</f>
        <v/>
      </c>
      <c r="T836" s="53" t="str">
        <f aca="false">IF($J836&lt;&gt;"",$J836,"")</f>
        <v/>
      </c>
      <c r="V836" s="52" t="str">
        <f aca="false">IF($A836&lt;&gt;"",$A836,"")</f>
        <v>Apprenant 824</v>
      </c>
      <c r="W836" s="53" t="str">
        <f aca="false">IF(AND(OR('Choix pédagogiques'!$C$3=1,'Choix pédagogiques'!$C$3=2),$BM836=1),B836,IF(AND('Choix pédagogiques'!$C$3=3,$BO836=1),B836,""))</f>
        <v/>
      </c>
      <c r="X836" s="53" t="str">
        <f aca="false">IF(AND(OR('Choix pédagogiques'!$C$3=1,'Choix pédagogiques'!$C$3=2),$BM836=1),C836,IF(AND('Choix pédagogiques'!$C$3=3,$BO836=1),C836,""))</f>
        <v/>
      </c>
      <c r="Y836" s="53" t="str">
        <f aca="false">IF(AND(OR('Choix pédagogiques'!$C$3=1,'Choix pédagogiques'!$C$3=2),$BM836=1),D836,IF(AND('Choix pédagogiques'!$C$3=3,$BO836=1),D836,""))</f>
        <v/>
      </c>
      <c r="Z836" s="53" t="str">
        <f aca="false">IF($E836&lt;&gt;"",$E836,"")</f>
        <v/>
      </c>
      <c r="AA836" s="52" t="str">
        <f aca="false">IF($F836&lt;&gt;"",$F836,"")</f>
        <v>Apprenant 824 ou 824'</v>
      </c>
      <c r="AB836" s="53" t="str">
        <f aca="false">IF(AND(OR('Choix pédagogiques'!$C$3=1,'Choix pédagogiques'!$C$3=2),$BN836=1),G836,IF(AND('Choix pédagogiques'!$C$3=3,$BO836=1),G836,""))</f>
        <v/>
      </c>
      <c r="AC836" s="53" t="str">
        <f aca="false">IF(AND(OR('Choix pédagogiques'!$C$3=1,'Choix pédagogiques'!$C$3=2),$BN836=1),H836,IF(AND('Choix pédagogiques'!$C$3=3,$BO836=1),H836,""))</f>
        <v/>
      </c>
      <c r="AD836" s="53" t="str">
        <f aca="false">IF(AND(OR('Choix pédagogiques'!$C$3=1,'Choix pédagogiques'!$C$3=2),$BN836=1),I836,IF(AND('Choix pédagogiques'!$C$3=3,$BO836=1),I836,""))</f>
        <v/>
      </c>
      <c r="AE836" s="53" t="str">
        <f aca="false">IF($J836&lt;&gt;"",$J836,"")</f>
        <v/>
      </c>
      <c r="AF836" s="52" t="str">
        <f aca="false">IF($A836&lt;&gt;"",$A836,"")</f>
        <v>Apprenant 824</v>
      </c>
      <c r="AG836" s="53" t="str">
        <f aca="false">IF(AND($W836&lt;&gt;"",$X836&lt;&gt;""),$X836-$W836,"")</f>
        <v/>
      </c>
      <c r="AH836" s="53" t="str">
        <f aca="false">IF(AND($W836&lt;&gt;"",$Y836&lt;&gt;""),$Y836-$W836,"")</f>
        <v/>
      </c>
      <c r="AI836" s="53" t="str">
        <f aca="false">IF(AND($X836&lt;&gt;"",$Y836&lt;&gt;""),$Y836-$X836,"")</f>
        <v/>
      </c>
      <c r="AJ836" s="53" t="str">
        <f aca="false">IF($E836&lt;&gt;"",$E836,"")</f>
        <v/>
      </c>
      <c r="AK836" s="52" t="str">
        <f aca="false">IF($F836&lt;&gt;"",$F836,"")</f>
        <v>Apprenant 824 ou 824'</v>
      </c>
      <c r="AL836" s="53" t="str">
        <f aca="false">IF(AND($AB836&lt;&gt;"",$AC836&lt;&gt;""),$AC836-$AB836,"")</f>
        <v/>
      </c>
      <c r="AM836" s="53" t="str">
        <f aca="false">IF(AND($AB836&lt;&gt;"",$AD836&lt;&gt;""),$AD836-$AB836,"")</f>
        <v/>
      </c>
      <c r="AN836" s="53" t="str">
        <f aca="false">IF(AND($AC836&lt;&gt;"",$AD836&lt;&gt;""),$AD836-$AC836,"")</f>
        <v/>
      </c>
      <c r="AO836" s="53" t="str">
        <f aca="false">IF($J836&lt;&gt;"",$J836,"")</f>
        <v/>
      </c>
      <c r="AQ836" s="52" t="str">
        <f aca="false">IF($A836&lt;&gt;"",$A836,"")</f>
        <v>Apprenant 824</v>
      </c>
      <c r="AR836" s="55" t="str">
        <f aca="false">IF(AND('Choix pédagogiques'!$C$4&lt;&gt;"?",'Choix pédagogiques'!$C$5&lt;&gt;"?",W836&lt;&gt;""),(W836-'Choix pédagogiques'!$C$4)/('Choix pédagogiques'!$C$5-'Choix pédagogiques'!$C$4),"")</f>
        <v/>
      </c>
      <c r="AS836" s="55" t="str">
        <f aca="false">IF(AND('Choix pédagogiques'!$C$4&lt;&gt;"?",'Choix pédagogiques'!$C$5&lt;&gt;"?",X836&lt;&gt;""),(X836-'Choix pédagogiques'!$C$4)/('Choix pédagogiques'!$C$5-'Choix pédagogiques'!$C$4),"")</f>
        <v/>
      </c>
      <c r="AT836" s="55" t="str">
        <f aca="false">IF(AND('Choix pédagogiques'!$C$4&lt;&gt;"?",'Choix pédagogiques'!$C$5&lt;&gt;"?",Y836&lt;&gt;""),(Y836-'Choix pédagogiques'!$C$4)/('Choix pédagogiques'!$C$5-'Choix pédagogiques'!$C$4),"")</f>
        <v/>
      </c>
      <c r="AU836" s="53" t="str">
        <f aca="false">IF($E836&lt;&gt;"",$E836,"")</f>
        <v/>
      </c>
      <c r="AV836" s="52" t="str">
        <f aca="false">IF($F836&lt;&gt;"",$F836,"")</f>
        <v>Apprenant 824 ou 824'</v>
      </c>
      <c r="AW836" s="55" t="str">
        <f aca="false">IF(AND('Choix pédagogiques'!$C$4&lt;&gt;"?",'Choix pédagogiques'!$C$5&lt;&gt;"?",AB836&lt;&gt;""),(AB836-'Choix pédagogiques'!$C$4)/('Choix pédagogiques'!$C$5-'Choix pédagogiques'!$C$4),"")</f>
        <v/>
      </c>
      <c r="AX836" s="55" t="str">
        <f aca="false">IF(AND('Choix pédagogiques'!$C$4&lt;&gt;"?",'Choix pédagogiques'!$C$5&lt;&gt;"?",AC836&lt;&gt;""),(AC836-'Choix pédagogiques'!$C$4)/('Choix pédagogiques'!$C$5-'Choix pédagogiques'!$C$4),"")</f>
        <v/>
      </c>
      <c r="AY836" s="55" t="str">
        <f aca="false">IF(AND('Choix pédagogiques'!$C$4&lt;&gt;"?",'Choix pédagogiques'!$C$5&lt;&gt;"?",AD836&lt;&gt;""),(AD836-'Choix pédagogiques'!$C$4)/('Choix pédagogiques'!$C$5-'Choix pédagogiques'!$C$4),"")</f>
        <v/>
      </c>
      <c r="AZ836" s="53" t="str">
        <f aca="false">IF($J836&lt;&gt;"",$J836,"")</f>
        <v/>
      </c>
      <c r="BA836" s="52" t="str">
        <f aca="false">IF($A836&lt;&gt;"",$A836,"")</f>
        <v>Apprenant 824</v>
      </c>
      <c r="BB836" s="55" t="str">
        <f aca="false">IF(AND($AR836&lt;&gt;"",$AS836&lt;&gt;""),$AS836-$AR836,"")</f>
        <v/>
      </c>
      <c r="BC836" s="55" t="str">
        <f aca="false">IF(AND($AR836&lt;&gt;"",$AT836&lt;&gt;""),$AT836-$AR836,"")</f>
        <v/>
      </c>
      <c r="BD836" s="55" t="str">
        <f aca="false">IF(AND($AS836&lt;&gt;"",$AT836&lt;&gt;""),$AT836-$AS836,"")</f>
        <v/>
      </c>
      <c r="BE836" s="53" t="str">
        <f aca="false">IF($E836&lt;&gt;"",$E836,"")</f>
        <v/>
      </c>
      <c r="BF836" s="52" t="str">
        <f aca="false">IF($F836&lt;&gt;"",$F836,"")</f>
        <v>Apprenant 824 ou 824'</v>
      </c>
      <c r="BG836" s="55" t="str">
        <f aca="false">IF(AND($AW836&lt;&gt;"",$AX836&lt;&gt;""),$AX836-$AW836,"")</f>
        <v/>
      </c>
      <c r="BH836" s="55" t="str">
        <f aca="false">IF(AND($AW836&lt;&gt;"",$AY836&lt;&gt;""),$AY836-$AW836,"")</f>
        <v/>
      </c>
      <c r="BI836" s="55" t="str">
        <f aca="false">IF(AND($AX836&lt;&gt;"",$AY836&lt;&gt;""),$AY836-$AX836,"")</f>
        <v/>
      </c>
      <c r="BJ836" s="53" t="str">
        <f aca="false">IF($J836&lt;&gt;"",$J836,"")</f>
        <v/>
      </c>
      <c r="BL836" s="52"/>
      <c r="BM836" s="52" t="str">
        <f aca="false">IF(OR(COUNT(B836:D1835)=0,AND('Choix pédagogiques'!$C$3&lt;&gt;1,'Choix pédagogiques'!$C$3&lt;&gt;2)),"",IF(AND(OR('Choix pédagogiques'!$C$3=1,'Choix pédagogiques'!$C$3=2),$B836&lt;&gt;"",$C836&lt;&gt;"",$D836&lt;&gt;""),1,0))</f>
        <v/>
      </c>
      <c r="BN836" s="52" t="str">
        <f aca="false">IF(OR(COUNT(G836:I1835)=0,AND('Choix pédagogiques'!$C$3&lt;&gt;1,'Choix pédagogiques'!$C$3&lt;&gt;2)),"",IF(AND(OR('Choix pédagogiques'!$C$3=1,'Choix pédagogiques'!$C$3=2),AND($G836&lt;&gt;"",$H836&lt;&gt;"",$I836&lt;&gt;"")),1,0))</f>
        <v/>
      </c>
      <c r="BO836" s="52" t="str">
        <f aca="false">IF(OR(COUNT(B836:D1835)=0,COUNT(G836:I1835)=0,'Choix pédagogiques'!C$3&lt;&gt;3),"",IF(AND('Choix pédagogiques'!$C$3=3,$B836&lt;&gt;"",$C836&lt;&gt;"",$D836&lt;&gt;"",$G836&lt;&gt;"",$H836&lt;&gt;"",$I836&lt;&gt;""),1,0))</f>
        <v/>
      </c>
      <c r="BR836" s="52" t="n">
        <v>468</v>
      </c>
      <c r="BS836" s="52" t="n">
        <v>1604</v>
      </c>
    </row>
    <row r="837" s="54" customFormat="true" ht="18" hidden="false" customHeight="true" outlineLevel="0" collapsed="false">
      <c r="A837" s="57" t="s">
        <v>1605</v>
      </c>
      <c r="B837" s="51"/>
      <c r="C837" s="51"/>
      <c r="D837" s="51"/>
      <c r="E837" s="51"/>
      <c r="F837" s="57" t="s">
        <v>1606</v>
      </c>
      <c r="G837" s="51"/>
      <c r="H837" s="51"/>
      <c r="I837" s="51"/>
      <c r="J837" s="51"/>
      <c r="K837" s="52" t="str">
        <f aca="false">IF($A837&lt;&gt;"",$A837,"")</f>
        <v>Apprenant 825</v>
      </c>
      <c r="L837" s="53" t="str">
        <f aca="false">IF(AND($B837&lt;&gt;"",$C837&lt;&gt;""),$C837-$B837,"")</f>
        <v/>
      </c>
      <c r="M837" s="53" t="str">
        <f aca="false">IF(AND($B837&lt;&gt;"",$D837&lt;&gt;""),$D837-$B837,"")</f>
        <v/>
      </c>
      <c r="N837" s="53" t="str">
        <f aca="false">IF(AND($C837&lt;&gt;"",$D837&lt;&gt;""),$D837-$C837,"")</f>
        <v/>
      </c>
      <c r="O837" s="53" t="str">
        <f aca="false">IF($E837&lt;&gt;"",$E837,"")</f>
        <v/>
      </c>
      <c r="P837" s="52" t="str">
        <f aca="false">IF($F837&lt;&gt;"",$F837,"")</f>
        <v>Apprenant 825 ou 825'</v>
      </c>
      <c r="Q837" s="53" t="str">
        <f aca="false">IF(AND($G837&lt;&gt;"",$H837&lt;&gt;""),$H837-$G837,"")</f>
        <v/>
      </c>
      <c r="R837" s="53" t="str">
        <f aca="false">IF(AND($G837&lt;&gt;"",$I837&lt;&gt;""),$I837-$G837,"")</f>
        <v/>
      </c>
      <c r="S837" s="53" t="str">
        <f aca="false">IF(AND($H837&lt;&gt;"",$I837&lt;&gt;""),$I837-$H837,"")</f>
        <v/>
      </c>
      <c r="T837" s="53" t="str">
        <f aca="false">IF($J837&lt;&gt;"",$J837,"")</f>
        <v/>
      </c>
      <c r="V837" s="52" t="str">
        <f aca="false">IF($A837&lt;&gt;"",$A837,"")</f>
        <v>Apprenant 825</v>
      </c>
      <c r="W837" s="53" t="str">
        <f aca="false">IF(AND(OR('Choix pédagogiques'!$C$3=1,'Choix pédagogiques'!$C$3=2),$BM837=1),B837,IF(AND('Choix pédagogiques'!$C$3=3,$BO837=1),B837,""))</f>
        <v/>
      </c>
      <c r="X837" s="53" t="str">
        <f aca="false">IF(AND(OR('Choix pédagogiques'!$C$3=1,'Choix pédagogiques'!$C$3=2),$BM837=1),C837,IF(AND('Choix pédagogiques'!$C$3=3,$BO837=1),C837,""))</f>
        <v/>
      </c>
      <c r="Y837" s="53" t="str">
        <f aca="false">IF(AND(OR('Choix pédagogiques'!$C$3=1,'Choix pédagogiques'!$C$3=2),$BM837=1),D837,IF(AND('Choix pédagogiques'!$C$3=3,$BO837=1),D837,""))</f>
        <v/>
      </c>
      <c r="Z837" s="53" t="str">
        <f aca="false">IF($E837&lt;&gt;"",$E837,"")</f>
        <v/>
      </c>
      <c r="AA837" s="52" t="str">
        <f aca="false">IF($F837&lt;&gt;"",$F837,"")</f>
        <v>Apprenant 825 ou 825'</v>
      </c>
      <c r="AB837" s="53" t="str">
        <f aca="false">IF(AND(OR('Choix pédagogiques'!$C$3=1,'Choix pédagogiques'!$C$3=2),$BN837=1),G837,IF(AND('Choix pédagogiques'!$C$3=3,$BO837=1),G837,""))</f>
        <v/>
      </c>
      <c r="AC837" s="53" t="str">
        <f aca="false">IF(AND(OR('Choix pédagogiques'!$C$3=1,'Choix pédagogiques'!$C$3=2),$BN837=1),H837,IF(AND('Choix pédagogiques'!$C$3=3,$BO837=1),H837,""))</f>
        <v/>
      </c>
      <c r="AD837" s="53" t="str">
        <f aca="false">IF(AND(OR('Choix pédagogiques'!$C$3=1,'Choix pédagogiques'!$C$3=2),$BN837=1),I837,IF(AND('Choix pédagogiques'!$C$3=3,$BO837=1),I837,""))</f>
        <v/>
      </c>
      <c r="AE837" s="53" t="str">
        <f aca="false">IF($J837&lt;&gt;"",$J837,"")</f>
        <v/>
      </c>
      <c r="AF837" s="52" t="str">
        <f aca="false">IF($A837&lt;&gt;"",$A837,"")</f>
        <v>Apprenant 825</v>
      </c>
      <c r="AG837" s="53" t="str">
        <f aca="false">IF(AND($W837&lt;&gt;"",$X837&lt;&gt;""),$X837-$W837,"")</f>
        <v/>
      </c>
      <c r="AH837" s="53" t="str">
        <f aca="false">IF(AND($W837&lt;&gt;"",$Y837&lt;&gt;""),$Y837-$W837,"")</f>
        <v/>
      </c>
      <c r="AI837" s="53" t="str">
        <f aca="false">IF(AND($X837&lt;&gt;"",$Y837&lt;&gt;""),$Y837-$X837,"")</f>
        <v/>
      </c>
      <c r="AJ837" s="53" t="str">
        <f aca="false">IF($E837&lt;&gt;"",$E837,"")</f>
        <v/>
      </c>
      <c r="AK837" s="52" t="str">
        <f aca="false">IF($F837&lt;&gt;"",$F837,"")</f>
        <v>Apprenant 825 ou 825'</v>
      </c>
      <c r="AL837" s="53" t="str">
        <f aca="false">IF(AND($AB837&lt;&gt;"",$AC837&lt;&gt;""),$AC837-$AB837,"")</f>
        <v/>
      </c>
      <c r="AM837" s="53" t="str">
        <f aca="false">IF(AND($AB837&lt;&gt;"",$AD837&lt;&gt;""),$AD837-$AB837,"")</f>
        <v/>
      </c>
      <c r="AN837" s="53" t="str">
        <f aca="false">IF(AND($AC837&lt;&gt;"",$AD837&lt;&gt;""),$AD837-$AC837,"")</f>
        <v/>
      </c>
      <c r="AO837" s="53" t="str">
        <f aca="false">IF($J837&lt;&gt;"",$J837,"")</f>
        <v/>
      </c>
      <c r="AQ837" s="52" t="str">
        <f aca="false">IF($A837&lt;&gt;"",$A837,"")</f>
        <v>Apprenant 825</v>
      </c>
      <c r="AR837" s="55" t="str">
        <f aca="false">IF(AND('Choix pédagogiques'!$C$4&lt;&gt;"?",'Choix pédagogiques'!$C$5&lt;&gt;"?",W837&lt;&gt;""),(W837-'Choix pédagogiques'!$C$4)/('Choix pédagogiques'!$C$5-'Choix pédagogiques'!$C$4),"")</f>
        <v/>
      </c>
      <c r="AS837" s="55" t="str">
        <f aca="false">IF(AND('Choix pédagogiques'!$C$4&lt;&gt;"?",'Choix pédagogiques'!$C$5&lt;&gt;"?",X837&lt;&gt;""),(X837-'Choix pédagogiques'!$C$4)/('Choix pédagogiques'!$C$5-'Choix pédagogiques'!$C$4),"")</f>
        <v/>
      </c>
      <c r="AT837" s="55" t="str">
        <f aca="false">IF(AND('Choix pédagogiques'!$C$4&lt;&gt;"?",'Choix pédagogiques'!$C$5&lt;&gt;"?",Y837&lt;&gt;""),(Y837-'Choix pédagogiques'!$C$4)/('Choix pédagogiques'!$C$5-'Choix pédagogiques'!$C$4),"")</f>
        <v/>
      </c>
      <c r="AU837" s="53" t="str">
        <f aca="false">IF($E837&lt;&gt;"",$E837,"")</f>
        <v/>
      </c>
      <c r="AV837" s="52" t="str">
        <f aca="false">IF($F837&lt;&gt;"",$F837,"")</f>
        <v>Apprenant 825 ou 825'</v>
      </c>
      <c r="AW837" s="55" t="str">
        <f aca="false">IF(AND('Choix pédagogiques'!$C$4&lt;&gt;"?",'Choix pédagogiques'!$C$5&lt;&gt;"?",AB837&lt;&gt;""),(AB837-'Choix pédagogiques'!$C$4)/('Choix pédagogiques'!$C$5-'Choix pédagogiques'!$C$4),"")</f>
        <v/>
      </c>
      <c r="AX837" s="55" t="str">
        <f aca="false">IF(AND('Choix pédagogiques'!$C$4&lt;&gt;"?",'Choix pédagogiques'!$C$5&lt;&gt;"?",AC837&lt;&gt;""),(AC837-'Choix pédagogiques'!$C$4)/('Choix pédagogiques'!$C$5-'Choix pédagogiques'!$C$4),"")</f>
        <v/>
      </c>
      <c r="AY837" s="55" t="str">
        <f aca="false">IF(AND('Choix pédagogiques'!$C$4&lt;&gt;"?",'Choix pédagogiques'!$C$5&lt;&gt;"?",AD837&lt;&gt;""),(AD837-'Choix pédagogiques'!$C$4)/('Choix pédagogiques'!$C$5-'Choix pédagogiques'!$C$4),"")</f>
        <v/>
      </c>
      <c r="AZ837" s="53" t="str">
        <f aca="false">IF($J837&lt;&gt;"",$J837,"")</f>
        <v/>
      </c>
      <c r="BA837" s="52" t="str">
        <f aca="false">IF($A837&lt;&gt;"",$A837,"")</f>
        <v>Apprenant 825</v>
      </c>
      <c r="BB837" s="55" t="str">
        <f aca="false">IF(AND($AR837&lt;&gt;"",$AS837&lt;&gt;""),$AS837-$AR837,"")</f>
        <v/>
      </c>
      <c r="BC837" s="55" t="str">
        <f aca="false">IF(AND($AR837&lt;&gt;"",$AT837&lt;&gt;""),$AT837-$AR837,"")</f>
        <v/>
      </c>
      <c r="BD837" s="55" t="str">
        <f aca="false">IF(AND($AS837&lt;&gt;"",$AT837&lt;&gt;""),$AT837-$AS837,"")</f>
        <v/>
      </c>
      <c r="BE837" s="53" t="str">
        <f aca="false">IF($E837&lt;&gt;"",$E837,"")</f>
        <v/>
      </c>
      <c r="BF837" s="52" t="str">
        <f aca="false">IF($F837&lt;&gt;"",$F837,"")</f>
        <v>Apprenant 825 ou 825'</v>
      </c>
      <c r="BG837" s="55" t="str">
        <f aca="false">IF(AND($AW837&lt;&gt;"",$AX837&lt;&gt;""),$AX837-$AW837,"")</f>
        <v/>
      </c>
      <c r="BH837" s="55" t="str">
        <f aca="false">IF(AND($AW837&lt;&gt;"",$AY837&lt;&gt;""),$AY837-$AW837,"")</f>
        <v/>
      </c>
      <c r="BI837" s="55" t="str">
        <f aca="false">IF(AND($AX837&lt;&gt;"",$AY837&lt;&gt;""),$AY837-$AX837,"")</f>
        <v/>
      </c>
      <c r="BJ837" s="53" t="str">
        <f aca="false">IF($J837&lt;&gt;"",$J837,"")</f>
        <v/>
      </c>
      <c r="BL837" s="52"/>
      <c r="BM837" s="52" t="str">
        <f aca="false">IF(OR(COUNT(B837:D1836)=0,AND('Choix pédagogiques'!$C$3&lt;&gt;1,'Choix pédagogiques'!$C$3&lt;&gt;2)),"",IF(AND(OR('Choix pédagogiques'!$C$3=1,'Choix pédagogiques'!$C$3=2),$B837&lt;&gt;"",$C837&lt;&gt;"",$D837&lt;&gt;""),1,0))</f>
        <v/>
      </c>
      <c r="BN837" s="52" t="str">
        <f aca="false">IF(OR(COUNT(G837:I1836)=0,AND('Choix pédagogiques'!$C$3&lt;&gt;1,'Choix pédagogiques'!$C$3&lt;&gt;2)),"",IF(AND(OR('Choix pédagogiques'!$C$3=1,'Choix pédagogiques'!$C$3=2),AND($G837&lt;&gt;"",$H837&lt;&gt;"",$I837&lt;&gt;"")),1,0))</f>
        <v/>
      </c>
      <c r="BO837" s="52" t="str">
        <f aca="false">IF(OR(COUNT(B837:D1836)=0,COUNT(G837:I1836)=0,'Choix pédagogiques'!C$3&lt;&gt;3),"",IF(AND('Choix pédagogiques'!$C$3=3,$B837&lt;&gt;"",$C837&lt;&gt;"",$D837&lt;&gt;"",$G837&lt;&gt;"",$H837&lt;&gt;"",$I837&lt;&gt;""),1,0))</f>
        <v/>
      </c>
      <c r="BR837" s="52" t="n">
        <v>415</v>
      </c>
      <c r="BS837" s="52" t="n">
        <v>1430</v>
      </c>
    </row>
    <row r="838" s="54" customFormat="true" ht="18" hidden="false" customHeight="true" outlineLevel="0" collapsed="false">
      <c r="A838" s="57" t="s">
        <v>1607</v>
      </c>
      <c r="B838" s="51"/>
      <c r="C838" s="51"/>
      <c r="D838" s="51"/>
      <c r="E838" s="51"/>
      <c r="F838" s="57" t="s">
        <v>1608</v>
      </c>
      <c r="G838" s="51"/>
      <c r="H838" s="51"/>
      <c r="I838" s="51"/>
      <c r="J838" s="51"/>
      <c r="K838" s="52" t="str">
        <f aca="false">IF($A838&lt;&gt;"",$A838,"")</f>
        <v>Apprenant 826</v>
      </c>
      <c r="L838" s="53" t="str">
        <f aca="false">IF(AND($B838&lt;&gt;"",$C838&lt;&gt;""),$C838-$B838,"")</f>
        <v/>
      </c>
      <c r="M838" s="53" t="str">
        <f aca="false">IF(AND($B838&lt;&gt;"",$D838&lt;&gt;""),$D838-$B838,"")</f>
        <v/>
      </c>
      <c r="N838" s="53" t="str">
        <f aca="false">IF(AND($C838&lt;&gt;"",$D838&lt;&gt;""),$D838-$C838,"")</f>
        <v/>
      </c>
      <c r="O838" s="53" t="str">
        <f aca="false">IF($E838&lt;&gt;"",$E838,"")</f>
        <v/>
      </c>
      <c r="P838" s="52" t="str">
        <f aca="false">IF($F838&lt;&gt;"",$F838,"")</f>
        <v>Apprenant 826 ou 826'</v>
      </c>
      <c r="Q838" s="53" t="str">
        <f aca="false">IF(AND($G838&lt;&gt;"",$H838&lt;&gt;""),$H838-$G838,"")</f>
        <v/>
      </c>
      <c r="R838" s="53" t="str">
        <f aca="false">IF(AND($G838&lt;&gt;"",$I838&lt;&gt;""),$I838-$G838,"")</f>
        <v/>
      </c>
      <c r="S838" s="53" t="str">
        <f aca="false">IF(AND($H838&lt;&gt;"",$I838&lt;&gt;""),$I838-$H838,"")</f>
        <v/>
      </c>
      <c r="T838" s="53" t="str">
        <f aca="false">IF($J838&lt;&gt;"",$J838,"")</f>
        <v/>
      </c>
      <c r="V838" s="52" t="str">
        <f aca="false">IF($A838&lt;&gt;"",$A838,"")</f>
        <v>Apprenant 826</v>
      </c>
      <c r="W838" s="53" t="str">
        <f aca="false">IF(AND(OR('Choix pédagogiques'!$C$3=1,'Choix pédagogiques'!$C$3=2),$BM838=1),B838,IF(AND('Choix pédagogiques'!$C$3=3,$BO838=1),B838,""))</f>
        <v/>
      </c>
      <c r="X838" s="53" t="str">
        <f aca="false">IF(AND(OR('Choix pédagogiques'!$C$3=1,'Choix pédagogiques'!$C$3=2),$BM838=1),C838,IF(AND('Choix pédagogiques'!$C$3=3,$BO838=1),C838,""))</f>
        <v/>
      </c>
      <c r="Y838" s="53" t="str">
        <f aca="false">IF(AND(OR('Choix pédagogiques'!$C$3=1,'Choix pédagogiques'!$C$3=2),$BM838=1),D838,IF(AND('Choix pédagogiques'!$C$3=3,$BO838=1),D838,""))</f>
        <v/>
      </c>
      <c r="Z838" s="53" t="str">
        <f aca="false">IF($E838&lt;&gt;"",$E838,"")</f>
        <v/>
      </c>
      <c r="AA838" s="52" t="str">
        <f aca="false">IF($F838&lt;&gt;"",$F838,"")</f>
        <v>Apprenant 826 ou 826'</v>
      </c>
      <c r="AB838" s="53" t="str">
        <f aca="false">IF(AND(OR('Choix pédagogiques'!$C$3=1,'Choix pédagogiques'!$C$3=2),$BN838=1),G838,IF(AND('Choix pédagogiques'!$C$3=3,$BO838=1),G838,""))</f>
        <v/>
      </c>
      <c r="AC838" s="53" t="str">
        <f aca="false">IF(AND(OR('Choix pédagogiques'!$C$3=1,'Choix pédagogiques'!$C$3=2),$BN838=1),H838,IF(AND('Choix pédagogiques'!$C$3=3,$BO838=1),H838,""))</f>
        <v/>
      </c>
      <c r="AD838" s="53" t="str">
        <f aca="false">IF(AND(OR('Choix pédagogiques'!$C$3=1,'Choix pédagogiques'!$C$3=2),$BN838=1),I838,IF(AND('Choix pédagogiques'!$C$3=3,$BO838=1),I838,""))</f>
        <v/>
      </c>
      <c r="AE838" s="53" t="str">
        <f aca="false">IF($J838&lt;&gt;"",$J838,"")</f>
        <v/>
      </c>
      <c r="AF838" s="52" t="str">
        <f aca="false">IF($A838&lt;&gt;"",$A838,"")</f>
        <v>Apprenant 826</v>
      </c>
      <c r="AG838" s="53" t="str">
        <f aca="false">IF(AND($W838&lt;&gt;"",$X838&lt;&gt;""),$X838-$W838,"")</f>
        <v/>
      </c>
      <c r="AH838" s="53" t="str">
        <f aca="false">IF(AND($W838&lt;&gt;"",$Y838&lt;&gt;""),$Y838-$W838,"")</f>
        <v/>
      </c>
      <c r="AI838" s="53" t="str">
        <f aca="false">IF(AND($X838&lt;&gt;"",$Y838&lt;&gt;""),$Y838-$X838,"")</f>
        <v/>
      </c>
      <c r="AJ838" s="53" t="str">
        <f aca="false">IF($E838&lt;&gt;"",$E838,"")</f>
        <v/>
      </c>
      <c r="AK838" s="52" t="str">
        <f aca="false">IF($F838&lt;&gt;"",$F838,"")</f>
        <v>Apprenant 826 ou 826'</v>
      </c>
      <c r="AL838" s="53" t="str">
        <f aca="false">IF(AND($AB838&lt;&gt;"",$AC838&lt;&gt;""),$AC838-$AB838,"")</f>
        <v/>
      </c>
      <c r="AM838" s="53" t="str">
        <f aca="false">IF(AND($AB838&lt;&gt;"",$AD838&lt;&gt;""),$AD838-$AB838,"")</f>
        <v/>
      </c>
      <c r="AN838" s="53" t="str">
        <f aca="false">IF(AND($AC838&lt;&gt;"",$AD838&lt;&gt;""),$AD838-$AC838,"")</f>
        <v/>
      </c>
      <c r="AO838" s="53" t="str">
        <f aca="false">IF($J838&lt;&gt;"",$J838,"")</f>
        <v/>
      </c>
      <c r="AQ838" s="52" t="str">
        <f aca="false">IF($A838&lt;&gt;"",$A838,"")</f>
        <v>Apprenant 826</v>
      </c>
      <c r="AR838" s="55" t="str">
        <f aca="false">IF(AND('Choix pédagogiques'!$C$4&lt;&gt;"?",'Choix pédagogiques'!$C$5&lt;&gt;"?",W838&lt;&gt;""),(W838-'Choix pédagogiques'!$C$4)/('Choix pédagogiques'!$C$5-'Choix pédagogiques'!$C$4),"")</f>
        <v/>
      </c>
      <c r="AS838" s="55" t="str">
        <f aca="false">IF(AND('Choix pédagogiques'!$C$4&lt;&gt;"?",'Choix pédagogiques'!$C$5&lt;&gt;"?",X838&lt;&gt;""),(X838-'Choix pédagogiques'!$C$4)/('Choix pédagogiques'!$C$5-'Choix pédagogiques'!$C$4),"")</f>
        <v/>
      </c>
      <c r="AT838" s="55" t="str">
        <f aca="false">IF(AND('Choix pédagogiques'!$C$4&lt;&gt;"?",'Choix pédagogiques'!$C$5&lt;&gt;"?",Y838&lt;&gt;""),(Y838-'Choix pédagogiques'!$C$4)/('Choix pédagogiques'!$C$5-'Choix pédagogiques'!$C$4),"")</f>
        <v/>
      </c>
      <c r="AU838" s="53" t="str">
        <f aca="false">IF($E838&lt;&gt;"",$E838,"")</f>
        <v/>
      </c>
      <c r="AV838" s="52" t="str">
        <f aca="false">IF($F838&lt;&gt;"",$F838,"")</f>
        <v>Apprenant 826 ou 826'</v>
      </c>
      <c r="AW838" s="55" t="str">
        <f aca="false">IF(AND('Choix pédagogiques'!$C$4&lt;&gt;"?",'Choix pédagogiques'!$C$5&lt;&gt;"?",AB838&lt;&gt;""),(AB838-'Choix pédagogiques'!$C$4)/('Choix pédagogiques'!$C$5-'Choix pédagogiques'!$C$4),"")</f>
        <v/>
      </c>
      <c r="AX838" s="55" t="str">
        <f aca="false">IF(AND('Choix pédagogiques'!$C$4&lt;&gt;"?",'Choix pédagogiques'!$C$5&lt;&gt;"?",AC838&lt;&gt;""),(AC838-'Choix pédagogiques'!$C$4)/('Choix pédagogiques'!$C$5-'Choix pédagogiques'!$C$4),"")</f>
        <v/>
      </c>
      <c r="AY838" s="55" t="str">
        <f aca="false">IF(AND('Choix pédagogiques'!$C$4&lt;&gt;"?",'Choix pédagogiques'!$C$5&lt;&gt;"?",AD838&lt;&gt;""),(AD838-'Choix pédagogiques'!$C$4)/('Choix pédagogiques'!$C$5-'Choix pédagogiques'!$C$4),"")</f>
        <v/>
      </c>
      <c r="AZ838" s="53" t="str">
        <f aca="false">IF($J838&lt;&gt;"",$J838,"")</f>
        <v/>
      </c>
      <c r="BA838" s="52" t="str">
        <f aca="false">IF($A838&lt;&gt;"",$A838,"")</f>
        <v>Apprenant 826</v>
      </c>
      <c r="BB838" s="55" t="str">
        <f aca="false">IF(AND($AR838&lt;&gt;"",$AS838&lt;&gt;""),$AS838-$AR838,"")</f>
        <v/>
      </c>
      <c r="BC838" s="55" t="str">
        <f aca="false">IF(AND($AR838&lt;&gt;"",$AT838&lt;&gt;""),$AT838-$AR838,"")</f>
        <v/>
      </c>
      <c r="BD838" s="55" t="str">
        <f aca="false">IF(AND($AS838&lt;&gt;"",$AT838&lt;&gt;""),$AT838-$AS838,"")</f>
        <v/>
      </c>
      <c r="BE838" s="53" t="str">
        <f aca="false">IF($E838&lt;&gt;"",$E838,"")</f>
        <v/>
      </c>
      <c r="BF838" s="52" t="str">
        <f aca="false">IF($F838&lt;&gt;"",$F838,"")</f>
        <v>Apprenant 826 ou 826'</v>
      </c>
      <c r="BG838" s="55" t="str">
        <f aca="false">IF(AND($AW838&lt;&gt;"",$AX838&lt;&gt;""),$AX838-$AW838,"")</f>
        <v/>
      </c>
      <c r="BH838" s="55" t="str">
        <f aca="false">IF(AND($AW838&lt;&gt;"",$AY838&lt;&gt;""),$AY838-$AW838,"")</f>
        <v/>
      </c>
      <c r="BI838" s="55" t="str">
        <f aca="false">IF(AND($AX838&lt;&gt;"",$AY838&lt;&gt;""),$AY838-$AX838,"")</f>
        <v/>
      </c>
      <c r="BJ838" s="53" t="str">
        <f aca="false">IF($J838&lt;&gt;"",$J838,"")</f>
        <v/>
      </c>
      <c r="BL838" s="52"/>
      <c r="BM838" s="52" t="str">
        <f aca="false">IF(OR(COUNT(B838:D1837)=0,AND('Choix pédagogiques'!$C$3&lt;&gt;1,'Choix pédagogiques'!$C$3&lt;&gt;2)),"",IF(AND(OR('Choix pédagogiques'!$C$3=1,'Choix pédagogiques'!$C$3=2),$B838&lt;&gt;"",$C838&lt;&gt;"",$D838&lt;&gt;""),1,0))</f>
        <v/>
      </c>
      <c r="BN838" s="52" t="str">
        <f aca="false">IF(OR(COUNT(G838:I1837)=0,AND('Choix pédagogiques'!$C$3&lt;&gt;1,'Choix pédagogiques'!$C$3&lt;&gt;2)),"",IF(AND(OR('Choix pédagogiques'!$C$3=1,'Choix pédagogiques'!$C$3=2),AND($G838&lt;&gt;"",$H838&lt;&gt;"",$I838&lt;&gt;"")),1,0))</f>
        <v/>
      </c>
      <c r="BO838" s="52" t="str">
        <f aca="false">IF(OR(COUNT(B838:D1837)=0,COUNT(G838:I1837)=0,'Choix pédagogiques'!C$3&lt;&gt;3),"",IF(AND('Choix pédagogiques'!$C$3=3,$B838&lt;&gt;"",$C838&lt;&gt;"",$D838&lt;&gt;"",$G838&lt;&gt;"",$H838&lt;&gt;"",$I838&lt;&gt;""),1,0))</f>
        <v/>
      </c>
      <c r="BR838" s="52" t="n">
        <v>509</v>
      </c>
      <c r="BS838" s="52" t="n">
        <v>1666</v>
      </c>
    </row>
    <row r="839" s="54" customFormat="true" ht="18" hidden="false" customHeight="true" outlineLevel="0" collapsed="false">
      <c r="A839" s="57" t="s">
        <v>1609</v>
      </c>
      <c r="B839" s="51"/>
      <c r="C839" s="51"/>
      <c r="D839" s="51"/>
      <c r="E839" s="51"/>
      <c r="F839" s="57" t="s">
        <v>1610</v>
      </c>
      <c r="G839" s="51"/>
      <c r="H839" s="51"/>
      <c r="I839" s="51"/>
      <c r="J839" s="51"/>
      <c r="K839" s="52" t="str">
        <f aca="false">IF($A839&lt;&gt;"",$A839,"")</f>
        <v>Apprenant 827</v>
      </c>
      <c r="L839" s="53" t="str">
        <f aca="false">IF(AND($B839&lt;&gt;"",$C839&lt;&gt;""),$C839-$B839,"")</f>
        <v/>
      </c>
      <c r="M839" s="53" t="str">
        <f aca="false">IF(AND($B839&lt;&gt;"",$D839&lt;&gt;""),$D839-$B839,"")</f>
        <v/>
      </c>
      <c r="N839" s="53" t="str">
        <f aca="false">IF(AND($C839&lt;&gt;"",$D839&lt;&gt;""),$D839-$C839,"")</f>
        <v/>
      </c>
      <c r="O839" s="53" t="str">
        <f aca="false">IF($E839&lt;&gt;"",$E839,"")</f>
        <v/>
      </c>
      <c r="P839" s="52" t="str">
        <f aca="false">IF($F839&lt;&gt;"",$F839,"")</f>
        <v>Apprenant 827 ou 827'</v>
      </c>
      <c r="Q839" s="53" t="str">
        <f aca="false">IF(AND($G839&lt;&gt;"",$H839&lt;&gt;""),$H839-$G839,"")</f>
        <v/>
      </c>
      <c r="R839" s="53" t="str">
        <f aca="false">IF(AND($G839&lt;&gt;"",$I839&lt;&gt;""),$I839-$G839,"")</f>
        <v/>
      </c>
      <c r="S839" s="53" t="str">
        <f aca="false">IF(AND($H839&lt;&gt;"",$I839&lt;&gt;""),$I839-$H839,"")</f>
        <v/>
      </c>
      <c r="T839" s="53" t="str">
        <f aca="false">IF($J839&lt;&gt;"",$J839,"")</f>
        <v/>
      </c>
      <c r="V839" s="52" t="str">
        <f aca="false">IF($A839&lt;&gt;"",$A839,"")</f>
        <v>Apprenant 827</v>
      </c>
      <c r="W839" s="53" t="str">
        <f aca="false">IF(AND(OR('Choix pédagogiques'!$C$3=1,'Choix pédagogiques'!$C$3=2),$BM839=1),B839,IF(AND('Choix pédagogiques'!$C$3=3,$BO839=1),B839,""))</f>
        <v/>
      </c>
      <c r="X839" s="53" t="str">
        <f aca="false">IF(AND(OR('Choix pédagogiques'!$C$3=1,'Choix pédagogiques'!$C$3=2),$BM839=1),C839,IF(AND('Choix pédagogiques'!$C$3=3,$BO839=1),C839,""))</f>
        <v/>
      </c>
      <c r="Y839" s="53" t="str">
        <f aca="false">IF(AND(OR('Choix pédagogiques'!$C$3=1,'Choix pédagogiques'!$C$3=2),$BM839=1),D839,IF(AND('Choix pédagogiques'!$C$3=3,$BO839=1),D839,""))</f>
        <v/>
      </c>
      <c r="Z839" s="53" t="str">
        <f aca="false">IF($E839&lt;&gt;"",$E839,"")</f>
        <v/>
      </c>
      <c r="AA839" s="52" t="str">
        <f aca="false">IF($F839&lt;&gt;"",$F839,"")</f>
        <v>Apprenant 827 ou 827'</v>
      </c>
      <c r="AB839" s="53" t="str">
        <f aca="false">IF(AND(OR('Choix pédagogiques'!$C$3=1,'Choix pédagogiques'!$C$3=2),$BN839=1),G839,IF(AND('Choix pédagogiques'!$C$3=3,$BO839=1),G839,""))</f>
        <v/>
      </c>
      <c r="AC839" s="53" t="str">
        <f aca="false">IF(AND(OR('Choix pédagogiques'!$C$3=1,'Choix pédagogiques'!$C$3=2),$BN839=1),H839,IF(AND('Choix pédagogiques'!$C$3=3,$BO839=1),H839,""))</f>
        <v/>
      </c>
      <c r="AD839" s="53" t="str">
        <f aca="false">IF(AND(OR('Choix pédagogiques'!$C$3=1,'Choix pédagogiques'!$C$3=2),$BN839=1),I839,IF(AND('Choix pédagogiques'!$C$3=3,$BO839=1),I839,""))</f>
        <v/>
      </c>
      <c r="AE839" s="53" t="str">
        <f aca="false">IF($J839&lt;&gt;"",$J839,"")</f>
        <v/>
      </c>
      <c r="AF839" s="52" t="str">
        <f aca="false">IF($A839&lt;&gt;"",$A839,"")</f>
        <v>Apprenant 827</v>
      </c>
      <c r="AG839" s="53" t="str">
        <f aca="false">IF(AND($W839&lt;&gt;"",$X839&lt;&gt;""),$X839-$W839,"")</f>
        <v/>
      </c>
      <c r="AH839" s="53" t="str">
        <f aca="false">IF(AND($W839&lt;&gt;"",$Y839&lt;&gt;""),$Y839-$W839,"")</f>
        <v/>
      </c>
      <c r="AI839" s="53" t="str">
        <f aca="false">IF(AND($X839&lt;&gt;"",$Y839&lt;&gt;""),$Y839-$X839,"")</f>
        <v/>
      </c>
      <c r="AJ839" s="53" t="str">
        <f aca="false">IF($E839&lt;&gt;"",$E839,"")</f>
        <v/>
      </c>
      <c r="AK839" s="52" t="str">
        <f aca="false">IF($F839&lt;&gt;"",$F839,"")</f>
        <v>Apprenant 827 ou 827'</v>
      </c>
      <c r="AL839" s="53" t="str">
        <f aca="false">IF(AND($AB839&lt;&gt;"",$AC839&lt;&gt;""),$AC839-$AB839,"")</f>
        <v/>
      </c>
      <c r="AM839" s="53" t="str">
        <f aca="false">IF(AND($AB839&lt;&gt;"",$AD839&lt;&gt;""),$AD839-$AB839,"")</f>
        <v/>
      </c>
      <c r="AN839" s="53" t="str">
        <f aca="false">IF(AND($AC839&lt;&gt;"",$AD839&lt;&gt;""),$AD839-$AC839,"")</f>
        <v/>
      </c>
      <c r="AO839" s="53" t="str">
        <f aca="false">IF($J839&lt;&gt;"",$J839,"")</f>
        <v/>
      </c>
      <c r="AQ839" s="52" t="str">
        <f aca="false">IF($A839&lt;&gt;"",$A839,"")</f>
        <v>Apprenant 827</v>
      </c>
      <c r="AR839" s="55" t="str">
        <f aca="false">IF(AND('Choix pédagogiques'!$C$4&lt;&gt;"?",'Choix pédagogiques'!$C$5&lt;&gt;"?",W839&lt;&gt;""),(W839-'Choix pédagogiques'!$C$4)/('Choix pédagogiques'!$C$5-'Choix pédagogiques'!$C$4),"")</f>
        <v/>
      </c>
      <c r="AS839" s="55" t="str">
        <f aca="false">IF(AND('Choix pédagogiques'!$C$4&lt;&gt;"?",'Choix pédagogiques'!$C$5&lt;&gt;"?",X839&lt;&gt;""),(X839-'Choix pédagogiques'!$C$4)/('Choix pédagogiques'!$C$5-'Choix pédagogiques'!$C$4),"")</f>
        <v/>
      </c>
      <c r="AT839" s="55" t="str">
        <f aca="false">IF(AND('Choix pédagogiques'!$C$4&lt;&gt;"?",'Choix pédagogiques'!$C$5&lt;&gt;"?",Y839&lt;&gt;""),(Y839-'Choix pédagogiques'!$C$4)/('Choix pédagogiques'!$C$5-'Choix pédagogiques'!$C$4),"")</f>
        <v/>
      </c>
      <c r="AU839" s="53" t="str">
        <f aca="false">IF($E839&lt;&gt;"",$E839,"")</f>
        <v/>
      </c>
      <c r="AV839" s="52" t="str">
        <f aca="false">IF($F839&lt;&gt;"",$F839,"")</f>
        <v>Apprenant 827 ou 827'</v>
      </c>
      <c r="AW839" s="55" t="str">
        <f aca="false">IF(AND('Choix pédagogiques'!$C$4&lt;&gt;"?",'Choix pédagogiques'!$C$5&lt;&gt;"?",AB839&lt;&gt;""),(AB839-'Choix pédagogiques'!$C$4)/('Choix pédagogiques'!$C$5-'Choix pédagogiques'!$C$4),"")</f>
        <v/>
      </c>
      <c r="AX839" s="55" t="str">
        <f aca="false">IF(AND('Choix pédagogiques'!$C$4&lt;&gt;"?",'Choix pédagogiques'!$C$5&lt;&gt;"?",AC839&lt;&gt;""),(AC839-'Choix pédagogiques'!$C$4)/('Choix pédagogiques'!$C$5-'Choix pédagogiques'!$C$4),"")</f>
        <v/>
      </c>
      <c r="AY839" s="55" t="str">
        <f aca="false">IF(AND('Choix pédagogiques'!$C$4&lt;&gt;"?",'Choix pédagogiques'!$C$5&lt;&gt;"?",AD839&lt;&gt;""),(AD839-'Choix pédagogiques'!$C$4)/('Choix pédagogiques'!$C$5-'Choix pédagogiques'!$C$4),"")</f>
        <v/>
      </c>
      <c r="AZ839" s="53" t="str">
        <f aca="false">IF($J839&lt;&gt;"",$J839,"")</f>
        <v/>
      </c>
      <c r="BA839" s="52" t="str">
        <f aca="false">IF($A839&lt;&gt;"",$A839,"")</f>
        <v>Apprenant 827</v>
      </c>
      <c r="BB839" s="55" t="str">
        <f aca="false">IF(AND($AR839&lt;&gt;"",$AS839&lt;&gt;""),$AS839-$AR839,"")</f>
        <v/>
      </c>
      <c r="BC839" s="55" t="str">
        <f aca="false">IF(AND($AR839&lt;&gt;"",$AT839&lt;&gt;""),$AT839-$AR839,"")</f>
        <v/>
      </c>
      <c r="BD839" s="55" t="str">
        <f aca="false">IF(AND($AS839&lt;&gt;"",$AT839&lt;&gt;""),$AT839-$AS839,"")</f>
        <v/>
      </c>
      <c r="BE839" s="53" t="str">
        <f aca="false">IF($E839&lt;&gt;"",$E839,"")</f>
        <v/>
      </c>
      <c r="BF839" s="52" t="str">
        <f aca="false">IF($F839&lt;&gt;"",$F839,"")</f>
        <v>Apprenant 827 ou 827'</v>
      </c>
      <c r="BG839" s="55" t="str">
        <f aca="false">IF(AND($AW839&lt;&gt;"",$AX839&lt;&gt;""),$AX839-$AW839,"")</f>
        <v/>
      </c>
      <c r="BH839" s="55" t="str">
        <f aca="false">IF(AND($AW839&lt;&gt;"",$AY839&lt;&gt;""),$AY839-$AW839,"")</f>
        <v/>
      </c>
      <c r="BI839" s="55" t="str">
        <f aca="false">IF(AND($AX839&lt;&gt;"",$AY839&lt;&gt;""),$AY839-$AX839,"")</f>
        <v/>
      </c>
      <c r="BJ839" s="53" t="str">
        <f aca="false">IF($J839&lt;&gt;"",$J839,"")</f>
        <v/>
      </c>
      <c r="BL839" s="52"/>
      <c r="BM839" s="52" t="str">
        <f aca="false">IF(OR(COUNT(B839:D1838)=0,AND('Choix pédagogiques'!$C$3&lt;&gt;1,'Choix pédagogiques'!$C$3&lt;&gt;2)),"",IF(AND(OR('Choix pédagogiques'!$C$3=1,'Choix pédagogiques'!$C$3=2),$B839&lt;&gt;"",$C839&lt;&gt;"",$D839&lt;&gt;""),1,0))</f>
        <v/>
      </c>
      <c r="BN839" s="52" t="str">
        <f aca="false">IF(OR(COUNT(G839:I1838)=0,AND('Choix pédagogiques'!$C$3&lt;&gt;1,'Choix pédagogiques'!$C$3&lt;&gt;2)),"",IF(AND(OR('Choix pédagogiques'!$C$3=1,'Choix pédagogiques'!$C$3=2),AND($G839&lt;&gt;"",$H839&lt;&gt;"",$I839&lt;&gt;"")),1,0))</f>
        <v/>
      </c>
      <c r="BO839" s="52" t="str">
        <f aca="false">IF(OR(COUNT(B839:D1838)=0,COUNT(G839:I1838)=0,'Choix pédagogiques'!C$3&lt;&gt;3),"",IF(AND('Choix pédagogiques'!$C$3=3,$B839&lt;&gt;"",$C839&lt;&gt;"",$D839&lt;&gt;"",$G839&lt;&gt;"",$H839&lt;&gt;"",$I839&lt;&gt;""),1,0))</f>
        <v/>
      </c>
      <c r="BR839" s="52" t="n">
        <v>993</v>
      </c>
      <c r="BS839" s="52" t="n">
        <v>1487</v>
      </c>
    </row>
    <row r="840" s="54" customFormat="true" ht="18" hidden="false" customHeight="true" outlineLevel="0" collapsed="false">
      <c r="A840" s="57" t="s">
        <v>1611</v>
      </c>
      <c r="B840" s="51"/>
      <c r="C840" s="51"/>
      <c r="D840" s="51"/>
      <c r="E840" s="51"/>
      <c r="F840" s="57" t="s">
        <v>1612</v>
      </c>
      <c r="G840" s="51"/>
      <c r="H840" s="51"/>
      <c r="I840" s="51"/>
      <c r="J840" s="51"/>
      <c r="K840" s="52" t="str">
        <f aca="false">IF($A840&lt;&gt;"",$A840,"")</f>
        <v>Apprenant 828</v>
      </c>
      <c r="L840" s="53" t="str">
        <f aca="false">IF(AND($B840&lt;&gt;"",$C840&lt;&gt;""),$C840-$B840,"")</f>
        <v/>
      </c>
      <c r="M840" s="53" t="str">
        <f aca="false">IF(AND($B840&lt;&gt;"",$D840&lt;&gt;""),$D840-$B840,"")</f>
        <v/>
      </c>
      <c r="N840" s="53" t="str">
        <f aca="false">IF(AND($C840&lt;&gt;"",$D840&lt;&gt;""),$D840-$C840,"")</f>
        <v/>
      </c>
      <c r="O840" s="53" t="str">
        <f aca="false">IF($E840&lt;&gt;"",$E840,"")</f>
        <v/>
      </c>
      <c r="P840" s="52" t="str">
        <f aca="false">IF($F840&lt;&gt;"",$F840,"")</f>
        <v>Apprenant 828 ou 828'</v>
      </c>
      <c r="Q840" s="53" t="str">
        <f aca="false">IF(AND($G840&lt;&gt;"",$H840&lt;&gt;""),$H840-$G840,"")</f>
        <v/>
      </c>
      <c r="R840" s="53" t="str">
        <f aca="false">IF(AND($G840&lt;&gt;"",$I840&lt;&gt;""),$I840-$G840,"")</f>
        <v/>
      </c>
      <c r="S840" s="53" t="str">
        <f aca="false">IF(AND($H840&lt;&gt;"",$I840&lt;&gt;""),$I840-$H840,"")</f>
        <v/>
      </c>
      <c r="T840" s="53" t="str">
        <f aca="false">IF($J840&lt;&gt;"",$J840,"")</f>
        <v/>
      </c>
      <c r="V840" s="52" t="str">
        <f aca="false">IF($A840&lt;&gt;"",$A840,"")</f>
        <v>Apprenant 828</v>
      </c>
      <c r="W840" s="53" t="str">
        <f aca="false">IF(AND(OR('Choix pédagogiques'!$C$3=1,'Choix pédagogiques'!$C$3=2),$BM840=1),B840,IF(AND('Choix pédagogiques'!$C$3=3,$BO840=1),B840,""))</f>
        <v/>
      </c>
      <c r="X840" s="53" t="str">
        <f aca="false">IF(AND(OR('Choix pédagogiques'!$C$3=1,'Choix pédagogiques'!$C$3=2),$BM840=1),C840,IF(AND('Choix pédagogiques'!$C$3=3,$BO840=1),C840,""))</f>
        <v/>
      </c>
      <c r="Y840" s="53" t="str">
        <f aca="false">IF(AND(OR('Choix pédagogiques'!$C$3=1,'Choix pédagogiques'!$C$3=2),$BM840=1),D840,IF(AND('Choix pédagogiques'!$C$3=3,$BO840=1),D840,""))</f>
        <v/>
      </c>
      <c r="Z840" s="53" t="str">
        <f aca="false">IF($E840&lt;&gt;"",$E840,"")</f>
        <v/>
      </c>
      <c r="AA840" s="52" t="str">
        <f aca="false">IF($F840&lt;&gt;"",$F840,"")</f>
        <v>Apprenant 828 ou 828'</v>
      </c>
      <c r="AB840" s="53" t="str">
        <f aca="false">IF(AND(OR('Choix pédagogiques'!$C$3=1,'Choix pédagogiques'!$C$3=2),$BN840=1),G840,IF(AND('Choix pédagogiques'!$C$3=3,$BO840=1),G840,""))</f>
        <v/>
      </c>
      <c r="AC840" s="53" t="str">
        <f aca="false">IF(AND(OR('Choix pédagogiques'!$C$3=1,'Choix pédagogiques'!$C$3=2),$BN840=1),H840,IF(AND('Choix pédagogiques'!$C$3=3,$BO840=1),H840,""))</f>
        <v/>
      </c>
      <c r="AD840" s="53" t="str">
        <f aca="false">IF(AND(OR('Choix pédagogiques'!$C$3=1,'Choix pédagogiques'!$C$3=2),$BN840=1),I840,IF(AND('Choix pédagogiques'!$C$3=3,$BO840=1),I840,""))</f>
        <v/>
      </c>
      <c r="AE840" s="53" t="str">
        <f aca="false">IF($J840&lt;&gt;"",$J840,"")</f>
        <v/>
      </c>
      <c r="AF840" s="52" t="str">
        <f aca="false">IF($A840&lt;&gt;"",$A840,"")</f>
        <v>Apprenant 828</v>
      </c>
      <c r="AG840" s="53" t="str">
        <f aca="false">IF(AND($W840&lt;&gt;"",$X840&lt;&gt;""),$X840-$W840,"")</f>
        <v/>
      </c>
      <c r="AH840" s="53" t="str">
        <f aca="false">IF(AND($W840&lt;&gt;"",$Y840&lt;&gt;""),$Y840-$W840,"")</f>
        <v/>
      </c>
      <c r="AI840" s="53" t="str">
        <f aca="false">IF(AND($X840&lt;&gt;"",$Y840&lt;&gt;""),$Y840-$X840,"")</f>
        <v/>
      </c>
      <c r="AJ840" s="53" t="str">
        <f aca="false">IF($E840&lt;&gt;"",$E840,"")</f>
        <v/>
      </c>
      <c r="AK840" s="52" t="str">
        <f aca="false">IF($F840&lt;&gt;"",$F840,"")</f>
        <v>Apprenant 828 ou 828'</v>
      </c>
      <c r="AL840" s="53" t="str">
        <f aca="false">IF(AND($AB840&lt;&gt;"",$AC840&lt;&gt;""),$AC840-$AB840,"")</f>
        <v/>
      </c>
      <c r="AM840" s="53" t="str">
        <f aca="false">IF(AND($AB840&lt;&gt;"",$AD840&lt;&gt;""),$AD840-$AB840,"")</f>
        <v/>
      </c>
      <c r="AN840" s="53" t="str">
        <f aca="false">IF(AND($AC840&lt;&gt;"",$AD840&lt;&gt;""),$AD840-$AC840,"")</f>
        <v/>
      </c>
      <c r="AO840" s="53" t="str">
        <f aca="false">IF($J840&lt;&gt;"",$J840,"")</f>
        <v/>
      </c>
      <c r="AQ840" s="52" t="str">
        <f aca="false">IF($A840&lt;&gt;"",$A840,"")</f>
        <v>Apprenant 828</v>
      </c>
      <c r="AR840" s="55" t="str">
        <f aca="false">IF(AND('Choix pédagogiques'!$C$4&lt;&gt;"?",'Choix pédagogiques'!$C$5&lt;&gt;"?",W840&lt;&gt;""),(W840-'Choix pédagogiques'!$C$4)/('Choix pédagogiques'!$C$5-'Choix pédagogiques'!$C$4),"")</f>
        <v/>
      </c>
      <c r="AS840" s="55" t="str">
        <f aca="false">IF(AND('Choix pédagogiques'!$C$4&lt;&gt;"?",'Choix pédagogiques'!$C$5&lt;&gt;"?",X840&lt;&gt;""),(X840-'Choix pédagogiques'!$C$4)/('Choix pédagogiques'!$C$5-'Choix pédagogiques'!$C$4),"")</f>
        <v/>
      </c>
      <c r="AT840" s="55" t="str">
        <f aca="false">IF(AND('Choix pédagogiques'!$C$4&lt;&gt;"?",'Choix pédagogiques'!$C$5&lt;&gt;"?",Y840&lt;&gt;""),(Y840-'Choix pédagogiques'!$C$4)/('Choix pédagogiques'!$C$5-'Choix pédagogiques'!$C$4),"")</f>
        <v/>
      </c>
      <c r="AU840" s="53" t="str">
        <f aca="false">IF($E840&lt;&gt;"",$E840,"")</f>
        <v/>
      </c>
      <c r="AV840" s="52" t="str">
        <f aca="false">IF($F840&lt;&gt;"",$F840,"")</f>
        <v>Apprenant 828 ou 828'</v>
      </c>
      <c r="AW840" s="55" t="str">
        <f aca="false">IF(AND('Choix pédagogiques'!$C$4&lt;&gt;"?",'Choix pédagogiques'!$C$5&lt;&gt;"?",AB840&lt;&gt;""),(AB840-'Choix pédagogiques'!$C$4)/('Choix pédagogiques'!$C$5-'Choix pédagogiques'!$C$4),"")</f>
        <v/>
      </c>
      <c r="AX840" s="55" t="str">
        <f aca="false">IF(AND('Choix pédagogiques'!$C$4&lt;&gt;"?",'Choix pédagogiques'!$C$5&lt;&gt;"?",AC840&lt;&gt;""),(AC840-'Choix pédagogiques'!$C$4)/('Choix pédagogiques'!$C$5-'Choix pédagogiques'!$C$4),"")</f>
        <v/>
      </c>
      <c r="AY840" s="55" t="str">
        <f aca="false">IF(AND('Choix pédagogiques'!$C$4&lt;&gt;"?",'Choix pédagogiques'!$C$5&lt;&gt;"?",AD840&lt;&gt;""),(AD840-'Choix pédagogiques'!$C$4)/('Choix pédagogiques'!$C$5-'Choix pédagogiques'!$C$4),"")</f>
        <v/>
      </c>
      <c r="AZ840" s="53" t="str">
        <f aca="false">IF($J840&lt;&gt;"",$J840,"")</f>
        <v/>
      </c>
      <c r="BA840" s="52" t="str">
        <f aca="false">IF($A840&lt;&gt;"",$A840,"")</f>
        <v>Apprenant 828</v>
      </c>
      <c r="BB840" s="55" t="str">
        <f aca="false">IF(AND($AR840&lt;&gt;"",$AS840&lt;&gt;""),$AS840-$AR840,"")</f>
        <v/>
      </c>
      <c r="BC840" s="55" t="str">
        <f aca="false">IF(AND($AR840&lt;&gt;"",$AT840&lt;&gt;""),$AT840-$AR840,"")</f>
        <v/>
      </c>
      <c r="BD840" s="55" t="str">
        <f aca="false">IF(AND($AS840&lt;&gt;"",$AT840&lt;&gt;""),$AT840-$AS840,"")</f>
        <v/>
      </c>
      <c r="BE840" s="53" t="str">
        <f aca="false">IF($E840&lt;&gt;"",$E840,"")</f>
        <v/>
      </c>
      <c r="BF840" s="52" t="str">
        <f aca="false">IF($F840&lt;&gt;"",$F840,"")</f>
        <v>Apprenant 828 ou 828'</v>
      </c>
      <c r="BG840" s="55" t="str">
        <f aca="false">IF(AND($AW840&lt;&gt;"",$AX840&lt;&gt;""),$AX840-$AW840,"")</f>
        <v/>
      </c>
      <c r="BH840" s="55" t="str">
        <f aca="false">IF(AND($AW840&lt;&gt;"",$AY840&lt;&gt;""),$AY840-$AW840,"")</f>
        <v/>
      </c>
      <c r="BI840" s="55" t="str">
        <f aca="false">IF(AND($AX840&lt;&gt;"",$AY840&lt;&gt;""),$AY840-$AX840,"")</f>
        <v/>
      </c>
      <c r="BJ840" s="53" t="str">
        <f aca="false">IF($J840&lt;&gt;"",$J840,"")</f>
        <v/>
      </c>
      <c r="BL840" s="52"/>
      <c r="BM840" s="52" t="str">
        <f aca="false">IF(OR(COUNT(B840:D1839)=0,AND('Choix pédagogiques'!$C$3&lt;&gt;1,'Choix pédagogiques'!$C$3&lt;&gt;2)),"",IF(AND(OR('Choix pédagogiques'!$C$3=1,'Choix pédagogiques'!$C$3=2),$B840&lt;&gt;"",$C840&lt;&gt;"",$D840&lt;&gt;""),1,0))</f>
        <v/>
      </c>
      <c r="BN840" s="52" t="str">
        <f aca="false">IF(OR(COUNT(G840:I1839)=0,AND('Choix pédagogiques'!$C$3&lt;&gt;1,'Choix pédagogiques'!$C$3&lt;&gt;2)),"",IF(AND(OR('Choix pédagogiques'!$C$3=1,'Choix pédagogiques'!$C$3=2),AND($G840&lt;&gt;"",$H840&lt;&gt;"",$I840&lt;&gt;"")),1,0))</f>
        <v/>
      </c>
      <c r="BO840" s="52" t="str">
        <f aca="false">IF(OR(COUNT(B840:D1839)=0,COUNT(G840:I1839)=0,'Choix pédagogiques'!C$3&lt;&gt;3),"",IF(AND('Choix pédagogiques'!$C$3=3,$B840&lt;&gt;"",$C840&lt;&gt;"",$D840&lt;&gt;"",$G840&lt;&gt;"",$H840&lt;&gt;"",$I840&lt;&gt;""),1,0))</f>
        <v/>
      </c>
      <c r="BR840" s="52" t="n">
        <v>394</v>
      </c>
      <c r="BS840" s="52" t="n">
        <v>1285</v>
      </c>
    </row>
    <row r="841" s="54" customFormat="true" ht="18" hidden="false" customHeight="true" outlineLevel="0" collapsed="false">
      <c r="A841" s="57" t="s">
        <v>1613</v>
      </c>
      <c r="B841" s="51"/>
      <c r="C841" s="51"/>
      <c r="D841" s="51"/>
      <c r="E841" s="51"/>
      <c r="F841" s="57" t="s">
        <v>1614</v>
      </c>
      <c r="G841" s="51"/>
      <c r="H841" s="51"/>
      <c r="I841" s="51"/>
      <c r="J841" s="51"/>
      <c r="K841" s="52" t="str">
        <f aca="false">IF($A841&lt;&gt;"",$A841,"")</f>
        <v>Apprenant 829</v>
      </c>
      <c r="L841" s="53" t="str">
        <f aca="false">IF(AND($B841&lt;&gt;"",$C841&lt;&gt;""),$C841-$B841,"")</f>
        <v/>
      </c>
      <c r="M841" s="53" t="str">
        <f aca="false">IF(AND($B841&lt;&gt;"",$D841&lt;&gt;""),$D841-$B841,"")</f>
        <v/>
      </c>
      <c r="N841" s="53" t="str">
        <f aca="false">IF(AND($C841&lt;&gt;"",$D841&lt;&gt;""),$D841-$C841,"")</f>
        <v/>
      </c>
      <c r="O841" s="53" t="str">
        <f aca="false">IF($E841&lt;&gt;"",$E841,"")</f>
        <v/>
      </c>
      <c r="P841" s="52" t="str">
        <f aca="false">IF($F841&lt;&gt;"",$F841,"")</f>
        <v>Apprenant 829 ou 829'</v>
      </c>
      <c r="Q841" s="53" t="str">
        <f aca="false">IF(AND($G841&lt;&gt;"",$H841&lt;&gt;""),$H841-$G841,"")</f>
        <v/>
      </c>
      <c r="R841" s="53" t="str">
        <f aca="false">IF(AND($G841&lt;&gt;"",$I841&lt;&gt;""),$I841-$G841,"")</f>
        <v/>
      </c>
      <c r="S841" s="53" t="str">
        <f aca="false">IF(AND($H841&lt;&gt;"",$I841&lt;&gt;""),$I841-$H841,"")</f>
        <v/>
      </c>
      <c r="T841" s="53" t="str">
        <f aca="false">IF($J841&lt;&gt;"",$J841,"")</f>
        <v/>
      </c>
      <c r="V841" s="52" t="str">
        <f aca="false">IF($A841&lt;&gt;"",$A841,"")</f>
        <v>Apprenant 829</v>
      </c>
      <c r="W841" s="53" t="str">
        <f aca="false">IF(AND(OR('Choix pédagogiques'!$C$3=1,'Choix pédagogiques'!$C$3=2),$BM841=1),B841,IF(AND('Choix pédagogiques'!$C$3=3,$BO841=1),B841,""))</f>
        <v/>
      </c>
      <c r="X841" s="53" t="str">
        <f aca="false">IF(AND(OR('Choix pédagogiques'!$C$3=1,'Choix pédagogiques'!$C$3=2),$BM841=1),C841,IF(AND('Choix pédagogiques'!$C$3=3,$BO841=1),C841,""))</f>
        <v/>
      </c>
      <c r="Y841" s="53" t="str">
        <f aca="false">IF(AND(OR('Choix pédagogiques'!$C$3=1,'Choix pédagogiques'!$C$3=2),$BM841=1),D841,IF(AND('Choix pédagogiques'!$C$3=3,$BO841=1),D841,""))</f>
        <v/>
      </c>
      <c r="Z841" s="53" t="str">
        <f aca="false">IF($E841&lt;&gt;"",$E841,"")</f>
        <v/>
      </c>
      <c r="AA841" s="52" t="str">
        <f aca="false">IF($F841&lt;&gt;"",$F841,"")</f>
        <v>Apprenant 829 ou 829'</v>
      </c>
      <c r="AB841" s="53" t="str">
        <f aca="false">IF(AND(OR('Choix pédagogiques'!$C$3=1,'Choix pédagogiques'!$C$3=2),$BN841=1),G841,IF(AND('Choix pédagogiques'!$C$3=3,$BO841=1),G841,""))</f>
        <v/>
      </c>
      <c r="AC841" s="53" t="str">
        <f aca="false">IF(AND(OR('Choix pédagogiques'!$C$3=1,'Choix pédagogiques'!$C$3=2),$BN841=1),H841,IF(AND('Choix pédagogiques'!$C$3=3,$BO841=1),H841,""))</f>
        <v/>
      </c>
      <c r="AD841" s="53" t="str">
        <f aca="false">IF(AND(OR('Choix pédagogiques'!$C$3=1,'Choix pédagogiques'!$C$3=2),$BN841=1),I841,IF(AND('Choix pédagogiques'!$C$3=3,$BO841=1),I841,""))</f>
        <v/>
      </c>
      <c r="AE841" s="53" t="str">
        <f aca="false">IF($J841&lt;&gt;"",$J841,"")</f>
        <v/>
      </c>
      <c r="AF841" s="52" t="str">
        <f aca="false">IF($A841&lt;&gt;"",$A841,"")</f>
        <v>Apprenant 829</v>
      </c>
      <c r="AG841" s="53" t="str">
        <f aca="false">IF(AND($W841&lt;&gt;"",$X841&lt;&gt;""),$X841-$W841,"")</f>
        <v/>
      </c>
      <c r="AH841" s="53" t="str">
        <f aca="false">IF(AND($W841&lt;&gt;"",$Y841&lt;&gt;""),$Y841-$W841,"")</f>
        <v/>
      </c>
      <c r="AI841" s="53" t="str">
        <f aca="false">IF(AND($X841&lt;&gt;"",$Y841&lt;&gt;""),$Y841-$X841,"")</f>
        <v/>
      </c>
      <c r="AJ841" s="53" t="str">
        <f aca="false">IF($E841&lt;&gt;"",$E841,"")</f>
        <v/>
      </c>
      <c r="AK841" s="52" t="str">
        <f aca="false">IF($F841&lt;&gt;"",$F841,"")</f>
        <v>Apprenant 829 ou 829'</v>
      </c>
      <c r="AL841" s="53" t="str">
        <f aca="false">IF(AND($AB841&lt;&gt;"",$AC841&lt;&gt;""),$AC841-$AB841,"")</f>
        <v/>
      </c>
      <c r="AM841" s="53" t="str">
        <f aca="false">IF(AND($AB841&lt;&gt;"",$AD841&lt;&gt;""),$AD841-$AB841,"")</f>
        <v/>
      </c>
      <c r="AN841" s="53" t="str">
        <f aca="false">IF(AND($AC841&lt;&gt;"",$AD841&lt;&gt;""),$AD841-$AC841,"")</f>
        <v/>
      </c>
      <c r="AO841" s="53" t="str">
        <f aca="false">IF($J841&lt;&gt;"",$J841,"")</f>
        <v/>
      </c>
      <c r="AQ841" s="52" t="str">
        <f aca="false">IF($A841&lt;&gt;"",$A841,"")</f>
        <v>Apprenant 829</v>
      </c>
      <c r="AR841" s="55" t="str">
        <f aca="false">IF(AND('Choix pédagogiques'!$C$4&lt;&gt;"?",'Choix pédagogiques'!$C$5&lt;&gt;"?",W841&lt;&gt;""),(W841-'Choix pédagogiques'!$C$4)/('Choix pédagogiques'!$C$5-'Choix pédagogiques'!$C$4),"")</f>
        <v/>
      </c>
      <c r="AS841" s="55" t="str">
        <f aca="false">IF(AND('Choix pédagogiques'!$C$4&lt;&gt;"?",'Choix pédagogiques'!$C$5&lt;&gt;"?",X841&lt;&gt;""),(X841-'Choix pédagogiques'!$C$4)/('Choix pédagogiques'!$C$5-'Choix pédagogiques'!$C$4),"")</f>
        <v/>
      </c>
      <c r="AT841" s="55" t="str">
        <f aca="false">IF(AND('Choix pédagogiques'!$C$4&lt;&gt;"?",'Choix pédagogiques'!$C$5&lt;&gt;"?",Y841&lt;&gt;""),(Y841-'Choix pédagogiques'!$C$4)/('Choix pédagogiques'!$C$5-'Choix pédagogiques'!$C$4),"")</f>
        <v/>
      </c>
      <c r="AU841" s="53" t="str">
        <f aca="false">IF($E841&lt;&gt;"",$E841,"")</f>
        <v/>
      </c>
      <c r="AV841" s="52" t="str">
        <f aca="false">IF($F841&lt;&gt;"",$F841,"")</f>
        <v>Apprenant 829 ou 829'</v>
      </c>
      <c r="AW841" s="55" t="str">
        <f aca="false">IF(AND('Choix pédagogiques'!$C$4&lt;&gt;"?",'Choix pédagogiques'!$C$5&lt;&gt;"?",AB841&lt;&gt;""),(AB841-'Choix pédagogiques'!$C$4)/('Choix pédagogiques'!$C$5-'Choix pédagogiques'!$C$4),"")</f>
        <v/>
      </c>
      <c r="AX841" s="55" t="str">
        <f aca="false">IF(AND('Choix pédagogiques'!$C$4&lt;&gt;"?",'Choix pédagogiques'!$C$5&lt;&gt;"?",AC841&lt;&gt;""),(AC841-'Choix pédagogiques'!$C$4)/('Choix pédagogiques'!$C$5-'Choix pédagogiques'!$C$4),"")</f>
        <v/>
      </c>
      <c r="AY841" s="55" t="str">
        <f aca="false">IF(AND('Choix pédagogiques'!$C$4&lt;&gt;"?",'Choix pédagogiques'!$C$5&lt;&gt;"?",AD841&lt;&gt;""),(AD841-'Choix pédagogiques'!$C$4)/('Choix pédagogiques'!$C$5-'Choix pédagogiques'!$C$4),"")</f>
        <v/>
      </c>
      <c r="AZ841" s="53" t="str">
        <f aca="false">IF($J841&lt;&gt;"",$J841,"")</f>
        <v/>
      </c>
      <c r="BA841" s="52" t="str">
        <f aca="false">IF($A841&lt;&gt;"",$A841,"")</f>
        <v>Apprenant 829</v>
      </c>
      <c r="BB841" s="55" t="str">
        <f aca="false">IF(AND($AR841&lt;&gt;"",$AS841&lt;&gt;""),$AS841-$AR841,"")</f>
        <v/>
      </c>
      <c r="BC841" s="55" t="str">
        <f aca="false">IF(AND($AR841&lt;&gt;"",$AT841&lt;&gt;""),$AT841-$AR841,"")</f>
        <v/>
      </c>
      <c r="BD841" s="55" t="str">
        <f aca="false">IF(AND($AS841&lt;&gt;"",$AT841&lt;&gt;""),$AT841-$AS841,"")</f>
        <v/>
      </c>
      <c r="BE841" s="53" t="str">
        <f aca="false">IF($E841&lt;&gt;"",$E841,"")</f>
        <v/>
      </c>
      <c r="BF841" s="52" t="str">
        <f aca="false">IF($F841&lt;&gt;"",$F841,"")</f>
        <v>Apprenant 829 ou 829'</v>
      </c>
      <c r="BG841" s="55" t="str">
        <f aca="false">IF(AND($AW841&lt;&gt;"",$AX841&lt;&gt;""),$AX841-$AW841,"")</f>
        <v/>
      </c>
      <c r="BH841" s="55" t="str">
        <f aca="false">IF(AND($AW841&lt;&gt;"",$AY841&lt;&gt;""),$AY841-$AW841,"")</f>
        <v/>
      </c>
      <c r="BI841" s="55" t="str">
        <f aca="false">IF(AND($AX841&lt;&gt;"",$AY841&lt;&gt;""),$AY841-$AX841,"")</f>
        <v/>
      </c>
      <c r="BJ841" s="53" t="str">
        <f aca="false">IF($J841&lt;&gt;"",$J841,"")</f>
        <v/>
      </c>
      <c r="BL841" s="52"/>
      <c r="BM841" s="52" t="str">
        <f aca="false">IF(OR(COUNT(B841:D1840)=0,AND('Choix pédagogiques'!$C$3&lt;&gt;1,'Choix pédagogiques'!$C$3&lt;&gt;2)),"",IF(AND(OR('Choix pédagogiques'!$C$3=1,'Choix pédagogiques'!$C$3=2),$B841&lt;&gt;"",$C841&lt;&gt;"",$D841&lt;&gt;""),1,0))</f>
        <v/>
      </c>
      <c r="BN841" s="52" t="str">
        <f aca="false">IF(OR(COUNT(G841:I1840)=0,AND('Choix pédagogiques'!$C$3&lt;&gt;1,'Choix pédagogiques'!$C$3&lt;&gt;2)),"",IF(AND(OR('Choix pédagogiques'!$C$3=1,'Choix pédagogiques'!$C$3=2),AND($G841&lt;&gt;"",$H841&lt;&gt;"",$I841&lt;&gt;"")),1,0))</f>
        <v/>
      </c>
      <c r="BO841" s="52" t="str">
        <f aca="false">IF(OR(COUNT(B841:D1840)=0,COUNT(G841:I1840)=0,'Choix pédagogiques'!C$3&lt;&gt;3),"",IF(AND('Choix pédagogiques'!$C$3=3,$B841&lt;&gt;"",$C841&lt;&gt;"",$D841&lt;&gt;"",$G841&lt;&gt;"",$H841&lt;&gt;"",$I841&lt;&gt;""),1,0))</f>
        <v/>
      </c>
      <c r="BR841" s="52" t="n">
        <v>943</v>
      </c>
      <c r="BS841" s="52" t="n">
        <v>1128</v>
      </c>
    </row>
    <row r="842" s="54" customFormat="true" ht="18" hidden="false" customHeight="true" outlineLevel="0" collapsed="false">
      <c r="A842" s="57" t="s">
        <v>1615</v>
      </c>
      <c r="B842" s="51"/>
      <c r="C842" s="51"/>
      <c r="D842" s="51"/>
      <c r="E842" s="51"/>
      <c r="F842" s="57" t="s">
        <v>1616</v>
      </c>
      <c r="G842" s="51"/>
      <c r="H842" s="51"/>
      <c r="I842" s="51"/>
      <c r="J842" s="51"/>
      <c r="K842" s="52" t="str">
        <f aca="false">IF($A842&lt;&gt;"",$A842,"")</f>
        <v>Apprenant 830</v>
      </c>
      <c r="L842" s="53" t="str">
        <f aca="false">IF(AND($B842&lt;&gt;"",$C842&lt;&gt;""),$C842-$B842,"")</f>
        <v/>
      </c>
      <c r="M842" s="53" t="str">
        <f aca="false">IF(AND($B842&lt;&gt;"",$D842&lt;&gt;""),$D842-$B842,"")</f>
        <v/>
      </c>
      <c r="N842" s="53" t="str">
        <f aca="false">IF(AND($C842&lt;&gt;"",$D842&lt;&gt;""),$D842-$C842,"")</f>
        <v/>
      </c>
      <c r="O842" s="53" t="str">
        <f aca="false">IF($E842&lt;&gt;"",$E842,"")</f>
        <v/>
      </c>
      <c r="P842" s="52" t="str">
        <f aca="false">IF($F842&lt;&gt;"",$F842,"")</f>
        <v>Apprenant 830 ou 830'</v>
      </c>
      <c r="Q842" s="53" t="str">
        <f aca="false">IF(AND($G842&lt;&gt;"",$H842&lt;&gt;""),$H842-$G842,"")</f>
        <v/>
      </c>
      <c r="R842" s="53" t="str">
        <f aca="false">IF(AND($G842&lt;&gt;"",$I842&lt;&gt;""),$I842-$G842,"")</f>
        <v/>
      </c>
      <c r="S842" s="53" t="str">
        <f aca="false">IF(AND($H842&lt;&gt;"",$I842&lt;&gt;""),$I842-$H842,"")</f>
        <v/>
      </c>
      <c r="T842" s="53" t="str">
        <f aca="false">IF($J842&lt;&gt;"",$J842,"")</f>
        <v/>
      </c>
      <c r="V842" s="52" t="str">
        <f aca="false">IF($A842&lt;&gt;"",$A842,"")</f>
        <v>Apprenant 830</v>
      </c>
      <c r="W842" s="53" t="str">
        <f aca="false">IF(AND(OR('Choix pédagogiques'!$C$3=1,'Choix pédagogiques'!$C$3=2),$BM842=1),B842,IF(AND('Choix pédagogiques'!$C$3=3,$BO842=1),B842,""))</f>
        <v/>
      </c>
      <c r="X842" s="53" t="str">
        <f aca="false">IF(AND(OR('Choix pédagogiques'!$C$3=1,'Choix pédagogiques'!$C$3=2),$BM842=1),C842,IF(AND('Choix pédagogiques'!$C$3=3,$BO842=1),C842,""))</f>
        <v/>
      </c>
      <c r="Y842" s="53" t="str">
        <f aca="false">IF(AND(OR('Choix pédagogiques'!$C$3=1,'Choix pédagogiques'!$C$3=2),$BM842=1),D842,IF(AND('Choix pédagogiques'!$C$3=3,$BO842=1),D842,""))</f>
        <v/>
      </c>
      <c r="Z842" s="53" t="str">
        <f aca="false">IF($E842&lt;&gt;"",$E842,"")</f>
        <v/>
      </c>
      <c r="AA842" s="52" t="str">
        <f aca="false">IF($F842&lt;&gt;"",$F842,"")</f>
        <v>Apprenant 830 ou 830'</v>
      </c>
      <c r="AB842" s="53" t="str">
        <f aca="false">IF(AND(OR('Choix pédagogiques'!$C$3=1,'Choix pédagogiques'!$C$3=2),$BN842=1),G842,IF(AND('Choix pédagogiques'!$C$3=3,$BO842=1),G842,""))</f>
        <v/>
      </c>
      <c r="AC842" s="53" t="str">
        <f aca="false">IF(AND(OR('Choix pédagogiques'!$C$3=1,'Choix pédagogiques'!$C$3=2),$BN842=1),H842,IF(AND('Choix pédagogiques'!$C$3=3,$BO842=1),H842,""))</f>
        <v/>
      </c>
      <c r="AD842" s="53" t="str">
        <f aca="false">IF(AND(OR('Choix pédagogiques'!$C$3=1,'Choix pédagogiques'!$C$3=2),$BN842=1),I842,IF(AND('Choix pédagogiques'!$C$3=3,$BO842=1),I842,""))</f>
        <v/>
      </c>
      <c r="AE842" s="53" t="str">
        <f aca="false">IF($J842&lt;&gt;"",$J842,"")</f>
        <v/>
      </c>
      <c r="AF842" s="52" t="str">
        <f aca="false">IF($A842&lt;&gt;"",$A842,"")</f>
        <v>Apprenant 830</v>
      </c>
      <c r="AG842" s="53" t="str">
        <f aca="false">IF(AND($W842&lt;&gt;"",$X842&lt;&gt;""),$X842-$W842,"")</f>
        <v/>
      </c>
      <c r="AH842" s="53" t="str">
        <f aca="false">IF(AND($W842&lt;&gt;"",$Y842&lt;&gt;""),$Y842-$W842,"")</f>
        <v/>
      </c>
      <c r="AI842" s="53" t="str">
        <f aca="false">IF(AND($X842&lt;&gt;"",$Y842&lt;&gt;""),$Y842-$X842,"")</f>
        <v/>
      </c>
      <c r="AJ842" s="53" t="str">
        <f aca="false">IF($E842&lt;&gt;"",$E842,"")</f>
        <v/>
      </c>
      <c r="AK842" s="52" t="str">
        <f aca="false">IF($F842&lt;&gt;"",$F842,"")</f>
        <v>Apprenant 830 ou 830'</v>
      </c>
      <c r="AL842" s="53" t="str">
        <f aca="false">IF(AND($AB842&lt;&gt;"",$AC842&lt;&gt;""),$AC842-$AB842,"")</f>
        <v/>
      </c>
      <c r="AM842" s="53" t="str">
        <f aca="false">IF(AND($AB842&lt;&gt;"",$AD842&lt;&gt;""),$AD842-$AB842,"")</f>
        <v/>
      </c>
      <c r="AN842" s="53" t="str">
        <f aca="false">IF(AND($AC842&lt;&gt;"",$AD842&lt;&gt;""),$AD842-$AC842,"")</f>
        <v/>
      </c>
      <c r="AO842" s="53" t="str">
        <f aca="false">IF($J842&lt;&gt;"",$J842,"")</f>
        <v/>
      </c>
      <c r="AQ842" s="52" t="str">
        <f aca="false">IF($A842&lt;&gt;"",$A842,"")</f>
        <v>Apprenant 830</v>
      </c>
      <c r="AR842" s="55" t="str">
        <f aca="false">IF(AND('Choix pédagogiques'!$C$4&lt;&gt;"?",'Choix pédagogiques'!$C$5&lt;&gt;"?",W842&lt;&gt;""),(W842-'Choix pédagogiques'!$C$4)/('Choix pédagogiques'!$C$5-'Choix pédagogiques'!$C$4),"")</f>
        <v/>
      </c>
      <c r="AS842" s="55" t="str">
        <f aca="false">IF(AND('Choix pédagogiques'!$C$4&lt;&gt;"?",'Choix pédagogiques'!$C$5&lt;&gt;"?",X842&lt;&gt;""),(X842-'Choix pédagogiques'!$C$4)/('Choix pédagogiques'!$C$5-'Choix pédagogiques'!$C$4),"")</f>
        <v/>
      </c>
      <c r="AT842" s="55" t="str">
        <f aca="false">IF(AND('Choix pédagogiques'!$C$4&lt;&gt;"?",'Choix pédagogiques'!$C$5&lt;&gt;"?",Y842&lt;&gt;""),(Y842-'Choix pédagogiques'!$C$4)/('Choix pédagogiques'!$C$5-'Choix pédagogiques'!$C$4),"")</f>
        <v/>
      </c>
      <c r="AU842" s="53" t="str">
        <f aca="false">IF($E842&lt;&gt;"",$E842,"")</f>
        <v/>
      </c>
      <c r="AV842" s="52" t="str">
        <f aca="false">IF($F842&lt;&gt;"",$F842,"")</f>
        <v>Apprenant 830 ou 830'</v>
      </c>
      <c r="AW842" s="55" t="str">
        <f aca="false">IF(AND('Choix pédagogiques'!$C$4&lt;&gt;"?",'Choix pédagogiques'!$C$5&lt;&gt;"?",AB842&lt;&gt;""),(AB842-'Choix pédagogiques'!$C$4)/('Choix pédagogiques'!$C$5-'Choix pédagogiques'!$C$4),"")</f>
        <v/>
      </c>
      <c r="AX842" s="55" t="str">
        <f aca="false">IF(AND('Choix pédagogiques'!$C$4&lt;&gt;"?",'Choix pédagogiques'!$C$5&lt;&gt;"?",AC842&lt;&gt;""),(AC842-'Choix pédagogiques'!$C$4)/('Choix pédagogiques'!$C$5-'Choix pédagogiques'!$C$4),"")</f>
        <v/>
      </c>
      <c r="AY842" s="55" t="str">
        <f aca="false">IF(AND('Choix pédagogiques'!$C$4&lt;&gt;"?",'Choix pédagogiques'!$C$5&lt;&gt;"?",AD842&lt;&gt;""),(AD842-'Choix pédagogiques'!$C$4)/('Choix pédagogiques'!$C$5-'Choix pédagogiques'!$C$4),"")</f>
        <v/>
      </c>
      <c r="AZ842" s="53" t="str">
        <f aca="false">IF($J842&lt;&gt;"",$J842,"")</f>
        <v/>
      </c>
      <c r="BA842" s="52" t="str">
        <f aca="false">IF($A842&lt;&gt;"",$A842,"")</f>
        <v>Apprenant 830</v>
      </c>
      <c r="BB842" s="55" t="str">
        <f aca="false">IF(AND($AR842&lt;&gt;"",$AS842&lt;&gt;""),$AS842-$AR842,"")</f>
        <v/>
      </c>
      <c r="BC842" s="55" t="str">
        <f aca="false">IF(AND($AR842&lt;&gt;"",$AT842&lt;&gt;""),$AT842-$AR842,"")</f>
        <v/>
      </c>
      <c r="BD842" s="55" t="str">
        <f aca="false">IF(AND($AS842&lt;&gt;"",$AT842&lt;&gt;""),$AT842-$AS842,"")</f>
        <v/>
      </c>
      <c r="BE842" s="53" t="str">
        <f aca="false">IF($E842&lt;&gt;"",$E842,"")</f>
        <v/>
      </c>
      <c r="BF842" s="52" t="str">
        <f aca="false">IF($F842&lt;&gt;"",$F842,"")</f>
        <v>Apprenant 830 ou 830'</v>
      </c>
      <c r="BG842" s="55" t="str">
        <f aca="false">IF(AND($AW842&lt;&gt;"",$AX842&lt;&gt;""),$AX842-$AW842,"")</f>
        <v/>
      </c>
      <c r="BH842" s="55" t="str">
        <f aca="false">IF(AND($AW842&lt;&gt;"",$AY842&lt;&gt;""),$AY842-$AW842,"")</f>
        <v/>
      </c>
      <c r="BI842" s="55" t="str">
        <f aca="false">IF(AND($AX842&lt;&gt;"",$AY842&lt;&gt;""),$AY842-$AX842,"")</f>
        <v/>
      </c>
      <c r="BJ842" s="53" t="str">
        <f aca="false">IF($J842&lt;&gt;"",$J842,"")</f>
        <v/>
      </c>
      <c r="BL842" s="52"/>
      <c r="BM842" s="52" t="str">
        <f aca="false">IF(OR(COUNT(B842:D1841)=0,AND('Choix pédagogiques'!$C$3&lt;&gt;1,'Choix pédagogiques'!$C$3&lt;&gt;2)),"",IF(AND(OR('Choix pédagogiques'!$C$3=1,'Choix pédagogiques'!$C$3=2),$B842&lt;&gt;"",$C842&lt;&gt;"",$D842&lt;&gt;""),1,0))</f>
        <v/>
      </c>
      <c r="BN842" s="52" t="str">
        <f aca="false">IF(OR(COUNT(G842:I1841)=0,AND('Choix pédagogiques'!$C$3&lt;&gt;1,'Choix pédagogiques'!$C$3&lt;&gt;2)),"",IF(AND(OR('Choix pédagogiques'!$C$3=1,'Choix pédagogiques'!$C$3=2),AND($G842&lt;&gt;"",$H842&lt;&gt;"",$I842&lt;&gt;"")),1,0))</f>
        <v/>
      </c>
      <c r="BO842" s="52" t="str">
        <f aca="false">IF(OR(COUNT(B842:D1841)=0,COUNT(G842:I1841)=0,'Choix pédagogiques'!C$3&lt;&gt;3),"",IF(AND('Choix pédagogiques'!$C$3=3,$B842&lt;&gt;"",$C842&lt;&gt;"",$D842&lt;&gt;"",$G842&lt;&gt;"",$H842&lt;&gt;"",$I842&lt;&gt;""),1,0))</f>
        <v/>
      </c>
      <c r="BR842" s="52" t="n">
        <v>259</v>
      </c>
      <c r="BS842" s="52" t="n">
        <v>1325</v>
      </c>
    </row>
    <row r="843" s="54" customFormat="true" ht="18" hidden="false" customHeight="true" outlineLevel="0" collapsed="false">
      <c r="A843" s="57" t="s">
        <v>1617</v>
      </c>
      <c r="B843" s="51"/>
      <c r="C843" s="51"/>
      <c r="D843" s="51"/>
      <c r="E843" s="51"/>
      <c r="F843" s="57" t="s">
        <v>1618</v>
      </c>
      <c r="G843" s="51"/>
      <c r="H843" s="51"/>
      <c r="I843" s="51"/>
      <c r="J843" s="51"/>
      <c r="K843" s="52" t="str">
        <f aca="false">IF($A843&lt;&gt;"",$A843,"")</f>
        <v>Apprenant 831</v>
      </c>
      <c r="L843" s="53" t="str">
        <f aca="false">IF(AND($B843&lt;&gt;"",$C843&lt;&gt;""),$C843-$B843,"")</f>
        <v/>
      </c>
      <c r="M843" s="53" t="str">
        <f aca="false">IF(AND($B843&lt;&gt;"",$D843&lt;&gt;""),$D843-$B843,"")</f>
        <v/>
      </c>
      <c r="N843" s="53" t="str">
        <f aca="false">IF(AND($C843&lt;&gt;"",$D843&lt;&gt;""),$D843-$C843,"")</f>
        <v/>
      </c>
      <c r="O843" s="53" t="str">
        <f aca="false">IF($E843&lt;&gt;"",$E843,"")</f>
        <v/>
      </c>
      <c r="P843" s="52" t="str">
        <f aca="false">IF($F843&lt;&gt;"",$F843,"")</f>
        <v>Apprenant 831 ou 831'</v>
      </c>
      <c r="Q843" s="53" t="str">
        <f aca="false">IF(AND($G843&lt;&gt;"",$H843&lt;&gt;""),$H843-$G843,"")</f>
        <v/>
      </c>
      <c r="R843" s="53" t="str">
        <f aca="false">IF(AND($G843&lt;&gt;"",$I843&lt;&gt;""),$I843-$G843,"")</f>
        <v/>
      </c>
      <c r="S843" s="53" t="str">
        <f aca="false">IF(AND($H843&lt;&gt;"",$I843&lt;&gt;""),$I843-$H843,"")</f>
        <v/>
      </c>
      <c r="T843" s="53" t="str">
        <f aca="false">IF($J843&lt;&gt;"",$J843,"")</f>
        <v/>
      </c>
      <c r="V843" s="52" t="str">
        <f aca="false">IF($A843&lt;&gt;"",$A843,"")</f>
        <v>Apprenant 831</v>
      </c>
      <c r="W843" s="53" t="str">
        <f aca="false">IF(AND(OR('Choix pédagogiques'!$C$3=1,'Choix pédagogiques'!$C$3=2),$BM843=1),B843,IF(AND('Choix pédagogiques'!$C$3=3,$BO843=1),B843,""))</f>
        <v/>
      </c>
      <c r="X843" s="53" t="str">
        <f aca="false">IF(AND(OR('Choix pédagogiques'!$C$3=1,'Choix pédagogiques'!$C$3=2),$BM843=1),C843,IF(AND('Choix pédagogiques'!$C$3=3,$BO843=1),C843,""))</f>
        <v/>
      </c>
      <c r="Y843" s="53" t="str">
        <f aca="false">IF(AND(OR('Choix pédagogiques'!$C$3=1,'Choix pédagogiques'!$C$3=2),$BM843=1),D843,IF(AND('Choix pédagogiques'!$C$3=3,$BO843=1),D843,""))</f>
        <v/>
      </c>
      <c r="Z843" s="53" t="str">
        <f aca="false">IF($E843&lt;&gt;"",$E843,"")</f>
        <v/>
      </c>
      <c r="AA843" s="52" t="str">
        <f aca="false">IF($F843&lt;&gt;"",$F843,"")</f>
        <v>Apprenant 831 ou 831'</v>
      </c>
      <c r="AB843" s="53" t="str">
        <f aca="false">IF(AND(OR('Choix pédagogiques'!$C$3=1,'Choix pédagogiques'!$C$3=2),$BN843=1),G843,IF(AND('Choix pédagogiques'!$C$3=3,$BO843=1),G843,""))</f>
        <v/>
      </c>
      <c r="AC843" s="53" t="str">
        <f aca="false">IF(AND(OR('Choix pédagogiques'!$C$3=1,'Choix pédagogiques'!$C$3=2),$BN843=1),H843,IF(AND('Choix pédagogiques'!$C$3=3,$BO843=1),H843,""))</f>
        <v/>
      </c>
      <c r="AD843" s="53" t="str">
        <f aca="false">IF(AND(OR('Choix pédagogiques'!$C$3=1,'Choix pédagogiques'!$C$3=2),$BN843=1),I843,IF(AND('Choix pédagogiques'!$C$3=3,$BO843=1),I843,""))</f>
        <v/>
      </c>
      <c r="AE843" s="53" t="str">
        <f aca="false">IF($J843&lt;&gt;"",$J843,"")</f>
        <v/>
      </c>
      <c r="AF843" s="52" t="str">
        <f aca="false">IF($A843&lt;&gt;"",$A843,"")</f>
        <v>Apprenant 831</v>
      </c>
      <c r="AG843" s="53" t="str">
        <f aca="false">IF(AND($W843&lt;&gt;"",$X843&lt;&gt;""),$X843-$W843,"")</f>
        <v/>
      </c>
      <c r="AH843" s="53" t="str">
        <f aca="false">IF(AND($W843&lt;&gt;"",$Y843&lt;&gt;""),$Y843-$W843,"")</f>
        <v/>
      </c>
      <c r="AI843" s="53" t="str">
        <f aca="false">IF(AND($X843&lt;&gt;"",$Y843&lt;&gt;""),$Y843-$X843,"")</f>
        <v/>
      </c>
      <c r="AJ843" s="53" t="str">
        <f aca="false">IF($E843&lt;&gt;"",$E843,"")</f>
        <v/>
      </c>
      <c r="AK843" s="52" t="str">
        <f aca="false">IF($F843&lt;&gt;"",$F843,"")</f>
        <v>Apprenant 831 ou 831'</v>
      </c>
      <c r="AL843" s="53" t="str">
        <f aca="false">IF(AND($AB843&lt;&gt;"",$AC843&lt;&gt;""),$AC843-$AB843,"")</f>
        <v/>
      </c>
      <c r="AM843" s="53" t="str">
        <f aca="false">IF(AND($AB843&lt;&gt;"",$AD843&lt;&gt;""),$AD843-$AB843,"")</f>
        <v/>
      </c>
      <c r="AN843" s="53" t="str">
        <f aca="false">IF(AND($AC843&lt;&gt;"",$AD843&lt;&gt;""),$AD843-$AC843,"")</f>
        <v/>
      </c>
      <c r="AO843" s="53" t="str">
        <f aca="false">IF($J843&lt;&gt;"",$J843,"")</f>
        <v/>
      </c>
      <c r="AQ843" s="52" t="str">
        <f aca="false">IF($A843&lt;&gt;"",$A843,"")</f>
        <v>Apprenant 831</v>
      </c>
      <c r="AR843" s="55" t="str">
        <f aca="false">IF(AND('Choix pédagogiques'!$C$4&lt;&gt;"?",'Choix pédagogiques'!$C$5&lt;&gt;"?",W843&lt;&gt;""),(W843-'Choix pédagogiques'!$C$4)/('Choix pédagogiques'!$C$5-'Choix pédagogiques'!$C$4),"")</f>
        <v/>
      </c>
      <c r="AS843" s="55" t="str">
        <f aca="false">IF(AND('Choix pédagogiques'!$C$4&lt;&gt;"?",'Choix pédagogiques'!$C$5&lt;&gt;"?",X843&lt;&gt;""),(X843-'Choix pédagogiques'!$C$4)/('Choix pédagogiques'!$C$5-'Choix pédagogiques'!$C$4),"")</f>
        <v/>
      </c>
      <c r="AT843" s="55" t="str">
        <f aca="false">IF(AND('Choix pédagogiques'!$C$4&lt;&gt;"?",'Choix pédagogiques'!$C$5&lt;&gt;"?",Y843&lt;&gt;""),(Y843-'Choix pédagogiques'!$C$4)/('Choix pédagogiques'!$C$5-'Choix pédagogiques'!$C$4),"")</f>
        <v/>
      </c>
      <c r="AU843" s="53" t="str">
        <f aca="false">IF($E843&lt;&gt;"",$E843,"")</f>
        <v/>
      </c>
      <c r="AV843" s="52" t="str">
        <f aca="false">IF($F843&lt;&gt;"",$F843,"")</f>
        <v>Apprenant 831 ou 831'</v>
      </c>
      <c r="AW843" s="55" t="str">
        <f aca="false">IF(AND('Choix pédagogiques'!$C$4&lt;&gt;"?",'Choix pédagogiques'!$C$5&lt;&gt;"?",AB843&lt;&gt;""),(AB843-'Choix pédagogiques'!$C$4)/('Choix pédagogiques'!$C$5-'Choix pédagogiques'!$C$4),"")</f>
        <v/>
      </c>
      <c r="AX843" s="55" t="str">
        <f aca="false">IF(AND('Choix pédagogiques'!$C$4&lt;&gt;"?",'Choix pédagogiques'!$C$5&lt;&gt;"?",AC843&lt;&gt;""),(AC843-'Choix pédagogiques'!$C$4)/('Choix pédagogiques'!$C$5-'Choix pédagogiques'!$C$4),"")</f>
        <v/>
      </c>
      <c r="AY843" s="55" t="str">
        <f aca="false">IF(AND('Choix pédagogiques'!$C$4&lt;&gt;"?",'Choix pédagogiques'!$C$5&lt;&gt;"?",AD843&lt;&gt;""),(AD843-'Choix pédagogiques'!$C$4)/('Choix pédagogiques'!$C$5-'Choix pédagogiques'!$C$4),"")</f>
        <v/>
      </c>
      <c r="AZ843" s="53" t="str">
        <f aca="false">IF($J843&lt;&gt;"",$J843,"")</f>
        <v/>
      </c>
      <c r="BA843" s="52" t="str">
        <f aca="false">IF($A843&lt;&gt;"",$A843,"")</f>
        <v>Apprenant 831</v>
      </c>
      <c r="BB843" s="55" t="str">
        <f aca="false">IF(AND($AR843&lt;&gt;"",$AS843&lt;&gt;""),$AS843-$AR843,"")</f>
        <v/>
      </c>
      <c r="BC843" s="55" t="str">
        <f aca="false">IF(AND($AR843&lt;&gt;"",$AT843&lt;&gt;""),$AT843-$AR843,"")</f>
        <v/>
      </c>
      <c r="BD843" s="55" t="str">
        <f aca="false">IF(AND($AS843&lt;&gt;"",$AT843&lt;&gt;""),$AT843-$AS843,"")</f>
        <v/>
      </c>
      <c r="BE843" s="53" t="str">
        <f aca="false">IF($E843&lt;&gt;"",$E843,"")</f>
        <v/>
      </c>
      <c r="BF843" s="52" t="str">
        <f aca="false">IF($F843&lt;&gt;"",$F843,"")</f>
        <v>Apprenant 831 ou 831'</v>
      </c>
      <c r="BG843" s="55" t="str">
        <f aca="false">IF(AND($AW843&lt;&gt;"",$AX843&lt;&gt;""),$AX843-$AW843,"")</f>
        <v/>
      </c>
      <c r="BH843" s="55" t="str">
        <f aca="false">IF(AND($AW843&lt;&gt;"",$AY843&lt;&gt;""),$AY843-$AW843,"")</f>
        <v/>
      </c>
      <c r="BI843" s="55" t="str">
        <f aca="false">IF(AND($AX843&lt;&gt;"",$AY843&lt;&gt;""),$AY843-$AX843,"")</f>
        <v/>
      </c>
      <c r="BJ843" s="53" t="str">
        <f aca="false">IF($J843&lt;&gt;"",$J843,"")</f>
        <v/>
      </c>
      <c r="BL843" s="52"/>
      <c r="BM843" s="52" t="str">
        <f aca="false">IF(OR(COUNT(B843:D1842)=0,AND('Choix pédagogiques'!$C$3&lt;&gt;1,'Choix pédagogiques'!$C$3&lt;&gt;2)),"",IF(AND(OR('Choix pédagogiques'!$C$3=1,'Choix pédagogiques'!$C$3=2),$B843&lt;&gt;"",$C843&lt;&gt;"",$D843&lt;&gt;""),1,0))</f>
        <v/>
      </c>
      <c r="BN843" s="52" t="str">
        <f aca="false">IF(OR(COUNT(G843:I1842)=0,AND('Choix pédagogiques'!$C$3&lt;&gt;1,'Choix pédagogiques'!$C$3&lt;&gt;2)),"",IF(AND(OR('Choix pédagogiques'!$C$3=1,'Choix pédagogiques'!$C$3=2),AND($G843&lt;&gt;"",$H843&lt;&gt;"",$I843&lt;&gt;"")),1,0))</f>
        <v/>
      </c>
      <c r="BO843" s="52" t="str">
        <f aca="false">IF(OR(COUNT(B843:D1842)=0,COUNT(G843:I1842)=0,'Choix pédagogiques'!C$3&lt;&gt;3),"",IF(AND('Choix pédagogiques'!$C$3=3,$B843&lt;&gt;"",$C843&lt;&gt;"",$D843&lt;&gt;"",$G843&lt;&gt;"",$H843&lt;&gt;"",$I843&lt;&gt;""),1,0))</f>
        <v/>
      </c>
      <c r="BR843" s="52" t="n">
        <v>226</v>
      </c>
      <c r="BS843" s="52" t="n">
        <v>1370</v>
      </c>
    </row>
    <row r="844" s="54" customFormat="true" ht="18" hidden="false" customHeight="true" outlineLevel="0" collapsed="false">
      <c r="A844" s="57" t="s">
        <v>1619</v>
      </c>
      <c r="B844" s="51"/>
      <c r="C844" s="51"/>
      <c r="D844" s="51"/>
      <c r="E844" s="51"/>
      <c r="F844" s="57" t="s">
        <v>1620</v>
      </c>
      <c r="G844" s="51"/>
      <c r="H844" s="51"/>
      <c r="I844" s="51"/>
      <c r="J844" s="51"/>
      <c r="K844" s="52" t="str">
        <f aca="false">IF($A844&lt;&gt;"",$A844,"")</f>
        <v>Apprenant 832</v>
      </c>
      <c r="L844" s="53" t="str">
        <f aca="false">IF(AND($B844&lt;&gt;"",$C844&lt;&gt;""),$C844-$B844,"")</f>
        <v/>
      </c>
      <c r="M844" s="53" t="str">
        <f aca="false">IF(AND($B844&lt;&gt;"",$D844&lt;&gt;""),$D844-$B844,"")</f>
        <v/>
      </c>
      <c r="N844" s="53" t="str">
        <f aca="false">IF(AND($C844&lt;&gt;"",$D844&lt;&gt;""),$D844-$C844,"")</f>
        <v/>
      </c>
      <c r="O844" s="53" t="str">
        <f aca="false">IF($E844&lt;&gt;"",$E844,"")</f>
        <v/>
      </c>
      <c r="P844" s="52" t="str">
        <f aca="false">IF($F844&lt;&gt;"",$F844,"")</f>
        <v>Apprenant 832 ou 832'</v>
      </c>
      <c r="Q844" s="53" t="str">
        <f aca="false">IF(AND($G844&lt;&gt;"",$H844&lt;&gt;""),$H844-$G844,"")</f>
        <v/>
      </c>
      <c r="R844" s="53" t="str">
        <f aca="false">IF(AND($G844&lt;&gt;"",$I844&lt;&gt;""),$I844-$G844,"")</f>
        <v/>
      </c>
      <c r="S844" s="53" t="str">
        <f aca="false">IF(AND($H844&lt;&gt;"",$I844&lt;&gt;""),$I844-$H844,"")</f>
        <v/>
      </c>
      <c r="T844" s="53" t="str">
        <f aca="false">IF($J844&lt;&gt;"",$J844,"")</f>
        <v/>
      </c>
      <c r="V844" s="52" t="str">
        <f aca="false">IF($A844&lt;&gt;"",$A844,"")</f>
        <v>Apprenant 832</v>
      </c>
      <c r="W844" s="53" t="str">
        <f aca="false">IF(AND(OR('Choix pédagogiques'!$C$3=1,'Choix pédagogiques'!$C$3=2),$BM844=1),B844,IF(AND('Choix pédagogiques'!$C$3=3,$BO844=1),B844,""))</f>
        <v/>
      </c>
      <c r="X844" s="53" t="str">
        <f aca="false">IF(AND(OR('Choix pédagogiques'!$C$3=1,'Choix pédagogiques'!$C$3=2),$BM844=1),C844,IF(AND('Choix pédagogiques'!$C$3=3,$BO844=1),C844,""))</f>
        <v/>
      </c>
      <c r="Y844" s="53" t="str">
        <f aca="false">IF(AND(OR('Choix pédagogiques'!$C$3=1,'Choix pédagogiques'!$C$3=2),$BM844=1),D844,IF(AND('Choix pédagogiques'!$C$3=3,$BO844=1),D844,""))</f>
        <v/>
      </c>
      <c r="Z844" s="53" t="str">
        <f aca="false">IF($E844&lt;&gt;"",$E844,"")</f>
        <v/>
      </c>
      <c r="AA844" s="52" t="str">
        <f aca="false">IF($F844&lt;&gt;"",$F844,"")</f>
        <v>Apprenant 832 ou 832'</v>
      </c>
      <c r="AB844" s="53" t="str">
        <f aca="false">IF(AND(OR('Choix pédagogiques'!$C$3=1,'Choix pédagogiques'!$C$3=2),$BN844=1),G844,IF(AND('Choix pédagogiques'!$C$3=3,$BO844=1),G844,""))</f>
        <v/>
      </c>
      <c r="AC844" s="53" t="str">
        <f aca="false">IF(AND(OR('Choix pédagogiques'!$C$3=1,'Choix pédagogiques'!$C$3=2),$BN844=1),H844,IF(AND('Choix pédagogiques'!$C$3=3,$BO844=1),H844,""))</f>
        <v/>
      </c>
      <c r="AD844" s="53" t="str">
        <f aca="false">IF(AND(OR('Choix pédagogiques'!$C$3=1,'Choix pédagogiques'!$C$3=2),$BN844=1),I844,IF(AND('Choix pédagogiques'!$C$3=3,$BO844=1),I844,""))</f>
        <v/>
      </c>
      <c r="AE844" s="53" t="str">
        <f aca="false">IF($J844&lt;&gt;"",$J844,"")</f>
        <v/>
      </c>
      <c r="AF844" s="52" t="str">
        <f aca="false">IF($A844&lt;&gt;"",$A844,"")</f>
        <v>Apprenant 832</v>
      </c>
      <c r="AG844" s="53" t="str">
        <f aca="false">IF(AND($W844&lt;&gt;"",$X844&lt;&gt;""),$X844-$W844,"")</f>
        <v/>
      </c>
      <c r="AH844" s="53" t="str">
        <f aca="false">IF(AND($W844&lt;&gt;"",$Y844&lt;&gt;""),$Y844-$W844,"")</f>
        <v/>
      </c>
      <c r="AI844" s="53" t="str">
        <f aca="false">IF(AND($X844&lt;&gt;"",$Y844&lt;&gt;""),$Y844-$X844,"")</f>
        <v/>
      </c>
      <c r="AJ844" s="53" t="str">
        <f aca="false">IF($E844&lt;&gt;"",$E844,"")</f>
        <v/>
      </c>
      <c r="AK844" s="52" t="str">
        <f aca="false">IF($F844&lt;&gt;"",$F844,"")</f>
        <v>Apprenant 832 ou 832'</v>
      </c>
      <c r="AL844" s="53" t="str">
        <f aca="false">IF(AND($AB844&lt;&gt;"",$AC844&lt;&gt;""),$AC844-$AB844,"")</f>
        <v/>
      </c>
      <c r="AM844" s="53" t="str">
        <f aca="false">IF(AND($AB844&lt;&gt;"",$AD844&lt;&gt;""),$AD844-$AB844,"")</f>
        <v/>
      </c>
      <c r="AN844" s="53" t="str">
        <f aca="false">IF(AND($AC844&lt;&gt;"",$AD844&lt;&gt;""),$AD844-$AC844,"")</f>
        <v/>
      </c>
      <c r="AO844" s="53" t="str">
        <f aca="false">IF($J844&lt;&gt;"",$J844,"")</f>
        <v/>
      </c>
      <c r="AQ844" s="52" t="str">
        <f aca="false">IF($A844&lt;&gt;"",$A844,"")</f>
        <v>Apprenant 832</v>
      </c>
      <c r="AR844" s="55" t="str">
        <f aca="false">IF(AND('Choix pédagogiques'!$C$4&lt;&gt;"?",'Choix pédagogiques'!$C$5&lt;&gt;"?",W844&lt;&gt;""),(W844-'Choix pédagogiques'!$C$4)/('Choix pédagogiques'!$C$5-'Choix pédagogiques'!$C$4),"")</f>
        <v/>
      </c>
      <c r="AS844" s="55" t="str">
        <f aca="false">IF(AND('Choix pédagogiques'!$C$4&lt;&gt;"?",'Choix pédagogiques'!$C$5&lt;&gt;"?",X844&lt;&gt;""),(X844-'Choix pédagogiques'!$C$4)/('Choix pédagogiques'!$C$5-'Choix pédagogiques'!$C$4),"")</f>
        <v/>
      </c>
      <c r="AT844" s="55" t="str">
        <f aca="false">IF(AND('Choix pédagogiques'!$C$4&lt;&gt;"?",'Choix pédagogiques'!$C$5&lt;&gt;"?",Y844&lt;&gt;""),(Y844-'Choix pédagogiques'!$C$4)/('Choix pédagogiques'!$C$5-'Choix pédagogiques'!$C$4),"")</f>
        <v/>
      </c>
      <c r="AU844" s="53" t="str">
        <f aca="false">IF($E844&lt;&gt;"",$E844,"")</f>
        <v/>
      </c>
      <c r="AV844" s="52" t="str">
        <f aca="false">IF($F844&lt;&gt;"",$F844,"")</f>
        <v>Apprenant 832 ou 832'</v>
      </c>
      <c r="AW844" s="55" t="str">
        <f aca="false">IF(AND('Choix pédagogiques'!$C$4&lt;&gt;"?",'Choix pédagogiques'!$C$5&lt;&gt;"?",AB844&lt;&gt;""),(AB844-'Choix pédagogiques'!$C$4)/('Choix pédagogiques'!$C$5-'Choix pédagogiques'!$C$4),"")</f>
        <v/>
      </c>
      <c r="AX844" s="55" t="str">
        <f aca="false">IF(AND('Choix pédagogiques'!$C$4&lt;&gt;"?",'Choix pédagogiques'!$C$5&lt;&gt;"?",AC844&lt;&gt;""),(AC844-'Choix pédagogiques'!$C$4)/('Choix pédagogiques'!$C$5-'Choix pédagogiques'!$C$4),"")</f>
        <v/>
      </c>
      <c r="AY844" s="55" t="str">
        <f aca="false">IF(AND('Choix pédagogiques'!$C$4&lt;&gt;"?",'Choix pédagogiques'!$C$5&lt;&gt;"?",AD844&lt;&gt;""),(AD844-'Choix pédagogiques'!$C$4)/('Choix pédagogiques'!$C$5-'Choix pédagogiques'!$C$4),"")</f>
        <v/>
      </c>
      <c r="AZ844" s="53" t="str">
        <f aca="false">IF($J844&lt;&gt;"",$J844,"")</f>
        <v/>
      </c>
      <c r="BA844" s="52" t="str">
        <f aca="false">IF($A844&lt;&gt;"",$A844,"")</f>
        <v>Apprenant 832</v>
      </c>
      <c r="BB844" s="55" t="str">
        <f aca="false">IF(AND($AR844&lt;&gt;"",$AS844&lt;&gt;""),$AS844-$AR844,"")</f>
        <v/>
      </c>
      <c r="BC844" s="55" t="str">
        <f aca="false">IF(AND($AR844&lt;&gt;"",$AT844&lt;&gt;""),$AT844-$AR844,"")</f>
        <v/>
      </c>
      <c r="BD844" s="55" t="str">
        <f aca="false">IF(AND($AS844&lt;&gt;"",$AT844&lt;&gt;""),$AT844-$AS844,"")</f>
        <v/>
      </c>
      <c r="BE844" s="53" t="str">
        <f aca="false">IF($E844&lt;&gt;"",$E844,"")</f>
        <v/>
      </c>
      <c r="BF844" s="52" t="str">
        <f aca="false">IF($F844&lt;&gt;"",$F844,"")</f>
        <v>Apprenant 832 ou 832'</v>
      </c>
      <c r="BG844" s="55" t="str">
        <f aca="false">IF(AND($AW844&lt;&gt;"",$AX844&lt;&gt;""),$AX844-$AW844,"")</f>
        <v/>
      </c>
      <c r="BH844" s="55" t="str">
        <f aca="false">IF(AND($AW844&lt;&gt;"",$AY844&lt;&gt;""),$AY844-$AW844,"")</f>
        <v/>
      </c>
      <c r="BI844" s="55" t="str">
        <f aca="false">IF(AND($AX844&lt;&gt;"",$AY844&lt;&gt;""),$AY844-$AX844,"")</f>
        <v/>
      </c>
      <c r="BJ844" s="53" t="str">
        <f aca="false">IF($J844&lt;&gt;"",$J844,"")</f>
        <v/>
      </c>
      <c r="BL844" s="52"/>
      <c r="BM844" s="52" t="str">
        <f aca="false">IF(OR(COUNT(B844:D1843)=0,AND('Choix pédagogiques'!$C$3&lt;&gt;1,'Choix pédagogiques'!$C$3&lt;&gt;2)),"",IF(AND(OR('Choix pédagogiques'!$C$3=1,'Choix pédagogiques'!$C$3=2),$B844&lt;&gt;"",$C844&lt;&gt;"",$D844&lt;&gt;""),1,0))</f>
        <v/>
      </c>
      <c r="BN844" s="52" t="str">
        <f aca="false">IF(OR(COUNT(G844:I1843)=0,AND('Choix pédagogiques'!$C$3&lt;&gt;1,'Choix pédagogiques'!$C$3&lt;&gt;2)),"",IF(AND(OR('Choix pédagogiques'!$C$3=1,'Choix pédagogiques'!$C$3=2),AND($G844&lt;&gt;"",$H844&lt;&gt;"",$I844&lt;&gt;"")),1,0))</f>
        <v/>
      </c>
      <c r="BO844" s="52" t="str">
        <f aca="false">IF(OR(COUNT(B844:D1843)=0,COUNT(G844:I1843)=0,'Choix pédagogiques'!C$3&lt;&gt;3),"",IF(AND('Choix pédagogiques'!$C$3=3,$B844&lt;&gt;"",$C844&lt;&gt;"",$D844&lt;&gt;"",$G844&lt;&gt;"",$H844&lt;&gt;"",$I844&lt;&gt;""),1,0))</f>
        <v/>
      </c>
      <c r="BR844" s="52" t="n">
        <v>910</v>
      </c>
      <c r="BS844" s="52" t="n">
        <v>1107</v>
      </c>
    </row>
    <row r="845" s="54" customFormat="true" ht="18" hidden="false" customHeight="true" outlineLevel="0" collapsed="false">
      <c r="A845" s="57" t="s">
        <v>1621</v>
      </c>
      <c r="B845" s="51"/>
      <c r="C845" s="51"/>
      <c r="D845" s="51"/>
      <c r="E845" s="51"/>
      <c r="F845" s="57" t="s">
        <v>1622</v>
      </c>
      <c r="G845" s="51"/>
      <c r="H845" s="51"/>
      <c r="I845" s="51"/>
      <c r="J845" s="51"/>
      <c r="K845" s="52" t="str">
        <f aca="false">IF($A845&lt;&gt;"",$A845,"")</f>
        <v>Apprenant 833</v>
      </c>
      <c r="L845" s="53" t="str">
        <f aca="false">IF(AND($B845&lt;&gt;"",$C845&lt;&gt;""),$C845-$B845,"")</f>
        <v/>
      </c>
      <c r="M845" s="53" t="str">
        <f aca="false">IF(AND($B845&lt;&gt;"",$D845&lt;&gt;""),$D845-$B845,"")</f>
        <v/>
      </c>
      <c r="N845" s="53" t="str">
        <f aca="false">IF(AND($C845&lt;&gt;"",$D845&lt;&gt;""),$D845-$C845,"")</f>
        <v/>
      </c>
      <c r="O845" s="53" t="str">
        <f aca="false">IF($E845&lt;&gt;"",$E845,"")</f>
        <v/>
      </c>
      <c r="P845" s="52" t="str">
        <f aca="false">IF($F845&lt;&gt;"",$F845,"")</f>
        <v>Apprenant 833 ou 833'</v>
      </c>
      <c r="Q845" s="53" t="str">
        <f aca="false">IF(AND($G845&lt;&gt;"",$H845&lt;&gt;""),$H845-$G845,"")</f>
        <v/>
      </c>
      <c r="R845" s="53" t="str">
        <f aca="false">IF(AND($G845&lt;&gt;"",$I845&lt;&gt;""),$I845-$G845,"")</f>
        <v/>
      </c>
      <c r="S845" s="53" t="str">
        <f aca="false">IF(AND($H845&lt;&gt;"",$I845&lt;&gt;""),$I845-$H845,"")</f>
        <v/>
      </c>
      <c r="T845" s="53" t="str">
        <f aca="false">IF($J845&lt;&gt;"",$J845,"")</f>
        <v/>
      </c>
      <c r="V845" s="52" t="str">
        <f aca="false">IF($A845&lt;&gt;"",$A845,"")</f>
        <v>Apprenant 833</v>
      </c>
      <c r="W845" s="53" t="str">
        <f aca="false">IF(AND(OR('Choix pédagogiques'!$C$3=1,'Choix pédagogiques'!$C$3=2),$BM845=1),B845,IF(AND('Choix pédagogiques'!$C$3=3,$BO845=1),B845,""))</f>
        <v/>
      </c>
      <c r="X845" s="53" t="str">
        <f aca="false">IF(AND(OR('Choix pédagogiques'!$C$3=1,'Choix pédagogiques'!$C$3=2),$BM845=1),C845,IF(AND('Choix pédagogiques'!$C$3=3,$BO845=1),C845,""))</f>
        <v/>
      </c>
      <c r="Y845" s="53" t="str">
        <f aca="false">IF(AND(OR('Choix pédagogiques'!$C$3=1,'Choix pédagogiques'!$C$3=2),$BM845=1),D845,IF(AND('Choix pédagogiques'!$C$3=3,$BO845=1),D845,""))</f>
        <v/>
      </c>
      <c r="Z845" s="53" t="str">
        <f aca="false">IF($E845&lt;&gt;"",$E845,"")</f>
        <v/>
      </c>
      <c r="AA845" s="52" t="str">
        <f aca="false">IF($F845&lt;&gt;"",$F845,"")</f>
        <v>Apprenant 833 ou 833'</v>
      </c>
      <c r="AB845" s="53" t="str">
        <f aca="false">IF(AND(OR('Choix pédagogiques'!$C$3=1,'Choix pédagogiques'!$C$3=2),$BN845=1),G845,IF(AND('Choix pédagogiques'!$C$3=3,$BO845=1),G845,""))</f>
        <v/>
      </c>
      <c r="AC845" s="53" t="str">
        <f aca="false">IF(AND(OR('Choix pédagogiques'!$C$3=1,'Choix pédagogiques'!$C$3=2),$BN845=1),H845,IF(AND('Choix pédagogiques'!$C$3=3,$BO845=1),H845,""))</f>
        <v/>
      </c>
      <c r="AD845" s="53" t="str">
        <f aca="false">IF(AND(OR('Choix pédagogiques'!$C$3=1,'Choix pédagogiques'!$C$3=2),$BN845=1),I845,IF(AND('Choix pédagogiques'!$C$3=3,$BO845=1),I845,""))</f>
        <v/>
      </c>
      <c r="AE845" s="53" t="str">
        <f aca="false">IF($J845&lt;&gt;"",$J845,"")</f>
        <v/>
      </c>
      <c r="AF845" s="52" t="str">
        <f aca="false">IF($A845&lt;&gt;"",$A845,"")</f>
        <v>Apprenant 833</v>
      </c>
      <c r="AG845" s="53" t="str">
        <f aca="false">IF(AND($W845&lt;&gt;"",$X845&lt;&gt;""),$X845-$W845,"")</f>
        <v/>
      </c>
      <c r="AH845" s="53" t="str">
        <f aca="false">IF(AND($W845&lt;&gt;"",$Y845&lt;&gt;""),$Y845-$W845,"")</f>
        <v/>
      </c>
      <c r="AI845" s="53" t="str">
        <f aca="false">IF(AND($X845&lt;&gt;"",$Y845&lt;&gt;""),$Y845-$X845,"")</f>
        <v/>
      </c>
      <c r="AJ845" s="53" t="str">
        <f aca="false">IF($E845&lt;&gt;"",$E845,"")</f>
        <v/>
      </c>
      <c r="AK845" s="52" t="str">
        <f aca="false">IF($F845&lt;&gt;"",$F845,"")</f>
        <v>Apprenant 833 ou 833'</v>
      </c>
      <c r="AL845" s="53" t="str">
        <f aca="false">IF(AND($AB845&lt;&gt;"",$AC845&lt;&gt;""),$AC845-$AB845,"")</f>
        <v/>
      </c>
      <c r="AM845" s="53" t="str">
        <f aca="false">IF(AND($AB845&lt;&gt;"",$AD845&lt;&gt;""),$AD845-$AB845,"")</f>
        <v/>
      </c>
      <c r="AN845" s="53" t="str">
        <f aca="false">IF(AND($AC845&lt;&gt;"",$AD845&lt;&gt;""),$AD845-$AC845,"")</f>
        <v/>
      </c>
      <c r="AO845" s="53" t="str">
        <f aca="false">IF($J845&lt;&gt;"",$J845,"")</f>
        <v/>
      </c>
      <c r="AQ845" s="52" t="str">
        <f aca="false">IF($A845&lt;&gt;"",$A845,"")</f>
        <v>Apprenant 833</v>
      </c>
      <c r="AR845" s="55" t="str">
        <f aca="false">IF(AND('Choix pédagogiques'!$C$4&lt;&gt;"?",'Choix pédagogiques'!$C$5&lt;&gt;"?",W845&lt;&gt;""),(W845-'Choix pédagogiques'!$C$4)/('Choix pédagogiques'!$C$5-'Choix pédagogiques'!$C$4),"")</f>
        <v/>
      </c>
      <c r="AS845" s="55" t="str">
        <f aca="false">IF(AND('Choix pédagogiques'!$C$4&lt;&gt;"?",'Choix pédagogiques'!$C$5&lt;&gt;"?",X845&lt;&gt;""),(X845-'Choix pédagogiques'!$C$4)/('Choix pédagogiques'!$C$5-'Choix pédagogiques'!$C$4),"")</f>
        <v/>
      </c>
      <c r="AT845" s="55" t="str">
        <f aca="false">IF(AND('Choix pédagogiques'!$C$4&lt;&gt;"?",'Choix pédagogiques'!$C$5&lt;&gt;"?",Y845&lt;&gt;""),(Y845-'Choix pédagogiques'!$C$4)/('Choix pédagogiques'!$C$5-'Choix pédagogiques'!$C$4),"")</f>
        <v/>
      </c>
      <c r="AU845" s="53" t="str">
        <f aca="false">IF($E845&lt;&gt;"",$E845,"")</f>
        <v/>
      </c>
      <c r="AV845" s="52" t="str">
        <f aca="false">IF($F845&lt;&gt;"",$F845,"")</f>
        <v>Apprenant 833 ou 833'</v>
      </c>
      <c r="AW845" s="55" t="str">
        <f aca="false">IF(AND('Choix pédagogiques'!$C$4&lt;&gt;"?",'Choix pédagogiques'!$C$5&lt;&gt;"?",AB845&lt;&gt;""),(AB845-'Choix pédagogiques'!$C$4)/('Choix pédagogiques'!$C$5-'Choix pédagogiques'!$C$4),"")</f>
        <v/>
      </c>
      <c r="AX845" s="55" t="str">
        <f aca="false">IF(AND('Choix pédagogiques'!$C$4&lt;&gt;"?",'Choix pédagogiques'!$C$5&lt;&gt;"?",AC845&lt;&gt;""),(AC845-'Choix pédagogiques'!$C$4)/('Choix pédagogiques'!$C$5-'Choix pédagogiques'!$C$4),"")</f>
        <v/>
      </c>
      <c r="AY845" s="55" t="str">
        <f aca="false">IF(AND('Choix pédagogiques'!$C$4&lt;&gt;"?",'Choix pédagogiques'!$C$5&lt;&gt;"?",AD845&lt;&gt;""),(AD845-'Choix pédagogiques'!$C$4)/('Choix pédagogiques'!$C$5-'Choix pédagogiques'!$C$4),"")</f>
        <v/>
      </c>
      <c r="AZ845" s="53" t="str">
        <f aca="false">IF($J845&lt;&gt;"",$J845,"")</f>
        <v/>
      </c>
      <c r="BA845" s="52" t="str">
        <f aca="false">IF($A845&lt;&gt;"",$A845,"")</f>
        <v>Apprenant 833</v>
      </c>
      <c r="BB845" s="55" t="str">
        <f aca="false">IF(AND($AR845&lt;&gt;"",$AS845&lt;&gt;""),$AS845-$AR845,"")</f>
        <v/>
      </c>
      <c r="BC845" s="55" t="str">
        <f aca="false">IF(AND($AR845&lt;&gt;"",$AT845&lt;&gt;""),$AT845-$AR845,"")</f>
        <v/>
      </c>
      <c r="BD845" s="55" t="str">
        <f aca="false">IF(AND($AS845&lt;&gt;"",$AT845&lt;&gt;""),$AT845-$AS845,"")</f>
        <v/>
      </c>
      <c r="BE845" s="53" t="str">
        <f aca="false">IF($E845&lt;&gt;"",$E845,"")</f>
        <v/>
      </c>
      <c r="BF845" s="52" t="str">
        <f aca="false">IF($F845&lt;&gt;"",$F845,"")</f>
        <v>Apprenant 833 ou 833'</v>
      </c>
      <c r="BG845" s="55" t="str">
        <f aca="false">IF(AND($AW845&lt;&gt;"",$AX845&lt;&gt;""),$AX845-$AW845,"")</f>
        <v/>
      </c>
      <c r="BH845" s="55" t="str">
        <f aca="false">IF(AND($AW845&lt;&gt;"",$AY845&lt;&gt;""),$AY845-$AW845,"")</f>
        <v/>
      </c>
      <c r="BI845" s="55" t="str">
        <f aca="false">IF(AND($AX845&lt;&gt;"",$AY845&lt;&gt;""),$AY845-$AX845,"")</f>
        <v/>
      </c>
      <c r="BJ845" s="53" t="str">
        <f aca="false">IF($J845&lt;&gt;"",$J845,"")</f>
        <v/>
      </c>
      <c r="BL845" s="52"/>
      <c r="BM845" s="52" t="str">
        <f aca="false">IF(OR(COUNT(B845:D1844)=0,AND('Choix pédagogiques'!$C$3&lt;&gt;1,'Choix pédagogiques'!$C$3&lt;&gt;2)),"",IF(AND(OR('Choix pédagogiques'!$C$3=1,'Choix pédagogiques'!$C$3=2),$B845&lt;&gt;"",$C845&lt;&gt;"",$D845&lt;&gt;""),1,0))</f>
        <v/>
      </c>
      <c r="BN845" s="52" t="str">
        <f aca="false">IF(OR(COUNT(G845:I1844)=0,AND('Choix pédagogiques'!$C$3&lt;&gt;1,'Choix pédagogiques'!$C$3&lt;&gt;2)),"",IF(AND(OR('Choix pédagogiques'!$C$3=1,'Choix pédagogiques'!$C$3=2),AND($G845&lt;&gt;"",$H845&lt;&gt;"",$I845&lt;&gt;"")),1,0))</f>
        <v/>
      </c>
      <c r="BO845" s="52" t="str">
        <f aca="false">IF(OR(COUNT(B845:D1844)=0,COUNT(G845:I1844)=0,'Choix pédagogiques'!C$3&lt;&gt;3),"",IF(AND('Choix pédagogiques'!$C$3=3,$B845&lt;&gt;"",$C845&lt;&gt;"",$D845&lt;&gt;"",$G845&lt;&gt;"",$H845&lt;&gt;"",$I845&lt;&gt;""),1,0))</f>
        <v/>
      </c>
      <c r="BR845" s="52" t="n">
        <v>981</v>
      </c>
      <c r="BS845" s="52" t="n">
        <v>1718</v>
      </c>
    </row>
    <row r="846" s="54" customFormat="true" ht="18" hidden="false" customHeight="true" outlineLevel="0" collapsed="false">
      <c r="A846" s="57" t="s">
        <v>1623</v>
      </c>
      <c r="B846" s="51"/>
      <c r="C846" s="51"/>
      <c r="D846" s="51"/>
      <c r="E846" s="51"/>
      <c r="F846" s="57" t="s">
        <v>1624</v>
      </c>
      <c r="G846" s="51"/>
      <c r="H846" s="51"/>
      <c r="I846" s="51"/>
      <c r="J846" s="51"/>
      <c r="K846" s="52" t="str">
        <f aca="false">IF($A846&lt;&gt;"",$A846,"")</f>
        <v>Apprenant 834</v>
      </c>
      <c r="L846" s="53" t="str">
        <f aca="false">IF(AND($B846&lt;&gt;"",$C846&lt;&gt;""),$C846-$B846,"")</f>
        <v/>
      </c>
      <c r="M846" s="53" t="str">
        <f aca="false">IF(AND($B846&lt;&gt;"",$D846&lt;&gt;""),$D846-$B846,"")</f>
        <v/>
      </c>
      <c r="N846" s="53" t="str">
        <f aca="false">IF(AND($C846&lt;&gt;"",$D846&lt;&gt;""),$D846-$C846,"")</f>
        <v/>
      </c>
      <c r="O846" s="53" t="str">
        <f aca="false">IF($E846&lt;&gt;"",$E846,"")</f>
        <v/>
      </c>
      <c r="P846" s="52" t="str">
        <f aca="false">IF($F846&lt;&gt;"",$F846,"")</f>
        <v>Apprenant 834 ou 834'</v>
      </c>
      <c r="Q846" s="53" t="str">
        <f aca="false">IF(AND($G846&lt;&gt;"",$H846&lt;&gt;""),$H846-$G846,"")</f>
        <v/>
      </c>
      <c r="R846" s="53" t="str">
        <f aca="false">IF(AND($G846&lt;&gt;"",$I846&lt;&gt;""),$I846-$G846,"")</f>
        <v/>
      </c>
      <c r="S846" s="53" t="str">
        <f aca="false">IF(AND($H846&lt;&gt;"",$I846&lt;&gt;""),$I846-$H846,"")</f>
        <v/>
      </c>
      <c r="T846" s="53" t="str">
        <f aca="false">IF($J846&lt;&gt;"",$J846,"")</f>
        <v/>
      </c>
      <c r="V846" s="52" t="str">
        <f aca="false">IF($A846&lt;&gt;"",$A846,"")</f>
        <v>Apprenant 834</v>
      </c>
      <c r="W846" s="53" t="str">
        <f aca="false">IF(AND(OR('Choix pédagogiques'!$C$3=1,'Choix pédagogiques'!$C$3=2),$BM846=1),B846,IF(AND('Choix pédagogiques'!$C$3=3,$BO846=1),B846,""))</f>
        <v/>
      </c>
      <c r="X846" s="53" t="str">
        <f aca="false">IF(AND(OR('Choix pédagogiques'!$C$3=1,'Choix pédagogiques'!$C$3=2),$BM846=1),C846,IF(AND('Choix pédagogiques'!$C$3=3,$BO846=1),C846,""))</f>
        <v/>
      </c>
      <c r="Y846" s="53" t="str">
        <f aca="false">IF(AND(OR('Choix pédagogiques'!$C$3=1,'Choix pédagogiques'!$C$3=2),$BM846=1),D846,IF(AND('Choix pédagogiques'!$C$3=3,$BO846=1),D846,""))</f>
        <v/>
      </c>
      <c r="Z846" s="53" t="str">
        <f aca="false">IF($E846&lt;&gt;"",$E846,"")</f>
        <v/>
      </c>
      <c r="AA846" s="52" t="str">
        <f aca="false">IF($F846&lt;&gt;"",$F846,"")</f>
        <v>Apprenant 834 ou 834'</v>
      </c>
      <c r="AB846" s="53" t="str">
        <f aca="false">IF(AND(OR('Choix pédagogiques'!$C$3=1,'Choix pédagogiques'!$C$3=2),$BN846=1),G846,IF(AND('Choix pédagogiques'!$C$3=3,$BO846=1),G846,""))</f>
        <v/>
      </c>
      <c r="AC846" s="53" t="str">
        <f aca="false">IF(AND(OR('Choix pédagogiques'!$C$3=1,'Choix pédagogiques'!$C$3=2),$BN846=1),H846,IF(AND('Choix pédagogiques'!$C$3=3,$BO846=1),H846,""))</f>
        <v/>
      </c>
      <c r="AD846" s="53" t="str">
        <f aca="false">IF(AND(OR('Choix pédagogiques'!$C$3=1,'Choix pédagogiques'!$C$3=2),$BN846=1),I846,IF(AND('Choix pédagogiques'!$C$3=3,$BO846=1),I846,""))</f>
        <v/>
      </c>
      <c r="AE846" s="53" t="str">
        <f aca="false">IF($J846&lt;&gt;"",$J846,"")</f>
        <v/>
      </c>
      <c r="AF846" s="52" t="str">
        <f aca="false">IF($A846&lt;&gt;"",$A846,"")</f>
        <v>Apprenant 834</v>
      </c>
      <c r="AG846" s="53" t="str">
        <f aca="false">IF(AND($W846&lt;&gt;"",$X846&lt;&gt;""),$X846-$W846,"")</f>
        <v/>
      </c>
      <c r="AH846" s="53" t="str">
        <f aca="false">IF(AND($W846&lt;&gt;"",$Y846&lt;&gt;""),$Y846-$W846,"")</f>
        <v/>
      </c>
      <c r="AI846" s="53" t="str">
        <f aca="false">IF(AND($X846&lt;&gt;"",$Y846&lt;&gt;""),$Y846-$X846,"")</f>
        <v/>
      </c>
      <c r="AJ846" s="53" t="str">
        <f aca="false">IF($E846&lt;&gt;"",$E846,"")</f>
        <v/>
      </c>
      <c r="AK846" s="52" t="str">
        <f aca="false">IF($F846&lt;&gt;"",$F846,"")</f>
        <v>Apprenant 834 ou 834'</v>
      </c>
      <c r="AL846" s="53" t="str">
        <f aca="false">IF(AND($AB846&lt;&gt;"",$AC846&lt;&gt;""),$AC846-$AB846,"")</f>
        <v/>
      </c>
      <c r="AM846" s="53" t="str">
        <f aca="false">IF(AND($AB846&lt;&gt;"",$AD846&lt;&gt;""),$AD846-$AB846,"")</f>
        <v/>
      </c>
      <c r="AN846" s="53" t="str">
        <f aca="false">IF(AND($AC846&lt;&gt;"",$AD846&lt;&gt;""),$AD846-$AC846,"")</f>
        <v/>
      </c>
      <c r="AO846" s="53" t="str">
        <f aca="false">IF($J846&lt;&gt;"",$J846,"")</f>
        <v/>
      </c>
      <c r="AQ846" s="52" t="str">
        <f aca="false">IF($A846&lt;&gt;"",$A846,"")</f>
        <v>Apprenant 834</v>
      </c>
      <c r="AR846" s="55" t="str">
        <f aca="false">IF(AND('Choix pédagogiques'!$C$4&lt;&gt;"?",'Choix pédagogiques'!$C$5&lt;&gt;"?",W846&lt;&gt;""),(W846-'Choix pédagogiques'!$C$4)/('Choix pédagogiques'!$C$5-'Choix pédagogiques'!$C$4),"")</f>
        <v/>
      </c>
      <c r="AS846" s="55" t="str">
        <f aca="false">IF(AND('Choix pédagogiques'!$C$4&lt;&gt;"?",'Choix pédagogiques'!$C$5&lt;&gt;"?",X846&lt;&gt;""),(X846-'Choix pédagogiques'!$C$4)/('Choix pédagogiques'!$C$5-'Choix pédagogiques'!$C$4),"")</f>
        <v/>
      </c>
      <c r="AT846" s="55" t="str">
        <f aca="false">IF(AND('Choix pédagogiques'!$C$4&lt;&gt;"?",'Choix pédagogiques'!$C$5&lt;&gt;"?",Y846&lt;&gt;""),(Y846-'Choix pédagogiques'!$C$4)/('Choix pédagogiques'!$C$5-'Choix pédagogiques'!$C$4),"")</f>
        <v/>
      </c>
      <c r="AU846" s="53" t="str">
        <f aca="false">IF($E846&lt;&gt;"",$E846,"")</f>
        <v/>
      </c>
      <c r="AV846" s="52" t="str">
        <f aca="false">IF($F846&lt;&gt;"",$F846,"")</f>
        <v>Apprenant 834 ou 834'</v>
      </c>
      <c r="AW846" s="55" t="str">
        <f aca="false">IF(AND('Choix pédagogiques'!$C$4&lt;&gt;"?",'Choix pédagogiques'!$C$5&lt;&gt;"?",AB846&lt;&gt;""),(AB846-'Choix pédagogiques'!$C$4)/('Choix pédagogiques'!$C$5-'Choix pédagogiques'!$C$4),"")</f>
        <v/>
      </c>
      <c r="AX846" s="55" t="str">
        <f aca="false">IF(AND('Choix pédagogiques'!$C$4&lt;&gt;"?",'Choix pédagogiques'!$C$5&lt;&gt;"?",AC846&lt;&gt;""),(AC846-'Choix pédagogiques'!$C$4)/('Choix pédagogiques'!$C$5-'Choix pédagogiques'!$C$4),"")</f>
        <v/>
      </c>
      <c r="AY846" s="55" t="str">
        <f aca="false">IF(AND('Choix pédagogiques'!$C$4&lt;&gt;"?",'Choix pédagogiques'!$C$5&lt;&gt;"?",AD846&lt;&gt;""),(AD846-'Choix pédagogiques'!$C$4)/('Choix pédagogiques'!$C$5-'Choix pédagogiques'!$C$4),"")</f>
        <v/>
      </c>
      <c r="AZ846" s="53" t="str">
        <f aca="false">IF($J846&lt;&gt;"",$J846,"")</f>
        <v/>
      </c>
      <c r="BA846" s="52" t="str">
        <f aca="false">IF($A846&lt;&gt;"",$A846,"")</f>
        <v>Apprenant 834</v>
      </c>
      <c r="BB846" s="55" t="str">
        <f aca="false">IF(AND($AR846&lt;&gt;"",$AS846&lt;&gt;""),$AS846-$AR846,"")</f>
        <v/>
      </c>
      <c r="BC846" s="55" t="str">
        <f aca="false">IF(AND($AR846&lt;&gt;"",$AT846&lt;&gt;""),$AT846-$AR846,"")</f>
        <v/>
      </c>
      <c r="BD846" s="55" t="str">
        <f aca="false">IF(AND($AS846&lt;&gt;"",$AT846&lt;&gt;""),$AT846-$AS846,"")</f>
        <v/>
      </c>
      <c r="BE846" s="53" t="str">
        <f aca="false">IF($E846&lt;&gt;"",$E846,"")</f>
        <v/>
      </c>
      <c r="BF846" s="52" t="str">
        <f aca="false">IF($F846&lt;&gt;"",$F846,"")</f>
        <v>Apprenant 834 ou 834'</v>
      </c>
      <c r="BG846" s="55" t="str">
        <f aca="false">IF(AND($AW846&lt;&gt;"",$AX846&lt;&gt;""),$AX846-$AW846,"")</f>
        <v/>
      </c>
      <c r="BH846" s="55" t="str">
        <f aca="false">IF(AND($AW846&lt;&gt;"",$AY846&lt;&gt;""),$AY846-$AW846,"")</f>
        <v/>
      </c>
      <c r="BI846" s="55" t="str">
        <f aca="false">IF(AND($AX846&lt;&gt;"",$AY846&lt;&gt;""),$AY846-$AX846,"")</f>
        <v/>
      </c>
      <c r="BJ846" s="53" t="str">
        <f aca="false">IF($J846&lt;&gt;"",$J846,"")</f>
        <v/>
      </c>
      <c r="BL846" s="52"/>
      <c r="BM846" s="52" t="str">
        <f aca="false">IF(OR(COUNT(B846:D1845)=0,AND('Choix pédagogiques'!$C$3&lt;&gt;1,'Choix pédagogiques'!$C$3&lt;&gt;2)),"",IF(AND(OR('Choix pédagogiques'!$C$3=1,'Choix pédagogiques'!$C$3=2),$B846&lt;&gt;"",$C846&lt;&gt;"",$D846&lt;&gt;""),1,0))</f>
        <v/>
      </c>
      <c r="BN846" s="52" t="str">
        <f aca="false">IF(OR(COUNT(G846:I1845)=0,AND('Choix pédagogiques'!$C$3&lt;&gt;1,'Choix pédagogiques'!$C$3&lt;&gt;2)),"",IF(AND(OR('Choix pédagogiques'!$C$3=1,'Choix pédagogiques'!$C$3=2),AND($G846&lt;&gt;"",$H846&lt;&gt;"",$I846&lt;&gt;"")),1,0))</f>
        <v/>
      </c>
      <c r="BO846" s="52" t="str">
        <f aca="false">IF(OR(COUNT(B846:D1845)=0,COUNT(G846:I1845)=0,'Choix pédagogiques'!C$3&lt;&gt;3),"",IF(AND('Choix pédagogiques'!$C$3=3,$B846&lt;&gt;"",$C846&lt;&gt;"",$D846&lt;&gt;"",$G846&lt;&gt;"",$H846&lt;&gt;"",$I846&lt;&gt;""),1,0))</f>
        <v/>
      </c>
      <c r="BR846" s="52" t="n">
        <v>145</v>
      </c>
      <c r="BS846" s="52" t="n">
        <v>1100</v>
      </c>
    </row>
    <row r="847" s="54" customFormat="true" ht="18" hidden="false" customHeight="true" outlineLevel="0" collapsed="false">
      <c r="A847" s="57" t="s">
        <v>1625</v>
      </c>
      <c r="B847" s="51"/>
      <c r="C847" s="51"/>
      <c r="D847" s="51"/>
      <c r="E847" s="51"/>
      <c r="F847" s="57" t="s">
        <v>1626</v>
      </c>
      <c r="G847" s="51"/>
      <c r="H847" s="51"/>
      <c r="I847" s="51"/>
      <c r="J847" s="51"/>
      <c r="K847" s="52" t="str">
        <f aca="false">IF($A847&lt;&gt;"",$A847,"")</f>
        <v>Apprenant 835</v>
      </c>
      <c r="L847" s="53" t="str">
        <f aca="false">IF(AND($B847&lt;&gt;"",$C847&lt;&gt;""),$C847-$B847,"")</f>
        <v/>
      </c>
      <c r="M847" s="53" t="str">
        <f aca="false">IF(AND($B847&lt;&gt;"",$D847&lt;&gt;""),$D847-$B847,"")</f>
        <v/>
      </c>
      <c r="N847" s="53" t="str">
        <f aca="false">IF(AND($C847&lt;&gt;"",$D847&lt;&gt;""),$D847-$C847,"")</f>
        <v/>
      </c>
      <c r="O847" s="53" t="str">
        <f aca="false">IF($E847&lt;&gt;"",$E847,"")</f>
        <v/>
      </c>
      <c r="P847" s="52" t="str">
        <f aca="false">IF($F847&lt;&gt;"",$F847,"")</f>
        <v>Apprenant 835 ou 835'</v>
      </c>
      <c r="Q847" s="53" t="str">
        <f aca="false">IF(AND($G847&lt;&gt;"",$H847&lt;&gt;""),$H847-$G847,"")</f>
        <v/>
      </c>
      <c r="R847" s="53" t="str">
        <f aca="false">IF(AND($G847&lt;&gt;"",$I847&lt;&gt;""),$I847-$G847,"")</f>
        <v/>
      </c>
      <c r="S847" s="53" t="str">
        <f aca="false">IF(AND($H847&lt;&gt;"",$I847&lt;&gt;""),$I847-$H847,"")</f>
        <v/>
      </c>
      <c r="T847" s="53" t="str">
        <f aca="false">IF($J847&lt;&gt;"",$J847,"")</f>
        <v/>
      </c>
      <c r="V847" s="52" t="str">
        <f aca="false">IF($A847&lt;&gt;"",$A847,"")</f>
        <v>Apprenant 835</v>
      </c>
      <c r="W847" s="53" t="str">
        <f aca="false">IF(AND(OR('Choix pédagogiques'!$C$3=1,'Choix pédagogiques'!$C$3=2),$BM847=1),B847,IF(AND('Choix pédagogiques'!$C$3=3,$BO847=1),B847,""))</f>
        <v/>
      </c>
      <c r="X847" s="53" t="str">
        <f aca="false">IF(AND(OR('Choix pédagogiques'!$C$3=1,'Choix pédagogiques'!$C$3=2),$BM847=1),C847,IF(AND('Choix pédagogiques'!$C$3=3,$BO847=1),C847,""))</f>
        <v/>
      </c>
      <c r="Y847" s="53" t="str">
        <f aca="false">IF(AND(OR('Choix pédagogiques'!$C$3=1,'Choix pédagogiques'!$C$3=2),$BM847=1),D847,IF(AND('Choix pédagogiques'!$C$3=3,$BO847=1),D847,""))</f>
        <v/>
      </c>
      <c r="Z847" s="53" t="str">
        <f aca="false">IF($E847&lt;&gt;"",$E847,"")</f>
        <v/>
      </c>
      <c r="AA847" s="52" t="str">
        <f aca="false">IF($F847&lt;&gt;"",$F847,"")</f>
        <v>Apprenant 835 ou 835'</v>
      </c>
      <c r="AB847" s="53" t="str">
        <f aca="false">IF(AND(OR('Choix pédagogiques'!$C$3=1,'Choix pédagogiques'!$C$3=2),$BN847=1),G847,IF(AND('Choix pédagogiques'!$C$3=3,$BO847=1),G847,""))</f>
        <v/>
      </c>
      <c r="AC847" s="53" t="str">
        <f aca="false">IF(AND(OR('Choix pédagogiques'!$C$3=1,'Choix pédagogiques'!$C$3=2),$BN847=1),H847,IF(AND('Choix pédagogiques'!$C$3=3,$BO847=1),H847,""))</f>
        <v/>
      </c>
      <c r="AD847" s="53" t="str">
        <f aca="false">IF(AND(OR('Choix pédagogiques'!$C$3=1,'Choix pédagogiques'!$C$3=2),$BN847=1),I847,IF(AND('Choix pédagogiques'!$C$3=3,$BO847=1),I847,""))</f>
        <v/>
      </c>
      <c r="AE847" s="53" t="str">
        <f aca="false">IF($J847&lt;&gt;"",$J847,"")</f>
        <v/>
      </c>
      <c r="AF847" s="52" t="str">
        <f aca="false">IF($A847&lt;&gt;"",$A847,"")</f>
        <v>Apprenant 835</v>
      </c>
      <c r="AG847" s="53" t="str">
        <f aca="false">IF(AND($W847&lt;&gt;"",$X847&lt;&gt;""),$X847-$W847,"")</f>
        <v/>
      </c>
      <c r="AH847" s="53" t="str">
        <f aca="false">IF(AND($W847&lt;&gt;"",$Y847&lt;&gt;""),$Y847-$W847,"")</f>
        <v/>
      </c>
      <c r="AI847" s="53" t="str">
        <f aca="false">IF(AND($X847&lt;&gt;"",$Y847&lt;&gt;""),$Y847-$X847,"")</f>
        <v/>
      </c>
      <c r="AJ847" s="53" t="str">
        <f aca="false">IF($E847&lt;&gt;"",$E847,"")</f>
        <v/>
      </c>
      <c r="AK847" s="52" t="str">
        <f aca="false">IF($F847&lt;&gt;"",$F847,"")</f>
        <v>Apprenant 835 ou 835'</v>
      </c>
      <c r="AL847" s="53" t="str">
        <f aca="false">IF(AND($AB847&lt;&gt;"",$AC847&lt;&gt;""),$AC847-$AB847,"")</f>
        <v/>
      </c>
      <c r="AM847" s="53" t="str">
        <f aca="false">IF(AND($AB847&lt;&gt;"",$AD847&lt;&gt;""),$AD847-$AB847,"")</f>
        <v/>
      </c>
      <c r="AN847" s="53" t="str">
        <f aca="false">IF(AND($AC847&lt;&gt;"",$AD847&lt;&gt;""),$AD847-$AC847,"")</f>
        <v/>
      </c>
      <c r="AO847" s="53" t="str">
        <f aca="false">IF($J847&lt;&gt;"",$J847,"")</f>
        <v/>
      </c>
      <c r="AQ847" s="52" t="str">
        <f aca="false">IF($A847&lt;&gt;"",$A847,"")</f>
        <v>Apprenant 835</v>
      </c>
      <c r="AR847" s="55" t="str">
        <f aca="false">IF(AND('Choix pédagogiques'!$C$4&lt;&gt;"?",'Choix pédagogiques'!$C$5&lt;&gt;"?",W847&lt;&gt;""),(W847-'Choix pédagogiques'!$C$4)/('Choix pédagogiques'!$C$5-'Choix pédagogiques'!$C$4),"")</f>
        <v/>
      </c>
      <c r="AS847" s="55" t="str">
        <f aca="false">IF(AND('Choix pédagogiques'!$C$4&lt;&gt;"?",'Choix pédagogiques'!$C$5&lt;&gt;"?",X847&lt;&gt;""),(X847-'Choix pédagogiques'!$C$4)/('Choix pédagogiques'!$C$5-'Choix pédagogiques'!$C$4),"")</f>
        <v/>
      </c>
      <c r="AT847" s="55" t="str">
        <f aca="false">IF(AND('Choix pédagogiques'!$C$4&lt;&gt;"?",'Choix pédagogiques'!$C$5&lt;&gt;"?",Y847&lt;&gt;""),(Y847-'Choix pédagogiques'!$C$4)/('Choix pédagogiques'!$C$5-'Choix pédagogiques'!$C$4),"")</f>
        <v/>
      </c>
      <c r="AU847" s="53" t="str">
        <f aca="false">IF($E847&lt;&gt;"",$E847,"")</f>
        <v/>
      </c>
      <c r="AV847" s="52" t="str">
        <f aca="false">IF($F847&lt;&gt;"",$F847,"")</f>
        <v>Apprenant 835 ou 835'</v>
      </c>
      <c r="AW847" s="55" t="str">
        <f aca="false">IF(AND('Choix pédagogiques'!$C$4&lt;&gt;"?",'Choix pédagogiques'!$C$5&lt;&gt;"?",AB847&lt;&gt;""),(AB847-'Choix pédagogiques'!$C$4)/('Choix pédagogiques'!$C$5-'Choix pédagogiques'!$C$4),"")</f>
        <v/>
      </c>
      <c r="AX847" s="55" t="str">
        <f aca="false">IF(AND('Choix pédagogiques'!$C$4&lt;&gt;"?",'Choix pédagogiques'!$C$5&lt;&gt;"?",AC847&lt;&gt;""),(AC847-'Choix pédagogiques'!$C$4)/('Choix pédagogiques'!$C$5-'Choix pédagogiques'!$C$4),"")</f>
        <v/>
      </c>
      <c r="AY847" s="55" t="str">
        <f aca="false">IF(AND('Choix pédagogiques'!$C$4&lt;&gt;"?",'Choix pédagogiques'!$C$5&lt;&gt;"?",AD847&lt;&gt;""),(AD847-'Choix pédagogiques'!$C$4)/('Choix pédagogiques'!$C$5-'Choix pédagogiques'!$C$4),"")</f>
        <v/>
      </c>
      <c r="AZ847" s="53" t="str">
        <f aca="false">IF($J847&lt;&gt;"",$J847,"")</f>
        <v/>
      </c>
      <c r="BA847" s="52" t="str">
        <f aca="false">IF($A847&lt;&gt;"",$A847,"")</f>
        <v>Apprenant 835</v>
      </c>
      <c r="BB847" s="55" t="str">
        <f aca="false">IF(AND($AR847&lt;&gt;"",$AS847&lt;&gt;""),$AS847-$AR847,"")</f>
        <v/>
      </c>
      <c r="BC847" s="55" t="str">
        <f aca="false">IF(AND($AR847&lt;&gt;"",$AT847&lt;&gt;""),$AT847-$AR847,"")</f>
        <v/>
      </c>
      <c r="BD847" s="55" t="str">
        <f aca="false">IF(AND($AS847&lt;&gt;"",$AT847&lt;&gt;""),$AT847-$AS847,"")</f>
        <v/>
      </c>
      <c r="BE847" s="53" t="str">
        <f aca="false">IF($E847&lt;&gt;"",$E847,"")</f>
        <v/>
      </c>
      <c r="BF847" s="52" t="str">
        <f aca="false">IF($F847&lt;&gt;"",$F847,"")</f>
        <v>Apprenant 835 ou 835'</v>
      </c>
      <c r="BG847" s="55" t="str">
        <f aca="false">IF(AND($AW847&lt;&gt;"",$AX847&lt;&gt;""),$AX847-$AW847,"")</f>
        <v/>
      </c>
      <c r="BH847" s="55" t="str">
        <f aca="false">IF(AND($AW847&lt;&gt;"",$AY847&lt;&gt;""),$AY847-$AW847,"")</f>
        <v/>
      </c>
      <c r="BI847" s="55" t="str">
        <f aca="false">IF(AND($AX847&lt;&gt;"",$AY847&lt;&gt;""),$AY847-$AX847,"")</f>
        <v/>
      </c>
      <c r="BJ847" s="53" t="str">
        <f aca="false">IF($J847&lt;&gt;"",$J847,"")</f>
        <v/>
      </c>
      <c r="BL847" s="52"/>
      <c r="BM847" s="52" t="str">
        <f aca="false">IF(OR(COUNT(B847:D1846)=0,AND('Choix pédagogiques'!$C$3&lt;&gt;1,'Choix pédagogiques'!$C$3&lt;&gt;2)),"",IF(AND(OR('Choix pédagogiques'!$C$3=1,'Choix pédagogiques'!$C$3=2),$B847&lt;&gt;"",$C847&lt;&gt;"",$D847&lt;&gt;""),1,0))</f>
        <v/>
      </c>
      <c r="BN847" s="52" t="str">
        <f aca="false">IF(OR(COUNT(G847:I1846)=0,AND('Choix pédagogiques'!$C$3&lt;&gt;1,'Choix pédagogiques'!$C$3&lt;&gt;2)),"",IF(AND(OR('Choix pédagogiques'!$C$3=1,'Choix pédagogiques'!$C$3=2),AND($G847&lt;&gt;"",$H847&lt;&gt;"",$I847&lt;&gt;"")),1,0))</f>
        <v/>
      </c>
      <c r="BO847" s="52" t="str">
        <f aca="false">IF(OR(COUNT(B847:D1846)=0,COUNT(G847:I1846)=0,'Choix pédagogiques'!C$3&lt;&gt;3),"",IF(AND('Choix pédagogiques'!$C$3=3,$B847&lt;&gt;"",$C847&lt;&gt;"",$D847&lt;&gt;"",$G847&lt;&gt;"",$H847&lt;&gt;"",$I847&lt;&gt;""),1,0))</f>
        <v/>
      </c>
      <c r="BR847" s="52" t="n">
        <v>339</v>
      </c>
      <c r="BS847" s="52" t="n">
        <v>1911</v>
      </c>
    </row>
    <row r="848" s="54" customFormat="true" ht="18" hidden="false" customHeight="true" outlineLevel="0" collapsed="false">
      <c r="A848" s="57" t="s">
        <v>1627</v>
      </c>
      <c r="B848" s="51"/>
      <c r="C848" s="51"/>
      <c r="D848" s="51"/>
      <c r="E848" s="51"/>
      <c r="F848" s="57" t="s">
        <v>1628</v>
      </c>
      <c r="G848" s="51"/>
      <c r="H848" s="51"/>
      <c r="I848" s="51"/>
      <c r="J848" s="51"/>
      <c r="K848" s="52" t="str">
        <f aca="false">IF($A848&lt;&gt;"",$A848,"")</f>
        <v>Apprenant 836</v>
      </c>
      <c r="L848" s="53" t="str">
        <f aca="false">IF(AND($B848&lt;&gt;"",$C848&lt;&gt;""),$C848-$B848,"")</f>
        <v/>
      </c>
      <c r="M848" s="53" t="str">
        <f aca="false">IF(AND($B848&lt;&gt;"",$D848&lt;&gt;""),$D848-$B848,"")</f>
        <v/>
      </c>
      <c r="N848" s="53" t="str">
        <f aca="false">IF(AND($C848&lt;&gt;"",$D848&lt;&gt;""),$D848-$C848,"")</f>
        <v/>
      </c>
      <c r="O848" s="53" t="str">
        <f aca="false">IF($E848&lt;&gt;"",$E848,"")</f>
        <v/>
      </c>
      <c r="P848" s="52" t="str">
        <f aca="false">IF($F848&lt;&gt;"",$F848,"")</f>
        <v>Apprenant 836 ou 836'</v>
      </c>
      <c r="Q848" s="53" t="str">
        <f aca="false">IF(AND($G848&lt;&gt;"",$H848&lt;&gt;""),$H848-$G848,"")</f>
        <v/>
      </c>
      <c r="R848" s="53" t="str">
        <f aca="false">IF(AND($G848&lt;&gt;"",$I848&lt;&gt;""),$I848-$G848,"")</f>
        <v/>
      </c>
      <c r="S848" s="53" t="str">
        <f aca="false">IF(AND($H848&lt;&gt;"",$I848&lt;&gt;""),$I848-$H848,"")</f>
        <v/>
      </c>
      <c r="T848" s="53" t="str">
        <f aca="false">IF($J848&lt;&gt;"",$J848,"")</f>
        <v/>
      </c>
      <c r="V848" s="52" t="str">
        <f aca="false">IF($A848&lt;&gt;"",$A848,"")</f>
        <v>Apprenant 836</v>
      </c>
      <c r="W848" s="53" t="str">
        <f aca="false">IF(AND(OR('Choix pédagogiques'!$C$3=1,'Choix pédagogiques'!$C$3=2),$BM848=1),B848,IF(AND('Choix pédagogiques'!$C$3=3,$BO848=1),B848,""))</f>
        <v/>
      </c>
      <c r="X848" s="53" t="str">
        <f aca="false">IF(AND(OR('Choix pédagogiques'!$C$3=1,'Choix pédagogiques'!$C$3=2),$BM848=1),C848,IF(AND('Choix pédagogiques'!$C$3=3,$BO848=1),C848,""))</f>
        <v/>
      </c>
      <c r="Y848" s="53" t="str">
        <f aca="false">IF(AND(OR('Choix pédagogiques'!$C$3=1,'Choix pédagogiques'!$C$3=2),$BM848=1),D848,IF(AND('Choix pédagogiques'!$C$3=3,$BO848=1),D848,""))</f>
        <v/>
      </c>
      <c r="Z848" s="53" t="str">
        <f aca="false">IF($E848&lt;&gt;"",$E848,"")</f>
        <v/>
      </c>
      <c r="AA848" s="52" t="str">
        <f aca="false">IF($F848&lt;&gt;"",$F848,"")</f>
        <v>Apprenant 836 ou 836'</v>
      </c>
      <c r="AB848" s="53" t="str">
        <f aca="false">IF(AND(OR('Choix pédagogiques'!$C$3=1,'Choix pédagogiques'!$C$3=2),$BN848=1),G848,IF(AND('Choix pédagogiques'!$C$3=3,$BO848=1),G848,""))</f>
        <v/>
      </c>
      <c r="AC848" s="53" t="str">
        <f aca="false">IF(AND(OR('Choix pédagogiques'!$C$3=1,'Choix pédagogiques'!$C$3=2),$BN848=1),H848,IF(AND('Choix pédagogiques'!$C$3=3,$BO848=1),H848,""))</f>
        <v/>
      </c>
      <c r="AD848" s="53" t="str">
        <f aca="false">IF(AND(OR('Choix pédagogiques'!$C$3=1,'Choix pédagogiques'!$C$3=2),$BN848=1),I848,IF(AND('Choix pédagogiques'!$C$3=3,$BO848=1),I848,""))</f>
        <v/>
      </c>
      <c r="AE848" s="53" t="str">
        <f aca="false">IF($J848&lt;&gt;"",$J848,"")</f>
        <v/>
      </c>
      <c r="AF848" s="52" t="str">
        <f aca="false">IF($A848&lt;&gt;"",$A848,"")</f>
        <v>Apprenant 836</v>
      </c>
      <c r="AG848" s="53" t="str">
        <f aca="false">IF(AND($W848&lt;&gt;"",$X848&lt;&gt;""),$X848-$W848,"")</f>
        <v/>
      </c>
      <c r="AH848" s="53" t="str">
        <f aca="false">IF(AND($W848&lt;&gt;"",$Y848&lt;&gt;""),$Y848-$W848,"")</f>
        <v/>
      </c>
      <c r="AI848" s="53" t="str">
        <f aca="false">IF(AND($X848&lt;&gt;"",$Y848&lt;&gt;""),$Y848-$X848,"")</f>
        <v/>
      </c>
      <c r="AJ848" s="53" t="str">
        <f aca="false">IF($E848&lt;&gt;"",$E848,"")</f>
        <v/>
      </c>
      <c r="AK848" s="52" t="str">
        <f aca="false">IF($F848&lt;&gt;"",$F848,"")</f>
        <v>Apprenant 836 ou 836'</v>
      </c>
      <c r="AL848" s="53" t="str">
        <f aca="false">IF(AND($AB848&lt;&gt;"",$AC848&lt;&gt;""),$AC848-$AB848,"")</f>
        <v/>
      </c>
      <c r="AM848" s="53" t="str">
        <f aca="false">IF(AND($AB848&lt;&gt;"",$AD848&lt;&gt;""),$AD848-$AB848,"")</f>
        <v/>
      </c>
      <c r="AN848" s="53" t="str">
        <f aca="false">IF(AND($AC848&lt;&gt;"",$AD848&lt;&gt;""),$AD848-$AC848,"")</f>
        <v/>
      </c>
      <c r="AO848" s="53" t="str">
        <f aca="false">IF($J848&lt;&gt;"",$J848,"")</f>
        <v/>
      </c>
      <c r="AQ848" s="52" t="str">
        <f aca="false">IF($A848&lt;&gt;"",$A848,"")</f>
        <v>Apprenant 836</v>
      </c>
      <c r="AR848" s="55" t="str">
        <f aca="false">IF(AND('Choix pédagogiques'!$C$4&lt;&gt;"?",'Choix pédagogiques'!$C$5&lt;&gt;"?",W848&lt;&gt;""),(W848-'Choix pédagogiques'!$C$4)/('Choix pédagogiques'!$C$5-'Choix pédagogiques'!$C$4),"")</f>
        <v/>
      </c>
      <c r="AS848" s="55" t="str">
        <f aca="false">IF(AND('Choix pédagogiques'!$C$4&lt;&gt;"?",'Choix pédagogiques'!$C$5&lt;&gt;"?",X848&lt;&gt;""),(X848-'Choix pédagogiques'!$C$4)/('Choix pédagogiques'!$C$5-'Choix pédagogiques'!$C$4),"")</f>
        <v/>
      </c>
      <c r="AT848" s="55" t="str">
        <f aca="false">IF(AND('Choix pédagogiques'!$C$4&lt;&gt;"?",'Choix pédagogiques'!$C$5&lt;&gt;"?",Y848&lt;&gt;""),(Y848-'Choix pédagogiques'!$C$4)/('Choix pédagogiques'!$C$5-'Choix pédagogiques'!$C$4),"")</f>
        <v/>
      </c>
      <c r="AU848" s="53" t="str">
        <f aca="false">IF($E848&lt;&gt;"",$E848,"")</f>
        <v/>
      </c>
      <c r="AV848" s="52" t="str">
        <f aca="false">IF($F848&lt;&gt;"",$F848,"")</f>
        <v>Apprenant 836 ou 836'</v>
      </c>
      <c r="AW848" s="55" t="str">
        <f aca="false">IF(AND('Choix pédagogiques'!$C$4&lt;&gt;"?",'Choix pédagogiques'!$C$5&lt;&gt;"?",AB848&lt;&gt;""),(AB848-'Choix pédagogiques'!$C$4)/('Choix pédagogiques'!$C$5-'Choix pédagogiques'!$C$4),"")</f>
        <v/>
      </c>
      <c r="AX848" s="55" t="str">
        <f aca="false">IF(AND('Choix pédagogiques'!$C$4&lt;&gt;"?",'Choix pédagogiques'!$C$5&lt;&gt;"?",AC848&lt;&gt;""),(AC848-'Choix pédagogiques'!$C$4)/('Choix pédagogiques'!$C$5-'Choix pédagogiques'!$C$4),"")</f>
        <v/>
      </c>
      <c r="AY848" s="55" t="str">
        <f aca="false">IF(AND('Choix pédagogiques'!$C$4&lt;&gt;"?",'Choix pédagogiques'!$C$5&lt;&gt;"?",AD848&lt;&gt;""),(AD848-'Choix pédagogiques'!$C$4)/('Choix pédagogiques'!$C$5-'Choix pédagogiques'!$C$4),"")</f>
        <v/>
      </c>
      <c r="AZ848" s="53" t="str">
        <f aca="false">IF($J848&lt;&gt;"",$J848,"")</f>
        <v/>
      </c>
      <c r="BA848" s="52" t="str">
        <f aca="false">IF($A848&lt;&gt;"",$A848,"")</f>
        <v>Apprenant 836</v>
      </c>
      <c r="BB848" s="55" t="str">
        <f aca="false">IF(AND($AR848&lt;&gt;"",$AS848&lt;&gt;""),$AS848-$AR848,"")</f>
        <v/>
      </c>
      <c r="BC848" s="55" t="str">
        <f aca="false">IF(AND($AR848&lt;&gt;"",$AT848&lt;&gt;""),$AT848-$AR848,"")</f>
        <v/>
      </c>
      <c r="BD848" s="55" t="str">
        <f aca="false">IF(AND($AS848&lt;&gt;"",$AT848&lt;&gt;""),$AT848-$AS848,"")</f>
        <v/>
      </c>
      <c r="BE848" s="53" t="str">
        <f aca="false">IF($E848&lt;&gt;"",$E848,"")</f>
        <v/>
      </c>
      <c r="BF848" s="52" t="str">
        <f aca="false">IF($F848&lt;&gt;"",$F848,"")</f>
        <v>Apprenant 836 ou 836'</v>
      </c>
      <c r="BG848" s="55" t="str">
        <f aca="false">IF(AND($AW848&lt;&gt;"",$AX848&lt;&gt;""),$AX848-$AW848,"")</f>
        <v/>
      </c>
      <c r="BH848" s="55" t="str">
        <f aca="false">IF(AND($AW848&lt;&gt;"",$AY848&lt;&gt;""),$AY848-$AW848,"")</f>
        <v/>
      </c>
      <c r="BI848" s="55" t="str">
        <f aca="false">IF(AND($AX848&lt;&gt;"",$AY848&lt;&gt;""),$AY848-$AX848,"")</f>
        <v/>
      </c>
      <c r="BJ848" s="53" t="str">
        <f aca="false">IF($J848&lt;&gt;"",$J848,"")</f>
        <v/>
      </c>
      <c r="BL848" s="52"/>
      <c r="BM848" s="52" t="str">
        <f aca="false">IF(OR(COUNT(B848:D1847)=0,AND('Choix pédagogiques'!$C$3&lt;&gt;1,'Choix pédagogiques'!$C$3&lt;&gt;2)),"",IF(AND(OR('Choix pédagogiques'!$C$3=1,'Choix pédagogiques'!$C$3=2),$B848&lt;&gt;"",$C848&lt;&gt;"",$D848&lt;&gt;""),1,0))</f>
        <v/>
      </c>
      <c r="BN848" s="52" t="str">
        <f aca="false">IF(OR(COUNT(G848:I1847)=0,AND('Choix pédagogiques'!$C$3&lt;&gt;1,'Choix pédagogiques'!$C$3&lt;&gt;2)),"",IF(AND(OR('Choix pédagogiques'!$C$3=1,'Choix pédagogiques'!$C$3=2),AND($G848&lt;&gt;"",$H848&lt;&gt;"",$I848&lt;&gt;"")),1,0))</f>
        <v/>
      </c>
      <c r="BO848" s="52" t="str">
        <f aca="false">IF(OR(COUNT(B848:D1847)=0,COUNT(G848:I1847)=0,'Choix pédagogiques'!C$3&lt;&gt;3),"",IF(AND('Choix pédagogiques'!$C$3=3,$B848&lt;&gt;"",$C848&lt;&gt;"",$D848&lt;&gt;"",$G848&lt;&gt;"",$H848&lt;&gt;"",$I848&lt;&gt;""),1,0))</f>
        <v/>
      </c>
      <c r="BR848" s="52" t="n">
        <v>121</v>
      </c>
      <c r="BS848" s="52" t="n">
        <v>1897</v>
      </c>
    </row>
    <row r="849" s="54" customFormat="true" ht="18" hidden="false" customHeight="true" outlineLevel="0" collapsed="false">
      <c r="A849" s="57" t="s">
        <v>1629</v>
      </c>
      <c r="B849" s="51"/>
      <c r="C849" s="51"/>
      <c r="D849" s="51"/>
      <c r="E849" s="51"/>
      <c r="F849" s="57" t="s">
        <v>1630</v>
      </c>
      <c r="G849" s="51"/>
      <c r="H849" s="51"/>
      <c r="I849" s="51"/>
      <c r="J849" s="51"/>
      <c r="K849" s="52" t="str">
        <f aca="false">IF($A849&lt;&gt;"",$A849,"")</f>
        <v>Apprenant 837</v>
      </c>
      <c r="L849" s="53" t="str">
        <f aca="false">IF(AND($B849&lt;&gt;"",$C849&lt;&gt;""),$C849-$B849,"")</f>
        <v/>
      </c>
      <c r="M849" s="53" t="str">
        <f aca="false">IF(AND($B849&lt;&gt;"",$D849&lt;&gt;""),$D849-$B849,"")</f>
        <v/>
      </c>
      <c r="N849" s="53" t="str">
        <f aca="false">IF(AND($C849&lt;&gt;"",$D849&lt;&gt;""),$D849-$C849,"")</f>
        <v/>
      </c>
      <c r="O849" s="53" t="str">
        <f aca="false">IF($E849&lt;&gt;"",$E849,"")</f>
        <v/>
      </c>
      <c r="P849" s="52" t="str">
        <f aca="false">IF($F849&lt;&gt;"",$F849,"")</f>
        <v>Apprenant 837 ou 837'</v>
      </c>
      <c r="Q849" s="53" t="str">
        <f aca="false">IF(AND($G849&lt;&gt;"",$H849&lt;&gt;""),$H849-$G849,"")</f>
        <v/>
      </c>
      <c r="R849" s="53" t="str">
        <f aca="false">IF(AND($G849&lt;&gt;"",$I849&lt;&gt;""),$I849-$G849,"")</f>
        <v/>
      </c>
      <c r="S849" s="53" t="str">
        <f aca="false">IF(AND($H849&lt;&gt;"",$I849&lt;&gt;""),$I849-$H849,"")</f>
        <v/>
      </c>
      <c r="T849" s="53" t="str">
        <f aca="false">IF($J849&lt;&gt;"",$J849,"")</f>
        <v/>
      </c>
      <c r="V849" s="52" t="str">
        <f aca="false">IF($A849&lt;&gt;"",$A849,"")</f>
        <v>Apprenant 837</v>
      </c>
      <c r="W849" s="53" t="str">
        <f aca="false">IF(AND(OR('Choix pédagogiques'!$C$3=1,'Choix pédagogiques'!$C$3=2),$BM849=1),B849,IF(AND('Choix pédagogiques'!$C$3=3,$BO849=1),B849,""))</f>
        <v/>
      </c>
      <c r="X849" s="53" t="str">
        <f aca="false">IF(AND(OR('Choix pédagogiques'!$C$3=1,'Choix pédagogiques'!$C$3=2),$BM849=1),C849,IF(AND('Choix pédagogiques'!$C$3=3,$BO849=1),C849,""))</f>
        <v/>
      </c>
      <c r="Y849" s="53" t="str">
        <f aca="false">IF(AND(OR('Choix pédagogiques'!$C$3=1,'Choix pédagogiques'!$C$3=2),$BM849=1),D849,IF(AND('Choix pédagogiques'!$C$3=3,$BO849=1),D849,""))</f>
        <v/>
      </c>
      <c r="Z849" s="53" t="str">
        <f aca="false">IF($E849&lt;&gt;"",$E849,"")</f>
        <v/>
      </c>
      <c r="AA849" s="52" t="str">
        <f aca="false">IF($F849&lt;&gt;"",$F849,"")</f>
        <v>Apprenant 837 ou 837'</v>
      </c>
      <c r="AB849" s="53" t="str">
        <f aca="false">IF(AND(OR('Choix pédagogiques'!$C$3=1,'Choix pédagogiques'!$C$3=2),$BN849=1),G849,IF(AND('Choix pédagogiques'!$C$3=3,$BO849=1),G849,""))</f>
        <v/>
      </c>
      <c r="AC849" s="53" t="str">
        <f aca="false">IF(AND(OR('Choix pédagogiques'!$C$3=1,'Choix pédagogiques'!$C$3=2),$BN849=1),H849,IF(AND('Choix pédagogiques'!$C$3=3,$BO849=1),H849,""))</f>
        <v/>
      </c>
      <c r="AD849" s="53" t="str">
        <f aca="false">IF(AND(OR('Choix pédagogiques'!$C$3=1,'Choix pédagogiques'!$C$3=2),$BN849=1),I849,IF(AND('Choix pédagogiques'!$C$3=3,$BO849=1),I849,""))</f>
        <v/>
      </c>
      <c r="AE849" s="53" t="str">
        <f aca="false">IF($J849&lt;&gt;"",$J849,"")</f>
        <v/>
      </c>
      <c r="AF849" s="52" t="str">
        <f aca="false">IF($A849&lt;&gt;"",$A849,"")</f>
        <v>Apprenant 837</v>
      </c>
      <c r="AG849" s="53" t="str">
        <f aca="false">IF(AND($W849&lt;&gt;"",$X849&lt;&gt;""),$X849-$W849,"")</f>
        <v/>
      </c>
      <c r="AH849" s="53" t="str">
        <f aca="false">IF(AND($W849&lt;&gt;"",$Y849&lt;&gt;""),$Y849-$W849,"")</f>
        <v/>
      </c>
      <c r="AI849" s="53" t="str">
        <f aca="false">IF(AND($X849&lt;&gt;"",$Y849&lt;&gt;""),$Y849-$X849,"")</f>
        <v/>
      </c>
      <c r="AJ849" s="53" t="str">
        <f aca="false">IF($E849&lt;&gt;"",$E849,"")</f>
        <v/>
      </c>
      <c r="AK849" s="52" t="str">
        <f aca="false">IF($F849&lt;&gt;"",$F849,"")</f>
        <v>Apprenant 837 ou 837'</v>
      </c>
      <c r="AL849" s="53" t="str">
        <f aca="false">IF(AND($AB849&lt;&gt;"",$AC849&lt;&gt;""),$AC849-$AB849,"")</f>
        <v/>
      </c>
      <c r="AM849" s="53" t="str">
        <f aca="false">IF(AND($AB849&lt;&gt;"",$AD849&lt;&gt;""),$AD849-$AB849,"")</f>
        <v/>
      </c>
      <c r="AN849" s="53" t="str">
        <f aca="false">IF(AND($AC849&lt;&gt;"",$AD849&lt;&gt;""),$AD849-$AC849,"")</f>
        <v/>
      </c>
      <c r="AO849" s="53" t="str">
        <f aca="false">IF($J849&lt;&gt;"",$J849,"")</f>
        <v/>
      </c>
      <c r="AQ849" s="52" t="str">
        <f aca="false">IF($A849&lt;&gt;"",$A849,"")</f>
        <v>Apprenant 837</v>
      </c>
      <c r="AR849" s="55" t="str">
        <f aca="false">IF(AND('Choix pédagogiques'!$C$4&lt;&gt;"?",'Choix pédagogiques'!$C$5&lt;&gt;"?",W849&lt;&gt;""),(W849-'Choix pédagogiques'!$C$4)/('Choix pédagogiques'!$C$5-'Choix pédagogiques'!$C$4),"")</f>
        <v/>
      </c>
      <c r="AS849" s="55" t="str">
        <f aca="false">IF(AND('Choix pédagogiques'!$C$4&lt;&gt;"?",'Choix pédagogiques'!$C$5&lt;&gt;"?",X849&lt;&gt;""),(X849-'Choix pédagogiques'!$C$4)/('Choix pédagogiques'!$C$5-'Choix pédagogiques'!$C$4),"")</f>
        <v/>
      </c>
      <c r="AT849" s="55" t="str">
        <f aca="false">IF(AND('Choix pédagogiques'!$C$4&lt;&gt;"?",'Choix pédagogiques'!$C$5&lt;&gt;"?",Y849&lt;&gt;""),(Y849-'Choix pédagogiques'!$C$4)/('Choix pédagogiques'!$C$5-'Choix pédagogiques'!$C$4),"")</f>
        <v/>
      </c>
      <c r="AU849" s="53" t="str">
        <f aca="false">IF($E849&lt;&gt;"",$E849,"")</f>
        <v/>
      </c>
      <c r="AV849" s="52" t="str">
        <f aca="false">IF($F849&lt;&gt;"",$F849,"")</f>
        <v>Apprenant 837 ou 837'</v>
      </c>
      <c r="AW849" s="55" t="str">
        <f aca="false">IF(AND('Choix pédagogiques'!$C$4&lt;&gt;"?",'Choix pédagogiques'!$C$5&lt;&gt;"?",AB849&lt;&gt;""),(AB849-'Choix pédagogiques'!$C$4)/('Choix pédagogiques'!$C$5-'Choix pédagogiques'!$C$4),"")</f>
        <v/>
      </c>
      <c r="AX849" s="55" t="str">
        <f aca="false">IF(AND('Choix pédagogiques'!$C$4&lt;&gt;"?",'Choix pédagogiques'!$C$5&lt;&gt;"?",AC849&lt;&gt;""),(AC849-'Choix pédagogiques'!$C$4)/('Choix pédagogiques'!$C$5-'Choix pédagogiques'!$C$4),"")</f>
        <v/>
      </c>
      <c r="AY849" s="55" t="str">
        <f aca="false">IF(AND('Choix pédagogiques'!$C$4&lt;&gt;"?",'Choix pédagogiques'!$C$5&lt;&gt;"?",AD849&lt;&gt;""),(AD849-'Choix pédagogiques'!$C$4)/('Choix pédagogiques'!$C$5-'Choix pédagogiques'!$C$4),"")</f>
        <v/>
      </c>
      <c r="AZ849" s="53" t="str">
        <f aca="false">IF($J849&lt;&gt;"",$J849,"")</f>
        <v/>
      </c>
      <c r="BA849" s="52" t="str">
        <f aca="false">IF($A849&lt;&gt;"",$A849,"")</f>
        <v>Apprenant 837</v>
      </c>
      <c r="BB849" s="55" t="str">
        <f aca="false">IF(AND($AR849&lt;&gt;"",$AS849&lt;&gt;""),$AS849-$AR849,"")</f>
        <v/>
      </c>
      <c r="BC849" s="55" t="str">
        <f aca="false">IF(AND($AR849&lt;&gt;"",$AT849&lt;&gt;""),$AT849-$AR849,"")</f>
        <v/>
      </c>
      <c r="BD849" s="55" t="str">
        <f aca="false">IF(AND($AS849&lt;&gt;"",$AT849&lt;&gt;""),$AT849-$AS849,"")</f>
        <v/>
      </c>
      <c r="BE849" s="53" t="str">
        <f aca="false">IF($E849&lt;&gt;"",$E849,"")</f>
        <v/>
      </c>
      <c r="BF849" s="52" t="str">
        <f aca="false">IF($F849&lt;&gt;"",$F849,"")</f>
        <v>Apprenant 837 ou 837'</v>
      </c>
      <c r="BG849" s="55" t="str">
        <f aca="false">IF(AND($AW849&lt;&gt;"",$AX849&lt;&gt;""),$AX849-$AW849,"")</f>
        <v/>
      </c>
      <c r="BH849" s="55" t="str">
        <f aca="false">IF(AND($AW849&lt;&gt;"",$AY849&lt;&gt;""),$AY849-$AW849,"")</f>
        <v/>
      </c>
      <c r="BI849" s="55" t="str">
        <f aca="false">IF(AND($AX849&lt;&gt;"",$AY849&lt;&gt;""),$AY849-$AX849,"")</f>
        <v/>
      </c>
      <c r="BJ849" s="53" t="str">
        <f aca="false">IF($J849&lt;&gt;"",$J849,"")</f>
        <v/>
      </c>
      <c r="BL849" s="52"/>
      <c r="BM849" s="52" t="str">
        <f aca="false">IF(OR(COUNT(B849:D1848)=0,AND('Choix pédagogiques'!$C$3&lt;&gt;1,'Choix pédagogiques'!$C$3&lt;&gt;2)),"",IF(AND(OR('Choix pédagogiques'!$C$3=1,'Choix pédagogiques'!$C$3=2),$B849&lt;&gt;"",$C849&lt;&gt;"",$D849&lt;&gt;""),1,0))</f>
        <v/>
      </c>
      <c r="BN849" s="52" t="str">
        <f aca="false">IF(OR(COUNT(G849:I1848)=0,AND('Choix pédagogiques'!$C$3&lt;&gt;1,'Choix pédagogiques'!$C$3&lt;&gt;2)),"",IF(AND(OR('Choix pédagogiques'!$C$3=1,'Choix pédagogiques'!$C$3=2),AND($G849&lt;&gt;"",$H849&lt;&gt;"",$I849&lt;&gt;"")),1,0))</f>
        <v/>
      </c>
      <c r="BO849" s="52" t="str">
        <f aca="false">IF(OR(COUNT(B849:D1848)=0,COUNT(G849:I1848)=0,'Choix pédagogiques'!C$3&lt;&gt;3),"",IF(AND('Choix pédagogiques'!$C$3=3,$B849&lt;&gt;"",$C849&lt;&gt;"",$D849&lt;&gt;"",$G849&lt;&gt;"",$H849&lt;&gt;"",$I849&lt;&gt;""),1,0))</f>
        <v/>
      </c>
      <c r="BR849" s="52" t="n">
        <v>208</v>
      </c>
      <c r="BS849" s="52" t="n">
        <v>1323</v>
      </c>
    </row>
    <row r="850" s="54" customFormat="true" ht="18" hidden="false" customHeight="true" outlineLevel="0" collapsed="false">
      <c r="A850" s="57" t="s">
        <v>1631</v>
      </c>
      <c r="B850" s="51"/>
      <c r="C850" s="51"/>
      <c r="D850" s="51"/>
      <c r="E850" s="51"/>
      <c r="F850" s="57" t="s">
        <v>1632</v>
      </c>
      <c r="G850" s="51"/>
      <c r="H850" s="51"/>
      <c r="I850" s="51"/>
      <c r="J850" s="51"/>
      <c r="K850" s="52" t="str">
        <f aca="false">IF($A850&lt;&gt;"",$A850,"")</f>
        <v>Apprenant 838</v>
      </c>
      <c r="L850" s="53" t="str">
        <f aca="false">IF(AND($B850&lt;&gt;"",$C850&lt;&gt;""),$C850-$B850,"")</f>
        <v/>
      </c>
      <c r="M850" s="53" t="str">
        <f aca="false">IF(AND($B850&lt;&gt;"",$D850&lt;&gt;""),$D850-$B850,"")</f>
        <v/>
      </c>
      <c r="N850" s="53" t="str">
        <f aca="false">IF(AND($C850&lt;&gt;"",$D850&lt;&gt;""),$D850-$C850,"")</f>
        <v/>
      </c>
      <c r="O850" s="53" t="str">
        <f aca="false">IF($E850&lt;&gt;"",$E850,"")</f>
        <v/>
      </c>
      <c r="P850" s="52" t="str">
        <f aca="false">IF($F850&lt;&gt;"",$F850,"")</f>
        <v>Apprenant 838 ou 838'</v>
      </c>
      <c r="Q850" s="53" t="str">
        <f aca="false">IF(AND($G850&lt;&gt;"",$H850&lt;&gt;""),$H850-$G850,"")</f>
        <v/>
      </c>
      <c r="R850" s="53" t="str">
        <f aca="false">IF(AND($G850&lt;&gt;"",$I850&lt;&gt;""),$I850-$G850,"")</f>
        <v/>
      </c>
      <c r="S850" s="53" t="str">
        <f aca="false">IF(AND($H850&lt;&gt;"",$I850&lt;&gt;""),$I850-$H850,"")</f>
        <v/>
      </c>
      <c r="T850" s="53" t="str">
        <f aca="false">IF($J850&lt;&gt;"",$J850,"")</f>
        <v/>
      </c>
      <c r="V850" s="52" t="str">
        <f aca="false">IF($A850&lt;&gt;"",$A850,"")</f>
        <v>Apprenant 838</v>
      </c>
      <c r="W850" s="53" t="str">
        <f aca="false">IF(AND(OR('Choix pédagogiques'!$C$3=1,'Choix pédagogiques'!$C$3=2),$BM850=1),B850,IF(AND('Choix pédagogiques'!$C$3=3,$BO850=1),B850,""))</f>
        <v/>
      </c>
      <c r="X850" s="53" t="str">
        <f aca="false">IF(AND(OR('Choix pédagogiques'!$C$3=1,'Choix pédagogiques'!$C$3=2),$BM850=1),C850,IF(AND('Choix pédagogiques'!$C$3=3,$BO850=1),C850,""))</f>
        <v/>
      </c>
      <c r="Y850" s="53" t="str">
        <f aca="false">IF(AND(OR('Choix pédagogiques'!$C$3=1,'Choix pédagogiques'!$C$3=2),$BM850=1),D850,IF(AND('Choix pédagogiques'!$C$3=3,$BO850=1),D850,""))</f>
        <v/>
      </c>
      <c r="Z850" s="53" t="str">
        <f aca="false">IF($E850&lt;&gt;"",$E850,"")</f>
        <v/>
      </c>
      <c r="AA850" s="52" t="str">
        <f aca="false">IF($F850&lt;&gt;"",$F850,"")</f>
        <v>Apprenant 838 ou 838'</v>
      </c>
      <c r="AB850" s="53" t="str">
        <f aca="false">IF(AND(OR('Choix pédagogiques'!$C$3=1,'Choix pédagogiques'!$C$3=2),$BN850=1),G850,IF(AND('Choix pédagogiques'!$C$3=3,$BO850=1),G850,""))</f>
        <v/>
      </c>
      <c r="AC850" s="53" t="str">
        <f aca="false">IF(AND(OR('Choix pédagogiques'!$C$3=1,'Choix pédagogiques'!$C$3=2),$BN850=1),H850,IF(AND('Choix pédagogiques'!$C$3=3,$BO850=1),H850,""))</f>
        <v/>
      </c>
      <c r="AD850" s="53" t="str">
        <f aca="false">IF(AND(OR('Choix pédagogiques'!$C$3=1,'Choix pédagogiques'!$C$3=2),$BN850=1),I850,IF(AND('Choix pédagogiques'!$C$3=3,$BO850=1),I850,""))</f>
        <v/>
      </c>
      <c r="AE850" s="53" t="str">
        <f aca="false">IF($J850&lt;&gt;"",$J850,"")</f>
        <v/>
      </c>
      <c r="AF850" s="52" t="str">
        <f aca="false">IF($A850&lt;&gt;"",$A850,"")</f>
        <v>Apprenant 838</v>
      </c>
      <c r="AG850" s="53" t="str">
        <f aca="false">IF(AND($W850&lt;&gt;"",$X850&lt;&gt;""),$X850-$W850,"")</f>
        <v/>
      </c>
      <c r="AH850" s="53" t="str">
        <f aca="false">IF(AND($W850&lt;&gt;"",$Y850&lt;&gt;""),$Y850-$W850,"")</f>
        <v/>
      </c>
      <c r="AI850" s="53" t="str">
        <f aca="false">IF(AND($X850&lt;&gt;"",$Y850&lt;&gt;""),$Y850-$X850,"")</f>
        <v/>
      </c>
      <c r="AJ850" s="53" t="str">
        <f aca="false">IF($E850&lt;&gt;"",$E850,"")</f>
        <v/>
      </c>
      <c r="AK850" s="52" t="str">
        <f aca="false">IF($F850&lt;&gt;"",$F850,"")</f>
        <v>Apprenant 838 ou 838'</v>
      </c>
      <c r="AL850" s="53" t="str">
        <f aca="false">IF(AND($AB850&lt;&gt;"",$AC850&lt;&gt;""),$AC850-$AB850,"")</f>
        <v/>
      </c>
      <c r="AM850" s="53" t="str">
        <f aca="false">IF(AND($AB850&lt;&gt;"",$AD850&lt;&gt;""),$AD850-$AB850,"")</f>
        <v/>
      </c>
      <c r="AN850" s="53" t="str">
        <f aca="false">IF(AND($AC850&lt;&gt;"",$AD850&lt;&gt;""),$AD850-$AC850,"")</f>
        <v/>
      </c>
      <c r="AO850" s="53" t="str">
        <f aca="false">IF($J850&lt;&gt;"",$J850,"")</f>
        <v/>
      </c>
      <c r="AQ850" s="52" t="str">
        <f aca="false">IF($A850&lt;&gt;"",$A850,"")</f>
        <v>Apprenant 838</v>
      </c>
      <c r="AR850" s="55" t="str">
        <f aca="false">IF(AND('Choix pédagogiques'!$C$4&lt;&gt;"?",'Choix pédagogiques'!$C$5&lt;&gt;"?",W850&lt;&gt;""),(W850-'Choix pédagogiques'!$C$4)/('Choix pédagogiques'!$C$5-'Choix pédagogiques'!$C$4),"")</f>
        <v/>
      </c>
      <c r="AS850" s="55" t="str">
        <f aca="false">IF(AND('Choix pédagogiques'!$C$4&lt;&gt;"?",'Choix pédagogiques'!$C$5&lt;&gt;"?",X850&lt;&gt;""),(X850-'Choix pédagogiques'!$C$4)/('Choix pédagogiques'!$C$5-'Choix pédagogiques'!$C$4),"")</f>
        <v/>
      </c>
      <c r="AT850" s="55" t="str">
        <f aca="false">IF(AND('Choix pédagogiques'!$C$4&lt;&gt;"?",'Choix pédagogiques'!$C$5&lt;&gt;"?",Y850&lt;&gt;""),(Y850-'Choix pédagogiques'!$C$4)/('Choix pédagogiques'!$C$5-'Choix pédagogiques'!$C$4),"")</f>
        <v/>
      </c>
      <c r="AU850" s="53" t="str">
        <f aca="false">IF($E850&lt;&gt;"",$E850,"")</f>
        <v/>
      </c>
      <c r="AV850" s="52" t="str">
        <f aca="false">IF($F850&lt;&gt;"",$F850,"")</f>
        <v>Apprenant 838 ou 838'</v>
      </c>
      <c r="AW850" s="55" t="str">
        <f aca="false">IF(AND('Choix pédagogiques'!$C$4&lt;&gt;"?",'Choix pédagogiques'!$C$5&lt;&gt;"?",AB850&lt;&gt;""),(AB850-'Choix pédagogiques'!$C$4)/('Choix pédagogiques'!$C$5-'Choix pédagogiques'!$C$4),"")</f>
        <v/>
      </c>
      <c r="AX850" s="55" t="str">
        <f aca="false">IF(AND('Choix pédagogiques'!$C$4&lt;&gt;"?",'Choix pédagogiques'!$C$5&lt;&gt;"?",AC850&lt;&gt;""),(AC850-'Choix pédagogiques'!$C$4)/('Choix pédagogiques'!$C$5-'Choix pédagogiques'!$C$4),"")</f>
        <v/>
      </c>
      <c r="AY850" s="55" t="str">
        <f aca="false">IF(AND('Choix pédagogiques'!$C$4&lt;&gt;"?",'Choix pédagogiques'!$C$5&lt;&gt;"?",AD850&lt;&gt;""),(AD850-'Choix pédagogiques'!$C$4)/('Choix pédagogiques'!$C$5-'Choix pédagogiques'!$C$4),"")</f>
        <v/>
      </c>
      <c r="AZ850" s="53" t="str">
        <f aca="false">IF($J850&lt;&gt;"",$J850,"")</f>
        <v/>
      </c>
      <c r="BA850" s="52" t="str">
        <f aca="false">IF($A850&lt;&gt;"",$A850,"")</f>
        <v>Apprenant 838</v>
      </c>
      <c r="BB850" s="55" t="str">
        <f aca="false">IF(AND($AR850&lt;&gt;"",$AS850&lt;&gt;""),$AS850-$AR850,"")</f>
        <v/>
      </c>
      <c r="BC850" s="55" t="str">
        <f aca="false">IF(AND($AR850&lt;&gt;"",$AT850&lt;&gt;""),$AT850-$AR850,"")</f>
        <v/>
      </c>
      <c r="BD850" s="55" t="str">
        <f aca="false">IF(AND($AS850&lt;&gt;"",$AT850&lt;&gt;""),$AT850-$AS850,"")</f>
        <v/>
      </c>
      <c r="BE850" s="53" t="str">
        <f aca="false">IF($E850&lt;&gt;"",$E850,"")</f>
        <v/>
      </c>
      <c r="BF850" s="52" t="str">
        <f aca="false">IF($F850&lt;&gt;"",$F850,"")</f>
        <v>Apprenant 838 ou 838'</v>
      </c>
      <c r="BG850" s="55" t="str">
        <f aca="false">IF(AND($AW850&lt;&gt;"",$AX850&lt;&gt;""),$AX850-$AW850,"")</f>
        <v/>
      </c>
      <c r="BH850" s="55" t="str">
        <f aca="false">IF(AND($AW850&lt;&gt;"",$AY850&lt;&gt;""),$AY850-$AW850,"")</f>
        <v/>
      </c>
      <c r="BI850" s="55" t="str">
        <f aca="false">IF(AND($AX850&lt;&gt;"",$AY850&lt;&gt;""),$AY850-$AX850,"")</f>
        <v/>
      </c>
      <c r="BJ850" s="53" t="str">
        <f aca="false">IF($J850&lt;&gt;"",$J850,"")</f>
        <v/>
      </c>
      <c r="BL850" s="52"/>
      <c r="BM850" s="52" t="str">
        <f aca="false">IF(OR(COUNT(B850:D1849)=0,AND('Choix pédagogiques'!$C$3&lt;&gt;1,'Choix pédagogiques'!$C$3&lt;&gt;2)),"",IF(AND(OR('Choix pédagogiques'!$C$3=1,'Choix pédagogiques'!$C$3=2),$B850&lt;&gt;"",$C850&lt;&gt;"",$D850&lt;&gt;""),1,0))</f>
        <v/>
      </c>
      <c r="BN850" s="52" t="str">
        <f aca="false">IF(OR(COUNT(G850:I1849)=0,AND('Choix pédagogiques'!$C$3&lt;&gt;1,'Choix pédagogiques'!$C$3&lt;&gt;2)),"",IF(AND(OR('Choix pédagogiques'!$C$3=1,'Choix pédagogiques'!$C$3=2),AND($G850&lt;&gt;"",$H850&lt;&gt;"",$I850&lt;&gt;"")),1,0))</f>
        <v/>
      </c>
      <c r="BO850" s="52" t="str">
        <f aca="false">IF(OR(COUNT(B850:D1849)=0,COUNT(G850:I1849)=0,'Choix pédagogiques'!C$3&lt;&gt;3),"",IF(AND('Choix pédagogiques'!$C$3=3,$B850&lt;&gt;"",$C850&lt;&gt;"",$D850&lt;&gt;"",$G850&lt;&gt;"",$H850&lt;&gt;"",$I850&lt;&gt;""),1,0))</f>
        <v/>
      </c>
      <c r="BR850" s="52" t="n">
        <v>921</v>
      </c>
      <c r="BS850" s="52" t="n">
        <v>1577</v>
      </c>
    </row>
    <row r="851" s="54" customFormat="true" ht="18" hidden="false" customHeight="true" outlineLevel="0" collapsed="false">
      <c r="A851" s="57" t="s">
        <v>1633</v>
      </c>
      <c r="B851" s="51"/>
      <c r="C851" s="51"/>
      <c r="D851" s="51"/>
      <c r="E851" s="51"/>
      <c r="F851" s="57" t="s">
        <v>1634</v>
      </c>
      <c r="G851" s="51"/>
      <c r="H851" s="51"/>
      <c r="I851" s="51"/>
      <c r="J851" s="51"/>
      <c r="K851" s="52" t="str">
        <f aca="false">IF($A851&lt;&gt;"",$A851,"")</f>
        <v>Apprenant 839</v>
      </c>
      <c r="L851" s="53" t="str">
        <f aca="false">IF(AND($B851&lt;&gt;"",$C851&lt;&gt;""),$C851-$B851,"")</f>
        <v/>
      </c>
      <c r="M851" s="53" t="str">
        <f aca="false">IF(AND($B851&lt;&gt;"",$D851&lt;&gt;""),$D851-$B851,"")</f>
        <v/>
      </c>
      <c r="N851" s="53" t="str">
        <f aca="false">IF(AND($C851&lt;&gt;"",$D851&lt;&gt;""),$D851-$C851,"")</f>
        <v/>
      </c>
      <c r="O851" s="53" t="str">
        <f aca="false">IF($E851&lt;&gt;"",$E851,"")</f>
        <v/>
      </c>
      <c r="P851" s="52" t="str">
        <f aca="false">IF($F851&lt;&gt;"",$F851,"")</f>
        <v>Apprenant 839 ou 839'</v>
      </c>
      <c r="Q851" s="53" t="str">
        <f aca="false">IF(AND($G851&lt;&gt;"",$H851&lt;&gt;""),$H851-$G851,"")</f>
        <v/>
      </c>
      <c r="R851" s="53" t="str">
        <f aca="false">IF(AND($G851&lt;&gt;"",$I851&lt;&gt;""),$I851-$G851,"")</f>
        <v/>
      </c>
      <c r="S851" s="53" t="str">
        <f aca="false">IF(AND($H851&lt;&gt;"",$I851&lt;&gt;""),$I851-$H851,"")</f>
        <v/>
      </c>
      <c r="T851" s="53" t="str">
        <f aca="false">IF($J851&lt;&gt;"",$J851,"")</f>
        <v/>
      </c>
      <c r="V851" s="52" t="str">
        <f aca="false">IF($A851&lt;&gt;"",$A851,"")</f>
        <v>Apprenant 839</v>
      </c>
      <c r="W851" s="53" t="str">
        <f aca="false">IF(AND(OR('Choix pédagogiques'!$C$3=1,'Choix pédagogiques'!$C$3=2),$BM851=1),B851,IF(AND('Choix pédagogiques'!$C$3=3,$BO851=1),B851,""))</f>
        <v/>
      </c>
      <c r="X851" s="53" t="str">
        <f aca="false">IF(AND(OR('Choix pédagogiques'!$C$3=1,'Choix pédagogiques'!$C$3=2),$BM851=1),C851,IF(AND('Choix pédagogiques'!$C$3=3,$BO851=1),C851,""))</f>
        <v/>
      </c>
      <c r="Y851" s="53" t="str">
        <f aca="false">IF(AND(OR('Choix pédagogiques'!$C$3=1,'Choix pédagogiques'!$C$3=2),$BM851=1),D851,IF(AND('Choix pédagogiques'!$C$3=3,$BO851=1),D851,""))</f>
        <v/>
      </c>
      <c r="Z851" s="53" t="str">
        <f aca="false">IF($E851&lt;&gt;"",$E851,"")</f>
        <v/>
      </c>
      <c r="AA851" s="52" t="str">
        <f aca="false">IF($F851&lt;&gt;"",$F851,"")</f>
        <v>Apprenant 839 ou 839'</v>
      </c>
      <c r="AB851" s="53" t="str">
        <f aca="false">IF(AND(OR('Choix pédagogiques'!$C$3=1,'Choix pédagogiques'!$C$3=2),$BN851=1),G851,IF(AND('Choix pédagogiques'!$C$3=3,$BO851=1),G851,""))</f>
        <v/>
      </c>
      <c r="AC851" s="53" t="str">
        <f aca="false">IF(AND(OR('Choix pédagogiques'!$C$3=1,'Choix pédagogiques'!$C$3=2),$BN851=1),H851,IF(AND('Choix pédagogiques'!$C$3=3,$BO851=1),H851,""))</f>
        <v/>
      </c>
      <c r="AD851" s="53" t="str">
        <f aca="false">IF(AND(OR('Choix pédagogiques'!$C$3=1,'Choix pédagogiques'!$C$3=2),$BN851=1),I851,IF(AND('Choix pédagogiques'!$C$3=3,$BO851=1),I851,""))</f>
        <v/>
      </c>
      <c r="AE851" s="53" t="str">
        <f aca="false">IF($J851&lt;&gt;"",$J851,"")</f>
        <v/>
      </c>
      <c r="AF851" s="52" t="str">
        <f aca="false">IF($A851&lt;&gt;"",$A851,"")</f>
        <v>Apprenant 839</v>
      </c>
      <c r="AG851" s="53" t="str">
        <f aca="false">IF(AND($W851&lt;&gt;"",$X851&lt;&gt;""),$X851-$W851,"")</f>
        <v/>
      </c>
      <c r="AH851" s="53" t="str">
        <f aca="false">IF(AND($W851&lt;&gt;"",$Y851&lt;&gt;""),$Y851-$W851,"")</f>
        <v/>
      </c>
      <c r="AI851" s="53" t="str">
        <f aca="false">IF(AND($X851&lt;&gt;"",$Y851&lt;&gt;""),$Y851-$X851,"")</f>
        <v/>
      </c>
      <c r="AJ851" s="53" t="str">
        <f aca="false">IF($E851&lt;&gt;"",$E851,"")</f>
        <v/>
      </c>
      <c r="AK851" s="52" t="str">
        <f aca="false">IF($F851&lt;&gt;"",$F851,"")</f>
        <v>Apprenant 839 ou 839'</v>
      </c>
      <c r="AL851" s="53" t="str">
        <f aca="false">IF(AND($AB851&lt;&gt;"",$AC851&lt;&gt;""),$AC851-$AB851,"")</f>
        <v/>
      </c>
      <c r="AM851" s="53" t="str">
        <f aca="false">IF(AND($AB851&lt;&gt;"",$AD851&lt;&gt;""),$AD851-$AB851,"")</f>
        <v/>
      </c>
      <c r="AN851" s="53" t="str">
        <f aca="false">IF(AND($AC851&lt;&gt;"",$AD851&lt;&gt;""),$AD851-$AC851,"")</f>
        <v/>
      </c>
      <c r="AO851" s="53" t="str">
        <f aca="false">IF($J851&lt;&gt;"",$J851,"")</f>
        <v/>
      </c>
      <c r="AQ851" s="52" t="str">
        <f aca="false">IF($A851&lt;&gt;"",$A851,"")</f>
        <v>Apprenant 839</v>
      </c>
      <c r="AR851" s="55" t="str">
        <f aca="false">IF(AND('Choix pédagogiques'!$C$4&lt;&gt;"?",'Choix pédagogiques'!$C$5&lt;&gt;"?",W851&lt;&gt;""),(W851-'Choix pédagogiques'!$C$4)/('Choix pédagogiques'!$C$5-'Choix pédagogiques'!$C$4),"")</f>
        <v/>
      </c>
      <c r="AS851" s="55" t="str">
        <f aca="false">IF(AND('Choix pédagogiques'!$C$4&lt;&gt;"?",'Choix pédagogiques'!$C$5&lt;&gt;"?",X851&lt;&gt;""),(X851-'Choix pédagogiques'!$C$4)/('Choix pédagogiques'!$C$5-'Choix pédagogiques'!$C$4),"")</f>
        <v/>
      </c>
      <c r="AT851" s="55" t="str">
        <f aca="false">IF(AND('Choix pédagogiques'!$C$4&lt;&gt;"?",'Choix pédagogiques'!$C$5&lt;&gt;"?",Y851&lt;&gt;""),(Y851-'Choix pédagogiques'!$C$4)/('Choix pédagogiques'!$C$5-'Choix pédagogiques'!$C$4),"")</f>
        <v/>
      </c>
      <c r="AU851" s="53" t="str">
        <f aca="false">IF($E851&lt;&gt;"",$E851,"")</f>
        <v/>
      </c>
      <c r="AV851" s="52" t="str">
        <f aca="false">IF($F851&lt;&gt;"",$F851,"")</f>
        <v>Apprenant 839 ou 839'</v>
      </c>
      <c r="AW851" s="55" t="str">
        <f aca="false">IF(AND('Choix pédagogiques'!$C$4&lt;&gt;"?",'Choix pédagogiques'!$C$5&lt;&gt;"?",AB851&lt;&gt;""),(AB851-'Choix pédagogiques'!$C$4)/('Choix pédagogiques'!$C$5-'Choix pédagogiques'!$C$4),"")</f>
        <v/>
      </c>
      <c r="AX851" s="55" t="str">
        <f aca="false">IF(AND('Choix pédagogiques'!$C$4&lt;&gt;"?",'Choix pédagogiques'!$C$5&lt;&gt;"?",AC851&lt;&gt;""),(AC851-'Choix pédagogiques'!$C$4)/('Choix pédagogiques'!$C$5-'Choix pédagogiques'!$C$4),"")</f>
        <v/>
      </c>
      <c r="AY851" s="55" t="str">
        <f aca="false">IF(AND('Choix pédagogiques'!$C$4&lt;&gt;"?",'Choix pédagogiques'!$C$5&lt;&gt;"?",AD851&lt;&gt;""),(AD851-'Choix pédagogiques'!$C$4)/('Choix pédagogiques'!$C$5-'Choix pédagogiques'!$C$4),"")</f>
        <v/>
      </c>
      <c r="AZ851" s="53" t="str">
        <f aca="false">IF($J851&lt;&gt;"",$J851,"")</f>
        <v/>
      </c>
      <c r="BA851" s="52" t="str">
        <f aca="false">IF($A851&lt;&gt;"",$A851,"")</f>
        <v>Apprenant 839</v>
      </c>
      <c r="BB851" s="55" t="str">
        <f aca="false">IF(AND($AR851&lt;&gt;"",$AS851&lt;&gt;""),$AS851-$AR851,"")</f>
        <v/>
      </c>
      <c r="BC851" s="55" t="str">
        <f aca="false">IF(AND($AR851&lt;&gt;"",$AT851&lt;&gt;""),$AT851-$AR851,"")</f>
        <v/>
      </c>
      <c r="BD851" s="55" t="str">
        <f aca="false">IF(AND($AS851&lt;&gt;"",$AT851&lt;&gt;""),$AT851-$AS851,"")</f>
        <v/>
      </c>
      <c r="BE851" s="53" t="str">
        <f aca="false">IF($E851&lt;&gt;"",$E851,"")</f>
        <v/>
      </c>
      <c r="BF851" s="52" t="str">
        <f aca="false">IF($F851&lt;&gt;"",$F851,"")</f>
        <v>Apprenant 839 ou 839'</v>
      </c>
      <c r="BG851" s="55" t="str">
        <f aca="false">IF(AND($AW851&lt;&gt;"",$AX851&lt;&gt;""),$AX851-$AW851,"")</f>
        <v/>
      </c>
      <c r="BH851" s="55" t="str">
        <f aca="false">IF(AND($AW851&lt;&gt;"",$AY851&lt;&gt;""),$AY851-$AW851,"")</f>
        <v/>
      </c>
      <c r="BI851" s="55" t="str">
        <f aca="false">IF(AND($AX851&lt;&gt;"",$AY851&lt;&gt;""),$AY851-$AX851,"")</f>
        <v/>
      </c>
      <c r="BJ851" s="53" t="str">
        <f aca="false">IF($J851&lt;&gt;"",$J851,"")</f>
        <v/>
      </c>
      <c r="BL851" s="52"/>
      <c r="BM851" s="52" t="str">
        <f aca="false">IF(OR(COUNT(B851:D1850)=0,AND('Choix pédagogiques'!$C$3&lt;&gt;1,'Choix pédagogiques'!$C$3&lt;&gt;2)),"",IF(AND(OR('Choix pédagogiques'!$C$3=1,'Choix pédagogiques'!$C$3=2),$B851&lt;&gt;"",$C851&lt;&gt;"",$D851&lt;&gt;""),1,0))</f>
        <v/>
      </c>
      <c r="BN851" s="52" t="str">
        <f aca="false">IF(OR(COUNT(G851:I1850)=0,AND('Choix pédagogiques'!$C$3&lt;&gt;1,'Choix pédagogiques'!$C$3&lt;&gt;2)),"",IF(AND(OR('Choix pédagogiques'!$C$3=1,'Choix pédagogiques'!$C$3=2),AND($G851&lt;&gt;"",$H851&lt;&gt;"",$I851&lt;&gt;"")),1,0))</f>
        <v/>
      </c>
      <c r="BO851" s="52" t="str">
        <f aca="false">IF(OR(COUNT(B851:D1850)=0,COUNT(G851:I1850)=0,'Choix pédagogiques'!C$3&lt;&gt;3),"",IF(AND('Choix pédagogiques'!$C$3=3,$B851&lt;&gt;"",$C851&lt;&gt;"",$D851&lt;&gt;"",$G851&lt;&gt;"",$H851&lt;&gt;"",$I851&lt;&gt;""),1,0))</f>
        <v/>
      </c>
      <c r="BR851" s="52" t="n">
        <v>809</v>
      </c>
      <c r="BS851" s="52" t="n">
        <v>1045</v>
      </c>
    </row>
    <row r="852" s="54" customFormat="true" ht="18" hidden="false" customHeight="true" outlineLevel="0" collapsed="false">
      <c r="A852" s="57" t="s">
        <v>1635</v>
      </c>
      <c r="B852" s="51"/>
      <c r="C852" s="51"/>
      <c r="D852" s="51"/>
      <c r="E852" s="51"/>
      <c r="F852" s="57" t="s">
        <v>1636</v>
      </c>
      <c r="G852" s="51"/>
      <c r="H852" s="51"/>
      <c r="I852" s="51"/>
      <c r="J852" s="51"/>
      <c r="K852" s="52" t="str">
        <f aca="false">IF($A852&lt;&gt;"",$A852,"")</f>
        <v>Apprenant 840</v>
      </c>
      <c r="L852" s="53" t="str">
        <f aca="false">IF(AND($B852&lt;&gt;"",$C852&lt;&gt;""),$C852-$B852,"")</f>
        <v/>
      </c>
      <c r="M852" s="53" t="str">
        <f aca="false">IF(AND($B852&lt;&gt;"",$D852&lt;&gt;""),$D852-$B852,"")</f>
        <v/>
      </c>
      <c r="N852" s="53" t="str">
        <f aca="false">IF(AND($C852&lt;&gt;"",$D852&lt;&gt;""),$D852-$C852,"")</f>
        <v/>
      </c>
      <c r="O852" s="53" t="str">
        <f aca="false">IF($E852&lt;&gt;"",$E852,"")</f>
        <v/>
      </c>
      <c r="P852" s="52" t="str">
        <f aca="false">IF($F852&lt;&gt;"",$F852,"")</f>
        <v>Apprenant 840 ou 840'</v>
      </c>
      <c r="Q852" s="53" t="str">
        <f aca="false">IF(AND($G852&lt;&gt;"",$H852&lt;&gt;""),$H852-$G852,"")</f>
        <v/>
      </c>
      <c r="R852" s="53" t="str">
        <f aca="false">IF(AND($G852&lt;&gt;"",$I852&lt;&gt;""),$I852-$G852,"")</f>
        <v/>
      </c>
      <c r="S852" s="53" t="str">
        <f aca="false">IF(AND($H852&lt;&gt;"",$I852&lt;&gt;""),$I852-$H852,"")</f>
        <v/>
      </c>
      <c r="T852" s="53" t="str">
        <f aca="false">IF($J852&lt;&gt;"",$J852,"")</f>
        <v/>
      </c>
      <c r="V852" s="52" t="str">
        <f aca="false">IF($A852&lt;&gt;"",$A852,"")</f>
        <v>Apprenant 840</v>
      </c>
      <c r="W852" s="53" t="str">
        <f aca="false">IF(AND(OR('Choix pédagogiques'!$C$3=1,'Choix pédagogiques'!$C$3=2),$BM852=1),B852,IF(AND('Choix pédagogiques'!$C$3=3,$BO852=1),B852,""))</f>
        <v/>
      </c>
      <c r="X852" s="53" t="str">
        <f aca="false">IF(AND(OR('Choix pédagogiques'!$C$3=1,'Choix pédagogiques'!$C$3=2),$BM852=1),C852,IF(AND('Choix pédagogiques'!$C$3=3,$BO852=1),C852,""))</f>
        <v/>
      </c>
      <c r="Y852" s="53" t="str">
        <f aca="false">IF(AND(OR('Choix pédagogiques'!$C$3=1,'Choix pédagogiques'!$C$3=2),$BM852=1),D852,IF(AND('Choix pédagogiques'!$C$3=3,$BO852=1),D852,""))</f>
        <v/>
      </c>
      <c r="Z852" s="53" t="str">
        <f aca="false">IF($E852&lt;&gt;"",$E852,"")</f>
        <v/>
      </c>
      <c r="AA852" s="52" t="str">
        <f aca="false">IF($F852&lt;&gt;"",$F852,"")</f>
        <v>Apprenant 840 ou 840'</v>
      </c>
      <c r="AB852" s="53" t="str">
        <f aca="false">IF(AND(OR('Choix pédagogiques'!$C$3=1,'Choix pédagogiques'!$C$3=2),$BN852=1),G852,IF(AND('Choix pédagogiques'!$C$3=3,$BO852=1),G852,""))</f>
        <v/>
      </c>
      <c r="AC852" s="53" t="str">
        <f aca="false">IF(AND(OR('Choix pédagogiques'!$C$3=1,'Choix pédagogiques'!$C$3=2),$BN852=1),H852,IF(AND('Choix pédagogiques'!$C$3=3,$BO852=1),H852,""))</f>
        <v/>
      </c>
      <c r="AD852" s="53" t="str">
        <f aca="false">IF(AND(OR('Choix pédagogiques'!$C$3=1,'Choix pédagogiques'!$C$3=2),$BN852=1),I852,IF(AND('Choix pédagogiques'!$C$3=3,$BO852=1),I852,""))</f>
        <v/>
      </c>
      <c r="AE852" s="53" t="str">
        <f aca="false">IF($J852&lt;&gt;"",$J852,"")</f>
        <v/>
      </c>
      <c r="AF852" s="52" t="str">
        <f aca="false">IF($A852&lt;&gt;"",$A852,"")</f>
        <v>Apprenant 840</v>
      </c>
      <c r="AG852" s="53" t="str">
        <f aca="false">IF(AND($W852&lt;&gt;"",$X852&lt;&gt;""),$X852-$W852,"")</f>
        <v/>
      </c>
      <c r="AH852" s="53" t="str">
        <f aca="false">IF(AND($W852&lt;&gt;"",$Y852&lt;&gt;""),$Y852-$W852,"")</f>
        <v/>
      </c>
      <c r="AI852" s="53" t="str">
        <f aca="false">IF(AND($X852&lt;&gt;"",$Y852&lt;&gt;""),$Y852-$X852,"")</f>
        <v/>
      </c>
      <c r="AJ852" s="53" t="str">
        <f aca="false">IF($E852&lt;&gt;"",$E852,"")</f>
        <v/>
      </c>
      <c r="AK852" s="52" t="str">
        <f aca="false">IF($F852&lt;&gt;"",$F852,"")</f>
        <v>Apprenant 840 ou 840'</v>
      </c>
      <c r="AL852" s="53" t="str">
        <f aca="false">IF(AND($AB852&lt;&gt;"",$AC852&lt;&gt;""),$AC852-$AB852,"")</f>
        <v/>
      </c>
      <c r="AM852" s="53" t="str">
        <f aca="false">IF(AND($AB852&lt;&gt;"",$AD852&lt;&gt;""),$AD852-$AB852,"")</f>
        <v/>
      </c>
      <c r="AN852" s="53" t="str">
        <f aca="false">IF(AND($AC852&lt;&gt;"",$AD852&lt;&gt;""),$AD852-$AC852,"")</f>
        <v/>
      </c>
      <c r="AO852" s="53" t="str">
        <f aca="false">IF($J852&lt;&gt;"",$J852,"")</f>
        <v/>
      </c>
      <c r="AQ852" s="52" t="str">
        <f aca="false">IF($A852&lt;&gt;"",$A852,"")</f>
        <v>Apprenant 840</v>
      </c>
      <c r="AR852" s="55" t="str">
        <f aca="false">IF(AND('Choix pédagogiques'!$C$4&lt;&gt;"?",'Choix pédagogiques'!$C$5&lt;&gt;"?",W852&lt;&gt;""),(W852-'Choix pédagogiques'!$C$4)/('Choix pédagogiques'!$C$5-'Choix pédagogiques'!$C$4),"")</f>
        <v/>
      </c>
      <c r="AS852" s="55" t="str">
        <f aca="false">IF(AND('Choix pédagogiques'!$C$4&lt;&gt;"?",'Choix pédagogiques'!$C$5&lt;&gt;"?",X852&lt;&gt;""),(X852-'Choix pédagogiques'!$C$4)/('Choix pédagogiques'!$C$5-'Choix pédagogiques'!$C$4),"")</f>
        <v/>
      </c>
      <c r="AT852" s="55" t="str">
        <f aca="false">IF(AND('Choix pédagogiques'!$C$4&lt;&gt;"?",'Choix pédagogiques'!$C$5&lt;&gt;"?",Y852&lt;&gt;""),(Y852-'Choix pédagogiques'!$C$4)/('Choix pédagogiques'!$C$5-'Choix pédagogiques'!$C$4),"")</f>
        <v/>
      </c>
      <c r="AU852" s="53" t="str">
        <f aca="false">IF($E852&lt;&gt;"",$E852,"")</f>
        <v/>
      </c>
      <c r="AV852" s="52" t="str">
        <f aca="false">IF($F852&lt;&gt;"",$F852,"")</f>
        <v>Apprenant 840 ou 840'</v>
      </c>
      <c r="AW852" s="55" t="str">
        <f aca="false">IF(AND('Choix pédagogiques'!$C$4&lt;&gt;"?",'Choix pédagogiques'!$C$5&lt;&gt;"?",AB852&lt;&gt;""),(AB852-'Choix pédagogiques'!$C$4)/('Choix pédagogiques'!$C$5-'Choix pédagogiques'!$C$4),"")</f>
        <v/>
      </c>
      <c r="AX852" s="55" t="str">
        <f aca="false">IF(AND('Choix pédagogiques'!$C$4&lt;&gt;"?",'Choix pédagogiques'!$C$5&lt;&gt;"?",AC852&lt;&gt;""),(AC852-'Choix pédagogiques'!$C$4)/('Choix pédagogiques'!$C$5-'Choix pédagogiques'!$C$4),"")</f>
        <v/>
      </c>
      <c r="AY852" s="55" t="str">
        <f aca="false">IF(AND('Choix pédagogiques'!$C$4&lt;&gt;"?",'Choix pédagogiques'!$C$5&lt;&gt;"?",AD852&lt;&gt;""),(AD852-'Choix pédagogiques'!$C$4)/('Choix pédagogiques'!$C$5-'Choix pédagogiques'!$C$4),"")</f>
        <v/>
      </c>
      <c r="AZ852" s="53" t="str">
        <f aca="false">IF($J852&lt;&gt;"",$J852,"")</f>
        <v/>
      </c>
      <c r="BA852" s="52" t="str">
        <f aca="false">IF($A852&lt;&gt;"",$A852,"")</f>
        <v>Apprenant 840</v>
      </c>
      <c r="BB852" s="55" t="str">
        <f aca="false">IF(AND($AR852&lt;&gt;"",$AS852&lt;&gt;""),$AS852-$AR852,"")</f>
        <v/>
      </c>
      <c r="BC852" s="55" t="str">
        <f aca="false">IF(AND($AR852&lt;&gt;"",$AT852&lt;&gt;""),$AT852-$AR852,"")</f>
        <v/>
      </c>
      <c r="BD852" s="55" t="str">
        <f aca="false">IF(AND($AS852&lt;&gt;"",$AT852&lt;&gt;""),$AT852-$AS852,"")</f>
        <v/>
      </c>
      <c r="BE852" s="53" t="str">
        <f aca="false">IF($E852&lt;&gt;"",$E852,"")</f>
        <v/>
      </c>
      <c r="BF852" s="52" t="str">
        <f aca="false">IF($F852&lt;&gt;"",$F852,"")</f>
        <v>Apprenant 840 ou 840'</v>
      </c>
      <c r="BG852" s="55" t="str">
        <f aca="false">IF(AND($AW852&lt;&gt;"",$AX852&lt;&gt;""),$AX852-$AW852,"")</f>
        <v/>
      </c>
      <c r="BH852" s="55" t="str">
        <f aca="false">IF(AND($AW852&lt;&gt;"",$AY852&lt;&gt;""),$AY852-$AW852,"")</f>
        <v/>
      </c>
      <c r="BI852" s="55" t="str">
        <f aca="false">IF(AND($AX852&lt;&gt;"",$AY852&lt;&gt;""),$AY852-$AX852,"")</f>
        <v/>
      </c>
      <c r="BJ852" s="53" t="str">
        <f aca="false">IF($J852&lt;&gt;"",$J852,"")</f>
        <v/>
      </c>
      <c r="BL852" s="52"/>
      <c r="BM852" s="52" t="str">
        <f aca="false">IF(OR(COUNT(B852:D1851)=0,AND('Choix pédagogiques'!$C$3&lt;&gt;1,'Choix pédagogiques'!$C$3&lt;&gt;2)),"",IF(AND(OR('Choix pédagogiques'!$C$3=1,'Choix pédagogiques'!$C$3=2),$B852&lt;&gt;"",$C852&lt;&gt;"",$D852&lt;&gt;""),1,0))</f>
        <v/>
      </c>
      <c r="BN852" s="52" t="str">
        <f aca="false">IF(OR(COUNT(G852:I1851)=0,AND('Choix pédagogiques'!$C$3&lt;&gt;1,'Choix pédagogiques'!$C$3&lt;&gt;2)),"",IF(AND(OR('Choix pédagogiques'!$C$3=1,'Choix pédagogiques'!$C$3=2),AND($G852&lt;&gt;"",$H852&lt;&gt;"",$I852&lt;&gt;"")),1,0))</f>
        <v/>
      </c>
      <c r="BO852" s="52" t="str">
        <f aca="false">IF(OR(COUNT(B852:D1851)=0,COUNT(G852:I1851)=0,'Choix pédagogiques'!C$3&lt;&gt;3),"",IF(AND('Choix pédagogiques'!$C$3=3,$B852&lt;&gt;"",$C852&lt;&gt;"",$D852&lt;&gt;"",$G852&lt;&gt;"",$H852&lt;&gt;"",$I852&lt;&gt;""),1,0))</f>
        <v/>
      </c>
      <c r="BR852" s="52" t="n">
        <v>584</v>
      </c>
      <c r="BS852" s="52" t="n">
        <v>1399</v>
      </c>
    </row>
    <row r="853" s="54" customFormat="true" ht="18" hidden="false" customHeight="true" outlineLevel="0" collapsed="false">
      <c r="A853" s="57" t="s">
        <v>1637</v>
      </c>
      <c r="B853" s="51"/>
      <c r="C853" s="51"/>
      <c r="D853" s="51"/>
      <c r="E853" s="51"/>
      <c r="F853" s="57" t="s">
        <v>1638</v>
      </c>
      <c r="G853" s="51"/>
      <c r="H853" s="51"/>
      <c r="I853" s="51"/>
      <c r="J853" s="51"/>
      <c r="K853" s="52" t="str">
        <f aca="false">IF($A853&lt;&gt;"",$A853,"")</f>
        <v>Apprenant 841</v>
      </c>
      <c r="L853" s="53" t="str">
        <f aca="false">IF(AND($B853&lt;&gt;"",$C853&lt;&gt;""),$C853-$B853,"")</f>
        <v/>
      </c>
      <c r="M853" s="53" t="str">
        <f aca="false">IF(AND($B853&lt;&gt;"",$D853&lt;&gt;""),$D853-$B853,"")</f>
        <v/>
      </c>
      <c r="N853" s="53" t="str">
        <f aca="false">IF(AND($C853&lt;&gt;"",$D853&lt;&gt;""),$D853-$C853,"")</f>
        <v/>
      </c>
      <c r="O853" s="53" t="str">
        <f aca="false">IF($E853&lt;&gt;"",$E853,"")</f>
        <v/>
      </c>
      <c r="P853" s="52" t="str">
        <f aca="false">IF($F853&lt;&gt;"",$F853,"")</f>
        <v>Apprenant 841 ou 841'</v>
      </c>
      <c r="Q853" s="53" t="str">
        <f aca="false">IF(AND($G853&lt;&gt;"",$H853&lt;&gt;""),$H853-$G853,"")</f>
        <v/>
      </c>
      <c r="R853" s="53" t="str">
        <f aca="false">IF(AND($G853&lt;&gt;"",$I853&lt;&gt;""),$I853-$G853,"")</f>
        <v/>
      </c>
      <c r="S853" s="53" t="str">
        <f aca="false">IF(AND($H853&lt;&gt;"",$I853&lt;&gt;""),$I853-$H853,"")</f>
        <v/>
      </c>
      <c r="T853" s="53" t="str">
        <f aca="false">IF($J853&lt;&gt;"",$J853,"")</f>
        <v/>
      </c>
      <c r="V853" s="52" t="str">
        <f aca="false">IF($A853&lt;&gt;"",$A853,"")</f>
        <v>Apprenant 841</v>
      </c>
      <c r="W853" s="53" t="str">
        <f aca="false">IF(AND(OR('Choix pédagogiques'!$C$3=1,'Choix pédagogiques'!$C$3=2),$BM853=1),B853,IF(AND('Choix pédagogiques'!$C$3=3,$BO853=1),B853,""))</f>
        <v/>
      </c>
      <c r="X853" s="53" t="str">
        <f aca="false">IF(AND(OR('Choix pédagogiques'!$C$3=1,'Choix pédagogiques'!$C$3=2),$BM853=1),C853,IF(AND('Choix pédagogiques'!$C$3=3,$BO853=1),C853,""))</f>
        <v/>
      </c>
      <c r="Y853" s="53" t="str">
        <f aca="false">IF(AND(OR('Choix pédagogiques'!$C$3=1,'Choix pédagogiques'!$C$3=2),$BM853=1),D853,IF(AND('Choix pédagogiques'!$C$3=3,$BO853=1),D853,""))</f>
        <v/>
      </c>
      <c r="Z853" s="53" t="str">
        <f aca="false">IF($E853&lt;&gt;"",$E853,"")</f>
        <v/>
      </c>
      <c r="AA853" s="52" t="str">
        <f aca="false">IF($F853&lt;&gt;"",$F853,"")</f>
        <v>Apprenant 841 ou 841'</v>
      </c>
      <c r="AB853" s="53" t="str">
        <f aca="false">IF(AND(OR('Choix pédagogiques'!$C$3=1,'Choix pédagogiques'!$C$3=2),$BN853=1),G853,IF(AND('Choix pédagogiques'!$C$3=3,$BO853=1),G853,""))</f>
        <v/>
      </c>
      <c r="AC853" s="53" t="str">
        <f aca="false">IF(AND(OR('Choix pédagogiques'!$C$3=1,'Choix pédagogiques'!$C$3=2),$BN853=1),H853,IF(AND('Choix pédagogiques'!$C$3=3,$BO853=1),H853,""))</f>
        <v/>
      </c>
      <c r="AD853" s="53" t="str">
        <f aca="false">IF(AND(OR('Choix pédagogiques'!$C$3=1,'Choix pédagogiques'!$C$3=2),$BN853=1),I853,IF(AND('Choix pédagogiques'!$C$3=3,$BO853=1),I853,""))</f>
        <v/>
      </c>
      <c r="AE853" s="53" t="str">
        <f aca="false">IF($J853&lt;&gt;"",$J853,"")</f>
        <v/>
      </c>
      <c r="AF853" s="52" t="str">
        <f aca="false">IF($A853&lt;&gt;"",$A853,"")</f>
        <v>Apprenant 841</v>
      </c>
      <c r="AG853" s="53" t="str">
        <f aca="false">IF(AND($W853&lt;&gt;"",$X853&lt;&gt;""),$X853-$W853,"")</f>
        <v/>
      </c>
      <c r="AH853" s="53" t="str">
        <f aca="false">IF(AND($W853&lt;&gt;"",$Y853&lt;&gt;""),$Y853-$W853,"")</f>
        <v/>
      </c>
      <c r="AI853" s="53" t="str">
        <f aca="false">IF(AND($X853&lt;&gt;"",$Y853&lt;&gt;""),$Y853-$X853,"")</f>
        <v/>
      </c>
      <c r="AJ853" s="53" t="str">
        <f aca="false">IF($E853&lt;&gt;"",$E853,"")</f>
        <v/>
      </c>
      <c r="AK853" s="52" t="str">
        <f aca="false">IF($F853&lt;&gt;"",$F853,"")</f>
        <v>Apprenant 841 ou 841'</v>
      </c>
      <c r="AL853" s="53" t="str">
        <f aca="false">IF(AND($AB853&lt;&gt;"",$AC853&lt;&gt;""),$AC853-$AB853,"")</f>
        <v/>
      </c>
      <c r="AM853" s="53" t="str">
        <f aca="false">IF(AND($AB853&lt;&gt;"",$AD853&lt;&gt;""),$AD853-$AB853,"")</f>
        <v/>
      </c>
      <c r="AN853" s="53" t="str">
        <f aca="false">IF(AND($AC853&lt;&gt;"",$AD853&lt;&gt;""),$AD853-$AC853,"")</f>
        <v/>
      </c>
      <c r="AO853" s="53" t="str">
        <f aca="false">IF($J853&lt;&gt;"",$J853,"")</f>
        <v/>
      </c>
      <c r="AQ853" s="52" t="str">
        <f aca="false">IF($A853&lt;&gt;"",$A853,"")</f>
        <v>Apprenant 841</v>
      </c>
      <c r="AR853" s="55" t="str">
        <f aca="false">IF(AND('Choix pédagogiques'!$C$4&lt;&gt;"?",'Choix pédagogiques'!$C$5&lt;&gt;"?",W853&lt;&gt;""),(W853-'Choix pédagogiques'!$C$4)/('Choix pédagogiques'!$C$5-'Choix pédagogiques'!$C$4),"")</f>
        <v/>
      </c>
      <c r="AS853" s="55" t="str">
        <f aca="false">IF(AND('Choix pédagogiques'!$C$4&lt;&gt;"?",'Choix pédagogiques'!$C$5&lt;&gt;"?",X853&lt;&gt;""),(X853-'Choix pédagogiques'!$C$4)/('Choix pédagogiques'!$C$5-'Choix pédagogiques'!$C$4),"")</f>
        <v/>
      </c>
      <c r="AT853" s="55" t="str">
        <f aca="false">IF(AND('Choix pédagogiques'!$C$4&lt;&gt;"?",'Choix pédagogiques'!$C$5&lt;&gt;"?",Y853&lt;&gt;""),(Y853-'Choix pédagogiques'!$C$4)/('Choix pédagogiques'!$C$5-'Choix pédagogiques'!$C$4),"")</f>
        <v/>
      </c>
      <c r="AU853" s="53" t="str">
        <f aca="false">IF($E853&lt;&gt;"",$E853,"")</f>
        <v/>
      </c>
      <c r="AV853" s="52" t="str">
        <f aca="false">IF($F853&lt;&gt;"",$F853,"")</f>
        <v>Apprenant 841 ou 841'</v>
      </c>
      <c r="AW853" s="55" t="str">
        <f aca="false">IF(AND('Choix pédagogiques'!$C$4&lt;&gt;"?",'Choix pédagogiques'!$C$5&lt;&gt;"?",AB853&lt;&gt;""),(AB853-'Choix pédagogiques'!$C$4)/('Choix pédagogiques'!$C$5-'Choix pédagogiques'!$C$4),"")</f>
        <v/>
      </c>
      <c r="AX853" s="55" t="str">
        <f aca="false">IF(AND('Choix pédagogiques'!$C$4&lt;&gt;"?",'Choix pédagogiques'!$C$5&lt;&gt;"?",AC853&lt;&gt;""),(AC853-'Choix pédagogiques'!$C$4)/('Choix pédagogiques'!$C$5-'Choix pédagogiques'!$C$4),"")</f>
        <v/>
      </c>
      <c r="AY853" s="55" t="str">
        <f aca="false">IF(AND('Choix pédagogiques'!$C$4&lt;&gt;"?",'Choix pédagogiques'!$C$5&lt;&gt;"?",AD853&lt;&gt;""),(AD853-'Choix pédagogiques'!$C$4)/('Choix pédagogiques'!$C$5-'Choix pédagogiques'!$C$4),"")</f>
        <v/>
      </c>
      <c r="AZ853" s="53" t="str">
        <f aca="false">IF($J853&lt;&gt;"",$J853,"")</f>
        <v/>
      </c>
      <c r="BA853" s="52" t="str">
        <f aca="false">IF($A853&lt;&gt;"",$A853,"")</f>
        <v>Apprenant 841</v>
      </c>
      <c r="BB853" s="55" t="str">
        <f aca="false">IF(AND($AR853&lt;&gt;"",$AS853&lt;&gt;""),$AS853-$AR853,"")</f>
        <v/>
      </c>
      <c r="BC853" s="55" t="str">
        <f aca="false">IF(AND($AR853&lt;&gt;"",$AT853&lt;&gt;""),$AT853-$AR853,"")</f>
        <v/>
      </c>
      <c r="BD853" s="55" t="str">
        <f aca="false">IF(AND($AS853&lt;&gt;"",$AT853&lt;&gt;""),$AT853-$AS853,"")</f>
        <v/>
      </c>
      <c r="BE853" s="53" t="str">
        <f aca="false">IF($E853&lt;&gt;"",$E853,"")</f>
        <v/>
      </c>
      <c r="BF853" s="52" t="str">
        <f aca="false">IF($F853&lt;&gt;"",$F853,"")</f>
        <v>Apprenant 841 ou 841'</v>
      </c>
      <c r="BG853" s="55" t="str">
        <f aca="false">IF(AND($AW853&lt;&gt;"",$AX853&lt;&gt;""),$AX853-$AW853,"")</f>
        <v/>
      </c>
      <c r="BH853" s="55" t="str">
        <f aca="false">IF(AND($AW853&lt;&gt;"",$AY853&lt;&gt;""),$AY853-$AW853,"")</f>
        <v/>
      </c>
      <c r="BI853" s="55" t="str">
        <f aca="false">IF(AND($AX853&lt;&gt;"",$AY853&lt;&gt;""),$AY853-$AX853,"")</f>
        <v/>
      </c>
      <c r="BJ853" s="53" t="str">
        <f aca="false">IF($J853&lt;&gt;"",$J853,"")</f>
        <v/>
      </c>
      <c r="BL853" s="52"/>
      <c r="BM853" s="52" t="str">
        <f aca="false">IF(OR(COUNT(B853:D1852)=0,AND('Choix pédagogiques'!$C$3&lt;&gt;1,'Choix pédagogiques'!$C$3&lt;&gt;2)),"",IF(AND(OR('Choix pédagogiques'!$C$3=1,'Choix pédagogiques'!$C$3=2),$B853&lt;&gt;"",$C853&lt;&gt;"",$D853&lt;&gt;""),1,0))</f>
        <v/>
      </c>
      <c r="BN853" s="52" t="str">
        <f aca="false">IF(OR(COUNT(G853:I1852)=0,AND('Choix pédagogiques'!$C$3&lt;&gt;1,'Choix pédagogiques'!$C$3&lt;&gt;2)),"",IF(AND(OR('Choix pédagogiques'!$C$3=1,'Choix pédagogiques'!$C$3=2),AND($G853&lt;&gt;"",$H853&lt;&gt;"",$I853&lt;&gt;"")),1,0))</f>
        <v/>
      </c>
      <c r="BO853" s="52" t="str">
        <f aca="false">IF(OR(COUNT(B853:D1852)=0,COUNT(G853:I1852)=0,'Choix pédagogiques'!C$3&lt;&gt;3),"",IF(AND('Choix pédagogiques'!$C$3=3,$B853&lt;&gt;"",$C853&lt;&gt;"",$D853&lt;&gt;"",$G853&lt;&gt;"",$H853&lt;&gt;"",$I853&lt;&gt;""),1,0))</f>
        <v/>
      </c>
      <c r="BR853" s="52" t="n">
        <v>240</v>
      </c>
      <c r="BS853" s="52" t="n">
        <v>1688</v>
      </c>
    </row>
    <row r="854" s="54" customFormat="true" ht="18" hidden="false" customHeight="true" outlineLevel="0" collapsed="false">
      <c r="A854" s="57" t="s">
        <v>1639</v>
      </c>
      <c r="B854" s="51"/>
      <c r="C854" s="51"/>
      <c r="D854" s="51"/>
      <c r="E854" s="51"/>
      <c r="F854" s="57" t="s">
        <v>1640</v>
      </c>
      <c r="G854" s="51"/>
      <c r="H854" s="51"/>
      <c r="I854" s="51"/>
      <c r="J854" s="51"/>
      <c r="K854" s="52" t="str">
        <f aca="false">IF($A854&lt;&gt;"",$A854,"")</f>
        <v>Apprenant 842</v>
      </c>
      <c r="L854" s="53" t="str">
        <f aca="false">IF(AND($B854&lt;&gt;"",$C854&lt;&gt;""),$C854-$B854,"")</f>
        <v/>
      </c>
      <c r="M854" s="53" t="str">
        <f aca="false">IF(AND($B854&lt;&gt;"",$D854&lt;&gt;""),$D854-$B854,"")</f>
        <v/>
      </c>
      <c r="N854" s="53" t="str">
        <f aca="false">IF(AND($C854&lt;&gt;"",$D854&lt;&gt;""),$D854-$C854,"")</f>
        <v/>
      </c>
      <c r="O854" s="53" t="str">
        <f aca="false">IF($E854&lt;&gt;"",$E854,"")</f>
        <v/>
      </c>
      <c r="P854" s="52" t="str">
        <f aca="false">IF($F854&lt;&gt;"",$F854,"")</f>
        <v>Apprenant 842 ou 842'</v>
      </c>
      <c r="Q854" s="53" t="str">
        <f aca="false">IF(AND($G854&lt;&gt;"",$H854&lt;&gt;""),$H854-$G854,"")</f>
        <v/>
      </c>
      <c r="R854" s="53" t="str">
        <f aca="false">IF(AND($G854&lt;&gt;"",$I854&lt;&gt;""),$I854-$G854,"")</f>
        <v/>
      </c>
      <c r="S854" s="53" t="str">
        <f aca="false">IF(AND($H854&lt;&gt;"",$I854&lt;&gt;""),$I854-$H854,"")</f>
        <v/>
      </c>
      <c r="T854" s="53" t="str">
        <f aca="false">IF($J854&lt;&gt;"",$J854,"")</f>
        <v/>
      </c>
      <c r="V854" s="52" t="str">
        <f aca="false">IF($A854&lt;&gt;"",$A854,"")</f>
        <v>Apprenant 842</v>
      </c>
      <c r="W854" s="53" t="str">
        <f aca="false">IF(AND(OR('Choix pédagogiques'!$C$3=1,'Choix pédagogiques'!$C$3=2),$BM854=1),B854,IF(AND('Choix pédagogiques'!$C$3=3,$BO854=1),B854,""))</f>
        <v/>
      </c>
      <c r="X854" s="53" t="str">
        <f aca="false">IF(AND(OR('Choix pédagogiques'!$C$3=1,'Choix pédagogiques'!$C$3=2),$BM854=1),C854,IF(AND('Choix pédagogiques'!$C$3=3,$BO854=1),C854,""))</f>
        <v/>
      </c>
      <c r="Y854" s="53" t="str">
        <f aca="false">IF(AND(OR('Choix pédagogiques'!$C$3=1,'Choix pédagogiques'!$C$3=2),$BM854=1),D854,IF(AND('Choix pédagogiques'!$C$3=3,$BO854=1),D854,""))</f>
        <v/>
      </c>
      <c r="Z854" s="53" t="str">
        <f aca="false">IF($E854&lt;&gt;"",$E854,"")</f>
        <v/>
      </c>
      <c r="AA854" s="52" t="str">
        <f aca="false">IF($F854&lt;&gt;"",$F854,"")</f>
        <v>Apprenant 842 ou 842'</v>
      </c>
      <c r="AB854" s="53" t="str">
        <f aca="false">IF(AND(OR('Choix pédagogiques'!$C$3=1,'Choix pédagogiques'!$C$3=2),$BN854=1),G854,IF(AND('Choix pédagogiques'!$C$3=3,$BO854=1),G854,""))</f>
        <v/>
      </c>
      <c r="AC854" s="53" t="str">
        <f aca="false">IF(AND(OR('Choix pédagogiques'!$C$3=1,'Choix pédagogiques'!$C$3=2),$BN854=1),H854,IF(AND('Choix pédagogiques'!$C$3=3,$BO854=1),H854,""))</f>
        <v/>
      </c>
      <c r="AD854" s="53" t="str">
        <f aca="false">IF(AND(OR('Choix pédagogiques'!$C$3=1,'Choix pédagogiques'!$C$3=2),$BN854=1),I854,IF(AND('Choix pédagogiques'!$C$3=3,$BO854=1),I854,""))</f>
        <v/>
      </c>
      <c r="AE854" s="53" t="str">
        <f aca="false">IF($J854&lt;&gt;"",$J854,"")</f>
        <v/>
      </c>
      <c r="AF854" s="52" t="str">
        <f aca="false">IF($A854&lt;&gt;"",$A854,"")</f>
        <v>Apprenant 842</v>
      </c>
      <c r="AG854" s="53" t="str">
        <f aca="false">IF(AND($W854&lt;&gt;"",$X854&lt;&gt;""),$X854-$W854,"")</f>
        <v/>
      </c>
      <c r="AH854" s="53" t="str">
        <f aca="false">IF(AND($W854&lt;&gt;"",$Y854&lt;&gt;""),$Y854-$W854,"")</f>
        <v/>
      </c>
      <c r="AI854" s="53" t="str">
        <f aca="false">IF(AND($X854&lt;&gt;"",$Y854&lt;&gt;""),$Y854-$X854,"")</f>
        <v/>
      </c>
      <c r="AJ854" s="53" t="str">
        <f aca="false">IF($E854&lt;&gt;"",$E854,"")</f>
        <v/>
      </c>
      <c r="AK854" s="52" t="str">
        <f aca="false">IF($F854&lt;&gt;"",$F854,"")</f>
        <v>Apprenant 842 ou 842'</v>
      </c>
      <c r="AL854" s="53" t="str">
        <f aca="false">IF(AND($AB854&lt;&gt;"",$AC854&lt;&gt;""),$AC854-$AB854,"")</f>
        <v/>
      </c>
      <c r="AM854" s="53" t="str">
        <f aca="false">IF(AND($AB854&lt;&gt;"",$AD854&lt;&gt;""),$AD854-$AB854,"")</f>
        <v/>
      </c>
      <c r="AN854" s="53" t="str">
        <f aca="false">IF(AND($AC854&lt;&gt;"",$AD854&lt;&gt;""),$AD854-$AC854,"")</f>
        <v/>
      </c>
      <c r="AO854" s="53" t="str">
        <f aca="false">IF($J854&lt;&gt;"",$J854,"")</f>
        <v/>
      </c>
      <c r="AQ854" s="52" t="str">
        <f aca="false">IF($A854&lt;&gt;"",$A854,"")</f>
        <v>Apprenant 842</v>
      </c>
      <c r="AR854" s="55" t="str">
        <f aca="false">IF(AND('Choix pédagogiques'!$C$4&lt;&gt;"?",'Choix pédagogiques'!$C$5&lt;&gt;"?",W854&lt;&gt;""),(W854-'Choix pédagogiques'!$C$4)/('Choix pédagogiques'!$C$5-'Choix pédagogiques'!$C$4),"")</f>
        <v/>
      </c>
      <c r="AS854" s="55" t="str">
        <f aca="false">IF(AND('Choix pédagogiques'!$C$4&lt;&gt;"?",'Choix pédagogiques'!$C$5&lt;&gt;"?",X854&lt;&gt;""),(X854-'Choix pédagogiques'!$C$4)/('Choix pédagogiques'!$C$5-'Choix pédagogiques'!$C$4),"")</f>
        <v/>
      </c>
      <c r="AT854" s="55" t="str">
        <f aca="false">IF(AND('Choix pédagogiques'!$C$4&lt;&gt;"?",'Choix pédagogiques'!$C$5&lt;&gt;"?",Y854&lt;&gt;""),(Y854-'Choix pédagogiques'!$C$4)/('Choix pédagogiques'!$C$5-'Choix pédagogiques'!$C$4),"")</f>
        <v/>
      </c>
      <c r="AU854" s="53" t="str">
        <f aca="false">IF($E854&lt;&gt;"",$E854,"")</f>
        <v/>
      </c>
      <c r="AV854" s="52" t="str">
        <f aca="false">IF($F854&lt;&gt;"",$F854,"")</f>
        <v>Apprenant 842 ou 842'</v>
      </c>
      <c r="AW854" s="55" t="str">
        <f aca="false">IF(AND('Choix pédagogiques'!$C$4&lt;&gt;"?",'Choix pédagogiques'!$C$5&lt;&gt;"?",AB854&lt;&gt;""),(AB854-'Choix pédagogiques'!$C$4)/('Choix pédagogiques'!$C$5-'Choix pédagogiques'!$C$4),"")</f>
        <v/>
      </c>
      <c r="AX854" s="55" t="str">
        <f aca="false">IF(AND('Choix pédagogiques'!$C$4&lt;&gt;"?",'Choix pédagogiques'!$C$5&lt;&gt;"?",AC854&lt;&gt;""),(AC854-'Choix pédagogiques'!$C$4)/('Choix pédagogiques'!$C$5-'Choix pédagogiques'!$C$4),"")</f>
        <v/>
      </c>
      <c r="AY854" s="55" t="str">
        <f aca="false">IF(AND('Choix pédagogiques'!$C$4&lt;&gt;"?",'Choix pédagogiques'!$C$5&lt;&gt;"?",AD854&lt;&gt;""),(AD854-'Choix pédagogiques'!$C$4)/('Choix pédagogiques'!$C$5-'Choix pédagogiques'!$C$4),"")</f>
        <v/>
      </c>
      <c r="AZ854" s="53" t="str">
        <f aca="false">IF($J854&lt;&gt;"",$J854,"")</f>
        <v/>
      </c>
      <c r="BA854" s="52" t="str">
        <f aca="false">IF($A854&lt;&gt;"",$A854,"")</f>
        <v>Apprenant 842</v>
      </c>
      <c r="BB854" s="55" t="str">
        <f aca="false">IF(AND($AR854&lt;&gt;"",$AS854&lt;&gt;""),$AS854-$AR854,"")</f>
        <v/>
      </c>
      <c r="BC854" s="55" t="str">
        <f aca="false">IF(AND($AR854&lt;&gt;"",$AT854&lt;&gt;""),$AT854-$AR854,"")</f>
        <v/>
      </c>
      <c r="BD854" s="55" t="str">
        <f aca="false">IF(AND($AS854&lt;&gt;"",$AT854&lt;&gt;""),$AT854-$AS854,"")</f>
        <v/>
      </c>
      <c r="BE854" s="53" t="str">
        <f aca="false">IF($E854&lt;&gt;"",$E854,"")</f>
        <v/>
      </c>
      <c r="BF854" s="52" t="str">
        <f aca="false">IF($F854&lt;&gt;"",$F854,"")</f>
        <v>Apprenant 842 ou 842'</v>
      </c>
      <c r="BG854" s="55" t="str">
        <f aca="false">IF(AND($AW854&lt;&gt;"",$AX854&lt;&gt;""),$AX854-$AW854,"")</f>
        <v/>
      </c>
      <c r="BH854" s="55" t="str">
        <f aca="false">IF(AND($AW854&lt;&gt;"",$AY854&lt;&gt;""),$AY854-$AW854,"")</f>
        <v/>
      </c>
      <c r="BI854" s="55" t="str">
        <f aca="false">IF(AND($AX854&lt;&gt;"",$AY854&lt;&gt;""),$AY854-$AX854,"")</f>
        <v/>
      </c>
      <c r="BJ854" s="53" t="str">
        <f aca="false">IF($J854&lt;&gt;"",$J854,"")</f>
        <v/>
      </c>
      <c r="BL854" s="52"/>
      <c r="BM854" s="52" t="str">
        <f aca="false">IF(OR(COUNT(B854:D1853)=0,AND('Choix pédagogiques'!$C$3&lt;&gt;1,'Choix pédagogiques'!$C$3&lt;&gt;2)),"",IF(AND(OR('Choix pédagogiques'!$C$3=1,'Choix pédagogiques'!$C$3=2),$B854&lt;&gt;"",$C854&lt;&gt;"",$D854&lt;&gt;""),1,0))</f>
        <v/>
      </c>
      <c r="BN854" s="52" t="str">
        <f aca="false">IF(OR(COUNT(G854:I1853)=0,AND('Choix pédagogiques'!$C$3&lt;&gt;1,'Choix pédagogiques'!$C$3&lt;&gt;2)),"",IF(AND(OR('Choix pédagogiques'!$C$3=1,'Choix pédagogiques'!$C$3=2),AND($G854&lt;&gt;"",$H854&lt;&gt;"",$I854&lt;&gt;"")),1,0))</f>
        <v/>
      </c>
      <c r="BO854" s="52" t="str">
        <f aca="false">IF(OR(COUNT(B854:D1853)=0,COUNT(G854:I1853)=0,'Choix pédagogiques'!C$3&lt;&gt;3),"",IF(AND('Choix pédagogiques'!$C$3=3,$B854&lt;&gt;"",$C854&lt;&gt;"",$D854&lt;&gt;"",$G854&lt;&gt;"",$H854&lt;&gt;"",$I854&lt;&gt;""),1,0))</f>
        <v/>
      </c>
      <c r="BR854" s="52" t="n">
        <v>161</v>
      </c>
      <c r="BS854" s="52" t="n">
        <v>1235</v>
      </c>
    </row>
    <row r="855" s="54" customFormat="true" ht="18" hidden="false" customHeight="true" outlineLevel="0" collapsed="false">
      <c r="A855" s="57" t="s">
        <v>1641</v>
      </c>
      <c r="B855" s="51"/>
      <c r="C855" s="51"/>
      <c r="D855" s="51"/>
      <c r="E855" s="51"/>
      <c r="F855" s="57" t="s">
        <v>1642</v>
      </c>
      <c r="G855" s="51"/>
      <c r="H855" s="51"/>
      <c r="I855" s="51"/>
      <c r="J855" s="51"/>
      <c r="K855" s="52" t="str">
        <f aca="false">IF($A855&lt;&gt;"",$A855,"")</f>
        <v>Apprenant 843</v>
      </c>
      <c r="L855" s="53" t="str">
        <f aca="false">IF(AND($B855&lt;&gt;"",$C855&lt;&gt;""),$C855-$B855,"")</f>
        <v/>
      </c>
      <c r="M855" s="53" t="str">
        <f aca="false">IF(AND($B855&lt;&gt;"",$D855&lt;&gt;""),$D855-$B855,"")</f>
        <v/>
      </c>
      <c r="N855" s="53" t="str">
        <f aca="false">IF(AND($C855&lt;&gt;"",$D855&lt;&gt;""),$D855-$C855,"")</f>
        <v/>
      </c>
      <c r="O855" s="53" t="str">
        <f aca="false">IF($E855&lt;&gt;"",$E855,"")</f>
        <v/>
      </c>
      <c r="P855" s="52" t="str">
        <f aca="false">IF($F855&lt;&gt;"",$F855,"")</f>
        <v>Apprenant 843 ou 843'</v>
      </c>
      <c r="Q855" s="53" t="str">
        <f aca="false">IF(AND($G855&lt;&gt;"",$H855&lt;&gt;""),$H855-$G855,"")</f>
        <v/>
      </c>
      <c r="R855" s="53" t="str">
        <f aca="false">IF(AND($G855&lt;&gt;"",$I855&lt;&gt;""),$I855-$G855,"")</f>
        <v/>
      </c>
      <c r="S855" s="53" t="str">
        <f aca="false">IF(AND($H855&lt;&gt;"",$I855&lt;&gt;""),$I855-$H855,"")</f>
        <v/>
      </c>
      <c r="T855" s="53" t="str">
        <f aca="false">IF($J855&lt;&gt;"",$J855,"")</f>
        <v/>
      </c>
      <c r="V855" s="52" t="str">
        <f aca="false">IF($A855&lt;&gt;"",$A855,"")</f>
        <v>Apprenant 843</v>
      </c>
      <c r="W855" s="53" t="str">
        <f aca="false">IF(AND(OR('Choix pédagogiques'!$C$3=1,'Choix pédagogiques'!$C$3=2),$BM855=1),B855,IF(AND('Choix pédagogiques'!$C$3=3,$BO855=1),B855,""))</f>
        <v/>
      </c>
      <c r="X855" s="53" t="str">
        <f aca="false">IF(AND(OR('Choix pédagogiques'!$C$3=1,'Choix pédagogiques'!$C$3=2),$BM855=1),C855,IF(AND('Choix pédagogiques'!$C$3=3,$BO855=1),C855,""))</f>
        <v/>
      </c>
      <c r="Y855" s="53" t="str">
        <f aca="false">IF(AND(OR('Choix pédagogiques'!$C$3=1,'Choix pédagogiques'!$C$3=2),$BM855=1),D855,IF(AND('Choix pédagogiques'!$C$3=3,$BO855=1),D855,""))</f>
        <v/>
      </c>
      <c r="Z855" s="53" t="str">
        <f aca="false">IF($E855&lt;&gt;"",$E855,"")</f>
        <v/>
      </c>
      <c r="AA855" s="52" t="str">
        <f aca="false">IF($F855&lt;&gt;"",$F855,"")</f>
        <v>Apprenant 843 ou 843'</v>
      </c>
      <c r="AB855" s="53" t="str">
        <f aca="false">IF(AND(OR('Choix pédagogiques'!$C$3=1,'Choix pédagogiques'!$C$3=2),$BN855=1),G855,IF(AND('Choix pédagogiques'!$C$3=3,$BO855=1),G855,""))</f>
        <v/>
      </c>
      <c r="AC855" s="53" t="str">
        <f aca="false">IF(AND(OR('Choix pédagogiques'!$C$3=1,'Choix pédagogiques'!$C$3=2),$BN855=1),H855,IF(AND('Choix pédagogiques'!$C$3=3,$BO855=1),H855,""))</f>
        <v/>
      </c>
      <c r="AD855" s="53" t="str">
        <f aca="false">IF(AND(OR('Choix pédagogiques'!$C$3=1,'Choix pédagogiques'!$C$3=2),$BN855=1),I855,IF(AND('Choix pédagogiques'!$C$3=3,$BO855=1),I855,""))</f>
        <v/>
      </c>
      <c r="AE855" s="53" t="str">
        <f aca="false">IF($J855&lt;&gt;"",$J855,"")</f>
        <v/>
      </c>
      <c r="AF855" s="52" t="str">
        <f aca="false">IF($A855&lt;&gt;"",$A855,"")</f>
        <v>Apprenant 843</v>
      </c>
      <c r="AG855" s="53" t="str">
        <f aca="false">IF(AND($W855&lt;&gt;"",$X855&lt;&gt;""),$X855-$W855,"")</f>
        <v/>
      </c>
      <c r="AH855" s="53" t="str">
        <f aca="false">IF(AND($W855&lt;&gt;"",$Y855&lt;&gt;""),$Y855-$W855,"")</f>
        <v/>
      </c>
      <c r="AI855" s="53" t="str">
        <f aca="false">IF(AND($X855&lt;&gt;"",$Y855&lt;&gt;""),$Y855-$X855,"")</f>
        <v/>
      </c>
      <c r="AJ855" s="53" t="str">
        <f aca="false">IF($E855&lt;&gt;"",$E855,"")</f>
        <v/>
      </c>
      <c r="AK855" s="52" t="str">
        <f aca="false">IF($F855&lt;&gt;"",$F855,"")</f>
        <v>Apprenant 843 ou 843'</v>
      </c>
      <c r="AL855" s="53" t="str">
        <f aca="false">IF(AND($AB855&lt;&gt;"",$AC855&lt;&gt;""),$AC855-$AB855,"")</f>
        <v/>
      </c>
      <c r="AM855" s="53" t="str">
        <f aca="false">IF(AND($AB855&lt;&gt;"",$AD855&lt;&gt;""),$AD855-$AB855,"")</f>
        <v/>
      </c>
      <c r="AN855" s="53" t="str">
        <f aca="false">IF(AND($AC855&lt;&gt;"",$AD855&lt;&gt;""),$AD855-$AC855,"")</f>
        <v/>
      </c>
      <c r="AO855" s="53" t="str">
        <f aca="false">IF($J855&lt;&gt;"",$J855,"")</f>
        <v/>
      </c>
      <c r="AQ855" s="52" t="str">
        <f aca="false">IF($A855&lt;&gt;"",$A855,"")</f>
        <v>Apprenant 843</v>
      </c>
      <c r="AR855" s="55" t="str">
        <f aca="false">IF(AND('Choix pédagogiques'!$C$4&lt;&gt;"?",'Choix pédagogiques'!$C$5&lt;&gt;"?",W855&lt;&gt;""),(W855-'Choix pédagogiques'!$C$4)/('Choix pédagogiques'!$C$5-'Choix pédagogiques'!$C$4),"")</f>
        <v/>
      </c>
      <c r="AS855" s="55" t="str">
        <f aca="false">IF(AND('Choix pédagogiques'!$C$4&lt;&gt;"?",'Choix pédagogiques'!$C$5&lt;&gt;"?",X855&lt;&gt;""),(X855-'Choix pédagogiques'!$C$4)/('Choix pédagogiques'!$C$5-'Choix pédagogiques'!$C$4),"")</f>
        <v/>
      </c>
      <c r="AT855" s="55" t="str">
        <f aca="false">IF(AND('Choix pédagogiques'!$C$4&lt;&gt;"?",'Choix pédagogiques'!$C$5&lt;&gt;"?",Y855&lt;&gt;""),(Y855-'Choix pédagogiques'!$C$4)/('Choix pédagogiques'!$C$5-'Choix pédagogiques'!$C$4),"")</f>
        <v/>
      </c>
      <c r="AU855" s="53" t="str">
        <f aca="false">IF($E855&lt;&gt;"",$E855,"")</f>
        <v/>
      </c>
      <c r="AV855" s="52" t="str">
        <f aca="false">IF($F855&lt;&gt;"",$F855,"")</f>
        <v>Apprenant 843 ou 843'</v>
      </c>
      <c r="AW855" s="55" t="str">
        <f aca="false">IF(AND('Choix pédagogiques'!$C$4&lt;&gt;"?",'Choix pédagogiques'!$C$5&lt;&gt;"?",AB855&lt;&gt;""),(AB855-'Choix pédagogiques'!$C$4)/('Choix pédagogiques'!$C$5-'Choix pédagogiques'!$C$4),"")</f>
        <v/>
      </c>
      <c r="AX855" s="55" t="str">
        <f aca="false">IF(AND('Choix pédagogiques'!$C$4&lt;&gt;"?",'Choix pédagogiques'!$C$5&lt;&gt;"?",AC855&lt;&gt;""),(AC855-'Choix pédagogiques'!$C$4)/('Choix pédagogiques'!$C$5-'Choix pédagogiques'!$C$4),"")</f>
        <v/>
      </c>
      <c r="AY855" s="55" t="str">
        <f aca="false">IF(AND('Choix pédagogiques'!$C$4&lt;&gt;"?",'Choix pédagogiques'!$C$5&lt;&gt;"?",AD855&lt;&gt;""),(AD855-'Choix pédagogiques'!$C$4)/('Choix pédagogiques'!$C$5-'Choix pédagogiques'!$C$4),"")</f>
        <v/>
      </c>
      <c r="AZ855" s="53" t="str">
        <f aca="false">IF($J855&lt;&gt;"",$J855,"")</f>
        <v/>
      </c>
      <c r="BA855" s="52" t="str">
        <f aca="false">IF($A855&lt;&gt;"",$A855,"")</f>
        <v>Apprenant 843</v>
      </c>
      <c r="BB855" s="55" t="str">
        <f aca="false">IF(AND($AR855&lt;&gt;"",$AS855&lt;&gt;""),$AS855-$AR855,"")</f>
        <v/>
      </c>
      <c r="BC855" s="55" t="str">
        <f aca="false">IF(AND($AR855&lt;&gt;"",$AT855&lt;&gt;""),$AT855-$AR855,"")</f>
        <v/>
      </c>
      <c r="BD855" s="55" t="str">
        <f aca="false">IF(AND($AS855&lt;&gt;"",$AT855&lt;&gt;""),$AT855-$AS855,"")</f>
        <v/>
      </c>
      <c r="BE855" s="53" t="str">
        <f aca="false">IF($E855&lt;&gt;"",$E855,"")</f>
        <v/>
      </c>
      <c r="BF855" s="52" t="str">
        <f aca="false">IF($F855&lt;&gt;"",$F855,"")</f>
        <v>Apprenant 843 ou 843'</v>
      </c>
      <c r="BG855" s="55" t="str">
        <f aca="false">IF(AND($AW855&lt;&gt;"",$AX855&lt;&gt;""),$AX855-$AW855,"")</f>
        <v/>
      </c>
      <c r="BH855" s="55" t="str">
        <f aca="false">IF(AND($AW855&lt;&gt;"",$AY855&lt;&gt;""),$AY855-$AW855,"")</f>
        <v/>
      </c>
      <c r="BI855" s="55" t="str">
        <f aca="false">IF(AND($AX855&lt;&gt;"",$AY855&lt;&gt;""),$AY855-$AX855,"")</f>
        <v/>
      </c>
      <c r="BJ855" s="53" t="str">
        <f aca="false">IF($J855&lt;&gt;"",$J855,"")</f>
        <v/>
      </c>
      <c r="BL855" s="52"/>
      <c r="BM855" s="52" t="str">
        <f aca="false">IF(OR(COUNT(B855:D1854)=0,AND('Choix pédagogiques'!$C$3&lt;&gt;1,'Choix pédagogiques'!$C$3&lt;&gt;2)),"",IF(AND(OR('Choix pédagogiques'!$C$3=1,'Choix pédagogiques'!$C$3=2),$B855&lt;&gt;"",$C855&lt;&gt;"",$D855&lt;&gt;""),1,0))</f>
        <v/>
      </c>
      <c r="BN855" s="52" t="str">
        <f aca="false">IF(OR(COUNT(G855:I1854)=0,AND('Choix pédagogiques'!$C$3&lt;&gt;1,'Choix pédagogiques'!$C$3&lt;&gt;2)),"",IF(AND(OR('Choix pédagogiques'!$C$3=1,'Choix pédagogiques'!$C$3=2),AND($G855&lt;&gt;"",$H855&lt;&gt;"",$I855&lt;&gt;"")),1,0))</f>
        <v/>
      </c>
      <c r="BO855" s="52" t="str">
        <f aca="false">IF(OR(COUNT(B855:D1854)=0,COUNT(G855:I1854)=0,'Choix pédagogiques'!C$3&lt;&gt;3),"",IF(AND('Choix pédagogiques'!$C$3=3,$B855&lt;&gt;"",$C855&lt;&gt;"",$D855&lt;&gt;"",$G855&lt;&gt;"",$H855&lt;&gt;"",$I855&lt;&gt;""),1,0))</f>
        <v/>
      </c>
      <c r="BR855" s="52" t="n">
        <v>345</v>
      </c>
      <c r="BS855" s="52" t="n">
        <v>1773</v>
      </c>
    </row>
    <row r="856" s="54" customFormat="true" ht="18" hidden="false" customHeight="true" outlineLevel="0" collapsed="false">
      <c r="A856" s="57" t="s">
        <v>1643</v>
      </c>
      <c r="B856" s="51"/>
      <c r="C856" s="51"/>
      <c r="D856" s="51"/>
      <c r="E856" s="51"/>
      <c r="F856" s="57" t="s">
        <v>1644</v>
      </c>
      <c r="G856" s="51"/>
      <c r="H856" s="51"/>
      <c r="I856" s="51"/>
      <c r="J856" s="51"/>
      <c r="K856" s="52" t="str">
        <f aca="false">IF($A856&lt;&gt;"",$A856,"")</f>
        <v>Apprenant 844</v>
      </c>
      <c r="L856" s="53" t="str">
        <f aca="false">IF(AND($B856&lt;&gt;"",$C856&lt;&gt;""),$C856-$B856,"")</f>
        <v/>
      </c>
      <c r="M856" s="53" t="str">
        <f aca="false">IF(AND($B856&lt;&gt;"",$D856&lt;&gt;""),$D856-$B856,"")</f>
        <v/>
      </c>
      <c r="N856" s="53" t="str">
        <f aca="false">IF(AND($C856&lt;&gt;"",$D856&lt;&gt;""),$D856-$C856,"")</f>
        <v/>
      </c>
      <c r="O856" s="53" t="str">
        <f aca="false">IF($E856&lt;&gt;"",$E856,"")</f>
        <v/>
      </c>
      <c r="P856" s="52" t="str">
        <f aca="false">IF($F856&lt;&gt;"",$F856,"")</f>
        <v>Apprenant 844 ou 844'</v>
      </c>
      <c r="Q856" s="53" t="str">
        <f aca="false">IF(AND($G856&lt;&gt;"",$H856&lt;&gt;""),$H856-$G856,"")</f>
        <v/>
      </c>
      <c r="R856" s="53" t="str">
        <f aca="false">IF(AND($G856&lt;&gt;"",$I856&lt;&gt;""),$I856-$G856,"")</f>
        <v/>
      </c>
      <c r="S856" s="53" t="str">
        <f aca="false">IF(AND($H856&lt;&gt;"",$I856&lt;&gt;""),$I856-$H856,"")</f>
        <v/>
      </c>
      <c r="T856" s="53" t="str">
        <f aca="false">IF($J856&lt;&gt;"",$J856,"")</f>
        <v/>
      </c>
      <c r="V856" s="52" t="str">
        <f aca="false">IF($A856&lt;&gt;"",$A856,"")</f>
        <v>Apprenant 844</v>
      </c>
      <c r="W856" s="53" t="str">
        <f aca="false">IF(AND(OR('Choix pédagogiques'!$C$3=1,'Choix pédagogiques'!$C$3=2),$BM856=1),B856,IF(AND('Choix pédagogiques'!$C$3=3,$BO856=1),B856,""))</f>
        <v/>
      </c>
      <c r="X856" s="53" t="str">
        <f aca="false">IF(AND(OR('Choix pédagogiques'!$C$3=1,'Choix pédagogiques'!$C$3=2),$BM856=1),C856,IF(AND('Choix pédagogiques'!$C$3=3,$BO856=1),C856,""))</f>
        <v/>
      </c>
      <c r="Y856" s="53" t="str">
        <f aca="false">IF(AND(OR('Choix pédagogiques'!$C$3=1,'Choix pédagogiques'!$C$3=2),$BM856=1),D856,IF(AND('Choix pédagogiques'!$C$3=3,$BO856=1),D856,""))</f>
        <v/>
      </c>
      <c r="Z856" s="53" t="str">
        <f aca="false">IF($E856&lt;&gt;"",$E856,"")</f>
        <v/>
      </c>
      <c r="AA856" s="52" t="str">
        <f aca="false">IF($F856&lt;&gt;"",$F856,"")</f>
        <v>Apprenant 844 ou 844'</v>
      </c>
      <c r="AB856" s="53" t="str">
        <f aca="false">IF(AND(OR('Choix pédagogiques'!$C$3=1,'Choix pédagogiques'!$C$3=2),$BN856=1),G856,IF(AND('Choix pédagogiques'!$C$3=3,$BO856=1),G856,""))</f>
        <v/>
      </c>
      <c r="AC856" s="53" t="str">
        <f aca="false">IF(AND(OR('Choix pédagogiques'!$C$3=1,'Choix pédagogiques'!$C$3=2),$BN856=1),H856,IF(AND('Choix pédagogiques'!$C$3=3,$BO856=1),H856,""))</f>
        <v/>
      </c>
      <c r="AD856" s="53" t="str">
        <f aca="false">IF(AND(OR('Choix pédagogiques'!$C$3=1,'Choix pédagogiques'!$C$3=2),$BN856=1),I856,IF(AND('Choix pédagogiques'!$C$3=3,$BO856=1),I856,""))</f>
        <v/>
      </c>
      <c r="AE856" s="53" t="str">
        <f aca="false">IF($J856&lt;&gt;"",$J856,"")</f>
        <v/>
      </c>
      <c r="AF856" s="52" t="str">
        <f aca="false">IF($A856&lt;&gt;"",$A856,"")</f>
        <v>Apprenant 844</v>
      </c>
      <c r="AG856" s="53" t="str">
        <f aca="false">IF(AND($W856&lt;&gt;"",$X856&lt;&gt;""),$X856-$W856,"")</f>
        <v/>
      </c>
      <c r="AH856" s="53" t="str">
        <f aca="false">IF(AND($W856&lt;&gt;"",$Y856&lt;&gt;""),$Y856-$W856,"")</f>
        <v/>
      </c>
      <c r="AI856" s="53" t="str">
        <f aca="false">IF(AND($X856&lt;&gt;"",$Y856&lt;&gt;""),$Y856-$X856,"")</f>
        <v/>
      </c>
      <c r="AJ856" s="53" t="str">
        <f aca="false">IF($E856&lt;&gt;"",$E856,"")</f>
        <v/>
      </c>
      <c r="AK856" s="52" t="str">
        <f aca="false">IF($F856&lt;&gt;"",$F856,"")</f>
        <v>Apprenant 844 ou 844'</v>
      </c>
      <c r="AL856" s="53" t="str">
        <f aca="false">IF(AND($AB856&lt;&gt;"",$AC856&lt;&gt;""),$AC856-$AB856,"")</f>
        <v/>
      </c>
      <c r="AM856" s="53" t="str">
        <f aca="false">IF(AND($AB856&lt;&gt;"",$AD856&lt;&gt;""),$AD856-$AB856,"")</f>
        <v/>
      </c>
      <c r="AN856" s="53" t="str">
        <f aca="false">IF(AND($AC856&lt;&gt;"",$AD856&lt;&gt;""),$AD856-$AC856,"")</f>
        <v/>
      </c>
      <c r="AO856" s="53" t="str">
        <f aca="false">IF($J856&lt;&gt;"",$J856,"")</f>
        <v/>
      </c>
      <c r="AQ856" s="52" t="str">
        <f aca="false">IF($A856&lt;&gt;"",$A856,"")</f>
        <v>Apprenant 844</v>
      </c>
      <c r="AR856" s="55" t="str">
        <f aca="false">IF(AND('Choix pédagogiques'!$C$4&lt;&gt;"?",'Choix pédagogiques'!$C$5&lt;&gt;"?",W856&lt;&gt;""),(W856-'Choix pédagogiques'!$C$4)/('Choix pédagogiques'!$C$5-'Choix pédagogiques'!$C$4),"")</f>
        <v/>
      </c>
      <c r="AS856" s="55" t="str">
        <f aca="false">IF(AND('Choix pédagogiques'!$C$4&lt;&gt;"?",'Choix pédagogiques'!$C$5&lt;&gt;"?",X856&lt;&gt;""),(X856-'Choix pédagogiques'!$C$4)/('Choix pédagogiques'!$C$5-'Choix pédagogiques'!$C$4),"")</f>
        <v/>
      </c>
      <c r="AT856" s="55" t="str">
        <f aca="false">IF(AND('Choix pédagogiques'!$C$4&lt;&gt;"?",'Choix pédagogiques'!$C$5&lt;&gt;"?",Y856&lt;&gt;""),(Y856-'Choix pédagogiques'!$C$4)/('Choix pédagogiques'!$C$5-'Choix pédagogiques'!$C$4),"")</f>
        <v/>
      </c>
      <c r="AU856" s="53" t="str">
        <f aca="false">IF($E856&lt;&gt;"",$E856,"")</f>
        <v/>
      </c>
      <c r="AV856" s="52" t="str">
        <f aca="false">IF($F856&lt;&gt;"",$F856,"")</f>
        <v>Apprenant 844 ou 844'</v>
      </c>
      <c r="AW856" s="55" t="str">
        <f aca="false">IF(AND('Choix pédagogiques'!$C$4&lt;&gt;"?",'Choix pédagogiques'!$C$5&lt;&gt;"?",AB856&lt;&gt;""),(AB856-'Choix pédagogiques'!$C$4)/('Choix pédagogiques'!$C$5-'Choix pédagogiques'!$C$4),"")</f>
        <v/>
      </c>
      <c r="AX856" s="55" t="str">
        <f aca="false">IF(AND('Choix pédagogiques'!$C$4&lt;&gt;"?",'Choix pédagogiques'!$C$5&lt;&gt;"?",AC856&lt;&gt;""),(AC856-'Choix pédagogiques'!$C$4)/('Choix pédagogiques'!$C$5-'Choix pédagogiques'!$C$4),"")</f>
        <v/>
      </c>
      <c r="AY856" s="55" t="str">
        <f aca="false">IF(AND('Choix pédagogiques'!$C$4&lt;&gt;"?",'Choix pédagogiques'!$C$5&lt;&gt;"?",AD856&lt;&gt;""),(AD856-'Choix pédagogiques'!$C$4)/('Choix pédagogiques'!$C$5-'Choix pédagogiques'!$C$4),"")</f>
        <v/>
      </c>
      <c r="AZ856" s="53" t="str">
        <f aca="false">IF($J856&lt;&gt;"",$J856,"")</f>
        <v/>
      </c>
      <c r="BA856" s="52" t="str">
        <f aca="false">IF($A856&lt;&gt;"",$A856,"")</f>
        <v>Apprenant 844</v>
      </c>
      <c r="BB856" s="55" t="str">
        <f aca="false">IF(AND($AR856&lt;&gt;"",$AS856&lt;&gt;""),$AS856-$AR856,"")</f>
        <v/>
      </c>
      <c r="BC856" s="55" t="str">
        <f aca="false">IF(AND($AR856&lt;&gt;"",$AT856&lt;&gt;""),$AT856-$AR856,"")</f>
        <v/>
      </c>
      <c r="BD856" s="55" t="str">
        <f aca="false">IF(AND($AS856&lt;&gt;"",$AT856&lt;&gt;""),$AT856-$AS856,"")</f>
        <v/>
      </c>
      <c r="BE856" s="53" t="str">
        <f aca="false">IF($E856&lt;&gt;"",$E856,"")</f>
        <v/>
      </c>
      <c r="BF856" s="52" t="str">
        <f aca="false">IF($F856&lt;&gt;"",$F856,"")</f>
        <v>Apprenant 844 ou 844'</v>
      </c>
      <c r="BG856" s="55" t="str">
        <f aca="false">IF(AND($AW856&lt;&gt;"",$AX856&lt;&gt;""),$AX856-$AW856,"")</f>
        <v/>
      </c>
      <c r="BH856" s="55" t="str">
        <f aca="false">IF(AND($AW856&lt;&gt;"",$AY856&lt;&gt;""),$AY856-$AW856,"")</f>
        <v/>
      </c>
      <c r="BI856" s="55" t="str">
        <f aca="false">IF(AND($AX856&lt;&gt;"",$AY856&lt;&gt;""),$AY856-$AX856,"")</f>
        <v/>
      </c>
      <c r="BJ856" s="53" t="str">
        <f aca="false">IF($J856&lt;&gt;"",$J856,"")</f>
        <v/>
      </c>
      <c r="BL856" s="52"/>
      <c r="BM856" s="52" t="str">
        <f aca="false">IF(OR(COUNT(B856:D1855)=0,AND('Choix pédagogiques'!$C$3&lt;&gt;1,'Choix pédagogiques'!$C$3&lt;&gt;2)),"",IF(AND(OR('Choix pédagogiques'!$C$3=1,'Choix pédagogiques'!$C$3=2),$B856&lt;&gt;"",$C856&lt;&gt;"",$D856&lt;&gt;""),1,0))</f>
        <v/>
      </c>
      <c r="BN856" s="52" t="str">
        <f aca="false">IF(OR(COUNT(G856:I1855)=0,AND('Choix pédagogiques'!$C$3&lt;&gt;1,'Choix pédagogiques'!$C$3&lt;&gt;2)),"",IF(AND(OR('Choix pédagogiques'!$C$3=1,'Choix pédagogiques'!$C$3=2),AND($G856&lt;&gt;"",$H856&lt;&gt;"",$I856&lt;&gt;"")),1,0))</f>
        <v/>
      </c>
      <c r="BO856" s="52" t="str">
        <f aca="false">IF(OR(COUNT(B856:D1855)=0,COUNT(G856:I1855)=0,'Choix pédagogiques'!C$3&lt;&gt;3),"",IF(AND('Choix pédagogiques'!$C$3=3,$B856&lt;&gt;"",$C856&lt;&gt;"",$D856&lt;&gt;"",$G856&lt;&gt;"",$H856&lt;&gt;"",$I856&lt;&gt;""),1,0))</f>
        <v/>
      </c>
      <c r="BR856" s="52" t="n">
        <v>100</v>
      </c>
      <c r="BS856" s="52" t="n">
        <v>1765</v>
      </c>
    </row>
    <row r="857" s="54" customFormat="true" ht="18" hidden="false" customHeight="true" outlineLevel="0" collapsed="false">
      <c r="A857" s="57" t="s">
        <v>1645</v>
      </c>
      <c r="B857" s="51"/>
      <c r="C857" s="51"/>
      <c r="D857" s="51"/>
      <c r="E857" s="51"/>
      <c r="F857" s="57" t="s">
        <v>1646</v>
      </c>
      <c r="G857" s="51"/>
      <c r="H857" s="51"/>
      <c r="I857" s="51"/>
      <c r="J857" s="51"/>
      <c r="K857" s="52" t="str">
        <f aca="false">IF($A857&lt;&gt;"",$A857,"")</f>
        <v>Apprenant 845</v>
      </c>
      <c r="L857" s="53" t="str">
        <f aca="false">IF(AND($B857&lt;&gt;"",$C857&lt;&gt;""),$C857-$B857,"")</f>
        <v/>
      </c>
      <c r="M857" s="53" t="str">
        <f aca="false">IF(AND($B857&lt;&gt;"",$D857&lt;&gt;""),$D857-$B857,"")</f>
        <v/>
      </c>
      <c r="N857" s="53" t="str">
        <f aca="false">IF(AND($C857&lt;&gt;"",$D857&lt;&gt;""),$D857-$C857,"")</f>
        <v/>
      </c>
      <c r="O857" s="53" t="str">
        <f aca="false">IF($E857&lt;&gt;"",$E857,"")</f>
        <v/>
      </c>
      <c r="P857" s="52" t="str">
        <f aca="false">IF($F857&lt;&gt;"",$F857,"")</f>
        <v>Apprenant 845 ou 845'</v>
      </c>
      <c r="Q857" s="53" t="str">
        <f aca="false">IF(AND($G857&lt;&gt;"",$H857&lt;&gt;""),$H857-$G857,"")</f>
        <v/>
      </c>
      <c r="R857" s="53" t="str">
        <f aca="false">IF(AND($G857&lt;&gt;"",$I857&lt;&gt;""),$I857-$G857,"")</f>
        <v/>
      </c>
      <c r="S857" s="53" t="str">
        <f aca="false">IF(AND($H857&lt;&gt;"",$I857&lt;&gt;""),$I857-$H857,"")</f>
        <v/>
      </c>
      <c r="T857" s="53" t="str">
        <f aca="false">IF($J857&lt;&gt;"",$J857,"")</f>
        <v/>
      </c>
      <c r="V857" s="52" t="str">
        <f aca="false">IF($A857&lt;&gt;"",$A857,"")</f>
        <v>Apprenant 845</v>
      </c>
      <c r="W857" s="53" t="str">
        <f aca="false">IF(AND(OR('Choix pédagogiques'!$C$3=1,'Choix pédagogiques'!$C$3=2),$BM857=1),B857,IF(AND('Choix pédagogiques'!$C$3=3,$BO857=1),B857,""))</f>
        <v/>
      </c>
      <c r="X857" s="53" t="str">
        <f aca="false">IF(AND(OR('Choix pédagogiques'!$C$3=1,'Choix pédagogiques'!$C$3=2),$BM857=1),C857,IF(AND('Choix pédagogiques'!$C$3=3,$BO857=1),C857,""))</f>
        <v/>
      </c>
      <c r="Y857" s="53" t="str">
        <f aca="false">IF(AND(OR('Choix pédagogiques'!$C$3=1,'Choix pédagogiques'!$C$3=2),$BM857=1),D857,IF(AND('Choix pédagogiques'!$C$3=3,$BO857=1),D857,""))</f>
        <v/>
      </c>
      <c r="Z857" s="53" t="str">
        <f aca="false">IF($E857&lt;&gt;"",$E857,"")</f>
        <v/>
      </c>
      <c r="AA857" s="52" t="str">
        <f aca="false">IF($F857&lt;&gt;"",$F857,"")</f>
        <v>Apprenant 845 ou 845'</v>
      </c>
      <c r="AB857" s="53" t="str">
        <f aca="false">IF(AND(OR('Choix pédagogiques'!$C$3=1,'Choix pédagogiques'!$C$3=2),$BN857=1),G857,IF(AND('Choix pédagogiques'!$C$3=3,$BO857=1),G857,""))</f>
        <v/>
      </c>
      <c r="AC857" s="53" t="str">
        <f aca="false">IF(AND(OR('Choix pédagogiques'!$C$3=1,'Choix pédagogiques'!$C$3=2),$BN857=1),H857,IF(AND('Choix pédagogiques'!$C$3=3,$BO857=1),H857,""))</f>
        <v/>
      </c>
      <c r="AD857" s="53" t="str">
        <f aca="false">IF(AND(OR('Choix pédagogiques'!$C$3=1,'Choix pédagogiques'!$C$3=2),$BN857=1),I857,IF(AND('Choix pédagogiques'!$C$3=3,$BO857=1),I857,""))</f>
        <v/>
      </c>
      <c r="AE857" s="53" t="str">
        <f aca="false">IF($J857&lt;&gt;"",$J857,"")</f>
        <v/>
      </c>
      <c r="AF857" s="52" t="str">
        <f aca="false">IF($A857&lt;&gt;"",$A857,"")</f>
        <v>Apprenant 845</v>
      </c>
      <c r="AG857" s="53" t="str">
        <f aca="false">IF(AND($W857&lt;&gt;"",$X857&lt;&gt;""),$X857-$W857,"")</f>
        <v/>
      </c>
      <c r="AH857" s="53" t="str">
        <f aca="false">IF(AND($W857&lt;&gt;"",$Y857&lt;&gt;""),$Y857-$W857,"")</f>
        <v/>
      </c>
      <c r="AI857" s="53" t="str">
        <f aca="false">IF(AND($X857&lt;&gt;"",$Y857&lt;&gt;""),$Y857-$X857,"")</f>
        <v/>
      </c>
      <c r="AJ857" s="53" t="str">
        <f aca="false">IF($E857&lt;&gt;"",$E857,"")</f>
        <v/>
      </c>
      <c r="AK857" s="52" t="str">
        <f aca="false">IF($F857&lt;&gt;"",$F857,"")</f>
        <v>Apprenant 845 ou 845'</v>
      </c>
      <c r="AL857" s="53" t="str">
        <f aca="false">IF(AND($AB857&lt;&gt;"",$AC857&lt;&gt;""),$AC857-$AB857,"")</f>
        <v/>
      </c>
      <c r="AM857" s="53" t="str">
        <f aca="false">IF(AND($AB857&lt;&gt;"",$AD857&lt;&gt;""),$AD857-$AB857,"")</f>
        <v/>
      </c>
      <c r="AN857" s="53" t="str">
        <f aca="false">IF(AND($AC857&lt;&gt;"",$AD857&lt;&gt;""),$AD857-$AC857,"")</f>
        <v/>
      </c>
      <c r="AO857" s="53" t="str">
        <f aca="false">IF($J857&lt;&gt;"",$J857,"")</f>
        <v/>
      </c>
      <c r="AQ857" s="52" t="str">
        <f aca="false">IF($A857&lt;&gt;"",$A857,"")</f>
        <v>Apprenant 845</v>
      </c>
      <c r="AR857" s="55" t="str">
        <f aca="false">IF(AND('Choix pédagogiques'!$C$4&lt;&gt;"?",'Choix pédagogiques'!$C$5&lt;&gt;"?",W857&lt;&gt;""),(W857-'Choix pédagogiques'!$C$4)/('Choix pédagogiques'!$C$5-'Choix pédagogiques'!$C$4),"")</f>
        <v/>
      </c>
      <c r="AS857" s="55" t="str">
        <f aca="false">IF(AND('Choix pédagogiques'!$C$4&lt;&gt;"?",'Choix pédagogiques'!$C$5&lt;&gt;"?",X857&lt;&gt;""),(X857-'Choix pédagogiques'!$C$4)/('Choix pédagogiques'!$C$5-'Choix pédagogiques'!$C$4),"")</f>
        <v/>
      </c>
      <c r="AT857" s="55" t="str">
        <f aca="false">IF(AND('Choix pédagogiques'!$C$4&lt;&gt;"?",'Choix pédagogiques'!$C$5&lt;&gt;"?",Y857&lt;&gt;""),(Y857-'Choix pédagogiques'!$C$4)/('Choix pédagogiques'!$C$5-'Choix pédagogiques'!$C$4),"")</f>
        <v/>
      </c>
      <c r="AU857" s="53" t="str">
        <f aca="false">IF($E857&lt;&gt;"",$E857,"")</f>
        <v/>
      </c>
      <c r="AV857" s="52" t="str">
        <f aca="false">IF($F857&lt;&gt;"",$F857,"")</f>
        <v>Apprenant 845 ou 845'</v>
      </c>
      <c r="AW857" s="55" t="str">
        <f aca="false">IF(AND('Choix pédagogiques'!$C$4&lt;&gt;"?",'Choix pédagogiques'!$C$5&lt;&gt;"?",AB857&lt;&gt;""),(AB857-'Choix pédagogiques'!$C$4)/('Choix pédagogiques'!$C$5-'Choix pédagogiques'!$C$4),"")</f>
        <v/>
      </c>
      <c r="AX857" s="55" t="str">
        <f aca="false">IF(AND('Choix pédagogiques'!$C$4&lt;&gt;"?",'Choix pédagogiques'!$C$5&lt;&gt;"?",AC857&lt;&gt;""),(AC857-'Choix pédagogiques'!$C$4)/('Choix pédagogiques'!$C$5-'Choix pédagogiques'!$C$4),"")</f>
        <v/>
      </c>
      <c r="AY857" s="55" t="str">
        <f aca="false">IF(AND('Choix pédagogiques'!$C$4&lt;&gt;"?",'Choix pédagogiques'!$C$5&lt;&gt;"?",AD857&lt;&gt;""),(AD857-'Choix pédagogiques'!$C$4)/('Choix pédagogiques'!$C$5-'Choix pédagogiques'!$C$4),"")</f>
        <v/>
      </c>
      <c r="AZ857" s="53" t="str">
        <f aca="false">IF($J857&lt;&gt;"",$J857,"")</f>
        <v/>
      </c>
      <c r="BA857" s="52" t="str">
        <f aca="false">IF($A857&lt;&gt;"",$A857,"")</f>
        <v>Apprenant 845</v>
      </c>
      <c r="BB857" s="55" t="str">
        <f aca="false">IF(AND($AR857&lt;&gt;"",$AS857&lt;&gt;""),$AS857-$AR857,"")</f>
        <v/>
      </c>
      <c r="BC857" s="55" t="str">
        <f aca="false">IF(AND($AR857&lt;&gt;"",$AT857&lt;&gt;""),$AT857-$AR857,"")</f>
        <v/>
      </c>
      <c r="BD857" s="55" t="str">
        <f aca="false">IF(AND($AS857&lt;&gt;"",$AT857&lt;&gt;""),$AT857-$AS857,"")</f>
        <v/>
      </c>
      <c r="BE857" s="53" t="str">
        <f aca="false">IF($E857&lt;&gt;"",$E857,"")</f>
        <v/>
      </c>
      <c r="BF857" s="52" t="str">
        <f aca="false">IF($F857&lt;&gt;"",$F857,"")</f>
        <v>Apprenant 845 ou 845'</v>
      </c>
      <c r="BG857" s="55" t="str">
        <f aca="false">IF(AND($AW857&lt;&gt;"",$AX857&lt;&gt;""),$AX857-$AW857,"")</f>
        <v/>
      </c>
      <c r="BH857" s="55" t="str">
        <f aca="false">IF(AND($AW857&lt;&gt;"",$AY857&lt;&gt;""),$AY857-$AW857,"")</f>
        <v/>
      </c>
      <c r="BI857" s="55" t="str">
        <f aca="false">IF(AND($AX857&lt;&gt;"",$AY857&lt;&gt;""),$AY857-$AX857,"")</f>
        <v/>
      </c>
      <c r="BJ857" s="53" t="str">
        <f aca="false">IF($J857&lt;&gt;"",$J857,"")</f>
        <v/>
      </c>
      <c r="BL857" s="52"/>
      <c r="BM857" s="52" t="str">
        <f aca="false">IF(OR(COUNT(B857:D1856)=0,AND('Choix pédagogiques'!$C$3&lt;&gt;1,'Choix pédagogiques'!$C$3&lt;&gt;2)),"",IF(AND(OR('Choix pédagogiques'!$C$3=1,'Choix pédagogiques'!$C$3=2),$B857&lt;&gt;"",$C857&lt;&gt;"",$D857&lt;&gt;""),1,0))</f>
        <v/>
      </c>
      <c r="BN857" s="52" t="str">
        <f aca="false">IF(OR(COUNT(G857:I1856)=0,AND('Choix pédagogiques'!$C$3&lt;&gt;1,'Choix pédagogiques'!$C$3&lt;&gt;2)),"",IF(AND(OR('Choix pédagogiques'!$C$3=1,'Choix pédagogiques'!$C$3=2),AND($G857&lt;&gt;"",$H857&lt;&gt;"",$I857&lt;&gt;"")),1,0))</f>
        <v/>
      </c>
      <c r="BO857" s="52" t="str">
        <f aca="false">IF(OR(COUNT(B857:D1856)=0,COUNT(G857:I1856)=0,'Choix pédagogiques'!C$3&lt;&gt;3),"",IF(AND('Choix pédagogiques'!$C$3=3,$B857&lt;&gt;"",$C857&lt;&gt;"",$D857&lt;&gt;"",$G857&lt;&gt;"",$H857&lt;&gt;"",$I857&lt;&gt;""),1,0))</f>
        <v/>
      </c>
      <c r="BR857" s="52" t="n">
        <v>407</v>
      </c>
      <c r="BS857" s="52" t="n">
        <v>1458</v>
      </c>
    </row>
    <row r="858" s="54" customFormat="true" ht="18" hidden="false" customHeight="true" outlineLevel="0" collapsed="false">
      <c r="A858" s="57" t="s">
        <v>1647</v>
      </c>
      <c r="B858" s="51"/>
      <c r="C858" s="51"/>
      <c r="D858" s="51"/>
      <c r="E858" s="51"/>
      <c r="F858" s="57" t="s">
        <v>1648</v>
      </c>
      <c r="G858" s="51"/>
      <c r="H858" s="51"/>
      <c r="I858" s="51"/>
      <c r="J858" s="51"/>
      <c r="K858" s="52" t="str">
        <f aca="false">IF($A858&lt;&gt;"",$A858,"")</f>
        <v>Apprenant 846</v>
      </c>
      <c r="L858" s="53" t="str">
        <f aca="false">IF(AND($B858&lt;&gt;"",$C858&lt;&gt;""),$C858-$B858,"")</f>
        <v/>
      </c>
      <c r="M858" s="53" t="str">
        <f aca="false">IF(AND($B858&lt;&gt;"",$D858&lt;&gt;""),$D858-$B858,"")</f>
        <v/>
      </c>
      <c r="N858" s="53" t="str">
        <f aca="false">IF(AND($C858&lt;&gt;"",$D858&lt;&gt;""),$D858-$C858,"")</f>
        <v/>
      </c>
      <c r="O858" s="53" t="str">
        <f aca="false">IF($E858&lt;&gt;"",$E858,"")</f>
        <v/>
      </c>
      <c r="P858" s="52" t="str">
        <f aca="false">IF($F858&lt;&gt;"",$F858,"")</f>
        <v>Apprenant 846 ou 846'</v>
      </c>
      <c r="Q858" s="53" t="str">
        <f aca="false">IF(AND($G858&lt;&gt;"",$H858&lt;&gt;""),$H858-$G858,"")</f>
        <v/>
      </c>
      <c r="R858" s="53" t="str">
        <f aca="false">IF(AND($G858&lt;&gt;"",$I858&lt;&gt;""),$I858-$G858,"")</f>
        <v/>
      </c>
      <c r="S858" s="53" t="str">
        <f aca="false">IF(AND($H858&lt;&gt;"",$I858&lt;&gt;""),$I858-$H858,"")</f>
        <v/>
      </c>
      <c r="T858" s="53" t="str">
        <f aca="false">IF($J858&lt;&gt;"",$J858,"")</f>
        <v/>
      </c>
      <c r="V858" s="52" t="str">
        <f aca="false">IF($A858&lt;&gt;"",$A858,"")</f>
        <v>Apprenant 846</v>
      </c>
      <c r="W858" s="53" t="str">
        <f aca="false">IF(AND(OR('Choix pédagogiques'!$C$3=1,'Choix pédagogiques'!$C$3=2),$BM858=1),B858,IF(AND('Choix pédagogiques'!$C$3=3,$BO858=1),B858,""))</f>
        <v/>
      </c>
      <c r="X858" s="53" t="str">
        <f aca="false">IF(AND(OR('Choix pédagogiques'!$C$3=1,'Choix pédagogiques'!$C$3=2),$BM858=1),C858,IF(AND('Choix pédagogiques'!$C$3=3,$BO858=1),C858,""))</f>
        <v/>
      </c>
      <c r="Y858" s="53" t="str">
        <f aca="false">IF(AND(OR('Choix pédagogiques'!$C$3=1,'Choix pédagogiques'!$C$3=2),$BM858=1),D858,IF(AND('Choix pédagogiques'!$C$3=3,$BO858=1),D858,""))</f>
        <v/>
      </c>
      <c r="Z858" s="53" t="str">
        <f aca="false">IF($E858&lt;&gt;"",$E858,"")</f>
        <v/>
      </c>
      <c r="AA858" s="52" t="str">
        <f aca="false">IF($F858&lt;&gt;"",$F858,"")</f>
        <v>Apprenant 846 ou 846'</v>
      </c>
      <c r="AB858" s="53" t="str">
        <f aca="false">IF(AND(OR('Choix pédagogiques'!$C$3=1,'Choix pédagogiques'!$C$3=2),$BN858=1),G858,IF(AND('Choix pédagogiques'!$C$3=3,$BO858=1),G858,""))</f>
        <v/>
      </c>
      <c r="AC858" s="53" t="str">
        <f aca="false">IF(AND(OR('Choix pédagogiques'!$C$3=1,'Choix pédagogiques'!$C$3=2),$BN858=1),H858,IF(AND('Choix pédagogiques'!$C$3=3,$BO858=1),H858,""))</f>
        <v/>
      </c>
      <c r="AD858" s="53" t="str">
        <f aca="false">IF(AND(OR('Choix pédagogiques'!$C$3=1,'Choix pédagogiques'!$C$3=2),$BN858=1),I858,IF(AND('Choix pédagogiques'!$C$3=3,$BO858=1),I858,""))</f>
        <v/>
      </c>
      <c r="AE858" s="53" t="str">
        <f aca="false">IF($J858&lt;&gt;"",$J858,"")</f>
        <v/>
      </c>
      <c r="AF858" s="52" t="str">
        <f aca="false">IF($A858&lt;&gt;"",$A858,"")</f>
        <v>Apprenant 846</v>
      </c>
      <c r="AG858" s="53" t="str">
        <f aca="false">IF(AND($W858&lt;&gt;"",$X858&lt;&gt;""),$X858-$W858,"")</f>
        <v/>
      </c>
      <c r="AH858" s="53" t="str">
        <f aca="false">IF(AND($W858&lt;&gt;"",$Y858&lt;&gt;""),$Y858-$W858,"")</f>
        <v/>
      </c>
      <c r="AI858" s="53" t="str">
        <f aca="false">IF(AND($X858&lt;&gt;"",$Y858&lt;&gt;""),$Y858-$X858,"")</f>
        <v/>
      </c>
      <c r="AJ858" s="53" t="str">
        <f aca="false">IF($E858&lt;&gt;"",$E858,"")</f>
        <v/>
      </c>
      <c r="AK858" s="52" t="str">
        <f aca="false">IF($F858&lt;&gt;"",$F858,"")</f>
        <v>Apprenant 846 ou 846'</v>
      </c>
      <c r="AL858" s="53" t="str">
        <f aca="false">IF(AND($AB858&lt;&gt;"",$AC858&lt;&gt;""),$AC858-$AB858,"")</f>
        <v/>
      </c>
      <c r="AM858" s="53" t="str">
        <f aca="false">IF(AND($AB858&lt;&gt;"",$AD858&lt;&gt;""),$AD858-$AB858,"")</f>
        <v/>
      </c>
      <c r="AN858" s="53" t="str">
        <f aca="false">IF(AND($AC858&lt;&gt;"",$AD858&lt;&gt;""),$AD858-$AC858,"")</f>
        <v/>
      </c>
      <c r="AO858" s="53" t="str">
        <f aca="false">IF($J858&lt;&gt;"",$J858,"")</f>
        <v/>
      </c>
      <c r="AQ858" s="52" t="str">
        <f aca="false">IF($A858&lt;&gt;"",$A858,"")</f>
        <v>Apprenant 846</v>
      </c>
      <c r="AR858" s="55" t="str">
        <f aca="false">IF(AND('Choix pédagogiques'!$C$4&lt;&gt;"?",'Choix pédagogiques'!$C$5&lt;&gt;"?",W858&lt;&gt;""),(W858-'Choix pédagogiques'!$C$4)/('Choix pédagogiques'!$C$5-'Choix pédagogiques'!$C$4),"")</f>
        <v/>
      </c>
      <c r="AS858" s="55" t="str">
        <f aca="false">IF(AND('Choix pédagogiques'!$C$4&lt;&gt;"?",'Choix pédagogiques'!$C$5&lt;&gt;"?",X858&lt;&gt;""),(X858-'Choix pédagogiques'!$C$4)/('Choix pédagogiques'!$C$5-'Choix pédagogiques'!$C$4),"")</f>
        <v/>
      </c>
      <c r="AT858" s="55" t="str">
        <f aca="false">IF(AND('Choix pédagogiques'!$C$4&lt;&gt;"?",'Choix pédagogiques'!$C$5&lt;&gt;"?",Y858&lt;&gt;""),(Y858-'Choix pédagogiques'!$C$4)/('Choix pédagogiques'!$C$5-'Choix pédagogiques'!$C$4),"")</f>
        <v/>
      </c>
      <c r="AU858" s="53" t="str">
        <f aca="false">IF($E858&lt;&gt;"",$E858,"")</f>
        <v/>
      </c>
      <c r="AV858" s="52" t="str">
        <f aca="false">IF($F858&lt;&gt;"",$F858,"")</f>
        <v>Apprenant 846 ou 846'</v>
      </c>
      <c r="AW858" s="55" t="str">
        <f aca="false">IF(AND('Choix pédagogiques'!$C$4&lt;&gt;"?",'Choix pédagogiques'!$C$5&lt;&gt;"?",AB858&lt;&gt;""),(AB858-'Choix pédagogiques'!$C$4)/('Choix pédagogiques'!$C$5-'Choix pédagogiques'!$C$4),"")</f>
        <v/>
      </c>
      <c r="AX858" s="55" t="str">
        <f aca="false">IF(AND('Choix pédagogiques'!$C$4&lt;&gt;"?",'Choix pédagogiques'!$C$5&lt;&gt;"?",AC858&lt;&gt;""),(AC858-'Choix pédagogiques'!$C$4)/('Choix pédagogiques'!$C$5-'Choix pédagogiques'!$C$4),"")</f>
        <v/>
      </c>
      <c r="AY858" s="55" t="str">
        <f aca="false">IF(AND('Choix pédagogiques'!$C$4&lt;&gt;"?",'Choix pédagogiques'!$C$5&lt;&gt;"?",AD858&lt;&gt;""),(AD858-'Choix pédagogiques'!$C$4)/('Choix pédagogiques'!$C$5-'Choix pédagogiques'!$C$4),"")</f>
        <v/>
      </c>
      <c r="AZ858" s="53" t="str">
        <f aca="false">IF($J858&lt;&gt;"",$J858,"")</f>
        <v/>
      </c>
      <c r="BA858" s="52" t="str">
        <f aca="false">IF($A858&lt;&gt;"",$A858,"")</f>
        <v>Apprenant 846</v>
      </c>
      <c r="BB858" s="55" t="str">
        <f aca="false">IF(AND($AR858&lt;&gt;"",$AS858&lt;&gt;""),$AS858-$AR858,"")</f>
        <v/>
      </c>
      <c r="BC858" s="55" t="str">
        <f aca="false">IF(AND($AR858&lt;&gt;"",$AT858&lt;&gt;""),$AT858-$AR858,"")</f>
        <v/>
      </c>
      <c r="BD858" s="55" t="str">
        <f aca="false">IF(AND($AS858&lt;&gt;"",$AT858&lt;&gt;""),$AT858-$AS858,"")</f>
        <v/>
      </c>
      <c r="BE858" s="53" t="str">
        <f aca="false">IF($E858&lt;&gt;"",$E858,"")</f>
        <v/>
      </c>
      <c r="BF858" s="52" t="str">
        <f aca="false">IF($F858&lt;&gt;"",$F858,"")</f>
        <v>Apprenant 846 ou 846'</v>
      </c>
      <c r="BG858" s="55" t="str">
        <f aca="false">IF(AND($AW858&lt;&gt;"",$AX858&lt;&gt;""),$AX858-$AW858,"")</f>
        <v/>
      </c>
      <c r="BH858" s="55" t="str">
        <f aca="false">IF(AND($AW858&lt;&gt;"",$AY858&lt;&gt;""),$AY858-$AW858,"")</f>
        <v/>
      </c>
      <c r="BI858" s="55" t="str">
        <f aca="false">IF(AND($AX858&lt;&gt;"",$AY858&lt;&gt;""),$AY858-$AX858,"")</f>
        <v/>
      </c>
      <c r="BJ858" s="53" t="str">
        <f aca="false">IF($J858&lt;&gt;"",$J858,"")</f>
        <v/>
      </c>
      <c r="BL858" s="52"/>
      <c r="BM858" s="52" t="str">
        <f aca="false">IF(OR(COUNT(B858:D1857)=0,AND('Choix pédagogiques'!$C$3&lt;&gt;1,'Choix pédagogiques'!$C$3&lt;&gt;2)),"",IF(AND(OR('Choix pédagogiques'!$C$3=1,'Choix pédagogiques'!$C$3=2),$B858&lt;&gt;"",$C858&lt;&gt;"",$D858&lt;&gt;""),1,0))</f>
        <v/>
      </c>
      <c r="BN858" s="52" t="str">
        <f aca="false">IF(OR(COUNT(G858:I1857)=0,AND('Choix pédagogiques'!$C$3&lt;&gt;1,'Choix pédagogiques'!$C$3&lt;&gt;2)),"",IF(AND(OR('Choix pédagogiques'!$C$3=1,'Choix pédagogiques'!$C$3=2),AND($G858&lt;&gt;"",$H858&lt;&gt;"",$I858&lt;&gt;"")),1,0))</f>
        <v/>
      </c>
      <c r="BO858" s="52" t="str">
        <f aca="false">IF(OR(COUNT(B858:D1857)=0,COUNT(G858:I1857)=0,'Choix pédagogiques'!C$3&lt;&gt;3),"",IF(AND('Choix pédagogiques'!$C$3=3,$B858&lt;&gt;"",$C858&lt;&gt;"",$D858&lt;&gt;"",$G858&lt;&gt;"",$H858&lt;&gt;"",$I858&lt;&gt;""),1,0))</f>
        <v/>
      </c>
      <c r="BR858" s="52" t="n">
        <v>361</v>
      </c>
      <c r="BS858" s="52" t="n">
        <v>1378</v>
      </c>
    </row>
    <row r="859" s="54" customFormat="true" ht="18" hidden="false" customHeight="true" outlineLevel="0" collapsed="false">
      <c r="A859" s="57" t="s">
        <v>1649</v>
      </c>
      <c r="B859" s="51"/>
      <c r="C859" s="51"/>
      <c r="D859" s="51"/>
      <c r="E859" s="51"/>
      <c r="F859" s="57" t="s">
        <v>1650</v>
      </c>
      <c r="G859" s="51"/>
      <c r="H859" s="51"/>
      <c r="I859" s="51"/>
      <c r="J859" s="51"/>
      <c r="K859" s="52" t="str">
        <f aca="false">IF($A859&lt;&gt;"",$A859,"")</f>
        <v>Apprenant 847</v>
      </c>
      <c r="L859" s="53" t="str">
        <f aca="false">IF(AND($B859&lt;&gt;"",$C859&lt;&gt;""),$C859-$B859,"")</f>
        <v/>
      </c>
      <c r="M859" s="53" t="str">
        <f aca="false">IF(AND($B859&lt;&gt;"",$D859&lt;&gt;""),$D859-$B859,"")</f>
        <v/>
      </c>
      <c r="N859" s="53" t="str">
        <f aca="false">IF(AND($C859&lt;&gt;"",$D859&lt;&gt;""),$D859-$C859,"")</f>
        <v/>
      </c>
      <c r="O859" s="53" t="str">
        <f aca="false">IF($E859&lt;&gt;"",$E859,"")</f>
        <v/>
      </c>
      <c r="P859" s="52" t="str">
        <f aca="false">IF($F859&lt;&gt;"",$F859,"")</f>
        <v>Apprenant 847 ou 847'</v>
      </c>
      <c r="Q859" s="53" t="str">
        <f aca="false">IF(AND($G859&lt;&gt;"",$H859&lt;&gt;""),$H859-$G859,"")</f>
        <v/>
      </c>
      <c r="R859" s="53" t="str">
        <f aca="false">IF(AND($G859&lt;&gt;"",$I859&lt;&gt;""),$I859-$G859,"")</f>
        <v/>
      </c>
      <c r="S859" s="53" t="str">
        <f aca="false">IF(AND($H859&lt;&gt;"",$I859&lt;&gt;""),$I859-$H859,"")</f>
        <v/>
      </c>
      <c r="T859" s="53" t="str">
        <f aca="false">IF($J859&lt;&gt;"",$J859,"")</f>
        <v/>
      </c>
      <c r="V859" s="52" t="str">
        <f aca="false">IF($A859&lt;&gt;"",$A859,"")</f>
        <v>Apprenant 847</v>
      </c>
      <c r="W859" s="53" t="str">
        <f aca="false">IF(AND(OR('Choix pédagogiques'!$C$3=1,'Choix pédagogiques'!$C$3=2),$BM859=1),B859,IF(AND('Choix pédagogiques'!$C$3=3,$BO859=1),B859,""))</f>
        <v/>
      </c>
      <c r="X859" s="53" t="str">
        <f aca="false">IF(AND(OR('Choix pédagogiques'!$C$3=1,'Choix pédagogiques'!$C$3=2),$BM859=1),C859,IF(AND('Choix pédagogiques'!$C$3=3,$BO859=1),C859,""))</f>
        <v/>
      </c>
      <c r="Y859" s="53" t="str">
        <f aca="false">IF(AND(OR('Choix pédagogiques'!$C$3=1,'Choix pédagogiques'!$C$3=2),$BM859=1),D859,IF(AND('Choix pédagogiques'!$C$3=3,$BO859=1),D859,""))</f>
        <v/>
      </c>
      <c r="Z859" s="53" t="str">
        <f aca="false">IF($E859&lt;&gt;"",$E859,"")</f>
        <v/>
      </c>
      <c r="AA859" s="52" t="str">
        <f aca="false">IF($F859&lt;&gt;"",$F859,"")</f>
        <v>Apprenant 847 ou 847'</v>
      </c>
      <c r="AB859" s="53" t="str">
        <f aca="false">IF(AND(OR('Choix pédagogiques'!$C$3=1,'Choix pédagogiques'!$C$3=2),$BN859=1),G859,IF(AND('Choix pédagogiques'!$C$3=3,$BO859=1),G859,""))</f>
        <v/>
      </c>
      <c r="AC859" s="53" t="str">
        <f aca="false">IF(AND(OR('Choix pédagogiques'!$C$3=1,'Choix pédagogiques'!$C$3=2),$BN859=1),H859,IF(AND('Choix pédagogiques'!$C$3=3,$BO859=1),H859,""))</f>
        <v/>
      </c>
      <c r="AD859" s="53" t="str">
        <f aca="false">IF(AND(OR('Choix pédagogiques'!$C$3=1,'Choix pédagogiques'!$C$3=2),$BN859=1),I859,IF(AND('Choix pédagogiques'!$C$3=3,$BO859=1),I859,""))</f>
        <v/>
      </c>
      <c r="AE859" s="53" t="str">
        <f aca="false">IF($J859&lt;&gt;"",$J859,"")</f>
        <v/>
      </c>
      <c r="AF859" s="52" t="str">
        <f aca="false">IF($A859&lt;&gt;"",$A859,"")</f>
        <v>Apprenant 847</v>
      </c>
      <c r="AG859" s="53" t="str">
        <f aca="false">IF(AND($W859&lt;&gt;"",$X859&lt;&gt;""),$X859-$W859,"")</f>
        <v/>
      </c>
      <c r="AH859" s="53" t="str">
        <f aca="false">IF(AND($W859&lt;&gt;"",$Y859&lt;&gt;""),$Y859-$W859,"")</f>
        <v/>
      </c>
      <c r="AI859" s="53" t="str">
        <f aca="false">IF(AND($X859&lt;&gt;"",$Y859&lt;&gt;""),$Y859-$X859,"")</f>
        <v/>
      </c>
      <c r="AJ859" s="53" t="str">
        <f aca="false">IF($E859&lt;&gt;"",$E859,"")</f>
        <v/>
      </c>
      <c r="AK859" s="52" t="str">
        <f aca="false">IF($F859&lt;&gt;"",$F859,"")</f>
        <v>Apprenant 847 ou 847'</v>
      </c>
      <c r="AL859" s="53" t="str">
        <f aca="false">IF(AND($AB859&lt;&gt;"",$AC859&lt;&gt;""),$AC859-$AB859,"")</f>
        <v/>
      </c>
      <c r="AM859" s="53" t="str">
        <f aca="false">IF(AND($AB859&lt;&gt;"",$AD859&lt;&gt;""),$AD859-$AB859,"")</f>
        <v/>
      </c>
      <c r="AN859" s="53" t="str">
        <f aca="false">IF(AND($AC859&lt;&gt;"",$AD859&lt;&gt;""),$AD859-$AC859,"")</f>
        <v/>
      </c>
      <c r="AO859" s="53" t="str">
        <f aca="false">IF($J859&lt;&gt;"",$J859,"")</f>
        <v/>
      </c>
      <c r="AQ859" s="52" t="str">
        <f aca="false">IF($A859&lt;&gt;"",$A859,"")</f>
        <v>Apprenant 847</v>
      </c>
      <c r="AR859" s="55" t="str">
        <f aca="false">IF(AND('Choix pédagogiques'!$C$4&lt;&gt;"?",'Choix pédagogiques'!$C$5&lt;&gt;"?",W859&lt;&gt;""),(W859-'Choix pédagogiques'!$C$4)/('Choix pédagogiques'!$C$5-'Choix pédagogiques'!$C$4),"")</f>
        <v/>
      </c>
      <c r="AS859" s="55" t="str">
        <f aca="false">IF(AND('Choix pédagogiques'!$C$4&lt;&gt;"?",'Choix pédagogiques'!$C$5&lt;&gt;"?",X859&lt;&gt;""),(X859-'Choix pédagogiques'!$C$4)/('Choix pédagogiques'!$C$5-'Choix pédagogiques'!$C$4),"")</f>
        <v/>
      </c>
      <c r="AT859" s="55" t="str">
        <f aca="false">IF(AND('Choix pédagogiques'!$C$4&lt;&gt;"?",'Choix pédagogiques'!$C$5&lt;&gt;"?",Y859&lt;&gt;""),(Y859-'Choix pédagogiques'!$C$4)/('Choix pédagogiques'!$C$5-'Choix pédagogiques'!$C$4),"")</f>
        <v/>
      </c>
      <c r="AU859" s="53" t="str">
        <f aca="false">IF($E859&lt;&gt;"",$E859,"")</f>
        <v/>
      </c>
      <c r="AV859" s="52" t="str">
        <f aca="false">IF($F859&lt;&gt;"",$F859,"")</f>
        <v>Apprenant 847 ou 847'</v>
      </c>
      <c r="AW859" s="55" t="str">
        <f aca="false">IF(AND('Choix pédagogiques'!$C$4&lt;&gt;"?",'Choix pédagogiques'!$C$5&lt;&gt;"?",AB859&lt;&gt;""),(AB859-'Choix pédagogiques'!$C$4)/('Choix pédagogiques'!$C$5-'Choix pédagogiques'!$C$4),"")</f>
        <v/>
      </c>
      <c r="AX859" s="55" t="str">
        <f aca="false">IF(AND('Choix pédagogiques'!$C$4&lt;&gt;"?",'Choix pédagogiques'!$C$5&lt;&gt;"?",AC859&lt;&gt;""),(AC859-'Choix pédagogiques'!$C$4)/('Choix pédagogiques'!$C$5-'Choix pédagogiques'!$C$4),"")</f>
        <v/>
      </c>
      <c r="AY859" s="55" t="str">
        <f aca="false">IF(AND('Choix pédagogiques'!$C$4&lt;&gt;"?",'Choix pédagogiques'!$C$5&lt;&gt;"?",AD859&lt;&gt;""),(AD859-'Choix pédagogiques'!$C$4)/('Choix pédagogiques'!$C$5-'Choix pédagogiques'!$C$4),"")</f>
        <v/>
      </c>
      <c r="AZ859" s="53" t="str">
        <f aca="false">IF($J859&lt;&gt;"",$J859,"")</f>
        <v/>
      </c>
      <c r="BA859" s="52" t="str">
        <f aca="false">IF($A859&lt;&gt;"",$A859,"")</f>
        <v>Apprenant 847</v>
      </c>
      <c r="BB859" s="55" t="str">
        <f aca="false">IF(AND($AR859&lt;&gt;"",$AS859&lt;&gt;""),$AS859-$AR859,"")</f>
        <v/>
      </c>
      <c r="BC859" s="55" t="str">
        <f aca="false">IF(AND($AR859&lt;&gt;"",$AT859&lt;&gt;""),$AT859-$AR859,"")</f>
        <v/>
      </c>
      <c r="BD859" s="55" t="str">
        <f aca="false">IF(AND($AS859&lt;&gt;"",$AT859&lt;&gt;""),$AT859-$AS859,"")</f>
        <v/>
      </c>
      <c r="BE859" s="53" t="str">
        <f aca="false">IF($E859&lt;&gt;"",$E859,"")</f>
        <v/>
      </c>
      <c r="BF859" s="52" t="str">
        <f aca="false">IF($F859&lt;&gt;"",$F859,"")</f>
        <v>Apprenant 847 ou 847'</v>
      </c>
      <c r="BG859" s="55" t="str">
        <f aca="false">IF(AND($AW859&lt;&gt;"",$AX859&lt;&gt;""),$AX859-$AW859,"")</f>
        <v/>
      </c>
      <c r="BH859" s="55" t="str">
        <f aca="false">IF(AND($AW859&lt;&gt;"",$AY859&lt;&gt;""),$AY859-$AW859,"")</f>
        <v/>
      </c>
      <c r="BI859" s="55" t="str">
        <f aca="false">IF(AND($AX859&lt;&gt;"",$AY859&lt;&gt;""),$AY859-$AX859,"")</f>
        <v/>
      </c>
      <c r="BJ859" s="53" t="str">
        <f aca="false">IF($J859&lt;&gt;"",$J859,"")</f>
        <v/>
      </c>
      <c r="BL859" s="52"/>
      <c r="BM859" s="52" t="str">
        <f aca="false">IF(OR(COUNT(B859:D1858)=0,AND('Choix pédagogiques'!$C$3&lt;&gt;1,'Choix pédagogiques'!$C$3&lt;&gt;2)),"",IF(AND(OR('Choix pédagogiques'!$C$3=1,'Choix pédagogiques'!$C$3=2),$B859&lt;&gt;"",$C859&lt;&gt;"",$D859&lt;&gt;""),1,0))</f>
        <v/>
      </c>
      <c r="BN859" s="52" t="str">
        <f aca="false">IF(OR(COUNT(G859:I1858)=0,AND('Choix pédagogiques'!$C$3&lt;&gt;1,'Choix pédagogiques'!$C$3&lt;&gt;2)),"",IF(AND(OR('Choix pédagogiques'!$C$3=1,'Choix pédagogiques'!$C$3=2),AND($G859&lt;&gt;"",$H859&lt;&gt;"",$I859&lt;&gt;"")),1,0))</f>
        <v/>
      </c>
      <c r="BO859" s="52" t="str">
        <f aca="false">IF(OR(COUNT(B859:D1858)=0,COUNT(G859:I1858)=0,'Choix pédagogiques'!C$3&lt;&gt;3),"",IF(AND('Choix pédagogiques'!$C$3=3,$B859&lt;&gt;"",$C859&lt;&gt;"",$D859&lt;&gt;"",$G859&lt;&gt;"",$H859&lt;&gt;"",$I859&lt;&gt;""),1,0))</f>
        <v/>
      </c>
      <c r="BR859" s="52" t="n">
        <v>595</v>
      </c>
      <c r="BS859" s="52" t="n">
        <v>1004</v>
      </c>
    </row>
    <row r="860" s="54" customFormat="true" ht="18" hidden="false" customHeight="true" outlineLevel="0" collapsed="false">
      <c r="A860" s="57" t="s">
        <v>1651</v>
      </c>
      <c r="B860" s="51"/>
      <c r="C860" s="51"/>
      <c r="D860" s="51"/>
      <c r="E860" s="51"/>
      <c r="F860" s="57" t="s">
        <v>1652</v>
      </c>
      <c r="G860" s="51"/>
      <c r="H860" s="51"/>
      <c r="I860" s="51"/>
      <c r="J860" s="51"/>
      <c r="K860" s="52" t="str">
        <f aca="false">IF($A860&lt;&gt;"",$A860,"")</f>
        <v>Apprenant 848</v>
      </c>
      <c r="L860" s="53" t="str">
        <f aca="false">IF(AND($B860&lt;&gt;"",$C860&lt;&gt;""),$C860-$B860,"")</f>
        <v/>
      </c>
      <c r="M860" s="53" t="str">
        <f aca="false">IF(AND($B860&lt;&gt;"",$D860&lt;&gt;""),$D860-$B860,"")</f>
        <v/>
      </c>
      <c r="N860" s="53" t="str">
        <f aca="false">IF(AND($C860&lt;&gt;"",$D860&lt;&gt;""),$D860-$C860,"")</f>
        <v/>
      </c>
      <c r="O860" s="53" t="str">
        <f aca="false">IF($E860&lt;&gt;"",$E860,"")</f>
        <v/>
      </c>
      <c r="P860" s="52" t="str">
        <f aca="false">IF($F860&lt;&gt;"",$F860,"")</f>
        <v>Apprenant 848 ou 848'</v>
      </c>
      <c r="Q860" s="53" t="str">
        <f aca="false">IF(AND($G860&lt;&gt;"",$H860&lt;&gt;""),$H860-$G860,"")</f>
        <v/>
      </c>
      <c r="R860" s="53" t="str">
        <f aca="false">IF(AND($G860&lt;&gt;"",$I860&lt;&gt;""),$I860-$G860,"")</f>
        <v/>
      </c>
      <c r="S860" s="53" t="str">
        <f aca="false">IF(AND($H860&lt;&gt;"",$I860&lt;&gt;""),$I860-$H860,"")</f>
        <v/>
      </c>
      <c r="T860" s="53" t="str">
        <f aca="false">IF($J860&lt;&gt;"",$J860,"")</f>
        <v/>
      </c>
      <c r="V860" s="52" t="str">
        <f aca="false">IF($A860&lt;&gt;"",$A860,"")</f>
        <v>Apprenant 848</v>
      </c>
      <c r="W860" s="53" t="str">
        <f aca="false">IF(AND(OR('Choix pédagogiques'!$C$3=1,'Choix pédagogiques'!$C$3=2),$BM860=1),B860,IF(AND('Choix pédagogiques'!$C$3=3,$BO860=1),B860,""))</f>
        <v/>
      </c>
      <c r="X860" s="53" t="str">
        <f aca="false">IF(AND(OR('Choix pédagogiques'!$C$3=1,'Choix pédagogiques'!$C$3=2),$BM860=1),C860,IF(AND('Choix pédagogiques'!$C$3=3,$BO860=1),C860,""))</f>
        <v/>
      </c>
      <c r="Y860" s="53" t="str">
        <f aca="false">IF(AND(OR('Choix pédagogiques'!$C$3=1,'Choix pédagogiques'!$C$3=2),$BM860=1),D860,IF(AND('Choix pédagogiques'!$C$3=3,$BO860=1),D860,""))</f>
        <v/>
      </c>
      <c r="Z860" s="53" t="str">
        <f aca="false">IF($E860&lt;&gt;"",$E860,"")</f>
        <v/>
      </c>
      <c r="AA860" s="52" t="str">
        <f aca="false">IF($F860&lt;&gt;"",$F860,"")</f>
        <v>Apprenant 848 ou 848'</v>
      </c>
      <c r="AB860" s="53" t="str">
        <f aca="false">IF(AND(OR('Choix pédagogiques'!$C$3=1,'Choix pédagogiques'!$C$3=2),$BN860=1),G860,IF(AND('Choix pédagogiques'!$C$3=3,$BO860=1),G860,""))</f>
        <v/>
      </c>
      <c r="AC860" s="53" t="str">
        <f aca="false">IF(AND(OR('Choix pédagogiques'!$C$3=1,'Choix pédagogiques'!$C$3=2),$BN860=1),H860,IF(AND('Choix pédagogiques'!$C$3=3,$BO860=1),H860,""))</f>
        <v/>
      </c>
      <c r="AD860" s="53" t="str">
        <f aca="false">IF(AND(OR('Choix pédagogiques'!$C$3=1,'Choix pédagogiques'!$C$3=2),$BN860=1),I860,IF(AND('Choix pédagogiques'!$C$3=3,$BO860=1),I860,""))</f>
        <v/>
      </c>
      <c r="AE860" s="53" t="str">
        <f aca="false">IF($J860&lt;&gt;"",$J860,"")</f>
        <v/>
      </c>
      <c r="AF860" s="52" t="str">
        <f aca="false">IF($A860&lt;&gt;"",$A860,"")</f>
        <v>Apprenant 848</v>
      </c>
      <c r="AG860" s="53" t="str">
        <f aca="false">IF(AND($W860&lt;&gt;"",$X860&lt;&gt;""),$X860-$W860,"")</f>
        <v/>
      </c>
      <c r="AH860" s="53" t="str">
        <f aca="false">IF(AND($W860&lt;&gt;"",$Y860&lt;&gt;""),$Y860-$W860,"")</f>
        <v/>
      </c>
      <c r="AI860" s="53" t="str">
        <f aca="false">IF(AND($X860&lt;&gt;"",$Y860&lt;&gt;""),$Y860-$X860,"")</f>
        <v/>
      </c>
      <c r="AJ860" s="53" t="str">
        <f aca="false">IF($E860&lt;&gt;"",$E860,"")</f>
        <v/>
      </c>
      <c r="AK860" s="52" t="str">
        <f aca="false">IF($F860&lt;&gt;"",$F860,"")</f>
        <v>Apprenant 848 ou 848'</v>
      </c>
      <c r="AL860" s="53" t="str">
        <f aca="false">IF(AND($AB860&lt;&gt;"",$AC860&lt;&gt;""),$AC860-$AB860,"")</f>
        <v/>
      </c>
      <c r="AM860" s="53" t="str">
        <f aca="false">IF(AND($AB860&lt;&gt;"",$AD860&lt;&gt;""),$AD860-$AB860,"")</f>
        <v/>
      </c>
      <c r="AN860" s="53" t="str">
        <f aca="false">IF(AND($AC860&lt;&gt;"",$AD860&lt;&gt;""),$AD860-$AC860,"")</f>
        <v/>
      </c>
      <c r="AO860" s="53" t="str">
        <f aca="false">IF($J860&lt;&gt;"",$J860,"")</f>
        <v/>
      </c>
      <c r="AQ860" s="52" t="str">
        <f aca="false">IF($A860&lt;&gt;"",$A860,"")</f>
        <v>Apprenant 848</v>
      </c>
      <c r="AR860" s="55" t="str">
        <f aca="false">IF(AND('Choix pédagogiques'!$C$4&lt;&gt;"?",'Choix pédagogiques'!$C$5&lt;&gt;"?",W860&lt;&gt;""),(W860-'Choix pédagogiques'!$C$4)/('Choix pédagogiques'!$C$5-'Choix pédagogiques'!$C$4),"")</f>
        <v/>
      </c>
      <c r="AS860" s="55" t="str">
        <f aca="false">IF(AND('Choix pédagogiques'!$C$4&lt;&gt;"?",'Choix pédagogiques'!$C$5&lt;&gt;"?",X860&lt;&gt;""),(X860-'Choix pédagogiques'!$C$4)/('Choix pédagogiques'!$C$5-'Choix pédagogiques'!$C$4),"")</f>
        <v/>
      </c>
      <c r="AT860" s="55" t="str">
        <f aca="false">IF(AND('Choix pédagogiques'!$C$4&lt;&gt;"?",'Choix pédagogiques'!$C$5&lt;&gt;"?",Y860&lt;&gt;""),(Y860-'Choix pédagogiques'!$C$4)/('Choix pédagogiques'!$C$5-'Choix pédagogiques'!$C$4),"")</f>
        <v/>
      </c>
      <c r="AU860" s="53" t="str">
        <f aca="false">IF($E860&lt;&gt;"",$E860,"")</f>
        <v/>
      </c>
      <c r="AV860" s="52" t="str">
        <f aca="false">IF($F860&lt;&gt;"",$F860,"")</f>
        <v>Apprenant 848 ou 848'</v>
      </c>
      <c r="AW860" s="55" t="str">
        <f aca="false">IF(AND('Choix pédagogiques'!$C$4&lt;&gt;"?",'Choix pédagogiques'!$C$5&lt;&gt;"?",AB860&lt;&gt;""),(AB860-'Choix pédagogiques'!$C$4)/('Choix pédagogiques'!$C$5-'Choix pédagogiques'!$C$4),"")</f>
        <v/>
      </c>
      <c r="AX860" s="55" t="str">
        <f aca="false">IF(AND('Choix pédagogiques'!$C$4&lt;&gt;"?",'Choix pédagogiques'!$C$5&lt;&gt;"?",AC860&lt;&gt;""),(AC860-'Choix pédagogiques'!$C$4)/('Choix pédagogiques'!$C$5-'Choix pédagogiques'!$C$4),"")</f>
        <v/>
      </c>
      <c r="AY860" s="55" t="str">
        <f aca="false">IF(AND('Choix pédagogiques'!$C$4&lt;&gt;"?",'Choix pédagogiques'!$C$5&lt;&gt;"?",AD860&lt;&gt;""),(AD860-'Choix pédagogiques'!$C$4)/('Choix pédagogiques'!$C$5-'Choix pédagogiques'!$C$4),"")</f>
        <v/>
      </c>
      <c r="AZ860" s="53" t="str">
        <f aca="false">IF($J860&lt;&gt;"",$J860,"")</f>
        <v/>
      </c>
      <c r="BA860" s="52" t="str">
        <f aca="false">IF($A860&lt;&gt;"",$A860,"")</f>
        <v>Apprenant 848</v>
      </c>
      <c r="BB860" s="55" t="str">
        <f aca="false">IF(AND($AR860&lt;&gt;"",$AS860&lt;&gt;""),$AS860-$AR860,"")</f>
        <v/>
      </c>
      <c r="BC860" s="55" t="str">
        <f aca="false">IF(AND($AR860&lt;&gt;"",$AT860&lt;&gt;""),$AT860-$AR860,"")</f>
        <v/>
      </c>
      <c r="BD860" s="55" t="str">
        <f aca="false">IF(AND($AS860&lt;&gt;"",$AT860&lt;&gt;""),$AT860-$AS860,"")</f>
        <v/>
      </c>
      <c r="BE860" s="53" t="str">
        <f aca="false">IF($E860&lt;&gt;"",$E860,"")</f>
        <v/>
      </c>
      <c r="BF860" s="52" t="str">
        <f aca="false">IF($F860&lt;&gt;"",$F860,"")</f>
        <v>Apprenant 848 ou 848'</v>
      </c>
      <c r="BG860" s="55" t="str">
        <f aca="false">IF(AND($AW860&lt;&gt;"",$AX860&lt;&gt;""),$AX860-$AW860,"")</f>
        <v/>
      </c>
      <c r="BH860" s="55" t="str">
        <f aca="false">IF(AND($AW860&lt;&gt;"",$AY860&lt;&gt;""),$AY860-$AW860,"")</f>
        <v/>
      </c>
      <c r="BI860" s="55" t="str">
        <f aca="false">IF(AND($AX860&lt;&gt;"",$AY860&lt;&gt;""),$AY860-$AX860,"")</f>
        <v/>
      </c>
      <c r="BJ860" s="53" t="str">
        <f aca="false">IF($J860&lt;&gt;"",$J860,"")</f>
        <v/>
      </c>
      <c r="BL860" s="52"/>
      <c r="BM860" s="52" t="str">
        <f aca="false">IF(OR(COUNT(B860:D1859)=0,AND('Choix pédagogiques'!$C$3&lt;&gt;1,'Choix pédagogiques'!$C$3&lt;&gt;2)),"",IF(AND(OR('Choix pédagogiques'!$C$3=1,'Choix pédagogiques'!$C$3=2),$B860&lt;&gt;"",$C860&lt;&gt;"",$D860&lt;&gt;""),1,0))</f>
        <v/>
      </c>
      <c r="BN860" s="52" t="str">
        <f aca="false">IF(OR(COUNT(G860:I1859)=0,AND('Choix pédagogiques'!$C$3&lt;&gt;1,'Choix pédagogiques'!$C$3&lt;&gt;2)),"",IF(AND(OR('Choix pédagogiques'!$C$3=1,'Choix pédagogiques'!$C$3=2),AND($G860&lt;&gt;"",$H860&lt;&gt;"",$I860&lt;&gt;"")),1,0))</f>
        <v/>
      </c>
      <c r="BO860" s="52" t="str">
        <f aca="false">IF(OR(COUNT(B860:D1859)=0,COUNT(G860:I1859)=0,'Choix pédagogiques'!C$3&lt;&gt;3),"",IF(AND('Choix pédagogiques'!$C$3=3,$B860&lt;&gt;"",$C860&lt;&gt;"",$D860&lt;&gt;"",$G860&lt;&gt;"",$H860&lt;&gt;"",$I860&lt;&gt;""),1,0))</f>
        <v/>
      </c>
      <c r="BR860" s="52" t="n">
        <v>138</v>
      </c>
      <c r="BS860" s="52" t="n">
        <v>1123</v>
      </c>
    </row>
    <row r="861" s="54" customFormat="true" ht="18" hidden="false" customHeight="true" outlineLevel="0" collapsed="false">
      <c r="A861" s="57" t="s">
        <v>1653</v>
      </c>
      <c r="B861" s="51"/>
      <c r="C861" s="51"/>
      <c r="D861" s="51"/>
      <c r="E861" s="51"/>
      <c r="F861" s="57" t="s">
        <v>1654</v>
      </c>
      <c r="G861" s="51"/>
      <c r="H861" s="51"/>
      <c r="I861" s="51"/>
      <c r="J861" s="51"/>
      <c r="K861" s="52" t="str">
        <f aca="false">IF($A861&lt;&gt;"",$A861,"")</f>
        <v>Apprenant 849</v>
      </c>
      <c r="L861" s="53" t="str">
        <f aca="false">IF(AND($B861&lt;&gt;"",$C861&lt;&gt;""),$C861-$B861,"")</f>
        <v/>
      </c>
      <c r="M861" s="53" t="str">
        <f aca="false">IF(AND($B861&lt;&gt;"",$D861&lt;&gt;""),$D861-$B861,"")</f>
        <v/>
      </c>
      <c r="N861" s="53" t="str">
        <f aca="false">IF(AND($C861&lt;&gt;"",$D861&lt;&gt;""),$D861-$C861,"")</f>
        <v/>
      </c>
      <c r="O861" s="53" t="str">
        <f aca="false">IF($E861&lt;&gt;"",$E861,"")</f>
        <v/>
      </c>
      <c r="P861" s="52" t="str">
        <f aca="false">IF($F861&lt;&gt;"",$F861,"")</f>
        <v>Apprenant 849 ou 849'</v>
      </c>
      <c r="Q861" s="53" t="str">
        <f aca="false">IF(AND($G861&lt;&gt;"",$H861&lt;&gt;""),$H861-$G861,"")</f>
        <v/>
      </c>
      <c r="R861" s="53" t="str">
        <f aca="false">IF(AND($G861&lt;&gt;"",$I861&lt;&gt;""),$I861-$G861,"")</f>
        <v/>
      </c>
      <c r="S861" s="53" t="str">
        <f aca="false">IF(AND($H861&lt;&gt;"",$I861&lt;&gt;""),$I861-$H861,"")</f>
        <v/>
      </c>
      <c r="T861" s="53" t="str">
        <f aca="false">IF($J861&lt;&gt;"",$J861,"")</f>
        <v/>
      </c>
      <c r="V861" s="52" t="str">
        <f aca="false">IF($A861&lt;&gt;"",$A861,"")</f>
        <v>Apprenant 849</v>
      </c>
      <c r="W861" s="53" t="str">
        <f aca="false">IF(AND(OR('Choix pédagogiques'!$C$3=1,'Choix pédagogiques'!$C$3=2),$BM861=1),B861,IF(AND('Choix pédagogiques'!$C$3=3,$BO861=1),B861,""))</f>
        <v/>
      </c>
      <c r="X861" s="53" t="str">
        <f aca="false">IF(AND(OR('Choix pédagogiques'!$C$3=1,'Choix pédagogiques'!$C$3=2),$BM861=1),C861,IF(AND('Choix pédagogiques'!$C$3=3,$BO861=1),C861,""))</f>
        <v/>
      </c>
      <c r="Y861" s="53" t="str">
        <f aca="false">IF(AND(OR('Choix pédagogiques'!$C$3=1,'Choix pédagogiques'!$C$3=2),$BM861=1),D861,IF(AND('Choix pédagogiques'!$C$3=3,$BO861=1),D861,""))</f>
        <v/>
      </c>
      <c r="Z861" s="53" t="str">
        <f aca="false">IF($E861&lt;&gt;"",$E861,"")</f>
        <v/>
      </c>
      <c r="AA861" s="52" t="str">
        <f aca="false">IF($F861&lt;&gt;"",$F861,"")</f>
        <v>Apprenant 849 ou 849'</v>
      </c>
      <c r="AB861" s="53" t="str">
        <f aca="false">IF(AND(OR('Choix pédagogiques'!$C$3=1,'Choix pédagogiques'!$C$3=2),$BN861=1),G861,IF(AND('Choix pédagogiques'!$C$3=3,$BO861=1),G861,""))</f>
        <v/>
      </c>
      <c r="AC861" s="53" t="str">
        <f aca="false">IF(AND(OR('Choix pédagogiques'!$C$3=1,'Choix pédagogiques'!$C$3=2),$BN861=1),H861,IF(AND('Choix pédagogiques'!$C$3=3,$BO861=1),H861,""))</f>
        <v/>
      </c>
      <c r="AD861" s="53" t="str">
        <f aca="false">IF(AND(OR('Choix pédagogiques'!$C$3=1,'Choix pédagogiques'!$C$3=2),$BN861=1),I861,IF(AND('Choix pédagogiques'!$C$3=3,$BO861=1),I861,""))</f>
        <v/>
      </c>
      <c r="AE861" s="53" t="str">
        <f aca="false">IF($J861&lt;&gt;"",$J861,"")</f>
        <v/>
      </c>
      <c r="AF861" s="52" t="str">
        <f aca="false">IF($A861&lt;&gt;"",$A861,"")</f>
        <v>Apprenant 849</v>
      </c>
      <c r="AG861" s="53" t="str">
        <f aca="false">IF(AND($W861&lt;&gt;"",$X861&lt;&gt;""),$X861-$W861,"")</f>
        <v/>
      </c>
      <c r="AH861" s="53" t="str">
        <f aca="false">IF(AND($W861&lt;&gt;"",$Y861&lt;&gt;""),$Y861-$W861,"")</f>
        <v/>
      </c>
      <c r="AI861" s="53" t="str">
        <f aca="false">IF(AND($X861&lt;&gt;"",$Y861&lt;&gt;""),$Y861-$X861,"")</f>
        <v/>
      </c>
      <c r="AJ861" s="53" t="str">
        <f aca="false">IF($E861&lt;&gt;"",$E861,"")</f>
        <v/>
      </c>
      <c r="AK861" s="52" t="str">
        <f aca="false">IF($F861&lt;&gt;"",$F861,"")</f>
        <v>Apprenant 849 ou 849'</v>
      </c>
      <c r="AL861" s="53" t="str">
        <f aca="false">IF(AND($AB861&lt;&gt;"",$AC861&lt;&gt;""),$AC861-$AB861,"")</f>
        <v/>
      </c>
      <c r="AM861" s="53" t="str">
        <f aca="false">IF(AND($AB861&lt;&gt;"",$AD861&lt;&gt;""),$AD861-$AB861,"")</f>
        <v/>
      </c>
      <c r="AN861" s="53" t="str">
        <f aca="false">IF(AND($AC861&lt;&gt;"",$AD861&lt;&gt;""),$AD861-$AC861,"")</f>
        <v/>
      </c>
      <c r="AO861" s="53" t="str">
        <f aca="false">IF($J861&lt;&gt;"",$J861,"")</f>
        <v/>
      </c>
      <c r="AQ861" s="52" t="str">
        <f aca="false">IF($A861&lt;&gt;"",$A861,"")</f>
        <v>Apprenant 849</v>
      </c>
      <c r="AR861" s="55" t="str">
        <f aca="false">IF(AND('Choix pédagogiques'!$C$4&lt;&gt;"?",'Choix pédagogiques'!$C$5&lt;&gt;"?",W861&lt;&gt;""),(W861-'Choix pédagogiques'!$C$4)/('Choix pédagogiques'!$C$5-'Choix pédagogiques'!$C$4),"")</f>
        <v/>
      </c>
      <c r="AS861" s="55" t="str">
        <f aca="false">IF(AND('Choix pédagogiques'!$C$4&lt;&gt;"?",'Choix pédagogiques'!$C$5&lt;&gt;"?",X861&lt;&gt;""),(X861-'Choix pédagogiques'!$C$4)/('Choix pédagogiques'!$C$5-'Choix pédagogiques'!$C$4),"")</f>
        <v/>
      </c>
      <c r="AT861" s="55" t="str">
        <f aca="false">IF(AND('Choix pédagogiques'!$C$4&lt;&gt;"?",'Choix pédagogiques'!$C$5&lt;&gt;"?",Y861&lt;&gt;""),(Y861-'Choix pédagogiques'!$C$4)/('Choix pédagogiques'!$C$5-'Choix pédagogiques'!$C$4),"")</f>
        <v/>
      </c>
      <c r="AU861" s="53" t="str">
        <f aca="false">IF($E861&lt;&gt;"",$E861,"")</f>
        <v/>
      </c>
      <c r="AV861" s="52" t="str">
        <f aca="false">IF($F861&lt;&gt;"",$F861,"")</f>
        <v>Apprenant 849 ou 849'</v>
      </c>
      <c r="AW861" s="55" t="str">
        <f aca="false">IF(AND('Choix pédagogiques'!$C$4&lt;&gt;"?",'Choix pédagogiques'!$C$5&lt;&gt;"?",AB861&lt;&gt;""),(AB861-'Choix pédagogiques'!$C$4)/('Choix pédagogiques'!$C$5-'Choix pédagogiques'!$C$4),"")</f>
        <v/>
      </c>
      <c r="AX861" s="55" t="str">
        <f aca="false">IF(AND('Choix pédagogiques'!$C$4&lt;&gt;"?",'Choix pédagogiques'!$C$5&lt;&gt;"?",AC861&lt;&gt;""),(AC861-'Choix pédagogiques'!$C$4)/('Choix pédagogiques'!$C$5-'Choix pédagogiques'!$C$4),"")</f>
        <v/>
      </c>
      <c r="AY861" s="55" t="str">
        <f aca="false">IF(AND('Choix pédagogiques'!$C$4&lt;&gt;"?",'Choix pédagogiques'!$C$5&lt;&gt;"?",AD861&lt;&gt;""),(AD861-'Choix pédagogiques'!$C$4)/('Choix pédagogiques'!$C$5-'Choix pédagogiques'!$C$4),"")</f>
        <v/>
      </c>
      <c r="AZ861" s="53" t="str">
        <f aca="false">IF($J861&lt;&gt;"",$J861,"")</f>
        <v/>
      </c>
      <c r="BA861" s="52" t="str">
        <f aca="false">IF($A861&lt;&gt;"",$A861,"")</f>
        <v>Apprenant 849</v>
      </c>
      <c r="BB861" s="55" t="str">
        <f aca="false">IF(AND($AR861&lt;&gt;"",$AS861&lt;&gt;""),$AS861-$AR861,"")</f>
        <v/>
      </c>
      <c r="BC861" s="55" t="str">
        <f aca="false">IF(AND($AR861&lt;&gt;"",$AT861&lt;&gt;""),$AT861-$AR861,"")</f>
        <v/>
      </c>
      <c r="BD861" s="55" t="str">
        <f aca="false">IF(AND($AS861&lt;&gt;"",$AT861&lt;&gt;""),$AT861-$AS861,"")</f>
        <v/>
      </c>
      <c r="BE861" s="53" t="str">
        <f aca="false">IF($E861&lt;&gt;"",$E861,"")</f>
        <v/>
      </c>
      <c r="BF861" s="52" t="str">
        <f aca="false">IF($F861&lt;&gt;"",$F861,"")</f>
        <v>Apprenant 849 ou 849'</v>
      </c>
      <c r="BG861" s="55" t="str">
        <f aca="false">IF(AND($AW861&lt;&gt;"",$AX861&lt;&gt;""),$AX861-$AW861,"")</f>
        <v/>
      </c>
      <c r="BH861" s="55" t="str">
        <f aca="false">IF(AND($AW861&lt;&gt;"",$AY861&lt;&gt;""),$AY861-$AW861,"")</f>
        <v/>
      </c>
      <c r="BI861" s="55" t="str">
        <f aca="false">IF(AND($AX861&lt;&gt;"",$AY861&lt;&gt;""),$AY861-$AX861,"")</f>
        <v/>
      </c>
      <c r="BJ861" s="53" t="str">
        <f aca="false">IF($J861&lt;&gt;"",$J861,"")</f>
        <v/>
      </c>
      <c r="BL861" s="52"/>
      <c r="BM861" s="52" t="str">
        <f aca="false">IF(OR(COUNT(B861:D1860)=0,AND('Choix pédagogiques'!$C$3&lt;&gt;1,'Choix pédagogiques'!$C$3&lt;&gt;2)),"",IF(AND(OR('Choix pédagogiques'!$C$3=1,'Choix pédagogiques'!$C$3=2),$B861&lt;&gt;"",$C861&lt;&gt;"",$D861&lt;&gt;""),1,0))</f>
        <v/>
      </c>
      <c r="BN861" s="52" t="str">
        <f aca="false">IF(OR(COUNT(G861:I1860)=0,AND('Choix pédagogiques'!$C$3&lt;&gt;1,'Choix pédagogiques'!$C$3&lt;&gt;2)),"",IF(AND(OR('Choix pédagogiques'!$C$3=1,'Choix pédagogiques'!$C$3=2),AND($G861&lt;&gt;"",$H861&lt;&gt;"",$I861&lt;&gt;"")),1,0))</f>
        <v/>
      </c>
      <c r="BO861" s="52" t="str">
        <f aca="false">IF(OR(COUNT(B861:D1860)=0,COUNT(G861:I1860)=0,'Choix pédagogiques'!C$3&lt;&gt;3),"",IF(AND('Choix pédagogiques'!$C$3=3,$B861&lt;&gt;"",$C861&lt;&gt;"",$D861&lt;&gt;"",$G861&lt;&gt;"",$H861&lt;&gt;"",$I861&lt;&gt;""),1,0))</f>
        <v/>
      </c>
      <c r="BR861" s="52" t="n">
        <v>904</v>
      </c>
      <c r="BS861" s="52" t="n">
        <v>1035</v>
      </c>
    </row>
    <row r="862" s="54" customFormat="true" ht="18" hidden="false" customHeight="true" outlineLevel="0" collapsed="false">
      <c r="A862" s="57" t="s">
        <v>1655</v>
      </c>
      <c r="B862" s="51"/>
      <c r="C862" s="51"/>
      <c r="D862" s="51"/>
      <c r="E862" s="51"/>
      <c r="F862" s="57" t="s">
        <v>1656</v>
      </c>
      <c r="G862" s="51"/>
      <c r="H862" s="51"/>
      <c r="I862" s="51"/>
      <c r="J862" s="51"/>
      <c r="K862" s="52" t="str">
        <f aca="false">IF($A862&lt;&gt;"",$A862,"")</f>
        <v>Apprenant 850</v>
      </c>
      <c r="L862" s="53" t="str">
        <f aca="false">IF(AND($B862&lt;&gt;"",$C862&lt;&gt;""),$C862-$B862,"")</f>
        <v/>
      </c>
      <c r="M862" s="53" t="str">
        <f aca="false">IF(AND($B862&lt;&gt;"",$D862&lt;&gt;""),$D862-$B862,"")</f>
        <v/>
      </c>
      <c r="N862" s="53" t="str">
        <f aca="false">IF(AND($C862&lt;&gt;"",$D862&lt;&gt;""),$D862-$C862,"")</f>
        <v/>
      </c>
      <c r="O862" s="53" t="str">
        <f aca="false">IF($E862&lt;&gt;"",$E862,"")</f>
        <v/>
      </c>
      <c r="P862" s="52" t="str">
        <f aca="false">IF($F862&lt;&gt;"",$F862,"")</f>
        <v>Apprenant 850 ou 850'</v>
      </c>
      <c r="Q862" s="53" t="str">
        <f aca="false">IF(AND($G862&lt;&gt;"",$H862&lt;&gt;""),$H862-$G862,"")</f>
        <v/>
      </c>
      <c r="R862" s="53" t="str">
        <f aca="false">IF(AND($G862&lt;&gt;"",$I862&lt;&gt;""),$I862-$G862,"")</f>
        <v/>
      </c>
      <c r="S862" s="53" t="str">
        <f aca="false">IF(AND($H862&lt;&gt;"",$I862&lt;&gt;""),$I862-$H862,"")</f>
        <v/>
      </c>
      <c r="T862" s="53" t="str">
        <f aca="false">IF($J862&lt;&gt;"",$J862,"")</f>
        <v/>
      </c>
      <c r="V862" s="52" t="str">
        <f aca="false">IF($A862&lt;&gt;"",$A862,"")</f>
        <v>Apprenant 850</v>
      </c>
      <c r="W862" s="53" t="str">
        <f aca="false">IF(AND(OR('Choix pédagogiques'!$C$3=1,'Choix pédagogiques'!$C$3=2),$BM862=1),B862,IF(AND('Choix pédagogiques'!$C$3=3,$BO862=1),B862,""))</f>
        <v/>
      </c>
      <c r="X862" s="53" t="str">
        <f aca="false">IF(AND(OR('Choix pédagogiques'!$C$3=1,'Choix pédagogiques'!$C$3=2),$BM862=1),C862,IF(AND('Choix pédagogiques'!$C$3=3,$BO862=1),C862,""))</f>
        <v/>
      </c>
      <c r="Y862" s="53" t="str">
        <f aca="false">IF(AND(OR('Choix pédagogiques'!$C$3=1,'Choix pédagogiques'!$C$3=2),$BM862=1),D862,IF(AND('Choix pédagogiques'!$C$3=3,$BO862=1),D862,""))</f>
        <v/>
      </c>
      <c r="Z862" s="53" t="str">
        <f aca="false">IF($E862&lt;&gt;"",$E862,"")</f>
        <v/>
      </c>
      <c r="AA862" s="52" t="str">
        <f aca="false">IF($F862&lt;&gt;"",$F862,"")</f>
        <v>Apprenant 850 ou 850'</v>
      </c>
      <c r="AB862" s="53" t="str">
        <f aca="false">IF(AND(OR('Choix pédagogiques'!$C$3=1,'Choix pédagogiques'!$C$3=2),$BN862=1),G862,IF(AND('Choix pédagogiques'!$C$3=3,$BO862=1),G862,""))</f>
        <v/>
      </c>
      <c r="AC862" s="53" t="str">
        <f aca="false">IF(AND(OR('Choix pédagogiques'!$C$3=1,'Choix pédagogiques'!$C$3=2),$BN862=1),H862,IF(AND('Choix pédagogiques'!$C$3=3,$BO862=1),H862,""))</f>
        <v/>
      </c>
      <c r="AD862" s="53" t="str">
        <f aca="false">IF(AND(OR('Choix pédagogiques'!$C$3=1,'Choix pédagogiques'!$C$3=2),$BN862=1),I862,IF(AND('Choix pédagogiques'!$C$3=3,$BO862=1),I862,""))</f>
        <v/>
      </c>
      <c r="AE862" s="53" t="str">
        <f aca="false">IF($J862&lt;&gt;"",$J862,"")</f>
        <v/>
      </c>
      <c r="AF862" s="52" t="str">
        <f aca="false">IF($A862&lt;&gt;"",$A862,"")</f>
        <v>Apprenant 850</v>
      </c>
      <c r="AG862" s="53" t="str">
        <f aca="false">IF(AND($W862&lt;&gt;"",$X862&lt;&gt;""),$X862-$W862,"")</f>
        <v/>
      </c>
      <c r="AH862" s="53" t="str">
        <f aca="false">IF(AND($W862&lt;&gt;"",$Y862&lt;&gt;""),$Y862-$W862,"")</f>
        <v/>
      </c>
      <c r="AI862" s="53" t="str">
        <f aca="false">IF(AND($X862&lt;&gt;"",$Y862&lt;&gt;""),$Y862-$X862,"")</f>
        <v/>
      </c>
      <c r="AJ862" s="53" t="str">
        <f aca="false">IF($E862&lt;&gt;"",$E862,"")</f>
        <v/>
      </c>
      <c r="AK862" s="52" t="str">
        <f aca="false">IF($F862&lt;&gt;"",$F862,"")</f>
        <v>Apprenant 850 ou 850'</v>
      </c>
      <c r="AL862" s="53" t="str">
        <f aca="false">IF(AND($AB862&lt;&gt;"",$AC862&lt;&gt;""),$AC862-$AB862,"")</f>
        <v/>
      </c>
      <c r="AM862" s="53" t="str">
        <f aca="false">IF(AND($AB862&lt;&gt;"",$AD862&lt;&gt;""),$AD862-$AB862,"")</f>
        <v/>
      </c>
      <c r="AN862" s="53" t="str">
        <f aca="false">IF(AND($AC862&lt;&gt;"",$AD862&lt;&gt;""),$AD862-$AC862,"")</f>
        <v/>
      </c>
      <c r="AO862" s="53" t="str">
        <f aca="false">IF($J862&lt;&gt;"",$J862,"")</f>
        <v/>
      </c>
      <c r="AQ862" s="52" t="str">
        <f aca="false">IF($A862&lt;&gt;"",$A862,"")</f>
        <v>Apprenant 850</v>
      </c>
      <c r="AR862" s="55" t="str">
        <f aca="false">IF(AND('Choix pédagogiques'!$C$4&lt;&gt;"?",'Choix pédagogiques'!$C$5&lt;&gt;"?",W862&lt;&gt;""),(W862-'Choix pédagogiques'!$C$4)/('Choix pédagogiques'!$C$5-'Choix pédagogiques'!$C$4),"")</f>
        <v/>
      </c>
      <c r="AS862" s="55" t="str">
        <f aca="false">IF(AND('Choix pédagogiques'!$C$4&lt;&gt;"?",'Choix pédagogiques'!$C$5&lt;&gt;"?",X862&lt;&gt;""),(X862-'Choix pédagogiques'!$C$4)/('Choix pédagogiques'!$C$5-'Choix pédagogiques'!$C$4),"")</f>
        <v/>
      </c>
      <c r="AT862" s="55" t="str">
        <f aca="false">IF(AND('Choix pédagogiques'!$C$4&lt;&gt;"?",'Choix pédagogiques'!$C$5&lt;&gt;"?",Y862&lt;&gt;""),(Y862-'Choix pédagogiques'!$C$4)/('Choix pédagogiques'!$C$5-'Choix pédagogiques'!$C$4),"")</f>
        <v/>
      </c>
      <c r="AU862" s="53" t="str">
        <f aca="false">IF($E862&lt;&gt;"",$E862,"")</f>
        <v/>
      </c>
      <c r="AV862" s="52" t="str">
        <f aca="false">IF($F862&lt;&gt;"",$F862,"")</f>
        <v>Apprenant 850 ou 850'</v>
      </c>
      <c r="AW862" s="55" t="str">
        <f aca="false">IF(AND('Choix pédagogiques'!$C$4&lt;&gt;"?",'Choix pédagogiques'!$C$5&lt;&gt;"?",AB862&lt;&gt;""),(AB862-'Choix pédagogiques'!$C$4)/('Choix pédagogiques'!$C$5-'Choix pédagogiques'!$C$4),"")</f>
        <v/>
      </c>
      <c r="AX862" s="55" t="str">
        <f aca="false">IF(AND('Choix pédagogiques'!$C$4&lt;&gt;"?",'Choix pédagogiques'!$C$5&lt;&gt;"?",AC862&lt;&gt;""),(AC862-'Choix pédagogiques'!$C$4)/('Choix pédagogiques'!$C$5-'Choix pédagogiques'!$C$4),"")</f>
        <v/>
      </c>
      <c r="AY862" s="55" t="str">
        <f aca="false">IF(AND('Choix pédagogiques'!$C$4&lt;&gt;"?",'Choix pédagogiques'!$C$5&lt;&gt;"?",AD862&lt;&gt;""),(AD862-'Choix pédagogiques'!$C$4)/('Choix pédagogiques'!$C$5-'Choix pédagogiques'!$C$4),"")</f>
        <v/>
      </c>
      <c r="AZ862" s="53" t="str">
        <f aca="false">IF($J862&lt;&gt;"",$J862,"")</f>
        <v/>
      </c>
      <c r="BA862" s="52" t="str">
        <f aca="false">IF($A862&lt;&gt;"",$A862,"")</f>
        <v>Apprenant 850</v>
      </c>
      <c r="BB862" s="55" t="str">
        <f aca="false">IF(AND($AR862&lt;&gt;"",$AS862&lt;&gt;""),$AS862-$AR862,"")</f>
        <v/>
      </c>
      <c r="BC862" s="55" t="str">
        <f aca="false">IF(AND($AR862&lt;&gt;"",$AT862&lt;&gt;""),$AT862-$AR862,"")</f>
        <v/>
      </c>
      <c r="BD862" s="55" t="str">
        <f aca="false">IF(AND($AS862&lt;&gt;"",$AT862&lt;&gt;""),$AT862-$AS862,"")</f>
        <v/>
      </c>
      <c r="BE862" s="53" t="str">
        <f aca="false">IF($E862&lt;&gt;"",$E862,"")</f>
        <v/>
      </c>
      <c r="BF862" s="52" t="str">
        <f aca="false">IF($F862&lt;&gt;"",$F862,"")</f>
        <v>Apprenant 850 ou 850'</v>
      </c>
      <c r="BG862" s="55" t="str">
        <f aca="false">IF(AND($AW862&lt;&gt;"",$AX862&lt;&gt;""),$AX862-$AW862,"")</f>
        <v/>
      </c>
      <c r="BH862" s="55" t="str">
        <f aca="false">IF(AND($AW862&lt;&gt;"",$AY862&lt;&gt;""),$AY862-$AW862,"")</f>
        <v/>
      </c>
      <c r="BI862" s="55" t="str">
        <f aca="false">IF(AND($AX862&lt;&gt;"",$AY862&lt;&gt;""),$AY862-$AX862,"")</f>
        <v/>
      </c>
      <c r="BJ862" s="53" t="str">
        <f aca="false">IF($J862&lt;&gt;"",$J862,"")</f>
        <v/>
      </c>
      <c r="BL862" s="52"/>
      <c r="BM862" s="52" t="str">
        <f aca="false">IF(OR(COUNT(B862:D1861)=0,AND('Choix pédagogiques'!$C$3&lt;&gt;1,'Choix pédagogiques'!$C$3&lt;&gt;2)),"",IF(AND(OR('Choix pédagogiques'!$C$3=1,'Choix pédagogiques'!$C$3=2),$B862&lt;&gt;"",$C862&lt;&gt;"",$D862&lt;&gt;""),1,0))</f>
        <v/>
      </c>
      <c r="BN862" s="52" t="str">
        <f aca="false">IF(OR(COUNT(G862:I1861)=0,AND('Choix pédagogiques'!$C$3&lt;&gt;1,'Choix pédagogiques'!$C$3&lt;&gt;2)),"",IF(AND(OR('Choix pédagogiques'!$C$3=1,'Choix pédagogiques'!$C$3=2),AND($G862&lt;&gt;"",$H862&lt;&gt;"",$I862&lt;&gt;"")),1,0))</f>
        <v/>
      </c>
      <c r="BO862" s="52" t="str">
        <f aca="false">IF(OR(COUNT(B862:D1861)=0,COUNT(G862:I1861)=0,'Choix pédagogiques'!C$3&lt;&gt;3),"",IF(AND('Choix pédagogiques'!$C$3=3,$B862&lt;&gt;"",$C862&lt;&gt;"",$D862&lt;&gt;"",$G862&lt;&gt;"",$H862&lt;&gt;"",$I862&lt;&gt;""),1,0))</f>
        <v/>
      </c>
      <c r="BR862" s="52" t="n">
        <v>225</v>
      </c>
      <c r="BS862" s="52" t="n">
        <v>1026</v>
      </c>
    </row>
    <row r="863" s="54" customFormat="true" ht="18" hidden="false" customHeight="true" outlineLevel="0" collapsed="false">
      <c r="A863" s="57" t="s">
        <v>1657</v>
      </c>
      <c r="B863" s="51"/>
      <c r="C863" s="51"/>
      <c r="D863" s="51"/>
      <c r="E863" s="51"/>
      <c r="F863" s="57" t="s">
        <v>1658</v>
      </c>
      <c r="G863" s="51"/>
      <c r="H863" s="51"/>
      <c r="I863" s="51"/>
      <c r="J863" s="51"/>
      <c r="K863" s="52" t="str">
        <f aca="false">IF($A863&lt;&gt;"",$A863,"")</f>
        <v>Apprenant 851</v>
      </c>
      <c r="L863" s="53" t="str">
        <f aca="false">IF(AND($B863&lt;&gt;"",$C863&lt;&gt;""),$C863-$B863,"")</f>
        <v/>
      </c>
      <c r="M863" s="53" t="str">
        <f aca="false">IF(AND($B863&lt;&gt;"",$D863&lt;&gt;""),$D863-$B863,"")</f>
        <v/>
      </c>
      <c r="N863" s="53" t="str">
        <f aca="false">IF(AND($C863&lt;&gt;"",$D863&lt;&gt;""),$D863-$C863,"")</f>
        <v/>
      </c>
      <c r="O863" s="53" t="str">
        <f aca="false">IF($E863&lt;&gt;"",$E863,"")</f>
        <v/>
      </c>
      <c r="P863" s="52" t="str">
        <f aca="false">IF($F863&lt;&gt;"",$F863,"")</f>
        <v>Apprenant 851 ou 851'</v>
      </c>
      <c r="Q863" s="53" t="str">
        <f aca="false">IF(AND($G863&lt;&gt;"",$H863&lt;&gt;""),$H863-$G863,"")</f>
        <v/>
      </c>
      <c r="R863" s="53" t="str">
        <f aca="false">IF(AND($G863&lt;&gt;"",$I863&lt;&gt;""),$I863-$G863,"")</f>
        <v/>
      </c>
      <c r="S863" s="53" t="str">
        <f aca="false">IF(AND($H863&lt;&gt;"",$I863&lt;&gt;""),$I863-$H863,"")</f>
        <v/>
      </c>
      <c r="T863" s="53" t="str">
        <f aca="false">IF($J863&lt;&gt;"",$J863,"")</f>
        <v/>
      </c>
      <c r="V863" s="52" t="str">
        <f aca="false">IF($A863&lt;&gt;"",$A863,"")</f>
        <v>Apprenant 851</v>
      </c>
      <c r="W863" s="53" t="str">
        <f aca="false">IF(AND(OR('Choix pédagogiques'!$C$3=1,'Choix pédagogiques'!$C$3=2),$BM863=1),B863,IF(AND('Choix pédagogiques'!$C$3=3,$BO863=1),B863,""))</f>
        <v/>
      </c>
      <c r="X863" s="53" t="str">
        <f aca="false">IF(AND(OR('Choix pédagogiques'!$C$3=1,'Choix pédagogiques'!$C$3=2),$BM863=1),C863,IF(AND('Choix pédagogiques'!$C$3=3,$BO863=1),C863,""))</f>
        <v/>
      </c>
      <c r="Y863" s="53" t="str">
        <f aca="false">IF(AND(OR('Choix pédagogiques'!$C$3=1,'Choix pédagogiques'!$C$3=2),$BM863=1),D863,IF(AND('Choix pédagogiques'!$C$3=3,$BO863=1),D863,""))</f>
        <v/>
      </c>
      <c r="Z863" s="53" t="str">
        <f aca="false">IF($E863&lt;&gt;"",$E863,"")</f>
        <v/>
      </c>
      <c r="AA863" s="52" t="str">
        <f aca="false">IF($F863&lt;&gt;"",$F863,"")</f>
        <v>Apprenant 851 ou 851'</v>
      </c>
      <c r="AB863" s="53" t="str">
        <f aca="false">IF(AND(OR('Choix pédagogiques'!$C$3=1,'Choix pédagogiques'!$C$3=2),$BN863=1),G863,IF(AND('Choix pédagogiques'!$C$3=3,$BO863=1),G863,""))</f>
        <v/>
      </c>
      <c r="AC863" s="53" t="str">
        <f aca="false">IF(AND(OR('Choix pédagogiques'!$C$3=1,'Choix pédagogiques'!$C$3=2),$BN863=1),H863,IF(AND('Choix pédagogiques'!$C$3=3,$BO863=1),H863,""))</f>
        <v/>
      </c>
      <c r="AD863" s="53" t="str">
        <f aca="false">IF(AND(OR('Choix pédagogiques'!$C$3=1,'Choix pédagogiques'!$C$3=2),$BN863=1),I863,IF(AND('Choix pédagogiques'!$C$3=3,$BO863=1),I863,""))</f>
        <v/>
      </c>
      <c r="AE863" s="53" t="str">
        <f aca="false">IF($J863&lt;&gt;"",$J863,"")</f>
        <v/>
      </c>
      <c r="AF863" s="52" t="str">
        <f aca="false">IF($A863&lt;&gt;"",$A863,"")</f>
        <v>Apprenant 851</v>
      </c>
      <c r="AG863" s="53" t="str">
        <f aca="false">IF(AND($W863&lt;&gt;"",$X863&lt;&gt;""),$X863-$W863,"")</f>
        <v/>
      </c>
      <c r="AH863" s="53" t="str">
        <f aca="false">IF(AND($W863&lt;&gt;"",$Y863&lt;&gt;""),$Y863-$W863,"")</f>
        <v/>
      </c>
      <c r="AI863" s="53" t="str">
        <f aca="false">IF(AND($X863&lt;&gt;"",$Y863&lt;&gt;""),$Y863-$X863,"")</f>
        <v/>
      </c>
      <c r="AJ863" s="53" t="str">
        <f aca="false">IF($E863&lt;&gt;"",$E863,"")</f>
        <v/>
      </c>
      <c r="AK863" s="52" t="str">
        <f aca="false">IF($F863&lt;&gt;"",$F863,"")</f>
        <v>Apprenant 851 ou 851'</v>
      </c>
      <c r="AL863" s="53" t="str">
        <f aca="false">IF(AND($AB863&lt;&gt;"",$AC863&lt;&gt;""),$AC863-$AB863,"")</f>
        <v/>
      </c>
      <c r="AM863" s="53" t="str">
        <f aca="false">IF(AND($AB863&lt;&gt;"",$AD863&lt;&gt;""),$AD863-$AB863,"")</f>
        <v/>
      </c>
      <c r="AN863" s="53" t="str">
        <f aca="false">IF(AND($AC863&lt;&gt;"",$AD863&lt;&gt;""),$AD863-$AC863,"")</f>
        <v/>
      </c>
      <c r="AO863" s="53" t="str">
        <f aca="false">IF($J863&lt;&gt;"",$J863,"")</f>
        <v/>
      </c>
      <c r="AQ863" s="52" t="str">
        <f aca="false">IF($A863&lt;&gt;"",$A863,"")</f>
        <v>Apprenant 851</v>
      </c>
      <c r="AR863" s="55" t="str">
        <f aca="false">IF(AND('Choix pédagogiques'!$C$4&lt;&gt;"?",'Choix pédagogiques'!$C$5&lt;&gt;"?",W863&lt;&gt;""),(W863-'Choix pédagogiques'!$C$4)/('Choix pédagogiques'!$C$5-'Choix pédagogiques'!$C$4),"")</f>
        <v/>
      </c>
      <c r="AS863" s="55" t="str">
        <f aca="false">IF(AND('Choix pédagogiques'!$C$4&lt;&gt;"?",'Choix pédagogiques'!$C$5&lt;&gt;"?",X863&lt;&gt;""),(X863-'Choix pédagogiques'!$C$4)/('Choix pédagogiques'!$C$5-'Choix pédagogiques'!$C$4),"")</f>
        <v/>
      </c>
      <c r="AT863" s="55" t="str">
        <f aca="false">IF(AND('Choix pédagogiques'!$C$4&lt;&gt;"?",'Choix pédagogiques'!$C$5&lt;&gt;"?",Y863&lt;&gt;""),(Y863-'Choix pédagogiques'!$C$4)/('Choix pédagogiques'!$C$5-'Choix pédagogiques'!$C$4),"")</f>
        <v/>
      </c>
      <c r="AU863" s="53" t="str">
        <f aca="false">IF($E863&lt;&gt;"",$E863,"")</f>
        <v/>
      </c>
      <c r="AV863" s="52" t="str">
        <f aca="false">IF($F863&lt;&gt;"",$F863,"")</f>
        <v>Apprenant 851 ou 851'</v>
      </c>
      <c r="AW863" s="55" t="str">
        <f aca="false">IF(AND('Choix pédagogiques'!$C$4&lt;&gt;"?",'Choix pédagogiques'!$C$5&lt;&gt;"?",AB863&lt;&gt;""),(AB863-'Choix pédagogiques'!$C$4)/('Choix pédagogiques'!$C$5-'Choix pédagogiques'!$C$4),"")</f>
        <v/>
      </c>
      <c r="AX863" s="55" t="str">
        <f aca="false">IF(AND('Choix pédagogiques'!$C$4&lt;&gt;"?",'Choix pédagogiques'!$C$5&lt;&gt;"?",AC863&lt;&gt;""),(AC863-'Choix pédagogiques'!$C$4)/('Choix pédagogiques'!$C$5-'Choix pédagogiques'!$C$4),"")</f>
        <v/>
      </c>
      <c r="AY863" s="55" t="str">
        <f aca="false">IF(AND('Choix pédagogiques'!$C$4&lt;&gt;"?",'Choix pédagogiques'!$C$5&lt;&gt;"?",AD863&lt;&gt;""),(AD863-'Choix pédagogiques'!$C$4)/('Choix pédagogiques'!$C$5-'Choix pédagogiques'!$C$4),"")</f>
        <v/>
      </c>
      <c r="AZ863" s="53" t="str">
        <f aca="false">IF($J863&lt;&gt;"",$J863,"")</f>
        <v/>
      </c>
      <c r="BA863" s="52" t="str">
        <f aca="false">IF($A863&lt;&gt;"",$A863,"")</f>
        <v>Apprenant 851</v>
      </c>
      <c r="BB863" s="55" t="str">
        <f aca="false">IF(AND($AR863&lt;&gt;"",$AS863&lt;&gt;""),$AS863-$AR863,"")</f>
        <v/>
      </c>
      <c r="BC863" s="55" t="str">
        <f aca="false">IF(AND($AR863&lt;&gt;"",$AT863&lt;&gt;""),$AT863-$AR863,"")</f>
        <v/>
      </c>
      <c r="BD863" s="55" t="str">
        <f aca="false">IF(AND($AS863&lt;&gt;"",$AT863&lt;&gt;""),$AT863-$AS863,"")</f>
        <v/>
      </c>
      <c r="BE863" s="53" t="str">
        <f aca="false">IF($E863&lt;&gt;"",$E863,"")</f>
        <v/>
      </c>
      <c r="BF863" s="52" t="str">
        <f aca="false">IF($F863&lt;&gt;"",$F863,"")</f>
        <v>Apprenant 851 ou 851'</v>
      </c>
      <c r="BG863" s="55" t="str">
        <f aca="false">IF(AND($AW863&lt;&gt;"",$AX863&lt;&gt;""),$AX863-$AW863,"")</f>
        <v/>
      </c>
      <c r="BH863" s="55" t="str">
        <f aca="false">IF(AND($AW863&lt;&gt;"",$AY863&lt;&gt;""),$AY863-$AW863,"")</f>
        <v/>
      </c>
      <c r="BI863" s="55" t="str">
        <f aca="false">IF(AND($AX863&lt;&gt;"",$AY863&lt;&gt;""),$AY863-$AX863,"")</f>
        <v/>
      </c>
      <c r="BJ863" s="53" t="str">
        <f aca="false">IF($J863&lt;&gt;"",$J863,"")</f>
        <v/>
      </c>
      <c r="BL863" s="52"/>
      <c r="BM863" s="52" t="str">
        <f aca="false">IF(OR(COUNT(B863:D1862)=0,AND('Choix pédagogiques'!$C$3&lt;&gt;1,'Choix pédagogiques'!$C$3&lt;&gt;2)),"",IF(AND(OR('Choix pédagogiques'!$C$3=1,'Choix pédagogiques'!$C$3=2),$B863&lt;&gt;"",$C863&lt;&gt;"",$D863&lt;&gt;""),1,0))</f>
        <v/>
      </c>
      <c r="BN863" s="52" t="str">
        <f aca="false">IF(OR(COUNT(G863:I1862)=0,AND('Choix pédagogiques'!$C$3&lt;&gt;1,'Choix pédagogiques'!$C$3&lt;&gt;2)),"",IF(AND(OR('Choix pédagogiques'!$C$3=1,'Choix pédagogiques'!$C$3=2),AND($G863&lt;&gt;"",$H863&lt;&gt;"",$I863&lt;&gt;"")),1,0))</f>
        <v/>
      </c>
      <c r="BO863" s="52" t="str">
        <f aca="false">IF(OR(COUNT(B863:D1862)=0,COUNT(G863:I1862)=0,'Choix pédagogiques'!C$3&lt;&gt;3),"",IF(AND('Choix pédagogiques'!$C$3=3,$B863&lt;&gt;"",$C863&lt;&gt;"",$D863&lt;&gt;"",$G863&lt;&gt;"",$H863&lt;&gt;"",$I863&lt;&gt;""),1,0))</f>
        <v/>
      </c>
      <c r="BR863" s="52" t="n">
        <v>69</v>
      </c>
      <c r="BS863" s="52" t="n">
        <v>1130</v>
      </c>
    </row>
    <row r="864" s="54" customFormat="true" ht="18" hidden="false" customHeight="true" outlineLevel="0" collapsed="false">
      <c r="A864" s="57" t="s">
        <v>1659</v>
      </c>
      <c r="B864" s="51"/>
      <c r="C864" s="51"/>
      <c r="D864" s="51"/>
      <c r="E864" s="51"/>
      <c r="F864" s="57" t="s">
        <v>1660</v>
      </c>
      <c r="G864" s="51"/>
      <c r="H864" s="51"/>
      <c r="I864" s="51"/>
      <c r="J864" s="51"/>
      <c r="K864" s="52" t="str">
        <f aca="false">IF($A864&lt;&gt;"",$A864,"")</f>
        <v>Apprenant 852</v>
      </c>
      <c r="L864" s="53" t="str">
        <f aca="false">IF(AND($B864&lt;&gt;"",$C864&lt;&gt;""),$C864-$B864,"")</f>
        <v/>
      </c>
      <c r="M864" s="53" t="str">
        <f aca="false">IF(AND($B864&lt;&gt;"",$D864&lt;&gt;""),$D864-$B864,"")</f>
        <v/>
      </c>
      <c r="N864" s="53" t="str">
        <f aca="false">IF(AND($C864&lt;&gt;"",$D864&lt;&gt;""),$D864-$C864,"")</f>
        <v/>
      </c>
      <c r="O864" s="53" t="str">
        <f aca="false">IF($E864&lt;&gt;"",$E864,"")</f>
        <v/>
      </c>
      <c r="P864" s="52" t="str">
        <f aca="false">IF($F864&lt;&gt;"",$F864,"")</f>
        <v>Apprenant 852 ou 852'</v>
      </c>
      <c r="Q864" s="53" t="str">
        <f aca="false">IF(AND($G864&lt;&gt;"",$H864&lt;&gt;""),$H864-$G864,"")</f>
        <v/>
      </c>
      <c r="R864" s="53" t="str">
        <f aca="false">IF(AND($G864&lt;&gt;"",$I864&lt;&gt;""),$I864-$G864,"")</f>
        <v/>
      </c>
      <c r="S864" s="53" t="str">
        <f aca="false">IF(AND($H864&lt;&gt;"",$I864&lt;&gt;""),$I864-$H864,"")</f>
        <v/>
      </c>
      <c r="T864" s="53" t="str">
        <f aca="false">IF($J864&lt;&gt;"",$J864,"")</f>
        <v/>
      </c>
      <c r="V864" s="52" t="str">
        <f aca="false">IF($A864&lt;&gt;"",$A864,"")</f>
        <v>Apprenant 852</v>
      </c>
      <c r="W864" s="53" t="str">
        <f aca="false">IF(AND(OR('Choix pédagogiques'!$C$3=1,'Choix pédagogiques'!$C$3=2),$BM864=1),B864,IF(AND('Choix pédagogiques'!$C$3=3,$BO864=1),B864,""))</f>
        <v/>
      </c>
      <c r="X864" s="53" t="str">
        <f aca="false">IF(AND(OR('Choix pédagogiques'!$C$3=1,'Choix pédagogiques'!$C$3=2),$BM864=1),C864,IF(AND('Choix pédagogiques'!$C$3=3,$BO864=1),C864,""))</f>
        <v/>
      </c>
      <c r="Y864" s="53" t="str">
        <f aca="false">IF(AND(OR('Choix pédagogiques'!$C$3=1,'Choix pédagogiques'!$C$3=2),$BM864=1),D864,IF(AND('Choix pédagogiques'!$C$3=3,$BO864=1),D864,""))</f>
        <v/>
      </c>
      <c r="Z864" s="53" t="str">
        <f aca="false">IF($E864&lt;&gt;"",$E864,"")</f>
        <v/>
      </c>
      <c r="AA864" s="52" t="str">
        <f aca="false">IF($F864&lt;&gt;"",$F864,"")</f>
        <v>Apprenant 852 ou 852'</v>
      </c>
      <c r="AB864" s="53" t="str">
        <f aca="false">IF(AND(OR('Choix pédagogiques'!$C$3=1,'Choix pédagogiques'!$C$3=2),$BN864=1),G864,IF(AND('Choix pédagogiques'!$C$3=3,$BO864=1),G864,""))</f>
        <v/>
      </c>
      <c r="AC864" s="53" t="str">
        <f aca="false">IF(AND(OR('Choix pédagogiques'!$C$3=1,'Choix pédagogiques'!$C$3=2),$BN864=1),H864,IF(AND('Choix pédagogiques'!$C$3=3,$BO864=1),H864,""))</f>
        <v/>
      </c>
      <c r="AD864" s="53" t="str">
        <f aca="false">IF(AND(OR('Choix pédagogiques'!$C$3=1,'Choix pédagogiques'!$C$3=2),$BN864=1),I864,IF(AND('Choix pédagogiques'!$C$3=3,$BO864=1),I864,""))</f>
        <v/>
      </c>
      <c r="AE864" s="53" t="str">
        <f aca="false">IF($J864&lt;&gt;"",$J864,"")</f>
        <v/>
      </c>
      <c r="AF864" s="52" t="str">
        <f aca="false">IF($A864&lt;&gt;"",$A864,"")</f>
        <v>Apprenant 852</v>
      </c>
      <c r="AG864" s="53" t="str">
        <f aca="false">IF(AND($W864&lt;&gt;"",$X864&lt;&gt;""),$X864-$W864,"")</f>
        <v/>
      </c>
      <c r="AH864" s="53" t="str">
        <f aca="false">IF(AND($W864&lt;&gt;"",$Y864&lt;&gt;""),$Y864-$W864,"")</f>
        <v/>
      </c>
      <c r="AI864" s="53" t="str">
        <f aca="false">IF(AND($X864&lt;&gt;"",$Y864&lt;&gt;""),$Y864-$X864,"")</f>
        <v/>
      </c>
      <c r="AJ864" s="53" t="str">
        <f aca="false">IF($E864&lt;&gt;"",$E864,"")</f>
        <v/>
      </c>
      <c r="AK864" s="52" t="str">
        <f aca="false">IF($F864&lt;&gt;"",$F864,"")</f>
        <v>Apprenant 852 ou 852'</v>
      </c>
      <c r="AL864" s="53" t="str">
        <f aca="false">IF(AND($AB864&lt;&gt;"",$AC864&lt;&gt;""),$AC864-$AB864,"")</f>
        <v/>
      </c>
      <c r="AM864" s="53" t="str">
        <f aca="false">IF(AND($AB864&lt;&gt;"",$AD864&lt;&gt;""),$AD864-$AB864,"")</f>
        <v/>
      </c>
      <c r="AN864" s="53" t="str">
        <f aca="false">IF(AND($AC864&lt;&gt;"",$AD864&lt;&gt;""),$AD864-$AC864,"")</f>
        <v/>
      </c>
      <c r="AO864" s="53" t="str">
        <f aca="false">IF($J864&lt;&gt;"",$J864,"")</f>
        <v/>
      </c>
      <c r="AQ864" s="52" t="str">
        <f aca="false">IF($A864&lt;&gt;"",$A864,"")</f>
        <v>Apprenant 852</v>
      </c>
      <c r="AR864" s="55" t="str">
        <f aca="false">IF(AND('Choix pédagogiques'!$C$4&lt;&gt;"?",'Choix pédagogiques'!$C$5&lt;&gt;"?",W864&lt;&gt;""),(W864-'Choix pédagogiques'!$C$4)/('Choix pédagogiques'!$C$5-'Choix pédagogiques'!$C$4),"")</f>
        <v/>
      </c>
      <c r="AS864" s="55" t="str">
        <f aca="false">IF(AND('Choix pédagogiques'!$C$4&lt;&gt;"?",'Choix pédagogiques'!$C$5&lt;&gt;"?",X864&lt;&gt;""),(X864-'Choix pédagogiques'!$C$4)/('Choix pédagogiques'!$C$5-'Choix pédagogiques'!$C$4),"")</f>
        <v/>
      </c>
      <c r="AT864" s="55" t="str">
        <f aca="false">IF(AND('Choix pédagogiques'!$C$4&lt;&gt;"?",'Choix pédagogiques'!$C$5&lt;&gt;"?",Y864&lt;&gt;""),(Y864-'Choix pédagogiques'!$C$4)/('Choix pédagogiques'!$C$5-'Choix pédagogiques'!$C$4),"")</f>
        <v/>
      </c>
      <c r="AU864" s="53" t="str">
        <f aca="false">IF($E864&lt;&gt;"",$E864,"")</f>
        <v/>
      </c>
      <c r="AV864" s="52" t="str">
        <f aca="false">IF($F864&lt;&gt;"",$F864,"")</f>
        <v>Apprenant 852 ou 852'</v>
      </c>
      <c r="AW864" s="55" t="str">
        <f aca="false">IF(AND('Choix pédagogiques'!$C$4&lt;&gt;"?",'Choix pédagogiques'!$C$5&lt;&gt;"?",AB864&lt;&gt;""),(AB864-'Choix pédagogiques'!$C$4)/('Choix pédagogiques'!$C$5-'Choix pédagogiques'!$C$4),"")</f>
        <v/>
      </c>
      <c r="AX864" s="55" t="str">
        <f aca="false">IF(AND('Choix pédagogiques'!$C$4&lt;&gt;"?",'Choix pédagogiques'!$C$5&lt;&gt;"?",AC864&lt;&gt;""),(AC864-'Choix pédagogiques'!$C$4)/('Choix pédagogiques'!$C$5-'Choix pédagogiques'!$C$4),"")</f>
        <v/>
      </c>
      <c r="AY864" s="55" t="str">
        <f aca="false">IF(AND('Choix pédagogiques'!$C$4&lt;&gt;"?",'Choix pédagogiques'!$C$5&lt;&gt;"?",AD864&lt;&gt;""),(AD864-'Choix pédagogiques'!$C$4)/('Choix pédagogiques'!$C$5-'Choix pédagogiques'!$C$4),"")</f>
        <v/>
      </c>
      <c r="AZ864" s="53" t="str">
        <f aca="false">IF($J864&lt;&gt;"",$J864,"")</f>
        <v/>
      </c>
      <c r="BA864" s="52" t="str">
        <f aca="false">IF($A864&lt;&gt;"",$A864,"")</f>
        <v>Apprenant 852</v>
      </c>
      <c r="BB864" s="55" t="str">
        <f aca="false">IF(AND($AR864&lt;&gt;"",$AS864&lt;&gt;""),$AS864-$AR864,"")</f>
        <v/>
      </c>
      <c r="BC864" s="55" t="str">
        <f aca="false">IF(AND($AR864&lt;&gt;"",$AT864&lt;&gt;""),$AT864-$AR864,"")</f>
        <v/>
      </c>
      <c r="BD864" s="55" t="str">
        <f aca="false">IF(AND($AS864&lt;&gt;"",$AT864&lt;&gt;""),$AT864-$AS864,"")</f>
        <v/>
      </c>
      <c r="BE864" s="53" t="str">
        <f aca="false">IF($E864&lt;&gt;"",$E864,"")</f>
        <v/>
      </c>
      <c r="BF864" s="52" t="str">
        <f aca="false">IF($F864&lt;&gt;"",$F864,"")</f>
        <v>Apprenant 852 ou 852'</v>
      </c>
      <c r="BG864" s="55" t="str">
        <f aca="false">IF(AND($AW864&lt;&gt;"",$AX864&lt;&gt;""),$AX864-$AW864,"")</f>
        <v/>
      </c>
      <c r="BH864" s="55" t="str">
        <f aca="false">IF(AND($AW864&lt;&gt;"",$AY864&lt;&gt;""),$AY864-$AW864,"")</f>
        <v/>
      </c>
      <c r="BI864" s="55" t="str">
        <f aca="false">IF(AND($AX864&lt;&gt;"",$AY864&lt;&gt;""),$AY864-$AX864,"")</f>
        <v/>
      </c>
      <c r="BJ864" s="53" t="str">
        <f aca="false">IF($J864&lt;&gt;"",$J864,"")</f>
        <v/>
      </c>
      <c r="BL864" s="52"/>
      <c r="BM864" s="52" t="str">
        <f aca="false">IF(OR(COUNT(B864:D1863)=0,AND('Choix pédagogiques'!$C$3&lt;&gt;1,'Choix pédagogiques'!$C$3&lt;&gt;2)),"",IF(AND(OR('Choix pédagogiques'!$C$3=1,'Choix pédagogiques'!$C$3=2),$B864&lt;&gt;"",$C864&lt;&gt;"",$D864&lt;&gt;""),1,0))</f>
        <v/>
      </c>
      <c r="BN864" s="52" t="str">
        <f aca="false">IF(OR(COUNT(G864:I1863)=0,AND('Choix pédagogiques'!$C$3&lt;&gt;1,'Choix pédagogiques'!$C$3&lt;&gt;2)),"",IF(AND(OR('Choix pédagogiques'!$C$3=1,'Choix pédagogiques'!$C$3=2),AND($G864&lt;&gt;"",$H864&lt;&gt;"",$I864&lt;&gt;"")),1,0))</f>
        <v/>
      </c>
      <c r="BO864" s="52" t="str">
        <f aca="false">IF(OR(COUNT(B864:D1863)=0,COUNT(G864:I1863)=0,'Choix pédagogiques'!C$3&lt;&gt;3),"",IF(AND('Choix pédagogiques'!$C$3=3,$B864&lt;&gt;"",$C864&lt;&gt;"",$D864&lt;&gt;"",$G864&lt;&gt;"",$H864&lt;&gt;"",$I864&lt;&gt;""),1,0))</f>
        <v/>
      </c>
      <c r="BR864" s="52" t="n">
        <v>588</v>
      </c>
      <c r="BS864" s="52" t="n">
        <v>1939</v>
      </c>
    </row>
    <row r="865" s="54" customFormat="true" ht="18" hidden="false" customHeight="true" outlineLevel="0" collapsed="false">
      <c r="A865" s="57" t="s">
        <v>1661</v>
      </c>
      <c r="B865" s="51"/>
      <c r="C865" s="51"/>
      <c r="D865" s="51"/>
      <c r="E865" s="51"/>
      <c r="F865" s="57" t="s">
        <v>1662</v>
      </c>
      <c r="G865" s="51"/>
      <c r="H865" s="51"/>
      <c r="I865" s="51"/>
      <c r="J865" s="51"/>
      <c r="K865" s="52" t="str">
        <f aca="false">IF($A865&lt;&gt;"",$A865,"")</f>
        <v>Apprenant 853</v>
      </c>
      <c r="L865" s="53" t="str">
        <f aca="false">IF(AND($B865&lt;&gt;"",$C865&lt;&gt;""),$C865-$B865,"")</f>
        <v/>
      </c>
      <c r="M865" s="53" t="str">
        <f aca="false">IF(AND($B865&lt;&gt;"",$D865&lt;&gt;""),$D865-$B865,"")</f>
        <v/>
      </c>
      <c r="N865" s="53" t="str">
        <f aca="false">IF(AND($C865&lt;&gt;"",$D865&lt;&gt;""),$D865-$C865,"")</f>
        <v/>
      </c>
      <c r="O865" s="53" t="str">
        <f aca="false">IF($E865&lt;&gt;"",$E865,"")</f>
        <v/>
      </c>
      <c r="P865" s="52" t="str">
        <f aca="false">IF($F865&lt;&gt;"",$F865,"")</f>
        <v>Apprenant 853 ou 853'</v>
      </c>
      <c r="Q865" s="53" t="str">
        <f aca="false">IF(AND($G865&lt;&gt;"",$H865&lt;&gt;""),$H865-$G865,"")</f>
        <v/>
      </c>
      <c r="R865" s="53" t="str">
        <f aca="false">IF(AND($G865&lt;&gt;"",$I865&lt;&gt;""),$I865-$G865,"")</f>
        <v/>
      </c>
      <c r="S865" s="53" t="str">
        <f aca="false">IF(AND($H865&lt;&gt;"",$I865&lt;&gt;""),$I865-$H865,"")</f>
        <v/>
      </c>
      <c r="T865" s="53" t="str">
        <f aca="false">IF($J865&lt;&gt;"",$J865,"")</f>
        <v/>
      </c>
      <c r="V865" s="52" t="str">
        <f aca="false">IF($A865&lt;&gt;"",$A865,"")</f>
        <v>Apprenant 853</v>
      </c>
      <c r="W865" s="53" t="str">
        <f aca="false">IF(AND(OR('Choix pédagogiques'!$C$3=1,'Choix pédagogiques'!$C$3=2),$BM865=1),B865,IF(AND('Choix pédagogiques'!$C$3=3,$BO865=1),B865,""))</f>
        <v/>
      </c>
      <c r="X865" s="53" t="str">
        <f aca="false">IF(AND(OR('Choix pédagogiques'!$C$3=1,'Choix pédagogiques'!$C$3=2),$BM865=1),C865,IF(AND('Choix pédagogiques'!$C$3=3,$BO865=1),C865,""))</f>
        <v/>
      </c>
      <c r="Y865" s="53" t="str">
        <f aca="false">IF(AND(OR('Choix pédagogiques'!$C$3=1,'Choix pédagogiques'!$C$3=2),$BM865=1),D865,IF(AND('Choix pédagogiques'!$C$3=3,$BO865=1),D865,""))</f>
        <v/>
      </c>
      <c r="Z865" s="53" t="str">
        <f aca="false">IF($E865&lt;&gt;"",$E865,"")</f>
        <v/>
      </c>
      <c r="AA865" s="52" t="str">
        <f aca="false">IF($F865&lt;&gt;"",$F865,"")</f>
        <v>Apprenant 853 ou 853'</v>
      </c>
      <c r="AB865" s="53" t="str">
        <f aca="false">IF(AND(OR('Choix pédagogiques'!$C$3=1,'Choix pédagogiques'!$C$3=2),$BN865=1),G865,IF(AND('Choix pédagogiques'!$C$3=3,$BO865=1),G865,""))</f>
        <v/>
      </c>
      <c r="AC865" s="53" t="str">
        <f aca="false">IF(AND(OR('Choix pédagogiques'!$C$3=1,'Choix pédagogiques'!$C$3=2),$BN865=1),H865,IF(AND('Choix pédagogiques'!$C$3=3,$BO865=1),H865,""))</f>
        <v/>
      </c>
      <c r="AD865" s="53" t="str">
        <f aca="false">IF(AND(OR('Choix pédagogiques'!$C$3=1,'Choix pédagogiques'!$C$3=2),$BN865=1),I865,IF(AND('Choix pédagogiques'!$C$3=3,$BO865=1),I865,""))</f>
        <v/>
      </c>
      <c r="AE865" s="53" t="str">
        <f aca="false">IF($J865&lt;&gt;"",$J865,"")</f>
        <v/>
      </c>
      <c r="AF865" s="52" t="str">
        <f aca="false">IF($A865&lt;&gt;"",$A865,"")</f>
        <v>Apprenant 853</v>
      </c>
      <c r="AG865" s="53" t="str">
        <f aca="false">IF(AND($W865&lt;&gt;"",$X865&lt;&gt;""),$X865-$W865,"")</f>
        <v/>
      </c>
      <c r="AH865" s="53" t="str">
        <f aca="false">IF(AND($W865&lt;&gt;"",$Y865&lt;&gt;""),$Y865-$W865,"")</f>
        <v/>
      </c>
      <c r="AI865" s="53" t="str">
        <f aca="false">IF(AND($X865&lt;&gt;"",$Y865&lt;&gt;""),$Y865-$X865,"")</f>
        <v/>
      </c>
      <c r="AJ865" s="53" t="str">
        <f aca="false">IF($E865&lt;&gt;"",$E865,"")</f>
        <v/>
      </c>
      <c r="AK865" s="52" t="str">
        <f aca="false">IF($F865&lt;&gt;"",$F865,"")</f>
        <v>Apprenant 853 ou 853'</v>
      </c>
      <c r="AL865" s="53" t="str">
        <f aca="false">IF(AND($AB865&lt;&gt;"",$AC865&lt;&gt;""),$AC865-$AB865,"")</f>
        <v/>
      </c>
      <c r="AM865" s="53" t="str">
        <f aca="false">IF(AND($AB865&lt;&gt;"",$AD865&lt;&gt;""),$AD865-$AB865,"")</f>
        <v/>
      </c>
      <c r="AN865" s="53" t="str">
        <f aca="false">IF(AND($AC865&lt;&gt;"",$AD865&lt;&gt;""),$AD865-$AC865,"")</f>
        <v/>
      </c>
      <c r="AO865" s="53" t="str">
        <f aca="false">IF($J865&lt;&gt;"",$J865,"")</f>
        <v/>
      </c>
      <c r="AQ865" s="52" t="str">
        <f aca="false">IF($A865&lt;&gt;"",$A865,"")</f>
        <v>Apprenant 853</v>
      </c>
      <c r="AR865" s="55" t="str">
        <f aca="false">IF(AND('Choix pédagogiques'!$C$4&lt;&gt;"?",'Choix pédagogiques'!$C$5&lt;&gt;"?",W865&lt;&gt;""),(W865-'Choix pédagogiques'!$C$4)/('Choix pédagogiques'!$C$5-'Choix pédagogiques'!$C$4),"")</f>
        <v/>
      </c>
      <c r="AS865" s="55" t="str">
        <f aca="false">IF(AND('Choix pédagogiques'!$C$4&lt;&gt;"?",'Choix pédagogiques'!$C$5&lt;&gt;"?",X865&lt;&gt;""),(X865-'Choix pédagogiques'!$C$4)/('Choix pédagogiques'!$C$5-'Choix pédagogiques'!$C$4),"")</f>
        <v/>
      </c>
      <c r="AT865" s="55" t="str">
        <f aca="false">IF(AND('Choix pédagogiques'!$C$4&lt;&gt;"?",'Choix pédagogiques'!$C$5&lt;&gt;"?",Y865&lt;&gt;""),(Y865-'Choix pédagogiques'!$C$4)/('Choix pédagogiques'!$C$5-'Choix pédagogiques'!$C$4),"")</f>
        <v/>
      </c>
      <c r="AU865" s="53" t="str">
        <f aca="false">IF($E865&lt;&gt;"",$E865,"")</f>
        <v/>
      </c>
      <c r="AV865" s="52" t="str">
        <f aca="false">IF($F865&lt;&gt;"",$F865,"")</f>
        <v>Apprenant 853 ou 853'</v>
      </c>
      <c r="AW865" s="55" t="str">
        <f aca="false">IF(AND('Choix pédagogiques'!$C$4&lt;&gt;"?",'Choix pédagogiques'!$C$5&lt;&gt;"?",AB865&lt;&gt;""),(AB865-'Choix pédagogiques'!$C$4)/('Choix pédagogiques'!$C$5-'Choix pédagogiques'!$C$4),"")</f>
        <v/>
      </c>
      <c r="AX865" s="55" t="str">
        <f aca="false">IF(AND('Choix pédagogiques'!$C$4&lt;&gt;"?",'Choix pédagogiques'!$C$5&lt;&gt;"?",AC865&lt;&gt;""),(AC865-'Choix pédagogiques'!$C$4)/('Choix pédagogiques'!$C$5-'Choix pédagogiques'!$C$4),"")</f>
        <v/>
      </c>
      <c r="AY865" s="55" t="str">
        <f aca="false">IF(AND('Choix pédagogiques'!$C$4&lt;&gt;"?",'Choix pédagogiques'!$C$5&lt;&gt;"?",AD865&lt;&gt;""),(AD865-'Choix pédagogiques'!$C$4)/('Choix pédagogiques'!$C$5-'Choix pédagogiques'!$C$4),"")</f>
        <v/>
      </c>
      <c r="AZ865" s="53" t="str">
        <f aca="false">IF($J865&lt;&gt;"",$J865,"")</f>
        <v/>
      </c>
      <c r="BA865" s="52" t="str">
        <f aca="false">IF($A865&lt;&gt;"",$A865,"")</f>
        <v>Apprenant 853</v>
      </c>
      <c r="BB865" s="55" t="str">
        <f aca="false">IF(AND($AR865&lt;&gt;"",$AS865&lt;&gt;""),$AS865-$AR865,"")</f>
        <v/>
      </c>
      <c r="BC865" s="55" t="str">
        <f aca="false">IF(AND($AR865&lt;&gt;"",$AT865&lt;&gt;""),$AT865-$AR865,"")</f>
        <v/>
      </c>
      <c r="BD865" s="55" t="str">
        <f aca="false">IF(AND($AS865&lt;&gt;"",$AT865&lt;&gt;""),$AT865-$AS865,"")</f>
        <v/>
      </c>
      <c r="BE865" s="53" t="str">
        <f aca="false">IF($E865&lt;&gt;"",$E865,"")</f>
        <v/>
      </c>
      <c r="BF865" s="52" t="str">
        <f aca="false">IF($F865&lt;&gt;"",$F865,"")</f>
        <v>Apprenant 853 ou 853'</v>
      </c>
      <c r="BG865" s="55" t="str">
        <f aca="false">IF(AND($AW865&lt;&gt;"",$AX865&lt;&gt;""),$AX865-$AW865,"")</f>
        <v/>
      </c>
      <c r="BH865" s="55" t="str">
        <f aca="false">IF(AND($AW865&lt;&gt;"",$AY865&lt;&gt;""),$AY865-$AW865,"")</f>
        <v/>
      </c>
      <c r="BI865" s="55" t="str">
        <f aca="false">IF(AND($AX865&lt;&gt;"",$AY865&lt;&gt;""),$AY865-$AX865,"")</f>
        <v/>
      </c>
      <c r="BJ865" s="53" t="str">
        <f aca="false">IF($J865&lt;&gt;"",$J865,"")</f>
        <v/>
      </c>
      <c r="BL865" s="52"/>
      <c r="BM865" s="52" t="str">
        <f aca="false">IF(OR(COUNT(B865:D1864)=0,AND('Choix pédagogiques'!$C$3&lt;&gt;1,'Choix pédagogiques'!$C$3&lt;&gt;2)),"",IF(AND(OR('Choix pédagogiques'!$C$3=1,'Choix pédagogiques'!$C$3=2),$B865&lt;&gt;"",$C865&lt;&gt;"",$D865&lt;&gt;""),1,0))</f>
        <v/>
      </c>
      <c r="BN865" s="52" t="str">
        <f aca="false">IF(OR(COUNT(G865:I1864)=0,AND('Choix pédagogiques'!$C$3&lt;&gt;1,'Choix pédagogiques'!$C$3&lt;&gt;2)),"",IF(AND(OR('Choix pédagogiques'!$C$3=1,'Choix pédagogiques'!$C$3=2),AND($G865&lt;&gt;"",$H865&lt;&gt;"",$I865&lt;&gt;"")),1,0))</f>
        <v/>
      </c>
      <c r="BO865" s="52" t="str">
        <f aca="false">IF(OR(COUNT(B865:D1864)=0,COUNT(G865:I1864)=0,'Choix pédagogiques'!C$3&lt;&gt;3),"",IF(AND('Choix pédagogiques'!$C$3=3,$B865&lt;&gt;"",$C865&lt;&gt;"",$D865&lt;&gt;"",$G865&lt;&gt;"",$H865&lt;&gt;"",$I865&lt;&gt;""),1,0))</f>
        <v/>
      </c>
      <c r="BR865" s="52" t="n">
        <v>112</v>
      </c>
      <c r="BS865" s="52" t="n">
        <v>1400</v>
      </c>
    </row>
    <row r="866" s="54" customFormat="true" ht="18" hidden="false" customHeight="true" outlineLevel="0" collapsed="false">
      <c r="A866" s="57" t="s">
        <v>1663</v>
      </c>
      <c r="B866" s="51"/>
      <c r="C866" s="51"/>
      <c r="D866" s="51"/>
      <c r="E866" s="51"/>
      <c r="F866" s="57" t="s">
        <v>1664</v>
      </c>
      <c r="G866" s="51"/>
      <c r="H866" s="51"/>
      <c r="I866" s="51"/>
      <c r="J866" s="51"/>
      <c r="K866" s="52" t="str">
        <f aca="false">IF($A866&lt;&gt;"",$A866,"")</f>
        <v>Apprenant 854</v>
      </c>
      <c r="L866" s="53" t="str">
        <f aca="false">IF(AND($B866&lt;&gt;"",$C866&lt;&gt;""),$C866-$B866,"")</f>
        <v/>
      </c>
      <c r="M866" s="53" t="str">
        <f aca="false">IF(AND($B866&lt;&gt;"",$D866&lt;&gt;""),$D866-$B866,"")</f>
        <v/>
      </c>
      <c r="N866" s="53" t="str">
        <f aca="false">IF(AND($C866&lt;&gt;"",$D866&lt;&gt;""),$D866-$C866,"")</f>
        <v/>
      </c>
      <c r="O866" s="53" t="str">
        <f aca="false">IF($E866&lt;&gt;"",$E866,"")</f>
        <v/>
      </c>
      <c r="P866" s="52" t="str">
        <f aca="false">IF($F866&lt;&gt;"",$F866,"")</f>
        <v>Apprenant 854 ou 854'</v>
      </c>
      <c r="Q866" s="53" t="str">
        <f aca="false">IF(AND($G866&lt;&gt;"",$H866&lt;&gt;""),$H866-$G866,"")</f>
        <v/>
      </c>
      <c r="R866" s="53" t="str">
        <f aca="false">IF(AND($G866&lt;&gt;"",$I866&lt;&gt;""),$I866-$G866,"")</f>
        <v/>
      </c>
      <c r="S866" s="53" t="str">
        <f aca="false">IF(AND($H866&lt;&gt;"",$I866&lt;&gt;""),$I866-$H866,"")</f>
        <v/>
      </c>
      <c r="T866" s="53" t="str">
        <f aca="false">IF($J866&lt;&gt;"",$J866,"")</f>
        <v/>
      </c>
      <c r="V866" s="52" t="str">
        <f aca="false">IF($A866&lt;&gt;"",$A866,"")</f>
        <v>Apprenant 854</v>
      </c>
      <c r="W866" s="53" t="str">
        <f aca="false">IF(AND(OR('Choix pédagogiques'!$C$3=1,'Choix pédagogiques'!$C$3=2),$BM866=1),B866,IF(AND('Choix pédagogiques'!$C$3=3,$BO866=1),B866,""))</f>
        <v/>
      </c>
      <c r="X866" s="53" t="str">
        <f aca="false">IF(AND(OR('Choix pédagogiques'!$C$3=1,'Choix pédagogiques'!$C$3=2),$BM866=1),C866,IF(AND('Choix pédagogiques'!$C$3=3,$BO866=1),C866,""))</f>
        <v/>
      </c>
      <c r="Y866" s="53" t="str">
        <f aca="false">IF(AND(OR('Choix pédagogiques'!$C$3=1,'Choix pédagogiques'!$C$3=2),$BM866=1),D866,IF(AND('Choix pédagogiques'!$C$3=3,$BO866=1),D866,""))</f>
        <v/>
      </c>
      <c r="Z866" s="53" t="str">
        <f aca="false">IF($E866&lt;&gt;"",$E866,"")</f>
        <v/>
      </c>
      <c r="AA866" s="52" t="str">
        <f aca="false">IF($F866&lt;&gt;"",$F866,"")</f>
        <v>Apprenant 854 ou 854'</v>
      </c>
      <c r="AB866" s="53" t="str">
        <f aca="false">IF(AND(OR('Choix pédagogiques'!$C$3=1,'Choix pédagogiques'!$C$3=2),$BN866=1),G866,IF(AND('Choix pédagogiques'!$C$3=3,$BO866=1),G866,""))</f>
        <v/>
      </c>
      <c r="AC866" s="53" t="str">
        <f aca="false">IF(AND(OR('Choix pédagogiques'!$C$3=1,'Choix pédagogiques'!$C$3=2),$BN866=1),H866,IF(AND('Choix pédagogiques'!$C$3=3,$BO866=1),H866,""))</f>
        <v/>
      </c>
      <c r="AD866" s="53" t="str">
        <f aca="false">IF(AND(OR('Choix pédagogiques'!$C$3=1,'Choix pédagogiques'!$C$3=2),$BN866=1),I866,IF(AND('Choix pédagogiques'!$C$3=3,$BO866=1),I866,""))</f>
        <v/>
      </c>
      <c r="AE866" s="53" t="str">
        <f aca="false">IF($J866&lt;&gt;"",$J866,"")</f>
        <v/>
      </c>
      <c r="AF866" s="52" t="str">
        <f aca="false">IF($A866&lt;&gt;"",$A866,"")</f>
        <v>Apprenant 854</v>
      </c>
      <c r="AG866" s="53" t="str">
        <f aca="false">IF(AND($W866&lt;&gt;"",$X866&lt;&gt;""),$X866-$W866,"")</f>
        <v/>
      </c>
      <c r="AH866" s="53" t="str">
        <f aca="false">IF(AND($W866&lt;&gt;"",$Y866&lt;&gt;""),$Y866-$W866,"")</f>
        <v/>
      </c>
      <c r="AI866" s="53" t="str">
        <f aca="false">IF(AND($X866&lt;&gt;"",$Y866&lt;&gt;""),$Y866-$X866,"")</f>
        <v/>
      </c>
      <c r="AJ866" s="53" t="str">
        <f aca="false">IF($E866&lt;&gt;"",$E866,"")</f>
        <v/>
      </c>
      <c r="AK866" s="52" t="str">
        <f aca="false">IF($F866&lt;&gt;"",$F866,"")</f>
        <v>Apprenant 854 ou 854'</v>
      </c>
      <c r="AL866" s="53" t="str">
        <f aca="false">IF(AND($AB866&lt;&gt;"",$AC866&lt;&gt;""),$AC866-$AB866,"")</f>
        <v/>
      </c>
      <c r="AM866" s="53" t="str">
        <f aca="false">IF(AND($AB866&lt;&gt;"",$AD866&lt;&gt;""),$AD866-$AB866,"")</f>
        <v/>
      </c>
      <c r="AN866" s="53" t="str">
        <f aca="false">IF(AND($AC866&lt;&gt;"",$AD866&lt;&gt;""),$AD866-$AC866,"")</f>
        <v/>
      </c>
      <c r="AO866" s="53" t="str">
        <f aca="false">IF($J866&lt;&gt;"",$J866,"")</f>
        <v/>
      </c>
      <c r="AQ866" s="52" t="str">
        <f aca="false">IF($A866&lt;&gt;"",$A866,"")</f>
        <v>Apprenant 854</v>
      </c>
      <c r="AR866" s="55" t="str">
        <f aca="false">IF(AND('Choix pédagogiques'!$C$4&lt;&gt;"?",'Choix pédagogiques'!$C$5&lt;&gt;"?",W866&lt;&gt;""),(W866-'Choix pédagogiques'!$C$4)/('Choix pédagogiques'!$C$5-'Choix pédagogiques'!$C$4),"")</f>
        <v/>
      </c>
      <c r="AS866" s="55" t="str">
        <f aca="false">IF(AND('Choix pédagogiques'!$C$4&lt;&gt;"?",'Choix pédagogiques'!$C$5&lt;&gt;"?",X866&lt;&gt;""),(X866-'Choix pédagogiques'!$C$4)/('Choix pédagogiques'!$C$5-'Choix pédagogiques'!$C$4),"")</f>
        <v/>
      </c>
      <c r="AT866" s="55" t="str">
        <f aca="false">IF(AND('Choix pédagogiques'!$C$4&lt;&gt;"?",'Choix pédagogiques'!$C$5&lt;&gt;"?",Y866&lt;&gt;""),(Y866-'Choix pédagogiques'!$C$4)/('Choix pédagogiques'!$C$5-'Choix pédagogiques'!$C$4),"")</f>
        <v/>
      </c>
      <c r="AU866" s="53" t="str">
        <f aca="false">IF($E866&lt;&gt;"",$E866,"")</f>
        <v/>
      </c>
      <c r="AV866" s="52" t="str">
        <f aca="false">IF($F866&lt;&gt;"",$F866,"")</f>
        <v>Apprenant 854 ou 854'</v>
      </c>
      <c r="AW866" s="55" t="str">
        <f aca="false">IF(AND('Choix pédagogiques'!$C$4&lt;&gt;"?",'Choix pédagogiques'!$C$5&lt;&gt;"?",AB866&lt;&gt;""),(AB866-'Choix pédagogiques'!$C$4)/('Choix pédagogiques'!$C$5-'Choix pédagogiques'!$C$4),"")</f>
        <v/>
      </c>
      <c r="AX866" s="55" t="str">
        <f aca="false">IF(AND('Choix pédagogiques'!$C$4&lt;&gt;"?",'Choix pédagogiques'!$C$5&lt;&gt;"?",AC866&lt;&gt;""),(AC866-'Choix pédagogiques'!$C$4)/('Choix pédagogiques'!$C$5-'Choix pédagogiques'!$C$4),"")</f>
        <v/>
      </c>
      <c r="AY866" s="55" t="str">
        <f aca="false">IF(AND('Choix pédagogiques'!$C$4&lt;&gt;"?",'Choix pédagogiques'!$C$5&lt;&gt;"?",AD866&lt;&gt;""),(AD866-'Choix pédagogiques'!$C$4)/('Choix pédagogiques'!$C$5-'Choix pédagogiques'!$C$4),"")</f>
        <v/>
      </c>
      <c r="AZ866" s="53" t="str">
        <f aca="false">IF($J866&lt;&gt;"",$J866,"")</f>
        <v/>
      </c>
      <c r="BA866" s="52" t="str">
        <f aca="false">IF($A866&lt;&gt;"",$A866,"")</f>
        <v>Apprenant 854</v>
      </c>
      <c r="BB866" s="55" t="str">
        <f aca="false">IF(AND($AR866&lt;&gt;"",$AS866&lt;&gt;""),$AS866-$AR866,"")</f>
        <v/>
      </c>
      <c r="BC866" s="55" t="str">
        <f aca="false">IF(AND($AR866&lt;&gt;"",$AT866&lt;&gt;""),$AT866-$AR866,"")</f>
        <v/>
      </c>
      <c r="BD866" s="55" t="str">
        <f aca="false">IF(AND($AS866&lt;&gt;"",$AT866&lt;&gt;""),$AT866-$AS866,"")</f>
        <v/>
      </c>
      <c r="BE866" s="53" t="str">
        <f aca="false">IF($E866&lt;&gt;"",$E866,"")</f>
        <v/>
      </c>
      <c r="BF866" s="52" t="str">
        <f aca="false">IF($F866&lt;&gt;"",$F866,"")</f>
        <v>Apprenant 854 ou 854'</v>
      </c>
      <c r="BG866" s="55" t="str">
        <f aca="false">IF(AND($AW866&lt;&gt;"",$AX866&lt;&gt;""),$AX866-$AW866,"")</f>
        <v/>
      </c>
      <c r="BH866" s="55" t="str">
        <f aca="false">IF(AND($AW866&lt;&gt;"",$AY866&lt;&gt;""),$AY866-$AW866,"")</f>
        <v/>
      </c>
      <c r="BI866" s="55" t="str">
        <f aca="false">IF(AND($AX866&lt;&gt;"",$AY866&lt;&gt;""),$AY866-$AX866,"")</f>
        <v/>
      </c>
      <c r="BJ866" s="53" t="str">
        <f aca="false">IF($J866&lt;&gt;"",$J866,"")</f>
        <v/>
      </c>
      <c r="BL866" s="52"/>
      <c r="BM866" s="52" t="str">
        <f aca="false">IF(OR(COUNT(B866:D1865)=0,AND('Choix pédagogiques'!$C$3&lt;&gt;1,'Choix pédagogiques'!$C$3&lt;&gt;2)),"",IF(AND(OR('Choix pédagogiques'!$C$3=1,'Choix pédagogiques'!$C$3=2),$B866&lt;&gt;"",$C866&lt;&gt;"",$D866&lt;&gt;""),1,0))</f>
        <v/>
      </c>
      <c r="BN866" s="52" t="str">
        <f aca="false">IF(OR(COUNT(G866:I1865)=0,AND('Choix pédagogiques'!$C$3&lt;&gt;1,'Choix pédagogiques'!$C$3&lt;&gt;2)),"",IF(AND(OR('Choix pédagogiques'!$C$3=1,'Choix pédagogiques'!$C$3=2),AND($G866&lt;&gt;"",$H866&lt;&gt;"",$I866&lt;&gt;"")),1,0))</f>
        <v/>
      </c>
      <c r="BO866" s="52" t="str">
        <f aca="false">IF(OR(COUNT(B866:D1865)=0,COUNT(G866:I1865)=0,'Choix pédagogiques'!C$3&lt;&gt;3),"",IF(AND('Choix pédagogiques'!$C$3=3,$B866&lt;&gt;"",$C866&lt;&gt;"",$D866&lt;&gt;"",$G866&lt;&gt;"",$H866&lt;&gt;"",$I866&lt;&gt;""),1,0))</f>
        <v/>
      </c>
      <c r="BR866" s="52" t="n">
        <v>902</v>
      </c>
      <c r="BS866" s="52" t="n">
        <v>1949</v>
      </c>
    </row>
    <row r="867" s="54" customFormat="true" ht="18" hidden="false" customHeight="true" outlineLevel="0" collapsed="false">
      <c r="A867" s="57" t="s">
        <v>1665</v>
      </c>
      <c r="B867" s="51"/>
      <c r="C867" s="51"/>
      <c r="D867" s="51"/>
      <c r="E867" s="51"/>
      <c r="F867" s="57" t="s">
        <v>1666</v>
      </c>
      <c r="G867" s="51"/>
      <c r="H867" s="51"/>
      <c r="I867" s="51"/>
      <c r="J867" s="51"/>
      <c r="K867" s="52" t="str">
        <f aca="false">IF($A867&lt;&gt;"",$A867,"")</f>
        <v>Apprenant 855</v>
      </c>
      <c r="L867" s="53" t="str">
        <f aca="false">IF(AND($B867&lt;&gt;"",$C867&lt;&gt;""),$C867-$B867,"")</f>
        <v/>
      </c>
      <c r="M867" s="53" t="str">
        <f aca="false">IF(AND($B867&lt;&gt;"",$D867&lt;&gt;""),$D867-$B867,"")</f>
        <v/>
      </c>
      <c r="N867" s="53" t="str">
        <f aca="false">IF(AND($C867&lt;&gt;"",$D867&lt;&gt;""),$D867-$C867,"")</f>
        <v/>
      </c>
      <c r="O867" s="53" t="str">
        <f aca="false">IF($E867&lt;&gt;"",$E867,"")</f>
        <v/>
      </c>
      <c r="P867" s="52" t="str">
        <f aca="false">IF($F867&lt;&gt;"",$F867,"")</f>
        <v>Apprenant 855 ou 855'</v>
      </c>
      <c r="Q867" s="53" t="str">
        <f aca="false">IF(AND($G867&lt;&gt;"",$H867&lt;&gt;""),$H867-$G867,"")</f>
        <v/>
      </c>
      <c r="R867" s="53" t="str">
        <f aca="false">IF(AND($G867&lt;&gt;"",$I867&lt;&gt;""),$I867-$G867,"")</f>
        <v/>
      </c>
      <c r="S867" s="53" t="str">
        <f aca="false">IF(AND($H867&lt;&gt;"",$I867&lt;&gt;""),$I867-$H867,"")</f>
        <v/>
      </c>
      <c r="T867" s="53" t="str">
        <f aca="false">IF($J867&lt;&gt;"",$J867,"")</f>
        <v/>
      </c>
      <c r="V867" s="52" t="str">
        <f aca="false">IF($A867&lt;&gt;"",$A867,"")</f>
        <v>Apprenant 855</v>
      </c>
      <c r="W867" s="53" t="str">
        <f aca="false">IF(AND(OR('Choix pédagogiques'!$C$3=1,'Choix pédagogiques'!$C$3=2),$BM867=1),B867,IF(AND('Choix pédagogiques'!$C$3=3,$BO867=1),B867,""))</f>
        <v/>
      </c>
      <c r="X867" s="53" t="str">
        <f aca="false">IF(AND(OR('Choix pédagogiques'!$C$3=1,'Choix pédagogiques'!$C$3=2),$BM867=1),C867,IF(AND('Choix pédagogiques'!$C$3=3,$BO867=1),C867,""))</f>
        <v/>
      </c>
      <c r="Y867" s="53" t="str">
        <f aca="false">IF(AND(OR('Choix pédagogiques'!$C$3=1,'Choix pédagogiques'!$C$3=2),$BM867=1),D867,IF(AND('Choix pédagogiques'!$C$3=3,$BO867=1),D867,""))</f>
        <v/>
      </c>
      <c r="Z867" s="53" t="str">
        <f aca="false">IF($E867&lt;&gt;"",$E867,"")</f>
        <v/>
      </c>
      <c r="AA867" s="52" t="str">
        <f aca="false">IF($F867&lt;&gt;"",$F867,"")</f>
        <v>Apprenant 855 ou 855'</v>
      </c>
      <c r="AB867" s="53" t="str">
        <f aca="false">IF(AND(OR('Choix pédagogiques'!$C$3=1,'Choix pédagogiques'!$C$3=2),$BN867=1),G867,IF(AND('Choix pédagogiques'!$C$3=3,$BO867=1),G867,""))</f>
        <v/>
      </c>
      <c r="AC867" s="53" t="str">
        <f aca="false">IF(AND(OR('Choix pédagogiques'!$C$3=1,'Choix pédagogiques'!$C$3=2),$BN867=1),H867,IF(AND('Choix pédagogiques'!$C$3=3,$BO867=1),H867,""))</f>
        <v/>
      </c>
      <c r="AD867" s="53" t="str">
        <f aca="false">IF(AND(OR('Choix pédagogiques'!$C$3=1,'Choix pédagogiques'!$C$3=2),$BN867=1),I867,IF(AND('Choix pédagogiques'!$C$3=3,$BO867=1),I867,""))</f>
        <v/>
      </c>
      <c r="AE867" s="53" t="str">
        <f aca="false">IF($J867&lt;&gt;"",$J867,"")</f>
        <v/>
      </c>
      <c r="AF867" s="52" t="str">
        <f aca="false">IF($A867&lt;&gt;"",$A867,"")</f>
        <v>Apprenant 855</v>
      </c>
      <c r="AG867" s="53" t="str">
        <f aca="false">IF(AND($W867&lt;&gt;"",$X867&lt;&gt;""),$X867-$W867,"")</f>
        <v/>
      </c>
      <c r="AH867" s="53" t="str">
        <f aca="false">IF(AND($W867&lt;&gt;"",$Y867&lt;&gt;""),$Y867-$W867,"")</f>
        <v/>
      </c>
      <c r="AI867" s="53" t="str">
        <f aca="false">IF(AND($X867&lt;&gt;"",$Y867&lt;&gt;""),$Y867-$X867,"")</f>
        <v/>
      </c>
      <c r="AJ867" s="53" t="str">
        <f aca="false">IF($E867&lt;&gt;"",$E867,"")</f>
        <v/>
      </c>
      <c r="AK867" s="52" t="str">
        <f aca="false">IF($F867&lt;&gt;"",$F867,"")</f>
        <v>Apprenant 855 ou 855'</v>
      </c>
      <c r="AL867" s="53" t="str">
        <f aca="false">IF(AND($AB867&lt;&gt;"",$AC867&lt;&gt;""),$AC867-$AB867,"")</f>
        <v/>
      </c>
      <c r="AM867" s="53" t="str">
        <f aca="false">IF(AND($AB867&lt;&gt;"",$AD867&lt;&gt;""),$AD867-$AB867,"")</f>
        <v/>
      </c>
      <c r="AN867" s="53" t="str">
        <f aca="false">IF(AND($AC867&lt;&gt;"",$AD867&lt;&gt;""),$AD867-$AC867,"")</f>
        <v/>
      </c>
      <c r="AO867" s="53" t="str">
        <f aca="false">IF($J867&lt;&gt;"",$J867,"")</f>
        <v/>
      </c>
      <c r="AQ867" s="52" t="str">
        <f aca="false">IF($A867&lt;&gt;"",$A867,"")</f>
        <v>Apprenant 855</v>
      </c>
      <c r="AR867" s="55" t="str">
        <f aca="false">IF(AND('Choix pédagogiques'!$C$4&lt;&gt;"?",'Choix pédagogiques'!$C$5&lt;&gt;"?",W867&lt;&gt;""),(W867-'Choix pédagogiques'!$C$4)/('Choix pédagogiques'!$C$5-'Choix pédagogiques'!$C$4),"")</f>
        <v/>
      </c>
      <c r="AS867" s="55" t="str">
        <f aca="false">IF(AND('Choix pédagogiques'!$C$4&lt;&gt;"?",'Choix pédagogiques'!$C$5&lt;&gt;"?",X867&lt;&gt;""),(X867-'Choix pédagogiques'!$C$4)/('Choix pédagogiques'!$C$5-'Choix pédagogiques'!$C$4),"")</f>
        <v/>
      </c>
      <c r="AT867" s="55" t="str">
        <f aca="false">IF(AND('Choix pédagogiques'!$C$4&lt;&gt;"?",'Choix pédagogiques'!$C$5&lt;&gt;"?",Y867&lt;&gt;""),(Y867-'Choix pédagogiques'!$C$4)/('Choix pédagogiques'!$C$5-'Choix pédagogiques'!$C$4),"")</f>
        <v/>
      </c>
      <c r="AU867" s="53" t="str">
        <f aca="false">IF($E867&lt;&gt;"",$E867,"")</f>
        <v/>
      </c>
      <c r="AV867" s="52" t="str">
        <f aca="false">IF($F867&lt;&gt;"",$F867,"")</f>
        <v>Apprenant 855 ou 855'</v>
      </c>
      <c r="AW867" s="55" t="str">
        <f aca="false">IF(AND('Choix pédagogiques'!$C$4&lt;&gt;"?",'Choix pédagogiques'!$C$5&lt;&gt;"?",AB867&lt;&gt;""),(AB867-'Choix pédagogiques'!$C$4)/('Choix pédagogiques'!$C$5-'Choix pédagogiques'!$C$4),"")</f>
        <v/>
      </c>
      <c r="AX867" s="55" t="str">
        <f aca="false">IF(AND('Choix pédagogiques'!$C$4&lt;&gt;"?",'Choix pédagogiques'!$C$5&lt;&gt;"?",AC867&lt;&gt;""),(AC867-'Choix pédagogiques'!$C$4)/('Choix pédagogiques'!$C$5-'Choix pédagogiques'!$C$4),"")</f>
        <v/>
      </c>
      <c r="AY867" s="55" t="str">
        <f aca="false">IF(AND('Choix pédagogiques'!$C$4&lt;&gt;"?",'Choix pédagogiques'!$C$5&lt;&gt;"?",AD867&lt;&gt;""),(AD867-'Choix pédagogiques'!$C$4)/('Choix pédagogiques'!$C$5-'Choix pédagogiques'!$C$4),"")</f>
        <v/>
      </c>
      <c r="AZ867" s="53" t="str">
        <f aca="false">IF($J867&lt;&gt;"",$J867,"")</f>
        <v/>
      </c>
      <c r="BA867" s="52" t="str">
        <f aca="false">IF($A867&lt;&gt;"",$A867,"")</f>
        <v>Apprenant 855</v>
      </c>
      <c r="BB867" s="55" t="str">
        <f aca="false">IF(AND($AR867&lt;&gt;"",$AS867&lt;&gt;""),$AS867-$AR867,"")</f>
        <v/>
      </c>
      <c r="BC867" s="55" t="str">
        <f aca="false">IF(AND($AR867&lt;&gt;"",$AT867&lt;&gt;""),$AT867-$AR867,"")</f>
        <v/>
      </c>
      <c r="BD867" s="55" t="str">
        <f aca="false">IF(AND($AS867&lt;&gt;"",$AT867&lt;&gt;""),$AT867-$AS867,"")</f>
        <v/>
      </c>
      <c r="BE867" s="53" t="str">
        <f aca="false">IF($E867&lt;&gt;"",$E867,"")</f>
        <v/>
      </c>
      <c r="BF867" s="52" t="str">
        <f aca="false">IF($F867&lt;&gt;"",$F867,"")</f>
        <v>Apprenant 855 ou 855'</v>
      </c>
      <c r="BG867" s="55" t="str">
        <f aca="false">IF(AND($AW867&lt;&gt;"",$AX867&lt;&gt;""),$AX867-$AW867,"")</f>
        <v/>
      </c>
      <c r="BH867" s="55" t="str">
        <f aca="false">IF(AND($AW867&lt;&gt;"",$AY867&lt;&gt;""),$AY867-$AW867,"")</f>
        <v/>
      </c>
      <c r="BI867" s="55" t="str">
        <f aca="false">IF(AND($AX867&lt;&gt;"",$AY867&lt;&gt;""),$AY867-$AX867,"")</f>
        <v/>
      </c>
      <c r="BJ867" s="53" t="str">
        <f aca="false">IF($J867&lt;&gt;"",$J867,"")</f>
        <v/>
      </c>
      <c r="BL867" s="52"/>
      <c r="BM867" s="52" t="str">
        <f aca="false">IF(OR(COUNT(B867:D1866)=0,AND('Choix pédagogiques'!$C$3&lt;&gt;1,'Choix pédagogiques'!$C$3&lt;&gt;2)),"",IF(AND(OR('Choix pédagogiques'!$C$3=1,'Choix pédagogiques'!$C$3=2),$B867&lt;&gt;"",$C867&lt;&gt;"",$D867&lt;&gt;""),1,0))</f>
        <v/>
      </c>
      <c r="BN867" s="52" t="str">
        <f aca="false">IF(OR(COUNT(G867:I1866)=0,AND('Choix pédagogiques'!$C$3&lt;&gt;1,'Choix pédagogiques'!$C$3&lt;&gt;2)),"",IF(AND(OR('Choix pédagogiques'!$C$3=1,'Choix pédagogiques'!$C$3=2),AND($G867&lt;&gt;"",$H867&lt;&gt;"",$I867&lt;&gt;"")),1,0))</f>
        <v/>
      </c>
      <c r="BO867" s="52" t="str">
        <f aca="false">IF(OR(COUNT(B867:D1866)=0,COUNT(G867:I1866)=0,'Choix pédagogiques'!C$3&lt;&gt;3),"",IF(AND('Choix pédagogiques'!$C$3=3,$B867&lt;&gt;"",$C867&lt;&gt;"",$D867&lt;&gt;"",$G867&lt;&gt;"",$H867&lt;&gt;"",$I867&lt;&gt;""),1,0))</f>
        <v/>
      </c>
      <c r="BR867" s="52" t="n">
        <v>126</v>
      </c>
      <c r="BS867" s="52" t="n">
        <v>1116</v>
      </c>
    </row>
    <row r="868" s="54" customFormat="true" ht="18" hidden="false" customHeight="true" outlineLevel="0" collapsed="false">
      <c r="A868" s="57" t="s">
        <v>1667</v>
      </c>
      <c r="B868" s="51"/>
      <c r="C868" s="51"/>
      <c r="D868" s="51"/>
      <c r="E868" s="51"/>
      <c r="F868" s="57" t="s">
        <v>1668</v>
      </c>
      <c r="G868" s="51"/>
      <c r="H868" s="51"/>
      <c r="I868" s="51"/>
      <c r="J868" s="51"/>
      <c r="K868" s="52" t="str">
        <f aca="false">IF($A868&lt;&gt;"",$A868,"")</f>
        <v>Apprenant 856</v>
      </c>
      <c r="L868" s="53" t="str">
        <f aca="false">IF(AND($B868&lt;&gt;"",$C868&lt;&gt;""),$C868-$B868,"")</f>
        <v/>
      </c>
      <c r="M868" s="53" t="str">
        <f aca="false">IF(AND($B868&lt;&gt;"",$D868&lt;&gt;""),$D868-$B868,"")</f>
        <v/>
      </c>
      <c r="N868" s="53" t="str">
        <f aca="false">IF(AND($C868&lt;&gt;"",$D868&lt;&gt;""),$D868-$C868,"")</f>
        <v/>
      </c>
      <c r="O868" s="53" t="str">
        <f aca="false">IF($E868&lt;&gt;"",$E868,"")</f>
        <v/>
      </c>
      <c r="P868" s="52" t="str">
        <f aca="false">IF($F868&lt;&gt;"",$F868,"")</f>
        <v>Apprenant 856 ou 856'</v>
      </c>
      <c r="Q868" s="53" t="str">
        <f aca="false">IF(AND($G868&lt;&gt;"",$H868&lt;&gt;""),$H868-$G868,"")</f>
        <v/>
      </c>
      <c r="R868" s="53" t="str">
        <f aca="false">IF(AND($G868&lt;&gt;"",$I868&lt;&gt;""),$I868-$G868,"")</f>
        <v/>
      </c>
      <c r="S868" s="53" t="str">
        <f aca="false">IF(AND($H868&lt;&gt;"",$I868&lt;&gt;""),$I868-$H868,"")</f>
        <v/>
      </c>
      <c r="T868" s="53" t="str">
        <f aca="false">IF($J868&lt;&gt;"",$J868,"")</f>
        <v/>
      </c>
      <c r="V868" s="52" t="str">
        <f aca="false">IF($A868&lt;&gt;"",$A868,"")</f>
        <v>Apprenant 856</v>
      </c>
      <c r="W868" s="53" t="str">
        <f aca="false">IF(AND(OR('Choix pédagogiques'!$C$3=1,'Choix pédagogiques'!$C$3=2),$BM868=1),B868,IF(AND('Choix pédagogiques'!$C$3=3,$BO868=1),B868,""))</f>
        <v/>
      </c>
      <c r="X868" s="53" t="str">
        <f aca="false">IF(AND(OR('Choix pédagogiques'!$C$3=1,'Choix pédagogiques'!$C$3=2),$BM868=1),C868,IF(AND('Choix pédagogiques'!$C$3=3,$BO868=1),C868,""))</f>
        <v/>
      </c>
      <c r="Y868" s="53" t="str">
        <f aca="false">IF(AND(OR('Choix pédagogiques'!$C$3=1,'Choix pédagogiques'!$C$3=2),$BM868=1),D868,IF(AND('Choix pédagogiques'!$C$3=3,$BO868=1),D868,""))</f>
        <v/>
      </c>
      <c r="Z868" s="53" t="str">
        <f aca="false">IF($E868&lt;&gt;"",$E868,"")</f>
        <v/>
      </c>
      <c r="AA868" s="52" t="str">
        <f aca="false">IF($F868&lt;&gt;"",$F868,"")</f>
        <v>Apprenant 856 ou 856'</v>
      </c>
      <c r="AB868" s="53" t="str">
        <f aca="false">IF(AND(OR('Choix pédagogiques'!$C$3=1,'Choix pédagogiques'!$C$3=2),$BN868=1),G868,IF(AND('Choix pédagogiques'!$C$3=3,$BO868=1),G868,""))</f>
        <v/>
      </c>
      <c r="AC868" s="53" t="str">
        <f aca="false">IF(AND(OR('Choix pédagogiques'!$C$3=1,'Choix pédagogiques'!$C$3=2),$BN868=1),H868,IF(AND('Choix pédagogiques'!$C$3=3,$BO868=1),H868,""))</f>
        <v/>
      </c>
      <c r="AD868" s="53" t="str">
        <f aca="false">IF(AND(OR('Choix pédagogiques'!$C$3=1,'Choix pédagogiques'!$C$3=2),$BN868=1),I868,IF(AND('Choix pédagogiques'!$C$3=3,$BO868=1),I868,""))</f>
        <v/>
      </c>
      <c r="AE868" s="53" t="str">
        <f aca="false">IF($J868&lt;&gt;"",$J868,"")</f>
        <v/>
      </c>
      <c r="AF868" s="52" t="str">
        <f aca="false">IF($A868&lt;&gt;"",$A868,"")</f>
        <v>Apprenant 856</v>
      </c>
      <c r="AG868" s="53" t="str">
        <f aca="false">IF(AND($W868&lt;&gt;"",$X868&lt;&gt;""),$X868-$W868,"")</f>
        <v/>
      </c>
      <c r="AH868" s="53" t="str">
        <f aca="false">IF(AND($W868&lt;&gt;"",$Y868&lt;&gt;""),$Y868-$W868,"")</f>
        <v/>
      </c>
      <c r="AI868" s="53" t="str">
        <f aca="false">IF(AND($X868&lt;&gt;"",$Y868&lt;&gt;""),$Y868-$X868,"")</f>
        <v/>
      </c>
      <c r="AJ868" s="53" t="str">
        <f aca="false">IF($E868&lt;&gt;"",$E868,"")</f>
        <v/>
      </c>
      <c r="AK868" s="52" t="str">
        <f aca="false">IF($F868&lt;&gt;"",$F868,"")</f>
        <v>Apprenant 856 ou 856'</v>
      </c>
      <c r="AL868" s="53" t="str">
        <f aca="false">IF(AND($AB868&lt;&gt;"",$AC868&lt;&gt;""),$AC868-$AB868,"")</f>
        <v/>
      </c>
      <c r="AM868" s="53" t="str">
        <f aca="false">IF(AND($AB868&lt;&gt;"",$AD868&lt;&gt;""),$AD868-$AB868,"")</f>
        <v/>
      </c>
      <c r="AN868" s="53" t="str">
        <f aca="false">IF(AND($AC868&lt;&gt;"",$AD868&lt;&gt;""),$AD868-$AC868,"")</f>
        <v/>
      </c>
      <c r="AO868" s="53" t="str">
        <f aca="false">IF($J868&lt;&gt;"",$J868,"")</f>
        <v/>
      </c>
      <c r="AQ868" s="52" t="str">
        <f aca="false">IF($A868&lt;&gt;"",$A868,"")</f>
        <v>Apprenant 856</v>
      </c>
      <c r="AR868" s="55" t="str">
        <f aca="false">IF(AND('Choix pédagogiques'!$C$4&lt;&gt;"?",'Choix pédagogiques'!$C$5&lt;&gt;"?",W868&lt;&gt;""),(W868-'Choix pédagogiques'!$C$4)/('Choix pédagogiques'!$C$5-'Choix pédagogiques'!$C$4),"")</f>
        <v/>
      </c>
      <c r="AS868" s="55" t="str">
        <f aca="false">IF(AND('Choix pédagogiques'!$C$4&lt;&gt;"?",'Choix pédagogiques'!$C$5&lt;&gt;"?",X868&lt;&gt;""),(X868-'Choix pédagogiques'!$C$4)/('Choix pédagogiques'!$C$5-'Choix pédagogiques'!$C$4),"")</f>
        <v/>
      </c>
      <c r="AT868" s="55" t="str">
        <f aca="false">IF(AND('Choix pédagogiques'!$C$4&lt;&gt;"?",'Choix pédagogiques'!$C$5&lt;&gt;"?",Y868&lt;&gt;""),(Y868-'Choix pédagogiques'!$C$4)/('Choix pédagogiques'!$C$5-'Choix pédagogiques'!$C$4),"")</f>
        <v/>
      </c>
      <c r="AU868" s="53" t="str">
        <f aca="false">IF($E868&lt;&gt;"",$E868,"")</f>
        <v/>
      </c>
      <c r="AV868" s="52" t="str">
        <f aca="false">IF($F868&lt;&gt;"",$F868,"")</f>
        <v>Apprenant 856 ou 856'</v>
      </c>
      <c r="AW868" s="55" t="str">
        <f aca="false">IF(AND('Choix pédagogiques'!$C$4&lt;&gt;"?",'Choix pédagogiques'!$C$5&lt;&gt;"?",AB868&lt;&gt;""),(AB868-'Choix pédagogiques'!$C$4)/('Choix pédagogiques'!$C$5-'Choix pédagogiques'!$C$4),"")</f>
        <v/>
      </c>
      <c r="AX868" s="55" t="str">
        <f aca="false">IF(AND('Choix pédagogiques'!$C$4&lt;&gt;"?",'Choix pédagogiques'!$C$5&lt;&gt;"?",AC868&lt;&gt;""),(AC868-'Choix pédagogiques'!$C$4)/('Choix pédagogiques'!$C$5-'Choix pédagogiques'!$C$4),"")</f>
        <v/>
      </c>
      <c r="AY868" s="55" t="str">
        <f aca="false">IF(AND('Choix pédagogiques'!$C$4&lt;&gt;"?",'Choix pédagogiques'!$C$5&lt;&gt;"?",AD868&lt;&gt;""),(AD868-'Choix pédagogiques'!$C$4)/('Choix pédagogiques'!$C$5-'Choix pédagogiques'!$C$4),"")</f>
        <v/>
      </c>
      <c r="AZ868" s="53" t="str">
        <f aca="false">IF($J868&lt;&gt;"",$J868,"")</f>
        <v/>
      </c>
      <c r="BA868" s="52" t="str">
        <f aca="false">IF($A868&lt;&gt;"",$A868,"")</f>
        <v>Apprenant 856</v>
      </c>
      <c r="BB868" s="55" t="str">
        <f aca="false">IF(AND($AR868&lt;&gt;"",$AS868&lt;&gt;""),$AS868-$AR868,"")</f>
        <v/>
      </c>
      <c r="BC868" s="55" t="str">
        <f aca="false">IF(AND($AR868&lt;&gt;"",$AT868&lt;&gt;""),$AT868-$AR868,"")</f>
        <v/>
      </c>
      <c r="BD868" s="55" t="str">
        <f aca="false">IF(AND($AS868&lt;&gt;"",$AT868&lt;&gt;""),$AT868-$AS868,"")</f>
        <v/>
      </c>
      <c r="BE868" s="53" t="str">
        <f aca="false">IF($E868&lt;&gt;"",$E868,"")</f>
        <v/>
      </c>
      <c r="BF868" s="52" t="str">
        <f aca="false">IF($F868&lt;&gt;"",$F868,"")</f>
        <v>Apprenant 856 ou 856'</v>
      </c>
      <c r="BG868" s="55" t="str">
        <f aca="false">IF(AND($AW868&lt;&gt;"",$AX868&lt;&gt;""),$AX868-$AW868,"")</f>
        <v/>
      </c>
      <c r="BH868" s="55" t="str">
        <f aca="false">IF(AND($AW868&lt;&gt;"",$AY868&lt;&gt;""),$AY868-$AW868,"")</f>
        <v/>
      </c>
      <c r="BI868" s="55" t="str">
        <f aca="false">IF(AND($AX868&lt;&gt;"",$AY868&lt;&gt;""),$AY868-$AX868,"")</f>
        <v/>
      </c>
      <c r="BJ868" s="53" t="str">
        <f aca="false">IF($J868&lt;&gt;"",$J868,"")</f>
        <v/>
      </c>
      <c r="BL868" s="52"/>
      <c r="BM868" s="52" t="str">
        <f aca="false">IF(OR(COUNT(B868:D1867)=0,AND('Choix pédagogiques'!$C$3&lt;&gt;1,'Choix pédagogiques'!$C$3&lt;&gt;2)),"",IF(AND(OR('Choix pédagogiques'!$C$3=1,'Choix pédagogiques'!$C$3=2),$B868&lt;&gt;"",$C868&lt;&gt;"",$D868&lt;&gt;""),1,0))</f>
        <v/>
      </c>
      <c r="BN868" s="52" t="str">
        <f aca="false">IF(OR(COUNT(G868:I1867)=0,AND('Choix pédagogiques'!$C$3&lt;&gt;1,'Choix pédagogiques'!$C$3&lt;&gt;2)),"",IF(AND(OR('Choix pédagogiques'!$C$3=1,'Choix pédagogiques'!$C$3=2),AND($G868&lt;&gt;"",$H868&lt;&gt;"",$I868&lt;&gt;"")),1,0))</f>
        <v/>
      </c>
      <c r="BO868" s="52" t="str">
        <f aca="false">IF(OR(COUNT(B868:D1867)=0,COUNT(G868:I1867)=0,'Choix pédagogiques'!C$3&lt;&gt;3),"",IF(AND('Choix pédagogiques'!$C$3=3,$B868&lt;&gt;"",$C868&lt;&gt;"",$D868&lt;&gt;"",$G868&lt;&gt;"",$H868&lt;&gt;"",$I868&lt;&gt;""),1,0))</f>
        <v/>
      </c>
      <c r="BR868" s="52" t="n">
        <v>553</v>
      </c>
      <c r="BS868" s="52" t="n">
        <v>1293</v>
      </c>
    </row>
    <row r="869" s="54" customFormat="true" ht="18" hidden="false" customHeight="true" outlineLevel="0" collapsed="false">
      <c r="A869" s="57" t="s">
        <v>1669</v>
      </c>
      <c r="B869" s="51"/>
      <c r="C869" s="51"/>
      <c r="D869" s="51"/>
      <c r="E869" s="51"/>
      <c r="F869" s="57" t="s">
        <v>1670</v>
      </c>
      <c r="G869" s="51"/>
      <c r="H869" s="51"/>
      <c r="I869" s="51"/>
      <c r="J869" s="51"/>
      <c r="K869" s="52" t="str">
        <f aca="false">IF($A869&lt;&gt;"",$A869,"")</f>
        <v>Apprenant 857</v>
      </c>
      <c r="L869" s="53" t="str">
        <f aca="false">IF(AND($B869&lt;&gt;"",$C869&lt;&gt;""),$C869-$B869,"")</f>
        <v/>
      </c>
      <c r="M869" s="53" t="str">
        <f aca="false">IF(AND($B869&lt;&gt;"",$D869&lt;&gt;""),$D869-$B869,"")</f>
        <v/>
      </c>
      <c r="N869" s="53" t="str">
        <f aca="false">IF(AND($C869&lt;&gt;"",$D869&lt;&gt;""),$D869-$C869,"")</f>
        <v/>
      </c>
      <c r="O869" s="53" t="str">
        <f aca="false">IF($E869&lt;&gt;"",$E869,"")</f>
        <v/>
      </c>
      <c r="P869" s="52" t="str">
        <f aca="false">IF($F869&lt;&gt;"",$F869,"")</f>
        <v>Apprenant 857 ou 857'</v>
      </c>
      <c r="Q869" s="53" t="str">
        <f aca="false">IF(AND($G869&lt;&gt;"",$H869&lt;&gt;""),$H869-$G869,"")</f>
        <v/>
      </c>
      <c r="R869" s="53" t="str">
        <f aca="false">IF(AND($G869&lt;&gt;"",$I869&lt;&gt;""),$I869-$G869,"")</f>
        <v/>
      </c>
      <c r="S869" s="53" t="str">
        <f aca="false">IF(AND($H869&lt;&gt;"",$I869&lt;&gt;""),$I869-$H869,"")</f>
        <v/>
      </c>
      <c r="T869" s="53" t="str">
        <f aca="false">IF($J869&lt;&gt;"",$J869,"")</f>
        <v/>
      </c>
      <c r="V869" s="52" t="str">
        <f aca="false">IF($A869&lt;&gt;"",$A869,"")</f>
        <v>Apprenant 857</v>
      </c>
      <c r="W869" s="53" t="str">
        <f aca="false">IF(AND(OR('Choix pédagogiques'!$C$3=1,'Choix pédagogiques'!$C$3=2),$BM869=1),B869,IF(AND('Choix pédagogiques'!$C$3=3,$BO869=1),B869,""))</f>
        <v/>
      </c>
      <c r="X869" s="53" t="str">
        <f aca="false">IF(AND(OR('Choix pédagogiques'!$C$3=1,'Choix pédagogiques'!$C$3=2),$BM869=1),C869,IF(AND('Choix pédagogiques'!$C$3=3,$BO869=1),C869,""))</f>
        <v/>
      </c>
      <c r="Y869" s="53" t="str">
        <f aca="false">IF(AND(OR('Choix pédagogiques'!$C$3=1,'Choix pédagogiques'!$C$3=2),$BM869=1),D869,IF(AND('Choix pédagogiques'!$C$3=3,$BO869=1),D869,""))</f>
        <v/>
      </c>
      <c r="Z869" s="53" t="str">
        <f aca="false">IF($E869&lt;&gt;"",$E869,"")</f>
        <v/>
      </c>
      <c r="AA869" s="52" t="str">
        <f aca="false">IF($F869&lt;&gt;"",$F869,"")</f>
        <v>Apprenant 857 ou 857'</v>
      </c>
      <c r="AB869" s="53" t="str">
        <f aca="false">IF(AND(OR('Choix pédagogiques'!$C$3=1,'Choix pédagogiques'!$C$3=2),$BN869=1),G869,IF(AND('Choix pédagogiques'!$C$3=3,$BO869=1),G869,""))</f>
        <v/>
      </c>
      <c r="AC869" s="53" t="str">
        <f aca="false">IF(AND(OR('Choix pédagogiques'!$C$3=1,'Choix pédagogiques'!$C$3=2),$BN869=1),H869,IF(AND('Choix pédagogiques'!$C$3=3,$BO869=1),H869,""))</f>
        <v/>
      </c>
      <c r="AD869" s="53" t="str">
        <f aca="false">IF(AND(OR('Choix pédagogiques'!$C$3=1,'Choix pédagogiques'!$C$3=2),$BN869=1),I869,IF(AND('Choix pédagogiques'!$C$3=3,$BO869=1),I869,""))</f>
        <v/>
      </c>
      <c r="AE869" s="53" t="str">
        <f aca="false">IF($J869&lt;&gt;"",$J869,"")</f>
        <v/>
      </c>
      <c r="AF869" s="52" t="str">
        <f aca="false">IF($A869&lt;&gt;"",$A869,"")</f>
        <v>Apprenant 857</v>
      </c>
      <c r="AG869" s="53" t="str">
        <f aca="false">IF(AND($W869&lt;&gt;"",$X869&lt;&gt;""),$X869-$W869,"")</f>
        <v/>
      </c>
      <c r="AH869" s="53" t="str">
        <f aca="false">IF(AND($W869&lt;&gt;"",$Y869&lt;&gt;""),$Y869-$W869,"")</f>
        <v/>
      </c>
      <c r="AI869" s="53" t="str">
        <f aca="false">IF(AND($X869&lt;&gt;"",$Y869&lt;&gt;""),$Y869-$X869,"")</f>
        <v/>
      </c>
      <c r="AJ869" s="53" t="str">
        <f aca="false">IF($E869&lt;&gt;"",$E869,"")</f>
        <v/>
      </c>
      <c r="AK869" s="52" t="str">
        <f aca="false">IF($F869&lt;&gt;"",$F869,"")</f>
        <v>Apprenant 857 ou 857'</v>
      </c>
      <c r="AL869" s="53" t="str">
        <f aca="false">IF(AND($AB869&lt;&gt;"",$AC869&lt;&gt;""),$AC869-$AB869,"")</f>
        <v/>
      </c>
      <c r="AM869" s="53" t="str">
        <f aca="false">IF(AND($AB869&lt;&gt;"",$AD869&lt;&gt;""),$AD869-$AB869,"")</f>
        <v/>
      </c>
      <c r="AN869" s="53" t="str">
        <f aca="false">IF(AND($AC869&lt;&gt;"",$AD869&lt;&gt;""),$AD869-$AC869,"")</f>
        <v/>
      </c>
      <c r="AO869" s="53" t="str">
        <f aca="false">IF($J869&lt;&gt;"",$J869,"")</f>
        <v/>
      </c>
      <c r="AQ869" s="52" t="str">
        <f aca="false">IF($A869&lt;&gt;"",$A869,"")</f>
        <v>Apprenant 857</v>
      </c>
      <c r="AR869" s="55" t="str">
        <f aca="false">IF(AND('Choix pédagogiques'!$C$4&lt;&gt;"?",'Choix pédagogiques'!$C$5&lt;&gt;"?",W869&lt;&gt;""),(W869-'Choix pédagogiques'!$C$4)/('Choix pédagogiques'!$C$5-'Choix pédagogiques'!$C$4),"")</f>
        <v/>
      </c>
      <c r="AS869" s="55" t="str">
        <f aca="false">IF(AND('Choix pédagogiques'!$C$4&lt;&gt;"?",'Choix pédagogiques'!$C$5&lt;&gt;"?",X869&lt;&gt;""),(X869-'Choix pédagogiques'!$C$4)/('Choix pédagogiques'!$C$5-'Choix pédagogiques'!$C$4),"")</f>
        <v/>
      </c>
      <c r="AT869" s="55" t="str">
        <f aca="false">IF(AND('Choix pédagogiques'!$C$4&lt;&gt;"?",'Choix pédagogiques'!$C$5&lt;&gt;"?",Y869&lt;&gt;""),(Y869-'Choix pédagogiques'!$C$4)/('Choix pédagogiques'!$C$5-'Choix pédagogiques'!$C$4),"")</f>
        <v/>
      </c>
      <c r="AU869" s="53" t="str">
        <f aca="false">IF($E869&lt;&gt;"",$E869,"")</f>
        <v/>
      </c>
      <c r="AV869" s="52" t="str">
        <f aca="false">IF($F869&lt;&gt;"",$F869,"")</f>
        <v>Apprenant 857 ou 857'</v>
      </c>
      <c r="AW869" s="55" t="str">
        <f aca="false">IF(AND('Choix pédagogiques'!$C$4&lt;&gt;"?",'Choix pédagogiques'!$C$5&lt;&gt;"?",AB869&lt;&gt;""),(AB869-'Choix pédagogiques'!$C$4)/('Choix pédagogiques'!$C$5-'Choix pédagogiques'!$C$4),"")</f>
        <v/>
      </c>
      <c r="AX869" s="55" t="str">
        <f aca="false">IF(AND('Choix pédagogiques'!$C$4&lt;&gt;"?",'Choix pédagogiques'!$C$5&lt;&gt;"?",AC869&lt;&gt;""),(AC869-'Choix pédagogiques'!$C$4)/('Choix pédagogiques'!$C$5-'Choix pédagogiques'!$C$4),"")</f>
        <v/>
      </c>
      <c r="AY869" s="55" t="str">
        <f aca="false">IF(AND('Choix pédagogiques'!$C$4&lt;&gt;"?",'Choix pédagogiques'!$C$5&lt;&gt;"?",AD869&lt;&gt;""),(AD869-'Choix pédagogiques'!$C$4)/('Choix pédagogiques'!$C$5-'Choix pédagogiques'!$C$4),"")</f>
        <v/>
      </c>
      <c r="AZ869" s="53" t="str">
        <f aca="false">IF($J869&lt;&gt;"",$J869,"")</f>
        <v/>
      </c>
      <c r="BA869" s="52" t="str">
        <f aca="false">IF($A869&lt;&gt;"",$A869,"")</f>
        <v>Apprenant 857</v>
      </c>
      <c r="BB869" s="55" t="str">
        <f aca="false">IF(AND($AR869&lt;&gt;"",$AS869&lt;&gt;""),$AS869-$AR869,"")</f>
        <v/>
      </c>
      <c r="BC869" s="55" t="str">
        <f aca="false">IF(AND($AR869&lt;&gt;"",$AT869&lt;&gt;""),$AT869-$AR869,"")</f>
        <v/>
      </c>
      <c r="BD869" s="55" t="str">
        <f aca="false">IF(AND($AS869&lt;&gt;"",$AT869&lt;&gt;""),$AT869-$AS869,"")</f>
        <v/>
      </c>
      <c r="BE869" s="53" t="str">
        <f aca="false">IF($E869&lt;&gt;"",$E869,"")</f>
        <v/>
      </c>
      <c r="BF869" s="52" t="str">
        <f aca="false">IF($F869&lt;&gt;"",$F869,"")</f>
        <v>Apprenant 857 ou 857'</v>
      </c>
      <c r="BG869" s="55" t="str">
        <f aca="false">IF(AND($AW869&lt;&gt;"",$AX869&lt;&gt;""),$AX869-$AW869,"")</f>
        <v/>
      </c>
      <c r="BH869" s="55" t="str">
        <f aca="false">IF(AND($AW869&lt;&gt;"",$AY869&lt;&gt;""),$AY869-$AW869,"")</f>
        <v/>
      </c>
      <c r="BI869" s="55" t="str">
        <f aca="false">IF(AND($AX869&lt;&gt;"",$AY869&lt;&gt;""),$AY869-$AX869,"")</f>
        <v/>
      </c>
      <c r="BJ869" s="53" t="str">
        <f aca="false">IF($J869&lt;&gt;"",$J869,"")</f>
        <v/>
      </c>
      <c r="BL869" s="52"/>
      <c r="BM869" s="52" t="str">
        <f aca="false">IF(OR(COUNT(B869:D1868)=0,AND('Choix pédagogiques'!$C$3&lt;&gt;1,'Choix pédagogiques'!$C$3&lt;&gt;2)),"",IF(AND(OR('Choix pédagogiques'!$C$3=1,'Choix pédagogiques'!$C$3=2),$B869&lt;&gt;"",$C869&lt;&gt;"",$D869&lt;&gt;""),1,0))</f>
        <v/>
      </c>
      <c r="BN869" s="52" t="str">
        <f aca="false">IF(OR(COUNT(G869:I1868)=0,AND('Choix pédagogiques'!$C$3&lt;&gt;1,'Choix pédagogiques'!$C$3&lt;&gt;2)),"",IF(AND(OR('Choix pédagogiques'!$C$3=1,'Choix pédagogiques'!$C$3=2),AND($G869&lt;&gt;"",$H869&lt;&gt;"",$I869&lt;&gt;"")),1,0))</f>
        <v/>
      </c>
      <c r="BO869" s="52" t="str">
        <f aca="false">IF(OR(COUNT(B869:D1868)=0,COUNT(G869:I1868)=0,'Choix pédagogiques'!C$3&lt;&gt;3),"",IF(AND('Choix pédagogiques'!$C$3=3,$B869&lt;&gt;"",$C869&lt;&gt;"",$D869&lt;&gt;"",$G869&lt;&gt;"",$H869&lt;&gt;"",$I869&lt;&gt;""),1,0))</f>
        <v/>
      </c>
      <c r="BR869" s="52" t="n">
        <v>133</v>
      </c>
      <c r="BS869" s="52" t="n">
        <v>1990</v>
      </c>
    </row>
    <row r="870" s="54" customFormat="true" ht="18" hidden="false" customHeight="true" outlineLevel="0" collapsed="false">
      <c r="A870" s="57" t="s">
        <v>1671</v>
      </c>
      <c r="B870" s="51"/>
      <c r="C870" s="51"/>
      <c r="D870" s="51"/>
      <c r="E870" s="51"/>
      <c r="F870" s="57" t="s">
        <v>1672</v>
      </c>
      <c r="G870" s="51"/>
      <c r="H870" s="51"/>
      <c r="I870" s="51"/>
      <c r="J870" s="51"/>
      <c r="K870" s="52" t="str">
        <f aca="false">IF($A870&lt;&gt;"",$A870,"")</f>
        <v>Apprenant 858</v>
      </c>
      <c r="L870" s="53" t="str">
        <f aca="false">IF(AND($B870&lt;&gt;"",$C870&lt;&gt;""),$C870-$B870,"")</f>
        <v/>
      </c>
      <c r="M870" s="53" t="str">
        <f aca="false">IF(AND($B870&lt;&gt;"",$D870&lt;&gt;""),$D870-$B870,"")</f>
        <v/>
      </c>
      <c r="N870" s="53" t="str">
        <f aca="false">IF(AND($C870&lt;&gt;"",$D870&lt;&gt;""),$D870-$C870,"")</f>
        <v/>
      </c>
      <c r="O870" s="53" t="str">
        <f aca="false">IF($E870&lt;&gt;"",$E870,"")</f>
        <v/>
      </c>
      <c r="P870" s="52" t="str">
        <f aca="false">IF($F870&lt;&gt;"",$F870,"")</f>
        <v>Apprenant 858 ou 858'</v>
      </c>
      <c r="Q870" s="53" t="str">
        <f aca="false">IF(AND($G870&lt;&gt;"",$H870&lt;&gt;""),$H870-$G870,"")</f>
        <v/>
      </c>
      <c r="R870" s="53" t="str">
        <f aca="false">IF(AND($G870&lt;&gt;"",$I870&lt;&gt;""),$I870-$G870,"")</f>
        <v/>
      </c>
      <c r="S870" s="53" t="str">
        <f aca="false">IF(AND($H870&lt;&gt;"",$I870&lt;&gt;""),$I870-$H870,"")</f>
        <v/>
      </c>
      <c r="T870" s="53" t="str">
        <f aca="false">IF($J870&lt;&gt;"",$J870,"")</f>
        <v/>
      </c>
      <c r="V870" s="52" t="str">
        <f aca="false">IF($A870&lt;&gt;"",$A870,"")</f>
        <v>Apprenant 858</v>
      </c>
      <c r="W870" s="53" t="str">
        <f aca="false">IF(AND(OR('Choix pédagogiques'!$C$3=1,'Choix pédagogiques'!$C$3=2),$BM870=1),B870,IF(AND('Choix pédagogiques'!$C$3=3,$BO870=1),B870,""))</f>
        <v/>
      </c>
      <c r="X870" s="53" t="str">
        <f aca="false">IF(AND(OR('Choix pédagogiques'!$C$3=1,'Choix pédagogiques'!$C$3=2),$BM870=1),C870,IF(AND('Choix pédagogiques'!$C$3=3,$BO870=1),C870,""))</f>
        <v/>
      </c>
      <c r="Y870" s="53" t="str">
        <f aca="false">IF(AND(OR('Choix pédagogiques'!$C$3=1,'Choix pédagogiques'!$C$3=2),$BM870=1),D870,IF(AND('Choix pédagogiques'!$C$3=3,$BO870=1),D870,""))</f>
        <v/>
      </c>
      <c r="Z870" s="53" t="str">
        <f aca="false">IF($E870&lt;&gt;"",$E870,"")</f>
        <v/>
      </c>
      <c r="AA870" s="52" t="str">
        <f aca="false">IF($F870&lt;&gt;"",$F870,"")</f>
        <v>Apprenant 858 ou 858'</v>
      </c>
      <c r="AB870" s="53" t="str">
        <f aca="false">IF(AND(OR('Choix pédagogiques'!$C$3=1,'Choix pédagogiques'!$C$3=2),$BN870=1),G870,IF(AND('Choix pédagogiques'!$C$3=3,$BO870=1),G870,""))</f>
        <v/>
      </c>
      <c r="AC870" s="53" t="str">
        <f aca="false">IF(AND(OR('Choix pédagogiques'!$C$3=1,'Choix pédagogiques'!$C$3=2),$BN870=1),H870,IF(AND('Choix pédagogiques'!$C$3=3,$BO870=1),H870,""))</f>
        <v/>
      </c>
      <c r="AD870" s="53" t="str">
        <f aca="false">IF(AND(OR('Choix pédagogiques'!$C$3=1,'Choix pédagogiques'!$C$3=2),$BN870=1),I870,IF(AND('Choix pédagogiques'!$C$3=3,$BO870=1),I870,""))</f>
        <v/>
      </c>
      <c r="AE870" s="53" t="str">
        <f aca="false">IF($J870&lt;&gt;"",$J870,"")</f>
        <v/>
      </c>
      <c r="AF870" s="52" t="str">
        <f aca="false">IF($A870&lt;&gt;"",$A870,"")</f>
        <v>Apprenant 858</v>
      </c>
      <c r="AG870" s="53" t="str">
        <f aca="false">IF(AND($W870&lt;&gt;"",$X870&lt;&gt;""),$X870-$W870,"")</f>
        <v/>
      </c>
      <c r="AH870" s="53" t="str">
        <f aca="false">IF(AND($W870&lt;&gt;"",$Y870&lt;&gt;""),$Y870-$W870,"")</f>
        <v/>
      </c>
      <c r="AI870" s="53" t="str">
        <f aca="false">IF(AND($X870&lt;&gt;"",$Y870&lt;&gt;""),$Y870-$X870,"")</f>
        <v/>
      </c>
      <c r="AJ870" s="53" t="str">
        <f aca="false">IF($E870&lt;&gt;"",$E870,"")</f>
        <v/>
      </c>
      <c r="AK870" s="52" t="str">
        <f aca="false">IF($F870&lt;&gt;"",$F870,"")</f>
        <v>Apprenant 858 ou 858'</v>
      </c>
      <c r="AL870" s="53" t="str">
        <f aca="false">IF(AND($AB870&lt;&gt;"",$AC870&lt;&gt;""),$AC870-$AB870,"")</f>
        <v/>
      </c>
      <c r="AM870" s="53" t="str">
        <f aca="false">IF(AND($AB870&lt;&gt;"",$AD870&lt;&gt;""),$AD870-$AB870,"")</f>
        <v/>
      </c>
      <c r="AN870" s="53" t="str">
        <f aca="false">IF(AND($AC870&lt;&gt;"",$AD870&lt;&gt;""),$AD870-$AC870,"")</f>
        <v/>
      </c>
      <c r="AO870" s="53" t="str">
        <f aca="false">IF($J870&lt;&gt;"",$J870,"")</f>
        <v/>
      </c>
      <c r="AQ870" s="52" t="str">
        <f aca="false">IF($A870&lt;&gt;"",$A870,"")</f>
        <v>Apprenant 858</v>
      </c>
      <c r="AR870" s="55" t="str">
        <f aca="false">IF(AND('Choix pédagogiques'!$C$4&lt;&gt;"?",'Choix pédagogiques'!$C$5&lt;&gt;"?",W870&lt;&gt;""),(W870-'Choix pédagogiques'!$C$4)/('Choix pédagogiques'!$C$5-'Choix pédagogiques'!$C$4),"")</f>
        <v/>
      </c>
      <c r="AS870" s="55" t="str">
        <f aca="false">IF(AND('Choix pédagogiques'!$C$4&lt;&gt;"?",'Choix pédagogiques'!$C$5&lt;&gt;"?",X870&lt;&gt;""),(X870-'Choix pédagogiques'!$C$4)/('Choix pédagogiques'!$C$5-'Choix pédagogiques'!$C$4),"")</f>
        <v/>
      </c>
      <c r="AT870" s="55" t="str">
        <f aca="false">IF(AND('Choix pédagogiques'!$C$4&lt;&gt;"?",'Choix pédagogiques'!$C$5&lt;&gt;"?",Y870&lt;&gt;""),(Y870-'Choix pédagogiques'!$C$4)/('Choix pédagogiques'!$C$5-'Choix pédagogiques'!$C$4),"")</f>
        <v/>
      </c>
      <c r="AU870" s="53" t="str">
        <f aca="false">IF($E870&lt;&gt;"",$E870,"")</f>
        <v/>
      </c>
      <c r="AV870" s="52" t="str">
        <f aca="false">IF($F870&lt;&gt;"",$F870,"")</f>
        <v>Apprenant 858 ou 858'</v>
      </c>
      <c r="AW870" s="55" t="str">
        <f aca="false">IF(AND('Choix pédagogiques'!$C$4&lt;&gt;"?",'Choix pédagogiques'!$C$5&lt;&gt;"?",AB870&lt;&gt;""),(AB870-'Choix pédagogiques'!$C$4)/('Choix pédagogiques'!$C$5-'Choix pédagogiques'!$C$4),"")</f>
        <v/>
      </c>
      <c r="AX870" s="55" t="str">
        <f aca="false">IF(AND('Choix pédagogiques'!$C$4&lt;&gt;"?",'Choix pédagogiques'!$C$5&lt;&gt;"?",AC870&lt;&gt;""),(AC870-'Choix pédagogiques'!$C$4)/('Choix pédagogiques'!$C$5-'Choix pédagogiques'!$C$4),"")</f>
        <v/>
      </c>
      <c r="AY870" s="55" t="str">
        <f aca="false">IF(AND('Choix pédagogiques'!$C$4&lt;&gt;"?",'Choix pédagogiques'!$C$5&lt;&gt;"?",AD870&lt;&gt;""),(AD870-'Choix pédagogiques'!$C$4)/('Choix pédagogiques'!$C$5-'Choix pédagogiques'!$C$4),"")</f>
        <v/>
      </c>
      <c r="AZ870" s="53" t="str">
        <f aca="false">IF($J870&lt;&gt;"",$J870,"")</f>
        <v/>
      </c>
      <c r="BA870" s="52" t="str">
        <f aca="false">IF($A870&lt;&gt;"",$A870,"")</f>
        <v>Apprenant 858</v>
      </c>
      <c r="BB870" s="55" t="str">
        <f aca="false">IF(AND($AR870&lt;&gt;"",$AS870&lt;&gt;""),$AS870-$AR870,"")</f>
        <v/>
      </c>
      <c r="BC870" s="55" t="str">
        <f aca="false">IF(AND($AR870&lt;&gt;"",$AT870&lt;&gt;""),$AT870-$AR870,"")</f>
        <v/>
      </c>
      <c r="BD870" s="55" t="str">
        <f aca="false">IF(AND($AS870&lt;&gt;"",$AT870&lt;&gt;""),$AT870-$AS870,"")</f>
        <v/>
      </c>
      <c r="BE870" s="53" t="str">
        <f aca="false">IF($E870&lt;&gt;"",$E870,"")</f>
        <v/>
      </c>
      <c r="BF870" s="52" t="str">
        <f aca="false">IF($F870&lt;&gt;"",$F870,"")</f>
        <v>Apprenant 858 ou 858'</v>
      </c>
      <c r="BG870" s="55" t="str">
        <f aca="false">IF(AND($AW870&lt;&gt;"",$AX870&lt;&gt;""),$AX870-$AW870,"")</f>
        <v/>
      </c>
      <c r="BH870" s="55" t="str">
        <f aca="false">IF(AND($AW870&lt;&gt;"",$AY870&lt;&gt;""),$AY870-$AW870,"")</f>
        <v/>
      </c>
      <c r="BI870" s="55" t="str">
        <f aca="false">IF(AND($AX870&lt;&gt;"",$AY870&lt;&gt;""),$AY870-$AX870,"")</f>
        <v/>
      </c>
      <c r="BJ870" s="53" t="str">
        <f aca="false">IF($J870&lt;&gt;"",$J870,"")</f>
        <v/>
      </c>
      <c r="BL870" s="52"/>
      <c r="BM870" s="52" t="str">
        <f aca="false">IF(OR(COUNT(B870:D1869)=0,AND('Choix pédagogiques'!$C$3&lt;&gt;1,'Choix pédagogiques'!$C$3&lt;&gt;2)),"",IF(AND(OR('Choix pédagogiques'!$C$3=1,'Choix pédagogiques'!$C$3=2),$B870&lt;&gt;"",$C870&lt;&gt;"",$D870&lt;&gt;""),1,0))</f>
        <v/>
      </c>
      <c r="BN870" s="52" t="str">
        <f aca="false">IF(OR(COUNT(G870:I1869)=0,AND('Choix pédagogiques'!$C$3&lt;&gt;1,'Choix pédagogiques'!$C$3&lt;&gt;2)),"",IF(AND(OR('Choix pédagogiques'!$C$3=1,'Choix pédagogiques'!$C$3=2),AND($G870&lt;&gt;"",$H870&lt;&gt;"",$I870&lt;&gt;"")),1,0))</f>
        <v/>
      </c>
      <c r="BO870" s="52" t="str">
        <f aca="false">IF(OR(COUNT(B870:D1869)=0,COUNT(G870:I1869)=0,'Choix pédagogiques'!C$3&lt;&gt;3),"",IF(AND('Choix pédagogiques'!$C$3=3,$B870&lt;&gt;"",$C870&lt;&gt;"",$D870&lt;&gt;"",$G870&lt;&gt;"",$H870&lt;&gt;"",$I870&lt;&gt;""),1,0))</f>
        <v/>
      </c>
      <c r="BR870" s="52" t="n">
        <v>751</v>
      </c>
      <c r="BS870" s="52" t="n">
        <v>1296</v>
      </c>
    </row>
    <row r="871" s="54" customFormat="true" ht="18" hidden="false" customHeight="true" outlineLevel="0" collapsed="false">
      <c r="A871" s="57" t="s">
        <v>1673</v>
      </c>
      <c r="B871" s="51"/>
      <c r="C871" s="51"/>
      <c r="D871" s="51"/>
      <c r="E871" s="51"/>
      <c r="F871" s="57" t="s">
        <v>1674</v>
      </c>
      <c r="G871" s="51"/>
      <c r="H871" s="51"/>
      <c r="I871" s="51"/>
      <c r="J871" s="51"/>
      <c r="K871" s="52" t="str">
        <f aca="false">IF($A871&lt;&gt;"",$A871,"")</f>
        <v>Apprenant 859</v>
      </c>
      <c r="L871" s="53" t="str">
        <f aca="false">IF(AND($B871&lt;&gt;"",$C871&lt;&gt;""),$C871-$B871,"")</f>
        <v/>
      </c>
      <c r="M871" s="53" t="str">
        <f aca="false">IF(AND($B871&lt;&gt;"",$D871&lt;&gt;""),$D871-$B871,"")</f>
        <v/>
      </c>
      <c r="N871" s="53" t="str">
        <f aca="false">IF(AND($C871&lt;&gt;"",$D871&lt;&gt;""),$D871-$C871,"")</f>
        <v/>
      </c>
      <c r="O871" s="53" t="str">
        <f aca="false">IF($E871&lt;&gt;"",$E871,"")</f>
        <v/>
      </c>
      <c r="P871" s="52" t="str">
        <f aca="false">IF($F871&lt;&gt;"",$F871,"")</f>
        <v>Apprenant 859 ou 859'</v>
      </c>
      <c r="Q871" s="53" t="str">
        <f aca="false">IF(AND($G871&lt;&gt;"",$H871&lt;&gt;""),$H871-$G871,"")</f>
        <v/>
      </c>
      <c r="R871" s="53" t="str">
        <f aca="false">IF(AND($G871&lt;&gt;"",$I871&lt;&gt;""),$I871-$G871,"")</f>
        <v/>
      </c>
      <c r="S871" s="53" t="str">
        <f aca="false">IF(AND($H871&lt;&gt;"",$I871&lt;&gt;""),$I871-$H871,"")</f>
        <v/>
      </c>
      <c r="T871" s="53" t="str">
        <f aca="false">IF($J871&lt;&gt;"",$J871,"")</f>
        <v/>
      </c>
      <c r="V871" s="52" t="str">
        <f aca="false">IF($A871&lt;&gt;"",$A871,"")</f>
        <v>Apprenant 859</v>
      </c>
      <c r="W871" s="53" t="str">
        <f aca="false">IF(AND(OR('Choix pédagogiques'!$C$3=1,'Choix pédagogiques'!$C$3=2),$BM871=1),B871,IF(AND('Choix pédagogiques'!$C$3=3,$BO871=1),B871,""))</f>
        <v/>
      </c>
      <c r="X871" s="53" t="str">
        <f aca="false">IF(AND(OR('Choix pédagogiques'!$C$3=1,'Choix pédagogiques'!$C$3=2),$BM871=1),C871,IF(AND('Choix pédagogiques'!$C$3=3,$BO871=1),C871,""))</f>
        <v/>
      </c>
      <c r="Y871" s="53" t="str">
        <f aca="false">IF(AND(OR('Choix pédagogiques'!$C$3=1,'Choix pédagogiques'!$C$3=2),$BM871=1),D871,IF(AND('Choix pédagogiques'!$C$3=3,$BO871=1),D871,""))</f>
        <v/>
      </c>
      <c r="Z871" s="53" t="str">
        <f aca="false">IF($E871&lt;&gt;"",$E871,"")</f>
        <v/>
      </c>
      <c r="AA871" s="52" t="str">
        <f aca="false">IF($F871&lt;&gt;"",$F871,"")</f>
        <v>Apprenant 859 ou 859'</v>
      </c>
      <c r="AB871" s="53" t="str">
        <f aca="false">IF(AND(OR('Choix pédagogiques'!$C$3=1,'Choix pédagogiques'!$C$3=2),$BN871=1),G871,IF(AND('Choix pédagogiques'!$C$3=3,$BO871=1),G871,""))</f>
        <v/>
      </c>
      <c r="AC871" s="53" t="str">
        <f aca="false">IF(AND(OR('Choix pédagogiques'!$C$3=1,'Choix pédagogiques'!$C$3=2),$BN871=1),H871,IF(AND('Choix pédagogiques'!$C$3=3,$BO871=1),H871,""))</f>
        <v/>
      </c>
      <c r="AD871" s="53" t="str">
        <f aca="false">IF(AND(OR('Choix pédagogiques'!$C$3=1,'Choix pédagogiques'!$C$3=2),$BN871=1),I871,IF(AND('Choix pédagogiques'!$C$3=3,$BO871=1),I871,""))</f>
        <v/>
      </c>
      <c r="AE871" s="53" t="str">
        <f aca="false">IF($J871&lt;&gt;"",$J871,"")</f>
        <v/>
      </c>
      <c r="AF871" s="52" t="str">
        <f aca="false">IF($A871&lt;&gt;"",$A871,"")</f>
        <v>Apprenant 859</v>
      </c>
      <c r="AG871" s="53" t="str">
        <f aca="false">IF(AND($W871&lt;&gt;"",$X871&lt;&gt;""),$X871-$W871,"")</f>
        <v/>
      </c>
      <c r="AH871" s="53" t="str">
        <f aca="false">IF(AND($W871&lt;&gt;"",$Y871&lt;&gt;""),$Y871-$W871,"")</f>
        <v/>
      </c>
      <c r="AI871" s="53" t="str">
        <f aca="false">IF(AND($X871&lt;&gt;"",$Y871&lt;&gt;""),$Y871-$X871,"")</f>
        <v/>
      </c>
      <c r="AJ871" s="53" t="str">
        <f aca="false">IF($E871&lt;&gt;"",$E871,"")</f>
        <v/>
      </c>
      <c r="AK871" s="52" t="str">
        <f aca="false">IF($F871&lt;&gt;"",$F871,"")</f>
        <v>Apprenant 859 ou 859'</v>
      </c>
      <c r="AL871" s="53" t="str">
        <f aca="false">IF(AND($AB871&lt;&gt;"",$AC871&lt;&gt;""),$AC871-$AB871,"")</f>
        <v/>
      </c>
      <c r="AM871" s="53" t="str">
        <f aca="false">IF(AND($AB871&lt;&gt;"",$AD871&lt;&gt;""),$AD871-$AB871,"")</f>
        <v/>
      </c>
      <c r="AN871" s="53" t="str">
        <f aca="false">IF(AND($AC871&lt;&gt;"",$AD871&lt;&gt;""),$AD871-$AC871,"")</f>
        <v/>
      </c>
      <c r="AO871" s="53" t="str">
        <f aca="false">IF($J871&lt;&gt;"",$J871,"")</f>
        <v/>
      </c>
      <c r="AQ871" s="52" t="str">
        <f aca="false">IF($A871&lt;&gt;"",$A871,"")</f>
        <v>Apprenant 859</v>
      </c>
      <c r="AR871" s="55" t="str">
        <f aca="false">IF(AND('Choix pédagogiques'!$C$4&lt;&gt;"?",'Choix pédagogiques'!$C$5&lt;&gt;"?",W871&lt;&gt;""),(W871-'Choix pédagogiques'!$C$4)/('Choix pédagogiques'!$C$5-'Choix pédagogiques'!$C$4),"")</f>
        <v/>
      </c>
      <c r="AS871" s="55" t="str">
        <f aca="false">IF(AND('Choix pédagogiques'!$C$4&lt;&gt;"?",'Choix pédagogiques'!$C$5&lt;&gt;"?",X871&lt;&gt;""),(X871-'Choix pédagogiques'!$C$4)/('Choix pédagogiques'!$C$5-'Choix pédagogiques'!$C$4),"")</f>
        <v/>
      </c>
      <c r="AT871" s="55" t="str">
        <f aca="false">IF(AND('Choix pédagogiques'!$C$4&lt;&gt;"?",'Choix pédagogiques'!$C$5&lt;&gt;"?",Y871&lt;&gt;""),(Y871-'Choix pédagogiques'!$C$4)/('Choix pédagogiques'!$C$5-'Choix pédagogiques'!$C$4),"")</f>
        <v/>
      </c>
      <c r="AU871" s="53" t="str">
        <f aca="false">IF($E871&lt;&gt;"",$E871,"")</f>
        <v/>
      </c>
      <c r="AV871" s="52" t="str">
        <f aca="false">IF($F871&lt;&gt;"",$F871,"")</f>
        <v>Apprenant 859 ou 859'</v>
      </c>
      <c r="AW871" s="55" t="str">
        <f aca="false">IF(AND('Choix pédagogiques'!$C$4&lt;&gt;"?",'Choix pédagogiques'!$C$5&lt;&gt;"?",AB871&lt;&gt;""),(AB871-'Choix pédagogiques'!$C$4)/('Choix pédagogiques'!$C$5-'Choix pédagogiques'!$C$4),"")</f>
        <v/>
      </c>
      <c r="AX871" s="55" t="str">
        <f aca="false">IF(AND('Choix pédagogiques'!$C$4&lt;&gt;"?",'Choix pédagogiques'!$C$5&lt;&gt;"?",AC871&lt;&gt;""),(AC871-'Choix pédagogiques'!$C$4)/('Choix pédagogiques'!$C$5-'Choix pédagogiques'!$C$4),"")</f>
        <v/>
      </c>
      <c r="AY871" s="55" t="str">
        <f aca="false">IF(AND('Choix pédagogiques'!$C$4&lt;&gt;"?",'Choix pédagogiques'!$C$5&lt;&gt;"?",AD871&lt;&gt;""),(AD871-'Choix pédagogiques'!$C$4)/('Choix pédagogiques'!$C$5-'Choix pédagogiques'!$C$4),"")</f>
        <v/>
      </c>
      <c r="AZ871" s="53" t="str">
        <f aca="false">IF($J871&lt;&gt;"",$J871,"")</f>
        <v/>
      </c>
      <c r="BA871" s="52" t="str">
        <f aca="false">IF($A871&lt;&gt;"",$A871,"")</f>
        <v>Apprenant 859</v>
      </c>
      <c r="BB871" s="55" t="str">
        <f aca="false">IF(AND($AR871&lt;&gt;"",$AS871&lt;&gt;""),$AS871-$AR871,"")</f>
        <v/>
      </c>
      <c r="BC871" s="55" t="str">
        <f aca="false">IF(AND($AR871&lt;&gt;"",$AT871&lt;&gt;""),$AT871-$AR871,"")</f>
        <v/>
      </c>
      <c r="BD871" s="55" t="str">
        <f aca="false">IF(AND($AS871&lt;&gt;"",$AT871&lt;&gt;""),$AT871-$AS871,"")</f>
        <v/>
      </c>
      <c r="BE871" s="53" t="str">
        <f aca="false">IF($E871&lt;&gt;"",$E871,"")</f>
        <v/>
      </c>
      <c r="BF871" s="52" t="str">
        <f aca="false">IF($F871&lt;&gt;"",$F871,"")</f>
        <v>Apprenant 859 ou 859'</v>
      </c>
      <c r="BG871" s="55" t="str">
        <f aca="false">IF(AND($AW871&lt;&gt;"",$AX871&lt;&gt;""),$AX871-$AW871,"")</f>
        <v/>
      </c>
      <c r="BH871" s="55" t="str">
        <f aca="false">IF(AND($AW871&lt;&gt;"",$AY871&lt;&gt;""),$AY871-$AW871,"")</f>
        <v/>
      </c>
      <c r="BI871" s="55" t="str">
        <f aca="false">IF(AND($AX871&lt;&gt;"",$AY871&lt;&gt;""),$AY871-$AX871,"")</f>
        <v/>
      </c>
      <c r="BJ871" s="53" t="str">
        <f aca="false">IF($J871&lt;&gt;"",$J871,"")</f>
        <v/>
      </c>
      <c r="BL871" s="52"/>
      <c r="BM871" s="52" t="str">
        <f aca="false">IF(OR(COUNT(B871:D1870)=0,AND('Choix pédagogiques'!$C$3&lt;&gt;1,'Choix pédagogiques'!$C$3&lt;&gt;2)),"",IF(AND(OR('Choix pédagogiques'!$C$3=1,'Choix pédagogiques'!$C$3=2),$B871&lt;&gt;"",$C871&lt;&gt;"",$D871&lt;&gt;""),1,0))</f>
        <v/>
      </c>
      <c r="BN871" s="52" t="str">
        <f aca="false">IF(OR(COUNT(G871:I1870)=0,AND('Choix pédagogiques'!$C$3&lt;&gt;1,'Choix pédagogiques'!$C$3&lt;&gt;2)),"",IF(AND(OR('Choix pédagogiques'!$C$3=1,'Choix pédagogiques'!$C$3=2),AND($G871&lt;&gt;"",$H871&lt;&gt;"",$I871&lt;&gt;"")),1,0))</f>
        <v/>
      </c>
      <c r="BO871" s="52" t="str">
        <f aca="false">IF(OR(COUNT(B871:D1870)=0,COUNT(G871:I1870)=0,'Choix pédagogiques'!C$3&lt;&gt;3),"",IF(AND('Choix pédagogiques'!$C$3=3,$B871&lt;&gt;"",$C871&lt;&gt;"",$D871&lt;&gt;"",$G871&lt;&gt;"",$H871&lt;&gt;"",$I871&lt;&gt;""),1,0))</f>
        <v/>
      </c>
      <c r="BR871" s="52" t="n">
        <v>805</v>
      </c>
      <c r="BS871" s="52" t="n">
        <v>1126</v>
      </c>
    </row>
    <row r="872" s="54" customFormat="true" ht="18" hidden="false" customHeight="true" outlineLevel="0" collapsed="false">
      <c r="A872" s="57" t="s">
        <v>1675</v>
      </c>
      <c r="B872" s="51"/>
      <c r="C872" s="51"/>
      <c r="D872" s="51"/>
      <c r="E872" s="51"/>
      <c r="F872" s="57" t="s">
        <v>1676</v>
      </c>
      <c r="G872" s="51"/>
      <c r="H872" s="51"/>
      <c r="I872" s="51"/>
      <c r="J872" s="51"/>
      <c r="K872" s="52" t="str">
        <f aca="false">IF($A872&lt;&gt;"",$A872,"")</f>
        <v>Apprenant 860</v>
      </c>
      <c r="L872" s="53" t="str">
        <f aca="false">IF(AND($B872&lt;&gt;"",$C872&lt;&gt;""),$C872-$B872,"")</f>
        <v/>
      </c>
      <c r="M872" s="53" t="str">
        <f aca="false">IF(AND($B872&lt;&gt;"",$D872&lt;&gt;""),$D872-$B872,"")</f>
        <v/>
      </c>
      <c r="N872" s="53" t="str">
        <f aca="false">IF(AND($C872&lt;&gt;"",$D872&lt;&gt;""),$D872-$C872,"")</f>
        <v/>
      </c>
      <c r="O872" s="53" t="str">
        <f aca="false">IF($E872&lt;&gt;"",$E872,"")</f>
        <v/>
      </c>
      <c r="P872" s="52" t="str">
        <f aca="false">IF($F872&lt;&gt;"",$F872,"")</f>
        <v>Apprenant 860 ou 860'</v>
      </c>
      <c r="Q872" s="53" t="str">
        <f aca="false">IF(AND($G872&lt;&gt;"",$H872&lt;&gt;""),$H872-$G872,"")</f>
        <v/>
      </c>
      <c r="R872" s="53" t="str">
        <f aca="false">IF(AND($G872&lt;&gt;"",$I872&lt;&gt;""),$I872-$G872,"")</f>
        <v/>
      </c>
      <c r="S872" s="53" t="str">
        <f aca="false">IF(AND($H872&lt;&gt;"",$I872&lt;&gt;""),$I872-$H872,"")</f>
        <v/>
      </c>
      <c r="T872" s="53" t="str">
        <f aca="false">IF($J872&lt;&gt;"",$J872,"")</f>
        <v/>
      </c>
      <c r="V872" s="52" t="str">
        <f aca="false">IF($A872&lt;&gt;"",$A872,"")</f>
        <v>Apprenant 860</v>
      </c>
      <c r="W872" s="53" t="str">
        <f aca="false">IF(AND(OR('Choix pédagogiques'!$C$3=1,'Choix pédagogiques'!$C$3=2),$BM872=1),B872,IF(AND('Choix pédagogiques'!$C$3=3,$BO872=1),B872,""))</f>
        <v/>
      </c>
      <c r="X872" s="53" t="str">
        <f aca="false">IF(AND(OR('Choix pédagogiques'!$C$3=1,'Choix pédagogiques'!$C$3=2),$BM872=1),C872,IF(AND('Choix pédagogiques'!$C$3=3,$BO872=1),C872,""))</f>
        <v/>
      </c>
      <c r="Y872" s="53" t="str">
        <f aca="false">IF(AND(OR('Choix pédagogiques'!$C$3=1,'Choix pédagogiques'!$C$3=2),$BM872=1),D872,IF(AND('Choix pédagogiques'!$C$3=3,$BO872=1),D872,""))</f>
        <v/>
      </c>
      <c r="Z872" s="53" t="str">
        <f aca="false">IF($E872&lt;&gt;"",$E872,"")</f>
        <v/>
      </c>
      <c r="AA872" s="52" t="str">
        <f aca="false">IF($F872&lt;&gt;"",$F872,"")</f>
        <v>Apprenant 860 ou 860'</v>
      </c>
      <c r="AB872" s="53" t="str">
        <f aca="false">IF(AND(OR('Choix pédagogiques'!$C$3=1,'Choix pédagogiques'!$C$3=2),$BN872=1),G872,IF(AND('Choix pédagogiques'!$C$3=3,$BO872=1),G872,""))</f>
        <v/>
      </c>
      <c r="AC872" s="53" t="str">
        <f aca="false">IF(AND(OR('Choix pédagogiques'!$C$3=1,'Choix pédagogiques'!$C$3=2),$BN872=1),H872,IF(AND('Choix pédagogiques'!$C$3=3,$BO872=1),H872,""))</f>
        <v/>
      </c>
      <c r="AD872" s="53" t="str">
        <f aca="false">IF(AND(OR('Choix pédagogiques'!$C$3=1,'Choix pédagogiques'!$C$3=2),$BN872=1),I872,IF(AND('Choix pédagogiques'!$C$3=3,$BO872=1),I872,""))</f>
        <v/>
      </c>
      <c r="AE872" s="53" t="str">
        <f aca="false">IF($J872&lt;&gt;"",$J872,"")</f>
        <v/>
      </c>
      <c r="AF872" s="52" t="str">
        <f aca="false">IF($A872&lt;&gt;"",$A872,"")</f>
        <v>Apprenant 860</v>
      </c>
      <c r="AG872" s="53" t="str">
        <f aca="false">IF(AND($W872&lt;&gt;"",$X872&lt;&gt;""),$X872-$W872,"")</f>
        <v/>
      </c>
      <c r="AH872" s="53" t="str">
        <f aca="false">IF(AND($W872&lt;&gt;"",$Y872&lt;&gt;""),$Y872-$W872,"")</f>
        <v/>
      </c>
      <c r="AI872" s="53" t="str">
        <f aca="false">IF(AND($X872&lt;&gt;"",$Y872&lt;&gt;""),$Y872-$X872,"")</f>
        <v/>
      </c>
      <c r="AJ872" s="53" t="str">
        <f aca="false">IF($E872&lt;&gt;"",$E872,"")</f>
        <v/>
      </c>
      <c r="AK872" s="52" t="str">
        <f aca="false">IF($F872&lt;&gt;"",$F872,"")</f>
        <v>Apprenant 860 ou 860'</v>
      </c>
      <c r="AL872" s="53" t="str">
        <f aca="false">IF(AND($AB872&lt;&gt;"",$AC872&lt;&gt;""),$AC872-$AB872,"")</f>
        <v/>
      </c>
      <c r="AM872" s="53" t="str">
        <f aca="false">IF(AND($AB872&lt;&gt;"",$AD872&lt;&gt;""),$AD872-$AB872,"")</f>
        <v/>
      </c>
      <c r="AN872" s="53" t="str">
        <f aca="false">IF(AND($AC872&lt;&gt;"",$AD872&lt;&gt;""),$AD872-$AC872,"")</f>
        <v/>
      </c>
      <c r="AO872" s="53" t="str">
        <f aca="false">IF($J872&lt;&gt;"",$J872,"")</f>
        <v/>
      </c>
      <c r="AQ872" s="52" t="str">
        <f aca="false">IF($A872&lt;&gt;"",$A872,"")</f>
        <v>Apprenant 860</v>
      </c>
      <c r="AR872" s="55" t="str">
        <f aca="false">IF(AND('Choix pédagogiques'!$C$4&lt;&gt;"?",'Choix pédagogiques'!$C$5&lt;&gt;"?",W872&lt;&gt;""),(W872-'Choix pédagogiques'!$C$4)/('Choix pédagogiques'!$C$5-'Choix pédagogiques'!$C$4),"")</f>
        <v/>
      </c>
      <c r="AS872" s="55" t="str">
        <f aca="false">IF(AND('Choix pédagogiques'!$C$4&lt;&gt;"?",'Choix pédagogiques'!$C$5&lt;&gt;"?",X872&lt;&gt;""),(X872-'Choix pédagogiques'!$C$4)/('Choix pédagogiques'!$C$5-'Choix pédagogiques'!$C$4),"")</f>
        <v/>
      </c>
      <c r="AT872" s="55" t="str">
        <f aca="false">IF(AND('Choix pédagogiques'!$C$4&lt;&gt;"?",'Choix pédagogiques'!$C$5&lt;&gt;"?",Y872&lt;&gt;""),(Y872-'Choix pédagogiques'!$C$4)/('Choix pédagogiques'!$C$5-'Choix pédagogiques'!$C$4),"")</f>
        <v/>
      </c>
      <c r="AU872" s="53" t="str">
        <f aca="false">IF($E872&lt;&gt;"",$E872,"")</f>
        <v/>
      </c>
      <c r="AV872" s="52" t="str">
        <f aca="false">IF($F872&lt;&gt;"",$F872,"")</f>
        <v>Apprenant 860 ou 860'</v>
      </c>
      <c r="AW872" s="55" t="str">
        <f aca="false">IF(AND('Choix pédagogiques'!$C$4&lt;&gt;"?",'Choix pédagogiques'!$C$5&lt;&gt;"?",AB872&lt;&gt;""),(AB872-'Choix pédagogiques'!$C$4)/('Choix pédagogiques'!$C$5-'Choix pédagogiques'!$C$4),"")</f>
        <v/>
      </c>
      <c r="AX872" s="55" t="str">
        <f aca="false">IF(AND('Choix pédagogiques'!$C$4&lt;&gt;"?",'Choix pédagogiques'!$C$5&lt;&gt;"?",AC872&lt;&gt;""),(AC872-'Choix pédagogiques'!$C$4)/('Choix pédagogiques'!$C$5-'Choix pédagogiques'!$C$4),"")</f>
        <v/>
      </c>
      <c r="AY872" s="55" t="str">
        <f aca="false">IF(AND('Choix pédagogiques'!$C$4&lt;&gt;"?",'Choix pédagogiques'!$C$5&lt;&gt;"?",AD872&lt;&gt;""),(AD872-'Choix pédagogiques'!$C$4)/('Choix pédagogiques'!$C$5-'Choix pédagogiques'!$C$4),"")</f>
        <v/>
      </c>
      <c r="AZ872" s="53" t="str">
        <f aca="false">IF($J872&lt;&gt;"",$J872,"")</f>
        <v/>
      </c>
      <c r="BA872" s="52" t="str">
        <f aca="false">IF($A872&lt;&gt;"",$A872,"")</f>
        <v>Apprenant 860</v>
      </c>
      <c r="BB872" s="55" t="str">
        <f aca="false">IF(AND($AR872&lt;&gt;"",$AS872&lt;&gt;""),$AS872-$AR872,"")</f>
        <v/>
      </c>
      <c r="BC872" s="55" t="str">
        <f aca="false">IF(AND($AR872&lt;&gt;"",$AT872&lt;&gt;""),$AT872-$AR872,"")</f>
        <v/>
      </c>
      <c r="BD872" s="55" t="str">
        <f aca="false">IF(AND($AS872&lt;&gt;"",$AT872&lt;&gt;""),$AT872-$AS872,"")</f>
        <v/>
      </c>
      <c r="BE872" s="53" t="str">
        <f aca="false">IF($E872&lt;&gt;"",$E872,"")</f>
        <v/>
      </c>
      <c r="BF872" s="52" t="str">
        <f aca="false">IF($F872&lt;&gt;"",$F872,"")</f>
        <v>Apprenant 860 ou 860'</v>
      </c>
      <c r="BG872" s="55" t="str">
        <f aca="false">IF(AND($AW872&lt;&gt;"",$AX872&lt;&gt;""),$AX872-$AW872,"")</f>
        <v/>
      </c>
      <c r="BH872" s="55" t="str">
        <f aca="false">IF(AND($AW872&lt;&gt;"",$AY872&lt;&gt;""),$AY872-$AW872,"")</f>
        <v/>
      </c>
      <c r="BI872" s="55" t="str">
        <f aca="false">IF(AND($AX872&lt;&gt;"",$AY872&lt;&gt;""),$AY872-$AX872,"")</f>
        <v/>
      </c>
      <c r="BJ872" s="53" t="str">
        <f aca="false">IF($J872&lt;&gt;"",$J872,"")</f>
        <v/>
      </c>
      <c r="BL872" s="52"/>
      <c r="BM872" s="52" t="str">
        <f aca="false">IF(OR(COUNT(B872:D1871)=0,AND('Choix pédagogiques'!$C$3&lt;&gt;1,'Choix pédagogiques'!$C$3&lt;&gt;2)),"",IF(AND(OR('Choix pédagogiques'!$C$3=1,'Choix pédagogiques'!$C$3=2),$B872&lt;&gt;"",$C872&lt;&gt;"",$D872&lt;&gt;""),1,0))</f>
        <v/>
      </c>
      <c r="BN872" s="52" t="str">
        <f aca="false">IF(OR(COUNT(G872:I1871)=0,AND('Choix pédagogiques'!$C$3&lt;&gt;1,'Choix pédagogiques'!$C$3&lt;&gt;2)),"",IF(AND(OR('Choix pédagogiques'!$C$3=1,'Choix pédagogiques'!$C$3=2),AND($G872&lt;&gt;"",$H872&lt;&gt;"",$I872&lt;&gt;"")),1,0))</f>
        <v/>
      </c>
      <c r="BO872" s="52" t="str">
        <f aca="false">IF(OR(COUNT(B872:D1871)=0,COUNT(G872:I1871)=0,'Choix pédagogiques'!C$3&lt;&gt;3),"",IF(AND('Choix pédagogiques'!$C$3=3,$B872&lt;&gt;"",$C872&lt;&gt;"",$D872&lt;&gt;"",$G872&lt;&gt;"",$H872&lt;&gt;"",$I872&lt;&gt;""),1,0))</f>
        <v/>
      </c>
      <c r="BR872" s="52" t="n">
        <v>452</v>
      </c>
      <c r="BS872" s="52" t="n">
        <v>1989</v>
      </c>
    </row>
    <row r="873" s="54" customFormat="true" ht="18" hidden="false" customHeight="true" outlineLevel="0" collapsed="false">
      <c r="A873" s="57" t="s">
        <v>1677</v>
      </c>
      <c r="B873" s="51"/>
      <c r="C873" s="51"/>
      <c r="D873" s="51"/>
      <c r="E873" s="51"/>
      <c r="F873" s="57" t="s">
        <v>1678</v>
      </c>
      <c r="G873" s="51"/>
      <c r="H873" s="51"/>
      <c r="I873" s="51"/>
      <c r="J873" s="51"/>
      <c r="K873" s="52" t="str">
        <f aca="false">IF($A873&lt;&gt;"",$A873,"")</f>
        <v>Apprenant 861</v>
      </c>
      <c r="L873" s="53" t="str">
        <f aca="false">IF(AND($B873&lt;&gt;"",$C873&lt;&gt;""),$C873-$B873,"")</f>
        <v/>
      </c>
      <c r="M873" s="53" t="str">
        <f aca="false">IF(AND($B873&lt;&gt;"",$D873&lt;&gt;""),$D873-$B873,"")</f>
        <v/>
      </c>
      <c r="N873" s="53" t="str">
        <f aca="false">IF(AND($C873&lt;&gt;"",$D873&lt;&gt;""),$D873-$C873,"")</f>
        <v/>
      </c>
      <c r="O873" s="53" t="str">
        <f aca="false">IF($E873&lt;&gt;"",$E873,"")</f>
        <v/>
      </c>
      <c r="P873" s="52" t="str">
        <f aca="false">IF($F873&lt;&gt;"",$F873,"")</f>
        <v>Apprenant 861 ou 861'</v>
      </c>
      <c r="Q873" s="53" t="str">
        <f aca="false">IF(AND($G873&lt;&gt;"",$H873&lt;&gt;""),$H873-$G873,"")</f>
        <v/>
      </c>
      <c r="R873" s="53" t="str">
        <f aca="false">IF(AND($G873&lt;&gt;"",$I873&lt;&gt;""),$I873-$G873,"")</f>
        <v/>
      </c>
      <c r="S873" s="53" t="str">
        <f aca="false">IF(AND($H873&lt;&gt;"",$I873&lt;&gt;""),$I873-$H873,"")</f>
        <v/>
      </c>
      <c r="T873" s="53" t="str">
        <f aca="false">IF($J873&lt;&gt;"",$J873,"")</f>
        <v/>
      </c>
      <c r="V873" s="52" t="str">
        <f aca="false">IF($A873&lt;&gt;"",$A873,"")</f>
        <v>Apprenant 861</v>
      </c>
      <c r="W873" s="53" t="str">
        <f aca="false">IF(AND(OR('Choix pédagogiques'!$C$3=1,'Choix pédagogiques'!$C$3=2),$BM873=1),B873,IF(AND('Choix pédagogiques'!$C$3=3,$BO873=1),B873,""))</f>
        <v/>
      </c>
      <c r="X873" s="53" t="str">
        <f aca="false">IF(AND(OR('Choix pédagogiques'!$C$3=1,'Choix pédagogiques'!$C$3=2),$BM873=1),C873,IF(AND('Choix pédagogiques'!$C$3=3,$BO873=1),C873,""))</f>
        <v/>
      </c>
      <c r="Y873" s="53" t="str">
        <f aca="false">IF(AND(OR('Choix pédagogiques'!$C$3=1,'Choix pédagogiques'!$C$3=2),$BM873=1),D873,IF(AND('Choix pédagogiques'!$C$3=3,$BO873=1),D873,""))</f>
        <v/>
      </c>
      <c r="Z873" s="53" t="str">
        <f aca="false">IF($E873&lt;&gt;"",$E873,"")</f>
        <v/>
      </c>
      <c r="AA873" s="52" t="str">
        <f aca="false">IF($F873&lt;&gt;"",$F873,"")</f>
        <v>Apprenant 861 ou 861'</v>
      </c>
      <c r="AB873" s="53" t="str">
        <f aca="false">IF(AND(OR('Choix pédagogiques'!$C$3=1,'Choix pédagogiques'!$C$3=2),$BN873=1),G873,IF(AND('Choix pédagogiques'!$C$3=3,$BO873=1),G873,""))</f>
        <v/>
      </c>
      <c r="AC873" s="53" t="str">
        <f aca="false">IF(AND(OR('Choix pédagogiques'!$C$3=1,'Choix pédagogiques'!$C$3=2),$BN873=1),H873,IF(AND('Choix pédagogiques'!$C$3=3,$BO873=1),H873,""))</f>
        <v/>
      </c>
      <c r="AD873" s="53" t="str">
        <f aca="false">IF(AND(OR('Choix pédagogiques'!$C$3=1,'Choix pédagogiques'!$C$3=2),$BN873=1),I873,IF(AND('Choix pédagogiques'!$C$3=3,$BO873=1),I873,""))</f>
        <v/>
      </c>
      <c r="AE873" s="53" t="str">
        <f aca="false">IF($J873&lt;&gt;"",$J873,"")</f>
        <v/>
      </c>
      <c r="AF873" s="52" t="str">
        <f aca="false">IF($A873&lt;&gt;"",$A873,"")</f>
        <v>Apprenant 861</v>
      </c>
      <c r="AG873" s="53" t="str">
        <f aca="false">IF(AND($W873&lt;&gt;"",$X873&lt;&gt;""),$X873-$W873,"")</f>
        <v/>
      </c>
      <c r="AH873" s="53" t="str">
        <f aca="false">IF(AND($W873&lt;&gt;"",$Y873&lt;&gt;""),$Y873-$W873,"")</f>
        <v/>
      </c>
      <c r="AI873" s="53" t="str">
        <f aca="false">IF(AND($X873&lt;&gt;"",$Y873&lt;&gt;""),$Y873-$X873,"")</f>
        <v/>
      </c>
      <c r="AJ873" s="53" t="str">
        <f aca="false">IF($E873&lt;&gt;"",$E873,"")</f>
        <v/>
      </c>
      <c r="AK873" s="52" t="str">
        <f aca="false">IF($F873&lt;&gt;"",$F873,"")</f>
        <v>Apprenant 861 ou 861'</v>
      </c>
      <c r="AL873" s="53" t="str">
        <f aca="false">IF(AND($AB873&lt;&gt;"",$AC873&lt;&gt;""),$AC873-$AB873,"")</f>
        <v/>
      </c>
      <c r="AM873" s="53" t="str">
        <f aca="false">IF(AND($AB873&lt;&gt;"",$AD873&lt;&gt;""),$AD873-$AB873,"")</f>
        <v/>
      </c>
      <c r="AN873" s="53" t="str">
        <f aca="false">IF(AND($AC873&lt;&gt;"",$AD873&lt;&gt;""),$AD873-$AC873,"")</f>
        <v/>
      </c>
      <c r="AO873" s="53" t="str">
        <f aca="false">IF($J873&lt;&gt;"",$J873,"")</f>
        <v/>
      </c>
      <c r="AQ873" s="52" t="str">
        <f aca="false">IF($A873&lt;&gt;"",$A873,"")</f>
        <v>Apprenant 861</v>
      </c>
      <c r="AR873" s="55" t="str">
        <f aca="false">IF(AND('Choix pédagogiques'!$C$4&lt;&gt;"?",'Choix pédagogiques'!$C$5&lt;&gt;"?",W873&lt;&gt;""),(W873-'Choix pédagogiques'!$C$4)/('Choix pédagogiques'!$C$5-'Choix pédagogiques'!$C$4),"")</f>
        <v/>
      </c>
      <c r="AS873" s="55" t="str">
        <f aca="false">IF(AND('Choix pédagogiques'!$C$4&lt;&gt;"?",'Choix pédagogiques'!$C$5&lt;&gt;"?",X873&lt;&gt;""),(X873-'Choix pédagogiques'!$C$4)/('Choix pédagogiques'!$C$5-'Choix pédagogiques'!$C$4),"")</f>
        <v/>
      </c>
      <c r="AT873" s="55" t="str">
        <f aca="false">IF(AND('Choix pédagogiques'!$C$4&lt;&gt;"?",'Choix pédagogiques'!$C$5&lt;&gt;"?",Y873&lt;&gt;""),(Y873-'Choix pédagogiques'!$C$4)/('Choix pédagogiques'!$C$5-'Choix pédagogiques'!$C$4),"")</f>
        <v/>
      </c>
      <c r="AU873" s="53" t="str">
        <f aca="false">IF($E873&lt;&gt;"",$E873,"")</f>
        <v/>
      </c>
      <c r="AV873" s="52" t="str">
        <f aca="false">IF($F873&lt;&gt;"",$F873,"")</f>
        <v>Apprenant 861 ou 861'</v>
      </c>
      <c r="AW873" s="55" t="str">
        <f aca="false">IF(AND('Choix pédagogiques'!$C$4&lt;&gt;"?",'Choix pédagogiques'!$C$5&lt;&gt;"?",AB873&lt;&gt;""),(AB873-'Choix pédagogiques'!$C$4)/('Choix pédagogiques'!$C$5-'Choix pédagogiques'!$C$4),"")</f>
        <v/>
      </c>
      <c r="AX873" s="55" t="str">
        <f aca="false">IF(AND('Choix pédagogiques'!$C$4&lt;&gt;"?",'Choix pédagogiques'!$C$5&lt;&gt;"?",AC873&lt;&gt;""),(AC873-'Choix pédagogiques'!$C$4)/('Choix pédagogiques'!$C$5-'Choix pédagogiques'!$C$4),"")</f>
        <v/>
      </c>
      <c r="AY873" s="55" t="str">
        <f aca="false">IF(AND('Choix pédagogiques'!$C$4&lt;&gt;"?",'Choix pédagogiques'!$C$5&lt;&gt;"?",AD873&lt;&gt;""),(AD873-'Choix pédagogiques'!$C$4)/('Choix pédagogiques'!$C$5-'Choix pédagogiques'!$C$4),"")</f>
        <v/>
      </c>
      <c r="AZ873" s="53" t="str">
        <f aca="false">IF($J873&lt;&gt;"",$J873,"")</f>
        <v/>
      </c>
      <c r="BA873" s="52" t="str">
        <f aca="false">IF($A873&lt;&gt;"",$A873,"")</f>
        <v>Apprenant 861</v>
      </c>
      <c r="BB873" s="55" t="str">
        <f aca="false">IF(AND($AR873&lt;&gt;"",$AS873&lt;&gt;""),$AS873-$AR873,"")</f>
        <v/>
      </c>
      <c r="BC873" s="55" t="str">
        <f aca="false">IF(AND($AR873&lt;&gt;"",$AT873&lt;&gt;""),$AT873-$AR873,"")</f>
        <v/>
      </c>
      <c r="BD873" s="55" t="str">
        <f aca="false">IF(AND($AS873&lt;&gt;"",$AT873&lt;&gt;""),$AT873-$AS873,"")</f>
        <v/>
      </c>
      <c r="BE873" s="53" t="str">
        <f aca="false">IF($E873&lt;&gt;"",$E873,"")</f>
        <v/>
      </c>
      <c r="BF873" s="52" t="str">
        <f aca="false">IF($F873&lt;&gt;"",$F873,"")</f>
        <v>Apprenant 861 ou 861'</v>
      </c>
      <c r="BG873" s="55" t="str">
        <f aca="false">IF(AND($AW873&lt;&gt;"",$AX873&lt;&gt;""),$AX873-$AW873,"")</f>
        <v/>
      </c>
      <c r="BH873" s="55" t="str">
        <f aca="false">IF(AND($AW873&lt;&gt;"",$AY873&lt;&gt;""),$AY873-$AW873,"")</f>
        <v/>
      </c>
      <c r="BI873" s="55" t="str">
        <f aca="false">IF(AND($AX873&lt;&gt;"",$AY873&lt;&gt;""),$AY873-$AX873,"")</f>
        <v/>
      </c>
      <c r="BJ873" s="53" t="str">
        <f aca="false">IF($J873&lt;&gt;"",$J873,"")</f>
        <v/>
      </c>
      <c r="BL873" s="52"/>
      <c r="BM873" s="52" t="str">
        <f aca="false">IF(OR(COUNT(B873:D1872)=0,AND('Choix pédagogiques'!$C$3&lt;&gt;1,'Choix pédagogiques'!$C$3&lt;&gt;2)),"",IF(AND(OR('Choix pédagogiques'!$C$3=1,'Choix pédagogiques'!$C$3=2),$B873&lt;&gt;"",$C873&lt;&gt;"",$D873&lt;&gt;""),1,0))</f>
        <v/>
      </c>
      <c r="BN873" s="52" t="str">
        <f aca="false">IF(OR(COUNT(G873:I1872)=0,AND('Choix pédagogiques'!$C$3&lt;&gt;1,'Choix pédagogiques'!$C$3&lt;&gt;2)),"",IF(AND(OR('Choix pédagogiques'!$C$3=1,'Choix pédagogiques'!$C$3=2),AND($G873&lt;&gt;"",$H873&lt;&gt;"",$I873&lt;&gt;"")),1,0))</f>
        <v/>
      </c>
      <c r="BO873" s="52" t="str">
        <f aca="false">IF(OR(COUNT(B873:D1872)=0,COUNT(G873:I1872)=0,'Choix pédagogiques'!C$3&lt;&gt;3),"",IF(AND('Choix pédagogiques'!$C$3=3,$B873&lt;&gt;"",$C873&lt;&gt;"",$D873&lt;&gt;"",$G873&lt;&gt;"",$H873&lt;&gt;"",$I873&lt;&gt;""),1,0))</f>
        <v/>
      </c>
      <c r="BR873" s="52" t="n">
        <v>88</v>
      </c>
      <c r="BS873" s="52" t="n">
        <v>1349</v>
      </c>
    </row>
    <row r="874" s="54" customFormat="true" ht="18" hidden="false" customHeight="true" outlineLevel="0" collapsed="false">
      <c r="A874" s="57" t="s">
        <v>1679</v>
      </c>
      <c r="B874" s="51"/>
      <c r="C874" s="51"/>
      <c r="D874" s="51"/>
      <c r="E874" s="51"/>
      <c r="F874" s="57" t="s">
        <v>1680</v>
      </c>
      <c r="G874" s="51"/>
      <c r="H874" s="51"/>
      <c r="I874" s="51"/>
      <c r="J874" s="51"/>
      <c r="K874" s="52" t="str">
        <f aca="false">IF($A874&lt;&gt;"",$A874,"")</f>
        <v>Apprenant 862</v>
      </c>
      <c r="L874" s="53" t="str">
        <f aca="false">IF(AND($B874&lt;&gt;"",$C874&lt;&gt;""),$C874-$B874,"")</f>
        <v/>
      </c>
      <c r="M874" s="53" t="str">
        <f aca="false">IF(AND($B874&lt;&gt;"",$D874&lt;&gt;""),$D874-$B874,"")</f>
        <v/>
      </c>
      <c r="N874" s="53" t="str">
        <f aca="false">IF(AND($C874&lt;&gt;"",$D874&lt;&gt;""),$D874-$C874,"")</f>
        <v/>
      </c>
      <c r="O874" s="53" t="str">
        <f aca="false">IF($E874&lt;&gt;"",$E874,"")</f>
        <v/>
      </c>
      <c r="P874" s="52" t="str">
        <f aca="false">IF($F874&lt;&gt;"",$F874,"")</f>
        <v>Apprenant 862 ou 862'</v>
      </c>
      <c r="Q874" s="53" t="str">
        <f aca="false">IF(AND($G874&lt;&gt;"",$H874&lt;&gt;""),$H874-$G874,"")</f>
        <v/>
      </c>
      <c r="R874" s="53" t="str">
        <f aca="false">IF(AND($G874&lt;&gt;"",$I874&lt;&gt;""),$I874-$G874,"")</f>
        <v/>
      </c>
      <c r="S874" s="53" t="str">
        <f aca="false">IF(AND($H874&lt;&gt;"",$I874&lt;&gt;""),$I874-$H874,"")</f>
        <v/>
      </c>
      <c r="T874" s="53" t="str">
        <f aca="false">IF($J874&lt;&gt;"",$J874,"")</f>
        <v/>
      </c>
      <c r="V874" s="52" t="str">
        <f aca="false">IF($A874&lt;&gt;"",$A874,"")</f>
        <v>Apprenant 862</v>
      </c>
      <c r="W874" s="53" t="str">
        <f aca="false">IF(AND(OR('Choix pédagogiques'!$C$3=1,'Choix pédagogiques'!$C$3=2),$BM874=1),B874,IF(AND('Choix pédagogiques'!$C$3=3,$BO874=1),B874,""))</f>
        <v/>
      </c>
      <c r="X874" s="53" t="str">
        <f aca="false">IF(AND(OR('Choix pédagogiques'!$C$3=1,'Choix pédagogiques'!$C$3=2),$BM874=1),C874,IF(AND('Choix pédagogiques'!$C$3=3,$BO874=1),C874,""))</f>
        <v/>
      </c>
      <c r="Y874" s="53" t="str">
        <f aca="false">IF(AND(OR('Choix pédagogiques'!$C$3=1,'Choix pédagogiques'!$C$3=2),$BM874=1),D874,IF(AND('Choix pédagogiques'!$C$3=3,$BO874=1),D874,""))</f>
        <v/>
      </c>
      <c r="Z874" s="53" t="str">
        <f aca="false">IF($E874&lt;&gt;"",$E874,"")</f>
        <v/>
      </c>
      <c r="AA874" s="52" t="str">
        <f aca="false">IF($F874&lt;&gt;"",$F874,"")</f>
        <v>Apprenant 862 ou 862'</v>
      </c>
      <c r="AB874" s="53" t="str">
        <f aca="false">IF(AND(OR('Choix pédagogiques'!$C$3=1,'Choix pédagogiques'!$C$3=2),$BN874=1),G874,IF(AND('Choix pédagogiques'!$C$3=3,$BO874=1),G874,""))</f>
        <v/>
      </c>
      <c r="AC874" s="53" t="str">
        <f aca="false">IF(AND(OR('Choix pédagogiques'!$C$3=1,'Choix pédagogiques'!$C$3=2),$BN874=1),H874,IF(AND('Choix pédagogiques'!$C$3=3,$BO874=1),H874,""))</f>
        <v/>
      </c>
      <c r="AD874" s="53" t="str">
        <f aca="false">IF(AND(OR('Choix pédagogiques'!$C$3=1,'Choix pédagogiques'!$C$3=2),$BN874=1),I874,IF(AND('Choix pédagogiques'!$C$3=3,$BO874=1),I874,""))</f>
        <v/>
      </c>
      <c r="AE874" s="53" t="str">
        <f aca="false">IF($J874&lt;&gt;"",$J874,"")</f>
        <v/>
      </c>
      <c r="AF874" s="52" t="str">
        <f aca="false">IF($A874&lt;&gt;"",$A874,"")</f>
        <v>Apprenant 862</v>
      </c>
      <c r="AG874" s="53" t="str">
        <f aca="false">IF(AND($W874&lt;&gt;"",$X874&lt;&gt;""),$X874-$W874,"")</f>
        <v/>
      </c>
      <c r="AH874" s="53" t="str">
        <f aca="false">IF(AND($W874&lt;&gt;"",$Y874&lt;&gt;""),$Y874-$W874,"")</f>
        <v/>
      </c>
      <c r="AI874" s="53" t="str">
        <f aca="false">IF(AND($X874&lt;&gt;"",$Y874&lt;&gt;""),$Y874-$X874,"")</f>
        <v/>
      </c>
      <c r="AJ874" s="53" t="str">
        <f aca="false">IF($E874&lt;&gt;"",$E874,"")</f>
        <v/>
      </c>
      <c r="AK874" s="52" t="str">
        <f aca="false">IF($F874&lt;&gt;"",$F874,"")</f>
        <v>Apprenant 862 ou 862'</v>
      </c>
      <c r="AL874" s="53" t="str">
        <f aca="false">IF(AND($AB874&lt;&gt;"",$AC874&lt;&gt;""),$AC874-$AB874,"")</f>
        <v/>
      </c>
      <c r="AM874" s="53" t="str">
        <f aca="false">IF(AND($AB874&lt;&gt;"",$AD874&lt;&gt;""),$AD874-$AB874,"")</f>
        <v/>
      </c>
      <c r="AN874" s="53" t="str">
        <f aca="false">IF(AND($AC874&lt;&gt;"",$AD874&lt;&gt;""),$AD874-$AC874,"")</f>
        <v/>
      </c>
      <c r="AO874" s="53" t="str">
        <f aca="false">IF($J874&lt;&gt;"",$J874,"")</f>
        <v/>
      </c>
      <c r="AQ874" s="52" t="str">
        <f aca="false">IF($A874&lt;&gt;"",$A874,"")</f>
        <v>Apprenant 862</v>
      </c>
      <c r="AR874" s="55" t="str">
        <f aca="false">IF(AND('Choix pédagogiques'!$C$4&lt;&gt;"?",'Choix pédagogiques'!$C$5&lt;&gt;"?",W874&lt;&gt;""),(W874-'Choix pédagogiques'!$C$4)/('Choix pédagogiques'!$C$5-'Choix pédagogiques'!$C$4),"")</f>
        <v/>
      </c>
      <c r="AS874" s="55" t="str">
        <f aca="false">IF(AND('Choix pédagogiques'!$C$4&lt;&gt;"?",'Choix pédagogiques'!$C$5&lt;&gt;"?",X874&lt;&gt;""),(X874-'Choix pédagogiques'!$C$4)/('Choix pédagogiques'!$C$5-'Choix pédagogiques'!$C$4),"")</f>
        <v/>
      </c>
      <c r="AT874" s="55" t="str">
        <f aca="false">IF(AND('Choix pédagogiques'!$C$4&lt;&gt;"?",'Choix pédagogiques'!$C$5&lt;&gt;"?",Y874&lt;&gt;""),(Y874-'Choix pédagogiques'!$C$4)/('Choix pédagogiques'!$C$5-'Choix pédagogiques'!$C$4),"")</f>
        <v/>
      </c>
      <c r="AU874" s="53" t="str">
        <f aca="false">IF($E874&lt;&gt;"",$E874,"")</f>
        <v/>
      </c>
      <c r="AV874" s="52" t="str">
        <f aca="false">IF($F874&lt;&gt;"",$F874,"")</f>
        <v>Apprenant 862 ou 862'</v>
      </c>
      <c r="AW874" s="55" t="str">
        <f aca="false">IF(AND('Choix pédagogiques'!$C$4&lt;&gt;"?",'Choix pédagogiques'!$C$5&lt;&gt;"?",AB874&lt;&gt;""),(AB874-'Choix pédagogiques'!$C$4)/('Choix pédagogiques'!$C$5-'Choix pédagogiques'!$C$4),"")</f>
        <v/>
      </c>
      <c r="AX874" s="55" t="str">
        <f aca="false">IF(AND('Choix pédagogiques'!$C$4&lt;&gt;"?",'Choix pédagogiques'!$C$5&lt;&gt;"?",AC874&lt;&gt;""),(AC874-'Choix pédagogiques'!$C$4)/('Choix pédagogiques'!$C$5-'Choix pédagogiques'!$C$4),"")</f>
        <v/>
      </c>
      <c r="AY874" s="55" t="str">
        <f aca="false">IF(AND('Choix pédagogiques'!$C$4&lt;&gt;"?",'Choix pédagogiques'!$C$5&lt;&gt;"?",AD874&lt;&gt;""),(AD874-'Choix pédagogiques'!$C$4)/('Choix pédagogiques'!$C$5-'Choix pédagogiques'!$C$4),"")</f>
        <v/>
      </c>
      <c r="AZ874" s="53" t="str">
        <f aca="false">IF($J874&lt;&gt;"",$J874,"")</f>
        <v/>
      </c>
      <c r="BA874" s="52" t="str">
        <f aca="false">IF($A874&lt;&gt;"",$A874,"")</f>
        <v>Apprenant 862</v>
      </c>
      <c r="BB874" s="55" t="str">
        <f aca="false">IF(AND($AR874&lt;&gt;"",$AS874&lt;&gt;""),$AS874-$AR874,"")</f>
        <v/>
      </c>
      <c r="BC874" s="55" t="str">
        <f aca="false">IF(AND($AR874&lt;&gt;"",$AT874&lt;&gt;""),$AT874-$AR874,"")</f>
        <v/>
      </c>
      <c r="BD874" s="55" t="str">
        <f aca="false">IF(AND($AS874&lt;&gt;"",$AT874&lt;&gt;""),$AT874-$AS874,"")</f>
        <v/>
      </c>
      <c r="BE874" s="53" t="str">
        <f aca="false">IF($E874&lt;&gt;"",$E874,"")</f>
        <v/>
      </c>
      <c r="BF874" s="52" t="str">
        <f aca="false">IF($F874&lt;&gt;"",$F874,"")</f>
        <v>Apprenant 862 ou 862'</v>
      </c>
      <c r="BG874" s="55" t="str">
        <f aca="false">IF(AND($AW874&lt;&gt;"",$AX874&lt;&gt;""),$AX874-$AW874,"")</f>
        <v/>
      </c>
      <c r="BH874" s="55" t="str">
        <f aca="false">IF(AND($AW874&lt;&gt;"",$AY874&lt;&gt;""),$AY874-$AW874,"")</f>
        <v/>
      </c>
      <c r="BI874" s="55" t="str">
        <f aca="false">IF(AND($AX874&lt;&gt;"",$AY874&lt;&gt;""),$AY874-$AX874,"")</f>
        <v/>
      </c>
      <c r="BJ874" s="53" t="str">
        <f aca="false">IF($J874&lt;&gt;"",$J874,"")</f>
        <v/>
      </c>
      <c r="BL874" s="52"/>
      <c r="BM874" s="52" t="str">
        <f aca="false">IF(OR(COUNT(B874:D1873)=0,AND('Choix pédagogiques'!$C$3&lt;&gt;1,'Choix pédagogiques'!$C$3&lt;&gt;2)),"",IF(AND(OR('Choix pédagogiques'!$C$3=1,'Choix pédagogiques'!$C$3=2),$B874&lt;&gt;"",$C874&lt;&gt;"",$D874&lt;&gt;""),1,0))</f>
        <v/>
      </c>
      <c r="BN874" s="52" t="str">
        <f aca="false">IF(OR(COUNT(G874:I1873)=0,AND('Choix pédagogiques'!$C$3&lt;&gt;1,'Choix pédagogiques'!$C$3&lt;&gt;2)),"",IF(AND(OR('Choix pédagogiques'!$C$3=1,'Choix pédagogiques'!$C$3=2),AND($G874&lt;&gt;"",$H874&lt;&gt;"",$I874&lt;&gt;"")),1,0))</f>
        <v/>
      </c>
      <c r="BO874" s="52" t="str">
        <f aca="false">IF(OR(COUNT(B874:D1873)=0,COUNT(G874:I1873)=0,'Choix pédagogiques'!C$3&lt;&gt;3),"",IF(AND('Choix pédagogiques'!$C$3=3,$B874&lt;&gt;"",$C874&lt;&gt;"",$D874&lt;&gt;"",$G874&lt;&gt;"",$H874&lt;&gt;"",$I874&lt;&gt;""),1,0))</f>
        <v/>
      </c>
      <c r="BR874" s="52" t="n">
        <v>890</v>
      </c>
      <c r="BS874" s="52" t="n">
        <v>1304</v>
      </c>
    </row>
    <row r="875" s="54" customFormat="true" ht="18" hidden="false" customHeight="true" outlineLevel="0" collapsed="false">
      <c r="A875" s="57" t="s">
        <v>1681</v>
      </c>
      <c r="B875" s="51"/>
      <c r="C875" s="51"/>
      <c r="D875" s="51"/>
      <c r="E875" s="51"/>
      <c r="F875" s="57" t="s">
        <v>1682</v>
      </c>
      <c r="G875" s="51"/>
      <c r="H875" s="51"/>
      <c r="I875" s="51"/>
      <c r="J875" s="51"/>
      <c r="K875" s="52" t="str">
        <f aca="false">IF($A875&lt;&gt;"",$A875,"")</f>
        <v>Apprenant 863</v>
      </c>
      <c r="L875" s="53" t="str">
        <f aca="false">IF(AND($B875&lt;&gt;"",$C875&lt;&gt;""),$C875-$B875,"")</f>
        <v/>
      </c>
      <c r="M875" s="53" t="str">
        <f aca="false">IF(AND($B875&lt;&gt;"",$D875&lt;&gt;""),$D875-$B875,"")</f>
        <v/>
      </c>
      <c r="N875" s="53" t="str">
        <f aca="false">IF(AND($C875&lt;&gt;"",$D875&lt;&gt;""),$D875-$C875,"")</f>
        <v/>
      </c>
      <c r="O875" s="53" t="str">
        <f aca="false">IF($E875&lt;&gt;"",$E875,"")</f>
        <v/>
      </c>
      <c r="P875" s="52" t="str">
        <f aca="false">IF($F875&lt;&gt;"",$F875,"")</f>
        <v>Apprenant 863 ou 863'</v>
      </c>
      <c r="Q875" s="53" t="str">
        <f aca="false">IF(AND($G875&lt;&gt;"",$H875&lt;&gt;""),$H875-$G875,"")</f>
        <v/>
      </c>
      <c r="R875" s="53" t="str">
        <f aca="false">IF(AND($G875&lt;&gt;"",$I875&lt;&gt;""),$I875-$G875,"")</f>
        <v/>
      </c>
      <c r="S875" s="53" t="str">
        <f aca="false">IF(AND($H875&lt;&gt;"",$I875&lt;&gt;""),$I875-$H875,"")</f>
        <v/>
      </c>
      <c r="T875" s="53" t="str">
        <f aca="false">IF($J875&lt;&gt;"",$J875,"")</f>
        <v/>
      </c>
      <c r="V875" s="52" t="str">
        <f aca="false">IF($A875&lt;&gt;"",$A875,"")</f>
        <v>Apprenant 863</v>
      </c>
      <c r="W875" s="53" t="str">
        <f aca="false">IF(AND(OR('Choix pédagogiques'!$C$3=1,'Choix pédagogiques'!$C$3=2),$BM875=1),B875,IF(AND('Choix pédagogiques'!$C$3=3,$BO875=1),B875,""))</f>
        <v/>
      </c>
      <c r="X875" s="53" t="str">
        <f aca="false">IF(AND(OR('Choix pédagogiques'!$C$3=1,'Choix pédagogiques'!$C$3=2),$BM875=1),C875,IF(AND('Choix pédagogiques'!$C$3=3,$BO875=1),C875,""))</f>
        <v/>
      </c>
      <c r="Y875" s="53" t="str">
        <f aca="false">IF(AND(OR('Choix pédagogiques'!$C$3=1,'Choix pédagogiques'!$C$3=2),$BM875=1),D875,IF(AND('Choix pédagogiques'!$C$3=3,$BO875=1),D875,""))</f>
        <v/>
      </c>
      <c r="Z875" s="53" t="str">
        <f aca="false">IF($E875&lt;&gt;"",$E875,"")</f>
        <v/>
      </c>
      <c r="AA875" s="52" t="str">
        <f aca="false">IF($F875&lt;&gt;"",$F875,"")</f>
        <v>Apprenant 863 ou 863'</v>
      </c>
      <c r="AB875" s="53" t="str">
        <f aca="false">IF(AND(OR('Choix pédagogiques'!$C$3=1,'Choix pédagogiques'!$C$3=2),$BN875=1),G875,IF(AND('Choix pédagogiques'!$C$3=3,$BO875=1),G875,""))</f>
        <v/>
      </c>
      <c r="AC875" s="53" t="str">
        <f aca="false">IF(AND(OR('Choix pédagogiques'!$C$3=1,'Choix pédagogiques'!$C$3=2),$BN875=1),H875,IF(AND('Choix pédagogiques'!$C$3=3,$BO875=1),H875,""))</f>
        <v/>
      </c>
      <c r="AD875" s="53" t="str">
        <f aca="false">IF(AND(OR('Choix pédagogiques'!$C$3=1,'Choix pédagogiques'!$C$3=2),$BN875=1),I875,IF(AND('Choix pédagogiques'!$C$3=3,$BO875=1),I875,""))</f>
        <v/>
      </c>
      <c r="AE875" s="53" t="str">
        <f aca="false">IF($J875&lt;&gt;"",$J875,"")</f>
        <v/>
      </c>
      <c r="AF875" s="52" t="str">
        <f aca="false">IF($A875&lt;&gt;"",$A875,"")</f>
        <v>Apprenant 863</v>
      </c>
      <c r="AG875" s="53" t="str">
        <f aca="false">IF(AND($W875&lt;&gt;"",$X875&lt;&gt;""),$X875-$W875,"")</f>
        <v/>
      </c>
      <c r="AH875" s="53" t="str">
        <f aca="false">IF(AND($W875&lt;&gt;"",$Y875&lt;&gt;""),$Y875-$W875,"")</f>
        <v/>
      </c>
      <c r="AI875" s="53" t="str">
        <f aca="false">IF(AND($X875&lt;&gt;"",$Y875&lt;&gt;""),$Y875-$X875,"")</f>
        <v/>
      </c>
      <c r="AJ875" s="53" t="str">
        <f aca="false">IF($E875&lt;&gt;"",$E875,"")</f>
        <v/>
      </c>
      <c r="AK875" s="52" t="str">
        <f aca="false">IF($F875&lt;&gt;"",$F875,"")</f>
        <v>Apprenant 863 ou 863'</v>
      </c>
      <c r="AL875" s="53" t="str">
        <f aca="false">IF(AND($AB875&lt;&gt;"",$AC875&lt;&gt;""),$AC875-$AB875,"")</f>
        <v/>
      </c>
      <c r="AM875" s="53" t="str">
        <f aca="false">IF(AND($AB875&lt;&gt;"",$AD875&lt;&gt;""),$AD875-$AB875,"")</f>
        <v/>
      </c>
      <c r="AN875" s="53" t="str">
        <f aca="false">IF(AND($AC875&lt;&gt;"",$AD875&lt;&gt;""),$AD875-$AC875,"")</f>
        <v/>
      </c>
      <c r="AO875" s="53" t="str">
        <f aca="false">IF($J875&lt;&gt;"",$J875,"")</f>
        <v/>
      </c>
      <c r="AQ875" s="52" t="str">
        <f aca="false">IF($A875&lt;&gt;"",$A875,"")</f>
        <v>Apprenant 863</v>
      </c>
      <c r="AR875" s="55" t="str">
        <f aca="false">IF(AND('Choix pédagogiques'!$C$4&lt;&gt;"?",'Choix pédagogiques'!$C$5&lt;&gt;"?",W875&lt;&gt;""),(W875-'Choix pédagogiques'!$C$4)/('Choix pédagogiques'!$C$5-'Choix pédagogiques'!$C$4),"")</f>
        <v/>
      </c>
      <c r="AS875" s="55" t="str">
        <f aca="false">IF(AND('Choix pédagogiques'!$C$4&lt;&gt;"?",'Choix pédagogiques'!$C$5&lt;&gt;"?",X875&lt;&gt;""),(X875-'Choix pédagogiques'!$C$4)/('Choix pédagogiques'!$C$5-'Choix pédagogiques'!$C$4),"")</f>
        <v/>
      </c>
      <c r="AT875" s="55" t="str">
        <f aca="false">IF(AND('Choix pédagogiques'!$C$4&lt;&gt;"?",'Choix pédagogiques'!$C$5&lt;&gt;"?",Y875&lt;&gt;""),(Y875-'Choix pédagogiques'!$C$4)/('Choix pédagogiques'!$C$5-'Choix pédagogiques'!$C$4),"")</f>
        <v/>
      </c>
      <c r="AU875" s="53" t="str">
        <f aca="false">IF($E875&lt;&gt;"",$E875,"")</f>
        <v/>
      </c>
      <c r="AV875" s="52" t="str">
        <f aca="false">IF($F875&lt;&gt;"",$F875,"")</f>
        <v>Apprenant 863 ou 863'</v>
      </c>
      <c r="AW875" s="55" t="str">
        <f aca="false">IF(AND('Choix pédagogiques'!$C$4&lt;&gt;"?",'Choix pédagogiques'!$C$5&lt;&gt;"?",AB875&lt;&gt;""),(AB875-'Choix pédagogiques'!$C$4)/('Choix pédagogiques'!$C$5-'Choix pédagogiques'!$C$4),"")</f>
        <v/>
      </c>
      <c r="AX875" s="55" t="str">
        <f aca="false">IF(AND('Choix pédagogiques'!$C$4&lt;&gt;"?",'Choix pédagogiques'!$C$5&lt;&gt;"?",AC875&lt;&gt;""),(AC875-'Choix pédagogiques'!$C$4)/('Choix pédagogiques'!$C$5-'Choix pédagogiques'!$C$4),"")</f>
        <v/>
      </c>
      <c r="AY875" s="55" t="str">
        <f aca="false">IF(AND('Choix pédagogiques'!$C$4&lt;&gt;"?",'Choix pédagogiques'!$C$5&lt;&gt;"?",AD875&lt;&gt;""),(AD875-'Choix pédagogiques'!$C$4)/('Choix pédagogiques'!$C$5-'Choix pédagogiques'!$C$4),"")</f>
        <v/>
      </c>
      <c r="AZ875" s="53" t="str">
        <f aca="false">IF($J875&lt;&gt;"",$J875,"")</f>
        <v/>
      </c>
      <c r="BA875" s="52" t="str">
        <f aca="false">IF($A875&lt;&gt;"",$A875,"")</f>
        <v>Apprenant 863</v>
      </c>
      <c r="BB875" s="55" t="str">
        <f aca="false">IF(AND($AR875&lt;&gt;"",$AS875&lt;&gt;""),$AS875-$AR875,"")</f>
        <v/>
      </c>
      <c r="BC875" s="55" t="str">
        <f aca="false">IF(AND($AR875&lt;&gt;"",$AT875&lt;&gt;""),$AT875-$AR875,"")</f>
        <v/>
      </c>
      <c r="BD875" s="55" t="str">
        <f aca="false">IF(AND($AS875&lt;&gt;"",$AT875&lt;&gt;""),$AT875-$AS875,"")</f>
        <v/>
      </c>
      <c r="BE875" s="53" t="str">
        <f aca="false">IF($E875&lt;&gt;"",$E875,"")</f>
        <v/>
      </c>
      <c r="BF875" s="52" t="str">
        <f aca="false">IF($F875&lt;&gt;"",$F875,"")</f>
        <v>Apprenant 863 ou 863'</v>
      </c>
      <c r="BG875" s="55" t="str">
        <f aca="false">IF(AND($AW875&lt;&gt;"",$AX875&lt;&gt;""),$AX875-$AW875,"")</f>
        <v/>
      </c>
      <c r="BH875" s="55" t="str">
        <f aca="false">IF(AND($AW875&lt;&gt;"",$AY875&lt;&gt;""),$AY875-$AW875,"")</f>
        <v/>
      </c>
      <c r="BI875" s="55" t="str">
        <f aca="false">IF(AND($AX875&lt;&gt;"",$AY875&lt;&gt;""),$AY875-$AX875,"")</f>
        <v/>
      </c>
      <c r="BJ875" s="53" t="str">
        <f aca="false">IF($J875&lt;&gt;"",$J875,"")</f>
        <v/>
      </c>
      <c r="BL875" s="52"/>
      <c r="BM875" s="52" t="str">
        <f aca="false">IF(OR(COUNT(B875:D1874)=0,AND('Choix pédagogiques'!$C$3&lt;&gt;1,'Choix pédagogiques'!$C$3&lt;&gt;2)),"",IF(AND(OR('Choix pédagogiques'!$C$3=1,'Choix pédagogiques'!$C$3=2),$B875&lt;&gt;"",$C875&lt;&gt;"",$D875&lt;&gt;""),1,0))</f>
        <v/>
      </c>
      <c r="BN875" s="52" t="str">
        <f aca="false">IF(OR(COUNT(G875:I1874)=0,AND('Choix pédagogiques'!$C$3&lt;&gt;1,'Choix pédagogiques'!$C$3&lt;&gt;2)),"",IF(AND(OR('Choix pédagogiques'!$C$3=1,'Choix pédagogiques'!$C$3=2),AND($G875&lt;&gt;"",$H875&lt;&gt;"",$I875&lt;&gt;"")),1,0))</f>
        <v/>
      </c>
      <c r="BO875" s="52" t="str">
        <f aca="false">IF(OR(COUNT(B875:D1874)=0,COUNT(G875:I1874)=0,'Choix pédagogiques'!C$3&lt;&gt;3),"",IF(AND('Choix pédagogiques'!$C$3=3,$B875&lt;&gt;"",$C875&lt;&gt;"",$D875&lt;&gt;"",$G875&lt;&gt;"",$H875&lt;&gt;"",$I875&lt;&gt;""),1,0))</f>
        <v/>
      </c>
      <c r="BR875" s="52" t="n">
        <v>462</v>
      </c>
      <c r="BS875" s="52" t="n">
        <v>1238</v>
      </c>
    </row>
    <row r="876" s="54" customFormat="true" ht="18" hidden="false" customHeight="true" outlineLevel="0" collapsed="false">
      <c r="A876" s="57" t="s">
        <v>1683</v>
      </c>
      <c r="B876" s="51"/>
      <c r="C876" s="51"/>
      <c r="D876" s="51"/>
      <c r="E876" s="51"/>
      <c r="F876" s="57" t="s">
        <v>1684</v>
      </c>
      <c r="G876" s="51"/>
      <c r="H876" s="51"/>
      <c r="I876" s="51"/>
      <c r="J876" s="51"/>
      <c r="K876" s="52" t="str">
        <f aca="false">IF($A876&lt;&gt;"",$A876,"")</f>
        <v>Apprenant 864</v>
      </c>
      <c r="L876" s="53" t="str">
        <f aca="false">IF(AND($B876&lt;&gt;"",$C876&lt;&gt;""),$C876-$B876,"")</f>
        <v/>
      </c>
      <c r="M876" s="53" t="str">
        <f aca="false">IF(AND($B876&lt;&gt;"",$D876&lt;&gt;""),$D876-$B876,"")</f>
        <v/>
      </c>
      <c r="N876" s="53" t="str">
        <f aca="false">IF(AND($C876&lt;&gt;"",$D876&lt;&gt;""),$D876-$C876,"")</f>
        <v/>
      </c>
      <c r="O876" s="53" t="str">
        <f aca="false">IF($E876&lt;&gt;"",$E876,"")</f>
        <v/>
      </c>
      <c r="P876" s="52" t="str">
        <f aca="false">IF($F876&lt;&gt;"",$F876,"")</f>
        <v>Apprenant 864 ou 864'</v>
      </c>
      <c r="Q876" s="53" t="str">
        <f aca="false">IF(AND($G876&lt;&gt;"",$H876&lt;&gt;""),$H876-$G876,"")</f>
        <v/>
      </c>
      <c r="R876" s="53" t="str">
        <f aca="false">IF(AND($G876&lt;&gt;"",$I876&lt;&gt;""),$I876-$G876,"")</f>
        <v/>
      </c>
      <c r="S876" s="53" t="str">
        <f aca="false">IF(AND($H876&lt;&gt;"",$I876&lt;&gt;""),$I876-$H876,"")</f>
        <v/>
      </c>
      <c r="T876" s="53" t="str">
        <f aca="false">IF($J876&lt;&gt;"",$J876,"")</f>
        <v/>
      </c>
      <c r="V876" s="52" t="str">
        <f aca="false">IF($A876&lt;&gt;"",$A876,"")</f>
        <v>Apprenant 864</v>
      </c>
      <c r="W876" s="53" t="str">
        <f aca="false">IF(AND(OR('Choix pédagogiques'!$C$3=1,'Choix pédagogiques'!$C$3=2),$BM876=1),B876,IF(AND('Choix pédagogiques'!$C$3=3,$BO876=1),B876,""))</f>
        <v/>
      </c>
      <c r="X876" s="53" t="str">
        <f aca="false">IF(AND(OR('Choix pédagogiques'!$C$3=1,'Choix pédagogiques'!$C$3=2),$BM876=1),C876,IF(AND('Choix pédagogiques'!$C$3=3,$BO876=1),C876,""))</f>
        <v/>
      </c>
      <c r="Y876" s="53" t="str">
        <f aca="false">IF(AND(OR('Choix pédagogiques'!$C$3=1,'Choix pédagogiques'!$C$3=2),$BM876=1),D876,IF(AND('Choix pédagogiques'!$C$3=3,$BO876=1),D876,""))</f>
        <v/>
      </c>
      <c r="Z876" s="53" t="str">
        <f aca="false">IF($E876&lt;&gt;"",$E876,"")</f>
        <v/>
      </c>
      <c r="AA876" s="52" t="str">
        <f aca="false">IF($F876&lt;&gt;"",$F876,"")</f>
        <v>Apprenant 864 ou 864'</v>
      </c>
      <c r="AB876" s="53" t="str">
        <f aca="false">IF(AND(OR('Choix pédagogiques'!$C$3=1,'Choix pédagogiques'!$C$3=2),$BN876=1),G876,IF(AND('Choix pédagogiques'!$C$3=3,$BO876=1),G876,""))</f>
        <v/>
      </c>
      <c r="AC876" s="53" t="str">
        <f aca="false">IF(AND(OR('Choix pédagogiques'!$C$3=1,'Choix pédagogiques'!$C$3=2),$BN876=1),H876,IF(AND('Choix pédagogiques'!$C$3=3,$BO876=1),H876,""))</f>
        <v/>
      </c>
      <c r="AD876" s="53" t="str">
        <f aca="false">IF(AND(OR('Choix pédagogiques'!$C$3=1,'Choix pédagogiques'!$C$3=2),$BN876=1),I876,IF(AND('Choix pédagogiques'!$C$3=3,$BO876=1),I876,""))</f>
        <v/>
      </c>
      <c r="AE876" s="53" t="str">
        <f aca="false">IF($J876&lt;&gt;"",$J876,"")</f>
        <v/>
      </c>
      <c r="AF876" s="52" t="str">
        <f aca="false">IF($A876&lt;&gt;"",$A876,"")</f>
        <v>Apprenant 864</v>
      </c>
      <c r="AG876" s="53" t="str">
        <f aca="false">IF(AND($W876&lt;&gt;"",$X876&lt;&gt;""),$X876-$W876,"")</f>
        <v/>
      </c>
      <c r="AH876" s="53" t="str">
        <f aca="false">IF(AND($W876&lt;&gt;"",$Y876&lt;&gt;""),$Y876-$W876,"")</f>
        <v/>
      </c>
      <c r="AI876" s="53" t="str">
        <f aca="false">IF(AND($X876&lt;&gt;"",$Y876&lt;&gt;""),$Y876-$X876,"")</f>
        <v/>
      </c>
      <c r="AJ876" s="53" t="str">
        <f aca="false">IF($E876&lt;&gt;"",$E876,"")</f>
        <v/>
      </c>
      <c r="AK876" s="52" t="str">
        <f aca="false">IF($F876&lt;&gt;"",$F876,"")</f>
        <v>Apprenant 864 ou 864'</v>
      </c>
      <c r="AL876" s="53" t="str">
        <f aca="false">IF(AND($AB876&lt;&gt;"",$AC876&lt;&gt;""),$AC876-$AB876,"")</f>
        <v/>
      </c>
      <c r="AM876" s="53" t="str">
        <f aca="false">IF(AND($AB876&lt;&gt;"",$AD876&lt;&gt;""),$AD876-$AB876,"")</f>
        <v/>
      </c>
      <c r="AN876" s="53" t="str">
        <f aca="false">IF(AND($AC876&lt;&gt;"",$AD876&lt;&gt;""),$AD876-$AC876,"")</f>
        <v/>
      </c>
      <c r="AO876" s="53" t="str">
        <f aca="false">IF($J876&lt;&gt;"",$J876,"")</f>
        <v/>
      </c>
      <c r="AQ876" s="52" t="str">
        <f aca="false">IF($A876&lt;&gt;"",$A876,"")</f>
        <v>Apprenant 864</v>
      </c>
      <c r="AR876" s="55" t="str">
        <f aca="false">IF(AND('Choix pédagogiques'!$C$4&lt;&gt;"?",'Choix pédagogiques'!$C$5&lt;&gt;"?",W876&lt;&gt;""),(W876-'Choix pédagogiques'!$C$4)/('Choix pédagogiques'!$C$5-'Choix pédagogiques'!$C$4),"")</f>
        <v/>
      </c>
      <c r="AS876" s="55" t="str">
        <f aca="false">IF(AND('Choix pédagogiques'!$C$4&lt;&gt;"?",'Choix pédagogiques'!$C$5&lt;&gt;"?",X876&lt;&gt;""),(X876-'Choix pédagogiques'!$C$4)/('Choix pédagogiques'!$C$5-'Choix pédagogiques'!$C$4),"")</f>
        <v/>
      </c>
      <c r="AT876" s="55" t="str">
        <f aca="false">IF(AND('Choix pédagogiques'!$C$4&lt;&gt;"?",'Choix pédagogiques'!$C$5&lt;&gt;"?",Y876&lt;&gt;""),(Y876-'Choix pédagogiques'!$C$4)/('Choix pédagogiques'!$C$5-'Choix pédagogiques'!$C$4),"")</f>
        <v/>
      </c>
      <c r="AU876" s="53" t="str">
        <f aca="false">IF($E876&lt;&gt;"",$E876,"")</f>
        <v/>
      </c>
      <c r="AV876" s="52" t="str">
        <f aca="false">IF($F876&lt;&gt;"",$F876,"")</f>
        <v>Apprenant 864 ou 864'</v>
      </c>
      <c r="AW876" s="55" t="str">
        <f aca="false">IF(AND('Choix pédagogiques'!$C$4&lt;&gt;"?",'Choix pédagogiques'!$C$5&lt;&gt;"?",AB876&lt;&gt;""),(AB876-'Choix pédagogiques'!$C$4)/('Choix pédagogiques'!$C$5-'Choix pédagogiques'!$C$4),"")</f>
        <v/>
      </c>
      <c r="AX876" s="55" t="str">
        <f aca="false">IF(AND('Choix pédagogiques'!$C$4&lt;&gt;"?",'Choix pédagogiques'!$C$5&lt;&gt;"?",AC876&lt;&gt;""),(AC876-'Choix pédagogiques'!$C$4)/('Choix pédagogiques'!$C$5-'Choix pédagogiques'!$C$4),"")</f>
        <v/>
      </c>
      <c r="AY876" s="55" t="str">
        <f aca="false">IF(AND('Choix pédagogiques'!$C$4&lt;&gt;"?",'Choix pédagogiques'!$C$5&lt;&gt;"?",AD876&lt;&gt;""),(AD876-'Choix pédagogiques'!$C$4)/('Choix pédagogiques'!$C$5-'Choix pédagogiques'!$C$4),"")</f>
        <v/>
      </c>
      <c r="AZ876" s="53" t="str">
        <f aca="false">IF($J876&lt;&gt;"",$J876,"")</f>
        <v/>
      </c>
      <c r="BA876" s="52" t="str">
        <f aca="false">IF($A876&lt;&gt;"",$A876,"")</f>
        <v>Apprenant 864</v>
      </c>
      <c r="BB876" s="55" t="str">
        <f aca="false">IF(AND($AR876&lt;&gt;"",$AS876&lt;&gt;""),$AS876-$AR876,"")</f>
        <v/>
      </c>
      <c r="BC876" s="55" t="str">
        <f aca="false">IF(AND($AR876&lt;&gt;"",$AT876&lt;&gt;""),$AT876-$AR876,"")</f>
        <v/>
      </c>
      <c r="BD876" s="55" t="str">
        <f aca="false">IF(AND($AS876&lt;&gt;"",$AT876&lt;&gt;""),$AT876-$AS876,"")</f>
        <v/>
      </c>
      <c r="BE876" s="53" t="str">
        <f aca="false">IF($E876&lt;&gt;"",$E876,"")</f>
        <v/>
      </c>
      <c r="BF876" s="52" t="str">
        <f aca="false">IF($F876&lt;&gt;"",$F876,"")</f>
        <v>Apprenant 864 ou 864'</v>
      </c>
      <c r="BG876" s="55" t="str">
        <f aca="false">IF(AND($AW876&lt;&gt;"",$AX876&lt;&gt;""),$AX876-$AW876,"")</f>
        <v/>
      </c>
      <c r="BH876" s="55" t="str">
        <f aca="false">IF(AND($AW876&lt;&gt;"",$AY876&lt;&gt;""),$AY876-$AW876,"")</f>
        <v/>
      </c>
      <c r="BI876" s="55" t="str">
        <f aca="false">IF(AND($AX876&lt;&gt;"",$AY876&lt;&gt;""),$AY876-$AX876,"")</f>
        <v/>
      </c>
      <c r="BJ876" s="53" t="str">
        <f aca="false">IF($J876&lt;&gt;"",$J876,"")</f>
        <v/>
      </c>
      <c r="BL876" s="52"/>
      <c r="BM876" s="52" t="str">
        <f aca="false">IF(OR(COUNT(B876:D1875)=0,AND('Choix pédagogiques'!$C$3&lt;&gt;1,'Choix pédagogiques'!$C$3&lt;&gt;2)),"",IF(AND(OR('Choix pédagogiques'!$C$3=1,'Choix pédagogiques'!$C$3=2),$B876&lt;&gt;"",$C876&lt;&gt;"",$D876&lt;&gt;""),1,0))</f>
        <v/>
      </c>
      <c r="BN876" s="52" t="str">
        <f aca="false">IF(OR(COUNT(G876:I1875)=0,AND('Choix pédagogiques'!$C$3&lt;&gt;1,'Choix pédagogiques'!$C$3&lt;&gt;2)),"",IF(AND(OR('Choix pédagogiques'!$C$3=1,'Choix pédagogiques'!$C$3=2),AND($G876&lt;&gt;"",$H876&lt;&gt;"",$I876&lt;&gt;"")),1,0))</f>
        <v/>
      </c>
      <c r="BO876" s="52" t="str">
        <f aca="false">IF(OR(COUNT(B876:D1875)=0,COUNT(G876:I1875)=0,'Choix pédagogiques'!C$3&lt;&gt;3),"",IF(AND('Choix pédagogiques'!$C$3=3,$B876&lt;&gt;"",$C876&lt;&gt;"",$D876&lt;&gt;"",$G876&lt;&gt;"",$H876&lt;&gt;"",$I876&lt;&gt;""),1,0))</f>
        <v/>
      </c>
      <c r="BR876" s="52" t="n">
        <v>674</v>
      </c>
      <c r="BS876" s="52" t="n">
        <v>1391</v>
      </c>
    </row>
    <row r="877" s="54" customFormat="true" ht="18" hidden="false" customHeight="true" outlineLevel="0" collapsed="false">
      <c r="A877" s="57" t="s">
        <v>1685</v>
      </c>
      <c r="B877" s="51"/>
      <c r="C877" s="51"/>
      <c r="D877" s="51"/>
      <c r="E877" s="51"/>
      <c r="F877" s="57" t="s">
        <v>1686</v>
      </c>
      <c r="G877" s="51"/>
      <c r="H877" s="51"/>
      <c r="I877" s="51"/>
      <c r="J877" s="51"/>
      <c r="K877" s="52" t="str">
        <f aca="false">IF($A877&lt;&gt;"",$A877,"")</f>
        <v>Apprenant 865</v>
      </c>
      <c r="L877" s="53" t="str">
        <f aca="false">IF(AND($B877&lt;&gt;"",$C877&lt;&gt;""),$C877-$B877,"")</f>
        <v/>
      </c>
      <c r="M877" s="53" t="str">
        <f aca="false">IF(AND($B877&lt;&gt;"",$D877&lt;&gt;""),$D877-$B877,"")</f>
        <v/>
      </c>
      <c r="N877" s="53" t="str">
        <f aca="false">IF(AND($C877&lt;&gt;"",$D877&lt;&gt;""),$D877-$C877,"")</f>
        <v/>
      </c>
      <c r="O877" s="53" t="str">
        <f aca="false">IF($E877&lt;&gt;"",$E877,"")</f>
        <v/>
      </c>
      <c r="P877" s="52" t="str">
        <f aca="false">IF($F877&lt;&gt;"",$F877,"")</f>
        <v>Apprenant 865 ou 865'</v>
      </c>
      <c r="Q877" s="53" t="str">
        <f aca="false">IF(AND($G877&lt;&gt;"",$H877&lt;&gt;""),$H877-$G877,"")</f>
        <v/>
      </c>
      <c r="R877" s="53" t="str">
        <f aca="false">IF(AND($G877&lt;&gt;"",$I877&lt;&gt;""),$I877-$G877,"")</f>
        <v/>
      </c>
      <c r="S877" s="53" t="str">
        <f aca="false">IF(AND($H877&lt;&gt;"",$I877&lt;&gt;""),$I877-$H877,"")</f>
        <v/>
      </c>
      <c r="T877" s="53" t="str">
        <f aca="false">IF($J877&lt;&gt;"",$J877,"")</f>
        <v/>
      </c>
      <c r="V877" s="52" t="str">
        <f aca="false">IF($A877&lt;&gt;"",$A877,"")</f>
        <v>Apprenant 865</v>
      </c>
      <c r="W877" s="53" t="str">
        <f aca="false">IF(AND(OR('Choix pédagogiques'!$C$3=1,'Choix pédagogiques'!$C$3=2),$BM877=1),B877,IF(AND('Choix pédagogiques'!$C$3=3,$BO877=1),B877,""))</f>
        <v/>
      </c>
      <c r="X877" s="53" t="str">
        <f aca="false">IF(AND(OR('Choix pédagogiques'!$C$3=1,'Choix pédagogiques'!$C$3=2),$BM877=1),C877,IF(AND('Choix pédagogiques'!$C$3=3,$BO877=1),C877,""))</f>
        <v/>
      </c>
      <c r="Y877" s="53" t="str">
        <f aca="false">IF(AND(OR('Choix pédagogiques'!$C$3=1,'Choix pédagogiques'!$C$3=2),$BM877=1),D877,IF(AND('Choix pédagogiques'!$C$3=3,$BO877=1),D877,""))</f>
        <v/>
      </c>
      <c r="Z877" s="53" t="str">
        <f aca="false">IF($E877&lt;&gt;"",$E877,"")</f>
        <v/>
      </c>
      <c r="AA877" s="52" t="str">
        <f aca="false">IF($F877&lt;&gt;"",$F877,"")</f>
        <v>Apprenant 865 ou 865'</v>
      </c>
      <c r="AB877" s="53" t="str">
        <f aca="false">IF(AND(OR('Choix pédagogiques'!$C$3=1,'Choix pédagogiques'!$C$3=2),$BN877=1),G877,IF(AND('Choix pédagogiques'!$C$3=3,$BO877=1),G877,""))</f>
        <v/>
      </c>
      <c r="AC877" s="53" t="str">
        <f aca="false">IF(AND(OR('Choix pédagogiques'!$C$3=1,'Choix pédagogiques'!$C$3=2),$BN877=1),H877,IF(AND('Choix pédagogiques'!$C$3=3,$BO877=1),H877,""))</f>
        <v/>
      </c>
      <c r="AD877" s="53" t="str">
        <f aca="false">IF(AND(OR('Choix pédagogiques'!$C$3=1,'Choix pédagogiques'!$C$3=2),$BN877=1),I877,IF(AND('Choix pédagogiques'!$C$3=3,$BO877=1),I877,""))</f>
        <v/>
      </c>
      <c r="AE877" s="53" t="str">
        <f aca="false">IF($J877&lt;&gt;"",$J877,"")</f>
        <v/>
      </c>
      <c r="AF877" s="52" t="str">
        <f aca="false">IF($A877&lt;&gt;"",$A877,"")</f>
        <v>Apprenant 865</v>
      </c>
      <c r="AG877" s="53" t="str">
        <f aca="false">IF(AND($W877&lt;&gt;"",$X877&lt;&gt;""),$X877-$W877,"")</f>
        <v/>
      </c>
      <c r="AH877" s="53" t="str">
        <f aca="false">IF(AND($W877&lt;&gt;"",$Y877&lt;&gt;""),$Y877-$W877,"")</f>
        <v/>
      </c>
      <c r="AI877" s="53" t="str">
        <f aca="false">IF(AND($X877&lt;&gt;"",$Y877&lt;&gt;""),$Y877-$X877,"")</f>
        <v/>
      </c>
      <c r="AJ877" s="53" t="str">
        <f aca="false">IF($E877&lt;&gt;"",$E877,"")</f>
        <v/>
      </c>
      <c r="AK877" s="52" t="str">
        <f aca="false">IF($F877&lt;&gt;"",$F877,"")</f>
        <v>Apprenant 865 ou 865'</v>
      </c>
      <c r="AL877" s="53" t="str">
        <f aca="false">IF(AND($AB877&lt;&gt;"",$AC877&lt;&gt;""),$AC877-$AB877,"")</f>
        <v/>
      </c>
      <c r="AM877" s="53" t="str">
        <f aca="false">IF(AND($AB877&lt;&gt;"",$AD877&lt;&gt;""),$AD877-$AB877,"")</f>
        <v/>
      </c>
      <c r="AN877" s="53" t="str">
        <f aca="false">IF(AND($AC877&lt;&gt;"",$AD877&lt;&gt;""),$AD877-$AC877,"")</f>
        <v/>
      </c>
      <c r="AO877" s="53" t="str">
        <f aca="false">IF($J877&lt;&gt;"",$J877,"")</f>
        <v/>
      </c>
      <c r="AQ877" s="52" t="str">
        <f aca="false">IF($A877&lt;&gt;"",$A877,"")</f>
        <v>Apprenant 865</v>
      </c>
      <c r="AR877" s="55" t="str">
        <f aca="false">IF(AND('Choix pédagogiques'!$C$4&lt;&gt;"?",'Choix pédagogiques'!$C$5&lt;&gt;"?",W877&lt;&gt;""),(W877-'Choix pédagogiques'!$C$4)/('Choix pédagogiques'!$C$5-'Choix pédagogiques'!$C$4),"")</f>
        <v/>
      </c>
      <c r="AS877" s="55" t="str">
        <f aca="false">IF(AND('Choix pédagogiques'!$C$4&lt;&gt;"?",'Choix pédagogiques'!$C$5&lt;&gt;"?",X877&lt;&gt;""),(X877-'Choix pédagogiques'!$C$4)/('Choix pédagogiques'!$C$5-'Choix pédagogiques'!$C$4),"")</f>
        <v/>
      </c>
      <c r="AT877" s="55" t="str">
        <f aca="false">IF(AND('Choix pédagogiques'!$C$4&lt;&gt;"?",'Choix pédagogiques'!$C$5&lt;&gt;"?",Y877&lt;&gt;""),(Y877-'Choix pédagogiques'!$C$4)/('Choix pédagogiques'!$C$5-'Choix pédagogiques'!$C$4),"")</f>
        <v/>
      </c>
      <c r="AU877" s="53" t="str">
        <f aca="false">IF($E877&lt;&gt;"",$E877,"")</f>
        <v/>
      </c>
      <c r="AV877" s="52" t="str">
        <f aca="false">IF($F877&lt;&gt;"",$F877,"")</f>
        <v>Apprenant 865 ou 865'</v>
      </c>
      <c r="AW877" s="55" t="str">
        <f aca="false">IF(AND('Choix pédagogiques'!$C$4&lt;&gt;"?",'Choix pédagogiques'!$C$5&lt;&gt;"?",AB877&lt;&gt;""),(AB877-'Choix pédagogiques'!$C$4)/('Choix pédagogiques'!$C$5-'Choix pédagogiques'!$C$4),"")</f>
        <v/>
      </c>
      <c r="AX877" s="55" t="str">
        <f aca="false">IF(AND('Choix pédagogiques'!$C$4&lt;&gt;"?",'Choix pédagogiques'!$C$5&lt;&gt;"?",AC877&lt;&gt;""),(AC877-'Choix pédagogiques'!$C$4)/('Choix pédagogiques'!$C$5-'Choix pédagogiques'!$C$4),"")</f>
        <v/>
      </c>
      <c r="AY877" s="55" t="str">
        <f aca="false">IF(AND('Choix pédagogiques'!$C$4&lt;&gt;"?",'Choix pédagogiques'!$C$5&lt;&gt;"?",AD877&lt;&gt;""),(AD877-'Choix pédagogiques'!$C$4)/('Choix pédagogiques'!$C$5-'Choix pédagogiques'!$C$4),"")</f>
        <v/>
      </c>
      <c r="AZ877" s="53" t="str">
        <f aca="false">IF($J877&lt;&gt;"",$J877,"")</f>
        <v/>
      </c>
      <c r="BA877" s="52" t="str">
        <f aca="false">IF($A877&lt;&gt;"",$A877,"")</f>
        <v>Apprenant 865</v>
      </c>
      <c r="BB877" s="55" t="str">
        <f aca="false">IF(AND($AR877&lt;&gt;"",$AS877&lt;&gt;""),$AS877-$AR877,"")</f>
        <v/>
      </c>
      <c r="BC877" s="55" t="str">
        <f aca="false">IF(AND($AR877&lt;&gt;"",$AT877&lt;&gt;""),$AT877-$AR877,"")</f>
        <v/>
      </c>
      <c r="BD877" s="55" t="str">
        <f aca="false">IF(AND($AS877&lt;&gt;"",$AT877&lt;&gt;""),$AT877-$AS877,"")</f>
        <v/>
      </c>
      <c r="BE877" s="53" t="str">
        <f aca="false">IF($E877&lt;&gt;"",$E877,"")</f>
        <v/>
      </c>
      <c r="BF877" s="52" t="str">
        <f aca="false">IF($F877&lt;&gt;"",$F877,"")</f>
        <v>Apprenant 865 ou 865'</v>
      </c>
      <c r="BG877" s="55" t="str">
        <f aca="false">IF(AND($AW877&lt;&gt;"",$AX877&lt;&gt;""),$AX877-$AW877,"")</f>
        <v/>
      </c>
      <c r="BH877" s="55" t="str">
        <f aca="false">IF(AND($AW877&lt;&gt;"",$AY877&lt;&gt;""),$AY877-$AW877,"")</f>
        <v/>
      </c>
      <c r="BI877" s="55" t="str">
        <f aca="false">IF(AND($AX877&lt;&gt;"",$AY877&lt;&gt;""),$AY877-$AX877,"")</f>
        <v/>
      </c>
      <c r="BJ877" s="53" t="str">
        <f aca="false">IF($J877&lt;&gt;"",$J877,"")</f>
        <v/>
      </c>
      <c r="BL877" s="52"/>
      <c r="BM877" s="52" t="str">
        <f aca="false">IF(OR(COUNT(B877:D1876)=0,AND('Choix pédagogiques'!$C$3&lt;&gt;1,'Choix pédagogiques'!$C$3&lt;&gt;2)),"",IF(AND(OR('Choix pédagogiques'!$C$3=1,'Choix pédagogiques'!$C$3=2),$B877&lt;&gt;"",$C877&lt;&gt;"",$D877&lt;&gt;""),1,0))</f>
        <v/>
      </c>
      <c r="BN877" s="52" t="str">
        <f aca="false">IF(OR(COUNT(G877:I1876)=0,AND('Choix pédagogiques'!$C$3&lt;&gt;1,'Choix pédagogiques'!$C$3&lt;&gt;2)),"",IF(AND(OR('Choix pédagogiques'!$C$3=1,'Choix pédagogiques'!$C$3=2),AND($G877&lt;&gt;"",$H877&lt;&gt;"",$I877&lt;&gt;"")),1,0))</f>
        <v/>
      </c>
      <c r="BO877" s="52" t="str">
        <f aca="false">IF(OR(COUNT(B877:D1876)=0,COUNT(G877:I1876)=0,'Choix pédagogiques'!C$3&lt;&gt;3),"",IF(AND('Choix pédagogiques'!$C$3=3,$B877&lt;&gt;"",$C877&lt;&gt;"",$D877&lt;&gt;"",$G877&lt;&gt;"",$H877&lt;&gt;"",$I877&lt;&gt;""),1,0))</f>
        <v/>
      </c>
      <c r="BR877" s="52" t="n">
        <v>256</v>
      </c>
      <c r="BS877" s="52" t="n">
        <v>1883</v>
      </c>
    </row>
    <row r="878" s="54" customFormat="true" ht="18" hidden="false" customHeight="true" outlineLevel="0" collapsed="false">
      <c r="A878" s="57" t="s">
        <v>1687</v>
      </c>
      <c r="B878" s="51"/>
      <c r="C878" s="51"/>
      <c r="D878" s="51"/>
      <c r="E878" s="51"/>
      <c r="F878" s="57" t="s">
        <v>1688</v>
      </c>
      <c r="G878" s="51"/>
      <c r="H878" s="51"/>
      <c r="I878" s="51"/>
      <c r="J878" s="51"/>
      <c r="K878" s="52" t="str">
        <f aca="false">IF($A878&lt;&gt;"",$A878,"")</f>
        <v>Apprenant 866</v>
      </c>
      <c r="L878" s="53" t="str">
        <f aca="false">IF(AND($B878&lt;&gt;"",$C878&lt;&gt;""),$C878-$B878,"")</f>
        <v/>
      </c>
      <c r="M878" s="53" t="str">
        <f aca="false">IF(AND($B878&lt;&gt;"",$D878&lt;&gt;""),$D878-$B878,"")</f>
        <v/>
      </c>
      <c r="N878" s="53" t="str">
        <f aca="false">IF(AND($C878&lt;&gt;"",$D878&lt;&gt;""),$D878-$C878,"")</f>
        <v/>
      </c>
      <c r="O878" s="53" t="str">
        <f aca="false">IF($E878&lt;&gt;"",$E878,"")</f>
        <v/>
      </c>
      <c r="P878" s="52" t="str">
        <f aca="false">IF($F878&lt;&gt;"",$F878,"")</f>
        <v>Apprenant 866 ou 866'</v>
      </c>
      <c r="Q878" s="53" t="str">
        <f aca="false">IF(AND($G878&lt;&gt;"",$H878&lt;&gt;""),$H878-$G878,"")</f>
        <v/>
      </c>
      <c r="R878" s="53" t="str">
        <f aca="false">IF(AND($G878&lt;&gt;"",$I878&lt;&gt;""),$I878-$G878,"")</f>
        <v/>
      </c>
      <c r="S878" s="53" t="str">
        <f aca="false">IF(AND($H878&lt;&gt;"",$I878&lt;&gt;""),$I878-$H878,"")</f>
        <v/>
      </c>
      <c r="T878" s="53" t="str">
        <f aca="false">IF($J878&lt;&gt;"",$J878,"")</f>
        <v/>
      </c>
      <c r="V878" s="52" t="str">
        <f aca="false">IF($A878&lt;&gt;"",$A878,"")</f>
        <v>Apprenant 866</v>
      </c>
      <c r="W878" s="53" t="str">
        <f aca="false">IF(AND(OR('Choix pédagogiques'!$C$3=1,'Choix pédagogiques'!$C$3=2),$BM878=1),B878,IF(AND('Choix pédagogiques'!$C$3=3,$BO878=1),B878,""))</f>
        <v/>
      </c>
      <c r="X878" s="53" t="str">
        <f aca="false">IF(AND(OR('Choix pédagogiques'!$C$3=1,'Choix pédagogiques'!$C$3=2),$BM878=1),C878,IF(AND('Choix pédagogiques'!$C$3=3,$BO878=1),C878,""))</f>
        <v/>
      </c>
      <c r="Y878" s="53" t="str">
        <f aca="false">IF(AND(OR('Choix pédagogiques'!$C$3=1,'Choix pédagogiques'!$C$3=2),$BM878=1),D878,IF(AND('Choix pédagogiques'!$C$3=3,$BO878=1),D878,""))</f>
        <v/>
      </c>
      <c r="Z878" s="53" t="str">
        <f aca="false">IF($E878&lt;&gt;"",$E878,"")</f>
        <v/>
      </c>
      <c r="AA878" s="52" t="str">
        <f aca="false">IF($F878&lt;&gt;"",$F878,"")</f>
        <v>Apprenant 866 ou 866'</v>
      </c>
      <c r="AB878" s="53" t="str">
        <f aca="false">IF(AND(OR('Choix pédagogiques'!$C$3=1,'Choix pédagogiques'!$C$3=2),$BN878=1),G878,IF(AND('Choix pédagogiques'!$C$3=3,$BO878=1),G878,""))</f>
        <v/>
      </c>
      <c r="AC878" s="53" t="str">
        <f aca="false">IF(AND(OR('Choix pédagogiques'!$C$3=1,'Choix pédagogiques'!$C$3=2),$BN878=1),H878,IF(AND('Choix pédagogiques'!$C$3=3,$BO878=1),H878,""))</f>
        <v/>
      </c>
      <c r="AD878" s="53" t="str">
        <f aca="false">IF(AND(OR('Choix pédagogiques'!$C$3=1,'Choix pédagogiques'!$C$3=2),$BN878=1),I878,IF(AND('Choix pédagogiques'!$C$3=3,$BO878=1),I878,""))</f>
        <v/>
      </c>
      <c r="AE878" s="53" t="str">
        <f aca="false">IF($J878&lt;&gt;"",$J878,"")</f>
        <v/>
      </c>
      <c r="AF878" s="52" t="str">
        <f aca="false">IF($A878&lt;&gt;"",$A878,"")</f>
        <v>Apprenant 866</v>
      </c>
      <c r="AG878" s="53" t="str">
        <f aca="false">IF(AND($W878&lt;&gt;"",$X878&lt;&gt;""),$X878-$W878,"")</f>
        <v/>
      </c>
      <c r="AH878" s="53" t="str">
        <f aca="false">IF(AND($W878&lt;&gt;"",$Y878&lt;&gt;""),$Y878-$W878,"")</f>
        <v/>
      </c>
      <c r="AI878" s="53" t="str">
        <f aca="false">IF(AND($X878&lt;&gt;"",$Y878&lt;&gt;""),$Y878-$X878,"")</f>
        <v/>
      </c>
      <c r="AJ878" s="53" t="str">
        <f aca="false">IF($E878&lt;&gt;"",$E878,"")</f>
        <v/>
      </c>
      <c r="AK878" s="52" t="str">
        <f aca="false">IF($F878&lt;&gt;"",$F878,"")</f>
        <v>Apprenant 866 ou 866'</v>
      </c>
      <c r="AL878" s="53" t="str">
        <f aca="false">IF(AND($AB878&lt;&gt;"",$AC878&lt;&gt;""),$AC878-$AB878,"")</f>
        <v/>
      </c>
      <c r="AM878" s="53" t="str">
        <f aca="false">IF(AND($AB878&lt;&gt;"",$AD878&lt;&gt;""),$AD878-$AB878,"")</f>
        <v/>
      </c>
      <c r="AN878" s="53" t="str">
        <f aca="false">IF(AND($AC878&lt;&gt;"",$AD878&lt;&gt;""),$AD878-$AC878,"")</f>
        <v/>
      </c>
      <c r="AO878" s="53" t="str">
        <f aca="false">IF($J878&lt;&gt;"",$J878,"")</f>
        <v/>
      </c>
      <c r="AQ878" s="52" t="str">
        <f aca="false">IF($A878&lt;&gt;"",$A878,"")</f>
        <v>Apprenant 866</v>
      </c>
      <c r="AR878" s="55" t="str">
        <f aca="false">IF(AND('Choix pédagogiques'!$C$4&lt;&gt;"?",'Choix pédagogiques'!$C$5&lt;&gt;"?",W878&lt;&gt;""),(W878-'Choix pédagogiques'!$C$4)/('Choix pédagogiques'!$C$5-'Choix pédagogiques'!$C$4),"")</f>
        <v/>
      </c>
      <c r="AS878" s="55" t="str">
        <f aca="false">IF(AND('Choix pédagogiques'!$C$4&lt;&gt;"?",'Choix pédagogiques'!$C$5&lt;&gt;"?",X878&lt;&gt;""),(X878-'Choix pédagogiques'!$C$4)/('Choix pédagogiques'!$C$5-'Choix pédagogiques'!$C$4),"")</f>
        <v/>
      </c>
      <c r="AT878" s="55" t="str">
        <f aca="false">IF(AND('Choix pédagogiques'!$C$4&lt;&gt;"?",'Choix pédagogiques'!$C$5&lt;&gt;"?",Y878&lt;&gt;""),(Y878-'Choix pédagogiques'!$C$4)/('Choix pédagogiques'!$C$5-'Choix pédagogiques'!$C$4),"")</f>
        <v/>
      </c>
      <c r="AU878" s="53" t="str">
        <f aca="false">IF($E878&lt;&gt;"",$E878,"")</f>
        <v/>
      </c>
      <c r="AV878" s="52" t="str">
        <f aca="false">IF($F878&lt;&gt;"",$F878,"")</f>
        <v>Apprenant 866 ou 866'</v>
      </c>
      <c r="AW878" s="55" t="str">
        <f aca="false">IF(AND('Choix pédagogiques'!$C$4&lt;&gt;"?",'Choix pédagogiques'!$C$5&lt;&gt;"?",AB878&lt;&gt;""),(AB878-'Choix pédagogiques'!$C$4)/('Choix pédagogiques'!$C$5-'Choix pédagogiques'!$C$4),"")</f>
        <v/>
      </c>
      <c r="AX878" s="55" t="str">
        <f aca="false">IF(AND('Choix pédagogiques'!$C$4&lt;&gt;"?",'Choix pédagogiques'!$C$5&lt;&gt;"?",AC878&lt;&gt;""),(AC878-'Choix pédagogiques'!$C$4)/('Choix pédagogiques'!$C$5-'Choix pédagogiques'!$C$4),"")</f>
        <v/>
      </c>
      <c r="AY878" s="55" t="str">
        <f aca="false">IF(AND('Choix pédagogiques'!$C$4&lt;&gt;"?",'Choix pédagogiques'!$C$5&lt;&gt;"?",AD878&lt;&gt;""),(AD878-'Choix pédagogiques'!$C$4)/('Choix pédagogiques'!$C$5-'Choix pédagogiques'!$C$4),"")</f>
        <v/>
      </c>
      <c r="AZ878" s="53" t="str">
        <f aca="false">IF($J878&lt;&gt;"",$J878,"")</f>
        <v/>
      </c>
      <c r="BA878" s="52" t="str">
        <f aca="false">IF($A878&lt;&gt;"",$A878,"")</f>
        <v>Apprenant 866</v>
      </c>
      <c r="BB878" s="55" t="str">
        <f aca="false">IF(AND($AR878&lt;&gt;"",$AS878&lt;&gt;""),$AS878-$AR878,"")</f>
        <v/>
      </c>
      <c r="BC878" s="55" t="str">
        <f aca="false">IF(AND($AR878&lt;&gt;"",$AT878&lt;&gt;""),$AT878-$AR878,"")</f>
        <v/>
      </c>
      <c r="BD878" s="55" t="str">
        <f aca="false">IF(AND($AS878&lt;&gt;"",$AT878&lt;&gt;""),$AT878-$AS878,"")</f>
        <v/>
      </c>
      <c r="BE878" s="53" t="str">
        <f aca="false">IF($E878&lt;&gt;"",$E878,"")</f>
        <v/>
      </c>
      <c r="BF878" s="52" t="str">
        <f aca="false">IF($F878&lt;&gt;"",$F878,"")</f>
        <v>Apprenant 866 ou 866'</v>
      </c>
      <c r="BG878" s="55" t="str">
        <f aca="false">IF(AND($AW878&lt;&gt;"",$AX878&lt;&gt;""),$AX878-$AW878,"")</f>
        <v/>
      </c>
      <c r="BH878" s="55" t="str">
        <f aca="false">IF(AND($AW878&lt;&gt;"",$AY878&lt;&gt;""),$AY878-$AW878,"")</f>
        <v/>
      </c>
      <c r="BI878" s="55" t="str">
        <f aca="false">IF(AND($AX878&lt;&gt;"",$AY878&lt;&gt;""),$AY878-$AX878,"")</f>
        <v/>
      </c>
      <c r="BJ878" s="53" t="str">
        <f aca="false">IF($J878&lt;&gt;"",$J878,"")</f>
        <v/>
      </c>
      <c r="BL878" s="52"/>
      <c r="BM878" s="52" t="str">
        <f aca="false">IF(OR(COUNT(B878:D1877)=0,AND('Choix pédagogiques'!$C$3&lt;&gt;1,'Choix pédagogiques'!$C$3&lt;&gt;2)),"",IF(AND(OR('Choix pédagogiques'!$C$3=1,'Choix pédagogiques'!$C$3=2),$B878&lt;&gt;"",$C878&lt;&gt;"",$D878&lt;&gt;""),1,0))</f>
        <v/>
      </c>
      <c r="BN878" s="52" t="str">
        <f aca="false">IF(OR(COUNT(G878:I1877)=0,AND('Choix pédagogiques'!$C$3&lt;&gt;1,'Choix pédagogiques'!$C$3&lt;&gt;2)),"",IF(AND(OR('Choix pédagogiques'!$C$3=1,'Choix pédagogiques'!$C$3=2),AND($G878&lt;&gt;"",$H878&lt;&gt;"",$I878&lt;&gt;"")),1,0))</f>
        <v/>
      </c>
      <c r="BO878" s="52" t="str">
        <f aca="false">IF(OR(COUNT(B878:D1877)=0,COUNT(G878:I1877)=0,'Choix pédagogiques'!C$3&lt;&gt;3),"",IF(AND('Choix pédagogiques'!$C$3=3,$B878&lt;&gt;"",$C878&lt;&gt;"",$D878&lt;&gt;"",$G878&lt;&gt;"",$H878&lt;&gt;"",$I878&lt;&gt;""),1,0))</f>
        <v/>
      </c>
      <c r="BR878" s="52" t="n">
        <v>893</v>
      </c>
      <c r="BS878" s="52" t="n">
        <v>1585</v>
      </c>
    </row>
    <row r="879" s="54" customFormat="true" ht="18" hidden="false" customHeight="true" outlineLevel="0" collapsed="false">
      <c r="A879" s="57" t="s">
        <v>1689</v>
      </c>
      <c r="B879" s="51"/>
      <c r="C879" s="51"/>
      <c r="D879" s="51"/>
      <c r="E879" s="51"/>
      <c r="F879" s="57" t="s">
        <v>1690</v>
      </c>
      <c r="G879" s="51"/>
      <c r="H879" s="51"/>
      <c r="I879" s="51"/>
      <c r="J879" s="51"/>
      <c r="K879" s="52" t="str">
        <f aca="false">IF($A879&lt;&gt;"",$A879,"")</f>
        <v>Apprenant 867</v>
      </c>
      <c r="L879" s="53" t="str">
        <f aca="false">IF(AND($B879&lt;&gt;"",$C879&lt;&gt;""),$C879-$B879,"")</f>
        <v/>
      </c>
      <c r="M879" s="53" t="str">
        <f aca="false">IF(AND($B879&lt;&gt;"",$D879&lt;&gt;""),$D879-$B879,"")</f>
        <v/>
      </c>
      <c r="N879" s="53" t="str">
        <f aca="false">IF(AND($C879&lt;&gt;"",$D879&lt;&gt;""),$D879-$C879,"")</f>
        <v/>
      </c>
      <c r="O879" s="53" t="str">
        <f aca="false">IF($E879&lt;&gt;"",$E879,"")</f>
        <v/>
      </c>
      <c r="P879" s="52" t="str">
        <f aca="false">IF($F879&lt;&gt;"",$F879,"")</f>
        <v>Apprenant 867 ou 867'</v>
      </c>
      <c r="Q879" s="53" t="str">
        <f aca="false">IF(AND($G879&lt;&gt;"",$H879&lt;&gt;""),$H879-$G879,"")</f>
        <v/>
      </c>
      <c r="R879" s="53" t="str">
        <f aca="false">IF(AND($G879&lt;&gt;"",$I879&lt;&gt;""),$I879-$G879,"")</f>
        <v/>
      </c>
      <c r="S879" s="53" t="str">
        <f aca="false">IF(AND($H879&lt;&gt;"",$I879&lt;&gt;""),$I879-$H879,"")</f>
        <v/>
      </c>
      <c r="T879" s="53" t="str">
        <f aca="false">IF($J879&lt;&gt;"",$J879,"")</f>
        <v/>
      </c>
      <c r="V879" s="52" t="str">
        <f aca="false">IF($A879&lt;&gt;"",$A879,"")</f>
        <v>Apprenant 867</v>
      </c>
      <c r="W879" s="53" t="str">
        <f aca="false">IF(AND(OR('Choix pédagogiques'!$C$3=1,'Choix pédagogiques'!$C$3=2),$BM879=1),B879,IF(AND('Choix pédagogiques'!$C$3=3,$BO879=1),B879,""))</f>
        <v/>
      </c>
      <c r="X879" s="53" t="str">
        <f aca="false">IF(AND(OR('Choix pédagogiques'!$C$3=1,'Choix pédagogiques'!$C$3=2),$BM879=1),C879,IF(AND('Choix pédagogiques'!$C$3=3,$BO879=1),C879,""))</f>
        <v/>
      </c>
      <c r="Y879" s="53" t="str">
        <f aca="false">IF(AND(OR('Choix pédagogiques'!$C$3=1,'Choix pédagogiques'!$C$3=2),$BM879=1),D879,IF(AND('Choix pédagogiques'!$C$3=3,$BO879=1),D879,""))</f>
        <v/>
      </c>
      <c r="Z879" s="53" t="str">
        <f aca="false">IF($E879&lt;&gt;"",$E879,"")</f>
        <v/>
      </c>
      <c r="AA879" s="52" t="str">
        <f aca="false">IF($F879&lt;&gt;"",$F879,"")</f>
        <v>Apprenant 867 ou 867'</v>
      </c>
      <c r="AB879" s="53" t="str">
        <f aca="false">IF(AND(OR('Choix pédagogiques'!$C$3=1,'Choix pédagogiques'!$C$3=2),$BN879=1),G879,IF(AND('Choix pédagogiques'!$C$3=3,$BO879=1),G879,""))</f>
        <v/>
      </c>
      <c r="AC879" s="53" t="str">
        <f aca="false">IF(AND(OR('Choix pédagogiques'!$C$3=1,'Choix pédagogiques'!$C$3=2),$BN879=1),H879,IF(AND('Choix pédagogiques'!$C$3=3,$BO879=1),H879,""))</f>
        <v/>
      </c>
      <c r="AD879" s="53" t="str">
        <f aca="false">IF(AND(OR('Choix pédagogiques'!$C$3=1,'Choix pédagogiques'!$C$3=2),$BN879=1),I879,IF(AND('Choix pédagogiques'!$C$3=3,$BO879=1),I879,""))</f>
        <v/>
      </c>
      <c r="AE879" s="53" t="str">
        <f aca="false">IF($J879&lt;&gt;"",$J879,"")</f>
        <v/>
      </c>
      <c r="AF879" s="52" t="str">
        <f aca="false">IF($A879&lt;&gt;"",$A879,"")</f>
        <v>Apprenant 867</v>
      </c>
      <c r="AG879" s="53" t="str">
        <f aca="false">IF(AND($W879&lt;&gt;"",$X879&lt;&gt;""),$X879-$W879,"")</f>
        <v/>
      </c>
      <c r="AH879" s="53" t="str">
        <f aca="false">IF(AND($W879&lt;&gt;"",$Y879&lt;&gt;""),$Y879-$W879,"")</f>
        <v/>
      </c>
      <c r="AI879" s="53" t="str">
        <f aca="false">IF(AND($X879&lt;&gt;"",$Y879&lt;&gt;""),$Y879-$X879,"")</f>
        <v/>
      </c>
      <c r="AJ879" s="53" t="str">
        <f aca="false">IF($E879&lt;&gt;"",$E879,"")</f>
        <v/>
      </c>
      <c r="AK879" s="52" t="str">
        <f aca="false">IF($F879&lt;&gt;"",$F879,"")</f>
        <v>Apprenant 867 ou 867'</v>
      </c>
      <c r="AL879" s="53" t="str">
        <f aca="false">IF(AND($AB879&lt;&gt;"",$AC879&lt;&gt;""),$AC879-$AB879,"")</f>
        <v/>
      </c>
      <c r="AM879" s="53" t="str">
        <f aca="false">IF(AND($AB879&lt;&gt;"",$AD879&lt;&gt;""),$AD879-$AB879,"")</f>
        <v/>
      </c>
      <c r="AN879" s="53" t="str">
        <f aca="false">IF(AND($AC879&lt;&gt;"",$AD879&lt;&gt;""),$AD879-$AC879,"")</f>
        <v/>
      </c>
      <c r="AO879" s="53" t="str">
        <f aca="false">IF($J879&lt;&gt;"",$J879,"")</f>
        <v/>
      </c>
      <c r="AQ879" s="52" t="str">
        <f aca="false">IF($A879&lt;&gt;"",$A879,"")</f>
        <v>Apprenant 867</v>
      </c>
      <c r="AR879" s="55" t="str">
        <f aca="false">IF(AND('Choix pédagogiques'!$C$4&lt;&gt;"?",'Choix pédagogiques'!$C$5&lt;&gt;"?",W879&lt;&gt;""),(W879-'Choix pédagogiques'!$C$4)/('Choix pédagogiques'!$C$5-'Choix pédagogiques'!$C$4),"")</f>
        <v/>
      </c>
      <c r="AS879" s="55" t="str">
        <f aca="false">IF(AND('Choix pédagogiques'!$C$4&lt;&gt;"?",'Choix pédagogiques'!$C$5&lt;&gt;"?",X879&lt;&gt;""),(X879-'Choix pédagogiques'!$C$4)/('Choix pédagogiques'!$C$5-'Choix pédagogiques'!$C$4),"")</f>
        <v/>
      </c>
      <c r="AT879" s="55" t="str">
        <f aca="false">IF(AND('Choix pédagogiques'!$C$4&lt;&gt;"?",'Choix pédagogiques'!$C$5&lt;&gt;"?",Y879&lt;&gt;""),(Y879-'Choix pédagogiques'!$C$4)/('Choix pédagogiques'!$C$5-'Choix pédagogiques'!$C$4),"")</f>
        <v/>
      </c>
      <c r="AU879" s="53" t="str">
        <f aca="false">IF($E879&lt;&gt;"",$E879,"")</f>
        <v/>
      </c>
      <c r="AV879" s="52" t="str">
        <f aca="false">IF($F879&lt;&gt;"",$F879,"")</f>
        <v>Apprenant 867 ou 867'</v>
      </c>
      <c r="AW879" s="55" t="str">
        <f aca="false">IF(AND('Choix pédagogiques'!$C$4&lt;&gt;"?",'Choix pédagogiques'!$C$5&lt;&gt;"?",AB879&lt;&gt;""),(AB879-'Choix pédagogiques'!$C$4)/('Choix pédagogiques'!$C$5-'Choix pédagogiques'!$C$4),"")</f>
        <v/>
      </c>
      <c r="AX879" s="55" t="str">
        <f aca="false">IF(AND('Choix pédagogiques'!$C$4&lt;&gt;"?",'Choix pédagogiques'!$C$5&lt;&gt;"?",AC879&lt;&gt;""),(AC879-'Choix pédagogiques'!$C$4)/('Choix pédagogiques'!$C$5-'Choix pédagogiques'!$C$4),"")</f>
        <v/>
      </c>
      <c r="AY879" s="55" t="str">
        <f aca="false">IF(AND('Choix pédagogiques'!$C$4&lt;&gt;"?",'Choix pédagogiques'!$C$5&lt;&gt;"?",AD879&lt;&gt;""),(AD879-'Choix pédagogiques'!$C$4)/('Choix pédagogiques'!$C$5-'Choix pédagogiques'!$C$4),"")</f>
        <v/>
      </c>
      <c r="AZ879" s="53" t="str">
        <f aca="false">IF($J879&lt;&gt;"",$J879,"")</f>
        <v/>
      </c>
      <c r="BA879" s="52" t="str">
        <f aca="false">IF($A879&lt;&gt;"",$A879,"")</f>
        <v>Apprenant 867</v>
      </c>
      <c r="BB879" s="55" t="str">
        <f aca="false">IF(AND($AR879&lt;&gt;"",$AS879&lt;&gt;""),$AS879-$AR879,"")</f>
        <v/>
      </c>
      <c r="BC879" s="55" t="str">
        <f aca="false">IF(AND($AR879&lt;&gt;"",$AT879&lt;&gt;""),$AT879-$AR879,"")</f>
        <v/>
      </c>
      <c r="BD879" s="55" t="str">
        <f aca="false">IF(AND($AS879&lt;&gt;"",$AT879&lt;&gt;""),$AT879-$AS879,"")</f>
        <v/>
      </c>
      <c r="BE879" s="53" t="str">
        <f aca="false">IF($E879&lt;&gt;"",$E879,"")</f>
        <v/>
      </c>
      <c r="BF879" s="52" t="str">
        <f aca="false">IF($F879&lt;&gt;"",$F879,"")</f>
        <v>Apprenant 867 ou 867'</v>
      </c>
      <c r="BG879" s="55" t="str">
        <f aca="false">IF(AND($AW879&lt;&gt;"",$AX879&lt;&gt;""),$AX879-$AW879,"")</f>
        <v/>
      </c>
      <c r="BH879" s="55" t="str">
        <f aca="false">IF(AND($AW879&lt;&gt;"",$AY879&lt;&gt;""),$AY879-$AW879,"")</f>
        <v/>
      </c>
      <c r="BI879" s="55" t="str">
        <f aca="false">IF(AND($AX879&lt;&gt;"",$AY879&lt;&gt;""),$AY879-$AX879,"")</f>
        <v/>
      </c>
      <c r="BJ879" s="53" t="str">
        <f aca="false">IF($J879&lt;&gt;"",$J879,"")</f>
        <v/>
      </c>
      <c r="BL879" s="52"/>
      <c r="BM879" s="52" t="str">
        <f aca="false">IF(OR(COUNT(B879:D1878)=0,AND('Choix pédagogiques'!$C$3&lt;&gt;1,'Choix pédagogiques'!$C$3&lt;&gt;2)),"",IF(AND(OR('Choix pédagogiques'!$C$3=1,'Choix pédagogiques'!$C$3=2),$B879&lt;&gt;"",$C879&lt;&gt;"",$D879&lt;&gt;""),1,0))</f>
        <v/>
      </c>
      <c r="BN879" s="52" t="str">
        <f aca="false">IF(OR(COUNT(G879:I1878)=0,AND('Choix pédagogiques'!$C$3&lt;&gt;1,'Choix pédagogiques'!$C$3&lt;&gt;2)),"",IF(AND(OR('Choix pédagogiques'!$C$3=1,'Choix pédagogiques'!$C$3=2),AND($G879&lt;&gt;"",$H879&lt;&gt;"",$I879&lt;&gt;"")),1,0))</f>
        <v/>
      </c>
      <c r="BO879" s="52" t="str">
        <f aca="false">IF(OR(COUNT(B879:D1878)=0,COUNT(G879:I1878)=0,'Choix pédagogiques'!C$3&lt;&gt;3),"",IF(AND('Choix pédagogiques'!$C$3=3,$B879&lt;&gt;"",$C879&lt;&gt;"",$D879&lt;&gt;"",$G879&lt;&gt;"",$H879&lt;&gt;"",$I879&lt;&gt;""),1,0))</f>
        <v/>
      </c>
      <c r="BR879" s="52" t="n">
        <v>254</v>
      </c>
      <c r="BS879" s="52" t="n">
        <v>1115</v>
      </c>
    </row>
    <row r="880" s="54" customFormat="true" ht="18" hidden="false" customHeight="true" outlineLevel="0" collapsed="false">
      <c r="A880" s="57" t="s">
        <v>1691</v>
      </c>
      <c r="B880" s="51"/>
      <c r="C880" s="51"/>
      <c r="D880" s="51"/>
      <c r="E880" s="51"/>
      <c r="F880" s="57" t="s">
        <v>1692</v>
      </c>
      <c r="G880" s="51"/>
      <c r="H880" s="51"/>
      <c r="I880" s="51"/>
      <c r="J880" s="51"/>
      <c r="K880" s="52" t="str">
        <f aca="false">IF($A880&lt;&gt;"",$A880,"")</f>
        <v>Apprenant 868</v>
      </c>
      <c r="L880" s="53" t="str">
        <f aca="false">IF(AND($B880&lt;&gt;"",$C880&lt;&gt;""),$C880-$B880,"")</f>
        <v/>
      </c>
      <c r="M880" s="53" t="str">
        <f aca="false">IF(AND($B880&lt;&gt;"",$D880&lt;&gt;""),$D880-$B880,"")</f>
        <v/>
      </c>
      <c r="N880" s="53" t="str">
        <f aca="false">IF(AND($C880&lt;&gt;"",$D880&lt;&gt;""),$D880-$C880,"")</f>
        <v/>
      </c>
      <c r="O880" s="53" t="str">
        <f aca="false">IF($E880&lt;&gt;"",$E880,"")</f>
        <v/>
      </c>
      <c r="P880" s="52" t="str">
        <f aca="false">IF($F880&lt;&gt;"",$F880,"")</f>
        <v>Apprenant 868 ou 868'</v>
      </c>
      <c r="Q880" s="53" t="str">
        <f aca="false">IF(AND($G880&lt;&gt;"",$H880&lt;&gt;""),$H880-$G880,"")</f>
        <v/>
      </c>
      <c r="R880" s="53" t="str">
        <f aca="false">IF(AND($G880&lt;&gt;"",$I880&lt;&gt;""),$I880-$G880,"")</f>
        <v/>
      </c>
      <c r="S880" s="53" t="str">
        <f aca="false">IF(AND($H880&lt;&gt;"",$I880&lt;&gt;""),$I880-$H880,"")</f>
        <v/>
      </c>
      <c r="T880" s="53" t="str">
        <f aca="false">IF($J880&lt;&gt;"",$J880,"")</f>
        <v/>
      </c>
      <c r="V880" s="52" t="str">
        <f aca="false">IF($A880&lt;&gt;"",$A880,"")</f>
        <v>Apprenant 868</v>
      </c>
      <c r="W880" s="53" t="str">
        <f aca="false">IF(AND(OR('Choix pédagogiques'!$C$3=1,'Choix pédagogiques'!$C$3=2),$BM880=1),B880,IF(AND('Choix pédagogiques'!$C$3=3,$BO880=1),B880,""))</f>
        <v/>
      </c>
      <c r="X880" s="53" t="str">
        <f aca="false">IF(AND(OR('Choix pédagogiques'!$C$3=1,'Choix pédagogiques'!$C$3=2),$BM880=1),C880,IF(AND('Choix pédagogiques'!$C$3=3,$BO880=1),C880,""))</f>
        <v/>
      </c>
      <c r="Y880" s="53" t="str">
        <f aca="false">IF(AND(OR('Choix pédagogiques'!$C$3=1,'Choix pédagogiques'!$C$3=2),$BM880=1),D880,IF(AND('Choix pédagogiques'!$C$3=3,$BO880=1),D880,""))</f>
        <v/>
      </c>
      <c r="Z880" s="53" t="str">
        <f aca="false">IF($E880&lt;&gt;"",$E880,"")</f>
        <v/>
      </c>
      <c r="AA880" s="52" t="str">
        <f aca="false">IF($F880&lt;&gt;"",$F880,"")</f>
        <v>Apprenant 868 ou 868'</v>
      </c>
      <c r="AB880" s="53" t="str">
        <f aca="false">IF(AND(OR('Choix pédagogiques'!$C$3=1,'Choix pédagogiques'!$C$3=2),$BN880=1),G880,IF(AND('Choix pédagogiques'!$C$3=3,$BO880=1),G880,""))</f>
        <v/>
      </c>
      <c r="AC880" s="53" t="str">
        <f aca="false">IF(AND(OR('Choix pédagogiques'!$C$3=1,'Choix pédagogiques'!$C$3=2),$BN880=1),H880,IF(AND('Choix pédagogiques'!$C$3=3,$BO880=1),H880,""))</f>
        <v/>
      </c>
      <c r="AD880" s="53" t="str">
        <f aca="false">IF(AND(OR('Choix pédagogiques'!$C$3=1,'Choix pédagogiques'!$C$3=2),$BN880=1),I880,IF(AND('Choix pédagogiques'!$C$3=3,$BO880=1),I880,""))</f>
        <v/>
      </c>
      <c r="AE880" s="53" t="str">
        <f aca="false">IF($J880&lt;&gt;"",$J880,"")</f>
        <v/>
      </c>
      <c r="AF880" s="52" t="str">
        <f aca="false">IF($A880&lt;&gt;"",$A880,"")</f>
        <v>Apprenant 868</v>
      </c>
      <c r="AG880" s="53" t="str">
        <f aca="false">IF(AND($W880&lt;&gt;"",$X880&lt;&gt;""),$X880-$W880,"")</f>
        <v/>
      </c>
      <c r="AH880" s="53" t="str">
        <f aca="false">IF(AND($W880&lt;&gt;"",$Y880&lt;&gt;""),$Y880-$W880,"")</f>
        <v/>
      </c>
      <c r="AI880" s="53" t="str">
        <f aca="false">IF(AND($X880&lt;&gt;"",$Y880&lt;&gt;""),$Y880-$X880,"")</f>
        <v/>
      </c>
      <c r="AJ880" s="53" t="str">
        <f aca="false">IF($E880&lt;&gt;"",$E880,"")</f>
        <v/>
      </c>
      <c r="AK880" s="52" t="str">
        <f aca="false">IF($F880&lt;&gt;"",$F880,"")</f>
        <v>Apprenant 868 ou 868'</v>
      </c>
      <c r="AL880" s="53" t="str">
        <f aca="false">IF(AND($AB880&lt;&gt;"",$AC880&lt;&gt;""),$AC880-$AB880,"")</f>
        <v/>
      </c>
      <c r="AM880" s="53" t="str">
        <f aca="false">IF(AND($AB880&lt;&gt;"",$AD880&lt;&gt;""),$AD880-$AB880,"")</f>
        <v/>
      </c>
      <c r="AN880" s="53" t="str">
        <f aca="false">IF(AND($AC880&lt;&gt;"",$AD880&lt;&gt;""),$AD880-$AC880,"")</f>
        <v/>
      </c>
      <c r="AO880" s="53" t="str">
        <f aca="false">IF($J880&lt;&gt;"",$J880,"")</f>
        <v/>
      </c>
      <c r="AQ880" s="52" t="str">
        <f aca="false">IF($A880&lt;&gt;"",$A880,"")</f>
        <v>Apprenant 868</v>
      </c>
      <c r="AR880" s="55" t="str">
        <f aca="false">IF(AND('Choix pédagogiques'!$C$4&lt;&gt;"?",'Choix pédagogiques'!$C$5&lt;&gt;"?",W880&lt;&gt;""),(W880-'Choix pédagogiques'!$C$4)/('Choix pédagogiques'!$C$5-'Choix pédagogiques'!$C$4),"")</f>
        <v/>
      </c>
      <c r="AS880" s="55" t="str">
        <f aca="false">IF(AND('Choix pédagogiques'!$C$4&lt;&gt;"?",'Choix pédagogiques'!$C$5&lt;&gt;"?",X880&lt;&gt;""),(X880-'Choix pédagogiques'!$C$4)/('Choix pédagogiques'!$C$5-'Choix pédagogiques'!$C$4),"")</f>
        <v/>
      </c>
      <c r="AT880" s="55" t="str">
        <f aca="false">IF(AND('Choix pédagogiques'!$C$4&lt;&gt;"?",'Choix pédagogiques'!$C$5&lt;&gt;"?",Y880&lt;&gt;""),(Y880-'Choix pédagogiques'!$C$4)/('Choix pédagogiques'!$C$5-'Choix pédagogiques'!$C$4),"")</f>
        <v/>
      </c>
      <c r="AU880" s="53" t="str">
        <f aca="false">IF($E880&lt;&gt;"",$E880,"")</f>
        <v/>
      </c>
      <c r="AV880" s="52" t="str">
        <f aca="false">IF($F880&lt;&gt;"",$F880,"")</f>
        <v>Apprenant 868 ou 868'</v>
      </c>
      <c r="AW880" s="55" t="str">
        <f aca="false">IF(AND('Choix pédagogiques'!$C$4&lt;&gt;"?",'Choix pédagogiques'!$C$5&lt;&gt;"?",AB880&lt;&gt;""),(AB880-'Choix pédagogiques'!$C$4)/('Choix pédagogiques'!$C$5-'Choix pédagogiques'!$C$4),"")</f>
        <v/>
      </c>
      <c r="AX880" s="55" t="str">
        <f aca="false">IF(AND('Choix pédagogiques'!$C$4&lt;&gt;"?",'Choix pédagogiques'!$C$5&lt;&gt;"?",AC880&lt;&gt;""),(AC880-'Choix pédagogiques'!$C$4)/('Choix pédagogiques'!$C$5-'Choix pédagogiques'!$C$4),"")</f>
        <v/>
      </c>
      <c r="AY880" s="55" t="str">
        <f aca="false">IF(AND('Choix pédagogiques'!$C$4&lt;&gt;"?",'Choix pédagogiques'!$C$5&lt;&gt;"?",AD880&lt;&gt;""),(AD880-'Choix pédagogiques'!$C$4)/('Choix pédagogiques'!$C$5-'Choix pédagogiques'!$C$4),"")</f>
        <v/>
      </c>
      <c r="AZ880" s="53" t="str">
        <f aca="false">IF($J880&lt;&gt;"",$J880,"")</f>
        <v/>
      </c>
      <c r="BA880" s="52" t="str">
        <f aca="false">IF($A880&lt;&gt;"",$A880,"")</f>
        <v>Apprenant 868</v>
      </c>
      <c r="BB880" s="55" t="str">
        <f aca="false">IF(AND($AR880&lt;&gt;"",$AS880&lt;&gt;""),$AS880-$AR880,"")</f>
        <v/>
      </c>
      <c r="BC880" s="55" t="str">
        <f aca="false">IF(AND($AR880&lt;&gt;"",$AT880&lt;&gt;""),$AT880-$AR880,"")</f>
        <v/>
      </c>
      <c r="BD880" s="55" t="str">
        <f aca="false">IF(AND($AS880&lt;&gt;"",$AT880&lt;&gt;""),$AT880-$AS880,"")</f>
        <v/>
      </c>
      <c r="BE880" s="53" t="str">
        <f aca="false">IF($E880&lt;&gt;"",$E880,"")</f>
        <v/>
      </c>
      <c r="BF880" s="52" t="str">
        <f aca="false">IF($F880&lt;&gt;"",$F880,"")</f>
        <v>Apprenant 868 ou 868'</v>
      </c>
      <c r="BG880" s="55" t="str">
        <f aca="false">IF(AND($AW880&lt;&gt;"",$AX880&lt;&gt;""),$AX880-$AW880,"")</f>
        <v/>
      </c>
      <c r="BH880" s="55" t="str">
        <f aca="false">IF(AND($AW880&lt;&gt;"",$AY880&lt;&gt;""),$AY880-$AW880,"")</f>
        <v/>
      </c>
      <c r="BI880" s="55" t="str">
        <f aca="false">IF(AND($AX880&lt;&gt;"",$AY880&lt;&gt;""),$AY880-$AX880,"")</f>
        <v/>
      </c>
      <c r="BJ880" s="53" t="str">
        <f aca="false">IF($J880&lt;&gt;"",$J880,"")</f>
        <v/>
      </c>
      <c r="BL880" s="52"/>
      <c r="BM880" s="52" t="str">
        <f aca="false">IF(OR(COUNT(B880:D1879)=0,AND('Choix pédagogiques'!$C$3&lt;&gt;1,'Choix pédagogiques'!$C$3&lt;&gt;2)),"",IF(AND(OR('Choix pédagogiques'!$C$3=1,'Choix pédagogiques'!$C$3=2),$B880&lt;&gt;"",$C880&lt;&gt;"",$D880&lt;&gt;""),1,0))</f>
        <v/>
      </c>
      <c r="BN880" s="52" t="str">
        <f aca="false">IF(OR(COUNT(G880:I1879)=0,AND('Choix pédagogiques'!$C$3&lt;&gt;1,'Choix pédagogiques'!$C$3&lt;&gt;2)),"",IF(AND(OR('Choix pédagogiques'!$C$3=1,'Choix pédagogiques'!$C$3=2),AND($G880&lt;&gt;"",$H880&lt;&gt;"",$I880&lt;&gt;"")),1,0))</f>
        <v/>
      </c>
      <c r="BO880" s="52" t="str">
        <f aca="false">IF(OR(COUNT(B880:D1879)=0,COUNT(G880:I1879)=0,'Choix pédagogiques'!C$3&lt;&gt;3),"",IF(AND('Choix pédagogiques'!$C$3=3,$B880&lt;&gt;"",$C880&lt;&gt;"",$D880&lt;&gt;"",$G880&lt;&gt;"",$H880&lt;&gt;"",$I880&lt;&gt;""),1,0))</f>
        <v/>
      </c>
      <c r="BR880" s="52" t="n">
        <v>672</v>
      </c>
      <c r="BS880" s="52" t="n">
        <v>1156</v>
      </c>
    </row>
    <row r="881" s="54" customFormat="true" ht="18" hidden="false" customHeight="true" outlineLevel="0" collapsed="false">
      <c r="A881" s="57" t="s">
        <v>1693</v>
      </c>
      <c r="B881" s="51"/>
      <c r="C881" s="51"/>
      <c r="D881" s="51"/>
      <c r="E881" s="51"/>
      <c r="F881" s="57" t="s">
        <v>1694</v>
      </c>
      <c r="G881" s="51"/>
      <c r="H881" s="51"/>
      <c r="I881" s="51"/>
      <c r="J881" s="51"/>
      <c r="K881" s="52" t="str">
        <f aca="false">IF($A881&lt;&gt;"",$A881,"")</f>
        <v>Apprenant 869</v>
      </c>
      <c r="L881" s="53" t="str">
        <f aca="false">IF(AND($B881&lt;&gt;"",$C881&lt;&gt;""),$C881-$B881,"")</f>
        <v/>
      </c>
      <c r="M881" s="53" t="str">
        <f aca="false">IF(AND($B881&lt;&gt;"",$D881&lt;&gt;""),$D881-$B881,"")</f>
        <v/>
      </c>
      <c r="N881" s="53" t="str">
        <f aca="false">IF(AND($C881&lt;&gt;"",$D881&lt;&gt;""),$D881-$C881,"")</f>
        <v/>
      </c>
      <c r="O881" s="53" t="str">
        <f aca="false">IF($E881&lt;&gt;"",$E881,"")</f>
        <v/>
      </c>
      <c r="P881" s="52" t="str">
        <f aca="false">IF($F881&lt;&gt;"",$F881,"")</f>
        <v>Apprenant 869 ou 869'</v>
      </c>
      <c r="Q881" s="53" t="str">
        <f aca="false">IF(AND($G881&lt;&gt;"",$H881&lt;&gt;""),$H881-$G881,"")</f>
        <v/>
      </c>
      <c r="R881" s="53" t="str">
        <f aca="false">IF(AND($G881&lt;&gt;"",$I881&lt;&gt;""),$I881-$G881,"")</f>
        <v/>
      </c>
      <c r="S881" s="53" t="str">
        <f aca="false">IF(AND($H881&lt;&gt;"",$I881&lt;&gt;""),$I881-$H881,"")</f>
        <v/>
      </c>
      <c r="T881" s="53" t="str">
        <f aca="false">IF($J881&lt;&gt;"",$J881,"")</f>
        <v/>
      </c>
      <c r="V881" s="52" t="str">
        <f aca="false">IF($A881&lt;&gt;"",$A881,"")</f>
        <v>Apprenant 869</v>
      </c>
      <c r="W881" s="53" t="str">
        <f aca="false">IF(AND(OR('Choix pédagogiques'!$C$3=1,'Choix pédagogiques'!$C$3=2),$BM881=1),B881,IF(AND('Choix pédagogiques'!$C$3=3,$BO881=1),B881,""))</f>
        <v/>
      </c>
      <c r="X881" s="53" t="str">
        <f aca="false">IF(AND(OR('Choix pédagogiques'!$C$3=1,'Choix pédagogiques'!$C$3=2),$BM881=1),C881,IF(AND('Choix pédagogiques'!$C$3=3,$BO881=1),C881,""))</f>
        <v/>
      </c>
      <c r="Y881" s="53" t="str">
        <f aca="false">IF(AND(OR('Choix pédagogiques'!$C$3=1,'Choix pédagogiques'!$C$3=2),$BM881=1),D881,IF(AND('Choix pédagogiques'!$C$3=3,$BO881=1),D881,""))</f>
        <v/>
      </c>
      <c r="Z881" s="53" t="str">
        <f aca="false">IF($E881&lt;&gt;"",$E881,"")</f>
        <v/>
      </c>
      <c r="AA881" s="52" t="str">
        <f aca="false">IF($F881&lt;&gt;"",$F881,"")</f>
        <v>Apprenant 869 ou 869'</v>
      </c>
      <c r="AB881" s="53" t="str">
        <f aca="false">IF(AND(OR('Choix pédagogiques'!$C$3=1,'Choix pédagogiques'!$C$3=2),$BN881=1),G881,IF(AND('Choix pédagogiques'!$C$3=3,$BO881=1),G881,""))</f>
        <v/>
      </c>
      <c r="AC881" s="53" t="str">
        <f aca="false">IF(AND(OR('Choix pédagogiques'!$C$3=1,'Choix pédagogiques'!$C$3=2),$BN881=1),H881,IF(AND('Choix pédagogiques'!$C$3=3,$BO881=1),H881,""))</f>
        <v/>
      </c>
      <c r="AD881" s="53" t="str">
        <f aca="false">IF(AND(OR('Choix pédagogiques'!$C$3=1,'Choix pédagogiques'!$C$3=2),$BN881=1),I881,IF(AND('Choix pédagogiques'!$C$3=3,$BO881=1),I881,""))</f>
        <v/>
      </c>
      <c r="AE881" s="53" t="str">
        <f aca="false">IF($J881&lt;&gt;"",$J881,"")</f>
        <v/>
      </c>
      <c r="AF881" s="52" t="str">
        <f aca="false">IF($A881&lt;&gt;"",$A881,"")</f>
        <v>Apprenant 869</v>
      </c>
      <c r="AG881" s="53" t="str">
        <f aca="false">IF(AND($W881&lt;&gt;"",$X881&lt;&gt;""),$X881-$W881,"")</f>
        <v/>
      </c>
      <c r="AH881" s="53" t="str">
        <f aca="false">IF(AND($W881&lt;&gt;"",$Y881&lt;&gt;""),$Y881-$W881,"")</f>
        <v/>
      </c>
      <c r="AI881" s="53" t="str">
        <f aca="false">IF(AND($X881&lt;&gt;"",$Y881&lt;&gt;""),$Y881-$X881,"")</f>
        <v/>
      </c>
      <c r="AJ881" s="53" t="str">
        <f aca="false">IF($E881&lt;&gt;"",$E881,"")</f>
        <v/>
      </c>
      <c r="AK881" s="52" t="str">
        <f aca="false">IF($F881&lt;&gt;"",$F881,"")</f>
        <v>Apprenant 869 ou 869'</v>
      </c>
      <c r="AL881" s="53" t="str">
        <f aca="false">IF(AND($AB881&lt;&gt;"",$AC881&lt;&gt;""),$AC881-$AB881,"")</f>
        <v/>
      </c>
      <c r="AM881" s="53" t="str">
        <f aca="false">IF(AND($AB881&lt;&gt;"",$AD881&lt;&gt;""),$AD881-$AB881,"")</f>
        <v/>
      </c>
      <c r="AN881" s="53" t="str">
        <f aca="false">IF(AND($AC881&lt;&gt;"",$AD881&lt;&gt;""),$AD881-$AC881,"")</f>
        <v/>
      </c>
      <c r="AO881" s="53" t="str">
        <f aca="false">IF($J881&lt;&gt;"",$J881,"")</f>
        <v/>
      </c>
      <c r="AQ881" s="52" t="str">
        <f aca="false">IF($A881&lt;&gt;"",$A881,"")</f>
        <v>Apprenant 869</v>
      </c>
      <c r="AR881" s="55" t="str">
        <f aca="false">IF(AND('Choix pédagogiques'!$C$4&lt;&gt;"?",'Choix pédagogiques'!$C$5&lt;&gt;"?",W881&lt;&gt;""),(W881-'Choix pédagogiques'!$C$4)/('Choix pédagogiques'!$C$5-'Choix pédagogiques'!$C$4),"")</f>
        <v/>
      </c>
      <c r="AS881" s="55" t="str">
        <f aca="false">IF(AND('Choix pédagogiques'!$C$4&lt;&gt;"?",'Choix pédagogiques'!$C$5&lt;&gt;"?",X881&lt;&gt;""),(X881-'Choix pédagogiques'!$C$4)/('Choix pédagogiques'!$C$5-'Choix pédagogiques'!$C$4),"")</f>
        <v/>
      </c>
      <c r="AT881" s="55" t="str">
        <f aca="false">IF(AND('Choix pédagogiques'!$C$4&lt;&gt;"?",'Choix pédagogiques'!$C$5&lt;&gt;"?",Y881&lt;&gt;""),(Y881-'Choix pédagogiques'!$C$4)/('Choix pédagogiques'!$C$5-'Choix pédagogiques'!$C$4),"")</f>
        <v/>
      </c>
      <c r="AU881" s="53" t="str">
        <f aca="false">IF($E881&lt;&gt;"",$E881,"")</f>
        <v/>
      </c>
      <c r="AV881" s="52" t="str">
        <f aca="false">IF($F881&lt;&gt;"",$F881,"")</f>
        <v>Apprenant 869 ou 869'</v>
      </c>
      <c r="AW881" s="55" t="str">
        <f aca="false">IF(AND('Choix pédagogiques'!$C$4&lt;&gt;"?",'Choix pédagogiques'!$C$5&lt;&gt;"?",AB881&lt;&gt;""),(AB881-'Choix pédagogiques'!$C$4)/('Choix pédagogiques'!$C$5-'Choix pédagogiques'!$C$4),"")</f>
        <v/>
      </c>
      <c r="AX881" s="55" t="str">
        <f aca="false">IF(AND('Choix pédagogiques'!$C$4&lt;&gt;"?",'Choix pédagogiques'!$C$5&lt;&gt;"?",AC881&lt;&gt;""),(AC881-'Choix pédagogiques'!$C$4)/('Choix pédagogiques'!$C$5-'Choix pédagogiques'!$C$4),"")</f>
        <v/>
      </c>
      <c r="AY881" s="55" t="str">
        <f aca="false">IF(AND('Choix pédagogiques'!$C$4&lt;&gt;"?",'Choix pédagogiques'!$C$5&lt;&gt;"?",AD881&lt;&gt;""),(AD881-'Choix pédagogiques'!$C$4)/('Choix pédagogiques'!$C$5-'Choix pédagogiques'!$C$4),"")</f>
        <v/>
      </c>
      <c r="AZ881" s="53" t="str">
        <f aca="false">IF($J881&lt;&gt;"",$J881,"")</f>
        <v/>
      </c>
      <c r="BA881" s="52" t="str">
        <f aca="false">IF($A881&lt;&gt;"",$A881,"")</f>
        <v>Apprenant 869</v>
      </c>
      <c r="BB881" s="55" t="str">
        <f aca="false">IF(AND($AR881&lt;&gt;"",$AS881&lt;&gt;""),$AS881-$AR881,"")</f>
        <v/>
      </c>
      <c r="BC881" s="55" t="str">
        <f aca="false">IF(AND($AR881&lt;&gt;"",$AT881&lt;&gt;""),$AT881-$AR881,"")</f>
        <v/>
      </c>
      <c r="BD881" s="55" t="str">
        <f aca="false">IF(AND($AS881&lt;&gt;"",$AT881&lt;&gt;""),$AT881-$AS881,"")</f>
        <v/>
      </c>
      <c r="BE881" s="53" t="str">
        <f aca="false">IF($E881&lt;&gt;"",$E881,"")</f>
        <v/>
      </c>
      <c r="BF881" s="52" t="str">
        <f aca="false">IF($F881&lt;&gt;"",$F881,"")</f>
        <v>Apprenant 869 ou 869'</v>
      </c>
      <c r="BG881" s="55" t="str">
        <f aca="false">IF(AND($AW881&lt;&gt;"",$AX881&lt;&gt;""),$AX881-$AW881,"")</f>
        <v/>
      </c>
      <c r="BH881" s="55" t="str">
        <f aca="false">IF(AND($AW881&lt;&gt;"",$AY881&lt;&gt;""),$AY881-$AW881,"")</f>
        <v/>
      </c>
      <c r="BI881" s="55" t="str">
        <f aca="false">IF(AND($AX881&lt;&gt;"",$AY881&lt;&gt;""),$AY881-$AX881,"")</f>
        <v/>
      </c>
      <c r="BJ881" s="53" t="str">
        <f aca="false">IF($J881&lt;&gt;"",$J881,"")</f>
        <v/>
      </c>
      <c r="BL881" s="52"/>
      <c r="BM881" s="52" t="str">
        <f aca="false">IF(OR(COUNT(B881:D1880)=0,AND('Choix pédagogiques'!$C$3&lt;&gt;1,'Choix pédagogiques'!$C$3&lt;&gt;2)),"",IF(AND(OR('Choix pédagogiques'!$C$3=1,'Choix pédagogiques'!$C$3=2),$B881&lt;&gt;"",$C881&lt;&gt;"",$D881&lt;&gt;""),1,0))</f>
        <v/>
      </c>
      <c r="BN881" s="52" t="str">
        <f aca="false">IF(OR(COUNT(G881:I1880)=0,AND('Choix pédagogiques'!$C$3&lt;&gt;1,'Choix pédagogiques'!$C$3&lt;&gt;2)),"",IF(AND(OR('Choix pédagogiques'!$C$3=1,'Choix pédagogiques'!$C$3=2),AND($G881&lt;&gt;"",$H881&lt;&gt;"",$I881&lt;&gt;"")),1,0))</f>
        <v/>
      </c>
      <c r="BO881" s="52" t="str">
        <f aca="false">IF(OR(COUNT(B881:D1880)=0,COUNT(G881:I1880)=0,'Choix pédagogiques'!C$3&lt;&gt;3),"",IF(AND('Choix pédagogiques'!$C$3=3,$B881&lt;&gt;"",$C881&lt;&gt;"",$D881&lt;&gt;"",$G881&lt;&gt;"",$H881&lt;&gt;"",$I881&lt;&gt;""),1,0))</f>
        <v/>
      </c>
      <c r="BR881" s="52" t="n">
        <v>770</v>
      </c>
      <c r="BS881" s="52" t="n">
        <v>1508</v>
      </c>
    </row>
    <row r="882" s="54" customFormat="true" ht="18" hidden="false" customHeight="true" outlineLevel="0" collapsed="false">
      <c r="A882" s="57" t="s">
        <v>1695</v>
      </c>
      <c r="B882" s="51"/>
      <c r="C882" s="51"/>
      <c r="D882" s="51"/>
      <c r="E882" s="51"/>
      <c r="F882" s="57" t="s">
        <v>1696</v>
      </c>
      <c r="G882" s="51"/>
      <c r="H882" s="51"/>
      <c r="I882" s="51"/>
      <c r="J882" s="51"/>
      <c r="K882" s="52" t="str">
        <f aca="false">IF($A882&lt;&gt;"",$A882,"")</f>
        <v>Apprenant 870</v>
      </c>
      <c r="L882" s="53" t="str">
        <f aca="false">IF(AND($B882&lt;&gt;"",$C882&lt;&gt;""),$C882-$B882,"")</f>
        <v/>
      </c>
      <c r="M882" s="53" t="str">
        <f aca="false">IF(AND($B882&lt;&gt;"",$D882&lt;&gt;""),$D882-$B882,"")</f>
        <v/>
      </c>
      <c r="N882" s="53" t="str">
        <f aca="false">IF(AND($C882&lt;&gt;"",$D882&lt;&gt;""),$D882-$C882,"")</f>
        <v/>
      </c>
      <c r="O882" s="53" t="str">
        <f aca="false">IF($E882&lt;&gt;"",$E882,"")</f>
        <v/>
      </c>
      <c r="P882" s="52" t="str">
        <f aca="false">IF($F882&lt;&gt;"",$F882,"")</f>
        <v>Apprenant 870 ou 870'</v>
      </c>
      <c r="Q882" s="53" t="str">
        <f aca="false">IF(AND($G882&lt;&gt;"",$H882&lt;&gt;""),$H882-$G882,"")</f>
        <v/>
      </c>
      <c r="R882" s="53" t="str">
        <f aca="false">IF(AND($G882&lt;&gt;"",$I882&lt;&gt;""),$I882-$G882,"")</f>
        <v/>
      </c>
      <c r="S882" s="53" t="str">
        <f aca="false">IF(AND($H882&lt;&gt;"",$I882&lt;&gt;""),$I882-$H882,"")</f>
        <v/>
      </c>
      <c r="T882" s="53" t="str">
        <f aca="false">IF($J882&lt;&gt;"",$J882,"")</f>
        <v/>
      </c>
      <c r="V882" s="52" t="str">
        <f aca="false">IF($A882&lt;&gt;"",$A882,"")</f>
        <v>Apprenant 870</v>
      </c>
      <c r="W882" s="53" t="str">
        <f aca="false">IF(AND(OR('Choix pédagogiques'!$C$3=1,'Choix pédagogiques'!$C$3=2),$BM882=1),B882,IF(AND('Choix pédagogiques'!$C$3=3,$BO882=1),B882,""))</f>
        <v/>
      </c>
      <c r="X882" s="53" t="str">
        <f aca="false">IF(AND(OR('Choix pédagogiques'!$C$3=1,'Choix pédagogiques'!$C$3=2),$BM882=1),C882,IF(AND('Choix pédagogiques'!$C$3=3,$BO882=1),C882,""))</f>
        <v/>
      </c>
      <c r="Y882" s="53" t="str">
        <f aca="false">IF(AND(OR('Choix pédagogiques'!$C$3=1,'Choix pédagogiques'!$C$3=2),$BM882=1),D882,IF(AND('Choix pédagogiques'!$C$3=3,$BO882=1),D882,""))</f>
        <v/>
      </c>
      <c r="Z882" s="53" t="str">
        <f aca="false">IF($E882&lt;&gt;"",$E882,"")</f>
        <v/>
      </c>
      <c r="AA882" s="52" t="str">
        <f aca="false">IF($F882&lt;&gt;"",$F882,"")</f>
        <v>Apprenant 870 ou 870'</v>
      </c>
      <c r="AB882" s="53" t="str">
        <f aca="false">IF(AND(OR('Choix pédagogiques'!$C$3=1,'Choix pédagogiques'!$C$3=2),$BN882=1),G882,IF(AND('Choix pédagogiques'!$C$3=3,$BO882=1),G882,""))</f>
        <v/>
      </c>
      <c r="AC882" s="53" t="str">
        <f aca="false">IF(AND(OR('Choix pédagogiques'!$C$3=1,'Choix pédagogiques'!$C$3=2),$BN882=1),H882,IF(AND('Choix pédagogiques'!$C$3=3,$BO882=1),H882,""))</f>
        <v/>
      </c>
      <c r="AD882" s="53" t="str">
        <f aca="false">IF(AND(OR('Choix pédagogiques'!$C$3=1,'Choix pédagogiques'!$C$3=2),$BN882=1),I882,IF(AND('Choix pédagogiques'!$C$3=3,$BO882=1),I882,""))</f>
        <v/>
      </c>
      <c r="AE882" s="53" t="str">
        <f aca="false">IF($J882&lt;&gt;"",$J882,"")</f>
        <v/>
      </c>
      <c r="AF882" s="52" t="str">
        <f aca="false">IF($A882&lt;&gt;"",$A882,"")</f>
        <v>Apprenant 870</v>
      </c>
      <c r="AG882" s="53" t="str">
        <f aca="false">IF(AND($W882&lt;&gt;"",$X882&lt;&gt;""),$X882-$W882,"")</f>
        <v/>
      </c>
      <c r="AH882" s="53" t="str">
        <f aca="false">IF(AND($W882&lt;&gt;"",$Y882&lt;&gt;""),$Y882-$W882,"")</f>
        <v/>
      </c>
      <c r="AI882" s="53" t="str">
        <f aca="false">IF(AND($X882&lt;&gt;"",$Y882&lt;&gt;""),$Y882-$X882,"")</f>
        <v/>
      </c>
      <c r="AJ882" s="53" t="str">
        <f aca="false">IF($E882&lt;&gt;"",$E882,"")</f>
        <v/>
      </c>
      <c r="AK882" s="52" t="str">
        <f aca="false">IF($F882&lt;&gt;"",$F882,"")</f>
        <v>Apprenant 870 ou 870'</v>
      </c>
      <c r="AL882" s="53" t="str">
        <f aca="false">IF(AND($AB882&lt;&gt;"",$AC882&lt;&gt;""),$AC882-$AB882,"")</f>
        <v/>
      </c>
      <c r="AM882" s="53" t="str">
        <f aca="false">IF(AND($AB882&lt;&gt;"",$AD882&lt;&gt;""),$AD882-$AB882,"")</f>
        <v/>
      </c>
      <c r="AN882" s="53" t="str">
        <f aca="false">IF(AND($AC882&lt;&gt;"",$AD882&lt;&gt;""),$AD882-$AC882,"")</f>
        <v/>
      </c>
      <c r="AO882" s="53" t="str">
        <f aca="false">IF($J882&lt;&gt;"",$J882,"")</f>
        <v/>
      </c>
      <c r="AQ882" s="52" t="str">
        <f aca="false">IF($A882&lt;&gt;"",$A882,"")</f>
        <v>Apprenant 870</v>
      </c>
      <c r="AR882" s="55" t="str">
        <f aca="false">IF(AND('Choix pédagogiques'!$C$4&lt;&gt;"?",'Choix pédagogiques'!$C$5&lt;&gt;"?",W882&lt;&gt;""),(W882-'Choix pédagogiques'!$C$4)/('Choix pédagogiques'!$C$5-'Choix pédagogiques'!$C$4),"")</f>
        <v/>
      </c>
      <c r="AS882" s="55" t="str">
        <f aca="false">IF(AND('Choix pédagogiques'!$C$4&lt;&gt;"?",'Choix pédagogiques'!$C$5&lt;&gt;"?",X882&lt;&gt;""),(X882-'Choix pédagogiques'!$C$4)/('Choix pédagogiques'!$C$5-'Choix pédagogiques'!$C$4),"")</f>
        <v/>
      </c>
      <c r="AT882" s="55" t="str">
        <f aca="false">IF(AND('Choix pédagogiques'!$C$4&lt;&gt;"?",'Choix pédagogiques'!$C$5&lt;&gt;"?",Y882&lt;&gt;""),(Y882-'Choix pédagogiques'!$C$4)/('Choix pédagogiques'!$C$5-'Choix pédagogiques'!$C$4),"")</f>
        <v/>
      </c>
      <c r="AU882" s="53" t="str">
        <f aca="false">IF($E882&lt;&gt;"",$E882,"")</f>
        <v/>
      </c>
      <c r="AV882" s="52" t="str">
        <f aca="false">IF($F882&lt;&gt;"",$F882,"")</f>
        <v>Apprenant 870 ou 870'</v>
      </c>
      <c r="AW882" s="55" t="str">
        <f aca="false">IF(AND('Choix pédagogiques'!$C$4&lt;&gt;"?",'Choix pédagogiques'!$C$5&lt;&gt;"?",AB882&lt;&gt;""),(AB882-'Choix pédagogiques'!$C$4)/('Choix pédagogiques'!$C$5-'Choix pédagogiques'!$C$4),"")</f>
        <v/>
      </c>
      <c r="AX882" s="55" t="str">
        <f aca="false">IF(AND('Choix pédagogiques'!$C$4&lt;&gt;"?",'Choix pédagogiques'!$C$5&lt;&gt;"?",AC882&lt;&gt;""),(AC882-'Choix pédagogiques'!$C$4)/('Choix pédagogiques'!$C$5-'Choix pédagogiques'!$C$4),"")</f>
        <v/>
      </c>
      <c r="AY882" s="55" t="str">
        <f aca="false">IF(AND('Choix pédagogiques'!$C$4&lt;&gt;"?",'Choix pédagogiques'!$C$5&lt;&gt;"?",AD882&lt;&gt;""),(AD882-'Choix pédagogiques'!$C$4)/('Choix pédagogiques'!$C$5-'Choix pédagogiques'!$C$4),"")</f>
        <v/>
      </c>
      <c r="AZ882" s="53" t="str">
        <f aca="false">IF($J882&lt;&gt;"",$J882,"")</f>
        <v/>
      </c>
      <c r="BA882" s="52" t="str">
        <f aca="false">IF($A882&lt;&gt;"",$A882,"")</f>
        <v>Apprenant 870</v>
      </c>
      <c r="BB882" s="55" t="str">
        <f aca="false">IF(AND($AR882&lt;&gt;"",$AS882&lt;&gt;""),$AS882-$AR882,"")</f>
        <v/>
      </c>
      <c r="BC882" s="55" t="str">
        <f aca="false">IF(AND($AR882&lt;&gt;"",$AT882&lt;&gt;""),$AT882-$AR882,"")</f>
        <v/>
      </c>
      <c r="BD882" s="55" t="str">
        <f aca="false">IF(AND($AS882&lt;&gt;"",$AT882&lt;&gt;""),$AT882-$AS882,"")</f>
        <v/>
      </c>
      <c r="BE882" s="53" t="str">
        <f aca="false">IF($E882&lt;&gt;"",$E882,"")</f>
        <v/>
      </c>
      <c r="BF882" s="52" t="str">
        <f aca="false">IF($F882&lt;&gt;"",$F882,"")</f>
        <v>Apprenant 870 ou 870'</v>
      </c>
      <c r="BG882" s="55" t="str">
        <f aca="false">IF(AND($AW882&lt;&gt;"",$AX882&lt;&gt;""),$AX882-$AW882,"")</f>
        <v/>
      </c>
      <c r="BH882" s="55" t="str">
        <f aca="false">IF(AND($AW882&lt;&gt;"",$AY882&lt;&gt;""),$AY882-$AW882,"")</f>
        <v/>
      </c>
      <c r="BI882" s="55" t="str">
        <f aca="false">IF(AND($AX882&lt;&gt;"",$AY882&lt;&gt;""),$AY882-$AX882,"")</f>
        <v/>
      </c>
      <c r="BJ882" s="53" t="str">
        <f aca="false">IF($J882&lt;&gt;"",$J882,"")</f>
        <v/>
      </c>
      <c r="BL882" s="52"/>
      <c r="BM882" s="52" t="str">
        <f aca="false">IF(OR(COUNT(B882:D1881)=0,AND('Choix pédagogiques'!$C$3&lt;&gt;1,'Choix pédagogiques'!$C$3&lt;&gt;2)),"",IF(AND(OR('Choix pédagogiques'!$C$3=1,'Choix pédagogiques'!$C$3=2),$B882&lt;&gt;"",$C882&lt;&gt;"",$D882&lt;&gt;""),1,0))</f>
        <v/>
      </c>
      <c r="BN882" s="52" t="str">
        <f aca="false">IF(OR(COUNT(G882:I1881)=0,AND('Choix pédagogiques'!$C$3&lt;&gt;1,'Choix pédagogiques'!$C$3&lt;&gt;2)),"",IF(AND(OR('Choix pédagogiques'!$C$3=1,'Choix pédagogiques'!$C$3=2),AND($G882&lt;&gt;"",$H882&lt;&gt;"",$I882&lt;&gt;"")),1,0))</f>
        <v/>
      </c>
      <c r="BO882" s="52" t="str">
        <f aca="false">IF(OR(COUNT(B882:D1881)=0,COUNT(G882:I1881)=0,'Choix pédagogiques'!C$3&lt;&gt;3),"",IF(AND('Choix pédagogiques'!$C$3=3,$B882&lt;&gt;"",$C882&lt;&gt;"",$D882&lt;&gt;"",$G882&lt;&gt;"",$H882&lt;&gt;"",$I882&lt;&gt;""),1,0))</f>
        <v/>
      </c>
      <c r="BR882" s="52" t="n">
        <v>300</v>
      </c>
      <c r="BS882" s="52" t="n">
        <v>1540</v>
      </c>
    </row>
    <row r="883" s="54" customFormat="true" ht="18" hidden="false" customHeight="true" outlineLevel="0" collapsed="false">
      <c r="A883" s="57" t="s">
        <v>1697</v>
      </c>
      <c r="B883" s="51"/>
      <c r="C883" s="51"/>
      <c r="D883" s="51"/>
      <c r="E883" s="51"/>
      <c r="F883" s="57" t="s">
        <v>1698</v>
      </c>
      <c r="G883" s="51"/>
      <c r="H883" s="51"/>
      <c r="I883" s="51"/>
      <c r="J883" s="51"/>
      <c r="K883" s="52" t="str">
        <f aca="false">IF($A883&lt;&gt;"",$A883,"")</f>
        <v>Apprenant 871</v>
      </c>
      <c r="L883" s="53" t="str">
        <f aca="false">IF(AND($B883&lt;&gt;"",$C883&lt;&gt;""),$C883-$B883,"")</f>
        <v/>
      </c>
      <c r="M883" s="53" t="str">
        <f aca="false">IF(AND($B883&lt;&gt;"",$D883&lt;&gt;""),$D883-$B883,"")</f>
        <v/>
      </c>
      <c r="N883" s="53" t="str">
        <f aca="false">IF(AND($C883&lt;&gt;"",$D883&lt;&gt;""),$D883-$C883,"")</f>
        <v/>
      </c>
      <c r="O883" s="53" t="str">
        <f aca="false">IF($E883&lt;&gt;"",$E883,"")</f>
        <v/>
      </c>
      <c r="P883" s="52" t="str">
        <f aca="false">IF($F883&lt;&gt;"",$F883,"")</f>
        <v>Apprenant 871 ou 871'</v>
      </c>
      <c r="Q883" s="53" t="str">
        <f aca="false">IF(AND($G883&lt;&gt;"",$H883&lt;&gt;""),$H883-$G883,"")</f>
        <v/>
      </c>
      <c r="R883" s="53" t="str">
        <f aca="false">IF(AND($G883&lt;&gt;"",$I883&lt;&gt;""),$I883-$G883,"")</f>
        <v/>
      </c>
      <c r="S883" s="53" t="str">
        <f aca="false">IF(AND($H883&lt;&gt;"",$I883&lt;&gt;""),$I883-$H883,"")</f>
        <v/>
      </c>
      <c r="T883" s="53" t="str">
        <f aca="false">IF($J883&lt;&gt;"",$J883,"")</f>
        <v/>
      </c>
      <c r="V883" s="52" t="str">
        <f aca="false">IF($A883&lt;&gt;"",$A883,"")</f>
        <v>Apprenant 871</v>
      </c>
      <c r="W883" s="53" t="str">
        <f aca="false">IF(AND(OR('Choix pédagogiques'!$C$3=1,'Choix pédagogiques'!$C$3=2),$BM883=1),B883,IF(AND('Choix pédagogiques'!$C$3=3,$BO883=1),B883,""))</f>
        <v/>
      </c>
      <c r="X883" s="53" t="str">
        <f aca="false">IF(AND(OR('Choix pédagogiques'!$C$3=1,'Choix pédagogiques'!$C$3=2),$BM883=1),C883,IF(AND('Choix pédagogiques'!$C$3=3,$BO883=1),C883,""))</f>
        <v/>
      </c>
      <c r="Y883" s="53" t="str">
        <f aca="false">IF(AND(OR('Choix pédagogiques'!$C$3=1,'Choix pédagogiques'!$C$3=2),$BM883=1),D883,IF(AND('Choix pédagogiques'!$C$3=3,$BO883=1),D883,""))</f>
        <v/>
      </c>
      <c r="Z883" s="53" t="str">
        <f aca="false">IF($E883&lt;&gt;"",$E883,"")</f>
        <v/>
      </c>
      <c r="AA883" s="52" t="str">
        <f aca="false">IF($F883&lt;&gt;"",$F883,"")</f>
        <v>Apprenant 871 ou 871'</v>
      </c>
      <c r="AB883" s="53" t="str">
        <f aca="false">IF(AND(OR('Choix pédagogiques'!$C$3=1,'Choix pédagogiques'!$C$3=2),$BN883=1),G883,IF(AND('Choix pédagogiques'!$C$3=3,$BO883=1),G883,""))</f>
        <v/>
      </c>
      <c r="AC883" s="53" t="str">
        <f aca="false">IF(AND(OR('Choix pédagogiques'!$C$3=1,'Choix pédagogiques'!$C$3=2),$BN883=1),H883,IF(AND('Choix pédagogiques'!$C$3=3,$BO883=1),H883,""))</f>
        <v/>
      </c>
      <c r="AD883" s="53" t="str">
        <f aca="false">IF(AND(OR('Choix pédagogiques'!$C$3=1,'Choix pédagogiques'!$C$3=2),$BN883=1),I883,IF(AND('Choix pédagogiques'!$C$3=3,$BO883=1),I883,""))</f>
        <v/>
      </c>
      <c r="AE883" s="53" t="str">
        <f aca="false">IF($J883&lt;&gt;"",$J883,"")</f>
        <v/>
      </c>
      <c r="AF883" s="52" t="str">
        <f aca="false">IF($A883&lt;&gt;"",$A883,"")</f>
        <v>Apprenant 871</v>
      </c>
      <c r="AG883" s="53" t="str">
        <f aca="false">IF(AND($W883&lt;&gt;"",$X883&lt;&gt;""),$X883-$W883,"")</f>
        <v/>
      </c>
      <c r="AH883" s="53" t="str">
        <f aca="false">IF(AND($W883&lt;&gt;"",$Y883&lt;&gt;""),$Y883-$W883,"")</f>
        <v/>
      </c>
      <c r="AI883" s="53" t="str">
        <f aca="false">IF(AND($X883&lt;&gt;"",$Y883&lt;&gt;""),$Y883-$X883,"")</f>
        <v/>
      </c>
      <c r="AJ883" s="53" t="str">
        <f aca="false">IF($E883&lt;&gt;"",$E883,"")</f>
        <v/>
      </c>
      <c r="AK883" s="52" t="str">
        <f aca="false">IF($F883&lt;&gt;"",$F883,"")</f>
        <v>Apprenant 871 ou 871'</v>
      </c>
      <c r="AL883" s="53" t="str">
        <f aca="false">IF(AND($AB883&lt;&gt;"",$AC883&lt;&gt;""),$AC883-$AB883,"")</f>
        <v/>
      </c>
      <c r="AM883" s="53" t="str">
        <f aca="false">IF(AND($AB883&lt;&gt;"",$AD883&lt;&gt;""),$AD883-$AB883,"")</f>
        <v/>
      </c>
      <c r="AN883" s="53" t="str">
        <f aca="false">IF(AND($AC883&lt;&gt;"",$AD883&lt;&gt;""),$AD883-$AC883,"")</f>
        <v/>
      </c>
      <c r="AO883" s="53" t="str">
        <f aca="false">IF($J883&lt;&gt;"",$J883,"")</f>
        <v/>
      </c>
      <c r="AQ883" s="52" t="str">
        <f aca="false">IF($A883&lt;&gt;"",$A883,"")</f>
        <v>Apprenant 871</v>
      </c>
      <c r="AR883" s="55" t="str">
        <f aca="false">IF(AND('Choix pédagogiques'!$C$4&lt;&gt;"?",'Choix pédagogiques'!$C$5&lt;&gt;"?",W883&lt;&gt;""),(W883-'Choix pédagogiques'!$C$4)/('Choix pédagogiques'!$C$5-'Choix pédagogiques'!$C$4),"")</f>
        <v/>
      </c>
      <c r="AS883" s="55" t="str">
        <f aca="false">IF(AND('Choix pédagogiques'!$C$4&lt;&gt;"?",'Choix pédagogiques'!$C$5&lt;&gt;"?",X883&lt;&gt;""),(X883-'Choix pédagogiques'!$C$4)/('Choix pédagogiques'!$C$5-'Choix pédagogiques'!$C$4),"")</f>
        <v/>
      </c>
      <c r="AT883" s="55" t="str">
        <f aca="false">IF(AND('Choix pédagogiques'!$C$4&lt;&gt;"?",'Choix pédagogiques'!$C$5&lt;&gt;"?",Y883&lt;&gt;""),(Y883-'Choix pédagogiques'!$C$4)/('Choix pédagogiques'!$C$5-'Choix pédagogiques'!$C$4),"")</f>
        <v/>
      </c>
      <c r="AU883" s="53" t="str">
        <f aca="false">IF($E883&lt;&gt;"",$E883,"")</f>
        <v/>
      </c>
      <c r="AV883" s="52" t="str">
        <f aca="false">IF($F883&lt;&gt;"",$F883,"")</f>
        <v>Apprenant 871 ou 871'</v>
      </c>
      <c r="AW883" s="55" t="str">
        <f aca="false">IF(AND('Choix pédagogiques'!$C$4&lt;&gt;"?",'Choix pédagogiques'!$C$5&lt;&gt;"?",AB883&lt;&gt;""),(AB883-'Choix pédagogiques'!$C$4)/('Choix pédagogiques'!$C$5-'Choix pédagogiques'!$C$4),"")</f>
        <v/>
      </c>
      <c r="AX883" s="55" t="str">
        <f aca="false">IF(AND('Choix pédagogiques'!$C$4&lt;&gt;"?",'Choix pédagogiques'!$C$5&lt;&gt;"?",AC883&lt;&gt;""),(AC883-'Choix pédagogiques'!$C$4)/('Choix pédagogiques'!$C$5-'Choix pédagogiques'!$C$4),"")</f>
        <v/>
      </c>
      <c r="AY883" s="55" t="str">
        <f aca="false">IF(AND('Choix pédagogiques'!$C$4&lt;&gt;"?",'Choix pédagogiques'!$C$5&lt;&gt;"?",AD883&lt;&gt;""),(AD883-'Choix pédagogiques'!$C$4)/('Choix pédagogiques'!$C$5-'Choix pédagogiques'!$C$4),"")</f>
        <v/>
      </c>
      <c r="AZ883" s="53" t="str">
        <f aca="false">IF($J883&lt;&gt;"",$J883,"")</f>
        <v/>
      </c>
      <c r="BA883" s="52" t="str">
        <f aca="false">IF($A883&lt;&gt;"",$A883,"")</f>
        <v>Apprenant 871</v>
      </c>
      <c r="BB883" s="55" t="str">
        <f aca="false">IF(AND($AR883&lt;&gt;"",$AS883&lt;&gt;""),$AS883-$AR883,"")</f>
        <v/>
      </c>
      <c r="BC883" s="55" t="str">
        <f aca="false">IF(AND($AR883&lt;&gt;"",$AT883&lt;&gt;""),$AT883-$AR883,"")</f>
        <v/>
      </c>
      <c r="BD883" s="55" t="str">
        <f aca="false">IF(AND($AS883&lt;&gt;"",$AT883&lt;&gt;""),$AT883-$AS883,"")</f>
        <v/>
      </c>
      <c r="BE883" s="53" t="str">
        <f aca="false">IF($E883&lt;&gt;"",$E883,"")</f>
        <v/>
      </c>
      <c r="BF883" s="52" t="str">
        <f aca="false">IF($F883&lt;&gt;"",$F883,"")</f>
        <v>Apprenant 871 ou 871'</v>
      </c>
      <c r="BG883" s="55" t="str">
        <f aca="false">IF(AND($AW883&lt;&gt;"",$AX883&lt;&gt;""),$AX883-$AW883,"")</f>
        <v/>
      </c>
      <c r="BH883" s="55" t="str">
        <f aca="false">IF(AND($AW883&lt;&gt;"",$AY883&lt;&gt;""),$AY883-$AW883,"")</f>
        <v/>
      </c>
      <c r="BI883" s="55" t="str">
        <f aca="false">IF(AND($AX883&lt;&gt;"",$AY883&lt;&gt;""),$AY883-$AX883,"")</f>
        <v/>
      </c>
      <c r="BJ883" s="53" t="str">
        <f aca="false">IF($J883&lt;&gt;"",$J883,"")</f>
        <v/>
      </c>
      <c r="BL883" s="52"/>
      <c r="BM883" s="52" t="str">
        <f aca="false">IF(OR(COUNT(B883:D1882)=0,AND('Choix pédagogiques'!$C$3&lt;&gt;1,'Choix pédagogiques'!$C$3&lt;&gt;2)),"",IF(AND(OR('Choix pédagogiques'!$C$3=1,'Choix pédagogiques'!$C$3=2),$B883&lt;&gt;"",$C883&lt;&gt;"",$D883&lt;&gt;""),1,0))</f>
        <v/>
      </c>
      <c r="BN883" s="52" t="str">
        <f aca="false">IF(OR(COUNT(G883:I1882)=0,AND('Choix pédagogiques'!$C$3&lt;&gt;1,'Choix pédagogiques'!$C$3&lt;&gt;2)),"",IF(AND(OR('Choix pédagogiques'!$C$3=1,'Choix pédagogiques'!$C$3=2),AND($G883&lt;&gt;"",$H883&lt;&gt;"",$I883&lt;&gt;"")),1,0))</f>
        <v/>
      </c>
      <c r="BO883" s="52" t="str">
        <f aca="false">IF(OR(COUNT(B883:D1882)=0,COUNT(G883:I1882)=0,'Choix pédagogiques'!C$3&lt;&gt;3),"",IF(AND('Choix pédagogiques'!$C$3=3,$B883&lt;&gt;"",$C883&lt;&gt;"",$D883&lt;&gt;"",$G883&lt;&gt;"",$H883&lt;&gt;"",$I883&lt;&gt;""),1,0))</f>
        <v/>
      </c>
      <c r="BR883" s="52" t="n">
        <v>652</v>
      </c>
      <c r="BS883" s="52" t="n">
        <v>1532</v>
      </c>
    </row>
    <row r="884" s="54" customFormat="true" ht="18" hidden="false" customHeight="true" outlineLevel="0" collapsed="false">
      <c r="A884" s="57" t="s">
        <v>1699</v>
      </c>
      <c r="B884" s="51"/>
      <c r="C884" s="51"/>
      <c r="D884" s="51"/>
      <c r="E884" s="51"/>
      <c r="F884" s="57" t="s">
        <v>1700</v>
      </c>
      <c r="G884" s="51"/>
      <c r="H884" s="51"/>
      <c r="I884" s="51"/>
      <c r="J884" s="51"/>
      <c r="K884" s="52" t="str">
        <f aca="false">IF($A884&lt;&gt;"",$A884,"")</f>
        <v>Apprenant 872</v>
      </c>
      <c r="L884" s="53" t="str">
        <f aca="false">IF(AND($B884&lt;&gt;"",$C884&lt;&gt;""),$C884-$B884,"")</f>
        <v/>
      </c>
      <c r="M884" s="53" t="str">
        <f aca="false">IF(AND($B884&lt;&gt;"",$D884&lt;&gt;""),$D884-$B884,"")</f>
        <v/>
      </c>
      <c r="N884" s="53" t="str">
        <f aca="false">IF(AND($C884&lt;&gt;"",$D884&lt;&gt;""),$D884-$C884,"")</f>
        <v/>
      </c>
      <c r="O884" s="53" t="str">
        <f aca="false">IF($E884&lt;&gt;"",$E884,"")</f>
        <v/>
      </c>
      <c r="P884" s="52" t="str">
        <f aca="false">IF($F884&lt;&gt;"",$F884,"")</f>
        <v>Apprenant 872 ou 872'</v>
      </c>
      <c r="Q884" s="53" t="str">
        <f aca="false">IF(AND($G884&lt;&gt;"",$H884&lt;&gt;""),$H884-$G884,"")</f>
        <v/>
      </c>
      <c r="R884" s="53" t="str">
        <f aca="false">IF(AND($G884&lt;&gt;"",$I884&lt;&gt;""),$I884-$G884,"")</f>
        <v/>
      </c>
      <c r="S884" s="53" t="str">
        <f aca="false">IF(AND($H884&lt;&gt;"",$I884&lt;&gt;""),$I884-$H884,"")</f>
        <v/>
      </c>
      <c r="T884" s="53" t="str">
        <f aca="false">IF($J884&lt;&gt;"",$J884,"")</f>
        <v/>
      </c>
      <c r="V884" s="52" t="str">
        <f aca="false">IF($A884&lt;&gt;"",$A884,"")</f>
        <v>Apprenant 872</v>
      </c>
      <c r="W884" s="53" t="str">
        <f aca="false">IF(AND(OR('Choix pédagogiques'!$C$3=1,'Choix pédagogiques'!$C$3=2),$BM884=1),B884,IF(AND('Choix pédagogiques'!$C$3=3,$BO884=1),B884,""))</f>
        <v/>
      </c>
      <c r="X884" s="53" t="str">
        <f aca="false">IF(AND(OR('Choix pédagogiques'!$C$3=1,'Choix pédagogiques'!$C$3=2),$BM884=1),C884,IF(AND('Choix pédagogiques'!$C$3=3,$BO884=1),C884,""))</f>
        <v/>
      </c>
      <c r="Y884" s="53" t="str">
        <f aca="false">IF(AND(OR('Choix pédagogiques'!$C$3=1,'Choix pédagogiques'!$C$3=2),$BM884=1),D884,IF(AND('Choix pédagogiques'!$C$3=3,$BO884=1),D884,""))</f>
        <v/>
      </c>
      <c r="Z884" s="53" t="str">
        <f aca="false">IF($E884&lt;&gt;"",$E884,"")</f>
        <v/>
      </c>
      <c r="AA884" s="52" t="str">
        <f aca="false">IF($F884&lt;&gt;"",$F884,"")</f>
        <v>Apprenant 872 ou 872'</v>
      </c>
      <c r="AB884" s="53" t="str">
        <f aca="false">IF(AND(OR('Choix pédagogiques'!$C$3=1,'Choix pédagogiques'!$C$3=2),$BN884=1),G884,IF(AND('Choix pédagogiques'!$C$3=3,$BO884=1),G884,""))</f>
        <v/>
      </c>
      <c r="AC884" s="53" t="str">
        <f aca="false">IF(AND(OR('Choix pédagogiques'!$C$3=1,'Choix pédagogiques'!$C$3=2),$BN884=1),H884,IF(AND('Choix pédagogiques'!$C$3=3,$BO884=1),H884,""))</f>
        <v/>
      </c>
      <c r="AD884" s="53" t="str">
        <f aca="false">IF(AND(OR('Choix pédagogiques'!$C$3=1,'Choix pédagogiques'!$C$3=2),$BN884=1),I884,IF(AND('Choix pédagogiques'!$C$3=3,$BO884=1),I884,""))</f>
        <v/>
      </c>
      <c r="AE884" s="53" t="str">
        <f aca="false">IF($J884&lt;&gt;"",$J884,"")</f>
        <v/>
      </c>
      <c r="AF884" s="52" t="str">
        <f aca="false">IF($A884&lt;&gt;"",$A884,"")</f>
        <v>Apprenant 872</v>
      </c>
      <c r="AG884" s="53" t="str">
        <f aca="false">IF(AND($W884&lt;&gt;"",$X884&lt;&gt;""),$X884-$W884,"")</f>
        <v/>
      </c>
      <c r="AH884" s="53" t="str">
        <f aca="false">IF(AND($W884&lt;&gt;"",$Y884&lt;&gt;""),$Y884-$W884,"")</f>
        <v/>
      </c>
      <c r="AI884" s="53" t="str">
        <f aca="false">IF(AND($X884&lt;&gt;"",$Y884&lt;&gt;""),$Y884-$X884,"")</f>
        <v/>
      </c>
      <c r="AJ884" s="53" t="str">
        <f aca="false">IF($E884&lt;&gt;"",$E884,"")</f>
        <v/>
      </c>
      <c r="AK884" s="52" t="str">
        <f aca="false">IF($F884&lt;&gt;"",$F884,"")</f>
        <v>Apprenant 872 ou 872'</v>
      </c>
      <c r="AL884" s="53" t="str">
        <f aca="false">IF(AND($AB884&lt;&gt;"",$AC884&lt;&gt;""),$AC884-$AB884,"")</f>
        <v/>
      </c>
      <c r="AM884" s="53" t="str">
        <f aca="false">IF(AND($AB884&lt;&gt;"",$AD884&lt;&gt;""),$AD884-$AB884,"")</f>
        <v/>
      </c>
      <c r="AN884" s="53" t="str">
        <f aca="false">IF(AND($AC884&lt;&gt;"",$AD884&lt;&gt;""),$AD884-$AC884,"")</f>
        <v/>
      </c>
      <c r="AO884" s="53" t="str">
        <f aca="false">IF($J884&lt;&gt;"",$J884,"")</f>
        <v/>
      </c>
      <c r="AQ884" s="52" t="str">
        <f aca="false">IF($A884&lt;&gt;"",$A884,"")</f>
        <v>Apprenant 872</v>
      </c>
      <c r="AR884" s="55" t="str">
        <f aca="false">IF(AND('Choix pédagogiques'!$C$4&lt;&gt;"?",'Choix pédagogiques'!$C$5&lt;&gt;"?",W884&lt;&gt;""),(W884-'Choix pédagogiques'!$C$4)/('Choix pédagogiques'!$C$5-'Choix pédagogiques'!$C$4),"")</f>
        <v/>
      </c>
      <c r="AS884" s="55" t="str">
        <f aca="false">IF(AND('Choix pédagogiques'!$C$4&lt;&gt;"?",'Choix pédagogiques'!$C$5&lt;&gt;"?",X884&lt;&gt;""),(X884-'Choix pédagogiques'!$C$4)/('Choix pédagogiques'!$C$5-'Choix pédagogiques'!$C$4),"")</f>
        <v/>
      </c>
      <c r="AT884" s="55" t="str">
        <f aca="false">IF(AND('Choix pédagogiques'!$C$4&lt;&gt;"?",'Choix pédagogiques'!$C$5&lt;&gt;"?",Y884&lt;&gt;""),(Y884-'Choix pédagogiques'!$C$4)/('Choix pédagogiques'!$C$5-'Choix pédagogiques'!$C$4),"")</f>
        <v/>
      </c>
      <c r="AU884" s="53" t="str">
        <f aca="false">IF($E884&lt;&gt;"",$E884,"")</f>
        <v/>
      </c>
      <c r="AV884" s="52" t="str">
        <f aca="false">IF($F884&lt;&gt;"",$F884,"")</f>
        <v>Apprenant 872 ou 872'</v>
      </c>
      <c r="AW884" s="55" t="str">
        <f aca="false">IF(AND('Choix pédagogiques'!$C$4&lt;&gt;"?",'Choix pédagogiques'!$C$5&lt;&gt;"?",AB884&lt;&gt;""),(AB884-'Choix pédagogiques'!$C$4)/('Choix pédagogiques'!$C$5-'Choix pédagogiques'!$C$4),"")</f>
        <v/>
      </c>
      <c r="AX884" s="55" t="str">
        <f aca="false">IF(AND('Choix pédagogiques'!$C$4&lt;&gt;"?",'Choix pédagogiques'!$C$5&lt;&gt;"?",AC884&lt;&gt;""),(AC884-'Choix pédagogiques'!$C$4)/('Choix pédagogiques'!$C$5-'Choix pédagogiques'!$C$4),"")</f>
        <v/>
      </c>
      <c r="AY884" s="55" t="str">
        <f aca="false">IF(AND('Choix pédagogiques'!$C$4&lt;&gt;"?",'Choix pédagogiques'!$C$5&lt;&gt;"?",AD884&lt;&gt;""),(AD884-'Choix pédagogiques'!$C$4)/('Choix pédagogiques'!$C$5-'Choix pédagogiques'!$C$4),"")</f>
        <v/>
      </c>
      <c r="AZ884" s="53" t="str">
        <f aca="false">IF($J884&lt;&gt;"",$J884,"")</f>
        <v/>
      </c>
      <c r="BA884" s="52" t="str">
        <f aca="false">IF($A884&lt;&gt;"",$A884,"")</f>
        <v>Apprenant 872</v>
      </c>
      <c r="BB884" s="55" t="str">
        <f aca="false">IF(AND($AR884&lt;&gt;"",$AS884&lt;&gt;""),$AS884-$AR884,"")</f>
        <v/>
      </c>
      <c r="BC884" s="55" t="str">
        <f aca="false">IF(AND($AR884&lt;&gt;"",$AT884&lt;&gt;""),$AT884-$AR884,"")</f>
        <v/>
      </c>
      <c r="BD884" s="55" t="str">
        <f aca="false">IF(AND($AS884&lt;&gt;"",$AT884&lt;&gt;""),$AT884-$AS884,"")</f>
        <v/>
      </c>
      <c r="BE884" s="53" t="str">
        <f aca="false">IF($E884&lt;&gt;"",$E884,"")</f>
        <v/>
      </c>
      <c r="BF884" s="52" t="str">
        <f aca="false">IF($F884&lt;&gt;"",$F884,"")</f>
        <v>Apprenant 872 ou 872'</v>
      </c>
      <c r="BG884" s="55" t="str">
        <f aca="false">IF(AND($AW884&lt;&gt;"",$AX884&lt;&gt;""),$AX884-$AW884,"")</f>
        <v/>
      </c>
      <c r="BH884" s="55" t="str">
        <f aca="false">IF(AND($AW884&lt;&gt;"",$AY884&lt;&gt;""),$AY884-$AW884,"")</f>
        <v/>
      </c>
      <c r="BI884" s="55" t="str">
        <f aca="false">IF(AND($AX884&lt;&gt;"",$AY884&lt;&gt;""),$AY884-$AX884,"")</f>
        <v/>
      </c>
      <c r="BJ884" s="53" t="str">
        <f aca="false">IF($J884&lt;&gt;"",$J884,"")</f>
        <v/>
      </c>
      <c r="BL884" s="52"/>
      <c r="BM884" s="52" t="str">
        <f aca="false">IF(OR(COUNT(B884:D1883)=0,AND('Choix pédagogiques'!$C$3&lt;&gt;1,'Choix pédagogiques'!$C$3&lt;&gt;2)),"",IF(AND(OR('Choix pédagogiques'!$C$3=1,'Choix pédagogiques'!$C$3=2),$B884&lt;&gt;"",$C884&lt;&gt;"",$D884&lt;&gt;""),1,0))</f>
        <v/>
      </c>
      <c r="BN884" s="52" t="str">
        <f aca="false">IF(OR(COUNT(G884:I1883)=0,AND('Choix pédagogiques'!$C$3&lt;&gt;1,'Choix pédagogiques'!$C$3&lt;&gt;2)),"",IF(AND(OR('Choix pédagogiques'!$C$3=1,'Choix pédagogiques'!$C$3=2),AND($G884&lt;&gt;"",$H884&lt;&gt;"",$I884&lt;&gt;"")),1,0))</f>
        <v/>
      </c>
      <c r="BO884" s="52" t="str">
        <f aca="false">IF(OR(COUNT(B884:D1883)=0,COUNT(G884:I1883)=0,'Choix pédagogiques'!C$3&lt;&gt;3),"",IF(AND('Choix pédagogiques'!$C$3=3,$B884&lt;&gt;"",$C884&lt;&gt;"",$D884&lt;&gt;"",$G884&lt;&gt;"",$H884&lt;&gt;"",$I884&lt;&gt;""),1,0))</f>
        <v/>
      </c>
      <c r="BR884" s="52" t="n">
        <v>91</v>
      </c>
      <c r="BS884" s="52" t="n">
        <v>1788</v>
      </c>
    </row>
    <row r="885" s="54" customFormat="true" ht="18" hidden="false" customHeight="true" outlineLevel="0" collapsed="false">
      <c r="A885" s="57" t="s">
        <v>1701</v>
      </c>
      <c r="B885" s="51"/>
      <c r="C885" s="51"/>
      <c r="D885" s="51"/>
      <c r="E885" s="51"/>
      <c r="F885" s="57" t="s">
        <v>1702</v>
      </c>
      <c r="G885" s="51"/>
      <c r="H885" s="51"/>
      <c r="I885" s="51"/>
      <c r="J885" s="51"/>
      <c r="K885" s="52" t="str">
        <f aca="false">IF($A885&lt;&gt;"",$A885,"")</f>
        <v>Apprenant 873</v>
      </c>
      <c r="L885" s="53" t="str">
        <f aca="false">IF(AND($B885&lt;&gt;"",$C885&lt;&gt;""),$C885-$B885,"")</f>
        <v/>
      </c>
      <c r="M885" s="53" t="str">
        <f aca="false">IF(AND($B885&lt;&gt;"",$D885&lt;&gt;""),$D885-$B885,"")</f>
        <v/>
      </c>
      <c r="N885" s="53" t="str">
        <f aca="false">IF(AND($C885&lt;&gt;"",$D885&lt;&gt;""),$D885-$C885,"")</f>
        <v/>
      </c>
      <c r="O885" s="53" t="str">
        <f aca="false">IF($E885&lt;&gt;"",$E885,"")</f>
        <v/>
      </c>
      <c r="P885" s="52" t="str">
        <f aca="false">IF($F885&lt;&gt;"",$F885,"")</f>
        <v>Apprenant 873 ou 873'</v>
      </c>
      <c r="Q885" s="53" t="str">
        <f aca="false">IF(AND($G885&lt;&gt;"",$H885&lt;&gt;""),$H885-$G885,"")</f>
        <v/>
      </c>
      <c r="R885" s="53" t="str">
        <f aca="false">IF(AND($G885&lt;&gt;"",$I885&lt;&gt;""),$I885-$G885,"")</f>
        <v/>
      </c>
      <c r="S885" s="53" t="str">
        <f aca="false">IF(AND($H885&lt;&gt;"",$I885&lt;&gt;""),$I885-$H885,"")</f>
        <v/>
      </c>
      <c r="T885" s="53" t="str">
        <f aca="false">IF($J885&lt;&gt;"",$J885,"")</f>
        <v/>
      </c>
      <c r="V885" s="52" t="str">
        <f aca="false">IF($A885&lt;&gt;"",$A885,"")</f>
        <v>Apprenant 873</v>
      </c>
      <c r="W885" s="53" t="str">
        <f aca="false">IF(AND(OR('Choix pédagogiques'!$C$3=1,'Choix pédagogiques'!$C$3=2),$BM885=1),B885,IF(AND('Choix pédagogiques'!$C$3=3,$BO885=1),B885,""))</f>
        <v/>
      </c>
      <c r="X885" s="53" t="str">
        <f aca="false">IF(AND(OR('Choix pédagogiques'!$C$3=1,'Choix pédagogiques'!$C$3=2),$BM885=1),C885,IF(AND('Choix pédagogiques'!$C$3=3,$BO885=1),C885,""))</f>
        <v/>
      </c>
      <c r="Y885" s="53" t="str">
        <f aca="false">IF(AND(OR('Choix pédagogiques'!$C$3=1,'Choix pédagogiques'!$C$3=2),$BM885=1),D885,IF(AND('Choix pédagogiques'!$C$3=3,$BO885=1),D885,""))</f>
        <v/>
      </c>
      <c r="Z885" s="53" t="str">
        <f aca="false">IF($E885&lt;&gt;"",$E885,"")</f>
        <v/>
      </c>
      <c r="AA885" s="52" t="str">
        <f aca="false">IF($F885&lt;&gt;"",$F885,"")</f>
        <v>Apprenant 873 ou 873'</v>
      </c>
      <c r="AB885" s="53" t="str">
        <f aca="false">IF(AND(OR('Choix pédagogiques'!$C$3=1,'Choix pédagogiques'!$C$3=2),$BN885=1),G885,IF(AND('Choix pédagogiques'!$C$3=3,$BO885=1),G885,""))</f>
        <v/>
      </c>
      <c r="AC885" s="53" t="str">
        <f aca="false">IF(AND(OR('Choix pédagogiques'!$C$3=1,'Choix pédagogiques'!$C$3=2),$BN885=1),H885,IF(AND('Choix pédagogiques'!$C$3=3,$BO885=1),H885,""))</f>
        <v/>
      </c>
      <c r="AD885" s="53" t="str">
        <f aca="false">IF(AND(OR('Choix pédagogiques'!$C$3=1,'Choix pédagogiques'!$C$3=2),$BN885=1),I885,IF(AND('Choix pédagogiques'!$C$3=3,$BO885=1),I885,""))</f>
        <v/>
      </c>
      <c r="AE885" s="53" t="str">
        <f aca="false">IF($J885&lt;&gt;"",$J885,"")</f>
        <v/>
      </c>
      <c r="AF885" s="52" t="str">
        <f aca="false">IF($A885&lt;&gt;"",$A885,"")</f>
        <v>Apprenant 873</v>
      </c>
      <c r="AG885" s="53" t="str">
        <f aca="false">IF(AND($W885&lt;&gt;"",$X885&lt;&gt;""),$X885-$W885,"")</f>
        <v/>
      </c>
      <c r="AH885" s="53" t="str">
        <f aca="false">IF(AND($W885&lt;&gt;"",$Y885&lt;&gt;""),$Y885-$W885,"")</f>
        <v/>
      </c>
      <c r="AI885" s="53" t="str">
        <f aca="false">IF(AND($X885&lt;&gt;"",$Y885&lt;&gt;""),$Y885-$X885,"")</f>
        <v/>
      </c>
      <c r="AJ885" s="53" t="str">
        <f aca="false">IF($E885&lt;&gt;"",$E885,"")</f>
        <v/>
      </c>
      <c r="AK885" s="52" t="str">
        <f aca="false">IF($F885&lt;&gt;"",$F885,"")</f>
        <v>Apprenant 873 ou 873'</v>
      </c>
      <c r="AL885" s="53" t="str">
        <f aca="false">IF(AND($AB885&lt;&gt;"",$AC885&lt;&gt;""),$AC885-$AB885,"")</f>
        <v/>
      </c>
      <c r="AM885" s="53" t="str">
        <f aca="false">IF(AND($AB885&lt;&gt;"",$AD885&lt;&gt;""),$AD885-$AB885,"")</f>
        <v/>
      </c>
      <c r="AN885" s="53" t="str">
        <f aca="false">IF(AND($AC885&lt;&gt;"",$AD885&lt;&gt;""),$AD885-$AC885,"")</f>
        <v/>
      </c>
      <c r="AO885" s="53" t="str">
        <f aca="false">IF($J885&lt;&gt;"",$J885,"")</f>
        <v/>
      </c>
      <c r="AQ885" s="52" t="str">
        <f aca="false">IF($A885&lt;&gt;"",$A885,"")</f>
        <v>Apprenant 873</v>
      </c>
      <c r="AR885" s="55" t="str">
        <f aca="false">IF(AND('Choix pédagogiques'!$C$4&lt;&gt;"?",'Choix pédagogiques'!$C$5&lt;&gt;"?",W885&lt;&gt;""),(W885-'Choix pédagogiques'!$C$4)/('Choix pédagogiques'!$C$5-'Choix pédagogiques'!$C$4),"")</f>
        <v/>
      </c>
      <c r="AS885" s="55" t="str">
        <f aca="false">IF(AND('Choix pédagogiques'!$C$4&lt;&gt;"?",'Choix pédagogiques'!$C$5&lt;&gt;"?",X885&lt;&gt;""),(X885-'Choix pédagogiques'!$C$4)/('Choix pédagogiques'!$C$5-'Choix pédagogiques'!$C$4),"")</f>
        <v/>
      </c>
      <c r="AT885" s="55" t="str">
        <f aca="false">IF(AND('Choix pédagogiques'!$C$4&lt;&gt;"?",'Choix pédagogiques'!$C$5&lt;&gt;"?",Y885&lt;&gt;""),(Y885-'Choix pédagogiques'!$C$4)/('Choix pédagogiques'!$C$5-'Choix pédagogiques'!$C$4),"")</f>
        <v/>
      </c>
      <c r="AU885" s="53" t="str">
        <f aca="false">IF($E885&lt;&gt;"",$E885,"")</f>
        <v/>
      </c>
      <c r="AV885" s="52" t="str">
        <f aca="false">IF($F885&lt;&gt;"",$F885,"")</f>
        <v>Apprenant 873 ou 873'</v>
      </c>
      <c r="AW885" s="55" t="str">
        <f aca="false">IF(AND('Choix pédagogiques'!$C$4&lt;&gt;"?",'Choix pédagogiques'!$C$5&lt;&gt;"?",AB885&lt;&gt;""),(AB885-'Choix pédagogiques'!$C$4)/('Choix pédagogiques'!$C$5-'Choix pédagogiques'!$C$4),"")</f>
        <v/>
      </c>
      <c r="AX885" s="55" t="str">
        <f aca="false">IF(AND('Choix pédagogiques'!$C$4&lt;&gt;"?",'Choix pédagogiques'!$C$5&lt;&gt;"?",AC885&lt;&gt;""),(AC885-'Choix pédagogiques'!$C$4)/('Choix pédagogiques'!$C$5-'Choix pédagogiques'!$C$4),"")</f>
        <v/>
      </c>
      <c r="AY885" s="55" t="str">
        <f aca="false">IF(AND('Choix pédagogiques'!$C$4&lt;&gt;"?",'Choix pédagogiques'!$C$5&lt;&gt;"?",AD885&lt;&gt;""),(AD885-'Choix pédagogiques'!$C$4)/('Choix pédagogiques'!$C$5-'Choix pédagogiques'!$C$4),"")</f>
        <v/>
      </c>
      <c r="AZ885" s="53" t="str">
        <f aca="false">IF($J885&lt;&gt;"",$J885,"")</f>
        <v/>
      </c>
      <c r="BA885" s="52" t="str">
        <f aca="false">IF($A885&lt;&gt;"",$A885,"")</f>
        <v>Apprenant 873</v>
      </c>
      <c r="BB885" s="55" t="str">
        <f aca="false">IF(AND($AR885&lt;&gt;"",$AS885&lt;&gt;""),$AS885-$AR885,"")</f>
        <v/>
      </c>
      <c r="BC885" s="55" t="str">
        <f aca="false">IF(AND($AR885&lt;&gt;"",$AT885&lt;&gt;""),$AT885-$AR885,"")</f>
        <v/>
      </c>
      <c r="BD885" s="55" t="str">
        <f aca="false">IF(AND($AS885&lt;&gt;"",$AT885&lt;&gt;""),$AT885-$AS885,"")</f>
        <v/>
      </c>
      <c r="BE885" s="53" t="str">
        <f aca="false">IF($E885&lt;&gt;"",$E885,"")</f>
        <v/>
      </c>
      <c r="BF885" s="52" t="str">
        <f aca="false">IF($F885&lt;&gt;"",$F885,"")</f>
        <v>Apprenant 873 ou 873'</v>
      </c>
      <c r="BG885" s="55" t="str">
        <f aca="false">IF(AND($AW885&lt;&gt;"",$AX885&lt;&gt;""),$AX885-$AW885,"")</f>
        <v/>
      </c>
      <c r="BH885" s="55" t="str">
        <f aca="false">IF(AND($AW885&lt;&gt;"",$AY885&lt;&gt;""),$AY885-$AW885,"")</f>
        <v/>
      </c>
      <c r="BI885" s="55" t="str">
        <f aca="false">IF(AND($AX885&lt;&gt;"",$AY885&lt;&gt;""),$AY885-$AX885,"")</f>
        <v/>
      </c>
      <c r="BJ885" s="53" t="str">
        <f aca="false">IF($J885&lt;&gt;"",$J885,"")</f>
        <v/>
      </c>
      <c r="BL885" s="52"/>
      <c r="BM885" s="52" t="str">
        <f aca="false">IF(OR(COUNT(B885:D1884)=0,AND('Choix pédagogiques'!$C$3&lt;&gt;1,'Choix pédagogiques'!$C$3&lt;&gt;2)),"",IF(AND(OR('Choix pédagogiques'!$C$3=1,'Choix pédagogiques'!$C$3=2),$B885&lt;&gt;"",$C885&lt;&gt;"",$D885&lt;&gt;""),1,0))</f>
        <v/>
      </c>
      <c r="BN885" s="52" t="str">
        <f aca="false">IF(OR(COUNT(G885:I1884)=0,AND('Choix pédagogiques'!$C$3&lt;&gt;1,'Choix pédagogiques'!$C$3&lt;&gt;2)),"",IF(AND(OR('Choix pédagogiques'!$C$3=1,'Choix pédagogiques'!$C$3=2),AND($G885&lt;&gt;"",$H885&lt;&gt;"",$I885&lt;&gt;"")),1,0))</f>
        <v/>
      </c>
      <c r="BO885" s="52" t="str">
        <f aca="false">IF(OR(COUNT(B885:D1884)=0,COUNT(G885:I1884)=0,'Choix pédagogiques'!C$3&lt;&gt;3),"",IF(AND('Choix pédagogiques'!$C$3=3,$B885&lt;&gt;"",$C885&lt;&gt;"",$D885&lt;&gt;"",$G885&lt;&gt;"",$H885&lt;&gt;"",$I885&lt;&gt;""),1,0))</f>
        <v/>
      </c>
      <c r="BR885" s="52" t="n">
        <v>622</v>
      </c>
      <c r="BS885" s="52" t="n">
        <v>1560</v>
      </c>
    </row>
    <row r="886" s="54" customFormat="true" ht="18" hidden="false" customHeight="true" outlineLevel="0" collapsed="false">
      <c r="A886" s="57" t="s">
        <v>1703</v>
      </c>
      <c r="B886" s="51"/>
      <c r="C886" s="51"/>
      <c r="D886" s="51"/>
      <c r="E886" s="51"/>
      <c r="F886" s="57" t="s">
        <v>1704</v>
      </c>
      <c r="G886" s="51"/>
      <c r="H886" s="51"/>
      <c r="I886" s="51"/>
      <c r="J886" s="51"/>
      <c r="K886" s="52" t="str">
        <f aca="false">IF($A886&lt;&gt;"",$A886,"")</f>
        <v>Apprenant 874</v>
      </c>
      <c r="L886" s="53" t="str">
        <f aca="false">IF(AND($B886&lt;&gt;"",$C886&lt;&gt;""),$C886-$B886,"")</f>
        <v/>
      </c>
      <c r="M886" s="53" t="str">
        <f aca="false">IF(AND($B886&lt;&gt;"",$D886&lt;&gt;""),$D886-$B886,"")</f>
        <v/>
      </c>
      <c r="N886" s="53" t="str">
        <f aca="false">IF(AND($C886&lt;&gt;"",$D886&lt;&gt;""),$D886-$C886,"")</f>
        <v/>
      </c>
      <c r="O886" s="53" t="str">
        <f aca="false">IF($E886&lt;&gt;"",$E886,"")</f>
        <v/>
      </c>
      <c r="P886" s="52" t="str">
        <f aca="false">IF($F886&lt;&gt;"",$F886,"")</f>
        <v>Apprenant 874 ou 874'</v>
      </c>
      <c r="Q886" s="53" t="str">
        <f aca="false">IF(AND($G886&lt;&gt;"",$H886&lt;&gt;""),$H886-$G886,"")</f>
        <v/>
      </c>
      <c r="R886" s="53" t="str">
        <f aca="false">IF(AND($G886&lt;&gt;"",$I886&lt;&gt;""),$I886-$G886,"")</f>
        <v/>
      </c>
      <c r="S886" s="53" t="str">
        <f aca="false">IF(AND($H886&lt;&gt;"",$I886&lt;&gt;""),$I886-$H886,"")</f>
        <v/>
      </c>
      <c r="T886" s="53" t="str">
        <f aca="false">IF($J886&lt;&gt;"",$J886,"")</f>
        <v/>
      </c>
      <c r="V886" s="52" t="str">
        <f aca="false">IF($A886&lt;&gt;"",$A886,"")</f>
        <v>Apprenant 874</v>
      </c>
      <c r="W886" s="53" t="str">
        <f aca="false">IF(AND(OR('Choix pédagogiques'!$C$3=1,'Choix pédagogiques'!$C$3=2),$BM886=1),B886,IF(AND('Choix pédagogiques'!$C$3=3,$BO886=1),B886,""))</f>
        <v/>
      </c>
      <c r="X886" s="53" t="str">
        <f aca="false">IF(AND(OR('Choix pédagogiques'!$C$3=1,'Choix pédagogiques'!$C$3=2),$BM886=1),C886,IF(AND('Choix pédagogiques'!$C$3=3,$BO886=1),C886,""))</f>
        <v/>
      </c>
      <c r="Y886" s="53" t="str">
        <f aca="false">IF(AND(OR('Choix pédagogiques'!$C$3=1,'Choix pédagogiques'!$C$3=2),$BM886=1),D886,IF(AND('Choix pédagogiques'!$C$3=3,$BO886=1),D886,""))</f>
        <v/>
      </c>
      <c r="Z886" s="53" t="str">
        <f aca="false">IF($E886&lt;&gt;"",$E886,"")</f>
        <v/>
      </c>
      <c r="AA886" s="52" t="str">
        <f aca="false">IF($F886&lt;&gt;"",$F886,"")</f>
        <v>Apprenant 874 ou 874'</v>
      </c>
      <c r="AB886" s="53" t="str">
        <f aca="false">IF(AND(OR('Choix pédagogiques'!$C$3=1,'Choix pédagogiques'!$C$3=2),$BN886=1),G886,IF(AND('Choix pédagogiques'!$C$3=3,$BO886=1),G886,""))</f>
        <v/>
      </c>
      <c r="AC886" s="53" t="str">
        <f aca="false">IF(AND(OR('Choix pédagogiques'!$C$3=1,'Choix pédagogiques'!$C$3=2),$BN886=1),H886,IF(AND('Choix pédagogiques'!$C$3=3,$BO886=1),H886,""))</f>
        <v/>
      </c>
      <c r="AD886" s="53" t="str">
        <f aca="false">IF(AND(OR('Choix pédagogiques'!$C$3=1,'Choix pédagogiques'!$C$3=2),$BN886=1),I886,IF(AND('Choix pédagogiques'!$C$3=3,$BO886=1),I886,""))</f>
        <v/>
      </c>
      <c r="AE886" s="53" t="str">
        <f aca="false">IF($J886&lt;&gt;"",$J886,"")</f>
        <v/>
      </c>
      <c r="AF886" s="52" t="str">
        <f aca="false">IF($A886&lt;&gt;"",$A886,"")</f>
        <v>Apprenant 874</v>
      </c>
      <c r="AG886" s="53" t="str">
        <f aca="false">IF(AND($W886&lt;&gt;"",$X886&lt;&gt;""),$X886-$W886,"")</f>
        <v/>
      </c>
      <c r="AH886" s="53" t="str">
        <f aca="false">IF(AND($W886&lt;&gt;"",$Y886&lt;&gt;""),$Y886-$W886,"")</f>
        <v/>
      </c>
      <c r="AI886" s="53" t="str">
        <f aca="false">IF(AND($X886&lt;&gt;"",$Y886&lt;&gt;""),$Y886-$X886,"")</f>
        <v/>
      </c>
      <c r="AJ886" s="53" t="str">
        <f aca="false">IF($E886&lt;&gt;"",$E886,"")</f>
        <v/>
      </c>
      <c r="AK886" s="52" t="str">
        <f aca="false">IF($F886&lt;&gt;"",$F886,"")</f>
        <v>Apprenant 874 ou 874'</v>
      </c>
      <c r="AL886" s="53" t="str">
        <f aca="false">IF(AND($AB886&lt;&gt;"",$AC886&lt;&gt;""),$AC886-$AB886,"")</f>
        <v/>
      </c>
      <c r="AM886" s="53" t="str">
        <f aca="false">IF(AND($AB886&lt;&gt;"",$AD886&lt;&gt;""),$AD886-$AB886,"")</f>
        <v/>
      </c>
      <c r="AN886" s="53" t="str">
        <f aca="false">IF(AND($AC886&lt;&gt;"",$AD886&lt;&gt;""),$AD886-$AC886,"")</f>
        <v/>
      </c>
      <c r="AO886" s="53" t="str">
        <f aca="false">IF($J886&lt;&gt;"",$J886,"")</f>
        <v/>
      </c>
      <c r="AQ886" s="52" t="str">
        <f aca="false">IF($A886&lt;&gt;"",$A886,"")</f>
        <v>Apprenant 874</v>
      </c>
      <c r="AR886" s="55" t="str">
        <f aca="false">IF(AND('Choix pédagogiques'!$C$4&lt;&gt;"?",'Choix pédagogiques'!$C$5&lt;&gt;"?",W886&lt;&gt;""),(W886-'Choix pédagogiques'!$C$4)/('Choix pédagogiques'!$C$5-'Choix pédagogiques'!$C$4),"")</f>
        <v/>
      </c>
      <c r="AS886" s="55" t="str">
        <f aca="false">IF(AND('Choix pédagogiques'!$C$4&lt;&gt;"?",'Choix pédagogiques'!$C$5&lt;&gt;"?",X886&lt;&gt;""),(X886-'Choix pédagogiques'!$C$4)/('Choix pédagogiques'!$C$5-'Choix pédagogiques'!$C$4),"")</f>
        <v/>
      </c>
      <c r="AT886" s="55" t="str">
        <f aca="false">IF(AND('Choix pédagogiques'!$C$4&lt;&gt;"?",'Choix pédagogiques'!$C$5&lt;&gt;"?",Y886&lt;&gt;""),(Y886-'Choix pédagogiques'!$C$4)/('Choix pédagogiques'!$C$5-'Choix pédagogiques'!$C$4),"")</f>
        <v/>
      </c>
      <c r="AU886" s="53" t="str">
        <f aca="false">IF($E886&lt;&gt;"",$E886,"")</f>
        <v/>
      </c>
      <c r="AV886" s="52" t="str">
        <f aca="false">IF($F886&lt;&gt;"",$F886,"")</f>
        <v>Apprenant 874 ou 874'</v>
      </c>
      <c r="AW886" s="55" t="str">
        <f aca="false">IF(AND('Choix pédagogiques'!$C$4&lt;&gt;"?",'Choix pédagogiques'!$C$5&lt;&gt;"?",AB886&lt;&gt;""),(AB886-'Choix pédagogiques'!$C$4)/('Choix pédagogiques'!$C$5-'Choix pédagogiques'!$C$4),"")</f>
        <v/>
      </c>
      <c r="AX886" s="55" t="str">
        <f aca="false">IF(AND('Choix pédagogiques'!$C$4&lt;&gt;"?",'Choix pédagogiques'!$C$5&lt;&gt;"?",AC886&lt;&gt;""),(AC886-'Choix pédagogiques'!$C$4)/('Choix pédagogiques'!$C$5-'Choix pédagogiques'!$C$4),"")</f>
        <v/>
      </c>
      <c r="AY886" s="55" t="str">
        <f aca="false">IF(AND('Choix pédagogiques'!$C$4&lt;&gt;"?",'Choix pédagogiques'!$C$5&lt;&gt;"?",AD886&lt;&gt;""),(AD886-'Choix pédagogiques'!$C$4)/('Choix pédagogiques'!$C$5-'Choix pédagogiques'!$C$4),"")</f>
        <v/>
      </c>
      <c r="AZ886" s="53" t="str">
        <f aca="false">IF($J886&lt;&gt;"",$J886,"")</f>
        <v/>
      </c>
      <c r="BA886" s="52" t="str">
        <f aca="false">IF($A886&lt;&gt;"",$A886,"")</f>
        <v>Apprenant 874</v>
      </c>
      <c r="BB886" s="55" t="str">
        <f aca="false">IF(AND($AR886&lt;&gt;"",$AS886&lt;&gt;""),$AS886-$AR886,"")</f>
        <v/>
      </c>
      <c r="BC886" s="55" t="str">
        <f aca="false">IF(AND($AR886&lt;&gt;"",$AT886&lt;&gt;""),$AT886-$AR886,"")</f>
        <v/>
      </c>
      <c r="BD886" s="55" t="str">
        <f aca="false">IF(AND($AS886&lt;&gt;"",$AT886&lt;&gt;""),$AT886-$AS886,"")</f>
        <v/>
      </c>
      <c r="BE886" s="53" t="str">
        <f aca="false">IF($E886&lt;&gt;"",$E886,"")</f>
        <v/>
      </c>
      <c r="BF886" s="52" t="str">
        <f aca="false">IF($F886&lt;&gt;"",$F886,"")</f>
        <v>Apprenant 874 ou 874'</v>
      </c>
      <c r="BG886" s="55" t="str">
        <f aca="false">IF(AND($AW886&lt;&gt;"",$AX886&lt;&gt;""),$AX886-$AW886,"")</f>
        <v/>
      </c>
      <c r="BH886" s="55" t="str">
        <f aca="false">IF(AND($AW886&lt;&gt;"",$AY886&lt;&gt;""),$AY886-$AW886,"")</f>
        <v/>
      </c>
      <c r="BI886" s="55" t="str">
        <f aca="false">IF(AND($AX886&lt;&gt;"",$AY886&lt;&gt;""),$AY886-$AX886,"")</f>
        <v/>
      </c>
      <c r="BJ886" s="53" t="str">
        <f aca="false">IF($J886&lt;&gt;"",$J886,"")</f>
        <v/>
      </c>
      <c r="BL886" s="52"/>
      <c r="BM886" s="52" t="str">
        <f aca="false">IF(OR(COUNT(B886:D1885)=0,AND('Choix pédagogiques'!$C$3&lt;&gt;1,'Choix pédagogiques'!$C$3&lt;&gt;2)),"",IF(AND(OR('Choix pédagogiques'!$C$3=1,'Choix pédagogiques'!$C$3=2),$B886&lt;&gt;"",$C886&lt;&gt;"",$D886&lt;&gt;""),1,0))</f>
        <v/>
      </c>
      <c r="BN886" s="52" t="str">
        <f aca="false">IF(OR(COUNT(G886:I1885)=0,AND('Choix pédagogiques'!$C$3&lt;&gt;1,'Choix pédagogiques'!$C$3&lt;&gt;2)),"",IF(AND(OR('Choix pédagogiques'!$C$3=1,'Choix pédagogiques'!$C$3=2),AND($G886&lt;&gt;"",$H886&lt;&gt;"",$I886&lt;&gt;"")),1,0))</f>
        <v/>
      </c>
      <c r="BO886" s="52" t="str">
        <f aca="false">IF(OR(COUNT(B886:D1885)=0,COUNT(G886:I1885)=0,'Choix pédagogiques'!C$3&lt;&gt;3),"",IF(AND('Choix pédagogiques'!$C$3=3,$B886&lt;&gt;"",$C886&lt;&gt;"",$D886&lt;&gt;"",$G886&lt;&gt;"",$H886&lt;&gt;"",$I886&lt;&gt;""),1,0))</f>
        <v/>
      </c>
      <c r="BR886" s="52" t="n">
        <v>456</v>
      </c>
      <c r="BS886" s="52" t="n">
        <v>1539</v>
      </c>
    </row>
    <row r="887" s="54" customFormat="true" ht="18" hidden="false" customHeight="true" outlineLevel="0" collapsed="false">
      <c r="A887" s="57" t="s">
        <v>1705</v>
      </c>
      <c r="B887" s="51"/>
      <c r="C887" s="51"/>
      <c r="D887" s="51"/>
      <c r="E887" s="51"/>
      <c r="F887" s="57" t="s">
        <v>1706</v>
      </c>
      <c r="G887" s="51"/>
      <c r="H887" s="51"/>
      <c r="I887" s="51"/>
      <c r="J887" s="51"/>
      <c r="K887" s="52" t="str">
        <f aca="false">IF($A887&lt;&gt;"",$A887,"")</f>
        <v>Apprenant 875</v>
      </c>
      <c r="L887" s="53" t="str">
        <f aca="false">IF(AND($B887&lt;&gt;"",$C887&lt;&gt;""),$C887-$B887,"")</f>
        <v/>
      </c>
      <c r="M887" s="53" t="str">
        <f aca="false">IF(AND($B887&lt;&gt;"",$D887&lt;&gt;""),$D887-$B887,"")</f>
        <v/>
      </c>
      <c r="N887" s="53" t="str">
        <f aca="false">IF(AND($C887&lt;&gt;"",$D887&lt;&gt;""),$D887-$C887,"")</f>
        <v/>
      </c>
      <c r="O887" s="53" t="str">
        <f aca="false">IF($E887&lt;&gt;"",$E887,"")</f>
        <v/>
      </c>
      <c r="P887" s="52" t="str">
        <f aca="false">IF($F887&lt;&gt;"",$F887,"")</f>
        <v>Apprenant 875 ou 875'</v>
      </c>
      <c r="Q887" s="53" t="str">
        <f aca="false">IF(AND($G887&lt;&gt;"",$H887&lt;&gt;""),$H887-$G887,"")</f>
        <v/>
      </c>
      <c r="R887" s="53" t="str">
        <f aca="false">IF(AND($G887&lt;&gt;"",$I887&lt;&gt;""),$I887-$G887,"")</f>
        <v/>
      </c>
      <c r="S887" s="53" t="str">
        <f aca="false">IF(AND($H887&lt;&gt;"",$I887&lt;&gt;""),$I887-$H887,"")</f>
        <v/>
      </c>
      <c r="T887" s="53" t="str">
        <f aca="false">IF($J887&lt;&gt;"",$J887,"")</f>
        <v/>
      </c>
      <c r="V887" s="52" t="str">
        <f aca="false">IF($A887&lt;&gt;"",$A887,"")</f>
        <v>Apprenant 875</v>
      </c>
      <c r="W887" s="53" t="str">
        <f aca="false">IF(AND(OR('Choix pédagogiques'!$C$3=1,'Choix pédagogiques'!$C$3=2),$BM887=1),B887,IF(AND('Choix pédagogiques'!$C$3=3,$BO887=1),B887,""))</f>
        <v/>
      </c>
      <c r="X887" s="53" t="str">
        <f aca="false">IF(AND(OR('Choix pédagogiques'!$C$3=1,'Choix pédagogiques'!$C$3=2),$BM887=1),C887,IF(AND('Choix pédagogiques'!$C$3=3,$BO887=1),C887,""))</f>
        <v/>
      </c>
      <c r="Y887" s="53" t="str">
        <f aca="false">IF(AND(OR('Choix pédagogiques'!$C$3=1,'Choix pédagogiques'!$C$3=2),$BM887=1),D887,IF(AND('Choix pédagogiques'!$C$3=3,$BO887=1),D887,""))</f>
        <v/>
      </c>
      <c r="Z887" s="53" t="str">
        <f aca="false">IF($E887&lt;&gt;"",$E887,"")</f>
        <v/>
      </c>
      <c r="AA887" s="52" t="str">
        <f aca="false">IF($F887&lt;&gt;"",$F887,"")</f>
        <v>Apprenant 875 ou 875'</v>
      </c>
      <c r="AB887" s="53" t="str">
        <f aca="false">IF(AND(OR('Choix pédagogiques'!$C$3=1,'Choix pédagogiques'!$C$3=2),$BN887=1),G887,IF(AND('Choix pédagogiques'!$C$3=3,$BO887=1),G887,""))</f>
        <v/>
      </c>
      <c r="AC887" s="53" t="str">
        <f aca="false">IF(AND(OR('Choix pédagogiques'!$C$3=1,'Choix pédagogiques'!$C$3=2),$BN887=1),H887,IF(AND('Choix pédagogiques'!$C$3=3,$BO887=1),H887,""))</f>
        <v/>
      </c>
      <c r="AD887" s="53" t="str">
        <f aca="false">IF(AND(OR('Choix pédagogiques'!$C$3=1,'Choix pédagogiques'!$C$3=2),$BN887=1),I887,IF(AND('Choix pédagogiques'!$C$3=3,$BO887=1),I887,""))</f>
        <v/>
      </c>
      <c r="AE887" s="53" t="str">
        <f aca="false">IF($J887&lt;&gt;"",$J887,"")</f>
        <v/>
      </c>
      <c r="AF887" s="52" t="str">
        <f aca="false">IF($A887&lt;&gt;"",$A887,"")</f>
        <v>Apprenant 875</v>
      </c>
      <c r="AG887" s="53" t="str">
        <f aca="false">IF(AND($W887&lt;&gt;"",$X887&lt;&gt;""),$X887-$W887,"")</f>
        <v/>
      </c>
      <c r="AH887" s="53" t="str">
        <f aca="false">IF(AND($W887&lt;&gt;"",$Y887&lt;&gt;""),$Y887-$W887,"")</f>
        <v/>
      </c>
      <c r="AI887" s="53" t="str">
        <f aca="false">IF(AND($X887&lt;&gt;"",$Y887&lt;&gt;""),$Y887-$X887,"")</f>
        <v/>
      </c>
      <c r="AJ887" s="53" t="str">
        <f aca="false">IF($E887&lt;&gt;"",$E887,"")</f>
        <v/>
      </c>
      <c r="AK887" s="52" t="str">
        <f aca="false">IF($F887&lt;&gt;"",$F887,"")</f>
        <v>Apprenant 875 ou 875'</v>
      </c>
      <c r="AL887" s="53" t="str">
        <f aca="false">IF(AND($AB887&lt;&gt;"",$AC887&lt;&gt;""),$AC887-$AB887,"")</f>
        <v/>
      </c>
      <c r="AM887" s="53" t="str">
        <f aca="false">IF(AND($AB887&lt;&gt;"",$AD887&lt;&gt;""),$AD887-$AB887,"")</f>
        <v/>
      </c>
      <c r="AN887" s="53" t="str">
        <f aca="false">IF(AND($AC887&lt;&gt;"",$AD887&lt;&gt;""),$AD887-$AC887,"")</f>
        <v/>
      </c>
      <c r="AO887" s="53" t="str">
        <f aca="false">IF($J887&lt;&gt;"",$J887,"")</f>
        <v/>
      </c>
      <c r="AQ887" s="52" t="str">
        <f aca="false">IF($A887&lt;&gt;"",$A887,"")</f>
        <v>Apprenant 875</v>
      </c>
      <c r="AR887" s="55" t="str">
        <f aca="false">IF(AND('Choix pédagogiques'!$C$4&lt;&gt;"?",'Choix pédagogiques'!$C$5&lt;&gt;"?",W887&lt;&gt;""),(W887-'Choix pédagogiques'!$C$4)/('Choix pédagogiques'!$C$5-'Choix pédagogiques'!$C$4),"")</f>
        <v/>
      </c>
      <c r="AS887" s="55" t="str">
        <f aca="false">IF(AND('Choix pédagogiques'!$C$4&lt;&gt;"?",'Choix pédagogiques'!$C$5&lt;&gt;"?",X887&lt;&gt;""),(X887-'Choix pédagogiques'!$C$4)/('Choix pédagogiques'!$C$5-'Choix pédagogiques'!$C$4),"")</f>
        <v/>
      </c>
      <c r="AT887" s="55" t="str">
        <f aca="false">IF(AND('Choix pédagogiques'!$C$4&lt;&gt;"?",'Choix pédagogiques'!$C$5&lt;&gt;"?",Y887&lt;&gt;""),(Y887-'Choix pédagogiques'!$C$4)/('Choix pédagogiques'!$C$5-'Choix pédagogiques'!$C$4),"")</f>
        <v/>
      </c>
      <c r="AU887" s="53" t="str">
        <f aca="false">IF($E887&lt;&gt;"",$E887,"")</f>
        <v/>
      </c>
      <c r="AV887" s="52" t="str">
        <f aca="false">IF($F887&lt;&gt;"",$F887,"")</f>
        <v>Apprenant 875 ou 875'</v>
      </c>
      <c r="AW887" s="55" t="str">
        <f aca="false">IF(AND('Choix pédagogiques'!$C$4&lt;&gt;"?",'Choix pédagogiques'!$C$5&lt;&gt;"?",AB887&lt;&gt;""),(AB887-'Choix pédagogiques'!$C$4)/('Choix pédagogiques'!$C$5-'Choix pédagogiques'!$C$4),"")</f>
        <v/>
      </c>
      <c r="AX887" s="55" t="str">
        <f aca="false">IF(AND('Choix pédagogiques'!$C$4&lt;&gt;"?",'Choix pédagogiques'!$C$5&lt;&gt;"?",AC887&lt;&gt;""),(AC887-'Choix pédagogiques'!$C$4)/('Choix pédagogiques'!$C$5-'Choix pédagogiques'!$C$4),"")</f>
        <v/>
      </c>
      <c r="AY887" s="55" t="str">
        <f aca="false">IF(AND('Choix pédagogiques'!$C$4&lt;&gt;"?",'Choix pédagogiques'!$C$5&lt;&gt;"?",AD887&lt;&gt;""),(AD887-'Choix pédagogiques'!$C$4)/('Choix pédagogiques'!$C$5-'Choix pédagogiques'!$C$4),"")</f>
        <v/>
      </c>
      <c r="AZ887" s="53" t="str">
        <f aca="false">IF($J887&lt;&gt;"",$J887,"")</f>
        <v/>
      </c>
      <c r="BA887" s="52" t="str">
        <f aca="false">IF($A887&lt;&gt;"",$A887,"")</f>
        <v>Apprenant 875</v>
      </c>
      <c r="BB887" s="55" t="str">
        <f aca="false">IF(AND($AR887&lt;&gt;"",$AS887&lt;&gt;""),$AS887-$AR887,"")</f>
        <v/>
      </c>
      <c r="BC887" s="55" t="str">
        <f aca="false">IF(AND($AR887&lt;&gt;"",$AT887&lt;&gt;""),$AT887-$AR887,"")</f>
        <v/>
      </c>
      <c r="BD887" s="55" t="str">
        <f aca="false">IF(AND($AS887&lt;&gt;"",$AT887&lt;&gt;""),$AT887-$AS887,"")</f>
        <v/>
      </c>
      <c r="BE887" s="53" t="str">
        <f aca="false">IF($E887&lt;&gt;"",$E887,"")</f>
        <v/>
      </c>
      <c r="BF887" s="52" t="str">
        <f aca="false">IF($F887&lt;&gt;"",$F887,"")</f>
        <v>Apprenant 875 ou 875'</v>
      </c>
      <c r="BG887" s="55" t="str">
        <f aca="false">IF(AND($AW887&lt;&gt;"",$AX887&lt;&gt;""),$AX887-$AW887,"")</f>
        <v/>
      </c>
      <c r="BH887" s="55" t="str">
        <f aca="false">IF(AND($AW887&lt;&gt;"",$AY887&lt;&gt;""),$AY887-$AW887,"")</f>
        <v/>
      </c>
      <c r="BI887" s="55" t="str">
        <f aca="false">IF(AND($AX887&lt;&gt;"",$AY887&lt;&gt;""),$AY887-$AX887,"")</f>
        <v/>
      </c>
      <c r="BJ887" s="53" t="str">
        <f aca="false">IF($J887&lt;&gt;"",$J887,"")</f>
        <v/>
      </c>
      <c r="BL887" s="52"/>
      <c r="BM887" s="52" t="str">
        <f aca="false">IF(OR(COUNT(B887:D1886)=0,AND('Choix pédagogiques'!$C$3&lt;&gt;1,'Choix pédagogiques'!$C$3&lt;&gt;2)),"",IF(AND(OR('Choix pédagogiques'!$C$3=1,'Choix pédagogiques'!$C$3=2),$B887&lt;&gt;"",$C887&lt;&gt;"",$D887&lt;&gt;""),1,0))</f>
        <v/>
      </c>
      <c r="BN887" s="52" t="str">
        <f aca="false">IF(OR(COUNT(G887:I1886)=0,AND('Choix pédagogiques'!$C$3&lt;&gt;1,'Choix pédagogiques'!$C$3&lt;&gt;2)),"",IF(AND(OR('Choix pédagogiques'!$C$3=1,'Choix pédagogiques'!$C$3=2),AND($G887&lt;&gt;"",$H887&lt;&gt;"",$I887&lt;&gt;"")),1,0))</f>
        <v/>
      </c>
      <c r="BO887" s="52" t="str">
        <f aca="false">IF(OR(COUNT(B887:D1886)=0,COUNT(G887:I1886)=0,'Choix pédagogiques'!C$3&lt;&gt;3),"",IF(AND('Choix pédagogiques'!$C$3=3,$B887&lt;&gt;"",$C887&lt;&gt;"",$D887&lt;&gt;"",$G887&lt;&gt;"",$H887&lt;&gt;"",$I887&lt;&gt;""),1,0))</f>
        <v/>
      </c>
      <c r="BR887" s="52" t="n">
        <v>164</v>
      </c>
      <c r="BS887" s="52" t="n">
        <v>1811</v>
      </c>
    </row>
    <row r="888" s="54" customFormat="true" ht="18" hidden="false" customHeight="true" outlineLevel="0" collapsed="false">
      <c r="A888" s="57" t="s">
        <v>1707</v>
      </c>
      <c r="B888" s="51"/>
      <c r="C888" s="51"/>
      <c r="D888" s="51"/>
      <c r="E888" s="51"/>
      <c r="F888" s="57" t="s">
        <v>1708</v>
      </c>
      <c r="G888" s="51"/>
      <c r="H888" s="51"/>
      <c r="I888" s="51"/>
      <c r="J888" s="51"/>
      <c r="K888" s="52" t="str">
        <f aca="false">IF($A888&lt;&gt;"",$A888,"")</f>
        <v>Apprenant 876</v>
      </c>
      <c r="L888" s="53" t="str">
        <f aca="false">IF(AND($B888&lt;&gt;"",$C888&lt;&gt;""),$C888-$B888,"")</f>
        <v/>
      </c>
      <c r="M888" s="53" t="str">
        <f aca="false">IF(AND($B888&lt;&gt;"",$D888&lt;&gt;""),$D888-$B888,"")</f>
        <v/>
      </c>
      <c r="N888" s="53" t="str">
        <f aca="false">IF(AND($C888&lt;&gt;"",$D888&lt;&gt;""),$D888-$C888,"")</f>
        <v/>
      </c>
      <c r="O888" s="53" t="str">
        <f aca="false">IF($E888&lt;&gt;"",$E888,"")</f>
        <v/>
      </c>
      <c r="P888" s="52" t="str">
        <f aca="false">IF($F888&lt;&gt;"",$F888,"")</f>
        <v>Apprenant 876 ou 876'</v>
      </c>
      <c r="Q888" s="53" t="str">
        <f aca="false">IF(AND($G888&lt;&gt;"",$H888&lt;&gt;""),$H888-$G888,"")</f>
        <v/>
      </c>
      <c r="R888" s="53" t="str">
        <f aca="false">IF(AND($G888&lt;&gt;"",$I888&lt;&gt;""),$I888-$G888,"")</f>
        <v/>
      </c>
      <c r="S888" s="53" t="str">
        <f aca="false">IF(AND($H888&lt;&gt;"",$I888&lt;&gt;""),$I888-$H888,"")</f>
        <v/>
      </c>
      <c r="T888" s="53" t="str">
        <f aca="false">IF($J888&lt;&gt;"",$J888,"")</f>
        <v/>
      </c>
      <c r="V888" s="52" t="str">
        <f aca="false">IF($A888&lt;&gt;"",$A888,"")</f>
        <v>Apprenant 876</v>
      </c>
      <c r="W888" s="53" t="str">
        <f aca="false">IF(AND(OR('Choix pédagogiques'!$C$3=1,'Choix pédagogiques'!$C$3=2),$BM888=1),B888,IF(AND('Choix pédagogiques'!$C$3=3,$BO888=1),B888,""))</f>
        <v/>
      </c>
      <c r="X888" s="53" t="str">
        <f aca="false">IF(AND(OR('Choix pédagogiques'!$C$3=1,'Choix pédagogiques'!$C$3=2),$BM888=1),C888,IF(AND('Choix pédagogiques'!$C$3=3,$BO888=1),C888,""))</f>
        <v/>
      </c>
      <c r="Y888" s="53" t="str">
        <f aca="false">IF(AND(OR('Choix pédagogiques'!$C$3=1,'Choix pédagogiques'!$C$3=2),$BM888=1),D888,IF(AND('Choix pédagogiques'!$C$3=3,$BO888=1),D888,""))</f>
        <v/>
      </c>
      <c r="Z888" s="53" t="str">
        <f aca="false">IF($E888&lt;&gt;"",$E888,"")</f>
        <v/>
      </c>
      <c r="AA888" s="52" t="str">
        <f aca="false">IF($F888&lt;&gt;"",$F888,"")</f>
        <v>Apprenant 876 ou 876'</v>
      </c>
      <c r="AB888" s="53" t="str">
        <f aca="false">IF(AND(OR('Choix pédagogiques'!$C$3=1,'Choix pédagogiques'!$C$3=2),$BN888=1),G888,IF(AND('Choix pédagogiques'!$C$3=3,$BO888=1),G888,""))</f>
        <v/>
      </c>
      <c r="AC888" s="53" t="str">
        <f aca="false">IF(AND(OR('Choix pédagogiques'!$C$3=1,'Choix pédagogiques'!$C$3=2),$BN888=1),H888,IF(AND('Choix pédagogiques'!$C$3=3,$BO888=1),H888,""))</f>
        <v/>
      </c>
      <c r="AD888" s="53" t="str">
        <f aca="false">IF(AND(OR('Choix pédagogiques'!$C$3=1,'Choix pédagogiques'!$C$3=2),$BN888=1),I888,IF(AND('Choix pédagogiques'!$C$3=3,$BO888=1),I888,""))</f>
        <v/>
      </c>
      <c r="AE888" s="53" t="str">
        <f aca="false">IF($J888&lt;&gt;"",$J888,"")</f>
        <v/>
      </c>
      <c r="AF888" s="52" t="str">
        <f aca="false">IF($A888&lt;&gt;"",$A888,"")</f>
        <v>Apprenant 876</v>
      </c>
      <c r="AG888" s="53" t="str">
        <f aca="false">IF(AND($W888&lt;&gt;"",$X888&lt;&gt;""),$X888-$W888,"")</f>
        <v/>
      </c>
      <c r="AH888" s="53" t="str">
        <f aca="false">IF(AND($W888&lt;&gt;"",$Y888&lt;&gt;""),$Y888-$W888,"")</f>
        <v/>
      </c>
      <c r="AI888" s="53" t="str">
        <f aca="false">IF(AND($X888&lt;&gt;"",$Y888&lt;&gt;""),$Y888-$X888,"")</f>
        <v/>
      </c>
      <c r="AJ888" s="53" t="str">
        <f aca="false">IF($E888&lt;&gt;"",$E888,"")</f>
        <v/>
      </c>
      <c r="AK888" s="52" t="str">
        <f aca="false">IF($F888&lt;&gt;"",$F888,"")</f>
        <v>Apprenant 876 ou 876'</v>
      </c>
      <c r="AL888" s="53" t="str">
        <f aca="false">IF(AND($AB888&lt;&gt;"",$AC888&lt;&gt;""),$AC888-$AB888,"")</f>
        <v/>
      </c>
      <c r="AM888" s="53" t="str">
        <f aca="false">IF(AND($AB888&lt;&gt;"",$AD888&lt;&gt;""),$AD888-$AB888,"")</f>
        <v/>
      </c>
      <c r="AN888" s="53" t="str">
        <f aca="false">IF(AND($AC888&lt;&gt;"",$AD888&lt;&gt;""),$AD888-$AC888,"")</f>
        <v/>
      </c>
      <c r="AO888" s="53" t="str">
        <f aca="false">IF($J888&lt;&gt;"",$J888,"")</f>
        <v/>
      </c>
      <c r="AQ888" s="52" t="str">
        <f aca="false">IF($A888&lt;&gt;"",$A888,"")</f>
        <v>Apprenant 876</v>
      </c>
      <c r="AR888" s="55" t="str">
        <f aca="false">IF(AND('Choix pédagogiques'!$C$4&lt;&gt;"?",'Choix pédagogiques'!$C$5&lt;&gt;"?",W888&lt;&gt;""),(W888-'Choix pédagogiques'!$C$4)/('Choix pédagogiques'!$C$5-'Choix pédagogiques'!$C$4),"")</f>
        <v/>
      </c>
      <c r="AS888" s="55" t="str">
        <f aca="false">IF(AND('Choix pédagogiques'!$C$4&lt;&gt;"?",'Choix pédagogiques'!$C$5&lt;&gt;"?",X888&lt;&gt;""),(X888-'Choix pédagogiques'!$C$4)/('Choix pédagogiques'!$C$5-'Choix pédagogiques'!$C$4),"")</f>
        <v/>
      </c>
      <c r="AT888" s="55" t="str">
        <f aca="false">IF(AND('Choix pédagogiques'!$C$4&lt;&gt;"?",'Choix pédagogiques'!$C$5&lt;&gt;"?",Y888&lt;&gt;""),(Y888-'Choix pédagogiques'!$C$4)/('Choix pédagogiques'!$C$5-'Choix pédagogiques'!$C$4),"")</f>
        <v/>
      </c>
      <c r="AU888" s="53" t="str">
        <f aca="false">IF($E888&lt;&gt;"",$E888,"")</f>
        <v/>
      </c>
      <c r="AV888" s="52" t="str">
        <f aca="false">IF($F888&lt;&gt;"",$F888,"")</f>
        <v>Apprenant 876 ou 876'</v>
      </c>
      <c r="AW888" s="55" t="str">
        <f aca="false">IF(AND('Choix pédagogiques'!$C$4&lt;&gt;"?",'Choix pédagogiques'!$C$5&lt;&gt;"?",AB888&lt;&gt;""),(AB888-'Choix pédagogiques'!$C$4)/('Choix pédagogiques'!$C$5-'Choix pédagogiques'!$C$4),"")</f>
        <v/>
      </c>
      <c r="AX888" s="55" t="str">
        <f aca="false">IF(AND('Choix pédagogiques'!$C$4&lt;&gt;"?",'Choix pédagogiques'!$C$5&lt;&gt;"?",AC888&lt;&gt;""),(AC888-'Choix pédagogiques'!$C$4)/('Choix pédagogiques'!$C$5-'Choix pédagogiques'!$C$4),"")</f>
        <v/>
      </c>
      <c r="AY888" s="55" t="str">
        <f aca="false">IF(AND('Choix pédagogiques'!$C$4&lt;&gt;"?",'Choix pédagogiques'!$C$5&lt;&gt;"?",AD888&lt;&gt;""),(AD888-'Choix pédagogiques'!$C$4)/('Choix pédagogiques'!$C$5-'Choix pédagogiques'!$C$4),"")</f>
        <v/>
      </c>
      <c r="AZ888" s="53" t="str">
        <f aca="false">IF($J888&lt;&gt;"",$J888,"")</f>
        <v/>
      </c>
      <c r="BA888" s="52" t="str">
        <f aca="false">IF($A888&lt;&gt;"",$A888,"")</f>
        <v>Apprenant 876</v>
      </c>
      <c r="BB888" s="55" t="str">
        <f aca="false">IF(AND($AR888&lt;&gt;"",$AS888&lt;&gt;""),$AS888-$AR888,"")</f>
        <v/>
      </c>
      <c r="BC888" s="55" t="str">
        <f aca="false">IF(AND($AR888&lt;&gt;"",$AT888&lt;&gt;""),$AT888-$AR888,"")</f>
        <v/>
      </c>
      <c r="BD888" s="55" t="str">
        <f aca="false">IF(AND($AS888&lt;&gt;"",$AT888&lt;&gt;""),$AT888-$AS888,"")</f>
        <v/>
      </c>
      <c r="BE888" s="53" t="str">
        <f aca="false">IF($E888&lt;&gt;"",$E888,"")</f>
        <v/>
      </c>
      <c r="BF888" s="52" t="str">
        <f aca="false">IF($F888&lt;&gt;"",$F888,"")</f>
        <v>Apprenant 876 ou 876'</v>
      </c>
      <c r="BG888" s="55" t="str">
        <f aca="false">IF(AND($AW888&lt;&gt;"",$AX888&lt;&gt;""),$AX888-$AW888,"")</f>
        <v/>
      </c>
      <c r="BH888" s="55" t="str">
        <f aca="false">IF(AND($AW888&lt;&gt;"",$AY888&lt;&gt;""),$AY888-$AW888,"")</f>
        <v/>
      </c>
      <c r="BI888" s="55" t="str">
        <f aca="false">IF(AND($AX888&lt;&gt;"",$AY888&lt;&gt;""),$AY888-$AX888,"")</f>
        <v/>
      </c>
      <c r="BJ888" s="53" t="str">
        <f aca="false">IF($J888&lt;&gt;"",$J888,"")</f>
        <v/>
      </c>
      <c r="BL888" s="52"/>
      <c r="BM888" s="52" t="str">
        <f aca="false">IF(OR(COUNT(B888:D1887)=0,AND('Choix pédagogiques'!$C$3&lt;&gt;1,'Choix pédagogiques'!$C$3&lt;&gt;2)),"",IF(AND(OR('Choix pédagogiques'!$C$3=1,'Choix pédagogiques'!$C$3=2),$B888&lt;&gt;"",$C888&lt;&gt;"",$D888&lt;&gt;""),1,0))</f>
        <v/>
      </c>
      <c r="BN888" s="52" t="str">
        <f aca="false">IF(OR(COUNT(G888:I1887)=0,AND('Choix pédagogiques'!$C$3&lt;&gt;1,'Choix pédagogiques'!$C$3&lt;&gt;2)),"",IF(AND(OR('Choix pédagogiques'!$C$3=1,'Choix pédagogiques'!$C$3=2),AND($G888&lt;&gt;"",$H888&lt;&gt;"",$I888&lt;&gt;"")),1,0))</f>
        <v/>
      </c>
      <c r="BO888" s="52" t="str">
        <f aca="false">IF(OR(COUNT(B888:D1887)=0,COUNT(G888:I1887)=0,'Choix pédagogiques'!C$3&lt;&gt;3),"",IF(AND('Choix pédagogiques'!$C$3=3,$B888&lt;&gt;"",$C888&lt;&gt;"",$D888&lt;&gt;"",$G888&lt;&gt;"",$H888&lt;&gt;"",$I888&lt;&gt;""),1,0))</f>
        <v/>
      </c>
      <c r="BR888" s="52" t="n">
        <v>635</v>
      </c>
      <c r="BS888" s="52" t="n">
        <v>1222</v>
      </c>
    </row>
    <row r="889" s="54" customFormat="true" ht="18" hidden="false" customHeight="true" outlineLevel="0" collapsed="false">
      <c r="A889" s="57" t="s">
        <v>1709</v>
      </c>
      <c r="B889" s="51"/>
      <c r="C889" s="51"/>
      <c r="D889" s="51"/>
      <c r="E889" s="51"/>
      <c r="F889" s="57" t="s">
        <v>1710</v>
      </c>
      <c r="G889" s="51"/>
      <c r="H889" s="51"/>
      <c r="I889" s="51"/>
      <c r="J889" s="51"/>
      <c r="K889" s="52" t="str">
        <f aca="false">IF($A889&lt;&gt;"",$A889,"")</f>
        <v>Apprenant 877</v>
      </c>
      <c r="L889" s="53" t="str">
        <f aca="false">IF(AND($B889&lt;&gt;"",$C889&lt;&gt;""),$C889-$B889,"")</f>
        <v/>
      </c>
      <c r="M889" s="53" t="str">
        <f aca="false">IF(AND($B889&lt;&gt;"",$D889&lt;&gt;""),$D889-$B889,"")</f>
        <v/>
      </c>
      <c r="N889" s="53" t="str">
        <f aca="false">IF(AND($C889&lt;&gt;"",$D889&lt;&gt;""),$D889-$C889,"")</f>
        <v/>
      </c>
      <c r="O889" s="53" t="str">
        <f aca="false">IF($E889&lt;&gt;"",$E889,"")</f>
        <v/>
      </c>
      <c r="P889" s="52" t="str">
        <f aca="false">IF($F889&lt;&gt;"",$F889,"")</f>
        <v>Apprenant 877 ou 877'</v>
      </c>
      <c r="Q889" s="53" t="str">
        <f aca="false">IF(AND($G889&lt;&gt;"",$H889&lt;&gt;""),$H889-$G889,"")</f>
        <v/>
      </c>
      <c r="R889" s="53" t="str">
        <f aca="false">IF(AND($G889&lt;&gt;"",$I889&lt;&gt;""),$I889-$G889,"")</f>
        <v/>
      </c>
      <c r="S889" s="53" t="str">
        <f aca="false">IF(AND($H889&lt;&gt;"",$I889&lt;&gt;""),$I889-$H889,"")</f>
        <v/>
      </c>
      <c r="T889" s="53" t="str">
        <f aca="false">IF($J889&lt;&gt;"",$J889,"")</f>
        <v/>
      </c>
      <c r="V889" s="52" t="str">
        <f aca="false">IF($A889&lt;&gt;"",$A889,"")</f>
        <v>Apprenant 877</v>
      </c>
      <c r="W889" s="53" t="str">
        <f aca="false">IF(AND(OR('Choix pédagogiques'!$C$3=1,'Choix pédagogiques'!$C$3=2),$BM889=1),B889,IF(AND('Choix pédagogiques'!$C$3=3,$BO889=1),B889,""))</f>
        <v/>
      </c>
      <c r="X889" s="53" t="str">
        <f aca="false">IF(AND(OR('Choix pédagogiques'!$C$3=1,'Choix pédagogiques'!$C$3=2),$BM889=1),C889,IF(AND('Choix pédagogiques'!$C$3=3,$BO889=1),C889,""))</f>
        <v/>
      </c>
      <c r="Y889" s="53" t="str">
        <f aca="false">IF(AND(OR('Choix pédagogiques'!$C$3=1,'Choix pédagogiques'!$C$3=2),$BM889=1),D889,IF(AND('Choix pédagogiques'!$C$3=3,$BO889=1),D889,""))</f>
        <v/>
      </c>
      <c r="Z889" s="53" t="str">
        <f aca="false">IF($E889&lt;&gt;"",$E889,"")</f>
        <v/>
      </c>
      <c r="AA889" s="52" t="str">
        <f aca="false">IF($F889&lt;&gt;"",$F889,"")</f>
        <v>Apprenant 877 ou 877'</v>
      </c>
      <c r="AB889" s="53" t="str">
        <f aca="false">IF(AND(OR('Choix pédagogiques'!$C$3=1,'Choix pédagogiques'!$C$3=2),$BN889=1),G889,IF(AND('Choix pédagogiques'!$C$3=3,$BO889=1),G889,""))</f>
        <v/>
      </c>
      <c r="AC889" s="53" t="str">
        <f aca="false">IF(AND(OR('Choix pédagogiques'!$C$3=1,'Choix pédagogiques'!$C$3=2),$BN889=1),H889,IF(AND('Choix pédagogiques'!$C$3=3,$BO889=1),H889,""))</f>
        <v/>
      </c>
      <c r="AD889" s="53" t="str">
        <f aca="false">IF(AND(OR('Choix pédagogiques'!$C$3=1,'Choix pédagogiques'!$C$3=2),$BN889=1),I889,IF(AND('Choix pédagogiques'!$C$3=3,$BO889=1),I889,""))</f>
        <v/>
      </c>
      <c r="AE889" s="53" t="str">
        <f aca="false">IF($J889&lt;&gt;"",$J889,"")</f>
        <v/>
      </c>
      <c r="AF889" s="52" t="str">
        <f aca="false">IF($A889&lt;&gt;"",$A889,"")</f>
        <v>Apprenant 877</v>
      </c>
      <c r="AG889" s="53" t="str">
        <f aca="false">IF(AND($W889&lt;&gt;"",$X889&lt;&gt;""),$X889-$W889,"")</f>
        <v/>
      </c>
      <c r="AH889" s="53" t="str">
        <f aca="false">IF(AND($W889&lt;&gt;"",$Y889&lt;&gt;""),$Y889-$W889,"")</f>
        <v/>
      </c>
      <c r="AI889" s="53" t="str">
        <f aca="false">IF(AND($X889&lt;&gt;"",$Y889&lt;&gt;""),$Y889-$X889,"")</f>
        <v/>
      </c>
      <c r="AJ889" s="53" t="str">
        <f aca="false">IF($E889&lt;&gt;"",$E889,"")</f>
        <v/>
      </c>
      <c r="AK889" s="52" t="str">
        <f aca="false">IF($F889&lt;&gt;"",$F889,"")</f>
        <v>Apprenant 877 ou 877'</v>
      </c>
      <c r="AL889" s="53" t="str">
        <f aca="false">IF(AND($AB889&lt;&gt;"",$AC889&lt;&gt;""),$AC889-$AB889,"")</f>
        <v/>
      </c>
      <c r="AM889" s="53" t="str">
        <f aca="false">IF(AND($AB889&lt;&gt;"",$AD889&lt;&gt;""),$AD889-$AB889,"")</f>
        <v/>
      </c>
      <c r="AN889" s="53" t="str">
        <f aca="false">IF(AND($AC889&lt;&gt;"",$AD889&lt;&gt;""),$AD889-$AC889,"")</f>
        <v/>
      </c>
      <c r="AO889" s="53" t="str">
        <f aca="false">IF($J889&lt;&gt;"",$J889,"")</f>
        <v/>
      </c>
      <c r="AQ889" s="52" t="str">
        <f aca="false">IF($A889&lt;&gt;"",$A889,"")</f>
        <v>Apprenant 877</v>
      </c>
      <c r="AR889" s="55" t="str">
        <f aca="false">IF(AND('Choix pédagogiques'!$C$4&lt;&gt;"?",'Choix pédagogiques'!$C$5&lt;&gt;"?",W889&lt;&gt;""),(W889-'Choix pédagogiques'!$C$4)/('Choix pédagogiques'!$C$5-'Choix pédagogiques'!$C$4),"")</f>
        <v/>
      </c>
      <c r="AS889" s="55" t="str">
        <f aca="false">IF(AND('Choix pédagogiques'!$C$4&lt;&gt;"?",'Choix pédagogiques'!$C$5&lt;&gt;"?",X889&lt;&gt;""),(X889-'Choix pédagogiques'!$C$4)/('Choix pédagogiques'!$C$5-'Choix pédagogiques'!$C$4),"")</f>
        <v/>
      </c>
      <c r="AT889" s="55" t="str">
        <f aca="false">IF(AND('Choix pédagogiques'!$C$4&lt;&gt;"?",'Choix pédagogiques'!$C$5&lt;&gt;"?",Y889&lt;&gt;""),(Y889-'Choix pédagogiques'!$C$4)/('Choix pédagogiques'!$C$5-'Choix pédagogiques'!$C$4),"")</f>
        <v/>
      </c>
      <c r="AU889" s="53" t="str">
        <f aca="false">IF($E889&lt;&gt;"",$E889,"")</f>
        <v/>
      </c>
      <c r="AV889" s="52" t="str">
        <f aca="false">IF($F889&lt;&gt;"",$F889,"")</f>
        <v>Apprenant 877 ou 877'</v>
      </c>
      <c r="AW889" s="55" t="str">
        <f aca="false">IF(AND('Choix pédagogiques'!$C$4&lt;&gt;"?",'Choix pédagogiques'!$C$5&lt;&gt;"?",AB889&lt;&gt;""),(AB889-'Choix pédagogiques'!$C$4)/('Choix pédagogiques'!$C$5-'Choix pédagogiques'!$C$4),"")</f>
        <v/>
      </c>
      <c r="AX889" s="55" t="str">
        <f aca="false">IF(AND('Choix pédagogiques'!$C$4&lt;&gt;"?",'Choix pédagogiques'!$C$5&lt;&gt;"?",AC889&lt;&gt;""),(AC889-'Choix pédagogiques'!$C$4)/('Choix pédagogiques'!$C$5-'Choix pédagogiques'!$C$4),"")</f>
        <v/>
      </c>
      <c r="AY889" s="55" t="str">
        <f aca="false">IF(AND('Choix pédagogiques'!$C$4&lt;&gt;"?",'Choix pédagogiques'!$C$5&lt;&gt;"?",AD889&lt;&gt;""),(AD889-'Choix pédagogiques'!$C$4)/('Choix pédagogiques'!$C$5-'Choix pédagogiques'!$C$4),"")</f>
        <v/>
      </c>
      <c r="AZ889" s="53" t="str">
        <f aca="false">IF($J889&lt;&gt;"",$J889,"")</f>
        <v/>
      </c>
      <c r="BA889" s="52" t="str">
        <f aca="false">IF($A889&lt;&gt;"",$A889,"")</f>
        <v>Apprenant 877</v>
      </c>
      <c r="BB889" s="55" t="str">
        <f aca="false">IF(AND($AR889&lt;&gt;"",$AS889&lt;&gt;""),$AS889-$AR889,"")</f>
        <v/>
      </c>
      <c r="BC889" s="55" t="str">
        <f aca="false">IF(AND($AR889&lt;&gt;"",$AT889&lt;&gt;""),$AT889-$AR889,"")</f>
        <v/>
      </c>
      <c r="BD889" s="55" t="str">
        <f aca="false">IF(AND($AS889&lt;&gt;"",$AT889&lt;&gt;""),$AT889-$AS889,"")</f>
        <v/>
      </c>
      <c r="BE889" s="53" t="str">
        <f aca="false">IF($E889&lt;&gt;"",$E889,"")</f>
        <v/>
      </c>
      <c r="BF889" s="52" t="str">
        <f aca="false">IF($F889&lt;&gt;"",$F889,"")</f>
        <v>Apprenant 877 ou 877'</v>
      </c>
      <c r="BG889" s="55" t="str">
        <f aca="false">IF(AND($AW889&lt;&gt;"",$AX889&lt;&gt;""),$AX889-$AW889,"")</f>
        <v/>
      </c>
      <c r="BH889" s="55" t="str">
        <f aca="false">IF(AND($AW889&lt;&gt;"",$AY889&lt;&gt;""),$AY889-$AW889,"")</f>
        <v/>
      </c>
      <c r="BI889" s="55" t="str">
        <f aca="false">IF(AND($AX889&lt;&gt;"",$AY889&lt;&gt;""),$AY889-$AX889,"")</f>
        <v/>
      </c>
      <c r="BJ889" s="53" t="str">
        <f aca="false">IF($J889&lt;&gt;"",$J889,"")</f>
        <v/>
      </c>
      <c r="BL889" s="52"/>
      <c r="BM889" s="52" t="str">
        <f aca="false">IF(OR(COUNT(B889:D1888)=0,AND('Choix pédagogiques'!$C$3&lt;&gt;1,'Choix pédagogiques'!$C$3&lt;&gt;2)),"",IF(AND(OR('Choix pédagogiques'!$C$3=1,'Choix pédagogiques'!$C$3=2),$B889&lt;&gt;"",$C889&lt;&gt;"",$D889&lt;&gt;""),1,0))</f>
        <v/>
      </c>
      <c r="BN889" s="52" t="str">
        <f aca="false">IF(OR(COUNT(G889:I1888)=0,AND('Choix pédagogiques'!$C$3&lt;&gt;1,'Choix pédagogiques'!$C$3&lt;&gt;2)),"",IF(AND(OR('Choix pédagogiques'!$C$3=1,'Choix pédagogiques'!$C$3=2),AND($G889&lt;&gt;"",$H889&lt;&gt;"",$I889&lt;&gt;"")),1,0))</f>
        <v/>
      </c>
      <c r="BO889" s="52" t="str">
        <f aca="false">IF(OR(COUNT(B889:D1888)=0,COUNT(G889:I1888)=0,'Choix pédagogiques'!C$3&lt;&gt;3),"",IF(AND('Choix pédagogiques'!$C$3=3,$B889&lt;&gt;"",$C889&lt;&gt;"",$D889&lt;&gt;"",$G889&lt;&gt;"",$H889&lt;&gt;"",$I889&lt;&gt;""),1,0))</f>
        <v/>
      </c>
      <c r="BR889" s="52" t="n">
        <v>32</v>
      </c>
      <c r="BS889" s="52" t="n">
        <v>1201</v>
      </c>
    </row>
    <row r="890" s="54" customFormat="true" ht="18" hidden="false" customHeight="true" outlineLevel="0" collapsed="false">
      <c r="A890" s="57" t="s">
        <v>1711</v>
      </c>
      <c r="B890" s="51"/>
      <c r="C890" s="51"/>
      <c r="D890" s="51"/>
      <c r="E890" s="51"/>
      <c r="F890" s="57" t="s">
        <v>1712</v>
      </c>
      <c r="G890" s="51"/>
      <c r="H890" s="51"/>
      <c r="I890" s="51"/>
      <c r="J890" s="51"/>
      <c r="K890" s="52" t="str">
        <f aca="false">IF($A890&lt;&gt;"",$A890,"")</f>
        <v>Apprenant 878</v>
      </c>
      <c r="L890" s="53" t="str">
        <f aca="false">IF(AND($B890&lt;&gt;"",$C890&lt;&gt;""),$C890-$B890,"")</f>
        <v/>
      </c>
      <c r="M890" s="53" t="str">
        <f aca="false">IF(AND($B890&lt;&gt;"",$D890&lt;&gt;""),$D890-$B890,"")</f>
        <v/>
      </c>
      <c r="N890" s="53" t="str">
        <f aca="false">IF(AND($C890&lt;&gt;"",$D890&lt;&gt;""),$D890-$C890,"")</f>
        <v/>
      </c>
      <c r="O890" s="53" t="str">
        <f aca="false">IF($E890&lt;&gt;"",$E890,"")</f>
        <v/>
      </c>
      <c r="P890" s="52" t="str">
        <f aca="false">IF($F890&lt;&gt;"",$F890,"")</f>
        <v>Apprenant 878 ou 878'</v>
      </c>
      <c r="Q890" s="53" t="str">
        <f aca="false">IF(AND($G890&lt;&gt;"",$H890&lt;&gt;""),$H890-$G890,"")</f>
        <v/>
      </c>
      <c r="R890" s="53" t="str">
        <f aca="false">IF(AND($G890&lt;&gt;"",$I890&lt;&gt;""),$I890-$G890,"")</f>
        <v/>
      </c>
      <c r="S890" s="53" t="str">
        <f aca="false">IF(AND($H890&lt;&gt;"",$I890&lt;&gt;""),$I890-$H890,"")</f>
        <v/>
      </c>
      <c r="T890" s="53" t="str">
        <f aca="false">IF($J890&lt;&gt;"",$J890,"")</f>
        <v/>
      </c>
      <c r="V890" s="52" t="str">
        <f aca="false">IF($A890&lt;&gt;"",$A890,"")</f>
        <v>Apprenant 878</v>
      </c>
      <c r="W890" s="53" t="str">
        <f aca="false">IF(AND(OR('Choix pédagogiques'!$C$3=1,'Choix pédagogiques'!$C$3=2),$BM890=1),B890,IF(AND('Choix pédagogiques'!$C$3=3,$BO890=1),B890,""))</f>
        <v/>
      </c>
      <c r="X890" s="53" t="str">
        <f aca="false">IF(AND(OR('Choix pédagogiques'!$C$3=1,'Choix pédagogiques'!$C$3=2),$BM890=1),C890,IF(AND('Choix pédagogiques'!$C$3=3,$BO890=1),C890,""))</f>
        <v/>
      </c>
      <c r="Y890" s="53" t="str">
        <f aca="false">IF(AND(OR('Choix pédagogiques'!$C$3=1,'Choix pédagogiques'!$C$3=2),$BM890=1),D890,IF(AND('Choix pédagogiques'!$C$3=3,$BO890=1),D890,""))</f>
        <v/>
      </c>
      <c r="Z890" s="53" t="str">
        <f aca="false">IF($E890&lt;&gt;"",$E890,"")</f>
        <v/>
      </c>
      <c r="AA890" s="52" t="str">
        <f aca="false">IF($F890&lt;&gt;"",$F890,"")</f>
        <v>Apprenant 878 ou 878'</v>
      </c>
      <c r="AB890" s="53" t="str">
        <f aca="false">IF(AND(OR('Choix pédagogiques'!$C$3=1,'Choix pédagogiques'!$C$3=2),$BN890=1),G890,IF(AND('Choix pédagogiques'!$C$3=3,$BO890=1),G890,""))</f>
        <v/>
      </c>
      <c r="AC890" s="53" t="str">
        <f aca="false">IF(AND(OR('Choix pédagogiques'!$C$3=1,'Choix pédagogiques'!$C$3=2),$BN890=1),H890,IF(AND('Choix pédagogiques'!$C$3=3,$BO890=1),H890,""))</f>
        <v/>
      </c>
      <c r="AD890" s="53" t="str">
        <f aca="false">IF(AND(OR('Choix pédagogiques'!$C$3=1,'Choix pédagogiques'!$C$3=2),$BN890=1),I890,IF(AND('Choix pédagogiques'!$C$3=3,$BO890=1),I890,""))</f>
        <v/>
      </c>
      <c r="AE890" s="53" t="str">
        <f aca="false">IF($J890&lt;&gt;"",$J890,"")</f>
        <v/>
      </c>
      <c r="AF890" s="52" t="str">
        <f aca="false">IF($A890&lt;&gt;"",$A890,"")</f>
        <v>Apprenant 878</v>
      </c>
      <c r="AG890" s="53" t="str">
        <f aca="false">IF(AND($W890&lt;&gt;"",$X890&lt;&gt;""),$X890-$W890,"")</f>
        <v/>
      </c>
      <c r="AH890" s="53" t="str">
        <f aca="false">IF(AND($W890&lt;&gt;"",$Y890&lt;&gt;""),$Y890-$W890,"")</f>
        <v/>
      </c>
      <c r="AI890" s="53" t="str">
        <f aca="false">IF(AND($X890&lt;&gt;"",$Y890&lt;&gt;""),$Y890-$X890,"")</f>
        <v/>
      </c>
      <c r="AJ890" s="53" t="str">
        <f aca="false">IF($E890&lt;&gt;"",$E890,"")</f>
        <v/>
      </c>
      <c r="AK890" s="52" t="str">
        <f aca="false">IF($F890&lt;&gt;"",$F890,"")</f>
        <v>Apprenant 878 ou 878'</v>
      </c>
      <c r="AL890" s="53" t="str">
        <f aca="false">IF(AND($AB890&lt;&gt;"",$AC890&lt;&gt;""),$AC890-$AB890,"")</f>
        <v/>
      </c>
      <c r="AM890" s="53" t="str">
        <f aca="false">IF(AND($AB890&lt;&gt;"",$AD890&lt;&gt;""),$AD890-$AB890,"")</f>
        <v/>
      </c>
      <c r="AN890" s="53" t="str">
        <f aca="false">IF(AND($AC890&lt;&gt;"",$AD890&lt;&gt;""),$AD890-$AC890,"")</f>
        <v/>
      </c>
      <c r="AO890" s="53" t="str">
        <f aca="false">IF($J890&lt;&gt;"",$J890,"")</f>
        <v/>
      </c>
      <c r="AQ890" s="52" t="str">
        <f aca="false">IF($A890&lt;&gt;"",$A890,"")</f>
        <v>Apprenant 878</v>
      </c>
      <c r="AR890" s="55" t="str">
        <f aca="false">IF(AND('Choix pédagogiques'!$C$4&lt;&gt;"?",'Choix pédagogiques'!$C$5&lt;&gt;"?",W890&lt;&gt;""),(W890-'Choix pédagogiques'!$C$4)/('Choix pédagogiques'!$C$5-'Choix pédagogiques'!$C$4),"")</f>
        <v/>
      </c>
      <c r="AS890" s="55" t="str">
        <f aca="false">IF(AND('Choix pédagogiques'!$C$4&lt;&gt;"?",'Choix pédagogiques'!$C$5&lt;&gt;"?",X890&lt;&gt;""),(X890-'Choix pédagogiques'!$C$4)/('Choix pédagogiques'!$C$5-'Choix pédagogiques'!$C$4),"")</f>
        <v/>
      </c>
      <c r="AT890" s="55" t="str">
        <f aca="false">IF(AND('Choix pédagogiques'!$C$4&lt;&gt;"?",'Choix pédagogiques'!$C$5&lt;&gt;"?",Y890&lt;&gt;""),(Y890-'Choix pédagogiques'!$C$4)/('Choix pédagogiques'!$C$5-'Choix pédagogiques'!$C$4),"")</f>
        <v/>
      </c>
      <c r="AU890" s="53" t="str">
        <f aca="false">IF($E890&lt;&gt;"",$E890,"")</f>
        <v/>
      </c>
      <c r="AV890" s="52" t="str">
        <f aca="false">IF($F890&lt;&gt;"",$F890,"")</f>
        <v>Apprenant 878 ou 878'</v>
      </c>
      <c r="AW890" s="55" t="str">
        <f aca="false">IF(AND('Choix pédagogiques'!$C$4&lt;&gt;"?",'Choix pédagogiques'!$C$5&lt;&gt;"?",AB890&lt;&gt;""),(AB890-'Choix pédagogiques'!$C$4)/('Choix pédagogiques'!$C$5-'Choix pédagogiques'!$C$4),"")</f>
        <v/>
      </c>
      <c r="AX890" s="55" t="str">
        <f aca="false">IF(AND('Choix pédagogiques'!$C$4&lt;&gt;"?",'Choix pédagogiques'!$C$5&lt;&gt;"?",AC890&lt;&gt;""),(AC890-'Choix pédagogiques'!$C$4)/('Choix pédagogiques'!$C$5-'Choix pédagogiques'!$C$4),"")</f>
        <v/>
      </c>
      <c r="AY890" s="55" t="str">
        <f aca="false">IF(AND('Choix pédagogiques'!$C$4&lt;&gt;"?",'Choix pédagogiques'!$C$5&lt;&gt;"?",AD890&lt;&gt;""),(AD890-'Choix pédagogiques'!$C$4)/('Choix pédagogiques'!$C$5-'Choix pédagogiques'!$C$4),"")</f>
        <v/>
      </c>
      <c r="AZ890" s="53" t="str">
        <f aca="false">IF($J890&lt;&gt;"",$J890,"")</f>
        <v/>
      </c>
      <c r="BA890" s="52" t="str">
        <f aca="false">IF($A890&lt;&gt;"",$A890,"")</f>
        <v>Apprenant 878</v>
      </c>
      <c r="BB890" s="55" t="str">
        <f aca="false">IF(AND($AR890&lt;&gt;"",$AS890&lt;&gt;""),$AS890-$AR890,"")</f>
        <v/>
      </c>
      <c r="BC890" s="55" t="str">
        <f aca="false">IF(AND($AR890&lt;&gt;"",$AT890&lt;&gt;""),$AT890-$AR890,"")</f>
        <v/>
      </c>
      <c r="BD890" s="55" t="str">
        <f aca="false">IF(AND($AS890&lt;&gt;"",$AT890&lt;&gt;""),$AT890-$AS890,"")</f>
        <v/>
      </c>
      <c r="BE890" s="53" t="str">
        <f aca="false">IF($E890&lt;&gt;"",$E890,"")</f>
        <v/>
      </c>
      <c r="BF890" s="52" t="str">
        <f aca="false">IF($F890&lt;&gt;"",$F890,"")</f>
        <v>Apprenant 878 ou 878'</v>
      </c>
      <c r="BG890" s="55" t="str">
        <f aca="false">IF(AND($AW890&lt;&gt;"",$AX890&lt;&gt;""),$AX890-$AW890,"")</f>
        <v/>
      </c>
      <c r="BH890" s="55" t="str">
        <f aca="false">IF(AND($AW890&lt;&gt;"",$AY890&lt;&gt;""),$AY890-$AW890,"")</f>
        <v/>
      </c>
      <c r="BI890" s="55" t="str">
        <f aca="false">IF(AND($AX890&lt;&gt;"",$AY890&lt;&gt;""),$AY890-$AX890,"")</f>
        <v/>
      </c>
      <c r="BJ890" s="53" t="str">
        <f aca="false">IF($J890&lt;&gt;"",$J890,"")</f>
        <v/>
      </c>
      <c r="BL890" s="52"/>
      <c r="BM890" s="52" t="str">
        <f aca="false">IF(OR(COUNT(B890:D1889)=0,AND('Choix pédagogiques'!$C$3&lt;&gt;1,'Choix pédagogiques'!$C$3&lt;&gt;2)),"",IF(AND(OR('Choix pédagogiques'!$C$3=1,'Choix pédagogiques'!$C$3=2),$B890&lt;&gt;"",$C890&lt;&gt;"",$D890&lt;&gt;""),1,0))</f>
        <v/>
      </c>
      <c r="BN890" s="52" t="str">
        <f aca="false">IF(OR(COUNT(G890:I1889)=0,AND('Choix pédagogiques'!$C$3&lt;&gt;1,'Choix pédagogiques'!$C$3&lt;&gt;2)),"",IF(AND(OR('Choix pédagogiques'!$C$3=1,'Choix pédagogiques'!$C$3=2),AND($G890&lt;&gt;"",$H890&lt;&gt;"",$I890&lt;&gt;"")),1,0))</f>
        <v/>
      </c>
      <c r="BO890" s="52" t="str">
        <f aca="false">IF(OR(COUNT(B890:D1889)=0,COUNT(G890:I1889)=0,'Choix pédagogiques'!C$3&lt;&gt;3),"",IF(AND('Choix pédagogiques'!$C$3=3,$B890&lt;&gt;"",$C890&lt;&gt;"",$D890&lt;&gt;"",$G890&lt;&gt;"",$H890&lt;&gt;"",$I890&lt;&gt;""),1,0))</f>
        <v/>
      </c>
      <c r="BR890" s="52" t="n">
        <v>131</v>
      </c>
      <c r="BS890" s="52" t="n">
        <v>1405</v>
      </c>
    </row>
    <row r="891" s="54" customFormat="true" ht="18" hidden="false" customHeight="true" outlineLevel="0" collapsed="false">
      <c r="A891" s="57" t="s">
        <v>1713</v>
      </c>
      <c r="B891" s="51"/>
      <c r="C891" s="51"/>
      <c r="D891" s="51"/>
      <c r="E891" s="51"/>
      <c r="F891" s="57" t="s">
        <v>1714</v>
      </c>
      <c r="G891" s="51"/>
      <c r="H891" s="51"/>
      <c r="I891" s="51"/>
      <c r="J891" s="51"/>
      <c r="K891" s="52" t="str">
        <f aca="false">IF($A891&lt;&gt;"",$A891,"")</f>
        <v>Apprenant 879</v>
      </c>
      <c r="L891" s="53" t="str">
        <f aca="false">IF(AND($B891&lt;&gt;"",$C891&lt;&gt;""),$C891-$B891,"")</f>
        <v/>
      </c>
      <c r="M891" s="53" t="str">
        <f aca="false">IF(AND($B891&lt;&gt;"",$D891&lt;&gt;""),$D891-$B891,"")</f>
        <v/>
      </c>
      <c r="N891" s="53" t="str">
        <f aca="false">IF(AND($C891&lt;&gt;"",$D891&lt;&gt;""),$D891-$C891,"")</f>
        <v/>
      </c>
      <c r="O891" s="53" t="str">
        <f aca="false">IF($E891&lt;&gt;"",$E891,"")</f>
        <v/>
      </c>
      <c r="P891" s="52" t="str">
        <f aca="false">IF($F891&lt;&gt;"",$F891,"")</f>
        <v>Apprenant 879 ou 879'</v>
      </c>
      <c r="Q891" s="53" t="str">
        <f aca="false">IF(AND($G891&lt;&gt;"",$H891&lt;&gt;""),$H891-$G891,"")</f>
        <v/>
      </c>
      <c r="R891" s="53" t="str">
        <f aca="false">IF(AND($G891&lt;&gt;"",$I891&lt;&gt;""),$I891-$G891,"")</f>
        <v/>
      </c>
      <c r="S891" s="53" t="str">
        <f aca="false">IF(AND($H891&lt;&gt;"",$I891&lt;&gt;""),$I891-$H891,"")</f>
        <v/>
      </c>
      <c r="T891" s="53" t="str">
        <f aca="false">IF($J891&lt;&gt;"",$J891,"")</f>
        <v/>
      </c>
      <c r="V891" s="52" t="str">
        <f aca="false">IF($A891&lt;&gt;"",$A891,"")</f>
        <v>Apprenant 879</v>
      </c>
      <c r="W891" s="53" t="str">
        <f aca="false">IF(AND(OR('Choix pédagogiques'!$C$3=1,'Choix pédagogiques'!$C$3=2),$BM891=1),B891,IF(AND('Choix pédagogiques'!$C$3=3,$BO891=1),B891,""))</f>
        <v/>
      </c>
      <c r="X891" s="53" t="str">
        <f aca="false">IF(AND(OR('Choix pédagogiques'!$C$3=1,'Choix pédagogiques'!$C$3=2),$BM891=1),C891,IF(AND('Choix pédagogiques'!$C$3=3,$BO891=1),C891,""))</f>
        <v/>
      </c>
      <c r="Y891" s="53" t="str">
        <f aca="false">IF(AND(OR('Choix pédagogiques'!$C$3=1,'Choix pédagogiques'!$C$3=2),$BM891=1),D891,IF(AND('Choix pédagogiques'!$C$3=3,$BO891=1),D891,""))</f>
        <v/>
      </c>
      <c r="Z891" s="53" t="str">
        <f aca="false">IF($E891&lt;&gt;"",$E891,"")</f>
        <v/>
      </c>
      <c r="AA891" s="52" t="str">
        <f aca="false">IF($F891&lt;&gt;"",$F891,"")</f>
        <v>Apprenant 879 ou 879'</v>
      </c>
      <c r="AB891" s="53" t="str">
        <f aca="false">IF(AND(OR('Choix pédagogiques'!$C$3=1,'Choix pédagogiques'!$C$3=2),$BN891=1),G891,IF(AND('Choix pédagogiques'!$C$3=3,$BO891=1),G891,""))</f>
        <v/>
      </c>
      <c r="AC891" s="53" t="str">
        <f aca="false">IF(AND(OR('Choix pédagogiques'!$C$3=1,'Choix pédagogiques'!$C$3=2),$BN891=1),H891,IF(AND('Choix pédagogiques'!$C$3=3,$BO891=1),H891,""))</f>
        <v/>
      </c>
      <c r="AD891" s="53" t="str">
        <f aca="false">IF(AND(OR('Choix pédagogiques'!$C$3=1,'Choix pédagogiques'!$C$3=2),$BN891=1),I891,IF(AND('Choix pédagogiques'!$C$3=3,$BO891=1),I891,""))</f>
        <v/>
      </c>
      <c r="AE891" s="53" t="str">
        <f aca="false">IF($J891&lt;&gt;"",$J891,"")</f>
        <v/>
      </c>
      <c r="AF891" s="52" t="str">
        <f aca="false">IF($A891&lt;&gt;"",$A891,"")</f>
        <v>Apprenant 879</v>
      </c>
      <c r="AG891" s="53" t="str">
        <f aca="false">IF(AND($W891&lt;&gt;"",$X891&lt;&gt;""),$X891-$W891,"")</f>
        <v/>
      </c>
      <c r="AH891" s="53" t="str">
        <f aca="false">IF(AND($W891&lt;&gt;"",$Y891&lt;&gt;""),$Y891-$W891,"")</f>
        <v/>
      </c>
      <c r="AI891" s="53" t="str">
        <f aca="false">IF(AND($X891&lt;&gt;"",$Y891&lt;&gt;""),$Y891-$X891,"")</f>
        <v/>
      </c>
      <c r="AJ891" s="53" t="str">
        <f aca="false">IF($E891&lt;&gt;"",$E891,"")</f>
        <v/>
      </c>
      <c r="AK891" s="52" t="str">
        <f aca="false">IF($F891&lt;&gt;"",$F891,"")</f>
        <v>Apprenant 879 ou 879'</v>
      </c>
      <c r="AL891" s="53" t="str">
        <f aca="false">IF(AND($AB891&lt;&gt;"",$AC891&lt;&gt;""),$AC891-$AB891,"")</f>
        <v/>
      </c>
      <c r="AM891" s="53" t="str">
        <f aca="false">IF(AND($AB891&lt;&gt;"",$AD891&lt;&gt;""),$AD891-$AB891,"")</f>
        <v/>
      </c>
      <c r="AN891" s="53" t="str">
        <f aca="false">IF(AND($AC891&lt;&gt;"",$AD891&lt;&gt;""),$AD891-$AC891,"")</f>
        <v/>
      </c>
      <c r="AO891" s="53" t="str">
        <f aca="false">IF($J891&lt;&gt;"",$J891,"")</f>
        <v/>
      </c>
      <c r="AQ891" s="52" t="str">
        <f aca="false">IF($A891&lt;&gt;"",$A891,"")</f>
        <v>Apprenant 879</v>
      </c>
      <c r="AR891" s="55" t="str">
        <f aca="false">IF(AND('Choix pédagogiques'!$C$4&lt;&gt;"?",'Choix pédagogiques'!$C$5&lt;&gt;"?",W891&lt;&gt;""),(W891-'Choix pédagogiques'!$C$4)/('Choix pédagogiques'!$C$5-'Choix pédagogiques'!$C$4),"")</f>
        <v/>
      </c>
      <c r="AS891" s="55" t="str">
        <f aca="false">IF(AND('Choix pédagogiques'!$C$4&lt;&gt;"?",'Choix pédagogiques'!$C$5&lt;&gt;"?",X891&lt;&gt;""),(X891-'Choix pédagogiques'!$C$4)/('Choix pédagogiques'!$C$5-'Choix pédagogiques'!$C$4),"")</f>
        <v/>
      </c>
      <c r="AT891" s="55" t="str">
        <f aca="false">IF(AND('Choix pédagogiques'!$C$4&lt;&gt;"?",'Choix pédagogiques'!$C$5&lt;&gt;"?",Y891&lt;&gt;""),(Y891-'Choix pédagogiques'!$C$4)/('Choix pédagogiques'!$C$5-'Choix pédagogiques'!$C$4),"")</f>
        <v/>
      </c>
      <c r="AU891" s="53" t="str">
        <f aca="false">IF($E891&lt;&gt;"",$E891,"")</f>
        <v/>
      </c>
      <c r="AV891" s="52" t="str">
        <f aca="false">IF($F891&lt;&gt;"",$F891,"")</f>
        <v>Apprenant 879 ou 879'</v>
      </c>
      <c r="AW891" s="55" t="str">
        <f aca="false">IF(AND('Choix pédagogiques'!$C$4&lt;&gt;"?",'Choix pédagogiques'!$C$5&lt;&gt;"?",AB891&lt;&gt;""),(AB891-'Choix pédagogiques'!$C$4)/('Choix pédagogiques'!$C$5-'Choix pédagogiques'!$C$4),"")</f>
        <v/>
      </c>
      <c r="AX891" s="55" t="str">
        <f aca="false">IF(AND('Choix pédagogiques'!$C$4&lt;&gt;"?",'Choix pédagogiques'!$C$5&lt;&gt;"?",AC891&lt;&gt;""),(AC891-'Choix pédagogiques'!$C$4)/('Choix pédagogiques'!$C$5-'Choix pédagogiques'!$C$4),"")</f>
        <v/>
      </c>
      <c r="AY891" s="55" t="str">
        <f aca="false">IF(AND('Choix pédagogiques'!$C$4&lt;&gt;"?",'Choix pédagogiques'!$C$5&lt;&gt;"?",AD891&lt;&gt;""),(AD891-'Choix pédagogiques'!$C$4)/('Choix pédagogiques'!$C$5-'Choix pédagogiques'!$C$4),"")</f>
        <v/>
      </c>
      <c r="AZ891" s="53" t="str">
        <f aca="false">IF($J891&lt;&gt;"",$J891,"")</f>
        <v/>
      </c>
      <c r="BA891" s="52" t="str">
        <f aca="false">IF($A891&lt;&gt;"",$A891,"")</f>
        <v>Apprenant 879</v>
      </c>
      <c r="BB891" s="55" t="str">
        <f aca="false">IF(AND($AR891&lt;&gt;"",$AS891&lt;&gt;""),$AS891-$AR891,"")</f>
        <v/>
      </c>
      <c r="BC891" s="55" t="str">
        <f aca="false">IF(AND($AR891&lt;&gt;"",$AT891&lt;&gt;""),$AT891-$AR891,"")</f>
        <v/>
      </c>
      <c r="BD891" s="55" t="str">
        <f aca="false">IF(AND($AS891&lt;&gt;"",$AT891&lt;&gt;""),$AT891-$AS891,"")</f>
        <v/>
      </c>
      <c r="BE891" s="53" t="str">
        <f aca="false">IF($E891&lt;&gt;"",$E891,"")</f>
        <v/>
      </c>
      <c r="BF891" s="52" t="str">
        <f aca="false">IF($F891&lt;&gt;"",$F891,"")</f>
        <v>Apprenant 879 ou 879'</v>
      </c>
      <c r="BG891" s="55" t="str">
        <f aca="false">IF(AND($AW891&lt;&gt;"",$AX891&lt;&gt;""),$AX891-$AW891,"")</f>
        <v/>
      </c>
      <c r="BH891" s="55" t="str">
        <f aca="false">IF(AND($AW891&lt;&gt;"",$AY891&lt;&gt;""),$AY891-$AW891,"")</f>
        <v/>
      </c>
      <c r="BI891" s="55" t="str">
        <f aca="false">IF(AND($AX891&lt;&gt;"",$AY891&lt;&gt;""),$AY891-$AX891,"")</f>
        <v/>
      </c>
      <c r="BJ891" s="53" t="str">
        <f aca="false">IF($J891&lt;&gt;"",$J891,"")</f>
        <v/>
      </c>
      <c r="BL891" s="52"/>
      <c r="BM891" s="52" t="str">
        <f aca="false">IF(OR(COUNT(B891:D1890)=0,AND('Choix pédagogiques'!$C$3&lt;&gt;1,'Choix pédagogiques'!$C$3&lt;&gt;2)),"",IF(AND(OR('Choix pédagogiques'!$C$3=1,'Choix pédagogiques'!$C$3=2),$B891&lt;&gt;"",$C891&lt;&gt;"",$D891&lt;&gt;""),1,0))</f>
        <v/>
      </c>
      <c r="BN891" s="52" t="str">
        <f aca="false">IF(OR(COUNT(G891:I1890)=0,AND('Choix pédagogiques'!$C$3&lt;&gt;1,'Choix pédagogiques'!$C$3&lt;&gt;2)),"",IF(AND(OR('Choix pédagogiques'!$C$3=1,'Choix pédagogiques'!$C$3=2),AND($G891&lt;&gt;"",$H891&lt;&gt;"",$I891&lt;&gt;"")),1,0))</f>
        <v/>
      </c>
      <c r="BO891" s="52" t="str">
        <f aca="false">IF(OR(COUNT(B891:D1890)=0,COUNT(G891:I1890)=0,'Choix pédagogiques'!C$3&lt;&gt;3),"",IF(AND('Choix pédagogiques'!$C$3=3,$B891&lt;&gt;"",$C891&lt;&gt;"",$D891&lt;&gt;"",$G891&lt;&gt;"",$H891&lt;&gt;"",$I891&lt;&gt;""),1,0))</f>
        <v/>
      </c>
      <c r="BR891" s="52" t="n">
        <v>547</v>
      </c>
      <c r="BS891" s="52" t="n">
        <v>1286</v>
      </c>
    </row>
    <row r="892" s="54" customFormat="true" ht="18" hidden="false" customHeight="true" outlineLevel="0" collapsed="false">
      <c r="A892" s="57" t="s">
        <v>1715</v>
      </c>
      <c r="B892" s="51"/>
      <c r="C892" s="51"/>
      <c r="D892" s="51"/>
      <c r="E892" s="51"/>
      <c r="F892" s="57" t="s">
        <v>1716</v>
      </c>
      <c r="G892" s="51"/>
      <c r="H892" s="51"/>
      <c r="I892" s="51"/>
      <c r="J892" s="51"/>
      <c r="K892" s="52" t="str">
        <f aca="false">IF($A892&lt;&gt;"",$A892,"")</f>
        <v>Apprenant 880</v>
      </c>
      <c r="L892" s="53" t="str">
        <f aca="false">IF(AND($B892&lt;&gt;"",$C892&lt;&gt;""),$C892-$B892,"")</f>
        <v/>
      </c>
      <c r="M892" s="53" t="str">
        <f aca="false">IF(AND($B892&lt;&gt;"",$D892&lt;&gt;""),$D892-$B892,"")</f>
        <v/>
      </c>
      <c r="N892" s="53" t="str">
        <f aca="false">IF(AND($C892&lt;&gt;"",$D892&lt;&gt;""),$D892-$C892,"")</f>
        <v/>
      </c>
      <c r="O892" s="53" t="str">
        <f aca="false">IF($E892&lt;&gt;"",$E892,"")</f>
        <v/>
      </c>
      <c r="P892" s="52" t="str">
        <f aca="false">IF($F892&lt;&gt;"",$F892,"")</f>
        <v>Apprenant 880 ou 880'</v>
      </c>
      <c r="Q892" s="53" t="str">
        <f aca="false">IF(AND($G892&lt;&gt;"",$H892&lt;&gt;""),$H892-$G892,"")</f>
        <v/>
      </c>
      <c r="R892" s="53" t="str">
        <f aca="false">IF(AND($G892&lt;&gt;"",$I892&lt;&gt;""),$I892-$G892,"")</f>
        <v/>
      </c>
      <c r="S892" s="53" t="str">
        <f aca="false">IF(AND($H892&lt;&gt;"",$I892&lt;&gt;""),$I892-$H892,"")</f>
        <v/>
      </c>
      <c r="T892" s="53" t="str">
        <f aca="false">IF($J892&lt;&gt;"",$J892,"")</f>
        <v/>
      </c>
      <c r="V892" s="52" t="str">
        <f aca="false">IF($A892&lt;&gt;"",$A892,"")</f>
        <v>Apprenant 880</v>
      </c>
      <c r="W892" s="53" t="str">
        <f aca="false">IF(AND(OR('Choix pédagogiques'!$C$3=1,'Choix pédagogiques'!$C$3=2),$BM892=1),B892,IF(AND('Choix pédagogiques'!$C$3=3,$BO892=1),B892,""))</f>
        <v/>
      </c>
      <c r="X892" s="53" t="str">
        <f aca="false">IF(AND(OR('Choix pédagogiques'!$C$3=1,'Choix pédagogiques'!$C$3=2),$BM892=1),C892,IF(AND('Choix pédagogiques'!$C$3=3,$BO892=1),C892,""))</f>
        <v/>
      </c>
      <c r="Y892" s="53" t="str">
        <f aca="false">IF(AND(OR('Choix pédagogiques'!$C$3=1,'Choix pédagogiques'!$C$3=2),$BM892=1),D892,IF(AND('Choix pédagogiques'!$C$3=3,$BO892=1),D892,""))</f>
        <v/>
      </c>
      <c r="Z892" s="53" t="str">
        <f aca="false">IF($E892&lt;&gt;"",$E892,"")</f>
        <v/>
      </c>
      <c r="AA892" s="52" t="str">
        <f aca="false">IF($F892&lt;&gt;"",$F892,"")</f>
        <v>Apprenant 880 ou 880'</v>
      </c>
      <c r="AB892" s="53" t="str">
        <f aca="false">IF(AND(OR('Choix pédagogiques'!$C$3=1,'Choix pédagogiques'!$C$3=2),$BN892=1),G892,IF(AND('Choix pédagogiques'!$C$3=3,$BO892=1),G892,""))</f>
        <v/>
      </c>
      <c r="AC892" s="53" t="str">
        <f aca="false">IF(AND(OR('Choix pédagogiques'!$C$3=1,'Choix pédagogiques'!$C$3=2),$BN892=1),H892,IF(AND('Choix pédagogiques'!$C$3=3,$BO892=1),H892,""))</f>
        <v/>
      </c>
      <c r="AD892" s="53" t="str">
        <f aca="false">IF(AND(OR('Choix pédagogiques'!$C$3=1,'Choix pédagogiques'!$C$3=2),$BN892=1),I892,IF(AND('Choix pédagogiques'!$C$3=3,$BO892=1),I892,""))</f>
        <v/>
      </c>
      <c r="AE892" s="53" t="str">
        <f aca="false">IF($J892&lt;&gt;"",$J892,"")</f>
        <v/>
      </c>
      <c r="AF892" s="52" t="str">
        <f aca="false">IF($A892&lt;&gt;"",$A892,"")</f>
        <v>Apprenant 880</v>
      </c>
      <c r="AG892" s="53" t="str">
        <f aca="false">IF(AND($W892&lt;&gt;"",$X892&lt;&gt;""),$X892-$W892,"")</f>
        <v/>
      </c>
      <c r="AH892" s="53" t="str">
        <f aca="false">IF(AND($W892&lt;&gt;"",$Y892&lt;&gt;""),$Y892-$W892,"")</f>
        <v/>
      </c>
      <c r="AI892" s="53" t="str">
        <f aca="false">IF(AND($X892&lt;&gt;"",$Y892&lt;&gt;""),$Y892-$X892,"")</f>
        <v/>
      </c>
      <c r="AJ892" s="53" t="str">
        <f aca="false">IF($E892&lt;&gt;"",$E892,"")</f>
        <v/>
      </c>
      <c r="AK892" s="52" t="str">
        <f aca="false">IF($F892&lt;&gt;"",$F892,"")</f>
        <v>Apprenant 880 ou 880'</v>
      </c>
      <c r="AL892" s="53" t="str">
        <f aca="false">IF(AND($AB892&lt;&gt;"",$AC892&lt;&gt;""),$AC892-$AB892,"")</f>
        <v/>
      </c>
      <c r="AM892" s="53" t="str">
        <f aca="false">IF(AND($AB892&lt;&gt;"",$AD892&lt;&gt;""),$AD892-$AB892,"")</f>
        <v/>
      </c>
      <c r="AN892" s="53" t="str">
        <f aca="false">IF(AND($AC892&lt;&gt;"",$AD892&lt;&gt;""),$AD892-$AC892,"")</f>
        <v/>
      </c>
      <c r="AO892" s="53" t="str">
        <f aca="false">IF($J892&lt;&gt;"",$J892,"")</f>
        <v/>
      </c>
      <c r="AQ892" s="52" t="str">
        <f aca="false">IF($A892&lt;&gt;"",$A892,"")</f>
        <v>Apprenant 880</v>
      </c>
      <c r="AR892" s="55" t="str">
        <f aca="false">IF(AND('Choix pédagogiques'!$C$4&lt;&gt;"?",'Choix pédagogiques'!$C$5&lt;&gt;"?",W892&lt;&gt;""),(W892-'Choix pédagogiques'!$C$4)/('Choix pédagogiques'!$C$5-'Choix pédagogiques'!$C$4),"")</f>
        <v/>
      </c>
      <c r="AS892" s="55" t="str">
        <f aca="false">IF(AND('Choix pédagogiques'!$C$4&lt;&gt;"?",'Choix pédagogiques'!$C$5&lt;&gt;"?",X892&lt;&gt;""),(X892-'Choix pédagogiques'!$C$4)/('Choix pédagogiques'!$C$5-'Choix pédagogiques'!$C$4),"")</f>
        <v/>
      </c>
      <c r="AT892" s="55" t="str">
        <f aca="false">IF(AND('Choix pédagogiques'!$C$4&lt;&gt;"?",'Choix pédagogiques'!$C$5&lt;&gt;"?",Y892&lt;&gt;""),(Y892-'Choix pédagogiques'!$C$4)/('Choix pédagogiques'!$C$5-'Choix pédagogiques'!$C$4),"")</f>
        <v/>
      </c>
      <c r="AU892" s="53" t="str">
        <f aca="false">IF($E892&lt;&gt;"",$E892,"")</f>
        <v/>
      </c>
      <c r="AV892" s="52" t="str">
        <f aca="false">IF($F892&lt;&gt;"",$F892,"")</f>
        <v>Apprenant 880 ou 880'</v>
      </c>
      <c r="AW892" s="55" t="str">
        <f aca="false">IF(AND('Choix pédagogiques'!$C$4&lt;&gt;"?",'Choix pédagogiques'!$C$5&lt;&gt;"?",AB892&lt;&gt;""),(AB892-'Choix pédagogiques'!$C$4)/('Choix pédagogiques'!$C$5-'Choix pédagogiques'!$C$4),"")</f>
        <v/>
      </c>
      <c r="AX892" s="55" t="str">
        <f aca="false">IF(AND('Choix pédagogiques'!$C$4&lt;&gt;"?",'Choix pédagogiques'!$C$5&lt;&gt;"?",AC892&lt;&gt;""),(AC892-'Choix pédagogiques'!$C$4)/('Choix pédagogiques'!$C$5-'Choix pédagogiques'!$C$4),"")</f>
        <v/>
      </c>
      <c r="AY892" s="55" t="str">
        <f aca="false">IF(AND('Choix pédagogiques'!$C$4&lt;&gt;"?",'Choix pédagogiques'!$C$5&lt;&gt;"?",AD892&lt;&gt;""),(AD892-'Choix pédagogiques'!$C$4)/('Choix pédagogiques'!$C$5-'Choix pédagogiques'!$C$4),"")</f>
        <v/>
      </c>
      <c r="AZ892" s="53" t="str">
        <f aca="false">IF($J892&lt;&gt;"",$J892,"")</f>
        <v/>
      </c>
      <c r="BA892" s="52" t="str">
        <f aca="false">IF($A892&lt;&gt;"",$A892,"")</f>
        <v>Apprenant 880</v>
      </c>
      <c r="BB892" s="55" t="str">
        <f aca="false">IF(AND($AR892&lt;&gt;"",$AS892&lt;&gt;""),$AS892-$AR892,"")</f>
        <v/>
      </c>
      <c r="BC892" s="55" t="str">
        <f aca="false">IF(AND($AR892&lt;&gt;"",$AT892&lt;&gt;""),$AT892-$AR892,"")</f>
        <v/>
      </c>
      <c r="BD892" s="55" t="str">
        <f aca="false">IF(AND($AS892&lt;&gt;"",$AT892&lt;&gt;""),$AT892-$AS892,"")</f>
        <v/>
      </c>
      <c r="BE892" s="53" t="str">
        <f aca="false">IF($E892&lt;&gt;"",$E892,"")</f>
        <v/>
      </c>
      <c r="BF892" s="52" t="str">
        <f aca="false">IF($F892&lt;&gt;"",$F892,"")</f>
        <v>Apprenant 880 ou 880'</v>
      </c>
      <c r="BG892" s="55" t="str">
        <f aca="false">IF(AND($AW892&lt;&gt;"",$AX892&lt;&gt;""),$AX892-$AW892,"")</f>
        <v/>
      </c>
      <c r="BH892" s="55" t="str">
        <f aca="false">IF(AND($AW892&lt;&gt;"",$AY892&lt;&gt;""),$AY892-$AW892,"")</f>
        <v/>
      </c>
      <c r="BI892" s="55" t="str">
        <f aca="false">IF(AND($AX892&lt;&gt;"",$AY892&lt;&gt;""),$AY892-$AX892,"")</f>
        <v/>
      </c>
      <c r="BJ892" s="53" t="str">
        <f aca="false">IF($J892&lt;&gt;"",$J892,"")</f>
        <v/>
      </c>
      <c r="BL892" s="52"/>
      <c r="BM892" s="52" t="str">
        <f aca="false">IF(OR(COUNT(B892:D1891)=0,AND('Choix pédagogiques'!$C$3&lt;&gt;1,'Choix pédagogiques'!$C$3&lt;&gt;2)),"",IF(AND(OR('Choix pédagogiques'!$C$3=1,'Choix pédagogiques'!$C$3=2),$B892&lt;&gt;"",$C892&lt;&gt;"",$D892&lt;&gt;""),1,0))</f>
        <v/>
      </c>
      <c r="BN892" s="52" t="str">
        <f aca="false">IF(OR(COUNT(G892:I1891)=0,AND('Choix pédagogiques'!$C$3&lt;&gt;1,'Choix pédagogiques'!$C$3&lt;&gt;2)),"",IF(AND(OR('Choix pédagogiques'!$C$3=1,'Choix pédagogiques'!$C$3=2),AND($G892&lt;&gt;"",$H892&lt;&gt;"",$I892&lt;&gt;"")),1,0))</f>
        <v/>
      </c>
      <c r="BO892" s="52" t="str">
        <f aca="false">IF(OR(COUNT(B892:D1891)=0,COUNT(G892:I1891)=0,'Choix pédagogiques'!C$3&lt;&gt;3),"",IF(AND('Choix pédagogiques'!$C$3=3,$B892&lt;&gt;"",$C892&lt;&gt;"",$D892&lt;&gt;"",$G892&lt;&gt;"",$H892&lt;&gt;"",$I892&lt;&gt;""),1,0))</f>
        <v/>
      </c>
      <c r="BR892" s="52" t="n">
        <v>837</v>
      </c>
      <c r="BS892" s="52" t="n">
        <v>1712</v>
      </c>
    </row>
    <row r="893" s="54" customFormat="true" ht="18" hidden="false" customHeight="true" outlineLevel="0" collapsed="false">
      <c r="A893" s="57" t="s">
        <v>1717</v>
      </c>
      <c r="B893" s="51"/>
      <c r="C893" s="51"/>
      <c r="D893" s="51"/>
      <c r="E893" s="51"/>
      <c r="F893" s="57" t="s">
        <v>1718</v>
      </c>
      <c r="G893" s="51"/>
      <c r="H893" s="51"/>
      <c r="I893" s="51"/>
      <c r="J893" s="51"/>
      <c r="K893" s="52" t="str">
        <f aca="false">IF($A893&lt;&gt;"",$A893,"")</f>
        <v>Apprenant 881</v>
      </c>
      <c r="L893" s="53" t="str">
        <f aca="false">IF(AND($B893&lt;&gt;"",$C893&lt;&gt;""),$C893-$B893,"")</f>
        <v/>
      </c>
      <c r="M893" s="53" t="str">
        <f aca="false">IF(AND($B893&lt;&gt;"",$D893&lt;&gt;""),$D893-$B893,"")</f>
        <v/>
      </c>
      <c r="N893" s="53" t="str">
        <f aca="false">IF(AND($C893&lt;&gt;"",$D893&lt;&gt;""),$D893-$C893,"")</f>
        <v/>
      </c>
      <c r="O893" s="53" t="str">
        <f aca="false">IF($E893&lt;&gt;"",$E893,"")</f>
        <v/>
      </c>
      <c r="P893" s="52" t="str">
        <f aca="false">IF($F893&lt;&gt;"",$F893,"")</f>
        <v>Apprenant 881 ou 881'</v>
      </c>
      <c r="Q893" s="53" t="str">
        <f aca="false">IF(AND($G893&lt;&gt;"",$H893&lt;&gt;""),$H893-$G893,"")</f>
        <v/>
      </c>
      <c r="R893" s="53" t="str">
        <f aca="false">IF(AND($G893&lt;&gt;"",$I893&lt;&gt;""),$I893-$G893,"")</f>
        <v/>
      </c>
      <c r="S893" s="53" t="str">
        <f aca="false">IF(AND($H893&lt;&gt;"",$I893&lt;&gt;""),$I893-$H893,"")</f>
        <v/>
      </c>
      <c r="T893" s="53" t="str">
        <f aca="false">IF($J893&lt;&gt;"",$J893,"")</f>
        <v/>
      </c>
      <c r="V893" s="52" t="str">
        <f aca="false">IF($A893&lt;&gt;"",$A893,"")</f>
        <v>Apprenant 881</v>
      </c>
      <c r="W893" s="53" t="str">
        <f aca="false">IF(AND(OR('Choix pédagogiques'!$C$3=1,'Choix pédagogiques'!$C$3=2),$BM893=1),B893,IF(AND('Choix pédagogiques'!$C$3=3,$BO893=1),B893,""))</f>
        <v/>
      </c>
      <c r="X893" s="53" t="str">
        <f aca="false">IF(AND(OR('Choix pédagogiques'!$C$3=1,'Choix pédagogiques'!$C$3=2),$BM893=1),C893,IF(AND('Choix pédagogiques'!$C$3=3,$BO893=1),C893,""))</f>
        <v/>
      </c>
      <c r="Y893" s="53" t="str">
        <f aca="false">IF(AND(OR('Choix pédagogiques'!$C$3=1,'Choix pédagogiques'!$C$3=2),$BM893=1),D893,IF(AND('Choix pédagogiques'!$C$3=3,$BO893=1),D893,""))</f>
        <v/>
      </c>
      <c r="Z893" s="53" t="str">
        <f aca="false">IF($E893&lt;&gt;"",$E893,"")</f>
        <v/>
      </c>
      <c r="AA893" s="52" t="str">
        <f aca="false">IF($F893&lt;&gt;"",$F893,"")</f>
        <v>Apprenant 881 ou 881'</v>
      </c>
      <c r="AB893" s="53" t="str">
        <f aca="false">IF(AND(OR('Choix pédagogiques'!$C$3=1,'Choix pédagogiques'!$C$3=2),$BN893=1),G893,IF(AND('Choix pédagogiques'!$C$3=3,$BO893=1),G893,""))</f>
        <v/>
      </c>
      <c r="AC893" s="53" t="str">
        <f aca="false">IF(AND(OR('Choix pédagogiques'!$C$3=1,'Choix pédagogiques'!$C$3=2),$BN893=1),H893,IF(AND('Choix pédagogiques'!$C$3=3,$BO893=1),H893,""))</f>
        <v/>
      </c>
      <c r="AD893" s="53" t="str">
        <f aca="false">IF(AND(OR('Choix pédagogiques'!$C$3=1,'Choix pédagogiques'!$C$3=2),$BN893=1),I893,IF(AND('Choix pédagogiques'!$C$3=3,$BO893=1),I893,""))</f>
        <v/>
      </c>
      <c r="AE893" s="53" t="str">
        <f aca="false">IF($J893&lt;&gt;"",$J893,"")</f>
        <v/>
      </c>
      <c r="AF893" s="52" t="str">
        <f aca="false">IF($A893&lt;&gt;"",$A893,"")</f>
        <v>Apprenant 881</v>
      </c>
      <c r="AG893" s="53" t="str">
        <f aca="false">IF(AND($W893&lt;&gt;"",$X893&lt;&gt;""),$X893-$W893,"")</f>
        <v/>
      </c>
      <c r="AH893" s="53" t="str">
        <f aca="false">IF(AND($W893&lt;&gt;"",$Y893&lt;&gt;""),$Y893-$W893,"")</f>
        <v/>
      </c>
      <c r="AI893" s="53" t="str">
        <f aca="false">IF(AND($X893&lt;&gt;"",$Y893&lt;&gt;""),$Y893-$X893,"")</f>
        <v/>
      </c>
      <c r="AJ893" s="53" t="str">
        <f aca="false">IF($E893&lt;&gt;"",$E893,"")</f>
        <v/>
      </c>
      <c r="AK893" s="52" t="str">
        <f aca="false">IF($F893&lt;&gt;"",$F893,"")</f>
        <v>Apprenant 881 ou 881'</v>
      </c>
      <c r="AL893" s="53" t="str">
        <f aca="false">IF(AND($AB893&lt;&gt;"",$AC893&lt;&gt;""),$AC893-$AB893,"")</f>
        <v/>
      </c>
      <c r="AM893" s="53" t="str">
        <f aca="false">IF(AND($AB893&lt;&gt;"",$AD893&lt;&gt;""),$AD893-$AB893,"")</f>
        <v/>
      </c>
      <c r="AN893" s="53" t="str">
        <f aca="false">IF(AND($AC893&lt;&gt;"",$AD893&lt;&gt;""),$AD893-$AC893,"")</f>
        <v/>
      </c>
      <c r="AO893" s="53" t="str">
        <f aca="false">IF($J893&lt;&gt;"",$J893,"")</f>
        <v/>
      </c>
      <c r="AQ893" s="52" t="str">
        <f aca="false">IF($A893&lt;&gt;"",$A893,"")</f>
        <v>Apprenant 881</v>
      </c>
      <c r="AR893" s="55" t="str">
        <f aca="false">IF(AND('Choix pédagogiques'!$C$4&lt;&gt;"?",'Choix pédagogiques'!$C$5&lt;&gt;"?",W893&lt;&gt;""),(W893-'Choix pédagogiques'!$C$4)/('Choix pédagogiques'!$C$5-'Choix pédagogiques'!$C$4),"")</f>
        <v/>
      </c>
      <c r="AS893" s="55" t="str">
        <f aca="false">IF(AND('Choix pédagogiques'!$C$4&lt;&gt;"?",'Choix pédagogiques'!$C$5&lt;&gt;"?",X893&lt;&gt;""),(X893-'Choix pédagogiques'!$C$4)/('Choix pédagogiques'!$C$5-'Choix pédagogiques'!$C$4),"")</f>
        <v/>
      </c>
      <c r="AT893" s="55" t="str">
        <f aca="false">IF(AND('Choix pédagogiques'!$C$4&lt;&gt;"?",'Choix pédagogiques'!$C$5&lt;&gt;"?",Y893&lt;&gt;""),(Y893-'Choix pédagogiques'!$C$4)/('Choix pédagogiques'!$C$5-'Choix pédagogiques'!$C$4),"")</f>
        <v/>
      </c>
      <c r="AU893" s="53" t="str">
        <f aca="false">IF($E893&lt;&gt;"",$E893,"")</f>
        <v/>
      </c>
      <c r="AV893" s="52" t="str">
        <f aca="false">IF($F893&lt;&gt;"",$F893,"")</f>
        <v>Apprenant 881 ou 881'</v>
      </c>
      <c r="AW893" s="55" t="str">
        <f aca="false">IF(AND('Choix pédagogiques'!$C$4&lt;&gt;"?",'Choix pédagogiques'!$C$5&lt;&gt;"?",AB893&lt;&gt;""),(AB893-'Choix pédagogiques'!$C$4)/('Choix pédagogiques'!$C$5-'Choix pédagogiques'!$C$4),"")</f>
        <v/>
      </c>
      <c r="AX893" s="55" t="str">
        <f aca="false">IF(AND('Choix pédagogiques'!$C$4&lt;&gt;"?",'Choix pédagogiques'!$C$5&lt;&gt;"?",AC893&lt;&gt;""),(AC893-'Choix pédagogiques'!$C$4)/('Choix pédagogiques'!$C$5-'Choix pédagogiques'!$C$4),"")</f>
        <v/>
      </c>
      <c r="AY893" s="55" t="str">
        <f aca="false">IF(AND('Choix pédagogiques'!$C$4&lt;&gt;"?",'Choix pédagogiques'!$C$5&lt;&gt;"?",AD893&lt;&gt;""),(AD893-'Choix pédagogiques'!$C$4)/('Choix pédagogiques'!$C$5-'Choix pédagogiques'!$C$4),"")</f>
        <v/>
      </c>
      <c r="AZ893" s="53" t="str">
        <f aca="false">IF($J893&lt;&gt;"",$J893,"")</f>
        <v/>
      </c>
      <c r="BA893" s="52" t="str">
        <f aca="false">IF($A893&lt;&gt;"",$A893,"")</f>
        <v>Apprenant 881</v>
      </c>
      <c r="BB893" s="55" t="str">
        <f aca="false">IF(AND($AR893&lt;&gt;"",$AS893&lt;&gt;""),$AS893-$AR893,"")</f>
        <v/>
      </c>
      <c r="BC893" s="55" t="str">
        <f aca="false">IF(AND($AR893&lt;&gt;"",$AT893&lt;&gt;""),$AT893-$AR893,"")</f>
        <v/>
      </c>
      <c r="BD893" s="55" t="str">
        <f aca="false">IF(AND($AS893&lt;&gt;"",$AT893&lt;&gt;""),$AT893-$AS893,"")</f>
        <v/>
      </c>
      <c r="BE893" s="53" t="str">
        <f aca="false">IF($E893&lt;&gt;"",$E893,"")</f>
        <v/>
      </c>
      <c r="BF893" s="52" t="str">
        <f aca="false">IF($F893&lt;&gt;"",$F893,"")</f>
        <v>Apprenant 881 ou 881'</v>
      </c>
      <c r="BG893" s="55" t="str">
        <f aca="false">IF(AND($AW893&lt;&gt;"",$AX893&lt;&gt;""),$AX893-$AW893,"")</f>
        <v/>
      </c>
      <c r="BH893" s="55" t="str">
        <f aca="false">IF(AND($AW893&lt;&gt;"",$AY893&lt;&gt;""),$AY893-$AW893,"")</f>
        <v/>
      </c>
      <c r="BI893" s="55" t="str">
        <f aca="false">IF(AND($AX893&lt;&gt;"",$AY893&lt;&gt;""),$AY893-$AX893,"")</f>
        <v/>
      </c>
      <c r="BJ893" s="53" t="str">
        <f aca="false">IF($J893&lt;&gt;"",$J893,"")</f>
        <v/>
      </c>
      <c r="BL893" s="52"/>
      <c r="BM893" s="52" t="str">
        <f aca="false">IF(OR(COUNT(B893:D1892)=0,AND('Choix pédagogiques'!$C$3&lt;&gt;1,'Choix pédagogiques'!$C$3&lt;&gt;2)),"",IF(AND(OR('Choix pédagogiques'!$C$3=1,'Choix pédagogiques'!$C$3=2),$B893&lt;&gt;"",$C893&lt;&gt;"",$D893&lt;&gt;""),1,0))</f>
        <v/>
      </c>
      <c r="BN893" s="52" t="str">
        <f aca="false">IF(OR(COUNT(G893:I1892)=0,AND('Choix pédagogiques'!$C$3&lt;&gt;1,'Choix pédagogiques'!$C$3&lt;&gt;2)),"",IF(AND(OR('Choix pédagogiques'!$C$3=1,'Choix pédagogiques'!$C$3=2),AND($G893&lt;&gt;"",$H893&lt;&gt;"",$I893&lt;&gt;"")),1,0))</f>
        <v/>
      </c>
      <c r="BO893" s="52" t="str">
        <f aca="false">IF(OR(COUNT(B893:D1892)=0,COUNT(G893:I1892)=0,'Choix pédagogiques'!C$3&lt;&gt;3),"",IF(AND('Choix pédagogiques'!$C$3=3,$B893&lt;&gt;"",$C893&lt;&gt;"",$D893&lt;&gt;"",$G893&lt;&gt;"",$H893&lt;&gt;"",$I893&lt;&gt;""),1,0))</f>
        <v/>
      </c>
      <c r="BR893" s="52" t="n">
        <v>661</v>
      </c>
      <c r="BS893" s="52" t="n">
        <v>1610</v>
      </c>
    </row>
    <row r="894" s="54" customFormat="true" ht="18" hidden="false" customHeight="true" outlineLevel="0" collapsed="false">
      <c r="A894" s="57" t="s">
        <v>1719</v>
      </c>
      <c r="B894" s="51"/>
      <c r="C894" s="51"/>
      <c r="D894" s="51"/>
      <c r="E894" s="51"/>
      <c r="F894" s="57" t="s">
        <v>1720</v>
      </c>
      <c r="G894" s="51"/>
      <c r="H894" s="51"/>
      <c r="I894" s="51"/>
      <c r="J894" s="51"/>
      <c r="K894" s="52" t="str">
        <f aca="false">IF($A894&lt;&gt;"",$A894,"")</f>
        <v>Apprenant 882</v>
      </c>
      <c r="L894" s="53" t="str">
        <f aca="false">IF(AND($B894&lt;&gt;"",$C894&lt;&gt;""),$C894-$B894,"")</f>
        <v/>
      </c>
      <c r="M894" s="53" t="str">
        <f aca="false">IF(AND($B894&lt;&gt;"",$D894&lt;&gt;""),$D894-$B894,"")</f>
        <v/>
      </c>
      <c r="N894" s="53" t="str">
        <f aca="false">IF(AND($C894&lt;&gt;"",$D894&lt;&gt;""),$D894-$C894,"")</f>
        <v/>
      </c>
      <c r="O894" s="53" t="str">
        <f aca="false">IF($E894&lt;&gt;"",$E894,"")</f>
        <v/>
      </c>
      <c r="P894" s="52" t="str">
        <f aca="false">IF($F894&lt;&gt;"",$F894,"")</f>
        <v>Apprenant 882 ou 882'</v>
      </c>
      <c r="Q894" s="53" t="str">
        <f aca="false">IF(AND($G894&lt;&gt;"",$H894&lt;&gt;""),$H894-$G894,"")</f>
        <v/>
      </c>
      <c r="R894" s="53" t="str">
        <f aca="false">IF(AND($G894&lt;&gt;"",$I894&lt;&gt;""),$I894-$G894,"")</f>
        <v/>
      </c>
      <c r="S894" s="53" t="str">
        <f aca="false">IF(AND($H894&lt;&gt;"",$I894&lt;&gt;""),$I894-$H894,"")</f>
        <v/>
      </c>
      <c r="T894" s="53" t="str">
        <f aca="false">IF($J894&lt;&gt;"",$J894,"")</f>
        <v/>
      </c>
      <c r="V894" s="52" t="str">
        <f aca="false">IF($A894&lt;&gt;"",$A894,"")</f>
        <v>Apprenant 882</v>
      </c>
      <c r="W894" s="53" t="str">
        <f aca="false">IF(AND(OR('Choix pédagogiques'!$C$3=1,'Choix pédagogiques'!$C$3=2),$BM894=1),B894,IF(AND('Choix pédagogiques'!$C$3=3,$BO894=1),B894,""))</f>
        <v/>
      </c>
      <c r="X894" s="53" t="str">
        <f aca="false">IF(AND(OR('Choix pédagogiques'!$C$3=1,'Choix pédagogiques'!$C$3=2),$BM894=1),C894,IF(AND('Choix pédagogiques'!$C$3=3,$BO894=1),C894,""))</f>
        <v/>
      </c>
      <c r="Y894" s="53" t="str">
        <f aca="false">IF(AND(OR('Choix pédagogiques'!$C$3=1,'Choix pédagogiques'!$C$3=2),$BM894=1),D894,IF(AND('Choix pédagogiques'!$C$3=3,$BO894=1),D894,""))</f>
        <v/>
      </c>
      <c r="Z894" s="53" t="str">
        <f aca="false">IF($E894&lt;&gt;"",$E894,"")</f>
        <v/>
      </c>
      <c r="AA894" s="52" t="str">
        <f aca="false">IF($F894&lt;&gt;"",$F894,"")</f>
        <v>Apprenant 882 ou 882'</v>
      </c>
      <c r="AB894" s="53" t="str">
        <f aca="false">IF(AND(OR('Choix pédagogiques'!$C$3=1,'Choix pédagogiques'!$C$3=2),$BN894=1),G894,IF(AND('Choix pédagogiques'!$C$3=3,$BO894=1),G894,""))</f>
        <v/>
      </c>
      <c r="AC894" s="53" t="str">
        <f aca="false">IF(AND(OR('Choix pédagogiques'!$C$3=1,'Choix pédagogiques'!$C$3=2),$BN894=1),H894,IF(AND('Choix pédagogiques'!$C$3=3,$BO894=1),H894,""))</f>
        <v/>
      </c>
      <c r="AD894" s="53" t="str">
        <f aca="false">IF(AND(OR('Choix pédagogiques'!$C$3=1,'Choix pédagogiques'!$C$3=2),$BN894=1),I894,IF(AND('Choix pédagogiques'!$C$3=3,$BO894=1),I894,""))</f>
        <v/>
      </c>
      <c r="AE894" s="53" t="str">
        <f aca="false">IF($J894&lt;&gt;"",$J894,"")</f>
        <v/>
      </c>
      <c r="AF894" s="52" t="str">
        <f aca="false">IF($A894&lt;&gt;"",$A894,"")</f>
        <v>Apprenant 882</v>
      </c>
      <c r="AG894" s="53" t="str">
        <f aca="false">IF(AND($W894&lt;&gt;"",$X894&lt;&gt;""),$X894-$W894,"")</f>
        <v/>
      </c>
      <c r="AH894" s="53" t="str">
        <f aca="false">IF(AND($W894&lt;&gt;"",$Y894&lt;&gt;""),$Y894-$W894,"")</f>
        <v/>
      </c>
      <c r="AI894" s="53" t="str">
        <f aca="false">IF(AND($X894&lt;&gt;"",$Y894&lt;&gt;""),$Y894-$X894,"")</f>
        <v/>
      </c>
      <c r="AJ894" s="53" t="str">
        <f aca="false">IF($E894&lt;&gt;"",$E894,"")</f>
        <v/>
      </c>
      <c r="AK894" s="52" t="str">
        <f aca="false">IF($F894&lt;&gt;"",$F894,"")</f>
        <v>Apprenant 882 ou 882'</v>
      </c>
      <c r="AL894" s="53" t="str">
        <f aca="false">IF(AND($AB894&lt;&gt;"",$AC894&lt;&gt;""),$AC894-$AB894,"")</f>
        <v/>
      </c>
      <c r="AM894" s="53" t="str">
        <f aca="false">IF(AND($AB894&lt;&gt;"",$AD894&lt;&gt;""),$AD894-$AB894,"")</f>
        <v/>
      </c>
      <c r="AN894" s="53" t="str">
        <f aca="false">IF(AND($AC894&lt;&gt;"",$AD894&lt;&gt;""),$AD894-$AC894,"")</f>
        <v/>
      </c>
      <c r="AO894" s="53" t="str">
        <f aca="false">IF($J894&lt;&gt;"",$J894,"")</f>
        <v/>
      </c>
      <c r="AQ894" s="52" t="str">
        <f aca="false">IF($A894&lt;&gt;"",$A894,"")</f>
        <v>Apprenant 882</v>
      </c>
      <c r="AR894" s="55" t="str">
        <f aca="false">IF(AND('Choix pédagogiques'!$C$4&lt;&gt;"?",'Choix pédagogiques'!$C$5&lt;&gt;"?",W894&lt;&gt;""),(W894-'Choix pédagogiques'!$C$4)/('Choix pédagogiques'!$C$5-'Choix pédagogiques'!$C$4),"")</f>
        <v/>
      </c>
      <c r="AS894" s="55" t="str">
        <f aca="false">IF(AND('Choix pédagogiques'!$C$4&lt;&gt;"?",'Choix pédagogiques'!$C$5&lt;&gt;"?",X894&lt;&gt;""),(X894-'Choix pédagogiques'!$C$4)/('Choix pédagogiques'!$C$5-'Choix pédagogiques'!$C$4),"")</f>
        <v/>
      </c>
      <c r="AT894" s="55" t="str">
        <f aca="false">IF(AND('Choix pédagogiques'!$C$4&lt;&gt;"?",'Choix pédagogiques'!$C$5&lt;&gt;"?",Y894&lt;&gt;""),(Y894-'Choix pédagogiques'!$C$4)/('Choix pédagogiques'!$C$5-'Choix pédagogiques'!$C$4),"")</f>
        <v/>
      </c>
      <c r="AU894" s="53" t="str">
        <f aca="false">IF($E894&lt;&gt;"",$E894,"")</f>
        <v/>
      </c>
      <c r="AV894" s="52" t="str">
        <f aca="false">IF($F894&lt;&gt;"",$F894,"")</f>
        <v>Apprenant 882 ou 882'</v>
      </c>
      <c r="AW894" s="55" t="str">
        <f aca="false">IF(AND('Choix pédagogiques'!$C$4&lt;&gt;"?",'Choix pédagogiques'!$C$5&lt;&gt;"?",AB894&lt;&gt;""),(AB894-'Choix pédagogiques'!$C$4)/('Choix pédagogiques'!$C$5-'Choix pédagogiques'!$C$4),"")</f>
        <v/>
      </c>
      <c r="AX894" s="55" t="str">
        <f aca="false">IF(AND('Choix pédagogiques'!$C$4&lt;&gt;"?",'Choix pédagogiques'!$C$5&lt;&gt;"?",AC894&lt;&gt;""),(AC894-'Choix pédagogiques'!$C$4)/('Choix pédagogiques'!$C$5-'Choix pédagogiques'!$C$4),"")</f>
        <v/>
      </c>
      <c r="AY894" s="55" t="str">
        <f aca="false">IF(AND('Choix pédagogiques'!$C$4&lt;&gt;"?",'Choix pédagogiques'!$C$5&lt;&gt;"?",AD894&lt;&gt;""),(AD894-'Choix pédagogiques'!$C$4)/('Choix pédagogiques'!$C$5-'Choix pédagogiques'!$C$4),"")</f>
        <v/>
      </c>
      <c r="AZ894" s="53" t="str">
        <f aca="false">IF($J894&lt;&gt;"",$J894,"")</f>
        <v/>
      </c>
      <c r="BA894" s="52" t="str">
        <f aca="false">IF($A894&lt;&gt;"",$A894,"")</f>
        <v>Apprenant 882</v>
      </c>
      <c r="BB894" s="55" t="str">
        <f aca="false">IF(AND($AR894&lt;&gt;"",$AS894&lt;&gt;""),$AS894-$AR894,"")</f>
        <v/>
      </c>
      <c r="BC894" s="55" t="str">
        <f aca="false">IF(AND($AR894&lt;&gt;"",$AT894&lt;&gt;""),$AT894-$AR894,"")</f>
        <v/>
      </c>
      <c r="BD894" s="55" t="str">
        <f aca="false">IF(AND($AS894&lt;&gt;"",$AT894&lt;&gt;""),$AT894-$AS894,"")</f>
        <v/>
      </c>
      <c r="BE894" s="53" t="str">
        <f aca="false">IF($E894&lt;&gt;"",$E894,"")</f>
        <v/>
      </c>
      <c r="BF894" s="52" t="str">
        <f aca="false">IF($F894&lt;&gt;"",$F894,"")</f>
        <v>Apprenant 882 ou 882'</v>
      </c>
      <c r="BG894" s="55" t="str">
        <f aca="false">IF(AND($AW894&lt;&gt;"",$AX894&lt;&gt;""),$AX894-$AW894,"")</f>
        <v/>
      </c>
      <c r="BH894" s="55" t="str">
        <f aca="false">IF(AND($AW894&lt;&gt;"",$AY894&lt;&gt;""),$AY894-$AW894,"")</f>
        <v/>
      </c>
      <c r="BI894" s="55" t="str">
        <f aca="false">IF(AND($AX894&lt;&gt;"",$AY894&lt;&gt;""),$AY894-$AX894,"")</f>
        <v/>
      </c>
      <c r="BJ894" s="53" t="str">
        <f aca="false">IF($J894&lt;&gt;"",$J894,"")</f>
        <v/>
      </c>
      <c r="BL894" s="52"/>
      <c r="BM894" s="52" t="str">
        <f aca="false">IF(OR(COUNT(B894:D1893)=0,AND('Choix pédagogiques'!$C$3&lt;&gt;1,'Choix pédagogiques'!$C$3&lt;&gt;2)),"",IF(AND(OR('Choix pédagogiques'!$C$3=1,'Choix pédagogiques'!$C$3=2),$B894&lt;&gt;"",$C894&lt;&gt;"",$D894&lt;&gt;""),1,0))</f>
        <v/>
      </c>
      <c r="BN894" s="52" t="str">
        <f aca="false">IF(OR(COUNT(G894:I1893)=0,AND('Choix pédagogiques'!$C$3&lt;&gt;1,'Choix pédagogiques'!$C$3&lt;&gt;2)),"",IF(AND(OR('Choix pédagogiques'!$C$3=1,'Choix pédagogiques'!$C$3=2),AND($G894&lt;&gt;"",$H894&lt;&gt;"",$I894&lt;&gt;"")),1,0))</f>
        <v/>
      </c>
      <c r="BO894" s="52" t="str">
        <f aca="false">IF(OR(COUNT(B894:D1893)=0,COUNT(G894:I1893)=0,'Choix pédagogiques'!C$3&lt;&gt;3),"",IF(AND('Choix pédagogiques'!$C$3=3,$B894&lt;&gt;"",$C894&lt;&gt;"",$D894&lt;&gt;"",$G894&lt;&gt;"",$H894&lt;&gt;"",$I894&lt;&gt;""),1,0))</f>
        <v/>
      </c>
      <c r="BR894" s="52" t="n">
        <v>380</v>
      </c>
      <c r="BS894" s="52" t="n">
        <v>1460</v>
      </c>
    </row>
    <row r="895" s="54" customFormat="true" ht="18" hidden="false" customHeight="true" outlineLevel="0" collapsed="false">
      <c r="A895" s="57" t="s">
        <v>1721</v>
      </c>
      <c r="B895" s="51"/>
      <c r="C895" s="51"/>
      <c r="D895" s="51"/>
      <c r="E895" s="51"/>
      <c r="F895" s="57" t="s">
        <v>1722</v>
      </c>
      <c r="G895" s="51"/>
      <c r="H895" s="51"/>
      <c r="I895" s="51"/>
      <c r="J895" s="51"/>
      <c r="K895" s="52" t="str">
        <f aca="false">IF($A895&lt;&gt;"",$A895,"")</f>
        <v>Apprenant 883</v>
      </c>
      <c r="L895" s="53" t="str">
        <f aca="false">IF(AND($B895&lt;&gt;"",$C895&lt;&gt;""),$C895-$B895,"")</f>
        <v/>
      </c>
      <c r="M895" s="53" t="str">
        <f aca="false">IF(AND($B895&lt;&gt;"",$D895&lt;&gt;""),$D895-$B895,"")</f>
        <v/>
      </c>
      <c r="N895" s="53" t="str">
        <f aca="false">IF(AND($C895&lt;&gt;"",$D895&lt;&gt;""),$D895-$C895,"")</f>
        <v/>
      </c>
      <c r="O895" s="53" t="str">
        <f aca="false">IF($E895&lt;&gt;"",$E895,"")</f>
        <v/>
      </c>
      <c r="P895" s="52" t="str">
        <f aca="false">IF($F895&lt;&gt;"",$F895,"")</f>
        <v>Apprenant 883 ou 883'</v>
      </c>
      <c r="Q895" s="53" t="str">
        <f aca="false">IF(AND($G895&lt;&gt;"",$H895&lt;&gt;""),$H895-$G895,"")</f>
        <v/>
      </c>
      <c r="R895" s="53" t="str">
        <f aca="false">IF(AND($G895&lt;&gt;"",$I895&lt;&gt;""),$I895-$G895,"")</f>
        <v/>
      </c>
      <c r="S895" s="53" t="str">
        <f aca="false">IF(AND($H895&lt;&gt;"",$I895&lt;&gt;""),$I895-$H895,"")</f>
        <v/>
      </c>
      <c r="T895" s="53" t="str">
        <f aca="false">IF($J895&lt;&gt;"",$J895,"")</f>
        <v/>
      </c>
      <c r="V895" s="52" t="str">
        <f aca="false">IF($A895&lt;&gt;"",$A895,"")</f>
        <v>Apprenant 883</v>
      </c>
      <c r="W895" s="53" t="str">
        <f aca="false">IF(AND(OR('Choix pédagogiques'!$C$3=1,'Choix pédagogiques'!$C$3=2),$BM895=1),B895,IF(AND('Choix pédagogiques'!$C$3=3,$BO895=1),B895,""))</f>
        <v/>
      </c>
      <c r="X895" s="53" t="str">
        <f aca="false">IF(AND(OR('Choix pédagogiques'!$C$3=1,'Choix pédagogiques'!$C$3=2),$BM895=1),C895,IF(AND('Choix pédagogiques'!$C$3=3,$BO895=1),C895,""))</f>
        <v/>
      </c>
      <c r="Y895" s="53" t="str">
        <f aca="false">IF(AND(OR('Choix pédagogiques'!$C$3=1,'Choix pédagogiques'!$C$3=2),$BM895=1),D895,IF(AND('Choix pédagogiques'!$C$3=3,$BO895=1),D895,""))</f>
        <v/>
      </c>
      <c r="Z895" s="53" t="str">
        <f aca="false">IF($E895&lt;&gt;"",$E895,"")</f>
        <v/>
      </c>
      <c r="AA895" s="52" t="str">
        <f aca="false">IF($F895&lt;&gt;"",$F895,"")</f>
        <v>Apprenant 883 ou 883'</v>
      </c>
      <c r="AB895" s="53" t="str">
        <f aca="false">IF(AND(OR('Choix pédagogiques'!$C$3=1,'Choix pédagogiques'!$C$3=2),$BN895=1),G895,IF(AND('Choix pédagogiques'!$C$3=3,$BO895=1),G895,""))</f>
        <v/>
      </c>
      <c r="AC895" s="53" t="str">
        <f aca="false">IF(AND(OR('Choix pédagogiques'!$C$3=1,'Choix pédagogiques'!$C$3=2),$BN895=1),H895,IF(AND('Choix pédagogiques'!$C$3=3,$BO895=1),H895,""))</f>
        <v/>
      </c>
      <c r="AD895" s="53" t="str">
        <f aca="false">IF(AND(OR('Choix pédagogiques'!$C$3=1,'Choix pédagogiques'!$C$3=2),$BN895=1),I895,IF(AND('Choix pédagogiques'!$C$3=3,$BO895=1),I895,""))</f>
        <v/>
      </c>
      <c r="AE895" s="53" t="str">
        <f aca="false">IF($J895&lt;&gt;"",$J895,"")</f>
        <v/>
      </c>
      <c r="AF895" s="52" t="str">
        <f aca="false">IF($A895&lt;&gt;"",$A895,"")</f>
        <v>Apprenant 883</v>
      </c>
      <c r="AG895" s="53" t="str">
        <f aca="false">IF(AND($W895&lt;&gt;"",$X895&lt;&gt;""),$X895-$W895,"")</f>
        <v/>
      </c>
      <c r="AH895" s="53" t="str">
        <f aca="false">IF(AND($W895&lt;&gt;"",$Y895&lt;&gt;""),$Y895-$W895,"")</f>
        <v/>
      </c>
      <c r="AI895" s="53" t="str">
        <f aca="false">IF(AND($X895&lt;&gt;"",$Y895&lt;&gt;""),$Y895-$X895,"")</f>
        <v/>
      </c>
      <c r="AJ895" s="53" t="str">
        <f aca="false">IF($E895&lt;&gt;"",$E895,"")</f>
        <v/>
      </c>
      <c r="AK895" s="52" t="str">
        <f aca="false">IF($F895&lt;&gt;"",$F895,"")</f>
        <v>Apprenant 883 ou 883'</v>
      </c>
      <c r="AL895" s="53" t="str">
        <f aca="false">IF(AND($AB895&lt;&gt;"",$AC895&lt;&gt;""),$AC895-$AB895,"")</f>
        <v/>
      </c>
      <c r="AM895" s="53" t="str">
        <f aca="false">IF(AND($AB895&lt;&gt;"",$AD895&lt;&gt;""),$AD895-$AB895,"")</f>
        <v/>
      </c>
      <c r="AN895" s="53" t="str">
        <f aca="false">IF(AND($AC895&lt;&gt;"",$AD895&lt;&gt;""),$AD895-$AC895,"")</f>
        <v/>
      </c>
      <c r="AO895" s="53" t="str">
        <f aca="false">IF($J895&lt;&gt;"",$J895,"")</f>
        <v/>
      </c>
      <c r="AQ895" s="52" t="str">
        <f aca="false">IF($A895&lt;&gt;"",$A895,"")</f>
        <v>Apprenant 883</v>
      </c>
      <c r="AR895" s="55" t="str">
        <f aca="false">IF(AND('Choix pédagogiques'!$C$4&lt;&gt;"?",'Choix pédagogiques'!$C$5&lt;&gt;"?",W895&lt;&gt;""),(W895-'Choix pédagogiques'!$C$4)/('Choix pédagogiques'!$C$5-'Choix pédagogiques'!$C$4),"")</f>
        <v/>
      </c>
      <c r="AS895" s="55" t="str">
        <f aca="false">IF(AND('Choix pédagogiques'!$C$4&lt;&gt;"?",'Choix pédagogiques'!$C$5&lt;&gt;"?",X895&lt;&gt;""),(X895-'Choix pédagogiques'!$C$4)/('Choix pédagogiques'!$C$5-'Choix pédagogiques'!$C$4),"")</f>
        <v/>
      </c>
      <c r="AT895" s="55" t="str">
        <f aca="false">IF(AND('Choix pédagogiques'!$C$4&lt;&gt;"?",'Choix pédagogiques'!$C$5&lt;&gt;"?",Y895&lt;&gt;""),(Y895-'Choix pédagogiques'!$C$4)/('Choix pédagogiques'!$C$5-'Choix pédagogiques'!$C$4),"")</f>
        <v/>
      </c>
      <c r="AU895" s="53" t="str">
        <f aca="false">IF($E895&lt;&gt;"",$E895,"")</f>
        <v/>
      </c>
      <c r="AV895" s="52" t="str">
        <f aca="false">IF($F895&lt;&gt;"",$F895,"")</f>
        <v>Apprenant 883 ou 883'</v>
      </c>
      <c r="AW895" s="55" t="str">
        <f aca="false">IF(AND('Choix pédagogiques'!$C$4&lt;&gt;"?",'Choix pédagogiques'!$C$5&lt;&gt;"?",AB895&lt;&gt;""),(AB895-'Choix pédagogiques'!$C$4)/('Choix pédagogiques'!$C$5-'Choix pédagogiques'!$C$4),"")</f>
        <v/>
      </c>
      <c r="AX895" s="55" t="str">
        <f aca="false">IF(AND('Choix pédagogiques'!$C$4&lt;&gt;"?",'Choix pédagogiques'!$C$5&lt;&gt;"?",AC895&lt;&gt;""),(AC895-'Choix pédagogiques'!$C$4)/('Choix pédagogiques'!$C$5-'Choix pédagogiques'!$C$4),"")</f>
        <v/>
      </c>
      <c r="AY895" s="55" t="str">
        <f aca="false">IF(AND('Choix pédagogiques'!$C$4&lt;&gt;"?",'Choix pédagogiques'!$C$5&lt;&gt;"?",AD895&lt;&gt;""),(AD895-'Choix pédagogiques'!$C$4)/('Choix pédagogiques'!$C$5-'Choix pédagogiques'!$C$4),"")</f>
        <v/>
      </c>
      <c r="AZ895" s="53" t="str">
        <f aca="false">IF($J895&lt;&gt;"",$J895,"")</f>
        <v/>
      </c>
      <c r="BA895" s="52" t="str">
        <f aca="false">IF($A895&lt;&gt;"",$A895,"")</f>
        <v>Apprenant 883</v>
      </c>
      <c r="BB895" s="55" t="str">
        <f aca="false">IF(AND($AR895&lt;&gt;"",$AS895&lt;&gt;""),$AS895-$AR895,"")</f>
        <v/>
      </c>
      <c r="BC895" s="55" t="str">
        <f aca="false">IF(AND($AR895&lt;&gt;"",$AT895&lt;&gt;""),$AT895-$AR895,"")</f>
        <v/>
      </c>
      <c r="BD895" s="55" t="str">
        <f aca="false">IF(AND($AS895&lt;&gt;"",$AT895&lt;&gt;""),$AT895-$AS895,"")</f>
        <v/>
      </c>
      <c r="BE895" s="53" t="str">
        <f aca="false">IF($E895&lt;&gt;"",$E895,"")</f>
        <v/>
      </c>
      <c r="BF895" s="52" t="str">
        <f aca="false">IF($F895&lt;&gt;"",$F895,"")</f>
        <v>Apprenant 883 ou 883'</v>
      </c>
      <c r="BG895" s="55" t="str">
        <f aca="false">IF(AND($AW895&lt;&gt;"",$AX895&lt;&gt;""),$AX895-$AW895,"")</f>
        <v/>
      </c>
      <c r="BH895" s="55" t="str">
        <f aca="false">IF(AND($AW895&lt;&gt;"",$AY895&lt;&gt;""),$AY895-$AW895,"")</f>
        <v/>
      </c>
      <c r="BI895" s="55" t="str">
        <f aca="false">IF(AND($AX895&lt;&gt;"",$AY895&lt;&gt;""),$AY895-$AX895,"")</f>
        <v/>
      </c>
      <c r="BJ895" s="53" t="str">
        <f aca="false">IF($J895&lt;&gt;"",$J895,"")</f>
        <v/>
      </c>
      <c r="BL895" s="52"/>
      <c r="BM895" s="52" t="str">
        <f aca="false">IF(OR(COUNT(B895:D1894)=0,AND('Choix pédagogiques'!$C$3&lt;&gt;1,'Choix pédagogiques'!$C$3&lt;&gt;2)),"",IF(AND(OR('Choix pédagogiques'!$C$3=1,'Choix pédagogiques'!$C$3=2),$B895&lt;&gt;"",$C895&lt;&gt;"",$D895&lt;&gt;""),1,0))</f>
        <v/>
      </c>
      <c r="BN895" s="52" t="str">
        <f aca="false">IF(OR(COUNT(G895:I1894)=0,AND('Choix pédagogiques'!$C$3&lt;&gt;1,'Choix pédagogiques'!$C$3&lt;&gt;2)),"",IF(AND(OR('Choix pédagogiques'!$C$3=1,'Choix pédagogiques'!$C$3=2),AND($G895&lt;&gt;"",$H895&lt;&gt;"",$I895&lt;&gt;"")),1,0))</f>
        <v/>
      </c>
      <c r="BO895" s="52" t="str">
        <f aca="false">IF(OR(COUNT(B895:D1894)=0,COUNT(G895:I1894)=0,'Choix pédagogiques'!C$3&lt;&gt;3),"",IF(AND('Choix pédagogiques'!$C$3=3,$B895&lt;&gt;"",$C895&lt;&gt;"",$D895&lt;&gt;"",$G895&lt;&gt;"",$H895&lt;&gt;"",$I895&lt;&gt;""),1,0))</f>
        <v/>
      </c>
      <c r="BR895" s="52" t="n">
        <v>992</v>
      </c>
      <c r="BS895" s="52" t="n">
        <v>1198</v>
      </c>
    </row>
    <row r="896" s="54" customFormat="true" ht="18" hidden="false" customHeight="true" outlineLevel="0" collapsed="false">
      <c r="A896" s="57" t="s">
        <v>1723</v>
      </c>
      <c r="B896" s="51"/>
      <c r="C896" s="51"/>
      <c r="D896" s="51"/>
      <c r="E896" s="51"/>
      <c r="F896" s="57" t="s">
        <v>1724</v>
      </c>
      <c r="G896" s="51"/>
      <c r="H896" s="51"/>
      <c r="I896" s="51"/>
      <c r="J896" s="51"/>
      <c r="K896" s="52" t="str">
        <f aca="false">IF($A896&lt;&gt;"",$A896,"")</f>
        <v>Apprenant 884</v>
      </c>
      <c r="L896" s="53" t="str">
        <f aca="false">IF(AND($B896&lt;&gt;"",$C896&lt;&gt;""),$C896-$B896,"")</f>
        <v/>
      </c>
      <c r="M896" s="53" t="str">
        <f aca="false">IF(AND($B896&lt;&gt;"",$D896&lt;&gt;""),$D896-$B896,"")</f>
        <v/>
      </c>
      <c r="N896" s="53" t="str">
        <f aca="false">IF(AND($C896&lt;&gt;"",$D896&lt;&gt;""),$D896-$C896,"")</f>
        <v/>
      </c>
      <c r="O896" s="53" t="str">
        <f aca="false">IF($E896&lt;&gt;"",$E896,"")</f>
        <v/>
      </c>
      <c r="P896" s="52" t="str">
        <f aca="false">IF($F896&lt;&gt;"",$F896,"")</f>
        <v>Apprenant 884 ou 884'</v>
      </c>
      <c r="Q896" s="53" t="str">
        <f aca="false">IF(AND($G896&lt;&gt;"",$H896&lt;&gt;""),$H896-$G896,"")</f>
        <v/>
      </c>
      <c r="R896" s="53" t="str">
        <f aca="false">IF(AND($G896&lt;&gt;"",$I896&lt;&gt;""),$I896-$G896,"")</f>
        <v/>
      </c>
      <c r="S896" s="53" t="str">
        <f aca="false">IF(AND($H896&lt;&gt;"",$I896&lt;&gt;""),$I896-$H896,"")</f>
        <v/>
      </c>
      <c r="T896" s="53" t="str">
        <f aca="false">IF($J896&lt;&gt;"",$J896,"")</f>
        <v/>
      </c>
      <c r="V896" s="52" t="str">
        <f aca="false">IF($A896&lt;&gt;"",$A896,"")</f>
        <v>Apprenant 884</v>
      </c>
      <c r="W896" s="53" t="str">
        <f aca="false">IF(AND(OR('Choix pédagogiques'!$C$3=1,'Choix pédagogiques'!$C$3=2),$BM896=1),B896,IF(AND('Choix pédagogiques'!$C$3=3,$BO896=1),B896,""))</f>
        <v/>
      </c>
      <c r="X896" s="53" t="str">
        <f aca="false">IF(AND(OR('Choix pédagogiques'!$C$3=1,'Choix pédagogiques'!$C$3=2),$BM896=1),C896,IF(AND('Choix pédagogiques'!$C$3=3,$BO896=1),C896,""))</f>
        <v/>
      </c>
      <c r="Y896" s="53" t="str">
        <f aca="false">IF(AND(OR('Choix pédagogiques'!$C$3=1,'Choix pédagogiques'!$C$3=2),$BM896=1),D896,IF(AND('Choix pédagogiques'!$C$3=3,$BO896=1),D896,""))</f>
        <v/>
      </c>
      <c r="Z896" s="53" t="str">
        <f aca="false">IF($E896&lt;&gt;"",$E896,"")</f>
        <v/>
      </c>
      <c r="AA896" s="52" t="str">
        <f aca="false">IF($F896&lt;&gt;"",$F896,"")</f>
        <v>Apprenant 884 ou 884'</v>
      </c>
      <c r="AB896" s="53" t="str">
        <f aca="false">IF(AND(OR('Choix pédagogiques'!$C$3=1,'Choix pédagogiques'!$C$3=2),$BN896=1),G896,IF(AND('Choix pédagogiques'!$C$3=3,$BO896=1),G896,""))</f>
        <v/>
      </c>
      <c r="AC896" s="53" t="str">
        <f aca="false">IF(AND(OR('Choix pédagogiques'!$C$3=1,'Choix pédagogiques'!$C$3=2),$BN896=1),H896,IF(AND('Choix pédagogiques'!$C$3=3,$BO896=1),H896,""))</f>
        <v/>
      </c>
      <c r="AD896" s="53" t="str">
        <f aca="false">IF(AND(OR('Choix pédagogiques'!$C$3=1,'Choix pédagogiques'!$C$3=2),$BN896=1),I896,IF(AND('Choix pédagogiques'!$C$3=3,$BO896=1),I896,""))</f>
        <v/>
      </c>
      <c r="AE896" s="53" t="str">
        <f aca="false">IF($J896&lt;&gt;"",$J896,"")</f>
        <v/>
      </c>
      <c r="AF896" s="52" t="str">
        <f aca="false">IF($A896&lt;&gt;"",$A896,"")</f>
        <v>Apprenant 884</v>
      </c>
      <c r="AG896" s="53" t="str">
        <f aca="false">IF(AND($W896&lt;&gt;"",$X896&lt;&gt;""),$X896-$W896,"")</f>
        <v/>
      </c>
      <c r="AH896" s="53" t="str">
        <f aca="false">IF(AND($W896&lt;&gt;"",$Y896&lt;&gt;""),$Y896-$W896,"")</f>
        <v/>
      </c>
      <c r="AI896" s="53" t="str">
        <f aca="false">IF(AND($X896&lt;&gt;"",$Y896&lt;&gt;""),$Y896-$X896,"")</f>
        <v/>
      </c>
      <c r="AJ896" s="53" t="str">
        <f aca="false">IF($E896&lt;&gt;"",$E896,"")</f>
        <v/>
      </c>
      <c r="AK896" s="52" t="str">
        <f aca="false">IF($F896&lt;&gt;"",$F896,"")</f>
        <v>Apprenant 884 ou 884'</v>
      </c>
      <c r="AL896" s="53" t="str">
        <f aca="false">IF(AND($AB896&lt;&gt;"",$AC896&lt;&gt;""),$AC896-$AB896,"")</f>
        <v/>
      </c>
      <c r="AM896" s="53" t="str">
        <f aca="false">IF(AND($AB896&lt;&gt;"",$AD896&lt;&gt;""),$AD896-$AB896,"")</f>
        <v/>
      </c>
      <c r="AN896" s="53" t="str">
        <f aca="false">IF(AND($AC896&lt;&gt;"",$AD896&lt;&gt;""),$AD896-$AC896,"")</f>
        <v/>
      </c>
      <c r="AO896" s="53" t="str">
        <f aca="false">IF($J896&lt;&gt;"",$J896,"")</f>
        <v/>
      </c>
      <c r="AQ896" s="52" t="str">
        <f aca="false">IF($A896&lt;&gt;"",$A896,"")</f>
        <v>Apprenant 884</v>
      </c>
      <c r="AR896" s="55" t="str">
        <f aca="false">IF(AND('Choix pédagogiques'!$C$4&lt;&gt;"?",'Choix pédagogiques'!$C$5&lt;&gt;"?",W896&lt;&gt;""),(W896-'Choix pédagogiques'!$C$4)/('Choix pédagogiques'!$C$5-'Choix pédagogiques'!$C$4),"")</f>
        <v/>
      </c>
      <c r="AS896" s="55" t="str">
        <f aca="false">IF(AND('Choix pédagogiques'!$C$4&lt;&gt;"?",'Choix pédagogiques'!$C$5&lt;&gt;"?",X896&lt;&gt;""),(X896-'Choix pédagogiques'!$C$4)/('Choix pédagogiques'!$C$5-'Choix pédagogiques'!$C$4),"")</f>
        <v/>
      </c>
      <c r="AT896" s="55" t="str">
        <f aca="false">IF(AND('Choix pédagogiques'!$C$4&lt;&gt;"?",'Choix pédagogiques'!$C$5&lt;&gt;"?",Y896&lt;&gt;""),(Y896-'Choix pédagogiques'!$C$4)/('Choix pédagogiques'!$C$5-'Choix pédagogiques'!$C$4),"")</f>
        <v/>
      </c>
      <c r="AU896" s="53" t="str">
        <f aca="false">IF($E896&lt;&gt;"",$E896,"")</f>
        <v/>
      </c>
      <c r="AV896" s="52" t="str">
        <f aca="false">IF($F896&lt;&gt;"",$F896,"")</f>
        <v>Apprenant 884 ou 884'</v>
      </c>
      <c r="AW896" s="55" t="str">
        <f aca="false">IF(AND('Choix pédagogiques'!$C$4&lt;&gt;"?",'Choix pédagogiques'!$C$5&lt;&gt;"?",AB896&lt;&gt;""),(AB896-'Choix pédagogiques'!$C$4)/('Choix pédagogiques'!$C$5-'Choix pédagogiques'!$C$4),"")</f>
        <v/>
      </c>
      <c r="AX896" s="55" t="str">
        <f aca="false">IF(AND('Choix pédagogiques'!$C$4&lt;&gt;"?",'Choix pédagogiques'!$C$5&lt;&gt;"?",AC896&lt;&gt;""),(AC896-'Choix pédagogiques'!$C$4)/('Choix pédagogiques'!$C$5-'Choix pédagogiques'!$C$4),"")</f>
        <v/>
      </c>
      <c r="AY896" s="55" t="str">
        <f aca="false">IF(AND('Choix pédagogiques'!$C$4&lt;&gt;"?",'Choix pédagogiques'!$C$5&lt;&gt;"?",AD896&lt;&gt;""),(AD896-'Choix pédagogiques'!$C$4)/('Choix pédagogiques'!$C$5-'Choix pédagogiques'!$C$4),"")</f>
        <v/>
      </c>
      <c r="AZ896" s="53" t="str">
        <f aca="false">IF($J896&lt;&gt;"",$J896,"")</f>
        <v/>
      </c>
      <c r="BA896" s="52" t="str">
        <f aca="false">IF($A896&lt;&gt;"",$A896,"")</f>
        <v>Apprenant 884</v>
      </c>
      <c r="BB896" s="55" t="str">
        <f aca="false">IF(AND($AR896&lt;&gt;"",$AS896&lt;&gt;""),$AS896-$AR896,"")</f>
        <v/>
      </c>
      <c r="BC896" s="55" t="str">
        <f aca="false">IF(AND($AR896&lt;&gt;"",$AT896&lt;&gt;""),$AT896-$AR896,"")</f>
        <v/>
      </c>
      <c r="BD896" s="55" t="str">
        <f aca="false">IF(AND($AS896&lt;&gt;"",$AT896&lt;&gt;""),$AT896-$AS896,"")</f>
        <v/>
      </c>
      <c r="BE896" s="53" t="str">
        <f aca="false">IF($E896&lt;&gt;"",$E896,"")</f>
        <v/>
      </c>
      <c r="BF896" s="52" t="str">
        <f aca="false">IF($F896&lt;&gt;"",$F896,"")</f>
        <v>Apprenant 884 ou 884'</v>
      </c>
      <c r="BG896" s="55" t="str">
        <f aca="false">IF(AND($AW896&lt;&gt;"",$AX896&lt;&gt;""),$AX896-$AW896,"")</f>
        <v/>
      </c>
      <c r="BH896" s="55" t="str">
        <f aca="false">IF(AND($AW896&lt;&gt;"",$AY896&lt;&gt;""),$AY896-$AW896,"")</f>
        <v/>
      </c>
      <c r="BI896" s="55" t="str">
        <f aca="false">IF(AND($AX896&lt;&gt;"",$AY896&lt;&gt;""),$AY896-$AX896,"")</f>
        <v/>
      </c>
      <c r="BJ896" s="53" t="str">
        <f aca="false">IF($J896&lt;&gt;"",$J896,"")</f>
        <v/>
      </c>
      <c r="BL896" s="52"/>
      <c r="BM896" s="52" t="str">
        <f aca="false">IF(OR(COUNT(B896:D1895)=0,AND('Choix pédagogiques'!$C$3&lt;&gt;1,'Choix pédagogiques'!$C$3&lt;&gt;2)),"",IF(AND(OR('Choix pédagogiques'!$C$3=1,'Choix pédagogiques'!$C$3=2),$B896&lt;&gt;"",$C896&lt;&gt;"",$D896&lt;&gt;""),1,0))</f>
        <v/>
      </c>
      <c r="BN896" s="52" t="str">
        <f aca="false">IF(OR(COUNT(G896:I1895)=0,AND('Choix pédagogiques'!$C$3&lt;&gt;1,'Choix pédagogiques'!$C$3&lt;&gt;2)),"",IF(AND(OR('Choix pédagogiques'!$C$3=1,'Choix pédagogiques'!$C$3=2),AND($G896&lt;&gt;"",$H896&lt;&gt;"",$I896&lt;&gt;"")),1,0))</f>
        <v/>
      </c>
      <c r="BO896" s="52" t="str">
        <f aca="false">IF(OR(COUNT(B896:D1895)=0,COUNT(G896:I1895)=0,'Choix pédagogiques'!C$3&lt;&gt;3),"",IF(AND('Choix pédagogiques'!$C$3=3,$B896&lt;&gt;"",$C896&lt;&gt;"",$D896&lt;&gt;"",$G896&lt;&gt;"",$H896&lt;&gt;"",$I896&lt;&gt;""),1,0))</f>
        <v/>
      </c>
      <c r="BR896" s="52" t="n">
        <v>182</v>
      </c>
      <c r="BS896" s="52" t="n">
        <v>1353</v>
      </c>
    </row>
    <row r="897" s="54" customFormat="true" ht="18" hidden="false" customHeight="true" outlineLevel="0" collapsed="false">
      <c r="A897" s="57" t="s">
        <v>1725</v>
      </c>
      <c r="B897" s="51"/>
      <c r="C897" s="51"/>
      <c r="D897" s="51"/>
      <c r="E897" s="51"/>
      <c r="F897" s="57" t="s">
        <v>1726</v>
      </c>
      <c r="G897" s="51"/>
      <c r="H897" s="51"/>
      <c r="I897" s="51"/>
      <c r="J897" s="51"/>
      <c r="K897" s="52" t="str">
        <f aca="false">IF($A897&lt;&gt;"",$A897,"")</f>
        <v>Apprenant 885</v>
      </c>
      <c r="L897" s="53" t="str">
        <f aca="false">IF(AND($B897&lt;&gt;"",$C897&lt;&gt;""),$C897-$B897,"")</f>
        <v/>
      </c>
      <c r="M897" s="53" t="str">
        <f aca="false">IF(AND($B897&lt;&gt;"",$D897&lt;&gt;""),$D897-$B897,"")</f>
        <v/>
      </c>
      <c r="N897" s="53" t="str">
        <f aca="false">IF(AND($C897&lt;&gt;"",$D897&lt;&gt;""),$D897-$C897,"")</f>
        <v/>
      </c>
      <c r="O897" s="53" t="str">
        <f aca="false">IF($E897&lt;&gt;"",$E897,"")</f>
        <v/>
      </c>
      <c r="P897" s="52" t="str">
        <f aca="false">IF($F897&lt;&gt;"",$F897,"")</f>
        <v>Apprenant 885 ou 885'</v>
      </c>
      <c r="Q897" s="53" t="str">
        <f aca="false">IF(AND($G897&lt;&gt;"",$H897&lt;&gt;""),$H897-$G897,"")</f>
        <v/>
      </c>
      <c r="R897" s="53" t="str">
        <f aca="false">IF(AND($G897&lt;&gt;"",$I897&lt;&gt;""),$I897-$G897,"")</f>
        <v/>
      </c>
      <c r="S897" s="53" t="str">
        <f aca="false">IF(AND($H897&lt;&gt;"",$I897&lt;&gt;""),$I897-$H897,"")</f>
        <v/>
      </c>
      <c r="T897" s="53" t="str">
        <f aca="false">IF($J897&lt;&gt;"",$J897,"")</f>
        <v/>
      </c>
      <c r="V897" s="52" t="str">
        <f aca="false">IF($A897&lt;&gt;"",$A897,"")</f>
        <v>Apprenant 885</v>
      </c>
      <c r="W897" s="53" t="str">
        <f aca="false">IF(AND(OR('Choix pédagogiques'!$C$3=1,'Choix pédagogiques'!$C$3=2),$BM897=1),B897,IF(AND('Choix pédagogiques'!$C$3=3,$BO897=1),B897,""))</f>
        <v/>
      </c>
      <c r="X897" s="53" t="str">
        <f aca="false">IF(AND(OR('Choix pédagogiques'!$C$3=1,'Choix pédagogiques'!$C$3=2),$BM897=1),C897,IF(AND('Choix pédagogiques'!$C$3=3,$BO897=1),C897,""))</f>
        <v/>
      </c>
      <c r="Y897" s="53" t="str">
        <f aca="false">IF(AND(OR('Choix pédagogiques'!$C$3=1,'Choix pédagogiques'!$C$3=2),$BM897=1),D897,IF(AND('Choix pédagogiques'!$C$3=3,$BO897=1),D897,""))</f>
        <v/>
      </c>
      <c r="Z897" s="53" t="str">
        <f aca="false">IF($E897&lt;&gt;"",$E897,"")</f>
        <v/>
      </c>
      <c r="AA897" s="52" t="str">
        <f aca="false">IF($F897&lt;&gt;"",$F897,"")</f>
        <v>Apprenant 885 ou 885'</v>
      </c>
      <c r="AB897" s="53" t="str">
        <f aca="false">IF(AND(OR('Choix pédagogiques'!$C$3=1,'Choix pédagogiques'!$C$3=2),$BN897=1),G897,IF(AND('Choix pédagogiques'!$C$3=3,$BO897=1),G897,""))</f>
        <v/>
      </c>
      <c r="AC897" s="53" t="str">
        <f aca="false">IF(AND(OR('Choix pédagogiques'!$C$3=1,'Choix pédagogiques'!$C$3=2),$BN897=1),H897,IF(AND('Choix pédagogiques'!$C$3=3,$BO897=1),H897,""))</f>
        <v/>
      </c>
      <c r="AD897" s="53" t="str">
        <f aca="false">IF(AND(OR('Choix pédagogiques'!$C$3=1,'Choix pédagogiques'!$C$3=2),$BN897=1),I897,IF(AND('Choix pédagogiques'!$C$3=3,$BO897=1),I897,""))</f>
        <v/>
      </c>
      <c r="AE897" s="53" t="str">
        <f aca="false">IF($J897&lt;&gt;"",$J897,"")</f>
        <v/>
      </c>
      <c r="AF897" s="52" t="str">
        <f aca="false">IF($A897&lt;&gt;"",$A897,"")</f>
        <v>Apprenant 885</v>
      </c>
      <c r="AG897" s="53" t="str">
        <f aca="false">IF(AND($W897&lt;&gt;"",$X897&lt;&gt;""),$X897-$W897,"")</f>
        <v/>
      </c>
      <c r="AH897" s="53" t="str">
        <f aca="false">IF(AND($W897&lt;&gt;"",$Y897&lt;&gt;""),$Y897-$W897,"")</f>
        <v/>
      </c>
      <c r="AI897" s="53" t="str">
        <f aca="false">IF(AND($X897&lt;&gt;"",$Y897&lt;&gt;""),$Y897-$X897,"")</f>
        <v/>
      </c>
      <c r="AJ897" s="53" t="str">
        <f aca="false">IF($E897&lt;&gt;"",$E897,"")</f>
        <v/>
      </c>
      <c r="AK897" s="52" t="str">
        <f aca="false">IF($F897&lt;&gt;"",$F897,"")</f>
        <v>Apprenant 885 ou 885'</v>
      </c>
      <c r="AL897" s="53" t="str">
        <f aca="false">IF(AND($AB897&lt;&gt;"",$AC897&lt;&gt;""),$AC897-$AB897,"")</f>
        <v/>
      </c>
      <c r="AM897" s="53" t="str">
        <f aca="false">IF(AND($AB897&lt;&gt;"",$AD897&lt;&gt;""),$AD897-$AB897,"")</f>
        <v/>
      </c>
      <c r="AN897" s="53" t="str">
        <f aca="false">IF(AND($AC897&lt;&gt;"",$AD897&lt;&gt;""),$AD897-$AC897,"")</f>
        <v/>
      </c>
      <c r="AO897" s="53" t="str">
        <f aca="false">IF($J897&lt;&gt;"",$J897,"")</f>
        <v/>
      </c>
      <c r="AQ897" s="52" t="str">
        <f aca="false">IF($A897&lt;&gt;"",$A897,"")</f>
        <v>Apprenant 885</v>
      </c>
      <c r="AR897" s="55" t="str">
        <f aca="false">IF(AND('Choix pédagogiques'!$C$4&lt;&gt;"?",'Choix pédagogiques'!$C$5&lt;&gt;"?",W897&lt;&gt;""),(W897-'Choix pédagogiques'!$C$4)/('Choix pédagogiques'!$C$5-'Choix pédagogiques'!$C$4),"")</f>
        <v/>
      </c>
      <c r="AS897" s="55" t="str">
        <f aca="false">IF(AND('Choix pédagogiques'!$C$4&lt;&gt;"?",'Choix pédagogiques'!$C$5&lt;&gt;"?",X897&lt;&gt;""),(X897-'Choix pédagogiques'!$C$4)/('Choix pédagogiques'!$C$5-'Choix pédagogiques'!$C$4),"")</f>
        <v/>
      </c>
      <c r="AT897" s="55" t="str">
        <f aca="false">IF(AND('Choix pédagogiques'!$C$4&lt;&gt;"?",'Choix pédagogiques'!$C$5&lt;&gt;"?",Y897&lt;&gt;""),(Y897-'Choix pédagogiques'!$C$4)/('Choix pédagogiques'!$C$5-'Choix pédagogiques'!$C$4),"")</f>
        <v/>
      </c>
      <c r="AU897" s="53" t="str">
        <f aca="false">IF($E897&lt;&gt;"",$E897,"")</f>
        <v/>
      </c>
      <c r="AV897" s="52" t="str">
        <f aca="false">IF($F897&lt;&gt;"",$F897,"")</f>
        <v>Apprenant 885 ou 885'</v>
      </c>
      <c r="AW897" s="55" t="str">
        <f aca="false">IF(AND('Choix pédagogiques'!$C$4&lt;&gt;"?",'Choix pédagogiques'!$C$5&lt;&gt;"?",AB897&lt;&gt;""),(AB897-'Choix pédagogiques'!$C$4)/('Choix pédagogiques'!$C$5-'Choix pédagogiques'!$C$4),"")</f>
        <v/>
      </c>
      <c r="AX897" s="55" t="str">
        <f aca="false">IF(AND('Choix pédagogiques'!$C$4&lt;&gt;"?",'Choix pédagogiques'!$C$5&lt;&gt;"?",AC897&lt;&gt;""),(AC897-'Choix pédagogiques'!$C$4)/('Choix pédagogiques'!$C$5-'Choix pédagogiques'!$C$4),"")</f>
        <v/>
      </c>
      <c r="AY897" s="55" t="str">
        <f aca="false">IF(AND('Choix pédagogiques'!$C$4&lt;&gt;"?",'Choix pédagogiques'!$C$5&lt;&gt;"?",AD897&lt;&gt;""),(AD897-'Choix pédagogiques'!$C$4)/('Choix pédagogiques'!$C$5-'Choix pédagogiques'!$C$4),"")</f>
        <v/>
      </c>
      <c r="AZ897" s="53" t="str">
        <f aca="false">IF($J897&lt;&gt;"",$J897,"")</f>
        <v/>
      </c>
      <c r="BA897" s="52" t="str">
        <f aca="false">IF($A897&lt;&gt;"",$A897,"")</f>
        <v>Apprenant 885</v>
      </c>
      <c r="BB897" s="55" t="str">
        <f aca="false">IF(AND($AR897&lt;&gt;"",$AS897&lt;&gt;""),$AS897-$AR897,"")</f>
        <v/>
      </c>
      <c r="BC897" s="55" t="str">
        <f aca="false">IF(AND($AR897&lt;&gt;"",$AT897&lt;&gt;""),$AT897-$AR897,"")</f>
        <v/>
      </c>
      <c r="BD897" s="55" t="str">
        <f aca="false">IF(AND($AS897&lt;&gt;"",$AT897&lt;&gt;""),$AT897-$AS897,"")</f>
        <v/>
      </c>
      <c r="BE897" s="53" t="str">
        <f aca="false">IF($E897&lt;&gt;"",$E897,"")</f>
        <v/>
      </c>
      <c r="BF897" s="52" t="str">
        <f aca="false">IF($F897&lt;&gt;"",$F897,"")</f>
        <v>Apprenant 885 ou 885'</v>
      </c>
      <c r="BG897" s="55" t="str">
        <f aca="false">IF(AND($AW897&lt;&gt;"",$AX897&lt;&gt;""),$AX897-$AW897,"")</f>
        <v/>
      </c>
      <c r="BH897" s="55" t="str">
        <f aca="false">IF(AND($AW897&lt;&gt;"",$AY897&lt;&gt;""),$AY897-$AW897,"")</f>
        <v/>
      </c>
      <c r="BI897" s="55" t="str">
        <f aca="false">IF(AND($AX897&lt;&gt;"",$AY897&lt;&gt;""),$AY897-$AX897,"")</f>
        <v/>
      </c>
      <c r="BJ897" s="53" t="str">
        <f aca="false">IF($J897&lt;&gt;"",$J897,"")</f>
        <v/>
      </c>
      <c r="BL897" s="52"/>
      <c r="BM897" s="52" t="str">
        <f aca="false">IF(OR(COUNT(B897:D1896)=0,AND('Choix pédagogiques'!$C$3&lt;&gt;1,'Choix pédagogiques'!$C$3&lt;&gt;2)),"",IF(AND(OR('Choix pédagogiques'!$C$3=1,'Choix pédagogiques'!$C$3=2),$B897&lt;&gt;"",$C897&lt;&gt;"",$D897&lt;&gt;""),1,0))</f>
        <v/>
      </c>
      <c r="BN897" s="52" t="str">
        <f aca="false">IF(OR(COUNT(G897:I1896)=0,AND('Choix pédagogiques'!$C$3&lt;&gt;1,'Choix pédagogiques'!$C$3&lt;&gt;2)),"",IF(AND(OR('Choix pédagogiques'!$C$3=1,'Choix pédagogiques'!$C$3=2),AND($G897&lt;&gt;"",$H897&lt;&gt;"",$I897&lt;&gt;"")),1,0))</f>
        <v/>
      </c>
      <c r="BO897" s="52" t="str">
        <f aca="false">IF(OR(COUNT(B897:D1896)=0,COUNT(G897:I1896)=0,'Choix pédagogiques'!C$3&lt;&gt;3),"",IF(AND('Choix pédagogiques'!$C$3=3,$B897&lt;&gt;"",$C897&lt;&gt;"",$D897&lt;&gt;"",$G897&lt;&gt;"",$H897&lt;&gt;"",$I897&lt;&gt;""),1,0))</f>
        <v/>
      </c>
      <c r="BR897" s="52" t="n">
        <v>734</v>
      </c>
      <c r="BS897" s="52" t="n">
        <v>1310</v>
      </c>
    </row>
    <row r="898" s="54" customFormat="true" ht="18" hidden="false" customHeight="true" outlineLevel="0" collapsed="false">
      <c r="A898" s="57" t="s">
        <v>1727</v>
      </c>
      <c r="B898" s="51"/>
      <c r="C898" s="51"/>
      <c r="D898" s="51"/>
      <c r="E898" s="51"/>
      <c r="F898" s="57" t="s">
        <v>1728</v>
      </c>
      <c r="G898" s="51"/>
      <c r="H898" s="51"/>
      <c r="I898" s="51"/>
      <c r="J898" s="51"/>
      <c r="K898" s="52" t="str">
        <f aca="false">IF($A898&lt;&gt;"",$A898,"")</f>
        <v>Apprenant 886</v>
      </c>
      <c r="L898" s="53" t="str">
        <f aca="false">IF(AND($B898&lt;&gt;"",$C898&lt;&gt;""),$C898-$B898,"")</f>
        <v/>
      </c>
      <c r="M898" s="53" t="str">
        <f aca="false">IF(AND($B898&lt;&gt;"",$D898&lt;&gt;""),$D898-$B898,"")</f>
        <v/>
      </c>
      <c r="N898" s="53" t="str">
        <f aca="false">IF(AND($C898&lt;&gt;"",$D898&lt;&gt;""),$D898-$C898,"")</f>
        <v/>
      </c>
      <c r="O898" s="53" t="str">
        <f aca="false">IF($E898&lt;&gt;"",$E898,"")</f>
        <v/>
      </c>
      <c r="P898" s="52" t="str">
        <f aca="false">IF($F898&lt;&gt;"",$F898,"")</f>
        <v>Apprenant 886 ou 886'</v>
      </c>
      <c r="Q898" s="53" t="str">
        <f aca="false">IF(AND($G898&lt;&gt;"",$H898&lt;&gt;""),$H898-$G898,"")</f>
        <v/>
      </c>
      <c r="R898" s="53" t="str">
        <f aca="false">IF(AND($G898&lt;&gt;"",$I898&lt;&gt;""),$I898-$G898,"")</f>
        <v/>
      </c>
      <c r="S898" s="53" t="str">
        <f aca="false">IF(AND($H898&lt;&gt;"",$I898&lt;&gt;""),$I898-$H898,"")</f>
        <v/>
      </c>
      <c r="T898" s="53" t="str">
        <f aca="false">IF($J898&lt;&gt;"",$J898,"")</f>
        <v/>
      </c>
      <c r="V898" s="52" t="str">
        <f aca="false">IF($A898&lt;&gt;"",$A898,"")</f>
        <v>Apprenant 886</v>
      </c>
      <c r="W898" s="53" t="str">
        <f aca="false">IF(AND(OR('Choix pédagogiques'!$C$3=1,'Choix pédagogiques'!$C$3=2),$BM898=1),B898,IF(AND('Choix pédagogiques'!$C$3=3,$BO898=1),B898,""))</f>
        <v/>
      </c>
      <c r="X898" s="53" t="str">
        <f aca="false">IF(AND(OR('Choix pédagogiques'!$C$3=1,'Choix pédagogiques'!$C$3=2),$BM898=1),C898,IF(AND('Choix pédagogiques'!$C$3=3,$BO898=1),C898,""))</f>
        <v/>
      </c>
      <c r="Y898" s="53" t="str">
        <f aca="false">IF(AND(OR('Choix pédagogiques'!$C$3=1,'Choix pédagogiques'!$C$3=2),$BM898=1),D898,IF(AND('Choix pédagogiques'!$C$3=3,$BO898=1),D898,""))</f>
        <v/>
      </c>
      <c r="Z898" s="53" t="str">
        <f aca="false">IF($E898&lt;&gt;"",$E898,"")</f>
        <v/>
      </c>
      <c r="AA898" s="52" t="str">
        <f aca="false">IF($F898&lt;&gt;"",$F898,"")</f>
        <v>Apprenant 886 ou 886'</v>
      </c>
      <c r="AB898" s="53" t="str">
        <f aca="false">IF(AND(OR('Choix pédagogiques'!$C$3=1,'Choix pédagogiques'!$C$3=2),$BN898=1),G898,IF(AND('Choix pédagogiques'!$C$3=3,$BO898=1),G898,""))</f>
        <v/>
      </c>
      <c r="AC898" s="53" t="str">
        <f aca="false">IF(AND(OR('Choix pédagogiques'!$C$3=1,'Choix pédagogiques'!$C$3=2),$BN898=1),H898,IF(AND('Choix pédagogiques'!$C$3=3,$BO898=1),H898,""))</f>
        <v/>
      </c>
      <c r="AD898" s="53" t="str">
        <f aca="false">IF(AND(OR('Choix pédagogiques'!$C$3=1,'Choix pédagogiques'!$C$3=2),$BN898=1),I898,IF(AND('Choix pédagogiques'!$C$3=3,$BO898=1),I898,""))</f>
        <v/>
      </c>
      <c r="AE898" s="53" t="str">
        <f aca="false">IF($J898&lt;&gt;"",$J898,"")</f>
        <v/>
      </c>
      <c r="AF898" s="52" t="str">
        <f aca="false">IF($A898&lt;&gt;"",$A898,"")</f>
        <v>Apprenant 886</v>
      </c>
      <c r="AG898" s="53" t="str">
        <f aca="false">IF(AND($W898&lt;&gt;"",$X898&lt;&gt;""),$X898-$W898,"")</f>
        <v/>
      </c>
      <c r="AH898" s="53" t="str">
        <f aca="false">IF(AND($W898&lt;&gt;"",$Y898&lt;&gt;""),$Y898-$W898,"")</f>
        <v/>
      </c>
      <c r="AI898" s="53" t="str">
        <f aca="false">IF(AND($X898&lt;&gt;"",$Y898&lt;&gt;""),$Y898-$X898,"")</f>
        <v/>
      </c>
      <c r="AJ898" s="53" t="str">
        <f aca="false">IF($E898&lt;&gt;"",$E898,"")</f>
        <v/>
      </c>
      <c r="AK898" s="52" t="str">
        <f aca="false">IF($F898&lt;&gt;"",$F898,"")</f>
        <v>Apprenant 886 ou 886'</v>
      </c>
      <c r="AL898" s="53" t="str">
        <f aca="false">IF(AND($AB898&lt;&gt;"",$AC898&lt;&gt;""),$AC898-$AB898,"")</f>
        <v/>
      </c>
      <c r="AM898" s="53" t="str">
        <f aca="false">IF(AND($AB898&lt;&gt;"",$AD898&lt;&gt;""),$AD898-$AB898,"")</f>
        <v/>
      </c>
      <c r="AN898" s="53" t="str">
        <f aca="false">IF(AND($AC898&lt;&gt;"",$AD898&lt;&gt;""),$AD898-$AC898,"")</f>
        <v/>
      </c>
      <c r="AO898" s="53" t="str">
        <f aca="false">IF($J898&lt;&gt;"",$J898,"")</f>
        <v/>
      </c>
      <c r="AQ898" s="52" t="str">
        <f aca="false">IF($A898&lt;&gt;"",$A898,"")</f>
        <v>Apprenant 886</v>
      </c>
      <c r="AR898" s="55" t="str">
        <f aca="false">IF(AND('Choix pédagogiques'!$C$4&lt;&gt;"?",'Choix pédagogiques'!$C$5&lt;&gt;"?",W898&lt;&gt;""),(W898-'Choix pédagogiques'!$C$4)/('Choix pédagogiques'!$C$5-'Choix pédagogiques'!$C$4),"")</f>
        <v/>
      </c>
      <c r="AS898" s="55" t="str">
        <f aca="false">IF(AND('Choix pédagogiques'!$C$4&lt;&gt;"?",'Choix pédagogiques'!$C$5&lt;&gt;"?",X898&lt;&gt;""),(X898-'Choix pédagogiques'!$C$4)/('Choix pédagogiques'!$C$5-'Choix pédagogiques'!$C$4),"")</f>
        <v/>
      </c>
      <c r="AT898" s="55" t="str">
        <f aca="false">IF(AND('Choix pédagogiques'!$C$4&lt;&gt;"?",'Choix pédagogiques'!$C$5&lt;&gt;"?",Y898&lt;&gt;""),(Y898-'Choix pédagogiques'!$C$4)/('Choix pédagogiques'!$C$5-'Choix pédagogiques'!$C$4),"")</f>
        <v/>
      </c>
      <c r="AU898" s="53" t="str">
        <f aca="false">IF($E898&lt;&gt;"",$E898,"")</f>
        <v/>
      </c>
      <c r="AV898" s="52" t="str">
        <f aca="false">IF($F898&lt;&gt;"",$F898,"")</f>
        <v>Apprenant 886 ou 886'</v>
      </c>
      <c r="AW898" s="55" t="str">
        <f aca="false">IF(AND('Choix pédagogiques'!$C$4&lt;&gt;"?",'Choix pédagogiques'!$C$5&lt;&gt;"?",AB898&lt;&gt;""),(AB898-'Choix pédagogiques'!$C$4)/('Choix pédagogiques'!$C$5-'Choix pédagogiques'!$C$4),"")</f>
        <v/>
      </c>
      <c r="AX898" s="55" t="str">
        <f aca="false">IF(AND('Choix pédagogiques'!$C$4&lt;&gt;"?",'Choix pédagogiques'!$C$5&lt;&gt;"?",AC898&lt;&gt;""),(AC898-'Choix pédagogiques'!$C$4)/('Choix pédagogiques'!$C$5-'Choix pédagogiques'!$C$4),"")</f>
        <v/>
      </c>
      <c r="AY898" s="55" t="str">
        <f aca="false">IF(AND('Choix pédagogiques'!$C$4&lt;&gt;"?",'Choix pédagogiques'!$C$5&lt;&gt;"?",AD898&lt;&gt;""),(AD898-'Choix pédagogiques'!$C$4)/('Choix pédagogiques'!$C$5-'Choix pédagogiques'!$C$4),"")</f>
        <v/>
      </c>
      <c r="AZ898" s="53" t="str">
        <f aca="false">IF($J898&lt;&gt;"",$J898,"")</f>
        <v/>
      </c>
      <c r="BA898" s="52" t="str">
        <f aca="false">IF($A898&lt;&gt;"",$A898,"")</f>
        <v>Apprenant 886</v>
      </c>
      <c r="BB898" s="55" t="str">
        <f aca="false">IF(AND($AR898&lt;&gt;"",$AS898&lt;&gt;""),$AS898-$AR898,"")</f>
        <v/>
      </c>
      <c r="BC898" s="55" t="str">
        <f aca="false">IF(AND($AR898&lt;&gt;"",$AT898&lt;&gt;""),$AT898-$AR898,"")</f>
        <v/>
      </c>
      <c r="BD898" s="55" t="str">
        <f aca="false">IF(AND($AS898&lt;&gt;"",$AT898&lt;&gt;""),$AT898-$AS898,"")</f>
        <v/>
      </c>
      <c r="BE898" s="53" t="str">
        <f aca="false">IF($E898&lt;&gt;"",$E898,"")</f>
        <v/>
      </c>
      <c r="BF898" s="52" t="str">
        <f aca="false">IF($F898&lt;&gt;"",$F898,"")</f>
        <v>Apprenant 886 ou 886'</v>
      </c>
      <c r="BG898" s="55" t="str">
        <f aca="false">IF(AND($AW898&lt;&gt;"",$AX898&lt;&gt;""),$AX898-$AW898,"")</f>
        <v/>
      </c>
      <c r="BH898" s="55" t="str">
        <f aca="false">IF(AND($AW898&lt;&gt;"",$AY898&lt;&gt;""),$AY898-$AW898,"")</f>
        <v/>
      </c>
      <c r="BI898" s="55" t="str">
        <f aca="false">IF(AND($AX898&lt;&gt;"",$AY898&lt;&gt;""),$AY898-$AX898,"")</f>
        <v/>
      </c>
      <c r="BJ898" s="53" t="str">
        <f aca="false">IF($J898&lt;&gt;"",$J898,"")</f>
        <v/>
      </c>
      <c r="BL898" s="52"/>
      <c r="BM898" s="52" t="str">
        <f aca="false">IF(OR(COUNT(B898:D1897)=0,AND('Choix pédagogiques'!$C$3&lt;&gt;1,'Choix pédagogiques'!$C$3&lt;&gt;2)),"",IF(AND(OR('Choix pédagogiques'!$C$3=1,'Choix pédagogiques'!$C$3=2),$B898&lt;&gt;"",$C898&lt;&gt;"",$D898&lt;&gt;""),1,0))</f>
        <v/>
      </c>
      <c r="BN898" s="52" t="str">
        <f aca="false">IF(OR(COUNT(G898:I1897)=0,AND('Choix pédagogiques'!$C$3&lt;&gt;1,'Choix pédagogiques'!$C$3&lt;&gt;2)),"",IF(AND(OR('Choix pédagogiques'!$C$3=1,'Choix pédagogiques'!$C$3=2),AND($G898&lt;&gt;"",$H898&lt;&gt;"",$I898&lt;&gt;"")),1,0))</f>
        <v/>
      </c>
      <c r="BO898" s="52" t="str">
        <f aca="false">IF(OR(COUNT(B898:D1897)=0,COUNT(G898:I1897)=0,'Choix pédagogiques'!C$3&lt;&gt;3),"",IF(AND('Choix pédagogiques'!$C$3=3,$B898&lt;&gt;"",$C898&lt;&gt;"",$D898&lt;&gt;"",$G898&lt;&gt;"",$H898&lt;&gt;"",$I898&lt;&gt;""),1,0))</f>
        <v/>
      </c>
      <c r="BR898" s="52" t="n">
        <v>35</v>
      </c>
      <c r="BS898" s="52" t="n">
        <v>1984</v>
      </c>
    </row>
    <row r="899" s="54" customFormat="true" ht="18" hidden="false" customHeight="true" outlineLevel="0" collapsed="false">
      <c r="A899" s="57" t="s">
        <v>1729</v>
      </c>
      <c r="B899" s="51"/>
      <c r="C899" s="51"/>
      <c r="D899" s="51"/>
      <c r="E899" s="51"/>
      <c r="F899" s="57" t="s">
        <v>1730</v>
      </c>
      <c r="G899" s="51"/>
      <c r="H899" s="51"/>
      <c r="I899" s="51"/>
      <c r="J899" s="51"/>
      <c r="K899" s="52" t="str">
        <f aca="false">IF($A899&lt;&gt;"",$A899,"")</f>
        <v>Apprenant 887</v>
      </c>
      <c r="L899" s="53" t="str">
        <f aca="false">IF(AND($B899&lt;&gt;"",$C899&lt;&gt;""),$C899-$B899,"")</f>
        <v/>
      </c>
      <c r="M899" s="53" t="str">
        <f aca="false">IF(AND($B899&lt;&gt;"",$D899&lt;&gt;""),$D899-$B899,"")</f>
        <v/>
      </c>
      <c r="N899" s="53" t="str">
        <f aca="false">IF(AND($C899&lt;&gt;"",$D899&lt;&gt;""),$D899-$C899,"")</f>
        <v/>
      </c>
      <c r="O899" s="53" t="str">
        <f aca="false">IF($E899&lt;&gt;"",$E899,"")</f>
        <v/>
      </c>
      <c r="P899" s="52" t="str">
        <f aca="false">IF($F899&lt;&gt;"",$F899,"")</f>
        <v>Apprenant 887 ou 887'</v>
      </c>
      <c r="Q899" s="53" t="str">
        <f aca="false">IF(AND($G899&lt;&gt;"",$H899&lt;&gt;""),$H899-$G899,"")</f>
        <v/>
      </c>
      <c r="R899" s="53" t="str">
        <f aca="false">IF(AND($G899&lt;&gt;"",$I899&lt;&gt;""),$I899-$G899,"")</f>
        <v/>
      </c>
      <c r="S899" s="53" t="str">
        <f aca="false">IF(AND($H899&lt;&gt;"",$I899&lt;&gt;""),$I899-$H899,"")</f>
        <v/>
      </c>
      <c r="T899" s="53" t="str">
        <f aca="false">IF($J899&lt;&gt;"",$J899,"")</f>
        <v/>
      </c>
      <c r="V899" s="52" t="str">
        <f aca="false">IF($A899&lt;&gt;"",$A899,"")</f>
        <v>Apprenant 887</v>
      </c>
      <c r="W899" s="53" t="str">
        <f aca="false">IF(AND(OR('Choix pédagogiques'!$C$3=1,'Choix pédagogiques'!$C$3=2),$BM899=1),B899,IF(AND('Choix pédagogiques'!$C$3=3,$BO899=1),B899,""))</f>
        <v/>
      </c>
      <c r="X899" s="53" t="str">
        <f aca="false">IF(AND(OR('Choix pédagogiques'!$C$3=1,'Choix pédagogiques'!$C$3=2),$BM899=1),C899,IF(AND('Choix pédagogiques'!$C$3=3,$BO899=1),C899,""))</f>
        <v/>
      </c>
      <c r="Y899" s="53" t="str">
        <f aca="false">IF(AND(OR('Choix pédagogiques'!$C$3=1,'Choix pédagogiques'!$C$3=2),$BM899=1),D899,IF(AND('Choix pédagogiques'!$C$3=3,$BO899=1),D899,""))</f>
        <v/>
      </c>
      <c r="Z899" s="53" t="str">
        <f aca="false">IF($E899&lt;&gt;"",$E899,"")</f>
        <v/>
      </c>
      <c r="AA899" s="52" t="str">
        <f aca="false">IF($F899&lt;&gt;"",$F899,"")</f>
        <v>Apprenant 887 ou 887'</v>
      </c>
      <c r="AB899" s="53" t="str">
        <f aca="false">IF(AND(OR('Choix pédagogiques'!$C$3=1,'Choix pédagogiques'!$C$3=2),$BN899=1),G899,IF(AND('Choix pédagogiques'!$C$3=3,$BO899=1),G899,""))</f>
        <v/>
      </c>
      <c r="AC899" s="53" t="str">
        <f aca="false">IF(AND(OR('Choix pédagogiques'!$C$3=1,'Choix pédagogiques'!$C$3=2),$BN899=1),H899,IF(AND('Choix pédagogiques'!$C$3=3,$BO899=1),H899,""))</f>
        <v/>
      </c>
      <c r="AD899" s="53" t="str">
        <f aca="false">IF(AND(OR('Choix pédagogiques'!$C$3=1,'Choix pédagogiques'!$C$3=2),$BN899=1),I899,IF(AND('Choix pédagogiques'!$C$3=3,$BO899=1),I899,""))</f>
        <v/>
      </c>
      <c r="AE899" s="53" t="str">
        <f aca="false">IF($J899&lt;&gt;"",$J899,"")</f>
        <v/>
      </c>
      <c r="AF899" s="52" t="str">
        <f aca="false">IF($A899&lt;&gt;"",$A899,"")</f>
        <v>Apprenant 887</v>
      </c>
      <c r="AG899" s="53" t="str">
        <f aca="false">IF(AND($W899&lt;&gt;"",$X899&lt;&gt;""),$X899-$W899,"")</f>
        <v/>
      </c>
      <c r="AH899" s="53" t="str">
        <f aca="false">IF(AND($W899&lt;&gt;"",$Y899&lt;&gt;""),$Y899-$W899,"")</f>
        <v/>
      </c>
      <c r="AI899" s="53" t="str">
        <f aca="false">IF(AND($X899&lt;&gt;"",$Y899&lt;&gt;""),$Y899-$X899,"")</f>
        <v/>
      </c>
      <c r="AJ899" s="53" t="str">
        <f aca="false">IF($E899&lt;&gt;"",$E899,"")</f>
        <v/>
      </c>
      <c r="AK899" s="52" t="str">
        <f aca="false">IF($F899&lt;&gt;"",$F899,"")</f>
        <v>Apprenant 887 ou 887'</v>
      </c>
      <c r="AL899" s="53" t="str">
        <f aca="false">IF(AND($AB899&lt;&gt;"",$AC899&lt;&gt;""),$AC899-$AB899,"")</f>
        <v/>
      </c>
      <c r="AM899" s="53" t="str">
        <f aca="false">IF(AND($AB899&lt;&gt;"",$AD899&lt;&gt;""),$AD899-$AB899,"")</f>
        <v/>
      </c>
      <c r="AN899" s="53" t="str">
        <f aca="false">IF(AND($AC899&lt;&gt;"",$AD899&lt;&gt;""),$AD899-$AC899,"")</f>
        <v/>
      </c>
      <c r="AO899" s="53" t="str">
        <f aca="false">IF($J899&lt;&gt;"",$J899,"")</f>
        <v/>
      </c>
      <c r="AQ899" s="52" t="str">
        <f aca="false">IF($A899&lt;&gt;"",$A899,"")</f>
        <v>Apprenant 887</v>
      </c>
      <c r="AR899" s="55" t="str">
        <f aca="false">IF(AND('Choix pédagogiques'!$C$4&lt;&gt;"?",'Choix pédagogiques'!$C$5&lt;&gt;"?",W899&lt;&gt;""),(W899-'Choix pédagogiques'!$C$4)/('Choix pédagogiques'!$C$5-'Choix pédagogiques'!$C$4),"")</f>
        <v/>
      </c>
      <c r="AS899" s="55" t="str">
        <f aca="false">IF(AND('Choix pédagogiques'!$C$4&lt;&gt;"?",'Choix pédagogiques'!$C$5&lt;&gt;"?",X899&lt;&gt;""),(X899-'Choix pédagogiques'!$C$4)/('Choix pédagogiques'!$C$5-'Choix pédagogiques'!$C$4),"")</f>
        <v/>
      </c>
      <c r="AT899" s="55" t="str">
        <f aca="false">IF(AND('Choix pédagogiques'!$C$4&lt;&gt;"?",'Choix pédagogiques'!$C$5&lt;&gt;"?",Y899&lt;&gt;""),(Y899-'Choix pédagogiques'!$C$4)/('Choix pédagogiques'!$C$5-'Choix pédagogiques'!$C$4),"")</f>
        <v/>
      </c>
      <c r="AU899" s="53" t="str">
        <f aca="false">IF($E899&lt;&gt;"",$E899,"")</f>
        <v/>
      </c>
      <c r="AV899" s="52" t="str">
        <f aca="false">IF($F899&lt;&gt;"",$F899,"")</f>
        <v>Apprenant 887 ou 887'</v>
      </c>
      <c r="AW899" s="55" t="str">
        <f aca="false">IF(AND('Choix pédagogiques'!$C$4&lt;&gt;"?",'Choix pédagogiques'!$C$5&lt;&gt;"?",AB899&lt;&gt;""),(AB899-'Choix pédagogiques'!$C$4)/('Choix pédagogiques'!$C$5-'Choix pédagogiques'!$C$4),"")</f>
        <v/>
      </c>
      <c r="AX899" s="55" t="str">
        <f aca="false">IF(AND('Choix pédagogiques'!$C$4&lt;&gt;"?",'Choix pédagogiques'!$C$5&lt;&gt;"?",AC899&lt;&gt;""),(AC899-'Choix pédagogiques'!$C$4)/('Choix pédagogiques'!$C$5-'Choix pédagogiques'!$C$4),"")</f>
        <v/>
      </c>
      <c r="AY899" s="55" t="str">
        <f aca="false">IF(AND('Choix pédagogiques'!$C$4&lt;&gt;"?",'Choix pédagogiques'!$C$5&lt;&gt;"?",AD899&lt;&gt;""),(AD899-'Choix pédagogiques'!$C$4)/('Choix pédagogiques'!$C$5-'Choix pédagogiques'!$C$4),"")</f>
        <v/>
      </c>
      <c r="AZ899" s="53" t="str">
        <f aca="false">IF($J899&lt;&gt;"",$J899,"")</f>
        <v/>
      </c>
      <c r="BA899" s="52" t="str">
        <f aca="false">IF($A899&lt;&gt;"",$A899,"")</f>
        <v>Apprenant 887</v>
      </c>
      <c r="BB899" s="55" t="str">
        <f aca="false">IF(AND($AR899&lt;&gt;"",$AS899&lt;&gt;""),$AS899-$AR899,"")</f>
        <v/>
      </c>
      <c r="BC899" s="55" t="str">
        <f aca="false">IF(AND($AR899&lt;&gt;"",$AT899&lt;&gt;""),$AT899-$AR899,"")</f>
        <v/>
      </c>
      <c r="BD899" s="55" t="str">
        <f aca="false">IF(AND($AS899&lt;&gt;"",$AT899&lt;&gt;""),$AT899-$AS899,"")</f>
        <v/>
      </c>
      <c r="BE899" s="53" t="str">
        <f aca="false">IF($E899&lt;&gt;"",$E899,"")</f>
        <v/>
      </c>
      <c r="BF899" s="52" t="str">
        <f aca="false">IF($F899&lt;&gt;"",$F899,"")</f>
        <v>Apprenant 887 ou 887'</v>
      </c>
      <c r="BG899" s="55" t="str">
        <f aca="false">IF(AND($AW899&lt;&gt;"",$AX899&lt;&gt;""),$AX899-$AW899,"")</f>
        <v/>
      </c>
      <c r="BH899" s="55" t="str">
        <f aca="false">IF(AND($AW899&lt;&gt;"",$AY899&lt;&gt;""),$AY899-$AW899,"")</f>
        <v/>
      </c>
      <c r="BI899" s="55" t="str">
        <f aca="false">IF(AND($AX899&lt;&gt;"",$AY899&lt;&gt;""),$AY899-$AX899,"")</f>
        <v/>
      </c>
      <c r="BJ899" s="53" t="str">
        <f aca="false">IF($J899&lt;&gt;"",$J899,"")</f>
        <v/>
      </c>
      <c r="BL899" s="52"/>
      <c r="BM899" s="52" t="str">
        <f aca="false">IF(OR(COUNT(B899:D1898)=0,AND('Choix pédagogiques'!$C$3&lt;&gt;1,'Choix pédagogiques'!$C$3&lt;&gt;2)),"",IF(AND(OR('Choix pédagogiques'!$C$3=1,'Choix pédagogiques'!$C$3=2),$B899&lt;&gt;"",$C899&lt;&gt;"",$D899&lt;&gt;""),1,0))</f>
        <v/>
      </c>
      <c r="BN899" s="52" t="str">
        <f aca="false">IF(OR(COUNT(G899:I1898)=0,AND('Choix pédagogiques'!$C$3&lt;&gt;1,'Choix pédagogiques'!$C$3&lt;&gt;2)),"",IF(AND(OR('Choix pédagogiques'!$C$3=1,'Choix pédagogiques'!$C$3=2),AND($G899&lt;&gt;"",$H899&lt;&gt;"",$I899&lt;&gt;"")),1,0))</f>
        <v/>
      </c>
      <c r="BO899" s="52" t="str">
        <f aca="false">IF(OR(COUNT(B899:D1898)=0,COUNT(G899:I1898)=0,'Choix pédagogiques'!C$3&lt;&gt;3),"",IF(AND('Choix pédagogiques'!$C$3=3,$B899&lt;&gt;"",$C899&lt;&gt;"",$D899&lt;&gt;"",$G899&lt;&gt;"",$H899&lt;&gt;"",$I899&lt;&gt;""),1,0))</f>
        <v/>
      </c>
      <c r="BR899" s="52" t="n">
        <v>973</v>
      </c>
      <c r="BS899" s="52" t="n">
        <v>1302</v>
      </c>
    </row>
    <row r="900" s="54" customFormat="true" ht="18" hidden="false" customHeight="true" outlineLevel="0" collapsed="false">
      <c r="A900" s="57" t="s">
        <v>1731</v>
      </c>
      <c r="B900" s="51"/>
      <c r="C900" s="51"/>
      <c r="D900" s="51"/>
      <c r="E900" s="51"/>
      <c r="F900" s="57" t="s">
        <v>1732</v>
      </c>
      <c r="G900" s="51"/>
      <c r="H900" s="51"/>
      <c r="I900" s="51"/>
      <c r="J900" s="51"/>
      <c r="K900" s="52" t="str">
        <f aca="false">IF($A900&lt;&gt;"",$A900,"")</f>
        <v>Apprenant 888</v>
      </c>
      <c r="L900" s="53" t="str">
        <f aca="false">IF(AND($B900&lt;&gt;"",$C900&lt;&gt;""),$C900-$B900,"")</f>
        <v/>
      </c>
      <c r="M900" s="53" t="str">
        <f aca="false">IF(AND($B900&lt;&gt;"",$D900&lt;&gt;""),$D900-$B900,"")</f>
        <v/>
      </c>
      <c r="N900" s="53" t="str">
        <f aca="false">IF(AND($C900&lt;&gt;"",$D900&lt;&gt;""),$D900-$C900,"")</f>
        <v/>
      </c>
      <c r="O900" s="53" t="str">
        <f aca="false">IF($E900&lt;&gt;"",$E900,"")</f>
        <v/>
      </c>
      <c r="P900" s="52" t="str">
        <f aca="false">IF($F900&lt;&gt;"",$F900,"")</f>
        <v>Apprenant 888 ou 888'</v>
      </c>
      <c r="Q900" s="53" t="str">
        <f aca="false">IF(AND($G900&lt;&gt;"",$H900&lt;&gt;""),$H900-$G900,"")</f>
        <v/>
      </c>
      <c r="R900" s="53" t="str">
        <f aca="false">IF(AND($G900&lt;&gt;"",$I900&lt;&gt;""),$I900-$G900,"")</f>
        <v/>
      </c>
      <c r="S900" s="53" t="str">
        <f aca="false">IF(AND($H900&lt;&gt;"",$I900&lt;&gt;""),$I900-$H900,"")</f>
        <v/>
      </c>
      <c r="T900" s="53" t="str">
        <f aca="false">IF($J900&lt;&gt;"",$J900,"")</f>
        <v/>
      </c>
      <c r="V900" s="52" t="str">
        <f aca="false">IF($A900&lt;&gt;"",$A900,"")</f>
        <v>Apprenant 888</v>
      </c>
      <c r="W900" s="53" t="str">
        <f aca="false">IF(AND(OR('Choix pédagogiques'!$C$3=1,'Choix pédagogiques'!$C$3=2),$BM900=1),B900,IF(AND('Choix pédagogiques'!$C$3=3,$BO900=1),B900,""))</f>
        <v/>
      </c>
      <c r="X900" s="53" t="str">
        <f aca="false">IF(AND(OR('Choix pédagogiques'!$C$3=1,'Choix pédagogiques'!$C$3=2),$BM900=1),C900,IF(AND('Choix pédagogiques'!$C$3=3,$BO900=1),C900,""))</f>
        <v/>
      </c>
      <c r="Y900" s="53" t="str">
        <f aca="false">IF(AND(OR('Choix pédagogiques'!$C$3=1,'Choix pédagogiques'!$C$3=2),$BM900=1),D900,IF(AND('Choix pédagogiques'!$C$3=3,$BO900=1),D900,""))</f>
        <v/>
      </c>
      <c r="Z900" s="53" t="str">
        <f aca="false">IF($E900&lt;&gt;"",$E900,"")</f>
        <v/>
      </c>
      <c r="AA900" s="52" t="str">
        <f aca="false">IF($F900&lt;&gt;"",$F900,"")</f>
        <v>Apprenant 888 ou 888'</v>
      </c>
      <c r="AB900" s="53" t="str">
        <f aca="false">IF(AND(OR('Choix pédagogiques'!$C$3=1,'Choix pédagogiques'!$C$3=2),$BN900=1),G900,IF(AND('Choix pédagogiques'!$C$3=3,$BO900=1),G900,""))</f>
        <v/>
      </c>
      <c r="AC900" s="53" t="str">
        <f aca="false">IF(AND(OR('Choix pédagogiques'!$C$3=1,'Choix pédagogiques'!$C$3=2),$BN900=1),H900,IF(AND('Choix pédagogiques'!$C$3=3,$BO900=1),H900,""))</f>
        <v/>
      </c>
      <c r="AD900" s="53" t="str">
        <f aca="false">IF(AND(OR('Choix pédagogiques'!$C$3=1,'Choix pédagogiques'!$C$3=2),$BN900=1),I900,IF(AND('Choix pédagogiques'!$C$3=3,$BO900=1),I900,""))</f>
        <v/>
      </c>
      <c r="AE900" s="53" t="str">
        <f aca="false">IF($J900&lt;&gt;"",$J900,"")</f>
        <v/>
      </c>
      <c r="AF900" s="52" t="str">
        <f aca="false">IF($A900&lt;&gt;"",$A900,"")</f>
        <v>Apprenant 888</v>
      </c>
      <c r="AG900" s="53" t="str">
        <f aca="false">IF(AND($W900&lt;&gt;"",$X900&lt;&gt;""),$X900-$W900,"")</f>
        <v/>
      </c>
      <c r="AH900" s="53" t="str">
        <f aca="false">IF(AND($W900&lt;&gt;"",$Y900&lt;&gt;""),$Y900-$W900,"")</f>
        <v/>
      </c>
      <c r="AI900" s="53" t="str">
        <f aca="false">IF(AND($X900&lt;&gt;"",$Y900&lt;&gt;""),$Y900-$X900,"")</f>
        <v/>
      </c>
      <c r="AJ900" s="53" t="str">
        <f aca="false">IF($E900&lt;&gt;"",$E900,"")</f>
        <v/>
      </c>
      <c r="AK900" s="52" t="str">
        <f aca="false">IF($F900&lt;&gt;"",$F900,"")</f>
        <v>Apprenant 888 ou 888'</v>
      </c>
      <c r="AL900" s="53" t="str">
        <f aca="false">IF(AND($AB900&lt;&gt;"",$AC900&lt;&gt;""),$AC900-$AB900,"")</f>
        <v/>
      </c>
      <c r="AM900" s="53" t="str">
        <f aca="false">IF(AND($AB900&lt;&gt;"",$AD900&lt;&gt;""),$AD900-$AB900,"")</f>
        <v/>
      </c>
      <c r="AN900" s="53" t="str">
        <f aca="false">IF(AND($AC900&lt;&gt;"",$AD900&lt;&gt;""),$AD900-$AC900,"")</f>
        <v/>
      </c>
      <c r="AO900" s="53" t="str">
        <f aca="false">IF($J900&lt;&gt;"",$J900,"")</f>
        <v/>
      </c>
      <c r="AQ900" s="52" t="str">
        <f aca="false">IF($A900&lt;&gt;"",$A900,"")</f>
        <v>Apprenant 888</v>
      </c>
      <c r="AR900" s="55" t="str">
        <f aca="false">IF(AND('Choix pédagogiques'!$C$4&lt;&gt;"?",'Choix pédagogiques'!$C$5&lt;&gt;"?",W900&lt;&gt;""),(W900-'Choix pédagogiques'!$C$4)/('Choix pédagogiques'!$C$5-'Choix pédagogiques'!$C$4),"")</f>
        <v/>
      </c>
      <c r="AS900" s="55" t="str">
        <f aca="false">IF(AND('Choix pédagogiques'!$C$4&lt;&gt;"?",'Choix pédagogiques'!$C$5&lt;&gt;"?",X900&lt;&gt;""),(X900-'Choix pédagogiques'!$C$4)/('Choix pédagogiques'!$C$5-'Choix pédagogiques'!$C$4),"")</f>
        <v/>
      </c>
      <c r="AT900" s="55" t="str">
        <f aca="false">IF(AND('Choix pédagogiques'!$C$4&lt;&gt;"?",'Choix pédagogiques'!$C$5&lt;&gt;"?",Y900&lt;&gt;""),(Y900-'Choix pédagogiques'!$C$4)/('Choix pédagogiques'!$C$5-'Choix pédagogiques'!$C$4),"")</f>
        <v/>
      </c>
      <c r="AU900" s="53" t="str">
        <f aca="false">IF($E900&lt;&gt;"",$E900,"")</f>
        <v/>
      </c>
      <c r="AV900" s="52" t="str">
        <f aca="false">IF($F900&lt;&gt;"",$F900,"")</f>
        <v>Apprenant 888 ou 888'</v>
      </c>
      <c r="AW900" s="55" t="str">
        <f aca="false">IF(AND('Choix pédagogiques'!$C$4&lt;&gt;"?",'Choix pédagogiques'!$C$5&lt;&gt;"?",AB900&lt;&gt;""),(AB900-'Choix pédagogiques'!$C$4)/('Choix pédagogiques'!$C$5-'Choix pédagogiques'!$C$4),"")</f>
        <v/>
      </c>
      <c r="AX900" s="55" t="str">
        <f aca="false">IF(AND('Choix pédagogiques'!$C$4&lt;&gt;"?",'Choix pédagogiques'!$C$5&lt;&gt;"?",AC900&lt;&gt;""),(AC900-'Choix pédagogiques'!$C$4)/('Choix pédagogiques'!$C$5-'Choix pédagogiques'!$C$4),"")</f>
        <v/>
      </c>
      <c r="AY900" s="55" t="str">
        <f aca="false">IF(AND('Choix pédagogiques'!$C$4&lt;&gt;"?",'Choix pédagogiques'!$C$5&lt;&gt;"?",AD900&lt;&gt;""),(AD900-'Choix pédagogiques'!$C$4)/('Choix pédagogiques'!$C$5-'Choix pédagogiques'!$C$4),"")</f>
        <v/>
      </c>
      <c r="AZ900" s="53" t="str">
        <f aca="false">IF($J900&lt;&gt;"",$J900,"")</f>
        <v/>
      </c>
      <c r="BA900" s="52" t="str">
        <f aca="false">IF($A900&lt;&gt;"",$A900,"")</f>
        <v>Apprenant 888</v>
      </c>
      <c r="BB900" s="55" t="str">
        <f aca="false">IF(AND($AR900&lt;&gt;"",$AS900&lt;&gt;""),$AS900-$AR900,"")</f>
        <v/>
      </c>
      <c r="BC900" s="55" t="str">
        <f aca="false">IF(AND($AR900&lt;&gt;"",$AT900&lt;&gt;""),$AT900-$AR900,"")</f>
        <v/>
      </c>
      <c r="BD900" s="55" t="str">
        <f aca="false">IF(AND($AS900&lt;&gt;"",$AT900&lt;&gt;""),$AT900-$AS900,"")</f>
        <v/>
      </c>
      <c r="BE900" s="53" t="str">
        <f aca="false">IF($E900&lt;&gt;"",$E900,"")</f>
        <v/>
      </c>
      <c r="BF900" s="52" t="str">
        <f aca="false">IF($F900&lt;&gt;"",$F900,"")</f>
        <v>Apprenant 888 ou 888'</v>
      </c>
      <c r="BG900" s="55" t="str">
        <f aca="false">IF(AND($AW900&lt;&gt;"",$AX900&lt;&gt;""),$AX900-$AW900,"")</f>
        <v/>
      </c>
      <c r="BH900" s="55" t="str">
        <f aca="false">IF(AND($AW900&lt;&gt;"",$AY900&lt;&gt;""),$AY900-$AW900,"")</f>
        <v/>
      </c>
      <c r="BI900" s="55" t="str">
        <f aca="false">IF(AND($AX900&lt;&gt;"",$AY900&lt;&gt;""),$AY900-$AX900,"")</f>
        <v/>
      </c>
      <c r="BJ900" s="53" t="str">
        <f aca="false">IF($J900&lt;&gt;"",$J900,"")</f>
        <v/>
      </c>
      <c r="BL900" s="52"/>
      <c r="BM900" s="52" t="str">
        <f aca="false">IF(OR(COUNT(B900:D1899)=0,AND('Choix pédagogiques'!$C$3&lt;&gt;1,'Choix pédagogiques'!$C$3&lt;&gt;2)),"",IF(AND(OR('Choix pédagogiques'!$C$3=1,'Choix pédagogiques'!$C$3=2),$B900&lt;&gt;"",$C900&lt;&gt;"",$D900&lt;&gt;""),1,0))</f>
        <v/>
      </c>
      <c r="BN900" s="52" t="str">
        <f aca="false">IF(OR(COUNT(G900:I1899)=0,AND('Choix pédagogiques'!$C$3&lt;&gt;1,'Choix pédagogiques'!$C$3&lt;&gt;2)),"",IF(AND(OR('Choix pédagogiques'!$C$3=1,'Choix pédagogiques'!$C$3=2),AND($G900&lt;&gt;"",$H900&lt;&gt;"",$I900&lt;&gt;"")),1,0))</f>
        <v/>
      </c>
      <c r="BO900" s="52" t="str">
        <f aca="false">IF(OR(COUNT(B900:D1899)=0,COUNT(G900:I1899)=0,'Choix pédagogiques'!C$3&lt;&gt;3),"",IF(AND('Choix pédagogiques'!$C$3=3,$B900&lt;&gt;"",$C900&lt;&gt;"",$D900&lt;&gt;"",$G900&lt;&gt;"",$H900&lt;&gt;"",$I900&lt;&gt;""),1,0))</f>
        <v/>
      </c>
      <c r="BR900" s="52" t="n">
        <v>887</v>
      </c>
      <c r="BS900" s="52" t="n">
        <v>1164</v>
      </c>
    </row>
    <row r="901" s="54" customFormat="true" ht="18" hidden="false" customHeight="true" outlineLevel="0" collapsed="false">
      <c r="A901" s="57" t="s">
        <v>1733</v>
      </c>
      <c r="B901" s="51"/>
      <c r="C901" s="51"/>
      <c r="D901" s="51"/>
      <c r="E901" s="51"/>
      <c r="F901" s="57" t="s">
        <v>1734</v>
      </c>
      <c r="G901" s="51"/>
      <c r="H901" s="51"/>
      <c r="I901" s="51"/>
      <c r="J901" s="51"/>
      <c r="K901" s="52" t="str">
        <f aca="false">IF($A901&lt;&gt;"",$A901,"")</f>
        <v>Apprenant 889</v>
      </c>
      <c r="L901" s="53" t="str">
        <f aca="false">IF(AND($B901&lt;&gt;"",$C901&lt;&gt;""),$C901-$B901,"")</f>
        <v/>
      </c>
      <c r="M901" s="53" t="str">
        <f aca="false">IF(AND($B901&lt;&gt;"",$D901&lt;&gt;""),$D901-$B901,"")</f>
        <v/>
      </c>
      <c r="N901" s="53" t="str">
        <f aca="false">IF(AND($C901&lt;&gt;"",$D901&lt;&gt;""),$D901-$C901,"")</f>
        <v/>
      </c>
      <c r="O901" s="53" t="str">
        <f aca="false">IF($E901&lt;&gt;"",$E901,"")</f>
        <v/>
      </c>
      <c r="P901" s="52" t="str">
        <f aca="false">IF($F901&lt;&gt;"",$F901,"")</f>
        <v>Apprenant 889 ou 889'</v>
      </c>
      <c r="Q901" s="53" t="str">
        <f aca="false">IF(AND($G901&lt;&gt;"",$H901&lt;&gt;""),$H901-$G901,"")</f>
        <v/>
      </c>
      <c r="R901" s="53" t="str">
        <f aca="false">IF(AND($G901&lt;&gt;"",$I901&lt;&gt;""),$I901-$G901,"")</f>
        <v/>
      </c>
      <c r="S901" s="53" t="str">
        <f aca="false">IF(AND($H901&lt;&gt;"",$I901&lt;&gt;""),$I901-$H901,"")</f>
        <v/>
      </c>
      <c r="T901" s="53" t="str">
        <f aca="false">IF($J901&lt;&gt;"",$J901,"")</f>
        <v/>
      </c>
      <c r="V901" s="52" t="str">
        <f aca="false">IF($A901&lt;&gt;"",$A901,"")</f>
        <v>Apprenant 889</v>
      </c>
      <c r="W901" s="53" t="str">
        <f aca="false">IF(AND(OR('Choix pédagogiques'!$C$3=1,'Choix pédagogiques'!$C$3=2),$BM901=1),B901,IF(AND('Choix pédagogiques'!$C$3=3,$BO901=1),B901,""))</f>
        <v/>
      </c>
      <c r="X901" s="53" t="str">
        <f aca="false">IF(AND(OR('Choix pédagogiques'!$C$3=1,'Choix pédagogiques'!$C$3=2),$BM901=1),C901,IF(AND('Choix pédagogiques'!$C$3=3,$BO901=1),C901,""))</f>
        <v/>
      </c>
      <c r="Y901" s="53" t="str">
        <f aca="false">IF(AND(OR('Choix pédagogiques'!$C$3=1,'Choix pédagogiques'!$C$3=2),$BM901=1),D901,IF(AND('Choix pédagogiques'!$C$3=3,$BO901=1),D901,""))</f>
        <v/>
      </c>
      <c r="Z901" s="53" t="str">
        <f aca="false">IF($E901&lt;&gt;"",$E901,"")</f>
        <v/>
      </c>
      <c r="AA901" s="52" t="str">
        <f aca="false">IF($F901&lt;&gt;"",$F901,"")</f>
        <v>Apprenant 889 ou 889'</v>
      </c>
      <c r="AB901" s="53" t="str">
        <f aca="false">IF(AND(OR('Choix pédagogiques'!$C$3=1,'Choix pédagogiques'!$C$3=2),$BN901=1),G901,IF(AND('Choix pédagogiques'!$C$3=3,$BO901=1),G901,""))</f>
        <v/>
      </c>
      <c r="AC901" s="53" t="str">
        <f aca="false">IF(AND(OR('Choix pédagogiques'!$C$3=1,'Choix pédagogiques'!$C$3=2),$BN901=1),H901,IF(AND('Choix pédagogiques'!$C$3=3,$BO901=1),H901,""))</f>
        <v/>
      </c>
      <c r="AD901" s="53" t="str">
        <f aca="false">IF(AND(OR('Choix pédagogiques'!$C$3=1,'Choix pédagogiques'!$C$3=2),$BN901=1),I901,IF(AND('Choix pédagogiques'!$C$3=3,$BO901=1),I901,""))</f>
        <v/>
      </c>
      <c r="AE901" s="53" t="str">
        <f aca="false">IF($J901&lt;&gt;"",$J901,"")</f>
        <v/>
      </c>
      <c r="AF901" s="52" t="str">
        <f aca="false">IF($A901&lt;&gt;"",$A901,"")</f>
        <v>Apprenant 889</v>
      </c>
      <c r="AG901" s="53" t="str">
        <f aca="false">IF(AND($W901&lt;&gt;"",$X901&lt;&gt;""),$X901-$W901,"")</f>
        <v/>
      </c>
      <c r="AH901" s="53" t="str">
        <f aca="false">IF(AND($W901&lt;&gt;"",$Y901&lt;&gt;""),$Y901-$W901,"")</f>
        <v/>
      </c>
      <c r="AI901" s="53" t="str">
        <f aca="false">IF(AND($X901&lt;&gt;"",$Y901&lt;&gt;""),$Y901-$X901,"")</f>
        <v/>
      </c>
      <c r="AJ901" s="53" t="str">
        <f aca="false">IF($E901&lt;&gt;"",$E901,"")</f>
        <v/>
      </c>
      <c r="AK901" s="52" t="str">
        <f aca="false">IF($F901&lt;&gt;"",$F901,"")</f>
        <v>Apprenant 889 ou 889'</v>
      </c>
      <c r="AL901" s="53" t="str">
        <f aca="false">IF(AND($AB901&lt;&gt;"",$AC901&lt;&gt;""),$AC901-$AB901,"")</f>
        <v/>
      </c>
      <c r="AM901" s="53" t="str">
        <f aca="false">IF(AND($AB901&lt;&gt;"",$AD901&lt;&gt;""),$AD901-$AB901,"")</f>
        <v/>
      </c>
      <c r="AN901" s="53" t="str">
        <f aca="false">IF(AND($AC901&lt;&gt;"",$AD901&lt;&gt;""),$AD901-$AC901,"")</f>
        <v/>
      </c>
      <c r="AO901" s="53" t="str">
        <f aca="false">IF($J901&lt;&gt;"",$J901,"")</f>
        <v/>
      </c>
      <c r="AQ901" s="52" t="str">
        <f aca="false">IF($A901&lt;&gt;"",$A901,"")</f>
        <v>Apprenant 889</v>
      </c>
      <c r="AR901" s="55" t="str">
        <f aca="false">IF(AND('Choix pédagogiques'!$C$4&lt;&gt;"?",'Choix pédagogiques'!$C$5&lt;&gt;"?",W901&lt;&gt;""),(W901-'Choix pédagogiques'!$C$4)/('Choix pédagogiques'!$C$5-'Choix pédagogiques'!$C$4),"")</f>
        <v/>
      </c>
      <c r="AS901" s="55" t="str">
        <f aca="false">IF(AND('Choix pédagogiques'!$C$4&lt;&gt;"?",'Choix pédagogiques'!$C$5&lt;&gt;"?",X901&lt;&gt;""),(X901-'Choix pédagogiques'!$C$4)/('Choix pédagogiques'!$C$5-'Choix pédagogiques'!$C$4),"")</f>
        <v/>
      </c>
      <c r="AT901" s="55" t="str">
        <f aca="false">IF(AND('Choix pédagogiques'!$C$4&lt;&gt;"?",'Choix pédagogiques'!$C$5&lt;&gt;"?",Y901&lt;&gt;""),(Y901-'Choix pédagogiques'!$C$4)/('Choix pédagogiques'!$C$5-'Choix pédagogiques'!$C$4),"")</f>
        <v/>
      </c>
      <c r="AU901" s="53" t="str">
        <f aca="false">IF($E901&lt;&gt;"",$E901,"")</f>
        <v/>
      </c>
      <c r="AV901" s="52" t="str">
        <f aca="false">IF($F901&lt;&gt;"",$F901,"")</f>
        <v>Apprenant 889 ou 889'</v>
      </c>
      <c r="AW901" s="55" t="str">
        <f aca="false">IF(AND('Choix pédagogiques'!$C$4&lt;&gt;"?",'Choix pédagogiques'!$C$5&lt;&gt;"?",AB901&lt;&gt;""),(AB901-'Choix pédagogiques'!$C$4)/('Choix pédagogiques'!$C$5-'Choix pédagogiques'!$C$4),"")</f>
        <v/>
      </c>
      <c r="AX901" s="55" t="str">
        <f aca="false">IF(AND('Choix pédagogiques'!$C$4&lt;&gt;"?",'Choix pédagogiques'!$C$5&lt;&gt;"?",AC901&lt;&gt;""),(AC901-'Choix pédagogiques'!$C$4)/('Choix pédagogiques'!$C$5-'Choix pédagogiques'!$C$4),"")</f>
        <v/>
      </c>
      <c r="AY901" s="55" t="str">
        <f aca="false">IF(AND('Choix pédagogiques'!$C$4&lt;&gt;"?",'Choix pédagogiques'!$C$5&lt;&gt;"?",AD901&lt;&gt;""),(AD901-'Choix pédagogiques'!$C$4)/('Choix pédagogiques'!$C$5-'Choix pédagogiques'!$C$4),"")</f>
        <v/>
      </c>
      <c r="AZ901" s="53" t="str">
        <f aca="false">IF($J901&lt;&gt;"",$J901,"")</f>
        <v/>
      </c>
      <c r="BA901" s="52" t="str">
        <f aca="false">IF($A901&lt;&gt;"",$A901,"")</f>
        <v>Apprenant 889</v>
      </c>
      <c r="BB901" s="55" t="str">
        <f aca="false">IF(AND($AR901&lt;&gt;"",$AS901&lt;&gt;""),$AS901-$AR901,"")</f>
        <v/>
      </c>
      <c r="BC901" s="55" t="str">
        <f aca="false">IF(AND($AR901&lt;&gt;"",$AT901&lt;&gt;""),$AT901-$AR901,"")</f>
        <v/>
      </c>
      <c r="BD901" s="55" t="str">
        <f aca="false">IF(AND($AS901&lt;&gt;"",$AT901&lt;&gt;""),$AT901-$AS901,"")</f>
        <v/>
      </c>
      <c r="BE901" s="53" t="str">
        <f aca="false">IF($E901&lt;&gt;"",$E901,"")</f>
        <v/>
      </c>
      <c r="BF901" s="52" t="str">
        <f aca="false">IF($F901&lt;&gt;"",$F901,"")</f>
        <v>Apprenant 889 ou 889'</v>
      </c>
      <c r="BG901" s="55" t="str">
        <f aca="false">IF(AND($AW901&lt;&gt;"",$AX901&lt;&gt;""),$AX901-$AW901,"")</f>
        <v/>
      </c>
      <c r="BH901" s="55" t="str">
        <f aca="false">IF(AND($AW901&lt;&gt;"",$AY901&lt;&gt;""),$AY901-$AW901,"")</f>
        <v/>
      </c>
      <c r="BI901" s="55" t="str">
        <f aca="false">IF(AND($AX901&lt;&gt;"",$AY901&lt;&gt;""),$AY901-$AX901,"")</f>
        <v/>
      </c>
      <c r="BJ901" s="53" t="str">
        <f aca="false">IF($J901&lt;&gt;"",$J901,"")</f>
        <v/>
      </c>
      <c r="BL901" s="52"/>
      <c r="BM901" s="52" t="str">
        <f aca="false">IF(OR(COUNT(B901:D1900)=0,AND('Choix pédagogiques'!$C$3&lt;&gt;1,'Choix pédagogiques'!$C$3&lt;&gt;2)),"",IF(AND(OR('Choix pédagogiques'!$C$3=1,'Choix pédagogiques'!$C$3=2),$B901&lt;&gt;"",$C901&lt;&gt;"",$D901&lt;&gt;""),1,0))</f>
        <v/>
      </c>
      <c r="BN901" s="52" t="str">
        <f aca="false">IF(OR(COUNT(G901:I1900)=0,AND('Choix pédagogiques'!$C$3&lt;&gt;1,'Choix pédagogiques'!$C$3&lt;&gt;2)),"",IF(AND(OR('Choix pédagogiques'!$C$3=1,'Choix pédagogiques'!$C$3=2),AND($G901&lt;&gt;"",$H901&lt;&gt;"",$I901&lt;&gt;"")),1,0))</f>
        <v/>
      </c>
      <c r="BO901" s="52" t="str">
        <f aca="false">IF(OR(COUNT(B901:D1900)=0,COUNT(G901:I1900)=0,'Choix pédagogiques'!C$3&lt;&gt;3),"",IF(AND('Choix pédagogiques'!$C$3=3,$B901&lt;&gt;"",$C901&lt;&gt;"",$D901&lt;&gt;"",$G901&lt;&gt;"",$H901&lt;&gt;"",$I901&lt;&gt;""),1,0))</f>
        <v/>
      </c>
      <c r="BR901" s="52" t="n">
        <v>331</v>
      </c>
      <c r="BS901" s="52" t="n">
        <v>1336</v>
      </c>
    </row>
    <row r="902" s="54" customFormat="true" ht="18" hidden="false" customHeight="true" outlineLevel="0" collapsed="false">
      <c r="A902" s="57" t="s">
        <v>1735</v>
      </c>
      <c r="B902" s="51"/>
      <c r="C902" s="51"/>
      <c r="D902" s="51"/>
      <c r="E902" s="51"/>
      <c r="F902" s="57" t="s">
        <v>1736</v>
      </c>
      <c r="G902" s="51"/>
      <c r="H902" s="51"/>
      <c r="I902" s="51"/>
      <c r="J902" s="51"/>
      <c r="K902" s="52" t="str">
        <f aca="false">IF($A902&lt;&gt;"",$A902,"")</f>
        <v>Apprenant 890</v>
      </c>
      <c r="L902" s="53" t="str">
        <f aca="false">IF(AND($B902&lt;&gt;"",$C902&lt;&gt;""),$C902-$B902,"")</f>
        <v/>
      </c>
      <c r="M902" s="53" t="str">
        <f aca="false">IF(AND($B902&lt;&gt;"",$D902&lt;&gt;""),$D902-$B902,"")</f>
        <v/>
      </c>
      <c r="N902" s="53" t="str">
        <f aca="false">IF(AND($C902&lt;&gt;"",$D902&lt;&gt;""),$D902-$C902,"")</f>
        <v/>
      </c>
      <c r="O902" s="53" t="str">
        <f aca="false">IF($E902&lt;&gt;"",$E902,"")</f>
        <v/>
      </c>
      <c r="P902" s="52" t="str">
        <f aca="false">IF($F902&lt;&gt;"",$F902,"")</f>
        <v>Apprenant 890 ou 890'</v>
      </c>
      <c r="Q902" s="53" t="str">
        <f aca="false">IF(AND($G902&lt;&gt;"",$H902&lt;&gt;""),$H902-$G902,"")</f>
        <v/>
      </c>
      <c r="R902" s="53" t="str">
        <f aca="false">IF(AND($G902&lt;&gt;"",$I902&lt;&gt;""),$I902-$G902,"")</f>
        <v/>
      </c>
      <c r="S902" s="53" t="str">
        <f aca="false">IF(AND($H902&lt;&gt;"",$I902&lt;&gt;""),$I902-$H902,"")</f>
        <v/>
      </c>
      <c r="T902" s="53" t="str">
        <f aca="false">IF($J902&lt;&gt;"",$J902,"")</f>
        <v/>
      </c>
      <c r="V902" s="52" t="str">
        <f aca="false">IF($A902&lt;&gt;"",$A902,"")</f>
        <v>Apprenant 890</v>
      </c>
      <c r="W902" s="53" t="str">
        <f aca="false">IF(AND(OR('Choix pédagogiques'!$C$3=1,'Choix pédagogiques'!$C$3=2),$BM902=1),B902,IF(AND('Choix pédagogiques'!$C$3=3,$BO902=1),B902,""))</f>
        <v/>
      </c>
      <c r="X902" s="53" t="str">
        <f aca="false">IF(AND(OR('Choix pédagogiques'!$C$3=1,'Choix pédagogiques'!$C$3=2),$BM902=1),C902,IF(AND('Choix pédagogiques'!$C$3=3,$BO902=1),C902,""))</f>
        <v/>
      </c>
      <c r="Y902" s="53" t="str">
        <f aca="false">IF(AND(OR('Choix pédagogiques'!$C$3=1,'Choix pédagogiques'!$C$3=2),$BM902=1),D902,IF(AND('Choix pédagogiques'!$C$3=3,$BO902=1),D902,""))</f>
        <v/>
      </c>
      <c r="Z902" s="53" t="str">
        <f aca="false">IF($E902&lt;&gt;"",$E902,"")</f>
        <v/>
      </c>
      <c r="AA902" s="52" t="str">
        <f aca="false">IF($F902&lt;&gt;"",$F902,"")</f>
        <v>Apprenant 890 ou 890'</v>
      </c>
      <c r="AB902" s="53" t="str">
        <f aca="false">IF(AND(OR('Choix pédagogiques'!$C$3=1,'Choix pédagogiques'!$C$3=2),$BN902=1),G902,IF(AND('Choix pédagogiques'!$C$3=3,$BO902=1),G902,""))</f>
        <v/>
      </c>
      <c r="AC902" s="53" t="str">
        <f aca="false">IF(AND(OR('Choix pédagogiques'!$C$3=1,'Choix pédagogiques'!$C$3=2),$BN902=1),H902,IF(AND('Choix pédagogiques'!$C$3=3,$BO902=1),H902,""))</f>
        <v/>
      </c>
      <c r="AD902" s="53" t="str">
        <f aca="false">IF(AND(OR('Choix pédagogiques'!$C$3=1,'Choix pédagogiques'!$C$3=2),$BN902=1),I902,IF(AND('Choix pédagogiques'!$C$3=3,$BO902=1),I902,""))</f>
        <v/>
      </c>
      <c r="AE902" s="53" t="str">
        <f aca="false">IF($J902&lt;&gt;"",$J902,"")</f>
        <v/>
      </c>
      <c r="AF902" s="52" t="str">
        <f aca="false">IF($A902&lt;&gt;"",$A902,"")</f>
        <v>Apprenant 890</v>
      </c>
      <c r="AG902" s="53" t="str">
        <f aca="false">IF(AND($W902&lt;&gt;"",$X902&lt;&gt;""),$X902-$W902,"")</f>
        <v/>
      </c>
      <c r="AH902" s="53" t="str">
        <f aca="false">IF(AND($W902&lt;&gt;"",$Y902&lt;&gt;""),$Y902-$W902,"")</f>
        <v/>
      </c>
      <c r="AI902" s="53" t="str">
        <f aca="false">IF(AND($X902&lt;&gt;"",$Y902&lt;&gt;""),$Y902-$X902,"")</f>
        <v/>
      </c>
      <c r="AJ902" s="53" t="str">
        <f aca="false">IF($E902&lt;&gt;"",$E902,"")</f>
        <v/>
      </c>
      <c r="AK902" s="52" t="str">
        <f aca="false">IF($F902&lt;&gt;"",$F902,"")</f>
        <v>Apprenant 890 ou 890'</v>
      </c>
      <c r="AL902" s="53" t="str">
        <f aca="false">IF(AND($AB902&lt;&gt;"",$AC902&lt;&gt;""),$AC902-$AB902,"")</f>
        <v/>
      </c>
      <c r="AM902" s="53" t="str">
        <f aca="false">IF(AND($AB902&lt;&gt;"",$AD902&lt;&gt;""),$AD902-$AB902,"")</f>
        <v/>
      </c>
      <c r="AN902" s="53" t="str">
        <f aca="false">IF(AND($AC902&lt;&gt;"",$AD902&lt;&gt;""),$AD902-$AC902,"")</f>
        <v/>
      </c>
      <c r="AO902" s="53" t="str">
        <f aca="false">IF($J902&lt;&gt;"",$J902,"")</f>
        <v/>
      </c>
      <c r="AQ902" s="52" t="str">
        <f aca="false">IF($A902&lt;&gt;"",$A902,"")</f>
        <v>Apprenant 890</v>
      </c>
      <c r="AR902" s="55" t="str">
        <f aca="false">IF(AND('Choix pédagogiques'!$C$4&lt;&gt;"?",'Choix pédagogiques'!$C$5&lt;&gt;"?",W902&lt;&gt;""),(W902-'Choix pédagogiques'!$C$4)/('Choix pédagogiques'!$C$5-'Choix pédagogiques'!$C$4),"")</f>
        <v/>
      </c>
      <c r="AS902" s="55" t="str">
        <f aca="false">IF(AND('Choix pédagogiques'!$C$4&lt;&gt;"?",'Choix pédagogiques'!$C$5&lt;&gt;"?",X902&lt;&gt;""),(X902-'Choix pédagogiques'!$C$4)/('Choix pédagogiques'!$C$5-'Choix pédagogiques'!$C$4),"")</f>
        <v/>
      </c>
      <c r="AT902" s="55" t="str">
        <f aca="false">IF(AND('Choix pédagogiques'!$C$4&lt;&gt;"?",'Choix pédagogiques'!$C$5&lt;&gt;"?",Y902&lt;&gt;""),(Y902-'Choix pédagogiques'!$C$4)/('Choix pédagogiques'!$C$5-'Choix pédagogiques'!$C$4),"")</f>
        <v/>
      </c>
      <c r="AU902" s="53" t="str">
        <f aca="false">IF($E902&lt;&gt;"",$E902,"")</f>
        <v/>
      </c>
      <c r="AV902" s="52" t="str">
        <f aca="false">IF($F902&lt;&gt;"",$F902,"")</f>
        <v>Apprenant 890 ou 890'</v>
      </c>
      <c r="AW902" s="55" t="str">
        <f aca="false">IF(AND('Choix pédagogiques'!$C$4&lt;&gt;"?",'Choix pédagogiques'!$C$5&lt;&gt;"?",AB902&lt;&gt;""),(AB902-'Choix pédagogiques'!$C$4)/('Choix pédagogiques'!$C$5-'Choix pédagogiques'!$C$4),"")</f>
        <v/>
      </c>
      <c r="AX902" s="55" t="str">
        <f aca="false">IF(AND('Choix pédagogiques'!$C$4&lt;&gt;"?",'Choix pédagogiques'!$C$5&lt;&gt;"?",AC902&lt;&gt;""),(AC902-'Choix pédagogiques'!$C$4)/('Choix pédagogiques'!$C$5-'Choix pédagogiques'!$C$4),"")</f>
        <v/>
      </c>
      <c r="AY902" s="55" t="str">
        <f aca="false">IF(AND('Choix pédagogiques'!$C$4&lt;&gt;"?",'Choix pédagogiques'!$C$5&lt;&gt;"?",AD902&lt;&gt;""),(AD902-'Choix pédagogiques'!$C$4)/('Choix pédagogiques'!$C$5-'Choix pédagogiques'!$C$4),"")</f>
        <v/>
      </c>
      <c r="AZ902" s="53" t="str">
        <f aca="false">IF($J902&lt;&gt;"",$J902,"")</f>
        <v/>
      </c>
      <c r="BA902" s="52" t="str">
        <f aca="false">IF($A902&lt;&gt;"",$A902,"")</f>
        <v>Apprenant 890</v>
      </c>
      <c r="BB902" s="55" t="str">
        <f aca="false">IF(AND($AR902&lt;&gt;"",$AS902&lt;&gt;""),$AS902-$AR902,"")</f>
        <v/>
      </c>
      <c r="BC902" s="55" t="str">
        <f aca="false">IF(AND($AR902&lt;&gt;"",$AT902&lt;&gt;""),$AT902-$AR902,"")</f>
        <v/>
      </c>
      <c r="BD902" s="55" t="str">
        <f aca="false">IF(AND($AS902&lt;&gt;"",$AT902&lt;&gt;""),$AT902-$AS902,"")</f>
        <v/>
      </c>
      <c r="BE902" s="53" t="str">
        <f aca="false">IF($E902&lt;&gt;"",$E902,"")</f>
        <v/>
      </c>
      <c r="BF902" s="52" t="str">
        <f aca="false">IF($F902&lt;&gt;"",$F902,"")</f>
        <v>Apprenant 890 ou 890'</v>
      </c>
      <c r="BG902" s="55" t="str">
        <f aca="false">IF(AND($AW902&lt;&gt;"",$AX902&lt;&gt;""),$AX902-$AW902,"")</f>
        <v/>
      </c>
      <c r="BH902" s="55" t="str">
        <f aca="false">IF(AND($AW902&lt;&gt;"",$AY902&lt;&gt;""),$AY902-$AW902,"")</f>
        <v/>
      </c>
      <c r="BI902" s="55" t="str">
        <f aca="false">IF(AND($AX902&lt;&gt;"",$AY902&lt;&gt;""),$AY902-$AX902,"")</f>
        <v/>
      </c>
      <c r="BJ902" s="53" t="str">
        <f aca="false">IF($J902&lt;&gt;"",$J902,"")</f>
        <v/>
      </c>
      <c r="BL902" s="52"/>
      <c r="BM902" s="52" t="str">
        <f aca="false">IF(OR(COUNT(B902:D1901)=0,AND('Choix pédagogiques'!$C$3&lt;&gt;1,'Choix pédagogiques'!$C$3&lt;&gt;2)),"",IF(AND(OR('Choix pédagogiques'!$C$3=1,'Choix pédagogiques'!$C$3=2),$B902&lt;&gt;"",$C902&lt;&gt;"",$D902&lt;&gt;""),1,0))</f>
        <v/>
      </c>
      <c r="BN902" s="52" t="str">
        <f aca="false">IF(OR(COUNT(G902:I1901)=0,AND('Choix pédagogiques'!$C$3&lt;&gt;1,'Choix pédagogiques'!$C$3&lt;&gt;2)),"",IF(AND(OR('Choix pédagogiques'!$C$3=1,'Choix pédagogiques'!$C$3=2),AND($G902&lt;&gt;"",$H902&lt;&gt;"",$I902&lt;&gt;"")),1,0))</f>
        <v/>
      </c>
      <c r="BO902" s="52" t="str">
        <f aca="false">IF(OR(COUNT(B902:D1901)=0,COUNT(G902:I1901)=0,'Choix pédagogiques'!C$3&lt;&gt;3),"",IF(AND('Choix pédagogiques'!$C$3=3,$B902&lt;&gt;"",$C902&lt;&gt;"",$D902&lt;&gt;"",$G902&lt;&gt;"",$H902&lt;&gt;"",$I902&lt;&gt;""),1,0))</f>
        <v/>
      </c>
      <c r="BR902" s="52" t="n">
        <v>158</v>
      </c>
      <c r="BS902" s="52" t="n">
        <v>1656</v>
      </c>
    </row>
    <row r="903" s="54" customFormat="true" ht="18" hidden="false" customHeight="true" outlineLevel="0" collapsed="false">
      <c r="A903" s="57" t="s">
        <v>1737</v>
      </c>
      <c r="B903" s="51"/>
      <c r="C903" s="51"/>
      <c r="D903" s="51"/>
      <c r="E903" s="51"/>
      <c r="F903" s="57" t="s">
        <v>1738</v>
      </c>
      <c r="G903" s="51"/>
      <c r="H903" s="51"/>
      <c r="I903" s="51"/>
      <c r="J903" s="51"/>
      <c r="K903" s="52" t="str">
        <f aca="false">IF($A903&lt;&gt;"",$A903,"")</f>
        <v>Apprenant 891</v>
      </c>
      <c r="L903" s="53" t="str">
        <f aca="false">IF(AND($B903&lt;&gt;"",$C903&lt;&gt;""),$C903-$B903,"")</f>
        <v/>
      </c>
      <c r="M903" s="53" t="str">
        <f aca="false">IF(AND($B903&lt;&gt;"",$D903&lt;&gt;""),$D903-$B903,"")</f>
        <v/>
      </c>
      <c r="N903" s="53" t="str">
        <f aca="false">IF(AND($C903&lt;&gt;"",$D903&lt;&gt;""),$D903-$C903,"")</f>
        <v/>
      </c>
      <c r="O903" s="53" t="str">
        <f aca="false">IF($E903&lt;&gt;"",$E903,"")</f>
        <v/>
      </c>
      <c r="P903" s="52" t="str">
        <f aca="false">IF($F903&lt;&gt;"",$F903,"")</f>
        <v>Apprenant 891 ou 891'</v>
      </c>
      <c r="Q903" s="53" t="str">
        <f aca="false">IF(AND($G903&lt;&gt;"",$H903&lt;&gt;""),$H903-$G903,"")</f>
        <v/>
      </c>
      <c r="R903" s="53" t="str">
        <f aca="false">IF(AND($G903&lt;&gt;"",$I903&lt;&gt;""),$I903-$G903,"")</f>
        <v/>
      </c>
      <c r="S903" s="53" t="str">
        <f aca="false">IF(AND($H903&lt;&gt;"",$I903&lt;&gt;""),$I903-$H903,"")</f>
        <v/>
      </c>
      <c r="T903" s="53" t="str">
        <f aca="false">IF($J903&lt;&gt;"",$J903,"")</f>
        <v/>
      </c>
      <c r="V903" s="52" t="str">
        <f aca="false">IF($A903&lt;&gt;"",$A903,"")</f>
        <v>Apprenant 891</v>
      </c>
      <c r="W903" s="53" t="str">
        <f aca="false">IF(AND(OR('Choix pédagogiques'!$C$3=1,'Choix pédagogiques'!$C$3=2),$BM903=1),B903,IF(AND('Choix pédagogiques'!$C$3=3,$BO903=1),B903,""))</f>
        <v/>
      </c>
      <c r="X903" s="53" t="str">
        <f aca="false">IF(AND(OR('Choix pédagogiques'!$C$3=1,'Choix pédagogiques'!$C$3=2),$BM903=1),C903,IF(AND('Choix pédagogiques'!$C$3=3,$BO903=1),C903,""))</f>
        <v/>
      </c>
      <c r="Y903" s="53" t="str">
        <f aca="false">IF(AND(OR('Choix pédagogiques'!$C$3=1,'Choix pédagogiques'!$C$3=2),$BM903=1),D903,IF(AND('Choix pédagogiques'!$C$3=3,$BO903=1),D903,""))</f>
        <v/>
      </c>
      <c r="Z903" s="53" t="str">
        <f aca="false">IF($E903&lt;&gt;"",$E903,"")</f>
        <v/>
      </c>
      <c r="AA903" s="52" t="str">
        <f aca="false">IF($F903&lt;&gt;"",$F903,"")</f>
        <v>Apprenant 891 ou 891'</v>
      </c>
      <c r="AB903" s="53" t="str">
        <f aca="false">IF(AND(OR('Choix pédagogiques'!$C$3=1,'Choix pédagogiques'!$C$3=2),$BN903=1),G903,IF(AND('Choix pédagogiques'!$C$3=3,$BO903=1),G903,""))</f>
        <v/>
      </c>
      <c r="AC903" s="53" t="str">
        <f aca="false">IF(AND(OR('Choix pédagogiques'!$C$3=1,'Choix pédagogiques'!$C$3=2),$BN903=1),H903,IF(AND('Choix pédagogiques'!$C$3=3,$BO903=1),H903,""))</f>
        <v/>
      </c>
      <c r="AD903" s="53" t="str">
        <f aca="false">IF(AND(OR('Choix pédagogiques'!$C$3=1,'Choix pédagogiques'!$C$3=2),$BN903=1),I903,IF(AND('Choix pédagogiques'!$C$3=3,$BO903=1),I903,""))</f>
        <v/>
      </c>
      <c r="AE903" s="53" t="str">
        <f aca="false">IF($J903&lt;&gt;"",$J903,"")</f>
        <v/>
      </c>
      <c r="AF903" s="52" t="str">
        <f aca="false">IF($A903&lt;&gt;"",$A903,"")</f>
        <v>Apprenant 891</v>
      </c>
      <c r="AG903" s="53" t="str">
        <f aca="false">IF(AND($W903&lt;&gt;"",$X903&lt;&gt;""),$X903-$W903,"")</f>
        <v/>
      </c>
      <c r="AH903" s="53" t="str">
        <f aca="false">IF(AND($W903&lt;&gt;"",$Y903&lt;&gt;""),$Y903-$W903,"")</f>
        <v/>
      </c>
      <c r="AI903" s="53" t="str">
        <f aca="false">IF(AND($X903&lt;&gt;"",$Y903&lt;&gt;""),$Y903-$X903,"")</f>
        <v/>
      </c>
      <c r="AJ903" s="53" t="str">
        <f aca="false">IF($E903&lt;&gt;"",$E903,"")</f>
        <v/>
      </c>
      <c r="AK903" s="52" t="str">
        <f aca="false">IF($F903&lt;&gt;"",$F903,"")</f>
        <v>Apprenant 891 ou 891'</v>
      </c>
      <c r="AL903" s="53" t="str">
        <f aca="false">IF(AND($AB903&lt;&gt;"",$AC903&lt;&gt;""),$AC903-$AB903,"")</f>
        <v/>
      </c>
      <c r="AM903" s="53" t="str">
        <f aca="false">IF(AND($AB903&lt;&gt;"",$AD903&lt;&gt;""),$AD903-$AB903,"")</f>
        <v/>
      </c>
      <c r="AN903" s="53" t="str">
        <f aca="false">IF(AND($AC903&lt;&gt;"",$AD903&lt;&gt;""),$AD903-$AC903,"")</f>
        <v/>
      </c>
      <c r="AO903" s="53" t="str">
        <f aca="false">IF($J903&lt;&gt;"",$J903,"")</f>
        <v/>
      </c>
      <c r="AQ903" s="52" t="str">
        <f aca="false">IF($A903&lt;&gt;"",$A903,"")</f>
        <v>Apprenant 891</v>
      </c>
      <c r="AR903" s="55" t="str">
        <f aca="false">IF(AND('Choix pédagogiques'!$C$4&lt;&gt;"?",'Choix pédagogiques'!$C$5&lt;&gt;"?",W903&lt;&gt;""),(W903-'Choix pédagogiques'!$C$4)/('Choix pédagogiques'!$C$5-'Choix pédagogiques'!$C$4),"")</f>
        <v/>
      </c>
      <c r="AS903" s="55" t="str">
        <f aca="false">IF(AND('Choix pédagogiques'!$C$4&lt;&gt;"?",'Choix pédagogiques'!$C$5&lt;&gt;"?",X903&lt;&gt;""),(X903-'Choix pédagogiques'!$C$4)/('Choix pédagogiques'!$C$5-'Choix pédagogiques'!$C$4),"")</f>
        <v/>
      </c>
      <c r="AT903" s="55" t="str">
        <f aca="false">IF(AND('Choix pédagogiques'!$C$4&lt;&gt;"?",'Choix pédagogiques'!$C$5&lt;&gt;"?",Y903&lt;&gt;""),(Y903-'Choix pédagogiques'!$C$4)/('Choix pédagogiques'!$C$5-'Choix pédagogiques'!$C$4),"")</f>
        <v/>
      </c>
      <c r="AU903" s="53" t="str">
        <f aca="false">IF($E903&lt;&gt;"",$E903,"")</f>
        <v/>
      </c>
      <c r="AV903" s="52" t="str">
        <f aca="false">IF($F903&lt;&gt;"",$F903,"")</f>
        <v>Apprenant 891 ou 891'</v>
      </c>
      <c r="AW903" s="55" t="str">
        <f aca="false">IF(AND('Choix pédagogiques'!$C$4&lt;&gt;"?",'Choix pédagogiques'!$C$5&lt;&gt;"?",AB903&lt;&gt;""),(AB903-'Choix pédagogiques'!$C$4)/('Choix pédagogiques'!$C$5-'Choix pédagogiques'!$C$4),"")</f>
        <v/>
      </c>
      <c r="AX903" s="55" t="str">
        <f aca="false">IF(AND('Choix pédagogiques'!$C$4&lt;&gt;"?",'Choix pédagogiques'!$C$5&lt;&gt;"?",AC903&lt;&gt;""),(AC903-'Choix pédagogiques'!$C$4)/('Choix pédagogiques'!$C$5-'Choix pédagogiques'!$C$4),"")</f>
        <v/>
      </c>
      <c r="AY903" s="55" t="str">
        <f aca="false">IF(AND('Choix pédagogiques'!$C$4&lt;&gt;"?",'Choix pédagogiques'!$C$5&lt;&gt;"?",AD903&lt;&gt;""),(AD903-'Choix pédagogiques'!$C$4)/('Choix pédagogiques'!$C$5-'Choix pédagogiques'!$C$4),"")</f>
        <v/>
      </c>
      <c r="AZ903" s="53" t="str">
        <f aca="false">IF($J903&lt;&gt;"",$J903,"")</f>
        <v/>
      </c>
      <c r="BA903" s="52" t="str">
        <f aca="false">IF($A903&lt;&gt;"",$A903,"")</f>
        <v>Apprenant 891</v>
      </c>
      <c r="BB903" s="55" t="str">
        <f aca="false">IF(AND($AR903&lt;&gt;"",$AS903&lt;&gt;""),$AS903-$AR903,"")</f>
        <v/>
      </c>
      <c r="BC903" s="55" t="str">
        <f aca="false">IF(AND($AR903&lt;&gt;"",$AT903&lt;&gt;""),$AT903-$AR903,"")</f>
        <v/>
      </c>
      <c r="BD903" s="55" t="str">
        <f aca="false">IF(AND($AS903&lt;&gt;"",$AT903&lt;&gt;""),$AT903-$AS903,"")</f>
        <v/>
      </c>
      <c r="BE903" s="53" t="str">
        <f aca="false">IF($E903&lt;&gt;"",$E903,"")</f>
        <v/>
      </c>
      <c r="BF903" s="52" t="str">
        <f aca="false">IF($F903&lt;&gt;"",$F903,"")</f>
        <v>Apprenant 891 ou 891'</v>
      </c>
      <c r="BG903" s="55" t="str">
        <f aca="false">IF(AND($AW903&lt;&gt;"",$AX903&lt;&gt;""),$AX903-$AW903,"")</f>
        <v/>
      </c>
      <c r="BH903" s="55" t="str">
        <f aca="false">IF(AND($AW903&lt;&gt;"",$AY903&lt;&gt;""),$AY903-$AW903,"")</f>
        <v/>
      </c>
      <c r="BI903" s="55" t="str">
        <f aca="false">IF(AND($AX903&lt;&gt;"",$AY903&lt;&gt;""),$AY903-$AX903,"")</f>
        <v/>
      </c>
      <c r="BJ903" s="53" t="str">
        <f aca="false">IF($J903&lt;&gt;"",$J903,"")</f>
        <v/>
      </c>
      <c r="BL903" s="52"/>
      <c r="BM903" s="52" t="str">
        <f aca="false">IF(OR(COUNT(B903:D1902)=0,AND('Choix pédagogiques'!$C$3&lt;&gt;1,'Choix pédagogiques'!$C$3&lt;&gt;2)),"",IF(AND(OR('Choix pédagogiques'!$C$3=1,'Choix pédagogiques'!$C$3=2),$B903&lt;&gt;"",$C903&lt;&gt;"",$D903&lt;&gt;""),1,0))</f>
        <v/>
      </c>
      <c r="BN903" s="52" t="str">
        <f aca="false">IF(OR(COUNT(G903:I1902)=0,AND('Choix pédagogiques'!$C$3&lt;&gt;1,'Choix pédagogiques'!$C$3&lt;&gt;2)),"",IF(AND(OR('Choix pédagogiques'!$C$3=1,'Choix pédagogiques'!$C$3=2),AND($G903&lt;&gt;"",$H903&lt;&gt;"",$I903&lt;&gt;"")),1,0))</f>
        <v/>
      </c>
      <c r="BO903" s="52" t="str">
        <f aca="false">IF(OR(COUNT(B903:D1902)=0,COUNT(G903:I1902)=0,'Choix pédagogiques'!C$3&lt;&gt;3),"",IF(AND('Choix pédagogiques'!$C$3=3,$B903&lt;&gt;"",$C903&lt;&gt;"",$D903&lt;&gt;"",$G903&lt;&gt;"",$H903&lt;&gt;"",$I903&lt;&gt;""),1,0))</f>
        <v/>
      </c>
      <c r="BR903" s="52" t="n">
        <v>417</v>
      </c>
      <c r="BS903" s="52" t="n">
        <v>1003</v>
      </c>
    </row>
    <row r="904" s="54" customFormat="true" ht="18" hidden="false" customHeight="true" outlineLevel="0" collapsed="false">
      <c r="A904" s="57" t="s">
        <v>1739</v>
      </c>
      <c r="B904" s="51"/>
      <c r="C904" s="51"/>
      <c r="D904" s="51"/>
      <c r="E904" s="51"/>
      <c r="F904" s="57" t="s">
        <v>1740</v>
      </c>
      <c r="G904" s="51"/>
      <c r="H904" s="51"/>
      <c r="I904" s="51"/>
      <c r="J904" s="51"/>
      <c r="K904" s="52" t="str">
        <f aca="false">IF($A904&lt;&gt;"",$A904,"")</f>
        <v>Apprenant 892</v>
      </c>
      <c r="L904" s="53" t="str">
        <f aca="false">IF(AND($B904&lt;&gt;"",$C904&lt;&gt;""),$C904-$B904,"")</f>
        <v/>
      </c>
      <c r="M904" s="53" t="str">
        <f aca="false">IF(AND($B904&lt;&gt;"",$D904&lt;&gt;""),$D904-$B904,"")</f>
        <v/>
      </c>
      <c r="N904" s="53" t="str">
        <f aca="false">IF(AND($C904&lt;&gt;"",$D904&lt;&gt;""),$D904-$C904,"")</f>
        <v/>
      </c>
      <c r="O904" s="53" t="str">
        <f aca="false">IF($E904&lt;&gt;"",$E904,"")</f>
        <v/>
      </c>
      <c r="P904" s="52" t="str">
        <f aca="false">IF($F904&lt;&gt;"",$F904,"")</f>
        <v>Apprenant 892 ou 892'</v>
      </c>
      <c r="Q904" s="53" t="str">
        <f aca="false">IF(AND($G904&lt;&gt;"",$H904&lt;&gt;""),$H904-$G904,"")</f>
        <v/>
      </c>
      <c r="R904" s="53" t="str">
        <f aca="false">IF(AND($G904&lt;&gt;"",$I904&lt;&gt;""),$I904-$G904,"")</f>
        <v/>
      </c>
      <c r="S904" s="53" t="str">
        <f aca="false">IF(AND($H904&lt;&gt;"",$I904&lt;&gt;""),$I904-$H904,"")</f>
        <v/>
      </c>
      <c r="T904" s="53" t="str">
        <f aca="false">IF($J904&lt;&gt;"",$J904,"")</f>
        <v/>
      </c>
      <c r="V904" s="52" t="str">
        <f aca="false">IF($A904&lt;&gt;"",$A904,"")</f>
        <v>Apprenant 892</v>
      </c>
      <c r="W904" s="53" t="str">
        <f aca="false">IF(AND(OR('Choix pédagogiques'!$C$3=1,'Choix pédagogiques'!$C$3=2),$BM904=1),B904,IF(AND('Choix pédagogiques'!$C$3=3,$BO904=1),B904,""))</f>
        <v/>
      </c>
      <c r="X904" s="53" t="str">
        <f aca="false">IF(AND(OR('Choix pédagogiques'!$C$3=1,'Choix pédagogiques'!$C$3=2),$BM904=1),C904,IF(AND('Choix pédagogiques'!$C$3=3,$BO904=1),C904,""))</f>
        <v/>
      </c>
      <c r="Y904" s="53" t="str">
        <f aca="false">IF(AND(OR('Choix pédagogiques'!$C$3=1,'Choix pédagogiques'!$C$3=2),$BM904=1),D904,IF(AND('Choix pédagogiques'!$C$3=3,$BO904=1),D904,""))</f>
        <v/>
      </c>
      <c r="Z904" s="53" t="str">
        <f aca="false">IF($E904&lt;&gt;"",$E904,"")</f>
        <v/>
      </c>
      <c r="AA904" s="52" t="str">
        <f aca="false">IF($F904&lt;&gt;"",$F904,"")</f>
        <v>Apprenant 892 ou 892'</v>
      </c>
      <c r="AB904" s="53" t="str">
        <f aca="false">IF(AND(OR('Choix pédagogiques'!$C$3=1,'Choix pédagogiques'!$C$3=2),$BN904=1),G904,IF(AND('Choix pédagogiques'!$C$3=3,$BO904=1),G904,""))</f>
        <v/>
      </c>
      <c r="AC904" s="53" t="str">
        <f aca="false">IF(AND(OR('Choix pédagogiques'!$C$3=1,'Choix pédagogiques'!$C$3=2),$BN904=1),H904,IF(AND('Choix pédagogiques'!$C$3=3,$BO904=1),H904,""))</f>
        <v/>
      </c>
      <c r="AD904" s="53" t="str">
        <f aca="false">IF(AND(OR('Choix pédagogiques'!$C$3=1,'Choix pédagogiques'!$C$3=2),$BN904=1),I904,IF(AND('Choix pédagogiques'!$C$3=3,$BO904=1),I904,""))</f>
        <v/>
      </c>
      <c r="AE904" s="53" t="str">
        <f aca="false">IF($J904&lt;&gt;"",$J904,"")</f>
        <v/>
      </c>
      <c r="AF904" s="52" t="str">
        <f aca="false">IF($A904&lt;&gt;"",$A904,"")</f>
        <v>Apprenant 892</v>
      </c>
      <c r="AG904" s="53" t="str">
        <f aca="false">IF(AND($W904&lt;&gt;"",$X904&lt;&gt;""),$X904-$W904,"")</f>
        <v/>
      </c>
      <c r="AH904" s="53" t="str">
        <f aca="false">IF(AND($W904&lt;&gt;"",$Y904&lt;&gt;""),$Y904-$W904,"")</f>
        <v/>
      </c>
      <c r="AI904" s="53" t="str">
        <f aca="false">IF(AND($X904&lt;&gt;"",$Y904&lt;&gt;""),$Y904-$X904,"")</f>
        <v/>
      </c>
      <c r="AJ904" s="53" t="str">
        <f aca="false">IF($E904&lt;&gt;"",$E904,"")</f>
        <v/>
      </c>
      <c r="AK904" s="52" t="str">
        <f aca="false">IF($F904&lt;&gt;"",$F904,"")</f>
        <v>Apprenant 892 ou 892'</v>
      </c>
      <c r="AL904" s="53" t="str">
        <f aca="false">IF(AND($AB904&lt;&gt;"",$AC904&lt;&gt;""),$AC904-$AB904,"")</f>
        <v/>
      </c>
      <c r="AM904" s="53" t="str">
        <f aca="false">IF(AND($AB904&lt;&gt;"",$AD904&lt;&gt;""),$AD904-$AB904,"")</f>
        <v/>
      </c>
      <c r="AN904" s="53" t="str">
        <f aca="false">IF(AND($AC904&lt;&gt;"",$AD904&lt;&gt;""),$AD904-$AC904,"")</f>
        <v/>
      </c>
      <c r="AO904" s="53" t="str">
        <f aca="false">IF($J904&lt;&gt;"",$J904,"")</f>
        <v/>
      </c>
      <c r="AQ904" s="52" t="str">
        <f aca="false">IF($A904&lt;&gt;"",$A904,"")</f>
        <v>Apprenant 892</v>
      </c>
      <c r="AR904" s="55" t="str">
        <f aca="false">IF(AND('Choix pédagogiques'!$C$4&lt;&gt;"?",'Choix pédagogiques'!$C$5&lt;&gt;"?",W904&lt;&gt;""),(W904-'Choix pédagogiques'!$C$4)/('Choix pédagogiques'!$C$5-'Choix pédagogiques'!$C$4),"")</f>
        <v/>
      </c>
      <c r="AS904" s="55" t="str">
        <f aca="false">IF(AND('Choix pédagogiques'!$C$4&lt;&gt;"?",'Choix pédagogiques'!$C$5&lt;&gt;"?",X904&lt;&gt;""),(X904-'Choix pédagogiques'!$C$4)/('Choix pédagogiques'!$C$5-'Choix pédagogiques'!$C$4),"")</f>
        <v/>
      </c>
      <c r="AT904" s="55" t="str">
        <f aca="false">IF(AND('Choix pédagogiques'!$C$4&lt;&gt;"?",'Choix pédagogiques'!$C$5&lt;&gt;"?",Y904&lt;&gt;""),(Y904-'Choix pédagogiques'!$C$4)/('Choix pédagogiques'!$C$5-'Choix pédagogiques'!$C$4),"")</f>
        <v/>
      </c>
      <c r="AU904" s="53" t="str">
        <f aca="false">IF($E904&lt;&gt;"",$E904,"")</f>
        <v/>
      </c>
      <c r="AV904" s="52" t="str">
        <f aca="false">IF($F904&lt;&gt;"",$F904,"")</f>
        <v>Apprenant 892 ou 892'</v>
      </c>
      <c r="AW904" s="55" t="str">
        <f aca="false">IF(AND('Choix pédagogiques'!$C$4&lt;&gt;"?",'Choix pédagogiques'!$C$5&lt;&gt;"?",AB904&lt;&gt;""),(AB904-'Choix pédagogiques'!$C$4)/('Choix pédagogiques'!$C$5-'Choix pédagogiques'!$C$4),"")</f>
        <v/>
      </c>
      <c r="AX904" s="55" t="str">
        <f aca="false">IF(AND('Choix pédagogiques'!$C$4&lt;&gt;"?",'Choix pédagogiques'!$C$5&lt;&gt;"?",AC904&lt;&gt;""),(AC904-'Choix pédagogiques'!$C$4)/('Choix pédagogiques'!$C$5-'Choix pédagogiques'!$C$4),"")</f>
        <v/>
      </c>
      <c r="AY904" s="55" t="str">
        <f aca="false">IF(AND('Choix pédagogiques'!$C$4&lt;&gt;"?",'Choix pédagogiques'!$C$5&lt;&gt;"?",AD904&lt;&gt;""),(AD904-'Choix pédagogiques'!$C$4)/('Choix pédagogiques'!$C$5-'Choix pédagogiques'!$C$4),"")</f>
        <v/>
      </c>
      <c r="AZ904" s="53" t="str">
        <f aca="false">IF($J904&lt;&gt;"",$J904,"")</f>
        <v/>
      </c>
      <c r="BA904" s="52" t="str">
        <f aca="false">IF($A904&lt;&gt;"",$A904,"")</f>
        <v>Apprenant 892</v>
      </c>
      <c r="BB904" s="55" t="str">
        <f aca="false">IF(AND($AR904&lt;&gt;"",$AS904&lt;&gt;""),$AS904-$AR904,"")</f>
        <v/>
      </c>
      <c r="BC904" s="55" t="str">
        <f aca="false">IF(AND($AR904&lt;&gt;"",$AT904&lt;&gt;""),$AT904-$AR904,"")</f>
        <v/>
      </c>
      <c r="BD904" s="55" t="str">
        <f aca="false">IF(AND($AS904&lt;&gt;"",$AT904&lt;&gt;""),$AT904-$AS904,"")</f>
        <v/>
      </c>
      <c r="BE904" s="53" t="str">
        <f aca="false">IF($E904&lt;&gt;"",$E904,"")</f>
        <v/>
      </c>
      <c r="BF904" s="52" t="str">
        <f aca="false">IF($F904&lt;&gt;"",$F904,"")</f>
        <v>Apprenant 892 ou 892'</v>
      </c>
      <c r="BG904" s="55" t="str">
        <f aca="false">IF(AND($AW904&lt;&gt;"",$AX904&lt;&gt;""),$AX904-$AW904,"")</f>
        <v/>
      </c>
      <c r="BH904" s="55" t="str">
        <f aca="false">IF(AND($AW904&lt;&gt;"",$AY904&lt;&gt;""),$AY904-$AW904,"")</f>
        <v/>
      </c>
      <c r="BI904" s="55" t="str">
        <f aca="false">IF(AND($AX904&lt;&gt;"",$AY904&lt;&gt;""),$AY904-$AX904,"")</f>
        <v/>
      </c>
      <c r="BJ904" s="53" t="str">
        <f aca="false">IF($J904&lt;&gt;"",$J904,"")</f>
        <v/>
      </c>
      <c r="BL904" s="52"/>
      <c r="BM904" s="52" t="str">
        <f aca="false">IF(OR(COUNT(B904:D1903)=0,AND('Choix pédagogiques'!$C$3&lt;&gt;1,'Choix pédagogiques'!$C$3&lt;&gt;2)),"",IF(AND(OR('Choix pédagogiques'!$C$3=1,'Choix pédagogiques'!$C$3=2),$B904&lt;&gt;"",$C904&lt;&gt;"",$D904&lt;&gt;""),1,0))</f>
        <v/>
      </c>
      <c r="BN904" s="52" t="str">
        <f aca="false">IF(OR(COUNT(G904:I1903)=0,AND('Choix pédagogiques'!$C$3&lt;&gt;1,'Choix pédagogiques'!$C$3&lt;&gt;2)),"",IF(AND(OR('Choix pédagogiques'!$C$3=1,'Choix pédagogiques'!$C$3=2),AND($G904&lt;&gt;"",$H904&lt;&gt;"",$I904&lt;&gt;"")),1,0))</f>
        <v/>
      </c>
      <c r="BO904" s="52" t="str">
        <f aca="false">IF(OR(COUNT(B904:D1903)=0,COUNT(G904:I1903)=0,'Choix pédagogiques'!C$3&lt;&gt;3),"",IF(AND('Choix pédagogiques'!$C$3=3,$B904&lt;&gt;"",$C904&lt;&gt;"",$D904&lt;&gt;"",$G904&lt;&gt;"",$H904&lt;&gt;"",$I904&lt;&gt;""),1,0))</f>
        <v/>
      </c>
      <c r="BR904" s="52" t="n">
        <v>223</v>
      </c>
      <c r="BS904" s="52" t="n">
        <v>1342</v>
      </c>
    </row>
    <row r="905" s="54" customFormat="true" ht="18" hidden="false" customHeight="true" outlineLevel="0" collapsed="false">
      <c r="A905" s="57" t="s">
        <v>1741</v>
      </c>
      <c r="B905" s="51"/>
      <c r="C905" s="51"/>
      <c r="D905" s="51"/>
      <c r="E905" s="51"/>
      <c r="F905" s="57" t="s">
        <v>1742</v>
      </c>
      <c r="G905" s="51"/>
      <c r="H905" s="51"/>
      <c r="I905" s="51"/>
      <c r="J905" s="51"/>
      <c r="K905" s="52" t="str">
        <f aca="false">IF($A905&lt;&gt;"",$A905,"")</f>
        <v>Apprenant 893</v>
      </c>
      <c r="L905" s="53" t="str">
        <f aca="false">IF(AND($B905&lt;&gt;"",$C905&lt;&gt;""),$C905-$B905,"")</f>
        <v/>
      </c>
      <c r="M905" s="53" t="str">
        <f aca="false">IF(AND($B905&lt;&gt;"",$D905&lt;&gt;""),$D905-$B905,"")</f>
        <v/>
      </c>
      <c r="N905" s="53" t="str">
        <f aca="false">IF(AND($C905&lt;&gt;"",$D905&lt;&gt;""),$D905-$C905,"")</f>
        <v/>
      </c>
      <c r="O905" s="53" t="str">
        <f aca="false">IF($E905&lt;&gt;"",$E905,"")</f>
        <v/>
      </c>
      <c r="P905" s="52" t="str">
        <f aca="false">IF($F905&lt;&gt;"",$F905,"")</f>
        <v>Apprenant 893 ou 893'</v>
      </c>
      <c r="Q905" s="53" t="str">
        <f aca="false">IF(AND($G905&lt;&gt;"",$H905&lt;&gt;""),$H905-$G905,"")</f>
        <v/>
      </c>
      <c r="R905" s="53" t="str">
        <f aca="false">IF(AND($G905&lt;&gt;"",$I905&lt;&gt;""),$I905-$G905,"")</f>
        <v/>
      </c>
      <c r="S905" s="53" t="str">
        <f aca="false">IF(AND($H905&lt;&gt;"",$I905&lt;&gt;""),$I905-$H905,"")</f>
        <v/>
      </c>
      <c r="T905" s="53" t="str">
        <f aca="false">IF($J905&lt;&gt;"",$J905,"")</f>
        <v/>
      </c>
      <c r="V905" s="52" t="str">
        <f aca="false">IF($A905&lt;&gt;"",$A905,"")</f>
        <v>Apprenant 893</v>
      </c>
      <c r="W905" s="53" t="str">
        <f aca="false">IF(AND(OR('Choix pédagogiques'!$C$3=1,'Choix pédagogiques'!$C$3=2),$BM905=1),B905,IF(AND('Choix pédagogiques'!$C$3=3,$BO905=1),B905,""))</f>
        <v/>
      </c>
      <c r="X905" s="53" t="str">
        <f aca="false">IF(AND(OR('Choix pédagogiques'!$C$3=1,'Choix pédagogiques'!$C$3=2),$BM905=1),C905,IF(AND('Choix pédagogiques'!$C$3=3,$BO905=1),C905,""))</f>
        <v/>
      </c>
      <c r="Y905" s="53" t="str">
        <f aca="false">IF(AND(OR('Choix pédagogiques'!$C$3=1,'Choix pédagogiques'!$C$3=2),$BM905=1),D905,IF(AND('Choix pédagogiques'!$C$3=3,$BO905=1),D905,""))</f>
        <v/>
      </c>
      <c r="Z905" s="53" t="str">
        <f aca="false">IF($E905&lt;&gt;"",$E905,"")</f>
        <v/>
      </c>
      <c r="AA905" s="52" t="str">
        <f aca="false">IF($F905&lt;&gt;"",$F905,"")</f>
        <v>Apprenant 893 ou 893'</v>
      </c>
      <c r="AB905" s="53" t="str">
        <f aca="false">IF(AND(OR('Choix pédagogiques'!$C$3=1,'Choix pédagogiques'!$C$3=2),$BN905=1),G905,IF(AND('Choix pédagogiques'!$C$3=3,$BO905=1),G905,""))</f>
        <v/>
      </c>
      <c r="AC905" s="53" t="str">
        <f aca="false">IF(AND(OR('Choix pédagogiques'!$C$3=1,'Choix pédagogiques'!$C$3=2),$BN905=1),H905,IF(AND('Choix pédagogiques'!$C$3=3,$BO905=1),H905,""))</f>
        <v/>
      </c>
      <c r="AD905" s="53" t="str">
        <f aca="false">IF(AND(OR('Choix pédagogiques'!$C$3=1,'Choix pédagogiques'!$C$3=2),$BN905=1),I905,IF(AND('Choix pédagogiques'!$C$3=3,$BO905=1),I905,""))</f>
        <v/>
      </c>
      <c r="AE905" s="53" t="str">
        <f aca="false">IF($J905&lt;&gt;"",$J905,"")</f>
        <v/>
      </c>
      <c r="AF905" s="52" t="str">
        <f aca="false">IF($A905&lt;&gt;"",$A905,"")</f>
        <v>Apprenant 893</v>
      </c>
      <c r="AG905" s="53" t="str">
        <f aca="false">IF(AND($W905&lt;&gt;"",$X905&lt;&gt;""),$X905-$W905,"")</f>
        <v/>
      </c>
      <c r="AH905" s="53" t="str">
        <f aca="false">IF(AND($W905&lt;&gt;"",$Y905&lt;&gt;""),$Y905-$W905,"")</f>
        <v/>
      </c>
      <c r="AI905" s="53" t="str">
        <f aca="false">IF(AND($X905&lt;&gt;"",$Y905&lt;&gt;""),$Y905-$X905,"")</f>
        <v/>
      </c>
      <c r="AJ905" s="53" t="str">
        <f aca="false">IF($E905&lt;&gt;"",$E905,"")</f>
        <v/>
      </c>
      <c r="AK905" s="52" t="str">
        <f aca="false">IF($F905&lt;&gt;"",$F905,"")</f>
        <v>Apprenant 893 ou 893'</v>
      </c>
      <c r="AL905" s="53" t="str">
        <f aca="false">IF(AND($AB905&lt;&gt;"",$AC905&lt;&gt;""),$AC905-$AB905,"")</f>
        <v/>
      </c>
      <c r="AM905" s="53" t="str">
        <f aca="false">IF(AND($AB905&lt;&gt;"",$AD905&lt;&gt;""),$AD905-$AB905,"")</f>
        <v/>
      </c>
      <c r="AN905" s="53" t="str">
        <f aca="false">IF(AND($AC905&lt;&gt;"",$AD905&lt;&gt;""),$AD905-$AC905,"")</f>
        <v/>
      </c>
      <c r="AO905" s="53" t="str">
        <f aca="false">IF($J905&lt;&gt;"",$J905,"")</f>
        <v/>
      </c>
      <c r="AQ905" s="52" t="str">
        <f aca="false">IF($A905&lt;&gt;"",$A905,"")</f>
        <v>Apprenant 893</v>
      </c>
      <c r="AR905" s="55" t="str">
        <f aca="false">IF(AND('Choix pédagogiques'!$C$4&lt;&gt;"?",'Choix pédagogiques'!$C$5&lt;&gt;"?",W905&lt;&gt;""),(W905-'Choix pédagogiques'!$C$4)/('Choix pédagogiques'!$C$5-'Choix pédagogiques'!$C$4),"")</f>
        <v/>
      </c>
      <c r="AS905" s="55" t="str">
        <f aca="false">IF(AND('Choix pédagogiques'!$C$4&lt;&gt;"?",'Choix pédagogiques'!$C$5&lt;&gt;"?",X905&lt;&gt;""),(X905-'Choix pédagogiques'!$C$4)/('Choix pédagogiques'!$C$5-'Choix pédagogiques'!$C$4),"")</f>
        <v/>
      </c>
      <c r="AT905" s="55" t="str">
        <f aca="false">IF(AND('Choix pédagogiques'!$C$4&lt;&gt;"?",'Choix pédagogiques'!$C$5&lt;&gt;"?",Y905&lt;&gt;""),(Y905-'Choix pédagogiques'!$C$4)/('Choix pédagogiques'!$C$5-'Choix pédagogiques'!$C$4),"")</f>
        <v/>
      </c>
      <c r="AU905" s="53" t="str">
        <f aca="false">IF($E905&lt;&gt;"",$E905,"")</f>
        <v/>
      </c>
      <c r="AV905" s="52" t="str">
        <f aca="false">IF($F905&lt;&gt;"",$F905,"")</f>
        <v>Apprenant 893 ou 893'</v>
      </c>
      <c r="AW905" s="55" t="str">
        <f aca="false">IF(AND('Choix pédagogiques'!$C$4&lt;&gt;"?",'Choix pédagogiques'!$C$5&lt;&gt;"?",AB905&lt;&gt;""),(AB905-'Choix pédagogiques'!$C$4)/('Choix pédagogiques'!$C$5-'Choix pédagogiques'!$C$4),"")</f>
        <v/>
      </c>
      <c r="AX905" s="55" t="str">
        <f aca="false">IF(AND('Choix pédagogiques'!$C$4&lt;&gt;"?",'Choix pédagogiques'!$C$5&lt;&gt;"?",AC905&lt;&gt;""),(AC905-'Choix pédagogiques'!$C$4)/('Choix pédagogiques'!$C$5-'Choix pédagogiques'!$C$4),"")</f>
        <v/>
      </c>
      <c r="AY905" s="55" t="str">
        <f aca="false">IF(AND('Choix pédagogiques'!$C$4&lt;&gt;"?",'Choix pédagogiques'!$C$5&lt;&gt;"?",AD905&lt;&gt;""),(AD905-'Choix pédagogiques'!$C$4)/('Choix pédagogiques'!$C$5-'Choix pédagogiques'!$C$4),"")</f>
        <v/>
      </c>
      <c r="AZ905" s="53" t="str">
        <f aca="false">IF($J905&lt;&gt;"",$J905,"")</f>
        <v/>
      </c>
      <c r="BA905" s="52" t="str">
        <f aca="false">IF($A905&lt;&gt;"",$A905,"")</f>
        <v>Apprenant 893</v>
      </c>
      <c r="BB905" s="55" t="str">
        <f aca="false">IF(AND($AR905&lt;&gt;"",$AS905&lt;&gt;""),$AS905-$AR905,"")</f>
        <v/>
      </c>
      <c r="BC905" s="55" t="str">
        <f aca="false">IF(AND($AR905&lt;&gt;"",$AT905&lt;&gt;""),$AT905-$AR905,"")</f>
        <v/>
      </c>
      <c r="BD905" s="55" t="str">
        <f aca="false">IF(AND($AS905&lt;&gt;"",$AT905&lt;&gt;""),$AT905-$AS905,"")</f>
        <v/>
      </c>
      <c r="BE905" s="53" t="str">
        <f aca="false">IF($E905&lt;&gt;"",$E905,"")</f>
        <v/>
      </c>
      <c r="BF905" s="52" t="str">
        <f aca="false">IF($F905&lt;&gt;"",$F905,"")</f>
        <v>Apprenant 893 ou 893'</v>
      </c>
      <c r="BG905" s="55" t="str">
        <f aca="false">IF(AND($AW905&lt;&gt;"",$AX905&lt;&gt;""),$AX905-$AW905,"")</f>
        <v/>
      </c>
      <c r="BH905" s="55" t="str">
        <f aca="false">IF(AND($AW905&lt;&gt;"",$AY905&lt;&gt;""),$AY905-$AW905,"")</f>
        <v/>
      </c>
      <c r="BI905" s="55" t="str">
        <f aca="false">IF(AND($AX905&lt;&gt;"",$AY905&lt;&gt;""),$AY905-$AX905,"")</f>
        <v/>
      </c>
      <c r="BJ905" s="53" t="str">
        <f aca="false">IF($J905&lt;&gt;"",$J905,"")</f>
        <v/>
      </c>
      <c r="BL905" s="52"/>
      <c r="BM905" s="52" t="str">
        <f aca="false">IF(OR(COUNT(B905:D1904)=0,AND('Choix pédagogiques'!$C$3&lt;&gt;1,'Choix pédagogiques'!$C$3&lt;&gt;2)),"",IF(AND(OR('Choix pédagogiques'!$C$3=1,'Choix pédagogiques'!$C$3=2),$B905&lt;&gt;"",$C905&lt;&gt;"",$D905&lt;&gt;""),1,0))</f>
        <v/>
      </c>
      <c r="BN905" s="52" t="str">
        <f aca="false">IF(OR(COUNT(G905:I1904)=0,AND('Choix pédagogiques'!$C$3&lt;&gt;1,'Choix pédagogiques'!$C$3&lt;&gt;2)),"",IF(AND(OR('Choix pédagogiques'!$C$3=1,'Choix pédagogiques'!$C$3=2),AND($G905&lt;&gt;"",$H905&lt;&gt;"",$I905&lt;&gt;"")),1,0))</f>
        <v/>
      </c>
      <c r="BO905" s="52" t="str">
        <f aca="false">IF(OR(COUNT(B905:D1904)=0,COUNT(G905:I1904)=0,'Choix pédagogiques'!C$3&lt;&gt;3),"",IF(AND('Choix pédagogiques'!$C$3=3,$B905&lt;&gt;"",$C905&lt;&gt;"",$D905&lt;&gt;"",$G905&lt;&gt;"",$H905&lt;&gt;"",$I905&lt;&gt;""),1,0))</f>
        <v/>
      </c>
      <c r="BR905" s="52" t="n">
        <v>845</v>
      </c>
      <c r="BS905" s="52" t="n">
        <v>1966</v>
      </c>
    </row>
    <row r="906" s="54" customFormat="true" ht="18" hidden="false" customHeight="true" outlineLevel="0" collapsed="false">
      <c r="A906" s="57" t="s">
        <v>1743</v>
      </c>
      <c r="B906" s="51"/>
      <c r="C906" s="51"/>
      <c r="D906" s="51"/>
      <c r="E906" s="51"/>
      <c r="F906" s="57" t="s">
        <v>1744</v>
      </c>
      <c r="G906" s="51"/>
      <c r="H906" s="51"/>
      <c r="I906" s="51"/>
      <c r="J906" s="51"/>
      <c r="K906" s="52" t="str">
        <f aca="false">IF($A906&lt;&gt;"",$A906,"")</f>
        <v>Apprenant 894</v>
      </c>
      <c r="L906" s="53" t="str">
        <f aca="false">IF(AND($B906&lt;&gt;"",$C906&lt;&gt;""),$C906-$B906,"")</f>
        <v/>
      </c>
      <c r="M906" s="53" t="str">
        <f aca="false">IF(AND($B906&lt;&gt;"",$D906&lt;&gt;""),$D906-$B906,"")</f>
        <v/>
      </c>
      <c r="N906" s="53" t="str">
        <f aca="false">IF(AND($C906&lt;&gt;"",$D906&lt;&gt;""),$D906-$C906,"")</f>
        <v/>
      </c>
      <c r="O906" s="53" t="str">
        <f aca="false">IF($E906&lt;&gt;"",$E906,"")</f>
        <v/>
      </c>
      <c r="P906" s="52" t="str">
        <f aca="false">IF($F906&lt;&gt;"",$F906,"")</f>
        <v>Apprenant 894 ou 894'</v>
      </c>
      <c r="Q906" s="53" t="str">
        <f aca="false">IF(AND($G906&lt;&gt;"",$H906&lt;&gt;""),$H906-$G906,"")</f>
        <v/>
      </c>
      <c r="R906" s="53" t="str">
        <f aca="false">IF(AND($G906&lt;&gt;"",$I906&lt;&gt;""),$I906-$G906,"")</f>
        <v/>
      </c>
      <c r="S906" s="53" t="str">
        <f aca="false">IF(AND($H906&lt;&gt;"",$I906&lt;&gt;""),$I906-$H906,"")</f>
        <v/>
      </c>
      <c r="T906" s="53" t="str">
        <f aca="false">IF($J906&lt;&gt;"",$J906,"")</f>
        <v/>
      </c>
      <c r="V906" s="52" t="str">
        <f aca="false">IF($A906&lt;&gt;"",$A906,"")</f>
        <v>Apprenant 894</v>
      </c>
      <c r="W906" s="53" t="str">
        <f aca="false">IF(AND(OR('Choix pédagogiques'!$C$3=1,'Choix pédagogiques'!$C$3=2),$BM906=1),B906,IF(AND('Choix pédagogiques'!$C$3=3,$BO906=1),B906,""))</f>
        <v/>
      </c>
      <c r="X906" s="53" t="str">
        <f aca="false">IF(AND(OR('Choix pédagogiques'!$C$3=1,'Choix pédagogiques'!$C$3=2),$BM906=1),C906,IF(AND('Choix pédagogiques'!$C$3=3,$BO906=1),C906,""))</f>
        <v/>
      </c>
      <c r="Y906" s="53" t="str">
        <f aca="false">IF(AND(OR('Choix pédagogiques'!$C$3=1,'Choix pédagogiques'!$C$3=2),$BM906=1),D906,IF(AND('Choix pédagogiques'!$C$3=3,$BO906=1),D906,""))</f>
        <v/>
      </c>
      <c r="Z906" s="53" t="str">
        <f aca="false">IF($E906&lt;&gt;"",$E906,"")</f>
        <v/>
      </c>
      <c r="AA906" s="52" t="str">
        <f aca="false">IF($F906&lt;&gt;"",$F906,"")</f>
        <v>Apprenant 894 ou 894'</v>
      </c>
      <c r="AB906" s="53" t="str">
        <f aca="false">IF(AND(OR('Choix pédagogiques'!$C$3=1,'Choix pédagogiques'!$C$3=2),$BN906=1),G906,IF(AND('Choix pédagogiques'!$C$3=3,$BO906=1),G906,""))</f>
        <v/>
      </c>
      <c r="AC906" s="53" t="str">
        <f aca="false">IF(AND(OR('Choix pédagogiques'!$C$3=1,'Choix pédagogiques'!$C$3=2),$BN906=1),H906,IF(AND('Choix pédagogiques'!$C$3=3,$BO906=1),H906,""))</f>
        <v/>
      </c>
      <c r="AD906" s="53" t="str">
        <f aca="false">IF(AND(OR('Choix pédagogiques'!$C$3=1,'Choix pédagogiques'!$C$3=2),$BN906=1),I906,IF(AND('Choix pédagogiques'!$C$3=3,$BO906=1),I906,""))</f>
        <v/>
      </c>
      <c r="AE906" s="53" t="str">
        <f aca="false">IF($J906&lt;&gt;"",$J906,"")</f>
        <v/>
      </c>
      <c r="AF906" s="52" t="str">
        <f aca="false">IF($A906&lt;&gt;"",$A906,"")</f>
        <v>Apprenant 894</v>
      </c>
      <c r="AG906" s="53" t="str">
        <f aca="false">IF(AND($W906&lt;&gt;"",$X906&lt;&gt;""),$X906-$W906,"")</f>
        <v/>
      </c>
      <c r="AH906" s="53" t="str">
        <f aca="false">IF(AND($W906&lt;&gt;"",$Y906&lt;&gt;""),$Y906-$W906,"")</f>
        <v/>
      </c>
      <c r="AI906" s="53" t="str">
        <f aca="false">IF(AND($X906&lt;&gt;"",$Y906&lt;&gt;""),$Y906-$X906,"")</f>
        <v/>
      </c>
      <c r="AJ906" s="53" t="str">
        <f aca="false">IF($E906&lt;&gt;"",$E906,"")</f>
        <v/>
      </c>
      <c r="AK906" s="52" t="str">
        <f aca="false">IF($F906&lt;&gt;"",$F906,"")</f>
        <v>Apprenant 894 ou 894'</v>
      </c>
      <c r="AL906" s="53" t="str">
        <f aca="false">IF(AND($AB906&lt;&gt;"",$AC906&lt;&gt;""),$AC906-$AB906,"")</f>
        <v/>
      </c>
      <c r="AM906" s="53" t="str">
        <f aca="false">IF(AND($AB906&lt;&gt;"",$AD906&lt;&gt;""),$AD906-$AB906,"")</f>
        <v/>
      </c>
      <c r="AN906" s="53" t="str">
        <f aca="false">IF(AND($AC906&lt;&gt;"",$AD906&lt;&gt;""),$AD906-$AC906,"")</f>
        <v/>
      </c>
      <c r="AO906" s="53" t="str">
        <f aca="false">IF($J906&lt;&gt;"",$J906,"")</f>
        <v/>
      </c>
      <c r="AQ906" s="52" t="str">
        <f aca="false">IF($A906&lt;&gt;"",$A906,"")</f>
        <v>Apprenant 894</v>
      </c>
      <c r="AR906" s="55" t="str">
        <f aca="false">IF(AND('Choix pédagogiques'!$C$4&lt;&gt;"?",'Choix pédagogiques'!$C$5&lt;&gt;"?",W906&lt;&gt;""),(W906-'Choix pédagogiques'!$C$4)/('Choix pédagogiques'!$C$5-'Choix pédagogiques'!$C$4),"")</f>
        <v/>
      </c>
      <c r="AS906" s="55" t="str">
        <f aca="false">IF(AND('Choix pédagogiques'!$C$4&lt;&gt;"?",'Choix pédagogiques'!$C$5&lt;&gt;"?",X906&lt;&gt;""),(X906-'Choix pédagogiques'!$C$4)/('Choix pédagogiques'!$C$5-'Choix pédagogiques'!$C$4),"")</f>
        <v/>
      </c>
      <c r="AT906" s="55" t="str">
        <f aca="false">IF(AND('Choix pédagogiques'!$C$4&lt;&gt;"?",'Choix pédagogiques'!$C$5&lt;&gt;"?",Y906&lt;&gt;""),(Y906-'Choix pédagogiques'!$C$4)/('Choix pédagogiques'!$C$5-'Choix pédagogiques'!$C$4),"")</f>
        <v/>
      </c>
      <c r="AU906" s="53" t="str">
        <f aca="false">IF($E906&lt;&gt;"",$E906,"")</f>
        <v/>
      </c>
      <c r="AV906" s="52" t="str">
        <f aca="false">IF($F906&lt;&gt;"",$F906,"")</f>
        <v>Apprenant 894 ou 894'</v>
      </c>
      <c r="AW906" s="55" t="str">
        <f aca="false">IF(AND('Choix pédagogiques'!$C$4&lt;&gt;"?",'Choix pédagogiques'!$C$5&lt;&gt;"?",AB906&lt;&gt;""),(AB906-'Choix pédagogiques'!$C$4)/('Choix pédagogiques'!$C$5-'Choix pédagogiques'!$C$4),"")</f>
        <v/>
      </c>
      <c r="AX906" s="55" t="str">
        <f aca="false">IF(AND('Choix pédagogiques'!$C$4&lt;&gt;"?",'Choix pédagogiques'!$C$5&lt;&gt;"?",AC906&lt;&gt;""),(AC906-'Choix pédagogiques'!$C$4)/('Choix pédagogiques'!$C$5-'Choix pédagogiques'!$C$4),"")</f>
        <v/>
      </c>
      <c r="AY906" s="55" t="str">
        <f aca="false">IF(AND('Choix pédagogiques'!$C$4&lt;&gt;"?",'Choix pédagogiques'!$C$5&lt;&gt;"?",AD906&lt;&gt;""),(AD906-'Choix pédagogiques'!$C$4)/('Choix pédagogiques'!$C$5-'Choix pédagogiques'!$C$4),"")</f>
        <v/>
      </c>
      <c r="AZ906" s="53" t="str">
        <f aca="false">IF($J906&lt;&gt;"",$J906,"")</f>
        <v/>
      </c>
      <c r="BA906" s="52" t="str">
        <f aca="false">IF($A906&lt;&gt;"",$A906,"")</f>
        <v>Apprenant 894</v>
      </c>
      <c r="BB906" s="55" t="str">
        <f aca="false">IF(AND($AR906&lt;&gt;"",$AS906&lt;&gt;""),$AS906-$AR906,"")</f>
        <v/>
      </c>
      <c r="BC906" s="55" t="str">
        <f aca="false">IF(AND($AR906&lt;&gt;"",$AT906&lt;&gt;""),$AT906-$AR906,"")</f>
        <v/>
      </c>
      <c r="BD906" s="55" t="str">
        <f aca="false">IF(AND($AS906&lt;&gt;"",$AT906&lt;&gt;""),$AT906-$AS906,"")</f>
        <v/>
      </c>
      <c r="BE906" s="53" t="str">
        <f aca="false">IF($E906&lt;&gt;"",$E906,"")</f>
        <v/>
      </c>
      <c r="BF906" s="52" t="str">
        <f aca="false">IF($F906&lt;&gt;"",$F906,"")</f>
        <v>Apprenant 894 ou 894'</v>
      </c>
      <c r="BG906" s="55" t="str">
        <f aca="false">IF(AND($AW906&lt;&gt;"",$AX906&lt;&gt;""),$AX906-$AW906,"")</f>
        <v/>
      </c>
      <c r="BH906" s="55" t="str">
        <f aca="false">IF(AND($AW906&lt;&gt;"",$AY906&lt;&gt;""),$AY906-$AW906,"")</f>
        <v/>
      </c>
      <c r="BI906" s="55" t="str">
        <f aca="false">IF(AND($AX906&lt;&gt;"",$AY906&lt;&gt;""),$AY906-$AX906,"")</f>
        <v/>
      </c>
      <c r="BJ906" s="53" t="str">
        <f aca="false">IF($J906&lt;&gt;"",$J906,"")</f>
        <v/>
      </c>
      <c r="BL906" s="52"/>
      <c r="BM906" s="52" t="str">
        <f aca="false">IF(OR(COUNT(B906:D1905)=0,AND('Choix pédagogiques'!$C$3&lt;&gt;1,'Choix pédagogiques'!$C$3&lt;&gt;2)),"",IF(AND(OR('Choix pédagogiques'!$C$3=1,'Choix pédagogiques'!$C$3=2),$B906&lt;&gt;"",$C906&lt;&gt;"",$D906&lt;&gt;""),1,0))</f>
        <v/>
      </c>
      <c r="BN906" s="52" t="str">
        <f aca="false">IF(OR(COUNT(G906:I1905)=0,AND('Choix pédagogiques'!$C$3&lt;&gt;1,'Choix pédagogiques'!$C$3&lt;&gt;2)),"",IF(AND(OR('Choix pédagogiques'!$C$3=1,'Choix pédagogiques'!$C$3=2),AND($G906&lt;&gt;"",$H906&lt;&gt;"",$I906&lt;&gt;"")),1,0))</f>
        <v/>
      </c>
      <c r="BO906" s="52" t="str">
        <f aca="false">IF(OR(COUNT(B906:D1905)=0,COUNT(G906:I1905)=0,'Choix pédagogiques'!C$3&lt;&gt;3),"",IF(AND('Choix pédagogiques'!$C$3=3,$B906&lt;&gt;"",$C906&lt;&gt;"",$D906&lt;&gt;"",$G906&lt;&gt;"",$H906&lt;&gt;"",$I906&lt;&gt;""),1,0))</f>
        <v/>
      </c>
      <c r="BR906" s="52" t="n">
        <v>705</v>
      </c>
      <c r="BS906" s="52" t="n">
        <v>1176</v>
      </c>
    </row>
    <row r="907" s="54" customFormat="true" ht="18" hidden="false" customHeight="true" outlineLevel="0" collapsed="false">
      <c r="A907" s="57" t="s">
        <v>1745</v>
      </c>
      <c r="B907" s="51"/>
      <c r="C907" s="51"/>
      <c r="D907" s="51"/>
      <c r="E907" s="51"/>
      <c r="F907" s="57" t="s">
        <v>1746</v>
      </c>
      <c r="G907" s="51"/>
      <c r="H907" s="51"/>
      <c r="I907" s="51"/>
      <c r="J907" s="51"/>
      <c r="K907" s="52" t="str">
        <f aca="false">IF($A907&lt;&gt;"",$A907,"")</f>
        <v>Apprenant 895</v>
      </c>
      <c r="L907" s="53" t="str">
        <f aca="false">IF(AND($B907&lt;&gt;"",$C907&lt;&gt;""),$C907-$B907,"")</f>
        <v/>
      </c>
      <c r="M907" s="53" t="str">
        <f aca="false">IF(AND($B907&lt;&gt;"",$D907&lt;&gt;""),$D907-$B907,"")</f>
        <v/>
      </c>
      <c r="N907" s="53" t="str">
        <f aca="false">IF(AND($C907&lt;&gt;"",$D907&lt;&gt;""),$D907-$C907,"")</f>
        <v/>
      </c>
      <c r="O907" s="53" t="str">
        <f aca="false">IF($E907&lt;&gt;"",$E907,"")</f>
        <v/>
      </c>
      <c r="P907" s="52" t="str">
        <f aca="false">IF($F907&lt;&gt;"",$F907,"")</f>
        <v>Apprenant 895 ou 895'</v>
      </c>
      <c r="Q907" s="53" t="str">
        <f aca="false">IF(AND($G907&lt;&gt;"",$H907&lt;&gt;""),$H907-$G907,"")</f>
        <v/>
      </c>
      <c r="R907" s="53" t="str">
        <f aca="false">IF(AND($G907&lt;&gt;"",$I907&lt;&gt;""),$I907-$G907,"")</f>
        <v/>
      </c>
      <c r="S907" s="53" t="str">
        <f aca="false">IF(AND($H907&lt;&gt;"",$I907&lt;&gt;""),$I907-$H907,"")</f>
        <v/>
      </c>
      <c r="T907" s="53" t="str">
        <f aca="false">IF($J907&lt;&gt;"",$J907,"")</f>
        <v/>
      </c>
      <c r="V907" s="52" t="str">
        <f aca="false">IF($A907&lt;&gt;"",$A907,"")</f>
        <v>Apprenant 895</v>
      </c>
      <c r="W907" s="53" t="str">
        <f aca="false">IF(AND(OR('Choix pédagogiques'!$C$3=1,'Choix pédagogiques'!$C$3=2),$BM907=1),B907,IF(AND('Choix pédagogiques'!$C$3=3,$BO907=1),B907,""))</f>
        <v/>
      </c>
      <c r="X907" s="53" t="str">
        <f aca="false">IF(AND(OR('Choix pédagogiques'!$C$3=1,'Choix pédagogiques'!$C$3=2),$BM907=1),C907,IF(AND('Choix pédagogiques'!$C$3=3,$BO907=1),C907,""))</f>
        <v/>
      </c>
      <c r="Y907" s="53" t="str">
        <f aca="false">IF(AND(OR('Choix pédagogiques'!$C$3=1,'Choix pédagogiques'!$C$3=2),$BM907=1),D907,IF(AND('Choix pédagogiques'!$C$3=3,$BO907=1),D907,""))</f>
        <v/>
      </c>
      <c r="Z907" s="53" t="str">
        <f aca="false">IF($E907&lt;&gt;"",$E907,"")</f>
        <v/>
      </c>
      <c r="AA907" s="52" t="str">
        <f aca="false">IF($F907&lt;&gt;"",$F907,"")</f>
        <v>Apprenant 895 ou 895'</v>
      </c>
      <c r="AB907" s="53" t="str">
        <f aca="false">IF(AND(OR('Choix pédagogiques'!$C$3=1,'Choix pédagogiques'!$C$3=2),$BN907=1),G907,IF(AND('Choix pédagogiques'!$C$3=3,$BO907=1),G907,""))</f>
        <v/>
      </c>
      <c r="AC907" s="53" t="str">
        <f aca="false">IF(AND(OR('Choix pédagogiques'!$C$3=1,'Choix pédagogiques'!$C$3=2),$BN907=1),H907,IF(AND('Choix pédagogiques'!$C$3=3,$BO907=1),H907,""))</f>
        <v/>
      </c>
      <c r="AD907" s="53" t="str">
        <f aca="false">IF(AND(OR('Choix pédagogiques'!$C$3=1,'Choix pédagogiques'!$C$3=2),$BN907=1),I907,IF(AND('Choix pédagogiques'!$C$3=3,$BO907=1),I907,""))</f>
        <v/>
      </c>
      <c r="AE907" s="53" t="str">
        <f aca="false">IF($J907&lt;&gt;"",$J907,"")</f>
        <v/>
      </c>
      <c r="AF907" s="52" t="str">
        <f aca="false">IF($A907&lt;&gt;"",$A907,"")</f>
        <v>Apprenant 895</v>
      </c>
      <c r="AG907" s="53" t="str">
        <f aca="false">IF(AND($W907&lt;&gt;"",$X907&lt;&gt;""),$X907-$W907,"")</f>
        <v/>
      </c>
      <c r="AH907" s="53" t="str">
        <f aca="false">IF(AND($W907&lt;&gt;"",$Y907&lt;&gt;""),$Y907-$W907,"")</f>
        <v/>
      </c>
      <c r="AI907" s="53" t="str">
        <f aca="false">IF(AND($X907&lt;&gt;"",$Y907&lt;&gt;""),$Y907-$X907,"")</f>
        <v/>
      </c>
      <c r="AJ907" s="53" t="str">
        <f aca="false">IF($E907&lt;&gt;"",$E907,"")</f>
        <v/>
      </c>
      <c r="AK907" s="52" t="str">
        <f aca="false">IF($F907&lt;&gt;"",$F907,"")</f>
        <v>Apprenant 895 ou 895'</v>
      </c>
      <c r="AL907" s="53" t="str">
        <f aca="false">IF(AND($AB907&lt;&gt;"",$AC907&lt;&gt;""),$AC907-$AB907,"")</f>
        <v/>
      </c>
      <c r="AM907" s="53" t="str">
        <f aca="false">IF(AND($AB907&lt;&gt;"",$AD907&lt;&gt;""),$AD907-$AB907,"")</f>
        <v/>
      </c>
      <c r="AN907" s="53" t="str">
        <f aca="false">IF(AND($AC907&lt;&gt;"",$AD907&lt;&gt;""),$AD907-$AC907,"")</f>
        <v/>
      </c>
      <c r="AO907" s="53" t="str">
        <f aca="false">IF($J907&lt;&gt;"",$J907,"")</f>
        <v/>
      </c>
      <c r="AQ907" s="52" t="str">
        <f aca="false">IF($A907&lt;&gt;"",$A907,"")</f>
        <v>Apprenant 895</v>
      </c>
      <c r="AR907" s="55" t="str">
        <f aca="false">IF(AND('Choix pédagogiques'!$C$4&lt;&gt;"?",'Choix pédagogiques'!$C$5&lt;&gt;"?",W907&lt;&gt;""),(W907-'Choix pédagogiques'!$C$4)/('Choix pédagogiques'!$C$5-'Choix pédagogiques'!$C$4),"")</f>
        <v/>
      </c>
      <c r="AS907" s="55" t="str">
        <f aca="false">IF(AND('Choix pédagogiques'!$C$4&lt;&gt;"?",'Choix pédagogiques'!$C$5&lt;&gt;"?",X907&lt;&gt;""),(X907-'Choix pédagogiques'!$C$4)/('Choix pédagogiques'!$C$5-'Choix pédagogiques'!$C$4),"")</f>
        <v/>
      </c>
      <c r="AT907" s="55" t="str">
        <f aca="false">IF(AND('Choix pédagogiques'!$C$4&lt;&gt;"?",'Choix pédagogiques'!$C$5&lt;&gt;"?",Y907&lt;&gt;""),(Y907-'Choix pédagogiques'!$C$4)/('Choix pédagogiques'!$C$5-'Choix pédagogiques'!$C$4),"")</f>
        <v/>
      </c>
      <c r="AU907" s="53" t="str">
        <f aca="false">IF($E907&lt;&gt;"",$E907,"")</f>
        <v/>
      </c>
      <c r="AV907" s="52" t="str">
        <f aca="false">IF($F907&lt;&gt;"",$F907,"")</f>
        <v>Apprenant 895 ou 895'</v>
      </c>
      <c r="AW907" s="55" t="str">
        <f aca="false">IF(AND('Choix pédagogiques'!$C$4&lt;&gt;"?",'Choix pédagogiques'!$C$5&lt;&gt;"?",AB907&lt;&gt;""),(AB907-'Choix pédagogiques'!$C$4)/('Choix pédagogiques'!$C$5-'Choix pédagogiques'!$C$4),"")</f>
        <v/>
      </c>
      <c r="AX907" s="55" t="str">
        <f aca="false">IF(AND('Choix pédagogiques'!$C$4&lt;&gt;"?",'Choix pédagogiques'!$C$5&lt;&gt;"?",AC907&lt;&gt;""),(AC907-'Choix pédagogiques'!$C$4)/('Choix pédagogiques'!$C$5-'Choix pédagogiques'!$C$4),"")</f>
        <v/>
      </c>
      <c r="AY907" s="55" t="str">
        <f aca="false">IF(AND('Choix pédagogiques'!$C$4&lt;&gt;"?",'Choix pédagogiques'!$C$5&lt;&gt;"?",AD907&lt;&gt;""),(AD907-'Choix pédagogiques'!$C$4)/('Choix pédagogiques'!$C$5-'Choix pédagogiques'!$C$4),"")</f>
        <v/>
      </c>
      <c r="AZ907" s="53" t="str">
        <f aca="false">IF($J907&lt;&gt;"",$J907,"")</f>
        <v/>
      </c>
      <c r="BA907" s="52" t="str">
        <f aca="false">IF($A907&lt;&gt;"",$A907,"")</f>
        <v>Apprenant 895</v>
      </c>
      <c r="BB907" s="55" t="str">
        <f aca="false">IF(AND($AR907&lt;&gt;"",$AS907&lt;&gt;""),$AS907-$AR907,"")</f>
        <v/>
      </c>
      <c r="BC907" s="55" t="str">
        <f aca="false">IF(AND($AR907&lt;&gt;"",$AT907&lt;&gt;""),$AT907-$AR907,"")</f>
        <v/>
      </c>
      <c r="BD907" s="55" t="str">
        <f aca="false">IF(AND($AS907&lt;&gt;"",$AT907&lt;&gt;""),$AT907-$AS907,"")</f>
        <v/>
      </c>
      <c r="BE907" s="53" t="str">
        <f aca="false">IF($E907&lt;&gt;"",$E907,"")</f>
        <v/>
      </c>
      <c r="BF907" s="52" t="str">
        <f aca="false">IF($F907&lt;&gt;"",$F907,"")</f>
        <v>Apprenant 895 ou 895'</v>
      </c>
      <c r="BG907" s="55" t="str">
        <f aca="false">IF(AND($AW907&lt;&gt;"",$AX907&lt;&gt;""),$AX907-$AW907,"")</f>
        <v/>
      </c>
      <c r="BH907" s="55" t="str">
        <f aca="false">IF(AND($AW907&lt;&gt;"",$AY907&lt;&gt;""),$AY907-$AW907,"")</f>
        <v/>
      </c>
      <c r="BI907" s="55" t="str">
        <f aca="false">IF(AND($AX907&lt;&gt;"",$AY907&lt;&gt;""),$AY907-$AX907,"")</f>
        <v/>
      </c>
      <c r="BJ907" s="53" t="str">
        <f aca="false">IF($J907&lt;&gt;"",$J907,"")</f>
        <v/>
      </c>
      <c r="BL907" s="52"/>
      <c r="BM907" s="52" t="str">
        <f aca="false">IF(OR(COUNT(B907:D1906)=0,AND('Choix pédagogiques'!$C$3&lt;&gt;1,'Choix pédagogiques'!$C$3&lt;&gt;2)),"",IF(AND(OR('Choix pédagogiques'!$C$3=1,'Choix pédagogiques'!$C$3=2),$B907&lt;&gt;"",$C907&lt;&gt;"",$D907&lt;&gt;""),1,0))</f>
        <v/>
      </c>
      <c r="BN907" s="52" t="str">
        <f aca="false">IF(OR(COUNT(G907:I1906)=0,AND('Choix pédagogiques'!$C$3&lt;&gt;1,'Choix pédagogiques'!$C$3&lt;&gt;2)),"",IF(AND(OR('Choix pédagogiques'!$C$3=1,'Choix pédagogiques'!$C$3=2),AND($G907&lt;&gt;"",$H907&lt;&gt;"",$I907&lt;&gt;"")),1,0))</f>
        <v/>
      </c>
      <c r="BO907" s="52" t="str">
        <f aca="false">IF(OR(COUNT(B907:D1906)=0,COUNT(G907:I1906)=0,'Choix pédagogiques'!C$3&lt;&gt;3),"",IF(AND('Choix pédagogiques'!$C$3=3,$B907&lt;&gt;"",$C907&lt;&gt;"",$D907&lt;&gt;"",$G907&lt;&gt;"",$H907&lt;&gt;"",$I907&lt;&gt;""),1,0))</f>
        <v/>
      </c>
      <c r="BR907" s="52" t="n">
        <v>718</v>
      </c>
      <c r="BS907" s="52" t="n">
        <v>1214</v>
      </c>
    </row>
    <row r="908" s="54" customFormat="true" ht="18" hidden="false" customHeight="true" outlineLevel="0" collapsed="false">
      <c r="A908" s="57" t="s">
        <v>1747</v>
      </c>
      <c r="B908" s="51"/>
      <c r="C908" s="51"/>
      <c r="D908" s="51"/>
      <c r="E908" s="51"/>
      <c r="F908" s="57" t="s">
        <v>1748</v>
      </c>
      <c r="G908" s="51"/>
      <c r="H908" s="51"/>
      <c r="I908" s="51"/>
      <c r="J908" s="51"/>
      <c r="K908" s="52" t="str">
        <f aca="false">IF($A908&lt;&gt;"",$A908,"")</f>
        <v>Apprenant 896</v>
      </c>
      <c r="L908" s="53" t="str">
        <f aca="false">IF(AND($B908&lt;&gt;"",$C908&lt;&gt;""),$C908-$B908,"")</f>
        <v/>
      </c>
      <c r="M908" s="53" t="str">
        <f aca="false">IF(AND($B908&lt;&gt;"",$D908&lt;&gt;""),$D908-$B908,"")</f>
        <v/>
      </c>
      <c r="N908" s="53" t="str">
        <f aca="false">IF(AND($C908&lt;&gt;"",$D908&lt;&gt;""),$D908-$C908,"")</f>
        <v/>
      </c>
      <c r="O908" s="53" t="str">
        <f aca="false">IF($E908&lt;&gt;"",$E908,"")</f>
        <v/>
      </c>
      <c r="P908" s="52" t="str">
        <f aca="false">IF($F908&lt;&gt;"",$F908,"")</f>
        <v>Apprenant 896 ou 896'</v>
      </c>
      <c r="Q908" s="53" t="str">
        <f aca="false">IF(AND($G908&lt;&gt;"",$H908&lt;&gt;""),$H908-$G908,"")</f>
        <v/>
      </c>
      <c r="R908" s="53" t="str">
        <f aca="false">IF(AND($G908&lt;&gt;"",$I908&lt;&gt;""),$I908-$G908,"")</f>
        <v/>
      </c>
      <c r="S908" s="53" t="str">
        <f aca="false">IF(AND($H908&lt;&gt;"",$I908&lt;&gt;""),$I908-$H908,"")</f>
        <v/>
      </c>
      <c r="T908" s="53" t="str">
        <f aca="false">IF($J908&lt;&gt;"",$J908,"")</f>
        <v/>
      </c>
      <c r="V908" s="52" t="str">
        <f aca="false">IF($A908&lt;&gt;"",$A908,"")</f>
        <v>Apprenant 896</v>
      </c>
      <c r="W908" s="53" t="str">
        <f aca="false">IF(AND(OR('Choix pédagogiques'!$C$3=1,'Choix pédagogiques'!$C$3=2),$BM908=1),B908,IF(AND('Choix pédagogiques'!$C$3=3,$BO908=1),B908,""))</f>
        <v/>
      </c>
      <c r="X908" s="53" t="str">
        <f aca="false">IF(AND(OR('Choix pédagogiques'!$C$3=1,'Choix pédagogiques'!$C$3=2),$BM908=1),C908,IF(AND('Choix pédagogiques'!$C$3=3,$BO908=1),C908,""))</f>
        <v/>
      </c>
      <c r="Y908" s="53" t="str">
        <f aca="false">IF(AND(OR('Choix pédagogiques'!$C$3=1,'Choix pédagogiques'!$C$3=2),$BM908=1),D908,IF(AND('Choix pédagogiques'!$C$3=3,$BO908=1),D908,""))</f>
        <v/>
      </c>
      <c r="Z908" s="53" t="str">
        <f aca="false">IF($E908&lt;&gt;"",$E908,"")</f>
        <v/>
      </c>
      <c r="AA908" s="52" t="str">
        <f aca="false">IF($F908&lt;&gt;"",$F908,"")</f>
        <v>Apprenant 896 ou 896'</v>
      </c>
      <c r="AB908" s="53" t="str">
        <f aca="false">IF(AND(OR('Choix pédagogiques'!$C$3=1,'Choix pédagogiques'!$C$3=2),$BN908=1),G908,IF(AND('Choix pédagogiques'!$C$3=3,$BO908=1),G908,""))</f>
        <v/>
      </c>
      <c r="AC908" s="53" t="str">
        <f aca="false">IF(AND(OR('Choix pédagogiques'!$C$3=1,'Choix pédagogiques'!$C$3=2),$BN908=1),H908,IF(AND('Choix pédagogiques'!$C$3=3,$BO908=1),H908,""))</f>
        <v/>
      </c>
      <c r="AD908" s="53" t="str">
        <f aca="false">IF(AND(OR('Choix pédagogiques'!$C$3=1,'Choix pédagogiques'!$C$3=2),$BN908=1),I908,IF(AND('Choix pédagogiques'!$C$3=3,$BO908=1),I908,""))</f>
        <v/>
      </c>
      <c r="AE908" s="53" t="str">
        <f aca="false">IF($J908&lt;&gt;"",$J908,"")</f>
        <v/>
      </c>
      <c r="AF908" s="52" t="str">
        <f aca="false">IF($A908&lt;&gt;"",$A908,"")</f>
        <v>Apprenant 896</v>
      </c>
      <c r="AG908" s="53" t="str">
        <f aca="false">IF(AND($W908&lt;&gt;"",$X908&lt;&gt;""),$X908-$W908,"")</f>
        <v/>
      </c>
      <c r="AH908" s="53" t="str">
        <f aca="false">IF(AND($W908&lt;&gt;"",$Y908&lt;&gt;""),$Y908-$W908,"")</f>
        <v/>
      </c>
      <c r="AI908" s="53" t="str">
        <f aca="false">IF(AND($X908&lt;&gt;"",$Y908&lt;&gt;""),$Y908-$X908,"")</f>
        <v/>
      </c>
      <c r="AJ908" s="53" t="str">
        <f aca="false">IF($E908&lt;&gt;"",$E908,"")</f>
        <v/>
      </c>
      <c r="AK908" s="52" t="str">
        <f aca="false">IF($F908&lt;&gt;"",$F908,"")</f>
        <v>Apprenant 896 ou 896'</v>
      </c>
      <c r="AL908" s="53" t="str">
        <f aca="false">IF(AND($AB908&lt;&gt;"",$AC908&lt;&gt;""),$AC908-$AB908,"")</f>
        <v/>
      </c>
      <c r="AM908" s="53" t="str">
        <f aca="false">IF(AND($AB908&lt;&gt;"",$AD908&lt;&gt;""),$AD908-$AB908,"")</f>
        <v/>
      </c>
      <c r="AN908" s="53" t="str">
        <f aca="false">IF(AND($AC908&lt;&gt;"",$AD908&lt;&gt;""),$AD908-$AC908,"")</f>
        <v/>
      </c>
      <c r="AO908" s="53" t="str">
        <f aca="false">IF($J908&lt;&gt;"",$J908,"")</f>
        <v/>
      </c>
      <c r="AQ908" s="52" t="str">
        <f aca="false">IF($A908&lt;&gt;"",$A908,"")</f>
        <v>Apprenant 896</v>
      </c>
      <c r="AR908" s="55" t="str">
        <f aca="false">IF(AND('Choix pédagogiques'!$C$4&lt;&gt;"?",'Choix pédagogiques'!$C$5&lt;&gt;"?",W908&lt;&gt;""),(W908-'Choix pédagogiques'!$C$4)/('Choix pédagogiques'!$C$5-'Choix pédagogiques'!$C$4),"")</f>
        <v/>
      </c>
      <c r="AS908" s="55" t="str">
        <f aca="false">IF(AND('Choix pédagogiques'!$C$4&lt;&gt;"?",'Choix pédagogiques'!$C$5&lt;&gt;"?",X908&lt;&gt;""),(X908-'Choix pédagogiques'!$C$4)/('Choix pédagogiques'!$C$5-'Choix pédagogiques'!$C$4),"")</f>
        <v/>
      </c>
      <c r="AT908" s="55" t="str">
        <f aca="false">IF(AND('Choix pédagogiques'!$C$4&lt;&gt;"?",'Choix pédagogiques'!$C$5&lt;&gt;"?",Y908&lt;&gt;""),(Y908-'Choix pédagogiques'!$C$4)/('Choix pédagogiques'!$C$5-'Choix pédagogiques'!$C$4),"")</f>
        <v/>
      </c>
      <c r="AU908" s="53" t="str">
        <f aca="false">IF($E908&lt;&gt;"",$E908,"")</f>
        <v/>
      </c>
      <c r="AV908" s="52" t="str">
        <f aca="false">IF($F908&lt;&gt;"",$F908,"")</f>
        <v>Apprenant 896 ou 896'</v>
      </c>
      <c r="AW908" s="55" t="str">
        <f aca="false">IF(AND('Choix pédagogiques'!$C$4&lt;&gt;"?",'Choix pédagogiques'!$C$5&lt;&gt;"?",AB908&lt;&gt;""),(AB908-'Choix pédagogiques'!$C$4)/('Choix pédagogiques'!$C$5-'Choix pédagogiques'!$C$4),"")</f>
        <v/>
      </c>
      <c r="AX908" s="55" t="str">
        <f aca="false">IF(AND('Choix pédagogiques'!$C$4&lt;&gt;"?",'Choix pédagogiques'!$C$5&lt;&gt;"?",AC908&lt;&gt;""),(AC908-'Choix pédagogiques'!$C$4)/('Choix pédagogiques'!$C$5-'Choix pédagogiques'!$C$4),"")</f>
        <v/>
      </c>
      <c r="AY908" s="55" t="str">
        <f aca="false">IF(AND('Choix pédagogiques'!$C$4&lt;&gt;"?",'Choix pédagogiques'!$C$5&lt;&gt;"?",AD908&lt;&gt;""),(AD908-'Choix pédagogiques'!$C$4)/('Choix pédagogiques'!$C$5-'Choix pédagogiques'!$C$4),"")</f>
        <v/>
      </c>
      <c r="AZ908" s="53" t="str">
        <f aca="false">IF($J908&lt;&gt;"",$J908,"")</f>
        <v/>
      </c>
      <c r="BA908" s="52" t="str">
        <f aca="false">IF($A908&lt;&gt;"",$A908,"")</f>
        <v>Apprenant 896</v>
      </c>
      <c r="BB908" s="55" t="str">
        <f aca="false">IF(AND($AR908&lt;&gt;"",$AS908&lt;&gt;""),$AS908-$AR908,"")</f>
        <v/>
      </c>
      <c r="BC908" s="55" t="str">
        <f aca="false">IF(AND($AR908&lt;&gt;"",$AT908&lt;&gt;""),$AT908-$AR908,"")</f>
        <v/>
      </c>
      <c r="BD908" s="55" t="str">
        <f aca="false">IF(AND($AS908&lt;&gt;"",$AT908&lt;&gt;""),$AT908-$AS908,"")</f>
        <v/>
      </c>
      <c r="BE908" s="53" t="str">
        <f aca="false">IF($E908&lt;&gt;"",$E908,"")</f>
        <v/>
      </c>
      <c r="BF908" s="52" t="str">
        <f aca="false">IF($F908&lt;&gt;"",$F908,"")</f>
        <v>Apprenant 896 ou 896'</v>
      </c>
      <c r="BG908" s="55" t="str">
        <f aca="false">IF(AND($AW908&lt;&gt;"",$AX908&lt;&gt;""),$AX908-$AW908,"")</f>
        <v/>
      </c>
      <c r="BH908" s="55" t="str">
        <f aca="false">IF(AND($AW908&lt;&gt;"",$AY908&lt;&gt;""),$AY908-$AW908,"")</f>
        <v/>
      </c>
      <c r="BI908" s="55" t="str">
        <f aca="false">IF(AND($AX908&lt;&gt;"",$AY908&lt;&gt;""),$AY908-$AX908,"")</f>
        <v/>
      </c>
      <c r="BJ908" s="53" t="str">
        <f aca="false">IF($J908&lt;&gt;"",$J908,"")</f>
        <v/>
      </c>
      <c r="BL908" s="52"/>
      <c r="BM908" s="52" t="str">
        <f aca="false">IF(OR(COUNT(B908:D1907)=0,AND('Choix pédagogiques'!$C$3&lt;&gt;1,'Choix pédagogiques'!$C$3&lt;&gt;2)),"",IF(AND(OR('Choix pédagogiques'!$C$3=1,'Choix pédagogiques'!$C$3=2),$B908&lt;&gt;"",$C908&lt;&gt;"",$D908&lt;&gt;""),1,0))</f>
        <v/>
      </c>
      <c r="BN908" s="52" t="str">
        <f aca="false">IF(OR(COUNT(G908:I1907)=0,AND('Choix pédagogiques'!$C$3&lt;&gt;1,'Choix pédagogiques'!$C$3&lt;&gt;2)),"",IF(AND(OR('Choix pédagogiques'!$C$3=1,'Choix pédagogiques'!$C$3=2),AND($G908&lt;&gt;"",$H908&lt;&gt;"",$I908&lt;&gt;"")),1,0))</f>
        <v/>
      </c>
      <c r="BO908" s="52" t="str">
        <f aca="false">IF(OR(COUNT(B908:D1907)=0,COUNT(G908:I1907)=0,'Choix pédagogiques'!C$3&lt;&gt;3),"",IF(AND('Choix pédagogiques'!$C$3=3,$B908&lt;&gt;"",$C908&lt;&gt;"",$D908&lt;&gt;"",$G908&lt;&gt;"",$H908&lt;&gt;"",$I908&lt;&gt;""),1,0))</f>
        <v/>
      </c>
      <c r="BR908" s="52" t="n">
        <v>1000</v>
      </c>
      <c r="BS908" s="52" t="n">
        <v>1119</v>
      </c>
    </row>
    <row r="909" s="54" customFormat="true" ht="18" hidden="false" customHeight="true" outlineLevel="0" collapsed="false">
      <c r="A909" s="57" t="s">
        <v>1749</v>
      </c>
      <c r="B909" s="51"/>
      <c r="C909" s="51"/>
      <c r="D909" s="51"/>
      <c r="E909" s="51"/>
      <c r="F909" s="57" t="s">
        <v>1750</v>
      </c>
      <c r="G909" s="51"/>
      <c r="H909" s="51"/>
      <c r="I909" s="51"/>
      <c r="J909" s="51"/>
      <c r="K909" s="52" t="str">
        <f aca="false">IF($A909&lt;&gt;"",$A909,"")</f>
        <v>Apprenant 897</v>
      </c>
      <c r="L909" s="53" t="str">
        <f aca="false">IF(AND($B909&lt;&gt;"",$C909&lt;&gt;""),$C909-$B909,"")</f>
        <v/>
      </c>
      <c r="M909" s="53" t="str">
        <f aca="false">IF(AND($B909&lt;&gt;"",$D909&lt;&gt;""),$D909-$B909,"")</f>
        <v/>
      </c>
      <c r="N909" s="53" t="str">
        <f aca="false">IF(AND($C909&lt;&gt;"",$D909&lt;&gt;""),$D909-$C909,"")</f>
        <v/>
      </c>
      <c r="O909" s="53" t="str">
        <f aca="false">IF($E909&lt;&gt;"",$E909,"")</f>
        <v/>
      </c>
      <c r="P909" s="52" t="str">
        <f aca="false">IF($F909&lt;&gt;"",$F909,"")</f>
        <v>Apprenant 897 ou 897'</v>
      </c>
      <c r="Q909" s="53" t="str">
        <f aca="false">IF(AND($G909&lt;&gt;"",$H909&lt;&gt;""),$H909-$G909,"")</f>
        <v/>
      </c>
      <c r="R909" s="53" t="str">
        <f aca="false">IF(AND($G909&lt;&gt;"",$I909&lt;&gt;""),$I909-$G909,"")</f>
        <v/>
      </c>
      <c r="S909" s="53" t="str">
        <f aca="false">IF(AND($H909&lt;&gt;"",$I909&lt;&gt;""),$I909-$H909,"")</f>
        <v/>
      </c>
      <c r="T909" s="53" t="str">
        <f aca="false">IF($J909&lt;&gt;"",$J909,"")</f>
        <v/>
      </c>
      <c r="V909" s="52" t="str">
        <f aca="false">IF($A909&lt;&gt;"",$A909,"")</f>
        <v>Apprenant 897</v>
      </c>
      <c r="W909" s="53" t="str">
        <f aca="false">IF(AND(OR('Choix pédagogiques'!$C$3=1,'Choix pédagogiques'!$C$3=2),$BM909=1),B909,IF(AND('Choix pédagogiques'!$C$3=3,$BO909=1),B909,""))</f>
        <v/>
      </c>
      <c r="X909" s="53" t="str">
        <f aca="false">IF(AND(OR('Choix pédagogiques'!$C$3=1,'Choix pédagogiques'!$C$3=2),$BM909=1),C909,IF(AND('Choix pédagogiques'!$C$3=3,$BO909=1),C909,""))</f>
        <v/>
      </c>
      <c r="Y909" s="53" t="str">
        <f aca="false">IF(AND(OR('Choix pédagogiques'!$C$3=1,'Choix pédagogiques'!$C$3=2),$BM909=1),D909,IF(AND('Choix pédagogiques'!$C$3=3,$BO909=1),D909,""))</f>
        <v/>
      </c>
      <c r="Z909" s="53" t="str">
        <f aca="false">IF($E909&lt;&gt;"",$E909,"")</f>
        <v/>
      </c>
      <c r="AA909" s="52" t="str">
        <f aca="false">IF($F909&lt;&gt;"",$F909,"")</f>
        <v>Apprenant 897 ou 897'</v>
      </c>
      <c r="AB909" s="53" t="str">
        <f aca="false">IF(AND(OR('Choix pédagogiques'!$C$3=1,'Choix pédagogiques'!$C$3=2),$BN909=1),G909,IF(AND('Choix pédagogiques'!$C$3=3,$BO909=1),G909,""))</f>
        <v/>
      </c>
      <c r="AC909" s="53" t="str">
        <f aca="false">IF(AND(OR('Choix pédagogiques'!$C$3=1,'Choix pédagogiques'!$C$3=2),$BN909=1),H909,IF(AND('Choix pédagogiques'!$C$3=3,$BO909=1),H909,""))</f>
        <v/>
      </c>
      <c r="AD909" s="53" t="str">
        <f aca="false">IF(AND(OR('Choix pédagogiques'!$C$3=1,'Choix pédagogiques'!$C$3=2),$BN909=1),I909,IF(AND('Choix pédagogiques'!$C$3=3,$BO909=1),I909,""))</f>
        <v/>
      </c>
      <c r="AE909" s="53" t="str">
        <f aca="false">IF($J909&lt;&gt;"",$J909,"")</f>
        <v/>
      </c>
      <c r="AF909" s="52" t="str">
        <f aca="false">IF($A909&lt;&gt;"",$A909,"")</f>
        <v>Apprenant 897</v>
      </c>
      <c r="AG909" s="53" t="str">
        <f aca="false">IF(AND($W909&lt;&gt;"",$X909&lt;&gt;""),$X909-$W909,"")</f>
        <v/>
      </c>
      <c r="AH909" s="53" t="str">
        <f aca="false">IF(AND($W909&lt;&gt;"",$Y909&lt;&gt;""),$Y909-$W909,"")</f>
        <v/>
      </c>
      <c r="AI909" s="53" t="str">
        <f aca="false">IF(AND($X909&lt;&gt;"",$Y909&lt;&gt;""),$Y909-$X909,"")</f>
        <v/>
      </c>
      <c r="AJ909" s="53" t="str">
        <f aca="false">IF($E909&lt;&gt;"",$E909,"")</f>
        <v/>
      </c>
      <c r="AK909" s="52" t="str">
        <f aca="false">IF($F909&lt;&gt;"",$F909,"")</f>
        <v>Apprenant 897 ou 897'</v>
      </c>
      <c r="AL909" s="53" t="str">
        <f aca="false">IF(AND($AB909&lt;&gt;"",$AC909&lt;&gt;""),$AC909-$AB909,"")</f>
        <v/>
      </c>
      <c r="AM909" s="53" t="str">
        <f aca="false">IF(AND($AB909&lt;&gt;"",$AD909&lt;&gt;""),$AD909-$AB909,"")</f>
        <v/>
      </c>
      <c r="AN909" s="53" t="str">
        <f aca="false">IF(AND($AC909&lt;&gt;"",$AD909&lt;&gt;""),$AD909-$AC909,"")</f>
        <v/>
      </c>
      <c r="AO909" s="53" t="str">
        <f aca="false">IF($J909&lt;&gt;"",$J909,"")</f>
        <v/>
      </c>
      <c r="AQ909" s="52" t="str">
        <f aca="false">IF($A909&lt;&gt;"",$A909,"")</f>
        <v>Apprenant 897</v>
      </c>
      <c r="AR909" s="55" t="str">
        <f aca="false">IF(AND('Choix pédagogiques'!$C$4&lt;&gt;"?",'Choix pédagogiques'!$C$5&lt;&gt;"?",W909&lt;&gt;""),(W909-'Choix pédagogiques'!$C$4)/('Choix pédagogiques'!$C$5-'Choix pédagogiques'!$C$4),"")</f>
        <v/>
      </c>
      <c r="AS909" s="55" t="str">
        <f aca="false">IF(AND('Choix pédagogiques'!$C$4&lt;&gt;"?",'Choix pédagogiques'!$C$5&lt;&gt;"?",X909&lt;&gt;""),(X909-'Choix pédagogiques'!$C$4)/('Choix pédagogiques'!$C$5-'Choix pédagogiques'!$C$4),"")</f>
        <v/>
      </c>
      <c r="AT909" s="55" t="str">
        <f aca="false">IF(AND('Choix pédagogiques'!$C$4&lt;&gt;"?",'Choix pédagogiques'!$C$5&lt;&gt;"?",Y909&lt;&gt;""),(Y909-'Choix pédagogiques'!$C$4)/('Choix pédagogiques'!$C$5-'Choix pédagogiques'!$C$4),"")</f>
        <v/>
      </c>
      <c r="AU909" s="53" t="str">
        <f aca="false">IF($E909&lt;&gt;"",$E909,"")</f>
        <v/>
      </c>
      <c r="AV909" s="52" t="str">
        <f aca="false">IF($F909&lt;&gt;"",$F909,"")</f>
        <v>Apprenant 897 ou 897'</v>
      </c>
      <c r="AW909" s="55" t="str">
        <f aca="false">IF(AND('Choix pédagogiques'!$C$4&lt;&gt;"?",'Choix pédagogiques'!$C$5&lt;&gt;"?",AB909&lt;&gt;""),(AB909-'Choix pédagogiques'!$C$4)/('Choix pédagogiques'!$C$5-'Choix pédagogiques'!$C$4),"")</f>
        <v/>
      </c>
      <c r="AX909" s="55" t="str">
        <f aca="false">IF(AND('Choix pédagogiques'!$C$4&lt;&gt;"?",'Choix pédagogiques'!$C$5&lt;&gt;"?",AC909&lt;&gt;""),(AC909-'Choix pédagogiques'!$C$4)/('Choix pédagogiques'!$C$5-'Choix pédagogiques'!$C$4),"")</f>
        <v/>
      </c>
      <c r="AY909" s="55" t="str">
        <f aca="false">IF(AND('Choix pédagogiques'!$C$4&lt;&gt;"?",'Choix pédagogiques'!$C$5&lt;&gt;"?",AD909&lt;&gt;""),(AD909-'Choix pédagogiques'!$C$4)/('Choix pédagogiques'!$C$5-'Choix pédagogiques'!$C$4),"")</f>
        <v/>
      </c>
      <c r="AZ909" s="53" t="str">
        <f aca="false">IF($J909&lt;&gt;"",$J909,"")</f>
        <v/>
      </c>
      <c r="BA909" s="52" t="str">
        <f aca="false">IF($A909&lt;&gt;"",$A909,"")</f>
        <v>Apprenant 897</v>
      </c>
      <c r="BB909" s="55" t="str">
        <f aca="false">IF(AND($AR909&lt;&gt;"",$AS909&lt;&gt;""),$AS909-$AR909,"")</f>
        <v/>
      </c>
      <c r="BC909" s="55" t="str">
        <f aca="false">IF(AND($AR909&lt;&gt;"",$AT909&lt;&gt;""),$AT909-$AR909,"")</f>
        <v/>
      </c>
      <c r="BD909" s="55" t="str">
        <f aca="false">IF(AND($AS909&lt;&gt;"",$AT909&lt;&gt;""),$AT909-$AS909,"")</f>
        <v/>
      </c>
      <c r="BE909" s="53" t="str">
        <f aca="false">IF($E909&lt;&gt;"",$E909,"")</f>
        <v/>
      </c>
      <c r="BF909" s="52" t="str">
        <f aca="false">IF($F909&lt;&gt;"",$F909,"")</f>
        <v>Apprenant 897 ou 897'</v>
      </c>
      <c r="BG909" s="55" t="str">
        <f aca="false">IF(AND($AW909&lt;&gt;"",$AX909&lt;&gt;""),$AX909-$AW909,"")</f>
        <v/>
      </c>
      <c r="BH909" s="55" t="str">
        <f aca="false">IF(AND($AW909&lt;&gt;"",$AY909&lt;&gt;""),$AY909-$AW909,"")</f>
        <v/>
      </c>
      <c r="BI909" s="55" t="str">
        <f aca="false">IF(AND($AX909&lt;&gt;"",$AY909&lt;&gt;""),$AY909-$AX909,"")</f>
        <v/>
      </c>
      <c r="BJ909" s="53" t="str">
        <f aca="false">IF($J909&lt;&gt;"",$J909,"")</f>
        <v/>
      </c>
      <c r="BL909" s="52"/>
      <c r="BM909" s="52" t="str">
        <f aca="false">IF(OR(COUNT(B909:D1908)=0,AND('Choix pédagogiques'!$C$3&lt;&gt;1,'Choix pédagogiques'!$C$3&lt;&gt;2)),"",IF(AND(OR('Choix pédagogiques'!$C$3=1,'Choix pédagogiques'!$C$3=2),$B909&lt;&gt;"",$C909&lt;&gt;"",$D909&lt;&gt;""),1,0))</f>
        <v/>
      </c>
      <c r="BN909" s="52" t="str">
        <f aca="false">IF(OR(COUNT(G909:I1908)=0,AND('Choix pédagogiques'!$C$3&lt;&gt;1,'Choix pédagogiques'!$C$3&lt;&gt;2)),"",IF(AND(OR('Choix pédagogiques'!$C$3=1,'Choix pédagogiques'!$C$3=2),AND($G909&lt;&gt;"",$H909&lt;&gt;"",$I909&lt;&gt;"")),1,0))</f>
        <v/>
      </c>
      <c r="BO909" s="52" t="str">
        <f aca="false">IF(OR(COUNT(B909:D1908)=0,COUNT(G909:I1908)=0,'Choix pédagogiques'!C$3&lt;&gt;3),"",IF(AND('Choix pédagogiques'!$C$3=3,$B909&lt;&gt;"",$C909&lt;&gt;"",$D909&lt;&gt;"",$G909&lt;&gt;"",$H909&lt;&gt;"",$I909&lt;&gt;""),1,0))</f>
        <v/>
      </c>
      <c r="BR909" s="52" t="n">
        <v>387</v>
      </c>
      <c r="BS909" s="52" t="n">
        <v>1355</v>
      </c>
    </row>
    <row r="910" s="54" customFormat="true" ht="18" hidden="false" customHeight="true" outlineLevel="0" collapsed="false">
      <c r="A910" s="57" t="s">
        <v>1751</v>
      </c>
      <c r="B910" s="51"/>
      <c r="C910" s="51"/>
      <c r="D910" s="51"/>
      <c r="E910" s="51"/>
      <c r="F910" s="57" t="s">
        <v>1752</v>
      </c>
      <c r="G910" s="51"/>
      <c r="H910" s="51"/>
      <c r="I910" s="51"/>
      <c r="J910" s="51"/>
      <c r="K910" s="52" t="str">
        <f aca="false">IF($A910&lt;&gt;"",$A910,"")</f>
        <v>Apprenant 898</v>
      </c>
      <c r="L910" s="53" t="str">
        <f aca="false">IF(AND($B910&lt;&gt;"",$C910&lt;&gt;""),$C910-$B910,"")</f>
        <v/>
      </c>
      <c r="M910" s="53" t="str">
        <f aca="false">IF(AND($B910&lt;&gt;"",$D910&lt;&gt;""),$D910-$B910,"")</f>
        <v/>
      </c>
      <c r="N910" s="53" t="str">
        <f aca="false">IF(AND($C910&lt;&gt;"",$D910&lt;&gt;""),$D910-$C910,"")</f>
        <v/>
      </c>
      <c r="O910" s="53" t="str">
        <f aca="false">IF($E910&lt;&gt;"",$E910,"")</f>
        <v/>
      </c>
      <c r="P910" s="52" t="str">
        <f aca="false">IF($F910&lt;&gt;"",$F910,"")</f>
        <v>Apprenant 898 ou 898'</v>
      </c>
      <c r="Q910" s="53" t="str">
        <f aca="false">IF(AND($G910&lt;&gt;"",$H910&lt;&gt;""),$H910-$G910,"")</f>
        <v/>
      </c>
      <c r="R910" s="53" t="str">
        <f aca="false">IF(AND($G910&lt;&gt;"",$I910&lt;&gt;""),$I910-$G910,"")</f>
        <v/>
      </c>
      <c r="S910" s="53" t="str">
        <f aca="false">IF(AND($H910&lt;&gt;"",$I910&lt;&gt;""),$I910-$H910,"")</f>
        <v/>
      </c>
      <c r="T910" s="53" t="str">
        <f aca="false">IF($J910&lt;&gt;"",$J910,"")</f>
        <v/>
      </c>
      <c r="V910" s="52" t="str">
        <f aca="false">IF($A910&lt;&gt;"",$A910,"")</f>
        <v>Apprenant 898</v>
      </c>
      <c r="W910" s="53" t="str">
        <f aca="false">IF(AND(OR('Choix pédagogiques'!$C$3=1,'Choix pédagogiques'!$C$3=2),$BM910=1),B910,IF(AND('Choix pédagogiques'!$C$3=3,$BO910=1),B910,""))</f>
        <v/>
      </c>
      <c r="X910" s="53" t="str">
        <f aca="false">IF(AND(OR('Choix pédagogiques'!$C$3=1,'Choix pédagogiques'!$C$3=2),$BM910=1),C910,IF(AND('Choix pédagogiques'!$C$3=3,$BO910=1),C910,""))</f>
        <v/>
      </c>
      <c r="Y910" s="53" t="str">
        <f aca="false">IF(AND(OR('Choix pédagogiques'!$C$3=1,'Choix pédagogiques'!$C$3=2),$BM910=1),D910,IF(AND('Choix pédagogiques'!$C$3=3,$BO910=1),D910,""))</f>
        <v/>
      </c>
      <c r="Z910" s="53" t="str">
        <f aca="false">IF($E910&lt;&gt;"",$E910,"")</f>
        <v/>
      </c>
      <c r="AA910" s="52" t="str">
        <f aca="false">IF($F910&lt;&gt;"",$F910,"")</f>
        <v>Apprenant 898 ou 898'</v>
      </c>
      <c r="AB910" s="53" t="str">
        <f aca="false">IF(AND(OR('Choix pédagogiques'!$C$3=1,'Choix pédagogiques'!$C$3=2),$BN910=1),G910,IF(AND('Choix pédagogiques'!$C$3=3,$BO910=1),G910,""))</f>
        <v/>
      </c>
      <c r="AC910" s="53" t="str">
        <f aca="false">IF(AND(OR('Choix pédagogiques'!$C$3=1,'Choix pédagogiques'!$C$3=2),$BN910=1),H910,IF(AND('Choix pédagogiques'!$C$3=3,$BO910=1),H910,""))</f>
        <v/>
      </c>
      <c r="AD910" s="53" t="str">
        <f aca="false">IF(AND(OR('Choix pédagogiques'!$C$3=1,'Choix pédagogiques'!$C$3=2),$BN910=1),I910,IF(AND('Choix pédagogiques'!$C$3=3,$BO910=1),I910,""))</f>
        <v/>
      </c>
      <c r="AE910" s="53" t="str">
        <f aca="false">IF($J910&lt;&gt;"",$J910,"")</f>
        <v/>
      </c>
      <c r="AF910" s="52" t="str">
        <f aca="false">IF($A910&lt;&gt;"",$A910,"")</f>
        <v>Apprenant 898</v>
      </c>
      <c r="AG910" s="53" t="str">
        <f aca="false">IF(AND($W910&lt;&gt;"",$X910&lt;&gt;""),$X910-$W910,"")</f>
        <v/>
      </c>
      <c r="AH910" s="53" t="str">
        <f aca="false">IF(AND($W910&lt;&gt;"",$Y910&lt;&gt;""),$Y910-$W910,"")</f>
        <v/>
      </c>
      <c r="AI910" s="53" t="str">
        <f aca="false">IF(AND($X910&lt;&gt;"",$Y910&lt;&gt;""),$Y910-$X910,"")</f>
        <v/>
      </c>
      <c r="AJ910" s="53" t="str">
        <f aca="false">IF($E910&lt;&gt;"",$E910,"")</f>
        <v/>
      </c>
      <c r="AK910" s="52" t="str">
        <f aca="false">IF($F910&lt;&gt;"",$F910,"")</f>
        <v>Apprenant 898 ou 898'</v>
      </c>
      <c r="AL910" s="53" t="str">
        <f aca="false">IF(AND($AB910&lt;&gt;"",$AC910&lt;&gt;""),$AC910-$AB910,"")</f>
        <v/>
      </c>
      <c r="AM910" s="53" t="str">
        <f aca="false">IF(AND($AB910&lt;&gt;"",$AD910&lt;&gt;""),$AD910-$AB910,"")</f>
        <v/>
      </c>
      <c r="AN910" s="53" t="str">
        <f aca="false">IF(AND($AC910&lt;&gt;"",$AD910&lt;&gt;""),$AD910-$AC910,"")</f>
        <v/>
      </c>
      <c r="AO910" s="53" t="str">
        <f aca="false">IF($J910&lt;&gt;"",$J910,"")</f>
        <v/>
      </c>
      <c r="AQ910" s="52" t="str">
        <f aca="false">IF($A910&lt;&gt;"",$A910,"")</f>
        <v>Apprenant 898</v>
      </c>
      <c r="AR910" s="55" t="str">
        <f aca="false">IF(AND('Choix pédagogiques'!$C$4&lt;&gt;"?",'Choix pédagogiques'!$C$5&lt;&gt;"?",W910&lt;&gt;""),(W910-'Choix pédagogiques'!$C$4)/('Choix pédagogiques'!$C$5-'Choix pédagogiques'!$C$4),"")</f>
        <v/>
      </c>
      <c r="AS910" s="55" t="str">
        <f aca="false">IF(AND('Choix pédagogiques'!$C$4&lt;&gt;"?",'Choix pédagogiques'!$C$5&lt;&gt;"?",X910&lt;&gt;""),(X910-'Choix pédagogiques'!$C$4)/('Choix pédagogiques'!$C$5-'Choix pédagogiques'!$C$4),"")</f>
        <v/>
      </c>
      <c r="AT910" s="55" t="str">
        <f aca="false">IF(AND('Choix pédagogiques'!$C$4&lt;&gt;"?",'Choix pédagogiques'!$C$5&lt;&gt;"?",Y910&lt;&gt;""),(Y910-'Choix pédagogiques'!$C$4)/('Choix pédagogiques'!$C$5-'Choix pédagogiques'!$C$4),"")</f>
        <v/>
      </c>
      <c r="AU910" s="53" t="str">
        <f aca="false">IF($E910&lt;&gt;"",$E910,"")</f>
        <v/>
      </c>
      <c r="AV910" s="52" t="str">
        <f aca="false">IF($F910&lt;&gt;"",$F910,"")</f>
        <v>Apprenant 898 ou 898'</v>
      </c>
      <c r="AW910" s="55" t="str">
        <f aca="false">IF(AND('Choix pédagogiques'!$C$4&lt;&gt;"?",'Choix pédagogiques'!$C$5&lt;&gt;"?",AB910&lt;&gt;""),(AB910-'Choix pédagogiques'!$C$4)/('Choix pédagogiques'!$C$5-'Choix pédagogiques'!$C$4),"")</f>
        <v/>
      </c>
      <c r="AX910" s="55" t="str">
        <f aca="false">IF(AND('Choix pédagogiques'!$C$4&lt;&gt;"?",'Choix pédagogiques'!$C$5&lt;&gt;"?",AC910&lt;&gt;""),(AC910-'Choix pédagogiques'!$C$4)/('Choix pédagogiques'!$C$5-'Choix pédagogiques'!$C$4),"")</f>
        <v/>
      </c>
      <c r="AY910" s="55" t="str">
        <f aca="false">IF(AND('Choix pédagogiques'!$C$4&lt;&gt;"?",'Choix pédagogiques'!$C$5&lt;&gt;"?",AD910&lt;&gt;""),(AD910-'Choix pédagogiques'!$C$4)/('Choix pédagogiques'!$C$5-'Choix pédagogiques'!$C$4),"")</f>
        <v/>
      </c>
      <c r="AZ910" s="53" t="str">
        <f aca="false">IF($J910&lt;&gt;"",$J910,"")</f>
        <v/>
      </c>
      <c r="BA910" s="52" t="str">
        <f aca="false">IF($A910&lt;&gt;"",$A910,"")</f>
        <v>Apprenant 898</v>
      </c>
      <c r="BB910" s="55" t="str">
        <f aca="false">IF(AND($AR910&lt;&gt;"",$AS910&lt;&gt;""),$AS910-$AR910,"")</f>
        <v/>
      </c>
      <c r="BC910" s="55" t="str">
        <f aca="false">IF(AND($AR910&lt;&gt;"",$AT910&lt;&gt;""),$AT910-$AR910,"")</f>
        <v/>
      </c>
      <c r="BD910" s="55" t="str">
        <f aca="false">IF(AND($AS910&lt;&gt;"",$AT910&lt;&gt;""),$AT910-$AS910,"")</f>
        <v/>
      </c>
      <c r="BE910" s="53" t="str">
        <f aca="false">IF($E910&lt;&gt;"",$E910,"")</f>
        <v/>
      </c>
      <c r="BF910" s="52" t="str">
        <f aca="false">IF($F910&lt;&gt;"",$F910,"")</f>
        <v>Apprenant 898 ou 898'</v>
      </c>
      <c r="BG910" s="55" t="str">
        <f aca="false">IF(AND($AW910&lt;&gt;"",$AX910&lt;&gt;""),$AX910-$AW910,"")</f>
        <v/>
      </c>
      <c r="BH910" s="55" t="str">
        <f aca="false">IF(AND($AW910&lt;&gt;"",$AY910&lt;&gt;""),$AY910-$AW910,"")</f>
        <v/>
      </c>
      <c r="BI910" s="55" t="str">
        <f aca="false">IF(AND($AX910&lt;&gt;"",$AY910&lt;&gt;""),$AY910-$AX910,"")</f>
        <v/>
      </c>
      <c r="BJ910" s="53" t="str">
        <f aca="false">IF($J910&lt;&gt;"",$J910,"")</f>
        <v/>
      </c>
      <c r="BL910" s="52"/>
      <c r="BM910" s="52" t="str">
        <f aca="false">IF(OR(COUNT(B910:D1909)=0,AND('Choix pédagogiques'!$C$3&lt;&gt;1,'Choix pédagogiques'!$C$3&lt;&gt;2)),"",IF(AND(OR('Choix pédagogiques'!$C$3=1,'Choix pédagogiques'!$C$3=2),$B910&lt;&gt;"",$C910&lt;&gt;"",$D910&lt;&gt;""),1,0))</f>
        <v/>
      </c>
      <c r="BN910" s="52" t="str">
        <f aca="false">IF(OR(COUNT(G910:I1909)=0,AND('Choix pédagogiques'!$C$3&lt;&gt;1,'Choix pédagogiques'!$C$3&lt;&gt;2)),"",IF(AND(OR('Choix pédagogiques'!$C$3=1,'Choix pédagogiques'!$C$3=2),AND($G910&lt;&gt;"",$H910&lt;&gt;"",$I910&lt;&gt;"")),1,0))</f>
        <v/>
      </c>
      <c r="BO910" s="52" t="str">
        <f aca="false">IF(OR(COUNT(B910:D1909)=0,COUNT(G910:I1909)=0,'Choix pédagogiques'!C$3&lt;&gt;3),"",IF(AND('Choix pédagogiques'!$C$3=3,$B910&lt;&gt;"",$C910&lt;&gt;"",$D910&lt;&gt;"",$G910&lt;&gt;"",$H910&lt;&gt;"",$I910&lt;&gt;""),1,0))</f>
        <v/>
      </c>
      <c r="BR910" s="52" t="n">
        <v>956</v>
      </c>
      <c r="BS910" s="52" t="n">
        <v>1427</v>
      </c>
    </row>
    <row r="911" s="54" customFormat="true" ht="18" hidden="false" customHeight="true" outlineLevel="0" collapsed="false">
      <c r="A911" s="57" t="s">
        <v>1753</v>
      </c>
      <c r="B911" s="51"/>
      <c r="C911" s="51"/>
      <c r="D911" s="51"/>
      <c r="E911" s="51"/>
      <c r="F911" s="57" t="s">
        <v>1754</v>
      </c>
      <c r="G911" s="51"/>
      <c r="H911" s="51"/>
      <c r="I911" s="51"/>
      <c r="J911" s="51"/>
      <c r="K911" s="52" t="str">
        <f aca="false">IF($A911&lt;&gt;"",$A911,"")</f>
        <v>Apprenant 899</v>
      </c>
      <c r="L911" s="53" t="str">
        <f aca="false">IF(AND($B911&lt;&gt;"",$C911&lt;&gt;""),$C911-$B911,"")</f>
        <v/>
      </c>
      <c r="M911" s="53" t="str">
        <f aca="false">IF(AND($B911&lt;&gt;"",$D911&lt;&gt;""),$D911-$B911,"")</f>
        <v/>
      </c>
      <c r="N911" s="53" t="str">
        <f aca="false">IF(AND($C911&lt;&gt;"",$D911&lt;&gt;""),$D911-$C911,"")</f>
        <v/>
      </c>
      <c r="O911" s="53" t="str">
        <f aca="false">IF($E911&lt;&gt;"",$E911,"")</f>
        <v/>
      </c>
      <c r="P911" s="52" t="str">
        <f aca="false">IF($F911&lt;&gt;"",$F911,"")</f>
        <v>Apprenant 899 ou 899'</v>
      </c>
      <c r="Q911" s="53" t="str">
        <f aca="false">IF(AND($G911&lt;&gt;"",$H911&lt;&gt;""),$H911-$G911,"")</f>
        <v/>
      </c>
      <c r="R911" s="53" t="str">
        <f aca="false">IF(AND($G911&lt;&gt;"",$I911&lt;&gt;""),$I911-$G911,"")</f>
        <v/>
      </c>
      <c r="S911" s="53" t="str">
        <f aca="false">IF(AND($H911&lt;&gt;"",$I911&lt;&gt;""),$I911-$H911,"")</f>
        <v/>
      </c>
      <c r="T911" s="53" t="str">
        <f aca="false">IF($J911&lt;&gt;"",$J911,"")</f>
        <v/>
      </c>
      <c r="V911" s="52" t="str">
        <f aca="false">IF($A911&lt;&gt;"",$A911,"")</f>
        <v>Apprenant 899</v>
      </c>
      <c r="W911" s="53" t="str">
        <f aca="false">IF(AND(OR('Choix pédagogiques'!$C$3=1,'Choix pédagogiques'!$C$3=2),$BM911=1),B911,IF(AND('Choix pédagogiques'!$C$3=3,$BO911=1),B911,""))</f>
        <v/>
      </c>
      <c r="X911" s="53" t="str">
        <f aca="false">IF(AND(OR('Choix pédagogiques'!$C$3=1,'Choix pédagogiques'!$C$3=2),$BM911=1),C911,IF(AND('Choix pédagogiques'!$C$3=3,$BO911=1),C911,""))</f>
        <v/>
      </c>
      <c r="Y911" s="53" t="str">
        <f aca="false">IF(AND(OR('Choix pédagogiques'!$C$3=1,'Choix pédagogiques'!$C$3=2),$BM911=1),D911,IF(AND('Choix pédagogiques'!$C$3=3,$BO911=1),D911,""))</f>
        <v/>
      </c>
      <c r="Z911" s="53" t="str">
        <f aca="false">IF($E911&lt;&gt;"",$E911,"")</f>
        <v/>
      </c>
      <c r="AA911" s="52" t="str">
        <f aca="false">IF($F911&lt;&gt;"",$F911,"")</f>
        <v>Apprenant 899 ou 899'</v>
      </c>
      <c r="AB911" s="53" t="str">
        <f aca="false">IF(AND(OR('Choix pédagogiques'!$C$3=1,'Choix pédagogiques'!$C$3=2),$BN911=1),G911,IF(AND('Choix pédagogiques'!$C$3=3,$BO911=1),G911,""))</f>
        <v/>
      </c>
      <c r="AC911" s="53" t="str">
        <f aca="false">IF(AND(OR('Choix pédagogiques'!$C$3=1,'Choix pédagogiques'!$C$3=2),$BN911=1),H911,IF(AND('Choix pédagogiques'!$C$3=3,$BO911=1),H911,""))</f>
        <v/>
      </c>
      <c r="AD911" s="53" t="str">
        <f aca="false">IF(AND(OR('Choix pédagogiques'!$C$3=1,'Choix pédagogiques'!$C$3=2),$BN911=1),I911,IF(AND('Choix pédagogiques'!$C$3=3,$BO911=1),I911,""))</f>
        <v/>
      </c>
      <c r="AE911" s="53" t="str">
        <f aca="false">IF($J911&lt;&gt;"",$J911,"")</f>
        <v/>
      </c>
      <c r="AF911" s="52" t="str">
        <f aca="false">IF($A911&lt;&gt;"",$A911,"")</f>
        <v>Apprenant 899</v>
      </c>
      <c r="AG911" s="53" t="str">
        <f aca="false">IF(AND($W911&lt;&gt;"",$X911&lt;&gt;""),$X911-$W911,"")</f>
        <v/>
      </c>
      <c r="AH911" s="53" t="str">
        <f aca="false">IF(AND($W911&lt;&gt;"",$Y911&lt;&gt;""),$Y911-$W911,"")</f>
        <v/>
      </c>
      <c r="AI911" s="53" t="str">
        <f aca="false">IF(AND($X911&lt;&gt;"",$Y911&lt;&gt;""),$Y911-$X911,"")</f>
        <v/>
      </c>
      <c r="AJ911" s="53" t="str">
        <f aca="false">IF($E911&lt;&gt;"",$E911,"")</f>
        <v/>
      </c>
      <c r="AK911" s="52" t="str">
        <f aca="false">IF($F911&lt;&gt;"",$F911,"")</f>
        <v>Apprenant 899 ou 899'</v>
      </c>
      <c r="AL911" s="53" t="str">
        <f aca="false">IF(AND($AB911&lt;&gt;"",$AC911&lt;&gt;""),$AC911-$AB911,"")</f>
        <v/>
      </c>
      <c r="AM911" s="53" t="str">
        <f aca="false">IF(AND($AB911&lt;&gt;"",$AD911&lt;&gt;""),$AD911-$AB911,"")</f>
        <v/>
      </c>
      <c r="AN911" s="53" t="str">
        <f aca="false">IF(AND($AC911&lt;&gt;"",$AD911&lt;&gt;""),$AD911-$AC911,"")</f>
        <v/>
      </c>
      <c r="AO911" s="53" t="str">
        <f aca="false">IF($J911&lt;&gt;"",$J911,"")</f>
        <v/>
      </c>
      <c r="AQ911" s="52" t="str">
        <f aca="false">IF($A911&lt;&gt;"",$A911,"")</f>
        <v>Apprenant 899</v>
      </c>
      <c r="AR911" s="55" t="str">
        <f aca="false">IF(AND('Choix pédagogiques'!$C$4&lt;&gt;"?",'Choix pédagogiques'!$C$5&lt;&gt;"?",W911&lt;&gt;""),(W911-'Choix pédagogiques'!$C$4)/('Choix pédagogiques'!$C$5-'Choix pédagogiques'!$C$4),"")</f>
        <v/>
      </c>
      <c r="AS911" s="55" t="str">
        <f aca="false">IF(AND('Choix pédagogiques'!$C$4&lt;&gt;"?",'Choix pédagogiques'!$C$5&lt;&gt;"?",X911&lt;&gt;""),(X911-'Choix pédagogiques'!$C$4)/('Choix pédagogiques'!$C$5-'Choix pédagogiques'!$C$4),"")</f>
        <v/>
      </c>
      <c r="AT911" s="55" t="str">
        <f aca="false">IF(AND('Choix pédagogiques'!$C$4&lt;&gt;"?",'Choix pédagogiques'!$C$5&lt;&gt;"?",Y911&lt;&gt;""),(Y911-'Choix pédagogiques'!$C$4)/('Choix pédagogiques'!$C$5-'Choix pédagogiques'!$C$4),"")</f>
        <v/>
      </c>
      <c r="AU911" s="53" t="str">
        <f aca="false">IF($E911&lt;&gt;"",$E911,"")</f>
        <v/>
      </c>
      <c r="AV911" s="52" t="str">
        <f aca="false">IF($F911&lt;&gt;"",$F911,"")</f>
        <v>Apprenant 899 ou 899'</v>
      </c>
      <c r="AW911" s="55" t="str">
        <f aca="false">IF(AND('Choix pédagogiques'!$C$4&lt;&gt;"?",'Choix pédagogiques'!$C$5&lt;&gt;"?",AB911&lt;&gt;""),(AB911-'Choix pédagogiques'!$C$4)/('Choix pédagogiques'!$C$5-'Choix pédagogiques'!$C$4),"")</f>
        <v/>
      </c>
      <c r="AX911" s="55" t="str">
        <f aca="false">IF(AND('Choix pédagogiques'!$C$4&lt;&gt;"?",'Choix pédagogiques'!$C$5&lt;&gt;"?",AC911&lt;&gt;""),(AC911-'Choix pédagogiques'!$C$4)/('Choix pédagogiques'!$C$5-'Choix pédagogiques'!$C$4),"")</f>
        <v/>
      </c>
      <c r="AY911" s="55" t="str">
        <f aca="false">IF(AND('Choix pédagogiques'!$C$4&lt;&gt;"?",'Choix pédagogiques'!$C$5&lt;&gt;"?",AD911&lt;&gt;""),(AD911-'Choix pédagogiques'!$C$4)/('Choix pédagogiques'!$C$5-'Choix pédagogiques'!$C$4),"")</f>
        <v/>
      </c>
      <c r="AZ911" s="53" t="str">
        <f aca="false">IF($J911&lt;&gt;"",$J911,"")</f>
        <v/>
      </c>
      <c r="BA911" s="52" t="str">
        <f aca="false">IF($A911&lt;&gt;"",$A911,"")</f>
        <v>Apprenant 899</v>
      </c>
      <c r="BB911" s="55" t="str">
        <f aca="false">IF(AND($AR911&lt;&gt;"",$AS911&lt;&gt;""),$AS911-$AR911,"")</f>
        <v/>
      </c>
      <c r="BC911" s="55" t="str">
        <f aca="false">IF(AND($AR911&lt;&gt;"",$AT911&lt;&gt;""),$AT911-$AR911,"")</f>
        <v/>
      </c>
      <c r="BD911" s="55" t="str">
        <f aca="false">IF(AND($AS911&lt;&gt;"",$AT911&lt;&gt;""),$AT911-$AS911,"")</f>
        <v/>
      </c>
      <c r="BE911" s="53" t="str">
        <f aca="false">IF($E911&lt;&gt;"",$E911,"")</f>
        <v/>
      </c>
      <c r="BF911" s="52" t="str">
        <f aca="false">IF($F911&lt;&gt;"",$F911,"")</f>
        <v>Apprenant 899 ou 899'</v>
      </c>
      <c r="BG911" s="55" t="str">
        <f aca="false">IF(AND($AW911&lt;&gt;"",$AX911&lt;&gt;""),$AX911-$AW911,"")</f>
        <v/>
      </c>
      <c r="BH911" s="55" t="str">
        <f aca="false">IF(AND($AW911&lt;&gt;"",$AY911&lt;&gt;""),$AY911-$AW911,"")</f>
        <v/>
      </c>
      <c r="BI911" s="55" t="str">
        <f aca="false">IF(AND($AX911&lt;&gt;"",$AY911&lt;&gt;""),$AY911-$AX911,"")</f>
        <v/>
      </c>
      <c r="BJ911" s="53" t="str">
        <f aca="false">IF($J911&lt;&gt;"",$J911,"")</f>
        <v/>
      </c>
      <c r="BL911" s="52"/>
      <c r="BM911" s="52" t="str">
        <f aca="false">IF(OR(COUNT(B911:D1910)=0,AND('Choix pédagogiques'!$C$3&lt;&gt;1,'Choix pédagogiques'!$C$3&lt;&gt;2)),"",IF(AND(OR('Choix pédagogiques'!$C$3=1,'Choix pédagogiques'!$C$3=2),$B911&lt;&gt;"",$C911&lt;&gt;"",$D911&lt;&gt;""),1,0))</f>
        <v/>
      </c>
      <c r="BN911" s="52" t="str">
        <f aca="false">IF(OR(COUNT(G911:I1910)=0,AND('Choix pédagogiques'!$C$3&lt;&gt;1,'Choix pédagogiques'!$C$3&lt;&gt;2)),"",IF(AND(OR('Choix pédagogiques'!$C$3=1,'Choix pédagogiques'!$C$3=2),AND($G911&lt;&gt;"",$H911&lt;&gt;"",$I911&lt;&gt;"")),1,0))</f>
        <v/>
      </c>
      <c r="BO911" s="52" t="str">
        <f aca="false">IF(OR(COUNT(B911:D1910)=0,COUNT(G911:I1910)=0,'Choix pédagogiques'!C$3&lt;&gt;3),"",IF(AND('Choix pédagogiques'!$C$3=3,$B911&lt;&gt;"",$C911&lt;&gt;"",$D911&lt;&gt;"",$G911&lt;&gt;"",$H911&lt;&gt;"",$I911&lt;&gt;""),1,0))</f>
        <v/>
      </c>
      <c r="BR911" s="52" t="n">
        <v>765</v>
      </c>
      <c r="BS911" s="52" t="n">
        <v>1063</v>
      </c>
    </row>
    <row r="912" s="54" customFormat="true" ht="18" hidden="false" customHeight="true" outlineLevel="0" collapsed="false">
      <c r="A912" s="57" t="s">
        <v>1755</v>
      </c>
      <c r="B912" s="51"/>
      <c r="C912" s="51"/>
      <c r="D912" s="51"/>
      <c r="E912" s="51"/>
      <c r="F912" s="57" t="s">
        <v>1756</v>
      </c>
      <c r="G912" s="51"/>
      <c r="H912" s="51"/>
      <c r="I912" s="51"/>
      <c r="J912" s="51"/>
      <c r="K912" s="52" t="str">
        <f aca="false">IF($A912&lt;&gt;"",$A912,"")</f>
        <v>Apprenant 900</v>
      </c>
      <c r="L912" s="53" t="str">
        <f aca="false">IF(AND($B912&lt;&gt;"",$C912&lt;&gt;""),$C912-$B912,"")</f>
        <v/>
      </c>
      <c r="M912" s="53" t="str">
        <f aca="false">IF(AND($B912&lt;&gt;"",$D912&lt;&gt;""),$D912-$B912,"")</f>
        <v/>
      </c>
      <c r="N912" s="53" t="str">
        <f aca="false">IF(AND($C912&lt;&gt;"",$D912&lt;&gt;""),$D912-$C912,"")</f>
        <v/>
      </c>
      <c r="O912" s="53" t="str">
        <f aca="false">IF($E912&lt;&gt;"",$E912,"")</f>
        <v/>
      </c>
      <c r="P912" s="52" t="str">
        <f aca="false">IF($F912&lt;&gt;"",$F912,"")</f>
        <v>Apprenant 900 ou 900'</v>
      </c>
      <c r="Q912" s="53" t="str">
        <f aca="false">IF(AND($G912&lt;&gt;"",$H912&lt;&gt;""),$H912-$G912,"")</f>
        <v/>
      </c>
      <c r="R912" s="53" t="str">
        <f aca="false">IF(AND($G912&lt;&gt;"",$I912&lt;&gt;""),$I912-$G912,"")</f>
        <v/>
      </c>
      <c r="S912" s="53" t="str">
        <f aca="false">IF(AND($H912&lt;&gt;"",$I912&lt;&gt;""),$I912-$H912,"")</f>
        <v/>
      </c>
      <c r="T912" s="53" t="str">
        <f aca="false">IF($J912&lt;&gt;"",$J912,"")</f>
        <v/>
      </c>
      <c r="V912" s="52" t="str">
        <f aca="false">IF($A912&lt;&gt;"",$A912,"")</f>
        <v>Apprenant 900</v>
      </c>
      <c r="W912" s="53" t="str">
        <f aca="false">IF(AND(OR('Choix pédagogiques'!$C$3=1,'Choix pédagogiques'!$C$3=2),$BM912=1),B912,IF(AND('Choix pédagogiques'!$C$3=3,$BO912=1),B912,""))</f>
        <v/>
      </c>
      <c r="X912" s="53" t="str">
        <f aca="false">IF(AND(OR('Choix pédagogiques'!$C$3=1,'Choix pédagogiques'!$C$3=2),$BM912=1),C912,IF(AND('Choix pédagogiques'!$C$3=3,$BO912=1),C912,""))</f>
        <v/>
      </c>
      <c r="Y912" s="53" t="str">
        <f aca="false">IF(AND(OR('Choix pédagogiques'!$C$3=1,'Choix pédagogiques'!$C$3=2),$BM912=1),D912,IF(AND('Choix pédagogiques'!$C$3=3,$BO912=1),D912,""))</f>
        <v/>
      </c>
      <c r="Z912" s="53" t="str">
        <f aca="false">IF($E912&lt;&gt;"",$E912,"")</f>
        <v/>
      </c>
      <c r="AA912" s="52" t="str">
        <f aca="false">IF($F912&lt;&gt;"",$F912,"")</f>
        <v>Apprenant 900 ou 900'</v>
      </c>
      <c r="AB912" s="53" t="str">
        <f aca="false">IF(AND(OR('Choix pédagogiques'!$C$3=1,'Choix pédagogiques'!$C$3=2),$BN912=1),G912,IF(AND('Choix pédagogiques'!$C$3=3,$BO912=1),G912,""))</f>
        <v/>
      </c>
      <c r="AC912" s="53" t="str">
        <f aca="false">IF(AND(OR('Choix pédagogiques'!$C$3=1,'Choix pédagogiques'!$C$3=2),$BN912=1),H912,IF(AND('Choix pédagogiques'!$C$3=3,$BO912=1),H912,""))</f>
        <v/>
      </c>
      <c r="AD912" s="53" t="str">
        <f aca="false">IF(AND(OR('Choix pédagogiques'!$C$3=1,'Choix pédagogiques'!$C$3=2),$BN912=1),I912,IF(AND('Choix pédagogiques'!$C$3=3,$BO912=1),I912,""))</f>
        <v/>
      </c>
      <c r="AE912" s="53" t="str">
        <f aca="false">IF($J912&lt;&gt;"",$J912,"")</f>
        <v/>
      </c>
      <c r="AF912" s="52" t="str">
        <f aca="false">IF($A912&lt;&gt;"",$A912,"")</f>
        <v>Apprenant 900</v>
      </c>
      <c r="AG912" s="53" t="str">
        <f aca="false">IF(AND($W912&lt;&gt;"",$X912&lt;&gt;""),$X912-$W912,"")</f>
        <v/>
      </c>
      <c r="AH912" s="53" t="str">
        <f aca="false">IF(AND($W912&lt;&gt;"",$Y912&lt;&gt;""),$Y912-$W912,"")</f>
        <v/>
      </c>
      <c r="AI912" s="53" t="str">
        <f aca="false">IF(AND($X912&lt;&gt;"",$Y912&lt;&gt;""),$Y912-$X912,"")</f>
        <v/>
      </c>
      <c r="AJ912" s="53" t="str">
        <f aca="false">IF($E912&lt;&gt;"",$E912,"")</f>
        <v/>
      </c>
      <c r="AK912" s="52" t="str">
        <f aca="false">IF($F912&lt;&gt;"",$F912,"")</f>
        <v>Apprenant 900 ou 900'</v>
      </c>
      <c r="AL912" s="53" t="str">
        <f aca="false">IF(AND($AB912&lt;&gt;"",$AC912&lt;&gt;""),$AC912-$AB912,"")</f>
        <v/>
      </c>
      <c r="AM912" s="53" t="str">
        <f aca="false">IF(AND($AB912&lt;&gt;"",$AD912&lt;&gt;""),$AD912-$AB912,"")</f>
        <v/>
      </c>
      <c r="AN912" s="53" t="str">
        <f aca="false">IF(AND($AC912&lt;&gt;"",$AD912&lt;&gt;""),$AD912-$AC912,"")</f>
        <v/>
      </c>
      <c r="AO912" s="53" t="str">
        <f aca="false">IF($J912&lt;&gt;"",$J912,"")</f>
        <v/>
      </c>
      <c r="AQ912" s="52" t="str">
        <f aca="false">IF($A912&lt;&gt;"",$A912,"")</f>
        <v>Apprenant 900</v>
      </c>
      <c r="AR912" s="55" t="str">
        <f aca="false">IF(AND('Choix pédagogiques'!$C$4&lt;&gt;"?",'Choix pédagogiques'!$C$5&lt;&gt;"?",W912&lt;&gt;""),(W912-'Choix pédagogiques'!$C$4)/('Choix pédagogiques'!$C$5-'Choix pédagogiques'!$C$4),"")</f>
        <v/>
      </c>
      <c r="AS912" s="55" t="str">
        <f aca="false">IF(AND('Choix pédagogiques'!$C$4&lt;&gt;"?",'Choix pédagogiques'!$C$5&lt;&gt;"?",X912&lt;&gt;""),(X912-'Choix pédagogiques'!$C$4)/('Choix pédagogiques'!$C$5-'Choix pédagogiques'!$C$4),"")</f>
        <v/>
      </c>
      <c r="AT912" s="55" t="str">
        <f aca="false">IF(AND('Choix pédagogiques'!$C$4&lt;&gt;"?",'Choix pédagogiques'!$C$5&lt;&gt;"?",Y912&lt;&gt;""),(Y912-'Choix pédagogiques'!$C$4)/('Choix pédagogiques'!$C$5-'Choix pédagogiques'!$C$4),"")</f>
        <v/>
      </c>
      <c r="AU912" s="53" t="str">
        <f aca="false">IF($E912&lt;&gt;"",$E912,"")</f>
        <v/>
      </c>
      <c r="AV912" s="52" t="str">
        <f aca="false">IF($F912&lt;&gt;"",$F912,"")</f>
        <v>Apprenant 900 ou 900'</v>
      </c>
      <c r="AW912" s="55" t="str">
        <f aca="false">IF(AND('Choix pédagogiques'!$C$4&lt;&gt;"?",'Choix pédagogiques'!$C$5&lt;&gt;"?",AB912&lt;&gt;""),(AB912-'Choix pédagogiques'!$C$4)/('Choix pédagogiques'!$C$5-'Choix pédagogiques'!$C$4),"")</f>
        <v/>
      </c>
      <c r="AX912" s="55" t="str">
        <f aca="false">IF(AND('Choix pédagogiques'!$C$4&lt;&gt;"?",'Choix pédagogiques'!$C$5&lt;&gt;"?",AC912&lt;&gt;""),(AC912-'Choix pédagogiques'!$C$4)/('Choix pédagogiques'!$C$5-'Choix pédagogiques'!$C$4),"")</f>
        <v/>
      </c>
      <c r="AY912" s="55" t="str">
        <f aca="false">IF(AND('Choix pédagogiques'!$C$4&lt;&gt;"?",'Choix pédagogiques'!$C$5&lt;&gt;"?",AD912&lt;&gt;""),(AD912-'Choix pédagogiques'!$C$4)/('Choix pédagogiques'!$C$5-'Choix pédagogiques'!$C$4),"")</f>
        <v/>
      </c>
      <c r="AZ912" s="53" t="str">
        <f aca="false">IF($J912&lt;&gt;"",$J912,"")</f>
        <v/>
      </c>
      <c r="BA912" s="52" t="str">
        <f aca="false">IF($A912&lt;&gt;"",$A912,"")</f>
        <v>Apprenant 900</v>
      </c>
      <c r="BB912" s="55" t="str">
        <f aca="false">IF(AND($AR912&lt;&gt;"",$AS912&lt;&gt;""),$AS912-$AR912,"")</f>
        <v/>
      </c>
      <c r="BC912" s="55" t="str">
        <f aca="false">IF(AND($AR912&lt;&gt;"",$AT912&lt;&gt;""),$AT912-$AR912,"")</f>
        <v/>
      </c>
      <c r="BD912" s="55" t="str">
        <f aca="false">IF(AND($AS912&lt;&gt;"",$AT912&lt;&gt;""),$AT912-$AS912,"")</f>
        <v/>
      </c>
      <c r="BE912" s="53" t="str">
        <f aca="false">IF($E912&lt;&gt;"",$E912,"")</f>
        <v/>
      </c>
      <c r="BF912" s="52" t="str">
        <f aca="false">IF($F912&lt;&gt;"",$F912,"")</f>
        <v>Apprenant 900 ou 900'</v>
      </c>
      <c r="BG912" s="55" t="str">
        <f aca="false">IF(AND($AW912&lt;&gt;"",$AX912&lt;&gt;""),$AX912-$AW912,"")</f>
        <v/>
      </c>
      <c r="BH912" s="55" t="str">
        <f aca="false">IF(AND($AW912&lt;&gt;"",$AY912&lt;&gt;""),$AY912-$AW912,"")</f>
        <v/>
      </c>
      <c r="BI912" s="55" t="str">
        <f aca="false">IF(AND($AX912&lt;&gt;"",$AY912&lt;&gt;""),$AY912-$AX912,"")</f>
        <v/>
      </c>
      <c r="BJ912" s="53" t="str">
        <f aca="false">IF($J912&lt;&gt;"",$J912,"")</f>
        <v/>
      </c>
      <c r="BL912" s="52"/>
      <c r="BM912" s="52" t="str">
        <f aca="false">IF(OR(COUNT(B912:D1911)=0,AND('Choix pédagogiques'!$C$3&lt;&gt;1,'Choix pédagogiques'!$C$3&lt;&gt;2)),"",IF(AND(OR('Choix pédagogiques'!$C$3=1,'Choix pédagogiques'!$C$3=2),$B912&lt;&gt;"",$C912&lt;&gt;"",$D912&lt;&gt;""),1,0))</f>
        <v/>
      </c>
      <c r="BN912" s="52" t="str">
        <f aca="false">IF(OR(COUNT(G912:I1911)=0,AND('Choix pédagogiques'!$C$3&lt;&gt;1,'Choix pédagogiques'!$C$3&lt;&gt;2)),"",IF(AND(OR('Choix pédagogiques'!$C$3=1,'Choix pédagogiques'!$C$3=2),AND($G912&lt;&gt;"",$H912&lt;&gt;"",$I912&lt;&gt;"")),1,0))</f>
        <v/>
      </c>
      <c r="BO912" s="52" t="str">
        <f aca="false">IF(OR(COUNT(B912:D1911)=0,COUNT(G912:I1911)=0,'Choix pédagogiques'!C$3&lt;&gt;3),"",IF(AND('Choix pédagogiques'!$C$3=3,$B912&lt;&gt;"",$C912&lt;&gt;"",$D912&lt;&gt;"",$G912&lt;&gt;"",$H912&lt;&gt;"",$I912&lt;&gt;""),1,0))</f>
        <v/>
      </c>
      <c r="BR912" s="52" t="n">
        <v>681</v>
      </c>
      <c r="BS912" s="52" t="n">
        <v>1011</v>
      </c>
    </row>
    <row r="913" s="54" customFormat="true" ht="18" hidden="false" customHeight="true" outlineLevel="0" collapsed="false">
      <c r="A913" s="57" t="s">
        <v>1757</v>
      </c>
      <c r="B913" s="51"/>
      <c r="C913" s="51"/>
      <c r="D913" s="51"/>
      <c r="E913" s="51"/>
      <c r="F913" s="57" t="s">
        <v>1758</v>
      </c>
      <c r="G913" s="51"/>
      <c r="H913" s="51"/>
      <c r="I913" s="51"/>
      <c r="J913" s="51"/>
      <c r="K913" s="52" t="str">
        <f aca="false">IF($A913&lt;&gt;"",$A913,"")</f>
        <v>Apprenant 901</v>
      </c>
      <c r="L913" s="53" t="str">
        <f aca="false">IF(AND($B913&lt;&gt;"",$C913&lt;&gt;""),$C913-$B913,"")</f>
        <v/>
      </c>
      <c r="M913" s="53" t="str">
        <f aca="false">IF(AND($B913&lt;&gt;"",$D913&lt;&gt;""),$D913-$B913,"")</f>
        <v/>
      </c>
      <c r="N913" s="53" t="str">
        <f aca="false">IF(AND($C913&lt;&gt;"",$D913&lt;&gt;""),$D913-$C913,"")</f>
        <v/>
      </c>
      <c r="O913" s="53" t="str">
        <f aca="false">IF($E913&lt;&gt;"",$E913,"")</f>
        <v/>
      </c>
      <c r="P913" s="52" t="str">
        <f aca="false">IF($F913&lt;&gt;"",$F913,"")</f>
        <v>Apprenant 901 ou 901'</v>
      </c>
      <c r="Q913" s="53" t="str">
        <f aca="false">IF(AND($G913&lt;&gt;"",$H913&lt;&gt;""),$H913-$G913,"")</f>
        <v/>
      </c>
      <c r="R913" s="53" t="str">
        <f aca="false">IF(AND($G913&lt;&gt;"",$I913&lt;&gt;""),$I913-$G913,"")</f>
        <v/>
      </c>
      <c r="S913" s="53" t="str">
        <f aca="false">IF(AND($H913&lt;&gt;"",$I913&lt;&gt;""),$I913-$H913,"")</f>
        <v/>
      </c>
      <c r="T913" s="53" t="str">
        <f aca="false">IF($J913&lt;&gt;"",$J913,"")</f>
        <v/>
      </c>
      <c r="V913" s="52" t="str">
        <f aca="false">IF($A913&lt;&gt;"",$A913,"")</f>
        <v>Apprenant 901</v>
      </c>
      <c r="W913" s="53" t="str">
        <f aca="false">IF(AND(OR('Choix pédagogiques'!$C$3=1,'Choix pédagogiques'!$C$3=2),$BM913=1),B913,IF(AND('Choix pédagogiques'!$C$3=3,$BO913=1),B913,""))</f>
        <v/>
      </c>
      <c r="X913" s="53" t="str">
        <f aca="false">IF(AND(OR('Choix pédagogiques'!$C$3=1,'Choix pédagogiques'!$C$3=2),$BM913=1),C913,IF(AND('Choix pédagogiques'!$C$3=3,$BO913=1),C913,""))</f>
        <v/>
      </c>
      <c r="Y913" s="53" t="str">
        <f aca="false">IF(AND(OR('Choix pédagogiques'!$C$3=1,'Choix pédagogiques'!$C$3=2),$BM913=1),D913,IF(AND('Choix pédagogiques'!$C$3=3,$BO913=1),D913,""))</f>
        <v/>
      </c>
      <c r="Z913" s="53" t="str">
        <f aca="false">IF($E913&lt;&gt;"",$E913,"")</f>
        <v/>
      </c>
      <c r="AA913" s="52" t="str">
        <f aca="false">IF($F913&lt;&gt;"",$F913,"")</f>
        <v>Apprenant 901 ou 901'</v>
      </c>
      <c r="AB913" s="53" t="str">
        <f aca="false">IF(AND(OR('Choix pédagogiques'!$C$3=1,'Choix pédagogiques'!$C$3=2),$BN913=1),G913,IF(AND('Choix pédagogiques'!$C$3=3,$BO913=1),G913,""))</f>
        <v/>
      </c>
      <c r="AC913" s="53" t="str">
        <f aca="false">IF(AND(OR('Choix pédagogiques'!$C$3=1,'Choix pédagogiques'!$C$3=2),$BN913=1),H913,IF(AND('Choix pédagogiques'!$C$3=3,$BO913=1),H913,""))</f>
        <v/>
      </c>
      <c r="AD913" s="53" t="str">
        <f aca="false">IF(AND(OR('Choix pédagogiques'!$C$3=1,'Choix pédagogiques'!$C$3=2),$BN913=1),I913,IF(AND('Choix pédagogiques'!$C$3=3,$BO913=1),I913,""))</f>
        <v/>
      </c>
      <c r="AE913" s="53" t="str">
        <f aca="false">IF($J913&lt;&gt;"",$J913,"")</f>
        <v/>
      </c>
      <c r="AF913" s="52" t="str">
        <f aca="false">IF($A913&lt;&gt;"",$A913,"")</f>
        <v>Apprenant 901</v>
      </c>
      <c r="AG913" s="53" t="str">
        <f aca="false">IF(AND($W913&lt;&gt;"",$X913&lt;&gt;""),$X913-$W913,"")</f>
        <v/>
      </c>
      <c r="AH913" s="53" t="str">
        <f aca="false">IF(AND($W913&lt;&gt;"",$Y913&lt;&gt;""),$Y913-$W913,"")</f>
        <v/>
      </c>
      <c r="AI913" s="53" t="str">
        <f aca="false">IF(AND($X913&lt;&gt;"",$Y913&lt;&gt;""),$Y913-$X913,"")</f>
        <v/>
      </c>
      <c r="AJ913" s="53" t="str">
        <f aca="false">IF($E913&lt;&gt;"",$E913,"")</f>
        <v/>
      </c>
      <c r="AK913" s="52" t="str">
        <f aca="false">IF($F913&lt;&gt;"",$F913,"")</f>
        <v>Apprenant 901 ou 901'</v>
      </c>
      <c r="AL913" s="53" t="str">
        <f aca="false">IF(AND($AB913&lt;&gt;"",$AC913&lt;&gt;""),$AC913-$AB913,"")</f>
        <v/>
      </c>
      <c r="AM913" s="53" t="str">
        <f aca="false">IF(AND($AB913&lt;&gt;"",$AD913&lt;&gt;""),$AD913-$AB913,"")</f>
        <v/>
      </c>
      <c r="AN913" s="53" t="str">
        <f aca="false">IF(AND($AC913&lt;&gt;"",$AD913&lt;&gt;""),$AD913-$AC913,"")</f>
        <v/>
      </c>
      <c r="AO913" s="53" t="str">
        <f aca="false">IF($J913&lt;&gt;"",$J913,"")</f>
        <v/>
      </c>
      <c r="AQ913" s="52" t="str">
        <f aca="false">IF($A913&lt;&gt;"",$A913,"")</f>
        <v>Apprenant 901</v>
      </c>
      <c r="AR913" s="55" t="str">
        <f aca="false">IF(AND('Choix pédagogiques'!$C$4&lt;&gt;"?",'Choix pédagogiques'!$C$5&lt;&gt;"?",W913&lt;&gt;""),(W913-'Choix pédagogiques'!$C$4)/('Choix pédagogiques'!$C$5-'Choix pédagogiques'!$C$4),"")</f>
        <v/>
      </c>
      <c r="AS913" s="55" t="str">
        <f aca="false">IF(AND('Choix pédagogiques'!$C$4&lt;&gt;"?",'Choix pédagogiques'!$C$5&lt;&gt;"?",X913&lt;&gt;""),(X913-'Choix pédagogiques'!$C$4)/('Choix pédagogiques'!$C$5-'Choix pédagogiques'!$C$4),"")</f>
        <v/>
      </c>
      <c r="AT913" s="55" t="str">
        <f aca="false">IF(AND('Choix pédagogiques'!$C$4&lt;&gt;"?",'Choix pédagogiques'!$C$5&lt;&gt;"?",Y913&lt;&gt;""),(Y913-'Choix pédagogiques'!$C$4)/('Choix pédagogiques'!$C$5-'Choix pédagogiques'!$C$4),"")</f>
        <v/>
      </c>
      <c r="AU913" s="53" t="str">
        <f aca="false">IF($E913&lt;&gt;"",$E913,"")</f>
        <v/>
      </c>
      <c r="AV913" s="52" t="str">
        <f aca="false">IF($F913&lt;&gt;"",$F913,"")</f>
        <v>Apprenant 901 ou 901'</v>
      </c>
      <c r="AW913" s="55" t="str">
        <f aca="false">IF(AND('Choix pédagogiques'!$C$4&lt;&gt;"?",'Choix pédagogiques'!$C$5&lt;&gt;"?",AB913&lt;&gt;""),(AB913-'Choix pédagogiques'!$C$4)/('Choix pédagogiques'!$C$5-'Choix pédagogiques'!$C$4),"")</f>
        <v/>
      </c>
      <c r="AX913" s="55" t="str">
        <f aca="false">IF(AND('Choix pédagogiques'!$C$4&lt;&gt;"?",'Choix pédagogiques'!$C$5&lt;&gt;"?",AC913&lt;&gt;""),(AC913-'Choix pédagogiques'!$C$4)/('Choix pédagogiques'!$C$5-'Choix pédagogiques'!$C$4),"")</f>
        <v/>
      </c>
      <c r="AY913" s="55" t="str">
        <f aca="false">IF(AND('Choix pédagogiques'!$C$4&lt;&gt;"?",'Choix pédagogiques'!$C$5&lt;&gt;"?",AD913&lt;&gt;""),(AD913-'Choix pédagogiques'!$C$4)/('Choix pédagogiques'!$C$5-'Choix pédagogiques'!$C$4),"")</f>
        <v/>
      </c>
      <c r="AZ913" s="53" t="str">
        <f aca="false">IF($J913&lt;&gt;"",$J913,"")</f>
        <v/>
      </c>
      <c r="BA913" s="52" t="str">
        <f aca="false">IF($A913&lt;&gt;"",$A913,"")</f>
        <v>Apprenant 901</v>
      </c>
      <c r="BB913" s="55" t="str">
        <f aca="false">IF(AND($AR913&lt;&gt;"",$AS913&lt;&gt;""),$AS913-$AR913,"")</f>
        <v/>
      </c>
      <c r="BC913" s="55" t="str">
        <f aca="false">IF(AND($AR913&lt;&gt;"",$AT913&lt;&gt;""),$AT913-$AR913,"")</f>
        <v/>
      </c>
      <c r="BD913" s="55" t="str">
        <f aca="false">IF(AND($AS913&lt;&gt;"",$AT913&lt;&gt;""),$AT913-$AS913,"")</f>
        <v/>
      </c>
      <c r="BE913" s="53" t="str">
        <f aca="false">IF($E913&lt;&gt;"",$E913,"")</f>
        <v/>
      </c>
      <c r="BF913" s="52" t="str">
        <f aca="false">IF($F913&lt;&gt;"",$F913,"")</f>
        <v>Apprenant 901 ou 901'</v>
      </c>
      <c r="BG913" s="55" t="str">
        <f aca="false">IF(AND($AW913&lt;&gt;"",$AX913&lt;&gt;""),$AX913-$AW913,"")</f>
        <v/>
      </c>
      <c r="BH913" s="55" t="str">
        <f aca="false">IF(AND($AW913&lt;&gt;"",$AY913&lt;&gt;""),$AY913-$AW913,"")</f>
        <v/>
      </c>
      <c r="BI913" s="55" t="str">
        <f aca="false">IF(AND($AX913&lt;&gt;"",$AY913&lt;&gt;""),$AY913-$AX913,"")</f>
        <v/>
      </c>
      <c r="BJ913" s="53" t="str">
        <f aca="false">IF($J913&lt;&gt;"",$J913,"")</f>
        <v/>
      </c>
      <c r="BL913" s="52"/>
      <c r="BM913" s="52" t="str">
        <f aca="false">IF(OR(COUNT(B913:D1912)=0,AND('Choix pédagogiques'!$C$3&lt;&gt;1,'Choix pédagogiques'!$C$3&lt;&gt;2)),"",IF(AND(OR('Choix pédagogiques'!$C$3=1,'Choix pédagogiques'!$C$3=2),$B913&lt;&gt;"",$C913&lt;&gt;"",$D913&lt;&gt;""),1,0))</f>
        <v/>
      </c>
      <c r="BN913" s="52" t="str">
        <f aca="false">IF(OR(COUNT(G913:I1912)=0,AND('Choix pédagogiques'!$C$3&lt;&gt;1,'Choix pédagogiques'!$C$3&lt;&gt;2)),"",IF(AND(OR('Choix pédagogiques'!$C$3=1,'Choix pédagogiques'!$C$3=2),AND($G913&lt;&gt;"",$H913&lt;&gt;"",$I913&lt;&gt;"")),1,0))</f>
        <v/>
      </c>
      <c r="BO913" s="52" t="str">
        <f aca="false">IF(OR(COUNT(B913:D1912)=0,COUNT(G913:I1912)=0,'Choix pédagogiques'!C$3&lt;&gt;3),"",IF(AND('Choix pédagogiques'!$C$3=3,$B913&lt;&gt;"",$C913&lt;&gt;"",$D913&lt;&gt;"",$G913&lt;&gt;"",$H913&lt;&gt;"",$I913&lt;&gt;""),1,0))</f>
        <v/>
      </c>
      <c r="BR913" s="52" t="n">
        <v>908</v>
      </c>
      <c r="BS913" s="52" t="n">
        <v>1983</v>
      </c>
    </row>
    <row r="914" s="54" customFormat="true" ht="18" hidden="false" customHeight="true" outlineLevel="0" collapsed="false">
      <c r="A914" s="57" t="s">
        <v>1759</v>
      </c>
      <c r="B914" s="51"/>
      <c r="C914" s="51"/>
      <c r="D914" s="51"/>
      <c r="E914" s="51"/>
      <c r="F914" s="57" t="s">
        <v>1760</v>
      </c>
      <c r="G914" s="51"/>
      <c r="H914" s="51"/>
      <c r="I914" s="51"/>
      <c r="J914" s="51"/>
      <c r="K914" s="52" t="str">
        <f aca="false">IF($A914&lt;&gt;"",$A914,"")</f>
        <v>Apprenant 902</v>
      </c>
      <c r="L914" s="53" t="str">
        <f aca="false">IF(AND($B914&lt;&gt;"",$C914&lt;&gt;""),$C914-$B914,"")</f>
        <v/>
      </c>
      <c r="M914" s="53" t="str">
        <f aca="false">IF(AND($B914&lt;&gt;"",$D914&lt;&gt;""),$D914-$B914,"")</f>
        <v/>
      </c>
      <c r="N914" s="53" t="str">
        <f aca="false">IF(AND($C914&lt;&gt;"",$D914&lt;&gt;""),$D914-$C914,"")</f>
        <v/>
      </c>
      <c r="O914" s="53" t="str">
        <f aca="false">IF($E914&lt;&gt;"",$E914,"")</f>
        <v/>
      </c>
      <c r="P914" s="52" t="str">
        <f aca="false">IF($F914&lt;&gt;"",$F914,"")</f>
        <v>Apprenant 902 ou 902'</v>
      </c>
      <c r="Q914" s="53" t="str">
        <f aca="false">IF(AND($G914&lt;&gt;"",$H914&lt;&gt;""),$H914-$G914,"")</f>
        <v/>
      </c>
      <c r="R914" s="53" t="str">
        <f aca="false">IF(AND($G914&lt;&gt;"",$I914&lt;&gt;""),$I914-$G914,"")</f>
        <v/>
      </c>
      <c r="S914" s="53" t="str">
        <f aca="false">IF(AND($H914&lt;&gt;"",$I914&lt;&gt;""),$I914-$H914,"")</f>
        <v/>
      </c>
      <c r="T914" s="53" t="str">
        <f aca="false">IF($J914&lt;&gt;"",$J914,"")</f>
        <v/>
      </c>
      <c r="V914" s="52" t="str">
        <f aca="false">IF($A914&lt;&gt;"",$A914,"")</f>
        <v>Apprenant 902</v>
      </c>
      <c r="W914" s="53" t="str">
        <f aca="false">IF(AND(OR('Choix pédagogiques'!$C$3=1,'Choix pédagogiques'!$C$3=2),$BM914=1),B914,IF(AND('Choix pédagogiques'!$C$3=3,$BO914=1),B914,""))</f>
        <v/>
      </c>
      <c r="X914" s="53" t="str">
        <f aca="false">IF(AND(OR('Choix pédagogiques'!$C$3=1,'Choix pédagogiques'!$C$3=2),$BM914=1),C914,IF(AND('Choix pédagogiques'!$C$3=3,$BO914=1),C914,""))</f>
        <v/>
      </c>
      <c r="Y914" s="53" t="str">
        <f aca="false">IF(AND(OR('Choix pédagogiques'!$C$3=1,'Choix pédagogiques'!$C$3=2),$BM914=1),D914,IF(AND('Choix pédagogiques'!$C$3=3,$BO914=1),D914,""))</f>
        <v/>
      </c>
      <c r="Z914" s="53" t="str">
        <f aca="false">IF($E914&lt;&gt;"",$E914,"")</f>
        <v/>
      </c>
      <c r="AA914" s="52" t="str">
        <f aca="false">IF($F914&lt;&gt;"",$F914,"")</f>
        <v>Apprenant 902 ou 902'</v>
      </c>
      <c r="AB914" s="53" t="str">
        <f aca="false">IF(AND(OR('Choix pédagogiques'!$C$3=1,'Choix pédagogiques'!$C$3=2),$BN914=1),G914,IF(AND('Choix pédagogiques'!$C$3=3,$BO914=1),G914,""))</f>
        <v/>
      </c>
      <c r="AC914" s="53" t="str">
        <f aca="false">IF(AND(OR('Choix pédagogiques'!$C$3=1,'Choix pédagogiques'!$C$3=2),$BN914=1),H914,IF(AND('Choix pédagogiques'!$C$3=3,$BO914=1),H914,""))</f>
        <v/>
      </c>
      <c r="AD914" s="53" t="str">
        <f aca="false">IF(AND(OR('Choix pédagogiques'!$C$3=1,'Choix pédagogiques'!$C$3=2),$BN914=1),I914,IF(AND('Choix pédagogiques'!$C$3=3,$BO914=1),I914,""))</f>
        <v/>
      </c>
      <c r="AE914" s="53" t="str">
        <f aca="false">IF($J914&lt;&gt;"",$J914,"")</f>
        <v/>
      </c>
      <c r="AF914" s="52" t="str">
        <f aca="false">IF($A914&lt;&gt;"",$A914,"")</f>
        <v>Apprenant 902</v>
      </c>
      <c r="AG914" s="53" t="str">
        <f aca="false">IF(AND($W914&lt;&gt;"",$X914&lt;&gt;""),$X914-$W914,"")</f>
        <v/>
      </c>
      <c r="AH914" s="53" t="str">
        <f aca="false">IF(AND($W914&lt;&gt;"",$Y914&lt;&gt;""),$Y914-$W914,"")</f>
        <v/>
      </c>
      <c r="AI914" s="53" t="str">
        <f aca="false">IF(AND($X914&lt;&gt;"",$Y914&lt;&gt;""),$Y914-$X914,"")</f>
        <v/>
      </c>
      <c r="AJ914" s="53" t="str">
        <f aca="false">IF($E914&lt;&gt;"",$E914,"")</f>
        <v/>
      </c>
      <c r="AK914" s="52" t="str">
        <f aca="false">IF($F914&lt;&gt;"",$F914,"")</f>
        <v>Apprenant 902 ou 902'</v>
      </c>
      <c r="AL914" s="53" t="str">
        <f aca="false">IF(AND($AB914&lt;&gt;"",$AC914&lt;&gt;""),$AC914-$AB914,"")</f>
        <v/>
      </c>
      <c r="AM914" s="53" t="str">
        <f aca="false">IF(AND($AB914&lt;&gt;"",$AD914&lt;&gt;""),$AD914-$AB914,"")</f>
        <v/>
      </c>
      <c r="AN914" s="53" t="str">
        <f aca="false">IF(AND($AC914&lt;&gt;"",$AD914&lt;&gt;""),$AD914-$AC914,"")</f>
        <v/>
      </c>
      <c r="AO914" s="53" t="str">
        <f aca="false">IF($J914&lt;&gt;"",$J914,"")</f>
        <v/>
      </c>
      <c r="AQ914" s="52" t="str">
        <f aca="false">IF($A914&lt;&gt;"",$A914,"")</f>
        <v>Apprenant 902</v>
      </c>
      <c r="AR914" s="55" t="str">
        <f aca="false">IF(AND('Choix pédagogiques'!$C$4&lt;&gt;"?",'Choix pédagogiques'!$C$5&lt;&gt;"?",W914&lt;&gt;""),(W914-'Choix pédagogiques'!$C$4)/('Choix pédagogiques'!$C$5-'Choix pédagogiques'!$C$4),"")</f>
        <v/>
      </c>
      <c r="AS914" s="55" t="str">
        <f aca="false">IF(AND('Choix pédagogiques'!$C$4&lt;&gt;"?",'Choix pédagogiques'!$C$5&lt;&gt;"?",X914&lt;&gt;""),(X914-'Choix pédagogiques'!$C$4)/('Choix pédagogiques'!$C$5-'Choix pédagogiques'!$C$4),"")</f>
        <v/>
      </c>
      <c r="AT914" s="55" t="str">
        <f aca="false">IF(AND('Choix pédagogiques'!$C$4&lt;&gt;"?",'Choix pédagogiques'!$C$5&lt;&gt;"?",Y914&lt;&gt;""),(Y914-'Choix pédagogiques'!$C$4)/('Choix pédagogiques'!$C$5-'Choix pédagogiques'!$C$4),"")</f>
        <v/>
      </c>
      <c r="AU914" s="53" t="str">
        <f aca="false">IF($E914&lt;&gt;"",$E914,"")</f>
        <v/>
      </c>
      <c r="AV914" s="52" t="str">
        <f aca="false">IF($F914&lt;&gt;"",$F914,"")</f>
        <v>Apprenant 902 ou 902'</v>
      </c>
      <c r="AW914" s="55" t="str">
        <f aca="false">IF(AND('Choix pédagogiques'!$C$4&lt;&gt;"?",'Choix pédagogiques'!$C$5&lt;&gt;"?",AB914&lt;&gt;""),(AB914-'Choix pédagogiques'!$C$4)/('Choix pédagogiques'!$C$5-'Choix pédagogiques'!$C$4),"")</f>
        <v/>
      </c>
      <c r="AX914" s="55" t="str">
        <f aca="false">IF(AND('Choix pédagogiques'!$C$4&lt;&gt;"?",'Choix pédagogiques'!$C$5&lt;&gt;"?",AC914&lt;&gt;""),(AC914-'Choix pédagogiques'!$C$4)/('Choix pédagogiques'!$C$5-'Choix pédagogiques'!$C$4),"")</f>
        <v/>
      </c>
      <c r="AY914" s="55" t="str">
        <f aca="false">IF(AND('Choix pédagogiques'!$C$4&lt;&gt;"?",'Choix pédagogiques'!$C$5&lt;&gt;"?",AD914&lt;&gt;""),(AD914-'Choix pédagogiques'!$C$4)/('Choix pédagogiques'!$C$5-'Choix pédagogiques'!$C$4),"")</f>
        <v/>
      </c>
      <c r="AZ914" s="53" t="str">
        <f aca="false">IF($J914&lt;&gt;"",$J914,"")</f>
        <v/>
      </c>
      <c r="BA914" s="52" t="str">
        <f aca="false">IF($A914&lt;&gt;"",$A914,"")</f>
        <v>Apprenant 902</v>
      </c>
      <c r="BB914" s="55" t="str">
        <f aca="false">IF(AND($AR914&lt;&gt;"",$AS914&lt;&gt;""),$AS914-$AR914,"")</f>
        <v/>
      </c>
      <c r="BC914" s="55" t="str">
        <f aca="false">IF(AND($AR914&lt;&gt;"",$AT914&lt;&gt;""),$AT914-$AR914,"")</f>
        <v/>
      </c>
      <c r="BD914" s="55" t="str">
        <f aca="false">IF(AND($AS914&lt;&gt;"",$AT914&lt;&gt;""),$AT914-$AS914,"")</f>
        <v/>
      </c>
      <c r="BE914" s="53" t="str">
        <f aca="false">IF($E914&lt;&gt;"",$E914,"")</f>
        <v/>
      </c>
      <c r="BF914" s="52" t="str">
        <f aca="false">IF($F914&lt;&gt;"",$F914,"")</f>
        <v>Apprenant 902 ou 902'</v>
      </c>
      <c r="BG914" s="55" t="str">
        <f aca="false">IF(AND($AW914&lt;&gt;"",$AX914&lt;&gt;""),$AX914-$AW914,"")</f>
        <v/>
      </c>
      <c r="BH914" s="55" t="str">
        <f aca="false">IF(AND($AW914&lt;&gt;"",$AY914&lt;&gt;""),$AY914-$AW914,"")</f>
        <v/>
      </c>
      <c r="BI914" s="55" t="str">
        <f aca="false">IF(AND($AX914&lt;&gt;"",$AY914&lt;&gt;""),$AY914-$AX914,"")</f>
        <v/>
      </c>
      <c r="BJ914" s="53" t="str">
        <f aca="false">IF($J914&lt;&gt;"",$J914,"")</f>
        <v/>
      </c>
      <c r="BL914" s="52"/>
      <c r="BM914" s="52" t="str">
        <f aca="false">IF(OR(COUNT(B914:D1913)=0,AND('Choix pédagogiques'!$C$3&lt;&gt;1,'Choix pédagogiques'!$C$3&lt;&gt;2)),"",IF(AND(OR('Choix pédagogiques'!$C$3=1,'Choix pédagogiques'!$C$3=2),$B914&lt;&gt;"",$C914&lt;&gt;"",$D914&lt;&gt;""),1,0))</f>
        <v/>
      </c>
      <c r="BN914" s="52" t="str">
        <f aca="false">IF(OR(COUNT(G914:I1913)=0,AND('Choix pédagogiques'!$C$3&lt;&gt;1,'Choix pédagogiques'!$C$3&lt;&gt;2)),"",IF(AND(OR('Choix pédagogiques'!$C$3=1,'Choix pédagogiques'!$C$3=2),AND($G914&lt;&gt;"",$H914&lt;&gt;"",$I914&lt;&gt;"")),1,0))</f>
        <v/>
      </c>
      <c r="BO914" s="52" t="str">
        <f aca="false">IF(OR(COUNT(B914:D1913)=0,COUNT(G914:I1913)=0,'Choix pédagogiques'!C$3&lt;&gt;3),"",IF(AND('Choix pédagogiques'!$C$3=3,$B914&lt;&gt;"",$C914&lt;&gt;"",$D914&lt;&gt;"",$G914&lt;&gt;"",$H914&lt;&gt;"",$I914&lt;&gt;""),1,0))</f>
        <v/>
      </c>
      <c r="BR914" s="52" t="n">
        <v>944</v>
      </c>
      <c r="BS914" s="52" t="n">
        <v>1905</v>
      </c>
    </row>
    <row r="915" s="54" customFormat="true" ht="18" hidden="false" customHeight="true" outlineLevel="0" collapsed="false">
      <c r="A915" s="57" t="s">
        <v>1761</v>
      </c>
      <c r="B915" s="51"/>
      <c r="C915" s="51"/>
      <c r="D915" s="51"/>
      <c r="E915" s="51"/>
      <c r="F915" s="57" t="s">
        <v>1762</v>
      </c>
      <c r="G915" s="51"/>
      <c r="H915" s="51"/>
      <c r="I915" s="51"/>
      <c r="J915" s="51"/>
      <c r="K915" s="52" t="str">
        <f aca="false">IF($A915&lt;&gt;"",$A915,"")</f>
        <v>Apprenant 903</v>
      </c>
      <c r="L915" s="53" t="str">
        <f aca="false">IF(AND($B915&lt;&gt;"",$C915&lt;&gt;""),$C915-$B915,"")</f>
        <v/>
      </c>
      <c r="M915" s="53" t="str">
        <f aca="false">IF(AND($B915&lt;&gt;"",$D915&lt;&gt;""),$D915-$B915,"")</f>
        <v/>
      </c>
      <c r="N915" s="53" t="str">
        <f aca="false">IF(AND($C915&lt;&gt;"",$D915&lt;&gt;""),$D915-$C915,"")</f>
        <v/>
      </c>
      <c r="O915" s="53" t="str">
        <f aca="false">IF($E915&lt;&gt;"",$E915,"")</f>
        <v/>
      </c>
      <c r="P915" s="52" t="str">
        <f aca="false">IF($F915&lt;&gt;"",$F915,"")</f>
        <v>Apprenant 903 ou 903'</v>
      </c>
      <c r="Q915" s="53" t="str">
        <f aca="false">IF(AND($G915&lt;&gt;"",$H915&lt;&gt;""),$H915-$G915,"")</f>
        <v/>
      </c>
      <c r="R915" s="53" t="str">
        <f aca="false">IF(AND($G915&lt;&gt;"",$I915&lt;&gt;""),$I915-$G915,"")</f>
        <v/>
      </c>
      <c r="S915" s="53" t="str">
        <f aca="false">IF(AND($H915&lt;&gt;"",$I915&lt;&gt;""),$I915-$H915,"")</f>
        <v/>
      </c>
      <c r="T915" s="53" t="str">
        <f aca="false">IF($J915&lt;&gt;"",$J915,"")</f>
        <v/>
      </c>
      <c r="V915" s="52" t="str">
        <f aca="false">IF($A915&lt;&gt;"",$A915,"")</f>
        <v>Apprenant 903</v>
      </c>
      <c r="W915" s="53" t="str">
        <f aca="false">IF(AND(OR('Choix pédagogiques'!$C$3=1,'Choix pédagogiques'!$C$3=2),$BM915=1),B915,IF(AND('Choix pédagogiques'!$C$3=3,$BO915=1),B915,""))</f>
        <v/>
      </c>
      <c r="X915" s="53" t="str">
        <f aca="false">IF(AND(OR('Choix pédagogiques'!$C$3=1,'Choix pédagogiques'!$C$3=2),$BM915=1),C915,IF(AND('Choix pédagogiques'!$C$3=3,$BO915=1),C915,""))</f>
        <v/>
      </c>
      <c r="Y915" s="53" t="str">
        <f aca="false">IF(AND(OR('Choix pédagogiques'!$C$3=1,'Choix pédagogiques'!$C$3=2),$BM915=1),D915,IF(AND('Choix pédagogiques'!$C$3=3,$BO915=1),D915,""))</f>
        <v/>
      </c>
      <c r="Z915" s="53" t="str">
        <f aca="false">IF($E915&lt;&gt;"",$E915,"")</f>
        <v/>
      </c>
      <c r="AA915" s="52" t="str">
        <f aca="false">IF($F915&lt;&gt;"",$F915,"")</f>
        <v>Apprenant 903 ou 903'</v>
      </c>
      <c r="AB915" s="53" t="str">
        <f aca="false">IF(AND(OR('Choix pédagogiques'!$C$3=1,'Choix pédagogiques'!$C$3=2),$BN915=1),G915,IF(AND('Choix pédagogiques'!$C$3=3,$BO915=1),G915,""))</f>
        <v/>
      </c>
      <c r="AC915" s="53" t="str">
        <f aca="false">IF(AND(OR('Choix pédagogiques'!$C$3=1,'Choix pédagogiques'!$C$3=2),$BN915=1),H915,IF(AND('Choix pédagogiques'!$C$3=3,$BO915=1),H915,""))</f>
        <v/>
      </c>
      <c r="AD915" s="53" t="str">
        <f aca="false">IF(AND(OR('Choix pédagogiques'!$C$3=1,'Choix pédagogiques'!$C$3=2),$BN915=1),I915,IF(AND('Choix pédagogiques'!$C$3=3,$BO915=1),I915,""))</f>
        <v/>
      </c>
      <c r="AE915" s="53" t="str">
        <f aca="false">IF($J915&lt;&gt;"",$J915,"")</f>
        <v/>
      </c>
      <c r="AF915" s="52" t="str">
        <f aca="false">IF($A915&lt;&gt;"",$A915,"")</f>
        <v>Apprenant 903</v>
      </c>
      <c r="AG915" s="53" t="str">
        <f aca="false">IF(AND($W915&lt;&gt;"",$X915&lt;&gt;""),$X915-$W915,"")</f>
        <v/>
      </c>
      <c r="AH915" s="53" t="str">
        <f aca="false">IF(AND($W915&lt;&gt;"",$Y915&lt;&gt;""),$Y915-$W915,"")</f>
        <v/>
      </c>
      <c r="AI915" s="53" t="str">
        <f aca="false">IF(AND($X915&lt;&gt;"",$Y915&lt;&gt;""),$Y915-$X915,"")</f>
        <v/>
      </c>
      <c r="AJ915" s="53" t="str">
        <f aca="false">IF($E915&lt;&gt;"",$E915,"")</f>
        <v/>
      </c>
      <c r="AK915" s="52" t="str">
        <f aca="false">IF($F915&lt;&gt;"",$F915,"")</f>
        <v>Apprenant 903 ou 903'</v>
      </c>
      <c r="AL915" s="53" t="str">
        <f aca="false">IF(AND($AB915&lt;&gt;"",$AC915&lt;&gt;""),$AC915-$AB915,"")</f>
        <v/>
      </c>
      <c r="AM915" s="53" t="str">
        <f aca="false">IF(AND($AB915&lt;&gt;"",$AD915&lt;&gt;""),$AD915-$AB915,"")</f>
        <v/>
      </c>
      <c r="AN915" s="53" t="str">
        <f aca="false">IF(AND($AC915&lt;&gt;"",$AD915&lt;&gt;""),$AD915-$AC915,"")</f>
        <v/>
      </c>
      <c r="AO915" s="53" t="str">
        <f aca="false">IF($J915&lt;&gt;"",$J915,"")</f>
        <v/>
      </c>
      <c r="AQ915" s="52" t="str">
        <f aca="false">IF($A915&lt;&gt;"",$A915,"")</f>
        <v>Apprenant 903</v>
      </c>
      <c r="AR915" s="55" t="str">
        <f aca="false">IF(AND('Choix pédagogiques'!$C$4&lt;&gt;"?",'Choix pédagogiques'!$C$5&lt;&gt;"?",W915&lt;&gt;""),(W915-'Choix pédagogiques'!$C$4)/('Choix pédagogiques'!$C$5-'Choix pédagogiques'!$C$4),"")</f>
        <v/>
      </c>
      <c r="AS915" s="55" t="str">
        <f aca="false">IF(AND('Choix pédagogiques'!$C$4&lt;&gt;"?",'Choix pédagogiques'!$C$5&lt;&gt;"?",X915&lt;&gt;""),(X915-'Choix pédagogiques'!$C$4)/('Choix pédagogiques'!$C$5-'Choix pédagogiques'!$C$4),"")</f>
        <v/>
      </c>
      <c r="AT915" s="55" t="str">
        <f aca="false">IF(AND('Choix pédagogiques'!$C$4&lt;&gt;"?",'Choix pédagogiques'!$C$5&lt;&gt;"?",Y915&lt;&gt;""),(Y915-'Choix pédagogiques'!$C$4)/('Choix pédagogiques'!$C$5-'Choix pédagogiques'!$C$4),"")</f>
        <v/>
      </c>
      <c r="AU915" s="53" t="str">
        <f aca="false">IF($E915&lt;&gt;"",$E915,"")</f>
        <v/>
      </c>
      <c r="AV915" s="52" t="str">
        <f aca="false">IF($F915&lt;&gt;"",$F915,"")</f>
        <v>Apprenant 903 ou 903'</v>
      </c>
      <c r="AW915" s="55" t="str">
        <f aca="false">IF(AND('Choix pédagogiques'!$C$4&lt;&gt;"?",'Choix pédagogiques'!$C$5&lt;&gt;"?",AB915&lt;&gt;""),(AB915-'Choix pédagogiques'!$C$4)/('Choix pédagogiques'!$C$5-'Choix pédagogiques'!$C$4),"")</f>
        <v/>
      </c>
      <c r="AX915" s="55" t="str">
        <f aca="false">IF(AND('Choix pédagogiques'!$C$4&lt;&gt;"?",'Choix pédagogiques'!$C$5&lt;&gt;"?",AC915&lt;&gt;""),(AC915-'Choix pédagogiques'!$C$4)/('Choix pédagogiques'!$C$5-'Choix pédagogiques'!$C$4),"")</f>
        <v/>
      </c>
      <c r="AY915" s="55" t="str">
        <f aca="false">IF(AND('Choix pédagogiques'!$C$4&lt;&gt;"?",'Choix pédagogiques'!$C$5&lt;&gt;"?",AD915&lt;&gt;""),(AD915-'Choix pédagogiques'!$C$4)/('Choix pédagogiques'!$C$5-'Choix pédagogiques'!$C$4),"")</f>
        <v/>
      </c>
      <c r="AZ915" s="53" t="str">
        <f aca="false">IF($J915&lt;&gt;"",$J915,"")</f>
        <v/>
      </c>
      <c r="BA915" s="52" t="str">
        <f aca="false">IF($A915&lt;&gt;"",$A915,"")</f>
        <v>Apprenant 903</v>
      </c>
      <c r="BB915" s="55" t="str">
        <f aca="false">IF(AND($AR915&lt;&gt;"",$AS915&lt;&gt;""),$AS915-$AR915,"")</f>
        <v/>
      </c>
      <c r="BC915" s="55" t="str">
        <f aca="false">IF(AND($AR915&lt;&gt;"",$AT915&lt;&gt;""),$AT915-$AR915,"")</f>
        <v/>
      </c>
      <c r="BD915" s="55" t="str">
        <f aca="false">IF(AND($AS915&lt;&gt;"",$AT915&lt;&gt;""),$AT915-$AS915,"")</f>
        <v/>
      </c>
      <c r="BE915" s="53" t="str">
        <f aca="false">IF($E915&lt;&gt;"",$E915,"")</f>
        <v/>
      </c>
      <c r="BF915" s="52" t="str">
        <f aca="false">IF($F915&lt;&gt;"",$F915,"")</f>
        <v>Apprenant 903 ou 903'</v>
      </c>
      <c r="BG915" s="55" t="str">
        <f aca="false">IF(AND($AW915&lt;&gt;"",$AX915&lt;&gt;""),$AX915-$AW915,"")</f>
        <v/>
      </c>
      <c r="BH915" s="55" t="str">
        <f aca="false">IF(AND($AW915&lt;&gt;"",$AY915&lt;&gt;""),$AY915-$AW915,"")</f>
        <v/>
      </c>
      <c r="BI915" s="55" t="str">
        <f aca="false">IF(AND($AX915&lt;&gt;"",$AY915&lt;&gt;""),$AY915-$AX915,"")</f>
        <v/>
      </c>
      <c r="BJ915" s="53" t="str">
        <f aca="false">IF($J915&lt;&gt;"",$J915,"")</f>
        <v/>
      </c>
      <c r="BL915" s="52"/>
      <c r="BM915" s="52" t="str">
        <f aca="false">IF(OR(COUNT(B915:D1914)=0,AND('Choix pédagogiques'!$C$3&lt;&gt;1,'Choix pédagogiques'!$C$3&lt;&gt;2)),"",IF(AND(OR('Choix pédagogiques'!$C$3=1,'Choix pédagogiques'!$C$3=2),$B915&lt;&gt;"",$C915&lt;&gt;"",$D915&lt;&gt;""),1,0))</f>
        <v/>
      </c>
      <c r="BN915" s="52" t="str">
        <f aca="false">IF(OR(COUNT(G915:I1914)=0,AND('Choix pédagogiques'!$C$3&lt;&gt;1,'Choix pédagogiques'!$C$3&lt;&gt;2)),"",IF(AND(OR('Choix pédagogiques'!$C$3=1,'Choix pédagogiques'!$C$3=2),AND($G915&lt;&gt;"",$H915&lt;&gt;"",$I915&lt;&gt;"")),1,0))</f>
        <v/>
      </c>
      <c r="BO915" s="52" t="str">
        <f aca="false">IF(OR(COUNT(B915:D1914)=0,COUNT(G915:I1914)=0,'Choix pédagogiques'!C$3&lt;&gt;3),"",IF(AND('Choix pédagogiques'!$C$3=3,$B915&lt;&gt;"",$C915&lt;&gt;"",$D915&lt;&gt;"",$G915&lt;&gt;"",$H915&lt;&gt;"",$I915&lt;&gt;""),1,0))</f>
        <v/>
      </c>
      <c r="BR915" s="52" t="n">
        <v>408</v>
      </c>
      <c r="BS915" s="52" t="n">
        <v>1402</v>
      </c>
    </row>
    <row r="916" s="54" customFormat="true" ht="18" hidden="false" customHeight="true" outlineLevel="0" collapsed="false">
      <c r="A916" s="57" t="s">
        <v>1763</v>
      </c>
      <c r="B916" s="51"/>
      <c r="C916" s="51"/>
      <c r="D916" s="51"/>
      <c r="E916" s="51"/>
      <c r="F916" s="57" t="s">
        <v>1764</v>
      </c>
      <c r="G916" s="51"/>
      <c r="H916" s="51"/>
      <c r="I916" s="51"/>
      <c r="J916" s="51"/>
      <c r="K916" s="52" t="str">
        <f aca="false">IF($A916&lt;&gt;"",$A916,"")</f>
        <v>Apprenant 904</v>
      </c>
      <c r="L916" s="53" t="str">
        <f aca="false">IF(AND($B916&lt;&gt;"",$C916&lt;&gt;""),$C916-$B916,"")</f>
        <v/>
      </c>
      <c r="M916" s="53" t="str">
        <f aca="false">IF(AND($B916&lt;&gt;"",$D916&lt;&gt;""),$D916-$B916,"")</f>
        <v/>
      </c>
      <c r="N916" s="53" t="str">
        <f aca="false">IF(AND($C916&lt;&gt;"",$D916&lt;&gt;""),$D916-$C916,"")</f>
        <v/>
      </c>
      <c r="O916" s="53" t="str">
        <f aca="false">IF($E916&lt;&gt;"",$E916,"")</f>
        <v/>
      </c>
      <c r="P916" s="52" t="str">
        <f aca="false">IF($F916&lt;&gt;"",$F916,"")</f>
        <v>Apprenant 904 ou 904'</v>
      </c>
      <c r="Q916" s="53" t="str">
        <f aca="false">IF(AND($G916&lt;&gt;"",$H916&lt;&gt;""),$H916-$G916,"")</f>
        <v/>
      </c>
      <c r="R916" s="53" t="str">
        <f aca="false">IF(AND($G916&lt;&gt;"",$I916&lt;&gt;""),$I916-$G916,"")</f>
        <v/>
      </c>
      <c r="S916" s="53" t="str">
        <f aca="false">IF(AND($H916&lt;&gt;"",$I916&lt;&gt;""),$I916-$H916,"")</f>
        <v/>
      </c>
      <c r="T916" s="53" t="str">
        <f aca="false">IF($J916&lt;&gt;"",$J916,"")</f>
        <v/>
      </c>
      <c r="V916" s="52" t="str">
        <f aca="false">IF($A916&lt;&gt;"",$A916,"")</f>
        <v>Apprenant 904</v>
      </c>
      <c r="W916" s="53" t="str">
        <f aca="false">IF(AND(OR('Choix pédagogiques'!$C$3=1,'Choix pédagogiques'!$C$3=2),$BM916=1),B916,IF(AND('Choix pédagogiques'!$C$3=3,$BO916=1),B916,""))</f>
        <v/>
      </c>
      <c r="X916" s="53" t="str">
        <f aca="false">IF(AND(OR('Choix pédagogiques'!$C$3=1,'Choix pédagogiques'!$C$3=2),$BM916=1),C916,IF(AND('Choix pédagogiques'!$C$3=3,$BO916=1),C916,""))</f>
        <v/>
      </c>
      <c r="Y916" s="53" t="str">
        <f aca="false">IF(AND(OR('Choix pédagogiques'!$C$3=1,'Choix pédagogiques'!$C$3=2),$BM916=1),D916,IF(AND('Choix pédagogiques'!$C$3=3,$BO916=1),D916,""))</f>
        <v/>
      </c>
      <c r="Z916" s="53" t="str">
        <f aca="false">IF($E916&lt;&gt;"",$E916,"")</f>
        <v/>
      </c>
      <c r="AA916" s="52" t="str">
        <f aca="false">IF($F916&lt;&gt;"",$F916,"")</f>
        <v>Apprenant 904 ou 904'</v>
      </c>
      <c r="AB916" s="53" t="str">
        <f aca="false">IF(AND(OR('Choix pédagogiques'!$C$3=1,'Choix pédagogiques'!$C$3=2),$BN916=1),G916,IF(AND('Choix pédagogiques'!$C$3=3,$BO916=1),G916,""))</f>
        <v/>
      </c>
      <c r="AC916" s="53" t="str">
        <f aca="false">IF(AND(OR('Choix pédagogiques'!$C$3=1,'Choix pédagogiques'!$C$3=2),$BN916=1),H916,IF(AND('Choix pédagogiques'!$C$3=3,$BO916=1),H916,""))</f>
        <v/>
      </c>
      <c r="AD916" s="53" t="str">
        <f aca="false">IF(AND(OR('Choix pédagogiques'!$C$3=1,'Choix pédagogiques'!$C$3=2),$BN916=1),I916,IF(AND('Choix pédagogiques'!$C$3=3,$BO916=1),I916,""))</f>
        <v/>
      </c>
      <c r="AE916" s="53" t="str">
        <f aca="false">IF($J916&lt;&gt;"",$J916,"")</f>
        <v/>
      </c>
      <c r="AF916" s="52" t="str">
        <f aca="false">IF($A916&lt;&gt;"",$A916,"")</f>
        <v>Apprenant 904</v>
      </c>
      <c r="AG916" s="53" t="str">
        <f aca="false">IF(AND($W916&lt;&gt;"",$X916&lt;&gt;""),$X916-$W916,"")</f>
        <v/>
      </c>
      <c r="AH916" s="53" t="str">
        <f aca="false">IF(AND($W916&lt;&gt;"",$Y916&lt;&gt;""),$Y916-$W916,"")</f>
        <v/>
      </c>
      <c r="AI916" s="53" t="str">
        <f aca="false">IF(AND($X916&lt;&gt;"",$Y916&lt;&gt;""),$Y916-$X916,"")</f>
        <v/>
      </c>
      <c r="AJ916" s="53" t="str">
        <f aca="false">IF($E916&lt;&gt;"",$E916,"")</f>
        <v/>
      </c>
      <c r="AK916" s="52" t="str">
        <f aca="false">IF($F916&lt;&gt;"",$F916,"")</f>
        <v>Apprenant 904 ou 904'</v>
      </c>
      <c r="AL916" s="53" t="str">
        <f aca="false">IF(AND($AB916&lt;&gt;"",$AC916&lt;&gt;""),$AC916-$AB916,"")</f>
        <v/>
      </c>
      <c r="AM916" s="53" t="str">
        <f aca="false">IF(AND($AB916&lt;&gt;"",$AD916&lt;&gt;""),$AD916-$AB916,"")</f>
        <v/>
      </c>
      <c r="AN916" s="53" t="str">
        <f aca="false">IF(AND($AC916&lt;&gt;"",$AD916&lt;&gt;""),$AD916-$AC916,"")</f>
        <v/>
      </c>
      <c r="AO916" s="53" t="str">
        <f aca="false">IF($J916&lt;&gt;"",$J916,"")</f>
        <v/>
      </c>
      <c r="AQ916" s="52" t="str">
        <f aca="false">IF($A916&lt;&gt;"",$A916,"")</f>
        <v>Apprenant 904</v>
      </c>
      <c r="AR916" s="55" t="str">
        <f aca="false">IF(AND('Choix pédagogiques'!$C$4&lt;&gt;"?",'Choix pédagogiques'!$C$5&lt;&gt;"?",W916&lt;&gt;""),(W916-'Choix pédagogiques'!$C$4)/('Choix pédagogiques'!$C$5-'Choix pédagogiques'!$C$4),"")</f>
        <v/>
      </c>
      <c r="AS916" s="55" t="str">
        <f aca="false">IF(AND('Choix pédagogiques'!$C$4&lt;&gt;"?",'Choix pédagogiques'!$C$5&lt;&gt;"?",X916&lt;&gt;""),(X916-'Choix pédagogiques'!$C$4)/('Choix pédagogiques'!$C$5-'Choix pédagogiques'!$C$4),"")</f>
        <v/>
      </c>
      <c r="AT916" s="55" t="str">
        <f aca="false">IF(AND('Choix pédagogiques'!$C$4&lt;&gt;"?",'Choix pédagogiques'!$C$5&lt;&gt;"?",Y916&lt;&gt;""),(Y916-'Choix pédagogiques'!$C$4)/('Choix pédagogiques'!$C$5-'Choix pédagogiques'!$C$4),"")</f>
        <v/>
      </c>
      <c r="AU916" s="53" t="str">
        <f aca="false">IF($E916&lt;&gt;"",$E916,"")</f>
        <v/>
      </c>
      <c r="AV916" s="52" t="str">
        <f aca="false">IF($F916&lt;&gt;"",$F916,"")</f>
        <v>Apprenant 904 ou 904'</v>
      </c>
      <c r="AW916" s="55" t="str">
        <f aca="false">IF(AND('Choix pédagogiques'!$C$4&lt;&gt;"?",'Choix pédagogiques'!$C$5&lt;&gt;"?",AB916&lt;&gt;""),(AB916-'Choix pédagogiques'!$C$4)/('Choix pédagogiques'!$C$5-'Choix pédagogiques'!$C$4),"")</f>
        <v/>
      </c>
      <c r="AX916" s="55" t="str">
        <f aca="false">IF(AND('Choix pédagogiques'!$C$4&lt;&gt;"?",'Choix pédagogiques'!$C$5&lt;&gt;"?",AC916&lt;&gt;""),(AC916-'Choix pédagogiques'!$C$4)/('Choix pédagogiques'!$C$5-'Choix pédagogiques'!$C$4),"")</f>
        <v/>
      </c>
      <c r="AY916" s="55" t="str">
        <f aca="false">IF(AND('Choix pédagogiques'!$C$4&lt;&gt;"?",'Choix pédagogiques'!$C$5&lt;&gt;"?",AD916&lt;&gt;""),(AD916-'Choix pédagogiques'!$C$4)/('Choix pédagogiques'!$C$5-'Choix pédagogiques'!$C$4),"")</f>
        <v/>
      </c>
      <c r="AZ916" s="53" t="str">
        <f aca="false">IF($J916&lt;&gt;"",$J916,"")</f>
        <v/>
      </c>
      <c r="BA916" s="52" t="str">
        <f aca="false">IF($A916&lt;&gt;"",$A916,"")</f>
        <v>Apprenant 904</v>
      </c>
      <c r="BB916" s="55" t="str">
        <f aca="false">IF(AND($AR916&lt;&gt;"",$AS916&lt;&gt;""),$AS916-$AR916,"")</f>
        <v/>
      </c>
      <c r="BC916" s="55" t="str">
        <f aca="false">IF(AND($AR916&lt;&gt;"",$AT916&lt;&gt;""),$AT916-$AR916,"")</f>
        <v/>
      </c>
      <c r="BD916" s="55" t="str">
        <f aca="false">IF(AND($AS916&lt;&gt;"",$AT916&lt;&gt;""),$AT916-$AS916,"")</f>
        <v/>
      </c>
      <c r="BE916" s="53" t="str">
        <f aca="false">IF($E916&lt;&gt;"",$E916,"")</f>
        <v/>
      </c>
      <c r="BF916" s="52" t="str">
        <f aca="false">IF($F916&lt;&gt;"",$F916,"")</f>
        <v>Apprenant 904 ou 904'</v>
      </c>
      <c r="BG916" s="55" t="str">
        <f aca="false">IF(AND($AW916&lt;&gt;"",$AX916&lt;&gt;""),$AX916-$AW916,"")</f>
        <v/>
      </c>
      <c r="BH916" s="55" t="str">
        <f aca="false">IF(AND($AW916&lt;&gt;"",$AY916&lt;&gt;""),$AY916-$AW916,"")</f>
        <v/>
      </c>
      <c r="BI916" s="55" t="str">
        <f aca="false">IF(AND($AX916&lt;&gt;"",$AY916&lt;&gt;""),$AY916-$AX916,"")</f>
        <v/>
      </c>
      <c r="BJ916" s="53" t="str">
        <f aca="false">IF($J916&lt;&gt;"",$J916,"")</f>
        <v/>
      </c>
      <c r="BL916" s="52"/>
      <c r="BM916" s="52" t="str">
        <f aca="false">IF(OR(COUNT(B916:D1915)=0,AND('Choix pédagogiques'!$C$3&lt;&gt;1,'Choix pédagogiques'!$C$3&lt;&gt;2)),"",IF(AND(OR('Choix pédagogiques'!$C$3=1,'Choix pédagogiques'!$C$3=2),$B916&lt;&gt;"",$C916&lt;&gt;"",$D916&lt;&gt;""),1,0))</f>
        <v/>
      </c>
      <c r="BN916" s="52" t="str">
        <f aca="false">IF(OR(COUNT(G916:I1915)=0,AND('Choix pédagogiques'!$C$3&lt;&gt;1,'Choix pédagogiques'!$C$3&lt;&gt;2)),"",IF(AND(OR('Choix pédagogiques'!$C$3=1,'Choix pédagogiques'!$C$3=2),AND($G916&lt;&gt;"",$H916&lt;&gt;"",$I916&lt;&gt;"")),1,0))</f>
        <v/>
      </c>
      <c r="BO916" s="52" t="str">
        <f aca="false">IF(OR(COUNT(B916:D1915)=0,COUNT(G916:I1915)=0,'Choix pédagogiques'!C$3&lt;&gt;3),"",IF(AND('Choix pédagogiques'!$C$3=3,$B916&lt;&gt;"",$C916&lt;&gt;"",$D916&lt;&gt;"",$G916&lt;&gt;"",$H916&lt;&gt;"",$I916&lt;&gt;""),1,0))</f>
        <v/>
      </c>
      <c r="BR916" s="52" t="n">
        <v>401</v>
      </c>
      <c r="BS916" s="52" t="n">
        <v>1020</v>
      </c>
    </row>
    <row r="917" s="54" customFormat="true" ht="18" hidden="false" customHeight="true" outlineLevel="0" collapsed="false">
      <c r="A917" s="57" t="s">
        <v>1765</v>
      </c>
      <c r="B917" s="51"/>
      <c r="C917" s="51"/>
      <c r="D917" s="51"/>
      <c r="E917" s="51"/>
      <c r="F917" s="57" t="s">
        <v>1766</v>
      </c>
      <c r="G917" s="51"/>
      <c r="H917" s="51"/>
      <c r="I917" s="51"/>
      <c r="J917" s="51"/>
      <c r="K917" s="52" t="str">
        <f aca="false">IF($A917&lt;&gt;"",$A917,"")</f>
        <v>Apprenant 905</v>
      </c>
      <c r="L917" s="53" t="str">
        <f aca="false">IF(AND($B917&lt;&gt;"",$C917&lt;&gt;""),$C917-$B917,"")</f>
        <v/>
      </c>
      <c r="M917" s="53" t="str">
        <f aca="false">IF(AND($B917&lt;&gt;"",$D917&lt;&gt;""),$D917-$B917,"")</f>
        <v/>
      </c>
      <c r="N917" s="53" t="str">
        <f aca="false">IF(AND($C917&lt;&gt;"",$D917&lt;&gt;""),$D917-$C917,"")</f>
        <v/>
      </c>
      <c r="O917" s="53" t="str">
        <f aca="false">IF($E917&lt;&gt;"",$E917,"")</f>
        <v/>
      </c>
      <c r="P917" s="52" t="str">
        <f aca="false">IF($F917&lt;&gt;"",$F917,"")</f>
        <v>Apprenant 905 ou 905'</v>
      </c>
      <c r="Q917" s="53" t="str">
        <f aca="false">IF(AND($G917&lt;&gt;"",$H917&lt;&gt;""),$H917-$G917,"")</f>
        <v/>
      </c>
      <c r="R917" s="53" t="str">
        <f aca="false">IF(AND($G917&lt;&gt;"",$I917&lt;&gt;""),$I917-$G917,"")</f>
        <v/>
      </c>
      <c r="S917" s="53" t="str">
        <f aca="false">IF(AND($H917&lt;&gt;"",$I917&lt;&gt;""),$I917-$H917,"")</f>
        <v/>
      </c>
      <c r="T917" s="53" t="str">
        <f aca="false">IF($J917&lt;&gt;"",$J917,"")</f>
        <v/>
      </c>
      <c r="V917" s="52" t="str">
        <f aca="false">IF($A917&lt;&gt;"",$A917,"")</f>
        <v>Apprenant 905</v>
      </c>
      <c r="W917" s="53" t="str">
        <f aca="false">IF(AND(OR('Choix pédagogiques'!$C$3=1,'Choix pédagogiques'!$C$3=2),$BM917=1),B917,IF(AND('Choix pédagogiques'!$C$3=3,$BO917=1),B917,""))</f>
        <v/>
      </c>
      <c r="X917" s="53" t="str">
        <f aca="false">IF(AND(OR('Choix pédagogiques'!$C$3=1,'Choix pédagogiques'!$C$3=2),$BM917=1),C917,IF(AND('Choix pédagogiques'!$C$3=3,$BO917=1),C917,""))</f>
        <v/>
      </c>
      <c r="Y917" s="53" t="str">
        <f aca="false">IF(AND(OR('Choix pédagogiques'!$C$3=1,'Choix pédagogiques'!$C$3=2),$BM917=1),D917,IF(AND('Choix pédagogiques'!$C$3=3,$BO917=1),D917,""))</f>
        <v/>
      </c>
      <c r="Z917" s="53" t="str">
        <f aca="false">IF($E917&lt;&gt;"",$E917,"")</f>
        <v/>
      </c>
      <c r="AA917" s="52" t="str">
        <f aca="false">IF($F917&lt;&gt;"",$F917,"")</f>
        <v>Apprenant 905 ou 905'</v>
      </c>
      <c r="AB917" s="53" t="str">
        <f aca="false">IF(AND(OR('Choix pédagogiques'!$C$3=1,'Choix pédagogiques'!$C$3=2),$BN917=1),G917,IF(AND('Choix pédagogiques'!$C$3=3,$BO917=1),G917,""))</f>
        <v/>
      </c>
      <c r="AC917" s="53" t="str">
        <f aca="false">IF(AND(OR('Choix pédagogiques'!$C$3=1,'Choix pédagogiques'!$C$3=2),$BN917=1),H917,IF(AND('Choix pédagogiques'!$C$3=3,$BO917=1),H917,""))</f>
        <v/>
      </c>
      <c r="AD917" s="53" t="str">
        <f aca="false">IF(AND(OR('Choix pédagogiques'!$C$3=1,'Choix pédagogiques'!$C$3=2),$BN917=1),I917,IF(AND('Choix pédagogiques'!$C$3=3,$BO917=1),I917,""))</f>
        <v/>
      </c>
      <c r="AE917" s="53" t="str">
        <f aca="false">IF($J917&lt;&gt;"",$J917,"")</f>
        <v/>
      </c>
      <c r="AF917" s="52" t="str">
        <f aca="false">IF($A917&lt;&gt;"",$A917,"")</f>
        <v>Apprenant 905</v>
      </c>
      <c r="AG917" s="53" t="str">
        <f aca="false">IF(AND($W917&lt;&gt;"",$X917&lt;&gt;""),$X917-$W917,"")</f>
        <v/>
      </c>
      <c r="AH917" s="53" t="str">
        <f aca="false">IF(AND($W917&lt;&gt;"",$Y917&lt;&gt;""),$Y917-$W917,"")</f>
        <v/>
      </c>
      <c r="AI917" s="53" t="str">
        <f aca="false">IF(AND($X917&lt;&gt;"",$Y917&lt;&gt;""),$Y917-$X917,"")</f>
        <v/>
      </c>
      <c r="AJ917" s="53" t="str">
        <f aca="false">IF($E917&lt;&gt;"",$E917,"")</f>
        <v/>
      </c>
      <c r="AK917" s="52" t="str">
        <f aca="false">IF($F917&lt;&gt;"",$F917,"")</f>
        <v>Apprenant 905 ou 905'</v>
      </c>
      <c r="AL917" s="53" t="str">
        <f aca="false">IF(AND($AB917&lt;&gt;"",$AC917&lt;&gt;""),$AC917-$AB917,"")</f>
        <v/>
      </c>
      <c r="AM917" s="53" t="str">
        <f aca="false">IF(AND($AB917&lt;&gt;"",$AD917&lt;&gt;""),$AD917-$AB917,"")</f>
        <v/>
      </c>
      <c r="AN917" s="53" t="str">
        <f aca="false">IF(AND($AC917&lt;&gt;"",$AD917&lt;&gt;""),$AD917-$AC917,"")</f>
        <v/>
      </c>
      <c r="AO917" s="53" t="str">
        <f aca="false">IF($J917&lt;&gt;"",$J917,"")</f>
        <v/>
      </c>
      <c r="AQ917" s="52" t="str">
        <f aca="false">IF($A917&lt;&gt;"",$A917,"")</f>
        <v>Apprenant 905</v>
      </c>
      <c r="AR917" s="55" t="str">
        <f aca="false">IF(AND('Choix pédagogiques'!$C$4&lt;&gt;"?",'Choix pédagogiques'!$C$5&lt;&gt;"?",W917&lt;&gt;""),(W917-'Choix pédagogiques'!$C$4)/('Choix pédagogiques'!$C$5-'Choix pédagogiques'!$C$4),"")</f>
        <v/>
      </c>
      <c r="AS917" s="55" t="str">
        <f aca="false">IF(AND('Choix pédagogiques'!$C$4&lt;&gt;"?",'Choix pédagogiques'!$C$5&lt;&gt;"?",X917&lt;&gt;""),(X917-'Choix pédagogiques'!$C$4)/('Choix pédagogiques'!$C$5-'Choix pédagogiques'!$C$4),"")</f>
        <v/>
      </c>
      <c r="AT917" s="55" t="str">
        <f aca="false">IF(AND('Choix pédagogiques'!$C$4&lt;&gt;"?",'Choix pédagogiques'!$C$5&lt;&gt;"?",Y917&lt;&gt;""),(Y917-'Choix pédagogiques'!$C$4)/('Choix pédagogiques'!$C$5-'Choix pédagogiques'!$C$4),"")</f>
        <v/>
      </c>
      <c r="AU917" s="53" t="str">
        <f aca="false">IF($E917&lt;&gt;"",$E917,"")</f>
        <v/>
      </c>
      <c r="AV917" s="52" t="str">
        <f aca="false">IF($F917&lt;&gt;"",$F917,"")</f>
        <v>Apprenant 905 ou 905'</v>
      </c>
      <c r="AW917" s="55" t="str">
        <f aca="false">IF(AND('Choix pédagogiques'!$C$4&lt;&gt;"?",'Choix pédagogiques'!$C$5&lt;&gt;"?",AB917&lt;&gt;""),(AB917-'Choix pédagogiques'!$C$4)/('Choix pédagogiques'!$C$5-'Choix pédagogiques'!$C$4),"")</f>
        <v/>
      </c>
      <c r="AX917" s="55" t="str">
        <f aca="false">IF(AND('Choix pédagogiques'!$C$4&lt;&gt;"?",'Choix pédagogiques'!$C$5&lt;&gt;"?",AC917&lt;&gt;""),(AC917-'Choix pédagogiques'!$C$4)/('Choix pédagogiques'!$C$5-'Choix pédagogiques'!$C$4),"")</f>
        <v/>
      </c>
      <c r="AY917" s="55" t="str">
        <f aca="false">IF(AND('Choix pédagogiques'!$C$4&lt;&gt;"?",'Choix pédagogiques'!$C$5&lt;&gt;"?",AD917&lt;&gt;""),(AD917-'Choix pédagogiques'!$C$4)/('Choix pédagogiques'!$C$5-'Choix pédagogiques'!$C$4),"")</f>
        <v/>
      </c>
      <c r="AZ917" s="53" t="str">
        <f aca="false">IF($J917&lt;&gt;"",$J917,"")</f>
        <v/>
      </c>
      <c r="BA917" s="52" t="str">
        <f aca="false">IF($A917&lt;&gt;"",$A917,"")</f>
        <v>Apprenant 905</v>
      </c>
      <c r="BB917" s="55" t="str">
        <f aca="false">IF(AND($AR917&lt;&gt;"",$AS917&lt;&gt;""),$AS917-$AR917,"")</f>
        <v/>
      </c>
      <c r="BC917" s="55" t="str">
        <f aca="false">IF(AND($AR917&lt;&gt;"",$AT917&lt;&gt;""),$AT917-$AR917,"")</f>
        <v/>
      </c>
      <c r="BD917" s="55" t="str">
        <f aca="false">IF(AND($AS917&lt;&gt;"",$AT917&lt;&gt;""),$AT917-$AS917,"")</f>
        <v/>
      </c>
      <c r="BE917" s="53" t="str">
        <f aca="false">IF($E917&lt;&gt;"",$E917,"")</f>
        <v/>
      </c>
      <c r="BF917" s="52" t="str">
        <f aca="false">IF($F917&lt;&gt;"",$F917,"")</f>
        <v>Apprenant 905 ou 905'</v>
      </c>
      <c r="BG917" s="55" t="str">
        <f aca="false">IF(AND($AW917&lt;&gt;"",$AX917&lt;&gt;""),$AX917-$AW917,"")</f>
        <v/>
      </c>
      <c r="BH917" s="55" t="str">
        <f aca="false">IF(AND($AW917&lt;&gt;"",$AY917&lt;&gt;""),$AY917-$AW917,"")</f>
        <v/>
      </c>
      <c r="BI917" s="55" t="str">
        <f aca="false">IF(AND($AX917&lt;&gt;"",$AY917&lt;&gt;""),$AY917-$AX917,"")</f>
        <v/>
      </c>
      <c r="BJ917" s="53" t="str">
        <f aca="false">IF($J917&lt;&gt;"",$J917,"")</f>
        <v/>
      </c>
      <c r="BL917" s="52"/>
      <c r="BM917" s="52" t="str">
        <f aca="false">IF(OR(COUNT(B917:D1916)=0,AND('Choix pédagogiques'!$C$3&lt;&gt;1,'Choix pédagogiques'!$C$3&lt;&gt;2)),"",IF(AND(OR('Choix pédagogiques'!$C$3=1,'Choix pédagogiques'!$C$3=2),$B917&lt;&gt;"",$C917&lt;&gt;"",$D917&lt;&gt;""),1,0))</f>
        <v/>
      </c>
      <c r="BN917" s="52" t="str">
        <f aca="false">IF(OR(COUNT(G917:I1916)=0,AND('Choix pédagogiques'!$C$3&lt;&gt;1,'Choix pédagogiques'!$C$3&lt;&gt;2)),"",IF(AND(OR('Choix pédagogiques'!$C$3=1,'Choix pédagogiques'!$C$3=2),AND($G917&lt;&gt;"",$H917&lt;&gt;"",$I917&lt;&gt;"")),1,0))</f>
        <v/>
      </c>
      <c r="BO917" s="52" t="str">
        <f aca="false">IF(OR(COUNT(B917:D1916)=0,COUNT(G917:I1916)=0,'Choix pédagogiques'!C$3&lt;&gt;3),"",IF(AND('Choix pédagogiques'!$C$3=3,$B917&lt;&gt;"",$C917&lt;&gt;"",$D917&lt;&gt;"",$G917&lt;&gt;"",$H917&lt;&gt;"",$I917&lt;&gt;""),1,0))</f>
        <v/>
      </c>
      <c r="BR917" s="52" t="n">
        <v>958</v>
      </c>
      <c r="BS917" s="52" t="n">
        <v>1367</v>
      </c>
    </row>
    <row r="918" s="54" customFormat="true" ht="18" hidden="false" customHeight="true" outlineLevel="0" collapsed="false">
      <c r="A918" s="57" t="s">
        <v>1767</v>
      </c>
      <c r="B918" s="51"/>
      <c r="C918" s="51"/>
      <c r="D918" s="51"/>
      <c r="E918" s="51"/>
      <c r="F918" s="57" t="s">
        <v>1768</v>
      </c>
      <c r="G918" s="51"/>
      <c r="H918" s="51"/>
      <c r="I918" s="51"/>
      <c r="J918" s="51"/>
      <c r="K918" s="52" t="str">
        <f aca="false">IF($A918&lt;&gt;"",$A918,"")</f>
        <v>Apprenant 906</v>
      </c>
      <c r="L918" s="53" t="str">
        <f aca="false">IF(AND($B918&lt;&gt;"",$C918&lt;&gt;""),$C918-$B918,"")</f>
        <v/>
      </c>
      <c r="M918" s="53" t="str">
        <f aca="false">IF(AND($B918&lt;&gt;"",$D918&lt;&gt;""),$D918-$B918,"")</f>
        <v/>
      </c>
      <c r="N918" s="53" t="str">
        <f aca="false">IF(AND($C918&lt;&gt;"",$D918&lt;&gt;""),$D918-$C918,"")</f>
        <v/>
      </c>
      <c r="O918" s="53" t="str">
        <f aca="false">IF($E918&lt;&gt;"",$E918,"")</f>
        <v/>
      </c>
      <c r="P918" s="52" t="str">
        <f aca="false">IF($F918&lt;&gt;"",$F918,"")</f>
        <v>Apprenant 906 ou 906'</v>
      </c>
      <c r="Q918" s="53" t="str">
        <f aca="false">IF(AND($G918&lt;&gt;"",$H918&lt;&gt;""),$H918-$G918,"")</f>
        <v/>
      </c>
      <c r="R918" s="53" t="str">
        <f aca="false">IF(AND($G918&lt;&gt;"",$I918&lt;&gt;""),$I918-$G918,"")</f>
        <v/>
      </c>
      <c r="S918" s="53" t="str">
        <f aca="false">IF(AND($H918&lt;&gt;"",$I918&lt;&gt;""),$I918-$H918,"")</f>
        <v/>
      </c>
      <c r="T918" s="53" t="str">
        <f aca="false">IF($J918&lt;&gt;"",$J918,"")</f>
        <v/>
      </c>
      <c r="V918" s="52" t="str">
        <f aca="false">IF($A918&lt;&gt;"",$A918,"")</f>
        <v>Apprenant 906</v>
      </c>
      <c r="W918" s="53" t="str">
        <f aca="false">IF(AND(OR('Choix pédagogiques'!$C$3=1,'Choix pédagogiques'!$C$3=2),$BM918=1),B918,IF(AND('Choix pédagogiques'!$C$3=3,$BO918=1),B918,""))</f>
        <v/>
      </c>
      <c r="X918" s="53" t="str">
        <f aca="false">IF(AND(OR('Choix pédagogiques'!$C$3=1,'Choix pédagogiques'!$C$3=2),$BM918=1),C918,IF(AND('Choix pédagogiques'!$C$3=3,$BO918=1),C918,""))</f>
        <v/>
      </c>
      <c r="Y918" s="53" t="str">
        <f aca="false">IF(AND(OR('Choix pédagogiques'!$C$3=1,'Choix pédagogiques'!$C$3=2),$BM918=1),D918,IF(AND('Choix pédagogiques'!$C$3=3,$BO918=1),D918,""))</f>
        <v/>
      </c>
      <c r="Z918" s="53" t="str">
        <f aca="false">IF($E918&lt;&gt;"",$E918,"")</f>
        <v/>
      </c>
      <c r="AA918" s="52" t="str">
        <f aca="false">IF($F918&lt;&gt;"",$F918,"")</f>
        <v>Apprenant 906 ou 906'</v>
      </c>
      <c r="AB918" s="53" t="str">
        <f aca="false">IF(AND(OR('Choix pédagogiques'!$C$3=1,'Choix pédagogiques'!$C$3=2),$BN918=1),G918,IF(AND('Choix pédagogiques'!$C$3=3,$BO918=1),G918,""))</f>
        <v/>
      </c>
      <c r="AC918" s="53" t="str">
        <f aca="false">IF(AND(OR('Choix pédagogiques'!$C$3=1,'Choix pédagogiques'!$C$3=2),$BN918=1),H918,IF(AND('Choix pédagogiques'!$C$3=3,$BO918=1),H918,""))</f>
        <v/>
      </c>
      <c r="AD918" s="53" t="str">
        <f aca="false">IF(AND(OR('Choix pédagogiques'!$C$3=1,'Choix pédagogiques'!$C$3=2),$BN918=1),I918,IF(AND('Choix pédagogiques'!$C$3=3,$BO918=1),I918,""))</f>
        <v/>
      </c>
      <c r="AE918" s="53" t="str">
        <f aca="false">IF($J918&lt;&gt;"",$J918,"")</f>
        <v/>
      </c>
      <c r="AF918" s="52" t="str">
        <f aca="false">IF($A918&lt;&gt;"",$A918,"")</f>
        <v>Apprenant 906</v>
      </c>
      <c r="AG918" s="53" t="str">
        <f aca="false">IF(AND($W918&lt;&gt;"",$X918&lt;&gt;""),$X918-$W918,"")</f>
        <v/>
      </c>
      <c r="AH918" s="53" t="str">
        <f aca="false">IF(AND($W918&lt;&gt;"",$Y918&lt;&gt;""),$Y918-$W918,"")</f>
        <v/>
      </c>
      <c r="AI918" s="53" t="str">
        <f aca="false">IF(AND($X918&lt;&gt;"",$Y918&lt;&gt;""),$Y918-$X918,"")</f>
        <v/>
      </c>
      <c r="AJ918" s="53" t="str">
        <f aca="false">IF($E918&lt;&gt;"",$E918,"")</f>
        <v/>
      </c>
      <c r="AK918" s="52" t="str">
        <f aca="false">IF($F918&lt;&gt;"",$F918,"")</f>
        <v>Apprenant 906 ou 906'</v>
      </c>
      <c r="AL918" s="53" t="str">
        <f aca="false">IF(AND($AB918&lt;&gt;"",$AC918&lt;&gt;""),$AC918-$AB918,"")</f>
        <v/>
      </c>
      <c r="AM918" s="53" t="str">
        <f aca="false">IF(AND($AB918&lt;&gt;"",$AD918&lt;&gt;""),$AD918-$AB918,"")</f>
        <v/>
      </c>
      <c r="AN918" s="53" t="str">
        <f aca="false">IF(AND($AC918&lt;&gt;"",$AD918&lt;&gt;""),$AD918-$AC918,"")</f>
        <v/>
      </c>
      <c r="AO918" s="53" t="str">
        <f aca="false">IF($J918&lt;&gt;"",$J918,"")</f>
        <v/>
      </c>
      <c r="AQ918" s="52" t="str">
        <f aca="false">IF($A918&lt;&gt;"",$A918,"")</f>
        <v>Apprenant 906</v>
      </c>
      <c r="AR918" s="55" t="str">
        <f aca="false">IF(AND('Choix pédagogiques'!$C$4&lt;&gt;"?",'Choix pédagogiques'!$C$5&lt;&gt;"?",W918&lt;&gt;""),(W918-'Choix pédagogiques'!$C$4)/('Choix pédagogiques'!$C$5-'Choix pédagogiques'!$C$4),"")</f>
        <v/>
      </c>
      <c r="AS918" s="55" t="str">
        <f aca="false">IF(AND('Choix pédagogiques'!$C$4&lt;&gt;"?",'Choix pédagogiques'!$C$5&lt;&gt;"?",X918&lt;&gt;""),(X918-'Choix pédagogiques'!$C$4)/('Choix pédagogiques'!$C$5-'Choix pédagogiques'!$C$4),"")</f>
        <v/>
      </c>
      <c r="AT918" s="55" t="str">
        <f aca="false">IF(AND('Choix pédagogiques'!$C$4&lt;&gt;"?",'Choix pédagogiques'!$C$5&lt;&gt;"?",Y918&lt;&gt;""),(Y918-'Choix pédagogiques'!$C$4)/('Choix pédagogiques'!$C$5-'Choix pédagogiques'!$C$4),"")</f>
        <v/>
      </c>
      <c r="AU918" s="53" t="str">
        <f aca="false">IF($E918&lt;&gt;"",$E918,"")</f>
        <v/>
      </c>
      <c r="AV918" s="52" t="str">
        <f aca="false">IF($F918&lt;&gt;"",$F918,"")</f>
        <v>Apprenant 906 ou 906'</v>
      </c>
      <c r="AW918" s="55" t="str">
        <f aca="false">IF(AND('Choix pédagogiques'!$C$4&lt;&gt;"?",'Choix pédagogiques'!$C$5&lt;&gt;"?",AB918&lt;&gt;""),(AB918-'Choix pédagogiques'!$C$4)/('Choix pédagogiques'!$C$5-'Choix pédagogiques'!$C$4),"")</f>
        <v/>
      </c>
      <c r="AX918" s="55" t="str">
        <f aca="false">IF(AND('Choix pédagogiques'!$C$4&lt;&gt;"?",'Choix pédagogiques'!$C$5&lt;&gt;"?",AC918&lt;&gt;""),(AC918-'Choix pédagogiques'!$C$4)/('Choix pédagogiques'!$C$5-'Choix pédagogiques'!$C$4),"")</f>
        <v/>
      </c>
      <c r="AY918" s="55" t="str">
        <f aca="false">IF(AND('Choix pédagogiques'!$C$4&lt;&gt;"?",'Choix pédagogiques'!$C$5&lt;&gt;"?",AD918&lt;&gt;""),(AD918-'Choix pédagogiques'!$C$4)/('Choix pédagogiques'!$C$5-'Choix pédagogiques'!$C$4),"")</f>
        <v/>
      </c>
      <c r="AZ918" s="53" t="str">
        <f aca="false">IF($J918&lt;&gt;"",$J918,"")</f>
        <v/>
      </c>
      <c r="BA918" s="52" t="str">
        <f aca="false">IF($A918&lt;&gt;"",$A918,"")</f>
        <v>Apprenant 906</v>
      </c>
      <c r="BB918" s="55" t="str">
        <f aca="false">IF(AND($AR918&lt;&gt;"",$AS918&lt;&gt;""),$AS918-$AR918,"")</f>
        <v/>
      </c>
      <c r="BC918" s="55" t="str">
        <f aca="false">IF(AND($AR918&lt;&gt;"",$AT918&lt;&gt;""),$AT918-$AR918,"")</f>
        <v/>
      </c>
      <c r="BD918" s="55" t="str">
        <f aca="false">IF(AND($AS918&lt;&gt;"",$AT918&lt;&gt;""),$AT918-$AS918,"")</f>
        <v/>
      </c>
      <c r="BE918" s="53" t="str">
        <f aca="false">IF($E918&lt;&gt;"",$E918,"")</f>
        <v/>
      </c>
      <c r="BF918" s="52" t="str">
        <f aca="false">IF($F918&lt;&gt;"",$F918,"")</f>
        <v>Apprenant 906 ou 906'</v>
      </c>
      <c r="BG918" s="55" t="str">
        <f aca="false">IF(AND($AW918&lt;&gt;"",$AX918&lt;&gt;""),$AX918-$AW918,"")</f>
        <v/>
      </c>
      <c r="BH918" s="55" t="str">
        <f aca="false">IF(AND($AW918&lt;&gt;"",$AY918&lt;&gt;""),$AY918-$AW918,"")</f>
        <v/>
      </c>
      <c r="BI918" s="55" t="str">
        <f aca="false">IF(AND($AX918&lt;&gt;"",$AY918&lt;&gt;""),$AY918-$AX918,"")</f>
        <v/>
      </c>
      <c r="BJ918" s="53" t="str">
        <f aca="false">IF($J918&lt;&gt;"",$J918,"")</f>
        <v/>
      </c>
      <c r="BL918" s="52"/>
      <c r="BM918" s="52" t="str">
        <f aca="false">IF(OR(COUNT(B918:D1917)=0,AND('Choix pédagogiques'!$C$3&lt;&gt;1,'Choix pédagogiques'!$C$3&lt;&gt;2)),"",IF(AND(OR('Choix pédagogiques'!$C$3=1,'Choix pédagogiques'!$C$3=2),$B918&lt;&gt;"",$C918&lt;&gt;"",$D918&lt;&gt;""),1,0))</f>
        <v/>
      </c>
      <c r="BN918" s="52" t="str">
        <f aca="false">IF(OR(COUNT(G918:I1917)=0,AND('Choix pédagogiques'!$C$3&lt;&gt;1,'Choix pédagogiques'!$C$3&lt;&gt;2)),"",IF(AND(OR('Choix pédagogiques'!$C$3=1,'Choix pédagogiques'!$C$3=2),AND($G918&lt;&gt;"",$H918&lt;&gt;"",$I918&lt;&gt;"")),1,0))</f>
        <v/>
      </c>
      <c r="BO918" s="52" t="str">
        <f aca="false">IF(OR(COUNT(B918:D1917)=0,COUNT(G918:I1917)=0,'Choix pédagogiques'!C$3&lt;&gt;3),"",IF(AND('Choix pédagogiques'!$C$3=3,$B918&lt;&gt;"",$C918&lt;&gt;"",$D918&lt;&gt;"",$G918&lt;&gt;"",$H918&lt;&gt;"",$I918&lt;&gt;""),1,0))</f>
        <v/>
      </c>
      <c r="BR918" s="52" t="n">
        <v>10</v>
      </c>
      <c r="BS918" s="52" t="n">
        <v>1821</v>
      </c>
    </row>
    <row r="919" s="54" customFormat="true" ht="18" hidden="false" customHeight="true" outlineLevel="0" collapsed="false">
      <c r="A919" s="57" t="s">
        <v>1769</v>
      </c>
      <c r="B919" s="51"/>
      <c r="C919" s="51"/>
      <c r="D919" s="51"/>
      <c r="E919" s="51"/>
      <c r="F919" s="57" t="s">
        <v>1770</v>
      </c>
      <c r="G919" s="51"/>
      <c r="H919" s="51"/>
      <c r="I919" s="51"/>
      <c r="J919" s="51"/>
      <c r="K919" s="52" t="str">
        <f aca="false">IF($A919&lt;&gt;"",$A919,"")</f>
        <v>Apprenant 907</v>
      </c>
      <c r="L919" s="53" t="str">
        <f aca="false">IF(AND($B919&lt;&gt;"",$C919&lt;&gt;""),$C919-$B919,"")</f>
        <v/>
      </c>
      <c r="M919" s="53" t="str">
        <f aca="false">IF(AND($B919&lt;&gt;"",$D919&lt;&gt;""),$D919-$B919,"")</f>
        <v/>
      </c>
      <c r="N919" s="53" t="str">
        <f aca="false">IF(AND($C919&lt;&gt;"",$D919&lt;&gt;""),$D919-$C919,"")</f>
        <v/>
      </c>
      <c r="O919" s="53" t="str">
        <f aca="false">IF($E919&lt;&gt;"",$E919,"")</f>
        <v/>
      </c>
      <c r="P919" s="52" t="str">
        <f aca="false">IF($F919&lt;&gt;"",$F919,"")</f>
        <v>Apprenant 907 ou 907'</v>
      </c>
      <c r="Q919" s="53" t="str">
        <f aca="false">IF(AND($G919&lt;&gt;"",$H919&lt;&gt;""),$H919-$G919,"")</f>
        <v/>
      </c>
      <c r="R919" s="53" t="str">
        <f aca="false">IF(AND($G919&lt;&gt;"",$I919&lt;&gt;""),$I919-$G919,"")</f>
        <v/>
      </c>
      <c r="S919" s="53" t="str">
        <f aca="false">IF(AND($H919&lt;&gt;"",$I919&lt;&gt;""),$I919-$H919,"")</f>
        <v/>
      </c>
      <c r="T919" s="53" t="str">
        <f aca="false">IF($J919&lt;&gt;"",$J919,"")</f>
        <v/>
      </c>
      <c r="V919" s="52" t="str">
        <f aca="false">IF($A919&lt;&gt;"",$A919,"")</f>
        <v>Apprenant 907</v>
      </c>
      <c r="W919" s="53" t="str">
        <f aca="false">IF(AND(OR('Choix pédagogiques'!$C$3=1,'Choix pédagogiques'!$C$3=2),$BM919=1),B919,IF(AND('Choix pédagogiques'!$C$3=3,$BO919=1),B919,""))</f>
        <v/>
      </c>
      <c r="X919" s="53" t="str">
        <f aca="false">IF(AND(OR('Choix pédagogiques'!$C$3=1,'Choix pédagogiques'!$C$3=2),$BM919=1),C919,IF(AND('Choix pédagogiques'!$C$3=3,$BO919=1),C919,""))</f>
        <v/>
      </c>
      <c r="Y919" s="53" t="str">
        <f aca="false">IF(AND(OR('Choix pédagogiques'!$C$3=1,'Choix pédagogiques'!$C$3=2),$BM919=1),D919,IF(AND('Choix pédagogiques'!$C$3=3,$BO919=1),D919,""))</f>
        <v/>
      </c>
      <c r="Z919" s="53" t="str">
        <f aca="false">IF($E919&lt;&gt;"",$E919,"")</f>
        <v/>
      </c>
      <c r="AA919" s="52" t="str">
        <f aca="false">IF($F919&lt;&gt;"",$F919,"")</f>
        <v>Apprenant 907 ou 907'</v>
      </c>
      <c r="AB919" s="53" t="str">
        <f aca="false">IF(AND(OR('Choix pédagogiques'!$C$3=1,'Choix pédagogiques'!$C$3=2),$BN919=1),G919,IF(AND('Choix pédagogiques'!$C$3=3,$BO919=1),G919,""))</f>
        <v/>
      </c>
      <c r="AC919" s="53" t="str">
        <f aca="false">IF(AND(OR('Choix pédagogiques'!$C$3=1,'Choix pédagogiques'!$C$3=2),$BN919=1),H919,IF(AND('Choix pédagogiques'!$C$3=3,$BO919=1),H919,""))</f>
        <v/>
      </c>
      <c r="AD919" s="53" t="str">
        <f aca="false">IF(AND(OR('Choix pédagogiques'!$C$3=1,'Choix pédagogiques'!$C$3=2),$BN919=1),I919,IF(AND('Choix pédagogiques'!$C$3=3,$BO919=1),I919,""))</f>
        <v/>
      </c>
      <c r="AE919" s="53" t="str">
        <f aca="false">IF($J919&lt;&gt;"",$J919,"")</f>
        <v/>
      </c>
      <c r="AF919" s="52" t="str">
        <f aca="false">IF($A919&lt;&gt;"",$A919,"")</f>
        <v>Apprenant 907</v>
      </c>
      <c r="AG919" s="53" t="str">
        <f aca="false">IF(AND($W919&lt;&gt;"",$X919&lt;&gt;""),$X919-$W919,"")</f>
        <v/>
      </c>
      <c r="AH919" s="53" t="str">
        <f aca="false">IF(AND($W919&lt;&gt;"",$Y919&lt;&gt;""),$Y919-$W919,"")</f>
        <v/>
      </c>
      <c r="AI919" s="53" t="str">
        <f aca="false">IF(AND($X919&lt;&gt;"",$Y919&lt;&gt;""),$Y919-$X919,"")</f>
        <v/>
      </c>
      <c r="AJ919" s="53" t="str">
        <f aca="false">IF($E919&lt;&gt;"",$E919,"")</f>
        <v/>
      </c>
      <c r="AK919" s="52" t="str">
        <f aca="false">IF($F919&lt;&gt;"",$F919,"")</f>
        <v>Apprenant 907 ou 907'</v>
      </c>
      <c r="AL919" s="53" t="str">
        <f aca="false">IF(AND($AB919&lt;&gt;"",$AC919&lt;&gt;""),$AC919-$AB919,"")</f>
        <v/>
      </c>
      <c r="AM919" s="53" t="str">
        <f aca="false">IF(AND($AB919&lt;&gt;"",$AD919&lt;&gt;""),$AD919-$AB919,"")</f>
        <v/>
      </c>
      <c r="AN919" s="53" t="str">
        <f aca="false">IF(AND($AC919&lt;&gt;"",$AD919&lt;&gt;""),$AD919-$AC919,"")</f>
        <v/>
      </c>
      <c r="AO919" s="53" t="str">
        <f aca="false">IF($J919&lt;&gt;"",$J919,"")</f>
        <v/>
      </c>
      <c r="AQ919" s="52" t="str">
        <f aca="false">IF($A919&lt;&gt;"",$A919,"")</f>
        <v>Apprenant 907</v>
      </c>
      <c r="AR919" s="55" t="str">
        <f aca="false">IF(AND('Choix pédagogiques'!$C$4&lt;&gt;"?",'Choix pédagogiques'!$C$5&lt;&gt;"?",W919&lt;&gt;""),(W919-'Choix pédagogiques'!$C$4)/('Choix pédagogiques'!$C$5-'Choix pédagogiques'!$C$4),"")</f>
        <v/>
      </c>
      <c r="AS919" s="55" t="str">
        <f aca="false">IF(AND('Choix pédagogiques'!$C$4&lt;&gt;"?",'Choix pédagogiques'!$C$5&lt;&gt;"?",X919&lt;&gt;""),(X919-'Choix pédagogiques'!$C$4)/('Choix pédagogiques'!$C$5-'Choix pédagogiques'!$C$4),"")</f>
        <v/>
      </c>
      <c r="AT919" s="55" t="str">
        <f aca="false">IF(AND('Choix pédagogiques'!$C$4&lt;&gt;"?",'Choix pédagogiques'!$C$5&lt;&gt;"?",Y919&lt;&gt;""),(Y919-'Choix pédagogiques'!$C$4)/('Choix pédagogiques'!$C$5-'Choix pédagogiques'!$C$4),"")</f>
        <v/>
      </c>
      <c r="AU919" s="53" t="str">
        <f aca="false">IF($E919&lt;&gt;"",$E919,"")</f>
        <v/>
      </c>
      <c r="AV919" s="52" t="str">
        <f aca="false">IF($F919&lt;&gt;"",$F919,"")</f>
        <v>Apprenant 907 ou 907'</v>
      </c>
      <c r="AW919" s="55" t="str">
        <f aca="false">IF(AND('Choix pédagogiques'!$C$4&lt;&gt;"?",'Choix pédagogiques'!$C$5&lt;&gt;"?",AB919&lt;&gt;""),(AB919-'Choix pédagogiques'!$C$4)/('Choix pédagogiques'!$C$5-'Choix pédagogiques'!$C$4),"")</f>
        <v/>
      </c>
      <c r="AX919" s="55" t="str">
        <f aca="false">IF(AND('Choix pédagogiques'!$C$4&lt;&gt;"?",'Choix pédagogiques'!$C$5&lt;&gt;"?",AC919&lt;&gt;""),(AC919-'Choix pédagogiques'!$C$4)/('Choix pédagogiques'!$C$5-'Choix pédagogiques'!$C$4),"")</f>
        <v/>
      </c>
      <c r="AY919" s="55" t="str">
        <f aca="false">IF(AND('Choix pédagogiques'!$C$4&lt;&gt;"?",'Choix pédagogiques'!$C$5&lt;&gt;"?",AD919&lt;&gt;""),(AD919-'Choix pédagogiques'!$C$4)/('Choix pédagogiques'!$C$5-'Choix pédagogiques'!$C$4),"")</f>
        <v/>
      </c>
      <c r="AZ919" s="53" t="str">
        <f aca="false">IF($J919&lt;&gt;"",$J919,"")</f>
        <v/>
      </c>
      <c r="BA919" s="52" t="str">
        <f aca="false">IF($A919&lt;&gt;"",$A919,"")</f>
        <v>Apprenant 907</v>
      </c>
      <c r="BB919" s="55" t="str">
        <f aca="false">IF(AND($AR919&lt;&gt;"",$AS919&lt;&gt;""),$AS919-$AR919,"")</f>
        <v/>
      </c>
      <c r="BC919" s="55" t="str">
        <f aca="false">IF(AND($AR919&lt;&gt;"",$AT919&lt;&gt;""),$AT919-$AR919,"")</f>
        <v/>
      </c>
      <c r="BD919" s="55" t="str">
        <f aca="false">IF(AND($AS919&lt;&gt;"",$AT919&lt;&gt;""),$AT919-$AS919,"")</f>
        <v/>
      </c>
      <c r="BE919" s="53" t="str">
        <f aca="false">IF($E919&lt;&gt;"",$E919,"")</f>
        <v/>
      </c>
      <c r="BF919" s="52" t="str">
        <f aca="false">IF($F919&lt;&gt;"",$F919,"")</f>
        <v>Apprenant 907 ou 907'</v>
      </c>
      <c r="BG919" s="55" t="str">
        <f aca="false">IF(AND($AW919&lt;&gt;"",$AX919&lt;&gt;""),$AX919-$AW919,"")</f>
        <v/>
      </c>
      <c r="BH919" s="55" t="str">
        <f aca="false">IF(AND($AW919&lt;&gt;"",$AY919&lt;&gt;""),$AY919-$AW919,"")</f>
        <v/>
      </c>
      <c r="BI919" s="55" t="str">
        <f aca="false">IF(AND($AX919&lt;&gt;"",$AY919&lt;&gt;""),$AY919-$AX919,"")</f>
        <v/>
      </c>
      <c r="BJ919" s="53" t="str">
        <f aca="false">IF($J919&lt;&gt;"",$J919,"")</f>
        <v/>
      </c>
      <c r="BL919" s="52"/>
      <c r="BM919" s="52" t="str">
        <f aca="false">IF(OR(COUNT(B919:D1918)=0,AND('Choix pédagogiques'!$C$3&lt;&gt;1,'Choix pédagogiques'!$C$3&lt;&gt;2)),"",IF(AND(OR('Choix pédagogiques'!$C$3=1,'Choix pédagogiques'!$C$3=2),$B919&lt;&gt;"",$C919&lt;&gt;"",$D919&lt;&gt;""),1,0))</f>
        <v/>
      </c>
      <c r="BN919" s="52" t="str">
        <f aca="false">IF(OR(COUNT(G919:I1918)=0,AND('Choix pédagogiques'!$C$3&lt;&gt;1,'Choix pédagogiques'!$C$3&lt;&gt;2)),"",IF(AND(OR('Choix pédagogiques'!$C$3=1,'Choix pédagogiques'!$C$3=2),AND($G919&lt;&gt;"",$H919&lt;&gt;"",$I919&lt;&gt;"")),1,0))</f>
        <v/>
      </c>
      <c r="BO919" s="52" t="str">
        <f aca="false">IF(OR(COUNT(B919:D1918)=0,COUNT(G919:I1918)=0,'Choix pédagogiques'!C$3&lt;&gt;3),"",IF(AND('Choix pédagogiques'!$C$3=3,$B919&lt;&gt;"",$C919&lt;&gt;"",$D919&lt;&gt;"",$G919&lt;&gt;"",$H919&lt;&gt;"",$I919&lt;&gt;""),1,0))</f>
        <v/>
      </c>
      <c r="BR919" s="52" t="n">
        <v>565</v>
      </c>
      <c r="BS919" s="52" t="n">
        <v>1259</v>
      </c>
    </row>
    <row r="920" s="54" customFormat="true" ht="18" hidden="false" customHeight="true" outlineLevel="0" collapsed="false">
      <c r="A920" s="57" t="s">
        <v>1771</v>
      </c>
      <c r="B920" s="51"/>
      <c r="C920" s="51"/>
      <c r="D920" s="51"/>
      <c r="E920" s="51"/>
      <c r="F920" s="57" t="s">
        <v>1772</v>
      </c>
      <c r="G920" s="51"/>
      <c r="H920" s="51"/>
      <c r="I920" s="51"/>
      <c r="J920" s="51"/>
      <c r="K920" s="52" t="str">
        <f aca="false">IF($A920&lt;&gt;"",$A920,"")</f>
        <v>Apprenant 908</v>
      </c>
      <c r="L920" s="53" t="str">
        <f aca="false">IF(AND($B920&lt;&gt;"",$C920&lt;&gt;""),$C920-$B920,"")</f>
        <v/>
      </c>
      <c r="M920" s="53" t="str">
        <f aca="false">IF(AND($B920&lt;&gt;"",$D920&lt;&gt;""),$D920-$B920,"")</f>
        <v/>
      </c>
      <c r="N920" s="53" t="str">
        <f aca="false">IF(AND($C920&lt;&gt;"",$D920&lt;&gt;""),$D920-$C920,"")</f>
        <v/>
      </c>
      <c r="O920" s="53" t="str">
        <f aca="false">IF($E920&lt;&gt;"",$E920,"")</f>
        <v/>
      </c>
      <c r="P920" s="52" t="str">
        <f aca="false">IF($F920&lt;&gt;"",$F920,"")</f>
        <v>Apprenant 908 ou 908'</v>
      </c>
      <c r="Q920" s="53" t="str">
        <f aca="false">IF(AND($G920&lt;&gt;"",$H920&lt;&gt;""),$H920-$G920,"")</f>
        <v/>
      </c>
      <c r="R920" s="53" t="str">
        <f aca="false">IF(AND($G920&lt;&gt;"",$I920&lt;&gt;""),$I920-$G920,"")</f>
        <v/>
      </c>
      <c r="S920" s="53" t="str">
        <f aca="false">IF(AND($H920&lt;&gt;"",$I920&lt;&gt;""),$I920-$H920,"")</f>
        <v/>
      </c>
      <c r="T920" s="53" t="str">
        <f aca="false">IF($J920&lt;&gt;"",$J920,"")</f>
        <v/>
      </c>
      <c r="V920" s="52" t="str">
        <f aca="false">IF($A920&lt;&gt;"",$A920,"")</f>
        <v>Apprenant 908</v>
      </c>
      <c r="W920" s="53" t="str">
        <f aca="false">IF(AND(OR('Choix pédagogiques'!$C$3=1,'Choix pédagogiques'!$C$3=2),$BM920=1),B920,IF(AND('Choix pédagogiques'!$C$3=3,$BO920=1),B920,""))</f>
        <v/>
      </c>
      <c r="X920" s="53" t="str">
        <f aca="false">IF(AND(OR('Choix pédagogiques'!$C$3=1,'Choix pédagogiques'!$C$3=2),$BM920=1),C920,IF(AND('Choix pédagogiques'!$C$3=3,$BO920=1),C920,""))</f>
        <v/>
      </c>
      <c r="Y920" s="53" t="str">
        <f aca="false">IF(AND(OR('Choix pédagogiques'!$C$3=1,'Choix pédagogiques'!$C$3=2),$BM920=1),D920,IF(AND('Choix pédagogiques'!$C$3=3,$BO920=1),D920,""))</f>
        <v/>
      </c>
      <c r="Z920" s="53" t="str">
        <f aca="false">IF($E920&lt;&gt;"",$E920,"")</f>
        <v/>
      </c>
      <c r="AA920" s="52" t="str">
        <f aca="false">IF($F920&lt;&gt;"",$F920,"")</f>
        <v>Apprenant 908 ou 908'</v>
      </c>
      <c r="AB920" s="53" t="str">
        <f aca="false">IF(AND(OR('Choix pédagogiques'!$C$3=1,'Choix pédagogiques'!$C$3=2),$BN920=1),G920,IF(AND('Choix pédagogiques'!$C$3=3,$BO920=1),G920,""))</f>
        <v/>
      </c>
      <c r="AC920" s="53" t="str">
        <f aca="false">IF(AND(OR('Choix pédagogiques'!$C$3=1,'Choix pédagogiques'!$C$3=2),$BN920=1),H920,IF(AND('Choix pédagogiques'!$C$3=3,$BO920=1),H920,""))</f>
        <v/>
      </c>
      <c r="AD920" s="53" t="str">
        <f aca="false">IF(AND(OR('Choix pédagogiques'!$C$3=1,'Choix pédagogiques'!$C$3=2),$BN920=1),I920,IF(AND('Choix pédagogiques'!$C$3=3,$BO920=1),I920,""))</f>
        <v/>
      </c>
      <c r="AE920" s="53" t="str">
        <f aca="false">IF($J920&lt;&gt;"",$J920,"")</f>
        <v/>
      </c>
      <c r="AF920" s="52" t="str">
        <f aca="false">IF($A920&lt;&gt;"",$A920,"")</f>
        <v>Apprenant 908</v>
      </c>
      <c r="AG920" s="53" t="str">
        <f aca="false">IF(AND($W920&lt;&gt;"",$X920&lt;&gt;""),$X920-$W920,"")</f>
        <v/>
      </c>
      <c r="AH920" s="53" t="str">
        <f aca="false">IF(AND($W920&lt;&gt;"",$Y920&lt;&gt;""),$Y920-$W920,"")</f>
        <v/>
      </c>
      <c r="AI920" s="53" t="str">
        <f aca="false">IF(AND($X920&lt;&gt;"",$Y920&lt;&gt;""),$Y920-$X920,"")</f>
        <v/>
      </c>
      <c r="AJ920" s="53" t="str">
        <f aca="false">IF($E920&lt;&gt;"",$E920,"")</f>
        <v/>
      </c>
      <c r="AK920" s="52" t="str">
        <f aca="false">IF($F920&lt;&gt;"",$F920,"")</f>
        <v>Apprenant 908 ou 908'</v>
      </c>
      <c r="AL920" s="53" t="str">
        <f aca="false">IF(AND($AB920&lt;&gt;"",$AC920&lt;&gt;""),$AC920-$AB920,"")</f>
        <v/>
      </c>
      <c r="AM920" s="53" t="str">
        <f aca="false">IF(AND($AB920&lt;&gt;"",$AD920&lt;&gt;""),$AD920-$AB920,"")</f>
        <v/>
      </c>
      <c r="AN920" s="53" t="str">
        <f aca="false">IF(AND($AC920&lt;&gt;"",$AD920&lt;&gt;""),$AD920-$AC920,"")</f>
        <v/>
      </c>
      <c r="AO920" s="53" t="str">
        <f aca="false">IF($J920&lt;&gt;"",$J920,"")</f>
        <v/>
      </c>
      <c r="AQ920" s="52" t="str">
        <f aca="false">IF($A920&lt;&gt;"",$A920,"")</f>
        <v>Apprenant 908</v>
      </c>
      <c r="AR920" s="55" t="str">
        <f aca="false">IF(AND('Choix pédagogiques'!$C$4&lt;&gt;"?",'Choix pédagogiques'!$C$5&lt;&gt;"?",W920&lt;&gt;""),(W920-'Choix pédagogiques'!$C$4)/('Choix pédagogiques'!$C$5-'Choix pédagogiques'!$C$4),"")</f>
        <v/>
      </c>
      <c r="AS920" s="55" t="str">
        <f aca="false">IF(AND('Choix pédagogiques'!$C$4&lt;&gt;"?",'Choix pédagogiques'!$C$5&lt;&gt;"?",X920&lt;&gt;""),(X920-'Choix pédagogiques'!$C$4)/('Choix pédagogiques'!$C$5-'Choix pédagogiques'!$C$4),"")</f>
        <v/>
      </c>
      <c r="AT920" s="55" t="str">
        <f aca="false">IF(AND('Choix pédagogiques'!$C$4&lt;&gt;"?",'Choix pédagogiques'!$C$5&lt;&gt;"?",Y920&lt;&gt;""),(Y920-'Choix pédagogiques'!$C$4)/('Choix pédagogiques'!$C$5-'Choix pédagogiques'!$C$4),"")</f>
        <v/>
      </c>
      <c r="AU920" s="53" t="str">
        <f aca="false">IF($E920&lt;&gt;"",$E920,"")</f>
        <v/>
      </c>
      <c r="AV920" s="52" t="str">
        <f aca="false">IF($F920&lt;&gt;"",$F920,"")</f>
        <v>Apprenant 908 ou 908'</v>
      </c>
      <c r="AW920" s="55" t="str">
        <f aca="false">IF(AND('Choix pédagogiques'!$C$4&lt;&gt;"?",'Choix pédagogiques'!$C$5&lt;&gt;"?",AB920&lt;&gt;""),(AB920-'Choix pédagogiques'!$C$4)/('Choix pédagogiques'!$C$5-'Choix pédagogiques'!$C$4),"")</f>
        <v/>
      </c>
      <c r="AX920" s="55" t="str">
        <f aca="false">IF(AND('Choix pédagogiques'!$C$4&lt;&gt;"?",'Choix pédagogiques'!$C$5&lt;&gt;"?",AC920&lt;&gt;""),(AC920-'Choix pédagogiques'!$C$4)/('Choix pédagogiques'!$C$5-'Choix pédagogiques'!$C$4),"")</f>
        <v/>
      </c>
      <c r="AY920" s="55" t="str">
        <f aca="false">IF(AND('Choix pédagogiques'!$C$4&lt;&gt;"?",'Choix pédagogiques'!$C$5&lt;&gt;"?",AD920&lt;&gt;""),(AD920-'Choix pédagogiques'!$C$4)/('Choix pédagogiques'!$C$5-'Choix pédagogiques'!$C$4),"")</f>
        <v/>
      </c>
      <c r="AZ920" s="53" t="str">
        <f aca="false">IF($J920&lt;&gt;"",$J920,"")</f>
        <v/>
      </c>
      <c r="BA920" s="52" t="str">
        <f aca="false">IF($A920&lt;&gt;"",$A920,"")</f>
        <v>Apprenant 908</v>
      </c>
      <c r="BB920" s="55" t="str">
        <f aca="false">IF(AND($AR920&lt;&gt;"",$AS920&lt;&gt;""),$AS920-$AR920,"")</f>
        <v/>
      </c>
      <c r="BC920" s="55" t="str">
        <f aca="false">IF(AND($AR920&lt;&gt;"",$AT920&lt;&gt;""),$AT920-$AR920,"")</f>
        <v/>
      </c>
      <c r="BD920" s="55" t="str">
        <f aca="false">IF(AND($AS920&lt;&gt;"",$AT920&lt;&gt;""),$AT920-$AS920,"")</f>
        <v/>
      </c>
      <c r="BE920" s="53" t="str">
        <f aca="false">IF($E920&lt;&gt;"",$E920,"")</f>
        <v/>
      </c>
      <c r="BF920" s="52" t="str">
        <f aca="false">IF($F920&lt;&gt;"",$F920,"")</f>
        <v>Apprenant 908 ou 908'</v>
      </c>
      <c r="BG920" s="55" t="str">
        <f aca="false">IF(AND($AW920&lt;&gt;"",$AX920&lt;&gt;""),$AX920-$AW920,"")</f>
        <v/>
      </c>
      <c r="BH920" s="55" t="str">
        <f aca="false">IF(AND($AW920&lt;&gt;"",$AY920&lt;&gt;""),$AY920-$AW920,"")</f>
        <v/>
      </c>
      <c r="BI920" s="55" t="str">
        <f aca="false">IF(AND($AX920&lt;&gt;"",$AY920&lt;&gt;""),$AY920-$AX920,"")</f>
        <v/>
      </c>
      <c r="BJ920" s="53" t="str">
        <f aca="false">IF($J920&lt;&gt;"",$J920,"")</f>
        <v/>
      </c>
      <c r="BL920" s="52"/>
      <c r="BM920" s="52" t="str">
        <f aca="false">IF(OR(COUNT(B920:D1919)=0,AND('Choix pédagogiques'!$C$3&lt;&gt;1,'Choix pédagogiques'!$C$3&lt;&gt;2)),"",IF(AND(OR('Choix pédagogiques'!$C$3=1,'Choix pédagogiques'!$C$3=2),$B920&lt;&gt;"",$C920&lt;&gt;"",$D920&lt;&gt;""),1,0))</f>
        <v/>
      </c>
      <c r="BN920" s="52" t="str">
        <f aca="false">IF(OR(COUNT(G920:I1919)=0,AND('Choix pédagogiques'!$C$3&lt;&gt;1,'Choix pédagogiques'!$C$3&lt;&gt;2)),"",IF(AND(OR('Choix pédagogiques'!$C$3=1,'Choix pédagogiques'!$C$3=2),AND($G920&lt;&gt;"",$H920&lt;&gt;"",$I920&lt;&gt;"")),1,0))</f>
        <v/>
      </c>
      <c r="BO920" s="52" t="str">
        <f aca="false">IF(OR(COUNT(B920:D1919)=0,COUNT(G920:I1919)=0,'Choix pédagogiques'!C$3&lt;&gt;3),"",IF(AND('Choix pédagogiques'!$C$3=3,$B920&lt;&gt;"",$C920&lt;&gt;"",$D920&lt;&gt;"",$G920&lt;&gt;"",$H920&lt;&gt;"",$I920&lt;&gt;""),1,0))</f>
        <v/>
      </c>
      <c r="BR920" s="52" t="n">
        <v>422</v>
      </c>
      <c r="BS920" s="52" t="n">
        <v>1749</v>
      </c>
    </row>
    <row r="921" s="54" customFormat="true" ht="18" hidden="false" customHeight="true" outlineLevel="0" collapsed="false">
      <c r="A921" s="57" t="s">
        <v>1773</v>
      </c>
      <c r="B921" s="51"/>
      <c r="C921" s="51"/>
      <c r="D921" s="51"/>
      <c r="E921" s="51"/>
      <c r="F921" s="57" t="s">
        <v>1774</v>
      </c>
      <c r="G921" s="51"/>
      <c r="H921" s="51"/>
      <c r="I921" s="51"/>
      <c r="J921" s="51"/>
      <c r="K921" s="52" t="str">
        <f aca="false">IF($A921&lt;&gt;"",$A921,"")</f>
        <v>Apprenant 909</v>
      </c>
      <c r="L921" s="53" t="str">
        <f aca="false">IF(AND($B921&lt;&gt;"",$C921&lt;&gt;""),$C921-$B921,"")</f>
        <v/>
      </c>
      <c r="M921" s="53" t="str">
        <f aca="false">IF(AND($B921&lt;&gt;"",$D921&lt;&gt;""),$D921-$B921,"")</f>
        <v/>
      </c>
      <c r="N921" s="53" t="str">
        <f aca="false">IF(AND($C921&lt;&gt;"",$D921&lt;&gt;""),$D921-$C921,"")</f>
        <v/>
      </c>
      <c r="O921" s="53" t="str">
        <f aca="false">IF($E921&lt;&gt;"",$E921,"")</f>
        <v/>
      </c>
      <c r="P921" s="52" t="str">
        <f aca="false">IF($F921&lt;&gt;"",$F921,"")</f>
        <v>Apprenant 909 ou 909'</v>
      </c>
      <c r="Q921" s="53" t="str">
        <f aca="false">IF(AND($G921&lt;&gt;"",$H921&lt;&gt;""),$H921-$G921,"")</f>
        <v/>
      </c>
      <c r="R921" s="53" t="str">
        <f aca="false">IF(AND($G921&lt;&gt;"",$I921&lt;&gt;""),$I921-$G921,"")</f>
        <v/>
      </c>
      <c r="S921" s="53" t="str">
        <f aca="false">IF(AND($H921&lt;&gt;"",$I921&lt;&gt;""),$I921-$H921,"")</f>
        <v/>
      </c>
      <c r="T921" s="53" t="str">
        <f aca="false">IF($J921&lt;&gt;"",$J921,"")</f>
        <v/>
      </c>
      <c r="V921" s="52" t="str">
        <f aca="false">IF($A921&lt;&gt;"",$A921,"")</f>
        <v>Apprenant 909</v>
      </c>
      <c r="W921" s="53" t="str">
        <f aca="false">IF(AND(OR('Choix pédagogiques'!$C$3=1,'Choix pédagogiques'!$C$3=2),$BM921=1),B921,IF(AND('Choix pédagogiques'!$C$3=3,$BO921=1),B921,""))</f>
        <v/>
      </c>
      <c r="X921" s="53" t="str">
        <f aca="false">IF(AND(OR('Choix pédagogiques'!$C$3=1,'Choix pédagogiques'!$C$3=2),$BM921=1),C921,IF(AND('Choix pédagogiques'!$C$3=3,$BO921=1),C921,""))</f>
        <v/>
      </c>
      <c r="Y921" s="53" t="str">
        <f aca="false">IF(AND(OR('Choix pédagogiques'!$C$3=1,'Choix pédagogiques'!$C$3=2),$BM921=1),D921,IF(AND('Choix pédagogiques'!$C$3=3,$BO921=1),D921,""))</f>
        <v/>
      </c>
      <c r="Z921" s="53" t="str">
        <f aca="false">IF($E921&lt;&gt;"",$E921,"")</f>
        <v/>
      </c>
      <c r="AA921" s="52" t="str">
        <f aca="false">IF($F921&lt;&gt;"",$F921,"")</f>
        <v>Apprenant 909 ou 909'</v>
      </c>
      <c r="AB921" s="53" t="str">
        <f aca="false">IF(AND(OR('Choix pédagogiques'!$C$3=1,'Choix pédagogiques'!$C$3=2),$BN921=1),G921,IF(AND('Choix pédagogiques'!$C$3=3,$BO921=1),G921,""))</f>
        <v/>
      </c>
      <c r="AC921" s="53" t="str">
        <f aca="false">IF(AND(OR('Choix pédagogiques'!$C$3=1,'Choix pédagogiques'!$C$3=2),$BN921=1),H921,IF(AND('Choix pédagogiques'!$C$3=3,$BO921=1),H921,""))</f>
        <v/>
      </c>
      <c r="AD921" s="53" t="str">
        <f aca="false">IF(AND(OR('Choix pédagogiques'!$C$3=1,'Choix pédagogiques'!$C$3=2),$BN921=1),I921,IF(AND('Choix pédagogiques'!$C$3=3,$BO921=1),I921,""))</f>
        <v/>
      </c>
      <c r="AE921" s="53" t="str">
        <f aca="false">IF($J921&lt;&gt;"",$J921,"")</f>
        <v/>
      </c>
      <c r="AF921" s="52" t="str">
        <f aca="false">IF($A921&lt;&gt;"",$A921,"")</f>
        <v>Apprenant 909</v>
      </c>
      <c r="AG921" s="53" t="str">
        <f aca="false">IF(AND($W921&lt;&gt;"",$X921&lt;&gt;""),$X921-$W921,"")</f>
        <v/>
      </c>
      <c r="AH921" s="53" t="str">
        <f aca="false">IF(AND($W921&lt;&gt;"",$Y921&lt;&gt;""),$Y921-$W921,"")</f>
        <v/>
      </c>
      <c r="AI921" s="53" t="str">
        <f aca="false">IF(AND($X921&lt;&gt;"",$Y921&lt;&gt;""),$Y921-$X921,"")</f>
        <v/>
      </c>
      <c r="AJ921" s="53" t="str">
        <f aca="false">IF($E921&lt;&gt;"",$E921,"")</f>
        <v/>
      </c>
      <c r="AK921" s="52" t="str">
        <f aca="false">IF($F921&lt;&gt;"",$F921,"")</f>
        <v>Apprenant 909 ou 909'</v>
      </c>
      <c r="AL921" s="53" t="str">
        <f aca="false">IF(AND($AB921&lt;&gt;"",$AC921&lt;&gt;""),$AC921-$AB921,"")</f>
        <v/>
      </c>
      <c r="AM921" s="53" t="str">
        <f aca="false">IF(AND($AB921&lt;&gt;"",$AD921&lt;&gt;""),$AD921-$AB921,"")</f>
        <v/>
      </c>
      <c r="AN921" s="53" t="str">
        <f aca="false">IF(AND($AC921&lt;&gt;"",$AD921&lt;&gt;""),$AD921-$AC921,"")</f>
        <v/>
      </c>
      <c r="AO921" s="53" t="str">
        <f aca="false">IF($J921&lt;&gt;"",$J921,"")</f>
        <v/>
      </c>
      <c r="AQ921" s="52" t="str">
        <f aca="false">IF($A921&lt;&gt;"",$A921,"")</f>
        <v>Apprenant 909</v>
      </c>
      <c r="AR921" s="55" t="str">
        <f aca="false">IF(AND('Choix pédagogiques'!$C$4&lt;&gt;"?",'Choix pédagogiques'!$C$5&lt;&gt;"?",W921&lt;&gt;""),(W921-'Choix pédagogiques'!$C$4)/('Choix pédagogiques'!$C$5-'Choix pédagogiques'!$C$4),"")</f>
        <v/>
      </c>
      <c r="AS921" s="55" t="str">
        <f aca="false">IF(AND('Choix pédagogiques'!$C$4&lt;&gt;"?",'Choix pédagogiques'!$C$5&lt;&gt;"?",X921&lt;&gt;""),(X921-'Choix pédagogiques'!$C$4)/('Choix pédagogiques'!$C$5-'Choix pédagogiques'!$C$4),"")</f>
        <v/>
      </c>
      <c r="AT921" s="55" t="str">
        <f aca="false">IF(AND('Choix pédagogiques'!$C$4&lt;&gt;"?",'Choix pédagogiques'!$C$5&lt;&gt;"?",Y921&lt;&gt;""),(Y921-'Choix pédagogiques'!$C$4)/('Choix pédagogiques'!$C$5-'Choix pédagogiques'!$C$4),"")</f>
        <v/>
      </c>
      <c r="AU921" s="53" t="str">
        <f aca="false">IF($E921&lt;&gt;"",$E921,"")</f>
        <v/>
      </c>
      <c r="AV921" s="52" t="str">
        <f aca="false">IF($F921&lt;&gt;"",$F921,"")</f>
        <v>Apprenant 909 ou 909'</v>
      </c>
      <c r="AW921" s="55" t="str">
        <f aca="false">IF(AND('Choix pédagogiques'!$C$4&lt;&gt;"?",'Choix pédagogiques'!$C$5&lt;&gt;"?",AB921&lt;&gt;""),(AB921-'Choix pédagogiques'!$C$4)/('Choix pédagogiques'!$C$5-'Choix pédagogiques'!$C$4),"")</f>
        <v/>
      </c>
      <c r="AX921" s="55" t="str">
        <f aca="false">IF(AND('Choix pédagogiques'!$C$4&lt;&gt;"?",'Choix pédagogiques'!$C$5&lt;&gt;"?",AC921&lt;&gt;""),(AC921-'Choix pédagogiques'!$C$4)/('Choix pédagogiques'!$C$5-'Choix pédagogiques'!$C$4),"")</f>
        <v/>
      </c>
      <c r="AY921" s="55" t="str">
        <f aca="false">IF(AND('Choix pédagogiques'!$C$4&lt;&gt;"?",'Choix pédagogiques'!$C$5&lt;&gt;"?",AD921&lt;&gt;""),(AD921-'Choix pédagogiques'!$C$4)/('Choix pédagogiques'!$C$5-'Choix pédagogiques'!$C$4),"")</f>
        <v/>
      </c>
      <c r="AZ921" s="53" t="str">
        <f aca="false">IF($J921&lt;&gt;"",$J921,"")</f>
        <v/>
      </c>
      <c r="BA921" s="52" t="str">
        <f aca="false">IF($A921&lt;&gt;"",$A921,"")</f>
        <v>Apprenant 909</v>
      </c>
      <c r="BB921" s="55" t="str">
        <f aca="false">IF(AND($AR921&lt;&gt;"",$AS921&lt;&gt;""),$AS921-$AR921,"")</f>
        <v/>
      </c>
      <c r="BC921" s="55" t="str">
        <f aca="false">IF(AND($AR921&lt;&gt;"",$AT921&lt;&gt;""),$AT921-$AR921,"")</f>
        <v/>
      </c>
      <c r="BD921" s="55" t="str">
        <f aca="false">IF(AND($AS921&lt;&gt;"",$AT921&lt;&gt;""),$AT921-$AS921,"")</f>
        <v/>
      </c>
      <c r="BE921" s="53" t="str">
        <f aca="false">IF($E921&lt;&gt;"",$E921,"")</f>
        <v/>
      </c>
      <c r="BF921" s="52" t="str">
        <f aca="false">IF($F921&lt;&gt;"",$F921,"")</f>
        <v>Apprenant 909 ou 909'</v>
      </c>
      <c r="BG921" s="55" t="str">
        <f aca="false">IF(AND($AW921&lt;&gt;"",$AX921&lt;&gt;""),$AX921-$AW921,"")</f>
        <v/>
      </c>
      <c r="BH921" s="55" t="str">
        <f aca="false">IF(AND($AW921&lt;&gt;"",$AY921&lt;&gt;""),$AY921-$AW921,"")</f>
        <v/>
      </c>
      <c r="BI921" s="55" t="str">
        <f aca="false">IF(AND($AX921&lt;&gt;"",$AY921&lt;&gt;""),$AY921-$AX921,"")</f>
        <v/>
      </c>
      <c r="BJ921" s="53" t="str">
        <f aca="false">IF($J921&lt;&gt;"",$J921,"")</f>
        <v/>
      </c>
      <c r="BL921" s="52"/>
      <c r="BM921" s="52" t="str">
        <f aca="false">IF(OR(COUNT(B921:D1920)=0,AND('Choix pédagogiques'!$C$3&lt;&gt;1,'Choix pédagogiques'!$C$3&lt;&gt;2)),"",IF(AND(OR('Choix pédagogiques'!$C$3=1,'Choix pédagogiques'!$C$3=2),$B921&lt;&gt;"",$C921&lt;&gt;"",$D921&lt;&gt;""),1,0))</f>
        <v/>
      </c>
      <c r="BN921" s="52" t="str">
        <f aca="false">IF(OR(COUNT(G921:I1920)=0,AND('Choix pédagogiques'!$C$3&lt;&gt;1,'Choix pédagogiques'!$C$3&lt;&gt;2)),"",IF(AND(OR('Choix pédagogiques'!$C$3=1,'Choix pédagogiques'!$C$3=2),AND($G921&lt;&gt;"",$H921&lt;&gt;"",$I921&lt;&gt;"")),1,0))</f>
        <v/>
      </c>
      <c r="BO921" s="52" t="str">
        <f aca="false">IF(OR(COUNT(B921:D1920)=0,COUNT(G921:I1920)=0,'Choix pédagogiques'!C$3&lt;&gt;3),"",IF(AND('Choix pédagogiques'!$C$3=3,$B921&lt;&gt;"",$C921&lt;&gt;"",$D921&lt;&gt;"",$G921&lt;&gt;"",$H921&lt;&gt;"",$I921&lt;&gt;""),1,0))</f>
        <v/>
      </c>
      <c r="BR921" s="52" t="n">
        <v>675</v>
      </c>
      <c r="BS921" s="52" t="n">
        <v>1790</v>
      </c>
    </row>
    <row r="922" s="54" customFormat="true" ht="18" hidden="false" customHeight="true" outlineLevel="0" collapsed="false">
      <c r="A922" s="57" t="s">
        <v>1775</v>
      </c>
      <c r="B922" s="51"/>
      <c r="C922" s="51"/>
      <c r="D922" s="51"/>
      <c r="E922" s="51"/>
      <c r="F922" s="57" t="s">
        <v>1776</v>
      </c>
      <c r="G922" s="51"/>
      <c r="H922" s="51"/>
      <c r="I922" s="51"/>
      <c r="J922" s="51"/>
      <c r="K922" s="52" t="str">
        <f aca="false">IF($A922&lt;&gt;"",$A922,"")</f>
        <v>Apprenant 910</v>
      </c>
      <c r="L922" s="53" t="str">
        <f aca="false">IF(AND($B922&lt;&gt;"",$C922&lt;&gt;""),$C922-$B922,"")</f>
        <v/>
      </c>
      <c r="M922" s="53" t="str">
        <f aca="false">IF(AND($B922&lt;&gt;"",$D922&lt;&gt;""),$D922-$B922,"")</f>
        <v/>
      </c>
      <c r="N922" s="53" t="str">
        <f aca="false">IF(AND($C922&lt;&gt;"",$D922&lt;&gt;""),$D922-$C922,"")</f>
        <v/>
      </c>
      <c r="O922" s="53" t="str">
        <f aca="false">IF($E922&lt;&gt;"",$E922,"")</f>
        <v/>
      </c>
      <c r="P922" s="52" t="str">
        <f aca="false">IF($F922&lt;&gt;"",$F922,"")</f>
        <v>Apprenant 910 ou 910'</v>
      </c>
      <c r="Q922" s="53" t="str">
        <f aca="false">IF(AND($G922&lt;&gt;"",$H922&lt;&gt;""),$H922-$G922,"")</f>
        <v/>
      </c>
      <c r="R922" s="53" t="str">
        <f aca="false">IF(AND($G922&lt;&gt;"",$I922&lt;&gt;""),$I922-$G922,"")</f>
        <v/>
      </c>
      <c r="S922" s="53" t="str">
        <f aca="false">IF(AND($H922&lt;&gt;"",$I922&lt;&gt;""),$I922-$H922,"")</f>
        <v/>
      </c>
      <c r="T922" s="53" t="str">
        <f aca="false">IF($J922&lt;&gt;"",$J922,"")</f>
        <v/>
      </c>
      <c r="V922" s="52" t="str">
        <f aca="false">IF($A922&lt;&gt;"",$A922,"")</f>
        <v>Apprenant 910</v>
      </c>
      <c r="W922" s="53" t="str">
        <f aca="false">IF(AND(OR('Choix pédagogiques'!$C$3=1,'Choix pédagogiques'!$C$3=2),$BM922=1),B922,IF(AND('Choix pédagogiques'!$C$3=3,$BO922=1),B922,""))</f>
        <v/>
      </c>
      <c r="X922" s="53" t="str">
        <f aca="false">IF(AND(OR('Choix pédagogiques'!$C$3=1,'Choix pédagogiques'!$C$3=2),$BM922=1),C922,IF(AND('Choix pédagogiques'!$C$3=3,$BO922=1),C922,""))</f>
        <v/>
      </c>
      <c r="Y922" s="53" t="str">
        <f aca="false">IF(AND(OR('Choix pédagogiques'!$C$3=1,'Choix pédagogiques'!$C$3=2),$BM922=1),D922,IF(AND('Choix pédagogiques'!$C$3=3,$BO922=1),D922,""))</f>
        <v/>
      </c>
      <c r="Z922" s="53" t="str">
        <f aca="false">IF($E922&lt;&gt;"",$E922,"")</f>
        <v/>
      </c>
      <c r="AA922" s="52" t="str">
        <f aca="false">IF($F922&lt;&gt;"",$F922,"")</f>
        <v>Apprenant 910 ou 910'</v>
      </c>
      <c r="AB922" s="53" t="str">
        <f aca="false">IF(AND(OR('Choix pédagogiques'!$C$3=1,'Choix pédagogiques'!$C$3=2),$BN922=1),G922,IF(AND('Choix pédagogiques'!$C$3=3,$BO922=1),G922,""))</f>
        <v/>
      </c>
      <c r="AC922" s="53" t="str">
        <f aca="false">IF(AND(OR('Choix pédagogiques'!$C$3=1,'Choix pédagogiques'!$C$3=2),$BN922=1),H922,IF(AND('Choix pédagogiques'!$C$3=3,$BO922=1),H922,""))</f>
        <v/>
      </c>
      <c r="AD922" s="53" t="str">
        <f aca="false">IF(AND(OR('Choix pédagogiques'!$C$3=1,'Choix pédagogiques'!$C$3=2),$BN922=1),I922,IF(AND('Choix pédagogiques'!$C$3=3,$BO922=1),I922,""))</f>
        <v/>
      </c>
      <c r="AE922" s="53" t="str">
        <f aca="false">IF($J922&lt;&gt;"",$J922,"")</f>
        <v/>
      </c>
      <c r="AF922" s="52" t="str">
        <f aca="false">IF($A922&lt;&gt;"",$A922,"")</f>
        <v>Apprenant 910</v>
      </c>
      <c r="AG922" s="53" t="str">
        <f aca="false">IF(AND($W922&lt;&gt;"",$X922&lt;&gt;""),$X922-$W922,"")</f>
        <v/>
      </c>
      <c r="AH922" s="53" t="str">
        <f aca="false">IF(AND($W922&lt;&gt;"",$Y922&lt;&gt;""),$Y922-$W922,"")</f>
        <v/>
      </c>
      <c r="AI922" s="53" t="str">
        <f aca="false">IF(AND($X922&lt;&gt;"",$Y922&lt;&gt;""),$Y922-$X922,"")</f>
        <v/>
      </c>
      <c r="AJ922" s="53" t="str">
        <f aca="false">IF($E922&lt;&gt;"",$E922,"")</f>
        <v/>
      </c>
      <c r="AK922" s="52" t="str">
        <f aca="false">IF($F922&lt;&gt;"",$F922,"")</f>
        <v>Apprenant 910 ou 910'</v>
      </c>
      <c r="AL922" s="53" t="str">
        <f aca="false">IF(AND($AB922&lt;&gt;"",$AC922&lt;&gt;""),$AC922-$AB922,"")</f>
        <v/>
      </c>
      <c r="AM922" s="53" t="str">
        <f aca="false">IF(AND($AB922&lt;&gt;"",$AD922&lt;&gt;""),$AD922-$AB922,"")</f>
        <v/>
      </c>
      <c r="AN922" s="53" t="str">
        <f aca="false">IF(AND($AC922&lt;&gt;"",$AD922&lt;&gt;""),$AD922-$AC922,"")</f>
        <v/>
      </c>
      <c r="AO922" s="53" t="str">
        <f aca="false">IF($J922&lt;&gt;"",$J922,"")</f>
        <v/>
      </c>
      <c r="AQ922" s="52" t="str">
        <f aca="false">IF($A922&lt;&gt;"",$A922,"")</f>
        <v>Apprenant 910</v>
      </c>
      <c r="AR922" s="55" t="str">
        <f aca="false">IF(AND('Choix pédagogiques'!$C$4&lt;&gt;"?",'Choix pédagogiques'!$C$5&lt;&gt;"?",W922&lt;&gt;""),(W922-'Choix pédagogiques'!$C$4)/('Choix pédagogiques'!$C$5-'Choix pédagogiques'!$C$4),"")</f>
        <v/>
      </c>
      <c r="AS922" s="55" t="str">
        <f aca="false">IF(AND('Choix pédagogiques'!$C$4&lt;&gt;"?",'Choix pédagogiques'!$C$5&lt;&gt;"?",X922&lt;&gt;""),(X922-'Choix pédagogiques'!$C$4)/('Choix pédagogiques'!$C$5-'Choix pédagogiques'!$C$4),"")</f>
        <v/>
      </c>
      <c r="AT922" s="55" t="str">
        <f aca="false">IF(AND('Choix pédagogiques'!$C$4&lt;&gt;"?",'Choix pédagogiques'!$C$5&lt;&gt;"?",Y922&lt;&gt;""),(Y922-'Choix pédagogiques'!$C$4)/('Choix pédagogiques'!$C$5-'Choix pédagogiques'!$C$4),"")</f>
        <v/>
      </c>
      <c r="AU922" s="53" t="str">
        <f aca="false">IF($E922&lt;&gt;"",$E922,"")</f>
        <v/>
      </c>
      <c r="AV922" s="52" t="str">
        <f aca="false">IF($F922&lt;&gt;"",$F922,"")</f>
        <v>Apprenant 910 ou 910'</v>
      </c>
      <c r="AW922" s="55" t="str">
        <f aca="false">IF(AND('Choix pédagogiques'!$C$4&lt;&gt;"?",'Choix pédagogiques'!$C$5&lt;&gt;"?",AB922&lt;&gt;""),(AB922-'Choix pédagogiques'!$C$4)/('Choix pédagogiques'!$C$5-'Choix pédagogiques'!$C$4),"")</f>
        <v/>
      </c>
      <c r="AX922" s="55" t="str">
        <f aca="false">IF(AND('Choix pédagogiques'!$C$4&lt;&gt;"?",'Choix pédagogiques'!$C$5&lt;&gt;"?",AC922&lt;&gt;""),(AC922-'Choix pédagogiques'!$C$4)/('Choix pédagogiques'!$C$5-'Choix pédagogiques'!$C$4),"")</f>
        <v/>
      </c>
      <c r="AY922" s="55" t="str">
        <f aca="false">IF(AND('Choix pédagogiques'!$C$4&lt;&gt;"?",'Choix pédagogiques'!$C$5&lt;&gt;"?",AD922&lt;&gt;""),(AD922-'Choix pédagogiques'!$C$4)/('Choix pédagogiques'!$C$5-'Choix pédagogiques'!$C$4),"")</f>
        <v/>
      </c>
      <c r="AZ922" s="53" t="str">
        <f aca="false">IF($J922&lt;&gt;"",$J922,"")</f>
        <v/>
      </c>
      <c r="BA922" s="52" t="str">
        <f aca="false">IF($A922&lt;&gt;"",$A922,"")</f>
        <v>Apprenant 910</v>
      </c>
      <c r="BB922" s="55" t="str">
        <f aca="false">IF(AND($AR922&lt;&gt;"",$AS922&lt;&gt;""),$AS922-$AR922,"")</f>
        <v/>
      </c>
      <c r="BC922" s="55" t="str">
        <f aca="false">IF(AND($AR922&lt;&gt;"",$AT922&lt;&gt;""),$AT922-$AR922,"")</f>
        <v/>
      </c>
      <c r="BD922" s="55" t="str">
        <f aca="false">IF(AND($AS922&lt;&gt;"",$AT922&lt;&gt;""),$AT922-$AS922,"")</f>
        <v/>
      </c>
      <c r="BE922" s="53" t="str">
        <f aca="false">IF($E922&lt;&gt;"",$E922,"")</f>
        <v/>
      </c>
      <c r="BF922" s="52" t="str">
        <f aca="false">IF($F922&lt;&gt;"",$F922,"")</f>
        <v>Apprenant 910 ou 910'</v>
      </c>
      <c r="BG922" s="55" t="str">
        <f aca="false">IF(AND($AW922&lt;&gt;"",$AX922&lt;&gt;""),$AX922-$AW922,"")</f>
        <v/>
      </c>
      <c r="BH922" s="55" t="str">
        <f aca="false">IF(AND($AW922&lt;&gt;"",$AY922&lt;&gt;""),$AY922-$AW922,"")</f>
        <v/>
      </c>
      <c r="BI922" s="55" t="str">
        <f aca="false">IF(AND($AX922&lt;&gt;"",$AY922&lt;&gt;""),$AY922-$AX922,"")</f>
        <v/>
      </c>
      <c r="BJ922" s="53" t="str">
        <f aca="false">IF($J922&lt;&gt;"",$J922,"")</f>
        <v/>
      </c>
      <c r="BL922" s="52"/>
      <c r="BM922" s="52" t="str">
        <f aca="false">IF(OR(COUNT(B922:D1921)=0,AND('Choix pédagogiques'!$C$3&lt;&gt;1,'Choix pédagogiques'!$C$3&lt;&gt;2)),"",IF(AND(OR('Choix pédagogiques'!$C$3=1,'Choix pédagogiques'!$C$3=2),$B922&lt;&gt;"",$C922&lt;&gt;"",$D922&lt;&gt;""),1,0))</f>
        <v/>
      </c>
      <c r="BN922" s="52" t="str">
        <f aca="false">IF(OR(COUNT(G922:I1921)=0,AND('Choix pédagogiques'!$C$3&lt;&gt;1,'Choix pédagogiques'!$C$3&lt;&gt;2)),"",IF(AND(OR('Choix pédagogiques'!$C$3=1,'Choix pédagogiques'!$C$3=2),AND($G922&lt;&gt;"",$H922&lt;&gt;"",$I922&lt;&gt;"")),1,0))</f>
        <v/>
      </c>
      <c r="BO922" s="52" t="str">
        <f aca="false">IF(OR(COUNT(B922:D1921)=0,COUNT(G922:I1921)=0,'Choix pédagogiques'!C$3&lt;&gt;3),"",IF(AND('Choix pédagogiques'!$C$3=3,$B922&lt;&gt;"",$C922&lt;&gt;"",$D922&lt;&gt;"",$G922&lt;&gt;"",$H922&lt;&gt;"",$I922&lt;&gt;""),1,0))</f>
        <v/>
      </c>
      <c r="BR922" s="52" t="n">
        <v>922</v>
      </c>
      <c r="BS922" s="52" t="n">
        <v>1276</v>
      </c>
    </row>
    <row r="923" s="54" customFormat="true" ht="18" hidden="false" customHeight="true" outlineLevel="0" collapsed="false">
      <c r="A923" s="57" t="s">
        <v>1777</v>
      </c>
      <c r="B923" s="51"/>
      <c r="C923" s="51"/>
      <c r="D923" s="51"/>
      <c r="E923" s="51"/>
      <c r="F923" s="57" t="s">
        <v>1778</v>
      </c>
      <c r="G923" s="51"/>
      <c r="H923" s="51"/>
      <c r="I923" s="51"/>
      <c r="J923" s="51"/>
      <c r="K923" s="52" t="str">
        <f aca="false">IF($A923&lt;&gt;"",$A923,"")</f>
        <v>Apprenant 911</v>
      </c>
      <c r="L923" s="53" t="str">
        <f aca="false">IF(AND($B923&lt;&gt;"",$C923&lt;&gt;""),$C923-$B923,"")</f>
        <v/>
      </c>
      <c r="M923" s="53" t="str">
        <f aca="false">IF(AND($B923&lt;&gt;"",$D923&lt;&gt;""),$D923-$B923,"")</f>
        <v/>
      </c>
      <c r="N923" s="53" t="str">
        <f aca="false">IF(AND($C923&lt;&gt;"",$D923&lt;&gt;""),$D923-$C923,"")</f>
        <v/>
      </c>
      <c r="O923" s="53" t="str">
        <f aca="false">IF($E923&lt;&gt;"",$E923,"")</f>
        <v/>
      </c>
      <c r="P923" s="52" t="str">
        <f aca="false">IF($F923&lt;&gt;"",$F923,"")</f>
        <v>Apprenant 911 ou 911'</v>
      </c>
      <c r="Q923" s="53" t="str">
        <f aca="false">IF(AND($G923&lt;&gt;"",$H923&lt;&gt;""),$H923-$G923,"")</f>
        <v/>
      </c>
      <c r="R923" s="53" t="str">
        <f aca="false">IF(AND($G923&lt;&gt;"",$I923&lt;&gt;""),$I923-$G923,"")</f>
        <v/>
      </c>
      <c r="S923" s="53" t="str">
        <f aca="false">IF(AND($H923&lt;&gt;"",$I923&lt;&gt;""),$I923-$H923,"")</f>
        <v/>
      </c>
      <c r="T923" s="53" t="str">
        <f aca="false">IF($J923&lt;&gt;"",$J923,"")</f>
        <v/>
      </c>
      <c r="V923" s="52" t="str">
        <f aca="false">IF($A923&lt;&gt;"",$A923,"")</f>
        <v>Apprenant 911</v>
      </c>
      <c r="W923" s="53" t="str">
        <f aca="false">IF(AND(OR('Choix pédagogiques'!$C$3=1,'Choix pédagogiques'!$C$3=2),$BM923=1),B923,IF(AND('Choix pédagogiques'!$C$3=3,$BO923=1),B923,""))</f>
        <v/>
      </c>
      <c r="X923" s="53" t="str">
        <f aca="false">IF(AND(OR('Choix pédagogiques'!$C$3=1,'Choix pédagogiques'!$C$3=2),$BM923=1),C923,IF(AND('Choix pédagogiques'!$C$3=3,$BO923=1),C923,""))</f>
        <v/>
      </c>
      <c r="Y923" s="53" t="str">
        <f aca="false">IF(AND(OR('Choix pédagogiques'!$C$3=1,'Choix pédagogiques'!$C$3=2),$BM923=1),D923,IF(AND('Choix pédagogiques'!$C$3=3,$BO923=1),D923,""))</f>
        <v/>
      </c>
      <c r="Z923" s="53" t="str">
        <f aca="false">IF($E923&lt;&gt;"",$E923,"")</f>
        <v/>
      </c>
      <c r="AA923" s="52" t="str">
        <f aca="false">IF($F923&lt;&gt;"",$F923,"")</f>
        <v>Apprenant 911 ou 911'</v>
      </c>
      <c r="AB923" s="53" t="str">
        <f aca="false">IF(AND(OR('Choix pédagogiques'!$C$3=1,'Choix pédagogiques'!$C$3=2),$BN923=1),G923,IF(AND('Choix pédagogiques'!$C$3=3,$BO923=1),G923,""))</f>
        <v/>
      </c>
      <c r="AC923" s="53" t="str">
        <f aca="false">IF(AND(OR('Choix pédagogiques'!$C$3=1,'Choix pédagogiques'!$C$3=2),$BN923=1),H923,IF(AND('Choix pédagogiques'!$C$3=3,$BO923=1),H923,""))</f>
        <v/>
      </c>
      <c r="AD923" s="53" t="str">
        <f aca="false">IF(AND(OR('Choix pédagogiques'!$C$3=1,'Choix pédagogiques'!$C$3=2),$BN923=1),I923,IF(AND('Choix pédagogiques'!$C$3=3,$BO923=1),I923,""))</f>
        <v/>
      </c>
      <c r="AE923" s="53" t="str">
        <f aca="false">IF($J923&lt;&gt;"",$J923,"")</f>
        <v/>
      </c>
      <c r="AF923" s="52" t="str">
        <f aca="false">IF($A923&lt;&gt;"",$A923,"")</f>
        <v>Apprenant 911</v>
      </c>
      <c r="AG923" s="53" t="str">
        <f aca="false">IF(AND($W923&lt;&gt;"",$X923&lt;&gt;""),$X923-$W923,"")</f>
        <v/>
      </c>
      <c r="AH923" s="53" t="str">
        <f aca="false">IF(AND($W923&lt;&gt;"",$Y923&lt;&gt;""),$Y923-$W923,"")</f>
        <v/>
      </c>
      <c r="AI923" s="53" t="str">
        <f aca="false">IF(AND($X923&lt;&gt;"",$Y923&lt;&gt;""),$Y923-$X923,"")</f>
        <v/>
      </c>
      <c r="AJ923" s="53" t="str">
        <f aca="false">IF($E923&lt;&gt;"",$E923,"")</f>
        <v/>
      </c>
      <c r="AK923" s="52" t="str">
        <f aca="false">IF($F923&lt;&gt;"",$F923,"")</f>
        <v>Apprenant 911 ou 911'</v>
      </c>
      <c r="AL923" s="53" t="str">
        <f aca="false">IF(AND($AB923&lt;&gt;"",$AC923&lt;&gt;""),$AC923-$AB923,"")</f>
        <v/>
      </c>
      <c r="AM923" s="53" t="str">
        <f aca="false">IF(AND($AB923&lt;&gt;"",$AD923&lt;&gt;""),$AD923-$AB923,"")</f>
        <v/>
      </c>
      <c r="AN923" s="53" t="str">
        <f aca="false">IF(AND($AC923&lt;&gt;"",$AD923&lt;&gt;""),$AD923-$AC923,"")</f>
        <v/>
      </c>
      <c r="AO923" s="53" t="str">
        <f aca="false">IF($J923&lt;&gt;"",$J923,"")</f>
        <v/>
      </c>
      <c r="AQ923" s="52" t="str">
        <f aca="false">IF($A923&lt;&gt;"",$A923,"")</f>
        <v>Apprenant 911</v>
      </c>
      <c r="AR923" s="55" t="str">
        <f aca="false">IF(AND('Choix pédagogiques'!$C$4&lt;&gt;"?",'Choix pédagogiques'!$C$5&lt;&gt;"?",W923&lt;&gt;""),(W923-'Choix pédagogiques'!$C$4)/('Choix pédagogiques'!$C$5-'Choix pédagogiques'!$C$4),"")</f>
        <v/>
      </c>
      <c r="AS923" s="55" t="str">
        <f aca="false">IF(AND('Choix pédagogiques'!$C$4&lt;&gt;"?",'Choix pédagogiques'!$C$5&lt;&gt;"?",X923&lt;&gt;""),(X923-'Choix pédagogiques'!$C$4)/('Choix pédagogiques'!$C$5-'Choix pédagogiques'!$C$4),"")</f>
        <v/>
      </c>
      <c r="AT923" s="55" t="str">
        <f aca="false">IF(AND('Choix pédagogiques'!$C$4&lt;&gt;"?",'Choix pédagogiques'!$C$5&lt;&gt;"?",Y923&lt;&gt;""),(Y923-'Choix pédagogiques'!$C$4)/('Choix pédagogiques'!$C$5-'Choix pédagogiques'!$C$4),"")</f>
        <v/>
      </c>
      <c r="AU923" s="53" t="str">
        <f aca="false">IF($E923&lt;&gt;"",$E923,"")</f>
        <v/>
      </c>
      <c r="AV923" s="52" t="str">
        <f aca="false">IF($F923&lt;&gt;"",$F923,"")</f>
        <v>Apprenant 911 ou 911'</v>
      </c>
      <c r="AW923" s="55" t="str">
        <f aca="false">IF(AND('Choix pédagogiques'!$C$4&lt;&gt;"?",'Choix pédagogiques'!$C$5&lt;&gt;"?",AB923&lt;&gt;""),(AB923-'Choix pédagogiques'!$C$4)/('Choix pédagogiques'!$C$5-'Choix pédagogiques'!$C$4),"")</f>
        <v/>
      </c>
      <c r="AX923" s="55" t="str">
        <f aca="false">IF(AND('Choix pédagogiques'!$C$4&lt;&gt;"?",'Choix pédagogiques'!$C$5&lt;&gt;"?",AC923&lt;&gt;""),(AC923-'Choix pédagogiques'!$C$4)/('Choix pédagogiques'!$C$5-'Choix pédagogiques'!$C$4),"")</f>
        <v/>
      </c>
      <c r="AY923" s="55" t="str">
        <f aca="false">IF(AND('Choix pédagogiques'!$C$4&lt;&gt;"?",'Choix pédagogiques'!$C$5&lt;&gt;"?",AD923&lt;&gt;""),(AD923-'Choix pédagogiques'!$C$4)/('Choix pédagogiques'!$C$5-'Choix pédagogiques'!$C$4),"")</f>
        <v/>
      </c>
      <c r="AZ923" s="53" t="str">
        <f aca="false">IF($J923&lt;&gt;"",$J923,"")</f>
        <v/>
      </c>
      <c r="BA923" s="52" t="str">
        <f aca="false">IF($A923&lt;&gt;"",$A923,"")</f>
        <v>Apprenant 911</v>
      </c>
      <c r="BB923" s="55" t="str">
        <f aca="false">IF(AND($AR923&lt;&gt;"",$AS923&lt;&gt;""),$AS923-$AR923,"")</f>
        <v/>
      </c>
      <c r="BC923" s="55" t="str">
        <f aca="false">IF(AND($AR923&lt;&gt;"",$AT923&lt;&gt;""),$AT923-$AR923,"")</f>
        <v/>
      </c>
      <c r="BD923" s="55" t="str">
        <f aca="false">IF(AND($AS923&lt;&gt;"",$AT923&lt;&gt;""),$AT923-$AS923,"")</f>
        <v/>
      </c>
      <c r="BE923" s="53" t="str">
        <f aca="false">IF($E923&lt;&gt;"",$E923,"")</f>
        <v/>
      </c>
      <c r="BF923" s="52" t="str">
        <f aca="false">IF($F923&lt;&gt;"",$F923,"")</f>
        <v>Apprenant 911 ou 911'</v>
      </c>
      <c r="BG923" s="55" t="str">
        <f aca="false">IF(AND($AW923&lt;&gt;"",$AX923&lt;&gt;""),$AX923-$AW923,"")</f>
        <v/>
      </c>
      <c r="BH923" s="55" t="str">
        <f aca="false">IF(AND($AW923&lt;&gt;"",$AY923&lt;&gt;""),$AY923-$AW923,"")</f>
        <v/>
      </c>
      <c r="BI923" s="55" t="str">
        <f aca="false">IF(AND($AX923&lt;&gt;"",$AY923&lt;&gt;""),$AY923-$AX923,"")</f>
        <v/>
      </c>
      <c r="BJ923" s="53" t="str">
        <f aca="false">IF($J923&lt;&gt;"",$J923,"")</f>
        <v/>
      </c>
      <c r="BL923" s="52"/>
      <c r="BM923" s="52" t="str">
        <f aca="false">IF(OR(COUNT(B923:D1922)=0,AND('Choix pédagogiques'!$C$3&lt;&gt;1,'Choix pédagogiques'!$C$3&lt;&gt;2)),"",IF(AND(OR('Choix pédagogiques'!$C$3=1,'Choix pédagogiques'!$C$3=2),$B923&lt;&gt;"",$C923&lt;&gt;"",$D923&lt;&gt;""),1,0))</f>
        <v/>
      </c>
      <c r="BN923" s="52" t="str">
        <f aca="false">IF(OR(COUNT(G923:I1922)=0,AND('Choix pédagogiques'!$C$3&lt;&gt;1,'Choix pédagogiques'!$C$3&lt;&gt;2)),"",IF(AND(OR('Choix pédagogiques'!$C$3=1,'Choix pédagogiques'!$C$3=2),AND($G923&lt;&gt;"",$H923&lt;&gt;"",$I923&lt;&gt;"")),1,0))</f>
        <v/>
      </c>
      <c r="BO923" s="52" t="str">
        <f aca="false">IF(OR(COUNT(B923:D1922)=0,COUNT(G923:I1922)=0,'Choix pédagogiques'!C$3&lt;&gt;3),"",IF(AND('Choix pédagogiques'!$C$3=3,$B923&lt;&gt;"",$C923&lt;&gt;"",$D923&lt;&gt;"",$G923&lt;&gt;"",$H923&lt;&gt;"",$I923&lt;&gt;""),1,0))</f>
        <v/>
      </c>
      <c r="BR923" s="52" t="n">
        <v>165</v>
      </c>
      <c r="BS923" s="52" t="n">
        <v>1385</v>
      </c>
    </row>
    <row r="924" s="54" customFormat="true" ht="18" hidden="false" customHeight="true" outlineLevel="0" collapsed="false">
      <c r="A924" s="57" t="s">
        <v>1779</v>
      </c>
      <c r="B924" s="51"/>
      <c r="C924" s="51"/>
      <c r="D924" s="51"/>
      <c r="E924" s="51"/>
      <c r="F924" s="57" t="s">
        <v>1780</v>
      </c>
      <c r="G924" s="51"/>
      <c r="H924" s="51"/>
      <c r="I924" s="51"/>
      <c r="J924" s="51"/>
      <c r="K924" s="52" t="str">
        <f aca="false">IF($A924&lt;&gt;"",$A924,"")</f>
        <v>Apprenant 912</v>
      </c>
      <c r="L924" s="53" t="str">
        <f aca="false">IF(AND($B924&lt;&gt;"",$C924&lt;&gt;""),$C924-$B924,"")</f>
        <v/>
      </c>
      <c r="M924" s="53" t="str">
        <f aca="false">IF(AND($B924&lt;&gt;"",$D924&lt;&gt;""),$D924-$B924,"")</f>
        <v/>
      </c>
      <c r="N924" s="53" t="str">
        <f aca="false">IF(AND($C924&lt;&gt;"",$D924&lt;&gt;""),$D924-$C924,"")</f>
        <v/>
      </c>
      <c r="O924" s="53" t="str">
        <f aca="false">IF($E924&lt;&gt;"",$E924,"")</f>
        <v/>
      </c>
      <c r="P924" s="52" t="str">
        <f aca="false">IF($F924&lt;&gt;"",$F924,"")</f>
        <v>Apprenant 912 ou 912'</v>
      </c>
      <c r="Q924" s="53" t="str">
        <f aca="false">IF(AND($G924&lt;&gt;"",$H924&lt;&gt;""),$H924-$G924,"")</f>
        <v/>
      </c>
      <c r="R924" s="53" t="str">
        <f aca="false">IF(AND($G924&lt;&gt;"",$I924&lt;&gt;""),$I924-$G924,"")</f>
        <v/>
      </c>
      <c r="S924" s="53" t="str">
        <f aca="false">IF(AND($H924&lt;&gt;"",$I924&lt;&gt;""),$I924-$H924,"")</f>
        <v/>
      </c>
      <c r="T924" s="53" t="str">
        <f aca="false">IF($J924&lt;&gt;"",$J924,"")</f>
        <v/>
      </c>
      <c r="V924" s="52" t="str">
        <f aca="false">IF($A924&lt;&gt;"",$A924,"")</f>
        <v>Apprenant 912</v>
      </c>
      <c r="W924" s="53" t="str">
        <f aca="false">IF(AND(OR('Choix pédagogiques'!$C$3=1,'Choix pédagogiques'!$C$3=2),$BM924=1),B924,IF(AND('Choix pédagogiques'!$C$3=3,$BO924=1),B924,""))</f>
        <v/>
      </c>
      <c r="X924" s="53" t="str">
        <f aca="false">IF(AND(OR('Choix pédagogiques'!$C$3=1,'Choix pédagogiques'!$C$3=2),$BM924=1),C924,IF(AND('Choix pédagogiques'!$C$3=3,$BO924=1),C924,""))</f>
        <v/>
      </c>
      <c r="Y924" s="53" t="str">
        <f aca="false">IF(AND(OR('Choix pédagogiques'!$C$3=1,'Choix pédagogiques'!$C$3=2),$BM924=1),D924,IF(AND('Choix pédagogiques'!$C$3=3,$BO924=1),D924,""))</f>
        <v/>
      </c>
      <c r="Z924" s="53" t="str">
        <f aca="false">IF($E924&lt;&gt;"",$E924,"")</f>
        <v/>
      </c>
      <c r="AA924" s="52" t="str">
        <f aca="false">IF($F924&lt;&gt;"",$F924,"")</f>
        <v>Apprenant 912 ou 912'</v>
      </c>
      <c r="AB924" s="53" t="str">
        <f aca="false">IF(AND(OR('Choix pédagogiques'!$C$3=1,'Choix pédagogiques'!$C$3=2),$BN924=1),G924,IF(AND('Choix pédagogiques'!$C$3=3,$BO924=1),G924,""))</f>
        <v/>
      </c>
      <c r="AC924" s="53" t="str">
        <f aca="false">IF(AND(OR('Choix pédagogiques'!$C$3=1,'Choix pédagogiques'!$C$3=2),$BN924=1),H924,IF(AND('Choix pédagogiques'!$C$3=3,$BO924=1),H924,""))</f>
        <v/>
      </c>
      <c r="AD924" s="53" t="str">
        <f aca="false">IF(AND(OR('Choix pédagogiques'!$C$3=1,'Choix pédagogiques'!$C$3=2),$BN924=1),I924,IF(AND('Choix pédagogiques'!$C$3=3,$BO924=1),I924,""))</f>
        <v/>
      </c>
      <c r="AE924" s="53" t="str">
        <f aca="false">IF($J924&lt;&gt;"",$J924,"")</f>
        <v/>
      </c>
      <c r="AF924" s="52" t="str">
        <f aca="false">IF($A924&lt;&gt;"",$A924,"")</f>
        <v>Apprenant 912</v>
      </c>
      <c r="AG924" s="53" t="str">
        <f aca="false">IF(AND($W924&lt;&gt;"",$X924&lt;&gt;""),$X924-$W924,"")</f>
        <v/>
      </c>
      <c r="AH924" s="53" t="str">
        <f aca="false">IF(AND($W924&lt;&gt;"",$Y924&lt;&gt;""),$Y924-$W924,"")</f>
        <v/>
      </c>
      <c r="AI924" s="53" t="str">
        <f aca="false">IF(AND($X924&lt;&gt;"",$Y924&lt;&gt;""),$Y924-$X924,"")</f>
        <v/>
      </c>
      <c r="AJ924" s="53" t="str">
        <f aca="false">IF($E924&lt;&gt;"",$E924,"")</f>
        <v/>
      </c>
      <c r="AK924" s="52" t="str">
        <f aca="false">IF($F924&lt;&gt;"",$F924,"")</f>
        <v>Apprenant 912 ou 912'</v>
      </c>
      <c r="AL924" s="53" t="str">
        <f aca="false">IF(AND($AB924&lt;&gt;"",$AC924&lt;&gt;""),$AC924-$AB924,"")</f>
        <v/>
      </c>
      <c r="AM924" s="53" t="str">
        <f aca="false">IF(AND($AB924&lt;&gt;"",$AD924&lt;&gt;""),$AD924-$AB924,"")</f>
        <v/>
      </c>
      <c r="AN924" s="53" t="str">
        <f aca="false">IF(AND($AC924&lt;&gt;"",$AD924&lt;&gt;""),$AD924-$AC924,"")</f>
        <v/>
      </c>
      <c r="AO924" s="53" t="str">
        <f aca="false">IF($J924&lt;&gt;"",$J924,"")</f>
        <v/>
      </c>
      <c r="AQ924" s="52" t="str">
        <f aca="false">IF($A924&lt;&gt;"",$A924,"")</f>
        <v>Apprenant 912</v>
      </c>
      <c r="AR924" s="55" t="str">
        <f aca="false">IF(AND('Choix pédagogiques'!$C$4&lt;&gt;"?",'Choix pédagogiques'!$C$5&lt;&gt;"?",W924&lt;&gt;""),(W924-'Choix pédagogiques'!$C$4)/('Choix pédagogiques'!$C$5-'Choix pédagogiques'!$C$4),"")</f>
        <v/>
      </c>
      <c r="AS924" s="55" t="str">
        <f aca="false">IF(AND('Choix pédagogiques'!$C$4&lt;&gt;"?",'Choix pédagogiques'!$C$5&lt;&gt;"?",X924&lt;&gt;""),(X924-'Choix pédagogiques'!$C$4)/('Choix pédagogiques'!$C$5-'Choix pédagogiques'!$C$4),"")</f>
        <v/>
      </c>
      <c r="AT924" s="55" t="str">
        <f aca="false">IF(AND('Choix pédagogiques'!$C$4&lt;&gt;"?",'Choix pédagogiques'!$C$5&lt;&gt;"?",Y924&lt;&gt;""),(Y924-'Choix pédagogiques'!$C$4)/('Choix pédagogiques'!$C$5-'Choix pédagogiques'!$C$4),"")</f>
        <v/>
      </c>
      <c r="AU924" s="53" t="str">
        <f aca="false">IF($E924&lt;&gt;"",$E924,"")</f>
        <v/>
      </c>
      <c r="AV924" s="52" t="str">
        <f aca="false">IF($F924&lt;&gt;"",$F924,"")</f>
        <v>Apprenant 912 ou 912'</v>
      </c>
      <c r="AW924" s="55" t="str">
        <f aca="false">IF(AND('Choix pédagogiques'!$C$4&lt;&gt;"?",'Choix pédagogiques'!$C$5&lt;&gt;"?",AB924&lt;&gt;""),(AB924-'Choix pédagogiques'!$C$4)/('Choix pédagogiques'!$C$5-'Choix pédagogiques'!$C$4),"")</f>
        <v/>
      </c>
      <c r="AX924" s="55" t="str">
        <f aca="false">IF(AND('Choix pédagogiques'!$C$4&lt;&gt;"?",'Choix pédagogiques'!$C$5&lt;&gt;"?",AC924&lt;&gt;""),(AC924-'Choix pédagogiques'!$C$4)/('Choix pédagogiques'!$C$5-'Choix pédagogiques'!$C$4),"")</f>
        <v/>
      </c>
      <c r="AY924" s="55" t="str">
        <f aca="false">IF(AND('Choix pédagogiques'!$C$4&lt;&gt;"?",'Choix pédagogiques'!$C$5&lt;&gt;"?",AD924&lt;&gt;""),(AD924-'Choix pédagogiques'!$C$4)/('Choix pédagogiques'!$C$5-'Choix pédagogiques'!$C$4),"")</f>
        <v/>
      </c>
      <c r="AZ924" s="53" t="str">
        <f aca="false">IF($J924&lt;&gt;"",$J924,"")</f>
        <v/>
      </c>
      <c r="BA924" s="52" t="str">
        <f aca="false">IF($A924&lt;&gt;"",$A924,"")</f>
        <v>Apprenant 912</v>
      </c>
      <c r="BB924" s="55" t="str">
        <f aca="false">IF(AND($AR924&lt;&gt;"",$AS924&lt;&gt;""),$AS924-$AR924,"")</f>
        <v/>
      </c>
      <c r="BC924" s="55" t="str">
        <f aca="false">IF(AND($AR924&lt;&gt;"",$AT924&lt;&gt;""),$AT924-$AR924,"")</f>
        <v/>
      </c>
      <c r="BD924" s="55" t="str">
        <f aca="false">IF(AND($AS924&lt;&gt;"",$AT924&lt;&gt;""),$AT924-$AS924,"")</f>
        <v/>
      </c>
      <c r="BE924" s="53" t="str">
        <f aca="false">IF($E924&lt;&gt;"",$E924,"")</f>
        <v/>
      </c>
      <c r="BF924" s="52" t="str">
        <f aca="false">IF($F924&lt;&gt;"",$F924,"")</f>
        <v>Apprenant 912 ou 912'</v>
      </c>
      <c r="BG924" s="55" t="str">
        <f aca="false">IF(AND($AW924&lt;&gt;"",$AX924&lt;&gt;""),$AX924-$AW924,"")</f>
        <v/>
      </c>
      <c r="BH924" s="55" t="str">
        <f aca="false">IF(AND($AW924&lt;&gt;"",$AY924&lt;&gt;""),$AY924-$AW924,"")</f>
        <v/>
      </c>
      <c r="BI924" s="55" t="str">
        <f aca="false">IF(AND($AX924&lt;&gt;"",$AY924&lt;&gt;""),$AY924-$AX924,"")</f>
        <v/>
      </c>
      <c r="BJ924" s="53" t="str">
        <f aca="false">IF($J924&lt;&gt;"",$J924,"")</f>
        <v/>
      </c>
      <c r="BL924" s="52"/>
      <c r="BM924" s="52" t="str">
        <f aca="false">IF(OR(COUNT(B924:D1923)=0,AND('Choix pédagogiques'!$C$3&lt;&gt;1,'Choix pédagogiques'!$C$3&lt;&gt;2)),"",IF(AND(OR('Choix pédagogiques'!$C$3=1,'Choix pédagogiques'!$C$3=2),$B924&lt;&gt;"",$C924&lt;&gt;"",$D924&lt;&gt;""),1,0))</f>
        <v/>
      </c>
      <c r="BN924" s="52" t="str">
        <f aca="false">IF(OR(COUNT(G924:I1923)=0,AND('Choix pédagogiques'!$C$3&lt;&gt;1,'Choix pédagogiques'!$C$3&lt;&gt;2)),"",IF(AND(OR('Choix pédagogiques'!$C$3=1,'Choix pédagogiques'!$C$3=2),AND($G924&lt;&gt;"",$H924&lt;&gt;"",$I924&lt;&gt;"")),1,0))</f>
        <v/>
      </c>
      <c r="BO924" s="52" t="str">
        <f aca="false">IF(OR(COUNT(B924:D1923)=0,COUNT(G924:I1923)=0,'Choix pédagogiques'!C$3&lt;&gt;3),"",IF(AND('Choix pédagogiques'!$C$3=3,$B924&lt;&gt;"",$C924&lt;&gt;"",$D924&lt;&gt;"",$G924&lt;&gt;"",$H924&lt;&gt;"",$I924&lt;&gt;""),1,0))</f>
        <v/>
      </c>
      <c r="BR924" s="52" t="n">
        <v>273</v>
      </c>
      <c r="BS924" s="52" t="n">
        <v>1066</v>
      </c>
    </row>
    <row r="925" s="54" customFormat="true" ht="18" hidden="false" customHeight="true" outlineLevel="0" collapsed="false">
      <c r="A925" s="57" t="s">
        <v>1781</v>
      </c>
      <c r="B925" s="51"/>
      <c r="C925" s="51"/>
      <c r="D925" s="51"/>
      <c r="E925" s="51"/>
      <c r="F925" s="57" t="s">
        <v>1782</v>
      </c>
      <c r="G925" s="51"/>
      <c r="H925" s="51"/>
      <c r="I925" s="51"/>
      <c r="J925" s="51"/>
      <c r="K925" s="52" t="str">
        <f aca="false">IF($A925&lt;&gt;"",$A925,"")</f>
        <v>Apprenant 913</v>
      </c>
      <c r="L925" s="53" t="str">
        <f aca="false">IF(AND($B925&lt;&gt;"",$C925&lt;&gt;""),$C925-$B925,"")</f>
        <v/>
      </c>
      <c r="M925" s="53" t="str">
        <f aca="false">IF(AND($B925&lt;&gt;"",$D925&lt;&gt;""),$D925-$B925,"")</f>
        <v/>
      </c>
      <c r="N925" s="53" t="str">
        <f aca="false">IF(AND($C925&lt;&gt;"",$D925&lt;&gt;""),$D925-$C925,"")</f>
        <v/>
      </c>
      <c r="O925" s="53" t="str">
        <f aca="false">IF($E925&lt;&gt;"",$E925,"")</f>
        <v/>
      </c>
      <c r="P925" s="52" t="str">
        <f aca="false">IF($F925&lt;&gt;"",$F925,"")</f>
        <v>Apprenant 913 ou 913'</v>
      </c>
      <c r="Q925" s="53" t="str">
        <f aca="false">IF(AND($G925&lt;&gt;"",$H925&lt;&gt;""),$H925-$G925,"")</f>
        <v/>
      </c>
      <c r="R925" s="53" t="str">
        <f aca="false">IF(AND($G925&lt;&gt;"",$I925&lt;&gt;""),$I925-$G925,"")</f>
        <v/>
      </c>
      <c r="S925" s="53" t="str">
        <f aca="false">IF(AND($H925&lt;&gt;"",$I925&lt;&gt;""),$I925-$H925,"")</f>
        <v/>
      </c>
      <c r="T925" s="53" t="str">
        <f aca="false">IF($J925&lt;&gt;"",$J925,"")</f>
        <v/>
      </c>
      <c r="V925" s="52" t="str">
        <f aca="false">IF($A925&lt;&gt;"",$A925,"")</f>
        <v>Apprenant 913</v>
      </c>
      <c r="W925" s="53" t="str">
        <f aca="false">IF(AND(OR('Choix pédagogiques'!$C$3=1,'Choix pédagogiques'!$C$3=2),$BM925=1),B925,IF(AND('Choix pédagogiques'!$C$3=3,$BO925=1),B925,""))</f>
        <v/>
      </c>
      <c r="X925" s="53" t="str">
        <f aca="false">IF(AND(OR('Choix pédagogiques'!$C$3=1,'Choix pédagogiques'!$C$3=2),$BM925=1),C925,IF(AND('Choix pédagogiques'!$C$3=3,$BO925=1),C925,""))</f>
        <v/>
      </c>
      <c r="Y925" s="53" t="str">
        <f aca="false">IF(AND(OR('Choix pédagogiques'!$C$3=1,'Choix pédagogiques'!$C$3=2),$BM925=1),D925,IF(AND('Choix pédagogiques'!$C$3=3,$BO925=1),D925,""))</f>
        <v/>
      </c>
      <c r="Z925" s="53" t="str">
        <f aca="false">IF($E925&lt;&gt;"",$E925,"")</f>
        <v/>
      </c>
      <c r="AA925" s="52" t="str">
        <f aca="false">IF($F925&lt;&gt;"",$F925,"")</f>
        <v>Apprenant 913 ou 913'</v>
      </c>
      <c r="AB925" s="53" t="str">
        <f aca="false">IF(AND(OR('Choix pédagogiques'!$C$3=1,'Choix pédagogiques'!$C$3=2),$BN925=1),G925,IF(AND('Choix pédagogiques'!$C$3=3,$BO925=1),G925,""))</f>
        <v/>
      </c>
      <c r="AC925" s="53" t="str">
        <f aca="false">IF(AND(OR('Choix pédagogiques'!$C$3=1,'Choix pédagogiques'!$C$3=2),$BN925=1),H925,IF(AND('Choix pédagogiques'!$C$3=3,$BO925=1),H925,""))</f>
        <v/>
      </c>
      <c r="AD925" s="53" t="str">
        <f aca="false">IF(AND(OR('Choix pédagogiques'!$C$3=1,'Choix pédagogiques'!$C$3=2),$BN925=1),I925,IF(AND('Choix pédagogiques'!$C$3=3,$BO925=1),I925,""))</f>
        <v/>
      </c>
      <c r="AE925" s="53" t="str">
        <f aca="false">IF($J925&lt;&gt;"",$J925,"")</f>
        <v/>
      </c>
      <c r="AF925" s="52" t="str">
        <f aca="false">IF($A925&lt;&gt;"",$A925,"")</f>
        <v>Apprenant 913</v>
      </c>
      <c r="AG925" s="53" t="str">
        <f aca="false">IF(AND($W925&lt;&gt;"",$X925&lt;&gt;""),$X925-$W925,"")</f>
        <v/>
      </c>
      <c r="AH925" s="53" t="str">
        <f aca="false">IF(AND($W925&lt;&gt;"",$Y925&lt;&gt;""),$Y925-$W925,"")</f>
        <v/>
      </c>
      <c r="AI925" s="53" t="str">
        <f aca="false">IF(AND($X925&lt;&gt;"",$Y925&lt;&gt;""),$Y925-$X925,"")</f>
        <v/>
      </c>
      <c r="AJ925" s="53" t="str">
        <f aca="false">IF($E925&lt;&gt;"",$E925,"")</f>
        <v/>
      </c>
      <c r="AK925" s="52" t="str">
        <f aca="false">IF($F925&lt;&gt;"",$F925,"")</f>
        <v>Apprenant 913 ou 913'</v>
      </c>
      <c r="AL925" s="53" t="str">
        <f aca="false">IF(AND($AB925&lt;&gt;"",$AC925&lt;&gt;""),$AC925-$AB925,"")</f>
        <v/>
      </c>
      <c r="AM925" s="53" t="str">
        <f aca="false">IF(AND($AB925&lt;&gt;"",$AD925&lt;&gt;""),$AD925-$AB925,"")</f>
        <v/>
      </c>
      <c r="AN925" s="53" t="str">
        <f aca="false">IF(AND($AC925&lt;&gt;"",$AD925&lt;&gt;""),$AD925-$AC925,"")</f>
        <v/>
      </c>
      <c r="AO925" s="53" t="str">
        <f aca="false">IF($J925&lt;&gt;"",$J925,"")</f>
        <v/>
      </c>
      <c r="AQ925" s="52" t="str">
        <f aca="false">IF($A925&lt;&gt;"",$A925,"")</f>
        <v>Apprenant 913</v>
      </c>
      <c r="AR925" s="55" t="str">
        <f aca="false">IF(AND('Choix pédagogiques'!$C$4&lt;&gt;"?",'Choix pédagogiques'!$C$5&lt;&gt;"?",W925&lt;&gt;""),(W925-'Choix pédagogiques'!$C$4)/('Choix pédagogiques'!$C$5-'Choix pédagogiques'!$C$4),"")</f>
        <v/>
      </c>
      <c r="AS925" s="55" t="str">
        <f aca="false">IF(AND('Choix pédagogiques'!$C$4&lt;&gt;"?",'Choix pédagogiques'!$C$5&lt;&gt;"?",X925&lt;&gt;""),(X925-'Choix pédagogiques'!$C$4)/('Choix pédagogiques'!$C$5-'Choix pédagogiques'!$C$4),"")</f>
        <v/>
      </c>
      <c r="AT925" s="55" t="str">
        <f aca="false">IF(AND('Choix pédagogiques'!$C$4&lt;&gt;"?",'Choix pédagogiques'!$C$5&lt;&gt;"?",Y925&lt;&gt;""),(Y925-'Choix pédagogiques'!$C$4)/('Choix pédagogiques'!$C$5-'Choix pédagogiques'!$C$4),"")</f>
        <v/>
      </c>
      <c r="AU925" s="53" t="str">
        <f aca="false">IF($E925&lt;&gt;"",$E925,"")</f>
        <v/>
      </c>
      <c r="AV925" s="52" t="str">
        <f aca="false">IF($F925&lt;&gt;"",$F925,"")</f>
        <v>Apprenant 913 ou 913'</v>
      </c>
      <c r="AW925" s="55" t="str">
        <f aca="false">IF(AND('Choix pédagogiques'!$C$4&lt;&gt;"?",'Choix pédagogiques'!$C$5&lt;&gt;"?",AB925&lt;&gt;""),(AB925-'Choix pédagogiques'!$C$4)/('Choix pédagogiques'!$C$5-'Choix pédagogiques'!$C$4),"")</f>
        <v/>
      </c>
      <c r="AX925" s="55" t="str">
        <f aca="false">IF(AND('Choix pédagogiques'!$C$4&lt;&gt;"?",'Choix pédagogiques'!$C$5&lt;&gt;"?",AC925&lt;&gt;""),(AC925-'Choix pédagogiques'!$C$4)/('Choix pédagogiques'!$C$5-'Choix pédagogiques'!$C$4),"")</f>
        <v/>
      </c>
      <c r="AY925" s="55" t="str">
        <f aca="false">IF(AND('Choix pédagogiques'!$C$4&lt;&gt;"?",'Choix pédagogiques'!$C$5&lt;&gt;"?",AD925&lt;&gt;""),(AD925-'Choix pédagogiques'!$C$4)/('Choix pédagogiques'!$C$5-'Choix pédagogiques'!$C$4),"")</f>
        <v/>
      </c>
      <c r="AZ925" s="53" t="str">
        <f aca="false">IF($J925&lt;&gt;"",$J925,"")</f>
        <v/>
      </c>
      <c r="BA925" s="52" t="str">
        <f aca="false">IF($A925&lt;&gt;"",$A925,"")</f>
        <v>Apprenant 913</v>
      </c>
      <c r="BB925" s="55" t="str">
        <f aca="false">IF(AND($AR925&lt;&gt;"",$AS925&lt;&gt;""),$AS925-$AR925,"")</f>
        <v/>
      </c>
      <c r="BC925" s="55" t="str">
        <f aca="false">IF(AND($AR925&lt;&gt;"",$AT925&lt;&gt;""),$AT925-$AR925,"")</f>
        <v/>
      </c>
      <c r="BD925" s="55" t="str">
        <f aca="false">IF(AND($AS925&lt;&gt;"",$AT925&lt;&gt;""),$AT925-$AS925,"")</f>
        <v/>
      </c>
      <c r="BE925" s="53" t="str">
        <f aca="false">IF($E925&lt;&gt;"",$E925,"")</f>
        <v/>
      </c>
      <c r="BF925" s="52" t="str">
        <f aca="false">IF($F925&lt;&gt;"",$F925,"")</f>
        <v>Apprenant 913 ou 913'</v>
      </c>
      <c r="BG925" s="55" t="str">
        <f aca="false">IF(AND($AW925&lt;&gt;"",$AX925&lt;&gt;""),$AX925-$AW925,"")</f>
        <v/>
      </c>
      <c r="BH925" s="55" t="str">
        <f aca="false">IF(AND($AW925&lt;&gt;"",$AY925&lt;&gt;""),$AY925-$AW925,"")</f>
        <v/>
      </c>
      <c r="BI925" s="55" t="str">
        <f aca="false">IF(AND($AX925&lt;&gt;"",$AY925&lt;&gt;""),$AY925-$AX925,"")</f>
        <v/>
      </c>
      <c r="BJ925" s="53" t="str">
        <f aca="false">IF($J925&lt;&gt;"",$J925,"")</f>
        <v/>
      </c>
      <c r="BL925" s="52"/>
      <c r="BM925" s="52" t="str">
        <f aca="false">IF(OR(COUNT(B925:D1924)=0,AND('Choix pédagogiques'!$C$3&lt;&gt;1,'Choix pédagogiques'!$C$3&lt;&gt;2)),"",IF(AND(OR('Choix pédagogiques'!$C$3=1,'Choix pédagogiques'!$C$3=2),$B925&lt;&gt;"",$C925&lt;&gt;"",$D925&lt;&gt;""),1,0))</f>
        <v/>
      </c>
      <c r="BN925" s="52" t="str">
        <f aca="false">IF(OR(COUNT(G925:I1924)=0,AND('Choix pédagogiques'!$C$3&lt;&gt;1,'Choix pédagogiques'!$C$3&lt;&gt;2)),"",IF(AND(OR('Choix pédagogiques'!$C$3=1,'Choix pédagogiques'!$C$3=2),AND($G925&lt;&gt;"",$H925&lt;&gt;"",$I925&lt;&gt;"")),1,0))</f>
        <v/>
      </c>
      <c r="BO925" s="52" t="str">
        <f aca="false">IF(OR(COUNT(B925:D1924)=0,COUNT(G925:I1924)=0,'Choix pédagogiques'!C$3&lt;&gt;3),"",IF(AND('Choix pédagogiques'!$C$3=3,$B925&lt;&gt;"",$C925&lt;&gt;"",$D925&lt;&gt;"",$G925&lt;&gt;"",$H925&lt;&gt;"",$I925&lt;&gt;""),1,0))</f>
        <v/>
      </c>
      <c r="BR925" s="52" t="n">
        <v>57</v>
      </c>
      <c r="BS925" s="52" t="n">
        <v>1775</v>
      </c>
    </row>
    <row r="926" s="54" customFormat="true" ht="18" hidden="false" customHeight="true" outlineLevel="0" collapsed="false">
      <c r="A926" s="57" t="s">
        <v>1783</v>
      </c>
      <c r="B926" s="51"/>
      <c r="C926" s="51"/>
      <c r="D926" s="51"/>
      <c r="E926" s="51"/>
      <c r="F926" s="57" t="s">
        <v>1784</v>
      </c>
      <c r="G926" s="51"/>
      <c r="H926" s="51"/>
      <c r="I926" s="51"/>
      <c r="J926" s="51"/>
      <c r="K926" s="52" t="str">
        <f aca="false">IF($A926&lt;&gt;"",$A926,"")</f>
        <v>Apprenant 914</v>
      </c>
      <c r="L926" s="53" t="str">
        <f aca="false">IF(AND($B926&lt;&gt;"",$C926&lt;&gt;""),$C926-$B926,"")</f>
        <v/>
      </c>
      <c r="M926" s="53" t="str">
        <f aca="false">IF(AND($B926&lt;&gt;"",$D926&lt;&gt;""),$D926-$B926,"")</f>
        <v/>
      </c>
      <c r="N926" s="53" t="str">
        <f aca="false">IF(AND($C926&lt;&gt;"",$D926&lt;&gt;""),$D926-$C926,"")</f>
        <v/>
      </c>
      <c r="O926" s="53" t="str">
        <f aca="false">IF($E926&lt;&gt;"",$E926,"")</f>
        <v/>
      </c>
      <c r="P926" s="52" t="str">
        <f aca="false">IF($F926&lt;&gt;"",$F926,"")</f>
        <v>Apprenant 914 ou 914'</v>
      </c>
      <c r="Q926" s="53" t="str">
        <f aca="false">IF(AND($G926&lt;&gt;"",$H926&lt;&gt;""),$H926-$G926,"")</f>
        <v/>
      </c>
      <c r="R926" s="53" t="str">
        <f aca="false">IF(AND($G926&lt;&gt;"",$I926&lt;&gt;""),$I926-$G926,"")</f>
        <v/>
      </c>
      <c r="S926" s="53" t="str">
        <f aca="false">IF(AND($H926&lt;&gt;"",$I926&lt;&gt;""),$I926-$H926,"")</f>
        <v/>
      </c>
      <c r="T926" s="53" t="str">
        <f aca="false">IF($J926&lt;&gt;"",$J926,"")</f>
        <v/>
      </c>
      <c r="V926" s="52" t="str">
        <f aca="false">IF($A926&lt;&gt;"",$A926,"")</f>
        <v>Apprenant 914</v>
      </c>
      <c r="W926" s="53" t="str">
        <f aca="false">IF(AND(OR('Choix pédagogiques'!$C$3=1,'Choix pédagogiques'!$C$3=2),$BM926=1),B926,IF(AND('Choix pédagogiques'!$C$3=3,$BO926=1),B926,""))</f>
        <v/>
      </c>
      <c r="X926" s="53" t="str">
        <f aca="false">IF(AND(OR('Choix pédagogiques'!$C$3=1,'Choix pédagogiques'!$C$3=2),$BM926=1),C926,IF(AND('Choix pédagogiques'!$C$3=3,$BO926=1),C926,""))</f>
        <v/>
      </c>
      <c r="Y926" s="53" t="str">
        <f aca="false">IF(AND(OR('Choix pédagogiques'!$C$3=1,'Choix pédagogiques'!$C$3=2),$BM926=1),D926,IF(AND('Choix pédagogiques'!$C$3=3,$BO926=1),D926,""))</f>
        <v/>
      </c>
      <c r="Z926" s="53" t="str">
        <f aca="false">IF($E926&lt;&gt;"",$E926,"")</f>
        <v/>
      </c>
      <c r="AA926" s="52" t="str">
        <f aca="false">IF($F926&lt;&gt;"",$F926,"")</f>
        <v>Apprenant 914 ou 914'</v>
      </c>
      <c r="AB926" s="53" t="str">
        <f aca="false">IF(AND(OR('Choix pédagogiques'!$C$3=1,'Choix pédagogiques'!$C$3=2),$BN926=1),G926,IF(AND('Choix pédagogiques'!$C$3=3,$BO926=1),G926,""))</f>
        <v/>
      </c>
      <c r="AC926" s="53" t="str">
        <f aca="false">IF(AND(OR('Choix pédagogiques'!$C$3=1,'Choix pédagogiques'!$C$3=2),$BN926=1),H926,IF(AND('Choix pédagogiques'!$C$3=3,$BO926=1),H926,""))</f>
        <v/>
      </c>
      <c r="AD926" s="53" t="str">
        <f aca="false">IF(AND(OR('Choix pédagogiques'!$C$3=1,'Choix pédagogiques'!$C$3=2),$BN926=1),I926,IF(AND('Choix pédagogiques'!$C$3=3,$BO926=1),I926,""))</f>
        <v/>
      </c>
      <c r="AE926" s="53" t="str">
        <f aca="false">IF($J926&lt;&gt;"",$J926,"")</f>
        <v/>
      </c>
      <c r="AF926" s="52" t="str">
        <f aca="false">IF($A926&lt;&gt;"",$A926,"")</f>
        <v>Apprenant 914</v>
      </c>
      <c r="AG926" s="53" t="str">
        <f aca="false">IF(AND($W926&lt;&gt;"",$X926&lt;&gt;""),$X926-$W926,"")</f>
        <v/>
      </c>
      <c r="AH926" s="53" t="str">
        <f aca="false">IF(AND($W926&lt;&gt;"",$Y926&lt;&gt;""),$Y926-$W926,"")</f>
        <v/>
      </c>
      <c r="AI926" s="53" t="str">
        <f aca="false">IF(AND($X926&lt;&gt;"",$Y926&lt;&gt;""),$Y926-$X926,"")</f>
        <v/>
      </c>
      <c r="AJ926" s="53" t="str">
        <f aca="false">IF($E926&lt;&gt;"",$E926,"")</f>
        <v/>
      </c>
      <c r="AK926" s="52" t="str">
        <f aca="false">IF($F926&lt;&gt;"",$F926,"")</f>
        <v>Apprenant 914 ou 914'</v>
      </c>
      <c r="AL926" s="53" t="str">
        <f aca="false">IF(AND($AB926&lt;&gt;"",$AC926&lt;&gt;""),$AC926-$AB926,"")</f>
        <v/>
      </c>
      <c r="AM926" s="53" t="str">
        <f aca="false">IF(AND($AB926&lt;&gt;"",$AD926&lt;&gt;""),$AD926-$AB926,"")</f>
        <v/>
      </c>
      <c r="AN926" s="53" t="str">
        <f aca="false">IF(AND($AC926&lt;&gt;"",$AD926&lt;&gt;""),$AD926-$AC926,"")</f>
        <v/>
      </c>
      <c r="AO926" s="53" t="str">
        <f aca="false">IF($J926&lt;&gt;"",$J926,"")</f>
        <v/>
      </c>
      <c r="AQ926" s="52" t="str">
        <f aca="false">IF($A926&lt;&gt;"",$A926,"")</f>
        <v>Apprenant 914</v>
      </c>
      <c r="AR926" s="55" t="str">
        <f aca="false">IF(AND('Choix pédagogiques'!$C$4&lt;&gt;"?",'Choix pédagogiques'!$C$5&lt;&gt;"?",W926&lt;&gt;""),(W926-'Choix pédagogiques'!$C$4)/('Choix pédagogiques'!$C$5-'Choix pédagogiques'!$C$4),"")</f>
        <v/>
      </c>
      <c r="AS926" s="55" t="str">
        <f aca="false">IF(AND('Choix pédagogiques'!$C$4&lt;&gt;"?",'Choix pédagogiques'!$C$5&lt;&gt;"?",X926&lt;&gt;""),(X926-'Choix pédagogiques'!$C$4)/('Choix pédagogiques'!$C$5-'Choix pédagogiques'!$C$4),"")</f>
        <v/>
      </c>
      <c r="AT926" s="55" t="str">
        <f aca="false">IF(AND('Choix pédagogiques'!$C$4&lt;&gt;"?",'Choix pédagogiques'!$C$5&lt;&gt;"?",Y926&lt;&gt;""),(Y926-'Choix pédagogiques'!$C$4)/('Choix pédagogiques'!$C$5-'Choix pédagogiques'!$C$4),"")</f>
        <v/>
      </c>
      <c r="AU926" s="53" t="str">
        <f aca="false">IF($E926&lt;&gt;"",$E926,"")</f>
        <v/>
      </c>
      <c r="AV926" s="52" t="str">
        <f aca="false">IF($F926&lt;&gt;"",$F926,"")</f>
        <v>Apprenant 914 ou 914'</v>
      </c>
      <c r="AW926" s="55" t="str">
        <f aca="false">IF(AND('Choix pédagogiques'!$C$4&lt;&gt;"?",'Choix pédagogiques'!$C$5&lt;&gt;"?",AB926&lt;&gt;""),(AB926-'Choix pédagogiques'!$C$4)/('Choix pédagogiques'!$C$5-'Choix pédagogiques'!$C$4),"")</f>
        <v/>
      </c>
      <c r="AX926" s="55" t="str">
        <f aca="false">IF(AND('Choix pédagogiques'!$C$4&lt;&gt;"?",'Choix pédagogiques'!$C$5&lt;&gt;"?",AC926&lt;&gt;""),(AC926-'Choix pédagogiques'!$C$4)/('Choix pédagogiques'!$C$5-'Choix pédagogiques'!$C$4),"")</f>
        <v/>
      </c>
      <c r="AY926" s="55" t="str">
        <f aca="false">IF(AND('Choix pédagogiques'!$C$4&lt;&gt;"?",'Choix pédagogiques'!$C$5&lt;&gt;"?",AD926&lt;&gt;""),(AD926-'Choix pédagogiques'!$C$4)/('Choix pédagogiques'!$C$5-'Choix pédagogiques'!$C$4),"")</f>
        <v/>
      </c>
      <c r="AZ926" s="53" t="str">
        <f aca="false">IF($J926&lt;&gt;"",$J926,"")</f>
        <v/>
      </c>
      <c r="BA926" s="52" t="str">
        <f aca="false">IF($A926&lt;&gt;"",$A926,"")</f>
        <v>Apprenant 914</v>
      </c>
      <c r="BB926" s="55" t="str">
        <f aca="false">IF(AND($AR926&lt;&gt;"",$AS926&lt;&gt;""),$AS926-$AR926,"")</f>
        <v/>
      </c>
      <c r="BC926" s="55" t="str">
        <f aca="false">IF(AND($AR926&lt;&gt;"",$AT926&lt;&gt;""),$AT926-$AR926,"")</f>
        <v/>
      </c>
      <c r="BD926" s="55" t="str">
        <f aca="false">IF(AND($AS926&lt;&gt;"",$AT926&lt;&gt;""),$AT926-$AS926,"")</f>
        <v/>
      </c>
      <c r="BE926" s="53" t="str">
        <f aca="false">IF($E926&lt;&gt;"",$E926,"")</f>
        <v/>
      </c>
      <c r="BF926" s="52" t="str">
        <f aca="false">IF($F926&lt;&gt;"",$F926,"")</f>
        <v>Apprenant 914 ou 914'</v>
      </c>
      <c r="BG926" s="55" t="str">
        <f aca="false">IF(AND($AW926&lt;&gt;"",$AX926&lt;&gt;""),$AX926-$AW926,"")</f>
        <v/>
      </c>
      <c r="BH926" s="55" t="str">
        <f aca="false">IF(AND($AW926&lt;&gt;"",$AY926&lt;&gt;""),$AY926-$AW926,"")</f>
        <v/>
      </c>
      <c r="BI926" s="55" t="str">
        <f aca="false">IF(AND($AX926&lt;&gt;"",$AY926&lt;&gt;""),$AY926-$AX926,"")</f>
        <v/>
      </c>
      <c r="BJ926" s="53" t="str">
        <f aca="false">IF($J926&lt;&gt;"",$J926,"")</f>
        <v/>
      </c>
      <c r="BL926" s="52"/>
      <c r="BM926" s="52" t="str">
        <f aca="false">IF(OR(COUNT(B926:D1925)=0,AND('Choix pédagogiques'!$C$3&lt;&gt;1,'Choix pédagogiques'!$C$3&lt;&gt;2)),"",IF(AND(OR('Choix pédagogiques'!$C$3=1,'Choix pédagogiques'!$C$3=2),$B926&lt;&gt;"",$C926&lt;&gt;"",$D926&lt;&gt;""),1,0))</f>
        <v/>
      </c>
      <c r="BN926" s="52" t="str">
        <f aca="false">IF(OR(COUNT(G926:I1925)=0,AND('Choix pédagogiques'!$C$3&lt;&gt;1,'Choix pédagogiques'!$C$3&lt;&gt;2)),"",IF(AND(OR('Choix pédagogiques'!$C$3=1,'Choix pédagogiques'!$C$3=2),AND($G926&lt;&gt;"",$H926&lt;&gt;"",$I926&lt;&gt;"")),1,0))</f>
        <v/>
      </c>
      <c r="BO926" s="52" t="str">
        <f aca="false">IF(OR(COUNT(B926:D1925)=0,COUNT(G926:I1925)=0,'Choix pédagogiques'!C$3&lt;&gt;3),"",IF(AND('Choix pédagogiques'!$C$3=3,$B926&lt;&gt;"",$C926&lt;&gt;"",$D926&lt;&gt;"",$G926&lt;&gt;"",$H926&lt;&gt;"",$I926&lt;&gt;""),1,0))</f>
        <v/>
      </c>
      <c r="BR926" s="52" t="n">
        <v>379</v>
      </c>
      <c r="BS926" s="52" t="n">
        <v>1459</v>
      </c>
    </row>
    <row r="927" s="54" customFormat="true" ht="18" hidden="false" customHeight="true" outlineLevel="0" collapsed="false">
      <c r="A927" s="57" t="s">
        <v>1785</v>
      </c>
      <c r="B927" s="51"/>
      <c r="C927" s="51"/>
      <c r="D927" s="51"/>
      <c r="E927" s="51"/>
      <c r="F927" s="57" t="s">
        <v>1786</v>
      </c>
      <c r="G927" s="51"/>
      <c r="H927" s="51"/>
      <c r="I927" s="51"/>
      <c r="J927" s="51"/>
      <c r="K927" s="52" t="str">
        <f aca="false">IF($A927&lt;&gt;"",$A927,"")</f>
        <v>Apprenant 915</v>
      </c>
      <c r="L927" s="53" t="str">
        <f aca="false">IF(AND($B927&lt;&gt;"",$C927&lt;&gt;""),$C927-$B927,"")</f>
        <v/>
      </c>
      <c r="M927" s="53" t="str">
        <f aca="false">IF(AND($B927&lt;&gt;"",$D927&lt;&gt;""),$D927-$B927,"")</f>
        <v/>
      </c>
      <c r="N927" s="53" t="str">
        <f aca="false">IF(AND($C927&lt;&gt;"",$D927&lt;&gt;""),$D927-$C927,"")</f>
        <v/>
      </c>
      <c r="O927" s="53" t="str">
        <f aca="false">IF($E927&lt;&gt;"",$E927,"")</f>
        <v/>
      </c>
      <c r="P927" s="52" t="str">
        <f aca="false">IF($F927&lt;&gt;"",$F927,"")</f>
        <v>Apprenant 915 ou 915'</v>
      </c>
      <c r="Q927" s="53" t="str">
        <f aca="false">IF(AND($G927&lt;&gt;"",$H927&lt;&gt;""),$H927-$G927,"")</f>
        <v/>
      </c>
      <c r="R927" s="53" t="str">
        <f aca="false">IF(AND($G927&lt;&gt;"",$I927&lt;&gt;""),$I927-$G927,"")</f>
        <v/>
      </c>
      <c r="S927" s="53" t="str">
        <f aca="false">IF(AND($H927&lt;&gt;"",$I927&lt;&gt;""),$I927-$H927,"")</f>
        <v/>
      </c>
      <c r="T927" s="53" t="str">
        <f aca="false">IF($J927&lt;&gt;"",$J927,"")</f>
        <v/>
      </c>
      <c r="V927" s="52" t="str">
        <f aca="false">IF($A927&lt;&gt;"",$A927,"")</f>
        <v>Apprenant 915</v>
      </c>
      <c r="W927" s="53" t="str">
        <f aca="false">IF(AND(OR('Choix pédagogiques'!$C$3=1,'Choix pédagogiques'!$C$3=2),$BM927=1),B927,IF(AND('Choix pédagogiques'!$C$3=3,$BO927=1),B927,""))</f>
        <v/>
      </c>
      <c r="X927" s="53" t="str">
        <f aca="false">IF(AND(OR('Choix pédagogiques'!$C$3=1,'Choix pédagogiques'!$C$3=2),$BM927=1),C927,IF(AND('Choix pédagogiques'!$C$3=3,$BO927=1),C927,""))</f>
        <v/>
      </c>
      <c r="Y927" s="53" t="str">
        <f aca="false">IF(AND(OR('Choix pédagogiques'!$C$3=1,'Choix pédagogiques'!$C$3=2),$BM927=1),D927,IF(AND('Choix pédagogiques'!$C$3=3,$BO927=1),D927,""))</f>
        <v/>
      </c>
      <c r="Z927" s="53" t="str">
        <f aca="false">IF($E927&lt;&gt;"",$E927,"")</f>
        <v/>
      </c>
      <c r="AA927" s="52" t="str">
        <f aca="false">IF($F927&lt;&gt;"",$F927,"")</f>
        <v>Apprenant 915 ou 915'</v>
      </c>
      <c r="AB927" s="53" t="str">
        <f aca="false">IF(AND(OR('Choix pédagogiques'!$C$3=1,'Choix pédagogiques'!$C$3=2),$BN927=1),G927,IF(AND('Choix pédagogiques'!$C$3=3,$BO927=1),G927,""))</f>
        <v/>
      </c>
      <c r="AC927" s="53" t="str">
        <f aca="false">IF(AND(OR('Choix pédagogiques'!$C$3=1,'Choix pédagogiques'!$C$3=2),$BN927=1),H927,IF(AND('Choix pédagogiques'!$C$3=3,$BO927=1),H927,""))</f>
        <v/>
      </c>
      <c r="AD927" s="53" t="str">
        <f aca="false">IF(AND(OR('Choix pédagogiques'!$C$3=1,'Choix pédagogiques'!$C$3=2),$BN927=1),I927,IF(AND('Choix pédagogiques'!$C$3=3,$BO927=1),I927,""))</f>
        <v/>
      </c>
      <c r="AE927" s="53" t="str">
        <f aca="false">IF($J927&lt;&gt;"",$J927,"")</f>
        <v/>
      </c>
      <c r="AF927" s="52" t="str">
        <f aca="false">IF($A927&lt;&gt;"",$A927,"")</f>
        <v>Apprenant 915</v>
      </c>
      <c r="AG927" s="53" t="str">
        <f aca="false">IF(AND($W927&lt;&gt;"",$X927&lt;&gt;""),$X927-$W927,"")</f>
        <v/>
      </c>
      <c r="AH927" s="53" t="str">
        <f aca="false">IF(AND($W927&lt;&gt;"",$Y927&lt;&gt;""),$Y927-$W927,"")</f>
        <v/>
      </c>
      <c r="AI927" s="53" t="str">
        <f aca="false">IF(AND($X927&lt;&gt;"",$Y927&lt;&gt;""),$Y927-$X927,"")</f>
        <v/>
      </c>
      <c r="AJ927" s="53" t="str">
        <f aca="false">IF($E927&lt;&gt;"",$E927,"")</f>
        <v/>
      </c>
      <c r="AK927" s="52" t="str">
        <f aca="false">IF($F927&lt;&gt;"",$F927,"")</f>
        <v>Apprenant 915 ou 915'</v>
      </c>
      <c r="AL927" s="53" t="str">
        <f aca="false">IF(AND($AB927&lt;&gt;"",$AC927&lt;&gt;""),$AC927-$AB927,"")</f>
        <v/>
      </c>
      <c r="AM927" s="53" t="str">
        <f aca="false">IF(AND($AB927&lt;&gt;"",$AD927&lt;&gt;""),$AD927-$AB927,"")</f>
        <v/>
      </c>
      <c r="AN927" s="53" t="str">
        <f aca="false">IF(AND($AC927&lt;&gt;"",$AD927&lt;&gt;""),$AD927-$AC927,"")</f>
        <v/>
      </c>
      <c r="AO927" s="53" t="str">
        <f aca="false">IF($J927&lt;&gt;"",$J927,"")</f>
        <v/>
      </c>
      <c r="AQ927" s="52" t="str">
        <f aca="false">IF($A927&lt;&gt;"",$A927,"")</f>
        <v>Apprenant 915</v>
      </c>
      <c r="AR927" s="55" t="str">
        <f aca="false">IF(AND('Choix pédagogiques'!$C$4&lt;&gt;"?",'Choix pédagogiques'!$C$5&lt;&gt;"?",W927&lt;&gt;""),(W927-'Choix pédagogiques'!$C$4)/('Choix pédagogiques'!$C$5-'Choix pédagogiques'!$C$4),"")</f>
        <v/>
      </c>
      <c r="AS927" s="55" t="str">
        <f aca="false">IF(AND('Choix pédagogiques'!$C$4&lt;&gt;"?",'Choix pédagogiques'!$C$5&lt;&gt;"?",X927&lt;&gt;""),(X927-'Choix pédagogiques'!$C$4)/('Choix pédagogiques'!$C$5-'Choix pédagogiques'!$C$4),"")</f>
        <v/>
      </c>
      <c r="AT927" s="55" t="str">
        <f aca="false">IF(AND('Choix pédagogiques'!$C$4&lt;&gt;"?",'Choix pédagogiques'!$C$5&lt;&gt;"?",Y927&lt;&gt;""),(Y927-'Choix pédagogiques'!$C$4)/('Choix pédagogiques'!$C$5-'Choix pédagogiques'!$C$4),"")</f>
        <v/>
      </c>
      <c r="AU927" s="53" t="str">
        <f aca="false">IF($E927&lt;&gt;"",$E927,"")</f>
        <v/>
      </c>
      <c r="AV927" s="52" t="str">
        <f aca="false">IF($F927&lt;&gt;"",$F927,"")</f>
        <v>Apprenant 915 ou 915'</v>
      </c>
      <c r="AW927" s="55" t="str">
        <f aca="false">IF(AND('Choix pédagogiques'!$C$4&lt;&gt;"?",'Choix pédagogiques'!$C$5&lt;&gt;"?",AB927&lt;&gt;""),(AB927-'Choix pédagogiques'!$C$4)/('Choix pédagogiques'!$C$5-'Choix pédagogiques'!$C$4),"")</f>
        <v/>
      </c>
      <c r="AX927" s="55" t="str">
        <f aca="false">IF(AND('Choix pédagogiques'!$C$4&lt;&gt;"?",'Choix pédagogiques'!$C$5&lt;&gt;"?",AC927&lt;&gt;""),(AC927-'Choix pédagogiques'!$C$4)/('Choix pédagogiques'!$C$5-'Choix pédagogiques'!$C$4),"")</f>
        <v/>
      </c>
      <c r="AY927" s="55" t="str">
        <f aca="false">IF(AND('Choix pédagogiques'!$C$4&lt;&gt;"?",'Choix pédagogiques'!$C$5&lt;&gt;"?",AD927&lt;&gt;""),(AD927-'Choix pédagogiques'!$C$4)/('Choix pédagogiques'!$C$5-'Choix pédagogiques'!$C$4),"")</f>
        <v/>
      </c>
      <c r="AZ927" s="53" t="str">
        <f aca="false">IF($J927&lt;&gt;"",$J927,"")</f>
        <v/>
      </c>
      <c r="BA927" s="52" t="str">
        <f aca="false">IF($A927&lt;&gt;"",$A927,"")</f>
        <v>Apprenant 915</v>
      </c>
      <c r="BB927" s="55" t="str">
        <f aca="false">IF(AND($AR927&lt;&gt;"",$AS927&lt;&gt;""),$AS927-$AR927,"")</f>
        <v/>
      </c>
      <c r="BC927" s="55" t="str">
        <f aca="false">IF(AND($AR927&lt;&gt;"",$AT927&lt;&gt;""),$AT927-$AR927,"")</f>
        <v/>
      </c>
      <c r="BD927" s="55" t="str">
        <f aca="false">IF(AND($AS927&lt;&gt;"",$AT927&lt;&gt;""),$AT927-$AS927,"")</f>
        <v/>
      </c>
      <c r="BE927" s="53" t="str">
        <f aca="false">IF($E927&lt;&gt;"",$E927,"")</f>
        <v/>
      </c>
      <c r="BF927" s="52" t="str">
        <f aca="false">IF($F927&lt;&gt;"",$F927,"")</f>
        <v>Apprenant 915 ou 915'</v>
      </c>
      <c r="BG927" s="55" t="str">
        <f aca="false">IF(AND($AW927&lt;&gt;"",$AX927&lt;&gt;""),$AX927-$AW927,"")</f>
        <v/>
      </c>
      <c r="BH927" s="55" t="str">
        <f aca="false">IF(AND($AW927&lt;&gt;"",$AY927&lt;&gt;""),$AY927-$AW927,"")</f>
        <v/>
      </c>
      <c r="BI927" s="55" t="str">
        <f aca="false">IF(AND($AX927&lt;&gt;"",$AY927&lt;&gt;""),$AY927-$AX927,"")</f>
        <v/>
      </c>
      <c r="BJ927" s="53" t="str">
        <f aca="false">IF($J927&lt;&gt;"",$J927,"")</f>
        <v/>
      </c>
      <c r="BL927" s="52"/>
      <c r="BM927" s="52" t="str">
        <f aca="false">IF(OR(COUNT(B927:D1926)=0,AND('Choix pédagogiques'!$C$3&lt;&gt;1,'Choix pédagogiques'!$C$3&lt;&gt;2)),"",IF(AND(OR('Choix pédagogiques'!$C$3=1,'Choix pédagogiques'!$C$3=2),$B927&lt;&gt;"",$C927&lt;&gt;"",$D927&lt;&gt;""),1,0))</f>
        <v/>
      </c>
      <c r="BN927" s="52" t="str">
        <f aca="false">IF(OR(COUNT(G927:I1926)=0,AND('Choix pédagogiques'!$C$3&lt;&gt;1,'Choix pédagogiques'!$C$3&lt;&gt;2)),"",IF(AND(OR('Choix pédagogiques'!$C$3=1,'Choix pédagogiques'!$C$3=2),AND($G927&lt;&gt;"",$H927&lt;&gt;"",$I927&lt;&gt;"")),1,0))</f>
        <v/>
      </c>
      <c r="BO927" s="52" t="str">
        <f aca="false">IF(OR(COUNT(B927:D1926)=0,COUNT(G927:I1926)=0,'Choix pédagogiques'!C$3&lt;&gt;3),"",IF(AND('Choix pédagogiques'!$C$3=3,$B927&lt;&gt;"",$C927&lt;&gt;"",$D927&lt;&gt;"",$G927&lt;&gt;"",$H927&lt;&gt;"",$I927&lt;&gt;""),1,0))</f>
        <v/>
      </c>
      <c r="BR927" s="52" t="n">
        <v>103</v>
      </c>
      <c r="BS927" s="52" t="n">
        <v>1034</v>
      </c>
    </row>
    <row r="928" s="54" customFormat="true" ht="18" hidden="false" customHeight="true" outlineLevel="0" collapsed="false">
      <c r="A928" s="57" t="s">
        <v>1787</v>
      </c>
      <c r="B928" s="51"/>
      <c r="C928" s="51"/>
      <c r="D928" s="51"/>
      <c r="E928" s="51"/>
      <c r="F928" s="57" t="s">
        <v>1788</v>
      </c>
      <c r="G928" s="51"/>
      <c r="H928" s="51"/>
      <c r="I928" s="51"/>
      <c r="J928" s="51"/>
      <c r="K928" s="52" t="str">
        <f aca="false">IF($A928&lt;&gt;"",$A928,"")</f>
        <v>Apprenant 916</v>
      </c>
      <c r="L928" s="53" t="str">
        <f aca="false">IF(AND($B928&lt;&gt;"",$C928&lt;&gt;""),$C928-$B928,"")</f>
        <v/>
      </c>
      <c r="M928" s="53" t="str">
        <f aca="false">IF(AND($B928&lt;&gt;"",$D928&lt;&gt;""),$D928-$B928,"")</f>
        <v/>
      </c>
      <c r="N928" s="53" t="str">
        <f aca="false">IF(AND($C928&lt;&gt;"",$D928&lt;&gt;""),$D928-$C928,"")</f>
        <v/>
      </c>
      <c r="O928" s="53" t="str">
        <f aca="false">IF($E928&lt;&gt;"",$E928,"")</f>
        <v/>
      </c>
      <c r="P928" s="52" t="str">
        <f aca="false">IF($F928&lt;&gt;"",$F928,"")</f>
        <v>Apprenant 916 ou 916'</v>
      </c>
      <c r="Q928" s="53" t="str">
        <f aca="false">IF(AND($G928&lt;&gt;"",$H928&lt;&gt;""),$H928-$G928,"")</f>
        <v/>
      </c>
      <c r="R928" s="53" t="str">
        <f aca="false">IF(AND($G928&lt;&gt;"",$I928&lt;&gt;""),$I928-$G928,"")</f>
        <v/>
      </c>
      <c r="S928" s="53" t="str">
        <f aca="false">IF(AND($H928&lt;&gt;"",$I928&lt;&gt;""),$I928-$H928,"")</f>
        <v/>
      </c>
      <c r="T928" s="53" t="str">
        <f aca="false">IF($J928&lt;&gt;"",$J928,"")</f>
        <v/>
      </c>
      <c r="V928" s="52" t="str">
        <f aca="false">IF($A928&lt;&gt;"",$A928,"")</f>
        <v>Apprenant 916</v>
      </c>
      <c r="W928" s="53" t="str">
        <f aca="false">IF(AND(OR('Choix pédagogiques'!$C$3=1,'Choix pédagogiques'!$C$3=2),$BM928=1),B928,IF(AND('Choix pédagogiques'!$C$3=3,$BO928=1),B928,""))</f>
        <v/>
      </c>
      <c r="X928" s="53" t="str">
        <f aca="false">IF(AND(OR('Choix pédagogiques'!$C$3=1,'Choix pédagogiques'!$C$3=2),$BM928=1),C928,IF(AND('Choix pédagogiques'!$C$3=3,$BO928=1),C928,""))</f>
        <v/>
      </c>
      <c r="Y928" s="53" t="str">
        <f aca="false">IF(AND(OR('Choix pédagogiques'!$C$3=1,'Choix pédagogiques'!$C$3=2),$BM928=1),D928,IF(AND('Choix pédagogiques'!$C$3=3,$BO928=1),D928,""))</f>
        <v/>
      </c>
      <c r="Z928" s="53" t="str">
        <f aca="false">IF($E928&lt;&gt;"",$E928,"")</f>
        <v/>
      </c>
      <c r="AA928" s="52" t="str">
        <f aca="false">IF($F928&lt;&gt;"",$F928,"")</f>
        <v>Apprenant 916 ou 916'</v>
      </c>
      <c r="AB928" s="53" t="str">
        <f aca="false">IF(AND(OR('Choix pédagogiques'!$C$3=1,'Choix pédagogiques'!$C$3=2),$BN928=1),G928,IF(AND('Choix pédagogiques'!$C$3=3,$BO928=1),G928,""))</f>
        <v/>
      </c>
      <c r="AC928" s="53" t="str">
        <f aca="false">IF(AND(OR('Choix pédagogiques'!$C$3=1,'Choix pédagogiques'!$C$3=2),$BN928=1),H928,IF(AND('Choix pédagogiques'!$C$3=3,$BO928=1),H928,""))</f>
        <v/>
      </c>
      <c r="AD928" s="53" t="str">
        <f aca="false">IF(AND(OR('Choix pédagogiques'!$C$3=1,'Choix pédagogiques'!$C$3=2),$BN928=1),I928,IF(AND('Choix pédagogiques'!$C$3=3,$BO928=1),I928,""))</f>
        <v/>
      </c>
      <c r="AE928" s="53" t="str">
        <f aca="false">IF($J928&lt;&gt;"",$J928,"")</f>
        <v/>
      </c>
      <c r="AF928" s="52" t="str">
        <f aca="false">IF($A928&lt;&gt;"",$A928,"")</f>
        <v>Apprenant 916</v>
      </c>
      <c r="AG928" s="53" t="str">
        <f aca="false">IF(AND($W928&lt;&gt;"",$X928&lt;&gt;""),$X928-$W928,"")</f>
        <v/>
      </c>
      <c r="AH928" s="53" t="str">
        <f aca="false">IF(AND($W928&lt;&gt;"",$Y928&lt;&gt;""),$Y928-$W928,"")</f>
        <v/>
      </c>
      <c r="AI928" s="53" t="str">
        <f aca="false">IF(AND($X928&lt;&gt;"",$Y928&lt;&gt;""),$Y928-$X928,"")</f>
        <v/>
      </c>
      <c r="AJ928" s="53" t="str">
        <f aca="false">IF($E928&lt;&gt;"",$E928,"")</f>
        <v/>
      </c>
      <c r="AK928" s="52" t="str">
        <f aca="false">IF($F928&lt;&gt;"",$F928,"")</f>
        <v>Apprenant 916 ou 916'</v>
      </c>
      <c r="AL928" s="53" t="str">
        <f aca="false">IF(AND($AB928&lt;&gt;"",$AC928&lt;&gt;""),$AC928-$AB928,"")</f>
        <v/>
      </c>
      <c r="AM928" s="53" t="str">
        <f aca="false">IF(AND($AB928&lt;&gt;"",$AD928&lt;&gt;""),$AD928-$AB928,"")</f>
        <v/>
      </c>
      <c r="AN928" s="53" t="str">
        <f aca="false">IF(AND($AC928&lt;&gt;"",$AD928&lt;&gt;""),$AD928-$AC928,"")</f>
        <v/>
      </c>
      <c r="AO928" s="53" t="str">
        <f aca="false">IF($J928&lt;&gt;"",$J928,"")</f>
        <v/>
      </c>
      <c r="AQ928" s="52" t="str">
        <f aca="false">IF($A928&lt;&gt;"",$A928,"")</f>
        <v>Apprenant 916</v>
      </c>
      <c r="AR928" s="55" t="str">
        <f aca="false">IF(AND('Choix pédagogiques'!$C$4&lt;&gt;"?",'Choix pédagogiques'!$C$5&lt;&gt;"?",W928&lt;&gt;""),(W928-'Choix pédagogiques'!$C$4)/('Choix pédagogiques'!$C$5-'Choix pédagogiques'!$C$4),"")</f>
        <v/>
      </c>
      <c r="AS928" s="55" t="str">
        <f aca="false">IF(AND('Choix pédagogiques'!$C$4&lt;&gt;"?",'Choix pédagogiques'!$C$5&lt;&gt;"?",X928&lt;&gt;""),(X928-'Choix pédagogiques'!$C$4)/('Choix pédagogiques'!$C$5-'Choix pédagogiques'!$C$4),"")</f>
        <v/>
      </c>
      <c r="AT928" s="55" t="str">
        <f aca="false">IF(AND('Choix pédagogiques'!$C$4&lt;&gt;"?",'Choix pédagogiques'!$C$5&lt;&gt;"?",Y928&lt;&gt;""),(Y928-'Choix pédagogiques'!$C$4)/('Choix pédagogiques'!$C$5-'Choix pédagogiques'!$C$4),"")</f>
        <v/>
      </c>
      <c r="AU928" s="53" t="str">
        <f aca="false">IF($E928&lt;&gt;"",$E928,"")</f>
        <v/>
      </c>
      <c r="AV928" s="52" t="str">
        <f aca="false">IF($F928&lt;&gt;"",$F928,"")</f>
        <v>Apprenant 916 ou 916'</v>
      </c>
      <c r="AW928" s="55" t="str">
        <f aca="false">IF(AND('Choix pédagogiques'!$C$4&lt;&gt;"?",'Choix pédagogiques'!$C$5&lt;&gt;"?",AB928&lt;&gt;""),(AB928-'Choix pédagogiques'!$C$4)/('Choix pédagogiques'!$C$5-'Choix pédagogiques'!$C$4),"")</f>
        <v/>
      </c>
      <c r="AX928" s="55" t="str">
        <f aca="false">IF(AND('Choix pédagogiques'!$C$4&lt;&gt;"?",'Choix pédagogiques'!$C$5&lt;&gt;"?",AC928&lt;&gt;""),(AC928-'Choix pédagogiques'!$C$4)/('Choix pédagogiques'!$C$5-'Choix pédagogiques'!$C$4),"")</f>
        <v/>
      </c>
      <c r="AY928" s="55" t="str">
        <f aca="false">IF(AND('Choix pédagogiques'!$C$4&lt;&gt;"?",'Choix pédagogiques'!$C$5&lt;&gt;"?",AD928&lt;&gt;""),(AD928-'Choix pédagogiques'!$C$4)/('Choix pédagogiques'!$C$5-'Choix pédagogiques'!$C$4),"")</f>
        <v/>
      </c>
      <c r="AZ928" s="53" t="str">
        <f aca="false">IF($J928&lt;&gt;"",$J928,"")</f>
        <v/>
      </c>
      <c r="BA928" s="52" t="str">
        <f aca="false">IF($A928&lt;&gt;"",$A928,"")</f>
        <v>Apprenant 916</v>
      </c>
      <c r="BB928" s="55" t="str">
        <f aca="false">IF(AND($AR928&lt;&gt;"",$AS928&lt;&gt;""),$AS928-$AR928,"")</f>
        <v/>
      </c>
      <c r="BC928" s="55" t="str">
        <f aca="false">IF(AND($AR928&lt;&gt;"",$AT928&lt;&gt;""),$AT928-$AR928,"")</f>
        <v/>
      </c>
      <c r="BD928" s="55" t="str">
        <f aca="false">IF(AND($AS928&lt;&gt;"",$AT928&lt;&gt;""),$AT928-$AS928,"")</f>
        <v/>
      </c>
      <c r="BE928" s="53" t="str">
        <f aca="false">IF($E928&lt;&gt;"",$E928,"")</f>
        <v/>
      </c>
      <c r="BF928" s="52" t="str">
        <f aca="false">IF($F928&lt;&gt;"",$F928,"")</f>
        <v>Apprenant 916 ou 916'</v>
      </c>
      <c r="BG928" s="55" t="str">
        <f aca="false">IF(AND($AW928&lt;&gt;"",$AX928&lt;&gt;""),$AX928-$AW928,"")</f>
        <v/>
      </c>
      <c r="BH928" s="55" t="str">
        <f aca="false">IF(AND($AW928&lt;&gt;"",$AY928&lt;&gt;""),$AY928-$AW928,"")</f>
        <v/>
      </c>
      <c r="BI928" s="55" t="str">
        <f aca="false">IF(AND($AX928&lt;&gt;"",$AY928&lt;&gt;""),$AY928-$AX928,"")</f>
        <v/>
      </c>
      <c r="BJ928" s="53" t="str">
        <f aca="false">IF($J928&lt;&gt;"",$J928,"")</f>
        <v/>
      </c>
      <c r="BL928" s="52"/>
      <c r="BM928" s="52" t="str">
        <f aca="false">IF(OR(COUNT(B928:D1927)=0,AND('Choix pédagogiques'!$C$3&lt;&gt;1,'Choix pédagogiques'!$C$3&lt;&gt;2)),"",IF(AND(OR('Choix pédagogiques'!$C$3=1,'Choix pédagogiques'!$C$3=2),$B928&lt;&gt;"",$C928&lt;&gt;"",$D928&lt;&gt;""),1,0))</f>
        <v/>
      </c>
      <c r="BN928" s="52" t="str">
        <f aca="false">IF(OR(COUNT(G928:I1927)=0,AND('Choix pédagogiques'!$C$3&lt;&gt;1,'Choix pédagogiques'!$C$3&lt;&gt;2)),"",IF(AND(OR('Choix pédagogiques'!$C$3=1,'Choix pédagogiques'!$C$3=2),AND($G928&lt;&gt;"",$H928&lt;&gt;"",$I928&lt;&gt;"")),1,0))</f>
        <v/>
      </c>
      <c r="BO928" s="52" t="str">
        <f aca="false">IF(OR(COUNT(B928:D1927)=0,COUNT(G928:I1927)=0,'Choix pédagogiques'!C$3&lt;&gt;3),"",IF(AND('Choix pédagogiques'!$C$3=3,$B928&lt;&gt;"",$C928&lt;&gt;"",$D928&lt;&gt;"",$G928&lt;&gt;"",$H928&lt;&gt;"",$I928&lt;&gt;""),1,0))</f>
        <v/>
      </c>
      <c r="BR928" s="52" t="n">
        <v>829</v>
      </c>
      <c r="BS928" s="52" t="n">
        <v>1867</v>
      </c>
    </row>
    <row r="929" s="54" customFormat="true" ht="18" hidden="false" customHeight="true" outlineLevel="0" collapsed="false">
      <c r="A929" s="57" t="s">
        <v>1789</v>
      </c>
      <c r="B929" s="51"/>
      <c r="C929" s="51"/>
      <c r="D929" s="51"/>
      <c r="E929" s="51"/>
      <c r="F929" s="57" t="s">
        <v>1790</v>
      </c>
      <c r="G929" s="51"/>
      <c r="H929" s="51"/>
      <c r="I929" s="51"/>
      <c r="J929" s="51"/>
      <c r="K929" s="52" t="str">
        <f aca="false">IF($A929&lt;&gt;"",$A929,"")</f>
        <v>Apprenant 917</v>
      </c>
      <c r="L929" s="53" t="str">
        <f aca="false">IF(AND($B929&lt;&gt;"",$C929&lt;&gt;""),$C929-$B929,"")</f>
        <v/>
      </c>
      <c r="M929" s="53" t="str">
        <f aca="false">IF(AND($B929&lt;&gt;"",$D929&lt;&gt;""),$D929-$B929,"")</f>
        <v/>
      </c>
      <c r="N929" s="53" t="str">
        <f aca="false">IF(AND($C929&lt;&gt;"",$D929&lt;&gt;""),$D929-$C929,"")</f>
        <v/>
      </c>
      <c r="O929" s="53" t="str">
        <f aca="false">IF($E929&lt;&gt;"",$E929,"")</f>
        <v/>
      </c>
      <c r="P929" s="52" t="str">
        <f aca="false">IF($F929&lt;&gt;"",$F929,"")</f>
        <v>Apprenant 917 ou 917'</v>
      </c>
      <c r="Q929" s="53" t="str">
        <f aca="false">IF(AND($G929&lt;&gt;"",$H929&lt;&gt;""),$H929-$G929,"")</f>
        <v/>
      </c>
      <c r="R929" s="53" t="str">
        <f aca="false">IF(AND($G929&lt;&gt;"",$I929&lt;&gt;""),$I929-$G929,"")</f>
        <v/>
      </c>
      <c r="S929" s="53" t="str">
        <f aca="false">IF(AND($H929&lt;&gt;"",$I929&lt;&gt;""),$I929-$H929,"")</f>
        <v/>
      </c>
      <c r="T929" s="53" t="str">
        <f aca="false">IF($J929&lt;&gt;"",$J929,"")</f>
        <v/>
      </c>
      <c r="V929" s="52" t="str">
        <f aca="false">IF($A929&lt;&gt;"",$A929,"")</f>
        <v>Apprenant 917</v>
      </c>
      <c r="W929" s="53" t="str">
        <f aca="false">IF(AND(OR('Choix pédagogiques'!$C$3=1,'Choix pédagogiques'!$C$3=2),$BM929=1),B929,IF(AND('Choix pédagogiques'!$C$3=3,$BO929=1),B929,""))</f>
        <v/>
      </c>
      <c r="X929" s="53" t="str">
        <f aca="false">IF(AND(OR('Choix pédagogiques'!$C$3=1,'Choix pédagogiques'!$C$3=2),$BM929=1),C929,IF(AND('Choix pédagogiques'!$C$3=3,$BO929=1),C929,""))</f>
        <v/>
      </c>
      <c r="Y929" s="53" t="str">
        <f aca="false">IF(AND(OR('Choix pédagogiques'!$C$3=1,'Choix pédagogiques'!$C$3=2),$BM929=1),D929,IF(AND('Choix pédagogiques'!$C$3=3,$BO929=1),D929,""))</f>
        <v/>
      </c>
      <c r="Z929" s="53" t="str">
        <f aca="false">IF($E929&lt;&gt;"",$E929,"")</f>
        <v/>
      </c>
      <c r="AA929" s="52" t="str">
        <f aca="false">IF($F929&lt;&gt;"",$F929,"")</f>
        <v>Apprenant 917 ou 917'</v>
      </c>
      <c r="AB929" s="53" t="str">
        <f aca="false">IF(AND(OR('Choix pédagogiques'!$C$3=1,'Choix pédagogiques'!$C$3=2),$BN929=1),G929,IF(AND('Choix pédagogiques'!$C$3=3,$BO929=1),G929,""))</f>
        <v/>
      </c>
      <c r="AC929" s="53" t="str">
        <f aca="false">IF(AND(OR('Choix pédagogiques'!$C$3=1,'Choix pédagogiques'!$C$3=2),$BN929=1),H929,IF(AND('Choix pédagogiques'!$C$3=3,$BO929=1),H929,""))</f>
        <v/>
      </c>
      <c r="AD929" s="53" t="str">
        <f aca="false">IF(AND(OR('Choix pédagogiques'!$C$3=1,'Choix pédagogiques'!$C$3=2),$BN929=1),I929,IF(AND('Choix pédagogiques'!$C$3=3,$BO929=1),I929,""))</f>
        <v/>
      </c>
      <c r="AE929" s="53" t="str">
        <f aca="false">IF($J929&lt;&gt;"",$J929,"")</f>
        <v/>
      </c>
      <c r="AF929" s="52" t="str">
        <f aca="false">IF($A929&lt;&gt;"",$A929,"")</f>
        <v>Apprenant 917</v>
      </c>
      <c r="AG929" s="53" t="str">
        <f aca="false">IF(AND($W929&lt;&gt;"",$X929&lt;&gt;""),$X929-$W929,"")</f>
        <v/>
      </c>
      <c r="AH929" s="53" t="str">
        <f aca="false">IF(AND($W929&lt;&gt;"",$Y929&lt;&gt;""),$Y929-$W929,"")</f>
        <v/>
      </c>
      <c r="AI929" s="53" t="str">
        <f aca="false">IF(AND($X929&lt;&gt;"",$Y929&lt;&gt;""),$Y929-$X929,"")</f>
        <v/>
      </c>
      <c r="AJ929" s="53" t="str">
        <f aca="false">IF($E929&lt;&gt;"",$E929,"")</f>
        <v/>
      </c>
      <c r="AK929" s="52" t="str">
        <f aca="false">IF($F929&lt;&gt;"",$F929,"")</f>
        <v>Apprenant 917 ou 917'</v>
      </c>
      <c r="AL929" s="53" t="str">
        <f aca="false">IF(AND($AB929&lt;&gt;"",$AC929&lt;&gt;""),$AC929-$AB929,"")</f>
        <v/>
      </c>
      <c r="AM929" s="53" t="str">
        <f aca="false">IF(AND($AB929&lt;&gt;"",$AD929&lt;&gt;""),$AD929-$AB929,"")</f>
        <v/>
      </c>
      <c r="AN929" s="53" t="str">
        <f aca="false">IF(AND($AC929&lt;&gt;"",$AD929&lt;&gt;""),$AD929-$AC929,"")</f>
        <v/>
      </c>
      <c r="AO929" s="53" t="str">
        <f aca="false">IF($J929&lt;&gt;"",$J929,"")</f>
        <v/>
      </c>
      <c r="AQ929" s="52" t="str">
        <f aca="false">IF($A929&lt;&gt;"",$A929,"")</f>
        <v>Apprenant 917</v>
      </c>
      <c r="AR929" s="55" t="str">
        <f aca="false">IF(AND('Choix pédagogiques'!$C$4&lt;&gt;"?",'Choix pédagogiques'!$C$5&lt;&gt;"?",W929&lt;&gt;""),(W929-'Choix pédagogiques'!$C$4)/('Choix pédagogiques'!$C$5-'Choix pédagogiques'!$C$4),"")</f>
        <v/>
      </c>
      <c r="AS929" s="55" t="str">
        <f aca="false">IF(AND('Choix pédagogiques'!$C$4&lt;&gt;"?",'Choix pédagogiques'!$C$5&lt;&gt;"?",X929&lt;&gt;""),(X929-'Choix pédagogiques'!$C$4)/('Choix pédagogiques'!$C$5-'Choix pédagogiques'!$C$4),"")</f>
        <v/>
      </c>
      <c r="AT929" s="55" t="str">
        <f aca="false">IF(AND('Choix pédagogiques'!$C$4&lt;&gt;"?",'Choix pédagogiques'!$C$5&lt;&gt;"?",Y929&lt;&gt;""),(Y929-'Choix pédagogiques'!$C$4)/('Choix pédagogiques'!$C$5-'Choix pédagogiques'!$C$4),"")</f>
        <v/>
      </c>
      <c r="AU929" s="53" t="str">
        <f aca="false">IF($E929&lt;&gt;"",$E929,"")</f>
        <v/>
      </c>
      <c r="AV929" s="52" t="str">
        <f aca="false">IF($F929&lt;&gt;"",$F929,"")</f>
        <v>Apprenant 917 ou 917'</v>
      </c>
      <c r="AW929" s="55" t="str">
        <f aca="false">IF(AND('Choix pédagogiques'!$C$4&lt;&gt;"?",'Choix pédagogiques'!$C$5&lt;&gt;"?",AB929&lt;&gt;""),(AB929-'Choix pédagogiques'!$C$4)/('Choix pédagogiques'!$C$5-'Choix pédagogiques'!$C$4),"")</f>
        <v/>
      </c>
      <c r="AX929" s="55" t="str">
        <f aca="false">IF(AND('Choix pédagogiques'!$C$4&lt;&gt;"?",'Choix pédagogiques'!$C$5&lt;&gt;"?",AC929&lt;&gt;""),(AC929-'Choix pédagogiques'!$C$4)/('Choix pédagogiques'!$C$5-'Choix pédagogiques'!$C$4),"")</f>
        <v/>
      </c>
      <c r="AY929" s="55" t="str">
        <f aca="false">IF(AND('Choix pédagogiques'!$C$4&lt;&gt;"?",'Choix pédagogiques'!$C$5&lt;&gt;"?",AD929&lt;&gt;""),(AD929-'Choix pédagogiques'!$C$4)/('Choix pédagogiques'!$C$5-'Choix pédagogiques'!$C$4),"")</f>
        <v/>
      </c>
      <c r="AZ929" s="53" t="str">
        <f aca="false">IF($J929&lt;&gt;"",$J929,"")</f>
        <v/>
      </c>
      <c r="BA929" s="52" t="str">
        <f aca="false">IF($A929&lt;&gt;"",$A929,"")</f>
        <v>Apprenant 917</v>
      </c>
      <c r="BB929" s="55" t="str">
        <f aca="false">IF(AND($AR929&lt;&gt;"",$AS929&lt;&gt;""),$AS929-$AR929,"")</f>
        <v/>
      </c>
      <c r="BC929" s="55" t="str">
        <f aca="false">IF(AND($AR929&lt;&gt;"",$AT929&lt;&gt;""),$AT929-$AR929,"")</f>
        <v/>
      </c>
      <c r="BD929" s="55" t="str">
        <f aca="false">IF(AND($AS929&lt;&gt;"",$AT929&lt;&gt;""),$AT929-$AS929,"")</f>
        <v/>
      </c>
      <c r="BE929" s="53" t="str">
        <f aca="false">IF($E929&lt;&gt;"",$E929,"")</f>
        <v/>
      </c>
      <c r="BF929" s="52" t="str">
        <f aca="false">IF($F929&lt;&gt;"",$F929,"")</f>
        <v>Apprenant 917 ou 917'</v>
      </c>
      <c r="BG929" s="55" t="str">
        <f aca="false">IF(AND($AW929&lt;&gt;"",$AX929&lt;&gt;""),$AX929-$AW929,"")</f>
        <v/>
      </c>
      <c r="BH929" s="55" t="str">
        <f aca="false">IF(AND($AW929&lt;&gt;"",$AY929&lt;&gt;""),$AY929-$AW929,"")</f>
        <v/>
      </c>
      <c r="BI929" s="55" t="str">
        <f aca="false">IF(AND($AX929&lt;&gt;"",$AY929&lt;&gt;""),$AY929-$AX929,"")</f>
        <v/>
      </c>
      <c r="BJ929" s="53" t="str">
        <f aca="false">IF($J929&lt;&gt;"",$J929,"")</f>
        <v/>
      </c>
      <c r="BL929" s="52"/>
      <c r="BM929" s="52" t="str">
        <f aca="false">IF(OR(COUNT(B929:D1928)=0,AND('Choix pédagogiques'!$C$3&lt;&gt;1,'Choix pédagogiques'!$C$3&lt;&gt;2)),"",IF(AND(OR('Choix pédagogiques'!$C$3=1,'Choix pédagogiques'!$C$3=2),$B929&lt;&gt;"",$C929&lt;&gt;"",$D929&lt;&gt;""),1,0))</f>
        <v/>
      </c>
      <c r="BN929" s="52" t="str">
        <f aca="false">IF(OR(COUNT(G929:I1928)=0,AND('Choix pédagogiques'!$C$3&lt;&gt;1,'Choix pédagogiques'!$C$3&lt;&gt;2)),"",IF(AND(OR('Choix pédagogiques'!$C$3=1,'Choix pédagogiques'!$C$3=2),AND($G929&lt;&gt;"",$H929&lt;&gt;"",$I929&lt;&gt;"")),1,0))</f>
        <v/>
      </c>
      <c r="BO929" s="52" t="str">
        <f aca="false">IF(OR(COUNT(B929:D1928)=0,COUNT(G929:I1928)=0,'Choix pédagogiques'!C$3&lt;&gt;3),"",IF(AND('Choix pédagogiques'!$C$3=3,$B929&lt;&gt;"",$C929&lt;&gt;"",$D929&lt;&gt;"",$G929&lt;&gt;"",$H929&lt;&gt;"",$I929&lt;&gt;""),1,0))</f>
        <v/>
      </c>
      <c r="BR929" s="52" t="n">
        <v>440</v>
      </c>
      <c r="BS929" s="52" t="n">
        <v>1606</v>
      </c>
    </row>
    <row r="930" s="54" customFormat="true" ht="18" hidden="false" customHeight="true" outlineLevel="0" collapsed="false">
      <c r="A930" s="57" t="s">
        <v>1791</v>
      </c>
      <c r="B930" s="51"/>
      <c r="C930" s="51"/>
      <c r="D930" s="51"/>
      <c r="E930" s="51"/>
      <c r="F930" s="57" t="s">
        <v>1792</v>
      </c>
      <c r="G930" s="51"/>
      <c r="H930" s="51"/>
      <c r="I930" s="51"/>
      <c r="J930" s="51"/>
      <c r="K930" s="52" t="str">
        <f aca="false">IF($A930&lt;&gt;"",$A930,"")</f>
        <v>Apprenant 918</v>
      </c>
      <c r="L930" s="53" t="str">
        <f aca="false">IF(AND($B930&lt;&gt;"",$C930&lt;&gt;""),$C930-$B930,"")</f>
        <v/>
      </c>
      <c r="M930" s="53" t="str">
        <f aca="false">IF(AND($B930&lt;&gt;"",$D930&lt;&gt;""),$D930-$B930,"")</f>
        <v/>
      </c>
      <c r="N930" s="53" t="str">
        <f aca="false">IF(AND($C930&lt;&gt;"",$D930&lt;&gt;""),$D930-$C930,"")</f>
        <v/>
      </c>
      <c r="O930" s="53" t="str">
        <f aca="false">IF($E930&lt;&gt;"",$E930,"")</f>
        <v/>
      </c>
      <c r="P930" s="52" t="str">
        <f aca="false">IF($F930&lt;&gt;"",$F930,"")</f>
        <v>Apprenant 918 ou 918'</v>
      </c>
      <c r="Q930" s="53" t="str">
        <f aca="false">IF(AND($G930&lt;&gt;"",$H930&lt;&gt;""),$H930-$G930,"")</f>
        <v/>
      </c>
      <c r="R930" s="53" t="str">
        <f aca="false">IF(AND($G930&lt;&gt;"",$I930&lt;&gt;""),$I930-$G930,"")</f>
        <v/>
      </c>
      <c r="S930" s="53" t="str">
        <f aca="false">IF(AND($H930&lt;&gt;"",$I930&lt;&gt;""),$I930-$H930,"")</f>
        <v/>
      </c>
      <c r="T930" s="53" t="str">
        <f aca="false">IF($J930&lt;&gt;"",$J930,"")</f>
        <v/>
      </c>
      <c r="V930" s="52" t="str">
        <f aca="false">IF($A930&lt;&gt;"",$A930,"")</f>
        <v>Apprenant 918</v>
      </c>
      <c r="W930" s="53" t="str">
        <f aca="false">IF(AND(OR('Choix pédagogiques'!$C$3=1,'Choix pédagogiques'!$C$3=2),$BM930=1),B930,IF(AND('Choix pédagogiques'!$C$3=3,$BO930=1),B930,""))</f>
        <v/>
      </c>
      <c r="X930" s="53" t="str">
        <f aca="false">IF(AND(OR('Choix pédagogiques'!$C$3=1,'Choix pédagogiques'!$C$3=2),$BM930=1),C930,IF(AND('Choix pédagogiques'!$C$3=3,$BO930=1),C930,""))</f>
        <v/>
      </c>
      <c r="Y930" s="53" t="str">
        <f aca="false">IF(AND(OR('Choix pédagogiques'!$C$3=1,'Choix pédagogiques'!$C$3=2),$BM930=1),D930,IF(AND('Choix pédagogiques'!$C$3=3,$BO930=1),D930,""))</f>
        <v/>
      </c>
      <c r="Z930" s="53" t="str">
        <f aca="false">IF($E930&lt;&gt;"",$E930,"")</f>
        <v/>
      </c>
      <c r="AA930" s="52" t="str">
        <f aca="false">IF($F930&lt;&gt;"",$F930,"")</f>
        <v>Apprenant 918 ou 918'</v>
      </c>
      <c r="AB930" s="53" t="str">
        <f aca="false">IF(AND(OR('Choix pédagogiques'!$C$3=1,'Choix pédagogiques'!$C$3=2),$BN930=1),G930,IF(AND('Choix pédagogiques'!$C$3=3,$BO930=1),G930,""))</f>
        <v/>
      </c>
      <c r="AC930" s="53" t="str">
        <f aca="false">IF(AND(OR('Choix pédagogiques'!$C$3=1,'Choix pédagogiques'!$C$3=2),$BN930=1),H930,IF(AND('Choix pédagogiques'!$C$3=3,$BO930=1),H930,""))</f>
        <v/>
      </c>
      <c r="AD930" s="53" t="str">
        <f aca="false">IF(AND(OR('Choix pédagogiques'!$C$3=1,'Choix pédagogiques'!$C$3=2),$BN930=1),I930,IF(AND('Choix pédagogiques'!$C$3=3,$BO930=1),I930,""))</f>
        <v/>
      </c>
      <c r="AE930" s="53" t="str">
        <f aca="false">IF($J930&lt;&gt;"",$J930,"")</f>
        <v/>
      </c>
      <c r="AF930" s="52" t="str">
        <f aca="false">IF($A930&lt;&gt;"",$A930,"")</f>
        <v>Apprenant 918</v>
      </c>
      <c r="AG930" s="53" t="str">
        <f aca="false">IF(AND($W930&lt;&gt;"",$X930&lt;&gt;""),$X930-$W930,"")</f>
        <v/>
      </c>
      <c r="AH930" s="53" t="str">
        <f aca="false">IF(AND($W930&lt;&gt;"",$Y930&lt;&gt;""),$Y930-$W930,"")</f>
        <v/>
      </c>
      <c r="AI930" s="53" t="str">
        <f aca="false">IF(AND($X930&lt;&gt;"",$Y930&lt;&gt;""),$Y930-$X930,"")</f>
        <v/>
      </c>
      <c r="AJ930" s="53" t="str">
        <f aca="false">IF($E930&lt;&gt;"",$E930,"")</f>
        <v/>
      </c>
      <c r="AK930" s="52" t="str">
        <f aca="false">IF($F930&lt;&gt;"",$F930,"")</f>
        <v>Apprenant 918 ou 918'</v>
      </c>
      <c r="AL930" s="53" t="str">
        <f aca="false">IF(AND($AB930&lt;&gt;"",$AC930&lt;&gt;""),$AC930-$AB930,"")</f>
        <v/>
      </c>
      <c r="AM930" s="53" t="str">
        <f aca="false">IF(AND($AB930&lt;&gt;"",$AD930&lt;&gt;""),$AD930-$AB930,"")</f>
        <v/>
      </c>
      <c r="AN930" s="53" t="str">
        <f aca="false">IF(AND($AC930&lt;&gt;"",$AD930&lt;&gt;""),$AD930-$AC930,"")</f>
        <v/>
      </c>
      <c r="AO930" s="53" t="str">
        <f aca="false">IF($J930&lt;&gt;"",$J930,"")</f>
        <v/>
      </c>
      <c r="AQ930" s="52" t="str">
        <f aca="false">IF($A930&lt;&gt;"",$A930,"")</f>
        <v>Apprenant 918</v>
      </c>
      <c r="AR930" s="55" t="str">
        <f aca="false">IF(AND('Choix pédagogiques'!$C$4&lt;&gt;"?",'Choix pédagogiques'!$C$5&lt;&gt;"?",W930&lt;&gt;""),(W930-'Choix pédagogiques'!$C$4)/('Choix pédagogiques'!$C$5-'Choix pédagogiques'!$C$4),"")</f>
        <v/>
      </c>
      <c r="AS930" s="55" t="str">
        <f aca="false">IF(AND('Choix pédagogiques'!$C$4&lt;&gt;"?",'Choix pédagogiques'!$C$5&lt;&gt;"?",X930&lt;&gt;""),(X930-'Choix pédagogiques'!$C$4)/('Choix pédagogiques'!$C$5-'Choix pédagogiques'!$C$4),"")</f>
        <v/>
      </c>
      <c r="AT930" s="55" t="str">
        <f aca="false">IF(AND('Choix pédagogiques'!$C$4&lt;&gt;"?",'Choix pédagogiques'!$C$5&lt;&gt;"?",Y930&lt;&gt;""),(Y930-'Choix pédagogiques'!$C$4)/('Choix pédagogiques'!$C$5-'Choix pédagogiques'!$C$4),"")</f>
        <v/>
      </c>
      <c r="AU930" s="53" t="str">
        <f aca="false">IF($E930&lt;&gt;"",$E930,"")</f>
        <v/>
      </c>
      <c r="AV930" s="52" t="str">
        <f aca="false">IF($F930&lt;&gt;"",$F930,"")</f>
        <v>Apprenant 918 ou 918'</v>
      </c>
      <c r="AW930" s="55" t="str">
        <f aca="false">IF(AND('Choix pédagogiques'!$C$4&lt;&gt;"?",'Choix pédagogiques'!$C$5&lt;&gt;"?",AB930&lt;&gt;""),(AB930-'Choix pédagogiques'!$C$4)/('Choix pédagogiques'!$C$5-'Choix pédagogiques'!$C$4),"")</f>
        <v/>
      </c>
      <c r="AX930" s="55" t="str">
        <f aca="false">IF(AND('Choix pédagogiques'!$C$4&lt;&gt;"?",'Choix pédagogiques'!$C$5&lt;&gt;"?",AC930&lt;&gt;""),(AC930-'Choix pédagogiques'!$C$4)/('Choix pédagogiques'!$C$5-'Choix pédagogiques'!$C$4),"")</f>
        <v/>
      </c>
      <c r="AY930" s="55" t="str">
        <f aca="false">IF(AND('Choix pédagogiques'!$C$4&lt;&gt;"?",'Choix pédagogiques'!$C$5&lt;&gt;"?",AD930&lt;&gt;""),(AD930-'Choix pédagogiques'!$C$4)/('Choix pédagogiques'!$C$5-'Choix pédagogiques'!$C$4),"")</f>
        <v/>
      </c>
      <c r="AZ930" s="53" t="str">
        <f aca="false">IF($J930&lt;&gt;"",$J930,"")</f>
        <v/>
      </c>
      <c r="BA930" s="52" t="str">
        <f aca="false">IF($A930&lt;&gt;"",$A930,"")</f>
        <v>Apprenant 918</v>
      </c>
      <c r="BB930" s="55" t="str">
        <f aca="false">IF(AND($AR930&lt;&gt;"",$AS930&lt;&gt;""),$AS930-$AR930,"")</f>
        <v/>
      </c>
      <c r="BC930" s="55" t="str">
        <f aca="false">IF(AND($AR930&lt;&gt;"",$AT930&lt;&gt;""),$AT930-$AR930,"")</f>
        <v/>
      </c>
      <c r="BD930" s="55" t="str">
        <f aca="false">IF(AND($AS930&lt;&gt;"",$AT930&lt;&gt;""),$AT930-$AS930,"")</f>
        <v/>
      </c>
      <c r="BE930" s="53" t="str">
        <f aca="false">IF($E930&lt;&gt;"",$E930,"")</f>
        <v/>
      </c>
      <c r="BF930" s="52" t="str">
        <f aca="false">IF($F930&lt;&gt;"",$F930,"")</f>
        <v>Apprenant 918 ou 918'</v>
      </c>
      <c r="BG930" s="55" t="str">
        <f aca="false">IF(AND($AW930&lt;&gt;"",$AX930&lt;&gt;""),$AX930-$AW930,"")</f>
        <v/>
      </c>
      <c r="BH930" s="55" t="str">
        <f aca="false">IF(AND($AW930&lt;&gt;"",$AY930&lt;&gt;""),$AY930-$AW930,"")</f>
        <v/>
      </c>
      <c r="BI930" s="55" t="str">
        <f aca="false">IF(AND($AX930&lt;&gt;"",$AY930&lt;&gt;""),$AY930-$AX930,"")</f>
        <v/>
      </c>
      <c r="BJ930" s="53" t="str">
        <f aca="false">IF($J930&lt;&gt;"",$J930,"")</f>
        <v/>
      </c>
      <c r="BL930" s="52"/>
      <c r="BM930" s="52" t="str">
        <f aca="false">IF(OR(COUNT(B930:D1929)=0,AND('Choix pédagogiques'!$C$3&lt;&gt;1,'Choix pédagogiques'!$C$3&lt;&gt;2)),"",IF(AND(OR('Choix pédagogiques'!$C$3=1,'Choix pédagogiques'!$C$3=2),$B930&lt;&gt;"",$C930&lt;&gt;"",$D930&lt;&gt;""),1,0))</f>
        <v/>
      </c>
      <c r="BN930" s="52" t="str">
        <f aca="false">IF(OR(COUNT(G930:I1929)=0,AND('Choix pédagogiques'!$C$3&lt;&gt;1,'Choix pédagogiques'!$C$3&lt;&gt;2)),"",IF(AND(OR('Choix pédagogiques'!$C$3=1,'Choix pédagogiques'!$C$3=2),AND($G930&lt;&gt;"",$H930&lt;&gt;"",$I930&lt;&gt;"")),1,0))</f>
        <v/>
      </c>
      <c r="BO930" s="52" t="str">
        <f aca="false">IF(OR(COUNT(B930:D1929)=0,COUNT(G930:I1929)=0,'Choix pédagogiques'!C$3&lt;&gt;3),"",IF(AND('Choix pédagogiques'!$C$3=3,$B930&lt;&gt;"",$C930&lt;&gt;"",$D930&lt;&gt;"",$G930&lt;&gt;"",$H930&lt;&gt;"",$I930&lt;&gt;""),1,0))</f>
        <v/>
      </c>
      <c r="BR930" s="52" t="n">
        <v>173</v>
      </c>
      <c r="BS930" s="52" t="n">
        <v>1593</v>
      </c>
    </row>
    <row r="931" s="54" customFormat="true" ht="18" hidden="false" customHeight="true" outlineLevel="0" collapsed="false">
      <c r="A931" s="57" t="s">
        <v>1793</v>
      </c>
      <c r="B931" s="51"/>
      <c r="C931" s="51"/>
      <c r="D931" s="51"/>
      <c r="E931" s="51"/>
      <c r="F931" s="57" t="s">
        <v>1794</v>
      </c>
      <c r="G931" s="51"/>
      <c r="H931" s="51"/>
      <c r="I931" s="51"/>
      <c r="J931" s="51"/>
      <c r="K931" s="52" t="str">
        <f aca="false">IF($A931&lt;&gt;"",$A931,"")</f>
        <v>Apprenant 919</v>
      </c>
      <c r="L931" s="53" t="str">
        <f aca="false">IF(AND($B931&lt;&gt;"",$C931&lt;&gt;""),$C931-$B931,"")</f>
        <v/>
      </c>
      <c r="M931" s="53" t="str">
        <f aca="false">IF(AND($B931&lt;&gt;"",$D931&lt;&gt;""),$D931-$B931,"")</f>
        <v/>
      </c>
      <c r="N931" s="53" t="str">
        <f aca="false">IF(AND($C931&lt;&gt;"",$D931&lt;&gt;""),$D931-$C931,"")</f>
        <v/>
      </c>
      <c r="O931" s="53" t="str">
        <f aca="false">IF($E931&lt;&gt;"",$E931,"")</f>
        <v/>
      </c>
      <c r="P931" s="52" t="str">
        <f aca="false">IF($F931&lt;&gt;"",$F931,"")</f>
        <v>Apprenant 919 ou 919'</v>
      </c>
      <c r="Q931" s="53" t="str">
        <f aca="false">IF(AND($G931&lt;&gt;"",$H931&lt;&gt;""),$H931-$G931,"")</f>
        <v/>
      </c>
      <c r="R931" s="53" t="str">
        <f aca="false">IF(AND($G931&lt;&gt;"",$I931&lt;&gt;""),$I931-$G931,"")</f>
        <v/>
      </c>
      <c r="S931" s="53" t="str">
        <f aca="false">IF(AND($H931&lt;&gt;"",$I931&lt;&gt;""),$I931-$H931,"")</f>
        <v/>
      </c>
      <c r="T931" s="53" t="str">
        <f aca="false">IF($J931&lt;&gt;"",$J931,"")</f>
        <v/>
      </c>
      <c r="V931" s="52" t="str">
        <f aca="false">IF($A931&lt;&gt;"",$A931,"")</f>
        <v>Apprenant 919</v>
      </c>
      <c r="W931" s="53" t="str">
        <f aca="false">IF(AND(OR('Choix pédagogiques'!$C$3=1,'Choix pédagogiques'!$C$3=2),$BM931=1),B931,IF(AND('Choix pédagogiques'!$C$3=3,$BO931=1),B931,""))</f>
        <v/>
      </c>
      <c r="X931" s="53" t="str">
        <f aca="false">IF(AND(OR('Choix pédagogiques'!$C$3=1,'Choix pédagogiques'!$C$3=2),$BM931=1),C931,IF(AND('Choix pédagogiques'!$C$3=3,$BO931=1),C931,""))</f>
        <v/>
      </c>
      <c r="Y931" s="53" t="str">
        <f aca="false">IF(AND(OR('Choix pédagogiques'!$C$3=1,'Choix pédagogiques'!$C$3=2),$BM931=1),D931,IF(AND('Choix pédagogiques'!$C$3=3,$BO931=1),D931,""))</f>
        <v/>
      </c>
      <c r="Z931" s="53" t="str">
        <f aca="false">IF($E931&lt;&gt;"",$E931,"")</f>
        <v/>
      </c>
      <c r="AA931" s="52" t="str">
        <f aca="false">IF($F931&lt;&gt;"",$F931,"")</f>
        <v>Apprenant 919 ou 919'</v>
      </c>
      <c r="AB931" s="53" t="str">
        <f aca="false">IF(AND(OR('Choix pédagogiques'!$C$3=1,'Choix pédagogiques'!$C$3=2),$BN931=1),G931,IF(AND('Choix pédagogiques'!$C$3=3,$BO931=1),G931,""))</f>
        <v/>
      </c>
      <c r="AC931" s="53" t="str">
        <f aca="false">IF(AND(OR('Choix pédagogiques'!$C$3=1,'Choix pédagogiques'!$C$3=2),$BN931=1),H931,IF(AND('Choix pédagogiques'!$C$3=3,$BO931=1),H931,""))</f>
        <v/>
      </c>
      <c r="AD931" s="53" t="str">
        <f aca="false">IF(AND(OR('Choix pédagogiques'!$C$3=1,'Choix pédagogiques'!$C$3=2),$BN931=1),I931,IF(AND('Choix pédagogiques'!$C$3=3,$BO931=1),I931,""))</f>
        <v/>
      </c>
      <c r="AE931" s="53" t="str">
        <f aca="false">IF($J931&lt;&gt;"",$J931,"")</f>
        <v/>
      </c>
      <c r="AF931" s="52" t="str">
        <f aca="false">IF($A931&lt;&gt;"",$A931,"")</f>
        <v>Apprenant 919</v>
      </c>
      <c r="AG931" s="53" t="str">
        <f aca="false">IF(AND($W931&lt;&gt;"",$X931&lt;&gt;""),$X931-$W931,"")</f>
        <v/>
      </c>
      <c r="AH931" s="53" t="str">
        <f aca="false">IF(AND($W931&lt;&gt;"",$Y931&lt;&gt;""),$Y931-$W931,"")</f>
        <v/>
      </c>
      <c r="AI931" s="53" t="str">
        <f aca="false">IF(AND($X931&lt;&gt;"",$Y931&lt;&gt;""),$Y931-$X931,"")</f>
        <v/>
      </c>
      <c r="AJ931" s="53" t="str">
        <f aca="false">IF($E931&lt;&gt;"",$E931,"")</f>
        <v/>
      </c>
      <c r="AK931" s="52" t="str">
        <f aca="false">IF($F931&lt;&gt;"",$F931,"")</f>
        <v>Apprenant 919 ou 919'</v>
      </c>
      <c r="AL931" s="53" t="str">
        <f aca="false">IF(AND($AB931&lt;&gt;"",$AC931&lt;&gt;""),$AC931-$AB931,"")</f>
        <v/>
      </c>
      <c r="AM931" s="53" t="str">
        <f aca="false">IF(AND($AB931&lt;&gt;"",$AD931&lt;&gt;""),$AD931-$AB931,"")</f>
        <v/>
      </c>
      <c r="AN931" s="53" t="str">
        <f aca="false">IF(AND($AC931&lt;&gt;"",$AD931&lt;&gt;""),$AD931-$AC931,"")</f>
        <v/>
      </c>
      <c r="AO931" s="53" t="str">
        <f aca="false">IF($J931&lt;&gt;"",$J931,"")</f>
        <v/>
      </c>
      <c r="AQ931" s="52" t="str">
        <f aca="false">IF($A931&lt;&gt;"",$A931,"")</f>
        <v>Apprenant 919</v>
      </c>
      <c r="AR931" s="55" t="str">
        <f aca="false">IF(AND('Choix pédagogiques'!$C$4&lt;&gt;"?",'Choix pédagogiques'!$C$5&lt;&gt;"?",W931&lt;&gt;""),(W931-'Choix pédagogiques'!$C$4)/('Choix pédagogiques'!$C$5-'Choix pédagogiques'!$C$4),"")</f>
        <v/>
      </c>
      <c r="AS931" s="55" t="str">
        <f aca="false">IF(AND('Choix pédagogiques'!$C$4&lt;&gt;"?",'Choix pédagogiques'!$C$5&lt;&gt;"?",X931&lt;&gt;""),(X931-'Choix pédagogiques'!$C$4)/('Choix pédagogiques'!$C$5-'Choix pédagogiques'!$C$4),"")</f>
        <v/>
      </c>
      <c r="AT931" s="55" t="str">
        <f aca="false">IF(AND('Choix pédagogiques'!$C$4&lt;&gt;"?",'Choix pédagogiques'!$C$5&lt;&gt;"?",Y931&lt;&gt;""),(Y931-'Choix pédagogiques'!$C$4)/('Choix pédagogiques'!$C$5-'Choix pédagogiques'!$C$4),"")</f>
        <v/>
      </c>
      <c r="AU931" s="53" t="str">
        <f aca="false">IF($E931&lt;&gt;"",$E931,"")</f>
        <v/>
      </c>
      <c r="AV931" s="52" t="str">
        <f aca="false">IF($F931&lt;&gt;"",$F931,"")</f>
        <v>Apprenant 919 ou 919'</v>
      </c>
      <c r="AW931" s="55" t="str">
        <f aca="false">IF(AND('Choix pédagogiques'!$C$4&lt;&gt;"?",'Choix pédagogiques'!$C$5&lt;&gt;"?",AB931&lt;&gt;""),(AB931-'Choix pédagogiques'!$C$4)/('Choix pédagogiques'!$C$5-'Choix pédagogiques'!$C$4),"")</f>
        <v/>
      </c>
      <c r="AX931" s="55" t="str">
        <f aca="false">IF(AND('Choix pédagogiques'!$C$4&lt;&gt;"?",'Choix pédagogiques'!$C$5&lt;&gt;"?",AC931&lt;&gt;""),(AC931-'Choix pédagogiques'!$C$4)/('Choix pédagogiques'!$C$5-'Choix pédagogiques'!$C$4),"")</f>
        <v/>
      </c>
      <c r="AY931" s="55" t="str">
        <f aca="false">IF(AND('Choix pédagogiques'!$C$4&lt;&gt;"?",'Choix pédagogiques'!$C$5&lt;&gt;"?",AD931&lt;&gt;""),(AD931-'Choix pédagogiques'!$C$4)/('Choix pédagogiques'!$C$5-'Choix pédagogiques'!$C$4),"")</f>
        <v/>
      </c>
      <c r="AZ931" s="53" t="str">
        <f aca="false">IF($J931&lt;&gt;"",$J931,"")</f>
        <v/>
      </c>
      <c r="BA931" s="52" t="str">
        <f aca="false">IF($A931&lt;&gt;"",$A931,"")</f>
        <v>Apprenant 919</v>
      </c>
      <c r="BB931" s="55" t="str">
        <f aca="false">IF(AND($AR931&lt;&gt;"",$AS931&lt;&gt;""),$AS931-$AR931,"")</f>
        <v/>
      </c>
      <c r="BC931" s="55" t="str">
        <f aca="false">IF(AND($AR931&lt;&gt;"",$AT931&lt;&gt;""),$AT931-$AR931,"")</f>
        <v/>
      </c>
      <c r="BD931" s="55" t="str">
        <f aca="false">IF(AND($AS931&lt;&gt;"",$AT931&lt;&gt;""),$AT931-$AS931,"")</f>
        <v/>
      </c>
      <c r="BE931" s="53" t="str">
        <f aca="false">IF($E931&lt;&gt;"",$E931,"")</f>
        <v/>
      </c>
      <c r="BF931" s="52" t="str">
        <f aca="false">IF($F931&lt;&gt;"",$F931,"")</f>
        <v>Apprenant 919 ou 919'</v>
      </c>
      <c r="BG931" s="55" t="str">
        <f aca="false">IF(AND($AW931&lt;&gt;"",$AX931&lt;&gt;""),$AX931-$AW931,"")</f>
        <v/>
      </c>
      <c r="BH931" s="55" t="str">
        <f aca="false">IF(AND($AW931&lt;&gt;"",$AY931&lt;&gt;""),$AY931-$AW931,"")</f>
        <v/>
      </c>
      <c r="BI931" s="55" t="str">
        <f aca="false">IF(AND($AX931&lt;&gt;"",$AY931&lt;&gt;""),$AY931-$AX931,"")</f>
        <v/>
      </c>
      <c r="BJ931" s="53" t="str">
        <f aca="false">IF($J931&lt;&gt;"",$J931,"")</f>
        <v/>
      </c>
      <c r="BL931" s="52"/>
      <c r="BM931" s="52" t="str">
        <f aca="false">IF(OR(COUNT(B931:D1930)=0,AND('Choix pédagogiques'!$C$3&lt;&gt;1,'Choix pédagogiques'!$C$3&lt;&gt;2)),"",IF(AND(OR('Choix pédagogiques'!$C$3=1,'Choix pédagogiques'!$C$3=2),$B931&lt;&gt;"",$C931&lt;&gt;"",$D931&lt;&gt;""),1,0))</f>
        <v/>
      </c>
      <c r="BN931" s="52" t="str">
        <f aca="false">IF(OR(COUNT(G931:I1930)=0,AND('Choix pédagogiques'!$C$3&lt;&gt;1,'Choix pédagogiques'!$C$3&lt;&gt;2)),"",IF(AND(OR('Choix pédagogiques'!$C$3=1,'Choix pédagogiques'!$C$3=2),AND($G931&lt;&gt;"",$H931&lt;&gt;"",$I931&lt;&gt;"")),1,0))</f>
        <v/>
      </c>
      <c r="BO931" s="52" t="str">
        <f aca="false">IF(OR(COUNT(B931:D1930)=0,COUNT(G931:I1930)=0,'Choix pédagogiques'!C$3&lt;&gt;3),"",IF(AND('Choix pédagogiques'!$C$3=3,$B931&lt;&gt;"",$C931&lt;&gt;"",$D931&lt;&gt;"",$G931&lt;&gt;"",$H931&lt;&gt;"",$I931&lt;&gt;""),1,0))</f>
        <v/>
      </c>
      <c r="BR931" s="52" t="n">
        <v>896</v>
      </c>
      <c r="BS931" s="52" t="n">
        <v>1040</v>
      </c>
    </row>
    <row r="932" s="54" customFormat="true" ht="18" hidden="false" customHeight="true" outlineLevel="0" collapsed="false">
      <c r="A932" s="57" t="s">
        <v>1795</v>
      </c>
      <c r="B932" s="51"/>
      <c r="C932" s="51"/>
      <c r="D932" s="51"/>
      <c r="E932" s="51"/>
      <c r="F932" s="57" t="s">
        <v>1796</v>
      </c>
      <c r="G932" s="51"/>
      <c r="H932" s="51"/>
      <c r="I932" s="51"/>
      <c r="J932" s="51"/>
      <c r="K932" s="52" t="str">
        <f aca="false">IF($A932&lt;&gt;"",$A932,"")</f>
        <v>Apprenant 920</v>
      </c>
      <c r="L932" s="53" t="str">
        <f aca="false">IF(AND($B932&lt;&gt;"",$C932&lt;&gt;""),$C932-$B932,"")</f>
        <v/>
      </c>
      <c r="M932" s="53" t="str">
        <f aca="false">IF(AND($B932&lt;&gt;"",$D932&lt;&gt;""),$D932-$B932,"")</f>
        <v/>
      </c>
      <c r="N932" s="53" t="str">
        <f aca="false">IF(AND($C932&lt;&gt;"",$D932&lt;&gt;""),$D932-$C932,"")</f>
        <v/>
      </c>
      <c r="O932" s="53" t="str">
        <f aca="false">IF($E932&lt;&gt;"",$E932,"")</f>
        <v/>
      </c>
      <c r="P932" s="52" t="str">
        <f aca="false">IF($F932&lt;&gt;"",$F932,"")</f>
        <v>Apprenant 920 ou 920'</v>
      </c>
      <c r="Q932" s="53" t="str">
        <f aca="false">IF(AND($G932&lt;&gt;"",$H932&lt;&gt;""),$H932-$G932,"")</f>
        <v/>
      </c>
      <c r="R932" s="53" t="str">
        <f aca="false">IF(AND($G932&lt;&gt;"",$I932&lt;&gt;""),$I932-$G932,"")</f>
        <v/>
      </c>
      <c r="S932" s="53" t="str">
        <f aca="false">IF(AND($H932&lt;&gt;"",$I932&lt;&gt;""),$I932-$H932,"")</f>
        <v/>
      </c>
      <c r="T932" s="53" t="str">
        <f aca="false">IF($J932&lt;&gt;"",$J932,"")</f>
        <v/>
      </c>
      <c r="V932" s="52" t="str">
        <f aca="false">IF($A932&lt;&gt;"",$A932,"")</f>
        <v>Apprenant 920</v>
      </c>
      <c r="W932" s="53" t="str">
        <f aca="false">IF(AND(OR('Choix pédagogiques'!$C$3=1,'Choix pédagogiques'!$C$3=2),$BM932=1),B932,IF(AND('Choix pédagogiques'!$C$3=3,$BO932=1),B932,""))</f>
        <v/>
      </c>
      <c r="X932" s="53" t="str">
        <f aca="false">IF(AND(OR('Choix pédagogiques'!$C$3=1,'Choix pédagogiques'!$C$3=2),$BM932=1),C932,IF(AND('Choix pédagogiques'!$C$3=3,$BO932=1),C932,""))</f>
        <v/>
      </c>
      <c r="Y932" s="53" t="str">
        <f aca="false">IF(AND(OR('Choix pédagogiques'!$C$3=1,'Choix pédagogiques'!$C$3=2),$BM932=1),D932,IF(AND('Choix pédagogiques'!$C$3=3,$BO932=1),D932,""))</f>
        <v/>
      </c>
      <c r="Z932" s="53" t="str">
        <f aca="false">IF($E932&lt;&gt;"",$E932,"")</f>
        <v/>
      </c>
      <c r="AA932" s="52" t="str">
        <f aca="false">IF($F932&lt;&gt;"",$F932,"")</f>
        <v>Apprenant 920 ou 920'</v>
      </c>
      <c r="AB932" s="53" t="str">
        <f aca="false">IF(AND(OR('Choix pédagogiques'!$C$3=1,'Choix pédagogiques'!$C$3=2),$BN932=1),G932,IF(AND('Choix pédagogiques'!$C$3=3,$BO932=1),G932,""))</f>
        <v/>
      </c>
      <c r="AC932" s="53" t="str">
        <f aca="false">IF(AND(OR('Choix pédagogiques'!$C$3=1,'Choix pédagogiques'!$C$3=2),$BN932=1),H932,IF(AND('Choix pédagogiques'!$C$3=3,$BO932=1),H932,""))</f>
        <v/>
      </c>
      <c r="AD932" s="53" t="str">
        <f aca="false">IF(AND(OR('Choix pédagogiques'!$C$3=1,'Choix pédagogiques'!$C$3=2),$BN932=1),I932,IF(AND('Choix pédagogiques'!$C$3=3,$BO932=1),I932,""))</f>
        <v/>
      </c>
      <c r="AE932" s="53" t="str">
        <f aca="false">IF($J932&lt;&gt;"",$J932,"")</f>
        <v/>
      </c>
      <c r="AF932" s="52" t="str">
        <f aca="false">IF($A932&lt;&gt;"",$A932,"")</f>
        <v>Apprenant 920</v>
      </c>
      <c r="AG932" s="53" t="str">
        <f aca="false">IF(AND($W932&lt;&gt;"",$X932&lt;&gt;""),$X932-$W932,"")</f>
        <v/>
      </c>
      <c r="AH932" s="53" t="str">
        <f aca="false">IF(AND($W932&lt;&gt;"",$Y932&lt;&gt;""),$Y932-$W932,"")</f>
        <v/>
      </c>
      <c r="AI932" s="53" t="str">
        <f aca="false">IF(AND($X932&lt;&gt;"",$Y932&lt;&gt;""),$Y932-$X932,"")</f>
        <v/>
      </c>
      <c r="AJ932" s="53" t="str">
        <f aca="false">IF($E932&lt;&gt;"",$E932,"")</f>
        <v/>
      </c>
      <c r="AK932" s="52" t="str">
        <f aca="false">IF($F932&lt;&gt;"",$F932,"")</f>
        <v>Apprenant 920 ou 920'</v>
      </c>
      <c r="AL932" s="53" t="str">
        <f aca="false">IF(AND($AB932&lt;&gt;"",$AC932&lt;&gt;""),$AC932-$AB932,"")</f>
        <v/>
      </c>
      <c r="AM932" s="53" t="str">
        <f aca="false">IF(AND($AB932&lt;&gt;"",$AD932&lt;&gt;""),$AD932-$AB932,"")</f>
        <v/>
      </c>
      <c r="AN932" s="53" t="str">
        <f aca="false">IF(AND($AC932&lt;&gt;"",$AD932&lt;&gt;""),$AD932-$AC932,"")</f>
        <v/>
      </c>
      <c r="AO932" s="53" t="str">
        <f aca="false">IF($J932&lt;&gt;"",$J932,"")</f>
        <v/>
      </c>
      <c r="AQ932" s="52" t="str">
        <f aca="false">IF($A932&lt;&gt;"",$A932,"")</f>
        <v>Apprenant 920</v>
      </c>
      <c r="AR932" s="55" t="str">
        <f aca="false">IF(AND('Choix pédagogiques'!$C$4&lt;&gt;"?",'Choix pédagogiques'!$C$5&lt;&gt;"?",W932&lt;&gt;""),(W932-'Choix pédagogiques'!$C$4)/('Choix pédagogiques'!$C$5-'Choix pédagogiques'!$C$4),"")</f>
        <v/>
      </c>
      <c r="AS932" s="55" t="str">
        <f aca="false">IF(AND('Choix pédagogiques'!$C$4&lt;&gt;"?",'Choix pédagogiques'!$C$5&lt;&gt;"?",X932&lt;&gt;""),(X932-'Choix pédagogiques'!$C$4)/('Choix pédagogiques'!$C$5-'Choix pédagogiques'!$C$4),"")</f>
        <v/>
      </c>
      <c r="AT932" s="55" t="str">
        <f aca="false">IF(AND('Choix pédagogiques'!$C$4&lt;&gt;"?",'Choix pédagogiques'!$C$5&lt;&gt;"?",Y932&lt;&gt;""),(Y932-'Choix pédagogiques'!$C$4)/('Choix pédagogiques'!$C$5-'Choix pédagogiques'!$C$4),"")</f>
        <v/>
      </c>
      <c r="AU932" s="53" t="str">
        <f aca="false">IF($E932&lt;&gt;"",$E932,"")</f>
        <v/>
      </c>
      <c r="AV932" s="52" t="str">
        <f aca="false">IF($F932&lt;&gt;"",$F932,"")</f>
        <v>Apprenant 920 ou 920'</v>
      </c>
      <c r="AW932" s="55" t="str">
        <f aca="false">IF(AND('Choix pédagogiques'!$C$4&lt;&gt;"?",'Choix pédagogiques'!$C$5&lt;&gt;"?",AB932&lt;&gt;""),(AB932-'Choix pédagogiques'!$C$4)/('Choix pédagogiques'!$C$5-'Choix pédagogiques'!$C$4),"")</f>
        <v/>
      </c>
      <c r="AX932" s="55" t="str">
        <f aca="false">IF(AND('Choix pédagogiques'!$C$4&lt;&gt;"?",'Choix pédagogiques'!$C$5&lt;&gt;"?",AC932&lt;&gt;""),(AC932-'Choix pédagogiques'!$C$4)/('Choix pédagogiques'!$C$5-'Choix pédagogiques'!$C$4),"")</f>
        <v/>
      </c>
      <c r="AY932" s="55" t="str">
        <f aca="false">IF(AND('Choix pédagogiques'!$C$4&lt;&gt;"?",'Choix pédagogiques'!$C$5&lt;&gt;"?",AD932&lt;&gt;""),(AD932-'Choix pédagogiques'!$C$4)/('Choix pédagogiques'!$C$5-'Choix pédagogiques'!$C$4),"")</f>
        <v/>
      </c>
      <c r="AZ932" s="53" t="str">
        <f aca="false">IF($J932&lt;&gt;"",$J932,"")</f>
        <v/>
      </c>
      <c r="BA932" s="52" t="str">
        <f aca="false">IF($A932&lt;&gt;"",$A932,"")</f>
        <v>Apprenant 920</v>
      </c>
      <c r="BB932" s="55" t="str">
        <f aca="false">IF(AND($AR932&lt;&gt;"",$AS932&lt;&gt;""),$AS932-$AR932,"")</f>
        <v/>
      </c>
      <c r="BC932" s="55" t="str">
        <f aca="false">IF(AND($AR932&lt;&gt;"",$AT932&lt;&gt;""),$AT932-$AR932,"")</f>
        <v/>
      </c>
      <c r="BD932" s="55" t="str">
        <f aca="false">IF(AND($AS932&lt;&gt;"",$AT932&lt;&gt;""),$AT932-$AS932,"")</f>
        <v/>
      </c>
      <c r="BE932" s="53" t="str">
        <f aca="false">IF($E932&lt;&gt;"",$E932,"")</f>
        <v/>
      </c>
      <c r="BF932" s="52" t="str">
        <f aca="false">IF($F932&lt;&gt;"",$F932,"")</f>
        <v>Apprenant 920 ou 920'</v>
      </c>
      <c r="BG932" s="55" t="str">
        <f aca="false">IF(AND($AW932&lt;&gt;"",$AX932&lt;&gt;""),$AX932-$AW932,"")</f>
        <v/>
      </c>
      <c r="BH932" s="55" t="str">
        <f aca="false">IF(AND($AW932&lt;&gt;"",$AY932&lt;&gt;""),$AY932-$AW932,"")</f>
        <v/>
      </c>
      <c r="BI932" s="55" t="str">
        <f aca="false">IF(AND($AX932&lt;&gt;"",$AY932&lt;&gt;""),$AY932-$AX932,"")</f>
        <v/>
      </c>
      <c r="BJ932" s="53" t="str">
        <f aca="false">IF($J932&lt;&gt;"",$J932,"")</f>
        <v/>
      </c>
      <c r="BL932" s="52"/>
      <c r="BM932" s="52" t="str">
        <f aca="false">IF(OR(COUNT(B932:D1931)=0,AND('Choix pédagogiques'!$C$3&lt;&gt;1,'Choix pédagogiques'!$C$3&lt;&gt;2)),"",IF(AND(OR('Choix pédagogiques'!$C$3=1,'Choix pédagogiques'!$C$3=2),$B932&lt;&gt;"",$C932&lt;&gt;"",$D932&lt;&gt;""),1,0))</f>
        <v/>
      </c>
      <c r="BN932" s="52" t="str">
        <f aca="false">IF(OR(COUNT(G932:I1931)=0,AND('Choix pédagogiques'!$C$3&lt;&gt;1,'Choix pédagogiques'!$C$3&lt;&gt;2)),"",IF(AND(OR('Choix pédagogiques'!$C$3=1,'Choix pédagogiques'!$C$3=2),AND($G932&lt;&gt;"",$H932&lt;&gt;"",$I932&lt;&gt;"")),1,0))</f>
        <v/>
      </c>
      <c r="BO932" s="52" t="str">
        <f aca="false">IF(OR(COUNT(B932:D1931)=0,COUNT(G932:I1931)=0,'Choix pédagogiques'!C$3&lt;&gt;3),"",IF(AND('Choix pédagogiques'!$C$3=3,$B932&lt;&gt;"",$C932&lt;&gt;"",$D932&lt;&gt;"",$G932&lt;&gt;"",$H932&lt;&gt;"",$I932&lt;&gt;""),1,0))</f>
        <v/>
      </c>
      <c r="BR932" s="52" t="n">
        <v>127</v>
      </c>
      <c r="BS932" s="52" t="n">
        <v>1894</v>
      </c>
    </row>
    <row r="933" s="54" customFormat="true" ht="18" hidden="false" customHeight="true" outlineLevel="0" collapsed="false">
      <c r="A933" s="57" t="s">
        <v>1797</v>
      </c>
      <c r="B933" s="51"/>
      <c r="C933" s="51"/>
      <c r="D933" s="51"/>
      <c r="E933" s="51"/>
      <c r="F933" s="57" t="s">
        <v>1798</v>
      </c>
      <c r="G933" s="51"/>
      <c r="H933" s="51"/>
      <c r="I933" s="51"/>
      <c r="J933" s="51"/>
      <c r="K933" s="52" t="str">
        <f aca="false">IF($A933&lt;&gt;"",$A933,"")</f>
        <v>Apprenant 921</v>
      </c>
      <c r="L933" s="53" t="str">
        <f aca="false">IF(AND($B933&lt;&gt;"",$C933&lt;&gt;""),$C933-$B933,"")</f>
        <v/>
      </c>
      <c r="M933" s="53" t="str">
        <f aca="false">IF(AND($B933&lt;&gt;"",$D933&lt;&gt;""),$D933-$B933,"")</f>
        <v/>
      </c>
      <c r="N933" s="53" t="str">
        <f aca="false">IF(AND($C933&lt;&gt;"",$D933&lt;&gt;""),$D933-$C933,"")</f>
        <v/>
      </c>
      <c r="O933" s="53" t="str">
        <f aca="false">IF($E933&lt;&gt;"",$E933,"")</f>
        <v/>
      </c>
      <c r="P933" s="52" t="str">
        <f aca="false">IF($F933&lt;&gt;"",$F933,"")</f>
        <v>Apprenant 921 ou 921'</v>
      </c>
      <c r="Q933" s="53" t="str">
        <f aca="false">IF(AND($G933&lt;&gt;"",$H933&lt;&gt;""),$H933-$G933,"")</f>
        <v/>
      </c>
      <c r="R933" s="53" t="str">
        <f aca="false">IF(AND($G933&lt;&gt;"",$I933&lt;&gt;""),$I933-$G933,"")</f>
        <v/>
      </c>
      <c r="S933" s="53" t="str">
        <f aca="false">IF(AND($H933&lt;&gt;"",$I933&lt;&gt;""),$I933-$H933,"")</f>
        <v/>
      </c>
      <c r="T933" s="53" t="str">
        <f aca="false">IF($J933&lt;&gt;"",$J933,"")</f>
        <v/>
      </c>
      <c r="V933" s="52" t="str">
        <f aca="false">IF($A933&lt;&gt;"",$A933,"")</f>
        <v>Apprenant 921</v>
      </c>
      <c r="W933" s="53" t="str">
        <f aca="false">IF(AND(OR('Choix pédagogiques'!$C$3=1,'Choix pédagogiques'!$C$3=2),$BM933=1),B933,IF(AND('Choix pédagogiques'!$C$3=3,$BO933=1),B933,""))</f>
        <v/>
      </c>
      <c r="X933" s="53" t="str">
        <f aca="false">IF(AND(OR('Choix pédagogiques'!$C$3=1,'Choix pédagogiques'!$C$3=2),$BM933=1),C933,IF(AND('Choix pédagogiques'!$C$3=3,$BO933=1),C933,""))</f>
        <v/>
      </c>
      <c r="Y933" s="53" t="str">
        <f aca="false">IF(AND(OR('Choix pédagogiques'!$C$3=1,'Choix pédagogiques'!$C$3=2),$BM933=1),D933,IF(AND('Choix pédagogiques'!$C$3=3,$BO933=1),D933,""))</f>
        <v/>
      </c>
      <c r="Z933" s="53" t="str">
        <f aca="false">IF($E933&lt;&gt;"",$E933,"")</f>
        <v/>
      </c>
      <c r="AA933" s="52" t="str">
        <f aca="false">IF($F933&lt;&gt;"",$F933,"")</f>
        <v>Apprenant 921 ou 921'</v>
      </c>
      <c r="AB933" s="53" t="str">
        <f aca="false">IF(AND(OR('Choix pédagogiques'!$C$3=1,'Choix pédagogiques'!$C$3=2),$BN933=1),G933,IF(AND('Choix pédagogiques'!$C$3=3,$BO933=1),G933,""))</f>
        <v/>
      </c>
      <c r="AC933" s="53" t="str">
        <f aca="false">IF(AND(OR('Choix pédagogiques'!$C$3=1,'Choix pédagogiques'!$C$3=2),$BN933=1),H933,IF(AND('Choix pédagogiques'!$C$3=3,$BO933=1),H933,""))</f>
        <v/>
      </c>
      <c r="AD933" s="53" t="str">
        <f aca="false">IF(AND(OR('Choix pédagogiques'!$C$3=1,'Choix pédagogiques'!$C$3=2),$BN933=1),I933,IF(AND('Choix pédagogiques'!$C$3=3,$BO933=1),I933,""))</f>
        <v/>
      </c>
      <c r="AE933" s="53" t="str">
        <f aca="false">IF($J933&lt;&gt;"",$J933,"")</f>
        <v/>
      </c>
      <c r="AF933" s="52" t="str">
        <f aca="false">IF($A933&lt;&gt;"",$A933,"")</f>
        <v>Apprenant 921</v>
      </c>
      <c r="AG933" s="53" t="str">
        <f aca="false">IF(AND($W933&lt;&gt;"",$X933&lt;&gt;""),$X933-$W933,"")</f>
        <v/>
      </c>
      <c r="AH933" s="53" t="str">
        <f aca="false">IF(AND($W933&lt;&gt;"",$Y933&lt;&gt;""),$Y933-$W933,"")</f>
        <v/>
      </c>
      <c r="AI933" s="53" t="str">
        <f aca="false">IF(AND($X933&lt;&gt;"",$Y933&lt;&gt;""),$Y933-$X933,"")</f>
        <v/>
      </c>
      <c r="AJ933" s="53" t="str">
        <f aca="false">IF($E933&lt;&gt;"",$E933,"")</f>
        <v/>
      </c>
      <c r="AK933" s="52" t="str">
        <f aca="false">IF($F933&lt;&gt;"",$F933,"")</f>
        <v>Apprenant 921 ou 921'</v>
      </c>
      <c r="AL933" s="53" t="str">
        <f aca="false">IF(AND($AB933&lt;&gt;"",$AC933&lt;&gt;""),$AC933-$AB933,"")</f>
        <v/>
      </c>
      <c r="AM933" s="53" t="str">
        <f aca="false">IF(AND($AB933&lt;&gt;"",$AD933&lt;&gt;""),$AD933-$AB933,"")</f>
        <v/>
      </c>
      <c r="AN933" s="53" t="str">
        <f aca="false">IF(AND($AC933&lt;&gt;"",$AD933&lt;&gt;""),$AD933-$AC933,"")</f>
        <v/>
      </c>
      <c r="AO933" s="53" t="str">
        <f aca="false">IF($J933&lt;&gt;"",$J933,"")</f>
        <v/>
      </c>
      <c r="AQ933" s="52" t="str">
        <f aca="false">IF($A933&lt;&gt;"",$A933,"")</f>
        <v>Apprenant 921</v>
      </c>
      <c r="AR933" s="55" t="str">
        <f aca="false">IF(AND('Choix pédagogiques'!$C$4&lt;&gt;"?",'Choix pédagogiques'!$C$5&lt;&gt;"?",W933&lt;&gt;""),(W933-'Choix pédagogiques'!$C$4)/('Choix pédagogiques'!$C$5-'Choix pédagogiques'!$C$4),"")</f>
        <v/>
      </c>
      <c r="AS933" s="55" t="str">
        <f aca="false">IF(AND('Choix pédagogiques'!$C$4&lt;&gt;"?",'Choix pédagogiques'!$C$5&lt;&gt;"?",X933&lt;&gt;""),(X933-'Choix pédagogiques'!$C$4)/('Choix pédagogiques'!$C$5-'Choix pédagogiques'!$C$4),"")</f>
        <v/>
      </c>
      <c r="AT933" s="55" t="str">
        <f aca="false">IF(AND('Choix pédagogiques'!$C$4&lt;&gt;"?",'Choix pédagogiques'!$C$5&lt;&gt;"?",Y933&lt;&gt;""),(Y933-'Choix pédagogiques'!$C$4)/('Choix pédagogiques'!$C$5-'Choix pédagogiques'!$C$4),"")</f>
        <v/>
      </c>
      <c r="AU933" s="53" t="str">
        <f aca="false">IF($E933&lt;&gt;"",$E933,"")</f>
        <v/>
      </c>
      <c r="AV933" s="52" t="str">
        <f aca="false">IF($F933&lt;&gt;"",$F933,"")</f>
        <v>Apprenant 921 ou 921'</v>
      </c>
      <c r="AW933" s="55" t="str">
        <f aca="false">IF(AND('Choix pédagogiques'!$C$4&lt;&gt;"?",'Choix pédagogiques'!$C$5&lt;&gt;"?",AB933&lt;&gt;""),(AB933-'Choix pédagogiques'!$C$4)/('Choix pédagogiques'!$C$5-'Choix pédagogiques'!$C$4),"")</f>
        <v/>
      </c>
      <c r="AX933" s="55" t="str">
        <f aca="false">IF(AND('Choix pédagogiques'!$C$4&lt;&gt;"?",'Choix pédagogiques'!$C$5&lt;&gt;"?",AC933&lt;&gt;""),(AC933-'Choix pédagogiques'!$C$4)/('Choix pédagogiques'!$C$5-'Choix pédagogiques'!$C$4),"")</f>
        <v/>
      </c>
      <c r="AY933" s="55" t="str">
        <f aca="false">IF(AND('Choix pédagogiques'!$C$4&lt;&gt;"?",'Choix pédagogiques'!$C$5&lt;&gt;"?",AD933&lt;&gt;""),(AD933-'Choix pédagogiques'!$C$4)/('Choix pédagogiques'!$C$5-'Choix pédagogiques'!$C$4),"")</f>
        <v/>
      </c>
      <c r="AZ933" s="53" t="str">
        <f aca="false">IF($J933&lt;&gt;"",$J933,"")</f>
        <v/>
      </c>
      <c r="BA933" s="52" t="str">
        <f aca="false">IF($A933&lt;&gt;"",$A933,"")</f>
        <v>Apprenant 921</v>
      </c>
      <c r="BB933" s="55" t="str">
        <f aca="false">IF(AND($AR933&lt;&gt;"",$AS933&lt;&gt;""),$AS933-$AR933,"")</f>
        <v/>
      </c>
      <c r="BC933" s="55" t="str">
        <f aca="false">IF(AND($AR933&lt;&gt;"",$AT933&lt;&gt;""),$AT933-$AR933,"")</f>
        <v/>
      </c>
      <c r="BD933" s="55" t="str">
        <f aca="false">IF(AND($AS933&lt;&gt;"",$AT933&lt;&gt;""),$AT933-$AS933,"")</f>
        <v/>
      </c>
      <c r="BE933" s="53" t="str">
        <f aca="false">IF($E933&lt;&gt;"",$E933,"")</f>
        <v/>
      </c>
      <c r="BF933" s="52" t="str">
        <f aca="false">IF($F933&lt;&gt;"",$F933,"")</f>
        <v>Apprenant 921 ou 921'</v>
      </c>
      <c r="BG933" s="55" t="str">
        <f aca="false">IF(AND($AW933&lt;&gt;"",$AX933&lt;&gt;""),$AX933-$AW933,"")</f>
        <v/>
      </c>
      <c r="BH933" s="55" t="str">
        <f aca="false">IF(AND($AW933&lt;&gt;"",$AY933&lt;&gt;""),$AY933-$AW933,"")</f>
        <v/>
      </c>
      <c r="BI933" s="55" t="str">
        <f aca="false">IF(AND($AX933&lt;&gt;"",$AY933&lt;&gt;""),$AY933-$AX933,"")</f>
        <v/>
      </c>
      <c r="BJ933" s="53" t="str">
        <f aca="false">IF($J933&lt;&gt;"",$J933,"")</f>
        <v/>
      </c>
      <c r="BL933" s="52"/>
      <c r="BM933" s="52" t="str">
        <f aca="false">IF(OR(COUNT(B933:D1932)=0,AND('Choix pédagogiques'!$C$3&lt;&gt;1,'Choix pédagogiques'!$C$3&lt;&gt;2)),"",IF(AND(OR('Choix pédagogiques'!$C$3=1,'Choix pédagogiques'!$C$3=2),$B933&lt;&gt;"",$C933&lt;&gt;"",$D933&lt;&gt;""),1,0))</f>
        <v/>
      </c>
      <c r="BN933" s="52" t="str">
        <f aca="false">IF(OR(COUNT(G933:I1932)=0,AND('Choix pédagogiques'!$C$3&lt;&gt;1,'Choix pédagogiques'!$C$3&lt;&gt;2)),"",IF(AND(OR('Choix pédagogiques'!$C$3=1,'Choix pédagogiques'!$C$3=2),AND($G933&lt;&gt;"",$H933&lt;&gt;"",$I933&lt;&gt;"")),1,0))</f>
        <v/>
      </c>
      <c r="BO933" s="52" t="str">
        <f aca="false">IF(OR(COUNT(B933:D1932)=0,COUNT(G933:I1932)=0,'Choix pédagogiques'!C$3&lt;&gt;3),"",IF(AND('Choix pédagogiques'!$C$3=3,$B933&lt;&gt;"",$C933&lt;&gt;"",$D933&lt;&gt;"",$G933&lt;&gt;"",$H933&lt;&gt;"",$I933&lt;&gt;""),1,0))</f>
        <v/>
      </c>
      <c r="BR933" s="52" t="n">
        <v>262</v>
      </c>
      <c r="BS933" s="52" t="n">
        <v>1641</v>
      </c>
    </row>
    <row r="934" s="54" customFormat="true" ht="18" hidden="false" customHeight="true" outlineLevel="0" collapsed="false">
      <c r="A934" s="57" t="s">
        <v>1799</v>
      </c>
      <c r="B934" s="51"/>
      <c r="C934" s="51"/>
      <c r="D934" s="51"/>
      <c r="E934" s="51"/>
      <c r="F934" s="57" t="s">
        <v>1800</v>
      </c>
      <c r="G934" s="51"/>
      <c r="H934" s="51"/>
      <c r="I934" s="51"/>
      <c r="J934" s="51"/>
      <c r="K934" s="52" t="str">
        <f aca="false">IF($A934&lt;&gt;"",$A934,"")</f>
        <v>Apprenant 922</v>
      </c>
      <c r="L934" s="53" t="str">
        <f aca="false">IF(AND($B934&lt;&gt;"",$C934&lt;&gt;""),$C934-$B934,"")</f>
        <v/>
      </c>
      <c r="M934" s="53" t="str">
        <f aca="false">IF(AND($B934&lt;&gt;"",$D934&lt;&gt;""),$D934-$B934,"")</f>
        <v/>
      </c>
      <c r="N934" s="53" t="str">
        <f aca="false">IF(AND($C934&lt;&gt;"",$D934&lt;&gt;""),$D934-$C934,"")</f>
        <v/>
      </c>
      <c r="O934" s="53" t="str">
        <f aca="false">IF($E934&lt;&gt;"",$E934,"")</f>
        <v/>
      </c>
      <c r="P934" s="52" t="str">
        <f aca="false">IF($F934&lt;&gt;"",$F934,"")</f>
        <v>Apprenant 922 ou 922'</v>
      </c>
      <c r="Q934" s="53" t="str">
        <f aca="false">IF(AND($G934&lt;&gt;"",$H934&lt;&gt;""),$H934-$G934,"")</f>
        <v/>
      </c>
      <c r="R934" s="53" t="str">
        <f aca="false">IF(AND($G934&lt;&gt;"",$I934&lt;&gt;""),$I934-$G934,"")</f>
        <v/>
      </c>
      <c r="S934" s="53" t="str">
        <f aca="false">IF(AND($H934&lt;&gt;"",$I934&lt;&gt;""),$I934-$H934,"")</f>
        <v/>
      </c>
      <c r="T934" s="53" t="str">
        <f aca="false">IF($J934&lt;&gt;"",$J934,"")</f>
        <v/>
      </c>
      <c r="V934" s="52" t="str">
        <f aca="false">IF($A934&lt;&gt;"",$A934,"")</f>
        <v>Apprenant 922</v>
      </c>
      <c r="W934" s="53" t="str">
        <f aca="false">IF(AND(OR('Choix pédagogiques'!$C$3=1,'Choix pédagogiques'!$C$3=2),$BM934=1),B934,IF(AND('Choix pédagogiques'!$C$3=3,$BO934=1),B934,""))</f>
        <v/>
      </c>
      <c r="X934" s="53" t="str">
        <f aca="false">IF(AND(OR('Choix pédagogiques'!$C$3=1,'Choix pédagogiques'!$C$3=2),$BM934=1),C934,IF(AND('Choix pédagogiques'!$C$3=3,$BO934=1),C934,""))</f>
        <v/>
      </c>
      <c r="Y934" s="53" t="str">
        <f aca="false">IF(AND(OR('Choix pédagogiques'!$C$3=1,'Choix pédagogiques'!$C$3=2),$BM934=1),D934,IF(AND('Choix pédagogiques'!$C$3=3,$BO934=1),D934,""))</f>
        <v/>
      </c>
      <c r="Z934" s="53" t="str">
        <f aca="false">IF($E934&lt;&gt;"",$E934,"")</f>
        <v/>
      </c>
      <c r="AA934" s="52" t="str">
        <f aca="false">IF($F934&lt;&gt;"",$F934,"")</f>
        <v>Apprenant 922 ou 922'</v>
      </c>
      <c r="AB934" s="53" t="str">
        <f aca="false">IF(AND(OR('Choix pédagogiques'!$C$3=1,'Choix pédagogiques'!$C$3=2),$BN934=1),G934,IF(AND('Choix pédagogiques'!$C$3=3,$BO934=1),G934,""))</f>
        <v/>
      </c>
      <c r="AC934" s="53" t="str">
        <f aca="false">IF(AND(OR('Choix pédagogiques'!$C$3=1,'Choix pédagogiques'!$C$3=2),$BN934=1),H934,IF(AND('Choix pédagogiques'!$C$3=3,$BO934=1),H934,""))</f>
        <v/>
      </c>
      <c r="AD934" s="53" t="str">
        <f aca="false">IF(AND(OR('Choix pédagogiques'!$C$3=1,'Choix pédagogiques'!$C$3=2),$BN934=1),I934,IF(AND('Choix pédagogiques'!$C$3=3,$BO934=1),I934,""))</f>
        <v/>
      </c>
      <c r="AE934" s="53" t="str">
        <f aca="false">IF($J934&lt;&gt;"",$J934,"")</f>
        <v/>
      </c>
      <c r="AF934" s="52" t="str">
        <f aca="false">IF($A934&lt;&gt;"",$A934,"")</f>
        <v>Apprenant 922</v>
      </c>
      <c r="AG934" s="53" t="str">
        <f aca="false">IF(AND($W934&lt;&gt;"",$X934&lt;&gt;""),$X934-$W934,"")</f>
        <v/>
      </c>
      <c r="AH934" s="53" t="str">
        <f aca="false">IF(AND($W934&lt;&gt;"",$Y934&lt;&gt;""),$Y934-$W934,"")</f>
        <v/>
      </c>
      <c r="AI934" s="53" t="str">
        <f aca="false">IF(AND($X934&lt;&gt;"",$Y934&lt;&gt;""),$Y934-$X934,"")</f>
        <v/>
      </c>
      <c r="AJ934" s="53" t="str">
        <f aca="false">IF($E934&lt;&gt;"",$E934,"")</f>
        <v/>
      </c>
      <c r="AK934" s="52" t="str">
        <f aca="false">IF($F934&lt;&gt;"",$F934,"")</f>
        <v>Apprenant 922 ou 922'</v>
      </c>
      <c r="AL934" s="53" t="str">
        <f aca="false">IF(AND($AB934&lt;&gt;"",$AC934&lt;&gt;""),$AC934-$AB934,"")</f>
        <v/>
      </c>
      <c r="AM934" s="53" t="str">
        <f aca="false">IF(AND($AB934&lt;&gt;"",$AD934&lt;&gt;""),$AD934-$AB934,"")</f>
        <v/>
      </c>
      <c r="AN934" s="53" t="str">
        <f aca="false">IF(AND($AC934&lt;&gt;"",$AD934&lt;&gt;""),$AD934-$AC934,"")</f>
        <v/>
      </c>
      <c r="AO934" s="53" t="str">
        <f aca="false">IF($J934&lt;&gt;"",$J934,"")</f>
        <v/>
      </c>
      <c r="AQ934" s="52" t="str">
        <f aca="false">IF($A934&lt;&gt;"",$A934,"")</f>
        <v>Apprenant 922</v>
      </c>
      <c r="AR934" s="55" t="str">
        <f aca="false">IF(AND('Choix pédagogiques'!$C$4&lt;&gt;"?",'Choix pédagogiques'!$C$5&lt;&gt;"?",W934&lt;&gt;""),(W934-'Choix pédagogiques'!$C$4)/('Choix pédagogiques'!$C$5-'Choix pédagogiques'!$C$4),"")</f>
        <v/>
      </c>
      <c r="AS934" s="55" t="str">
        <f aca="false">IF(AND('Choix pédagogiques'!$C$4&lt;&gt;"?",'Choix pédagogiques'!$C$5&lt;&gt;"?",X934&lt;&gt;""),(X934-'Choix pédagogiques'!$C$4)/('Choix pédagogiques'!$C$5-'Choix pédagogiques'!$C$4),"")</f>
        <v/>
      </c>
      <c r="AT934" s="55" t="str">
        <f aca="false">IF(AND('Choix pédagogiques'!$C$4&lt;&gt;"?",'Choix pédagogiques'!$C$5&lt;&gt;"?",Y934&lt;&gt;""),(Y934-'Choix pédagogiques'!$C$4)/('Choix pédagogiques'!$C$5-'Choix pédagogiques'!$C$4),"")</f>
        <v/>
      </c>
      <c r="AU934" s="53" t="str">
        <f aca="false">IF($E934&lt;&gt;"",$E934,"")</f>
        <v/>
      </c>
      <c r="AV934" s="52" t="str">
        <f aca="false">IF($F934&lt;&gt;"",$F934,"")</f>
        <v>Apprenant 922 ou 922'</v>
      </c>
      <c r="AW934" s="55" t="str">
        <f aca="false">IF(AND('Choix pédagogiques'!$C$4&lt;&gt;"?",'Choix pédagogiques'!$C$5&lt;&gt;"?",AB934&lt;&gt;""),(AB934-'Choix pédagogiques'!$C$4)/('Choix pédagogiques'!$C$5-'Choix pédagogiques'!$C$4),"")</f>
        <v/>
      </c>
      <c r="AX934" s="55" t="str">
        <f aca="false">IF(AND('Choix pédagogiques'!$C$4&lt;&gt;"?",'Choix pédagogiques'!$C$5&lt;&gt;"?",AC934&lt;&gt;""),(AC934-'Choix pédagogiques'!$C$4)/('Choix pédagogiques'!$C$5-'Choix pédagogiques'!$C$4),"")</f>
        <v/>
      </c>
      <c r="AY934" s="55" t="str">
        <f aca="false">IF(AND('Choix pédagogiques'!$C$4&lt;&gt;"?",'Choix pédagogiques'!$C$5&lt;&gt;"?",AD934&lt;&gt;""),(AD934-'Choix pédagogiques'!$C$4)/('Choix pédagogiques'!$C$5-'Choix pédagogiques'!$C$4),"")</f>
        <v/>
      </c>
      <c r="AZ934" s="53" t="str">
        <f aca="false">IF($J934&lt;&gt;"",$J934,"")</f>
        <v/>
      </c>
      <c r="BA934" s="52" t="str">
        <f aca="false">IF($A934&lt;&gt;"",$A934,"")</f>
        <v>Apprenant 922</v>
      </c>
      <c r="BB934" s="55" t="str">
        <f aca="false">IF(AND($AR934&lt;&gt;"",$AS934&lt;&gt;""),$AS934-$AR934,"")</f>
        <v/>
      </c>
      <c r="BC934" s="55" t="str">
        <f aca="false">IF(AND($AR934&lt;&gt;"",$AT934&lt;&gt;""),$AT934-$AR934,"")</f>
        <v/>
      </c>
      <c r="BD934" s="55" t="str">
        <f aca="false">IF(AND($AS934&lt;&gt;"",$AT934&lt;&gt;""),$AT934-$AS934,"")</f>
        <v/>
      </c>
      <c r="BE934" s="53" t="str">
        <f aca="false">IF($E934&lt;&gt;"",$E934,"")</f>
        <v/>
      </c>
      <c r="BF934" s="52" t="str">
        <f aca="false">IF($F934&lt;&gt;"",$F934,"")</f>
        <v>Apprenant 922 ou 922'</v>
      </c>
      <c r="BG934" s="55" t="str">
        <f aca="false">IF(AND($AW934&lt;&gt;"",$AX934&lt;&gt;""),$AX934-$AW934,"")</f>
        <v/>
      </c>
      <c r="BH934" s="55" t="str">
        <f aca="false">IF(AND($AW934&lt;&gt;"",$AY934&lt;&gt;""),$AY934-$AW934,"")</f>
        <v/>
      </c>
      <c r="BI934" s="55" t="str">
        <f aca="false">IF(AND($AX934&lt;&gt;"",$AY934&lt;&gt;""),$AY934-$AX934,"")</f>
        <v/>
      </c>
      <c r="BJ934" s="53" t="str">
        <f aca="false">IF($J934&lt;&gt;"",$J934,"")</f>
        <v/>
      </c>
      <c r="BL934" s="52"/>
      <c r="BM934" s="52" t="str">
        <f aca="false">IF(OR(COUNT(B934:D1933)=0,AND('Choix pédagogiques'!$C$3&lt;&gt;1,'Choix pédagogiques'!$C$3&lt;&gt;2)),"",IF(AND(OR('Choix pédagogiques'!$C$3=1,'Choix pédagogiques'!$C$3=2),$B934&lt;&gt;"",$C934&lt;&gt;"",$D934&lt;&gt;""),1,0))</f>
        <v/>
      </c>
      <c r="BN934" s="52" t="str">
        <f aca="false">IF(OR(COUNT(G934:I1933)=0,AND('Choix pédagogiques'!$C$3&lt;&gt;1,'Choix pédagogiques'!$C$3&lt;&gt;2)),"",IF(AND(OR('Choix pédagogiques'!$C$3=1,'Choix pédagogiques'!$C$3=2),AND($G934&lt;&gt;"",$H934&lt;&gt;"",$I934&lt;&gt;"")),1,0))</f>
        <v/>
      </c>
      <c r="BO934" s="52" t="str">
        <f aca="false">IF(OR(COUNT(B934:D1933)=0,COUNT(G934:I1933)=0,'Choix pédagogiques'!C$3&lt;&gt;3),"",IF(AND('Choix pédagogiques'!$C$3=3,$B934&lt;&gt;"",$C934&lt;&gt;"",$D934&lt;&gt;"",$G934&lt;&gt;"",$H934&lt;&gt;"",$I934&lt;&gt;""),1,0))</f>
        <v/>
      </c>
      <c r="BR934" s="52" t="n">
        <v>883</v>
      </c>
      <c r="BS934" s="52" t="n">
        <v>1766</v>
      </c>
    </row>
    <row r="935" s="54" customFormat="true" ht="18" hidden="false" customHeight="true" outlineLevel="0" collapsed="false">
      <c r="A935" s="57" t="s">
        <v>1801</v>
      </c>
      <c r="B935" s="51"/>
      <c r="C935" s="51"/>
      <c r="D935" s="51"/>
      <c r="E935" s="51"/>
      <c r="F935" s="57" t="s">
        <v>1802</v>
      </c>
      <c r="G935" s="51"/>
      <c r="H935" s="51"/>
      <c r="I935" s="51"/>
      <c r="J935" s="51"/>
      <c r="K935" s="52" t="str">
        <f aca="false">IF($A935&lt;&gt;"",$A935,"")</f>
        <v>Apprenant 923</v>
      </c>
      <c r="L935" s="53" t="str">
        <f aca="false">IF(AND($B935&lt;&gt;"",$C935&lt;&gt;""),$C935-$B935,"")</f>
        <v/>
      </c>
      <c r="M935" s="53" t="str">
        <f aca="false">IF(AND($B935&lt;&gt;"",$D935&lt;&gt;""),$D935-$B935,"")</f>
        <v/>
      </c>
      <c r="N935" s="53" t="str">
        <f aca="false">IF(AND($C935&lt;&gt;"",$D935&lt;&gt;""),$D935-$C935,"")</f>
        <v/>
      </c>
      <c r="O935" s="53" t="str">
        <f aca="false">IF($E935&lt;&gt;"",$E935,"")</f>
        <v/>
      </c>
      <c r="P935" s="52" t="str">
        <f aca="false">IF($F935&lt;&gt;"",$F935,"")</f>
        <v>Apprenant 923 ou 923'</v>
      </c>
      <c r="Q935" s="53" t="str">
        <f aca="false">IF(AND($G935&lt;&gt;"",$H935&lt;&gt;""),$H935-$G935,"")</f>
        <v/>
      </c>
      <c r="R935" s="53" t="str">
        <f aca="false">IF(AND($G935&lt;&gt;"",$I935&lt;&gt;""),$I935-$G935,"")</f>
        <v/>
      </c>
      <c r="S935" s="53" t="str">
        <f aca="false">IF(AND($H935&lt;&gt;"",$I935&lt;&gt;""),$I935-$H935,"")</f>
        <v/>
      </c>
      <c r="T935" s="53" t="str">
        <f aca="false">IF($J935&lt;&gt;"",$J935,"")</f>
        <v/>
      </c>
      <c r="V935" s="52" t="str">
        <f aca="false">IF($A935&lt;&gt;"",$A935,"")</f>
        <v>Apprenant 923</v>
      </c>
      <c r="W935" s="53" t="str">
        <f aca="false">IF(AND(OR('Choix pédagogiques'!$C$3=1,'Choix pédagogiques'!$C$3=2),$BM935=1),B935,IF(AND('Choix pédagogiques'!$C$3=3,$BO935=1),B935,""))</f>
        <v/>
      </c>
      <c r="X935" s="53" t="str">
        <f aca="false">IF(AND(OR('Choix pédagogiques'!$C$3=1,'Choix pédagogiques'!$C$3=2),$BM935=1),C935,IF(AND('Choix pédagogiques'!$C$3=3,$BO935=1),C935,""))</f>
        <v/>
      </c>
      <c r="Y935" s="53" t="str">
        <f aca="false">IF(AND(OR('Choix pédagogiques'!$C$3=1,'Choix pédagogiques'!$C$3=2),$BM935=1),D935,IF(AND('Choix pédagogiques'!$C$3=3,$BO935=1),D935,""))</f>
        <v/>
      </c>
      <c r="Z935" s="53" t="str">
        <f aca="false">IF($E935&lt;&gt;"",$E935,"")</f>
        <v/>
      </c>
      <c r="AA935" s="52" t="str">
        <f aca="false">IF($F935&lt;&gt;"",$F935,"")</f>
        <v>Apprenant 923 ou 923'</v>
      </c>
      <c r="AB935" s="53" t="str">
        <f aca="false">IF(AND(OR('Choix pédagogiques'!$C$3=1,'Choix pédagogiques'!$C$3=2),$BN935=1),G935,IF(AND('Choix pédagogiques'!$C$3=3,$BO935=1),G935,""))</f>
        <v/>
      </c>
      <c r="AC935" s="53" t="str">
        <f aca="false">IF(AND(OR('Choix pédagogiques'!$C$3=1,'Choix pédagogiques'!$C$3=2),$BN935=1),H935,IF(AND('Choix pédagogiques'!$C$3=3,$BO935=1),H935,""))</f>
        <v/>
      </c>
      <c r="AD935" s="53" t="str">
        <f aca="false">IF(AND(OR('Choix pédagogiques'!$C$3=1,'Choix pédagogiques'!$C$3=2),$BN935=1),I935,IF(AND('Choix pédagogiques'!$C$3=3,$BO935=1),I935,""))</f>
        <v/>
      </c>
      <c r="AE935" s="53" t="str">
        <f aca="false">IF($J935&lt;&gt;"",$J935,"")</f>
        <v/>
      </c>
      <c r="AF935" s="52" t="str">
        <f aca="false">IF($A935&lt;&gt;"",$A935,"")</f>
        <v>Apprenant 923</v>
      </c>
      <c r="AG935" s="53" t="str">
        <f aca="false">IF(AND($W935&lt;&gt;"",$X935&lt;&gt;""),$X935-$W935,"")</f>
        <v/>
      </c>
      <c r="AH935" s="53" t="str">
        <f aca="false">IF(AND($W935&lt;&gt;"",$Y935&lt;&gt;""),$Y935-$W935,"")</f>
        <v/>
      </c>
      <c r="AI935" s="53" t="str">
        <f aca="false">IF(AND($X935&lt;&gt;"",$Y935&lt;&gt;""),$Y935-$X935,"")</f>
        <v/>
      </c>
      <c r="AJ935" s="53" t="str">
        <f aca="false">IF($E935&lt;&gt;"",$E935,"")</f>
        <v/>
      </c>
      <c r="AK935" s="52" t="str">
        <f aca="false">IF($F935&lt;&gt;"",$F935,"")</f>
        <v>Apprenant 923 ou 923'</v>
      </c>
      <c r="AL935" s="53" t="str">
        <f aca="false">IF(AND($AB935&lt;&gt;"",$AC935&lt;&gt;""),$AC935-$AB935,"")</f>
        <v/>
      </c>
      <c r="AM935" s="53" t="str">
        <f aca="false">IF(AND($AB935&lt;&gt;"",$AD935&lt;&gt;""),$AD935-$AB935,"")</f>
        <v/>
      </c>
      <c r="AN935" s="53" t="str">
        <f aca="false">IF(AND($AC935&lt;&gt;"",$AD935&lt;&gt;""),$AD935-$AC935,"")</f>
        <v/>
      </c>
      <c r="AO935" s="53" t="str">
        <f aca="false">IF($J935&lt;&gt;"",$J935,"")</f>
        <v/>
      </c>
      <c r="AQ935" s="52" t="str">
        <f aca="false">IF($A935&lt;&gt;"",$A935,"")</f>
        <v>Apprenant 923</v>
      </c>
      <c r="AR935" s="55" t="str">
        <f aca="false">IF(AND('Choix pédagogiques'!$C$4&lt;&gt;"?",'Choix pédagogiques'!$C$5&lt;&gt;"?",W935&lt;&gt;""),(W935-'Choix pédagogiques'!$C$4)/('Choix pédagogiques'!$C$5-'Choix pédagogiques'!$C$4),"")</f>
        <v/>
      </c>
      <c r="AS935" s="55" t="str">
        <f aca="false">IF(AND('Choix pédagogiques'!$C$4&lt;&gt;"?",'Choix pédagogiques'!$C$5&lt;&gt;"?",X935&lt;&gt;""),(X935-'Choix pédagogiques'!$C$4)/('Choix pédagogiques'!$C$5-'Choix pédagogiques'!$C$4),"")</f>
        <v/>
      </c>
      <c r="AT935" s="55" t="str">
        <f aca="false">IF(AND('Choix pédagogiques'!$C$4&lt;&gt;"?",'Choix pédagogiques'!$C$5&lt;&gt;"?",Y935&lt;&gt;""),(Y935-'Choix pédagogiques'!$C$4)/('Choix pédagogiques'!$C$5-'Choix pédagogiques'!$C$4),"")</f>
        <v/>
      </c>
      <c r="AU935" s="53" t="str">
        <f aca="false">IF($E935&lt;&gt;"",$E935,"")</f>
        <v/>
      </c>
      <c r="AV935" s="52" t="str">
        <f aca="false">IF($F935&lt;&gt;"",$F935,"")</f>
        <v>Apprenant 923 ou 923'</v>
      </c>
      <c r="AW935" s="55" t="str">
        <f aca="false">IF(AND('Choix pédagogiques'!$C$4&lt;&gt;"?",'Choix pédagogiques'!$C$5&lt;&gt;"?",AB935&lt;&gt;""),(AB935-'Choix pédagogiques'!$C$4)/('Choix pédagogiques'!$C$5-'Choix pédagogiques'!$C$4),"")</f>
        <v/>
      </c>
      <c r="AX935" s="55" t="str">
        <f aca="false">IF(AND('Choix pédagogiques'!$C$4&lt;&gt;"?",'Choix pédagogiques'!$C$5&lt;&gt;"?",AC935&lt;&gt;""),(AC935-'Choix pédagogiques'!$C$4)/('Choix pédagogiques'!$C$5-'Choix pédagogiques'!$C$4),"")</f>
        <v/>
      </c>
      <c r="AY935" s="55" t="str">
        <f aca="false">IF(AND('Choix pédagogiques'!$C$4&lt;&gt;"?",'Choix pédagogiques'!$C$5&lt;&gt;"?",AD935&lt;&gt;""),(AD935-'Choix pédagogiques'!$C$4)/('Choix pédagogiques'!$C$5-'Choix pédagogiques'!$C$4),"")</f>
        <v/>
      </c>
      <c r="AZ935" s="53" t="str">
        <f aca="false">IF($J935&lt;&gt;"",$J935,"")</f>
        <v/>
      </c>
      <c r="BA935" s="52" t="str">
        <f aca="false">IF($A935&lt;&gt;"",$A935,"")</f>
        <v>Apprenant 923</v>
      </c>
      <c r="BB935" s="55" t="str">
        <f aca="false">IF(AND($AR935&lt;&gt;"",$AS935&lt;&gt;""),$AS935-$AR935,"")</f>
        <v/>
      </c>
      <c r="BC935" s="55" t="str">
        <f aca="false">IF(AND($AR935&lt;&gt;"",$AT935&lt;&gt;""),$AT935-$AR935,"")</f>
        <v/>
      </c>
      <c r="BD935" s="55" t="str">
        <f aca="false">IF(AND($AS935&lt;&gt;"",$AT935&lt;&gt;""),$AT935-$AS935,"")</f>
        <v/>
      </c>
      <c r="BE935" s="53" t="str">
        <f aca="false">IF($E935&lt;&gt;"",$E935,"")</f>
        <v/>
      </c>
      <c r="BF935" s="52" t="str">
        <f aca="false">IF($F935&lt;&gt;"",$F935,"")</f>
        <v>Apprenant 923 ou 923'</v>
      </c>
      <c r="BG935" s="55" t="str">
        <f aca="false">IF(AND($AW935&lt;&gt;"",$AX935&lt;&gt;""),$AX935-$AW935,"")</f>
        <v/>
      </c>
      <c r="BH935" s="55" t="str">
        <f aca="false">IF(AND($AW935&lt;&gt;"",$AY935&lt;&gt;""),$AY935-$AW935,"")</f>
        <v/>
      </c>
      <c r="BI935" s="55" t="str">
        <f aca="false">IF(AND($AX935&lt;&gt;"",$AY935&lt;&gt;""),$AY935-$AX935,"")</f>
        <v/>
      </c>
      <c r="BJ935" s="53" t="str">
        <f aca="false">IF($J935&lt;&gt;"",$J935,"")</f>
        <v/>
      </c>
      <c r="BL935" s="52"/>
      <c r="BM935" s="52" t="str">
        <f aca="false">IF(OR(COUNT(B935:D1934)=0,AND('Choix pédagogiques'!$C$3&lt;&gt;1,'Choix pédagogiques'!$C$3&lt;&gt;2)),"",IF(AND(OR('Choix pédagogiques'!$C$3=1,'Choix pédagogiques'!$C$3=2),$B935&lt;&gt;"",$C935&lt;&gt;"",$D935&lt;&gt;""),1,0))</f>
        <v/>
      </c>
      <c r="BN935" s="52" t="str">
        <f aca="false">IF(OR(COUNT(G935:I1934)=0,AND('Choix pédagogiques'!$C$3&lt;&gt;1,'Choix pédagogiques'!$C$3&lt;&gt;2)),"",IF(AND(OR('Choix pédagogiques'!$C$3=1,'Choix pédagogiques'!$C$3=2),AND($G935&lt;&gt;"",$H935&lt;&gt;"",$I935&lt;&gt;"")),1,0))</f>
        <v/>
      </c>
      <c r="BO935" s="52" t="str">
        <f aca="false">IF(OR(COUNT(B935:D1934)=0,COUNT(G935:I1934)=0,'Choix pédagogiques'!C$3&lt;&gt;3),"",IF(AND('Choix pédagogiques'!$C$3=3,$B935&lt;&gt;"",$C935&lt;&gt;"",$D935&lt;&gt;"",$G935&lt;&gt;"",$H935&lt;&gt;"",$I935&lt;&gt;""),1,0))</f>
        <v/>
      </c>
      <c r="BR935" s="52" t="n">
        <v>773</v>
      </c>
      <c r="BS935" s="52" t="n">
        <v>1549</v>
      </c>
    </row>
    <row r="936" s="54" customFormat="true" ht="18" hidden="false" customHeight="true" outlineLevel="0" collapsed="false">
      <c r="A936" s="57" t="s">
        <v>1803</v>
      </c>
      <c r="B936" s="51"/>
      <c r="C936" s="51"/>
      <c r="D936" s="51"/>
      <c r="E936" s="51"/>
      <c r="F936" s="57" t="s">
        <v>1804</v>
      </c>
      <c r="G936" s="51"/>
      <c r="H936" s="51"/>
      <c r="I936" s="51"/>
      <c r="J936" s="51"/>
      <c r="K936" s="52" t="str">
        <f aca="false">IF($A936&lt;&gt;"",$A936,"")</f>
        <v>Apprenant 924</v>
      </c>
      <c r="L936" s="53" t="str">
        <f aca="false">IF(AND($B936&lt;&gt;"",$C936&lt;&gt;""),$C936-$B936,"")</f>
        <v/>
      </c>
      <c r="M936" s="53" t="str">
        <f aca="false">IF(AND($B936&lt;&gt;"",$D936&lt;&gt;""),$D936-$B936,"")</f>
        <v/>
      </c>
      <c r="N936" s="53" t="str">
        <f aca="false">IF(AND($C936&lt;&gt;"",$D936&lt;&gt;""),$D936-$C936,"")</f>
        <v/>
      </c>
      <c r="O936" s="53" t="str">
        <f aca="false">IF($E936&lt;&gt;"",$E936,"")</f>
        <v/>
      </c>
      <c r="P936" s="52" t="str">
        <f aca="false">IF($F936&lt;&gt;"",$F936,"")</f>
        <v>Apprenant 924 ou 924'</v>
      </c>
      <c r="Q936" s="53" t="str">
        <f aca="false">IF(AND($G936&lt;&gt;"",$H936&lt;&gt;""),$H936-$G936,"")</f>
        <v/>
      </c>
      <c r="R936" s="53" t="str">
        <f aca="false">IF(AND($G936&lt;&gt;"",$I936&lt;&gt;""),$I936-$G936,"")</f>
        <v/>
      </c>
      <c r="S936" s="53" t="str">
        <f aca="false">IF(AND($H936&lt;&gt;"",$I936&lt;&gt;""),$I936-$H936,"")</f>
        <v/>
      </c>
      <c r="T936" s="53" t="str">
        <f aca="false">IF($J936&lt;&gt;"",$J936,"")</f>
        <v/>
      </c>
      <c r="V936" s="52" t="str">
        <f aca="false">IF($A936&lt;&gt;"",$A936,"")</f>
        <v>Apprenant 924</v>
      </c>
      <c r="W936" s="53" t="str">
        <f aca="false">IF(AND(OR('Choix pédagogiques'!$C$3=1,'Choix pédagogiques'!$C$3=2),$BM936=1),B936,IF(AND('Choix pédagogiques'!$C$3=3,$BO936=1),B936,""))</f>
        <v/>
      </c>
      <c r="X936" s="53" t="str">
        <f aca="false">IF(AND(OR('Choix pédagogiques'!$C$3=1,'Choix pédagogiques'!$C$3=2),$BM936=1),C936,IF(AND('Choix pédagogiques'!$C$3=3,$BO936=1),C936,""))</f>
        <v/>
      </c>
      <c r="Y936" s="53" t="str">
        <f aca="false">IF(AND(OR('Choix pédagogiques'!$C$3=1,'Choix pédagogiques'!$C$3=2),$BM936=1),D936,IF(AND('Choix pédagogiques'!$C$3=3,$BO936=1),D936,""))</f>
        <v/>
      </c>
      <c r="Z936" s="53" t="str">
        <f aca="false">IF($E936&lt;&gt;"",$E936,"")</f>
        <v/>
      </c>
      <c r="AA936" s="52" t="str">
        <f aca="false">IF($F936&lt;&gt;"",$F936,"")</f>
        <v>Apprenant 924 ou 924'</v>
      </c>
      <c r="AB936" s="53" t="str">
        <f aca="false">IF(AND(OR('Choix pédagogiques'!$C$3=1,'Choix pédagogiques'!$C$3=2),$BN936=1),G936,IF(AND('Choix pédagogiques'!$C$3=3,$BO936=1),G936,""))</f>
        <v/>
      </c>
      <c r="AC936" s="53" t="str">
        <f aca="false">IF(AND(OR('Choix pédagogiques'!$C$3=1,'Choix pédagogiques'!$C$3=2),$BN936=1),H936,IF(AND('Choix pédagogiques'!$C$3=3,$BO936=1),H936,""))</f>
        <v/>
      </c>
      <c r="AD936" s="53" t="str">
        <f aca="false">IF(AND(OR('Choix pédagogiques'!$C$3=1,'Choix pédagogiques'!$C$3=2),$BN936=1),I936,IF(AND('Choix pédagogiques'!$C$3=3,$BO936=1),I936,""))</f>
        <v/>
      </c>
      <c r="AE936" s="53" t="str">
        <f aca="false">IF($J936&lt;&gt;"",$J936,"")</f>
        <v/>
      </c>
      <c r="AF936" s="52" t="str">
        <f aca="false">IF($A936&lt;&gt;"",$A936,"")</f>
        <v>Apprenant 924</v>
      </c>
      <c r="AG936" s="53" t="str">
        <f aca="false">IF(AND($W936&lt;&gt;"",$X936&lt;&gt;""),$X936-$W936,"")</f>
        <v/>
      </c>
      <c r="AH936" s="53" t="str">
        <f aca="false">IF(AND($W936&lt;&gt;"",$Y936&lt;&gt;""),$Y936-$W936,"")</f>
        <v/>
      </c>
      <c r="AI936" s="53" t="str">
        <f aca="false">IF(AND($X936&lt;&gt;"",$Y936&lt;&gt;""),$Y936-$X936,"")</f>
        <v/>
      </c>
      <c r="AJ936" s="53" t="str">
        <f aca="false">IF($E936&lt;&gt;"",$E936,"")</f>
        <v/>
      </c>
      <c r="AK936" s="52" t="str">
        <f aca="false">IF($F936&lt;&gt;"",$F936,"")</f>
        <v>Apprenant 924 ou 924'</v>
      </c>
      <c r="AL936" s="53" t="str">
        <f aca="false">IF(AND($AB936&lt;&gt;"",$AC936&lt;&gt;""),$AC936-$AB936,"")</f>
        <v/>
      </c>
      <c r="AM936" s="53" t="str">
        <f aca="false">IF(AND($AB936&lt;&gt;"",$AD936&lt;&gt;""),$AD936-$AB936,"")</f>
        <v/>
      </c>
      <c r="AN936" s="53" t="str">
        <f aca="false">IF(AND($AC936&lt;&gt;"",$AD936&lt;&gt;""),$AD936-$AC936,"")</f>
        <v/>
      </c>
      <c r="AO936" s="53" t="str">
        <f aca="false">IF($J936&lt;&gt;"",$J936,"")</f>
        <v/>
      </c>
      <c r="AQ936" s="52" t="str">
        <f aca="false">IF($A936&lt;&gt;"",$A936,"")</f>
        <v>Apprenant 924</v>
      </c>
      <c r="AR936" s="55" t="str">
        <f aca="false">IF(AND('Choix pédagogiques'!$C$4&lt;&gt;"?",'Choix pédagogiques'!$C$5&lt;&gt;"?",W936&lt;&gt;""),(W936-'Choix pédagogiques'!$C$4)/('Choix pédagogiques'!$C$5-'Choix pédagogiques'!$C$4),"")</f>
        <v/>
      </c>
      <c r="AS936" s="55" t="str">
        <f aca="false">IF(AND('Choix pédagogiques'!$C$4&lt;&gt;"?",'Choix pédagogiques'!$C$5&lt;&gt;"?",X936&lt;&gt;""),(X936-'Choix pédagogiques'!$C$4)/('Choix pédagogiques'!$C$5-'Choix pédagogiques'!$C$4),"")</f>
        <v/>
      </c>
      <c r="AT936" s="55" t="str">
        <f aca="false">IF(AND('Choix pédagogiques'!$C$4&lt;&gt;"?",'Choix pédagogiques'!$C$5&lt;&gt;"?",Y936&lt;&gt;""),(Y936-'Choix pédagogiques'!$C$4)/('Choix pédagogiques'!$C$5-'Choix pédagogiques'!$C$4),"")</f>
        <v/>
      </c>
      <c r="AU936" s="53" t="str">
        <f aca="false">IF($E936&lt;&gt;"",$E936,"")</f>
        <v/>
      </c>
      <c r="AV936" s="52" t="str">
        <f aca="false">IF($F936&lt;&gt;"",$F936,"")</f>
        <v>Apprenant 924 ou 924'</v>
      </c>
      <c r="AW936" s="55" t="str">
        <f aca="false">IF(AND('Choix pédagogiques'!$C$4&lt;&gt;"?",'Choix pédagogiques'!$C$5&lt;&gt;"?",AB936&lt;&gt;""),(AB936-'Choix pédagogiques'!$C$4)/('Choix pédagogiques'!$C$5-'Choix pédagogiques'!$C$4),"")</f>
        <v/>
      </c>
      <c r="AX936" s="55" t="str">
        <f aca="false">IF(AND('Choix pédagogiques'!$C$4&lt;&gt;"?",'Choix pédagogiques'!$C$5&lt;&gt;"?",AC936&lt;&gt;""),(AC936-'Choix pédagogiques'!$C$4)/('Choix pédagogiques'!$C$5-'Choix pédagogiques'!$C$4),"")</f>
        <v/>
      </c>
      <c r="AY936" s="55" t="str">
        <f aca="false">IF(AND('Choix pédagogiques'!$C$4&lt;&gt;"?",'Choix pédagogiques'!$C$5&lt;&gt;"?",AD936&lt;&gt;""),(AD936-'Choix pédagogiques'!$C$4)/('Choix pédagogiques'!$C$5-'Choix pédagogiques'!$C$4),"")</f>
        <v/>
      </c>
      <c r="AZ936" s="53" t="str">
        <f aca="false">IF($J936&lt;&gt;"",$J936,"")</f>
        <v/>
      </c>
      <c r="BA936" s="52" t="str">
        <f aca="false">IF($A936&lt;&gt;"",$A936,"")</f>
        <v>Apprenant 924</v>
      </c>
      <c r="BB936" s="55" t="str">
        <f aca="false">IF(AND($AR936&lt;&gt;"",$AS936&lt;&gt;""),$AS936-$AR936,"")</f>
        <v/>
      </c>
      <c r="BC936" s="55" t="str">
        <f aca="false">IF(AND($AR936&lt;&gt;"",$AT936&lt;&gt;""),$AT936-$AR936,"")</f>
        <v/>
      </c>
      <c r="BD936" s="55" t="str">
        <f aca="false">IF(AND($AS936&lt;&gt;"",$AT936&lt;&gt;""),$AT936-$AS936,"")</f>
        <v/>
      </c>
      <c r="BE936" s="53" t="str">
        <f aca="false">IF($E936&lt;&gt;"",$E936,"")</f>
        <v/>
      </c>
      <c r="BF936" s="52" t="str">
        <f aca="false">IF($F936&lt;&gt;"",$F936,"")</f>
        <v>Apprenant 924 ou 924'</v>
      </c>
      <c r="BG936" s="55" t="str">
        <f aca="false">IF(AND($AW936&lt;&gt;"",$AX936&lt;&gt;""),$AX936-$AW936,"")</f>
        <v/>
      </c>
      <c r="BH936" s="55" t="str">
        <f aca="false">IF(AND($AW936&lt;&gt;"",$AY936&lt;&gt;""),$AY936-$AW936,"")</f>
        <v/>
      </c>
      <c r="BI936" s="55" t="str">
        <f aca="false">IF(AND($AX936&lt;&gt;"",$AY936&lt;&gt;""),$AY936-$AX936,"")</f>
        <v/>
      </c>
      <c r="BJ936" s="53" t="str">
        <f aca="false">IF($J936&lt;&gt;"",$J936,"")</f>
        <v/>
      </c>
      <c r="BL936" s="52"/>
      <c r="BM936" s="52" t="str">
        <f aca="false">IF(OR(COUNT(B936:D1935)=0,AND('Choix pédagogiques'!$C$3&lt;&gt;1,'Choix pédagogiques'!$C$3&lt;&gt;2)),"",IF(AND(OR('Choix pédagogiques'!$C$3=1,'Choix pédagogiques'!$C$3=2),$B936&lt;&gt;"",$C936&lt;&gt;"",$D936&lt;&gt;""),1,0))</f>
        <v/>
      </c>
      <c r="BN936" s="52" t="str">
        <f aca="false">IF(OR(COUNT(G936:I1935)=0,AND('Choix pédagogiques'!$C$3&lt;&gt;1,'Choix pédagogiques'!$C$3&lt;&gt;2)),"",IF(AND(OR('Choix pédagogiques'!$C$3=1,'Choix pédagogiques'!$C$3=2),AND($G936&lt;&gt;"",$H936&lt;&gt;"",$I936&lt;&gt;"")),1,0))</f>
        <v/>
      </c>
      <c r="BO936" s="52" t="str">
        <f aca="false">IF(OR(COUNT(B936:D1935)=0,COUNT(G936:I1935)=0,'Choix pédagogiques'!C$3&lt;&gt;3),"",IF(AND('Choix pédagogiques'!$C$3=3,$B936&lt;&gt;"",$C936&lt;&gt;"",$D936&lt;&gt;"",$G936&lt;&gt;"",$H936&lt;&gt;"",$I936&lt;&gt;""),1,0))</f>
        <v/>
      </c>
      <c r="BR936" s="52" t="n">
        <v>497</v>
      </c>
      <c r="BS936" s="52" t="n">
        <v>1636</v>
      </c>
    </row>
    <row r="937" s="54" customFormat="true" ht="18" hidden="false" customHeight="true" outlineLevel="0" collapsed="false">
      <c r="A937" s="57" t="s">
        <v>1805</v>
      </c>
      <c r="B937" s="51"/>
      <c r="C937" s="51"/>
      <c r="D937" s="51"/>
      <c r="E937" s="51"/>
      <c r="F937" s="57" t="s">
        <v>1806</v>
      </c>
      <c r="G937" s="51"/>
      <c r="H937" s="51"/>
      <c r="I937" s="51"/>
      <c r="J937" s="51"/>
      <c r="K937" s="52" t="str">
        <f aca="false">IF($A937&lt;&gt;"",$A937,"")</f>
        <v>Apprenant 925</v>
      </c>
      <c r="L937" s="53" t="str">
        <f aca="false">IF(AND($B937&lt;&gt;"",$C937&lt;&gt;""),$C937-$B937,"")</f>
        <v/>
      </c>
      <c r="M937" s="53" t="str">
        <f aca="false">IF(AND($B937&lt;&gt;"",$D937&lt;&gt;""),$D937-$B937,"")</f>
        <v/>
      </c>
      <c r="N937" s="53" t="str">
        <f aca="false">IF(AND($C937&lt;&gt;"",$D937&lt;&gt;""),$D937-$C937,"")</f>
        <v/>
      </c>
      <c r="O937" s="53" t="str">
        <f aca="false">IF($E937&lt;&gt;"",$E937,"")</f>
        <v/>
      </c>
      <c r="P937" s="52" t="str">
        <f aca="false">IF($F937&lt;&gt;"",$F937,"")</f>
        <v>Apprenant 925 ou 925'</v>
      </c>
      <c r="Q937" s="53" t="str">
        <f aca="false">IF(AND($G937&lt;&gt;"",$H937&lt;&gt;""),$H937-$G937,"")</f>
        <v/>
      </c>
      <c r="R937" s="53" t="str">
        <f aca="false">IF(AND($G937&lt;&gt;"",$I937&lt;&gt;""),$I937-$G937,"")</f>
        <v/>
      </c>
      <c r="S937" s="53" t="str">
        <f aca="false">IF(AND($H937&lt;&gt;"",$I937&lt;&gt;""),$I937-$H937,"")</f>
        <v/>
      </c>
      <c r="T937" s="53" t="str">
        <f aca="false">IF($J937&lt;&gt;"",$J937,"")</f>
        <v/>
      </c>
      <c r="V937" s="52" t="str">
        <f aca="false">IF($A937&lt;&gt;"",$A937,"")</f>
        <v>Apprenant 925</v>
      </c>
      <c r="W937" s="53" t="str">
        <f aca="false">IF(AND(OR('Choix pédagogiques'!$C$3=1,'Choix pédagogiques'!$C$3=2),$BM937=1),B937,IF(AND('Choix pédagogiques'!$C$3=3,$BO937=1),B937,""))</f>
        <v/>
      </c>
      <c r="X937" s="53" t="str">
        <f aca="false">IF(AND(OR('Choix pédagogiques'!$C$3=1,'Choix pédagogiques'!$C$3=2),$BM937=1),C937,IF(AND('Choix pédagogiques'!$C$3=3,$BO937=1),C937,""))</f>
        <v/>
      </c>
      <c r="Y937" s="53" t="str">
        <f aca="false">IF(AND(OR('Choix pédagogiques'!$C$3=1,'Choix pédagogiques'!$C$3=2),$BM937=1),D937,IF(AND('Choix pédagogiques'!$C$3=3,$BO937=1),D937,""))</f>
        <v/>
      </c>
      <c r="Z937" s="53" t="str">
        <f aca="false">IF($E937&lt;&gt;"",$E937,"")</f>
        <v/>
      </c>
      <c r="AA937" s="52" t="str">
        <f aca="false">IF($F937&lt;&gt;"",$F937,"")</f>
        <v>Apprenant 925 ou 925'</v>
      </c>
      <c r="AB937" s="53" t="str">
        <f aca="false">IF(AND(OR('Choix pédagogiques'!$C$3=1,'Choix pédagogiques'!$C$3=2),$BN937=1),G937,IF(AND('Choix pédagogiques'!$C$3=3,$BO937=1),G937,""))</f>
        <v/>
      </c>
      <c r="AC937" s="53" t="str">
        <f aca="false">IF(AND(OR('Choix pédagogiques'!$C$3=1,'Choix pédagogiques'!$C$3=2),$BN937=1),H937,IF(AND('Choix pédagogiques'!$C$3=3,$BO937=1),H937,""))</f>
        <v/>
      </c>
      <c r="AD937" s="53" t="str">
        <f aca="false">IF(AND(OR('Choix pédagogiques'!$C$3=1,'Choix pédagogiques'!$C$3=2),$BN937=1),I937,IF(AND('Choix pédagogiques'!$C$3=3,$BO937=1),I937,""))</f>
        <v/>
      </c>
      <c r="AE937" s="53" t="str">
        <f aca="false">IF($J937&lt;&gt;"",$J937,"")</f>
        <v/>
      </c>
      <c r="AF937" s="52" t="str">
        <f aca="false">IF($A937&lt;&gt;"",$A937,"")</f>
        <v>Apprenant 925</v>
      </c>
      <c r="AG937" s="53" t="str">
        <f aca="false">IF(AND($W937&lt;&gt;"",$X937&lt;&gt;""),$X937-$W937,"")</f>
        <v/>
      </c>
      <c r="AH937" s="53" t="str">
        <f aca="false">IF(AND($W937&lt;&gt;"",$Y937&lt;&gt;""),$Y937-$W937,"")</f>
        <v/>
      </c>
      <c r="AI937" s="53" t="str">
        <f aca="false">IF(AND($X937&lt;&gt;"",$Y937&lt;&gt;""),$Y937-$X937,"")</f>
        <v/>
      </c>
      <c r="AJ937" s="53" t="str">
        <f aca="false">IF($E937&lt;&gt;"",$E937,"")</f>
        <v/>
      </c>
      <c r="AK937" s="52" t="str">
        <f aca="false">IF($F937&lt;&gt;"",$F937,"")</f>
        <v>Apprenant 925 ou 925'</v>
      </c>
      <c r="AL937" s="53" t="str">
        <f aca="false">IF(AND($AB937&lt;&gt;"",$AC937&lt;&gt;""),$AC937-$AB937,"")</f>
        <v/>
      </c>
      <c r="AM937" s="53" t="str">
        <f aca="false">IF(AND($AB937&lt;&gt;"",$AD937&lt;&gt;""),$AD937-$AB937,"")</f>
        <v/>
      </c>
      <c r="AN937" s="53" t="str">
        <f aca="false">IF(AND($AC937&lt;&gt;"",$AD937&lt;&gt;""),$AD937-$AC937,"")</f>
        <v/>
      </c>
      <c r="AO937" s="53" t="str">
        <f aca="false">IF($J937&lt;&gt;"",$J937,"")</f>
        <v/>
      </c>
      <c r="AQ937" s="52" t="str">
        <f aca="false">IF($A937&lt;&gt;"",$A937,"")</f>
        <v>Apprenant 925</v>
      </c>
      <c r="AR937" s="55" t="str">
        <f aca="false">IF(AND('Choix pédagogiques'!$C$4&lt;&gt;"?",'Choix pédagogiques'!$C$5&lt;&gt;"?",W937&lt;&gt;""),(W937-'Choix pédagogiques'!$C$4)/('Choix pédagogiques'!$C$5-'Choix pédagogiques'!$C$4),"")</f>
        <v/>
      </c>
      <c r="AS937" s="55" t="str">
        <f aca="false">IF(AND('Choix pédagogiques'!$C$4&lt;&gt;"?",'Choix pédagogiques'!$C$5&lt;&gt;"?",X937&lt;&gt;""),(X937-'Choix pédagogiques'!$C$4)/('Choix pédagogiques'!$C$5-'Choix pédagogiques'!$C$4),"")</f>
        <v/>
      </c>
      <c r="AT937" s="55" t="str">
        <f aca="false">IF(AND('Choix pédagogiques'!$C$4&lt;&gt;"?",'Choix pédagogiques'!$C$5&lt;&gt;"?",Y937&lt;&gt;""),(Y937-'Choix pédagogiques'!$C$4)/('Choix pédagogiques'!$C$5-'Choix pédagogiques'!$C$4),"")</f>
        <v/>
      </c>
      <c r="AU937" s="53" t="str">
        <f aca="false">IF($E937&lt;&gt;"",$E937,"")</f>
        <v/>
      </c>
      <c r="AV937" s="52" t="str">
        <f aca="false">IF($F937&lt;&gt;"",$F937,"")</f>
        <v>Apprenant 925 ou 925'</v>
      </c>
      <c r="AW937" s="55" t="str">
        <f aca="false">IF(AND('Choix pédagogiques'!$C$4&lt;&gt;"?",'Choix pédagogiques'!$C$5&lt;&gt;"?",AB937&lt;&gt;""),(AB937-'Choix pédagogiques'!$C$4)/('Choix pédagogiques'!$C$5-'Choix pédagogiques'!$C$4),"")</f>
        <v/>
      </c>
      <c r="AX937" s="55" t="str">
        <f aca="false">IF(AND('Choix pédagogiques'!$C$4&lt;&gt;"?",'Choix pédagogiques'!$C$5&lt;&gt;"?",AC937&lt;&gt;""),(AC937-'Choix pédagogiques'!$C$4)/('Choix pédagogiques'!$C$5-'Choix pédagogiques'!$C$4),"")</f>
        <v/>
      </c>
      <c r="AY937" s="55" t="str">
        <f aca="false">IF(AND('Choix pédagogiques'!$C$4&lt;&gt;"?",'Choix pédagogiques'!$C$5&lt;&gt;"?",AD937&lt;&gt;""),(AD937-'Choix pédagogiques'!$C$4)/('Choix pédagogiques'!$C$5-'Choix pédagogiques'!$C$4),"")</f>
        <v/>
      </c>
      <c r="AZ937" s="53" t="str">
        <f aca="false">IF($J937&lt;&gt;"",$J937,"")</f>
        <v/>
      </c>
      <c r="BA937" s="52" t="str">
        <f aca="false">IF($A937&lt;&gt;"",$A937,"")</f>
        <v>Apprenant 925</v>
      </c>
      <c r="BB937" s="55" t="str">
        <f aca="false">IF(AND($AR937&lt;&gt;"",$AS937&lt;&gt;""),$AS937-$AR937,"")</f>
        <v/>
      </c>
      <c r="BC937" s="55" t="str">
        <f aca="false">IF(AND($AR937&lt;&gt;"",$AT937&lt;&gt;""),$AT937-$AR937,"")</f>
        <v/>
      </c>
      <c r="BD937" s="55" t="str">
        <f aca="false">IF(AND($AS937&lt;&gt;"",$AT937&lt;&gt;""),$AT937-$AS937,"")</f>
        <v/>
      </c>
      <c r="BE937" s="53" t="str">
        <f aca="false">IF($E937&lt;&gt;"",$E937,"")</f>
        <v/>
      </c>
      <c r="BF937" s="52" t="str">
        <f aca="false">IF($F937&lt;&gt;"",$F937,"")</f>
        <v>Apprenant 925 ou 925'</v>
      </c>
      <c r="BG937" s="55" t="str">
        <f aca="false">IF(AND($AW937&lt;&gt;"",$AX937&lt;&gt;""),$AX937-$AW937,"")</f>
        <v/>
      </c>
      <c r="BH937" s="55" t="str">
        <f aca="false">IF(AND($AW937&lt;&gt;"",$AY937&lt;&gt;""),$AY937-$AW937,"")</f>
        <v/>
      </c>
      <c r="BI937" s="55" t="str">
        <f aca="false">IF(AND($AX937&lt;&gt;"",$AY937&lt;&gt;""),$AY937-$AX937,"")</f>
        <v/>
      </c>
      <c r="BJ937" s="53" t="str">
        <f aca="false">IF($J937&lt;&gt;"",$J937,"")</f>
        <v/>
      </c>
      <c r="BL937" s="52"/>
      <c r="BM937" s="52" t="str">
        <f aca="false">IF(OR(COUNT(B937:D1936)=0,AND('Choix pédagogiques'!$C$3&lt;&gt;1,'Choix pédagogiques'!$C$3&lt;&gt;2)),"",IF(AND(OR('Choix pédagogiques'!$C$3=1,'Choix pédagogiques'!$C$3=2),$B937&lt;&gt;"",$C937&lt;&gt;"",$D937&lt;&gt;""),1,0))</f>
        <v/>
      </c>
      <c r="BN937" s="52" t="str">
        <f aca="false">IF(OR(COUNT(G937:I1936)=0,AND('Choix pédagogiques'!$C$3&lt;&gt;1,'Choix pédagogiques'!$C$3&lt;&gt;2)),"",IF(AND(OR('Choix pédagogiques'!$C$3=1,'Choix pédagogiques'!$C$3=2),AND($G937&lt;&gt;"",$H937&lt;&gt;"",$I937&lt;&gt;"")),1,0))</f>
        <v/>
      </c>
      <c r="BO937" s="52" t="str">
        <f aca="false">IF(OR(COUNT(B937:D1936)=0,COUNT(G937:I1936)=0,'Choix pédagogiques'!C$3&lt;&gt;3),"",IF(AND('Choix pédagogiques'!$C$3=3,$B937&lt;&gt;"",$C937&lt;&gt;"",$D937&lt;&gt;"",$G937&lt;&gt;"",$H937&lt;&gt;"",$I937&lt;&gt;""),1,0))</f>
        <v/>
      </c>
      <c r="BR937" s="52" t="n">
        <v>186</v>
      </c>
      <c r="BS937" s="52" t="n">
        <v>1970</v>
      </c>
    </row>
    <row r="938" s="54" customFormat="true" ht="18" hidden="false" customHeight="true" outlineLevel="0" collapsed="false">
      <c r="A938" s="57" t="s">
        <v>1807</v>
      </c>
      <c r="B938" s="51"/>
      <c r="C938" s="51"/>
      <c r="D938" s="51"/>
      <c r="E938" s="51"/>
      <c r="F938" s="57" t="s">
        <v>1808</v>
      </c>
      <c r="G938" s="51"/>
      <c r="H938" s="51"/>
      <c r="I938" s="51"/>
      <c r="J938" s="51"/>
      <c r="K938" s="52" t="str">
        <f aca="false">IF($A938&lt;&gt;"",$A938,"")</f>
        <v>Apprenant 926</v>
      </c>
      <c r="L938" s="53" t="str">
        <f aca="false">IF(AND($B938&lt;&gt;"",$C938&lt;&gt;""),$C938-$B938,"")</f>
        <v/>
      </c>
      <c r="M938" s="53" t="str">
        <f aca="false">IF(AND($B938&lt;&gt;"",$D938&lt;&gt;""),$D938-$B938,"")</f>
        <v/>
      </c>
      <c r="N938" s="53" t="str">
        <f aca="false">IF(AND($C938&lt;&gt;"",$D938&lt;&gt;""),$D938-$C938,"")</f>
        <v/>
      </c>
      <c r="O938" s="53" t="str">
        <f aca="false">IF($E938&lt;&gt;"",$E938,"")</f>
        <v/>
      </c>
      <c r="P938" s="52" t="str">
        <f aca="false">IF($F938&lt;&gt;"",$F938,"")</f>
        <v>Apprenant 926 ou 926'</v>
      </c>
      <c r="Q938" s="53" t="str">
        <f aca="false">IF(AND($G938&lt;&gt;"",$H938&lt;&gt;""),$H938-$G938,"")</f>
        <v/>
      </c>
      <c r="R938" s="53" t="str">
        <f aca="false">IF(AND($G938&lt;&gt;"",$I938&lt;&gt;""),$I938-$G938,"")</f>
        <v/>
      </c>
      <c r="S938" s="53" t="str">
        <f aca="false">IF(AND($H938&lt;&gt;"",$I938&lt;&gt;""),$I938-$H938,"")</f>
        <v/>
      </c>
      <c r="T938" s="53" t="str">
        <f aca="false">IF($J938&lt;&gt;"",$J938,"")</f>
        <v/>
      </c>
      <c r="V938" s="52" t="str">
        <f aca="false">IF($A938&lt;&gt;"",$A938,"")</f>
        <v>Apprenant 926</v>
      </c>
      <c r="W938" s="53" t="str">
        <f aca="false">IF(AND(OR('Choix pédagogiques'!$C$3=1,'Choix pédagogiques'!$C$3=2),$BM938=1),B938,IF(AND('Choix pédagogiques'!$C$3=3,$BO938=1),B938,""))</f>
        <v/>
      </c>
      <c r="X938" s="53" t="str">
        <f aca="false">IF(AND(OR('Choix pédagogiques'!$C$3=1,'Choix pédagogiques'!$C$3=2),$BM938=1),C938,IF(AND('Choix pédagogiques'!$C$3=3,$BO938=1),C938,""))</f>
        <v/>
      </c>
      <c r="Y938" s="53" t="str">
        <f aca="false">IF(AND(OR('Choix pédagogiques'!$C$3=1,'Choix pédagogiques'!$C$3=2),$BM938=1),D938,IF(AND('Choix pédagogiques'!$C$3=3,$BO938=1),D938,""))</f>
        <v/>
      </c>
      <c r="Z938" s="53" t="str">
        <f aca="false">IF($E938&lt;&gt;"",$E938,"")</f>
        <v/>
      </c>
      <c r="AA938" s="52" t="str">
        <f aca="false">IF($F938&lt;&gt;"",$F938,"")</f>
        <v>Apprenant 926 ou 926'</v>
      </c>
      <c r="AB938" s="53" t="str">
        <f aca="false">IF(AND(OR('Choix pédagogiques'!$C$3=1,'Choix pédagogiques'!$C$3=2),$BN938=1),G938,IF(AND('Choix pédagogiques'!$C$3=3,$BO938=1),G938,""))</f>
        <v/>
      </c>
      <c r="AC938" s="53" t="str">
        <f aca="false">IF(AND(OR('Choix pédagogiques'!$C$3=1,'Choix pédagogiques'!$C$3=2),$BN938=1),H938,IF(AND('Choix pédagogiques'!$C$3=3,$BO938=1),H938,""))</f>
        <v/>
      </c>
      <c r="AD938" s="53" t="str">
        <f aca="false">IF(AND(OR('Choix pédagogiques'!$C$3=1,'Choix pédagogiques'!$C$3=2),$BN938=1),I938,IF(AND('Choix pédagogiques'!$C$3=3,$BO938=1),I938,""))</f>
        <v/>
      </c>
      <c r="AE938" s="53" t="str">
        <f aca="false">IF($J938&lt;&gt;"",$J938,"")</f>
        <v/>
      </c>
      <c r="AF938" s="52" t="str">
        <f aca="false">IF($A938&lt;&gt;"",$A938,"")</f>
        <v>Apprenant 926</v>
      </c>
      <c r="AG938" s="53" t="str">
        <f aca="false">IF(AND($W938&lt;&gt;"",$X938&lt;&gt;""),$X938-$W938,"")</f>
        <v/>
      </c>
      <c r="AH938" s="53" t="str">
        <f aca="false">IF(AND($W938&lt;&gt;"",$Y938&lt;&gt;""),$Y938-$W938,"")</f>
        <v/>
      </c>
      <c r="AI938" s="53" t="str">
        <f aca="false">IF(AND($X938&lt;&gt;"",$Y938&lt;&gt;""),$Y938-$X938,"")</f>
        <v/>
      </c>
      <c r="AJ938" s="53" t="str">
        <f aca="false">IF($E938&lt;&gt;"",$E938,"")</f>
        <v/>
      </c>
      <c r="AK938" s="52" t="str">
        <f aca="false">IF($F938&lt;&gt;"",$F938,"")</f>
        <v>Apprenant 926 ou 926'</v>
      </c>
      <c r="AL938" s="53" t="str">
        <f aca="false">IF(AND($AB938&lt;&gt;"",$AC938&lt;&gt;""),$AC938-$AB938,"")</f>
        <v/>
      </c>
      <c r="AM938" s="53" t="str">
        <f aca="false">IF(AND($AB938&lt;&gt;"",$AD938&lt;&gt;""),$AD938-$AB938,"")</f>
        <v/>
      </c>
      <c r="AN938" s="53" t="str">
        <f aca="false">IF(AND($AC938&lt;&gt;"",$AD938&lt;&gt;""),$AD938-$AC938,"")</f>
        <v/>
      </c>
      <c r="AO938" s="53" t="str">
        <f aca="false">IF($J938&lt;&gt;"",$J938,"")</f>
        <v/>
      </c>
      <c r="AQ938" s="52" t="str">
        <f aca="false">IF($A938&lt;&gt;"",$A938,"")</f>
        <v>Apprenant 926</v>
      </c>
      <c r="AR938" s="55" t="str">
        <f aca="false">IF(AND('Choix pédagogiques'!$C$4&lt;&gt;"?",'Choix pédagogiques'!$C$5&lt;&gt;"?",W938&lt;&gt;""),(W938-'Choix pédagogiques'!$C$4)/('Choix pédagogiques'!$C$5-'Choix pédagogiques'!$C$4),"")</f>
        <v/>
      </c>
      <c r="AS938" s="55" t="str">
        <f aca="false">IF(AND('Choix pédagogiques'!$C$4&lt;&gt;"?",'Choix pédagogiques'!$C$5&lt;&gt;"?",X938&lt;&gt;""),(X938-'Choix pédagogiques'!$C$4)/('Choix pédagogiques'!$C$5-'Choix pédagogiques'!$C$4),"")</f>
        <v/>
      </c>
      <c r="AT938" s="55" t="str">
        <f aca="false">IF(AND('Choix pédagogiques'!$C$4&lt;&gt;"?",'Choix pédagogiques'!$C$5&lt;&gt;"?",Y938&lt;&gt;""),(Y938-'Choix pédagogiques'!$C$4)/('Choix pédagogiques'!$C$5-'Choix pédagogiques'!$C$4),"")</f>
        <v/>
      </c>
      <c r="AU938" s="53" t="str">
        <f aca="false">IF($E938&lt;&gt;"",$E938,"")</f>
        <v/>
      </c>
      <c r="AV938" s="52" t="str">
        <f aca="false">IF($F938&lt;&gt;"",$F938,"")</f>
        <v>Apprenant 926 ou 926'</v>
      </c>
      <c r="AW938" s="55" t="str">
        <f aca="false">IF(AND('Choix pédagogiques'!$C$4&lt;&gt;"?",'Choix pédagogiques'!$C$5&lt;&gt;"?",AB938&lt;&gt;""),(AB938-'Choix pédagogiques'!$C$4)/('Choix pédagogiques'!$C$5-'Choix pédagogiques'!$C$4),"")</f>
        <v/>
      </c>
      <c r="AX938" s="55" t="str">
        <f aca="false">IF(AND('Choix pédagogiques'!$C$4&lt;&gt;"?",'Choix pédagogiques'!$C$5&lt;&gt;"?",AC938&lt;&gt;""),(AC938-'Choix pédagogiques'!$C$4)/('Choix pédagogiques'!$C$5-'Choix pédagogiques'!$C$4),"")</f>
        <v/>
      </c>
      <c r="AY938" s="55" t="str">
        <f aca="false">IF(AND('Choix pédagogiques'!$C$4&lt;&gt;"?",'Choix pédagogiques'!$C$5&lt;&gt;"?",AD938&lt;&gt;""),(AD938-'Choix pédagogiques'!$C$4)/('Choix pédagogiques'!$C$5-'Choix pédagogiques'!$C$4),"")</f>
        <v/>
      </c>
      <c r="AZ938" s="53" t="str">
        <f aca="false">IF($J938&lt;&gt;"",$J938,"")</f>
        <v/>
      </c>
      <c r="BA938" s="52" t="str">
        <f aca="false">IF($A938&lt;&gt;"",$A938,"")</f>
        <v>Apprenant 926</v>
      </c>
      <c r="BB938" s="55" t="str">
        <f aca="false">IF(AND($AR938&lt;&gt;"",$AS938&lt;&gt;""),$AS938-$AR938,"")</f>
        <v/>
      </c>
      <c r="BC938" s="55" t="str">
        <f aca="false">IF(AND($AR938&lt;&gt;"",$AT938&lt;&gt;""),$AT938-$AR938,"")</f>
        <v/>
      </c>
      <c r="BD938" s="55" t="str">
        <f aca="false">IF(AND($AS938&lt;&gt;"",$AT938&lt;&gt;""),$AT938-$AS938,"")</f>
        <v/>
      </c>
      <c r="BE938" s="53" t="str">
        <f aca="false">IF($E938&lt;&gt;"",$E938,"")</f>
        <v/>
      </c>
      <c r="BF938" s="52" t="str">
        <f aca="false">IF($F938&lt;&gt;"",$F938,"")</f>
        <v>Apprenant 926 ou 926'</v>
      </c>
      <c r="BG938" s="55" t="str">
        <f aca="false">IF(AND($AW938&lt;&gt;"",$AX938&lt;&gt;""),$AX938-$AW938,"")</f>
        <v/>
      </c>
      <c r="BH938" s="55" t="str">
        <f aca="false">IF(AND($AW938&lt;&gt;"",$AY938&lt;&gt;""),$AY938-$AW938,"")</f>
        <v/>
      </c>
      <c r="BI938" s="55" t="str">
        <f aca="false">IF(AND($AX938&lt;&gt;"",$AY938&lt;&gt;""),$AY938-$AX938,"")</f>
        <v/>
      </c>
      <c r="BJ938" s="53" t="str">
        <f aca="false">IF($J938&lt;&gt;"",$J938,"")</f>
        <v/>
      </c>
      <c r="BL938" s="52"/>
      <c r="BM938" s="52" t="str">
        <f aca="false">IF(OR(COUNT(B938:D1937)=0,AND('Choix pédagogiques'!$C$3&lt;&gt;1,'Choix pédagogiques'!$C$3&lt;&gt;2)),"",IF(AND(OR('Choix pédagogiques'!$C$3=1,'Choix pédagogiques'!$C$3=2),$B938&lt;&gt;"",$C938&lt;&gt;"",$D938&lt;&gt;""),1,0))</f>
        <v/>
      </c>
      <c r="BN938" s="52" t="str">
        <f aca="false">IF(OR(COUNT(G938:I1937)=0,AND('Choix pédagogiques'!$C$3&lt;&gt;1,'Choix pédagogiques'!$C$3&lt;&gt;2)),"",IF(AND(OR('Choix pédagogiques'!$C$3=1,'Choix pédagogiques'!$C$3=2),AND($G938&lt;&gt;"",$H938&lt;&gt;"",$I938&lt;&gt;"")),1,0))</f>
        <v/>
      </c>
      <c r="BO938" s="52" t="str">
        <f aca="false">IF(OR(COUNT(B938:D1937)=0,COUNT(G938:I1937)=0,'Choix pédagogiques'!C$3&lt;&gt;3),"",IF(AND('Choix pédagogiques'!$C$3=3,$B938&lt;&gt;"",$C938&lt;&gt;"",$D938&lt;&gt;"",$G938&lt;&gt;"",$H938&lt;&gt;"",$I938&lt;&gt;""),1,0))</f>
        <v/>
      </c>
      <c r="BR938" s="52" t="n">
        <v>988</v>
      </c>
      <c r="BS938" s="52" t="n">
        <v>1307</v>
      </c>
    </row>
    <row r="939" s="54" customFormat="true" ht="18" hidden="false" customHeight="true" outlineLevel="0" collapsed="false">
      <c r="A939" s="57" t="s">
        <v>1809</v>
      </c>
      <c r="B939" s="51"/>
      <c r="C939" s="51"/>
      <c r="D939" s="51"/>
      <c r="E939" s="51"/>
      <c r="F939" s="57" t="s">
        <v>1810</v>
      </c>
      <c r="G939" s="51"/>
      <c r="H939" s="51"/>
      <c r="I939" s="51"/>
      <c r="J939" s="51"/>
      <c r="K939" s="52" t="str">
        <f aca="false">IF($A939&lt;&gt;"",$A939,"")</f>
        <v>Apprenant 927</v>
      </c>
      <c r="L939" s="53" t="str">
        <f aca="false">IF(AND($B939&lt;&gt;"",$C939&lt;&gt;""),$C939-$B939,"")</f>
        <v/>
      </c>
      <c r="M939" s="53" t="str">
        <f aca="false">IF(AND($B939&lt;&gt;"",$D939&lt;&gt;""),$D939-$B939,"")</f>
        <v/>
      </c>
      <c r="N939" s="53" t="str">
        <f aca="false">IF(AND($C939&lt;&gt;"",$D939&lt;&gt;""),$D939-$C939,"")</f>
        <v/>
      </c>
      <c r="O939" s="53" t="str">
        <f aca="false">IF($E939&lt;&gt;"",$E939,"")</f>
        <v/>
      </c>
      <c r="P939" s="52" t="str">
        <f aca="false">IF($F939&lt;&gt;"",$F939,"")</f>
        <v>Apprenant 927 ou 927'</v>
      </c>
      <c r="Q939" s="53" t="str">
        <f aca="false">IF(AND($G939&lt;&gt;"",$H939&lt;&gt;""),$H939-$G939,"")</f>
        <v/>
      </c>
      <c r="R939" s="53" t="str">
        <f aca="false">IF(AND($G939&lt;&gt;"",$I939&lt;&gt;""),$I939-$G939,"")</f>
        <v/>
      </c>
      <c r="S939" s="53" t="str">
        <f aca="false">IF(AND($H939&lt;&gt;"",$I939&lt;&gt;""),$I939-$H939,"")</f>
        <v/>
      </c>
      <c r="T939" s="53" t="str">
        <f aca="false">IF($J939&lt;&gt;"",$J939,"")</f>
        <v/>
      </c>
      <c r="V939" s="52" t="str">
        <f aca="false">IF($A939&lt;&gt;"",$A939,"")</f>
        <v>Apprenant 927</v>
      </c>
      <c r="W939" s="53" t="str">
        <f aca="false">IF(AND(OR('Choix pédagogiques'!$C$3=1,'Choix pédagogiques'!$C$3=2),$BM939=1),B939,IF(AND('Choix pédagogiques'!$C$3=3,$BO939=1),B939,""))</f>
        <v/>
      </c>
      <c r="X939" s="53" t="str">
        <f aca="false">IF(AND(OR('Choix pédagogiques'!$C$3=1,'Choix pédagogiques'!$C$3=2),$BM939=1),C939,IF(AND('Choix pédagogiques'!$C$3=3,$BO939=1),C939,""))</f>
        <v/>
      </c>
      <c r="Y939" s="53" t="str">
        <f aca="false">IF(AND(OR('Choix pédagogiques'!$C$3=1,'Choix pédagogiques'!$C$3=2),$BM939=1),D939,IF(AND('Choix pédagogiques'!$C$3=3,$BO939=1),D939,""))</f>
        <v/>
      </c>
      <c r="Z939" s="53" t="str">
        <f aca="false">IF($E939&lt;&gt;"",$E939,"")</f>
        <v/>
      </c>
      <c r="AA939" s="52" t="str">
        <f aca="false">IF($F939&lt;&gt;"",$F939,"")</f>
        <v>Apprenant 927 ou 927'</v>
      </c>
      <c r="AB939" s="53" t="str">
        <f aca="false">IF(AND(OR('Choix pédagogiques'!$C$3=1,'Choix pédagogiques'!$C$3=2),$BN939=1),G939,IF(AND('Choix pédagogiques'!$C$3=3,$BO939=1),G939,""))</f>
        <v/>
      </c>
      <c r="AC939" s="53" t="str">
        <f aca="false">IF(AND(OR('Choix pédagogiques'!$C$3=1,'Choix pédagogiques'!$C$3=2),$BN939=1),H939,IF(AND('Choix pédagogiques'!$C$3=3,$BO939=1),H939,""))</f>
        <v/>
      </c>
      <c r="AD939" s="53" t="str">
        <f aca="false">IF(AND(OR('Choix pédagogiques'!$C$3=1,'Choix pédagogiques'!$C$3=2),$BN939=1),I939,IF(AND('Choix pédagogiques'!$C$3=3,$BO939=1),I939,""))</f>
        <v/>
      </c>
      <c r="AE939" s="53" t="str">
        <f aca="false">IF($J939&lt;&gt;"",$J939,"")</f>
        <v/>
      </c>
      <c r="AF939" s="52" t="str">
        <f aca="false">IF($A939&lt;&gt;"",$A939,"")</f>
        <v>Apprenant 927</v>
      </c>
      <c r="AG939" s="53" t="str">
        <f aca="false">IF(AND($W939&lt;&gt;"",$X939&lt;&gt;""),$X939-$W939,"")</f>
        <v/>
      </c>
      <c r="AH939" s="53" t="str">
        <f aca="false">IF(AND($W939&lt;&gt;"",$Y939&lt;&gt;""),$Y939-$W939,"")</f>
        <v/>
      </c>
      <c r="AI939" s="53" t="str">
        <f aca="false">IF(AND($X939&lt;&gt;"",$Y939&lt;&gt;""),$Y939-$X939,"")</f>
        <v/>
      </c>
      <c r="AJ939" s="53" t="str">
        <f aca="false">IF($E939&lt;&gt;"",$E939,"")</f>
        <v/>
      </c>
      <c r="AK939" s="52" t="str">
        <f aca="false">IF($F939&lt;&gt;"",$F939,"")</f>
        <v>Apprenant 927 ou 927'</v>
      </c>
      <c r="AL939" s="53" t="str">
        <f aca="false">IF(AND($AB939&lt;&gt;"",$AC939&lt;&gt;""),$AC939-$AB939,"")</f>
        <v/>
      </c>
      <c r="AM939" s="53" t="str">
        <f aca="false">IF(AND($AB939&lt;&gt;"",$AD939&lt;&gt;""),$AD939-$AB939,"")</f>
        <v/>
      </c>
      <c r="AN939" s="53" t="str">
        <f aca="false">IF(AND($AC939&lt;&gt;"",$AD939&lt;&gt;""),$AD939-$AC939,"")</f>
        <v/>
      </c>
      <c r="AO939" s="53" t="str">
        <f aca="false">IF($J939&lt;&gt;"",$J939,"")</f>
        <v/>
      </c>
      <c r="AQ939" s="52" t="str">
        <f aca="false">IF($A939&lt;&gt;"",$A939,"")</f>
        <v>Apprenant 927</v>
      </c>
      <c r="AR939" s="55" t="str">
        <f aca="false">IF(AND('Choix pédagogiques'!$C$4&lt;&gt;"?",'Choix pédagogiques'!$C$5&lt;&gt;"?",W939&lt;&gt;""),(W939-'Choix pédagogiques'!$C$4)/('Choix pédagogiques'!$C$5-'Choix pédagogiques'!$C$4),"")</f>
        <v/>
      </c>
      <c r="AS939" s="55" t="str">
        <f aca="false">IF(AND('Choix pédagogiques'!$C$4&lt;&gt;"?",'Choix pédagogiques'!$C$5&lt;&gt;"?",X939&lt;&gt;""),(X939-'Choix pédagogiques'!$C$4)/('Choix pédagogiques'!$C$5-'Choix pédagogiques'!$C$4),"")</f>
        <v/>
      </c>
      <c r="AT939" s="55" t="str">
        <f aca="false">IF(AND('Choix pédagogiques'!$C$4&lt;&gt;"?",'Choix pédagogiques'!$C$5&lt;&gt;"?",Y939&lt;&gt;""),(Y939-'Choix pédagogiques'!$C$4)/('Choix pédagogiques'!$C$5-'Choix pédagogiques'!$C$4),"")</f>
        <v/>
      </c>
      <c r="AU939" s="53" t="str">
        <f aca="false">IF($E939&lt;&gt;"",$E939,"")</f>
        <v/>
      </c>
      <c r="AV939" s="52" t="str">
        <f aca="false">IF($F939&lt;&gt;"",$F939,"")</f>
        <v>Apprenant 927 ou 927'</v>
      </c>
      <c r="AW939" s="55" t="str">
        <f aca="false">IF(AND('Choix pédagogiques'!$C$4&lt;&gt;"?",'Choix pédagogiques'!$C$5&lt;&gt;"?",AB939&lt;&gt;""),(AB939-'Choix pédagogiques'!$C$4)/('Choix pédagogiques'!$C$5-'Choix pédagogiques'!$C$4),"")</f>
        <v/>
      </c>
      <c r="AX939" s="55" t="str">
        <f aca="false">IF(AND('Choix pédagogiques'!$C$4&lt;&gt;"?",'Choix pédagogiques'!$C$5&lt;&gt;"?",AC939&lt;&gt;""),(AC939-'Choix pédagogiques'!$C$4)/('Choix pédagogiques'!$C$5-'Choix pédagogiques'!$C$4),"")</f>
        <v/>
      </c>
      <c r="AY939" s="55" t="str">
        <f aca="false">IF(AND('Choix pédagogiques'!$C$4&lt;&gt;"?",'Choix pédagogiques'!$C$5&lt;&gt;"?",AD939&lt;&gt;""),(AD939-'Choix pédagogiques'!$C$4)/('Choix pédagogiques'!$C$5-'Choix pédagogiques'!$C$4),"")</f>
        <v/>
      </c>
      <c r="AZ939" s="53" t="str">
        <f aca="false">IF($J939&lt;&gt;"",$J939,"")</f>
        <v/>
      </c>
      <c r="BA939" s="52" t="str">
        <f aca="false">IF($A939&lt;&gt;"",$A939,"")</f>
        <v>Apprenant 927</v>
      </c>
      <c r="BB939" s="55" t="str">
        <f aca="false">IF(AND($AR939&lt;&gt;"",$AS939&lt;&gt;""),$AS939-$AR939,"")</f>
        <v/>
      </c>
      <c r="BC939" s="55" t="str">
        <f aca="false">IF(AND($AR939&lt;&gt;"",$AT939&lt;&gt;""),$AT939-$AR939,"")</f>
        <v/>
      </c>
      <c r="BD939" s="55" t="str">
        <f aca="false">IF(AND($AS939&lt;&gt;"",$AT939&lt;&gt;""),$AT939-$AS939,"")</f>
        <v/>
      </c>
      <c r="BE939" s="53" t="str">
        <f aca="false">IF($E939&lt;&gt;"",$E939,"")</f>
        <v/>
      </c>
      <c r="BF939" s="52" t="str">
        <f aca="false">IF($F939&lt;&gt;"",$F939,"")</f>
        <v>Apprenant 927 ou 927'</v>
      </c>
      <c r="BG939" s="55" t="str">
        <f aca="false">IF(AND($AW939&lt;&gt;"",$AX939&lt;&gt;""),$AX939-$AW939,"")</f>
        <v/>
      </c>
      <c r="BH939" s="55" t="str">
        <f aca="false">IF(AND($AW939&lt;&gt;"",$AY939&lt;&gt;""),$AY939-$AW939,"")</f>
        <v/>
      </c>
      <c r="BI939" s="55" t="str">
        <f aca="false">IF(AND($AX939&lt;&gt;"",$AY939&lt;&gt;""),$AY939-$AX939,"")</f>
        <v/>
      </c>
      <c r="BJ939" s="53" t="str">
        <f aca="false">IF($J939&lt;&gt;"",$J939,"")</f>
        <v/>
      </c>
      <c r="BL939" s="52"/>
      <c r="BM939" s="52" t="str">
        <f aca="false">IF(OR(COUNT(B939:D1938)=0,AND('Choix pédagogiques'!$C$3&lt;&gt;1,'Choix pédagogiques'!$C$3&lt;&gt;2)),"",IF(AND(OR('Choix pédagogiques'!$C$3=1,'Choix pédagogiques'!$C$3=2),$B939&lt;&gt;"",$C939&lt;&gt;"",$D939&lt;&gt;""),1,0))</f>
        <v/>
      </c>
      <c r="BN939" s="52" t="str">
        <f aca="false">IF(OR(COUNT(G939:I1938)=0,AND('Choix pédagogiques'!$C$3&lt;&gt;1,'Choix pédagogiques'!$C$3&lt;&gt;2)),"",IF(AND(OR('Choix pédagogiques'!$C$3=1,'Choix pédagogiques'!$C$3=2),AND($G939&lt;&gt;"",$H939&lt;&gt;"",$I939&lt;&gt;"")),1,0))</f>
        <v/>
      </c>
      <c r="BO939" s="52" t="str">
        <f aca="false">IF(OR(COUNT(B939:D1938)=0,COUNT(G939:I1938)=0,'Choix pédagogiques'!C$3&lt;&gt;3),"",IF(AND('Choix pédagogiques'!$C$3=3,$B939&lt;&gt;"",$C939&lt;&gt;"",$D939&lt;&gt;"",$G939&lt;&gt;"",$H939&lt;&gt;"",$I939&lt;&gt;""),1,0))</f>
        <v/>
      </c>
      <c r="BR939" s="52" t="n">
        <v>402</v>
      </c>
      <c r="BS939" s="52" t="n">
        <v>1722</v>
      </c>
    </row>
    <row r="940" s="54" customFormat="true" ht="18" hidden="false" customHeight="true" outlineLevel="0" collapsed="false">
      <c r="A940" s="57" t="s">
        <v>1811</v>
      </c>
      <c r="B940" s="51"/>
      <c r="C940" s="51"/>
      <c r="D940" s="51"/>
      <c r="E940" s="51"/>
      <c r="F940" s="57" t="s">
        <v>1812</v>
      </c>
      <c r="G940" s="51"/>
      <c r="H940" s="51"/>
      <c r="I940" s="51"/>
      <c r="J940" s="51"/>
      <c r="K940" s="52" t="str">
        <f aca="false">IF($A940&lt;&gt;"",$A940,"")</f>
        <v>Apprenant 928</v>
      </c>
      <c r="L940" s="53" t="str">
        <f aca="false">IF(AND($B940&lt;&gt;"",$C940&lt;&gt;""),$C940-$B940,"")</f>
        <v/>
      </c>
      <c r="M940" s="53" t="str">
        <f aca="false">IF(AND($B940&lt;&gt;"",$D940&lt;&gt;""),$D940-$B940,"")</f>
        <v/>
      </c>
      <c r="N940" s="53" t="str">
        <f aca="false">IF(AND($C940&lt;&gt;"",$D940&lt;&gt;""),$D940-$C940,"")</f>
        <v/>
      </c>
      <c r="O940" s="53" t="str">
        <f aca="false">IF($E940&lt;&gt;"",$E940,"")</f>
        <v/>
      </c>
      <c r="P940" s="52" t="str">
        <f aca="false">IF($F940&lt;&gt;"",$F940,"")</f>
        <v>Apprenant 928 ou 928'</v>
      </c>
      <c r="Q940" s="53" t="str">
        <f aca="false">IF(AND($G940&lt;&gt;"",$H940&lt;&gt;""),$H940-$G940,"")</f>
        <v/>
      </c>
      <c r="R940" s="53" t="str">
        <f aca="false">IF(AND($G940&lt;&gt;"",$I940&lt;&gt;""),$I940-$G940,"")</f>
        <v/>
      </c>
      <c r="S940" s="53" t="str">
        <f aca="false">IF(AND($H940&lt;&gt;"",$I940&lt;&gt;""),$I940-$H940,"")</f>
        <v/>
      </c>
      <c r="T940" s="53" t="str">
        <f aca="false">IF($J940&lt;&gt;"",$J940,"")</f>
        <v/>
      </c>
      <c r="V940" s="52" t="str">
        <f aca="false">IF($A940&lt;&gt;"",$A940,"")</f>
        <v>Apprenant 928</v>
      </c>
      <c r="W940" s="53" t="str">
        <f aca="false">IF(AND(OR('Choix pédagogiques'!$C$3=1,'Choix pédagogiques'!$C$3=2),$BM940=1),B940,IF(AND('Choix pédagogiques'!$C$3=3,$BO940=1),B940,""))</f>
        <v/>
      </c>
      <c r="X940" s="53" t="str">
        <f aca="false">IF(AND(OR('Choix pédagogiques'!$C$3=1,'Choix pédagogiques'!$C$3=2),$BM940=1),C940,IF(AND('Choix pédagogiques'!$C$3=3,$BO940=1),C940,""))</f>
        <v/>
      </c>
      <c r="Y940" s="53" t="str">
        <f aca="false">IF(AND(OR('Choix pédagogiques'!$C$3=1,'Choix pédagogiques'!$C$3=2),$BM940=1),D940,IF(AND('Choix pédagogiques'!$C$3=3,$BO940=1),D940,""))</f>
        <v/>
      </c>
      <c r="Z940" s="53" t="str">
        <f aca="false">IF($E940&lt;&gt;"",$E940,"")</f>
        <v/>
      </c>
      <c r="AA940" s="52" t="str">
        <f aca="false">IF($F940&lt;&gt;"",$F940,"")</f>
        <v>Apprenant 928 ou 928'</v>
      </c>
      <c r="AB940" s="53" t="str">
        <f aca="false">IF(AND(OR('Choix pédagogiques'!$C$3=1,'Choix pédagogiques'!$C$3=2),$BN940=1),G940,IF(AND('Choix pédagogiques'!$C$3=3,$BO940=1),G940,""))</f>
        <v/>
      </c>
      <c r="AC940" s="53" t="str">
        <f aca="false">IF(AND(OR('Choix pédagogiques'!$C$3=1,'Choix pédagogiques'!$C$3=2),$BN940=1),H940,IF(AND('Choix pédagogiques'!$C$3=3,$BO940=1),H940,""))</f>
        <v/>
      </c>
      <c r="AD940" s="53" t="str">
        <f aca="false">IF(AND(OR('Choix pédagogiques'!$C$3=1,'Choix pédagogiques'!$C$3=2),$BN940=1),I940,IF(AND('Choix pédagogiques'!$C$3=3,$BO940=1),I940,""))</f>
        <v/>
      </c>
      <c r="AE940" s="53" t="str">
        <f aca="false">IF($J940&lt;&gt;"",$J940,"")</f>
        <v/>
      </c>
      <c r="AF940" s="52" t="str">
        <f aca="false">IF($A940&lt;&gt;"",$A940,"")</f>
        <v>Apprenant 928</v>
      </c>
      <c r="AG940" s="53" t="str">
        <f aca="false">IF(AND($W940&lt;&gt;"",$X940&lt;&gt;""),$X940-$W940,"")</f>
        <v/>
      </c>
      <c r="AH940" s="53" t="str">
        <f aca="false">IF(AND($W940&lt;&gt;"",$Y940&lt;&gt;""),$Y940-$W940,"")</f>
        <v/>
      </c>
      <c r="AI940" s="53" t="str">
        <f aca="false">IF(AND($X940&lt;&gt;"",$Y940&lt;&gt;""),$Y940-$X940,"")</f>
        <v/>
      </c>
      <c r="AJ940" s="53" t="str">
        <f aca="false">IF($E940&lt;&gt;"",$E940,"")</f>
        <v/>
      </c>
      <c r="AK940" s="52" t="str">
        <f aca="false">IF($F940&lt;&gt;"",$F940,"")</f>
        <v>Apprenant 928 ou 928'</v>
      </c>
      <c r="AL940" s="53" t="str">
        <f aca="false">IF(AND($AB940&lt;&gt;"",$AC940&lt;&gt;""),$AC940-$AB940,"")</f>
        <v/>
      </c>
      <c r="AM940" s="53" t="str">
        <f aca="false">IF(AND($AB940&lt;&gt;"",$AD940&lt;&gt;""),$AD940-$AB940,"")</f>
        <v/>
      </c>
      <c r="AN940" s="53" t="str">
        <f aca="false">IF(AND($AC940&lt;&gt;"",$AD940&lt;&gt;""),$AD940-$AC940,"")</f>
        <v/>
      </c>
      <c r="AO940" s="53" t="str">
        <f aca="false">IF($J940&lt;&gt;"",$J940,"")</f>
        <v/>
      </c>
      <c r="AQ940" s="52" t="str">
        <f aca="false">IF($A940&lt;&gt;"",$A940,"")</f>
        <v>Apprenant 928</v>
      </c>
      <c r="AR940" s="55" t="str">
        <f aca="false">IF(AND('Choix pédagogiques'!$C$4&lt;&gt;"?",'Choix pédagogiques'!$C$5&lt;&gt;"?",W940&lt;&gt;""),(W940-'Choix pédagogiques'!$C$4)/('Choix pédagogiques'!$C$5-'Choix pédagogiques'!$C$4),"")</f>
        <v/>
      </c>
      <c r="AS940" s="55" t="str">
        <f aca="false">IF(AND('Choix pédagogiques'!$C$4&lt;&gt;"?",'Choix pédagogiques'!$C$5&lt;&gt;"?",X940&lt;&gt;""),(X940-'Choix pédagogiques'!$C$4)/('Choix pédagogiques'!$C$5-'Choix pédagogiques'!$C$4),"")</f>
        <v/>
      </c>
      <c r="AT940" s="55" t="str">
        <f aca="false">IF(AND('Choix pédagogiques'!$C$4&lt;&gt;"?",'Choix pédagogiques'!$C$5&lt;&gt;"?",Y940&lt;&gt;""),(Y940-'Choix pédagogiques'!$C$4)/('Choix pédagogiques'!$C$5-'Choix pédagogiques'!$C$4),"")</f>
        <v/>
      </c>
      <c r="AU940" s="53" t="str">
        <f aca="false">IF($E940&lt;&gt;"",$E940,"")</f>
        <v/>
      </c>
      <c r="AV940" s="52" t="str">
        <f aca="false">IF($F940&lt;&gt;"",$F940,"")</f>
        <v>Apprenant 928 ou 928'</v>
      </c>
      <c r="AW940" s="55" t="str">
        <f aca="false">IF(AND('Choix pédagogiques'!$C$4&lt;&gt;"?",'Choix pédagogiques'!$C$5&lt;&gt;"?",AB940&lt;&gt;""),(AB940-'Choix pédagogiques'!$C$4)/('Choix pédagogiques'!$C$5-'Choix pédagogiques'!$C$4),"")</f>
        <v/>
      </c>
      <c r="AX940" s="55" t="str">
        <f aca="false">IF(AND('Choix pédagogiques'!$C$4&lt;&gt;"?",'Choix pédagogiques'!$C$5&lt;&gt;"?",AC940&lt;&gt;""),(AC940-'Choix pédagogiques'!$C$4)/('Choix pédagogiques'!$C$5-'Choix pédagogiques'!$C$4),"")</f>
        <v/>
      </c>
      <c r="AY940" s="55" t="str">
        <f aca="false">IF(AND('Choix pédagogiques'!$C$4&lt;&gt;"?",'Choix pédagogiques'!$C$5&lt;&gt;"?",AD940&lt;&gt;""),(AD940-'Choix pédagogiques'!$C$4)/('Choix pédagogiques'!$C$5-'Choix pédagogiques'!$C$4),"")</f>
        <v/>
      </c>
      <c r="AZ940" s="53" t="str">
        <f aca="false">IF($J940&lt;&gt;"",$J940,"")</f>
        <v/>
      </c>
      <c r="BA940" s="52" t="str">
        <f aca="false">IF($A940&lt;&gt;"",$A940,"")</f>
        <v>Apprenant 928</v>
      </c>
      <c r="BB940" s="55" t="str">
        <f aca="false">IF(AND($AR940&lt;&gt;"",$AS940&lt;&gt;""),$AS940-$AR940,"")</f>
        <v/>
      </c>
      <c r="BC940" s="55" t="str">
        <f aca="false">IF(AND($AR940&lt;&gt;"",$AT940&lt;&gt;""),$AT940-$AR940,"")</f>
        <v/>
      </c>
      <c r="BD940" s="55" t="str">
        <f aca="false">IF(AND($AS940&lt;&gt;"",$AT940&lt;&gt;""),$AT940-$AS940,"")</f>
        <v/>
      </c>
      <c r="BE940" s="53" t="str">
        <f aca="false">IF($E940&lt;&gt;"",$E940,"")</f>
        <v/>
      </c>
      <c r="BF940" s="52" t="str">
        <f aca="false">IF($F940&lt;&gt;"",$F940,"")</f>
        <v>Apprenant 928 ou 928'</v>
      </c>
      <c r="BG940" s="55" t="str">
        <f aca="false">IF(AND($AW940&lt;&gt;"",$AX940&lt;&gt;""),$AX940-$AW940,"")</f>
        <v/>
      </c>
      <c r="BH940" s="55" t="str">
        <f aca="false">IF(AND($AW940&lt;&gt;"",$AY940&lt;&gt;""),$AY940-$AW940,"")</f>
        <v/>
      </c>
      <c r="BI940" s="55" t="str">
        <f aca="false">IF(AND($AX940&lt;&gt;"",$AY940&lt;&gt;""),$AY940-$AX940,"")</f>
        <v/>
      </c>
      <c r="BJ940" s="53" t="str">
        <f aca="false">IF($J940&lt;&gt;"",$J940,"")</f>
        <v/>
      </c>
      <c r="BL940" s="52"/>
      <c r="BM940" s="52" t="str">
        <f aca="false">IF(OR(COUNT(B940:D1939)=0,AND('Choix pédagogiques'!$C$3&lt;&gt;1,'Choix pédagogiques'!$C$3&lt;&gt;2)),"",IF(AND(OR('Choix pédagogiques'!$C$3=1,'Choix pédagogiques'!$C$3=2),$B940&lt;&gt;"",$C940&lt;&gt;"",$D940&lt;&gt;""),1,0))</f>
        <v/>
      </c>
      <c r="BN940" s="52" t="str">
        <f aca="false">IF(OR(COUNT(G940:I1939)=0,AND('Choix pédagogiques'!$C$3&lt;&gt;1,'Choix pédagogiques'!$C$3&lt;&gt;2)),"",IF(AND(OR('Choix pédagogiques'!$C$3=1,'Choix pédagogiques'!$C$3=2),AND($G940&lt;&gt;"",$H940&lt;&gt;"",$I940&lt;&gt;"")),1,0))</f>
        <v/>
      </c>
      <c r="BO940" s="52" t="str">
        <f aca="false">IF(OR(COUNT(B940:D1939)=0,COUNT(G940:I1939)=0,'Choix pédagogiques'!C$3&lt;&gt;3),"",IF(AND('Choix pédagogiques'!$C$3=3,$B940&lt;&gt;"",$C940&lt;&gt;"",$D940&lt;&gt;"",$G940&lt;&gt;"",$H940&lt;&gt;"",$I940&lt;&gt;""),1,0))</f>
        <v/>
      </c>
      <c r="BR940" s="52" t="n">
        <v>358</v>
      </c>
      <c r="BS940" s="52" t="n">
        <v>1518</v>
      </c>
    </row>
    <row r="941" s="54" customFormat="true" ht="18" hidden="false" customHeight="true" outlineLevel="0" collapsed="false">
      <c r="A941" s="57" t="s">
        <v>1813</v>
      </c>
      <c r="B941" s="51"/>
      <c r="C941" s="51"/>
      <c r="D941" s="51"/>
      <c r="E941" s="51"/>
      <c r="F941" s="57" t="s">
        <v>1814</v>
      </c>
      <c r="G941" s="51"/>
      <c r="H941" s="51"/>
      <c r="I941" s="51"/>
      <c r="J941" s="51"/>
      <c r="K941" s="52" t="str">
        <f aca="false">IF($A941&lt;&gt;"",$A941,"")</f>
        <v>Apprenant 929</v>
      </c>
      <c r="L941" s="53" t="str">
        <f aca="false">IF(AND($B941&lt;&gt;"",$C941&lt;&gt;""),$C941-$B941,"")</f>
        <v/>
      </c>
      <c r="M941" s="53" t="str">
        <f aca="false">IF(AND($B941&lt;&gt;"",$D941&lt;&gt;""),$D941-$B941,"")</f>
        <v/>
      </c>
      <c r="N941" s="53" t="str">
        <f aca="false">IF(AND($C941&lt;&gt;"",$D941&lt;&gt;""),$D941-$C941,"")</f>
        <v/>
      </c>
      <c r="O941" s="53" t="str">
        <f aca="false">IF($E941&lt;&gt;"",$E941,"")</f>
        <v/>
      </c>
      <c r="P941" s="52" t="str">
        <f aca="false">IF($F941&lt;&gt;"",$F941,"")</f>
        <v>Apprenant 929 ou 929'</v>
      </c>
      <c r="Q941" s="53" t="str">
        <f aca="false">IF(AND($G941&lt;&gt;"",$H941&lt;&gt;""),$H941-$G941,"")</f>
        <v/>
      </c>
      <c r="R941" s="53" t="str">
        <f aca="false">IF(AND($G941&lt;&gt;"",$I941&lt;&gt;""),$I941-$G941,"")</f>
        <v/>
      </c>
      <c r="S941" s="53" t="str">
        <f aca="false">IF(AND($H941&lt;&gt;"",$I941&lt;&gt;""),$I941-$H941,"")</f>
        <v/>
      </c>
      <c r="T941" s="53" t="str">
        <f aca="false">IF($J941&lt;&gt;"",$J941,"")</f>
        <v/>
      </c>
      <c r="V941" s="52" t="str">
        <f aca="false">IF($A941&lt;&gt;"",$A941,"")</f>
        <v>Apprenant 929</v>
      </c>
      <c r="W941" s="53" t="str">
        <f aca="false">IF(AND(OR('Choix pédagogiques'!$C$3=1,'Choix pédagogiques'!$C$3=2),$BM941=1),B941,IF(AND('Choix pédagogiques'!$C$3=3,$BO941=1),B941,""))</f>
        <v/>
      </c>
      <c r="X941" s="53" t="str">
        <f aca="false">IF(AND(OR('Choix pédagogiques'!$C$3=1,'Choix pédagogiques'!$C$3=2),$BM941=1),C941,IF(AND('Choix pédagogiques'!$C$3=3,$BO941=1),C941,""))</f>
        <v/>
      </c>
      <c r="Y941" s="53" t="str">
        <f aca="false">IF(AND(OR('Choix pédagogiques'!$C$3=1,'Choix pédagogiques'!$C$3=2),$BM941=1),D941,IF(AND('Choix pédagogiques'!$C$3=3,$BO941=1),D941,""))</f>
        <v/>
      </c>
      <c r="Z941" s="53" t="str">
        <f aca="false">IF($E941&lt;&gt;"",$E941,"")</f>
        <v/>
      </c>
      <c r="AA941" s="52" t="str">
        <f aca="false">IF($F941&lt;&gt;"",$F941,"")</f>
        <v>Apprenant 929 ou 929'</v>
      </c>
      <c r="AB941" s="53" t="str">
        <f aca="false">IF(AND(OR('Choix pédagogiques'!$C$3=1,'Choix pédagogiques'!$C$3=2),$BN941=1),G941,IF(AND('Choix pédagogiques'!$C$3=3,$BO941=1),G941,""))</f>
        <v/>
      </c>
      <c r="AC941" s="53" t="str">
        <f aca="false">IF(AND(OR('Choix pédagogiques'!$C$3=1,'Choix pédagogiques'!$C$3=2),$BN941=1),H941,IF(AND('Choix pédagogiques'!$C$3=3,$BO941=1),H941,""))</f>
        <v/>
      </c>
      <c r="AD941" s="53" t="str">
        <f aca="false">IF(AND(OR('Choix pédagogiques'!$C$3=1,'Choix pédagogiques'!$C$3=2),$BN941=1),I941,IF(AND('Choix pédagogiques'!$C$3=3,$BO941=1),I941,""))</f>
        <v/>
      </c>
      <c r="AE941" s="53" t="str">
        <f aca="false">IF($J941&lt;&gt;"",$J941,"")</f>
        <v/>
      </c>
      <c r="AF941" s="52" t="str">
        <f aca="false">IF($A941&lt;&gt;"",$A941,"")</f>
        <v>Apprenant 929</v>
      </c>
      <c r="AG941" s="53" t="str">
        <f aca="false">IF(AND($W941&lt;&gt;"",$X941&lt;&gt;""),$X941-$W941,"")</f>
        <v/>
      </c>
      <c r="AH941" s="53" t="str">
        <f aca="false">IF(AND($W941&lt;&gt;"",$Y941&lt;&gt;""),$Y941-$W941,"")</f>
        <v/>
      </c>
      <c r="AI941" s="53" t="str">
        <f aca="false">IF(AND($X941&lt;&gt;"",$Y941&lt;&gt;""),$Y941-$X941,"")</f>
        <v/>
      </c>
      <c r="AJ941" s="53" t="str">
        <f aca="false">IF($E941&lt;&gt;"",$E941,"")</f>
        <v/>
      </c>
      <c r="AK941" s="52" t="str">
        <f aca="false">IF($F941&lt;&gt;"",$F941,"")</f>
        <v>Apprenant 929 ou 929'</v>
      </c>
      <c r="AL941" s="53" t="str">
        <f aca="false">IF(AND($AB941&lt;&gt;"",$AC941&lt;&gt;""),$AC941-$AB941,"")</f>
        <v/>
      </c>
      <c r="AM941" s="53" t="str">
        <f aca="false">IF(AND($AB941&lt;&gt;"",$AD941&lt;&gt;""),$AD941-$AB941,"")</f>
        <v/>
      </c>
      <c r="AN941" s="53" t="str">
        <f aca="false">IF(AND($AC941&lt;&gt;"",$AD941&lt;&gt;""),$AD941-$AC941,"")</f>
        <v/>
      </c>
      <c r="AO941" s="53" t="str">
        <f aca="false">IF($J941&lt;&gt;"",$J941,"")</f>
        <v/>
      </c>
      <c r="AQ941" s="52" t="str">
        <f aca="false">IF($A941&lt;&gt;"",$A941,"")</f>
        <v>Apprenant 929</v>
      </c>
      <c r="AR941" s="55" t="str">
        <f aca="false">IF(AND('Choix pédagogiques'!$C$4&lt;&gt;"?",'Choix pédagogiques'!$C$5&lt;&gt;"?",W941&lt;&gt;""),(W941-'Choix pédagogiques'!$C$4)/('Choix pédagogiques'!$C$5-'Choix pédagogiques'!$C$4),"")</f>
        <v/>
      </c>
      <c r="AS941" s="55" t="str">
        <f aca="false">IF(AND('Choix pédagogiques'!$C$4&lt;&gt;"?",'Choix pédagogiques'!$C$5&lt;&gt;"?",X941&lt;&gt;""),(X941-'Choix pédagogiques'!$C$4)/('Choix pédagogiques'!$C$5-'Choix pédagogiques'!$C$4),"")</f>
        <v/>
      </c>
      <c r="AT941" s="55" t="str">
        <f aca="false">IF(AND('Choix pédagogiques'!$C$4&lt;&gt;"?",'Choix pédagogiques'!$C$5&lt;&gt;"?",Y941&lt;&gt;""),(Y941-'Choix pédagogiques'!$C$4)/('Choix pédagogiques'!$C$5-'Choix pédagogiques'!$C$4),"")</f>
        <v/>
      </c>
      <c r="AU941" s="53" t="str">
        <f aca="false">IF($E941&lt;&gt;"",$E941,"")</f>
        <v/>
      </c>
      <c r="AV941" s="52" t="str">
        <f aca="false">IF($F941&lt;&gt;"",$F941,"")</f>
        <v>Apprenant 929 ou 929'</v>
      </c>
      <c r="AW941" s="55" t="str">
        <f aca="false">IF(AND('Choix pédagogiques'!$C$4&lt;&gt;"?",'Choix pédagogiques'!$C$5&lt;&gt;"?",AB941&lt;&gt;""),(AB941-'Choix pédagogiques'!$C$4)/('Choix pédagogiques'!$C$5-'Choix pédagogiques'!$C$4),"")</f>
        <v/>
      </c>
      <c r="AX941" s="55" t="str">
        <f aca="false">IF(AND('Choix pédagogiques'!$C$4&lt;&gt;"?",'Choix pédagogiques'!$C$5&lt;&gt;"?",AC941&lt;&gt;""),(AC941-'Choix pédagogiques'!$C$4)/('Choix pédagogiques'!$C$5-'Choix pédagogiques'!$C$4),"")</f>
        <v/>
      </c>
      <c r="AY941" s="55" t="str">
        <f aca="false">IF(AND('Choix pédagogiques'!$C$4&lt;&gt;"?",'Choix pédagogiques'!$C$5&lt;&gt;"?",AD941&lt;&gt;""),(AD941-'Choix pédagogiques'!$C$4)/('Choix pédagogiques'!$C$5-'Choix pédagogiques'!$C$4),"")</f>
        <v/>
      </c>
      <c r="AZ941" s="53" t="str">
        <f aca="false">IF($J941&lt;&gt;"",$J941,"")</f>
        <v/>
      </c>
      <c r="BA941" s="52" t="str">
        <f aca="false">IF($A941&lt;&gt;"",$A941,"")</f>
        <v>Apprenant 929</v>
      </c>
      <c r="BB941" s="55" t="str">
        <f aca="false">IF(AND($AR941&lt;&gt;"",$AS941&lt;&gt;""),$AS941-$AR941,"")</f>
        <v/>
      </c>
      <c r="BC941" s="55" t="str">
        <f aca="false">IF(AND($AR941&lt;&gt;"",$AT941&lt;&gt;""),$AT941-$AR941,"")</f>
        <v/>
      </c>
      <c r="BD941" s="55" t="str">
        <f aca="false">IF(AND($AS941&lt;&gt;"",$AT941&lt;&gt;""),$AT941-$AS941,"")</f>
        <v/>
      </c>
      <c r="BE941" s="53" t="str">
        <f aca="false">IF($E941&lt;&gt;"",$E941,"")</f>
        <v/>
      </c>
      <c r="BF941" s="52" t="str">
        <f aca="false">IF($F941&lt;&gt;"",$F941,"")</f>
        <v>Apprenant 929 ou 929'</v>
      </c>
      <c r="BG941" s="55" t="str">
        <f aca="false">IF(AND($AW941&lt;&gt;"",$AX941&lt;&gt;""),$AX941-$AW941,"")</f>
        <v/>
      </c>
      <c r="BH941" s="55" t="str">
        <f aca="false">IF(AND($AW941&lt;&gt;"",$AY941&lt;&gt;""),$AY941-$AW941,"")</f>
        <v/>
      </c>
      <c r="BI941" s="55" t="str">
        <f aca="false">IF(AND($AX941&lt;&gt;"",$AY941&lt;&gt;""),$AY941-$AX941,"")</f>
        <v/>
      </c>
      <c r="BJ941" s="53" t="str">
        <f aca="false">IF($J941&lt;&gt;"",$J941,"")</f>
        <v/>
      </c>
      <c r="BL941" s="52"/>
      <c r="BM941" s="52" t="str">
        <f aca="false">IF(OR(COUNT(B941:D1940)=0,AND('Choix pédagogiques'!$C$3&lt;&gt;1,'Choix pédagogiques'!$C$3&lt;&gt;2)),"",IF(AND(OR('Choix pédagogiques'!$C$3=1,'Choix pédagogiques'!$C$3=2),$B941&lt;&gt;"",$C941&lt;&gt;"",$D941&lt;&gt;""),1,0))</f>
        <v/>
      </c>
      <c r="BN941" s="52" t="str">
        <f aca="false">IF(OR(COUNT(G941:I1940)=0,AND('Choix pédagogiques'!$C$3&lt;&gt;1,'Choix pédagogiques'!$C$3&lt;&gt;2)),"",IF(AND(OR('Choix pédagogiques'!$C$3=1,'Choix pédagogiques'!$C$3=2),AND($G941&lt;&gt;"",$H941&lt;&gt;"",$I941&lt;&gt;"")),1,0))</f>
        <v/>
      </c>
      <c r="BO941" s="52" t="str">
        <f aca="false">IF(OR(COUNT(B941:D1940)=0,COUNT(G941:I1940)=0,'Choix pédagogiques'!C$3&lt;&gt;3),"",IF(AND('Choix pédagogiques'!$C$3=3,$B941&lt;&gt;"",$C941&lt;&gt;"",$D941&lt;&gt;"",$G941&lt;&gt;"",$H941&lt;&gt;"",$I941&lt;&gt;""),1,0))</f>
        <v/>
      </c>
      <c r="BR941" s="52" t="n">
        <v>601</v>
      </c>
      <c r="BS941" s="52" t="n">
        <v>1843</v>
      </c>
    </row>
    <row r="942" s="54" customFormat="true" ht="18" hidden="false" customHeight="true" outlineLevel="0" collapsed="false">
      <c r="A942" s="57" t="s">
        <v>1815</v>
      </c>
      <c r="B942" s="51"/>
      <c r="C942" s="51"/>
      <c r="D942" s="51"/>
      <c r="E942" s="51"/>
      <c r="F942" s="57" t="s">
        <v>1816</v>
      </c>
      <c r="G942" s="51"/>
      <c r="H942" s="51"/>
      <c r="I942" s="51"/>
      <c r="J942" s="51"/>
      <c r="K942" s="52" t="str">
        <f aca="false">IF($A942&lt;&gt;"",$A942,"")</f>
        <v>Apprenant 930</v>
      </c>
      <c r="L942" s="53" t="str">
        <f aca="false">IF(AND($B942&lt;&gt;"",$C942&lt;&gt;""),$C942-$B942,"")</f>
        <v/>
      </c>
      <c r="M942" s="53" t="str">
        <f aca="false">IF(AND($B942&lt;&gt;"",$D942&lt;&gt;""),$D942-$B942,"")</f>
        <v/>
      </c>
      <c r="N942" s="53" t="str">
        <f aca="false">IF(AND($C942&lt;&gt;"",$D942&lt;&gt;""),$D942-$C942,"")</f>
        <v/>
      </c>
      <c r="O942" s="53" t="str">
        <f aca="false">IF($E942&lt;&gt;"",$E942,"")</f>
        <v/>
      </c>
      <c r="P942" s="52" t="str">
        <f aca="false">IF($F942&lt;&gt;"",$F942,"")</f>
        <v>Apprenant 930 ou 930'</v>
      </c>
      <c r="Q942" s="53" t="str">
        <f aca="false">IF(AND($G942&lt;&gt;"",$H942&lt;&gt;""),$H942-$G942,"")</f>
        <v/>
      </c>
      <c r="R942" s="53" t="str">
        <f aca="false">IF(AND($G942&lt;&gt;"",$I942&lt;&gt;""),$I942-$G942,"")</f>
        <v/>
      </c>
      <c r="S942" s="53" t="str">
        <f aca="false">IF(AND($H942&lt;&gt;"",$I942&lt;&gt;""),$I942-$H942,"")</f>
        <v/>
      </c>
      <c r="T942" s="53" t="str">
        <f aca="false">IF($J942&lt;&gt;"",$J942,"")</f>
        <v/>
      </c>
      <c r="V942" s="52" t="str">
        <f aca="false">IF($A942&lt;&gt;"",$A942,"")</f>
        <v>Apprenant 930</v>
      </c>
      <c r="W942" s="53" t="str">
        <f aca="false">IF(AND(OR('Choix pédagogiques'!$C$3=1,'Choix pédagogiques'!$C$3=2),$BM942=1),B942,IF(AND('Choix pédagogiques'!$C$3=3,$BO942=1),B942,""))</f>
        <v/>
      </c>
      <c r="X942" s="53" t="str">
        <f aca="false">IF(AND(OR('Choix pédagogiques'!$C$3=1,'Choix pédagogiques'!$C$3=2),$BM942=1),C942,IF(AND('Choix pédagogiques'!$C$3=3,$BO942=1),C942,""))</f>
        <v/>
      </c>
      <c r="Y942" s="53" t="str">
        <f aca="false">IF(AND(OR('Choix pédagogiques'!$C$3=1,'Choix pédagogiques'!$C$3=2),$BM942=1),D942,IF(AND('Choix pédagogiques'!$C$3=3,$BO942=1),D942,""))</f>
        <v/>
      </c>
      <c r="Z942" s="53" t="str">
        <f aca="false">IF($E942&lt;&gt;"",$E942,"")</f>
        <v/>
      </c>
      <c r="AA942" s="52" t="str">
        <f aca="false">IF($F942&lt;&gt;"",$F942,"")</f>
        <v>Apprenant 930 ou 930'</v>
      </c>
      <c r="AB942" s="53" t="str">
        <f aca="false">IF(AND(OR('Choix pédagogiques'!$C$3=1,'Choix pédagogiques'!$C$3=2),$BN942=1),G942,IF(AND('Choix pédagogiques'!$C$3=3,$BO942=1),G942,""))</f>
        <v/>
      </c>
      <c r="AC942" s="53" t="str">
        <f aca="false">IF(AND(OR('Choix pédagogiques'!$C$3=1,'Choix pédagogiques'!$C$3=2),$BN942=1),H942,IF(AND('Choix pédagogiques'!$C$3=3,$BO942=1),H942,""))</f>
        <v/>
      </c>
      <c r="AD942" s="53" t="str">
        <f aca="false">IF(AND(OR('Choix pédagogiques'!$C$3=1,'Choix pédagogiques'!$C$3=2),$BN942=1),I942,IF(AND('Choix pédagogiques'!$C$3=3,$BO942=1),I942,""))</f>
        <v/>
      </c>
      <c r="AE942" s="53" t="str">
        <f aca="false">IF($J942&lt;&gt;"",$J942,"")</f>
        <v/>
      </c>
      <c r="AF942" s="52" t="str">
        <f aca="false">IF($A942&lt;&gt;"",$A942,"")</f>
        <v>Apprenant 930</v>
      </c>
      <c r="AG942" s="53" t="str">
        <f aca="false">IF(AND($W942&lt;&gt;"",$X942&lt;&gt;""),$X942-$W942,"")</f>
        <v/>
      </c>
      <c r="AH942" s="53" t="str">
        <f aca="false">IF(AND($W942&lt;&gt;"",$Y942&lt;&gt;""),$Y942-$W942,"")</f>
        <v/>
      </c>
      <c r="AI942" s="53" t="str">
        <f aca="false">IF(AND($X942&lt;&gt;"",$Y942&lt;&gt;""),$Y942-$X942,"")</f>
        <v/>
      </c>
      <c r="AJ942" s="53" t="str">
        <f aca="false">IF($E942&lt;&gt;"",$E942,"")</f>
        <v/>
      </c>
      <c r="AK942" s="52" t="str">
        <f aca="false">IF($F942&lt;&gt;"",$F942,"")</f>
        <v>Apprenant 930 ou 930'</v>
      </c>
      <c r="AL942" s="53" t="str">
        <f aca="false">IF(AND($AB942&lt;&gt;"",$AC942&lt;&gt;""),$AC942-$AB942,"")</f>
        <v/>
      </c>
      <c r="AM942" s="53" t="str">
        <f aca="false">IF(AND($AB942&lt;&gt;"",$AD942&lt;&gt;""),$AD942-$AB942,"")</f>
        <v/>
      </c>
      <c r="AN942" s="53" t="str">
        <f aca="false">IF(AND($AC942&lt;&gt;"",$AD942&lt;&gt;""),$AD942-$AC942,"")</f>
        <v/>
      </c>
      <c r="AO942" s="53" t="str">
        <f aca="false">IF($J942&lt;&gt;"",$J942,"")</f>
        <v/>
      </c>
      <c r="AQ942" s="52" t="str">
        <f aca="false">IF($A942&lt;&gt;"",$A942,"")</f>
        <v>Apprenant 930</v>
      </c>
      <c r="AR942" s="55" t="str">
        <f aca="false">IF(AND('Choix pédagogiques'!$C$4&lt;&gt;"?",'Choix pédagogiques'!$C$5&lt;&gt;"?",W942&lt;&gt;""),(W942-'Choix pédagogiques'!$C$4)/('Choix pédagogiques'!$C$5-'Choix pédagogiques'!$C$4),"")</f>
        <v/>
      </c>
      <c r="AS942" s="55" t="str">
        <f aca="false">IF(AND('Choix pédagogiques'!$C$4&lt;&gt;"?",'Choix pédagogiques'!$C$5&lt;&gt;"?",X942&lt;&gt;""),(X942-'Choix pédagogiques'!$C$4)/('Choix pédagogiques'!$C$5-'Choix pédagogiques'!$C$4),"")</f>
        <v/>
      </c>
      <c r="AT942" s="55" t="str">
        <f aca="false">IF(AND('Choix pédagogiques'!$C$4&lt;&gt;"?",'Choix pédagogiques'!$C$5&lt;&gt;"?",Y942&lt;&gt;""),(Y942-'Choix pédagogiques'!$C$4)/('Choix pédagogiques'!$C$5-'Choix pédagogiques'!$C$4),"")</f>
        <v/>
      </c>
      <c r="AU942" s="53" t="str">
        <f aca="false">IF($E942&lt;&gt;"",$E942,"")</f>
        <v/>
      </c>
      <c r="AV942" s="52" t="str">
        <f aca="false">IF($F942&lt;&gt;"",$F942,"")</f>
        <v>Apprenant 930 ou 930'</v>
      </c>
      <c r="AW942" s="55" t="str">
        <f aca="false">IF(AND('Choix pédagogiques'!$C$4&lt;&gt;"?",'Choix pédagogiques'!$C$5&lt;&gt;"?",AB942&lt;&gt;""),(AB942-'Choix pédagogiques'!$C$4)/('Choix pédagogiques'!$C$5-'Choix pédagogiques'!$C$4),"")</f>
        <v/>
      </c>
      <c r="AX942" s="55" t="str">
        <f aca="false">IF(AND('Choix pédagogiques'!$C$4&lt;&gt;"?",'Choix pédagogiques'!$C$5&lt;&gt;"?",AC942&lt;&gt;""),(AC942-'Choix pédagogiques'!$C$4)/('Choix pédagogiques'!$C$5-'Choix pédagogiques'!$C$4),"")</f>
        <v/>
      </c>
      <c r="AY942" s="55" t="str">
        <f aca="false">IF(AND('Choix pédagogiques'!$C$4&lt;&gt;"?",'Choix pédagogiques'!$C$5&lt;&gt;"?",AD942&lt;&gt;""),(AD942-'Choix pédagogiques'!$C$4)/('Choix pédagogiques'!$C$5-'Choix pédagogiques'!$C$4),"")</f>
        <v/>
      </c>
      <c r="AZ942" s="53" t="str">
        <f aca="false">IF($J942&lt;&gt;"",$J942,"")</f>
        <v/>
      </c>
      <c r="BA942" s="52" t="str">
        <f aca="false">IF($A942&lt;&gt;"",$A942,"")</f>
        <v>Apprenant 930</v>
      </c>
      <c r="BB942" s="55" t="str">
        <f aca="false">IF(AND($AR942&lt;&gt;"",$AS942&lt;&gt;""),$AS942-$AR942,"")</f>
        <v/>
      </c>
      <c r="BC942" s="55" t="str">
        <f aca="false">IF(AND($AR942&lt;&gt;"",$AT942&lt;&gt;""),$AT942-$AR942,"")</f>
        <v/>
      </c>
      <c r="BD942" s="55" t="str">
        <f aca="false">IF(AND($AS942&lt;&gt;"",$AT942&lt;&gt;""),$AT942-$AS942,"")</f>
        <v/>
      </c>
      <c r="BE942" s="53" t="str">
        <f aca="false">IF($E942&lt;&gt;"",$E942,"")</f>
        <v/>
      </c>
      <c r="BF942" s="52" t="str">
        <f aca="false">IF($F942&lt;&gt;"",$F942,"")</f>
        <v>Apprenant 930 ou 930'</v>
      </c>
      <c r="BG942" s="55" t="str">
        <f aca="false">IF(AND($AW942&lt;&gt;"",$AX942&lt;&gt;""),$AX942-$AW942,"")</f>
        <v/>
      </c>
      <c r="BH942" s="55" t="str">
        <f aca="false">IF(AND($AW942&lt;&gt;"",$AY942&lt;&gt;""),$AY942-$AW942,"")</f>
        <v/>
      </c>
      <c r="BI942" s="55" t="str">
        <f aca="false">IF(AND($AX942&lt;&gt;"",$AY942&lt;&gt;""),$AY942-$AX942,"")</f>
        <v/>
      </c>
      <c r="BJ942" s="53" t="str">
        <f aca="false">IF($J942&lt;&gt;"",$J942,"")</f>
        <v/>
      </c>
      <c r="BL942" s="52"/>
      <c r="BM942" s="52" t="str">
        <f aca="false">IF(OR(COUNT(B942:D1941)=0,AND('Choix pédagogiques'!$C$3&lt;&gt;1,'Choix pédagogiques'!$C$3&lt;&gt;2)),"",IF(AND(OR('Choix pédagogiques'!$C$3=1,'Choix pédagogiques'!$C$3=2),$B942&lt;&gt;"",$C942&lt;&gt;"",$D942&lt;&gt;""),1,0))</f>
        <v/>
      </c>
      <c r="BN942" s="52" t="str">
        <f aca="false">IF(OR(COUNT(G942:I1941)=0,AND('Choix pédagogiques'!$C$3&lt;&gt;1,'Choix pédagogiques'!$C$3&lt;&gt;2)),"",IF(AND(OR('Choix pédagogiques'!$C$3=1,'Choix pédagogiques'!$C$3=2),AND($G942&lt;&gt;"",$H942&lt;&gt;"",$I942&lt;&gt;"")),1,0))</f>
        <v/>
      </c>
      <c r="BO942" s="52" t="str">
        <f aca="false">IF(OR(COUNT(B942:D1941)=0,COUNT(G942:I1941)=0,'Choix pédagogiques'!C$3&lt;&gt;3),"",IF(AND('Choix pédagogiques'!$C$3=3,$B942&lt;&gt;"",$C942&lt;&gt;"",$D942&lt;&gt;"",$G942&lt;&gt;"",$H942&lt;&gt;"",$I942&lt;&gt;""),1,0))</f>
        <v/>
      </c>
      <c r="BR942" s="52" t="n">
        <v>218</v>
      </c>
      <c r="BS942" s="52" t="n">
        <v>1558</v>
      </c>
    </row>
    <row r="943" s="54" customFormat="true" ht="18" hidden="false" customHeight="true" outlineLevel="0" collapsed="false">
      <c r="A943" s="57" t="s">
        <v>1817</v>
      </c>
      <c r="B943" s="51"/>
      <c r="C943" s="51"/>
      <c r="D943" s="51"/>
      <c r="E943" s="51"/>
      <c r="F943" s="57" t="s">
        <v>1818</v>
      </c>
      <c r="G943" s="51"/>
      <c r="H943" s="51"/>
      <c r="I943" s="51"/>
      <c r="J943" s="51"/>
      <c r="K943" s="52" t="str">
        <f aca="false">IF($A943&lt;&gt;"",$A943,"")</f>
        <v>Apprenant 931</v>
      </c>
      <c r="L943" s="53" t="str">
        <f aca="false">IF(AND($B943&lt;&gt;"",$C943&lt;&gt;""),$C943-$B943,"")</f>
        <v/>
      </c>
      <c r="M943" s="53" t="str">
        <f aca="false">IF(AND($B943&lt;&gt;"",$D943&lt;&gt;""),$D943-$B943,"")</f>
        <v/>
      </c>
      <c r="N943" s="53" t="str">
        <f aca="false">IF(AND($C943&lt;&gt;"",$D943&lt;&gt;""),$D943-$C943,"")</f>
        <v/>
      </c>
      <c r="O943" s="53" t="str">
        <f aca="false">IF($E943&lt;&gt;"",$E943,"")</f>
        <v/>
      </c>
      <c r="P943" s="52" t="str">
        <f aca="false">IF($F943&lt;&gt;"",$F943,"")</f>
        <v>Apprenant 931 ou 931'</v>
      </c>
      <c r="Q943" s="53" t="str">
        <f aca="false">IF(AND($G943&lt;&gt;"",$H943&lt;&gt;""),$H943-$G943,"")</f>
        <v/>
      </c>
      <c r="R943" s="53" t="str">
        <f aca="false">IF(AND($G943&lt;&gt;"",$I943&lt;&gt;""),$I943-$G943,"")</f>
        <v/>
      </c>
      <c r="S943" s="53" t="str">
        <f aca="false">IF(AND($H943&lt;&gt;"",$I943&lt;&gt;""),$I943-$H943,"")</f>
        <v/>
      </c>
      <c r="T943" s="53" t="str">
        <f aca="false">IF($J943&lt;&gt;"",$J943,"")</f>
        <v/>
      </c>
      <c r="V943" s="52" t="str">
        <f aca="false">IF($A943&lt;&gt;"",$A943,"")</f>
        <v>Apprenant 931</v>
      </c>
      <c r="W943" s="53" t="str">
        <f aca="false">IF(AND(OR('Choix pédagogiques'!$C$3=1,'Choix pédagogiques'!$C$3=2),$BM943=1),B943,IF(AND('Choix pédagogiques'!$C$3=3,$BO943=1),B943,""))</f>
        <v/>
      </c>
      <c r="X943" s="53" t="str">
        <f aca="false">IF(AND(OR('Choix pédagogiques'!$C$3=1,'Choix pédagogiques'!$C$3=2),$BM943=1),C943,IF(AND('Choix pédagogiques'!$C$3=3,$BO943=1),C943,""))</f>
        <v/>
      </c>
      <c r="Y943" s="53" t="str">
        <f aca="false">IF(AND(OR('Choix pédagogiques'!$C$3=1,'Choix pédagogiques'!$C$3=2),$BM943=1),D943,IF(AND('Choix pédagogiques'!$C$3=3,$BO943=1),D943,""))</f>
        <v/>
      </c>
      <c r="Z943" s="53" t="str">
        <f aca="false">IF($E943&lt;&gt;"",$E943,"")</f>
        <v/>
      </c>
      <c r="AA943" s="52" t="str">
        <f aca="false">IF($F943&lt;&gt;"",$F943,"")</f>
        <v>Apprenant 931 ou 931'</v>
      </c>
      <c r="AB943" s="53" t="str">
        <f aca="false">IF(AND(OR('Choix pédagogiques'!$C$3=1,'Choix pédagogiques'!$C$3=2),$BN943=1),G943,IF(AND('Choix pédagogiques'!$C$3=3,$BO943=1),G943,""))</f>
        <v/>
      </c>
      <c r="AC943" s="53" t="str">
        <f aca="false">IF(AND(OR('Choix pédagogiques'!$C$3=1,'Choix pédagogiques'!$C$3=2),$BN943=1),H943,IF(AND('Choix pédagogiques'!$C$3=3,$BO943=1),H943,""))</f>
        <v/>
      </c>
      <c r="AD943" s="53" t="str">
        <f aca="false">IF(AND(OR('Choix pédagogiques'!$C$3=1,'Choix pédagogiques'!$C$3=2),$BN943=1),I943,IF(AND('Choix pédagogiques'!$C$3=3,$BO943=1),I943,""))</f>
        <v/>
      </c>
      <c r="AE943" s="53" t="str">
        <f aca="false">IF($J943&lt;&gt;"",$J943,"")</f>
        <v/>
      </c>
      <c r="AF943" s="52" t="str">
        <f aca="false">IF($A943&lt;&gt;"",$A943,"")</f>
        <v>Apprenant 931</v>
      </c>
      <c r="AG943" s="53" t="str">
        <f aca="false">IF(AND($W943&lt;&gt;"",$X943&lt;&gt;""),$X943-$W943,"")</f>
        <v/>
      </c>
      <c r="AH943" s="53" t="str">
        <f aca="false">IF(AND($W943&lt;&gt;"",$Y943&lt;&gt;""),$Y943-$W943,"")</f>
        <v/>
      </c>
      <c r="AI943" s="53" t="str">
        <f aca="false">IF(AND($X943&lt;&gt;"",$Y943&lt;&gt;""),$Y943-$X943,"")</f>
        <v/>
      </c>
      <c r="AJ943" s="53" t="str">
        <f aca="false">IF($E943&lt;&gt;"",$E943,"")</f>
        <v/>
      </c>
      <c r="AK943" s="52" t="str">
        <f aca="false">IF($F943&lt;&gt;"",$F943,"")</f>
        <v>Apprenant 931 ou 931'</v>
      </c>
      <c r="AL943" s="53" t="str">
        <f aca="false">IF(AND($AB943&lt;&gt;"",$AC943&lt;&gt;""),$AC943-$AB943,"")</f>
        <v/>
      </c>
      <c r="AM943" s="53" t="str">
        <f aca="false">IF(AND($AB943&lt;&gt;"",$AD943&lt;&gt;""),$AD943-$AB943,"")</f>
        <v/>
      </c>
      <c r="AN943" s="53" t="str">
        <f aca="false">IF(AND($AC943&lt;&gt;"",$AD943&lt;&gt;""),$AD943-$AC943,"")</f>
        <v/>
      </c>
      <c r="AO943" s="53" t="str">
        <f aca="false">IF($J943&lt;&gt;"",$J943,"")</f>
        <v/>
      </c>
      <c r="AQ943" s="52" t="str">
        <f aca="false">IF($A943&lt;&gt;"",$A943,"")</f>
        <v>Apprenant 931</v>
      </c>
      <c r="AR943" s="55" t="str">
        <f aca="false">IF(AND('Choix pédagogiques'!$C$4&lt;&gt;"?",'Choix pédagogiques'!$C$5&lt;&gt;"?",W943&lt;&gt;""),(W943-'Choix pédagogiques'!$C$4)/('Choix pédagogiques'!$C$5-'Choix pédagogiques'!$C$4),"")</f>
        <v/>
      </c>
      <c r="AS943" s="55" t="str">
        <f aca="false">IF(AND('Choix pédagogiques'!$C$4&lt;&gt;"?",'Choix pédagogiques'!$C$5&lt;&gt;"?",X943&lt;&gt;""),(X943-'Choix pédagogiques'!$C$4)/('Choix pédagogiques'!$C$5-'Choix pédagogiques'!$C$4),"")</f>
        <v/>
      </c>
      <c r="AT943" s="55" t="str">
        <f aca="false">IF(AND('Choix pédagogiques'!$C$4&lt;&gt;"?",'Choix pédagogiques'!$C$5&lt;&gt;"?",Y943&lt;&gt;""),(Y943-'Choix pédagogiques'!$C$4)/('Choix pédagogiques'!$C$5-'Choix pédagogiques'!$C$4),"")</f>
        <v/>
      </c>
      <c r="AU943" s="53" t="str">
        <f aca="false">IF($E943&lt;&gt;"",$E943,"")</f>
        <v/>
      </c>
      <c r="AV943" s="52" t="str">
        <f aca="false">IF($F943&lt;&gt;"",$F943,"")</f>
        <v>Apprenant 931 ou 931'</v>
      </c>
      <c r="AW943" s="55" t="str">
        <f aca="false">IF(AND('Choix pédagogiques'!$C$4&lt;&gt;"?",'Choix pédagogiques'!$C$5&lt;&gt;"?",AB943&lt;&gt;""),(AB943-'Choix pédagogiques'!$C$4)/('Choix pédagogiques'!$C$5-'Choix pédagogiques'!$C$4),"")</f>
        <v/>
      </c>
      <c r="AX943" s="55" t="str">
        <f aca="false">IF(AND('Choix pédagogiques'!$C$4&lt;&gt;"?",'Choix pédagogiques'!$C$5&lt;&gt;"?",AC943&lt;&gt;""),(AC943-'Choix pédagogiques'!$C$4)/('Choix pédagogiques'!$C$5-'Choix pédagogiques'!$C$4),"")</f>
        <v/>
      </c>
      <c r="AY943" s="55" t="str">
        <f aca="false">IF(AND('Choix pédagogiques'!$C$4&lt;&gt;"?",'Choix pédagogiques'!$C$5&lt;&gt;"?",AD943&lt;&gt;""),(AD943-'Choix pédagogiques'!$C$4)/('Choix pédagogiques'!$C$5-'Choix pédagogiques'!$C$4),"")</f>
        <v/>
      </c>
      <c r="AZ943" s="53" t="str">
        <f aca="false">IF($J943&lt;&gt;"",$J943,"")</f>
        <v/>
      </c>
      <c r="BA943" s="52" t="str">
        <f aca="false">IF($A943&lt;&gt;"",$A943,"")</f>
        <v>Apprenant 931</v>
      </c>
      <c r="BB943" s="55" t="str">
        <f aca="false">IF(AND($AR943&lt;&gt;"",$AS943&lt;&gt;""),$AS943-$AR943,"")</f>
        <v/>
      </c>
      <c r="BC943" s="55" t="str">
        <f aca="false">IF(AND($AR943&lt;&gt;"",$AT943&lt;&gt;""),$AT943-$AR943,"")</f>
        <v/>
      </c>
      <c r="BD943" s="55" t="str">
        <f aca="false">IF(AND($AS943&lt;&gt;"",$AT943&lt;&gt;""),$AT943-$AS943,"")</f>
        <v/>
      </c>
      <c r="BE943" s="53" t="str">
        <f aca="false">IF($E943&lt;&gt;"",$E943,"")</f>
        <v/>
      </c>
      <c r="BF943" s="52" t="str">
        <f aca="false">IF($F943&lt;&gt;"",$F943,"")</f>
        <v>Apprenant 931 ou 931'</v>
      </c>
      <c r="BG943" s="55" t="str">
        <f aca="false">IF(AND($AW943&lt;&gt;"",$AX943&lt;&gt;""),$AX943-$AW943,"")</f>
        <v/>
      </c>
      <c r="BH943" s="55" t="str">
        <f aca="false">IF(AND($AW943&lt;&gt;"",$AY943&lt;&gt;""),$AY943-$AW943,"")</f>
        <v/>
      </c>
      <c r="BI943" s="55" t="str">
        <f aca="false">IF(AND($AX943&lt;&gt;"",$AY943&lt;&gt;""),$AY943-$AX943,"")</f>
        <v/>
      </c>
      <c r="BJ943" s="53" t="str">
        <f aca="false">IF($J943&lt;&gt;"",$J943,"")</f>
        <v/>
      </c>
      <c r="BL943" s="52"/>
      <c r="BM943" s="52" t="str">
        <f aca="false">IF(OR(COUNT(B943:D1942)=0,AND('Choix pédagogiques'!$C$3&lt;&gt;1,'Choix pédagogiques'!$C$3&lt;&gt;2)),"",IF(AND(OR('Choix pédagogiques'!$C$3=1,'Choix pédagogiques'!$C$3=2),$B943&lt;&gt;"",$C943&lt;&gt;"",$D943&lt;&gt;""),1,0))</f>
        <v/>
      </c>
      <c r="BN943" s="52" t="str">
        <f aca="false">IF(OR(COUNT(G943:I1942)=0,AND('Choix pédagogiques'!$C$3&lt;&gt;1,'Choix pédagogiques'!$C$3&lt;&gt;2)),"",IF(AND(OR('Choix pédagogiques'!$C$3=1,'Choix pédagogiques'!$C$3=2),AND($G943&lt;&gt;"",$H943&lt;&gt;"",$I943&lt;&gt;"")),1,0))</f>
        <v/>
      </c>
      <c r="BO943" s="52" t="str">
        <f aca="false">IF(OR(COUNT(B943:D1942)=0,COUNT(G943:I1942)=0,'Choix pédagogiques'!C$3&lt;&gt;3),"",IF(AND('Choix pédagogiques'!$C$3=3,$B943&lt;&gt;"",$C943&lt;&gt;"",$D943&lt;&gt;"",$G943&lt;&gt;"",$H943&lt;&gt;"",$I943&lt;&gt;""),1,0))</f>
        <v/>
      </c>
      <c r="BR943" s="52" t="n">
        <v>385</v>
      </c>
      <c r="BS943" s="52" t="n">
        <v>1580</v>
      </c>
    </row>
    <row r="944" s="54" customFormat="true" ht="18" hidden="false" customHeight="true" outlineLevel="0" collapsed="false">
      <c r="A944" s="57" t="s">
        <v>1819</v>
      </c>
      <c r="B944" s="51"/>
      <c r="C944" s="51"/>
      <c r="D944" s="51"/>
      <c r="E944" s="51"/>
      <c r="F944" s="57" t="s">
        <v>1820</v>
      </c>
      <c r="G944" s="51"/>
      <c r="H944" s="51"/>
      <c r="I944" s="51"/>
      <c r="J944" s="51"/>
      <c r="K944" s="52" t="str">
        <f aca="false">IF($A944&lt;&gt;"",$A944,"")</f>
        <v>Apprenant 932</v>
      </c>
      <c r="L944" s="53" t="str">
        <f aca="false">IF(AND($B944&lt;&gt;"",$C944&lt;&gt;""),$C944-$B944,"")</f>
        <v/>
      </c>
      <c r="M944" s="53" t="str">
        <f aca="false">IF(AND($B944&lt;&gt;"",$D944&lt;&gt;""),$D944-$B944,"")</f>
        <v/>
      </c>
      <c r="N944" s="53" t="str">
        <f aca="false">IF(AND($C944&lt;&gt;"",$D944&lt;&gt;""),$D944-$C944,"")</f>
        <v/>
      </c>
      <c r="O944" s="53" t="str">
        <f aca="false">IF($E944&lt;&gt;"",$E944,"")</f>
        <v/>
      </c>
      <c r="P944" s="52" t="str">
        <f aca="false">IF($F944&lt;&gt;"",$F944,"")</f>
        <v>Apprenant 932 ou 932'</v>
      </c>
      <c r="Q944" s="53" t="str">
        <f aca="false">IF(AND($G944&lt;&gt;"",$H944&lt;&gt;""),$H944-$G944,"")</f>
        <v/>
      </c>
      <c r="R944" s="53" t="str">
        <f aca="false">IF(AND($G944&lt;&gt;"",$I944&lt;&gt;""),$I944-$G944,"")</f>
        <v/>
      </c>
      <c r="S944" s="53" t="str">
        <f aca="false">IF(AND($H944&lt;&gt;"",$I944&lt;&gt;""),$I944-$H944,"")</f>
        <v/>
      </c>
      <c r="T944" s="53" t="str">
        <f aca="false">IF($J944&lt;&gt;"",$J944,"")</f>
        <v/>
      </c>
      <c r="V944" s="52" t="str">
        <f aca="false">IF($A944&lt;&gt;"",$A944,"")</f>
        <v>Apprenant 932</v>
      </c>
      <c r="W944" s="53" t="str">
        <f aca="false">IF(AND(OR('Choix pédagogiques'!$C$3=1,'Choix pédagogiques'!$C$3=2),$BM944=1),B944,IF(AND('Choix pédagogiques'!$C$3=3,$BO944=1),B944,""))</f>
        <v/>
      </c>
      <c r="X944" s="53" t="str">
        <f aca="false">IF(AND(OR('Choix pédagogiques'!$C$3=1,'Choix pédagogiques'!$C$3=2),$BM944=1),C944,IF(AND('Choix pédagogiques'!$C$3=3,$BO944=1),C944,""))</f>
        <v/>
      </c>
      <c r="Y944" s="53" t="str">
        <f aca="false">IF(AND(OR('Choix pédagogiques'!$C$3=1,'Choix pédagogiques'!$C$3=2),$BM944=1),D944,IF(AND('Choix pédagogiques'!$C$3=3,$BO944=1),D944,""))</f>
        <v/>
      </c>
      <c r="Z944" s="53" t="str">
        <f aca="false">IF($E944&lt;&gt;"",$E944,"")</f>
        <v/>
      </c>
      <c r="AA944" s="52" t="str">
        <f aca="false">IF($F944&lt;&gt;"",$F944,"")</f>
        <v>Apprenant 932 ou 932'</v>
      </c>
      <c r="AB944" s="53" t="str">
        <f aca="false">IF(AND(OR('Choix pédagogiques'!$C$3=1,'Choix pédagogiques'!$C$3=2),$BN944=1),G944,IF(AND('Choix pédagogiques'!$C$3=3,$BO944=1),G944,""))</f>
        <v/>
      </c>
      <c r="AC944" s="53" t="str">
        <f aca="false">IF(AND(OR('Choix pédagogiques'!$C$3=1,'Choix pédagogiques'!$C$3=2),$BN944=1),H944,IF(AND('Choix pédagogiques'!$C$3=3,$BO944=1),H944,""))</f>
        <v/>
      </c>
      <c r="AD944" s="53" t="str">
        <f aca="false">IF(AND(OR('Choix pédagogiques'!$C$3=1,'Choix pédagogiques'!$C$3=2),$BN944=1),I944,IF(AND('Choix pédagogiques'!$C$3=3,$BO944=1),I944,""))</f>
        <v/>
      </c>
      <c r="AE944" s="53" t="str">
        <f aca="false">IF($J944&lt;&gt;"",$J944,"")</f>
        <v/>
      </c>
      <c r="AF944" s="52" t="str">
        <f aca="false">IF($A944&lt;&gt;"",$A944,"")</f>
        <v>Apprenant 932</v>
      </c>
      <c r="AG944" s="53" t="str">
        <f aca="false">IF(AND($W944&lt;&gt;"",$X944&lt;&gt;""),$X944-$W944,"")</f>
        <v/>
      </c>
      <c r="AH944" s="53" t="str">
        <f aca="false">IF(AND($W944&lt;&gt;"",$Y944&lt;&gt;""),$Y944-$W944,"")</f>
        <v/>
      </c>
      <c r="AI944" s="53" t="str">
        <f aca="false">IF(AND($X944&lt;&gt;"",$Y944&lt;&gt;""),$Y944-$X944,"")</f>
        <v/>
      </c>
      <c r="AJ944" s="53" t="str">
        <f aca="false">IF($E944&lt;&gt;"",$E944,"")</f>
        <v/>
      </c>
      <c r="AK944" s="52" t="str">
        <f aca="false">IF($F944&lt;&gt;"",$F944,"")</f>
        <v>Apprenant 932 ou 932'</v>
      </c>
      <c r="AL944" s="53" t="str">
        <f aca="false">IF(AND($AB944&lt;&gt;"",$AC944&lt;&gt;""),$AC944-$AB944,"")</f>
        <v/>
      </c>
      <c r="AM944" s="53" t="str">
        <f aca="false">IF(AND($AB944&lt;&gt;"",$AD944&lt;&gt;""),$AD944-$AB944,"")</f>
        <v/>
      </c>
      <c r="AN944" s="53" t="str">
        <f aca="false">IF(AND($AC944&lt;&gt;"",$AD944&lt;&gt;""),$AD944-$AC944,"")</f>
        <v/>
      </c>
      <c r="AO944" s="53" t="str">
        <f aca="false">IF($J944&lt;&gt;"",$J944,"")</f>
        <v/>
      </c>
      <c r="AQ944" s="52" t="str">
        <f aca="false">IF($A944&lt;&gt;"",$A944,"")</f>
        <v>Apprenant 932</v>
      </c>
      <c r="AR944" s="55" t="str">
        <f aca="false">IF(AND('Choix pédagogiques'!$C$4&lt;&gt;"?",'Choix pédagogiques'!$C$5&lt;&gt;"?",W944&lt;&gt;""),(W944-'Choix pédagogiques'!$C$4)/('Choix pédagogiques'!$C$5-'Choix pédagogiques'!$C$4),"")</f>
        <v/>
      </c>
      <c r="AS944" s="55" t="str">
        <f aca="false">IF(AND('Choix pédagogiques'!$C$4&lt;&gt;"?",'Choix pédagogiques'!$C$5&lt;&gt;"?",X944&lt;&gt;""),(X944-'Choix pédagogiques'!$C$4)/('Choix pédagogiques'!$C$5-'Choix pédagogiques'!$C$4),"")</f>
        <v/>
      </c>
      <c r="AT944" s="55" t="str">
        <f aca="false">IF(AND('Choix pédagogiques'!$C$4&lt;&gt;"?",'Choix pédagogiques'!$C$5&lt;&gt;"?",Y944&lt;&gt;""),(Y944-'Choix pédagogiques'!$C$4)/('Choix pédagogiques'!$C$5-'Choix pédagogiques'!$C$4),"")</f>
        <v/>
      </c>
      <c r="AU944" s="53" t="str">
        <f aca="false">IF($E944&lt;&gt;"",$E944,"")</f>
        <v/>
      </c>
      <c r="AV944" s="52" t="str">
        <f aca="false">IF($F944&lt;&gt;"",$F944,"")</f>
        <v>Apprenant 932 ou 932'</v>
      </c>
      <c r="AW944" s="55" t="str">
        <f aca="false">IF(AND('Choix pédagogiques'!$C$4&lt;&gt;"?",'Choix pédagogiques'!$C$5&lt;&gt;"?",AB944&lt;&gt;""),(AB944-'Choix pédagogiques'!$C$4)/('Choix pédagogiques'!$C$5-'Choix pédagogiques'!$C$4),"")</f>
        <v/>
      </c>
      <c r="AX944" s="55" t="str">
        <f aca="false">IF(AND('Choix pédagogiques'!$C$4&lt;&gt;"?",'Choix pédagogiques'!$C$5&lt;&gt;"?",AC944&lt;&gt;""),(AC944-'Choix pédagogiques'!$C$4)/('Choix pédagogiques'!$C$5-'Choix pédagogiques'!$C$4),"")</f>
        <v/>
      </c>
      <c r="AY944" s="55" t="str">
        <f aca="false">IF(AND('Choix pédagogiques'!$C$4&lt;&gt;"?",'Choix pédagogiques'!$C$5&lt;&gt;"?",AD944&lt;&gt;""),(AD944-'Choix pédagogiques'!$C$4)/('Choix pédagogiques'!$C$5-'Choix pédagogiques'!$C$4),"")</f>
        <v/>
      </c>
      <c r="AZ944" s="53" t="str">
        <f aca="false">IF($J944&lt;&gt;"",$J944,"")</f>
        <v/>
      </c>
      <c r="BA944" s="52" t="str">
        <f aca="false">IF($A944&lt;&gt;"",$A944,"")</f>
        <v>Apprenant 932</v>
      </c>
      <c r="BB944" s="55" t="str">
        <f aca="false">IF(AND($AR944&lt;&gt;"",$AS944&lt;&gt;""),$AS944-$AR944,"")</f>
        <v/>
      </c>
      <c r="BC944" s="55" t="str">
        <f aca="false">IF(AND($AR944&lt;&gt;"",$AT944&lt;&gt;""),$AT944-$AR944,"")</f>
        <v/>
      </c>
      <c r="BD944" s="55" t="str">
        <f aca="false">IF(AND($AS944&lt;&gt;"",$AT944&lt;&gt;""),$AT944-$AS944,"")</f>
        <v/>
      </c>
      <c r="BE944" s="53" t="str">
        <f aca="false">IF($E944&lt;&gt;"",$E944,"")</f>
        <v/>
      </c>
      <c r="BF944" s="52" t="str">
        <f aca="false">IF($F944&lt;&gt;"",$F944,"")</f>
        <v>Apprenant 932 ou 932'</v>
      </c>
      <c r="BG944" s="55" t="str">
        <f aca="false">IF(AND($AW944&lt;&gt;"",$AX944&lt;&gt;""),$AX944-$AW944,"")</f>
        <v/>
      </c>
      <c r="BH944" s="55" t="str">
        <f aca="false">IF(AND($AW944&lt;&gt;"",$AY944&lt;&gt;""),$AY944-$AW944,"")</f>
        <v/>
      </c>
      <c r="BI944" s="55" t="str">
        <f aca="false">IF(AND($AX944&lt;&gt;"",$AY944&lt;&gt;""),$AY944-$AX944,"")</f>
        <v/>
      </c>
      <c r="BJ944" s="53" t="str">
        <f aca="false">IF($J944&lt;&gt;"",$J944,"")</f>
        <v/>
      </c>
      <c r="BL944" s="52"/>
      <c r="BM944" s="52" t="str">
        <f aca="false">IF(OR(COUNT(B944:D1943)=0,AND('Choix pédagogiques'!$C$3&lt;&gt;1,'Choix pédagogiques'!$C$3&lt;&gt;2)),"",IF(AND(OR('Choix pédagogiques'!$C$3=1,'Choix pédagogiques'!$C$3=2),$B944&lt;&gt;"",$C944&lt;&gt;"",$D944&lt;&gt;""),1,0))</f>
        <v/>
      </c>
      <c r="BN944" s="52" t="str">
        <f aca="false">IF(OR(COUNT(G944:I1943)=0,AND('Choix pédagogiques'!$C$3&lt;&gt;1,'Choix pédagogiques'!$C$3&lt;&gt;2)),"",IF(AND(OR('Choix pédagogiques'!$C$3=1,'Choix pédagogiques'!$C$3=2),AND($G944&lt;&gt;"",$H944&lt;&gt;"",$I944&lt;&gt;"")),1,0))</f>
        <v/>
      </c>
      <c r="BO944" s="52" t="str">
        <f aca="false">IF(OR(COUNT(B944:D1943)=0,COUNT(G944:I1943)=0,'Choix pédagogiques'!C$3&lt;&gt;3),"",IF(AND('Choix pédagogiques'!$C$3=3,$B944&lt;&gt;"",$C944&lt;&gt;"",$D944&lt;&gt;"",$G944&lt;&gt;"",$H944&lt;&gt;"",$I944&lt;&gt;""),1,0))</f>
        <v/>
      </c>
      <c r="BR944" s="52" t="n">
        <v>723</v>
      </c>
      <c r="BS944" s="52" t="n">
        <v>1561</v>
      </c>
    </row>
    <row r="945" s="54" customFormat="true" ht="18" hidden="false" customHeight="true" outlineLevel="0" collapsed="false">
      <c r="A945" s="57" t="s">
        <v>1821</v>
      </c>
      <c r="B945" s="51"/>
      <c r="C945" s="51"/>
      <c r="D945" s="51"/>
      <c r="E945" s="51"/>
      <c r="F945" s="57" t="s">
        <v>1822</v>
      </c>
      <c r="G945" s="51"/>
      <c r="H945" s="51"/>
      <c r="I945" s="51"/>
      <c r="J945" s="51"/>
      <c r="K945" s="52" t="str">
        <f aca="false">IF($A945&lt;&gt;"",$A945,"")</f>
        <v>Apprenant 933</v>
      </c>
      <c r="L945" s="53" t="str">
        <f aca="false">IF(AND($B945&lt;&gt;"",$C945&lt;&gt;""),$C945-$B945,"")</f>
        <v/>
      </c>
      <c r="M945" s="53" t="str">
        <f aca="false">IF(AND($B945&lt;&gt;"",$D945&lt;&gt;""),$D945-$B945,"")</f>
        <v/>
      </c>
      <c r="N945" s="53" t="str">
        <f aca="false">IF(AND($C945&lt;&gt;"",$D945&lt;&gt;""),$D945-$C945,"")</f>
        <v/>
      </c>
      <c r="O945" s="53" t="str">
        <f aca="false">IF($E945&lt;&gt;"",$E945,"")</f>
        <v/>
      </c>
      <c r="P945" s="52" t="str">
        <f aca="false">IF($F945&lt;&gt;"",$F945,"")</f>
        <v>Apprenant 933 ou 933'</v>
      </c>
      <c r="Q945" s="53" t="str">
        <f aca="false">IF(AND($G945&lt;&gt;"",$H945&lt;&gt;""),$H945-$G945,"")</f>
        <v/>
      </c>
      <c r="R945" s="53" t="str">
        <f aca="false">IF(AND($G945&lt;&gt;"",$I945&lt;&gt;""),$I945-$G945,"")</f>
        <v/>
      </c>
      <c r="S945" s="53" t="str">
        <f aca="false">IF(AND($H945&lt;&gt;"",$I945&lt;&gt;""),$I945-$H945,"")</f>
        <v/>
      </c>
      <c r="T945" s="53" t="str">
        <f aca="false">IF($J945&lt;&gt;"",$J945,"")</f>
        <v/>
      </c>
      <c r="V945" s="52" t="str">
        <f aca="false">IF($A945&lt;&gt;"",$A945,"")</f>
        <v>Apprenant 933</v>
      </c>
      <c r="W945" s="53" t="str">
        <f aca="false">IF(AND(OR('Choix pédagogiques'!$C$3=1,'Choix pédagogiques'!$C$3=2),$BM945=1),B945,IF(AND('Choix pédagogiques'!$C$3=3,$BO945=1),B945,""))</f>
        <v/>
      </c>
      <c r="X945" s="53" t="str">
        <f aca="false">IF(AND(OR('Choix pédagogiques'!$C$3=1,'Choix pédagogiques'!$C$3=2),$BM945=1),C945,IF(AND('Choix pédagogiques'!$C$3=3,$BO945=1),C945,""))</f>
        <v/>
      </c>
      <c r="Y945" s="53" t="str">
        <f aca="false">IF(AND(OR('Choix pédagogiques'!$C$3=1,'Choix pédagogiques'!$C$3=2),$BM945=1),D945,IF(AND('Choix pédagogiques'!$C$3=3,$BO945=1),D945,""))</f>
        <v/>
      </c>
      <c r="Z945" s="53" t="str">
        <f aca="false">IF($E945&lt;&gt;"",$E945,"")</f>
        <v/>
      </c>
      <c r="AA945" s="52" t="str">
        <f aca="false">IF($F945&lt;&gt;"",$F945,"")</f>
        <v>Apprenant 933 ou 933'</v>
      </c>
      <c r="AB945" s="53" t="str">
        <f aca="false">IF(AND(OR('Choix pédagogiques'!$C$3=1,'Choix pédagogiques'!$C$3=2),$BN945=1),G945,IF(AND('Choix pédagogiques'!$C$3=3,$BO945=1),G945,""))</f>
        <v/>
      </c>
      <c r="AC945" s="53" t="str">
        <f aca="false">IF(AND(OR('Choix pédagogiques'!$C$3=1,'Choix pédagogiques'!$C$3=2),$BN945=1),H945,IF(AND('Choix pédagogiques'!$C$3=3,$BO945=1),H945,""))</f>
        <v/>
      </c>
      <c r="AD945" s="53" t="str">
        <f aca="false">IF(AND(OR('Choix pédagogiques'!$C$3=1,'Choix pédagogiques'!$C$3=2),$BN945=1),I945,IF(AND('Choix pédagogiques'!$C$3=3,$BO945=1),I945,""))</f>
        <v/>
      </c>
      <c r="AE945" s="53" t="str">
        <f aca="false">IF($J945&lt;&gt;"",$J945,"")</f>
        <v/>
      </c>
      <c r="AF945" s="52" t="str">
        <f aca="false">IF($A945&lt;&gt;"",$A945,"")</f>
        <v>Apprenant 933</v>
      </c>
      <c r="AG945" s="53" t="str">
        <f aca="false">IF(AND($W945&lt;&gt;"",$X945&lt;&gt;""),$X945-$W945,"")</f>
        <v/>
      </c>
      <c r="AH945" s="53" t="str">
        <f aca="false">IF(AND($W945&lt;&gt;"",$Y945&lt;&gt;""),$Y945-$W945,"")</f>
        <v/>
      </c>
      <c r="AI945" s="53" t="str">
        <f aca="false">IF(AND($X945&lt;&gt;"",$Y945&lt;&gt;""),$Y945-$X945,"")</f>
        <v/>
      </c>
      <c r="AJ945" s="53" t="str">
        <f aca="false">IF($E945&lt;&gt;"",$E945,"")</f>
        <v/>
      </c>
      <c r="AK945" s="52" t="str">
        <f aca="false">IF($F945&lt;&gt;"",$F945,"")</f>
        <v>Apprenant 933 ou 933'</v>
      </c>
      <c r="AL945" s="53" t="str">
        <f aca="false">IF(AND($AB945&lt;&gt;"",$AC945&lt;&gt;""),$AC945-$AB945,"")</f>
        <v/>
      </c>
      <c r="AM945" s="53" t="str">
        <f aca="false">IF(AND($AB945&lt;&gt;"",$AD945&lt;&gt;""),$AD945-$AB945,"")</f>
        <v/>
      </c>
      <c r="AN945" s="53" t="str">
        <f aca="false">IF(AND($AC945&lt;&gt;"",$AD945&lt;&gt;""),$AD945-$AC945,"")</f>
        <v/>
      </c>
      <c r="AO945" s="53" t="str">
        <f aca="false">IF($J945&lt;&gt;"",$J945,"")</f>
        <v/>
      </c>
      <c r="AQ945" s="52" t="str">
        <f aca="false">IF($A945&lt;&gt;"",$A945,"")</f>
        <v>Apprenant 933</v>
      </c>
      <c r="AR945" s="55" t="str">
        <f aca="false">IF(AND('Choix pédagogiques'!$C$4&lt;&gt;"?",'Choix pédagogiques'!$C$5&lt;&gt;"?",W945&lt;&gt;""),(W945-'Choix pédagogiques'!$C$4)/('Choix pédagogiques'!$C$5-'Choix pédagogiques'!$C$4),"")</f>
        <v/>
      </c>
      <c r="AS945" s="55" t="str">
        <f aca="false">IF(AND('Choix pédagogiques'!$C$4&lt;&gt;"?",'Choix pédagogiques'!$C$5&lt;&gt;"?",X945&lt;&gt;""),(X945-'Choix pédagogiques'!$C$4)/('Choix pédagogiques'!$C$5-'Choix pédagogiques'!$C$4),"")</f>
        <v/>
      </c>
      <c r="AT945" s="55" t="str">
        <f aca="false">IF(AND('Choix pédagogiques'!$C$4&lt;&gt;"?",'Choix pédagogiques'!$C$5&lt;&gt;"?",Y945&lt;&gt;""),(Y945-'Choix pédagogiques'!$C$4)/('Choix pédagogiques'!$C$5-'Choix pédagogiques'!$C$4),"")</f>
        <v/>
      </c>
      <c r="AU945" s="53" t="str">
        <f aca="false">IF($E945&lt;&gt;"",$E945,"")</f>
        <v/>
      </c>
      <c r="AV945" s="52" t="str">
        <f aca="false">IF($F945&lt;&gt;"",$F945,"")</f>
        <v>Apprenant 933 ou 933'</v>
      </c>
      <c r="AW945" s="55" t="str">
        <f aca="false">IF(AND('Choix pédagogiques'!$C$4&lt;&gt;"?",'Choix pédagogiques'!$C$5&lt;&gt;"?",AB945&lt;&gt;""),(AB945-'Choix pédagogiques'!$C$4)/('Choix pédagogiques'!$C$5-'Choix pédagogiques'!$C$4),"")</f>
        <v/>
      </c>
      <c r="AX945" s="55" t="str">
        <f aca="false">IF(AND('Choix pédagogiques'!$C$4&lt;&gt;"?",'Choix pédagogiques'!$C$5&lt;&gt;"?",AC945&lt;&gt;""),(AC945-'Choix pédagogiques'!$C$4)/('Choix pédagogiques'!$C$5-'Choix pédagogiques'!$C$4),"")</f>
        <v/>
      </c>
      <c r="AY945" s="55" t="str">
        <f aca="false">IF(AND('Choix pédagogiques'!$C$4&lt;&gt;"?",'Choix pédagogiques'!$C$5&lt;&gt;"?",AD945&lt;&gt;""),(AD945-'Choix pédagogiques'!$C$4)/('Choix pédagogiques'!$C$5-'Choix pédagogiques'!$C$4),"")</f>
        <v/>
      </c>
      <c r="AZ945" s="53" t="str">
        <f aca="false">IF($J945&lt;&gt;"",$J945,"")</f>
        <v/>
      </c>
      <c r="BA945" s="52" t="str">
        <f aca="false">IF($A945&lt;&gt;"",$A945,"")</f>
        <v>Apprenant 933</v>
      </c>
      <c r="BB945" s="55" t="str">
        <f aca="false">IF(AND($AR945&lt;&gt;"",$AS945&lt;&gt;""),$AS945-$AR945,"")</f>
        <v/>
      </c>
      <c r="BC945" s="55" t="str">
        <f aca="false">IF(AND($AR945&lt;&gt;"",$AT945&lt;&gt;""),$AT945-$AR945,"")</f>
        <v/>
      </c>
      <c r="BD945" s="55" t="str">
        <f aca="false">IF(AND($AS945&lt;&gt;"",$AT945&lt;&gt;""),$AT945-$AS945,"")</f>
        <v/>
      </c>
      <c r="BE945" s="53" t="str">
        <f aca="false">IF($E945&lt;&gt;"",$E945,"")</f>
        <v/>
      </c>
      <c r="BF945" s="52" t="str">
        <f aca="false">IF($F945&lt;&gt;"",$F945,"")</f>
        <v>Apprenant 933 ou 933'</v>
      </c>
      <c r="BG945" s="55" t="str">
        <f aca="false">IF(AND($AW945&lt;&gt;"",$AX945&lt;&gt;""),$AX945-$AW945,"")</f>
        <v/>
      </c>
      <c r="BH945" s="55" t="str">
        <f aca="false">IF(AND($AW945&lt;&gt;"",$AY945&lt;&gt;""),$AY945-$AW945,"")</f>
        <v/>
      </c>
      <c r="BI945" s="55" t="str">
        <f aca="false">IF(AND($AX945&lt;&gt;"",$AY945&lt;&gt;""),$AY945-$AX945,"")</f>
        <v/>
      </c>
      <c r="BJ945" s="53" t="str">
        <f aca="false">IF($J945&lt;&gt;"",$J945,"")</f>
        <v/>
      </c>
      <c r="BL945" s="52"/>
      <c r="BM945" s="52" t="str">
        <f aca="false">IF(OR(COUNT(B945:D1944)=0,AND('Choix pédagogiques'!$C$3&lt;&gt;1,'Choix pédagogiques'!$C$3&lt;&gt;2)),"",IF(AND(OR('Choix pédagogiques'!$C$3=1,'Choix pédagogiques'!$C$3=2),$B945&lt;&gt;"",$C945&lt;&gt;"",$D945&lt;&gt;""),1,0))</f>
        <v/>
      </c>
      <c r="BN945" s="52" t="str">
        <f aca="false">IF(OR(COUNT(G945:I1944)=0,AND('Choix pédagogiques'!$C$3&lt;&gt;1,'Choix pédagogiques'!$C$3&lt;&gt;2)),"",IF(AND(OR('Choix pédagogiques'!$C$3=1,'Choix pédagogiques'!$C$3=2),AND($G945&lt;&gt;"",$H945&lt;&gt;"",$I945&lt;&gt;"")),1,0))</f>
        <v/>
      </c>
      <c r="BO945" s="52" t="str">
        <f aca="false">IF(OR(COUNT(B945:D1944)=0,COUNT(G945:I1944)=0,'Choix pédagogiques'!C$3&lt;&gt;3),"",IF(AND('Choix pédagogiques'!$C$3=3,$B945&lt;&gt;"",$C945&lt;&gt;"",$D945&lt;&gt;"",$G945&lt;&gt;"",$H945&lt;&gt;"",$I945&lt;&gt;""),1,0))</f>
        <v/>
      </c>
      <c r="BR945" s="52" t="n">
        <v>873</v>
      </c>
      <c r="BS945" s="52" t="n">
        <v>1537</v>
      </c>
    </row>
    <row r="946" s="54" customFormat="true" ht="18" hidden="false" customHeight="true" outlineLevel="0" collapsed="false">
      <c r="A946" s="57" t="s">
        <v>1823</v>
      </c>
      <c r="B946" s="51"/>
      <c r="C946" s="51"/>
      <c r="D946" s="51"/>
      <c r="E946" s="51"/>
      <c r="F946" s="57" t="s">
        <v>1824</v>
      </c>
      <c r="G946" s="51"/>
      <c r="H946" s="51"/>
      <c r="I946" s="51"/>
      <c r="J946" s="51"/>
      <c r="K946" s="52" t="str">
        <f aca="false">IF($A946&lt;&gt;"",$A946,"")</f>
        <v>Apprenant 934</v>
      </c>
      <c r="L946" s="53" t="str">
        <f aca="false">IF(AND($B946&lt;&gt;"",$C946&lt;&gt;""),$C946-$B946,"")</f>
        <v/>
      </c>
      <c r="M946" s="53" t="str">
        <f aca="false">IF(AND($B946&lt;&gt;"",$D946&lt;&gt;""),$D946-$B946,"")</f>
        <v/>
      </c>
      <c r="N946" s="53" t="str">
        <f aca="false">IF(AND($C946&lt;&gt;"",$D946&lt;&gt;""),$D946-$C946,"")</f>
        <v/>
      </c>
      <c r="O946" s="53" t="str">
        <f aca="false">IF($E946&lt;&gt;"",$E946,"")</f>
        <v/>
      </c>
      <c r="P946" s="52" t="str">
        <f aca="false">IF($F946&lt;&gt;"",$F946,"")</f>
        <v>Apprenant 934 ou 934'</v>
      </c>
      <c r="Q946" s="53" t="str">
        <f aca="false">IF(AND($G946&lt;&gt;"",$H946&lt;&gt;""),$H946-$G946,"")</f>
        <v/>
      </c>
      <c r="R946" s="53" t="str">
        <f aca="false">IF(AND($G946&lt;&gt;"",$I946&lt;&gt;""),$I946-$G946,"")</f>
        <v/>
      </c>
      <c r="S946" s="53" t="str">
        <f aca="false">IF(AND($H946&lt;&gt;"",$I946&lt;&gt;""),$I946-$H946,"")</f>
        <v/>
      </c>
      <c r="T946" s="53" t="str">
        <f aca="false">IF($J946&lt;&gt;"",$J946,"")</f>
        <v/>
      </c>
      <c r="V946" s="52" t="str">
        <f aca="false">IF($A946&lt;&gt;"",$A946,"")</f>
        <v>Apprenant 934</v>
      </c>
      <c r="W946" s="53" t="str">
        <f aca="false">IF(AND(OR('Choix pédagogiques'!$C$3=1,'Choix pédagogiques'!$C$3=2),$BM946=1),B946,IF(AND('Choix pédagogiques'!$C$3=3,$BO946=1),B946,""))</f>
        <v/>
      </c>
      <c r="X946" s="53" t="str">
        <f aca="false">IF(AND(OR('Choix pédagogiques'!$C$3=1,'Choix pédagogiques'!$C$3=2),$BM946=1),C946,IF(AND('Choix pédagogiques'!$C$3=3,$BO946=1),C946,""))</f>
        <v/>
      </c>
      <c r="Y946" s="53" t="str">
        <f aca="false">IF(AND(OR('Choix pédagogiques'!$C$3=1,'Choix pédagogiques'!$C$3=2),$BM946=1),D946,IF(AND('Choix pédagogiques'!$C$3=3,$BO946=1),D946,""))</f>
        <v/>
      </c>
      <c r="Z946" s="53" t="str">
        <f aca="false">IF($E946&lt;&gt;"",$E946,"")</f>
        <v/>
      </c>
      <c r="AA946" s="52" t="str">
        <f aca="false">IF($F946&lt;&gt;"",$F946,"")</f>
        <v>Apprenant 934 ou 934'</v>
      </c>
      <c r="AB946" s="53" t="str">
        <f aca="false">IF(AND(OR('Choix pédagogiques'!$C$3=1,'Choix pédagogiques'!$C$3=2),$BN946=1),G946,IF(AND('Choix pédagogiques'!$C$3=3,$BO946=1),G946,""))</f>
        <v/>
      </c>
      <c r="AC946" s="53" t="str">
        <f aca="false">IF(AND(OR('Choix pédagogiques'!$C$3=1,'Choix pédagogiques'!$C$3=2),$BN946=1),H946,IF(AND('Choix pédagogiques'!$C$3=3,$BO946=1),H946,""))</f>
        <v/>
      </c>
      <c r="AD946" s="53" t="str">
        <f aca="false">IF(AND(OR('Choix pédagogiques'!$C$3=1,'Choix pédagogiques'!$C$3=2),$BN946=1),I946,IF(AND('Choix pédagogiques'!$C$3=3,$BO946=1),I946,""))</f>
        <v/>
      </c>
      <c r="AE946" s="53" t="str">
        <f aca="false">IF($J946&lt;&gt;"",$J946,"")</f>
        <v/>
      </c>
      <c r="AF946" s="52" t="str">
        <f aca="false">IF($A946&lt;&gt;"",$A946,"")</f>
        <v>Apprenant 934</v>
      </c>
      <c r="AG946" s="53" t="str">
        <f aca="false">IF(AND($W946&lt;&gt;"",$X946&lt;&gt;""),$X946-$W946,"")</f>
        <v/>
      </c>
      <c r="AH946" s="53" t="str">
        <f aca="false">IF(AND($W946&lt;&gt;"",$Y946&lt;&gt;""),$Y946-$W946,"")</f>
        <v/>
      </c>
      <c r="AI946" s="53" t="str">
        <f aca="false">IF(AND($X946&lt;&gt;"",$Y946&lt;&gt;""),$Y946-$X946,"")</f>
        <v/>
      </c>
      <c r="AJ946" s="53" t="str">
        <f aca="false">IF($E946&lt;&gt;"",$E946,"")</f>
        <v/>
      </c>
      <c r="AK946" s="52" t="str">
        <f aca="false">IF($F946&lt;&gt;"",$F946,"")</f>
        <v>Apprenant 934 ou 934'</v>
      </c>
      <c r="AL946" s="53" t="str">
        <f aca="false">IF(AND($AB946&lt;&gt;"",$AC946&lt;&gt;""),$AC946-$AB946,"")</f>
        <v/>
      </c>
      <c r="AM946" s="53" t="str">
        <f aca="false">IF(AND($AB946&lt;&gt;"",$AD946&lt;&gt;""),$AD946-$AB946,"")</f>
        <v/>
      </c>
      <c r="AN946" s="53" t="str">
        <f aca="false">IF(AND($AC946&lt;&gt;"",$AD946&lt;&gt;""),$AD946-$AC946,"")</f>
        <v/>
      </c>
      <c r="AO946" s="53" t="str">
        <f aca="false">IF($J946&lt;&gt;"",$J946,"")</f>
        <v/>
      </c>
      <c r="AQ946" s="52" t="str">
        <f aca="false">IF($A946&lt;&gt;"",$A946,"")</f>
        <v>Apprenant 934</v>
      </c>
      <c r="AR946" s="55" t="str">
        <f aca="false">IF(AND('Choix pédagogiques'!$C$4&lt;&gt;"?",'Choix pédagogiques'!$C$5&lt;&gt;"?",W946&lt;&gt;""),(W946-'Choix pédagogiques'!$C$4)/('Choix pédagogiques'!$C$5-'Choix pédagogiques'!$C$4),"")</f>
        <v/>
      </c>
      <c r="AS946" s="55" t="str">
        <f aca="false">IF(AND('Choix pédagogiques'!$C$4&lt;&gt;"?",'Choix pédagogiques'!$C$5&lt;&gt;"?",X946&lt;&gt;""),(X946-'Choix pédagogiques'!$C$4)/('Choix pédagogiques'!$C$5-'Choix pédagogiques'!$C$4),"")</f>
        <v/>
      </c>
      <c r="AT946" s="55" t="str">
        <f aca="false">IF(AND('Choix pédagogiques'!$C$4&lt;&gt;"?",'Choix pédagogiques'!$C$5&lt;&gt;"?",Y946&lt;&gt;""),(Y946-'Choix pédagogiques'!$C$4)/('Choix pédagogiques'!$C$5-'Choix pédagogiques'!$C$4),"")</f>
        <v/>
      </c>
      <c r="AU946" s="53" t="str">
        <f aca="false">IF($E946&lt;&gt;"",$E946,"")</f>
        <v/>
      </c>
      <c r="AV946" s="52" t="str">
        <f aca="false">IF($F946&lt;&gt;"",$F946,"")</f>
        <v>Apprenant 934 ou 934'</v>
      </c>
      <c r="AW946" s="55" t="str">
        <f aca="false">IF(AND('Choix pédagogiques'!$C$4&lt;&gt;"?",'Choix pédagogiques'!$C$5&lt;&gt;"?",AB946&lt;&gt;""),(AB946-'Choix pédagogiques'!$C$4)/('Choix pédagogiques'!$C$5-'Choix pédagogiques'!$C$4),"")</f>
        <v/>
      </c>
      <c r="AX946" s="55" t="str">
        <f aca="false">IF(AND('Choix pédagogiques'!$C$4&lt;&gt;"?",'Choix pédagogiques'!$C$5&lt;&gt;"?",AC946&lt;&gt;""),(AC946-'Choix pédagogiques'!$C$4)/('Choix pédagogiques'!$C$5-'Choix pédagogiques'!$C$4),"")</f>
        <v/>
      </c>
      <c r="AY946" s="55" t="str">
        <f aca="false">IF(AND('Choix pédagogiques'!$C$4&lt;&gt;"?",'Choix pédagogiques'!$C$5&lt;&gt;"?",AD946&lt;&gt;""),(AD946-'Choix pédagogiques'!$C$4)/('Choix pédagogiques'!$C$5-'Choix pédagogiques'!$C$4),"")</f>
        <v/>
      </c>
      <c r="AZ946" s="53" t="str">
        <f aca="false">IF($J946&lt;&gt;"",$J946,"")</f>
        <v/>
      </c>
      <c r="BA946" s="52" t="str">
        <f aca="false">IF($A946&lt;&gt;"",$A946,"")</f>
        <v>Apprenant 934</v>
      </c>
      <c r="BB946" s="55" t="str">
        <f aca="false">IF(AND($AR946&lt;&gt;"",$AS946&lt;&gt;""),$AS946-$AR946,"")</f>
        <v/>
      </c>
      <c r="BC946" s="55" t="str">
        <f aca="false">IF(AND($AR946&lt;&gt;"",$AT946&lt;&gt;""),$AT946-$AR946,"")</f>
        <v/>
      </c>
      <c r="BD946" s="55" t="str">
        <f aca="false">IF(AND($AS946&lt;&gt;"",$AT946&lt;&gt;""),$AT946-$AS946,"")</f>
        <v/>
      </c>
      <c r="BE946" s="53" t="str">
        <f aca="false">IF($E946&lt;&gt;"",$E946,"")</f>
        <v/>
      </c>
      <c r="BF946" s="52" t="str">
        <f aca="false">IF($F946&lt;&gt;"",$F946,"")</f>
        <v>Apprenant 934 ou 934'</v>
      </c>
      <c r="BG946" s="55" t="str">
        <f aca="false">IF(AND($AW946&lt;&gt;"",$AX946&lt;&gt;""),$AX946-$AW946,"")</f>
        <v/>
      </c>
      <c r="BH946" s="55" t="str">
        <f aca="false">IF(AND($AW946&lt;&gt;"",$AY946&lt;&gt;""),$AY946-$AW946,"")</f>
        <v/>
      </c>
      <c r="BI946" s="55" t="str">
        <f aca="false">IF(AND($AX946&lt;&gt;"",$AY946&lt;&gt;""),$AY946-$AX946,"")</f>
        <v/>
      </c>
      <c r="BJ946" s="53" t="str">
        <f aca="false">IF($J946&lt;&gt;"",$J946,"")</f>
        <v/>
      </c>
      <c r="BL946" s="52"/>
      <c r="BM946" s="52" t="str">
        <f aca="false">IF(OR(COUNT(B946:D1945)=0,AND('Choix pédagogiques'!$C$3&lt;&gt;1,'Choix pédagogiques'!$C$3&lt;&gt;2)),"",IF(AND(OR('Choix pédagogiques'!$C$3=1,'Choix pédagogiques'!$C$3=2),$B946&lt;&gt;"",$C946&lt;&gt;"",$D946&lt;&gt;""),1,0))</f>
        <v/>
      </c>
      <c r="BN946" s="52" t="str">
        <f aca="false">IF(OR(COUNT(G946:I1945)=0,AND('Choix pédagogiques'!$C$3&lt;&gt;1,'Choix pédagogiques'!$C$3&lt;&gt;2)),"",IF(AND(OR('Choix pédagogiques'!$C$3=1,'Choix pédagogiques'!$C$3=2),AND($G946&lt;&gt;"",$H946&lt;&gt;"",$I946&lt;&gt;"")),1,0))</f>
        <v/>
      </c>
      <c r="BO946" s="52" t="str">
        <f aca="false">IF(OR(COUNT(B946:D1945)=0,COUNT(G946:I1945)=0,'Choix pédagogiques'!C$3&lt;&gt;3),"",IF(AND('Choix pédagogiques'!$C$3=3,$B946&lt;&gt;"",$C946&lt;&gt;"",$D946&lt;&gt;"",$G946&lt;&gt;"",$H946&lt;&gt;"",$I946&lt;&gt;""),1,0))</f>
        <v/>
      </c>
      <c r="BR946" s="52" t="n">
        <v>619</v>
      </c>
      <c r="BS946" s="52" t="n">
        <v>1935</v>
      </c>
    </row>
    <row r="947" s="54" customFormat="true" ht="18" hidden="false" customHeight="true" outlineLevel="0" collapsed="false">
      <c r="A947" s="57" t="s">
        <v>1825</v>
      </c>
      <c r="B947" s="51"/>
      <c r="C947" s="51"/>
      <c r="D947" s="51"/>
      <c r="E947" s="51"/>
      <c r="F947" s="57" t="s">
        <v>1826</v>
      </c>
      <c r="G947" s="51"/>
      <c r="H947" s="51"/>
      <c r="I947" s="51"/>
      <c r="J947" s="51"/>
      <c r="K947" s="52" t="str">
        <f aca="false">IF($A947&lt;&gt;"",$A947,"")</f>
        <v>Apprenant 935</v>
      </c>
      <c r="L947" s="53" t="str">
        <f aca="false">IF(AND($B947&lt;&gt;"",$C947&lt;&gt;""),$C947-$B947,"")</f>
        <v/>
      </c>
      <c r="M947" s="53" t="str">
        <f aca="false">IF(AND($B947&lt;&gt;"",$D947&lt;&gt;""),$D947-$B947,"")</f>
        <v/>
      </c>
      <c r="N947" s="53" t="str">
        <f aca="false">IF(AND($C947&lt;&gt;"",$D947&lt;&gt;""),$D947-$C947,"")</f>
        <v/>
      </c>
      <c r="O947" s="53" t="str">
        <f aca="false">IF($E947&lt;&gt;"",$E947,"")</f>
        <v/>
      </c>
      <c r="P947" s="52" t="str">
        <f aca="false">IF($F947&lt;&gt;"",$F947,"")</f>
        <v>Apprenant 935 ou 935'</v>
      </c>
      <c r="Q947" s="53" t="str">
        <f aca="false">IF(AND($G947&lt;&gt;"",$H947&lt;&gt;""),$H947-$G947,"")</f>
        <v/>
      </c>
      <c r="R947" s="53" t="str">
        <f aca="false">IF(AND($G947&lt;&gt;"",$I947&lt;&gt;""),$I947-$G947,"")</f>
        <v/>
      </c>
      <c r="S947" s="53" t="str">
        <f aca="false">IF(AND($H947&lt;&gt;"",$I947&lt;&gt;""),$I947-$H947,"")</f>
        <v/>
      </c>
      <c r="T947" s="53" t="str">
        <f aca="false">IF($J947&lt;&gt;"",$J947,"")</f>
        <v/>
      </c>
      <c r="V947" s="52" t="str">
        <f aca="false">IF($A947&lt;&gt;"",$A947,"")</f>
        <v>Apprenant 935</v>
      </c>
      <c r="W947" s="53" t="str">
        <f aca="false">IF(AND(OR('Choix pédagogiques'!$C$3=1,'Choix pédagogiques'!$C$3=2),$BM947=1),B947,IF(AND('Choix pédagogiques'!$C$3=3,$BO947=1),B947,""))</f>
        <v/>
      </c>
      <c r="X947" s="53" t="str">
        <f aca="false">IF(AND(OR('Choix pédagogiques'!$C$3=1,'Choix pédagogiques'!$C$3=2),$BM947=1),C947,IF(AND('Choix pédagogiques'!$C$3=3,$BO947=1),C947,""))</f>
        <v/>
      </c>
      <c r="Y947" s="53" t="str">
        <f aca="false">IF(AND(OR('Choix pédagogiques'!$C$3=1,'Choix pédagogiques'!$C$3=2),$BM947=1),D947,IF(AND('Choix pédagogiques'!$C$3=3,$BO947=1),D947,""))</f>
        <v/>
      </c>
      <c r="Z947" s="53" t="str">
        <f aca="false">IF($E947&lt;&gt;"",$E947,"")</f>
        <v/>
      </c>
      <c r="AA947" s="52" t="str">
        <f aca="false">IF($F947&lt;&gt;"",$F947,"")</f>
        <v>Apprenant 935 ou 935'</v>
      </c>
      <c r="AB947" s="53" t="str">
        <f aca="false">IF(AND(OR('Choix pédagogiques'!$C$3=1,'Choix pédagogiques'!$C$3=2),$BN947=1),G947,IF(AND('Choix pédagogiques'!$C$3=3,$BO947=1),G947,""))</f>
        <v/>
      </c>
      <c r="AC947" s="53" t="str">
        <f aca="false">IF(AND(OR('Choix pédagogiques'!$C$3=1,'Choix pédagogiques'!$C$3=2),$BN947=1),H947,IF(AND('Choix pédagogiques'!$C$3=3,$BO947=1),H947,""))</f>
        <v/>
      </c>
      <c r="AD947" s="53" t="str">
        <f aca="false">IF(AND(OR('Choix pédagogiques'!$C$3=1,'Choix pédagogiques'!$C$3=2),$BN947=1),I947,IF(AND('Choix pédagogiques'!$C$3=3,$BO947=1),I947,""))</f>
        <v/>
      </c>
      <c r="AE947" s="53" t="str">
        <f aca="false">IF($J947&lt;&gt;"",$J947,"")</f>
        <v/>
      </c>
      <c r="AF947" s="52" t="str">
        <f aca="false">IF($A947&lt;&gt;"",$A947,"")</f>
        <v>Apprenant 935</v>
      </c>
      <c r="AG947" s="53" t="str">
        <f aca="false">IF(AND($W947&lt;&gt;"",$X947&lt;&gt;""),$X947-$W947,"")</f>
        <v/>
      </c>
      <c r="AH947" s="53" t="str">
        <f aca="false">IF(AND($W947&lt;&gt;"",$Y947&lt;&gt;""),$Y947-$W947,"")</f>
        <v/>
      </c>
      <c r="AI947" s="53" t="str">
        <f aca="false">IF(AND($X947&lt;&gt;"",$Y947&lt;&gt;""),$Y947-$X947,"")</f>
        <v/>
      </c>
      <c r="AJ947" s="53" t="str">
        <f aca="false">IF($E947&lt;&gt;"",$E947,"")</f>
        <v/>
      </c>
      <c r="AK947" s="52" t="str">
        <f aca="false">IF($F947&lt;&gt;"",$F947,"")</f>
        <v>Apprenant 935 ou 935'</v>
      </c>
      <c r="AL947" s="53" t="str">
        <f aca="false">IF(AND($AB947&lt;&gt;"",$AC947&lt;&gt;""),$AC947-$AB947,"")</f>
        <v/>
      </c>
      <c r="AM947" s="53" t="str">
        <f aca="false">IF(AND($AB947&lt;&gt;"",$AD947&lt;&gt;""),$AD947-$AB947,"")</f>
        <v/>
      </c>
      <c r="AN947" s="53" t="str">
        <f aca="false">IF(AND($AC947&lt;&gt;"",$AD947&lt;&gt;""),$AD947-$AC947,"")</f>
        <v/>
      </c>
      <c r="AO947" s="53" t="str">
        <f aca="false">IF($J947&lt;&gt;"",$J947,"")</f>
        <v/>
      </c>
      <c r="AQ947" s="52" t="str">
        <f aca="false">IF($A947&lt;&gt;"",$A947,"")</f>
        <v>Apprenant 935</v>
      </c>
      <c r="AR947" s="55" t="str">
        <f aca="false">IF(AND('Choix pédagogiques'!$C$4&lt;&gt;"?",'Choix pédagogiques'!$C$5&lt;&gt;"?",W947&lt;&gt;""),(W947-'Choix pédagogiques'!$C$4)/('Choix pédagogiques'!$C$5-'Choix pédagogiques'!$C$4),"")</f>
        <v/>
      </c>
      <c r="AS947" s="55" t="str">
        <f aca="false">IF(AND('Choix pédagogiques'!$C$4&lt;&gt;"?",'Choix pédagogiques'!$C$5&lt;&gt;"?",X947&lt;&gt;""),(X947-'Choix pédagogiques'!$C$4)/('Choix pédagogiques'!$C$5-'Choix pédagogiques'!$C$4),"")</f>
        <v/>
      </c>
      <c r="AT947" s="55" t="str">
        <f aca="false">IF(AND('Choix pédagogiques'!$C$4&lt;&gt;"?",'Choix pédagogiques'!$C$5&lt;&gt;"?",Y947&lt;&gt;""),(Y947-'Choix pédagogiques'!$C$4)/('Choix pédagogiques'!$C$5-'Choix pédagogiques'!$C$4),"")</f>
        <v/>
      </c>
      <c r="AU947" s="53" t="str">
        <f aca="false">IF($E947&lt;&gt;"",$E947,"")</f>
        <v/>
      </c>
      <c r="AV947" s="52" t="str">
        <f aca="false">IF($F947&lt;&gt;"",$F947,"")</f>
        <v>Apprenant 935 ou 935'</v>
      </c>
      <c r="AW947" s="55" t="str">
        <f aca="false">IF(AND('Choix pédagogiques'!$C$4&lt;&gt;"?",'Choix pédagogiques'!$C$5&lt;&gt;"?",AB947&lt;&gt;""),(AB947-'Choix pédagogiques'!$C$4)/('Choix pédagogiques'!$C$5-'Choix pédagogiques'!$C$4),"")</f>
        <v/>
      </c>
      <c r="AX947" s="55" t="str">
        <f aca="false">IF(AND('Choix pédagogiques'!$C$4&lt;&gt;"?",'Choix pédagogiques'!$C$5&lt;&gt;"?",AC947&lt;&gt;""),(AC947-'Choix pédagogiques'!$C$4)/('Choix pédagogiques'!$C$5-'Choix pédagogiques'!$C$4),"")</f>
        <v/>
      </c>
      <c r="AY947" s="55" t="str">
        <f aca="false">IF(AND('Choix pédagogiques'!$C$4&lt;&gt;"?",'Choix pédagogiques'!$C$5&lt;&gt;"?",AD947&lt;&gt;""),(AD947-'Choix pédagogiques'!$C$4)/('Choix pédagogiques'!$C$5-'Choix pédagogiques'!$C$4),"")</f>
        <v/>
      </c>
      <c r="AZ947" s="53" t="str">
        <f aca="false">IF($J947&lt;&gt;"",$J947,"")</f>
        <v/>
      </c>
      <c r="BA947" s="52" t="str">
        <f aca="false">IF($A947&lt;&gt;"",$A947,"")</f>
        <v>Apprenant 935</v>
      </c>
      <c r="BB947" s="55" t="str">
        <f aca="false">IF(AND($AR947&lt;&gt;"",$AS947&lt;&gt;""),$AS947-$AR947,"")</f>
        <v/>
      </c>
      <c r="BC947" s="55" t="str">
        <f aca="false">IF(AND($AR947&lt;&gt;"",$AT947&lt;&gt;""),$AT947-$AR947,"")</f>
        <v/>
      </c>
      <c r="BD947" s="55" t="str">
        <f aca="false">IF(AND($AS947&lt;&gt;"",$AT947&lt;&gt;""),$AT947-$AS947,"")</f>
        <v/>
      </c>
      <c r="BE947" s="53" t="str">
        <f aca="false">IF($E947&lt;&gt;"",$E947,"")</f>
        <v/>
      </c>
      <c r="BF947" s="52" t="str">
        <f aca="false">IF($F947&lt;&gt;"",$F947,"")</f>
        <v>Apprenant 935 ou 935'</v>
      </c>
      <c r="BG947" s="55" t="str">
        <f aca="false">IF(AND($AW947&lt;&gt;"",$AX947&lt;&gt;""),$AX947-$AW947,"")</f>
        <v/>
      </c>
      <c r="BH947" s="55" t="str">
        <f aca="false">IF(AND($AW947&lt;&gt;"",$AY947&lt;&gt;""),$AY947-$AW947,"")</f>
        <v/>
      </c>
      <c r="BI947" s="55" t="str">
        <f aca="false">IF(AND($AX947&lt;&gt;"",$AY947&lt;&gt;""),$AY947-$AX947,"")</f>
        <v/>
      </c>
      <c r="BJ947" s="53" t="str">
        <f aca="false">IF($J947&lt;&gt;"",$J947,"")</f>
        <v/>
      </c>
      <c r="BL947" s="52"/>
      <c r="BM947" s="52" t="str">
        <f aca="false">IF(OR(COUNT(B947:D1946)=0,AND('Choix pédagogiques'!$C$3&lt;&gt;1,'Choix pédagogiques'!$C$3&lt;&gt;2)),"",IF(AND(OR('Choix pédagogiques'!$C$3=1,'Choix pédagogiques'!$C$3=2),$B947&lt;&gt;"",$C947&lt;&gt;"",$D947&lt;&gt;""),1,0))</f>
        <v/>
      </c>
      <c r="BN947" s="52" t="str">
        <f aca="false">IF(OR(COUNT(G947:I1946)=0,AND('Choix pédagogiques'!$C$3&lt;&gt;1,'Choix pédagogiques'!$C$3&lt;&gt;2)),"",IF(AND(OR('Choix pédagogiques'!$C$3=1,'Choix pédagogiques'!$C$3=2),AND($G947&lt;&gt;"",$H947&lt;&gt;"",$I947&lt;&gt;"")),1,0))</f>
        <v/>
      </c>
      <c r="BO947" s="52" t="str">
        <f aca="false">IF(OR(COUNT(B947:D1946)=0,COUNT(G947:I1946)=0,'Choix pédagogiques'!C$3&lt;&gt;3),"",IF(AND('Choix pédagogiques'!$C$3=3,$B947&lt;&gt;"",$C947&lt;&gt;"",$D947&lt;&gt;"",$G947&lt;&gt;"",$H947&lt;&gt;"",$I947&lt;&gt;""),1,0))</f>
        <v/>
      </c>
      <c r="BR947" s="52" t="n">
        <v>233</v>
      </c>
      <c r="BS947" s="52" t="n">
        <v>1284</v>
      </c>
    </row>
    <row r="948" s="54" customFormat="true" ht="18" hidden="false" customHeight="true" outlineLevel="0" collapsed="false">
      <c r="A948" s="57" t="s">
        <v>1827</v>
      </c>
      <c r="B948" s="51"/>
      <c r="C948" s="51"/>
      <c r="D948" s="51"/>
      <c r="E948" s="51"/>
      <c r="F948" s="57" t="s">
        <v>1828</v>
      </c>
      <c r="G948" s="51"/>
      <c r="H948" s="51"/>
      <c r="I948" s="51"/>
      <c r="J948" s="51"/>
      <c r="K948" s="52" t="str">
        <f aca="false">IF($A948&lt;&gt;"",$A948,"")</f>
        <v>Apprenant 936</v>
      </c>
      <c r="L948" s="53" t="str">
        <f aca="false">IF(AND($B948&lt;&gt;"",$C948&lt;&gt;""),$C948-$B948,"")</f>
        <v/>
      </c>
      <c r="M948" s="53" t="str">
        <f aca="false">IF(AND($B948&lt;&gt;"",$D948&lt;&gt;""),$D948-$B948,"")</f>
        <v/>
      </c>
      <c r="N948" s="53" t="str">
        <f aca="false">IF(AND($C948&lt;&gt;"",$D948&lt;&gt;""),$D948-$C948,"")</f>
        <v/>
      </c>
      <c r="O948" s="53" t="str">
        <f aca="false">IF($E948&lt;&gt;"",$E948,"")</f>
        <v/>
      </c>
      <c r="P948" s="52" t="str">
        <f aca="false">IF($F948&lt;&gt;"",$F948,"")</f>
        <v>Apprenant 936 ou 936'</v>
      </c>
      <c r="Q948" s="53" t="str">
        <f aca="false">IF(AND($G948&lt;&gt;"",$H948&lt;&gt;""),$H948-$G948,"")</f>
        <v/>
      </c>
      <c r="R948" s="53" t="str">
        <f aca="false">IF(AND($G948&lt;&gt;"",$I948&lt;&gt;""),$I948-$G948,"")</f>
        <v/>
      </c>
      <c r="S948" s="53" t="str">
        <f aca="false">IF(AND($H948&lt;&gt;"",$I948&lt;&gt;""),$I948-$H948,"")</f>
        <v/>
      </c>
      <c r="T948" s="53" t="str">
        <f aca="false">IF($J948&lt;&gt;"",$J948,"")</f>
        <v/>
      </c>
      <c r="V948" s="52" t="str">
        <f aca="false">IF($A948&lt;&gt;"",$A948,"")</f>
        <v>Apprenant 936</v>
      </c>
      <c r="W948" s="53" t="str">
        <f aca="false">IF(AND(OR('Choix pédagogiques'!$C$3=1,'Choix pédagogiques'!$C$3=2),$BM948=1),B948,IF(AND('Choix pédagogiques'!$C$3=3,$BO948=1),B948,""))</f>
        <v/>
      </c>
      <c r="X948" s="53" t="str">
        <f aca="false">IF(AND(OR('Choix pédagogiques'!$C$3=1,'Choix pédagogiques'!$C$3=2),$BM948=1),C948,IF(AND('Choix pédagogiques'!$C$3=3,$BO948=1),C948,""))</f>
        <v/>
      </c>
      <c r="Y948" s="53" t="str">
        <f aca="false">IF(AND(OR('Choix pédagogiques'!$C$3=1,'Choix pédagogiques'!$C$3=2),$BM948=1),D948,IF(AND('Choix pédagogiques'!$C$3=3,$BO948=1),D948,""))</f>
        <v/>
      </c>
      <c r="Z948" s="53" t="str">
        <f aca="false">IF($E948&lt;&gt;"",$E948,"")</f>
        <v/>
      </c>
      <c r="AA948" s="52" t="str">
        <f aca="false">IF($F948&lt;&gt;"",$F948,"")</f>
        <v>Apprenant 936 ou 936'</v>
      </c>
      <c r="AB948" s="53" t="str">
        <f aca="false">IF(AND(OR('Choix pédagogiques'!$C$3=1,'Choix pédagogiques'!$C$3=2),$BN948=1),G948,IF(AND('Choix pédagogiques'!$C$3=3,$BO948=1),G948,""))</f>
        <v/>
      </c>
      <c r="AC948" s="53" t="str">
        <f aca="false">IF(AND(OR('Choix pédagogiques'!$C$3=1,'Choix pédagogiques'!$C$3=2),$BN948=1),H948,IF(AND('Choix pédagogiques'!$C$3=3,$BO948=1),H948,""))</f>
        <v/>
      </c>
      <c r="AD948" s="53" t="str">
        <f aca="false">IF(AND(OR('Choix pédagogiques'!$C$3=1,'Choix pédagogiques'!$C$3=2),$BN948=1),I948,IF(AND('Choix pédagogiques'!$C$3=3,$BO948=1),I948,""))</f>
        <v/>
      </c>
      <c r="AE948" s="53" t="str">
        <f aca="false">IF($J948&lt;&gt;"",$J948,"")</f>
        <v/>
      </c>
      <c r="AF948" s="52" t="str">
        <f aca="false">IF($A948&lt;&gt;"",$A948,"")</f>
        <v>Apprenant 936</v>
      </c>
      <c r="AG948" s="53" t="str">
        <f aca="false">IF(AND($W948&lt;&gt;"",$X948&lt;&gt;""),$X948-$W948,"")</f>
        <v/>
      </c>
      <c r="AH948" s="53" t="str">
        <f aca="false">IF(AND($W948&lt;&gt;"",$Y948&lt;&gt;""),$Y948-$W948,"")</f>
        <v/>
      </c>
      <c r="AI948" s="53" t="str">
        <f aca="false">IF(AND($X948&lt;&gt;"",$Y948&lt;&gt;""),$Y948-$X948,"")</f>
        <v/>
      </c>
      <c r="AJ948" s="53" t="str">
        <f aca="false">IF($E948&lt;&gt;"",$E948,"")</f>
        <v/>
      </c>
      <c r="AK948" s="52" t="str">
        <f aca="false">IF($F948&lt;&gt;"",$F948,"")</f>
        <v>Apprenant 936 ou 936'</v>
      </c>
      <c r="AL948" s="53" t="str">
        <f aca="false">IF(AND($AB948&lt;&gt;"",$AC948&lt;&gt;""),$AC948-$AB948,"")</f>
        <v/>
      </c>
      <c r="AM948" s="53" t="str">
        <f aca="false">IF(AND($AB948&lt;&gt;"",$AD948&lt;&gt;""),$AD948-$AB948,"")</f>
        <v/>
      </c>
      <c r="AN948" s="53" t="str">
        <f aca="false">IF(AND($AC948&lt;&gt;"",$AD948&lt;&gt;""),$AD948-$AC948,"")</f>
        <v/>
      </c>
      <c r="AO948" s="53" t="str">
        <f aca="false">IF($J948&lt;&gt;"",$J948,"")</f>
        <v/>
      </c>
      <c r="AQ948" s="52" t="str">
        <f aca="false">IF($A948&lt;&gt;"",$A948,"")</f>
        <v>Apprenant 936</v>
      </c>
      <c r="AR948" s="55" t="str">
        <f aca="false">IF(AND('Choix pédagogiques'!$C$4&lt;&gt;"?",'Choix pédagogiques'!$C$5&lt;&gt;"?",W948&lt;&gt;""),(W948-'Choix pédagogiques'!$C$4)/('Choix pédagogiques'!$C$5-'Choix pédagogiques'!$C$4),"")</f>
        <v/>
      </c>
      <c r="AS948" s="55" t="str">
        <f aca="false">IF(AND('Choix pédagogiques'!$C$4&lt;&gt;"?",'Choix pédagogiques'!$C$5&lt;&gt;"?",X948&lt;&gt;""),(X948-'Choix pédagogiques'!$C$4)/('Choix pédagogiques'!$C$5-'Choix pédagogiques'!$C$4),"")</f>
        <v/>
      </c>
      <c r="AT948" s="55" t="str">
        <f aca="false">IF(AND('Choix pédagogiques'!$C$4&lt;&gt;"?",'Choix pédagogiques'!$C$5&lt;&gt;"?",Y948&lt;&gt;""),(Y948-'Choix pédagogiques'!$C$4)/('Choix pédagogiques'!$C$5-'Choix pédagogiques'!$C$4),"")</f>
        <v/>
      </c>
      <c r="AU948" s="53" t="str">
        <f aca="false">IF($E948&lt;&gt;"",$E948,"")</f>
        <v/>
      </c>
      <c r="AV948" s="52" t="str">
        <f aca="false">IF($F948&lt;&gt;"",$F948,"")</f>
        <v>Apprenant 936 ou 936'</v>
      </c>
      <c r="AW948" s="55" t="str">
        <f aca="false">IF(AND('Choix pédagogiques'!$C$4&lt;&gt;"?",'Choix pédagogiques'!$C$5&lt;&gt;"?",AB948&lt;&gt;""),(AB948-'Choix pédagogiques'!$C$4)/('Choix pédagogiques'!$C$5-'Choix pédagogiques'!$C$4),"")</f>
        <v/>
      </c>
      <c r="AX948" s="55" t="str">
        <f aca="false">IF(AND('Choix pédagogiques'!$C$4&lt;&gt;"?",'Choix pédagogiques'!$C$5&lt;&gt;"?",AC948&lt;&gt;""),(AC948-'Choix pédagogiques'!$C$4)/('Choix pédagogiques'!$C$5-'Choix pédagogiques'!$C$4),"")</f>
        <v/>
      </c>
      <c r="AY948" s="55" t="str">
        <f aca="false">IF(AND('Choix pédagogiques'!$C$4&lt;&gt;"?",'Choix pédagogiques'!$C$5&lt;&gt;"?",AD948&lt;&gt;""),(AD948-'Choix pédagogiques'!$C$4)/('Choix pédagogiques'!$C$5-'Choix pédagogiques'!$C$4),"")</f>
        <v/>
      </c>
      <c r="AZ948" s="53" t="str">
        <f aca="false">IF($J948&lt;&gt;"",$J948,"")</f>
        <v/>
      </c>
      <c r="BA948" s="52" t="str">
        <f aca="false">IF($A948&lt;&gt;"",$A948,"")</f>
        <v>Apprenant 936</v>
      </c>
      <c r="BB948" s="55" t="str">
        <f aca="false">IF(AND($AR948&lt;&gt;"",$AS948&lt;&gt;""),$AS948-$AR948,"")</f>
        <v/>
      </c>
      <c r="BC948" s="55" t="str">
        <f aca="false">IF(AND($AR948&lt;&gt;"",$AT948&lt;&gt;""),$AT948-$AR948,"")</f>
        <v/>
      </c>
      <c r="BD948" s="55" t="str">
        <f aca="false">IF(AND($AS948&lt;&gt;"",$AT948&lt;&gt;""),$AT948-$AS948,"")</f>
        <v/>
      </c>
      <c r="BE948" s="53" t="str">
        <f aca="false">IF($E948&lt;&gt;"",$E948,"")</f>
        <v/>
      </c>
      <c r="BF948" s="52" t="str">
        <f aca="false">IF($F948&lt;&gt;"",$F948,"")</f>
        <v>Apprenant 936 ou 936'</v>
      </c>
      <c r="BG948" s="55" t="str">
        <f aca="false">IF(AND($AW948&lt;&gt;"",$AX948&lt;&gt;""),$AX948-$AW948,"")</f>
        <v/>
      </c>
      <c r="BH948" s="55" t="str">
        <f aca="false">IF(AND($AW948&lt;&gt;"",$AY948&lt;&gt;""),$AY948-$AW948,"")</f>
        <v/>
      </c>
      <c r="BI948" s="55" t="str">
        <f aca="false">IF(AND($AX948&lt;&gt;"",$AY948&lt;&gt;""),$AY948-$AX948,"")</f>
        <v/>
      </c>
      <c r="BJ948" s="53" t="str">
        <f aca="false">IF($J948&lt;&gt;"",$J948,"")</f>
        <v/>
      </c>
      <c r="BL948" s="52"/>
      <c r="BM948" s="52" t="str">
        <f aca="false">IF(OR(COUNT(B948:D1947)=0,AND('Choix pédagogiques'!$C$3&lt;&gt;1,'Choix pédagogiques'!$C$3&lt;&gt;2)),"",IF(AND(OR('Choix pédagogiques'!$C$3=1,'Choix pédagogiques'!$C$3=2),$B948&lt;&gt;"",$C948&lt;&gt;"",$D948&lt;&gt;""),1,0))</f>
        <v/>
      </c>
      <c r="BN948" s="52" t="str">
        <f aca="false">IF(OR(COUNT(G948:I1947)=0,AND('Choix pédagogiques'!$C$3&lt;&gt;1,'Choix pédagogiques'!$C$3&lt;&gt;2)),"",IF(AND(OR('Choix pédagogiques'!$C$3=1,'Choix pédagogiques'!$C$3=2),AND($G948&lt;&gt;"",$H948&lt;&gt;"",$I948&lt;&gt;"")),1,0))</f>
        <v/>
      </c>
      <c r="BO948" s="52" t="str">
        <f aca="false">IF(OR(COUNT(B948:D1947)=0,COUNT(G948:I1947)=0,'Choix pédagogiques'!C$3&lt;&gt;3),"",IF(AND('Choix pédagogiques'!$C$3=3,$B948&lt;&gt;"",$C948&lt;&gt;"",$D948&lt;&gt;"",$G948&lt;&gt;"",$H948&lt;&gt;"",$I948&lt;&gt;""),1,0))</f>
        <v/>
      </c>
      <c r="BR948" s="52" t="n">
        <v>197</v>
      </c>
      <c r="BS948" s="52" t="n">
        <v>1973</v>
      </c>
    </row>
    <row r="949" s="54" customFormat="true" ht="18" hidden="false" customHeight="true" outlineLevel="0" collapsed="false">
      <c r="A949" s="57" t="s">
        <v>1829</v>
      </c>
      <c r="B949" s="51"/>
      <c r="C949" s="51"/>
      <c r="D949" s="51"/>
      <c r="E949" s="51"/>
      <c r="F949" s="57" t="s">
        <v>1830</v>
      </c>
      <c r="G949" s="51"/>
      <c r="H949" s="51"/>
      <c r="I949" s="51"/>
      <c r="J949" s="51"/>
      <c r="K949" s="52" t="str">
        <f aca="false">IF($A949&lt;&gt;"",$A949,"")</f>
        <v>Apprenant 937</v>
      </c>
      <c r="L949" s="53" t="str">
        <f aca="false">IF(AND($B949&lt;&gt;"",$C949&lt;&gt;""),$C949-$B949,"")</f>
        <v/>
      </c>
      <c r="M949" s="53" t="str">
        <f aca="false">IF(AND($B949&lt;&gt;"",$D949&lt;&gt;""),$D949-$B949,"")</f>
        <v/>
      </c>
      <c r="N949" s="53" t="str">
        <f aca="false">IF(AND($C949&lt;&gt;"",$D949&lt;&gt;""),$D949-$C949,"")</f>
        <v/>
      </c>
      <c r="O949" s="53" t="str">
        <f aca="false">IF($E949&lt;&gt;"",$E949,"")</f>
        <v/>
      </c>
      <c r="P949" s="52" t="str">
        <f aca="false">IF($F949&lt;&gt;"",$F949,"")</f>
        <v>Apprenant 937 ou 937'</v>
      </c>
      <c r="Q949" s="53" t="str">
        <f aca="false">IF(AND($G949&lt;&gt;"",$H949&lt;&gt;""),$H949-$G949,"")</f>
        <v/>
      </c>
      <c r="R949" s="53" t="str">
        <f aca="false">IF(AND($G949&lt;&gt;"",$I949&lt;&gt;""),$I949-$G949,"")</f>
        <v/>
      </c>
      <c r="S949" s="53" t="str">
        <f aca="false">IF(AND($H949&lt;&gt;"",$I949&lt;&gt;""),$I949-$H949,"")</f>
        <v/>
      </c>
      <c r="T949" s="53" t="str">
        <f aca="false">IF($J949&lt;&gt;"",$J949,"")</f>
        <v/>
      </c>
      <c r="V949" s="52" t="str">
        <f aca="false">IF($A949&lt;&gt;"",$A949,"")</f>
        <v>Apprenant 937</v>
      </c>
      <c r="W949" s="53" t="str">
        <f aca="false">IF(AND(OR('Choix pédagogiques'!$C$3=1,'Choix pédagogiques'!$C$3=2),$BM949=1),B949,IF(AND('Choix pédagogiques'!$C$3=3,$BO949=1),B949,""))</f>
        <v/>
      </c>
      <c r="X949" s="53" t="str">
        <f aca="false">IF(AND(OR('Choix pédagogiques'!$C$3=1,'Choix pédagogiques'!$C$3=2),$BM949=1),C949,IF(AND('Choix pédagogiques'!$C$3=3,$BO949=1),C949,""))</f>
        <v/>
      </c>
      <c r="Y949" s="53" t="str">
        <f aca="false">IF(AND(OR('Choix pédagogiques'!$C$3=1,'Choix pédagogiques'!$C$3=2),$BM949=1),D949,IF(AND('Choix pédagogiques'!$C$3=3,$BO949=1),D949,""))</f>
        <v/>
      </c>
      <c r="Z949" s="53" t="str">
        <f aca="false">IF($E949&lt;&gt;"",$E949,"")</f>
        <v/>
      </c>
      <c r="AA949" s="52" t="str">
        <f aca="false">IF($F949&lt;&gt;"",$F949,"")</f>
        <v>Apprenant 937 ou 937'</v>
      </c>
      <c r="AB949" s="53" t="str">
        <f aca="false">IF(AND(OR('Choix pédagogiques'!$C$3=1,'Choix pédagogiques'!$C$3=2),$BN949=1),G949,IF(AND('Choix pédagogiques'!$C$3=3,$BO949=1),G949,""))</f>
        <v/>
      </c>
      <c r="AC949" s="53" t="str">
        <f aca="false">IF(AND(OR('Choix pédagogiques'!$C$3=1,'Choix pédagogiques'!$C$3=2),$BN949=1),H949,IF(AND('Choix pédagogiques'!$C$3=3,$BO949=1),H949,""))</f>
        <v/>
      </c>
      <c r="AD949" s="53" t="str">
        <f aca="false">IF(AND(OR('Choix pédagogiques'!$C$3=1,'Choix pédagogiques'!$C$3=2),$BN949=1),I949,IF(AND('Choix pédagogiques'!$C$3=3,$BO949=1),I949,""))</f>
        <v/>
      </c>
      <c r="AE949" s="53" t="str">
        <f aca="false">IF($J949&lt;&gt;"",$J949,"")</f>
        <v/>
      </c>
      <c r="AF949" s="52" t="str">
        <f aca="false">IF($A949&lt;&gt;"",$A949,"")</f>
        <v>Apprenant 937</v>
      </c>
      <c r="AG949" s="53" t="str">
        <f aca="false">IF(AND($W949&lt;&gt;"",$X949&lt;&gt;""),$X949-$W949,"")</f>
        <v/>
      </c>
      <c r="AH949" s="53" t="str">
        <f aca="false">IF(AND($W949&lt;&gt;"",$Y949&lt;&gt;""),$Y949-$W949,"")</f>
        <v/>
      </c>
      <c r="AI949" s="53" t="str">
        <f aca="false">IF(AND($X949&lt;&gt;"",$Y949&lt;&gt;""),$Y949-$X949,"")</f>
        <v/>
      </c>
      <c r="AJ949" s="53" t="str">
        <f aca="false">IF($E949&lt;&gt;"",$E949,"")</f>
        <v/>
      </c>
      <c r="AK949" s="52" t="str">
        <f aca="false">IF($F949&lt;&gt;"",$F949,"")</f>
        <v>Apprenant 937 ou 937'</v>
      </c>
      <c r="AL949" s="53" t="str">
        <f aca="false">IF(AND($AB949&lt;&gt;"",$AC949&lt;&gt;""),$AC949-$AB949,"")</f>
        <v/>
      </c>
      <c r="AM949" s="53" t="str">
        <f aca="false">IF(AND($AB949&lt;&gt;"",$AD949&lt;&gt;""),$AD949-$AB949,"")</f>
        <v/>
      </c>
      <c r="AN949" s="53" t="str">
        <f aca="false">IF(AND($AC949&lt;&gt;"",$AD949&lt;&gt;""),$AD949-$AC949,"")</f>
        <v/>
      </c>
      <c r="AO949" s="53" t="str">
        <f aca="false">IF($J949&lt;&gt;"",$J949,"")</f>
        <v/>
      </c>
      <c r="AQ949" s="52" t="str">
        <f aca="false">IF($A949&lt;&gt;"",$A949,"")</f>
        <v>Apprenant 937</v>
      </c>
      <c r="AR949" s="55" t="str">
        <f aca="false">IF(AND('Choix pédagogiques'!$C$4&lt;&gt;"?",'Choix pédagogiques'!$C$5&lt;&gt;"?",W949&lt;&gt;""),(W949-'Choix pédagogiques'!$C$4)/('Choix pédagogiques'!$C$5-'Choix pédagogiques'!$C$4),"")</f>
        <v/>
      </c>
      <c r="AS949" s="55" t="str">
        <f aca="false">IF(AND('Choix pédagogiques'!$C$4&lt;&gt;"?",'Choix pédagogiques'!$C$5&lt;&gt;"?",X949&lt;&gt;""),(X949-'Choix pédagogiques'!$C$4)/('Choix pédagogiques'!$C$5-'Choix pédagogiques'!$C$4),"")</f>
        <v/>
      </c>
      <c r="AT949" s="55" t="str">
        <f aca="false">IF(AND('Choix pédagogiques'!$C$4&lt;&gt;"?",'Choix pédagogiques'!$C$5&lt;&gt;"?",Y949&lt;&gt;""),(Y949-'Choix pédagogiques'!$C$4)/('Choix pédagogiques'!$C$5-'Choix pédagogiques'!$C$4),"")</f>
        <v/>
      </c>
      <c r="AU949" s="53" t="str">
        <f aca="false">IF($E949&lt;&gt;"",$E949,"")</f>
        <v/>
      </c>
      <c r="AV949" s="52" t="str">
        <f aca="false">IF($F949&lt;&gt;"",$F949,"")</f>
        <v>Apprenant 937 ou 937'</v>
      </c>
      <c r="AW949" s="55" t="str">
        <f aca="false">IF(AND('Choix pédagogiques'!$C$4&lt;&gt;"?",'Choix pédagogiques'!$C$5&lt;&gt;"?",AB949&lt;&gt;""),(AB949-'Choix pédagogiques'!$C$4)/('Choix pédagogiques'!$C$5-'Choix pédagogiques'!$C$4),"")</f>
        <v/>
      </c>
      <c r="AX949" s="55" t="str">
        <f aca="false">IF(AND('Choix pédagogiques'!$C$4&lt;&gt;"?",'Choix pédagogiques'!$C$5&lt;&gt;"?",AC949&lt;&gt;""),(AC949-'Choix pédagogiques'!$C$4)/('Choix pédagogiques'!$C$5-'Choix pédagogiques'!$C$4),"")</f>
        <v/>
      </c>
      <c r="AY949" s="55" t="str">
        <f aca="false">IF(AND('Choix pédagogiques'!$C$4&lt;&gt;"?",'Choix pédagogiques'!$C$5&lt;&gt;"?",AD949&lt;&gt;""),(AD949-'Choix pédagogiques'!$C$4)/('Choix pédagogiques'!$C$5-'Choix pédagogiques'!$C$4),"")</f>
        <v/>
      </c>
      <c r="AZ949" s="53" t="str">
        <f aca="false">IF($J949&lt;&gt;"",$J949,"")</f>
        <v/>
      </c>
      <c r="BA949" s="52" t="str">
        <f aca="false">IF($A949&lt;&gt;"",$A949,"")</f>
        <v>Apprenant 937</v>
      </c>
      <c r="BB949" s="55" t="str">
        <f aca="false">IF(AND($AR949&lt;&gt;"",$AS949&lt;&gt;""),$AS949-$AR949,"")</f>
        <v/>
      </c>
      <c r="BC949" s="55" t="str">
        <f aca="false">IF(AND($AR949&lt;&gt;"",$AT949&lt;&gt;""),$AT949-$AR949,"")</f>
        <v/>
      </c>
      <c r="BD949" s="55" t="str">
        <f aca="false">IF(AND($AS949&lt;&gt;"",$AT949&lt;&gt;""),$AT949-$AS949,"")</f>
        <v/>
      </c>
      <c r="BE949" s="53" t="str">
        <f aca="false">IF($E949&lt;&gt;"",$E949,"")</f>
        <v/>
      </c>
      <c r="BF949" s="52" t="str">
        <f aca="false">IF($F949&lt;&gt;"",$F949,"")</f>
        <v>Apprenant 937 ou 937'</v>
      </c>
      <c r="BG949" s="55" t="str">
        <f aca="false">IF(AND($AW949&lt;&gt;"",$AX949&lt;&gt;""),$AX949-$AW949,"")</f>
        <v/>
      </c>
      <c r="BH949" s="55" t="str">
        <f aca="false">IF(AND($AW949&lt;&gt;"",$AY949&lt;&gt;""),$AY949-$AW949,"")</f>
        <v/>
      </c>
      <c r="BI949" s="55" t="str">
        <f aca="false">IF(AND($AX949&lt;&gt;"",$AY949&lt;&gt;""),$AY949-$AX949,"")</f>
        <v/>
      </c>
      <c r="BJ949" s="53" t="str">
        <f aca="false">IF($J949&lt;&gt;"",$J949,"")</f>
        <v/>
      </c>
      <c r="BL949" s="52"/>
      <c r="BM949" s="52" t="str">
        <f aca="false">IF(OR(COUNT(B949:D1948)=0,AND('Choix pédagogiques'!$C$3&lt;&gt;1,'Choix pédagogiques'!$C$3&lt;&gt;2)),"",IF(AND(OR('Choix pédagogiques'!$C$3=1,'Choix pédagogiques'!$C$3=2),$B949&lt;&gt;"",$C949&lt;&gt;"",$D949&lt;&gt;""),1,0))</f>
        <v/>
      </c>
      <c r="BN949" s="52" t="str">
        <f aca="false">IF(OR(COUNT(G949:I1948)=0,AND('Choix pédagogiques'!$C$3&lt;&gt;1,'Choix pédagogiques'!$C$3&lt;&gt;2)),"",IF(AND(OR('Choix pédagogiques'!$C$3=1,'Choix pédagogiques'!$C$3=2),AND($G949&lt;&gt;"",$H949&lt;&gt;"",$I949&lt;&gt;"")),1,0))</f>
        <v/>
      </c>
      <c r="BO949" s="52" t="str">
        <f aca="false">IF(OR(COUNT(B949:D1948)=0,COUNT(G949:I1948)=0,'Choix pédagogiques'!C$3&lt;&gt;3),"",IF(AND('Choix pédagogiques'!$C$3=3,$B949&lt;&gt;"",$C949&lt;&gt;"",$D949&lt;&gt;"",$G949&lt;&gt;"",$H949&lt;&gt;"",$I949&lt;&gt;""),1,0))</f>
        <v/>
      </c>
      <c r="BR949" s="52" t="n">
        <v>76</v>
      </c>
      <c r="BS949" s="52" t="n">
        <v>1180</v>
      </c>
    </row>
    <row r="950" s="54" customFormat="true" ht="18" hidden="false" customHeight="true" outlineLevel="0" collapsed="false">
      <c r="A950" s="57" t="s">
        <v>1831</v>
      </c>
      <c r="B950" s="51"/>
      <c r="C950" s="51"/>
      <c r="D950" s="51"/>
      <c r="E950" s="51"/>
      <c r="F950" s="57" t="s">
        <v>1832</v>
      </c>
      <c r="G950" s="51"/>
      <c r="H950" s="51"/>
      <c r="I950" s="51"/>
      <c r="J950" s="51"/>
      <c r="K950" s="52" t="str">
        <f aca="false">IF($A950&lt;&gt;"",$A950,"")</f>
        <v>Apprenant 938</v>
      </c>
      <c r="L950" s="53" t="str">
        <f aca="false">IF(AND($B950&lt;&gt;"",$C950&lt;&gt;""),$C950-$B950,"")</f>
        <v/>
      </c>
      <c r="M950" s="53" t="str">
        <f aca="false">IF(AND($B950&lt;&gt;"",$D950&lt;&gt;""),$D950-$B950,"")</f>
        <v/>
      </c>
      <c r="N950" s="53" t="str">
        <f aca="false">IF(AND($C950&lt;&gt;"",$D950&lt;&gt;""),$D950-$C950,"")</f>
        <v/>
      </c>
      <c r="O950" s="53" t="str">
        <f aca="false">IF($E950&lt;&gt;"",$E950,"")</f>
        <v/>
      </c>
      <c r="P950" s="52" t="str">
        <f aca="false">IF($F950&lt;&gt;"",$F950,"")</f>
        <v>Apprenant 938 ou 938'</v>
      </c>
      <c r="Q950" s="53" t="str">
        <f aca="false">IF(AND($G950&lt;&gt;"",$H950&lt;&gt;""),$H950-$G950,"")</f>
        <v/>
      </c>
      <c r="R950" s="53" t="str">
        <f aca="false">IF(AND($G950&lt;&gt;"",$I950&lt;&gt;""),$I950-$G950,"")</f>
        <v/>
      </c>
      <c r="S950" s="53" t="str">
        <f aca="false">IF(AND($H950&lt;&gt;"",$I950&lt;&gt;""),$I950-$H950,"")</f>
        <v/>
      </c>
      <c r="T950" s="53" t="str">
        <f aca="false">IF($J950&lt;&gt;"",$J950,"")</f>
        <v/>
      </c>
      <c r="V950" s="52" t="str">
        <f aca="false">IF($A950&lt;&gt;"",$A950,"")</f>
        <v>Apprenant 938</v>
      </c>
      <c r="W950" s="53" t="str">
        <f aca="false">IF(AND(OR('Choix pédagogiques'!$C$3=1,'Choix pédagogiques'!$C$3=2),$BM950=1),B950,IF(AND('Choix pédagogiques'!$C$3=3,$BO950=1),B950,""))</f>
        <v/>
      </c>
      <c r="X950" s="53" t="str">
        <f aca="false">IF(AND(OR('Choix pédagogiques'!$C$3=1,'Choix pédagogiques'!$C$3=2),$BM950=1),C950,IF(AND('Choix pédagogiques'!$C$3=3,$BO950=1),C950,""))</f>
        <v/>
      </c>
      <c r="Y950" s="53" t="str">
        <f aca="false">IF(AND(OR('Choix pédagogiques'!$C$3=1,'Choix pédagogiques'!$C$3=2),$BM950=1),D950,IF(AND('Choix pédagogiques'!$C$3=3,$BO950=1),D950,""))</f>
        <v/>
      </c>
      <c r="Z950" s="53" t="str">
        <f aca="false">IF($E950&lt;&gt;"",$E950,"")</f>
        <v/>
      </c>
      <c r="AA950" s="52" t="str">
        <f aca="false">IF($F950&lt;&gt;"",$F950,"")</f>
        <v>Apprenant 938 ou 938'</v>
      </c>
      <c r="AB950" s="53" t="str">
        <f aca="false">IF(AND(OR('Choix pédagogiques'!$C$3=1,'Choix pédagogiques'!$C$3=2),$BN950=1),G950,IF(AND('Choix pédagogiques'!$C$3=3,$BO950=1),G950,""))</f>
        <v/>
      </c>
      <c r="AC950" s="53" t="str">
        <f aca="false">IF(AND(OR('Choix pédagogiques'!$C$3=1,'Choix pédagogiques'!$C$3=2),$BN950=1),H950,IF(AND('Choix pédagogiques'!$C$3=3,$BO950=1),H950,""))</f>
        <v/>
      </c>
      <c r="AD950" s="53" t="str">
        <f aca="false">IF(AND(OR('Choix pédagogiques'!$C$3=1,'Choix pédagogiques'!$C$3=2),$BN950=1),I950,IF(AND('Choix pédagogiques'!$C$3=3,$BO950=1),I950,""))</f>
        <v/>
      </c>
      <c r="AE950" s="53" t="str">
        <f aca="false">IF($J950&lt;&gt;"",$J950,"")</f>
        <v/>
      </c>
      <c r="AF950" s="52" t="str">
        <f aca="false">IF($A950&lt;&gt;"",$A950,"")</f>
        <v>Apprenant 938</v>
      </c>
      <c r="AG950" s="53" t="str">
        <f aca="false">IF(AND($W950&lt;&gt;"",$X950&lt;&gt;""),$X950-$W950,"")</f>
        <v/>
      </c>
      <c r="AH950" s="53" t="str">
        <f aca="false">IF(AND($W950&lt;&gt;"",$Y950&lt;&gt;""),$Y950-$W950,"")</f>
        <v/>
      </c>
      <c r="AI950" s="53" t="str">
        <f aca="false">IF(AND($X950&lt;&gt;"",$Y950&lt;&gt;""),$Y950-$X950,"")</f>
        <v/>
      </c>
      <c r="AJ950" s="53" t="str">
        <f aca="false">IF($E950&lt;&gt;"",$E950,"")</f>
        <v/>
      </c>
      <c r="AK950" s="52" t="str">
        <f aca="false">IF($F950&lt;&gt;"",$F950,"")</f>
        <v>Apprenant 938 ou 938'</v>
      </c>
      <c r="AL950" s="53" t="str">
        <f aca="false">IF(AND($AB950&lt;&gt;"",$AC950&lt;&gt;""),$AC950-$AB950,"")</f>
        <v/>
      </c>
      <c r="AM950" s="53" t="str">
        <f aca="false">IF(AND($AB950&lt;&gt;"",$AD950&lt;&gt;""),$AD950-$AB950,"")</f>
        <v/>
      </c>
      <c r="AN950" s="53" t="str">
        <f aca="false">IF(AND($AC950&lt;&gt;"",$AD950&lt;&gt;""),$AD950-$AC950,"")</f>
        <v/>
      </c>
      <c r="AO950" s="53" t="str">
        <f aca="false">IF($J950&lt;&gt;"",$J950,"")</f>
        <v/>
      </c>
      <c r="AQ950" s="52" t="str">
        <f aca="false">IF($A950&lt;&gt;"",$A950,"")</f>
        <v>Apprenant 938</v>
      </c>
      <c r="AR950" s="55" t="str">
        <f aca="false">IF(AND('Choix pédagogiques'!$C$4&lt;&gt;"?",'Choix pédagogiques'!$C$5&lt;&gt;"?",W950&lt;&gt;""),(W950-'Choix pédagogiques'!$C$4)/('Choix pédagogiques'!$C$5-'Choix pédagogiques'!$C$4),"")</f>
        <v/>
      </c>
      <c r="AS950" s="55" t="str">
        <f aca="false">IF(AND('Choix pédagogiques'!$C$4&lt;&gt;"?",'Choix pédagogiques'!$C$5&lt;&gt;"?",X950&lt;&gt;""),(X950-'Choix pédagogiques'!$C$4)/('Choix pédagogiques'!$C$5-'Choix pédagogiques'!$C$4),"")</f>
        <v/>
      </c>
      <c r="AT950" s="55" t="str">
        <f aca="false">IF(AND('Choix pédagogiques'!$C$4&lt;&gt;"?",'Choix pédagogiques'!$C$5&lt;&gt;"?",Y950&lt;&gt;""),(Y950-'Choix pédagogiques'!$C$4)/('Choix pédagogiques'!$C$5-'Choix pédagogiques'!$C$4),"")</f>
        <v/>
      </c>
      <c r="AU950" s="53" t="str">
        <f aca="false">IF($E950&lt;&gt;"",$E950,"")</f>
        <v/>
      </c>
      <c r="AV950" s="52" t="str">
        <f aca="false">IF($F950&lt;&gt;"",$F950,"")</f>
        <v>Apprenant 938 ou 938'</v>
      </c>
      <c r="AW950" s="55" t="str">
        <f aca="false">IF(AND('Choix pédagogiques'!$C$4&lt;&gt;"?",'Choix pédagogiques'!$C$5&lt;&gt;"?",AB950&lt;&gt;""),(AB950-'Choix pédagogiques'!$C$4)/('Choix pédagogiques'!$C$5-'Choix pédagogiques'!$C$4),"")</f>
        <v/>
      </c>
      <c r="AX950" s="55" t="str">
        <f aca="false">IF(AND('Choix pédagogiques'!$C$4&lt;&gt;"?",'Choix pédagogiques'!$C$5&lt;&gt;"?",AC950&lt;&gt;""),(AC950-'Choix pédagogiques'!$C$4)/('Choix pédagogiques'!$C$5-'Choix pédagogiques'!$C$4),"")</f>
        <v/>
      </c>
      <c r="AY950" s="55" t="str">
        <f aca="false">IF(AND('Choix pédagogiques'!$C$4&lt;&gt;"?",'Choix pédagogiques'!$C$5&lt;&gt;"?",AD950&lt;&gt;""),(AD950-'Choix pédagogiques'!$C$4)/('Choix pédagogiques'!$C$5-'Choix pédagogiques'!$C$4),"")</f>
        <v/>
      </c>
      <c r="AZ950" s="53" t="str">
        <f aca="false">IF($J950&lt;&gt;"",$J950,"")</f>
        <v/>
      </c>
      <c r="BA950" s="52" t="str">
        <f aca="false">IF($A950&lt;&gt;"",$A950,"")</f>
        <v>Apprenant 938</v>
      </c>
      <c r="BB950" s="55" t="str">
        <f aca="false">IF(AND($AR950&lt;&gt;"",$AS950&lt;&gt;""),$AS950-$AR950,"")</f>
        <v/>
      </c>
      <c r="BC950" s="55" t="str">
        <f aca="false">IF(AND($AR950&lt;&gt;"",$AT950&lt;&gt;""),$AT950-$AR950,"")</f>
        <v/>
      </c>
      <c r="BD950" s="55" t="str">
        <f aca="false">IF(AND($AS950&lt;&gt;"",$AT950&lt;&gt;""),$AT950-$AS950,"")</f>
        <v/>
      </c>
      <c r="BE950" s="53" t="str">
        <f aca="false">IF($E950&lt;&gt;"",$E950,"")</f>
        <v/>
      </c>
      <c r="BF950" s="52" t="str">
        <f aca="false">IF($F950&lt;&gt;"",$F950,"")</f>
        <v>Apprenant 938 ou 938'</v>
      </c>
      <c r="BG950" s="55" t="str">
        <f aca="false">IF(AND($AW950&lt;&gt;"",$AX950&lt;&gt;""),$AX950-$AW950,"")</f>
        <v/>
      </c>
      <c r="BH950" s="55" t="str">
        <f aca="false">IF(AND($AW950&lt;&gt;"",$AY950&lt;&gt;""),$AY950-$AW950,"")</f>
        <v/>
      </c>
      <c r="BI950" s="55" t="str">
        <f aca="false">IF(AND($AX950&lt;&gt;"",$AY950&lt;&gt;""),$AY950-$AX950,"")</f>
        <v/>
      </c>
      <c r="BJ950" s="53" t="str">
        <f aca="false">IF($J950&lt;&gt;"",$J950,"")</f>
        <v/>
      </c>
      <c r="BL950" s="52"/>
      <c r="BM950" s="52" t="str">
        <f aca="false">IF(OR(COUNT(B950:D1949)=0,AND('Choix pédagogiques'!$C$3&lt;&gt;1,'Choix pédagogiques'!$C$3&lt;&gt;2)),"",IF(AND(OR('Choix pédagogiques'!$C$3=1,'Choix pédagogiques'!$C$3=2),$B950&lt;&gt;"",$C950&lt;&gt;"",$D950&lt;&gt;""),1,0))</f>
        <v/>
      </c>
      <c r="BN950" s="52" t="str">
        <f aca="false">IF(OR(COUNT(G950:I1949)=0,AND('Choix pédagogiques'!$C$3&lt;&gt;1,'Choix pédagogiques'!$C$3&lt;&gt;2)),"",IF(AND(OR('Choix pédagogiques'!$C$3=1,'Choix pédagogiques'!$C$3=2),AND($G950&lt;&gt;"",$H950&lt;&gt;"",$I950&lt;&gt;"")),1,0))</f>
        <v/>
      </c>
      <c r="BO950" s="52" t="str">
        <f aca="false">IF(OR(COUNT(B950:D1949)=0,COUNT(G950:I1949)=0,'Choix pédagogiques'!C$3&lt;&gt;3),"",IF(AND('Choix pédagogiques'!$C$3=3,$B950&lt;&gt;"",$C950&lt;&gt;"",$D950&lt;&gt;"",$G950&lt;&gt;"",$H950&lt;&gt;"",$I950&lt;&gt;""),1,0))</f>
        <v/>
      </c>
      <c r="BR950" s="52" t="n">
        <v>446</v>
      </c>
      <c r="BS950" s="52" t="n">
        <v>1643</v>
      </c>
    </row>
    <row r="951" s="54" customFormat="true" ht="18" hidden="false" customHeight="true" outlineLevel="0" collapsed="false">
      <c r="A951" s="57" t="s">
        <v>1833</v>
      </c>
      <c r="B951" s="51"/>
      <c r="C951" s="51"/>
      <c r="D951" s="51"/>
      <c r="E951" s="51"/>
      <c r="F951" s="57" t="s">
        <v>1834</v>
      </c>
      <c r="G951" s="51"/>
      <c r="H951" s="51"/>
      <c r="I951" s="51"/>
      <c r="J951" s="51"/>
      <c r="K951" s="52" t="str">
        <f aca="false">IF($A951&lt;&gt;"",$A951,"")</f>
        <v>Apprenant 939</v>
      </c>
      <c r="L951" s="53" t="str">
        <f aca="false">IF(AND($B951&lt;&gt;"",$C951&lt;&gt;""),$C951-$B951,"")</f>
        <v/>
      </c>
      <c r="M951" s="53" t="str">
        <f aca="false">IF(AND($B951&lt;&gt;"",$D951&lt;&gt;""),$D951-$B951,"")</f>
        <v/>
      </c>
      <c r="N951" s="53" t="str">
        <f aca="false">IF(AND($C951&lt;&gt;"",$D951&lt;&gt;""),$D951-$C951,"")</f>
        <v/>
      </c>
      <c r="O951" s="53" t="str">
        <f aca="false">IF($E951&lt;&gt;"",$E951,"")</f>
        <v/>
      </c>
      <c r="P951" s="52" t="str">
        <f aca="false">IF($F951&lt;&gt;"",$F951,"")</f>
        <v>Apprenant 939 ou 939'</v>
      </c>
      <c r="Q951" s="53" t="str">
        <f aca="false">IF(AND($G951&lt;&gt;"",$H951&lt;&gt;""),$H951-$G951,"")</f>
        <v/>
      </c>
      <c r="R951" s="53" t="str">
        <f aca="false">IF(AND($G951&lt;&gt;"",$I951&lt;&gt;""),$I951-$G951,"")</f>
        <v/>
      </c>
      <c r="S951" s="53" t="str">
        <f aca="false">IF(AND($H951&lt;&gt;"",$I951&lt;&gt;""),$I951-$H951,"")</f>
        <v/>
      </c>
      <c r="T951" s="53" t="str">
        <f aca="false">IF($J951&lt;&gt;"",$J951,"")</f>
        <v/>
      </c>
      <c r="V951" s="52" t="str">
        <f aca="false">IF($A951&lt;&gt;"",$A951,"")</f>
        <v>Apprenant 939</v>
      </c>
      <c r="W951" s="53" t="str">
        <f aca="false">IF(AND(OR('Choix pédagogiques'!$C$3=1,'Choix pédagogiques'!$C$3=2),$BM951=1),B951,IF(AND('Choix pédagogiques'!$C$3=3,$BO951=1),B951,""))</f>
        <v/>
      </c>
      <c r="X951" s="53" t="str">
        <f aca="false">IF(AND(OR('Choix pédagogiques'!$C$3=1,'Choix pédagogiques'!$C$3=2),$BM951=1),C951,IF(AND('Choix pédagogiques'!$C$3=3,$BO951=1),C951,""))</f>
        <v/>
      </c>
      <c r="Y951" s="53" t="str">
        <f aca="false">IF(AND(OR('Choix pédagogiques'!$C$3=1,'Choix pédagogiques'!$C$3=2),$BM951=1),D951,IF(AND('Choix pédagogiques'!$C$3=3,$BO951=1),D951,""))</f>
        <v/>
      </c>
      <c r="Z951" s="53" t="str">
        <f aca="false">IF($E951&lt;&gt;"",$E951,"")</f>
        <v/>
      </c>
      <c r="AA951" s="52" t="str">
        <f aca="false">IF($F951&lt;&gt;"",$F951,"")</f>
        <v>Apprenant 939 ou 939'</v>
      </c>
      <c r="AB951" s="53" t="str">
        <f aca="false">IF(AND(OR('Choix pédagogiques'!$C$3=1,'Choix pédagogiques'!$C$3=2),$BN951=1),G951,IF(AND('Choix pédagogiques'!$C$3=3,$BO951=1),G951,""))</f>
        <v/>
      </c>
      <c r="AC951" s="53" t="str">
        <f aca="false">IF(AND(OR('Choix pédagogiques'!$C$3=1,'Choix pédagogiques'!$C$3=2),$BN951=1),H951,IF(AND('Choix pédagogiques'!$C$3=3,$BO951=1),H951,""))</f>
        <v/>
      </c>
      <c r="AD951" s="53" t="str">
        <f aca="false">IF(AND(OR('Choix pédagogiques'!$C$3=1,'Choix pédagogiques'!$C$3=2),$BN951=1),I951,IF(AND('Choix pédagogiques'!$C$3=3,$BO951=1),I951,""))</f>
        <v/>
      </c>
      <c r="AE951" s="53" t="str">
        <f aca="false">IF($J951&lt;&gt;"",$J951,"")</f>
        <v/>
      </c>
      <c r="AF951" s="52" t="str">
        <f aca="false">IF($A951&lt;&gt;"",$A951,"")</f>
        <v>Apprenant 939</v>
      </c>
      <c r="AG951" s="53" t="str">
        <f aca="false">IF(AND($W951&lt;&gt;"",$X951&lt;&gt;""),$X951-$W951,"")</f>
        <v/>
      </c>
      <c r="AH951" s="53" t="str">
        <f aca="false">IF(AND($W951&lt;&gt;"",$Y951&lt;&gt;""),$Y951-$W951,"")</f>
        <v/>
      </c>
      <c r="AI951" s="53" t="str">
        <f aca="false">IF(AND($X951&lt;&gt;"",$Y951&lt;&gt;""),$Y951-$X951,"")</f>
        <v/>
      </c>
      <c r="AJ951" s="53" t="str">
        <f aca="false">IF($E951&lt;&gt;"",$E951,"")</f>
        <v/>
      </c>
      <c r="AK951" s="52" t="str">
        <f aca="false">IF($F951&lt;&gt;"",$F951,"")</f>
        <v>Apprenant 939 ou 939'</v>
      </c>
      <c r="AL951" s="53" t="str">
        <f aca="false">IF(AND($AB951&lt;&gt;"",$AC951&lt;&gt;""),$AC951-$AB951,"")</f>
        <v/>
      </c>
      <c r="AM951" s="53" t="str">
        <f aca="false">IF(AND($AB951&lt;&gt;"",$AD951&lt;&gt;""),$AD951-$AB951,"")</f>
        <v/>
      </c>
      <c r="AN951" s="53" t="str">
        <f aca="false">IF(AND($AC951&lt;&gt;"",$AD951&lt;&gt;""),$AD951-$AC951,"")</f>
        <v/>
      </c>
      <c r="AO951" s="53" t="str">
        <f aca="false">IF($J951&lt;&gt;"",$J951,"")</f>
        <v/>
      </c>
      <c r="AQ951" s="52" t="str">
        <f aca="false">IF($A951&lt;&gt;"",$A951,"")</f>
        <v>Apprenant 939</v>
      </c>
      <c r="AR951" s="55" t="str">
        <f aca="false">IF(AND('Choix pédagogiques'!$C$4&lt;&gt;"?",'Choix pédagogiques'!$C$5&lt;&gt;"?",W951&lt;&gt;""),(W951-'Choix pédagogiques'!$C$4)/('Choix pédagogiques'!$C$5-'Choix pédagogiques'!$C$4),"")</f>
        <v/>
      </c>
      <c r="AS951" s="55" t="str">
        <f aca="false">IF(AND('Choix pédagogiques'!$C$4&lt;&gt;"?",'Choix pédagogiques'!$C$5&lt;&gt;"?",X951&lt;&gt;""),(X951-'Choix pédagogiques'!$C$4)/('Choix pédagogiques'!$C$5-'Choix pédagogiques'!$C$4),"")</f>
        <v/>
      </c>
      <c r="AT951" s="55" t="str">
        <f aca="false">IF(AND('Choix pédagogiques'!$C$4&lt;&gt;"?",'Choix pédagogiques'!$C$5&lt;&gt;"?",Y951&lt;&gt;""),(Y951-'Choix pédagogiques'!$C$4)/('Choix pédagogiques'!$C$5-'Choix pédagogiques'!$C$4),"")</f>
        <v/>
      </c>
      <c r="AU951" s="53" t="str">
        <f aca="false">IF($E951&lt;&gt;"",$E951,"")</f>
        <v/>
      </c>
      <c r="AV951" s="52" t="str">
        <f aca="false">IF($F951&lt;&gt;"",$F951,"")</f>
        <v>Apprenant 939 ou 939'</v>
      </c>
      <c r="AW951" s="55" t="str">
        <f aca="false">IF(AND('Choix pédagogiques'!$C$4&lt;&gt;"?",'Choix pédagogiques'!$C$5&lt;&gt;"?",AB951&lt;&gt;""),(AB951-'Choix pédagogiques'!$C$4)/('Choix pédagogiques'!$C$5-'Choix pédagogiques'!$C$4),"")</f>
        <v/>
      </c>
      <c r="AX951" s="55" t="str">
        <f aca="false">IF(AND('Choix pédagogiques'!$C$4&lt;&gt;"?",'Choix pédagogiques'!$C$5&lt;&gt;"?",AC951&lt;&gt;""),(AC951-'Choix pédagogiques'!$C$4)/('Choix pédagogiques'!$C$5-'Choix pédagogiques'!$C$4),"")</f>
        <v/>
      </c>
      <c r="AY951" s="55" t="str">
        <f aca="false">IF(AND('Choix pédagogiques'!$C$4&lt;&gt;"?",'Choix pédagogiques'!$C$5&lt;&gt;"?",AD951&lt;&gt;""),(AD951-'Choix pédagogiques'!$C$4)/('Choix pédagogiques'!$C$5-'Choix pédagogiques'!$C$4),"")</f>
        <v/>
      </c>
      <c r="AZ951" s="53" t="str">
        <f aca="false">IF($J951&lt;&gt;"",$J951,"")</f>
        <v/>
      </c>
      <c r="BA951" s="52" t="str">
        <f aca="false">IF($A951&lt;&gt;"",$A951,"")</f>
        <v>Apprenant 939</v>
      </c>
      <c r="BB951" s="55" t="str">
        <f aca="false">IF(AND($AR951&lt;&gt;"",$AS951&lt;&gt;""),$AS951-$AR951,"")</f>
        <v/>
      </c>
      <c r="BC951" s="55" t="str">
        <f aca="false">IF(AND($AR951&lt;&gt;"",$AT951&lt;&gt;""),$AT951-$AR951,"")</f>
        <v/>
      </c>
      <c r="BD951" s="55" t="str">
        <f aca="false">IF(AND($AS951&lt;&gt;"",$AT951&lt;&gt;""),$AT951-$AS951,"")</f>
        <v/>
      </c>
      <c r="BE951" s="53" t="str">
        <f aca="false">IF($E951&lt;&gt;"",$E951,"")</f>
        <v/>
      </c>
      <c r="BF951" s="52" t="str">
        <f aca="false">IF($F951&lt;&gt;"",$F951,"")</f>
        <v>Apprenant 939 ou 939'</v>
      </c>
      <c r="BG951" s="55" t="str">
        <f aca="false">IF(AND($AW951&lt;&gt;"",$AX951&lt;&gt;""),$AX951-$AW951,"")</f>
        <v/>
      </c>
      <c r="BH951" s="55" t="str">
        <f aca="false">IF(AND($AW951&lt;&gt;"",$AY951&lt;&gt;""),$AY951-$AW951,"")</f>
        <v/>
      </c>
      <c r="BI951" s="55" t="str">
        <f aca="false">IF(AND($AX951&lt;&gt;"",$AY951&lt;&gt;""),$AY951-$AX951,"")</f>
        <v/>
      </c>
      <c r="BJ951" s="53" t="str">
        <f aca="false">IF($J951&lt;&gt;"",$J951,"")</f>
        <v/>
      </c>
      <c r="BL951" s="52"/>
      <c r="BM951" s="52" t="str">
        <f aca="false">IF(OR(COUNT(B951:D1950)=0,AND('Choix pédagogiques'!$C$3&lt;&gt;1,'Choix pédagogiques'!$C$3&lt;&gt;2)),"",IF(AND(OR('Choix pédagogiques'!$C$3=1,'Choix pédagogiques'!$C$3=2),$B951&lt;&gt;"",$C951&lt;&gt;"",$D951&lt;&gt;""),1,0))</f>
        <v/>
      </c>
      <c r="BN951" s="52" t="str">
        <f aca="false">IF(OR(COUNT(G951:I1950)=0,AND('Choix pédagogiques'!$C$3&lt;&gt;1,'Choix pédagogiques'!$C$3&lt;&gt;2)),"",IF(AND(OR('Choix pédagogiques'!$C$3=1,'Choix pédagogiques'!$C$3=2),AND($G951&lt;&gt;"",$H951&lt;&gt;"",$I951&lt;&gt;"")),1,0))</f>
        <v/>
      </c>
      <c r="BO951" s="52" t="str">
        <f aca="false">IF(OR(COUNT(B951:D1950)=0,COUNT(G951:I1950)=0,'Choix pédagogiques'!C$3&lt;&gt;3),"",IF(AND('Choix pédagogiques'!$C$3=3,$B951&lt;&gt;"",$C951&lt;&gt;"",$D951&lt;&gt;"",$G951&lt;&gt;"",$H951&lt;&gt;"",$I951&lt;&gt;""),1,0))</f>
        <v/>
      </c>
      <c r="BR951" s="52" t="n">
        <v>389</v>
      </c>
      <c r="BS951" s="52" t="n">
        <v>1893</v>
      </c>
    </row>
    <row r="952" s="54" customFormat="true" ht="18" hidden="false" customHeight="true" outlineLevel="0" collapsed="false">
      <c r="A952" s="57" t="s">
        <v>1835</v>
      </c>
      <c r="B952" s="51"/>
      <c r="C952" s="51"/>
      <c r="D952" s="51"/>
      <c r="E952" s="51"/>
      <c r="F952" s="57" t="s">
        <v>1836</v>
      </c>
      <c r="G952" s="51"/>
      <c r="H952" s="51"/>
      <c r="I952" s="51"/>
      <c r="J952" s="51"/>
      <c r="K952" s="52" t="str">
        <f aca="false">IF($A952&lt;&gt;"",$A952,"")</f>
        <v>Apprenant 940</v>
      </c>
      <c r="L952" s="53" t="str">
        <f aca="false">IF(AND($B952&lt;&gt;"",$C952&lt;&gt;""),$C952-$B952,"")</f>
        <v/>
      </c>
      <c r="M952" s="53" t="str">
        <f aca="false">IF(AND($B952&lt;&gt;"",$D952&lt;&gt;""),$D952-$B952,"")</f>
        <v/>
      </c>
      <c r="N952" s="53" t="str">
        <f aca="false">IF(AND($C952&lt;&gt;"",$D952&lt;&gt;""),$D952-$C952,"")</f>
        <v/>
      </c>
      <c r="O952" s="53" t="str">
        <f aca="false">IF($E952&lt;&gt;"",$E952,"")</f>
        <v/>
      </c>
      <c r="P952" s="52" t="str">
        <f aca="false">IF($F952&lt;&gt;"",$F952,"")</f>
        <v>Apprenant 940 ou 940'</v>
      </c>
      <c r="Q952" s="53" t="str">
        <f aca="false">IF(AND($G952&lt;&gt;"",$H952&lt;&gt;""),$H952-$G952,"")</f>
        <v/>
      </c>
      <c r="R952" s="53" t="str">
        <f aca="false">IF(AND($G952&lt;&gt;"",$I952&lt;&gt;""),$I952-$G952,"")</f>
        <v/>
      </c>
      <c r="S952" s="53" t="str">
        <f aca="false">IF(AND($H952&lt;&gt;"",$I952&lt;&gt;""),$I952-$H952,"")</f>
        <v/>
      </c>
      <c r="T952" s="53" t="str">
        <f aca="false">IF($J952&lt;&gt;"",$J952,"")</f>
        <v/>
      </c>
      <c r="V952" s="52" t="str">
        <f aca="false">IF($A952&lt;&gt;"",$A952,"")</f>
        <v>Apprenant 940</v>
      </c>
      <c r="W952" s="53" t="str">
        <f aca="false">IF(AND(OR('Choix pédagogiques'!$C$3=1,'Choix pédagogiques'!$C$3=2),$BM952=1),B952,IF(AND('Choix pédagogiques'!$C$3=3,$BO952=1),B952,""))</f>
        <v/>
      </c>
      <c r="X952" s="53" t="str">
        <f aca="false">IF(AND(OR('Choix pédagogiques'!$C$3=1,'Choix pédagogiques'!$C$3=2),$BM952=1),C952,IF(AND('Choix pédagogiques'!$C$3=3,$BO952=1),C952,""))</f>
        <v/>
      </c>
      <c r="Y952" s="53" t="str">
        <f aca="false">IF(AND(OR('Choix pédagogiques'!$C$3=1,'Choix pédagogiques'!$C$3=2),$BM952=1),D952,IF(AND('Choix pédagogiques'!$C$3=3,$BO952=1),D952,""))</f>
        <v/>
      </c>
      <c r="Z952" s="53" t="str">
        <f aca="false">IF($E952&lt;&gt;"",$E952,"")</f>
        <v/>
      </c>
      <c r="AA952" s="52" t="str">
        <f aca="false">IF($F952&lt;&gt;"",$F952,"")</f>
        <v>Apprenant 940 ou 940'</v>
      </c>
      <c r="AB952" s="53" t="str">
        <f aca="false">IF(AND(OR('Choix pédagogiques'!$C$3=1,'Choix pédagogiques'!$C$3=2),$BN952=1),G952,IF(AND('Choix pédagogiques'!$C$3=3,$BO952=1),G952,""))</f>
        <v/>
      </c>
      <c r="AC952" s="53" t="str">
        <f aca="false">IF(AND(OR('Choix pédagogiques'!$C$3=1,'Choix pédagogiques'!$C$3=2),$BN952=1),H952,IF(AND('Choix pédagogiques'!$C$3=3,$BO952=1),H952,""))</f>
        <v/>
      </c>
      <c r="AD952" s="53" t="str">
        <f aca="false">IF(AND(OR('Choix pédagogiques'!$C$3=1,'Choix pédagogiques'!$C$3=2),$BN952=1),I952,IF(AND('Choix pédagogiques'!$C$3=3,$BO952=1),I952,""))</f>
        <v/>
      </c>
      <c r="AE952" s="53" t="str">
        <f aca="false">IF($J952&lt;&gt;"",$J952,"")</f>
        <v/>
      </c>
      <c r="AF952" s="52" t="str">
        <f aca="false">IF($A952&lt;&gt;"",$A952,"")</f>
        <v>Apprenant 940</v>
      </c>
      <c r="AG952" s="53" t="str">
        <f aca="false">IF(AND($W952&lt;&gt;"",$X952&lt;&gt;""),$X952-$W952,"")</f>
        <v/>
      </c>
      <c r="AH952" s="53" t="str">
        <f aca="false">IF(AND($W952&lt;&gt;"",$Y952&lt;&gt;""),$Y952-$W952,"")</f>
        <v/>
      </c>
      <c r="AI952" s="53" t="str">
        <f aca="false">IF(AND($X952&lt;&gt;"",$Y952&lt;&gt;""),$Y952-$X952,"")</f>
        <v/>
      </c>
      <c r="AJ952" s="53" t="str">
        <f aca="false">IF($E952&lt;&gt;"",$E952,"")</f>
        <v/>
      </c>
      <c r="AK952" s="52" t="str">
        <f aca="false">IF($F952&lt;&gt;"",$F952,"")</f>
        <v>Apprenant 940 ou 940'</v>
      </c>
      <c r="AL952" s="53" t="str">
        <f aca="false">IF(AND($AB952&lt;&gt;"",$AC952&lt;&gt;""),$AC952-$AB952,"")</f>
        <v/>
      </c>
      <c r="AM952" s="53" t="str">
        <f aca="false">IF(AND($AB952&lt;&gt;"",$AD952&lt;&gt;""),$AD952-$AB952,"")</f>
        <v/>
      </c>
      <c r="AN952" s="53" t="str">
        <f aca="false">IF(AND($AC952&lt;&gt;"",$AD952&lt;&gt;""),$AD952-$AC952,"")</f>
        <v/>
      </c>
      <c r="AO952" s="53" t="str">
        <f aca="false">IF($J952&lt;&gt;"",$J952,"")</f>
        <v/>
      </c>
      <c r="AQ952" s="52" t="str">
        <f aca="false">IF($A952&lt;&gt;"",$A952,"")</f>
        <v>Apprenant 940</v>
      </c>
      <c r="AR952" s="55" t="str">
        <f aca="false">IF(AND('Choix pédagogiques'!$C$4&lt;&gt;"?",'Choix pédagogiques'!$C$5&lt;&gt;"?",W952&lt;&gt;""),(W952-'Choix pédagogiques'!$C$4)/('Choix pédagogiques'!$C$5-'Choix pédagogiques'!$C$4),"")</f>
        <v/>
      </c>
      <c r="AS952" s="55" t="str">
        <f aca="false">IF(AND('Choix pédagogiques'!$C$4&lt;&gt;"?",'Choix pédagogiques'!$C$5&lt;&gt;"?",X952&lt;&gt;""),(X952-'Choix pédagogiques'!$C$4)/('Choix pédagogiques'!$C$5-'Choix pédagogiques'!$C$4),"")</f>
        <v/>
      </c>
      <c r="AT952" s="55" t="str">
        <f aca="false">IF(AND('Choix pédagogiques'!$C$4&lt;&gt;"?",'Choix pédagogiques'!$C$5&lt;&gt;"?",Y952&lt;&gt;""),(Y952-'Choix pédagogiques'!$C$4)/('Choix pédagogiques'!$C$5-'Choix pédagogiques'!$C$4),"")</f>
        <v/>
      </c>
      <c r="AU952" s="53" t="str">
        <f aca="false">IF($E952&lt;&gt;"",$E952,"")</f>
        <v/>
      </c>
      <c r="AV952" s="52" t="str">
        <f aca="false">IF($F952&lt;&gt;"",$F952,"")</f>
        <v>Apprenant 940 ou 940'</v>
      </c>
      <c r="AW952" s="55" t="str">
        <f aca="false">IF(AND('Choix pédagogiques'!$C$4&lt;&gt;"?",'Choix pédagogiques'!$C$5&lt;&gt;"?",AB952&lt;&gt;""),(AB952-'Choix pédagogiques'!$C$4)/('Choix pédagogiques'!$C$5-'Choix pédagogiques'!$C$4),"")</f>
        <v/>
      </c>
      <c r="AX952" s="55" t="str">
        <f aca="false">IF(AND('Choix pédagogiques'!$C$4&lt;&gt;"?",'Choix pédagogiques'!$C$5&lt;&gt;"?",AC952&lt;&gt;""),(AC952-'Choix pédagogiques'!$C$4)/('Choix pédagogiques'!$C$5-'Choix pédagogiques'!$C$4),"")</f>
        <v/>
      </c>
      <c r="AY952" s="55" t="str">
        <f aca="false">IF(AND('Choix pédagogiques'!$C$4&lt;&gt;"?",'Choix pédagogiques'!$C$5&lt;&gt;"?",AD952&lt;&gt;""),(AD952-'Choix pédagogiques'!$C$4)/('Choix pédagogiques'!$C$5-'Choix pédagogiques'!$C$4),"")</f>
        <v/>
      </c>
      <c r="AZ952" s="53" t="str">
        <f aca="false">IF($J952&lt;&gt;"",$J952,"")</f>
        <v/>
      </c>
      <c r="BA952" s="52" t="str">
        <f aca="false">IF($A952&lt;&gt;"",$A952,"")</f>
        <v>Apprenant 940</v>
      </c>
      <c r="BB952" s="55" t="str">
        <f aca="false">IF(AND($AR952&lt;&gt;"",$AS952&lt;&gt;""),$AS952-$AR952,"")</f>
        <v/>
      </c>
      <c r="BC952" s="55" t="str">
        <f aca="false">IF(AND($AR952&lt;&gt;"",$AT952&lt;&gt;""),$AT952-$AR952,"")</f>
        <v/>
      </c>
      <c r="BD952" s="55" t="str">
        <f aca="false">IF(AND($AS952&lt;&gt;"",$AT952&lt;&gt;""),$AT952-$AS952,"")</f>
        <v/>
      </c>
      <c r="BE952" s="53" t="str">
        <f aca="false">IF($E952&lt;&gt;"",$E952,"")</f>
        <v/>
      </c>
      <c r="BF952" s="52" t="str">
        <f aca="false">IF($F952&lt;&gt;"",$F952,"")</f>
        <v>Apprenant 940 ou 940'</v>
      </c>
      <c r="BG952" s="55" t="str">
        <f aca="false">IF(AND($AW952&lt;&gt;"",$AX952&lt;&gt;""),$AX952-$AW952,"")</f>
        <v/>
      </c>
      <c r="BH952" s="55" t="str">
        <f aca="false">IF(AND($AW952&lt;&gt;"",$AY952&lt;&gt;""),$AY952-$AW952,"")</f>
        <v/>
      </c>
      <c r="BI952" s="55" t="str">
        <f aca="false">IF(AND($AX952&lt;&gt;"",$AY952&lt;&gt;""),$AY952-$AX952,"")</f>
        <v/>
      </c>
      <c r="BJ952" s="53" t="str">
        <f aca="false">IF($J952&lt;&gt;"",$J952,"")</f>
        <v/>
      </c>
      <c r="BL952" s="52"/>
      <c r="BM952" s="52" t="str">
        <f aca="false">IF(OR(COUNT(B952:D1951)=0,AND('Choix pédagogiques'!$C$3&lt;&gt;1,'Choix pédagogiques'!$C$3&lt;&gt;2)),"",IF(AND(OR('Choix pédagogiques'!$C$3=1,'Choix pédagogiques'!$C$3=2),$B952&lt;&gt;"",$C952&lt;&gt;"",$D952&lt;&gt;""),1,0))</f>
        <v/>
      </c>
      <c r="BN952" s="52" t="str">
        <f aca="false">IF(OR(COUNT(G952:I1951)=0,AND('Choix pédagogiques'!$C$3&lt;&gt;1,'Choix pédagogiques'!$C$3&lt;&gt;2)),"",IF(AND(OR('Choix pédagogiques'!$C$3=1,'Choix pédagogiques'!$C$3=2),AND($G952&lt;&gt;"",$H952&lt;&gt;"",$I952&lt;&gt;"")),1,0))</f>
        <v/>
      </c>
      <c r="BO952" s="52" t="str">
        <f aca="false">IF(OR(COUNT(B952:D1951)=0,COUNT(G952:I1951)=0,'Choix pédagogiques'!C$3&lt;&gt;3),"",IF(AND('Choix pédagogiques'!$C$3=3,$B952&lt;&gt;"",$C952&lt;&gt;"",$D952&lt;&gt;"",$G952&lt;&gt;"",$H952&lt;&gt;"",$I952&lt;&gt;""),1,0))</f>
        <v/>
      </c>
      <c r="BR952" s="52" t="n">
        <v>852</v>
      </c>
      <c r="BS952" s="52" t="n">
        <v>1031</v>
      </c>
    </row>
    <row r="953" s="54" customFormat="true" ht="18" hidden="false" customHeight="true" outlineLevel="0" collapsed="false">
      <c r="A953" s="57" t="s">
        <v>1837</v>
      </c>
      <c r="B953" s="51"/>
      <c r="C953" s="51"/>
      <c r="D953" s="51"/>
      <c r="E953" s="51"/>
      <c r="F953" s="57" t="s">
        <v>1838</v>
      </c>
      <c r="G953" s="51"/>
      <c r="H953" s="51"/>
      <c r="I953" s="51"/>
      <c r="J953" s="51"/>
      <c r="K953" s="52" t="str">
        <f aca="false">IF($A953&lt;&gt;"",$A953,"")</f>
        <v>Apprenant 941</v>
      </c>
      <c r="L953" s="53" t="str">
        <f aca="false">IF(AND($B953&lt;&gt;"",$C953&lt;&gt;""),$C953-$B953,"")</f>
        <v/>
      </c>
      <c r="M953" s="53" t="str">
        <f aca="false">IF(AND($B953&lt;&gt;"",$D953&lt;&gt;""),$D953-$B953,"")</f>
        <v/>
      </c>
      <c r="N953" s="53" t="str">
        <f aca="false">IF(AND($C953&lt;&gt;"",$D953&lt;&gt;""),$D953-$C953,"")</f>
        <v/>
      </c>
      <c r="O953" s="53" t="str">
        <f aca="false">IF($E953&lt;&gt;"",$E953,"")</f>
        <v/>
      </c>
      <c r="P953" s="52" t="str">
        <f aca="false">IF($F953&lt;&gt;"",$F953,"")</f>
        <v>Apprenant 941 ou 941'</v>
      </c>
      <c r="Q953" s="53" t="str">
        <f aca="false">IF(AND($G953&lt;&gt;"",$H953&lt;&gt;""),$H953-$G953,"")</f>
        <v/>
      </c>
      <c r="R953" s="53" t="str">
        <f aca="false">IF(AND($G953&lt;&gt;"",$I953&lt;&gt;""),$I953-$G953,"")</f>
        <v/>
      </c>
      <c r="S953" s="53" t="str">
        <f aca="false">IF(AND($H953&lt;&gt;"",$I953&lt;&gt;""),$I953-$H953,"")</f>
        <v/>
      </c>
      <c r="T953" s="53" t="str">
        <f aca="false">IF($J953&lt;&gt;"",$J953,"")</f>
        <v/>
      </c>
      <c r="V953" s="52" t="str">
        <f aca="false">IF($A953&lt;&gt;"",$A953,"")</f>
        <v>Apprenant 941</v>
      </c>
      <c r="W953" s="53" t="str">
        <f aca="false">IF(AND(OR('Choix pédagogiques'!$C$3=1,'Choix pédagogiques'!$C$3=2),$BM953=1),B953,IF(AND('Choix pédagogiques'!$C$3=3,$BO953=1),B953,""))</f>
        <v/>
      </c>
      <c r="X953" s="53" t="str">
        <f aca="false">IF(AND(OR('Choix pédagogiques'!$C$3=1,'Choix pédagogiques'!$C$3=2),$BM953=1),C953,IF(AND('Choix pédagogiques'!$C$3=3,$BO953=1),C953,""))</f>
        <v/>
      </c>
      <c r="Y953" s="53" t="str">
        <f aca="false">IF(AND(OR('Choix pédagogiques'!$C$3=1,'Choix pédagogiques'!$C$3=2),$BM953=1),D953,IF(AND('Choix pédagogiques'!$C$3=3,$BO953=1),D953,""))</f>
        <v/>
      </c>
      <c r="Z953" s="53" t="str">
        <f aca="false">IF($E953&lt;&gt;"",$E953,"")</f>
        <v/>
      </c>
      <c r="AA953" s="52" t="str">
        <f aca="false">IF($F953&lt;&gt;"",$F953,"")</f>
        <v>Apprenant 941 ou 941'</v>
      </c>
      <c r="AB953" s="53" t="str">
        <f aca="false">IF(AND(OR('Choix pédagogiques'!$C$3=1,'Choix pédagogiques'!$C$3=2),$BN953=1),G953,IF(AND('Choix pédagogiques'!$C$3=3,$BO953=1),G953,""))</f>
        <v/>
      </c>
      <c r="AC953" s="53" t="str">
        <f aca="false">IF(AND(OR('Choix pédagogiques'!$C$3=1,'Choix pédagogiques'!$C$3=2),$BN953=1),H953,IF(AND('Choix pédagogiques'!$C$3=3,$BO953=1),H953,""))</f>
        <v/>
      </c>
      <c r="AD953" s="53" t="str">
        <f aca="false">IF(AND(OR('Choix pédagogiques'!$C$3=1,'Choix pédagogiques'!$C$3=2),$BN953=1),I953,IF(AND('Choix pédagogiques'!$C$3=3,$BO953=1),I953,""))</f>
        <v/>
      </c>
      <c r="AE953" s="53" t="str">
        <f aca="false">IF($J953&lt;&gt;"",$J953,"")</f>
        <v/>
      </c>
      <c r="AF953" s="52" t="str">
        <f aca="false">IF($A953&lt;&gt;"",$A953,"")</f>
        <v>Apprenant 941</v>
      </c>
      <c r="AG953" s="53" t="str">
        <f aca="false">IF(AND($W953&lt;&gt;"",$X953&lt;&gt;""),$X953-$W953,"")</f>
        <v/>
      </c>
      <c r="AH953" s="53" t="str">
        <f aca="false">IF(AND($W953&lt;&gt;"",$Y953&lt;&gt;""),$Y953-$W953,"")</f>
        <v/>
      </c>
      <c r="AI953" s="53" t="str">
        <f aca="false">IF(AND($X953&lt;&gt;"",$Y953&lt;&gt;""),$Y953-$X953,"")</f>
        <v/>
      </c>
      <c r="AJ953" s="53" t="str">
        <f aca="false">IF($E953&lt;&gt;"",$E953,"")</f>
        <v/>
      </c>
      <c r="AK953" s="52" t="str">
        <f aca="false">IF($F953&lt;&gt;"",$F953,"")</f>
        <v>Apprenant 941 ou 941'</v>
      </c>
      <c r="AL953" s="53" t="str">
        <f aca="false">IF(AND($AB953&lt;&gt;"",$AC953&lt;&gt;""),$AC953-$AB953,"")</f>
        <v/>
      </c>
      <c r="AM953" s="53" t="str">
        <f aca="false">IF(AND($AB953&lt;&gt;"",$AD953&lt;&gt;""),$AD953-$AB953,"")</f>
        <v/>
      </c>
      <c r="AN953" s="53" t="str">
        <f aca="false">IF(AND($AC953&lt;&gt;"",$AD953&lt;&gt;""),$AD953-$AC953,"")</f>
        <v/>
      </c>
      <c r="AO953" s="53" t="str">
        <f aca="false">IF($J953&lt;&gt;"",$J953,"")</f>
        <v/>
      </c>
      <c r="AQ953" s="52" t="str">
        <f aca="false">IF($A953&lt;&gt;"",$A953,"")</f>
        <v>Apprenant 941</v>
      </c>
      <c r="AR953" s="55" t="str">
        <f aca="false">IF(AND('Choix pédagogiques'!$C$4&lt;&gt;"?",'Choix pédagogiques'!$C$5&lt;&gt;"?",W953&lt;&gt;""),(W953-'Choix pédagogiques'!$C$4)/('Choix pédagogiques'!$C$5-'Choix pédagogiques'!$C$4),"")</f>
        <v/>
      </c>
      <c r="AS953" s="55" t="str">
        <f aca="false">IF(AND('Choix pédagogiques'!$C$4&lt;&gt;"?",'Choix pédagogiques'!$C$5&lt;&gt;"?",X953&lt;&gt;""),(X953-'Choix pédagogiques'!$C$4)/('Choix pédagogiques'!$C$5-'Choix pédagogiques'!$C$4),"")</f>
        <v/>
      </c>
      <c r="AT953" s="55" t="str">
        <f aca="false">IF(AND('Choix pédagogiques'!$C$4&lt;&gt;"?",'Choix pédagogiques'!$C$5&lt;&gt;"?",Y953&lt;&gt;""),(Y953-'Choix pédagogiques'!$C$4)/('Choix pédagogiques'!$C$5-'Choix pédagogiques'!$C$4),"")</f>
        <v/>
      </c>
      <c r="AU953" s="53" t="str">
        <f aca="false">IF($E953&lt;&gt;"",$E953,"")</f>
        <v/>
      </c>
      <c r="AV953" s="52" t="str">
        <f aca="false">IF($F953&lt;&gt;"",$F953,"")</f>
        <v>Apprenant 941 ou 941'</v>
      </c>
      <c r="AW953" s="55" t="str">
        <f aca="false">IF(AND('Choix pédagogiques'!$C$4&lt;&gt;"?",'Choix pédagogiques'!$C$5&lt;&gt;"?",AB953&lt;&gt;""),(AB953-'Choix pédagogiques'!$C$4)/('Choix pédagogiques'!$C$5-'Choix pédagogiques'!$C$4),"")</f>
        <v/>
      </c>
      <c r="AX953" s="55" t="str">
        <f aca="false">IF(AND('Choix pédagogiques'!$C$4&lt;&gt;"?",'Choix pédagogiques'!$C$5&lt;&gt;"?",AC953&lt;&gt;""),(AC953-'Choix pédagogiques'!$C$4)/('Choix pédagogiques'!$C$5-'Choix pédagogiques'!$C$4),"")</f>
        <v/>
      </c>
      <c r="AY953" s="55" t="str">
        <f aca="false">IF(AND('Choix pédagogiques'!$C$4&lt;&gt;"?",'Choix pédagogiques'!$C$5&lt;&gt;"?",AD953&lt;&gt;""),(AD953-'Choix pédagogiques'!$C$4)/('Choix pédagogiques'!$C$5-'Choix pédagogiques'!$C$4),"")</f>
        <v/>
      </c>
      <c r="AZ953" s="53" t="str">
        <f aca="false">IF($J953&lt;&gt;"",$J953,"")</f>
        <v/>
      </c>
      <c r="BA953" s="52" t="str">
        <f aca="false">IF($A953&lt;&gt;"",$A953,"")</f>
        <v>Apprenant 941</v>
      </c>
      <c r="BB953" s="55" t="str">
        <f aca="false">IF(AND($AR953&lt;&gt;"",$AS953&lt;&gt;""),$AS953-$AR953,"")</f>
        <v/>
      </c>
      <c r="BC953" s="55" t="str">
        <f aca="false">IF(AND($AR953&lt;&gt;"",$AT953&lt;&gt;""),$AT953-$AR953,"")</f>
        <v/>
      </c>
      <c r="BD953" s="55" t="str">
        <f aca="false">IF(AND($AS953&lt;&gt;"",$AT953&lt;&gt;""),$AT953-$AS953,"")</f>
        <v/>
      </c>
      <c r="BE953" s="53" t="str">
        <f aca="false">IF($E953&lt;&gt;"",$E953,"")</f>
        <v/>
      </c>
      <c r="BF953" s="52" t="str">
        <f aca="false">IF($F953&lt;&gt;"",$F953,"")</f>
        <v>Apprenant 941 ou 941'</v>
      </c>
      <c r="BG953" s="55" t="str">
        <f aca="false">IF(AND($AW953&lt;&gt;"",$AX953&lt;&gt;""),$AX953-$AW953,"")</f>
        <v/>
      </c>
      <c r="BH953" s="55" t="str">
        <f aca="false">IF(AND($AW953&lt;&gt;"",$AY953&lt;&gt;""),$AY953-$AW953,"")</f>
        <v/>
      </c>
      <c r="BI953" s="55" t="str">
        <f aca="false">IF(AND($AX953&lt;&gt;"",$AY953&lt;&gt;""),$AY953-$AX953,"")</f>
        <v/>
      </c>
      <c r="BJ953" s="53" t="str">
        <f aca="false">IF($J953&lt;&gt;"",$J953,"")</f>
        <v/>
      </c>
      <c r="BL953" s="52"/>
      <c r="BM953" s="52" t="str">
        <f aca="false">IF(OR(COUNT(B953:D1952)=0,AND('Choix pédagogiques'!$C$3&lt;&gt;1,'Choix pédagogiques'!$C$3&lt;&gt;2)),"",IF(AND(OR('Choix pédagogiques'!$C$3=1,'Choix pédagogiques'!$C$3=2),$B953&lt;&gt;"",$C953&lt;&gt;"",$D953&lt;&gt;""),1,0))</f>
        <v/>
      </c>
      <c r="BN953" s="52" t="str">
        <f aca="false">IF(OR(COUNT(G953:I1952)=0,AND('Choix pédagogiques'!$C$3&lt;&gt;1,'Choix pédagogiques'!$C$3&lt;&gt;2)),"",IF(AND(OR('Choix pédagogiques'!$C$3=1,'Choix pédagogiques'!$C$3=2),AND($G953&lt;&gt;"",$H953&lt;&gt;"",$I953&lt;&gt;"")),1,0))</f>
        <v/>
      </c>
      <c r="BO953" s="52" t="str">
        <f aca="false">IF(OR(COUNT(B953:D1952)=0,COUNT(G953:I1952)=0,'Choix pédagogiques'!C$3&lt;&gt;3),"",IF(AND('Choix pédagogiques'!$C$3=3,$B953&lt;&gt;"",$C953&lt;&gt;"",$D953&lt;&gt;"",$G953&lt;&gt;"",$H953&lt;&gt;"",$I953&lt;&gt;""),1,0))</f>
        <v/>
      </c>
      <c r="BR953" s="52" t="n">
        <v>260</v>
      </c>
      <c r="BS953" s="52" t="n">
        <v>1021</v>
      </c>
    </row>
    <row r="954" s="54" customFormat="true" ht="18" hidden="false" customHeight="true" outlineLevel="0" collapsed="false">
      <c r="A954" s="57" t="s">
        <v>1839</v>
      </c>
      <c r="B954" s="51"/>
      <c r="C954" s="51"/>
      <c r="D954" s="51"/>
      <c r="E954" s="51"/>
      <c r="F954" s="57" t="s">
        <v>1840</v>
      </c>
      <c r="G954" s="51"/>
      <c r="H954" s="51"/>
      <c r="I954" s="51"/>
      <c r="J954" s="51"/>
      <c r="K954" s="52" t="str">
        <f aca="false">IF($A954&lt;&gt;"",$A954,"")</f>
        <v>Apprenant 942</v>
      </c>
      <c r="L954" s="53" t="str">
        <f aca="false">IF(AND($B954&lt;&gt;"",$C954&lt;&gt;""),$C954-$B954,"")</f>
        <v/>
      </c>
      <c r="M954" s="53" t="str">
        <f aca="false">IF(AND($B954&lt;&gt;"",$D954&lt;&gt;""),$D954-$B954,"")</f>
        <v/>
      </c>
      <c r="N954" s="53" t="str">
        <f aca="false">IF(AND($C954&lt;&gt;"",$D954&lt;&gt;""),$D954-$C954,"")</f>
        <v/>
      </c>
      <c r="O954" s="53" t="str">
        <f aca="false">IF($E954&lt;&gt;"",$E954,"")</f>
        <v/>
      </c>
      <c r="P954" s="52" t="str">
        <f aca="false">IF($F954&lt;&gt;"",$F954,"")</f>
        <v>Apprenant 942 ou 942'</v>
      </c>
      <c r="Q954" s="53" t="str">
        <f aca="false">IF(AND($G954&lt;&gt;"",$H954&lt;&gt;""),$H954-$G954,"")</f>
        <v/>
      </c>
      <c r="R954" s="53" t="str">
        <f aca="false">IF(AND($G954&lt;&gt;"",$I954&lt;&gt;""),$I954-$G954,"")</f>
        <v/>
      </c>
      <c r="S954" s="53" t="str">
        <f aca="false">IF(AND($H954&lt;&gt;"",$I954&lt;&gt;""),$I954-$H954,"")</f>
        <v/>
      </c>
      <c r="T954" s="53" t="str">
        <f aca="false">IF($J954&lt;&gt;"",$J954,"")</f>
        <v/>
      </c>
      <c r="V954" s="52" t="str">
        <f aca="false">IF($A954&lt;&gt;"",$A954,"")</f>
        <v>Apprenant 942</v>
      </c>
      <c r="W954" s="53" t="str">
        <f aca="false">IF(AND(OR('Choix pédagogiques'!$C$3=1,'Choix pédagogiques'!$C$3=2),$BM954=1),B954,IF(AND('Choix pédagogiques'!$C$3=3,$BO954=1),B954,""))</f>
        <v/>
      </c>
      <c r="X954" s="53" t="str">
        <f aca="false">IF(AND(OR('Choix pédagogiques'!$C$3=1,'Choix pédagogiques'!$C$3=2),$BM954=1),C954,IF(AND('Choix pédagogiques'!$C$3=3,$BO954=1),C954,""))</f>
        <v/>
      </c>
      <c r="Y954" s="53" t="str">
        <f aca="false">IF(AND(OR('Choix pédagogiques'!$C$3=1,'Choix pédagogiques'!$C$3=2),$BM954=1),D954,IF(AND('Choix pédagogiques'!$C$3=3,$BO954=1),D954,""))</f>
        <v/>
      </c>
      <c r="Z954" s="53" t="str">
        <f aca="false">IF($E954&lt;&gt;"",$E954,"")</f>
        <v/>
      </c>
      <c r="AA954" s="52" t="str">
        <f aca="false">IF($F954&lt;&gt;"",$F954,"")</f>
        <v>Apprenant 942 ou 942'</v>
      </c>
      <c r="AB954" s="53" t="str">
        <f aca="false">IF(AND(OR('Choix pédagogiques'!$C$3=1,'Choix pédagogiques'!$C$3=2),$BN954=1),G954,IF(AND('Choix pédagogiques'!$C$3=3,$BO954=1),G954,""))</f>
        <v/>
      </c>
      <c r="AC954" s="53" t="str">
        <f aca="false">IF(AND(OR('Choix pédagogiques'!$C$3=1,'Choix pédagogiques'!$C$3=2),$BN954=1),H954,IF(AND('Choix pédagogiques'!$C$3=3,$BO954=1),H954,""))</f>
        <v/>
      </c>
      <c r="AD954" s="53" t="str">
        <f aca="false">IF(AND(OR('Choix pédagogiques'!$C$3=1,'Choix pédagogiques'!$C$3=2),$BN954=1),I954,IF(AND('Choix pédagogiques'!$C$3=3,$BO954=1),I954,""))</f>
        <v/>
      </c>
      <c r="AE954" s="53" t="str">
        <f aca="false">IF($J954&lt;&gt;"",$J954,"")</f>
        <v/>
      </c>
      <c r="AF954" s="52" t="str">
        <f aca="false">IF($A954&lt;&gt;"",$A954,"")</f>
        <v>Apprenant 942</v>
      </c>
      <c r="AG954" s="53" t="str">
        <f aca="false">IF(AND($W954&lt;&gt;"",$X954&lt;&gt;""),$X954-$W954,"")</f>
        <v/>
      </c>
      <c r="AH954" s="53" t="str">
        <f aca="false">IF(AND($W954&lt;&gt;"",$Y954&lt;&gt;""),$Y954-$W954,"")</f>
        <v/>
      </c>
      <c r="AI954" s="53" t="str">
        <f aca="false">IF(AND($X954&lt;&gt;"",$Y954&lt;&gt;""),$Y954-$X954,"")</f>
        <v/>
      </c>
      <c r="AJ954" s="53" t="str">
        <f aca="false">IF($E954&lt;&gt;"",$E954,"")</f>
        <v/>
      </c>
      <c r="AK954" s="52" t="str">
        <f aca="false">IF($F954&lt;&gt;"",$F954,"")</f>
        <v>Apprenant 942 ou 942'</v>
      </c>
      <c r="AL954" s="53" t="str">
        <f aca="false">IF(AND($AB954&lt;&gt;"",$AC954&lt;&gt;""),$AC954-$AB954,"")</f>
        <v/>
      </c>
      <c r="AM954" s="53" t="str">
        <f aca="false">IF(AND($AB954&lt;&gt;"",$AD954&lt;&gt;""),$AD954-$AB954,"")</f>
        <v/>
      </c>
      <c r="AN954" s="53" t="str">
        <f aca="false">IF(AND($AC954&lt;&gt;"",$AD954&lt;&gt;""),$AD954-$AC954,"")</f>
        <v/>
      </c>
      <c r="AO954" s="53" t="str">
        <f aca="false">IF($J954&lt;&gt;"",$J954,"")</f>
        <v/>
      </c>
      <c r="AQ954" s="52" t="str">
        <f aca="false">IF($A954&lt;&gt;"",$A954,"")</f>
        <v>Apprenant 942</v>
      </c>
      <c r="AR954" s="55" t="str">
        <f aca="false">IF(AND('Choix pédagogiques'!$C$4&lt;&gt;"?",'Choix pédagogiques'!$C$5&lt;&gt;"?",W954&lt;&gt;""),(W954-'Choix pédagogiques'!$C$4)/('Choix pédagogiques'!$C$5-'Choix pédagogiques'!$C$4),"")</f>
        <v/>
      </c>
      <c r="AS954" s="55" t="str">
        <f aca="false">IF(AND('Choix pédagogiques'!$C$4&lt;&gt;"?",'Choix pédagogiques'!$C$5&lt;&gt;"?",X954&lt;&gt;""),(X954-'Choix pédagogiques'!$C$4)/('Choix pédagogiques'!$C$5-'Choix pédagogiques'!$C$4),"")</f>
        <v/>
      </c>
      <c r="AT954" s="55" t="str">
        <f aca="false">IF(AND('Choix pédagogiques'!$C$4&lt;&gt;"?",'Choix pédagogiques'!$C$5&lt;&gt;"?",Y954&lt;&gt;""),(Y954-'Choix pédagogiques'!$C$4)/('Choix pédagogiques'!$C$5-'Choix pédagogiques'!$C$4),"")</f>
        <v/>
      </c>
      <c r="AU954" s="53" t="str">
        <f aca="false">IF($E954&lt;&gt;"",$E954,"")</f>
        <v/>
      </c>
      <c r="AV954" s="52" t="str">
        <f aca="false">IF($F954&lt;&gt;"",$F954,"")</f>
        <v>Apprenant 942 ou 942'</v>
      </c>
      <c r="AW954" s="55" t="str">
        <f aca="false">IF(AND('Choix pédagogiques'!$C$4&lt;&gt;"?",'Choix pédagogiques'!$C$5&lt;&gt;"?",AB954&lt;&gt;""),(AB954-'Choix pédagogiques'!$C$4)/('Choix pédagogiques'!$C$5-'Choix pédagogiques'!$C$4),"")</f>
        <v/>
      </c>
      <c r="AX954" s="55" t="str">
        <f aca="false">IF(AND('Choix pédagogiques'!$C$4&lt;&gt;"?",'Choix pédagogiques'!$C$5&lt;&gt;"?",AC954&lt;&gt;""),(AC954-'Choix pédagogiques'!$C$4)/('Choix pédagogiques'!$C$5-'Choix pédagogiques'!$C$4),"")</f>
        <v/>
      </c>
      <c r="AY954" s="55" t="str">
        <f aca="false">IF(AND('Choix pédagogiques'!$C$4&lt;&gt;"?",'Choix pédagogiques'!$C$5&lt;&gt;"?",AD954&lt;&gt;""),(AD954-'Choix pédagogiques'!$C$4)/('Choix pédagogiques'!$C$5-'Choix pédagogiques'!$C$4),"")</f>
        <v/>
      </c>
      <c r="AZ954" s="53" t="str">
        <f aca="false">IF($J954&lt;&gt;"",$J954,"")</f>
        <v/>
      </c>
      <c r="BA954" s="52" t="str">
        <f aca="false">IF($A954&lt;&gt;"",$A954,"")</f>
        <v>Apprenant 942</v>
      </c>
      <c r="BB954" s="55" t="str">
        <f aca="false">IF(AND($AR954&lt;&gt;"",$AS954&lt;&gt;""),$AS954-$AR954,"")</f>
        <v/>
      </c>
      <c r="BC954" s="55" t="str">
        <f aca="false">IF(AND($AR954&lt;&gt;"",$AT954&lt;&gt;""),$AT954-$AR954,"")</f>
        <v/>
      </c>
      <c r="BD954" s="55" t="str">
        <f aca="false">IF(AND($AS954&lt;&gt;"",$AT954&lt;&gt;""),$AT954-$AS954,"")</f>
        <v/>
      </c>
      <c r="BE954" s="53" t="str">
        <f aca="false">IF($E954&lt;&gt;"",$E954,"")</f>
        <v/>
      </c>
      <c r="BF954" s="52" t="str">
        <f aca="false">IF($F954&lt;&gt;"",$F954,"")</f>
        <v>Apprenant 942 ou 942'</v>
      </c>
      <c r="BG954" s="55" t="str">
        <f aca="false">IF(AND($AW954&lt;&gt;"",$AX954&lt;&gt;""),$AX954-$AW954,"")</f>
        <v/>
      </c>
      <c r="BH954" s="55" t="str">
        <f aca="false">IF(AND($AW954&lt;&gt;"",$AY954&lt;&gt;""),$AY954-$AW954,"")</f>
        <v/>
      </c>
      <c r="BI954" s="55" t="str">
        <f aca="false">IF(AND($AX954&lt;&gt;"",$AY954&lt;&gt;""),$AY954-$AX954,"")</f>
        <v/>
      </c>
      <c r="BJ954" s="53" t="str">
        <f aca="false">IF($J954&lt;&gt;"",$J954,"")</f>
        <v/>
      </c>
      <c r="BL954" s="52"/>
      <c r="BM954" s="52" t="str">
        <f aca="false">IF(OR(COUNT(B954:D1953)=0,AND('Choix pédagogiques'!$C$3&lt;&gt;1,'Choix pédagogiques'!$C$3&lt;&gt;2)),"",IF(AND(OR('Choix pédagogiques'!$C$3=1,'Choix pédagogiques'!$C$3=2),$B954&lt;&gt;"",$C954&lt;&gt;"",$D954&lt;&gt;""),1,0))</f>
        <v/>
      </c>
      <c r="BN954" s="52" t="str">
        <f aca="false">IF(OR(COUNT(G954:I1953)=0,AND('Choix pédagogiques'!$C$3&lt;&gt;1,'Choix pédagogiques'!$C$3&lt;&gt;2)),"",IF(AND(OR('Choix pédagogiques'!$C$3=1,'Choix pédagogiques'!$C$3=2),AND($G954&lt;&gt;"",$H954&lt;&gt;"",$I954&lt;&gt;"")),1,0))</f>
        <v/>
      </c>
      <c r="BO954" s="52" t="str">
        <f aca="false">IF(OR(COUNT(B954:D1953)=0,COUNT(G954:I1953)=0,'Choix pédagogiques'!C$3&lt;&gt;3),"",IF(AND('Choix pédagogiques'!$C$3=3,$B954&lt;&gt;"",$C954&lt;&gt;"",$D954&lt;&gt;"",$G954&lt;&gt;"",$H954&lt;&gt;"",$I954&lt;&gt;""),1,0))</f>
        <v/>
      </c>
      <c r="BR954" s="52" t="n">
        <v>667</v>
      </c>
      <c r="BS954" s="52" t="n">
        <v>1226</v>
      </c>
    </row>
    <row r="955" s="54" customFormat="true" ht="18" hidden="false" customHeight="true" outlineLevel="0" collapsed="false">
      <c r="A955" s="57" t="s">
        <v>1841</v>
      </c>
      <c r="B955" s="51"/>
      <c r="C955" s="51"/>
      <c r="D955" s="51"/>
      <c r="E955" s="51"/>
      <c r="F955" s="57" t="s">
        <v>1842</v>
      </c>
      <c r="G955" s="51"/>
      <c r="H955" s="51"/>
      <c r="I955" s="51"/>
      <c r="J955" s="51"/>
      <c r="K955" s="52" t="str">
        <f aca="false">IF($A955&lt;&gt;"",$A955,"")</f>
        <v>Apprenant 943</v>
      </c>
      <c r="L955" s="53" t="str">
        <f aca="false">IF(AND($B955&lt;&gt;"",$C955&lt;&gt;""),$C955-$B955,"")</f>
        <v/>
      </c>
      <c r="M955" s="53" t="str">
        <f aca="false">IF(AND($B955&lt;&gt;"",$D955&lt;&gt;""),$D955-$B955,"")</f>
        <v/>
      </c>
      <c r="N955" s="53" t="str">
        <f aca="false">IF(AND($C955&lt;&gt;"",$D955&lt;&gt;""),$D955-$C955,"")</f>
        <v/>
      </c>
      <c r="O955" s="53" t="str">
        <f aca="false">IF($E955&lt;&gt;"",$E955,"")</f>
        <v/>
      </c>
      <c r="P955" s="52" t="str">
        <f aca="false">IF($F955&lt;&gt;"",$F955,"")</f>
        <v>Apprenant 943 ou 943'</v>
      </c>
      <c r="Q955" s="53" t="str">
        <f aca="false">IF(AND($G955&lt;&gt;"",$H955&lt;&gt;""),$H955-$G955,"")</f>
        <v/>
      </c>
      <c r="R955" s="53" t="str">
        <f aca="false">IF(AND($G955&lt;&gt;"",$I955&lt;&gt;""),$I955-$G955,"")</f>
        <v/>
      </c>
      <c r="S955" s="53" t="str">
        <f aca="false">IF(AND($H955&lt;&gt;"",$I955&lt;&gt;""),$I955-$H955,"")</f>
        <v/>
      </c>
      <c r="T955" s="53" t="str">
        <f aca="false">IF($J955&lt;&gt;"",$J955,"")</f>
        <v/>
      </c>
      <c r="V955" s="52" t="str">
        <f aca="false">IF($A955&lt;&gt;"",$A955,"")</f>
        <v>Apprenant 943</v>
      </c>
      <c r="W955" s="53" t="str">
        <f aca="false">IF(AND(OR('Choix pédagogiques'!$C$3=1,'Choix pédagogiques'!$C$3=2),$BM955=1),B955,IF(AND('Choix pédagogiques'!$C$3=3,$BO955=1),B955,""))</f>
        <v/>
      </c>
      <c r="X955" s="53" t="str">
        <f aca="false">IF(AND(OR('Choix pédagogiques'!$C$3=1,'Choix pédagogiques'!$C$3=2),$BM955=1),C955,IF(AND('Choix pédagogiques'!$C$3=3,$BO955=1),C955,""))</f>
        <v/>
      </c>
      <c r="Y955" s="53" t="str">
        <f aca="false">IF(AND(OR('Choix pédagogiques'!$C$3=1,'Choix pédagogiques'!$C$3=2),$BM955=1),D955,IF(AND('Choix pédagogiques'!$C$3=3,$BO955=1),D955,""))</f>
        <v/>
      </c>
      <c r="Z955" s="53" t="str">
        <f aca="false">IF($E955&lt;&gt;"",$E955,"")</f>
        <v/>
      </c>
      <c r="AA955" s="52" t="str">
        <f aca="false">IF($F955&lt;&gt;"",$F955,"")</f>
        <v>Apprenant 943 ou 943'</v>
      </c>
      <c r="AB955" s="53" t="str">
        <f aca="false">IF(AND(OR('Choix pédagogiques'!$C$3=1,'Choix pédagogiques'!$C$3=2),$BN955=1),G955,IF(AND('Choix pédagogiques'!$C$3=3,$BO955=1),G955,""))</f>
        <v/>
      </c>
      <c r="AC955" s="53" t="str">
        <f aca="false">IF(AND(OR('Choix pédagogiques'!$C$3=1,'Choix pédagogiques'!$C$3=2),$BN955=1),H955,IF(AND('Choix pédagogiques'!$C$3=3,$BO955=1),H955,""))</f>
        <v/>
      </c>
      <c r="AD955" s="53" t="str">
        <f aca="false">IF(AND(OR('Choix pédagogiques'!$C$3=1,'Choix pédagogiques'!$C$3=2),$BN955=1),I955,IF(AND('Choix pédagogiques'!$C$3=3,$BO955=1),I955,""))</f>
        <v/>
      </c>
      <c r="AE955" s="53" t="str">
        <f aca="false">IF($J955&lt;&gt;"",$J955,"")</f>
        <v/>
      </c>
      <c r="AF955" s="52" t="str">
        <f aca="false">IF($A955&lt;&gt;"",$A955,"")</f>
        <v>Apprenant 943</v>
      </c>
      <c r="AG955" s="53" t="str">
        <f aca="false">IF(AND($W955&lt;&gt;"",$X955&lt;&gt;""),$X955-$W955,"")</f>
        <v/>
      </c>
      <c r="AH955" s="53" t="str">
        <f aca="false">IF(AND($W955&lt;&gt;"",$Y955&lt;&gt;""),$Y955-$W955,"")</f>
        <v/>
      </c>
      <c r="AI955" s="53" t="str">
        <f aca="false">IF(AND($X955&lt;&gt;"",$Y955&lt;&gt;""),$Y955-$X955,"")</f>
        <v/>
      </c>
      <c r="AJ955" s="53" t="str">
        <f aca="false">IF($E955&lt;&gt;"",$E955,"")</f>
        <v/>
      </c>
      <c r="AK955" s="52" t="str">
        <f aca="false">IF($F955&lt;&gt;"",$F955,"")</f>
        <v>Apprenant 943 ou 943'</v>
      </c>
      <c r="AL955" s="53" t="str">
        <f aca="false">IF(AND($AB955&lt;&gt;"",$AC955&lt;&gt;""),$AC955-$AB955,"")</f>
        <v/>
      </c>
      <c r="AM955" s="53" t="str">
        <f aca="false">IF(AND($AB955&lt;&gt;"",$AD955&lt;&gt;""),$AD955-$AB955,"")</f>
        <v/>
      </c>
      <c r="AN955" s="53" t="str">
        <f aca="false">IF(AND($AC955&lt;&gt;"",$AD955&lt;&gt;""),$AD955-$AC955,"")</f>
        <v/>
      </c>
      <c r="AO955" s="53" t="str">
        <f aca="false">IF($J955&lt;&gt;"",$J955,"")</f>
        <v/>
      </c>
      <c r="AQ955" s="52" t="str">
        <f aca="false">IF($A955&lt;&gt;"",$A955,"")</f>
        <v>Apprenant 943</v>
      </c>
      <c r="AR955" s="55" t="str">
        <f aca="false">IF(AND('Choix pédagogiques'!$C$4&lt;&gt;"?",'Choix pédagogiques'!$C$5&lt;&gt;"?",W955&lt;&gt;""),(W955-'Choix pédagogiques'!$C$4)/('Choix pédagogiques'!$C$5-'Choix pédagogiques'!$C$4),"")</f>
        <v/>
      </c>
      <c r="AS955" s="55" t="str">
        <f aca="false">IF(AND('Choix pédagogiques'!$C$4&lt;&gt;"?",'Choix pédagogiques'!$C$5&lt;&gt;"?",X955&lt;&gt;""),(X955-'Choix pédagogiques'!$C$4)/('Choix pédagogiques'!$C$5-'Choix pédagogiques'!$C$4),"")</f>
        <v/>
      </c>
      <c r="AT955" s="55" t="str">
        <f aca="false">IF(AND('Choix pédagogiques'!$C$4&lt;&gt;"?",'Choix pédagogiques'!$C$5&lt;&gt;"?",Y955&lt;&gt;""),(Y955-'Choix pédagogiques'!$C$4)/('Choix pédagogiques'!$C$5-'Choix pédagogiques'!$C$4),"")</f>
        <v/>
      </c>
      <c r="AU955" s="53" t="str">
        <f aca="false">IF($E955&lt;&gt;"",$E955,"")</f>
        <v/>
      </c>
      <c r="AV955" s="52" t="str">
        <f aca="false">IF($F955&lt;&gt;"",$F955,"")</f>
        <v>Apprenant 943 ou 943'</v>
      </c>
      <c r="AW955" s="55" t="str">
        <f aca="false">IF(AND('Choix pédagogiques'!$C$4&lt;&gt;"?",'Choix pédagogiques'!$C$5&lt;&gt;"?",AB955&lt;&gt;""),(AB955-'Choix pédagogiques'!$C$4)/('Choix pédagogiques'!$C$5-'Choix pédagogiques'!$C$4),"")</f>
        <v/>
      </c>
      <c r="AX955" s="55" t="str">
        <f aca="false">IF(AND('Choix pédagogiques'!$C$4&lt;&gt;"?",'Choix pédagogiques'!$C$5&lt;&gt;"?",AC955&lt;&gt;""),(AC955-'Choix pédagogiques'!$C$4)/('Choix pédagogiques'!$C$5-'Choix pédagogiques'!$C$4),"")</f>
        <v/>
      </c>
      <c r="AY955" s="55" t="str">
        <f aca="false">IF(AND('Choix pédagogiques'!$C$4&lt;&gt;"?",'Choix pédagogiques'!$C$5&lt;&gt;"?",AD955&lt;&gt;""),(AD955-'Choix pédagogiques'!$C$4)/('Choix pédagogiques'!$C$5-'Choix pédagogiques'!$C$4),"")</f>
        <v/>
      </c>
      <c r="AZ955" s="53" t="str">
        <f aca="false">IF($J955&lt;&gt;"",$J955,"")</f>
        <v/>
      </c>
      <c r="BA955" s="52" t="str">
        <f aca="false">IF($A955&lt;&gt;"",$A955,"")</f>
        <v>Apprenant 943</v>
      </c>
      <c r="BB955" s="55" t="str">
        <f aca="false">IF(AND($AR955&lt;&gt;"",$AS955&lt;&gt;""),$AS955-$AR955,"")</f>
        <v/>
      </c>
      <c r="BC955" s="55" t="str">
        <f aca="false">IF(AND($AR955&lt;&gt;"",$AT955&lt;&gt;""),$AT955-$AR955,"")</f>
        <v/>
      </c>
      <c r="BD955" s="55" t="str">
        <f aca="false">IF(AND($AS955&lt;&gt;"",$AT955&lt;&gt;""),$AT955-$AS955,"")</f>
        <v/>
      </c>
      <c r="BE955" s="53" t="str">
        <f aca="false">IF($E955&lt;&gt;"",$E955,"")</f>
        <v/>
      </c>
      <c r="BF955" s="52" t="str">
        <f aca="false">IF($F955&lt;&gt;"",$F955,"")</f>
        <v>Apprenant 943 ou 943'</v>
      </c>
      <c r="BG955" s="55" t="str">
        <f aca="false">IF(AND($AW955&lt;&gt;"",$AX955&lt;&gt;""),$AX955-$AW955,"")</f>
        <v/>
      </c>
      <c r="BH955" s="55" t="str">
        <f aca="false">IF(AND($AW955&lt;&gt;"",$AY955&lt;&gt;""),$AY955-$AW955,"")</f>
        <v/>
      </c>
      <c r="BI955" s="55" t="str">
        <f aca="false">IF(AND($AX955&lt;&gt;"",$AY955&lt;&gt;""),$AY955-$AX955,"")</f>
        <v/>
      </c>
      <c r="BJ955" s="53" t="str">
        <f aca="false">IF($J955&lt;&gt;"",$J955,"")</f>
        <v/>
      </c>
      <c r="BL955" s="52"/>
      <c r="BM955" s="52" t="str">
        <f aca="false">IF(OR(COUNT(B955:D1954)=0,AND('Choix pédagogiques'!$C$3&lt;&gt;1,'Choix pédagogiques'!$C$3&lt;&gt;2)),"",IF(AND(OR('Choix pédagogiques'!$C$3=1,'Choix pédagogiques'!$C$3=2),$B955&lt;&gt;"",$C955&lt;&gt;"",$D955&lt;&gt;""),1,0))</f>
        <v/>
      </c>
      <c r="BN955" s="52" t="str">
        <f aca="false">IF(OR(COUNT(G955:I1954)=0,AND('Choix pédagogiques'!$C$3&lt;&gt;1,'Choix pédagogiques'!$C$3&lt;&gt;2)),"",IF(AND(OR('Choix pédagogiques'!$C$3=1,'Choix pédagogiques'!$C$3=2),AND($G955&lt;&gt;"",$H955&lt;&gt;"",$I955&lt;&gt;"")),1,0))</f>
        <v/>
      </c>
      <c r="BO955" s="52" t="str">
        <f aca="false">IF(OR(COUNT(B955:D1954)=0,COUNT(G955:I1954)=0,'Choix pédagogiques'!C$3&lt;&gt;3),"",IF(AND('Choix pédagogiques'!$C$3=3,$B955&lt;&gt;"",$C955&lt;&gt;"",$D955&lt;&gt;"",$G955&lt;&gt;"",$H955&lt;&gt;"",$I955&lt;&gt;""),1,0))</f>
        <v/>
      </c>
      <c r="BR955" s="52" t="n">
        <v>409</v>
      </c>
      <c r="BS955" s="52" t="n">
        <v>1674</v>
      </c>
    </row>
    <row r="956" s="54" customFormat="true" ht="18" hidden="false" customHeight="true" outlineLevel="0" collapsed="false">
      <c r="A956" s="57" t="s">
        <v>1843</v>
      </c>
      <c r="B956" s="51"/>
      <c r="C956" s="51"/>
      <c r="D956" s="51"/>
      <c r="E956" s="51"/>
      <c r="F956" s="57" t="s">
        <v>1844</v>
      </c>
      <c r="G956" s="51"/>
      <c r="H956" s="51"/>
      <c r="I956" s="51"/>
      <c r="J956" s="51"/>
      <c r="K956" s="52" t="str">
        <f aca="false">IF($A956&lt;&gt;"",$A956,"")</f>
        <v>Apprenant 944</v>
      </c>
      <c r="L956" s="53" t="str">
        <f aca="false">IF(AND($B956&lt;&gt;"",$C956&lt;&gt;""),$C956-$B956,"")</f>
        <v/>
      </c>
      <c r="M956" s="53" t="str">
        <f aca="false">IF(AND($B956&lt;&gt;"",$D956&lt;&gt;""),$D956-$B956,"")</f>
        <v/>
      </c>
      <c r="N956" s="53" t="str">
        <f aca="false">IF(AND($C956&lt;&gt;"",$D956&lt;&gt;""),$D956-$C956,"")</f>
        <v/>
      </c>
      <c r="O956" s="53" t="str">
        <f aca="false">IF($E956&lt;&gt;"",$E956,"")</f>
        <v/>
      </c>
      <c r="P956" s="52" t="str">
        <f aca="false">IF($F956&lt;&gt;"",$F956,"")</f>
        <v>Apprenant 944 ou 944'</v>
      </c>
      <c r="Q956" s="53" t="str">
        <f aca="false">IF(AND($G956&lt;&gt;"",$H956&lt;&gt;""),$H956-$G956,"")</f>
        <v/>
      </c>
      <c r="R956" s="53" t="str">
        <f aca="false">IF(AND($G956&lt;&gt;"",$I956&lt;&gt;""),$I956-$G956,"")</f>
        <v/>
      </c>
      <c r="S956" s="53" t="str">
        <f aca="false">IF(AND($H956&lt;&gt;"",$I956&lt;&gt;""),$I956-$H956,"")</f>
        <v/>
      </c>
      <c r="T956" s="53" t="str">
        <f aca="false">IF($J956&lt;&gt;"",$J956,"")</f>
        <v/>
      </c>
      <c r="V956" s="52" t="str">
        <f aca="false">IF($A956&lt;&gt;"",$A956,"")</f>
        <v>Apprenant 944</v>
      </c>
      <c r="W956" s="53" t="str">
        <f aca="false">IF(AND(OR('Choix pédagogiques'!$C$3=1,'Choix pédagogiques'!$C$3=2),$BM956=1),B956,IF(AND('Choix pédagogiques'!$C$3=3,$BO956=1),B956,""))</f>
        <v/>
      </c>
      <c r="X956" s="53" t="str">
        <f aca="false">IF(AND(OR('Choix pédagogiques'!$C$3=1,'Choix pédagogiques'!$C$3=2),$BM956=1),C956,IF(AND('Choix pédagogiques'!$C$3=3,$BO956=1),C956,""))</f>
        <v/>
      </c>
      <c r="Y956" s="53" t="str">
        <f aca="false">IF(AND(OR('Choix pédagogiques'!$C$3=1,'Choix pédagogiques'!$C$3=2),$BM956=1),D956,IF(AND('Choix pédagogiques'!$C$3=3,$BO956=1),D956,""))</f>
        <v/>
      </c>
      <c r="Z956" s="53" t="str">
        <f aca="false">IF($E956&lt;&gt;"",$E956,"")</f>
        <v/>
      </c>
      <c r="AA956" s="52" t="str">
        <f aca="false">IF($F956&lt;&gt;"",$F956,"")</f>
        <v>Apprenant 944 ou 944'</v>
      </c>
      <c r="AB956" s="53" t="str">
        <f aca="false">IF(AND(OR('Choix pédagogiques'!$C$3=1,'Choix pédagogiques'!$C$3=2),$BN956=1),G956,IF(AND('Choix pédagogiques'!$C$3=3,$BO956=1),G956,""))</f>
        <v/>
      </c>
      <c r="AC956" s="53" t="str">
        <f aca="false">IF(AND(OR('Choix pédagogiques'!$C$3=1,'Choix pédagogiques'!$C$3=2),$BN956=1),H956,IF(AND('Choix pédagogiques'!$C$3=3,$BO956=1),H956,""))</f>
        <v/>
      </c>
      <c r="AD956" s="53" t="str">
        <f aca="false">IF(AND(OR('Choix pédagogiques'!$C$3=1,'Choix pédagogiques'!$C$3=2),$BN956=1),I956,IF(AND('Choix pédagogiques'!$C$3=3,$BO956=1),I956,""))</f>
        <v/>
      </c>
      <c r="AE956" s="53" t="str">
        <f aca="false">IF($J956&lt;&gt;"",$J956,"")</f>
        <v/>
      </c>
      <c r="AF956" s="52" t="str">
        <f aca="false">IF($A956&lt;&gt;"",$A956,"")</f>
        <v>Apprenant 944</v>
      </c>
      <c r="AG956" s="53" t="str">
        <f aca="false">IF(AND($W956&lt;&gt;"",$X956&lt;&gt;""),$X956-$W956,"")</f>
        <v/>
      </c>
      <c r="AH956" s="53" t="str">
        <f aca="false">IF(AND($W956&lt;&gt;"",$Y956&lt;&gt;""),$Y956-$W956,"")</f>
        <v/>
      </c>
      <c r="AI956" s="53" t="str">
        <f aca="false">IF(AND($X956&lt;&gt;"",$Y956&lt;&gt;""),$Y956-$X956,"")</f>
        <v/>
      </c>
      <c r="AJ956" s="53" t="str">
        <f aca="false">IF($E956&lt;&gt;"",$E956,"")</f>
        <v/>
      </c>
      <c r="AK956" s="52" t="str">
        <f aca="false">IF($F956&lt;&gt;"",$F956,"")</f>
        <v>Apprenant 944 ou 944'</v>
      </c>
      <c r="AL956" s="53" t="str">
        <f aca="false">IF(AND($AB956&lt;&gt;"",$AC956&lt;&gt;""),$AC956-$AB956,"")</f>
        <v/>
      </c>
      <c r="AM956" s="53" t="str">
        <f aca="false">IF(AND($AB956&lt;&gt;"",$AD956&lt;&gt;""),$AD956-$AB956,"")</f>
        <v/>
      </c>
      <c r="AN956" s="53" t="str">
        <f aca="false">IF(AND($AC956&lt;&gt;"",$AD956&lt;&gt;""),$AD956-$AC956,"")</f>
        <v/>
      </c>
      <c r="AO956" s="53" t="str">
        <f aca="false">IF($J956&lt;&gt;"",$J956,"")</f>
        <v/>
      </c>
      <c r="AQ956" s="52" t="str">
        <f aca="false">IF($A956&lt;&gt;"",$A956,"")</f>
        <v>Apprenant 944</v>
      </c>
      <c r="AR956" s="55" t="str">
        <f aca="false">IF(AND('Choix pédagogiques'!$C$4&lt;&gt;"?",'Choix pédagogiques'!$C$5&lt;&gt;"?",W956&lt;&gt;""),(W956-'Choix pédagogiques'!$C$4)/('Choix pédagogiques'!$C$5-'Choix pédagogiques'!$C$4),"")</f>
        <v/>
      </c>
      <c r="AS956" s="55" t="str">
        <f aca="false">IF(AND('Choix pédagogiques'!$C$4&lt;&gt;"?",'Choix pédagogiques'!$C$5&lt;&gt;"?",X956&lt;&gt;""),(X956-'Choix pédagogiques'!$C$4)/('Choix pédagogiques'!$C$5-'Choix pédagogiques'!$C$4),"")</f>
        <v/>
      </c>
      <c r="AT956" s="55" t="str">
        <f aca="false">IF(AND('Choix pédagogiques'!$C$4&lt;&gt;"?",'Choix pédagogiques'!$C$5&lt;&gt;"?",Y956&lt;&gt;""),(Y956-'Choix pédagogiques'!$C$4)/('Choix pédagogiques'!$C$5-'Choix pédagogiques'!$C$4),"")</f>
        <v/>
      </c>
      <c r="AU956" s="53" t="str">
        <f aca="false">IF($E956&lt;&gt;"",$E956,"")</f>
        <v/>
      </c>
      <c r="AV956" s="52" t="str">
        <f aca="false">IF($F956&lt;&gt;"",$F956,"")</f>
        <v>Apprenant 944 ou 944'</v>
      </c>
      <c r="AW956" s="55" t="str">
        <f aca="false">IF(AND('Choix pédagogiques'!$C$4&lt;&gt;"?",'Choix pédagogiques'!$C$5&lt;&gt;"?",AB956&lt;&gt;""),(AB956-'Choix pédagogiques'!$C$4)/('Choix pédagogiques'!$C$5-'Choix pédagogiques'!$C$4),"")</f>
        <v/>
      </c>
      <c r="AX956" s="55" t="str">
        <f aca="false">IF(AND('Choix pédagogiques'!$C$4&lt;&gt;"?",'Choix pédagogiques'!$C$5&lt;&gt;"?",AC956&lt;&gt;""),(AC956-'Choix pédagogiques'!$C$4)/('Choix pédagogiques'!$C$5-'Choix pédagogiques'!$C$4),"")</f>
        <v/>
      </c>
      <c r="AY956" s="55" t="str">
        <f aca="false">IF(AND('Choix pédagogiques'!$C$4&lt;&gt;"?",'Choix pédagogiques'!$C$5&lt;&gt;"?",AD956&lt;&gt;""),(AD956-'Choix pédagogiques'!$C$4)/('Choix pédagogiques'!$C$5-'Choix pédagogiques'!$C$4),"")</f>
        <v/>
      </c>
      <c r="AZ956" s="53" t="str">
        <f aca="false">IF($J956&lt;&gt;"",$J956,"")</f>
        <v/>
      </c>
      <c r="BA956" s="52" t="str">
        <f aca="false">IF($A956&lt;&gt;"",$A956,"")</f>
        <v>Apprenant 944</v>
      </c>
      <c r="BB956" s="55" t="str">
        <f aca="false">IF(AND($AR956&lt;&gt;"",$AS956&lt;&gt;""),$AS956-$AR956,"")</f>
        <v/>
      </c>
      <c r="BC956" s="55" t="str">
        <f aca="false">IF(AND($AR956&lt;&gt;"",$AT956&lt;&gt;""),$AT956-$AR956,"")</f>
        <v/>
      </c>
      <c r="BD956" s="55" t="str">
        <f aca="false">IF(AND($AS956&lt;&gt;"",$AT956&lt;&gt;""),$AT956-$AS956,"")</f>
        <v/>
      </c>
      <c r="BE956" s="53" t="str">
        <f aca="false">IF($E956&lt;&gt;"",$E956,"")</f>
        <v/>
      </c>
      <c r="BF956" s="52" t="str">
        <f aca="false">IF($F956&lt;&gt;"",$F956,"")</f>
        <v>Apprenant 944 ou 944'</v>
      </c>
      <c r="BG956" s="55" t="str">
        <f aca="false">IF(AND($AW956&lt;&gt;"",$AX956&lt;&gt;""),$AX956-$AW956,"")</f>
        <v/>
      </c>
      <c r="BH956" s="55" t="str">
        <f aca="false">IF(AND($AW956&lt;&gt;"",$AY956&lt;&gt;""),$AY956-$AW956,"")</f>
        <v/>
      </c>
      <c r="BI956" s="55" t="str">
        <f aca="false">IF(AND($AX956&lt;&gt;"",$AY956&lt;&gt;""),$AY956-$AX956,"")</f>
        <v/>
      </c>
      <c r="BJ956" s="53" t="str">
        <f aca="false">IF($J956&lt;&gt;"",$J956,"")</f>
        <v/>
      </c>
      <c r="BL956" s="52"/>
      <c r="BM956" s="52" t="str">
        <f aca="false">IF(OR(COUNT(B956:D1955)=0,AND('Choix pédagogiques'!$C$3&lt;&gt;1,'Choix pédagogiques'!$C$3&lt;&gt;2)),"",IF(AND(OR('Choix pédagogiques'!$C$3=1,'Choix pédagogiques'!$C$3=2),$B956&lt;&gt;"",$C956&lt;&gt;"",$D956&lt;&gt;""),1,0))</f>
        <v/>
      </c>
      <c r="BN956" s="52" t="str">
        <f aca="false">IF(OR(COUNT(G956:I1955)=0,AND('Choix pédagogiques'!$C$3&lt;&gt;1,'Choix pédagogiques'!$C$3&lt;&gt;2)),"",IF(AND(OR('Choix pédagogiques'!$C$3=1,'Choix pédagogiques'!$C$3=2),AND($G956&lt;&gt;"",$H956&lt;&gt;"",$I956&lt;&gt;"")),1,0))</f>
        <v/>
      </c>
      <c r="BO956" s="52" t="str">
        <f aca="false">IF(OR(COUNT(B956:D1955)=0,COUNT(G956:I1955)=0,'Choix pédagogiques'!C$3&lt;&gt;3),"",IF(AND('Choix pédagogiques'!$C$3=3,$B956&lt;&gt;"",$C956&lt;&gt;"",$D956&lt;&gt;"",$G956&lt;&gt;"",$H956&lt;&gt;"",$I956&lt;&gt;""),1,0))</f>
        <v/>
      </c>
      <c r="BR956" s="52" t="n">
        <v>853</v>
      </c>
      <c r="BS956" s="52" t="n">
        <v>1941</v>
      </c>
    </row>
    <row r="957" s="54" customFormat="true" ht="18" hidden="false" customHeight="true" outlineLevel="0" collapsed="false">
      <c r="A957" s="57" t="s">
        <v>1845</v>
      </c>
      <c r="B957" s="51"/>
      <c r="C957" s="51"/>
      <c r="D957" s="51"/>
      <c r="E957" s="51"/>
      <c r="F957" s="57" t="s">
        <v>1846</v>
      </c>
      <c r="G957" s="51"/>
      <c r="H957" s="51"/>
      <c r="I957" s="51"/>
      <c r="J957" s="51"/>
      <c r="K957" s="52" t="str">
        <f aca="false">IF($A957&lt;&gt;"",$A957,"")</f>
        <v>Apprenant 945</v>
      </c>
      <c r="L957" s="53" t="str">
        <f aca="false">IF(AND($B957&lt;&gt;"",$C957&lt;&gt;""),$C957-$B957,"")</f>
        <v/>
      </c>
      <c r="M957" s="53" t="str">
        <f aca="false">IF(AND($B957&lt;&gt;"",$D957&lt;&gt;""),$D957-$B957,"")</f>
        <v/>
      </c>
      <c r="N957" s="53" t="str">
        <f aca="false">IF(AND($C957&lt;&gt;"",$D957&lt;&gt;""),$D957-$C957,"")</f>
        <v/>
      </c>
      <c r="O957" s="53" t="str">
        <f aca="false">IF($E957&lt;&gt;"",$E957,"")</f>
        <v/>
      </c>
      <c r="P957" s="52" t="str">
        <f aca="false">IF($F957&lt;&gt;"",$F957,"")</f>
        <v>Apprenant 945 ou 945'</v>
      </c>
      <c r="Q957" s="53" t="str">
        <f aca="false">IF(AND($G957&lt;&gt;"",$H957&lt;&gt;""),$H957-$G957,"")</f>
        <v/>
      </c>
      <c r="R957" s="53" t="str">
        <f aca="false">IF(AND($G957&lt;&gt;"",$I957&lt;&gt;""),$I957-$G957,"")</f>
        <v/>
      </c>
      <c r="S957" s="53" t="str">
        <f aca="false">IF(AND($H957&lt;&gt;"",$I957&lt;&gt;""),$I957-$H957,"")</f>
        <v/>
      </c>
      <c r="T957" s="53" t="str">
        <f aca="false">IF($J957&lt;&gt;"",$J957,"")</f>
        <v/>
      </c>
      <c r="V957" s="52" t="str">
        <f aca="false">IF($A957&lt;&gt;"",$A957,"")</f>
        <v>Apprenant 945</v>
      </c>
      <c r="W957" s="53" t="str">
        <f aca="false">IF(AND(OR('Choix pédagogiques'!$C$3=1,'Choix pédagogiques'!$C$3=2),$BM957=1),B957,IF(AND('Choix pédagogiques'!$C$3=3,$BO957=1),B957,""))</f>
        <v/>
      </c>
      <c r="X957" s="53" t="str">
        <f aca="false">IF(AND(OR('Choix pédagogiques'!$C$3=1,'Choix pédagogiques'!$C$3=2),$BM957=1),C957,IF(AND('Choix pédagogiques'!$C$3=3,$BO957=1),C957,""))</f>
        <v/>
      </c>
      <c r="Y957" s="53" t="str">
        <f aca="false">IF(AND(OR('Choix pédagogiques'!$C$3=1,'Choix pédagogiques'!$C$3=2),$BM957=1),D957,IF(AND('Choix pédagogiques'!$C$3=3,$BO957=1),D957,""))</f>
        <v/>
      </c>
      <c r="Z957" s="53" t="str">
        <f aca="false">IF($E957&lt;&gt;"",$E957,"")</f>
        <v/>
      </c>
      <c r="AA957" s="52" t="str">
        <f aca="false">IF($F957&lt;&gt;"",$F957,"")</f>
        <v>Apprenant 945 ou 945'</v>
      </c>
      <c r="AB957" s="53" t="str">
        <f aca="false">IF(AND(OR('Choix pédagogiques'!$C$3=1,'Choix pédagogiques'!$C$3=2),$BN957=1),G957,IF(AND('Choix pédagogiques'!$C$3=3,$BO957=1),G957,""))</f>
        <v/>
      </c>
      <c r="AC957" s="53" t="str">
        <f aca="false">IF(AND(OR('Choix pédagogiques'!$C$3=1,'Choix pédagogiques'!$C$3=2),$BN957=1),H957,IF(AND('Choix pédagogiques'!$C$3=3,$BO957=1),H957,""))</f>
        <v/>
      </c>
      <c r="AD957" s="53" t="str">
        <f aca="false">IF(AND(OR('Choix pédagogiques'!$C$3=1,'Choix pédagogiques'!$C$3=2),$BN957=1),I957,IF(AND('Choix pédagogiques'!$C$3=3,$BO957=1),I957,""))</f>
        <v/>
      </c>
      <c r="AE957" s="53" t="str">
        <f aca="false">IF($J957&lt;&gt;"",$J957,"")</f>
        <v/>
      </c>
      <c r="AF957" s="52" t="str">
        <f aca="false">IF($A957&lt;&gt;"",$A957,"")</f>
        <v>Apprenant 945</v>
      </c>
      <c r="AG957" s="53" t="str">
        <f aca="false">IF(AND($W957&lt;&gt;"",$X957&lt;&gt;""),$X957-$W957,"")</f>
        <v/>
      </c>
      <c r="AH957" s="53" t="str">
        <f aca="false">IF(AND($W957&lt;&gt;"",$Y957&lt;&gt;""),$Y957-$W957,"")</f>
        <v/>
      </c>
      <c r="AI957" s="53" t="str">
        <f aca="false">IF(AND($X957&lt;&gt;"",$Y957&lt;&gt;""),$Y957-$X957,"")</f>
        <v/>
      </c>
      <c r="AJ957" s="53" t="str">
        <f aca="false">IF($E957&lt;&gt;"",$E957,"")</f>
        <v/>
      </c>
      <c r="AK957" s="52" t="str">
        <f aca="false">IF($F957&lt;&gt;"",$F957,"")</f>
        <v>Apprenant 945 ou 945'</v>
      </c>
      <c r="AL957" s="53" t="str">
        <f aca="false">IF(AND($AB957&lt;&gt;"",$AC957&lt;&gt;""),$AC957-$AB957,"")</f>
        <v/>
      </c>
      <c r="AM957" s="53" t="str">
        <f aca="false">IF(AND($AB957&lt;&gt;"",$AD957&lt;&gt;""),$AD957-$AB957,"")</f>
        <v/>
      </c>
      <c r="AN957" s="53" t="str">
        <f aca="false">IF(AND($AC957&lt;&gt;"",$AD957&lt;&gt;""),$AD957-$AC957,"")</f>
        <v/>
      </c>
      <c r="AO957" s="53" t="str">
        <f aca="false">IF($J957&lt;&gt;"",$J957,"")</f>
        <v/>
      </c>
      <c r="AQ957" s="52" t="str">
        <f aca="false">IF($A957&lt;&gt;"",$A957,"")</f>
        <v>Apprenant 945</v>
      </c>
      <c r="AR957" s="55" t="str">
        <f aca="false">IF(AND('Choix pédagogiques'!$C$4&lt;&gt;"?",'Choix pédagogiques'!$C$5&lt;&gt;"?",W957&lt;&gt;""),(W957-'Choix pédagogiques'!$C$4)/('Choix pédagogiques'!$C$5-'Choix pédagogiques'!$C$4),"")</f>
        <v/>
      </c>
      <c r="AS957" s="55" t="str">
        <f aca="false">IF(AND('Choix pédagogiques'!$C$4&lt;&gt;"?",'Choix pédagogiques'!$C$5&lt;&gt;"?",X957&lt;&gt;""),(X957-'Choix pédagogiques'!$C$4)/('Choix pédagogiques'!$C$5-'Choix pédagogiques'!$C$4),"")</f>
        <v/>
      </c>
      <c r="AT957" s="55" t="str">
        <f aca="false">IF(AND('Choix pédagogiques'!$C$4&lt;&gt;"?",'Choix pédagogiques'!$C$5&lt;&gt;"?",Y957&lt;&gt;""),(Y957-'Choix pédagogiques'!$C$4)/('Choix pédagogiques'!$C$5-'Choix pédagogiques'!$C$4),"")</f>
        <v/>
      </c>
      <c r="AU957" s="53" t="str">
        <f aca="false">IF($E957&lt;&gt;"",$E957,"")</f>
        <v/>
      </c>
      <c r="AV957" s="52" t="str">
        <f aca="false">IF($F957&lt;&gt;"",$F957,"")</f>
        <v>Apprenant 945 ou 945'</v>
      </c>
      <c r="AW957" s="55" t="str">
        <f aca="false">IF(AND('Choix pédagogiques'!$C$4&lt;&gt;"?",'Choix pédagogiques'!$C$5&lt;&gt;"?",AB957&lt;&gt;""),(AB957-'Choix pédagogiques'!$C$4)/('Choix pédagogiques'!$C$5-'Choix pédagogiques'!$C$4),"")</f>
        <v/>
      </c>
      <c r="AX957" s="55" t="str">
        <f aca="false">IF(AND('Choix pédagogiques'!$C$4&lt;&gt;"?",'Choix pédagogiques'!$C$5&lt;&gt;"?",AC957&lt;&gt;""),(AC957-'Choix pédagogiques'!$C$4)/('Choix pédagogiques'!$C$5-'Choix pédagogiques'!$C$4),"")</f>
        <v/>
      </c>
      <c r="AY957" s="55" t="str">
        <f aca="false">IF(AND('Choix pédagogiques'!$C$4&lt;&gt;"?",'Choix pédagogiques'!$C$5&lt;&gt;"?",AD957&lt;&gt;""),(AD957-'Choix pédagogiques'!$C$4)/('Choix pédagogiques'!$C$5-'Choix pédagogiques'!$C$4),"")</f>
        <v/>
      </c>
      <c r="AZ957" s="53" t="str">
        <f aca="false">IF($J957&lt;&gt;"",$J957,"")</f>
        <v/>
      </c>
      <c r="BA957" s="52" t="str">
        <f aca="false">IF($A957&lt;&gt;"",$A957,"")</f>
        <v>Apprenant 945</v>
      </c>
      <c r="BB957" s="55" t="str">
        <f aca="false">IF(AND($AR957&lt;&gt;"",$AS957&lt;&gt;""),$AS957-$AR957,"")</f>
        <v/>
      </c>
      <c r="BC957" s="55" t="str">
        <f aca="false">IF(AND($AR957&lt;&gt;"",$AT957&lt;&gt;""),$AT957-$AR957,"")</f>
        <v/>
      </c>
      <c r="BD957" s="55" t="str">
        <f aca="false">IF(AND($AS957&lt;&gt;"",$AT957&lt;&gt;""),$AT957-$AS957,"")</f>
        <v/>
      </c>
      <c r="BE957" s="53" t="str">
        <f aca="false">IF($E957&lt;&gt;"",$E957,"")</f>
        <v/>
      </c>
      <c r="BF957" s="52" t="str">
        <f aca="false">IF($F957&lt;&gt;"",$F957,"")</f>
        <v>Apprenant 945 ou 945'</v>
      </c>
      <c r="BG957" s="55" t="str">
        <f aca="false">IF(AND($AW957&lt;&gt;"",$AX957&lt;&gt;""),$AX957-$AW957,"")</f>
        <v/>
      </c>
      <c r="BH957" s="55" t="str">
        <f aca="false">IF(AND($AW957&lt;&gt;"",$AY957&lt;&gt;""),$AY957-$AW957,"")</f>
        <v/>
      </c>
      <c r="BI957" s="55" t="str">
        <f aca="false">IF(AND($AX957&lt;&gt;"",$AY957&lt;&gt;""),$AY957-$AX957,"")</f>
        <v/>
      </c>
      <c r="BJ957" s="53" t="str">
        <f aca="false">IF($J957&lt;&gt;"",$J957,"")</f>
        <v/>
      </c>
      <c r="BL957" s="52"/>
      <c r="BM957" s="52" t="str">
        <f aca="false">IF(OR(COUNT(B957:D1956)=0,AND('Choix pédagogiques'!$C$3&lt;&gt;1,'Choix pédagogiques'!$C$3&lt;&gt;2)),"",IF(AND(OR('Choix pédagogiques'!$C$3=1,'Choix pédagogiques'!$C$3=2),$B957&lt;&gt;"",$C957&lt;&gt;"",$D957&lt;&gt;""),1,0))</f>
        <v/>
      </c>
      <c r="BN957" s="52" t="str">
        <f aca="false">IF(OR(COUNT(G957:I1956)=0,AND('Choix pédagogiques'!$C$3&lt;&gt;1,'Choix pédagogiques'!$C$3&lt;&gt;2)),"",IF(AND(OR('Choix pédagogiques'!$C$3=1,'Choix pédagogiques'!$C$3=2),AND($G957&lt;&gt;"",$H957&lt;&gt;"",$I957&lt;&gt;"")),1,0))</f>
        <v/>
      </c>
      <c r="BO957" s="52" t="str">
        <f aca="false">IF(OR(COUNT(B957:D1956)=0,COUNT(G957:I1956)=0,'Choix pédagogiques'!C$3&lt;&gt;3),"",IF(AND('Choix pédagogiques'!$C$3=3,$B957&lt;&gt;"",$C957&lt;&gt;"",$D957&lt;&gt;"",$G957&lt;&gt;"",$H957&lt;&gt;"",$I957&lt;&gt;""),1,0))</f>
        <v/>
      </c>
      <c r="BR957" s="52" t="n">
        <v>141</v>
      </c>
      <c r="BS957" s="52" t="n">
        <v>1099</v>
      </c>
    </row>
    <row r="958" s="54" customFormat="true" ht="18" hidden="false" customHeight="true" outlineLevel="0" collapsed="false">
      <c r="A958" s="57" t="s">
        <v>1847</v>
      </c>
      <c r="B958" s="51"/>
      <c r="C958" s="51"/>
      <c r="D958" s="51"/>
      <c r="E958" s="51"/>
      <c r="F958" s="57" t="s">
        <v>1848</v>
      </c>
      <c r="G958" s="51"/>
      <c r="H958" s="51"/>
      <c r="I958" s="51"/>
      <c r="J958" s="51"/>
      <c r="K958" s="52" t="str">
        <f aca="false">IF($A958&lt;&gt;"",$A958,"")</f>
        <v>Apprenant 946</v>
      </c>
      <c r="L958" s="53" t="str">
        <f aca="false">IF(AND($B958&lt;&gt;"",$C958&lt;&gt;""),$C958-$B958,"")</f>
        <v/>
      </c>
      <c r="M958" s="53" t="str">
        <f aca="false">IF(AND($B958&lt;&gt;"",$D958&lt;&gt;""),$D958-$B958,"")</f>
        <v/>
      </c>
      <c r="N958" s="53" t="str">
        <f aca="false">IF(AND($C958&lt;&gt;"",$D958&lt;&gt;""),$D958-$C958,"")</f>
        <v/>
      </c>
      <c r="O958" s="53" t="str">
        <f aca="false">IF($E958&lt;&gt;"",$E958,"")</f>
        <v/>
      </c>
      <c r="P958" s="52" t="str">
        <f aca="false">IF($F958&lt;&gt;"",$F958,"")</f>
        <v>Apprenant 946 ou 946'</v>
      </c>
      <c r="Q958" s="53" t="str">
        <f aca="false">IF(AND($G958&lt;&gt;"",$H958&lt;&gt;""),$H958-$G958,"")</f>
        <v/>
      </c>
      <c r="R958" s="53" t="str">
        <f aca="false">IF(AND($G958&lt;&gt;"",$I958&lt;&gt;""),$I958-$G958,"")</f>
        <v/>
      </c>
      <c r="S958" s="53" t="str">
        <f aca="false">IF(AND($H958&lt;&gt;"",$I958&lt;&gt;""),$I958-$H958,"")</f>
        <v/>
      </c>
      <c r="T958" s="53" t="str">
        <f aca="false">IF($J958&lt;&gt;"",$J958,"")</f>
        <v/>
      </c>
      <c r="V958" s="52" t="str">
        <f aca="false">IF($A958&lt;&gt;"",$A958,"")</f>
        <v>Apprenant 946</v>
      </c>
      <c r="W958" s="53" t="str">
        <f aca="false">IF(AND(OR('Choix pédagogiques'!$C$3=1,'Choix pédagogiques'!$C$3=2),$BM958=1),B958,IF(AND('Choix pédagogiques'!$C$3=3,$BO958=1),B958,""))</f>
        <v/>
      </c>
      <c r="X958" s="53" t="str">
        <f aca="false">IF(AND(OR('Choix pédagogiques'!$C$3=1,'Choix pédagogiques'!$C$3=2),$BM958=1),C958,IF(AND('Choix pédagogiques'!$C$3=3,$BO958=1),C958,""))</f>
        <v/>
      </c>
      <c r="Y958" s="53" t="str">
        <f aca="false">IF(AND(OR('Choix pédagogiques'!$C$3=1,'Choix pédagogiques'!$C$3=2),$BM958=1),D958,IF(AND('Choix pédagogiques'!$C$3=3,$BO958=1),D958,""))</f>
        <v/>
      </c>
      <c r="Z958" s="53" t="str">
        <f aca="false">IF($E958&lt;&gt;"",$E958,"")</f>
        <v/>
      </c>
      <c r="AA958" s="52" t="str">
        <f aca="false">IF($F958&lt;&gt;"",$F958,"")</f>
        <v>Apprenant 946 ou 946'</v>
      </c>
      <c r="AB958" s="53" t="str">
        <f aca="false">IF(AND(OR('Choix pédagogiques'!$C$3=1,'Choix pédagogiques'!$C$3=2),$BN958=1),G958,IF(AND('Choix pédagogiques'!$C$3=3,$BO958=1),G958,""))</f>
        <v/>
      </c>
      <c r="AC958" s="53" t="str">
        <f aca="false">IF(AND(OR('Choix pédagogiques'!$C$3=1,'Choix pédagogiques'!$C$3=2),$BN958=1),H958,IF(AND('Choix pédagogiques'!$C$3=3,$BO958=1),H958,""))</f>
        <v/>
      </c>
      <c r="AD958" s="53" t="str">
        <f aca="false">IF(AND(OR('Choix pédagogiques'!$C$3=1,'Choix pédagogiques'!$C$3=2),$BN958=1),I958,IF(AND('Choix pédagogiques'!$C$3=3,$BO958=1),I958,""))</f>
        <v/>
      </c>
      <c r="AE958" s="53" t="str">
        <f aca="false">IF($J958&lt;&gt;"",$J958,"")</f>
        <v/>
      </c>
      <c r="AF958" s="52" t="str">
        <f aca="false">IF($A958&lt;&gt;"",$A958,"")</f>
        <v>Apprenant 946</v>
      </c>
      <c r="AG958" s="53" t="str">
        <f aca="false">IF(AND($W958&lt;&gt;"",$X958&lt;&gt;""),$X958-$W958,"")</f>
        <v/>
      </c>
      <c r="AH958" s="53" t="str">
        <f aca="false">IF(AND($W958&lt;&gt;"",$Y958&lt;&gt;""),$Y958-$W958,"")</f>
        <v/>
      </c>
      <c r="AI958" s="53" t="str">
        <f aca="false">IF(AND($X958&lt;&gt;"",$Y958&lt;&gt;""),$Y958-$X958,"")</f>
        <v/>
      </c>
      <c r="AJ958" s="53" t="str">
        <f aca="false">IF($E958&lt;&gt;"",$E958,"")</f>
        <v/>
      </c>
      <c r="AK958" s="52" t="str">
        <f aca="false">IF($F958&lt;&gt;"",$F958,"")</f>
        <v>Apprenant 946 ou 946'</v>
      </c>
      <c r="AL958" s="53" t="str">
        <f aca="false">IF(AND($AB958&lt;&gt;"",$AC958&lt;&gt;""),$AC958-$AB958,"")</f>
        <v/>
      </c>
      <c r="AM958" s="53" t="str">
        <f aca="false">IF(AND($AB958&lt;&gt;"",$AD958&lt;&gt;""),$AD958-$AB958,"")</f>
        <v/>
      </c>
      <c r="AN958" s="53" t="str">
        <f aca="false">IF(AND($AC958&lt;&gt;"",$AD958&lt;&gt;""),$AD958-$AC958,"")</f>
        <v/>
      </c>
      <c r="AO958" s="53" t="str">
        <f aca="false">IF($J958&lt;&gt;"",$J958,"")</f>
        <v/>
      </c>
      <c r="AQ958" s="52" t="str">
        <f aca="false">IF($A958&lt;&gt;"",$A958,"")</f>
        <v>Apprenant 946</v>
      </c>
      <c r="AR958" s="55" t="str">
        <f aca="false">IF(AND('Choix pédagogiques'!$C$4&lt;&gt;"?",'Choix pédagogiques'!$C$5&lt;&gt;"?",W958&lt;&gt;""),(W958-'Choix pédagogiques'!$C$4)/('Choix pédagogiques'!$C$5-'Choix pédagogiques'!$C$4),"")</f>
        <v/>
      </c>
      <c r="AS958" s="55" t="str">
        <f aca="false">IF(AND('Choix pédagogiques'!$C$4&lt;&gt;"?",'Choix pédagogiques'!$C$5&lt;&gt;"?",X958&lt;&gt;""),(X958-'Choix pédagogiques'!$C$4)/('Choix pédagogiques'!$C$5-'Choix pédagogiques'!$C$4),"")</f>
        <v/>
      </c>
      <c r="AT958" s="55" t="str">
        <f aca="false">IF(AND('Choix pédagogiques'!$C$4&lt;&gt;"?",'Choix pédagogiques'!$C$5&lt;&gt;"?",Y958&lt;&gt;""),(Y958-'Choix pédagogiques'!$C$4)/('Choix pédagogiques'!$C$5-'Choix pédagogiques'!$C$4),"")</f>
        <v/>
      </c>
      <c r="AU958" s="53" t="str">
        <f aca="false">IF($E958&lt;&gt;"",$E958,"")</f>
        <v/>
      </c>
      <c r="AV958" s="52" t="str">
        <f aca="false">IF($F958&lt;&gt;"",$F958,"")</f>
        <v>Apprenant 946 ou 946'</v>
      </c>
      <c r="AW958" s="55" t="str">
        <f aca="false">IF(AND('Choix pédagogiques'!$C$4&lt;&gt;"?",'Choix pédagogiques'!$C$5&lt;&gt;"?",AB958&lt;&gt;""),(AB958-'Choix pédagogiques'!$C$4)/('Choix pédagogiques'!$C$5-'Choix pédagogiques'!$C$4),"")</f>
        <v/>
      </c>
      <c r="AX958" s="55" t="str">
        <f aca="false">IF(AND('Choix pédagogiques'!$C$4&lt;&gt;"?",'Choix pédagogiques'!$C$5&lt;&gt;"?",AC958&lt;&gt;""),(AC958-'Choix pédagogiques'!$C$4)/('Choix pédagogiques'!$C$5-'Choix pédagogiques'!$C$4),"")</f>
        <v/>
      </c>
      <c r="AY958" s="55" t="str">
        <f aca="false">IF(AND('Choix pédagogiques'!$C$4&lt;&gt;"?",'Choix pédagogiques'!$C$5&lt;&gt;"?",AD958&lt;&gt;""),(AD958-'Choix pédagogiques'!$C$4)/('Choix pédagogiques'!$C$5-'Choix pédagogiques'!$C$4),"")</f>
        <v/>
      </c>
      <c r="AZ958" s="53" t="str">
        <f aca="false">IF($J958&lt;&gt;"",$J958,"")</f>
        <v/>
      </c>
      <c r="BA958" s="52" t="str">
        <f aca="false">IF($A958&lt;&gt;"",$A958,"")</f>
        <v>Apprenant 946</v>
      </c>
      <c r="BB958" s="55" t="str">
        <f aca="false">IF(AND($AR958&lt;&gt;"",$AS958&lt;&gt;""),$AS958-$AR958,"")</f>
        <v/>
      </c>
      <c r="BC958" s="55" t="str">
        <f aca="false">IF(AND($AR958&lt;&gt;"",$AT958&lt;&gt;""),$AT958-$AR958,"")</f>
        <v/>
      </c>
      <c r="BD958" s="55" t="str">
        <f aca="false">IF(AND($AS958&lt;&gt;"",$AT958&lt;&gt;""),$AT958-$AS958,"")</f>
        <v/>
      </c>
      <c r="BE958" s="53" t="str">
        <f aca="false">IF($E958&lt;&gt;"",$E958,"")</f>
        <v/>
      </c>
      <c r="BF958" s="52" t="str">
        <f aca="false">IF($F958&lt;&gt;"",$F958,"")</f>
        <v>Apprenant 946 ou 946'</v>
      </c>
      <c r="BG958" s="55" t="str">
        <f aca="false">IF(AND($AW958&lt;&gt;"",$AX958&lt;&gt;""),$AX958-$AW958,"")</f>
        <v/>
      </c>
      <c r="BH958" s="55" t="str">
        <f aca="false">IF(AND($AW958&lt;&gt;"",$AY958&lt;&gt;""),$AY958-$AW958,"")</f>
        <v/>
      </c>
      <c r="BI958" s="55" t="str">
        <f aca="false">IF(AND($AX958&lt;&gt;"",$AY958&lt;&gt;""),$AY958-$AX958,"")</f>
        <v/>
      </c>
      <c r="BJ958" s="53" t="str">
        <f aca="false">IF($J958&lt;&gt;"",$J958,"")</f>
        <v/>
      </c>
      <c r="BL958" s="52"/>
      <c r="BM958" s="52" t="str">
        <f aca="false">IF(OR(COUNT(B958:D1957)=0,AND('Choix pédagogiques'!$C$3&lt;&gt;1,'Choix pédagogiques'!$C$3&lt;&gt;2)),"",IF(AND(OR('Choix pédagogiques'!$C$3=1,'Choix pédagogiques'!$C$3=2),$B958&lt;&gt;"",$C958&lt;&gt;"",$D958&lt;&gt;""),1,0))</f>
        <v/>
      </c>
      <c r="BN958" s="52" t="str">
        <f aca="false">IF(OR(COUNT(G958:I1957)=0,AND('Choix pédagogiques'!$C$3&lt;&gt;1,'Choix pédagogiques'!$C$3&lt;&gt;2)),"",IF(AND(OR('Choix pédagogiques'!$C$3=1,'Choix pédagogiques'!$C$3=2),AND($G958&lt;&gt;"",$H958&lt;&gt;"",$I958&lt;&gt;"")),1,0))</f>
        <v/>
      </c>
      <c r="BO958" s="52" t="str">
        <f aca="false">IF(OR(COUNT(B958:D1957)=0,COUNT(G958:I1957)=0,'Choix pédagogiques'!C$3&lt;&gt;3),"",IF(AND('Choix pédagogiques'!$C$3=3,$B958&lt;&gt;"",$C958&lt;&gt;"",$D958&lt;&gt;"",$G958&lt;&gt;"",$H958&lt;&gt;"",$I958&lt;&gt;""),1,0))</f>
        <v/>
      </c>
      <c r="BR958" s="52" t="n">
        <v>962</v>
      </c>
      <c r="BS958" s="52" t="n">
        <v>1526</v>
      </c>
    </row>
    <row r="959" s="54" customFormat="true" ht="18" hidden="false" customHeight="true" outlineLevel="0" collapsed="false">
      <c r="A959" s="57" t="s">
        <v>1849</v>
      </c>
      <c r="B959" s="51"/>
      <c r="C959" s="51"/>
      <c r="D959" s="51"/>
      <c r="E959" s="51"/>
      <c r="F959" s="57" t="s">
        <v>1850</v>
      </c>
      <c r="G959" s="51"/>
      <c r="H959" s="51"/>
      <c r="I959" s="51"/>
      <c r="J959" s="51"/>
      <c r="K959" s="52" t="str">
        <f aca="false">IF($A959&lt;&gt;"",$A959,"")</f>
        <v>Apprenant 947</v>
      </c>
      <c r="L959" s="53" t="str">
        <f aca="false">IF(AND($B959&lt;&gt;"",$C959&lt;&gt;""),$C959-$B959,"")</f>
        <v/>
      </c>
      <c r="M959" s="53" t="str">
        <f aca="false">IF(AND($B959&lt;&gt;"",$D959&lt;&gt;""),$D959-$B959,"")</f>
        <v/>
      </c>
      <c r="N959" s="53" t="str">
        <f aca="false">IF(AND($C959&lt;&gt;"",$D959&lt;&gt;""),$D959-$C959,"")</f>
        <v/>
      </c>
      <c r="O959" s="53" t="str">
        <f aca="false">IF($E959&lt;&gt;"",$E959,"")</f>
        <v/>
      </c>
      <c r="P959" s="52" t="str">
        <f aca="false">IF($F959&lt;&gt;"",$F959,"")</f>
        <v>Apprenant 947 ou 947'</v>
      </c>
      <c r="Q959" s="53" t="str">
        <f aca="false">IF(AND($G959&lt;&gt;"",$H959&lt;&gt;""),$H959-$G959,"")</f>
        <v/>
      </c>
      <c r="R959" s="53" t="str">
        <f aca="false">IF(AND($G959&lt;&gt;"",$I959&lt;&gt;""),$I959-$G959,"")</f>
        <v/>
      </c>
      <c r="S959" s="53" t="str">
        <f aca="false">IF(AND($H959&lt;&gt;"",$I959&lt;&gt;""),$I959-$H959,"")</f>
        <v/>
      </c>
      <c r="T959" s="53" t="str">
        <f aca="false">IF($J959&lt;&gt;"",$J959,"")</f>
        <v/>
      </c>
      <c r="V959" s="52" t="str">
        <f aca="false">IF($A959&lt;&gt;"",$A959,"")</f>
        <v>Apprenant 947</v>
      </c>
      <c r="W959" s="53" t="str">
        <f aca="false">IF(AND(OR('Choix pédagogiques'!$C$3=1,'Choix pédagogiques'!$C$3=2),$BM959=1),B959,IF(AND('Choix pédagogiques'!$C$3=3,$BO959=1),B959,""))</f>
        <v/>
      </c>
      <c r="X959" s="53" t="str">
        <f aca="false">IF(AND(OR('Choix pédagogiques'!$C$3=1,'Choix pédagogiques'!$C$3=2),$BM959=1),C959,IF(AND('Choix pédagogiques'!$C$3=3,$BO959=1),C959,""))</f>
        <v/>
      </c>
      <c r="Y959" s="53" t="str">
        <f aca="false">IF(AND(OR('Choix pédagogiques'!$C$3=1,'Choix pédagogiques'!$C$3=2),$BM959=1),D959,IF(AND('Choix pédagogiques'!$C$3=3,$BO959=1),D959,""))</f>
        <v/>
      </c>
      <c r="Z959" s="53" t="str">
        <f aca="false">IF($E959&lt;&gt;"",$E959,"")</f>
        <v/>
      </c>
      <c r="AA959" s="52" t="str">
        <f aca="false">IF($F959&lt;&gt;"",$F959,"")</f>
        <v>Apprenant 947 ou 947'</v>
      </c>
      <c r="AB959" s="53" t="str">
        <f aca="false">IF(AND(OR('Choix pédagogiques'!$C$3=1,'Choix pédagogiques'!$C$3=2),$BN959=1),G959,IF(AND('Choix pédagogiques'!$C$3=3,$BO959=1),G959,""))</f>
        <v/>
      </c>
      <c r="AC959" s="53" t="str">
        <f aca="false">IF(AND(OR('Choix pédagogiques'!$C$3=1,'Choix pédagogiques'!$C$3=2),$BN959=1),H959,IF(AND('Choix pédagogiques'!$C$3=3,$BO959=1),H959,""))</f>
        <v/>
      </c>
      <c r="AD959" s="53" t="str">
        <f aca="false">IF(AND(OR('Choix pédagogiques'!$C$3=1,'Choix pédagogiques'!$C$3=2),$BN959=1),I959,IF(AND('Choix pédagogiques'!$C$3=3,$BO959=1),I959,""))</f>
        <v/>
      </c>
      <c r="AE959" s="53" t="str">
        <f aca="false">IF($J959&lt;&gt;"",$J959,"")</f>
        <v/>
      </c>
      <c r="AF959" s="52" t="str">
        <f aca="false">IF($A959&lt;&gt;"",$A959,"")</f>
        <v>Apprenant 947</v>
      </c>
      <c r="AG959" s="53" t="str">
        <f aca="false">IF(AND($W959&lt;&gt;"",$X959&lt;&gt;""),$X959-$W959,"")</f>
        <v/>
      </c>
      <c r="AH959" s="53" t="str">
        <f aca="false">IF(AND($W959&lt;&gt;"",$Y959&lt;&gt;""),$Y959-$W959,"")</f>
        <v/>
      </c>
      <c r="AI959" s="53" t="str">
        <f aca="false">IF(AND($X959&lt;&gt;"",$Y959&lt;&gt;""),$Y959-$X959,"")</f>
        <v/>
      </c>
      <c r="AJ959" s="53" t="str">
        <f aca="false">IF($E959&lt;&gt;"",$E959,"")</f>
        <v/>
      </c>
      <c r="AK959" s="52" t="str">
        <f aca="false">IF($F959&lt;&gt;"",$F959,"")</f>
        <v>Apprenant 947 ou 947'</v>
      </c>
      <c r="AL959" s="53" t="str">
        <f aca="false">IF(AND($AB959&lt;&gt;"",$AC959&lt;&gt;""),$AC959-$AB959,"")</f>
        <v/>
      </c>
      <c r="AM959" s="53" t="str">
        <f aca="false">IF(AND($AB959&lt;&gt;"",$AD959&lt;&gt;""),$AD959-$AB959,"")</f>
        <v/>
      </c>
      <c r="AN959" s="53" t="str">
        <f aca="false">IF(AND($AC959&lt;&gt;"",$AD959&lt;&gt;""),$AD959-$AC959,"")</f>
        <v/>
      </c>
      <c r="AO959" s="53" t="str">
        <f aca="false">IF($J959&lt;&gt;"",$J959,"")</f>
        <v/>
      </c>
      <c r="AQ959" s="52" t="str">
        <f aca="false">IF($A959&lt;&gt;"",$A959,"")</f>
        <v>Apprenant 947</v>
      </c>
      <c r="AR959" s="55" t="str">
        <f aca="false">IF(AND('Choix pédagogiques'!$C$4&lt;&gt;"?",'Choix pédagogiques'!$C$5&lt;&gt;"?",W959&lt;&gt;""),(W959-'Choix pédagogiques'!$C$4)/('Choix pédagogiques'!$C$5-'Choix pédagogiques'!$C$4),"")</f>
        <v/>
      </c>
      <c r="AS959" s="55" t="str">
        <f aca="false">IF(AND('Choix pédagogiques'!$C$4&lt;&gt;"?",'Choix pédagogiques'!$C$5&lt;&gt;"?",X959&lt;&gt;""),(X959-'Choix pédagogiques'!$C$4)/('Choix pédagogiques'!$C$5-'Choix pédagogiques'!$C$4),"")</f>
        <v/>
      </c>
      <c r="AT959" s="55" t="str">
        <f aca="false">IF(AND('Choix pédagogiques'!$C$4&lt;&gt;"?",'Choix pédagogiques'!$C$5&lt;&gt;"?",Y959&lt;&gt;""),(Y959-'Choix pédagogiques'!$C$4)/('Choix pédagogiques'!$C$5-'Choix pédagogiques'!$C$4),"")</f>
        <v/>
      </c>
      <c r="AU959" s="53" t="str">
        <f aca="false">IF($E959&lt;&gt;"",$E959,"")</f>
        <v/>
      </c>
      <c r="AV959" s="52" t="str">
        <f aca="false">IF($F959&lt;&gt;"",$F959,"")</f>
        <v>Apprenant 947 ou 947'</v>
      </c>
      <c r="AW959" s="55" t="str">
        <f aca="false">IF(AND('Choix pédagogiques'!$C$4&lt;&gt;"?",'Choix pédagogiques'!$C$5&lt;&gt;"?",AB959&lt;&gt;""),(AB959-'Choix pédagogiques'!$C$4)/('Choix pédagogiques'!$C$5-'Choix pédagogiques'!$C$4),"")</f>
        <v/>
      </c>
      <c r="AX959" s="55" t="str">
        <f aca="false">IF(AND('Choix pédagogiques'!$C$4&lt;&gt;"?",'Choix pédagogiques'!$C$5&lt;&gt;"?",AC959&lt;&gt;""),(AC959-'Choix pédagogiques'!$C$4)/('Choix pédagogiques'!$C$5-'Choix pédagogiques'!$C$4),"")</f>
        <v/>
      </c>
      <c r="AY959" s="55" t="str">
        <f aca="false">IF(AND('Choix pédagogiques'!$C$4&lt;&gt;"?",'Choix pédagogiques'!$C$5&lt;&gt;"?",AD959&lt;&gt;""),(AD959-'Choix pédagogiques'!$C$4)/('Choix pédagogiques'!$C$5-'Choix pédagogiques'!$C$4),"")</f>
        <v/>
      </c>
      <c r="AZ959" s="53" t="str">
        <f aca="false">IF($J959&lt;&gt;"",$J959,"")</f>
        <v/>
      </c>
      <c r="BA959" s="52" t="str">
        <f aca="false">IF($A959&lt;&gt;"",$A959,"")</f>
        <v>Apprenant 947</v>
      </c>
      <c r="BB959" s="55" t="str">
        <f aca="false">IF(AND($AR959&lt;&gt;"",$AS959&lt;&gt;""),$AS959-$AR959,"")</f>
        <v/>
      </c>
      <c r="BC959" s="55" t="str">
        <f aca="false">IF(AND($AR959&lt;&gt;"",$AT959&lt;&gt;""),$AT959-$AR959,"")</f>
        <v/>
      </c>
      <c r="BD959" s="55" t="str">
        <f aca="false">IF(AND($AS959&lt;&gt;"",$AT959&lt;&gt;""),$AT959-$AS959,"")</f>
        <v/>
      </c>
      <c r="BE959" s="53" t="str">
        <f aca="false">IF($E959&lt;&gt;"",$E959,"")</f>
        <v/>
      </c>
      <c r="BF959" s="52" t="str">
        <f aca="false">IF($F959&lt;&gt;"",$F959,"")</f>
        <v>Apprenant 947 ou 947'</v>
      </c>
      <c r="BG959" s="55" t="str">
        <f aca="false">IF(AND($AW959&lt;&gt;"",$AX959&lt;&gt;""),$AX959-$AW959,"")</f>
        <v/>
      </c>
      <c r="BH959" s="55" t="str">
        <f aca="false">IF(AND($AW959&lt;&gt;"",$AY959&lt;&gt;""),$AY959-$AW959,"")</f>
        <v/>
      </c>
      <c r="BI959" s="55" t="str">
        <f aca="false">IF(AND($AX959&lt;&gt;"",$AY959&lt;&gt;""),$AY959-$AX959,"")</f>
        <v/>
      </c>
      <c r="BJ959" s="53" t="str">
        <f aca="false">IF($J959&lt;&gt;"",$J959,"")</f>
        <v/>
      </c>
      <c r="BL959" s="52"/>
      <c r="BM959" s="52" t="str">
        <f aca="false">IF(OR(COUNT(B959:D1958)=0,AND('Choix pédagogiques'!$C$3&lt;&gt;1,'Choix pédagogiques'!$C$3&lt;&gt;2)),"",IF(AND(OR('Choix pédagogiques'!$C$3=1,'Choix pédagogiques'!$C$3=2),$B959&lt;&gt;"",$C959&lt;&gt;"",$D959&lt;&gt;""),1,0))</f>
        <v/>
      </c>
      <c r="BN959" s="52" t="str">
        <f aca="false">IF(OR(COUNT(G959:I1958)=0,AND('Choix pédagogiques'!$C$3&lt;&gt;1,'Choix pédagogiques'!$C$3&lt;&gt;2)),"",IF(AND(OR('Choix pédagogiques'!$C$3=1,'Choix pédagogiques'!$C$3=2),AND($G959&lt;&gt;"",$H959&lt;&gt;"",$I959&lt;&gt;"")),1,0))</f>
        <v/>
      </c>
      <c r="BO959" s="52" t="str">
        <f aca="false">IF(OR(COUNT(B959:D1958)=0,COUNT(G959:I1958)=0,'Choix pédagogiques'!C$3&lt;&gt;3),"",IF(AND('Choix pédagogiques'!$C$3=3,$B959&lt;&gt;"",$C959&lt;&gt;"",$D959&lt;&gt;"",$G959&lt;&gt;"",$H959&lt;&gt;"",$I959&lt;&gt;""),1,0))</f>
        <v/>
      </c>
      <c r="BR959" s="52" t="n">
        <v>961</v>
      </c>
      <c r="BS959" s="52" t="n">
        <v>1857</v>
      </c>
    </row>
    <row r="960" s="54" customFormat="true" ht="18" hidden="false" customHeight="true" outlineLevel="0" collapsed="false">
      <c r="A960" s="57" t="s">
        <v>1851</v>
      </c>
      <c r="B960" s="51"/>
      <c r="C960" s="51"/>
      <c r="D960" s="51"/>
      <c r="E960" s="51"/>
      <c r="F960" s="57" t="s">
        <v>1852</v>
      </c>
      <c r="G960" s="51"/>
      <c r="H960" s="51"/>
      <c r="I960" s="51"/>
      <c r="J960" s="51"/>
      <c r="K960" s="52" t="str">
        <f aca="false">IF($A960&lt;&gt;"",$A960,"")</f>
        <v>Apprenant 948</v>
      </c>
      <c r="L960" s="53" t="str">
        <f aca="false">IF(AND($B960&lt;&gt;"",$C960&lt;&gt;""),$C960-$B960,"")</f>
        <v/>
      </c>
      <c r="M960" s="53" t="str">
        <f aca="false">IF(AND($B960&lt;&gt;"",$D960&lt;&gt;""),$D960-$B960,"")</f>
        <v/>
      </c>
      <c r="N960" s="53" t="str">
        <f aca="false">IF(AND($C960&lt;&gt;"",$D960&lt;&gt;""),$D960-$C960,"")</f>
        <v/>
      </c>
      <c r="O960" s="53" t="str">
        <f aca="false">IF($E960&lt;&gt;"",$E960,"")</f>
        <v/>
      </c>
      <c r="P960" s="52" t="str">
        <f aca="false">IF($F960&lt;&gt;"",$F960,"")</f>
        <v>Apprenant 948 ou 948'</v>
      </c>
      <c r="Q960" s="53" t="str">
        <f aca="false">IF(AND($G960&lt;&gt;"",$H960&lt;&gt;""),$H960-$G960,"")</f>
        <v/>
      </c>
      <c r="R960" s="53" t="str">
        <f aca="false">IF(AND($G960&lt;&gt;"",$I960&lt;&gt;""),$I960-$G960,"")</f>
        <v/>
      </c>
      <c r="S960" s="53" t="str">
        <f aca="false">IF(AND($H960&lt;&gt;"",$I960&lt;&gt;""),$I960-$H960,"")</f>
        <v/>
      </c>
      <c r="T960" s="53" t="str">
        <f aca="false">IF($J960&lt;&gt;"",$J960,"")</f>
        <v/>
      </c>
      <c r="V960" s="52" t="str">
        <f aca="false">IF($A960&lt;&gt;"",$A960,"")</f>
        <v>Apprenant 948</v>
      </c>
      <c r="W960" s="53" t="str">
        <f aca="false">IF(AND(OR('Choix pédagogiques'!$C$3=1,'Choix pédagogiques'!$C$3=2),$BM960=1),B960,IF(AND('Choix pédagogiques'!$C$3=3,$BO960=1),B960,""))</f>
        <v/>
      </c>
      <c r="X960" s="53" t="str">
        <f aca="false">IF(AND(OR('Choix pédagogiques'!$C$3=1,'Choix pédagogiques'!$C$3=2),$BM960=1),C960,IF(AND('Choix pédagogiques'!$C$3=3,$BO960=1),C960,""))</f>
        <v/>
      </c>
      <c r="Y960" s="53" t="str">
        <f aca="false">IF(AND(OR('Choix pédagogiques'!$C$3=1,'Choix pédagogiques'!$C$3=2),$BM960=1),D960,IF(AND('Choix pédagogiques'!$C$3=3,$BO960=1),D960,""))</f>
        <v/>
      </c>
      <c r="Z960" s="53" t="str">
        <f aca="false">IF($E960&lt;&gt;"",$E960,"")</f>
        <v/>
      </c>
      <c r="AA960" s="52" t="str">
        <f aca="false">IF($F960&lt;&gt;"",$F960,"")</f>
        <v>Apprenant 948 ou 948'</v>
      </c>
      <c r="AB960" s="53" t="str">
        <f aca="false">IF(AND(OR('Choix pédagogiques'!$C$3=1,'Choix pédagogiques'!$C$3=2),$BN960=1),G960,IF(AND('Choix pédagogiques'!$C$3=3,$BO960=1),G960,""))</f>
        <v/>
      </c>
      <c r="AC960" s="53" t="str">
        <f aca="false">IF(AND(OR('Choix pédagogiques'!$C$3=1,'Choix pédagogiques'!$C$3=2),$BN960=1),H960,IF(AND('Choix pédagogiques'!$C$3=3,$BO960=1),H960,""))</f>
        <v/>
      </c>
      <c r="AD960" s="53" t="str">
        <f aca="false">IF(AND(OR('Choix pédagogiques'!$C$3=1,'Choix pédagogiques'!$C$3=2),$BN960=1),I960,IF(AND('Choix pédagogiques'!$C$3=3,$BO960=1),I960,""))</f>
        <v/>
      </c>
      <c r="AE960" s="53" t="str">
        <f aca="false">IF($J960&lt;&gt;"",$J960,"")</f>
        <v/>
      </c>
      <c r="AF960" s="52" t="str">
        <f aca="false">IF($A960&lt;&gt;"",$A960,"")</f>
        <v>Apprenant 948</v>
      </c>
      <c r="AG960" s="53" t="str">
        <f aca="false">IF(AND($W960&lt;&gt;"",$X960&lt;&gt;""),$X960-$W960,"")</f>
        <v/>
      </c>
      <c r="AH960" s="53" t="str">
        <f aca="false">IF(AND($W960&lt;&gt;"",$Y960&lt;&gt;""),$Y960-$W960,"")</f>
        <v/>
      </c>
      <c r="AI960" s="53" t="str">
        <f aca="false">IF(AND($X960&lt;&gt;"",$Y960&lt;&gt;""),$Y960-$X960,"")</f>
        <v/>
      </c>
      <c r="AJ960" s="53" t="str">
        <f aca="false">IF($E960&lt;&gt;"",$E960,"")</f>
        <v/>
      </c>
      <c r="AK960" s="52" t="str">
        <f aca="false">IF($F960&lt;&gt;"",$F960,"")</f>
        <v>Apprenant 948 ou 948'</v>
      </c>
      <c r="AL960" s="53" t="str">
        <f aca="false">IF(AND($AB960&lt;&gt;"",$AC960&lt;&gt;""),$AC960-$AB960,"")</f>
        <v/>
      </c>
      <c r="AM960" s="53" t="str">
        <f aca="false">IF(AND($AB960&lt;&gt;"",$AD960&lt;&gt;""),$AD960-$AB960,"")</f>
        <v/>
      </c>
      <c r="AN960" s="53" t="str">
        <f aca="false">IF(AND($AC960&lt;&gt;"",$AD960&lt;&gt;""),$AD960-$AC960,"")</f>
        <v/>
      </c>
      <c r="AO960" s="53" t="str">
        <f aca="false">IF($J960&lt;&gt;"",$J960,"")</f>
        <v/>
      </c>
      <c r="AQ960" s="52" t="str">
        <f aca="false">IF($A960&lt;&gt;"",$A960,"")</f>
        <v>Apprenant 948</v>
      </c>
      <c r="AR960" s="55" t="str">
        <f aca="false">IF(AND('Choix pédagogiques'!$C$4&lt;&gt;"?",'Choix pédagogiques'!$C$5&lt;&gt;"?",W960&lt;&gt;""),(W960-'Choix pédagogiques'!$C$4)/('Choix pédagogiques'!$C$5-'Choix pédagogiques'!$C$4),"")</f>
        <v/>
      </c>
      <c r="AS960" s="55" t="str">
        <f aca="false">IF(AND('Choix pédagogiques'!$C$4&lt;&gt;"?",'Choix pédagogiques'!$C$5&lt;&gt;"?",X960&lt;&gt;""),(X960-'Choix pédagogiques'!$C$4)/('Choix pédagogiques'!$C$5-'Choix pédagogiques'!$C$4),"")</f>
        <v/>
      </c>
      <c r="AT960" s="55" t="str">
        <f aca="false">IF(AND('Choix pédagogiques'!$C$4&lt;&gt;"?",'Choix pédagogiques'!$C$5&lt;&gt;"?",Y960&lt;&gt;""),(Y960-'Choix pédagogiques'!$C$4)/('Choix pédagogiques'!$C$5-'Choix pédagogiques'!$C$4),"")</f>
        <v/>
      </c>
      <c r="AU960" s="53" t="str">
        <f aca="false">IF($E960&lt;&gt;"",$E960,"")</f>
        <v/>
      </c>
      <c r="AV960" s="52" t="str">
        <f aca="false">IF($F960&lt;&gt;"",$F960,"")</f>
        <v>Apprenant 948 ou 948'</v>
      </c>
      <c r="AW960" s="55" t="str">
        <f aca="false">IF(AND('Choix pédagogiques'!$C$4&lt;&gt;"?",'Choix pédagogiques'!$C$5&lt;&gt;"?",AB960&lt;&gt;""),(AB960-'Choix pédagogiques'!$C$4)/('Choix pédagogiques'!$C$5-'Choix pédagogiques'!$C$4),"")</f>
        <v/>
      </c>
      <c r="AX960" s="55" t="str">
        <f aca="false">IF(AND('Choix pédagogiques'!$C$4&lt;&gt;"?",'Choix pédagogiques'!$C$5&lt;&gt;"?",AC960&lt;&gt;""),(AC960-'Choix pédagogiques'!$C$4)/('Choix pédagogiques'!$C$5-'Choix pédagogiques'!$C$4),"")</f>
        <v/>
      </c>
      <c r="AY960" s="55" t="str">
        <f aca="false">IF(AND('Choix pédagogiques'!$C$4&lt;&gt;"?",'Choix pédagogiques'!$C$5&lt;&gt;"?",AD960&lt;&gt;""),(AD960-'Choix pédagogiques'!$C$4)/('Choix pédagogiques'!$C$5-'Choix pédagogiques'!$C$4),"")</f>
        <v/>
      </c>
      <c r="AZ960" s="53" t="str">
        <f aca="false">IF($J960&lt;&gt;"",$J960,"")</f>
        <v/>
      </c>
      <c r="BA960" s="52" t="str">
        <f aca="false">IF($A960&lt;&gt;"",$A960,"")</f>
        <v>Apprenant 948</v>
      </c>
      <c r="BB960" s="55" t="str">
        <f aca="false">IF(AND($AR960&lt;&gt;"",$AS960&lt;&gt;""),$AS960-$AR960,"")</f>
        <v/>
      </c>
      <c r="BC960" s="55" t="str">
        <f aca="false">IF(AND($AR960&lt;&gt;"",$AT960&lt;&gt;""),$AT960-$AR960,"")</f>
        <v/>
      </c>
      <c r="BD960" s="55" t="str">
        <f aca="false">IF(AND($AS960&lt;&gt;"",$AT960&lt;&gt;""),$AT960-$AS960,"")</f>
        <v/>
      </c>
      <c r="BE960" s="53" t="str">
        <f aca="false">IF($E960&lt;&gt;"",$E960,"")</f>
        <v/>
      </c>
      <c r="BF960" s="52" t="str">
        <f aca="false">IF($F960&lt;&gt;"",$F960,"")</f>
        <v>Apprenant 948 ou 948'</v>
      </c>
      <c r="BG960" s="55" t="str">
        <f aca="false">IF(AND($AW960&lt;&gt;"",$AX960&lt;&gt;""),$AX960-$AW960,"")</f>
        <v/>
      </c>
      <c r="BH960" s="55" t="str">
        <f aca="false">IF(AND($AW960&lt;&gt;"",$AY960&lt;&gt;""),$AY960-$AW960,"")</f>
        <v/>
      </c>
      <c r="BI960" s="55" t="str">
        <f aca="false">IF(AND($AX960&lt;&gt;"",$AY960&lt;&gt;""),$AY960-$AX960,"")</f>
        <v/>
      </c>
      <c r="BJ960" s="53" t="str">
        <f aca="false">IF($J960&lt;&gt;"",$J960,"")</f>
        <v/>
      </c>
      <c r="BL960" s="52"/>
      <c r="BM960" s="52" t="str">
        <f aca="false">IF(OR(COUNT(B960:D1959)=0,AND('Choix pédagogiques'!$C$3&lt;&gt;1,'Choix pédagogiques'!$C$3&lt;&gt;2)),"",IF(AND(OR('Choix pédagogiques'!$C$3=1,'Choix pédagogiques'!$C$3=2),$B960&lt;&gt;"",$C960&lt;&gt;"",$D960&lt;&gt;""),1,0))</f>
        <v/>
      </c>
      <c r="BN960" s="52" t="str">
        <f aca="false">IF(OR(COUNT(G960:I1959)=0,AND('Choix pédagogiques'!$C$3&lt;&gt;1,'Choix pédagogiques'!$C$3&lt;&gt;2)),"",IF(AND(OR('Choix pédagogiques'!$C$3=1,'Choix pédagogiques'!$C$3=2),AND($G960&lt;&gt;"",$H960&lt;&gt;"",$I960&lt;&gt;"")),1,0))</f>
        <v/>
      </c>
      <c r="BO960" s="52" t="str">
        <f aca="false">IF(OR(COUNT(B960:D1959)=0,COUNT(G960:I1959)=0,'Choix pédagogiques'!C$3&lt;&gt;3),"",IF(AND('Choix pédagogiques'!$C$3=3,$B960&lt;&gt;"",$C960&lt;&gt;"",$D960&lt;&gt;"",$G960&lt;&gt;"",$H960&lt;&gt;"",$I960&lt;&gt;""),1,0))</f>
        <v/>
      </c>
      <c r="BR960" s="52" t="n">
        <v>479</v>
      </c>
      <c r="BS960" s="52" t="n">
        <v>1375</v>
      </c>
    </row>
    <row r="961" s="54" customFormat="true" ht="18" hidden="false" customHeight="true" outlineLevel="0" collapsed="false">
      <c r="A961" s="57" t="s">
        <v>1853</v>
      </c>
      <c r="B961" s="51"/>
      <c r="C961" s="51"/>
      <c r="D961" s="51"/>
      <c r="E961" s="51"/>
      <c r="F961" s="57" t="s">
        <v>1854</v>
      </c>
      <c r="G961" s="51"/>
      <c r="H961" s="51"/>
      <c r="I961" s="51"/>
      <c r="J961" s="51"/>
      <c r="K961" s="52" t="str">
        <f aca="false">IF($A961&lt;&gt;"",$A961,"")</f>
        <v>Apprenant 949</v>
      </c>
      <c r="L961" s="53" t="str">
        <f aca="false">IF(AND($B961&lt;&gt;"",$C961&lt;&gt;""),$C961-$B961,"")</f>
        <v/>
      </c>
      <c r="M961" s="53" t="str">
        <f aca="false">IF(AND($B961&lt;&gt;"",$D961&lt;&gt;""),$D961-$B961,"")</f>
        <v/>
      </c>
      <c r="N961" s="53" t="str">
        <f aca="false">IF(AND($C961&lt;&gt;"",$D961&lt;&gt;""),$D961-$C961,"")</f>
        <v/>
      </c>
      <c r="O961" s="53" t="str">
        <f aca="false">IF($E961&lt;&gt;"",$E961,"")</f>
        <v/>
      </c>
      <c r="P961" s="52" t="str">
        <f aca="false">IF($F961&lt;&gt;"",$F961,"")</f>
        <v>Apprenant 949 ou 949'</v>
      </c>
      <c r="Q961" s="53" t="str">
        <f aca="false">IF(AND($G961&lt;&gt;"",$H961&lt;&gt;""),$H961-$G961,"")</f>
        <v/>
      </c>
      <c r="R961" s="53" t="str">
        <f aca="false">IF(AND($G961&lt;&gt;"",$I961&lt;&gt;""),$I961-$G961,"")</f>
        <v/>
      </c>
      <c r="S961" s="53" t="str">
        <f aca="false">IF(AND($H961&lt;&gt;"",$I961&lt;&gt;""),$I961-$H961,"")</f>
        <v/>
      </c>
      <c r="T961" s="53" t="str">
        <f aca="false">IF($J961&lt;&gt;"",$J961,"")</f>
        <v/>
      </c>
      <c r="V961" s="52" t="str">
        <f aca="false">IF($A961&lt;&gt;"",$A961,"")</f>
        <v>Apprenant 949</v>
      </c>
      <c r="W961" s="53" t="str">
        <f aca="false">IF(AND(OR('Choix pédagogiques'!$C$3=1,'Choix pédagogiques'!$C$3=2),$BM961=1),B961,IF(AND('Choix pédagogiques'!$C$3=3,$BO961=1),B961,""))</f>
        <v/>
      </c>
      <c r="X961" s="53" t="str">
        <f aca="false">IF(AND(OR('Choix pédagogiques'!$C$3=1,'Choix pédagogiques'!$C$3=2),$BM961=1),C961,IF(AND('Choix pédagogiques'!$C$3=3,$BO961=1),C961,""))</f>
        <v/>
      </c>
      <c r="Y961" s="53" t="str">
        <f aca="false">IF(AND(OR('Choix pédagogiques'!$C$3=1,'Choix pédagogiques'!$C$3=2),$BM961=1),D961,IF(AND('Choix pédagogiques'!$C$3=3,$BO961=1),D961,""))</f>
        <v/>
      </c>
      <c r="Z961" s="53" t="str">
        <f aca="false">IF($E961&lt;&gt;"",$E961,"")</f>
        <v/>
      </c>
      <c r="AA961" s="52" t="str">
        <f aca="false">IF($F961&lt;&gt;"",$F961,"")</f>
        <v>Apprenant 949 ou 949'</v>
      </c>
      <c r="AB961" s="53" t="str">
        <f aca="false">IF(AND(OR('Choix pédagogiques'!$C$3=1,'Choix pédagogiques'!$C$3=2),$BN961=1),G961,IF(AND('Choix pédagogiques'!$C$3=3,$BO961=1),G961,""))</f>
        <v/>
      </c>
      <c r="AC961" s="53" t="str">
        <f aca="false">IF(AND(OR('Choix pédagogiques'!$C$3=1,'Choix pédagogiques'!$C$3=2),$BN961=1),H961,IF(AND('Choix pédagogiques'!$C$3=3,$BO961=1),H961,""))</f>
        <v/>
      </c>
      <c r="AD961" s="53" t="str">
        <f aca="false">IF(AND(OR('Choix pédagogiques'!$C$3=1,'Choix pédagogiques'!$C$3=2),$BN961=1),I961,IF(AND('Choix pédagogiques'!$C$3=3,$BO961=1),I961,""))</f>
        <v/>
      </c>
      <c r="AE961" s="53" t="str">
        <f aca="false">IF($J961&lt;&gt;"",$J961,"")</f>
        <v/>
      </c>
      <c r="AF961" s="52" t="str">
        <f aca="false">IF($A961&lt;&gt;"",$A961,"")</f>
        <v>Apprenant 949</v>
      </c>
      <c r="AG961" s="53" t="str">
        <f aca="false">IF(AND($W961&lt;&gt;"",$X961&lt;&gt;""),$X961-$W961,"")</f>
        <v/>
      </c>
      <c r="AH961" s="53" t="str">
        <f aca="false">IF(AND($W961&lt;&gt;"",$Y961&lt;&gt;""),$Y961-$W961,"")</f>
        <v/>
      </c>
      <c r="AI961" s="53" t="str">
        <f aca="false">IF(AND($X961&lt;&gt;"",$Y961&lt;&gt;""),$Y961-$X961,"")</f>
        <v/>
      </c>
      <c r="AJ961" s="53" t="str">
        <f aca="false">IF($E961&lt;&gt;"",$E961,"")</f>
        <v/>
      </c>
      <c r="AK961" s="52" t="str">
        <f aca="false">IF($F961&lt;&gt;"",$F961,"")</f>
        <v>Apprenant 949 ou 949'</v>
      </c>
      <c r="AL961" s="53" t="str">
        <f aca="false">IF(AND($AB961&lt;&gt;"",$AC961&lt;&gt;""),$AC961-$AB961,"")</f>
        <v/>
      </c>
      <c r="AM961" s="53" t="str">
        <f aca="false">IF(AND($AB961&lt;&gt;"",$AD961&lt;&gt;""),$AD961-$AB961,"")</f>
        <v/>
      </c>
      <c r="AN961" s="53" t="str">
        <f aca="false">IF(AND($AC961&lt;&gt;"",$AD961&lt;&gt;""),$AD961-$AC961,"")</f>
        <v/>
      </c>
      <c r="AO961" s="53" t="str">
        <f aca="false">IF($J961&lt;&gt;"",$J961,"")</f>
        <v/>
      </c>
      <c r="AQ961" s="52" t="str">
        <f aca="false">IF($A961&lt;&gt;"",$A961,"")</f>
        <v>Apprenant 949</v>
      </c>
      <c r="AR961" s="55" t="str">
        <f aca="false">IF(AND('Choix pédagogiques'!$C$4&lt;&gt;"?",'Choix pédagogiques'!$C$5&lt;&gt;"?",W961&lt;&gt;""),(W961-'Choix pédagogiques'!$C$4)/('Choix pédagogiques'!$C$5-'Choix pédagogiques'!$C$4),"")</f>
        <v/>
      </c>
      <c r="AS961" s="55" t="str">
        <f aca="false">IF(AND('Choix pédagogiques'!$C$4&lt;&gt;"?",'Choix pédagogiques'!$C$5&lt;&gt;"?",X961&lt;&gt;""),(X961-'Choix pédagogiques'!$C$4)/('Choix pédagogiques'!$C$5-'Choix pédagogiques'!$C$4),"")</f>
        <v/>
      </c>
      <c r="AT961" s="55" t="str">
        <f aca="false">IF(AND('Choix pédagogiques'!$C$4&lt;&gt;"?",'Choix pédagogiques'!$C$5&lt;&gt;"?",Y961&lt;&gt;""),(Y961-'Choix pédagogiques'!$C$4)/('Choix pédagogiques'!$C$5-'Choix pédagogiques'!$C$4),"")</f>
        <v/>
      </c>
      <c r="AU961" s="53" t="str">
        <f aca="false">IF($E961&lt;&gt;"",$E961,"")</f>
        <v/>
      </c>
      <c r="AV961" s="52" t="str">
        <f aca="false">IF($F961&lt;&gt;"",$F961,"")</f>
        <v>Apprenant 949 ou 949'</v>
      </c>
      <c r="AW961" s="55" t="str">
        <f aca="false">IF(AND('Choix pédagogiques'!$C$4&lt;&gt;"?",'Choix pédagogiques'!$C$5&lt;&gt;"?",AB961&lt;&gt;""),(AB961-'Choix pédagogiques'!$C$4)/('Choix pédagogiques'!$C$5-'Choix pédagogiques'!$C$4),"")</f>
        <v/>
      </c>
      <c r="AX961" s="55" t="str">
        <f aca="false">IF(AND('Choix pédagogiques'!$C$4&lt;&gt;"?",'Choix pédagogiques'!$C$5&lt;&gt;"?",AC961&lt;&gt;""),(AC961-'Choix pédagogiques'!$C$4)/('Choix pédagogiques'!$C$5-'Choix pédagogiques'!$C$4),"")</f>
        <v/>
      </c>
      <c r="AY961" s="55" t="str">
        <f aca="false">IF(AND('Choix pédagogiques'!$C$4&lt;&gt;"?",'Choix pédagogiques'!$C$5&lt;&gt;"?",AD961&lt;&gt;""),(AD961-'Choix pédagogiques'!$C$4)/('Choix pédagogiques'!$C$5-'Choix pédagogiques'!$C$4),"")</f>
        <v/>
      </c>
      <c r="AZ961" s="53" t="str">
        <f aca="false">IF($J961&lt;&gt;"",$J961,"")</f>
        <v/>
      </c>
      <c r="BA961" s="52" t="str">
        <f aca="false">IF($A961&lt;&gt;"",$A961,"")</f>
        <v>Apprenant 949</v>
      </c>
      <c r="BB961" s="55" t="str">
        <f aca="false">IF(AND($AR961&lt;&gt;"",$AS961&lt;&gt;""),$AS961-$AR961,"")</f>
        <v/>
      </c>
      <c r="BC961" s="55" t="str">
        <f aca="false">IF(AND($AR961&lt;&gt;"",$AT961&lt;&gt;""),$AT961-$AR961,"")</f>
        <v/>
      </c>
      <c r="BD961" s="55" t="str">
        <f aca="false">IF(AND($AS961&lt;&gt;"",$AT961&lt;&gt;""),$AT961-$AS961,"")</f>
        <v/>
      </c>
      <c r="BE961" s="53" t="str">
        <f aca="false">IF($E961&lt;&gt;"",$E961,"")</f>
        <v/>
      </c>
      <c r="BF961" s="52" t="str">
        <f aca="false">IF($F961&lt;&gt;"",$F961,"")</f>
        <v>Apprenant 949 ou 949'</v>
      </c>
      <c r="BG961" s="55" t="str">
        <f aca="false">IF(AND($AW961&lt;&gt;"",$AX961&lt;&gt;""),$AX961-$AW961,"")</f>
        <v/>
      </c>
      <c r="BH961" s="55" t="str">
        <f aca="false">IF(AND($AW961&lt;&gt;"",$AY961&lt;&gt;""),$AY961-$AW961,"")</f>
        <v/>
      </c>
      <c r="BI961" s="55" t="str">
        <f aca="false">IF(AND($AX961&lt;&gt;"",$AY961&lt;&gt;""),$AY961-$AX961,"")</f>
        <v/>
      </c>
      <c r="BJ961" s="53" t="str">
        <f aca="false">IF($J961&lt;&gt;"",$J961,"")</f>
        <v/>
      </c>
      <c r="BL961" s="52"/>
      <c r="BM961" s="52" t="str">
        <f aca="false">IF(OR(COUNT(B961:D1960)=0,AND('Choix pédagogiques'!$C$3&lt;&gt;1,'Choix pédagogiques'!$C$3&lt;&gt;2)),"",IF(AND(OR('Choix pédagogiques'!$C$3=1,'Choix pédagogiques'!$C$3=2),$B961&lt;&gt;"",$C961&lt;&gt;"",$D961&lt;&gt;""),1,0))</f>
        <v/>
      </c>
      <c r="BN961" s="52" t="str">
        <f aca="false">IF(OR(COUNT(G961:I1960)=0,AND('Choix pédagogiques'!$C$3&lt;&gt;1,'Choix pédagogiques'!$C$3&lt;&gt;2)),"",IF(AND(OR('Choix pédagogiques'!$C$3=1,'Choix pédagogiques'!$C$3=2),AND($G961&lt;&gt;"",$H961&lt;&gt;"",$I961&lt;&gt;"")),1,0))</f>
        <v/>
      </c>
      <c r="BO961" s="52" t="str">
        <f aca="false">IF(OR(COUNT(B961:D1960)=0,COUNT(G961:I1960)=0,'Choix pédagogiques'!C$3&lt;&gt;3),"",IF(AND('Choix pédagogiques'!$C$3=3,$B961&lt;&gt;"",$C961&lt;&gt;"",$D961&lt;&gt;"",$G961&lt;&gt;"",$H961&lt;&gt;"",$I961&lt;&gt;""),1,0))</f>
        <v/>
      </c>
      <c r="BR961" s="52" t="n">
        <v>591</v>
      </c>
      <c r="BS961" s="52" t="n">
        <v>1804</v>
      </c>
    </row>
    <row r="962" s="54" customFormat="true" ht="18" hidden="false" customHeight="true" outlineLevel="0" collapsed="false">
      <c r="A962" s="57" t="s">
        <v>1855</v>
      </c>
      <c r="B962" s="51"/>
      <c r="C962" s="51"/>
      <c r="D962" s="51"/>
      <c r="E962" s="51"/>
      <c r="F962" s="57" t="s">
        <v>1856</v>
      </c>
      <c r="G962" s="51"/>
      <c r="H962" s="51"/>
      <c r="I962" s="51"/>
      <c r="J962" s="51"/>
      <c r="K962" s="52" t="str">
        <f aca="false">IF($A962&lt;&gt;"",$A962,"")</f>
        <v>Apprenant 950</v>
      </c>
      <c r="L962" s="53" t="str">
        <f aca="false">IF(AND($B962&lt;&gt;"",$C962&lt;&gt;""),$C962-$B962,"")</f>
        <v/>
      </c>
      <c r="M962" s="53" t="str">
        <f aca="false">IF(AND($B962&lt;&gt;"",$D962&lt;&gt;""),$D962-$B962,"")</f>
        <v/>
      </c>
      <c r="N962" s="53" t="str">
        <f aca="false">IF(AND($C962&lt;&gt;"",$D962&lt;&gt;""),$D962-$C962,"")</f>
        <v/>
      </c>
      <c r="O962" s="53" t="str">
        <f aca="false">IF($E962&lt;&gt;"",$E962,"")</f>
        <v/>
      </c>
      <c r="P962" s="52" t="str">
        <f aca="false">IF($F962&lt;&gt;"",$F962,"")</f>
        <v>Apprenant 950 ou 950'</v>
      </c>
      <c r="Q962" s="53" t="str">
        <f aca="false">IF(AND($G962&lt;&gt;"",$H962&lt;&gt;""),$H962-$G962,"")</f>
        <v/>
      </c>
      <c r="R962" s="53" t="str">
        <f aca="false">IF(AND($G962&lt;&gt;"",$I962&lt;&gt;""),$I962-$G962,"")</f>
        <v/>
      </c>
      <c r="S962" s="53" t="str">
        <f aca="false">IF(AND($H962&lt;&gt;"",$I962&lt;&gt;""),$I962-$H962,"")</f>
        <v/>
      </c>
      <c r="T962" s="53" t="str">
        <f aca="false">IF($J962&lt;&gt;"",$J962,"")</f>
        <v/>
      </c>
      <c r="V962" s="52" t="str">
        <f aca="false">IF($A962&lt;&gt;"",$A962,"")</f>
        <v>Apprenant 950</v>
      </c>
      <c r="W962" s="53" t="str">
        <f aca="false">IF(AND(OR('Choix pédagogiques'!$C$3=1,'Choix pédagogiques'!$C$3=2),$BM962=1),B962,IF(AND('Choix pédagogiques'!$C$3=3,$BO962=1),B962,""))</f>
        <v/>
      </c>
      <c r="X962" s="53" t="str">
        <f aca="false">IF(AND(OR('Choix pédagogiques'!$C$3=1,'Choix pédagogiques'!$C$3=2),$BM962=1),C962,IF(AND('Choix pédagogiques'!$C$3=3,$BO962=1),C962,""))</f>
        <v/>
      </c>
      <c r="Y962" s="53" t="str">
        <f aca="false">IF(AND(OR('Choix pédagogiques'!$C$3=1,'Choix pédagogiques'!$C$3=2),$BM962=1),D962,IF(AND('Choix pédagogiques'!$C$3=3,$BO962=1),D962,""))</f>
        <v/>
      </c>
      <c r="Z962" s="53" t="str">
        <f aca="false">IF($E962&lt;&gt;"",$E962,"")</f>
        <v/>
      </c>
      <c r="AA962" s="52" t="str">
        <f aca="false">IF($F962&lt;&gt;"",$F962,"")</f>
        <v>Apprenant 950 ou 950'</v>
      </c>
      <c r="AB962" s="53" t="str">
        <f aca="false">IF(AND(OR('Choix pédagogiques'!$C$3=1,'Choix pédagogiques'!$C$3=2),$BN962=1),G962,IF(AND('Choix pédagogiques'!$C$3=3,$BO962=1),G962,""))</f>
        <v/>
      </c>
      <c r="AC962" s="53" t="str">
        <f aca="false">IF(AND(OR('Choix pédagogiques'!$C$3=1,'Choix pédagogiques'!$C$3=2),$BN962=1),H962,IF(AND('Choix pédagogiques'!$C$3=3,$BO962=1),H962,""))</f>
        <v/>
      </c>
      <c r="AD962" s="53" t="str">
        <f aca="false">IF(AND(OR('Choix pédagogiques'!$C$3=1,'Choix pédagogiques'!$C$3=2),$BN962=1),I962,IF(AND('Choix pédagogiques'!$C$3=3,$BO962=1),I962,""))</f>
        <v/>
      </c>
      <c r="AE962" s="53" t="str">
        <f aca="false">IF($J962&lt;&gt;"",$J962,"")</f>
        <v/>
      </c>
      <c r="AF962" s="52" t="str">
        <f aca="false">IF($A962&lt;&gt;"",$A962,"")</f>
        <v>Apprenant 950</v>
      </c>
      <c r="AG962" s="53" t="str">
        <f aca="false">IF(AND($W962&lt;&gt;"",$X962&lt;&gt;""),$X962-$W962,"")</f>
        <v/>
      </c>
      <c r="AH962" s="53" t="str">
        <f aca="false">IF(AND($W962&lt;&gt;"",$Y962&lt;&gt;""),$Y962-$W962,"")</f>
        <v/>
      </c>
      <c r="AI962" s="53" t="str">
        <f aca="false">IF(AND($X962&lt;&gt;"",$Y962&lt;&gt;""),$Y962-$X962,"")</f>
        <v/>
      </c>
      <c r="AJ962" s="53" t="str">
        <f aca="false">IF($E962&lt;&gt;"",$E962,"")</f>
        <v/>
      </c>
      <c r="AK962" s="52" t="str">
        <f aca="false">IF($F962&lt;&gt;"",$F962,"")</f>
        <v>Apprenant 950 ou 950'</v>
      </c>
      <c r="AL962" s="53" t="str">
        <f aca="false">IF(AND($AB962&lt;&gt;"",$AC962&lt;&gt;""),$AC962-$AB962,"")</f>
        <v/>
      </c>
      <c r="AM962" s="53" t="str">
        <f aca="false">IF(AND($AB962&lt;&gt;"",$AD962&lt;&gt;""),$AD962-$AB962,"")</f>
        <v/>
      </c>
      <c r="AN962" s="53" t="str">
        <f aca="false">IF(AND($AC962&lt;&gt;"",$AD962&lt;&gt;""),$AD962-$AC962,"")</f>
        <v/>
      </c>
      <c r="AO962" s="53" t="str">
        <f aca="false">IF($J962&lt;&gt;"",$J962,"")</f>
        <v/>
      </c>
      <c r="AQ962" s="52" t="str">
        <f aca="false">IF($A962&lt;&gt;"",$A962,"")</f>
        <v>Apprenant 950</v>
      </c>
      <c r="AR962" s="55" t="str">
        <f aca="false">IF(AND('Choix pédagogiques'!$C$4&lt;&gt;"?",'Choix pédagogiques'!$C$5&lt;&gt;"?",W962&lt;&gt;""),(W962-'Choix pédagogiques'!$C$4)/('Choix pédagogiques'!$C$5-'Choix pédagogiques'!$C$4),"")</f>
        <v/>
      </c>
      <c r="AS962" s="55" t="str">
        <f aca="false">IF(AND('Choix pédagogiques'!$C$4&lt;&gt;"?",'Choix pédagogiques'!$C$5&lt;&gt;"?",X962&lt;&gt;""),(X962-'Choix pédagogiques'!$C$4)/('Choix pédagogiques'!$C$5-'Choix pédagogiques'!$C$4),"")</f>
        <v/>
      </c>
      <c r="AT962" s="55" t="str">
        <f aca="false">IF(AND('Choix pédagogiques'!$C$4&lt;&gt;"?",'Choix pédagogiques'!$C$5&lt;&gt;"?",Y962&lt;&gt;""),(Y962-'Choix pédagogiques'!$C$4)/('Choix pédagogiques'!$C$5-'Choix pédagogiques'!$C$4),"")</f>
        <v/>
      </c>
      <c r="AU962" s="53" t="str">
        <f aca="false">IF($E962&lt;&gt;"",$E962,"")</f>
        <v/>
      </c>
      <c r="AV962" s="52" t="str">
        <f aca="false">IF($F962&lt;&gt;"",$F962,"")</f>
        <v>Apprenant 950 ou 950'</v>
      </c>
      <c r="AW962" s="55" t="str">
        <f aca="false">IF(AND('Choix pédagogiques'!$C$4&lt;&gt;"?",'Choix pédagogiques'!$C$5&lt;&gt;"?",AB962&lt;&gt;""),(AB962-'Choix pédagogiques'!$C$4)/('Choix pédagogiques'!$C$5-'Choix pédagogiques'!$C$4),"")</f>
        <v/>
      </c>
      <c r="AX962" s="55" t="str">
        <f aca="false">IF(AND('Choix pédagogiques'!$C$4&lt;&gt;"?",'Choix pédagogiques'!$C$5&lt;&gt;"?",AC962&lt;&gt;""),(AC962-'Choix pédagogiques'!$C$4)/('Choix pédagogiques'!$C$5-'Choix pédagogiques'!$C$4),"")</f>
        <v/>
      </c>
      <c r="AY962" s="55" t="str">
        <f aca="false">IF(AND('Choix pédagogiques'!$C$4&lt;&gt;"?",'Choix pédagogiques'!$C$5&lt;&gt;"?",AD962&lt;&gt;""),(AD962-'Choix pédagogiques'!$C$4)/('Choix pédagogiques'!$C$5-'Choix pédagogiques'!$C$4),"")</f>
        <v/>
      </c>
      <c r="AZ962" s="53" t="str">
        <f aca="false">IF($J962&lt;&gt;"",$J962,"")</f>
        <v/>
      </c>
      <c r="BA962" s="52" t="str">
        <f aca="false">IF($A962&lt;&gt;"",$A962,"")</f>
        <v>Apprenant 950</v>
      </c>
      <c r="BB962" s="55" t="str">
        <f aca="false">IF(AND($AR962&lt;&gt;"",$AS962&lt;&gt;""),$AS962-$AR962,"")</f>
        <v/>
      </c>
      <c r="BC962" s="55" t="str">
        <f aca="false">IF(AND($AR962&lt;&gt;"",$AT962&lt;&gt;""),$AT962-$AR962,"")</f>
        <v/>
      </c>
      <c r="BD962" s="55" t="str">
        <f aca="false">IF(AND($AS962&lt;&gt;"",$AT962&lt;&gt;""),$AT962-$AS962,"")</f>
        <v/>
      </c>
      <c r="BE962" s="53" t="str">
        <f aca="false">IF($E962&lt;&gt;"",$E962,"")</f>
        <v/>
      </c>
      <c r="BF962" s="52" t="str">
        <f aca="false">IF($F962&lt;&gt;"",$F962,"")</f>
        <v>Apprenant 950 ou 950'</v>
      </c>
      <c r="BG962" s="55" t="str">
        <f aca="false">IF(AND($AW962&lt;&gt;"",$AX962&lt;&gt;""),$AX962-$AW962,"")</f>
        <v/>
      </c>
      <c r="BH962" s="55" t="str">
        <f aca="false">IF(AND($AW962&lt;&gt;"",$AY962&lt;&gt;""),$AY962-$AW962,"")</f>
        <v/>
      </c>
      <c r="BI962" s="55" t="str">
        <f aca="false">IF(AND($AX962&lt;&gt;"",$AY962&lt;&gt;""),$AY962-$AX962,"")</f>
        <v/>
      </c>
      <c r="BJ962" s="53" t="str">
        <f aca="false">IF($J962&lt;&gt;"",$J962,"")</f>
        <v/>
      </c>
      <c r="BL962" s="52"/>
      <c r="BM962" s="52" t="str">
        <f aca="false">IF(OR(COUNT(B962:D1961)=0,AND('Choix pédagogiques'!$C$3&lt;&gt;1,'Choix pédagogiques'!$C$3&lt;&gt;2)),"",IF(AND(OR('Choix pédagogiques'!$C$3=1,'Choix pédagogiques'!$C$3=2),$B962&lt;&gt;"",$C962&lt;&gt;"",$D962&lt;&gt;""),1,0))</f>
        <v/>
      </c>
      <c r="BN962" s="52" t="str">
        <f aca="false">IF(OR(COUNT(G962:I1961)=0,AND('Choix pédagogiques'!$C$3&lt;&gt;1,'Choix pédagogiques'!$C$3&lt;&gt;2)),"",IF(AND(OR('Choix pédagogiques'!$C$3=1,'Choix pédagogiques'!$C$3=2),AND($G962&lt;&gt;"",$H962&lt;&gt;"",$I962&lt;&gt;"")),1,0))</f>
        <v/>
      </c>
      <c r="BO962" s="52" t="str">
        <f aca="false">IF(OR(COUNT(B962:D1961)=0,COUNT(G962:I1961)=0,'Choix pédagogiques'!C$3&lt;&gt;3),"",IF(AND('Choix pédagogiques'!$C$3=3,$B962&lt;&gt;"",$C962&lt;&gt;"",$D962&lt;&gt;"",$G962&lt;&gt;"",$H962&lt;&gt;"",$I962&lt;&gt;""),1,0))</f>
        <v/>
      </c>
      <c r="BR962" s="52" t="n">
        <v>348</v>
      </c>
      <c r="BS962" s="52" t="n">
        <v>1814</v>
      </c>
    </row>
    <row r="963" s="54" customFormat="true" ht="18" hidden="false" customHeight="true" outlineLevel="0" collapsed="false">
      <c r="A963" s="57" t="s">
        <v>1857</v>
      </c>
      <c r="B963" s="51"/>
      <c r="C963" s="51"/>
      <c r="D963" s="51"/>
      <c r="E963" s="51"/>
      <c r="F963" s="57" t="s">
        <v>1858</v>
      </c>
      <c r="G963" s="51"/>
      <c r="H963" s="51"/>
      <c r="I963" s="51"/>
      <c r="J963" s="51"/>
      <c r="K963" s="52" t="str">
        <f aca="false">IF($A963&lt;&gt;"",$A963,"")</f>
        <v>Apprenant 951</v>
      </c>
      <c r="L963" s="53" t="str">
        <f aca="false">IF(AND($B963&lt;&gt;"",$C963&lt;&gt;""),$C963-$B963,"")</f>
        <v/>
      </c>
      <c r="M963" s="53" t="str">
        <f aca="false">IF(AND($B963&lt;&gt;"",$D963&lt;&gt;""),$D963-$B963,"")</f>
        <v/>
      </c>
      <c r="N963" s="53" t="str">
        <f aca="false">IF(AND($C963&lt;&gt;"",$D963&lt;&gt;""),$D963-$C963,"")</f>
        <v/>
      </c>
      <c r="O963" s="53" t="str">
        <f aca="false">IF($E963&lt;&gt;"",$E963,"")</f>
        <v/>
      </c>
      <c r="P963" s="52" t="str">
        <f aca="false">IF($F963&lt;&gt;"",$F963,"")</f>
        <v>Apprenant 951 ou 951'</v>
      </c>
      <c r="Q963" s="53" t="str">
        <f aca="false">IF(AND($G963&lt;&gt;"",$H963&lt;&gt;""),$H963-$G963,"")</f>
        <v/>
      </c>
      <c r="R963" s="53" t="str">
        <f aca="false">IF(AND($G963&lt;&gt;"",$I963&lt;&gt;""),$I963-$G963,"")</f>
        <v/>
      </c>
      <c r="S963" s="53" t="str">
        <f aca="false">IF(AND($H963&lt;&gt;"",$I963&lt;&gt;""),$I963-$H963,"")</f>
        <v/>
      </c>
      <c r="T963" s="53" t="str">
        <f aca="false">IF($J963&lt;&gt;"",$J963,"")</f>
        <v/>
      </c>
      <c r="V963" s="52" t="str">
        <f aca="false">IF($A963&lt;&gt;"",$A963,"")</f>
        <v>Apprenant 951</v>
      </c>
      <c r="W963" s="53" t="str">
        <f aca="false">IF(AND(OR('Choix pédagogiques'!$C$3=1,'Choix pédagogiques'!$C$3=2),$BM963=1),B963,IF(AND('Choix pédagogiques'!$C$3=3,$BO963=1),B963,""))</f>
        <v/>
      </c>
      <c r="X963" s="53" t="str">
        <f aca="false">IF(AND(OR('Choix pédagogiques'!$C$3=1,'Choix pédagogiques'!$C$3=2),$BM963=1),C963,IF(AND('Choix pédagogiques'!$C$3=3,$BO963=1),C963,""))</f>
        <v/>
      </c>
      <c r="Y963" s="53" t="str">
        <f aca="false">IF(AND(OR('Choix pédagogiques'!$C$3=1,'Choix pédagogiques'!$C$3=2),$BM963=1),D963,IF(AND('Choix pédagogiques'!$C$3=3,$BO963=1),D963,""))</f>
        <v/>
      </c>
      <c r="Z963" s="53" t="str">
        <f aca="false">IF($E963&lt;&gt;"",$E963,"")</f>
        <v/>
      </c>
      <c r="AA963" s="52" t="str">
        <f aca="false">IF($F963&lt;&gt;"",$F963,"")</f>
        <v>Apprenant 951 ou 951'</v>
      </c>
      <c r="AB963" s="53" t="str">
        <f aca="false">IF(AND(OR('Choix pédagogiques'!$C$3=1,'Choix pédagogiques'!$C$3=2),$BN963=1),G963,IF(AND('Choix pédagogiques'!$C$3=3,$BO963=1),G963,""))</f>
        <v/>
      </c>
      <c r="AC963" s="53" t="str">
        <f aca="false">IF(AND(OR('Choix pédagogiques'!$C$3=1,'Choix pédagogiques'!$C$3=2),$BN963=1),H963,IF(AND('Choix pédagogiques'!$C$3=3,$BO963=1),H963,""))</f>
        <v/>
      </c>
      <c r="AD963" s="53" t="str">
        <f aca="false">IF(AND(OR('Choix pédagogiques'!$C$3=1,'Choix pédagogiques'!$C$3=2),$BN963=1),I963,IF(AND('Choix pédagogiques'!$C$3=3,$BO963=1),I963,""))</f>
        <v/>
      </c>
      <c r="AE963" s="53" t="str">
        <f aca="false">IF($J963&lt;&gt;"",$J963,"")</f>
        <v/>
      </c>
      <c r="AF963" s="52" t="str">
        <f aca="false">IF($A963&lt;&gt;"",$A963,"")</f>
        <v>Apprenant 951</v>
      </c>
      <c r="AG963" s="53" t="str">
        <f aca="false">IF(AND($W963&lt;&gt;"",$X963&lt;&gt;""),$X963-$W963,"")</f>
        <v/>
      </c>
      <c r="AH963" s="53" t="str">
        <f aca="false">IF(AND($W963&lt;&gt;"",$Y963&lt;&gt;""),$Y963-$W963,"")</f>
        <v/>
      </c>
      <c r="AI963" s="53" t="str">
        <f aca="false">IF(AND($X963&lt;&gt;"",$Y963&lt;&gt;""),$Y963-$X963,"")</f>
        <v/>
      </c>
      <c r="AJ963" s="53" t="str">
        <f aca="false">IF($E963&lt;&gt;"",$E963,"")</f>
        <v/>
      </c>
      <c r="AK963" s="52" t="str">
        <f aca="false">IF($F963&lt;&gt;"",$F963,"")</f>
        <v>Apprenant 951 ou 951'</v>
      </c>
      <c r="AL963" s="53" t="str">
        <f aca="false">IF(AND($AB963&lt;&gt;"",$AC963&lt;&gt;""),$AC963-$AB963,"")</f>
        <v/>
      </c>
      <c r="AM963" s="53" t="str">
        <f aca="false">IF(AND($AB963&lt;&gt;"",$AD963&lt;&gt;""),$AD963-$AB963,"")</f>
        <v/>
      </c>
      <c r="AN963" s="53" t="str">
        <f aca="false">IF(AND($AC963&lt;&gt;"",$AD963&lt;&gt;""),$AD963-$AC963,"")</f>
        <v/>
      </c>
      <c r="AO963" s="53" t="str">
        <f aca="false">IF($J963&lt;&gt;"",$J963,"")</f>
        <v/>
      </c>
      <c r="AQ963" s="52" t="str">
        <f aca="false">IF($A963&lt;&gt;"",$A963,"")</f>
        <v>Apprenant 951</v>
      </c>
      <c r="AR963" s="55" t="str">
        <f aca="false">IF(AND('Choix pédagogiques'!$C$4&lt;&gt;"?",'Choix pédagogiques'!$C$5&lt;&gt;"?",W963&lt;&gt;""),(W963-'Choix pédagogiques'!$C$4)/('Choix pédagogiques'!$C$5-'Choix pédagogiques'!$C$4),"")</f>
        <v/>
      </c>
      <c r="AS963" s="55" t="str">
        <f aca="false">IF(AND('Choix pédagogiques'!$C$4&lt;&gt;"?",'Choix pédagogiques'!$C$5&lt;&gt;"?",X963&lt;&gt;""),(X963-'Choix pédagogiques'!$C$4)/('Choix pédagogiques'!$C$5-'Choix pédagogiques'!$C$4),"")</f>
        <v/>
      </c>
      <c r="AT963" s="55" t="str">
        <f aca="false">IF(AND('Choix pédagogiques'!$C$4&lt;&gt;"?",'Choix pédagogiques'!$C$5&lt;&gt;"?",Y963&lt;&gt;""),(Y963-'Choix pédagogiques'!$C$4)/('Choix pédagogiques'!$C$5-'Choix pédagogiques'!$C$4),"")</f>
        <v/>
      </c>
      <c r="AU963" s="53" t="str">
        <f aca="false">IF($E963&lt;&gt;"",$E963,"")</f>
        <v/>
      </c>
      <c r="AV963" s="52" t="str">
        <f aca="false">IF($F963&lt;&gt;"",$F963,"")</f>
        <v>Apprenant 951 ou 951'</v>
      </c>
      <c r="AW963" s="55" t="str">
        <f aca="false">IF(AND('Choix pédagogiques'!$C$4&lt;&gt;"?",'Choix pédagogiques'!$C$5&lt;&gt;"?",AB963&lt;&gt;""),(AB963-'Choix pédagogiques'!$C$4)/('Choix pédagogiques'!$C$5-'Choix pédagogiques'!$C$4),"")</f>
        <v/>
      </c>
      <c r="AX963" s="55" t="str">
        <f aca="false">IF(AND('Choix pédagogiques'!$C$4&lt;&gt;"?",'Choix pédagogiques'!$C$5&lt;&gt;"?",AC963&lt;&gt;""),(AC963-'Choix pédagogiques'!$C$4)/('Choix pédagogiques'!$C$5-'Choix pédagogiques'!$C$4),"")</f>
        <v/>
      </c>
      <c r="AY963" s="55" t="str">
        <f aca="false">IF(AND('Choix pédagogiques'!$C$4&lt;&gt;"?",'Choix pédagogiques'!$C$5&lt;&gt;"?",AD963&lt;&gt;""),(AD963-'Choix pédagogiques'!$C$4)/('Choix pédagogiques'!$C$5-'Choix pédagogiques'!$C$4),"")</f>
        <v/>
      </c>
      <c r="AZ963" s="53" t="str">
        <f aca="false">IF($J963&lt;&gt;"",$J963,"")</f>
        <v/>
      </c>
      <c r="BA963" s="52" t="str">
        <f aca="false">IF($A963&lt;&gt;"",$A963,"")</f>
        <v>Apprenant 951</v>
      </c>
      <c r="BB963" s="55" t="str">
        <f aca="false">IF(AND($AR963&lt;&gt;"",$AS963&lt;&gt;""),$AS963-$AR963,"")</f>
        <v/>
      </c>
      <c r="BC963" s="55" t="str">
        <f aca="false">IF(AND($AR963&lt;&gt;"",$AT963&lt;&gt;""),$AT963-$AR963,"")</f>
        <v/>
      </c>
      <c r="BD963" s="55" t="str">
        <f aca="false">IF(AND($AS963&lt;&gt;"",$AT963&lt;&gt;""),$AT963-$AS963,"")</f>
        <v/>
      </c>
      <c r="BE963" s="53" t="str">
        <f aca="false">IF($E963&lt;&gt;"",$E963,"")</f>
        <v/>
      </c>
      <c r="BF963" s="52" t="str">
        <f aca="false">IF($F963&lt;&gt;"",$F963,"")</f>
        <v>Apprenant 951 ou 951'</v>
      </c>
      <c r="BG963" s="55" t="str">
        <f aca="false">IF(AND($AW963&lt;&gt;"",$AX963&lt;&gt;""),$AX963-$AW963,"")</f>
        <v/>
      </c>
      <c r="BH963" s="55" t="str">
        <f aca="false">IF(AND($AW963&lt;&gt;"",$AY963&lt;&gt;""),$AY963-$AW963,"")</f>
        <v/>
      </c>
      <c r="BI963" s="55" t="str">
        <f aca="false">IF(AND($AX963&lt;&gt;"",$AY963&lt;&gt;""),$AY963-$AX963,"")</f>
        <v/>
      </c>
      <c r="BJ963" s="53" t="str">
        <f aca="false">IF($J963&lt;&gt;"",$J963,"")</f>
        <v/>
      </c>
      <c r="BL963" s="52"/>
      <c r="BM963" s="52" t="str">
        <f aca="false">IF(OR(COUNT(B963:D1962)=0,AND('Choix pédagogiques'!$C$3&lt;&gt;1,'Choix pédagogiques'!$C$3&lt;&gt;2)),"",IF(AND(OR('Choix pédagogiques'!$C$3=1,'Choix pédagogiques'!$C$3=2),$B963&lt;&gt;"",$C963&lt;&gt;"",$D963&lt;&gt;""),1,0))</f>
        <v/>
      </c>
      <c r="BN963" s="52" t="str">
        <f aca="false">IF(OR(COUNT(G963:I1962)=0,AND('Choix pédagogiques'!$C$3&lt;&gt;1,'Choix pédagogiques'!$C$3&lt;&gt;2)),"",IF(AND(OR('Choix pédagogiques'!$C$3=1,'Choix pédagogiques'!$C$3=2),AND($G963&lt;&gt;"",$H963&lt;&gt;"",$I963&lt;&gt;"")),1,0))</f>
        <v/>
      </c>
      <c r="BO963" s="52" t="str">
        <f aca="false">IF(OR(COUNT(B963:D1962)=0,COUNT(G963:I1962)=0,'Choix pédagogiques'!C$3&lt;&gt;3),"",IF(AND('Choix pédagogiques'!$C$3=3,$B963&lt;&gt;"",$C963&lt;&gt;"",$D963&lt;&gt;"",$G963&lt;&gt;"",$H963&lt;&gt;"",$I963&lt;&gt;""),1,0))</f>
        <v/>
      </c>
      <c r="BR963" s="52" t="n">
        <v>467</v>
      </c>
      <c r="BS963" s="52" t="n">
        <v>1798</v>
      </c>
    </row>
    <row r="964" s="54" customFormat="true" ht="18" hidden="false" customHeight="true" outlineLevel="0" collapsed="false">
      <c r="A964" s="57" t="s">
        <v>1859</v>
      </c>
      <c r="B964" s="51"/>
      <c r="C964" s="51"/>
      <c r="D964" s="51"/>
      <c r="E964" s="51"/>
      <c r="F964" s="57" t="s">
        <v>1860</v>
      </c>
      <c r="G964" s="51"/>
      <c r="H964" s="51"/>
      <c r="I964" s="51"/>
      <c r="J964" s="51"/>
      <c r="K964" s="52" t="str">
        <f aca="false">IF($A964&lt;&gt;"",$A964,"")</f>
        <v>Apprenant 952</v>
      </c>
      <c r="L964" s="53" t="str">
        <f aca="false">IF(AND($B964&lt;&gt;"",$C964&lt;&gt;""),$C964-$B964,"")</f>
        <v/>
      </c>
      <c r="M964" s="53" t="str">
        <f aca="false">IF(AND($B964&lt;&gt;"",$D964&lt;&gt;""),$D964-$B964,"")</f>
        <v/>
      </c>
      <c r="N964" s="53" t="str">
        <f aca="false">IF(AND($C964&lt;&gt;"",$D964&lt;&gt;""),$D964-$C964,"")</f>
        <v/>
      </c>
      <c r="O964" s="53" t="str">
        <f aca="false">IF($E964&lt;&gt;"",$E964,"")</f>
        <v/>
      </c>
      <c r="P964" s="52" t="str">
        <f aca="false">IF($F964&lt;&gt;"",$F964,"")</f>
        <v>Apprenant 952 ou 952'</v>
      </c>
      <c r="Q964" s="53" t="str">
        <f aca="false">IF(AND($G964&lt;&gt;"",$H964&lt;&gt;""),$H964-$G964,"")</f>
        <v/>
      </c>
      <c r="R964" s="53" t="str">
        <f aca="false">IF(AND($G964&lt;&gt;"",$I964&lt;&gt;""),$I964-$G964,"")</f>
        <v/>
      </c>
      <c r="S964" s="53" t="str">
        <f aca="false">IF(AND($H964&lt;&gt;"",$I964&lt;&gt;""),$I964-$H964,"")</f>
        <v/>
      </c>
      <c r="T964" s="53" t="str">
        <f aca="false">IF($J964&lt;&gt;"",$J964,"")</f>
        <v/>
      </c>
      <c r="V964" s="52" t="str">
        <f aca="false">IF($A964&lt;&gt;"",$A964,"")</f>
        <v>Apprenant 952</v>
      </c>
      <c r="W964" s="53" t="str">
        <f aca="false">IF(AND(OR('Choix pédagogiques'!$C$3=1,'Choix pédagogiques'!$C$3=2),$BM964=1),B964,IF(AND('Choix pédagogiques'!$C$3=3,$BO964=1),B964,""))</f>
        <v/>
      </c>
      <c r="X964" s="53" t="str">
        <f aca="false">IF(AND(OR('Choix pédagogiques'!$C$3=1,'Choix pédagogiques'!$C$3=2),$BM964=1),C964,IF(AND('Choix pédagogiques'!$C$3=3,$BO964=1),C964,""))</f>
        <v/>
      </c>
      <c r="Y964" s="53" t="str">
        <f aca="false">IF(AND(OR('Choix pédagogiques'!$C$3=1,'Choix pédagogiques'!$C$3=2),$BM964=1),D964,IF(AND('Choix pédagogiques'!$C$3=3,$BO964=1),D964,""))</f>
        <v/>
      </c>
      <c r="Z964" s="53" t="str">
        <f aca="false">IF($E964&lt;&gt;"",$E964,"")</f>
        <v/>
      </c>
      <c r="AA964" s="52" t="str">
        <f aca="false">IF($F964&lt;&gt;"",$F964,"")</f>
        <v>Apprenant 952 ou 952'</v>
      </c>
      <c r="AB964" s="53" t="str">
        <f aca="false">IF(AND(OR('Choix pédagogiques'!$C$3=1,'Choix pédagogiques'!$C$3=2),$BN964=1),G964,IF(AND('Choix pédagogiques'!$C$3=3,$BO964=1),G964,""))</f>
        <v/>
      </c>
      <c r="AC964" s="53" t="str">
        <f aca="false">IF(AND(OR('Choix pédagogiques'!$C$3=1,'Choix pédagogiques'!$C$3=2),$BN964=1),H964,IF(AND('Choix pédagogiques'!$C$3=3,$BO964=1),H964,""))</f>
        <v/>
      </c>
      <c r="AD964" s="53" t="str">
        <f aca="false">IF(AND(OR('Choix pédagogiques'!$C$3=1,'Choix pédagogiques'!$C$3=2),$BN964=1),I964,IF(AND('Choix pédagogiques'!$C$3=3,$BO964=1),I964,""))</f>
        <v/>
      </c>
      <c r="AE964" s="53" t="str">
        <f aca="false">IF($J964&lt;&gt;"",$J964,"")</f>
        <v/>
      </c>
      <c r="AF964" s="52" t="str">
        <f aca="false">IF($A964&lt;&gt;"",$A964,"")</f>
        <v>Apprenant 952</v>
      </c>
      <c r="AG964" s="53" t="str">
        <f aca="false">IF(AND($W964&lt;&gt;"",$X964&lt;&gt;""),$X964-$W964,"")</f>
        <v/>
      </c>
      <c r="AH964" s="53" t="str">
        <f aca="false">IF(AND($W964&lt;&gt;"",$Y964&lt;&gt;""),$Y964-$W964,"")</f>
        <v/>
      </c>
      <c r="AI964" s="53" t="str">
        <f aca="false">IF(AND($X964&lt;&gt;"",$Y964&lt;&gt;""),$Y964-$X964,"")</f>
        <v/>
      </c>
      <c r="AJ964" s="53" t="str">
        <f aca="false">IF($E964&lt;&gt;"",$E964,"")</f>
        <v/>
      </c>
      <c r="AK964" s="52" t="str">
        <f aca="false">IF($F964&lt;&gt;"",$F964,"")</f>
        <v>Apprenant 952 ou 952'</v>
      </c>
      <c r="AL964" s="53" t="str">
        <f aca="false">IF(AND($AB964&lt;&gt;"",$AC964&lt;&gt;""),$AC964-$AB964,"")</f>
        <v/>
      </c>
      <c r="AM964" s="53" t="str">
        <f aca="false">IF(AND($AB964&lt;&gt;"",$AD964&lt;&gt;""),$AD964-$AB964,"")</f>
        <v/>
      </c>
      <c r="AN964" s="53" t="str">
        <f aca="false">IF(AND($AC964&lt;&gt;"",$AD964&lt;&gt;""),$AD964-$AC964,"")</f>
        <v/>
      </c>
      <c r="AO964" s="53" t="str">
        <f aca="false">IF($J964&lt;&gt;"",$J964,"")</f>
        <v/>
      </c>
      <c r="AQ964" s="52" t="str">
        <f aca="false">IF($A964&lt;&gt;"",$A964,"")</f>
        <v>Apprenant 952</v>
      </c>
      <c r="AR964" s="55" t="str">
        <f aca="false">IF(AND('Choix pédagogiques'!$C$4&lt;&gt;"?",'Choix pédagogiques'!$C$5&lt;&gt;"?",W964&lt;&gt;""),(W964-'Choix pédagogiques'!$C$4)/('Choix pédagogiques'!$C$5-'Choix pédagogiques'!$C$4),"")</f>
        <v/>
      </c>
      <c r="AS964" s="55" t="str">
        <f aca="false">IF(AND('Choix pédagogiques'!$C$4&lt;&gt;"?",'Choix pédagogiques'!$C$5&lt;&gt;"?",X964&lt;&gt;""),(X964-'Choix pédagogiques'!$C$4)/('Choix pédagogiques'!$C$5-'Choix pédagogiques'!$C$4),"")</f>
        <v/>
      </c>
      <c r="AT964" s="55" t="str">
        <f aca="false">IF(AND('Choix pédagogiques'!$C$4&lt;&gt;"?",'Choix pédagogiques'!$C$5&lt;&gt;"?",Y964&lt;&gt;""),(Y964-'Choix pédagogiques'!$C$4)/('Choix pédagogiques'!$C$5-'Choix pédagogiques'!$C$4),"")</f>
        <v/>
      </c>
      <c r="AU964" s="53" t="str">
        <f aca="false">IF($E964&lt;&gt;"",$E964,"")</f>
        <v/>
      </c>
      <c r="AV964" s="52" t="str">
        <f aca="false">IF($F964&lt;&gt;"",$F964,"")</f>
        <v>Apprenant 952 ou 952'</v>
      </c>
      <c r="AW964" s="55" t="str">
        <f aca="false">IF(AND('Choix pédagogiques'!$C$4&lt;&gt;"?",'Choix pédagogiques'!$C$5&lt;&gt;"?",AB964&lt;&gt;""),(AB964-'Choix pédagogiques'!$C$4)/('Choix pédagogiques'!$C$5-'Choix pédagogiques'!$C$4),"")</f>
        <v/>
      </c>
      <c r="AX964" s="55" t="str">
        <f aca="false">IF(AND('Choix pédagogiques'!$C$4&lt;&gt;"?",'Choix pédagogiques'!$C$5&lt;&gt;"?",AC964&lt;&gt;""),(AC964-'Choix pédagogiques'!$C$4)/('Choix pédagogiques'!$C$5-'Choix pédagogiques'!$C$4),"")</f>
        <v/>
      </c>
      <c r="AY964" s="55" t="str">
        <f aca="false">IF(AND('Choix pédagogiques'!$C$4&lt;&gt;"?",'Choix pédagogiques'!$C$5&lt;&gt;"?",AD964&lt;&gt;""),(AD964-'Choix pédagogiques'!$C$4)/('Choix pédagogiques'!$C$5-'Choix pédagogiques'!$C$4),"")</f>
        <v/>
      </c>
      <c r="AZ964" s="53" t="str">
        <f aca="false">IF($J964&lt;&gt;"",$J964,"")</f>
        <v/>
      </c>
      <c r="BA964" s="52" t="str">
        <f aca="false">IF($A964&lt;&gt;"",$A964,"")</f>
        <v>Apprenant 952</v>
      </c>
      <c r="BB964" s="55" t="str">
        <f aca="false">IF(AND($AR964&lt;&gt;"",$AS964&lt;&gt;""),$AS964-$AR964,"")</f>
        <v/>
      </c>
      <c r="BC964" s="55" t="str">
        <f aca="false">IF(AND($AR964&lt;&gt;"",$AT964&lt;&gt;""),$AT964-$AR964,"")</f>
        <v/>
      </c>
      <c r="BD964" s="55" t="str">
        <f aca="false">IF(AND($AS964&lt;&gt;"",$AT964&lt;&gt;""),$AT964-$AS964,"")</f>
        <v/>
      </c>
      <c r="BE964" s="53" t="str">
        <f aca="false">IF($E964&lt;&gt;"",$E964,"")</f>
        <v/>
      </c>
      <c r="BF964" s="52" t="str">
        <f aca="false">IF($F964&lt;&gt;"",$F964,"")</f>
        <v>Apprenant 952 ou 952'</v>
      </c>
      <c r="BG964" s="55" t="str">
        <f aca="false">IF(AND($AW964&lt;&gt;"",$AX964&lt;&gt;""),$AX964-$AW964,"")</f>
        <v/>
      </c>
      <c r="BH964" s="55" t="str">
        <f aca="false">IF(AND($AW964&lt;&gt;"",$AY964&lt;&gt;""),$AY964-$AW964,"")</f>
        <v/>
      </c>
      <c r="BI964" s="55" t="str">
        <f aca="false">IF(AND($AX964&lt;&gt;"",$AY964&lt;&gt;""),$AY964-$AX964,"")</f>
        <v/>
      </c>
      <c r="BJ964" s="53" t="str">
        <f aca="false">IF($J964&lt;&gt;"",$J964,"")</f>
        <v/>
      </c>
      <c r="BL964" s="52"/>
      <c r="BM964" s="52" t="str">
        <f aca="false">IF(OR(COUNT(B964:D1963)=0,AND('Choix pédagogiques'!$C$3&lt;&gt;1,'Choix pédagogiques'!$C$3&lt;&gt;2)),"",IF(AND(OR('Choix pédagogiques'!$C$3=1,'Choix pédagogiques'!$C$3=2),$B964&lt;&gt;"",$C964&lt;&gt;"",$D964&lt;&gt;""),1,0))</f>
        <v/>
      </c>
      <c r="BN964" s="52" t="str">
        <f aca="false">IF(OR(COUNT(G964:I1963)=0,AND('Choix pédagogiques'!$C$3&lt;&gt;1,'Choix pédagogiques'!$C$3&lt;&gt;2)),"",IF(AND(OR('Choix pédagogiques'!$C$3=1,'Choix pédagogiques'!$C$3=2),AND($G964&lt;&gt;"",$H964&lt;&gt;"",$I964&lt;&gt;"")),1,0))</f>
        <v/>
      </c>
      <c r="BO964" s="52" t="str">
        <f aca="false">IF(OR(COUNT(B964:D1963)=0,COUNT(G964:I1963)=0,'Choix pédagogiques'!C$3&lt;&gt;3),"",IF(AND('Choix pédagogiques'!$C$3=3,$B964&lt;&gt;"",$C964&lt;&gt;"",$D964&lt;&gt;"",$G964&lt;&gt;"",$H964&lt;&gt;"",$I964&lt;&gt;""),1,0))</f>
        <v/>
      </c>
      <c r="BR964" s="52" t="n">
        <v>567</v>
      </c>
      <c r="BS964" s="52" t="n">
        <v>1925</v>
      </c>
    </row>
    <row r="965" s="54" customFormat="true" ht="18" hidden="false" customHeight="true" outlineLevel="0" collapsed="false">
      <c r="A965" s="57" t="s">
        <v>1861</v>
      </c>
      <c r="B965" s="51"/>
      <c r="C965" s="51"/>
      <c r="D965" s="51"/>
      <c r="E965" s="51"/>
      <c r="F965" s="57" t="s">
        <v>1862</v>
      </c>
      <c r="G965" s="51"/>
      <c r="H965" s="51"/>
      <c r="I965" s="51"/>
      <c r="J965" s="51"/>
      <c r="K965" s="52" t="str">
        <f aca="false">IF($A965&lt;&gt;"",$A965,"")</f>
        <v>Apprenant 953</v>
      </c>
      <c r="L965" s="53" t="str">
        <f aca="false">IF(AND($B965&lt;&gt;"",$C965&lt;&gt;""),$C965-$B965,"")</f>
        <v/>
      </c>
      <c r="M965" s="53" t="str">
        <f aca="false">IF(AND($B965&lt;&gt;"",$D965&lt;&gt;""),$D965-$B965,"")</f>
        <v/>
      </c>
      <c r="N965" s="53" t="str">
        <f aca="false">IF(AND($C965&lt;&gt;"",$D965&lt;&gt;""),$D965-$C965,"")</f>
        <v/>
      </c>
      <c r="O965" s="53" t="str">
        <f aca="false">IF($E965&lt;&gt;"",$E965,"")</f>
        <v/>
      </c>
      <c r="P965" s="52" t="str">
        <f aca="false">IF($F965&lt;&gt;"",$F965,"")</f>
        <v>Apprenant 953 ou 953'</v>
      </c>
      <c r="Q965" s="53" t="str">
        <f aca="false">IF(AND($G965&lt;&gt;"",$H965&lt;&gt;""),$H965-$G965,"")</f>
        <v/>
      </c>
      <c r="R965" s="53" t="str">
        <f aca="false">IF(AND($G965&lt;&gt;"",$I965&lt;&gt;""),$I965-$G965,"")</f>
        <v/>
      </c>
      <c r="S965" s="53" t="str">
        <f aca="false">IF(AND($H965&lt;&gt;"",$I965&lt;&gt;""),$I965-$H965,"")</f>
        <v/>
      </c>
      <c r="T965" s="53" t="str">
        <f aca="false">IF($J965&lt;&gt;"",$J965,"")</f>
        <v/>
      </c>
      <c r="V965" s="52" t="str">
        <f aca="false">IF($A965&lt;&gt;"",$A965,"")</f>
        <v>Apprenant 953</v>
      </c>
      <c r="W965" s="53" t="str">
        <f aca="false">IF(AND(OR('Choix pédagogiques'!$C$3=1,'Choix pédagogiques'!$C$3=2),$BM965=1),B965,IF(AND('Choix pédagogiques'!$C$3=3,$BO965=1),B965,""))</f>
        <v/>
      </c>
      <c r="X965" s="53" t="str">
        <f aca="false">IF(AND(OR('Choix pédagogiques'!$C$3=1,'Choix pédagogiques'!$C$3=2),$BM965=1),C965,IF(AND('Choix pédagogiques'!$C$3=3,$BO965=1),C965,""))</f>
        <v/>
      </c>
      <c r="Y965" s="53" t="str">
        <f aca="false">IF(AND(OR('Choix pédagogiques'!$C$3=1,'Choix pédagogiques'!$C$3=2),$BM965=1),D965,IF(AND('Choix pédagogiques'!$C$3=3,$BO965=1),D965,""))</f>
        <v/>
      </c>
      <c r="Z965" s="53" t="str">
        <f aca="false">IF($E965&lt;&gt;"",$E965,"")</f>
        <v/>
      </c>
      <c r="AA965" s="52" t="str">
        <f aca="false">IF($F965&lt;&gt;"",$F965,"")</f>
        <v>Apprenant 953 ou 953'</v>
      </c>
      <c r="AB965" s="53" t="str">
        <f aca="false">IF(AND(OR('Choix pédagogiques'!$C$3=1,'Choix pédagogiques'!$C$3=2),$BN965=1),G965,IF(AND('Choix pédagogiques'!$C$3=3,$BO965=1),G965,""))</f>
        <v/>
      </c>
      <c r="AC965" s="53" t="str">
        <f aca="false">IF(AND(OR('Choix pédagogiques'!$C$3=1,'Choix pédagogiques'!$C$3=2),$BN965=1),H965,IF(AND('Choix pédagogiques'!$C$3=3,$BO965=1),H965,""))</f>
        <v/>
      </c>
      <c r="AD965" s="53" t="str">
        <f aca="false">IF(AND(OR('Choix pédagogiques'!$C$3=1,'Choix pédagogiques'!$C$3=2),$BN965=1),I965,IF(AND('Choix pédagogiques'!$C$3=3,$BO965=1),I965,""))</f>
        <v/>
      </c>
      <c r="AE965" s="53" t="str">
        <f aca="false">IF($J965&lt;&gt;"",$J965,"")</f>
        <v/>
      </c>
      <c r="AF965" s="52" t="str">
        <f aca="false">IF($A965&lt;&gt;"",$A965,"")</f>
        <v>Apprenant 953</v>
      </c>
      <c r="AG965" s="53" t="str">
        <f aca="false">IF(AND($W965&lt;&gt;"",$X965&lt;&gt;""),$X965-$W965,"")</f>
        <v/>
      </c>
      <c r="AH965" s="53" t="str">
        <f aca="false">IF(AND($W965&lt;&gt;"",$Y965&lt;&gt;""),$Y965-$W965,"")</f>
        <v/>
      </c>
      <c r="AI965" s="53" t="str">
        <f aca="false">IF(AND($X965&lt;&gt;"",$Y965&lt;&gt;""),$Y965-$X965,"")</f>
        <v/>
      </c>
      <c r="AJ965" s="53" t="str">
        <f aca="false">IF($E965&lt;&gt;"",$E965,"")</f>
        <v/>
      </c>
      <c r="AK965" s="52" t="str">
        <f aca="false">IF($F965&lt;&gt;"",$F965,"")</f>
        <v>Apprenant 953 ou 953'</v>
      </c>
      <c r="AL965" s="53" t="str">
        <f aca="false">IF(AND($AB965&lt;&gt;"",$AC965&lt;&gt;""),$AC965-$AB965,"")</f>
        <v/>
      </c>
      <c r="AM965" s="53" t="str">
        <f aca="false">IF(AND($AB965&lt;&gt;"",$AD965&lt;&gt;""),$AD965-$AB965,"")</f>
        <v/>
      </c>
      <c r="AN965" s="53" t="str">
        <f aca="false">IF(AND($AC965&lt;&gt;"",$AD965&lt;&gt;""),$AD965-$AC965,"")</f>
        <v/>
      </c>
      <c r="AO965" s="53" t="str">
        <f aca="false">IF($J965&lt;&gt;"",$J965,"")</f>
        <v/>
      </c>
      <c r="AQ965" s="52" t="str">
        <f aca="false">IF($A965&lt;&gt;"",$A965,"")</f>
        <v>Apprenant 953</v>
      </c>
      <c r="AR965" s="55" t="str">
        <f aca="false">IF(AND('Choix pédagogiques'!$C$4&lt;&gt;"?",'Choix pédagogiques'!$C$5&lt;&gt;"?",W965&lt;&gt;""),(W965-'Choix pédagogiques'!$C$4)/('Choix pédagogiques'!$C$5-'Choix pédagogiques'!$C$4),"")</f>
        <v/>
      </c>
      <c r="AS965" s="55" t="str">
        <f aca="false">IF(AND('Choix pédagogiques'!$C$4&lt;&gt;"?",'Choix pédagogiques'!$C$5&lt;&gt;"?",X965&lt;&gt;""),(X965-'Choix pédagogiques'!$C$4)/('Choix pédagogiques'!$C$5-'Choix pédagogiques'!$C$4),"")</f>
        <v/>
      </c>
      <c r="AT965" s="55" t="str">
        <f aca="false">IF(AND('Choix pédagogiques'!$C$4&lt;&gt;"?",'Choix pédagogiques'!$C$5&lt;&gt;"?",Y965&lt;&gt;""),(Y965-'Choix pédagogiques'!$C$4)/('Choix pédagogiques'!$C$5-'Choix pédagogiques'!$C$4),"")</f>
        <v/>
      </c>
      <c r="AU965" s="53" t="str">
        <f aca="false">IF($E965&lt;&gt;"",$E965,"")</f>
        <v/>
      </c>
      <c r="AV965" s="52" t="str">
        <f aca="false">IF($F965&lt;&gt;"",$F965,"")</f>
        <v>Apprenant 953 ou 953'</v>
      </c>
      <c r="AW965" s="55" t="str">
        <f aca="false">IF(AND('Choix pédagogiques'!$C$4&lt;&gt;"?",'Choix pédagogiques'!$C$5&lt;&gt;"?",AB965&lt;&gt;""),(AB965-'Choix pédagogiques'!$C$4)/('Choix pédagogiques'!$C$5-'Choix pédagogiques'!$C$4),"")</f>
        <v/>
      </c>
      <c r="AX965" s="55" t="str">
        <f aca="false">IF(AND('Choix pédagogiques'!$C$4&lt;&gt;"?",'Choix pédagogiques'!$C$5&lt;&gt;"?",AC965&lt;&gt;""),(AC965-'Choix pédagogiques'!$C$4)/('Choix pédagogiques'!$C$5-'Choix pédagogiques'!$C$4),"")</f>
        <v/>
      </c>
      <c r="AY965" s="55" t="str">
        <f aca="false">IF(AND('Choix pédagogiques'!$C$4&lt;&gt;"?",'Choix pédagogiques'!$C$5&lt;&gt;"?",AD965&lt;&gt;""),(AD965-'Choix pédagogiques'!$C$4)/('Choix pédagogiques'!$C$5-'Choix pédagogiques'!$C$4),"")</f>
        <v/>
      </c>
      <c r="AZ965" s="53" t="str">
        <f aca="false">IF($J965&lt;&gt;"",$J965,"")</f>
        <v/>
      </c>
      <c r="BA965" s="52" t="str">
        <f aca="false">IF($A965&lt;&gt;"",$A965,"")</f>
        <v>Apprenant 953</v>
      </c>
      <c r="BB965" s="55" t="str">
        <f aca="false">IF(AND($AR965&lt;&gt;"",$AS965&lt;&gt;""),$AS965-$AR965,"")</f>
        <v/>
      </c>
      <c r="BC965" s="55" t="str">
        <f aca="false">IF(AND($AR965&lt;&gt;"",$AT965&lt;&gt;""),$AT965-$AR965,"")</f>
        <v/>
      </c>
      <c r="BD965" s="55" t="str">
        <f aca="false">IF(AND($AS965&lt;&gt;"",$AT965&lt;&gt;""),$AT965-$AS965,"")</f>
        <v/>
      </c>
      <c r="BE965" s="53" t="str">
        <f aca="false">IF($E965&lt;&gt;"",$E965,"")</f>
        <v/>
      </c>
      <c r="BF965" s="52" t="str">
        <f aca="false">IF($F965&lt;&gt;"",$F965,"")</f>
        <v>Apprenant 953 ou 953'</v>
      </c>
      <c r="BG965" s="55" t="str">
        <f aca="false">IF(AND($AW965&lt;&gt;"",$AX965&lt;&gt;""),$AX965-$AW965,"")</f>
        <v/>
      </c>
      <c r="BH965" s="55" t="str">
        <f aca="false">IF(AND($AW965&lt;&gt;"",$AY965&lt;&gt;""),$AY965-$AW965,"")</f>
        <v/>
      </c>
      <c r="BI965" s="55" t="str">
        <f aca="false">IF(AND($AX965&lt;&gt;"",$AY965&lt;&gt;""),$AY965-$AX965,"")</f>
        <v/>
      </c>
      <c r="BJ965" s="53" t="str">
        <f aca="false">IF($J965&lt;&gt;"",$J965,"")</f>
        <v/>
      </c>
      <c r="BL965" s="52"/>
      <c r="BM965" s="52" t="str">
        <f aca="false">IF(OR(COUNT(B965:D1964)=0,AND('Choix pédagogiques'!$C$3&lt;&gt;1,'Choix pédagogiques'!$C$3&lt;&gt;2)),"",IF(AND(OR('Choix pédagogiques'!$C$3=1,'Choix pédagogiques'!$C$3=2),$B965&lt;&gt;"",$C965&lt;&gt;"",$D965&lt;&gt;""),1,0))</f>
        <v/>
      </c>
      <c r="BN965" s="52" t="str">
        <f aca="false">IF(OR(COUNT(G965:I1964)=0,AND('Choix pédagogiques'!$C$3&lt;&gt;1,'Choix pédagogiques'!$C$3&lt;&gt;2)),"",IF(AND(OR('Choix pédagogiques'!$C$3=1,'Choix pédagogiques'!$C$3=2),AND($G965&lt;&gt;"",$H965&lt;&gt;"",$I965&lt;&gt;"")),1,0))</f>
        <v/>
      </c>
      <c r="BO965" s="52" t="str">
        <f aca="false">IF(OR(COUNT(B965:D1964)=0,COUNT(G965:I1964)=0,'Choix pédagogiques'!C$3&lt;&gt;3),"",IF(AND('Choix pédagogiques'!$C$3=3,$B965&lt;&gt;"",$C965&lt;&gt;"",$D965&lt;&gt;"",$G965&lt;&gt;"",$H965&lt;&gt;"",$I965&lt;&gt;""),1,0))</f>
        <v/>
      </c>
      <c r="BR965" s="52" t="n">
        <v>784</v>
      </c>
      <c r="BS965" s="52" t="n">
        <v>1429</v>
      </c>
    </row>
    <row r="966" s="54" customFormat="true" ht="18" hidden="false" customHeight="true" outlineLevel="0" collapsed="false">
      <c r="A966" s="57" t="s">
        <v>1863</v>
      </c>
      <c r="B966" s="51"/>
      <c r="C966" s="51"/>
      <c r="D966" s="51"/>
      <c r="E966" s="51"/>
      <c r="F966" s="57" t="s">
        <v>1864</v>
      </c>
      <c r="G966" s="51"/>
      <c r="H966" s="51"/>
      <c r="I966" s="51"/>
      <c r="J966" s="51"/>
      <c r="K966" s="52" t="str">
        <f aca="false">IF($A966&lt;&gt;"",$A966,"")</f>
        <v>Apprenant 954</v>
      </c>
      <c r="L966" s="53" t="str">
        <f aca="false">IF(AND($B966&lt;&gt;"",$C966&lt;&gt;""),$C966-$B966,"")</f>
        <v/>
      </c>
      <c r="M966" s="53" t="str">
        <f aca="false">IF(AND($B966&lt;&gt;"",$D966&lt;&gt;""),$D966-$B966,"")</f>
        <v/>
      </c>
      <c r="N966" s="53" t="str">
        <f aca="false">IF(AND($C966&lt;&gt;"",$D966&lt;&gt;""),$D966-$C966,"")</f>
        <v/>
      </c>
      <c r="O966" s="53" t="str">
        <f aca="false">IF($E966&lt;&gt;"",$E966,"")</f>
        <v/>
      </c>
      <c r="P966" s="52" t="str">
        <f aca="false">IF($F966&lt;&gt;"",$F966,"")</f>
        <v>Apprenant 954 ou 954'</v>
      </c>
      <c r="Q966" s="53" t="str">
        <f aca="false">IF(AND($G966&lt;&gt;"",$H966&lt;&gt;""),$H966-$G966,"")</f>
        <v/>
      </c>
      <c r="R966" s="53" t="str">
        <f aca="false">IF(AND($G966&lt;&gt;"",$I966&lt;&gt;""),$I966-$G966,"")</f>
        <v/>
      </c>
      <c r="S966" s="53" t="str">
        <f aca="false">IF(AND($H966&lt;&gt;"",$I966&lt;&gt;""),$I966-$H966,"")</f>
        <v/>
      </c>
      <c r="T966" s="53" t="str">
        <f aca="false">IF($J966&lt;&gt;"",$J966,"")</f>
        <v/>
      </c>
      <c r="V966" s="52" t="str">
        <f aca="false">IF($A966&lt;&gt;"",$A966,"")</f>
        <v>Apprenant 954</v>
      </c>
      <c r="W966" s="53" t="str">
        <f aca="false">IF(AND(OR('Choix pédagogiques'!$C$3=1,'Choix pédagogiques'!$C$3=2),$BM966=1),B966,IF(AND('Choix pédagogiques'!$C$3=3,$BO966=1),B966,""))</f>
        <v/>
      </c>
      <c r="X966" s="53" t="str">
        <f aca="false">IF(AND(OR('Choix pédagogiques'!$C$3=1,'Choix pédagogiques'!$C$3=2),$BM966=1),C966,IF(AND('Choix pédagogiques'!$C$3=3,$BO966=1),C966,""))</f>
        <v/>
      </c>
      <c r="Y966" s="53" t="str">
        <f aca="false">IF(AND(OR('Choix pédagogiques'!$C$3=1,'Choix pédagogiques'!$C$3=2),$BM966=1),D966,IF(AND('Choix pédagogiques'!$C$3=3,$BO966=1),D966,""))</f>
        <v/>
      </c>
      <c r="Z966" s="53" t="str">
        <f aca="false">IF($E966&lt;&gt;"",$E966,"")</f>
        <v/>
      </c>
      <c r="AA966" s="52" t="str">
        <f aca="false">IF($F966&lt;&gt;"",$F966,"")</f>
        <v>Apprenant 954 ou 954'</v>
      </c>
      <c r="AB966" s="53" t="str">
        <f aca="false">IF(AND(OR('Choix pédagogiques'!$C$3=1,'Choix pédagogiques'!$C$3=2),$BN966=1),G966,IF(AND('Choix pédagogiques'!$C$3=3,$BO966=1),G966,""))</f>
        <v/>
      </c>
      <c r="AC966" s="53" t="str">
        <f aca="false">IF(AND(OR('Choix pédagogiques'!$C$3=1,'Choix pédagogiques'!$C$3=2),$BN966=1),H966,IF(AND('Choix pédagogiques'!$C$3=3,$BO966=1),H966,""))</f>
        <v/>
      </c>
      <c r="AD966" s="53" t="str">
        <f aca="false">IF(AND(OR('Choix pédagogiques'!$C$3=1,'Choix pédagogiques'!$C$3=2),$BN966=1),I966,IF(AND('Choix pédagogiques'!$C$3=3,$BO966=1),I966,""))</f>
        <v/>
      </c>
      <c r="AE966" s="53" t="str">
        <f aca="false">IF($J966&lt;&gt;"",$J966,"")</f>
        <v/>
      </c>
      <c r="AF966" s="52" t="str">
        <f aca="false">IF($A966&lt;&gt;"",$A966,"")</f>
        <v>Apprenant 954</v>
      </c>
      <c r="AG966" s="53" t="str">
        <f aca="false">IF(AND($W966&lt;&gt;"",$X966&lt;&gt;""),$X966-$W966,"")</f>
        <v/>
      </c>
      <c r="AH966" s="53" t="str">
        <f aca="false">IF(AND($W966&lt;&gt;"",$Y966&lt;&gt;""),$Y966-$W966,"")</f>
        <v/>
      </c>
      <c r="AI966" s="53" t="str">
        <f aca="false">IF(AND($X966&lt;&gt;"",$Y966&lt;&gt;""),$Y966-$X966,"")</f>
        <v/>
      </c>
      <c r="AJ966" s="53" t="str">
        <f aca="false">IF($E966&lt;&gt;"",$E966,"")</f>
        <v/>
      </c>
      <c r="AK966" s="52" t="str">
        <f aca="false">IF($F966&lt;&gt;"",$F966,"")</f>
        <v>Apprenant 954 ou 954'</v>
      </c>
      <c r="AL966" s="53" t="str">
        <f aca="false">IF(AND($AB966&lt;&gt;"",$AC966&lt;&gt;""),$AC966-$AB966,"")</f>
        <v/>
      </c>
      <c r="AM966" s="53" t="str">
        <f aca="false">IF(AND($AB966&lt;&gt;"",$AD966&lt;&gt;""),$AD966-$AB966,"")</f>
        <v/>
      </c>
      <c r="AN966" s="53" t="str">
        <f aca="false">IF(AND($AC966&lt;&gt;"",$AD966&lt;&gt;""),$AD966-$AC966,"")</f>
        <v/>
      </c>
      <c r="AO966" s="53" t="str">
        <f aca="false">IF($J966&lt;&gt;"",$J966,"")</f>
        <v/>
      </c>
      <c r="AQ966" s="52" t="str">
        <f aca="false">IF($A966&lt;&gt;"",$A966,"")</f>
        <v>Apprenant 954</v>
      </c>
      <c r="AR966" s="55" t="str">
        <f aca="false">IF(AND('Choix pédagogiques'!$C$4&lt;&gt;"?",'Choix pédagogiques'!$C$5&lt;&gt;"?",W966&lt;&gt;""),(W966-'Choix pédagogiques'!$C$4)/('Choix pédagogiques'!$C$5-'Choix pédagogiques'!$C$4),"")</f>
        <v/>
      </c>
      <c r="AS966" s="55" t="str">
        <f aca="false">IF(AND('Choix pédagogiques'!$C$4&lt;&gt;"?",'Choix pédagogiques'!$C$5&lt;&gt;"?",X966&lt;&gt;""),(X966-'Choix pédagogiques'!$C$4)/('Choix pédagogiques'!$C$5-'Choix pédagogiques'!$C$4),"")</f>
        <v/>
      </c>
      <c r="AT966" s="55" t="str">
        <f aca="false">IF(AND('Choix pédagogiques'!$C$4&lt;&gt;"?",'Choix pédagogiques'!$C$5&lt;&gt;"?",Y966&lt;&gt;""),(Y966-'Choix pédagogiques'!$C$4)/('Choix pédagogiques'!$C$5-'Choix pédagogiques'!$C$4),"")</f>
        <v/>
      </c>
      <c r="AU966" s="53" t="str">
        <f aca="false">IF($E966&lt;&gt;"",$E966,"")</f>
        <v/>
      </c>
      <c r="AV966" s="52" t="str">
        <f aca="false">IF($F966&lt;&gt;"",$F966,"")</f>
        <v>Apprenant 954 ou 954'</v>
      </c>
      <c r="AW966" s="55" t="str">
        <f aca="false">IF(AND('Choix pédagogiques'!$C$4&lt;&gt;"?",'Choix pédagogiques'!$C$5&lt;&gt;"?",AB966&lt;&gt;""),(AB966-'Choix pédagogiques'!$C$4)/('Choix pédagogiques'!$C$5-'Choix pédagogiques'!$C$4),"")</f>
        <v/>
      </c>
      <c r="AX966" s="55" t="str">
        <f aca="false">IF(AND('Choix pédagogiques'!$C$4&lt;&gt;"?",'Choix pédagogiques'!$C$5&lt;&gt;"?",AC966&lt;&gt;""),(AC966-'Choix pédagogiques'!$C$4)/('Choix pédagogiques'!$C$5-'Choix pédagogiques'!$C$4),"")</f>
        <v/>
      </c>
      <c r="AY966" s="55" t="str">
        <f aca="false">IF(AND('Choix pédagogiques'!$C$4&lt;&gt;"?",'Choix pédagogiques'!$C$5&lt;&gt;"?",AD966&lt;&gt;""),(AD966-'Choix pédagogiques'!$C$4)/('Choix pédagogiques'!$C$5-'Choix pédagogiques'!$C$4),"")</f>
        <v/>
      </c>
      <c r="AZ966" s="53" t="str">
        <f aca="false">IF($J966&lt;&gt;"",$J966,"")</f>
        <v/>
      </c>
      <c r="BA966" s="52" t="str">
        <f aca="false">IF($A966&lt;&gt;"",$A966,"")</f>
        <v>Apprenant 954</v>
      </c>
      <c r="BB966" s="55" t="str">
        <f aca="false">IF(AND($AR966&lt;&gt;"",$AS966&lt;&gt;""),$AS966-$AR966,"")</f>
        <v/>
      </c>
      <c r="BC966" s="55" t="str">
        <f aca="false">IF(AND($AR966&lt;&gt;"",$AT966&lt;&gt;""),$AT966-$AR966,"")</f>
        <v/>
      </c>
      <c r="BD966" s="55" t="str">
        <f aca="false">IF(AND($AS966&lt;&gt;"",$AT966&lt;&gt;""),$AT966-$AS966,"")</f>
        <v/>
      </c>
      <c r="BE966" s="53" t="str">
        <f aca="false">IF($E966&lt;&gt;"",$E966,"")</f>
        <v/>
      </c>
      <c r="BF966" s="52" t="str">
        <f aca="false">IF($F966&lt;&gt;"",$F966,"")</f>
        <v>Apprenant 954 ou 954'</v>
      </c>
      <c r="BG966" s="55" t="str">
        <f aca="false">IF(AND($AW966&lt;&gt;"",$AX966&lt;&gt;""),$AX966-$AW966,"")</f>
        <v/>
      </c>
      <c r="BH966" s="55" t="str">
        <f aca="false">IF(AND($AW966&lt;&gt;"",$AY966&lt;&gt;""),$AY966-$AW966,"")</f>
        <v/>
      </c>
      <c r="BI966" s="55" t="str">
        <f aca="false">IF(AND($AX966&lt;&gt;"",$AY966&lt;&gt;""),$AY966-$AX966,"")</f>
        <v/>
      </c>
      <c r="BJ966" s="53" t="str">
        <f aca="false">IF($J966&lt;&gt;"",$J966,"")</f>
        <v/>
      </c>
      <c r="BL966" s="52"/>
      <c r="BM966" s="52" t="str">
        <f aca="false">IF(OR(COUNT(B966:D1965)=0,AND('Choix pédagogiques'!$C$3&lt;&gt;1,'Choix pédagogiques'!$C$3&lt;&gt;2)),"",IF(AND(OR('Choix pédagogiques'!$C$3=1,'Choix pédagogiques'!$C$3=2),$B966&lt;&gt;"",$C966&lt;&gt;"",$D966&lt;&gt;""),1,0))</f>
        <v/>
      </c>
      <c r="BN966" s="52" t="str">
        <f aca="false">IF(OR(COUNT(G966:I1965)=0,AND('Choix pédagogiques'!$C$3&lt;&gt;1,'Choix pédagogiques'!$C$3&lt;&gt;2)),"",IF(AND(OR('Choix pédagogiques'!$C$3=1,'Choix pédagogiques'!$C$3=2),AND($G966&lt;&gt;"",$H966&lt;&gt;"",$I966&lt;&gt;"")),1,0))</f>
        <v/>
      </c>
      <c r="BO966" s="52" t="str">
        <f aca="false">IF(OR(COUNT(B966:D1965)=0,COUNT(G966:I1965)=0,'Choix pédagogiques'!C$3&lt;&gt;3),"",IF(AND('Choix pédagogiques'!$C$3=3,$B966&lt;&gt;"",$C966&lt;&gt;"",$D966&lt;&gt;"",$G966&lt;&gt;"",$H966&lt;&gt;"",$I966&lt;&gt;""),1,0))</f>
        <v/>
      </c>
      <c r="BR966" s="52" t="n">
        <v>874</v>
      </c>
      <c r="BS966" s="52" t="n">
        <v>1638</v>
      </c>
    </row>
    <row r="967" s="54" customFormat="true" ht="18" hidden="false" customHeight="true" outlineLevel="0" collapsed="false">
      <c r="A967" s="57" t="s">
        <v>1865</v>
      </c>
      <c r="B967" s="51"/>
      <c r="C967" s="51"/>
      <c r="D967" s="51"/>
      <c r="E967" s="51"/>
      <c r="F967" s="57" t="s">
        <v>1866</v>
      </c>
      <c r="G967" s="51"/>
      <c r="H967" s="51"/>
      <c r="I967" s="51"/>
      <c r="J967" s="51"/>
      <c r="K967" s="52" t="str">
        <f aca="false">IF($A967&lt;&gt;"",$A967,"")</f>
        <v>Apprenant 955</v>
      </c>
      <c r="L967" s="53" t="str">
        <f aca="false">IF(AND($B967&lt;&gt;"",$C967&lt;&gt;""),$C967-$B967,"")</f>
        <v/>
      </c>
      <c r="M967" s="53" t="str">
        <f aca="false">IF(AND($B967&lt;&gt;"",$D967&lt;&gt;""),$D967-$B967,"")</f>
        <v/>
      </c>
      <c r="N967" s="53" t="str">
        <f aca="false">IF(AND($C967&lt;&gt;"",$D967&lt;&gt;""),$D967-$C967,"")</f>
        <v/>
      </c>
      <c r="O967" s="53" t="str">
        <f aca="false">IF($E967&lt;&gt;"",$E967,"")</f>
        <v/>
      </c>
      <c r="P967" s="52" t="str">
        <f aca="false">IF($F967&lt;&gt;"",$F967,"")</f>
        <v>Apprenant 955 ou 955'</v>
      </c>
      <c r="Q967" s="53" t="str">
        <f aca="false">IF(AND($G967&lt;&gt;"",$H967&lt;&gt;""),$H967-$G967,"")</f>
        <v/>
      </c>
      <c r="R967" s="53" t="str">
        <f aca="false">IF(AND($G967&lt;&gt;"",$I967&lt;&gt;""),$I967-$G967,"")</f>
        <v/>
      </c>
      <c r="S967" s="53" t="str">
        <f aca="false">IF(AND($H967&lt;&gt;"",$I967&lt;&gt;""),$I967-$H967,"")</f>
        <v/>
      </c>
      <c r="T967" s="53" t="str">
        <f aca="false">IF($J967&lt;&gt;"",$J967,"")</f>
        <v/>
      </c>
      <c r="V967" s="52" t="str">
        <f aca="false">IF($A967&lt;&gt;"",$A967,"")</f>
        <v>Apprenant 955</v>
      </c>
      <c r="W967" s="53" t="str">
        <f aca="false">IF(AND(OR('Choix pédagogiques'!$C$3=1,'Choix pédagogiques'!$C$3=2),$BM967=1),B967,IF(AND('Choix pédagogiques'!$C$3=3,$BO967=1),B967,""))</f>
        <v/>
      </c>
      <c r="X967" s="53" t="str">
        <f aca="false">IF(AND(OR('Choix pédagogiques'!$C$3=1,'Choix pédagogiques'!$C$3=2),$BM967=1),C967,IF(AND('Choix pédagogiques'!$C$3=3,$BO967=1),C967,""))</f>
        <v/>
      </c>
      <c r="Y967" s="53" t="str">
        <f aca="false">IF(AND(OR('Choix pédagogiques'!$C$3=1,'Choix pédagogiques'!$C$3=2),$BM967=1),D967,IF(AND('Choix pédagogiques'!$C$3=3,$BO967=1),D967,""))</f>
        <v/>
      </c>
      <c r="Z967" s="53" t="str">
        <f aca="false">IF($E967&lt;&gt;"",$E967,"")</f>
        <v/>
      </c>
      <c r="AA967" s="52" t="str">
        <f aca="false">IF($F967&lt;&gt;"",$F967,"")</f>
        <v>Apprenant 955 ou 955'</v>
      </c>
      <c r="AB967" s="53" t="str">
        <f aca="false">IF(AND(OR('Choix pédagogiques'!$C$3=1,'Choix pédagogiques'!$C$3=2),$BN967=1),G967,IF(AND('Choix pédagogiques'!$C$3=3,$BO967=1),G967,""))</f>
        <v/>
      </c>
      <c r="AC967" s="53" t="str">
        <f aca="false">IF(AND(OR('Choix pédagogiques'!$C$3=1,'Choix pédagogiques'!$C$3=2),$BN967=1),H967,IF(AND('Choix pédagogiques'!$C$3=3,$BO967=1),H967,""))</f>
        <v/>
      </c>
      <c r="AD967" s="53" t="str">
        <f aca="false">IF(AND(OR('Choix pédagogiques'!$C$3=1,'Choix pédagogiques'!$C$3=2),$BN967=1),I967,IF(AND('Choix pédagogiques'!$C$3=3,$BO967=1),I967,""))</f>
        <v/>
      </c>
      <c r="AE967" s="53" t="str">
        <f aca="false">IF($J967&lt;&gt;"",$J967,"")</f>
        <v/>
      </c>
      <c r="AF967" s="52" t="str">
        <f aca="false">IF($A967&lt;&gt;"",$A967,"")</f>
        <v>Apprenant 955</v>
      </c>
      <c r="AG967" s="53" t="str">
        <f aca="false">IF(AND($W967&lt;&gt;"",$X967&lt;&gt;""),$X967-$W967,"")</f>
        <v/>
      </c>
      <c r="AH967" s="53" t="str">
        <f aca="false">IF(AND($W967&lt;&gt;"",$Y967&lt;&gt;""),$Y967-$W967,"")</f>
        <v/>
      </c>
      <c r="AI967" s="53" t="str">
        <f aca="false">IF(AND($X967&lt;&gt;"",$Y967&lt;&gt;""),$Y967-$X967,"")</f>
        <v/>
      </c>
      <c r="AJ967" s="53" t="str">
        <f aca="false">IF($E967&lt;&gt;"",$E967,"")</f>
        <v/>
      </c>
      <c r="AK967" s="52" t="str">
        <f aca="false">IF($F967&lt;&gt;"",$F967,"")</f>
        <v>Apprenant 955 ou 955'</v>
      </c>
      <c r="AL967" s="53" t="str">
        <f aca="false">IF(AND($AB967&lt;&gt;"",$AC967&lt;&gt;""),$AC967-$AB967,"")</f>
        <v/>
      </c>
      <c r="AM967" s="53" t="str">
        <f aca="false">IF(AND($AB967&lt;&gt;"",$AD967&lt;&gt;""),$AD967-$AB967,"")</f>
        <v/>
      </c>
      <c r="AN967" s="53" t="str">
        <f aca="false">IF(AND($AC967&lt;&gt;"",$AD967&lt;&gt;""),$AD967-$AC967,"")</f>
        <v/>
      </c>
      <c r="AO967" s="53" t="str">
        <f aca="false">IF($J967&lt;&gt;"",$J967,"")</f>
        <v/>
      </c>
      <c r="AQ967" s="52" t="str">
        <f aca="false">IF($A967&lt;&gt;"",$A967,"")</f>
        <v>Apprenant 955</v>
      </c>
      <c r="AR967" s="55" t="str">
        <f aca="false">IF(AND('Choix pédagogiques'!$C$4&lt;&gt;"?",'Choix pédagogiques'!$C$5&lt;&gt;"?",W967&lt;&gt;""),(W967-'Choix pédagogiques'!$C$4)/('Choix pédagogiques'!$C$5-'Choix pédagogiques'!$C$4),"")</f>
        <v/>
      </c>
      <c r="AS967" s="55" t="str">
        <f aca="false">IF(AND('Choix pédagogiques'!$C$4&lt;&gt;"?",'Choix pédagogiques'!$C$5&lt;&gt;"?",X967&lt;&gt;""),(X967-'Choix pédagogiques'!$C$4)/('Choix pédagogiques'!$C$5-'Choix pédagogiques'!$C$4),"")</f>
        <v/>
      </c>
      <c r="AT967" s="55" t="str">
        <f aca="false">IF(AND('Choix pédagogiques'!$C$4&lt;&gt;"?",'Choix pédagogiques'!$C$5&lt;&gt;"?",Y967&lt;&gt;""),(Y967-'Choix pédagogiques'!$C$4)/('Choix pédagogiques'!$C$5-'Choix pédagogiques'!$C$4),"")</f>
        <v/>
      </c>
      <c r="AU967" s="53" t="str">
        <f aca="false">IF($E967&lt;&gt;"",$E967,"")</f>
        <v/>
      </c>
      <c r="AV967" s="52" t="str">
        <f aca="false">IF($F967&lt;&gt;"",$F967,"")</f>
        <v>Apprenant 955 ou 955'</v>
      </c>
      <c r="AW967" s="55" t="str">
        <f aca="false">IF(AND('Choix pédagogiques'!$C$4&lt;&gt;"?",'Choix pédagogiques'!$C$5&lt;&gt;"?",AB967&lt;&gt;""),(AB967-'Choix pédagogiques'!$C$4)/('Choix pédagogiques'!$C$5-'Choix pédagogiques'!$C$4),"")</f>
        <v/>
      </c>
      <c r="AX967" s="55" t="str">
        <f aca="false">IF(AND('Choix pédagogiques'!$C$4&lt;&gt;"?",'Choix pédagogiques'!$C$5&lt;&gt;"?",AC967&lt;&gt;""),(AC967-'Choix pédagogiques'!$C$4)/('Choix pédagogiques'!$C$5-'Choix pédagogiques'!$C$4),"")</f>
        <v/>
      </c>
      <c r="AY967" s="55" t="str">
        <f aca="false">IF(AND('Choix pédagogiques'!$C$4&lt;&gt;"?",'Choix pédagogiques'!$C$5&lt;&gt;"?",AD967&lt;&gt;""),(AD967-'Choix pédagogiques'!$C$4)/('Choix pédagogiques'!$C$5-'Choix pédagogiques'!$C$4),"")</f>
        <v/>
      </c>
      <c r="AZ967" s="53" t="str">
        <f aca="false">IF($J967&lt;&gt;"",$J967,"")</f>
        <v/>
      </c>
      <c r="BA967" s="52" t="str">
        <f aca="false">IF($A967&lt;&gt;"",$A967,"")</f>
        <v>Apprenant 955</v>
      </c>
      <c r="BB967" s="55" t="str">
        <f aca="false">IF(AND($AR967&lt;&gt;"",$AS967&lt;&gt;""),$AS967-$AR967,"")</f>
        <v/>
      </c>
      <c r="BC967" s="55" t="str">
        <f aca="false">IF(AND($AR967&lt;&gt;"",$AT967&lt;&gt;""),$AT967-$AR967,"")</f>
        <v/>
      </c>
      <c r="BD967" s="55" t="str">
        <f aca="false">IF(AND($AS967&lt;&gt;"",$AT967&lt;&gt;""),$AT967-$AS967,"")</f>
        <v/>
      </c>
      <c r="BE967" s="53" t="str">
        <f aca="false">IF($E967&lt;&gt;"",$E967,"")</f>
        <v/>
      </c>
      <c r="BF967" s="52" t="str">
        <f aca="false">IF($F967&lt;&gt;"",$F967,"")</f>
        <v>Apprenant 955 ou 955'</v>
      </c>
      <c r="BG967" s="55" t="str">
        <f aca="false">IF(AND($AW967&lt;&gt;"",$AX967&lt;&gt;""),$AX967-$AW967,"")</f>
        <v/>
      </c>
      <c r="BH967" s="55" t="str">
        <f aca="false">IF(AND($AW967&lt;&gt;"",$AY967&lt;&gt;""),$AY967-$AW967,"")</f>
        <v/>
      </c>
      <c r="BI967" s="55" t="str">
        <f aca="false">IF(AND($AX967&lt;&gt;"",$AY967&lt;&gt;""),$AY967-$AX967,"")</f>
        <v/>
      </c>
      <c r="BJ967" s="53" t="str">
        <f aca="false">IF($J967&lt;&gt;"",$J967,"")</f>
        <v/>
      </c>
      <c r="BL967" s="52"/>
      <c r="BM967" s="52" t="str">
        <f aca="false">IF(OR(COUNT(B967:D1966)=0,AND('Choix pédagogiques'!$C$3&lt;&gt;1,'Choix pédagogiques'!$C$3&lt;&gt;2)),"",IF(AND(OR('Choix pédagogiques'!$C$3=1,'Choix pédagogiques'!$C$3=2),$B967&lt;&gt;"",$C967&lt;&gt;"",$D967&lt;&gt;""),1,0))</f>
        <v/>
      </c>
      <c r="BN967" s="52" t="str">
        <f aca="false">IF(OR(COUNT(G967:I1966)=0,AND('Choix pédagogiques'!$C$3&lt;&gt;1,'Choix pédagogiques'!$C$3&lt;&gt;2)),"",IF(AND(OR('Choix pédagogiques'!$C$3=1,'Choix pédagogiques'!$C$3=2),AND($G967&lt;&gt;"",$H967&lt;&gt;"",$I967&lt;&gt;"")),1,0))</f>
        <v/>
      </c>
      <c r="BO967" s="52" t="str">
        <f aca="false">IF(OR(COUNT(B967:D1966)=0,COUNT(G967:I1966)=0,'Choix pédagogiques'!C$3&lt;&gt;3),"",IF(AND('Choix pédagogiques'!$C$3=3,$B967&lt;&gt;"",$C967&lt;&gt;"",$D967&lt;&gt;"",$G967&lt;&gt;"",$H967&lt;&gt;"",$I967&lt;&gt;""),1,0))</f>
        <v/>
      </c>
      <c r="BR967" s="52" t="n">
        <v>83</v>
      </c>
      <c r="BS967" s="52" t="n">
        <v>1337</v>
      </c>
    </row>
    <row r="968" s="54" customFormat="true" ht="18" hidden="false" customHeight="true" outlineLevel="0" collapsed="false">
      <c r="A968" s="57" t="s">
        <v>1867</v>
      </c>
      <c r="B968" s="51"/>
      <c r="C968" s="51"/>
      <c r="D968" s="51"/>
      <c r="E968" s="51"/>
      <c r="F968" s="57" t="s">
        <v>1868</v>
      </c>
      <c r="G968" s="51"/>
      <c r="H968" s="51"/>
      <c r="I968" s="51"/>
      <c r="J968" s="51"/>
      <c r="K968" s="52" t="str">
        <f aca="false">IF($A968&lt;&gt;"",$A968,"")</f>
        <v>Apprenant 956</v>
      </c>
      <c r="L968" s="53" t="str">
        <f aca="false">IF(AND($B968&lt;&gt;"",$C968&lt;&gt;""),$C968-$B968,"")</f>
        <v/>
      </c>
      <c r="M968" s="53" t="str">
        <f aca="false">IF(AND($B968&lt;&gt;"",$D968&lt;&gt;""),$D968-$B968,"")</f>
        <v/>
      </c>
      <c r="N968" s="53" t="str">
        <f aca="false">IF(AND($C968&lt;&gt;"",$D968&lt;&gt;""),$D968-$C968,"")</f>
        <v/>
      </c>
      <c r="O968" s="53" t="str">
        <f aca="false">IF($E968&lt;&gt;"",$E968,"")</f>
        <v/>
      </c>
      <c r="P968" s="52" t="str">
        <f aca="false">IF($F968&lt;&gt;"",$F968,"")</f>
        <v>Apprenant 956 ou 956'</v>
      </c>
      <c r="Q968" s="53" t="str">
        <f aca="false">IF(AND($G968&lt;&gt;"",$H968&lt;&gt;""),$H968-$G968,"")</f>
        <v/>
      </c>
      <c r="R968" s="53" t="str">
        <f aca="false">IF(AND($G968&lt;&gt;"",$I968&lt;&gt;""),$I968-$G968,"")</f>
        <v/>
      </c>
      <c r="S968" s="53" t="str">
        <f aca="false">IF(AND($H968&lt;&gt;"",$I968&lt;&gt;""),$I968-$H968,"")</f>
        <v/>
      </c>
      <c r="T968" s="53" t="str">
        <f aca="false">IF($J968&lt;&gt;"",$J968,"")</f>
        <v/>
      </c>
      <c r="V968" s="52" t="str">
        <f aca="false">IF($A968&lt;&gt;"",$A968,"")</f>
        <v>Apprenant 956</v>
      </c>
      <c r="W968" s="53" t="str">
        <f aca="false">IF(AND(OR('Choix pédagogiques'!$C$3=1,'Choix pédagogiques'!$C$3=2),$BM968=1),B968,IF(AND('Choix pédagogiques'!$C$3=3,$BO968=1),B968,""))</f>
        <v/>
      </c>
      <c r="X968" s="53" t="str">
        <f aca="false">IF(AND(OR('Choix pédagogiques'!$C$3=1,'Choix pédagogiques'!$C$3=2),$BM968=1),C968,IF(AND('Choix pédagogiques'!$C$3=3,$BO968=1),C968,""))</f>
        <v/>
      </c>
      <c r="Y968" s="53" t="str">
        <f aca="false">IF(AND(OR('Choix pédagogiques'!$C$3=1,'Choix pédagogiques'!$C$3=2),$BM968=1),D968,IF(AND('Choix pédagogiques'!$C$3=3,$BO968=1),D968,""))</f>
        <v/>
      </c>
      <c r="Z968" s="53" t="str">
        <f aca="false">IF($E968&lt;&gt;"",$E968,"")</f>
        <v/>
      </c>
      <c r="AA968" s="52" t="str">
        <f aca="false">IF($F968&lt;&gt;"",$F968,"")</f>
        <v>Apprenant 956 ou 956'</v>
      </c>
      <c r="AB968" s="53" t="str">
        <f aca="false">IF(AND(OR('Choix pédagogiques'!$C$3=1,'Choix pédagogiques'!$C$3=2),$BN968=1),G968,IF(AND('Choix pédagogiques'!$C$3=3,$BO968=1),G968,""))</f>
        <v/>
      </c>
      <c r="AC968" s="53" t="str">
        <f aca="false">IF(AND(OR('Choix pédagogiques'!$C$3=1,'Choix pédagogiques'!$C$3=2),$BN968=1),H968,IF(AND('Choix pédagogiques'!$C$3=3,$BO968=1),H968,""))</f>
        <v/>
      </c>
      <c r="AD968" s="53" t="str">
        <f aca="false">IF(AND(OR('Choix pédagogiques'!$C$3=1,'Choix pédagogiques'!$C$3=2),$BN968=1),I968,IF(AND('Choix pédagogiques'!$C$3=3,$BO968=1),I968,""))</f>
        <v/>
      </c>
      <c r="AE968" s="53" t="str">
        <f aca="false">IF($J968&lt;&gt;"",$J968,"")</f>
        <v/>
      </c>
      <c r="AF968" s="52" t="str">
        <f aca="false">IF($A968&lt;&gt;"",$A968,"")</f>
        <v>Apprenant 956</v>
      </c>
      <c r="AG968" s="53" t="str">
        <f aca="false">IF(AND($W968&lt;&gt;"",$X968&lt;&gt;""),$X968-$W968,"")</f>
        <v/>
      </c>
      <c r="AH968" s="53" t="str">
        <f aca="false">IF(AND($W968&lt;&gt;"",$Y968&lt;&gt;""),$Y968-$W968,"")</f>
        <v/>
      </c>
      <c r="AI968" s="53" t="str">
        <f aca="false">IF(AND($X968&lt;&gt;"",$Y968&lt;&gt;""),$Y968-$X968,"")</f>
        <v/>
      </c>
      <c r="AJ968" s="53" t="str">
        <f aca="false">IF($E968&lt;&gt;"",$E968,"")</f>
        <v/>
      </c>
      <c r="AK968" s="52" t="str">
        <f aca="false">IF($F968&lt;&gt;"",$F968,"")</f>
        <v>Apprenant 956 ou 956'</v>
      </c>
      <c r="AL968" s="53" t="str">
        <f aca="false">IF(AND($AB968&lt;&gt;"",$AC968&lt;&gt;""),$AC968-$AB968,"")</f>
        <v/>
      </c>
      <c r="AM968" s="53" t="str">
        <f aca="false">IF(AND($AB968&lt;&gt;"",$AD968&lt;&gt;""),$AD968-$AB968,"")</f>
        <v/>
      </c>
      <c r="AN968" s="53" t="str">
        <f aca="false">IF(AND($AC968&lt;&gt;"",$AD968&lt;&gt;""),$AD968-$AC968,"")</f>
        <v/>
      </c>
      <c r="AO968" s="53" t="str">
        <f aca="false">IF($J968&lt;&gt;"",$J968,"")</f>
        <v/>
      </c>
      <c r="AQ968" s="52" t="str">
        <f aca="false">IF($A968&lt;&gt;"",$A968,"")</f>
        <v>Apprenant 956</v>
      </c>
      <c r="AR968" s="55" t="str">
        <f aca="false">IF(AND('Choix pédagogiques'!$C$4&lt;&gt;"?",'Choix pédagogiques'!$C$5&lt;&gt;"?",W968&lt;&gt;""),(W968-'Choix pédagogiques'!$C$4)/('Choix pédagogiques'!$C$5-'Choix pédagogiques'!$C$4),"")</f>
        <v/>
      </c>
      <c r="AS968" s="55" t="str">
        <f aca="false">IF(AND('Choix pédagogiques'!$C$4&lt;&gt;"?",'Choix pédagogiques'!$C$5&lt;&gt;"?",X968&lt;&gt;""),(X968-'Choix pédagogiques'!$C$4)/('Choix pédagogiques'!$C$5-'Choix pédagogiques'!$C$4),"")</f>
        <v/>
      </c>
      <c r="AT968" s="55" t="str">
        <f aca="false">IF(AND('Choix pédagogiques'!$C$4&lt;&gt;"?",'Choix pédagogiques'!$C$5&lt;&gt;"?",Y968&lt;&gt;""),(Y968-'Choix pédagogiques'!$C$4)/('Choix pédagogiques'!$C$5-'Choix pédagogiques'!$C$4),"")</f>
        <v/>
      </c>
      <c r="AU968" s="53" t="str">
        <f aca="false">IF($E968&lt;&gt;"",$E968,"")</f>
        <v/>
      </c>
      <c r="AV968" s="52" t="str">
        <f aca="false">IF($F968&lt;&gt;"",$F968,"")</f>
        <v>Apprenant 956 ou 956'</v>
      </c>
      <c r="AW968" s="55" t="str">
        <f aca="false">IF(AND('Choix pédagogiques'!$C$4&lt;&gt;"?",'Choix pédagogiques'!$C$5&lt;&gt;"?",AB968&lt;&gt;""),(AB968-'Choix pédagogiques'!$C$4)/('Choix pédagogiques'!$C$5-'Choix pédagogiques'!$C$4),"")</f>
        <v/>
      </c>
      <c r="AX968" s="55" t="str">
        <f aca="false">IF(AND('Choix pédagogiques'!$C$4&lt;&gt;"?",'Choix pédagogiques'!$C$5&lt;&gt;"?",AC968&lt;&gt;""),(AC968-'Choix pédagogiques'!$C$4)/('Choix pédagogiques'!$C$5-'Choix pédagogiques'!$C$4),"")</f>
        <v/>
      </c>
      <c r="AY968" s="55" t="str">
        <f aca="false">IF(AND('Choix pédagogiques'!$C$4&lt;&gt;"?",'Choix pédagogiques'!$C$5&lt;&gt;"?",AD968&lt;&gt;""),(AD968-'Choix pédagogiques'!$C$4)/('Choix pédagogiques'!$C$5-'Choix pédagogiques'!$C$4),"")</f>
        <v/>
      </c>
      <c r="AZ968" s="53" t="str">
        <f aca="false">IF($J968&lt;&gt;"",$J968,"")</f>
        <v/>
      </c>
      <c r="BA968" s="52" t="str">
        <f aca="false">IF($A968&lt;&gt;"",$A968,"")</f>
        <v>Apprenant 956</v>
      </c>
      <c r="BB968" s="55" t="str">
        <f aca="false">IF(AND($AR968&lt;&gt;"",$AS968&lt;&gt;""),$AS968-$AR968,"")</f>
        <v/>
      </c>
      <c r="BC968" s="55" t="str">
        <f aca="false">IF(AND($AR968&lt;&gt;"",$AT968&lt;&gt;""),$AT968-$AR968,"")</f>
        <v/>
      </c>
      <c r="BD968" s="55" t="str">
        <f aca="false">IF(AND($AS968&lt;&gt;"",$AT968&lt;&gt;""),$AT968-$AS968,"")</f>
        <v/>
      </c>
      <c r="BE968" s="53" t="str">
        <f aca="false">IF($E968&lt;&gt;"",$E968,"")</f>
        <v/>
      </c>
      <c r="BF968" s="52" t="str">
        <f aca="false">IF($F968&lt;&gt;"",$F968,"")</f>
        <v>Apprenant 956 ou 956'</v>
      </c>
      <c r="BG968" s="55" t="str">
        <f aca="false">IF(AND($AW968&lt;&gt;"",$AX968&lt;&gt;""),$AX968-$AW968,"")</f>
        <v/>
      </c>
      <c r="BH968" s="55" t="str">
        <f aca="false">IF(AND($AW968&lt;&gt;"",$AY968&lt;&gt;""),$AY968-$AW968,"")</f>
        <v/>
      </c>
      <c r="BI968" s="55" t="str">
        <f aca="false">IF(AND($AX968&lt;&gt;"",$AY968&lt;&gt;""),$AY968-$AX968,"")</f>
        <v/>
      </c>
      <c r="BJ968" s="53" t="str">
        <f aca="false">IF($J968&lt;&gt;"",$J968,"")</f>
        <v/>
      </c>
      <c r="BL968" s="52"/>
      <c r="BM968" s="52" t="str">
        <f aca="false">IF(OR(COUNT(B968:D1967)=0,AND('Choix pédagogiques'!$C$3&lt;&gt;1,'Choix pédagogiques'!$C$3&lt;&gt;2)),"",IF(AND(OR('Choix pédagogiques'!$C$3=1,'Choix pédagogiques'!$C$3=2),$B968&lt;&gt;"",$C968&lt;&gt;"",$D968&lt;&gt;""),1,0))</f>
        <v/>
      </c>
      <c r="BN968" s="52" t="str">
        <f aca="false">IF(OR(COUNT(G968:I1967)=0,AND('Choix pédagogiques'!$C$3&lt;&gt;1,'Choix pédagogiques'!$C$3&lt;&gt;2)),"",IF(AND(OR('Choix pédagogiques'!$C$3=1,'Choix pédagogiques'!$C$3=2),AND($G968&lt;&gt;"",$H968&lt;&gt;"",$I968&lt;&gt;"")),1,0))</f>
        <v/>
      </c>
      <c r="BO968" s="52" t="str">
        <f aca="false">IF(OR(COUNT(B968:D1967)=0,COUNT(G968:I1967)=0,'Choix pédagogiques'!C$3&lt;&gt;3),"",IF(AND('Choix pédagogiques'!$C$3=3,$B968&lt;&gt;"",$C968&lt;&gt;"",$D968&lt;&gt;"",$G968&lt;&gt;"",$H968&lt;&gt;"",$I968&lt;&gt;""),1,0))</f>
        <v/>
      </c>
      <c r="BR968" s="52" t="n">
        <v>783</v>
      </c>
      <c r="BS968" s="52" t="n">
        <v>1670</v>
      </c>
    </row>
    <row r="969" s="54" customFormat="true" ht="18" hidden="false" customHeight="true" outlineLevel="0" collapsed="false">
      <c r="A969" s="57" t="s">
        <v>1869</v>
      </c>
      <c r="B969" s="51"/>
      <c r="C969" s="51"/>
      <c r="D969" s="51"/>
      <c r="E969" s="51"/>
      <c r="F969" s="57" t="s">
        <v>1870</v>
      </c>
      <c r="G969" s="51"/>
      <c r="H969" s="51"/>
      <c r="I969" s="51"/>
      <c r="J969" s="51"/>
      <c r="K969" s="52" t="str">
        <f aca="false">IF($A969&lt;&gt;"",$A969,"")</f>
        <v>Apprenant 957</v>
      </c>
      <c r="L969" s="53" t="str">
        <f aca="false">IF(AND($B969&lt;&gt;"",$C969&lt;&gt;""),$C969-$B969,"")</f>
        <v/>
      </c>
      <c r="M969" s="53" t="str">
        <f aca="false">IF(AND($B969&lt;&gt;"",$D969&lt;&gt;""),$D969-$B969,"")</f>
        <v/>
      </c>
      <c r="N969" s="53" t="str">
        <f aca="false">IF(AND($C969&lt;&gt;"",$D969&lt;&gt;""),$D969-$C969,"")</f>
        <v/>
      </c>
      <c r="O969" s="53" t="str">
        <f aca="false">IF($E969&lt;&gt;"",$E969,"")</f>
        <v/>
      </c>
      <c r="P969" s="52" t="str">
        <f aca="false">IF($F969&lt;&gt;"",$F969,"")</f>
        <v>Apprenant 957 ou 957'</v>
      </c>
      <c r="Q969" s="53" t="str">
        <f aca="false">IF(AND($G969&lt;&gt;"",$H969&lt;&gt;""),$H969-$G969,"")</f>
        <v/>
      </c>
      <c r="R969" s="53" t="str">
        <f aca="false">IF(AND($G969&lt;&gt;"",$I969&lt;&gt;""),$I969-$G969,"")</f>
        <v/>
      </c>
      <c r="S969" s="53" t="str">
        <f aca="false">IF(AND($H969&lt;&gt;"",$I969&lt;&gt;""),$I969-$H969,"")</f>
        <v/>
      </c>
      <c r="T969" s="53" t="str">
        <f aca="false">IF($J969&lt;&gt;"",$J969,"")</f>
        <v/>
      </c>
      <c r="V969" s="52" t="str">
        <f aca="false">IF($A969&lt;&gt;"",$A969,"")</f>
        <v>Apprenant 957</v>
      </c>
      <c r="W969" s="53" t="str">
        <f aca="false">IF(AND(OR('Choix pédagogiques'!$C$3=1,'Choix pédagogiques'!$C$3=2),$BM969=1),B969,IF(AND('Choix pédagogiques'!$C$3=3,$BO969=1),B969,""))</f>
        <v/>
      </c>
      <c r="X969" s="53" t="str">
        <f aca="false">IF(AND(OR('Choix pédagogiques'!$C$3=1,'Choix pédagogiques'!$C$3=2),$BM969=1),C969,IF(AND('Choix pédagogiques'!$C$3=3,$BO969=1),C969,""))</f>
        <v/>
      </c>
      <c r="Y969" s="53" t="str">
        <f aca="false">IF(AND(OR('Choix pédagogiques'!$C$3=1,'Choix pédagogiques'!$C$3=2),$BM969=1),D969,IF(AND('Choix pédagogiques'!$C$3=3,$BO969=1),D969,""))</f>
        <v/>
      </c>
      <c r="Z969" s="53" t="str">
        <f aca="false">IF($E969&lt;&gt;"",$E969,"")</f>
        <v/>
      </c>
      <c r="AA969" s="52" t="str">
        <f aca="false">IF($F969&lt;&gt;"",$F969,"")</f>
        <v>Apprenant 957 ou 957'</v>
      </c>
      <c r="AB969" s="53" t="str">
        <f aca="false">IF(AND(OR('Choix pédagogiques'!$C$3=1,'Choix pédagogiques'!$C$3=2),$BN969=1),G969,IF(AND('Choix pédagogiques'!$C$3=3,$BO969=1),G969,""))</f>
        <v/>
      </c>
      <c r="AC969" s="53" t="str">
        <f aca="false">IF(AND(OR('Choix pédagogiques'!$C$3=1,'Choix pédagogiques'!$C$3=2),$BN969=1),H969,IF(AND('Choix pédagogiques'!$C$3=3,$BO969=1),H969,""))</f>
        <v/>
      </c>
      <c r="AD969" s="53" t="str">
        <f aca="false">IF(AND(OR('Choix pédagogiques'!$C$3=1,'Choix pédagogiques'!$C$3=2),$BN969=1),I969,IF(AND('Choix pédagogiques'!$C$3=3,$BO969=1),I969,""))</f>
        <v/>
      </c>
      <c r="AE969" s="53" t="str">
        <f aca="false">IF($J969&lt;&gt;"",$J969,"")</f>
        <v/>
      </c>
      <c r="AF969" s="52" t="str">
        <f aca="false">IF($A969&lt;&gt;"",$A969,"")</f>
        <v>Apprenant 957</v>
      </c>
      <c r="AG969" s="53" t="str">
        <f aca="false">IF(AND($W969&lt;&gt;"",$X969&lt;&gt;""),$X969-$W969,"")</f>
        <v/>
      </c>
      <c r="AH969" s="53" t="str">
        <f aca="false">IF(AND($W969&lt;&gt;"",$Y969&lt;&gt;""),$Y969-$W969,"")</f>
        <v/>
      </c>
      <c r="AI969" s="53" t="str">
        <f aca="false">IF(AND($X969&lt;&gt;"",$Y969&lt;&gt;""),$Y969-$X969,"")</f>
        <v/>
      </c>
      <c r="AJ969" s="53" t="str">
        <f aca="false">IF($E969&lt;&gt;"",$E969,"")</f>
        <v/>
      </c>
      <c r="AK969" s="52" t="str">
        <f aca="false">IF($F969&lt;&gt;"",$F969,"")</f>
        <v>Apprenant 957 ou 957'</v>
      </c>
      <c r="AL969" s="53" t="str">
        <f aca="false">IF(AND($AB969&lt;&gt;"",$AC969&lt;&gt;""),$AC969-$AB969,"")</f>
        <v/>
      </c>
      <c r="AM969" s="53" t="str">
        <f aca="false">IF(AND($AB969&lt;&gt;"",$AD969&lt;&gt;""),$AD969-$AB969,"")</f>
        <v/>
      </c>
      <c r="AN969" s="53" t="str">
        <f aca="false">IF(AND($AC969&lt;&gt;"",$AD969&lt;&gt;""),$AD969-$AC969,"")</f>
        <v/>
      </c>
      <c r="AO969" s="53" t="str">
        <f aca="false">IF($J969&lt;&gt;"",$J969,"")</f>
        <v/>
      </c>
      <c r="AQ969" s="52" t="str">
        <f aca="false">IF($A969&lt;&gt;"",$A969,"")</f>
        <v>Apprenant 957</v>
      </c>
      <c r="AR969" s="55" t="str">
        <f aca="false">IF(AND('Choix pédagogiques'!$C$4&lt;&gt;"?",'Choix pédagogiques'!$C$5&lt;&gt;"?",W969&lt;&gt;""),(W969-'Choix pédagogiques'!$C$4)/('Choix pédagogiques'!$C$5-'Choix pédagogiques'!$C$4),"")</f>
        <v/>
      </c>
      <c r="AS969" s="55" t="str">
        <f aca="false">IF(AND('Choix pédagogiques'!$C$4&lt;&gt;"?",'Choix pédagogiques'!$C$5&lt;&gt;"?",X969&lt;&gt;""),(X969-'Choix pédagogiques'!$C$4)/('Choix pédagogiques'!$C$5-'Choix pédagogiques'!$C$4),"")</f>
        <v/>
      </c>
      <c r="AT969" s="55" t="str">
        <f aca="false">IF(AND('Choix pédagogiques'!$C$4&lt;&gt;"?",'Choix pédagogiques'!$C$5&lt;&gt;"?",Y969&lt;&gt;""),(Y969-'Choix pédagogiques'!$C$4)/('Choix pédagogiques'!$C$5-'Choix pédagogiques'!$C$4),"")</f>
        <v/>
      </c>
      <c r="AU969" s="53" t="str">
        <f aca="false">IF($E969&lt;&gt;"",$E969,"")</f>
        <v/>
      </c>
      <c r="AV969" s="52" t="str">
        <f aca="false">IF($F969&lt;&gt;"",$F969,"")</f>
        <v>Apprenant 957 ou 957'</v>
      </c>
      <c r="AW969" s="55" t="str">
        <f aca="false">IF(AND('Choix pédagogiques'!$C$4&lt;&gt;"?",'Choix pédagogiques'!$C$5&lt;&gt;"?",AB969&lt;&gt;""),(AB969-'Choix pédagogiques'!$C$4)/('Choix pédagogiques'!$C$5-'Choix pédagogiques'!$C$4),"")</f>
        <v/>
      </c>
      <c r="AX969" s="55" t="str">
        <f aca="false">IF(AND('Choix pédagogiques'!$C$4&lt;&gt;"?",'Choix pédagogiques'!$C$5&lt;&gt;"?",AC969&lt;&gt;""),(AC969-'Choix pédagogiques'!$C$4)/('Choix pédagogiques'!$C$5-'Choix pédagogiques'!$C$4),"")</f>
        <v/>
      </c>
      <c r="AY969" s="55" t="str">
        <f aca="false">IF(AND('Choix pédagogiques'!$C$4&lt;&gt;"?",'Choix pédagogiques'!$C$5&lt;&gt;"?",AD969&lt;&gt;""),(AD969-'Choix pédagogiques'!$C$4)/('Choix pédagogiques'!$C$5-'Choix pédagogiques'!$C$4),"")</f>
        <v/>
      </c>
      <c r="AZ969" s="53" t="str">
        <f aca="false">IF($J969&lt;&gt;"",$J969,"")</f>
        <v/>
      </c>
      <c r="BA969" s="52" t="str">
        <f aca="false">IF($A969&lt;&gt;"",$A969,"")</f>
        <v>Apprenant 957</v>
      </c>
      <c r="BB969" s="55" t="str">
        <f aca="false">IF(AND($AR969&lt;&gt;"",$AS969&lt;&gt;""),$AS969-$AR969,"")</f>
        <v/>
      </c>
      <c r="BC969" s="55" t="str">
        <f aca="false">IF(AND($AR969&lt;&gt;"",$AT969&lt;&gt;""),$AT969-$AR969,"")</f>
        <v/>
      </c>
      <c r="BD969" s="55" t="str">
        <f aca="false">IF(AND($AS969&lt;&gt;"",$AT969&lt;&gt;""),$AT969-$AS969,"")</f>
        <v/>
      </c>
      <c r="BE969" s="53" t="str">
        <f aca="false">IF($E969&lt;&gt;"",$E969,"")</f>
        <v/>
      </c>
      <c r="BF969" s="52" t="str">
        <f aca="false">IF($F969&lt;&gt;"",$F969,"")</f>
        <v>Apprenant 957 ou 957'</v>
      </c>
      <c r="BG969" s="55" t="str">
        <f aca="false">IF(AND($AW969&lt;&gt;"",$AX969&lt;&gt;""),$AX969-$AW969,"")</f>
        <v/>
      </c>
      <c r="BH969" s="55" t="str">
        <f aca="false">IF(AND($AW969&lt;&gt;"",$AY969&lt;&gt;""),$AY969-$AW969,"")</f>
        <v/>
      </c>
      <c r="BI969" s="55" t="str">
        <f aca="false">IF(AND($AX969&lt;&gt;"",$AY969&lt;&gt;""),$AY969-$AX969,"")</f>
        <v/>
      </c>
      <c r="BJ969" s="53" t="str">
        <f aca="false">IF($J969&lt;&gt;"",$J969,"")</f>
        <v/>
      </c>
      <c r="BL969" s="52"/>
      <c r="BM969" s="52" t="str">
        <f aca="false">IF(OR(COUNT(B969:D1968)=0,AND('Choix pédagogiques'!$C$3&lt;&gt;1,'Choix pédagogiques'!$C$3&lt;&gt;2)),"",IF(AND(OR('Choix pédagogiques'!$C$3=1,'Choix pédagogiques'!$C$3=2),$B969&lt;&gt;"",$C969&lt;&gt;"",$D969&lt;&gt;""),1,0))</f>
        <v/>
      </c>
      <c r="BN969" s="52" t="str">
        <f aca="false">IF(OR(COUNT(G969:I1968)=0,AND('Choix pédagogiques'!$C$3&lt;&gt;1,'Choix pédagogiques'!$C$3&lt;&gt;2)),"",IF(AND(OR('Choix pédagogiques'!$C$3=1,'Choix pédagogiques'!$C$3=2),AND($G969&lt;&gt;"",$H969&lt;&gt;"",$I969&lt;&gt;"")),1,0))</f>
        <v/>
      </c>
      <c r="BO969" s="52" t="str">
        <f aca="false">IF(OR(COUNT(B969:D1968)=0,COUNT(G969:I1968)=0,'Choix pédagogiques'!C$3&lt;&gt;3),"",IF(AND('Choix pédagogiques'!$C$3=3,$B969&lt;&gt;"",$C969&lt;&gt;"",$D969&lt;&gt;"",$G969&lt;&gt;"",$H969&lt;&gt;"",$I969&lt;&gt;""),1,0))</f>
        <v/>
      </c>
      <c r="BR969" s="52" t="n">
        <v>693</v>
      </c>
      <c r="BS969" s="52" t="n">
        <v>1433</v>
      </c>
    </row>
    <row r="970" s="54" customFormat="true" ht="18" hidden="false" customHeight="true" outlineLevel="0" collapsed="false">
      <c r="A970" s="57" t="s">
        <v>1871</v>
      </c>
      <c r="B970" s="51"/>
      <c r="C970" s="51"/>
      <c r="D970" s="51"/>
      <c r="E970" s="51"/>
      <c r="F970" s="57" t="s">
        <v>1872</v>
      </c>
      <c r="G970" s="51"/>
      <c r="H970" s="51"/>
      <c r="I970" s="51"/>
      <c r="J970" s="51"/>
      <c r="K970" s="52" t="str">
        <f aca="false">IF($A970&lt;&gt;"",$A970,"")</f>
        <v>Apprenant 958</v>
      </c>
      <c r="L970" s="53" t="str">
        <f aca="false">IF(AND($B970&lt;&gt;"",$C970&lt;&gt;""),$C970-$B970,"")</f>
        <v/>
      </c>
      <c r="M970" s="53" t="str">
        <f aca="false">IF(AND($B970&lt;&gt;"",$D970&lt;&gt;""),$D970-$B970,"")</f>
        <v/>
      </c>
      <c r="N970" s="53" t="str">
        <f aca="false">IF(AND($C970&lt;&gt;"",$D970&lt;&gt;""),$D970-$C970,"")</f>
        <v/>
      </c>
      <c r="O970" s="53" t="str">
        <f aca="false">IF($E970&lt;&gt;"",$E970,"")</f>
        <v/>
      </c>
      <c r="P970" s="52" t="str">
        <f aca="false">IF($F970&lt;&gt;"",$F970,"")</f>
        <v>Apprenant 958 ou 958'</v>
      </c>
      <c r="Q970" s="53" t="str">
        <f aca="false">IF(AND($G970&lt;&gt;"",$H970&lt;&gt;""),$H970-$G970,"")</f>
        <v/>
      </c>
      <c r="R970" s="53" t="str">
        <f aca="false">IF(AND($G970&lt;&gt;"",$I970&lt;&gt;""),$I970-$G970,"")</f>
        <v/>
      </c>
      <c r="S970" s="53" t="str">
        <f aca="false">IF(AND($H970&lt;&gt;"",$I970&lt;&gt;""),$I970-$H970,"")</f>
        <v/>
      </c>
      <c r="T970" s="53" t="str">
        <f aca="false">IF($J970&lt;&gt;"",$J970,"")</f>
        <v/>
      </c>
      <c r="V970" s="52" t="str">
        <f aca="false">IF($A970&lt;&gt;"",$A970,"")</f>
        <v>Apprenant 958</v>
      </c>
      <c r="W970" s="53" t="str">
        <f aca="false">IF(AND(OR('Choix pédagogiques'!$C$3=1,'Choix pédagogiques'!$C$3=2),$BM970=1),B970,IF(AND('Choix pédagogiques'!$C$3=3,$BO970=1),B970,""))</f>
        <v/>
      </c>
      <c r="X970" s="53" t="str">
        <f aca="false">IF(AND(OR('Choix pédagogiques'!$C$3=1,'Choix pédagogiques'!$C$3=2),$BM970=1),C970,IF(AND('Choix pédagogiques'!$C$3=3,$BO970=1),C970,""))</f>
        <v/>
      </c>
      <c r="Y970" s="53" t="str">
        <f aca="false">IF(AND(OR('Choix pédagogiques'!$C$3=1,'Choix pédagogiques'!$C$3=2),$BM970=1),D970,IF(AND('Choix pédagogiques'!$C$3=3,$BO970=1),D970,""))</f>
        <v/>
      </c>
      <c r="Z970" s="53" t="str">
        <f aca="false">IF($E970&lt;&gt;"",$E970,"")</f>
        <v/>
      </c>
      <c r="AA970" s="52" t="str">
        <f aca="false">IF($F970&lt;&gt;"",$F970,"")</f>
        <v>Apprenant 958 ou 958'</v>
      </c>
      <c r="AB970" s="53" t="str">
        <f aca="false">IF(AND(OR('Choix pédagogiques'!$C$3=1,'Choix pédagogiques'!$C$3=2),$BN970=1),G970,IF(AND('Choix pédagogiques'!$C$3=3,$BO970=1),G970,""))</f>
        <v/>
      </c>
      <c r="AC970" s="53" t="str">
        <f aca="false">IF(AND(OR('Choix pédagogiques'!$C$3=1,'Choix pédagogiques'!$C$3=2),$BN970=1),H970,IF(AND('Choix pédagogiques'!$C$3=3,$BO970=1),H970,""))</f>
        <v/>
      </c>
      <c r="AD970" s="53" t="str">
        <f aca="false">IF(AND(OR('Choix pédagogiques'!$C$3=1,'Choix pédagogiques'!$C$3=2),$BN970=1),I970,IF(AND('Choix pédagogiques'!$C$3=3,$BO970=1),I970,""))</f>
        <v/>
      </c>
      <c r="AE970" s="53" t="str">
        <f aca="false">IF($J970&lt;&gt;"",$J970,"")</f>
        <v/>
      </c>
      <c r="AF970" s="52" t="str">
        <f aca="false">IF($A970&lt;&gt;"",$A970,"")</f>
        <v>Apprenant 958</v>
      </c>
      <c r="AG970" s="53" t="str">
        <f aca="false">IF(AND($W970&lt;&gt;"",$X970&lt;&gt;""),$X970-$W970,"")</f>
        <v/>
      </c>
      <c r="AH970" s="53" t="str">
        <f aca="false">IF(AND($W970&lt;&gt;"",$Y970&lt;&gt;""),$Y970-$W970,"")</f>
        <v/>
      </c>
      <c r="AI970" s="53" t="str">
        <f aca="false">IF(AND($X970&lt;&gt;"",$Y970&lt;&gt;""),$Y970-$X970,"")</f>
        <v/>
      </c>
      <c r="AJ970" s="53" t="str">
        <f aca="false">IF($E970&lt;&gt;"",$E970,"")</f>
        <v/>
      </c>
      <c r="AK970" s="52" t="str">
        <f aca="false">IF($F970&lt;&gt;"",$F970,"")</f>
        <v>Apprenant 958 ou 958'</v>
      </c>
      <c r="AL970" s="53" t="str">
        <f aca="false">IF(AND($AB970&lt;&gt;"",$AC970&lt;&gt;""),$AC970-$AB970,"")</f>
        <v/>
      </c>
      <c r="AM970" s="53" t="str">
        <f aca="false">IF(AND($AB970&lt;&gt;"",$AD970&lt;&gt;""),$AD970-$AB970,"")</f>
        <v/>
      </c>
      <c r="AN970" s="53" t="str">
        <f aca="false">IF(AND($AC970&lt;&gt;"",$AD970&lt;&gt;""),$AD970-$AC970,"")</f>
        <v/>
      </c>
      <c r="AO970" s="53" t="str">
        <f aca="false">IF($J970&lt;&gt;"",$J970,"")</f>
        <v/>
      </c>
      <c r="AQ970" s="52" t="str">
        <f aca="false">IF($A970&lt;&gt;"",$A970,"")</f>
        <v>Apprenant 958</v>
      </c>
      <c r="AR970" s="55" t="str">
        <f aca="false">IF(AND('Choix pédagogiques'!$C$4&lt;&gt;"?",'Choix pédagogiques'!$C$5&lt;&gt;"?",W970&lt;&gt;""),(W970-'Choix pédagogiques'!$C$4)/('Choix pédagogiques'!$C$5-'Choix pédagogiques'!$C$4),"")</f>
        <v/>
      </c>
      <c r="AS970" s="55" t="str">
        <f aca="false">IF(AND('Choix pédagogiques'!$C$4&lt;&gt;"?",'Choix pédagogiques'!$C$5&lt;&gt;"?",X970&lt;&gt;""),(X970-'Choix pédagogiques'!$C$4)/('Choix pédagogiques'!$C$5-'Choix pédagogiques'!$C$4),"")</f>
        <v/>
      </c>
      <c r="AT970" s="55" t="str">
        <f aca="false">IF(AND('Choix pédagogiques'!$C$4&lt;&gt;"?",'Choix pédagogiques'!$C$5&lt;&gt;"?",Y970&lt;&gt;""),(Y970-'Choix pédagogiques'!$C$4)/('Choix pédagogiques'!$C$5-'Choix pédagogiques'!$C$4),"")</f>
        <v/>
      </c>
      <c r="AU970" s="53" t="str">
        <f aca="false">IF($E970&lt;&gt;"",$E970,"")</f>
        <v/>
      </c>
      <c r="AV970" s="52" t="str">
        <f aca="false">IF($F970&lt;&gt;"",$F970,"")</f>
        <v>Apprenant 958 ou 958'</v>
      </c>
      <c r="AW970" s="55" t="str">
        <f aca="false">IF(AND('Choix pédagogiques'!$C$4&lt;&gt;"?",'Choix pédagogiques'!$C$5&lt;&gt;"?",AB970&lt;&gt;""),(AB970-'Choix pédagogiques'!$C$4)/('Choix pédagogiques'!$C$5-'Choix pédagogiques'!$C$4),"")</f>
        <v/>
      </c>
      <c r="AX970" s="55" t="str">
        <f aca="false">IF(AND('Choix pédagogiques'!$C$4&lt;&gt;"?",'Choix pédagogiques'!$C$5&lt;&gt;"?",AC970&lt;&gt;""),(AC970-'Choix pédagogiques'!$C$4)/('Choix pédagogiques'!$C$5-'Choix pédagogiques'!$C$4),"")</f>
        <v/>
      </c>
      <c r="AY970" s="55" t="str">
        <f aca="false">IF(AND('Choix pédagogiques'!$C$4&lt;&gt;"?",'Choix pédagogiques'!$C$5&lt;&gt;"?",AD970&lt;&gt;""),(AD970-'Choix pédagogiques'!$C$4)/('Choix pédagogiques'!$C$5-'Choix pédagogiques'!$C$4),"")</f>
        <v/>
      </c>
      <c r="AZ970" s="53" t="str">
        <f aca="false">IF($J970&lt;&gt;"",$J970,"")</f>
        <v/>
      </c>
      <c r="BA970" s="52" t="str">
        <f aca="false">IF($A970&lt;&gt;"",$A970,"")</f>
        <v>Apprenant 958</v>
      </c>
      <c r="BB970" s="55" t="str">
        <f aca="false">IF(AND($AR970&lt;&gt;"",$AS970&lt;&gt;""),$AS970-$AR970,"")</f>
        <v/>
      </c>
      <c r="BC970" s="55" t="str">
        <f aca="false">IF(AND($AR970&lt;&gt;"",$AT970&lt;&gt;""),$AT970-$AR970,"")</f>
        <v/>
      </c>
      <c r="BD970" s="55" t="str">
        <f aca="false">IF(AND($AS970&lt;&gt;"",$AT970&lt;&gt;""),$AT970-$AS970,"")</f>
        <v/>
      </c>
      <c r="BE970" s="53" t="str">
        <f aca="false">IF($E970&lt;&gt;"",$E970,"")</f>
        <v/>
      </c>
      <c r="BF970" s="52" t="str">
        <f aca="false">IF($F970&lt;&gt;"",$F970,"")</f>
        <v>Apprenant 958 ou 958'</v>
      </c>
      <c r="BG970" s="55" t="str">
        <f aca="false">IF(AND($AW970&lt;&gt;"",$AX970&lt;&gt;""),$AX970-$AW970,"")</f>
        <v/>
      </c>
      <c r="BH970" s="55" t="str">
        <f aca="false">IF(AND($AW970&lt;&gt;"",$AY970&lt;&gt;""),$AY970-$AW970,"")</f>
        <v/>
      </c>
      <c r="BI970" s="55" t="str">
        <f aca="false">IF(AND($AX970&lt;&gt;"",$AY970&lt;&gt;""),$AY970-$AX970,"")</f>
        <v/>
      </c>
      <c r="BJ970" s="53" t="str">
        <f aca="false">IF($J970&lt;&gt;"",$J970,"")</f>
        <v/>
      </c>
      <c r="BL970" s="52"/>
      <c r="BM970" s="52" t="str">
        <f aca="false">IF(OR(COUNT(B970:D1969)=0,AND('Choix pédagogiques'!$C$3&lt;&gt;1,'Choix pédagogiques'!$C$3&lt;&gt;2)),"",IF(AND(OR('Choix pédagogiques'!$C$3=1,'Choix pédagogiques'!$C$3=2),$B970&lt;&gt;"",$C970&lt;&gt;"",$D970&lt;&gt;""),1,0))</f>
        <v/>
      </c>
      <c r="BN970" s="52" t="str">
        <f aca="false">IF(OR(COUNT(G970:I1969)=0,AND('Choix pédagogiques'!$C$3&lt;&gt;1,'Choix pédagogiques'!$C$3&lt;&gt;2)),"",IF(AND(OR('Choix pédagogiques'!$C$3=1,'Choix pédagogiques'!$C$3=2),AND($G970&lt;&gt;"",$H970&lt;&gt;"",$I970&lt;&gt;"")),1,0))</f>
        <v/>
      </c>
      <c r="BO970" s="52" t="str">
        <f aca="false">IF(OR(COUNT(B970:D1969)=0,COUNT(G970:I1969)=0,'Choix pédagogiques'!C$3&lt;&gt;3),"",IF(AND('Choix pédagogiques'!$C$3=3,$B970&lt;&gt;"",$C970&lt;&gt;"",$D970&lt;&gt;"",$G970&lt;&gt;"",$H970&lt;&gt;"",$I970&lt;&gt;""),1,0))</f>
        <v/>
      </c>
      <c r="BR970" s="52" t="n">
        <v>227</v>
      </c>
      <c r="BS970" s="52" t="n">
        <v>1144</v>
      </c>
    </row>
    <row r="971" s="54" customFormat="true" ht="18" hidden="false" customHeight="true" outlineLevel="0" collapsed="false">
      <c r="A971" s="57" t="s">
        <v>1873</v>
      </c>
      <c r="B971" s="51"/>
      <c r="C971" s="51"/>
      <c r="D971" s="51"/>
      <c r="E971" s="51"/>
      <c r="F971" s="57" t="s">
        <v>1874</v>
      </c>
      <c r="G971" s="51"/>
      <c r="H971" s="51"/>
      <c r="I971" s="51"/>
      <c r="J971" s="51"/>
      <c r="K971" s="52" t="str">
        <f aca="false">IF($A971&lt;&gt;"",$A971,"")</f>
        <v>Apprenant 959</v>
      </c>
      <c r="L971" s="53" t="str">
        <f aca="false">IF(AND($B971&lt;&gt;"",$C971&lt;&gt;""),$C971-$B971,"")</f>
        <v/>
      </c>
      <c r="M971" s="53" t="str">
        <f aca="false">IF(AND($B971&lt;&gt;"",$D971&lt;&gt;""),$D971-$B971,"")</f>
        <v/>
      </c>
      <c r="N971" s="53" t="str">
        <f aca="false">IF(AND($C971&lt;&gt;"",$D971&lt;&gt;""),$D971-$C971,"")</f>
        <v/>
      </c>
      <c r="O971" s="53" t="str">
        <f aca="false">IF($E971&lt;&gt;"",$E971,"")</f>
        <v/>
      </c>
      <c r="P971" s="52" t="str">
        <f aca="false">IF($F971&lt;&gt;"",$F971,"")</f>
        <v>Apprenant 959 ou 959'</v>
      </c>
      <c r="Q971" s="53" t="str">
        <f aca="false">IF(AND($G971&lt;&gt;"",$H971&lt;&gt;""),$H971-$G971,"")</f>
        <v/>
      </c>
      <c r="R971" s="53" t="str">
        <f aca="false">IF(AND($G971&lt;&gt;"",$I971&lt;&gt;""),$I971-$G971,"")</f>
        <v/>
      </c>
      <c r="S971" s="53" t="str">
        <f aca="false">IF(AND($H971&lt;&gt;"",$I971&lt;&gt;""),$I971-$H971,"")</f>
        <v/>
      </c>
      <c r="T971" s="53" t="str">
        <f aca="false">IF($J971&lt;&gt;"",$J971,"")</f>
        <v/>
      </c>
      <c r="V971" s="52" t="str">
        <f aca="false">IF($A971&lt;&gt;"",$A971,"")</f>
        <v>Apprenant 959</v>
      </c>
      <c r="W971" s="53" t="str">
        <f aca="false">IF(AND(OR('Choix pédagogiques'!$C$3=1,'Choix pédagogiques'!$C$3=2),$BM971=1),B971,IF(AND('Choix pédagogiques'!$C$3=3,$BO971=1),B971,""))</f>
        <v/>
      </c>
      <c r="X971" s="53" t="str">
        <f aca="false">IF(AND(OR('Choix pédagogiques'!$C$3=1,'Choix pédagogiques'!$C$3=2),$BM971=1),C971,IF(AND('Choix pédagogiques'!$C$3=3,$BO971=1),C971,""))</f>
        <v/>
      </c>
      <c r="Y971" s="53" t="str">
        <f aca="false">IF(AND(OR('Choix pédagogiques'!$C$3=1,'Choix pédagogiques'!$C$3=2),$BM971=1),D971,IF(AND('Choix pédagogiques'!$C$3=3,$BO971=1),D971,""))</f>
        <v/>
      </c>
      <c r="Z971" s="53" t="str">
        <f aca="false">IF($E971&lt;&gt;"",$E971,"")</f>
        <v/>
      </c>
      <c r="AA971" s="52" t="str">
        <f aca="false">IF($F971&lt;&gt;"",$F971,"")</f>
        <v>Apprenant 959 ou 959'</v>
      </c>
      <c r="AB971" s="53" t="str">
        <f aca="false">IF(AND(OR('Choix pédagogiques'!$C$3=1,'Choix pédagogiques'!$C$3=2),$BN971=1),G971,IF(AND('Choix pédagogiques'!$C$3=3,$BO971=1),G971,""))</f>
        <v/>
      </c>
      <c r="AC971" s="53" t="str">
        <f aca="false">IF(AND(OR('Choix pédagogiques'!$C$3=1,'Choix pédagogiques'!$C$3=2),$BN971=1),H971,IF(AND('Choix pédagogiques'!$C$3=3,$BO971=1),H971,""))</f>
        <v/>
      </c>
      <c r="AD971" s="53" t="str">
        <f aca="false">IF(AND(OR('Choix pédagogiques'!$C$3=1,'Choix pédagogiques'!$C$3=2),$BN971=1),I971,IF(AND('Choix pédagogiques'!$C$3=3,$BO971=1),I971,""))</f>
        <v/>
      </c>
      <c r="AE971" s="53" t="str">
        <f aca="false">IF($J971&lt;&gt;"",$J971,"")</f>
        <v/>
      </c>
      <c r="AF971" s="52" t="str">
        <f aca="false">IF($A971&lt;&gt;"",$A971,"")</f>
        <v>Apprenant 959</v>
      </c>
      <c r="AG971" s="53" t="str">
        <f aca="false">IF(AND($W971&lt;&gt;"",$X971&lt;&gt;""),$X971-$W971,"")</f>
        <v/>
      </c>
      <c r="AH971" s="53" t="str">
        <f aca="false">IF(AND($W971&lt;&gt;"",$Y971&lt;&gt;""),$Y971-$W971,"")</f>
        <v/>
      </c>
      <c r="AI971" s="53" t="str">
        <f aca="false">IF(AND($X971&lt;&gt;"",$Y971&lt;&gt;""),$Y971-$X971,"")</f>
        <v/>
      </c>
      <c r="AJ971" s="53" t="str">
        <f aca="false">IF($E971&lt;&gt;"",$E971,"")</f>
        <v/>
      </c>
      <c r="AK971" s="52" t="str">
        <f aca="false">IF($F971&lt;&gt;"",$F971,"")</f>
        <v>Apprenant 959 ou 959'</v>
      </c>
      <c r="AL971" s="53" t="str">
        <f aca="false">IF(AND($AB971&lt;&gt;"",$AC971&lt;&gt;""),$AC971-$AB971,"")</f>
        <v/>
      </c>
      <c r="AM971" s="53" t="str">
        <f aca="false">IF(AND($AB971&lt;&gt;"",$AD971&lt;&gt;""),$AD971-$AB971,"")</f>
        <v/>
      </c>
      <c r="AN971" s="53" t="str">
        <f aca="false">IF(AND($AC971&lt;&gt;"",$AD971&lt;&gt;""),$AD971-$AC971,"")</f>
        <v/>
      </c>
      <c r="AO971" s="53" t="str">
        <f aca="false">IF($J971&lt;&gt;"",$J971,"")</f>
        <v/>
      </c>
      <c r="AQ971" s="52" t="str">
        <f aca="false">IF($A971&lt;&gt;"",$A971,"")</f>
        <v>Apprenant 959</v>
      </c>
      <c r="AR971" s="55" t="str">
        <f aca="false">IF(AND('Choix pédagogiques'!$C$4&lt;&gt;"?",'Choix pédagogiques'!$C$5&lt;&gt;"?",W971&lt;&gt;""),(W971-'Choix pédagogiques'!$C$4)/('Choix pédagogiques'!$C$5-'Choix pédagogiques'!$C$4),"")</f>
        <v/>
      </c>
      <c r="AS971" s="55" t="str">
        <f aca="false">IF(AND('Choix pédagogiques'!$C$4&lt;&gt;"?",'Choix pédagogiques'!$C$5&lt;&gt;"?",X971&lt;&gt;""),(X971-'Choix pédagogiques'!$C$4)/('Choix pédagogiques'!$C$5-'Choix pédagogiques'!$C$4),"")</f>
        <v/>
      </c>
      <c r="AT971" s="55" t="str">
        <f aca="false">IF(AND('Choix pédagogiques'!$C$4&lt;&gt;"?",'Choix pédagogiques'!$C$5&lt;&gt;"?",Y971&lt;&gt;""),(Y971-'Choix pédagogiques'!$C$4)/('Choix pédagogiques'!$C$5-'Choix pédagogiques'!$C$4),"")</f>
        <v/>
      </c>
      <c r="AU971" s="53" t="str">
        <f aca="false">IF($E971&lt;&gt;"",$E971,"")</f>
        <v/>
      </c>
      <c r="AV971" s="52" t="str">
        <f aca="false">IF($F971&lt;&gt;"",$F971,"")</f>
        <v>Apprenant 959 ou 959'</v>
      </c>
      <c r="AW971" s="55" t="str">
        <f aca="false">IF(AND('Choix pédagogiques'!$C$4&lt;&gt;"?",'Choix pédagogiques'!$C$5&lt;&gt;"?",AB971&lt;&gt;""),(AB971-'Choix pédagogiques'!$C$4)/('Choix pédagogiques'!$C$5-'Choix pédagogiques'!$C$4),"")</f>
        <v/>
      </c>
      <c r="AX971" s="55" t="str">
        <f aca="false">IF(AND('Choix pédagogiques'!$C$4&lt;&gt;"?",'Choix pédagogiques'!$C$5&lt;&gt;"?",AC971&lt;&gt;""),(AC971-'Choix pédagogiques'!$C$4)/('Choix pédagogiques'!$C$5-'Choix pédagogiques'!$C$4),"")</f>
        <v/>
      </c>
      <c r="AY971" s="55" t="str">
        <f aca="false">IF(AND('Choix pédagogiques'!$C$4&lt;&gt;"?",'Choix pédagogiques'!$C$5&lt;&gt;"?",AD971&lt;&gt;""),(AD971-'Choix pédagogiques'!$C$4)/('Choix pédagogiques'!$C$5-'Choix pédagogiques'!$C$4),"")</f>
        <v/>
      </c>
      <c r="AZ971" s="53" t="str">
        <f aca="false">IF($J971&lt;&gt;"",$J971,"")</f>
        <v/>
      </c>
      <c r="BA971" s="52" t="str">
        <f aca="false">IF($A971&lt;&gt;"",$A971,"")</f>
        <v>Apprenant 959</v>
      </c>
      <c r="BB971" s="55" t="str">
        <f aca="false">IF(AND($AR971&lt;&gt;"",$AS971&lt;&gt;""),$AS971-$AR971,"")</f>
        <v/>
      </c>
      <c r="BC971" s="55" t="str">
        <f aca="false">IF(AND($AR971&lt;&gt;"",$AT971&lt;&gt;""),$AT971-$AR971,"")</f>
        <v/>
      </c>
      <c r="BD971" s="55" t="str">
        <f aca="false">IF(AND($AS971&lt;&gt;"",$AT971&lt;&gt;""),$AT971-$AS971,"")</f>
        <v/>
      </c>
      <c r="BE971" s="53" t="str">
        <f aca="false">IF($E971&lt;&gt;"",$E971,"")</f>
        <v/>
      </c>
      <c r="BF971" s="52" t="str">
        <f aca="false">IF($F971&lt;&gt;"",$F971,"")</f>
        <v>Apprenant 959 ou 959'</v>
      </c>
      <c r="BG971" s="55" t="str">
        <f aca="false">IF(AND($AW971&lt;&gt;"",$AX971&lt;&gt;""),$AX971-$AW971,"")</f>
        <v/>
      </c>
      <c r="BH971" s="55" t="str">
        <f aca="false">IF(AND($AW971&lt;&gt;"",$AY971&lt;&gt;""),$AY971-$AW971,"")</f>
        <v/>
      </c>
      <c r="BI971" s="55" t="str">
        <f aca="false">IF(AND($AX971&lt;&gt;"",$AY971&lt;&gt;""),$AY971-$AX971,"")</f>
        <v/>
      </c>
      <c r="BJ971" s="53" t="str">
        <f aca="false">IF($J971&lt;&gt;"",$J971,"")</f>
        <v/>
      </c>
      <c r="BL971" s="52"/>
      <c r="BM971" s="52" t="str">
        <f aca="false">IF(OR(COUNT(B971:D1970)=0,AND('Choix pédagogiques'!$C$3&lt;&gt;1,'Choix pédagogiques'!$C$3&lt;&gt;2)),"",IF(AND(OR('Choix pédagogiques'!$C$3=1,'Choix pédagogiques'!$C$3=2),$B971&lt;&gt;"",$C971&lt;&gt;"",$D971&lt;&gt;""),1,0))</f>
        <v/>
      </c>
      <c r="BN971" s="52" t="str">
        <f aca="false">IF(OR(COUNT(G971:I1970)=0,AND('Choix pédagogiques'!$C$3&lt;&gt;1,'Choix pédagogiques'!$C$3&lt;&gt;2)),"",IF(AND(OR('Choix pédagogiques'!$C$3=1,'Choix pédagogiques'!$C$3=2),AND($G971&lt;&gt;"",$H971&lt;&gt;"",$I971&lt;&gt;"")),1,0))</f>
        <v/>
      </c>
      <c r="BO971" s="52" t="str">
        <f aca="false">IF(OR(COUNT(B971:D1970)=0,COUNT(G971:I1970)=0,'Choix pédagogiques'!C$3&lt;&gt;3),"",IF(AND('Choix pédagogiques'!$C$3=3,$B971&lt;&gt;"",$C971&lt;&gt;"",$D971&lt;&gt;"",$G971&lt;&gt;"",$H971&lt;&gt;"",$I971&lt;&gt;""),1,0))</f>
        <v/>
      </c>
      <c r="BR971" s="52" t="n">
        <v>95</v>
      </c>
      <c r="BS971" s="52" t="n">
        <v>1282</v>
      </c>
    </row>
    <row r="972" s="54" customFormat="true" ht="18" hidden="false" customHeight="true" outlineLevel="0" collapsed="false">
      <c r="A972" s="57" t="s">
        <v>1875</v>
      </c>
      <c r="B972" s="51"/>
      <c r="C972" s="51"/>
      <c r="D972" s="51"/>
      <c r="E972" s="51"/>
      <c r="F972" s="57" t="s">
        <v>1876</v>
      </c>
      <c r="G972" s="51"/>
      <c r="H972" s="51"/>
      <c r="I972" s="51"/>
      <c r="J972" s="51"/>
      <c r="K972" s="52" t="str">
        <f aca="false">IF($A972&lt;&gt;"",$A972,"")</f>
        <v>Apprenant 960</v>
      </c>
      <c r="L972" s="53" t="str">
        <f aca="false">IF(AND($B972&lt;&gt;"",$C972&lt;&gt;""),$C972-$B972,"")</f>
        <v/>
      </c>
      <c r="M972" s="53" t="str">
        <f aca="false">IF(AND($B972&lt;&gt;"",$D972&lt;&gt;""),$D972-$B972,"")</f>
        <v/>
      </c>
      <c r="N972" s="53" t="str">
        <f aca="false">IF(AND($C972&lt;&gt;"",$D972&lt;&gt;""),$D972-$C972,"")</f>
        <v/>
      </c>
      <c r="O972" s="53" t="str">
        <f aca="false">IF($E972&lt;&gt;"",$E972,"")</f>
        <v/>
      </c>
      <c r="P972" s="52" t="str">
        <f aca="false">IF($F972&lt;&gt;"",$F972,"")</f>
        <v>Apprenant 960 ou 960'</v>
      </c>
      <c r="Q972" s="53" t="str">
        <f aca="false">IF(AND($G972&lt;&gt;"",$H972&lt;&gt;""),$H972-$G972,"")</f>
        <v/>
      </c>
      <c r="R972" s="53" t="str">
        <f aca="false">IF(AND($G972&lt;&gt;"",$I972&lt;&gt;""),$I972-$G972,"")</f>
        <v/>
      </c>
      <c r="S972" s="53" t="str">
        <f aca="false">IF(AND($H972&lt;&gt;"",$I972&lt;&gt;""),$I972-$H972,"")</f>
        <v/>
      </c>
      <c r="T972" s="53" t="str">
        <f aca="false">IF($J972&lt;&gt;"",$J972,"")</f>
        <v/>
      </c>
      <c r="V972" s="52" t="str">
        <f aca="false">IF($A972&lt;&gt;"",$A972,"")</f>
        <v>Apprenant 960</v>
      </c>
      <c r="W972" s="53" t="str">
        <f aca="false">IF(AND(OR('Choix pédagogiques'!$C$3=1,'Choix pédagogiques'!$C$3=2),$BM972=1),B972,IF(AND('Choix pédagogiques'!$C$3=3,$BO972=1),B972,""))</f>
        <v/>
      </c>
      <c r="X972" s="53" t="str">
        <f aca="false">IF(AND(OR('Choix pédagogiques'!$C$3=1,'Choix pédagogiques'!$C$3=2),$BM972=1),C972,IF(AND('Choix pédagogiques'!$C$3=3,$BO972=1),C972,""))</f>
        <v/>
      </c>
      <c r="Y972" s="53" t="str">
        <f aca="false">IF(AND(OR('Choix pédagogiques'!$C$3=1,'Choix pédagogiques'!$C$3=2),$BM972=1),D972,IF(AND('Choix pédagogiques'!$C$3=3,$BO972=1),D972,""))</f>
        <v/>
      </c>
      <c r="Z972" s="53" t="str">
        <f aca="false">IF($E972&lt;&gt;"",$E972,"")</f>
        <v/>
      </c>
      <c r="AA972" s="52" t="str">
        <f aca="false">IF($F972&lt;&gt;"",$F972,"")</f>
        <v>Apprenant 960 ou 960'</v>
      </c>
      <c r="AB972" s="53" t="str">
        <f aca="false">IF(AND(OR('Choix pédagogiques'!$C$3=1,'Choix pédagogiques'!$C$3=2),$BN972=1),G972,IF(AND('Choix pédagogiques'!$C$3=3,$BO972=1),G972,""))</f>
        <v/>
      </c>
      <c r="AC972" s="53" t="str">
        <f aca="false">IF(AND(OR('Choix pédagogiques'!$C$3=1,'Choix pédagogiques'!$C$3=2),$BN972=1),H972,IF(AND('Choix pédagogiques'!$C$3=3,$BO972=1),H972,""))</f>
        <v/>
      </c>
      <c r="AD972" s="53" t="str">
        <f aca="false">IF(AND(OR('Choix pédagogiques'!$C$3=1,'Choix pédagogiques'!$C$3=2),$BN972=1),I972,IF(AND('Choix pédagogiques'!$C$3=3,$BO972=1),I972,""))</f>
        <v/>
      </c>
      <c r="AE972" s="53" t="str">
        <f aca="false">IF($J972&lt;&gt;"",$J972,"")</f>
        <v/>
      </c>
      <c r="AF972" s="52" t="str">
        <f aca="false">IF($A972&lt;&gt;"",$A972,"")</f>
        <v>Apprenant 960</v>
      </c>
      <c r="AG972" s="53" t="str">
        <f aca="false">IF(AND($W972&lt;&gt;"",$X972&lt;&gt;""),$X972-$W972,"")</f>
        <v/>
      </c>
      <c r="AH972" s="53" t="str">
        <f aca="false">IF(AND($W972&lt;&gt;"",$Y972&lt;&gt;""),$Y972-$W972,"")</f>
        <v/>
      </c>
      <c r="AI972" s="53" t="str">
        <f aca="false">IF(AND($X972&lt;&gt;"",$Y972&lt;&gt;""),$Y972-$X972,"")</f>
        <v/>
      </c>
      <c r="AJ972" s="53" t="str">
        <f aca="false">IF($E972&lt;&gt;"",$E972,"")</f>
        <v/>
      </c>
      <c r="AK972" s="52" t="str">
        <f aca="false">IF($F972&lt;&gt;"",$F972,"")</f>
        <v>Apprenant 960 ou 960'</v>
      </c>
      <c r="AL972" s="53" t="str">
        <f aca="false">IF(AND($AB972&lt;&gt;"",$AC972&lt;&gt;""),$AC972-$AB972,"")</f>
        <v/>
      </c>
      <c r="AM972" s="53" t="str">
        <f aca="false">IF(AND($AB972&lt;&gt;"",$AD972&lt;&gt;""),$AD972-$AB972,"")</f>
        <v/>
      </c>
      <c r="AN972" s="53" t="str">
        <f aca="false">IF(AND($AC972&lt;&gt;"",$AD972&lt;&gt;""),$AD972-$AC972,"")</f>
        <v/>
      </c>
      <c r="AO972" s="53" t="str">
        <f aca="false">IF($J972&lt;&gt;"",$J972,"")</f>
        <v/>
      </c>
      <c r="AQ972" s="52" t="str">
        <f aca="false">IF($A972&lt;&gt;"",$A972,"")</f>
        <v>Apprenant 960</v>
      </c>
      <c r="AR972" s="55" t="str">
        <f aca="false">IF(AND('Choix pédagogiques'!$C$4&lt;&gt;"?",'Choix pédagogiques'!$C$5&lt;&gt;"?",W972&lt;&gt;""),(W972-'Choix pédagogiques'!$C$4)/('Choix pédagogiques'!$C$5-'Choix pédagogiques'!$C$4),"")</f>
        <v/>
      </c>
      <c r="AS972" s="55" t="str">
        <f aca="false">IF(AND('Choix pédagogiques'!$C$4&lt;&gt;"?",'Choix pédagogiques'!$C$5&lt;&gt;"?",X972&lt;&gt;""),(X972-'Choix pédagogiques'!$C$4)/('Choix pédagogiques'!$C$5-'Choix pédagogiques'!$C$4),"")</f>
        <v/>
      </c>
      <c r="AT972" s="55" t="str">
        <f aca="false">IF(AND('Choix pédagogiques'!$C$4&lt;&gt;"?",'Choix pédagogiques'!$C$5&lt;&gt;"?",Y972&lt;&gt;""),(Y972-'Choix pédagogiques'!$C$4)/('Choix pédagogiques'!$C$5-'Choix pédagogiques'!$C$4),"")</f>
        <v/>
      </c>
      <c r="AU972" s="53" t="str">
        <f aca="false">IF($E972&lt;&gt;"",$E972,"")</f>
        <v/>
      </c>
      <c r="AV972" s="52" t="str">
        <f aca="false">IF($F972&lt;&gt;"",$F972,"")</f>
        <v>Apprenant 960 ou 960'</v>
      </c>
      <c r="AW972" s="55" t="str">
        <f aca="false">IF(AND('Choix pédagogiques'!$C$4&lt;&gt;"?",'Choix pédagogiques'!$C$5&lt;&gt;"?",AB972&lt;&gt;""),(AB972-'Choix pédagogiques'!$C$4)/('Choix pédagogiques'!$C$5-'Choix pédagogiques'!$C$4),"")</f>
        <v/>
      </c>
      <c r="AX972" s="55" t="str">
        <f aca="false">IF(AND('Choix pédagogiques'!$C$4&lt;&gt;"?",'Choix pédagogiques'!$C$5&lt;&gt;"?",AC972&lt;&gt;""),(AC972-'Choix pédagogiques'!$C$4)/('Choix pédagogiques'!$C$5-'Choix pédagogiques'!$C$4),"")</f>
        <v/>
      </c>
      <c r="AY972" s="55" t="str">
        <f aca="false">IF(AND('Choix pédagogiques'!$C$4&lt;&gt;"?",'Choix pédagogiques'!$C$5&lt;&gt;"?",AD972&lt;&gt;""),(AD972-'Choix pédagogiques'!$C$4)/('Choix pédagogiques'!$C$5-'Choix pédagogiques'!$C$4),"")</f>
        <v/>
      </c>
      <c r="AZ972" s="53" t="str">
        <f aca="false">IF($J972&lt;&gt;"",$J972,"")</f>
        <v/>
      </c>
      <c r="BA972" s="52" t="str">
        <f aca="false">IF($A972&lt;&gt;"",$A972,"")</f>
        <v>Apprenant 960</v>
      </c>
      <c r="BB972" s="55" t="str">
        <f aca="false">IF(AND($AR972&lt;&gt;"",$AS972&lt;&gt;""),$AS972-$AR972,"")</f>
        <v/>
      </c>
      <c r="BC972" s="55" t="str">
        <f aca="false">IF(AND($AR972&lt;&gt;"",$AT972&lt;&gt;""),$AT972-$AR972,"")</f>
        <v/>
      </c>
      <c r="BD972" s="55" t="str">
        <f aca="false">IF(AND($AS972&lt;&gt;"",$AT972&lt;&gt;""),$AT972-$AS972,"")</f>
        <v/>
      </c>
      <c r="BE972" s="53" t="str">
        <f aca="false">IF($E972&lt;&gt;"",$E972,"")</f>
        <v/>
      </c>
      <c r="BF972" s="52" t="str">
        <f aca="false">IF($F972&lt;&gt;"",$F972,"")</f>
        <v>Apprenant 960 ou 960'</v>
      </c>
      <c r="BG972" s="55" t="str">
        <f aca="false">IF(AND($AW972&lt;&gt;"",$AX972&lt;&gt;""),$AX972-$AW972,"")</f>
        <v/>
      </c>
      <c r="BH972" s="55" t="str">
        <f aca="false">IF(AND($AW972&lt;&gt;"",$AY972&lt;&gt;""),$AY972-$AW972,"")</f>
        <v/>
      </c>
      <c r="BI972" s="55" t="str">
        <f aca="false">IF(AND($AX972&lt;&gt;"",$AY972&lt;&gt;""),$AY972-$AX972,"")</f>
        <v/>
      </c>
      <c r="BJ972" s="53" t="str">
        <f aca="false">IF($J972&lt;&gt;"",$J972,"")</f>
        <v/>
      </c>
      <c r="BL972" s="52"/>
      <c r="BM972" s="52" t="str">
        <f aca="false">IF(OR(COUNT(B972:D1971)=0,AND('Choix pédagogiques'!$C$3&lt;&gt;1,'Choix pédagogiques'!$C$3&lt;&gt;2)),"",IF(AND(OR('Choix pédagogiques'!$C$3=1,'Choix pédagogiques'!$C$3=2),$B972&lt;&gt;"",$C972&lt;&gt;"",$D972&lt;&gt;""),1,0))</f>
        <v/>
      </c>
      <c r="BN972" s="52" t="str">
        <f aca="false">IF(OR(COUNT(G972:I1971)=0,AND('Choix pédagogiques'!$C$3&lt;&gt;1,'Choix pédagogiques'!$C$3&lt;&gt;2)),"",IF(AND(OR('Choix pédagogiques'!$C$3=1,'Choix pédagogiques'!$C$3=2),AND($G972&lt;&gt;"",$H972&lt;&gt;"",$I972&lt;&gt;"")),1,0))</f>
        <v/>
      </c>
      <c r="BO972" s="52" t="str">
        <f aca="false">IF(OR(COUNT(B972:D1971)=0,COUNT(G972:I1971)=0,'Choix pédagogiques'!C$3&lt;&gt;3),"",IF(AND('Choix pédagogiques'!$C$3=3,$B972&lt;&gt;"",$C972&lt;&gt;"",$D972&lt;&gt;"",$G972&lt;&gt;"",$H972&lt;&gt;"",$I972&lt;&gt;""),1,0))</f>
        <v/>
      </c>
      <c r="BR972" s="52" t="n">
        <v>831</v>
      </c>
      <c r="BS972" s="52" t="n">
        <v>1791</v>
      </c>
    </row>
    <row r="973" s="54" customFormat="true" ht="18" hidden="false" customHeight="true" outlineLevel="0" collapsed="false">
      <c r="A973" s="57" t="s">
        <v>1877</v>
      </c>
      <c r="B973" s="51"/>
      <c r="C973" s="51"/>
      <c r="D973" s="51"/>
      <c r="E973" s="51"/>
      <c r="F973" s="57" t="s">
        <v>1878</v>
      </c>
      <c r="G973" s="51"/>
      <c r="H973" s="51"/>
      <c r="I973" s="51"/>
      <c r="J973" s="51"/>
      <c r="K973" s="52" t="str">
        <f aca="false">IF($A973&lt;&gt;"",$A973,"")</f>
        <v>Apprenant 961</v>
      </c>
      <c r="L973" s="53" t="str">
        <f aca="false">IF(AND($B973&lt;&gt;"",$C973&lt;&gt;""),$C973-$B973,"")</f>
        <v/>
      </c>
      <c r="M973" s="53" t="str">
        <f aca="false">IF(AND($B973&lt;&gt;"",$D973&lt;&gt;""),$D973-$B973,"")</f>
        <v/>
      </c>
      <c r="N973" s="53" t="str">
        <f aca="false">IF(AND($C973&lt;&gt;"",$D973&lt;&gt;""),$D973-$C973,"")</f>
        <v/>
      </c>
      <c r="O973" s="53" t="str">
        <f aca="false">IF($E973&lt;&gt;"",$E973,"")</f>
        <v/>
      </c>
      <c r="P973" s="52" t="str">
        <f aca="false">IF($F973&lt;&gt;"",$F973,"")</f>
        <v>Apprenant 961 ou 961'</v>
      </c>
      <c r="Q973" s="53" t="str">
        <f aca="false">IF(AND($G973&lt;&gt;"",$H973&lt;&gt;""),$H973-$G973,"")</f>
        <v/>
      </c>
      <c r="R973" s="53" t="str">
        <f aca="false">IF(AND($G973&lt;&gt;"",$I973&lt;&gt;""),$I973-$G973,"")</f>
        <v/>
      </c>
      <c r="S973" s="53" t="str">
        <f aca="false">IF(AND($H973&lt;&gt;"",$I973&lt;&gt;""),$I973-$H973,"")</f>
        <v/>
      </c>
      <c r="T973" s="53" t="str">
        <f aca="false">IF($J973&lt;&gt;"",$J973,"")</f>
        <v/>
      </c>
      <c r="V973" s="52" t="str">
        <f aca="false">IF($A973&lt;&gt;"",$A973,"")</f>
        <v>Apprenant 961</v>
      </c>
      <c r="W973" s="53" t="str">
        <f aca="false">IF(AND(OR('Choix pédagogiques'!$C$3=1,'Choix pédagogiques'!$C$3=2),$BM973=1),B973,IF(AND('Choix pédagogiques'!$C$3=3,$BO973=1),B973,""))</f>
        <v/>
      </c>
      <c r="X973" s="53" t="str">
        <f aca="false">IF(AND(OR('Choix pédagogiques'!$C$3=1,'Choix pédagogiques'!$C$3=2),$BM973=1),C973,IF(AND('Choix pédagogiques'!$C$3=3,$BO973=1),C973,""))</f>
        <v/>
      </c>
      <c r="Y973" s="53" t="str">
        <f aca="false">IF(AND(OR('Choix pédagogiques'!$C$3=1,'Choix pédagogiques'!$C$3=2),$BM973=1),D973,IF(AND('Choix pédagogiques'!$C$3=3,$BO973=1),D973,""))</f>
        <v/>
      </c>
      <c r="Z973" s="53" t="str">
        <f aca="false">IF($E973&lt;&gt;"",$E973,"")</f>
        <v/>
      </c>
      <c r="AA973" s="52" t="str">
        <f aca="false">IF($F973&lt;&gt;"",$F973,"")</f>
        <v>Apprenant 961 ou 961'</v>
      </c>
      <c r="AB973" s="53" t="str">
        <f aca="false">IF(AND(OR('Choix pédagogiques'!$C$3=1,'Choix pédagogiques'!$C$3=2),$BN973=1),G973,IF(AND('Choix pédagogiques'!$C$3=3,$BO973=1),G973,""))</f>
        <v/>
      </c>
      <c r="AC973" s="53" t="str">
        <f aca="false">IF(AND(OR('Choix pédagogiques'!$C$3=1,'Choix pédagogiques'!$C$3=2),$BN973=1),H973,IF(AND('Choix pédagogiques'!$C$3=3,$BO973=1),H973,""))</f>
        <v/>
      </c>
      <c r="AD973" s="53" t="str">
        <f aca="false">IF(AND(OR('Choix pédagogiques'!$C$3=1,'Choix pédagogiques'!$C$3=2),$BN973=1),I973,IF(AND('Choix pédagogiques'!$C$3=3,$BO973=1),I973,""))</f>
        <v/>
      </c>
      <c r="AE973" s="53" t="str">
        <f aca="false">IF($J973&lt;&gt;"",$J973,"")</f>
        <v/>
      </c>
      <c r="AF973" s="52" t="str">
        <f aca="false">IF($A973&lt;&gt;"",$A973,"")</f>
        <v>Apprenant 961</v>
      </c>
      <c r="AG973" s="53" t="str">
        <f aca="false">IF(AND($W973&lt;&gt;"",$X973&lt;&gt;""),$X973-$W973,"")</f>
        <v/>
      </c>
      <c r="AH973" s="53" t="str">
        <f aca="false">IF(AND($W973&lt;&gt;"",$Y973&lt;&gt;""),$Y973-$W973,"")</f>
        <v/>
      </c>
      <c r="AI973" s="53" t="str">
        <f aca="false">IF(AND($X973&lt;&gt;"",$Y973&lt;&gt;""),$Y973-$X973,"")</f>
        <v/>
      </c>
      <c r="AJ973" s="53" t="str">
        <f aca="false">IF($E973&lt;&gt;"",$E973,"")</f>
        <v/>
      </c>
      <c r="AK973" s="52" t="str">
        <f aca="false">IF($F973&lt;&gt;"",$F973,"")</f>
        <v>Apprenant 961 ou 961'</v>
      </c>
      <c r="AL973" s="53" t="str">
        <f aca="false">IF(AND($AB973&lt;&gt;"",$AC973&lt;&gt;""),$AC973-$AB973,"")</f>
        <v/>
      </c>
      <c r="AM973" s="53" t="str">
        <f aca="false">IF(AND($AB973&lt;&gt;"",$AD973&lt;&gt;""),$AD973-$AB973,"")</f>
        <v/>
      </c>
      <c r="AN973" s="53" t="str">
        <f aca="false">IF(AND($AC973&lt;&gt;"",$AD973&lt;&gt;""),$AD973-$AC973,"")</f>
        <v/>
      </c>
      <c r="AO973" s="53" t="str">
        <f aca="false">IF($J973&lt;&gt;"",$J973,"")</f>
        <v/>
      </c>
      <c r="AQ973" s="52" t="str">
        <f aca="false">IF($A973&lt;&gt;"",$A973,"")</f>
        <v>Apprenant 961</v>
      </c>
      <c r="AR973" s="55" t="str">
        <f aca="false">IF(AND('Choix pédagogiques'!$C$4&lt;&gt;"?",'Choix pédagogiques'!$C$5&lt;&gt;"?",W973&lt;&gt;""),(W973-'Choix pédagogiques'!$C$4)/('Choix pédagogiques'!$C$5-'Choix pédagogiques'!$C$4),"")</f>
        <v/>
      </c>
      <c r="AS973" s="55" t="str">
        <f aca="false">IF(AND('Choix pédagogiques'!$C$4&lt;&gt;"?",'Choix pédagogiques'!$C$5&lt;&gt;"?",X973&lt;&gt;""),(X973-'Choix pédagogiques'!$C$4)/('Choix pédagogiques'!$C$5-'Choix pédagogiques'!$C$4),"")</f>
        <v/>
      </c>
      <c r="AT973" s="55" t="str">
        <f aca="false">IF(AND('Choix pédagogiques'!$C$4&lt;&gt;"?",'Choix pédagogiques'!$C$5&lt;&gt;"?",Y973&lt;&gt;""),(Y973-'Choix pédagogiques'!$C$4)/('Choix pédagogiques'!$C$5-'Choix pédagogiques'!$C$4),"")</f>
        <v/>
      </c>
      <c r="AU973" s="53" t="str">
        <f aca="false">IF($E973&lt;&gt;"",$E973,"")</f>
        <v/>
      </c>
      <c r="AV973" s="52" t="str">
        <f aca="false">IF($F973&lt;&gt;"",$F973,"")</f>
        <v>Apprenant 961 ou 961'</v>
      </c>
      <c r="AW973" s="55" t="str">
        <f aca="false">IF(AND('Choix pédagogiques'!$C$4&lt;&gt;"?",'Choix pédagogiques'!$C$5&lt;&gt;"?",AB973&lt;&gt;""),(AB973-'Choix pédagogiques'!$C$4)/('Choix pédagogiques'!$C$5-'Choix pédagogiques'!$C$4),"")</f>
        <v/>
      </c>
      <c r="AX973" s="55" t="str">
        <f aca="false">IF(AND('Choix pédagogiques'!$C$4&lt;&gt;"?",'Choix pédagogiques'!$C$5&lt;&gt;"?",AC973&lt;&gt;""),(AC973-'Choix pédagogiques'!$C$4)/('Choix pédagogiques'!$C$5-'Choix pédagogiques'!$C$4),"")</f>
        <v/>
      </c>
      <c r="AY973" s="55" t="str">
        <f aca="false">IF(AND('Choix pédagogiques'!$C$4&lt;&gt;"?",'Choix pédagogiques'!$C$5&lt;&gt;"?",AD973&lt;&gt;""),(AD973-'Choix pédagogiques'!$C$4)/('Choix pédagogiques'!$C$5-'Choix pédagogiques'!$C$4),"")</f>
        <v/>
      </c>
      <c r="AZ973" s="53" t="str">
        <f aca="false">IF($J973&lt;&gt;"",$J973,"")</f>
        <v/>
      </c>
      <c r="BA973" s="52" t="str">
        <f aca="false">IF($A973&lt;&gt;"",$A973,"")</f>
        <v>Apprenant 961</v>
      </c>
      <c r="BB973" s="55" t="str">
        <f aca="false">IF(AND($AR973&lt;&gt;"",$AS973&lt;&gt;""),$AS973-$AR973,"")</f>
        <v/>
      </c>
      <c r="BC973" s="55" t="str">
        <f aca="false">IF(AND($AR973&lt;&gt;"",$AT973&lt;&gt;""),$AT973-$AR973,"")</f>
        <v/>
      </c>
      <c r="BD973" s="55" t="str">
        <f aca="false">IF(AND($AS973&lt;&gt;"",$AT973&lt;&gt;""),$AT973-$AS973,"")</f>
        <v/>
      </c>
      <c r="BE973" s="53" t="str">
        <f aca="false">IF($E973&lt;&gt;"",$E973,"")</f>
        <v/>
      </c>
      <c r="BF973" s="52" t="str">
        <f aca="false">IF($F973&lt;&gt;"",$F973,"")</f>
        <v>Apprenant 961 ou 961'</v>
      </c>
      <c r="BG973" s="55" t="str">
        <f aca="false">IF(AND($AW973&lt;&gt;"",$AX973&lt;&gt;""),$AX973-$AW973,"")</f>
        <v/>
      </c>
      <c r="BH973" s="55" t="str">
        <f aca="false">IF(AND($AW973&lt;&gt;"",$AY973&lt;&gt;""),$AY973-$AW973,"")</f>
        <v/>
      </c>
      <c r="BI973" s="55" t="str">
        <f aca="false">IF(AND($AX973&lt;&gt;"",$AY973&lt;&gt;""),$AY973-$AX973,"")</f>
        <v/>
      </c>
      <c r="BJ973" s="53" t="str">
        <f aca="false">IF($J973&lt;&gt;"",$J973,"")</f>
        <v/>
      </c>
      <c r="BL973" s="52"/>
      <c r="BM973" s="52" t="str">
        <f aca="false">IF(OR(COUNT(B973:D1972)=0,AND('Choix pédagogiques'!$C$3&lt;&gt;1,'Choix pédagogiques'!$C$3&lt;&gt;2)),"",IF(AND(OR('Choix pédagogiques'!$C$3=1,'Choix pédagogiques'!$C$3=2),$B973&lt;&gt;"",$C973&lt;&gt;"",$D973&lt;&gt;""),1,0))</f>
        <v/>
      </c>
      <c r="BN973" s="52" t="str">
        <f aca="false">IF(OR(COUNT(G973:I1972)=0,AND('Choix pédagogiques'!$C$3&lt;&gt;1,'Choix pédagogiques'!$C$3&lt;&gt;2)),"",IF(AND(OR('Choix pédagogiques'!$C$3=1,'Choix pédagogiques'!$C$3=2),AND($G973&lt;&gt;"",$H973&lt;&gt;"",$I973&lt;&gt;"")),1,0))</f>
        <v/>
      </c>
      <c r="BO973" s="52" t="str">
        <f aca="false">IF(OR(COUNT(B973:D1972)=0,COUNT(G973:I1972)=0,'Choix pédagogiques'!C$3&lt;&gt;3),"",IF(AND('Choix pédagogiques'!$C$3=3,$B973&lt;&gt;"",$C973&lt;&gt;"",$D973&lt;&gt;"",$G973&lt;&gt;"",$H973&lt;&gt;"",$I973&lt;&gt;""),1,0))</f>
        <v/>
      </c>
      <c r="BR973" s="52" t="n">
        <v>424</v>
      </c>
      <c r="BS973" s="52" t="n">
        <v>1171</v>
      </c>
    </row>
    <row r="974" s="54" customFormat="true" ht="18" hidden="false" customHeight="true" outlineLevel="0" collapsed="false">
      <c r="A974" s="57" t="s">
        <v>1879</v>
      </c>
      <c r="B974" s="51"/>
      <c r="C974" s="51"/>
      <c r="D974" s="51"/>
      <c r="E974" s="51"/>
      <c r="F974" s="57" t="s">
        <v>1880</v>
      </c>
      <c r="G974" s="51"/>
      <c r="H974" s="51"/>
      <c r="I974" s="51"/>
      <c r="J974" s="51"/>
      <c r="K974" s="52" t="str">
        <f aca="false">IF($A974&lt;&gt;"",$A974,"")</f>
        <v>Apprenant 962</v>
      </c>
      <c r="L974" s="53" t="str">
        <f aca="false">IF(AND($B974&lt;&gt;"",$C974&lt;&gt;""),$C974-$B974,"")</f>
        <v/>
      </c>
      <c r="M974" s="53" t="str">
        <f aca="false">IF(AND($B974&lt;&gt;"",$D974&lt;&gt;""),$D974-$B974,"")</f>
        <v/>
      </c>
      <c r="N974" s="53" t="str">
        <f aca="false">IF(AND($C974&lt;&gt;"",$D974&lt;&gt;""),$D974-$C974,"")</f>
        <v/>
      </c>
      <c r="O974" s="53" t="str">
        <f aca="false">IF($E974&lt;&gt;"",$E974,"")</f>
        <v/>
      </c>
      <c r="P974" s="52" t="str">
        <f aca="false">IF($F974&lt;&gt;"",$F974,"")</f>
        <v>Apprenant 962 ou 962'</v>
      </c>
      <c r="Q974" s="53" t="str">
        <f aca="false">IF(AND($G974&lt;&gt;"",$H974&lt;&gt;""),$H974-$G974,"")</f>
        <v/>
      </c>
      <c r="R974" s="53" t="str">
        <f aca="false">IF(AND($G974&lt;&gt;"",$I974&lt;&gt;""),$I974-$G974,"")</f>
        <v/>
      </c>
      <c r="S974" s="53" t="str">
        <f aca="false">IF(AND($H974&lt;&gt;"",$I974&lt;&gt;""),$I974-$H974,"")</f>
        <v/>
      </c>
      <c r="T974" s="53" t="str">
        <f aca="false">IF($J974&lt;&gt;"",$J974,"")</f>
        <v/>
      </c>
      <c r="V974" s="52" t="str">
        <f aca="false">IF($A974&lt;&gt;"",$A974,"")</f>
        <v>Apprenant 962</v>
      </c>
      <c r="W974" s="53" t="str">
        <f aca="false">IF(AND(OR('Choix pédagogiques'!$C$3=1,'Choix pédagogiques'!$C$3=2),$BM974=1),B974,IF(AND('Choix pédagogiques'!$C$3=3,$BO974=1),B974,""))</f>
        <v/>
      </c>
      <c r="X974" s="53" t="str">
        <f aca="false">IF(AND(OR('Choix pédagogiques'!$C$3=1,'Choix pédagogiques'!$C$3=2),$BM974=1),C974,IF(AND('Choix pédagogiques'!$C$3=3,$BO974=1),C974,""))</f>
        <v/>
      </c>
      <c r="Y974" s="53" t="str">
        <f aca="false">IF(AND(OR('Choix pédagogiques'!$C$3=1,'Choix pédagogiques'!$C$3=2),$BM974=1),D974,IF(AND('Choix pédagogiques'!$C$3=3,$BO974=1),D974,""))</f>
        <v/>
      </c>
      <c r="Z974" s="53" t="str">
        <f aca="false">IF($E974&lt;&gt;"",$E974,"")</f>
        <v/>
      </c>
      <c r="AA974" s="52" t="str">
        <f aca="false">IF($F974&lt;&gt;"",$F974,"")</f>
        <v>Apprenant 962 ou 962'</v>
      </c>
      <c r="AB974" s="53" t="str">
        <f aca="false">IF(AND(OR('Choix pédagogiques'!$C$3=1,'Choix pédagogiques'!$C$3=2),$BN974=1),G974,IF(AND('Choix pédagogiques'!$C$3=3,$BO974=1),G974,""))</f>
        <v/>
      </c>
      <c r="AC974" s="53" t="str">
        <f aca="false">IF(AND(OR('Choix pédagogiques'!$C$3=1,'Choix pédagogiques'!$C$3=2),$BN974=1),H974,IF(AND('Choix pédagogiques'!$C$3=3,$BO974=1),H974,""))</f>
        <v/>
      </c>
      <c r="AD974" s="53" t="str">
        <f aca="false">IF(AND(OR('Choix pédagogiques'!$C$3=1,'Choix pédagogiques'!$C$3=2),$BN974=1),I974,IF(AND('Choix pédagogiques'!$C$3=3,$BO974=1),I974,""))</f>
        <v/>
      </c>
      <c r="AE974" s="53" t="str">
        <f aca="false">IF($J974&lt;&gt;"",$J974,"")</f>
        <v/>
      </c>
      <c r="AF974" s="52" t="str">
        <f aca="false">IF($A974&lt;&gt;"",$A974,"")</f>
        <v>Apprenant 962</v>
      </c>
      <c r="AG974" s="53" t="str">
        <f aca="false">IF(AND($W974&lt;&gt;"",$X974&lt;&gt;""),$X974-$W974,"")</f>
        <v/>
      </c>
      <c r="AH974" s="53" t="str">
        <f aca="false">IF(AND($W974&lt;&gt;"",$Y974&lt;&gt;""),$Y974-$W974,"")</f>
        <v/>
      </c>
      <c r="AI974" s="53" t="str">
        <f aca="false">IF(AND($X974&lt;&gt;"",$Y974&lt;&gt;""),$Y974-$X974,"")</f>
        <v/>
      </c>
      <c r="AJ974" s="53" t="str">
        <f aca="false">IF($E974&lt;&gt;"",$E974,"")</f>
        <v/>
      </c>
      <c r="AK974" s="52" t="str">
        <f aca="false">IF($F974&lt;&gt;"",$F974,"")</f>
        <v>Apprenant 962 ou 962'</v>
      </c>
      <c r="AL974" s="53" t="str">
        <f aca="false">IF(AND($AB974&lt;&gt;"",$AC974&lt;&gt;""),$AC974-$AB974,"")</f>
        <v/>
      </c>
      <c r="AM974" s="53" t="str">
        <f aca="false">IF(AND($AB974&lt;&gt;"",$AD974&lt;&gt;""),$AD974-$AB974,"")</f>
        <v/>
      </c>
      <c r="AN974" s="53" t="str">
        <f aca="false">IF(AND($AC974&lt;&gt;"",$AD974&lt;&gt;""),$AD974-$AC974,"")</f>
        <v/>
      </c>
      <c r="AO974" s="53" t="str">
        <f aca="false">IF($J974&lt;&gt;"",$J974,"")</f>
        <v/>
      </c>
      <c r="AQ974" s="52" t="str">
        <f aca="false">IF($A974&lt;&gt;"",$A974,"")</f>
        <v>Apprenant 962</v>
      </c>
      <c r="AR974" s="55" t="str">
        <f aca="false">IF(AND('Choix pédagogiques'!$C$4&lt;&gt;"?",'Choix pédagogiques'!$C$5&lt;&gt;"?",W974&lt;&gt;""),(W974-'Choix pédagogiques'!$C$4)/('Choix pédagogiques'!$C$5-'Choix pédagogiques'!$C$4),"")</f>
        <v/>
      </c>
      <c r="AS974" s="55" t="str">
        <f aca="false">IF(AND('Choix pédagogiques'!$C$4&lt;&gt;"?",'Choix pédagogiques'!$C$5&lt;&gt;"?",X974&lt;&gt;""),(X974-'Choix pédagogiques'!$C$4)/('Choix pédagogiques'!$C$5-'Choix pédagogiques'!$C$4),"")</f>
        <v/>
      </c>
      <c r="AT974" s="55" t="str">
        <f aca="false">IF(AND('Choix pédagogiques'!$C$4&lt;&gt;"?",'Choix pédagogiques'!$C$5&lt;&gt;"?",Y974&lt;&gt;""),(Y974-'Choix pédagogiques'!$C$4)/('Choix pédagogiques'!$C$5-'Choix pédagogiques'!$C$4),"")</f>
        <v/>
      </c>
      <c r="AU974" s="53" t="str">
        <f aca="false">IF($E974&lt;&gt;"",$E974,"")</f>
        <v/>
      </c>
      <c r="AV974" s="52" t="str">
        <f aca="false">IF($F974&lt;&gt;"",$F974,"")</f>
        <v>Apprenant 962 ou 962'</v>
      </c>
      <c r="AW974" s="55" t="str">
        <f aca="false">IF(AND('Choix pédagogiques'!$C$4&lt;&gt;"?",'Choix pédagogiques'!$C$5&lt;&gt;"?",AB974&lt;&gt;""),(AB974-'Choix pédagogiques'!$C$4)/('Choix pédagogiques'!$C$5-'Choix pédagogiques'!$C$4),"")</f>
        <v/>
      </c>
      <c r="AX974" s="55" t="str">
        <f aca="false">IF(AND('Choix pédagogiques'!$C$4&lt;&gt;"?",'Choix pédagogiques'!$C$5&lt;&gt;"?",AC974&lt;&gt;""),(AC974-'Choix pédagogiques'!$C$4)/('Choix pédagogiques'!$C$5-'Choix pédagogiques'!$C$4),"")</f>
        <v/>
      </c>
      <c r="AY974" s="55" t="str">
        <f aca="false">IF(AND('Choix pédagogiques'!$C$4&lt;&gt;"?",'Choix pédagogiques'!$C$5&lt;&gt;"?",AD974&lt;&gt;""),(AD974-'Choix pédagogiques'!$C$4)/('Choix pédagogiques'!$C$5-'Choix pédagogiques'!$C$4),"")</f>
        <v/>
      </c>
      <c r="AZ974" s="53" t="str">
        <f aca="false">IF($J974&lt;&gt;"",$J974,"")</f>
        <v/>
      </c>
      <c r="BA974" s="52" t="str">
        <f aca="false">IF($A974&lt;&gt;"",$A974,"")</f>
        <v>Apprenant 962</v>
      </c>
      <c r="BB974" s="55" t="str">
        <f aca="false">IF(AND($AR974&lt;&gt;"",$AS974&lt;&gt;""),$AS974-$AR974,"")</f>
        <v/>
      </c>
      <c r="BC974" s="55" t="str">
        <f aca="false">IF(AND($AR974&lt;&gt;"",$AT974&lt;&gt;""),$AT974-$AR974,"")</f>
        <v/>
      </c>
      <c r="BD974" s="55" t="str">
        <f aca="false">IF(AND($AS974&lt;&gt;"",$AT974&lt;&gt;""),$AT974-$AS974,"")</f>
        <v/>
      </c>
      <c r="BE974" s="53" t="str">
        <f aca="false">IF($E974&lt;&gt;"",$E974,"")</f>
        <v/>
      </c>
      <c r="BF974" s="52" t="str">
        <f aca="false">IF($F974&lt;&gt;"",$F974,"")</f>
        <v>Apprenant 962 ou 962'</v>
      </c>
      <c r="BG974" s="55" t="str">
        <f aca="false">IF(AND($AW974&lt;&gt;"",$AX974&lt;&gt;""),$AX974-$AW974,"")</f>
        <v/>
      </c>
      <c r="BH974" s="55" t="str">
        <f aca="false">IF(AND($AW974&lt;&gt;"",$AY974&lt;&gt;""),$AY974-$AW974,"")</f>
        <v/>
      </c>
      <c r="BI974" s="55" t="str">
        <f aca="false">IF(AND($AX974&lt;&gt;"",$AY974&lt;&gt;""),$AY974-$AX974,"")</f>
        <v/>
      </c>
      <c r="BJ974" s="53" t="str">
        <f aca="false">IF($J974&lt;&gt;"",$J974,"")</f>
        <v/>
      </c>
      <c r="BL974" s="52"/>
      <c r="BM974" s="52" t="str">
        <f aca="false">IF(OR(COUNT(B974:D1973)=0,AND('Choix pédagogiques'!$C$3&lt;&gt;1,'Choix pédagogiques'!$C$3&lt;&gt;2)),"",IF(AND(OR('Choix pédagogiques'!$C$3=1,'Choix pédagogiques'!$C$3=2),$B974&lt;&gt;"",$C974&lt;&gt;"",$D974&lt;&gt;""),1,0))</f>
        <v/>
      </c>
      <c r="BN974" s="52" t="str">
        <f aca="false">IF(OR(COUNT(G974:I1973)=0,AND('Choix pédagogiques'!$C$3&lt;&gt;1,'Choix pédagogiques'!$C$3&lt;&gt;2)),"",IF(AND(OR('Choix pédagogiques'!$C$3=1,'Choix pédagogiques'!$C$3=2),AND($G974&lt;&gt;"",$H974&lt;&gt;"",$I974&lt;&gt;"")),1,0))</f>
        <v/>
      </c>
      <c r="BO974" s="52" t="str">
        <f aca="false">IF(OR(COUNT(B974:D1973)=0,COUNT(G974:I1973)=0,'Choix pédagogiques'!C$3&lt;&gt;3),"",IF(AND('Choix pédagogiques'!$C$3=3,$B974&lt;&gt;"",$C974&lt;&gt;"",$D974&lt;&gt;"",$G974&lt;&gt;"",$H974&lt;&gt;"",$I974&lt;&gt;""),1,0))</f>
        <v/>
      </c>
      <c r="BR974" s="52" t="n">
        <v>813</v>
      </c>
      <c r="BS974" s="52" t="n">
        <v>1309</v>
      </c>
    </row>
    <row r="975" s="54" customFormat="true" ht="18" hidden="false" customHeight="true" outlineLevel="0" collapsed="false">
      <c r="A975" s="57" t="s">
        <v>1881</v>
      </c>
      <c r="B975" s="51"/>
      <c r="C975" s="51"/>
      <c r="D975" s="51"/>
      <c r="E975" s="51"/>
      <c r="F975" s="57" t="s">
        <v>1882</v>
      </c>
      <c r="G975" s="51"/>
      <c r="H975" s="51"/>
      <c r="I975" s="51"/>
      <c r="J975" s="51"/>
      <c r="K975" s="52" t="str">
        <f aca="false">IF($A975&lt;&gt;"",$A975,"")</f>
        <v>Apprenant 963</v>
      </c>
      <c r="L975" s="53" t="str">
        <f aca="false">IF(AND($B975&lt;&gt;"",$C975&lt;&gt;""),$C975-$B975,"")</f>
        <v/>
      </c>
      <c r="M975" s="53" t="str">
        <f aca="false">IF(AND($B975&lt;&gt;"",$D975&lt;&gt;""),$D975-$B975,"")</f>
        <v/>
      </c>
      <c r="N975" s="53" t="str">
        <f aca="false">IF(AND($C975&lt;&gt;"",$D975&lt;&gt;""),$D975-$C975,"")</f>
        <v/>
      </c>
      <c r="O975" s="53" t="str">
        <f aca="false">IF($E975&lt;&gt;"",$E975,"")</f>
        <v/>
      </c>
      <c r="P975" s="52" t="str">
        <f aca="false">IF($F975&lt;&gt;"",$F975,"")</f>
        <v>Apprenant 963 ou 963'</v>
      </c>
      <c r="Q975" s="53" t="str">
        <f aca="false">IF(AND($G975&lt;&gt;"",$H975&lt;&gt;""),$H975-$G975,"")</f>
        <v/>
      </c>
      <c r="R975" s="53" t="str">
        <f aca="false">IF(AND($G975&lt;&gt;"",$I975&lt;&gt;""),$I975-$G975,"")</f>
        <v/>
      </c>
      <c r="S975" s="53" t="str">
        <f aca="false">IF(AND($H975&lt;&gt;"",$I975&lt;&gt;""),$I975-$H975,"")</f>
        <v/>
      </c>
      <c r="T975" s="53" t="str">
        <f aca="false">IF($J975&lt;&gt;"",$J975,"")</f>
        <v/>
      </c>
      <c r="V975" s="52" t="str">
        <f aca="false">IF($A975&lt;&gt;"",$A975,"")</f>
        <v>Apprenant 963</v>
      </c>
      <c r="W975" s="53" t="str">
        <f aca="false">IF(AND(OR('Choix pédagogiques'!$C$3=1,'Choix pédagogiques'!$C$3=2),$BM975=1),B975,IF(AND('Choix pédagogiques'!$C$3=3,$BO975=1),B975,""))</f>
        <v/>
      </c>
      <c r="X975" s="53" t="str">
        <f aca="false">IF(AND(OR('Choix pédagogiques'!$C$3=1,'Choix pédagogiques'!$C$3=2),$BM975=1),C975,IF(AND('Choix pédagogiques'!$C$3=3,$BO975=1),C975,""))</f>
        <v/>
      </c>
      <c r="Y975" s="53" t="str">
        <f aca="false">IF(AND(OR('Choix pédagogiques'!$C$3=1,'Choix pédagogiques'!$C$3=2),$BM975=1),D975,IF(AND('Choix pédagogiques'!$C$3=3,$BO975=1),D975,""))</f>
        <v/>
      </c>
      <c r="Z975" s="53" t="str">
        <f aca="false">IF($E975&lt;&gt;"",$E975,"")</f>
        <v/>
      </c>
      <c r="AA975" s="52" t="str">
        <f aca="false">IF($F975&lt;&gt;"",$F975,"")</f>
        <v>Apprenant 963 ou 963'</v>
      </c>
      <c r="AB975" s="53" t="str">
        <f aca="false">IF(AND(OR('Choix pédagogiques'!$C$3=1,'Choix pédagogiques'!$C$3=2),$BN975=1),G975,IF(AND('Choix pédagogiques'!$C$3=3,$BO975=1),G975,""))</f>
        <v/>
      </c>
      <c r="AC975" s="53" t="str">
        <f aca="false">IF(AND(OR('Choix pédagogiques'!$C$3=1,'Choix pédagogiques'!$C$3=2),$BN975=1),H975,IF(AND('Choix pédagogiques'!$C$3=3,$BO975=1),H975,""))</f>
        <v/>
      </c>
      <c r="AD975" s="53" t="str">
        <f aca="false">IF(AND(OR('Choix pédagogiques'!$C$3=1,'Choix pédagogiques'!$C$3=2),$BN975=1),I975,IF(AND('Choix pédagogiques'!$C$3=3,$BO975=1),I975,""))</f>
        <v/>
      </c>
      <c r="AE975" s="53" t="str">
        <f aca="false">IF($J975&lt;&gt;"",$J975,"")</f>
        <v/>
      </c>
      <c r="AF975" s="52" t="str">
        <f aca="false">IF($A975&lt;&gt;"",$A975,"")</f>
        <v>Apprenant 963</v>
      </c>
      <c r="AG975" s="53" t="str">
        <f aca="false">IF(AND($W975&lt;&gt;"",$X975&lt;&gt;""),$X975-$W975,"")</f>
        <v/>
      </c>
      <c r="AH975" s="53" t="str">
        <f aca="false">IF(AND($W975&lt;&gt;"",$Y975&lt;&gt;""),$Y975-$W975,"")</f>
        <v/>
      </c>
      <c r="AI975" s="53" t="str">
        <f aca="false">IF(AND($X975&lt;&gt;"",$Y975&lt;&gt;""),$Y975-$X975,"")</f>
        <v/>
      </c>
      <c r="AJ975" s="53" t="str">
        <f aca="false">IF($E975&lt;&gt;"",$E975,"")</f>
        <v/>
      </c>
      <c r="AK975" s="52" t="str">
        <f aca="false">IF($F975&lt;&gt;"",$F975,"")</f>
        <v>Apprenant 963 ou 963'</v>
      </c>
      <c r="AL975" s="53" t="str">
        <f aca="false">IF(AND($AB975&lt;&gt;"",$AC975&lt;&gt;""),$AC975-$AB975,"")</f>
        <v/>
      </c>
      <c r="AM975" s="53" t="str">
        <f aca="false">IF(AND($AB975&lt;&gt;"",$AD975&lt;&gt;""),$AD975-$AB975,"")</f>
        <v/>
      </c>
      <c r="AN975" s="53" t="str">
        <f aca="false">IF(AND($AC975&lt;&gt;"",$AD975&lt;&gt;""),$AD975-$AC975,"")</f>
        <v/>
      </c>
      <c r="AO975" s="53" t="str">
        <f aca="false">IF($J975&lt;&gt;"",$J975,"")</f>
        <v/>
      </c>
      <c r="AQ975" s="52" t="str">
        <f aca="false">IF($A975&lt;&gt;"",$A975,"")</f>
        <v>Apprenant 963</v>
      </c>
      <c r="AR975" s="55" t="str">
        <f aca="false">IF(AND('Choix pédagogiques'!$C$4&lt;&gt;"?",'Choix pédagogiques'!$C$5&lt;&gt;"?",W975&lt;&gt;""),(W975-'Choix pédagogiques'!$C$4)/('Choix pédagogiques'!$C$5-'Choix pédagogiques'!$C$4),"")</f>
        <v/>
      </c>
      <c r="AS975" s="55" t="str">
        <f aca="false">IF(AND('Choix pédagogiques'!$C$4&lt;&gt;"?",'Choix pédagogiques'!$C$5&lt;&gt;"?",X975&lt;&gt;""),(X975-'Choix pédagogiques'!$C$4)/('Choix pédagogiques'!$C$5-'Choix pédagogiques'!$C$4),"")</f>
        <v/>
      </c>
      <c r="AT975" s="55" t="str">
        <f aca="false">IF(AND('Choix pédagogiques'!$C$4&lt;&gt;"?",'Choix pédagogiques'!$C$5&lt;&gt;"?",Y975&lt;&gt;""),(Y975-'Choix pédagogiques'!$C$4)/('Choix pédagogiques'!$C$5-'Choix pédagogiques'!$C$4),"")</f>
        <v/>
      </c>
      <c r="AU975" s="53" t="str">
        <f aca="false">IF($E975&lt;&gt;"",$E975,"")</f>
        <v/>
      </c>
      <c r="AV975" s="52" t="str">
        <f aca="false">IF($F975&lt;&gt;"",$F975,"")</f>
        <v>Apprenant 963 ou 963'</v>
      </c>
      <c r="AW975" s="55" t="str">
        <f aca="false">IF(AND('Choix pédagogiques'!$C$4&lt;&gt;"?",'Choix pédagogiques'!$C$5&lt;&gt;"?",AB975&lt;&gt;""),(AB975-'Choix pédagogiques'!$C$4)/('Choix pédagogiques'!$C$5-'Choix pédagogiques'!$C$4),"")</f>
        <v/>
      </c>
      <c r="AX975" s="55" t="str">
        <f aca="false">IF(AND('Choix pédagogiques'!$C$4&lt;&gt;"?",'Choix pédagogiques'!$C$5&lt;&gt;"?",AC975&lt;&gt;""),(AC975-'Choix pédagogiques'!$C$4)/('Choix pédagogiques'!$C$5-'Choix pédagogiques'!$C$4),"")</f>
        <v/>
      </c>
      <c r="AY975" s="55" t="str">
        <f aca="false">IF(AND('Choix pédagogiques'!$C$4&lt;&gt;"?",'Choix pédagogiques'!$C$5&lt;&gt;"?",AD975&lt;&gt;""),(AD975-'Choix pédagogiques'!$C$4)/('Choix pédagogiques'!$C$5-'Choix pédagogiques'!$C$4),"")</f>
        <v/>
      </c>
      <c r="AZ975" s="53" t="str">
        <f aca="false">IF($J975&lt;&gt;"",$J975,"")</f>
        <v/>
      </c>
      <c r="BA975" s="52" t="str">
        <f aca="false">IF($A975&lt;&gt;"",$A975,"")</f>
        <v>Apprenant 963</v>
      </c>
      <c r="BB975" s="55" t="str">
        <f aca="false">IF(AND($AR975&lt;&gt;"",$AS975&lt;&gt;""),$AS975-$AR975,"")</f>
        <v/>
      </c>
      <c r="BC975" s="55" t="str">
        <f aca="false">IF(AND($AR975&lt;&gt;"",$AT975&lt;&gt;""),$AT975-$AR975,"")</f>
        <v/>
      </c>
      <c r="BD975" s="55" t="str">
        <f aca="false">IF(AND($AS975&lt;&gt;"",$AT975&lt;&gt;""),$AT975-$AS975,"")</f>
        <v/>
      </c>
      <c r="BE975" s="53" t="str">
        <f aca="false">IF($E975&lt;&gt;"",$E975,"")</f>
        <v/>
      </c>
      <c r="BF975" s="52" t="str">
        <f aca="false">IF($F975&lt;&gt;"",$F975,"")</f>
        <v>Apprenant 963 ou 963'</v>
      </c>
      <c r="BG975" s="55" t="str">
        <f aca="false">IF(AND($AW975&lt;&gt;"",$AX975&lt;&gt;""),$AX975-$AW975,"")</f>
        <v/>
      </c>
      <c r="BH975" s="55" t="str">
        <f aca="false">IF(AND($AW975&lt;&gt;"",$AY975&lt;&gt;""),$AY975-$AW975,"")</f>
        <v/>
      </c>
      <c r="BI975" s="55" t="str">
        <f aca="false">IF(AND($AX975&lt;&gt;"",$AY975&lt;&gt;""),$AY975-$AX975,"")</f>
        <v/>
      </c>
      <c r="BJ975" s="53" t="str">
        <f aca="false">IF($J975&lt;&gt;"",$J975,"")</f>
        <v/>
      </c>
      <c r="BL975" s="52"/>
      <c r="BM975" s="52" t="str">
        <f aca="false">IF(OR(COUNT(B975:D1974)=0,AND('Choix pédagogiques'!$C$3&lt;&gt;1,'Choix pédagogiques'!$C$3&lt;&gt;2)),"",IF(AND(OR('Choix pédagogiques'!$C$3=1,'Choix pédagogiques'!$C$3=2),$B975&lt;&gt;"",$C975&lt;&gt;"",$D975&lt;&gt;""),1,0))</f>
        <v/>
      </c>
      <c r="BN975" s="52" t="str">
        <f aca="false">IF(OR(COUNT(G975:I1974)=0,AND('Choix pédagogiques'!$C$3&lt;&gt;1,'Choix pédagogiques'!$C$3&lt;&gt;2)),"",IF(AND(OR('Choix pédagogiques'!$C$3=1,'Choix pédagogiques'!$C$3=2),AND($G975&lt;&gt;"",$H975&lt;&gt;"",$I975&lt;&gt;"")),1,0))</f>
        <v/>
      </c>
      <c r="BO975" s="52" t="str">
        <f aca="false">IF(OR(COUNT(B975:D1974)=0,COUNT(G975:I1974)=0,'Choix pédagogiques'!C$3&lt;&gt;3),"",IF(AND('Choix pédagogiques'!$C$3=3,$B975&lt;&gt;"",$C975&lt;&gt;"",$D975&lt;&gt;"",$G975&lt;&gt;"",$H975&lt;&gt;"",$I975&lt;&gt;""),1,0))</f>
        <v/>
      </c>
      <c r="BR975" s="52" t="n">
        <v>506</v>
      </c>
      <c r="BS975" s="52" t="n">
        <v>1910</v>
      </c>
    </row>
    <row r="976" s="54" customFormat="true" ht="18" hidden="false" customHeight="true" outlineLevel="0" collapsed="false">
      <c r="A976" s="57" t="s">
        <v>1883</v>
      </c>
      <c r="B976" s="51"/>
      <c r="C976" s="51"/>
      <c r="D976" s="51"/>
      <c r="E976" s="51"/>
      <c r="F976" s="57" t="s">
        <v>1884</v>
      </c>
      <c r="G976" s="51"/>
      <c r="H976" s="51"/>
      <c r="I976" s="51"/>
      <c r="J976" s="51"/>
      <c r="K976" s="52" t="str">
        <f aca="false">IF($A976&lt;&gt;"",$A976,"")</f>
        <v>Apprenant 964</v>
      </c>
      <c r="L976" s="53" t="str">
        <f aca="false">IF(AND($B976&lt;&gt;"",$C976&lt;&gt;""),$C976-$B976,"")</f>
        <v/>
      </c>
      <c r="M976" s="53" t="str">
        <f aca="false">IF(AND($B976&lt;&gt;"",$D976&lt;&gt;""),$D976-$B976,"")</f>
        <v/>
      </c>
      <c r="N976" s="53" t="str">
        <f aca="false">IF(AND($C976&lt;&gt;"",$D976&lt;&gt;""),$D976-$C976,"")</f>
        <v/>
      </c>
      <c r="O976" s="53" t="str">
        <f aca="false">IF($E976&lt;&gt;"",$E976,"")</f>
        <v/>
      </c>
      <c r="P976" s="52" t="str">
        <f aca="false">IF($F976&lt;&gt;"",$F976,"")</f>
        <v>Apprenant 964 ou 964'</v>
      </c>
      <c r="Q976" s="53" t="str">
        <f aca="false">IF(AND($G976&lt;&gt;"",$H976&lt;&gt;""),$H976-$G976,"")</f>
        <v/>
      </c>
      <c r="R976" s="53" t="str">
        <f aca="false">IF(AND($G976&lt;&gt;"",$I976&lt;&gt;""),$I976-$G976,"")</f>
        <v/>
      </c>
      <c r="S976" s="53" t="str">
        <f aca="false">IF(AND($H976&lt;&gt;"",$I976&lt;&gt;""),$I976-$H976,"")</f>
        <v/>
      </c>
      <c r="T976" s="53" t="str">
        <f aca="false">IF($J976&lt;&gt;"",$J976,"")</f>
        <v/>
      </c>
      <c r="V976" s="52" t="str">
        <f aca="false">IF($A976&lt;&gt;"",$A976,"")</f>
        <v>Apprenant 964</v>
      </c>
      <c r="W976" s="53" t="str">
        <f aca="false">IF(AND(OR('Choix pédagogiques'!$C$3=1,'Choix pédagogiques'!$C$3=2),$BM976=1),B976,IF(AND('Choix pédagogiques'!$C$3=3,$BO976=1),B976,""))</f>
        <v/>
      </c>
      <c r="X976" s="53" t="str">
        <f aca="false">IF(AND(OR('Choix pédagogiques'!$C$3=1,'Choix pédagogiques'!$C$3=2),$BM976=1),C976,IF(AND('Choix pédagogiques'!$C$3=3,$BO976=1),C976,""))</f>
        <v/>
      </c>
      <c r="Y976" s="53" t="str">
        <f aca="false">IF(AND(OR('Choix pédagogiques'!$C$3=1,'Choix pédagogiques'!$C$3=2),$BM976=1),D976,IF(AND('Choix pédagogiques'!$C$3=3,$BO976=1),D976,""))</f>
        <v/>
      </c>
      <c r="Z976" s="53" t="str">
        <f aca="false">IF($E976&lt;&gt;"",$E976,"")</f>
        <v/>
      </c>
      <c r="AA976" s="52" t="str">
        <f aca="false">IF($F976&lt;&gt;"",$F976,"")</f>
        <v>Apprenant 964 ou 964'</v>
      </c>
      <c r="AB976" s="53" t="str">
        <f aca="false">IF(AND(OR('Choix pédagogiques'!$C$3=1,'Choix pédagogiques'!$C$3=2),$BN976=1),G976,IF(AND('Choix pédagogiques'!$C$3=3,$BO976=1),G976,""))</f>
        <v/>
      </c>
      <c r="AC976" s="53" t="str">
        <f aca="false">IF(AND(OR('Choix pédagogiques'!$C$3=1,'Choix pédagogiques'!$C$3=2),$BN976=1),H976,IF(AND('Choix pédagogiques'!$C$3=3,$BO976=1),H976,""))</f>
        <v/>
      </c>
      <c r="AD976" s="53" t="str">
        <f aca="false">IF(AND(OR('Choix pédagogiques'!$C$3=1,'Choix pédagogiques'!$C$3=2),$BN976=1),I976,IF(AND('Choix pédagogiques'!$C$3=3,$BO976=1),I976,""))</f>
        <v/>
      </c>
      <c r="AE976" s="53" t="str">
        <f aca="false">IF($J976&lt;&gt;"",$J976,"")</f>
        <v/>
      </c>
      <c r="AF976" s="52" t="str">
        <f aca="false">IF($A976&lt;&gt;"",$A976,"")</f>
        <v>Apprenant 964</v>
      </c>
      <c r="AG976" s="53" t="str">
        <f aca="false">IF(AND($W976&lt;&gt;"",$X976&lt;&gt;""),$X976-$W976,"")</f>
        <v/>
      </c>
      <c r="AH976" s="53" t="str">
        <f aca="false">IF(AND($W976&lt;&gt;"",$Y976&lt;&gt;""),$Y976-$W976,"")</f>
        <v/>
      </c>
      <c r="AI976" s="53" t="str">
        <f aca="false">IF(AND($X976&lt;&gt;"",$Y976&lt;&gt;""),$Y976-$X976,"")</f>
        <v/>
      </c>
      <c r="AJ976" s="53" t="str">
        <f aca="false">IF($E976&lt;&gt;"",$E976,"")</f>
        <v/>
      </c>
      <c r="AK976" s="52" t="str">
        <f aca="false">IF($F976&lt;&gt;"",$F976,"")</f>
        <v>Apprenant 964 ou 964'</v>
      </c>
      <c r="AL976" s="53" t="str">
        <f aca="false">IF(AND($AB976&lt;&gt;"",$AC976&lt;&gt;""),$AC976-$AB976,"")</f>
        <v/>
      </c>
      <c r="AM976" s="53" t="str">
        <f aca="false">IF(AND($AB976&lt;&gt;"",$AD976&lt;&gt;""),$AD976-$AB976,"")</f>
        <v/>
      </c>
      <c r="AN976" s="53" t="str">
        <f aca="false">IF(AND($AC976&lt;&gt;"",$AD976&lt;&gt;""),$AD976-$AC976,"")</f>
        <v/>
      </c>
      <c r="AO976" s="53" t="str">
        <f aca="false">IF($J976&lt;&gt;"",$J976,"")</f>
        <v/>
      </c>
      <c r="AQ976" s="52" t="str">
        <f aca="false">IF($A976&lt;&gt;"",$A976,"")</f>
        <v>Apprenant 964</v>
      </c>
      <c r="AR976" s="55" t="str">
        <f aca="false">IF(AND('Choix pédagogiques'!$C$4&lt;&gt;"?",'Choix pédagogiques'!$C$5&lt;&gt;"?",W976&lt;&gt;""),(W976-'Choix pédagogiques'!$C$4)/('Choix pédagogiques'!$C$5-'Choix pédagogiques'!$C$4),"")</f>
        <v/>
      </c>
      <c r="AS976" s="55" t="str">
        <f aca="false">IF(AND('Choix pédagogiques'!$C$4&lt;&gt;"?",'Choix pédagogiques'!$C$5&lt;&gt;"?",X976&lt;&gt;""),(X976-'Choix pédagogiques'!$C$4)/('Choix pédagogiques'!$C$5-'Choix pédagogiques'!$C$4),"")</f>
        <v/>
      </c>
      <c r="AT976" s="55" t="str">
        <f aca="false">IF(AND('Choix pédagogiques'!$C$4&lt;&gt;"?",'Choix pédagogiques'!$C$5&lt;&gt;"?",Y976&lt;&gt;""),(Y976-'Choix pédagogiques'!$C$4)/('Choix pédagogiques'!$C$5-'Choix pédagogiques'!$C$4),"")</f>
        <v/>
      </c>
      <c r="AU976" s="53" t="str">
        <f aca="false">IF($E976&lt;&gt;"",$E976,"")</f>
        <v/>
      </c>
      <c r="AV976" s="52" t="str">
        <f aca="false">IF($F976&lt;&gt;"",$F976,"")</f>
        <v>Apprenant 964 ou 964'</v>
      </c>
      <c r="AW976" s="55" t="str">
        <f aca="false">IF(AND('Choix pédagogiques'!$C$4&lt;&gt;"?",'Choix pédagogiques'!$C$5&lt;&gt;"?",AB976&lt;&gt;""),(AB976-'Choix pédagogiques'!$C$4)/('Choix pédagogiques'!$C$5-'Choix pédagogiques'!$C$4),"")</f>
        <v/>
      </c>
      <c r="AX976" s="55" t="str">
        <f aca="false">IF(AND('Choix pédagogiques'!$C$4&lt;&gt;"?",'Choix pédagogiques'!$C$5&lt;&gt;"?",AC976&lt;&gt;""),(AC976-'Choix pédagogiques'!$C$4)/('Choix pédagogiques'!$C$5-'Choix pédagogiques'!$C$4),"")</f>
        <v/>
      </c>
      <c r="AY976" s="55" t="str">
        <f aca="false">IF(AND('Choix pédagogiques'!$C$4&lt;&gt;"?",'Choix pédagogiques'!$C$5&lt;&gt;"?",AD976&lt;&gt;""),(AD976-'Choix pédagogiques'!$C$4)/('Choix pédagogiques'!$C$5-'Choix pédagogiques'!$C$4),"")</f>
        <v/>
      </c>
      <c r="AZ976" s="53" t="str">
        <f aca="false">IF($J976&lt;&gt;"",$J976,"")</f>
        <v/>
      </c>
      <c r="BA976" s="52" t="str">
        <f aca="false">IF($A976&lt;&gt;"",$A976,"")</f>
        <v>Apprenant 964</v>
      </c>
      <c r="BB976" s="55" t="str">
        <f aca="false">IF(AND($AR976&lt;&gt;"",$AS976&lt;&gt;""),$AS976-$AR976,"")</f>
        <v/>
      </c>
      <c r="BC976" s="55" t="str">
        <f aca="false">IF(AND($AR976&lt;&gt;"",$AT976&lt;&gt;""),$AT976-$AR976,"")</f>
        <v/>
      </c>
      <c r="BD976" s="55" t="str">
        <f aca="false">IF(AND($AS976&lt;&gt;"",$AT976&lt;&gt;""),$AT976-$AS976,"")</f>
        <v/>
      </c>
      <c r="BE976" s="53" t="str">
        <f aca="false">IF($E976&lt;&gt;"",$E976,"")</f>
        <v/>
      </c>
      <c r="BF976" s="52" t="str">
        <f aca="false">IF($F976&lt;&gt;"",$F976,"")</f>
        <v>Apprenant 964 ou 964'</v>
      </c>
      <c r="BG976" s="55" t="str">
        <f aca="false">IF(AND($AW976&lt;&gt;"",$AX976&lt;&gt;""),$AX976-$AW976,"")</f>
        <v/>
      </c>
      <c r="BH976" s="55" t="str">
        <f aca="false">IF(AND($AW976&lt;&gt;"",$AY976&lt;&gt;""),$AY976-$AW976,"")</f>
        <v/>
      </c>
      <c r="BI976" s="55" t="str">
        <f aca="false">IF(AND($AX976&lt;&gt;"",$AY976&lt;&gt;""),$AY976-$AX976,"")</f>
        <v/>
      </c>
      <c r="BJ976" s="53" t="str">
        <f aca="false">IF($J976&lt;&gt;"",$J976,"")</f>
        <v/>
      </c>
      <c r="BL976" s="52"/>
      <c r="BM976" s="52" t="str">
        <f aca="false">IF(OR(COUNT(B976:D1975)=0,AND('Choix pédagogiques'!$C$3&lt;&gt;1,'Choix pédagogiques'!$C$3&lt;&gt;2)),"",IF(AND(OR('Choix pédagogiques'!$C$3=1,'Choix pédagogiques'!$C$3=2),$B976&lt;&gt;"",$C976&lt;&gt;"",$D976&lt;&gt;""),1,0))</f>
        <v/>
      </c>
      <c r="BN976" s="52" t="str">
        <f aca="false">IF(OR(COUNT(G976:I1975)=0,AND('Choix pédagogiques'!$C$3&lt;&gt;1,'Choix pédagogiques'!$C$3&lt;&gt;2)),"",IF(AND(OR('Choix pédagogiques'!$C$3=1,'Choix pédagogiques'!$C$3=2),AND($G976&lt;&gt;"",$H976&lt;&gt;"",$I976&lt;&gt;"")),1,0))</f>
        <v/>
      </c>
      <c r="BO976" s="52" t="str">
        <f aca="false">IF(OR(COUNT(B976:D1975)=0,COUNT(G976:I1975)=0,'Choix pédagogiques'!C$3&lt;&gt;3),"",IF(AND('Choix pédagogiques'!$C$3=3,$B976&lt;&gt;"",$C976&lt;&gt;"",$D976&lt;&gt;"",$G976&lt;&gt;"",$H976&lt;&gt;"",$I976&lt;&gt;""),1,0))</f>
        <v/>
      </c>
      <c r="BR976" s="52" t="n">
        <v>554</v>
      </c>
      <c r="BS976" s="52" t="n">
        <v>1652</v>
      </c>
    </row>
    <row r="977" s="54" customFormat="true" ht="18" hidden="false" customHeight="true" outlineLevel="0" collapsed="false">
      <c r="A977" s="57" t="s">
        <v>1885</v>
      </c>
      <c r="B977" s="51"/>
      <c r="C977" s="51"/>
      <c r="D977" s="51"/>
      <c r="E977" s="51"/>
      <c r="F977" s="57" t="s">
        <v>1886</v>
      </c>
      <c r="G977" s="51"/>
      <c r="H977" s="51"/>
      <c r="I977" s="51"/>
      <c r="J977" s="51"/>
      <c r="K977" s="52" t="str">
        <f aca="false">IF($A977&lt;&gt;"",$A977,"")</f>
        <v>Apprenant 965</v>
      </c>
      <c r="L977" s="53" t="str">
        <f aca="false">IF(AND($B977&lt;&gt;"",$C977&lt;&gt;""),$C977-$B977,"")</f>
        <v/>
      </c>
      <c r="M977" s="53" t="str">
        <f aca="false">IF(AND($B977&lt;&gt;"",$D977&lt;&gt;""),$D977-$B977,"")</f>
        <v/>
      </c>
      <c r="N977" s="53" t="str">
        <f aca="false">IF(AND($C977&lt;&gt;"",$D977&lt;&gt;""),$D977-$C977,"")</f>
        <v/>
      </c>
      <c r="O977" s="53" t="str">
        <f aca="false">IF($E977&lt;&gt;"",$E977,"")</f>
        <v/>
      </c>
      <c r="P977" s="52" t="str">
        <f aca="false">IF($F977&lt;&gt;"",$F977,"")</f>
        <v>Apprenant 965 ou 965'</v>
      </c>
      <c r="Q977" s="53" t="str">
        <f aca="false">IF(AND($G977&lt;&gt;"",$H977&lt;&gt;""),$H977-$G977,"")</f>
        <v/>
      </c>
      <c r="R977" s="53" t="str">
        <f aca="false">IF(AND($G977&lt;&gt;"",$I977&lt;&gt;""),$I977-$G977,"")</f>
        <v/>
      </c>
      <c r="S977" s="53" t="str">
        <f aca="false">IF(AND($H977&lt;&gt;"",$I977&lt;&gt;""),$I977-$H977,"")</f>
        <v/>
      </c>
      <c r="T977" s="53" t="str">
        <f aca="false">IF($J977&lt;&gt;"",$J977,"")</f>
        <v/>
      </c>
      <c r="V977" s="52" t="str">
        <f aca="false">IF($A977&lt;&gt;"",$A977,"")</f>
        <v>Apprenant 965</v>
      </c>
      <c r="W977" s="53" t="str">
        <f aca="false">IF(AND(OR('Choix pédagogiques'!$C$3=1,'Choix pédagogiques'!$C$3=2),$BM977=1),B977,IF(AND('Choix pédagogiques'!$C$3=3,$BO977=1),B977,""))</f>
        <v/>
      </c>
      <c r="X977" s="53" t="str">
        <f aca="false">IF(AND(OR('Choix pédagogiques'!$C$3=1,'Choix pédagogiques'!$C$3=2),$BM977=1),C977,IF(AND('Choix pédagogiques'!$C$3=3,$BO977=1),C977,""))</f>
        <v/>
      </c>
      <c r="Y977" s="53" t="str">
        <f aca="false">IF(AND(OR('Choix pédagogiques'!$C$3=1,'Choix pédagogiques'!$C$3=2),$BM977=1),D977,IF(AND('Choix pédagogiques'!$C$3=3,$BO977=1),D977,""))</f>
        <v/>
      </c>
      <c r="Z977" s="53" t="str">
        <f aca="false">IF($E977&lt;&gt;"",$E977,"")</f>
        <v/>
      </c>
      <c r="AA977" s="52" t="str">
        <f aca="false">IF($F977&lt;&gt;"",$F977,"")</f>
        <v>Apprenant 965 ou 965'</v>
      </c>
      <c r="AB977" s="53" t="str">
        <f aca="false">IF(AND(OR('Choix pédagogiques'!$C$3=1,'Choix pédagogiques'!$C$3=2),$BN977=1),G977,IF(AND('Choix pédagogiques'!$C$3=3,$BO977=1),G977,""))</f>
        <v/>
      </c>
      <c r="AC977" s="53" t="str">
        <f aca="false">IF(AND(OR('Choix pédagogiques'!$C$3=1,'Choix pédagogiques'!$C$3=2),$BN977=1),H977,IF(AND('Choix pédagogiques'!$C$3=3,$BO977=1),H977,""))</f>
        <v/>
      </c>
      <c r="AD977" s="53" t="str">
        <f aca="false">IF(AND(OR('Choix pédagogiques'!$C$3=1,'Choix pédagogiques'!$C$3=2),$BN977=1),I977,IF(AND('Choix pédagogiques'!$C$3=3,$BO977=1),I977,""))</f>
        <v/>
      </c>
      <c r="AE977" s="53" t="str">
        <f aca="false">IF($J977&lt;&gt;"",$J977,"")</f>
        <v/>
      </c>
      <c r="AF977" s="52" t="str">
        <f aca="false">IF($A977&lt;&gt;"",$A977,"")</f>
        <v>Apprenant 965</v>
      </c>
      <c r="AG977" s="53" t="str">
        <f aca="false">IF(AND($W977&lt;&gt;"",$X977&lt;&gt;""),$X977-$W977,"")</f>
        <v/>
      </c>
      <c r="AH977" s="53" t="str">
        <f aca="false">IF(AND($W977&lt;&gt;"",$Y977&lt;&gt;""),$Y977-$W977,"")</f>
        <v/>
      </c>
      <c r="AI977" s="53" t="str">
        <f aca="false">IF(AND($X977&lt;&gt;"",$Y977&lt;&gt;""),$Y977-$X977,"")</f>
        <v/>
      </c>
      <c r="AJ977" s="53" t="str">
        <f aca="false">IF($E977&lt;&gt;"",$E977,"")</f>
        <v/>
      </c>
      <c r="AK977" s="52" t="str">
        <f aca="false">IF($F977&lt;&gt;"",$F977,"")</f>
        <v>Apprenant 965 ou 965'</v>
      </c>
      <c r="AL977" s="53" t="str">
        <f aca="false">IF(AND($AB977&lt;&gt;"",$AC977&lt;&gt;""),$AC977-$AB977,"")</f>
        <v/>
      </c>
      <c r="AM977" s="53" t="str">
        <f aca="false">IF(AND($AB977&lt;&gt;"",$AD977&lt;&gt;""),$AD977-$AB977,"")</f>
        <v/>
      </c>
      <c r="AN977" s="53" t="str">
        <f aca="false">IF(AND($AC977&lt;&gt;"",$AD977&lt;&gt;""),$AD977-$AC977,"")</f>
        <v/>
      </c>
      <c r="AO977" s="53" t="str">
        <f aca="false">IF($J977&lt;&gt;"",$J977,"")</f>
        <v/>
      </c>
      <c r="AQ977" s="52" t="str">
        <f aca="false">IF($A977&lt;&gt;"",$A977,"")</f>
        <v>Apprenant 965</v>
      </c>
      <c r="AR977" s="55" t="str">
        <f aca="false">IF(AND('Choix pédagogiques'!$C$4&lt;&gt;"?",'Choix pédagogiques'!$C$5&lt;&gt;"?",W977&lt;&gt;""),(W977-'Choix pédagogiques'!$C$4)/('Choix pédagogiques'!$C$5-'Choix pédagogiques'!$C$4),"")</f>
        <v/>
      </c>
      <c r="AS977" s="55" t="str">
        <f aca="false">IF(AND('Choix pédagogiques'!$C$4&lt;&gt;"?",'Choix pédagogiques'!$C$5&lt;&gt;"?",X977&lt;&gt;""),(X977-'Choix pédagogiques'!$C$4)/('Choix pédagogiques'!$C$5-'Choix pédagogiques'!$C$4),"")</f>
        <v/>
      </c>
      <c r="AT977" s="55" t="str">
        <f aca="false">IF(AND('Choix pédagogiques'!$C$4&lt;&gt;"?",'Choix pédagogiques'!$C$5&lt;&gt;"?",Y977&lt;&gt;""),(Y977-'Choix pédagogiques'!$C$4)/('Choix pédagogiques'!$C$5-'Choix pédagogiques'!$C$4),"")</f>
        <v/>
      </c>
      <c r="AU977" s="53" t="str">
        <f aca="false">IF($E977&lt;&gt;"",$E977,"")</f>
        <v/>
      </c>
      <c r="AV977" s="52" t="str">
        <f aca="false">IF($F977&lt;&gt;"",$F977,"")</f>
        <v>Apprenant 965 ou 965'</v>
      </c>
      <c r="AW977" s="55" t="str">
        <f aca="false">IF(AND('Choix pédagogiques'!$C$4&lt;&gt;"?",'Choix pédagogiques'!$C$5&lt;&gt;"?",AB977&lt;&gt;""),(AB977-'Choix pédagogiques'!$C$4)/('Choix pédagogiques'!$C$5-'Choix pédagogiques'!$C$4),"")</f>
        <v/>
      </c>
      <c r="AX977" s="55" t="str">
        <f aca="false">IF(AND('Choix pédagogiques'!$C$4&lt;&gt;"?",'Choix pédagogiques'!$C$5&lt;&gt;"?",AC977&lt;&gt;""),(AC977-'Choix pédagogiques'!$C$4)/('Choix pédagogiques'!$C$5-'Choix pédagogiques'!$C$4),"")</f>
        <v/>
      </c>
      <c r="AY977" s="55" t="str">
        <f aca="false">IF(AND('Choix pédagogiques'!$C$4&lt;&gt;"?",'Choix pédagogiques'!$C$5&lt;&gt;"?",AD977&lt;&gt;""),(AD977-'Choix pédagogiques'!$C$4)/('Choix pédagogiques'!$C$5-'Choix pédagogiques'!$C$4),"")</f>
        <v/>
      </c>
      <c r="AZ977" s="53" t="str">
        <f aca="false">IF($J977&lt;&gt;"",$J977,"")</f>
        <v/>
      </c>
      <c r="BA977" s="52" t="str">
        <f aca="false">IF($A977&lt;&gt;"",$A977,"")</f>
        <v>Apprenant 965</v>
      </c>
      <c r="BB977" s="55" t="str">
        <f aca="false">IF(AND($AR977&lt;&gt;"",$AS977&lt;&gt;""),$AS977-$AR977,"")</f>
        <v/>
      </c>
      <c r="BC977" s="55" t="str">
        <f aca="false">IF(AND($AR977&lt;&gt;"",$AT977&lt;&gt;""),$AT977-$AR977,"")</f>
        <v/>
      </c>
      <c r="BD977" s="55" t="str">
        <f aca="false">IF(AND($AS977&lt;&gt;"",$AT977&lt;&gt;""),$AT977-$AS977,"")</f>
        <v/>
      </c>
      <c r="BE977" s="53" t="str">
        <f aca="false">IF($E977&lt;&gt;"",$E977,"")</f>
        <v/>
      </c>
      <c r="BF977" s="52" t="str">
        <f aca="false">IF($F977&lt;&gt;"",$F977,"")</f>
        <v>Apprenant 965 ou 965'</v>
      </c>
      <c r="BG977" s="55" t="str">
        <f aca="false">IF(AND($AW977&lt;&gt;"",$AX977&lt;&gt;""),$AX977-$AW977,"")</f>
        <v/>
      </c>
      <c r="BH977" s="55" t="str">
        <f aca="false">IF(AND($AW977&lt;&gt;"",$AY977&lt;&gt;""),$AY977-$AW977,"")</f>
        <v/>
      </c>
      <c r="BI977" s="55" t="str">
        <f aca="false">IF(AND($AX977&lt;&gt;"",$AY977&lt;&gt;""),$AY977-$AX977,"")</f>
        <v/>
      </c>
      <c r="BJ977" s="53" t="str">
        <f aca="false">IF($J977&lt;&gt;"",$J977,"")</f>
        <v/>
      </c>
      <c r="BL977" s="52"/>
      <c r="BM977" s="52" t="str">
        <f aca="false">IF(OR(COUNT(B977:D1976)=0,AND('Choix pédagogiques'!$C$3&lt;&gt;1,'Choix pédagogiques'!$C$3&lt;&gt;2)),"",IF(AND(OR('Choix pédagogiques'!$C$3=1,'Choix pédagogiques'!$C$3=2),$B977&lt;&gt;"",$C977&lt;&gt;"",$D977&lt;&gt;""),1,0))</f>
        <v/>
      </c>
      <c r="BN977" s="52" t="str">
        <f aca="false">IF(OR(COUNT(G977:I1976)=0,AND('Choix pédagogiques'!$C$3&lt;&gt;1,'Choix pédagogiques'!$C$3&lt;&gt;2)),"",IF(AND(OR('Choix pédagogiques'!$C$3=1,'Choix pédagogiques'!$C$3=2),AND($G977&lt;&gt;"",$H977&lt;&gt;"",$I977&lt;&gt;"")),1,0))</f>
        <v/>
      </c>
      <c r="BO977" s="52" t="str">
        <f aca="false">IF(OR(COUNT(B977:D1976)=0,COUNT(G977:I1976)=0,'Choix pédagogiques'!C$3&lt;&gt;3),"",IF(AND('Choix pédagogiques'!$C$3=3,$B977&lt;&gt;"",$C977&lt;&gt;"",$D977&lt;&gt;"",$G977&lt;&gt;"",$H977&lt;&gt;"",$I977&lt;&gt;""),1,0))</f>
        <v/>
      </c>
      <c r="BR977" s="52" t="n">
        <v>441</v>
      </c>
      <c r="BS977" s="52" t="n">
        <v>1258</v>
      </c>
    </row>
    <row r="978" s="54" customFormat="true" ht="18" hidden="false" customHeight="true" outlineLevel="0" collapsed="false">
      <c r="A978" s="57" t="s">
        <v>1887</v>
      </c>
      <c r="B978" s="51"/>
      <c r="C978" s="51"/>
      <c r="D978" s="51"/>
      <c r="E978" s="51"/>
      <c r="F978" s="57" t="s">
        <v>1888</v>
      </c>
      <c r="G978" s="51"/>
      <c r="H978" s="51"/>
      <c r="I978" s="51"/>
      <c r="J978" s="51"/>
      <c r="K978" s="52" t="str">
        <f aca="false">IF($A978&lt;&gt;"",$A978,"")</f>
        <v>Apprenant 966</v>
      </c>
      <c r="L978" s="53" t="str">
        <f aca="false">IF(AND($B978&lt;&gt;"",$C978&lt;&gt;""),$C978-$B978,"")</f>
        <v/>
      </c>
      <c r="M978" s="53" t="str">
        <f aca="false">IF(AND($B978&lt;&gt;"",$D978&lt;&gt;""),$D978-$B978,"")</f>
        <v/>
      </c>
      <c r="N978" s="53" t="str">
        <f aca="false">IF(AND($C978&lt;&gt;"",$D978&lt;&gt;""),$D978-$C978,"")</f>
        <v/>
      </c>
      <c r="O978" s="53" t="str">
        <f aca="false">IF($E978&lt;&gt;"",$E978,"")</f>
        <v/>
      </c>
      <c r="P978" s="52" t="str">
        <f aca="false">IF($F978&lt;&gt;"",$F978,"")</f>
        <v>Apprenant 966 ou 966'</v>
      </c>
      <c r="Q978" s="53" t="str">
        <f aca="false">IF(AND($G978&lt;&gt;"",$H978&lt;&gt;""),$H978-$G978,"")</f>
        <v/>
      </c>
      <c r="R978" s="53" t="str">
        <f aca="false">IF(AND($G978&lt;&gt;"",$I978&lt;&gt;""),$I978-$G978,"")</f>
        <v/>
      </c>
      <c r="S978" s="53" t="str">
        <f aca="false">IF(AND($H978&lt;&gt;"",$I978&lt;&gt;""),$I978-$H978,"")</f>
        <v/>
      </c>
      <c r="T978" s="53" t="str">
        <f aca="false">IF($J978&lt;&gt;"",$J978,"")</f>
        <v/>
      </c>
      <c r="V978" s="52" t="str">
        <f aca="false">IF($A978&lt;&gt;"",$A978,"")</f>
        <v>Apprenant 966</v>
      </c>
      <c r="W978" s="53" t="str">
        <f aca="false">IF(AND(OR('Choix pédagogiques'!$C$3=1,'Choix pédagogiques'!$C$3=2),$BM978=1),B978,IF(AND('Choix pédagogiques'!$C$3=3,$BO978=1),B978,""))</f>
        <v/>
      </c>
      <c r="X978" s="53" t="str">
        <f aca="false">IF(AND(OR('Choix pédagogiques'!$C$3=1,'Choix pédagogiques'!$C$3=2),$BM978=1),C978,IF(AND('Choix pédagogiques'!$C$3=3,$BO978=1),C978,""))</f>
        <v/>
      </c>
      <c r="Y978" s="53" t="str">
        <f aca="false">IF(AND(OR('Choix pédagogiques'!$C$3=1,'Choix pédagogiques'!$C$3=2),$BM978=1),D978,IF(AND('Choix pédagogiques'!$C$3=3,$BO978=1),D978,""))</f>
        <v/>
      </c>
      <c r="Z978" s="53" t="str">
        <f aca="false">IF($E978&lt;&gt;"",$E978,"")</f>
        <v/>
      </c>
      <c r="AA978" s="52" t="str">
        <f aca="false">IF($F978&lt;&gt;"",$F978,"")</f>
        <v>Apprenant 966 ou 966'</v>
      </c>
      <c r="AB978" s="53" t="str">
        <f aca="false">IF(AND(OR('Choix pédagogiques'!$C$3=1,'Choix pédagogiques'!$C$3=2),$BN978=1),G978,IF(AND('Choix pédagogiques'!$C$3=3,$BO978=1),G978,""))</f>
        <v/>
      </c>
      <c r="AC978" s="53" t="str">
        <f aca="false">IF(AND(OR('Choix pédagogiques'!$C$3=1,'Choix pédagogiques'!$C$3=2),$BN978=1),H978,IF(AND('Choix pédagogiques'!$C$3=3,$BO978=1),H978,""))</f>
        <v/>
      </c>
      <c r="AD978" s="53" t="str">
        <f aca="false">IF(AND(OR('Choix pédagogiques'!$C$3=1,'Choix pédagogiques'!$C$3=2),$BN978=1),I978,IF(AND('Choix pédagogiques'!$C$3=3,$BO978=1),I978,""))</f>
        <v/>
      </c>
      <c r="AE978" s="53" t="str">
        <f aca="false">IF($J978&lt;&gt;"",$J978,"")</f>
        <v/>
      </c>
      <c r="AF978" s="52" t="str">
        <f aca="false">IF($A978&lt;&gt;"",$A978,"")</f>
        <v>Apprenant 966</v>
      </c>
      <c r="AG978" s="53" t="str">
        <f aca="false">IF(AND($W978&lt;&gt;"",$X978&lt;&gt;""),$X978-$W978,"")</f>
        <v/>
      </c>
      <c r="AH978" s="53" t="str">
        <f aca="false">IF(AND($W978&lt;&gt;"",$Y978&lt;&gt;""),$Y978-$W978,"")</f>
        <v/>
      </c>
      <c r="AI978" s="53" t="str">
        <f aca="false">IF(AND($X978&lt;&gt;"",$Y978&lt;&gt;""),$Y978-$X978,"")</f>
        <v/>
      </c>
      <c r="AJ978" s="53" t="str">
        <f aca="false">IF($E978&lt;&gt;"",$E978,"")</f>
        <v/>
      </c>
      <c r="AK978" s="52" t="str">
        <f aca="false">IF($F978&lt;&gt;"",$F978,"")</f>
        <v>Apprenant 966 ou 966'</v>
      </c>
      <c r="AL978" s="53" t="str">
        <f aca="false">IF(AND($AB978&lt;&gt;"",$AC978&lt;&gt;""),$AC978-$AB978,"")</f>
        <v/>
      </c>
      <c r="AM978" s="53" t="str">
        <f aca="false">IF(AND($AB978&lt;&gt;"",$AD978&lt;&gt;""),$AD978-$AB978,"")</f>
        <v/>
      </c>
      <c r="AN978" s="53" t="str">
        <f aca="false">IF(AND($AC978&lt;&gt;"",$AD978&lt;&gt;""),$AD978-$AC978,"")</f>
        <v/>
      </c>
      <c r="AO978" s="53" t="str">
        <f aca="false">IF($J978&lt;&gt;"",$J978,"")</f>
        <v/>
      </c>
      <c r="AQ978" s="52" t="str">
        <f aca="false">IF($A978&lt;&gt;"",$A978,"")</f>
        <v>Apprenant 966</v>
      </c>
      <c r="AR978" s="55" t="str">
        <f aca="false">IF(AND('Choix pédagogiques'!$C$4&lt;&gt;"?",'Choix pédagogiques'!$C$5&lt;&gt;"?",W978&lt;&gt;""),(W978-'Choix pédagogiques'!$C$4)/('Choix pédagogiques'!$C$5-'Choix pédagogiques'!$C$4),"")</f>
        <v/>
      </c>
      <c r="AS978" s="55" t="str">
        <f aca="false">IF(AND('Choix pédagogiques'!$C$4&lt;&gt;"?",'Choix pédagogiques'!$C$5&lt;&gt;"?",X978&lt;&gt;""),(X978-'Choix pédagogiques'!$C$4)/('Choix pédagogiques'!$C$5-'Choix pédagogiques'!$C$4),"")</f>
        <v/>
      </c>
      <c r="AT978" s="55" t="str">
        <f aca="false">IF(AND('Choix pédagogiques'!$C$4&lt;&gt;"?",'Choix pédagogiques'!$C$5&lt;&gt;"?",Y978&lt;&gt;""),(Y978-'Choix pédagogiques'!$C$4)/('Choix pédagogiques'!$C$5-'Choix pédagogiques'!$C$4),"")</f>
        <v/>
      </c>
      <c r="AU978" s="53" t="str">
        <f aca="false">IF($E978&lt;&gt;"",$E978,"")</f>
        <v/>
      </c>
      <c r="AV978" s="52" t="str">
        <f aca="false">IF($F978&lt;&gt;"",$F978,"")</f>
        <v>Apprenant 966 ou 966'</v>
      </c>
      <c r="AW978" s="55" t="str">
        <f aca="false">IF(AND('Choix pédagogiques'!$C$4&lt;&gt;"?",'Choix pédagogiques'!$C$5&lt;&gt;"?",AB978&lt;&gt;""),(AB978-'Choix pédagogiques'!$C$4)/('Choix pédagogiques'!$C$5-'Choix pédagogiques'!$C$4),"")</f>
        <v/>
      </c>
      <c r="AX978" s="55" t="str">
        <f aca="false">IF(AND('Choix pédagogiques'!$C$4&lt;&gt;"?",'Choix pédagogiques'!$C$5&lt;&gt;"?",AC978&lt;&gt;""),(AC978-'Choix pédagogiques'!$C$4)/('Choix pédagogiques'!$C$5-'Choix pédagogiques'!$C$4),"")</f>
        <v/>
      </c>
      <c r="AY978" s="55" t="str">
        <f aca="false">IF(AND('Choix pédagogiques'!$C$4&lt;&gt;"?",'Choix pédagogiques'!$C$5&lt;&gt;"?",AD978&lt;&gt;""),(AD978-'Choix pédagogiques'!$C$4)/('Choix pédagogiques'!$C$5-'Choix pédagogiques'!$C$4),"")</f>
        <v/>
      </c>
      <c r="AZ978" s="53" t="str">
        <f aca="false">IF($J978&lt;&gt;"",$J978,"")</f>
        <v/>
      </c>
      <c r="BA978" s="52" t="str">
        <f aca="false">IF($A978&lt;&gt;"",$A978,"")</f>
        <v>Apprenant 966</v>
      </c>
      <c r="BB978" s="55" t="str">
        <f aca="false">IF(AND($AR978&lt;&gt;"",$AS978&lt;&gt;""),$AS978-$AR978,"")</f>
        <v/>
      </c>
      <c r="BC978" s="55" t="str">
        <f aca="false">IF(AND($AR978&lt;&gt;"",$AT978&lt;&gt;""),$AT978-$AR978,"")</f>
        <v/>
      </c>
      <c r="BD978" s="55" t="str">
        <f aca="false">IF(AND($AS978&lt;&gt;"",$AT978&lt;&gt;""),$AT978-$AS978,"")</f>
        <v/>
      </c>
      <c r="BE978" s="53" t="str">
        <f aca="false">IF($E978&lt;&gt;"",$E978,"")</f>
        <v/>
      </c>
      <c r="BF978" s="52" t="str">
        <f aca="false">IF($F978&lt;&gt;"",$F978,"")</f>
        <v>Apprenant 966 ou 966'</v>
      </c>
      <c r="BG978" s="55" t="str">
        <f aca="false">IF(AND($AW978&lt;&gt;"",$AX978&lt;&gt;""),$AX978-$AW978,"")</f>
        <v/>
      </c>
      <c r="BH978" s="55" t="str">
        <f aca="false">IF(AND($AW978&lt;&gt;"",$AY978&lt;&gt;""),$AY978-$AW978,"")</f>
        <v/>
      </c>
      <c r="BI978" s="55" t="str">
        <f aca="false">IF(AND($AX978&lt;&gt;"",$AY978&lt;&gt;""),$AY978-$AX978,"")</f>
        <v/>
      </c>
      <c r="BJ978" s="53" t="str">
        <f aca="false">IF($J978&lt;&gt;"",$J978,"")</f>
        <v/>
      </c>
      <c r="BL978" s="52"/>
      <c r="BM978" s="52" t="str">
        <f aca="false">IF(OR(COUNT(B978:D1977)=0,AND('Choix pédagogiques'!$C$3&lt;&gt;1,'Choix pédagogiques'!$C$3&lt;&gt;2)),"",IF(AND(OR('Choix pédagogiques'!$C$3=1,'Choix pédagogiques'!$C$3=2),$B978&lt;&gt;"",$C978&lt;&gt;"",$D978&lt;&gt;""),1,0))</f>
        <v/>
      </c>
      <c r="BN978" s="52" t="str">
        <f aca="false">IF(OR(COUNT(G978:I1977)=0,AND('Choix pédagogiques'!$C$3&lt;&gt;1,'Choix pédagogiques'!$C$3&lt;&gt;2)),"",IF(AND(OR('Choix pédagogiques'!$C$3=1,'Choix pédagogiques'!$C$3=2),AND($G978&lt;&gt;"",$H978&lt;&gt;"",$I978&lt;&gt;"")),1,0))</f>
        <v/>
      </c>
      <c r="BO978" s="52" t="str">
        <f aca="false">IF(OR(COUNT(B978:D1977)=0,COUNT(G978:I1977)=0,'Choix pédagogiques'!C$3&lt;&gt;3),"",IF(AND('Choix pédagogiques'!$C$3=3,$B978&lt;&gt;"",$C978&lt;&gt;"",$D978&lt;&gt;"",$G978&lt;&gt;"",$H978&lt;&gt;"",$I978&lt;&gt;""),1,0))</f>
        <v/>
      </c>
      <c r="BR978" s="52" t="n">
        <v>894</v>
      </c>
      <c r="BS978" s="52" t="n">
        <v>1267</v>
      </c>
    </row>
    <row r="979" s="54" customFormat="true" ht="18" hidden="false" customHeight="true" outlineLevel="0" collapsed="false">
      <c r="A979" s="57" t="s">
        <v>1889</v>
      </c>
      <c r="B979" s="51"/>
      <c r="C979" s="51"/>
      <c r="D979" s="51"/>
      <c r="E979" s="51"/>
      <c r="F979" s="57" t="s">
        <v>1890</v>
      </c>
      <c r="G979" s="51"/>
      <c r="H979" s="51"/>
      <c r="I979" s="51"/>
      <c r="J979" s="51"/>
      <c r="K979" s="52" t="str">
        <f aca="false">IF($A979&lt;&gt;"",$A979,"")</f>
        <v>Apprenant 967</v>
      </c>
      <c r="L979" s="53" t="str">
        <f aca="false">IF(AND($B979&lt;&gt;"",$C979&lt;&gt;""),$C979-$B979,"")</f>
        <v/>
      </c>
      <c r="M979" s="53" t="str">
        <f aca="false">IF(AND($B979&lt;&gt;"",$D979&lt;&gt;""),$D979-$B979,"")</f>
        <v/>
      </c>
      <c r="N979" s="53" t="str">
        <f aca="false">IF(AND($C979&lt;&gt;"",$D979&lt;&gt;""),$D979-$C979,"")</f>
        <v/>
      </c>
      <c r="O979" s="53" t="str">
        <f aca="false">IF($E979&lt;&gt;"",$E979,"")</f>
        <v/>
      </c>
      <c r="P979" s="52" t="str">
        <f aca="false">IF($F979&lt;&gt;"",$F979,"")</f>
        <v>Apprenant 967 ou 967'</v>
      </c>
      <c r="Q979" s="53" t="str">
        <f aca="false">IF(AND($G979&lt;&gt;"",$H979&lt;&gt;""),$H979-$G979,"")</f>
        <v/>
      </c>
      <c r="R979" s="53" t="str">
        <f aca="false">IF(AND($G979&lt;&gt;"",$I979&lt;&gt;""),$I979-$G979,"")</f>
        <v/>
      </c>
      <c r="S979" s="53" t="str">
        <f aca="false">IF(AND($H979&lt;&gt;"",$I979&lt;&gt;""),$I979-$H979,"")</f>
        <v/>
      </c>
      <c r="T979" s="53" t="str">
        <f aca="false">IF($J979&lt;&gt;"",$J979,"")</f>
        <v/>
      </c>
      <c r="V979" s="52" t="str">
        <f aca="false">IF($A979&lt;&gt;"",$A979,"")</f>
        <v>Apprenant 967</v>
      </c>
      <c r="W979" s="53" t="str">
        <f aca="false">IF(AND(OR('Choix pédagogiques'!$C$3=1,'Choix pédagogiques'!$C$3=2),$BM979=1),B979,IF(AND('Choix pédagogiques'!$C$3=3,$BO979=1),B979,""))</f>
        <v/>
      </c>
      <c r="X979" s="53" t="str">
        <f aca="false">IF(AND(OR('Choix pédagogiques'!$C$3=1,'Choix pédagogiques'!$C$3=2),$BM979=1),C979,IF(AND('Choix pédagogiques'!$C$3=3,$BO979=1),C979,""))</f>
        <v/>
      </c>
      <c r="Y979" s="53" t="str">
        <f aca="false">IF(AND(OR('Choix pédagogiques'!$C$3=1,'Choix pédagogiques'!$C$3=2),$BM979=1),D979,IF(AND('Choix pédagogiques'!$C$3=3,$BO979=1),D979,""))</f>
        <v/>
      </c>
      <c r="Z979" s="53" t="str">
        <f aca="false">IF($E979&lt;&gt;"",$E979,"")</f>
        <v/>
      </c>
      <c r="AA979" s="52" t="str">
        <f aca="false">IF($F979&lt;&gt;"",$F979,"")</f>
        <v>Apprenant 967 ou 967'</v>
      </c>
      <c r="AB979" s="53" t="str">
        <f aca="false">IF(AND(OR('Choix pédagogiques'!$C$3=1,'Choix pédagogiques'!$C$3=2),$BN979=1),G979,IF(AND('Choix pédagogiques'!$C$3=3,$BO979=1),G979,""))</f>
        <v/>
      </c>
      <c r="AC979" s="53" t="str">
        <f aca="false">IF(AND(OR('Choix pédagogiques'!$C$3=1,'Choix pédagogiques'!$C$3=2),$BN979=1),H979,IF(AND('Choix pédagogiques'!$C$3=3,$BO979=1),H979,""))</f>
        <v/>
      </c>
      <c r="AD979" s="53" t="str">
        <f aca="false">IF(AND(OR('Choix pédagogiques'!$C$3=1,'Choix pédagogiques'!$C$3=2),$BN979=1),I979,IF(AND('Choix pédagogiques'!$C$3=3,$BO979=1),I979,""))</f>
        <v/>
      </c>
      <c r="AE979" s="53" t="str">
        <f aca="false">IF($J979&lt;&gt;"",$J979,"")</f>
        <v/>
      </c>
      <c r="AF979" s="52" t="str">
        <f aca="false">IF($A979&lt;&gt;"",$A979,"")</f>
        <v>Apprenant 967</v>
      </c>
      <c r="AG979" s="53" t="str">
        <f aca="false">IF(AND($W979&lt;&gt;"",$X979&lt;&gt;""),$X979-$W979,"")</f>
        <v/>
      </c>
      <c r="AH979" s="53" t="str">
        <f aca="false">IF(AND($W979&lt;&gt;"",$Y979&lt;&gt;""),$Y979-$W979,"")</f>
        <v/>
      </c>
      <c r="AI979" s="53" t="str">
        <f aca="false">IF(AND($X979&lt;&gt;"",$Y979&lt;&gt;""),$Y979-$X979,"")</f>
        <v/>
      </c>
      <c r="AJ979" s="53" t="str">
        <f aca="false">IF($E979&lt;&gt;"",$E979,"")</f>
        <v/>
      </c>
      <c r="AK979" s="52" t="str">
        <f aca="false">IF($F979&lt;&gt;"",$F979,"")</f>
        <v>Apprenant 967 ou 967'</v>
      </c>
      <c r="AL979" s="53" t="str">
        <f aca="false">IF(AND($AB979&lt;&gt;"",$AC979&lt;&gt;""),$AC979-$AB979,"")</f>
        <v/>
      </c>
      <c r="AM979" s="53" t="str">
        <f aca="false">IF(AND($AB979&lt;&gt;"",$AD979&lt;&gt;""),$AD979-$AB979,"")</f>
        <v/>
      </c>
      <c r="AN979" s="53" t="str">
        <f aca="false">IF(AND($AC979&lt;&gt;"",$AD979&lt;&gt;""),$AD979-$AC979,"")</f>
        <v/>
      </c>
      <c r="AO979" s="53" t="str">
        <f aca="false">IF($J979&lt;&gt;"",$J979,"")</f>
        <v/>
      </c>
      <c r="AQ979" s="52" t="str">
        <f aca="false">IF($A979&lt;&gt;"",$A979,"")</f>
        <v>Apprenant 967</v>
      </c>
      <c r="AR979" s="55" t="str">
        <f aca="false">IF(AND('Choix pédagogiques'!$C$4&lt;&gt;"?",'Choix pédagogiques'!$C$5&lt;&gt;"?",W979&lt;&gt;""),(W979-'Choix pédagogiques'!$C$4)/('Choix pédagogiques'!$C$5-'Choix pédagogiques'!$C$4),"")</f>
        <v/>
      </c>
      <c r="AS979" s="55" t="str">
        <f aca="false">IF(AND('Choix pédagogiques'!$C$4&lt;&gt;"?",'Choix pédagogiques'!$C$5&lt;&gt;"?",X979&lt;&gt;""),(X979-'Choix pédagogiques'!$C$4)/('Choix pédagogiques'!$C$5-'Choix pédagogiques'!$C$4),"")</f>
        <v/>
      </c>
      <c r="AT979" s="55" t="str">
        <f aca="false">IF(AND('Choix pédagogiques'!$C$4&lt;&gt;"?",'Choix pédagogiques'!$C$5&lt;&gt;"?",Y979&lt;&gt;""),(Y979-'Choix pédagogiques'!$C$4)/('Choix pédagogiques'!$C$5-'Choix pédagogiques'!$C$4),"")</f>
        <v/>
      </c>
      <c r="AU979" s="53" t="str">
        <f aca="false">IF($E979&lt;&gt;"",$E979,"")</f>
        <v/>
      </c>
      <c r="AV979" s="52" t="str">
        <f aca="false">IF($F979&lt;&gt;"",$F979,"")</f>
        <v>Apprenant 967 ou 967'</v>
      </c>
      <c r="AW979" s="55" t="str">
        <f aca="false">IF(AND('Choix pédagogiques'!$C$4&lt;&gt;"?",'Choix pédagogiques'!$C$5&lt;&gt;"?",AB979&lt;&gt;""),(AB979-'Choix pédagogiques'!$C$4)/('Choix pédagogiques'!$C$5-'Choix pédagogiques'!$C$4),"")</f>
        <v/>
      </c>
      <c r="AX979" s="55" t="str">
        <f aca="false">IF(AND('Choix pédagogiques'!$C$4&lt;&gt;"?",'Choix pédagogiques'!$C$5&lt;&gt;"?",AC979&lt;&gt;""),(AC979-'Choix pédagogiques'!$C$4)/('Choix pédagogiques'!$C$5-'Choix pédagogiques'!$C$4),"")</f>
        <v/>
      </c>
      <c r="AY979" s="55" t="str">
        <f aca="false">IF(AND('Choix pédagogiques'!$C$4&lt;&gt;"?",'Choix pédagogiques'!$C$5&lt;&gt;"?",AD979&lt;&gt;""),(AD979-'Choix pédagogiques'!$C$4)/('Choix pédagogiques'!$C$5-'Choix pédagogiques'!$C$4),"")</f>
        <v/>
      </c>
      <c r="AZ979" s="53" t="str">
        <f aca="false">IF($J979&lt;&gt;"",$J979,"")</f>
        <v/>
      </c>
      <c r="BA979" s="52" t="str">
        <f aca="false">IF($A979&lt;&gt;"",$A979,"")</f>
        <v>Apprenant 967</v>
      </c>
      <c r="BB979" s="55" t="str">
        <f aca="false">IF(AND($AR979&lt;&gt;"",$AS979&lt;&gt;""),$AS979-$AR979,"")</f>
        <v/>
      </c>
      <c r="BC979" s="55" t="str">
        <f aca="false">IF(AND($AR979&lt;&gt;"",$AT979&lt;&gt;""),$AT979-$AR979,"")</f>
        <v/>
      </c>
      <c r="BD979" s="55" t="str">
        <f aca="false">IF(AND($AS979&lt;&gt;"",$AT979&lt;&gt;""),$AT979-$AS979,"")</f>
        <v/>
      </c>
      <c r="BE979" s="53" t="str">
        <f aca="false">IF($E979&lt;&gt;"",$E979,"")</f>
        <v/>
      </c>
      <c r="BF979" s="52" t="str">
        <f aca="false">IF($F979&lt;&gt;"",$F979,"")</f>
        <v>Apprenant 967 ou 967'</v>
      </c>
      <c r="BG979" s="55" t="str">
        <f aca="false">IF(AND($AW979&lt;&gt;"",$AX979&lt;&gt;""),$AX979-$AW979,"")</f>
        <v/>
      </c>
      <c r="BH979" s="55" t="str">
        <f aca="false">IF(AND($AW979&lt;&gt;"",$AY979&lt;&gt;""),$AY979-$AW979,"")</f>
        <v/>
      </c>
      <c r="BI979" s="55" t="str">
        <f aca="false">IF(AND($AX979&lt;&gt;"",$AY979&lt;&gt;""),$AY979-$AX979,"")</f>
        <v/>
      </c>
      <c r="BJ979" s="53" t="str">
        <f aca="false">IF($J979&lt;&gt;"",$J979,"")</f>
        <v/>
      </c>
      <c r="BL979" s="52"/>
      <c r="BM979" s="52" t="str">
        <f aca="false">IF(OR(COUNT(B979:D1978)=0,AND('Choix pédagogiques'!$C$3&lt;&gt;1,'Choix pédagogiques'!$C$3&lt;&gt;2)),"",IF(AND(OR('Choix pédagogiques'!$C$3=1,'Choix pédagogiques'!$C$3=2),$B979&lt;&gt;"",$C979&lt;&gt;"",$D979&lt;&gt;""),1,0))</f>
        <v/>
      </c>
      <c r="BN979" s="52" t="str">
        <f aca="false">IF(OR(COUNT(G979:I1978)=0,AND('Choix pédagogiques'!$C$3&lt;&gt;1,'Choix pédagogiques'!$C$3&lt;&gt;2)),"",IF(AND(OR('Choix pédagogiques'!$C$3=1,'Choix pédagogiques'!$C$3=2),AND($G979&lt;&gt;"",$H979&lt;&gt;"",$I979&lt;&gt;"")),1,0))</f>
        <v/>
      </c>
      <c r="BO979" s="52" t="str">
        <f aca="false">IF(OR(COUNT(B979:D1978)=0,COUNT(G979:I1978)=0,'Choix pédagogiques'!C$3&lt;&gt;3),"",IF(AND('Choix pédagogiques'!$C$3=3,$B979&lt;&gt;"",$C979&lt;&gt;"",$D979&lt;&gt;"",$G979&lt;&gt;"",$H979&lt;&gt;"",$I979&lt;&gt;""),1,0))</f>
        <v/>
      </c>
      <c r="BR979" s="52" t="n">
        <v>154</v>
      </c>
      <c r="BS979" s="52" t="n">
        <v>1682</v>
      </c>
    </row>
    <row r="980" s="54" customFormat="true" ht="18" hidden="false" customHeight="true" outlineLevel="0" collapsed="false">
      <c r="A980" s="57" t="s">
        <v>1891</v>
      </c>
      <c r="B980" s="51"/>
      <c r="C980" s="51"/>
      <c r="D980" s="51"/>
      <c r="E980" s="51"/>
      <c r="F980" s="57" t="s">
        <v>1892</v>
      </c>
      <c r="G980" s="51"/>
      <c r="H980" s="51"/>
      <c r="I980" s="51"/>
      <c r="J980" s="51"/>
      <c r="K980" s="52" t="str">
        <f aca="false">IF($A980&lt;&gt;"",$A980,"")</f>
        <v>Apprenant 968</v>
      </c>
      <c r="L980" s="53" t="str">
        <f aca="false">IF(AND($B980&lt;&gt;"",$C980&lt;&gt;""),$C980-$B980,"")</f>
        <v/>
      </c>
      <c r="M980" s="53" t="str">
        <f aca="false">IF(AND($B980&lt;&gt;"",$D980&lt;&gt;""),$D980-$B980,"")</f>
        <v/>
      </c>
      <c r="N980" s="53" t="str">
        <f aca="false">IF(AND($C980&lt;&gt;"",$D980&lt;&gt;""),$D980-$C980,"")</f>
        <v/>
      </c>
      <c r="O980" s="53" t="str">
        <f aca="false">IF($E980&lt;&gt;"",$E980,"")</f>
        <v/>
      </c>
      <c r="P980" s="52" t="str">
        <f aca="false">IF($F980&lt;&gt;"",$F980,"")</f>
        <v>Apprenant 968 ou 968'</v>
      </c>
      <c r="Q980" s="53" t="str">
        <f aca="false">IF(AND($G980&lt;&gt;"",$H980&lt;&gt;""),$H980-$G980,"")</f>
        <v/>
      </c>
      <c r="R980" s="53" t="str">
        <f aca="false">IF(AND($G980&lt;&gt;"",$I980&lt;&gt;""),$I980-$G980,"")</f>
        <v/>
      </c>
      <c r="S980" s="53" t="str">
        <f aca="false">IF(AND($H980&lt;&gt;"",$I980&lt;&gt;""),$I980-$H980,"")</f>
        <v/>
      </c>
      <c r="T980" s="53" t="str">
        <f aca="false">IF($J980&lt;&gt;"",$J980,"")</f>
        <v/>
      </c>
      <c r="V980" s="52" t="str">
        <f aca="false">IF($A980&lt;&gt;"",$A980,"")</f>
        <v>Apprenant 968</v>
      </c>
      <c r="W980" s="53" t="str">
        <f aca="false">IF(AND(OR('Choix pédagogiques'!$C$3=1,'Choix pédagogiques'!$C$3=2),$BM980=1),B980,IF(AND('Choix pédagogiques'!$C$3=3,$BO980=1),B980,""))</f>
        <v/>
      </c>
      <c r="X980" s="53" t="str">
        <f aca="false">IF(AND(OR('Choix pédagogiques'!$C$3=1,'Choix pédagogiques'!$C$3=2),$BM980=1),C980,IF(AND('Choix pédagogiques'!$C$3=3,$BO980=1),C980,""))</f>
        <v/>
      </c>
      <c r="Y980" s="53" t="str">
        <f aca="false">IF(AND(OR('Choix pédagogiques'!$C$3=1,'Choix pédagogiques'!$C$3=2),$BM980=1),D980,IF(AND('Choix pédagogiques'!$C$3=3,$BO980=1),D980,""))</f>
        <v/>
      </c>
      <c r="Z980" s="53" t="str">
        <f aca="false">IF($E980&lt;&gt;"",$E980,"")</f>
        <v/>
      </c>
      <c r="AA980" s="52" t="str">
        <f aca="false">IF($F980&lt;&gt;"",$F980,"")</f>
        <v>Apprenant 968 ou 968'</v>
      </c>
      <c r="AB980" s="53" t="str">
        <f aca="false">IF(AND(OR('Choix pédagogiques'!$C$3=1,'Choix pédagogiques'!$C$3=2),$BN980=1),G980,IF(AND('Choix pédagogiques'!$C$3=3,$BO980=1),G980,""))</f>
        <v/>
      </c>
      <c r="AC980" s="53" t="str">
        <f aca="false">IF(AND(OR('Choix pédagogiques'!$C$3=1,'Choix pédagogiques'!$C$3=2),$BN980=1),H980,IF(AND('Choix pédagogiques'!$C$3=3,$BO980=1),H980,""))</f>
        <v/>
      </c>
      <c r="AD980" s="53" t="str">
        <f aca="false">IF(AND(OR('Choix pédagogiques'!$C$3=1,'Choix pédagogiques'!$C$3=2),$BN980=1),I980,IF(AND('Choix pédagogiques'!$C$3=3,$BO980=1),I980,""))</f>
        <v/>
      </c>
      <c r="AE980" s="53" t="str">
        <f aca="false">IF($J980&lt;&gt;"",$J980,"")</f>
        <v/>
      </c>
      <c r="AF980" s="52" t="str">
        <f aca="false">IF($A980&lt;&gt;"",$A980,"")</f>
        <v>Apprenant 968</v>
      </c>
      <c r="AG980" s="53" t="str">
        <f aca="false">IF(AND($W980&lt;&gt;"",$X980&lt;&gt;""),$X980-$W980,"")</f>
        <v/>
      </c>
      <c r="AH980" s="53" t="str">
        <f aca="false">IF(AND($W980&lt;&gt;"",$Y980&lt;&gt;""),$Y980-$W980,"")</f>
        <v/>
      </c>
      <c r="AI980" s="53" t="str">
        <f aca="false">IF(AND($X980&lt;&gt;"",$Y980&lt;&gt;""),$Y980-$X980,"")</f>
        <v/>
      </c>
      <c r="AJ980" s="53" t="str">
        <f aca="false">IF($E980&lt;&gt;"",$E980,"")</f>
        <v/>
      </c>
      <c r="AK980" s="52" t="str">
        <f aca="false">IF($F980&lt;&gt;"",$F980,"")</f>
        <v>Apprenant 968 ou 968'</v>
      </c>
      <c r="AL980" s="53" t="str">
        <f aca="false">IF(AND($AB980&lt;&gt;"",$AC980&lt;&gt;""),$AC980-$AB980,"")</f>
        <v/>
      </c>
      <c r="AM980" s="53" t="str">
        <f aca="false">IF(AND($AB980&lt;&gt;"",$AD980&lt;&gt;""),$AD980-$AB980,"")</f>
        <v/>
      </c>
      <c r="AN980" s="53" t="str">
        <f aca="false">IF(AND($AC980&lt;&gt;"",$AD980&lt;&gt;""),$AD980-$AC980,"")</f>
        <v/>
      </c>
      <c r="AO980" s="53" t="str">
        <f aca="false">IF($J980&lt;&gt;"",$J980,"")</f>
        <v/>
      </c>
      <c r="AQ980" s="52" t="str">
        <f aca="false">IF($A980&lt;&gt;"",$A980,"")</f>
        <v>Apprenant 968</v>
      </c>
      <c r="AR980" s="55" t="str">
        <f aca="false">IF(AND('Choix pédagogiques'!$C$4&lt;&gt;"?",'Choix pédagogiques'!$C$5&lt;&gt;"?",W980&lt;&gt;""),(W980-'Choix pédagogiques'!$C$4)/('Choix pédagogiques'!$C$5-'Choix pédagogiques'!$C$4),"")</f>
        <v/>
      </c>
      <c r="AS980" s="55" t="str">
        <f aca="false">IF(AND('Choix pédagogiques'!$C$4&lt;&gt;"?",'Choix pédagogiques'!$C$5&lt;&gt;"?",X980&lt;&gt;""),(X980-'Choix pédagogiques'!$C$4)/('Choix pédagogiques'!$C$5-'Choix pédagogiques'!$C$4),"")</f>
        <v/>
      </c>
      <c r="AT980" s="55" t="str">
        <f aca="false">IF(AND('Choix pédagogiques'!$C$4&lt;&gt;"?",'Choix pédagogiques'!$C$5&lt;&gt;"?",Y980&lt;&gt;""),(Y980-'Choix pédagogiques'!$C$4)/('Choix pédagogiques'!$C$5-'Choix pédagogiques'!$C$4),"")</f>
        <v/>
      </c>
      <c r="AU980" s="53" t="str">
        <f aca="false">IF($E980&lt;&gt;"",$E980,"")</f>
        <v/>
      </c>
      <c r="AV980" s="52" t="str">
        <f aca="false">IF($F980&lt;&gt;"",$F980,"")</f>
        <v>Apprenant 968 ou 968'</v>
      </c>
      <c r="AW980" s="55" t="str">
        <f aca="false">IF(AND('Choix pédagogiques'!$C$4&lt;&gt;"?",'Choix pédagogiques'!$C$5&lt;&gt;"?",AB980&lt;&gt;""),(AB980-'Choix pédagogiques'!$C$4)/('Choix pédagogiques'!$C$5-'Choix pédagogiques'!$C$4),"")</f>
        <v/>
      </c>
      <c r="AX980" s="55" t="str">
        <f aca="false">IF(AND('Choix pédagogiques'!$C$4&lt;&gt;"?",'Choix pédagogiques'!$C$5&lt;&gt;"?",AC980&lt;&gt;""),(AC980-'Choix pédagogiques'!$C$4)/('Choix pédagogiques'!$C$5-'Choix pédagogiques'!$C$4),"")</f>
        <v/>
      </c>
      <c r="AY980" s="55" t="str">
        <f aca="false">IF(AND('Choix pédagogiques'!$C$4&lt;&gt;"?",'Choix pédagogiques'!$C$5&lt;&gt;"?",AD980&lt;&gt;""),(AD980-'Choix pédagogiques'!$C$4)/('Choix pédagogiques'!$C$5-'Choix pédagogiques'!$C$4),"")</f>
        <v/>
      </c>
      <c r="AZ980" s="53" t="str">
        <f aca="false">IF($J980&lt;&gt;"",$J980,"")</f>
        <v/>
      </c>
      <c r="BA980" s="52" t="str">
        <f aca="false">IF($A980&lt;&gt;"",$A980,"")</f>
        <v>Apprenant 968</v>
      </c>
      <c r="BB980" s="55" t="str">
        <f aca="false">IF(AND($AR980&lt;&gt;"",$AS980&lt;&gt;""),$AS980-$AR980,"")</f>
        <v/>
      </c>
      <c r="BC980" s="55" t="str">
        <f aca="false">IF(AND($AR980&lt;&gt;"",$AT980&lt;&gt;""),$AT980-$AR980,"")</f>
        <v/>
      </c>
      <c r="BD980" s="55" t="str">
        <f aca="false">IF(AND($AS980&lt;&gt;"",$AT980&lt;&gt;""),$AT980-$AS980,"")</f>
        <v/>
      </c>
      <c r="BE980" s="53" t="str">
        <f aca="false">IF($E980&lt;&gt;"",$E980,"")</f>
        <v/>
      </c>
      <c r="BF980" s="52" t="str">
        <f aca="false">IF($F980&lt;&gt;"",$F980,"")</f>
        <v>Apprenant 968 ou 968'</v>
      </c>
      <c r="BG980" s="55" t="str">
        <f aca="false">IF(AND($AW980&lt;&gt;"",$AX980&lt;&gt;""),$AX980-$AW980,"")</f>
        <v/>
      </c>
      <c r="BH980" s="55" t="str">
        <f aca="false">IF(AND($AW980&lt;&gt;"",$AY980&lt;&gt;""),$AY980-$AW980,"")</f>
        <v/>
      </c>
      <c r="BI980" s="55" t="str">
        <f aca="false">IF(AND($AX980&lt;&gt;"",$AY980&lt;&gt;""),$AY980-$AX980,"")</f>
        <v/>
      </c>
      <c r="BJ980" s="53" t="str">
        <f aca="false">IF($J980&lt;&gt;"",$J980,"")</f>
        <v/>
      </c>
      <c r="BL980" s="52"/>
      <c r="BM980" s="52" t="str">
        <f aca="false">IF(OR(COUNT(B980:D1979)=0,AND('Choix pédagogiques'!$C$3&lt;&gt;1,'Choix pédagogiques'!$C$3&lt;&gt;2)),"",IF(AND(OR('Choix pédagogiques'!$C$3=1,'Choix pédagogiques'!$C$3=2),$B980&lt;&gt;"",$C980&lt;&gt;"",$D980&lt;&gt;""),1,0))</f>
        <v/>
      </c>
      <c r="BN980" s="52" t="str">
        <f aca="false">IF(OR(COUNT(G980:I1979)=0,AND('Choix pédagogiques'!$C$3&lt;&gt;1,'Choix pédagogiques'!$C$3&lt;&gt;2)),"",IF(AND(OR('Choix pédagogiques'!$C$3=1,'Choix pédagogiques'!$C$3=2),AND($G980&lt;&gt;"",$H980&lt;&gt;"",$I980&lt;&gt;"")),1,0))</f>
        <v/>
      </c>
      <c r="BO980" s="52" t="str">
        <f aca="false">IF(OR(COUNT(B980:D1979)=0,COUNT(G980:I1979)=0,'Choix pédagogiques'!C$3&lt;&gt;3),"",IF(AND('Choix pédagogiques'!$C$3=3,$B980&lt;&gt;"",$C980&lt;&gt;"",$D980&lt;&gt;"",$G980&lt;&gt;"",$H980&lt;&gt;"",$I980&lt;&gt;""),1,0))</f>
        <v/>
      </c>
      <c r="BR980" s="52" t="n">
        <v>160</v>
      </c>
      <c r="BS980" s="52" t="n">
        <v>1182</v>
      </c>
    </row>
    <row r="981" s="54" customFormat="true" ht="18" hidden="false" customHeight="true" outlineLevel="0" collapsed="false">
      <c r="A981" s="57" t="s">
        <v>1893</v>
      </c>
      <c r="B981" s="51"/>
      <c r="C981" s="51"/>
      <c r="D981" s="51"/>
      <c r="E981" s="51"/>
      <c r="F981" s="57" t="s">
        <v>1894</v>
      </c>
      <c r="G981" s="51"/>
      <c r="H981" s="51"/>
      <c r="I981" s="51"/>
      <c r="J981" s="51"/>
      <c r="K981" s="52" t="str">
        <f aca="false">IF($A981&lt;&gt;"",$A981,"")</f>
        <v>Apprenant 969</v>
      </c>
      <c r="L981" s="53" t="str">
        <f aca="false">IF(AND($B981&lt;&gt;"",$C981&lt;&gt;""),$C981-$B981,"")</f>
        <v/>
      </c>
      <c r="M981" s="53" t="str">
        <f aca="false">IF(AND($B981&lt;&gt;"",$D981&lt;&gt;""),$D981-$B981,"")</f>
        <v/>
      </c>
      <c r="N981" s="53" t="str">
        <f aca="false">IF(AND($C981&lt;&gt;"",$D981&lt;&gt;""),$D981-$C981,"")</f>
        <v/>
      </c>
      <c r="O981" s="53" t="str">
        <f aca="false">IF($E981&lt;&gt;"",$E981,"")</f>
        <v/>
      </c>
      <c r="P981" s="52" t="str">
        <f aca="false">IF($F981&lt;&gt;"",$F981,"")</f>
        <v>Apprenant 969 ou 969'</v>
      </c>
      <c r="Q981" s="53" t="str">
        <f aca="false">IF(AND($G981&lt;&gt;"",$H981&lt;&gt;""),$H981-$G981,"")</f>
        <v/>
      </c>
      <c r="R981" s="53" t="str">
        <f aca="false">IF(AND($G981&lt;&gt;"",$I981&lt;&gt;""),$I981-$G981,"")</f>
        <v/>
      </c>
      <c r="S981" s="53" t="str">
        <f aca="false">IF(AND($H981&lt;&gt;"",$I981&lt;&gt;""),$I981-$H981,"")</f>
        <v/>
      </c>
      <c r="T981" s="53" t="str">
        <f aca="false">IF($J981&lt;&gt;"",$J981,"")</f>
        <v/>
      </c>
      <c r="V981" s="52" t="str">
        <f aca="false">IF($A981&lt;&gt;"",$A981,"")</f>
        <v>Apprenant 969</v>
      </c>
      <c r="W981" s="53" t="str">
        <f aca="false">IF(AND(OR('Choix pédagogiques'!$C$3=1,'Choix pédagogiques'!$C$3=2),$BM981=1),B981,IF(AND('Choix pédagogiques'!$C$3=3,$BO981=1),B981,""))</f>
        <v/>
      </c>
      <c r="X981" s="53" t="str">
        <f aca="false">IF(AND(OR('Choix pédagogiques'!$C$3=1,'Choix pédagogiques'!$C$3=2),$BM981=1),C981,IF(AND('Choix pédagogiques'!$C$3=3,$BO981=1),C981,""))</f>
        <v/>
      </c>
      <c r="Y981" s="53" t="str">
        <f aca="false">IF(AND(OR('Choix pédagogiques'!$C$3=1,'Choix pédagogiques'!$C$3=2),$BM981=1),D981,IF(AND('Choix pédagogiques'!$C$3=3,$BO981=1),D981,""))</f>
        <v/>
      </c>
      <c r="Z981" s="53" t="str">
        <f aca="false">IF($E981&lt;&gt;"",$E981,"")</f>
        <v/>
      </c>
      <c r="AA981" s="52" t="str">
        <f aca="false">IF($F981&lt;&gt;"",$F981,"")</f>
        <v>Apprenant 969 ou 969'</v>
      </c>
      <c r="AB981" s="53" t="str">
        <f aca="false">IF(AND(OR('Choix pédagogiques'!$C$3=1,'Choix pédagogiques'!$C$3=2),$BN981=1),G981,IF(AND('Choix pédagogiques'!$C$3=3,$BO981=1),G981,""))</f>
        <v/>
      </c>
      <c r="AC981" s="53" t="str">
        <f aca="false">IF(AND(OR('Choix pédagogiques'!$C$3=1,'Choix pédagogiques'!$C$3=2),$BN981=1),H981,IF(AND('Choix pédagogiques'!$C$3=3,$BO981=1),H981,""))</f>
        <v/>
      </c>
      <c r="AD981" s="53" t="str">
        <f aca="false">IF(AND(OR('Choix pédagogiques'!$C$3=1,'Choix pédagogiques'!$C$3=2),$BN981=1),I981,IF(AND('Choix pédagogiques'!$C$3=3,$BO981=1),I981,""))</f>
        <v/>
      </c>
      <c r="AE981" s="53" t="str">
        <f aca="false">IF($J981&lt;&gt;"",$J981,"")</f>
        <v/>
      </c>
      <c r="AF981" s="52" t="str">
        <f aca="false">IF($A981&lt;&gt;"",$A981,"")</f>
        <v>Apprenant 969</v>
      </c>
      <c r="AG981" s="53" t="str">
        <f aca="false">IF(AND($W981&lt;&gt;"",$X981&lt;&gt;""),$X981-$W981,"")</f>
        <v/>
      </c>
      <c r="AH981" s="53" t="str">
        <f aca="false">IF(AND($W981&lt;&gt;"",$Y981&lt;&gt;""),$Y981-$W981,"")</f>
        <v/>
      </c>
      <c r="AI981" s="53" t="str">
        <f aca="false">IF(AND($X981&lt;&gt;"",$Y981&lt;&gt;""),$Y981-$X981,"")</f>
        <v/>
      </c>
      <c r="AJ981" s="53" t="str">
        <f aca="false">IF($E981&lt;&gt;"",$E981,"")</f>
        <v/>
      </c>
      <c r="AK981" s="52" t="str">
        <f aca="false">IF($F981&lt;&gt;"",$F981,"")</f>
        <v>Apprenant 969 ou 969'</v>
      </c>
      <c r="AL981" s="53" t="str">
        <f aca="false">IF(AND($AB981&lt;&gt;"",$AC981&lt;&gt;""),$AC981-$AB981,"")</f>
        <v/>
      </c>
      <c r="AM981" s="53" t="str">
        <f aca="false">IF(AND($AB981&lt;&gt;"",$AD981&lt;&gt;""),$AD981-$AB981,"")</f>
        <v/>
      </c>
      <c r="AN981" s="53" t="str">
        <f aca="false">IF(AND($AC981&lt;&gt;"",$AD981&lt;&gt;""),$AD981-$AC981,"")</f>
        <v/>
      </c>
      <c r="AO981" s="53" t="str">
        <f aca="false">IF($J981&lt;&gt;"",$J981,"")</f>
        <v/>
      </c>
      <c r="AQ981" s="52" t="str">
        <f aca="false">IF($A981&lt;&gt;"",$A981,"")</f>
        <v>Apprenant 969</v>
      </c>
      <c r="AR981" s="55" t="str">
        <f aca="false">IF(AND('Choix pédagogiques'!$C$4&lt;&gt;"?",'Choix pédagogiques'!$C$5&lt;&gt;"?",W981&lt;&gt;""),(W981-'Choix pédagogiques'!$C$4)/('Choix pédagogiques'!$C$5-'Choix pédagogiques'!$C$4),"")</f>
        <v/>
      </c>
      <c r="AS981" s="55" t="str">
        <f aca="false">IF(AND('Choix pédagogiques'!$C$4&lt;&gt;"?",'Choix pédagogiques'!$C$5&lt;&gt;"?",X981&lt;&gt;""),(X981-'Choix pédagogiques'!$C$4)/('Choix pédagogiques'!$C$5-'Choix pédagogiques'!$C$4),"")</f>
        <v/>
      </c>
      <c r="AT981" s="55" t="str">
        <f aca="false">IF(AND('Choix pédagogiques'!$C$4&lt;&gt;"?",'Choix pédagogiques'!$C$5&lt;&gt;"?",Y981&lt;&gt;""),(Y981-'Choix pédagogiques'!$C$4)/('Choix pédagogiques'!$C$5-'Choix pédagogiques'!$C$4),"")</f>
        <v/>
      </c>
      <c r="AU981" s="53" t="str">
        <f aca="false">IF($E981&lt;&gt;"",$E981,"")</f>
        <v/>
      </c>
      <c r="AV981" s="52" t="str">
        <f aca="false">IF($F981&lt;&gt;"",$F981,"")</f>
        <v>Apprenant 969 ou 969'</v>
      </c>
      <c r="AW981" s="55" t="str">
        <f aca="false">IF(AND('Choix pédagogiques'!$C$4&lt;&gt;"?",'Choix pédagogiques'!$C$5&lt;&gt;"?",AB981&lt;&gt;""),(AB981-'Choix pédagogiques'!$C$4)/('Choix pédagogiques'!$C$5-'Choix pédagogiques'!$C$4),"")</f>
        <v/>
      </c>
      <c r="AX981" s="55" t="str">
        <f aca="false">IF(AND('Choix pédagogiques'!$C$4&lt;&gt;"?",'Choix pédagogiques'!$C$5&lt;&gt;"?",AC981&lt;&gt;""),(AC981-'Choix pédagogiques'!$C$4)/('Choix pédagogiques'!$C$5-'Choix pédagogiques'!$C$4),"")</f>
        <v/>
      </c>
      <c r="AY981" s="55" t="str">
        <f aca="false">IF(AND('Choix pédagogiques'!$C$4&lt;&gt;"?",'Choix pédagogiques'!$C$5&lt;&gt;"?",AD981&lt;&gt;""),(AD981-'Choix pédagogiques'!$C$4)/('Choix pédagogiques'!$C$5-'Choix pédagogiques'!$C$4),"")</f>
        <v/>
      </c>
      <c r="AZ981" s="53" t="str">
        <f aca="false">IF($J981&lt;&gt;"",$J981,"")</f>
        <v/>
      </c>
      <c r="BA981" s="52" t="str">
        <f aca="false">IF($A981&lt;&gt;"",$A981,"")</f>
        <v>Apprenant 969</v>
      </c>
      <c r="BB981" s="55" t="str">
        <f aca="false">IF(AND($AR981&lt;&gt;"",$AS981&lt;&gt;""),$AS981-$AR981,"")</f>
        <v/>
      </c>
      <c r="BC981" s="55" t="str">
        <f aca="false">IF(AND($AR981&lt;&gt;"",$AT981&lt;&gt;""),$AT981-$AR981,"")</f>
        <v/>
      </c>
      <c r="BD981" s="55" t="str">
        <f aca="false">IF(AND($AS981&lt;&gt;"",$AT981&lt;&gt;""),$AT981-$AS981,"")</f>
        <v/>
      </c>
      <c r="BE981" s="53" t="str">
        <f aca="false">IF($E981&lt;&gt;"",$E981,"")</f>
        <v/>
      </c>
      <c r="BF981" s="52" t="str">
        <f aca="false">IF($F981&lt;&gt;"",$F981,"")</f>
        <v>Apprenant 969 ou 969'</v>
      </c>
      <c r="BG981" s="55" t="str">
        <f aca="false">IF(AND($AW981&lt;&gt;"",$AX981&lt;&gt;""),$AX981-$AW981,"")</f>
        <v/>
      </c>
      <c r="BH981" s="55" t="str">
        <f aca="false">IF(AND($AW981&lt;&gt;"",$AY981&lt;&gt;""),$AY981-$AW981,"")</f>
        <v/>
      </c>
      <c r="BI981" s="55" t="str">
        <f aca="false">IF(AND($AX981&lt;&gt;"",$AY981&lt;&gt;""),$AY981-$AX981,"")</f>
        <v/>
      </c>
      <c r="BJ981" s="53" t="str">
        <f aca="false">IF($J981&lt;&gt;"",$J981,"")</f>
        <v/>
      </c>
      <c r="BL981" s="52"/>
      <c r="BM981" s="52" t="str">
        <f aca="false">IF(OR(COUNT(B981:D1980)=0,AND('Choix pédagogiques'!$C$3&lt;&gt;1,'Choix pédagogiques'!$C$3&lt;&gt;2)),"",IF(AND(OR('Choix pédagogiques'!$C$3=1,'Choix pédagogiques'!$C$3=2),$B981&lt;&gt;"",$C981&lt;&gt;"",$D981&lt;&gt;""),1,0))</f>
        <v/>
      </c>
      <c r="BN981" s="52" t="str">
        <f aca="false">IF(OR(COUNT(G981:I1980)=0,AND('Choix pédagogiques'!$C$3&lt;&gt;1,'Choix pédagogiques'!$C$3&lt;&gt;2)),"",IF(AND(OR('Choix pédagogiques'!$C$3=1,'Choix pédagogiques'!$C$3=2),AND($G981&lt;&gt;"",$H981&lt;&gt;"",$I981&lt;&gt;"")),1,0))</f>
        <v/>
      </c>
      <c r="BO981" s="52" t="str">
        <f aca="false">IF(OR(COUNT(B981:D1980)=0,COUNT(G981:I1980)=0,'Choix pédagogiques'!C$3&lt;&gt;3),"",IF(AND('Choix pédagogiques'!$C$3=3,$B981&lt;&gt;"",$C981&lt;&gt;"",$D981&lt;&gt;"",$G981&lt;&gt;"",$H981&lt;&gt;"",$I981&lt;&gt;""),1,0))</f>
        <v/>
      </c>
      <c r="BR981" s="52" t="n">
        <v>604</v>
      </c>
      <c r="BS981" s="52" t="n">
        <v>1637</v>
      </c>
    </row>
    <row r="982" s="54" customFormat="true" ht="18" hidden="false" customHeight="true" outlineLevel="0" collapsed="false">
      <c r="A982" s="57" t="s">
        <v>1895</v>
      </c>
      <c r="B982" s="51"/>
      <c r="C982" s="51"/>
      <c r="D982" s="51"/>
      <c r="E982" s="51"/>
      <c r="F982" s="57" t="s">
        <v>1896</v>
      </c>
      <c r="G982" s="51"/>
      <c r="H982" s="51"/>
      <c r="I982" s="51"/>
      <c r="J982" s="51"/>
      <c r="K982" s="52" t="str">
        <f aca="false">IF($A982&lt;&gt;"",$A982,"")</f>
        <v>Apprenant 970</v>
      </c>
      <c r="L982" s="53" t="str">
        <f aca="false">IF(AND($B982&lt;&gt;"",$C982&lt;&gt;""),$C982-$B982,"")</f>
        <v/>
      </c>
      <c r="M982" s="53" t="str">
        <f aca="false">IF(AND($B982&lt;&gt;"",$D982&lt;&gt;""),$D982-$B982,"")</f>
        <v/>
      </c>
      <c r="N982" s="53" t="str">
        <f aca="false">IF(AND($C982&lt;&gt;"",$D982&lt;&gt;""),$D982-$C982,"")</f>
        <v/>
      </c>
      <c r="O982" s="53" t="str">
        <f aca="false">IF($E982&lt;&gt;"",$E982,"")</f>
        <v/>
      </c>
      <c r="P982" s="52" t="str">
        <f aca="false">IF($F982&lt;&gt;"",$F982,"")</f>
        <v>Apprenant 970 ou 970'</v>
      </c>
      <c r="Q982" s="53" t="str">
        <f aca="false">IF(AND($G982&lt;&gt;"",$H982&lt;&gt;""),$H982-$G982,"")</f>
        <v/>
      </c>
      <c r="R982" s="53" t="str">
        <f aca="false">IF(AND($G982&lt;&gt;"",$I982&lt;&gt;""),$I982-$G982,"")</f>
        <v/>
      </c>
      <c r="S982" s="53" t="str">
        <f aca="false">IF(AND($H982&lt;&gt;"",$I982&lt;&gt;""),$I982-$H982,"")</f>
        <v/>
      </c>
      <c r="T982" s="53" t="str">
        <f aca="false">IF($J982&lt;&gt;"",$J982,"")</f>
        <v/>
      </c>
      <c r="V982" s="52" t="str">
        <f aca="false">IF($A982&lt;&gt;"",$A982,"")</f>
        <v>Apprenant 970</v>
      </c>
      <c r="W982" s="53" t="str">
        <f aca="false">IF(AND(OR('Choix pédagogiques'!$C$3=1,'Choix pédagogiques'!$C$3=2),$BM982=1),B982,IF(AND('Choix pédagogiques'!$C$3=3,$BO982=1),B982,""))</f>
        <v/>
      </c>
      <c r="X982" s="53" t="str">
        <f aca="false">IF(AND(OR('Choix pédagogiques'!$C$3=1,'Choix pédagogiques'!$C$3=2),$BM982=1),C982,IF(AND('Choix pédagogiques'!$C$3=3,$BO982=1),C982,""))</f>
        <v/>
      </c>
      <c r="Y982" s="53" t="str">
        <f aca="false">IF(AND(OR('Choix pédagogiques'!$C$3=1,'Choix pédagogiques'!$C$3=2),$BM982=1),D982,IF(AND('Choix pédagogiques'!$C$3=3,$BO982=1),D982,""))</f>
        <v/>
      </c>
      <c r="Z982" s="53" t="str">
        <f aca="false">IF($E982&lt;&gt;"",$E982,"")</f>
        <v/>
      </c>
      <c r="AA982" s="52" t="str">
        <f aca="false">IF($F982&lt;&gt;"",$F982,"")</f>
        <v>Apprenant 970 ou 970'</v>
      </c>
      <c r="AB982" s="53" t="str">
        <f aca="false">IF(AND(OR('Choix pédagogiques'!$C$3=1,'Choix pédagogiques'!$C$3=2),$BN982=1),G982,IF(AND('Choix pédagogiques'!$C$3=3,$BO982=1),G982,""))</f>
        <v/>
      </c>
      <c r="AC982" s="53" t="str">
        <f aca="false">IF(AND(OR('Choix pédagogiques'!$C$3=1,'Choix pédagogiques'!$C$3=2),$BN982=1),H982,IF(AND('Choix pédagogiques'!$C$3=3,$BO982=1),H982,""))</f>
        <v/>
      </c>
      <c r="AD982" s="53" t="str">
        <f aca="false">IF(AND(OR('Choix pédagogiques'!$C$3=1,'Choix pédagogiques'!$C$3=2),$BN982=1),I982,IF(AND('Choix pédagogiques'!$C$3=3,$BO982=1),I982,""))</f>
        <v/>
      </c>
      <c r="AE982" s="53" t="str">
        <f aca="false">IF($J982&lt;&gt;"",$J982,"")</f>
        <v/>
      </c>
      <c r="AF982" s="52" t="str">
        <f aca="false">IF($A982&lt;&gt;"",$A982,"")</f>
        <v>Apprenant 970</v>
      </c>
      <c r="AG982" s="53" t="str">
        <f aca="false">IF(AND($W982&lt;&gt;"",$X982&lt;&gt;""),$X982-$W982,"")</f>
        <v/>
      </c>
      <c r="AH982" s="53" t="str">
        <f aca="false">IF(AND($W982&lt;&gt;"",$Y982&lt;&gt;""),$Y982-$W982,"")</f>
        <v/>
      </c>
      <c r="AI982" s="53" t="str">
        <f aca="false">IF(AND($X982&lt;&gt;"",$Y982&lt;&gt;""),$Y982-$X982,"")</f>
        <v/>
      </c>
      <c r="AJ982" s="53" t="str">
        <f aca="false">IF($E982&lt;&gt;"",$E982,"")</f>
        <v/>
      </c>
      <c r="AK982" s="52" t="str">
        <f aca="false">IF($F982&lt;&gt;"",$F982,"")</f>
        <v>Apprenant 970 ou 970'</v>
      </c>
      <c r="AL982" s="53" t="str">
        <f aca="false">IF(AND($AB982&lt;&gt;"",$AC982&lt;&gt;""),$AC982-$AB982,"")</f>
        <v/>
      </c>
      <c r="AM982" s="53" t="str">
        <f aca="false">IF(AND($AB982&lt;&gt;"",$AD982&lt;&gt;""),$AD982-$AB982,"")</f>
        <v/>
      </c>
      <c r="AN982" s="53" t="str">
        <f aca="false">IF(AND($AC982&lt;&gt;"",$AD982&lt;&gt;""),$AD982-$AC982,"")</f>
        <v/>
      </c>
      <c r="AO982" s="53" t="str">
        <f aca="false">IF($J982&lt;&gt;"",$J982,"")</f>
        <v/>
      </c>
      <c r="AQ982" s="52" t="str">
        <f aca="false">IF($A982&lt;&gt;"",$A982,"")</f>
        <v>Apprenant 970</v>
      </c>
      <c r="AR982" s="55" t="str">
        <f aca="false">IF(AND('Choix pédagogiques'!$C$4&lt;&gt;"?",'Choix pédagogiques'!$C$5&lt;&gt;"?",W982&lt;&gt;""),(W982-'Choix pédagogiques'!$C$4)/('Choix pédagogiques'!$C$5-'Choix pédagogiques'!$C$4),"")</f>
        <v/>
      </c>
      <c r="AS982" s="55" t="str">
        <f aca="false">IF(AND('Choix pédagogiques'!$C$4&lt;&gt;"?",'Choix pédagogiques'!$C$5&lt;&gt;"?",X982&lt;&gt;""),(X982-'Choix pédagogiques'!$C$4)/('Choix pédagogiques'!$C$5-'Choix pédagogiques'!$C$4),"")</f>
        <v/>
      </c>
      <c r="AT982" s="55" t="str">
        <f aca="false">IF(AND('Choix pédagogiques'!$C$4&lt;&gt;"?",'Choix pédagogiques'!$C$5&lt;&gt;"?",Y982&lt;&gt;""),(Y982-'Choix pédagogiques'!$C$4)/('Choix pédagogiques'!$C$5-'Choix pédagogiques'!$C$4),"")</f>
        <v/>
      </c>
      <c r="AU982" s="53" t="str">
        <f aca="false">IF($E982&lt;&gt;"",$E982,"")</f>
        <v/>
      </c>
      <c r="AV982" s="52" t="str">
        <f aca="false">IF($F982&lt;&gt;"",$F982,"")</f>
        <v>Apprenant 970 ou 970'</v>
      </c>
      <c r="AW982" s="55" t="str">
        <f aca="false">IF(AND('Choix pédagogiques'!$C$4&lt;&gt;"?",'Choix pédagogiques'!$C$5&lt;&gt;"?",AB982&lt;&gt;""),(AB982-'Choix pédagogiques'!$C$4)/('Choix pédagogiques'!$C$5-'Choix pédagogiques'!$C$4),"")</f>
        <v/>
      </c>
      <c r="AX982" s="55" t="str">
        <f aca="false">IF(AND('Choix pédagogiques'!$C$4&lt;&gt;"?",'Choix pédagogiques'!$C$5&lt;&gt;"?",AC982&lt;&gt;""),(AC982-'Choix pédagogiques'!$C$4)/('Choix pédagogiques'!$C$5-'Choix pédagogiques'!$C$4),"")</f>
        <v/>
      </c>
      <c r="AY982" s="55" t="str">
        <f aca="false">IF(AND('Choix pédagogiques'!$C$4&lt;&gt;"?",'Choix pédagogiques'!$C$5&lt;&gt;"?",AD982&lt;&gt;""),(AD982-'Choix pédagogiques'!$C$4)/('Choix pédagogiques'!$C$5-'Choix pédagogiques'!$C$4),"")</f>
        <v/>
      </c>
      <c r="AZ982" s="53" t="str">
        <f aca="false">IF($J982&lt;&gt;"",$J982,"")</f>
        <v/>
      </c>
      <c r="BA982" s="52" t="str">
        <f aca="false">IF($A982&lt;&gt;"",$A982,"")</f>
        <v>Apprenant 970</v>
      </c>
      <c r="BB982" s="55" t="str">
        <f aca="false">IF(AND($AR982&lt;&gt;"",$AS982&lt;&gt;""),$AS982-$AR982,"")</f>
        <v/>
      </c>
      <c r="BC982" s="55" t="str">
        <f aca="false">IF(AND($AR982&lt;&gt;"",$AT982&lt;&gt;""),$AT982-$AR982,"")</f>
        <v/>
      </c>
      <c r="BD982" s="55" t="str">
        <f aca="false">IF(AND($AS982&lt;&gt;"",$AT982&lt;&gt;""),$AT982-$AS982,"")</f>
        <v/>
      </c>
      <c r="BE982" s="53" t="str">
        <f aca="false">IF($E982&lt;&gt;"",$E982,"")</f>
        <v/>
      </c>
      <c r="BF982" s="52" t="str">
        <f aca="false">IF($F982&lt;&gt;"",$F982,"")</f>
        <v>Apprenant 970 ou 970'</v>
      </c>
      <c r="BG982" s="55" t="str">
        <f aca="false">IF(AND($AW982&lt;&gt;"",$AX982&lt;&gt;""),$AX982-$AW982,"")</f>
        <v/>
      </c>
      <c r="BH982" s="55" t="str">
        <f aca="false">IF(AND($AW982&lt;&gt;"",$AY982&lt;&gt;""),$AY982-$AW982,"")</f>
        <v/>
      </c>
      <c r="BI982" s="55" t="str">
        <f aca="false">IF(AND($AX982&lt;&gt;"",$AY982&lt;&gt;""),$AY982-$AX982,"")</f>
        <v/>
      </c>
      <c r="BJ982" s="53" t="str">
        <f aca="false">IF($J982&lt;&gt;"",$J982,"")</f>
        <v/>
      </c>
      <c r="BL982" s="52"/>
      <c r="BM982" s="52" t="str">
        <f aca="false">IF(OR(COUNT(B982:D1981)=0,AND('Choix pédagogiques'!$C$3&lt;&gt;1,'Choix pédagogiques'!$C$3&lt;&gt;2)),"",IF(AND(OR('Choix pédagogiques'!$C$3=1,'Choix pédagogiques'!$C$3=2),$B982&lt;&gt;"",$C982&lt;&gt;"",$D982&lt;&gt;""),1,0))</f>
        <v/>
      </c>
      <c r="BN982" s="52" t="str">
        <f aca="false">IF(OR(COUNT(G982:I1981)=0,AND('Choix pédagogiques'!$C$3&lt;&gt;1,'Choix pédagogiques'!$C$3&lt;&gt;2)),"",IF(AND(OR('Choix pédagogiques'!$C$3=1,'Choix pédagogiques'!$C$3=2),AND($G982&lt;&gt;"",$H982&lt;&gt;"",$I982&lt;&gt;"")),1,0))</f>
        <v/>
      </c>
      <c r="BO982" s="52" t="str">
        <f aca="false">IF(OR(COUNT(B982:D1981)=0,COUNT(G982:I1981)=0,'Choix pédagogiques'!C$3&lt;&gt;3),"",IF(AND('Choix pédagogiques'!$C$3=3,$B982&lt;&gt;"",$C982&lt;&gt;"",$D982&lt;&gt;"",$G982&lt;&gt;"",$H982&lt;&gt;"",$I982&lt;&gt;""),1,0))</f>
        <v/>
      </c>
      <c r="BR982" s="52" t="n">
        <v>193</v>
      </c>
      <c r="BS982" s="52" t="n">
        <v>1257</v>
      </c>
    </row>
    <row r="983" s="54" customFormat="true" ht="18" hidden="false" customHeight="true" outlineLevel="0" collapsed="false">
      <c r="A983" s="57" t="s">
        <v>1897</v>
      </c>
      <c r="B983" s="51"/>
      <c r="C983" s="51"/>
      <c r="D983" s="51"/>
      <c r="E983" s="51"/>
      <c r="F983" s="57" t="s">
        <v>1898</v>
      </c>
      <c r="G983" s="51"/>
      <c r="H983" s="51"/>
      <c r="I983" s="51"/>
      <c r="J983" s="51"/>
      <c r="K983" s="52" t="str">
        <f aca="false">IF($A983&lt;&gt;"",$A983,"")</f>
        <v>Apprenant 971</v>
      </c>
      <c r="L983" s="53" t="str">
        <f aca="false">IF(AND($B983&lt;&gt;"",$C983&lt;&gt;""),$C983-$B983,"")</f>
        <v/>
      </c>
      <c r="M983" s="53" t="str">
        <f aca="false">IF(AND($B983&lt;&gt;"",$D983&lt;&gt;""),$D983-$B983,"")</f>
        <v/>
      </c>
      <c r="N983" s="53" t="str">
        <f aca="false">IF(AND($C983&lt;&gt;"",$D983&lt;&gt;""),$D983-$C983,"")</f>
        <v/>
      </c>
      <c r="O983" s="53" t="str">
        <f aca="false">IF($E983&lt;&gt;"",$E983,"")</f>
        <v/>
      </c>
      <c r="P983" s="52" t="str">
        <f aca="false">IF($F983&lt;&gt;"",$F983,"")</f>
        <v>Apprenant 971 ou 971'</v>
      </c>
      <c r="Q983" s="53" t="str">
        <f aca="false">IF(AND($G983&lt;&gt;"",$H983&lt;&gt;""),$H983-$G983,"")</f>
        <v/>
      </c>
      <c r="R983" s="53" t="str">
        <f aca="false">IF(AND($G983&lt;&gt;"",$I983&lt;&gt;""),$I983-$G983,"")</f>
        <v/>
      </c>
      <c r="S983" s="53" t="str">
        <f aca="false">IF(AND($H983&lt;&gt;"",$I983&lt;&gt;""),$I983-$H983,"")</f>
        <v/>
      </c>
      <c r="T983" s="53" t="str">
        <f aca="false">IF($J983&lt;&gt;"",$J983,"")</f>
        <v/>
      </c>
      <c r="V983" s="52" t="str">
        <f aca="false">IF($A983&lt;&gt;"",$A983,"")</f>
        <v>Apprenant 971</v>
      </c>
      <c r="W983" s="53" t="str">
        <f aca="false">IF(AND(OR('Choix pédagogiques'!$C$3=1,'Choix pédagogiques'!$C$3=2),$BM983=1),B983,IF(AND('Choix pédagogiques'!$C$3=3,$BO983=1),B983,""))</f>
        <v/>
      </c>
      <c r="X983" s="53" t="str">
        <f aca="false">IF(AND(OR('Choix pédagogiques'!$C$3=1,'Choix pédagogiques'!$C$3=2),$BM983=1),C983,IF(AND('Choix pédagogiques'!$C$3=3,$BO983=1),C983,""))</f>
        <v/>
      </c>
      <c r="Y983" s="53" t="str">
        <f aca="false">IF(AND(OR('Choix pédagogiques'!$C$3=1,'Choix pédagogiques'!$C$3=2),$BM983=1),D983,IF(AND('Choix pédagogiques'!$C$3=3,$BO983=1),D983,""))</f>
        <v/>
      </c>
      <c r="Z983" s="53" t="str">
        <f aca="false">IF($E983&lt;&gt;"",$E983,"")</f>
        <v/>
      </c>
      <c r="AA983" s="52" t="str">
        <f aca="false">IF($F983&lt;&gt;"",$F983,"")</f>
        <v>Apprenant 971 ou 971'</v>
      </c>
      <c r="AB983" s="53" t="str">
        <f aca="false">IF(AND(OR('Choix pédagogiques'!$C$3=1,'Choix pédagogiques'!$C$3=2),$BN983=1),G983,IF(AND('Choix pédagogiques'!$C$3=3,$BO983=1),G983,""))</f>
        <v/>
      </c>
      <c r="AC983" s="53" t="str">
        <f aca="false">IF(AND(OR('Choix pédagogiques'!$C$3=1,'Choix pédagogiques'!$C$3=2),$BN983=1),H983,IF(AND('Choix pédagogiques'!$C$3=3,$BO983=1),H983,""))</f>
        <v/>
      </c>
      <c r="AD983" s="53" t="str">
        <f aca="false">IF(AND(OR('Choix pédagogiques'!$C$3=1,'Choix pédagogiques'!$C$3=2),$BN983=1),I983,IF(AND('Choix pédagogiques'!$C$3=3,$BO983=1),I983,""))</f>
        <v/>
      </c>
      <c r="AE983" s="53" t="str">
        <f aca="false">IF($J983&lt;&gt;"",$J983,"")</f>
        <v/>
      </c>
      <c r="AF983" s="52" t="str">
        <f aca="false">IF($A983&lt;&gt;"",$A983,"")</f>
        <v>Apprenant 971</v>
      </c>
      <c r="AG983" s="53" t="str">
        <f aca="false">IF(AND($W983&lt;&gt;"",$X983&lt;&gt;""),$X983-$W983,"")</f>
        <v/>
      </c>
      <c r="AH983" s="53" t="str">
        <f aca="false">IF(AND($W983&lt;&gt;"",$Y983&lt;&gt;""),$Y983-$W983,"")</f>
        <v/>
      </c>
      <c r="AI983" s="53" t="str">
        <f aca="false">IF(AND($X983&lt;&gt;"",$Y983&lt;&gt;""),$Y983-$X983,"")</f>
        <v/>
      </c>
      <c r="AJ983" s="53" t="str">
        <f aca="false">IF($E983&lt;&gt;"",$E983,"")</f>
        <v/>
      </c>
      <c r="AK983" s="52" t="str">
        <f aca="false">IF($F983&lt;&gt;"",$F983,"")</f>
        <v>Apprenant 971 ou 971'</v>
      </c>
      <c r="AL983" s="53" t="str">
        <f aca="false">IF(AND($AB983&lt;&gt;"",$AC983&lt;&gt;""),$AC983-$AB983,"")</f>
        <v/>
      </c>
      <c r="AM983" s="53" t="str">
        <f aca="false">IF(AND($AB983&lt;&gt;"",$AD983&lt;&gt;""),$AD983-$AB983,"")</f>
        <v/>
      </c>
      <c r="AN983" s="53" t="str">
        <f aca="false">IF(AND($AC983&lt;&gt;"",$AD983&lt;&gt;""),$AD983-$AC983,"")</f>
        <v/>
      </c>
      <c r="AO983" s="53" t="str">
        <f aca="false">IF($J983&lt;&gt;"",$J983,"")</f>
        <v/>
      </c>
      <c r="AQ983" s="52" t="str">
        <f aca="false">IF($A983&lt;&gt;"",$A983,"")</f>
        <v>Apprenant 971</v>
      </c>
      <c r="AR983" s="55" t="str">
        <f aca="false">IF(AND('Choix pédagogiques'!$C$4&lt;&gt;"?",'Choix pédagogiques'!$C$5&lt;&gt;"?",W983&lt;&gt;""),(W983-'Choix pédagogiques'!$C$4)/('Choix pédagogiques'!$C$5-'Choix pédagogiques'!$C$4),"")</f>
        <v/>
      </c>
      <c r="AS983" s="55" t="str">
        <f aca="false">IF(AND('Choix pédagogiques'!$C$4&lt;&gt;"?",'Choix pédagogiques'!$C$5&lt;&gt;"?",X983&lt;&gt;""),(X983-'Choix pédagogiques'!$C$4)/('Choix pédagogiques'!$C$5-'Choix pédagogiques'!$C$4),"")</f>
        <v/>
      </c>
      <c r="AT983" s="55" t="str">
        <f aca="false">IF(AND('Choix pédagogiques'!$C$4&lt;&gt;"?",'Choix pédagogiques'!$C$5&lt;&gt;"?",Y983&lt;&gt;""),(Y983-'Choix pédagogiques'!$C$4)/('Choix pédagogiques'!$C$5-'Choix pédagogiques'!$C$4),"")</f>
        <v/>
      </c>
      <c r="AU983" s="53" t="str">
        <f aca="false">IF($E983&lt;&gt;"",$E983,"")</f>
        <v/>
      </c>
      <c r="AV983" s="52" t="str">
        <f aca="false">IF($F983&lt;&gt;"",$F983,"")</f>
        <v>Apprenant 971 ou 971'</v>
      </c>
      <c r="AW983" s="55" t="str">
        <f aca="false">IF(AND('Choix pédagogiques'!$C$4&lt;&gt;"?",'Choix pédagogiques'!$C$5&lt;&gt;"?",AB983&lt;&gt;""),(AB983-'Choix pédagogiques'!$C$4)/('Choix pédagogiques'!$C$5-'Choix pédagogiques'!$C$4),"")</f>
        <v/>
      </c>
      <c r="AX983" s="55" t="str">
        <f aca="false">IF(AND('Choix pédagogiques'!$C$4&lt;&gt;"?",'Choix pédagogiques'!$C$5&lt;&gt;"?",AC983&lt;&gt;""),(AC983-'Choix pédagogiques'!$C$4)/('Choix pédagogiques'!$C$5-'Choix pédagogiques'!$C$4),"")</f>
        <v/>
      </c>
      <c r="AY983" s="55" t="str">
        <f aca="false">IF(AND('Choix pédagogiques'!$C$4&lt;&gt;"?",'Choix pédagogiques'!$C$5&lt;&gt;"?",AD983&lt;&gt;""),(AD983-'Choix pédagogiques'!$C$4)/('Choix pédagogiques'!$C$5-'Choix pédagogiques'!$C$4),"")</f>
        <v/>
      </c>
      <c r="AZ983" s="53" t="str">
        <f aca="false">IF($J983&lt;&gt;"",$J983,"")</f>
        <v/>
      </c>
      <c r="BA983" s="52" t="str">
        <f aca="false">IF($A983&lt;&gt;"",$A983,"")</f>
        <v>Apprenant 971</v>
      </c>
      <c r="BB983" s="55" t="str">
        <f aca="false">IF(AND($AR983&lt;&gt;"",$AS983&lt;&gt;""),$AS983-$AR983,"")</f>
        <v/>
      </c>
      <c r="BC983" s="55" t="str">
        <f aca="false">IF(AND($AR983&lt;&gt;"",$AT983&lt;&gt;""),$AT983-$AR983,"")</f>
        <v/>
      </c>
      <c r="BD983" s="55" t="str">
        <f aca="false">IF(AND($AS983&lt;&gt;"",$AT983&lt;&gt;""),$AT983-$AS983,"")</f>
        <v/>
      </c>
      <c r="BE983" s="53" t="str">
        <f aca="false">IF($E983&lt;&gt;"",$E983,"")</f>
        <v/>
      </c>
      <c r="BF983" s="52" t="str">
        <f aca="false">IF($F983&lt;&gt;"",$F983,"")</f>
        <v>Apprenant 971 ou 971'</v>
      </c>
      <c r="BG983" s="55" t="str">
        <f aca="false">IF(AND($AW983&lt;&gt;"",$AX983&lt;&gt;""),$AX983-$AW983,"")</f>
        <v/>
      </c>
      <c r="BH983" s="55" t="str">
        <f aca="false">IF(AND($AW983&lt;&gt;"",$AY983&lt;&gt;""),$AY983-$AW983,"")</f>
        <v/>
      </c>
      <c r="BI983" s="55" t="str">
        <f aca="false">IF(AND($AX983&lt;&gt;"",$AY983&lt;&gt;""),$AY983-$AX983,"")</f>
        <v/>
      </c>
      <c r="BJ983" s="53" t="str">
        <f aca="false">IF($J983&lt;&gt;"",$J983,"")</f>
        <v/>
      </c>
      <c r="BL983" s="52"/>
      <c r="BM983" s="52" t="str">
        <f aca="false">IF(OR(COUNT(B983:D1982)=0,AND('Choix pédagogiques'!$C$3&lt;&gt;1,'Choix pédagogiques'!$C$3&lt;&gt;2)),"",IF(AND(OR('Choix pédagogiques'!$C$3=1,'Choix pédagogiques'!$C$3=2),$B983&lt;&gt;"",$C983&lt;&gt;"",$D983&lt;&gt;""),1,0))</f>
        <v/>
      </c>
      <c r="BN983" s="52" t="str">
        <f aca="false">IF(OR(COUNT(G983:I1982)=0,AND('Choix pédagogiques'!$C$3&lt;&gt;1,'Choix pédagogiques'!$C$3&lt;&gt;2)),"",IF(AND(OR('Choix pédagogiques'!$C$3=1,'Choix pédagogiques'!$C$3=2),AND($G983&lt;&gt;"",$H983&lt;&gt;"",$I983&lt;&gt;"")),1,0))</f>
        <v/>
      </c>
      <c r="BO983" s="52" t="str">
        <f aca="false">IF(OR(COUNT(B983:D1982)=0,COUNT(G983:I1982)=0,'Choix pédagogiques'!C$3&lt;&gt;3),"",IF(AND('Choix pédagogiques'!$C$3=3,$B983&lt;&gt;"",$C983&lt;&gt;"",$D983&lt;&gt;"",$G983&lt;&gt;"",$H983&lt;&gt;"",$I983&lt;&gt;""),1,0))</f>
        <v/>
      </c>
      <c r="BR983" s="52" t="n">
        <v>682</v>
      </c>
      <c r="BS983" s="52" t="n">
        <v>1692</v>
      </c>
    </row>
    <row r="984" s="54" customFormat="true" ht="18" hidden="false" customHeight="true" outlineLevel="0" collapsed="false">
      <c r="A984" s="57" t="s">
        <v>1899</v>
      </c>
      <c r="B984" s="51"/>
      <c r="C984" s="51"/>
      <c r="D984" s="51"/>
      <c r="E984" s="51"/>
      <c r="F984" s="57" t="s">
        <v>1900</v>
      </c>
      <c r="G984" s="51"/>
      <c r="H984" s="51"/>
      <c r="I984" s="51"/>
      <c r="J984" s="51"/>
      <c r="K984" s="52" t="str">
        <f aca="false">IF($A984&lt;&gt;"",$A984,"")</f>
        <v>Apprenant 972</v>
      </c>
      <c r="L984" s="53" t="str">
        <f aca="false">IF(AND($B984&lt;&gt;"",$C984&lt;&gt;""),$C984-$B984,"")</f>
        <v/>
      </c>
      <c r="M984" s="53" t="str">
        <f aca="false">IF(AND($B984&lt;&gt;"",$D984&lt;&gt;""),$D984-$B984,"")</f>
        <v/>
      </c>
      <c r="N984" s="53" t="str">
        <f aca="false">IF(AND($C984&lt;&gt;"",$D984&lt;&gt;""),$D984-$C984,"")</f>
        <v/>
      </c>
      <c r="O984" s="53" t="str">
        <f aca="false">IF($E984&lt;&gt;"",$E984,"")</f>
        <v/>
      </c>
      <c r="P984" s="52" t="str">
        <f aca="false">IF($F984&lt;&gt;"",$F984,"")</f>
        <v>Apprenant 972 ou 972'</v>
      </c>
      <c r="Q984" s="53" t="str">
        <f aca="false">IF(AND($G984&lt;&gt;"",$H984&lt;&gt;""),$H984-$G984,"")</f>
        <v/>
      </c>
      <c r="R984" s="53" t="str">
        <f aca="false">IF(AND($G984&lt;&gt;"",$I984&lt;&gt;""),$I984-$G984,"")</f>
        <v/>
      </c>
      <c r="S984" s="53" t="str">
        <f aca="false">IF(AND($H984&lt;&gt;"",$I984&lt;&gt;""),$I984-$H984,"")</f>
        <v/>
      </c>
      <c r="T984" s="53" t="str">
        <f aca="false">IF($J984&lt;&gt;"",$J984,"")</f>
        <v/>
      </c>
      <c r="V984" s="52" t="str">
        <f aca="false">IF($A984&lt;&gt;"",$A984,"")</f>
        <v>Apprenant 972</v>
      </c>
      <c r="W984" s="53" t="str">
        <f aca="false">IF(AND(OR('Choix pédagogiques'!$C$3=1,'Choix pédagogiques'!$C$3=2),$BM984=1),B984,IF(AND('Choix pédagogiques'!$C$3=3,$BO984=1),B984,""))</f>
        <v/>
      </c>
      <c r="X984" s="53" t="str">
        <f aca="false">IF(AND(OR('Choix pédagogiques'!$C$3=1,'Choix pédagogiques'!$C$3=2),$BM984=1),C984,IF(AND('Choix pédagogiques'!$C$3=3,$BO984=1),C984,""))</f>
        <v/>
      </c>
      <c r="Y984" s="53" t="str">
        <f aca="false">IF(AND(OR('Choix pédagogiques'!$C$3=1,'Choix pédagogiques'!$C$3=2),$BM984=1),D984,IF(AND('Choix pédagogiques'!$C$3=3,$BO984=1),D984,""))</f>
        <v/>
      </c>
      <c r="Z984" s="53" t="str">
        <f aca="false">IF($E984&lt;&gt;"",$E984,"")</f>
        <v/>
      </c>
      <c r="AA984" s="52" t="str">
        <f aca="false">IF($F984&lt;&gt;"",$F984,"")</f>
        <v>Apprenant 972 ou 972'</v>
      </c>
      <c r="AB984" s="53" t="str">
        <f aca="false">IF(AND(OR('Choix pédagogiques'!$C$3=1,'Choix pédagogiques'!$C$3=2),$BN984=1),G984,IF(AND('Choix pédagogiques'!$C$3=3,$BO984=1),G984,""))</f>
        <v/>
      </c>
      <c r="AC984" s="53" t="str">
        <f aca="false">IF(AND(OR('Choix pédagogiques'!$C$3=1,'Choix pédagogiques'!$C$3=2),$BN984=1),H984,IF(AND('Choix pédagogiques'!$C$3=3,$BO984=1),H984,""))</f>
        <v/>
      </c>
      <c r="AD984" s="53" t="str">
        <f aca="false">IF(AND(OR('Choix pédagogiques'!$C$3=1,'Choix pédagogiques'!$C$3=2),$BN984=1),I984,IF(AND('Choix pédagogiques'!$C$3=3,$BO984=1),I984,""))</f>
        <v/>
      </c>
      <c r="AE984" s="53" t="str">
        <f aca="false">IF($J984&lt;&gt;"",$J984,"")</f>
        <v/>
      </c>
      <c r="AF984" s="52" t="str">
        <f aca="false">IF($A984&lt;&gt;"",$A984,"")</f>
        <v>Apprenant 972</v>
      </c>
      <c r="AG984" s="53" t="str">
        <f aca="false">IF(AND($W984&lt;&gt;"",$X984&lt;&gt;""),$X984-$W984,"")</f>
        <v/>
      </c>
      <c r="AH984" s="53" t="str">
        <f aca="false">IF(AND($W984&lt;&gt;"",$Y984&lt;&gt;""),$Y984-$W984,"")</f>
        <v/>
      </c>
      <c r="AI984" s="53" t="str">
        <f aca="false">IF(AND($X984&lt;&gt;"",$Y984&lt;&gt;""),$Y984-$X984,"")</f>
        <v/>
      </c>
      <c r="AJ984" s="53" t="str">
        <f aca="false">IF($E984&lt;&gt;"",$E984,"")</f>
        <v/>
      </c>
      <c r="AK984" s="52" t="str">
        <f aca="false">IF($F984&lt;&gt;"",$F984,"")</f>
        <v>Apprenant 972 ou 972'</v>
      </c>
      <c r="AL984" s="53" t="str">
        <f aca="false">IF(AND($AB984&lt;&gt;"",$AC984&lt;&gt;""),$AC984-$AB984,"")</f>
        <v/>
      </c>
      <c r="AM984" s="53" t="str">
        <f aca="false">IF(AND($AB984&lt;&gt;"",$AD984&lt;&gt;""),$AD984-$AB984,"")</f>
        <v/>
      </c>
      <c r="AN984" s="53" t="str">
        <f aca="false">IF(AND($AC984&lt;&gt;"",$AD984&lt;&gt;""),$AD984-$AC984,"")</f>
        <v/>
      </c>
      <c r="AO984" s="53" t="str">
        <f aca="false">IF($J984&lt;&gt;"",$J984,"")</f>
        <v/>
      </c>
      <c r="AQ984" s="52" t="str">
        <f aca="false">IF($A984&lt;&gt;"",$A984,"")</f>
        <v>Apprenant 972</v>
      </c>
      <c r="AR984" s="55" t="str">
        <f aca="false">IF(AND('Choix pédagogiques'!$C$4&lt;&gt;"?",'Choix pédagogiques'!$C$5&lt;&gt;"?",W984&lt;&gt;""),(W984-'Choix pédagogiques'!$C$4)/('Choix pédagogiques'!$C$5-'Choix pédagogiques'!$C$4),"")</f>
        <v/>
      </c>
      <c r="AS984" s="55" t="str">
        <f aca="false">IF(AND('Choix pédagogiques'!$C$4&lt;&gt;"?",'Choix pédagogiques'!$C$5&lt;&gt;"?",X984&lt;&gt;""),(X984-'Choix pédagogiques'!$C$4)/('Choix pédagogiques'!$C$5-'Choix pédagogiques'!$C$4),"")</f>
        <v/>
      </c>
      <c r="AT984" s="55" t="str">
        <f aca="false">IF(AND('Choix pédagogiques'!$C$4&lt;&gt;"?",'Choix pédagogiques'!$C$5&lt;&gt;"?",Y984&lt;&gt;""),(Y984-'Choix pédagogiques'!$C$4)/('Choix pédagogiques'!$C$5-'Choix pédagogiques'!$C$4),"")</f>
        <v/>
      </c>
      <c r="AU984" s="53" t="str">
        <f aca="false">IF($E984&lt;&gt;"",$E984,"")</f>
        <v/>
      </c>
      <c r="AV984" s="52" t="str">
        <f aca="false">IF($F984&lt;&gt;"",$F984,"")</f>
        <v>Apprenant 972 ou 972'</v>
      </c>
      <c r="AW984" s="55" t="str">
        <f aca="false">IF(AND('Choix pédagogiques'!$C$4&lt;&gt;"?",'Choix pédagogiques'!$C$5&lt;&gt;"?",AB984&lt;&gt;""),(AB984-'Choix pédagogiques'!$C$4)/('Choix pédagogiques'!$C$5-'Choix pédagogiques'!$C$4),"")</f>
        <v/>
      </c>
      <c r="AX984" s="55" t="str">
        <f aca="false">IF(AND('Choix pédagogiques'!$C$4&lt;&gt;"?",'Choix pédagogiques'!$C$5&lt;&gt;"?",AC984&lt;&gt;""),(AC984-'Choix pédagogiques'!$C$4)/('Choix pédagogiques'!$C$5-'Choix pédagogiques'!$C$4),"")</f>
        <v/>
      </c>
      <c r="AY984" s="55" t="str">
        <f aca="false">IF(AND('Choix pédagogiques'!$C$4&lt;&gt;"?",'Choix pédagogiques'!$C$5&lt;&gt;"?",AD984&lt;&gt;""),(AD984-'Choix pédagogiques'!$C$4)/('Choix pédagogiques'!$C$5-'Choix pédagogiques'!$C$4),"")</f>
        <v/>
      </c>
      <c r="AZ984" s="53" t="str">
        <f aca="false">IF($J984&lt;&gt;"",$J984,"")</f>
        <v/>
      </c>
      <c r="BA984" s="52" t="str">
        <f aca="false">IF($A984&lt;&gt;"",$A984,"")</f>
        <v>Apprenant 972</v>
      </c>
      <c r="BB984" s="55" t="str">
        <f aca="false">IF(AND($AR984&lt;&gt;"",$AS984&lt;&gt;""),$AS984-$AR984,"")</f>
        <v/>
      </c>
      <c r="BC984" s="55" t="str">
        <f aca="false">IF(AND($AR984&lt;&gt;"",$AT984&lt;&gt;""),$AT984-$AR984,"")</f>
        <v/>
      </c>
      <c r="BD984" s="55" t="str">
        <f aca="false">IF(AND($AS984&lt;&gt;"",$AT984&lt;&gt;""),$AT984-$AS984,"")</f>
        <v/>
      </c>
      <c r="BE984" s="53" t="str">
        <f aca="false">IF($E984&lt;&gt;"",$E984,"")</f>
        <v/>
      </c>
      <c r="BF984" s="52" t="str">
        <f aca="false">IF($F984&lt;&gt;"",$F984,"")</f>
        <v>Apprenant 972 ou 972'</v>
      </c>
      <c r="BG984" s="55" t="str">
        <f aca="false">IF(AND($AW984&lt;&gt;"",$AX984&lt;&gt;""),$AX984-$AW984,"")</f>
        <v/>
      </c>
      <c r="BH984" s="55" t="str">
        <f aca="false">IF(AND($AW984&lt;&gt;"",$AY984&lt;&gt;""),$AY984-$AW984,"")</f>
        <v/>
      </c>
      <c r="BI984" s="55" t="str">
        <f aca="false">IF(AND($AX984&lt;&gt;"",$AY984&lt;&gt;""),$AY984-$AX984,"")</f>
        <v/>
      </c>
      <c r="BJ984" s="53" t="str">
        <f aca="false">IF($J984&lt;&gt;"",$J984,"")</f>
        <v/>
      </c>
      <c r="BL984" s="52"/>
      <c r="BM984" s="52" t="str">
        <f aca="false">IF(OR(COUNT(B984:D1983)=0,AND('Choix pédagogiques'!$C$3&lt;&gt;1,'Choix pédagogiques'!$C$3&lt;&gt;2)),"",IF(AND(OR('Choix pédagogiques'!$C$3=1,'Choix pédagogiques'!$C$3=2),$B984&lt;&gt;"",$C984&lt;&gt;"",$D984&lt;&gt;""),1,0))</f>
        <v/>
      </c>
      <c r="BN984" s="52" t="str">
        <f aca="false">IF(OR(COUNT(G984:I1983)=0,AND('Choix pédagogiques'!$C$3&lt;&gt;1,'Choix pédagogiques'!$C$3&lt;&gt;2)),"",IF(AND(OR('Choix pédagogiques'!$C$3=1,'Choix pédagogiques'!$C$3=2),AND($G984&lt;&gt;"",$H984&lt;&gt;"",$I984&lt;&gt;"")),1,0))</f>
        <v/>
      </c>
      <c r="BO984" s="52" t="str">
        <f aca="false">IF(OR(COUNT(B984:D1983)=0,COUNT(G984:I1983)=0,'Choix pédagogiques'!C$3&lt;&gt;3),"",IF(AND('Choix pédagogiques'!$C$3=3,$B984&lt;&gt;"",$C984&lt;&gt;"",$D984&lt;&gt;"",$G984&lt;&gt;"",$H984&lt;&gt;"",$I984&lt;&gt;""),1,0))</f>
        <v/>
      </c>
      <c r="BR984" s="52" t="n">
        <v>478</v>
      </c>
      <c r="BS984" s="52" t="n">
        <v>1451</v>
      </c>
    </row>
    <row r="985" s="54" customFormat="true" ht="18" hidden="false" customHeight="true" outlineLevel="0" collapsed="false">
      <c r="A985" s="57" t="s">
        <v>1901</v>
      </c>
      <c r="B985" s="51"/>
      <c r="C985" s="51"/>
      <c r="D985" s="51"/>
      <c r="E985" s="51"/>
      <c r="F985" s="57" t="s">
        <v>1902</v>
      </c>
      <c r="G985" s="51"/>
      <c r="H985" s="51"/>
      <c r="I985" s="51"/>
      <c r="J985" s="51"/>
      <c r="K985" s="52" t="str">
        <f aca="false">IF($A985&lt;&gt;"",$A985,"")</f>
        <v>Apprenant 973</v>
      </c>
      <c r="L985" s="53" t="str">
        <f aca="false">IF(AND($B985&lt;&gt;"",$C985&lt;&gt;""),$C985-$B985,"")</f>
        <v/>
      </c>
      <c r="M985" s="53" t="str">
        <f aca="false">IF(AND($B985&lt;&gt;"",$D985&lt;&gt;""),$D985-$B985,"")</f>
        <v/>
      </c>
      <c r="N985" s="53" t="str">
        <f aca="false">IF(AND($C985&lt;&gt;"",$D985&lt;&gt;""),$D985-$C985,"")</f>
        <v/>
      </c>
      <c r="O985" s="53" t="str">
        <f aca="false">IF($E985&lt;&gt;"",$E985,"")</f>
        <v/>
      </c>
      <c r="P985" s="52" t="str">
        <f aca="false">IF($F985&lt;&gt;"",$F985,"")</f>
        <v>Apprenant 973 ou 973'</v>
      </c>
      <c r="Q985" s="53" t="str">
        <f aca="false">IF(AND($G985&lt;&gt;"",$H985&lt;&gt;""),$H985-$G985,"")</f>
        <v/>
      </c>
      <c r="R985" s="53" t="str">
        <f aca="false">IF(AND($G985&lt;&gt;"",$I985&lt;&gt;""),$I985-$G985,"")</f>
        <v/>
      </c>
      <c r="S985" s="53" t="str">
        <f aca="false">IF(AND($H985&lt;&gt;"",$I985&lt;&gt;""),$I985-$H985,"")</f>
        <v/>
      </c>
      <c r="T985" s="53" t="str">
        <f aca="false">IF($J985&lt;&gt;"",$J985,"")</f>
        <v/>
      </c>
      <c r="V985" s="52" t="str">
        <f aca="false">IF($A985&lt;&gt;"",$A985,"")</f>
        <v>Apprenant 973</v>
      </c>
      <c r="W985" s="53" t="str">
        <f aca="false">IF(AND(OR('Choix pédagogiques'!$C$3=1,'Choix pédagogiques'!$C$3=2),$BM985=1),B985,IF(AND('Choix pédagogiques'!$C$3=3,$BO985=1),B985,""))</f>
        <v/>
      </c>
      <c r="X985" s="53" t="str">
        <f aca="false">IF(AND(OR('Choix pédagogiques'!$C$3=1,'Choix pédagogiques'!$C$3=2),$BM985=1),C985,IF(AND('Choix pédagogiques'!$C$3=3,$BO985=1),C985,""))</f>
        <v/>
      </c>
      <c r="Y985" s="53" t="str">
        <f aca="false">IF(AND(OR('Choix pédagogiques'!$C$3=1,'Choix pédagogiques'!$C$3=2),$BM985=1),D985,IF(AND('Choix pédagogiques'!$C$3=3,$BO985=1),D985,""))</f>
        <v/>
      </c>
      <c r="Z985" s="53" t="str">
        <f aca="false">IF($E985&lt;&gt;"",$E985,"")</f>
        <v/>
      </c>
      <c r="AA985" s="52" t="str">
        <f aca="false">IF($F985&lt;&gt;"",$F985,"")</f>
        <v>Apprenant 973 ou 973'</v>
      </c>
      <c r="AB985" s="53" t="str">
        <f aca="false">IF(AND(OR('Choix pédagogiques'!$C$3=1,'Choix pédagogiques'!$C$3=2),$BN985=1),G985,IF(AND('Choix pédagogiques'!$C$3=3,$BO985=1),G985,""))</f>
        <v/>
      </c>
      <c r="AC985" s="53" t="str">
        <f aca="false">IF(AND(OR('Choix pédagogiques'!$C$3=1,'Choix pédagogiques'!$C$3=2),$BN985=1),H985,IF(AND('Choix pédagogiques'!$C$3=3,$BO985=1),H985,""))</f>
        <v/>
      </c>
      <c r="AD985" s="53" t="str">
        <f aca="false">IF(AND(OR('Choix pédagogiques'!$C$3=1,'Choix pédagogiques'!$C$3=2),$BN985=1),I985,IF(AND('Choix pédagogiques'!$C$3=3,$BO985=1),I985,""))</f>
        <v/>
      </c>
      <c r="AE985" s="53" t="str">
        <f aca="false">IF($J985&lt;&gt;"",$J985,"")</f>
        <v/>
      </c>
      <c r="AF985" s="52" t="str">
        <f aca="false">IF($A985&lt;&gt;"",$A985,"")</f>
        <v>Apprenant 973</v>
      </c>
      <c r="AG985" s="53" t="str">
        <f aca="false">IF(AND($W985&lt;&gt;"",$X985&lt;&gt;""),$X985-$W985,"")</f>
        <v/>
      </c>
      <c r="AH985" s="53" t="str">
        <f aca="false">IF(AND($W985&lt;&gt;"",$Y985&lt;&gt;""),$Y985-$W985,"")</f>
        <v/>
      </c>
      <c r="AI985" s="53" t="str">
        <f aca="false">IF(AND($X985&lt;&gt;"",$Y985&lt;&gt;""),$Y985-$X985,"")</f>
        <v/>
      </c>
      <c r="AJ985" s="53" t="str">
        <f aca="false">IF($E985&lt;&gt;"",$E985,"")</f>
        <v/>
      </c>
      <c r="AK985" s="52" t="str">
        <f aca="false">IF($F985&lt;&gt;"",$F985,"")</f>
        <v>Apprenant 973 ou 973'</v>
      </c>
      <c r="AL985" s="53" t="str">
        <f aca="false">IF(AND($AB985&lt;&gt;"",$AC985&lt;&gt;""),$AC985-$AB985,"")</f>
        <v/>
      </c>
      <c r="AM985" s="53" t="str">
        <f aca="false">IF(AND($AB985&lt;&gt;"",$AD985&lt;&gt;""),$AD985-$AB985,"")</f>
        <v/>
      </c>
      <c r="AN985" s="53" t="str">
        <f aca="false">IF(AND($AC985&lt;&gt;"",$AD985&lt;&gt;""),$AD985-$AC985,"")</f>
        <v/>
      </c>
      <c r="AO985" s="53" t="str">
        <f aca="false">IF($J985&lt;&gt;"",$J985,"")</f>
        <v/>
      </c>
      <c r="AQ985" s="52" t="str">
        <f aca="false">IF($A985&lt;&gt;"",$A985,"")</f>
        <v>Apprenant 973</v>
      </c>
      <c r="AR985" s="55" t="str">
        <f aca="false">IF(AND('Choix pédagogiques'!$C$4&lt;&gt;"?",'Choix pédagogiques'!$C$5&lt;&gt;"?",W985&lt;&gt;""),(W985-'Choix pédagogiques'!$C$4)/('Choix pédagogiques'!$C$5-'Choix pédagogiques'!$C$4),"")</f>
        <v/>
      </c>
      <c r="AS985" s="55" t="str">
        <f aca="false">IF(AND('Choix pédagogiques'!$C$4&lt;&gt;"?",'Choix pédagogiques'!$C$5&lt;&gt;"?",X985&lt;&gt;""),(X985-'Choix pédagogiques'!$C$4)/('Choix pédagogiques'!$C$5-'Choix pédagogiques'!$C$4),"")</f>
        <v/>
      </c>
      <c r="AT985" s="55" t="str">
        <f aca="false">IF(AND('Choix pédagogiques'!$C$4&lt;&gt;"?",'Choix pédagogiques'!$C$5&lt;&gt;"?",Y985&lt;&gt;""),(Y985-'Choix pédagogiques'!$C$4)/('Choix pédagogiques'!$C$5-'Choix pédagogiques'!$C$4),"")</f>
        <v/>
      </c>
      <c r="AU985" s="53" t="str">
        <f aca="false">IF($E985&lt;&gt;"",$E985,"")</f>
        <v/>
      </c>
      <c r="AV985" s="52" t="str">
        <f aca="false">IF($F985&lt;&gt;"",$F985,"")</f>
        <v>Apprenant 973 ou 973'</v>
      </c>
      <c r="AW985" s="55" t="str">
        <f aca="false">IF(AND('Choix pédagogiques'!$C$4&lt;&gt;"?",'Choix pédagogiques'!$C$5&lt;&gt;"?",AB985&lt;&gt;""),(AB985-'Choix pédagogiques'!$C$4)/('Choix pédagogiques'!$C$5-'Choix pédagogiques'!$C$4),"")</f>
        <v/>
      </c>
      <c r="AX985" s="55" t="str">
        <f aca="false">IF(AND('Choix pédagogiques'!$C$4&lt;&gt;"?",'Choix pédagogiques'!$C$5&lt;&gt;"?",AC985&lt;&gt;""),(AC985-'Choix pédagogiques'!$C$4)/('Choix pédagogiques'!$C$5-'Choix pédagogiques'!$C$4),"")</f>
        <v/>
      </c>
      <c r="AY985" s="55" t="str">
        <f aca="false">IF(AND('Choix pédagogiques'!$C$4&lt;&gt;"?",'Choix pédagogiques'!$C$5&lt;&gt;"?",AD985&lt;&gt;""),(AD985-'Choix pédagogiques'!$C$4)/('Choix pédagogiques'!$C$5-'Choix pédagogiques'!$C$4),"")</f>
        <v/>
      </c>
      <c r="AZ985" s="53" t="str">
        <f aca="false">IF($J985&lt;&gt;"",$J985,"")</f>
        <v/>
      </c>
      <c r="BA985" s="52" t="str">
        <f aca="false">IF($A985&lt;&gt;"",$A985,"")</f>
        <v>Apprenant 973</v>
      </c>
      <c r="BB985" s="55" t="str">
        <f aca="false">IF(AND($AR985&lt;&gt;"",$AS985&lt;&gt;""),$AS985-$AR985,"")</f>
        <v/>
      </c>
      <c r="BC985" s="55" t="str">
        <f aca="false">IF(AND($AR985&lt;&gt;"",$AT985&lt;&gt;""),$AT985-$AR985,"")</f>
        <v/>
      </c>
      <c r="BD985" s="55" t="str">
        <f aca="false">IF(AND($AS985&lt;&gt;"",$AT985&lt;&gt;""),$AT985-$AS985,"")</f>
        <v/>
      </c>
      <c r="BE985" s="53" t="str">
        <f aca="false">IF($E985&lt;&gt;"",$E985,"")</f>
        <v/>
      </c>
      <c r="BF985" s="52" t="str">
        <f aca="false">IF($F985&lt;&gt;"",$F985,"")</f>
        <v>Apprenant 973 ou 973'</v>
      </c>
      <c r="BG985" s="55" t="str">
        <f aca="false">IF(AND($AW985&lt;&gt;"",$AX985&lt;&gt;""),$AX985-$AW985,"")</f>
        <v/>
      </c>
      <c r="BH985" s="55" t="str">
        <f aca="false">IF(AND($AW985&lt;&gt;"",$AY985&lt;&gt;""),$AY985-$AW985,"")</f>
        <v/>
      </c>
      <c r="BI985" s="55" t="str">
        <f aca="false">IF(AND($AX985&lt;&gt;"",$AY985&lt;&gt;""),$AY985-$AX985,"")</f>
        <v/>
      </c>
      <c r="BJ985" s="53" t="str">
        <f aca="false">IF($J985&lt;&gt;"",$J985,"")</f>
        <v/>
      </c>
      <c r="BL985" s="52"/>
      <c r="BM985" s="52" t="str">
        <f aca="false">IF(OR(COUNT(B985:D1984)=0,AND('Choix pédagogiques'!$C$3&lt;&gt;1,'Choix pédagogiques'!$C$3&lt;&gt;2)),"",IF(AND(OR('Choix pédagogiques'!$C$3=1,'Choix pédagogiques'!$C$3=2),$B985&lt;&gt;"",$C985&lt;&gt;"",$D985&lt;&gt;""),1,0))</f>
        <v/>
      </c>
      <c r="BN985" s="52" t="str">
        <f aca="false">IF(OR(COUNT(G985:I1984)=0,AND('Choix pédagogiques'!$C$3&lt;&gt;1,'Choix pédagogiques'!$C$3&lt;&gt;2)),"",IF(AND(OR('Choix pédagogiques'!$C$3=1,'Choix pédagogiques'!$C$3=2),AND($G985&lt;&gt;"",$H985&lt;&gt;"",$I985&lt;&gt;"")),1,0))</f>
        <v/>
      </c>
      <c r="BO985" s="52" t="str">
        <f aca="false">IF(OR(COUNT(B985:D1984)=0,COUNT(G985:I1984)=0,'Choix pédagogiques'!C$3&lt;&gt;3),"",IF(AND('Choix pédagogiques'!$C$3=3,$B985&lt;&gt;"",$C985&lt;&gt;"",$D985&lt;&gt;"",$G985&lt;&gt;"",$H985&lt;&gt;"",$I985&lt;&gt;""),1,0))</f>
        <v/>
      </c>
      <c r="BR985" s="52" t="n">
        <v>690</v>
      </c>
      <c r="BS985" s="52" t="n">
        <v>1484</v>
      </c>
    </row>
    <row r="986" s="54" customFormat="true" ht="18" hidden="false" customHeight="true" outlineLevel="0" collapsed="false">
      <c r="A986" s="57" t="s">
        <v>1903</v>
      </c>
      <c r="B986" s="51"/>
      <c r="C986" s="51"/>
      <c r="D986" s="51"/>
      <c r="E986" s="51"/>
      <c r="F986" s="57" t="s">
        <v>1904</v>
      </c>
      <c r="G986" s="51"/>
      <c r="H986" s="51"/>
      <c r="I986" s="51"/>
      <c r="J986" s="51"/>
      <c r="K986" s="52" t="str">
        <f aca="false">IF($A986&lt;&gt;"",$A986,"")</f>
        <v>Apprenant 974</v>
      </c>
      <c r="L986" s="53" t="str">
        <f aca="false">IF(AND($B986&lt;&gt;"",$C986&lt;&gt;""),$C986-$B986,"")</f>
        <v/>
      </c>
      <c r="M986" s="53" t="str">
        <f aca="false">IF(AND($B986&lt;&gt;"",$D986&lt;&gt;""),$D986-$B986,"")</f>
        <v/>
      </c>
      <c r="N986" s="53" t="str">
        <f aca="false">IF(AND($C986&lt;&gt;"",$D986&lt;&gt;""),$D986-$C986,"")</f>
        <v/>
      </c>
      <c r="O986" s="53" t="str">
        <f aca="false">IF($E986&lt;&gt;"",$E986,"")</f>
        <v/>
      </c>
      <c r="P986" s="52" t="str">
        <f aca="false">IF($F986&lt;&gt;"",$F986,"")</f>
        <v>Apprenant 974 ou 974'</v>
      </c>
      <c r="Q986" s="53" t="str">
        <f aca="false">IF(AND($G986&lt;&gt;"",$H986&lt;&gt;""),$H986-$G986,"")</f>
        <v/>
      </c>
      <c r="R986" s="53" t="str">
        <f aca="false">IF(AND($G986&lt;&gt;"",$I986&lt;&gt;""),$I986-$G986,"")</f>
        <v/>
      </c>
      <c r="S986" s="53" t="str">
        <f aca="false">IF(AND($H986&lt;&gt;"",$I986&lt;&gt;""),$I986-$H986,"")</f>
        <v/>
      </c>
      <c r="T986" s="53" t="str">
        <f aca="false">IF($J986&lt;&gt;"",$J986,"")</f>
        <v/>
      </c>
      <c r="V986" s="52" t="str">
        <f aca="false">IF($A986&lt;&gt;"",$A986,"")</f>
        <v>Apprenant 974</v>
      </c>
      <c r="W986" s="53" t="str">
        <f aca="false">IF(AND(OR('Choix pédagogiques'!$C$3=1,'Choix pédagogiques'!$C$3=2),$BM986=1),B986,IF(AND('Choix pédagogiques'!$C$3=3,$BO986=1),B986,""))</f>
        <v/>
      </c>
      <c r="X986" s="53" t="str">
        <f aca="false">IF(AND(OR('Choix pédagogiques'!$C$3=1,'Choix pédagogiques'!$C$3=2),$BM986=1),C986,IF(AND('Choix pédagogiques'!$C$3=3,$BO986=1),C986,""))</f>
        <v/>
      </c>
      <c r="Y986" s="53" t="str">
        <f aca="false">IF(AND(OR('Choix pédagogiques'!$C$3=1,'Choix pédagogiques'!$C$3=2),$BM986=1),D986,IF(AND('Choix pédagogiques'!$C$3=3,$BO986=1),D986,""))</f>
        <v/>
      </c>
      <c r="Z986" s="53" t="str">
        <f aca="false">IF($E986&lt;&gt;"",$E986,"")</f>
        <v/>
      </c>
      <c r="AA986" s="52" t="str">
        <f aca="false">IF($F986&lt;&gt;"",$F986,"")</f>
        <v>Apprenant 974 ou 974'</v>
      </c>
      <c r="AB986" s="53" t="str">
        <f aca="false">IF(AND(OR('Choix pédagogiques'!$C$3=1,'Choix pédagogiques'!$C$3=2),$BN986=1),G986,IF(AND('Choix pédagogiques'!$C$3=3,$BO986=1),G986,""))</f>
        <v/>
      </c>
      <c r="AC986" s="53" t="str">
        <f aca="false">IF(AND(OR('Choix pédagogiques'!$C$3=1,'Choix pédagogiques'!$C$3=2),$BN986=1),H986,IF(AND('Choix pédagogiques'!$C$3=3,$BO986=1),H986,""))</f>
        <v/>
      </c>
      <c r="AD986" s="53" t="str">
        <f aca="false">IF(AND(OR('Choix pédagogiques'!$C$3=1,'Choix pédagogiques'!$C$3=2),$BN986=1),I986,IF(AND('Choix pédagogiques'!$C$3=3,$BO986=1),I986,""))</f>
        <v/>
      </c>
      <c r="AE986" s="53" t="str">
        <f aca="false">IF($J986&lt;&gt;"",$J986,"")</f>
        <v/>
      </c>
      <c r="AF986" s="52" t="str">
        <f aca="false">IF($A986&lt;&gt;"",$A986,"")</f>
        <v>Apprenant 974</v>
      </c>
      <c r="AG986" s="53" t="str">
        <f aca="false">IF(AND($W986&lt;&gt;"",$X986&lt;&gt;""),$X986-$W986,"")</f>
        <v/>
      </c>
      <c r="AH986" s="53" t="str">
        <f aca="false">IF(AND($W986&lt;&gt;"",$Y986&lt;&gt;""),$Y986-$W986,"")</f>
        <v/>
      </c>
      <c r="AI986" s="53" t="str">
        <f aca="false">IF(AND($X986&lt;&gt;"",$Y986&lt;&gt;""),$Y986-$X986,"")</f>
        <v/>
      </c>
      <c r="AJ986" s="53" t="str">
        <f aca="false">IF($E986&lt;&gt;"",$E986,"")</f>
        <v/>
      </c>
      <c r="AK986" s="52" t="str">
        <f aca="false">IF($F986&lt;&gt;"",$F986,"")</f>
        <v>Apprenant 974 ou 974'</v>
      </c>
      <c r="AL986" s="53" t="str">
        <f aca="false">IF(AND($AB986&lt;&gt;"",$AC986&lt;&gt;""),$AC986-$AB986,"")</f>
        <v/>
      </c>
      <c r="AM986" s="53" t="str">
        <f aca="false">IF(AND($AB986&lt;&gt;"",$AD986&lt;&gt;""),$AD986-$AB986,"")</f>
        <v/>
      </c>
      <c r="AN986" s="53" t="str">
        <f aca="false">IF(AND($AC986&lt;&gt;"",$AD986&lt;&gt;""),$AD986-$AC986,"")</f>
        <v/>
      </c>
      <c r="AO986" s="53" t="str">
        <f aca="false">IF($J986&lt;&gt;"",$J986,"")</f>
        <v/>
      </c>
      <c r="AQ986" s="52" t="str">
        <f aca="false">IF($A986&lt;&gt;"",$A986,"")</f>
        <v>Apprenant 974</v>
      </c>
      <c r="AR986" s="55" t="str">
        <f aca="false">IF(AND('Choix pédagogiques'!$C$4&lt;&gt;"?",'Choix pédagogiques'!$C$5&lt;&gt;"?",W986&lt;&gt;""),(W986-'Choix pédagogiques'!$C$4)/('Choix pédagogiques'!$C$5-'Choix pédagogiques'!$C$4),"")</f>
        <v/>
      </c>
      <c r="AS986" s="55" t="str">
        <f aca="false">IF(AND('Choix pédagogiques'!$C$4&lt;&gt;"?",'Choix pédagogiques'!$C$5&lt;&gt;"?",X986&lt;&gt;""),(X986-'Choix pédagogiques'!$C$4)/('Choix pédagogiques'!$C$5-'Choix pédagogiques'!$C$4),"")</f>
        <v/>
      </c>
      <c r="AT986" s="55" t="str">
        <f aca="false">IF(AND('Choix pédagogiques'!$C$4&lt;&gt;"?",'Choix pédagogiques'!$C$5&lt;&gt;"?",Y986&lt;&gt;""),(Y986-'Choix pédagogiques'!$C$4)/('Choix pédagogiques'!$C$5-'Choix pédagogiques'!$C$4),"")</f>
        <v/>
      </c>
      <c r="AU986" s="53" t="str">
        <f aca="false">IF($E986&lt;&gt;"",$E986,"")</f>
        <v/>
      </c>
      <c r="AV986" s="52" t="str">
        <f aca="false">IF($F986&lt;&gt;"",$F986,"")</f>
        <v>Apprenant 974 ou 974'</v>
      </c>
      <c r="AW986" s="55" t="str">
        <f aca="false">IF(AND('Choix pédagogiques'!$C$4&lt;&gt;"?",'Choix pédagogiques'!$C$5&lt;&gt;"?",AB986&lt;&gt;""),(AB986-'Choix pédagogiques'!$C$4)/('Choix pédagogiques'!$C$5-'Choix pédagogiques'!$C$4),"")</f>
        <v/>
      </c>
      <c r="AX986" s="55" t="str">
        <f aca="false">IF(AND('Choix pédagogiques'!$C$4&lt;&gt;"?",'Choix pédagogiques'!$C$5&lt;&gt;"?",AC986&lt;&gt;""),(AC986-'Choix pédagogiques'!$C$4)/('Choix pédagogiques'!$C$5-'Choix pédagogiques'!$C$4),"")</f>
        <v/>
      </c>
      <c r="AY986" s="55" t="str">
        <f aca="false">IF(AND('Choix pédagogiques'!$C$4&lt;&gt;"?",'Choix pédagogiques'!$C$5&lt;&gt;"?",AD986&lt;&gt;""),(AD986-'Choix pédagogiques'!$C$4)/('Choix pédagogiques'!$C$5-'Choix pédagogiques'!$C$4),"")</f>
        <v/>
      </c>
      <c r="AZ986" s="53" t="str">
        <f aca="false">IF($J986&lt;&gt;"",$J986,"")</f>
        <v/>
      </c>
      <c r="BA986" s="52" t="str">
        <f aca="false">IF($A986&lt;&gt;"",$A986,"")</f>
        <v>Apprenant 974</v>
      </c>
      <c r="BB986" s="55" t="str">
        <f aca="false">IF(AND($AR986&lt;&gt;"",$AS986&lt;&gt;""),$AS986-$AR986,"")</f>
        <v/>
      </c>
      <c r="BC986" s="55" t="str">
        <f aca="false">IF(AND($AR986&lt;&gt;"",$AT986&lt;&gt;""),$AT986-$AR986,"")</f>
        <v/>
      </c>
      <c r="BD986" s="55" t="str">
        <f aca="false">IF(AND($AS986&lt;&gt;"",$AT986&lt;&gt;""),$AT986-$AS986,"")</f>
        <v/>
      </c>
      <c r="BE986" s="53" t="str">
        <f aca="false">IF($E986&lt;&gt;"",$E986,"")</f>
        <v/>
      </c>
      <c r="BF986" s="52" t="str">
        <f aca="false">IF($F986&lt;&gt;"",$F986,"")</f>
        <v>Apprenant 974 ou 974'</v>
      </c>
      <c r="BG986" s="55" t="str">
        <f aca="false">IF(AND($AW986&lt;&gt;"",$AX986&lt;&gt;""),$AX986-$AW986,"")</f>
        <v/>
      </c>
      <c r="BH986" s="55" t="str">
        <f aca="false">IF(AND($AW986&lt;&gt;"",$AY986&lt;&gt;""),$AY986-$AW986,"")</f>
        <v/>
      </c>
      <c r="BI986" s="55" t="str">
        <f aca="false">IF(AND($AX986&lt;&gt;"",$AY986&lt;&gt;""),$AY986-$AX986,"")</f>
        <v/>
      </c>
      <c r="BJ986" s="53" t="str">
        <f aca="false">IF($J986&lt;&gt;"",$J986,"")</f>
        <v/>
      </c>
      <c r="BL986" s="52"/>
      <c r="BM986" s="52" t="str">
        <f aca="false">IF(OR(COUNT(B986:D1985)=0,AND('Choix pédagogiques'!$C$3&lt;&gt;1,'Choix pédagogiques'!$C$3&lt;&gt;2)),"",IF(AND(OR('Choix pédagogiques'!$C$3=1,'Choix pédagogiques'!$C$3=2),$B986&lt;&gt;"",$C986&lt;&gt;"",$D986&lt;&gt;""),1,0))</f>
        <v/>
      </c>
      <c r="BN986" s="52" t="str">
        <f aca="false">IF(OR(COUNT(G986:I1985)=0,AND('Choix pédagogiques'!$C$3&lt;&gt;1,'Choix pédagogiques'!$C$3&lt;&gt;2)),"",IF(AND(OR('Choix pédagogiques'!$C$3=1,'Choix pédagogiques'!$C$3=2),AND($G986&lt;&gt;"",$H986&lt;&gt;"",$I986&lt;&gt;"")),1,0))</f>
        <v/>
      </c>
      <c r="BO986" s="52" t="str">
        <f aca="false">IF(OR(COUNT(B986:D1985)=0,COUNT(G986:I1985)=0,'Choix pédagogiques'!C$3&lt;&gt;3),"",IF(AND('Choix pédagogiques'!$C$3=3,$B986&lt;&gt;"",$C986&lt;&gt;"",$D986&lt;&gt;"",$G986&lt;&gt;"",$H986&lt;&gt;"",$I986&lt;&gt;""),1,0))</f>
        <v/>
      </c>
      <c r="BR986" s="52" t="n">
        <v>978</v>
      </c>
      <c r="BS986" s="52" t="n">
        <v>1403</v>
      </c>
    </row>
    <row r="987" s="54" customFormat="true" ht="18" hidden="false" customHeight="true" outlineLevel="0" collapsed="false">
      <c r="A987" s="57" t="s">
        <v>1905</v>
      </c>
      <c r="B987" s="51"/>
      <c r="C987" s="51"/>
      <c r="D987" s="51"/>
      <c r="E987" s="51"/>
      <c r="F987" s="57" t="s">
        <v>1906</v>
      </c>
      <c r="G987" s="51"/>
      <c r="H987" s="51"/>
      <c r="I987" s="51"/>
      <c r="J987" s="51"/>
      <c r="K987" s="52" t="str">
        <f aca="false">IF($A987&lt;&gt;"",$A987,"")</f>
        <v>Apprenant 975</v>
      </c>
      <c r="L987" s="53" t="str">
        <f aca="false">IF(AND($B987&lt;&gt;"",$C987&lt;&gt;""),$C987-$B987,"")</f>
        <v/>
      </c>
      <c r="M987" s="53" t="str">
        <f aca="false">IF(AND($B987&lt;&gt;"",$D987&lt;&gt;""),$D987-$B987,"")</f>
        <v/>
      </c>
      <c r="N987" s="53" t="str">
        <f aca="false">IF(AND($C987&lt;&gt;"",$D987&lt;&gt;""),$D987-$C987,"")</f>
        <v/>
      </c>
      <c r="O987" s="53" t="str">
        <f aca="false">IF($E987&lt;&gt;"",$E987,"")</f>
        <v/>
      </c>
      <c r="P987" s="52" t="str">
        <f aca="false">IF($F987&lt;&gt;"",$F987,"")</f>
        <v>Apprenant 975 ou 975'</v>
      </c>
      <c r="Q987" s="53" t="str">
        <f aca="false">IF(AND($G987&lt;&gt;"",$H987&lt;&gt;""),$H987-$G987,"")</f>
        <v/>
      </c>
      <c r="R987" s="53" t="str">
        <f aca="false">IF(AND($G987&lt;&gt;"",$I987&lt;&gt;""),$I987-$G987,"")</f>
        <v/>
      </c>
      <c r="S987" s="53" t="str">
        <f aca="false">IF(AND($H987&lt;&gt;"",$I987&lt;&gt;""),$I987-$H987,"")</f>
        <v/>
      </c>
      <c r="T987" s="53" t="str">
        <f aca="false">IF($J987&lt;&gt;"",$J987,"")</f>
        <v/>
      </c>
      <c r="V987" s="52" t="str">
        <f aca="false">IF($A987&lt;&gt;"",$A987,"")</f>
        <v>Apprenant 975</v>
      </c>
      <c r="W987" s="53" t="str">
        <f aca="false">IF(AND(OR('Choix pédagogiques'!$C$3=1,'Choix pédagogiques'!$C$3=2),$BM987=1),B987,IF(AND('Choix pédagogiques'!$C$3=3,$BO987=1),B987,""))</f>
        <v/>
      </c>
      <c r="X987" s="53" t="str">
        <f aca="false">IF(AND(OR('Choix pédagogiques'!$C$3=1,'Choix pédagogiques'!$C$3=2),$BM987=1),C987,IF(AND('Choix pédagogiques'!$C$3=3,$BO987=1),C987,""))</f>
        <v/>
      </c>
      <c r="Y987" s="53" t="str">
        <f aca="false">IF(AND(OR('Choix pédagogiques'!$C$3=1,'Choix pédagogiques'!$C$3=2),$BM987=1),D987,IF(AND('Choix pédagogiques'!$C$3=3,$BO987=1),D987,""))</f>
        <v/>
      </c>
      <c r="Z987" s="53" t="str">
        <f aca="false">IF($E987&lt;&gt;"",$E987,"")</f>
        <v/>
      </c>
      <c r="AA987" s="52" t="str">
        <f aca="false">IF($F987&lt;&gt;"",$F987,"")</f>
        <v>Apprenant 975 ou 975'</v>
      </c>
      <c r="AB987" s="53" t="str">
        <f aca="false">IF(AND(OR('Choix pédagogiques'!$C$3=1,'Choix pédagogiques'!$C$3=2),$BN987=1),G987,IF(AND('Choix pédagogiques'!$C$3=3,$BO987=1),G987,""))</f>
        <v/>
      </c>
      <c r="AC987" s="53" t="str">
        <f aca="false">IF(AND(OR('Choix pédagogiques'!$C$3=1,'Choix pédagogiques'!$C$3=2),$BN987=1),H987,IF(AND('Choix pédagogiques'!$C$3=3,$BO987=1),H987,""))</f>
        <v/>
      </c>
      <c r="AD987" s="53" t="str">
        <f aca="false">IF(AND(OR('Choix pédagogiques'!$C$3=1,'Choix pédagogiques'!$C$3=2),$BN987=1),I987,IF(AND('Choix pédagogiques'!$C$3=3,$BO987=1),I987,""))</f>
        <v/>
      </c>
      <c r="AE987" s="53" t="str">
        <f aca="false">IF($J987&lt;&gt;"",$J987,"")</f>
        <v/>
      </c>
      <c r="AF987" s="52" t="str">
        <f aca="false">IF($A987&lt;&gt;"",$A987,"")</f>
        <v>Apprenant 975</v>
      </c>
      <c r="AG987" s="53" t="str">
        <f aca="false">IF(AND($W987&lt;&gt;"",$X987&lt;&gt;""),$X987-$W987,"")</f>
        <v/>
      </c>
      <c r="AH987" s="53" t="str">
        <f aca="false">IF(AND($W987&lt;&gt;"",$Y987&lt;&gt;""),$Y987-$W987,"")</f>
        <v/>
      </c>
      <c r="AI987" s="53" t="str">
        <f aca="false">IF(AND($X987&lt;&gt;"",$Y987&lt;&gt;""),$Y987-$X987,"")</f>
        <v/>
      </c>
      <c r="AJ987" s="53" t="str">
        <f aca="false">IF($E987&lt;&gt;"",$E987,"")</f>
        <v/>
      </c>
      <c r="AK987" s="52" t="str">
        <f aca="false">IF($F987&lt;&gt;"",$F987,"")</f>
        <v>Apprenant 975 ou 975'</v>
      </c>
      <c r="AL987" s="53" t="str">
        <f aca="false">IF(AND($AB987&lt;&gt;"",$AC987&lt;&gt;""),$AC987-$AB987,"")</f>
        <v/>
      </c>
      <c r="AM987" s="53" t="str">
        <f aca="false">IF(AND($AB987&lt;&gt;"",$AD987&lt;&gt;""),$AD987-$AB987,"")</f>
        <v/>
      </c>
      <c r="AN987" s="53" t="str">
        <f aca="false">IF(AND($AC987&lt;&gt;"",$AD987&lt;&gt;""),$AD987-$AC987,"")</f>
        <v/>
      </c>
      <c r="AO987" s="53" t="str">
        <f aca="false">IF($J987&lt;&gt;"",$J987,"")</f>
        <v/>
      </c>
      <c r="AQ987" s="52" t="str">
        <f aca="false">IF($A987&lt;&gt;"",$A987,"")</f>
        <v>Apprenant 975</v>
      </c>
      <c r="AR987" s="55" t="str">
        <f aca="false">IF(AND('Choix pédagogiques'!$C$4&lt;&gt;"?",'Choix pédagogiques'!$C$5&lt;&gt;"?",W987&lt;&gt;""),(W987-'Choix pédagogiques'!$C$4)/('Choix pédagogiques'!$C$5-'Choix pédagogiques'!$C$4),"")</f>
        <v/>
      </c>
      <c r="AS987" s="55" t="str">
        <f aca="false">IF(AND('Choix pédagogiques'!$C$4&lt;&gt;"?",'Choix pédagogiques'!$C$5&lt;&gt;"?",X987&lt;&gt;""),(X987-'Choix pédagogiques'!$C$4)/('Choix pédagogiques'!$C$5-'Choix pédagogiques'!$C$4),"")</f>
        <v/>
      </c>
      <c r="AT987" s="55" t="str">
        <f aca="false">IF(AND('Choix pédagogiques'!$C$4&lt;&gt;"?",'Choix pédagogiques'!$C$5&lt;&gt;"?",Y987&lt;&gt;""),(Y987-'Choix pédagogiques'!$C$4)/('Choix pédagogiques'!$C$5-'Choix pédagogiques'!$C$4),"")</f>
        <v/>
      </c>
      <c r="AU987" s="53" t="str">
        <f aca="false">IF($E987&lt;&gt;"",$E987,"")</f>
        <v/>
      </c>
      <c r="AV987" s="52" t="str">
        <f aca="false">IF($F987&lt;&gt;"",$F987,"")</f>
        <v>Apprenant 975 ou 975'</v>
      </c>
      <c r="AW987" s="55" t="str">
        <f aca="false">IF(AND('Choix pédagogiques'!$C$4&lt;&gt;"?",'Choix pédagogiques'!$C$5&lt;&gt;"?",AB987&lt;&gt;""),(AB987-'Choix pédagogiques'!$C$4)/('Choix pédagogiques'!$C$5-'Choix pédagogiques'!$C$4),"")</f>
        <v/>
      </c>
      <c r="AX987" s="55" t="str">
        <f aca="false">IF(AND('Choix pédagogiques'!$C$4&lt;&gt;"?",'Choix pédagogiques'!$C$5&lt;&gt;"?",AC987&lt;&gt;""),(AC987-'Choix pédagogiques'!$C$4)/('Choix pédagogiques'!$C$5-'Choix pédagogiques'!$C$4),"")</f>
        <v/>
      </c>
      <c r="AY987" s="55" t="str">
        <f aca="false">IF(AND('Choix pédagogiques'!$C$4&lt;&gt;"?",'Choix pédagogiques'!$C$5&lt;&gt;"?",AD987&lt;&gt;""),(AD987-'Choix pédagogiques'!$C$4)/('Choix pédagogiques'!$C$5-'Choix pédagogiques'!$C$4),"")</f>
        <v/>
      </c>
      <c r="AZ987" s="53" t="str">
        <f aca="false">IF($J987&lt;&gt;"",$J987,"")</f>
        <v/>
      </c>
      <c r="BA987" s="52" t="str">
        <f aca="false">IF($A987&lt;&gt;"",$A987,"")</f>
        <v>Apprenant 975</v>
      </c>
      <c r="BB987" s="55" t="str">
        <f aca="false">IF(AND($AR987&lt;&gt;"",$AS987&lt;&gt;""),$AS987-$AR987,"")</f>
        <v/>
      </c>
      <c r="BC987" s="55" t="str">
        <f aca="false">IF(AND($AR987&lt;&gt;"",$AT987&lt;&gt;""),$AT987-$AR987,"")</f>
        <v/>
      </c>
      <c r="BD987" s="55" t="str">
        <f aca="false">IF(AND($AS987&lt;&gt;"",$AT987&lt;&gt;""),$AT987-$AS987,"")</f>
        <v/>
      </c>
      <c r="BE987" s="53" t="str">
        <f aca="false">IF($E987&lt;&gt;"",$E987,"")</f>
        <v/>
      </c>
      <c r="BF987" s="52" t="str">
        <f aca="false">IF($F987&lt;&gt;"",$F987,"")</f>
        <v>Apprenant 975 ou 975'</v>
      </c>
      <c r="BG987" s="55" t="str">
        <f aca="false">IF(AND($AW987&lt;&gt;"",$AX987&lt;&gt;""),$AX987-$AW987,"")</f>
        <v/>
      </c>
      <c r="BH987" s="55" t="str">
        <f aca="false">IF(AND($AW987&lt;&gt;"",$AY987&lt;&gt;""),$AY987-$AW987,"")</f>
        <v/>
      </c>
      <c r="BI987" s="55" t="str">
        <f aca="false">IF(AND($AX987&lt;&gt;"",$AY987&lt;&gt;""),$AY987-$AX987,"")</f>
        <v/>
      </c>
      <c r="BJ987" s="53" t="str">
        <f aca="false">IF($J987&lt;&gt;"",$J987,"")</f>
        <v/>
      </c>
      <c r="BL987" s="52"/>
      <c r="BM987" s="52" t="str">
        <f aca="false">IF(OR(COUNT(B987:D1986)=0,AND('Choix pédagogiques'!$C$3&lt;&gt;1,'Choix pédagogiques'!$C$3&lt;&gt;2)),"",IF(AND(OR('Choix pédagogiques'!$C$3=1,'Choix pédagogiques'!$C$3=2),$B987&lt;&gt;"",$C987&lt;&gt;"",$D987&lt;&gt;""),1,0))</f>
        <v/>
      </c>
      <c r="BN987" s="52" t="str">
        <f aca="false">IF(OR(COUNT(G987:I1986)=0,AND('Choix pédagogiques'!$C$3&lt;&gt;1,'Choix pédagogiques'!$C$3&lt;&gt;2)),"",IF(AND(OR('Choix pédagogiques'!$C$3=1,'Choix pédagogiques'!$C$3=2),AND($G987&lt;&gt;"",$H987&lt;&gt;"",$I987&lt;&gt;"")),1,0))</f>
        <v/>
      </c>
      <c r="BO987" s="52" t="str">
        <f aca="false">IF(OR(COUNT(B987:D1986)=0,COUNT(G987:I1986)=0,'Choix pédagogiques'!C$3&lt;&gt;3),"",IF(AND('Choix pédagogiques'!$C$3=3,$B987&lt;&gt;"",$C987&lt;&gt;"",$D987&lt;&gt;"",$G987&lt;&gt;"",$H987&lt;&gt;"",$I987&lt;&gt;""),1,0))</f>
        <v/>
      </c>
      <c r="BR987" s="52" t="n">
        <v>946</v>
      </c>
      <c r="BS987" s="52" t="n">
        <v>1192</v>
      </c>
    </row>
    <row r="988" s="54" customFormat="true" ht="18" hidden="false" customHeight="true" outlineLevel="0" collapsed="false">
      <c r="A988" s="57" t="s">
        <v>1907</v>
      </c>
      <c r="B988" s="51"/>
      <c r="C988" s="51"/>
      <c r="D988" s="51"/>
      <c r="E988" s="51"/>
      <c r="F988" s="57" t="s">
        <v>1908</v>
      </c>
      <c r="G988" s="51"/>
      <c r="H988" s="51"/>
      <c r="I988" s="51"/>
      <c r="J988" s="51"/>
      <c r="K988" s="52" t="str">
        <f aca="false">IF($A988&lt;&gt;"",$A988,"")</f>
        <v>Apprenant 976</v>
      </c>
      <c r="L988" s="53" t="str">
        <f aca="false">IF(AND($B988&lt;&gt;"",$C988&lt;&gt;""),$C988-$B988,"")</f>
        <v/>
      </c>
      <c r="M988" s="53" t="str">
        <f aca="false">IF(AND($B988&lt;&gt;"",$D988&lt;&gt;""),$D988-$B988,"")</f>
        <v/>
      </c>
      <c r="N988" s="53" t="str">
        <f aca="false">IF(AND($C988&lt;&gt;"",$D988&lt;&gt;""),$D988-$C988,"")</f>
        <v/>
      </c>
      <c r="O988" s="53" t="str">
        <f aca="false">IF($E988&lt;&gt;"",$E988,"")</f>
        <v/>
      </c>
      <c r="P988" s="52" t="str">
        <f aca="false">IF($F988&lt;&gt;"",$F988,"")</f>
        <v>Apprenant 976 ou 976'</v>
      </c>
      <c r="Q988" s="53" t="str">
        <f aca="false">IF(AND($G988&lt;&gt;"",$H988&lt;&gt;""),$H988-$G988,"")</f>
        <v/>
      </c>
      <c r="R988" s="53" t="str">
        <f aca="false">IF(AND($G988&lt;&gt;"",$I988&lt;&gt;""),$I988-$G988,"")</f>
        <v/>
      </c>
      <c r="S988" s="53" t="str">
        <f aca="false">IF(AND($H988&lt;&gt;"",$I988&lt;&gt;""),$I988-$H988,"")</f>
        <v/>
      </c>
      <c r="T988" s="53" t="str">
        <f aca="false">IF($J988&lt;&gt;"",$J988,"")</f>
        <v/>
      </c>
      <c r="V988" s="52" t="str">
        <f aca="false">IF($A988&lt;&gt;"",$A988,"")</f>
        <v>Apprenant 976</v>
      </c>
      <c r="W988" s="53" t="str">
        <f aca="false">IF(AND(OR('Choix pédagogiques'!$C$3=1,'Choix pédagogiques'!$C$3=2),$BM988=1),B988,IF(AND('Choix pédagogiques'!$C$3=3,$BO988=1),B988,""))</f>
        <v/>
      </c>
      <c r="X988" s="53" t="str">
        <f aca="false">IF(AND(OR('Choix pédagogiques'!$C$3=1,'Choix pédagogiques'!$C$3=2),$BM988=1),C988,IF(AND('Choix pédagogiques'!$C$3=3,$BO988=1),C988,""))</f>
        <v/>
      </c>
      <c r="Y988" s="53" t="str">
        <f aca="false">IF(AND(OR('Choix pédagogiques'!$C$3=1,'Choix pédagogiques'!$C$3=2),$BM988=1),D988,IF(AND('Choix pédagogiques'!$C$3=3,$BO988=1),D988,""))</f>
        <v/>
      </c>
      <c r="Z988" s="53" t="str">
        <f aca="false">IF($E988&lt;&gt;"",$E988,"")</f>
        <v/>
      </c>
      <c r="AA988" s="52" t="str">
        <f aca="false">IF($F988&lt;&gt;"",$F988,"")</f>
        <v>Apprenant 976 ou 976'</v>
      </c>
      <c r="AB988" s="53" t="str">
        <f aca="false">IF(AND(OR('Choix pédagogiques'!$C$3=1,'Choix pédagogiques'!$C$3=2),$BN988=1),G988,IF(AND('Choix pédagogiques'!$C$3=3,$BO988=1),G988,""))</f>
        <v/>
      </c>
      <c r="AC988" s="53" t="str">
        <f aca="false">IF(AND(OR('Choix pédagogiques'!$C$3=1,'Choix pédagogiques'!$C$3=2),$BN988=1),H988,IF(AND('Choix pédagogiques'!$C$3=3,$BO988=1),H988,""))</f>
        <v/>
      </c>
      <c r="AD988" s="53" t="str">
        <f aca="false">IF(AND(OR('Choix pédagogiques'!$C$3=1,'Choix pédagogiques'!$C$3=2),$BN988=1),I988,IF(AND('Choix pédagogiques'!$C$3=3,$BO988=1),I988,""))</f>
        <v/>
      </c>
      <c r="AE988" s="53" t="str">
        <f aca="false">IF($J988&lt;&gt;"",$J988,"")</f>
        <v/>
      </c>
      <c r="AF988" s="52" t="str">
        <f aca="false">IF($A988&lt;&gt;"",$A988,"")</f>
        <v>Apprenant 976</v>
      </c>
      <c r="AG988" s="53" t="str">
        <f aca="false">IF(AND($W988&lt;&gt;"",$X988&lt;&gt;""),$X988-$W988,"")</f>
        <v/>
      </c>
      <c r="AH988" s="53" t="str">
        <f aca="false">IF(AND($W988&lt;&gt;"",$Y988&lt;&gt;""),$Y988-$W988,"")</f>
        <v/>
      </c>
      <c r="AI988" s="53" t="str">
        <f aca="false">IF(AND($X988&lt;&gt;"",$Y988&lt;&gt;""),$Y988-$X988,"")</f>
        <v/>
      </c>
      <c r="AJ988" s="53" t="str">
        <f aca="false">IF($E988&lt;&gt;"",$E988,"")</f>
        <v/>
      </c>
      <c r="AK988" s="52" t="str">
        <f aca="false">IF($F988&lt;&gt;"",$F988,"")</f>
        <v>Apprenant 976 ou 976'</v>
      </c>
      <c r="AL988" s="53" t="str">
        <f aca="false">IF(AND($AB988&lt;&gt;"",$AC988&lt;&gt;""),$AC988-$AB988,"")</f>
        <v/>
      </c>
      <c r="AM988" s="53" t="str">
        <f aca="false">IF(AND($AB988&lt;&gt;"",$AD988&lt;&gt;""),$AD988-$AB988,"")</f>
        <v/>
      </c>
      <c r="AN988" s="53" t="str">
        <f aca="false">IF(AND($AC988&lt;&gt;"",$AD988&lt;&gt;""),$AD988-$AC988,"")</f>
        <v/>
      </c>
      <c r="AO988" s="53" t="str">
        <f aca="false">IF($J988&lt;&gt;"",$J988,"")</f>
        <v/>
      </c>
      <c r="AQ988" s="52" t="str">
        <f aca="false">IF($A988&lt;&gt;"",$A988,"")</f>
        <v>Apprenant 976</v>
      </c>
      <c r="AR988" s="55" t="str">
        <f aca="false">IF(AND('Choix pédagogiques'!$C$4&lt;&gt;"?",'Choix pédagogiques'!$C$5&lt;&gt;"?",W988&lt;&gt;""),(W988-'Choix pédagogiques'!$C$4)/('Choix pédagogiques'!$C$5-'Choix pédagogiques'!$C$4),"")</f>
        <v/>
      </c>
      <c r="AS988" s="55" t="str">
        <f aca="false">IF(AND('Choix pédagogiques'!$C$4&lt;&gt;"?",'Choix pédagogiques'!$C$5&lt;&gt;"?",X988&lt;&gt;""),(X988-'Choix pédagogiques'!$C$4)/('Choix pédagogiques'!$C$5-'Choix pédagogiques'!$C$4),"")</f>
        <v/>
      </c>
      <c r="AT988" s="55" t="str">
        <f aca="false">IF(AND('Choix pédagogiques'!$C$4&lt;&gt;"?",'Choix pédagogiques'!$C$5&lt;&gt;"?",Y988&lt;&gt;""),(Y988-'Choix pédagogiques'!$C$4)/('Choix pédagogiques'!$C$5-'Choix pédagogiques'!$C$4),"")</f>
        <v/>
      </c>
      <c r="AU988" s="53" t="str">
        <f aca="false">IF($E988&lt;&gt;"",$E988,"")</f>
        <v/>
      </c>
      <c r="AV988" s="52" t="str">
        <f aca="false">IF($F988&lt;&gt;"",$F988,"")</f>
        <v>Apprenant 976 ou 976'</v>
      </c>
      <c r="AW988" s="55" t="str">
        <f aca="false">IF(AND('Choix pédagogiques'!$C$4&lt;&gt;"?",'Choix pédagogiques'!$C$5&lt;&gt;"?",AB988&lt;&gt;""),(AB988-'Choix pédagogiques'!$C$4)/('Choix pédagogiques'!$C$5-'Choix pédagogiques'!$C$4),"")</f>
        <v/>
      </c>
      <c r="AX988" s="55" t="str">
        <f aca="false">IF(AND('Choix pédagogiques'!$C$4&lt;&gt;"?",'Choix pédagogiques'!$C$5&lt;&gt;"?",AC988&lt;&gt;""),(AC988-'Choix pédagogiques'!$C$4)/('Choix pédagogiques'!$C$5-'Choix pédagogiques'!$C$4),"")</f>
        <v/>
      </c>
      <c r="AY988" s="55" t="str">
        <f aca="false">IF(AND('Choix pédagogiques'!$C$4&lt;&gt;"?",'Choix pédagogiques'!$C$5&lt;&gt;"?",AD988&lt;&gt;""),(AD988-'Choix pédagogiques'!$C$4)/('Choix pédagogiques'!$C$5-'Choix pédagogiques'!$C$4),"")</f>
        <v/>
      </c>
      <c r="AZ988" s="53" t="str">
        <f aca="false">IF($J988&lt;&gt;"",$J988,"")</f>
        <v/>
      </c>
      <c r="BA988" s="52" t="str">
        <f aca="false">IF($A988&lt;&gt;"",$A988,"")</f>
        <v>Apprenant 976</v>
      </c>
      <c r="BB988" s="55" t="str">
        <f aca="false">IF(AND($AR988&lt;&gt;"",$AS988&lt;&gt;""),$AS988-$AR988,"")</f>
        <v/>
      </c>
      <c r="BC988" s="55" t="str">
        <f aca="false">IF(AND($AR988&lt;&gt;"",$AT988&lt;&gt;""),$AT988-$AR988,"")</f>
        <v/>
      </c>
      <c r="BD988" s="55" t="str">
        <f aca="false">IF(AND($AS988&lt;&gt;"",$AT988&lt;&gt;""),$AT988-$AS988,"")</f>
        <v/>
      </c>
      <c r="BE988" s="53" t="str">
        <f aca="false">IF($E988&lt;&gt;"",$E988,"")</f>
        <v/>
      </c>
      <c r="BF988" s="52" t="str">
        <f aca="false">IF($F988&lt;&gt;"",$F988,"")</f>
        <v>Apprenant 976 ou 976'</v>
      </c>
      <c r="BG988" s="55" t="str">
        <f aca="false">IF(AND($AW988&lt;&gt;"",$AX988&lt;&gt;""),$AX988-$AW988,"")</f>
        <v/>
      </c>
      <c r="BH988" s="55" t="str">
        <f aca="false">IF(AND($AW988&lt;&gt;"",$AY988&lt;&gt;""),$AY988-$AW988,"")</f>
        <v/>
      </c>
      <c r="BI988" s="55" t="str">
        <f aca="false">IF(AND($AX988&lt;&gt;"",$AY988&lt;&gt;""),$AY988-$AX988,"")</f>
        <v/>
      </c>
      <c r="BJ988" s="53" t="str">
        <f aca="false">IF($J988&lt;&gt;"",$J988,"")</f>
        <v/>
      </c>
      <c r="BL988" s="52"/>
      <c r="BM988" s="52" t="str">
        <f aca="false">IF(OR(COUNT(B988:D1987)=0,AND('Choix pédagogiques'!$C$3&lt;&gt;1,'Choix pédagogiques'!$C$3&lt;&gt;2)),"",IF(AND(OR('Choix pédagogiques'!$C$3=1,'Choix pédagogiques'!$C$3=2),$B988&lt;&gt;"",$C988&lt;&gt;"",$D988&lt;&gt;""),1,0))</f>
        <v/>
      </c>
      <c r="BN988" s="52" t="str">
        <f aca="false">IF(OR(COUNT(G988:I1987)=0,AND('Choix pédagogiques'!$C$3&lt;&gt;1,'Choix pédagogiques'!$C$3&lt;&gt;2)),"",IF(AND(OR('Choix pédagogiques'!$C$3=1,'Choix pédagogiques'!$C$3=2),AND($G988&lt;&gt;"",$H988&lt;&gt;"",$I988&lt;&gt;"")),1,0))</f>
        <v/>
      </c>
      <c r="BO988" s="52" t="str">
        <f aca="false">IF(OR(COUNT(B988:D1987)=0,COUNT(G988:I1987)=0,'Choix pédagogiques'!C$3&lt;&gt;3),"",IF(AND('Choix pédagogiques'!$C$3=3,$B988&lt;&gt;"",$C988&lt;&gt;"",$D988&lt;&gt;"",$G988&lt;&gt;"",$H988&lt;&gt;"",$I988&lt;&gt;""),1,0))</f>
        <v/>
      </c>
      <c r="BR988" s="52" t="n">
        <v>291</v>
      </c>
      <c r="BS988" s="52" t="n">
        <v>1621</v>
      </c>
    </row>
    <row r="989" s="54" customFormat="true" ht="18" hidden="false" customHeight="true" outlineLevel="0" collapsed="false">
      <c r="A989" s="57" t="s">
        <v>1909</v>
      </c>
      <c r="B989" s="51"/>
      <c r="C989" s="51"/>
      <c r="D989" s="51"/>
      <c r="E989" s="51"/>
      <c r="F989" s="57" t="s">
        <v>1910</v>
      </c>
      <c r="G989" s="51"/>
      <c r="H989" s="51"/>
      <c r="I989" s="51"/>
      <c r="J989" s="51"/>
      <c r="K989" s="52" t="str">
        <f aca="false">IF($A989&lt;&gt;"",$A989,"")</f>
        <v>Apprenant 977</v>
      </c>
      <c r="L989" s="53" t="str">
        <f aca="false">IF(AND($B989&lt;&gt;"",$C989&lt;&gt;""),$C989-$B989,"")</f>
        <v/>
      </c>
      <c r="M989" s="53" t="str">
        <f aca="false">IF(AND($B989&lt;&gt;"",$D989&lt;&gt;""),$D989-$B989,"")</f>
        <v/>
      </c>
      <c r="N989" s="53" t="str">
        <f aca="false">IF(AND($C989&lt;&gt;"",$D989&lt;&gt;""),$D989-$C989,"")</f>
        <v/>
      </c>
      <c r="O989" s="53" t="str">
        <f aca="false">IF($E989&lt;&gt;"",$E989,"")</f>
        <v/>
      </c>
      <c r="P989" s="52" t="str">
        <f aca="false">IF($F989&lt;&gt;"",$F989,"")</f>
        <v>Apprenant 977 ou 977'</v>
      </c>
      <c r="Q989" s="53" t="str">
        <f aca="false">IF(AND($G989&lt;&gt;"",$H989&lt;&gt;""),$H989-$G989,"")</f>
        <v/>
      </c>
      <c r="R989" s="53" t="str">
        <f aca="false">IF(AND($G989&lt;&gt;"",$I989&lt;&gt;""),$I989-$G989,"")</f>
        <v/>
      </c>
      <c r="S989" s="53" t="str">
        <f aca="false">IF(AND($H989&lt;&gt;"",$I989&lt;&gt;""),$I989-$H989,"")</f>
        <v/>
      </c>
      <c r="T989" s="53" t="str">
        <f aca="false">IF($J989&lt;&gt;"",$J989,"")</f>
        <v/>
      </c>
      <c r="V989" s="52" t="str">
        <f aca="false">IF($A989&lt;&gt;"",$A989,"")</f>
        <v>Apprenant 977</v>
      </c>
      <c r="W989" s="53" t="str">
        <f aca="false">IF(AND(OR('Choix pédagogiques'!$C$3=1,'Choix pédagogiques'!$C$3=2),$BM989=1),B989,IF(AND('Choix pédagogiques'!$C$3=3,$BO989=1),B989,""))</f>
        <v/>
      </c>
      <c r="X989" s="53" t="str">
        <f aca="false">IF(AND(OR('Choix pédagogiques'!$C$3=1,'Choix pédagogiques'!$C$3=2),$BM989=1),C989,IF(AND('Choix pédagogiques'!$C$3=3,$BO989=1),C989,""))</f>
        <v/>
      </c>
      <c r="Y989" s="53" t="str">
        <f aca="false">IF(AND(OR('Choix pédagogiques'!$C$3=1,'Choix pédagogiques'!$C$3=2),$BM989=1),D989,IF(AND('Choix pédagogiques'!$C$3=3,$BO989=1),D989,""))</f>
        <v/>
      </c>
      <c r="Z989" s="53" t="str">
        <f aca="false">IF($E989&lt;&gt;"",$E989,"")</f>
        <v/>
      </c>
      <c r="AA989" s="52" t="str">
        <f aca="false">IF($F989&lt;&gt;"",$F989,"")</f>
        <v>Apprenant 977 ou 977'</v>
      </c>
      <c r="AB989" s="53" t="str">
        <f aca="false">IF(AND(OR('Choix pédagogiques'!$C$3=1,'Choix pédagogiques'!$C$3=2),$BN989=1),G989,IF(AND('Choix pédagogiques'!$C$3=3,$BO989=1),G989,""))</f>
        <v/>
      </c>
      <c r="AC989" s="53" t="str">
        <f aca="false">IF(AND(OR('Choix pédagogiques'!$C$3=1,'Choix pédagogiques'!$C$3=2),$BN989=1),H989,IF(AND('Choix pédagogiques'!$C$3=3,$BO989=1),H989,""))</f>
        <v/>
      </c>
      <c r="AD989" s="53" t="str">
        <f aca="false">IF(AND(OR('Choix pédagogiques'!$C$3=1,'Choix pédagogiques'!$C$3=2),$BN989=1),I989,IF(AND('Choix pédagogiques'!$C$3=3,$BO989=1),I989,""))</f>
        <v/>
      </c>
      <c r="AE989" s="53" t="str">
        <f aca="false">IF($J989&lt;&gt;"",$J989,"")</f>
        <v/>
      </c>
      <c r="AF989" s="52" t="str">
        <f aca="false">IF($A989&lt;&gt;"",$A989,"")</f>
        <v>Apprenant 977</v>
      </c>
      <c r="AG989" s="53" t="str">
        <f aca="false">IF(AND($W989&lt;&gt;"",$X989&lt;&gt;""),$X989-$W989,"")</f>
        <v/>
      </c>
      <c r="AH989" s="53" t="str">
        <f aca="false">IF(AND($W989&lt;&gt;"",$Y989&lt;&gt;""),$Y989-$W989,"")</f>
        <v/>
      </c>
      <c r="AI989" s="53" t="str">
        <f aca="false">IF(AND($X989&lt;&gt;"",$Y989&lt;&gt;""),$Y989-$X989,"")</f>
        <v/>
      </c>
      <c r="AJ989" s="53" t="str">
        <f aca="false">IF($E989&lt;&gt;"",$E989,"")</f>
        <v/>
      </c>
      <c r="AK989" s="52" t="str">
        <f aca="false">IF($F989&lt;&gt;"",$F989,"")</f>
        <v>Apprenant 977 ou 977'</v>
      </c>
      <c r="AL989" s="53" t="str">
        <f aca="false">IF(AND($AB989&lt;&gt;"",$AC989&lt;&gt;""),$AC989-$AB989,"")</f>
        <v/>
      </c>
      <c r="AM989" s="53" t="str">
        <f aca="false">IF(AND($AB989&lt;&gt;"",$AD989&lt;&gt;""),$AD989-$AB989,"")</f>
        <v/>
      </c>
      <c r="AN989" s="53" t="str">
        <f aca="false">IF(AND($AC989&lt;&gt;"",$AD989&lt;&gt;""),$AD989-$AC989,"")</f>
        <v/>
      </c>
      <c r="AO989" s="53" t="str">
        <f aca="false">IF($J989&lt;&gt;"",$J989,"")</f>
        <v/>
      </c>
      <c r="AQ989" s="52" t="str">
        <f aca="false">IF($A989&lt;&gt;"",$A989,"")</f>
        <v>Apprenant 977</v>
      </c>
      <c r="AR989" s="55" t="str">
        <f aca="false">IF(AND('Choix pédagogiques'!$C$4&lt;&gt;"?",'Choix pédagogiques'!$C$5&lt;&gt;"?",W989&lt;&gt;""),(W989-'Choix pédagogiques'!$C$4)/('Choix pédagogiques'!$C$5-'Choix pédagogiques'!$C$4),"")</f>
        <v/>
      </c>
      <c r="AS989" s="55" t="str">
        <f aca="false">IF(AND('Choix pédagogiques'!$C$4&lt;&gt;"?",'Choix pédagogiques'!$C$5&lt;&gt;"?",X989&lt;&gt;""),(X989-'Choix pédagogiques'!$C$4)/('Choix pédagogiques'!$C$5-'Choix pédagogiques'!$C$4),"")</f>
        <v/>
      </c>
      <c r="AT989" s="55" t="str">
        <f aca="false">IF(AND('Choix pédagogiques'!$C$4&lt;&gt;"?",'Choix pédagogiques'!$C$5&lt;&gt;"?",Y989&lt;&gt;""),(Y989-'Choix pédagogiques'!$C$4)/('Choix pédagogiques'!$C$5-'Choix pédagogiques'!$C$4),"")</f>
        <v/>
      </c>
      <c r="AU989" s="53" t="str">
        <f aca="false">IF($E989&lt;&gt;"",$E989,"")</f>
        <v/>
      </c>
      <c r="AV989" s="52" t="str">
        <f aca="false">IF($F989&lt;&gt;"",$F989,"")</f>
        <v>Apprenant 977 ou 977'</v>
      </c>
      <c r="AW989" s="55" t="str">
        <f aca="false">IF(AND('Choix pédagogiques'!$C$4&lt;&gt;"?",'Choix pédagogiques'!$C$5&lt;&gt;"?",AB989&lt;&gt;""),(AB989-'Choix pédagogiques'!$C$4)/('Choix pédagogiques'!$C$5-'Choix pédagogiques'!$C$4),"")</f>
        <v/>
      </c>
      <c r="AX989" s="55" t="str">
        <f aca="false">IF(AND('Choix pédagogiques'!$C$4&lt;&gt;"?",'Choix pédagogiques'!$C$5&lt;&gt;"?",AC989&lt;&gt;""),(AC989-'Choix pédagogiques'!$C$4)/('Choix pédagogiques'!$C$5-'Choix pédagogiques'!$C$4),"")</f>
        <v/>
      </c>
      <c r="AY989" s="55" t="str">
        <f aca="false">IF(AND('Choix pédagogiques'!$C$4&lt;&gt;"?",'Choix pédagogiques'!$C$5&lt;&gt;"?",AD989&lt;&gt;""),(AD989-'Choix pédagogiques'!$C$4)/('Choix pédagogiques'!$C$5-'Choix pédagogiques'!$C$4),"")</f>
        <v/>
      </c>
      <c r="AZ989" s="53" t="str">
        <f aca="false">IF($J989&lt;&gt;"",$J989,"")</f>
        <v/>
      </c>
      <c r="BA989" s="52" t="str">
        <f aca="false">IF($A989&lt;&gt;"",$A989,"")</f>
        <v>Apprenant 977</v>
      </c>
      <c r="BB989" s="55" t="str">
        <f aca="false">IF(AND($AR989&lt;&gt;"",$AS989&lt;&gt;""),$AS989-$AR989,"")</f>
        <v/>
      </c>
      <c r="BC989" s="55" t="str">
        <f aca="false">IF(AND($AR989&lt;&gt;"",$AT989&lt;&gt;""),$AT989-$AR989,"")</f>
        <v/>
      </c>
      <c r="BD989" s="55" t="str">
        <f aca="false">IF(AND($AS989&lt;&gt;"",$AT989&lt;&gt;""),$AT989-$AS989,"")</f>
        <v/>
      </c>
      <c r="BE989" s="53" t="str">
        <f aca="false">IF($E989&lt;&gt;"",$E989,"")</f>
        <v/>
      </c>
      <c r="BF989" s="52" t="str">
        <f aca="false">IF($F989&lt;&gt;"",$F989,"")</f>
        <v>Apprenant 977 ou 977'</v>
      </c>
      <c r="BG989" s="55" t="str">
        <f aca="false">IF(AND($AW989&lt;&gt;"",$AX989&lt;&gt;""),$AX989-$AW989,"")</f>
        <v/>
      </c>
      <c r="BH989" s="55" t="str">
        <f aca="false">IF(AND($AW989&lt;&gt;"",$AY989&lt;&gt;""),$AY989-$AW989,"")</f>
        <v/>
      </c>
      <c r="BI989" s="55" t="str">
        <f aca="false">IF(AND($AX989&lt;&gt;"",$AY989&lt;&gt;""),$AY989-$AX989,"")</f>
        <v/>
      </c>
      <c r="BJ989" s="53" t="str">
        <f aca="false">IF($J989&lt;&gt;"",$J989,"")</f>
        <v/>
      </c>
      <c r="BL989" s="52"/>
      <c r="BM989" s="52" t="str">
        <f aca="false">IF(OR(COUNT(B989:D1988)=0,AND('Choix pédagogiques'!$C$3&lt;&gt;1,'Choix pédagogiques'!$C$3&lt;&gt;2)),"",IF(AND(OR('Choix pédagogiques'!$C$3=1,'Choix pédagogiques'!$C$3=2),$B989&lt;&gt;"",$C989&lt;&gt;"",$D989&lt;&gt;""),1,0))</f>
        <v/>
      </c>
      <c r="BN989" s="52" t="str">
        <f aca="false">IF(OR(COUNT(G989:I1988)=0,AND('Choix pédagogiques'!$C$3&lt;&gt;1,'Choix pédagogiques'!$C$3&lt;&gt;2)),"",IF(AND(OR('Choix pédagogiques'!$C$3=1,'Choix pédagogiques'!$C$3=2),AND($G989&lt;&gt;"",$H989&lt;&gt;"",$I989&lt;&gt;"")),1,0))</f>
        <v/>
      </c>
      <c r="BO989" s="52" t="str">
        <f aca="false">IF(OR(COUNT(B989:D1988)=0,COUNT(G989:I1988)=0,'Choix pédagogiques'!C$3&lt;&gt;3),"",IF(AND('Choix pédagogiques'!$C$3=3,$B989&lt;&gt;"",$C989&lt;&gt;"",$D989&lt;&gt;"",$G989&lt;&gt;"",$H989&lt;&gt;"",$I989&lt;&gt;""),1,0))</f>
        <v/>
      </c>
      <c r="BR989" s="52" t="n">
        <v>519</v>
      </c>
      <c r="BS989" s="52" t="n">
        <v>1908</v>
      </c>
    </row>
    <row r="990" s="54" customFormat="true" ht="18" hidden="false" customHeight="true" outlineLevel="0" collapsed="false">
      <c r="A990" s="57" t="s">
        <v>1911</v>
      </c>
      <c r="B990" s="51"/>
      <c r="C990" s="51"/>
      <c r="D990" s="51"/>
      <c r="E990" s="51"/>
      <c r="F990" s="57" t="s">
        <v>1912</v>
      </c>
      <c r="G990" s="51"/>
      <c r="H990" s="51"/>
      <c r="I990" s="51"/>
      <c r="J990" s="51"/>
      <c r="K990" s="52" t="str">
        <f aca="false">IF($A990&lt;&gt;"",$A990,"")</f>
        <v>Apprenant 978</v>
      </c>
      <c r="L990" s="53" t="str">
        <f aca="false">IF(AND($B990&lt;&gt;"",$C990&lt;&gt;""),$C990-$B990,"")</f>
        <v/>
      </c>
      <c r="M990" s="53" t="str">
        <f aca="false">IF(AND($B990&lt;&gt;"",$D990&lt;&gt;""),$D990-$B990,"")</f>
        <v/>
      </c>
      <c r="N990" s="53" t="str">
        <f aca="false">IF(AND($C990&lt;&gt;"",$D990&lt;&gt;""),$D990-$C990,"")</f>
        <v/>
      </c>
      <c r="O990" s="53" t="str">
        <f aca="false">IF($E990&lt;&gt;"",$E990,"")</f>
        <v/>
      </c>
      <c r="P990" s="52" t="str">
        <f aca="false">IF($F990&lt;&gt;"",$F990,"")</f>
        <v>Apprenant 978 ou 978'</v>
      </c>
      <c r="Q990" s="53" t="str">
        <f aca="false">IF(AND($G990&lt;&gt;"",$H990&lt;&gt;""),$H990-$G990,"")</f>
        <v/>
      </c>
      <c r="R990" s="53" t="str">
        <f aca="false">IF(AND($G990&lt;&gt;"",$I990&lt;&gt;""),$I990-$G990,"")</f>
        <v/>
      </c>
      <c r="S990" s="53" t="str">
        <f aca="false">IF(AND($H990&lt;&gt;"",$I990&lt;&gt;""),$I990-$H990,"")</f>
        <v/>
      </c>
      <c r="T990" s="53" t="str">
        <f aca="false">IF($J990&lt;&gt;"",$J990,"")</f>
        <v/>
      </c>
      <c r="V990" s="52" t="str">
        <f aca="false">IF($A990&lt;&gt;"",$A990,"")</f>
        <v>Apprenant 978</v>
      </c>
      <c r="W990" s="53" t="str">
        <f aca="false">IF(AND(OR('Choix pédagogiques'!$C$3=1,'Choix pédagogiques'!$C$3=2),$BM990=1),B990,IF(AND('Choix pédagogiques'!$C$3=3,$BO990=1),B990,""))</f>
        <v/>
      </c>
      <c r="X990" s="53" t="str">
        <f aca="false">IF(AND(OR('Choix pédagogiques'!$C$3=1,'Choix pédagogiques'!$C$3=2),$BM990=1),C990,IF(AND('Choix pédagogiques'!$C$3=3,$BO990=1),C990,""))</f>
        <v/>
      </c>
      <c r="Y990" s="53" t="str">
        <f aca="false">IF(AND(OR('Choix pédagogiques'!$C$3=1,'Choix pédagogiques'!$C$3=2),$BM990=1),D990,IF(AND('Choix pédagogiques'!$C$3=3,$BO990=1),D990,""))</f>
        <v/>
      </c>
      <c r="Z990" s="53" t="str">
        <f aca="false">IF($E990&lt;&gt;"",$E990,"")</f>
        <v/>
      </c>
      <c r="AA990" s="52" t="str">
        <f aca="false">IF($F990&lt;&gt;"",$F990,"")</f>
        <v>Apprenant 978 ou 978'</v>
      </c>
      <c r="AB990" s="53" t="str">
        <f aca="false">IF(AND(OR('Choix pédagogiques'!$C$3=1,'Choix pédagogiques'!$C$3=2),$BN990=1),G990,IF(AND('Choix pédagogiques'!$C$3=3,$BO990=1),G990,""))</f>
        <v/>
      </c>
      <c r="AC990" s="53" t="str">
        <f aca="false">IF(AND(OR('Choix pédagogiques'!$C$3=1,'Choix pédagogiques'!$C$3=2),$BN990=1),H990,IF(AND('Choix pédagogiques'!$C$3=3,$BO990=1),H990,""))</f>
        <v/>
      </c>
      <c r="AD990" s="53" t="str">
        <f aca="false">IF(AND(OR('Choix pédagogiques'!$C$3=1,'Choix pédagogiques'!$C$3=2),$BN990=1),I990,IF(AND('Choix pédagogiques'!$C$3=3,$BO990=1),I990,""))</f>
        <v/>
      </c>
      <c r="AE990" s="53" t="str">
        <f aca="false">IF($J990&lt;&gt;"",$J990,"")</f>
        <v/>
      </c>
      <c r="AF990" s="52" t="str">
        <f aca="false">IF($A990&lt;&gt;"",$A990,"")</f>
        <v>Apprenant 978</v>
      </c>
      <c r="AG990" s="53" t="str">
        <f aca="false">IF(AND($W990&lt;&gt;"",$X990&lt;&gt;""),$X990-$W990,"")</f>
        <v/>
      </c>
      <c r="AH990" s="53" t="str">
        <f aca="false">IF(AND($W990&lt;&gt;"",$Y990&lt;&gt;""),$Y990-$W990,"")</f>
        <v/>
      </c>
      <c r="AI990" s="53" t="str">
        <f aca="false">IF(AND($X990&lt;&gt;"",$Y990&lt;&gt;""),$Y990-$X990,"")</f>
        <v/>
      </c>
      <c r="AJ990" s="53" t="str">
        <f aca="false">IF($E990&lt;&gt;"",$E990,"")</f>
        <v/>
      </c>
      <c r="AK990" s="52" t="str">
        <f aca="false">IF($F990&lt;&gt;"",$F990,"")</f>
        <v>Apprenant 978 ou 978'</v>
      </c>
      <c r="AL990" s="53" t="str">
        <f aca="false">IF(AND($AB990&lt;&gt;"",$AC990&lt;&gt;""),$AC990-$AB990,"")</f>
        <v/>
      </c>
      <c r="AM990" s="53" t="str">
        <f aca="false">IF(AND($AB990&lt;&gt;"",$AD990&lt;&gt;""),$AD990-$AB990,"")</f>
        <v/>
      </c>
      <c r="AN990" s="53" t="str">
        <f aca="false">IF(AND($AC990&lt;&gt;"",$AD990&lt;&gt;""),$AD990-$AC990,"")</f>
        <v/>
      </c>
      <c r="AO990" s="53" t="str">
        <f aca="false">IF($J990&lt;&gt;"",$J990,"")</f>
        <v/>
      </c>
      <c r="AQ990" s="52" t="str">
        <f aca="false">IF($A990&lt;&gt;"",$A990,"")</f>
        <v>Apprenant 978</v>
      </c>
      <c r="AR990" s="55" t="str">
        <f aca="false">IF(AND('Choix pédagogiques'!$C$4&lt;&gt;"?",'Choix pédagogiques'!$C$5&lt;&gt;"?",W990&lt;&gt;""),(W990-'Choix pédagogiques'!$C$4)/('Choix pédagogiques'!$C$5-'Choix pédagogiques'!$C$4),"")</f>
        <v/>
      </c>
      <c r="AS990" s="55" t="str">
        <f aca="false">IF(AND('Choix pédagogiques'!$C$4&lt;&gt;"?",'Choix pédagogiques'!$C$5&lt;&gt;"?",X990&lt;&gt;""),(X990-'Choix pédagogiques'!$C$4)/('Choix pédagogiques'!$C$5-'Choix pédagogiques'!$C$4),"")</f>
        <v/>
      </c>
      <c r="AT990" s="55" t="str">
        <f aca="false">IF(AND('Choix pédagogiques'!$C$4&lt;&gt;"?",'Choix pédagogiques'!$C$5&lt;&gt;"?",Y990&lt;&gt;""),(Y990-'Choix pédagogiques'!$C$4)/('Choix pédagogiques'!$C$5-'Choix pédagogiques'!$C$4),"")</f>
        <v/>
      </c>
      <c r="AU990" s="53" t="str">
        <f aca="false">IF($E990&lt;&gt;"",$E990,"")</f>
        <v/>
      </c>
      <c r="AV990" s="52" t="str">
        <f aca="false">IF($F990&lt;&gt;"",$F990,"")</f>
        <v>Apprenant 978 ou 978'</v>
      </c>
      <c r="AW990" s="55" t="str">
        <f aca="false">IF(AND('Choix pédagogiques'!$C$4&lt;&gt;"?",'Choix pédagogiques'!$C$5&lt;&gt;"?",AB990&lt;&gt;""),(AB990-'Choix pédagogiques'!$C$4)/('Choix pédagogiques'!$C$5-'Choix pédagogiques'!$C$4),"")</f>
        <v/>
      </c>
      <c r="AX990" s="55" t="str">
        <f aca="false">IF(AND('Choix pédagogiques'!$C$4&lt;&gt;"?",'Choix pédagogiques'!$C$5&lt;&gt;"?",AC990&lt;&gt;""),(AC990-'Choix pédagogiques'!$C$4)/('Choix pédagogiques'!$C$5-'Choix pédagogiques'!$C$4),"")</f>
        <v/>
      </c>
      <c r="AY990" s="55" t="str">
        <f aca="false">IF(AND('Choix pédagogiques'!$C$4&lt;&gt;"?",'Choix pédagogiques'!$C$5&lt;&gt;"?",AD990&lt;&gt;""),(AD990-'Choix pédagogiques'!$C$4)/('Choix pédagogiques'!$C$5-'Choix pédagogiques'!$C$4),"")</f>
        <v/>
      </c>
      <c r="AZ990" s="53" t="str">
        <f aca="false">IF($J990&lt;&gt;"",$J990,"")</f>
        <v/>
      </c>
      <c r="BA990" s="52" t="str">
        <f aca="false">IF($A990&lt;&gt;"",$A990,"")</f>
        <v>Apprenant 978</v>
      </c>
      <c r="BB990" s="55" t="str">
        <f aca="false">IF(AND($AR990&lt;&gt;"",$AS990&lt;&gt;""),$AS990-$AR990,"")</f>
        <v/>
      </c>
      <c r="BC990" s="55" t="str">
        <f aca="false">IF(AND($AR990&lt;&gt;"",$AT990&lt;&gt;""),$AT990-$AR990,"")</f>
        <v/>
      </c>
      <c r="BD990" s="55" t="str">
        <f aca="false">IF(AND($AS990&lt;&gt;"",$AT990&lt;&gt;""),$AT990-$AS990,"")</f>
        <v/>
      </c>
      <c r="BE990" s="53" t="str">
        <f aca="false">IF($E990&lt;&gt;"",$E990,"")</f>
        <v/>
      </c>
      <c r="BF990" s="52" t="str">
        <f aca="false">IF($F990&lt;&gt;"",$F990,"")</f>
        <v>Apprenant 978 ou 978'</v>
      </c>
      <c r="BG990" s="55" t="str">
        <f aca="false">IF(AND($AW990&lt;&gt;"",$AX990&lt;&gt;""),$AX990-$AW990,"")</f>
        <v/>
      </c>
      <c r="BH990" s="55" t="str">
        <f aca="false">IF(AND($AW990&lt;&gt;"",$AY990&lt;&gt;""),$AY990-$AW990,"")</f>
        <v/>
      </c>
      <c r="BI990" s="55" t="str">
        <f aca="false">IF(AND($AX990&lt;&gt;"",$AY990&lt;&gt;""),$AY990-$AX990,"")</f>
        <v/>
      </c>
      <c r="BJ990" s="53" t="str">
        <f aca="false">IF($J990&lt;&gt;"",$J990,"")</f>
        <v/>
      </c>
      <c r="BL990" s="52"/>
      <c r="BM990" s="52" t="str">
        <f aca="false">IF(OR(COUNT(B990:D1989)=0,AND('Choix pédagogiques'!$C$3&lt;&gt;1,'Choix pédagogiques'!$C$3&lt;&gt;2)),"",IF(AND(OR('Choix pédagogiques'!$C$3=1,'Choix pédagogiques'!$C$3=2),$B990&lt;&gt;"",$C990&lt;&gt;"",$D990&lt;&gt;""),1,0))</f>
        <v/>
      </c>
      <c r="BN990" s="52" t="str">
        <f aca="false">IF(OR(COUNT(G990:I1989)=0,AND('Choix pédagogiques'!$C$3&lt;&gt;1,'Choix pédagogiques'!$C$3&lt;&gt;2)),"",IF(AND(OR('Choix pédagogiques'!$C$3=1,'Choix pédagogiques'!$C$3=2),AND($G990&lt;&gt;"",$H990&lt;&gt;"",$I990&lt;&gt;"")),1,0))</f>
        <v/>
      </c>
      <c r="BO990" s="52" t="str">
        <f aca="false">IF(OR(COUNT(B990:D1989)=0,COUNT(G990:I1989)=0,'Choix pédagogiques'!C$3&lt;&gt;3),"",IF(AND('Choix pédagogiques'!$C$3=3,$B990&lt;&gt;"",$C990&lt;&gt;"",$D990&lt;&gt;"",$G990&lt;&gt;"",$H990&lt;&gt;"",$I990&lt;&gt;""),1,0))</f>
        <v/>
      </c>
      <c r="BR990" s="52" t="n">
        <v>289</v>
      </c>
      <c r="BS990" s="52" t="n">
        <v>1306</v>
      </c>
    </row>
    <row r="991" s="54" customFormat="true" ht="18" hidden="false" customHeight="true" outlineLevel="0" collapsed="false">
      <c r="A991" s="57" t="s">
        <v>1913</v>
      </c>
      <c r="B991" s="51"/>
      <c r="C991" s="51"/>
      <c r="D991" s="51"/>
      <c r="E991" s="51"/>
      <c r="F991" s="57" t="s">
        <v>1914</v>
      </c>
      <c r="G991" s="51"/>
      <c r="H991" s="51"/>
      <c r="I991" s="51"/>
      <c r="J991" s="51"/>
      <c r="K991" s="52" t="str">
        <f aca="false">IF($A991&lt;&gt;"",$A991,"")</f>
        <v>Apprenant 979</v>
      </c>
      <c r="L991" s="53" t="str">
        <f aca="false">IF(AND($B991&lt;&gt;"",$C991&lt;&gt;""),$C991-$B991,"")</f>
        <v/>
      </c>
      <c r="M991" s="53" t="str">
        <f aca="false">IF(AND($B991&lt;&gt;"",$D991&lt;&gt;""),$D991-$B991,"")</f>
        <v/>
      </c>
      <c r="N991" s="53" t="str">
        <f aca="false">IF(AND($C991&lt;&gt;"",$D991&lt;&gt;""),$D991-$C991,"")</f>
        <v/>
      </c>
      <c r="O991" s="53" t="str">
        <f aca="false">IF($E991&lt;&gt;"",$E991,"")</f>
        <v/>
      </c>
      <c r="P991" s="52" t="str">
        <f aca="false">IF($F991&lt;&gt;"",$F991,"")</f>
        <v>Apprenant 979 ou 979'</v>
      </c>
      <c r="Q991" s="53" t="str">
        <f aca="false">IF(AND($G991&lt;&gt;"",$H991&lt;&gt;""),$H991-$G991,"")</f>
        <v/>
      </c>
      <c r="R991" s="53" t="str">
        <f aca="false">IF(AND($G991&lt;&gt;"",$I991&lt;&gt;""),$I991-$G991,"")</f>
        <v/>
      </c>
      <c r="S991" s="53" t="str">
        <f aca="false">IF(AND($H991&lt;&gt;"",$I991&lt;&gt;""),$I991-$H991,"")</f>
        <v/>
      </c>
      <c r="T991" s="53" t="str">
        <f aca="false">IF($J991&lt;&gt;"",$J991,"")</f>
        <v/>
      </c>
      <c r="V991" s="52" t="str">
        <f aca="false">IF($A991&lt;&gt;"",$A991,"")</f>
        <v>Apprenant 979</v>
      </c>
      <c r="W991" s="53" t="str">
        <f aca="false">IF(AND(OR('Choix pédagogiques'!$C$3=1,'Choix pédagogiques'!$C$3=2),$BM991=1),B991,IF(AND('Choix pédagogiques'!$C$3=3,$BO991=1),B991,""))</f>
        <v/>
      </c>
      <c r="X991" s="53" t="str">
        <f aca="false">IF(AND(OR('Choix pédagogiques'!$C$3=1,'Choix pédagogiques'!$C$3=2),$BM991=1),C991,IF(AND('Choix pédagogiques'!$C$3=3,$BO991=1),C991,""))</f>
        <v/>
      </c>
      <c r="Y991" s="53" t="str">
        <f aca="false">IF(AND(OR('Choix pédagogiques'!$C$3=1,'Choix pédagogiques'!$C$3=2),$BM991=1),D991,IF(AND('Choix pédagogiques'!$C$3=3,$BO991=1),D991,""))</f>
        <v/>
      </c>
      <c r="Z991" s="53" t="str">
        <f aca="false">IF($E991&lt;&gt;"",$E991,"")</f>
        <v/>
      </c>
      <c r="AA991" s="52" t="str">
        <f aca="false">IF($F991&lt;&gt;"",$F991,"")</f>
        <v>Apprenant 979 ou 979'</v>
      </c>
      <c r="AB991" s="53" t="str">
        <f aca="false">IF(AND(OR('Choix pédagogiques'!$C$3=1,'Choix pédagogiques'!$C$3=2),$BN991=1),G991,IF(AND('Choix pédagogiques'!$C$3=3,$BO991=1),G991,""))</f>
        <v/>
      </c>
      <c r="AC991" s="53" t="str">
        <f aca="false">IF(AND(OR('Choix pédagogiques'!$C$3=1,'Choix pédagogiques'!$C$3=2),$BN991=1),H991,IF(AND('Choix pédagogiques'!$C$3=3,$BO991=1),H991,""))</f>
        <v/>
      </c>
      <c r="AD991" s="53" t="str">
        <f aca="false">IF(AND(OR('Choix pédagogiques'!$C$3=1,'Choix pédagogiques'!$C$3=2),$BN991=1),I991,IF(AND('Choix pédagogiques'!$C$3=3,$BO991=1),I991,""))</f>
        <v/>
      </c>
      <c r="AE991" s="53" t="str">
        <f aca="false">IF($J991&lt;&gt;"",$J991,"")</f>
        <v/>
      </c>
      <c r="AF991" s="52" t="str">
        <f aca="false">IF($A991&lt;&gt;"",$A991,"")</f>
        <v>Apprenant 979</v>
      </c>
      <c r="AG991" s="53" t="str">
        <f aca="false">IF(AND($W991&lt;&gt;"",$X991&lt;&gt;""),$X991-$W991,"")</f>
        <v/>
      </c>
      <c r="AH991" s="53" t="str">
        <f aca="false">IF(AND($W991&lt;&gt;"",$Y991&lt;&gt;""),$Y991-$W991,"")</f>
        <v/>
      </c>
      <c r="AI991" s="53" t="str">
        <f aca="false">IF(AND($X991&lt;&gt;"",$Y991&lt;&gt;""),$Y991-$X991,"")</f>
        <v/>
      </c>
      <c r="AJ991" s="53" t="str">
        <f aca="false">IF($E991&lt;&gt;"",$E991,"")</f>
        <v/>
      </c>
      <c r="AK991" s="52" t="str">
        <f aca="false">IF($F991&lt;&gt;"",$F991,"")</f>
        <v>Apprenant 979 ou 979'</v>
      </c>
      <c r="AL991" s="53" t="str">
        <f aca="false">IF(AND($AB991&lt;&gt;"",$AC991&lt;&gt;""),$AC991-$AB991,"")</f>
        <v/>
      </c>
      <c r="AM991" s="53" t="str">
        <f aca="false">IF(AND($AB991&lt;&gt;"",$AD991&lt;&gt;""),$AD991-$AB991,"")</f>
        <v/>
      </c>
      <c r="AN991" s="53" t="str">
        <f aca="false">IF(AND($AC991&lt;&gt;"",$AD991&lt;&gt;""),$AD991-$AC991,"")</f>
        <v/>
      </c>
      <c r="AO991" s="53" t="str">
        <f aca="false">IF($J991&lt;&gt;"",$J991,"")</f>
        <v/>
      </c>
      <c r="AQ991" s="52" t="str">
        <f aca="false">IF($A991&lt;&gt;"",$A991,"")</f>
        <v>Apprenant 979</v>
      </c>
      <c r="AR991" s="55" t="str">
        <f aca="false">IF(AND('Choix pédagogiques'!$C$4&lt;&gt;"?",'Choix pédagogiques'!$C$5&lt;&gt;"?",W991&lt;&gt;""),(W991-'Choix pédagogiques'!$C$4)/('Choix pédagogiques'!$C$5-'Choix pédagogiques'!$C$4),"")</f>
        <v/>
      </c>
      <c r="AS991" s="55" t="str">
        <f aca="false">IF(AND('Choix pédagogiques'!$C$4&lt;&gt;"?",'Choix pédagogiques'!$C$5&lt;&gt;"?",X991&lt;&gt;""),(X991-'Choix pédagogiques'!$C$4)/('Choix pédagogiques'!$C$5-'Choix pédagogiques'!$C$4),"")</f>
        <v/>
      </c>
      <c r="AT991" s="55" t="str">
        <f aca="false">IF(AND('Choix pédagogiques'!$C$4&lt;&gt;"?",'Choix pédagogiques'!$C$5&lt;&gt;"?",Y991&lt;&gt;""),(Y991-'Choix pédagogiques'!$C$4)/('Choix pédagogiques'!$C$5-'Choix pédagogiques'!$C$4),"")</f>
        <v/>
      </c>
      <c r="AU991" s="53" t="str">
        <f aca="false">IF($E991&lt;&gt;"",$E991,"")</f>
        <v/>
      </c>
      <c r="AV991" s="52" t="str">
        <f aca="false">IF($F991&lt;&gt;"",$F991,"")</f>
        <v>Apprenant 979 ou 979'</v>
      </c>
      <c r="AW991" s="55" t="str">
        <f aca="false">IF(AND('Choix pédagogiques'!$C$4&lt;&gt;"?",'Choix pédagogiques'!$C$5&lt;&gt;"?",AB991&lt;&gt;""),(AB991-'Choix pédagogiques'!$C$4)/('Choix pédagogiques'!$C$5-'Choix pédagogiques'!$C$4),"")</f>
        <v/>
      </c>
      <c r="AX991" s="55" t="str">
        <f aca="false">IF(AND('Choix pédagogiques'!$C$4&lt;&gt;"?",'Choix pédagogiques'!$C$5&lt;&gt;"?",AC991&lt;&gt;""),(AC991-'Choix pédagogiques'!$C$4)/('Choix pédagogiques'!$C$5-'Choix pédagogiques'!$C$4),"")</f>
        <v/>
      </c>
      <c r="AY991" s="55" t="str">
        <f aca="false">IF(AND('Choix pédagogiques'!$C$4&lt;&gt;"?",'Choix pédagogiques'!$C$5&lt;&gt;"?",AD991&lt;&gt;""),(AD991-'Choix pédagogiques'!$C$4)/('Choix pédagogiques'!$C$5-'Choix pédagogiques'!$C$4),"")</f>
        <v/>
      </c>
      <c r="AZ991" s="53" t="str">
        <f aca="false">IF($J991&lt;&gt;"",$J991,"")</f>
        <v/>
      </c>
      <c r="BA991" s="52" t="str">
        <f aca="false">IF($A991&lt;&gt;"",$A991,"")</f>
        <v>Apprenant 979</v>
      </c>
      <c r="BB991" s="55" t="str">
        <f aca="false">IF(AND($AR991&lt;&gt;"",$AS991&lt;&gt;""),$AS991-$AR991,"")</f>
        <v/>
      </c>
      <c r="BC991" s="55" t="str">
        <f aca="false">IF(AND($AR991&lt;&gt;"",$AT991&lt;&gt;""),$AT991-$AR991,"")</f>
        <v/>
      </c>
      <c r="BD991" s="55" t="str">
        <f aca="false">IF(AND($AS991&lt;&gt;"",$AT991&lt;&gt;""),$AT991-$AS991,"")</f>
        <v/>
      </c>
      <c r="BE991" s="53" t="str">
        <f aca="false">IF($E991&lt;&gt;"",$E991,"")</f>
        <v/>
      </c>
      <c r="BF991" s="52" t="str">
        <f aca="false">IF($F991&lt;&gt;"",$F991,"")</f>
        <v>Apprenant 979 ou 979'</v>
      </c>
      <c r="BG991" s="55" t="str">
        <f aca="false">IF(AND($AW991&lt;&gt;"",$AX991&lt;&gt;""),$AX991-$AW991,"")</f>
        <v/>
      </c>
      <c r="BH991" s="55" t="str">
        <f aca="false">IF(AND($AW991&lt;&gt;"",$AY991&lt;&gt;""),$AY991-$AW991,"")</f>
        <v/>
      </c>
      <c r="BI991" s="55" t="str">
        <f aca="false">IF(AND($AX991&lt;&gt;"",$AY991&lt;&gt;""),$AY991-$AX991,"")</f>
        <v/>
      </c>
      <c r="BJ991" s="53" t="str">
        <f aca="false">IF($J991&lt;&gt;"",$J991,"")</f>
        <v/>
      </c>
      <c r="BL991" s="52"/>
      <c r="BM991" s="52" t="str">
        <f aca="false">IF(OR(COUNT(B991:D1990)=0,AND('Choix pédagogiques'!$C$3&lt;&gt;1,'Choix pédagogiques'!$C$3&lt;&gt;2)),"",IF(AND(OR('Choix pédagogiques'!$C$3=1,'Choix pédagogiques'!$C$3=2),$B991&lt;&gt;"",$C991&lt;&gt;"",$D991&lt;&gt;""),1,0))</f>
        <v/>
      </c>
      <c r="BN991" s="52" t="str">
        <f aca="false">IF(OR(COUNT(G991:I1990)=0,AND('Choix pédagogiques'!$C$3&lt;&gt;1,'Choix pédagogiques'!$C$3&lt;&gt;2)),"",IF(AND(OR('Choix pédagogiques'!$C$3=1,'Choix pédagogiques'!$C$3=2),AND($G991&lt;&gt;"",$H991&lt;&gt;"",$I991&lt;&gt;"")),1,0))</f>
        <v/>
      </c>
      <c r="BO991" s="52" t="str">
        <f aca="false">IF(OR(COUNT(B991:D1990)=0,COUNT(G991:I1990)=0,'Choix pédagogiques'!C$3&lt;&gt;3),"",IF(AND('Choix pédagogiques'!$C$3=3,$B991&lt;&gt;"",$C991&lt;&gt;"",$D991&lt;&gt;"",$G991&lt;&gt;"",$H991&lt;&gt;"",$I991&lt;&gt;""),1,0))</f>
        <v/>
      </c>
      <c r="BR991" s="52" t="n">
        <v>818</v>
      </c>
      <c r="BS991" s="52" t="n">
        <v>1060</v>
      </c>
    </row>
    <row r="992" s="54" customFormat="true" ht="18" hidden="false" customHeight="true" outlineLevel="0" collapsed="false">
      <c r="A992" s="57" t="s">
        <v>1915</v>
      </c>
      <c r="B992" s="51"/>
      <c r="C992" s="51"/>
      <c r="D992" s="51"/>
      <c r="E992" s="51"/>
      <c r="F992" s="57" t="s">
        <v>1916</v>
      </c>
      <c r="G992" s="51"/>
      <c r="H992" s="51"/>
      <c r="I992" s="51"/>
      <c r="J992" s="51"/>
      <c r="K992" s="52" t="str">
        <f aca="false">IF($A992&lt;&gt;"",$A992,"")</f>
        <v>Apprenant 980</v>
      </c>
      <c r="L992" s="53" t="str">
        <f aca="false">IF(AND($B992&lt;&gt;"",$C992&lt;&gt;""),$C992-$B992,"")</f>
        <v/>
      </c>
      <c r="M992" s="53" t="str">
        <f aca="false">IF(AND($B992&lt;&gt;"",$D992&lt;&gt;""),$D992-$B992,"")</f>
        <v/>
      </c>
      <c r="N992" s="53" t="str">
        <f aca="false">IF(AND($C992&lt;&gt;"",$D992&lt;&gt;""),$D992-$C992,"")</f>
        <v/>
      </c>
      <c r="O992" s="53" t="str">
        <f aca="false">IF($E992&lt;&gt;"",$E992,"")</f>
        <v/>
      </c>
      <c r="P992" s="52" t="str">
        <f aca="false">IF($F992&lt;&gt;"",$F992,"")</f>
        <v>Apprenant 980 ou 980'</v>
      </c>
      <c r="Q992" s="53" t="str">
        <f aca="false">IF(AND($G992&lt;&gt;"",$H992&lt;&gt;""),$H992-$G992,"")</f>
        <v/>
      </c>
      <c r="R992" s="53" t="str">
        <f aca="false">IF(AND($G992&lt;&gt;"",$I992&lt;&gt;""),$I992-$G992,"")</f>
        <v/>
      </c>
      <c r="S992" s="53" t="str">
        <f aca="false">IF(AND($H992&lt;&gt;"",$I992&lt;&gt;""),$I992-$H992,"")</f>
        <v/>
      </c>
      <c r="T992" s="53" t="str">
        <f aca="false">IF($J992&lt;&gt;"",$J992,"")</f>
        <v/>
      </c>
      <c r="V992" s="52" t="str">
        <f aca="false">IF($A992&lt;&gt;"",$A992,"")</f>
        <v>Apprenant 980</v>
      </c>
      <c r="W992" s="53" t="str">
        <f aca="false">IF(AND(OR('Choix pédagogiques'!$C$3=1,'Choix pédagogiques'!$C$3=2),$BM992=1),B992,IF(AND('Choix pédagogiques'!$C$3=3,$BO992=1),B992,""))</f>
        <v/>
      </c>
      <c r="X992" s="53" t="str">
        <f aca="false">IF(AND(OR('Choix pédagogiques'!$C$3=1,'Choix pédagogiques'!$C$3=2),$BM992=1),C992,IF(AND('Choix pédagogiques'!$C$3=3,$BO992=1),C992,""))</f>
        <v/>
      </c>
      <c r="Y992" s="53" t="str">
        <f aca="false">IF(AND(OR('Choix pédagogiques'!$C$3=1,'Choix pédagogiques'!$C$3=2),$BM992=1),D992,IF(AND('Choix pédagogiques'!$C$3=3,$BO992=1),D992,""))</f>
        <v/>
      </c>
      <c r="Z992" s="53" t="str">
        <f aca="false">IF($E992&lt;&gt;"",$E992,"")</f>
        <v/>
      </c>
      <c r="AA992" s="52" t="str">
        <f aca="false">IF($F992&lt;&gt;"",$F992,"")</f>
        <v>Apprenant 980 ou 980'</v>
      </c>
      <c r="AB992" s="53" t="str">
        <f aca="false">IF(AND(OR('Choix pédagogiques'!$C$3=1,'Choix pédagogiques'!$C$3=2),$BN992=1),G992,IF(AND('Choix pédagogiques'!$C$3=3,$BO992=1),G992,""))</f>
        <v/>
      </c>
      <c r="AC992" s="53" t="str">
        <f aca="false">IF(AND(OR('Choix pédagogiques'!$C$3=1,'Choix pédagogiques'!$C$3=2),$BN992=1),H992,IF(AND('Choix pédagogiques'!$C$3=3,$BO992=1),H992,""))</f>
        <v/>
      </c>
      <c r="AD992" s="53" t="str">
        <f aca="false">IF(AND(OR('Choix pédagogiques'!$C$3=1,'Choix pédagogiques'!$C$3=2),$BN992=1),I992,IF(AND('Choix pédagogiques'!$C$3=3,$BO992=1),I992,""))</f>
        <v/>
      </c>
      <c r="AE992" s="53" t="str">
        <f aca="false">IF($J992&lt;&gt;"",$J992,"")</f>
        <v/>
      </c>
      <c r="AF992" s="52" t="str">
        <f aca="false">IF($A992&lt;&gt;"",$A992,"")</f>
        <v>Apprenant 980</v>
      </c>
      <c r="AG992" s="53" t="str">
        <f aca="false">IF(AND($W992&lt;&gt;"",$X992&lt;&gt;""),$X992-$W992,"")</f>
        <v/>
      </c>
      <c r="AH992" s="53" t="str">
        <f aca="false">IF(AND($W992&lt;&gt;"",$Y992&lt;&gt;""),$Y992-$W992,"")</f>
        <v/>
      </c>
      <c r="AI992" s="53" t="str">
        <f aca="false">IF(AND($X992&lt;&gt;"",$Y992&lt;&gt;""),$Y992-$X992,"")</f>
        <v/>
      </c>
      <c r="AJ992" s="53" t="str">
        <f aca="false">IF($E992&lt;&gt;"",$E992,"")</f>
        <v/>
      </c>
      <c r="AK992" s="52" t="str">
        <f aca="false">IF($F992&lt;&gt;"",$F992,"")</f>
        <v>Apprenant 980 ou 980'</v>
      </c>
      <c r="AL992" s="53" t="str">
        <f aca="false">IF(AND($AB992&lt;&gt;"",$AC992&lt;&gt;""),$AC992-$AB992,"")</f>
        <v/>
      </c>
      <c r="AM992" s="53" t="str">
        <f aca="false">IF(AND($AB992&lt;&gt;"",$AD992&lt;&gt;""),$AD992-$AB992,"")</f>
        <v/>
      </c>
      <c r="AN992" s="53" t="str">
        <f aca="false">IF(AND($AC992&lt;&gt;"",$AD992&lt;&gt;""),$AD992-$AC992,"")</f>
        <v/>
      </c>
      <c r="AO992" s="53" t="str">
        <f aca="false">IF($J992&lt;&gt;"",$J992,"")</f>
        <v/>
      </c>
      <c r="AQ992" s="52" t="str">
        <f aca="false">IF($A992&lt;&gt;"",$A992,"")</f>
        <v>Apprenant 980</v>
      </c>
      <c r="AR992" s="55" t="str">
        <f aca="false">IF(AND('Choix pédagogiques'!$C$4&lt;&gt;"?",'Choix pédagogiques'!$C$5&lt;&gt;"?",W992&lt;&gt;""),(W992-'Choix pédagogiques'!$C$4)/('Choix pédagogiques'!$C$5-'Choix pédagogiques'!$C$4),"")</f>
        <v/>
      </c>
      <c r="AS992" s="55" t="str">
        <f aca="false">IF(AND('Choix pédagogiques'!$C$4&lt;&gt;"?",'Choix pédagogiques'!$C$5&lt;&gt;"?",X992&lt;&gt;""),(X992-'Choix pédagogiques'!$C$4)/('Choix pédagogiques'!$C$5-'Choix pédagogiques'!$C$4),"")</f>
        <v/>
      </c>
      <c r="AT992" s="55" t="str">
        <f aca="false">IF(AND('Choix pédagogiques'!$C$4&lt;&gt;"?",'Choix pédagogiques'!$C$5&lt;&gt;"?",Y992&lt;&gt;""),(Y992-'Choix pédagogiques'!$C$4)/('Choix pédagogiques'!$C$5-'Choix pédagogiques'!$C$4),"")</f>
        <v/>
      </c>
      <c r="AU992" s="53" t="str">
        <f aca="false">IF($E992&lt;&gt;"",$E992,"")</f>
        <v/>
      </c>
      <c r="AV992" s="52" t="str">
        <f aca="false">IF($F992&lt;&gt;"",$F992,"")</f>
        <v>Apprenant 980 ou 980'</v>
      </c>
      <c r="AW992" s="55" t="str">
        <f aca="false">IF(AND('Choix pédagogiques'!$C$4&lt;&gt;"?",'Choix pédagogiques'!$C$5&lt;&gt;"?",AB992&lt;&gt;""),(AB992-'Choix pédagogiques'!$C$4)/('Choix pédagogiques'!$C$5-'Choix pédagogiques'!$C$4),"")</f>
        <v/>
      </c>
      <c r="AX992" s="55" t="str">
        <f aca="false">IF(AND('Choix pédagogiques'!$C$4&lt;&gt;"?",'Choix pédagogiques'!$C$5&lt;&gt;"?",AC992&lt;&gt;""),(AC992-'Choix pédagogiques'!$C$4)/('Choix pédagogiques'!$C$5-'Choix pédagogiques'!$C$4),"")</f>
        <v/>
      </c>
      <c r="AY992" s="55" t="str">
        <f aca="false">IF(AND('Choix pédagogiques'!$C$4&lt;&gt;"?",'Choix pédagogiques'!$C$5&lt;&gt;"?",AD992&lt;&gt;""),(AD992-'Choix pédagogiques'!$C$4)/('Choix pédagogiques'!$C$5-'Choix pédagogiques'!$C$4),"")</f>
        <v/>
      </c>
      <c r="AZ992" s="53" t="str">
        <f aca="false">IF($J992&lt;&gt;"",$J992,"")</f>
        <v/>
      </c>
      <c r="BA992" s="52" t="str">
        <f aca="false">IF($A992&lt;&gt;"",$A992,"")</f>
        <v>Apprenant 980</v>
      </c>
      <c r="BB992" s="55" t="str">
        <f aca="false">IF(AND($AR992&lt;&gt;"",$AS992&lt;&gt;""),$AS992-$AR992,"")</f>
        <v/>
      </c>
      <c r="BC992" s="55" t="str">
        <f aca="false">IF(AND($AR992&lt;&gt;"",$AT992&lt;&gt;""),$AT992-$AR992,"")</f>
        <v/>
      </c>
      <c r="BD992" s="55" t="str">
        <f aca="false">IF(AND($AS992&lt;&gt;"",$AT992&lt;&gt;""),$AT992-$AS992,"")</f>
        <v/>
      </c>
      <c r="BE992" s="53" t="str">
        <f aca="false">IF($E992&lt;&gt;"",$E992,"")</f>
        <v/>
      </c>
      <c r="BF992" s="52" t="str">
        <f aca="false">IF($F992&lt;&gt;"",$F992,"")</f>
        <v>Apprenant 980 ou 980'</v>
      </c>
      <c r="BG992" s="55" t="str">
        <f aca="false">IF(AND($AW992&lt;&gt;"",$AX992&lt;&gt;""),$AX992-$AW992,"")</f>
        <v/>
      </c>
      <c r="BH992" s="55" t="str">
        <f aca="false">IF(AND($AW992&lt;&gt;"",$AY992&lt;&gt;""),$AY992-$AW992,"")</f>
        <v/>
      </c>
      <c r="BI992" s="55" t="str">
        <f aca="false">IF(AND($AX992&lt;&gt;"",$AY992&lt;&gt;""),$AY992-$AX992,"")</f>
        <v/>
      </c>
      <c r="BJ992" s="53" t="str">
        <f aca="false">IF($J992&lt;&gt;"",$J992,"")</f>
        <v/>
      </c>
      <c r="BL992" s="52"/>
      <c r="BM992" s="52" t="str">
        <f aca="false">IF(OR(COUNT(B992:D1991)=0,AND('Choix pédagogiques'!$C$3&lt;&gt;1,'Choix pédagogiques'!$C$3&lt;&gt;2)),"",IF(AND(OR('Choix pédagogiques'!$C$3=1,'Choix pédagogiques'!$C$3=2),$B992&lt;&gt;"",$C992&lt;&gt;"",$D992&lt;&gt;""),1,0))</f>
        <v/>
      </c>
      <c r="BN992" s="52" t="str">
        <f aca="false">IF(OR(COUNT(G992:I1991)=0,AND('Choix pédagogiques'!$C$3&lt;&gt;1,'Choix pédagogiques'!$C$3&lt;&gt;2)),"",IF(AND(OR('Choix pédagogiques'!$C$3=1,'Choix pédagogiques'!$C$3=2),AND($G992&lt;&gt;"",$H992&lt;&gt;"",$I992&lt;&gt;"")),1,0))</f>
        <v/>
      </c>
      <c r="BO992" s="52" t="str">
        <f aca="false">IF(OR(COUNT(B992:D1991)=0,COUNT(G992:I1991)=0,'Choix pédagogiques'!C$3&lt;&gt;3),"",IF(AND('Choix pédagogiques'!$C$3=3,$B992&lt;&gt;"",$C992&lt;&gt;"",$D992&lt;&gt;"",$G992&lt;&gt;"",$H992&lt;&gt;"",$I992&lt;&gt;""),1,0))</f>
        <v/>
      </c>
      <c r="BR992" s="52" t="n">
        <v>489</v>
      </c>
      <c r="BS992" s="52" t="n">
        <v>1361</v>
      </c>
    </row>
    <row r="993" s="54" customFormat="true" ht="18" hidden="false" customHeight="true" outlineLevel="0" collapsed="false">
      <c r="A993" s="57" t="s">
        <v>1917</v>
      </c>
      <c r="B993" s="51"/>
      <c r="C993" s="51"/>
      <c r="D993" s="51"/>
      <c r="E993" s="51"/>
      <c r="F993" s="57" t="s">
        <v>1918</v>
      </c>
      <c r="G993" s="51"/>
      <c r="H993" s="51"/>
      <c r="I993" s="51"/>
      <c r="J993" s="51"/>
      <c r="K993" s="52" t="str">
        <f aca="false">IF($A993&lt;&gt;"",$A993,"")</f>
        <v>Apprenant 981</v>
      </c>
      <c r="L993" s="53" t="str">
        <f aca="false">IF(AND($B993&lt;&gt;"",$C993&lt;&gt;""),$C993-$B993,"")</f>
        <v/>
      </c>
      <c r="M993" s="53" t="str">
        <f aca="false">IF(AND($B993&lt;&gt;"",$D993&lt;&gt;""),$D993-$B993,"")</f>
        <v/>
      </c>
      <c r="N993" s="53" t="str">
        <f aca="false">IF(AND($C993&lt;&gt;"",$D993&lt;&gt;""),$D993-$C993,"")</f>
        <v/>
      </c>
      <c r="O993" s="53" t="str">
        <f aca="false">IF($E993&lt;&gt;"",$E993,"")</f>
        <v/>
      </c>
      <c r="P993" s="52" t="str">
        <f aca="false">IF($F993&lt;&gt;"",$F993,"")</f>
        <v>Apprenant 981 ou 981'</v>
      </c>
      <c r="Q993" s="53" t="str">
        <f aca="false">IF(AND($G993&lt;&gt;"",$H993&lt;&gt;""),$H993-$G993,"")</f>
        <v/>
      </c>
      <c r="R993" s="53" t="str">
        <f aca="false">IF(AND($G993&lt;&gt;"",$I993&lt;&gt;""),$I993-$G993,"")</f>
        <v/>
      </c>
      <c r="S993" s="53" t="str">
        <f aca="false">IF(AND($H993&lt;&gt;"",$I993&lt;&gt;""),$I993-$H993,"")</f>
        <v/>
      </c>
      <c r="T993" s="53" t="str">
        <f aca="false">IF($J993&lt;&gt;"",$J993,"")</f>
        <v/>
      </c>
      <c r="V993" s="52" t="str">
        <f aca="false">IF($A993&lt;&gt;"",$A993,"")</f>
        <v>Apprenant 981</v>
      </c>
      <c r="W993" s="53" t="str">
        <f aca="false">IF(AND(OR('Choix pédagogiques'!$C$3=1,'Choix pédagogiques'!$C$3=2),$BM993=1),B993,IF(AND('Choix pédagogiques'!$C$3=3,$BO993=1),B993,""))</f>
        <v/>
      </c>
      <c r="X993" s="53" t="str">
        <f aca="false">IF(AND(OR('Choix pédagogiques'!$C$3=1,'Choix pédagogiques'!$C$3=2),$BM993=1),C993,IF(AND('Choix pédagogiques'!$C$3=3,$BO993=1),C993,""))</f>
        <v/>
      </c>
      <c r="Y993" s="53" t="str">
        <f aca="false">IF(AND(OR('Choix pédagogiques'!$C$3=1,'Choix pédagogiques'!$C$3=2),$BM993=1),D993,IF(AND('Choix pédagogiques'!$C$3=3,$BO993=1),D993,""))</f>
        <v/>
      </c>
      <c r="Z993" s="53" t="str">
        <f aca="false">IF($E993&lt;&gt;"",$E993,"")</f>
        <v/>
      </c>
      <c r="AA993" s="52" t="str">
        <f aca="false">IF($F993&lt;&gt;"",$F993,"")</f>
        <v>Apprenant 981 ou 981'</v>
      </c>
      <c r="AB993" s="53" t="str">
        <f aca="false">IF(AND(OR('Choix pédagogiques'!$C$3=1,'Choix pédagogiques'!$C$3=2),$BN993=1),G993,IF(AND('Choix pédagogiques'!$C$3=3,$BO993=1),G993,""))</f>
        <v/>
      </c>
      <c r="AC993" s="53" t="str">
        <f aca="false">IF(AND(OR('Choix pédagogiques'!$C$3=1,'Choix pédagogiques'!$C$3=2),$BN993=1),H993,IF(AND('Choix pédagogiques'!$C$3=3,$BO993=1),H993,""))</f>
        <v/>
      </c>
      <c r="AD993" s="53" t="str">
        <f aca="false">IF(AND(OR('Choix pédagogiques'!$C$3=1,'Choix pédagogiques'!$C$3=2),$BN993=1),I993,IF(AND('Choix pédagogiques'!$C$3=3,$BO993=1),I993,""))</f>
        <v/>
      </c>
      <c r="AE993" s="53" t="str">
        <f aca="false">IF($J993&lt;&gt;"",$J993,"")</f>
        <v/>
      </c>
      <c r="AF993" s="52" t="str">
        <f aca="false">IF($A993&lt;&gt;"",$A993,"")</f>
        <v>Apprenant 981</v>
      </c>
      <c r="AG993" s="53" t="str">
        <f aca="false">IF(AND($W993&lt;&gt;"",$X993&lt;&gt;""),$X993-$W993,"")</f>
        <v/>
      </c>
      <c r="AH993" s="53" t="str">
        <f aca="false">IF(AND($W993&lt;&gt;"",$Y993&lt;&gt;""),$Y993-$W993,"")</f>
        <v/>
      </c>
      <c r="AI993" s="53" t="str">
        <f aca="false">IF(AND($X993&lt;&gt;"",$Y993&lt;&gt;""),$Y993-$X993,"")</f>
        <v/>
      </c>
      <c r="AJ993" s="53" t="str">
        <f aca="false">IF($E993&lt;&gt;"",$E993,"")</f>
        <v/>
      </c>
      <c r="AK993" s="52" t="str">
        <f aca="false">IF($F993&lt;&gt;"",$F993,"")</f>
        <v>Apprenant 981 ou 981'</v>
      </c>
      <c r="AL993" s="53" t="str">
        <f aca="false">IF(AND($AB993&lt;&gt;"",$AC993&lt;&gt;""),$AC993-$AB993,"")</f>
        <v/>
      </c>
      <c r="AM993" s="53" t="str">
        <f aca="false">IF(AND($AB993&lt;&gt;"",$AD993&lt;&gt;""),$AD993-$AB993,"")</f>
        <v/>
      </c>
      <c r="AN993" s="53" t="str">
        <f aca="false">IF(AND($AC993&lt;&gt;"",$AD993&lt;&gt;""),$AD993-$AC993,"")</f>
        <v/>
      </c>
      <c r="AO993" s="53" t="str">
        <f aca="false">IF($J993&lt;&gt;"",$J993,"")</f>
        <v/>
      </c>
      <c r="AQ993" s="52" t="str">
        <f aca="false">IF($A993&lt;&gt;"",$A993,"")</f>
        <v>Apprenant 981</v>
      </c>
      <c r="AR993" s="55" t="str">
        <f aca="false">IF(AND('Choix pédagogiques'!$C$4&lt;&gt;"?",'Choix pédagogiques'!$C$5&lt;&gt;"?",W993&lt;&gt;""),(W993-'Choix pédagogiques'!$C$4)/('Choix pédagogiques'!$C$5-'Choix pédagogiques'!$C$4),"")</f>
        <v/>
      </c>
      <c r="AS993" s="55" t="str">
        <f aca="false">IF(AND('Choix pédagogiques'!$C$4&lt;&gt;"?",'Choix pédagogiques'!$C$5&lt;&gt;"?",X993&lt;&gt;""),(X993-'Choix pédagogiques'!$C$4)/('Choix pédagogiques'!$C$5-'Choix pédagogiques'!$C$4),"")</f>
        <v/>
      </c>
      <c r="AT993" s="55" t="str">
        <f aca="false">IF(AND('Choix pédagogiques'!$C$4&lt;&gt;"?",'Choix pédagogiques'!$C$5&lt;&gt;"?",Y993&lt;&gt;""),(Y993-'Choix pédagogiques'!$C$4)/('Choix pédagogiques'!$C$5-'Choix pédagogiques'!$C$4),"")</f>
        <v/>
      </c>
      <c r="AU993" s="53" t="str">
        <f aca="false">IF($E993&lt;&gt;"",$E993,"")</f>
        <v/>
      </c>
      <c r="AV993" s="52" t="str">
        <f aca="false">IF($F993&lt;&gt;"",$F993,"")</f>
        <v>Apprenant 981 ou 981'</v>
      </c>
      <c r="AW993" s="55" t="str">
        <f aca="false">IF(AND('Choix pédagogiques'!$C$4&lt;&gt;"?",'Choix pédagogiques'!$C$5&lt;&gt;"?",AB993&lt;&gt;""),(AB993-'Choix pédagogiques'!$C$4)/('Choix pédagogiques'!$C$5-'Choix pédagogiques'!$C$4),"")</f>
        <v/>
      </c>
      <c r="AX993" s="55" t="str">
        <f aca="false">IF(AND('Choix pédagogiques'!$C$4&lt;&gt;"?",'Choix pédagogiques'!$C$5&lt;&gt;"?",AC993&lt;&gt;""),(AC993-'Choix pédagogiques'!$C$4)/('Choix pédagogiques'!$C$5-'Choix pédagogiques'!$C$4),"")</f>
        <v/>
      </c>
      <c r="AY993" s="55" t="str">
        <f aca="false">IF(AND('Choix pédagogiques'!$C$4&lt;&gt;"?",'Choix pédagogiques'!$C$5&lt;&gt;"?",AD993&lt;&gt;""),(AD993-'Choix pédagogiques'!$C$4)/('Choix pédagogiques'!$C$5-'Choix pédagogiques'!$C$4),"")</f>
        <v/>
      </c>
      <c r="AZ993" s="53" t="str">
        <f aca="false">IF($J993&lt;&gt;"",$J993,"")</f>
        <v/>
      </c>
      <c r="BA993" s="52" t="str">
        <f aca="false">IF($A993&lt;&gt;"",$A993,"")</f>
        <v>Apprenant 981</v>
      </c>
      <c r="BB993" s="55" t="str">
        <f aca="false">IF(AND($AR993&lt;&gt;"",$AS993&lt;&gt;""),$AS993-$AR993,"")</f>
        <v/>
      </c>
      <c r="BC993" s="55" t="str">
        <f aca="false">IF(AND($AR993&lt;&gt;"",$AT993&lt;&gt;""),$AT993-$AR993,"")</f>
        <v/>
      </c>
      <c r="BD993" s="55" t="str">
        <f aca="false">IF(AND($AS993&lt;&gt;"",$AT993&lt;&gt;""),$AT993-$AS993,"")</f>
        <v/>
      </c>
      <c r="BE993" s="53" t="str">
        <f aca="false">IF($E993&lt;&gt;"",$E993,"")</f>
        <v/>
      </c>
      <c r="BF993" s="52" t="str">
        <f aca="false">IF($F993&lt;&gt;"",$F993,"")</f>
        <v>Apprenant 981 ou 981'</v>
      </c>
      <c r="BG993" s="55" t="str">
        <f aca="false">IF(AND($AW993&lt;&gt;"",$AX993&lt;&gt;""),$AX993-$AW993,"")</f>
        <v/>
      </c>
      <c r="BH993" s="55" t="str">
        <f aca="false">IF(AND($AW993&lt;&gt;"",$AY993&lt;&gt;""),$AY993-$AW993,"")</f>
        <v/>
      </c>
      <c r="BI993" s="55" t="str">
        <f aca="false">IF(AND($AX993&lt;&gt;"",$AY993&lt;&gt;""),$AY993-$AX993,"")</f>
        <v/>
      </c>
      <c r="BJ993" s="53" t="str">
        <f aca="false">IF($J993&lt;&gt;"",$J993,"")</f>
        <v/>
      </c>
      <c r="BL993" s="52"/>
      <c r="BM993" s="52" t="str">
        <f aca="false">IF(OR(COUNT(B993:D1992)=0,AND('Choix pédagogiques'!$C$3&lt;&gt;1,'Choix pédagogiques'!$C$3&lt;&gt;2)),"",IF(AND(OR('Choix pédagogiques'!$C$3=1,'Choix pédagogiques'!$C$3=2),$B993&lt;&gt;"",$C993&lt;&gt;"",$D993&lt;&gt;""),1,0))</f>
        <v/>
      </c>
      <c r="BN993" s="52" t="str">
        <f aca="false">IF(OR(COUNT(G993:I1992)=0,AND('Choix pédagogiques'!$C$3&lt;&gt;1,'Choix pédagogiques'!$C$3&lt;&gt;2)),"",IF(AND(OR('Choix pédagogiques'!$C$3=1,'Choix pédagogiques'!$C$3=2),AND($G993&lt;&gt;"",$H993&lt;&gt;"",$I993&lt;&gt;"")),1,0))</f>
        <v/>
      </c>
      <c r="BO993" s="52" t="str">
        <f aca="false">IF(OR(COUNT(B993:D1992)=0,COUNT(G993:I1992)=0,'Choix pédagogiques'!C$3&lt;&gt;3),"",IF(AND('Choix pédagogiques'!$C$3=3,$B993&lt;&gt;"",$C993&lt;&gt;"",$D993&lt;&gt;"",$G993&lt;&gt;"",$H993&lt;&gt;"",$I993&lt;&gt;""),1,0))</f>
        <v/>
      </c>
      <c r="BR993" s="52" t="n">
        <v>735</v>
      </c>
      <c r="BS993" s="52" t="n">
        <v>1783</v>
      </c>
    </row>
    <row r="994" s="54" customFormat="true" ht="18" hidden="false" customHeight="true" outlineLevel="0" collapsed="false">
      <c r="A994" s="57" t="s">
        <v>1919</v>
      </c>
      <c r="B994" s="51"/>
      <c r="C994" s="51"/>
      <c r="D994" s="51"/>
      <c r="E994" s="51"/>
      <c r="F994" s="57" t="s">
        <v>1920</v>
      </c>
      <c r="G994" s="51"/>
      <c r="H994" s="51"/>
      <c r="I994" s="51"/>
      <c r="J994" s="51"/>
      <c r="K994" s="52" t="str">
        <f aca="false">IF($A994&lt;&gt;"",$A994,"")</f>
        <v>Apprenant 982</v>
      </c>
      <c r="L994" s="53" t="str">
        <f aca="false">IF(AND($B994&lt;&gt;"",$C994&lt;&gt;""),$C994-$B994,"")</f>
        <v/>
      </c>
      <c r="M994" s="53" t="str">
        <f aca="false">IF(AND($B994&lt;&gt;"",$D994&lt;&gt;""),$D994-$B994,"")</f>
        <v/>
      </c>
      <c r="N994" s="53" t="str">
        <f aca="false">IF(AND($C994&lt;&gt;"",$D994&lt;&gt;""),$D994-$C994,"")</f>
        <v/>
      </c>
      <c r="O994" s="53" t="str">
        <f aca="false">IF($E994&lt;&gt;"",$E994,"")</f>
        <v/>
      </c>
      <c r="P994" s="52" t="str">
        <f aca="false">IF($F994&lt;&gt;"",$F994,"")</f>
        <v>Apprenant 982 ou 982'</v>
      </c>
      <c r="Q994" s="53" t="str">
        <f aca="false">IF(AND($G994&lt;&gt;"",$H994&lt;&gt;""),$H994-$G994,"")</f>
        <v/>
      </c>
      <c r="R994" s="53" t="str">
        <f aca="false">IF(AND($G994&lt;&gt;"",$I994&lt;&gt;""),$I994-$G994,"")</f>
        <v/>
      </c>
      <c r="S994" s="53" t="str">
        <f aca="false">IF(AND($H994&lt;&gt;"",$I994&lt;&gt;""),$I994-$H994,"")</f>
        <v/>
      </c>
      <c r="T994" s="53" t="str">
        <f aca="false">IF($J994&lt;&gt;"",$J994,"")</f>
        <v/>
      </c>
      <c r="V994" s="52" t="str">
        <f aca="false">IF($A994&lt;&gt;"",$A994,"")</f>
        <v>Apprenant 982</v>
      </c>
      <c r="W994" s="53" t="str">
        <f aca="false">IF(AND(OR('Choix pédagogiques'!$C$3=1,'Choix pédagogiques'!$C$3=2),$BM994=1),B994,IF(AND('Choix pédagogiques'!$C$3=3,$BO994=1),B994,""))</f>
        <v/>
      </c>
      <c r="X994" s="53" t="str">
        <f aca="false">IF(AND(OR('Choix pédagogiques'!$C$3=1,'Choix pédagogiques'!$C$3=2),$BM994=1),C994,IF(AND('Choix pédagogiques'!$C$3=3,$BO994=1),C994,""))</f>
        <v/>
      </c>
      <c r="Y994" s="53" t="str">
        <f aca="false">IF(AND(OR('Choix pédagogiques'!$C$3=1,'Choix pédagogiques'!$C$3=2),$BM994=1),D994,IF(AND('Choix pédagogiques'!$C$3=3,$BO994=1),D994,""))</f>
        <v/>
      </c>
      <c r="Z994" s="53" t="str">
        <f aca="false">IF($E994&lt;&gt;"",$E994,"")</f>
        <v/>
      </c>
      <c r="AA994" s="52" t="str">
        <f aca="false">IF($F994&lt;&gt;"",$F994,"")</f>
        <v>Apprenant 982 ou 982'</v>
      </c>
      <c r="AB994" s="53" t="str">
        <f aca="false">IF(AND(OR('Choix pédagogiques'!$C$3=1,'Choix pédagogiques'!$C$3=2),$BN994=1),G994,IF(AND('Choix pédagogiques'!$C$3=3,$BO994=1),G994,""))</f>
        <v/>
      </c>
      <c r="AC994" s="53" t="str">
        <f aca="false">IF(AND(OR('Choix pédagogiques'!$C$3=1,'Choix pédagogiques'!$C$3=2),$BN994=1),H994,IF(AND('Choix pédagogiques'!$C$3=3,$BO994=1),H994,""))</f>
        <v/>
      </c>
      <c r="AD994" s="53" t="str">
        <f aca="false">IF(AND(OR('Choix pédagogiques'!$C$3=1,'Choix pédagogiques'!$C$3=2),$BN994=1),I994,IF(AND('Choix pédagogiques'!$C$3=3,$BO994=1),I994,""))</f>
        <v/>
      </c>
      <c r="AE994" s="53" t="str">
        <f aca="false">IF($J994&lt;&gt;"",$J994,"")</f>
        <v/>
      </c>
      <c r="AF994" s="52" t="str">
        <f aca="false">IF($A994&lt;&gt;"",$A994,"")</f>
        <v>Apprenant 982</v>
      </c>
      <c r="AG994" s="53" t="str">
        <f aca="false">IF(AND($W994&lt;&gt;"",$X994&lt;&gt;""),$X994-$W994,"")</f>
        <v/>
      </c>
      <c r="AH994" s="53" t="str">
        <f aca="false">IF(AND($W994&lt;&gt;"",$Y994&lt;&gt;""),$Y994-$W994,"")</f>
        <v/>
      </c>
      <c r="AI994" s="53" t="str">
        <f aca="false">IF(AND($X994&lt;&gt;"",$Y994&lt;&gt;""),$Y994-$X994,"")</f>
        <v/>
      </c>
      <c r="AJ994" s="53" t="str">
        <f aca="false">IF($E994&lt;&gt;"",$E994,"")</f>
        <v/>
      </c>
      <c r="AK994" s="52" t="str">
        <f aca="false">IF($F994&lt;&gt;"",$F994,"")</f>
        <v>Apprenant 982 ou 982'</v>
      </c>
      <c r="AL994" s="53" t="str">
        <f aca="false">IF(AND($AB994&lt;&gt;"",$AC994&lt;&gt;""),$AC994-$AB994,"")</f>
        <v/>
      </c>
      <c r="AM994" s="53" t="str">
        <f aca="false">IF(AND($AB994&lt;&gt;"",$AD994&lt;&gt;""),$AD994-$AB994,"")</f>
        <v/>
      </c>
      <c r="AN994" s="53" t="str">
        <f aca="false">IF(AND($AC994&lt;&gt;"",$AD994&lt;&gt;""),$AD994-$AC994,"")</f>
        <v/>
      </c>
      <c r="AO994" s="53" t="str">
        <f aca="false">IF($J994&lt;&gt;"",$J994,"")</f>
        <v/>
      </c>
      <c r="AQ994" s="52" t="str">
        <f aca="false">IF($A994&lt;&gt;"",$A994,"")</f>
        <v>Apprenant 982</v>
      </c>
      <c r="AR994" s="55" t="str">
        <f aca="false">IF(AND('Choix pédagogiques'!$C$4&lt;&gt;"?",'Choix pédagogiques'!$C$5&lt;&gt;"?",W994&lt;&gt;""),(W994-'Choix pédagogiques'!$C$4)/('Choix pédagogiques'!$C$5-'Choix pédagogiques'!$C$4),"")</f>
        <v/>
      </c>
      <c r="AS994" s="55" t="str">
        <f aca="false">IF(AND('Choix pédagogiques'!$C$4&lt;&gt;"?",'Choix pédagogiques'!$C$5&lt;&gt;"?",X994&lt;&gt;""),(X994-'Choix pédagogiques'!$C$4)/('Choix pédagogiques'!$C$5-'Choix pédagogiques'!$C$4),"")</f>
        <v/>
      </c>
      <c r="AT994" s="55" t="str">
        <f aca="false">IF(AND('Choix pédagogiques'!$C$4&lt;&gt;"?",'Choix pédagogiques'!$C$5&lt;&gt;"?",Y994&lt;&gt;""),(Y994-'Choix pédagogiques'!$C$4)/('Choix pédagogiques'!$C$5-'Choix pédagogiques'!$C$4),"")</f>
        <v/>
      </c>
      <c r="AU994" s="53" t="str">
        <f aca="false">IF($E994&lt;&gt;"",$E994,"")</f>
        <v/>
      </c>
      <c r="AV994" s="52" t="str">
        <f aca="false">IF($F994&lt;&gt;"",$F994,"")</f>
        <v>Apprenant 982 ou 982'</v>
      </c>
      <c r="AW994" s="55" t="str">
        <f aca="false">IF(AND('Choix pédagogiques'!$C$4&lt;&gt;"?",'Choix pédagogiques'!$C$5&lt;&gt;"?",AB994&lt;&gt;""),(AB994-'Choix pédagogiques'!$C$4)/('Choix pédagogiques'!$C$5-'Choix pédagogiques'!$C$4),"")</f>
        <v/>
      </c>
      <c r="AX994" s="55" t="str">
        <f aca="false">IF(AND('Choix pédagogiques'!$C$4&lt;&gt;"?",'Choix pédagogiques'!$C$5&lt;&gt;"?",AC994&lt;&gt;""),(AC994-'Choix pédagogiques'!$C$4)/('Choix pédagogiques'!$C$5-'Choix pédagogiques'!$C$4),"")</f>
        <v/>
      </c>
      <c r="AY994" s="55" t="str">
        <f aca="false">IF(AND('Choix pédagogiques'!$C$4&lt;&gt;"?",'Choix pédagogiques'!$C$5&lt;&gt;"?",AD994&lt;&gt;""),(AD994-'Choix pédagogiques'!$C$4)/('Choix pédagogiques'!$C$5-'Choix pédagogiques'!$C$4),"")</f>
        <v/>
      </c>
      <c r="AZ994" s="53" t="str">
        <f aca="false">IF($J994&lt;&gt;"",$J994,"")</f>
        <v/>
      </c>
      <c r="BA994" s="52" t="str">
        <f aca="false">IF($A994&lt;&gt;"",$A994,"")</f>
        <v>Apprenant 982</v>
      </c>
      <c r="BB994" s="55" t="str">
        <f aca="false">IF(AND($AR994&lt;&gt;"",$AS994&lt;&gt;""),$AS994-$AR994,"")</f>
        <v/>
      </c>
      <c r="BC994" s="55" t="str">
        <f aca="false">IF(AND($AR994&lt;&gt;"",$AT994&lt;&gt;""),$AT994-$AR994,"")</f>
        <v/>
      </c>
      <c r="BD994" s="55" t="str">
        <f aca="false">IF(AND($AS994&lt;&gt;"",$AT994&lt;&gt;""),$AT994-$AS994,"")</f>
        <v/>
      </c>
      <c r="BE994" s="53" t="str">
        <f aca="false">IF($E994&lt;&gt;"",$E994,"")</f>
        <v/>
      </c>
      <c r="BF994" s="52" t="str">
        <f aca="false">IF($F994&lt;&gt;"",$F994,"")</f>
        <v>Apprenant 982 ou 982'</v>
      </c>
      <c r="BG994" s="55" t="str">
        <f aca="false">IF(AND($AW994&lt;&gt;"",$AX994&lt;&gt;""),$AX994-$AW994,"")</f>
        <v/>
      </c>
      <c r="BH994" s="55" t="str">
        <f aca="false">IF(AND($AW994&lt;&gt;"",$AY994&lt;&gt;""),$AY994-$AW994,"")</f>
        <v/>
      </c>
      <c r="BI994" s="55" t="str">
        <f aca="false">IF(AND($AX994&lt;&gt;"",$AY994&lt;&gt;""),$AY994-$AX994,"")</f>
        <v/>
      </c>
      <c r="BJ994" s="53" t="str">
        <f aca="false">IF($J994&lt;&gt;"",$J994,"")</f>
        <v/>
      </c>
      <c r="BL994" s="52"/>
      <c r="BM994" s="52" t="str">
        <f aca="false">IF(OR(COUNT(B994:D1993)=0,AND('Choix pédagogiques'!$C$3&lt;&gt;1,'Choix pédagogiques'!$C$3&lt;&gt;2)),"",IF(AND(OR('Choix pédagogiques'!$C$3=1,'Choix pédagogiques'!$C$3=2),$B994&lt;&gt;"",$C994&lt;&gt;"",$D994&lt;&gt;""),1,0))</f>
        <v/>
      </c>
      <c r="BN994" s="52" t="str">
        <f aca="false">IF(OR(COUNT(G994:I1993)=0,AND('Choix pédagogiques'!$C$3&lt;&gt;1,'Choix pédagogiques'!$C$3&lt;&gt;2)),"",IF(AND(OR('Choix pédagogiques'!$C$3=1,'Choix pédagogiques'!$C$3=2),AND($G994&lt;&gt;"",$H994&lt;&gt;"",$I994&lt;&gt;"")),1,0))</f>
        <v/>
      </c>
      <c r="BO994" s="52" t="str">
        <f aca="false">IF(OR(COUNT(B994:D1993)=0,COUNT(G994:I1993)=0,'Choix pédagogiques'!C$3&lt;&gt;3),"",IF(AND('Choix pédagogiques'!$C$3=3,$B994&lt;&gt;"",$C994&lt;&gt;"",$D994&lt;&gt;"",$G994&lt;&gt;"",$H994&lt;&gt;"",$I994&lt;&gt;""),1,0))</f>
        <v/>
      </c>
      <c r="BR994" s="52" t="n">
        <v>863</v>
      </c>
      <c r="BS994" s="52" t="n">
        <v>1212</v>
      </c>
    </row>
    <row r="995" s="54" customFormat="true" ht="18" hidden="false" customHeight="true" outlineLevel="0" collapsed="false">
      <c r="A995" s="57" t="s">
        <v>1921</v>
      </c>
      <c r="B995" s="51"/>
      <c r="C995" s="51"/>
      <c r="D995" s="51"/>
      <c r="E995" s="51"/>
      <c r="F995" s="57" t="s">
        <v>1922</v>
      </c>
      <c r="G995" s="51"/>
      <c r="H995" s="51"/>
      <c r="I995" s="51"/>
      <c r="J995" s="51"/>
      <c r="K995" s="52" t="str">
        <f aca="false">IF($A995&lt;&gt;"",$A995,"")</f>
        <v>Apprenant 983</v>
      </c>
      <c r="L995" s="53" t="str">
        <f aca="false">IF(AND($B995&lt;&gt;"",$C995&lt;&gt;""),$C995-$B995,"")</f>
        <v/>
      </c>
      <c r="M995" s="53" t="str">
        <f aca="false">IF(AND($B995&lt;&gt;"",$D995&lt;&gt;""),$D995-$B995,"")</f>
        <v/>
      </c>
      <c r="N995" s="53" t="str">
        <f aca="false">IF(AND($C995&lt;&gt;"",$D995&lt;&gt;""),$D995-$C995,"")</f>
        <v/>
      </c>
      <c r="O995" s="53" t="str">
        <f aca="false">IF($E995&lt;&gt;"",$E995,"")</f>
        <v/>
      </c>
      <c r="P995" s="52" t="str">
        <f aca="false">IF($F995&lt;&gt;"",$F995,"")</f>
        <v>Apprenant 983 ou 983'</v>
      </c>
      <c r="Q995" s="53" t="str">
        <f aca="false">IF(AND($G995&lt;&gt;"",$H995&lt;&gt;""),$H995-$G995,"")</f>
        <v/>
      </c>
      <c r="R995" s="53" t="str">
        <f aca="false">IF(AND($G995&lt;&gt;"",$I995&lt;&gt;""),$I995-$G995,"")</f>
        <v/>
      </c>
      <c r="S995" s="53" t="str">
        <f aca="false">IF(AND($H995&lt;&gt;"",$I995&lt;&gt;""),$I995-$H995,"")</f>
        <v/>
      </c>
      <c r="T995" s="53" t="str">
        <f aca="false">IF($J995&lt;&gt;"",$J995,"")</f>
        <v/>
      </c>
      <c r="V995" s="52" t="str">
        <f aca="false">IF($A995&lt;&gt;"",$A995,"")</f>
        <v>Apprenant 983</v>
      </c>
      <c r="W995" s="53" t="str">
        <f aca="false">IF(AND(OR('Choix pédagogiques'!$C$3=1,'Choix pédagogiques'!$C$3=2),$BM995=1),B995,IF(AND('Choix pédagogiques'!$C$3=3,$BO995=1),B995,""))</f>
        <v/>
      </c>
      <c r="X995" s="53" t="str">
        <f aca="false">IF(AND(OR('Choix pédagogiques'!$C$3=1,'Choix pédagogiques'!$C$3=2),$BM995=1),C995,IF(AND('Choix pédagogiques'!$C$3=3,$BO995=1),C995,""))</f>
        <v/>
      </c>
      <c r="Y995" s="53" t="str">
        <f aca="false">IF(AND(OR('Choix pédagogiques'!$C$3=1,'Choix pédagogiques'!$C$3=2),$BM995=1),D995,IF(AND('Choix pédagogiques'!$C$3=3,$BO995=1),D995,""))</f>
        <v/>
      </c>
      <c r="Z995" s="53" t="str">
        <f aca="false">IF($E995&lt;&gt;"",$E995,"")</f>
        <v/>
      </c>
      <c r="AA995" s="52" t="str">
        <f aca="false">IF($F995&lt;&gt;"",$F995,"")</f>
        <v>Apprenant 983 ou 983'</v>
      </c>
      <c r="AB995" s="53" t="str">
        <f aca="false">IF(AND(OR('Choix pédagogiques'!$C$3=1,'Choix pédagogiques'!$C$3=2),$BN995=1),G995,IF(AND('Choix pédagogiques'!$C$3=3,$BO995=1),G995,""))</f>
        <v/>
      </c>
      <c r="AC995" s="53" t="str">
        <f aca="false">IF(AND(OR('Choix pédagogiques'!$C$3=1,'Choix pédagogiques'!$C$3=2),$BN995=1),H995,IF(AND('Choix pédagogiques'!$C$3=3,$BO995=1),H995,""))</f>
        <v/>
      </c>
      <c r="AD995" s="53" t="str">
        <f aca="false">IF(AND(OR('Choix pédagogiques'!$C$3=1,'Choix pédagogiques'!$C$3=2),$BN995=1),I995,IF(AND('Choix pédagogiques'!$C$3=3,$BO995=1),I995,""))</f>
        <v/>
      </c>
      <c r="AE995" s="53" t="str">
        <f aca="false">IF($J995&lt;&gt;"",$J995,"")</f>
        <v/>
      </c>
      <c r="AF995" s="52" t="str">
        <f aca="false">IF($A995&lt;&gt;"",$A995,"")</f>
        <v>Apprenant 983</v>
      </c>
      <c r="AG995" s="53" t="str">
        <f aca="false">IF(AND($W995&lt;&gt;"",$X995&lt;&gt;""),$X995-$W995,"")</f>
        <v/>
      </c>
      <c r="AH995" s="53" t="str">
        <f aca="false">IF(AND($W995&lt;&gt;"",$Y995&lt;&gt;""),$Y995-$W995,"")</f>
        <v/>
      </c>
      <c r="AI995" s="53" t="str">
        <f aca="false">IF(AND($X995&lt;&gt;"",$Y995&lt;&gt;""),$Y995-$X995,"")</f>
        <v/>
      </c>
      <c r="AJ995" s="53" t="str">
        <f aca="false">IF($E995&lt;&gt;"",$E995,"")</f>
        <v/>
      </c>
      <c r="AK995" s="52" t="str">
        <f aca="false">IF($F995&lt;&gt;"",$F995,"")</f>
        <v>Apprenant 983 ou 983'</v>
      </c>
      <c r="AL995" s="53" t="str">
        <f aca="false">IF(AND($AB995&lt;&gt;"",$AC995&lt;&gt;""),$AC995-$AB995,"")</f>
        <v/>
      </c>
      <c r="AM995" s="53" t="str">
        <f aca="false">IF(AND($AB995&lt;&gt;"",$AD995&lt;&gt;""),$AD995-$AB995,"")</f>
        <v/>
      </c>
      <c r="AN995" s="53" t="str">
        <f aca="false">IF(AND($AC995&lt;&gt;"",$AD995&lt;&gt;""),$AD995-$AC995,"")</f>
        <v/>
      </c>
      <c r="AO995" s="53" t="str">
        <f aca="false">IF($J995&lt;&gt;"",$J995,"")</f>
        <v/>
      </c>
      <c r="AQ995" s="52" t="str">
        <f aca="false">IF($A995&lt;&gt;"",$A995,"")</f>
        <v>Apprenant 983</v>
      </c>
      <c r="AR995" s="55" t="str">
        <f aca="false">IF(AND('Choix pédagogiques'!$C$4&lt;&gt;"?",'Choix pédagogiques'!$C$5&lt;&gt;"?",W995&lt;&gt;""),(W995-'Choix pédagogiques'!$C$4)/('Choix pédagogiques'!$C$5-'Choix pédagogiques'!$C$4),"")</f>
        <v/>
      </c>
      <c r="AS995" s="55" t="str">
        <f aca="false">IF(AND('Choix pédagogiques'!$C$4&lt;&gt;"?",'Choix pédagogiques'!$C$5&lt;&gt;"?",X995&lt;&gt;""),(X995-'Choix pédagogiques'!$C$4)/('Choix pédagogiques'!$C$5-'Choix pédagogiques'!$C$4),"")</f>
        <v/>
      </c>
      <c r="AT995" s="55" t="str">
        <f aca="false">IF(AND('Choix pédagogiques'!$C$4&lt;&gt;"?",'Choix pédagogiques'!$C$5&lt;&gt;"?",Y995&lt;&gt;""),(Y995-'Choix pédagogiques'!$C$4)/('Choix pédagogiques'!$C$5-'Choix pédagogiques'!$C$4),"")</f>
        <v/>
      </c>
      <c r="AU995" s="53" t="str">
        <f aca="false">IF($E995&lt;&gt;"",$E995,"")</f>
        <v/>
      </c>
      <c r="AV995" s="52" t="str">
        <f aca="false">IF($F995&lt;&gt;"",$F995,"")</f>
        <v>Apprenant 983 ou 983'</v>
      </c>
      <c r="AW995" s="55" t="str">
        <f aca="false">IF(AND('Choix pédagogiques'!$C$4&lt;&gt;"?",'Choix pédagogiques'!$C$5&lt;&gt;"?",AB995&lt;&gt;""),(AB995-'Choix pédagogiques'!$C$4)/('Choix pédagogiques'!$C$5-'Choix pédagogiques'!$C$4),"")</f>
        <v/>
      </c>
      <c r="AX995" s="55" t="str">
        <f aca="false">IF(AND('Choix pédagogiques'!$C$4&lt;&gt;"?",'Choix pédagogiques'!$C$5&lt;&gt;"?",AC995&lt;&gt;""),(AC995-'Choix pédagogiques'!$C$4)/('Choix pédagogiques'!$C$5-'Choix pédagogiques'!$C$4),"")</f>
        <v/>
      </c>
      <c r="AY995" s="55" t="str">
        <f aca="false">IF(AND('Choix pédagogiques'!$C$4&lt;&gt;"?",'Choix pédagogiques'!$C$5&lt;&gt;"?",AD995&lt;&gt;""),(AD995-'Choix pédagogiques'!$C$4)/('Choix pédagogiques'!$C$5-'Choix pédagogiques'!$C$4),"")</f>
        <v/>
      </c>
      <c r="AZ995" s="53" t="str">
        <f aca="false">IF($J995&lt;&gt;"",$J995,"")</f>
        <v/>
      </c>
      <c r="BA995" s="52" t="str">
        <f aca="false">IF($A995&lt;&gt;"",$A995,"")</f>
        <v>Apprenant 983</v>
      </c>
      <c r="BB995" s="55" t="str">
        <f aca="false">IF(AND($AR995&lt;&gt;"",$AS995&lt;&gt;""),$AS995-$AR995,"")</f>
        <v/>
      </c>
      <c r="BC995" s="55" t="str">
        <f aca="false">IF(AND($AR995&lt;&gt;"",$AT995&lt;&gt;""),$AT995-$AR995,"")</f>
        <v/>
      </c>
      <c r="BD995" s="55" t="str">
        <f aca="false">IF(AND($AS995&lt;&gt;"",$AT995&lt;&gt;""),$AT995-$AS995,"")</f>
        <v/>
      </c>
      <c r="BE995" s="53" t="str">
        <f aca="false">IF($E995&lt;&gt;"",$E995,"")</f>
        <v/>
      </c>
      <c r="BF995" s="52" t="str">
        <f aca="false">IF($F995&lt;&gt;"",$F995,"")</f>
        <v>Apprenant 983 ou 983'</v>
      </c>
      <c r="BG995" s="55" t="str">
        <f aca="false">IF(AND($AW995&lt;&gt;"",$AX995&lt;&gt;""),$AX995-$AW995,"")</f>
        <v/>
      </c>
      <c r="BH995" s="55" t="str">
        <f aca="false">IF(AND($AW995&lt;&gt;"",$AY995&lt;&gt;""),$AY995-$AW995,"")</f>
        <v/>
      </c>
      <c r="BI995" s="55" t="str">
        <f aca="false">IF(AND($AX995&lt;&gt;"",$AY995&lt;&gt;""),$AY995-$AX995,"")</f>
        <v/>
      </c>
      <c r="BJ995" s="53" t="str">
        <f aca="false">IF($J995&lt;&gt;"",$J995,"")</f>
        <v/>
      </c>
      <c r="BL995" s="52"/>
      <c r="BM995" s="52" t="str">
        <f aca="false">IF(OR(COUNT(B995:D1994)=0,AND('Choix pédagogiques'!$C$3&lt;&gt;1,'Choix pédagogiques'!$C$3&lt;&gt;2)),"",IF(AND(OR('Choix pédagogiques'!$C$3=1,'Choix pédagogiques'!$C$3=2),$B995&lt;&gt;"",$C995&lt;&gt;"",$D995&lt;&gt;""),1,0))</f>
        <v/>
      </c>
      <c r="BN995" s="52" t="str">
        <f aca="false">IF(OR(COUNT(G995:I1994)=0,AND('Choix pédagogiques'!$C$3&lt;&gt;1,'Choix pédagogiques'!$C$3&lt;&gt;2)),"",IF(AND(OR('Choix pédagogiques'!$C$3=1,'Choix pédagogiques'!$C$3=2),AND($G995&lt;&gt;"",$H995&lt;&gt;"",$I995&lt;&gt;"")),1,0))</f>
        <v/>
      </c>
      <c r="BO995" s="52" t="str">
        <f aca="false">IF(OR(COUNT(B995:D1994)=0,COUNT(G995:I1994)=0,'Choix pédagogiques'!C$3&lt;&gt;3),"",IF(AND('Choix pédagogiques'!$C$3=3,$B995&lt;&gt;"",$C995&lt;&gt;"",$D995&lt;&gt;"",$G995&lt;&gt;"",$H995&lt;&gt;"",$I995&lt;&gt;""),1,0))</f>
        <v/>
      </c>
      <c r="BR995" s="52" t="n">
        <v>347</v>
      </c>
      <c r="BS995" s="52" t="n">
        <v>1536</v>
      </c>
    </row>
    <row r="996" s="54" customFormat="true" ht="18" hidden="false" customHeight="true" outlineLevel="0" collapsed="false">
      <c r="A996" s="57" t="s">
        <v>1923</v>
      </c>
      <c r="B996" s="51"/>
      <c r="C996" s="51"/>
      <c r="D996" s="51"/>
      <c r="E996" s="51"/>
      <c r="F996" s="57" t="s">
        <v>1924</v>
      </c>
      <c r="G996" s="51"/>
      <c r="H996" s="51"/>
      <c r="I996" s="51"/>
      <c r="J996" s="51"/>
      <c r="K996" s="52" t="str">
        <f aca="false">IF($A996&lt;&gt;"",$A996,"")</f>
        <v>Apprenant 984</v>
      </c>
      <c r="L996" s="53" t="str">
        <f aca="false">IF(AND($B996&lt;&gt;"",$C996&lt;&gt;""),$C996-$B996,"")</f>
        <v/>
      </c>
      <c r="M996" s="53" t="str">
        <f aca="false">IF(AND($B996&lt;&gt;"",$D996&lt;&gt;""),$D996-$B996,"")</f>
        <v/>
      </c>
      <c r="N996" s="53" t="str">
        <f aca="false">IF(AND($C996&lt;&gt;"",$D996&lt;&gt;""),$D996-$C996,"")</f>
        <v/>
      </c>
      <c r="O996" s="53" t="str">
        <f aca="false">IF($E996&lt;&gt;"",$E996,"")</f>
        <v/>
      </c>
      <c r="P996" s="52" t="str">
        <f aca="false">IF($F996&lt;&gt;"",$F996,"")</f>
        <v>Apprenant 984 ou 984'</v>
      </c>
      <c r="Q996" s="53" t="str">
        <f aca="false">IF(AND($G996&lt;&gt;"",$H996&lt;&gt;""),$H996-$G996,"")</f>
        <v/>
      </c>
      <c r="R996" s="53" t="str">
        <f aca="false">IF(AND($G996&lt;&gt;"",$I996&lt;&gt;""),$I996-$G996,"")</f>
        <v/>
      </c>
      <c r="S996" s="53" t="str">
        <f aca="false">IF(AND($H996&lt;&gt;"",$I996&lt;&gt;""),$I996-$H996,"")</f>
        <v/>
      </c>
      <c r="T996" s="53" t="str">
        <f aca="false">IF($J996&lt;&gt;"",$J996,"")</f>
        <v/>
      </c>
      <c r="V996" s="52" t="str">
        <f aca="false">IF($A996&lt;&gt;"",$A996,"")</f>
        <v>Apprenant 984</v>
      </c>
      <c r="W996" s="53" t="str">
        <f aca="false">IF(AND(OR('Choix pédagogiques'!$C$3=1,'Choix pédagogiques'!$C$3=2),$BM996=1),B996,IF(AND('Choix pédagogiques'!$C$3=3,$BO996=1),B996,""))</f>
        <v/>
      </c>
      <c r="X996" s="53" t="str">
        <f aca="false">IF(AND(OR('Choix pédagogiques'!$C$3=1,'Choix pédagogiques'!$C$3=2),$BM996=1),C996,IF(AND('Choix pédagogiques'!$C$3=3,$BO996=1),C996,""))</f>
        <v/>
      </c>
      <c r="Y996" s="53" t="str">
        <f aca="false">IF(AND(OR('Choix pédagogiques'!$C$3=1,'Choix pédagogiques'!$C$3=2),$BM996=1),D996,IF(AND('Choix pédagogiques'!$C$3=3,$BO996=1),D996,""))</f>
        <v/>
      </c>
      <c r="Z996" s="53" t="str">
        <f aca="false">IF($E996&lt;&gt;"",$E996,"")</f>
        <v/>
      </c>
      <c r="AA996" s="52" t="str">
        <f aca="false">IF($F996&lt;&gt;"",$F996,"")</f>
        <v>Apprenant 984 ou 984'</v>
      </c>
      <c r="AB996" s="53" t="str">
        <f aca="false">IF(AND(OR('Choix pédagogiques'!$C$3=1,'Choix pédagogiques'!$C$3=2),$BN996=1),G996,IF(AND('Choix pédagogiques'!$C$3=3,$BO996=1),G996,""))</f>
        <v/>
      </c>
      <c r="AC996" s="53" t="str">
        <f aca="false">IF(AND(OR('Choix pédagogiques'!$C$3=1,'Choix pédagogiques'!$C$3=2),$BN996=1),H996,IF(AND('Choix pédagogiques'!$C$3=3,$BO996=1),H996,""))</f>
        <v/>
      </c>
      <c r="AD996" s="53" t="str">
        <f aca="false">IF(AND(OR('Choix pédagogiques'!$C$3=1,'Choix pédagogiques'!$C$3=2),$BN996=1),I996,IF(AND('Choix pédagogiques'!$C$3=3,$BO996=1),I996,""))</f>
        <v/>
      </c>
      <c r="AE996" s="53" t="str">
        <f aca="false">IF($J996&lt;&gt;"",$J996,"")</f>
        <v/>
      </c>
      <c r="AF996" s="52" t="str">
        <f aca="false">IF($A996&lt;&gt;"",$A996,"")</f>
        <v>Apprenant 984</v>
      </c>
      <c r="AG996" s="53" t="str">
        <f aca="false">IF(AND($W996&lt;&gt;"",$X996&lt;&gt;""),$X996-$W996,"")</f>
        <v/>
      </c>
      <c r="AH996" s="53" t="str">
        <f aca="false">IF(AND($W996&lt;&gt;"",$Y996&lt;&gt;""),$Y996-$W996,"")</f>
        <v/>
      </c>
      <c r="AI996" s="53" t="str">
        <f aca="false">IF(AND($X996&lt;&gt;"",$Y996&lt;&gt;""),$Y996-$X996,"")</f>
        <v/>
      </c>
      <c r="AJ996" s="53" t="str">
        <f aca="false">IF($E996&lt;&gt;"",$E996,"")</f>
        <v/>
      </c>
      <c r="AK996" s="52" t="str">
        <f aca="false">IF($F996&lt;&gt;"",$F996,"")</f>
        <v>Apprenant 984 ou 984'</v>
      </c>
      <c r="AL996" s="53" t="str">
        <f aca="false">IF(AND($AB996&lt;&gt;"",$AC996&lt;&gt;""),$AC996-$AB996,"")</f>
        <v/>
      </c>
      <c r="AM996" s="53" t="str">
        <f aca="false">IF(AND($AB996&lt;&gt;"",$AD996&lt;&gt;""),$AD996-$AB996,"")</f>
        <v/>
      </c>
      <c r="AN996" s="53" t="str">
        <f aca="false">IF(AND($AC996&lt;&gt;"",$AD996&lt;&gt;""),$AD996-$AC996,"")</f>
        <v/>
      </c>
      <c r="AO996" s="53" t="str">
        <f aca="false">IF($J996&lt;&gt;"",$J996,"")</f>
        <v/>
      </c>
      <c r="AQ996" s="52" t="str">
        <f aca="false">IF($A996&lt;&gt;"",$A996,"")</f>
        <v>Apprenant 984</v>
      </c>
      <c r="AR996" s="55" t="str">
        <f aca="false">IF(AND('Choix pédagogiques'!$C$4&lt;&gt;"?",'Choix pédagogiques'!$C$5&lt;&gt;"?",W996&lt;&gt;""),(W996-'Choix pédagogiques'!$C$4)/('Choix pédagogiques'!$C$5-'Choix pédagogiques'!$C$4),"")</f>
        <v/>
      </c>
      <c r="AS996" s="55" t="str">
        <f aca="false">IF(AND('Choix pédagogiques'!$C$4&lt;&gt;"?",'Choix pédagogiques'!$C$5&lt;&gt;"?",X996&lt;&gt;""),(X996-'Choix pédagogiques'!$C$4)/('Choix pédagogiques'!$C$5-'Choix pédagogiques'!$C$4),"")</f>
        <v/>
      </c>
      <c r="AT996" s="55" t="str">
        <f aca="false">IF(AND('Choix pédagogiques'!$C$4&lt;&gt;"?",'Choix pédagogiques'!$C$5&lt;&gt;"?",Y996&lt;&gt;""),(Y996-'Choix pédagogiques'!$C$4)/('Choix pédagogiques'!$C$5-'Choix pédagogiques'!$C$4),"")</f>
        <v/>
      </c>
      <c r="AU996" s="53" t="str">
        <f aca="false">IF($E996&lt;&gt;"",$E996,"")</f>
        <v/>
      </c>
      <c r="AV996" s="52" t="str">
        <f aca="false">IF($F996&lt;&gt;"",$F996,"")</f>
        <v>Apprenant 984 ou 984'</v>
      </c>
      <c r="AW996" s="55" t="str">
        <f aca="false">IF(AND('Choix pédagogiques'!$C$4&lt;&gt;"?",'Choix pédagogiques'!$C$5&lt;&gt;"?",AB996&lt;&gt;""),(AB996-'Choix pédagogiques'!$C$4)/('Choix pédagogiques'!$C$5-'Choix pédagogiques'!$C$4),"")</f>
        <v/>
      </c>
      <c r="AX996" s="55" t="str">
        <f aca="false">IF(AND('Choix pédagogiques'!$C$4&lt;&gt;"?",'Choix pédagogiques'!$C$5&lt;&gt;"?",AC996&lt;&gt;""),(AC996-'Choix pédagogiques'!$C$4)/('Choix pédagogiques'!$C$5-'Choix pédagogiques'!$C$4),"")</f>
        <v/>
      </c>
      <c r="AY996" s="55" t="str">
        <f aca="false">IF(AND('Choix pédagogiques'!$C$4&lt;&gt;"?",'Choix pédagogiques'!$C$5&lt;&gt;"?",AD996&lt;&gt;""),(AD996-'Choix pédagogiques'!$C$4)/('Choix pédagogiques'!$C$5-'Choix pédagogiques'!$C$4),"")</f>
        <v/>
      </c>
      <c r="AZ996" s="53" t="str">
        <f aca="false">IF($J996&lt;&gt;"",$J996,"")</f>
        <v/>
      </c>
      <c r="BA996" s="52" t="str">
        <f aca="false">IF($A996&lt;&gt;"",$A996,"")</f>
        <v>Apprenant 984</v>
      </c>
      <c r="BB996" s="55" t="str">
        <f aca="false">IF(AND($AR996&lt;&gt;"",$AS996&lt;&gt;""),$AS996-$AR996,"")</f>
        <v/>
      </c>
      <c r="BC996" s="55" t="str">
        <f aca="false">IF(AND($AR996&lt;&gt;"",$AT996&lt;&gt;""),$AT996-$AR996,"")</f>
        <v/>
      </c>
      <c r="BD996" s="55" t="str">
        <f aca="false">IF(AND($AS996&lt;&gt;"",$AT996&lt;&gt;""),$AT996-$AS996,"")</f>
        <v/>
      </c>
      <c r="BE996" s="53" t="str">
        <f aca="false">IF($E996&lt;&gt;"",$E996,"")</f>
        <v/>
      </c>
      <c r="BF996" s="52" t="str">
        <f aca="false">IF($F996&lt;&gt;"",$F996,"")</f>
        <v>Apprenant 984 ou 984'</v>
      </c>
      <c r="BG996" s="55" t="str">
        <f aca="false">IF(AND($AW996&lt;&gt;"",$AX996&lt;&gt;""),$AX996-$AW996,"")</f>
        <v/>
      </c>
      <c r="BH996" s="55" t="str">
        <f aca="false">IF(AND($AW996&lt;&gt;"",$AY996&lt;&gt;""),$AY996-$AW996,"")</f>
        <v/>
      </c>
      <c r="BI996" s="55" t="str">
        <f aca="false">IF(AND($AX996&lt;&gt;"",$AY996&lt;&gt;""),$AY996-$AX996,"")</f>
        <v/>
      </c>
      <c r="BJ996" s="53" t="str">
        <f aca="false">IF($J996&lt;&gt;"",$J996,"")</f>
        <v/>
      </c>
      <c r="BL996" s="52"/>
      <c r="BM996" s="52" t="str">
        <f aca="false">IF(OR(COUNT(B996:D1995)=0,AND('Choix pédagogiques'!$C$3&lt;&gt;1,'Choix pédagogiques'!$C$3&lt;&gt;2)),"",IF(AND(OR('Choix pédagogiques'!$C$3=1,'Choix pédagogiques'!$C$3=2),$B996&lt;&gt;"",$C996&lt;&gt;"",$D996&lt;&gt;""),1,0))</f>
        <v/>
      </c>
      <c r="BN996" s="52" t="str">
        <f aca="false">IF(OR(COUNT(G996:I1995)=0,AND('Choix pédagogiques'!$C$3&lt;&gt;1,'Choix pédagogiques'!$C$3&lt;&gt;2)),"",IF(AND(OR('Choix pédagogiques'!$C$3=1,'Choix pédagogiques'!$C$3=2),AND($G996&lt;&gt;"",$H996&lt;&gt;"",$I996&lt;&gt;"")),1,0))</f>
        <v/>
      </c>
      <c r="BO996" s="52" t="str">
        <f aca="false">IF(OR(COUNT(B996:D1995)=0,COUNT(G996:I1995)=0,'Choix pédagogiques'!C$3&lt;&gt;3),"",IF(AND('Choix pédagogiques'!$C$3=3,$B996&lt;&gt;"",$C996&lt;&gt;"",$D996&lt;&gt;"",$G996&lt;&gt;"",$H996&lt;&gt;"",$I996&lt;&gt;""),1,0))</f>
        <v/>
      </c>
      <c r="BR996" s="52" t="n">
        <v>712</v>
      </c>
      <c r="BS996" s="52" t="n">
        <v>1802</v>
      </c>
    </row>
    <row r="997" s="54" customFormat="true" ht="18" hidden="false" customHeight="true" outlineLevel="0" collapsed="false">
      <c r="A997" s="57" t="s">
        <v>1925</v>
      </c>
      <c r="B997" s="51"/>
      <c r="C997" s="51"/>
      <c r="D997" s="51"/>
      <c r="E997" s="51"/>
      <c r="F997" s="57" t="s">
        <v>1926</v>
      </c>
      <c r="G997" s="51"/>
      <c r="H997" s="51"/>
      <c r="I997" s="51"/>
      <c r="J997" s="51"/>
      <c r="K997" s="52" t="str">
        <f aca="false">IF($A997&lt;&gt;"",$A997,"")</f>
        <v>Apprenant 985</v>
      </c>
      <c r="L997" s="53" t="str">
        <f aca="false">IF(AND($B997&lt;&gt;"",$C997&lt;&gt;""),$C997-$B997,"")</f>
        <v/>
      </c>
      <c r="M997" s="53" t="str">
        <f aca="false">IF(AND($B997&lt;&gt;"",$D997&lt;&gt;""),$D997-$B997,"")</f>
        <v/>
      </c>
      <c r="N997" s="53" t="str">
        <f aca="false">IF(AND($C997&lt;&gt;"",$D997&lt;&gt;""),$D997-$C997,"")</f>
        <v/>
      </c>
      <c r="O997" s="53" t="str">
        <f aca="false">IF($E997&lt;&gt;"",$E997,"")</f>
        <v/>
      </c>
      <c r="P997" s="52" t="str">
        <f aca="false">IF($F997&lt;&gt;"",$F997,"")</f>
        <v>Apprenant 985 ou 985'</v>
      </c>
      <c r="Q997" s="53" t="str">
        <f aca="false">IF(AND($G997&lt;&gt;"",$H997&lt;&gt;""),$H997-$G997,"")</f>
        <v/>
      </c>
      <c r="R997" s="53" t="str">
        <f aca="false">IF(AND($G997&lt;&gt;"",$I997&lt;&gt;""),$I997-$G997,"")</f>
        <v/>
      </c>
      <c r="S997" s="53" t="str">
        <f aca="false">IF(AND($H997&lt;&gt;"",$I997&lt;&gt;""),$I997-$H997,"")</f>
        <v/>
      </c>
      <c r="T997" s="53" t="str">
        <f aca="false">IF($J997&lt;&gt;"",$J997,"")</f>
        <v/>
      </c>
      <c r="V997" s="52" t="str">
        <f aca="false">IF($A997&lt;&gt;"",$A997,"")</f>
        <v>Apprenant 985</v>
      </c>
      <c r="W997" s="53" t="str">
        <f aca="false">IF(AND(OR('Choix pédagogiques'!$C$3=1,'Choix pédagogiques'!$C$3=2),$BM997=1),B997,IF(AND('Choix pédagogiques'!$C$3=3,$BO997=1),B997,""))</f>
        <v/>
      </c>
      <c r="X997" s="53" t="str">
        <f aca="false">IF(AND(OR('Choix pédagogiques'!$C$3=1,'Choix pédagogiques'!$C$3=2),$BM997=1),C997,IF(AND('Choix pédagogiques'!$C$3=3,$BO997=1),C997,""))</f>
        <v/>
      </c>
      <c r="Y997" s="53" t="str">
        <f aca="false">IF(AND(OR('Choix pédagogiques'!$C$3=1,'Choix pédagogiques'!$C$3=2),$BM997=1),D997,IF(AND('Choix pédagogiques'!$C$3=3,$BO997=1),D997,""))</f>
        <v/>
      </c>
      <c r="Z997" s="53" t="str">
        <f aca="false">IF($E997&lt;&gt;"",$E997,"")</f>
        <v/>
      </c>
      <c r="AA997" s="52" t="str">
        <f aca="false">IF($F997&lt;&gt;"",$F997,"")</f>
        <v>Apprenant 985 ou 985'</v>
      </c>
      <c r="AB997" s="53" t="str">
        <f aca="false">IF(AND(OR('Choix pédagogiques'!$C$3=1,'Choix pédagogiques'!$C$3=2),$BN997=1),G997,IF(AND('Choix pédagogiques'!$C$3=3,$BO997=1),G997,""))</f>
        <v/>
      </c>
      <c r="AC997" s="53" t="str">
        <f aca="false">IF(AND(OR('Choix pédagogiques'!$C$3=1,'Choix pédagogiques'!$C$3=2),$BN997=1),H997,IF(AND('Choix pédagogiques'!$C$3=3,$BO997=1),H997,""))</f>
        <v/>
      </c>
      <c r="AD997" s="53" t="str">
        <f aca="false">IF(AND(OR('Choix pédagogiques'!$C$3=1,'Choix pédagogiques'!$C$3=2),$BN997=1),I997,IF(AND('Choix pédagogiques'!$C$3=3,$BO997=1),I997,""))</f>
        <v/>
      </c>
      <c r="AE997" s="53" t="str">
        <f aca="false">IF($J997&lt;&gt;"",$J997,"")</f>
        <v/>
      </c>
      <c r="AF997" s="52" t="str">
        <f aca="false">IF($A997&lt;&gt;"",$A997,"")</f>
        <v>Apprenant 985</v>
      </c>
      <c r="AG997" s="53" t="str">
        <f aca="false">IF(AND($W997&lt;&gt;"",$X997&lt;&gt;""),$X997-$W997,"")</f>
        <v/>
      </c>
      <c r="AH997" s="53" t="str">
        <f aca="false">IF(AND($W997&lt;&gt;"",$Y997&lt;&gt;""),$Y997-$W997,"")</f>
        <v/>
      </c>
      <c r="AI997" s="53" t="str">
        <f aca="false">IF(AND($X997&lt;&gt;"",$Y997&lt;&gt;""),$Y997-$X997,"")</f>
        <v/>
      </c>
      <c r="AJ997" s="53" t="str">
        <f aca="false">IF($E997&lt;&gt;"",$E997,"")</f>
        <v/>
      </c>
      <c r="AK997" s="52" t="str">
        <f aca="false">IF($F997&lt;&gt;"",$F997,"")</f>
        <v>Apprenant 985 ou 985'</v>
      </c>
      <c r="AL997" s="53" t="str">
        <f aca="false">IF(AND($AB997&lt;&gt;"",$AC997&lt;&gt;""),$AC997-$AB997,"")</f>
        <v/>
      </c>
      <c r="AM997" s="53" t="str">
        <f aca="false">IF(AND($AB997&lt;&gt;"",$AD997&lt;&gt;""),$AD997-$AB997,"")</f>
        <v/>
      </c>
      <c r="AN997" s="53" t="str">
        <f aca="false">IF(AND($AC997&lt;&gt;"",$AD997&lt;&gt;""),$AD997-$AC997,"")</f>
        <v/>
      </c>
      <c r="AO997" s="53" t="str">
        <f aca="false">IF($J997&lt;&gt;"",$J997,"")</f>
        <v/>
      </c>
      <c r="AQ997" s="52" t="str">
        <f aca="false">IF($A997&lt;&gt;"",$A997,"")</f>
        <v>Apprenant 985</v>
      </c>
      <c r="AR997" s="55" t="str">
        <f aca="false">IF(AND('Choix pédagogiques'!$C$4&lt;&gt;"?",'Choix pédagogiques'!$C$5&lt;&gt;"?",W997&lt;&gt;""),(W997-'Choix pédagogiques'!$C$4)/('Choix pédagogiques'!$C$5-'Choix pédagogiques'!$C$4),"")</f>
        <v/>
      </c>
      <c r="AS997" s="55" t="str">
        <f aca="false">IF(AND('Choix pédagogiques'!$C$4&lt;&gt;"?",'Choix pédagogiques'!$C$5&lt;&gt;"?",X997&lt;&gt;""),(X997-'Choix pédagogiques'!$C$4)/('Choix pédagogiques'!$C$5-'Choix pédagogiques'!$C$4),"")</f>
        <v/>
      </c>
      <c r="AT997" s="55" t="str">
        <f aca="false">IF(AND('Choix pédagogiques'!$C$4&lt;&gt;"?",'Choix pédagogiques'!$C$5&lt;&gt;"?",Y997&lt;&gt;""),(Y997-'Choix pédagogiques'!$C$4)/('Choix pédagogiques'!$C$5-'Choix pédagogiques'!$C$4),"")</f>
        <v/>
      </c>
      <c r="AU997" s="53" t="str">
        <f aca="false">IF($E997&lt;&gt;"",$E997,"")</f>
        <v/>
      </c>
      <c r="AV997" s="52" t="str">
        <f aca="false">IF($F997&lt;&gt;"",$F997,"")</f>
        <v>Apprenant 985 ou 985'</v>
      </c>
      <c r="AW997" s="55" t="str">
        <f aca="false">IF(AND('Choix pédagogiques'!$C$4&lt;&gt;"?",'Choix pédagogiques'!$C$5&lt;&gt;"?",AB997&lt;&gt;""),(AB997-'Choix pédagogiques'!$C$4)/('Choix pédagogiques'!$C$5-'Choix pédagogiques'!$C$4),"")</f>
        <v/>
      </c>
      <c r="AX997" s="55" t="str">
        <f aca="false">IF(AND('Choix pédagogiques'!$C$4&lt;&gt;"?",'Choix pédagogiques'!$C$5&lt;&gt;"?",AC997&lt;&gt;""),(AC997-'Choix pédagogiques'!$C$4)/('Choix pédagogiques'!$C$5-'Choix pédagogiques'!$C$4),"")</f>
        <v/>
      </c>
      <c r="AY997" s="55" t="str">
        <f aca="false">IF(AND('Choix pédagogiques'!$C$4&lt;&gt;"?",'Choix pédagogiques'!$C$5&lt;&gt;"?",AD997&lt;&gt;""),(AD997-'Choix pédagogiques'!$C$4)/('Choix pédagogiques'!$C$5-'Choix pédagogiques'!$C$4),"")</f>
        <v/>
      </c>
      <c r="AZ997" s="53" t="str">
        <f aca="false">IF($J997&lt;&gt;"",$J997,"")</f>
        <v/>
      </c>
      <c r="BA997" s="52" t="str">
        <f aca="false">IF($A997&lt;&gt;"",$A997,"")</f>
        <v>Apprenant 985</v>
      </c>
      <c r="BB997" s="55" t="str">
        <f aca="false">IF(AND($AR997&lt;&gt;"",$AS997&lt;&gt;""),$AS997-$AR997,"")</f>
        <v/>
      </c>
      <c r="BC997" s="55" t="str">
        <f aca="false">IF(AND($AR997&lt;&gt;"",$AT997&lt;&gt;""),$AT997-$AR997,"")</f>
        <v/>
      </c>
      <c r="BD997" s="55" t="str">
        <f aca="false">IF(AND($AS997&lt;&gt;"",$AT997&lt;&gt;""),$AT997-$AS997,"")</f>
        <v/>
      </c>
      <c r="BE997" s="53" t="str">
        <f aca="false">IF($E997&lt;&gt;"",$E997,"")</f>
        <v/>
      </c>
      <c r="BF997" s="52" t="str">
        <f aca="false">IF($F997&lt;&gt;"",$F997,"")</f>
        <v>Apprenant 985 ou 985'</v>
      </c>
      <c r="BG997" s="55" t="str">
        <f aca="false">IF(AND($AW997&lt;&gt;"",$AX997&lt;&gt;""),$AX997-$AW997,"")</f>
        <v/>
      </c>
      <c r="BH997" s="55" t="str">
        <f aca="false">IF(AND($AW997&lt;&gt;"",$AY997&lt;&gt;""),$AY997-$AW997,"")</f>
        <v/>
      </c>
      <c r="BI997" s="55" t="str">
        <f aca="false">IF(AND($AX997&lt;&gt;"",$AY997&lt;&gt;""),$AY997-$AX997,"")</f>
        <v/>
      </c>
      <c r="BJ997" s="53" t="str">
        <f aca="false">IF($J997&lt;&gt;"",$J997,"")</f>
        <v/>
      </c>
      <c r="BL997" s="52"/>
      <c r="BM997" s="52" t="str">
        <f aca="false">IF(OR(COUNT(B997:D1996)=0,AND('Choix pédagogiques'!$C$3&lt;&gt;1,'Choix pédagogiques'!$C$3&lt;&gt;2)),"",IF(AND(OR('Choix pédagogiques'!$C$3=1,'Choix pédagogiques'!$C$3=2),$B997&lt;&gt;"",$C997&lt;&gt;"",$D997&lt;&gt;""),1,0))</f>
        <v/>
      </c>
      <c r="BN997" s="52" t="str">
        <f aca="false">IF(OR(COUNT(G997:I1996)=0,AND('Choix pédagogiques'!$C$3&lt;&gt;1,'Choix pédagogiques'!$C$3&lt;&gt;2)),"",IF(AND(OR('Choix pédagogiques'!$C$3=1,'Choix pédagogiques'!$C$3=2),AND($G997&lt;&gt;"",$H997&lt;&gt;"",$I997&lt;&gt;"")),1,0))</f>
        <v/>
      </c>
      <c r="BO997" s="52" t="str">
        <f aca="false">IF(OR(COUNT(B997:D1996)=0,COUNT(G997:I1996)=0,'Choix pédagogiques'!C$3&lt;&gt;3),"",IF(AND('Choix pédagogiques'!$C$3=3,$B997&lt;&gt;"",$C997&lt;&gt;"",$D997&lt;&gt;"",$G997&lt;&gt;"",$H997&lt;&gt;"",$I997&lt;&gt;""),1,0))</f>
        <v/>
      </c>
      <c r="BR997" s="52" t="n">
        <v>253</v>
      </c>
      <c r="BS997" s="52" t="n">
        <v>1005</v>
      </c>
    </row>
    <row r="998" s="54" customFormat="true" ht="18" hidden="false" customHeight="true" outlineLevel="0" collapsed="false">
      <c r="A998" s="57" t="s">
        <v>1927</v>
      </c>
      <c r="B998" s="51"/>
      <c r="C998" s="51"/>
      <c r="D998" s="51"/>
      <c r="E998" s="51"/>
      <c r="F998" s="57" t="s">
        <v>1928</v>
      </c>
      <c r="G998" s="51"/>
      <c r="H998" s="51"/>
      <c r="I998" s="51"/>
      <c r="J998" s="51"/>
      <c r="K998" s="52" t="str">
        <f aca="false">IF($A998&lt;&gt;"",$A998,"")</f>
        <v>Apprenant 986</v>
      </c>
      <c r="L998" s="53" t="str">
        <f aca="false">IF(AND($B998&lt;&gt;"",$C998&lt;&gt;""),$C998-$B998,"")</f>
        <v/>
      </c>
      <c r="M998" s="53" t="str">
        <f aca="false">IF(AND($B998&lt;&gt;"",$D998&lt;&gt;""),$D998-$B998,"")</f>
        <v/>
      </c>
      <c r="N998" s="53" t="str">
        <f aca="false">IF(AND($C998&lt;&gt;"",$D998&lt;&gt;""),$D998-$C998,"")</f>
        <v/>
      </c>
      <c r="O998" s="53" t="str">
        <f aca="false">IF($E998&lt;&gt;"",$E998,"")</f>
        <v/>
      </c>
      <c r="P998" s="52" t="str">
        <f aca="false">IF($F998&lt;&gt;"",$F998,"")</f>
        <v>Apprenant 986 ou 986'</v>
      </c>
      <c r="Q998" s="53" t="str">
        <f aca="false">IF(AND($G998&lt;&gt;"",$H998&lt;&gt;""),$H998-$G998,"")</f>
        <v/>
      </c>
      <c r="R998" s="53" t="str">
        <f aca="false">IF(AND($G998&lt;&gt;"",$I998&lt;&gt;""),$I998-$G998,"")</f>
        <v/>
      </c>
      <c r="S998" s="53" t="str">
        <f aca="false">IF(AND($H998&lt;&gt;"",$I998&lt;&gt;""),$I998-$H998,"")</f>
        <v/>
      </c>
      <c r="T998" s="53" t="str">
        <f aca="false">IF($J998&lt;&gt;"",$J998,"")</f>
        <v/>
      </c>
      <c r="V998" s="52" t="str">
        <f aca="false">IF($A998&lt;&gt;"",$A998,"")</f>
        <v>Apprenant 986</v>
      </c>
      <c r="W998" s="53" t="str">
        <f aca="false">IF(AND(OR('Choix pédagogiques'!$C$3=1,'Choix pédagogiques'!$C$3=2),$BM998=1),B998,IF(AND('Choix pédagogiques'!$C$3=3,$BO998=1),B998,""))</f>
        <v/>
      </c>
      <c r="X998" s="53" t="str">
        <f aca="false">IF(AND(OR('Choix pédagogiques'!$C$3=1,'Choix pédagogiques'!$C$3=2),$BM998=1),C998,IF(AND('Choix pédagogiques'!$C$3=3,$BO998=1),C998,""))</f>
        <v/>
      </c>
      <c r="Y998" s="53" t="str">
        <f aca="false">IF(AND(OR('Choix pédagogiques'!$C$3=1,'Choix pédagogiques'!$C$3=2),$BM998=1),D998,IF(AND('Choix pédagogiques'!$C$3=3,$BO998=1),D998,""))</f>
        <v/>
      </c>
      <c r="Z998" s="53" t="str">
        <f aca="false">IF($E998&lt;&gt;"",$E998,"")</f>
        <v/>
      </c>
      <c r="AA998" s="52" t="str">
        <f aca="false">IF($F998&lt;&gt;"",$F998,"")</f>
        <v>Apprenant 986 ou 986'</v>
      </c>
      <c r="AB998" s="53" t="str">
        <f aca="false">IF(AND(OR('Choix pédagogiques'!$C$3=1,'Choix pédagogiques'!$C$3=2),$BN998=1),G998,IF(AND('Choix pédagogiques'!$C$3=3,$BO998=1),G998,""))</f>
        <v/>
      </c>
      <c r="AC998" s="53" t="str">
        <f aca="false">IF(AND(OR('Choix pédagogiques'!$C$3=1,'Choix pédagogiques'!$C$3=2),$BN998=1),H998,IF(AND('Choix pédagogiques'!$C$3=3,$BO998=1),H998,""))</f>
        <v/>
      </c>
      <c r="AD998" s="53" t="str">
        <f aca="false">IF(AND(OR('Choix pédagogiques'!$C$3=1,'Choix pédagogiques'!$C$3=2),$BN998=1),I998,IF(AND('Choix pédagogiques'!$C$3=3,$BO998=1),I998,""))</f>
        <v/>
      </c>
      <c r="AE998" s="53" t="str">
        <f aca="false">IF($J998&lt;&gt;"",$J998,"")</f>
        <v/>
      </c>
      <c r="AF998" s="52" t="str">
        <f aca="false">IF($A998&lt;&gt;"",$A998,"")</f>
        <v>Apprenant 986</v>
      </c>
      <c r="AG998" s="53" t="str">
        <f aca="false">IF(AND($W998&lt;&gt;"",$X998&lt;&gt;""),$X998-$W998,"")</f>
        <v/>
      </c>
      <c r="AH998" s="53" t="str">
        <f aca="false">IF(AND($W998&lt;&gt;"",$Y998&lt;&gt;""),$Y998-$W998,"")</f>
        <v/>
      </c>
      <c r="AI998" s="53" t="str">
        <f aca="false">IF(AND($X998&lt;&gt;"",$Y998&lt;&gt;""),$Y998-$X998,"")</f>
        <v/>
      </c>
      <c r="AJ998" s="53" t="str">
        <f aca="false">IF($E998&lt;&gt;"",$E998,"")</f>
        <v/>
      </c>
      <c r="AK998" s="52" t="str">
        <f aca="false">IF($F998&lt;&gt;"",$F998,"")</f>
        <v>Apprenant 986 ou 986'</v>
      </c>
      <c r="AL998" s="53" t="str">
        <f aca="false">IF(AND($AB998&lt;&gt;"",$AC998&lt;&gt;""),$AC998-$AB998,"")</f>
        <v/>
      </c>
      <c r="AM998" s="53" t="str">
        <f aca="false">IF(AND($AB998&lt;&gt;"",$AD998&lt;&gt;""),$AD998-$AB998,"")</f>
        <v/>
      </c>
      <c r="AN998" s="53" t="str">
        <f aca="false">IF(AND($AC998&lt;&gt;"",$AD998&lt;&gt;""),$AD998-$AC998,"")</f>
        <v/>
      </c>
      <c r="AO998" s="53" t="str">
        <f aca="false">IF($J998&lt;&gt;"",$J998,"")</f>
        <v/>
      </c>
      <c r="AQ998" s="52" t="str">
        <f aca="false">IF($A998&lt;&gt;"",$A998,"")</f>
        <v>Apprenant 986</v>
      </c>
      <c r="AR998" s="55" t="str">
        <f aca="false">IF(AND('Choix pédagogiques'!$C$4&lt;&gt;"?",'Choix pédagogiques'!$C$5&lt;&gt;"?",W998&lt;&gt;""),(W998-'Choix pédagogiques'!$C$4)/('Choix pédagogiques'!$C$5-'Choix pédagogiques'!$C$4),"")</f>
        <v/>
      </c>
      <c r="AS998" s="55" t="str">
        <f aca="false">IF(AND('Choix pédagogiques'!$C$4&lt;&gt;"?",'Choix pédagogiques'!$C$5&lt;&gt;"?",X998&lt;&gt;""),(X998-'Choix pédagogiques'!$C$4)/('Choix pédagogiques'!$C$5-'Choix pédagogiques'!$C$4),"")</f>
        <v/>
      </c>
      <c r="AT998" s="55" t="str">
        <f aca="false">IF(AND('Choix pédagogiques'!$C$4&lt;&gt;"?",'Choix pédagogiques'!$C$5&lt;&gt;"?",Y998&lt;&gt;""),(Y998-'Choix pédagogiques'!$C$4)/('Choix pédagogiques'!$C$5-'Choix pédagogiques'!$C$4),"")</f>
        <v/>
      </c>
      <c r="AU998" s="53" t="str">
        <f aca="false">IF($E998&lt;&gt;"",$E998,"")</f>
        <v/>
      </c>
      <c r="AV998" s="52" t="str">
        <f aca="false">IF($F998&lt;&gt;"",$F998,"")</f>
        <v>Apprenant 986 ou 986'</v>
      </c>
      <c r="AW998" s="55" t="str">
        <f aca="false">IF(AND('Choix pédagogiques'!$C$4&lt;&gt;"?",'Choix pédagogiques'!$C$5&lt;&gt;"?",AB998&lt;&gt;""),(AB998-'Choix pédagogiques'!$C$4)/('Choix pédagogiques'!$C$5-'Choix pédagogiques'!$C$4),"")</f>
        <v/>
      </c>
      <c r="AX998" s="55" t="str">
        <f aca="false">IF(AND('Choix pédagogiques'!$C$4&lt;&gt;"?",'Choix pédagogiques'!$C$5&lt;&gt;"?",AC998&lt;&gt;""),(AC998-'Choix pédagogiques'!$C$4)/('Choix pédagogiques'!$C$5-'Choix pédagogiques'!$C$4),"")</f>
        <v/>
      </c>
      <c r="AY998" s="55" t="str">
        <f aca="false">IF(AND('Choix pédagogiques'!$C$4&lt;&gt;"?",'Choix pédagogiques'!$C$5&lt;&gt;"?",AD998&lt;&gt;""),(AD998-'Choix pédagogiques'!$C$4)/('Choix pédagogiques'!$C$5-'Choix pédagogiques'!$C$4),"")</f>
        <v/>
      </c>
      <c r="AZ998" s="53" t="str">
        <f aca="false">IF($J998&lt;&gt;"",$J998,"")</f>
        <v/>
      </c>
      <c r="BA998" s="52" t="str">
        <f aca="false">IF($A998&lt;&gt;"",$A998,"")</f>
        <v>Apprenant 986</v>
      </c>
      <c r="BB998" s="55" t="str">
        <f aca="false">IF(AND($AR998&lt;&gt;"",$AS998&lt;&gt;""),$AS998-$AR998,"")</f>
        <v/>
      </c>
      <c r="BC998" s="55" t="str">
        <f aca="false">IF(AND($AR998&lt;&gt;"",$AT998&lt;&gt;""),$AT998-$AR998,"")</f>
        <v/>
      </c>
      <c r="BD998" s="55" t="str">
        <f aca="false">IF(AND($AS998&lt;&gt;"",$AT998&lt;&gt;""),$AT998-$AS998,"")</f>
        <v/>
      </c>
      <c r="BE998" s="53" t="str">
        <f aca="false">IF($E998&lt;&gt;"",$E998,"")</f>
        <v/>
      </c>
      <c r="BF998" s="52" t="str">
        <f aca="false">IF($F998&lt;&gt;"",$F998,"")</f>
        <v>Apprenant 986 ou 986'</v>
      </c>
      <c r="BG998" s="55" t="str">
        <f aca="false">IF(AND($AW998&lt;&gt;"",$AX998&lt;&gt;""),$AX998-$AW998,"")</f>
        <v/>
      </c>
      <c r="BH998" s="55" t="str">
        <f aca="false">IF(AND($AW998&lt;&gt;"",$AY998&lt;&gt;""),$AY998-$AW998,"")</f>
        <v/>
      </c>
      <c r="BI998" s="55" t="str">
        <f aca="false">IF(AND($AX998&lt;&gt;"",$AY998&lt;&gt;""),$AY998-$AX998,"")</f>
        <v/>
      </c>
      <c r="BJ998" s="53" t="str">
        <f aca="false">IF($J998&lt;&gt;"",$J998,"")</f>
        <v/>
      </c>
      <c r="BL998" s="52"/>
      <c r="BM998" s="52" t="str">
        <f aca="false">IF(OR(COUNT(B998:D1997)=0,AND('Choix pédagogiques'!$C$3&lt;&gt;1,'Choix pédagogiques'!$C$3&lt;&gt;2)),"",IF(AND(OR('Choix pédagogiques'!$C$3=1,'Choix pédagogiques'!$C$3=2),$B998&lt;&gt;"",$C998&lt;&gt;"",$D998&lt;&gt;""),1,0))</f>
        <v/>
      </c>
      <c r="BN998" s="52" t="str">
        <f aca="false">IF(OR(COUNT(G998:I1997)=0,AND('Choix pédagogiques'!$C$3&lt;&gt;1,'Choix pédagogiques'!$C$3&lt;&gt;2)),"",IF(AND(OR('Choix pédagogiques'!$C$3=1,'Choix pédagogiques'!$C$3=2),AND($G998&lt;&gt;"",$H998&lt;&gt;"",$I998&lt;&gt;"")),1,0))</f>
        <v/>
      </c>
      <c r="BO998" s="52" t="str">
        <f aca="false">IF(OR(COUNT(B998:D1997)=0,COUNT(G998:I1997)=0,'Choix pédagogiques'!C$3&lt;&gt;3),"",IF(AND('Choix pédagogiques'!$C$3=3,$B998&lt;&gt;"",$C998&lt;&gt;"",$D998&lt;&gt;"",$G998&lt;&gt;"",$H998&lt;&gt;"",$I998&lt;&gt;""),1,0))</f>
        <v/>
      </c>
      <c r="BR998" s="52" t="n">
        <v>820</v>
      </c>
      <c r="BS998" s="52" t="n">
        <v>1819</v>
      </c>
    </row>
    <row r="999" s="54" customFormat="true" ht="18" hidden="false" customHeight="true" outlineLevel="0" collapsed="false">
      <c r="A999" s="57" t="s">
        <v>1929</v>
      </c>
      <c r="B999" s="51"/>
      <c r="C999" s="51"/>
      <c r="D999" s="51"/>
      <c r="E999" s="51"/>
      <c r="F999" s="57" t="s">
        <v>1930</v>
      </c>
      <c r="G999" s="51"/>
      <c r="H999" s="51"/>
      <c r="I999" s="51"/>
      <c r="J999" s="51"/>
      <c r="K999" s="52" t="str">
        <f aca="false">IF($A999&lt;&gt;"",$A999,"")</f>
        <v>Apprenant 987</v>
      </c>
      <c r="L999" s="53" t="str">
        <f aca="false">IF(AND($B999&lt;&gt;"",$C999&lt;&gt;""),$C999-$B999,"")</f>
        <v/>
      </c>
      <c r="M999" s="53" t="str">
        <f aca="false">IF(AND($B999&lt;&gt;"",$D999&lt;&gt;""),$D999-$B999,"")</f>
        <v/>
      </c>
      <c r="N999" s="53" t="str">
        <f aca="false">IF(AND($C999&lt;&gt;"",$D999&lt;&gt;""),$D999-$C999,"")</f>
        <v/>
      </c>
      <c r="O999" s="53" t="str">
        <f aca="false">IF($E999&lt;&gt;"",$E999,"")</f>
        <v/>
      </c>
      <c r="P999" s="52" t="str">
        <f aca="false">IF($F999&lt;&gt;"",$F999,"")</f>
        <v>Apprenant 987 ou 987'</v>
      </c>
      <c r="Q999" s="53" t="str">
        <f aca="false">IF(AND($G999&lt;&gt;"",$H999&lt;&gt;""),$H999-$G999,"")</f>
        <v/>
      </c>
      <c r="R999" s="53" t="str">
        <f aca="false">IF(AND($G999&lt;&gt;"",$I999&lt;&gt;""),$I999-$G999,"")</f>
        <v/>
      </c>
      <c r="S999" s="53" t="str">
        <f aca="false">IF(AND($H999&lt;&gt;"",$I999&lt;&gt;""),$I999-$H999,"")</f>
        <v/>
      </c>
      <c r="T999" s="53" t="str">
        <f aca="false">IF($J999&lt;&gt;"",$J999,"")</f>
        <v/>
      </c>
      <c r="V999" s="52" t="str">
        <f aca="false">IF($A999&lt;&gt;"",$A999,"")</f>
        <v>Apprenant 987</v>
      </c>
      <c r="W999" s="53" t="str">
        <f aca="false">IF(AND(OR('Choix pédagogiques'!$C$3=1,'Choix pédagogiques'!$C$3=2),$BM999=1),B999,IF(AND('Choix pédagogiques'!$C$3=3,$BO999=1),B999,""))</f>
        <v/>
      </c>
      <c r="X999" s="53" t="str">
        <f aca="false">IF(AND(OR('Choix pédagogiques'!$C$3=1,'Choix pédagogiques'!$C$3=2),$BM999=1),C999,IF(AND('Choix pédagogiques'!$C$3=3,$BO999=1),C999,""))</f>
        <v/>
      </c>
      <c r="Y999" s="53" t="str">
        <f aca="false">IF(AND(OR('Choix pédagogiques'!$C$3=1,'Choix pédagogiques'!$C$3=2),$BM999=1),D999,IF(AND('Choix pédagogiques'!$C$3=3,$BO999=1),D999,""))</f>
        <v/>
      </c>
      <c r="Z999" s="53" t="str">
        <f aca="false">IF($E999&lt;&gt;"",$E999,"")</f>
        <v/>
      </c>
      <c r="AA999" s="52" t="str">
        <f aca="false">IF($F999&lt;&gt;"",$F999,"")</f>
        <v>Apprenant 987 ou 987'</v>
      </c>
      <c r="AB999" s="53" t="str">
        <f aca="false">IF(AND(OR('Choix pédagogiques'!$C$3=1,'Choix pédagogiques'!$C$3=2),$BN999=1),G999,IF(AND('Choix pédagogiques'!$C$3=3,$BO999=1),G999,""))</f>
        <v/>
      </c>
      <c r="AC999" s="53" t="str">
        <f aca="false">IF(AND(OR('Choix pédagogiques'!$C$3=1,'Choix pédagogiques'!$C$3=2),$BN999=1),H999,IF(AND('Choix pédagogiques'!$C$3=3,$BO999=1),H999,""))</f>
        <v/>
      </c>
      <c r="AD999" s="53" t="str">
        <f aca="false">IF(AND(OR('Choix pédagogiques'!$C$3=1,'Choix pédagogiques'!$C$3=2),$BN999=1),I999,IF(AND('Choix pédagogiques'!$C$3=3,$BO999=1),I999,""))</f>
        <v/>
      </c>
      <c r="AE999" s="53" t="str">
        <f aca="false">IF($J999&lt;&gt;"",$J999,"")</f>
        <v/>
      </c>
      <c r="AF999" s="52" t="str">
        <f aca="false">IF($A999&lt;&gt;"",$A999,"")</f>
        <v>Apprenant 987</v>
      </c>
      <c r="AG999" s="53" t="str">
        <f aca="false">IF(AND($W999&lt;&gt;"",$X999&lt;&gt;""),$X999-$W999,"")</f>
        <v/>
      </c>
      <c r="AH999" s="53" t="str">
        <f aca="false">IF(AND($W999&lt;&gt;"",$Y999&lt;&gt;""),$Y999-$W999,"")</f>
        <v/>
      </c>
      <c r="AI999" s="53" t="str">
        <f aca="false">IF(AND($X999&lt;&gt;"",$Y999&lt;&gt;""),$Y999-$X999,"")</f>
        <v/>
      </c>
      <c r="AJ999" s="53" t="str">
        <f aca="false">IF($E999&lt;&gt;"",$E999,"")</f>
        <v/>
      </c>
      <c r="AK999" s="52" t="str">
        <f aca="false">IF($F999&lt;&gt;"",$F999,"")</f>
        <v>Apprenant 987 ou 987'</v>
      </c>
      <c r="AL999" s="53" t="str">
        <f aca="false">IF(AND($AB999&lt;&gt;"",$AC999&lt;&gt;""),$AC999-$AB999,"")</f>
        <v/>
      </c>
      <c r="AM999" s="53" t="str">
        <f aca="false">IF(AND($AB999&lt;&gt;"",$AD999&lt;&gt;""),$AD999-$AB999,"")</f>
        <v/>
      </c>
      <c r="AN999" s="53" t="str">
        <f aca="false">IF(AND($AC999&lt;&gt;"",$AD999&lt;&gt;""),$AD999-$AC999,"")</f>
        <v/>
      </c>
      <c r="AO999" s="53" t="str">
        <f aca="false">IF($J999&lt;&gt;"",$J999,"")</f>
        <v/>
      </c>
      <c r="AQ999" s="52" t="str">
        <f aca="false">IF($A999&lt;&gt;"",$A999,"")</f>
        <v>Apprenant 987</v>
      </c>
      <c r="AR999" s="55" t="str">
        <f aca="false">IF(AND('Choix pédagogiques'!$C$4&lt;&gt;"?",'Choix pédagogiques'!$C$5&lt;&gt;"?",W999&lt;&gt;""),(W999-'Choix pédagogiques'!$C$4)/('Choix pédagogiques'!$C$5-'Choix pédagogiques'!$C$4),"")</f>
        <v/>
      </c>
      <c r="AS999" s="55" t="str">
        <f aca="false">IF(AND('Choix pédagogiques'!$C$4&lt;&gt;"?",'Choix pédagogiques'!$C$5&lt;&gt;"?",X999&lt;&gt;""),(X999-'Choix pédagogiques'!$C$4)/('Choix pédagogiques'!$C$5-'Choix pédagogiques'!$C$4),"")</f>
        <v/>
      </c>
      <c r="AT999" s="55" t="str">
        <f aca="false">IF(AND('Choix pédagogiques'!$C$4&lt;&gt;"?",'Choix pédagogiques'!$C$5&lt;&gt;"?",Y999&lt;&gt;""),(Y999-'Choix pédagogiques'!$C$4)/('Choix pédagogiques'!$C$5-'Choix pédagogiques'!$C$4),"")</f>
        <v/>
      </c>
      <c r="AU999" s="53" t="str">
        <f aca="false">IF($E999&lt;&gt;"",$E999,"")</f>
        <v/>
      </c>
      <c r="AV999" s="52" t="str">
        <f aca="false">IF($F999&lt;&gt;"",$F999,"")</f>
        <v>Apprenant 987 ou 987'</v>
      </c>
      <c r="AW999" s="55" t="str">
        <f aca="false">IF(AND('Choix pédagogiques'!$C$4&lt;&gt;"?",'Choix pédagogiques'!$C$5&lt;&gt;"?",AB999&lt;&gt;""),(AB999-'Choix pédagogiques'!$C$4)/('Choix pédagogiques'!$C$5-'Choix pédagogiques'!$C$4),"")</f>
        <v/>
      </c>
      <c r="AX999" s="55" t="str">
        <f aca="false">IF(AND('Choix pédagogiques'!$C$4&lt;&gt;"?",'Choix pédagogiques'!$C$5&lt;&gt;"?",AC999&lt;&gt;""),(AC999-'Choix pédagogiques'!$C$4)/('Choix pédagogiques'!$C$5-'Choix pédagogiques'!$C$4),"")</f>
        <v/>
      </c>
      <c r="AY999" s="55" t="str">
        <f aca="false">IF(AND('Choix pédagogiques'!$C$4&lt;&gt;"?",'Choix pédagogiques'!$C$5&lt;&gt;"?",AD999&lt;&gt;""),(AD999-'Choix pédagogiques'!$C$4)/('Choix pédagogiques'!$C$5-'Choix pédagogiques'!$C$4),"")</f>
        <v/>
      </c>
      <c r="AZ999" s="53" t="str">
        <f aca="false">IF($J999&lt;&gt;"",$J999,"")</f>
        <v/>
      </c>
      <c r="BA999" s="52" t="str">
        <f aca="false">IF($A999&lt;&gt;"",$A999,"")</f>
        <v>Apprenant 987</v>
      </c>
      <c r="BB999" s="55" t="str">
        <f aca="false">IF(AND($AR999&lt;&gt;"",$AS999&lt;&gt;""),$AS999-$AR999,"")</f>
        <v/>
      </c>
      <c r="BC999" s="55" t="str">
        <f aca="false">IF(AND($AR999&lt;&gt;"",$AT999&lt;&gt;""),$AT999-$AR999,"")</f>
        <v/>
      </c>
      <c r="BD999" s="55" t="str">
        <f aca="false">IF(AND($AS999&lt;&gt;"",$AT999&lt;&gt;""),$AT999-$AS999,"")</f>
        <v/>
      </c>
      <c r="BE999" s="53" t="str">
        <f aca="false">IF($E999&lt;&gt;"",$E999,"")</f>
        <v/>
      </c>
      <c r="BF999" s="52" t="str">
        <f aca="false">IF($F999&lt;&gt;"",$F999,"")</f>
        <v>Apprenant 987 ou 987'</v>
      </c>
      <c r="BG999" s="55" t="str">
        <f aca="false">IF(AND($AW999&lt;&gt;"",$AX999&lt;&gt;""),$AX999-$AW999,"")</f>
        <v/>
      </c>
      <c r="BH999" s="55" t="str">
        <f aca="false">IF(AND($AW999&lt;&gt;"",$AY999&lt;&gt;""),$AY999-$AW999,"")</f>
        <v/>
      </c>
      <c r="BI999" s="55" t="str">
        <f aca="false">IF(AND($AX999&lt;&gt;"",$AY999&lt;&gt;""),$AY999-$AX999,"")</f>
        <v/>
      </c>
      <c r="BJ999" s="53" t="str">
        <f aca="false">IF($J999&lt;&gt;"",$J999,"")</f>
        <v/>
      </c>
      <c r="BL999" s="52"/>
      <c r="BM999" s="52" t="str">
        <f aca="false">IF(OR(COUNT(B999:D1998)=0,AND('Choix pédagogiques'!$C$3&lt;&gt;1,'Choix pédagogiques'!$C$3&lt;&gt;2)),"",IF(AND(OR('Choix pédagogiques'!$C$3=1,'Choix pédagogiques'!$C$3=2),$B999&lt;&gt;"",$C999&lt;&gt;"",$D999&lt;&gt;""),1,0))</f>
        <v/>
      </c>
      <c r="BN999" s="52" t="str">
        <f aca="false">IF(OR(COUNT(G999:I1998)=0,AND('Choix pédagogiques'!$C$3&lt;&gt;1,'Choix pédagogiques'!$C$3&lt;&gt;2)),"",IF(AND(OR('Choix pédagogiques'!$C$3=1,'Choix pédagogiques'!$C$3=2),AND($G999&lt;&gt;"",$H999&lt;&gt;"",$I999&lt;&gt;"")),1,0))</f>
        <v/>
      </c>
      <c r="BO999" s="52" t="str">
        <f aca="false">IF(OR(COUNT(B999:D1998)=0,COUNT(G999:I1998)=0,'Choix pédagogiques'!C$3&lt;&gt;3),"",IF(AND('Choix pédagogiques'!$C$3=3,$B999&lt;&gt;"",$C999&lt;&gt;"",$D999&lt;&gt;"",$G999&lt;&gt;"",$H999&lt;&gt;"",$I999&lt;&gt;""),1,0))</f>
        <v/>
      </c>
      <c r="BR999" s="52" t="n">
        <v>833</v>
      </c>
      <c r="BS999" s="52" t="n">
        <v>1008</v>
      </c>
    </row>
    <row r="1000" s="54" customFormat="true" ht="18" hidden="false" customHeight="true" outlineLevel="0" collapsed="false">
      <c r="A1000" s="57" t="s">
        <v>1931</v>
      </c>
      <c r="B1000" s="51"/>
      <c r="C1000" s="51"/>
      <c r="D1000" s="51"/>
      <c r="E1000" s="51"/>
      <c r="F1000" s="57" t="s">
        <v>1932</v>
      </c>
      <c r="G1000" s="51"/>
      <c r="H1000" s="51"/>
      <c r="I1000" s="51"/>
      <c r="J1000" s="51"/>
      <c r="K1000" s="52" t="str">
        <f aca="false">IF($A1000&lt;&gt;"",$A1000,"")</f>
        <v>Apprenant 988</v>
      </c>
      <c r="L1000" s="53" t="str">
        <f aca="false">IF(AND($B1000&lt;&gt;"",$C1000&lt;&gt;""),$C1000-$B1000,"")</f>
        <v/>
      </c>
      <c r="M1000" s="53" t="str">
        <f aca="false">IF(AND($B1000&lt;&gt;"",$D1000&lt;&gt;""),$D1000-$B1000,"")</f>
        <v/>
      </c>
      <c r="N1000" s="53" t="str">
        <f aca="false">IF(AND($C1000&lt;&gt;"",$D1000&lt;&gt;""),$D1000-$C1000,"")</f>
        <v/>
      </c>
      <c r="O1000" s="53" t="str">
        <f aca="false">IF($E1000&lt;&gt;"",$E1000,"")</f>
        <v/>
      </c>
      <c r="P1000" s="52" t="str">
        <f aca="false">IF($F1000&lt;&gt;"",$F1000,"")</f>
        <v>Apprenant 988 ou 988'</v>
      </c>
      <c r="Q1000" s="53" t="str">
        <f aca="false">IF(AND($G1000&lt;&gt;"",$H1000&lt;&gt;""),$H1000-$G1000,"")</f>
        <v/>
      </c>
      <c r="R1000" s="53" t="str">
        <f aca="false">IF(AND($G1000&lt;&gt;"",$I1000&lt;&gt;""),$I1000-$G1000,"")</f>
        <v/>
      </c>
      <c r="S1000" s="53" t="str">
        <f aca="false">IF(AND($H1000&lt;&gt;"",$I1000&lt;&gt;""),$I1000-$H1000,"")</f>
        <v/>
      </c>
      <c r="T1000" s="53" t="str">
        <f aca="false">IF($J1000&lt;&gt;"",$J1000,"")</f>
        <v/>
      </c>
      <c r="V1000" s="52" t="str">
        <f aca="false">IF($A1000&lt;&gt;"",$A1000,"")</f>
        <v>Apprenant 988</v>
      </c>
      <c r="W1000" s="53" t="str">
        <f aca="false">IF(AND(OR('Choix pédagogiques'!$C$3=1,'Choix pédagogiques'!$C$3=2),$BM1000=1),B1000,IF(AND('Choix pédagogiques'!$C$3=3,$BO1000=1),B1000,""))</f>
        <v/>
      </c>
      <c r="X1000" s="53" t="str">
        <f aca="false">IF(AND(OR('Choix pédagogiques'!$C$3=1,'Choix pédagogiques'!$C$3=2),$BM1000=1),C1000,IF(AND('Choix pédagogiques'!$C$3=3,$BO1000=1),C1000,""))</f>
        <v/>
      </c>
      <c r="Y1000" s="53" t="str">
        <f aca="false">IF(AND(OR('Choix pédagogiques'!$C$3=1,'Choix pédagogiques'!$C$3=2),$BM1000=1),D1000,IF(AND('Choix pédagogiques'!$C$3=3,$BO1000=1),D1000,""))</f>
        <v/>
      </c>
      <c r="Z1000" s="53" t="str">
        <f aca="false">IF($E1000&lt;&gt;"",$E1000,"")</f>
        <v/>
      </c>
      <c r="AA1000" s="52" t="str">
        <f aca="false">IF($F1000&lt;&gt;"",$F1000,"")</f>
        <v>Apprenant 988 ou 988'</v>
      </c>
      <c r="AB1000" s="53" t="str">
        <f aca="false">IF(AND(OR('Choix pédagogiques'!$C$3=1,'Choix pédagogiques'!$C$3=2),$BN1000=1),G1000,IF(AND('Choix pédagogiques'!$C$3=3,$BO1000=1),G1000,""))</f>
        <v/>
      </c>
      <c r="AC1000" s="53" t="str">
        <f aca="false">IF(AND(OR('Choix pédagogiques'!$C$3=1,'Choix pédagogiques'!$C$3=2),$BN1000=1),H1000,IF(AND('Choix pédagogiques'!$C$3=3,$BO1000=1),H1000,""))</f>
        <v/>
      </c>
      <c r="AD1000" s="53" t="str">
        <f aca="false">IF(AND(OR('Choix pédagogiques'!$C$3=1,'Choix pédagogiques'!$C$3=2),$BN1000=1),I1000,IF(AND('Choix pédagogiques'!$C$3=3,$BO1000=1),I1000,""))</f>
        <v/>
      </c>
      <c r="AE1000" s="53" t="str">
        <f aca="false">IF($J1000&lt;&gt;"",$J1000,"")</f>
        <v/>
      </c>
      <c r="AF1000" s="52" t="str">
        <f aca="false">IF($A1000&lt;&gt;"",$A1000,"")</f>
        <v>Apprenant 988</v>
      </c>
      <c r="AG1000" s="53" t="str">
        <f aca="false">IF(AND($W1000&lt;&gt;"",$X1000&lt;&gt;""),$X1000-$W1000,"")</f>
        <v/>
      </c>
      <c r="AH1000" s="53" t="str">
        <f aca="false">IF(AND($W1000&lt;&gt;"",$Y1000&lt;&gt;""),$Y1000-$W1000,"")</f>
        <v/>
      </c>
      <c r="AI1000" s="53" t="str">
        <f aca="false">IF(AND($X1000&lt;&gt;"",$Y1000&lt;&gt;""),$Y1000-$X1000,"")</f>
        <v/>
      </c>
      <c r="AJ1000" s="53" t="str">
        <f aca="false">IF($E1000&lt;&gt;"",$E1000,"")</f>
        <v/>
      </c>
      <c r="AK1000" s="52" t="str">
        <f aca="false">IF($F1000&lt;&gt;"",$F1000,"")</f>
        <v>Apprenant 988 ou 988'</v>
      </c>
      <c r="AL1000" s="53" t="str">
        <f aca="false">IF(AND($AB1000&lt;&gt;"",$AC1000&lt;&gt;""),$AC1000-$AB1000,"")</f>
        <v/>
      </c>
      <c r="AM1000" s="53" t="str">
        <f aca="false">IF(AND($AB1000&lt;&gt;"",$AD1000&lt;&gt;""),$AD1000-$AB1000,"")</f>
        <v/>
      </c>
      <c r="AN1000" s="53" t="str">
        <f aca="false">IF(AND($AC1000&lt;&gt;"",$AD1000&lt;&gt;""),$AD1000-$AC1000,"")</f>
        <v/>
      </c>
      <c r="AO1000" s="53" t="str">
        <f aca="false">IF($J1000&lt;&gt;"",$J1000,"")</f>
        <v/>
      </c>
      <c r="AQ1000" s="52" t="str">
        <f aca="false">IF($A1000&lt;&gt;"",$A1000,"")</f>
        <v>Apprenant 988</v>
      </c>
      <c r="AR1000" s="55" t="str">
        <f aca="false">IF(AND('Choix pédagogiques'!$C$4&lt;&gt;"?",'Choix pédagogiques'!$C$5&lt;&gt;"?",W1000&lt;&gt;""),(W1000-'Choix pédagogiques'!$C$4)/('Choix pédagogiques'!$C$5-'Choix pédagogiques'!$C$4),"")</f>
        <v/>
      </c>
      <c r="AS1000" s="55" t="str">
        <f aca="false">IF(AND('Choix pédagogiques'!$C$4&lt;&gt;"?",'Choix pédagogiques'!$C$5&lt;&gt;"?",X1000&lt;&gt;""),(X1000-'Choix pédagogiques'!$C$4)/('Choix pédagogiques'!$C$5-'Choix pédagogiques'!$C$4),"")</f>
        <v/>
      </c>
      <c r="AT1000" s="55" t="str">
        <f aca="false">IF(AND('Choix pédagogiques'!$C$4&lt;&gt;"?",'Choix pédagogiques'!$C$5&lt;&gt;"?",Y1000&lt;&gt;""),(Y1000-'Choix pédagogiques'!$C$4)/('Choix pédagogiques'!$C$5-'Choix pédagogiques'!$C$4),"")</f>
        <v/>
      </c>
      <c r="AU1000" s="53" t="str">
        <f aca="false">IF($E1000&lt;&gt;"",$E1000,"")</f>
        <v/>
      </c>
      <c r="AV1000" s="52" t="str">
        <f aca="false">IF($F1000&lt;&gt;"",$F1000,"")</f>
        <v>Apprenant 988 ou 988'</v>
      </c>
      <c r="AW1000" s="55" t="str">
        <f aca="false">IF(AND('Choix pédagogiques'!$C$4&lt;&gt;"?",'Choix pédagogiques'!$C$5&lt;&gt;"?",AB1000&lt;&gt;""),(AB1000-'Choix pédagogiques'!$C$4)/('Choix pédagogiques'!$C$5-'Choix pédagogiques'!$C$4),"")</f>
        <v/>
      </c>
      <c r="AX1000" s="55" t="str">
        <f aca="false">IF(AND('Choix pédagogiques'!$C$4&lt;&gt;"?",'Choix pédagogiques'!$C$5&lt;&gt;"?",AC1000&lt;&gt;""),(AC1000-'Choix pédagogiques'!$C$4)/('Choix pédagogiques'!$C$5-'Choix pédagogiques'!$C$4),"")</f>
        <v/>
      </c>
      <c r="AY1000" s="55" t="str">
        <f aca="false">IF(AND('Choix pédagogiques'!$C$4&lt;&gt;"?",'Choix pédagogiques'!$C$5&lt;&gt;"?",AD1000&lt;&gt;""),(AD1000-'Choix pédagogiques'!$C$4)/('Choix pédagogiques'!$C$5-'Choix pédagogiques'!$C$4),"")</f>
        <v/>
      </c>
      <c r="AZ1000" s="53" t="str">
        <f aca="false">IF($J1000&lt;&gt;"",$J1000,"")</f>
        <v/>
      </c>
      <c r="BA1000" s="52" t="str">
        <f aca="false">IF($A1000&lt;&gt;"",$A1000,"")</f>
        <v>Apprenant 988</v>
      </c>
      <c r="BB1000" s="55" t="str">
        <f aca="false">IF(AND($AR1000&lt;&gt;"",$AS1000&lt;&gt;""),$AS1000-$AR1000,"")</f>
        <v/>
      </c>
      <c r="BC1000" s="55" t="str">
        <f aca="false">IF(AND($AR1000&lt;&gt;"",$AT1000&lt;&gt;""),$AT1000-$AR1000,"")</f>
        <v/>
      </c>
      <c r="BD1000" s="55" t="str">
        <f aca="false">IF(AND($AS1000&lt;&gt;"",$AT1000&lt;&gt;""),$AT1000-$AS1000,"")</f>
        <v/>
      </c>
      <c r="BE1000" s="53" t="str">
        <f aca="false">IF($E1000&lt;&gt;"",$E1000,"")</f>
        <v/>
      </c>
      <c r="BF1000" s="52" t="str">
        <f aca="false">IF($F1000&lt;&gt;"",$F1000,"")</f>
        <v>Apprenant 988 ou 988'</v>
      </c>
      <c r="BG1000" s="55" t="str">
        <f aca="false">IF(AND($AW1000&lt;&gt;"",$AX1000&lt;&gt;""),$AX1000-$AW1000,"")</f>
        <v/>
      </c>
      <c r="BH1000" s="55" t="str">
        <f aca="false">IF(AND($AW1000&lt;&gt;"",$AY1000&lt;&gt;""),$AY1000-$AW1000,"")</f>
        <v/>
      </c>
      <c r="BI1000" s="55" t="str">
        <f aca="false">IF(AND($AX1000&lt;&gt;"",$AY1000&lt;&gt;""),$AY1000-$AX1000,"")</f>
        <v/>
      </c>
      <c r="BJ1000" s="53" t="str">
        <f aca="false">IF($J1000&lt;&gt;"",$J1000,"")</f>
        <v/>
      </c>
      <c r="BL1000" s="52"/>
      <c r="BM1000" s="52" t="str">
        <f aca="false">IF(OR(COUNT(B1000:D1999)=0,AND('Choix pédagogiques'!$C$3&lt;&gt;1,'Choix pédagogiques'!$C$3&lt;&gt;2)),"",IF(AND(OR('Choix pédagogiques'!$C$3=1,'Choix pédagogiques'!$C$3=2),$B1000&lt;&gt;"",$C1000&lt;&gt;"",$D1000&lt;&gt;""),1,0))</f>
        <v/>
      </c>
      <c r="BN1000" s="52" t="str">
        <f aca="false">IF(OR(COUNT(G1000:I1999)=0,AND('Choix pédagogiques'!$C$3&lt;&gt;1,'Choix pédagogiques'!$C$3&lt;&gt;2)),"",IF(AND(OR('Choix pédagogiques'!$C$3=1,'Choix pédagogiques'!$C$3=2),AND($G1000&lt;&gt;"",$H1000&lt;&gt;"",$I1000&lt;&gt;"")),1,0))</f>
        <v/>
      </c>
      <c r="BO1000" s="52" t="str">
        <f aca="false">IF(OR(COUNT(B1000:D1999)=0,COUNT(G1000:I1999)=0,'Choix pédagogiques'!C$3&lt;&gt;3),"",IF(AND('Choix pédagogiques'!$C$3=3,$B1000&lt;&gt;"",$C1000&lt;&gt;"",$D1000&lt;&gt;"",$G1000&lt;&gt;"",$H1000&lt;&gt;"",$I1000&lt;&gt;""),1,0))</f>
        <v/>
      </c>
      <c r="BR1000" s="52" t="n">
        <v>771</v>
      </c>
      <c r="BS1000" s="52" t="n">
        <v>1416</v>
      </c>
    </row>
    <row r="1001" s="54" customFormat="true" ht="18" hidden="false" customHeight="true" outlineLevel="0" collapsed="false">
      <c r="A1001" s="57" t="s">
        <v>1933</v>
      </c>
      <c r="B1001" s="51"/>
      <c r="C1001" s="51"/>
      <c r="D1001" s="51"/>
      <c r="E1001" s="51"/>
      <c r="F1001" s="57" t="s">
        <v>1934</v>
      </c>
      <c r="G1001" s="51"/>
      <c r="H1001" s="51"/>
      <c r="I1001" s="51"/>
      <c r="J1001" s="51"/>
      <c r="K1001" s="52" t="str">
        <f aca="false">IF($A1001&lt;&gt;"",$A1001,"")</f>
        <v>Apprenant 989</v>
      </c>
      <c r="L1001" s="53" t="str">
        <f aca="false">IF(AND($B1001&lt;&gt;"",$C1001&lt;&gt;""),$C1001-$B1001,"")</f>
        <v/>
      </c>
      <c r="M1001" s="53" t="str">
        <f aca="false">IF(AND($B1001&lt;&gt;"",$D1001&lt;&gt;""),$D1001-$B1001,"")</f>
        <v/>
      </c>
      <c r="N1001" s="53" t="str">
        <f aca="false">IF(AND($C1001&lt;&gt;"",$D1001&lt;&gt;""),$D1001-$C1001,"")</f>
        <v/>
      </c>
      <c r="O1001" s="53" t="str">
        <f aca="false">IF($E1001&lt;&gt;"",$E1001,"")</f>
        <v/>
      </c>
      <c r="P1001" s="52" t="str">
        <f aca="false">IF($F1001&lt;&gt;"",$F1001,"")</f>
        <v>Apprenant 989 ou 989'</v>
      </c>
      <c r="Q1001" s="53" t="str">
        <f aca="false">IF(AND($G1001&lt;&gt;"",$H1001&lt;&gt;""),$H1001-$G1001,"")</f>
        <v/>
      </c>
      <c r="R1001" s="53" t="str">
        <f aca="false">IF(AND($G1001&lt;&gt;"",$I1001&lt;&gt;""),$I1001-$G1001,"")</f>
        <v/>
      </c>
      <c r="S1001" s="53" t="str">
        <f aca="false">IF(AND($H1001&lt;&gt;"",$I1001&lt;&gt;""),$I1001-$H1001,"")</f>
        <v/>
      </c>
      <c r="T1001" s="53" t="str">
        <f aca="false">IF($J1001&lt;&gt;"",$J1001,"")</f>
        <v/>
      </c>
      <c r="V1001" s="52" t="str">
        <f aca="false">IF($A1001&lt;&gt;"",$A1001,"")</f>
        <v>Apprenant 989</v>
      </c>
      <c r="W1001" s="53" t="str">
        <f aca="false">IF(AND(OR('Choix pédagogiques'!$C$3=1,'Choix pédagogiques'!$C$3=2),$BM1001=1),B1001,IF(AND('Choix pédagogiques'!$C$3=3,$BO1001=1),B1001,""))</f>
        <v/>
      </c>
      <c r="X1001" s="53" t="str">
        <f aca="false">IF(AND(OR('Choix pédagogiques'!$C$3=1,'Choix pédagogiques'!$C$3=2),$BM1001=1),C1001,IF(AND('Choix pédagogiques'!$C$3=3,$BO1001=1),C1001,""))</f>
        <v/>
      </c>
      <c r="Y1001" s="53" t="str">
        <f aca="false">IF(AND(OR('Choix pédagogiques'!$C$3=1,'Choix pédagogiques'!$C$3=2),$BM1001=1),D1001,IF(AND('Choix pédagogiques'!$C$3=3,$BO1001=1),D1001,""))</f>
        <v/>
      </c>
      <c r="Z1001" s="53" t="str">
        <f aca="false">IF($E1001&lt;&gt;"",$E1001,"")</f>
        <v/>
      </c>
      <c r="AA1001" s="52" t="str">
        <f aca="false">IF($F1001&lt;&gt;"",$F1001,"")</f>
        <v>Apprenant 989 ou 989'</v>
      </c>
      <c r="AB1001" s="53" t="str">
        <f aca="false">IF(AND(OR('Choix pédagogiques'!$C$3=1,'Choix pédagogiques'!$C$3=2),$BN1001=1),G1001,IF(AND('Choix pédagogiques'!$C$3=3,$BO1001=1),G1001,""))</f>
        <v/>
      </c>
      <c r="AC1001" s="53" t="str">
        <f aca="false">IF(AND(OR('Choix pédagogiques'!$C$3=1,'Choix pédagogiques'!$C$3=2),$BN1001=1),H1001,IF(AND('Choix pédagogiques'!$C$3=3,$BO1001=1),H1001,""))</f>
        <v/>
      </c>
      <c r="AD1001" s="53" t="str">
        <f aca="false">IF(AND(OR('Choix pédagogiques'!$C$3=1,'Choix pédagogiques'!$C$3=2),$BN1001=1),I1001,IF(AND('Choix pédagogiques'!$C$3=3,$BO1001=1),I1001,""))</f>
        <v/>
      </c>
      <c r="AE1001" s="53" t="str">
        <f aca="false">IF($J1001&lt;&gt;"",$J1001,"")</f>
        <v/>
      </c>
      <c r="AF1001" s="52" t="str">
        <f aca="false">IF($A1001&lt;&gt;"",$A1001,"")</f>
        <v>Apprenant 989</v>
      </c>
      <c r="AG1001" s="53" t="str">
        <f aca="false">IF(AND($W1001&lt;&gt;"",$X1001&lt;&gt;""),$X1001-$W1001,"")</f>
        <v/>
      </c>
      <c r="AH1001" s="53" t="str">
        <f aca="false">IF(AND($W1001&lt;&gt;"",$Y1001&lt;&gt;""),$Y1001-$W1001,"")</f>
        <v/>
      </c>
      <c r="AI1001" s="53" t="str">
        <f aca="false">IF(AND($X1001&lt;&gt;"",$Y1001&lt;&gt;""),$Y1001-$X1001,"")</f>
        <v/>
      </c>
      <c r="AJ1001" s="53" t="str">
        <f aca="false">IF($E1001&lt;&gt;"",$E1001,"")</f>
        <v/>
      </c>
      <c r="AK1001" s="52" t="str">
        <f aca="false">IF($F1001&lt;&gt;"",$F1001,"")</f>
        <v>Apprenant 989 ou 989'</v>
      </c>
      <c r="AL1001" s="53" t="str">
        <f aca="false">IF(AND($AB1001&lt;&gt;"",$AC1001&lt;&gt;""),$AC1001-$AB1001,"")</f>
        <v/>
      </c>
      <c r="AM1001" s="53" t="str">
        <f aca="false">IF(AND($AB1001&lt;&gt;"",$AD1001&lt;&gt;""),$AD1001-$AB1001,"")</f>
        <v/>
      </c>
      <c r="AN1001" s="53" t="str">
        <f aca="false">IF(AND($AC1001&lt;&gt;"",$AD1001&lt;&gt;""),$AD1001-$AC1001,"")</f>
        <v/>
      </c>
      <c r="AO1001" s="53" t="str">
        <f aca="false">IF($J1001&lt;&gt;"",$J1001,"")</f>
        <v/>
      </c>
      <c r="AQ1001" s="52" t="str">
        <f aca="false">IF($A1001&lt;&gt;"",$A1001,"")</f>
        <v>Apprenant 989</v>
      </c>
      <c r="AR1001" s="55" t="str">
        <f aca="false">IF(AND('Choix pédagogiques'!$C$4&lt;&gt;"?",'Choix pédagogiques'!$C$5&lt;&gt;"?",W1001&lt;&gt;""),(W1001-'Choix pédagogiques'!$C$4)/('Choix pédagogiques'!$C$5-'Choix pédagogiques'!$C$4),"")</f>
        <v/>
      </c>
      <c r="AS1001" s="55" t="str">
        <f aca="false">IF(AND('Choix pédagogiques'!$C$4&lt;&gt;"?",'Choix pédagogiques'!$C$5&lt;&gt;"?",X1001&lt;&gt;""),(X1001-'Choix pédagogiques'!$C$4)/('Choix pédagogiques'!$C$5-'Choix pédagogiques'!$C$4),"")</f>
        <v/>
      </c>
      <c r="AT1001" s="55" t="str">
        <f aca="false">IF(AND('Choix pédagogiques'!$C$4&lt;&gt;"?",'Choix pédagogiques'!$C$5&lt;&gt;"?",Y1001&lt;&gt;""),(Y1001-'Choix pédagogiques'!$C$4)/('Choix pédagogiques'!$C$5-'Choix pédagogiques'!$C$4),"")</f>
        <v/>
      </c>
      <c r="AU1001" s="53" t="str">
        <f aca="false">IF($E1001&lt;&gt;"",$E1001,"")</f>
        <v/>
      </c>
      <c r="AV1001" s="52" t="str">
        <f aca="false">IF($F1001&lt;&gt;"",$F1001,"")</f>
        <v>Apprenant 989 ou 989'</v>
      </c>
      <c r="AW1001" s="55" t="str">
        <f aca="false">IF(AND('Choix pédagogiques'!$C$4&lt;&gt;"?",'Choix pédagogiques'!$C$5&lt;&gt;"?",AB1001&lt;&gt;""),(AB1001-'Choix pédagogiques'!$C$4)/('Choix pédagogiques'!$C$5-'Choix pédagogiques'!$C$4),"")</f>
        <v/>
      </c>
      <c r="AX1001" s="55" t="str">
        <f aca="false">IF(AND('Choix pédagogiques'!$C$4&lt;&gt;"?",'Choix pédagogiques'!$C$5&lt;&gt;"?",AC1001&lt;&gt;""),(AC1001-'Choix pédagogiques'!$C$4)/('Choix pédagogiques'!$C$5-'Choix pédagogiques'!$C$4),"")</f>
        <v/>
      </c>
      <c r="AY1001" s="55" t="str">
        <f aca="false">IF(AND('Choix pédagogiques'!$C$4&lt;&gt;"?",'Choix pédagogiques'!$C$5&lt;&gt;"?",AD1001&lt;&gt;""),(AD1001-'Choix pédagogiques'!$C$4)/('Choix pédagogiques'!$C$5-'Choix pédagogiques'!$C$4),"")</f>
        <v/>
      </c>
      <c r="AZ1001" s="53" t="str">
        <f aca="false">IF($J1001&lt;&gt;"",$J1001,"")</f>
        <v/>
      </c>
      <c r="BA1001" s="52" t="str">
        <f aca="false">IF($A1001&lt;&gt;"",$A1001,"")</f>
        <v>Apprenant 989</v>
      </c>
      <c r="BB1001" s="55" t="str">
        <f aca="false">IF(AND($AR1001&lt;&gt;"",$AS1001&lt;&gt;""),$AS1001-$AR1001,"")</f>
        <v/>
      </c>
      <c r="BC1001" s="55" t="str">
        <f aca="false">IF(AND($AR1001&lt;&gt;"",$AT1001&lt;&gt;""),$AT1001-$AR1001,"")</f>
        <v/>
      </c>
      <c r="BD1001" s="55" t="str">
        <f aca="false">IF(AND($AS1001&lt;&gt;"",$AT1001&lt;&gt;""),$AT1001-$AS1001,"")</f>
        <v/>
      </c>
      <c r="BE1001" s="53" t="str">
        <f aca="false">IF($E1001&lt;&gt;"",$E1001,"")</f>
        <v/>
      </c>
      <c r="BF1001" s="52" t="str">
        <f aca="false">IF($F1001&lt;&gt;"",$F1001,"")</f>
        <v>Apprenant 989 ou 989'</v>
      </c>
      <c r="BG1001" s="55" t="str">
        <f aca="false">IF(AND($AW1001&lt;&gt;"",$AX1001&lt;&gt;""),$AX1001-$AW1001,"")</f>
        <v/>
      </c>
      <c r="BH1001" s="55" t="str">
        <f aca="false">IF(AND($AW1001&lt;&gt;"",$AY1001&lt;&gt;""),$AY1001-$AW1001,"")</f>
        <v/>
      </c>
      <c r="BI1001" s="55" t="str">
        <f aca="false">IF(AND($AX1001&lt;&gt;"",$AY1001&lt;&gt;""),$AY1001-$AX1001,"")</f>
        <v/>
      </c>
      <c r="BJ1001" s="53" t="str">
        <f aca="false">IF($J1001&lt;&gt;"",$J1001,"")</f>
        <v/>
      </c>
      <c r="BL1001" s="52"/>
      <c r="BM1001" s="52" t="str">
        <f aca="false">IF(OR(COUNT(B1001:D2000)=0,AND('Choix pédagogiques'!$C$3&lt;&gt;1,'Choix pédagogiques'!$C$3&lt;&gt;2)),"",IF(AND(OR('Choix pédagogiques'!$C$3=1,'Choix pédagogiques'!$C$3=2),$B1001&lt;&gt;"",$C1001&lt;&gt;"",$D1001&lt;&gt;""),1,0))</f>
        <v/>
      </c>
      <c r="BN1001" s="52" t="str">
        <f aca="false">IF(OR(COUNT(G1001:I2000)=0,AND('Choix pédagogiques'!$C$3&lt;&gt;1,'Choix pédagogiques'!$C$3&lt;&gt;2)),"",IF(AND(OR('Choix pédagogiques'!$C$3=1,'Choix pédagogiques'!$C$3=2),AND($G1001&lt;&gt;"",$H1001&lt;&gt;"",$I1001&lt;&gt;"")),1,0))</f>
        <v/>
      </c>
      <c r="BO1001" s="52" t="str">
        <f aca="false">IF(OR(COUNT(B1001:D2000)=0,COUNT(G1001:I2000)=0,'Choix pédagogiques'!C$3&lt;&gt;3),"",IF(AND('Choix pédagogiques'!$C$3=3,$B1001&lt;&gt;"",$C1001&lt;&gt;"",$D1001&lt;&gt;"",$G1001&lt;&gt;"",$H1001&lt;&gt;"",$I1001&lt;&gt;""),1,0))</f>
        <v/>
      </c>
      <c r="BR1001" s="52" t="n">
        <v>587</v>
      </c>
      <c r="BS1001" s="52" t="n">
        <v>1432</v>
      </c>
    </row>
    <row r="1002" s="54" customFormat="true" ht="18" hidden="false" customHeight="true" outlineLevel="0" collapsed="false">
      <c r="A1002" s="57" t="s">
        <v>1935</v>
      </c>
      <c r="B1002" s="51"/>
      <c r="C1002" s="51"/>
      <c r="D1002" s="51"/>
      <c r="E1002" s="51"/>
      <c r="F1002" s="57" t="s">
        <v>1936</v>
      </c>
      <c r="G1002" s="51"/>
      <c r="H1002" s="51"/>
      <c r="I1002" s="51"/>
      <c r="J1002" s="51"/>
      <c r="K1002" s="52" t="str">
        <f aca="false">IF($A1002&lt;&gt;"",$A1002,"")</f>
        <v>Apprenant 990</v>
      </c>
      <c r="L1002" s="53" t="str">
        <f aca="false">IF(AND($B1002&lt;&gt;"",$C1002&lt;&gt;""),$C1002-$B1002,"")</f>
        <v/>
      </c>
      <c r="M1002" s="53" t="str">
        <f aca="false">IF(AND($B1002&lt;&gt;"",$D1002&lt;&gt;""),$D1002-$B1002,"")</f>
        <v/>
      </c>
      <c r="N1002" s="53" t="str">
        <f aca="false">IF(AND($C1002&lt;&gt;"",$D1002&lt;&gt;""),$D1002-$C1002,"")</f>
        <v/>
      </c>
      <c r="O1002" s="53" t="str">
        <f aca="false">IF($E1002&lt;&gt;"",$E1002,"")</f>
        <v/>
      </c>
      <c r="P1002" s="52" t="str">
        <f aca="false">IF($F1002&lt;&gt;"",$F1002,"")</f>
        <v>Apprenant 990 ou 990'</v>
      </c>
      <c r="Q1002" s="53" t="str">
        <f aca="false">IF(AND($G1002&lt;&gt;"",$H1002&lt;&gt;""),$H1002-$G1002,"")</f>
        <v/>
      </c>
      <c r="R1002" s="53" t="str">
        <f aca="false">IF(AND($G1002&lt;&gt;"",$I1002&lt;&gt;""),$I1002-$G1002,"")</f>
        <v/>
      </c>
      <c r="S1002" s="53" t="str">
        <f aca="false">IF(AND($H1002&lt;&gt;"",$I1002&lt;&gt;""),$I1002-$H1002,"")</f>
        <v/>
      </c>
      <c r="T1002" s="53" t="str">
        <f aca="false">IF($J1002&lt;&gt;"",$J1002,"")</f>
        <v/>
      </c>
      <c r="V1002" s="52" t="str">
        <f aca="false">IF($A1002&lt;&gt;"",$A1002,"")</f>
        <v>Apprenant 990</v>
      </c>
      <c r="W1002" s="53" t="str">
        <f aca="false">IF(AND(OR('Choix pédagogiques'!$C$3=1,'Choix pédagogiques'!$C$3=2),$BM1002=1),B1002,IF(AND('Choix pédagogiques'!$C$3=3,$BO1002=1),B1002,""))</f>
        <v/>
      </c>
      <c r="X1002" s="53" t="str">
        <f aca="false">IF(AND(OR('Choix pédagogiques'!$C$3=1,'Choix pédagogiques'!$C$3=2),$BM1002=1),C1002,IF(AND('Choix pédagogiques'!$C$3=3,$BO1002=1),C1002,""))</f>
        <v/>
      </c>
      <c r="Y1002" s="53" t="str">
        <f aca="false">IF(AND(OR('Choix pédagogiques'!$C$3=1,'Choix pédagogiques'!$C$3=2),$BM1002=1),D1002,IF(AND('Choix pédagogiques'!$C$3=3,$BO1002=1),D1002,""))</f>
        <v/>
      </c>
      <c r="Z1002" s="53" t="str">
        <f aca="false">IF($E1002&lt;&gt;"",$E1002,"")</f>
        <v/>
      </c>
      <c r="AA1002" s="52" t="str">
        <f aca="false">IF($F1002&lt;&gt;"",$F1002,"")</f>
        <v>Apprenant 990 ou 990'</v>
      </c>
      <c r="AB1002" s="53" t="str">
        <f aca="false">IF(AND(OR('Choix pédagogiques'!$C$3=1,'Choix pédagogiques'!$C$3=2),$BN1002=1),G1002,IF(AND('Choix pédagogiques'!$C$3=3,$BO1002=1),G1002,""))</f>
        <v/>
      </c>
      <c r="AC1002" s="53" t="str">
        <f aca="false">IF(AND(OR('Choix pédagogiques'!$C$3=1,'Choix pédagogiques'!$C$3=2),$BN1002=1),H1002,IF(AND('Choix pédagogiques'!$C$3=3,$BO1002=1),H1002,""))</f>
        <v/>
      </c>
      <c r="AD1002" s="53" t="str">
        <f aca="false">IF(AND(OR('Choix pédagogiques'!$C$3=1,'Choix pédagogiques'!$C$3=2),$BN1002=1),I1002,IF(AND('Choix pédagogiques'!$C$3=3,$BO1002=1),I1002,""))</f>
        <v/>
      </c>
      <c r="AE1002" s="53" t="str">
        <f aca="false">IF($J1002&lt;&gt;"",$J1002,"")</f>
        <v/>
      </c>
      <c r="AF1002" s="52" t="str">
        <f aca="false">IF($A1002&lt;&gt;"",$A1002,"")</f>
        <v>Apprenant 990</v>
      </c>
      <c r="AG1002" s="53" t="str">
        <f aca="false">IF(AND($W1002&lt;&gt;"",$X1002&lt;&gt;""),$X1002-$W1002,"")</f>
        <v/>
      </c>
      <c r="AH1002" s="53" t="str">
        <f aca="false">IF(AND($W1002&lt;&gt;"",$Y1002&lt;&gt;""),$Y1002-$W1002,"")</f>
        <v/>
      </c>
      <c r="AI1002" s="53" t="str">
        <f aca="false">IF(AND($X1002&lt;&gt;"",$Y1002&lt;&gt;""),$Y1002-$X1002,"")</f>
        <v/>
      </c>
      <c r="AJ1002" s="53" t="str">
        <f aca="false">IF($E1002&lt;&gt;"",$E1002,"")</f>
        <v/>
      </c>
      <c r="AK1002" s="52" t="str">
        <f aca="false">IF($F1002&lt;&gt;"",$F1002,"")</f>
        <v>Apprenant 990 ou 990'</v>
      </c>
      <c r="AL1002" s="53" t="str">
        <f aca="false">IF(AND($AB1002&lt;&gt;"",$AC1002&lt;&gt;""),$AC1002-$AB1002,"")</f>
        <v/>
      </c>
      <c r="AM1002" s="53" t="str">
        <f aca="false">IF(AND($AB1002&lt;&gt;"",$AD1002&lt;&gt;""),$AD1002-$AB1002,"")</f>
        <v/>
      </c>
      <c r="AN1002" s="53" t="str">
        <f aca="false">IF(AND($AC1002&lt;&gt;"",$AD1002&lt;&gt;""),$AD1002-$AC1002,"")</f>
        <v/>
      </c>
      <c r="AO1002" s="53" t="str">
        <f aca="false">IF($J1002&lt;&gt;"",$J1002,"")</f>
        <v/>
      </c>
      <c r="AQ1002" s="52" t="str">
        <f aca="false">IF($A1002&lt;&gt;"",$A1002,"")</f>
        <v>Apprenant 990</v>
      </c>
      <c r="AR1002" s="55" t="str">
        <f aca="false">IF(AND('Choix pédagogiques'!$C$4&lt;&gt;"?",'Choix pédagogiques'!$C$5&lt;&gt;"?",W1002&lt;&gt;""),(W1002-'Choix pédagogiques'!$C$4)/('Choix pédagogiques'!$C$5-'Choix pédagogiques'!$C$4),"")</f>
        <v/>
      </c>
      <c r="AS1002" s="55" t="str">
        <f aca="false">IF(AND('Choix pédagogiques'!$C$4&lt;&gt;"?",'Choix pédagogiques'!$C$5&lt;&gt;"?",X1002&lt;&gt;""),(X1002-'Choix pédagogiques'!$C$4)/('Choix pédagogiques'!$C$5-'Choix pédagogiques'!$C$4),"")</f>
        <v/>
      </c>
      <c r="AT1002" s="55" t="str">
        <f aca="false">IF(AND('Choix pédagogiques'!$C$4&lt;&gt;"?",'Choix pédagogiques'!$C$5&lt;&gt;"?",Y1002&lt;&gt;""),(Y1002-'Choix pédagogiques'!$C$4)/('Choix pédagogiques'!$C$5-'Choix pédagogiques'!$C$4),"")</f>
        <v/>
      </c>
      <c r="AU1002" s="53" t="str">
        <f aca="false">IF($E1002&lt;&gt;"",$E1002,"")</f>
        <v/>
      </c>
      <c r="AV1002" s="52" t="str">
        <f aca="false">IF($F1002&lt;&gt;"",$F1002,"")</f>
        <v>Apprenant 990 ou 990'</v>
      </c>
      <c r="AW1002" s="55" t="str">
        <f aca="false">IF(AND('Choix pédagogiques'!$C$4&lt;&gt;"?",'Choix pédagogiques'!$C$5&lt;&gt;"?",AB1002&lt;&gt;""),(AB1002-'Choix pédagogiques'!$C$4)/('Choix pédagogiques'!$C$5-'Choix pédagogiques'!$C$4),"")</f>
        <v/>
      </c>
      <c r="AX1002" s="55" t="str">
        <f aca="false">IF(AND('Choix pédagogiques'!$C$4&lt;&gt;"?",'Choix pédagogiques'!$C$5&lt;&gt;"?",AC1002&lt;&gt;""),(AC1002-'Choix pédagogiques'!$C$4)/('Choix pédagogiques'!$C$5-'Choix pédagogiques'!$C$4),"")</f>
        <v/>
      </c>
      <c r="AY1002" s="55" t="str">
        <f aca="false">IF(AND('Choix pédagogiques'!$C$4&lt;&gt;"?",'Choix pédagogiques'!$C$5&lt;&gt;"?",AD1002&lt;&gt;""),(AD1002-'Choix pédagogiques'!$C$4)/('Choix pédagogiques'!$C$5-'Choix pédagogiques'!$C$4),"")</f>
        <v/>
      </c>
      <c r="AZ1002" s="53" t="str">
        <f aca="false">IF($J1002&lt;&gt;"",$J1002,"")</f>
        <v/>
      </c>
      <c r="BA1002" s="52" t="str">
        <f aca="false">IF($A1002&lt;&gt;"",$A1002,"")</f>
        <v>Apprenant 990</v>
      </c>
      <c r="BB1002" s="55" t="str">
        <f aca="false">IF(AND($AR1002&lt;&gt;"",$AS1002&lt;&gt;""),$AS1002-$AR1002,"")</f>
        <v/>
      </c>
      <c r="BC1002" s="55" t="str">
        <f aca="false">IF(AND($AR1002&lt;&gt;"",$AT1002&lt;&gt;""),$AT1002-$AR1002,"")</f>
        <v/>
      </c>
      <c r="BD1002" s="55" t="str">
        <f aca="false">IF(AND($AS1002&lt;&gt;"",$AT1002&lt;&gt;""),$AT1002-$AS1002,"")</f>
        <v/>
      </c>
      <c r="BE1002" s="53" t="str">
        <f aca="false">IF($E1002&lt;&gt;"",$E1002,"")</f>
        <v/>
      </c>
      <c r="BF1002" s="52" t="str">
        <f aca="false">IF($F1002&lt;&gt;"",$F1002,"")</f>
        <v>Apprenant 990 ou 990'</v>
      </c>
      <c r="BG1002" s="55" t="str">
        <f aca="false">IF(AND($AW1002&lt;&gt;"",$AX1002&lt;&gt;""),$AX1002-$AW1002,"")</f>
        <v/>
      </c>
      <c r="BH1002" s="55" t="str">
        <f aca="false">IF(AND($AW1002&lt;&gt;"",$AY1002&lt;&gt;""),$AY1002-$AW1002,"")</f>
        <v/>
      </c>
      <c r="BI1002" s="55" t="str">
        <f aca="false">IF(AND($AX1002&lt;&gt;"",$AY1002&lt;&gt;""),$AY1002-$AX1002,"")</f>
        <v/>
      </c>
      <c r="BJ1002" s="53" t="str">
        <f aca="false">IF($J1002&lt;&gt;"",$J1002,"")</f>
        <v/>
      </c>
      <c r="BL1002" s="52"/>
      <c r="BM1002" s="52" t="str">
        <f aca="false">IF(OR(COUNT(B1002:D2001)=0,AND('Choix pédagogiques'!$C$3&lt;&gt;1,'Choix pédagogiques'!$C$3&lt;&gt;2)),"",IF(AND(OR('Choix pédagogiques'!$C$3=1,'Choix pédagogiques'!$C$3=2),$B1002&lt;&gt;"",$C1002&lt;&gt;"",$D1002&lt;&gt;""),1,0))</f>
        <v/>
      </c>
      <c r="BN1002" s="52" t="str">
        <f aca="false">IF(OR(COUNT(G1002:I2001)=0,AND('Choix pédagogiques'!$C$3&lt;&gt;1,'Choix pédagogiques'!$C$3&lt;&gt;2)),"",IF(AND(OR('Choix pédagogiques'!$C$3=1,'Choix pédagogiques'!$C$3=2),AND($G1002&lt;&gt;"",$H1002&lt;&gt;"",$I1002&lt;&gt;"")),1,0))</f>
        <v/>
      </c>
      <c r="BO1002" s="52" t="str">
        <f aca="false">IF(OR(COUNT(B1002:D2001)=0,COUNT(G1002:I2001)=0,'Choix pédagogiques'!C$3&lt;&gt;3),"",IF(AND('Choix pédagogiques'!$C$3=3,$B1002&lt;&gt;"",$C1002&lt;&gt;"",$D1002&lt;&gt;"",$G1002&lt;&gt;"",$H1002&lt;&gt;"",$I1002&lt;&gt;""),1,0))</f>
        <v/>
      </c>
      <c r="BR1002" s="52" t="n">
        <v>106</v>
      </c>
      <c r="BS1002" s="52" t="n">
        <v>1335</v>
      </c>
    </row>
    <row r="1003" s="54" customFormat="true" ht="18" hidden="false" customHeight="true" outlineLevel="0" collapsed="false">
      <c r="A1003" s="57" t="s">
        <v>1937</v>
      </c>
      <c r="B1003" s="51"/>
      <c r="C1003" s="51"/>
      <c r="D1003" s="51"/>
      <c r="E1003" s="51"/>
      <c r="F1003" s="57" t="s">
        <v>1938</v>
      </c>
      <c r="G1003" s="51"/>
      <c r="H1003" s="51"/>
      <c r="I1003" s="51"/>
      <c r="J1003" s="51"/>
      <c r="K1003" s="52" t="str">
        <f aca="false">IF($A1003&lt;&gt;"",$A1003,"")</f>
        <v>Apprenant 991</v>
      </c>
      <c r="L1003" s="53" t="str">
        <f aca="false">IF(AND($B1003&lt;&gt;"",$C1003&lt;&gt;""),$C1003-$B1003,"")</f>
        <v/>
      </c>
      <c r="M1003" s="53" t="str">
        <f aca="false">IF(AND($B1003&lt;&gt;"",$D1003&lt;&gt;""),$D1003-$B1003,"")</f>
        <v/>
      </c>
      <c r="N1003" s="53" t="str">
        <f aca="false">IF(AND($C1003&lt;&gt;"",$D1003&lt;&gt;""),$D1003-$C1003,"")</f>
        <v/>
      </c>
      <c r="O1003" s="53" t="str">
        <f aca="false">IF($E1003&lt;&gt;"",$E1003,"")</f>
        <v/>
      </c>
      <c r="P1003" s="52" t="str">
        <f aca="false">IF($F1003&lt;&gt;"",$F1003,"")</f>
        <v>Apprenant 991 ou 991'</v>
      </c>
      <c r="Q1003" s="53" t="str">
        <f aca="false">IF(AND($G1003&lt;&gt;"",$H1003&lt;&gt;""),$H1003-$G1003,"")</f>
        <v/>
      </c>
      <c r="R1003" s="53" t="str">
        <f aca="false">IF(AND($G1003&lt;&gt;"",$I1003&lt;&gt;""),$I1003-$G1003,"")</f>
        <v/>
      </c>
      <c r="S1003" s="53" t="str">
        <f aca="false">IF(AND($H1003&lt;&gt;"",$I1003&lt;&gt;""),$I1003-$H1003,"")</f>
        <v/>
      </c>
      <c r="T1003" s="53" t="str">
        <f aca="false">IF($J1003&lt;&gt;"",$J1003,"")</f>
        <v/>
      </c>
      <c r="V1003" s="52" t="str">
        <f aca="false">IF($A1003&lt;&gt;"",$A1003,"")</f>
        <v>Apprenant 991</v>
      </c>
      <c r="W1003" s="53" t="str">
        <f aca="false">IF(AND(OR('Choix pédagogiques'!$C$3=1,'Choix pédagogiques'!$C$3=2),$BM1003=1),B1003,IF(AND('Choix pédagogiques'!$C$3=3,$BO1003=1),B1003,""))</f>
        <v/>
      </c>
      <c r="X1003" s="53" t="str">
        <f aca="false">IF(AND(OR('Choix pédagogiques'!$C$3=1,'Choix pédagogiques'!$C$3=2),$BM1003=1),C1003,IF(AND('Choix pédagogiques'!$C$3=3,$BO1003=1),C1003,""))</f>
        <v/>
      </c>
      <c r="Y1003" s="53" t="str">
        <f aca="false">IF(AND(OR('Choix pédagogiques'!$C$3=1,'Choix pédagogiques'!$C$3=2),$BM1003=1),D1003,IF(AND('Choix pédagogiques'!$C$3=3,$BO1003=1),D1003,""))</f>
        <v/>
      </c>
      <c r="Z1003" s="53" t="str">
        <f aca="false">IF($E1003&lt;&gt;"",$E1003,"")</f>
        <v/>
      </c>
      <c r="AA1003" s="52" t="str">
        <f aca="false">IF($F1003&lt;&gt;"",$F1003,"")</f>
        <v>Apprenant 991 ou 991'</v>
      </c>
      <c r="AB1003" s="53" t="str">
        <f aca="false">IF(AND(OR('Choix pédagogiques'!$C$3=1,'Choix pédagogiques'!$C$3=2),$BN1003=1),G1003,IF(AND('Choix pédagogiques'!$C$3=3,$BO1003=1),G1003,""))</f>
        <v/>
      </c>
      <c r="AC1003" s="53" t="str">
        <f aca="false">IF(AND(OR('Choix pédagogiques'!$C$3=1,'Choix pédagogiques'!$C$3=2),$BN1003=1),H1003,IF(AND('Choix pédagogiques'!$C$3=3,$BO1003=1),H1003,""))</f>
        <v/>
      </c>
      <c r="AD1003" s="53" t="str">
        <f aca="false">IF(AND(OR('Choix pédagogiques'!$C$3=1,'Choix pédagogiques'!$C$3=2),$BN1003=1),I1003,IF(AND('Choix pédagogiques'!$C$3=3,$BO1003=1),I1003,""))</f>
        <v/>
      </c>
      <c r="AE1003" s="53" t="str">
        <f aca="false">IF($J1003&lt;&gt;"",$J1003,"")</f>
        <v/>
      </c>
      <c r="AF1003" s="52" t="str">
        <f aca="false">IF($A1003&lt;&gt;"",$A1003,"")</f>
        <v>Apprenant 991</v>
      </c>
      <c r="AG1003" s="53" t="str">
        <f aca="false">IF(AND($W1003&lt;&gt;"",$X1003&lt;&gt;""),$X1003-$W1003,"")</f>
        <v/>
      </c>
      <c r="AH1003" s="53" t="str">
        <f aca="false">IF(AND($W1003&lt;&gt;"",$Y1003&lt;&gt;""),$Y1003-$W1003,"")</f>
        <v/>
      </c>
      <c r="AI1003" s="53" t="str">
        <f aca="false">IF(AND($X1003&lt;&gt;"",$Y1003&lt;&gt;""),$Y1003-$X1003,"")</f>
        <v/>
      </c>
      <c r="AJ1003" s="53" t="str">
        <f aca="false">IF($E1003&lt;&gt;"",$E1003,"")</f>
        <v/>
      </c>
      <c r="AK1003" s="52" t="str">
        <f aca="false">IF($F1003&lt;&gt;"",$F1003,"")</f>
        <v>Apprenant 991 ou 991'</v>
      </c>
      <c r="AL1003" s="53" t="str">
        <f aca="false">IF(AND($AB1003&lt;&gt;"",$AC1003&lt;&gt;""),$AC1003-$AB1003,"")</f>
        <v/>
      </c>
      <c r="AM1003" s="53" t="str">
        <f aca="false">IF(AND($AB1003&lt;&gt;"",$AD1003&lt;&gt;""),$AD1003-$AB1003,"")</f>
        <v/>
      </c>
      <c r="AN1003" s="53" t="str">
        <f aca="false">IF(AND($AC1003&lt;&gt;"",$AD1003&lt;&gt;""),$AD1003-$AC1003,"")</f>
        <v/>
      </c>
      <c r="AO1003" s="53" t="str">
        <f aca="false">IF($J1003&lt;&gt;"",$J1003,"")</f>
        <v/>
      </c>
      <c r="AQ1003" s="52" t="str">
        <f aca="false">IF($A1003&lt;&gt;"",$A1003,"")</f>
        <v>Apprenant 991</v>
      </c>
      <c r="AR1003" s="55" t="str">
        <f aca="false">IF(AND('Choix pédagogiques'!$C$4&lt;&gt;"?",'Choix pédagogiques'!$C$5&lt;&gt;"?",W1003&lt;&gt;""),(W1003-'Choix pédagogiques'!$C$4)/('Choix pédagogiques'!$C$5-'Choix pédagogiques'!$C$4),"")</f>
        <v/>
      </c>
      <c r="AS1003" s="55" t="str">
        <f aca="false">IF(AND('Choix pédagogiques'!$C$4&lt;&gt;"?",'Choix pédagogiques'!$C$5&lt;&gt;"?",X1003&lt;&gt;""),(X1003-'Choix pédagogiques'!$C$4)/('Choix pédagogiques'!$C$5-'Choix pédagogiques'!$C$4),"")</f>
        <v/>
      </c>
      <c r="AT1003" s="55" t="str">
        <f aca="false">IF(AND('Choix pédagogiques'!$C$4&lt;&gt;"?",'Choix pédagogiques'!$C$5&lt;&gt;"?",Y1003&lt;&gt;""),(Y1003-'Choix pédagogiques'!$C$4)/('Choix pédagogiques'!$C$5-'Choix pédagogiques'!$C$4),"")</f>
        <v/>
      </c>
      <c r="AU1003" s="53" t="str">
        <f aca="false">IF($E1003&lt;&gt;"",$E1003,"")</f>
        <v/>
      </c>
      <c r="AV1003" s="52" t="str">
        <f aca="false">IF($F1003&lt;&gt;"",$F1003,"")</f>
        <v>Apprenant 991 ou 991'</v>
      </c>
      <c r="AW1003" s="55" t="str">
        <f aca="false">IF(AND('Choix pédagogiques'!$C$4&lt;&gt;"?",'Choix pédagogiques'!$C$5&lt;&gt;"?",AB1003&lt;&gt;""),(AB1003-'Choix pédagogiques'!$C$4)/('Choix pédagogiques'!$C$5-'Choix pédagogiques'!$C$4),"")</f>
        <v/>
      </c>
      <c r="AX1003" s="55" t="str">
        <f aca="false">IF(AND('Choix pédagogiques'!$C$4&lt;&gt;"?",'Choix pédagogiques'!$C$5&lt;&gt;"?",AC1003&lt;&gt;""),(AC1003-'Choix pédagogiques'!$C$4)/('Choix pédagogiques'!$C$5-'Choix pédagogiques'!$C$4),"")</f>
        <v/>
      </c>
      <c r="AY1003" s="55" t="str">
        <f aca="false">IF(AND('Choix pédagogiques'!$C$4&lt;&gt;"?",'Choix pédagogiques'!$C$5&lt;&gt;"?",AD1003&lt;&gt;""),(AD1003-'Choix pédagogiques'!$C$4)/('Choix pédagogiques'!$C$5-'Choix pédagogiques'!$C$4),"")</f>
        <v/>
      </c>
      <c r="AZ1003" s="53" t="str">
        <f aca="false">IF($J1003&lt;&gt;"",$J1003,"")</f>
        <v/>
      </c>
      <c r="BA1003" s="52" t="str">
        <f aca="false">IF($A1003&lt;&gt;"",$A1003,"")</f>
        <v>Apprenant 991</v>
      </c>
      <c r="BB1003" s="55" t="str">
        <f aca="false">IF(AND($AR1003&lt;&gt;"",$AS1003&lt;&gt;""),$AS1003-$AR1003,"")</f>
        <v/>
      </c>
      <c r="BC1003" s="55" t="str">
        <f aca="false">IF(AND($AR1003&lt;&gt;"",$AT1003&lt;&gt;""),$AT1003-$AR1003,"")</f>
        <v/>
      </c>
      <c r="BD1003" s="55" t="str">
        <f aca="false">IF(AND($AS1003&lt;&gt;"",$AT1003&lt;&gt;""),$AT1003-$AS1003,"")</f>
        <v/>
      </c>
      <c r="BE1003" s="53" t="str">
        <f aca="false">IF($E1003&lt;&gt;"",$E1003,"")</f>
        <v/>
      </c>
      <c r="BF1003" s="52" t="str">
        <f aca="false">IF($F1003&lt;&gt;"",$F1003,"")</f>
        <v>Apprenant 991 ou 991'</v>
      </c>
      <c r="BG1003" s="55" t="str">
        <f aca="false">IF(AND($AW1003&lt;&gt;"",$AX1003&lt;&gt;""),$AX1003-$AW1003,"")</f>
        <v/>
      </c>
      <c r="BH1003" s="55" t="str">
        <f aca="false">IF(AND($AW1003&lt;&gt;"",$AY1003&lt;&gt;""),$AY1003-$AW1003,"")</f>
        <v/>
      </c>
      <c r="BI1003" s="55" t="str">
        <f aca="false">IF(AND($AX1003&lt;&gt;"",$AY1003&lt;&gt;""),$AY1003-$AX1003,"")</f>
        <v/>
      </c>
      <c r="BJ1003" s="53" t="str">
        <f aca="false">IF($J1003&lt;&gt;"",$J1003,"")</f>
        <v/>
      </c>
      <c r="BL1003" s="52"/>
      <c r="BM1003" s="52" t="str">
        <f aca="false">IF(OR(COUNT(B1003:D2002)=0,AND('Choix pédagogiques'!$C$3&lt;&gt;1,'Choix pédagogiques'!$C$3&lt;&gt;2)),"",IF(AND(OR('Choix pédagogiques'!$C$3=1,'Choix pédagogiques'!$C$3=2),$B1003&lt;&gt;"",$C1003&lt;&gt;"",$D1003&lt;&gt;""),1,0))</f>
        <v/>
      </c>
      <c r="BN1003" s="52" t="str">
        <f aca="false">IF(OR(COUNT(G1003:I2002)=0,AND('Choix pédagogiques'!$C$3&lt;&gt;1,'Choix pédagogiques'!$C$3&lt;&gt;2)),"",IF(AND(OR('Choix pédagogiques'!$C$3=1,'Choix pédagogiques'!$C$3=2),AND($G1003&lt;&gt;"",$H1003&lt;&gt;"",$I1003&lt;&gt;"")),1,0))</f>
        <v/>
      </c>
      <c r="BO1003" s="52" t="str">
        <f aca="false">IF(OR(COUNT(B1003:D2002)=0,COUNT(G1003:I2002)=0,'Choix pédagogiques'!C$3&lt;&gt;3),"",IF(AND('Choix pédagogiques'!$C$3=3,$B1003&lt;&gt;"",$C1003&lt;&gt;"",$D1003&lt;&gt;"",$G1003&lt;&gt;"",$H1003&lt;&gt;"",$I1003&lt;&gt;""),1,0))</f>
        <v/>
      </c>
      <c r="BR1003" s="52" t="n">
        <v>287</v>
      </c>
      <c r="BS1003" s="52" t="n">
        <v>1281</v>
      </c>
    </row>
    <row r="1004" s="54" customFormat="true" ht="18" hidden="false" customHeight="true" outlineLevel="0" collapsed="false">
      <c r="A1004" s="57" t="s">
        <v>1939</v>
      </c>
      <c r="B1004" s="51"/>
      <c r="C1004" s="51"/>
      <c r="D1004" s="51"/>
      <c r="E1004" s="51"/>
      <c r="F1004" s="57" t="s">
        <v>1940</v>
      </c>
      <c r="G1004" s="51"/>
      <c r="H1004" s="51"/>
      <c r="I1004" s="51"/>
      <c r="J1004" s="51"/>
      <c r="K1004" s="52" t="str">
        <f aca="false">IF($A1004&lt;&gt;"",$A1004,"")</f>
        <v>Apprenant 992</v>
      </c>
      <c r="L1004" s="53" t="str">
        <f aca="false">IF(AND($B1004&lt;&gt;"",$C1004&lt;&gt;""),$C1004-$B1004,"")</f>
        <v/>
      </c>
      <c r="M1004" s="53" t="str">
        <f aca="false">IF(AND($B1004&lt;&gt;"",$D1004&lt;&gt;""),$D1004-$B1004,"")</f>
        <v/>
      </c>
      <c r="N1004" s="53" t="str">
        <f aca="false">IF(AND($C1004&lt;&gt;"",$D1004&lt;&gt;""),$D1004-$C1004,"")</f>
        <v/>
      </c>
      <c r="O1004" s="53" t="str">
        <f aca="false">IF($E1004&lt;&gt;"",$E1004,"")</f>
        <v/>
      </c>
      <c r="P1004" s="52" t="str">
        <f aca="false">IF($F1004&lt;&gt;"",$F1004,"")</f>
        <v>Apprenant 992 ou 992'</v>
      </c>
      <c r="Q1004" s="53" t="str">
        <f aca="false">IF(AND($G1004&lt;&gt;"",$H1004&lt;&gt;""),$H1004-$G1004,"")</f>
        <v/>
      </c>
      <c r="R1004" s="53" t="str">
        <f aca="false">IF(AND($G1004&lt;&gt;"",$I1004&lt;&gt;""),$I1004-$G1004,"")</f>
        <v/>
      </c>
      <c r="S1004" s="53" t="str">
        <f aca="false">IF(AND($H1004&lt;&gt;"",$I1004&lt;&gt;""),$I1004-$H1004,"")</f>
        <v/>
      </c>
      <c r="T1004" s="53" t="str">
        <f aca="false">IF($J1004&lt;&gt;"",$J1004,"")</f>
        <v/>
      </c>
      <c r="V1004" s="52" t="str">
        <f aca="false">IF($A1004&lt;&gt;"",$A1004,"")</f>
        <v>Apprenant 992</v>
      </c>
      <c r="W1004" s="53" t="str">
        <f aca="false">IF(AND(OR('Choix pédagogiques'!$C$3=1,'Choix pédagogiques'!$C$3=2),$BM1004=1),B1004,IF(AND('Choix pédagogiques'!$C$3=3,$BO1004=1),B1004,""))</f>
        <v/>
      </c>
      <c r="X1004" s="53" t="str">
        <f aca="false">IF(AND(OR('Choix pédagogiques'!$C$3=1,'Choix pédagogiques'!$C$3=2),$BM1004=1),C1004,IF(AND('Choix pédagogiques'!$C$3=3,$BO1004=1),C1004,""))</f>
        <v/>
      </c>
      <c r="Y1004" s="53" t="str">
        <f aca="false">IF(AND(OR('Choix pédagogiques'!$C$3=1,'Choix pédagogiques'!$C$3=2),$BM1004=1),D1004,IF(AND('Choix pédagogiques'!$C$3=3,$BO1004=1),D1004,""))</f>
        <v/>
      </c>
      <c r="Z1004" s="53" t="str">
        <f aca="false">IF($E1004&lt;&gt;"",$E1004,"")</f>
        <v/>
      </c>
      <c r="AA1004" s="52" t="str">
        <f aca="false">IF($F1004&lt;&gt;"",$F1004,"")</f>
        <v>Apprenant 992 ou 992'</v>
      </c>
      <c r="AB1004" s="53" t="str">
        <f aca="false">IF(AND(OR('Choix pédagogiques'!$C$3=1,'Choix pédagogiques'!$C$3=2),$BN1004=1),G1004,IF(AND('Choix pédagogiques'!$C$3=3,$BO1004=1),G1004,""))</f>
        <v/>
      </c>
      <c r="AC1004" s="53" t="str">
        <f aca="false">IF(AND(OR('Choix pédagogiques'!$C$3=1,'Choix pédagogiques'!$C$3=2),$BN1004=1),H1004,IF(AND('Choix pédagogiques'!$C$3=3,$BO1004=1),H1004,""))</f>
        <v/>
      </c>
      <c r="AD1004" s="53" t="str">
        <f aca="false">IF(AND(OR('Choix pédagogiques'!$C$3=1,'Choix pédagogiques'!$C$3=2),$BN1004=1),I1004,IF(AND('Choix pédagogiques'!$C$3=3,$BO1004=1),I1004,""))</f>
        <v/>
      </c>
      <c r="AE1004" s="53" t="str">
        <f aca="false">IF($J1004&lt;&gt;"",$J1004,"")</f>
        <v/>
      </c>
      <c r="AF1004" s="52" t="str">
        <f aca="false">IF($A1004&lt;&gt;"",$A1004,"")</f>
        <v>Apprenant 992</v>
      </c>
      <c r="AG1004" s="53" t="str">
        <f aca="false">IF(AND($W1004&lt;&gt;"",$X1004&lt;&gt;""),$X1004-$W1004,"")</f>
        <v/>
      </c>
      <c r="AH1004" s="53" t="str">
        <f aca="false">IF(AND($W1004&lt;&gt;"",$Y1004&lt;&gt;""),$Y1004-$W1004,"")</f>
        <v/>
      </c>
      <c r="AI1004" s="53" t="str">
        <f aca="false">IF(AND($X1004&lt;&gt;"",$Y1004&lt;&gt;""),$Y1004-$X1004,"")</f>
        <v/>
      </c>
      <c r="AJ1004" s="53" t="str">
        <f aca="false">IF($E1004&lt;&gt;"",$E1004,"")</f>
        <v/>
      </c>
      <c r="AK1004" s="52" t="str">
        <f aca="false">IF($F1004&lt;&gt;"",$F1004,"")</f>
        <v>Apprenant 992 ou 992'</v>
      </c>
      <c r="AL1004" s="53" t="str">
        <f aca="false">IF(AND($AB1004&lt;&gt;"",$AC1004&lt;&gt;""),$AC1004-$AB1004,"")</f>
        <v/>
      </c>
      <c r="AM1004" s="53" t="str">
        <f aca="false">IF(AND($AB1004&lt;&gt;"",$AD1004&lt;&gt;""),$AD1004-$AB1004,"")</f>
        <v/>
      </c>
      <c r="AN1004" s="53" t="str">
        <f aca="false">IF(AND($AC1004&lt;&gt;"",$AD1004&lt;&gt;""),$AD1004-$AC1004,"")</f>
        <v/>
      </c>
      <c r="AO1004" s="53" t="str">
        <f aca="false">IF($J1004&lt;&gt;"",$J1004,"")</f>
        <v/>
      </c>
      <c r="AQ1004" s="52" t="str">
        <f aca="false">IF($A1004&lt;&gt;"",$A1004,"")</f>
        <v>Apprenant 992</v>
      </c>
      <c r="AR1004" s="55" t="str">
        <f aca="false">IF(AND('Choix pédagogiques'!$C$4&lt;&gt;"?",'Choix pédagogiques'!$C$5&lt;&gt;"?",W1004&lt;&gt;""),(W1004-'Choix pédagogiques'!$C$4)/('Choix pédagogiques'!$C$5-'Choix pédagogiques'!$C$4),"")</f>
        <v/>
      </c>
      <c r="AS1004" s="55" t="str">
        <f aca="false">IF(AND('Choix pédagogiques'!$C$4&lt;&gt;"?",'Choix pédagogiques'!$C$5&lt;&gt;"?",X1004&lt;&gt;""),(X1004-'Choix pédagogiques'!$C$4)/('Choix pédagogiques'!$C$5-'Choix pédagogiques'!$C$4),"")</f>
        <v/>
      </c>
      <c r="AT1004" s="55" t="str">
        <f aca="false">IF(AND('Choix pédagogiques'!$C$4&lt;&gt;"?",'Choix pédagogiques'!$C$5&lt;&gt;"?",Y1004&lt;&gt;""),(Y1004-'Choix pédagogiques'!$C$4)/('Choix pédagogiques'!$C$5-'Choix pédagogiques'!$C$4),"")</f>
        <v/>
      </c>
      <c r="AU1004" s="53" t="str">
        <f aca="false">IF($E1004&lt;&gt;"",$E1004,"")</f>
        <v/>
      </c>
      <c r="AV1004" s="52" t="str">
        <f aca="false">IF($F1004&lt;&gt;"",$F1004,"")</f>
        <v>Apprenant 992 ou 992'</v>
      </c>
      <c r="AW1004" s="55" t="str">
        <f aca="false">IF(AND('Choix pédagogiques'!$C$4&lt;&gt;"?",'Choix pédagogiques'!$C$5&lt;&gt;"?",AB1004&lt;&gt;""),(AB1004-'Choix pédagogiques'!$C$4)/('Choix pédagogiques'!$C$5-'Choix pédagogiques'!$C$4),"")</f>
        <v/>
      </c>
      <c r="AX1004" s="55" t="str">
        <f aca="false">IF(AND('Choix pédagogiques'!$C$4&lt;&gt;"?",'Choix pédagogiques'!$C$5&lt;&gt;"?",AC1004&lt;&gt;""),(AC1004-'Choix pédagogiques'!$C$4)/('Choix pédagogiques'!$C$5-'Choix pédagogiques'!$C$4),"")</f>
        <v/>
      </c>
      <c r="AY1004" s="55" t="str">
        <f aca="false">IF(AND('Choix pédagogiques'!$C$4&lt;&gt;"?",'Choix pédagogiques'!$C$5&lt;&gt;"?",AD1004&lt;&gt;""),(AD1004-'Choix pédagogiques'!$C$4)/('Choix pédagogiques'!$C$5-'Choix pédagogiques'!$C$4),"")</f>
        <v/>
      </c>
      <c r="AZ1004" s="53" t="str">
        <f aca="false">IF($J1004&lt;&gt;"",$J1004,"")</f>
        <v/>
      </c>
      <c r="BA1004" s="52" t="str">
        <f aca="false">IF($A1004&lt;&gt;"",$A1004,"")</f>
        <v>Apprenant 992</v>
      </c>
      <c r="BB1004" s="55" t="str">
        <f aca="false">IF(AND($AR1004&lt;&gt;"",$AS1004&lt;&gt;""),$AS1004-$AR1004,"")</f>
        <v/>
      </c>
      <c r="BC1004" s="55" t="str">
        <f aca="false">IF(AND($AR1004&lt;&gt;"",$AT1004&lt;&gt;""),$AT1004-$AR1004,"")</f>
        <v/>
      </c>
      <c r="BD1004" s="55" t="str">
        <f aca="false">IF(AND($AS1004&lt;&gt;"",$AT1004&lt;&gt;""),$AT1004-$AS1004,"")</f>
        <v/>
      </c>
      <c r="BE1004" s="53" t="str">
        <f aca="false">IF($E1004&lt;&gt;"",$E1004,"")</f>
        <v/>
      </c>
      <c r="BF1004" s="52" t="str">
        <f aca="false">IF($F1004&lt;&gt;"",$F1004,"")</f>
        <v>Apprenant 992 ou 992'</v>
      </c>
      <c r="BG1004" s="55" t="str">
        <f aca="false">IF(AND($AW1004&lt;&gt;"",$AX1004&lt;&gt;""),$AX1004-$AW1004,"")</f>
        <v/>
      </c>
      <c r="BH1004" s="55" t="str">
        <f aca="false">IF(AND($AW1004&lt;&gt;"",$AY1004&lt;&gt;""),$AY1004-$AW1004,"")</f>
        <v/>
      </c>
      <c r="BI1004" s="55" t="str">
        <f aca="false">IF(AND($AX1004&lt;&gt;"",$AY1004&lt;&gt;""),$AY1004-$AX1004,"")</f>
        <v/>
      </c>
      <c r="BJ1004" s="53" t="str">
        <f aca="false">IF($J1004&lt;&gt;"",$J1004,"")</f>
        <v/>
      </c>
      <c r="BL1004" s="52"/>
      <c r="BM1004" s="52" t="str">
        <f aca="false">IF(OR(COUNT(B1004:D2003)=0,AND('Choix pédagogiques'!$C$3&lt;&gt;1,'Choix pédagogiques'!$C$3&lt;&gt;2)),"",IF(AND(OR('Choix pédagogiques'!$C$3=1,'Choix pédagogiques'!$C$3=2),$B1004&lt;&gt;"",$C1004&lt;&gt;"",$D1004&lt;&gt;""),1,0))</f>
        <v/>
      </c>
      <c r="BN1004" s="52" t="str">
        <f aca="false">IF(OR(COUNT(G1004:I2003)=0,AND('Choix pédagogiques'!$C$3&lt;&gt;1,'Choix pédagogiques'!$C$3&lt;&gt;2)),"",IF(AND(OR('Choix pédagogiques'!$C$3=1,'Choix pédagogiques'!$C$3=2),AND($G1004&lt;&gt;"",$H1004&lt;&gt;"",$I1004&lt;&gt;"")),1,0))</f>
        <v/>
      </c>
      <c r="BO1004" s="52" t="str">
        <f aca="false">IF(OR(COUNT(B1004:D2003)=0,COUNT(G1004:I2003)=0,'Choix pédagogiques'!C$3&lt;&gt;3),"",IF(AND('Choix pédagogiques'!$C$3=3,$B1004&lt;&gt;"",$C1004&lt;&gt;"",$D1004&lt;&gt;"",$G1004&lt;&gt;"",$H1004&lt;&gt;"",$I1004&lt;&gt;""),1,0))</f>
        <v/>
      </c>
      <c r="BR1004" s="52" t="n">
        <v>929</v>
      </c>
      <c r="BS1004" s="52" t="n">
        <v>1809</v>
      </c>
    </row>
    <row r="1005" s="54" customFormat="true" ht="18" hidden="false" customHeight="true" outlineLevel="0" collapsed="false">
      <c r="A1005" s="57" t="s">
        <v>1941</v>
      </c>
      <c r="B1005" s="51"/>
      <c r="C1005" s="51"/>
      <c r="D1005" s="51"/>
      <c r="E1005" s="51"/>
      <c r="F1005" s="57" t="s">
        <v>1942</v>
      </c>
      <c r="G1005" s="51"/>
      <c r="H1005" s="51"/>
      <c r="I1005" s="51"/>
      <c r="J1005" s="51"/>
      <c r="K1005" s="52" t="str">
        <f aca="false">IF($A1005&lt;&gt;"",$A1005,"")</f>
        <v>Apprenant 993</v>
      </c>
      <c r="L1005" s="53" t="str">
        <f aca="false">IF(AND($B1005&lt;&gt;"",$C1005&lt;&gt;""),$C1005-$B1005,"")</f>
        <v/>
      </c>
      <c r="M1005" s="53" t="str">
        <f aca="false">IF(AND($B1005&lt;&gt;"",$D1005&lt;&gt;""),$D1005-$B1005,"")</f>
        <v/>
      </c>
      <c r="N1005" s="53" t="str">
        <f aca="false">IF(AND($C1005&lt;&gt;"",$D1005&lt;&gt;""),$D1005-$C1005,"")</f>
        <v/>
      </c>
      <c r="O1005" s="53" t="str">
        <f aca="false">IF($E1005&lt;&gt;"",$E1005,"")</f>
        <v/>
      </c>
      <c r="P1005" s="52" t="str">
        <f aca="false">IF($F1005&lt;&gt;"",$F1005,"")</f>
        <v>Apprenant 993 ou 993'</v>
      </c>
      <c r="Q1005" s="53" t="str">
        <f aca="false">IF(AND($G1005&lt;&gt;"",$H1005&lt;&gt;""),$H1005-$G1005,"")</f>
        <v/>
      </c>
      <c r="R1005" s="53" t="str">
        <f aca="false">IF(AND($G1005&lt;&gt;"",$I1005&lt;&gt;""),$I1005-$G1005,"")</f>
        <v/>
      </c>
      <c r="S1005" s="53" t="str">
        <f aca="false">IF(AND($H1005&lt;&gt;"",$I1005&lt;&gt;""),$I1005-$H1005,"")</f>
        <v/>
      </c>
      <c r="T1005" s="53" t="str">
        <f aca="false">IF($J1005&lt;&gt;"",$J1005,"")</f>
        <v/>
      </c>
      <c r="V1005" s="52" t="str">
        <f aca="false">IF($A1005&lt;&gt;"",$A1005,"")</f>
        <v>Apprenant 993</v>
      </c>
      <c r="W1005" s="53" t="str">
        <f aca="false">IF(AND(OR('Choix pédagogiques'!$C$3=1,'Choix pédagogiques'!$C$3=2),$BM1005=1),B1005,IF(AND('Choix pédagogiques'!$C$3=3,$BO1005=1),B1005,""))</f>
        <v/>
      </c>
      <c r="X1005" s="53" t="str">
        <f aca="false">IF(AND(OR('Choix pédagogiques'!$C$3=1,'Choix pédagogiques'!$C$3=2),$BM1005=1),C1005,IF(AND('Choix pédagogiques'!$C$3=3,$BO1005=1),C1005,""))</f>
        <v/>
      </c>
      <c r="Y1005" s="53" t="str">
        <f aca="false">IF(AND(OR('Choix pédagogiques'!$C$3=1,'Choix pédagogiques'!$C$3=2),$BM1005=1),D1005,IF(AND('Choix pédagogiques'!$C$3=3,$BO1005=1),D1005,""))</f>
        <v/>
      </c>
      <c r="Z1005" s="53" t="str">
        <f aca="false">IF($E1005&lt;&gt;"",$E1005,"")</f>
        <v/>
      </c>
      <c r="AA1005" s="52" t="str">
        <f aca="false">IF($F1005&lt;&gt;"",$F1005,"")</f>
        <v>Apprenant 993 ou 993'</v>
      </c>
      <c r="AB1005" s="53" t="str">
        <f aca="false">IF(AND(OR('Choix pédagogiques'!$C$3=1,'Choix pédagogiques'!$C$3=2),$BN1005=1),G1005,IF(AND('Choix pédagogiques'!$C$3=3,$BO1005=1),G1005,""))</f>
        <v/>
      </c>
      <c r="AC1005" s="53" t="str">
        <f aca="false">IF(AND(OR('Choix pédagogiques'!$C$3=1,'Choix pédagogiques'!$C$3=2),$BN1005=1),H1005,IF(AND('Choix pédagogiques'!$C$3=3,$BO1005=1),H1005,""))</f>
        <v/>
      </c>
      <c r="AD1005" s="53" t="str">
        <f aca="false">IF(AND(OR('Choix pédagogiques'!$C$3=1,'Choix pédagogiques'!$C$3=2),$BN1005=1),I1005,IF(AND('Choix pédagogiques'!$C$3=3,$BO1005=1),I1005,""))</f>
        <v/>
      </c>
      <c r="AE1005" s="53" t="str">
        <f aca="false">IF($J1005&lt;&gt;"",$J1005,"")</f>
        <v/>
      </c>
      <c r="AF1005" s="52" t="str">
        <f aca="false">IF($A1005&lt;&gt;"",$A1005,"")</f>
        <v>Apprenant 993</v>
      </c>
      <c r="AG1005" s="53" t="str">
        <f aca="false">IF(AND($W1005&lt;&gt;"",$X1005&lt;&gt;""),$X1005-$W1005,"")</f>
        <v/>
      </c>
      <c r="AH1005" s="53" t="str">
        <f aca="false">IF(AND($W1005&lt;&gt;"",$Y1005&lt;&gt;""),$Y1005-$W1005,"")</f>
        <v/>
      </c>
      <c r="AI1005" s="53" t="str">
        <f aca="false">IF(AND($X1005&lt;&gt;"",$Y1005&lt;&gt;""),$Y1005-$X1005,"")</f>
        <v/>
      </c>
      <c r="AJ1005" s="53" t="str">
        <f aca="false">IF($E1005&lt;&gt;"",$E1005,"")</f>
        <v/>
      </c>
      <c r="AK1005" s="52" t="str">
        <f aca="false">IF($F1005&lt;&gt;"",$F1005,"")</f>
        <v>Apprenant 993 ou 993'</v>
      </c>
      <c r="AL1005" s="53" t="str">
        <f aca="false">IF(AND($AB1005&lt;&gt;"",$AC1005&lt;&gt;""),$AC1005-$AB1005,"")</f>
        <v/>
      </c>
      <c r="AM1005" s="53" t="str">
        <f aca="false">IF(AND($AB1005&lt;&gt;"",$AD1005&lt;&gt;""),$AD1005-$AB1005,"")</f>
        <v/>
      </c>
      <c r="AN1005" s="53" t="str">
        <f aca="false">IF(AND($AC1005&lt;&gt;"",$AD1005&lt;&gt;""),$AD1005-$AC1005,"")</f>
        <v/>
      </c>
      <c r="AO1005" s="53" t="str">
        <f aca="false">IF($J1005&lt;&gt;"",$J1005,"")</f>
        <v/>
      </c>
      <c r="AQ1005" s="52" t="str">
        <f aca="false">IF($A1005&lt;&gt;"",$A1005,"")</f>
        <v>Apprenant 993</v>
      </c>
      <c r="AR1005" s="55" t="str">
        <f aca="false">IF(AND('Choix pédagogiques'!$C$4&lt;&gt;"?",'Choix pédagogiques'!$C$5&lt;&gt;"?",W1005&lt;&gt;""),(W1005-'Choix pédagogiques'!$C$4)/('Choix pédagogiques'!$C$5-'Choix pédagogiques'!$C$4),"")</f>
        <v/>
      </c>
      <c r="AS1005" s="55" t="str">
        <f aca="false">IF(AND('Choix pédagogiques'!$C$4&lt;&gt;"?",'Choix pédagogiques'!$C$5&lt;&gt;"?",X1005&lt;&gt;""),(X1005-'Choix pédagogiques'!$C$4)/('Choix pédagogiques'!$C$5-'Choix pédagogiques'!$C$4),"")</f>
        <v/>
      </c>
      <c r="AT1005" s="55" t="str">
        <f aca="false">IF(AND('Choix pédagogiques'!$C$4&lt;&gt;"?",'Choix pédagogiques'!$C$5&lt;&gt;"?",Y1005&lt;&gt;""),(Y1005-'Choix pédagogiques'!$C$4)/('Choix pédagogiques'!$C$5-'Choix pédagogiques'!$C$4),"")</f>
        <v/>
      </c>
      <c r="AU1005" s="53" t="str">
        <f aca="false">IF($E1005&lt;&gt;"",$E1005,"")</f>
        <v/>
      </c>
      <c r="AV1005" s="52" t="str">
        <f aca="false">IF($F1005&lt;&gt;"",$F1005,"")</f>
        <v>Apprenant 993 ou 993'</v>
      </c>
      <c r="AW1005" s="55" t="str">
        <f aca="false">IF(AND('Choix pédagogiques'!$C$4&lt;&gt;"?",'Choix pédagogiques'!$C$5&lt;&gt;"?",AB1005&lt;&gt;""),(AB1005-'Choix pédagogiques'!$C$4)/('Choix pédagogiques'!$C$5-'Choix pédagogiques'!$C$4),"")</f>
        <v/>
      </c>
      <c r="AX1005" s="55" t="str">
        <f aca="false">IF(AND('Choix pédagogiques'!$C$4&lt;&gt;"?",'Choix pédagogiques'!$C$5&lt;&gt;"?",AC1005&lt;&gt;""),(AC1005-'Choix pédagogiques'!$C$4)/('Choix pédagogiques'!$C$5-'Choix pédagogiques'!$C$4),"")</f>
        <v/>
      </c>
      <c r="AY1005" s="55" t="str">
        <f aca="false">IF(AND('Choix pédagogiques'!$C$4&lt;&gt;"?",'Choix pédagogiques'!$C$5&lt;&gt;"?",AD1005&lt;&gt;""),(AD1005-'Choix pédagogiques'!$C$4)/('Choix pédagogiques'!$C$5-'Choix pédagogiques'!$C$4),"")</f>
        <v/>
      </c>
      <c r="AZ1005" s="53" t="str">
        <f aca="false">IF($J1005&lt;&gt;"",$J1005,"")</f>
        <v/>
      </c>
      <c r="BA1005" s="52" t="str">
        <f aca="false">IF($A1005&lt;&gt;"",$A1005,"")</f>
        <v>Apprenant 993</v>
      </c>
      <c r="BB1005" s="55" t="str">
        <f aca="false">IF(AND($AR1005&lt;&gt;"",$AS1005&lt;&gt;""),$AS1005-$AR1005,"")</f>
        <v/>
      </c>
      <c r="BC1005" s="55" t="str">
        <f aca="false">IF(AND($AR1005&lt;&gt;"",$AT1005&lt;&gt;""),$AT1005-$AR1005,"")</f>
        <v/>
      </c>
      <c r="BD1005" s="55" t="str">
        <f aca="false">IF(AND($AS1005&lt;&gt;"",$AT1005&lt;&gt;""),$AT1005-$AS1005,"")</f>
        <v/>
      </c>
      <c r="BE1005" s="53" t="str">
        <f aca="false">IF($E1005&lt;&gt;"",$E1005,"")</f>
        <v/>
      </c>
      <c r="BF1005" s="52" t="str">
        <f aca="false">IF($F1005&lt;&gt;"",$F1005,"")</f>
        <v>Apprenant 993 ou 993'</v>
      </c>
      <c r="BG1005" s="55" t="str">
        <f aca="false">IF(AND($AW1005&lt;&gt;"",$AX1005&lt;&gt;""),$AX1005-$AW1005,"")</f>
        <v/>
      </c>
      <c r="BH1005" s="55" t="str">
        <f aca="false">IF(AND($AW1005&lt;&gt;"",$AY1005&lt;&gt;""),$AY1005-$AW1005,"")</f>
        <v/>
      </c>
      <c r="BI1005" s="55" t="str">
        <f aca="false">IF(AND($AX1005&lt;&gt;"",$AY1005&lt;&gt;""),$AY1005-$AX1005,"")</f>
        <v/>
      </c>
      <c r="BJ1005" s="53" t="str">
        <f aca="false">IF($J1005&lt;&gt;"",$J1005,"")</f>
        <v/>
      </c>
      <c r="BL1005" s="52"/>
      <c r="BM1005" s="52" t="str">
        <f aca="false">IF(OR(COUNT(B1005:D2004)=0,AND('Choix pédagogiques'!$C$3&lt;&gt;1,'Choix pédagogiques'!$C$3&lt;&gt;2)),"",IF(AND(OR('Choix pédagogiques'!$C$3=1,'Choix pédagogiques'!$C$3=2),$B1005&lt;&gt;"",$C1005&lt;&gt;"",$D1005&lt;&gt;""),1,0))</f>
        <v/>
      </c>
      <c r="BN1005" s="52" t="str">
        <f aca="false">IF(OR(COUNT(G1005:I2004)=0,AND('Choix pédagogiques'!$C$3&lt;&gt;1,'Choix pédagogiques'!$C$3&lt;&gt;2)),"",IF(AND(OR('Choix pédagogiques'!$C$3=1,'Choix pédagogiques'!$C$3=2),AND($G1005&lt;&gt;"",$H1005&lt;&gt;"",$I1005&lt;&gt;"")),1,0))</f>
        <v/>
      </c>
      <c r="BO1005" s="52" t="str">
        <f aca="false">IF(OR(COUNT(B1005:D2004)=0,COUNT(G1005:I2004)=0,'Choix pédagogiques'!C$3&lt;&gt;3),"",IF(AND('Choix pédagogiques'!$C$3=3,$B1005&lt;&gt;"",$C1005&lt;&gt;"",$D1005&lt;&gt;"",$G1005&lt;&gt;"",$H1005&lt;&gt;"",$I1005&lt;&gt;""),1,0))</f>
        <v/>
      </c>
      <c r="BR1005" s="52" t="n">
        <v>780</v>
      </c>
      <c r="BS1005" s="52" t="n">
        <v>1503</v>
      </c>
    </row>
    <row r="1006" s="54" customFormat="true" ht="18" hidden="false" customHeight="true" outlineLevel="0" collapsed="false">
      <c r="A1006" s="57" t="s">
        <v>1943</v>
      </c>
      <c r="B1006" s="51"/>
      <c r="C1006" s="51"/>
      <c r="D1006" s="51"/>
      <c r="E1006" s="51"/>
      <c r="F1006" s="57" t="s">
        <v>1944</v>
      </c>
      <c r="G1006" s="51"/>
      <c r="H1006" s="51"/>
      <c r="I1006" s="51"/>
      <c r="J1006" s="51"/>
      <c r="K1006" s="52" t="str">
        <f aca="false">IF($A1006&lt;&gt;"",$A1006,"")</f>
        <v>Apprenant 994</v>
      </c>
      <c r="L1006" s="53" t="str">
        <f aca="false">IF(AND($B1006&lt;&gt;"",$C1006&lt;&gt;""),$C1006-$B1006,"")</f>
        <v/>
      </c>
      <c r="M1006" s="53" t="str">
        <f aca="false">IF(AND($B1006&lt;&gt;"",$D1006&lt;&gt;""),$D1006-$B1006,"")</f>
        <v/>
      </c>
      <c r="N1006" s="53" t="str">
        <f aca="false">IF(AND($C1006&lt;&gt;"",$D1006&lt;&gt;""),$D1006-$C1006,"")</f>
        <v/>
      </c>
      <c r="O1006" s="53" t="str">
        <f aca="false">IF($E1006&lt;&gt;"",$E1006,"")</f>
        <v/>
      </c>
      <c r="P1006" s="52" t="str">
        <f aca="false">IF($F1006&lt;&gt;"",$F1006,"")</f>
        <v>Apprenant 994 ou 994'</v>
      </c>
      <c r="Q1006" s="53" t="str">
        <f aca="false">IF(AND($G1006&lt;&gt;"",$H1006&lt;&gt;""),$H1006-$G1006,"")</f>
        <v/>
      </c>
      <c r="R1006" s="53" t="str">
        <f aca="false">IF(AND($G1006&lt;&gt;"",$I1006&lt;&gt;""),$I1006-$G1006,"")</f>
        <v/>
      </c>
      <c r="S1006" s="53" t="str">
        <f aca="false">IF(AND($H1006&lt;&gt;"",$I1006&lt;&gt;""),$I1006-$H1006,"")</f>
        <v/>
      </c>
      <c r="T1006" s="53" t="str">
        <f aca="false">IF($J1006&lt;&gt;"",$J1006,"")</f>
        <v/>
      </c>
      <c r="V1006" s="52" t="str">
        <f aca="false">IF($A1006&lt;&gt;"",$A1006,"")</f>
        <v>Apprenant 994</v>
      </c>
      <c r="W1006" s="53" t="str">
        <f aca="false">IF(AND(OR('Choix pédagogiques'!$C$3=1,'Choix pédagogiques'!$C$3=2),$BM1006=1),B1006,IF(AND('Choix pédagogiques'!$C$3=3,$BO1006=1),B1006,""))</f>
        <v/>
      </c>
      <c r="X1006" s="53" t="str">
        <f aca="false">IF(AND(OR('Choix pédagogiques'!$C$3=1,'Choix pédagogiques'!$C$3=2),$BM1006=1),C1006,IF(AND('Choix pédagogiques'!$C$3=3,$BO1006=1),C1006,""))</f>
        <v/>
      </c>
      <c r="Y1006" s="53" t="str">
        <f aca="false">IF(AND(OR('Choix pédagogiques'!$C$3=1,'Choix pédagogiques'!$C$3=2),$BM1006=1),D1006,IF(AND('Choix pédagogiques'!$C$3=3,$BO1006=1),D1006,""))</f>
        <v/>
      </c>
      <c r="Z1006" s="53" t="str">
        <f aca="false">IF($E1006&lt;&gt;"",$E1006,"")</f>
        <v/>
      </c>
      <c r="AA1006" s="52" t="str">
        <f aca="false">IF($F1006&lt;&gt;"",$F1006,"")</f>
        <v>Apprenant 994 ou 994'</v>
      </c>
      <c r="AB1006" s="53" t="str">
        <f aca="false">IF(AND(OR('Choix pédagogiques'!$C$3=1,'Choix pédagogiques'!$C$3=2),$BN1006=1),G1006,IF(AND('Choix pédagogiques'!$C$3=3,$BO1006=1),G1006,""))</f>
        <v/>
      </c>
      <c r="AC1006" s="53" t="str">
        <f aca="false">IF(AND(OR('Choix pédagogiques'!$C$3=1,'Choix pédagogiques'!$C$3=2),$BN1006=1),H1006,IF(AND('Choix pédagogiques'!$C$3=3,$BO1006=1),H1006,""))</f>
        <v/>
      </c>
      <c r="AD1006" s="53" t="str">
        <f aca="false">IF(AND(OR('Choix pédagogiques'!$C$3=1,'Choix pédagogiques'!$C$3=2),$BN1006=1),I1006,IF(AND('Choix pédagogiques'!$C$3=3,$BO1006=1),I1006,""))</f>
        <v/>
      </c>
      <c r="AE1006" s="53" t="str">
        <f aca="false">IF($J1006&lt;&gt;"",$J1006,"")</f>
        <v/>
      </c>
      <c r="AF1006" s="52" t="str">
        <f aca="false">IF($A1006&lt;&gt;"",$A1006,"")</f>
        <v>Apprenant 994</v>
      </c>
      <c r="AG1006" s="53" t="str">
        <f aca="false">IF(AND($W1006&lt;&gt;"",$X1006&lt;&gt;""),$X1006-$W1006,"")</f>
        <v/>
      </c>
      <c r="AH1006" s="53" t="str">
        <f aca="false">IF(AND($W1006&lt;&gt;"",$Y1006&lt;&gt;""),$Y1006-$W1006,"")</f>
        <v/>
      </c>
      <c r="AI1006" s="53" t="str">
        <f aca="false">IF(AND($X1006&lt;&gt;"",$Y1006&lt;&gt;""),$Y1006-$X1006,"")</f>
        <v/>
      </c>
      <c r="AJ1006" s="53" t="str">
        <f aca="false">IF($E1006&lt;&gt;"",$E1006,"")</f>
        <v/>
      </c>
      <c r="AK1006" s="52" t="str">
        <f aca="false">IF($F1006&lt;&gt;"",$F1006,"")</f>
        <v>Apprenant 994 ou 994'</v>
      </c>
      <c r="AL1006" s="53" t="str">
        <f aca="false">IF(AND($AB1006&lt;&gt;"",$AC1006&lt;&gt;""),$AC1006-$AB1006,"")</f>
        <v/>
      </c>
      <c r="AM1006" s="53" t="str">
        <f aca="false">IF(AND($AB1006&lt;&gt;"",$AD1006&lt;&gt;""),$AD1006-$AB1006,"")</f>
        <v/>
      </c>
      <c r="AN1006" s="53" t="str">
        <f aca="false">IF(AND($AC1006&lt;&gt;"",$AD1006&lt;&gt;""),$AD1006-$AC1006,"")</f>
        <v/>
      </c>
      <c r="AO1006" s="53" t="str">
        <f aca="false">IF($J1006&lt;&gt;"",$J1006,"")</f>
        <v/>
      </c>
      <c r="AQ1006" s="52" t="str">
        <f aca="false">IF($A1006&lt;&gt;"",$A1006,"")</f>
        <v>Apprenant 994</v>
      </c>
      <c r="AR1006" s="55" t="str">
        <f aca="false">IF(AND('Choix pédagogiques'!$C$4&lt;&gt;"?",'Choix pédagogiques'!$C$5&lt;&gt;"?",W1006&lt;&gt;""),(W1006-'Choix pédagogiques'!$C$4)/('Choix pédagogiques'!$C$5-'Choix pédagogiques'!$C$4),"")</f>
        <v/>
      </c>
      <c r="AS1006" s="55" t="str">
        <f aca="false">IF(AND('Choix pédagogiques'!$C$4&lt;&gt;"?",'Choix pédagogiques'!$C$5&lt;&gt;"?",X1006&lt;&gt;""),(X1006-'Choix pédagogiques'!$C$4)/('Choix pédagogiques'!$C$5-'Choix pédagogiques'!$C$4),"")</f>
        <v/>
      </c>
      <c r="AT1006" s="55" t="str">
        <f aca="false">IF(AND('Choix pédagogiques'!$C$4&lt;&gt;"?",'Choix pédagogiques'!$C$5&lt;&gt;"?",Y1006&lt;&gt;""),(Y1006-'Choix pédagogiques'!$C$4)/('Choix pédagogiques'!$C$5-'Choix pédagogiques'!$C$4),"")</f>
        <v/>
      </c>
      <c r="AU1006" s="53" t="str">
        <f aca="false">IF($E1006&lt;&gt;"",$E1006,"")</f>
        <v/>
      </c>
      <c r="AV1006" s="52" t="str">
        <f aca="false">IF($F1006&lt;&gt;"",$F1006,"")</f>
        <v>Apprenant 994 ou 994'</v>
      </c>
      <c r="AW1006" s="55" t="str">
        <f aca="false">IF(AND('Choix pédagogiques'!$C$4&lt;&gt;"?",'Choix pédagogiques'!$C$5&lt;&gt;"?",AB1006&lt;&gt;""),(AB1006-'Choix pédagogiques'!$C$4)/('Choix pédagogiques'!$C$5-'Choix pédagogiques'!$C$4),"")</f>
        <v/>
      </c>
      <c r="AX1006" s="55" t="str">
        <f aca="false">IF(AND('Choix pédagogiques'!$C$4&lt;&gt;"?",'Choix pédagogiques'!$C$5&lt;&gt;"?",AC1006&lt;&gt;""),(AC1006-'Choix pédagogiques'!$C$4)/('Choix pédagogiques'!$C$5-'Choix pédagogiques'!$C$4),"")</f>
        <v/>
      </c>
      <c r="AY1006" s="55" t="str">
        <f aca="false">IF(AND('Choix pédagogiques'!$C$4&lt;&gt;"?",'Choix pédagogiques'!$C$5&lt;&gt;"?",AD1006&lt;&gt;""),(AD1006-'Choix pédagogiques'!$C$4)/('Choix pédagogiques'!$C$5-'Choix pédagogiques'!$C$4),"")</f>
        <v/>
      </c>
      <c r="AZ1006" s="53" t="str">
        <f aca="false">IF($J1006&lt;&gt;"",$J1006,"")</f>
        <v/>
      </c>
      <c r="BA1006" s="52" t="str">
        <f aca="false">IF($A1006&lt;&gt;"",$A1006,"")</f>
        <v>Apprenant 994</v>
      </c>
      <c r="BB1006" s="55" t="str">
        <f aca="false">IF(AND($AR1006&lt;&gt;"",$AS1006&lt;&gt;""),$AS1006-$AR1006,"")</f>
        <v/>
      </c>
      <c r="BC1006" s="55" t="str">
        <f aca="false">IF(AND($AR1006&lt;&gt;"",$AT1006&lt;&gt;""),$AT1006-$AR1006,"")</f>
        <v/>
      </c>
      <c r="BD1006" s="55" t="str">
        <f aca="false">IF(AND($AS1006&lt;&gt;"",$AT1006&lt;&gt;""),$AT1006-$AS1006,"")</f>
        <v/>
      </c>
      <c r="BE1006" s="53" t="str">
        <f aca="false">IF($E1006&lt;&gt;"",$E1006,"")</f>
        <v/>
      </c>
      <c r="BF1006" s="52" t="str">
        <f aca="false">IF($F1006&lt;&gt;"",$F1006,"")</f>
        <v>Apprenant 994 ou 994'</v>
      </c>
      <c r="BG1006" s="55" t="str">
        <f aca="false">IF(AND($AW1006&lt;&gt;"",$AX1006&lt;&gt;""),$AX1006-$AW1006,"")</f>
        <v/>
      </c>
      <c r="BH1006" s="55" t="str">
        <f aca="false">IF(AND($AW1006&lt;&gt;"",$AY1006&lt;&gt;""),$AY1006-$AW1006,"")</f>
        <v/>
      </c>
      <c r="BI1006" s="55" t="str">
        <f aca="false">IF(AND($AX1006&lt;&gt;"",$AY1006&lt;&gt;""),$AY1006-$AX1006,"")</f>
        <v/>
      </c>
      <c r="BJ1006" s="53" t="str">
        <f aca="false">IF($J1006&lt;&gt;"",$J1006,"")</f>
        <v/>
      </c>
      <c r="BL1006" s="52"/>
      <c r="BM1006" s="52" t="str">
        <f aca="false">IF(OR(COUNT(B1006:D2005)=0,AND('Choix pédagogiques'!$C$3&lt;&gt;1,'Choix pédagogiques'!$C$3&lt;&gt;2)),"",IF(AND(OR('Choix pédagogiques'!$C$3=1,'Choix pédagogiques'!$C$3=2),$B1006&lt;&gt;"",$C1006&lt;&gt;"",$D1006&lt;&gt;""),1,0))</f>
        <v/>
      </c>
      <c r="BN1006" s="52" t="str">
        <f aca="false">IF(OR(COUNT(G1006:I2005)=0,AND('Choix pédagogiques'!$C$3&lt;&gt;1,'Choix pédagogiques'!$C$3&lt;&gt;2)),"",IF(AND(OR('Choix pédagogiques'!$C$3=1,'Choix pédagogiques'!$C$3=2),AND($G1006&lt;&gt;"",$H1006&lt;&gt;"",$I1006&lt;&gt;"")),1,0))</f>
        <v/>
      </c>
      <c r="BO1006" s="52" t="str">
        <f aca="false">IF(OR(COUNT(B1006:D2005)=0,COUNT(G1006:I2005)=0,'Choix pédagogiques'!C$3&lt;&gt;3),"",IF(AND('Choix pédagogiques'!$C$3=3,$B1006&lt;&gt;"",$C1006&lt;&gt;"",$D1006&lt;&gt;"",$G1006&lt;&gt;"",$H1006&lt;&gt;"",$I1006&lt;&gt;""),1,0))</f>
        <v/>
      </c>
      <c r="BR1006" s="52" t="n">
        <v>899</v>
      </c>
      <c r="BS1006" s="52" t="n">
        <v>1175</v>
      </c>
    </row>
    <row r="1007" s="54" customFormat="true" ht="18" hidden="false" customHeight="true" outlineLevel="0" collapsed="false">
      <c r="A1007" s="57" t="s">
        <v>1945</v>
      </c>
      <c r="B1007" s="51"/>
      <c r="C1007" s="51"/>
      <c r="D1007" s="51"/>
      <c r="E1007" s="51"/>
      <c r="F1007" s="57" t="s">
        <v>1946</v>
      </c>
      <c r="G1007" s="51"/>
      <c r="H1007" s="51"/>
      <c r="I1007" s="51"/>
      <c r="J1007" s="51"/>
      <c r="K1007" s="52" t="str">
        <f aca="false">IF($A1007&lt;&gt;"",$A1007,"")</f>
        <v>Apprenant 995</v>
      </c>
      <c r="L1007" s="53" t="str">
        <f aca="false">IF(AND($B1007&lt;&gt;"",$C1007&lt;&gt;""),$C1007-$B1007,"")</f>
        <v/>
      </c>
      <c r="M1007" s="53" t="str">
        <f aca="false">IF(AND($B1007&lt;&gt;"",$D1007&lt;&gt;""),$D1007-$B1007,"")</f>
        <v/>
      </c>
      <c r="N1007" s="53" t="str">
        <f aca="false">IF(AND($C1007&lt;&gt;"",$D1007&lt;&gt;""),$D1007-$C1007,"")</f>
        <v/>
      </c>
      <c r="O1007" s="53" t="str">
        <f aca="false">IF($E1007&lt;&gt;"",$E1007,"")</f>
        <v/>
      </c>
      <c r="P1007" s="52" t="str">
        <f aca="false">IF($F1007&lt;&gt;"",$F1007,"")</f>
        <v>Apprenant 995 ou 995'</v>
      </c>
      <c r="Q1007" s="53" t="str">
        <f aca="false">IF(AND($G1007&lt;&gt;"",$H1007&lt;&gt;""),$H1007-$G1007,"")</f>
        <v/>
      </c>
      <c r="R1007" s="53" t="str">
        <f aca="false">IF(AND($G1007&lt;&gt;"",$I1007&lt;&gt;""),$I1007-$G1007,"")</f>
        <v/>
      </c>
      <c r="S1007" s="53" t="str">
        <f aca="false">IF(AND($H1007&lt;&gt;"",$I1007&lt;&gt;""),$I1007-$H1007,"")</f>
        <v/>
      </c>
      <c r="T1007" s="53" t="str">
        <f aca="false">IF($J1007&lt;&gt;"",$J1007,"")</f>
        <v/>
      </c>
      <c r="V1007" s="52" t="str">
        <f aca="false">IF($A1007&lt;&gt;"",$A1007,"")</f>
        <v>Apprenant 995</v>
      </c>
      <c r="W1007" s="53" t="str">
        <f aca="false">IF(AND(OR('Choix pédagogiques'!$C$3=1,'Choix pédagogiques'!$C$3=2),$BM1007=1),B1007,IF(AND('Choix pédagogiques'!$C$3=3,$BO1007=1),B1007,""))</f>
        <v/>
      </c>
      <c r="X1007" s="53" t="str">
        <f aca="false">IF(AND(OR('Choix pédagogiques'!$C$3=1,'Choix pédagogiques'!$C$3=2),$BM1007=1),C1007,IF(AND('Choix pédagogiques'!$C$3=3,$BO1007=1),C1007,""))</f>
        <v/>
      </c>
      <c r="Y1007" s="53" t="str">
        <f aca="false">IF(AND(OR('Choix pédagogiques'!$C$3=1,'Choix pédagogiques'!$C$3=2),$BM1007=1),D1007,IF(AND('Choix pédagogiques'!$C$3=3,$BO1007=1),D1007,""))</f>
        <v/>
      </c>
      <c r="Z1007" s="53" t="str">
        <f aca="false">IF($E1007&lt;&gt;"",$E1007,"")</f>
        <v/>
      </c>
      <c r="AA1007" s="52" t="str">
        <f aca="false">IF($F1007&lt;&gt;"",$F1007,"")</f>
        <v>Apprenant 995 ou 995'</v>
      </c>
      <c r="AB1007" s="53" t="str">
        <f aca="false">IF(AND(OR('Choix pédagogiques'!$C$3=1,'Choix pédagogiques'!$C$3=2),$BN1007=1),G1007,IF(AND('Choix pédagogiques'!$C$3=3,$BO1007=1),G1007,""))</f>
        <v/>
      </c>
      <c r="AC1007" s="53" t="str">
        <f aca="false">IF(AND(OR('Choix pédagogiques'!$C$3=1,'Choix pédagogiques'!$C$3=2),$BN1007=1),H1007,IF(AND('Choix pédagogiques'!$C$3=3,$BO1007=1),H1007,""))</f>
        <v/>
      </c>
      <c r="AD1007" s="53" t="str">
        <f aca="false">IF(AND(OR('Choix pédagogiques'!$C$3=1,'Choix pédagogiques'!$C$3=2),$BN1007=1),I1007,IF(AND('Choix pédagogiques'!$C$3=3,$BO1007=1),I1007,""))</f>
        <v/>
      </c>
      <c r="AE1007" s="53" t="str">
        <f aca="false">IF($J1007&lt;&gt;"",$J1007,"")</f>
        <v/>
      </c>
      <c r="AF1007" s="52" t="str">
        <f aca="false">IF($A1007&lt;&gt;"",$A1007,"")</f>
        <v>Apprenant 995</v>
      </c>
      <c r="AG1007" s="53" t="str">
        <f aca="false">IF(AND($W1007&lt;&gt;"",$X1007&lt;&gt;""),$X1007-$W1007,"")</f>
        <v/>
      </c>
      <c r="AH1007" s="53" t="str">
        <f aca="false">IF(AND($W1007&lt;&gt;"",$Y1007&lt;&gt;""),$Y1007-$W1007,"")</f>
        <v/>
      </c>
      <c r="AI1007" s="53" t="str">
        <f aca="false">IF(AND($X1007&lt;&gt;"",$Y1007&lt;&gt;""),$Y1007-$X1007,"")</f>
        <v/>
      </c>
      <c r="AJ1007" s="53" t="str">
        <f aca="false">IF($E1007&lt;&gt;"",$E1007,"")</f>
        <v/>
      </c>
      <c r="AK1007" s="52" t="str">
        <f aca="false">IF($F1007&lt;&gt;"",$F1007,"")</f>
        <v>Apprenant 995 ou 995'</v>
      </c>
      <c r="AL1007" s="53" t="str">
        <f aca="false">IF(AND($AB1007&lt;&gt;"",$AC1007&lt;&gt;""),$AC1007-$AB1007,"")</f>
        <v/>
      </c>
      <c r="AM1007" s="53" t="str">
        <f aca="false">IF(AND($AB1007&lt;&gt;"",$AD1007&lt;&gt;""),$AD1007-$AB1007,"")</f>
        <v/>
      </c>
      <c r="AN1007" s="53" t="str">
        <f aca="false">IF(AND($AC1007&lt;&gt;"",$AD1007&lt;&gt;""),$AD1007-$AC1007,"")</f>
        <v/>
      </c>
      <c r="AO1007" s="53" t="str">
        <f aca="false">IF($J1007&lt;&gt;"",$J1007,"")</f>
        <v/>
      </c>
      <c r="AQ1007" s="52" t="str">
        <f aca="false">IF($A1007&lt;&gt;"",$A1007,"")</f>
        <v>Apprenant 995</v>
      </c>
      <c r="AR1007" s="55" t="str">
        <f aca="false">IF(AND('Choix pédagogiques'!$C$4&lt;&gt;"?",'Choix pédagogiques'!$C$5&lt;&gt;"?",W1007&lt;&gt;""),(W1007-'Choix pédagogiques'!$C$4)/('Choix pédagogiques'!$C$5-'Choix pédagogiques'!$C$4),"")</f>
        <v/>
      </c>
      <c r="AS1007" s="55" t="str">
        <f aca="false">IF(AND('Choix pédagogiques'!$C$4&lt;&gt;"?",'Choix pédagogiques'!$C$5&lt;&gt;"?",X1007&lt;&gt;""),(X1007-'Choix pédagogiques'!$C$4)/('Choix pédagogiques'!$C$5-'Choix pédagogiques'!$C$4),"")</f>
        <v/>
      </c>
      <c r="AT1007" s="55" t="str">
        <f aca="false">IF(AND('Choix pédagogiques'!$C$4&lt;&gt;"?",'Choix pédagogiques'!$C$5&lt;&gt;"?",Y1007&lt;&gt;""),(Y1007-'Choix pédagogiques'!$C$4)/('Choix pédagogiques'!$C$5-'Choix pédagogiques'!$C$4),"")</f>
        <v/>
      </c>
      <c r="AU1007" s="53" t="str">
        <f aca="false">IF($E1007&lt;&gt;"",$E1007,"")</f>
        <v/>
      </c>
      <c r="AV1007" s="52" t="str">
        <f aca="false">IF($F1007&lt;&gt;"",$F1007,"")</f>
        <v>Apprenant 995 ou 995'</v>
      </c>
      <c r="AW1007" s="55" t="str">
        <f aca="false">IF(AND('Choix pédagogiques'!$C$4&lt;&gt;"?",'Choix pédagogiques'!$C$5&lt;&gt;"?",AB1007&lt;&gt;""),(AB1007-'Choix pédagogiques'!$C$4)/('Choix pédagogiques'!$C$5-'Choix pédagogiques'!$C$4),"")</f>
        <v/>
      </c>
      <c r="AX1007" s="55" t="str">
        <f aca="false">IF(AND('Choix pédagogiques'!$C$4&lt;&gt;"?",'Choix pédagogiques'!$C$5&lt;&gt;"?",AC1007&lt;&gt;""),(AC1007-'Choix pédagogiques'!$C$4)/('Choix pédagogiques'!$C$5-'Choix pédagogiques'!$C$4),"")</f>
        <v/>
      </c>
      <c r="AY1007" s="55" t="str">
        <f aca="false">IF(AND('Choix pédagogiques'!$C$4&lt;&gt;"?",'Choix pédagogiques'!$C$5&lt;&gt;"?",AD1007&lt;&gt;""),(AD1007-'Choix pédagogiques'!$C$4)/('Choix pédagogiques'!$C$5-'Choix pédagogiques'!$C$4),"")</f>
        <v/>
      </c>
      <c r="AZ1007" s="53" t="str">
        <f aca="false">IF($J1007&lt;&gt;"",$J1007,"")</f>
        <v/>
      </c>
      <c r="BA1007" s="52" t="str">
        <f aca="false">IF($A1007&lt;&gt;"",$A1007,"")</f>
        <v>Apprenant 995</v>
      </c>
      <c r="BB1007" s="55" t="str">
        <f aca="false">IF(AND($AR1007&lt;&gt;"",$AS1007&lt;&gt;""),$AS1007-$AR1007,"")</f>
        <v/>
      </c>
      <c r="BC1007" s="55" t="str">
        <f aca="false">IF(AND($AR1007&lt;&gt;"",$AT1007&lt;&gt;""),$AT1007-$AR1007,"")</f>
        <v/>
      </c>
      <c r="BD1007" s="55" t="str">
        <f aca="false">IF(AND($AS1007&lt;&gt;"",$AT1007&lt;&gt;""),$AT1007-$AS1007,"")</f>
        <v/>
      </c>
      <c r="BE1007" s="53" t="str">
        <f aca="false">IF($E1007&lt;&gt;"",$E1007,"")</f>
        <v/>
      </c>
      <c r="BF1007" s="52" t="str">
        <f aca="false">IF($F1007&lt;&gt;"",$F1007,"")</f>
        <v>Apprenant 995 ou 995'</v>
      </c>
      <c r="BG1007" s="55" t="str">
        <f aca="false">IF(AND($AW1007&lt;&gt;"",$AX1007&lt;&gt;""),$AX1007-$AW1007,"")</f>
        <v/>
      </c>
      <c r="BH1007" s="55" t="str">
        <f aca="false">IF(AND($AW1007&lt;&gt;"",$AY1007&lt;&gt;""),$AY1007-$AW1007,"")</f>
        <v/>
      </c>
      <c r="BI1007" s="55" t="str">
        <f aca="false">IF(AND($AX1007&lt;&gt;"",$AY1007&lt;&gt;""),$AY1007-$AX1007,"")</f>
        <v/>
      </c>
      <c r="BJ1007" s="53" t="str">
        <f aca="false">IF($J1007&lt;&gt;"",$J1007,"")</f>
        <v/>
      </c>
      <c r="BL1007" s="52"/>
      <c r="BM1007" s="52" t="str">
        <f aca="false">IF(OR(COUNT(B1007:D2006)=0,AND('Choix pédagogiques'!$C$3&lt;&gt;1,'Choix pédagogiques'!$C$3&lt;&gt;2)),"",IF(AND(OR('Choix pédagogiques'!$C$3=1,'Choix pédagogiques'!$C$3=2),$B1007&lt;&gt;"",$C1007&lt;&gt;"",$D1007&lt;&gt;""),1,0))</f>
        <v/>
      </c>
      <c r="BN1007" s="52" t="str">
        <f aca="false">IF(OR(COUNT(G1007:I2006)=0,AND('Choix pédagogiques'!$C$3&lt;&gt;1,'Choix pédagogiques'!$C$3&lt;&gt;2)),"",IF(AND(OR('Choix pédagogiques'!$C$3=1,'Choix pédagogiques'!$C$3=2),AND($G1007&lt;&gt;"",$H1007&lt;&gt;"",$I1007&lt;&gt;"")),1,0))</f>
        <v/>
      </c>
      <c r="BO1007" s="52" t="str">
        <f aca="false">IF(OR(COUNT(B1007:D2006)=0,COUNT(G1007:I2006)=0,'Choix pédagogiques'!C$3&lt;&gt;3),"",IF(AND('Choix pédagogiques'!$C$3=3,$B1007&lt;&gt;"",$C1007&lt;&gt;"",$D1007&lt;&gt;"",$G1007&lt;&gt;"",$H1007&lt;&gt;"",$I1007&lt;&gt;""),1,0))</f>
        <v/>
      </c>
      <c r="BR1007" s="52" t="n">
        <v>168</v>
      </c>
      <c r="BS1007" s="52" t="n">
        <v>1869</v>
      </c>
    </row>
    <row r="1008" s="54" customFormat="true" ht="18" hidden="false" customHeight="true" outlineLevel="0" collapsed="false">
      <c r="A1008" s="57" t="s">
        <v>1947</v>
      </c>
      <c r="B1008" s="51"/>
      <c r="C1008" s="51"/>
      <c r="D1008" s="51"/>
      <c r="E1008" s="51"/>
      <c r="F1008" s="57" t="s">
        <v>1948</v>
      </c>
      <c r="G1008" s="51"/>
      <c r="H1008" s="51"/>
      <c r="I1008" s="51"/>
      <c r="J1008" s="51"/>
      <c r="K1008" s="52" t="str">
        <f aca="false">IF($A1008&lt;&gt;"",$A1008,"")</f>
        <v>Apprenant 996</v>
      </c>
      <c r="L1008" s="53" t="str">
        <f aca="false">IF(AND($B1008&lt;&gt;"",$C1008&lt;&gt;""),$C1008-$B1008,"")</f>
        <v/>
      </c>
      <c r="M1008" s="53" t="str">
        <f aca="false">IF(AND($B1008&lt;&gt;"",$D1008&lt;&gt;""),$D1008-$B1008,"")</f>
        <v/>
      </c>
      <c r="N1008" s="53" t="str">
        <f aca="false">IF(AND($C1008&lt;&gt;"",$D1008&lt;&gt;""),$D1008-$C1008,"")</f>
        <v/>
      </c>
      <c r="O1008" s="53" t="str">
        <f aca="false">IF($E1008&lt;&gt;"",$E1008,"")</f>
        <v/>
      </c>
      <c r="P1008" s="52" t="str">
        <f aca="false">IF($F1008&lt;&gt;"",$F1008,"")</f>
        <v>Apprenant 996 ou 996'</v>
      </c>
      <c r="Q1008" s="53" t="str">
        <f aca="false">IF(AND($G1008&lt;&gt;"",$H1008&lt;&gt;""),$H1008-$G1008,"")</f>
        <v/>
      </c>
      <c r="R1008" s="53" t="str">
        <f aca="false">IF(AND($G1008&lt;&gt;"",$I1008&lt;&gt;""),$I1008-$G1008,"")</f>
        <v/>
      </c>
      <c r="S1008" s="53" t="str">
        <f aca="false">IF(AND($H1008&lt;&gt;"",$I1008&lt;&gt;""),$I1008-$H1008,"")</f>
        <v/>
      </c>
      <c r="T1008" s="53" t="str">
        <f aca="false">IF($J1008&lt;&gt;"",$J1008,"")</f>
        <v/>
      </c>
      <c r="V1008" s="52" t="str">
        <f aca="false">IF($A1008&lt;&gt;"",$A1008,"")</f>
        <v>Apprenant 996</v>
      </c>
      <c r="W1008" s="53" t="str">
        <f aca="false">IF(AND(OR('Choix pédagogiques'!$C$3=1,'Choix pédagogiques'!$C$3=2),$BM1008=1),B1008,IF(AND('Choix pédagogiques'!$C$3=3,$BO1008=1),B1008,""))</f>
        <v/>
      </c>
      <c r="X1008" s="53" t="str">
        <f aca="false">IF(AND(OR('Choix pédagogiques'!$C$3=1,'Choix pédagogiques'!$C$3=2),$BM1008=1),C1008,IF(AND('Choix pédagogiques'!$C$3=3,$BO1008=1),C1008,""))</f>
        <v/>
      </c>
      <c r="Y1008" s="53" t="str">
        <f aca="false">IF(AND(OR('Choix pédagogiques'!$C$3=1,'Choix pédagogiques'!$C$3=2),$BM1008=1),D1008,IF(AND('Choix pédagogiques'!$C$3=3,$BO1008=1),D1008,""))</f>
        <v/>
      </c>
      <c r="Z1008" s="53" t="str">
        <f aca="false">IF($E1008&lt;&gt;"",$E1008,"")</f>
        <v/>
      </c>
      <c r="AA1008" s="52" t="str">
        <f aca="false">IF($F1008&lt;&gt;"",$F1008,"")</f>
        <v>Apprenant 996 ou 996'</v>
      </c>
      <c r="AB1008" s="53" t="str">
        <f aca="false">IF(AND(OR('Choix pédagogiques'!$C$3=1,'Choix pédagogiques'!$C$3=2),$BN1008=1),G1008,IF(AND('Choix pédagogiques'!$C$3=3,$BO1008=1),G1008,""))</f>
        <v/>
      </c>
      <c r="AC1008" s="53" t="str">
        <f aca="false">IF(AND(OR('Choix pédagogiques'!$C$3=1,'Choix pédagogiques'!$C$3=2),$BN1008=1),H1008,IF(AND('Choix pédagogiques'!$C$3=3,$BO1008=1),H1008,""))</f>
        <v/>
      </c>
      <c r="AD1008" s="53" t="str">
        <f aca="false">IF(AND(OR('Choix pédagogiques'!$C$3=1,'Choix pédagogiques'!$C$3=2),$BN1008=1),I1008,IF(AND('Choix pédagogiques'!$C$3=3,$BO1008=1),I1008,""))</f>
        <v/>
      </c>
      <c r="AE1008" s="53" t="str">
        <f aca="false">IF($J1008&lt;&gt;"",$J1008,"")</f>
        <v/>
      </c>
      <c r="AF1008" s="52" t="str">
        <f aca="false">IF($A1008&lt;&gt;"",$A1008,"")</f>
        <v>Apprenant 996</v>
      </c>
      <c r="AG1008" s="53" t="str">
        <f aca="false">IF(AND($W1008&lt;&gt;"",$X1008&lt;&gt;""),$X1008-$W1008,"")</f>
        <v/>
      </c>
      <c r="AH1008" s="53" t="str">
        <f aca="false">IF(AND($W1008&lt;&gt;"",$Y1008&lt;&gt;""),$Y1008-$W1008,"")</f>
        <v/>
      </c>
      <c r="AI1008" s="53" t="str">
        <f aca="false">IF(AND($X1008&lt;&gt;"",$Y1008&lt;&gt;""),$Y1008-$X1008,"")</f>
        <v/>
      </c>
      <c r="AJ1008" s="53" t="str">
        <f aca="false">IF($E1008&lt;&gt;"",$E1008,"")</f>
        <v/>
      </c>
      <c r="AK1008" s="52" t="str">
        <f aca="false">IF($F1008&lt;&gt;"",$F1008,"")</f>
        <v>Apprenant 996 ou 996'</v>
      </c>
      <c r="AL1008" s="53" t="str">
        <f aca="false">IF(AND($AB1008&lt;&gt;"",$AC1008&lt;&gt;""),$AC1008-$AB1008,"")</f>
        <v/>
      </c>
      <c r="AM1008" s="53" t="str">
        <f aca="false">IF(AND($AB1008&lt;&gt;"",$AD1008&lt;&gt;""),$AD1008-$AB1008,"")</f>
        <v/>
      </c>
      <c r="AN1008" s="53" t="str">
        <f aca="false">IF(AND($AC1008&lt;&gt;"",$AD1008&lt;&gt;""),$AD1008-$AC1008,"")</f>
        <v/>
      </c>
      <c r="AO1008" s="53" t="str">
        <f aca="false">IF($J1008&lt;&gt;"",$J1008,"")</f>
        <v/>
      </c>
      <c r="AQ1008" s="52" t="str">
        <f aca="false">IF($A1008&lt;&gt;"",$A1008,"")</f>
        <v>Apprenant 996</v>
      </c>
      <c r="AR1008" s="55" t="str">
        <f aca="false">IF(AND('Choix pédagogiques'!$C$4&lt;&gt;"?",'Choix pédagogiques'!$C$5&lt;&gt;"?",W1008&lt;&gt;""),(W1008-'Choix pédagogiques'!$C$4)/('Choix pédagogiques'!$C$5-'Choix pédagogiques'!$C$4),"")</f>
        <v/>
      </c>
      <c r="AS1008" s="55" t="str">
        <f aca="false">IF(AND('Choix pédagogiques'!$C$4&lt;&gt;"?",'Choix pédagogiques'!$C$5&lt;&gt;"?",X1008&lt;&gt;""),(X1008-'Choix pédagogiques'!$C$4)/('Choix pédagogiques'!$C$5-'Choix pédagogiques'!$C$4),"")</f>
        <v/>
      </c>
      <c r="AT1008" s="55" t="str">
        <f aca="false">IF(AND('Choix pédagogiques'!$C$4&lt;&gt;"?",'Choix pédagogiques'!$C$5&lt;&gt;"?",Y1008&lt;&gt;""),(Y1008-'Choix pédagogiques'!$C$4)/('Choix pédagogiques'!$C$5-'Choix pédagogiques'!$C$4),"")</f>
        <v/>
      </c>
      <c r="AU1008" s="53" t="str">
        <f aca="false">IF($E1008&lt;&gt;"",$E1008,"")</f>
        <v/>
      </c>
      <c r="AV1008" s="52" t="str">
        <f aca="false">IF($F1008&lt;&gt;"",$F1008,"")</f>
        <v>Apprenant 996 ou 996'</v>
      </c>
      <c r="AW1008" s="55" t="str">
        <f aca="false">IF(AND('Choix pédagogiques'!$C$4&lt;&gt;"?",'Choix pédagogiques'!$C$5&lt;&gt;"?",AB1008&lt;&gt;""),(AB1008-'Choix pédagogiques'!$C$4)/('Choix pédagogiques'!$C$5-'Choix pédagogiques'!$C$4),"")</f>
        <v/>
      </c>
      <c r="AX1008" s="55" t="str">
        <f aca="false">IF(AND('Choix pédagogiques'!$C$4&lt;&gt;"?",'Choix pédagogiques'!$C$5&lt;&gt;"?",AC1008&lt;&gt;""),(AC1008-'Choix pédagogiques'!$C$4)/('Choix pédagogiques'!$C$5-'Choix pédagogiques'!$C$4),"")</f>
        <v/>
      </c>
      <c r="AY1008" s="55" t="str">
        <f aca="false">IF(AND('Choix pédagogiques'!$C$4&lt;&gt;"?",'Choix pédagogiques'!$C$5&lt;&gt;"?",AD1008&lt;&gt;""),(AD1008-'Choix pédagogiques'!$C$4)/('Choix pédagogiques'!$C$5-'Choix pédagogiques'!$C$4),"")</f>
        <v/>
      </c>
      <c r="AZ1008" s="53" t="str">
        <f aca="false">IF($J1008&lt;&gt;"",$J1008,"")</f>
        <v/>
      </c>
      <c r="BA1008" s="52" t="str">
        <f aca="false">IF($A1008&lt;&gt;"",$A1008,"")</f>
        <v>Apprenant 996</v>
      </c>
      <c r="BB1008" s="55" t="str">
        <f aca="false">IF(AND($AR1008&lt;&gt;"",$AS1008&lt;&gt;""),$AS1008-$AR1008,"")</f>
        <v/>
      </c>
      <c r="BC1008" s="55" t="str">
        <f aca="false">IF(AND($AR1008&lt;&gt;"",$AT1008&lt;&gt;""),$AT1008-$AR1008,"")</f>
        <v/>
      </c>
      <c r="BD1008" s="55" t="str">
        <f aca="false">IF(AND($AS1008&lt;&gt;"",$AT1008&lt;&gt;""),$AT1008-$AS1008,"")</f>
        <v/>
      </c>
      <c r="BE1008" s="53" t="str">
        <f aca="false">IF($E1008&lt;&gt;"",$E1008,"")</f>
        <v/>
      </c>
      <c r="BF1008" s="52" t="str">
        <f aca="false">IF($F1008&lt;&gt;"",$F1008,"")</f>
        <v>Apprenant 996 ou 996'</v>
      </c>
      <c r="BG1008" s="55" t="str">
        <f aca="false">IF(AND($AW1008&lt;&gt;"",$AX1008&lt;&gt;""),$AX1008-$AW1008,"")</f>
        <v/>
      </c>
      <c r="BH1008" s="55" t="str">
        <f aca="false">IF(AND($AW1008&lt;&gt;"",$AY1008&lt;&gt;""),$AY1008-$AW1008,"")</f>
        <v/>
      </c>
      <c r="BI1008" s="55" t="str">
        <f aca="false">IF(AND($AX1008&lt;&gt;"",$AY1008&lt;&gt;""),$AY1008-$AX1008,"")</f>
        <v/>
      </c>
      <c r="BJ1008" s="53" t="str">
        <f aca="false">IF($J1008&lt;&gt;"",$J1008,"")</f>
        <v/>
      </c>
      <c r="BL1008" s="52"/>
      <c r="BM1008" s="52" t="str">
        <f aca="false">IF(OR(COUNT(B1008:D2007)=0,AND('Choix pédagogiques'!$C$3&lt;&gt;1,'Choix pédagogiques'!$C$3&lt;&gt;2)),"",IF(AND(OR('Choix pédagogiques'!$C$3=1,'Choix pédagogiques'!$C$3=2),$B1008&lt;&gt;"",$C1008&lt;&gt;"",$D1008&lt;&gt;""),1,0))</f>
        <v/>
      </c>
      <c r="BN1008" s="52" t="str">
        <f aca="false">IF(OR(COUNT(G1008:I2007)=0,AND('Choix pédagogiques'!$C$3&lt;&gt;1,'Choix pédagogiques'!$C$3&lt;&gt;2)),"",IF(AND(OR('Choix pédagogiques'!$C$3=1,'Choix pédagogiques'!$C$3=2),AND($G1008&lt;&gt;"",$H1008&lt;&gt;"",$I1008&lt;&gt;"")),1,0))</f>
        <v/>
      </c>
      <c r="BO1008" s="52" t="str">
        <f aca="false">IF(OR(COUNT(B1008:D2007)=0,COUNT(G1008:I2007)=0,'Choix pédagogiques'!C$3&lt;&gt;3),"",IF(AND('Choix pédagogiques'!$C$3=3,$B1008&lt;&gt;"",$C1008&lt;&gt;"",$D1008&lt;&gt;"",$G1008&lt;&gt;"",$H1008&lt;&gt;"",$I1008&lt;&gt;""),1,0))</f>
        <v/>
      </c>
      <c r="BR1008" s="52" t="n">
        <v>302</v>
      </c>
      <c r="BS1008" s="52" t="n">
        <v>1640</v>
      </c>
    </row>
    <row r="1009" s="54" customFormat="true" ht="18" hidden="false" customHeight="true" outlineLevel="0" collapsed="false">
      <c r="A1009" s="57" t="s">
        <v>1949</v>
      </c>
      <c r="B1009" s="51"/>
      <c r="C1009" s="51"/>
      <c r="D1009" s="51"/>
      <c r="E1009" s="51"/>
      <c r="F1009" s="57" t="s">
        <v>1950</v>
      </c>
      <c r="G1009" s="51"/>
      <c r="H1009" s="51"/>
      <c r="I1009" s="51"/>
      <c r="J1009" s="51"/>
      <c r="K1009" s="52" t="str">
        <f aca="false">IF($A1009&lt;&gt;"",$A1009,"")</f>
        <v>Apprenant 997</v>
      </c>
      <c r="L1009" s="53" t="str">
        <f aca="false">IF(AND($B1009&lt;&gt;"",$C1009&lt;&gt;""),$C1009-$B1009,"")</f>
        <v/>
      </c>
      <c r="M1009" s="53" t="str">
        <f aca="false">IF(AND($B1009&lt;&gt;"",$D1009&lt;&gt;""),$D1009-$B1009,"")</f>
        <v/>
      </c>
      <c r="N1009" s="53" t="str">
        <f aca="false">IF(AND($C1009&lt;&gt;"",$D1009&lt;&gt;""),$D1009-$C1009,"")</f>
        <v/>
      </c>
      <c r="O1009" s="53" t="str">
        <f aca="false">IF($E1009&lt;&gt;"",$E1009,"")</f>
        <v/>
      </c>
      <c r="P1009" s="52" t="str">
        <f aca="false">IF($F1009&lt;&gt;"",$F1009,"")</f>
        <v>Apprenant 997 ou 997'</v>
      </c>
      <c r="Q1009" s="53" t="str">
        <f aca="false">IF(AND($G1009&lt;&gt;"",$H1009&lt;&gt;""),$H1009-$G1009,"")</f>
        <v/>
      </c>
      <c r="R1009" s="53" t="str">
        <f aca="false">IF(AND($G1009&lt;&gt;"",$I1009&lt;&gt;""),$I1009-$G1009,"")</f>
        <v/>
      </c>
      <c r="S1009" s="53" t="str">
        <f aca="false">IF(AND($H1009&lt;&gt;"",$I1009&lt;&gt;""),$I1009-$H1009,"")</f>
        <v/>
      </c>
      <c r="T1009" s="53" t="str">
        <f aca="false">IF($J1009&lt;&gt;"",$J1009,"")</f>
        <v/>
      </c>
      <c r="V1009" s="52" t="str">
        <f aca="false">IF($A1009&lt;&gt;"",$A1009,"")</f>
        <v>Apprenant 997</v>
      </c>
      <c r="W1009" s="53" t="str">
        <f aca="false">IF(AND(OR('Choix pédagogiques'!$C$3=1,'Choix pédagogiques'!$C$3=2),$BM1009=1),B1009,IF(AND('Choix pédagogiques'!$C$3=3,$BO1009=1),B1009,""))</f>
        <v/>
      </c>
      <c r="X1009" s="53" t="str">
        <f aca="false">IF(AND(OR('Choix pédagogiques'!$C$3=1,'Choix pédagogiques'!$C$3=2),$BM1009=1),C1009,IF(AND('Choix pédagogiques'!$C$3=3,$BO1009=1),C1009,""))</f>
        <v/>
      </c>
      <c r="Y1009" s="53" t="str">
        <f aca="false">IF(AND(OR('Choix pédagogiques'!$C$3=1,'Choix pédagogiques'!$C$3=2),$BM1009=1),D1009,IF(AND('Choix pédagogiques'!$C$3=3,$BO1009=1),D1009,""))</f>
        <v/>
      </c>
      <c r="Z1009" s="53" t="str">
        <f aca="false">IF($E1009&lt;&gt;"",$E1009,"")</f>
        <v/>
      </c>
      <c r="AA1009" s="52" t="str">
        <f aca="false">IF($F1009&lt;&gt;"",$F1009,"")</f>
        <v>Apprenant 997 ou 997'</v>
      </c>
      <c r="AB1009" s="53" t="str">
        <f aca="false">IF(AND(OR('Choix pédagogiques'!$C$3=1,'Choix pédagogiques'!$C$3=2),$BN1009=1),G1009,IF(AND('Choix pédagogiques'!$C$3=3,$BO1009=1),G1009,""))</f>
        <v/>
      </c>
      <c r="AC1009" s="53" t="str">
        <f aca="false">IF(AND(OR('Choix pédagogiques'!$C$3=1,'Choix pédagogiques'!$C$3=2),$BN1009=1),H1009,IF(AND('Choix pédagogiques'!$C$3=3,$BO1009=1),H1009,""))</f>
        <v/>
      </c>
      <c r="AD1009" s="53" t="str">
        <f aca="false">IF(AND(OR('Choix pédagogiques'!$C$3=1,'Choix pédagogiques'!$C$3=2),$BN1009=1),I1009,IF(AND('Choix pédagogiques'!$C$3=3,$BO1009=1),I1009,""))</f>
        <v/>
      </c>
      <c r="AE1009" s="53" t="str">
        <f aca="false">IF($J1009&lt;&gt;"",$J1009,"")</f>
        <v/>
      </c>
      <c r="AF1009" s="52" t="str">
        <f aca="false">IF($A1009&lt;&gt;"",$A1009,"")</f>
        <v>Apprenant 997</v>
      </c>
      <c r="AG1009" s="53" t="str">
        <f aca="false">IF(AND($W1009&lt;&gt;"",$X1009&lt;&gt;""),$X1009-$W1009,"")</f>
        <v/>
      </c>
      <c r="AH1009" s="53" t="str">
        <f aca="false">IF(AND($W1009&lt;&gt;"",$Y1009&lt;&gt;""),$Y1009-$W1009,"")</f>
        <v/>
      </c>
      <c r="AI1009" s="53" t="str">
        <f aca="false">IF(AND($X1009&lt;&gt;"",$Y1009&lt;&gt;""),$Y1009-$X1009,"")</f>
        <v/>
      </c>
      <c r="AJ1009" s="53" t="str">
        <f aca="false">IF($E1009&lt;&gt;"",$E1009,"")</f>
        <v/>
      </c>
      <c r="AK1009" s="52" t="str">
        <f aca="false">IF($F1009&lt;&gt;"",$F1009,"")</f>
        <v>Apprenant 997 ou 997'</v>
      </c>
      <c r="AL1009" s="53" t="str">
        <f aca="false">IF(AND($AB1009&lt;&gt;"",$AC1009&lt;&gt;""),$AC1009-$AB1009,"")</f>
        <v/>
      </c>
      <c r="AM1009" s="53" t="str">
        <f aca="false">IF(AND($AB1009&lt;&gt;"",$AD1009&lt;&gt;""),$AD1009-$AB1009,"")</f>
        <v/>
      </c>
      <c r="AN1009" s="53" t="str">
        <f aca="false">IF(AND($AC1009&lt;&gt;"",$AD1009&lt;&gt;""),$AD1009-$AC1009,"")</f>
        <v/>
      </c>
      <c r="AO1009" s="53" t="str">
        <f aca="false">IF($J1009&lt;&gt;"",$J1009,"")</f>
        <v/>
      </c>
      <c r="AQ1009" s="52" t="str">
        <f aca="false">IF($A1009&lt;&gt;"",$A1009,"")</f>
        <v>Apprenant 997</v>
      </c>
      <c r="AR1009" s="55" t="str">
        <f aca="false">IF(AND('Choix pédagogiques'!$C$4&lt;&gt;"?",'Choix pédagogiques'!$C$5&lt;&gt;"?",W1009&lt;&gt;""),(W1009-'Choix pédagogiques'!$C$4)/('Choix pédagogiques'!$C$5-'Choix pédagogiques'!$C$4),"")</f>
        <v/>
      </c>
      <c r="AS1009" s="55" t="str">
        <f aca="false">IF(AND('Choix pédagogiques'!$C$4&lt;&gt;"?",'Choix pédagogiques'!$C$5&lt;&gt;"?",X1009&lt;&gt;""),(X1009-'Choix pédagogiques'!$C$4)/('Choix pédagogiques'!$C$5-'Choix pédagogiques'!$C$4),"")</f>
        <v/>
      </c>
      <c r="AT1009" s="55" t="str">
        <f aca="false">IF(AND('Choix pédagogiques'!$C$4&lt;&gt;"?",'Choix pédagogiques'!$C$5&lt;&gt;"?",Y1009&lt;&gt;""),(Y1009-'Choix pédagogiques'!$C$4)/('Choix pédagogiques'!$C$5-'Choix pédagogiques'!$C$4),"")</f>
        <v/>
      </c>
      <c r="AU1009" s="53" t="str">
        <f aca="false">IF($E1009&lt;&gt;"",$E1009,"")</f>
        <v/>
      </c>
      <c r="AV1009" s="52" t="str">
        <f aca="false">IF($F1009&lt;&gt;"",$F1009,"")</f>
        <v>Apprenant 997 ou 997'</v>
      </c>
      <c r="AW1009" s="55" t="str">
        <f aca="false">IF(AND('Choix pédagogiques'!$C$4&lt;&gt;"?",'Choix pédagogiques'!$C$5&lt;&gt;"?",AB1009&lt;&gt;""),(AB1009-'Choix pédagogiques'!$C$4)/('Choix pédagogiques'!$C$5-'Choix pédagogiques'!$C$4),"")</f>
        <v/>
      </c>
      <c r="AX1009" s="55" t="str">
        <f aca="false">IF(AND('Choix pédagogiques'!$C$4&lt;&gt;"?",'Choix pédagogiques'!$C$5&lt;&gt;"?",AC1009&lt;&gt;""),(AC1009-'Choix pédagogiques'!$C$4)/('Choix pédagogiques'!$C$5-'Choix pédagogiques'!$C$4),"")</f>
        <v/>
      </c>
      <c r="AY1009" s="55" t="str">
        <f aca="false">IF(AND('Choix pédagogiques'!$C$4&lt;&gt;"?",'Choix pédagogiques'!$C$5&lt;&gt;"?",AD1009&lt;&gt;""),(AD1009-'Choix pédagogiques'!$C$4)/('Choix pédagogiques'!$C$5-'Choix pédagogiques'!$C$4),"")</f>
        <v/>
      </c>
      <c r="AZ1009" s="53" t="str">
        <f aca="false">IF($J1009&lt;&gt;"",$J1009,"")</f>
        <v/>
      </c>
      <c r="BA1009" s="52" t="str">
        <f aca="false">IF($A1009&lt;&gt;"",$A1009,"")</f>
        <v>Apprenant 997</v>
      </c>
      <c r="BB1009" s="55" t="str">
        <f aca="false">IF(AND($AR1009&lt;&gt;"",$AS1009&lt;&gt;""),$AS1009-$AR1009,"")</f>
        <v/>
      </c>
      <c r="BC1009" s="55" t="str">
        <f aca="false">IF(AND($AR1009&lt;&gt;"",$AT1009&lt;&gt;""),$AT1009-$AR1009,"")</f>
        <v/>
      </c>
      <c r="BD1009" s="55" t="str">
        <f aca="false">IF(AND($AS1009&lt;&gt;"",$AT1009&lt;&gt;""),$AT1009-$AS1009,"")</f>
        <v/>
      </c>
      <c r="BE1009" s="53" t="str">
        <f aca="false">IF($E1009&lt;&gt;"",$E1009,"")</f>
        <v/>
      </c>
      <c r="BF1009" s="52" t="str">
        <f aca="false">IF($F1009&lt;&gt;"",$F1009,"")</f>
        <v>Apprenant 997 ou 997'</v>
      </c>
      <c r="BG1009" s="55" t="str">
        <f aca="false">IF(AND($AW1009&lt;&gt;"",$AX1009&lt;&gt;""),$AX1009-$AW1009,"")</f>
        <v/>
      </c>
      <c r="BH1009" s="55" t="str">
        <f aca="false">IF(AND($AW1009&lt;&gt;"",$AY1009&lt;&gt;""),$AY1009-$AW1009,"")</f>
        <v/>
      </c>
      <c r="BI1009" s="55" t="str">
        <f aca="false">IF(AND($AX1009&lt;&gt;"",$AY1009&lt;&gt;""),$AY1009-$AX1009,"")</f>
        <v/>
      </c>
      <c r="BJ1009" s="53" t="str">
        <f aca="false">IF($J1009&lt;&gt;"",$J1009,"")</f>
        <v/>
      </c>
      <c r="BL1009" s="52"/>
      <c r="BM1009" s="52" t="str">
        <f aca="false">IF(OR(COUNT(B1009:D2008)=0,AND('Choix pédagogiques'!$C$3&lt;&gt;1,'Choix pédagogiques'!$C$3&lt;&gt;2)),"",IF(AND(OR('Choix pédagogiques'!$C$3=1,'Choix pédagogiques'!$C$3=2),$B1009&lt;&gt;"",$C1009&lt;&gt;"",$D1009&lt;&gt;""),1,0))</f>
        <v/>
      </c>
      <c r="BN1009" s="52" t="str">
        <f aca="false">IF(OR(COUNT(G1009:I2008)=0,AND('Choix pédagogiques'!$C$3&lt;&gt;1,'Choix pédagogiques'!$C$3&lt;&gt;2)),"",IF(AND(OR('Choix pédagogiques'!$C$3=1,'Choix pédagogiques'!$C$3=2),AND($G1009&lt;&gt;"",$H1009&lt;&gt;"",$I1009&lt;&gt;"")),1,0))</f>
        <v/>
      </c>
      <c r="BO1009" s="52" t="str">
        <f aca="false">IF(OR(COUNT(B1009:D2008)=0,COUNT(G1009:I2008)=0,'Choix pédagogiques'!C$3&lt;&gt;3),"",IF(AND('Choix pédagogiques'!$C$3=3,$B1009&lt;&gt;"",$C1009&lt;&gt;"",$D1009&lt;&gt;"",$G1009&lt;&gt;"",$H1009&lt;&gt;"",$I1009&lt;&gt;""),1,0))</f>
        <v/>
      </c>
      <c r="BR1009" s="52" t="n">
        <v>322</v>
      </c>
      <c r="BS1009" s="52" t="n">
        <v>1888</v>
      </c>
    </row>
    <row r="1010" s="54" customFormat="true" ht="18" hidden="false" customHeight="true" outlineLevel="0" collapsed="false">
      <c r="A1010" s="57" t="s">
        <v>1951</v>
      </c>
      <c r="B1010" s="51"/>
      <c r="C1010" s="51"/>
      <c r="D1010" s="51"/>
      <c r="E1010" s="51"/>
      <c r="F1010" s="57" t="s">
        <v>1952</v>
      </c>
      <c r="G1010" s="51"/>
      <c r="H1010" s="51"/>
      <c r="I1010" s="51"/>
      <c r="J1010" s="51"/>
      <c r="K1010" s="52" t="str">
        <f aca="false">IF($A1010&lt;&gt;"",$A1010,"")</f>
        <v>Apprenant 998</v>
      </c>
      <c r="L1010" s="53" t="str">
        <f aca="false">IF(AND($B1010&lt;&gt;"",$C1010&lt;&gt;""),$C1010-$B1010,"")</f>
        <v/>
      </c>
      <c r="M1010" s="53" t="str">
        <f aca="false">IF(AND($B1010&lt;&gt;"",$D1010&lt;&gt;""),$D1010-$B1010,"")</f>
        <v/>
      </c>
      <c r="N1010" s="53" t="str">
        <f aca="false">IF(AND($C1010&lt;&gt;"",$D1010&lt;&gt;""),$D1010-$C1010,"")</f>
        <v/>
      </c>
      <c r="O1010" s="53" t="str">
        <f aca="false">IF($E1010&lt;&gt;"",$E1010,"")</f>
        <v/>
      </c>
      <c r="P1010" s="52" t="str">
        <f aca="false">IF($F1010&lt;&gt;"",$F1010,"")</f>
        <v>Apprenant 998 ou 998'</v>
      </c>
      <c r="Q1010" s="53" t="str">
        <f aca="false">IF(AND($G1010&lt;&gt;"",$H1010&lt;&gt;""),$H1010-$G1010,"")</f>
        <v/>
      </c>
      <c r="R1010" s="53" t="str">
        <f aca="false">IF(AND($G1010&lt;&gt;"",$I1010&lt;&gt;""),$I1010-$G1010,"")</f>
        <v/>
      </c>
      <c r="S1010" s="53" t="str">
        <f aca="false">IF(AND($H1010&lt;&gt;"",$I1010&lt;&gt;""),$I1010-$H1010,"")</f>
        <v/>
      </c>
      <c r="T1010" s="53" t="str">
        <f aca="false">IF($J1010&lt;&gt;"",$J1010,"")</f>
        <v/>
      </c>
      <c r="V1010" s="52" t="str">
        <f aca="false">IF($A1010&lt;&gt;"",$A1010,"")</f>
        <v>Apprenant 998</v>
      </c>
      <c r="W1010" s="53" t="str">
        <f aca="false">IF(AND(OR('Choix pédagogiques'!$C$3=1,'Choix pédagogiques'!$C$3=2),$BM1010=1),B1010,IF(AND('Choix pédagogiques'!$C$3=3,$BO1010=1),B1010,""))</f>
        <v/>
      </c>
      <c r="X1010" s="53" t="str">
        <f aca="false">IF(AND(OR('Choix pédagogiques'!$C$3=1,'Choix pédagogiques'!$C$3=2),$BM1010=1),C1010,IF(AND('Choix pédagogiques'!$C$3=3,$BO1010=1),C1010,""))</f>
        <v/>
      </c>
      <c r="Y1010" s="53" t="str">
        <f aca="false">IF(AND(OR('Choix pédagogiques'!$C$3=1,'Choix pédagogiques'!$C$3=2),$BM1010=1),D1010,IF(AND('Choix pédagogiques'!$C$3=3,$BO1010=1),D1010,""))</f>
        <v/>
      </c>
      <c r="Z1010" s="53" t="str">
        <f aca="false">IF($E1010&lt;&gt;"",$E1010,"")</f>
        <v/>
      </c>
      <c r="AA1010" s="52" t="str">
        <f aca="false">IF($F1010&lt;&gt;"",$F1010,"")</f>
        <v>Apprenant 998 ou 998'</v>
      </c>
      <c r="AB1010" s="53" t="str">
        <f aca="false">IF(AND(OR('Choix pédagogiques'!$C$3=1,'Choix pédagogiques'!$C$3=2),$BN1010=1),G1010,IF(AND('Choix pédagogiques'!$C$3=3,$BO1010=1),G1010,""))</f>
        <v/>
      </c>
      <c r="AC1010" s="53" t="str">
        <f aca="false">IF(AND(OR('Choix pédagogiques'!$C$3=1,'Choix pédagogiques'!$C$3=2),$BN1010=1),H1010,IF(AND('Choix pédagogiques'!$C$3=3,$BO1010=1),H1010,""))</f>
        <v/>
      </c>
      <c r="AD1010" s="53" t="str">
        <f aca="false">IF(AND(OR('Choix pédagogiques'!$C$3=1,'Choix pédagogiques'!$C$3=2),$BN1010=1),I1010,IF(AND('Choix pédagogiques'!$C$3=3,$BO1010=1),I1010,""))</f>
        <v/>
      </c>
      <c r="AE1010" s="53" t="str">
        <f aca="false">IF($J1010&lt;&gt;"",$J1010,"")</f>
        <v/>
      </c>
      <c r="AF1010" s="52" t="str">
        <f aca="false">IF($A1010&lt;&gt;"",$A1010,"")</f>
        <v>Apprenant 998</v>
      </c>
      <c r="AG1010" s="53" t="str">
        <f aca="false">IF(AND($W1010&lt;&gt;"",$X1010&lt;&gt;""),$X1010-$W1010,"")</f>
        <v/>
      </c>
      <c r="AH1010" s="53" t="str">
        <f aca="false">IF(AND($W1010&lt;&gt;"",$Y1010&lt;&gt;""),$Y1010-$W1010,"")</f>
        <v/>
      </c>
      <c r="AI1010" s="53" t="str">
        <f aca="false">IF(AND($X1010&lt;&gt;"",$Y1010&lt;&gt;""),$Y1010-$X1010,"")</f>
        <v/>
      </c>
      <c r="AJ1010" s="53" t="str">
        <f aca="false">IF($E1010&lt;&gt;"",$E1010,"")</f>
        <v/>
      </c>
      <c r="AK1010" s="52" t="str">
        <f aca="false">IF($F1010&lt;&gt;"",$F1010,"")</f>
        <v>Apprenant 998 ou 998'</v>
      </c>
      <c r="AL1010" s="53" t="str">
        <f aca="false">IF(AND($AB1010&lt;&gt;"",$AC1010&lt;&gt;""),$AC1010-$AB1010,"")</f>
        <v/>
      </c>
      <c r="AM1010" s="53" t="str">
        <f aca="false">IF(AND($AB1010&lt;&gt;"",$AD1010&lt;&gt;""),$AD1010-$AB1010,"")</f>
        <v/>
      </c>
      <c r="AN1010" s="53" t="str">
        <f aca="false">IF(AND($AC1010&lt;&gt;"",$AD1010&lt;&gt;""),$AD1010-$AC1010,"")</f>
        <v/>
      </c>
      <c r="AO1010" s="53" t="str">
        <f aca="false">IF($J1010&lt;&gt;"",$J1010,"")</f>
        <v/>
      </c>
      <c r="AQ1010" s="52" t="str">
        <f aca="false">IF($A1010&lt;&gt;"",$A1010,"")</f>
        <v>Apprenant 998</v>
      </c>
      <c r="AR1010" s="55" t="str">
        <f aca="false">IF(AND('Choix pédagogiques'!$C$4&lt;&gt;"?",'Choix pédagogiques'!$C$5&lt;&gt;"?",W1010&lt;&gt;""),(W1010-'Choix pédagogiques'!$C$4)/('Choix pédagogiques'!$C$5-'Choix pédagogiques'!$C$4),"")</f>
        <v/>
      </c>
      <c r="AS1010" s="55" t="str">
        <f aca="false">IF(AND('Choix pédagogiques'!$C$4&lt;&gt;"?",'Choix pédagogiques'!$C$5&lt;&gt;"?",X1010&lt;&gt;""),(X1010-'Choix pédagogiques'!$C$4)/('Choix pédagogiques'!$C$5-'Choix pédagogiques'!$C$4),"")</f>
        <v/>
      </c>
      <c r="AT1010" s="55" t="str">
        <f aca="false">IF(AND('Choix pédagogiques'!$C$4&lt;&gt;"?",'Choix pédagogiques'!$C$5&lt;&gt;"?",Y1010&lt;&gt;""),(Y1010-'Choix pédagogiques'!$C$4)/('Choix pédagogiques'!$C$5-'Choix pédagogiques'!$C$4),"")</f>
        <v/>
      </c>
      <c r="AU1010" s="53" t="str">
        <f aca="false">IF($E1010&lt;&gt;"",$E1010,"")</f>
        <v/>
      </c>
      <c r="AV1010" s="52" t="str">
        <f aca="false">IF($F1010&lt;&gt;"",$F1010,"")</f>
        <v>Apprenant 998 ou 998'</v>
      </c>
      <c r="AW1010" s="55" t="str">
        <f aca="false">IF(AND('Choix pédagogiques'!$C$4&lt;&gt;"?",'Choix pédagogiques'!$C$5&lt;&gt;"?",AB1010&lt;&gt;""),(AB1010-'Choix pédagogiques'!$C$4)/('Choix pédagogiques'!$C$5-'Choix pédagogiques'!$C$4),"")</f>
        <v/>
      </c>
      <c r="AX1010" s="55" t="str">
        <f aca="false">IF(AND('Choix pédagogiques'!$C$4&lt;&gt;"?",'Choix pédagogiques'!$C$5&lt;&gt;"?",AC1010&lt;&gt;""),(AC1010-'Choix pédagogiques'!$C$4)/('Choix pédagogiques'!$C$5-'Choix pédagogiques'!$C$4),"")</f>
        <v/>
      </c>
      <c r="AY1010" s="55" t="str">
        <f aca="false">IF(AND('Choix pédagogiques'!$C$4&lt;&gt;"?",'Choix pédagogiques'!$C$5&lt;&gt;"?",AD1010&lt;&gt;""),(AD1010-'Choix pédagogiques'!$C$4)/('Choix pédagogiques'!$C$5-'Choix pédagogiques'!$C$4),"")</f>
        <v/>
      </c>
      <c r="AZ1010" s="53" t="str">
        <f aca="false">IF($J1010&lt;&gt;"",$J1010,"")</f>
        <v/>
      </c>
      <c r="BA1010" s="52" t="str">
        <f aca="false">IF($A1010&lt;&gt;"",$A1010,"")</f>
        <v>Apprenant 998</v>
      </c>
      <c r="BB1010" s="55" t="str">
        <f aca="false">IF(AND($AR1010&lt;&gt;"",$AS1010&lt;&gt;""),$AS1010-$AR1010,"")</f>
        <v/>
      </c>
      <c r="BC1010" s="55" t="str">
        <f aca="false">IF(AND($AR1010&lt;&gt;"",$AT1010&lt;&gt;""),$AT1010-$AR1010,"")</f>
        <v/>
      </c>
      <c r="BD1010" s="55" t="str">
        <f aca="false">IF(AND($AS1010&lt;&gt;"",$AT1010&lt;&gt;""),$AT1010-$AS1010,"")</f>
        <v/>
      </c>
      <c r="BE1010" s="53" t="str">
        <f aca="false">IF($E1010&lt;&gt;"",$E1010,"")</f>
        <v/>
      </c>
      <c r="BF1010" s="52" t="str">
        <f aca="false">IF($F1010&lt;&gt;"",$F1010,"")</f>
        <v>Apprenant 998 ou 998'</v>
      </c>
      <c r="BG1010" s="55" t="str">
        <f aca="false">IF(AND($AW1010&lt;&gt;"",$AX1010&lt;&gt;""),$AX1010-$AW1010,"")</f>
        <v/>
      </c>
      <c r="BH1010" s="55" t="str">
        <f aca="false">IF(AND($AW1010&lt;&gt;"",$AY1010&lt;&gt;""),$AY1010-$AW1010,"")</f>
        <v/>
      </c>
      <c r="BI1010" s="55" t="str">
        <f aca="false">IF(AND($AX1010&lt;&gt;"",$AY1010&lt;&gt;""),$AY1010-$AX1010,"")</f>
        <v/>
      </c>
      <c r="BJ1010" s="53" t="str">
        <f aca="false">IF($J1010&lt;&gt;"",$J1010,"")</f>
        <v/>
      </c>
      <c r="BL1010" s="52"/>
      <c r="BM1010" s="52" t="str">
        <f aca="false">IF(OR(COUNT(B1010:D2009)=0,AND('Choix pédagogiques'!$C$3&lt;&gt;1,'Choix pédagogiques'!$C$3&lt;&gt;2)),"",IF(AND(OR('Choix pédagogiques'!$C$3=1,'Choix pédagogiques'!$C$3=2),$B1010&lt;&gt;"",$C1010&lt;&gt;"",$D1010&lt;&gt;""),1,0))</f>
        <v/>
      </c>
      <c r="BN1010" s="52" t="str">
        <f aca="false">IF(OR(COUNT(G1010:I2009)=0,AND('Choix pédagogiques'!$C$3&lt;&gt;1,'Choix pédagogiques'!$C$3&lt;&gt;2)),"",IF(AND(OR('Choix pédagogiques'!$C$3=1,'Choix pédagogiques'!$C$3=2),AND($G1010&lt;&gt;"",$H1010&lt;&gt;"",$I1010&lt;&gt;"")),1,0))</f>
        <v/>
      </c>
      <c r="BO1010" s="52" t="str">
        <f aca="false">IF(OR(COUNT(B1010:D2009)=0,COUNT(G1010:I2009)=0,'Choix pédagogiques'!C$3&lt;&gt;3),"",IF(AND('Choix pédagogiques'!$C$3=3,$B1010&lt;&gt;"",$C1010&lt;&gt;"",$D1010&lt;&gt;"",$G1010&lt;&gt;"",$H1010&lt;&gt;"",$I1010&lt;&gt;""),1,0))</f>
        <v/>
      </c>
      <c r="BR1010" s="52" t="n">
        <v>798</v>
      </c>
      <c r="BS1010" s="52" t="n">
        <v>1642</v>
      </c>
    </row>
    <row r="1011" s="54" customFormat="true" ht="18" hidden="false" customHeight="true" outlineLevel="0" collapsed="false">
      <c r="A1011" s="57" t="s">
        <v>1953</v>
      </c>
      <c r="B1011" s="51"/>
      <c r="C1011" s="51"/>
      <c r="D1011" s="51"/>
      <c r="E1011" s="51"/>
      <c r="F1011" s="57" t="s">
        <v>1954</v>
      </c>
      <c r="G1011" s="51"/>
      <c r="H1011" s="51"/>
      <c r="I1011" s="51"/>
      <c r="J1011" s="51"/>
      <c r="K1011" s="52" t="str">
        <f aca="false">IF($A1011&lt;&gt;"",$A1011,"")</f>
        <v>Apprenant 999</v>
      </c>
      <c r="L1011" s="53" t="str">
        <f aca="false">IF(AND($B1011&lt;&gt;"",$C1011&lt;&gt;""),$C1011-$B1011,"")</f>
        <v/>
      </c>
      <c r="M1011" s="53" t="str">
        <f aca="false">IF(AND($B1011&lt;&gt;"",$D1011&lt;&gt;""),$D1011-$B1011,"")</f>
        <v/>
      </c>
      <c r="N1011" s="53" t="str">
        <f aca="false">IF(AND($C1011&lt;&gt;"",$D1011&lt;&gt;""),$D1011-$C1011,"")</f>
        <v/>
      </c>
      <c r="O1011" s="53" t="str">
        <f aca="false">IF($E1011&lt;&gt;"",$E1011,"")</f>
        <v/>
      </c>
      <c r="P1011" s="52" t="str">
        <f aca="false">IF($F1011&lt;&gt;"",$F1011,"")</f>
        <v>Apprenant 999 ou 999'</v>
      </c>
      <c r="Q1011" s="53" t="str">
        <f aca="false">IF(AND($G1011&lt;&gt;"",$H1011&lt;&gt;""),$H1011-$G1011,"")</f>
        <v/>
      </c>
      <c r="R1011" s="53" t="str">
        <f aca="false">IF(AND($G1011&lt;&gt;"",$I1011&lt;&gt;""),$I1011-$G1011,"")</f>
        <v/>
      </c>
      <c r="S1011" s="53" t="str">
        <f aca="false">IF(AND($H1011&lt;&gt;"",$I1011&lt;&gt;""),$I1011-$H1011,"")</f>
        <v/>
      </c>
      <c r="T1011" s="53" t="str">
        <f aca="false">IF($J1011&lt;&gt;"",$J1011,"")</f>
        <v/>
      </c>
      <c r="V1011" s="52" t="str">
        <f aca="false">IF($A1011&lt;&gt;"",$A1011,"")</f>
        <v>Apprenant 999</v>
      </c>
      <c r="W1011" s="53" t="str">
        <f aca="false">IF(AND(OR('Choix pédagogiques'!$C$3=1,'Choix pédagogiques'!$C$3=2),$BM1011=1),B1011,IF(AND('Choix pédagogiques'!$C$3=3,$BO1011=1),B1011,""))</f>
        <v/>
      </c>
      <c r="X1011" s="53" t="str">
        <f aca="false">IF(AND(OR('Choix pédagogiques'!$C$3=1,'Choix pédagogiques'!$C$3=2),$BM1011=1),C1011,IF(AND('Choix pédagogiques'!$C$3=3,$BO1011=1),C1011,""))</f>
        <v/>
      </c>
      <c r="Y1011" s="53" t="str">
        <f aca="false">IF(AND(OR('Choix pédagogiques'!$C$3=1,'Choix pédagogiques'!$C$3=2),$BM1011=1),D1011,IF(AND('Choix pédagogiques'!$C$3=3,$BO1011=1),D1011,""))</f>
        <v/>
      </c>
      <c r="Z1011" s="53" t="str">
        <f aca="false">IF($E1011&lt;&gt;"",$E1011,"")</f>
        <v/>
      </c>
      <c r="AA1011" s="52" t="str">
        <f aca="false">IF($F1011&lt;&gt;"",$F1011,"")</f>
        <v>Apprenant 999 ou 999'</v>
      </c>
      <c r="AB1011" s="53" t="str">
        <f aca="false">IF(AND(OR('Choix pédagogiques'!$C$3=1,'Choix pédagogiques'!$C$3=2),$BN1011=1),G1011,IF(AND('Choix pédagogiques'!$C$3=3,$BO1011=1),G1011,""))</f>
        <v/>
      </c>
      <c r="AC1011" s="53" t="str">
        <f aca="false">IF(AND(OR('Choix pédagogiques'!$C$3=1,'Choix pédagogiques'!$C$3=2),$BN1011=1),H1011,IF(AND('Choix pédagogiques'!$C$3=3,$BO1011=1),H1011,""))</f>
        <v/>
      </c>
      <c r="AD1011" s="53" t="str">
        <f aca="false">IF(AND(OR('Choix pédagogiques'!$C$3=1,'Choix pédagogiques'!$C$3=2),$BN1011=1),I1011,IF(AND('Choix pédagogiques'!$C$3=3,$BO1011=1),I1011,""))</f>
        <v/>
      </c>
      <c r="AE1011" s="53" t="str">
        <f aca="false">IF($J1011&lt;&gt;"",$J1011,"")</f>
        <v/>
      </c>
      <c r="AF1011" s="52" t="str">
        <f aca="false">IF($A1011&lt;&gt;"",$A1011,"")</f>
        <v>Apprenant 999</v>
      </c>
      <c r="AG1011" s="53" t="str">
        <f aca="false">IF(AND($W1011&lt;&gt;"",$X1011&lt;&gt;""),$X1011-$W1011,"")</f>
        <v/>
      </c>
      <c r="AH1011" s="53" t="str">
        <f aca="false">IF(AND($W1011&lt;&gt;"",$Y1011&lt;&gt;""),$Y1011-$W1011,"")</f>
        <v/>
      </c>
      <c r="AI1011" s="53" t="str">
        <f aca="false">IF(AND($X1011&lt;&gt;"",$Y1011&lt;&gt;""),$Y1011-$X1011,"")</f>
        <v/>
      </c>
      <c r="AJ1011" s="53" t="str">
        <f aca="false">IF($E1011&lt;&gt;"",$E1011,"")</f>
        <v/>
      </c>
      <c r="AK1011" s="52" t="str">
        <f aca="false">IF($F1011&lt;&gt;"",$F1011,"")</f>
        <v>Apprenant 999 ou 999'</v>
      </c>
      <c r="AL1011" s="53" t="str">
        <f aca="false">IF(AND($AB1011&lt;&gt;"",$AC1011&lt;&gt;""),$AC1011-$AB1011,"")</f>
        <v/>
      </c>
      <c r="AM1011" s="53" t="str">
        <f aca="false">IF(AND($AB1011&lt;&gt;"",$AD1011&lt;&gt;""),$AD1011-$AB1011,"")</f>
        <v/>
      </c>
      <c r="AN1011" s="53" t="str">
        <f aca="false">IF(AND($AC1011&lt;&gt;"",$AD1011&lt;&gt;""),$AD1011-$AC1011,"")</f>
        <v/>
      </c>
      <c r="AO1011" s="53" t="str">
        <f aca="false">IF($J1011&lt;&gt;"",$J1011,"")</f>
        <v/>
      </c>
      <c r="AQ1011" s="52" t="str">
        <f aca="false">IF($A1011&lt;&gt;"",$A1011,"")</f>
        <v>Apprenant 999</v>
      </c>
      <c r="AR1011" s="55" t="str">
        <f aca="false">IF(AND('Choix pédagogiques'!$C$4&lt;&gt;"?",'Choix pédagogiques'!$C$5&lt;&gt;"?",W1011&lt;&gt;""),(W1011-'Choix pédagogiques'!$C$4)/('Choix pédagogiques'!$C$5-'Choix pédagogiques'!$C$4),"")</f>
        <v/>
      </c>
      <c r="AS1011" s="55" t="str">
        <f aca="false">IF(AND('Choix pédagogiques'!$C$4&lt;&gt;"?",'Choix pédagogiques'!$C$5&lt;&gt;"?",X1011&lt;&gt;""),(X1011-'Choix pédagogiques'!$C$4)/('Choix pédagogiques'!$C$5-'Choix pédagogiques'!$C$4),"")</f>
        <v/>
      </c>
      <c r="AT1011" s="55" t="str">
        <f aca="false">IF(AND('Choix pédagogiques'!$C$4&lt;&gt;"?",'Choix pédagogiques'!$C$5&lt;&gt;"?",Y1011&lt;&gt;""),(Y1011-'Choix pédagogiques'!$C$4)/('Choix pédagogiques'!$C$5-'Choix pédagogiques'!$C$4),"")</f>
        <v/>
      </c>
      <c r="AU1011" s="53" t="str">
        <f aca="false">IF($E1011&lt;&gt;"",$E1011,"")</f>
        <v/>
      </c>
      <c r="AV1011" s="52" t="str">
        <f aca="false">IF($F1011&lt;&gt;"",$F1011,"")</f>
        <v>Apprenant 999 ou 999'</v>
      </c>
      <c r="AW1011" s="55" t="str">
        <f aca="false">IF(AND('Choix pédagogiques'!$C$4&lt;&gt;"?",'Choix pédagogiques'!$C$5&lt;&gt;"?",AB1011&lt;&gt;""),(AB1011-'Choix pédagogiques'!$C$4)/('Choix pédagogiques'!$C$5-'Choix pédagogiques'!$C$4),"")</f>
        <v/>
      </c>
      <c r="AX1011" s="55" t="str">
        <f aca="false">IF(AND('Choix pédagogiques'!$C$4&lt;&gt;"?",'Choix pédagogiques'!$C$5&lt;&gt;"?",AC1011&lt;&gt;""),(AC1011-'Choix pédagogiques'!$C$4)/('Choix pédagogiques'!$C$5-'Choix pédagogiques'!$C$4),"")</f>
        <v/>
      </c>
      <c r="AY1011" s="55" t="str">
        <f aca="false">IF(AND('Choix pédagogiques'!$C$4&lt;&gt;"?",'Choix pédagogiques'!$C$5&lt;&gt;"?",AD1011&lt;&gt;""),(AD1011-'Choix pédagogiques'!$C$4)/('Choix pédagogiques'!$C$5-'Choix pédagogiques'!$C$4),"")</f>
        <v/>
      </c>
      <c r="AZ1011" s="53" t="str">
        <f aca="false">IF($J1011&lt;&gt;"",$J1011,"")</f>
        <v/>
      </c>
      <c r="BA1011" s="52" t="str">
        <f aca="false">IF($A1011&lt;&gt;"",$A1011,"")</f>
        <v>Apprenant 999</v>
      </c>
      <c r="BB1011" s="55" t="str">
        <f aca="false">IF(AND($AR1011&lt;&gt;"",$AS1011&lt;&gt;""),$AS1011-$AR1011,"")</f>
        <v/>
      </c>
      <c r="BC1011" s="55" t="str">
        <f aca="false">IF(AND($AR1011&lt;&gt;"",$AT1011&lt;&gt;""),$AT1011-$AR1011,"")</f>
        <v/>
      </c>
      <c r="BD1011" s="55" t="str">
        <f aca="false">IF(AND($AS1011&lt;&gt;"",$AT1011&lt;&gt;""),$AT1011-$AS1011,"")</f>
        <v/>
      </c>
      <c r="BE1011" s="53" t="str">
        <f aca="false">IF($E1011&lt;&gt;"",$E1011,"")</f>
        <v/>
      </c>
      <c r="BF1011" s="52" t="str">
        <f aca="false">IF($F1011&lt;&gt;"",$F1011,"")</f>
        <v>Apprenant 999 ou 999'</v>
      </c>
      <c r="BG1011" s="55" t="str">
        <f aca="false">IF(AND($AW1011&lt;&gt;"",$AX1011&lt;&gt;""),$AX1011-$AW1011,"")</f>
        <v/>
      </c>
      <c r="BH1011" s="55" t="str">
        <f aca="false">IF(AND($AW1011&lt;&gt;"",$AY1011&lt;&gt;""),$AY1011-$AW1011,"")</f>
        <v/>
      </c>
      <c r="BI1011" s="55" t="str">
        <f aca="false">IF(AND($AX1011&lt;&gt;"",$AY1011&lt;&gt;""),$AY1011-$AX1011,"")</f>
        <v/>
      </c>
      <c r="BJ1011" s="53" t="str">
        <f aca="false">IF($J1011&lt;&gt;"",$J1011,"")</f>
        <v/>
      </c>
      <c r="BL1011" s="52"/>
      <c r="BM1011" s="52" t="str">
        <f aca="false">IF(OR(COUNT(B1011:D2010)=0,AND('Choix pédagogiques'!$C$3&lt;&gt;1,'Choix pédagogiques'!$C$3&lt;&gt;2)),"",IF(AND(OR('Choix pédagogiques'!$C$3=1,'Choix pédagogiques'!$C$3=2),$B1011&lt;&gt;"",$C1011&lt;&gt;"",$D1011&lt;&gt;""),1,0))</f>
        <v/>
      </c>
      <c r="BN1011" s="52" t="str">
        <f aca="false">IF(OR(COUNT(G1011:I2010)=0,AND('Choix pédagogiques'!$C$3&lt;&gt;1,'Choix pédagogiques'!$C$3&lt;&gt;2)),"",IF(AND(OR('Choix pédagogiques'!$C$3=1,'Choix pédagogiques'!$C$3=2),AND($G1011&lt;&gt;"",$H1011&lt;&gt;"",$I1011&lt;&gt;"")),1,0))</f>
        <v/>
      </c>
      <c r="BO1011" s="52" t="str">
        <f aca="false">IF(OR(COUNT(B1011:D2010)=0,COUNT(G1011:I2010)=0,'Choix pédagogiques'!C$3&lt;&gt;3),"",IF(AND('Choix pédagogiques'!$C$3=3,$B1011&lt;&gt;"",$C1011&lt;&gt;"",$D1011&lt;&gt;"",$G1011&lt;&gt;"",$H1011&lt;&gt;"",$I1011&lt;&gt;""),1,0))</f>
        <v/>
      </c>
      <c r="BR1011" s="52" t="n">
        <v>868</v>
      </c>
      <c r="BS1011" s="52" t="n">
        <v>1129</v>
      </c>
    </row>
    <row r="1012" s="54" customFormat="true" ht="18" hidden="false" customHeight="true" outlineLevel="0" collapsed="false">
      <c r="A1012" s="57" t="s">
        <v>1955</v>
      </c>
      <c r="B1012" s="51"/>
      <c r="C1012" s="51"/>
      <c r="D1012" s="51"/>
      <c r="E1012" s="51"/>
      <c r="F1012" s="57" t="s">
        <v>1956</v>
      </c>
      <c r="G1012" s="51"/>
      <c r="H1012" s="51"/>
      <c r="I1012" s="51"/>
      <c r="J1012" s="51"/>
      <c r="K1012" s="52" t="str">
        <f aca="false">IF($A1012&lt;&gt;"",$A1012,"")</f>
        <v>Apprenant 1000</v>
      </c>
      <c r="L1012" s="53" t="str">
        <f aca="false">IF(AND($B1012&lt;&gt;"",$C1012&lt;&gt;""),$C1012-$B1012,"")</f>
        <v/>
      </c>
      <c r="M1012" s="53" t="str">
        <f aca="false">IF(AND($B1012&lt;&gt;"",$D1012&lt;&gt;""),$D1012-$B1012,"")</f>
        <v/>
      </c>
      <c r="N1012" s="53" t="str">
        <f aca="false">IF(AND($C1012&lt;&gt;"",$D1012&lt;&gt;""),$D1012-$C1012,"")</f>
        <v/>
      </c>
      <c r="O1012" s="53" t="str">
        <f aca="false">IF($E1012&lt;&gt;"",$E1012,"")</f>
        <v/>
      </c>
      <c r="P1012" s="52" t="str">
        <f aca="false">IF($F1012&lt;&gt;"",$F1012,"")</f>
        <v>Apprenant 1000 ou 1000'</v>
      </c>
      <c r="Q1012" s="53" t="str">
        <f aca="false">IF(AND($G1012&lt;&gt;"",$H1012&lt;&gt;""),$H1012-$G1012,"")</f>
        <v/>
      </c>
      <c r="R1012" s="53" t="str">
        <f aca="false">IF(AND($G1012&lt;&gt;"",$I1012&lt;&gt;""),$I1012-$G1012,"")</f>
        <v/>
      </c>
      <c r="S1012" s="53" t="str">
        <f aca="false">IF(AND($H1012&lt;&gt;"",$I1012&lt;&gt;""),$I1012-$H1012,"")</f>
        <v/>
      </c>
      <c r="T1012" s="53" t="str">
        <f aca="false">IF($J1012&lt;&gt;"",$J1012,"")</f>
        <v/>
      </c>
      <c r="V1012" s="52" t="str">
        <f aca="false">IF($A1012&lt;&gt;"",$A1012,"")</f>
        <v>Apprenant 1000</v>
      </c>
      <c r="W1012" s="53" t="str">
        <f aca="false">IF(AND(OR('Choix pédagogiques'!$C$3=1,'Choix pédagogiques'!$C$3=2),$BM1012=1),B1012,IF(AND('Choix pédagogiques'!$C$3=3,$BO1012=1),B1012,""))</f>
        <v/>
      </c>
      <c r="X1012" s="53" t="str">
        <f aca="false">IF(AND(OR('Choix pédagogiques'!$C$3=1,'Choix pédagogiques'!$C$3=2),$BM1012=1),C1012,IF(AND('Choix pédagogiques'!$C$3=3,$BO1012=1),C1012,""))</f>
        <v/>
      </c>
      <c r="Y1012" s="53" t="str">
        <f aca="false">IF(AND(OR('Choix pédagogiques'!$C$3=1,'Choix pédagogiques'!$C$3=2),$BM1012=1),D1012,IF(AND('Choix pédagogiques'!$C$3=3,$BO1012=1),D1012,""))</f>
        <v/>
      </c>
      <c r="Z1012" s="53" t="str">
        <f aca="false">IF($E1012&lt;&gt;"",$E1012,"")</f>
        <v/>
      </c>
      <c r="AA1012" s="52" t="str">
        <f aca="false">IF($F1012&lt;&gt;"",$F1012,"")</f>
        <v>Apprenant 1000 ou 1000'</v>
      </c>
      <c r="AB1012" s="53" t="str">
        <f aca="false">IF(AND(OR('Choix pédagogiques'!$C$3=1,'Choix pédagogiques'!$C$3=2),$BN1012=1),G1012,IF(AND('Choix pédagogiques'!$C$3=3,$BO1012=1),G1012,""))</f>
        <v/>
      </c>
      <c r="AC1012" s="53" t="str">
        <f aca="false">IF(AND(OR('Choix pédagogiques'!$C$3=1,'Choix pédagogiques'!$C$3=2),$BN1012=1),H1012,IF(AND('Choix pédagogiques'!$C$3=3,$BO1012=1),H1012,""))</f>
        <v/>
      </c>
      <c r="AD1012" s="53" t="str">
        <f aca="false">IF(AND(OR('Choix pédagogiques'!$C$3=1,'Choix pédagogiques'!$C$3=2),$BN1012=1),I1012,IF(AND('Choix pédagogiques'!$C$3=3,$BO1012=1),I1012,""))</f>
        <v/>
      </c>
      <c r="AE1012" s="53" t="str">
        <f aca="false">IF($J1012&lt;&gt;"",$J1012,"")</f>
        <v/>
      </c>
      <c r="AF1012" s="52" t="str">
        <f aca="false">IF($A1012&lt;&gt;"",$A1012,"")</f>
        <v>Apprenant 1000</v>
      </c>
      <c r="AG1012" s="53" t="str">
        <f aca="false">IF(AND($W1012&lt;&gt;"",$X1012&lt;&gt;""),$X1012-$W1012,"")</f>
        <v/>
      </c>
      <c r="AH1012" s="53" t="str">
        <f aca="false">IF(AND($W1012&lt;&gt;"",$Y1012&lt;&gt;""),$Y1012-$W1012,"")</f>
        <v/>
      </c>
      <c r="AI1012" s="53" t="str">
        <f aca="false">IF(AND($X1012&lt;&gt;"",$Y1012&lt;&gt;""),$Y1012-$X1012,"")</f>
        <v/>
      </c>
      <c r="AJ1012" s="53" t="str">
        <f aca="false">IF($E1012&lt;&gt;"",$E1012,"")</f>
        <v/>
      </c>
      <c r="AK1012" s="52" t="str">
        <f aca="false">IF($F1012&lt;&gt;"",$F1012,"")</f>
        <v>Apprenant 1000 ou 1000'</v>
      </c>
      <c r="AL1012" s="53" t="str">
        <f aca="false">IF(AND($AB1012&lt;&gt;"",$AC1012&lt;&gt;""),$AC1012-$AB1012,"")</f>
        <v/>
      </c>
      <c r="AM1012" s="53" t="str">
        <f aca="false">IF(AND($AB1012&lt;&gt;"",$AD1012&lt;&gt;""),$AD1012-$AB1012,"")</f>
        <v/>
      </c>
      <c r="AN1012" s="53" t="str">
        <f aca="false">IF(AND($AC1012&lt;&gt;"",$AD1012&lt;&gt;""),$AD1012-$AC1012,"")</f>
        <v/>
      </c>
      <c r="AO1012" s="53" t="str">
        <f aca="false">IF($J1012&lt;&gt;"",$J1012,"")</f>
        <v/>
      </c>
      <c r="AQ1012" s="52" t="str">
        <f aca="false">IF($A1012&lt;&gt;"",$A1012,"")</f>
        <v>Apprenant 1000</v>
      </c>
      <c r="AR1012" s="55" t="str">
        <f aca="false">IF(AND('Choix pédagogiques'!$C$4&lt;&gt;"?",'Choix pédagogiques'!$C$5&lt;&gt;"?",W1012&lt;&gt;""),(W1012-'Choix pédagogiques'!$C$4)/('Choix pédagogiques'!$C$5-'Choix pédagogiques'!$C$4),"")</f>
        <v/>
      </c>
      <c r="AS1012" s="55" t="str">
        <f aca="false">IF(AND('Choix pédagogiques'!$C$4&lt;&gt;"?",'Choix pédagogiques'!$C$5&lt;&gt;"?",X1012&lt;&gt;""),(X1012-'Choix pédagogiques'!$C$4)/('Choix pédagogiques'!$C$5-'Choix pédagogiques'!$C$4),"")</f>
        <v/>
      </c>
      <c r="AT1012" s="55" t="str">
        <f aca="false">IF(AND('Choix pédagogiques'!$C$4&lt;&gt;"?",'Choix pédagogiques'!$C$5&lt;&gt;"?",Y1012&lt;&gt;""),(Y1012-'Choix pédagogiques'!$C$4)/('Choix pédagogiques'!$C$5-'Choix pédagogiques'!$C$4),"")</f>
        <v/>
      </c>
      <c r="AU1012" s="53" t="str">
        <f aca="false">IF($E1012&lt;&gt;"",$E1012,"")</f>
        <v/>
      </c>
      <c r="AV1012" s="52" t="str">
        <f aca="false">IF($F1012&lt;&gt;"",$F1012,"")</f>
        <v>Apprenant 1000 ou 1000'</v>
      </c>
      <c r="AW1012" s="55" t="str">
        <f aca="false">IF(AND('Choix pédagogiques'!$C$4&lt;&gt;"?",'Choix pédagogiques'!$C$5&lt;&gt;"?",AB1012&lt;&gt;""),(AB1012-'Choix pédagogiques'!$C$4)/('Choix pédagogiques'!$C$5-'Choix pédagogiques'!$C$4),"")</f>
        <v/>
      </c>
      <c r="AX1012" s="55" t="str">
        <f aca="false">IF(AND('Choix pédagogiques'!$C$4&lt;&gt;"?",'Choix pédagogiques'!$C$5&lt;&gt;"?",AC1012&lt;&gt;""),(AC1012-'Choix pédagogiques'!$C$4)/('Choix pédagogiques'!$C$5-'Choix pédagogiques'!$C$4),"")</f>
        <v/>
      </c>
      <c r="AY1012" s="55" t="str">
        <f aca="false">IF(AND('Choix pédagogiques'!$C$4&lt;&gt;"?",'Choix pédagogiques'!$C$5&lt;&gt;"?",AD1012&lt;&gt;""),(AD1012-'Choix pédagogiques'!$C$4)/('Choix pédagogiques'!$C$5-'Choix pédagogiques'!$C$4),"")</f>
        <v/>
      </c>
      <c r="AZ1012" s="53" t="str">
        <f aca="false">IF($J1012&lt;&gt;"",$J1012,"")</f>
        <v/>
      </c>
      <c r="BA1012" s="52" t="str">
        <f aca="false">IF($A1012&lt;&gt;"",$A1012,"")</f>
        <v>Apprenant 1000</v>
      </c>
      <c r="BB1012" s="55" t="str">
        <f aca="false">IF(AND($AR1012&lt;&gt;"",$AS1012&lt;&gt;""),$AS1012-$AR1012,"")</f>
        <v/>
      </c>
      <c r="BC1012" s="55" t="str">
        <f aca="false">IF(AND($AR1012&lt;&gt;"",$AT1012&lt;&gt;""),$AT1012-$AR1012,"")</f>
        <v/>
      </c>
      <c r="BD1012" s="55" t="str">
        <f aca="false">IF(AND($AS1012&lt;&gt;"",$AT1012&lt;&gt;""),$AT1012-$AS1012,"")</f>
        <v/>
      </c>
      <c r="BE1012" s="53" t="str">
        <f aca="false">IF($E1012&lt;&gt;"",$E1012,"")</f>
        <v/>
      </c>
      <c r="BF1012" s="52" t="str">
        <f aca="false">IF($F1012&lt;&gt;"",$F1012,"")</f>
        <v>Apprenant 1000 ou 1000'</v>
      </c>
      <c r="BG1012" s="55" t="str">
        <f aca="false">IF(AND($AW1012&lt;&gt;"",$AX1012&lt;&gt;""),$AX1012-$AW1012,"")</f>
        <v/>
      </c>
      <c r="BH1012" s="55" t="str">
        <f aca="false">IF(AND($AW1012&lt;&gt;"",$AY1012&lt;&gt;""),$AY1012-$AW1012,"")</f>
        <v/>
      </c>
      <c r="BI1012" s="55" t="str">
        <f aca="false">IF(AND($AX1012&lt;&gt;"",$AY1012&lt;&gt;""),$AY1012-$AX1012,"")</f>
        <v/>
      </c>
      <c r="BJ1012" s="53" t="str">
        <f aca="false">IF($J1012&lt;&gt;"",$J1012,"")</f>
        <v/>
      </c>
      <c r="BL1012" s="52"/>
      <c r="BM1012" s="52" t="str">
        <f aca="false">IF(OR(COUNT(B1012:D2011)=0,AND('Choix pédagogiques'!$C$3&lt;&gt;1,'Choix pédagogiques'!$C$3&lt;&gt;2)),"",IF(AND(OR('Choix pédagogiques'!$C$3=1,'Choix pédagogiques'!$C$3=2),$B1012&lt;&gt;"",$C1012&lt;&gt;"",$D1012&lt;&gt;""),1,0))</f>
        <v/>
      </c>
      <c r="BN1012" s="52" t="str">
        <f aca="false">IF(OR(COUNT(G1012:I2011)=0,AND('Choix pédagogiques'!$C$3&lt;&gt;1,'Choix pédagogiques'!$C$3&lt;&gt;2)),"",IF(AND(OR('Choix pédagogiques'!$C$3=1,'Choix pédagogiques'!$C$3=2),AND($G1012&lt;&gt;"",$H1012&lt;&gt;"",$I1012&lt;&gt;"")),1,0))</f>
        <v/>
      </c>
      <c r="BO1012" s="52" t="str">
        <f aca="false">IF(OR(COUNT(B1012:D2011)=0,COUNT(G1012:I2011)=0,'Choix pédagogiques'!C$3&lt;&gt;3),"",IF(AND('Choix pédagogiques'!$C$3=3,$B1012&lt;&gt;"",$C1012&lt;&gt;"",$D1012&lt;&gt;"",$G1012&lt;&gt;"",$H1012&lt;&gt;"",$I1012&lt;&gt;""),1,0))</f>
        <v/>
      </c>
      <c r="BR1012" s="52" t="n">
        <v>215</v>
      </c>
      <c r="BS1012" s="52" t="n">
        <v>1841</v>
      </c>
    </row>
  </sheetData>
  <mergeCells count="39">
    <mergeCell ref="A1:E1"/>
    <mergeCell ref="F1:J1"/>
    <mergeCell ref="K1:O1"/>
    <mergeCell ref="P1:T1"/>
    <mergeCell ref="V1:Z1"/>
    <mergeCell ref="AA1:AE1"/>
    <mergeCell ref="AF1:AJ1"/>
    <mergeCell ref="AK1:AO1"/>
    <mergeCell ref="AQ1:AU1"/>
    <mergeCell ref="AV1:AZ1"/>
    <mergeCell ref="BA1:BE1"/>
    <mergeCell ref="BF1:BJ1"/>
    <mergeCell ref="BM1:BO1"/>
    <mergeCell ref="A2:E2"/>
    <mergeCell ref="F2:J2"/>
    <mergeCell ref="K2:O2"/>
    <mergeCell ref="P2:T2"/>
    <mergeCell ref="V2:Z2"/>
    <mergeCell ref="AA2:AE2"/>
    <mergeCell ref="AF2:AJ2"/>
    <mergeCell ref="AK2:AO2"/>
    <mergeCell ref="AQ2:AU2"/>
    <mergeCell ref="AV2:AZ2"/>
    <mergeCell ref="BA2:BE2"/>
    <mergeCell ref="BF2:BJ2"/>
    <mergeCell ref="BM2:BO2"/>
    <mergeCell ref="BR2:BS2"/>
    <mergeCell ref="A3:E3"/>
    <mergeCell ref="F3:J3"/>
    <mergeCell ref="K3:O3"/>
    <mergeCell ref="P3:T3"/>
    <mergeCell ref="V3:Z3"/>
    <mergeCell ref="AA3:AE3"/>
    <mergeCell ref="AF3:AJ3"/>
    <mergeCell ref="AK3:AO3"/>
    <mergeCell ref="AQ3:AU3"/>
    <mergeCell ref="AV3:AZ3"/>
    <mergeCell ref="BA3:BE3"/>
    <mergeCell ref="BF3:BJ3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7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fals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G16" activeCellId="0" sqref="G16"/>
    </sheetView>
  </sheetViews>
  <sheetFormatPr defaultColWidth="11.5625" defaultRowHeight="15" zeroHeight="false" outlineLevelRow="0" outlineLevelCol="0"/>
  <cols>
    <col collapsed="false" customWidth="true" hidden="false" outlineLevel="0" max="7" min="1" style="58" width="13.34"/>
    <col collapsed="false" customWidth="true" hidden="false" outlineLevel="0" max="10" min="8" style="59" width="13.34"/>
    <col collapsed="false" customWidth="true" hidden="false" outlineLevel="0" max="11" min="11" style="58" width="13.34"/>
    <col collapsed="false" customWidth="false" hidden="false" outlineLevel="0" max="16384" min="12" style="58" width="11.56"/>
  </cols>
  <sheetData>
    <row r="1" customFormat="false" ht="90.75" hidden="false" customHeight="true" outlineLevel="0" collapsed="false">
      <c r="A1" s="1" t="s">
        <v>1957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05.75" hidden="false" customHeight="true" outlineLevel="0" collapsed="false"/>
    <row r="3" customFormat="false" ht="120" hidden="false" customHeight="true" outlineLevel="0" collapsed="false">
      <c r="B3" s="60"/>
      <c r="C3" s="60"/>
      <c r="D3" s="60"/>
      <c r="E3" s="60"/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O3"/>
  <sheetViews>
    <sheetView showFormulas="false" showGridLines="false" showRowColHeaders="true" showZeros="true" rightToLeft="false" tabSelected="false" showOutlineSymbols="true" defaultGridColor="true" view="normal" topLeftCell="A1" colorId="64" zoomScale="73" zoomScaleNormal="73" zoomScalePageLayoutView="70" workbookViewId="0">
      <selection pane="topLeft" activeCell="A1" activeCellId="0" sqref="A1"/>
    </sheetView>
  </sheetViews>
  <sheetFormatPr defaultColWidth="16.88671875" defaultRowHeight="15" zeroHeight="false" outlineLevelRow="0" outlineLevelCol="0"/>
  <cols>
    <col collapsed="false" customWidth="false" hidden="false" outlineLevel="0" max="7" min="1" style="58" width="16.89"/>
    <col collapsed="false" customWidth="false" hidden="false" outlineLevel="0" max="10" min="8" style="59" width="16.89"/>
    <col collapsed="false" customWidth="false" hidden="false" outlineLevel="0" max="16384" min="11" style="58" width="16.89"/>
  </cols>
  <sheetData>
    <row r="1" customFormat="false" ht="90.75" hidden="false" customHeight="true" outlineLevel="0" collapsed="false">
      <c r="A1" s="1" t="s">
        <v>1958</v>
      </c>
      <c r="B1" s="1"/>
      <c r="C1" s="1"/>
      <c r="D1" s="1"/>
      <c r="E1" s="1"/>
      <c r="F1" s="1"/>
      <c r="G1" s="1"/>
      <c r="H1" s="1"/>
      <c r="I1" s="1"/>
      <c r="J1" s="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  <c r="DC1" s="61"/>
      <c r="DD1" s="61"/>
      <c r="DE1" s="61"/>
      <c r="DF1" s="61"/>
      <c r="DG1" s="61"/>
      <c r="DH1" s="61"/>
      <c r="DI1" s="61"/>
      <c r="DJ1" s="61"/>
      <c r="DK1" s="61"/>
      <c r="DL1" s="61"/>
      <c r="DM1" s="61"/>
      <c r="DN1" s="61"/>
      <c r="DO1" s="61"/>
      <c r="DP1" s="61"/>
      <c r="DQ1" s="61"/>
      <c r="DR1" s="61"/>
      <c r="DS1" s="61"/>
      <c r="DT1" s="61"/>
      <c r="DU1" s="61"/>
      <c r="DV1" s="61"/>
      <c r="DW1" s="61"/>
      <c r="DX1" s="61"/>
      <c r="DY1" s="61"/>
      <c r="DZ1" s="61"/>
      <c r="EA1" s="61"/>
      <c r="EB1" s="61"/>
      <c r="EC1" s="61"/>
      <c r="ED1" s="61"/>
      <c r="EE1" s="61"/>
      <c r="EF1" s="61"/>
      <c r="EG1" s="61"/>
      <c r="EH1" s="61"/>
      <c r="EI1" s="61"/>
      <c r="EJ1" s="61"/>
      <c r="EK1" s="61"/>
      <c r="EL1" s="61"/>
      <c r="EM1" s="61"/>
      <c r="EN1" s="61"/>
      <c r="EO1" s="61"/>
      <c r="EP1" s="61"/>
      <c r="EQ1" s="61"/>
      <c r="ER1" s="61"/>
      <c r="ES1" s="61"/>
      <c r="ET1" s="61"/>
      <c r="EU1" s="61"/>
      <c r="EV1" s="61"/>
      <c r="EW1" s="61"/>
      <c r="EX1" s="61"/>
      <c r="EY1" s="61"/>
      <c r="EZ1" s="61"/>
      <c r="FA1" s="61"/>
      <c r="FB1" s="61"/>
      <c r="FC1" s="61"/>
      <c r="FD1" s="61"/>
      <c r="FE1" s="61"/>
      <c r="FF1" s="61"/>
      <c r="FG1" s="61"/>
      <c r="FH1" s="61"/>
      <c r="FI1" s="61"/>
      <c r="FJ1" s="61"/>
      <c r="FK1" s="61"/>
      <c r="FL1" s="61"/>
      <c r="FM1" s="61"/>
      <c r="FN1" s="61"/>
      <c r="FO1" s="61"/>
    </row>
    <row r="2" customFormat="false" ht="105.75" hidden="false" customHeight="true" outlineLevel="0" collapsed="false"/>
    <row r="3" customFormat="false" ht="120" hidden="false" customHeight="true" outlineLevel="0" collapsed="false">
      <c r="B3" s="60"/>
      <c r="C3" s="60"/>
      <c r="D3" s="60"/>
      <c r="E3" s="60"/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71" zoomScaleNormal="71" zoomScalePageLayoutView="40" workbookViewId="0">
      <selection pane="topLeft" activeCell="F7" activeCellId="0" sqref="F7"/>
    </sheetView>
  </sheetViews>
  <sheetFormatPr defaultColWidth="11.5625" defaultRowHeight="15" zeroHeight="false" outlineLevelRow="0" outlineLevelCol="0"/>
  <cols>
    <col collapsed="false" customWidth="true" hidden="false" outlineLevel="0" max="1" min="1" style="58" width="7"/>
    <col collapsed="false" customWidth="true" hidden="false" outlineLevel="0" max="2" min="2" style="58" width="69.67"/>
    <col collapsed="false" customWidth="true" hidden="false" outlineLevel="0" max="5" min="3" style="58" width="48.67"/>
    <col collapsed="false" customWidth="true" hidden="false" outlineLevel="0" max="6" min="6" style="58" width="7.11"/>
    <col collapsed="false" customWidth="false" hidden="false" outlineLevel="0" max="16384" min="7" style="58" width="11.56"/>
  </cols>
  <sheetData>
    <row r="1" customFormat="false" ht="90.75" hidden="false" customHeight="true" outlineLevel="0" collapsed="false">
      <c r="A1" s="1" t="s">
        <v>1959</v>
      </c>
      <c r="B1" s="1"/>
      <c r="C1" s="1"/>
      <c r="D1" s="1"/>
      <c r="E1" s="1"/>
      <c r="F1" s="1"/>
    </row>
    <row r="2" customFormat="false" ht="19.5" hidden="false" customHeight="true" outlineLevel="0" collapsed="false"/>
    <row r="3" customFormat="false" ht="84.75" hidden="false" customHeight="true" outlineLevel="0" collapsed="false">
      <c r="B3" s="62" t="s">
        <v>1960</v>
      </c>
      <c r="C3" s="62" t="s">
        <v>18</v>
      </c>
      <c r="D3" s="62" t="s">
        <v>19</v>
      </c>
      <c r="E3" s="62" t="s">
        <v>1961</v>
      </c>
      <c r="F3" s="63"/>
    </row>
    <row r="4" customFormat="false" ht="57.75" hidden="false" customHeight="true" outlineLevel="0" collapsed="false">
      <c r="B4" s="62" t="s">
        <v>15</v>
      </c>
      <c r="C4" s="64" t="str">
        <f aca="false">IF(OR('Données brutes'!$W$8="",'Données brutes'!$W$9="",'Données brutes'!$W$10="",'Données brutes'!$W$11="",'Données brutes'!$W$12=""),"",_xlfn.CONCAT("[",'Données brutes'!W8," ; ",'Données brutes'!W9," ; ",'Données brutes'!W10," ; ",'Données brutes'!W11," ; ",'Données brutes'!W12,"]"))</f>
        <v>[0 ; 2 ; 2 ; 4 ; 6]</v>
      </c>
      <c r="D4" s="64" t="str">
        <f aca="false">IF(OR('Données brutes'!$W$8="",'Données brutes'!$W$9="",'Données brutes'!$W$10="",'Données brutes'!$W$11="",'Données brutes'!$W$12=""),"",_xlfn.CONCAT("[",'Données brutes'!X8," ; ",'Données brutes'!X9," ; ",'Données brutes'!X10," ; ",'Données brutes'!X11," ; ",'Données brutes'!X12,"]"))</f>
        <v>[3 ; 12 ; 13 ; 15 ; 17]</v>
      </c>
      <c r="E4" s="64" t="str">
        <f aca="false">IF(OR('Données brutes'!$W$8="",'Données brutes'!$W$9="",'Données brutes'!$W$10="",'Données brutes'!$W$11="",'Données brutes'!$W$12=""),"",_xlfn.CONCAT("[",'Données brutes'!Y8," ; ",'Données brutes'!Y9," ; ",'Données brutes'!Y10," ; ",'Données brutes'!Y11," ; ",'Données brutes'!Y12,"]"))</f>
        <v>[6 ; 9 ; 10 ; 12 ; 17]</v>
      </c>
      <c r="F4" s="65"/>
    </row>
    <row r="5" customFormat="false" ht="57.75" hidden="false" customHeight="true" outlineLevel="0" collapsed="false">
      <c r="B5" s="62" t="s">
        <v>14</v>
      </c>
      <c r="C5" s="64" t="str">
        <f aca="false">IF(OR('Données brutes'!$AB$8="",'Données brutes'!$AB$9="",'Données brutes'!$AB$10="",'Données brutes'!$AB$11="",'Données brutes'!$AB$12=""),"",_xlfn.CONCAT("[",'Données brutes'!AB8," ; ",'Données brutes'!AB9," ; ",'Données brutes'!AB10," ; ",'Données brutes'!AB11," ; ",'Données brutes'!AB12,"]"))</f>
        <v>[0 ; 2 ; 3 ; 4 ; 6]</v>
      </c>
      <c r="D5" s="64" t="str">
        <f aca="false">IF(OR('Données brutes'!$AB$8="",'Données brutes'!$AB$9="",'Données brutes'!$AB$10="",'Données brutes'!$AB$11="",'Données brutes'!$AB$12=""),"",_xlfn.CONCAT("[",'Données brutes'!AC8," ; ",'Données brutes'!AC9," ; ",'Données brutes'!AC10," ; ",'Données brutes'!AC11," ; ",'Données brutes'!AC12,"]"))</f>
        <v>[5 ; 13,75 ; 15 ; 16 ; 19]</v>
      </c>
      <c r="E5" s="64" t="str">
        <f aca="false">IF(OR('Données brutes'!$AB$8="",'Données brutes'!$AB$9="",'Données brutes'!$AB$10="",'Données brutes'!$AB$11="",'Données brutes'!$AB$12=""),"",_xlfn.CONCAT("[",'Données brutes'!AD8," ; ",'Données brutes'!AD9," ; ",'Données brutes'!AD10," ; ",'Données brutes'!AD11," ; ",'Données brutes'!AD12,"]"))</f>
        <v>[4 ; 13 ; 15 ; 16 ; 19]</v>
      </c>
      <c r="F5" s="65"/>
    </row>
    <row r="6" customFormat="false" ht="120" hidden="false" customHeight="true" outlineLevel="0" collapsed="false">
      <c r="B6" s="60"/>
      <c r="C6" s="60"/>
      <c r="D6" s="60"/>
      <c r="E6" s="60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3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"/>
  <sheetViews>
    <sheetView showFormulas="false" showGridLines="false" showRowColHeaders="true" showZeros="true" rightToLeft="false" tabSelected="false" showOutlineSymbols="true" defaultGridColor="true" view="normal" topLeftCell="B1" colorId="64" zoomScale="89" zoomScaleNormal="89" zoomScalePageLayoutView="70" workbookViewId="0">
      <selection pane="topLeft" activeCell="D4" activeCellId="0" sqref="D4"/>
    </sheetView>
  </sheetViews>
  <sheetFormatPr defaultColWidth="11.5625" defaultRowHeight="15" zeroHeight="false" outlineLevelRow="0" outlineLevelCol="0"/>
  <cols>
    <col collapsed="false" customWidth="true" hidden="false" outlineLevel="0" max="1" min="1" style="58" width="7"/>
    <col collapsed="false" customWidth="true" hidden="false" outlineLevel="0" max="2" min="2" style="58" width="55.44"/>
    <col collapsed="false" customWidth="true" hidden="false" outlineLevel="0" max="5" min="3" style="58" width="19.33"/>
    <col collapsed="false" customWidth="true" hidden="false" outlineLevel="0" max="6" min="6" style="58" width="7.11"/>
    <col collapsed="false" customWidth="true" hidden="false" outlineLevel="0" max="7" min="7" style="58" width="25.11"/>
    <col collapsed="false" customWidth="true" hidden="false" outlineLevel="0" max="9" min="8" style="59" width="25.11"/>
    <col collapsed="false" customWidth="true" hidden="false" outlineLevel="0" max="10" min="10" style="59" width="31.33"/>
    <col collapsed="false" customWidth="false" hidden="false" outlineLevel="0" max="16384" min="11" style="58" width="11.56"/>
  </cols>
  <sheetData>
    <row r="1" customFormat="false" ht="90.75" hidden="false" customHeight="true" outlineLevel="0" collapsed="false">
      <c r="A1" s="1" t="s">
        <v>1962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05.75" hidden="false" customHeight="true" outlineLevel="0" collapsed="false"/>
    <row r="3" customFormat="false" ht="63" hidden="false" customHeight="true" outlineLevel="0" collapsed="false">
      <c r="B3" s="62" t="s">
        <v>1963</v>
      </c>
      <c r="C3" s="62" t="s">
        <v>18</v>
      </c>
      <c r="D3" s="62" t="s">
        <v>19</v>
      </c>
      <c r="E3" s="62" t="s">
        <v>1961</v>
      </c>
      <c r="F3" s="63"/>
      <c r="H3" s="66"/>
    </row>
    <row r="4" customFormat="false" ht="57.75" hidden="false" customHeight="true" outlineLevel="0" collapsed="false">
      <c r="B4" s="62" t="s">
        <v>1964</v>
      </c>
      <c r="C4" s="67" t="str">
        <f aca="false">IF(OR('Données brutes'!$AR$5="",'Données brutes'!$AR$7=""),"",_xlfn.CONCAT(100*ROUND('Données brutes'!$AR$5,2)," ± ",100*ROUND('Données brutes'!$AR$7,2)," %"))</f>
        <v>13 ± 2 %</v>
      </c>
      <c r="D4" s="67" t="str">
        <f aca="false">IF(OR('Données brutes'!$AS$5="",'Données brutes'!$AS$7=""),"",_xlfn.CONCAT(100*ROUND('Données brutes'!$AS$5,2)," ± ",100*ROUND('Données brutes'!$AS$7,2)," %"))</f>
        <v>63 ± 4 %</v>
      </c>
      <c r="E4" s="67" t="str">
        <f aca="false">IF(OR('Données brutes'!$AT$5="",'Données brutes'!$AT$7=""),"",_xlfn.CONCAT(100*ROUND('Données brutes'!$AT$5,2)," ± ",100*ROUND('Données brutes'!$AT$7,2)," %"))</f>
        <v>52 ± 4 %</v>
      </c>
      <c r="F4" s="65"/>
      <c r="H4" s="66"/>
    </row>
    <row r="5" customFormat="false" ht="57.75" hidden="false" customHeight="true" outlineLevel="0" collapsed="false">
      <c r="B5" s="62" t="s">
        <v>1965</v>
      </c>
      <c r="C5" s="67" t="str">
        <f aca="false">IF(OR('Données brutes'!$AW$5="",'Données brutes'!$AW$7=""),"",_xlfn.CONCAT(100*ROUND('Données brutes'!$AW$5,2)," ± ",100*ROUND('Données brutes'!$AW$7,2)," %"))</f>
        <v>15 ± 2 %</v>
      </c>
      <c r="D5" s="67" t="str">
        <f aca="false">IF(OR('Données brutes'!$AX$5="",'Données brutes'!$AX$7=""),"",_xlfn.CONCAT(100*ROUND('Données brutes'!$AX$5,2)," ± ",100*ROUND('Données brutes'!$AX$7,2)," %"))</f>
        <v>74 ± 4 %</v>
      </c>
      <c r="E5" s="67" t="str">
        <f aca="false">IF(OR('Données brutes'!$AY$5="",'Données brutes'!$AY$7=""),"",_xlfn.CONCAT(100*ROUND('Données brutes'!$AY$5,2)," ± ",100*ROUND('Données brutes'!$AY$7,2)," %"))</f>
        <v>72 ± 4 %</v>
      </c>
      <c r="F5" s="65"/>
    </row>
    <row r="6" customFormat="false" ht="120" hidden="false" customHeight="true" outlineLevel="0" collapsed="false">
      <c r="B6" s="60"/>
      <c r="C6" s="60"/>
      <c r="D6" s="60"/>
      <c r="E6" s="60"/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"/>
  <sheetViews>
    <sheetView showFormulas="false" showGridLines="false" showRowColHeaders="true" showZeros="true" rightToLeft="false" tabSelected="true" showOutlineSymbols="true" defaultGridColor="true" view="normal" topLeftCell="A1" colorId="64" zoomScale="66" zoomScaleNormal="66" zoomScalePageLayoutView="70" workbookViewId="0">
      <selection pane="topLeft" activeCell="G4" activeCellId="0" sqref="G4"/>
    </sheetView>
  </sheetViews>
  <sheetFormatPr defaultColWidth="10.54296875" defaultRowHeight="15" zeroHeight="false" outlineLevelRow="0" outlineLevelCol="0"/>
  <cols>
    <col collapsed="false" customWidth="true" hidden="false" outlineLevel="0" max="1" min="1" style="58" width="7.56"/>
    <col collapsed="false" customWidth="true" hidden="false" outlineLevel="0" max="2" min="2" style="58" width="52"/>
    <col collapsed="false" customWidth="true" hidden="false" outlineLevel="0" max="5" min="3" style="58" width="28.33"/>
    <col collapsed="false" customWidth="true" hidden="false" outlineLevel="0" max="6" min="6" style="58" width="6.88"/>
    <col collapsed="false" customWidth="true" hidden="false" outlineLevel="0" max="7" min="7" style="58" width="25.11"/>
    <col collapsed="false" customWidth="true" hidden="false" outlineLevel="0" max="10" min="8" style="59" width="25.11"/>
    <col collapsed="false" customWidth="true" hidden="false" outlineLevel="0" max="11" min="11" style="58" width="25.11"/>
    <col collapsed="false" customWidth="true" hidden="false" outlineLevel="0" max="14" min="14" style="0" width="14.44"/>
  </cols>
  <sheetData>
    <row r="1" customFormat="false" ht="90.75" hidden="false" customHeight="true" outlineLevel="0" collapsed="false">
      <c r="A1" s="1" t="s">
        <v>1966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="58" customFormat="true" ht="159" hidden="false" customHeight="true" outlineLevel="0" collapsed="false">
      <c r="H2" s="59"/>
      <c r="I2" s="59"/>
      <c r="J2" s="59"/>
    </row>
    <row r="3" s="58" customFormat="true" ht="120" hidden="false" customHeight="true" outlineLevel="0" collapsed="false">
      <c r="B3" s="62" t="s">
        <v>1967</v>
      </c>
      <c r="C3" s="62" t="s">
        <v>22</v>
      </c>
      <c r="D3" s="62" t="s">
        <v>23</v>
      </c>
      <c r="E3" s="62" t="s">
        <v>1968</v>
      </c>
      <c r="F3" s="63"/>
      <c r="H3" s="66"/>
      <c r="I3" s="59"/>
      <c r="J3" s="59"/>
    </row>
    <row r="4" s="58" customFormat="true" ht="58.5" hidden="false" customHeight="true" outlineLevel="0" collapsed="false">
      <c r="B4" s="62" t="str">
        <f aca="false">'Probabilités de réussite'!B4</f>
        <v>10 minutes de questions réponses</v>
      </c>
      <c r="C4" s="67" t="str">
        <f aca="false">IF(OR('Données brutes'!$BB$5="",'Données brutes'!$BB$7=""),"",_xlfn.CONCAT(100*ROUND('Données brutes'!BB5,2)," ± ",100*ROUND('Données brutes'!BB7,2)," %"))</f>
        <v>50 ± 4 %</v>
      </c>
      <c r="D4" s="67" t="str">
        <f aca="false">IF(OR('Données brutes'!$BC$5="",'Données brutes'!$BC$7=""),"",_xlfn.CONCAT(100*ROUND('Données brutes'!BC5,2)," ± ",100*ROUND('Données brutes'!BC7,2)," %"))</f>
        <v>40 ± 4 %</v>
      </c>
      <c r="E4" s="67" t="str">
        <f aca="false">IF(OR('Données brutes'!$BD$5="",'Données brutes'!$BD$7=""),"",_xlfn.CONCAT(100*ROUND('Données brutes'!BD5,2)," ± ",100*ROUND('Données brutes'!BD7,2)," %"))</f>
        <v>-11 ± 3 %</v>
      </c>
      <c r="F4" s="65"/>
      <c r="H4" s="66"/>
      <c r="I4" s="59"/>
      <c r="J4" s="59"/>
    </row>
    <row r="5" s="58" customFormat="true" ht="58.5" hidden="false" customHeight="true" outlineLevel="0" collapsed="false">
      <c r="B5" s="62" t="str">
        <f aca="false">'Probabilités de réussite'!B5</f>
        <v>10 minutes de Penser Comparer Partager</v>
      </c>
      <c r="C5" s="67" t="str">
        <f aca="false">IF(OR('Données brutes'!$BG$5="",'Données brutes'!$BG$7=""),"",_xlfn.CONCAT(100*ROUND('Données brutes'!BG5,2)," ± ",100*ROUND('Données brutes'!BG7,2)," %"))</f>
        <v>59 ± 4 %</v>
      </c>
      <c r="D5" s="67" t="str">
        <f aca="false">IF(OR('Données brutes'!$BH$5="",'Données brutes'!$BH$7=""),"",_xlfn.CONCAT(100*ROUND('Données brutes'!BH5,2)," ± ",100*ROUND('Données brutes'!BH7,2)," %"))</f>
        <v>57 ± 4 %</v>
      </c>
      <c r="E5" s="67" t="str">
        <f aca="false">IF(OR('Données brutes'!$BI$5="",'Données brutes'!$BI$7=""),"",_xlfn.CONCAT(100*ROUND('Données brutes'!BI5,2)," ± ",100*ROUND('Données brutes'!BI7,2)," %"))</f>
        <v>-2 ± 4 %</v>
      </c>
      <c r="F5" s="65"/>
      <c r="H5" s="59"/>
      <c r="I5" s="59"/>
      <c r="J5" s="59"/>
    </row>
    <row r="6" s="58" customFormat="true" ht="117" hidden="false" customHeight="true" outlineLevel="0" collapsed="false">
      <c r="B6" s="60"/>
      <c r="C6" s="60"/>
      <c r="D6" s="60"/>
      <c r="E6" s="60"/>
      <c r="H6" s="59"/>
      <c r="I6" s="59"/>
      <c r="J6" s="59"/>
    </row>
  </sheetData>
  <mergeCells count="1">
    <mergeCell ref="A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LibreOffice/24.2.5.2$Windows_X86_64 LibreOffice_project/bffef4ea93e59bebbeaf7f431bb02b1a39ee8a59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2018-07-31T12:08:08Z</dcterms:created>
  <dc:creator>Emmanuel Ahr</dc:creator>
  <dc:description/>
  <dc:language>fr-FR</dc:language>
  <cp:lastModifiedBy/>
  <cp:lastPrinted>2019-11-26T10:55:40Z</cp:lastPrinted>
  <dcterms:modified xsi:type="dcterms:W3CDTF">2026-05-06T18:16:42Z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